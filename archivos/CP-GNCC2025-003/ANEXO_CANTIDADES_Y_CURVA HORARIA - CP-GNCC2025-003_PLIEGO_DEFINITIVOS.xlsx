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vatiasaesp.sharepoint.com/sites/300.COMERCIAL/Documentos compartidos/330-MEM/Ulises/LICITACIONES/LICITACIONES 2025/VATIA/CP-GNCC2025-003/1. PLIEGOS DE CONDICIONES/Definitivos/"/>
    </mc:Choice>
  </mc:AlternateContent>
  <xr:revisionPtr revIDLastSave="300" documentId="14_{21DD504B-CFE5-4A8C-AA99-75B8C27FF60A}" xr6:coauthVersionLast="47" xr6:coauthVersionMax="47" xr10:uidLastSave="{3BE29205-0C88-434F-9AEE-9DDF4155DEBA}"/>
  <bookViews>
    <workbookView xWindow="-108" yWindow="-108" windowWidth="23256" windowHeight="12456" tabRatio="802" xr2:uid="{00000000-000D-0000-FFFF-FFFF00000000}"/>
  </bookViews>
  <sheets>
    <sheet name="PRODUCTO 01" sheetId="66" r:id="rId1"/>
    <sheet name="Cantidades horarias PROD 01 " sheetId="81" r:id="rId2"/>
    <sheet name="calendario" sheetId="17" state="hidden" r:id="rId3"/>
    <sheet name="curvas típicas de referencia" sheetId="3" state="hidden" r:id="rId4"/>
  </sheets>
  <definedNames>
    <definedName name="_xlnm._FilterDatabase" localSheetId="2" hidden="1">calendario!$A$2:$D$38</definedName>
    <definedName name="_xlnm._FilterDatabase" localSheetId="1" hidden="1">'Cantidades horarias PROD 01 '!$E$8:$AG$128</definedName>
    <definedName name="_xlnm.Print_Area" localSheetId="0">'PRODUCTO 01'!$A$1:$I$141</definedName>
    <definedName name="Z_5E23C26A_5DA4_4377_864E_D3BECE131DEC_.wvu.PrintArea" localSheetId="0" hidden="1">'PRODUCTO 01'!#REF!</definedName>
    <definedName name="Z_66AA70F6_2777_42C7_BDA0_CD16FFB959D9_.wvu.PrintArea" localSheetId="0" hidden="1">'PRODUCTO 01'!#REF!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3" i="81" l="1"/>
  <c r="D24" i="66" s="1"/>
  <c r="AG28" i="81"/>
  <c r="D29" i="66" s="1"/>
  <c r="AG29" i="81"/>
  <c r="D30" i="66" s="1"/>
  <c r="AG45" i="81"/>
  <c r="D46" i="66" s="1"/>
  <c r="AG48" i="81"/>
  <c r="D49" i="66" s="1"/>
  <c r="AG65" i="81"/>
  <c r="D66" i="66" s="1"/>
  <c r="AG67" i="81"/>
  <c r="D68" i="66" s="1"/>
  <c r="AG75" i="81"/>
  <c r="D76" i="66" s="1"/>
  <c r="AG77" i="81"/>
  <c r="D78" i="66" s="1"/>
  <c r="AG84" i="81"/>
  <c r="D85" i="66" s="1"/>
  <c r="AG96" i="81"/>
  <c r="D97" i="66" s="1"/>
  <c r="AG98" i="81"/>
  <c r="D99" i="66" s="1"/>
  <c r="AG53" i="81"/>
  <c r="D54" i="66" s="1"/>
  <c r="AG126" i="81" l="1"/>
  <c r="D127" i="66" s="1"/>
  <c r="F127" i="66" s="1"/>
  <c r="AG123" i="81"/>
  <c r="D124" i="66" s="1"/>
  <c r="F124" i="66" s="1"/>
  <c r="AG94" i="81"/>
  <c r="D95" i="66" s="1"/>
  <c r="F95" i="66" s="1"/>
  <c r="AG82" i="81"/>
  <c r="D83" i="66" s="1"/>
  <c r="F83" i="66" s="1"/>
  <c r="AG79" i="81"/>
  <c r="D80" i="66" s="1"/>
  <c r="F80" i="66" s="1"/>
  <c r="AG70" i="81"/>
  <c r="D71" i="66" s="1"/>
  <c r="F71" i="66" s="1"/>
  <c r="AG42" i="81"/>
  <c r="D43" i="66" s="1"/>
  <c r="F43" i="66" s="1"/>
  <c r="AG34" i="81"/>
  <c r="D35" i="66" s="1"/>
  <c r="F35" i="66" s="1"/>
  <c r="AG18" i="81"/>
  <c r="D19" i="66" s="1"/>
  <c r="F19" i="66" s="1"/>
  <c r="AG17" i="81"/>
  <c r="D18" i="66" s="1"/>
  <c r="F18" i="66" s="1"/>
  <c r="AG14" i="81"/>
  <c r="D15" i="66" s="1"/>
  <c r="F15" i="66" s="1"/>
  <c r="AG111" i="81"/>
  <c r="D112" i="66" s="1"/>
  <c r="F112" i="66" s="1"/>
  <c r="AG117" i="81"/>
  <c r="D118" i="66" s="1"/>
  <c r="F118" i="66" s="1"/>
  <c r="AG116" i="81"/>
  <c r="D117" i="66" s="1"/>
  <c r="F117" i="66" s="1"/>
  <c r="AG113" i="81"/>
  <c r="D114" i="66" s="1"/>
  <c r="F114" i="66" s="1"/>
  <c r="AG110" i="81"/>
  <c r="D111" i="66" s="1"/>
  <c r="F111" i="66" s="1"/>
  <c r="AG109" i="81"/>
  <c r="D110" i="66" s="1"/>
  <c r="F110" i="66" s="1"/>
  <c r="AG106" i="81"/>
  <c r="D107" i="66" s="1"/>
  <c r="F107" i="66" s="1"/>
  <c r="AG105" i="81"/>
  <c r="D106" i="66" s="1"/>
  <c r="F106" i="66" s="1"/>
  <c r="AG102" i="81"/>
  <c r="D103" i="66" s="1"/>
  <c r="F103" i="66" s="1"/>
  <c r="AG101" i="81"/>
  <c r="D102" i="66" s="1"/>
  <c r="F102" i="66" s="1"/>
  <c r="AG99" i="81"/>
  <c r="D100" i="66" s="1"/>
  <c r="F100" i="66" s="1"/>
  <c r="AG97" i="81"/>
  <c r="D98" i="66" s="1"/>
  <c r="F98" i="66" s="1"/>
  <c r="AG95" i="81"/>
  <c r="D96" i="66" s="1"/>
  <c r="F96" i="66" s="1"/>
  <c r="AG93" i="81"/>
  <c r="D94" i="66" s="1"/>
  <c r="F94" i="66" s="1"/>
  <c r="AG92" i="81"/>
  <c r="D93" i="66" s="1"/>
  <c r="F93" i="66" s="1"/>
  <c r="AG91" i="81"/>
  <c r="D92" i="66" s="1"/>
  <c r="F92" i="66" s="1"/>
  <c r="AG90" i="81"/>
  <c r="D91" i="66" s="1"/>
  <c r="F91" i="66" s="1"/>
  <c r="AG89" i="81"/>
  <c r="D90" i="66" s="1"/>
  <c r="F90" i="66" s="1"/>
  <c r="AG88" i="81"/>
  <c r="D89" i="66" s="1"/>
  <c r="F89" i="66" s="1"/>
  <c r="AG87" i="81"/>
  <c r="D88" i="66" s="1"/>
  <c r="F88" i="66" s="1"/>
  <c r="AG86" i="81"/>
  <c r="D87" i="66" s="1"/>
  <c r="F87" i="66" s="1"/>
  <c r="AG85" i="81"/>
  <c r="D86" i="66" s="1"/>
  <c r="F86" i="66" s="1"/>
  <c r="AG83" i="81"/>
  <c r="D84" i="66" s="1"/>
  <c r="F84" i="66" s="1"/>
  <c r="AG81" i="81"/>
  <c r="D82" i="66" s="1"/>
  <c r="F82" i="66" s="1"/>
  <c r="AG78" i="81"/>
  <c r="D79" i="66" s="1"/>
  <c r="F79" i="66" s="1"/>
  <c r="AG76" i="81"/>
  <c r="D77" i="66" s="1"/>
  <c r="F77" i="66" s="1"/>
  <c r="AG74" i="81"/>
  <c r="D75" i="66" s="1"/>
  <c r="F75" i="66" s="1"/>
  <c r="AG73" i="81"/>
  <c r="D74" i="66" s="1"/>
  <c r="F74" i="66" s="1"/>
  <c r="AG72" i="81"/>
  <c r="D73" i="66" s="1"/>
  <c r="F73" i="66" s="1"/>
  <c r="AG68" i="81"/>
  <c r="D69" i="66" s="1"/>
  <c r="F69" i="66" s="1"/>
  <c r="AG64" i="81"/>
  <c r="D65" i="66" s="1"/>
  <c r="F65" i="66" s="1"/>
  <c r="AG63" i="81"/>
  <c r="D64" i="66" s="1"/>
  <c r="F64" i="66" s="1"/>
  <c r="AG62" i="81"/>
  <c r="D63" i="66" s="1"/>
  <c r="F63" i="66" s="1"/>
  <c r="AG61" i="81"/>
  <c r="D62" i="66" s="1"/>
  <c r="F62" i="66" s="1"/>
  <c r="AG60" i="81"/>
  <c r="D61" i="66" s="1"/>
  <c r="F61" i="66" s="1"/>
  <c r="AG59" i="81"/>
  <c r="D60" i="66" s="1"/>
  <c r="F60" i="66" s="1"/>
  <c r="AG58" i="81"/>
  <c r="D59" i="66" s="1"/>
  <c r="F59" i="66" s="1"/>
  <c r="AG57" i="81"/>
  <c r="D58" i="66" s="1"/>
  <c r="F58" i="66" s="1"/>
  <c r="AG56" i="81"/>
  <c r="D57" i="66" s="1"/>
  <c r="F57" i="66" s="1"/>
  <c r="AG55" i="81"/>
  <c r="D56" i="66" s="1"/>
  <c r="F56" i="66" s="1"/>
  <c r="AG54" i="81"/>
  <c r="D55" i="66" s="1"/>
  <c r="F55" i="66" s="1"/>
  <c r="AG52" i="81"/>
  <c r="D53" i="66" s="1"/>
  <c r="F53" i="66" s="1"/>
  <c r="AG51" i="81"/>
  <c r="D52" i="66" s="1"/>
  <c r="F52" i="66" s="1"/>
  <c r="AG50" i="81"/>
  <c r="D51" i="66" s="1"/>
  <c r="F51" i="66" s="1"/>
  <c r="AG49" i="81"/>
  <c r="D50" i="66" s="1"/>
  <c r="F50" i="66" s="1"/>
  <c r="AG47" i="81"/>
  <c r="D48" i="66" s="1"/>
  <c r="F48" i="66" s="1"/>
  <c r="AG46" i="81"/>
  <c r="D47" i="66" s="1"/>
  <c r="F47" i="66" s="1"/>
  <c r="AG44" i="81"/>
  <c r="D45" i="66" s="1"/>
  <c r="F45" i="66" s="1"/>
  <c r="AG41" i="81"/>
  <c r="D42" i="66" s="1"/>
  <c r="F42" i="66" s="1"/>
  <c r="AG39" i="81"/>
  <c r="D40" i="66" s="1"/>
  <c r="F40" i="66" s="1"/>
  <c r="AG38" i="81"/>
  <c r="D39" i="66" s="1"/>
  <c r="F39" i="66" s="1"/>
  <c r="AG37" i="81"/>
  <c r="D38" i="66" s="1"/>
  <c r="F38" i="66" s="1"/>
  <c r="AG36" i="81"/>
  <c r="D37" i="66" s="1"/>
  <c r="F37" i="66" s="1"/>
  <c r="AG35" i="81"/>
  <c r="D36" i="66" s="1"/>
  <c r="F36" i="66" s="1"/>
  <c r="AG33" i="81"/>
  <c r="D34" i="66" s="1"/>
  <c r="F34" i="66" s="1"/>
  <c r="AG32" i="81"/>
  <c r="D33" i="66" s="1"/>
  <c r="F33" i="66" s="1"/>
  <c r="AG31" i="81"/>
  <c r="D32" i="66" s="1"/>
  <c r="F32" i="66" s="1"/>
  <c r="AG30" i="81"/>
  <c r="D31" i="66" s="1"/>
  <c r="F31" i="66" s="1"/>
  <c r="AG27" i="81"/>
  <c r="D28" i="66" s="1"/>
  <c r="F28" i="66" s="1"/>
  <c r="AG26" i="81"/>
  <c r="D27" i="66" s="1"/>
  <c r="F27" i="66" s="1"/>
  <c r="AG24" i="81"/>
  <c r="D25" i="66" s="1"/>
  <c r="F25" i="66" s="1"/>
  <c r="AG22" i="81"/>
  <c r="D23" i="66" s="1"/>
  <c r="F23" i="66" s="1"/>
  <c r="AG21" i="81"/>
  <c r="D22" i="66" s="1"/>
  <c r="F22" i="66" s="1"/>
  <c r="AG20" i="81"/>
  <c r="D21" i="66" s="1"/>
  <c r="F21" i="66" s="1"/>
  <c r="AG19" i="81"/>
  <c r="D20" i="66" s="1"/>
  <c r="F20" i="66" s="1"/>
  <c r="AG16" i="81"/>
  <c r="D17" i="66" s="1"/>
  <c r="F17" i="66" s="1"/>
  <c r="AG15" i="81"/>
  <c r="D16" i="66" s="1"/>
  <c r="F16" i="66" s="1"/>
  <c r="AG12" i="81"/>
  <c r="D13" i="66" s="1"/>
  <c r="F13" i="66" s="1"/>
  <c r="AG10" i="81"/>
  <c r="D11" i="66" s="1"/>
  <c r="F11" i="66" s="1"/>
  <c r="AG125" i="81"/>
  <c r="D126" i="66" s="1"/>
  <c r="F126" i="66" s="1"/>
  <c r="AG122" i="81"/>
  <c r="D123" i="66" s="1"/>
  <c r="F123" i="66" s="1"/>
  <c r="AG115" i="81"/>
  <c r="D116" i="66" s="1"/>
  <c r="F116" i="66" s="1"/>
  <c r="AG120" i="81"/>
  <c r="D121" i="66" s="1"/>
  <c r="F121" i="66" s="1"/>
  <c r="AG114" i="81"/>
  <c r="D115" i="66" s="1"/>
  <c r="F115" i="66" s="1"/>
  <c r="AG112" i="81"/>
  <c r="D113" i="66" s="1"/>
  <c r="F113" i="66" s="1"/>
  <c r="AG108" i="81"/>
  <c r="D109" i="66" s="1"/>
  <c r="F109" i="66" s="1"/>
  <c r="AG107" i="81"/>
  <c r="D108" i="66" s="1"/>
  <c r="F108" i="66" s="1"/>
  <c r="AG127" i="81"/>
  <c r="D128" i="66" s="1"/>
  <c r="F128" i="66" s="1"/>
  <c r="AG118" i="81"/>
  <c r="D119" i="66" s="1"/>
  <c r="F119" i="66" s="1"/>
  <c r="AG100" i="81"/>
  <c r="D101" i="66" s="1"/>
  <c r="F101" i="66" s="1"/>
  <c r="AG66" i="81"/>
  <c r="D67" i="66" s="1"/>
  <c r="F67" i="66" s="1"/>
  <c r="AG124" i="81"/>
  <c r="D125" i="66" s="1"/>
  <c r="F125" i="66" s="1"/>
  <c r="AG119" i="81"/>
  <c r="D120" i="66" s="1"/>
  <c r="F120" i="66" s="1"/>
  <c r="AG104" i="81"/>
  <c r="D105" i="66" s="1"/>
  <c r="F105" i="66" s="1"/>
  <c r="AG103" i="81"/>
  <c r="D104" i="66" s="1"/>
  <c r="F104" i="66" s="1"/>
  <c r="AG128" i="81"/>
  <c r="D129" i="66" s="1"/>
  <c r="F129" i="66" s="1"/>
  <c r="AG121" i="81"/>
  <c r="D122" i="66" s="1"/>
  <c r="F122" i="66" s="1"/>
  <c r="AG80" i="81"/>
  <c r="D81" i="66" s="1"/>
  <c r="F81" i="66" s="1"/>
  <c r="AG71" i="81"/>
  <c r="D72" i="66" s="1"/>
  <c r="F72" i="66" s="1"/>
  <c r="AG69" i="81"/>
  <c r="D70" i="66" s="1"/>
  <c r="F70" i="66" s="1"/>
  <c r="AG43" i="81"/>
  <c r="D44" i="66" s="1"/>
  <c r="F44" i="66" s="1"/>
  <c r="AG40" i="81"/>
  <c r="D41" i="66" s="1"/>
  <c r="F41" i="66" s="1"/>
  <c r="AG25" i="81"/>
  <c r="D26" i="66" s="1"/>
  <c r="F26" i="66" s="1"/>
  <c r="AG13" i="81"/>
  <c r="D14" i="66" s="1"/>
  <c r="F14" i="66" s="1"/>
  <c r="AG11" i="81"/>
  <c r="D12" i="66" s="1"/>
  <c r="F12" i="66" s="1"/>
  <c r="AG9" i="81"/>
  <c r="D10" i="66" s="1"/>
  <c r="F10" i="66" s="1"/>
  <c r="F99" i="66"/>
  <c r="F97" i="66"/>
  <c r="F85" i="66"/>
  <c r="F78" i="66"/>
  <c r="F76" i="66"/>
  <c r="F68" i="66"/>
  <c r="F66" i="66"/>
  <c r="F54" i="66"/>
  <c r="F49" i="66"/>
  <c r="F46" i="66"/>
  <c r="F30" i="66"/>
  <c r="F29" i="66"/>
  <c r="F24" i="66"/>
  <c r="F55" i="81" l="1"/>
  <c r="F91" i="81"/>
  <c r="F20" i="81"/>
  <c r="F21" i="81"/>
  <c r="F73" i="81"/>
  <c r="F127" i="81"/>
  <c r="F22" i="81"/>
  <c r="F40" i="81"/>
  <c r="F46" i="81"/>
  <c r="F58" i="81"/>
  <c r="F70" i="81"/>
  <c r="F82" i="81"/>
  <c r="F88" i="81"/>
  <c r="F94" i="81"/>
  <c r="F100" i="81"/>
  <c r="F106" i="81"/>
  <c r="F112" i="81"/>
  <c r="F118" i="81"/>
  <c r="F124" i="81"/>
  <c r="F67" i="81"/>
  <c r="F115" i="81"/>
  <c r="F10" i="81"/>
  <c r="F16" i="81"/>
  <c r="F28" i="81"/>
  <c r="F34" i="81"/>
  <c r="F52" i="81"/>
  <c r="F64" i="81"/>
  <c r="F76" i="81"/>
  <c r="F31" i="81"/>
  <c r="F23" i="81"/>
  <c r="F35" i="81"/>
  <c r="F41" i="81"/>
  <c r="F59" i="81"/>
  <c r="F71" i="81"/>
  <c r="F77" i="81"/>
  <c r="F83" i="81"/>
  <c r="F89" i="81"/>
  <c r="F95" i="81"/>
  <c r="F101" i="81"/>
  <c r="F107" i="81"/>
  <c r="F113" i="81"/>
  <c r="F119" i="81"/>
  <c r="F125" i="81"/>
  <c r="F37" i="81"/>
  <c r="F85" i="81"/>
  <c r="F11" i="81"/>
  <c r="F17" i="81"/>
  <c r="F29" i="81"/>
  <c r="F47" i="81"/>
  <c r="F53" i="81"/>
  <c r="F65" i="81"/>
  <c r="F25" i="81"/>
  <c r="F12" i="81"/>
  <c r="F18" i="81"/>
  <c r="F24" i="81"/>
  <c r="F30" i="81"/>
  <c r="F36" i="81"/>
  <c r="F42" i="81"/>
  <c r="F48" i="81"/>
  <c r="F54" i="81"/>
  <c r="F60" i="81"/>
  <c r="F66" i="81"/>
  <c r="F72" i="81"/>
  <c r="F78" i="81"/>
  <c r="F84" i="81"/>
  <c r="F90" i="81"/>
  <c r="F96" i="81"/>
  <c r="F102" i="81"/>
  <c r="F108" i="81"/>
  <c r="F114" i="81"/>
  <c r="F120" i="81"/>
  <c r="F126" i="81"/>
  <c r="F19" i="81"/>
  <c r="F49" i="81"/>
  <c r="F79" i="81"/>
  <c r="F109" i="81"/>
  <c r="F26" i="81"/>
  <c r="F38" i="81"/>
  <c r="F44" i="81"/>
  <c r="F50" i="81"/>
  <c r="F62" i="81"/>
  <c r="F68" i="81"/>
  <c r="F74" i="81"/>
  <c r="F80" i="81"/>
  <c r="F86" i="81"/>
  <c r="F92" i="81"/>
  <c r="F98" i="81"/>
  <c r="F104" i="81"/>
  <c r="F110" i="81"/>
  <c r="F116" i="81"/>
  <c r="F122" i="81"/>
  <c r="F128" i="81"/>
  <c r="F13" i="81"/>
  <c r="F61" i="81"/>
  <c r="F103" i="81"/>
  <c r="F14" i="81"/>
  <c r="F32" i="81"/>
  <c r="F56" i="81"/>
  <c r="D130" i="66"/>
  <c r="F43" i="81"/>
  <c r="F97" i="81"/>
  <c r="F121" i="81"/>
  <c r="F9" i="81"/>
  <c r="F15" i="81"/>
  <c r="F27" i="81"/>
  <c r="F33" i="81"/>
  <c r="F39" i="81"/>
  <c r="F45" i="81"/>
  <c r="F51" i="81"/>
  <c r="F57" i="81"/>
  <c r="F63" i="81"/>
  <c r="F69" i="81"/>
  <c r="F75" i="81"/>
  <c r="F81" i="81"/>
  <c r="F87" i="81"/>
  <c r="F93" i="81"/>
  <c r="F99" i="81"/>
  <c r="F105" i="81"/>
  <c r="F111" i="81"/>
  <c r="F117" i="81"/>
  <c r="F123" i="81"/>
  <c r="F130" i="66" l="1"/>
  <c r="G130" i="66" s="1"/>
  <c r="E130" i="66" l="1"/>
  <c r="D36" i="17" l="1"/>
  <c r="C36" i="17"/>
  <c r="D33" i="17"/>
  <c r="C33" i="17"/>
  <c r="D30" i="17"/>
  <c r="C30" i="17"/>
  <c r="D27" i="17"/>
  <c r="C27" i="17"/>
  <c r="D24" i="17"/>
  <c r="C24" i="17"/>
  <c r="D21" i="17"/>
  <c r="C21" i="17"/>
  <c r="D18" i="17"/>
  <c r="C18" i="17"/>
  <c r="D15" i="17"/>
  <c r="C15" i="17"/>
  <c r="D12" i="17"/>
  <c r="C12" i="17"/>
  <c r="D9" i="17"/>
  <c r="C9" i="17"/>
  <c r="D6" i="17"/>
  <c r="C6" i="17"/>
  <c r="D3" i="17"/>
  <c r="C3" i="1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A3E0D4-DE08-44C9-9D2A-53EBE165255F}" keepAlive="1" name="Consulta - PROD1" description="Conexión a la consulta 'PROD1' en el libro." type="5" refreshedVersion="0" background="1">
    <dbPr connection="Provider=Microsoft.Mashup.OleDb.1;Data Source=$Workbook$;Location=PROD1;Extended Properties=&quot;&quot;" command="SELECT * FROM [PROD1]"/>
  </connection>
  <connection id="2" xr16:uid="{5FA8A21C-641D-4A93-B889-E6ADF802C5DA}" keepAlive="1" name="Consulta - PROD10" description="Conexión a la consulta 'PROD10' en el libro." type="5" refreshedVersion="0" background="1">
    <dbPr connection="Provider=Microsoft.Mashup.OleDb.1;Data Source=$Workbook$;Location=PROD10;Extended Properties=&quot;&quot;" command="SELECT * FROM [PROD10]"/>
  </connection>
  <connection id="3" xr16:uid="{F446239A-AC23-475C-904C-54486C698534}" keepAlive="1" name="Consulta - PROD2" description="Conexión a la consulta 'PROD2' en el libro." type="5" refreshedVersion="0" background="1">
    <dbPr connection="Provider=Microsoft.Mashup.OleDb.1;Data Source=$Workbook$;Location=PROD2;Extended Properties=&quot;&quot;" command="SELECT * FROM [PROD2]"/>
  </connection>
  <connection id="4" xr16:uid="{FCF87F2C-C9BF-4B14-B85C-61AF1DCA3940}" keepAlive="1" name="Consulta - PROD3" description="Conexión a la consulta 'PROD3' en el libro." type="5" refreshedVersion="0" background="1">
    <dbPr connection="Provider=Microsoft.Mashup.OleDb.1;Data Source=$Workbook$;Location=PROD3;Extended Properties=&quot;&quot;" command="SELECT * FROM [PROD3]"/>
  </connection>
  <connection id="5" xr16:uid="{B8FA39C5-8B46-4D46-BBED-BA548A17F249}" keepAlive="1" name="Consulta - PROD4" description="Conexión a la consulta 'PROD4' en el libro." type="5" refreshedVersion="0" background="1">
    <dbPr connection="Provider=Microsoft.Mashup.OleDb.1;Data Source=$Workbook$;Location=PROD4;Extended Properties=&quot;&quot;" command="SELECT * FROM [PROD4]"/>
  </connection>
  <connection id="6" xr16:uid="{8C8475CF-9379-4D48-822D-C7D5A52F38A9}" keepAlive="1" name="Consulta - PROD5" description="Conexión a la consulta 'PROD5' en el libro." type="5" refreshedVersion="0" background="1">
    <dbPr connection="Provider=Microsoft.Mashup.OleDb.1;Data Source=$Workbook$;Location=PROD5;Extended Properties=&quot;&quot;" command="SELECT * FROM [PROD5]"/>
  </connection>
  <connection id="7" xr16:uid="{7DD54380-FFD8-4E45-BA62-06FEF9DCA097}" keepAlive="1" name="Consulta - PROD6" description="Conexión a la consulta 'PROD6' en el libro." type="5" refreshedVersion="0" background="1">
    <dbPr connection="Provider=Microsoft.Mashup.OleDb.1;Data Source=$Workbook$;Location=PROD6;Extended Properties=&quot;&quot;" command="SELECT * FROM [PROD6]"/>
  </connection>
  <connection id="8" xr16:uid="{FE6BB54F-53B2-405E-B85A-7B6473ADB1E6}" keepAlive="1" name="Consulta - PROD7" description="Conexión a la consulta 'PROD7' en el libro." type="5" refreshedVersion="0" background="1">
    <dbPr connection="Provider=Microsoft.Mashup.OleDb.1;Data Source=$Workbook$;Location=PROD7;Extended Properties=&quot;&quot;" command="SELECT * FROM [PROD7]"/>
  </connection>
  <connection id="9" xr16:uid="{667A10F4-3319-41ED-B3C6-4E8B7406CD07}" keepAlive="1" name="Consulta - PROD8" description="Conexión a la consulta 'PROD8' en el libro." type="5" refreshedVersion="0" background="1">
    <dbPr connection="Provider=Microsoft.Mashup.OleDb.1;Data Source=$Workbook$;Location=PROD8;Extended Properties=&quot;&quot;" command="SELECT * FROM [PROD8]"/>
  </connection>
  <connection id="10" xr16:uid="{2BFA1283-5640-4897-BBF8-72575EEB46AF}" keepAlive="1" name="Consulta - PROD9" description="Conexión a la consulta 'PROD9' en el libro." type="5" refreshedVersion="0" background="1">
    <dbPr connection="Provider=Microsoft.Mashup.OleDb.1;Data Source=$Workbook$;Location=PROD9;Extended Properties=&quot;&quot;" command="SELECT * FROM [PROD9]"/>
  </connection>
  <connection id="11" xr16:uid="{65868055-7E64-477C-B9B1-1ADC21CEF35A}" keepAlive="1" name="Consulta - RESUMEN" description="Conexión a la consulta 'RESUMEN' en el libro." type="5" refreshedVersion="7" background="1" saveData="1">
    <dbPr connection="Provider=Microsoft.Mashup.OleDb.1;Data Source=$Workbook$;Location=RESUMEN;Extended Properties=&quot;&quot;" command="SELECT * FROM [RESUMEN]"/>
  </connection>
  <connection id="12" xr16:uid="{E5DB1A28-8BB4-4A7D-88F0-7F5321FB06EF}" keepAlive="1" name="Consulta - TIPO" description="Conexión a la consulta 'TIPO' en el libro." type="5" refreshedVersion="0" background="1">
    <dbPr connection="Provider=Microsoft.Mashup.OleDb.1;Data Source=$Workbook$;Location=TIPO;Extended Properties=&quot;&quot;" command="SELECT * FROM [TIPO]"/>
  </connection>
</connections>
</file>

<file path=xl/sharedStrings.xml><?xml version="1.0" encoding="utf-8"?>
<sst xmlns="http://schemas.openxmlformats.org/spreadsheetml/2006/main" count="240" uniqueCount="61">
  <si>
    <t>CANTIDAD EN:</t>
  </si>
  <si>
    <t>KWh</t>
  </si>
  <si>
    <t>MODALIDAD:</t>
  </si>
  <si>
    <t>PAGUE LO CONTRATADO</t>
  </si>
  <si>
    <t>OFERENTE:</t>
  </si>
  <si>
    <t>MES DE SUMINISTRO</t>
  </si>
  <si>
    <t xml:space="preserve">ENERGÍA SOLICITADA (KWh) </t>
  </si>
  <si>
    <t>% ENERGÍA OFRECIDA</t>
  </si>
  <si>
    <t>ENERGÍA OFRECIDA (KWh)</t>
  </si>
  <si>
    <t>PRECIO OFERTADO ($/KWh)</t>
  </si>
  <si>
    <t>TOTAL</t>
  </si>
  <si>
    <t>Nota</t>
  </si>
  <si>
    <t>2. La energia ofertada se despachara conforme a las cantidades horarias de este anexo</t>
  </si>
  <si>
    <t>XXXXXXXXXXXXXXXXXXXXXXXX</t>
  </si>
  <si>
    <t>REPRESENTANTE LEGAL</t>
  </si>
  <si>
    <t xml:space="preserve">XXXXXXXXXXXXXXXXXXXXXX S.A E.S.P </t>
  </si>
  <si>
    <t>CUADRO DE CANTIDADES HORARIAS OFRECIDAS</t>
  </si>
  <si>
    <t xml:space="preserve"> CANTIDADES DE ENERGIA (KWh)  - PRODUCTO 1</t>
  </si>
  <si>
    <t>Cantidad Ofrecida</t>
  </si>
  <si>
    <t>N° días
mes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</si>
  <si>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</si>
  <si>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</si>
  <si>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</si>
  <si>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</si>
  <si>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</si>
  <si>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</si>
  <si>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</si>
  <si>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</si>
  <si>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</si>
  <si>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</si>
  <si>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</si>
  <si>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</si>
  <si>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</si>
  <si>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</si>
  <si>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</si>
  <si>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</si>
  <si>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</si>
  <si>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</si>
  <si>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</si>
  <si>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</si>
  <si>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</si>
  <si>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</si>
  <si>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</si>
  <si>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</si>
  <si>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Cuenta de TIPO</t>
  </si>
  <si>
    <t>MES</t>
  </si>
  <si>
    <t>TIPO</t>
  </si>
  <si>
    <t>1ORD</t>
  </si>
  <si>
    <t>2SÁB</t>
  </si>
  <si>
    <t>3FES</t>
  </si>
  <si>
    <t>tipo día</t>
  </si>
  <si>
    <t>Habil</t>
  </si>
  <si>
    <t>Sabado</t>
  </si>
  <si>
    <t>Festivo</t>
  </si>
  <si>
    <t>CURVA ACTUALIZADA CON DEMANDAS PROYECCION DEMANDA REGULADA MATRICIAL 2014 (Enero 2014)</t>
  </si>
  <si>
    <t>1. $/kWh expresados en pesos de Diciembre de 2024-Indexación anual</t>
  </si>
  <si>
    <t>CP-GNCC2025-003</t>
  </si>
  <si>
    <t>CP-GNCC2025-003-PROD01</t>
  </si>
  <si>
    <t>Tipo de dia</t>
  </si>
  <si>
    <t>TO</t>
  </si>
  <si>
    <t>TO:  Todos los dias ordinario, sabado, domingos y/o festivos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</si>
</sst>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-* #,##0_-;\-* #,##0_-;_-* &quot;-&quot;_-;_-@_-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(&quot;$&quot;\ * #,##0_);_(&quot;$&quot;\ * \(#,##0\);_(&quot;$&quot;\ * &quot;-&quot;_);_(@_)"/>
    <numFmt numFmtId="166" formatCode="_(&quot;$&quot;\ * #,##0.00_);_(&quot;$&quot;\ * \(#,##0.00\);_(&quot;$&quot;\ * &quot;-&quot;??_);_(@_)"/>
    <numFmt numFmtId="167" formatCode="_(* #,##0.00_);_(* \(#,##0.00\);_(* &quot;-&quot;??_);_(@_)"/>
    <numFmt numFmtId="168" formatCode="_ * #,##0.00_ ;_ * \-#,##0.00_ ;_ * &quot;-&quot;??_ ;_ @_ "/>
    <numFmt numFmtId="169" formatCode="#0"/>
    <numFmt numFmtId="170" formatCode="_ * #,##0_ ;_ * \-#,##0_ ;_ * &quot;-&quot;??_ ;_ @_ "/>
    <numFmt numFmtId="171" formatCode="_(* #,##0_);_(* \(#,##0\);_(* &quot;-&quot;??_);_(@_)"/>
    <numFmt numFmtId="172" formatCode="_ * #,##0.00000_ ;_ * \-#,##0.00000_ ;_ * &quot;-&quot;??_ ;_ @_ "/>
    <numFmt numFmtId="173" formatCode="#,##0_ ;\-#,##0\ "/>
    <numFmt numFmtId="174" formatCode="[$-C0A]mmm\-yy;@"/>
    <numFmt numFmtId="175" formatCode="#,##0.0000"/>
  </numFmts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sz val="11"/>
      <name val="Frutiger CE 55 Roman"/>
    </font>
    <font>
      <b/>
      <sz val="11"/>
      <name val="Frutiger CE 55 Roman"/>
    </font>
    <font>
      <b/>
      <sz val="11"/>
      <color indexed="9"/>
      <name val="Frutiger CE 55 Roman"/>
    </font>
    <font>
      <b/>
      <sz val="18"/>
      <name val="Frutiger CE 55 Roman"/>
    </font>
    <font>
      <sz val="18"/>
      <name val="Frutiger CE 55 Roman"/>
    </font>
    <font>
      <b/>
      <sz val="18"/>
      <color indexed="10"/>
      <name val="Frutiger CE 55 Roman"/>
    </font>
    <font>
      <b/>
      <sz val="10"/>
      <name val="Arial"/>
      <family val="2"/>
    </font>
    <font>
      <b/>
      <sz val="13"/>
      <name val="Frutiger CE 55 Roman"/>
    </font>
    <font>
      <sz val="13"/>
      <name val="Frutiger CE 55 Roman"/>
    </font>
    <font>
      <sz val="13"/>
      <color indexed="10"/>
      <name val="Frutiger CE 55 Roman"/>
    </font>
    <font>
      <i/>
      <sz val="13"/>
      <name val="Frutiger CE 55 Roman"/>
    </font>
    <font>
      <sz val="10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Frutiger CE 55 Roman"/>
    </font>
    <font>
      <b/>
      <sz val="13"/>
      <color theme="0"/>
      <name val="Frutiger CE 55 Roman"/>
    </font>
    <font>
      <sz val="10"/>
      <name val="Arial"/>
      <family val="2"/>
    </font>
    <font>
      <b/>
      <sz val="12"/>
      <color theme="0"/>
      <name val="Frutiger CE 55 Roman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22"/>
      </bottom>
      <diagonal/>
    </border>
    <border>
      <left style="dotted">
        <color indexed="64"/>
      </left>
      <right style="dotted">
        <color indexed="64"/>
      </right>
      <top style="hair">
        <color indexed="22"/>
      </top>
      <bottom style="hair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168" fontId="2" fillId="0" borderId="0" applyFont="0" applyFill="0" applyBorder="0" applyAlignment="0" applyProtection="0"/>
    <xf numFmtId="41" fontId="21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5" fillId="0" borderId="0" applyFont="0" applyFill="0" applyBorder="0" applyAlignment="0" applyProtection="0"/>
    <xf numFmtId="175" fontId="17" fillId="0" borderId="0" applyFont="0" applyFill="0" applyBorder="0" applyAlignment="0" applyProtection="0"/>
    <xf numFmtId="43" fontId="19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43" fontId="21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5" fillId="0" borderId="0" applyFont="0" applyFill="0" applyBorder="0" applyAlignment="0" applyProtection="0"/>
    <xf numFmtId="164" fontId="2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7" fillId="0" borderId="0"/>
    <xf numFmtId="0" fontId="19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21" fillId="0" borderId="0"/>
    <xf numFmtId="0" fontId="19" fillId="0" borderId="0"/>
    <xf numFmtId="0" fontId="3" fillId="0" borderId="0"/>
    <xf numFmtId="0" fontId="4" fillId="0" borderId="0"/>
    <xf numFmtId="166" fontId="20" fillId="4" borderId="1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168" fontId="0" fillId="0" borderId="0" xfId="1" applyFont="1"/>
    <xf numFmtId="0" fontId="0" fillId="0" borderId="2" xfId="0" applyBorder="1"/>
    <xf numFmtId="0" fontId="0" fillId="0" borderId="2" xfId="0" applyBorder="1" applyAlignment="1">
      <alignment horizontal="center"/>
    </xf>
    <xf numFmtId="172" fontId="0" fillId="0" borderId="0" xfId="1" applyNumberFormat="1" applyFont="1"/>
    <xf numFmtId="172" fontId="0" fillId="0" borderId="0" xfId="0" applyNumberFormat="1"/>
    <xf numFmtId="168" fontId="12" fillId="0" borderId="0" xfId="1" applyFont="1"/>
    <xf numFmtId="0" fontId="7" fillId="2" borderId="4" xfId="32" applyFont="1" applyFill="1" applyBorder="1" applyAlignment="1" applyProtection="1">
      <alignment horizontal="center" vertical="center" wrapText="1"/>
      <protection locked="0"/>
    </xf>
    <xf numFmtId="0" fontId="7" fillId="2" borderId="5" xfId="32" applyFont="1" applyFill="1" applyBorder="1" applyAlignment="1" applyProtection="1">
      <alignment horizontal="center" vertical="center" wrapText="1"/>
      <protection locked="0"/>
    </xf>
    <xf numFmtId="0" fontId="7" fillId="2" borderId="6" xfId="32" applyFont="1" applyFill="1" applyBorder="1" applyAlignment="1" applyProtection="1">
      <alignment horizontal="center" vertical="center" wrapText="1"/>
      <protection locked="0"/>
    </xf>
    <xf numFmtId="0" fontId="7" fillId="2" borderId="7" xfId="32" applyFont="1" applyFill="1" applyBorder="1" applyAlignment="1" applyProtection="1">
      <alignment horizontal="center" vertical="center" wrapText="1"/>
      <protection locked="0"/>
    </xf>
    <xf numFmtId="0" fontId="7" fillId="2" borderId="8" xfId="32" applyFont="1" applyFill="1" applyBorder="1" applyAlignment="1" applyProtection="1">
      <alignment horizontal="center" vertical="center" wrapText="1"/>
      <protection locked="0"/>
    </xf>
    <xf numFmtId="0" fontId="7" fillId="2" borderId="9" xfId="32" applyFont="1" applyFill="1" applyBorder="1" applyAlignment="1" applyProtection="1">
      <alignment horizontal="center" vertical="center" wrapText="1"/>
      <protection locked="0"/>
    </xf>
    <xf numFmtId="0" fontId="7" fillId="2" borderId="10" xfId="32" applyFont="1" applyFill="1" applyBorder="1" applyAlignment="1" applyProtection="1">
      <alignment horizontal="center" vertical="center" wrapText="1"/>
      <protection locked="0"/>
    </xf>
    <xf numFmtId="0" fontId="13" fillId="2" borderId="0" xfId="33" applyFont="1" applyFill="1" applyAlignment="1">
      <alignment vertical="top"/>
    </xf>
    <xf numFmtId="0" fontId="13" fillId="2" borderId="0" xfId="33" applyFont="1" applyFill="1" applyAlignment="1">
      <alignment vertical="center"/>
    </xf>
    <xf numFmtId="0" fontId="14" fillId="2" borderId="0" xfId="33" applyFont="1" applyFill="1" applyAlignment="1">
      <alignment vertical="top"/>
    </xf>
    <xf numFmtId="0" fontId="14" fillId="2" borderId="0" xfId="33" applyFont="1" applyFill="1"/>
    <xf numFmtId="0" fontId="13" fillId="2" borderId="0" xfId="32" applyFont="1" applyFill="1" applyAlignment="1">
      <alignment horizontal="left"/>
    </xf>
    <xf numFmtId="4" fontId="13" fillId="2" borderId="0" xfId="32" applyNumberFormat="1" applyFont="1" applyFill="1" applyAlignment="1">
      <alignment horizontal="left"/>
    </xf>
    <xf numFmtId="0" fontId="13" fillId="2" borderId="0" xfId="33" applyFont="1" applyFill="1"/>
    <xf numFmtId="4" fontId="13" fillId="2" borderId="0" xfId="33" applyNumberFormat="1" applyFont="1" applyFill="1"/>
    <xf numFmtId="170" fontId="14" fillId="2" borderId="0" xfId="1" applyNumberFormat="1" applyFont="1" applyFill="1" applyProtection="1"/>
    <xf numFmtId="4" fontId="15" fillId="2" borderId="0" xfId="33" applyNumberFormat="1" applyFont="1" applyFill="1" applyAlignment="1">
      <alignment horizontal="center" vertical="center" wrapText="1"/>
    </xf>
    <xf numFmtId="0" fontId="14" fillId="0" borderId="0" xfId="33" applyFont="1"/>
    <xf numFmtId="0" fontId="14" fillId="0" borderId="0" xfId="33" applyFont="1" applyAlignment="1">
      <alignment horizontal="left" wrapText="1"/>
    </xf>
    <xf numFmtId="0" fontId="13" fillId="0" borderId="0" xfId="33" applyFont="1"/>
    <xf numFmtId="0" fontId="16" fillId="0" borderId="0" xfId="33" applyFont="1"/>
    <xf numFmtId="10" fontId="22" fillId="6" borderId="2" xfId="36" applyNumberFormat="1" applyFont="1" applyFill="1" applyBorder="1" applyAlignment="1" applyProtection="1">
      <alignment horizontal="center" vertical="center"/>
      <protection locked="0"/>
    </xf>
    <xf numFmtId="0" fontId="25" fillId="5" borderId="2" xfId="32" applyFont="1" applyFill="1" applyBorder="1" applyAlignment="1">
      <alignment horizontal="center" vertical="center" wrapText="1"/>
    </xf>
    <xf numFmtId="171" fontId="13" fillId="2" borderId="0" xfId="15" applyNumberFormat="1" applyFont="1" applyFill="1" applyBorder="1" applyProtection="1"/>
    <xf numFmtId="170" fontId="22" fillId="2" borderId="2" xfId="1" applyNumberFormat="1" applyFont="1" applyFill="1" applyBorder="1" applyProtection="1"/>
    <xf numFmtId="10" fontId="13" fillId="2" borderId="0" xfId="36" applyNumberFormat="1" applyFont="1" applyFill="1" applyBorder="1" applyAlignment="1" applyProtection="1">
      <alignment horizontal="center"/>
    </xf>
    <xf numFmtId="0" fontId="14" fillId="2" borderId="0" xfId="33" applyFont="1" applyFill="1" applyProtection="1">
      <protection locked="0"/>
    </xf>
    <xf numFmtId="4" fontId="13" fillId="2" borderId="0" xfId="33" applyNumberFormat="1" applyFont="1" applyFill="1" applyProtection="1">
      <protection locked="0"/>
    </xf>
    <xf numFmtId="0" fontId="8" fillId="3" borderId="12" xfId="32" applyFont="1" applyFill="1" applyBorder="1" applyAlignment="1" applyProtection="1">
      <alignment horizontal="center" vertical="center"/>
      <protection locked="0"/>
    </xf>
    <xf numFmtId="171" fontId="6" fillId="2" borderId="13" xfId="41" applyNumberFormat="1" applyFont="1" applyFill="1" applyBorder="1" applyAlignment="1" applyProtection="1">
      <alignment vertical="center"/>
      <protection locked="0"/>
    </xf>
    <xf numFmtId="171" fontId="7" fillId="2" borderId="14" xfId="41" applyNumberFormat="1" applyFont="1" applyFill="1" applyBorder="1" applyAlignment="1" applyProtection="1">
      <alignment vertical="center"/>
      <protection locked="0"/>
    </xf>
    <xf numFmtId="0" fontId="13" fillId="2" borderId="17" xfId="32" applyFont="1" applyFill="1" applyBorder="1" applyAlignment="1">
      <alignment horizontal="center" vertical="center"/>
    </xf>
    <xf numFmtId="171" fontId="13" fillId="2" borderId="17" xfId="15" applyNumberFormat="1" applyFont="1" applyFill="1" applyBorder="1" applyProtection="1"/>
    <xf numFmtId="10" fontId="13" fillId="2" borderId="17" xfId="36" applyNumberFormat="1" applyFont="1" applyFill="1" applyBorder="1" applyAlignment="1" applyProtection="1">
      <alignment horizontal="center"/>
    </xf>
    <xf numFmtId="0" fontId="23" fillId="5" borderId="2" xfId="32" applyFont="1" applyFill="1" applyBorder="1" applyAlignment="1">
      <alignment horizontal="center" vertical="center" wrapText="1"/>
    </xf>
    <xf numFmtId="174" fontId="13" fillId="2" borderId="2" xfId="32" applyNumberFormat="1" applyFont="1" applyFill="1" applyBorder="1" applyAlignment="1">
      <alignment horizontal="center" vertical="center"/>
    </xf>
    <xf numFmtId="0" fontId="16" fillId="0" borderId="0" xfId="33" applyFont="1" applyAlignment="1" applyProtection="1">
      <alignment horizontal="left" wrapText="1"/>
      <protection locked="0"/>
    </xf>
    <xf numFmtId="4" fontId="13" fillId="2" borderId="11" xfId="33" applyNumberFormat="1" applyFont="1" applyFill="1" applyBorder="1"/>
    <xf numFmtId="0" fontId="9" fillId="0" borderId="0" xfId="32" applyFont="1" applyAlignment="1" applyProtection="1">
      <alignment horizontal="left" vertical="center"/>
      <protection locked="0"/>
    </xf>
    <xf numFmtId="0" fontId="10" fillId="0" borderId="0" xfId="33" applyFont="1" applyAlignment="1" applyProtection="1">
      <alignment vertical="center"/>
      <protection locked="0"/>
    </xf>
    <xf numFmtId="3" fontId="11" fillId="0" borderId="0" xfId="32" applyNumberFormat="1" applyFont="1" applyAlignment="1" applyProtection="1">
      <alignment horizontal="left" vertical="center"/>
      <protection locked="0"/>
    </xf>
    <xf numFmtId="0" fontId="6" fillId="0" borderId="0" xfId="33" applyFont="1" applyAlignment="1" applyProtection="1">
      <alignment vertical="center"/>
      <protection locked="0"/>
    </xf>
    <xf numFmtId="168" fontId="11" fillId="0" borderId="0" xfId="1" applyFont="1" applyAlignment="1" applyProtection="1">
      <alignment horizontal="left" vertical="center"/>
      <protection locked="0"/>
    </xf>
    <xf numFmtId="168" fontId="10" fillId="0" borderId="0" xfId="1" applyFont="1" applyAlignment="1" applyProtection="1">
      <alignment vertical="center"/>
      <protection locked="0"/>
    </xf>
    <xf numFmtId="43" fontId="6" fillId="0" borderId="0" xfId="33" applyNumberFormat="1" applyFont="1" applyAlignment="1" applyProtection="1">
      <alignment vertical="center"/>
      <protection locked="0"/>
    </xf>
    <xf numFmtId="0" fontId="2" fillId="0" borderId="0" xfId="0" applyFont="1"/>
    <xf numFmtId="0" fontId="2" fillId="0" borderId="2" xfId="0" applyFont="1" applyBorder="1"/>
    <xf numFmtId="173" fontId="7" fillId="0" borderId="15" xfId="40" applyNumberFormat="1" applyFont="1" applyBorder="1" applyAlignment="1" applyProtection="1">
      <alignment horizontal="center" vertical="center"/>
      <protection locked="0"/>
    </xf>
    <xf numFmtId="17" fontId="8" fillId="3" borderId="18" xfId="33" applyNumberFormat="1" applyFont="1" applyFill="1" applyBorder="1" applyAlignment="1" applyProtection="1">
      <alignment horizontal="center" vertical="center"/>
      <protection locked="0"/>
    </xf>
    <xf numFmtId="169" fontId="7" fillId="0" borderId="0" xfId="32" applyNumberFormat="1" applyFont="1" applyAlignment="1" applyProtection="1">
      <alignment horizontal="center" vertical="center"/>
      <protection locked="0"/>
    </xf>
    <xf numFmtId="168" fontId="13" fillId="2" borderId="6" xfId="1" applyFont="1" applyFill="1" applyBorder="1" applyProtection="1"/>
    <xf numFmtId="0" fontId="13" fillId="2" borderId="0" xfId="32" applyFont="1" applyFill="1" applyAlignment="1">
      <alignment horizontal="center" vertical="center"/>
    </xf>
    <xf numFmtId="168" fontId="13" fillId="2" borderId="0" xfId="1" applyFont="1" applyFill="1" applyBorder="1" applyProtection="1"/>
    <xf numFmtId="0" fontId="7" fillId="2" borderId="19" xfId="32" applyFont="1" applyFill="1" applyBorder="1" applyAlignment="1" applyProtection="1">
      <alignment horizontal="center" vertical="center" wrapText="1"/>
      <protection locked="0"/>
    </xf>
    <xf numFmtId="0" fontId="26" fillId="0" borderId="0" xfId="0" applyFont="1"/>
    <xf numFmtId="0" fontId="13" fillId="2" borderId="0" xfId="33" applyFont="1" applyFill="1" applyAlignment="1">
      <alignment horizontal="center" vertical="center"/>
    </xf>
    <xf numFmtId="0" fontId="16" fillId="0" borderId="0" xfId="33" applyFont="1" applyAlignment="1" applyProtection="1">
      <alignment horizontal="left" wrapText="1"/>
      <protection locked="0"/>
    </xf>
    <xf numFmtId="166" fontId="22" fillId="6" borderId="2" xfId="35" applyFont="1" applyFill="1" applyBorder="1" applyAlignment="1" applyProtection="1">
      <alignment horizontal="center" vertical="center"/>
      <protection locked="0"/>
    </xf>
    <xf numFmtId="0" fontId="9" fillId="0" borderId="0" xfId="33" applyFont="1" applyAlignment="1" applyProtection="1">
      <alignment horizontal="center" vertical="center"/>
      <protection locked="0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43">
    <cellStyle name="Millares" xfId="1" builtinId="3"/>
    <cellStyle name="Millares [0] 2" xfId="2" xr:uid="{00000000-0005-0000-0000-000001000000}"/>
    <cellStyle name="Millares 10" xfId="3" xr:uid="{00000000-0005-0000-0000-000002000000}"/>
    <cellStyle name="Millares 11" xfId="4" xr:uid="{00000000-0005-0000-0000-000003000000}"/>
    <cellStyle name="Millares 12" xfId="5" xr:uid="{00000000-0005-0000-0000-000004000000}"/>
    <cellStyle name="Millares 2" xfId="6" xr:uid="{00000000-0005-0000-0000-000005000000}"/>
    <cellStyle name="Millares 2 2" xfId="40" xr:uid="{C4535CAD-B510-4F9C-BDB4-24FC3952C885}"/>
    <cellStyle name="Millares 3" xfId="7" xr:uid="{00000000-0005-0000-0000-000006000000}"/>
    <cellStyle name="Millares 4" xfId="8" xr:uid="{00000000-0005-0000-0000-000007000000}"/>
    <cellStyle name="Millares 4 2" xfId="9" xr:uid="{00000000-0005-0000-0000-000008000000}"/>
    <cellStyle name="Millares 5" xfId="10" xr:uid="{00000000-0005-0000-0000-000009000000}"/>
    <cellStyle name="Millares 6" xfId="11" xr:uid="{00000000-0005-0000-0000-00000A000000}"/>
    <cellStyle name="Millares 7" xfId="12" xr:uid="{00000000-0005-0000-0000-00000B000000}"/>
    <cellStyle name="Millares 8" xfId="13" xr:uid="{00000000-0005-0000-0000-00000C000000}"/>
    <cellStyle name="Millares 9" xfId="14" xr:uid="{00000000-0005-0000-0000-00000D000000}"/>
    <cellStyle name="Millares_DEMANDA COMERCIAL MR(2008-2009) 2 2" xfId="41" xr:uid="{84FEBE0B-726F-4E89-8C0C-1CCDAC1DEF4E}"/>
    <cellStyle name="Millares_PLIEGOS_GR-07-006" xfId="15" xr:uid="{00000000-0005-0000-0000-000010000000}"/>
    <cellStyle name="Moneda" xfId="35" builtinId="4"/>
    <cellStyle name="Moneda [0] 2" xfId="16" xr:uid="{00000000-0005-0000-0000-000011000000}"/>
    <cellStyle name="Moneda 2" xfId="17" xr:uid="{00000000-0005-0000-0000-000012000000}"/>
    <cellStyle name="Moneda 3" xfId="18" xr:uid="{00000000-0005-0000-0000-000013000000}"/>
    <cellStyle name="Moneda 4" xfId="19" xr:uid="{00000000-0005-0000-0000-000014000000}"/>
    <cellStyle name="Moneda 5" xfId="20" xr:uid="{00000000-0005-0000-0000-000015000000}"/>
    <cellStyle name="Moneda 6" xfId="21" xr:uid="{00000000-0005-0000-0000-000016000000}"/>
    <cellStyle name="Moneda 7" xfId="22" xr:uid="{00000000-0005-0000-0000-000017000000}"/>
    <cellStyle name="Moneda 8" xfId="23" xr:uid="{00000000-0005-0000-0000-000018000000}"/>
    <cellStyle name="Moneda 9" xfId="39" xr:uid="{AFB9D481-D75F-4DFA-A693-CA725493BB3F}"/>
    <cellStyle name="Normal" xfId="0" builtinId="0"/>
    <cellStyle name="Normal 2" xfId="24" xr:uid="{00000000-0005-0000-0000-00001A000000}"/>
    <cellStyle name="Normal 2 2 2" xfId="25" xr:uid="{00000000-0005-0000-0000-00001B000000}"/>
    <cellStyle name="Normal 2 2 2 2" xfId="26" xr:uid="{00000000-0005-0000-0000-00001C000000}"/>
    <cellStyle name="Normal 2 3 2" xfId="27" xr:uid="{00000000-0005-0000-0000-00001D000000}"/>
    <cellStyle name="Normal 3" xfId="28" xr:uid="{00000000-0005-0000-0000-00001E000000}"/>
    <cellStyle name="Normal 3 2" xfId="29" xr:uid="{00000000-0005-0000-0000-00001F000000}"/>
    <cellStyle name="Normal 4" xfId="30" xr:uid="{00000000-0005-0000-0000-000020000000}"/>
    <cellStyle name="Normal 5" xfId="31" xr:uid="{00000000-0005-0000-0000-000021000000}"/>
    <cellStyle name="Normal 6" xfId="37" xr:uid="{0B31D6B2-1DA3-4045-B6BF-0AF1E292263B}"/>
    <cellStyle name="Normal 7" xfId="42" xr:uid="{A61CEFDC-F97E-4F68-A712-7CAA996D650B}"/>
    <cellStyle name="Normal_ENE99" xfId="32" xr:uid="{00000000-0005-0000-0000-000022000000}"/>
    <cellStyle name="Normal_GC00-001" xfId="33" xr:uid="{00000000-0005-0000-0000-000023000000}"/>
    <cellStyle name="Opción" xfId="34" xr:uid="{00000000-0005-0000-0000-000024000000}"/>
    <cellStyle name="Porcentaje" xfId="36" builtinId="5"/>
    <cellStyle name="Porcentaje 2" xfId="38" xr:uid="{1D38ABE4-5A48-401C-9A62-33FE9D047EB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CO"/>
              <a:t>Curva típica de referencia 2009  [p.u.]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'curvas típicas de referencia'!#REF!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'curvas típicas de referencia'!#REF!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'curvas típicas de referencia'!#REF!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32F-4D05-B477-0D33C90AA502}"/>
            </c:ext>
          </c:extLst>
        </c:ser>
        <c:ser>
          <c:idx val="1"/>
          <c:order val="1"/>
          <c:tx>
            <c:v>'curvas típicas de referencia'!#REF!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'curvas típicas de referencia'!#REF!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'curvas típicas de referencia'!#REF!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332F-4D05-B477-0D33C90AA502}"/>
            </c:ext>
          </c:extLst>
        </c:ser>
        <c:ser>
          <c:idx val="2"/>
          <c:order val="2"/>
          <c:tx>
            <c:v>'curvas típicas de referencia'!#REF!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val>
            <c:numRef>
              <c:f>'curvas típicas de referencia'!#REF!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'curvas típicas de referencia'!#REF!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332F-4D05-B477-0D33C90AA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9426896"/>
        <c:axId val="1"/>
      </c:lineChart>
      <c:catAx>
        <c:axId val="1419426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#,##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4194268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printSettings>
    <c:headerFooter alignWithMargins="0"/>
    <c:pageMargins b="1" l="0.75" r="0.75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CO"/>
              <a:t>Curva típica de referencia 2010  [p.u.]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'curvas típicas de referencia'!#REF!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'curvas típicas de referencia'!#REF!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'curvas típicas de referencia'!#REF!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DCC0-452A-8A2D-29DC9241F481}"/>
            </c:ext>
          </c:extLst>
        </c:ser>
        <c:ser>
          <c:idx val="1"/>
          <c:order val="1"/>
          <c:tx>
            <c:v>'curvas típicas de referencia'!#REF!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'curvas típicas de referencia'!#REF!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'curvas típicas de referencia'!#REF!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DCC0-452A-8A2D-29DC9241F481}"/>
            </c:ext>
          </c:extLst>
        </c:ser>
        <c:ser>
          <c:idx val="2"/>
          <c:order val="2"/>
          <c:tx>
            <c:v>'curvas típicas de referencia'!#REF!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val>
            <c:numRef>
              <c:f>'curvas típicas de referencia'!#REF!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'curvas típicas de referencia'!#REF!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DCC0-452A-8A2D-29DC9241F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9436096"/>
        <c:axId val="1"/>
      </c:lineChart>
      <c:catAx>
        <c:axId val="1419436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#,##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4194360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9525</xdr:colOff>
      <xdr:row>0</xdr:row>
      <xdr:rowOff>0</xdr:rowOff>
    </xdr:to>
    <xdr:graphicFrame macro="">
      <xdr:nvGraphicFramePr>
        <xdr:cNvPr id="11879" name="Chart 1">
          <a:extLst>
            <a:ext uri="{FF2B5EF4-FFF2-40B4-BE49-F238E27FC236}">
              <a16:creationId xmlns:a16="http://schemas.microsoft.com/office/drawing/2014/main" id="{D59D3E89-6814-4CA2-8941-287393E1B9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0</xdr:row>
      <xdr:rowOff>0</xdr:rowOff>
    </xdr:from>
    <xdr:to>
      <xdr:col>16</xdr:col>
      <xdr:colOff>733425</xdr:colOff>
      <xdr:row>0</xdr:row>
      <xdr:rowOff>0</xdr:rowOff>
    </xdr:to>
    <xdr:graphicFrame macro="">
      <xdr:nvGraphicFramePr>
        <xdr:cNvPr id="11880" name="Chart 2">
          <a:extLst>
            <a:ext uri="{FF2B5EF4-FFF2-40B4-BE49-F238E27FC236}">
              <a16:creationId xmlns:a16="http://schemas.microsoft.com/office/drawing/2014/main" id="{14A02008-8B25-44AA-B7DB-8593368B8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11C7A-3C5E-42B3-9B6B-527A39553940}">
  <sheetPr codeName="Hoja5">
    <pageSetUpPr fitToPage="1"/>
  </sheetPr>
  <dimension ref="A1:IU142"/>
  <sheetViews>
    <sheetView showGridLines="0" tabSelected="1" zoomScale="85" zoomScaleNormal="85" zoomScaleSheetLayoutView="100" workbookViewId="0">
      <selection activeCell="C1" sqref="C1:G1"/>
    </sheetView>
  </sheetViews>
  <sheetFormatPr baseColWidth="10" defaultColWidth="0" defaultRowHeight="0" customHeight="1" zeroHeight="1" x14ac:dyDescent="0.3"/>
  <cols>
    <col min="1" max="1" width="5.44140625" style="18" customWidth="1"/>
    <col min="2" max="2" width="1" style="18" customWidth="1"/>
    <col min="3" max="3" width="19" style="18" customWidth="1"/>
    <col min="4" max="4" width="26.77734375" style="18" customWidth="1"/>
    <col min="5" max="5" width="19.5546875" style="18" customWidth="1"/>
    <col min="6" max="6" width="22.5546875" style="18" bestFit="1" customWidth="1"/>
    <col min="7" max="7" width="16.5546875" style="18" customWidth="1"/>
    <col min="8" max="8" width="1.44140625" style="18" customWidth="1"/>
    <col min="9" max="9" width="8.44140625" style="18" customWidth="1"/>
    <col min="10" max="10" width="1.5546875" style="18" hidden="1" customWidth="1"/>
    <col min="11" max="255" width="3.44140625" style="18" hidden="1" customWidth="1"/>
    <col min="256" max="16384" width="5.5546875" style="18" hidden="1"/>
  </cols>
  <sheetData>
    <row r="1" spans="1:12" s="17" customFormat="1" ht="26.25" customHeight="1" x14ac:dyDescent="0.25">
      <c r="A1" s="15"/>
      <c r="B1" s="15"/>
      <c r="C1" s="63" t="s">
        <v>56</v>
      </c>
      <c r="D1" s="63"/>
      <c r="E1" s="63"/>
      <c r="F1" s="63"/>
      <c r="G1" s="63"/>
      <c r="H1" s="16"/>
      <c r="I1" s="16"/>
    </row>
    <row r="2" spans="1:12" ht="34.5" customHeight="1" x14ac:dyDescent="0.3">
      <c r="C2" s="63" t="s">
        <v>57</v>
      </c>
      <c r="D2" s="63"/>
      <c r="E2" s="63"/>
      <c r="F2" s="63"/>
      <c r="G2" s="63"/>
      <c r="H2" s="16"/>
      <c r="I2" s="16"/>
    </row>
    <row r="3" spans="1:12" ht="17.399999999999999" x14ac:dyDescent="0.35">
      <c r="C3" s="19" t="s">
        <v>0</v>
      </c>
      <c r="D3" s="20" t="s">
        <v>1</v>
      </c>
    </row>
    <row r="4" spans="1:12" ht="17.399999999999999" x14ac:dyDescent="0.35">
      <c r="C4" s="21" t="s">
        <v>2</v>
      </c>
      <c r="D4" s="22" t="s">
        <v>3</v>
      </c>
    </row>
    <row r="5" spans="1:12" ht="17.399999999999999" x14ac:dyDescent="0.35">
      <c r="C5" s="21" t="s">
        <v>4</v>
      </c>
      <c r="D5" s="35"/>
      <c r="E5" s="34"/>
      <c r="F5" s="34"/>
      <c r="G5" s="34"/>
    </row>
    <row r="6" spans="1:12" ht="17.399999999999999" x14ac:dyDescent="0.35">
      <c r="C6" s="21"/>
      <c r="D6" s="35"/>
      <c r="E6" s="34"/>
      <c r="F6" s="34"/>
      <c r="G6" s="34"/>
    </row>
    <row r="7" spans="1:12" ht="17.399999999999999" x14ac:dyDescent="0.35">
      <c r="B7" s="23"/>
      <c r="C7" s="19"/>
      <c r="D7" s="20"/>
      <c r="E7" s="20"/>
    </row>
    <row r="8" spans="1:12" ht="19.5" customHeight="1" x14ac:dyDescent="0.3">
      <c r="C8"/>
      <c r="D8"/>
      <c r="E8"/>
      <c r="F8"/>
      <c r="G8"/>
      <c r="H8" s="53"/>
      <c r="I8" s="53"/>
      <c r="J8" s="53"/>
      <c r="K8" s="24"/>
      <c r="L8" s="24"/>
    </row>
    <row r="9" spans="1:12" ht="49.5" customHeight="1" x14ac:dyDescent="0.3">
      <c r="C9" s="42" t="s">
        <v>5</v>
      </c>
      <c r="D9" s="30" t="s">
        <v>6</v>
      </c>
      <c r="E9" s="42" t="s">
        <v>7</v>
      </c>
      <c r="F9" s="42" t="s">
        <v>8</v>
      </c>
      <c r="G9" s="42" t="s">
        <v>9</v>
      </c>
      <c r="H9" s="53"/>
      <c r="I9" s="53"/>
      <c r="J9" s="53"/>
      <c r="K9" s="24"/>
      <c r="L9" s="24"/>
    </row>
    <row r="10" spans="1:12" ht="17.399999999999999" x14ac:dyDescent="0.3">
      <c r="C10" s="43">
        <v>46023</v>
      </c>
      <c r="D10" s="32">
        <f>+_xlfn.XLOOKUP(C10,'Cantidades horarias PROD 01 '!E9:E136,'Cantidades horarias PROD 01 '!AG9:AG136)</f>
        <v>2128157.2799999998</v>
      </c>
      <c r="E10" s="29">
        <v>1</v>
      </c>
      <c r="F10" s="32">
        <f t="shared" ref="F10:F61" si="0">ROUND(D10*$E10,2)</f>
        <v>2128157.2799999998</v>
      </c>
      <c r="G10" s="65"/>
      <c r="H10" s="53"/>
      <c r="I10" s="53"/>
      <c r="J10" s="53"/>
      <c r="K10" s="24"/>
      <c r="L10" s="24"/>
    </row>
    <row r="11" spans="1:12" ht="17.399999999999999" x14ac:dyDescent="0.3">
      <c r="C11" s="43">
        <v>46054</v>
      </c>
      <c r="D11" s="32">
        <f>+_xlfn.XLOOKUP(C11,'Cantidades horarias PROD 01 '!E10:E137,'Cantidades horarias PROD 01 '!AG10:AG137)</f>
        <v>1899319.56</v>
      </c>
      <c r="E11" s="29">
        <v>1</v>
      </c>
      <c r="F11" s="32">
        <f t="shared" si="0"/>
        <v>1899319.56</v>
      </c>
      <c r="G11" s="65"/>
      <c r="H11" s="53"/>
      <c r="I11" s="53"/>
      <c r="J11" s="53"/>
      <c r="K11" s="24"/>
      <c r="L11" s="24"/>
    </row>
    <row r="12" spans="1:12" ht="17.399999999999999" x14ac:dyDescent="0.3">
      <c r="C12" s="43">
        <v>46082</v>
      </c>
      <c r="D12" s="32">
        <f>+_xlfn.XLOOKUP(C12,'Cantidades horarias PROD 01 '!E11:E138,'Cantidades horarias PROD 01 '!AG11:AG138)</f>
        <v>2057162.05</v>
      </c>
      <c r="E12" s="29">
        <v>1</v>
      </c>
      <c r="F12" s="32">
        <f t="shared" si="0"/>
        <v>2057162.05</v>
      </c>
      <c r="G12" s="65"/>
      <c r="H12" s="53"/>
      <c r="I12" s="53"/>
      <c r="J12" s="53"/>
      <c r="K12" s="24"/>
      <c r="L12" s="24"/>
    </row>
    <row r="13" spans="1:12" ht="17.399999999999999" x14ac:dyDescent="0.3">
      <c r="C13" s="43">
        <v>46113</v>
      </c>
      <c r="D13" s="32">
        <f>+_xlfn.XLOOKUP(C13,'Cantidades horarias PROD 01 '!E12:E139,'Cantidades horarias PROD 01 '!AG12:AG139)</f>
        <v>1780594.44</v>
      </c>
      <c r="E13" s="29">
        <v>1</v>
      </c>
      <c r="F13" s="32">
        <f t="shared" si="0"/>
        <v>1780594.44</v>
      </c>
      <c r="G13" s="65"/>
      <c r="H13" s="53"/>
      <c r="I13" s="53"/>
      <c r="J13" s="53"/>
      <c r="K13" s="24"/>
      <c r="L13" s="24"/>
    </row>
    <row r="14" spans="1:12" ht="17.399999999999999" x14ac:dyDescent="0.3">
      <c r="C14" s="43">
        <v>46143</v>
      </c>
      <c r="D14" s="32">
        <f>+_xlfn.XLOOKUP(C14,'Cantidades horarias PROD 01 '!E13:E140,'Cantidades horarias PROD 01 '!AG13:AG140)</f>
        <v>2010131.36</v>
      </c>
      <c r="E14" s="29">
        <v>1</v>
      </c>
      <c r="F14" s="32">
        <f t="shared" si="0"/>
        <v>2010131.36</v>
      </c>
      <c r="G14" s="65"/>
      <c r="H14" s="53"/>
      <c r="I14" s="53"/>
      <c r="J14" s="53"/>
      <c r="K14" s="24"/>
      <c r="L14" s="24"/>
    </row>
    <row r="15" spans="1:12" ht="17.399999999999999" x14ac:dyDescent="0.3">
      <c r="C15" s="43">
        <v>46174</v>
      </c>
      <c r="D15" s="32">
        <f>+_xlfn.XLOOKUP(C15,'Cantidades horarias PROD 01 '!E14:E141,'Cantidades horarias PROD 01 '!AG14:AG141)</f>
        <v>1857446.71</v>
      </c>
      <c r="E15" s="29">
        <v>1</v>
      </c>
      <c r="F15" s="32">
        <f t="shared" si="0"/>
        <v>1857446.71</v>
      </c>
      <c r="G15" s="65"/>
      <c r="H15" s="53"/>
      <c r="I15" s="53"/>
      <c r="J15" s="53"/>
      <c r="K15" s="24"/>
      <c r="L15" s="24"/>
    </row>
    <row r="16" spans="1:12" ht="17.399999999999999" x14ac:dyDescent="0.3">
      <c r="C16" s="43">
        <v>46204</v>
      </c>
      <c r="D16" s="32">
        <f>+_xlfn.XLOOKUP(C16,'Cantidades horarias PROD 01 '!E15:E142,'Cantidades horarias PROD 01 '!AG15:AG142)</f>
        <v>2178394.11</v>
      </c>
      <c r="E16" s="29">
        <v>1</v>
      </c>
      <c r="F16" s="32">
        <f t="shared" si="0"/>
        <v>2178394.11</v>
      </c>
      <c r="G16" s="65"/>
      <c r="H16" s="53"/>
      <c r="I16" s="53"/>
      <c r="J16" s="53"/>
      <c r="K16" s="24"/>
      <c r="L16" s="24"/>
    </row>
    <row r="17" spans="3:12" ht="17.399999999999999" x14ac:dyDescent="0.3">
      <c r="C17" s="43">
        <v>46235</v>
      </c>
      <c r="D17" s="32">
        <f>+_xlfn.XLOOKUP(C17,'Cantidades horarias PROD 01 '!E16:E143,'Cantidades horarias PROD 01 '!AG16:AG143)</f>
        <v>2123444.37</v>
      </c>
      <c r="E17" s="29">
        <v>1</v>
      </c>
      <c r="F17" s="32">
        <f t="shared" si="0"/>
        <v>2123444.37</v>
      </c>
      <c r="G17" s="65"/>
      <c r="H17" s="53"/>
      <c r="I17" s="53"/>
      <c r="J17" s="53"/>
      <c r="K17" s="24"/>
      <c r="L17" s="24"/>
    </row>
    <row r="18" spans="3:12" ht="17.399999999999999" x14ac:dyDescent="0.3">
      <c r="C18" s="43">
        <v>46266</v>
      </c>
      <c r="D18" s="32">
        <f>+_xlfn.XLOOKUP(C18,'Cantidades horarias PROD 01 '!E17:E144,'Cantidades horarias PROD 01 '!AG17:AG144)</f>
        <v>2110980.41</v>
      </c>
      <c r="E18" s="29">
        <v>1</v>
      </c>
      <c r="F18" s="32">
        <f t="shared" si="0"/>
        <v>2110980.41</v>
      </c>
      <c r="G18" s="65"/>
      <c r="H18" s="53"/>
      <c r="I18" s="53"/>
      <c r="J18" s="53"/>
      <c r="K18" s="24"/>
      <c r="L18" s="24"/>
    </row>
    <row r="19" spans="3:12" ht="17.399999999999999" x14ac:dyDescent="0.3">
      <c r="C19" s="43">
        <v>46296</v>
      </c>
      <c r="D19" s="32">
        <f>+_xlfn.XLOOKUP(C19,'Cantidades horarias PROD 01 '!E18:E145,'Cantidades horarias PROD 01 '!AG18:AG145)</f>
        <v>2231531.5699999998</v>
      </c>
      <c r="E19" s="29">
        <v>1</v>
      </c>
      <c r="F19" s="32">
        <f t="shared" si="0"/>
        <v>2231531.5699999998</v>
      </c>
      <c r="G19" s="65"/>
      <c r="H19" s="53"/>
      <c r="I19" s="53"/>
      <c r="J19" s="53"/>
      <c r="K19" s="24"/>
      <c r="L19" s="24"/>
    </row>
    <row r="20" spans="3:12" ht="17.399999999999999" x14ac:dyDescent="0.3">
      <c r="C20" s="43">
        <v>46327</v>
      </c>
      <c r="D20" s="32">
        <f>+_xlfn.XLOOKUP(C20,'Cantidades horarias PROD 01 '!E19:E146,'Cantidades horarias PROD 01 '!AG19:AG146)</f>
        <v>2111054.9</v>
      </c>
      <c r="E20" s="29">
        <v>1</v>
      </c>
      <c r="F20" s="32">
        <f t="shared" si="0"/>
        <v>2111054.9</v>
      </c>
      <c r="G20" s="65"/>
      <c r="H20" s="53"/>
      <c r="I20" s="53"/>
      <c r="J20" s="53"/>
      <c r="K20" s="24"/>
      <c r="L20" s="24"/>
    </row>
    <row r="21" spans="3:12" ht="17.399999999999999" x14ac:dyDescent="0.3">
      <c r="C21" s="43">
        <v>46357</v>
      </c>
      <c r="D21" s="32">
        <f>+_xlfn.XLOOKUP(C21,'Cantidades horarias PROD 01 '!E20:E147,'Cantidades horarias PROD 01 '!AG20:AG147)</f>
        <v>2617455.1800000002</v>
      </c>
      <c r="E21" s="29">
        <v>1</v>
      </c>
      <c r="F21" s="32">
        <f t="shared" si="0"/>
        <v>2617455.1800000002</v>
      </c>
      <c r="G21" s="65"/>
      <c r="H21" s="53"/>
      <c r="I21" s="53"/>
      <c r="J21" s="53"/>
      <c r="K21" s="24"/>
      <c r="L21" s="24"/>
    </row>
    <row r="22" spans="3:12" ht="17.399999999999999" x14ac:dyDescent="0.3">
      <c r="C22" s="43">
        <v>46388</v>
      </c>
      <c r="D22" s="32">
        <f>+_xlfn.XLOOKUP(C22,'Cantidades horarias PROD 01 '!E21:E148,'Cantidades horarias PROD 01 '!AG21:AG148)</f>
        <v>2659818.54</v>
      </c>
      <c r="E22" s="29">
        <v>1</v>
      </c>
      <c r="F22" s="32">
        <f t="shared" si="0"/>
        <v>2659818.54</v>
      </c>
      <c r="G22" s="65"/>
      <c r="H22" s="53"/>
      <c r="I22" s="53"/>
      <c r="J22" s="53"/>
      <c r="K22" s="24"/>
      <c r="L22" s="24"/>
    </row>
    <row r="23" spans="3:12" ht="17.399999999999999" x14ac:dyDescent="0.3">
      <c r="C23" s="43">
        <v>46419</v>
      </c>
      <c r="D23" s="32">
        <f>+_xlfn.XLOOKUP(C23,'Cantidades horarias PROD 01 '!E22:E149,'Cantidades horarias PROD 01 '!AG22:AG149)</f>
        <v>2266470.5099999998</v>
      </c>
      <c r="E23" s="29">
        <v>1</v>
      </c>
      <c r="F23" s="32">
        <f t="shared" si="0"/>
        <v>2266470.5099999998</v>
      </c>
      <c r="G23" s="65"/>
      <c r="H23" s="53"/>
      <c r="I23" s="53"/>
      <c r="J23" s="53"/>
      <c r="K23" s="24"/>
      <c r="L23" s="24"/>
    </row>
    <row r="24" spans="3:12" ht="17.399999999999999" x14ac:dyDescent="0.3">
      <c r="C24" s="43">
        <v>46447</v>
      </c>
      <c r="D24" s="32">
        <f>+_xlfn.XLOOKUP(C24,'Cantidades horarias PROD 01 '!E23:E150,'Cantidades horarias PROD 01 '!AG23:AG150)</f>
        <v>2307880.81</v>
      </c>
      <c r="E24" s="29">
        <v>1</v>
      </c>
      <c r="F24" s="32">
        <f t="shared" si="0"/>
        <v>2307880.81</v>
      </c>
      <c r="G24" s="65"/>
      <c r="H24" s="53"/>
      <c r="I24" s="53"/>
      <c r="J24" s="53"/>
      <c r="K24" s="24"/>
      <c r="L24" s="24"/>
    </row>
    <row r="25" spans="3:12" ht="17.399999999999999" x14ac:dyDescent="0.3">
      <c r="C25" s="43">
        <v>46478</v>
      </c>
      <c r="D25" s="32">
        <f>+_xlfn.XLOOKUP(C25,'Cantidades horarias PROD 01 '!E24:E151,'Cantidades horarias PROD 01 '!AG24:AG151)</f>
        <v>1880744.25</v>
      </c>
      <c r="E25" s="29">
        <v>1</v>
      </c>
      <c r="F25" s="32">
        <f t="shared" si="0"/>
        <v>1880744.25</v>
      </c>
      <c r="G25" s="65"/>
      <c r="H25" s="53"/>
      <c r="I25" s="53"/>
      <c r="J25" s="53"/>
      <c r="K25" s="24"/>
      <c r="L25" s="24"/>
    </row>
    <row r="26" spans="3:12" ht="17.399999999999999" x14ac:dyDescent="0.3">
      <c r="C26" s="43">
        <v>46508</v>
      </c>
      <c r="D26" s="32">
        <f>+_xlfn.XLOOKUP(C26,'Cantidades horarias PROD 01 '!E25:E152,'Cantidades horarias PROD 01 '!AG25:AG152)</f>
        <v>2038050.52</v>
      </c>
      <c r="E26" s="29">
        <v>1</v>
      </c>
      <c r="F26" s="32">
        <f t="shared" si="0"/>
        <v>2038050.52</v>
      </c>
      <c r="G26" s="65"/>
      <c r="H26" s="53"/>
      <c r="I26" s="53"/>
      <c r="J26" s="53"/>
      <c r="K26" s="24"/>
      <c r="L26" s="24"/>
    </row>
    <row r="27" spans="3:12" ht="17.399999999999999" x14ac:dyDescent="0.3">
      <c r="C27" s="43">
        <v>46539</v>
      </c>
      <c r="D27" s="32">
        <f>+_xlfn.XLOOKUP(C27,'Cantidades horarias PROD 01 '!E26:E153,'Cantidades horarias PROD 01 '!AG26:AG153)</f>
        <v>1718061.26</v>
      </c>
      <c r="E27" s="29">
        <v>1</v>
      </c>
      <c r="F27" s="32">
        <f t="shared" si="0"/>
        <v>1718061.26</v>
      </c>
      <c r="G27" s="65"/>
      <c r="H27" s="53"/>
      <c r="I27" s="53"/>
      <c r="J27" s="53"/>
      <c r="K27" s="24"/>
      <c r="L27" s="24"/>
    </row>
    <row r="28" spans="3:12" ht="17.399999999999999" x14ac:dyDescent="0.3">
      <c r="C28" s="43">
        <v>46569</v>
      </c>
      <c r="D28" s="32">
        <f>+_xlfn.XLOOKUP(C28,'Cantidades horarias PROD 01 '!E27:E154,'Cantidades horarias PROD 01 '!AG27:AG154)</f>
        <v>1939005.85</v>
      </c>
      <c r="E28" s="29">
        <v>1</v>
      </c>
      <c r="F28" s="32">
        <f t="shared" si="0"/>
        <v>1939005.85</v>
      </c>
      <c r="G28" s="65"/>
      <c r="H28" s="53"/>
      <c r="I28" s="53"/>
      <c r="J28" s="53"/>
      <c r="K28" s="24"/>
      <c r="L28" s="24"/>
    </row>
    <row r="29" spans="3:12" ht="17.399999999999999" x14ac:dyDescent="0.3">
      <c r="C29" s="43">
        <v>46600</v>
      </c>
      <c r="D29" s="32">
        <f>+_xlfn.XLOOKUP(C29,'Cantidades horarias PROD 01 '!E28:E155,'Cantidades horarias PROD 01 '!AG28:AG155)</f>
        <v>1897718.37</v>
      </c>
      <c r="E29" s="29">
        <v>1</v>
      </c>
      <c r="F29" s="32">
        <f t="shared" si="0"/>
        <v>1897718.37</v>
      </c>
      <c r="G29" s="65"/>
      <c r="H29" s="53"/>
      <c r="I29" s="53"/>
      <c r="J29" s="53"/>
      <c r="K29" s="24"/>
      <c r="L29" s="24"/>
    </row>
    <row r="30" spans="3:12" ht="17.399999999999999" x14ac:dyDescent="0.3">
      <c r="C30" s="43">
        <v>46631</v>
      </c>
      <c r="D30" s="32">
        <f>+_xlfn.XLOOKUP(C30,'Cantidades horarias PROD 01 '!E29:E156,'Cantidades horarias PROD 01 '!AG29:AG156)</f>
        <v>1909839.23</v>
      </c>
      <c r="E30" s="29">
        <v>1</v>
      </c>
      <c r="F30" s="32">
        <f t="shared" si="0"/>
        <v>1909839.23</v>
      </c>
      <c r="G30" s="65"/>
      <c r="H30" s="53"/>
      <c r="I30" s="53"/>
      <c r="J30" s="53"/>
      <c r="K30" s="24"/>
      <c r="L30" s="24"/>
    </row>
    <row r="31" spans="3:12" ht="17.399999999999999" x14ac:dyDescent="0.3">
      <c r="C31" s="43">
        <v>46661</v>
      </c>
      <c r="D31" s="32">
        <f>+_xlfn.XLOOKUP(C31,'Cantidades horarias PROD 01 '!E30:E157,'Cantidades horarias PROD 01 '!AG30:AG157)</f>
        <v>2070993.01</v>
      </c>
      <c r="E31" s="29">
        <v>1</v>
      </c>
      <c r="F31" s="32">
        <f t="shared" si="0"/>
        <v>2070993.01</v>
      </c>
      <c r="G31" s="65"/>
      <c r="H31" s="53"/>
      <c r="I31" s="53"/>
      <c r="J31" s="53"/>
      <c r="K31" s="24"/>
      <c r="L31" s="24"/>
    </row>
    <row r="32" spans="3:12" ht="17.399999999999999" x14ac:dyDescent="0.3">
      <c r="C32" s="43">
        <v>46692</v>
      </c>
      <c r="D32" s="32">
        <f>+_xlfn.XLOOKUP(C32,'Cantidades horarias PROD 01 '!E31:E158,'Cantidades horarias PROD 01 '!AG31:AG158)</f>
        <v>1958210.06</v>
      </c>
      <c r="E32" s="29">
        <v>1</v>
      </c>
      <c r="F32" s="32">
        <f t="shared" si="0"/>
        <v>1958210.06</v>
      </c>
      <c r="G32" s="65"/>
      <c r="H32" s="53"/>
      <c r="I32" s="53"/>
      <c r="J32" s="53"/>
      <c r="K32" s="24"/>
      <c r="L32" s="24"/>
    </row>
    <row r="33" spans="3:12" ht="17.399999999999999" x14ac:dyDescent="0.3">
      <c r="C33" s="43">
        <v>46722</v>
      </c>
      <c r="D33" s="32">
        <f>+_xlfn.XLOOKUP(C33,'Cantidades horarias PROD 01 '!E32:E159,'Cantidades horarias PROD 01 '!AG32:AG159)</f>
        <v>2451239.9</v>
      </c>
      <c r="E33" s="29">
        <v>1</v>
      </c>
      <c r="F33" s="32">
        <f t="shared" si="0"/>
        <v>2451239.9</v>
      </c>
      <c r="G33" s="65"/>
      <c r="H33" s="53"/>
      <c r="I33" s="53"/>
      <c r="J33" s="53"/>
      <c r="K33" s="24"/>
      <c r="L33" s="24"/>
    </row>
    <row r="34" spans="3:12" ht="17.399999999999999" x14ac:dyDescent="0.3">
      <c r="C34" s="43">
        <v>46753</v>
      </c>
      <c r="D34" s="32">
        <f>+_xlfn.XLOOKUP(C34,'Cantidades horarias PROD 01 '!E33:E160,'Cantidades horarias PROD 01 '!AG33:AG160)</f>
        <v>1556513.11</v>
      </c>
      <c r="E34" s="29">
        <v>1</v>
      </c>
      <c r="F34" s="32">
        <f t="shared" si="0"/>
        <v>1556513.11</v>
      </c>
      <c r="G34" s="65"/>
      <c r="H34" s="53"/>
      <c r="I34" s="53"/>
      <c r="J34" s="53"/>
      <c r="K34" s="24"/>
      <c r="L34" s="24"/>
    </row>
    <row r="35" spans="3:12" ht="17.399999999999999" x14ac:dyDescent="0.3">
      <c r="C35" s="43">
        <v>46784</v>
      </c>
      <c r="D35" s="32">
        <f>+_xlfn.XLOOKUP(C35,'Cantidades horarias PROD 01 '!E34:E161,'Cantidades horarias PROD 01 '!AG34:AG161)</f>
        <v>1302500.8400000001</v>
      </c>
      <c r="E35" s="29">
        <v>1</v>
      </c>
      <c r="F35" s="32">
        <f t="shared" si="0"/>
        <v>1302500.8400000001</v>
      </c>
      <c r="G35" s="65"/>
      <c r="H35" s="53"/>
      <c r="I35" s="53"/>
      <c r="J35" s="53"/>
      <c r="K35" s="24"/>
      <c r="L35" s="24"/>
    </row>
    <row r="36" spans="3:12" ht="17.399999999999999" x14ac:dyDescent="0.3">
      <c r="C36" s="43">
        <v>46813</v>
      </c>
      <c r="D36" s="32">
        <f>+_xlfn.XLOOKUP(C36,'Cantidades horarias PROD 01 '!E35:E162,'Cantidades horarias PROD 01 '!AG35:AG162)</f>
        <v>1316347.77</v>
      </c>
      <c r="E36" s="29">
        <v>1</v>
      </c>
      <c r="F36" s="32">
        <f t="shared" si="0"/>
        <v>1316347.77</v>
      </c>
      <c r="G36" s="65"/>
      <c r="H36" s="53"/>
      <c r="I36" s="53"/>
      <c r="J36" s="53"/>
      <c r="K36" s="24"/>
      <c r="L36" s="24"/>
    </row>
    <row r="37" spans="3:12" ht="17.399999999999999" x14ac:dyDescent="0.3">
      <c r="C37" s="43">
        <v>46844</v>
      </c>
      <c r="D37" s="32">
        <f>+_xlfn.XLOOKUP(C37,'Cantidades horarias PROD 01 '!E36:E163,'Cantidades horarias PROD 01 '!AG36:AG163)</f>
        <v>1052214.1100000001</v>
      </c>
      <c r="E37" s="29">
        <v>1</v>
      </c>
      <c r="F37" s="32">
        <f t="shared" si="0"/>
        <v>1052214.1100000001</v>
      </c>
      <c r="G37" s="65"/>
      <c r="H37" s="53"/>
      <c r="I37" s="53"/>
      <c r="J37" s="53"/>
      <c r="K37" s="24"/>
      <c r="L37" s="24"/>
    </row>
    <row r="38" spans="3:12" ht="17.399999999999999" x14ac:dyDescent="0.3">
      <c r="C38" s="43">
        <v>46874</v>
      </c>
      <c r="D38" s="32">
        <f>+_xlfn.XLOOKUP(C38,'Cantidades horarias PROD 01 '!E37:E164,'Cantidades horarias PROD 01 '!AG37:AG164)</f>
        <v>1175542.3500000001</v>
      </c>
      <c r="E38" s="29">
        <v>1</v>
      </c>
      <c r="F38" s="32">
        <f t="shared" si="0"/>
        <v>1175542.3500000001</v>
      </c>
      <c r="G38" s="65"/>
      <c r="H38" s="53"/>
      <c r="I38" s="53"/>
      <c r="J38" s="53"/>
      <c r="K38" s="24"/>
      <c r="L38" s="24"/>
    </row>
    <row r="39" spans="3:12" ht="17.399999999999999" x14ac:dyDescent="0.3">
      <c r="C39" s="43">
        <v>46905</v>
      </c>
      <c r="D39" s="32">
        <f>+_xlfn.XLOOKUP(C39,'Cantidades horarias PROD 01 '!E38:E165,'Cantidades horarias PROD 01 '!AG38:AG165)</f>
        <v>918514.71</v>
      </c>
      <c r="E39" s="29">
        <v>1</v>
      </c>
      <c r="F39" s="32">
        <f t="shared" si="0"/>
        <v>918514.71</v>
      </c>
      <c r="G39" s="65"/>
      <c r="H39" s="53"/>
      <c r="I39" s="53"/>
      <c r="J39" s="53"/>
      <c r="K39" s="24"/>
      <c r="L39" s="24"/>
    </row>
    <row r="40" spans="3:12" ht="17.399999999999999" x14ac:dyDescent="0.3">
      <c r="C40" s="43">
        <v>46935</v>
      </c>
      <c r="D40" s="32">
        <f>+_xlfn.XLOOKUP(C40,'Cantidades horarias PROD 01 '!E39:E166,'Cantidades horarias PROD 01 '!AG39:AG166)</f>
        <v>1065116.96</v>
      </c>
      <c r="E40" s="29">
        <v>1</v>
      </c>
      <c r="F40" s="32">
        <f t="shared" si="0"/>
        <v>1065116.96</v>
      </c>
      <c r="G40" s="65"/>
      <c r="H40" s="53"/>
      <c r="I40" s="53"/>
      <c r="J40" s="53"/>
      <c r="K40" s="24"/>
      <c r="L40" s="24"/>
    </row>
    <row r="41" spans="3:12" ht="17.399999999999999" x14ac:dyDescent="0.3">
      <c r="C41" s="43">
        <v>46966</v>
      </c>
      <c r="D41" s="32">
        <f>+_xlfn.XLOOKUP(C41,'Cantidades horarias PROD 01 '!E40:E167,'Cantidades horarias PROD 01 '!AG40:AG167)</f>
        <v>1049148.01</v>
      </c>
      <c r="E41" s="29">
        <v>1</v>
      </c>
      <c r="F41" s="32">
        <f t="shared" si="0"/>
        <v>1049148.01</v>
      </c>
      <c r="G41" s="65"/>
      <c r="H41" s="53"/>
      <c r="I41" s="53"/>
      <c r="J41" s="53"/>
      <c r="K41" s="24"/>
      <c r="L41" s="24"/>
    </row>
    <row r="42" spans="3:12" ht="17.399999999999999" x14ac:dyDescent="0.3">
      <c r="C42" s="43">
        <v>46997</v>
      </c>
      <c r="D42" s="32">
        <f>+_xlfn.XLOOKUP(C42,'Cantidades horarias PROD 01 '!E41:E168,'Cantidades horarias PROD 01 '!AG41:AG168)</f>
        <v>1076250.45</v>
      </c>
      <c r="E42" s="29">
        <v>1</v>
      </c>
      <c r="F42" s="32">
        <f t="shared" si="0"/>
        <v>1076250.45</v>
      </c>
      <c r="G42" s="65"/>
      <c r="H42" s="53"/>
      <c r="I42" s="53"/>
      <c r="J42" s="53"/>
      <c r="K42" s="24"/>
      <c r="L42" s="24"/>
    </row>
    <row r="43" spans="3:12" ht="17.399999999999999" x14ac:dyDescent="0.3">
      <c r="C43" s="43">
        <v>47027</v>
      </c>
      <c r="D43" s="32">
        <f>+_xlfn.XLOOKUP(C43,'Cantidades horarias PROD 01 '!E42:E169,'Cantidades horarias PROD 01 '!AG42:AG169)</f>
        <v>1212206.79</v>
      </c>
      <c r="E43" s="29">
        <v>1</v>
      </c>
      <c r="F43" s="32">
        <f t="shared" si="0"/>
        <v>1212206.79</v>
      </c>
      <c r="G43" s="65"/>
      <c r="H43" s="53"/>
      <c r="I43" s="53"/>
      <c r="J43" s="53"/>
      <c r="K43" s="24"/>
      <c r="L43" s="24"/>
    </row>
    <row r="44" spans="3:12" ht="17.399999999999999" x14ac:dyDescent="0.3">
      <c r="C44" s="43">
        <v>47058</v>
      </c>
      <c r="D44" s="32">
        <f>+_xlfn.XLOOKUP(C44,'Cantidades horarias PROD 01 '!E43:E170,'Cantidades horarias PROD 01 '!AG43:AG170)</f>
        <v>1145135.82</v>
      </c>
      <c r="E44" s="29">
        <v>1</v>
      </c>
      <c r="F44" s="32">
        <f t="shared" si="0"/>
        <v>1145135.82</v>
      </c>
      <c r="G44" s="65"/>
      <c r="H44" s="53"/>
      <c r="I44" s="53"/>
      <c r="J44" s="53"/>
      <c r="K44" s="24"/>
      <c r="L44" s="24"/>
    </row>
    <row r="45" spans="3:12" ht="17.399999999999999" x14ac:dyDescent="0.3">
      <c r="C45" s="43">
        <v>47088</v>
      </c>
      <c r="D45" s="32">
        <f>+_xlfn.XLOOKUP(C45,'Cantidades horarias PROD 01 '!E44:E171,'Cantidades horarias PROD 01 '!AG44:AG171)</f>
        <v>1453438.49</v>
      </c>
      <c r="E45" s="29">
        <v>1</v>
      </c>
      <c r="F45" s="32">
        <f t="shared" si="0"/>
        <v>1453438.49</v>
      </c>
      <c r="G45" s="65"/>
      <c r="H45" s="53"/>
      <c r="I45" s="53"/>
      <c r="J45" s="53"/>
      <c r="K45" s="24"/>
      <c r="L45" s="24"/>
    </row>
    <row r="46" spans="3:12" ht="17.399999999999999" x14ac:dyDescent="0.3">
      <c r="C46" s="43">
        <v>47119</v>
      </c>
      <c r="D46" s="32">
        <f>+_xlfn.XLOOKUP(C46,'Cantidades horarias PROD 01 '!E45:E172,'Cantidades horarias PROD 01 '!AG45:AG172)</f>
        <v>1684833.36</v>
      </c>
      <c r="E46" s="29">
        <v>1</v>
      </c>
      <c r="F46" s="32">
        <f t="shared" si="0"/>
        <v>1684833.36</v>
      </c>
      <c r="G46" s="65"/>
      <c r="H46" s="53"/>
      <c r="I46" s="53"/>
      <c r="J46" s="53"/>
      <c r="K46" s="24"/>
      <c r="L46" s="24"/>
    </row>
    <row r="47" spans="3:12" ht="17.399999999999999" x14ac:dyDescent="0.3">
      <c r="C47" s="43">
        <v>47150</v>
      </c>
      <c r="D47" s="32">
        <f>+_xlfn.XLOOKUP(C47,'Cantidades horarias PROD 01 '!E46:E173,'Cantidades horarias PROD 01 '!AG46:AG173)</f>
        <v>1418435</v>
      </c>
      <c r="E47" s="29">
        <v>1</v>
      </c>
      <c r="F47" s="32">
        <f t="shared" si="0"/>
        <v>1418435</v>
      </c>
      <c r="G47" s="65"/>
      <c r="H47" s="53"/>
      <c r="I47" s="53"/>
      <c r="J47" s="53"/>
      <c r="K47" s="24"/>
      <c r="L47" s="24"/>
    </row>
    <row r="48" spans="3:12" ht="17.399999999999999" x14ac:dyDescent="0.3">
      <c r="C48" s="43">
        <v>47178</v>
      </c>
      <c r="D48" s="32">
        <f>+_xlfn.XLOOKUP(C48,'Cantidades horarias PROD 01 '!E47:E174,'Cantidades horarias PROD 01 '!AG47:AG174)</f>
        <v>1437429.8</v>
      </c>
      <c r="E48" s="29">
        <v>1</v>
      </c>
      <c r="F48" s="32">
        <f t="shared" si="0"/>
        <v>1437429.8</v>
      </c>
      <c r="G48" s="65"/>
      <c r="H48" s="53"/>
      <c r="I48" s="53"/>
      <c r="J48" s="53"/>
      <c r="K48" s="24"/>
      <c r="L48" s="24"/>
    </row>
    <row r="49" spans="3:12" ht="17.399999999999999" x14ac:dyDescent="0.3">
      <c r="C49" s="43">
        <v>47209</v>
      </c>
      <c r="D49" s="32">
        <f>+_xlfn.XLOOKUP(C49,'Cantidades horarias PROD 01 '!E48:E175,'Cantidades horarias PROD 01 '!AG48:AG175)</f>
        <v>1156393.28</v>
      </c>
      <c r="E49" s="29">
        <v>1</v>
      </c>
      <c r="F49" s="32">
        <f t="shared" si="0"/>
        <v>1156393.28</v>
      </c>
      <c r="G49" s="65"/>
      <c r="H49" s="53"/>
      <c r="I49" s="53"/>
      <c r="J49" s="53"/>
      <c r="K49" s="24"/>
      <c r="L49" s="24"/>
    </row>
    <row r="50" spans="3:12" ht="17.399999999999999" x14ac:dyDescent="0.3">
      <c r="C50" s="43">
        <v>47239</v>
      </c>
      <c r="D50" s="32">
        <f>+_xlfn.XLOOKUP(C50,'Cantidades horarias PROD 01 '!E49:E176,'Cantidades horarias PROD 01 '!AG49:AG176)</f>
        <v>1279246.27</v>
      </c>
      <c r="E50" s="29">
        <v>1</v>
      </c>
      <c r="F50" s="32">
        <f t="shared" si="0"/>
        <v>1279246.27</v>
      </c>
      <c r="G50" s="65"/>
      <c r="H50" s="53"/>
      <c r="I50" s="53"/>
      <c r="J50" s="53"/>
      <c r="K50" s="24"/>
      <c r="L50" s="24"/>
    </row>
    <row r="51" spans="3:12" ht="17.399999999999999" x14ac:dyDescent="0.3">
      <c r="C51" s="43">
        <v>47270</v>
      </c>
      <c r="D51" s="32">
        <f>+_xlfn.XLOOKUP(C51,'Cantidades horarias PROD 01 '!E50:E177,'Cantidades horarias PROD 01 '!AG50:AG177)</f>
        <v>1026289.04</v>
      </c>
      <c r="E51" s="29">
        <v>1</v>
      </c>
      <c r="F51" s="32">
        <f t="shared" si="0"/>
        <v>1026289.04</v>
      </c>
      <c r="G51" s="65"/>
      <c r="H51" s="53"/>
      <c r="I51" s="53"/>
      <c r="J51" s="53"/>
      <c r="K51" s="24"/>
      <c r="L51" s="24"/>
    </row>
    <row r="52" spans="3:12" ht="17.399999999999999" x14ac:dyDescent="0.3">
      <c r="C52" s="43">
        <v>47300</v>
      </c>
      <c r="D52" s="32">
        <f>+_xlfn.XLOOKUP(C52,'Cantidades horarias PROD 01 '!E51:E178,'Cantidades horarias PROD 01 '!AG51:AG178)</f>
        <v>1178080.83</v>
      </c>
      <c r="E52" s="29">
        <v>1</v>
      </c>
      <c r="F52" s="32">
        <f t="shared" si="0"/>
        <v>1178080.83</v>
      </c>
      <c r="G52" s="65"/>
      <c r="H52" s="53"/>
      <c r="I52" s="53"/>
      <c r="J52" s="53"/>
      <c r="K52" s="24"/>
      <c r="L52" s="24"/>
    </row>
    <row r="53" spans="3:12" ht="17.399999999999999" x14ac:dyDescent="0.3">
      <c r="C53" s="43">
        <v>47331</v>
      </c>
      <c r="D53" s="32">
        <f>+_xlfn.XLOOKUP(C53,'Cantidades horarias PROD 01 '!E52:E179,'Cantidades horarias PROD 01 '!AG52:AG179)</f>
        <v>1158022.72</v>
      </c>
      <c r="E53" s="29">
        <v>1</v>
      </c>
      <c r="F53" s="32">
        <f t="shared" si="0"/>
        <v>1158022.72</v>
      </c>
      <c r="G53" s="65"/>
      <c r="H53" s="53"/>
      <c r="I53" s="53"/>
      <c r="J53" s="53"/>
      <c r="K53" s="24"/>
      <c r="L53" s="24"/>
    </row>
    <row r="54" spans="3:12" ht="17.399999999999999" x14ac:dyDescent="0.3">
      <c r="C54" s="43">
        <v>47362</v>
      </c>
      <c r="D54" s="32">
        <f>+_xlfn.XLOOKUP(C54,'Cantidades horarias PROD 01 '!E53:E180,'Cantidades horarias PROD 01 '!AG53:AG180)</f>
        <v>1180264.3400000001</v>
      </c>
      <c r="E54" s="29">
        <v>1</v>
      </c>
      <c r="F54" s="32">
        <f t="shared" si="0"/>
        <v>1180264.3400000001</v>
      </c>
      <c r="G54" s="65"/>
      <c r="H54" s="53"/>
      <c r="I54" s="53"/>
      <c r="J54" s="53"/>
      <c r="K54" s="24"/>
      <c r="L54" s="24"/>
    </row>
    <row r="55" spans="3:12" ht="17.399999999999999" x14ac:dyDescent="0.3">
      <c r="C55" s="43">
        <v>47392</v>
      </c>
      <c r="D55" s="32">
        <f>+_xlfn.XLOOKUP(C55,'Cantidades horarias PROD 01 '!E54:E181,'Cantidades horarias PROD 01 '!AG54:AG181)</f>
        <v>1310882.6499999999</v>
      </c>
      <c r="E55" s="29">
        <v>1</v>
      </c>
      <c r="F55" s="32">
        <f t="shared" si="0"/>
        <v>1310882.6499999999</v>
      </c>
      <c r="G55" s="65"/>
      <c r="H55" s="53"/>
      <c r="I55" s="53"/>
      <c r="J55" s="53"/>
      <c r="K55" s="24"/>
      <c r="L55" s="24"/>
    </row>
    <row r="56" spans="3:12" ht="17.399999999999999" x14ac:dyDescent="0.3">
      <c r="C56" s="43">
        <v>47423</v>
      </c>
      <c r="D56" s="32">
        <f>+_xlfn.XLOOKUP(C56,'Cantidades horarias PROD 01 '!E55:E182,'Cantidades horarias PROD 01 '!AG55:AG182)</f>
        <v>1236832.03</v>
      </c>
      <c r="E56" s="29">
        <v>1</v>
      </c>
      <c r="F56" s="32">
        <f t="shared" si="0"/>
        <v>1236832.03</v>
      </c>
      <c r="G56" s="65"/>
      <c r="H56" s="53"/>
      <c r="I56" s="53"/>
      <c r="J56" s="53"/>
      <c r="K56" s="24"/>
      <c r="L56" s="24"/>
    </row>
    <row r="57" spans="3:12" ht="17.399999999999999" x14ac:dyDescent="0.3">
      <c r="C57" s="43">
        <v>47453</v>
      </c>
      <c r="D57" s="32">
        <f>+_xlfn.XLOOKUP(C57,'Cantidades horarias PROD 01 '!E56:E183,'Cantidades horarias PROD 01 '!AG56:AG183)</f>
        <v>1565763.71</v>
      </c>
      <c r="E57" s="29">
        <v>1</v>
      </c>
      <c r="F57" s="32">
        <f t="shared" si="0"/>
        <v>1565763.71</v>
      </c>
      <c r="G57" s="65"/>
      <c r="H57" s="53"/>
      <c r="I57" s="53"/>
      <c r="J57" s="53"/>
      <c r="K57" s="24"/>
      <c r="L57" s="24"/>
    </row>
    <row r="58" spans="3:12" ht="17.399999999999999" x14ac:dyDescent="0.3">
      <c r="C58" s="43">
        <v>47484</v>
      </c>
      <c r="D58" s="32">
        <f>+_xlfn.XLOOKUP(C58,'Cantidades horarias PROD 01 '!E57:E184,'Cantidades horarias PROD 01 '!AG57:AG184)</f>
        <v>2786920.19</v>
      </c>
      <c r="E58" s="29">
        <v>1</v>
      </c>
      <c r="F58" s="32">
        <f t="shared" si="0"/>
        <v>2786920.19</v>
      </c>
      <c r="G58" s="65"/>
      <c r="H58" s="53"/>
      <c r="I58" s="53"/>
      <c r="J58" s="53"/>
      <c r="K58" s="24"/>
      <c r="L58" s="24"/>
    </row>
    <row r="59" spans="3:12" ht="17.399999999999999" x14ac:dyDescent="0.3">
      <c r="C59" s="43">
        <v>47515</v>
      </c>
      <c r="D59" s="32">
        <f>+_xlfn.XLOOKUP(C59,'Cantidades horarias PROD 01 '!E58:E185,'Cantidades horarias PROD 01 '!AG58:AG185)</f>
        <v>2346071.0299999998</v>
      </c>
      <c r="E59" s="29">
        <v>1</v>
      </c>
      <c r="F59" s="32">
        <f t="shared" si="0"/>
        <v>2346071.0299999998</v>
      </c>
      <c r="G59" s="65"/>
      <c r="H59" s="53"/>
      <c r="I59" s="53"/>
      <c r="J59" s="53"/>
      <c r="K59" s="24"/>
      <c r="L59" s="24"/>
    </row>
    <row r="60" spans="3:12" ht="17.399999999999999" x14ac:dyDescent="0.3">
      <c r="C60" s="43">
        <v>47543</v>
      </c>
      <c r="D60" s="32">
        <f>+_xlfn.XLOOKUP(C60,'Cantidades horarias PROD 01 '!E59:E186,'Cantidades horarias PROD 01 '!AG59:AG186)</f>
        <v>2377155.37</v>
      </c>
      <c r="E60" s="29">
        <v>1</v>
      </c>
      <c r="F60" s="32">
        <f t="shared" si="0"/>
        <v>2377155.37</v>
      </c>
      <c r="G60" s="65"/>
      <c r="H60" s="53"/>
      <c r="I60" s="53"/>
      <c r="J60" s="53"/>
      <c r="K60" s="24"/>
      <c r="L60" s="24"/>
    </row>
    <row r="61" spans="3:12" ht="17.399999999999999" x14ac:dyDescent="0.3">
      <c r="C61" s="43">
        <v>47574</v>
      </c>
      <c r="D61" s="32">
        <f>+_xlfn.XLOOKUP(C61,'Cantidades horarias PROD 01 '!E60:E187,'Cantidades horarias PROD 01 '!AG60:AG187)</f>
        <v>1911623.26</v>
      </c>
      <c r="E61" s="29">
        <v>1</v>
      </c>
      <c r="F61" s="32">
        <f t="shared" si="0"/>
        <v>1911623.26</v>
      </c>
      <c r="G61" s="65"/>
      <c r="H61" s="53"/>
      <c r="I61" s="53"/>
      <c r="J61" s="53"/>
      <c r="K61" s="24"/>
      <c r="L61" s="24"/>
    </row>
    <row r="62" spans="3:12" ht="17.399999999999999" x14ac:dyDescent="0.3">
      <c r="C62" s="43">
        <v>47604</v>
      </c>
      <c r="D62" s="32">
        <f>+_xlfn.XLOOKUP(C62,'Cantidades horarias PROD 01 '!E61:E188,'Cantidades horarias PROD 01 '!AG61:AG188)</f>
        <v>2116434.91</v>
      </c>
      <c r="E62" s="29">
        <v>1</v>
      </c>
      <c r="F62" s="32">
        <f t="shared" ref="F62:F117" si="1">ROUND(D62*$E62,2)</f>
        <v>2116434.91</v>
      </c>
      <c r="G62" s="65"/>
      <c r="H62" s="53"/>
      <c r="I62" s="53"/>
      <c r="J62" s="53"/>
      <c r="K62" s="24"/>
      <c r="L62" s="24"/>
    </row>
    <row r="63" spans="3:12" ht="17.399999999999999" x14ac:dyDescent="0.3">
      <c r="C63" s="43">
        <v>47635</v>
      </c>
      <c r="D63" s="32">
        <f>+_xlfn.XLOOKUP(C63,'Cantidades horarias PROD 01 '!E62:E189,'Cantidades horarias PROD 01 '!AG62:AG189)</f>
        <v>1696411.58</v>
      </c>
      <c r="E63" s="29">
        <v>1</v>
      </c>
      <c r="F63" s="32">
        <f t="shared" si="1"/>
        <v>1696411.58</v>
      </c>
      <c r="G63" s="65"/>
      <c r="H63" s="53"/>
      <c r="I63" s="53"/>
      <c r="J63" s="53"/>
      <c r="K63" s="24"/>
      <c r="L63" s="24"/>
    </row>
    <row r="64" spans="3:12" ht="17.399999999999999" x14ac:dyDescent="0.3">
      <c r="C64" s="43">
        <v>47665</v>
      </c>
      <c r="D64" s="32">
        <f>+_xlfn.XLOOKUP(C64,'Cantidades horarias PROD 01 '!E63:E190,'Cantidades horarias PROD 01 '!AG63:AG190)</f>
        <v>1947080.46</v>
      </c>
      <c r="E64" s="29">
        <v>1</v>
      </c>
      <c r="F64" s="32">
        <f t="shared" si="1"/>
        <v>1947080.46</v>
      </c>
      <c r="G64" s="65"/>
      <c r="H64" s="53"/>
      <c r="I64" s="53"/>
      <c r="J64" s="53"/>
      <c r="K64" s="24"/>
      <c r="L64" s="24"/>
    </row>
    <row r="65" spans="3:12" ht="17.399999999999999" x14ac:dyDescent="0.3">
      <c r="C65" s="43">
        <v>47696</v>
      </c>
      <c r="D65" s="32">
        <f>+_xlfn.XLOOKUP(C65,'Cantidades horarias PROD 01 '!E64:E191,'Cantidades horarias PROD 01 '!AG64:AG191)</f>
        <v>1914326.72</v>
      </c>
      <c r="E65" s="29">
        <v>1</v>
      </c>
      <c r="F65" s="32">
        <f t="shared" si="1"/>
        <v>1914326.72</v>
      </c>
      <c r="G65" s="65"/>
      <c r="H65" s="53"/>
      <c r="I65" s="53"/>
      <c r="J65" s="53"/>
      <c r="K65" s="24"/>
      <c r="L65" s="24"/>
    </row>
    <row r="66" spans="3:12" ht="17.399999999999999" x14ac:dyDescent="0.3">
      <c r="C66" s="43">
        <v>47727</v>
      </c>
      <c r="D66" s="32">
        <f>+_xlfn.XLOOKUP(C66,'Cantidades horarias PROD 01 '!E65:E192,'Cantidades horarias PROD 01 '!AG65:AG192)</f>
        <v>1951757.33</v>
      </c>
      <c r="E66" s="29">
        <v>1</v>
      </c>
      <c r="F66" s="32">
        <f t="shared" si="1"/>
        <v>1951757.33</v>
      </c>
      <c r="G66" s="65"/>
      <c r="H66" s="53"/>
      <c r="I66" s="53"/>
      <c r="J66" s="53"/>
      <c r="K66" s="24"/>
      <c r="L66" s="24"/>
    </row>
    <row r="67" spans="3:12" ht="17.399999999999999" x14ac:dyDescent="0.3">
      <c r="C67" s="43">
        <v>47757</v>
      </c>
      <c r="D67" s="32">
        <f>+_xlfn.XLOOKUP(C67,'Cantidades horarias PROD 01 '!E66:E193,'Cantidades horarias PROD 01 '!AG66:AG193)</f>
        <v>2166857.9500000002</v>
      </c>
      <c r="E67" s="29">
        <v>1</v>
      </c>
      <c r="F67" s="32">
        <f t="shared" si="1"/>
        <v>2166857.9500000002</v>
      </c>
      <c r="G67" s="65"/>
      <c r="H67" s="53"/>
      <c r="I67" s="53"/>
      <c r="J67" s="53"/>
      <c r="K67" s="24"/>
      <c r="L67" s="24"/>
    </row>
    <row r="68" spans="3:12" ht="17.399999999999999" x14ac:dyDescent="0.3">
      <c r="C68" s="43">
        <v>47788</v>
      </c>
      <c r="D68" s="32">
        <f>+_xlfn.XLOOKUP(C68,'Cantidades horarias PROD 01 '!E67:E194,'Cantidades horarias PROD 01 '!AG67:AG194)</f>
        <v>2048775.8</v>
      </c>
      <c r="E68" s="29">
        <v>1</v>
      </c>
      <c r="F68" s="32">
        <f t="shared" si="1"/>
        <v>2048775.8</v>
      </c>
      <c r="G68" s="65"/>
      <c r="H68" s="53"/>
      <c r="I68" s="53"/>
      <c r="J68" s="53"/>
      <c r="K68" s="24"/>
      <c r="L68" s="24"/>
    </row>
    <row r="69" spans="3:12" ht="17.399999999999999" x14ac:dyDescent="0.3">
      <c r="C69" s="43">
        <v>47818</v>
      </c>
      <c r="D69" s="32">
        <f>+_xlfn.XLOOKUP(C69,'Cantidades horarias PROD 01 '!E68:E195,'Cantidades horarias PROD 01 '!AG68:AG195)</f>
        <v>2589596.5299999998</v>
      </c>
      <c r="E69" s="29">
        <v>1</v>
      </c>
      <c r="F69" s="32">
        <f t="shared" si="1"/>
        <v>2589596.5299999998</v>
      </c>
      <c r="G69" s="65"/>
      <c r="H69" s="53"/>
      <c r="I69" s="53"/>
      <c r="J69" s="53"/>
      <c r="K69" s="24"/>
      <c r="L69" s="24"/>
    </row>
    <row r="70" spans="3:12" ht="17.399999999999999" x14ac:dyDescent="0.3">
      <c r="C70" s="43">
        <v>47849</v>
      </c>
      <c r="D70" s="32">
        <f>+_xlfn.XLOOKUP(C70,'Cantidades horarias PROD 01 '!E69:E196,'Cantidades horarias PROD 01 '!AG69:AG196)</f>
        <v>3834674.79</v>
      </c>
      <c r="E70" s="29">
        <v>1</v>
      </c>
      <c r="F70" s="32">
        <f t="shared" si="1"/>
        <v>3834674.79</v>
      </c>
      <c r="G70" s="65"/>
      <c r="H70" s="53"/>
      <c r="I70" s="53"/>
      <c r="J70" s="53"/>
      <c r="K70" s="24"/>
      <c r="L70" s="24"/>
    </row>
    <row r="71" spans="3:12" ht="17.399999999999999" x14ac:dyDescent="0.3">
      <c r="C71" s="43">
        <v>47880</v>
      </c>
      <c r="D71" s="32">
        <f>+_xlfn.XLOOKUP(C71,'Cantidades horarias PROD 01 '!E70:E197,'Cantidades horarias PROD 01 '!AG70:AG197)</f>
        <v>3227825.78</v>
      </c>
      <c r="E71" s="29">
        <v>1</v>
      </c>
      <c r="F71" s="32">
        <f t="shared" si="1"/>
        <v>3227825.78</v>
      </c>
      <c r="G71" s="65"/>
      <c r="H71" s="53"/>
      <c r="I71" s="53"/>
      <c r="J71" s="53"/>
      <c r="K71" s="24"/>
      <c r="L71" s="24"/>
    </row>
    <row r="72" spans="3:12" ht="17.399999999999999" x14ac:dyDescent="0.3">
      <c r="C72" s="43">
        <v>47908</v>
      </c>
      <c r="D72" s="32">
        <f>+_xlfn.XLOOKUP(C72,'Cantidades horarias PROD 01 '!E71:E198,'Cantidades horarias PROD 01 '!AG71:AG198)</f>
        <v>3270130.5</v>
      </c>
      <c r="E72" s="29">
        <v>1</v>
      </c>
      <c r="F72" s="32">
        <f t="shared" si="1"/>
        <v>3270130.5</v>
      </c>
      <c r="G72" s="65"/>
      <c r="H72" s="53"/>
      <c r="I72" s="53"/>
      <c r="J72" s="53"/>
      <c r="K72" s="24"/>
      <c r="L72" s="24"/>
    </row>
    <row r="73" spans="3:12" ht="17.399999999999999" x14ac:dyDescent="0.3">
      <c r="C73" s="43">
        <v>47939</v>
      </c>
      <c r="D73" s="32">
        <f>+_xlfn.XLOOKUP(C73,'Cantidades horarias PROD 01 '!E72:E199,'Cantidades horarias PROD 01 '!AG72:AG199)</f>
        <v>2628654.73</v>
      </c>
      <c r="E73" s="29">
        <v>1</v>
      </c>
      <c r="F73" s="32">
        <f t="shared" si="1"/>
        <v>2628654.73</v>
      </c>
      <c r="G73" s="65"/>
      <c r="H73" s="53"/>
      <c r="I73" s="53"/>
      <c r="J73" s="53"/>
      <c r="K73" s="24"/>
      <c r="L73" s="24"/>
    </row>
    <row r="74" spans="3:12" ht="17.399999999999999" x14ac:dyDescent="0.3">
      <c r="C74" s="43">
        <v>47969</v>
      </c>
      <c r="D74" s="32">
        <f>+_xlfn.XLOOKUP(C74,'Cantidades horarias PROD 01 '!E73:E200,'Cantidades horarias PROD 01 '!AG73:AG200)</f>
        <v>2912709.09</v>
      </c>
      <c r="E74" s="29">
        <v>1</v>
      </c>
      <c r="F74" s="32">
        <f t="shared" si="1"/>
        <v>2912709.09</v>
      </c>
      <c r="G74" s="65"/>
      <c r="H74" s="53"/>
      <c r="I74" s="53"/>
      <c r="J74" s="53"/>
      <c r="K74" s="24"/>
      <c r="L74" s="24"/>
    </row>
    <row r="75" spans="3:12" ht="17.399999999999999" x14ac:dyDescent="0.3">
      <c r="C75" s="43">
        <v>48000</v>
      </c>
      <c r="D75" s="32">
        <f>+_xlfn.XLOOKUP(C75,'Cantidades horarias PROD 01 '!E74:E201,'Cantidades horarias PROD 01 '!AG74:AG201)</f>
        <v>2332513.7200000002</v>
      </c>
      <c r="E75" s="29">
        <v>1</v>
      </c>
      <c r="F75" s="32">
        <f t="shared" si="1"/>
        <v>2332513.7200000002</v>
      </c>
      <c r="G75" s="65"/>
      <c r="H75" s="53"/>
      <c r="I75" s="53"/>
      <c r="J75" s="53"/>
      <c r="K75" s="24"/>
      <c r="L75" s="24"/>
    </row>
    <row r="76" spans="3:12" ht="17.399999999999999" x14ac:dyDescent="0.3">
      <c r="C76" s="43">
        <v>48030</v>
      </c>
      <c r="D76" s="32">
        <f>+_xlfn.XLOOKUP(C76,'Cantidades horarias PROD 01 '!E75:E202,'Cantidades horarias PROD 01 '!AG75:AG202)</f>
        <v>2676846.94</v>
      </c>
      <c r="E76" s="29">
        <v>1</v>
      </c>
      <c r="F76" s="32">
        <f t="shared" si="1"/>
        <v>2676846.94</v>
      </c>
      <c r="G76" s="65"/>
      <c r="H76" s="53"/>
      <c r="I76" s="53"/>
      <c r="J76" s="53"/>
      <c r="K76" s="24"/>
      <c r="L76" s="24"/>
    </row>
    <row r="77" spans="3:12" ht="17.399999999999999" x14ac:dyDescent="0.3">
      <c r="C77" s="43">
        <v>48061</v>
      </c>
      <c r="D77" s="32">
        <f>+_xlfn.XLOOKUP(C77,'Cantidades horarias PROD 01 '!E76:E203,'Cantidades horarias PROD 01 '!AG76:AG203)</f>
        <v>2632362.1800000002</v>
      </c>
      <c r="E77" s="29">
        <v>1</v>
      </c>
      <c r="F77" s="32">
        <f t="shared" si="1"/>
        <v>2632362.1800000002</v>
      </c>
      <c r="G77" s="65"/>
      <c r="H77" s="53"/>
      <c r="I77" s="53"/>
      <c r="J77" s="53"/>
      <c r="K77" s="24"/>
      <c r="L77" s="24"/>
    </row>
    <row r="78" spans="3:12" ht="17.399999999999999" x14ac:dyDescent="0.3">
      <c r="C78" s="43">
        <v>48092</v>
      </c>
      <c r="D78" s="32">
        <f>+_xlfn.XLOOKUP(C78,'Cantidades horarias PROD 01 '!E77:E204,'Cantidades horarias PROD 01 '!AG77:AG204)</f>
        <v>2684753.75</v>
      </c>
      <c r="E78" s="29">
        <v>1</v>
      </c>
      <c r="F78" s="32">
        <f t="shared" si="1"/>
        <v>2684753.75</v>
      </c>
      <c r="G78" s="65"/>
      <c r="H78" s="53"/>
      <c r="I78" s="53"/>
      <c r="J78" s="53"/>
      <c r="K78" s="24"/>
      <c r="L78" s="24"/>
    </row>
    <row r="79" spans="3:12" ht="17.399999999999999" x14ac:dyDescent="0.3">
      <c r="C79" s="43">
        <v>48122</v>
      </c>
      <c r="D79" s="32">
        <f>+_xlfn.XLOOKUP(C79,'Cantidades horarias PROD 01 '!E78:E205,'Cantidades horarias PROD 01 '!AG78:AG205)</f>
        <v>2979398.58</v>
      </c>
      <c r="E79" s="29">
        <v>1</v>
      </c>
      <c r="F79" s="32">
        <f t="shared" si="1"/>
        <v>2979398.58</v>
      </c>
      <c r="G79" s="65"/>
      <c r="H79" s="53"/>
      <c r="I79" s="53"/>
      <c r="J79" s="53"/>
      <c r="K79" s="24"/>
      <c r="L79" s="24"/>
    </row>
    <row r="80" spans="3:12" ht="17.399999999999999" x14ac:dyDescent="0.3">
      <c r="C80" s="43">
        <v>48153</v>
      </c>
      <c r="D80" s="32">
        <f>+_xlfn.XLOOKUP(C80,'Cantidades horarias PROD 01 '!E79:E206,'Cantidades horarias PROD 01 '!AG79:AG206)</f>
        <v>2817587.97</v>
      </c>
      <c r="E80" s="29">
        <v>1</v>
      </c>
      <c r="F80" s="32">
        <f t="shared" si="1"/>
        <v>2817587.97</v>
      </c>
      <c r="G80" s="65"/>
      <c r="H80" s="53"/>
      <c r="I80" s="53"/>
      <c r="J80" s="53"/>
      <c r="K80" s="24"/>
      <c r="L80" s="24"/>
    </row>
    <row r="81" spans="3:12" ht="17.399999999999999" x14ac:dyDescent="0.3">
      <c r="C81" s="43">
        <v>48183</v>
      </c>
      <c r="D81" s="32">
        <f>+_xlfn.XLOOKUP(C81,'Cantidades horarias PROD 01 '!E80:E207,'Cantidades horarias PROD 01 '!AG80:AG207)</f>
        <v>3562627.8</v>
      </c>
      <c r="E81" s="29">
        <v>1</v>
      </c>
      <c r="F81" s="32">
        <f t="shared" si="1"/>
        <v>3562627.8</v>
      </c>
      <c r="G81" s="65"/>
      <c r="H81" s="53"/>
      <c r="I81" s="53"/>
      <c r="J81" s="53"/>
      <c r="K81" s="24"/>
      <c r="L81" s="24"/>
    </row>
    <row r="82" spans="3:12" ht="17.399999999999999" x14ac:dyDescent="0.3">
      <c r="C82" s="43">
        <v>48214</v>
      </c>
      <c r="D82" s="32">
        <f>+_xlfn.XLOOKUP(C82,'Cantidades horarias PROD 01 '!E81:E208,'Cantidades horarias PROD 01 '!AG81:AG208)</f>
        <v>3814921.52</v>
      </c>
      <c r="E82" s="29">
        <v>1</v>
      </c>
      <c r="F82" s="32">
        <f t="shared" si="1"/>
        <v>3814921.52</v>
      </c>
      <c r="G82" s="65"/>
      <c r="H82" s="53"/>
      <c r="I82" s="53"/>
      <c r="J82" s="53"/>
      <c r="K82" s="24"/>
      <c r="L82" s="24"/>
    </row>
    <row r="83" spans="3:12" ht="17.399999999999999" x14ac:dyDescent="0.3">
      <c r="C83" s="43">
        <v>48245</v>
      </c>
      <c r="D83" s="32">
        <f>+_xlfn.XLOOKUP(C83,'Cantidades horarias PROD 01 '!E82:E209,'Cantidades horarias PROD 01 '!AG82:AG209)</f>
        <v>3210941.75</v>
      </c>
      <c r="E83" s="29">
        <v>1</v>
      </c>
      <c r="F83" s="32">
        <f t="shared" si="1"/>
        <v>3210941.75</v>
      </c>
      <c r="G83" s="65"/>
      <c r="H83" s="53"/>
      <c r="I83" s="53"/>
      <c r="J83" s="53"/>
      <c r="K83" s="24"/>
      <c r="L83" s="24"/>
    </row>
    <row r="84" spans="3:12" ht="17.399999999999999" x14ac:dyDescent="0.3">
      <c r="C84" s="43">
        <v>48274</v>
      </c>
      <c r="D84" s="32">
        <f>+_xlfn.XLOOKUP(C84,'Cantidades horarias PROD 01 '!E83:E210,'Cantidades horarias PROD 01 '!AG83:AG210)</f>
        <v>3252558</v>
      </c>
      <c r="E84" s="29">
        <v>1</v>
      </c>
      <c r="F84" s="32">
        <f t="shared" si="1"/>
        <v>3252558</v>
      </c>
      <c r="G84" s="65"/>
      <c r="H84" s="53"/>
      <c r="I84" s="53"/>
      <c r="J84" s="53"/>
      <c r="K84" s="24"/>
      <c r="L84" s="24"/>
    </row>
    <row r="85" spans="3:12" ht="17.399999999999999" x14ac:dyDescent="0.3">
      <c r="C85" s="43">
        <v>48305</v>
      </c>
      <c r="D85" s="32">
        <f>+_xlfn.XLOOKUP(C85,'Cantidades horarias PROD 01 '!E84:E211,'Cantidades horarias PROD 01 '!AG84:AG211)</f>
        <v>2613447.67</v>
      </c>
      <c r="E85" s="29">
        <v>1</v>
      </c>
      <c r="F85" s="32">
        <f t="shared" si="1"/>
        <v>2613447.67</v>
      </c>
      <c r="G85" s="65"/>
      <c r="H85" s="53"/>
      <c r="I85" s="53"/>
      <c r="J85" s="53"/>
      <c r="K85" s="24"/>
      <c r="L85" s="24"/>
    </row>
    <row r="86" spans="3:12" ht="17.399999999999999" x14ac:dyDescent="0.3">
      <c r="C86" s="43">
        <v>48335</v>
      </c>
      <c r="D86" s="32">
        <f>+_xlfn.XLOOKUP(C86,'Cantidades horarias PROD 01 '!E85:E212,'Cantidades horarias PROD 01 '!AG85:AG212)</f>
        <v>2898312.47</v>
      </c>
      <c r="E86" s="29">
        <v>1</v>
      </c>
      <c r="F86" s="32">
        <f t="shared" si="1"/>
        <v>2898312.47</v>
      </c>
      <c r="G86" s="65"/>
      <c r="H86" s="53"/>
      <c r="I86" s="53"/>
      <c r="J86" s="53"/>
      <c r="K86" s="24"/>
      <c r="L86" s="24"/>
    </row>
    <row r="87" spans="3:12" ht="17.399999999999999" x14ac:dyDescent="0.3">
      <c r="C87" s="43">
        <v>48366</v>
      </c>
      <c r="D87" s="32">
        <f>+_xlfn.XLOOKUP(C87,'Cantidades horarias PROD 01 '!E86:E213,'Cantidades horarias PROD 01 '!AG86:AG213)</f>
        <v>2318816.7599999998</v>
      </c>
      <c r="E87" s="29">
        <v>1</v>
      </c>
      <c r="F87" s="32">
        <f t="shared" si="1"/>
        <v>2318816.7599999998</v>
      </c>
      <c r="G87" s="65"/>
      <c r="H87" s="53"/>
      <c r="I87" s="53"/>
      <c r="J87" s="53"/>
      <c r="K87" s="24"/>
      <c r="L87" s="24"/>
    </row>
    <row r="88" spans="3:12" ht="17.399999999999999" x14ac:dyDescent="0.3">
      <c r="C88" s="43">
        <v>48396</v>
      </c>
      <c r="D88" s="32">
        <f>+_xlfn.XLOOKUP(C88,'Cantidades horarias PROD 01 '!E87:E214,'Cantidades horarias PROD 01 '!AG87:AG214)</f>
        <v>2660792.0499999998</v>
      </c>
      <c r="E88" s="29">
        <v>1</v>
      </c>
      <c r="F88" s="32">
        <f t="shared" si="1"/>
        <v>2660792.0499999998</v>
      </c>
      <c r="G88" s="65"/>
      <c r="H88" s="53"/>
      <c r="I88" s="53"/>
      <c r="J88" s="53"/>
      <c r="K88" s="24"/>
      <c r="L88" s="24"/>
    </row>
    <row r="89" spans="3:12" ht="17.399999999999999" x14ac:dyDescent="0.3">
      <c r="C89" s="43">
        <v>48427</v>
      </c>
      <c r="D89" s="32">
        <f>+_xlfn.XLOOKUP(C89,'Cantidades horarias PROD 01 '!E88:E215,'Cantidades horarias PROD 01 '!AG88:AG215)</f>
        <v>2617129.38</v>
      </c>
      <c r="E89" s="29">
        <v>1</v>
      </c>
      <c r="F89" s="32">
        <f t="shared" si="1"/>
        <v>2617129.38</v>
      </c>
      <c r="G89" s="65"/>
      <c r="H89" s="53"/>
      <c r="I89" s="53"/>
      <c r="J89" s="53"/>
      <c r="K89" s="24"/>
      <c r="L89" s="24"/>
    </row>
    <row r="90" spans="3:12" ht="17.399999999999999" x14ac:dyDescent="0.3">
      <c r="C90" s="43">
        <v>48458</v>
      </c>
      <c r="D90" s="32">
        <f>+_xlfn.XLOOKUP(C90,'Cantidades horarias PROD 01 '!E89:E216,'Cantidades horarias PROD 01 '!AG89:AG216)</f>
        <v>2670140.23</v>
      </c>
      <c r="E90" s="29">
        <v>1</v>
      </c>
      <c r="F90" s="32">
        <f t="shared" si="1"/>
        <v>2670140.23</v>
      </c>
      <c r="G90" s="65"/>
      <c r="H90" s="53"/>
      <c r="I90" s="53"/>
      <c r="J90" s="53"/>
      <c r="K90" s="24"/>
      <c r="L90" s="24"/>
    </row>
    <row r="91" spans="3:12" ht="17.399999999999999" x14ac:dyDescent="0.3">
      <c r="C91" s="43">
        <v>48488</v>
      </c>
      <c r="D91" s="32">
        <f>+_xlfn.XLOOKUP(C91,'Cantidades horarias PROD 01 '!E90:E217,'Cantidades horarias PROD 01 '!AG90:AG217)</f>
        <v>2961920</v>
      </c>
      <c r="E91" s="29">
        <v>1</v>
      </c>
      <c r="F91" s="32">
        <f t="shared" si="1"/>
        <v>2961920</v>
      </c>
      <c r="G91" s="65"/>
      <c r="H91" s="53"/>
      <c r="I91" s="53"/>
      <c r="J91" s="53"/>
      <c r="K91" s="24"/>
      <c r="L91" s="24"/>
    </row>
    <row r="92" spans="3:12" ht="17.399999999999999" x14ac:dyDescent="0.3">
      <c r="C92" s="43">
        <v>48519</v>
      </c>
      <c r="D92" s="32">
        <f>+_xlfn.XLOOKUP(C92,'Cantidades horarias PROD 01 '!E91:E218,'Cantidades horarias PROD 01 '!AG91:AG218)</f>
        <v>2801627.33</v>
      </c>
      <c r="E92" s="29">
        <v>1</v>
      </c>
      <c r="F92" s="32">
        <f t="shared" si="1"/>
        <v>2801627.33</v>
      </c>
      <c r="G92" s="65"/>
      <c r="H92" s="53"/>
      <c r="I92" s="53"/>
      <c r="J92" s="53"/>
      <c r="K92" s="24"/>
      <c r="L92" s="24"/>
    </row>
    <row r="93" spans="3:12" ht="17.399999999999999" x14ac:dyDescent="0.3">
      <c r="C93" s="43">
        <v>48549</v>
      </c>
      <c r="D93" s="32">
        <f>+_xlfn.XLOOKUP(C93,'Cantidades horarias PROD 01 '!E92:E219,'Cantidades horarias PROD 01 '!AG92:AG219)</f>
        <v>3543739.78</v>
      </c>
      <c r="E93" s="29">
        <v>1</v>
      </c>
      <c r="F93" s="32">
        <f t="shared" si="1"/>
        <v>3543739.78</v>
      </c>
      <c r="G93" s="65"/>
      <c r="H93" s="53"/>
      <c r="I93" s="53"/>
      <c r="J93" s="53"/>
      <c r="K93" s="24"/>
      <c r="L93" s="24"/>
    </row>
    <row r="94" spans="3:12" ht="17.399999999999999" x14ac:dyDescent="0.3">
      <c r="C94" s="43">
        <v>48580</v>
      </c>
      <c r="D94" s="32">
        <f>+_xlfn.XLOOKUP(C94,'Cantidades horarias PROD 01 '!E93:E220,'Cantidades horarias PROD 01 '!AG93:AG220)</f>
        <v>3795054.99</v>
      </c>
      <c r="E94" s="29">
        <v>1</v>
      </c>
      <c r="F94" s="32">
        <f t="shared" si="1"/>
        <v>3795054.99</v>
      </c>
      <c r="G94" s="65"/>
      <c r="H94" s="53"/>
      <c r="I94" s="53"/>
      <c r="J94" s="53"/>
      <c r="K94" s="24"/>
      <c r="L94" s="24"/>
    </row>
    <row r="95" spans="3:12" ht="17.399999999999999" x14ac:dyDescent="0.3">
      <c r="C95" s="43">
        <v>48611</v>
      </c>
      <c r="D95" s="32">
        <f>+_xlfn.XLOOKUP(C95,'Cantidades horarias PROD 01 '!E94:E221,'Cantidades horarias PROD 01 '!AG94:AG221)</f>
        <v>3193986.37</v>
      </c>
      <c r="E95" s="29">
        <v>1</v>
      </c>
      <c r="F95" s="32">
        <f t="shared" si="1"/>
        <v>3193986.37</v>
      </c>
      <c r="G95" s="65"/>
      <c r="H95" s="53"/>
      <c r="I95" s="53"/>
      <c r="J95" s="53"/>
      <c r="K95" s="24"/>
      <c r="L95" s="24"/>
    </row>
    <row r="96" spans="3:12" ht="17.399999999999999" x14ac:dyDescent="0.3">
      <c r="C96" s="43">
        <v>48639</v>
      </c>
      <c r="D96" s="32">
        <f>+_xlfn.XLOOKUP(C96,'Cantidades horarias PROD 01 '!E95:E222,'Cantidades horarias PROD 01 '!AG95:AG222)</f>
        <v>3234910.03</v>
      </c>
      <c r="E96" s="29">
        <v>1</v>
      </c>
      <c r="F96" s="32">
        <f t="shared" si="1"/>
        <v>3234910.03</v>
      </c>
      <c r="G96" s="65"/>
      <c r="H96" s="53"/>
      <c r="I96" s="53"/>
      <c r="J96" s="53"/>
      <c r="K96" s="24"/>
      <c r="L96" s="24"/>
    </row>
    <row r="97" spans="3:12" ht="17.399999999999999" x14ac:dyDescent="0.3">
      <c r="C97" s="43">
        <v>48670</v>
      </c>
      <c r="D97" s="32">
        <f>+_xlfn.XLOOKUP(C97,'Cantidades horarias PROD 01 '!E96:E223,'Cantidades horarias PROD 01 '!AG96:AG223)</f>
        <v>2598174.37</v>
      </c>
      <c r="E97" s="29">
        <v>1</v>
      </c>
      <c r="F97" s="32">
        <f t="shared" si="1"/>
        <v>2598174.37</v>
      </c>
      <c r="G97" s="65"/>
      <c r="H97" s="53"/>
      <c r="I97" s="53"/>
      <c r="J97" s="53"/>
      <c r="K97" s="24"/>
      <c r="L97" s="24"/>
    </row>
    <row r="98" spans="3:12" ht="17.399999999999999" x14ac:dyDescent="0.3">
      <c r="C98" s="43">
        <v>48700</v>
      </c>
      <c r="D98" s="32">
        <f>+_xlfn.XLOOKUP(C98,'Cantidades horarias PROD 01 '!E97:E224,'Cantidades horarias PROD 01 '!AG97:AG224)</f>
        <v>2883865.86</v>
      </c>
      <c r="E98" s="29">
        <v>1</v>
      </c>
      <c r="F98" s="32">
        <f t="shared" si="1"/>
        <v>2883865.86</v>
      </c>
      <c r="G98" s="65"/>
      <c r="H98" s="53"/>
      <c r="I98" s="53"/>
      <c r="J98" s="53"/>
      <c r="K98" s="24"/>
      <c r="L98" s="24"/>
    </row>
    <row r="99" spans="3:12" ht="17.399999999999999" x14ac:dyDescent="0.3">
      <c r="C99" s="43">
        <v>48731</v>
      </c>
      <c r="D99" s="32">
        <f>+_xlfn.XLOOKUP(C99,'Cantidades horarias PROD 01 '!E98:E225,'Cantidades horarias PROD 01 '!AG98:AG225)</f>
        <v>2305048.69</v>
      </c>
      <c r="E99" s="29">
        <v>1</v>
      </c>
      <c r="F99" s="32">
        <f t="shared" si="1"/>
        <v>2305048.69</v>
      </c>
      <c r="G99" s="65"/>
      <c r="H99" s="53"/>
      <c r="I99" s="53"/>
      <c r="J99" s="53"/>
      <c r="K99" s="24"/>
      <c r="L99" s="24"/>
    </row>
    <row r="100" spans="3:12" ht="17.399999999999999" x14ac:dyDescent="0.3">
      <c r="C100" s="43">
        <v>48761</v>
      </c>
      <c r="D100" s="32">
        <f>+_xlfn.XLOOKUP(C100,'Cantidades horarias PROD 01 '!E99:E226,'Cantidades horarias PROD 01 '!AG99:AG226)</f>
        <v>2644647.71</v>
      </c>
      <c r="E100" s="29">
        <v>1</v>
      </c>
      <c r="F100" s="32">
        <f t="shared" si="1"/>
        <v>2644647.71</v>
      </c>
      <c r="G100" s="65"/>
      <c r="H100" s="53"/>
      <c r="I100" s="53"/>
      <c r="J100" s="53"/>
      <c r="K100" s="24"/>
      <c r="L100" s="24"/>
    </row>
    <row r="101" spans="3:12" ht="17.399999999999999" x14ac:dyDescent="0.3">
      <c r="C101" s="43">
        <v>48792</v>
      </c>
      <c r="D101" s="32">
        <f>+_xlfn.XLOOKUP(C101,'Cantidades horarias PROD 01 '!E100:E227,'Cantidades horarias PROD 01 '!AG100:AG227)</f>
        <v>2601802.5299999998</v>
      </c>
      <c r="E101" s="29">
        <v>1</v>
      </c>
      <c r="F101" s="32">
        <f t="shared" si="1"/>
        <v>2601802.5299999998</v>
      </c>
      <c r="G101" s="65"/>
      <c r="H101" s="53"/>
      <c r="I101" s="53"/>
      <c r="J101" s="53"/>
      <c r="K101" s="24"/>
      <c r="L101" s="24"/>
    </row>
    <row r="102" spans="3:12" ht="17.399999999999999" x14ac:dyDescent="0.3">
      <c r="C102" s="43">
        <v>48823</v>
      </c>
      <c r="D102" s="32">
        <f>+_xlfn.XLOOKUP(C102,'Cantidades horarias PROD 01 '!E101:E228,'Cantidades horarias PROD 01 '!AG101:AG228)</f>
        <v>2655455.27</v>
      </c>
      <c r="E102" s="29">
        <v>1</v>
      </c>
      <c r="F102" s="32">
        <f t="shared" si="1"/>
        <v>2655455.27</v>
      </c>
      <c r="G102" s="65"/>
      <c r="H102" s="53"/>
      <c r="I102" s="53"/>
      <c r="J102" s="53"/>
      <c r="K102" s="24"/>
      <c r="L102" s="24"/>
    </row>
    <row r="103" spans="3:12" ht="17.399999999999999" x14ac:dyDescent="0.3">
      <c r="C103" s="43">
        <v>48853</v>
      </c>
      <c r="D103" s="32">
        <f>+_xlfn.XLOOKUP(C103,'Cantidades horarias PROD 01 '!E102:E229,'Cantidades horarias PROD 01 '!AG102:AG229)</f>
        <v>2944326.99</v>
      </c>
      <c r="E103" s="29">
        <v>1</v>
      </c>
      <c r="F103" s="32">
        <f t="shared" si="1"/>
        <v>2944326.99</v>
      </c>
      <c r="G103" s="65"/>
      <c r="H103" s="53"/>
      <c r="I103" s="53"/>
      <c r="J103" s="53"/>
      <c r="K103" s="24"/>
      <c r="L103" s="24"/>
    </row>
    <row r="104" spans="3:12" ht="17.399999999999999" x14ac:dyDescent="0.3">
      <c r="C104" s="43">
        <v>48884</v>
      </c>
      <c r="D104" s="32">
        <f>+_xlfn.XLOOKUP(C104,'Cantidades horarias PROD 01 '!E103:E230,'Cantidades horarias PROD 01 '!AG103:AG230)</f>
        <v>2786197.46</v>
      </c>
      <c r="E104" s="29">
        <v>1</v>
      </c>
      <c r="F104" s="32">
        <f t="shared" si="1"/>
        <v>2786197.46</v>
      </c>
      <c r="G104" s="65"/>
      <c r="H104" s="53"/>
      <c r="I104" s="53"/>
      <c r="J104" s="53"/>
      <c r="K104" s="24"/>
      <c r="L104" s="24"/>
    </row>
    <row r="105" spans="3:12" ht="17.399999999999999" x14ac:dyDescent="0.3">
      <c r="C105" s="43">
        <v>48914</v>
      </c>
      <c r="D105" s="32">
        <f>+_xlfn.XLOOKUP(C105,'Cantidades horarias PROD 01 '!E104:E231,'Cantidades horarias PROD 01 '!AG104:AG231)</f>
        <v>3524738.09</v>
      </c>
      <c r="E105" s="29">
        <v>1</v>
      </c>
      <c r="F105" s="32">
        <f t="shared" si="1"/>
        <v>3524738.09</v>
      </c>
      <c r="G105" s="65"/>
      <c r="H105" s="53"/>
      <c r="I105" s="53"/>
      <c r="J105" s="53"/>
      <c r="K105" s="24"/>
      <c r="L105" s="24"/>
    </row>
    <row r="106" spans="3:12" ht="17.399999999999999" x14ac:dyDescent="0.3">
      <c r="C106" s="43">
        <v>48945</v>
      </c>
      <c r="D106" s="32">
        <f>+_xlfn.XLOOKUP(C106,'Cantidades horarias PROD 01 '!E105:E232,'Cantidades horarias PROD 01 '!AG105:AG232)</f>
        <v>3775099.43</v>
      </c>
      <c r="E106" s="29">
        <v>1</v>
      </c>
      <c r="F106" s="32">
        <f t="shared" si="1"/>
        <v>3775099.43</v>
      </c>
      <c r="G106" s="65"/>
      <c r="H106" s="53"/>
      <c r="I106" s="53"/>
      <c r="J106" s="53"/>
      <c r="K106" s="24"/>
      <c r="L106" s="24"/>
    </row>
    <row r="107" spans="3:12" ht="17.399999999999999" x14ac:dyDescent="0.3">
      <c r="C107" s="43">
        <v>48976</v>
      </c>
      <c r="D107" s="32">
        <f>+_xlfn.XLOOKUP(C107,'Cantidades horarias PROD 01 '!E106:E233,'Cantidades horarias PROD 01 '!AG106:AG233)</f>
        <v>3176958.84</v>
      </c>
      <c r="E107" s="29">
        <v>1</v>
      </c>
      <c r="F107" s="32">
        <f t="shared" si="1"/>
        <v>3176958.84</v>
      </c>
      <c r="G107" s="65"/>
      <c r="H107" s="53"/>
      <c r="I107" s="53"/>
      <c r="J107" s="53"/>
      <c r="K107" s="24"/>
      <c r="L107" s="24"/>
    </row>
    <row r="108" spans="3:12" ht="17.399999999999999" x14ac:dyDescent="0.3">
      <c r="C108" s="43">
        <v>49004</v>
      </c>
      <c r="D108" s="32">
        <f>+_xlfn.XLOOKUP(C108,'Cantidades horarias PROD 01 '!E107:E234,'Cantidades horarias PROD 01 '!AG107:AG234)</f>
        <v>3217206.82</v>
      </c>
      <c r="E108" s="29">
        <v>1</v>
      </c>
      <c r="F108" s="32">
        <f t="shared" si="1"/>
        <v>3217206.82</v>
      </c>
      <c r="G108" s="65"/>
      <c r="H108" s="53"/>
      <c r="I108" s="53"/>
      <c r="J108" s="53"/>
      <c r="K108" s="24"/>
      <c r="L108" s="24"/>
    </row>
    <row r="109" spans="3:12" ht="17.399999999999999" x14ac:dyDescent="0.3">
      <c r="C109" s="43">
        <v>49035</v>
      </c>
      <c r="D109" s="32">
        <f>+_xlfn.XLOOKUP(C109,'Cantidades horarias PROD 01 '!E108:E235,'Cantidades horarias PROD 01 '!AG108:AG235)</f>
        <v>2582836.96</v>
      </c>
      <c r="E109" s="29">
        <v>1</v>
      </c>
      <c r="F109" s="32">
        <f t="shared" si="1"/>
        <v>2582836.96</v>
      </c>
      <c r="G109" s="65"/>
      <c r="H109" s="53"/>
      <c r="I109" s="53"/>
      <c r="J109" s="53"/>
      <c r="K109" s="24"/>
      <c r="L109" s="24"/>
    </row>
    <row r="110" spans="3:12" ht="17.399999999999999" x14ac:dyDescent="0.3">
      <c r="C110" s="43">
        <v>49065</v>
      </c>
      <c r="D110" s="32">
        <f>+_xlfn.XLOOKUP(C110,'Cantidades horarias PROD 01 '!E109:E236,'Cantidades horarias PROD 01 '!AG109:AG236)</f>
        <v>2869362.97</v>
      </c>
      <c r="E110" s="29">
        <v>1</v>
      </c>
      <c r="F110" s="32">
        <f t="shared" si="1"/>
        <v>2869362.97</v>
      </c>
      <c r="G110" s="65"/>
      <c r="H110" s="53"/>
      <c r="I110" s="53"/>
      <c r="J110" s="53"/>
      <c r="K110" s="24"/>
      <c r="L110" s="24"/>
    </row>
    <row r="111" spans="3:12" ht="17.399999999999999" x14ac:dyDescent="0.3">
      <c r="C111" s="43">
        <v>49096</v>
      </c>
      <c r="D111" s="32">
        <f>+_xlfn.XLOOKUP(C111,'Cantidades horarias PROD 01 '!E110:E237,'Cantidades horarias PROD 01 '!AG110:AG237)</f>
        <v>2291224.8199999998</v>
      </c>
      <c r="E111" s="29">
        <v>1</v>
      </c>
      <c r="F111" s="32">
        <f t="shared" si="1"/>
        <v>2291224.8199999998</v>
      </c>
      <c r="G111" s="65"/>
      <c r="H111" s="53"/>
      <c r="I111" s="53"/>
      <c r="J111" s="53"/>
      <c r="K111" s="24"/>
      <c r="L111" s="24"/>
    </row>
    <row r="112" spans="3:12" ht="17.399999999999999" x14ac:dyDescent="0.3">
      <c r="C112" s="43">
        <v>49126</v>
      </c>
      <c r="D112" s="32">
        <f>+_xlfn.XLOOKUP(C112,'Cantidades horarias PROD 01 '!E111:E238,'Cantidades horarias PROD 01 '!AG111:AG238)</f>
        <v>2628433.9300000002</v>
      </c>
      <c r="E112" s="29">
        <v>1</v>
      </c>
      <c r="F112" s="32">
        <f t="shared" si="1"/>
        <v>2628433.9300000002</v>
      </c>
      <c r="G112" s="65"/>
      <c r="H112" s="53"/>
      <c r="I112" s="53"/>
      <c r="J112" s="53"/>
      <c r="K112" s="24"/>
      <c r="L112" s="24"/>
    </row>
    <row r="113" spans="3:12" ht="17.399999999999999" x14ac:dyDescent="0.3">
      <c r="C113" s="43">
        <v>49157</v>
      </c>
      <c r="D113" s="32">
        <f>+_xlfn.XLOOKUP(C113,'Cantidades horarias PROD 01 '!E112:E239,'Cantidades horarias PROD 01 '!AG112:AG239)</f>
        <v>2586411.9900000002</v>
      </c>
      <c r="E113" s="29">
        <v>1</v>
      </c>
      <c r="F113" s="32">
        <f t="shared" si="1"/>
        <v>2586411.9900000002</v>
      </c>
      <c r="G113" s="65"/>
      <c r="H113" s="53"/>
      <c r="I113" s="53"/>
      <c r="J113" s="53"/>
      <c r="K113" s="24"/>
      <c r="L113" s="24"/>
    </row>
    <row r="114" spans="3:12" ht="17.399999999999999" x14ac:dyDescent="0.3">
      <c r="C114" s="43">
        <v>49188</v>
      </c>
      <c r="D114" s="32">
        <f>+_xlfn.XLOOKUP(C114,'Cantidades horarias PROD 01 '!E113:E240,'Cantidades horarias PROD 01 '!AG113:AG240)</f>
        <v>2640685.46</v>
      </c>
      <c r="E114" s="29">
        <v>1</v>
      </c>
      <c r="F114" s="32">
        <f t="shared" si="1"/>
        <v>2640685.46</v>
      </c>
      <c r="G114" s="65"/>
      <c r="H114" s="53"/>
      <c r="I114" s="53"/>
      <c r="J114" s="53"/>
      <c r="K114" s="24"/>
      <c r="L114" s="24"/>
    </row>
    <row r="115" spans="3:12" ht="17.399999999999999" x14ac:dyDescent="0.3">
      <c r="C115" s="43">
        <v>49218</v>
      </c>
      <c r="D115" s="32">
        <f>+_xlfn.XLOOKUP(C115,'Cantidades horarias PROD 01 '!E114:E241,'Cantidades horarias PROD 01 '!AG114:AG241)</f>
        <v>2926646.93</v>
      </c>
      <c r="E115" s="29">
        <v>1</v>
      </c>
      <c r="F115" s="32">
        <f t="shared" si="1"/>
        <v>2926646.93</v>
      </c>
      <c r="G115" s="65"/>
      <c r="H115" s="53"/>
      <c r="I115" s="53"/>
      <c r="J115" s="53"/>
      <c r="K115" s="24"/>
      <c r="L115" s="24"/>
    </row>
    <row r="116" spans="3:12" ht="17.399999999999999" x14ac:dyDescent="0.3">
      <c r="C116" s="43">
        <v>49249</v>
      </c>
      <c r="D116" s="32">
        <f>+_xlfn.XLOOKUP(C116,'Cantidades horarias PROD 01 '!E115:E242,'Cantidades horarias PROD 01 '!AG115:AG242)</f>
        <v>2771058.98</v>
      </c>
      <c r="E116" s="29">
        <v>1</v>
      </c>
      <c r="F116" s="32">
        <f t="shared" si="1"/>
        <v>2771058.98</v>
      </c>
      <c r="G116" s="65"/>
      <c r="H116" s="53"/>
      <c r="I116" s="53"/>
      <c r="J116" s="53"/>
      <c r="K116" s="24"/>
      <c r="L116" s="24"/>
    </row>
    <row r="117" spans="3:12" ht="17.399999999999999" x14ac:dyDescent="0.3">
      <c r="C117" s="43">
        <v>49279</v>
      </c>
      <c r="D117" s="32">
        <f>+_xlfn.XLOOKUP(C117,'Cantidades horarias PROD 01 '!E116:E243,'Cantidades horarias PROD 01 '!AG116:AG243)</f>
        <v>3505630.03</v>
      </c>
      <c r="E117" s="29">
        <v>1</v>
      </c>
      <c r="F117" s="32">
        <f t="shared" si="1"/>
        <v>3505630.03</v>
      </c>
      <c r="G117" s="65"/>
      <c r="H117" s="53"/>
      <c r="I117" s="53"/>
      <c r="J117" s="53"/>
      <c r="K117" s="24"/>
      <c r="L117" s="24"/>
    </row>
    <row r="118" spans="3:12" ht="17.399999999999999" x14ac:dyDescent="0.3">
      <c r="C118" s="43">
        <v>49310</v>
      </c>
      <c r="D118" s="32">
        <f>+_xlfn.XLOOKUP(C118,'Cantidades horarias PROD 01 '!E117:E244,'Cantidades horarias PROD 01 '!AG117:AG244)</f>
        <v>2139216.48</v>
      </c>
      <c r="E118" s="29">
        <v>1</v>
      </c>
      <c r="F118" s="32">
        <f t="shared" ref="F118:F129" si="2">ROUND(D118*$E118,2)</f>
        <v>2139216.48</v>
      </c>
      <c r="G118" s="65"/>
      <c r="H118" s="53"/>
      <c r="I118" s="53"/>
      <c r="J118" s="53"/>
      <c r="K118" s="24"/>
      <c r="L118" s="24"/>
    </row>
    <row r="119" spans="3:12" ht="17.399999999999999" x14ac:dyDescent="0.3">
      <c r="C119" s="43">
        <v>49341</v>
      </c>
      <c r="D119" s="32">
        <f>+_xlfn.XLOOKUP(C119,'Cantidades horarias PROD 01 '!E118:E245,'Cantidades horarias PROD 01 '!AG118:AG245)</f>
        <v>2078695.73</v>
      </c>
      <c r="E119" s="29">
        <v>1</v>
      </c>
      <c r="F119" s="32">
        <f t="shared" si="2"/>
        <v>2078695.73</v>
      </c>
      <c r="G119" s="65"/>
      <c r="H119" s="53"/>
      <c r="I119" s="53"/>
      <c r="J119" s="53"/>
      <c r="K119" s="24"/>
      <c r="L119" s="24"/>
    </row>
    <row r="120" spans="3:12" ht="17.399999999999999" x14ac:dyDescent="0.3">
      <c r="C120" s="43">
        <v>49369</v>
      </c>
      <c r="D120" s="32">
        <f>+_xlfn.XLOOKUP(C120,'Cantidades horarias PROD 01 '!E119:E246,'Cantidades horarias PROD 01 '!AG119:AG246)</f>
        <v>2212866.42</v>
      </c>
      <c r="E120" s="29">
        <v>1</v>
      </c>
      <c r="F120" s="32">
        <f t="shared" si="2"/>
        <v>2212866.42</v>
      </c>
      <c r="G120" s="65"/>
      <c r="H120" s="53"/>
      <c r="I120" s="53"/>
      <c r="J120" s="53"/>
      <c r="K120" s="24"/>
      <c r="L120" s="24"/>
    </row>
    <row r="121" spans="3:12" ht="17.399999999999999" x14ac:dyDescent="0.3">
      <c r="C121" s="43">
        <v>49400</v>
      </c>
      <c r="D121" s="32">
        <f>+_xlfn.XLOOKUP(C121,'Cantidades horarias PROD 01 '!E120:E247,'Cantidades horarias PROD 01 '!AG120:AG247)</f>
        <v>1879302.71</v>
      </c>
      <c r="E121" s="29">
        <v>1</v>
      </c>
      <c r="F121" s="32">
        <f t="shared" si="2"/>
        <v>1879302.71</v>
      </c>
      <c r="G121" s="65"/>
      <c r="H121" s="53"/>
      <c r="I121" s="53"/>
      <c r="J121" s="53"/>
      <c r="K121" s="24"/>
      <c r="L121" s="24"/>
    </row>
    <row r="122" spans="3:12" ht="17.399999999999999" x14ac:dyDescent="0.3">
      <c r="C122" s="43">
        <v>49430</v>
      </c>
      <c r="D122" s="32">
        <f>+_xlfn.XLOOKUP(C122,'Cantidades horarias PROD 01 '!E121:E248,'Cantidades horarias PROD 01 '!AG121:AG248)</f>
        <v>1965185.11</v>
      </c>
      <c r="E122" s="29">
        <v>1</v>
      </c>
      <c r="F122" s="32">
        <f t="shared" si="2"/>
        <v>1965185.11</v>
      </c>
      <c r="G122" s="65"/>
      <c r="H122" s="53"/>
      <c r="I122" s="53"/>
      <c r="J122" s="53"/>
      <c r="K122" s="24"/>
      <c r="L122" s="24"/>
    </row>
    <row r="123" spans="3:12" ht="17.399999999999999" x14ac:dyDescent="0.3">
      <c r="C123" s="43">
        <v>49461</v>
      </c>
      <c r="D123" s="32">
        <f>+_xlfn.XLOOKUP(C123,'Cantidades horarias PROD 01 '!E122:E249,'Cantidades horarias PROD 01 '!AG122:AG249)</f>
        <v>1573928.81</v>
      </c>
      <c r="E123" s="29">
        <v>1</v>
      </c>
      <c r="F123" s="32">
        <f t="shared" si="2"/>
        <v>1573928.81</v>
      </c>
      <c r="G123" s="65"/>
      <c r="H123" s="53"/>
      <c r="I123" s="53"/>
      <c r="J123" s="53"/>
      <c r="K123" s="24"/>
      <c r="L123" s="24"/>
    </row>
    <row r="124" spans="3:12" ht="17.399999999999999" x14ac:dyDescent="0.3">
      <c r="C124" s="43">
        <v>49491</v>
      </c>
      <c r="D124" s="32">
        <f>+_xlfn.XLOOKUP(C124,'Cantidades horarias PROD 01 '!E123:E250,'Cantidades horarias PROD 01 '!AG123:AG250)</f>
        <v>1836973.34</v>
      </c>
      <c r="E124" s="29">
        <v>1</v>
      </c>
      <c r="F124" s="32">
        <f t="shared" si="2"/>
        <v>1836973.34</v>
      </c>
      <c r="G124" s="65"/>
      <c r="H124" s="53"/>
      <c r="I124" s="53"/>
      <c r="J124" s="53"/>
      <c r="K124" s="24"/>
      <c r="L124" s="24"/>
    </row>
    <row r="125" spans="3:12" ht="17.399999999999999" x14ac:dyDescent="0.3">
      <c r="C125" s="43">
        <v>49522</v>
      </c>
      <c r="D125" s="32">
        <f>+_xlfn.XLOOKUP(C125,'Cantidades horarias PROD 01 '!E124:E251,'Cantidades horarias PROD 01 '!AG124:AG251)</f>
        <v>1661448.43</v>
      </c>
      <c r="E125" s="29">
        <v>1</v>
      </c>
      <c r="F125" s="32">
        <f t="shared" si="2"/>
        <v>1661448.43</v>
      </c>
      <c r="G125" s="65"/>
      <c r="H125" s="53"/>
      <c r="I125" s="53"/>
      <c r="J125" s="53"/>
      <c r="K125" s="24"/>
      <c r="L125" s="24"/>
    </row>
    <row r="126" spans="3:12" ht="17.399999999999999" x14ac:dyDescent="0.3">
      <c r="C126" s="43">
        <v>49553</v>
      </c>
      <c r="D126" s="32">
        <f>+_xlfn.XLOOKUP(C126,'Cantidades horarias PROD 01 '!E125:E252,'Cantidades horarias PROD 01 '!AG125:AG252)</f>
        <v>1536151.01</v>
      </c>
      <c r="E126" s="29">
        <v>1</v>
      </c>
      <c r="F126" s="32">
        <f t="shared" si="2"/>
        <v>1536151.01</v>
      </c>
      <c r="G126" s="65"/>
      <c r="H126" s="53"/>
      <c r="I126" s="53"/>
      <c r="J126" s="53"/>
      <c r="K126" s="24"/>
      <c r="L126" s="24"/>
    </row>
    <row r="127" spans="3:12" ht="17.399999999999999" x14ac:dyDescent="0.3">
      <c r="C127" s="43">
        <v>49583</v>
      </c>
      <c r="D127" s="32">
        <f>+_xlfn.XLOOKUP(C127,'Cantidades horarias PROD 01 '!E126:E253,'Cantidades horarias PROD 01 '!AG126:AG253)</f>
        <v>1735761.65</v>
      </c>
      <c r="E127" s="29">
        <v>1</v>
      </c>
      <c r="F127" s="32">
        <f t="shared" si="2"/>
        <v>1735761.65</v>
      </c>
      <c r="G127" s="65"/>
      <c r="H127" s="53"/>
      <c r="I127" s="53"/>
      <c r="J127" s="53"/>
      <c r="K127" s="24"/>
      <c r="L127" s="24"/>
    </row>
    <row r="128" spans="3:12" ht="17.399999999999999" x14ac:dyDescent="0.3">
      <c r="C128" s="43">
        <v>49614</v>
      </c>
      <c r="D128" s="32">
        <f>+_xlfn.XLOOKUP(C128,'Cantidades horarias PROD 01 '!E127:E254,'Cantidades horarias PROD 01 '!AG127:AG254)</f>
        <v>1793270.6</v>
      </c>
      <c r="E128" s="29">
        <v>1</v>
      </c>
      <c r="F128" s="32">
        <f t="shared" si="2"/>
        <v>1793270.6</v>
      </c>
      <c r="G128" s="65"/>
      <c r="H128" s="53"/>
      <c r="I128" s="53"/>
      <c r="J128" s="53"/>
      <c r="K128" s="24"/>
      <c r="L128" s="24"/>
    </row>
    <row r="129" spans="3:12" ht="18" thickBot="1" x14ac:dyDescent="0.35">
      <c r="C129" s="43">
        <v>49644</v>
      </c>
      <c r="D129" s="32">
        <f>+_xlfn.XLOOKUP(C129,'Cantidades horarias PROD 01 '!E128:E255,'Cantidades horarias PROD 01 '!AG128:AG255)</f>
        <v>1946413.63</v>
      </c>
      <c r="E129" s="29">
        <v>1</v>
      </c>
      <c r="F129" s="32">
        <f t="shared" si="2"/>
        <v>1946413.63</v>
      </c>
      <c r="G129" s="65"/>
      <c r="H129" s="53"/>
      <c r="I129" s="53"/>
      <c r="J129" s="53"/>
      <c r="K129" s="24"/>
      <c r="L129" s="24"/>
    </row>
    <row r="130" spans="3:12" ht="18" thickBot="1" x14ac:dyDescent="0.4">
      <c r="C130" s="39" t="s">
        <v>10</v>
      </c>
      <c r="D130" s="40">
        <f>SUM(D10:D129)</f>
        <v>269435530.03000015</v>
      </c>
      <c r="E130" s="41">
        <f>IFERROR(F130/D130,0)</f>
        <v>1</v>
      </c>
      <c r="F130" s="40">
        <f>SUM(F10:F129)</f>
        <v>269435530.03000015</v>
      </c>
      <c r="G130" s="58">
        <f>+(SUM(F10:F21)*G10+SUM(F22:F33)*G22+SUM(F34:F45)*G34+SUM(F46:F57)*G46+SUM(F58:F69)*G58+SUM(F70:F81)*G70+SUM(F82:F93)*G82+SUM(F94:F105)*G94+SUM(F106:F117)*G106+SUM(F118:F129)*G118)/F130</f>
        <v>0</v>
      </c>
      <c r="H130" s="53"/>
      <c r="I130" s="53"/>
      <c r="J130" s="53"/>
      <c r="K130" s="24"/>
      <c r="L130" s="24"/>
    </row>
    <row r="131" spans="3:12" ht="17.399999999999999" x14ac:dyDescent="0.35">
      <c r="C131" s="59"/>
      <c r="D131" s="31"/>
      <c r="E131" s="33"/>
      <c r="F131" s="31"/>
      <c r="G131" s="60"/>
      <c r="H131" s="53"/>
      <c r="I131" s="53"/>
      <c r="J131" s="53"/>
      <c r="K131" s="24"/>
      <c r="L131" s="24"/>
    </row>
    <row r="132" spans="3:12" ht="17.399999999999999" x14ac:dyDescent="0.35">
      <c r="C132" s="59"/>
      <c r="D132" s="31"/>
      <c r="E132" s="33"/>
      <c r="F132" s="31"/>
      <c r="G132" s="60"/>
      <c r="H132" s="53"/>
      <c r="I132" s="53"/>
      <c r="J132" s="53"/>
      <c r="K132" s="24"/>
      <c r="L132" s="24"/>
    </row>
    <row r="133" spans="3:12" ht="17.399999999999999" x14ac:dyDescent="0.35">
      <c r="C133" s="27" t="s">
        <v>11</v>
      </c>
      <c r="D133" s="26"/>
      <c r="E133" s="26"/>
      <c r="F133" s="26"/>
      <c r="G133" s="26"/>
      <c r="H133" s="26"/>
      <c r="I133" s="25"/>
      <c r="J133" s="25"/>
    </row>
    <row r="134" spans="3:12" ht="16.8" x14ac:dyDescent="0.3">
      <c r="C134" s="28" t="s">
        <v>55</v>
      </c>
      <c r="D134" s="26"/>
      <c r="E134" s="26"/>
      <c r="F134" s="26"/>
      <c r="G134" s="26"/>
      <c r="H134" s="26"/>
      <c r="I134" s="25"/>
      <c r="J134" s="25"/>
    </row>
    <row r="135" spans="3:12" ht="16.8" x14ac:dyDescent="0.3">
      <c r="C135" s="28" t="s">
        <v>12</v>
      </c>
      <c r="I135" s="25"/>
      <c r="J135" s="25"/>
    </row>
    <row r="136" spans="3:12" ht="16.8" x14ac:dyDescent="0.3">
      <c r="C136" s="64"/>
      <c r="D136" s="64"/>
      <c r="E136" s="64"/>
      <c r="F136" s="64"/>
      <c r="G136" s="64"/>
      <c r="H136" s="25"/>
      <c r="I136" s="25"/>
      <c r="J136" s="25"/>
    </row>
    <row r="137" spans="3:12" ht="16.8" x14ac:dyDescent="0.3">
      <c r="C137" s="64"/>
      <c r="D137" s="64"/>
      <c r="E137" s="64"/>
      <c r="F137" s="64"/>
      <c r="G137" s="64"/>
    </row>
    <row r="138" spans="3:12" ht="16.8" x14ac:dyDescent="0.3">
      <c r="C138"/>
      <c r="D138"/>
      <c r="E138"/>
      <c r="F138" s="44"/>
      <c r="G138" s="44"/>
    </row>
    <row r="139" spans="3:12" ht="15" customHeight="1" x14ac:dyDescent="0.35">
      <c r="C139" s="45" t="s">
        <v>13</v>
      </c>
      <c r="D139"/>
      <c r="E139"/>
      <c r="F139" s="34"/>
      <c r="G139" s="34"/>
    </row>
    <row r="140" spans="3:12" ht="15" customHeight="1" x14ac:dyDescent="0.35">
      <c r="C140" s="22" t="s">
        <v>14</v>
      </c>
      <c r="D140"/>
      <c r="E140"/>
      <c r="F140" s="34"/>
      <c r="G140" s="34"/>
    </row>
    <row r="141" spans="3:12" ht="17.399999999999999" x14ac:dyDescent="0.35">
      <c r="C141" s="22" t="s">
        <v>15</v>
      </c>
      <c r="D141"/>
      <c r="E141"/>
    </row>
    <row r="142" spans="3:12" ht="17.399999999999999" x14ac:dyDescent="0.35">
      <c r="C142"/>
      <c r="D142"/>
      <c r="E142"/>
      <c r="G142" s="22"/>
      <c r="H142" s="22"/>
    </row>
  </sheetData>
  <sheetProtection selectLockedCells="1"/>
  <protectedRanges>
    <protectedRange algorithmName="SHA-512" hashValue="ae/Js8yeMw6wHjGREqu83BjAYnjwv1NHxpvnTe57rDwDMNDPGlnZwgp89HjM7G0cg/2ItV/6+CjQlsfmX7La6g==" saltValue="fv5wd7mgDmwpGOJN+Z7vlA==" spinCount="100000" sqref="C9:D9 C10:E129" name="Rango1"/>
    <protectedRange algorithmName="SHA-512" hashValue="ae/Js8yeMw6wHjGREqu83BjAYnjwv1NHxpvnTe57rDwDMNDPGlnZwgp89HjM7G0cg/2ItV/6+CjQlsfmX7La6g==" saltValue="fv5wd7mgDmwpGOJN+Z7vlA==" spinCount="100000" sqref="G10:G129" name="Rango1_1_1"/>
    <protectedRange algorithmName="SHA-512" hashValue="ae/Js8yeMw6wHjGREqu83BjAYnjwv1NHxpvnTe57rDwDMNDPGlnZwgp89HjM7G0cg/2ItV/6+CjQlsfmX7La6g==" saltValue="fv5wd7mgDmwpGOJN+Z7vlA==" spinCount="100000" sqref="F9:G9" name="Rango1_1"/>
    <protectedRange algorithmName="SHA-512" hashValue="ae/Js8yeMw6wHjGREqu83BjAYnjwv1NHxpvnTe57rDwDMNDPGlnZwgp89HjM7G0cg/2ItV/6+CjQlsfmX7La6g==" saltValue="fv5wd7mgDmwpGOJN+Z7vlA==" spinCount="100000" sqref="E9" name="Rango1_2"/>
  </protectedRanges>
  <mergeCells count="13">
    <mergeCell ref="C1:G1"/>
    <mergeCell ref="C2:G2"/>
    <mergeCell ref="C136:G137"/>
    <mergeCell ref="G118:G129"/>
    <mergeCell ref="G10:G21"/>
    <mergeCell ref="G22:G33"/>
    <mergeCell ref="G34:G45"/>
    <mergeCell ref="G46:G57"/>
    <mergeCell ref="G58:G69"/>
    <mergeCell ref="G70:G81"/>
    <mergeCell ref="G82:G93"/>
    <mergeCell ref="G94:G105"/>
    <mergeCell ref="G106:G117"/>
  </mergeCells>
  <dataValidations disablePrompts="1" count="1">
    <dataValidation type="textLength" allowBlank="1" showInputMessage="1" showErrorMessage="1" errorTitle="SOLO 2 DECIMALES" error="Por favor introduzca un valor con maximo 2 decimales" sqref="E10:E129" xr:uid="{6A66CF97-9A7E-4BBE-BD28-41B448E78296}">
      <formula1>1</formula1>
      <formula2>6</formula2>
    </dataValidation>
  </dataValidations>
  <printOptions horizontalCentered="1" verticalCentered="1"/>
  <pageMargins left="0.74803149606299213" right="0.27559055118110237" top="1.5748031496062993" bottom="1.3779527559055118" header="0" footer="0"/>
  <pageSetup scale="80" fitToHeight="0" orientation="portrait" cellComments="asDisplayed" r:id="rId1"/>
  <headerFooter alignWithMargins="0">
    <oddHeader>&amp;R&amp;11 1 de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D9944-F70D-47F8-A535-0E42E8324C87}">
  <dimension ref="E1:AG131"/>
  <sheetViews>
    <sheetView showGridLines="0" zoomScale="84" zoomScaleNormal="84" workbookViewId="0">
      <selection activeCell="A8" sqref="A8:XFD8"/>
    </sheetView>
  </sheetViews>
  <sheetFormatPr baseColWidth="10" defaultColWidth="11.44140625" defaultRowHeight="13.2" x14ac:dyDescent="0.25"/>
  <cols>
    <col min="4" max="4" width="3.21875" customWidth="1"/>
    <col min="6" max="6" width="14.44140625" bestFit="1" customWidth="1"/>
    <col min="7" max="7" width="14.44140625" customWidth="1"/>
    <col min="9" max="32" width="11.77734375" bestFit="1" customWidth="1"/>
    <col min="33" max="33" width="14.44140625" bestFit="1" customWidth="1"/>
    <col min="34" max="34" width="2.21875" customWidth="1"/>
  </cols>
  <sheetData>
    <row r="1" spans="5:33" ht="23.4" x14ac:dyDescent="0.25">
      <c r="E1" s="66" t="s">
        <v>16</v>
      </c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</row>
    <row r="2" spans="5:33" ht="23.4" x14ac:dyDescent="0.25">
      <c r="E2" s="66" t="s">
        <v>17</v>
      </c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</row>
    <row r="3" spans="5:33" ht="23.4" x14ac:dyDescent="0.25">
      <c r="E3" s="66" t="s">
        <v>3</v>
      </c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</row>
    <row r="4" spans="5:33" ht="23.4" x14ac:dyDescent="0.25"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</row>
    <row r="5" spans="5:33" ht="23.4" x14ac:dyDescent="0.25">
      <c r="E5" s="66" t="s">
        <v>4</v>
      </c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</row>
    <row r="6" spans="5:33" ht="23.4" x14ac:dyDescent="0.25">
      <c r="E6" s="46"/>
      <c r="F6" s="47"/>
      <c r="G6" s="47"/>
      <c r="H6" s="48"/>
      <c r="I6" s="50"/>
      <c r="J6" s="50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47"/>
    </row>
    <row r="7" spans="5:33" ht="15" thickBot="1" x14ac:dyDescent="0.3">
      <c r="E7" s="49"/>
      <c r="F7" s="49"/>
      <c r="G7" s="49"/>
      <c r="H7" s="57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49"/>
    </row>
    <row r="8" spans="5:33" ht="29.4" thickBot="1" x14ac:dyDescent="0.3">
      <c r="E8" s="8"/>
      <c r="F8" s="9" t="s">
        <v>18</v>
      </c>
      <c r="G8" s="61" t="s">
        <v>58</v>
      </c>
      <c r="H8" s="10" t="s">
        <v>19</v>
      </c>
      <c r="I8" s="11" t="s">
        <v>20</v>
      </c>
      <c r="J8" s="12" t="s">
        <v>21</v>
      </c>
      <c r="K8" s="12" t="s">
        <v>22</v>
      </c>
      <c r="L8" s="12" t="s">
        <v>23</v>
      </c>
      <c r="M8" s="12" t="s">
        <v>24</v>
      </c>
      <c r="N8" s="12" t="s">
        <v>25</v>
      </c>
      <c r="O8" s="12" t="s">
        <v>26</v>
      </c>
      <c r="P8" s="12" t="s">
        <v>27</v>
      </c>
      <c r="Q8" s="12" t="s">
        <v>28</v>
      </c>
      <c r="R8" s="12" t="s">
        <v>29</v>
      </c>
      <c r="S8" s="12" t="s">
        <v>30</v>
      </c>
      <c r="T8" s="12" t="s">
        <v>31</v>
      </c>
      <c r="U8" s="12" t="s">
        <v>32</v>
      </c>
      <c r="V8" s="12" t="s">
        <v>33</v>
      </c>
      <c r="W8" s="12" t="s">
        <v>34</v>
      </c>
      <c r="X8" s="12" t="s">
        <v>35</v>
      </c>
      <c r="Y8" s="12" t="s">
        <v>36</v>
      </c>
      <c r="Z8" s="12" t="s">
        <v>37</v>
      </c>
      <c r="AA8" s="12" t="s">
        <v>38</v>
      </c>
      <c r="AB8" s="12" t="s">
        <v>39</v>
      </c>
      <c r="AC8" s="12" t="s">
        <v>40</v>
      </c>
      <c r="AD8" s="12" t="s">
        <v>41</v>
      </c>
      <c r="AE8" s="12" t="s">
        <v>42</v>
      </c>
      <c r="AF8" s="13" t="s">
        <v>43</v>
      </c>
      <c r="AG8" s="14" t="s">
        <v>10</v>
      </c>
    </row>
    <row r="9" spans="5:33" ht="15" thickBot="1" x14ac:dyDescent="0.3">
      <c r="E9" s="56">
        <v>46023</v>
      </c>
      <c r="F9" s="55">
        <f>+_xlfn.XLOOKUP(E9,'PRODUCTO 01'!$C$10:$C$129,'PRODUCTO 01'!$F$10:$F$129)</f>
        <v>2128157.2799999998</v>
      </c>
      <c r="G9" s="55" t="s">
        <v>59</v>
      </c>
      <c r="H9" s="36">
        <v>31</v>
      </c>
      <c r="I9" s="37">
        <v>0</v>
      </c>
      <c r="J9" s="37">
        <v>0</v>
      </c>
      <c r="K9" s="37">
        <v>0</v>
      </c>
      <c r="L9" s="37">
        <v>0</v>
      </c>
      <c r="M9" s="37">
        <v>0</v>
      </c>
      <c r="N9" s="37">
        <v>4.6307391673975067E-2</v>
      </c>
      <c r="O9" s="37">
        <v>60.36922173349447</v>
      </c>
      <c r="P9" s="37">
        <v>1419.6206791726229</v>
      </c>
      <c r="Q9" s="37">
        <v>5555.2444454484557</v>
      </c>
      <c r="R9" s="37">
        <v>8619.3119731265779</v>
      </c>
      <c r="S9" s="37">
        <v>8352.1883918327039</v>
      </c>
      <c r="T9" s="37">
        <v>8446.8340314361849</v>
      </c>
      <c r="U9" s="37">
        <v>8382.9581221008648</v>
      </c>
      <c r="V9" s="37">
        <v>8736.4516248953805</v>
      </c>
      <c r="W9" s="37">
        <v>8864.4832166478045</v>
      </c>
      <c r="X9" s="37">
        <v>7572.1571895816405</v>
      </c>
      <c r="Y9" s="37">
        <v>2125.7978970239374</v>
      </c>
      <c r="Z9" s="37">
        <v>514.77178325991463</v>
      </c>
      <c r="AA9" s="37">
        <v>0</v>
      </c>
      <c r="AB9" s="37">
        <v>0</v>
      </c>
      <c r="AC9" s="37">
        <v>0</v>
      </c>
      <c r="AD9" s="37">
        <v>0</v>
      </c>
      <c r="AE9" s="37">
        <v>0</v>
      </c>
      <c r="AF9" s="37">
        <v>0</v>
      </c>
      <c r="AG9" s="38">
        <f>ROUND(SUM(I9:AF9)*H9,2)</f>
        <v>2128157.2799999998</v>
      </c>
    </row>
    <row r="10" spans="5:33" ht="15" thickBot="1" x14ac:dyDescent="0.3">
      <c r="E10" s="56">
        <v>46054</v>
      </c>
      <c r="F10" s="55">
        <f>+_xlfn.XLOOKUP(E10,'PRODUCTO 01'!$C$10:$C$129,'PRODUCTO 01'!$F$10:$F$129)</f>
        <v>1899319.56</v>
      </c>
      <c r="G10" s="55" t="s">
        <v>59</v>
      </c>
      <c r="H10" s="36">
        <v>28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37">
        <v>89.612158244418069</v>
      </c>
      <c r="P10" s="37">
        <v>1735.3727233016314</v>
      </c>
      <c r="Q10" s="37">
        <v>5746.0436043325162</v>
      </c>
      <c r="R10" s="37">
        <v>9497.9401701085135</v>
      </c>
      <c r="S10" s="37">
        <v>10050.541706059346</v>
      </c>
      <c r="T10" s="37">
        <v>9083.6838844618469</v>
      </c>
      <c r="U10" s="37">
        <v>8074.9937245091933</v>
      </c>
      <c r="V10" s="37">
        <v>5111.6957878464327</v>
      </c>
      <c r="W10" s="37">
        <v>6916.740181655161</v>
      </c>
      <c r="X10" s="37">
        <v>7864.4671540850613</v>
      </c>
      <c r="Y10" s="37">
        <v>2853.0262778982597</v>
      </c>
      <c r="Z10" s="37">
        <v>808.72418412864658</v>
      </c>
      <c r="AA10" s="37">
        <v>0</v>
      </c>
      <c r="AB10" s="37">
        <v>0</v>
      </c>
      <c r="AC10" s="37">
        <v>0</v>
      </c>
      <c r="AD10" s="37">
        <v>0</v>
      </c>
      <c r="AE10" s="37">
        <v>0</v>
      </c>
      <c r="AF10" s="37">
        <v>0</v>
      </c>
      <c r="AG10" s="38">
        <f t="shared" ref="AG10" si="0">ROUND(SUM(I10:AF10)*H10,2)</f>
        <v>1899319.56</v>
      </c>
    </row>
    <row r="11" spans="5:33" ht="15" thickBot="1" x14ac:dyDescent="0.3">
      <c r="E11" s="56">
        <v>46082</v>
      </c>
      <c r="F11" s="55">
        <f>+_xlfn.XLOOKUP(E11,'PRODUCTO 01'!$C$10:$C$129,'PRODUCTO 01'!$F$10:$F$129)</f>
        <v>2057162.05</v>
      </c>
      <c r="G11" s="55" t="s">
        <v>59</v>
      </c>
      <c r="H11" s="36">
        <v>31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4.9875592666989146</v>
      </c>
      <c r="O11" s="37">
        <v>239.93034741151649</v>
      </c>
      <c r="P11" s="37">
        <v>1602.0201299493028</v>
      </c>
      <c r="Q11" s="37">
        <v>4716.2871577565938</v>
      </c>
      <c r="R11" s="37">
        <v>7269.3974818977094</v>
      </c>
      <c r="S11" s="37">
        <v>7600.5800817816689</v>
      </c>
      <c r="T11" s="37">
        <v>7995.1864031293035</v>
      </c>
      <c r="U11" s="37">
        <v>8163.7804660509619</v>
      </c>
      <c r="V11" s="37">
        <v>8447.4346655326081</v>
      </c>
      <c r="W11" s="37">
        <v>9279.0486785487847</v>
      </c>
      <c r="X11" s="37">
        <v>7453.8105694942487</v>
      </c>
      <c r="Y11" s="37">
        <v>2751.0925278429827</v>
      </c>
      <c r="Z11" s="37">
        <v>836.51007487406491</v>
      </c>
      <c r="AA11" s="37">
        <v>0</v>
      </c>
      <c r="AB11" s="37">
        <v>0</v>
      </c>
      <c r="AC11" s="37">
        <v>0</v>
      </c>
      <c r="AD11" s="37">
        <v>0</v>
      </c>
      <c r="AE11" s="37">
        <v>0</v>
      </c>
      <c r="AF11" s="37">
        <v>0</v>
      </c>
      <c r="AG11" s="38">
        <f t="shared" ref="AG11" si="1">ROUND(SUM(I11:AF11)*H11,2)</f>
        <v>2057162.05</v>
      </c>
    </row>
    <row r="12" spans="5:33" ht="15" thickBot="1" x14ac:dyDescent="0.3">
      <c r="E12" s="56">
        <v>46113</v>
      </c>
      <c r="F12" s="55">
        <f>+_xlfn.XLOOKUP(E12,'PRODUCTO 01'!$C$10:$C$129,'PRODUCTO 01'!$F$10:$F$129)</f>
        <v>1780594.44</v>
      </c>
      <c r="G12" s="55" t="s">
        <v>59</v>
      </c>
      <c r="H12" s="36">
        <v>30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28.363730898064354</v>
      </c>
      <c r="O12" s="37">
        <v>360.58152489749136</v>
      </c>
      <c r="P12" s="37">
        <v>1748.3871749287509</v>
      </c>
      <c r="Q12" s="37">
        <v>3534.8336554245798</v>
      </c>
      <c r="R12" s="37">
        <v>6064.3235263204733</v>
      </c>
      <c r="S12" s="37">
        <v>6775.9381852906799</v>
      </c>
      <c r="T12" s="37">
        <v>6750.5883907854377</v>
      </c>
      <c r="U12" s="37">
        <v>6875.5207281799994</v>
      </c>
      <c r="V12" s="37">
        <v>7721.661283576017</v>
      </c>
      <c r="W12" s="37">
        <v>6928.6040048758214</v>
      </c>
      <c r="X12" s="37">
        <v>7860.811456718453</v>
      </c>
      <c r="Y12" s="37">
        <v>3936.8318349701149</v>
      </c>
      <c r="Z12" s="37">
        <v>766.70260523424906</v>
      </c>
      <c r="AA12" s="37">
        <v>0</v>
      </c>
      <c r="AB12" s="37">
        <v>0</v>
      </c>
      <c r="AC12" s="37">
        <v>0</v>
      </c>
      <c r="AD12" s="37">
        <v>0</v>
      </c>
      <c r="AE12" s="37">
        <v>0</v>
      </c>
      <c r="AF12" s="37">
        <v>0</v>
      </c>
      <c r="AG12" s="38">
        <f t="shared" ref="AG12" si="2">ROUND(SUM(I12:AF12)*H12,2)</f>
        <v>1780594.44</v>
      </c>
    </row>
    <row r="13" spans="5:33" ht="15" thickBot="1" x14ac:dyDescent="0.3">
      <c r="E13" s="56">
        <v>46143</v>
      </c>
      <c r="F13" s="55">
        <f>+_xlfn.XLOOKUP(E13,'PRODUCTO 01'!$C$10:$C$129,'PRODUCTO 01'!$F$10:$F$129)</f>
        <v>2010131.36</v>
      </c>
      <c r="G13" s="55" t="s">
        <v>59</v>
      </c>
      <c r="H13" s="36">
        <v>31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76.54245770677386</v>
      </c>
      <c r="O13" s="37">
        <v>577.63490626429893</v>
      </c>
      <c r="P13" s="37">
        <v>3214.6959178851534</v>
      </c>
      <c r="Q13" s="37">
        <v>7878.1674597545107</v>
      </c>
      <c r="R13" s="37">
        <v>8666.4998479275382</v>
      </c>
      <c r="S13" s="37">
        <v>6800.9661214695561</v>
      </c>
      <c r="T13" s="37">
        <v>5845.5390943810735</v>
      </c>
      <c r="U13" s="37">
        <v>5698.9124478063441</v>
      </c>
      <c r="V13" s="37">
        <v>5188.0374696910912</v>
      </c>
      <c r="W13" s="37">
        <v>6857.3012415207049</v>
      </c>
      <c r="X13" s="37">
        <v>7715.3055253371313</v>
      </c>
      <c r="Y13" s="37">
        <v>5351.7859817693789</v>
      </c>
      <c r="Z13" s="37">
        <v>971.55850543722715</v>
      </c>
      <c r="AA13" s="37">
        <v>0</v>
      </c>
      <c r="AB13" s="37">
        <v>0</v>
      </c>
      <c r="AC13" s="37">
        <v>0</v>
      </c>
      <c r="AD13" s="37">
        <v>0</v>
      </c>
      <c r="AE13" s="37">
        <v>0</v>
      </c>
      <c r="AF13" s="37">
        <v>0</v>
      </c>
      <c r="AG13" s="38">
        <f t="shared" ref="AG13" si="3">ROUND(SUM(I13:AF13)*H13,2)</f>
        <v>2010131.36</v>
      </c>
    </row>
    <row r="14" spans="5:33" ht="15" thickBot="1" x14ac:dyDescent="0.3">
      <c r="E14" s="56">
        <v>46174</v>
      </c>
      <c r="F14" s="55">
        <f>+_xlfn.XLOOKUP(E14,'PRODUCTO 01'!$C$10:$C$129,'PRODUCTO 01'!$F$10:$F$129)</f>
        <v>1857446.71</v>
      </c>
      <c r="G14" s="55" t="s">
        <v>59</v>
      </c>
      <c r="H14" s="36">
        <v>30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68.22393614471271</v>
      </c>
      <c r="O14" s="37">
        <v>550.19273597863628</v>
      </c>
      <c r="P14" s="37">
        <v>2000.8026564155841</v>
      </c>
      <c r="Q14" s="37">
        <v>4827.3984847621714</v>
      </c>
      <c r="R14" s="37">
        <v>8406.2753319505136</v>
      </c>
      <c r="S14" s="37">
        <v>8877.4504845258161</v>
      </c>
      <c r="T14" s="37">
        <v>8336.8835599114282</v>
      </c>
      <c r="U14" s="37">
        <v>9321.7254446060469</v>
      </c>
      <c r="V14" s="37">
        <v>7065.158194371119</v>
      </c>
      <c r="W14" s="37">
        <v>5377.514542044577</v>
      </c>
      <c r="X14" s="37">
        <v>3598.3250184288813</v>
      </c>
      <c r="Y14" s="37">
        <v>2505.1826063634844</v>
      </c>
      <c r="Z14" s="37">
        <v>979.75736693527278</v>
      </c>
      <c r="AA14" s="37">
        <v>0</v>
      </c>
      <c r="AB14" s="37">
        <v>0</v>
      </c>
      <c r="AC14" s="37">
        <v>0</v>
      </c>
      <c r="AD14" s="37">
        <v>0</v>
      </c>
      <c r="AE14" s="37">
        <v>0</v>
      </c>
      <c r="AF14" s="37">
        <v>0</v>
      </c>
      <c r="AG14" s="38">
        <f t="shared" ref="AG14" si="4">ROUND(SUM(I14:AF14)*H14,2)</f>
        <v>1857446.71</v>
      </c>
    </row>
    <row r="15" spans="5:33" ht="15" thickBot="1" x14ac:dyDescent="0.3">
      <c r="E15" s="56">
        <v>46204</v>
      </c>
      <c r="F15" s="55">
        <f>+_xlfn.XLOOKUP(E15,'PRODUCTO 01'!$C$10:$C$129,'PRODUCTO 01'!$F$10:$F$129)</f>
        <v>2178394.11</v>
      </c>
      <c r="G15" s="55" t="s">
        <v>59</v>
      </c>
      <c r="H15" s="36">
        <v>31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18.651490559207673</v>
      </c>
      <c r="O15" s="37">
        <v>560.91879779804424</v>
      </c>
      <c r="P15" s="37">
        <v>2371.2216830466859</v>
      </c>
      <c r="Q15" s="37">
        <v>5514.6847579271516</v>
      </c>
      <c r="R15" s="37">
        <v>9596.857231167347</v>
      </c>
      <c r="S15" s="37">
        <v>8870.7818061547587</v>
      </c>
      <c r="T15" s="37">
        <v>8822.4015150566483</v>
      </c>
      <c r="U15" s="37">
        <v>9613.2685910384207</v>
      </c>
      <c r="V15" s="37">
        <v>6291.0818501380354</v>
      </c>
      <c r="W15" s="37">
        <v>6342.8058646957952</v>
      </c>
      <c r="X15" s="37">
        <v>7137.0303538487042</v>
      </c>
      <c r="Y15" s="37">
        <v>3854.9299900229144</v>
      </c>
      <c r="Z15" s="37">
        <v>1276.1437429286304</v>
      </c>
      <c r="AA15" s="37">
        <v>0</v>
      </c>
      <c r="AB15" s="37">
        <v>0</v>
      </c>
      <c r="AC15" s="37">
        <v>0</v>
      </c>
      <c r="AD15" s="37">
        <v>0</v>
      </c>
      <c r="AE15" s="37">
        <v>0</v>
      </c>
      <c r="AF15" s="37">
        <v>0</v>
      </c>
      <c r="AG15" s="38">
        <f t="shared" ref="AG15" si="5">ROUND(SUM(I15:AF15)*H15,2)</f>
        <v>2178394.11</v>
      </c>
    </row>
    <row r="16" spans="5:33" ht="15" thickBot="1" x14ac:dyDescent="0.3">
      <c r="E16" s="56">
        <v>46235</v>
      </c>
      <c r="F16" s="55">
        <f>+_xlfn.XLOOKUP(E16,'PRODUCTO 01'!$C$10:$C$129,'PRODUCTO 01'!$F$10:$F$129)</f>
        <v>2123444.37</v>
      </c>
      <c r="G16" s="55" t="s">
        <v>59</v>
      </c>
      <c r="H16" s="36">
        <v>31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22.236950204492263</v>
      </c>
      <c r="O16" s="37">
        <v>366.48004731275842</v>
      </c>
      <c r="P16" s="37">
        <v>1931.3239305905861</v>
      </c>
      <c r="Q16" s="37">
        <v>7787.3729339664224</v>
      </c>
      <c r="R16" s="37">
        <v>9398.4113818255337</v>
      </c>
      <c r="S16" s="37">
        <v>10166.814922336338</v>
      </c>
      <c r="T16" s="37">
        <v>7227.9605919313599</v>
      </c>
      <c r="U16" s="37">
        <v>7321.4224245221594</v>
      </c>
      <c r="V16" s="37">
        <v>8118.3506215430325</v>
      </c>
      <c r="W16" s="37">
        <v>5756.3075821733682</v>
      </c>
      <c r="X16" s="37">
        <v>6648.3942736077634</v>
      </c>
      <c r="Y16" s="37">
        <v>2710.9128694328028</v>
      </c>
      <c r="Z16" s="37">
        <v>1042.2168108636984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8">
        <f t="shared" ref="AG16" si="6">ROUND(SUM(I16:AF16)*H16,2)</f>
        <v>2123444.37</v>
      </c>
    </row>
    <row r="17" spans="5:33" ht="15" thickBot="1" x14ac:dyDescent="0.3">
      <c r="E17" s="56">
        <v>46266</v>
      </c>
      <c r="F17" s="55">
        <f>+_xlfn.XLOOKUP(E17,'PRODUCTO 01'!$C$10:$C$129,'PRODUCTO 01'!$F$10:$F$129)</f>
        <v>2110980.41</v>
      </c>
      <c r="G17" s="55" t="s">
        <v>59</v>
      </c>
      <c r="H17" s="36">
        <v>30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80.915951269302838</v>
      </c>
      <c r="O17" s="37">
        <v>484.29092405375616</v>
      </c>
      <c r="P17" s="37">
        <v>5961.9300075606543</v>
      </c>
      <c r="Q17" s="37">
        <v>9831.8629698206914</v>
      </c>
      <c r="R17" s="37">
        <v>9701.2361005973889</v>
      </c>
      <c r="S17" s="37">
        <v>6917.6236447141191</v>
      </c>
      <c r="T17" s="37">
        <v>6333.9751474445156</v>
      </c>
      <c r="U17" s="37">
        <v>6230.2419484481688</v>
      </c>
      <c r="V17" s="37">
        <v>8025.9491817695616</v>
      </c>
      <c r="W17" s="37">
        <v>6248.3743447135739</v>
      </c>
      <c r="X17" s="37">
        <v>7011.3896683273133</v>
      </c>
      <c r="Y17" s="37">
        <v>2908.7323347883389</v>
      </c>
      <c r="Z17" s="37">
        <v>629.49149841808185</v>
      </c>
      <c r="AA17" s="37">
        <v>0</v>
      </c>
      <c r="AB17" s="37">
        <v>0</v>
      </c>
      <c r="AC17" s="37">
        <v>0</v>
      </c>
      <c r="AD17" s="37">
        <v>0</v>
      </c>
      <c r="AE17" s="37">
        <v>0</v>
      </c>
      <c r="AF17" s="37">
        <v>0</v>
      </c>
      <c r="AG17" s="38">
        <f t="shared" ref="AG17" si="7">ROUND(SUM(I17:AF17)*H17,2)</f>
        <v>2110980.41</v>
      </c>
    </row>
    <row r="18" spans="5:33" ht="15" thickBot="1" x14ac:dyDescent="0.3">
      <c r="E18" s="56">
        <v>46296</v>
      </c>
      <c r="F18" s="55">
        <f>+_xlfn.XLOOKUP(E18,'PRODUCTO 01'!$C$10:$C$129,'PRODUCTO 01'!$F$10:$F$129)</f>
        <v>2231531.5699999998</v>
      </c>
      <c r="G18" s="55" t="s">
        <v>59</v>
      </c>
      <c r="H18" s="36">
        <v>31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23.846869777127512</v>
      </c>
      <c r="O18" s="37">
        <v>520.70495977514099</v>
      </c>
      <c r="P18" s="37">
        <v>4510.1264825024027</v>
      </c>
      <c r="Q18" s="37">
        <v>7271.3983930596614</v>
      </c>
      <c r="R18" s="37">
        <v>10139.36187272662</v>
      </c>
      <c r="S18" s="37">
        <v>9514.6282345354957</v>
      </c>
      <c r="T18" s="37">
        <v>8572.0727239446514</v>
      </c>
      <c r="U18" s="37">
        <v>7749.4137676038654</v>
      </c>
      <c r="V18" s="37">
        <v>7973.7591060117393</v>
      </c>
      <c r="W18" s="37">
        <v>7141.4745347772796</v>
      </c>
      <c r="X18" s="37">
        <v>5269.0372128403342</v>
      </c>
      <c r="Y18" s="37">
        <v>2901.7496313214756</v>
      </c>
      <c r="Z18" s="37">
        <v>397.31566682006797</v>
      </c>
      <c r="AA18" s="37">
        <v>0</v>
      </c>
      <c r="AB18" s="37">
        <v>0</v>
      </c>
      <c r="AC18" s="37">
        <v>0</v>
      </c>
      <c r="AD18" s="37">
        <v>0</v>
      </c>
      <c r="AE18" s="37">
        <v>0</v>
      </c>
      <c r="AF18" s="37">
        <v>0</v>
      </c>
      <c r="AG18" s="38">
        <f t="shared" ref="AG18" si="8">ROUND(SUM(I18:AF18)*H18,2)</f>
        <v>2231531.5699999998</v>
      </c>
    </row>
    <row r="19" spans="5:33" ht="15" thickBot="1" x14ac:dyDescent="0.3">
      <c r="E19" s="56">
        <v>46327</v>
      </c>
      <c r="F19" s="55">
        <f>+_xlfn.XLOOKUP(E19,'PRODUCTO 01'!$C$10:$C$129,'PRODUCTO 01'!$F$10:$F$129)</f>
        <v>2111054.9</v>
      </c>
      <c r="G19" s="55" t="s">
        <v>59</v>
      </c>
      <c r="H19" s="36">
        <v>30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61.179793197705514</v>
      </c>
      <c r="O19" s="37">
        <v>457.01544981851384</v>
      </c>
      <c r="P19" s="37">
        <v>2551.5779151199126</v>
      </c>
      <c r="Q19" s="37">
        <v>4735.3968746820447</v>
      </c>
      <c r="R19" s="37">
        <v>5697.7938498714166</v>
      </c>
      <c r="S19" s="37">
        <v>6116.3206767377851</v>
      </c>
      <c r="T19" s="37">
        <v>7724.5819550258329</v>
      </c>
      <c r="U19" s="37">
        <v>8904.2859734789017</v>
      </c>
      <c r="V19" s="37">
        <v>10343.140335944196</v>
      </c>
      <c r="W19" s="37">
        <v>11537.119910960069</v>
      </c>
      <c r="X19" s="37">
        <v>9143.2759367419876</v>
      </c>
      <c r="Y19" s="37">
        <v>2746.7574636098489</v>
      </c>
      <c r="Z19" s="37">
        <v>350.05046561115864</v>
      </c>
      <c r="AA19" s="37">
        <v>0</v>
      </c>
      <c r="AB19" s="37">
        <v>0</v>
      </c>
      <c r="AC19" s="37">
        <v>0</v>
      </c>
      <c r="AD19" s="37">
        <v>0</v>
      </c>
      <c r="AE19" s="37">
        <v>0</v>
      </c>
      <c r="AF19" s="37">
        <v>0</v>
      </c>
      <c r="AG19" s="38">
        <f t="shared" ref="AG19" si="9">ROUND(SUM(I19:AF19)*H19,2)</f>
        <v>2111054.9</v>
      </c>
    </row>
    <row r="20" spans="5:33" ht="15" thickBot="1" x14ac:dyDescent="0.3">
      <c r="E20" s="56">
        <v>46357</v>
      </c>
      <c r="F20" s="55">
        <f>+_xlfn.XLOOKUP(E20,'PRODUCTO 01'!$C$10:$C$129,'PRODUCTO 01'!$F$10:$F$129)</f>
        <v>2617455.1800000002</v>
      </c>
      <c r="G20" s="55" t="s">
        <v>59</v>
      </c>
      <c r="H20" s="36">
        <v>31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32.921526757264296</v>
      </c>
      <c r="O20" s="37">
        <v>233.17211172585129</v>
      </c>
      <c r="P20" s="37">
        <v>5169.385937063339</v>
      </c>
      <c r="Q20" s="37">
        <v>8701.4178016256174</v>
      </c>
      <c r="R20" s="37">
        <v>11403.227352243861</v>
      </c>
      <c r="S20" s="37">
        <v>11377.311702439705</v>
      </c>
      <c r="T20" s="37">
        <v>10358.428446293086</v>
      </c>
      <c r="U20" s="37">
        <v>10328.073321683039</v>
      </c>
      <c r="V20" s="37">
        <v>10195.480760923532</v>
      </c>
      <c r="W20" s="37">
        <v>9059.8217641344818</v>
      </c>
      <c r="X20" s="37">
        <v>5080.717110615572</v>
      </c>
      <c r="Y20" s="37">
        <v>2118.8227777905959</v>
      </c>
      <c r="Z20" s="37">
        <v>375.25756323624756</v>
      </c>
      <c r="AA20" s="37">
        <v>0</v>
      </c>
      <c r="AB20" s="37">
        <v>0</v>
      </c>
      <c r="AC20" s="37">
        <v>0</v>
      </c>
      <c r="AD20" s="37">
        <v>0</v>
      </c>
      <c r="AE20" s="37">
        <v>0</v>
      </c>
      <c r="AF20" s="37">
        <v>0</v>
      </c>
      <c r="AG20" s="38">
        <f t="shared" ref="AG20" si="10">ROUND(SUM(I20:AF20)*H20,2)</f>
        <v>2617455.1800000002</v>
      </c>
    </row>
    <row r="21" spans="5:33" ht="15" thickBot="1" x14ac:dyDescent="0.3">
      <c r="E21" s="56">
        <v>46388</v>
      </c>
      <c r="F21" s="55">
        <f>+_xlfn.XLOOKUP(E21,'PRODUCTO 01'!$C$10:$C$129,'PRODUCTO 01'!$F$10:$F$129)</f>
        <v>2659818.54</v>
      </c>
      <c r="G21" s="55" t="s">
        <v>59</v>
      </c>
      <c r="H21" s="36">
        <v>31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0.10990863126560084</v>
      </c>
      <c r="O21" s="37">
        <v>82.564377942086125</v>
      </c>
      <c r="P21" s="37">
        <v>1836.6378186743514</v>
      </c>
      <c r="Q21" s="37">
        <v>6806.8988449935332</v>
      </c>
      <c r="R21" s="37">
        <v>10487.667047317211</v>
      </c>
      <c r="S21" s="37">
        <v>10420.021935819406</v>
      </c>
      <c r="T21" s="37">
        <v>10625.878341244395</v>
      </c>
      <c r="U21" s="37">
        <v>10535.502484496077</v>
      </c>
      <c r="V21" s="37">
        <v>10893.931533234278</v>
      </c>
      <c r="W21" s="37">
        <v>10953.386636502464</v>
      </c>
      <c r="X21" s="37">
        <v>9280.9606779402038</v>
      </c>
      <c r="Y21" s="37">
        <v>3011.3562632860444</v>
      </c>
      <c r="Z21" s="37">
        <v>865.68212518348184</v>
      </c>
      <c r="AA21" s="37">
        <v>0</v>
      </c>
      <c r="AB21" s="37">
        <v>0</v>
      </c>
      <c r="AC21" s="37">
        <v>0</v>
      </c>
      <c r="AD21" s="37">
        <v>0</v>
      </c>
      <c r="AE21" s="37">
        <v>0</v>
      </c>
      <c r="AF21" s="37">
        <v>0</v>
      </c>
      <c r="AG21" s="38">
        <f>ROUND(SUM(I21:AF21)*H21,2)</f>
        <v>2659818.54</v>
      </c>
    </row>
    <row r="22" spans="5:33" ht="15" thickBot="1" x14ac:dyDescent="0.3">
      <c r="E22" s="56">
        <v>46419</v>
      </c>
      <c r="F22" s="55">
        <f>+_xlfn.XLOOKUP(E22,'PRODUCTO 01'!$C$10:$C$129,'PRODUCTO 01'!$F$10:$F$129)</f>
        <v>2266470.5099999998</v>
      </c>
      <c r="G22" s="55" t="s">
        <v>59</v>
      </c>
      <c r="H22" s="36">
        <v>28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102.58262651324024</v>
      </c>
      <c r="P22" s="37">
        <v>1951.8374419389199</v>
      </c>
      <c r="Q22" s="37">
        <v>6584.4542981104232</v>
      </c>
      <c r="R22" s="37">
        <v>11061.597396873243</v>
      </c>
      <c r="S22" s="37">
        <v>11866.302178019934</v>
      </c>
      <c r="T22" s="37">
        <v>10808.058322522444</v>
      </c>
      <c r="U22" s="37">
        <v>9751.7641903246295</v>
      </c>
      <c r="V22" s="37">
        <v>6477.5747576450767</v>
      </c>
      <c r="W22" s="37">
        <v>8386.4988647880509</v>
      </c>
      <c r="X22" s="37">
        <v>9252.7500176266531</v>
      </c>
      <c r="Y22" s="37">
        <v>3571.0388551791812</v>
      </c>
      <c r="Z22" s="37">
        <v>1130.9162344171968</v>
      </c>
      <c r="AA22" s="37">
        <v>0</v>
      </c>
      <c r="AB22" s="37">
        <v>0</v>
      </c>
      <c r="AC22" s="37">
        <v>0</v>
      </c>
      <c r="AD22" s="37">
        <v>0</v>
      </c>
      <c r="AE22" s="37">
        <v>0</v>
      </c>
      <c r="AF22" s="37">
        <v>0</v>
      </c>
      <c r="AG22" s="38">
        <f t="shared" ref="AG22" si="11">ROUND(SUM(I22:AF22)*H22,2)</f>
        <v>2266470.5099999998</v>
      </c>
    </row>
    <row r="23" spans="5:33" ht="15" thickBot="1" x14ac:dyDescent="0.3">
      <c r="E23" s="56">
        <v>46447</v>
      </c>
      <c r="F23" s="55">
        <f>+_xlfn.XLOOKUP(E23,'PRODUCTO 01'!$C$10:$C$129,'PRODUCTO 01'!$F$10:$F$129)</f>
        <v>2307880.81</v>
      </c>
      <c r="G23" s="55" t="s">
        <v>59</v>
      </c>
      <c r="H23" s="36">
        <v>31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9.0281142749124168</v>
      </c>
      <c r="O23" s="37">
        <v>302.04947801979125</v>
      </c>
      <c r="P23" s="37">
        <v>1797.5952829802904</v>
      </c>
      <c r="Q23" s="37">
        <v>5191.848118803171</v>
      </c>
      <c r="R23" s="37">
        <v>8048.7329450523175</v>
      </c>
      <c r="S23" s="37">
        <v>8502.2515184307649</v>
      </c>
      <c r="T23" s="37">
        <v>8981.1587799853351</v>
      </c>
      <c r="U23" s="37">
        <v>9228.0611250460533</v>
      </c>
      <c r="V23" s="37">
        <v>9573.5786672287122</v>
      </c>
      <c r="W23" s="37">
        <v>10367.109301494147</v>
      </c>
      <c r="X23" s="37">
        <v>8331.1244851172141</v>
      </c>
      <c r="Y23" s="37">
        <v>3086.3367911636406</v>
      </c>
      <c r="Z23" s="37">
        <v>1028.8933352137292</v>
      </c>
      <c r="AA23" s="37">
        <v>0</v>
      </c>
      <c r="AB23" s="37">
        <v>0</v>
      </c>
      <c r="AC23" s="37">
        <v>0</v>
      </c>
      <c r="AD23" s="37">
        <v>0</v>
      </c>
      <c r="AE23" s="37">
        <v>0</v>
      </c>
      <c r="AF23" s="37">
        <v>0</v>
      </c>
      <c r="AG23" s="38">
        <f t="shared" ref="AG23" si="12">ROUND(SUM(I23:AF23)*H23,2)</f>
        <v>2307880.81</v>
      </c>
    </row>
    <row r="24" spans="5:33" ht="15" thickBot="1" x14ac:dyDescent="0.3">
      <c r="E24" s="56">
        <v>46478</v>
      </c>
      <c r="F24" s="55">
        <f>+_xlfn.XLOOKUP(E24,'PRODUCTO 01'!$C$10:$C$129,'PRODUCTO 01'!$F$10:$F$129)</f>
        <v>1880744.25</v>
      </c>
      <c r="G24" s="55" t="s">
        <v>59</v>
      </c>
      <c r="H24" s="36">
        <v>30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30.594870294790923</v>
      </c>
      <c r="O24" s="37">
        <v>353.5180563309554</v>
      </c>
      <c r="P24" s="37">
        <v>1733.5191893811543</v>
      </c>
      <c r="Q24" s="37">
        <v>3579.2073345651002</v>
      </c>
      <c r="R24" s="37">
        <v>6371.4899471485815</v>
      </c>
      <c r="S24" s="37">
        <v>7188.3153546480598</v>
      </c>
      <c r="T24" s="37">
        <v>7146.4192858774031</v>
      </c>
      <c r="U24" s="37">
        <v>7284.5044155993337</v>
      </c>
      <c r="V24" s="37">
        <v>8194.1448195308585</v>
      </c>
      <c r="W24" s="37">
        <v>7326.4708098071442</v>
      </c>
      <c r="X24" s="37">
        <v>8417.8013950719105</v>
      </c>
      <c r="Y24" s="37">
        <v>4195.6253947330779</v>
      </c>
      <c r="Z24" s="37">
        <v>869.86413672504921</v>
      </c>
      <c r="AA24" s="37">
        <v>0</v>
      </c>
      <c r="AB24" s="37">
        <v>0</v>
      </c>
      <c r="AC24" s="37">
        <v>0</v>
      </c>
      <c r="AD24" s="37">
        <v>0</v>
      </c>
      <c r="AE24" s="37">
        <v>0</v>
      </c>
      <c r="AF24" s="37">
        <v>0</v>
      </c>
      <c r="AG24" s="38">
        <f t="shared" ref="AG24" si="13">ROUND(SUM(I24:AF24)*H24,2)</f>
        <v>1880744.25</v>
      </c>
    </row>
    <row r="25" spans="5:33" ht="15" thickBot="1" x14ac:dyDescent="0.3">
      <c r="E25" s="56">
        <v>46508</v>
      </c>
      <c r="F25" s="55">
        <f>+_xlfn.XLOOKUP(E25,'PRODUCTO 01'!$C$10:$C$129,'PRODUCTO 01'!$F$10:$F$129)</f>
        <v>2038050.52</v>
      </c>
      <c r="G25" s="55" t="s">
        <v>59</v>
      </c>
      <c r="H25" s="36">
        <v>31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81.430628134512105</v>
      </c>
      <c r="O25" s="37">
        <v>554.47341119052601</v>
      </c>
      <c r="P25" s="37">
        <v>3229.4024502859929</v>
      </c>
      <c r="Q25" s="37">
        <v>8150.6057831783701</v>
      </c>
      <c r="R25" s="37">
        <v>8871.3728772181912</v>
      </c>
      <c r="S25" s="37">
        <v>6778.0933191609365</v>
      </c>
      <c r="T25" s="37">
        <v>5806.9709990665397</v>
      </c>
      <c r="U25" s="37">
        <v>5578.233091901443</v>
      </c>
      <c r="V25" s="37">
        <v>5042.0240878701989</v>
      </c>
      <c r="W25" s="37">
        <v>6962.9983769605815</v>
      </c>
      <c r="X25" s="37">
        <v>8035.9852595576458</v>
      </c>
      <c r="Y25" s="37">
        <v>5612.4734525531139</v>
      </c>
      <c r="Z25" s="37">
        <v>1039.5015100728772</v>
      </c>
      <c r="AA25" s="37">
        <v>0</v>
      </c>
      <c r="AB25" s="37">
        <v>0</v>
      </c>
      <c r="AC25" s="37">
        <v>0</v>
      </c>
      <c r="AD25" s="37">
        <v>0</v>
      </c>
      <c r="AE25" s="37">
        <v>0</v>
      </c>
      <c r="AF25" s="37">
        <v>0</v>
      </c>
      <c r="AG25" s="38">
        <f t="shared" ref="AG25" si="14">ROUND(SUM(I25:AF25)*H25,2)</f>
        <v>2038050.52</v>
      </c>
    </row>
    <row r="26" spans="5:33" ht="15" thickBot="1" x14ac:dyDescent="0.3">
      <c r="E26" s="56">
        <v>46539</v>
      </c>
      <c r="F26" s="55">
        <f>+_xlfn.XLOOKUP(E26,'PRODUCTO 01'!$C$10:$C$129,'PRODUCTO 01'!$F$10:$F$129)</f>
        <v>1718061.26</v>
      </c>
      <c r="G26" s="55" t="s">
        <v>59</v>
      </c>
      <c r="H26" s="36">
        <v>30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71.5695821511313</v>
      </c>
      <c r="O26" s="37">
        <v>471.4339973765928</v>
      </c>
      <c r="P26" s="37">
        <v>1714.3245875658354</v>
      </c>
      <c r="Q26" s="37">
        <v>4486.8160882447301</v>
      </c>
      <c r="R26" s="37">
        <v>8120.5864458492633</v>
      </c>
      <c r="S26" s="37">
        <v>8434.3728837418221</v>
      </c>
      <c r="T26" s="37">
        <v>7755.4845091074385</v>
      </c>
      <c r="U26" s="37">
        <v>8853.4130110452097</v>
      </c>
      <c r="V26" s="37">
        <v>6498.2677337593668</v>
      </c>
      <c r="W26" s="37">
        <v>4784.4719313930318</v>
      </c>
      <c r="X26" s="37">
        <v>3032.6468913408594</v>
      </c>
      <c r="Y26" s="37">
        <v>2153.4771489713826</v>
      </c>
      <c r="Z26" s="37">
        <v>891.84397183340138</v>
      </c>
      <c r="AA26" s="37">
        <v>0</v>
      </c>
      <c r="AB26" s="37">
        <v>0</v>
      </c>
      <c r="AC26" s="37">
        <v>0</v>
      </c>
      <c r="AD26" s="37">
        <v>0</v>
      </c>
      <c r="AE26" s="37">
        <v>0</v>
      </c>
      <c r="AF26" s="37">
        <v>0</v>
      </c>
      <c r="AG26" s="38">
        <f t="shared" ref="AG26" si="15">ROUND(SUM(I26:AF26)*H26,2)</f>
        <v>1718061.26</v>
      </c>
    </row>
    <row r="27" spans="5:33" ht="15" thickBot="1" x14ac:dyDescent="0.3">
      <c r="E27" s="56">
        <v>46569</v>
      </c>
      <c r="F27" s="55">
        <f>+_xlfn.XLOOKUP(E27,'PRODUCTO 01'!$C$10:$C$129,'PRODUCTO 01'!$F$10:$F$129)</f>
        <v>1939005.85</v>
      </c>
      <c r="G27" s="55" t="s">
        <v>59</v>
      </c>
      <c r="H27" s="36">
        <v>31</v>
      </c>
      <c r="I27" s="37">
        <v>0</v>
      </c>
      <c r="J27" s="37">
        <v>0</v>
      </c>
      <c r="K27" s="37">
        <v>0</v>
      </c>
      <c r="L27" s="37">
        <v>0</v>
      </c>
      <c r="M27" s="37">
        <v>0</v>
      </c>
      <c r="N27" s="37">
        <v>19.395407223170551</v>
      </c>
      <c r="O27" s="37">
        <v>459.75934387189835</v>
      </c>
      <c r="P27" s="37">
        <v>1942.8659849409819</v>
      </c>
      <c r="Q27" s="37">
        <v>4853.298048771725</v>
      </c>
      <c r="R27" s="37">
        <v>8956.1945120343935</v>
      </c>
      <c r="S27" s="37">
        <v>7988.3000181739526</v>
      </c>
      <c r="T27" s="37">
        <v>7855.2443764853861</v>
      </c>
      <c r="U27" s="37">
        <v>8757.9517111437453</v>
      </c>
      <c r="V27" s="37">
        <v>5241.6360240490103</v>
      </c>
      <c r="W27" s="37">
        <v>5442.6306879301392</v>
      </c>
      <c r="X27" s="37">
        <v>6555.5626224667521</v>
      </c>
      <c r="Y27" s="37">
        <v>3372.5501137440619</v>
      </c>
      <c r="Z27" s="37">
        <v>1103.1870712764983</v>
      </c>
      <c r="AA27" s="37">
        <v>0</v>
      </c>
      <c r="AB27" s="37">
        <v>0</v>
      </c>
      <c r="AC27" s="37">
        <v>0</v>
      </c>
      <c r="AD27" s="37">
        <v>0</v>
      </c>
      <c r="AE27" s="37">
        <v>0</v>
      </c>
      <c r="AF27" s="37">
        <v>0</v>
      </c>
      <c r="AG27" s="38">
        <f t="shared" ref="AG27" si="16">ROUND(SUM(I27:AF27)*H27,2)</f>
        <v>1939005.85</v>
      </c>
    </row>
    <row r="28" spans="5:33" ht="15" thickBot="1" x14ac:dyDescent="0.3">
      <c r="E28" s="56">
        <v>46600</v>
      </c>
      <c r="F28" s="55">
        <f>+_xlfn.XLOOKUP(E28,'PRODUCTO 01'!$C$10:$C$129,'PRODUCTO 01'!$F$10:$F$129)</f>
        <v>1897718.37</v>
      </c>
      <c r="G28" s="55" t="s">
        <v>59</v>
      </c>
      <c r="H28" s="36">
        <v>31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7">
        <v>23.871376114182493</v>
      </c>
      <c r="O28" s="37">
        <v>279.590625629464</v>
      </c>
      <c r="P28" s="37">
        <v>1543.6708599292429</v>
      </c>
      <c r="Q28" s="37">
        <v>7417.30236756656</v>
      </c>
      <c r="R28" s="37">
        <v>8805.2341815302734</v>
      </c>
      <c r="S28" s="37">
        <v>9440.6964855922233</v>
      </c>
      <c r="T28" s="37">
        <v>6203.7263845108182</v>
      </c>
      <c r="U28" s="37">
        <v>6294.7006813477265</v>
      </c>
      <c r="V28" s="37">
        <v>7225.5721444175151</v>
      </c>
      <c r="W28" s="37">
        <v>4835.905636332177</v>
      </c>
      <c r="X28" s="37">
        <v>6063.7959129408209</v>
      </c>
      <c r="Y28" s="37">
        <v>2181.2497530430228</v>
      </c>
      <c r="Z28" s="37">
        <v>901.40530694649749</v>
      </c>
      <c r="AA28" s="37">
        <v>0</v>
      </c>
      <c r="AB28" s="37">
        <v>0</v>
      </c>
      <c r="AC28" s="37">
        <v>0</v>
      </c>
      <c r="AD28" s="37">
        <v>0</v>
      </c>
      <c r="AE28" s="37">
        <v>0</v>
      </c>
      <c r="AF28" s="37">
        <v>0</v>
      </c>
      <c r="AG28" s="38">
        <f t="shared" ref="AG28" si="17">ROUND(SUM(I28:AF28)*H28,2)</f>
        <v>1897718.37</v>
      </c>
    </row>
    <row r="29" spans="5:33" ht="15" thickBot="1" x14ac:dyDescent="0.3">
      <c r="E29" s="56">
        <v>46631</v>
      </c>
      <c r="F29" s="55">
        <f>+_xlfn.XLOOKUP(E29,'PRODUCTO 01'!$C$10:$C$129,'PRODUCTO 01'!$F$10:$F$129)</f>
        <v>1909839.23</v>
      </c>
      <c r="G29" s="55" t="s">
        <v>59</v>
      </c>
      <c r="H29" s="36">
        <v>30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87.675030807221617</v>
      </c>
      <c r="O29" s="37">
        <v>392.62612487840016</v>
      </c>
      <c r="P29" s="37">
        <v>5881.0184300891815</v>
      </c>
      <c r="Q29" s="37">
        <v>9515.8299524567374</v>
      </c>
      <c r="R29" s="37">
        <v>9056.1691163624273</v>
      </c>
      <c r="S29" s="37">
        <v>5994.5749628977028</v>
      </c>
      <c r="T29" s="37">
        <v>5291.6694222880305</v>
      </c>
      <c r="U29" s="37">
        <v>5135.9967538842893</v>
      </c>
      <c r="V29" s="37">
        <v>7128.8884078542687</v>
      </c>
      <c r="W29" s="37">
        <v>5462.9364063714238</v>
      </c>
      <c r="X29" s="37">
        <v>6542.9336263933001</v>
      </c>
      <c r="Y29" s="37">
        <v>2608.9268439524863</v>
      </c>
      <c r="Z29" s="37">
        <v>562.06257077081386</v>
      </c>
      <c r="AA29" s="37">
        <v>0</v>
      </c>
      <c r="AB29" s="37">
        <v>0</v>
      </c>
      <c r="AC29" s="37">
        <v>0</v>
      </c>
      <c r="AD29" s="37">
        <v>0</v>
      </c>
      <c r="AE29" s="37">
        <v>0</v>
      </c>
      <c r="AF29" s="37">
        <v>0</v>
      </c>
      <c r="AG29" s="38">
        <f t="shared" ref="AG29" si="18">ROUND(SUM(I29:AF29)*H29,2)</f>
        <v>1909839.23</v>
      </c>
    </row>
    <row r="30" spans="5:33" ht="15" thickBot="1" x14ac:dyDescent="0.3">
      <c r="E30" s="56">
        <v>46661</v>
      </c>
      <c r="F30" s="55">
        <f>+_xlfn.XLOOKUP(E30,'PRODUCTO 01'!$C$10:$C$129,'PRODUCTO 01'!$F$10:$F$129)</f>
        <v>2070993.01</v>
      </c>
      <c r="G30" s="55" t="s">
        <v>59</v>
      </c>
      <c r="H30" s="36">
        <v>31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25.582515625381021</v>
      </c>
      <c r="O30" s="37">
        <v>434.6867294911217</v>
      </c>
      <c r="P30" s="37">
        <v>4323.5392137205481</v>
      </c>
      <c r="Q30" s="37">
        <v>6847.6164999386083</v>
      </c>
      <c r="R30" s="37">
        <v>9697.4551636755477</v>
      </c>
      <c r="S30" s="37">
        <v>8853.539155023851</v>
      </c>
      <c r="T30" s="37">
        <v>7813.335705048763</v>
      </c>
      <c r="U30" s="37">
        <v>6952.2353030312843</v>
      </c>
      <c r="V30" s="37">
        <v>7306.9224290824259</v>
      </c>
      <c r="W30" s="37">
        <v>6584.8317535924998</v>
      </c>
      <c r="X30" s="37">
        <v>4869.7947264980403</v>
      </c>
      <c r="Y30" s="37">
        <v>2727.2030566804096</v>
      </c>
      <c r="Z30" s="37">
        <v>369.48392316868865</v>
      </c>
      <c r="AA30" s="37">
        <v>0</v>
      </c>
      <c r="AB30" s="37">
        <v>0</v>
      </c>
      <c r="AC30" s="37">
        <v>0</v>
      </c>
      <c r="AD30" s="37">
        <v>0</v>
      </c>
      <c r="AE30" s="37">
        <v>0</v>
      </c>
      <c r="AF30" s="37">
        <v>0</v>
      </c>
      <c r="AG30" s="38">
        <f t="shared" ref="AG30" si="19">ROUND(SUM(I30:AF30)*H30,2)</f>
        <v>2070993.01</v>
      </c>
    </row>
    <row r="31" spans="5:33" ht="15" thickBot="1" x14ac:dyDescent="0.3">
      <c r="E31" s="56">
        <v>46692</v>
      </c>
      <c r="F31" s="55">
        <f>+_xlfn.XLOOKUP(E31,'PRODUCTO 01'!$C$10:$C$129,'PRODUCTO 01'!$F$10:$F$129)</f>
        <v>1958210.06</v>
      </c>
      <c r="G31" s="55" t="s">
        <v>59</v>
      </c>
      <c r="H31" s="36">
        <v>30</v>
      </c>
      <c r="I31" s="37">
        <v>0</v>
      </c>
      <c r="J31" s="37">
        <v>0</v>
      </c>
      <c r="K31" s="37">
        <v>0</v>
      </c>
      <c r="L31" s="37">
        <v>0</v>
      </c>
      <c r="M31" s="37">
        <v>0</v>
      </c>
      <c r="N31" s="37">
        <v>66.400405859803953</v>
      </c>
      <c r="O31" s="37">
        <v>386.58802757424326</v>
      </c>
      <c r="P31" s="37">
        <v>2220.390812613939</v>
      </c>
      <c r="Q31" s="37">
        <v>4124.8384338606593</v>
      </c>
      <c r="R31" s="37">
        <v>4890.8782985340449</v>
      </c>
      <c r="S31" s="37">
        <v>5241.5663424556333</v>
      </c>
      <c r="T31" s="37">
        <v>6902.5402530209276</v>
      </c>
      <c r="U31" s="37">
        <v>8229.1845893544014</v>
      </c>
      <c r="V31" s="37">
        <v>9895.2280279463757</v>
      </c>
      <c r="W31" s="37">
        <v>11359.988256134098</v>
      </c>
      <c r="X31" s="37">
        <v>9058.8806021538257</v>
      </c>
      <c r="Y31" s="37">
        <v>2568.8850003296998</v>
      </c>
      <c r="Z31" s="37">
        <v>328.29949220449015</v>
      </c>
      <c r="AA31" s="37">
        <v>0</v>
      </c>
      <c r="AB31" s="37">
        <v>0</v>
      </c>
      <c r="AC31" s="37">
        <v>0</v>
      </c>
      <c r="AD31" s="37">
        <v>0</v>
      </c>
      <c r="AE31" s="37">
        <v>0</v>
      </c>
      <c r="AF31" s="37">
        <v>0</v>
      </c>
      <c r="AG31" s="38">
        <f t="shared" ref="AG31" si="20">ROUND(SUM(I31:AF31)*H31,2)</f>
        <v>1958210.06</v>
      </c>
    </row>
    <row r="32" spans="5:33" ht="15" thickBot="1" x14ac:dyDescent="0.3">
      <c r="E32" s="56">
        <v>46722</v>
      </c>
      <c r="F32" s="55">
        <f>+_xlfn.XLOOKUP(E32,'PRODUCTO 01'!$C$10:$C$129,'PRODUCTO 01'!$F$10:$F$129)</f>
        <v>2451239.9</v>
      </c>
      <c r="G32" s="55" t="s">
        <v>59</v>
      </c>
      <c r="H32" s="36">
        <v>31</v>
      </c>
      <c r="I32" s="37">
        <v>0</v>
      </c>
      <c r="J32" s="37">
        <v>0</v>
      </c>
      <c r="K32" s="37">
        <v>0</v>
      </c>
      <c r="L32" s="37">
        <v>0</v>
      </c>
      <c r="M32" s="37">
        <v>0</v>
      </c>
      <c r="N32" s="37">
        <v>35.779979393437912</v>
      </c>
      <c r="O32" s="37">
        <v>191.45372902058784</v>
      </c>
      <c r="P32" s="37">
        <v>5115.0507061090502</v>
      </c>
      <c r="Q32" s="37">
        <v>8343.8567311224524</v>
      </c>
      <c r="R32" s="37">
        <v>10870.325406677548</v>
      </c>
      <c r="S32" s="37">
        <v>10668.127834452736</v>
      </c>
      <c r="T32" s="37">
        <v>9558.6990902780708</v>
      </c>
      <c r="U32" s="37">
        <v>9560.3181812328112</v>
      </c>
      <c r="V32" s="37">
        <v>9510.5501132269237</v>
      </c>
      <c r="W32" s="37">
        <v>8492.7609405570292</v>
      </c>
      <c r="X32" s="37">
        <v>4521.3865399456263</v>
      </c>
      <c r="Y32" s="37">
        <v>1851.2979843137437</v>
      </c>
      <c r="Z32" s="37">
        <v>352.64775802290586</v>
      </c>
      <c r="AA32" s="37">
        <v>0</v>
      </c>
      <c r="AB32" s="37">
        <v>0</v>
      </c>
      <c r="AC32" s="37">
        <v>0</v>
      </c>
      <c r="AD32" s="37">
        <v>0</v>
      </c>
      <c r="AE32" s="37">
        <v>0</v>
      </c>
      <c r="AF32" s="37">
        <v>0</v>
      </c>
      <c r="AG32" s="38">
        <f t="shared" ref="AG32" si="21">ROUND(SUM(I32:AF32)*H32,2)</f>
        <v>2451239.9</v>
      </c>
    </row>
    <row r="33" spans="5:33" ht="15" thickBot="1" x14ac:dyDescent="0.3">
      <c r="E33" s="56">
        <v>46753</v>
      </c>
      <c r="F33" s="55">
        <f>+_xlfn.XLOOKUP(E33,'PRODUCTO 01'!$C$10:$C$129,'PRODUCTO 01'!$F$10:$F$129)</f>
        <v>1556513.11</v>
      </c>
      <c r="G33" s="55" t="s">
        <v>59</v>
      </c>
      <c r="H33" s="36">
        <v>31</v>
      </c>
      <c r="I33" s="37">
        <v>0</v>
      </c>
      <c r="J33" s="37">
        <v>0</v>
      </c>
      <c r="K33" s="37">
        <v>0</v>
      </c>
      <c r="L33" s="37">
        <v>0</v>
      </c>
      <c r="M33" s="37">
        <v>0</v>
      </c>
      <c r="N33" s="37">
        <v>7.7865948963269191E-2</v>
      </c>
      <c r="O33" s="37">
        <v>40.231187605056014</v>
      </c>
      <c r="P33" s="37">
        <v>977.29242878317268</v>
      </c>
      <c r="Q33" s="37">
        <v>4000.6296578781867</v>
      </c>
      <c r="R33" s="37">
        <v>6256.7346937126995</v>
      </c>
      <c r="S33" s="37">
        <v>6065.8104630367598</v>
      </c>
      <c r="T33" s="37">
        <v>6192.8933587940446</v>
      </c>
      <c r="U33" s="37">
        <v>6135.0030165652652</v>
      </c>
      <c r="V33" s="37">
        <v>6450.8382601287904</v>
      </c>
      <c r="W33" s="37">
        <v>6535.6868510788372</v>
      </c>
      <c r="X33" s="37">
        <v>5536.7719124369287</v>
      </c>
      <c r="Y33" s="37">
        <v>1521.4524454412074</v>
      </c>
      <c r="Z33" s="37">
        <v>496.67816374596583</v>
      </c>
      <c r="AA33" s="37">
        <v>0</v>
      </c>
      <c r="AB33" s="37">
        <v>0</v>
      </c>
      <c r="AC33" s="37">
        <v>0</v>
      </c>
      <c r="AD33" s="37">
        <v>0</v>
      </c>
      <c r="AE33" s="37">
        <v>0</v>
      </c>
      <c r="AF33" s="37">
        <v>0</v>
      </c>
      <c r="AG33" s="38">
        <f>ROUND(SUM(I33:AF33)*H33,2)</f>
        <v>1556513.11</v>
      </c>
    </row>
    <row r="34" spans="5:33" ht="15" thickBot="1" x14ac:dyDescent="0.3">
      <c r="E34" s="56">
        <v>46784</v>
      </c>
      <c r="F34" s="55">
        <f>+_xlfn.XLOOKUP(E34,'PRODUCTO 01'!$C$10:$C$129,'PRODUCTO 01'!$F$10:$F$129)</f>
        <v>1302500.8400000001</v>
      </c>
      <c r="G34" s="55" t="s">
        <v>59</v>
      </c>
      <c r="H34" s="36">
        <v>29</v>
      </c>
      <c r="I34" s="37">
        <v>0</v>
      </c>
      <c r="J34" s="37">
        <v>0</v>
      </c>
      <c r="K34" s="37">
        <v>0</v>
      </c>
      <c r="L34" s="37">
        <v>0</v>
      </c>
      <c r="M34" s="37">
        <v>0</v>
      </c>
      <c r="N34" s="37">
        <v>0</v>
      </c>
      <c r="O34" s="37">
        <v>45.826821051561012</v>
      </c>
      <c r="P34" s="37">
        <v>966.32717128451907</v>
      </c>
      <c r="Q34" s="37">
        <v>3627.1374492522318</v>
      </c>
      <c r="R34" s="37">
        <v>6453.8871268279054</v>
      </c>
      <c r="S34" s="37">
        <v>6914.6909364608537</v>
      </c>
      <c r="T34" s="37">
        <v>6151.6551466405917</v>
      </c>
      <c r="U34" s="37">
        <v>5440.9203498678125</v>
      </c>
      <c r="V34" s="37">
        <v>3186.3584048271396</v>
      </c>
      <c r="W34" s="37">
        <v>4532.4226870825532</v>
      </c>
      <c r="X34" s="37">
        <v>5245.0878311937768</v>
      </c>
      <c r="Y34" s="37">
        <v>1740.1903687190668</v>
      </c>
      <c r="Z34" s="37">
        <v>609.31781684676287</v>
      </c>
      <c r="AA34" s="37">
        <v>0</v>
      </c>
      <c r="AB34" s="37">
        <v>0</v>
      </c>
      <c r="AC34" s="37">
        <v>0</v>
      </c>
      <c r="AD34" s="37">
        <v>0</v>
      </c>
      <c r="AE34" s="37">
        <v>0</v>
      </c>
      <c r="AF34" s="37">
        <v>0</v>
      </c>
      <c r="AG34" s="38">
        <f t="shared" ref="AG34" si="22">ROUND(SUM(I34:AF34)*H34,2)</f>
        <v>1302500.8400000001</v>
      </c>
    </row>
    <row r="35" spans="5:33" ht="15" thickBot="1" x14ac:dyDescent="0.3">
      <c r="E35" s="56">
        <v>46813</v>
      </c>
      <c r="F35" s="55">
        <f>+_xlfn.XLOOKUP(E35,'PRODUCTO 01'!$C$10:$C$129,'PRODUCTO 01'!$F$10:$F$129)</f>
        <v>1316347.77</v>
      </c>
      <c r="G35" s="55" t="s">
        <v>59</v>
      </c>
      <c r="H35" s="36">
        <v>31</v>
      </c>
      <c r="I35" s="37">
        <v>0</v>
      </c>
      <c r="J35" s="37">
        <v>0</v>
      </c>
      <c r="K35" s="37">
        <v>0</v>
      </c>
      <c r="L35" s="37">
        <v>0</v>
      </c>
      <c r="M35" s="37">
        <v>0</v>
      </c>
      <c r="N35" s="37">
        <v>6.3910494503655384</v>
      </c>
      <c r="O35" s="37">
        <v>168.94850435667834</v>
      </c>
      <c r="P35" s="37">
        <v>898.11631500489318</v>
      </c>
      <c r="Q35" s="37">
        <v>2827.6224768868083</v>
      </c>
      <c r="R35" s="37">
        <v>4570.8201984852285</v>
      </c>
      <c r="S35" s="37">
        <v>4757.7193232668151</v>
      </c>
      <c r="T35" s="37">
        <v>5096.3292989903202</v>
      </c>
      <c r="U35" s="37">
        <v>5300.1952779818102</v>
      </c>
      <c r="V35" s="37">
        <v>5600.3302126544786</v>
      </c>
      <c r="W35" s="37">
        <v>6212.765795530484</v>
      </c>
      <c r="X35" s="37">
        <v>4915.4285707815352</v>
      </c>
      <c r="Y35" s="37">
        <v>1543.4651240461369</v>
      </c>
      <c r="Z35" s="37">
        <v>564.69917196332858</v>
      </c>
      <c r="AA35" s="37">
        <v>0</v>
      </c>
      <c r="AB35" s="37">
        <v>0</v>
      </c>
      <c r="AC35" s="37">
        <v>0</v>
      </c>
      <c r="AD35" s="37">
        <v>0</v>
      </c>
      <c r="AE35" s="37">
        <v>0</v>
      </c>
      <c r="AF35" s="37">
        <v>0</v>
      </c>
      <c r="AG35" s="38">
        <f t="shared" ref="AG35" si="23">ROUND(SUM(I35:AF35)*H35,2)</f>
        <v>1316347.77</v>
      </c>
    </row>
    <row r="36" spans="5:33" ht="15" thickBot="1" x14ac:dyDescent="0.3">
      <c r="E36" s="56">
        <v>46844</v>
      </c>
      <c r="F36" s="55">
        <f>+_xlfn.XLOOKUP(E36,'PRODUCTO 01'!$C$10:$C$129,'PRODUCTO 01'!$F$10:$F$129)</f>
        <v>1052214.1100000001</v>
      </c>
      <c r="G36" s="55" t="s">
        <v>59</v>
      </c>
      <c r="H36" s="36">
        <v>30</v>
      </c>
      <c r="I36" s="37">
        <v>0</v>
      </c>
      <c r="J36" s="37">
        <v>0</v>
      </c>
      <c r="K36" s="37">
        <v>0</v>
      </c>
      <c r="L36" s="37">
        <v>0</v>
      </c>
      <c r="M36" s="37">
        <v>0</v>
      </c>
      <c r="N36" s="37">
        <v>21.458200868371385</v>
      </c>
      <c r="O36" s="37">
        <v>161.766085624456</v>
      </c>
      <c r="P36" s="37">
        <v>807.29618769354784</v>
      </c>
      <c r="Q36" s="37">
        <v>1718.8930382836238</v>
      </c>
      <c r="R36" s="37">
        <v>3460.6563657640604</v>
      </c>
      <c r="S36" s="37">
        <v>3945.9338665430673</v>
      </c>
      <c r="T36" s="37">
        <v>3917.3699009865095</v>
      </c>
      <c r="U36" s="37">
        <v>4025.3641929645937</v>
      </c>
      <c r="V36" s="37">
        <v>4722.8601485362333</v>
      </c>
      <c r="W36" s="37">
        <v>4204.8026791750563</v>
      </c>
      <c r="X36" s="37">
        <v>5149.4093147737913</v>
      </c>
      <c r="Y36" s="37">
        <v>2456.4975603062617</v>
      </c>
      <c r="Z36" s="37">
        <v>481.49614378636005</v>
      </c>
      <c r="AA36" s="37">
        <v>0</v>
      </c>
      <c r="AB36" s="37">
        <v>0</v>
      </c>
      <c r="AC36" s="37">
        <v>0</v>
      </c>
      <c r="AD36" s="37">
        <v>0</v>
      </c>
      <c r="AE36" s="37">
        <v>0</v>
      </c>
      <c r="AF36" s="37">
        <v>0</v>
      </c>
      <c r="AG36" s="38">
        <f t="shared" ref="AG36" si="24">ROUND(SUM(I36:AF36)*H36,2)</f>
        <v>1052214.1100000001</v>
      </c>
    </row>
    <row r="37" spans="5:33" ht="15" thickBot="1" x14ac:dyDescent="0.3">
      <c r="E37" s="56">
        <v>46874</v>
      </c>
      <c r="F37" s="55">
        <f>+_xlfn.XLOOKUP(E37,'PRODUCTO 01'!$C$10:$C$129,'PRODUCTO 01'!$F$10:$F$129)</f>
        <v>1175542.3500000001</v>
      </c>
      <c r="G37" s="55" t="s">
        <v>59</v>
      </c>
      <c r="H37" s="36">
        <v>31</v>
      </c>
      <c r="I37" s="37">
        <v>0</v>
      </c>
      <c r="J37" s="37">
        <v>0</v>
      </c>
      <c r="K37" s="37">
        <v>0</v>
      </c>
      <c r="L37" s="37">
        <v>0</v>
      </c>
      <c r="M37" s="37">
        <v>0</v>
      </c>
      <c r="N37" s="37">
        <v>55.756762172977844</v>
      </c>
      <c r="O37" s="37">
        <v>275.85266148694137</v>
      </c>
      <c r="P37" s="37">
        <v>1862.9291932768369</v>
      </c>
      <c r="Q37" s="37">
        <v>5055.0363619031859</v>
      </c>
      <c r="R37" s="37">
        <v>5311.9474675908805</v>
      </c>
      <c r="S37" s="37">
        <v>3710.0767167336116</v>
      </c>
      <c r="T37" s="37">
        <v>3035.9358313070356</v>
      </c>
      <c r="U37" s="37">
        <v>2860.4827029493954</v>
      </c>
      <c r="V37" s="37">
        <v>2562.1490845865856</v>
      </c>
      <c r="W37" s="37">
        <v>4057.7693804481919</v>
      </c>
      <c r="X37" s="37">
        <v>5005.052214249954</v>
      </c>
      <c r="Y37" s="37">
        <v>3531.2387286187854</v>
      </c>
      <c r="Z37" s="37">
        <v>596.49388028187627</v>
      </c>
      <c r="AA37" s="37">
        <v>0</v>
      </c>
      <c r="AB37" s="37">
        <v>0</v>
      </c>
      <c r="AC37" s="37">
        <v>0</v>
      </c>
      <c r="AD37" s="37">
        <v>0</v>
      </c>
      <c r="AE37" s="37">
        <v>0</v>
      </c>
      <c r="AF37" s="37">
        <v>0</v>
      </c>
      <c r="AG37" s="38">
        <f t="shared" ref="AG37" si="25">ROUND(SUM(I37:AF37)*H37,2)</f>
        <v>1175542.3500000001</v>
      </c>
    </row>
    <row r="38" spans="5:33" ht="15" thickBot="1" x14ac:dyDescent="0.3">
      <c r="E38" s="56">
        <v>46905</v>
      </c>
      <c r="F38" s="55">
        <f>+_xlfn.XLOOKUP(E38,'PRODUCTO 01'!$C$10:$C$129,'PRODUCTO 01'!$F$10:$F$129)</f>
        <v>918514.71</v>
      </c>
      <c r="G38" s="55" t="s">
        <v>59</v>
      </c>
      <c r="H38" s="36">
        <v>30</v>
      </c>
      <c r="I38" s="37">
        <v>0</v>
      </c>
      <c r="J38" s="37">
        <v>0</v>
      </c>
      <c r="K38" s="37">
        <v>0</v>
      </c>
      <c r="L38" s="37">
        <v>0</v>
      </c>
      <c r="M38" s="37">
        <v>0</v>
      </c>
      <c r="N38" s="37">
        <v>48.603742849966508</v>
      </c>
      <c r="O38" s="37">
        <v>210.09282671981342</v>
      </c>
      <c r="P38" s="37">
        <v>764.3985212528728</v>
      </c>
      <c r="Q38" s="37">
        <v>2424.5693091022731</v>
      </c>
      <c r="R38" s="37">
        <v>4738.3487323279196</v>
      </c>
      <c r="S38" s="37">
        <v>4763.7398726240599</v>
      </c>
      <c r="T38" s="37">
        <v>4189.8810744590482</v>
      </c>
      <c r="U38" s="37">
        <v>4987.6437390951833</v>
      </c>
      <c r="V38" s="37">
        <v>3407.3322023242067</v>
      </c>
      <c r="W38" s="37">
        <v>2352.8567843591491</v>
      </c>
      <c r="X38" s="37">
        <v>1311.3763819011772</v>
      </c>
      <c r="Y38" s="37">
        <v>971.4674178617928</v>
      </c>
      <c r="Z38" s="37">
        <v>446.84628794610734</v>
      </c>
      <c r="AA38" s="37">
        <v>0</v>
      </c>
      <c r="AB38" s="37">
        <v>0</v>
      </c>
      <c r="AC38" s="37">
        <v>0</v>
      </c>
      <c r="AD38" s="37">
        <v>0</v>
      </c>
      <c r="AE38" s="37">
        <v>0</v>
      </c>
      <c r="AF38" s="37">
        <v>0</v>
      </c>
      <c r="AG38" s="38">
        <f t="shared" ref="AG38" si="26">ROUND(SUM(I38:AF38)*H38,2)</f>
        <v>918514.71</v>
      </c>
    </row>
    <row r="39" spans="5:33" ht="15" thickBot="1" x14ac:dyDescent="0.3">
      <c r="E39" s="56">
        <v>46935</v>
      </c>
      <c r="F39" s="55">
        <f>+_xlfn.XLOOKUP(E39,'PRODUCTO 01'!$C$10:$C$129,'PRODUCTO 01'!$F$10:$F$129)</f>
        <v>1065116.96</v>
      </c>
      <c r="G39" s="55" t="s">
        <v>59</v>
      </c>
      <c r="H39" s="36">
        <v>31</v>
      </c>
      <c r="I39" s="37">
        <v>0</v>
      </c>
      <c r="J39" s="37">
        <v>0</v>
      </c>
      <c r="K39" s="37">
        <v>0</v>
      </c>
      <c r="L39" s="37">
        <v>0</v>
      </c>
      <c r="M39" s="37">
        <v>0</v>
      </c>
      <c r="N39" s="37">
        <v>13.384960020553978</v>
      </c>
      <c r="O39" s="37">
        <v>217.73307395367695</v>
      </c>
      <c r="P39" s="37">
        <v>919.44898737979031</v>
      </c>
      <c r="Q39" s="37">
        <v>2617.1386990384881</v>
      </c>
      <c r="R39" s="37">
        <v>5284.2706144790372</v>
      </c>
      <c r="S39" s="37">
        <v>4469.3825815434593</v>
      </c>
      <c r="T39" s="37">
        <v>4316.9984495307053</v>
      </c>
      <c r="U39" s="37">
        <v>4987.9260045185811</v>
      </c>
      <c r="V39" s="37">
        <v>2563.8472465696173</v>
      </c>
      <c r="W39" s="37">
        <v>2810.7835241047637</v>
      </c>
      <c r="X39" s="37">
        <v>3779.6819365170627</v>
      </c>
      <c r="Y39" s="37">
        <v>1800.840967378809</v>
      </c>
      <c r="Z39" s="37">
        <v>577.17452024936438</v>
      </c>
      <c r="AA39" s="37">
        <v>0</v>
      </c>
      <c r="AB39" s="37">
        <v>0</v>
      </c>
      <c r="AC39" s="37">
        <v>0</v>
      </c>
      <c r="AD39" s="37">
        <v>0</v>
      </c>
      <c r="AE39" s="37">
        <v>0</v>
      </c>
      <c r="AF39" s="37">
        <v>0</v>
      </c>
      <c r="AG39" s="38">
        <f t="shared" ref="AG39" si="27">ROUND(SUM(I39:AF39)*H39,2)</f>
        <v>1065116.96</v>
      </c>
    </row>
    <row r="40" spans="5:33" ht="15" thickBot="1" x14ac:dyDescent="0.3">
      <c r="E40" s="56">
        <v>46966</v>
      </c>
      <c r="F40" s="55">
        <f>+_xlfn.XLOOKUP(E40,'PRODUCTO 01'!$C$10:$C$129,'PRODUCTO 01'!$F$10:$F$129)</f>
        <v>1049148.01</v>
      </c>
      <c r="G40" s="55" t="s">
        <v>59</v>
      </c>
      <c r="H40" s="36">
        <v>31</v>
      </c>
      <c r="I40" s="37">
        <v>0</v>
      </c>
      <c r="J40" s="37">
        <v>0</v>
      </c>
      <c r="K40" s="37">
        <v>0</v>
      </c>
      <c r="L40" s="37">
        <v>0</v>
      </c>
      <c r="M40" s="37">
        <v>0</v>
      </c>
      <c r="N40" s="37">
        <v>16.88090429373749</v>
      </c>
      <c r="O40" s="37">
        <v>112.51618006674009</v>
      </c>
      <c r="P40" s="37">
        <v>693.43962739179005</v>
      </c>
      <c r="Q40" s="37">
        <v>4502.1112911460823</v>
      </c>
      <c r="R40" s="37">
        <v>5223.9454835242486</v>
      </c>
      <c r="S40" s="37">
        <v>5530.3637799290764</v>
      </c>
      <c r="T40" s="37">
        <v>3205.2658927643379</v>
      </c>
      <c r="U40" s="37">
        <v>3262.0748367165311</v>
      </c>
      <c r="V40" s="37">
        <v>3968.5521562679892</v>
      </c>
      <c r="W40" s="37">
        <v>2402.8631387413443</v>
      </c>
      <c r="X40" s="37">
        <v>3459.4317480415789</v>
      </c>
      <c r="Y40" s="37">
        <v>994.03444982235726</v>
      </c>
      <c r="Z40" s="37">
        <v>472.00475583119083</v>
      </c>
      <c r="AA40" s="37">
        <v>0</v>
      </c>
      <c r="AB40" s="37">
        <v>0</v>
      </c>
      <c r="AC40" s="37">
        <v>0</v>
      </c>
      <c r="AD40" s="37">
        <v>0</v>
      </c>
      <c r="AE40" s="37">
        <v>0</v>
      </c>
      <c r="AF40" s="37">
        <v>0</v>
      </c>
      <c r="AG40" s="38">
        <f t="shared" ref="AG40" si="28">ROUND(SUM(I40:AF40)*H40,2)</f>
        <v>1049148.01</v>
      </c>
    </row>
    <row r="41" spans="5:33" ht="15" thickBot="1" x14ac:dyDescent="0.3">
      <c r="E41" s="56">
        <v>46997</v>
      </c>
      <c r="F41" s="55">
        <f>+_xlfn.XLOOKUP(E41,'PRODUCTO 01'!$C$10:$C$129,'PRODUCTO 01'!$F$10:$F$129)</f>
        <v>1076250.45</v>
      </c>
      <c r="G41" s="55" t="s">
        <v>59</v>
      </c>
      <c r="H41" s="36">
        <v>30</v>
      </c>
      <c r="I41" s="37">
        <v>0</v>
      </c>
      <c r="J41" s="37">
        <v>0</v>
      </c>
      <c r="K41" s="37">
        <v>0</v>
      </c>
      <c r="L41" s="37">
        <v>0</v>
      </c>
      <c r="M41" s="37">
        <v>0</v>
      </c>
      <c r="N41" s="37">
        <v>62.000012993957519</v>
      </c>
      <c r="O41" s="37">
        <v>181.80432790732326</v>
      </c>
      <c r="P41" s="37">
        <v>3736.2664549246997</v>
      </c>
      <c r="Q41" s="37">
        <v>5900.3876224708911</v>
      </c>
      <c r="R41" s="37">
        <v>5345.4035417450632</v>
      </c>
      <c r="S41" s="37">
        <v>3149.4453332956914</v>
      </c>
      <c r="T41" s="37">
        <v>2601.7696224328838</v>
      </c>
      <c r="U41" s="37">
        <v>2460.457179122182</v>
      </c>
      <c r="V41" s="37">
        <v>3902.6748616023615</v>
      </c>
      <c r="W41" s="37">
        <v>2913.8166517517993</v>
      </c>
      <c r="X41" s="37">
        <v>3860.1118666526982</v>
      </c>
      <c r="Y41" s="37">
        <v>1450.5841448806857</v>
      </c>
      <c r="Z41" s="37">
        <v>310.29331907299678</v>
      </c>
      <c r="AA41" s="37">
        <v>0</v>
      </c>
      <c r="AB41" s="37">
        <v>0</v>
      </c>
      <c r="AC41" s="37">
        <v>0</v>
      </c>
      <c r="AD41" s="37">
        <v>0</v>
      </c>
      <c r="AE41" s="37">
        <v>0</v>
      </c>
      <c r="AF41" s="37">
        <v>0</v>
      </c>
      <c r="AG41" s="38">
        <f t="shared" ref="AG41" si="29">ROUND(SUM(I41:AF41)*H41,2)</f>
        <v>1076250.45</v>
      </c>
    </row>
    <row r="42" spans="5:33" ht="15" thickBot="1" x14ac:dyDescent="0.3">
      <c r="E42" s="56">
        <v>47027</v>
      </c>
      <c r="F42" s="55">
        <f>+_xlfn.XLOOKUP(E42,'PRODUCTO 01'!$C$10:$C$129,'PRODUCTO 01'!$F$10:$F$129)</f>
        <v>1212206.79</v>
      </c>
      <c r="G42" s="55" t="s">
        <v>59</v>
      </c>
      <c r="H42" s="36">
        <v>31</v>
      </c>
      <c r="I42" s="37">
        <v>0</v>
      </c>
      <c r="J42" s="37">
        <v>0</v>
      </c>
      <c r="K42" s="37">
        <v>0</v>
      </c>
      <c r="L42" s="37">
        <v>0</v>
      </c>
      <c r="M42" s="37">
        <v>0</v>
      </c>
      <c r="N42" s="37">
        <v>17.845134830833423</v>
      </c>
      <c r="O42" s="37">
        <v>213.41242128620439</v>
      </c>
      <c r="P42" s="37">
        <v>2647.1814385621547</v>
      </c>
      <c r="Q42" s="37">
        <v>4092.0359603032339</v>
      </c>
      <c r="R42" s="37">
        <v>5919.0203177428102</v>
      </c>
      <c r="S42" s="37">
        <v>5202.0478520303586</v>
      </c>
      <c r="T42" s="37">
        <v>4453.3632769338301</v>
      </c>
      <c r="U42" s="37">
        <v>3866.8740436750177</v>
      </c>
      <c r="V42" s="37">
        <v>4198.2142066130273</v>
      </c>
      <c r="W42" s="37">
        <v>3818.0191053292197</v>
      </c>
      <c r="X42" s="37">
        <v>2833.3607561888011</v>
      </c>
      <c r="Y42" s="37">
        <v>1625.161934573196</v>
      </c>
      <c r="Z42" s="37">
        <v>216.90852633625579</v>
      </c>
      <c r="AA42" s="37">
        <v>0</v>
      </c>
      <c r="AB42" s="37">
        <v>0</v>
      </c>
      <c r="AC42" s="37">
        <v>0</v>
      </c>
      <c r="AD42" s="37">
        <v>0</v>
      </c>
      <c r="AE42" s="37">
        <v>0</v>
      </c>
      <c r="AF42" s="37">
        <v>0</v>
      </c>
      <c r="AG42" s="38">
        <f t="shared" ref="AG42" si="30">ROUND(SUM(I42:AF42)*H42,2)</f>
        <v>1212206.79</v>
      </c>
    </row>
    <row r="43" spans="5:33" ht="15" thickBot="1" x14ac:dyDescent="0.3">
      <c r="E43" s="56">
        <v>47058</v>
      </c>
      <c r="F43" s="55">
        <f>+_xlfn.XLOOKUP(E43,'PRODUCTO 01'!$C$10:$C$129,'PRODUCTO 01'!$F$10:$F$129)</f>
        <v>1145135.82</v>
      </c>
      <c r="G43" s="55" t="s">
        <v>59</v>
      </c>
      <c r="H43" s="36">
        <v>30</v>
      </c>
      <c r="I43" s="37">
        <v>0</v>
      </c>
      <c r="J43" s="37">
        <v>0</v>
      </c>
      <c r="K43" s="37">
        <v>0</v>
      </c>
      <c r="L43" s="37">
        <v>0</v>
      </c>
      <c r="M43" s="37">
        <v>0</v>
      </c>
      <c r="N43" s="37">
        <v>46.977191890067857</v>
      </c>
      <c r="O43" s="37">
        <v>194.55689052235977</v>
      </c>
      <c r="P43" s="37">
        <v>1174.5469666478389</v>
      </c>
      <c r="Q43" s="37">
        <v>2185.7437960957682</v>
      </c>
      <c r="R43" s="37">
        <v>2526.6628836881482</v>
      </c>
      <c r="S43" s="37">
        <v>2700.7823481008472</v>
      </c>
      <c r="T43" s="37">
        <v>3814.3544827145984</v>
      </c>
      <c r="U43" s="37">
        <v>4786.582682598113</v>
      </c>
      <c r="V43" s="37">
        <v>6040.892592858333</v>
      </c>
      <c r="W43" s="37">
        <v>7199.3776359321973</v>
      </c>
      <c r="X43" s="37">
        <v>5785.6132849254009</v>
      </c>
      <c r="Y43" s="37">
        <v>1520.0354420713441</v>
      </c>
      <c r="Z43" s="37">
        <v>195.06788426122509</v>
      </c>
      <c r="AA43" s="37">
        <v>0</v>
      </c>
      <c r="AB43" s="37">
        <v>0</v>
      </c>
      <c r="AC43" s="37">
        <v>0</v>
      </c>
      <c r="AD43" s="37">
        <v>0</v>
      </c>
      <c r="AE43" s="37">
        <v>0</v>
      </c>
      <c r="AF43" s="37">
        <v>0</v>
      </c>
      <c r="AG43" s="38">
        <f t="shared" ref="AG43" si="31">ROUND(SUM(I43:AF43)*H43,2)</f>
        <v>1145135.82</v>
      </c>
    </row>
    <row r="44" spans="5:33" ht="15" thickBot="1" x14ac:dyDescent="0.3">
      <c r="E44" s="56">
        <v>47088</v>
      </c>
      <c r="F44" s="55">
        <f>+_xlfn.XLOOKUP(E44,'PRODUCTO 01'!$C$10:$C$129,'PRODUCTO 01'!$F$10:$F$129)</f>
        <v>1453438.49</v>
      </c>
      <c r="G44" s="55" t="s">
        <v>59</v>
      </c>
      <c r="H44" s="36">
        <v>31</v>
      </c>
      <c r="I44" s="37">
        <v>0</v>
      </c>
      <c r="J44" s="37">
        <v>0</v>
      </c>
      <c r="K44" s="37">
        <v>0</v>
      </c>
      <c r="L44" s="37">
        <v>0</v>
      </c>
      <c r="M44" s="37">
        <v>0</v>
      </c>
      <c r="N44" s="37">
        <v>25.358286996536037</v>
      </c>
      <c r="O44" s="37">
        <v>90.992910323817966</v>
      </c>
      <c r="P44" s="37">
        <v>3262.2814015778977</v>
      </c>
      <c r="Q44" s="37">
        <v>5110.6252461145177</v>
      </c>
      <c r="R44" s="37">
        <v>6605.5733106792195</v>
      </c>
      <c r="S44" s="37">
        <v>6336.6679907640819</v>
      </c>
      <c r="T44" s="37">
        <v>5548.8748366239934</v>
      </c>
      <c r="U44" s="37">
        <v>5574.9801921775497</v>
      </c>
      <c r="V44" s="37">
        <v>5607.7898583418882</v>
      </c>
      <c r="W44" s="37">
        <v>5042.6458063362679</v>
      </c>
      <c r="X44" s="37">
        <v>2482.8094087968416</v>
      </c>
      <c r="Y44" s="37">
        <v>986.38700106901899</v>
      </c>
      <c r="Z44" s="37">
        <v>210.1263411260141</v>
      </c>
      <c r="AA44" s="37">
        <v>0</v>
      </c>
      <c r="AB44" s="37">
        <v>0</v>
      </c>
      <c r="AC44" s="37">
        <v>0</v>
      </c>
      <c r="AD44" s="37">
        <v>0</v>
      </c>
      <c r="AE44" s="37">
        <v>0</v>
      </c>
      <c r="AF44" s="37">
        <v>0</v>
      </c>
      <c r="AG44" s="38">
        <f t="shared" ref="AG44" si="32">ROUND(SUM(I44:AF44)*H44,2)</f>
        <v>1453438.49</v>
      </c>
    </row>
    <row r="45" spans="5:33" ht="15" thickBot="1" x14ac:dyDescent="0.3">
      <c r="E45" s="56">
        <v>47119</v>
      </c>
      <c r="F45" s="55">
        <f>+_xlfn.XLOOKUP(E45,'PRODUCTO 01'!$C$10:$C$129,'PRODUCTO 01'!$F$10:$F$129)</f>
        <v>1684833.36</v>
      </c>
      <c r="G45" s="55" t="s">
        <v>59</v>
      </c>
      <c r="H45" s="36">
        <v>31</v>
      </c>
      <c r="I45" s="37">
        <v>0</v>
      </c>
      <c r="J45" s="37">
        <v>0</v>
      </c>
      <c r="K45" s="37">
        <v>0</v>
      </c>
      <c r="L45" s="37">
        <v>0</v>
      </c>
      <c r="M45" s="37">
        <v>0</v>
      </c>
      <c r="N45" s="37">
        <v>7.93087240628014E-2</v>
      </c>
      <c r="O45" s="37">
        <v>46.712291419235804</v>
      </c>
      <c r="P45" s="37">
        <v>1087.0741438357561</v>
      </c>
      <c r="Q45" s="37">
        <v>4320.4581407229634</v>
      </c>
      <c r="R45" s="37">
        <v>6728.1395615004039</v>
      </c>
      <c r="S45" s="37">
        <v>6577.8659881722788</v>
      </c>
      <c r="T45" s="37">
        <v>6713.0623712417764</v>
      </c>
      <c r="U45" s="37">
        <v>6652.3737208257298</v>
      </c>
      <c r="V45" s="37">
        <v>6955.6680632534026</v>
      </c>
      <c r="W45" s="37">
        <v>7029.2491799979998</v>
      </c>
      <c r="X45" s="37">
        <v>5954.4369040217916</v>
      </c>
      <c r="Y45" s="37">
        <v>1741.845913552007</v>
      </c>
      <c r="Z45" s="37">
        <v>542.497615819511</v>
      </c>
      <c r="AA45" s="37">
        <v>0</v>
      </c>
      <c r="AB45" s="37">
        <v>0</v>
      </c>
      <c r="AC45" s="37">
        <v>0</v>
      </c>
      <c r="AD45" s="37">
        <v>0</v>
      </c>
      <c r="AE45" s="37">
        <v>0</v>
      </c>
      <c r="AF45" s="37">
        <v>0</v>
      </c>
      <c r="AG45" s="38">
        <f>ROUND(SUM(I45:AF45)*H45,2)</f>
        <v>1684833.36</v>
      </c>
    </row>
    <row r="46" spans="5:33" ht="15" thickBot="1" x14ac:dyDescent="0.3">
      <c r="E46" s="56">
        <v>47150</v>
      </c>
      <c r="F46" s="55">
        <f>+_xlfn.XLOOKUP(E46,'PRODUCTO 01'!$C$10:$C$129,'PRODUCTO 01'!$F$10:$F$129)</f>
        <v>1418435</v>
      </c>
      <c r="G46" s="55" t="s">
        <v>59</v>
      </c>
      <c r="H46" s="36">
        <v>28</v>
      </c>
      <c r="I46" s="37">
        <v>0</v>
      </c>
      <c r="J46" s="37">
        <v>0</v>
      </c>
      <c r="K46" s="37">
        <v>0</v>
      </c>
      <c r="L46" s="37">
        <v>0</v>
      </c>
      <c r="M46" s="37">
        <v>0</v>
      </c>
      <c r="N46" s="37">
        <v>0</v>
      </c>
      <c r="O46" s="37">
        <v>56.261763499186728</v>
      </c>
      <c r="P46" s="37">
        <v>1129.0790948868391</v>
      </c>
      <c r="Q46" s="37">
        <v>4098.1353743233822</v>
      </c>
      <c r="R46" s="37">
        <v>7156.1803289855334</v>
      </c>
      <c r="S46" s="37">
        <v>7670.7893714789871</v>
      </c>
      <c r="T46" s="37">
        <v>6877.7111966396033</v>
      </c>
      <c r="U46" s="37">
        <v>6123.9665823393816</v>
      </c>
      <c r="V46" s="37">
        <v>3754.3663284988215</v>
      </c>
      <c r="W46" s="37">
        <v>5157.6364239130471</v>
      </c>
      <c r="X46" s="37">
        <v>5873.817692041117</v>
      </c>
      <c r="Y46" s="37">
        <v>2064.2547051192437</v>
      </c>
      <c r="Z46" s="37">
        <v>696.19389674649847</v>
      </c>
      <c r="AA46" s="37">
        <v>0</v>
      </c>
      <c r="AB46" s="37">
        <v>0</v>
      </c>
      <c r="AC46" s="37">
        <v>0</v>
      </c>
      <c r="AD46" s="37">
        <v>0</v>
      </c>
      <c r="AE46" s="37">
        <v>0</v>
      </c>
      <c r="AF46" s="37">
        <v>0</v>
      </c>
      <c r="AG46" s="38">
        <f t="shared" ref="AG46" si="33">ROUND(SUM(I46:AF46)*H46,2)</f>
        <v>1418435</v>
      </c>
    </row>
    <row r="47" spans="5:33" ht="15" thickBot="1" x14ac:dyDescent="0.3">
      <c r="E47" s="56">
        <v>47178</v>
      </c>
      <c r="F47" s="55">
        <f>+_xlfn.XLOOKUP(E47,'PRODUCTO 01'!$C$10:$C$129,'PRODUCTO 01'!$F$10:$F$129)</f>
        <v>1437429.8</v>
      </c>
      <c r="G47" s="55" t="s">
        <v>59</v>
      </c>
      <c r="H47" s="36">
        <v>31</v>
      </c>
      <c r="I47" s="37">
        <v>0</v>
      </c>
      <c r="J47" s="37">
        <v>0</v>
      </c>
      <c r="K47" s="37">
        <v>0</v>
      </c>
      <c r="L47" s="37">
        <v>0</v>
      </c>
      <c r="M47" s="37">
        <v>0</v>
      </c>
      <c r="N47" s="37">
        <v>6.5139847819285874</v>
      </c>
      <c r="O47" s="37">
        <v>186.22049453358503</v>
      </c>
      <c r="P47" s="37">
        <v>1032.6646838953577</v>
      </c>
      <c r="Q47" s="37">
        <v>3135.398453723184</v>
      </c>
      <c r="R47" s="37">
        <v>4996.6559902688623</v>
      </c>
      <c r="S47" s="37">
        <v>5227.3459620851518</v>
      </c>
      <c r="T47" s="37">
        <v>5572.3471036626588</v>
      </c>
      <c r="U47" s="37">
        <v>5772.0701042348946</v>
      </c>
      <c r="V47" s="37">
        <v>6061.1142503698484</v>
      </c>
      <c r="W47" s="37">
        <v>6670.9820042247238</v>
      </c>
      <c r="X47" s="37">
        <v>5306.6169423182337</v>
      </c>
      <c r="Y47" s="37">
        <v>1774.0380754324444</v>
      </c>
      <c r="Z47" s="37">
        <v>626.73527387418233</v>
      </c>
      <c r="AA47" s="37">
        <v>0</v>
      </c>
      <c r="AB47" s="37">
        <v>0</v>
      </c>
      <c r="AC47" s="37">
        <v>0</v>
      </c>
      <c r="AD47" s="37">
        <v>0</v>
      </c>
      <c r="AE47" s="37">
        <v>0</v>
      </c>
      <c r="AF47" s="37">
        <v>0</v>
      </c>
      <c r="AG47" s="38">
        <f t="shared" ref="AG47" si="34">ROUND(SUM(I47:AF47)*H47,2)</f>
        <v>1437429.8</v>
      </c>
    </row>
    <row r="48" spans="5:33" ht="15" thickBot="1" x14ac:dyDescent="0.3">
      <c r="E48" s="56">
        <v>47209</v>
      </c>
      <c r="F48" s="55">
        <f>+_xlfn.XLOOKUP(E48,'PRODUCTO 01'!$C$10:$C$129,'PRODUCTO 01'!$F$10:$F$129)</f>
        <v>1156393.28</v>
      </c>
      <c r="G48" s="55" t="s">
        <v>59</v>
      </c>
      <c r="H48" s="36">
        <v>30</v>
      </c>
      <c r="I48" s="37">
        <v>0</v>
      </c>
      <c r="J48" s="37">
        <v>0</v>
      </c>
      <c r="K48" s="37">
        <v>0</v>
      </c>
      <c r="L48" s="37">
        <v>0</v>
      </c>
      <c r="M48" s="37">
        <v>0</v>
      </c>
      <c r="N48" s="37">
        <v>21.920943934712401</v>
      </c>
      <c r="O48" s="37">
        <v>192.61903051510305</v>
      </c>
      <c r="P48" s="37">
        <v>954.43884017910329</v>
      </c>
      <c r="Q48" s="37">
        <v>2007.3003809351999</v>
      </c>
      <c r="R48" s="37">
        <v>3840.3606572610638</v>
      </c>
      <c r="S48" s="37">
        <v>4362.3539814197684</v>
      </c>
      <c r="T48" s="37">
        <v>4331.5590009836314</v>
      </c>
      <c r="U48" s="37">
        <v>4439.3867952516166</v>
      </c>
      <c r="V48" s="37">
        <v>5133.7540450353808</v>
      </c>
      <c r="W48" s="37">
        <v>4578.7867527235276</v>
      </c>
      <c r="X48" s="37">
        <v>5492.8748099021886</v>
      </c>
      <c r="Y48" s="37">
        <v>2658.3512943742121</v>
      </c>
      <c r="Z48" s="37">
        <v>532.73628058738393</v>
      </c>
      <c r="AA48" s="37">
        <v>0</v>
      </c>
      <c r="AB48" s="37">
        <v>0</v>
      </c>
      <c r="AC48" s="37">
        <v>0</v>
      </c>
      <c r="AD48" s="37">
        <v>0</v>
      </c>
      <c r="AE48" s="37">
        <v>0</v>
      </c>
      <c r="AF48" s="37">
        <v>0</v>
      </c>
      <c r="AG48" s="38">
        <f t="shared" ref="AG48" si="35">ROUND(SUM(I48:AF48)*H48,2)</f>
        <v>1156393.28</v>
      </c>
    </row>
    <row r="49" spans="5:33" ht="15" thickBot="1" x14ac:dyDescent="0.3">
      <c r="E49" s="56">
        <v>47239</v>
      </c>
      <c r="F49" s="55">
        <f>+_xlfn.XLOOKUP(E49,'PRODUCTO 01'!$C$10:$C$129,'PRODUCTO 01'!$F$10:$F$129)</f>
        <v>1279246.27</v>
      </c>
      <c r="G49" s="55" t="s">
        <v>59</v>
      </c>
      <c r="H49" s="36">
        <v>31</v>
      </c>
      <c r="I49" s="37">
        <v>0</v>
      </c>
      <c r="J49" s="37">
        <v>0</v>
      </c>
      <c r="K49" s="37">
        <v>0</v>
      </c>
      <c r="L49" s="37">
        <v>0</v>
      </c>
      <c r="M49" s="37">
        <v>0</v>
      </c>
      <c r="N49" s="37">
        <v>57.378271760248651</v>
      </c>
      <c r="O49" s="37">
        <v>317.7008339008583</v>
      </c>
      <c r="P49" s="37">
        <v>2023.0867083230705</v>
      </c>
      <c r="Q49" s="37">
        <v>5365.1224956217038</v>
      </c>
      <c r="R49" s="37">
        <v>5703.8479735889941</v>
      </c>
      <c r="S49" s="37">
        <v>4105.0176384992619</v>
      </c>
      <c r="T49" s="37">
        <v>3430.7591287451792</v>
      </c>
      <c r="U49" s="37">
        <v>3256.2762184925136</v>
      </c>
      <c r="V49" s="37">
        <v>2926.8081755151075</v>
      </c>
      <c r="W49" s="37">
        <v>4394.7321734751613</v>
      </c>
      <c r="X49" s="37">
        <v>5304.2007350543327</v>
      </c>
      <c r="Y49" s="37">
        <v>3729.5923073660015</v>
      </c>
      <c r="Z49" s="37">
        <v>651.48610760985287</v>
      </c>
      <c r="AA49" s="37">
        <v>0</v>
      </c>
      <c r="AB49" s="37">
        <v>0</v>
      </c>
      <c r="AC49" s="37">
        <v>0</v>
      </c>
      <c r="AD49" s="37">
        <v>0</v>
      </c>
      <c r="AE49" s="37">
        <v>0</v>
      </c>
      <c r="AF49" s="37">
        <v>0</v>
      </c>
      <c r="AG49" s="38">
        <f t="shared" ref="AG49" si="36">ROUND(SUM(I49:AF49)*H49,2)</f>
        <v>1279246.27</v>
      </c>
    </row>
    <row r="50" spans="5:33" ht="15" thickBot="1" x14ac:dyDescent="0.3">
      <c r="E50" s="56">
        <v>47270</v>
      </c>
      <c r="F50" s="55">
        <f>+_xlfn.XLOOKUP(E50,'PRODUCTO 01'!$C$10:$C$129,'PRODUCTO 01'!$F$10:$F$129)</f>
        <v>1026289.04</v>
      </c>
      <c r="G50" s="55" t="s">
        <v>59</v>
      </c>
      <c r="H50" s="36">
        <v>30</v>
      </c>
      <c r="I50" s="37">
        <v>0</v>
      </c>
      <c r="J50" s="37">
        <v>0</v>
      </c>
      <c r="K50" s="37">
        <v>0</v>
      </c>
      <c r="L50" s="37">
        <v>0</v>
      </c>
      <c r="M50" s="37">
        <v>0</v>
      </c>
      <c r="N50" s="37">
        <v>50.187810404251429</v>
      </c>
      <c r="O50" s="37">
        <v>252.9016342789694</v>
      </c>
      <c r="P50" s="37">
        <v>919.95629757719178</v>
      </c>
      <c r="Q50" s="37">
        <v>2693.4628003975008</v>
      </c>
      <c r="R50" s="37">
        <v>5131.2060661600171</v>
      </c>
      <c r="S50" s="37">
        <v>5215.7741219977661</v>
      </c>
      <c r="T50" s="37">
        <v>4660.9393789259902</v>
      </c>
      <c r="U50" s="37">
        <v>5468.8983896261498</v>
      </c>
      <c r="V50" s="37">
        <v>3832.1709858625877</v>
      </c>
      <c r="W50" s="37">
        <v>2708.7342215849358</v>
      </c>
      <c r="X50" s="37">
        <v>1598.6352313267093</v>
      </c>
      <c r="Y50" s="37">
        <v>1163.5389399343901</v>
      </c>
      <c r="Z50" s="37">
        <v>513.22883295256963</v>
      </c>
      <c r="AA50" s="37">
        <v>0</v>
      </c>
      <c r="AB50" s="37">
        <v>0</v>
      </c>
      <c r="AC50" s="37">
        <v>0</v>
      </c>
      <c r="AD50" s="37">
        <v>0</v>
      </c>
      <c r="AE50" s="37">
        <v>0</v>
      </c>
      <c r="AF50" s="37">
        <v>0</v>
      </c>
      <c r="AG50" s="38">
        <f t="shared" ref="AG50" si="37">ROUND(SUM(I50:AF50)*H50,2)</f>
        <v>1026289.04</v>
      </c>
    </row>
    <row r="51" spans="5:33" ht="15" thickBot="1" x14ac:dyDescent="0.3">
      <c r="E51" s="56">
        <v>47300</v>
      </c>
      <c r="F51" s="55">
        <f>+_xlfn.XLOOKUP(E51,'PRODUCTO 01'!$C$10:$C$129,'PRODUCTO 01'!$F$10:$F$129)</f>
        <v>1178080.83</v>
      </c>
      <c r="G51" s="55" t="s">
        <v>59</v>
      </c>
      <c r="H51" s="36">
        <v>31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13.637525932695727</v>
      </c>
      <c r="O51" s="37">
        <v>255.68510521966076</v>
      </c>
      <c r="P51" s="37">
        <v>1080.0231284351737</v>
      </c>
      <c r="Q51" s="37">
        <v>2912.7008799601003</v>
      </c>
      <c r="R51" s="37">
        <v>5703.9403074810552</v>
      </c>
      <c r="S51" s="37">
        <v>4911.5211631635784</v>
      </c>
      <c r="T51" s="37">
        <v>4773.6761081899349</v>
      </c>
      <c r="U51" s="37">
        <v>5447.6629556035614</v>
      </c>
      <c r="V51" s="37">
        <v>2956.2732540884372</v>
      </c>
      <c r="W51" s="37">
        <v>3175.8149531800623</v>
      </c>
      <c r="X51" s="37">
        <v>4110.0038059592025</v>
      </c>
      <c r="Y51" s="37">
        <v>2009.6106706515313</v>
      </c>
      <c r="Z51" s="37">
        <v>652.05768531529361</v>
      </c>
      <c r="AA51" s="37">
        <v>0</v>
      </c>
      <c r="AB51" s="37">
        <v>0</v>
      </c>
      <c r="AC51" s="37">
        <v>0</v>
      </c>
      <c r="AD51" s="37">
        <v>0</v>
      </c>
      <c r="AE51" s="37">
        <v>0</v>
      </c>
      <c r="AF51" s="37">
        <v>0</v>
      </c>
      <c r="AG51" s="38">
        <f t="shared" ref="AG51" si="38">ROUND(SUM(I51:AF51)*H51,2)</f>
        <v>1178080.83</v>
      </c>
    </row>
    <row r="52" spans="5:33" ht="15" thickBot="1" x14ac:dyDescent="0.3">
      <c r="E52" s="56">
        <v>47331</v>
      </c>
      <c r="F52" s="55">
        <f>+_xlfn.XLOOKUP(E52,'PRODUCTO 01'!$C$10:$C$129,'PRODUCTO 01'!$F$10:$F$129)</f>
        <v>1158022.72</v>
      </c>
      <c r="G52" s="55" t="s">
        <v>59</v>
      </c>
      <c r="H52" s="36">
        <v>31</v>
      </c>
      <c r="I52" s="37">
        <v>0</v>
      </c>
      <c r="J52" s="37">
        <v>0</v>
      </c>
      <c r="K52" s="37">
        <v>0</v>
      </c>
      <c r="L52" s="37">
        <v>0</v>
      </c>
      <c r="M52" s="37">
        <v>0</v>
      </c>
      <c r="N52" s="37">
        <v>17.199444449767757</v>
      </c>
      <c r="O52" s="37">
        <v>141.47764100151844</v>
      </c>
      <c r="P52" s="37">
        <v>831.99173488939709</v>
      </c>
      <c r="Q52" s="37">
        <v>4810.5395197185517</v>
      </c>
      <c r="R52" s="37">
        <v>5626.7092473761722</v>
      </c>
      <c r="S52" s="37">
        <v>5982.2259350272725</v>
      </c>
      <c r="T52" s="37">
        <v>3620.5426547630868</v>
      </c>
      <c r="U52" s="37">
        <v>3683.1527686966833</v>
      </c>
      <c r="V52" s="37">
        <v>4390.1044224604902</v>
      </c>
      <c r="W52" s="37">
        <v>2755.8368710574832</v>
      </c>
      <c r="X52" s="37">
        <v>3777.09753610395</v>
      </c>
      <c r="Y52" s="37">
        <v>1185.6189044241769</v>
      </c>
      <c r="Z52" s="37">
        <v>533.07493280110066</v>
      </c>
      <c r="AA52" s="37">
        <v>0</v>
      </c>
      <c r="AB52" s="37">
        <v>0</v>
      </c>
      <c r="AC52" s="37">
        <v>0</v>
      </c>
      <c r="AD52" s="37">
        <v>0</v>
      </c>
      <c r="AE52" s="37">
        <v>0</v>
      </c>
      <c r="AF52" s="37">
        <v>0</v>
      </c>
      <c r="AG52" s="38">
        <f t="shared" ref="AG52" si="39">ROUND(SUM(I52:AF52)*H52,2)</f>
        <v>1158022.72</v>
      </c>
    </row>
    <row r="53" spans="5:33" ht="15" thickBot="1" x14ac:dyDescent="0.3">
      <c r="E53" s="56">
        <v>47362</v>
      </c>
      <c r="F53" s="55">
        <f>+_xlfn.XLOOKUP(E53,'PRODUCTO 01'!$C$10:$C$129,'PRODUCTO 01'!$F$10:$F$129)</f>
        <v>1180264.3400000001</v>
      </c>
      <c r="G53" s="55" t="s">
        <v>59</v>
      </c>
      <c r="H53" s="36">
        <v>30</v>
      </c>
      <c r="I53" s="37">
        <v>0</v>
      </c>
      <c r="J53" s="37">
        <v>0</v>
      </c>
      <c r="K53" s="37">
        <v>0</v>
      </c>
      <c r="L53" s="37">
        <v>0</v>
      </c>
      <c r="M53" s="37">
        <v>0</v>
      </c>
      <c r="N53" s="37">
        <v>63.189182584062699</v>
      </c>
      <c r="O53" s="37">
        <v>215.43741710363574</v>
      </c>
      <c r="P53" s="37">
        <v>3931.3783315460355</v>
      </c>
      <c r="Q53" s="37">
        <v>6262.0906072476755</v>
      </c>
      <c r="R53" s="37">
        <v>5766.7263486159454</v>
      </c>
      <c r="S53" s="37">
        <v>3535.0402174536166</v>
      </c>
      <c r="T53" s="37">
        <v>3010.2820716030342</v>
      </c>
      <c r="U53" s="37">
        <v>2876.1067850833474</v>
      </c>
      <c r="V53" s="37">
        <v>4321.3370996735139</v>
      </c>
      <c r="W53" s="37">
        <v>3255.919140484918</v>
      </c>
      <c r="X53" s="37">
        <v>4165.800908032159</v>
      </c>
      <c r="Y53" s="37">
        <v>1595.1903527849593</v>
      </c>
      <c r="Z53" s="37">
        <v>343.6463392978884</v>
      </c>
      <c r="AA53" s="37">
        <v>0</v>
      </c>
      <c r="AB53" s="37">
        <v>0</v>
      </c>
      <c r="AC53" s="37">
        <v>0</v>
      </c>
      <c r="AD53" s="37">
        <v>0</v>
      </c>
      <c r="AE53" s="37">
        <v>0</v>
      </c>
      <c r="AF53" s="37">
        <v>0</v>
      </c>
      <c r="AG53" s="38">
        <f t="shared" ref="AG53" si="40">ROUND(SUM(I53:AF53)*H53,2)</f>
        <v>1180264.3400000001</v>
      </c>
    </row>
    <row r="54" spans="5:33" ht="15" thickBot="1" x14ac:dyDescent="0.3">
      <c r="E54" s="56">
        <v>47392</v>
      </c>
      <c r="F54" s="55">
        <f>+_xlfn.XLOOKUP(E54,'PRODUCTO 01'!$C$10:$C$129,'PRODUCTO 01'!$F$10:$F$129)</f>
        <v>1310882.6499999999</v>
      </c>
      <c r="G54" s="55" t="s">
        <v>59</v>
      </c>
      <c r="H54" s="36">
        <v>31</v>
      </c>
      <c r="I54" s="37">
        <v>0</v>
      </c>
      <c r="J54" s="37">
        <v>0</v>
      </c>
      <c r="K54" s="37">
        <v>0</v>
      </c>
      <c r="L54" s="37">
        <v>0</v>
      </c>
      <c r="M54" s="37">
        <v>0</v>
      </c>
      <c r="N54" s="37">
        <v>18.125704304275772</v>
      </c>
      <c r="O54" s="37">
        <v>247.06113266253479</v>
      </c>
      <c r="P54" s="37">
        <v>2817.0784903396111</v>
      </c>
      <c r="Q54" s="37">
        <v>4393.1938183076127</v>
      </c>
      <c r="R54" s="37">
        <v>6313.7625217034411</v>
      </c>
      <c r="S54" s="37">
        <v>5619.3223658224997</v>
      </c>
      <c r="T54" s="37">
        <v>4859.5871864298533</v>
      </c>
      <c r="U54" s="37">
        <v>4254.786387842958</v>
      </c>
      <c r="V54" s="37">
        <v>4569.2798575872448</v>
      </c>
      <c r="W54" s="37">
        <v>4143.0414343140801</v>
      </c>
      <c r="X54" s="37">
        <v>3069.9585214958979</v>
      </c>
      <c r="Y54" s="37">
        <v>1746.3304479683131</v>
      </c>
      <c r="Z54" s="37">
        <v>235.00915883018462</v>
      </c>
      <c r="AA54" s="37">
        <v>0</v>
      </c>
      <c r="AB54" s="37">
        <v>0</v>
      </c>
      <c r="AC54" s="37">
        <v>0</v>
      </c>
      <c r="AD54" s="37">
        <v>0</v>
      </c>
      <c r="AE54" s="37">
        <v>0</v>
      </c>
      <c r="AF54" s="37">
        <v>0</v>
      </c>
      <c r="AG54" s="38">
        <f t="shared" ref="AG54" si="41">ROUND(SUM(I54:AF54)*H54,2)</f>
        <v>1310882.6499999999</v>
      </c>
    </row>
    <row r="55" spans="5:33" ht="15" thickBot="1" x14ac:dyDescent="0.3">
      <c r="E55" s="56">
        <v>47423</v>
      </c>
      <c r="F55" s="55">
        <f>+_xlfn.XLOOKUP(E55,'PRODUCTO 01'!$C$10:$C$129,'PRODUCTO 01'!$F$10:$F$129)</f>
        <v>1236832.03</v>
      </c>
      <c r="G55" s="55" t="s">
        <v>59</v>
      </c>
      <c r="H55" s="36">
        <v>30</v>
      </c>
      <c r="I55" s="37">
        <v>0</v>
      </c>
      <c r="J55" s="37">
        <v>0</v>
      </c>
      <c r="K55" s="37">
        <v>0</v>
      </c>
      <c r="L55" s="37">
        <v>0</v>
      </c>
      <c r="M55" s="37">
        <v>0</v>
      </c>
      <c r="N55" s="37">
        <v>47.712681558903697</v>
      </c>
      <c r="O55" s="37">
        <v>223.07362525592802</v>
      </c>
      <c r="P55" s="37">
        <v>1306.3924697274033</v>
      </c>
      <c r="Q55" s="37">
        <v>2436.3822676754617</v>
      </c>
      <c r="R55" s="37">
        <v>2844.2787818797674</v>
      </c>
      <c r="S55" s="37">
        <v>3068.860127938693</v>
      </c>
      <c r="T55" s="37">
        <v>4197.0599647635318</v>
      </c>
      <c r="U55" s="37">
        <v>5177.5751561340667</v>
      </c>
      <c r="V55" s="37">
        <v>6432.5870720323055</v>
      </c>
      <c r="W55" s="37">
        <v>7576.957327359758</v>
      </c>
      <c r="X55" s="37">
        <v>6072.6610856732877</v>
      </c>
      <c r="Y55" s="37">
        <v>1633.7310878618821</v>
      </c>
      <c r="Z55" s="37">
        <v>210.46282279655773</v>
      </c>
      <c r="AA55" s="37">
        <v>0</v>
      </c>
      <c r="AB55" s="37">
        <v>0</v>
      </c>
      <c r="AC55" s="37">
        <v>0</v>
      </c>
      <c r="AD55" s="37">
        <v>0</v>
      </c>
      <c r="AE55" s="37">
        <v>0</v>
      </c>
      <c r="AF55" s="37">
        <v>0</v>
      </c>
      <c r="AG55" s="38">
        <f t="shared" ref="AG55" si="42">ROUND(SUM(I55:AF55)*H55,2)</f>
        <v>1236832.03</v>
      </c>
    </row>
    <row r="56" spans="5:33" ht="15" thickBot="1" x14ac:dyDescent="0.3">
      <c r="E56" s="56">
        <v>47453</v>
      </c>
      <c r="F56" s="55">
        <f>+_xlfn.XLOOKUP(E56,'PRODUCTO 01'!$C$10:$C$129,'PRODUCTO 01'!$F$10:$F$129)</f>
        <v>1565763.71</v>
      </c>
      <c r="G56" s="55" t="s">
        <v>59</v>
      </c>
      <c r="H56" s="36">
        <v>31</v>
      </c>
      <c r="I56" s="37">
        <v>0</v>
      </c>
      <c r="J56" s="37">
        <v>0</v>
      </c>
      <c r="K56" s="37">
        <v>0</v>
      </c>
      <c r="L56" s="37">
        <v>0</v>
      </c>
      <c r="M56" s="37">
        <v>0</v>
      </c>
      <c r="N56" s="37">
        <v>25.836808999568216</v>
      </c>
      <c r="O56" s="37">
        <v>106.70269247729512</v>
      </c>
      <c r="P56" s="37">
        <v>3426.7000625384753</v>
      </c>
      <c r="Q56" s="37">
        <v>5444.1430525387314</v>
      </c>
      <c r="R56" s="37">
        <v>7058.8633353095665</v>
      </c>
      <c r="S56" s="37">
        <v>6824.5688335827945</v>
      </c>
      <c r="T56" s="37">
        <v>6021.7260150881175</v>
      </c>
      <c r="U56" s="37">
        <v>6041.0383545010718</v>
      </c>
      <c r="V56" s="37">
        <v>6054.12694480139</v>
      </c>
      <c r="W56" s="37">
        <v>5429.134526026276</v>
      </c>
      <c r="X56" s="37">
        <v>2742.3965487658897</v>
      </c>
      <c r="Y56" s="37">
        <v>1106.7847234015678</v>
      </c>
      <c r="Z56" s="37">
        <v>226.48473912613022</v>
      </c>
      <c r="AA56" s="37">
        <v>0</v>
      </c>
      <c r="AB56" s="37">
        <v>0</v>
      </c>
      <c r="AC56" s="37">
        <v>0</v>
      </c>
      <c r="AD56" s="37">
        <v>0</v>
      </c>
      <c r="AE56" s="37">
        <v>0</v>
      </c>
      <c r="AF56" s="37">
        <v>0</v>
      </c>
      <c r="AG56" s="38">
        <f t="shared" ref="AG56" si="43">ROUND(SUM(I56:AF56)*H56,2)</f>
        <v>1565763.71</v>
      </c>
    </row>
    <row r="57" spans="5:33" ht="15" thickBot="1" x14ac:dyDescent="0.3">
      <c r="E57" s="56">
        <v>47484</v>
      </c>
      <c r="F57" s="55">
        <f>+_xlfn.XLOOKUP(E57,'PRODUCTO 01'!$C$10:$C$129,'PRODUCTO 01'!$F$10:$F$129)</f>
        <v>2786920.19</v>
      </c>
      <c r="G57" s="55" t="s">
        <v>59</v>
      </c>
      <c r="H57" s="36">
        <v>31</v>
      </c>
      <c r="I57" s="37">
        <v>0</v>
      </c>
      <c r="J57" s="37">
        <v>0</v>
      </c>
      <c r="K57" s="37">
        <v>0</v>
      </c>
      <c r="L57" s="37">
        <v>0</v>
      </c>
      <c r="M57" s="37">
        <v>0</v>
      </c>
      <c r="N57" s="37">
        <v>0.13140615741635917</v>
      </c>
      <c r="O57" s="37">
        <v>77.394988455229239</v>
      </c>
      <c r="P57" s="37">
        <v>1788.0302332576462</v>
      </c>
      <c r="Q57" s="37">
        <v>7142.0412273586253</v>
      </c>
      <c r="R57" s="37">
        <v>11130.363347456707</v>
      </c>
      <c r="S57" s="37">
        <v>10880.473876081911</v>
      </c>
      <c r="T57" s="37">
        <v>11104.302081496578</v>
      </c>
      <c r="U57" s="37">
        <v>11004.041734580767</v>
      </c>
      <c r="V57" s="37">
        <v>11507.764531883393</v>
      </c>
      <c r="W57" s="37">
        <v>11630.388054617124</v>
      </c>
      <c r="X57" s="37">
        <v>9850.9229226592797</v>
      </c>
      <c r="Y57" s="37">
        <v>2885.9622278668057</v>
      </c>
      <c r="Z57" s="37">
        <v>898.83465965696109</v>
      </c>
      <c r="AA57" s="37">
        <v>0</v>
      </c>
      <c r="AB57" s="37">
        <v>0</v>
      </c>
      <c r="AC57" s="37">
        <v>0</v>
      </c>
      <c r="AD57" s="37">
        <v>0</v>
      </c>
      <c r="AE57" s="37">
        <v>0</v>
      </c>
      <c r="AF57" s="37">
        <v>0</v>
      </c>
      <c r="AG57" s="38">
        <f>ROUND(SUM(I57:AF57)*H57,2)</f>
        <v>2786920.19</v>
      </c>
    </row>
    <row r="58" spans="5:33" ht="15" thickBot="1" x14ac:dyDescent="0.3">
      <c r="E58" s="56">
        <v>47515</v>
      </c>
      <c r="F58" s="55">
        <f>+_xlfn.XLOOKUP(E58,'PRODUCTO 01'!$C$10:$C$129,'PRODUCTO 01'!$F$10:$F$129)</f>
        <v>2346071.0299999998</v>
      </c>
      <c r="G58" s="55" t="s">
        <v>59</v>
      </c>
      <c r="H58" s="36">
        <v>28</v>
      </c>
      <c r="I58" s="37">
        <v>0</v>
      </c>
      <c r="J58" s="37">
        <v>0</v>
      </c>
      <c r="K58" s="37">
        <v>0</v>
      </c>
      <c r="L58" s="37">
        <v>0</v>
      </c>
      <c r="M58" s="37">
        <v>0</v>
      </c>
      <c r="N58" s="37">
        <v>0</v>
      </c>
      <c r="O58" s="37">
        <v>93.214057957732393</v>
      </c>
      <c r="P58" s="37">
        <v>1857.3210044291093</v>
      </c>
      <c r="Q58" s="37">
        <v>6772.4103347421387</v>
      </c>
      <c r="R58" s="37">
        <v>11838.297276644147</v>
      </c>
      <c r="S58" s="37">
        <v>12690.136496556579</v>
      </c>
      <c r="T58" s="37">
        <v>11374.989646901075</v>
      </c>
      <c r="U58" s="37">
        <v>10126.034904385791</v>
      </c>
      <c r="V58" s="37">
        <v>6220.3877507657162</v>
      </c>
      <c r="W58" s="37">
        <v>8525.4628297439613</v>
      </c>
      <c r="X58" s="37">
        <v>9716.369917285936</v>
      </c>
      <c r="Y58" s="37">
        <v>3420.1417726204791</v>
      </c>
      <c r="Z58" s="37">
        <v>1153.4849538219758</v>
      </c>
      <c r="AA58" s="37">
        <v>0</v>
      </c>
      <c r="AB58" s="37">
        <v>0</v>
      </c>
      <c r="AC58" s="37">
        <v>0</v>
      </c>
      <c r="AD58" s="37">
        <v>0</v>
      </c>
      <c r="AE58" s="37">
        <v>0</v>
      </c>
      <c r="AF58" s="37">
        <v>0</v>
      </c>
      <c r="AG58" s="38">
        <f t="shared" ref="AG58" si="44">ROUND(SUM(I58:AF58)*H58,2)</f>
        <v>2346071.0299999998</v>
      </c>
    </row>
    <row r="59" spans="5:33" ht="15" thickBot="1" x14ac:dyDescent="0.3">
      <c r="E59" s="56">
        <v>47543</v>
      </c>
      <c r="F59" s="55">
        <f>+_xlfn.XLOOKUP(E59,'PRODUCTO 01'!$C$10:$C$129,'PRODUCTO 01'!$F$10:$F$129)</f>
        <v>2377155.37</v>
      </c>
      <c r="G59" s="55" t="s">
        <v>59</v>
      </c>
      <c r="H59" s="36">
        <v>31</v>
      </c>
      <c r="I59" s="37">
        <v>0</v>
      </c>
      <c r="J59" s="37">
        <v>0</v>
      </c>
      <c r="K59" s="37">
        <v>0</v>
      </c>
      <c r="L59" s="37">
        <v>0</v>
      </c>
      <c r="M59" s="37">
        <v>0</v>
      </c>
      <c r="N59" s="37">
        <v>10.792571351482515</v>
      </c>
      <c r="O59" s="37">
        <v>308.54091031754751</v>
      </c>
      <c r="P59" s="37">
        <v>1710.9608061517501</v>
      </c>
      <c r="Q59" s="37">
        <v>5179.5486813755542</v>
      </c>
      <c r="R59" s="37">
        <v>8260.1709207096701</v>
      </c>
      <c r="S59" s="37">
        <v>8639.8461723334549</v>
      </c>
      <c r="T59" s="37">
        <v>9211.4876705144543</v>
      </c>
      <c r="U59" s="37">
        <v>9543.8785040362491</v>
      </c>
      <c r="V59" s="37">
        <v>10023.654700391744</v>
      </c>
      <c r="W59" s="37">
        <v>11036.527431632092</v>
      </c>
      <c r="X59" s="37">
        <v>8779.3228389259748</v>
      </c>
      <c r="Y59" s="37">
        <v>2939.3014370084011</v>
      </c>
      <c r="Z59" s="37">
        <v>1038.3985888515563</v>
      </c>
      <c r="AA59" s="37">
        <v>0</v>
      </c>
      <c r="AB59" s="37">
        <v>0</v>
      </c>
      <c r="AC59" s="37">
        <v>0</v>
      </c>
      <c r="AD59" s="37">
        <v>0</v>
      </c>
      <c r="AE59" s="37">
        <v>0</v>
      </c>
      <c r="AF59" s="37">
        <v>0</v>
      </c>
      <c r="AG59" s="38">
        <f t="shared" ref="AG59" si="45">ROUND(SUM(I59:AF59)*H59,2)</f>
        <v>2377155.37</v>
      </c>
    </row>
    <row r="60" spans="5:33" ht="15" thickBot="1" x14ac:dyDescent="0.3">
      <c r="E60" s="56">
        <v>47574</v>
      </c>
      <c r="F60" s="55">
        <f>+_xlfn.XLOOKUP(E60,'PRODUCTO 01'!$C$10:$C$129,'PRODUCTO 01'!$F$10:$F$129)</f>
        <v>1911623.26</v>
      </c>
      <c r="G60" s="55" t="s">
        <v>59</v>
      </c>
      <c r="H60" s="36">
        <v>30</v>
      </c>
      <c r="I60" s="37">
        <v>0</v>
      </c>
      <c r="J60" s="37">
        <v>0</v>
      </c>
      <c r="K60" s="37">
        <v>0</v>
      </c>
      <c r="L60" s="37">
        <v>0</v>
      </c>
      <c r="M60" s="37">
        <v>0</v>
      </c>
      <c r="N60" s="37">
        <v>36.315209206873782</v>
      </c>
      <c r="O60" s="37">
        <v>319.14127177163488</v>
      </c>
      <c r="P60" s="37">
        <v>1581.3497384469033</v>
      </c>
      <c r="Q60" s="37">
        <v>3325.7829125307726</v>
      </c>
      <c r="R60" s="37">
        <v>6343.0845485994532</v>
      </c>
      <c r="S60" s="37">
        <v>7205.8432409387888</v>
      </c>
      <c r="T60" s="37">
        <v>7152.9985000313727</v>
      </c>
      <c r="U60" s="37">
        <v>7333.0294894197614</v>
      </c>
      <c r="V60" s="37">
        <v>8484.2191193034869</v>
      </c>
      <c r="W60" s="37">
        <v>7568.6856718660038</v>
      </c>
      <c r="X60" s="37">
        <v>9090.6411372738439</v>
      </c>
      <c r="Y60" s="37">
        <v>4397.0263832898409</v>
      </c>
      <c r="Z60" s="37">
        <v>882.65815547861519</v>
      </c>
      <c r="AA60" s="37">
        <v>0</v>
      </c>
      <c r="AB60" s="37">
        <v>0</v>
      </c>
      <c r="AC60" s="37">
        <v>0</v>
      </c>
      <c r="AD60" s="37">
        <v>0</v>
      </c>
      <c r="AE60" s="37">
        <v>0</v>
      </c>
      <c r="AF60" s="37">
        <v>0</v>
      </c>
      <c r="AG60" s="38">
        <f t="shared" ref="AG60" si="46">ROUND(SUM(I60:AF60)*H60,2)</f>
        <v>1911623.26</v>
      </c>
    </row>
    <row r="61" spans="5:33" ht="15" thickBot="1" x14ac:dyDescent="0.3">
      <c r="E61" s="56">
        <v>47604</v>
      </c>
      <c r="F61" s="55">
        <f>+_xlfn.XLOOKUP(E61,'PRODUCTO 01'!$C$10:$C$129,'PRODUCTO 01'!$F$10:$F$129)</f>
        <v>2116434.91</v>
      </c>
      <c r="G61" s="55" t="s">
        <v>59</v>
      </c>
      <c r="H61" s="36">
        <v>31</v>
      </c>
      <c r="I61" s="37">
        <v>0</v>
      </c>
      <c r="J61" s="37">
        <v>0</v>
      </c>
      <c r="K61" s="37">
        <v>0</v>
      </c>
      <c r="L61" s="37">
        <v>0</v>
      </c>
      <c r="M61" s="37">
        <v>0</v>
      </c>
      <c r="N61" s="37">
        <v>95.058950101284196</v>
      </c>
      <c r="O61" s="37">
        <v>526.37690059838224</v>
      </c>
      <c r="P61" s="37">
        <v>3341.7608993030799</v>
      </c>
      <c r="Q61" s="37">
        <v>8876.6285947222295</v>
      </c>
      <c r="R61" s="37">
        <v>9434.4243111963933</v>
      </c>
      <c r="S61" s="37">
        <v>6779.6157041131419</v>
      </c>
      <c r="T61" s="37">
        <v>5684.2228588788294</v>
      </c>
      <c r="U61" s="37">
        <v>5395.1291283380197</v>
      </c>
      <c r="V61" s="37">
        <v>4849.2568619580707</v>
      </c>
      <c r="W61" s="37">
        <v>7264.3516069217476</v>
      </c>
      <c r="X61" s="37">
        <v>8775.5169193791771</v>
      </c>
      <c r="Y61" s="37">
        <v>6170.3441611615935</v>
      </c>
      <c r="Z61" s="37">
        <v>1079.4069391806754</v>
      </c>
      <c r="AA61" s="37">
        <v>0</v>
      </c>
      <c r="AB61" s="37">
        <v>0</v>
      </c>
      <c r="AC61" s="37">
        <v>0</v>
      </c>
      <c r="AD61" s="37">
        <v>0</v>
      </c>
      <c r="AE61" s="37">
        <v>0</v>
      </c>
      <c r="AF61" s="37">
        <v>0</v>
      </c>
      <c r="AG61" s="38">
        <f t="shared" ref="AG61" si="47">ROUND(SUM(I61:AF61)*H61,2)</f>
        <v>2116434.91</v>
      </c>
    </row>
    <row r="62" spans="5:33" ht="15" thickBot="1" x14ac:dyDescent="0.3">
      <c r="E62" s="56">
        <v>47635</v>
      </c>
      <c r="F62" s="55">
        <f>+_xlfn.XLOOKUP(E62,'PRODUCTO 01'!$C$10:$C$129,'PRODUCTO 01'!$F$10:$F$129)</f>
        <v>1696411.58</v>
      </c>
      <c r="G62" s="55" t="s">
        <v>59</v>
      </c>
      <c r="H62" s="36">
        <v>30</v>
      </c>
      <c r="I62" s="37">
        <v>0</v>
      </c>
      <c r="J62" s="37">
        <v>0</v>
      </c>
      <c r="K62" s="37">
        <v>0</v>
      </c>
      <c r="L62" s="37">
        <v>0</v>
      </c>
      <c r="M62" s="37">
        <v>0</v>
      </c>
      <c r="N62" s="37">
        <v>83.122622817370228</v>
      </c>
      <c r="O62" s="37">
        <v>419.02094022774492</v>
      </c>
      <c r="P62" s="37">
        <v>1524.2147715062133</v>
      </c>
      <c r="Q62" s="37">
        <v>4445.7958695815614</v>
      </c>
      <c r="R62" s="37">
        <v>8483.7187112328702</v>
      </c>
      <c r="S62" s="37">
        <v>8619.7931356150493</v>
      </c>
      <c r="T62" s="37">
        <v>7701.081292473029</v>
      </c>
      <c r="U62" s="37">
        <v>9041.855530485027</v>
      </c>
      <c r="V62" s="37">
        <v>6330.9627515662423</v>
      </c>
      <c r="W62" s="37">
        <v>4470.6797819474832</v>
      </c>
      <c r="X62" s="37">
        <v>2648.6773678440145</v>
      </c>
      <c r="Y62" s="37">
        <v>1927.7983508714433</v>
      </c>
      <c r="Z62" s="37">
        <v>850.33155499275256</v>
      </c>
      <c r="AA62" s="37">
        <v>0</v>
      </c>
      <c r="AB62" s="37">
        <v>0</v>
      </c>
      <c r="AC62" s="37">
        <v>0</v>
      </c>
      <c r="AD62" s="37">
        <v>0</v>
      </c>
      <c r="AE62" s="37">
        <v>0</v>
      </c>
      <c r="AF62" s="37">
        <v>0</v>
      </c>
      <c r="AG62" s="38">
        <f t="shared" ref="AG62" si="48">ROUND(SUM(I62:AF62)*H62,2)</f>
        <v>1696411.58</v>
      </c>
    </row>
    <row r="63" spans="5:33" ht="15" thickBot="1" x14ac:dyDescent="0.3">
      <c r="E63" s="56">
        <v>47665</v>
      </c>
      <c r="F63" s="55">
        <f>+_xlfn.XLOOKUP(E63,'PRODUCTO 01'!$C$10:$C$129,'PRODUCTO 01'!$F$10:$F$129)</f>
        <v>1947080.46</v>
      </c>
      <c r="G63" s="55" t="s">
        <v>59</v>
      </c>
      <c r="H63" s="36">
        <v>31</v>
      </c>
      <c r="I63" s="37">
        <v>0</v>
      </c>
      <c r="J63" s="37">
        <v>0</v>
      </c>
      <c r="K63" s="37">
        <v>0</v>
      </c>
      <c r="L63" s="37">
        <v>0</v>
      </c>
      <c r="M63" s="37">
        <v>0</v>
      </c>
      <c r="N63" s="37">
        <v>22.602337643212451</v>
      </c>
      <c r="O63" s="37">
        <v>423.63325327175528</v>
      </c>
      <c r="P63" s="37">
        <v>1789.4286113408343</v>
      </c>
      <c r="Q63" s="37">
        <v>4811.821368019263</v>
      </c>
      <c r="R63" s="37">
        <v>9435.5399300631307</v>
      </c>
      <c r="S63" s="37">
        <v>8118.7596824887587</v>
      </c>
      <c r="T63" s="37">
        <v>7889.1765299843855</v>
      </c>
      <c r="U63" s="37">
        <v>9006.5351913923896</v>
      </c>
      <c r="V63" s="37">
        <v>4877.1114590392554</v>
      </c>
      <c r="W63" s="37">
        <v>5241.9529395670497</v>
      </c>
      <c r="X63" s="37">
        <v>6794.7850463538216</v>
      </c>
      <c r="Y63" s="37">
        <v>3317.345993408464</v>
      </c>
      <c r="Z63" s="37">
        <v>1080.3546576464119</v>
      </c>
      <c r="AA63" s="37">
        <v>0</v>
      </c>
      <c r="AB63" s="37">
        <v>0</v>
      </c>
      <c r="AC63" s="37">
        <v>0</v>
      </c>
      <c r="AD63" s="37">
        <v>0</v>
      </c>
      <c r="AE63" s="37">
        <v>0</v>
      </c>
      <c r="AF63" s="37">
        <v>0</v>
      </c>
      <c r="AG63" s="38">
        <f t="shared" ref="AG63" si="49">ROUND(SUM(I63:AF63)*H63,2)</f>
        <v>1947080.46</v>
      </c>
    </row>
    <row r="64" spans="5:33" ht="15" thickBot="1" x14ac:dyDescent="0.3">
      <c r="E64" s="56">
        <v>47696</v>
      </c>
      <c r="F64" s="55">
        <f>+_xlfn.XLOOKUP(E64,'PRODUCTO 01'!$C$10:$C$129,'PRODUCTO 01'!$F$10:$F$129)</f>
        <v>1914326.72</v>
      </c>
      <c r="G64" s="55" t="s">
        <v>59</v>
      </c>
      <c r="H64" s="36">
        <v>31</v>
      </c>
      <c r="I64" s="37">
        <v>0</v>
      </c>
      <c r="J64" s="37">
        <v>0</v>
      </c>
      <c r="K64" s="37">
        <v>0</v>
      </c>
      <c r="L64" s="37">
        <v>0</v>
      </c>
      <c r="M64" s="37">
        <v>0</v>
      </c>
      <c r="N64" s="37">
        <v>28.505742694838883</v>
      </c>
      <c r="O64" s="37">
        <v>234.40438283076256</v>
      </c>
      <c r="P64" s="37">
        <v>1378.474672591839</v>
      </c>
      <c r="Q64" s="37">
        <v>7955.2118260024145</v>
      </c>
      <c r="R64" s="37">
        <v>9306.1079408245369</v>
      </c>
      <c r="S64" s="37">
        <v>9892.8225054705072</v>
      </c>
      <c r="T64" s="37">
        <v>5975.5471119567683</v>
      </c>
      <c r="U64" s="37">
        <v>6082.2688212415524</v>
      </c>
      <c r="V64" s="37">
        <v>7256.3661989414868</v>
      </c>
      <c r="W64" s="37">
        <v>4549.175171991812</v>
      </c>
      <c r="X64" s="37">
        <v>6245.9954058493304</v>
      </c>
      <c r="Y64" s="37">
        <v>1964.3771045310575</v>
      </c>
      <c r="Z64" s="37">
        <v>883.21790192214019</v>
      </c>
      <c r="AA64" s="37">
        <v>0</v>
      </c>
      <c r="AB64" s="37">
        <v>0</v>
      </c>
      <c r="AC64" s="37">
        <v>0</v>
      </c>
      <c r="AD64" s="37">
        <v>0</v>
      </c>
      <c r="AE64" s="37">
        <v>0</v>
      </c>
      <c r="AF64" s="37">
        <v>0</v>
      </c>
      <c r="AG64" s="38">
        <f t="shared" ref="AG64" si="50">ROUND(SUM(I64:AF64)*H64,2)</f>
        <v>1914326.72</v>
      </c>
    </row>
    <row r="65" spans="5:33" ht="15" thickBot="1" x14ac:dyDescent="0.3">
      <c r="E65" s="56">
        <v>47727</v>
      </c>
      <c r="F65" s="55">
        <f>+_xlfn.XLOOKUP(E65,'PRODUCTO 01'!$C$10:$C$129,'PRODUCTO 01'!$F$10:$F$129)</f>
        <v>1951757.33</v>
      </c>
      <c r="G65" s="55" t="s">
        <v>59</v>
      </c>
      <c r="H65" s="36">
        <v>30</v>
      </c>
      <c r="I65" s="37">
        <v>0</v>
      </c>
      <c r="J65" s="37">
        <v>0</v>
      </c>
      <c r="K65" s="37">
        <v>0</v>
      </c>
      <c r="L65" s="37">
        <v>0</v>
      </c>
      <c r="M65" s="37">
        <v>0</v>
      </c>
      <c r="N65" s="37">
        <v>104.67796900516113</v>
      </c>
      <c r="O65" s="37">
        <v>356.95033321156171</v>
      </c>
      <c r="P65" s="37">
        <v>6501.5765070434645</v>
      </c>
      <c r="Q65" s="37">
        <v>10359.655802399744</v>
      </c>
      <c r="R65" s="37">
        <v>9536.3003375004246</v>
      </c>
      <c r="S65" s="37">
        <v>5834.3155038963678</v>
      </c>
      <c r="T65" s="37">
        <v>4987.5620588727115</v>
      </c>
      <c r="U65" s="37">
        <v>4765.2516741198242</v>
      </c>
      <c r="V65" s="37">
        <v>7141.2114880042791</v>
      </c>
      <c r="W65" s="37">
        <v>5378.4219561747695</v>
      </c>
      <c r="X65" s="37">
        <v>6889.7087039272583</v>
      </c>
      <c r="Y65" s="37">
        <v>2633.5787881893648</v>
      </c>
      <c r="Z65" s="37">
        <v>569.36668319938804</v>
      </c>
      <c r="AA65" s="37">
        <v>0</v>
      </c>
      <c r="AB65" s="37">
        <v>0</v>
      </c>
      <c r="AC65" s="37">
        <v>0</v>
      </c>
      <c r="AD65" s="37">
        <v>0</v>
      </c>
      <c r="AE65" s="37">
        <v>0</v>
      </c>
      <c r="AF65" s="37">
        <v>0</v>
      </c>
      <c r="AG65" s="38">
        <f t="shared" ref="AG65" si="51">ROUND(SUM(I65:AF65)*H65,2)</f>
        <v>1951757.33</v>
      </c>
    </row>
    <row r="66" spans="5:33" ht="15" thickBot="1" x14ac:dyDescent="0.3">
      <c r="E66" s="56">
        <v>47757</v>
      </c>
      <c r="F66" s="55">
        <f>+_xlfn.XLOOKUP(E66,'PRODUCTO 01'!$C$10:$C$129,'PRODUCTO 01'!$F$10:$F$129)</f>
        <v>2166857.9500000002</v>
      </c>
      <c r="G66" s="55" t="s">
        <v>59</v>
      </c>
      <c r="H66" s="36">
        <v>31</v>
      </c>
      <c r="I66" s="37">
        <v>0</v>
      </c>
      <c r="J66" s="37">
        <v>0</v>
      </c>
      <c r="K66" s="37">
        <v>0</v>
      </c>
      <c r="L66" s="37">
        <v>0</v>
      </c>
      <c r="M66" s="37">
        <v>0</v>
      </c>
      <c r="N66" s="37">
        <v>29.872882400780252</v>
      </c>
      <c r="O66" s="37">
        <v>409.34111381469023</v>
      </c>
      <c r="P66" s="37">
        <v>4654.6389109983756</v>
      </c>
      <c r="Q66" s="37">
        <v>7261.6717738469979</v>
      </c>
      <c r="R66" s="37">
        <v>10442.946674008148</v>
      </c>
      <c r="S66" s="37">
        <v>9290.3554906882091</v>
      </c>
      <c r="T66" s="37">
        <v>8030.5000155009711</v>
      </c>
      <c r="U66" s="37">
        <v>7028.5050860938118</v>
      </c>
      <c r="V66" s="37">
        <v>7552.2648439207442</v>
      </c>
      <c r="W66" s="37">
        <v>6848.9226252579847</v>
      </c>
      <c r="X66" s="37">
        <v>5073.8287002254683</v>
      </c>
      <c r="Y66" s="37">
        <v>2886.4204339291391</v>
      </c>
      <c r="Z66" s="37">
        <v>389.37493191165424</v>
      </c>
      <c r="AA66" s="37">
        <v>0</v>
      </c>
      <c r="AB66" s="37">
        <v>0</v>
      </c>
      <c r="AC66" s="37">
        <v>0</v>
      </c>
      <c r="AD66" s="37">
        <v>0</v>
      </c>
      <c r="AE66" s="37">
        <v>0</v>
      </c>
      <c r="AF66" s="37">
        <v>0</v>
      </c>
      <c r="AG66" s="38">
        <f t="shared" ref="AG66" si="52">ROUND(SUM(I66:AF66)*H66,2)</f>
        <v>2166857.9500000002</v>
      </c>
    </row>
    <row r="67" spans="5:33" ht="15" thickBot="1" x14ac:dyDescent="0.3">
      <c r="E67" s="56">
        <v>47788</v>
      </c>
      <c r="F67" s="55">
        <f>+_xlfn.XLOOKUP(E67,'PRODUCTO 01'!$C$10:$C$129,'PRODUCTO 01'!$F$10:$F$129)</f>
        <v>2048775.8</v>
      </c>
      <c r="G67" s="55" t="s">
        <v>59</v>
      </c>
      <c r="H67" s="36">
        <v>30</v>
      </c>
      <c r="I67" s="37">
        <v>0</v>
      </c>
      <c r="J67" s="37">
        <v>0</v>
      </c>
      <c r="K67" s="37">
        <v>0</v>
      </c>
      <c r="L67" s="37">
        <v>0</v>
      </c>
      <c r="M67" s="37">
        <v>0</v>
      </c>
      <c r="N67" s="37">
        <v>79.158403678990084</v>
      </c>
      <c r="O67" s="37">
        <v>369.59628759020524</v>
      </c>
      <c r="P67" s="37">
        <v>2157.5673356476559</v>
      </c>
      <c r="Q67" s="37">
        <v>4028.2821461536641</v>
      </c>
      <c r="R67" s="37">
        <v>4702.0188213155143</v>
      </c>
      <c r="S67" s="37">
        <v>5084.6166661172629</v>
      </c>
      <c r="T67" s="37">
        <v>6946.295546218621</v>
      </c>
      <c r="U67" s="37">
        <v>8575.4918229387986</v>
      </c>
      <c r="V67" s="37">
        <v>10661.795933245812</v>
      </c>
      <c r="W67" s="37">
        <v>12564.983695457035</v>
      </c>
      <c r="X67" s="37">
        <v>10069.422847675029</v>
      </c>
      <c r="Y67" s="37">
        <v>2704.5985301874171</v>
      </c>
      <c r="Z67" s="37">
        <v>348.69866998014476</v>
      </c>
      <c r="AA67" s="37">
        <v>0</v>
      </c>
      <c r="AB67" s="37">
        <v>0</v>
      </c>
      <c r="AC67" s="37">
        <v>0</v>
      </c>
      <c r="AD67" s="37">
        <v>0</v>
      </c>
      <c r="AE67" s="37">
        <v>0</v>
      </c>
      <c r="AF67" s="37">
        <v>0</v>
      </c>
      <c r="AG67" s="38">
        <f t="shared" ref="AG67" si="53">ROUND(SUM(I67:AF67)*H67,2)</f>
        <v>2048775.8</v>
      </c>
    </row>
    <row r="68" spans="5:33" ht="15" thickBot="1" x14ac:dyDescent="0.3">
      <c r="E68" s="56">
        <v>47818</v>
      </c>
      <c r="F68" s="55">
        <f>+_xlfn.XLOOKUP(E68,'PRODUCTO 01'!$C$10:$C$129,'PRODUCTO 01'!$F$10:$F$129)</f>
        <v>2589596.5299999998</v>
      </c>
      <c r="G68" s="55" t="s">
        <v>59</v>
      </c>
      <c r="H68" s="36">
        <v>31</v>
      </c>
      <c r="I68" s="37">
        <v>0</v>
      </c>
      <c r="J68" s="37">
        <v>0</v>
      </c>
      <c r="K68" s="37">
        <v>0</v>
      </c>
      <c r="L68" s="37">
        <v>0</v>
      </c>
      <c r="M68" s="37">
        <v>0</v>
      </c>
      <c r="N68" s="37">
        <v>42.821027440823848</v>
      </c>
      <c r="O68" s="37">
        <v>176.78318276903769</v>
      </c>
      <c r="P68" s="37">
        <v>5664.994066529508</v>
      </c>
      <c r="Q68" s="37">
        <v>9003.4690474709059</v>
      </c>
      <c r="R68" s="37">
        <v>11678.043339877029</v>
      </c>
      <c r="S68" s="37">
        <v>11290.115559855079</v>
      </c>
      <c r="T68" s="37">
        <v>9958.6713137415809</v>
      </c>
      <c r="U68" s="37">
        <v>9991.4284941638798</v>
      </c>
      <c r="V68" s="37">
        <v>10014.37777470489</v>
      </c>
      <c r="W68" s="37">
        <v>8978.3409311102132</v>
      </c>
      <c r="X68" s="37">
        <v>4527.3122186776109</v>
      </c>
      <c r="Y68" s="37">
        <v>1833.7642093966685</v>
      </c>
      <c r="Z68" s="37">
        <v>375.25087715254438</v>
      </c>
      <c r="AA68" s="37">
        <v>0</v>
      </c>
      <c r="AB68" s="37">
        <v>0</v>
      </c>
      <c r="AC68" s="37">
        <v>0</v>
      </c>
      <c r="AD68" s="37">
        <v>0</v>
      </c>
      <c r="AE68" s="37">
        <v>0</v>
      </c>
      <c r="AF68" s="37">
        <v>0</v>
      </c>
      <c r="AG68" s="38">
        <f t="shared" ref="AG68" si="54">ROUND(SUM(I68:AF68)*H68,2)</f>
        <v>2589596.5299999998</v>
      </c>
    </row>
    <row r="69" spans="5:33" ht="15" thickBot="1" x14ac:dyDescent="0.3">
      <c r="E69" s="56">
        <v>47849</v>
      </c>
      <c r="F69" s="55">
        <f>+_xlfn.XLOOKUP(E69,'PRODUCTO 01'!$C$10:$C$129,'PRODUCTO 01'!$F$10:$F$129)</f>
        <v>3834674.79</v>
      </c>
      <c r="G69" s="55" t="s">
        <v>59</v>
      </c>
      <c r="H69" s="36">
        <v>31</v>
      </c>
      <c r="I69" s="37">
        <v>0</v>
      </c>
      <c r="J69" s="37">
        <v>0</v>
      </c>
      <c r="K69" s="37">
        <v>0</v>
      </c>
      <c r="L69" s="37">
        <v>0</v>
      </c>
      <c r="M69" s="37">
        <v>0</v>
      </c>
      <c r="N69" s="37">
        <v>0.18112182030735935</v>
      </c>
      <c r="O69" s="37">
        <v>106.67745850081744</v>
      </c>
      <c r="P69" s="37">
        <v>2446.0725853487429</v>
      </c>
      <c r="Q69" s="37">
        <v>9820.7173889203095</v>
      </c>
      <c r="R69" s="37">
        <v>15316.351928155984</v>
      </c>
      <c r="S69" s="37">
        <v>14970.806239492671</v>
      </c>
      <c r="T69" s="37">
        <v>15279.165788365577</v>
      </c>
      <c r="U69" s="37">
        <v>15141.206350243054</v>
      </c>
      <c r="V69" s="37">
        <v>15837.399860201642</v>
      </c>
      <c r="W69" s="37">
        <v>16007.309716765396</v>
      </c>
      <c r="X69" s="37">
        <v>13556.715274015818</v>
      </c>
      <c r="Y69" s="37">
        <v>3977.7256389303852</v>
      </c>
      <c r="Z69" s="37">
        <v>1238.8575490777173</v>
      </c>
      <c r="AA69" s="37">
        <v>0</v>
      </c>
      <c r="AB69" s="37">
        <v>0</v>
      </c>
      <c r="AC69" s="37">
        <v>0</v>
      </c>
      <c r="AD69" s="37">
        <v>0</v>
      </c>
      <c r="AE69" s="37">
        <v>0</v>
      </c>
      <c r="AF69" s="37">
        <v>0</v>
      </c>
      <c r="AG69" s="38">
        <f>ROUND(SUM(I69:AF69)*H69,2)</f>
        <v>3834674.79</v>
      </c>
    </row>
    <row r="70" spans="5:33" ht="15" thickBot="1" x14ac:dyDescent="0.3">
      <c r="E70" s="56">
        <v>47880</v>
      </c>
      <c r="F70" s="55">
        <f>+_xlfn.XLOOKUP(E70,'PRODUCTO 01'!$C$10:$C$129,'PRODUCTO 01'!$F$10:$F$129)</f>
        <v>3227825.78</v>
      </c>
      <c r="G70" s="55" t="s">
        <v>59</v>
      </c>
      <c r="H70" s="36">
        <v>28</v>
      </c>
      <c r="I70" s="37">
        <v>0</v>
      </c>
      <c r="J70" s="37">
        <v>0</v>
      </c>
      <c r="K70" s="37">
        <v>0</v>
      </c>
      <c r="L70" s="37">
        <v>0</v>
      </c>
      <c r="M70" s="37">
        <v>0</v>
      </c>
      <c r="N70" s="37">
        <v>0</v>
      </c>
      <c r="O70" s="37">
        <v>128.47829961408374</v>
      </c>
      <c r="P70" s="37">
        <v>2541.1301263266178</v>
      </c>
      <c r="Q70" s="37">
        <v>9309.6121156142308</v>
      </c>
      <c r="R70" s="37">
        <v>16290.515991903962</v>
      </c>
      <c r="S70" s="37">
        <v>17463.33097716104</v>
      </c>
      <c r="T70" s="37">
        <v>15649.251930654336</v>
      </c>
      <c r="U70" s="37">
        <v>13927.662119058174</v>
      </c>
      <c r="V70" s="37">
        <v>8573.5548374717182</v>
      </c>
      <c r="W70" s="37">
        <v>11722.414798027499</v>
      </c>
      <c r="X70" s="37">
        <v>13369.724143604368</v>
      </c>
      <c r="Y70" s="37">
        <v>4713.9749148872688</v>
      </c>
      <c r="Z70" s="37">
        <v>1589.841896569144</v>
      </c>
      <c r="AA70" s="37">
        <v>0</v>
      </c>
      <c r="AB70" s="37">
        <v>0</v>
      </c>
      <c r="AC70" s="37">
        <v>0</v>
      </c>
      <c r="AD70" s="37">
        <v>0</v>
      </c>
      <c r="AE70" s="37">
        <v>0</v>
      </c>
      <c r="AF70" s="37">
        <v>0</v>
      </c>
      <c r="AG70" s="38">
        <f t="shared" ref="AG70" si="55">ROUND(SUM(I70:AF70)*H70,2)</f>
        <v>3227825.78</v>
      </c>
    </row>
    <row r="71" spans="5:33" ht="15" thickBot="1" x14ac:dyDescent="0.3">
      <c r="E71" s="56">
        <v>47908</v>
      </c>
      <c r="F71" s="55">
        <f>+_xlfn.XLOOKUP(E71,'PRODUCTO 01'!$C$10:$C$129,'PRODUCTO 01'!$F$10:$F$129)</f>
        <v>3270130.5</v>
      </c>
      <c r="G71" s="55" t="s">
        <v>59</v>
      </c>
      <c r="H71" s="36">
        <v>31</v>
      </c>
      <c r="I71" s="37">
        <v>0</v>
      </c>
      <c r="J71" s="37">
        <v>0</v>
      </c>
      <c r="K71" s="37">
        <v>0</v>
      </c>
      <c r="L71" s="37">
        <v>0</v>
      </c>
      <c r="M71" s="37">
        <v>0</v>
      </c>
      <c r="N71" s="37">
        <v>14.875305891158977</v>
      </c>
      <c r="O71" s="37">
        <v>425.25332296404446</v>
      </c>
      <c r="P71" s="37">
        <v>2358.2159409068572</v>
      </c>
      <c r="Q71" s="37">
        <v>7117.2940631251713</v>
      </c>
      <c r="R71" s="37">
        <v>11358.705113642935</v>
      </c>
      <c r="S71" s="37">
        <v>11878.596668387234</v>
      </c>
      <c r="T71" s="37">
        <v>12666.352659756356</v>
      </c>
      <c r="U71" s="37">
        <v>13126.628286156674</v>
      </c>
      <c r="V71" s="37">
        <v>13789.14627547903</v>
      </c>
      <c r="W71" s="37">
        <v>15188.434783015649</v>
      </c>
      <c r="X71" s="37">
        <v>12082.115143718909</v>
      </c>
      <c r="Y71" s="37">
        <v>4051.2410426517295</v>
      </c>
      <c r="Z71" s="37">
        <v>1431.2220663776645</v>
      </c>
      <c r="AA71" s="37">
        <v>0</v>
      </c>
      <c r="AB71" s="37">
        <v>0</v>
      </c>
      <c r="AC71" s="37">
        <v>0</v>
      </c>
      <c r="AD71" s="37">
        <v>0</v>
      </c>
      <c r="AE71" s="37">
        <v>0</v>
      </c>
      <c r="AF71" s="37">
        <v>0</v>
      </c>
      <c r="AG71" s="38">
        <f t="shared" ref="AG71" si="56">ROUND(SUM(I71:AF71)*H71,2)</f>
        <v>3270130.5</v>
      </c>
    </row>
    <row r="72" spans="5:33" ht="15" thickBot="1" x14ac:dyDescent="0.3">
      <c r="E72" s="56">
        <v>47939</v>
      </c>
      <c r="F72" s="55">
        <f>+_xlfn.XLOOKUP(E72,'PRODUCTO 01'!$C$10:$C$129,'PRODUCTO 01'!$F$10:$F$129)</f>
        <v>2628654.73</v>
      </c>
      <c r="G72" s="55" t="s">
        <v>59</v>
      </c>
      <c r="H72" s="36">
        <v>30</v>
      </c>
      <c r="I72" s="37">
        <v>0</v>
      </c>
      <c r="J72" s="37">
        <v>0</v>
      </c>
      <c r="K72" s="37">
        <v>0</v>
      </c>
      <c r="L72" s="37">
        <v>0</v>
      </c>
      <c r="M72" s="37">
        <v>0</v>
      </c>
      <c r="N72" s="37">
        <v>50.155117161895916</v>
      </c>
      <c r="O72" s="37">
        <v>439.87142470990881</v>
      </c>
      <c r="P72" s="37">
        <v>2179.5778750209374</v>
      </c>
      <c r="Q72" s="37">
        <v>4583.9238809428689</v>
      </c>
      <c r="R72" s="37">
        <v>8714.708287971871</v>
      </c>
      <c r="S72" s="37">
        <v>9901.0154591665341</v>
      </c>
      <c r="T72" s="37">
        <v>9825.6376515154643</v>
      </c>
      <c r="U72" s="37">
        <v>10075.637318286179</v>
      </c>
      <c r="V72" s="37">
        <v>11663.130620807255</v>
      </c>
      <c r="W72" s="37">
        <v>10406.920506569269</v>
      </c>
      <c r="X72" s="37">
        <v>12514.800850907533</v>
      </c>
      <c r="Y72" s="37">
        <v>6049.8740582359469</v>
      </c>
      <c r="Z72" s="37">
        <v>1216.5714197262262</v>
      </c>
      <c r="AA72" s="37">
        <v>0</v>
      </c>
      <c r="AB72" s="37">
        <v>0</v>
      </c>
      <c r="AC72" s="37">
        <v>0</v>
      </c>
      <c r="AD72" s="37">
        <v>0</v>
      </c>
      <c r="AE72" s="37">
        <v>0</v>
      </c>
      <c r="AF72" s="37">
        <v>0</v>
      </c>
      <c r="AG72" s="38">
        <f t="shared" ref="AG72" si="57">ROUND(SUM(I72:AF72)*H72,2)</f>
        <v>2628654.73</v>
      </c>
    </row>
    <row r="73" spans="5:33" ht="15" thickBot="1" x14ac:dyDescent="0.3">
      <c r="E73" s="56">
        <v>47969</v>
      </c>
      <c r="F73" s="55">
        <f>+_xlfn.XLOOKUP(E73,'PRODUCTO 01'!$C$10:$C$129,'PRODUCTO 01'!$F$10:$F$129)</f>
        <v>2912709.09</v>
      </c>
      <c r="G73" s="55" t="s">
        <v>59</v>
      </c>
      <c r="H73" s="36">
        <v>31</v>
      </c>
      <c r="I73" s="37">
        <v>0</v>
      </c>
      <c r="J73" s="37">
        <v>0</v>
      </c>
      <c r="K73" s="37">
        <v>0</v>
      </c>
      <c r="L73" s="37">
        <v>0</v>
      </c>
      <c r="M73" s="37">
        <v>0</v>
      </c>
      <c r="N73" s="37">
        <v>130.88710392648875</v>
      </c>
      <c r="O73" s="37">
        <v>725.51414844639305</v>
      </c>
      <c r="P73" s="37">
        <v>4591.5486090076311</v>
      </c>
      <c r="Q73" s="37">
        <v>12216.652258623435</v>
      </c>
      <c r="R73" s="37">
        <v>12980.7898079446</v>
      </c>
      <c r="S73" s="37">
        <v>9313.6535328603004</v>
      </c>
      <c r="T73" s="37">
        <v>7834.5635250330333</v>
      </c>
      <c r="U73" s="37">
        <v>7436.1039467531527</v>
      </c>
      <c r="V73" s="37">
        <v>6683.7280862809093</v>
      </c>
      <c r="W73" s="37">
        <v>9988.2767830040812</v>
      </c>
      <c r="X73" s="37">
        <v>12077.086887207477</v>
      </c>
      <c r="Y73" s="37">
        <v>8491.8029982185381</v>
      </c>
      <c r="Z73" s="37">
        <v>1487.7501501252227</v>
      </c>
      <c r="AA73" s="37">
        <v>0</v>
      </c>
      <c r="AB73" s="37">
        <v>0</v>
      </c>
      <c r="AC73" s="37">
        <v>0</v>
      </c>
      <c r="AD73" s="37">
        <v>0</v>
      </c>
      <c r="AE73" s="37">
        <v>0</v>
      </c>
      <c r="AF73" s="37">
        <v>0</v>
      </c>
      <c r="AG73" s="38">
        <f t="shared" ref="AG73" si="58">ROUND(SUM(I73:AF73)*H73,2)</f>
        <v>2912709.09</v>
      </c>
    </row>
    <row r="74" spans="5:33" ht="15" thickBot="1" x14ac:dyDescent="0.3">
      <c r="E74" s="56">
        <v>48000</v>
      </c>
      <c r="F74" s="55">
        <f>+_xlfn.XLOOKUP(E74,'PRODUCTO 01'!$C$10:$C$129,'PRODUCTO 01'!$F$10:$F$129)</f>
        <v>2332513.7200000002</v>
      </c>
      <c r="G74" s="55" t="s">
        <v>59</v>
      </c>
      <c r="H74" s="36">
        <v>30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114.62934564698172</v>
      </c>
      <c r="O74" s="37">
        <v>577.5330719497772</v>
      </c>
      <c r="P74" s="37">
        <v>2100.8308249650349</v>
      </c>
      <c r="Q74" s="37">
        <v>6103.9293138419189</v>
      </c>
      <c r="R74" s="37">
        <v>11667.505478715575</v>
      </c>
      <c r="S74" s="37">
        <v>11849.576027845686</v>
      </c>
      <c r="T74" s="37">
        <v>10584.146672557366</v>
      </c>
      <c r="U74" s="37">
        <v>12435.06890686306</v>
      </c>
      <c r="V74" s="37">
        <v>8699.97593096112</v>
      </c>
      <c r="W74" s="37">
        <v>6137.4788745054466</v>
      </c>
      <c r="X74" s="37">
        <v>3650.6787648468949</v>
      </c>
      <c r="Y74" s="37">
        <v>2657.0862811904576</v>
      </c>
      <c r="Z74" s="37">
        <v>1172.0179036938389</v>
      </c>
      <c r="AA74" s="37">
        <v>0</v>
      </c>
      <c r="AB74" s="37">
        <v>0</v>
      </c>
      <c r="AC74" s="37">
        <v>0</v>
      </c>
      <c r="AD74" s="37">
        <v>0</v>
      </c>
      <c r="AE74" s="37">
        <v>0</v>
      </c>
      <c r="AF74" s="37">
        <v>0</v>
      </c>
      <c r="AG74" s="38">
        <f t="shared" ref="AG74" si="59">ROUND(SUM(I74:AF74)*H74,2)</f>
        <v>2332513.7200000002</v>
      </c>
    </row>
    <row r="75" spans="5:33" ht="15" thickBot="1" x14ac:dyDescent="0.3">
      <c r="E75" s="56">
        <v>48030</v>
      </c>
      <c r="F75" s="55">
        <f>+_xlfn.XLOOKUP(E75,'PRODUCTO 01'!$C$10:$C$129,'PRODUCTO 01'!$F$10:$F$129)</f>
        <v>2676846.94</v>
      </c>
      <c r="G75" s="55" t="s">
        <v>59</v>
      </c>
      <c r="H75" s="36">
        <v>31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31.160919068373499</v>
      </c>
      <c r="O75" s="37">
        <v>583.88769172766854</v>
      </c>
      <c r="P75" s="37">
        <v>2466.3660734669124</v>
      </c>
      <c r="Q75" s="37">
        <v>6612.2336048271891</v>
      </c>
      <c r="R75" s="37">
        <v>12983.533254046306</v>
      </c>
      <c r="S75" s="37">
        <v>11163.49591527009</v>
      </c>
      <c r="T75" s="37">
        <v>10845.343267807897</v>
      </c>
      <c r="U75" s="37">
        <v>12386.040008086258</v>
      </c>
      <c r="V75" s="37">
        <v>6692.7455911877614</v>
      </c>
      <c r="W75" s="37">
        <v>7196.8779344629947</v>
      </c>
      <c r="X75" s="37">
        <v>9344.2190094536127</v>
      </c>
      <c r="Y75" s="37">
        <v>4554.9385948397639</v>
      </c>
      <c r="Z75" s="37">
        <v>1489.059583837641</v>
      </c>
      <c r="AA75" s="37">
        <v>0</v>
      </c>
      <c r="AB75" s="37">
        <v>0</v>
      </c>
      <c r="AC75" s="37">
        <v>0</v>
      </c>
      <c r="AD75" s="37">
        <v>0</v>
      </c>
      <c r="AE75" s="37">
        <v>0</v>
      </c>
      <c r="AF75" s="37">
        <v>0</v>
      </c>
      <c r="AG75" s="38">
        <f t="shared" ref="AG75" si="60">ROUND(SUM(I75:AF75)*H75,2)</f>
        <v>2676846.94</v>
      </c>
    </row>
    <row r="76" spans="5:33" ht="15" thickBot="1" x14ac:dyDescent="0.3">
      <c r="E76" s="56">
        <v>48061</v>
      </c>
      <c r="F76" s="55">
        <f>+_xlfn.XLOOKUP(E76,'PRODUCTO 01'!$C$10:$C$129,'PRODUCTO 01'!$F$10:$F$129)</f>
        <v>2632362.1800000002</v>
      </c>
      <c r="G76" s="55" t="s">
        <v>59</v>
      </c>
      <c r="H76" s="36">
        <v>31</v>
      </c>
      <c r="I76" s="37">
        <v>0</v>
      </c>
      <c r="J76" s="37">
        <v>0</v>
      </c>
      <c r="K76" s="37">
        <v>0</v>
      </c>
      <c r="L76" s="37">
        <v>0</v>
      </c>
      <c r="M76" s="37">
        <v>0</v>
      </c>
      <c r="N76" s="37">
        <v>39.299715246466853</v>
      </c>
      <c r="O76" s="37">
        <v>323.08385606065315</v>
      </c>
      <c r="P76" s="37">
        <v>1899.9514342897996</v>
      </c>
      <c r="Q76" s="37">
        <v>10943.08117990014</v>
      </c>
      <c r="R76" s="37">
        <v>12803.004131545584</v>
      </c>
      <c r="S76" s="37">
        <v>13608.436821000552</v>
      </c>
      <c r="T76" s="37">
        <v>8203.5775624637117</v>
      </c>
      <c r="U76" s="37">
        <v>8354.7712354726955</v>
      </c>
      <c r="V76" s="37">
        <v>9976.6977636431584</v>
      </c>
      <c r="W76" s="37">
        <v>6246.4959728052872</v>
      </c>
      <c r="X76" s="37">
        <v>8591.6653364304766</v>
      </c>
      <c r="Y76" s="37">
        <v>2707.5073688288976</v>
      </c>
      <c r="Z76" s="37">
        <v>1217.3365300724349</v>
      </c>
      <c r="AA76" s="37">
        <v>0</v>
      </c>
      <c r="AB76" s="37">
        <v>0</v>
      </c>
      <c r="AC76" s="37">
        <v>0</v>
      </c>
      <c r="AD76" s="37">
        <v>0</v>
      </c>
      <c r="AE76" s="37">
        <v>0</v>
      </c>
      <c r="AF76" s="37">
        <v>0</v>
      </c>
      <c r="AG76" s="38">
        <f t="shared" ref="AG76" si="61">ROUND(SUM(I76:AF76)*H76,2)</f>
        <v>2632362.1800000002</v>
      </c>
    </row>
    <row r="77" spans="5:33" ht="15" thickBot="1" x14ac:dyDescent="0.3">
      <c r="E77" s="56">
        <v>48092</v>
      </c>
      <c r="F77" s="55">
        <f>+_xlfn.XLOOKUP(E77,'PRODUCTO 01'!$C$10:$C$129,'PRODUCTO 01'!$F$10:$F$129)</f>
        <v>2684753.75</v>
      </c>
      <c r="G77" s="55" t="s">
        <v>59</v>
      </c>
      <c r="H77" s="36">
        <v>30</v>
      </c>
      <c r="I77" s="37">
        <v>0</v>
      </c>
      <c r="J77" s="37">
        <v>0</v>
      </c>
      <c r="K77" s="37">
        <v>0</v>
      </c>
      <c r="L77" s="37">
        <v>0</v>
      </c>
      <c r="M77" s="37">
        <v>0</v>
      </c>
      <c r="N77" s="37">
        <v>144.24452392768799</v>
      </c>
      <c r="O77" s="37">
        <v>491.97777586183776</v>
      </c>
      <c r="P77" s="37">
        <v>8943.67330779648</v>
      </c>
      <c r="Q77" s="37">
        <v>14256.093346720052</v>
      </c>
      <c r="R77" s="37">
        <v>13117.742667036913</v>
      </c>
      <c r="S77" s="37">
        <v>8009.4648809884347</v>
      </c>
      <c r="T77" s="37">
        <v>6874.3522373548749</v>
      </c>
      <c r="U77" s="37">
        <v>6567.9437863413368</v>
      </c>
      <c r="V77" s="37">
        <v>9816.3418907956184</v>
      </c>
      <c r="W77" s="37">
        <v>7390.3401688246904</v>
      </c>
      <c r="X77" s="37">
        <v>9478.3758357408969</v>
      </c>
      <c r="Y77" s="37">
        <v>3616.4771714643039</v>
      </c>
      <c r="Z77" s="37">
        <v>784.76401222314314</v>
      </c>
      <c r="AA77" s="37">
        <v>0</v>
      </c>
      <c r="AB77" s="37">
        <v>0</v>
      </c>
      <c r="AC77" s="37">
        <v>0</v>
      </c>
      <c r="AD77" s="37">
        <v>0</v>
      </c>
      <c r="AE77" s="37">
        <v>0</v>
      </c>
      <c r="AF77" s="37">
        <v>0</v>
      </c>
      <c r="AG77" s="38">
        <f t="shared" ref="AG77" si="62">ROUND(SUM(I77:AF77)*H77,2)</f>
        <v>2684753.75</v>
      </c>
    </row>
    <row r="78" spans="5:33" ht="15" thickBot="1" x14ac:dyDescent="0.3">
      <c r="E78" s="56">
        <v>48122</v>
      </c>
      <c r="F78" s="55">
        <f>+_xlfn.XLOOKUP(E78,'PRODUCTO 01'!$C$10:$C$129,'PRODUCTO 01'!$F$10:$F$129)</f>
        <v>2979398.58</v>
      </c>
      <c r="G78" s="55" t="s">
        <v>59</v>
      </c>
      <c r="H78" s="36">
        <v>31</v>
      </c>
      <c r="I78" s="37">
        <v>0</v>
      </c>
      <c r="J78" s="37">
        <v>0</v>
      </c>
      <c r="K78" s="37">
        <v>0</v>
      </c>
      <c r="L78" s="37">
        <v>0</v>
      </c>
      <c r="M78" s="37">
        <v>0</v>
      </c>
      <c r="N78" s="37">
        <v>41.049760304202323</v>
      </c>
      <c r="O78" s="37">
        <v>564.1921714989569</v>
      </c>
      <c r="P78" s="37">
        <v>6397.3777192083853</v>
      </c>
      <c r="Q78" s="37">
        <v>9984.3315736939403</v>
      </c>
      <c r="R78" s="37">
        <v>14367.795810283986</v>
      </c>
      <c r="S78" s="37">
        <v>12776.49922448603</v>
      </c>
      <c r="T78" s="37">
        <v>11038.702331353641</v>
      </c>
      <c r="U78" s="37">
        <v>9657.6988193044326</v>
      </c>
      <c r="V78" s="37">
        <v>10383.327142891305</v>
      </c>
      <c r="W78" s="37">
        <v>9417.9918618416596</v>
      </c>
      <c r="X78" s="37">
        <v>6975.5221608738393</v>
      </c>
      <c r="Y78" s="37">
        <v>3968.4664564335662</v>
      </c>
      <c r="Z78" s="37">
        <v>536.67643249512264</v>
      </c>
      <c r="AA78" s="37">
        <v>0</v>
      </c>
      <c r="AB78" s="37">
        <v>0</v>
      </c>
      <c r="AC78" s="37">
        <v>0</v>
      </c>
      <c r="AD78" s="37">
        <v>0</v>
      </c>
      <c r="AE78" s="37">
        <v>0</v>
      </c>
      <c r="AF78" s="37">
        <v>0</v>
      </c>
      <c r="AG78" s="38">
        <f t="shared" ref="AG78" si="63">ROUND(SUM(I78:AF78)*H78,2)</f>
        <v>2979398.58</v>
      </c>
    </row>
    <row r="79" spans="5:33" ht="15" thickBot="1" x14ac:dyDescent="0.3">
      <c r="E79" s="56">
        <v>48153</v>
      </c>
      <c r="F79" s="55">
        <f>+_xlfn.XLOOKUP(E79,'PRODUCTO 01'!$C$10:$C$129,'PRODUCTO 01'!$F$10:$F$129)</f>
        <v>2817587.97</v>
      </c>
      <c r="G79" s="55" t="s">
        <v>59</v>
      </c>
      <c r="H79" s="36">
        <v>30</v>
      </c>
      <c r="I79" s="37">
        <v>0</v>
      </c>
      <c r="J79" s="37">
        <v>0</v>
      </c>
      <c r="K79" s="37">
        <v>0</v>
      </c>
      <c r="L79" s="37">
        <v>0</v>
      </c>
      <c r="M79" s="37">
        <v>0</v>
      </c>
      <c r="N79" s="37">
        <v>109.08656205529688</v>
      </c>
      <c r="O79" s="37">
        <v>509.41797870721575</v>
      </c>
      <c r="P79" s="37">
        <v>2953.7757460514481</v>
      </c>
      <c r="Q79" s="37">
        <v>5524.8448645640283</v>
      </c>
      <c r="R79" s="37">
        <v>6449.3908051951184</v>
      </c>
      <c r="S79" s="37">
        <v>7008.1170879433976</v>
      </c>
      <c r="T79" s="37">
        <v>9542.2763091557845</v>
      </c>
      <c r="U79" s="37">
        <v>11790.822137762007</v>
      </c>
      <c r="V79" s="37">
        <v>14670.811659262557</v>
      </c>
      <c r="W79" s="37">
        <v>17300.338038321301</v>
      </c>
      <c r="X79" s="37">
        <v>13862.911902299149</v>
      </c>
      <c r="Y79" s="37">
        <v>3717.1935951793707</v>
      </c>
      <c r="Z79" s="37">
        <v>480.61236510720227</v>
      </c>
      <c r="AA79" s="37">
        <v>0</v>
      </c>
      <c r="AB79" s="37">
        <v>0</v>
      </c>
      <c r="AC79" s="37">
        <v>0</v>
      </c>
      <c r="AD79" s="37">
        <v>0</v>
      </c>
      <c r="AE79" s="37">
        <v>0</v>
      </c>
      <c r="AF79" s="37">
        <v>0</v>
      </c>
      <c r="AG79" s="38">
        <f t="shared" ref="AG79" si="64">ROUND(SUM(I79:AF79)*H79,2)</f>
        <v>2817587.97</v>
      </c>
    </row>
    <row r="80" spans="5:33" ht="15" thickBot="1" x14ac:dyDescent="0.3">
      <c r="E80" s="56">
        <v>48183</v>
      </c>
      <c r="F80" s="55">
        <f>+_xlfn.XLOOKUP(E80,'PRODUCTO 01'!$C$10:$C$129,'PRODUCTO 01'!$F$10:$F$129)</f>
        <v>3562627.8</v>
      </c>
      <c r="G80" s="55" t="s">
        <v>59</v>
      </c>
      <c r="H80" s="36">
        <v>31</v>
      </c>
      <c r="I80" s="37">
        <v>0</v>
      </c>
      <c r="J80" s="37">
        <v>0</v>
      </c>
      <c r="K80" s="37">
        <v>0</v>
      </c>
      <c r="L80" s="37">
        <v>0</v>
      </c>
      <c r="M80" s="37">
        <v>0</v>
      </c>
      <c r="N80" s="37">
        <v>59.035641647265265</v>
      </c>
      <c r="O80" s="37">
        <v>243.66077566545573</v>
      </c>
      <c r="P80" s="37">
        <v>7790.1010771969413</v>
      </c>
      <c r="Q80" s="37">
        <v>12385.67364978769</v>
      </c>
      <c r="R80" s="37">
        <v>16070.898767832974</v>
      </c>
      <c r="S80" s="37">
        <v>15536.742807720482</v>
      </c>
      <c r="T80" s="37">
        <v>13699.79574868547</v>
      </c>
      <c r="U80" s="37">
        <v>13745.911919931694</v>
      </c>
      <c r="V80" s="37">
        <v>13779.483098985365</v>
      </c>
      <c r="W80" s="37">
        <v>12350.756637193608</v>
      </c>
      <c r="X80" s="37">
        <v>6216.7245078729702</v>
      </c>
      <c r="Y80" s="37">
        <v>2527.4852465182389</v>
      </c>
      <c r="Z80" s="37">
        <v>517.20757062410178</v>
      </c>
      <c r="AA80" s="37">
        <v>0</v>
      </c>
      <c r="AB80" s="37">
        <v>0</v>
      </c>
      <c r="AC80" s="37">
        <v>0</v>
      </c>
      <c r="AD80" s="37">
        <v>0</v>
      </c>
      <c r="AE80" s="37">
        <v>0</v>
      </c>
      <c r="AF80" s="37">
        <v>0</v>
      </c>
      <c r="AG80" s="38">
        <f t="shared" ref="AG80" si="65">ROUND(SUM(I80:AF80)*H80,2)</f>
        <v>3562627.8</v>
      </c>
    </row>
    <row r="81" spans="5:33" ht="15" thickBot="1" x14ac:dyDescent="0.3">
      <c r="E81" s="56">
        <v>48214</v>
      </c>
      <c r="F81" s="55">
        <f>+_xlfn.XLOOKUP(E81,'PRODUCTO 01'!$C$10:$C$129,'PRODUCTO 01'!$F$10:$F$129)</f>
        <v>3814921.52</v>
      </c>
      <c r="G81" s="55" t="s">
        <v>59</v>
      </c>
      <c r="H81" s="36">
        <v>31</v>
      </c>
      <c r="I81" s="37">
        <v>0</v>
      </c>
      <c r="J81" s="37">
        <v>0</v>
      </c>
      <c r="K81" s="37">
        <v>0</v>
      </c>
      <c r="L81" s="37">
        <v>0</v>
      </c>
      <c r="M81" s="37">
        <v>0</v>
      </c>
      <c r="N81" s="37">
        <v>0.18051019698664397</v>
      </c>
      <c r="O81" s="37">
        <v>106.31152562089646</v>
      </c>
      <c r="P81" s="37">
        <v>2419.1948743514286</v>
      </c>
      <c r="Q81" s="37">
        <v>9763.6855284862631</v>
      </c>
      <c r="R81" s="37">
        <v>15239.007669786357</v>
      </c>
      <c r="S81" s="37">
        <v>14893.424395304504</v>
      </c>
      <c r="T81" s="37">
        <v>15200.489737558562</v>
      </c>
      <c r="U81" s="37">
        <v>15063.461295659195</v>
      </c>
      <c r="V81" s="37">
        <v>15759.021544382282</v>
      </c>
      <c r="W81" s="37">
        <v>15929.260150042299</v>
      </c>
      <c r="X81" s="37">
        <v>13489.089976210122</v>
      </c>
      <c r="Y81" s="37">
        <v>3964.2034834342498</v>
      </c>
      <c r="Z81" s="37">
        <v>1234.6537350308365</v>
      </c>
      <c r="AA81" s="37">
        <v>0</v>
      </c>
      <c r="AB81" s="37">
        <v>0</v>
      </c>
      <c r="AC81" s="37">
        <v>0</v>
      </c>
      <c r="AD81" s="37">
        <v>0</v>
      </c>
      <c r="AE81" s="37">
        <v>0</v>
      </c>
      <c r="AF81" s="37">
        <v>0</v>
      </c>
      <c r="AG81" s="38">
        <f>ROUND(SUM(I81:AF81)*H81,2)</f>
        <v>3814921.52</v>
      </c>
    </row>
    <row r="82" spans="5:33" ht="15" thickBot="1" x14ac:dyDescent="0.3">
      <c r="E82" s="56">
        <v>48245</v>
      </c>
      <c r="F82" s="55">
        <f>+_xlfn.XLOOKUP(E82,'PRODUCTO 01'!$C$10:$C$129,'PRODUCTO 01'!$F$10:$F$129)</f>
        <v>3210941.75</v>
      </c>
      <c r="G82" s="55" t="s">
        <v>59</v>
      </c>
      <c r="H82" s="36">
        <v>29</v>
      </c>
      <c r="I82" s="37">
        <v>0</v>
      </c>
      <c r="J82" s="37">
        <v>0</v>
      </c>
      <c r="K82" s="37">
        <v>0</v>
      </c>
      <c r="L82" s="37">
        <v>0</v>
      </c>
      <c r="M82" s="37">
        <v>0</v>
      </c>
      <c r="N82" s="37">
        <v>0</v>
      </c>
      <c r="O82" s="37">
        <v>123.62777705434561</v>
      </c>
      <c r="P82" s="37">
        <v>2426.722101807512</v>
      </c>
      <c r="Q82" s="37">
        <v>8933.4871833129982</v>
      </c>
      <c r="R82" s="37">
        <v>15649.148894724372</v>
      </c>
      <c r="S82" s="37">
        <v>16776.469168512587</v>
      </c>
      <c r="T82" s="37">
        <v>15029.552954072733</v>
      </c>
      <c r="U82" s="37">
        <v>13372.962990139822</v>
      </c>
      <c r="V82" s="37">
        <v>8249.7754427848395</v>
      </c>
      <c r="W82" s="37">
        <v>11251.913314902486</v>
      </c>
      <c r="X82" s="37">
        <v>12842.71268611614</v>
      </c>
      <c r="Y82" s="37">
        <v>4535.9509576259734</v>
      </c>
      <c r="Z82" s="37">
        <v>1529.8058795400691</v>
      </c>
      <c r="AA82" s="37">
        <v>0</v>
      </c>
      <c r="AB82" s="37">
        <v>0</v>
      </c>
      <c r="AC82" s="37">
        <v>0</v>
      </c>
      <c r="AD82" s="37">
        <v>0</v>
      </c>
      <c r="AE82" s="37">
        <v>0</v>
      </c>
      <c r="AF82" s="37">
        <v>0</v>
      </c>
      <c r="AG82" s="38">
        <f t="shared" ref="AG82" si="66">ROUND(SUM(I82:AF82)*H82,2)</f>
        <v>3210941.75</v>
      </c>
    </row>
    <row r="83" spans="5:33" ht="15" thickBot="1" x14ac:dyDescent="0.3">
      <c r="E83" s="56">
        <v>48274</v>
      </c>
      <c r="F83" s="55">
        <f>+_xlfn.XLOOKUP(E83,'PRODUCTO 01'!$C$10:$C$129,'PRODUCTO 01'!$F$10:$F$129)</f>
        <v>3252558</v>
      </c>
      <c r="G83" s="55" t="s">
        <v>59</v>
      </c>
      <c r="H83" s="36">
        <v>31</v>
      </c>
      <c r="I83" s="37">
        <v>0</v>
      </c>
      <c r="J83" s="37">
        <v>0</v>
      </c>
      <c r="K83" s="37">
        <v>0</v>
      </c>
      <c r="L83" s="37">
        <v>0</v>
      </c>
      <c r="M83" s="37">
        <v>0</v>
      </c>
      <c r="N83" s="37">
        <v>14.824654950199868</v>
      </c>
      <c r="O83" s="37">
        <v>423.80865721617386</v>
      </c>
      <c r="P83" s="37">
        <v>2350.1994513888721</v>
      </c>
      <c r="Q83" s="37">
        <v>7070.9872073537827</v>
      </c>
      <c r="R83" s="37">
        <v>11293.163554360421</v>
      </c>
      <c r="S83" s="37">
        <v>11807.975098318628</v>
      </c>
      <c r="T83" s="37">
        <v>12592.886337778422</v>
      </c>
      <c r="U83" s="37">
        <v>13053.694960306086</v>
      </c>
      <c r="V83" s="37">
        <v>13715.08727453442</v>
      </c>
      <c r="W83" s="37">
        <v>15112.762048897757</v>
      </c>
      <c r="X83" s="37">
        <v>12022.018477045722</v>
      </c>
      <c r="Y83" s="37">
        <v>4037.4623009407537</v>
      </c>
      <c r="Z83" s="37">
        <v>1426.355648176268</v>
      </c>
      <c r="AA83" s="37">
        <v>0</v>
      </c>
      <c r="AB83" s="37">
        <v>0</v>
      </c>
      <c r="AC83" s="37">
        <v>0</v>
      </c>
      <c r="AD83" s="37">
        <v>0</v>
      </c>
      <c r="AE83" s="37">
        <v>0</v>
      </c>
      <c r="AF83" s="37">
        <v>0</v>
      </c>
      <c r="AG83" s="38">
        <f t="shared" ref="AG83" si="67">ROUND(SUM(I83:AF83)*H83,2)</f>
        <v>3252558</v>
      </c>
    </row>
    <row r="84" spans="5:33" ht="15" thickBot="1" x14ac:dyDescent="0.3">
      <c r="E84" s="56">
        <v>48305</v>
      </c>
      <c r="F84" s="55">
        <f>+_xlfn.XLOOKUP(E84,'PRODUCTO 01'!$C$10:$C$129,'PRODUCTO 01'!$F$10:$F$129)</f>
        <v>2613447.67</v>
      </c>
      <c r="G84" s="55" t="s">
        <v>59</v>
      </c>
      <c r="H84" s="36">
        <v>30</v>
      </c>
      <c r="I84" s="37">
        <v>0</v>
      </c>
      <c r="J84" s="37">
        <v>0</v>
      </c>
      <c r="K84" s="37">
        <v>0</v>
      </c>
      <c r="L84" s="37">
        <v>0</v>
      </c>
      <c r="M84" s="37">
        <v>0</v>
      </c>
      <c r="N84" s="37">
        <v>49.973430725722125</v>
      </c>
      <c r="O84" s="37">
        <v>438.37152270269269</v>
      </c>
      <c r="P84" s="37">
        <v>2172.1716510173892</v>
      </c>
      <c r="Q84" s="37">
        <v>4568.3437024193317</v>
      </c>
      <c r="R84" s="37">
        <v>8656.6468306815696</v>
      </c>
      <c r="S84" s="37">
        <v>9835.8437515819223</v>
      </c>
      <c r="T84" s="37">
        <v>9758.3004654812103</v>
      </c>
      <c r="U84" s="37">
        <v>10009.269786598978</v>
      </c>
      <c r="V84" s="37">
        <v>11592.213033214884</v>
      </c>
      <c r="W84" s="37">
        <v>10345.957378216668</v>
      </c>
      <c r="X84" s="37">
        <v>12456.994083195874</v>
      </c>
      <c r="Y84" s="37">
        <v>6018.4017659290967</v>
      </c>
      <c r="Z84" s="37">
        <v>1212.4348798623246</v>
      </c>
      <c r="AA84" s="37">
        <v>0</v>
      </c>
      <c r="AB84" s="37">
        <v>0</v>
      </c>
      <c r="AC84" s="37">
        <v>0</v>
      </c>
      <c r="AD84" s="37">
        <v>0</v>
      </c>
      <c r="AE84" s="37">
        <v>0</v>
      </c>
      <c r="AF84" s="37">
        <v>0</v>
      </c>
      <c r="AG84" s="38">
        <f t="shared" ref="AG84" si="68">ROUND(SUM(I84:AF84)*H84,2)</f>
        <v>2613447.67</v>
      </c>
    </row>
    <row r="85" spans="5:33" ht="15" thickBot="1" x14ac:dyDescent="0.3">
      <c r="E85" s="56">
        <v>48335</v>
      </c>
      <c r="F85" s="55">
        <f>+_xlfn.XLOOKUP(E85,'PRODUCTO 01'!$C$10:$C$129,'PRODUCTO 01'!$F$10:$F$129)</f>
        <v>2898312.47</v>
      </c>
      <c r="G85" s="55" t="s">
        <v>59</v>
      </c>
      <c r="H85" s="36">
        <v>31</v>
      </c>
      <c r="I85" s="37">
        <v>0</v>
      </c>
      <c r="J85" s="37">
        <v>0</v>
      </c>
      <c r="K85" s="37">
        <v>0</v>
      </c>
      <c r="L85" s="37">
        <v>0</v>
      </c>
      <c r="M85" s="37">
        <v>0</v>
      </c>
      <c r="N85" s="37">
        <v>130.41091014532222</v>
      </c>
      <c r="O85" s="37">
        <v>723.04807695124373</v>
      </c>
      <c r="P85" s="37">
        <v>4561.2605584772336</v>
      </c>
      <c r="Q85" s="37">
        <v>12156.46847381404</v>
      </c>
      <c r="R85" s="37">
        <v>12913.297582867339</v>
      </c>
      <c r="S85" s="37">
        <v>9250.7577020769459</v>
      </c>
      <c r="T85" s="37">
        <v>7807.9357567809702</v>
      </c>
      <c r="U85" s="37">
        <v>7410.8314572019362</v>
      </c>
      <c r="V85" s="37">
        <v>6661.0068476205242</v>
      </c>
      <c r="W85" s="37">
        <v>9929.5354160293518</v>
      </c>
      <c r="X85" s="37">
        <v>12017.181687970649</v>
      </c>
      <c r="Y85" s="37">
        <v>8449.523201843409</v>
      </c>
      <c r="Z85" s="37">
        <v>1482.6929207598703</v>
      </c>
      <c r="AA85" s="37">
        <v>0</v>
      </c>
      <c r="AB85" s="37">
        <v>0</v>
      </c>
      <c r="AC85" s="37">
        <v>0</v>
      </c>
      <c r="AD85" s="37">
        <v>0</v>
      </c>
      <c r="AE85" s="37">
        <v>0</v>
      </c>
      <c r="AF85" s="37">
        <v>0</v>
      </c>
      <c r="AG85" s="38">
        <f t="shared" ref="AG85" si="69">ROUND(SUM(I85:AF85)*H85,2)</f>
        <v>2898312.47</v>
      </c>
    </row>
    <row r="86" spans="5:33" ht="15" thickBot="1" x14ac:dyDescent="0.3">
      <c r="E86" s="56">
        <v>48366</v>
      </c>
      <c r="F86" s="55">
        <f>+_xlfn.XLOOKUP(E86,'PRODUCTO 01'!$C$10:$C$129,'PRODUCTO 01'!$F$10:$F$129)</f>
        <v>2318816.7599999998</v>
      </c>
      <c r="G86" s="55" t="s">
        <v>59</v>
      </c>
      <c r="H86" s="36">
        <v>30</v>
      </c>
      <c r="I86" s="37">
        <v>0</v>
      </c>
      <c r="J86" s="37">
        <v>0</v>
      </c>
      <c r="K86" s="37">
        <v>0</v>
      </c>
      <c r="L86" s="37">
        <v>0</v>
      </c>
      <c r="M86" s="37">
        <v>0</v>
      </c>
      <c r="N86" s="37">
        <v>114.28455878722471</v>
      </c>
      <c r="O86" s="37">
        <v>575.57004249533918</v>
      </c>
      <c r="P86" s="37">
        <v>2093.6892491924114</v>
      </c>
      <c r="Q86" s="37">
        <v>6058.946872685704</v>
      </c>
      <c r="R86" s="37">
        <v>11601.627842569409</v>
      </c>
      <c r="S86" s="37">
        <v>11777.416186784374</v>
      </c>
      <c r="T86" s="37">
        <v>10517.367219071481</v>
      </c>
      <c r="U86" s="37">
        <v>12364.841462727585</v>
      </c>
      <c r="V86" s="37">
        <v>8644.0219550888069</v>
      </c>
      <c r="W86" s="37">
        <v>6091.7808348872059</v>
      </c>
      <c r="X86" s="37">
        <v>3638.2618276394151</v>
      </c>
      <c r="Y86" s="37">
        <v>2648.049605723344</v>
      </c>
      <c r="Z86" s="37">
        <v>1168.0342689975266</v>
      </c>
      <c r="AA86" s="37">
        <v>0</v>
      </c>
      <c r="AB86" s="37">
        <v>0</v>
      </c>
      <c r="AC86" s="37">
        <v>0</v>
      </c>
      <c r="AD86" s="37">
        <v>0</v>
      </c>
      <c r="AE86" s="37">
        <v>0</v>
      </c>
      <c r="AF86" s="37">
        <v>0</v>
      </c>
      <c r="AG86" s="38">
        <f t="shared" ref="AG86" si="70">ROUND(SUM(I86:AF86)*H86,2)</f>
        <v>2318816.7599999998</v>
      </c>
    </row>
    <row r="87" spans="5:33" ht="15" thickBot="1" x14ac:dyDescent="0.3">
      <c r="E87" s="56">
        <v>48396</v>
      </c>
      <c r="F87" s="55">
        <f>+_xlfn.XLOOKUP(E87,'PRODUCTO 01'!$C$10:$C$129,'PRODUCTO 01'!$F$10:$F$129)</f>
        <v>2660792.0499999998</v>
      </c>
      <c r="G87" s="55" t="s">
        <v>59</v>
      </c>
      <c r="H87" s="36">
        <v>31</v>
      </c>
      <c r="I87" s="37">
        <v>0</v>
      </c>
      <c r="J87" s="37">
        <v>0</v>
      </c>
      <c r="K87" s="37">
        <v>0</v>
      </c>
      <c r="L87" s="37">
        <v>0</v>
      </c>
      <c r="M87" s="37">
        <v>0</v>
      </c>
      <c r="N87" s="37">
        <v>31.061635747578823</v>
      </c>
      <c r="O87" s="37">
        <v>581.90834451779722</v>
      </c>
      <c r="P87" s="37">
        <v>2457.9856584601439</v>
      </c>
      <c r="Q87" s="37">
        <v>6569.4531664667475</v>
      </c>
      <c r="R87" s="37">
        <v>12917.281410124229</v>
      </c>
      <c r="S87" s="37">
        <v>11098.280058598013</v>
      </c>
      <c r="T87" s="37">
        <v>10779.547237182584</v>
      </c>
      <c r="U87" s="37">
        <v>12315.793000740312</v>
      </c>
      <c r="V87" s="37">
        <v>6640.1446168392849</v>
      </c>
      <c r="W87" s="37">
        <v>7143.9167856441481</v>
      </c>
      <c r="X87" s="37">
        <v>9290.8106404179307</v>
      </c>
      <c r="Y87" s="37">
        <v>4521.8269346492352</v>
      </c>
      <c r="Z87" s="37">
        <v>1483.9921777256038</v>
      </c>
      <c r="AA87" s="37">
        <v>0</v>
      </c>
      <c r="AB87" s="37">
        <v>0</v>
      </c>
      <c r="AC87" s="37">
        <v>0</v>
      </c>
      <c r="AD87" s="37">
        <v>0</v>
      </c>
      <c r="AE87" s="37">
        <v>0</v>
      </c>
      <c r="AF87" s="37">
        <v>0</v>
      </c>
      <c r="AG87" s="38">
        <f t="shared" ref="AG87" si="71">ROUND(SUM(I87:AF87)*H87,2)</f>
        <v>2660792.0499999998</v>
      </c>
    </row>
    <row r="88" spans="5:33" ht="15" thickBot="1" x14ac:dyDescent="0.3">
      <c r="E88" s="56">
        <v>48427</v>
      </c>
      <c r="F88" s="55">
        <f>+_xlfn.XLOOKUP(E88,'PRODUCTO 01'!$C$10:$C$129,'PRODUCTO 01'!$F$10:$F$129)</f>
        <v>2617129.38</v>
      </c>
      <c r="G88" s="55" t="s">
        <v>59</v>
      </c>
      <c r="H88" s="36">
        <v>31</v>
      </c>
      <c r="I88" s="37">
        <v>0</v>
      </c>
      <c r="J88" s="37">
        <v>0</v>
      </c>
      <c r="K88" s="37">
        <v>0</v>
      </c>
      <c r="L88" s="37">
        <v>0</v>
      </c>
      <c r="M88" s="37">
        <v>0</v>
      </c>
      <c r="N88" s="37">
        <v>39.174529187021882</v>
      </c>
      <c r="O88" s="37">
        <v>321.98553909554903</v>
      </c>
      <c r="P88" s="37">
        <v>1893.4986533205595</v>
      </c>
      <c r="Q88" s="37">
        <v>10883.623489489779</v>
      </c>
      <c r="R88" s="37">
        <v>12735.071134221644</v>
      </c>
      <c r="S88" s="37">
        <v>13534.655770053161</v>
      </c>
      <c r="T88" s="37">
        <v>8142.7042753507703</v>
      </c>
      <c r="U88" s="37">
        <v>8297.5111452901583</v>
      </c>
      <c r="V88" s="37">
        <v>9917.6359686466403</v>
      </c>
      <c r="W88" s="37">
        <v>6201.3278174567513</v>
      </c>
      <c r="X88" s="37">
        <v>8544.839269064918</v>
      </c>
      <c r="Y88" s="37">
        <v>2698.303347882174</v>
      </c>
      <c r="Z88" s="37">
        <v>1213.1975227072021</v>
      </c>
      <c r="AA88" s="37">
        <v>0</v>
      </c>
      <c r="AB88" s="37">
        <v>0</v>
      </c>
      <c r="AC88" s="37">
        <v>0</v>
      </c>
      <c r="AD88" s="37">
        <v>0</v>
      </c>
      <c r="AE88" s="37">
        <v>0</v>
      </c>
      <c r="AF88" s="37">
        <v>0</v>
      </c>
      <c r="AG88" s="38">
        <f t="shared" ref="AG88" si="72">ROUND(SUM(I88:AF88)*H88,2)</f>
        <v>2617129.38</v>
      </c>
    </row>
    <row r="89" spans="5:33" ht="15" thickBot="1" x14ac:dyDescent="0.3">
      <c r="E89" s="56">
        <v>48458</v>
      </c>
      <c r="F89" s="55">
        <f>+_xlfn.XLOOKUP(E89,'PRODUCTO 01'!$C$10:$C$129,'PRODUCTO 01'!$F$10:$F$129)</f>
        <v>2670140.23</v>
      </c>
      <c r="G89" s="55" t="s">
        <v>59</v>
      </c>
      <c r="H89" s="36">
        <v>30</v>
      </c>
      <c r="I89" s="37">
        <v>0</v>
      </c>
      <c r="J89" s="37">
        <v>0</v>
      </c>
      <c r="K89" s="37">
        <v>0</v>
      </c>
      <c r="L89" s="37">
        <v>0</v>
      </c>
      <c r="M89" s="37">
        <v>0</v>
      </c>
      <c r="N89" s="37">
        <v>143.71232515576878</v>
      </c>
      <c r="O89" s="37">
        <v>490.30755203042497</v>
      </c>
      <c r="P89" s="37">
        <v>8895.3142593199227</v>
      </c>
      <c r="Q89" s="37">
        <v>14184.201413115828</v>
      </c>
      <c r="R89" s="37">
        <v>13046.165638357383</v>
      </c>
      <c r="S89" s="37">
        <v>7949.7396519112126</v>
      </c>
      <c r="T89" s="37">
        <v>6850.9872710986947</v>
      </c>
      <c r="U89" s="37">
        <v>6545.6174379241766</v>
      </c>
      <c r="V89" s="37">
        <v>9756.1349128407164</v>
      </c>
      <c r="W89" s="37">
        <v>7341.9448473587963</v>
      </c>
      <c r="X89" s="37">
        <v>9427.8035346663237</v>
      </c>
      <c r="Y89" s="37">
        <v>3590.6579620575353</v>
      </c>
      <c r="Z89" s="37">
        <v>782.0876247065604</v>
      </c>
      <c r="AA89" s="37">
        <v>0</v>
      </c>
      <c r="AB89" s="37">
        <v>0</v>
      </c>
      <c r="AC89" s="37">
        <v>0</v>
      </c>
      <c r="AD89" s="37">
        <v>0</v>
      </c>
      <c r="AE89" s="37">
        <v>0</v>
      </c>
      <c r="AF89" s="37">
        <v>0</v>
      </c>
      <c r="AG89" s="38">
        <f t="shared" ref="AG89" si="73">ROUND(SUM(I89:AF89)*H89,2)</f>
        <v>2670140.23</v>
      </c>
    </row>
    <row r="90" spans="5:33" ht="15" thickBot="1" x14ac:dyDescent="0.3">
      <c r="E90" s="56">
        <v>48488</v>
      </c>
      <c r="F90" s="55">
        <f>+_xlfn.XLOOKUP(E90,'PRODUCTO 01'!$C$10:$C$129,'PRODUCTO 01'!$F$10:$F$129)</f>
        <v>2961920</v>
      </c>
      <c r="G90" s="55" t="s">
        <v>59</v>
      </c>
      <c r="H90" s="36">
        <v>31</v>
      </c>
      <c r="I90" s="37">
        <v>0</v>
      </c>
      <c r="J90" s="37">
        <v>0</v>
      </c>
      <c r="K90" s="37">
        <v>0</v>
      </c>
      <c r="L90" s="37">
        <v>0</v>
      </c>
      <c r="M90" s="37">
        <v>0</v>
      </c>
      <c r="N90" s="37">
        <v>40.651645175268612</v>
      </c>
      <c r="O90" s="37">
        <v>562.28034771795558</v>
      </c>
      <c r="P90" s="37">
        <v>6356.9815264819536</v>
      </c>
      <c r="Q90" s="37">
        <v>9925.5115419637714</v>
      </c>
      <c r="R90" s="37">
        <v>14292.44019937134</v>
      </c>
      <c r="S90" s="37">
        <v>12704.116972173089</v>
      </c>
      <c r="T90" s="37">
        <v>10970.798085556284</v>
      </c>
      <c r="U90" s="37">
        <v>9594.5115933897832</v>
      </c>
      <c r="V90" s="37">
        <v>10321.469069863653</v>
      </c>
      <c r="W90" s="37">
        <v>9363.5973236221234</v>
      </c>
      <c r="X90" s="37">
        <v>6933.7347491542978</v>
      </c>
      <c r="Y90" s="37">
        <v>3944.8618742556378</v>
      </c>
      <c r="Z90" s="37">
        <v>534.85156732389817</v>
      </c>
      <c r="AA90" s="37">
        <v>0</v>
      </c>
      <c r="AB90" s="37">
        <v>0</v>
      </c>
      <c r="AC90" s="37">
        <v>0</v>
      </c>
      <c r="AD90" s="37">
        <v>0</v>
      </c>
      <c r="AE90" s="37">
        <v>0</v>
      </c>
      <c r="AF90" s="37">
        <v>0</v>
      </c>
      <c r="AG90" s="38">
        <f t="shared" ref="AG90" si="74">ROUND(SUM(I90:AF90)*H90,2)</f>
        <v>2961920</v>
      </c>
    </row>
    <row r="91" spans="5:33" ht="15" thickBot="1" x14ac:dyDescent="0.3">
      <c r="E91" s="56">
        <v>48519</v>
      </c>
      <c r="F91" s="55">
        <f>+_xlfn.XLOOKUP(E91,'PRODUCTO 01'!$C$10:$C$129,'PRODUCTO 01'!$F$10:$F$129)</f>
        <v>2801627.33</v>
      </c>
      <c r="G91" s="55" t="s">
        <v>59</v>
      </c>
      <c r="H91" s="36">
        <v>30</v>
      </c>
      <c r="I91" s="37">
        <v>0</v>
      </c>
      <c r="J91" s="37">
        <v>0</v>
      </c>
      <c r="K91" s="37">
        <v>0</v>
      </c>
      <c r="L91" s="37">
        <v>0</v>
      </c>
      <c r="M91" s="37">
        <v>0</v>
      </c>
      <c r="N91" s="37">
        <v>108.5766126172073</v>
      </c>
      <c r="O91" s="37">
        <v>507.68421332089792</v>
      </c>
      <c r="P91" s="37">
        <v>2923.4925014039932</v>
      </c>
      <c r="Q91" s="37">
        <v>5478.3627670892147</v>
      </c>
      <c r="R91" s="37">
        <v>6395.6777901576179</v>
      </c>
      <c r="S91" s="37">
        <v>6984.2975791037234</v>
      </c>
      <c r="T91" s="37">
        <v>9477.4898243306416</v>
      </c>
      <c r="U91" s="37">
        <v>11721.198714120044</v>
      </c>
      <c r="V91" s="37">
        <v>14595.82073782471</v>
      </c>
      <c r="W91" s="37">
        <v>17222.873037402267</v>
      </c>
      <c r="X91" s="37">
        <v>13799.334615426553</v>
      </c>
      <c r="Y91" s="37">
        <v>3693.792690488131</v>
      </c>
      <c r="Z91" s="37">
        <v>478.97655632997413</v>
      </c>
      <c r="AA91" s="37">
        <v>0</v>
      </c>
      <c r="AB91" s="37">
        <v>0</v>
      </c>
      <c r="AC91" s="37">
        <v>0</v>
      </c>
      <c r="AD91" s="37">
        <v>0</v>
      </c>
      <c r="AE91" s="37">
        <v>0</v>
      </c>
      <c r="AF91" s="37">
        <v>0</v>
      </c>
      <c r="AG91" s="38">
        <f t="shared" ref="AG91" si="75">ROUND(SUM(I91:AF91)*H91,2)</f>
        <v>2801627.33</v>
      </c>
    </row>
    <row r="92" spans="5:33" ht="15" thickBot="1" x14ac:dyDescent="0.3">
      <c r="E92" s="56">
        <v>48549</v>
      </c>
      <c r="F92" s="55">
        <f>+_xlfn.XLOOKUP(E92,'PRODUCTO 01'!$C$10:$C$129,'PRODUCTO 01'!$F$10:$F$129)</f>
        <v>3543739.78</v>
      </c>
      <c r="G92" s="55" t="s">
        <v>59</v>
      </c>
      <c r="H92" s="36">
        <v>31</v>
      </c>
      <c r="I92" s="37">
        <v>0</v>
      </c>
      <c r="J92" s="37">
        <v>0</v>
      </c>
      <c r="K92" s="37">
        <v>0</v>
      </c>
      <c r="L92" s="37">
        <v>0</v>
      </c>
      <c r="M92" s="37">
        <v>0</v>
      </c>
      <c r="N92" s="37">
        <v>58.847610395392216</v>
      </c>
      <c r="O92" s="37">
        <v>242.83126904827071</v>
      </c>
      <c r="P92" s="37">
        <v>7745.2085166674642</v>
      </c>
      <c r="Q92" s="37">
        <v>12319.147952030247</v>
      </c>
      <c r="R92" s="37">
        <v>15990.438734037441</v>
      </c>
      <c r="S92" s="37">
        <v>15458.729051463224</v>
      </c>
      <c r="T92" s="37">
        <v>13626.472815140694</v>
      </c>
      <c r="U92" s="37">
        <v>13673.401018470382</v>
      </c>
      <c r="V92" s="37">
        <v>13708.644173614948</v>
      </c>
      <c r="W92" s="37">
        <v>12284.147261864469</v>
      </c>
      <c r="X92" s="37">
        <v>6171.9792315276063</v>
      </c>
      <c r="Y92" s="37">
        <v>2518.892555871962</v>
      </c>
      <c r="Z92" s="37">
        <v>515.44612944701908</v>
      </c>
      <c r="AA92" s="37">
        <v>0</v>
      </c>
      <c r="AB92" s="37">
        <v>0</v>
      </c>
      <c r="AC92" s="37">
        <v>0</v>
      </c>
      <c r="AD92" s="37">
        <v>0</v>
      </c>
      <c r="AE92" s="37">
        <v>0</v>
      </c>
      <c r="AF92" s="37">
        <v>0</v>
      </c>
      <c r="AG92" s="38">
        <f t="shared" ref="AG92" si="76">ROUND(SUM(I92:AF92)*H92,2)</f>
        <v>3543739.78</v>
      </c>
    </row>
    <row r="93" spans="5:33" ht="15" thickBot="1" x14ac:dyDescent="0.3">
      <c r="E93" s="56">
        <v>48580</v>
      </c>
      <c r="F93" s="55">
        <f>+_xlfn.XLOOKUP(E93,'PRODUCTO 01'!$C$10:$C$129,'PRODUCTO 01'!$F$10:$F$129)</f>
        <v>3795054.99</v>
      </c>
      <c r="G93" s="55" t="s">
        <v>59</v>
      </c>
      <c r="H93" s="36">
        <v>31</v>
      </c>
      <c r="I93" s="37">
        <v>0</v>
      </c>
      <c r="J93" s="37">
        <v>0</v>
      </c>
      <c r="K93" s="37">
        <v>0</v>
      </c>
      <c r="L93" s="37">
        <v>0</v>
      </c>
      <c r="M93" s="37">
        <v>0</v>
      </c>
      <c r="N93" s="37">
        <v>0.17990117889414142</v>
      </c>
      <c r="O93" s="37">
        <v>105.95144761709896</v>
      </c>
      <c r="P93" s="37">
        <v>2391.934749225009</v>
      </c>
      <c r="Q93" s="37">
        <v>9706.1752364402182</v>
      </c>
      <c r="R93" s="37">
        <v>15161.067044403373</v>
      </c>
      <c r="S93" s="37">
        <v>14815.711507272097</v>
      </c>
      <c r="T93" s="37">
        <v>15121.461375915045</v>
      </c>
      <c r="U93" s="37">
        <v>14985.27550156826</v>
      </c>
      <c r="V93" s="37">
        <v>15680.259171614294</v>
      </c>
      <c r="W93" s="37">
        <v>15850.851132418478</v>
      </c>
      <c r="X93" s="37">
        <v>13421.032870888779</v>
      </c>
      <c r="Y93" s="37">
        <v>3950.7635208883112</v>
      </c>
      <c r="Z93" s="37">
        <v>1230.465089843269</v>
      </c>
      <c r="AA93" s="37">
        <v>0</v>
      </c>
      <c r="AB93" s="37">
        <v>0</v>
      </c>
      <c r="AC93" s="37">
        <v>0</v>
      </c>
      <c r="AD93" s="37">
        <v>0</v>
      </c>
      <c r="AE93" s="37">
        <v>0</v>
      </c>
      <c r="AF93" s="37">
        <v>0</v>
      </c>
      <c r="AG93" s="38">
        <f>ROUND(SUM(I93:AF93)*H93,2)</f>
        <v>3795054.99</v>
      </c>
    </row>
    <row r="94" spans="5:33" ht="15" thickBot="1" x14ac:dyDescent="0.3">
      <c r="E94" s="56">
        <v>48611</v>
      </c>
      <c r="F94" s="55">
        <f>+_xlfn.XLOOKUP(E94,'PRODUCTO 01'!$C$10:$C$129,'PRODUCTO 01'!$F$10:$F$129)</f>
        <v>3193986.37</v>
      </c>
      <c r="G94" s="55" t="s">
        <v>59</v>
      </c>
      <c r="H94" s="36">
        <v>28</v>
      </c>
      <c r="I94" s="37">
        <v>0</v>
      </c>
      <c r="J94" s="37">
        <v>0</v>
      </c>
      <c r="K94" s="37">
        <v>0</v>
      </c>
      <c r="L94" s="37">
        <v>0</v>
      </c>
      <c r="M94" s="37">
        <v>0</v>
      </c>
      <c r="N94" s="37">
        <v>0</v>
      </c>
      <c r="O94" s="37">
        <v>127.60363221057629</v>
      </c>
      <c r="P94" s="37">
        <v>2485.4685382228872</v>
      </c>
      <c r="Q94" s="37">
        <v>9195.1104998390001</v>
      </c>
      <c r="R94" s="37">
        <v>16125.030036104368</v>
      </c>
      <c r="S94" s="37">
        <v>17287.501088978752</v>
      </c>
      <c r="T94" s="37">
        <v>15482.957332229696</v>
      </c>
      <c r="U94" s="37">
        <v>13773.151688731799</v>
      </c>
      <c r="V94" s="37">
        <v>8515.4467318112984</v>
      </c>
      <c r="W94" s="37">
        <v>11584.845254197695</v>
      </c>
      <c r="X94" s="37">
        <v>13232.739268332907</v>
      </c>
      <c r="Y94" s="37">
        <v>4682.0178192817611</v>
      </c>
      <c r="Z94" s="37">
        <v>1579.0700460621397</v>
      </c>
      <c r="AA94" s="37">
        <v>0</v>
      </c>
      <c r="AB94" s="37">
        <v>0</v>
      </c>
      <c r="AC94" s="37">
        <v>0</v>
      </c>
      <c r="AD94" s="37">
        <v>0</v>
      </c>
      <c r="AE94" s="37">
        <v>0</v>
      </c>
      <c r="AF94" s="37">
        <v>0</v>
      </c>
      <c r="AG94" s="38">
        <f t="shared" ref="AG94" si="77">ROUND(SUM(I94:AF94)*H94,2)</f>
        <v>3193986.37</v>
      </c>
    </row>
    <row r="95" spans="5:33" ht="15" thickBot="1" x14ac:dyDescent="0.3">
      <c r="E95" s="56">
        <v>48639</v>
      </c>
      <c r="F95" s="55">
        <f>+_xlfn.XLOOKUP(E95,'PRODUCTO 01'!$C$10:$C$129,'PRODUCTO 01'!$F$10:$F$129)</f>
        <v>3234910.03</v>
      </c>
      <c r="G95" s="55" t="s">
        <v>59</v>
      </c>
      <c r="H95" s="36">
        <v>31</v>
      </c>
      <c r="I95" s="37">
        <v>0</v>
      </c>
      <c r="J95" s="37">
        <v>0</v>
      </c>
      <c r="K95" s="37">
        <v>0</v>
      </c>
      <c r="L95" s="37">
        <v>0</v>
      </c>
      <c r="M95" s="37">
        <v>0</v>
      </c>
      <c r="N95" s="37">
        <v>14.774299155354408</v>
      </c>
      <c r="O95" s="37">
        <v>422.37055440935438</v>
      </c>
      <c r="P95" s="37">
        <v>2342.2289600018635</v>
      </c>
      <c r="Q95" s="37">
        <v>7024.5016571649048</v>
      </c>
      <c r="R95" s="37">
        <v>11227.351320105738</v>
      </c>
      <c r="S95" s="37">
        <v>11736.97292307297</v>
      </c>
      <c r="T95" s="37">
        <v>12518.99788441111</v>
      </c>
      <c r="U95" s="37">
        <v>12980.333825903852</v>
      </c>
      <c r="V95" s="37">
        <v>13640.729093007149</v>
      </c>
      <c r="W95" s="37">
        <v>15036.730926274147</v>
      </c>
      <c r="X95" s="37">
        <v>11961.653527677623</v>
      </c>
      <c r="Y95" s="37">
        <v>4023.7735794224691</v>
      </c>
      <c r="Z95" s="37">
        <v>1421.5179633643263</v>
      </c>
      <c r="AA95" s="37">
        <v>0</v>
      </c>
      <c r="AB95" s="37">
        <v>0</v>
      </c>
      <c r="AC95" s="37">
        <v>0</v>
      </c>
      <c r="AD95" s="37">
        <v>0</v>
      </c>
      <c r="AE95" s="37">
        <v>0</v>
      </c>
      <c r="AF95" s="37">
        <v>0</v>
      </c>
      <c r="AG95" s="38">
        <f t="shared" ref="AG95" si="78">ROUND(SUM(I95:AF95)*H95,2)</f>
        <v>3234910.03</v>
      </c>
    </row>
    <row r="96" spans="5:33" ht="15" thickBot="1" x14ac:dyDescent="0.3">
      <c r="E96" s="56">
        <v>48670</v>
      </c>
      <c r="F96" s="55">
        <f>+_xlfn.XLOOKUP(E96,'PRODUCTO 01'!$C$10:$C$129,'PRODUCTO 01'!$F$10:$F$129)</f>
        <v>2598174.37</v>
      </c>
      <c r="G96" s="55" t="s">
        <v>59</v>
      </c>
      <c r="H96" s="36">
        <v>30</v>
      </c>
      <c r="I96" s="37">
        <v>0</v>
      </c>
      <c r="J96" s="37">
        <v>0</v>
      </c>
      <c r="K96" s="37">
        <v>0</v>
      </c>
      <c r="L96" s="37">
        <v>0</v>
      </c>
      <c r="M96" s="37">
        <v>0</v>
      </c>
      <c r="N96" s="37">
        <v>49.789736829493272</v>
      </c>
      <c r="O96" s="37">
        <v>436.88741605412133</v>
      </c>
      <c r="P96" s="37">
        <v>2164.80609861935</v>
      </c>
      <c r="Q96" s="37">
        <v>4552.8442258426239</v>
      </c>
      <c r="R96" s="37">
        <v>8598.2781799163622</v>
      </c>
      <c r="S96" s="37">
        <v>9770.5617844946646</v>
      </c>
      <c r="T96" s="37">
        <v>9690.6401787268533</v>
      </c>
      <c r="U96" s="37">
        <v>9942.645407678654</v>
      </c>
      <c r="V96" s="37">
        <v>11520.838390728288</v>
      </c>
      <c r="W96" s="37">
        <v>10284.597335168508</v>
      </c>
      <c r="X96" s="37">
        <v>12398.846777939818</v>
      </c>
      <c r="Y96" s="37">
        <v>5986.7490520165165</v>
      </c>
      <c r="Z96" s="37">
        <v>1208.3278804365339</v>
      </c>
      <c r="AA96" s="37">
        <v>0</v>
      </c>
      <c r="AB96" s="37">
        <v>0</v>
      </c>
      <c r="AC96" s="37">
        <v>0</v>
      </c>
      <c r="AD96" s="37">
        <v>0</v>
      </c>
      <c r="AE96" s="37">
        <v>0</v>
      </c>
      <c r="AF96" s="37">
        <v>0</v>
      </c>
      <c r="AG96" s="38">
        <f t="shared" ref="AG96" si="79">ROUND(SUM(I96:AF96)*H96,2)</f>
        <v>2598174.37</v>
      </c>
    </row>
    <row r="97" spans="5:33" ht="15" thickBot="1" x14ac:dyDescent="0.3">
      <c r="E97" s="56">
        <v>48700</v>
      </c>
      <c r="F97" s="55">
        <f>+_xlfn.XLOOKUP(E97,'PRODUCTO 01'!$C$10:$C$129,'PRODUCTO 01'!$F$10:$F$129)</f>
        <v>2883865.86</v>
      </c>
      <c r="G97" s="55" t="s">
        <v>59</v>
      </c>
      <c r="H97" s="36">
        <v>31</v>
      </c>
      <c r="I97" s="37">
        <v>0</v>
      </c>
      <c r="J97" s="37">
        <v>0</v>
      </c>
      <c r="K97" s="37">
        <v>0</v>
      </c>
      <c r="L97" s="37">
        <v>0</v>
      </c>
      <c r="M97" s="37">
        <v>0</v>
      </c>
      <c r="N97" s="37">
        <v>129.91537690960163</v>
      </c>
      <c r="O97" s="37">
        <v>720.58706167853461</v>
      </c>
      <c r="P97" s="37">
        <v>4530.6657869592882</v>
      </c>
      <c r="Q97" s="37">
        <v>12095.928369325755</v>
      </c>
      <c r="R97" s="37">
        <v>12845.423557901639</v>
      </c>
      <c r="S97" s="37">
        <v>9187.6445267703202</v>
      </c>
      <c r="T97" s="37">
        <v>7781.4622785841748</v>
      </c>
      <c r="U97" s="37">
        <v>7385.7081095354642</v>
      </c>
      <c r="V97" s="37">
        <v>6638.4142116274215</v>
      </c>
      <c r="W97" s="37">
        <v>9870.5534012607623</v>
      </c>
      <c r="X97" s="37">
        <v>11956.830375996158</v>
      </c>
      <c r="Y97" s="37">
        <v>8407.1260850596664</v>
      </c>
      <c r="Z97" s="37">
        <v>1477.6716708600641</v>
      </c>
      <c r="AA97" s="37">
        <v>0</v>
      </c>
      <c r="AB97" s="37">
        <v>0</v>
      </c>
      <c r="AC97" s="37">
        <v>0</v>
      </c>
      <c r="AD97" s="37">
        <v>0</v>
      </c>
      <c r="AE97" s="37">
        <v>0</v>
      </c>
      <c r="AF97" s="37">
        <v>0</v>
      </c>
      <c r="AG97" s="38">
        <f t="shared" ref="AG97" si="80">ROUND(SUM(I97:AF97)*H97,2)</f>
        <v>2883865.86</v>
      </c>
    </row>
    <row r="98" spans="5:33" ht="15" thickBot="1" x14ac:dyDescent="0.3">
      <c r="E98" s="56">
        <v>48731</v>
      </c>
      <c r="F98" s="55">
        <f>+_xlfn.XLOOKUP(E98,'PRODUCTO 01'!$C$10:$C$129,'PRODUCTO 01'!$F$10:$F$129)</f>
        <v>2305048.69</v>
      </c>
      <c r="G98" s="55" t="s">
        <v>59</v>
      </c>
      <c r="H98" s="36">
        <v>30</v>
      </c>
      <c r="I98" s="37">
        <v>0</v>
      </c>
      <c r="J98" s="37">
        <v>0</v>
      </c>
      <c r="K98" s="37">
        <v>0</v>
      </c>
      <c r="L98" s="37">
        <v>0</v>
      </c>
      <c r="M98" s="37">
        <v>0</v>
      </c>
      <c r="N98" s="37">
        <v>113.83530900128567</v>
      </c>
      <c r="O98" s="37">
        <v>573.6216601756563</v>
      </c>
      <c r="P98" s="37">
        <v>2086.5927881510142</v>
      </c>
      <c r="Q98" s="37">
        <v>6013.6402987737383</v>
      </c>
      <c r="R98" s="37">
        <v>11535.285152475006</v>
      </c>
      <c r="S98" s="37">
        <v>11704.830672383878</v>
      </c>
      <c r="T98" s="37">
        <v>10450.181018679406</v>
      </c>
      <c r="U98" s="37">
        <v>12294.146193034012</v>
      </c>
      <c r="V98" s="37">
        <v>8587.829438372999</v>
      </c>
      <c r="W98" s="37">
        <v>6045.9137025210393</v>
      </c>
      <c r="X98" s="37">
        <v>3625.9334532648018</v>
      </c>
      <c r="Y98" s="37">
        <v>2639.0792999099731</v>
      </c>
      <c r="Z98" s="37">
        <v>1164.0673844752789</v>
      </c>
      <c r="AA98" s="37">
        <v>0</v>
      </c>
      <c r="AB98" s="37">
        <v>0</v>
      </c>
      <c r="AC98" s="37">
        <v>0</v>
      </c>
      <c r="AD98" s="37">
        <v>0</v>
      </c>
      <c r="AE98" s="37">
        <v>0</v>
      </c>
      <c r="AF98" s="37">
        <v>0</v>
      </c>
      <c r="AG98" s="38">
        <f t="shared" ref="AG98" si="81">ROUND(SUM(I98:AF98)*H98,2)</f>
        <v>2305048.69</v>
      </c>
    </row>
    <row r="99" spans="5:33" ht="15" thickBot="1" x14ac:dyDescent="0.3">
      <c r="E99" s="56">
        <v>48761</v>
      </c>
      <c r="F99" s="55">
        <f>+_xlfn.XLOOKUP(E99,'PRODUCTO 01'!$C$10:$C$129,'PRODUCTO 01'!$F$10:$F$129)</f>
        <v>2644647.71</v>
      </c>
      <c r="G99" s="55" t="s">
        <v>59</v>
      </c>
      <c r="H99" s="36">
        <v>31</v>
      </c>
      <c r="I99" s="37">
        <v>0</v>
      </c>
      <c r="J99" s="37">
        <v>0</v>
      </c>
      <c r="K99" s="37">
        <v>0</v>
      </c>
      <c r="L99" s="37">
        <v>0</v>
      </c>
      <c r="M99" s="37">
        <v>0</v>
      </c>
      <c r="N99" s="37">
        <v>30.961225941940274</v>
      </c>
      <c r="O99" s="37">
        <v>579.9294100462381</v>
      </c>
      <c r="P99" s="37">
        <v>2449.6479124844645</v>
      </c>
      <c r="Q99" s="37">
        <v>6526.4143192366282</v>
      </c>
      <c r="R99" s="37">
        <v>12850.610770279996</v>
      </c>
      <c r="S99" s="37">
        <v>11032.768962250862</v>
      </c>
      <c r="T99" s="37">
        <v>10713.390985133834</v>
      </c>
      <c r="U99" s="37">
        <v>12245.016904291628</v>
      </c>
      <c r="V99" s="37">
        <v>6587.3017485608925</v>
      </c>
      <c r="W99" s="37">
        <v>7090.6987068846029</v>
      </c>
      <c r="X99" s="37">
        <v>9237.0452946912428</v>
      </c>
      <c r="Y99" s="37">
        <v>4488.4674831495404</v>
      </c>
      <c r="Z99" s="37">
        <v>1478.9628804053225</v>
      </c>
      <c r="AA99" s="37">
        <v>0</v>
      </c>
      <c r="AB99" s="37">
        <v>0</v>
      </c>
      <c r="AC99" s="37">
        <v>0</v>
      </c>
      <c r="AD99" s="37">
        <v>0</v>
      </c>
      <c r="AE99" s="37">
        <v>0</v>
      </c>
      <c r="AF99" s="37">
        <v>0</v>
      </c>
      <c r="AG99" s="38">
        <f t="shared" ref="AG99" si="82">ROUND(SUM(I99:AF99)*H99,2)</f>
        <v>2644647.71</v>
      </c>
    </row>
    <row r="100" spans="5:33" ht="15" thickBot="1" x14ac:dyDescent="0.3">
      <c r="E100" s="56">
        <v>48792</v>
      </c>
      <c r="F100" s="55">
        <f>+_xlfn.XLOOKUP(E100,'PRODUCTO 01'!$C$10:$C$129,'PRODUCTO 01'!$F$10:$F$129)</f>
        <v>2601802.5299999998</v>
      </c>
      <c r="G100" s="55" t="s">
        <v>59</v>
      </c>
      <c r="H100" s="36">
        <v>31</v>
      </c>
      <c r="I100" s="37">
        <v>0</v>
      </c>
      <c r="J100" s="37">
        <v>0</v>
      </c>
      <c r="K100" s="37">
        <v>0</v>
      </c>
      <c r="L100" s="37">
        <v>0</v>
      </c>
      <c r="M100" s="37">
        <v>0</v>
      </c>
      <c r="N100" s="37">
        <v>39.047908640278791</v>
      </c>
      <c r="O100" s="37">
        <v>320.88896409960853</v>
      </c>
      <c r="P100" s="37">
        <v>1887.0767728419521</v>
      </c>
      <c r="Q100" s="37">
        <v>10823.720103490081</v>
      </c>
      <c r="R100" s="37">
        <v>12666.73189340197</v>
      </c>
      <c r="S100" s="37">
        <v>13460.343808608057</v>
      </c>
      <c r="T100" s="37">
        <v>8081.4548438547145</v>
      </c>
      <c r="U100" s="37">
        <v>8239.933156682102</v>
      </c>
      <c r="V100" s="37">
        <v>9858.2014142314692</v>
      </c>
      <c r="W100" s="37">
        <v>6155.8645171284279</v>
      </c>
      <c r="X100" s="37">
        <v>8497.6009793407247</v>
      </c>
      <c r="Y100" s="37">
        <v>2689.1550040891188</v>
      </c>
      <c r="Z100" s="37">
        <v>1209.0945994243336</v>
      </c>
      <c r="AA100" s="37">
        <v>0</v>
      </c>
      <c r="AB100" s="37">
        <v>0</v>
      </c>
      <c r="AC100" s="37">
        <v>0</v>
      </c>
      <c r="AD100" s="37">
        <v>0</v>
      </c>
      <c r="AE100" s="37">
        <v>0</v>
      </c>
      <c r="AF100" s="37">
        <v>0</v>
      </c>
      <c r="AG100" s="38">
        <f t="shared" ref="AG100" si="83">ROUND(SUM(I100:AF100)*H100,2)</f>
        <v>2601802.5299999998</v>
      </c>
    </row>
    <row r="101" spans="5:33" ht="15" thickBot="1" x14ac:dyDescent="0.3">
      <c r="E101" s="56">
        <v>48823</v>
      </c>
      <c r="F101" s="55">
        <f>+_xlfn.XLOOKUP(E101,'PRODUCTO 01'!$C$10:$C$129,'PRODUCTO 01'!$F$10:$F$129)</f>
        <v>2655455.27</v>
      </c>
      <c r="G101" s="55" t="s">
        <v>59</v>
      </c>
      <c r="H101" s="36">
        <v>30</v>
      </c>
      <c r="I101" s="37">
        <v>0</v>
      </c>
      <c r="J101" s="37">
        <v>0</v>
      </c>
      <c r="K101" s="37">
        <v>0</v>
      </c>
      <c r="L101" s="37">
        <v>0</v>
      </c>
      <c r="M101" s="37">
        <v>0</v>
      </c>
      <c r="N101" s="37">
        <v>143.2839202090089</v>
      </c>
      <c r="O101" s="37">
        <v>488.64463310159363</v>
      </c>
      <c r="P101" s="37">
        <v>8846.4770168707309</v>
      </c>
      <c r="Q101" s="37">
        <v>14111.896156592307</v>
      </c>
      <c r="R101" s="37">
        <v>12974.281277618691</v>
      </c>
      <c r="S101" s="37">
        <v>7889.8069562699939</v>
      </c>
      <c r="T101" s="37">
        <v>6827.7495228549124</v>
      </c>
      <c r="U101" s="37">
        <v>6523.4185922532452</v>
      </c>
      <c r="V101" s="37">
        <v>9695.5004681646842</v>
      </c>
      <c r="W101" s="37">
        <v>7293.2282273864084</v>
      </c>
      <c r="X101" s="37">
        <v>9376.879113480556</v>
      </c>
      <c r="Y101" s="37">
        <v>3564.5649663377285</v>
      </c>
      <c r="Z101" s="37">
        <v>779.44480738178993</v>
      </c>
      <c r="AA101" s="37">
        <v>0</v>
      </c>
      <c r="AB101" s="37">
        <v>0</v>
      </c>
      <c r="AC101" s="37">
        <v>0</v>
      </c>
      <c r="AD101" s="37">
        <v>0</v>
      </c>
      <c r="AE101" s="37">
        <v>0</v>
      </c>
      <c r="AF101" s="37">
        <v>0</v>
      </c>
      <c r="AG101" s="38">
        <f t="shared" ref="AG101" si="84">ROUND(SUM(I101:AF101)*H101,2)</f>
        <v>2655455.27</v>
      </c>
    </row>
    <row r="102" spans="5:33" ht="15" thickBot="1" x14ac:dyDescent="0.3">
      <c r="E102" s="56">
        <v>48853</v>
      </c>
      <c r="F102" s="55">
        <f>+_xlfn.XLOOKUP(E102,'PRODUCTO 01'!$C$10:$C$129,'PRODUCTO 01'!$F$10:$F$129)</f>
        <v>2944326.99</v>
      </c>
      <c r="G102" s="55" t="s">
        <v>59</v>
      </c>
      <c r="H102" s="36">
        <v>31</v>
      </c>
      <c r="I102" s="37">
        <v>0</v>
      </c>
      <c r="J102" s="37">
        <v>0</v>
      </c>
      <c r="K102" s="37">
        <v>0</v>
      </c>
      <c r="L102" s="37">
        <v>0</v>
      </c>
      <c r="M102" s="37">
        <v>0</v>
      </c>
      <c r="N102" s="37">
        <v>40.250638445829274</v>
      </c>
      <c r="O102" s="37">
        <v>560.36579094962599</v>
      </c>
      <c r="P102" s="37">
        <v>6316.2854843891682</v>
      </c>
      <c r="Q102" s="37">
        <v>9866.1576377398287</v>
      </c>
      <c r="R102" s="37">
        <v>14216.673977460627</v>
      </c>
      <c r="S102" s="37">
        <v>12631.198168487623</v>
      </c>
      <c r="T102" s="37">
        <v>10902.500296988173</v>
      </c>
      <c r="U102" s="37">
        <v>9531.0756410949962</v>
      </c>
      <c r="V102" s="37">
        <v>10259.264200508802</v>
      </c>
      <c r="W102" s="37">
        <v>9308.8402216184186</v>
      </c>
      <c r="X102" s="37">
        <v>6891.6243190078794</v>
      </c>
      <c r="Y102" s="37">
        <v>3921.0181710681054</v>
      </c>
      <c r="Z102" s="37">
        <v>533.03543368717783</v>
      </c>
      <c r="AA102" s="37">
        <v>0</v>
      </c>
      <c r="AB102" s="37">
        <v>0</v>
      </c>
      <c r="AC102" s="37">
        <v>0</v>
      </c>
      <c r="AD102" s="37">
        <v>0</v>
      </c>
      <c r="AE102" s="37">
        <v>0</v>
      </c>
      <c r="AF102" s="37">
        <v>0</v>
      </c>
      <c r="AG102" s="38">
        <f t="shared" ref="AG102" si="85">ROUND(SUM(I102:AF102)*H102,2)</f>
        <v>2944326.99</v>
      </c>
    </row>
    <row r="103" spans="5:33" ht="15" thickBot="1" x14ac:dyDescent="0.3">
      <c r="E103" s="56">
        <v>48884</v>
      </c>
      <c r="F103" s="55">
        <f>+_xlfn.XLOOKUP(E103,'PRODUCTO 01'!$C$10:$C$129,'PRODUCTO 01'!$F$10:$F$129)</f>
        <v>2786197.46</v>
      </c>
      <c r="G103" s="55" t="s">
        <v>59</v>
      </c>
      <c r="H103" s="36">
        <v>30</v>
      </c>
      <c r="I103" s="37">
        <v>0</v>
      </c>
      <c r="J103" s="37">
        <v>0</v>
      </c>
      <c r="K103" s="37">
        <v>0</v>
      </c>
      <c r="L103" s="37">
        <v>0</v>
      </c>
      <c r="M103" s="37">
        <v>0</v>
      </c>
      <c r="N103" s="37">
        <v>108.05607697797824</v>
      </c>
      <c r="O103" s="37">
        <v>505.96570520736134</v>
      </c>
      <c r="P103" s="37">
        <v>2893.0482916164628</v>
      </c>
      <c r="Q103" s="37">
        <v>5431.6363686402374</v>
      </c>
      <c r="R103" s="37">
        <v>6362.1600932415886</v>
      </c>
      <c r="S103" s="37">
        <v>6960.6136691583806</v>
      </c>
      <c r="T103" s="37">
        <v>9412.2823870107914</v>
      </c>
      <c r="U103" s="37">
        <v>11651.31752389402</v>
      </c>
      <c r="V103" s="37">
        <v>14520.380936819831</v>
      </c>
      <c r="W103" s="37">
        <v>17144.757759851142</v>
      </c>
      <c r="X103" s="37">
        <v>13735.383627884266</v>
      </c>
      <c r="Y103" s="37">
        <v>3670.2882700844652</v>
      </c>
      <c r="Z103" s="37">
        <v>477.35796523114863</v>
      </c>
      <c r="AA103" s="37">
        <v>0</v>
      </c>
      <c r="AB103" s="37">
        <v>0</v>
      </c>
      <c r="AC103" s="37">
        <v>0</v>
      </c>
      <c r="AD103" s="37">
        <v>0</v>
      </c>
      <c r="AE103" s="37">
        <v>0</v>
      </c>
      <c r="AF103" s="37">
        <v>0</v>
      </c>
      <c r="AG103" s="38">
        <f t="shared" ref="AG103" si="86">ROUND(SUM(I103:AF103)*H103,2)</f>
        <v>2786197.46</v>
      </c>
    </row>
    <row r="104" spans="5:33" ht="15" thickBot="1" x14ac:dyDescent="0.3">
      <c r="E104" s="56">
        <v>48914</v>
      </c>
      <c r="F104" s="55">
        <f>+_xlfn.XLOOKUP(E104,'PRODUCTO 01'!$C$10:$C$129,'PRODUCTO 01'!$F$10:$F$129)</f>
        <v>3524738.09</v>
      </c>
      <c r="G104" s="55" t="s">
        <v>59</v>
      </c>
      <c r="H104" s="36">
        <v>31</v>
      </c>
      <c r="I104" s="37">
        <v>0</v>
      </c>
      <c r="J104" s="37">
        <v>0</v>
      </c>
      <c r="K104" s="37">
        <v>0</v>
      </c>
      <c r="L104" s="37">
        <v>0</v>
      </c>
      <c r="M104" s="37">
        <v>0</v>
      </c>
      <c r="N104" s="37">
        <v>58.657432871396644</v>
      </c>
      <c r="O104" s="37">
        <v>242.01574579279404</v>
      </c>
      <c r="P104" s="37">
        <v>7699.880405359414</v>
      </c>
      <c r="Q104" s="37">
        <v>12252.121246550367</v>
      </c>
      <c r="R104" s="37">
        <v>15909.589333480422</v>
      </c>
      <c r="S104" s="37">
        <v>15380.23120550555</v>
      </c>
      <c r="T104" s="37">
        <v>13552.694397675647</v>
      </c>
      <c r="U104" s="37">
        <v>13600.448079474747</v>
      </c>
      <c r="V104" s="37">
        <v>13637.439506088716</v>
      </c>
      <c r="W104" s="37">
        <v>12217.005805572566</v>
      </c>
      <c r="X104" s="37">
        <v>6127.0925287826622</v>
      </c>
      <c r="Y104" s="37">
        <v>2510.3500208747137</v>
      </c>
      <c r="Z104" s="37">
        <v>513.70307903272135</v>
      </c>
      <c r="AA104" s="37">
        <v>0</v>
      </c>
      <c r="AB104" s="37">
        <v>0</v>
      </c>
      <c r="AC104" s="37">
        <v>0</v>
      </c>
      <c r="AD104" s="37">
        <v>0</v>
      </c>
      <c r="AE104" s="37">
        <v>0</v>
      </c>
      <c r="AF104" s="37">
        <v>0</v>
      </c>
      <c r="AG104" s="38">
        <f t="shared" ref="AG104" si="87">ROUND(SUM(I104:AF104)*H104,2)</f>
        <v>3524738.09</v>
      </c>
    </row>
    <row r="105" spans="5:33" ht="15" thickBot="1" x14ac:dyDescent="0.3">
      <c r="E105" s="56">
        <v>48945</v>
      </c>
      <c r="F105" s="55">
        <f>+_xlfn.XLOOKUP(E105,'PRODUCTO 01'!$C$10:$C$129,'PRODUCTO 01'!$F$10:$F$129)</f>
        <v>3775099.43</v>
      </c>
      <c r="G105" s="55" t="s">
        <v>59</v>
      </c>
      <c r="H105" s="36">
        <v>31</v>
      </c>
      <c r="I105" s="37">
        <v>0</v>
      </c>
      <c r="J105" s="37">
        <v>0</v>
      </c>
      <c r="K105" s="37">
        <v>0</v>
      </c>
      <c r="L105" s="37">
        <v>0</v>
      </c>
      <c r="M105" s="37">
        <v>0</v>
      </c>
      <c r="N105" s="37">
        <v>0.17929486725265051</v>
      </c>
      <c r="O105" s="37">
        <v>105.59725931249699</v>
      </c>
      <c r="P105" s="37">
        <v>2364.6013597109718</v>
      </c>
      <c r="Q105" s="37">
        <v>9648.4068566502265</v>
      </c>
      <c r="R105" s="37">
        <v>15082.808085547784</v>
      </c>
      <c r="S105" s="37">
        <v>14737.46728154863</v>
      </c>
      <c r="T105" s="37">
        <v>15042.136602947845</v>
      </c>
      <c r="U105" s="37">
        <v>14906.813569173562</v>
      </c>
      <c r="V105" s="37">
        <v>15601.029152179213</v>
      </c>
      <c r="W105" s="37">
        <v>15772.008342516066</v>
      </c>
      <c r="X105" s="37">
        <v>13352.654426159106</v>
      </c>
      <c r="Y105" s="37">
        <v>3937.3957456604912</v>
      </c>
      <c r="Z105" s="37">
        <v>1226.3031094447381</v>
      </c>
      <c r="AA105" s="37">
        <v>0</v>
      </c>
      <c r="AB105" s="37">
        <v>0</v>
      </c>
      <c r="AC105" s="37">
        <v>0</v>
      </c>
      <c r="AD105" s="37">
        <v>0</v>
      </c>
      <c r="AE105" s="37">
        <v>0</v>
      </c>
      <c r="AF105" s="37">
        <v>0</v>
      </c>
      <c r="AG105" s="38">
        <f>ROUND(SUM(I105:AF105)*H105,2)</f>
        <v>3775099.43</v>
      </c>
    </row>
    <row r="106" spans="5:33" ht="15" thickBot="1" x14ac:dyDescent="0.3">
      <c r="E106" s="56">
        <v>48976</v>
      </c>
      <c r="F106" s="55">
        <f>+_xlfn.XLOOKUP(E106,'PRODUCTO 01'!$C$10:$C$129,'PRODUCTO 01'!$F$10:$F$129)</f>
        <v>3176958.84</v>
      </c>
      <c r="G106" s="55" t="s">
        <v>59</v>
      </c>
      <c r="H106" s="36">
        <v>28</v>
      </c>
      <c r="I106" s="37">
        <v>0</v>
      </c>
      <c r="J106" s="37">
        <v>0</v>
      </c>
      <c r="K106" s="37">
        <v>0</v>
      </c>
      <c r="L106" s="37">
        <v>0</v>
      </c>
      <c r="M106" s="37">
        <v>0</v>
      </c>
      <c r="N106" s="37">
        <v>0</v>
      </c>
      <c r="O106" s="37">
        <v>127.17790630869391</v>
      </c>
      <c r="P106" s="37">
        <v>2457.2971490698505</v>
      </c>
      <c r="Q106" s="37">
        <v>9137.3129106332963</v>
      </c>
      <c r="R106" s="37">
        <v>16041.601766832649</v>
      </c>
      <c r="S106" s="37">
        <v>17198.777703740256</v>
      </c>
      <c r="T106" s="37">
        <v>15399.331017824548</v>
      </c>
      <c r="U106" s="37">
        <v>13695.480463468804</v>
      </c>
      <c r="V106" s="37">
        <v>8486.6428083842839</v>
      </c>
      <c r="W106" s="37">
        <v>11515.63560047721</v>
      </c>
      <c r="X106" s="37">
        <v>13163.647107275705</v>
      </c>
      <c r="Y106" s="37">
        <v>4666.1824527219323</v>
      </c>
      <c r="Z106" s="37">
        <v>1573.7287048962708</v>
      </c>
      <c r="AA106" s="37">
        <v>0</v>
      </c>
      <c r="AB106" s="37">
        <v>0</v>
      </c>
      <c r="AC106" s="37">
        <v>0</v>
      </c>
      <c r="AD106" s="37">
        <v>0</v>
      </c>
      <c r="AE106" s="37">
        <v>0</v>
      </c>
      <c r="AF106" s="37">
        <v>0</v>
      </c>
      <c r="AG106" s="38">
        <f t="shared" ref="AG106" si="88">ROUND(SUM(I106:AF106)*H106,2)</f>
        <v>3176958.84</v>
      </c>
    </row>
    <row r="107" spans="5:33" ht="15" thickBot="1" x14ac:dyDescent="0.3">
      <c r="E107" s="56">
        <v>49004</v>
      </c>
      <c r="F107" s="55">
        <f>+_xlfn.XLOOKUP(E107,'PRODUCTO 01'!$C$10:$C$129,'PRODUCTO 01'!$F$10:$F$129)</f>
        <v>3217206.82</v>
      </c>
      <c r="G107" s="55" t="s">
        <v>59</v>
      </c>
      <c r="H107" s="36">
        <v>31</v>
      </c>
      <c r="I107" s="37">
        <v>0</v>
      </c>
      <c r="J107" s="37">
        <v>0</v>
      </c>
      <c r="K107" s="37">
        <v>0</v>
      </c>
      <c r="L107" s="37">
        <v>0</v>
      </c>
      <c r="M107" s="37">
        <v>0</v>
      </c>
      <c r="N107" s="37">
        <v>14.724244489772119</v>
      </c>
      <c r="O107" s="37">
        <v>420.95025563235203</v>
      </c>
      <c r="P107" s="37">
        <v>2334.3051062776108</v>
      </c>
      <c r="Q107" s="37">
        <v>6977.829267978319</v>
      </c>
      <c r="R107" s="37">
        <v>11161.291637087388</v>
      </c>
      <c r="S107" s="37">
        <v>11665.724596393615</v>
      </c>
      <c r="T107" s="37">
        <v>12444.858815080348</v>
      </c>
      <c r="U107" s="37">
        <v>12906.787190057632</v>
      </c>
      <c r="V107" s="37">
        <v>13566.080001236171</v>
      </c>
      <c r="W107" s="37">
        <v>14960.335138715369</v>
      </c>
      <c r="X107" s="37">
        <v>11901.104710701133</v>
      </c>
      <c r="Y107" s="37">
        <v>4010.164888209843</v>
      </c>
      <c r="Z107" s="37">
        <v>1416.7094537752992</v>
      </c>
      <c r="AA107" s="37">
        <v>0</v>
      </c>
      <c r="AB107" s="37">
        <v>0</v>
      </c>
      <c r="AC107" s="37">
        <v>0</v>
      </c>
      <c r="AD107" s="37">
        <v>0</v>
      </c>
      <c r="AE107" s="37">
        <v>0</v>
      </c>
      <c r="AF107" s="37">
        <v>0</v>
      </c>
      <c r="AG107" s="38">
        <f t="shared" ref="AG107" si="89">ROUND(SUM(I107:AF107)*H107,2)</f>
        <v>3217206.82</v>
      </c>
    </row>
    <row r="108" spans="5:33" ht="15" thickBot="1" x14ac:dyDescent="0.3">
      <c r="E108" s="56">
        <v>49035</v>
      </c>
      <c r="F108" s="55">
        <f>+_xlfn.XLOOKUP(E108,'PRODUCTO 01'!$C$10:$C$129,'PRODUCTO 01'!$F$10:$F$129)</f>
        <v>2582836.96</v>
      </c>
      <c r="G108" s="55" t="s">
        <v>59</v>
      </c>
      <c r="H108" s="36">
        <v>30</v>
      </c>
      <c r="I108" s="37">
        <v>0</v>
      </c>
      <c r="J108" s="37">
        <v>0</v>
      </c>
      <c r="K108" s="37">
        <v>0</v>
      </c>
      <c r="L108" s="37">
        <v>0</v>
      </c>
      <c r="M108" s="37">
        <v>0</v>
      </c>
      <c r="N108" s="37">
        <v>49.604215943269374</v>
      </c>
      <c r="O108" s="37">
        <v>435.40811168239702</v>
      </c>
      <c r="P108" s="37">
        <v>2157.4817449410971</v>
      </c>
      <c r="Q108" s="37">
        <v>4537.4488274357864</v>
      </c>
      <c r="R108" s="37">
        <v>8539.6787972310212</v>
      </c>
      <c r="S108" s="37">
        <v>9704.846083280825</v>
      </c>
      <c r="T108" s="37">
        <v>9622.6521042058357</v>
      </c>
      <c r="U108" s="37">
        <v>9875.7437876008607</v>
      </c>
      <c r="V108" s="37">
        <v>11449.147871603567</v>
      </c>
      <c r="W108" s="37">
        <v>10223.038300675164</v>
      </c>
      <c r="X108" s="37">
        <v>12340.348494320715</v>
      </c>
      <c r="Y108" s="37">
        <v>5954.9271812579855</v>
      </c>
      <c r="Z108" s="37">
        <v>1204.2397001404761</v>
      </c>
      <c r="AA108" s="37">
        <v>0</v>
      </c>
      <c r="AB108" s="37">
        <v>0</v>
      </c>
      <c r="AC108" s="37">
        <v>0</v>
      </c>
      <c r="AD108" s="37">
        <v>0</v>
      </c>
      <c r="AE108" s="37">
        <v>0</v>
      </c>
      <c r="AF108" s="37">
        <v>0</v>
      </c>
      <c r="AG108" s="38">
        <f t="shared" ref="AG108" si="90">ROUND(SUM(I108:AF108)*H108,2)</f>
        <v>2582836.96</v>
      </c>
    </row>
    <row r="109" spans="5:33" ht="15" thickBot="1" x14ac:dyDescent="0.3">
      <c r="E109" s="56">
        <v>49065</v>
      </c>
      <c r="F109" s="55">
        <f>+_xlfn.XLOOKUP(E109,'PRODUCTO 01'!$C$10:$C$129,'PRODUCTO 01'!$F$10:$F$129)</f>
        <v>2869362.97</v>
      </c>
      <c r="G109" s="55" t="s">
        <v>59</v>
      </c>
      <c r="H109" s="36">
        <v>31</v>
      </c>
      <c r="I109" s="37">
        <v>0</v>
      </c>
      <c r="J109" s="37">
        <v>0</v>
      </c>
      <c r="K109" s="37">
        <v>0</v>
      </c>
      <c r="L109" s="37">
        <v>0</v>
      </c>
      <c r="M109" s="37">
        <v>0</v>
      </c>
      <c r="N109" s="37">
        <v>129.42343631026856</v>
      </c>
      <c r="O109" s="37">
        <v>718.15350198526585</v>
      </c>
      <c r="P109" s="37">
        <v>4499.9591578703403</v>
      </c>
      <c r="Q109" s="37">
        <v>12034.899604001708</v>
      </c>
      <c r="R109" s="37">
        <v>12777.149460670831</v>
      </c>
      <c r="S109" s="37">
        <v>9124.1268886026301</v>
      </c>
      <c r="T109" s="37">
        <v>7755.1453568060497</v>
      </c>
      <c r="U109" s="37">
        <v>7360.72489352924</v>
      </c>
      <c r="V109" s="37">
        <v>6615.9631423282581</v>
      </c>
      <c r="W109" s="37">
        <v>9811.3254301629859</v>
      </c>
      <c r="X109" s="37">
        <v>11896.12264082225</v>
      </c>
      <c r="Y109" s="37">
        <v>8364.4376588569321</v>
      </c>
      <c r="Z109" s="37">
        <v>1472.6646756363211</v>
      </c>
      <c r="AA109" s="37">
        <v>0</v>
      </c>
      <c r="AB109" s="37">
        <v>0</v>
      </c>
      <c r="AC109" s="37">
        <v>0</v>
      </c>
      <c r="AD109" s="37">
        <v>0</v>
      </c>
      <c r="AE109" s="37">
        <v>0</v>
      </c>
      <c r="AF109" s="37">
        <v>0</v>
      </c>
      <c r="AG109" s="38">
        <f t="shared" ref="AG109" si="91">ROUND(SUM(I109:AF109)*H109,2)</f>
        <v>2869362.97</v>
      </c>
    </row>
    <row r="110" spans="5:33" ht="15" thickBot="1" x14ac:dyDescent="0.3">
      <c r="E110" s="56">
        <v>49096</v>
      </c>
      <c r="F110" s="55">
        <f>+_xlfn.XLOOKUP(E110,'PRODUCTO 01'!$C$10:$C$129,'PRODUCTO 01'!$F$10:$F$129)</f>
        <v>2291224.8199999998</v>
      </c>
      <c r="G110" s="55" t="s">
        <v>59</v>
      </c>
      <c r="H110" s="36">
        <v>30</v>
      </c>
      <c r="I110" s="37">
        <v>0</v>
      </c>
      <c r="J110" s="37">
        <v>0</v>
      </c>
      <c r="K110" s="37">
        <v>0</v>
      </c>
      <c r="L110" s="37">
        <v>0</v>
      </c>
      <c r="M110" s="37">
        <v>0</v>
      </c>
      <c r="N110" s="37">
        <v>113.49304877240063</v>
      </c>
      <c r="O110" s="37">
        <v>571.67695131387404</v>
      </c>
      <c r="P110" s="37">
        <v>2079.5308139484564</v>
      </c>
      <c r="Q110" s="37">
        <v>5968.1177908040572</v>
      </c>
      <c r="R110" s="37">
        <v>11468.503546968497</v>
      </c>
      <c r="S110" s="37">
        <v>11631.853645098325</v>
      </c>
      <c r="T110" s="37">
        <v>10382.742113730839</v>
      </c>
      <c r="U110" s="37">
        <v>12223.100928831371</v>
      </c>
      <c r="V110" s="37">
        <v>8531.3935391680679</v>
      </c>
      <c r="W110" s="37">
        <v>5999.7823647615378</v>
      </c>
      <c r="X110" s="37">
        <v>3613.672233067894</v>
      </c>
      <c r="Y110" s="37">
        <v>2630.1537828769397</v>
      </c>
      <c r="Z110" s="37">
        <v>1160.139778651685</v>
      </c>
      <c r="AA110" s="37">
        <v>0</v>
      </c>
      <c r="AB110" s="37">
        <v>0</v>
      </c>
      <c r="AC110" s="37">
        <v>0</v>
      </c>
      <c r="AD110" s="37">
        <v>0</v>
      </c>
      <c r="AE110" s="37">
        <v>0</v>
      </c>
      <c r="AF110" s="37">
        <v>0</v>
      </c>
      <c r="AG110" s="38">
        <f t="shared" ref="AG110" si="92">ROUND(SUM(I110:AF110)*H110,2)</f>
        <v>2291224.8199999998</v>
      </c>
    </row>
    <row r="111" spans="5:33" ht="15" thickBot="1" x14ac:dyDescent="0.3">
      <c r="E111" s="56">
        <v>49126</v>
      </c>
      <c r="F111" s="55">
        <f>+_xlfn.XLOOKUP(E111,'PRODUCTO 01'!$C$10:$C$129,'PRODUCTO 01'!$F$10:$F$129)</f>
        <v>2628433.9300000002</v>
      </c>
      <c r="G111" s="55" t="s">
        <v>59</v>
      </c>
      <c r="H111" s="36">
        <v>31</v>
      </c>
      <c r="I111" s="37">
        <v>0</v>
      </c>
      <c r="J111" s="37">
        <v>0</v>
      </c>
      <c r="K111" s="37">
        <v>0</v>
      </c>
      <c r="L111" s="37">
        <v>0</v>
      </c>
      <c r="M111" s="37">
        <v>0</v>
      </c>
      <c r="N111" s="37">
        <v>30.85980260316601</v>
      </c>
      <c r="O111" s="37">
        <v>577.97323476606084</v>
      </c>
      <c r="P111" s="37">
        <v>2441.3645519114211</v>
      </c>
      <c r="Q111" s="37">
        <v>6483.3232029218198</v>
      </c>
      <c r="R111" s="37">
        <v>12783.633440710833</v>
      </c>
      <c r="S111" s="37">
        <v>10966.97050012358</v>
      </c>
      <c r="T111" s="37">
        <v>10646.998327451403</v>
      </c>
      <c r="U111" s="37">
        <v>12173.863066405855</v>
      </c>
      <c r="V111" s="37">
        <v>6534.1956735402737</v>
      </c>
      <c r="W111" s="37">
        <v>7037.2136976516376</v>
      </c>
      <c r="X111" s="37">
        <v>9182.9143315452839</v>
      </c>
      <c r="Y111" s="37">
        <v>4454.9202964232427</v>
      </c>
      <c r="Z111" s="37">
        <v>1473.961028866109</v>
      </c>
      <c r="AA111" s="37">
        <v>0</v>
      </c>
      <c r="AB111" s="37">
        <v>0</v>
      </c>
      <c r="AC111" s="37">
        <v>0</v>
      </c>
      <c r="AD111" s="37">
        <v>0</v>
      </c>
      <c r="AE111" s="37">
        <v>0</v>
      </c>
      <c r="AF111" s="37">
        <v>0</v>
      </c>
      <c r="AG111" s="38">
        <f t="shared" ref="AG111" si="93">ROUND(SUM(I111:AF111)*H111,2)</f>
        <v>2628433.9300000002</v>
      </c>
    </row>
    <row r="112" spans="5:33" ht="15" thickBot="1" x14ac:dyDescent="0.3">
      <c r="E112" s="56">
        <v>49157</v>
      </c>
      <c r="F112" s="55">
        <f>+_xlfn.XLOOKUP(E112,'PRODUCTO 01'!$C$10:$C$129,'PRODUCTO 01'!$F$10:$F$129)</f>
        <v>2586411.9900000002</v>
      </c>
      <c r="G112" s="55" t="s">
        <v>59</v>
      </c>
      <c r="H112" s="36">
        <v>31</v>
      </c>
      <c r="I112" s="37">
        <v>0</v>
      </c>
      <c r="J112" s="37">
        <v>0</v>
      </c>
      <c r="K112" s="37">
        <v>0</v>
      </c>
      <c r="L112" s="37">
        <v>0</v>
      </c>
      <c r="M112" s="37">
        <v>0</v>
      </c>
      <c r="N112" s="37">
        <v>38.920004763162623</v>
      </c>
      <c r="O112" s="37">
        <v>319.80529255979104</v>
      </c>
      <c r="P112" s="37">
        <v>1880.6973269472655</v>
      </c>
      <c r="Q112" s="37">
        <v>10763.408549921163</v>
      </c>
      <c r="R112" s="37">
        <v>12598.012656835625</v>
      </c>
      <c r="S112" s="37">
        <v>13385.661243819626</v>
      </c>
      <c r="T112" s="37">
        <v>8019.9594696424529</v>
      </c>
      <c r="U112" s="37">
        <v>8182.1415513450083</v>
      </c>
      <c r="V112" s="37">
        <v>9798.5171911304678</v>
      </c>
      <c r="W112" s="37">
        <v>6110.1980987962124</v>
      </c>
      <c r="X112" s="37">
        <v>8450.27691565842</v>
      </c>
      <c r="Y112" s="37">
        <v>2680.0518679498841</v>
      </c>
      <c r="Z112" s="37">
        <v>1204.9948045106939</v>
      </c>
      <c r="AA112" s="37">
        <v>0</v>
      </c>
      <c r="AB112" s="37">
        <v>0</v>
      </c>
      <c r="AC112" s="37">
        <v>0</v>
      </c>
      <c r="AD112" s="37">
        <v>0</v>
      </c>
      <c r="AE112" s="37">
        <v>0</v>
      </c>
      <c r="AF112" s="37">
        <v>0</v>
      </c>
      <c r="AG112" s="38">
        <f t="shared" ref="AG112" si="94">ROUND(SUM(I112:AF112)*H112,2)</f>
        <v>2586411.9900000002</v>
      </c>
    </row>
    <row r="113" spans="5:33" ht="15" thickBot="1" x14ac:dyDescent="0.3">
      <c r="E113" s="56">
        <v>49188</v>
      </c>
      <c r="F113" s="55">
        <f>+_xlfn.XLOOKUP(E113,'PRODUCTO 01'!$C$10:$C$129,'PRODUCTO 01'!$F$10:$F$129)</f>
        <v>2640685.46</v>
      </c>
      <c r="G113" s="55" t="s">
        <v>59</v>
      </c>
      <c r="H113" s="36">
        <v>30</v>
      </c>
      <c r="I113" s="37">
        <v>0</v>
      </c>
      <c r="J113" s="37">
        <v>0</v>
      </c>
      <c r="K113" s="37">
        <v>0</v>
      </c>
      <c r="L113" s="37">
        <v>0</v>
      </c>
      <c r="M113" s="37">
        <v>0</v>
      </c>
      <c r="N113" s="37">
        <v>142.7379535534449</v>
      </c>
      <c r="O113" s="37">
        <v>487.00024385621532</v>
      </c>
      <c r="P113" s="37">
        <v>8797.2592186221136</v>
      </c>
      <c r="Q113" s="37">
        <v>14038.988139777604</v>
      </c>
      <c r="R113" s="37">
        <v>12901.859478362185</v>
      </c>
      <c r="S113" s="37">
        <v>7829.4657305744513</v>
      </c>
      <c r="T113" s="37">
        <v>6804.6630215928108</v>
      </c>
      <c r="U113" s="37">
        <v>6501.3600309159838</v>
      </c>
      <c r="V113" s="37">
        <v>9634.4505117410081</v>
      </c>
      <c r="W113" s="37">
        <v>7244.3040192045391</v>
      </c>
      <c r="X113" s="37">
        <v>9325.5781659321674</v>
      </c>
      <c r="Y113" s="37">
        <v>3538.379540871219</v>
      </c>
      <c r="Z113" s="37">
        <v>776.80250612377426</v>
      </c>
      <c r="AA113" s="37">
        <v>0</v>
      </c>
      <c r="AB113" s="37">
        <v>0</v>
      </c>
      <c r="AC113" s="37">
        <v>0</v>
      </c>
      <c r="AD113" s="37">
        <v>0</v>
      </c>
      <c r="AE113" s="37">
        <v>0</v>
      </c>
      <c r="AF113" s="37">
        <v>0</v>
      </c>
      <c r="AG113" s="38">
        <f t="shared" ref="AG113" si="95">ROUND(SUM(I113:AF113)*H113,2)</f>
        <v>2640685.46</v>
      </c>
    </row>
    <row r="114" spans="5:33" ht="15" thickBot="1" x14ac:dyDescent="0.3">
      <c r="E114" s="56">
        <v>49218</v>
      </c>
      <c r="F114" s="55">
        <f>+_xlfn.XLOOKUP(E114,'PRODUCTO 01'!$C$10:$C$129,'PRODUCTO 01'!$F$10:$F$129)</f>
        <v>2926646.93</v>
      </c>
      <c r="G114" s="55" t="s">
        <v>59</v>
      </c>
      <c r="H114" s="36">
        <v>31</v>
      </c>
      <c r="I114" s="37">
        <v>0</v>
      </c>
      <c r="J114" s="37">
        <v>0</v>
      </c>
      <c r="K114" s="37">
        <v>0</v>
      </c>
      <c r="L114" s="37">
        <v>0</v>
      </c>
      <c r="M114" s="37">
        <v>0</v>
      </c>
      <c r="N114" s="37">
        <v>39.836792563691681</v>
      </c>
      <c r="O114" s="37">
        <v>558.47084563697013</v>
      </c>
      <c r="P114" s="37">
        <v>6275.3553969165432</v>
      </c>
      <c r="Q114" s="37">
        <v>9806.5018663462943</v>
      </c>
      <c r="R114" s="37">
        <v>14140.451387075687</v>
      </c>
      <c r="S114" s="37">
        <v>12557.896956658045</v>
      </c>
      <c r="T114" s="37">
        <v>10833.839163303137</v>
      </c>
      <c r="U114" s="37">
        <v>9467.4366522251166</v>
      </c>
      <c r="V114" s="37">
        <v>10196.716808479883</v>
      </c>
      <c r="W114" s="37">
        <v>9253.8385606913016</v>
      </c>
      <c r="X114" s="37">
        <v>6849.2833414310498</v>
      </c>
      <c r="Y114" s="37">
        <v>3897.1093818107406</v>
      </c>
      <c r="Z114" s="37">
        <v>531.22820718631397</v>
      </c>
      <c r="AA114" s="37">
        <v>0</v>
      </c>
      <c r="AB114" s="37">
        <v>0</v>
      </c>
      <c r="AC114" s="37">
        <v>0</v>
      </c>
      <c r="AD114" s="37">
        <v>0</v>
      </c>
      <c r="AE114" s="37">
        <v>0</v>
      </c>
      <c r="AF114" s="37">
        <v>0</v>
      </c>
      <c r="AG114" s="38">
        <f t="shared" ref="AG114" si="96">ROUND(SUM(I114:AF114)*H114,2)</f>
        <v>2926646.93</v>
      </c>
    </row>
    <row r="115" spans="5:33" ht="15" thickBot="1" x14ac:dyDescent="0.3">
      <c r="E115" s="56">
        <v>49249</v>
      </c>
      <c r="F115" s="55">
        <f>+_xlfn.XLOOKUP(E115,'PRODUCTO 01'!$C$10:$C$129,'PRODUCTO 01'!$F$10:$F$129)</f>
        <v>2771058.98</v>
      </c>
      <c r="G115" s="55" t="s">
        <v>59</v>
      </c>
      <c r="H115" s="36">
        <v>30</v>
      </c>
      <c r="I115" s="37">
        <v>0</v>
      </c>
      <c r="J115" s="37">
        <v>0</v>
      </c>
      <c r="K115" s="37">
        <v>0</v>
      </c>
      <c r="L115" s="37">
        <v>0</v>
      </c>
      <c r="M115" s="37">
        <v>0</v>
      </c>
      <c r="N115" s="37">
        <v>107.52589175832273</v>
      </c>
      <c r="O115" s="37">
        <v>504.25149345334728</v>
      </c>
      <c r="P115" s="37">
        <v>2862.3042347220153</v>
      </c>
      <c r="Q115" s="37">
        <v>5384.7587258666463</v>
      </c>
      <c r="R115" s="37">
        <v>6340.6504536745078</v>
      </c>
      <c r="S115" s="37">
        <v>6937.0784516019521</v>
      </c>
      <c r="T115" s="37">
        <v>9346.8079496873779</v>
      </c>
      <c r="U115" s="37">
        <v>11581.076296801852</v>
      </c>
      <c r="V115" s="37">
        <v>14444.621860203919</v>
      </c>
      <c r="W115" s="37">
        <v>17066.244362535868</v>
      </c>
      <c r="X115" s="37">
        <v>13670.947830528174</v>
      </c>
      <c r="Y115" s="37">
        <v>3646.6304317616723</v>
      </c>
      <c r="Z115" s="37">
        <v>475.73454795824728</v>
      </c>
      <c r="AA115" s="37">
        <v>0</v>
      </c>
      <c r="AB115" s="37">
        <v>0</v>
      </c>
      <c r="AC115" s="37">
        <v>0</v>
      </c>
      <c r="AD115" s="37">
        <v>0</v>
      </c>
      <c r="AE115" s="37">
        <v>0</v>
      </c>
      <c r="AF115" s="37">
        <v>0</v>
      </c>
      <c r="AG115" s="38">
        <f t="shared" ref="AG115" si="97">ROUND(SUM(I115:AF115)*H115,2)</f>
        <v>2771058.98</v>
      </c>
    </row>
    <row r="116" spans="5:33" ht="15" thickBot="1" x14ac:dyDescent="0.3">
      <c r="E116" s="56">
        <v>49279</v>
      </c>
      <c r="F116" s="55">
        <f>+_xlfn.XLOOKUP(E116,'PRODUCTO 01'!$C$10:$C$129,'PRODUCTO 01'!$F$10:$F$129)</f>
        <v>3505630.03</v>
      </c>
      <c r="G116" s="55" t="s">
        <v>59</v>
      </c>
      <c r="H116" s="36">
        <v>31</v>
      </c>
      <c r="I116" s="37">
        <v>0</v>
      </c>
      <c r="J116" s="37">
        <v>0</v>
      </c>
      <c r="K116" s="37">
        <v>0</v>
      </c>
      <c r="L116" s="37">
        <v>0</v>
      </c>
      <c r="M116" s="37">
        <v>0</v>
      </c>
      <c r="N116" s="37">
        <v>58.465332314411981</v>
      </c>
      <c r="O116" s="37">
        <v>241.19206358294579</v>
      </c>
      <c r="P116" s="37">
        <v>7654.0860091420063</v>
      </c>
      <c r="Q116" s="37">
        <v>12184.635145851596</v>
      </c>
      <c r="R116" s="37">
        <v>15828.174107805407</v>
      </c>
      <c r="S116" s="37">
        <v>15301.429043353293</v>
      </c>
      <c r="T116" s="37">
        <v>13478.615423826825</v>
      </c>
      <c r="U116" s="37">
        <v>13527.07337973388</v>
      </c>
      <c r="V116" s="37">
        <v>13565.79358573305</v>
      </c>
      <c r="W116" s="37">
        <v>12149.611813157784</v>
      </c>
      <c r="X116" s="37">
        <v>6081.9379052010709</v>
      </c>
      <c r="Y116" s="37">
        <v>2501.8583918778522</v>
      </c>
      <c r="Z116" s="37">
        <v>511.96749963013974</v>
      </c>
      <c r="AA116" s="37">
        <v>0</v>
      </c>
      <c r="AB116" s="37">
        <v>0</v>
      </c>
      <c r="AC116" s="37">
        <v>0</v>
      </c>
      <c r="AD116" s="37">
        <v>0</v>
      </c>
      <c r="AE116" s="37">
        <v>0</v>
      </c>
      <c r="AF116" s="37">
        <v>0</v>
      </c>
      <c r="AG116" s="38">
        <f t="shared" ref="AG116" si="98">ROUND(SUM(I116:AF116)*H116,2)</f>
        <v>3505630.03</v>
      </c>
    </row>
    <row r="117" spans="5:33" ht="15" thickBot="1" x14ac:dyDescent="0.3">
      <c r="E117" s="56">
        <v>49310</v>
      </c>
      <c r="F117" s="55">
        <f>+_xlfn.XLOOKUP(E117,'PRODUCTO 01'!$C$10:$C$129,'PRODUCTO 01'!$F$10:$F$129)</f>
        <v>2139216.48</v>
      </c>
      <c r="G117" s="55" t="s">
        <v>59</v>
      </c>
      <c r="H117" s="36">
        <v>31</v>
      </c>
      <c r="I117" s="37">
        <v>0</v>
      </c>
      <c r="J117" s="37">
        <v>0</v>
      </c>
      <c r="K117" s="37">
        <v>0</v>
      </c>
      <c r="L117" s="37">
        <v>0</v>
      </c>
      <c r="M117" s="37">
        <v>0</v>
      </c>
      <c r="N117" s="37">
        <v>0.1721136841393138</v>
      </c>
      <c r="O117" s="37">
        <v>112.17965248050874</v>
      </c>
      <c r="P117" s="37">
        <v>1969.639029975009</v>
      </c>
      <c r="Q117" s="37">
        <v>5057.7807477563611</v>
      </c>
      <c r="R117" s="37">
        <v>7290.8377287452258</v>
      </c>
      <c r="S117" s="37">
        <v>8414.7867397845293</v>
      </c>
      <c r="T117" s="37">
        <v>8780.8464940097201</v>
      </c>
      <c r="U117" s="37">
        <v>8719.6196507292898</v>
      </c>
      <c r="V117" s="37">
        <v>8433.5511014789899</v>
      </c>
      <c r="W117" s="37">
        <v>8078.2402426132439</v>
      </c>
      <c r="X117" s="37">
        <v>6663.5748488384033</v>
      </c>
      <c r="Y117" s="37">
        <v>4182.9692375869699</v>
      </c>
      <c r="Z117" s="37">
        <v>1302.7857083221177</v>
      </c>
      <c r="AA117" s="37">
        <v>0</v>
      </c>
      <c r="AB117" s="37">
        <v>0</v>
      </c>
      <c r="AC117" s="37">
        <v>0</v>
      </c>
      <c r="AD117" s="37">
        <v>0</v>
      </c>
      <c r="AE117" s="37">
        <v>0</v>
      </c>
      <c r="AF117" s="37">
        <v>0</v>
      </c>
      <c r="AG117" s="38">
        <f>ROUND(SUM(I117:AF117)*H117,2)</f>
        <v>2139216.48</v>
      </c>
    </row>
    <row r="118" spans="5:33" ht="15" thickBot="1" x14ac:dyDescent="0.3">
      <c r="E118" s="56">
        <v>49341</v>
      </c>
      <c r="F118" s="55">
        <f>+_xlfn.XLOOKUP(E118,'PRODUCTO 01'!$C$10:$C$129,'PRODUCTO 01'!$F$10:$F$129)</f>
        <v>2078695.73</v>
      </c>
      <c r="G118" s="55" t="s">
        <v>59</v>
      </c>
      <c r="H118" s="36">
        <v>28</v>
      </c>
      <c r="I118" s="37">
        <v>0</v>
      </c>
      <c r="J118" s="37">
        <v>0</v>
      </c>
      <c r="K118" s="37">
        <v>0</v>
      </c>
      <c r="L118" s="37">
        <v>0</v>
      </c>
      <c r="M118" s="37">
        <v>0</v>
      </c>
      <c r="N118" s="37">
        <v>0</v>
      </c>
      <c r="O118" s="37">
        <v>135.10955204698172</v>
      </c>
      <c r="P118" s="37">
        <v>1966.842979900902</v>
      </c>
      <c r="Q118" s="37">
        <v>5307.364565044988</v>
      </c>
      <c r="R118" s="37">
        <v>7778.3488006176221</v>
      </c>
      <c r="S118" s="37">
        <v>8888.1619441638941</v>
      </c>
      <c r="T118" s="37">
        <v>9089.2951240700222</v>
      </c>
      <c r="U118" s="37">
        <v>9170.9577468729494</v>
      </c>
      <c r="V118" s="37">
        <v>9015.933739739241</v>
      </c>
      <c r="W118" s="37">
        <v>8672.0639268706636</v>
      </c>
      <c r="X118" s="37">
        <v>7585.9719304870805</v>
      </c>
      <c r="Y118" s="37">
        <v>4957.2040654218545</v>
      </c>
      <c r="Z118" s="37">
        <v>1671.8787602533862</v>
      </c>
      <c r="AA118" s="37">
        <v>0</v>
      </c>
      <c r="AB118" s="37">
        <v>0</v>
      </c>
      <c r="AC118" s="37">
        <v>0</v>
      </c>
      <c r="AD118" s="37">
        <v>0</v>
      </c>
      <c r="AE118" s="37">
        <v>0</v>
      </c>
      <c r="AF118" s="37">
        <v>0</v>
      </c>
      <c r="AG118" s="38">
        <f t="shared" ref="AG118" si="99">ROUND(SUM(I118:AF118)*H118,2)</f>
        <v>2078695.73</v>
      </c>
    </row>
    <row r="119" spans="5:33" ht="15" thickBot="1" x14ac:dyDescent="0.3">
      <c r="E119" s="56">
        <v>49369</v>
      </c>
      <c r="F119" s="55">
        <f>+_xlfn.XLOOKUP(E119,'PRODUCTO 01'!$C$10:$C$129,'PRODUCTO 01'!$F$10:$F$129)</f>
        <v>2212866.42</v>
      </c>
      <c r="G119" s="55" t="s">
        <v>59</v>
      </c>
      <c r="H119" s="36">
        <v>31</v>
      </c>
      <c r="I119" s="37">
        <v>0</v>
      </c>
      <c r="J119" s="37">
        <v>0</v>
      </c>
      <c r="K119" s="37">
        <v>0</v>
      </c>
      <c r="L119" s="37">
        <v>0</v>
      </c>
      <c r="M119" s="37">
        <v>0</v>
      </c>
      <c r="N119" s="37">
        <v>15.642466303444328</v>
      </c>
      <c r="O119" s="37">
        <v>447.19872217708274</v>
      </c>
      <c r="P119" s="37">
        <v>2479.8978766429132</v>
      </c>
      <c r="Q119" s="37">
        <v>5350.0286408136344</v>
      </c>
      <c r="R119" s="37">
        <v>7379.7905792664615</v>
      </c>
      <c r="S119" s="37">
        <v>8586.2687239369352</v>
      </c>
      <c r="T119" s="37">
        <v>8809.3358926429228</v>
      </c>
      <c r="U119" s="37">
        <v>8921.4468259040441</v>
      </c>
      <c r="V119" s="37">
        <v>8760.467219213866</v>
      </c>
      <c r="W119" s="37">
        <v>7978.6746088022119</v>
      </c>
      <c r="X119" s="37">
        <v>6888.6809609094116</v>
      </c>
      <c r="Y119" s="37">
        <v>4260.2781482848841</v>
      </c>
      <c r="Z119" s="37">
        <v>1505.077157274595</v>
      </c>
      <c r="AA119" s="37">
        <v>0</v>
      </c>
      <c r="AB119" s="37">
        <v>0</v>
      </c>
      <c r="AC119" s="37">
        <v>0</v>
      </c>
      <c r="AD119" s="37">
        <v>0</v>
      </c>
      <c r="AE119" s="37">
        <v>0</v>
      </c>
      <c r="AF119" s="37">
        <v>0</v>
      </c>
      <c r="AG119" s="38">
        <f t="shared" ref="AG119" si="100">ROUND(SUM(I119:AF119)*H119,2)</f>
        <v>2212866.42</v>
      </c>
    </row>
    <row r="120" spans="5:33" ht="15" thickBot="1" x14ac:dyDescent="0.3">
      <c r="E120" s="56">
        <v>49400</v>
      </c>
      <c r="F120" s="55">
        <f>+_xlfn.XLOOKUP(E120,'PRODUCTO 01'!$C$10:$C$129,'PRODUCTO 01'!$F$10:$F$129)</f>
        <v>1879302.71</v>
      </c>
      <c r="G120" s="55" t="s">
        <v>59</v>
      </c>
      <c r="H120" s="36">
        <v>30</v>
      </c>
      <c r="I120" s="37">
        <v>0</v>
      </c>
      <c r="J120" s="37">
        <v>0</v>
      </c>
      <c r="K120" s="37">
        <v>0</v>
      </c>
      <c r="L120" s="37">
        <v>0</v>
      </c>
      <c r="M120" s="37">
        <v>0</v>
      </c>
      <c r="N120" s="37">
        <v>0.29441903057882651</v>
      </c>
      <c r="O120" s="37">
        <v>462.56899385714416</v>
      </c>
      <c r="P120" s="37">
        <v>2292.0320462328277</v>
      </c>
      <c r="Q120" s="37">
        <v>4820.4406301837034</v>
      </c>
      <c r="R120" s="37">
        <v>6954.8393505989352</v>
      </c>
      <c r="S120" s="37">
        <v>7953.5901971491858</v>
      </c>
      <c r="T120" s="37">
        <v>7870.4429907719223</v>
      </c>
      <c r="U120" s="37">
        <v>7828.1501651580393</v>
      </c>
      <c r="V120" s="37">
        <v>7347.4343453898737</v>
      </c>
      <c r="W120" s="37">
        <v>6555.8214291836939</v>
      </c>
      <c r="X120" s="37">
        <v>5690.2859762414992</v>
      </c>
      <c r="Y120" s="37">
        <v>3588.1739307845314</v>
      </c>
      <c r="Z120" s="37">
        <v>1279.3490526554222</v>
      </c>
      <c r="AA120" s="37">
        <v>0</v>
      </c>
      <c r="AB120" s="37">
        <v>0</v>
      </c>
      <c r="AC120" s="37">
        <v>0</v>
      </c>
      <c r="AD120" s="37">
        <v>0</v>
      </c>
      <c r="AE120" s="37">
        <v>0</v>
      </c>
      <c r="AF120" s="37">
        <v>0</v>
      </c>
      <c r="AG120" s="38">
        <f t="shared" ref="AG120" si="101">ROUND(SUM(I120:AF120)*H120,2)</f>
        <v>1879302.71</v>
      </c>
    </row>
    <row r="121" spans="5:33" ht="15" thickBot="1" x14ac:dyDescent="0.3">
      <c r="E121" s="56">
        <v>49430</v>
      </c>
      <c r="F121" s="55">
        <f>+_xlfn.XLOOKUP(E121,'PRODUCTO 01'!$C$10:$C$129,'PRODUCTO 01'!$F$10:$F$129)</f>
        <v>1965185.11</v>
      </c>
      <c r="G121" s="55" t="s">
        <v>59</v>
      </c>
      <c r="H121" s="36">
        <v>31</v>
      </c>
      <c r="I121" s="37">
        <v>0</v>
      </c>
      <c r="J121" s="37">
        <v>0</v>
      </c>
      <c r="K121" s="37">
        <v>0</v>
      </c>
      <c r="L121" s="37">
        <v>0</v>
      </c>
      <c r="M121" s="37">
        <v>0</v>
      </c>
      <c r="N121" s="37">
        <v>7.0823434722149843</v>
      </c>
      <c r="O121" s="37">
        <v>762.94840926793563</v>
      </c>
      <c r="P121" s="37">
        <v>2805.6645103390538</v>
      </c>
      <c r="Q121" s="37">
        <v>5054.3787932511659</v>
      </c>
      <c r="R121" s="37">
        <v>6902.0175001456955</v>
      </c>
      <c r="S121" s="37">
        <v>7777.3828348572761</v>
      </c>
      <c r="T121" s="37">
        <v>8238.812088990504</v>
      </c>
      <c r="U121" s="37">
        <v>7819.7904127052925</v>
      </c>
      <c r="V121" s="37">
        <v>7028.5908036585297</v>
      </c>
      <c r="W121" s="37">
        <v>6380.6310899491837</v>
      </c>
      <c r="X121" s="37">
        <v>5374.1995106009572</v>
      </c>
      <c r="Y121" s="37">
        <v>3677.0501112069705</v>
      </c>
      <c r="Z121" s="37">
        <v>1564.5195680254121</v>
      </c>
      <c r="AA121" s="37">
        <v>0</v>
      </c>
      <c r="AB121" s="37">
        <v>0</v>
      </c>
      <c r="AC121" s="37">
        <v>0</v>
      </c>
      <c r="AD121" s="37">
        <v>0</v>
      </c>
      <c r="AE121" s="37">
        <v>0</v>
      </c>
      <c r="AF121" s="37">
        <v>0</v>
      </c>
      <c r="AG121" s="38">
        <f t="shared" ref="AG121" si="102">ROUND(SUM(I121:AF121)*H121,2)</f>
        <v>1965185.11</v>
      </c>
    </row>
    <row r="122" spans="5:33" ht="15" thickBot="1" x14ac:dyDescent="0.3">
      <c r="E122" s="56">
        <v>49461</v>
      </c>
      <c r="F122" s="55">
        <f>+_xlfn.XLOOKUP(E122,'PRODUCTO 01'!$C$10:$C$129,'PRODUCTO 01'!$F$10:$F$129)</f>
        <v>1573928.81</v>
      </c>
      <c r="G122" s="55" t="s">
        <v>59</v>
      </c>
      <c r="H122" s="36">
        <v>30</v>
      </c>
      <c r="I122" s="37">
        <v>0</v>
      </c>
      <c r="J122" s="37">
        <v>0</v>
      </c>
      <c r="K122" s="37">
        <v>0</v>
      </c>
      <c r="L122" s="37">
        <v>0</v>
      </c>
      <c r="M122" s="37">
        <v>0</v>
      </c>
      <c r="N122" s="37">
        <v>1.6201291084894818</v>
      </c>
      <c r="O122" s="37">
        <v>607.32920680282677</v>
      </c>
      <c r="P122" s="37">
        <v>2209.2235750105829</v>
      </c>
      <c r="Q122" s="37">
        <v>3930.717323234102</v>
      </c>
      <c r="R122" s="37">
        <v>5437.3194394733709</v>
      </c>
      <c r="S122" s="37">
        <v>6467.679919466922</v>
      </c>
      <c r="T122" s="37">
        <v>6963.9699373134863</v>
      </c>
      <c r="U122" s="37">
        <v>7023.7418678849854</v>
      </c>
      <c r="V122" s="37">
        <v>6738.1531526011222</v>
      </c>
      <c r="W122" s="37">
        <v>5218.8194662766136</v>
      </c>
      <c r="X122" s="37">
        <v>3839.0421962250502</v>
      </c>
      <c r="Y122" s="37">
        <v>2794.191779450075</v>
      </c>
      <c r="Z122" s="37">
        <v>1232.4857340534616</v>
      </c>
      <c r="AA122" s="37">
        <v>0</v>
      </c>
      <c r="AB122" s="37">
        <v>0</v>
      </c>
      <c r="AC122" s="37">
        <v>0</v>
      </c>
      <c r="AD122" s="37">
        <v>0</v>
      </c>
      <c r="AE122" s="37">
        <v>0</v>
      </c>
      <c r="AF122" s="37">
        <v>0</v>
      </c>
      <c r="AG122" s="38">
        <f t="shared" ref="AG122" si="103">ROUND(SUM(I122:AF122)*H122,2)</f>
        <v>1573928.81</v>
      </c>
    </row>
    <row r="123" spans="5:33" ht="15" thickBot="1" x14ac:dyDescent="0.3">
      <c r="E123" s="56">
        <v>49491</v>
      </c>
      <c r="F123" s="55">
        <f>+_xlfn.XLOOKUP(E123,'PRODUCTO 01'!$C$10:$C$129,'PRODUCTO 01'!$F$10:$F$129)</f>
        <v>1836973.34</v>
      </c>
      <c r="G123" s="55" t="s">
        <v>59</v>
      </c>
      <c r="H123" s="36">
        <v>31</v>
      </c>
      <c r="I123" s="37">
        <v>0</v>
      </c>
      <c r="J123" s="37">
        <v>0</v>
      </c>
      <c r="K123" s="37">
        <v>0</v>
      </c>
      <c r="L123" s="37">
        <v>0</v>
      </c>
      <c r="M123" s="37">
        <v>0</v>
      </c>
      <c r="N123" s="37">
        <v>0</v>
      </c>
      <c r="O123" s="37">
        <v>614.01343441692381</v>
      </c>
      <c r="P123" s="37">
        <v>2593.6324254683213</v>
      </c>
      <c r="Q123" s="37">
        <v>4954.018592723568</v>
      </c>
      <c r="R123" s="37">
        <v>6563.593533174062</v>
      </c>
      <c r="S123" s="37">
        <v>7527.5982947237753</v>
      </c>
      <c r="T123" s="37">
        <v>7472.6429829115759</v>
      </c>
      <c r="U123" s="37">
        <v>7278.1273727274656</v>
      </c>
      <c r="V123" s="37">
        <v>6798.231328244131</v>
      </c>
      <c r="W123" s="37">
        <v>5922.5816676578115</v>
      </c>
      <c r="X123" s="37">
        <v>4636.2099129825092</v>
      </c>
      <c r="Y123" s="37">
        <v>3330.669592831196</v>
      </c>
      <c r="Z123" s="37">
        <v>1565.885395095228</v>
      </c>
      <c r="AA123" s="37">
        <v>0</v>
      </c>
      <c r="AB123" s="37">
        <v>0</v>
      </c>
      <c r="AC123" s="37">
        <v>0</v>
      </c>
      <c r="AD123" s="37">
        <v>0</v>
      </c>
      <c r="AE123" s="37">
        <v>0</v>
      </c>
      <c r="AF123" s="37">
        <v>0</v>
      </c>
      <c r="AG123" s="38">
        <f t="shared" ref="AG123" si="104">ROUND(SUM(I123:AF123)*H123,2)</f>
        <v>1836973.34</v>
      </c>
    </row>
    <row r="124" spans="5:33" ht="15" thickBot="1" x14ac:dyDescent="0.3">
      <c r="E124" s="56">
        <v>49522</v>
      </c>
      <c r="F124" s="55">
        <f>+_xlfn.XLOOKUP(E124,'PRODUCTO 01'!$C$10:$C$129,'PRODUCTO 01'!$F$10:$F$129)</f>
        <v>1661448.43</v>
      </c>
      <c r="G124" s="55" t="s">
        <v>59</v>
      </c>
      <c r="H124" s="36">
        <v>31</v>
      </c>
      <c r="I124" s="37">
        <v>0</v>
      </c>
      <c r="J124" s="37">
        <v>0</v>
      </c>
      <c r="K124" s="37">
        <v>0</v>
      </c>
      <c r="L124" s="37">
        <v>0</v>
      </c>
      <c r="M124" s="37">
        <v>0</v>
      </c>
      <c r="N124" s="37">
        <v>0</v>
      </c>
      <c r="O124" s="37">
        <v>339.74733871715296</v>
      </c>
      <c r="P124" s="37">
        <v>1997.9867970872008</v>
      </c>
      <c r="Q124" s="37">
        <v>3974.6622007800138</v>
      </c>
      <c r="R124" s="37">
        <v>5488.4916990191341</v>
      </c>
      <c r="S124" s="37">
        <v>6766.7921718399975</v>
      </c>
      <c r="T124" s="37">
        <v>7369.6682846961221</v>
      </c>
      <c r="U124" s="37">
        <v>6981.3738603581442</v>
      </c>
      <c r="V124" s="37">
        <v>6420.8405753305769</v>
      </c>
      <c r="W124" s="37">
        <v>5642.3339162336506</v>
      </c>
      <c r="X124" s="37">
        <v>4485.8610786453228</v>
      </c>
      <c r="Y124" s="37">
        <v>2847.2042612818632</v>
      </c>
      <c r="Z124" s="37">
        <v>1280.1485017529033</v>
      </c>
      <c r="AA124" s="37">
        <v>0</v>
      </c>
      <c r="AB124" s="37">
        <v>0</v>
      </c>
      <c r="AC124" s="37">
        <v>0</v>
      </c>
      <c r="AD124" s="37">
        <v>0</v>
      </c>
      <c r="AE124" s="37">
        <v>0</v>
      </c>
      <c r="AF124" s="37">
        <v>0</v>
      </c>
      <c r="AG124" s="38">
        <f t="shared" ref="AG124" si="105">ROUND(SUM(I124:AF124)*H124,2)</f>
        <v>1661448.43</v>
      </c>
    </row>
    <row r="125" spans="5:33" ht="15" thickBot="1" x14ac:dyDescent="0.3">
      <c r="E125" s="56">
        <v>49553</v>
      </c>
      <c r="F125" s="55">
        <f>+_xlfn.XLOOKUP(E125,'PRODUCTO 01'!$C$10:$C$129,'PRODUCTO 01'!$F$10:$F$129)</f>
        <v>1536151.01</v>
      </c>
      <c r="G125" s="55" t="s">
        <v>59</v>
      </c>
      <c r="H125" s="36">
        <v>30</v>
      </c>
      <c r="I125" s="37">
        <v>0</v>
      </c>
      <c r="J125" s="37">
        <v>0</v>
      </c>
      <c r="K125" s="37">
        <v>0</v>
      </c>
      <c r="L125" s="37">
        <v>0</v>
      </c>
      <c r="M125" s="37">
        <v>0</v>
      </c>
      <c r="N125" s="37">
        <v>0</v>
      </c>
      <c r="O125" s="37">
        <v>517.36742972435934</v>
      </c>
      <c r="P125" s="37">
        <v>2548.1022316093445</v>
      </c>
      <c r="Q125" s="37">
        <v>4747.1767347992572</v>
      </c>
      <c r="R125" s="37">
        <v>6158.2587595433697</v>
      </c>
      <c r="S125" s="37">
        <v>6858.1080398182767</v>
      </c>
      <c r="T125" s="37">
        <v>7229.0470800010889</v>
      </c>
      <c r="U125" s="37">
        <v>6906.833149170634</v>
      </c>
      <c r="V125" s="37">
        <v>5653.4142506280386</v>
      </c>
      <c r="W125" s="37">
        <v>4541.1048855772724</v>
      </c>
      <c r="X125" s="37">
        <v>3196.3142067390104</v>
      </c>
      <c r="Y125" s="37">
        <v>2024.0563569189937</v>
      </c>
      <c r="Z125" s="37">
        <v>825.25037925168158</v>
      </c>
      <c r="AA125" s="37">
        <v>0</v>
      </c>
      <c r="AB125" s="37">
        <v>0</v>
      </c>
      <c r="AC125" s="37">
        <v>0</v>
      </c>
      <c r="AD125" s="37">
        <v>0</v>
      </c>
      <c r="AE125" s="37">
        <v>0</v>
      </c>
      <c r="AF125" s="37">
        <v>0</v>
      </c>
      <c r="AG125" s="38">
        <f t="shared" ref="AG125" si="106">ROUND(SUM(I125:AF125)*H125,2)</f>
        <v>1536151.01</v>
      </c>
    </row>
    <row r="126" spans="5:33" ht="15" thickBot="1" x14ac:dyDescent="0.3">
      <c r="E126" s="56">
        <v>49583</v>
      </c>
      <c r="F126" s="55">
        <f>+_xlfn.XLOOKUP(E126,'PRODUCTO 01'!$C$10:$C$129,'PRODUCTO 01'!$F$10:$F$129)</f>
        <v>1735761.65</v>
      </c>
      <c r="G126" s="55" t="s">
        <v>59</v>
      </c>
      <c r="H126" s="36">
        <v>31</v>
      </c>
      <c r="I126" s="37">
        <v>0</v>
      </c>
      <c r="J126" s="37">
        <v>0</v>
      </c>
      <c r="K126" s="37">
        <v>0</v>
      </c>
      <c r="L126" s="37">
        <v>0</v>
      </c>
      <c r="M126" s="37">
        <v>0</v>
      </c>
      <c r="N126" s="37">
        <v>9.2770416306393183E-2</v>
      </c>
      <c r="O126" s="37">
        <v>593.31022770249535</v>
      </c>
      <c r="P126" s="37">
        <v>2709.6796436049112</v>
      </c>
      <c r="Q126" s="37">
        <v>5249.1150046384901</v>
      </c>
      <c r="R126" s="37">
        <v>6668.8101771970778</v>
      </c>
      <c r="S126" s="37">
        <v>7330.1138347368906</v>
      </c>
      <c r="T126" s="37">
        <v>7402.5928995332979</v>
      </c>
      <c r="U126" s="37">
        <v>7092.1751176431571</v>
      </c>
      <c r="V126" s="37">
        <v>6254.6884139396443</v>
      </c>
      <c r="W126" s="37">
        <v>5472.0476548849147</v>
      </c>
      <c r="X126" s="37">
        <v>4361.9060851606619</v>
      </c>
      <c r="Y126" s="37">
        <v>2293.4150259071193</v>
      </c>
      <c r="Z126" s="37">
        <v>564.36454790545054</v>
      </c>
      <c r="AA126" s="37">
        <v>0</v>
      </c>
      <c r="AB126" s="37">
        <v>0</v>
      </c>
      <c r="AC126" s="37">
        <v>0</v>
      </c>
      <c r="AD126" s="37">
        <v>0</v>
      </c>
      <c r="AE126" s="37">
        <v>0</v>
      </c>
      <c r="AF126" s="37">
        <v>0</v>
      </c>
      <c r="AG126" s="38">
        <f t="shared" ref="AG126" si="107">ROUND(SUM(I126:AF126)*H126,2)</f>
        <v>1735761.65</v>
      </c>
    </row>
    <row r="127" spans="5:33" ht="15" thickBot="1" x14ac:dyDescent="0.3">
      <c r="E127" s="56">
        <v>49614</v>
      </c>
      <c r="F127" s="55">
        <f>+_xlfn.XLOOKUP(E127,'PRODUCTO 01'!$C$10:$C$129,'PRODUCTO 01'!$F$10:$F$129)</f>
        <v>1793270.6</v>
      </c>
      <c r="G127" s="55" t="s">
        <v>59</v>
      </c>
      <c r="H127" s="36">
        <v>30</v>
      </c>
      <c r="I127" s="37">
        <v>0</v>
      </c>
      <c r="J127" s="37">
        <v>0</v>
      </c>
      <c r="K127" s="37">
        <v>0</v>
      </c>
      <c r="L127" s="37">
        <v>0</v>
      </c>
      <c r="M127" s="37">
        <v>0</v>
      </c>
      <c r="N127" s="37">
        <v>7.7100720996152406E-3</v>
      </c>
      <c r="O127" s="37">
        <v>535.70256299754794</v>
      </c>
      <c r="P127" s="37">
        <v>2900.9697154123564</v>
      </c>
      <c r="Q127" s="37">
        <v>5470.6447737452854</v>
      </c>
      <c r="R127" s="37">
        <v>6736.0967000311148</v>
      </c>
      <c r="S127" s="37">
        <v>7369.7279656496057</v>
      </c>
      <c r="T127" s="37">
        <v>7806.5971835259734</v>
      </c>
      <c r="U127" s="37">
        <v>7772.3664643531583</v>
      </c>
      <c r="V127" s="37">
        <v>7065.2041903806175</v>
      </c>
      <c r="W127" s="37">
        <v>6396.1335095514814</v>
      </c>
      <c r="X127" s="37">
        <v>4744.1157246839457</v>
      </c>
      <c r="Y127" s="37">
        <v>2472.7047381457496</v>
      </c>
      <c r="Z127" s="37">
        <v>505.41533053538848</v>
      </c>
      <c r="AA127" s="37">
        <v>0</v>
      </c>
      <c r="AB127" s="37">
        <v>0</v>
      </c>
      <c r="AC127" s="37">
        <v>0</v>
      </c>
      <c r="AD127" s="37">
        <v>0</v>
      </c>
      <c r="AE127" s="37">
        <v>0</v>
      </c>
      <c r="AF127" s="37">
        <v>0</v>
      </c>
      <c r="AG127" s="38">
        <f t="shared" ref="AG127" si="108">ROUND(SUM(I127:AF127)*H127,2)</f>
        <v>1793270.6</v>
      </c>
    </row>
    <row r="128" spans="5:33" ht="14.4" x14ac:dyDescent="0.25">
      <c r="E128" s="56">
        <v>49644</v>
      </c>
      <c r="F128" s="55">
        <f>+_xlfn.XLOOKUP(E128,'PRODUCTO 01'!$C$10:$C$129,'PRODUCTO 01'!$F$10:$F$129)</f>
        <v>1946413.63</v>
      </c>
      <c r="G128" s="55" t="s">
        <v>59</v>
      </c>
      <c r="H128" s="36">
        <v>31</v>
      </c>
      <c r="I128" s="37">
        <v>0</v>
      </c>
      <c r="J128" s="37">
        <v>0</v>
      </c>
      <c r="K128" s="37">
        <v>0</v>
      </c>
      <c r="L128" s="37">
        <v>0</v>
      </c>
      <c r="M128" s="37">
        <v>0</v>
      </c>
      <c r="N128" s="37">
        <v>2.6984318556506721E-3</v>
      </c>
      <c r="O128" s="37">
        <v>256.23877134506449</v>
      </c>
      <c r="P128" s="37">
        <v>2452.8575791766375</v>
      </c>
      <c r="Q128" s="37">
        <v>5126.5331236070242</v>
      </c>
      <c r="R128" s="37">
        <v>7196.3137552496337</v>
      </c>
      <c r="S128" s="37">
        <v>8403.4459758869689</v>
      </c>
      <c r="T128" s="37">
        <v>8674.8557819141352</v>
      </c>
      <c r="U128" s="37">
        <v>7997.2242761392845</v>
      </c>
      <c r="V128" s="37">
        <v>7679.3147765177173</v>
      </c>
      <c r="W128" s="37">
        <v>6680.3892212252922</v>
      </c>
      <c r="X128" s="37">
        <v>5118.5730059452953</v>
      </c>
      <c r="Y128" s="37">
        <v>2657.8910185734148</v>
      </c>
      <c r="Z128" s="37">
        <v>543.8963379908181</v>
      </c>
      <c r="AA128" s="37">
        <v>0</v>
      </c>
      <c r="AB128" s="37">
        <v>0</v>
      </c>
      <c r="AC128" s="37">
        <v>0</v>
      </c>
      <c r="AD128" s="37">
        <v>0</v>
      </c>
      <c r="AE128" s="37">
        <v>0</v>
      </c>
      <c r="AF128" s="37">
        <v>0</v>
      </c>
      <c r="AG128" s="38">
        <f t="shared" ref="AG128" si="109">ROUND(SUM(I128:AF128)*H128,2)</f>
        <v>1946413.63</v>
      </c>
    </row>
    <row r="131" spans="5:5" x14ac:dyDescent="0.25">
      <c r="E131" s="62" t="s">
        <v>60</v>
      </c>
    </row>
  </sheetData>
  <protectedRanges>
    <protectedRange algorithmName="SHA-512" hashValue="ddMXVrQS0fgB43c0atEM6OKu6oDWAMpeJLqJjfuwWmQe8OHAIs2JeDVHZWeRY9WToyZdUZnhWoqdJcb06CPmZw==" saltValue="nLR4AFgxssXjR1gopeih9Q==" spinCount="100000" sqref="AG10:AG20 AG22:AG32 AG34:AG44 AG46:AG56 AG58:AG68 AG70:AG80 AG82:AG92 AG94:AG104 AG106:AG116 AG118:AG129 E1:AG8 I9:AF128 E9:H129" name="Rango2_1"/>
    <protectedRange algorithmName="SHA-512" hashValue="ddMXVrQS0fgB43c0atEM6OKu6oDWAMpeJLqJjfuwWmQe8OHAIs2JeDVHZWeRY9WToyZdUZnhWoqdJcb06CPmZw==" saltValue="nLR4AFgxssXjR1gopeih9Q==" spinCount="100000" sqref="AG117 AG9 AG21 AG33 AG45 AG57 AG69 AG81 AG93 AG105" name="Rango2_1_2"/>
  </protectedRanges>
  <mergeCells count="5">
    <mergeCell ref="E1:AG1"/>
    <mergeCell ref="E2:AG2"/>
    <mergeCell ref="E3:AG3"/>
    <mergeCell ref="E4:AG4"/>
    <mergeCell ref="E5:AG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21"/>
  <dimension ref="A1:G38"/>
  <sheetViews>
    <sheetView workbookViewId="0">
      <selection activeCell="G36" sqref="G36"/>
    </sheetView>
  </sheetViews>
  <sheetFormatPr baseColWidth="10" defaultColWidth="11.44140625" defaultRowHeight="13.2" x14ac:dyDescent="0.25"/>
  <cols>
    <col min="1" max="1" width="6.44140625" style="1" customWidth="1"/>
    <col min="2" max="2" width="6" style="1" bestFit="1" customWidth="1"/>
    <col min="3" max="3" width="9.5546875" style="1" bestFit="1" customWidth="1"/>
    <col min="4" max="4" width="9.5546875" bestFit="1" customWidth="1"/>
  </cols>
  <sheetData>
    <row r="1" spans="1:7" x14ac:dyDescent="0.25">
      <c r="A1" s="67" t="s">
        <v>44</v>
      </c>
      <c r="B1" s="68"/>
      <c r="C1" s="68"/>
      <c r="D1" s="68"/>
    </row>
    <row r="2" spans="1:7" x14ac:dyDescent="0.25">
      <c r="A2" s="4" t="s">
        <v>45</v>
      </c>
      <c r="B2" s="4" t="s">
        <v>46</v>
      </c>
      <c r="C2" s="4">
        <v>2014</v>
      </c>
      <c r="D2" s="4">
        <v>2015</v>
      </c>
      <c r="E2" s="4">
        <v>2016</v>
      </c>
      <c r="F2" s="4">
        <v>2017</v>
      </c>
      <c r="G2" s="4">
        <v>2018</v>
      </c>
    </row>
    <row r="3" spans="1:7" x14ac:dyDescent="0.25">
      <c r="A3" s="4">
        <v>1</v>
      </c>
      <c r="B3" s="4" t="s">
        <v>47</v>
      </c>
      <c r="C3" s="3">
        <f>31-C4-C5</f>
        <v>21</v>
      </c>
      <c r="D3" s="3">
        <f>31-D4-D5</f>
        <v>20</v>
      </c>
      <c r="E3" s="3">
        <v>19</v>
      </c>
      <c r="F3" s="54">
        <v>21</v>
      </c>
      <c r="G3" s="54">
        <v>21</v>
      </c>
    </row>
    <row r="4" spans="1:7" x14ac:dyDescent="0.25">
      <c r="A4" s="4">
        <v>1</v>
      </c>
      <c r="B4" s="4" t="s">
        <v>48</v>
      </c>
      <c r="C4" s="3">
        <v>4</v>
      </c>
      <c r="D4" s="3">
        <v>5</v>
      </c>
      <c r="E4" s="3">
        <v>5</v>
      </c>
      <c r="F4" s="54">
        <v>4</v>
      </c>
      <c r="G4" s="54">
        <v>4</v>
      </c>
    </row>
    <row r="5" spans="1:7" x14ac:dyDescent="0.25">
      <c r="A5" s="4">
        <v>1</v>
      </c>
      <c r="B5" s="4" t="s">
        <v>49</v>
      </c>
      <c r="C5" s="3">
        <v>6</v>
      </c>
      <c r="D5" s="3">
        <v>6</v>
      </c>
      <c r="E5" s="3">
        <v>7</v>
      </c>
      <c r="F5" s="54">
        <v>6</v>
      </c>
      <c r="G5" s="54">
        <v>6</v>
      </c>
    </row>
    <row r="6" spans="1:7" x14ac:dyDescent="0.25">
      <c r="A6" s="4">
        <v>2</v>
      </c>
      <c r="B6" s="4" t="s">
        <v>47</v>
      </c>
      <c r="C6" s="3">
        <f>28-C7-C8</f>
        <v>20</v>
      </c>
      <c r="D6" s="3">
        <f>28-D7-D8</f>
        <v>20</v>
      </c>
      <c r="E6" s="3">
        <v>21</v>
      </c>
      <c r="F6" s="54">
        <v>20</v>
      </c>
      <c r="G6" s="54">
        <v>20</v>
      </c>
    </row>
    <row r="7" spans="1:7" x14ac:dyDescent="0.25">
      <c r="A7" s="4">
        <v>2</v>
      </c>
      <c r="B7" s="4" t="s">
        <v>48</v>
      </c>
      <c r="C7" s="3">
        <v>4</v>
      </c>
      <c r="D7" s="3">
        <v>4</v>
      </c>
      <c r="E7" s="3">
        <v>4</v>
      </c>
      <c r="F7" s="54">
        <v>4</v>
      </c>
      <c r="G7" s="54">
        <v>4</v>
      </c>
    </row>
    <row r="8" spans="1:7" x14ac:dyDescent="0.25">
      <c r="A8" s="4">
        <v>2</v>
      </c>
      <c r="B8" s="4" t="s">
        <v>49</v>
      </c>
      <c r="C8" s="3">
        <v>4</v>
      </c>
      <c r="D8" s="3">
        <v>4</v>
      </c>
      <c r="E8" s="3">
        <v>4</v>
      </c>
      <c r="F8" s="54">
        <v>4</v>
      </c>
      <c r="G8" s="54">
        <v>4</v>
      </c>
    </row>
    <row r="9" spans="1:7" x14ac:dyDescent="0.25">
      <c r="A9" s="4">
        <v>3</v>
      </c>
      <c r="B9" s="4" t="s">
        <v>47</v>
      </c>
      <c r="C9" s="3">
        <f>31-C10-C11</f>
        <v>20</v>
      </c>
      <c r="D9" s="3">
        <f>31-D10-D11</f>
        <v>21</v>
      </c>
      <c r="E9" s="3">
        <v>20</v>
      </c>
      <c r="F9" s="54">
        <v>22</v>
      </c>
      <c r="G9" s="54">
        <v>19</v>
      </c>
    </row>
    <row r="10" spans="1:7" x14ac:dyDescent="0.25">
      <c r="A10" s="4">
        <v>3</v>
      </c>
      <c r="B10" s="4" t="s">
        <v>48</v>
      </c>
      <c r="C10" s="3">
        <v>5</v>
      </c>
      <c r="D10" s="3">
        <v>4</v>
      </c>
      <c r="E10" s="3">
        <v>4</v>
      </c>
      <c r="F10" s="54">
        <v>4</v>
      </c>
      <c r="G10" s="54">
        <v>5</v>
      </c>
    </row>
    <row r="11" spans="1:7" x14ac:dyDescent="0.25">
      <c r="A11" s="4">
        <v>3</v>
      </c>
      <c r="B11" s="4" t="s">
        <v>49</v>
      </c>
      <c r="C11" s="3">
        <v>6</v>
      </c>
      <c r="D11" s="3">
        <v>6</v>
      </c>
      <c r="E11" s="3">
        <v>7</v>
      </c>
      <c r="F11" s="54">
        <v>5</v>
      </c>
      <c r="G11" s="54">
        <v>7</v>
      </c>
    </row>
    <row r="12" spans="1:7" x14ac:dyDescent="0.25">
      <c r="A12" s="4">
        <v>4</v>
      </c>
      <c r="B12" s="4" t="s">
        <v>47</v>
      </c>
      <c r="C12" s="3">
        <f>30-C13-C14</f>
        <v>20</v>
      </c>
      <c r="D12" s="3">
        <f>30-D13-D14</f>
        <v>20</v>
      </c>
      <c r="E12" s="3">
        <v>21</v>
      </c>
      <c r="F12" s="54">
        <v>18</v>
      </c>
      <c r="G12" s="54">
        <v>21</v>
      </c>
    </row>
    <row r="13" spans="1:7" x14ac:dyDescent="0.25">
      <c r="A13" s="4">
        <v>4</v>
      </c>
      <c r="B13" s="4" t="s">
        <v>48</v>
      </c>
      <c r="C13" s="3">
        <v>4</v>
      </c>
      <c r="D13" s="3">
        <v>4</v>
      </c>
      <c r="E13" s="3">
        <v>5</v>
      </c>
      <c r="F13" s="54">
        <v>5</v>
      </c>
      <c r="G13" s="54">
        <v>4</v>
      </c>
    </row>
    <row r="14" spans="1:7" x14ac:dyDescent="0.25">
      <c r="A14" s="4">
        <v>4</v>
      </c>
      <c r="B14" s="4" t="s">
        <v>49</v>
      </c>
      <c r="C14" s="3">
        <v>6</v>
      </c>
      <c r="D14" s="3">
        <v>6</v>
      </c>
      <c r="E14" s="3">
        <v>4</v>
      </c>
      <c r="F14" s="54">
        <v>7</v>
      </c>
      <c r="G14" s="54">
        <v>5</v>
      </c>
    </row>
    <row r="15" spans="1:7" x14ac:dyDescent="0.25">
      <c r="A15" s="4">
        <v>5</v>
      </c>
      <c r="B15" s="4" t="s">
        <v>47</v>
      </c>
      <c r="C15" s="3">
        <f>31-C16-C17</f>
        <v>21</v>
      </c>
      <c r="D15" s="3">
        <f>31-D16-D17</f>
        <v>19</v>
      </c>
      <c r="E15" s="3">
        <v>20</v>
      </c>
      <c r="F15" s="54">
        <v>21</v>
      </c>
      <c r="G15" s="54">
        <v>21</v>
      </c>
    </row>
    <row r="16" spans="1:7" x14ac:dyDescent="0.25">
      <c r="A16" s="4">
        <v>5</v>
      </c>
      <c r="B16" s="4" t="s">
        <v>48</v>
      </c>
      <c r="C16" s="3">
        <v>5</v>
      </c>
      <c r="D16" s="3">
        <v>5</v>
      </c>
      <c r="E16" s="3">
        <v>4</v>
      </c>
      <c r="F16" s="54">
        <v>4</v>
      </c>
      <c r="G16" s="54">
        <v>4</v>
      </c>
    </row>
    <row r="17" spans="1:7" x14ac:dyDescent="0.25">
      <c r="A17" s="4">
        <v>5</v>
      </c>
      <c r="B17" s="4" t="s">
        <v>49</v>
      </c>
      <c r="C17" s="3">
        <v>5</v>
      </c>
      <c r="D17" s="3">
        <v>7</v>
      </c>
      <c r="E17" s="3">
        <v>7</v>
      </c>
      <c r="F17" s="54">
        <v>6</v>
      </c>
      <c r="G17" s="54">
        <v>6</v>
      </c>
    </row>
    <row r="18" spans="1:7" x14ac:dyDescent="0.25">
      <c r="A18" s="4">
        <v>6</v>
      </c>
      <c r="B18" s="4" t="s">
        <v>47</v>
      </c>
      <c r="C18" s="3">
        <f>30-C19-C20</f>
        <v>18</v>
      </c>
      <c r="D18" s="3">
        <f>30-D19-D20</f>
        <v>19</v>
      </c>
      <c r="E18" s="3">
        <v>21</v>
      </c>
      <c r="F18" s="54">
        <v>20</v>
      </c>
      <c r="G18" s="54">
        <v>19</v>
      </c>
    </row>
    <row r="19" spans="1:7" x14ac:dyDescent="0.25">
      <c r="A19" s="4">
        <v>6</v>
      </c>
      <c r="B19" s="4" t="s">
        <v>48</v>
      </c>
      <c r="C19" s="3">
        <v>4</v>
      </c>
      <c r="D19" s="3">
        <v>4</v>
      </c>
      <c r="E19" s="3">
        <v>4</v>
      </c>
      <c r="F19" s="54">
        <v>4</v>
      </c>
      <c r="G19" s="54">
        <v>5</v>
      </c>
    </row>
    <row r="20" spans="1:7" x14ac:dyDescent="0.25">
      <c r="A20" s="4">
        <v>6</v>
      </c>
      <c r="B20" s="4" t="s">
        <v>49</v>
      </c>
      <c r="C20" s="3">
        <v>8</v>
      </c>
      <c r="D20" s="3">
        <v>7</v>
      </c>
      <c r="E20" s="3">
        <v>5</v>
      </c>
      <c r="F20" s="54">
        <v>6</v>
      </c>
      <c r="G20" s="54">
        <v>6</v>
      </c>
    </row>
    <row r="21" spans="1:7" x14ac:dyDescent="0.25">
      <c r="A21" s="4">
        <v>7</v>
      </c>
      <c r="B21" s="4" t="s">
        <v>47</v>
      </c>
      <c r="C21" s="3">
        <f>31-C22-C23</f>
        <v>23</v>
      </c>
      <c r="D21" s="3">
        <f>31-D22-D23</f>
        <v>22</v>
      </c>
      <c r="E21" s="3">
        <v>19</v>
      </c>
      <c r="F21" s="54">
        <v>19</v>
      </c>
      <c r="G21" s="54">
        <v>20</v>
      </c>
    </row>
    <row r="22" spans="1:7" x14ac:dyDescent="0.25">
      <c r="A22" s="4">
        <v>7</v>
      </c>
      <c r="B22" s="4" t="s">
        <v>48</v>
      </c>
      <c r="C22" s="3">
        <v>4</v>
      </c>
      <c r="D22" s="3">
        <v>4</v>
      </c>
      <c r="E22" s="3">
        <v>5</v>
      </c>
      <c r="F22" s="54">
        <v>5</v>
      </c>
      <c r="G22" s="54">
        <v>4</v>
      </c>
    </row>
    <row r="23" spans="1:7" x14ac:dyDescent="0.25">
      <c r="A23" s="4">
        <v>7</v>
      </c>
      <c r="B23" s="4" t="s">
        <v>49</v>
      </c>
      <c r="C23" s="3">
        <v>4</v>
      </c>
      <c r="D23" s="3">
        <v>5</v>
      </c>
      <c r="E23" s="3">
        <v>7</v>
      </c>
      <c r="F23" s="54">
        <v>7</v>
      </c>
      <c r="G23" s="54">
        <v>7</v>
      </c>
    </row>
    <row r="24" spans="1:7" x14ac:dyDescent="0.25">
      <c r="A24" s="4">
        <v>8</v>
      </c>
      <c r="B24" s="4" t="s">
        <v>47</v>
      </c>
      <c r="C24" s="3">
        <f>31-C25-C26</f>
        <v>19</v>
      </c>
      <c r="D24" s="3">
        <f>31-D25-D26</f>
        <v>19</v>
      </c>
      <c r="E24" s="3">
        <v>22</v>
      </c>
      <c r="F24" s="54">
        <v>21</v>
      </c>
      <c r="G24" s="54">
        <v>21</v>
      </c>
    </row>
    <row r="25" spans="1:7" x14ac:dyDescent="0.25">
      <c r="A25" s="4">
        <v>8</v>
      </c>
      <c r="B25" s="4" t="s">
        <v>48</v>
      </c>
      <c r="C25" s="3">
        <v>5</v>
      </c>
      <c r="D25" s="3">
        <v>5</v>
      </c>
      <c r="E25" s="3">
        <v>4</v>
      </c>
      <c r="F25" s="54">
        <v>4</v>
      </c>
      <c r="G25" s="54">
        <v>4</v>
      </c>
    </row>
    <row r="26" spans="1:7" x14ac:dyDescent="0.25">
      <c r="A26" s="4">
        <v>8</v>
      </c>
      <c r="B26" s="4" t="s">
        <v>49</v>
      </c>
      <c r="C26" s="3">
        <v>7</v>
      </c>
      <c r="D26" s="3">
        <v>7</v>
      </c>
      <c r="E26" s="3">
        <v>5</v>
      </c>
      <c r="F26" s="54">
        <v>6</v>
      </c>
      <c r="G26" s="54">
        <v>6</v>
      </c>
    </row>
    <row r="27" spans="1:7" x14ac:dyDescent="0.25">
      <c r="A27" s="4">
        <v>9</v>
      </c>
      <c r="B27" s="4" t="s">
        <v>47</v>
      </c>
      <c r="C27" s="3">
        <f>30-C28-C29</f>
        <v>22</v>
      </c>
      <c r="D27" s="3">
        <f>30-D28-D29</f>
        <v>22</v>
      </c>
      <c r="E27" s="3">
        <v>22</v>
      </c>
      <c r="F27" s="54">
        <v>21</v>
      </c>
      <c r="G27" s="54">
        <v>20</v>
      </c>
    </row>
    <row r="28" spans="1:7" x14ac:dyDescent="0.25">
      <c r="A28" s="4">
        <v>9</v>
      </c>
      <c r="B28" s="4" t="s">
        <v>48</v>
      </c>
      <c r="C28" s="3">
        <v>4</v>
      </c>
      <c r="D28" s="3">
        <v>4</v>
      </c>
      <c r="E28" s="3">
        <v>4</v>
      </c>
      <c r="F28" s="54">
        <v>5</v>
      </c>
      <c r="G28" s="54">
        <v>5</v>
      </c>
    </row>
    <row r="29" spans="1:7" x14ac:dyDescent="0.25">
      <c r="A29" s="4">
        <v>9</v>
      </c>
      <c r="B29" s="4" t="s">
        <v>49</v>
      </c>
      <c r="C29" s="3">
        <v>4</v>
      </c>
      <c r="D29" s="3">
        <v>4</v>
      </c>
      <c r="E29" s="3">
        <v>4</v>
      </c>
      <c r="F29" s="54">
        <v>4</v>
      </c>
      <c r="G29" s="54">
        <v>5</v>
      </c>
    </row>
    <row r="30" spans="1:7" x14ac:dyDescent="0.25">
      <c r="A30" s="4">
        <v>10</v>
      </c>
      <c r="B30" s="4" t="s">
        <v>47</v>
      </c>
      <c r="C30" s="3">
        <f>31-C31-C32</f>
        <v>22</v>
      </c>
      <c r="D30" s="3">
        <f>31-D31-D32</f>
        <v>21</v>
      </c>
      <c r="E30" s="3">
        <v>20</v>
      </c>
      <c r="F30" s="54">
        <v>21</v>
      </c>
      <c r="G30" s="54">
        <v>22</v>
      </c>
    </row>
    <row r="31" spans="1:7" x14ac:dyDescent="0.25">
      <c r="A31" s="4">
        <v>10</v>
      </c>
      <c r="B31" s="4" t="s">
        <v>48</v>
      </c>
      <c r="C31" s="3">
        <v>4</v>
      </c>
      <c r="D31" s="3">
        <v>5</v>
      </c>
      <c r="E31" s="3">
        <v>5</v>
      </c>
      <c r="F31" s="54">
        <v>4</v>
      </c>
      <c r="G31" s="54">
        <v>4</v>
      </c>
    </row>
    <row r="32" spans="1:7" x14ac:dyDescent="0.25">
      <c r="A32" s="4">
        <v>10</v>
      </c>
      <c r="B32" s="4" t="s">
        <v>49</v>
      </c>
      <c r="C32" s="3">
        <v>5</v>
      </c>
      <c r="D32" s="3">
        <v>5</v>
      </c>
      <c r="E32" s="3">
        <v>6</v>
      </c>
      <c r="F32" s="54">
        <v>6</v>
      </c>
      <c r="G32" s="54">
        <v>5</v>
      </c>
    </row>
    <row r="33" spans="1:7" x14ac:dyDescent="0.25">
      <c r="A33" s="4">
        <v>11</v>
      </c>
      <c r="B33" s="4" t="s">
        <v>47</v>
      </c>
      <c r="C33" s="3">
        <f>30-C34-C35</f>
        <v>18</v>
      </c>
      <c r="D33" s="3">
        <f>30-D34-D35</f>
        <v>19</v>
      </c>
      <c r="E33" s="3">
        <v>20</v>
      </c>
      <c r="F33" s="54">
        <v>20</v>
      </c>
      <c r="G33" s="54">
        <v>20</v>
      </c>
    </row>
    <row r="34" spans="1:7" x14ac:dyDescent="0.25">
      <c r="A34" s="4">
        <v>11</v>
      </c>
      <c r="B34" s="4" t="s">
        <v>48</v>
      </c>
      <c r="C34" s="3">
        <v>5</v>
      </c>
      <c r="D34" s="3">
        <v>4</v>
      </c>
      <c r="E34" s="3">
        <v>4</v>
      </c>
      <c r="F34" s="54">
        <v>4</v>
      </c>
      <c r="G34" s="54">
        <v>4</v>
      </c>
    </row>
    <row r="35" spans="1:7" x14ac:dyDescent="0.25">
      <c r="A35" s="4">
        <v>11</v>
      </c>
      <c r="B35" s="4" t="s">
        <v>49</v>
      </c>
      <c r="C35" s="3">
        <v>7</v>
      </c>
      <c r="D35" s="3">
        <v>7</v>
      </c>
      <c r="E35" s="3">
        <v>6</v>
      </c>
      <c r="F35" s="54">
        <v>6</v>
      </c>
      <c r="G35" s="54">
        <v>6</v>
      </c>
    </row>
    <row r="36" spans="1:7" x14ac:dyDescent="0.25">
      <c r="A36" s="4">
        <v>12</v>
      </c>
      <c r="B36" s="4" t="s">
        <v>47</v>
      </c>
      <c r="C36" s="3">
        <f>31-C37-C38</f>
        <v>21</v>
      </c>
      <c r="D36" s="3">
        <f>31-D37-D38</f>
        <v>21</v>
      </c>
      <c r="E36" s="3">
        <v>21</v>
      </c>
      <c r="F36" s="54">
        <v>19</v>
      </c>
      <c r="G36" s="54">
        <v>20</v>
      </c>
    </row>
    <row r="37" spans="1:7" x14ac:dyDescent="0.25">
      <c r="A37" s="4">
        <v>12</v>
      </c>
      <c r="B37" s="4" t="s">
        <v>48</v>
      </c>
      <c r="C37" s="3">
        <v>4</v>
      </c>
      <c r="D37" s="3">
        <v>4</v>
      </c>
      <c r="E37" s="3">
        <v>5</v>
      </c>
      <c r="F37" s="54">
        <v>5</v>
      </c>
      <c r="G37" s="54">
        <v>5</v>
      </c>
    </row>
    <row r="38" spans="1:7" x14ac:dyDescent="0.25">
      <c r="A38" s="4">
        <v>12</v>
      </c>
      <c r="B38" s="4" t="s">
        <v>49</v>
      </c>
      <c r="C38" s="3">
        <v>6</v>
      </c>
      <c r="D38" s="3">
        <v>6</v>
      </c>
      <c r="E38" s="3">
        <v>5</v>
      </c>
      <c r="F38" s="54">
        <v>7</v>
      </c>
      <c r="G38" s="54">
        <v>6</v>
      </c>
    </row>
  </sheetData>
  <mergeCells count="1">
    <mergeCell ref="A1:D1"/>
  </mergeCells>
  <phoneticPr fontId="3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22"/>
  <dimension ref="A2:Z8"/>
  <sheetViews>
    <sheetView workbookViewId="0">
      <selection activeCell="G18" sqref="G18"/>
    </sheetView>
  </sheetViews>
  <sheetFormatPr baseColWidth="10" defaultColWidth="11.44140625" defaultRowHeight="13.2" x14ac:dyDescent="0.25"/>
  <cols>
    <col min="1" max="1" width="8.44140625" bestFit="1" customWidth="1"/>
  </cols>
  <sheetData>
    <row r="2" spans="1:26" x14ac:dyDescent="0.25">
      <c r="A2" t="s">
        <v>50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  <c r="Y2" t="s">
        <v>43</v>
      </c>
    </row>
    <row r="3" spans="1:26" x14ac:dyDescent="0.25">
      <c r="A3" s="2" t="s">
        <v>51</v>
      </c>
      <c r="B3" s="5">
        <v>2.783452681817198E-2</v>
      </c>
      <c r="C3" s="5">
        <v>2.668252126108818E-2</v>
      </c>
      <c r="D3" s="5">
        <v>2.5923893384829134E-2</v>
      </c>
      <c r="E3" s="5">
        <v>2.5439158181316032E-2</v>
      </c>
      <c r="F3" s="5">
        <v>2.5556096856230455E-2</v>
      </c>
      <c r="G3" s="5">
        <v>2.7259444786907006E-2</v>
      </c>
      <c r="H3" s="5">
        <v>3.2350134566888754E-2</v>
      </c>
      <c r="I3" s="5">
        <v>4.045576103192499E-2</v>
      </c>
      <c r="J3" s="5">
        <v>4.7464292858427598E-2</v>
      </c>
      <c r="K3" s="5">
        <v>5.169277716438446E-2</v>
      </c>
      <c r="L3" s="5">
        <v>5.4607079437588628E-2</v>
      </c>
      <c r="M3" s="5">
        <v>5.4936429550185031E-2</v>
      </c>
      <c r="N3" s="5">
        <v>5.2911056418191681E-2</v>
      </c>
      <c r="O3" s="5">
        <v>5.4485015191331893E-2</v>
      </c>
      <c r="P3" s="5">
        <v>5.6958238973630178E-2</v>
      </c>
      <c r="Q3" s="5">
        <v>5.7105703269245391E-2</v>
      </c>
      <c r="R3" s="5">
        <v>5.4820803913341029E-2</v>
      </c>
      <c r="S3" s="5">
        <v>5.108054271396599E-2</v>
      </c>
      <c r="T3" s="5">
        <v>4.7845563950176334E-2</v>
      </c>
      <c r="U3" s="5">
        <v>4.457508769852557E-2</v>
      </c>
      <c r="V3" s="5">
        <v>4.0435267573066501E-2</v>
      </c>
      <c r="W3" s="5">
        <v>3.6298963462989185E-2</v>
      </c>
      <c r="X3" s="5">
        <v>3.2954022238606676E-2</v>
      </c>
      <c r="Y3" s="5">
        <v>3.032761869898741E-2</v>
      </c>
      <c r="Z3" s="6"/>
    </row>
    <row r="4" spans="1:26" x14ac:dyDescent="0.25">
      <c r="A4" s="2" t="s">
        <v>52</v>
      </c>
      <c r="B4" s="5">
        <v>3.1933620692589905E-2</v>
      </c>
      <c r="C4" s="5">
        <v>3.028507916146447E-2</v>
      </c>
      <c r="D4" s="5">
        <v>2.9353180394062206E-2</v>
      </c>
      <c r="E4" s="5">
        <v>2.8733579354856629E-2</v>
      </c>
      <c r="F4" s="5">
        <v>2.8654972019213198E-2</v>
      </c>
      <c r="G4" s="5">
        <v>2.9977252709770662E-2</v>
      </c>
      <c r="H4" s="5">
        <v>3.4030119073676562E-2</v>
      </c>
      <c r="I4" s="5">
        <v>4.0020468312107316E-2</v>
      </c>
      <c r="J4" s="5">
        <v>4.6345254196304329E-2</v>
      </c>
      <c r="K4" s="5">
        <v>5.1632170995532432E-2</v>
      </c>
      <c r="L4" s="5">
        <v>5.5400723466864081E-2</v>
      </c>
      <c r="M4" s="5">
        <v>5.5432950534748331E-2</v>
      </c>
      <c r="N4" s="5">
        <v>5.2958110753523802E-2</v>
      </c>
      <c r="O4" s="5">
        <v>5.1848023271953363E-2</v>
      </c>
      <c r="P4" s="5">
        <v>5.0438564407365091E-2</v>
      </c>
      <c r="Q4" s="5">
        <v>4.9277928088675836E-2</v>
      </c>
      <c r="R4" s="5">
        <v>4.7857003747290683E-2</v>
      </c>
      <c r="S4" s="5">
        <v>4.7139299793538647E-2</v>
      </c>
      <c r="T4" s="5">
        <v>4.6673457030399823E-2</v>
      </c>
      <c r="U4" s="5">
        <v>4.4979657301066199E-2</v>
      </c>
      <c r="V4" s="5">
        <v>4.2158325011537622E-2</v>
      </c>
      <c r="W4" s="5">
        <v>3.8032949074158828E-2</v>
      </c>
      <c r="X4" s="5">
        <v>3.4562919866015868E-2</v>
      </c>
      <c r="Y4" s="5">
        <v>3.2274390743284039E-2</v>
      </c>
      <c r="Z4" s="6"/>
    </row>
    <row r="5" spans="1:26" x14ac:dyDescent="0.25">
      <c r="A5" s="2" t="s">
        <v>53</v>
      </c>
      <c r="B5" s="5">
        <v>3.6926199666856431E-2</v>
      </c>
      <c r="C5" s="5">
        <v>3.5565247268949142E-2</v>
      </c>
      <c r="D5" s="5">
        <v>3.4193693308989387E-2</v>
      </c>
      <c r="E5" s="5">
        <v>3.3394424684678396E-2</v>
      </c>
      <c r="F5" s="5">
        <v>3.2854151350900668E-2</v>
      </c>
      <c r="G5" s="5">
        <v>3.2653618991756707E-2</v>
      </c>
      <c r="H5" s="5">
        <v>3.3632199282738529E-2</v>
      </c>
      <c r="I5" s="5">
        <v>3.6341608036133136E-2</v>
      </c>
      <c r="J5" s="5">
        <v>4.0377423292748481E-2</v>
      </c>
      <c r="K5" s="5">
        <v>4.3732240795238811E-2</v>
      </c>
      <c r="L5" s="5">
        <v>4.7238598159283107E-2</v>
      </c>
      <c r="M5" s="5">
        <v>4.9884901021565071E-2</v>
      </c>
      <c r="N5" s="5">
        <v>5.0097655159372999E-2</v>
      </c>
      <c r="O5" s="5">
        <v>4.9054338067127098E-2</v>
      </c>
      <c r="P5" s="5">
        <v>4.794935081160881E-2</v>
      </c>
      <c r="Q5" s="5">
        <v>4.7121268851251244E-2</v>
      </c>
      <c r="R5" s="5">
        <v>4.674481308955606E-2</v>
      </c>
      <c r="S5" s="5">
        <v>4.6327024665165285E-2</v>
      </c>
      <c r="T5" s="5">
        <v>4.7122858145358215E-2</v>
      </c>
      <c r="U5" s="5">
        <v>4.6196154090168702E-2</v>
      </c>
      <c r="V5" s="5">
        <v>4.4346623846216106E-2</v>
      </c>
      <c r="W5" s="5">
        <v>4.1928398559943049E-2</v>
      </c>
      <c r="X5" s="5">
        <v>3.9253216982729003E-2</v>
      </c>
      <c r="Y5" s="5">
        <v>3.7063991871665793E-2</v>
      </c>
      <c r="Z5" s="6"/>
    </row>
    <row r="6" spans="1:26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8" spans="1:26" x14ac:dyDescent="0.25">
      <c r="A8" s="7" t="s">
        <v>54</v>
      </c>
    </row>
  </sheetData>
  <phoneticPr fontId="3" type="noConversion"/>
  <pageMargins left="0.75" right="0.75" top="1" bottom="1" header="0" footer="0"/>
  <pageSetup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2acecb-3b57-4957-8fda-f6aa1cc77d9c">
      <Terms xmlns="http://schemas.microsoft.com/office/infopath/2007/PartnerControls"/>
    </lcf76f155ced4ddcb4097134ff3c332f>
    <TaxCatchAll xmlns="f3c667da-9417-4ddc-85c8-f81090c1504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F128B553CF4D45A32557018C565B05" ma:contentTypeVersion="12" ma:contentTypeDescription="Crear nuevo documento." ma:contentTypeScope="" ma:versionID="9f30e72a29f001e941a1c3ccb0b281d6">
  <xsd:schema xmlns:xsd="http://www.w3.org/2001/XMLSchema" xmlns:xs="http://www.w3.org/2001/XMLSchema" xmlns:p="http://schemas.microsoft.com/office/2006/metadata/properties" xmlns:ns2="392acecb-3b57-4957-8fda-f6aa1cc77d9c" xmlns:ns3="f3c667da-9417-4ddc-85c8-f81090c15048" targetNamespace="http://schemas.microsoft.com/office/2006/metadata/properties" ma:root="true" ma:fieldsID="b640d99ced99b780c2a5ce552686ecbe" ns2:_="" ns3:_="">
    <xsd:import namespace="392acecb-3b57-4957-8fda-f6aa1cc77d9c"/>
    <xsd:import namespace="f3c667da-9417-4ddc-85c8-f81090c150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acecb-3b57-4957-8fda-f6aa1cc77d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d9e25b11-b3c7-4f85-8ccd-351089f079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c667da-9417-4ddc-85c8-f81090c1504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6d04c72-668a-4dc8-8232-5e0773635f0f}" ma:internalName="TaxCatchAll" ma:showField="CatchAllData" ma:web="f3c667da-9417-4ddc-85c8-f81090c150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24D02478-90EC-468F-9F9C-14A89ABA6CD1}">
  <ds:schemaRefs>
    <ds:schemaRef ds:uri="http://schemas.microsoft.com/office/2006/metadata/properties"/>
    <ds:schemaRef ds:uri="http://schemas.microsoft.com/office/infopath/2007/PartnerControls"/>
    <ds:schemaRef ds:uri="392acecb-3b57-4957-8fda-f6aa1cc77d9c"/>
    <ds:schemaRef ds:uri="f3c667da-9417-4ddc-85c8-f81090c15048"/>
  </ds:schemaRefs>
</ds:datastoreItem>
</file>

<file path=customXml/itemProps2.xml><?xml version="1.0" encoding="utf-8"?>
<ds:datastoreItem xmlns:ds="http://schemas.openxmlformats.org/officeDocument/2006/customXml" ds:itemID="{6808B470-77AE-4F45-A3C5-2E42492EEC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70ECC4-AA86-4E17-A3E0-04C76E8065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2acecb-3b57-4957-8fda-f6aa1cc77d9c"/>
    <ds:schemaRef ds:uri="f3c667da-9417-4ddc-85c8-f81090c150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3285D7F-B4FB-4ADD-AC8D-74C77A1FF4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PRODUCTO 01</vt:lpstr>
      <vt:lpstr>Cantidades horarias PROD 01 </vt:lpstr>
      <vt:lpstr>calendario</vt:lpstr>
      <vt:lpstr>curvas típicas de referencia</vt:lpstr>
      <vt:lpstr>'PRODUCTO 01'!Área_de_impresión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Camilo Andres Ruiz Morales</dc:creator>
  <cp:keywords/>
  <dc:description/>
  <cp:lastModifiedBy>Marysol Reyes Tobar</cp:lastModifiedBy>
  <cp:revision/>
  <cp:lastPrinted>2025-10-06T14:28:57Z</cp:lastPrinted>
  <dcterms:created xsi:type="dcterms:W3CDTF">2008-04-02T00:00:31Z</dcterms:created>
  <dcterms:modified xsi:type="dcterms:W3CDTF">2025-10-21T12:50:05Z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0x010100EB222227814A704C8B1B1D6EF4F2AD12</vt:lpwstr>
  </property>
  <property fmtid="{D5CDD505-2E9C-101B-9397-08002B2CF9AE}" pid="3" name="MediaServiceImageTags">
    <vt:lpwstr/>
  </property>
</Properties>
</file>