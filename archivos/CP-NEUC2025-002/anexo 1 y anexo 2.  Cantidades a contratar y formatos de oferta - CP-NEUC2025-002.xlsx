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cocol.sharepoint.com/sites/migracionneuaerco/Shared Documents/NeuEnergy/13. Energy/Contratos/Mercado Regulado/Convocatorias neu/2025/Convocatoria CP_NEUC2025-002/Pliegos definitivos/"/>
    </mc:Choice>
  </mc:AlternateContent>
  <xr:revisionPtr revIDLastSave="400" documentId="13_ncr:1_{ECDEB5FE-68AD-4596-B548-E98D4CE60C3D}" xr6:coauthVersionLast="47" xr6:coauthVersionMax="47" xr10:uidLastSave="{1064CA47-044E-48F9-A532-1CA33A5EC1C8}"/>
  <bookViews>
    <workbookView xWindow="-110" yWindow="-110" windowWidth="19420" windowHeight="10300" tabRatio="743" xr2:uid="{49A9D400-13A0-4192-AD21-AB17CA2F2FC8}"/>
  </bookViews>
  <sheets>
    <sheet name="Cantidades producto 1" sheetId="15" r:id="rId1"/>
    <sheet name="Oferta producto 1" sheetId="24" r:id="rId2"/>
  </sheets>
  <definedNames>
    <definedName name="_xlnm._FilterDatabase" localSheetId="0" hidden="1">'Cantidades producto 1'!$A$5:$AB$5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5" l="1"/>
  <c r="AC27" i="15"/>
  <c r="AC26" i="15"/>
  <c r="AC25" i="15"/>
  <c r="AC24" i="15"/>
  <c r="AC23" i="15"/>
  <c r="AC22" i="15"/>
  <c r="AC21" i="15"/>
  <c r="AC20" i="15"/>
  <c r="AC19" i="15"/>
  <c r="AC18" i="15"/>
  <c r="AC17" i="15"/>
  <c r="AC8" i="15"/>
  <c r="AC9" i="15"/>
  <c r="AC10" i="15"/>
  <c r="AC11" i="15"/>
  <c r="AC12" i="15"/>
  <c r="AC13" i="15"/>
  <c r="AC14" i="15"/>
  <c r="AC15" i="15"/>
  <c r="AC16" i="15"/>
  <c r="AC29" i="15" l="1"/>
</calcChain>
</file>

<file path=xl/sharedStrings.xml><?xml version="1.0" encoding="utf-8"?>
<sst xmlns="http://schemas.openxmlformats.org/spreadsheetml/2006/main" count="107" uniqueCount="69">
  <si>
    <t>CANTIDADES PRODUCTO 1</t>
  </si>
  <si>
    <t>CURVA HORARIA TODOS LOS TIPOS DE DÍA</t>
  </si>
  <si>
    <t>CANTIDADES EXPRESADAS EN kWh</t>
  </si>
  <si>
    <t>AÑO</t>
  </si>
  <si>
    <t>MES</t>
  </si>
  <si>
    <t>OFERTA DE CANTIDADES Y PRECIOS PRODUCTO 1</t>
  </si>
  <si>
    <t>OFERTA COMO PORCENTAJE DE LA CURVA DE CARGA PRODUCTO 1</t>
  </si>
  <si>
    <t>Nota: 
El % ofrecido se distribuirá a prorrata de la curva de carga horaria, para todos los meses, según las cantidades indicadas en "Cantidades producto 1"</t>
  </si>
  <si>
    <t>OFERENTE:</t>
  </si>
  <si>
    <t>MODALIDAD:</t>
  </si>
  <si>
    <t>PAGUE  LO  CONTRATADO</t>
  </si>
  <si>
    <t>INDICAR SI PERMITIRÁ ADJUDICACIÓN PARCIAL: SI__  NO__</t>
  </si>
  <si>
    <t>CANTIDAD OFERTADA
% CURVA DE CARGA</t>
  </si>
  <si>
    <t>PRECIO OFERTADO ($/kWh)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</si>
  <si>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</si>
  <si>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</si>
  <si>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</si>
  <si>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</si>
  <si>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</si>
  <si>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</si>
  <si>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</si>
  <si>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</si>
  <si>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</si>
  <si>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</si>
  <si>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</si>
  <si>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</si>
  <si>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</si>
  <si>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TOTAL</t>
  </si>
  <si>
    <t>Cantidad 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</si>
  <si>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</si>
  <si>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</si>
  <si>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</si>
  <si>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</si>
  <si>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</si>
  <si>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</si>
  <si>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</si>
  <si>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</si>
  <si>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</si>
  <si>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</si>
  <si>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</si>
  <si>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</si>
  <si>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</si>
  <si>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</si>
  <si>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</si>
  <si>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</si>
  <si>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</si>
  <si>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</si>
  <si>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</si>
  <si>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</si>
  <si>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</si>
  <si>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</si>
  <si>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</si>
  <si>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</si>
  <si>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</t>
  </si>
  <si>
    <t>Tipo Día</t>
  </si>
  <si>
    <t>Total kWh-mes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</si>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</sst>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/>
    </xf>
    <xf numFmtId="0" fontId="4" fillId="3" borderId="0" xfId="2" applyFont="1" applyFill="1" applyAlignment="1">
      <alignment vertical="center"/>
    </xf>
    <xf numFmtId="17" fontId="0" fillId="0" borderId="0" xfId="0" applyNumberFormat="1"/>
    <xf numFmtId="164" fontId="0" fillId="0" borderId="0" xfId="1" applyFont="1"/>
    <xf numFmtId="14" fontId="1" fillId="4" borderId="12" xfId="0" applyNumberFormat="1" applyFont="1" applyFill="1" applyBorder="1" applyAlignment="1">
      <alignment horizontal="center" vertical="center" wrapText="1"/>
    </xf>
    <xf numFmtId="14" fontId="1" fillId="4" borderId="13" xfId="0" applyNumberFormat="1" applyFont="1" applyFill="1" applyBorder="1" applyAlignment="1">
      <alignment horizontal="center" vertical="center" wrapText="1"/>
    </xf>
    <xf numFmtId="164" fontId="0" fillId="0" borderId="0" xfId="1" applyFont="1" applyBorder="1" applyAlignment="1">
      <alignment horizontal="center"/>
    </xf>
    <xf numFmtId="164" fontId="6" fillId="5" borderId="6" xfId="1" applyFont="1" applyFill="1" applyBorder="1" applyAlignment="1">
      <alignment horizontal="center" vertical="center"/>
    </xf>
    <xf numFmtId="164" fontId="6" fillId="5" borderId="2" xfId="1" applyFont="1" applyFill="1" applyBorder="1" applyAlignment="1">
      <alignment horizontal="center" vertical="center"/>
    </xf>
    <xf numFmtId="164" fontId="6" fillId="5" borderId="9" xfId="1" applyFont="1" applyFill="1" applyBorder="1" applyAlignment="1">
      <alignment horizontal="center" vertical="center"/>
    </xf>
    <xf numFmtId="164" fontId="1" fillId="5" borderId="10" xfId="1" applyFont="1" applyFill="1" applyBorder="1" applyAlignment="1">
      <alignment horizontal="center"/>
    </xf>
    <xf numFmtId="164" fontId="1" fillId="5" borderId="11" xfId="1" applyFont="1" applyFill="1" applyBorder="1" applyAlignment="1">
      <alignment horizontal="center"/>
    </xf>
    <xf numFmtId="1" fontId="0" fillId="0" borderId="0" xfId="0" applyNumberFormat="1"/>
    <xf numFmtId="1" fontId="6" fillId="5" borderId="9" xfId="1" applyNumberFormat="1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/>
    </xf>
    <xf numFmtId="1" fontId="0" fillId="0" borderId="11" xfId="1" applyNumberFormat="1" applyFont="1" applyBorder="1" applyAlignment="1">
      <alignment horizontal="center"/>
    </xf>
    <xf numFmtId="14" fontId="1" fillId="2" borderId="14" xfId="0" applyNumberFormat="1" applyFont="1" applyFill="1" applyBorder="1" applyAlignment="1">
      <alignment vertical="center"/>
    </xf>
    <xf numFmtId="14" fontId="1" fillId="4" borderId="14" xfId="0" applyNumberFormat="1" applyFont="1" applyFill="1" applyBorder="1" applyAlignment="1">
      <alignment vertical="center"/>
    </xf>
    <xf numFmtId="14" fontId="1" fillId="4" borderId="15" xfId="0" applyNumberFormat="1" applyFont="1" applyFill="1" applyBorder="1" applyAlignment="1">
      <alignment vertical="center"/>
    </xf>
    <xf numFmtId="164" fontId="0" fillId="0" borderId="0" xfId="1" applyFont="1" applyAlignment="1">
      <alignment horizont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horizontal="center" vertical="center"/>
    </xf>
    <xf numFmtId="0" fontId="1" fillId="6" borderId="0" xfId="0" applyFont="1" applyFill="1"/>
    <xf numFmtId="164" fontId="1" fillId="6" borderId="0" xfId="0" applyNumberFormat="1" applyFont="1" applyFill="1"/>
    <xf numFmtId="14" fontId="1" fillId="2" borderId="16" xfId="0" applyNumberFormat="1" applyFont="1" applyFill="1" applyBorder="1" applyAlignment="1">
      <alignment vertical="center"/>
    </xf>
    <xf numFmtId="164" fontId="0" fillId="0" borderId="5" xfId="1" applyFont="1" applyBorder="1" applyAlignment="1">
      <alignment horizontal="center"/>
    </xf>
    <xf numFmtId="43" fontId="0" fillId="0" borderId="0" xfId="0" applyNumberFormat="1"/>
    <xf numFmtId="164" fontId="0" fillId="0" borderId="0" xfId="0" applyNumberFormat="1"/>
    <xf numFmtId="14" fontId="1" fillId="4" borderId="17" xfId="0" applyNumberFormat="1" applyFont="1" applyFill="1" applyBorder="1" applyAlignment="1">
      <alignment horizontal="center" vertical="center" wrapText="1"/>
    </xf>
    <xf numFmtId="164" fontId="1" fillId="4" borderId="18" xfId="1" applyFont="1" applyFill="1" applyBorder="1" applyAlignment="1">
      <alignment vertical="center"/>
    </xf>
    <xf numFmtId="164" fontId="1" fillId="4" borderId="19" xfId="1" applyFont="1" applyFill="1" applyBorder="1" applyAlignment="1">
      <alignment vertical="center"/>
    </xf>
    <xf numFmtId="0" fontId="0" fillId="0" borderId="7" xfId="1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left" vertical="center" wrapText="1"/>
    </xf>
    <xf numFmtId="9" fontId="1" fillId="2" borderId="6" xfId="3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8" xfId="3" applyNumberFormat="1" applyFont="1" applyFill="1" applyBorder="1" applyAlignment="1">
      <alignment horizontal="center" vertical="center"/>
    </xf>
  </cellXfs>
  <cellStyles count="6">
    <cellStyle name="Millares" xfId="1" builtinId="3"/>
    <cellStyle name="Millares 2" xfId="4" xr:uid="{6813DCC1-D8F2-41B0-BFCC-03B435647573}"/>
    <cellStyle name="Millares 3" xfId="5" xr:uid="{819F5A31-A9F9-4C79-B123-11DF30049A31}"/>
    <cellStyle name="Normal" xfId="0" builtinId="0"/>
    <cellStyle name="Normal_GC00-001" xfId="2" xr:uid="{1C80BBF4-9491-43BE-9F3C-2090359F4A87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843D-A075-436B-B413-1561E742A5DD}">
  <dimension ref="A1:AE59"/>
  <sheetViews>
    <sheetView tabSelected="1" zoomScale="70" zoomScaleNormal="70" workbookViewId="0">
      <selection activeCell="G30" sqref="G30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  <col min="31" max="31" width="13.81640625" bestFit="1" customWidth="1"/>
  </cols>
  <sheetData>
    <row r="1" spans="1:31" x14ac:dyDescent="0.35">
      <c r="A1" s="1" t="s">
        <v>0</v>
      </c>
      <c r="B1" s="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1"/>
    </row>
    <row r="2" spans="1:31" x14ac:dyDescent="0.35">
      <c r="A2" t="s">
        <v>1</v>
      </c>
      <c r="B2" s="4"/>
      <c r="D2" s="1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1"/>
    </row>
    <row r="3" spans="1:31" x14ac:dyDescent="0.35">
      <c r="A3" t="s">
        <v>2</v>
      </c>
      <c r="B3" s="4"/>
      <c r="D3" s="1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1"/>
    </row>
    <row r="4" spans="1:31" x14ac:dyDescent="0.35">
      <c r="D4" s="14"/>
      <c r="AC4" s="21"/>
    </row>
    <row r="5" spans="1:31" x14ac:dyDescent="0.35">
      <c r="D5" s="14"/>
      <c r="AC5" s="21"/>
    </row>
    <row r="6" spans="1:31" ht="15" thickBot="1" x14ac:dyDescent="0.4">
      <c r="D6" s="14"/>
      <c r="AC6" s="21"/>
    </row>
    <row r="7" spans="1:31" ht="29.5" customHeight="1" x14ac:dyDescent="0.35">
      <c r="A7" s="9" t="s">
        <v>53</v>
      </c>
      <c r="B7" s="10" t="s">
        <v>26</v>
      </c>
      <c r="C7" s="10" t="s">
        <v>54</v>
      </c>
      <c r="D7" s="15" t="s">
        <v>28</v>
      </c>
      <c r="E7" s="10" t="s">
        <v>29</v>
      </c>
      <c r="F7" s="10" t="s">
        <v>30</v>
      </c>
      <c r="G7" s="10" t="s">
        <v>31</v>
      </c>
      <c r="H7" s="10" t="s">
        <v>32</v>
      </c>
      <c r="I7" s="10" t="s">
        <v>33</v>
      </c>
      <c r="J7" s="10" t="s">
        <v>34</v>
      </c>
      <c r="K7" s="10" t="s">
        <v>35</v>
      </c>
      <c r="L7" s="10" t="s">
        <v>36</v>
      </c>
      <c r="M7" s="10" t="s">
        <v>37</v>
      </c>
      <c r="N7" s="10" t="s">
        <v>38</v>
      </c>
      <c r="O7" s="10" t="s">
        <v>39</v>
      </c>
      <c r="P7" s="10" t="s">
        <v>40</v>
      </c>
      <c r="Q7" s="10" t="s">
        <v>41</v>
      </c>
      <c r="R7" s="10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0" t="s">
        <v>47</v>
      </c>
      <c r="X7" s="10" t="s">
        <v>48</v>
      </c>
      <c r="Y7" s="10" t="s">
        <v>49</v>
      </c>
      <c r="Z7" s="10" t="s">
        <v>50</v>
      </c>
      <c r="AA7" s="10" t="s">
        <v>51</v>
      </c>
      <c r="AB7" s="10" t="s">
        <v>52</v>
      </c>
      <c r="AC7" s="11" t="s">
        <v>55</v>
      </c>
    </row>
    <row r="8" spans="1:31" x14ac:dyDescent="0.35">
      <c r="A8" s="35">
        <v>2025</v>
      </c>
      <c r="B8" s="23" t="s">
        <v>59</v>
      </c>
      <c r="C8" s="22" t="s">
        <v>68</v>
      </c>
      <c r="D8" s="16">
        <v>27</v>
      </c>
      <c r="E8" s="8">
        <v>12225.158600967148</v>
      </c>
      <c r="F8" s="8">
        <v>11212.750285953789</v>
      </c>
      <c r="G8" s="8">
        <v>10358.574518077578</v>
      </c>
      <c r="H8" s="8">
        <v>9689.1288617223618</v>
      </c>
      <c r="I8" s="8">
        <v>9468.4347339334799</v>
      </c>
      <c r="J8" s="8">
        <v>9456.1957104811117</v>
      </c>
      <c r="K8" s="8">
        <v>8217.783677442123</v>
      </c>
      <c r="L8" s="8">
        <v>4925.5564597203529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5975.4102072470469</v>
      </c>
      <c r="U8" s="8">
        <v>17203.289823466544</v>
      </c>
      <c r="V8" s="8">
        <v>25826.558400949791</v>
      </c>
      <c r="W8" s="8">
        <v>27491.797333457467</v>
      </c>
      <c r="X8" s="8">
        <v>26287.011406070211</v>
      </c>
      <c r="Y8" s="8">
        <v>24027.180389554367</v>
      </c>
      <c r="Z8" s="8">
        <v>20125.079927341205</v>
      </c>
      <c r="AA8" s="8">
        <v>16466.437168108216</v>
      </c>
      <c r="AB8" s="8">
        <v>13752.556495507702</v>
      </c>
      <c r="AC8" s="12">
        <f t="shared" ref="AC8:AC16" si="0">SUM(E8:AB8)*D8</f>
        <v>6823140.4080000129</v>
      </c>
    </row>
    <row r="9" spans="1:31" x14ac:dyDescent="0.35">
      <c r="A9" s="35"/>
      <c r="B9" s="23" t="s">
        <v>60</v>
      </c>
      <c r="C9" s="22" t="s">
        <v>68</v>
      </c>
      <c r="D9" s="16">
        <v>31</v>
      </c>
      <c r="E9" s="8">
        <v>11775.053834847744</v>
      </c>
      <c r="F9" s="8">
        <v>10655.50722894608</v>
      </c>
      <c r="G9" s="8">
        <v>9776.8735472069457</v>
      </c>
      <c r="H9" s="8">
        <v>9034.3292075088248</v>
      </c>
      <c r="I9" s="8">
        <v>8764.0118553152024</v>
      </c>
      <c r="J9" s="8">
        <v>8763.7310164999544</v>
      </c>
      <c r="K9" s="8">
        <v>7568.3288234326219</v>
      </c>
      <c r="L9" s="8">
        <v>4600.6577365586782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6465.8408819579481</v>
      </c>
      <c r="U9" s="8">
        <v>17665.614141772232</v>
      </c>
      <c r="V9" s="8">
        <v>26126.226709758157</v>
      </c>
      <c r="W9" s="8">
        <v>27630.821125426126</v>
      </c>
      <c r="X9" s="8">
        <v>26365.95207130774</v>
      </c>
      <c r="Y9" s="8">
        <v>23938.884160551352</v>
      </c>
      <c r="Z9" s="8">
        <v>19948.741554205855</v>
      </c>
      <c r="AA9" s="8">
        <v>16192.203024042545</v>
      </c>
      <c r="AB9" s="8">
        <v>13377.782435501013</v>
      </c>
      <c r="AC9" s="12">
        <f t="shared" si="0"/>
        <v>7708167.3400000101</v>
      </c>
    </row>
    <row r="10" spans="1:31" x14ac:dyDescent="0.35">
      <c r="A10" s="35"/>
      <c r="B10" s="23" t="s">
        <v>61</v>
      </c>
      <c r="C10" s="22" t="s">
        <v>68</v>
      </c>
      <c r="D10" s="16">
        <v>30</v>
      </c>
      <c r="E10" s="8">
        <v>11606.061063692987</v>
      </c>
      <c r="F10" s="8">
        <v>10722.253407348289</v>
      </c>
      <c r="G10" s="8">
        <v>9915.9393638593574</v>
      </c>
      <c r="H10" s="8">
        <v>9328.8652162767485</v>
      </c>
      <c r="I10" s="8">
        <v>9150.8111149365395</v>
      </c>
      <c r="J10" s="8">
        <v>8796.6759668060859</v>
      </c>
      <c r="K10" s="8">
        <v>6971.7466286366725</v>
      </c>
      <c r="L10" s="8">
        <v>3140.0302271214091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5093.1815285062148</v>
      </c>
      <c r="U10" s="8">
        <v>16354.861525230903</v>
      </c>
      <c r="V10" s="8">
        <v>24306.698216638219</v>
      </c>
      <c r="W10" s="8">
        <v>25868.720653803342</v>
      </c>
      <c r="X10" s="8">
        <v>24755.625429451622</v>
      </c>
      <c r="Y10" s="8">
        <v>22712.675734869204</v>
      </c>
      <c r="Z10" s="8">
        <v>19002.183272116996</v>
      </c>
      <c r="AA10" s="8">
        <v>15541.475382944105</v>
      </c>
      <c r="AB10" s="8">
        <v>13001.964601095167</v>
      </c>
      <c r="AC10" s="12">
        <f t="shared" si="0"/>
        <v>7088093.080000015</v>
      </c>
    </row>
    <row r="11" spans="1:31" x14ac:dyDescent="0.35">
      <c r="A11" s="35"/>
      <c r="B11" s="23" t="s">
        <v>62</v>
      </c>
      <c r="C11" s="22" t="s">
        <v>68</v>
      </c>
      <c r="D11" s="16">
        <v>31</v>
      </c>
      <c r="E11" s="8">
        <v>6360.668700667492</v>
      </c>
      <c r="F11" s="8">
        <v>5872.1008180301342</v>
      </c>
      <c r="G11" s="8">
        <v>5421.6888224431286</v>
      </c>
      <c r="H11" s="8">
        <v>5092.2011370778919</v>
      </c>
      <c r="I11" s="8">
        <v>4997.5637828219633</v>
      </c>
      <c r="J11" s="8">
        <v>4787.7175177619947</v>
      </c>
      <c r="K11" s="8">
        <v>3791.4071264074878</v>
      </c>
      <c r="L11" s="8">
        <v>1686.9095084739861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2738.531256163169</v>
      </c>
      <c r="U11" s="8">
        <v>9078.9736915692811</v>
      </c>
      <c r="V11" s="8">
        <v>13540.325730175202</v>
      </c>
      <c r="W11" s="8">
        <v>14415.466180501644</v>
      </c>
      <c r="X11" s="8">
        <v>13790.05994208091</v>
      </c>
      <c r="Y11" s="8">
        <v>12654.559145768932</v>
      </c>
      <c r="Z11" s="8">
        <v>10560.824205628373</v>
      </c>
      <c r="AA11" s="8">
        <v>8599.7918473422014</v>
      </c>
      <c r="AB11" s="8">
        <v>7161.703790904854</v>
      </c>
      <c r="AC11" s="12">
        <f t="shared" si="0"/>
        <v>4047065.2893183781</v>
      </c>
    </row>
    <row r="12" spans="1:31" x14ac:dyDescent="0.35">
      <c r="A12" s="35"/>
      <c r="B12" s="23" t="s">
        <v>63</v>
      </c>
      <c r="C12" s="22" t="s">
        <v>68</v>
      </c>
      <c r="D12" s="16">
        <v>31</v>
      </c>
      <c r="E12" s="8">
        <v>8185.6037429963826</v>
      </c>
      <c r="F12" s="8">
        <v>7463.0145002113777</v>
      </c>
      <c r="G12" s="8">
        <v>6803.2793219351051</v>
      </c>
      <c r="H12" s="8">
        <v>6319.413951467378</v>
      </c>
      <c r="I12" s="8">
        <v>6171.0400856774859</v>
      </c>
      <c r="J12" s="8">
        <v>5896.122446189861</v>
      </c>
      <c r="K12" s="8">
        <v>4528.7135374548561</v>
      </c>
      <c r="L12" s="8">
        <v>1681.4129723152807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3596.1836927151585</v>
      </c>
      <c r="U12" s="8">
        <v>12452.884999263037</v>
      </c>
      <c r="V12" s="8">
        <v>18706.077517523245</v>
      </c>
      <c r="W12" s="8">
        <v>19889.753178993407</v>
      </c>
      <c r="X12" s="8">
        <v>18977.40670446791</v>
      </c>
      <c r="Y12" s="8">
        <v>17304.5611465492</v>
      </c>
      <c r="Z12" s="8">
        <v>14258.575737831654</v>
      </c>
      <c r="AA12" s="8">
        <v>11415.701239330243</v>
      </c>
      <c r="AB12" s="8">
        <v>9330.1497192190855</v>
      </c>
      <c r="AC12" s="12">
        <f t="shared" si="0"/>
        <v>5362376.7293183599</v>
      </c>
    </row>
    <row r="13" spans="1:31" x14ac:dyDescent="0.35">
      <c r="A13" s="35"/>
      <c r="B13" s="23" t="s">
        <v>64</v>
      </c>
      <c r="C13" s="22" t="s">
        <v>68</v>
      </c>
      <c r="D13" s="16">
        <v>30</v>
      </c>
      <c r="E13" s="8">
        <v>7454.276906079187</v>
      </c>
      <c r="F13" s="8">
        <v>6672.5281607538309</v>
      </c>
      <c r="G13" s="8">
        <v>5954.5457187605853</v>
      </c>
      <c r="H13" s="8">
        <v>5427.528764743618</v>
      </c>
      <c r="I13" s="8">
        <v>5274.7209292165371</v>
      </c>
      <c r="J13" s="8">
        <v>5008.3769630903525</v>
      </c>
      <c r="K13" s="8">
        <v>3627.6142057369993</v>
      </c>
      <c r="L13" s="8">
        <v>774.64681661795248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3127.1905662199638</v>
      </c>
      <c r="U13" s="8">
        <v>12511.619584137561</v>
      </c>
      <c r="V13" s="8">
        <v>19117.107265673058</v>
      </c>
      <c r="W13" s="8">
        <v>20294.785110466142</v>
      </c>
      <c r="X13" s="8">
        <v>19295.69196917407</v>
      </c>
      <c r="Y13" s="8">
        <v>17481.760547841088</v>
      </c>
      <c r="Z13" s="8">
        <v>14146.295172935463</v>
      </c>
      <c r="AA13" s="8">
        <v>11022.337210515479</v>
      </c>
      <c r="AB13" s="8">
        <v>8730.4861080386072</v>
      </c>
      <c r="AC13" s="12">
        <f t="shared" si="0"/>
        <v>4977645.3600000152</v>
      </c>
    </row>
    <row r="14" spans="1:31" x14ac:dyDescent="0.35">
      <c r="A14" s="35"/>
      <c r="B14" s="23" t="s">
        <v>65</v>
      </c>
      <c r="C14" s="22" t="s">
        <v>68</v>
      </c>
      <c r="D14" s="16">
        <v>31</v>
      </c>
      <c r="E14" s="8">
        <v>7116.0069982065424</v>
      </c>
      <c r="F14" s="8">
        <v>6497.8813633817817</v>
      </c>
      <c r="G14" s="8">
        <v>5836.7547818573812</v>
      </c>
      <c r="H14" s="8">
        <v>5411.9653980233497</v>
      </c>
      <c r="I14" s="8">
        <v>5315.5126876256791</v>
      </c>
      <c r="J14" s="8">
        <v>5018.3081863807547</v>
      </c>
      <c r="K14" s="8">
        <v>3601.2887594772192</v>
      </c>
      <c r="L14" s="8">
        <v>659.02282869494991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2468.8314293682097</v>
      </c>
      <c r="U14" s="8">
        <v>11348.791519500761</v>
      </c>
      <c r="V14" s="8">
        <v>17563.520674803145</v>
      </c>
      <c r="W14" s="8">
        <v>18787.364478684809</v>
      </c>
      <c r="X14" s="8">
        <v>17900.229313218639</v>
      </c>
      <c r="Y14" s="8">
        <v>16357.131957088699</v>
      </c>
      <c r="Z14" s="8">
        <v>13235.737327863162</v>
      </c>
      <c r="AA14" s="8">
        <v>10332.433203811528</v>
      </c>
      <c r="AB14" s="8">
        <v>8240.7839307234863</v>
      </c>
      <c r="AC14" s="12">
        <f t="shared" si="0"/>
        <v>4826438.5100000128</v>
      </c>
    </row>
    <row r="15" spans="1:31" x14ac:dyDescent="0.35">
      <c r="A15" s="35"/>
      <c r="B15" s="23" t="s">
        <v>66</v>
      </c>
      <c r="C15" s="22" t="s">
        <v>68</v>
      </c>
      <c r="D15" s="16">
        <v>30</v>
      </c>
      <c r="E15" s="8">
        <v>9165.3979558593364</v>
      </c>
      <c r="F15" s="8">
        <v>8440.5723248392787</v>
      </c>
      <c r="G15" s="8">
        <v>7665.3229828937492</v>
      </c>
      <c r="H15" s="8">
        <v>7167.2070403711368</v>
      </c>
      <c r="I15" s="8">
        <v>7054.1047958777399</v>
      </c>
      <c r="J15" s="8">
        <v>6750.5717613677616</v>
      </c>
      <c r="K15" s="8">
        <v>5300.7585822006122</v>
      </c>
      <c r="L15" s="8">
        <v>2194.8531359436288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4597.8682715993991</v>
      </c>
      <c r="U15" s="8">
        <v>14569.604864189732</v>
      </c>
      <c r="V15" s="8">
        <v>21502.164037758037</v>
      </c>
      <c r="W15" s="8">
        <v>22852.526640906533</v>
      </c>
      <c r="X15" s="8">
        <v>21811.17824787756</v>
      </c>
      <c r="Y15" s="8">
        <v>20001.713184163902</v>
      </c>
      <c r="Z15" s="8">
        <v>16341.507710834134</v>
      </c>
      <c r="AA15" s="8">
        <v>12937.039225466335</v>
      </c>
      <c r="AB15" s="8">
        <v>10484.332334142373</v>
      </c>
      <c r="AC15" s="12">
        <f t="shared" si="0"/>
        <v>5965101.6928887386</v>
      </c>
    </row>
    <row r="16" spans="1:31" ht="15" thickBot="1" x14ac:dyDescent="0.4">
      <c r="A16" s="36"/>
      <c r="B16" s="24" t="s">
        <v>67</v>
      </c>
      <c r="C16" s="25" t="s">
        <v>68</v>
      </c>
      <c r="D16" s="17">
        <v>31</v>
      </c>
      <c r="E16" s="29">
        <v>4653.4266619638784</v>
      </c>
      <c r="F16" s="29">
        <v>4360.3718932512238</v>
      </c>
      <c r="G16" s="29">
        <v>4046.9302779502377</v>
      </c>
      <c r="H16" s="29">
        <v>3845.5366653614856</v>
      </c>
      <c r="I16" s="29">
        <v>3799.8082160870736</v>
      </c>
      <c r="J16" s="29">
        <v>3675.6140362603396</v>
      </c>
      <c r="K16" s="29">
        <v>3575.0910165307259</v>
      </c>
      <c r="L16" s="29">
        <v>3786.4901595510905</v>
      </c>
      <c r="M16" s="29">
        <v>3273.4290250596337</v>
      </c>
      <c r="N16" s="29">
        <v>2893.2220306947293</v>
      </c>
      <c r="O16" s="29">
        <v>2264.5139352150368</v>
      </c>
      <c r="P16" s="29">
        <v>2381.3628240589433</v>
      </c>
      <c r="Q16" s="29">
        <v>2744.8029946452398</v>
      </c>
      <c r="R16" s="29">
        <v>3846.9696726982384</v>
      </c>
      <c r="S16" s="29">
        <v>5080.6174768314331</v>
      </c>
      <c r="T16" s="29">
        <v>7314.5742113220531</v>
      </c>
      <c r="U16" s="29">
        <v>9357.4617314807074</v>
      </c>
      <c r="V16" s="29">
        <v>10273.103118308973</v>
      </c>
      <c r="W16" s="29">
        <v>10187.24180394812</v>
      </c>
      <c r="X16" s="29">
        <v>9766.248759311924</v>
      </c>
      <c r="Y16" s="29">
        <v>9034.6650136748776</v>
      </c>
      <c r="Z16" s="29">
        <v>7554.8047238036415</v>
      </c>
      <c r="AA16" s="29">
        <v>6178.3416382406913</v>
      </c>
      <c r="AB16" s="29">
        <v>5186.6859627297026</v>
      </c>
      <c r="AC16" s="13">
        <f t="shared" si="0"/>
        <v>4001520.7293183799</v>
      </c>
      <c r="AE16" s="31"/>
    </row>
    <row r="17" spans="1:31" x14ac:dyDescent="0.35">
      <c r="A17" s="35">
        <v>2026</v>
      </c>
      <c r="B17" s="23" t="s">
        <v>56</v>
      </c>
      <c r="C17" s="22" t="s">
        <v>68</v>
      </c>
      <c r="D17" s="16">
        <v>31</v>
      </c>
      <c r="E17" s="8">
        <v>5476.9206339122802</v>
      </c>
      <c r="F17" s="8">
        <v>4864.7850481825617</v>
      </c>
      <c r="G17" s="8">
        <v>4360.3709850560708</v>
      </c>
      <c r="H17" s="8">
        <v>3954.4226258567087</v>
      </c>
      <c r="I17" s="8">
        <v>3812.7229179382362</v>
      </c>
      <c r="J17" s="8">
        <v>3714.7161604667958</v>
      </c>
      <c r="K17" s="8">
        <v>2683.143182974135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7362.3705479855707</v>
      </c>
      <c r="V17" s="8">
        <v>13299.196800021789</v>
      </c>
      <c r="W17" s="8">
        <v>14513.898333726496</v>
      </c>
      <c r="X17" s="8">
        <v>13786.844803932659</v>
      </c>
      <c r="Y17" s="8">
        <v>12432.444287105562</v>
      </c>
      <c r="Z17" s="8">
        <v>10133.780667309586</v>
      </c>
      <c r="AA17" s="8">
        <v>7978.534364022129</v>
      </c>
      <c r="AB17" s="8">
        <v>6375.4518673170187</v>
      </c>
      <c r="AC17" s="12">
        <f>SUM(E17:AB17)*D17</f>
        <v>3557237.7000000356</v>
      </c>
    </row>
    <row r="18" spans="1:31" x14ac:dyDescent="0.35">
      <c r="A18" s="35"/>
      <c r="B18" s="23" t="s">
        <v>57</v>
      </c>
      <c r="C18" s="22" t="s">
        <v>68</v>
      </c>
      <c r="D18" s="16">
        <v>28</v>
      </c>
      <c r="E18" s="8">
        <v>6086.4177961935848</v>
      </c>
      <c r="F18" s="8">
        <v>5436.2792641759715</v>
      </c>
      <c r="G18" s="8">
        <v>4847.8514237056143</v>
      </c>
      <c r="H18" s="8">
        <v>4410.228056907762</v>
      </c>
      <c r="I18" s="8">
        <v>4279.4826859801215</v>
      </c>
      <c r="J18" s="8">
        <v>4196.4523700071713</v>
      </c>
      <c r="K18" s="8">
        <v>3129.6247785318765</v>
      </c>
      <c r="L18" s="8">
        <v>13.038628976560521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8368.065498236323</v>
      </c>
      <c r="V18" s="8">
        <v>15178.732126951809</v>
      </c>
      <c r="W18" s="8">
        <v>16625.883101084324</v>
      </c>
      <c r="X18" s="8">
        <v>15791.98132523252</v>
      </c>
      <c r="Y18" s="8">
        <v>14293.142206534207</v>
      </c>
      <c r="Z18" s="8">
        <v>11565.4673461497</v>
      </c>
      <c r="AA18" s="8">
        <v>9010.3385374770696</v>
      </c>
      <c r="AB18" s="8">
        <v>7132.5634252856353</v>
      </c>
      <c r="AC18" s="12">
        <f t="shared" ref="AC18:AC28" si="1">SUM(E18:AB18)*D18</f>
        <v>3650235.3600000474</v>
      </c>
    </row>
    <row r="19" spans="1:31" x14ac:dyDescent="0.35">
      <c r="A19" s="35"/>
      <c r="B19" s="23" t="s">
        <v>58</v>
      </c>
      <c r="C19" s="22" t="s">
        <v>68</v>
      </c>
      <c r="D19" s="16">
        <v>31</v>
      </c>
      <c r="E19" s="8">
        <v>4998.3566160070477</v>
      </c>
      <c r="F19" s="8">
        <v>4436.4190093885563</v>
      </c>
      <c r="G19" s="8">
        <v>3923.3473705959423</v>
      </c>
      <c r="H19" s="8">
        <v>3547.2284168064671</v>
      </c>
      <c r="I19" s="8">
        <v>3435.9976092540619</v>
      </c>
      <c r="J19" s="8">
        <v>3342.8727417911364</v>
      </c>
      <c r="K19" s="8">
        <v>2379.7611257602357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7183.2477612353887</v>
      </c>
      <c r="V19" s="8">
        <v>12941.591075167311</v>
      </c>
      <c r="W19" s="8">
        <v>14146.53010848027</v>
      </c>
      <c r="X19" s="8">
        <v>13422.70422892028</v>
      </c>
      <c r="Y19" s="8">
        <v>12122.93432307299</v>
      </c>
      <c r="Z19" s="8">
        <v>9749.9795485386858</v>
      </c>
      <c r="AA19" s="8">
        <v>7530.8654207987938</v>
      </c>
      <c r="AB19" s="8">
        <v>5901.9452893454618</v>
      </c>
      <c r="AC19" s="12">
        <f t="shared" si="1"/>
        <v>3380977.2000000412</v>
      </c>
    </row>
    <row r="20" spans="1:31" x14ac:dyDescent="0.35">
      <c r="A20" s="35"/>
      <c r="B20" s="23" t="s">
        <v>59</v>
      </c>
      <c r="C20" s="22" t="s">
        <v>68</v>
      </c>
      <c r="D20" s="16">
        <v>30</v>
      </c>
      <c r="E20" s="8">
        <v>7575.0669306240388</v>
      </c>
      <c r="F20" s="8">
        <v>6827.6147535064529</v>
      </c>
      <c r="G20" s="8">
        <v>6102.0741887663371</v>
      </c>
      <c r="H20" s="8">
        <v>5596.9095849647219</v>
      </c>
      <c r="I20" s="8">
        <v>5460.0045687817146</v>
      </c>
      <c r="J20" s="8">
        <v>5344.9183067184513</v>
      </c>
      <c r="K20" s="8">
        <v>4036.0989693563897</v>
      </c>
      <c r="L20" s="8">
        <v>473.96221602735187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549.0261608411372</v>
      </c>
      <c r="U20" s="8">
        <v>10885.810306695827</v>
      </c>
      <c r="V20" s="8">
        <v>18781.173441436487</v>
      </c>
      <c r="W20" s="8">
        <v>20461.225357137206</v>
      </c>
      <c r="X20" s="8">
        <v>19451.550230886496</v>
      </c>
      <c r="Y20" s="8">
        <v>17672.085612359821</v>
      </c>
      <c r="Z20" s="8">
        <v>14288.83827534157</v>
      </c>
      <c r="AA20" s="8">
        <v>11132.547196836793</v>
      </c>
      <c r="AB20" s="8">
        <v>8833.4052330533941</v>
      </c>
      <c r="AC20" s="12">
        <f t="shared" si="1"/>
        <v>4904169.3400000259</v>
      </c>
    </row>
    <row r="21" spans="1:31" x14ac:dyDescent="0.35">
      <c r="A21" s="35"/>
      <c r="B21" s="23" t="s">
        <v>60</v>
      </c>
      <c r="C21" s="22" t="s">
        <v>68</v>
      </c>
      <c r="D21" s="16">
        <v>31</v>
      </c>
      <c r="E21" s="8">
        <v>8344.6567299485796</v>
      </c>
      <c r="F21" s="8">
        <v>7111.4534152353426</v>
      </c>
      <c r="G21" s="8">
        <v>6156.2905631288477</v>
      </c>
      <c r="H21" s="8">
        <v>5349.6862473843776</v>
      </c>
      <c r="I21" s="8">
        <v>5042.6961267945189</v>
      </c>
      <c r="J21" s="8">
        <v>5023.3978402133234</v>
      </c>
      <c r="K21" s="8">
        <v>3818.2227714785349</v>
      </c>
      <c r="L21" s="8">
        <v>675.46991240115244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2946.5114381023268</v>
      </c>
      <c r="U21" s="8">
        <v>14908.563202895324</v>
      </c>
      <c r="V21" s="8">
        <v>23853.901848036752</v>
      </c>
      <c r="W21" s="8">
        <v>25413.74904452758</v>
      </c>
      <c r="X21" s="8">
        <v>24022.606986263843</v>
      </c>
      <c r="Y21" s="8">
        <v>21365.452484510675</v>
      </c>
      <c r="Z21" s="8">
        <v>17077.204288706129</v>
      </c>
      <c r="AA21" s="8">
        <v>13057.351067129564</v>
      </c>
      <c r="AB21" s="8">
        <v>10040.887323567089</v>
      </c>
      <c r="AC21" s="12">
        <f t="shared" si="1"/>
        <v>6020451.1400000425</v>
      </c>
    </row>
    <row r="22" spans="1:31" x14ac:dyDescent="0.35">
      <c r="A22" s="35"/>
      <c r="B22" s="23" t="s">
        <v>61</v>
      </c>
      <c r="C22" s="22" t="s">
        <v>68</v>
      </c>
      <c r="D22" s="16">
        <v>30</v>
      </c>
      <c r="E22" s="8">
        <v>11399.959755811427</v>
      </c>
      <c r="F22" s="8">
        <v>9842.0605355810458</v>
      </c>
      <c r="G22" s="8">
        <v>8609.1458789489661</v>
      </c>
      <c r="H22" s="8">
        <v>7594.9538728053612</v>
      </c>
      <c r="I22" s="8">
        <v>7229.9087751718598</v>
      </c>
      <c r="J22" s="8">
        <v>7256.09330667225</v>
      </c>
      <c r="K22" s="8">
        <v>5950.9190226230985</v>
      </c>
      <c r="L22" s="8">
        <v>2334.5843989912328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5682.6082225400396</v>
      </c>
      <c r="U22" s="8">
        <v>20490.784037086083</v>
      </c>
      <c r="V22" s="8">
        <v>31521.396608143179</v>
      </c>
      <c r="W22" s="8">
        <v>33420.907738304253</v>
      </c>
      <c r="X22" s="8">
        <v>31631.234102012699</v>
      </c>
      <c r="Y22" s="8">
        <v>28250.343134122584</v>
      </c>
      <c r="Z22" s="8">
        <v>22702.912763941749</v>
      </c>
      <c r="AA22" s="8">
        <v>17500.394692464146</v>
      </c>
      <c r="AB22" s="8">
        <v>13606.135488114689</v>
      </c>
      <c r="AC22" s="12">
        <f t="shared" si="1"/>
        <v>7950730.2700000405</v>
      </c>
    </row>
    <row r="23" spans="1:31" x14ac:dyDescent="0.35">
      <c r="A23" s="35"/>
      <c r="B23" s="23" t="s">
        <v>62</v>
      </c>
      <c r="C23" s="22" t="s">
        <v>68</v>
      </c>
      <c r="D23" s="16">
        <v>31</v>
      </c>
      <c r="E23" s="8">
        <v>11669.739968312699</v>
      </c>
      <c r="F23" s="8">
        <v>9977.5724287775174</v>
      </c>
      <c r="G23" s="8">
        <v>8674.7396632222299</v>
      </c>
      <c r="H23" s="8">
        <v>7562.7043281148817</v>
      </c>
      <c r="I23" s="8">
        <v>7166.1932241182203</v>
      </c>
      <c r="J23" s="8">
        <v>7204.1040816364894</v>
      </c>
      <c r="K23" s="8">
        <v>6042.5975233506133</v>
      </c>
      <c r="L23" s="8">
        <v>2742.8986839913077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6913.3703910757413</v>
      </c>
      <c r="U23" s="8">
        <v>22197.458883619922</v>
      </c>
      <c r="V23" s="8">
        <v>33485.323229669506</v>
      </c>
      <c r="W23" s="8">
        <v>35294.745090045457</v>
      </c>
      <c r="X23" s="8">
        <v>33372.414087892605</v>
      </c>
      <c r="Y23" s="8">
        <v>29740.843864209866</v>
      </c>
      <c r="Z23" s="8">
        <v>23846.941573273933</v>
      </c>
      <c r="AA23" s="8">
        <v>18282.357493087409</v>
      </c>
      <c r="AB23" s="8">
        <v>14097.518388828976</v>
      </c>
      <c r="AC23" s="12">
        <f t="shared" si="1"/>
        <v>8626417.2100000475</v>
      </c>
    </row>
    <row r="24" spans="1:31" x14ac:dyDescent="0.35">
      <c r="A24" s="35"/>
      <c r="B24" s="23" t="s">
        <v>63</v>
      </c>
      <c r="C24" s="22" t="s">
        <v>68</v>
      </c>
      <c r="D24" s="16">
        <v>31</v>
      </c>
      <c r="E24" s="8">
        <v>14664.817012995756</v>
      </c>
      <c r="F24" s="8">
        <v>13033.74015089909</v>
      </c>
      <c r="G24" s="8">
        <v>11597.78638392171</v>
      </c>
      <c r="H24" s="8">
        <v>10511.544593571554</v>
      </c>
      <c r="I24" s="8">
        <v>10159.856155600864</v>
      </c>
      <c r="J24" s="8">
        <v>10147.359687935652</v>
      </c>
      <c r="K24" s="8">
        <v>8743.3995788217508</v>
      </c>
      <c r="L24" s="8">
        <v>4721.0216039607194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8746.5487684006384</v>
      </c>
      <c r="U24" s="8">
        <v>25488.927214620162</v>
      </c>
      <c r="V24" s="8">
        <v>37967.714595228215</v>
      </c>
      <c r="W24" s="8">
        <v>40204.640959698991</v>
      </c>
      <c r="X24" s="8">
        <v>38170.567483924089</v>
      </c>
      <c r="Y24" s="8">
        <v>34456.162338295151</v>
      </c>
      <c r="Z24" s="8">
        <v>27864.341193709097</v>
      </c>
      <c r="AA24" s="8">
        <v>21706.605710646341</v>
      </c>
      <c r="AB24" s="8">
        <v>17168.213664545787</v>
      </c>
      <c r="AC24" s="12">
        <f t="shared" si="1"/>
        <v>10395950.660000043</v>
      </c>
    </row>
    <row r="25" spans="1:31" x14ac:dyDescent="0.35">
      <c r="A25" s="35"/>
      <c r="B25" s="23" t="s">
        <v>64</v>
      </c>
      <c r="C25" s="22" t="s">
        <v>68</v>
      </c>
      <c r="D25" s="16">
        <v>30</v>
      </c>
      <c r="E25" s="8">
        <v>17140.368713693792</v>
      </c>
      <c r="F25" s="8">
        <v>15212.996477876955</v>
      </c>
      <c r="G25" s="8">
        <v>13546.820391497957</v>
      </c>
      <c r="H25" s="8">
        <v>12256.478448021267</v>
      </c>
      <c r="I25" s="8">
        <v>11852.606276115985</v>
      </c>
      <c r="J25" s="8">
        <v>11907.295243662786</v>
      </c>
      <c r="K25" s="8">
        <v>10582.401963165963</v>
      </c>
      <c r="L25" s="8">
        <v>6644.0298570183395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12274.028886536806</v>
      </c>
      <c r="U25" s="8">
        <v>30989.733762672902</v>
      </c>
      <c r="V25" s="8">
        <v>44869.464376088341</v>
      </c>
      <c r="W25" s="8">
        <v>47144.19690664544</v>
      </c>
      <c r="X25" s="8">
        <v>44753.076704605221</v>
      </c>
      <c r="Y25" s="8">
        <v>40402.021689606343</v>
      </c>
      <c r="Z25" s="8">
        <v>32717.299362229289</v>
      </c>
      <c r="AA25" s="8">
        <v>25497.459620609996</v>
      </c>
      <c r="AB25" s="8">
        <v>20158.068653286933</v>
      </c>
      <c r="AC25" s="12">
        <f t="shared" si="1"/>
        <v>11938450.42000003</v>
      </c>
    </row>
    <row r="26" spans="1:31" x14ac:dyDescent="0.35">
      <c r="A26" s="35"/>
      <c r="B26" s="23" t="s">
        <v>65</v>
      </c>
      <c r="C26" s="22" t="s">
        <v>68</v>
      </c>
      <c r="D26" s="16">
        <v>31</v>
      </c>
      <c r="E26" s="8">
        <v>18149.362357782829</v>
      </c>
      <c r="F26" s="8">
        <v>16193.082480336119</v>
      </c>
      <c r="G26" s="8">
        <v>14453.51589956054</v>
      </c>
      <c r="H26" s="8">
        <v>13138.813585480773</v>
      </c>
      <c r="I26" s="8">
        <v>12727.732687422884</v>
      </c>
      <c r="J26" s="8">
        <v>12771.644543683546</v>
      </c>
      <c r="K26" s="8">
        <v>11449.641770944252</v>
      </c>
      <c r="L26" s="8">
        <v>7604.2222589517587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13924.800288130815</v>
      </c>
      <c r="U26" s="8">
        <v>32995.135192221482</v>
      </c>
      <c r="V26" s="8">
        <v>46989.369887800109</v>
      </c>
      <c r="W26" s="8">
        <v>49282.012914853993</v>
      </c>
      <c r="X26" s="8">
        <v>46811.280604589207</v>
      </c>
      <c r="Y26" s="8">
        <v>42334.611722379523</v>
      </c>
      <c r="Z26" s="8">
        <v>34296.609683685201</v>
      </c>
      <c r="AA26" s="8">
        <v>26770.205292474933</v>
      </c>
      <c r="AB26" s="8">
        <v>21228.308184542166</v>
      </c>
      <c r="AC26" s="12">
        <f t="shared" si="1"/>
        <v>13054730.830000043</v>
      </c>
    </row>
    <row r="27" spans="1:31" x14ac:dyDescent="0.35">
      <c r="A27" s="35"/>
      <c r="B27" s="23" t="s">
        <v>66</v>
      </c>
      <c r="C27" s="22" t="s">
        <v>68</v>
      </c>
      <c r="D27" s="16">
        <v>30</v>
      </c>
      <c r="E27" s="8">
        <v>20891.373502566323</v>
      </c>
      <c r="F27" s="8">
        <v>18770.062336966228</v>
      </c>
      <c r="G27" s="8">
        <v>16848.323510566963</v>
      </c>
      <c r="H27" s="8">
        <v>15435.71233416934</v>
      </c>
      <c r="I27" s="8">
        <v>15007.009953855169</v>
      </c>
      <c r="J27" s="8">
        <v>15129.11085446049</v>
      </c>
      <c r="K27" s="8">
        <v>14012.785370770052</v>
      </c>
      <c r="L27" s="8">
        <v>10384.84205361677</v>
      </c>
      <c r="M27" s="8">
        <v>1683.5611314107325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17882.609026745024</v>
      </c>
      <c r="U27" s="8">
        <v>37975.698571757079</v>
      </c>
      <c r="V27" s="8">
        <v>52656.364387554284</v>
      </c>
      <c r="W27" s="8">
        <v>55043.291700216039</v>
      </c>
      <c r="X27" s="8">
        <v>52334.677130675249</v>
      </c>
      <c r="Y27" s="8">
        <v>47446.152880050329</v>
      </c>
      <c r="Z27" s="8">
        <v>38592.168947226492</v>
      </c>
      <c r="AA27" s="8">
        <v>30322.617874723801</v>
      </c>
      <c r="AB27" s="8">
        <v>24247.834528959287</v>
      </c>
      <c r="AC27" s="12">
        <f t="shared" si="1"/>
        <v>14539925.88288869</v>
      </c>
    </row>
    <row r="28" spans="1:31" ht="15" thickBot="1" x14ac:dyDescent="0.4">
      <c r="A28" s="36"/>
      <c r="B28" s="24" t="s">
        <v>67</v>
      </c>
      <c r="C28" s="25" t="s">
        <v>68</v>
      </c>
      <c r="D28" s="17">
        <v>31</v>
      </c>
      <c r="E28" s="29">
        <v>10752.204227050961</v>
      </c>
      <c r="F28" s="29">
        <v>9993.7000399635654</v>
      </c>
      <c r="G28" s="29">
        <v>9182.4292367016988</v>
      </c>
      <c r="H28" s="29">
        <v>8661.1686577584969</v>
      </c>
      <c r="I28" s="29">
        <v>8542.811190326649</v>
      </c>
      <c r="J28" s="29">
        <v>8549.9671495265338</v>
      </c>
      <c r="K28" s="29">
        <v>8097.1050702791126</v>
      </c>
      <c r="L28" s="29">
        <v>6412.4040104659434</v>
      </c>
      <c r="M28" s="29">
        <v>2625.5486043226697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1222.6435069564086</v>
      </c>
      <c r="T28" s="29">
        <v>9291.9402957632956</v>
      </c>
      <c r="U28" s="29">
        <v>17765.061934559035</v>
      </c>
      <c r="V28" s="29">
        <v>23974.016516714368</v>
      </c>
      <c r="W28" s="29">
        <v>25092.839608914514</v>
      </c>
      <c r="X28" s="29">
        <v>23985.561778768541</v>
      </c>
      <c r="Y28" s="29">
        <v>22092.021862501631</v>
      </c>
      <c r="Z28" s="29">
        <v>18261.747299481936</v>
      </c>
      <c r="AA28" s="29">
        <v>14699.092378843367</v>
      </c>
      <c r="AB28" s="29">
        <v>12132.422041662852</v>
      </c>
      <c r="AC28" s="13">
        <f t="shared" si="1"/>
        <v>7481375.247727409</v>
      </c>
      <c r="AE28" s="31"/>
    </row>
    <row r="29" spans="1:31" x14ac:dyDescent="0.35">
      <c r="AB29" s="26" t="s">
        <v>27</v>
      </c>
      <c r="AC29" s="27">
        <f>SUM(AC8:AC28)</f>
        <v>146300200.39946043</v>
      </c>
    </row>
    <row r="33" spans="2:28" x14ac:dyDescent="0.35">
      <c r="B33" s="4"/>
    </row>
    <row r="34" spans="2:28" x14ac:dyDescent="0.35">
      <c r="B34" s="4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2:28" x14ac:dyDescent="0.35">
      <c r="B35" s="4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2:28" x14ac:dyDescent="0.35">
      <c r="B36" s="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2:28" x14ac:dyDescent="0.35">
      <c r="B37" s="4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2:28" x14ac:dyDescent="0.35">
      <c r="B38" s="4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2:28" x14ac:dyDescent="0.35">
      <c r="B39" s="4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2:28" x14ac:dyDescent="0.35">
      <c r="B40" s="4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2:28" x14ac:dyDescent="0.35">
      <c r="B41" s="4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2:28" x14ac:dyDescent="0.35">
      <c r="B42" s="4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2:28" x14ac:dyDescent="0.35">
      <c r="B43" s="4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2:28" x14ac:dyDescent="0.35">
      <c r="B44" s="4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2:28" x14ac:dyDescent="0.35">
      <c r="B45" s="4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2:28" x14ac:dyDescent="0.35">
      <c r="B46" s="4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2:28" x14ac:dyDescent="0.35">
      <c r="B47" s="4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2:28" x14ac:dyDescent="0.35">
      <c r="B48" s="4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2:28" x14ac:dyDescent="0.35">
      <c r="B49" s="4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2:28" x14ac:dyDescent="0.35">
      <c r="B50" s="4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2:28" x14ac:dyDescent="0.35">
      <c r="B51" s="4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2:28" x14ac:dyDescent="0.35">
      <c r="B52" s="4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2:28" x14ac:dyDescent="0.35">
      <c r="B53" s="4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2:28" x14ac:dyDescent="0.35">
      <c r="B54" s="4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2:28" x14ac:dyDescent="0.35">
      <c r="B55" s="4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spans="2:28" x14ac:dyDescent="0.35">
      <c r="B56" s="4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2:28" x14ac:dyDescent="0.35">
      <c r="B57" s="4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spans="2:28" x14ac:dyDescent="0.35"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2:28" x14ac:dyDescent="0.35"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</sheetData>
  <mergeCells count="2">
    <mergeCell ref="A8:A16"/>
    <mergeCell ref="A17:A2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CA7C-0303-43C4-9EA3-DDFD1DCD618D}">
  <dimension ref="A1:D31"/>
  <sheetViews>
    <sheetView topLeftCell="A3" zoomScale="85" zoomScaleNormal="85" workbookViewId="0">
      <selection activeCell="H22" sqref="H22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40"/>
      <c r="B1" s="40"/>
      <c r="C1" s="40"/>
    </row>
    <row r="2" spans="1:4" x14ac:dyDescent="0.35">
      <c r="A2" s="40" t="s">
        <v>5</v>
      </c>
      <c r="B2" s="40"/>
      <c r="C2" s="40"/>
    </row>
    <row r="3" spans="1:4" ht="36.75" customHeight="1" x14ac:dyDescent="0.35">
      <c r="A3" s="41" t="s">
        <v>6</v>
      </c>
      <c r="B3" s="41"/>
      <c r="C3" s="41"/>
    </row>
    <row r="4" spans="1:4" ht="72.75" customHeight="1" x14ac:dyDescent="0.35">
      <c r="A4" s="41" t="s">
        <v>7</v>
      </c>
      <c r="B4" s="41"/>
      <c r="C4" s="41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6" t="s">
        <v>12</v>
      </c>
      <c r="D10" s="32" t="s">
        <v>13</v>
      </c>
    </row>
    <row r="11" spans="1:4" x14ac:dyDescent="0.35">
      <c r="A11" s="38">
        <v>2025</v>
      </c>
      <c r="B11" s="19" t="s">
        <v>17</v>
      </c>
      <c r="C11" s="42"/>
      <c r="D11" s="33"/>
    </row>
    <row r="12" spans="1:4" x14ac:dyDescent="0.35">
      <c r="A12" s="38"/>
      <c r="B12" s="18" t="s">
        <v>18</v>
      </c>
      <c r="C12" s="43"/>
      <c r="D12" s="33"/>
    </row>
    <row r="13" spans="1:4" x14ac:dyDescent="0.35">
      <c r="A13" s="38"/>
      <c r="B13" s="19" t="s">
        <v>19</v>
      </c>
      <c r="C13" s="43"/>
      <c r="D13" s="33"/>
    </row>
    <row r="14" spans="1:4" x14ac:dyDescent="0.35">
      <c r="A14" s="38"/>
      <c r="B14" s="18" t="s">
        <v>20</v>
      </c>
      <c r="C14" s="43"/>
      <c r="D14" s="33"/>
    </row>
    <row r="15" spans="1:4" x14ac:dyDescent="0.35">
      <c r="A15" s="38"/>
      <c r="B15" s="19" t="s">
        <v>21</v>
      </c>
      <c r="C15" s="43"/>
      <c r="D15" s="33"/>
    </row>
    <row r="16" spans="1:4" x14ac:dyDescent="0.35">
      <c r="A16" s="38"/>
      <c r="B16" s="18" t="s">
        <v>22</v>
      </c>
      <c r="C16" s="43"/>
      <c r="D16" s="33"/>
    </row>
    <row r="17" spans="1:4" x14ac:dyDescent="0.35">
      <c r="A17" s="38"/>
      <c r="B17" s="19" t="s">
        <v>23</v>
      </c>
      <c r="C17" s="43"/>
      <c r="D17" s="33"/>
    </row>
    <row r="18" spans="1:4" x14ac:dyDescent="0.35">
      <c r="A18" s="38"/>
      <c r="B18" s="18" t="s">
        <v>24</v>
      </c>
      <c r="C18" s="43"/>
      <c r="D18" s="33"/>
    </row>
    <row r="19" spans="1:4" ht="15" thickBot="1" x14ac:dyDescent="0.4">
      <c r="A19" s="39"/>
      <c r="B19" s="20" t="s">
        <v>25</v>
      </c>
      <c r="C19" s="43"/>
      <c r="D19" s="33"/>
    </row>
    <row r="20" spans="1:4" x14ac:dyDescent="0.35">
      <c r="A20" s="37">
        <v>2026</v>
      </c>
      <c r="B20" s="28" t="s">
        <v>14</v>
      </c>
      <c r="C20" s="43"/>
      <c r="D20" s="33"/>
    </row>
    <row r="21" spans="1:4" x14ac:dyDescent="0.35">
      <c r="A21" s="38"/>
      <c r="B21" s="19" t="s">
        <v>15</v>
      </c>
      <c r="C21" s="43"/>
      <c r="D21" s="33"/>
    </row>
    <row r="22" spans="1:4" x14ac:dyDescent="0.35">
      <c r="A22" s="38"/>
      <c r="B22" s="18" t="s">
        <v>16</v>
      </c>
      <c r="C22" s="43"/>
      <c r="D22" s="33"/>
    </row>
    <row r="23" spans="1:4" x14ac:dyDescent="0.35">
      <c r="A23" s="38"/>
      <c r="B23" s="19" t="s">
        <v>17</v>
      </c>
      <c r="C23" s="43"/>
      <c r="D23" s="33"/>
    </row>
    <row r="24" spans="1:4" x14ac:dyDescent="0.35">
      <c r="A24" s="38"/>
      <c r="B24" s="18" t="s">
        <v>18</v>
      </c>
      <c r="C24" s="43"/>
      <c r="D24" s="33"/>
    </row>
    <row r="25" spans="1:4" x14ac:dyDescent="0.35">
      <c r="A25" s="38"/>
      <c r="B25" s="19" t="s">
        <v>19</v>
      </c>
      <c r="C25" s="43"/>
      <c r="D25" s="33"/>
    </row>
    <row r="26" spans="1:4" x14ac:dyDescent="0.35">
      <c r="A26" s="38"/>
      <c r="B26" s="18" t="s">
        <v>20</v>
      </c>
      <c r="C26" s="43"/>
      <c r="D26" s="33"/>
    </row>
    <row r="27" spans="1:4" x14ac:dyDescent="0.35">
      <c r="A27" s="38"/>
      <c r="B27" s="19" t="s">
        <v>21</v>
      </c>
      <c r="C27" s="43"/>
      <c r="D27" s="33"/>
    </row>
    <row r="28" spans="1:4" x14ac:dyDescent="0.35">
      <c r="A28" s="38"/>
      <c r="B28" s="18" t="s">
        <v>22</v>
      </c>
      <c r="C28" s="43"/>
      <c r="D28" s="33"/>
    </row>
    <row r="29" spans="1:4" x14ac:dyDescent="0.35">
      <c r="A29" s="38"/>
      <c r="B29" s="19" t="s">
        <v>23</v>
      </c>
      <c r="C29" s="43"/>
      <c r="D29" s="33"/>
    </row>
    <row r="30" spans="1:4" x14ac:dyDescent="0.35">
      <c r="A30" s="38"/>
      <c r="B30" s="18" t="s">
        <v>24</v>
      </c>
      <c r="C30" s="43"/>
      <c r="D30" s="33"/>
    </row>
    <row r="31" spans="1:4" ht="15" thickBot="1" x14ac:dyDescent="0.4">
      <c r="A31" s="39"/>
      <c r="B31" s="20" t="s">
        <v>25</v>
      </c>
      <c r="C31" s="44"/>
      <c r="D31" s="34"/>
    </row>
  </sheetData>
  <mergeCells count="7">
    <mergeCell ref="A20:A31"/>
    <mergeCell ref="A1:C1"/>
    <mergeCell ref="A2:C2"/>
    <mergeCell ref="A3:C3"/>
    <mergeCell ref="A4:C4"/>
    <mergeCell ref="A11:A19"/>
    <mergeCell ref="C11:C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04873852009D40B2C0F29E8DFF47C1" ma:contentTypeVersion="13" ma:contentTypeDescription="Create a new document." ma:contentTypeScope="" ma:versionID="60e4c84fa86d23b4ef0ebb69c6858902">
  <xsd:schema xmlns:xsd="http://www.w3.org/2001/XMLSchema" xmlns:xs="http://www.w3.org/2001/XMLSchema" xmlns:p="http://schemas.microsoft.com/office/2006/metadata/properties" xmlns:ns2="5b0669a7-a738-41a3-89e4-5344b7ca2991" xmlns:ns3="20d27aaa-8247-4c27-8ec8-78a4e943420d" targetNamespace="http://schemas.microsoft.com/office/2006/metadata/properties" ma:root="true" ma:fieldsID="ca5d5432e889f54070a4c0ca007a692f" ns2:_="" ns3:_="">
    <xsd:import namespace="5b0669a7-a738-41a3-89e4-5344b7ca2991"/>
    <xsd:import namespace="20d27aaa-8247-4c27-8ec8-78a4e9434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669a7-a738-41a3-89e4-5344b7ca2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a719b3-8a48-41ed-8bc9-2b6449212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7aaa-8247-4c27-8ec8-78a4e94342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2fc6382-90a3-4136-b6ed-2e2766ddf430}" ma:internalName="TaxCatchAll" ma:showField="CatchAllData" ma:web="20d27aaa-8247-4c27-8ec8-78a4e9434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0669a7-a738-41a3-89e4-5344b7ca2991">
      <Terms xmlns="http://schemas.microsoft.com/office/infopath/2007/PartnerControls"/>
    </lcf76f155ced4ddcb4097134ff3c332f>
    <TaxCatchAll xmlns="20d27aaa-8247-4c27-8ec8-78a4e94342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CF1AA-918B-4AFB-8848-BF07B6B584FE}"/>
</file>

<file path=customXml/itemProps2.xml><?xml version="1.0" encoding="utf-8"?>
<ds:datastoreItem xmlns:ds="http://schemas.openxmlformats.org/officeDocument/2006/customXml" ds:itemID="{EAE54F5D-06CE-42D6-B5A1-B71630101069}">
  <ds:schemaRefs>
    <ds:schemaRef ds:uri="http://schemas.microsoft.com/office/2006/metadata/properties"/>
    <ds:schemaRef ds:uri="http://schemas.microsoft.com/office/infopath/2007/PartnerControls"/>
    <ds:schemaRef ds:uri="3fa96679-8bc8-4545-9583-53cc25f06d50"/>
    <ds:schemaRef ds:uri="4d553874-e603-420d-b733-29ec2548bbd0"/>
    <ds:schemaRef ds:uri="5b0669a7-a738-41a3-89e4-5344b7ca2991"/>
    <ds:schemaRef ds:uri="20d27aaa-8247-4c27-8ec8-78a4e943420d"/>
  </ds:schemaRefs>
</ds:datastoreItem>
</file>

<file path=customXml/itemProps3.xml><?xml version="1.0" encoding="utf-8"?>
<ds:datastoreItem xmlns:ds="http://schemas.openxmlformats.org/officeDocument/2006/customXml" ds:itemID="{C73C04EF-1C4C-4D50-BB4C-5AF940E44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Cantidades producto 1</vt:lpstr>
      <vt:lpstr>Oferta producto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Obando</dc:creator>
  <cp:keywords/>
  <dc:description/>
  <cp:lastModifiedBy>Nicolás Poveda Granados</cp:lastModifiedBy>
  <cp:revision/>
  <dcterms:created xsi:type="dcterms:W3CDTF">2020-03-26T19:02:29Z</dcterms:created>
  <dcterms:modified xsi:type="dcterms:W3CDTF">2025-03-06T01:02:25Z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0x0101003B04873852009D40B2C0F29E8DFF47C1</vt:lpwstr>
  </property>
  <property fmtid="{D5CDD505-2E9C-101B-9397-08002B2CF9AE}" pid="3" name="MediaServiceImageTags">
    <vt:lpwstr/>
  </property>
</Properties>
</file>