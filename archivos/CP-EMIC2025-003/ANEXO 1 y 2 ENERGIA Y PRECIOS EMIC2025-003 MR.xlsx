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boulevard1\Comun\A-F COMPRA\Convocatorias - Compra de Energia\CONVOCATORIAS 2025\EMIC2025-003\Consulta\"/>
    </mc:Choice>
  </mc:AlternateContent>
  <xr:revisionPtr revIDLastSave="0" documentId="13_ncr:1_{E74E9E48-C509-46CD-8DD7-45AA212676A2}" xr6:coauthVersionLast="47" xr6:coauthVersionMax="47" xr10:uidLastSave="{00000000-0000-0000-0000-000000000000}"/>
  <bookViews>
    <workbookView xWindow="-120" yWindow="-120" windowWidth="29040" windowHeight="15720" tabRatio="949" xr2:uid="{00000000-000D-0000-FFFF-FFFF00000000}"/>
  </bookViews>
  <sheets>
    <sheet name="RESUMEN" sheetId="20" r:id="rId1"/>
    <sheet name="P1_Anexo_1_2026" sheetId="2" r:id="rId2"/>
    <sheet name="P1_Anexo_2_2026" sheetId="6" r:id="rId3"/>
    <sheet name="P2_Anexo_ 1_2027" sheetId="22" r:id="rId4"/>
    <sheet name="P2_Anexo_2_2027" sheetId="23" r:id="rId5"/>
    <sheet name="P3_Anexo_1_2028" sheetId="25" r:id="rId6"/>
    <sheet name="P3_Anexo_2_2028" sheetId="24" r:id="rId7"/>
    <sheet name="P4_Anexo_1_2028" sheetId="31" r:id="rId8"/>
    <sheet name="P4_Anexo_2_2028" sheetId="30" r:id="rId9"/>
    <sheet name="P5_Anexo_1_2029" sheetId="27" r:id="rId10"/>
    <sheet name="P5_Anexo_2_2029" sheetId="26" r:id="rId11"/>
    <sheet name="P6_Anexo_1_2029" sheetId="29" r:id="rId12"/>
    <sheet name="P6_Anexo_2_2029" sheetId="28" r:id="rId13"/>
    <sheet name="P7_Anexo_1_2030" sheetId="4" r:id="rId14"/>
    <sheet name="P7_Anexo_2_2030" sheetId="16" r:id="rId15"/>
    <sheet name="P8_Anexo_1_2030" sheetId="32" r:id="rId16"/>
    <sheet name="P8_Anexo_2_2030" sheetId="33" r:id="rId17"/>
    <sheet name="P9_Anexo_1_2031" sheetId="37" r:id="rId18"/>
    <sheet name="P9_Anexo_2_2031" sheetId="38" r:id="rId19"/>
    <sheet name="P10_Anexo_1_2031" sheetId="39" r:id="rId20"/>
    <sheet name="P10_Anexo_2_2031" sheetId="40" r:id="rId21"/>
    <sheet name="P11_Anexo_1_2032" sheetId="35" r:id="rId22"/>
    <sheet name="P11_Anexo_2_2032" sheetId="36" r:id="rId23"/>
    <sheet name="P12_Anexo_1_2032" sheetId="42" r:id="rId24"/>
    <sheet name="P12_Anexo_2_2032" sheetId="43" r:id="rId25"/>
  </sheets>
  <definedNames>
    <definedName name="_bookmark27" localSheetId="1">P1_Anexo_1_2026!#REF!</definedName>
    <definedName name="_xlnm.Print_Area" localSheetId="2">P1_Anexo_2_2026!$B$1:$K$22</definedName>
    <definedName name="_xlnm.Print_Area" localSheetId="14">P7_Anexo_2_2030!$C$11:$D$14</definedName>
    <definedName name="_xlnm.Print_Area" localSheetId="0">RESUMEN!$B$3:$E$16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2" i="42" l="1"/>
  <c r="AB8" i="42" l="1"/>
  <c r="AB9" i="42"/>
  <c r="AB10" i="42"/>
  <c r="AB11" i="42"/>
  <c r="AB12" i="42"/>
  <c r="AB13" i="42"/>
  <c r="AB14" i="42"/>
  <c r="AB16" i="42"/>
  <c r="AB17" i="42"/>
  <c r="AB18" i="42"/>
  <c r="AB19" i="42"/>
  <c r="AB20" i="42"/>
  <c r="AB21" i="42"/>
  <c r="AB22" i="42"/>
  <c r="AB24" i="42"/>
  <c r="AB25" i="42"/>
  <c r="AB26" i="42"/>
  <c r="AB27" i="42"/>
  <c r="AB28" i="42"/>
  <c r="AB29" i="42"/>
  <c r="AB30" i="42"/>
  <c r="AB32" i="42"/>
  <c r="AB33" i="42"/>
  <c r="AB34" i="42"/>
  <c r="AB35" i="42"/>
  <c r="AB36" i="42"/>
  <c r="AB37" i="42"/>
  <c r="AB38" i="42"/>
  <c r="AB40" i="42"/>
  <c r="AB41" i="42"/>
  <c r="AB42" i="42"/>
  <c r="AB39" i="42"/>
  <c r="AB31" i="42"/>
  <c r="AB23" i="42"/>
  <c r="AB15" i="42"/>
  <c r="AB7" i="42"/>
  <c r="AB8" i="39"/>
  <c r="AB9" i="39"/>
  <c r="AB10" i="39"/>
  <c r="AB12" i="39"/>
  <c r="AB13" i="39"/>
  <c r="AB14" i="39"/>
  <c r="AB15" i="39"/>
  <c r="AB16" i="39"/>
  <c r="AB17" i="39"/>
  <c r="AB18" i="39"/>
  <c r="AB20" i="39"/>
  <c r="AB21" i="39"/>
  <c r="AB22" i="39"/>
  <c r="AB23" i="39"/>
  <c r="AB24" i="39"/>
  <c r="AB25" i="39"/>
  <c r="AB27" i="39"/>
  <c r="AB28" i="39"/>
  <c r="AB29" i="39"/>
  <c r="AB30" i="39"/>
  <c r="AB31" i="39"/>
  <c r="AB32" i="39"/>
  <c r="AB33" i="39"/>
  <c r="AB35" i="39"/>
  <c r="AB36" i="39"/>
  <c r="AB37" i="39"/>
  <c r="AB38" i="39"/>
  <c r="AB39" i="39"/>
  <c r="AB40" i="39"/>
  <c r="AB41" i="39"/>
  <c r="AB7" i="39"/>
  <c r="AB42" i="39"/>
  <c r="AB34" i="39"/>
  <c r="AB26" i="39"/>
  <c r="AB19" i="39"/>
  <c r="AB11" i="39"/>
  <c r="AB42" i="37"/>
  <c r="AB41" i="37"/>
  <c r="AB40" i="37"/>
  <c r="AB39" i="37"/>
  <c r="AB38" i="37"/>
  <c r="AB37" i="37"/>
  <c r="AB36" i="37"/>
  <c r="AB35" i="37"/>
  <c r="AB34" i="37"/>
  <c r="AB33" i="37"/>
  <c r="AB32" i="37"/>
  <c r="AB31" i="37"/>
  <c r="AB30" i="37"/>
  <c r="AB29" i="37"/>
  <c r="AB28" i="37"/>
  <c r="AB27" i="37"/>
  <c r="AB26" i="37"/>
  <c r="AB25" i="37"/>
  <c r="AB24" i="37"/>
  <c r="AB23" i="37"/>
  <c r="AB22" i="37"/>
  <c r="AB21" i="37"/>
  <c r="AB20" i="37"/>
  <c r="AB19" i="37"/>
  <c r="AB18" i="37"/>
  <c r="AB17" i="37"/>
  <c r="AB16" i="37"/>
  <c r="AB15" i="37"/>
  <c r="AB14" i="37"/>
  <c r="AB13" i="37"/>
  <c r="AB12" i="37"/>
  <c r="AB11" i="37"/>
  <c r="AB10" i="37"/>
  <c r="AB9" i="37"/>
  <c r="AB8" i="37"/>
  <c r="AB7" i="37"/>
  <c r="AB42" i="35"/>
  <c r="AB41" i="35"/>
  <c r="AB40" i="35"/>
  <c r="AB39" i="35"/>
  <c r="AB38" i="35"/>
  <c r="AB37" i="35"/>
  <c r="AB36" i="35"/>
  <c r="AB35" i="35"/>
  <c r="AB34" i="35"/>
  <c r="AB33" i="35"/>
  <c r="AB32" i="35"/>
  <c r="AB31" i="35"/>
  <c r="AB30" i="35"/>
  <c r="AB29" i="35"/>
  <c r="AB28" i="35"/>
  <c r="AB27" i="35"/>
  <c r="AB26" i="35"/>
  <c r="AB25" i="35"/>
  <c r="AB24" i="35"/>
  <c r="AB23" i="35"/>
  <c r="AB22" i="35"/>
  <c r="AB21" i="35"/>
  <c r="AB20" i="35"/>
  <c r="AB19" i="35"/>
  <c r="AB18" i="35"/>
  <c r="AB17" i="35"/>
  <c r="AB16" i="35"/>
  <c r="AB15" i="35"/>
  <c r="AB14" i="35"/>
  <c r="AB13" i="35"/>
  <c r="AB12" i="35"/>
  <c r="AB11" i="35"/>
  <c r="AB10" i="35"/>
  <c r="AB9" i="35"/>
  <c r="AB8" i="35"/>
  <c r="AB7" i="35"/>
  <c r="AB8" i="29"/>
  <c r="AB9" i="29"/>
  <c r="AB10" i="29"/>
  <c r="AB13" i="29"/>
  <c r="AB14" i="29"/>
  <c r="AB15" i="29"/>
  <c r="AB16" i="29"/>
  <c r="AB17" i="29"/>
  <c r="AB18" i="29"/>
  <c r="AB19" i="29"/>
  <c r="AB21" i="29"/>
  <c r="AB22" i="29"/>
  <c r="AB23" i="29"/>
  <c r="AB24" i="29"/>
  <c r="AB25" i="29"/>
  <c r="AB26" i="29"/>
  <c r="AB27" i="29"/>
  <c r="AB29" i="29"/>
  <c r="AB30" i="29"/>
  <c r="AB31" i="29"/>
  <c r="AB32" i="29"/>
  <c r="AB33" i="29"/>
  <c r="AB34" i="29"/>
  <c r="AB35" i="29"/>
  <c r="AB37" i="29"/>
  <c r="AB38" i="29"/>
  <c r="AB39" i="29"/>
  <c r="AB40" i="29"/>
  <c r="AB41" i="29"/>
  <c r="AB42" i="29"/>
  <c r="AB36" i="29"/>
  <c r="AB28" i="29"/>
  <c r="AB20" i="29"/>
  <c r="AB12" i="29"/>
  <c r="AB11" i="29"/>
  <c r="AB42" i="22"/>
  <c r="AB41" i="22"/>
  <c r="AB40" i="22"/>
  <c r="AB39" i="22"/>
  <c r="AB38" i="22"/>
  <c r="AB37" i="22"/>
  <c r="AB36" i="22"/>
  <c r="AB35" i="22"/>
  <c r="AB34" i="22"/>
  <c r="AB33" i="22"/>
  <c r="AB32" i="22"/>
  <c r="AB31" i="22"/>
  <c r="AB30" i="22"/>
  <c r="AB29" i="22"/>
  <c r="AB28" i="22"/>
  <c r="AB27" i="22"/>
  <c r="AB26" i="22"/>
  <c r="AB25" i="22"/>
  <c r="AB24" i="22"/>
  <c r="AB23" i="22"/>
  <c r="AB22" i="22"/>
  <c r="AB21" i="22"/>
  <c r="AB20" i="22"/>
  <c r="AB19" i="22"/>
  <c r="AB18" i="22"/>
  <c r="AB17" i="22"/>
  <c r="AB16" i="22"/>
  <c r="AB15" i="22"/>
  <c r="AB14" i="22"/>
  <c r="AB13" i="22"/>
  <c r="AB12" i="22"/>
  <c r="AB11" i="22"/>
  <c r="AB10" i="22"/>
  <c r="AB9" i="22"/>
  <c r="AB8" i="22"/>
  <c r="AB7" i="22"/>
  <c r="AD28" i="37" l="1"/>
  <c r="AD40" i="42"/>
  <c r="AD37" i="42"/>
  <c r="AD28" i="42"/>
  <c r="AD7" i="42"/>
  <c r="AD19" i="42"/>
  <c r="AD13" i="42"/>
  <c r="AD22" i="42"/>
  <c r="AD31" i="42"/>
  <c r="AD16" i="42"/>
  <c r="AD25" i="42"/>
  <c r="AD10" i="42"/>
  <c r="AD34" i="42"/>
  <c r="AD22" i="35"/>
  <c r="AD25" i="35"/>
  <c r="AD34" i="35"/>
  <c r="AD7" i="35"/>
  <c r="AD31" i="35"/>
  <c r="AD16" i="35"/>
  <c r="AD40" i="35"/>
  <c r="AD10" i="35"/>
  <c r="AD19" i="35"/>
  <c r="AD28" i="35"/>
  <c r="AD13" i="35"/>
  <c r="AD37" i="35"/>
  <c r="AD13" i="39"/>
  <c r="AD37" i="39"/>
  <c r="AD28" i="39"/>
  <c r="AD16" i="39"/>
  <c r="AD10" i="39"/>
  <c r="AD25" i="39"/>
  <c r="AD40" i="39"/>
  <c r="AD22" i="39"/>
  <c r="AD19" i="39"/>
  <c r="AD34" i="39"/>
  <c r="AD31" i="39"/>
  <c r="AD7" i="39"/>
  <c r="AD13" i="37"/>
  <c r="AD22" i="37"/>
  <c r="AD7" i="37"/>
  <c r="AD40" i="37"/>
  <c r="AD16" i="37"/>
  <c r="AD31" i="37"/>
  <c r="AD10" i="37"/>
  <c r="AD34" i="37"/>
  <c r="AD37" i="37"/>
  <c r="AD25" i="37"/>
  <c r="AD19" i="37"/>
  <c r="AB35" i="32"/>
  <c r="AB27" i="32"/>
  <c r="AB19" i="32"/>
  <c r="AB11" i="32"/>
  <c r="AB7" i="32"/>
  <c r="AB42" i="32"/>
  <c r="AB41" i="32"/>
  <c r="AB40" i="32"/>
  <c r="AB39" i="32"/>
  <c r="AB38" i="32"/>
  <c r="AB37" i="32"/>
  <c r="AB36" i="32"/>
  <c r="AB34" i="32"/>
  <c r="AB33" i="32"/>
  <c r="AB32" i="32"/>
  <c r="AB31" i="32"/>
  <c r="AB30" i="32"/>
  <c r="AB29" i="32"/>
  <c r="AB28" i="32"/>
  <c r="AB26" i="32"/>
  <c r="AB25" i="32"/>
  <c r="AB24" i="32"/>
  <c r="AB23" i="32"/>
  <c r="AB22" i="32"/>
  <c r="AB21" i="32"/>
  <c r="AB20" i="32"/>
  <c r="AB18" i="32"/>
  <c r="AB17" i="32"/>
  <c r="AB16" i="32"/>
  <c r="AB15" i="32"/>
  <c r="AB14" i="32"/>
  <c r="AB13" i="32"/>
  <c r="AB12" i="32"/>
  <c r="AB10" i="32"/>
  <c r="AB9" i="32"/>
  <c r="AB8" i="32"/>
  <c r="AB7" i="29"/>
  <c r="AB35" i="31"/>
  <c r="AB28" i="31"/>
  <c r="AB26" i="31"/>
  <c r="AB17" i="31"/>
  <c r="AB8" i="31"/>
  <c r="AB42" i="31"/>
  <c r="AB41" i="31"/>
  <c r="AB40" i="31"/>
  <c r="AB39" i="31"/>
  <c r="AB38" i="31"/>
  <c r="AB37" i="31"/>
  <c r="AB36" i="31"/>
  <c r="AB34" i="31"/>
  <c r="AB33" i="31"/>
  <c r="AB32" i="31"/>
  <c r="AB31" i="31"/>
  <c r="AB30" i="31"/>
  <c r="AB29" i="31"/>
  <c r="AB27" i="31"/>
  <c r="AB25" i="31"/>
  <c r="AB24" i="31"/>
  <c r="AB23" i="31"/>
  <c r="AB22" i="31"/>
  <c r="AB21" i="31"/>
  <c r="AB20" i="31"/>
  <c r="AB19" i="31"/>
  <c r="AB18" i="31"/>
  <c r="AB16" i="31"/>
  <c r="AB15" i="31"/>
  <c r="AB14" i="31"/>
  <c r="AB13" i="31"/>
  <c r="AB12" i="31"/>
  <c r="AB11" i="31"/>
  <c r="AB10" i="31"/>
  <c r="AB9" i="31"/>
  <c r="AB7" i="31"/>
  <c r="AB42" i="25"/>
  <c r="AB41" i="25"/>
  <c r="AB40" i="25"/>
  <c r="AB39" i="25"/>
  <c r="AB38" i="25"/>
  <c r="AB37" i="25"/>
  <c r="AB36" i="25"/>
  <c r="AB35" i="25"/>
  <c r="AB34" i="25"/>
  <c r="AB33" i="25"/>
  <c r="AB32" i="25"/>
  <c r="AB31" i="25"/>
  <c r="AB30" i="25"/>
  <c r="AB29" i="25"/>
  <c r="AB28" i="25"/>
  <c r="AB27" i="25"/>
  <c r="AB26" i="25"/>
  <c r="AB25" i="25"/>
  <c r="AB24" i="25"/>
  <c r="AB23" i="25"/>
  <c r="AB22" i="25"/>
  <c r="AB21" i="25"/>
  <c r="AB20" i="25"/>
  <c r="AB19" i="25"/>
  <c r="AB18" i="25"/>
  <c r="AB17" i="25"/>
  <c r="AB16" i="25"/>
  <c r="AB15" i="25"/>
  <c r="AB14" i="25"/>
  <c r="AB13" i="25"/>
  <c r="AB12" i="25"/>
  <c r="AB11" i="25"/>
  <c r="AB10" i="25"/>
  <c r="AB9" i="25"/>
  <c r="AB8" i="25"/>
  <c r="AB7" i="25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8" i="4"/>
  <c r="AB9" i="4"/>
  <c r="AB10" i="4"/>
  <c r="AB12" i="4"/>
  <c r="AB13" i="4"/>
  <c r="AB14" i="4"/>
  <c r="AB15" i="4"/>
  <c r="AB16" i="4"/>
  <c r="AB17" i="4"/>
  <c r="AB19" i="4"/>
  <c r="AB20" i="4"/>
  <c r="AB21" i="4"/>
  <c r="AB22" i="4"/>
  <c r="AB23" i="4"/>
  <c r="AB24" i="4"/>
  <c r="AB25" i="4"/>
  <c r="AB27" i="4"/>
  <c r="AB28" i="4"/>
  <c r="AB29" i="4"/>
  <c r="AB30" i="4"/>
  <c r="AB31" i="4"/>
  <c r="AB32" i="4"/>
  <c r="AB33" i="4"/>
  <c r="AB35" i="4"/>
  <c r="AB36" i="4"/>
  <c r="AB37" i="4"/>
  <c r="AB38" i="4"/>
  <c r="AB39" i="4"/>
  <c r="AB40" i="4"/>
  <c r="AB41" i="4"/>
  <c r="AB7" i="4"/>
  <c r="AB42" i="4"/>
  <c r="AB34" i="4"/>
  <c r="AB26" i="4"/>
  <c r="AB18" i="4"/>
  <c r="AB11" i="4"/>
  <c r="AB42" i="27"/>
  <c r="AB41" i="27"/>
  <c r="AB40" i="27"/>
  <c r="AB39" i="27"/>
  <c r="AB38" i="27"/>
  <c r="AB37" i="27"/>
  <c r="AB36" i="27"/>
  <c r="AB35" i="27"/>
  <c r="AB34" i="27"/>
  <c r="AB33" i="27"/>
  <c r="AB32" i="27"/>
  <c r="AB31" i="27"/>
  <c r="AB30" i="27"/>
  <c r="AB29" i="27"/>
  <c r="AB28" i="27"/>
  <c r="AB27" i="27"/>
  <c r="AB26" i="27"/>
  <c r="AB25" i="27"/>
  <c r="AB24" i="27"/>
  <c r="AB23" i="27"/>
  <c r="AB22" i="27"/>
  <c r="AB21" i="27"/>
  <c r="AB20" i="27"/>
  <c r="AB19" i="27"/>
  <c r="AB18" i="27"/>
  <c r="AB17" i="27"/>
  <c r="AB16" i="27"/>
  <c r="AB15" i="27"/>
  <c r="AB14" i="27"/>
  <c r="AB13" i="27"/>
  <c r="AB12" i="27"/>
  <c r="AB11" i="27"/>
  <c r="AB10" i="27"/>
  <c r="AB9" i="27"/>
  <c r="AB8" i="27"/>
  <c r="AB7" i="27"/>
  <c r="AD43" i="42" l="1"/>
  <c r="D13" i="43"/>
  <c r="D14" i="43" s="1"/>
  <c r="E15" i="20" s="1"/>
  <c r="AD43" i="35"/>
  <c r="D13" i="36" s="1"/>
  <c r="D14" i="36" s="1"/>
  <c r="E14" i="20" s="1"/>
  <c r="AD43" i="39"/>
  <c r="AD43" i="37"/>
  <c r="D13" i="38" s="1"/>
  <c r="D14" i="38" s="1"/>
  <c r="E12" i="20" s="1"/>
  <c r="AD10" i="32"/>
  <c r="AD31" i="32"/>
  <c r="AD25" i="32"/>
  <c r="AD28" i="32"/>
  <c r="AD16" i="32"/>
  <c r="AD37" i="32"/>
  <c r="AD13" i="32"/>
  <c r="AD40" i="32"/>
  <c r="AD19" i="32"/>
  <c r="AD34" i="32"/>
  <c r="AD22" i="32"/>
  <c r="AD7" i="32"/>
  <c r="AD13" i="31"/>
  <c r="AD16" i="31"/>
  <c r="AD37" i="31"/>
  <c r="AD19" i="31"/>
  <c r="AD22" i="31"/>
  <c r="AD25" i="31"/>
  <c r="AD31" i="31"/>
  <c r="AD40" i="31"/>
  <c r="AD34" i="31"/>
  <c r="AD10" i="31"/>
  <c r="AD28" i="31"/>
  <c r="AD7" i="31"/>
  <c r="AD19" i="29"/>
  <c r="AD16" i="25"/>
  <c r="AD13" i="25"/>
  <c r="AD37" i="25"/>
  <c r="AD28" i="25"/>
  <c r="AD40" i="4"/>
  <c r="AD34" i="4"/>
  <c r="AD31" i="4"/>
  <c r="AD16" i="4"/>
  <c r="AD13" i="4"/>
  <c r="AD28" i="4"/>
  <c r="AD22" i="4"/>
  <c r="AD10" i="4"/>
  <c r="AD7" i="4"/>
  <c r="AD37" i="4"/>
  <c r="AD25" i="4"/>
  <c r="AD19" i="4"/>
  <c r="AD22" i="29"/>
  <c r="AD10" i="27"/>
  <c r="AD34" i="27"/>
  <c r="AD28" i="29"/>
  <c r="AD13" i="29"/>
  <c r="AD37" i="29"/>
  <c r="AD7" i="29"/>
  <c r="AD31" i="29"/>
  <c r="AD16" i="29"/>
  <c r="AD40" i="29"/>
  <c r="AD25" i="29"/>
  <c r="AD10" i="29"/>
  <c r="AD34" i="29"/>
  <c r="AD19" i="27"/>
  <c r="AD22" i="27"/>
  <c r="AD16" i="27"/>
  <c r="AD40" i="27"/>
  <c r="AD13" i="27"/>
  <c r="AD37" i="27"/>
  <c r="AD7" i="27"/>
  <c r="AD31" i="27"/>
  <c r="AD25" i="27"/>
  <c r="AD28" i="27"/>
  <c r="AD19" i="25"/>
  <c r="AD22" i="25"/>
  <c r="AD40" i="25"/>
  <c r="AD10" i="25"/>
  <c r="AD34" i="25"/>
  <c r="AD31" i="25"/>
  <c r="AD25" i="25"/>
  <c r="AD7" i="25"/>
  <c r="AD28" i="22"/>
  <c r="AD22" i="22"/>
  <c r="AD25" i="22"/>
  <c r="AD7" i="22"/>
  <c r="AD31" i="22"/>
  <c r="AD40" i="22"/>
  <c r="AD19" i="22"/>
  <c r="AD16" i="22"/>
  <c r="AD10" i="22"/>
  <c r="AD34" i="22"/>
  <c r="AD13" i="22"/>
  <c r="AD37" i="22"/>
  <c r="D13" i="40" l="1"/>
  <c r="AD43" i="32"/>
  <c r="AD43" i="31"/>
  <c r="AD43" i="29"/>
  <c r="D13" i="28" s="1"/>
  <c r="AD43" i="25"/>
  <c r="D13" i="24" s="1"/>
  <c r="AD43" i="4"/>
  <c r="AD43" i="27"/>
  <c r="AD43" i="22"/>
  <c r="D13" i="23" s="1"/>
  <c r="D14" i="40" l="1"/>
  <c r="E13" i="20"/>
  <c r="D13" i="33"/>
  <c r="D13" i="30"/>
  <c r="D14" i="30" s="1"/>
  <c r="E7" i="20" s="1"/>
  <c r="D13" i="16"/>
  <c r="D13" i="26"/>
  <c r="D14" i="28"/>
  <c r="E9" i="20" s="1"/>
  <c r="D14" i="24"/>
  <c r="E6" i="20" s="1"/>
  <c r="D14" i="23"/>
  <c r="E5" i="20" s="1"/>
  <c r="AD13" i="2"/>
  <c r="AD25" i="2"/>
  <c r="AD37" i="2"/>
  <c r="AD16" i="2"/>
  <c r="AD28" i="2"/>
  <c r="AD40" i="2"/>
  <c r="AD10" i="2"/>
  <c r="AD22" i="2"/>
  <c r="AD34" i="2"/>
  <c r="AD7" i="2"/>
  <c r="AD19" i="2"/>
  <c r="AD31" i="2"/>
  <c r="D14" i="33" l="1"/>
  <c r="E11" i="20" s="1"/>
  <c r="D14" i="26"/>
  <c r="E8" i="20" s="1"/>
  <c r="AD43" i="2"/>
  <c r="D13" i="6" s="1"/>
  <c r="D14" i="16" l="1"/>
  <c r="E10" i="20" s="1"/>
  <c r="D14" i="6"/>
  <c r="E4" i="20" s="1"/>
  <c r="E16" i="20" l="1"/>
</calcChain>
</file>

<file path=xl/sharedStrings.xml><?xml version="1.0" encoding="utf-8"?>
<sst xmlns="http://schemas.openxmlformats.org/spreadsheetml/2006/main" count="1029" uniqueCount="97">
  <si>
    <t>MES</t>
  </si>
  <si>
    <t>DÍA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</si>
  <si>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</si>
  <si>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</si>
  <si>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</si>
  <si>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</si>
  <si>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</si>
  <si>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</si>
  <si>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</si>
  <si>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</si>
  <si>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</si>
  <si>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</si>
  <si>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</si>
  <si>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</si>
  <si>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</si>
  <si>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</si>
  <si>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</si>
  <si>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</si>
  <si>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</si>
  <si>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</si>
  <si>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</si>
  <si>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</si>
  <si>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</si>
  <si>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</si>
  <si>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</si>
  <si>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</si>
  <si>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</t>
  </si>
  <si>
    <t>No. Dias</t>
  </si>
  <si>
    <t>TOTAL MES</t>
  </si>
  <si>
    <t>ORDINARIO</t>
  </si>
  <si>
    <t>SABADO</t>
  </si>
  <si>
    <t>ENERGÍA REQUERIDA</t>
  </si>
  <si>
    <t xml:space="preserve">EMPRESAS MUNICIPALES DE CALI- EMCALI EICE ESP </t>
  </si>
  <si>
    <t xml:space="preserve">CONVOCATORIA PÚBLICA PARA COMPRA DE ENERGÍA </t>
  </si>
  <si>
    <t>Energía solicitada (MWh)</t>
  </si>
  <si>
    <t>Total año</t>
  </si>
  <si>
    <t>NOTAS:</t>
  </si>
  <si>
    <t>3- La energía y los precios a ofertar deben ofrecerse en la  modalidad monomia.</t>
  </si>
  <si>
    <t>4- Las cantidades ofertadas siguen la curva indicada en los términos de referencia</t>
  </si>
  <si>
    <t>ENERGÍA PLANA A SOLICITAR AÑO 2026 PARA MERCADO REGULADO (MWh)</t>
  </si>
  <si>
    <t>PRODUCTO</t>
  </si>
  <si>
    <t>CURVA  /  PLANO</t>
  </si>
  <si>
    <t>Una sola convocatoria através del SICEP</t>
  </si>
  <si>
    <t>ENERGÍA PLANA A SOLICITAR AÑO 2027 PARA MERCADO REGULADO (MWh)</t>
  </si>
  <si>
    <t>ENERGÍA PLANA A SOLICITAR AÑO 2028 PARA MERCADO REGULADO (MWh)</t>
  </si>
  <si>
    <t>ENERGÍA PLANA A SOLICITAR AÑO 2029 PARA MERCADO REGULADO (MWh)</t>
  </si>
  <si>
    <t>AÑO</t>
  </si>
  <si>
    <t>ENERGÍA CURVA A SOLICITAR AÑO 2029 PARA MERCADO REGULADO (MWh)</t>
  </si>
  <si>
    <t>ENERGÍA CURVA A SOLICITAR AÑO 2028 PARA MERCADO REGULADO (MWh)</t>
  </si>
  <si>
    <t>ENERGÍA CURVA A SOLICITAR AÑO 2030 PARA MERCADO REGULADO (MWh)</t>
  </si>
  <si>
    <t>ENERGÍA CURVA A SOLICITAR AÑO 2031 PARA MERCADO REGULADO (MWh)</t>
  </si>
  <si>
    <t>ENERGÍA CURVA A SOLICITAR AÑO 2032 PARA MERCADO REGULADO (MWh)</t>
  </si>
  <si>
    <t>Plano</t>
  </si>
  <si>
    <t>Curva</t>
  </si>
  <si>
    <t>ANEXO No. 2 CANTIDADES Y PRECIOS OFERTADOS</t>
  </si>
  <si>
    <t>ANEXO No. 1 - CANTIDADES DE ENERGÍA HORARIA Y MENSUAL A CONTRATAR</t>
  </si>
  <si>
    <t>$/kWh</t>
  </si>
  <si>
    <t>Precio anual $/KWh</t>
  </si>
  <si>
    <t>1- La cantidad a ofertar puede ser parcial o total de la energía solicitada.</t>
  </si>
  <si>
    <t xml:space="preserve">Total </t>
  </si>
  <si>
    <t>ENERGÍA SOLICITADA (GWh/Año)</t>
  </si>
  <si>
    <t>MERCADO REGULADO CONVOCATORIA EMIC2025-003</t>
  </si>
  <si>
    <t>Código de Convocatoria SICEP No. CP-EMIC2025-003</t>
  </si>
  <si>
    <t>FESTIVO</t>
  </si>
  <si>
    <t>PRODUCTO 5 - 1 DE ENERO A 31 DE DICIEMBRE 2029</t>
  </si>
  <si>
    <t>PRODUCTO 4 - 1 DE ENERO A 31 DE DICIEMBRE 2028</t>
  </si>
  <si>
    <t>PRODUCTO 3 - 1 DE ENERO A 31 DE DICIEMBRE 2028</t>
  </si>
  <si>
    <t>PRODUCTO 2 - 1 DE ENERO A 31 DE DICIEMBRE 2027</t>
  </si>
  <si>
    <t>PRODUCTO 1 - 1 DE ENERO  A 31 DE DICIEMBRE 2026</t>
  </si>
  <si>
    <t>PRODUCTO 6 - 1 DE ENERO 2026 A 31 DE DICIEMBRE 2029</t>
  </si>
  <si>
    <t>PRODUCTO 7 - 1 DE ENERO  A 31 DE DICIEMBRE 2030</t>
  </si>
  <si>
    <t>ENERGÍA PLANO A SOLICITAR AÑO 2030 PARA MERCADO REGULADO (MWh)</t>
  </si>
  <si>
    <t xml:space="preserve">AÑO </t>
  </si>
  <si>
    <r>
      <rPr>
        <b/>
        <sz val="14"/>
        <color theme="1"/>
        <rFont val="Arial"/>
        <family val="2"/>
      </rPr>
      <t>PRODUCTO 7</t>
    </r>
    <r>
      <rPr>
        <sz val="14"/>
        <color theme="1"/>
        <rFont val="Arial"/>
        <family val="2"/>
      </rPr>
      <t xml:space="preserve"> - 1 DE ENERO A 31 DE DICIEMBRE 2030 - PLANO</t>
    </r>
  </si>
  <si>
    <r>
      <rPr>
        <b/>
        <sz val="14"/>
        <color theme="1"/>
        <rFont val="Arial"/>
        <family val="2"/>
      </rPr>
      <t>PRODUCTO 6</t>
    </r>
    <r>
      <rPr>
        <sz val="14"/>
        <color theme="1"/>
        <rFont val="Arial"/>
        <family val="2"/>
      </rPr>
      <t xml:space="preserve"> - 1 DE ENERO A 31 DE DICIEMBRE 2029 - CURVA</t>
    </r>
  </si>
  <si>
    <r>
      <rPr>
        <b/>
        <sz val="14"/>
        <color theme="1"/>
        <rFont val="Arial"/>
        <family val="2"/>
      </rPr>
      <t>PRODUCTO 5</t>
    </r>
    <r>
      <rPr>
        <sz val="14"/>
        <color theme="1"/>
        <rFont val="Arial"/>
        <family val="2"/>
      </rPr>
      <t xml:space="preserve"> - 1 DE ENERO A 31 DE DICIEMBRE 2029 - PLANO</t>
    </r>
  </si>
  <si>
    <r>
      <rPr>
        <b/>
        <sz val="14"/>
        <color theme="1"/>
        <rFont val="Arial"/>
        <family val="2"/>
      </rPr>
      <t>PRODUCTO 4</t>
    </r>
    <r>
      <rPr>
        <sz val="14"/>
        <color theme="1"/>
        <rFont val="Arial"/>
        <family val="2"/>
      </rPr>
      <t xml:space="preserve"> - 1 DE ENERO A 31 DE DICIEMBRE 2028 - CURVA</t>
    </r>
  </si>
  <si>
    <r>
      <rPr>
        <b/>
        <sz val="14"/>
        <color theme="1"/>
        <rFont val="Arial"/>
        <family val="2"/>
      </rPr>
      <t>PRODUCTO 3</t>
    </r>
    <r>
      <rPr>
        <sz val="14"/>
        <color theme="1"/>
        <rFont val="Arial"/>
        <family val="2"/>
      </rPr>
      <t xml:space="preserve"> - 1 DE ENERO A 31 DE DICIEMBRE 2028 - PLANO</t>
    </r>
  </si>
  <si>
    <r>
      <rPr>
        <b/>
        <sz val="14"/>
        <color theme="1"/>
        <rFont val="Arial"/>
        <family val="2"/>
      </rPr>
      <t>PRODUCTO 2</t>
    </r>
    <r>
      <rPr>
        <sz val="14"/>
        <color theme="1"/>
        <rFont val="Arial"/>
        <family val="2"/>
      </rPr>
      <t xml:space="preserve"> - 1 DE ENERO A 31 DE DICIEMBRE 2027 - PLANO</t>
    </r>
  </si>
  <si>
    <r>
      <rPr>
        <b/>
        <sz val="14"/>
        <color theme="1"/>
        <rFont val="Arial"/>
        <family val="2"/>
      </rPr>
      <t>PRODUCTO 1</t>
    </r>
    <r>
      <rPr>
        <sz val="14"/>
        <color theme="1"/>
        <rFont val="Arial"/>
        <family val="2"/>
      </rPr>
      <t xml:space="preserve"> - 1 DE ENERO A 31 DE DICIEMBRE 2026 - PLANO</t>
    </r>
  </si>
  <si>
    <r>
      <rPr>
        <b/>
        <sz val="14"/>
        <color theme="1"/>
        <rFont val="Arial"/>
        <family val="2"/>
      </rPr>
      <t>PRODUCTO 8</t>
    </r>
    <r>
      <rPr>
        <sz val="14"/>
        <color theme="1"/>
        <rFont val="Arial"/>
        <family val="2"/>
      </rPr>
      <t xml:space="preserve"> - 1 DE ENERO A 31 DE DICIEMBRE 2030 - CURVA</t>
    </r>
  </si>
  <si>
    <t>PRODUCTO 8 - 1 DE ENERO  A 31 DE DICIEMBRE 2030</t>
  </si>
  <si>
    <t>PRODUCTO 9 - 1 DE ENERO A 31 DE DICIEMBRE 2031</t>
  </si>
  <si>
    <t>ENERGÍA PLANO A SOLICITAR AÑO 2031 PARA MERCADO REGULADO (MWh)</t>
  </si>
  <si>
    <r>
      <rPr>
        <b/>
        <sz val="14"/>
        <color theme="1"/>
        <rFont val="Arial"/>
        <family val="2"/>
      </rPr>
      <t>PRODUCTO 9</t>
    </r>
    <r>
      <rPr>
        <sz val="14"/>
        <color theme="1"/>
        <rFont val="Arial"/>
        <family val="2"/>
      </rPr>
      <t xml:space="preserve"> - 1 DE ENERO  A 31 DE DICIEMBRE 2031 - PLANO</t>
    </r>
  </si>
  <si>
    <r>
      <rPr>
        <b/>
        <sz val="14"/>
        <color theme="1"/>
        <rFont val="Arial"/>
        <family val="2"/>
      </rPr>
      <t>PRODUCTO 10</t>
    </r>
    <r>
      <rPr>
        <sz val="14"/>
        <color theme="1"/>
        <rFont val="Arial"/>
        <family val="2"/>
      </rPr>
      <t xml:space="preserve"> - 1 DE ENERO  A 31 DE DICIEMBRE 2031 - CURVA</t>
    </r>
  </si>
  <si>
    <t>PRODUCTO 11 - 1 DE ENERO A 31 DE DICIEMBRE 2032</t>
  </si>
  <si>
    <t>ENERGÍA PLANO A SOLICITAR AÑO 2032 PARA MERCADO REGULADO (MWh)</t>
  </si>
  <si>
    <r>
      <rPr>
        <b/>
        <sz val="14"/>
        <color theme="1"/>
        <rFont val="Arial"/>
        <family val="2"/>
      </rPr>
      <t>PRODUCTO 12</t>
    </r>
    <r>
      <rPr>
        <sz val="14"/>
        <color theme="1"/>
        <rFont val="Arial"/>
        <family val="2"/>
      </rPr>
      <t xml:space="preserve"> - 1 DE ENERO A 31 DE DICIEMBRE 2032 - CURVA</t>
    </r>
  </si>
  <si>
    <t>PRODUCTO 12 - 1 DE ENERO A 31 DE DICIEMBRE 2032</t>
  </si>
  <si>
    <r>
      <rPr>
        <b/>
        <sz val="14"/>
        <color theme="1"/>
        <rFont val="Arial"/>
        <family val="2"/>
      </rPr>
      <t>PRODUCTO 11</t>
    </r>
    <r>
      <rPr>
        <sz val="14"/>
        <color theme="1"/>
        <rFont val="Arial"/>
        <family val="2"/>
      </rPr>
      <t xml:space="preserve"> - 1 DE ENERO A 31 DE DICIEMBRE 2032 - PLANO</t>
    </r>
  </si>
  <si>
    <t>Energía Ofertada (MWh)</t>
  </si>
  <si>
    <t>4- Precios en pesos constantes del mes de agosto de 2025.</t>
  </si>
  <si>
    <t>2- Se debe ofertar mínimo quince (15) MWh para cada período horario ofertado</t>
  </si>
  <si>
    <t>2- Precios en pesos constantes del mes de agosto de 2025.</t>
  </si>
  <si>
    <t>1 DE ENERO A 31 DE DICIEMBRE 2028</t>
  </si>
  <si>
    <t>1- Se debe ofertar todo el año, la misma cantidad horaria por período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</si>
</sst>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-* #,##0.00_-;\-* #,##0.00_-;_-* &quot;-&quot;_-;_-@_-"/>
    <numFmt numFmtId="166" formatCode="#,##0_ ;\-#,##0\ "/>
    <numFmt numFmtId="167" formatCode="_-* #,##0_-;\-* #,##0_-;_-* &quot;-&quot;??_-;_-@_-"/>
    <numFmt numFmtId="168" formatCode="0.0000%"/>
  </numFmts>
  <fonts count="12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2"/>
      <color rgb="FF000000"/>
      <name val="Arial"/>
      <family val="2"/>
    </font>
    <font>
      <b/>
      <sz val="18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0" fillId="0" borderId="2" xfId="0" applyBorder="1"/>
    <xf numFmtId="0" fontId="0" fillId="2" borderId="0" xfId="0" applyFill="1"/>
    <xf numFmtId="165" fontId="0" fillId="0" borderId="2" xfId="2" applyNumberFormat="1" applyFont="1" applyBorder="1"/>
    <xf numFmtId="0" fontId="5" fillId="0" borderId="0" xfId="0" applyFont="1"/>
    <xf numFmtId="0" fontId="0" fillId="0" borderId="2" xfId="0" applyBorder="1" applyAlignment="1">
      <alignment horizontal="center" vertical="center" wrapText="1"/>
    </xf>
    <xf numFmtId="0" fontId="5" fillId="0" borderId="2" xfId="0" applyFont="1" applyBorder="1"/>
    <xf numFmtId="41" fontId="0" fillId="0" borderId="0" xfId="0" applyNumberFormat="1"/>
    <xf numFmtId="9" fontId="0" fillId="0" borderId="2" xfId="0" applyNumberFormat="1" applyBorder="1" applyAlignment="1">
      <alignment vertical="center"/>
    </xf>
    <xf numFmtId="0" fontId="0" fillId="0" borderId="3" xfId="0" applyBorder="1"/>
    <xf numFmtId="0" fontId="0" fillId="0" borderId="7" xfId="0" applyBorder="1"/>
    <xf numFmtId="0" fontId="0" fillId="0" borderId="4" xfId="0" applyBorder="1"/>
    <xf numFmtId="0" fontId="6" fillId="0" borderId="0" xfId="0" applyFont="1" applyAlignment="1">
      <alignment horizontal="left" vertical="center"/>
    </xf>
    <xf numFmtId="0" fontId="0" fillId="0" borderId="8" xfId="0" applyBorder="1"/>
    <xf numFmtId="0" fontId="5" fillId="0" borderId="8" xfId="0" applyFont="1" applyBorder="1"/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8" fillId="2" borderId="0" xfId="0" applyFont="1" applyFill="1"/>
    <xf numFmtId="0" fontId="3" fillId="3" borderId="2" xfId="0" applyFont="1" applyFill="1" applyBorder="1" applyAlignment="1">
      <alignment horizontal="center"/>
    </xf>
    <xf numFmtId="3" fontId="3" fillId="2" borderId="2" xfId="0" applyNumberFormat="1" applyFont="1" applyFill="1" applyBorder="1"/>
    <xf numFmtId="164" fontId="0" fillId="2" borderId="2" xfId="0" applyNumberFormat="1" applyFill="1" applyBorder="1"/>
    <xf numFmtId="164" fontId="4" fillId="4" borderId="2" xfId="0" applyNumberFormat="1" applyFont="1" applyFill="1" applyBorder="1"/>
    <xf numFmtId="43" fontId="0" fillId="0" borderId="2" xfId="1" applyFont="1" applyBorder="1"/>
    <xf numFmtId="0" fontId="0" fillId="0" borderId="2" xfId="0" applyBorder="1" applyAlignment="1">
      <alignment horizontal="center"/>
    </xf>
    <xf numFmtId="166" fontId="0" fillId="0" borderId="2" xfId="2" applyNumberFormat="1" applyFont="1" applyBorder="1" applyAlignment="1">
      <alignment horizontal="center" vertical="center"/>
    </xf>
    <xf numFmtId="166" fontId="5" fillId="0" borderId="2" xfId="2" applyNumberFormat="1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41" fontId="0" fillId="2" borderId="0" xfId="0" applyNumberForma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/>
    <xf numFmtId="0" fontId="0" fillId="2" borderId="8" xfId="0" applyFill="1" applyBorder="1"/>
    <xf numFmtId="0" fontId="7" fillId="2" borderId="0" xfId="0" applyFont="1" applyFill="1" applyAlignment="1">
      <alignment vertical="center"/>
    </xf>
    <xf numFmtId="0" fontId="0" fillId="2" borderId="5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7" xfId="0" applyFill="1" applyBorder="1"/>
    <xf numFmtId="0" fontId="6" fillId="2" borderId="0" xfId="0" applyFont="1" applyFill="1" applyAlignment="1">
      <alignment horizontal="left" vertical="center"/>
    </xf>
    <xf numFmtId="0" fontId="5" fillId="2" borderId="0" xfId="0" applyFont="1" applyFill="1"/>
    <xf numFmtId="0" fontId="5" fillId="2" borderId="8" xfId="0" applyFont="1" applyFill="1" applyBorder="1"/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166" fontId="0" fillId="2" borderId="2" xfId="2" applyNumberFormat="1" applyFont="1" applyFill="1" applyBorder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5" fillId="2" borderId="2" xfId="0" applyFont="1" applyFill="1" applyBorder="1"/>
    <xf numFmtId="166" fontId="5" fillId="2" borderId="2" xfId="2" applyNumberFormat="1" applyFont="1" applyFill="1" applyBorder="1" applyAlignment="1">
      <alignment horizontal="center" vertical="center"/>
    </xf>
    <xf numFmtId="41" fontId="0" fillId="2" borderId="0" xfId="0" applyNumberFormat="1" applyFill="1"/>
    <xf numFmtId="9" fontId="0" fillId="2" borderId="2" xfId="0" applyNumberForma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9" fontId="0" fillId="0" borderId="0" xfId="3" applyFont="1"/>
    <xf numFmtId="167" fontId="0" fillId="2" borderId="0" xfId="1" applyNumberFormat="1" applyFont="1" applyFill="1" applyAlignment="1">
      <alignment vertical="center"/>
    </xf>
    <xf numFmtId="164" fontId="0" fillId="0" borderId="0" xfId="0" applyNumberFormat="1"/>
    <xf numFmtId="43" fontId="0" fillId="0" borderId="0" xfId="0" applyNumberFormat="1"/>
    <xf numFmtId="3" fontId="3" fillId="2" borderId="2" xfId="0" applyNumberFormat="1" applyFont="1" applyFill="1" applyBorder="1" applyAlignment="1">
      <alignment horizontal="center" vertical="center"/>
    </xf>
    <xf numFmtId="43" fontId="0" fillId="0" borderId="2" xfId="1" applyFont="1" applyBorder="1" applyAlignment="1">
      <alignment vertical="center"/>
    </xf>
    <xf numFmtId="10" fontId="0" fillId="0" borderId="0" xfId="3" applyNumberFormat="1" applyFont="1"/>
    <xf numFmtId="165" fontId="0" fillId="0" borderId="0" xfId="0" applyNumberFormat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11" fillId="0" borderId="0" xfId="0" applyFont="1"/>
    <xf numFmtId="168" fontId="0" fillId="0" borderId="0" xfId="3" applyNumberFormat="1" applyFont="1"/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17" fontId="3" fillId="0" borderId="2" xfId="0" applyNumberFormat="1" applyFont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17" fontId="3" fillId="0" borderId="11" xfId="0" applyNumberFormat="1" applyFont="1" applyBorder="1" applyAlignment="1">
      <alignment horizontal="center" vertical="center" wrapText="1"/>
    </xf>
    <xf numFmtId="17" fontId="3" fillId="0" borderId="12" xfId="0" applyNumberFormat="1" applyFont="1" applyBorder="1" applyAlignment="1">
      <alignment horizontal="center" vertical="center" wrapText="1"/>
    </xf>
    <xf numFmtId="17" fontId="3" fillId="0" borderId="13" xfId="0" applyNumberFormat="1" applyFont="1" applyBorder="1" applyAlignment="1">
      <alignment horizontal="center" vertical="center" wrapText="1"/>
    </xf>
  </cellXfs>
  <cellStyles count="4">
    <cellStyle name="Millares" xfId="1" builtinId="3"/>
    <cellStyle name="Millares [0]" xfId="2" builtinId="6"/>
    <cellStyle name="Normal" xfId="0" builtinId="0"/>
    <cellStyle name="Porcentaje" xfId="3" builtinId="5"/>
  </cellStyles>
  <dxfs count="12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</xdr:colOff>
      <xdr:row>2</xdr:row>
      <xdr:rowOff>154940</xdr:rowOff>
    </xdr:from>
    <xdr:to>
      <xdr:col>1</xdr:col>
      <xdr:colOff>930300</xdr:colOff>
      <xdr:row>6</xdr:row>
      <xdr:rowOff>178860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995" y="551815"/>
          <a:ext cx="827430" cy="912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134302</xdr:colOff>
      <xdr:row>2</xdr:row>
      <xdr:rowOff>152400</xdr:rowOff>
    </xdr:from>
    <xdr:to>
      <xdr:col>1</xdr:col>
      <xdr:colOff>961732</xdr:colOff>
      <xdr:row>6</xdr:row>
      <xdr:rowOff>163938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B9CC2B-2915-4DA4-B486-574054366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802" y="549275"/>
          <a:ext cx="827430" cy="9005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</xdr:colOff>
      <xdr:row>2</xdr:row>
      <xdr:rowOff>32385</xdr:rowOff>
    </xdr:from>
    <xdr:to>
      <xdr:col>1</xdr:col>
      <xdr:colOff>890295</xdr:colOff>
      <xdr:row>6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9F0694-66FD-4C2B-80AB-95D059C67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40" y="429260"/>
          <a:ext cx="827430" cy="10090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</xdr:colOff>
      <xdr:row>2</xdr:row>
      <xdr:rowOff>22860</xdr:rowOff>
    </xdr:from>
    <xdr:to>
      <xdr:col>1</xdr:col>
      <xdr:colOff>890295</xdr:colOff>
      <xdr:row>7</xdr:row>
      <xdr:rowOff>74295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BD10D2-AC4A-4595-85FA-617A13520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265" y="403860"/>
          <a:ext cx="827430" cy="11468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</xdr:colOff>
      <xdr:row>2</xdr:row>
      <xdr:rowOff>51435</xdr:rowOff>
    </xdr:from>
    <xdr:to>
      <xdr:col>1</xdr:col>
      <xdr:colOff>890295</xdr:colOff>
      <xdr:row>6</xdr:row>
      <xdr:rowOff>179070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3915E6-B233-49DB-AE74-5A7745235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" y="448310"/>
          <a:ext cx="827430" cy="1016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</xdr:colOff>
      <xdr:row>2</xdr:row>
      <xdr:rowOff>13335</xdr:rowOff>
    </xdr:from>
    <xdr:to>
      <xdr:col>1</xdr:col>
      <xdr:colOff>868680</xdr:colOff>
      <xdr:row>6</xdr:row>
      <xdr:rowOff>148590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C593EC-E0D3-40A5-BA64-16943AA75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265" y="394335"/>
          <a:ext cx="805815" cy="10115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</xdr:row>
      <xdr:rowOff>95250</xdr:rowOff>
    </xdr:from>
    <xdr:to>
      <xdr:col>1</xdr:col>
      <xdr:colOff>903630</xdr:colOff>
      <xdr:row>6</xdr:row>
      <xdr:rowOff>116313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3785A2-83BD-4D51-AC4D-25019AAB9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700" y="492125"/>
          <a:ext cx="827430" cy="91006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</xdr:row>
      <xdr:rowOff>57150</xdr:rowOff>
    </xdr:from>
    <xdr:to>
      <xdr:col>1</xdr:col>
      <xdr:colOff>903630</xdr:colOff>
      <xdr:row>6</xdr:row>
      <xdr:rowOff>198228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8C5013-0713-4C10-B221-702EEB874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438150"/>
          <a:ext cx="827430" cy="101737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2</xdr:row>
      <xdr:rowOff>76200</xdr:rowOff>
    </xdr:from>
    <xdr:to>
      <xdr:col>1</xdr:col>
      <xdr:colOff>900455</xdr:colOff>
      <xdr:row>7</xdr:row>
      <xdr:rowOff>158223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681FE-6BA6-49B7-92AF-CF9F405E2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225" y="473075"/>
          <a:ext cx="814730" cy="119327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2</xdr:row>
      <xdr:rowOff>59302</xdr:rowOff>
    </xdr:from>
    <xdr:to>
      <xdr:col>1</xdr:col>
      <xdr:colOff>1047750</xdr:colOff>
      <xdr:row>7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B7228E-F02A-445F-9EA2-AF9BE93FC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440302"/>
          <a:ext cx="895350" cy="118847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2</xdr:row>
      <xdr:rowOff>19050</xdr:rowOff>
    </xdr:from>
    <xdr:to>
      <xdr:col>1</xdr:col>
      <xdr:colOff>960780</xdr:colOff>
      <xdr:row>7</xdr:row>
      <xdr:rowOff>91548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B68F4E-122F-4B70-900D-669099C0D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850" y="415925"/>
          <a:ext cx="827430" cy="118374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2</xdr:row>
      <xdr:rowOff>19050</xdr:rowOff>
    </xdr:from>
    <xdr:to>
      <xdr:col>1</xdr:col>
      <xdr:colOff>960780</xdr:colOff>
      <xdr:row>8</xdr:row>
      <xdr:rowOff>53448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AFA56E-E139-4447-B978-6BE0895EE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930" y="400050"/>
          <a:ext cx="827430" cy="1177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3E9A-127C-49DE-B484-630878ED4AAB}">
  <sheetPr>
    <tabColor theme="4"/>
    <pageSetUpPr fitToPage="1"/>
  </sheetPr>
  <dimension ref="B2:F23"/>
  <sheetViews>
    <sheetView showGridLines="0" tabSelected="1" workbookViewId="0">
      <selection activeCell="K15" sqref="K15"/>
    </sheetView>
  </sheetViews>
  <sheetFormatPr baseColWidth="10" defaultColWidth="10.88671875" defaultRowHeight="15" x14ac:dyDescent="0.2"/>
  <cols>
    <col min="1" max="1" width="1.5546875" style="30" customWidth="1"/>
    <col min="2" max="2" width="10.88671875" style="30"/>
    <col min="3" max="3" width="17" style="30" bestFit="1" customWidth="1"/>
    <col min="4" max="4" width="10.5546875" style="30" customWidth="1"/>
    <col min="5" max="5" width="12.44140625" style="30" bestFit="1" customWidth="1"/>
    <col min="6" max="6" width="8.109375" style="30" customWidth="1"/>
    <col min="7" max="16384" width="10.88671875" style="30"/>
  </cols>
  <sheetData>
    <row r="2" spans="2:6" ht="15.75" x14ac:dyDescent="0.2">
      <c r="B2" s="32" t="s">
        <v>61</v>
      </c>
    </row>
    <row r="3" spans="2:6" ht="47.25" x14ac:dyDescent="0.2">
      <c r="B3" s="82" t="s">
        <v>40</v>
      </c>
      <c r="C3" s="82" t="s">
        <v>46</v>
      </c>
      <c r="D3" s="83" t="s">
        <v>41</v>
      </c>
      <c r="E3" s="83" t="s">
        <v>60</v>
      </c>
      <c r="F3" s="51"/>
    </row>
    <row r="4" spans="2:6" ht="15" customHeight="1" x14ac:dyDescent="0.2">
      <c r="B4" s="33">
        <v>1</v>
      </c>
      <c r="C4" s="33">
        <v>2026</v>
      </c>
      <c r="D4" s="33" t="s">
        <v>52</v>
      </c>
      <c r="E4" s="35">
        <f>P1_Anexo_2_2026!D14/1000</f>
        <v>700.8</v>
      </c>
      <c r="F4" s="77"/>
    </row>
    <row r="5" spans="2:6" x14ac:dyDescent="0.2">
      <c r="B5" s="33">
        <v>2</v>
      </c>
      <c r="C5" s="33">
        <v>2027</v>
      </c>
      <c r="D5" s="33" t="s">
        <v>52</v>
      </c>
      <c r="E5" s="35">
        <f>P2_Anexo_2_2027!D14/1000</f>
        <v>769.04039999999986</v>
      </c>
      <c r="F5" s="77"/>
    </row>
    <row r="6" spans="2:6" ht="15" customHeight="1" x14ac:dyDescent="0.2">
      <c r="B6" s="33">
        <v>3</v>
      </c>
      <c r="C6" s="33">
        <v>2028</v>
      </c>
      <c r="D6" s="33" t="s">
        <v>52</v>
      </c>
      <c r="E6" s="35">
        <f>P3_Anexo_2_2028!D14/1000</f>
        <v>695.78064000000018</v>
      </c>
      <c r="F6" s="78"/>
    </row>
    <row r="7" spans="2:6" x14ac:dyDescent="0.2">
      <c r="B7" s="33">
        <v>4</v>
      </c>
      <c r="C7" s="33">
        <v>2028</v>
      </c>
      <c r="D7" s="35" t="s">
        <v>53</v>
      </c>
      <c r="E7" s="35">
        <f>P4_Anexo_2_2028!D14/1000</f>
        <v>833.75818000000004</v>
      </c>
      <c r="F7" s="78"/>
    </row>
    <row r="8" spans="2:6" x14ac:dyDescent="0.2">
      <c r="B8" s="33">
        <v>5</v>
      </c>
      <c r="C8" s="33">
        <v>2029</v>
      </c>
      <c r="D8" s="33" t="s">
        <v>52</v>
      </c>
      <c r="E8" s="35">
        <f>P5_Anexo_2_2029!D14/1000</f>
        <v>673.55640000000039</v>
      </c>
      <c r="F8" s="78"/>
    </row>
    <row r="9" spans="2:6" x14ac:dyDescent="0.2">
      <c r="B9" s="33">
        <v>6</v>
      </c>
      <c r="C9" s="33">
        <v>2029</v>
      </c>
      <c r="D9" s="35" t="s">
        <v>53</v>
      </c>
      <c r="E9" s="35">
        <f>P6_Anexo_2_2029!D14/1000</f>
        <v>807.89053999999999</v>
      </c>
      <c r="F9" s="79"/>
    </row>
    <row r="10" spans="2:6" x14ac:dyDescent="0.2">
      <c r="B10" s="33">
        <v>7</v>
      </c>
      <c r="C10" s="33">
        <v>2030</v>
      </c>
      <c r="D10" s="33" t="s">
        <v>52</v>
      </c>
      <c r="E10" s="35">
        <f>P7_Anexo_2_2030!D14/1000</f>
        <v>562.12920000000008</v>
      </c>
      <c r="F10" s="79"/>
    </row>
    <row r="11" spans="2:6" x14ac:dyDescent="0.2">
      <c r="B11" s="33">
        <v>8</v>
      </c>
      <c r="C11" s="33">
        <v>2030</v>
      </c>
      <c r="D11" s="35" t="s">
        <v>53</v>
      </c>
      <c r="E11" s="35">
        <f>P8_Anexo_2_2030!D14/1000</f>
        <v>675.43634999999995</v>
      </c>
      <c r="F11" s="79"/>
    </row>
    <row r="12" spans="2:6" x14ac:dyDescent="0.2">
      <c r="B12" s="33">
        <v>9</v>
      </c>
      <c r="C12" s="33">
        <v>2031</v>
      </c>
      <c r="D12" s="33" t="s">
        <v>52</v>
      </c>
      <c r="E12" s="35">
        <f>P9_Anexo_2_2031!D14/1000</f>
        <v>450.70200000000023</v>
      </c>
      <c r="F12" s="79"/>
    </row>
    <row r="13" spans="2:6" x14ac:dyDescent="0.2">
      <c r="B13" s="33">
        <v>10</v>
      </c>
      <c r="C13" s="33">
        <v>2031</v>
      </c>
      <c r="D13" s="35" t="s">
        <v>53</v>
      </c>
      <c r="E13" s="35">
        <f>P10_Anexo_2_2031!D13/1000</f>
        <v>541.01553999999999</v>
      </c>
      <c r="F13" s="79"/>
    </row>
    <row r="14" spans="2:6" x14ac:dyDescent="0.2">
      <c r="B14" s="33">
        <v>11</v>
      </c>
      <c r="C14" s="33">
        <v>2032</v>
      </c>
      <c r="D14" s="33" t="s">
        <v>52</v>
      </c>
      <c r="E14" s="35">
        <f>P11_Anexo_2_2032!D14/1000</f>
        <v>338.18400000000003</v>
      </c>
      <c r="F14" s="79"/>
    </row>
    <row r="15" spans="2:6" x14ac:dyDescent="0.2">
      <c r="B15" s="33">
        <v>12</v>
      </c>
      <c r="C15" s="33">
        <v>2032</v>
      </c>
      <c r="D15" s="35" t="s">
        <v>53</v>
      </c>
      <c r="E15" s="35">
        <f>P12_Anexo_2_2032!D14/1000</f>
        <v>405.85487000000006</v>
      </c>
      <c r="F15" s="79"/>
    </row>
    <row r="16" spans="2:6" x14ac:dyDescent="0.2">
      <c r="B16" s="84" t="s">
        <v>59</v>
      </c>
      <c r="C16" s="84"/>
      <c r="D16" s="84"/>
      <c r="E16" s="35">
        <f>SUM(E4:E15)</f>
        <v>7454.1481200000017</v>
      </c>
      <c r="F16" s="37"/>
    </row>
    <row r="17" spans="2:5" x14ac:dyDescent="0.2">
      <c r="B17" s="30" t="s">
        <v>36</v>
      </c>
    </row>
    <row r="18" spans="2:5" x14ac:dyDescent="0.2">
      <c r="B18" s="30" t="s">
        <v>42</v>
      </c>
    </row>
    <row r="21" spans="2:5" x14ac:dyDescent="0.2">
      <c r="C21" s="70"/>
      <c r="D21" s="70"/>
      <c r="E21" s="70"/>
    </row>
    <row r="22" spans="2:5" x14ac:dyDescent="0.2">
      <c r="C22" s="70"/>
      <c r="D22" s="70"/>
      <c r="E22" s="70"/>
    </row>
    <row r="23" spans="2:5" x14ac:dyDescent="0.2">
      <c r="E23" s="70"/>
    </row>
  </sheetData>
  <mergeCells count="1">
    <mergeCell ref="B16:D16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2:AD43"/>
  <sheetViews>
    <sheetView showGridLines="0" zoomScale="60" zoomScaleNormal="6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G13" sqref="AG13"/>
    </sheetView>
  </sheetViews>
  <sheetFormatPr baseColWidth="10" defaultRowHeight="15" x14ac:dyDescent="0.2"/>
  <cols>
    <col min="1" max="1" width="2.21875" customWidth="1"/>
    <col min="4" max="27" width="8.109375" bestFit="1" customWidth="1"/>
    <col min="28" max="28" width="7.109375" bestFit="1" customWidth="1"/>
    <col min="29" max="29" width="8.6640625" bestFit="1" customWidth="1"/>
    <col min="30" max="30" width="11.109375" bestFit="1" customWidth="1"/>
  </cols>
  <sheetData>
    <row r="2" spans="2:30" ht="23.25" x14ac:dyDescent="0.35">
      <c r="B2" s="1" t="s">
        <v>55</v>
      </c>
    </row>
    <row r="3" spans="2:30" ht="23.25" x14ac:dyDescent="0.35">
      <c r="B3" s="1" t="s">
        <v>68</v>
      </c>
      <c r="S3" s="81"/>
    </row>
    <row r="4" spans="2:30" ht="23.25" x14ac:dyDescent="0.35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1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2:30" ht="23.25" x14ac:dyDescent="0.35">
      <c r="B5" s="1" t="s">
        <v>39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2:30" x14ac:dyDescent="0.2">
      <c r="B6" s="22" t="s">
        <v>0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  <c r="J6" s="22" t="s">
        <v>8</v>
      </c>
      <c r="K6" s="22" t="s">
        <v>9</v>
      </c>
      <c r="L6" s="22" t="s">
        <v>10</v>
      </c>
      <c r="M6" s="22" t="s">
        <v>11</v>
      </c>
      <c r="N6" s="22" t="s">
        <v>12</v>
      </c>
      <c r="O6" s="22" t="s">
        <v>13</v>
      </c>
      <c r="P6" s="22" t="s">
        <v>14</v>
      </c>
      <c r="Q6" s="22" t="s">
        <v>15</v>
      </c>
      <c r="R6" s="22" t="s">
        <v>16</v>
      </c>
      <c r="S6" s="22" t="s">
        <v>17</v>
      </c>
      <c r="T6" s="22" t="s">
        <v>18</v>
      </c>
      <c r="U6" s="22" t="s">
        <v>19</v>
      </c>
      <c r="V6" s="22" t="s">
        <v>20</v>
      </c>
      <c r="W6" s="22" t="s">
        <v>21</v>
      </c>
      <c r="X6" s="22" t="s">
        <v>22</v>
      </c>
      <c r="Y6" s="22" t="s">
        <v>23</v>
      </c>
      <c r="Z6" s="22" t="s">
        <v>24</v>
      </c>
      <c r="AA6" s="22" t="s">
        <v>25</v>
      </c>
      <c r="AB6" s="22" t="s">
        <v>26</v>
      </c>
      <c r="AC6" s="22" t="s">
        <v>27</v>
      </c>
      <c r="AD6" s="22" t="s">
        <v>28</v>
      </c>
    </row>
    <row r="7" spans="2:30" x14ac:dyDescent="0.2">
      <c r="B7" s="85">
        <v>46023</v>
      </c>
      <c r="C7" s="2" t="s">
        <v>29</v>
      </c>
      <c r="D7" s="26">
        <v>80</v>
      </c>
      <c r="E7" s="26">
        <v>80</v>
      </c>
      <c r="F7" s="26">
        <v>80</v>
      </c>
      <c r="G7" s="26">
        <v>80</v>
      </c>
      <c r="H7" s="26">
        <v>80</v>
      </c>
      <c r="I7" s="26">
        <v>80</v>
      </c>
      <c r="J7" s="26">
        <v>80</v>
      </c>
      <c r="K7" s="26">
        <v>80</v>
      </c>
      <c r="L7" s="26">
        <v>80</v>
      </c>
      <c r="M7" s="26">
        <v>80</v>
      </c>
      <c r="N7" s="26">
        <v>80</v>
      </c>
      <c r="O7" s="26">
        <v>80</v>
      </c>
      <c r="P7" s="26">
        <v>80</v>
      </c>
      <c r="Q7" s="26">
        <v>80</v>
      </c>
      <c r="R7" s="26">
        <v>80</v>
      </c>
      <c r="S7" s="26">
        <v>80</v>
      </c>
      <c r="T7" s="26">
        <v>80</v>
      </c>
      <c r="U7" s="26">
        <v>80</v>
      </c>
      <c r="V7" s="26">
        <v>80</v>
      </c>
      <c r="W7" s="26">
        <v>80</v>
      </c>
      <c r="X7" s="26">
        <v>80</v>
      </c>
      <c r="Y7" s="26">
        <v>80</v>
      </c>
      <c r="Z7" s="26">
        <v>80</v>
      </c>
      <c r="AA7" s="26">
        <v>80</v>
      </c>
      <c r="AB7" s="23">
        <f>SUM(D7:AA7)</f>
        <v>1920</v>
      </c>
      <c r="AC7" s="24">
        <v>20</v>
      </c>
      <c r="AD7" s="86">
        <f>+AB7*AC7+AB8*AC8+AB9*AC9</f>
        <v>59520</v>
      </c>
    </row>
    <row r="8" spans="2:30" x14ac:dyDescent="0.2">
      <c r="B8" s="85"/>
      <c r="C8" s="2" t="s">
        <v>30</v>
      </c>
      <c r="D8" s="26">
        <v>80</v>
      </c>
      <c r="E8" s="26">
        <v>80</v>
      </c>
      <c r="F8" s="26">
        <v>80</v>
      </c>
      <c r="G8" s="26">
        <v>80</v>
      </c>
      <c r="H8" s="26">
        <v>80</v>
      </c>
      <c r="I8" s="26">
        <v>80</v>
      </c>
      <c r="J8" s="26">
        <v>80</v>
      </c>
      <c r="K8" s="26">
        <v>80</v>
      </c>
      <c r="L8" s="26">
        <v>80</v>
      </c>
      <c r="M8" s="26">
        <v>80</v>
      </c>
      <c r="N8" s="26">
        <v>80</v>
      </c>
      <c r="O8" s="26">
        <v>80</v>
      </c>
      <c r="P8" s="26">
        <v>80</v>
      </c>
      <c r="Q8" s="26">
        <v>80</v>
      </c>
      <c r="R8" s="26">
        <v>80</v>
      </c>
      <c r="S8" s="26">
        <v>80</v>
      </c>
      <c r="T8" s="26">
        <v>80</v>
      </c>
      <c r="U8" s="26">
        <v>80</v>
      </c>
      <c r="V8" s="26">
        <v>80</v>
      </c>
      <c r="W8" s="26">
        <v>80</v>
      </c>
      <c r="X8" s="26">
        <v>80</v>
      </c>
      <c r="Y8" s="26">
        <v>80</v>
      </c>
      <c r="Z8" s="26">
        <v>80</v>
      </c>
      <c r="AA8" s="26">
        <v>80</v>
      </c>
      <c r="AB8" s="23">
        <f t="shared" ref="AB8:AB42" si="0">SUM(D8:AA8)</f>
        <v>1920</v>
      </c>
      <c r="AC8" s="24">
        <v>5</v>
      </c>
      <c r="AD8" s="86"/>
    </row>
    <row r="9" spans="2:30" x14ac:dyDescent="0.2">
      <c r="B9" s="85"/>
      <c r="C9" s="2" t="s">
        <v>63</v>
      </c>
      <c r="D9" s="26">
        <v>80</v>
      </c>
      <c r="E9" s="26">
        <v>80</v>
      </c>
      <c r="F9" s="26">
        <v>80</v>
      </c>
      <c r="G9" s="26">
        <v>80</v>
      </c>
      <c r="H9" s="26">
        <v>80</v>
      </c>
      <c r="I9" s="26">
        <v>80</v>
      </c>
      <c r="J9" s="26">
        <v>80</v>
      </c>
      <c r="K9" s="26">
        <v>80</v>
      </c>
      <c r="L9" s="26">
        <v>80</v>
      </c>
      <c r="M9" s="26">
        <v>80</v>
      </c>
      <c r="N9" s="26">
        <v>80</v>
      </c>
      <c r="O9" s="26">
        <v>80</v>
      </c>
      <c r="P9" s="26">
        <v>80</v>
      </c>
      <c r="Q9" s="26">
        <v>80</v>
      </c>
      <c r="R9" s="26">
        <v>80</v>
      </c>
      <c r="S9" s="26">
        <v>80</v>
      </c>
      <c r="T9" s="26">
        <v>80</v>
      </c>
      <c r="U9" s="26">
        <v>80</v>
      </c>
      <c r="V9" s="26">
        <v>80</v>
      </c>
      <c r="W9" s="26">
        <v>80</v>
      </c>
      <c r="X9" s="26">
        <v>80</v>
      </c>
      <c r="Y9" s="26">
        <v>80</v>
      </c>
      <c r="Z9" s="26">
        <v>80</v>
      </c>
      <c r="AA9" s="26">
        <v>80</v>
      </c>
      <c r="AB9" s="23">
        <f t="shared" si="0"/>
        <v>1920</v>
      </c>
      <c r="AC9" s="24">
        <v>6</v>
      </c>
      <c r="AD9" s="86"/>
    </row>
    <row r="10" spans="2:30" x14ac:dyDescent="0.2">
      <c r="B10" s="85">
        <v>46054</v>
      </c>
      <c r="C10" s="2" t="s">
        <v>29</v>
      </c>
      <c r="D10" s="26">
        <v>80</v>
      </c>
      <c r="E10" s="26">
        <v>80</v>
      </c>
      <c r="F10" s="26">
        <v>80</v>
      </c>
      <c r="G10" s="26">
        <v>80</v>
      </c>
      <c r="H10" s="26">
        <v>80</v>
      </c>
      <c r="I10" s="26">
        <v>80</v>
      </c>
      <c r="J10" s="26">
        <v>80</v>
      </c>
      <c r="K10" s="26">
        <v>80</v>
      </c>
      <c r="L10" s="26">
        <v>80</v>
      </c>
      <c r="M10" s="26">
        <v>80</v>
      </c>
      <c r="N10" s="26">
        <v>80</v>
      </c>
      <c r="O10" s="26">
        <v>80</v>
      </c>
      <c r="P10" s="26">
        <v>80</v>
      </c>
      <c r="Q10" s="26">
        <v>80</v>
      </c>
      <c r="R10" s="26">
        <v>80</v>
      </c>
      <c r="S10" s="26">
        <v>80</v>
      </c>
      <c r="T10" s="26">
        <v>80</v>
      </c>
      <c r="U10" s="26">
        <v>80</v>
      </c>
      <c r="V10" s="26">
        <v>80</v>
      </c>
      <c r="W10" s="26">
        <v>80</v>
      </c>
      <c r="X10" s="26">
        <v>80</v>
      </c>
      <c r="Y10" s="26">
        <v>80</v>
      </c>
      <c r="Z10" s="26">
        <v>80</v>
      </c>
      <c r="AA10" s="26">
        <v>80</v>
      </c>
      <c r="AB10" s="23">
        <f t="shared" si="0"/>
        <v>1920</v>
      </c>
      <c r="AC10" s="24">
        <v>20</v>
      </c>
      <c r="AD10" s="86">
        <f>+AB10*AC10+AB11*AC11+AB12*AC12</f>
        <v>53760</v>
      </c>
    </row>
    <row r="11" spans="2:30" x14ac:dyDescent="0.2">
      <c r="B11" s="85"/>
      <c r="C11" s="2" t="s">
        <v>30</v>
      </c>
      <c r="D11" s="26">
        <v>80</v>
      </c>
      <c r="E11" s="26">
        <v>80</v>
      </c>
      <c r="F11" s="26">
        <v>80</v>
      </c>
      <c r="G11" s="26">
        <v>80</v>
      </c>
      <c r="H11" s="26">
        <v>80</v>
      </c>
      <c r="I11" s="26">
        <v>80</v>
      </c>
      <c r="J11" s="26">
        <v>80</v>
      </c>
      <c r="K11" s="26">
        <v>80</v>
      </c>
      <c r="L11" s="26">
        <v>80</v>
      </c>
      <c r="M11" s="26">
        <v>80</v>
      </c>
      <c r="N11" s="26">
        <v>80</v>
      </c>
      <c r="O11" s="26">
        <v>80</v>
      </c>
      <c r="P11" s="26">
        <v>80</v>
      </c>
      <c r="Q11" s="26">
        <v>80</v>
      </c>
      <c r="R11" s="26">
        <v>80</v>
      </c>
      <c r="S11" s="26">
        <v>80</v>
      </c>
      <c r="T11" s="26">
        <v>80</v>
      </c>
      <c r="U11" s="26">
        <v>80</v>
      </c>
      <c r="V11" s="26">
        <v>80</v>
      </c>
      <c r="W11" s="26">
        <v>80</v>
      </c>
      <c r="X11" s="26">
        <v>80</v>
      </c>
      <c r="Y11" s="26">
        <v>80</v>
      </c>
      <c r="Z11" s="26">
        <v>80</v>
      </c>
      <c r="AA11" s="26">
        <v>80</v>
      </c>
      <c r="AB11" s="23">
        <f t="shared" si="0"/>
        <v>1920</v>
      </c>
      <c r="AC11" s="24">
        <v>4</v>
      </c>
      <c r="AD11" s="86"/>
    </row>
    <row r="12" spans="2:30" x14ac:dyDescent="0.2">
      <c r="B12" s="85"/>
      <c r="C12" s="2" t="s">
        <v>63</v>
      </c>
      <c r="D12" s="26">
        <v>80</v>
      </c>
      <c r="E12" s="26">
        <v>80</v>
      </c>
      <c r="F12" s="26">
        <v>80</v>
      </c>
      <c r="G12" s="26">
        <v>80</v>
      </c>
      <c r="H12" s="26">
        <v>80</v>
      </c>
      <c r="I12" s="26">
        <v>80</v>
      </c>
      <c r="J12" s="26">
        <v>80</v>
      </c>
      <c r="K12" s="26">
        <v>80</v>
      </c>
      <c r="L12" s="26">
        <v>80</v>
      </c>
      <c r="M12" s="26">
        <v>80</v>
      </c>
      <c r="N12" s="26">
        <v>80</v>
      </c>
      <c r="O12" s="26">
        <v>80</v>
      </c>
      <c r="P12" s="26">
        <v>80</v>
      </c>
      <c r="Q12" s="26">
        <v>80</v>
      </c>
      <c r="R12" s="26">
        <v>80</v>
      </c>
      <c r="S12" s="26">
        <v>80</v>
      </c>
      <c r="T12" s="26">
        <v>80</v>
      </c>
      <c r="U12" s="26">
        <v>80</v>
      </c>
      <c r="V12" s="26">
        <v>80</v>
      </c>
      <c r="W12" s="26">
        <v>80</v>
      </c>
      <c r="X12" s="26">
        <v>80</v>
      </c>
      <c r="Y12" s="26">
        <v>80</v>
      </c>
      <c r="Z12" s="26">
        <v>80</v>
      </c>
      <c r="AA12" s="26">
        <v>80</v>
      </c>
      <c r="AB12" s="23">
        <f t="shared" si="0"/>
        <v>1920</v>
      </c>
      <c r="AC12" s="24">
        <v>4</v>
      </c>
      <c r="AD12" s="86"/>
    </row>
    <row r="13" spans="2:30" x14ac:dyDescent="0.2">
      <c r="B13" s="85">
        <v>46082</v>
      </c>
      <c r="C13" s="2" t="s">
        <v>29</v>
      </c>
      <c r="D13" s="26">
        <v>80</v>
      </c>
      <c r="E13" s="26">
        <v>80</v>
      </c>
      <c r="F13" s="26">
        <v>80</v>
      </c>
      <c r="G13" s="26">
        <v>80</v>
      </c>
      <c r="H13" s="26">
        <v>80</v>
      </c>
      <c r="I13" s="26">
        <v>80</v>
      </c>
      <c r="J13" s="26">
        <v>80</v>
      </c>
      <c r="K13" s="26">
        <v>80</v>
      </c>
      <c r="L13" s="26">
        <v>80</v>
      </c>
      <c r="M13" s="26">
        <v>80</v>
      </c>
      <c r="N13" s="26">
        <v>80</v>
      </c>
      <c r="O13" s="26">
        <v>80</v>
      </c>
      <c r="P13" s="26">
        <v>80</v>
      </c>
      <c r="Q13" s="26">
        <v>80</v>
      </c>
      <c r="R13" s="26">
        <v>80</v>
      </c>
      <c r="S13" s="26">
        <v>80</v>
      </c>
      <c r="T13" s="26">
        <v>80</v>
      </c>
      <c r="U13" s="26">
        <v>80</v>
      </c>
      <c r="V13" s="26">
        <v>80</v>
      </c>
      <c r="W13" s="26">
        <v>80</v>
      </c>
      <c r="X13" s="26">
        <v>80</v>
      </c>
      <c r="Y13" s="26">
        <v>80</v>
      </c>
      <c r="Z13" s="26">
        <v>80</v>
      </c>
      <c r="AA13" s="26">
        <v>80</v>
      </c>
      <c r="AB13" s="23">
        <f t="shared" si="0"/>
        <v>1920</v>
      </c>
      <c r="AC13" s="24">
        <v>21</v>
      </c>
      <c r="AD13" s="86">
        <f>+AB13*AC13+AB14*AC14+AB15*AC15</f>
        <v>59520</v>
      </c>
    </row>
    <row r="14" spans="2:30" x14ac:dyDescent="0.2">
      <c r="B14" s="85"/>
      <c r="C14" s="2" t="s">
        <v>30</v>
      </c>
      <c r="D14" s="26">
        <v>80</v>
      </c>
      <c r="E14" s="26">
        <v>80</v>
      </c>
      <c r="F14" s="26">
        <v>80</v>
      </c>
      <c r="G14" s="26">
        <v>80</v>
      </c>
      <c r="H14" s="26">
        <v>80</v>
      </c>
      <c r="I14" s="26">
        <v>80</v>
      </c>
      <c r="J14" s="26">
        <v>80</v>
      </c>
      <c r="K14" s="26">
        <v>80</v>
      </c>
      <c r="L14" s="26">
        <v>80</v>
      </c>
      <c r="M14" s="26">
        <v>80</v>
      </c>
      <c r="N14" s="26">
        <v>80</v>
      </c>
      <c r="O14" s="26">
        <v>80</v>
      </c>
      <c r="P14" s="26">
        <v>80</v>
      </c>
      <c r="Q14" s="26">
        <v>80</v>
      </c>
      <c r="R14" s="26">
        <v>80</v>
      </c>
      <c r="S14" s="26">
        <v>80</v>
      </c>
      <c r="T14" s="26">
        <v>80</v>
      </c>
      <c r="U14" s="26">
        <v>80</v>
      </c>
      <c r="V14" s="26">
        <v>80</v>
      </c>
      <c r="W14" s="26">
        <v>80</v>
      </c>
      <c r="X14" s="26">
        <v>80</v>
      </c>
      <c r="Y14" s="26">
        <v>80</v>
      </c>
      <c r="Z14" s="26">
        <v>80</v>
      </c>
      <c r="AA14" s="26">
        <v>80</v>
      </c>
      <c r="AB14" s="23">
        <f t="shared" si="0"/>
        <v>1920</v>
      </c>
      <c r="AC14" s="24">
        <v>4</v>
      </c>
      <c r="AD14" s="86"/>
    </row>
    <row r="15" spans="2:30" x14ac:dyDescent="0.2">
      <c r="B15" s="85"/>
      <c r="C15" s="2" t="s">
        <v>63</v>
      </c>
      <c r="D15" s="26">
        <v>80</v>
      </c>
      <c r="E15" s="26">
        <v>80</v>
      </c>
      <c r="F15" s="26">
        <v>80</v>
      </c>
      <c r="G15" s="26">
        <v>80</v>
      </c>
      <c r="H15" s="26">
        <v>80</v>
      </c>
      <c r="I15" s="26">
        <v>80</v>
      </c>
      <c r="J15" s="26">
        <v>80</v>
      </c>
      <c r="K15" s="26">
        <v>80</v>
      </c>
      <c r="L15" s="26">
        <v>80</v>
      </c>
      <c r="M15" s="26">
        <v>80</v>
      </c>
      <c r="N15" s="26">
        <v>80</v>
      </c>
      <c r="O15" s="26">
        <v>80</v>
      </c>
      <c r="P15" s="26">
        <v>80</v>
      </c>
      <c r="Q15" s="26">
        <v>80</v>
      </c>
      <c r="R15" s="26">
        <v>80</v>
      </c>
      <c r="S15" s="26">
        <v>80</v>
      </c>
      <c r="T15" s="26">
        <v>80</v>
      </c>
      <c r="U15" s="26">
        <v>80</v>
      </c>
      <c r="V15" s="26">
        <v>80</v>
      </c>
      <c r="W15" s="26">
        <v>80</v>
      </c>
      <c r="X15" s="26">
        <v>80</v>
      </c>
      <c r="Y15" s="26">
        <v>80</v>
      </c>
      <c r="Z15" s="26">
        <v>80</v>
      </c>
      <c r="AA15" s="26">
        <v>80</v>
      </c>
      <c r="AB15" s="23">
        <f t="shared" si="0"/>
        <v>1920</v>
      </c>
      <c r="AC15" s="24">
        <v>6</v>
      </c>
      <c r="AD15" s="86"/>
    </row>
    <row r="16" spans="2:30" x14ac:dyDescent="0.2">
      <c r="B16" s="85">
        <v>46113</v>
      </c>
      <c r="C16" s="2" t="s">
        <v>29</v>
      </c>
      <c r="D16" s="26">
        <v>80</v>
      </c>
      <c r="E16" s="26">
        <v>80</v>
      </c>
      <c r="F16" s="26">
        <v>80</v>
      </c>
      <c r="G16" s="26">
        <v>80</v>
      </c>
      <c r="H16" s="26">
        <v>80</v>
      </c>
      <c r="I16" s="26">
        <v>80</v>
      </c>
      <c r="J16" s="26">
        <v>80</v>
      </c>
      <c r="K16" s="26">
        <v>80</v>
      </c>
      <c r="L16" s="26">
        <v>80</v>
      </c>
      <c r="M16" s="26">
        <v>80</v>
      </c>
      <c r="N16" s="26">
        <v>80</v>
      </c>
      <c r="O16" s="26">
        <v>80</v>
      </c>
      <c r="P16" s="26">
        <v>80</v>
      </c>
      <c r="Q16" s="26">
        <v>80</v>
      </c>
      <c r="R16" s="26">
        <v>80</v>
      </c>
      <c r="S16" s="26">
        <v>80</v>
      </c>
      <c r="T16" s="26">
        <v>80</v>
      </c>
      <c r="U16" s="26">
        <v>80</v>
      </c>
      <c r="V16" s="26">
        <v>80</v>
      </c>
      <c r="W16" s="26">
        <v>80</v>
      </c>
      <c r="X16" s="26">
        <v>80</v>
      </c>
      <c r="Y16" s="26">
        <v>80</v>
      </c>
      <c r="Z16" s="26">
        <v>80</v>
      </c>
      <c r="AA16" s="26">
        <v>80</v>
      </c>
      <c r="AB16" s="23">
        <f t="shared" si="0"/>
        <v>1920</v>
      </c>
      <c r="AC16" s="24">
        <v>20</v>
      </c>
      <c r="AD16" s="86">
        <f>+AB16*AC16+AB17*AC17+AB18*AC18</f>
        <v>57600</v>
      </c>
    </row>
    <row r="17" spans="2:30" x14ac:dyDescent="0.2">
      <c r="B17" s="85"/>
      <c r="C17" s="2" t="s">
        <v>30</v>
      </c>
      <c r="D17" s="26">
        <v>80</v>
      </c>
      <c r="E17" s="26">
        <v>80</v>
      </c>
      <c r="F17" s="26">
        <v>80</v>
      </c>
      <c r="G17" s="26">
        <v>80</v>
      </c>
      <c r="H17" s="26">
        <v>80</v>
      </c>
      <c r="I17" s="26">
        <v>80</v>
      </c>
      <c r="J17" s="26">
        <v>80</v>
      </c>
      <c r="K17" s="26">
        <v>80</v>
      </c>
      <c r="L17" s="26">
        <v>80</v>
      </c>
      <c r="M17" s="26">
        <v>80</v>
      </c>
      <c r="N17" s="26">
        <v>80</v>
      </c>
      <c r="O17" s="26">
        <v>80</v>
      </c>
      <c r="P17" s="26">
        <v>80</v>
      </c>
      <c r="Q17" s="26">
        <v>80</v>
      </c>
      <c r="R17" s="26">
        <v>80</v>
      </c>
      <c r="S17" s="26">
        <v>80</v>
      </c>
      <c r="T17" s="26">
        <v>80</v>
      </c>
      <c r="U17" s="26">
        <v>80</v>
      </c>
      <c r="V17" s="26">
        <v>80</v>
      </c>
      <c r="W17" s="26">
        <v>80</v>
      </c>
      <c r="X17" s="26">
        <v>80</v>
      </c>
      <c r="Y17" s="26">
        <v>80</v>
      </c>
      <c r="Z17" s="26">
        <v>80</v>
      </c>
      <c r="AA17" s="26">
        <v>80</v>
      </c>
      <c r="AB17" s="23">
        <f t="shared" si="0"/>
        <v>1920</v>
      </c>
      <c r="AC17" s="24">
        <v>4</v>
      </c>
      <c r="AD17" s="86"/>
    </row>
    <row r="18" spans="2:30" x14ac:dyDescent="0.2">
      <c r="B18" s="85"/>
      <c r="C18" s="2" t="s">
        <v>63</v>
      </c>
      <c r="D18" s="26">
        <v>80</v>
      </c>
      <c r="E18" s="26">
        <v>80</v>
      </c>
      <c r="F18" s="26">
        <v>80</v>
      </c>
      <c r="G18" s="26">
        <v>80</v>
      </c>
      <c r="H18" s="26">
        <v>80</v>
      </c>
      <c r="I18" s="26">
        <v>80</v>
      </c>
      <c r="J18" s="26">
        <v>80</v>
      </c>
      <c r="K18" s="26">
        <v>80</v>
      </c>
      <c r="L18" s="26">
        <v>80</v>
      </c>
      <c r="M18" s="26">
        <v>80</v>
      </c>
      <c r="N18" s="26">
        <v>80</v>
      </c>
      <c r="O18" s="26">
        <v>80</v>
      </c>
      <c r="P18" s="26">
        <v>80</v>
      </c>
      <c r="Q18" s="26">
        <v>80</v>
      </c>
      <c r="R18" s="26">
        <v>80</v>
      </c>
      <c r="S18" s="26">
        <v>80</v>
      </c>
      <c r="T18" s="26">
        <v>80</v>
      </c>
      <c r="U18" s="26">
        <v>80</v>
      </c>
      <c r="V18" s="26">
        <v>80</v>
      </c>
      <c r="W18" s="26">
        <v>80</v>
      </c>
      <c r="X18" s="26">
        <v>80</v>
      </c>
      <c r="Y18" s="26">
        <v>80</v>
      </c>
      <c r="Z18" s="26">
        <v>80</v>
      </c>
      <c r="AA18" s="26">
        <v>80</v>
      </c>
      <c r="AB18" s="23">
        <f t="shared" si="0"/>
        <v>1920</v>
      </c>
      <c r="AC18" s="24">
        <v>6</v>
      </c>
      <c r="AD18" s="86"/>
    </row>
    <row r="19" spans="2:30" x14ac:dyDescent="0.2">
      <c r="B19" s="85">
        <v>46143</v>
      </c>
      <c r="C19" s="2" t="s">
        <v>29</v>
      </c>
      <c r="D19" s="26">
        <v>80</v>
      </c>
      <c r="E19" s="26">
        <v>80</v>
      </c>
      <c r="F19" s="26">
        <v>80</v>
      </c>
      <c r="G19" s="26">
        <v>80</v>
      </c>
      <c r="H19" s="26">
        <v>80</v>
      </c>
      <c r="I19" s="26">
        <v>80</v>
      </c>
      <c r="J19" s="26">
        <v>80</v>
      </c>
      <c r="K19" s="26">
        <v>80</v>
      </c>
      <c r="L19" s="26">
        <v>80</v>
      </c>
      <c r="M19" s="26">
        <v>80</v>
      </c>
      <c r="N19" s="26">
        <v>80</v>
      </c>
      <c r="O19" s="26">
        <v>80</v>
      </c>
      <c r="P19" s="26">
        <v>80</v>
      </c>
      <c r="Q19" s="26">
        <v>80</v>
      </c>
      <c r="R19" s="26">
        <v>80</v>
      </c>
      <c r="S19" s="26">
        <v>80</v>
      </c>
      <c r="T19" s="26">
        <v>80</v>
      </c>
      <c r="U19" s="26">
        <v>80</v>
      </c>
      <c r="V19" s="26">
        <v>80</v>
      </c>
      <c r="W19" s="26">
        <v>80</v>
      </c>
      <c r="X19" s="26">
        <v>80</v>
      </c>
      <c r="Y19" s="26">
        <v>80</v>
      </c>
      <c r="Z19" s="26">
        <v>80</v>
      </c>
      <c r="AA19" s="26">
        <v>80</v>
      </c>
      <c r="AB19" s="23">
        <f t="shared" si="0"/>
        <v>1920</v>
      </c>
      <c r="AC19" s="24">
        <v>19</v>
      </c>
      <c r="AD19" s="86">
        <f>+AB19*AC19+AB20*AC20+AB21*AC21</f>
        <v>59520</v>
      </c>
    </row>
    <row r="20" spans="2:30" x14ac:dyDescent="0.2">
      <c r="B20" s="85"/>
      <c r="C20" s="2" t="s">
        <v>30</v>
      </c>
      <c r="D20" s="26">
        <v>80</v>
      </c>
      <c r="E20" s="26">
        <v>80</v>
      </c>
      <c r="F20" s="26">
        <v>80</v>
      </c>
      <c r="G20" s="26">
        <v>80</v>
      </c>
      <c r="H20" s="26">
        <v>80</v>
      </c>
      <c r="I20" s="26">
        <v>80</v>
      </c>
      <c r="J20" s="26">
        <v>80</v>
      </c>
      <c r="K20" s="26">
        <v>80</v>
      </c>
      <c r="L20" s="26">
        <v>80</v>
      </c>
      <c r="M20" s="26">
        <v>80</v>
      </c>
      <c r="N20" s="26">
        <v>80</v>
      </c>
      <c r="O20" s="26">
        <v>80</v>
      </c>
      <c r="P20" s="26">
        <v>80</v>
      </c>
      <c r="Q20" s="26">
        <v>80</v>
      </c>
      <c r="R20" s="26">
        <v>80</v>
      </c>
      <c r="S20" s="26">
        <v>80</v>
      </c>
      <c r="T20" s="26">
        <v>80</v>
      </c>
      <c r="U20" s="26">
        <v>80</v>
      </c>
      <c r="V20" s="26">
        <v>80</v>
      </c>
      <c r="W20" s="26">
        <v>80</v>
      </c>
      <c r="X20" s="26">
        <v>80</v>
      </c>
      <c r="Y20" s="26">
        <v>80</v>
      </c>
      <c r="Z20" s="26">
        <v>80</v>
      </c>
      <c r="AA20" s="26">
        <v>80</v>
      </c>
      <c r="AB20" s="23">
        <f t="shared" si="0"/>
        <v>1920</v>
      </c>
      <c r="AC20" s="24">
        <v>5</v>
      </c>
      <c r="AD20" s="86"/>
    </row>
    <row r="21" spans="2:30" x14ac:dyDescent="0.2">
      <c r="B21" s="85"/>
      <c r="C21" s="2" t="s">
        <v>63</v>
      </c>
      <c r="D21" s="26">
        <v>80</v>
      </c>
      <c r="E21" s="26">
        <v>80</v>
      </c>
      <c r="F21" s="26">
        <v>80</v>
      </c>
      <c r="G21" s="26">
        <v>80</v>
      </c>
      <c r="H21" s="26">
        <v>80</v>
      </c>
      <c r="I21" s="26">
        <v>80</v>
      </c>
      <c r="J21" s="26">
        <v>80</v>
      </c>
      <c r="K21" s="26">
        <v>80</v>
      </c>
      <c r="L21" s="26">
        <v>80</v>
      </c>
      <c r="M21" s="26">
        <v>80</v>
      </c>
      <c r="N21" s="26">
        <v>80</v>
      </c>
      <c r="O21" s="26">
        <v>80</v>
      </c>
      <c r="P21" s="26">
        <v>80</v>
      </c>
      <c r="Q21" s="26">
        <v>80</v>
      </c>
      <c r="R21" s="26">
        <v>80</v>
      </c>
      <c r="S21" s="26">
        <v>80</v>
      </c>
      <c r="T21" s="26">
        <v>80</v>
      </c>
      <c r="U21" s="26">
        <v>80</v>
      </c>
      <c r="V21" s="26">
        <v>80</v>
      </c>
      <c r="W21" s="26">
        <v>80</v>
      </c>
      <c r="X21" s="26">
        <v>80</v>
      </c>
      <c r="Y21" s="26">
        <v>80</v>
      </c>
      <c r="Z21" s="26">
        <v>80</v>
      </c>
      <c r="AA21" s="26">
        <v>80</v>
      </c>
      <c r="AB21" s="23">
        <f t="shared" si="0"/>
        <v>1920</v>
      </c>
      <c r="AC21" s="24">
        <v>7</v>
      </c>
      <c r="AD21" s="86"/>
    </row>
    <row r="22" spans="2:30" x14ac:dyDescent="0.2">
      <c r="B22" s="85">
        <v>46174</v>
      </c>
      <c r="C22" s="2" t="s">
        <v>29</v>
      </c>
      <c r="D22" s="26">
        <v>80</v>
      </c>
      <c r="E22" s="26">
        <v>80</v>
      </c>
      <c r="F22" s="26">
        <v>80</v>
      </c>
      <c r="G22" s="26">
        <v>80</v>
      </c>
      <c r="H22" s="26">
        <v>80</v>
      </c>
      <c r="I22" s="26">
        <v>80</v>
      </c>
      <c r="J22" s="26">
        <v>80</v>
      </c>
      <c r="K22" s="26">
        <v>80</v>
      </c>
      <c r="L22" s="26">
        <v>80</v>
      </c>
      <c r="M22" s="26">
        <v>80</v>
      </c>
      <c r="N22" s="26">
        <v>80</v>
      </c>
      <c r="O22" s="26">
        <v>80</v>
      </c>
      <c r="P22" s="26">
        <v>80</v>
      </c>
      <c r="Q22" s="26">
        <v>80</v>
      </c>
      <c r="R22" s="26">
        <v>80</v>
      </c>
      <c r="S22" s="26">
        <v>80</v>
      </c>
      <c r="T22" s="26">
        <v>80</v>
      </c>
      <c r="U22" s="26">
        <v>80</v>
      </c>
      <c r="V22" s="26">
        <v>80</v>
      </c>
      <c r="W22" s="26">
        <v>80</v>
      </c>
      <c r="X22" s="26">
        <v>80</v>
      </c>
      <c r="Y22" s="26">
        <v>80</v>
      </c>
      <c r="Z22" s="26">
        <v>80</v>
      </c>
      <c r="AA22" s="26">
        <v>80</v>
      </c>
      <c r="AB22" s="23">
        <f t="shared" si="0"/>
        <v>1920</v>
      </c>
      <c r="AC22" s="24">
        <v>19</v>
      </c>
      <c r="AD22" s="86">
        <f>+AB22*AC22+AB23*AC23+AB24*AC24</f>
        <v>57600</v>
      </c>
    </row>
    <row r="23" spans="2:30" x14ac:dyDescent="0.2">
      <c r="B23" s="85"/>
      <c r="C23" s="2" t="s">
        <v>30</v>
      </c>
      <c r="D23" s="26">
        <v>80</v>
      </c>
      <c r="E23" s="26">
        <v>80</v>
      </c>
      <c r="F23" s="26">
        <v>80</v>
      </c>
      <c r="G23" s="26">
        <v>80</v>
      </c>
      <c r="H23" s="26">
        <v>80</v>
      </c>
      <c r="I23" s="26">
        <v>80</v>
      </c>
      <c r="J23" s="26">
        <v>80</v>
      </c>
      <c r="K23" s="26">
        <v>80</v>
      </c>
      <c r="L23" s="26">
        <v>80</v>
      </c>
      <c r="M23" s="26">
        <v>80</v>
      </c>
      <c r="N23" s="26">
        <v>80</v>
      </c>
      <c r="O23" s="26">
        <v>80</v>
      </c>
      <c r="P23" s="26">
        <v>80</v>
      </c>
      <c r="Q23" s="26">
        <v>80</v>
      </c>
      <c r="R23" s="26">
        <v>80</v>
      </c>
      <c r="S23" s="26">
        <v>80</v>
      </c>
      <c r="T23" s="26">
        <v>80</v>
      </c>
      <c r="U23" s="26">
        <v>80</v>
      </c>
      <c r="V23" s="26">
        <v>80</v>
      </c>
      <c r="W23" s="26">
        <v>80</v>
      </c>
      <c r="X23" s="26">
        <v>80</v>
      </c>
      <c r="Y23" s="26">
        <v>80</v>
      </c>
      <c r="Z23" s="26">
        <v>80</v>
      </c>
      <c r="AA23" s="26">
        <v>80</v>
      </c>
      <c r="AB23" s="23">
        <f t="shared" si="0"/>
        <v>1920</v>
      </c>
      <c r="AC23" s="24">
        <v>4</v>
      </c>
      <c r="AD23" s="86"/>
    </row>
    <row r="24" spans="2:30" x14ac:dyDescent="0.2">
      <c r="B24" s="85"/>
      <c r="C24" s="2" t="s">
        <v>63</v>
      </c>
      <c r="D24" s="26">
        <v>80</v>
      </c>
      <c r="E24" s="26">
        <v>80</v>
      </c>
      <c r="F24" s="26">
        <v>80</v>
      </c>
      <c r="G24" s="26">
        <v>80</v>
      </c>
      <c r="H24" s="26">
        <v>80</v>
      </c>
      <c r="I24" s="26">
        <v>80</v>
      </c>
      <c r="J24" s="26">
        <v>80</v>
      </c>
      <c r="K24" s="26">
        <v>80</v>
      </c>
      <c r="L24" s="26">
        <v>80</v>
      </c>
      <c r="M24" s="26">
        <v>80</v>
      </c>
      <c r="N24" s="26">
        <v>80</v>
      </c>
      <c r="O24" s="26">
        <v>80</v>
      </c>
      <c r="P24" s="26">
        <v>80</v>
      </c>
      <c r="Q24" s="26">
        <v>80</v>
      </c>
      <c r="R24" s="26">
        <v>80</v>
      </c>
      <c r="S24" s="26">
        <v>80</v>
      </c>
      <c r="T24" s="26">
        <v>80</v>
      </c>
      <c r="U24" s="26">
        <v>80</v>
      </c>
      <c r="V24" s="26">
        <v>80</v>
      </c>
      <c r="W24" s="26">
        <v>80</v>
      </c>
      <c r="X24" s="26">
        <v>80</v>
      </c>
      <c r="Y24" s="26">
        <v>80</v>
      </c>
      <c r="Z24" s="26">
        <v>80</v>
      </c>
      <c r="AA24" s="26">
        <v>80</v>
      </c>
      <c r="AB24" s="23">
        <f t="shared" si="0"/>
        <v>1920</v>
      </c>
      <c r="AC24" s="24">
        <v>7</v>
      </c>
      <c r="AD24" s="86"/>
    </row>
    <row r="25" spans="2:30" x14ac:dyDescent="0.2">
      <c r="B25" s="85">
        <v>46204</v>
      </c>
      <c r="C25" s="2" t="s">
        <v>29</v>
      </c>
      <c r="D25" s="26">
        <v>80</v>
      </c>
      <c r="E25" s="26">
        <v>80</v>
      </c>
      <c r="F25" s="26">
        <v>80</v>
      </c>
      <c r="G25" s="26">
        <v>80</v>
      </c>
      <c r="H25" s="26">
        <v>80</v>
      </c>
      <c r="I25" s="26">
        <v>80</v>
      </c>
      <c r="J25" s="26">
        <v>80</v>
      </c>
      <c r="K25" s="26">
        <v>80</v>
      </c>
      <c r="L25" s="26">
        <v>80</v>
      </c>
      <c r="M25" s="26">
        <v>80</v>
      </c>
      <c r="N25" s="26">
        <v>80</v>
      </c>
      <c r="O25" s="26">
        <v>80</v>
      </c>
      <c r="P25" s="26">
        <v>80</v>
      </c>
      <c r="Q25" s="26">
        <v>80</v>
      </c>
      <c r="R25" s="26">
        <v>80</v>
      </c>
      <c r="S25" s="26">
        <v>80</v>
      </c>
      <c r="T25" s="26">
        <v>80</v>
      </c>
      <c r="U25" s="26">
        <v>80</v>
      </c>
      <c r="V25" s="26">
        <v>80</v>
      </c>
      <c r="W25" s="26">
        <v>80</v>
      </c>
      <c r="X25" s="26">
        <v>80</v>
      </c>
      <c r="Y25" s="26">
        <v>80</v>
      </c>
      <c r="Z25" s="26">
        <v>80</v>
      </c>
      <c r="AA25" s="26">
        <v>80</v>
      </c>
      <c r="AB25" s="23">
        <f t="shared" si="0"/>
        <v>1920</v>
      </c>
      <c r="AC25" s="24">
        <v>22</v>
      </c>
      <c r="AD25" s="86">
        <f>+AB25*AC25+AB26*AC26+AB27*AC27</f>
        <v>59520</v>
      </c>
    </row>
    <row r="26" spans="2:30" x14ac:dyDescent="0.2">
      <c r="B26" s="85"/>
      <c r="C26" s="2" t="s">
        <v>30</v>
      </c>
      <c r="D26" s="26">
        <v>80</v>
      </c>
      <c r="E26" s="26">
        <v>80</v>
      </c>
      <c r="F26" s="26">
        <v>80</v>
      </c>
      <c r="G26" s="26">
        <v>80</v>
      </c>
      <c r="H26" s="26">
        <v>80</v>
      </c>
      <c r="I26" s="26">
        <v>80</v>
      </c>
      <c r="J26" s="26">
        <v>80</v>
      </c>
      <c r="K26" s="26">
        <v>80</v>
      </c>
      <c r="L26" s="26">
        <v>80</v>
      </c>
      <c r="M26" s="26">
        <v>80</v>
      </c>
      <c r="N26" s="26">
        <v>80</v>
      </c>
      <c r="O26" s="26">
        <v>80</v>
      </c>
      <c r="P26" s="26">
        <v>80</v>
      </c>
      <c r="Q26" s="26">
        <v>80</v>
      </c>
      <c r="R26" s="26">
        <v>80</v>
      </c>
      <c r="S26" s="26">
        <v>80</v>
      </c>
      <c r="T26" s="26">
        <v>80</v>
      </c>
      <c r="U26" s="26">
        <v>80</v>
      </c>
      <c r="V26" s="26">
        <v>80</v>
      </c>
      <c r="W26" s="26">
        <v>80</v>
      </c>
      <c r="X26" s="26">
        <v>80</v>
      </c>
      <c r="Y26" s="26">
        <v>80</v>
      </c>
      <c r="Z26" s="26">
        <v>80</v>
      </c>
      <c r="AA26" s="26">
        <v>80</v>
      </c>
      <c r="AB26" s="23">
        <f t="shared" si="0"/>
        <v>1920</v>
      </c>
      <c r="AC26" s="24">
        <v>4</v>
      </c>
      <c r="AD26" s="86"/>
    </row>
    <row r="27" spans="2:30" x14ac:dyDescent="0.2">
      <c r="B27" s="85"/>
      <c r="C27" s="2" t="s">
        <v>63</v>
      </c>
      <c r="D27" s="26">
        <v>80</v>
      </c>
      <c r="E27" s="26">
        <v>80</v>
      </c>
      <c r="F27" s="26">
        <v>80</v>
      </c>
      <c r="G27" s="26">
        <v>80</v>
      </c>
      <c r="H27" s="26">
        <v>80</v>
      </c>
      <c r="I27" s="26">
        <v>80</v>
      </c>
      <c r="J27" s="26">
        <v>80</v>
      </c>
      <c r="K27" s="26">
        <v>80</v>
      </c>
      <c r="L27" s="26">
        <v>80</v>
      </c>
      <c r="M27" s="26">
        <v>80</v>
      </c>
      <c r="N27" s="26">
        <v>80</v>
      </c>
      <c r="O27" s="26">
        <v>80</v>
      </c>
      <c r="P27" s="26">
        <v>80</v>
      </c>
      <c r="Q27" s="26">
        <v>80</v>
      </c>
      <c r="R27" s="26">
        <v>80</v>
      </c>
      <c r="S27" s="26">
        <v>80</v>
      </c>
      <c r="T27" s="26">
        <v>80</v>
      </c>
      <c r="U27" s="26">
        <v>80</v>
      </c>
      <c r="V27" s="26">
        <v>80</v>
      </c>
      <c r="W27" s="26">
        <v>80</v>
      </c>
      <c r="X27" s="26">
        <v>80</v>
      </c>
      <c r="Y27" s="26">
        <v>80</v>
      </c>
      <c r="Z27" s="26">
        <v>80</v>
      </c>
      <c r="AA27" s="26">
        <v>80</v>
      </c>
      <c r="AB27" s="23">
        <f t="shared" si="0"/>
        <v>1920</v>
      </c>
      <c r="AC27" s="24">
        <v>5</v>
      </c>
      <c r="AD27" s="86"/>
    </row>
    <row r="28" spans="2:30" x14ac:dyDescent="0.2">
      <c r="B28" s="85">
        <v>46235</v>
      </c>
      <c r="C28" s="2" t="s">
        <v>29</v>
      </c>
      <c r="D28" s="26">
        <v>80</v>
      </c>
      <c r="E28" s="26">
        <v>80</v>
      </c>
      <c r="F28" s="26">
        <v>80</v>
      </c>
      <c r="G28" s="26">
        <v>80</v>
      </c>
      <c r="H28" s="26">
        <v>80</v>
      </c>
      <c r="I28" s="26">
        <v>80</v>
      </c>
      <c r="J28" s="26">
        <v>80</v>
      </c>
      <c r="K28" s="26">
        <v>80</v>
      </c>
      <c r="L28" s="26">
        <v>80</v>
      </c>
      <c r="M28" s="26">
        <v>80</v>
      </c>
      <c r="N28" s="26">
        <v>80</v>
      </c>
      <c r="O28" s="26">
        <v>80</v>
      </c>
      <c r="P28" s="26">
        <v>80</v>
      </c>
      <c r="Q28" s="26">
        <v>80</v>
      </c>
      <c r="R28" s="26">
        <v>80</v>
      </c>
      <c r="S28" s="26">
        <v>80</v>
      </c>
      <c r="T28" s="26">
        <v>80</v>
      </c>
      <c r="U28" s="26">
        <v>80</v>
      </c>
      <c r="V28" s="26">
        <v>80</v>
      </c>
      <c r="W28" s="26">
        <v>80</v>
      </c>
      <c r="X28" s="26">
        <v>80</v>
      </c>
      <c r="Y28" s="26">
        <v>80</v>
      </c>
      <c r="Z28" s="26">
        <v>80</v>
      </c>
      <c r="AA28" s="26">
        <v>80</v>
      </c>
      <c r="AB28" s="23">
        <f t="shared" si="0"/>
        <v>1920</v>
      </c>
      <c r="AC28" s="24">
        <v>19</v>
      </c>
      <c r="AD28" s="86">
        <f>+AB28*AC28+AB29*AC29+AB30*AC30</f>
        <v>59520</v>
      </c>
    </row>
    <row r="29" spans="2:30" x14ac:dyDescent="0.2">
      <c r="B29" s="85"/>
      <c r="C29" s="2" t="s">
        <v>30</v>
      </c>
      <c r="D29" s="26">
        <v>80</v>
      </c>
      <c r="E29" s="26">
        <v>80</v>
      </c>
      <c r="F29" s="26">
        <v>80</v>
      </c>
      <c r="G29" s="26">
        <v>80</v>
      </c>
      <c r="H29" s="26">
        <v>80</v>
      </c>
      <c r="I29" s="26">
        <v>80</v>
      </c>
      <c r="J29" s="26">
        <v>80</v>
      </c>
      <c r="K29" s="26">
        <v>80</v>
      </c>
      <c r="L29" s="26">
        <v>80</v>
      </c>
      <c r="M29" s="26">
        <v>80</v>
      </c>
      <c r="N29" s="26">
        <v>80</v>
      </c>
      <c r="O29" s="26">
        <v>80</v>
      </c>
      <c r="P29" s="26">
        <v>80</v>
      </c>
      <c r="Q29" s="26">
        <v>80</v>
      </c>
      <c r="R29" s="26">
        <v>80</v>
      </c>
      <c r="S29" s="26">
        <v>80</v>
      </c>
      <c r="T29" s="26">
        <v>80</v>
      </c>
      <c r="U29" s="26">
        <v>80</v>
      </c>
      <c r="V29" s="26">
        <v>80</v>
      </c>
      <c r="W29" s="26">
        <v>80</v>
      </c>
      <c r="X29" s="26">
        <v>80</v>
      </c>
      <c r="Y29" s="26">
        <v>80</v>
      </c>
      <c r="Z29" s="26">
        <v>80</v>
      </c>
      <c r="AA29" s="26">
        <v>80</v>
      </c>
      <c r="AB29" s="23">
        <f t="shared" si="0"/>
        <v>1920</v>
      </c>
      <c r="AC29" s="24">
        <v>5</v>
      </c>
      <c r="AD29" s="86"/>
    </row>
    <row r="30" spans="2:30" x14ac:dyDescent="0.2">
      <c r="B30" s="85"/>
      <c r="C30" s="2" t="s">
        <v>63</v>
      </c>
      <c r="D30" s="26">
        <v>80</v>
      </c>
      <c r="E30" s="26">
        <v>80</v>
      </c>
      <c r="F30" s="26">
        <v>80</v>
      </c>
      <c r="G30" s="26">
        <v>80</v>
      </c>
      <c r="H30" s="26">
        <v>80</v>
      </c>
      <c r="I30" s="26">
        <v>80</v>
      </c>
      <c r="J30" s="26">
        <v>80</v>
      </c>
      <c r="K30" s="26">
        <v>80</v>
      </c>
      <c r="L30" s="26">
        <v>80</v>
      </c>
      <c r="M30" s="26">
        <v>80</v>
      </c>
      <c r="N30" s="26">
        <v>80</v>
      </c>
      <c r="O30" s="26">
        <v>80</v>
      </c>
      <c r="P30" s="26">
        <v>80</v>
      </c>
      <c r="Q30" s="26">
        <v>80</v>
      </c>
      <c r="R30" s="26">
        <v>80</v>
      </c>
      <c r="S30" s="26">
        <v>80</v>
      </c>
      <c r="T30" s="26">
        <v>80</v>
      </c>
      <c r="U30" s="26">
        <v>80</v>
      </c>
      <c r="V30" s="26">
        <v>80</v>
      </c>
      <c r="W30" s="26">
        <v>80</v>
      </c>
      <c r="X30" s="26">
        <v>80</v>
      </c>
      <c r="Y30" s="26">
        <v>80</v>
      </c>
      <c r="Z30" s="26">
        <v>80</v>
      </c>
      <c r="AA30" s="26">
        <v>80</v>
      </c>
      <c r="AB30" s="23">
        <f t="shared" si="0"/>
        <v>1920</v>
      </c>
      <c r="AC30" s="24">
        <v>7</v>
      </c>
      <c r="AD30" s="86"/>
    </row>
    <row r="31" spans="2:30" x14ac:dyDescent="0.2">
      <c r="B31" s="85">
        <v>46266</v>
      </c>
      <c r="C31" s="2" t="s">
        <v>29</v>
      </c>
      <c r="D31" s="26">
        <v>80</v>
      </c>
      <c r="E31" s="26">
        <v>80</v>
      </c>
      <c r="F31" s="26">
        <v>80</v>
      </c>
      <c r="G31" s="26">
        <v>80</v>
      </c>
      <c r="H31" s="26">
        <v>80</v>
      </c>
      <c r="I31" s="26">
        <v>80</v>
      </c>
      <c r="J31" s="26">
        <v>80</v>
      </c>
      <c r="K31" s="26">
        <v>80</v>
      </c>
      <c r="L31" s="26">
        <v>80</v>
      </c>
      <c r="M31" s="26">
        <v>80</v>
      </c>
      <c r="N31" s="26">
        <v>80</v>
      </c>
      <c r="O31" s="26">
        <v>80</v>
      </c>
      <c r="P31" s="26">
        <v>80</v>
      </c>
      <c r="Q31" s="26">
        <v>80</v>
      </c>
      <c r="R31" s="26">
        <v>80</v>
      </c>
      <c r="S31" s="26">
        <v>80</v>
      </c>
      <c r="T31" s="26">
        <v>80</v>
      </c>
      <c r="U31" s="26">
        <v>80</v>
      </c>
      <c r="V31" s="26">
        <v>80</v>
      </c>
      <c r="W31" s="26">
        <v>80</v>
      </c>
      <c r="X31" s="26">
        <v>80</v>
      </c>
      <c r="Y31" s="26">
        <v>80</v>
      </c>
      <c r="Z31" s="26">
        <v>80</v>
      </c>
      <c r="AA31" s="26">
        <v>80</v>
      </c>
      <c r="AB31" s="23">
        <f t="shared" si="0"/>
        <v>1920</v>
      </c>
      <c r="AC31" s="24">
        <v>22</v>
      </c>
      <c r="AD31" s="86">
        <f>+AB31*AC31+AB32*AC32+AB33*AC33</f>
        <v>57600</v>
      </c>
    </row>
    <row r="32" spans="2:30" x14ac:dyDescent="0.2">
      <c r="B32" s="85"/>
      <c r="C32" s="2" t="s">
        <v>30</v>
      </c>
      <c r="D32" s="26">
        <v>80</v>
      </c>
      <c r="E32" s="26">
        <v>80</v>
      </c>
      <c r="F32" s="26">
        <v>80</v>
      </c>
      <c r="G32" s="26">
        <v>80</v>
      </c>
      <c r="H32" s="26">
        <v>80</v>
      </c>
      <c r="I32" s="26">
        <v>80</v>
      </c>
      <c r="J32" s="26">
        <v>80</v>
      </c>
      <c r="K32" s="26">
        <v>80</v>
      </c>
      <c r="L32" s="26">
        <v>80</v>
      </c>
      <c r="M32" s="26">
        <v>80</v>
      </c>
      <c r="N32" s="26">
        <v>80</v>
      </c>
      <c r="O32" s="26">
        <v>80</v>
      </c>
      <c r="P32" s="26">
        <v>80</v>
      </c>
      <c r="Q32" s="26">
        <v>80</v>
      </c>
      <c r="R32" s="26">
        <v>80</v>
      </c>
      <c r="S32" s="26">
        <v>80</v>
      </c>
      <c r="T32" s="26">
        <v>80</v>
      </c>
      <c r="U32" s="26">
        <v>80</v>
      </c>
      <c r="V32" s="26">
        <v>80</v>
      </c>
      <c r="W32" s="26">
        <v>80</v>
      </c>
      <c r="X32" s="26">
        <v>80</v>
      </c>
      <c r="Y32" s="26">
        <v>80</v>
      </c>
      <c r="Z32" s="26">
        <v>80</v>
      </c>
      <c r="AA32" s="26">
        <v>80</v>
      </c>
      <c r="AB32" s="23">
        <f t="shared" si="0"/>
        <v>1920</v>
      </c>
      <c r="AC32" s="24">
        <v>4</v>
      </c>
      <c r="AD32" s="86"/>
    </row>
    <row r="33" spans="2:30" x14ac:dyDescent="0.2">
      <c r="B33" s="85"/>
      <c r="C33" s="2" t="s">
        <v>63</v>
      </c>
      <c r="D33" s="26">
        <v>80</v>
      </c>
      <c r="E33" s="26">
        <v>80</v>
      </c>
      <c r="F33" s="26">
        <v>80</v>
      </c>
      <c r="G33" s="26">
        <v>80</v>
      </c>
      <c r="H33" s="26">
        <v>80</v>
      </c>
      <c r="I33" s="26">
        <v>80</v>
      </c>
      <c r="J33" s="26">
        <v>80</v>
      </c>
      <c r="K33" s="26">
        <v>80</v>
      </c>
      <c r="L33" s="26">
        <v>80</v>
      </c>
      <c r="M33" s="26">
        <v>80</v>
      </c>
      <c r="N33" s="26">
        <v>80</v>
      </c>
      <c r="O33" s="26">
        <v>80</v>
      </c>
      <c r="P33" s="26">
        <v>80</v>
      </c>
      <c r="Q33" s="26">
        <v>80</v>
      </c>
      <c r="R33" s="26">
        <v>80</v>
      </c>
      <c r="S33" s="26">
        <v>80</v>
      </c>
      <c r="T33" s="26">
        <v>80</v>
      </c>
      <c r="U33" s="26">
        <v>80</v>
      </c>
      <c r="V33" s="26">
        <v>80</v>
      </c>
      <c r="W33" s="26">
        <v>80</v>
      </c>
      <c r="X33" s="26">
        <v>80</v>
      </c>
      <c r="Y33" s="26">
        <v>80</v>
      </c>
      <c r="Z33" s="26">
        <v>80</v>
      </c>
      <c r="AA33" s="26">
        <v>80</v>
      </c>
      <c r="AB33" s="23">
        <f t="shared" si="0"/>
        <v>1920</v>
      </c>
      <c r="AC33" s="24">
        <v>4</v>
      </c>
      <c r="AD33" s="86"/>
    </row>
    <row r="34" spans="2:30" x14ac:dyDescent="0.2">
      <c r="B34" s="85">
        <v>46296</v>
      </c>
      <c r="C34" s="2" t="s">
        <v>29</v>
      </c>
      <c r="D34" s="26">
        <v>80</v>
      </c>
      <c r="E34" s="26">
        <v>80</v>
      </c>
      <c r="F34" s="26">
        <v>80</v>
      </c>
      <c r="G34" s="26">
        <v>80</v>
      </c>
      <c r="H34" s="26">
        <v>80</v>
      </c>
      <c r="I34" s="26">
        <v>80</v>
      </c>
      <c r="J34" s="26">
        <v>80</v>
      </c>
      <c r="K34" s="26">
        <v>80</v>
      </c>
      <c r="L34" s="26">
        <v>80</v>
      </c>
      <c r="M34" s="26">
        <v>80</v>
      </c>
      <c r="N34" s="26">
        <v>80</v>
      </c>
      <c r="O34" s="26">
        <v>80</v>
      </c>
      <c r="P34" s="26">
        <v>80</v>
      </c>
      <c r="Q34" s="26">
        <v>80</v>
      </c>
      <c r="R34" s="26">
        <v>80</v>
      </c>
      <c r="S34" s="26">
        <v>80</v>
      </c>
      <c r="T34" s="26">
        <v>80</v>
      </c>
      <c r="U34" s="26">
        <v>80</v>
      </c>
      <c r="V34" s="26">
        <v>80</v>
      </c>
      <c r="W34" s="26">
        <v>80</v>
      </c>
      <c r="X34" s="26">
        <v>80</v>
      </c>
      <c r="Y34" s="26">
        <v>80</v>
      </c>
      <c r="Z34" s="26">
        <v>80</v>
      </c>
      <c r="AA34" s="26">
        <v>80</v>
      </c>
      <c r="AB34" s="23">
        <f t="shared" si="0"/>
        <v>1920</v>
      </c>
      <c r="AC34" s="24">
        <v>21</v>
      </c>
      <c r="AD34" s="86">
        <f>+AB34*AC34+AB35*AC35+AB36*AC36</f>
        <v>59520</v>
      </c>
    </row>
    <row r="35" spans="2:30" x14ac:dyDescent="0.2">
      <c r="B35" s="85"/>
      <c r="C35" s="2" t="s">
        <v>30</v>
      </c>
      <c r="D35" s="26">
        <v>80</v>
      </c>
      <c r="E35" s="26">
        <v>80</v>
      </c>
      <c r="F35" s="26">
        <v>80</v>
      </c>
      <c r="G35" s="26">
        <v>80</v>
      </c>
      <c r="H35" s="26">
        <v>80</v>
      </c>
      <c r="I35" s="26">
        <v>80</v>
      </c>
      <c r="J35" s="26">
        <v>80</v>
      </c>
      <c r="K35" s="26">
        <v>80</v>
      </c>
      <c r="L35" s="26">
        <v>80</v>
      </c>
      <c r="M35" s="26">
        <v>80</v>
      </c>
      <c r="N35" s="26">
        <v>80</v>
      </c>
      <c r="O35" s="26">
        <v>80</v>
      </c>
      <c r="P35" s="26">
        <v>80</v>
      </c>
      <c r="Q35" s="26">
        <v>80</v>
      </c>
      <c r="R35" s="26">
        <v>80</v>
      </c>
      <c r="S35" s="26">
        <v>80</v>
      </c>
      <c r="T35" s="26">
        <v>80</v>
      </c>
      <c r="U35" s="26">
        <v>80</v>
      </c>
      <c r="V35" s="26">
        <v>80</v>
      </c>
      <c r="W35" s="26">
        <v>80</v>
      </c>
      <c r="X35" s="26">
        <v>80</v>
      </c>
      <c r="Y35" s="26">
        <v>80</v>
      </c>
      <c r="Z35" s="26">
        <v>80</v>
      </c>
      <c r="AA35" s="26">
        <v>80</v>
      </c>
      <c r="AB35" s="23">
        <f t="shared" si="0"/>
        <v>1920</v>
      </c>
      <c r="AC35" s="24">
        <v>5</v>
      </c>
      <c r="AD35" s="86"/>
    </row>
    <row r="36" spans="2:30" x14ac:dyDescent="0.2">
      <c r="B36" s="85"/>
      <c r="C36" s="2" t="s">
        <v>63</v>
      </c>
      <c r="D36" s="26">
        <v>80</v>
      </c>
      <c r="E36" s="26">
        <v>80</v>
      </c>
      <c r="F36" s="26">
        <v>80</v>
      </c>
      <c r="G36" s="26">
        <v>80</v>
      </c>
      <c r="H36" s="26">
        <v>80</v>
      </c>
      <c r="I36" s="26">
        <v>80</v>
      </c>
      <c r="J36" s="26">
        <v>80</v>
      </c>
      <c r="K36" s="26">
        <v>80</v>
      </c>
      <c r="L36" s="26">
        <v>80</v>
      </c>
      <c r="M36" s="26">
        <v>80</v>
      </c>
      <c r="N36" s="26">
        <v>80</v>
      </c>
      <c r="O36" s="26">
        <v>80</v>
      </c>
      <c r="P36" s="26">
        <v>80</v>
      </c>
      <c r="Q36" s="26">
        <v>80</v>
      </c>
      <c r="R36" s="26">
        <v>80</v>
      </c>
      <c r="S36" s="26">
        <v>80</v>
      </c>
      <c r="T36" s="26">
        <v>80</v>
      </c>
      <c r="U36" s="26">
        <v>80</v>
      </c>
      <c r="V36" s="26">
        <v>80</v>
      </c>
      <c r="W36" s="26">
        <v>80</v>
      </c>
      <c r="X36" s="26">
        <v>80</v>
      </c>
      <c r="Y36" s="26">
        <v>80</v>
      </c>
      <c r="Z36" s="26">
        <v>80</v>
      </c>
      <c r="AA36" s="26">
        <v>80</v>
      </c>
      <c r="AB36" s="23">
        <f t="shared" si="0"/>
        <v>1920</v>
      </c>
      <c r="AC36" s="24">
        <v>5</v>
      </c>
      <c r="AD36" s="86"/>
    </row>
    <row r="37" spans="2:30" x14ac:dyDescent="0.2">
      <c r="B37" s="85">
        <v>46327</v>
      </c>
      <c r="C37" s="2" t="s">
        <v>29</v>
      </c>
      <c r="D37" s="26">
        <v>80</v>
      </c>
      <c r="E37" s="26">
        <v>80</v>
      </c>
      <c r="F37" s="26">
        <v>80</v>
      </c>
      <c r="G37" s="26">
        <v>80</v>
      </c>
      <c r="H37" s="26">
        <v>80</v>
      </c>
      <c r="I37" s="26">
        <v>80</v>
      </c>
      <c r="J37" s="26">
        <v>80</v>
      </c>
      <c r="K37" s="26">
        <v>80</v>
      </c>
      <c r="L37" s="26">
        <v>80</v>
      </c>
      <c r="M37" s="26">
        <v>80</v>
      </c>
      <c r="N37" s="26">
        <v>80</v>
      </c>
      <c r="O37" s="26">
        <v>80</v>
      </c>
      <c r="P37" s="26">
        <v>80</v>
      </c>
      <c r="Q37" s="26">
        <v>80</v>
      </c>
      <c r="R37" s="26">
        <v>80</v>
      </c>
      <c r="S37" s="26">
        <v>80</v>
      </c>
      <c r="T37" s="26">
        <v>80</v>
      </c>
      <c r="U37" s="26">
        <v>80</v>
      </c>
      <c r="V37" s="26">
        <v>80</v>
      </c>
      <c r="W37" s="26">
        <v>80</v>
      </c>
      <c r="X37" s="26">
        <v>80</v>
      </c>
      <c r="Y37" s="26">
        <v>80</v>
      </c>
      <c r="Z37" s="26">
        <v>80</v>
      </c>
      <c r="AA37" s="26">
        <v>80</v>
      </c>
      <c r="AB37" s="23">
        <f t="shared" si="0"/>
        <v>1920</v>
      </c>
      <c r="AC37" s="24">
        <v>19</v>
      </c>
      <c r="AD37" s="86">
        <f>+AB37*AC37+AB38*AC38+AB39*AC39</f>
        <v>57600</v>
      </c>
    </row>
    <row r="38" spans="2:30" x14ac:dyDescent="0.2">
      <c r="B38" s="85"/>
      <c r="C38" s="2" t="s">
        <v>30</v>
      </c>
      <c r="D38" s="26">
        <v>80</v>
      </c>
      <c r="E38" s="26">
        <v>80</v>
      </c>
      <c r="F38" s="26">
        <v>80</v>
      </c>
      <c r="G38" s="26">
        <v>80</v>
      </c>
      <c r="H38" s="26">
        <v>80</v>
      </c>
      <c r="I38" s="26">
        <v>80</v>
      </c>
      <c r="J38" s="26">
        <v>80</v>
      </c>
      <c r="K38" s="26">
        <v>80</v>
      </c>
      <c r="L38" s="26">
        <v>80</v>
      </c>
      <c r="M38" s="26">
        <v>80</v>
      </c>
      <c r="N38" s="26">
        <v>80</v>
      </c>
      <c r="O38" s="26">
        <v>80</v>
      </c>
      <c r="P38" s="26">
        <v>80</v>
      </c>
      <c r="Q38" s="26">
        <v>80</v>
      </c>
      <c r="R38" s="26">
        <v>80</v>
      </c>
      <c r="S38" s="26">
        <v>80</v>
      </c>
      <c r="T38" s="26">
        <v>80</v>
      </c>
      <c r="U38" s="26">
        <v>80</v>
      </c>
      <c r="V38" s="26">
        <v>80</v>
      </c>
      <c r="W38" s="26">
        <v>80</v>
      </c>
      <c r="X38" s="26">
        <v>80</v>
      </c>
      <c r="Y38" s="26">
        <v>80</v>
      </c>
      <c r="Z38" s="26">
        <v>80</v>
      </c>
      <c r="AA38" s="26">
        <v>80</v>
      </c>
      <c r="AB38" s="23">
        <f t="shared" si="0"/>
        <v>1920</v>
      </c>
      <c r="AC38" s="24">
        <v>4</v>
      </c>
      <c r="AD38" s="86"/>
    </row>
    <row r="39" spans="2:30" x14ac:dyDescent="0.2">
      <c r="B39" s="85"/>
      <c r="C39" s="2" t="s">
        <v>63</v>
      </c>
      <c r="D39" s="26">
        <v>80</v>
      </c>
      <c r="E39" s="26">
        <v>80</v>
      </c>
      <c r="F39" s="26">
        <v>80</v>
      </c>
      <c r="G39" s="26">
        <v>80</v>
      </c>
      <c r="H39" s="26">
        <v>80</v>
      </c>
      <c r="I39" s="26">
        <v>80</v>
      </c>
      <c r="J39" s="26">
        <v>80</v>
      </c>
      <c r="K39" s="26">
        <v>80</v>
      </c>
      <c r="L39" s="26">
        <v>80</v>
      </c>
      <c r="M39" s="26">
        <v>80</v>
      </c>
      <c r="N39" s="26">
        <v>80</v>
      </c>
      <c r="O39" s="26">
        <v>80</v>
      </c>
      <c r="P39" s="26">
        <v>80</v>
      </c>
      <c r="Q39" s="26">
        <v>80</v>
      </c>
      <c r="R39" s="26">
        <v>80</v>
      </c>
      <c r="S39" s="26">
        <v>80</v>
      </c>
      <c r="T39" s="26">
        <v>80</v>
      </c>
      <c r="U39" s="26">
        <v>80</v>
      </c>
      <c r="V39" s="26">
        <v>80</v>
      </c>
      <c r="W39" s="26">
        <v>80</v>
      </c>
      <c r="X39" s="26">
        <v>80</v>
      </c>
      <c r="Y39" s="26">
        <v>80</v>
      </c>
      <c r="Z39" s="26">
        <v>80</v>
      </c>
      <c r="AA39" s="26">
        <v>80</v>
      </c>
      <c r="AB39" s="23">
        <f t="shared" si="0"/>
        <v>1920</v>
      </c>
      <c r="AC39" s="24">
        <v>7</v>
      </c>
      <c r="AD39" s="86"/>
    </row>
    <row r="40" spans="2:30" x14ac:dyDescent="0.2">
      <c r="B40" s="85">
        <v>46357</v>
      </c>
      <c r="C40" s="2" t="s">
        <v>29</v>
      </c>
      <c r="D40" s="26">
        <v>80</v>
      </c>
      <c r="E40" s="26">
        <v>80</v>
      </c>
      <c r="F40" s="26">
        <v>80</v>
      </c>
      <c r="G40" s="26">
        <v>80</v>
      </c>
      <c r="H40" s="26">
        <v>80</v>
      </c>
      <c r="I40" s="26">
        <v>80</v>
      </c>
      <c r="J40" s="26">
        <v>80</v>
      </c>
      <c r="K40" s="26">
        <v>80</v>
      </c>
      <c r="L40" s="26">
        <v>80</v>
      </c>
      <c r="M40" s="26">
        <v>80</v>
      </c>
      <c r="N40" s="26">
        <v>80</v>
      </c>
      <c r="O40" s="26">
        <v>80</v>
      </c>
      <c r="P40" s="26">
        <v>80</v>
      </c>
      <c r="Q40" s="26">
        <v>80</v>
      </c>
      <c r="R40" s="26">
        <v>80</v>
      </c>
      <c r="S40" s="26">
        <v>80</v>
      </c>
      <c r="T40" s="26">
        <v>80</v>
      </c>
      <c r="U40" s="26">
        <v>80</v>
      </c>
      <c r="V40" s="26">
        <v>80</v>
      </c>
      <c r="W40" s="26">
        <v>80</v>
      </c>
      <c r="X40" s="26">
        <v>80</v>
      </c>
      <c r="Y40" s="26">
        <v>80</v>
      </c>
      <c r="Z40" s="26">
        <v>80</v>
      </c>
      <c r="AA40" s="26">
        <v>80</v>
      </c>
      <c r="AB40" s="23">
        <f t="shared" si="0"/>
        <v>1920</v>
      </c>
      <c r="AC40" s="24">
        <v>21</v>
      </c>
      <c r="AD40" s="86">
        <f>+AB40*AC40+AB41*AC41+AB42*AC42</f>
        <v>59520</v>
      </c>
    </row>
    <row r="41" spans="2:30" x14ac:dyDescent="0.2">
      <c r="B41" s="85"/>
      <c r="C41" s="2" t="s">
        <v>30</v>
      </c>
      <c r="D41" s="26">
        <v>80</v>
      </c>
      <c r="E41" s="26">
        <v>80</v>
      </c>
      <c r="F41" s="26">
        <v>80</v>
      </c>
      <c r="G41" s="26">
        <v>80</v>
      </c>
      <c r="H41" s="26">
        <v>80</v>
      </c>
      <c r="I41" s="26">
        <v>80</v>
      </c>
      <c r="J41" s="26">
        <v>80</v>
      </c>
      <c r="K41" s="26">
        <v>80</v>
      </c>
      <c r="L41" s="26">
        <v>80</v>
      </c>
      <c r="M41" s="26">
        <v>80</v>
      </c>
      <c r="N41" s="26">
        <v>80</v>
      </c>
      <c r="O41" s="26">
        <v>80</v>
      </c>
      <c r="P41" s="26">
        <v>80</v>
      </c>
      <c r="Q41" s="26">
        <v>80</v>
      </c>
      <c r="R41" s="26">
        <v>80</v>
      </c>
      <c r="S41" s="26">
        <v>80</v>
      </c>
      <c r="T41" s="26">
        <v>80</v>
      </c>
      <c r="U41" s="26">
        <v>80</v>
      </c>
      <c r="V41" s="26">
        <v>80</v>
      </c>
      <c r="W41" s="26">
        <v>80</v>
      </c>
      <c r="X41" s="26">
        <v>80</v>
      </c>
      <c r="Y41" s="26">
        <v>80</v>
      </c>
      <c r="Z41" s="26">
        <v>80</v>
      </c>
      <c r="AA41" s="26">
        <v>80</v>
      </c>
      <c r="AB41" s="23">
        <f t="shared" si="0"/>
        <v>1920</v>
      </c>
      <c r="AC41" s="24">
        <v>4</v>
      </c>
      <c r="AD41" s="86"/>
    </row>
    <row r="42" spans="2:30" x14ac:dyDescent="0.2">
      <c r="B42" s="85"/>
      <c r="C42" s="2" t="s">
        <v>63</v>
      </c>
      <c r="D42" s="26">
        <v>80</v>
      </c>
      <c r="E42" s="26">
        <v>80</v>
      </c>
      <c r="F42" s="26">
        <v>80</v>
      </c>
      <c r="G42" s="26">
        <v>80</v>
      </c>
      <c r="H42" s="26">
        <v>80</v>
      </c>
      <c r="I42" s="26">
        <v>80</v>
      </c>
      <c r="J42" s="26">
        <v>80</v>
      </c>
      <c r="K42" s="26">
        <v>80</v>
      </c>
      <c r="L42" s="26">
        <v>80</v>
      </c>
      <c r="M42" s="26">
        <v>80</v>
      </c>
      <c r="N42" s="26">
        <v>80</v>
      </c>
      <c r="O42" s="26">
        <v>80</v>
      </c>
      <c r="P42" s="26">
        <v>80</v>
      </c>
      <c r="Q42" s="26">
        <v>80</v>
      </c>
      <c r="R42" s="26">
        <v>80</v>
      </c>
      <c r="S42" s="26">
        <v>80</v>
      </c>
      <c r="T42" s="26">
        <v>80</v>
      </c>
      <c r="U42" s="26">
        <v>80</v>
      </c>
      <c r="V42" s="26">
        <v>80</v>
      </c>
      <c r="W42" s="26">
        <v>80</v>
      </c>
      <c r="X42" s="26">
        <v>80</v>
      </c>
      <c r="Y42" s="26">
        <v>80</v>
      </c>
      <c r="Z42" s="26">
        <v>80</v>
      </c>
      <c r="AA42" s="26">
        <v>80</v>
      </c>
      <c r="AB42" s="23">
        <f t="shared" si="0"/>
        <v>1920</v>
      </c>
      <c r="AC42" s="24">
        <v>6</v>
      </c>
      <c r="AD42" s="86"/>
    </row>
    <row r="43" spans="2:30" ht="15.75" x14ac:dyDescent="0.25">
      <c r="AA43" s="87" t="s">
        <v>31</v>
      </c>
      <c r="AB43" s="88"/>
      <c r="AC43" s="89"/>
      <c r="AD43" s="25">
        <f>SUM(AD7:AD42)</f>
        <v>700800</v>
      </c>
    </row>
  </sheetData>
  <mergeCells count="25">
    <mergeCell ref="AA43:AC43"/>
    <mergeCell ref="B7:B9"/>
    <mergeCell ref="AD7:AD9"/>
    <mergeCell ref="B10:B12"/>
    <mergeCell ref="AD10:AD12"/>
    <mergeCell ref="B13:B15"/>
    <mergeCell ref="AD13:AD15"/>
    <mergeCell ref="B16:B18"/>
    <mergeCell ref="AD16:AD18"/>
    <mergeCell ref="B19:B21"/>
    <mergeCell ref="AD19:AD21"/>
    <mergeCell ref="B22:B24"/>
    <mergeCell ref="AD22:AD24"/>
    <mergeCell ref="B25:B27"/>
    <mergeCell ref="AD25:AD27"/>
    <mergeCell ref="B28:B30"/>
    <mergeCell ref="B37:B39"/>
    <mergeCell ref="AD37:AD39"/>
    <mergeCell ref="B40:B42"/>
    <mergeCell ref="AD40:AD42"/>
    <mergeCell ref="AD28:AD30"/>
    <mergeCell ref="B31:B33"/>
    <mergeCell ref="AD31:AD33"/>
    <mergeCell ref="B34:B36"/>
    <mergeCell ref="AD34:AD36"/>
  </mergeCells>
  <conditionalFormatting sqref="D7:AA42">
    <cfRule type="cellIs" dxfId="11" priority="13" operator="lessThan">
      <formula>0</formula>
    </cfRule>
    <cfRule type="cellIs" dxfId="10" priority="14" operator="equal">
      <formula>"&gt;0"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B2:M23"/>
  <sheetViews>
    <sheetView showGridLines="0" zoomScale="80" zoomScaleNormal="80" workbookViewId="0">
      <selection activeCell="K14" sqref="K14"/>
    </sheetView>
  </sheetViews>
  <sheetFormatPr baseColWidth="10" defaultRowHeight="15" x14ac:dyDescent="0.2"/>
  <cols>
    <col min="1" max="1" width="2.88671875" customWidth="1"/>
    <col min="2" max="2" width="12.33203125" customWidth="1"/>
    <col min="3" max="4" width="12.109375" customWidth="1"/>
    <col min="5" max="5" width="13.109375" customWidth="1"/>
    <col min="6" max="6" width="12.5546875" customWidth="1"/>
    <col min="7" max="7" width="8.109375" customWidth="1"/>
    <col min="8" max="8" width="12.44140625" customWidth="1"/>
  </cols>
  <sheetData>
    <row r="2" spans="2:11" x14ac:dyDescent="0.2">
      <c r="B2" s="10"/>
      <c r="C2" s="46"/>
      <c r="D2" s="46"/>
      <c r="E2" s="46"/>
      <c r="F2" s="46"/>
      <c r="G2" s="46"/>
      <c r="H2" s="11"/>
    </row>
    <row r="3" spans="2:11" ht="18" x14ac:dyDescent="0.2">
      <c r="B3" s="12"/>
      <c r="C3" s="48" t="s">
        <v>32</v>
      </c>
      <c r="D3" s="3"/>
      <c r="E3" s="3"/>
      <c r="F3" s="3"/>
      <c r="G3" s="3"/>
      <c r="H3" s="14"/>
    </row>
    <row r="4" spans="2:11" ht="18" x14ac:dyDescent="0.2">
      <c r="B4" s="12"/>
      <c r="C4" s="13" t="s">
        <v>33</v>
      </c>
      <c r="H4" s="14"/>
    </row>
    <row r="5" spans="2:11" ht="18" x14ac:dyDescent="0.2">
      <c r="B5" s="12"/>
      <c r="C5" s="13" t="s">
        <v>62</v>
      </c>
      <c r="H5" s="14"/>
    </row>
    <row r="6" spans="2:11" ht="18" x14ac:dyDescent="0.2">
      <c r="B6" s="12"/>
      <c r="C6" s="13"/>
      <c r="H6" s="14"/>
    </row>
    <row r="7" spans="2:11" ht="18" x14ac:dyDescent="0.2">
      <c r="B7" s="12"/>
      <c r="C7" s="13" t="s">
        <v>54</v>
      </c>
      <c r="H7" s="14"/>
    </row>
    <row r="8" spans="2:11" x14ac:dyDescent="0.2">
      <c r="B8" s="12"/>
      <c r="H8" s="14"/>
    </row>
    <row r="9" spans="2:11" ht="18" x14ac:dyDescent="0.2">
      <c r="B9" s="12"/>
      <c r="C9" s="13" t="s">
        <v>79</v>
      </c>
      <c r="H9" s="14"/>
    </row>
    <row r="10" spans="2:11" x14ac:dyDescent="0.2">
      <c r="B10" s="12"/>
      <c r="H10" s="14"/>
    </row>
    <row r="11" spans="2:11" ht="15.75" x14ac:dyDescent="0.25">
      <c r="B11" s="12"/>
      <c r="C11" s="5"/>
      <c r="H11" s="15"/>
    </row>
    <row r="12" spans="2:11" ht="45" x14ac:dyDescent="0.25">
      <c r="B12" s="12"/>
      <c r="C12" s="6" t="s">
        <v>46</v>
      </c>
      <c r="D12" s="6" t="s">
        <v>34</v>
      </c>
      <c r="E12" s="6" t="s">
        <v>91</v>
      </c>
      <c r="F12" s="6" t="s">
        <v>56</v>
      </c>
      <c r="G12" s="16"/>
      <c r="H12" s="15"/>
    </row>
    <row r="13" spans="2:11" ht="15.75" x14ac:dyDescent="0.25">
      <c r="B13" s="12"/>
      <c r="C13" s="27">
        <v>2026</v>
      </c>
      <c r="D13" s="28">
        <f>P1_Anexo_1_2026!AD43</f>
        <v>700800</v>
      </c>
      <c r="E13" s="9"/>
      <c r="F13" s="9"/>
      <c r="G13" s="17"/>
      <c r="H13" s="15"/>
    </row>
    <row r="14" spans="2:11" ht="15.75" x14ac:dyDescent="0.25">
      <c r="B14" s="12"/>
      <c r="C14" s="7" t="s">
        <v>35</v>
      </c>
      <c r="D14" s="29">
        <f>SUM(D13:D13)</f>
        <v>700800</v>
      </c>
      <c r="H14" s="15"/>
      <c r="K14" s="69"/>
    </row>
    <row r="15" spans="2:11" ht="15.75" x14ac:dyDescent="0.25">
      <c r="B15" s="12"/>
      <c r="H15" s="15"/>
    </row>
    <row r="16" spans="2:11" x14ac:dyDescent="0.2">
      <c r="B16" s="39"/>
      <c r="C16" s="3"/>
      <c r="D16" s="3"/>
      <c r="E16" s="3"/>
      <c r="F16" s="3"/>
      <c r="G16" s="3"/>
      <c r="H16" s="40"/>
    </row>
    <row r="17" spans="2:13" x14ac:dyDescent="0.2">
      <c r="B17" s="39"/>
      <c r="C17" s="41" t="s">
        <v>36</v>
      </c>
      <c r="D17" s="3"/>
      <c r="E17" s="3"/>
      <c r="F17" s="3"/>
      <c r="G17" s="3"/>
      <c r="H17" s="40"/>
      <c r="M17" s="8"/>
    </row>
    <row r="18" spans="2:13" x14ac:dyDescent="0.2">
      <c r="B18" s="39"/>
      <c r="C18" s="41" t="s">
        <v>96</v>
      </c>
      <c r="D18" s="3"/>
      <c r="E18" s="3"/>
      <c r="F18" s="3"/>
      <c r="G18" s="3"/>
      <c r="H18" s="40"/>
    </row>
    <row r="19" spans="2:13" x14ac:dyDescent="0.2">
      <c r="B19" s="39"/>
      <c r="C19" s="41" t="s">
        <v>93</v>
      </c>
      <c r="D19" s="3"/>
      <c r="E19" s="3"/>
      <c r="F19" s="3"/>
      <c r="G19" s="3"/>
      <c r="H19" s="40"/>
    </row>
    <row r="20" spans="2:13" x14ac:dyDescent="0.2">
      <c r="B20" s="39"/>
      <c r="C20" s="41" t="s">
        <v>37</v>
      </c>
      <c r="D20" s="3"/>
      <c r="E20" s="3"/>
      <c r="F20" s="3"/>
      <c r="G20" s="3"/>
      <c r="H20" s="40"/>
    </row>
    <row r="21" spans="2:13" x14ac:dyDescent="0.2">
      <c r="B21" s="39"/>
      <c r="C21" s="41" t="s">
        <v>92</v>
      </c>
      <c r="D21" s="3"/>
      <c r="E21" s="3"/>
      <c r="F21" s="3"/>
      <c r="G21" s="3"/>
      <c r="H21" s="40"/>
    </row>
    <row r="22" spans="2:13" x14ac:dyDescent="0.2">
      <c r="B22" s="39"/>
      <c r="C22" s="41"/>
      <c r="D22" s="3"/>
      <c r="E22" s="3"/>
      <c r="F22" s="3"/>
      <c r="G22" s="3"/>
      <c r="H22" s="40"/>
    </row>
    <row r="23" spans="2:13" x14ac:dyDescent="0.2">
      <c r="B23" s="42"/>
      <c r="C23" s="43"/>
      <c r="D23" s="43"/>
      <c r="E23" s="43"/>
      <c r="F23" s="43"/>
      <c r="G23" s="43"/>
      <c r="H23" s="4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1CD8-AA95-4F06-B03F-B82B9FA25DCD}">
  <sheetPr>
    <tabColor theme="9" tint="0.39997558519241921"/>
  </sheetPr>
  <dimension ref="B2:AD43"/>
  <sheetViews>
    <sheetView showGridLines="0" zoomScale="60" zoomScaleNormal="6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" sqref="D1:AA1048576"/>
    </sheetView>
  </sheetViews>
  <sheetFormatPr baseColWidth="10" defaultRowHeight="15" x14ac:dyDescent="0.2"/>
  <cols>
    <col min="1" max="1" width="3.44140625" customWidth="1"/>
    <col min="3" max="3" width="11.109375" bestFit="1" customWidth="1"/>
    <col min="4" max="27" width="8.109375" bestFit="1" customWidth="1"/>
    <col min="28" max="28" width="7.109375" bestFit="1" customWidth="1"/>
    <col min="29" max="29" width="8.6640625" bestFit="1" customWidth="1"/>
    <col min="30" max="30" width="11.5546875" bestFit="1" customWidth="1"/>
  </cols>
  <sheetData>
    <row r="2" spans="2:30" ht="23.25" x14ac:dyDescent="0.35">
      <c r="B2" s="1" t="s">
        <v>55</v>
      </c>
    </row>
    <row r="3" spans="2:30" ht="23.25" x14ac:dyDescent="0.35">
      <c r="B3" s="1" t="s">
        <v>67</v>
      </c>
    </row>
    <row r="4" spans="2:30" ht="23.25" x14ac:dyDescent="0.35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1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2:30" ht="23.25" x14ac:dyDescent="0.35">
      <c r="B5" s="1" t="s">
        <v>43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2:30" x14ac:dyDescent="0.2">
      <c r="B6" s="22" t="s">
        <v>0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  <c r="J6" s="22" t="s">
        <v>8</v>
      </c>
      <c r="K6" s="22" t="s">
        <v>9</v>
      </c>
      <c r="L6" s="22" t="s">
        <v>10</v>
      </c>
      <c r="M6" s="22" t="s">
        <v>11</v>
      </c>
      <c r="N6" s="22" t="s">
        <v>12</v>
      </c>
      <c r="O6" s="22" t="s">
        <v>13</v>
      </c>
      <c r="P6" s="22" t="s">
        <v>14</v>
      </c>
      <c r="Q6" s="22" t="s">
        <v>15</v>
      </c>
      <c r="R6" s="22" t="s">
        <v>16</v>
      </c>
      <c r="S6" s="22" t="s">
        <v>17</v>
      </c>
      <c r="T6" s="22" t="s">
        <v>18</v>
      </c>
      <c r="U6" s="22" t="s">
        <v>19</v>
      </c>
      <c r="V6" s="22" t="s">
        <v>20</v>
      </c>
      <c r="W6" s="22" t="s">
        <v>21</v>
      </c>
      <c r="X6" s="22" t="s">
        <v>22</v>
      </c>
      <c r="Y6" s="22" t="s">
        <v>23</v>
      </c>
      <c r="Z6" s="22" t="s">
        <v>24</v>
      </c>
      <c r="AA6" s="22" t="s">
        <v>25</v>
      </c>
      <c r="AB6" s="22" t="s">
        <v>26</v>
      </c>
      <c r="AC6" s="22" t="s">
        <v>27</v>
      </c>
      <c r="AD6" s="22" t="s">
        <v>28</v>
      </c>
    </row>
    <row r="7" spans="2:30" x14ac:dyDescent="0.2">
      <c r="B7" s="90">
        <v>46388</v>
      </c>
      <c r="C7" s="2" t="s">
        <v>29</v>
      </c>
      <c r="D7" s="74">
        <v>87.79</v>
      </c>
      <c r="E7" s="74">
        <v>87.79</v>
      </c>
      <c r="F7" s="74">
        <v>87.79</v>
      </c>
      <c r="G7" s="74">
        <v>87.79</v>
      </c>
      <c r="H7" s="74">
        <v>87.79</v>
      </c>
      <c r="I7" s="74">
        <v>87.79</v>
      </c>
      <c r="J7" s="74">
        <v>87.79</v>
      </c>
      <c r="K7" s="74">
        <v>87.79</v>
      </c>
      <c r="L7" s="74">
        <v>87.79</v>
      </c>
      <c r="M7" s="74">
        <v>87.79</v>
      </c>
      <c r="N7" s="74">
        <v>87.79</v>
      </c>
      <c r="O7" s="74">
        <v>87.79</v>
      </c>
      <c r="P7" s="74">
        <v>87.79</v>
      </c>
      <c r="Q7" s="74">
        <v>87.79</v>
      </c>
      <c r="R7" s="74">
        <v>87.79</v>
      </c>
      <c r="S7" s="74">
        <v>87.79</v>
      </c>
      <c r="T7" s="74">
        <v>87.79</v>
      </c>
      <c r="U7" s="74">
        <v>87.79</v>
      </c>
      <c r="V7" s="74">
        <v>87.79</v>
      </c>
      <c r="W7" s="74">
        <v>87.79</v>
      </c>
      <c r="X7" s="74">
        <v>87.79</v>
      </c>
      <c r="Y7" s="74">
        <v>87.79</v>
      </c>
      <c r="Z7" s="74">
        <v>87.79</v>
      </c>
      <c r="AA7" s="74">
        <v>87.79</v>
      </c>
      <c r="AB7" s="73">
        <f>SUM(D7:AA7)</f>
        <v>2106.9599999999996</v>
      </c>
      <c r="AC7" s="35">
        <v>19</v>
      </c>
      <c r="AD7" s="86">
        <f>+AB7*AC7+AB8*AC8+AB9*AC9</f>
        <v>65315.75999999998</v>
      </c>
    </row>
    <row r="8" spans="2:30" x14ac:dyDescent="0.2">
      <c r="B8" s="91"/>
      <c r="C8" s="2" t="s">
        <v>30</v>
      </c>
      <c r="D8" s="74">
        <v>87.79</v>
      </c>
      <c r="E8" s="74">
        <v>87.79</v>
      </c>
      <c r="F8" s="74">
        <v>87.79</v>
      </c>
      <c r="G8" s="74">
        <v>87.79</v>
      </c>
      <c r="H8" s="74">
        <v>87.79</v>
      </c>
      <c r="I8" s="74">
        <v>87.79</v>
      </c>
      <c r="J8" s="74">
        <v>87.79</v>
      </c>
      <c r="K8" s="74">
        <v>87.79</v>
      </c>
      <c r="L8" s="74">
        <v>87.79</v>
      </c>
      <c r="M8" s="74">
        <v>87.79</v>
      </c>
      <c r="N8" s="74">
        <v>87.79</v>
      </c>
      <c r="O8" s="74">
        <v>87.79</v>
      </c>
      <c r="P8" s="74">
        <v>87.79</v>
      </c>
      <c r="Q8" s="74">
        <v>87.79</v>
      </c>
      <c r="R8" s="74">
        <v>87.79</v>
      </c>
      <c r="S8" s="74">
        <v>87.79</v>
      </c>
      <c r="T8" s="74">
        <v>87.79</v>
      </c>
      <c r="U8" s="74">
        <v>87.79</v>
      </c>
      <c r="V8" s="74">
        <v>87.79</v>
      </c>
      <c r="W8" s="74">
        <v>87.79</v>
      </c>
      <c r="X8" s="74">
        <v>87.79</v>
      </c>
      <c r="Y8" s="74">
        <v>87.79</v>
      </c>
      <c r="Z8" s="74">
        <v>87.79</v>
      </c>
      <c r="AA8" s="74">
        <v>87.79</v>
      </c>
      <c r="AB8" s="73">
        <f t="shared" ref="AB8:AB42" si="0">SUM(D8:AA8)</f>
        <v>2106.9599999999996</v>
      </c>
      <c r="AC8" s="35">
        <v>5</v>
      </c>
      <c r="AD8" s="86"/>
    </row>
    <row r="9" spans="2:30" x14ac:dyDescent="0.2">
      <c r="B9" s="92"/>
      <c r="C9" s="2" t="s">
        <v>63</v>
      </c>
      <c r="D9" s="74">
        <v>87.79</v>
      </c>
      <c r="E9" s="74">
        <v>87.79</v>
      </c>
      <c r="F9" s="74">
        <v>87.79</v>
      </c>
      <c r="G9" s="74">
        <v>87.79</v>
      </c>
      <c r="H9" s="74">
        <v>87.79</v>
      </c>
      <c r="I9" s="74">
        <v>87.79</v>
      </c>
      <c r="J9" s="74">
        <v>87.79</v>
      </c>
      <c r="K9" s="74">
        <v>87.79</v>
      </c>
      <c r="L9" s="74">
        <v>87.79</v>
      </c>
      <c r="M9" s="74">
        <v>87.79</v>
      </c>
      <c r="N9" s="74">
        <v>87.79</v>
      </c>
      <c r="O9" s="74">
        <v>87.79</v>
      </c>
      <c r="P9" s="74">
        <v>87.79</v>
      </c>
      <c r="Q9" s="74">
        <v>87.79</v>
      </c>
      <c r="R9" s="74">
        <v>87.79</v>
      </c>
      <c r="S9" s="74">
        <v>87.79</v>
      </c>
      <c r="T9" s="74">
        <v>87.79</v>
      </c>
      <c r="U9" s="74">
        <v>87.79</v>
      </c>
      <c r="V9" s="74">
        <v>87.79</v>
      </c>
      <c r="W9" s="74">
        <v>87.79</v>
      </c>
      <c r="X9" s="74">
        <v>87.79</v>
      </c>
      <c r="Y9" s="74">
        <v>87.79</v>
      </c>
      <c r="Z9" s="74">
        <v>87.79</v>
      </c>
      <c r="AA9" s="74">
        <v>87.79</v>
      </c>
      <c r="AB9" s="73">
        <f t="shared" si="0"/>
        <v>2106.9599999999996</v>
      </c>
      <c r="AC9" s="35">
        <v>7</v>
      </c>
      <c r="AD9" s="86"/>
    </row>
    <row r="10" spans="2:30" x14ac:dyDescent="0.2">
      <c r="B10" s="90">
        <v>46419</v>
      </c>
      <c r="C10" s="2" t="s">
        <v>29</v>
      </c>
      <c r="D10" s="74">
        <v>87.79</v>
      </c>
      <c r="E10" s="74">
        <v>87.79</v>
      </c>
      <c r="F10" s="74">
        <v>87.79</v>
      </c>
      <c r="G10" s="74">
        <v>87.79</v>
      </c>
      <c r="H10" s="74">
        <v>87.79</v>
      </c>
      <c r="I10" s="74">
        <v>87.79</v>
      </c>
      <c r="J10" s="74">
        <v>87.79</v>
      </c>
      <c r="K10" s="74">
        <v>87.79</v>
      </c>
      <c r="L10" s="74">
        <v>87.79</v>
      </c>
      <c r="M10" s="74">
        <v>87.79</v>
      </c>
      <c r="N10" s="74">
        <v>87.79</v>
      </c>
      <c r="O10" s="74">
        <v>87.79</v>
      </c>
      <c r="P10" s="74">
        <v>87.79</v>
      </c>
      <c r="Q10" s="74">
        <v>87.79</v>
      </c>
      <c r="R10" s="74">
        <v>87.79</v>
      </c>
      <c r="S10" s="74">
        <v>87.79</v>
      </c>
      <c r="T10" s="74">
        <v>87.79</v>
      </c>
      <c r="U10" s="74">
        <v>87.79</v>
      </c>
      <c r="V10" s="74">
        <v>87.79</v>
      </c>
      <c r="W10" s="74">
        <v>87.79</v>
      </c>
      <c r="X10" s="74">
        <v>87.79</v>
      </c>
      <c r="Y10" s="74">
        <v>87.79</v>
      </c>
      <c r="Z10" s="74">
        <v>87.79</v>
      </c>
      <c r="AA10" s="74">
        <v>87.79</v>
      </c>
      <c r="AB10" s="73">
        <f t="shared" si="0"/>
        <v>2106.9599999999996</v>
      </c>
      <c r="AC10" s="35">
        <v>20</v>
      </c>
      <c r="AD10" s="86">
        <f>+AB10*AC10+AB11*AC11+AB12*AC12</f>
        <v>58994.879999999983</v>
      </c>
    </row>
    <row r="11" spans="2:30" x14ac:dyDescent="0.2">
      <c r="B11" s="91"/>
      <c r="C11" s="2" t="s">
        <v>30</v>
      </c>
      <c r="D11" s="74">
        <v>87.79</v>
      </c>
      <c r="E11" s="74">
        <v>87.79</v>
      </c>
      <c r="F11" s="74">
        <v>87.79</v>
      </c>
      <c r="G11" s="74">
        <v>87.79</v>
      </c>
      <c r="H11" s="74">
        <v>87.79</v>
      </c>
      <c r="I11" s="74">
        <v>87.79</v>
      </c>
      <c r="J11" s="74">
        <v>87.79</v>
      </c>
      <c r="K11" s="74">
        <v>87.79</v>
      </c>
      <c r="L11" s="74">
        <v>87.79</v>
      </c>
      <c r="M11" s="74">
        <v>87.79</v>
      </c>
      <c r="N11" s="74">
        <v>87.79</v>
      </c>
      <c r="O11" s="74">
        <v>87.79</v>
      </c>
      <c r="P11" s="74">
        <v>87.79</v>
      </c>
      <c r="Q11" s="74">
        <v>87.79</v>
      </c>
      <c r="R11" s="74">
        <v>87.79</v>
      </c>
      <c r="S11" s="74">
        <v>87.79</v>
      </c>
      <c r="T11" s="74">
        <v>87.79</v>
      </c>
      <c r="U11" s="74">
        <v>87.79</v>
      </c>
      <c r="V11" s="74">
        <v>87.79</v>
      </c>
      <c r="W11" s="74">
        <v>87.79</v>
      </c>
      <c r="X11" s="74">
        <v>87.79</v>
      </c>
      <c r="Y11" s="74">
        <v>87.79</v>
      </c>
      <c r="Z11" s="74">
        <v>87.79</v>
      </c>
      <c r="AA11" s="74">
        <v>87.79</v>
      </c>
      <c r="AB11" s="73">
        <f t="shared" si="0"/>
        <v>2106.9599999999996</v>
      </c>
      <c r="AC11" s="35">
        <v>4</v>
      </c>
      <c r="AD11" s="86"/>
    </row>
    <row r="12" spans="2:30" x14ac:dyDescent="0.2">
      <c r="B12" s="92"/>
      <c r="C12" s="2" t="s">
        <v>63</v>
      </c>
      <c r="D12" s="74">
        <v>87.79</v>
      </c>
      <c r="E12" s="74">
        <v>87.79</v>
      </c>
      <c r="F12" s="74">
        <v>87.79</v>
      </c>
      <c r="G12" s="74">
        <v>87.79</v>
      </c>
      <c r="H12" s="74">
        <v>87.79</v>
      </c>
      <c r="I12" s="74">
        <v>87.79</v>
      </c>
      <c r="J12" s="74">
        <v>87.79</v>
      </c>
      <c r="K12" s="74">
        <v>87.79</v>
      </c>
      <c r="L12" s="74">
        <v>87.79</v>
      </c>
      <c r="M12" s="74">
        <v>87.79</v>
      </c>
      <c r="N12" s="74">
        <v>87.79</v>
      </c>
      <c r="O12" s="74">
        <v>87.79</v>
      </c>
      <c r="P12" s="74">
        <v>87.79</v>
      </c>
      <c r="Q12" s="74">
        <v>87.79</v>
      </c>
      <c r="R12" s="74">
        <v>87.79</v>
      </c>
      <c r="S12" s="74">
        <v>87.79</v>
      </c>
      <c r="T12" s="74">
        <v>87.79</v>
      </c>
      <c r="U12" s="74">
        <v>87.79</v>
      </c>
      <c r="V12" s="74">
        <v>87.79</v>
      </c>
      <c r="W12" s="74">
        <v>87.79</v>
      </c>
      <c r="X12" s="74">
        <v>87.79</v>
      </c>
      <c r="Y12" s="74">
        <v>87.79</v>
      </c>
      <c r="Z12" s="74">
        <v>87.79</v>
      </c>
      <c r="AA12" s="74">
        <v>87.79</v>
      </c>
      <c r="AB12" s="73">
        <f t="shared" si="0"/>
        <v>2106.9599999999996</v>
      </c>
      <c r="AC12" s="35">
        <v>4</v>
      </c>
      <c r="AD12" s="86"/>
    </row>
    <row r="13" spans="2:30" x14ac:dyDescent="0.2">
      <c r="B13" s="90">
        <v>46447</v>
      </c>
      <c r="C13" s="2" t="s">
        <v>29</v>
      </c>
      <c r="D13" s="74">
        <v>87.79</v>
      </c>
      <c r="E13" s="74">
        <v>87.79</v>
      </c>
      <c r="F13" s="74">
        <v>87.79</v>
      </c>
      <c r="G13" s="74">
        <v>87.79</v>
      </c>
      <c r="H13" s="74">
        <v>87.79</v>
      </c>
      <c r="I13" s="74">
        <v>87.79</v>
      </c>
      <c r="J13" s="74">
        <v>87.79</v>
      </c>
      <c r="K13" s="74">
        <v>87.79</v>
      </c>
      <c r="L13" s="74">
        <v>87.79</v>
      </c>
      <c r="M13" s="74">
        <v>87.79</v>
      </c>
      <c r="N13" s="74">
        <v>87.79</v>
      </c>
      <c r="O13" s="74">
        <v>87.79</v>
      </c>
      <c r="P13" s="74">
        <v>87.79</v>
      </c>
      <c r="Q13" s="74">
        <v>87.79</v>
      </c>
      <c r="R13" s="74">
        <v>87.79</v>
      </c>
      <c r="S13" s="74">
        <v>87.79</v>
      </c>
      <c r="T13" s="74">
        <v>87.79</v>
      </c>
      <c r="U13" s="74">
        <v>87.79</v>
      </c>
      <c r="V13" s="74">
        <v>87.79</v>
      </c>
      <c r="W13" s="74">
        <v>87.79</v>
      </c>
      <c r="X13" s="74">
        <v>87.79</v>
      </c>
      <c r="Y13" s="74">
        <v>87.79</v>
      </c>
      <c r="Z13" s="74">
        <v>87.79</v>
      </c>
      <c r="AA13" s="74">
        <v>87.79</v>
      </c>
      <c r="AB13" s="73">
        <f t="shared" si="0"/>
        <v>2106.9599999999996</v>
      </c>
      <c r="AC13" s="35">
        <v>20</v>
      </c>
      <c r="AD13" s="86">
        <f>+AB13*AC13+AB14*AC14+AB15*AC15</f>
        <v>65315.75999999998</v>
      </c>
    </row>
    <row r="14" spans="2:30" x14ac:dyDescent="0.2">
      <c r="B14" s="91"/>
      <c r="C14" s="2" t="s">
        <v>30</v>
      </c>
      <c r="D14" s="74">
        <v>87.79</v>
      </c>
      <c r="E14" s="74">
        <v>87.79</v>
      </c>
      <c r="F14" s="74">
        <v>87.79</v>
      </c>
      <c r="G14" s="74">
        <v>87.79</v>
      </c>
      <c r="H14" s="74">
        <v>87.79</v>
      </c>
      <c r="I14" s="74">
        <v>87.79</v>
      </c>
      <c r="J14" s="74">
        <v>87.79</v>
      </c>
      <c r="K14" s="74">
        <v>87.79</v>
      </c>
      <c r="L14" s="74">
        <v>87.79</v>
      </c>
      <c r="M14" s="74">
        <v>87.79</v>
      </c>
      <c r="N14" s="74">
        <v>87.79</v>
      </c>
      <c r="O14" s="74">
        <v>87.79</v>
      </c>
      <c r="P14" s="74">
        <v>87.79</v>
      </c>
      <c r="Q14" s="74">
        <v>87.79</v>
      </c>
      <c r="R14" s="74">
        <v>87.79</v>
      </c>
      <c r="S14" s="74">
        <v>87.79</v>
      </c>
      <c r="T14" s="74">
        <v>87.79</v>
      </c>
      <c r="U14" s="74">
        <v>87.79</v>
      </c>
      <c r="V14" s="74">
        <v>87.79</v>
      </c>
      <c r="W14" s="74">
        <v>87.79</v>
      </c>
      <c r="X14" s="74">
        <v>87.79</v>
      </c>
      <c r="Y14" s="74">
        <v>87.79</v>
      </c>
      <c r="Z14" s="74">
        <v>87.79</v>
      </c>
      <c r="AA14" s="74">
        <v>87.79</v>
      </c>
      <c r="AB14" s="73">
        <f t="shared" si="0"/>
        <v>2106.9599999999996</v>
      </c>
      <c r="AC14" s="35">
        <v>4</v>
      </c>
      <c r="AD14" s="86"/>
    </row>
    <row r="15" spans="2:30" x14ac:dyDescent="0.2">
      <c r="B15" s="92"/>
      <c r="C15" s="2" t="s">
        <v>63</v>
      </c>
      <c r="D15" s="74">
        <v>87.79</v>
      </c>
      <c r="E15" s="74">
        <v>87.79</v>
      </c>
      <c r="F15" s="74">
        <v>87.79</v>
      </c>
      <c r="G15" s="74">
        <v>87.79</v>
      </c>
      <c r="H15" s="74">
        <v>87.79</v>
      </c>
      <c r="I15" s="74">
        <v>87.79</v>
      </c>
      <c r="J15" s="74">
        <v>87.79</v>
      </c>
      <c r="K15" s="74">
        <v>87.79</v>
      </c>
      <c r="L15" s="74">
        <v>87.79</v>
      </c>
      <c r="M15" s="74">
        <v>87.79</v>
      </c>
      <c r="N15" s="74">
        <v>87.79</v>
      </c>
      <c r="O15" s="74">
        <v>87.79</v>
      </c>
      <c r="P15" s="74">
        <v>87.79</v>
      </c>
      <c r="Q15" s="74">
        <v>87.79</v>
      </c>
      <c r="R15" s="74">
        <v>87.79</v>
      </c>
      <c r="S15" s="74">
        <v>87.79</v>
      </c>
      <c r="T15" s="74">
        <v>87.79</v>
      </c>
      <c r="U15" s="74">
        <v>87.79</v>
      </c>
      <c r="V15" s="74">
        <v>87.79</v>
      </c>
      <c r="W15" s="74">
        <v>87.79</v>
      </c>
      <c r="X15" s="74">
        <v>87.79</v>
      </c>
      <c r="Y15" s="74">
        <v>87.79</v>
      </c>
      <c r="Z15" s="74">
        <v>87.79</v>
      </c>
      <c r="AA15" s="74">
        <v>87.79</v>
      </c>
      <c r="AB15" s="73">
        <f t="shared" si="0"/>
        <v>2106.9599999999996</v>
      </c>
      <c r="AC15" s="35">
        <v>7</v>
      </c>
      <c r="AD15" s="86"/>
    </row>
    <row r="16" spans="2:30" x14ac:dyDescent="0.2">
      <c r="B16" s="90">
        <v>46478</v>
      </c>
      <c r="C16" s="2" t="s">
        <v>29</v>
      </c>
      <c r="D16" s="74">
        <v>87.79</v>
      </c>
      <c r="E16" s="74">
        <v>87.79</v>
      </c>
      <c r="F16" s="74">
        <v>87.79</v>
      </c>
      <c r="G16" s="74">
        <v>87.79</v>
      </c>
      <c r="H16" s="74">
        <v>87.79</v>
      </c>
      <c r="I16" s="74">
        <v>87.79</v>
      </c>
      <c r="J16" s="74">
        <v>87.79</v>
      </c>
      <c r="K16" s="74">
        <v>87.79</v>
      </c>
      <c r="L16" s="74">
        <v>87.79</v>
      </c>
      <c r="M16" s="74">
        <v>87.79</v>
      </c>
      <c r="N16" s="74">
        <v>87.79</v>
      </c>
      <c r="O16" s="74">
        <v>87.79</v>
      </c>
      <c r="P16" s="74">
        <v>87.79</v>
      </c>
      <c r="Q16" s="74">
        <v>87.79</v>
      </c>
      <c r="R16" s="74">
        <v>87.79</v>
      </c>
      <c r="S16" s="74">
        <v>87.79</v>
      </c>
      <c r="T16" s="74">
        <v>87.79</v>
      </c>
      <c r="U16" s="74">
        <v>87.79</v>
      </c>
      <c r="V16" s="74">
        <v>87.79</v>
      </c>
      <c r="W16" s="74">
        <v>87.79</v>
      </c>
      <c r="X16" s="74">
        <v>87.79</v>
      </c>
      <c r="Y16" s="74">
        <v>87.79</v>
      </c>
      <c r="Z16" s="74">
        <v>87.79</v>
      </c>
      <c r="AA16" s="74">
        <v>87.79</v>
      </c>
      <c r="AB16" s="73">
        <f t="shared" si="0"/>
        <v>2106.9599999999996</v>
      </c>
      <c r="AC16" s="35">
        <v>22</v>
      </c>
      <c r="AD16" s="86">
        <f>+AB16*AC16+AB17*AC17+AB18*AC18</f>
        <v>63208.799999999981</v>
      </c>
    </row>
    <row r="17" spans="2:30" x14ac:dyDescent="0.2">
      <c r="B17" s="91"/>
      <c r="C17" s="2" t="s">
        <v>30</v>
      </c>
      <c r="D17" s="74">
        <v>87.79</v>
      </c>
      <c r="E17" s="74">
        <v>87.79</v>
      </c>
      <c r="F17" s="74">
        <v>87.79</v>
      </c>
      <c r="G17" s="74">
        <v>87.79</v>
      </c>
      <c r="H17" s="74">
        <v>87.79</v>
      </c>
      <c r="I17" s="74">
        <v>87.79</v>
      </c>
      <c r="J17" s="74">
        <v>87.79</v>
      </c>
      <c r="K17" s="74">
        <v>87.79</v>
      </c>
      <c r="L17" s="74">
        <v>87.79</v>
      </c>
      <c r="M17" s="74">
        <v>87.79</v>
      </c>
      <c r="N17" s="74">
        <v>87.79</v>
      </c>
      <c r="O17" s="74">
        <v>87.79</v>
      </c>
      <c r="P17" s="74">
        <v>87.79</v>
      </c>
      <c r="Q17" s="74">
        <v>87.79</v>
      </c>
      <c r="R17" s="74">
        <v>87.79</v>
      </c>
      <c r="S17" s="74">
        <v>87.79</v>
      </c>
      <c r="T17" s="74">
        <v>87.79</v>
      </c>
      <c r="U17" s="74">
        <v>87.79</v>
      </c>
      <c r="V17" s="74">
        <v>87.79</v>
      </c>
      <c r="W17" s="74">
        <v>87.79</v>
      </c>
      <c r="X17" s="74">
        <v>87.79</v>
      </c>
      <c r="Y17" s="74">
        <v>87.79</v>
      </c>
      <c r="Z17" s="74">
        <v>87.79</v>
      </c>
      <c r="AA17" s="74">
        <v>87.79</v>
      </c>
      <c r="AB17" s="73">
        <f t="shared" si="0"/>
        <v>2106.9599999999996</v>
      </c>
      <c r="AC17" s="35">
        <v>4</v>
      </c>
      <c r="AD17" s="86"/>
    </row>
    <row r="18" spans="2:30" x14ac:dyDescent="0.2">
      <c r="B18" s="92"/>
      <c r="C18" s="2" t="s">
        <v>63</v>
      </c>
      <c r="D18" s="74">
        <v>87.79</v>
      </c>
      <c r="E18" s="74">
        <v>87.79</v>
      </c>
      <c r="F18" s="74">
        <v>87.79</v>
      </c>
      <c r="G18" s="74">
        <v>87.79</v>
      </c>
      <c r="H18" s="74">
        <v>87.79</v>
      </c>
      <c r="I18" s="74">
        <v>87.79</v>
      </c>
      <c r="J18" s="74">
        <v>87.79</v>
      </c>
      <c r="K18" s="74">
        <v>87.79</v>
      </c>
      <c r="L18" s="74">
        <v>87.79</v>
      </c>
      <c r="M18" s="74">
        <v>87.79</v>
      </c>
      <c r="N18" s="74">
        <v>87.79</v>
      </c>
      <c r="O18" s="74">
        <v>87.79</v>
      </c>
      <c r="P18" s="74">
        <v>87.79</v>
      </c>
      <c r="Q18" s="74">
        <v>87.79</v>
      </c>
      <c r="R18" s="74">
        <v>87.79</v>
      </c>
      <c r="S18" s="74">
        <v>87.79</v>
      </c>
      <c r="T18" s="74">
        <v>87.79</v>
      </c>
      <c r="U18" s="74">
        <v>87.79</v>
      </c>
      <c r="V18" s="74">
        <v>87.79</v>
      </c>
      <c r="W18" s="74">
        <v>87.79</v>
      </c>
      <c r="X18" s="74">
        <v>87.79</v>
      </c>
      <c r="Y18" s="74">
        <v>87.79</v>
      </c>
      <c r="Z18" s="74">
        <v>87.79</v>
      </c>
      <c r="AA18" s="74">
        <v>87.79</v>
      </c>
      <c r="AB18" s="73">
        <f t="shared" si="0"/>
        <v>2106.9599999999996</v>
      </c>
      <c r="AC18" s="35">
        <v>4</v>
      </c>
      <c r="AD18" s="86"/>
    </row>
    <row r="19" spans="2:30" x14ac:dyDescent="0.2">
      <c r="B19" s="90">
        <v>46508</v>
      </c>
      <c r="C19" s="2" t="s">
        <v>29</v>
      </c>
      <c r="D19" s="74">
        <v>87.79</v>
      </c>
      <c r="E19" s="74">
        <v>87.79</v>
      </c>
      <c r="F19" s="74">
        <v>87.79</v>
      </c>
      <c r="G19" s="74">
        <v>87.79</v>
      </c>
      <c r="H19" s="74">
        <v>87.79</v>
      </c>
      <c r="I19" s="74">
        <v>87.79</v>
      </c>
      <c r="J19" s="74">
        <v>87.79</v>
      </c>
      <c r="K19" s="74">
        <v>87.79</v>
      </c>
      <c r="L19" s="74">
        <v>87.79</v>
      </c>
      <c r="M19" s="74">
        <v>87.79</v>
      </c>
      <c r="N19" s="74">
        <v>87.79</v>
      </c>
      <c r="O19" s="74">
        <v>87.79</v>
      </c>
      <c r="P19" s="74">
        <v>87.79</v>
      </c>
      <c r="Q19" s="74">
        <v>87.79</v>
      </c>
      <c r="R19" s="74">
        <v>87.79</v>
      </c>
      <c r="S19" s="74">
        <v>87.79</v>
      </c>
      <c r="T19" s="74">
        <v>87.79</v>
      </c>
      <c r="U19" s="74">
        <v>87.79</v>
      </c>
      <c r="V19" s="74">
        <v>87.79</v>
      </c>
      <c r="W19" s="74">
        <v>87.79</v>
      </c>
      <c r="X19" s="74">
        <v>87.79</v>
      </c>
      <c r="Y19" s="74">
        <v>87.79</v>
      </c>
      <c r="Z19" s="74">
        <v>87.79</v>
      </c>
      <c r="AA19" s="74">
        <v>87.79</v>
      </c>
      <c r="AB19" s="73">
        <f t="shared" si="0"/>
        <v>2106.9599999999996</v>
      </c>
      <c r="AC19" s="35">
        <v>19</v>
      </c>
      <c r="AD19" s="86">
        <f>+AB19*AC19+AB20*AC20+AB21*AC21</f>
        <v>65315.75999999998</v>
      </c>
    </row>
    <row r="20" spans="2:30" x14ac:dyDescent="0.2">
      <c r="B20" s="91"/>
      <c r="C20" s="2" t="s">
        <v>30</v>
      </c>
      <c r="D20" s="74">
        <v>87.79</v>
      </c>
      <c r="E20" s="74">
        <v>87.79</v>
      </c>
      <c r="F20" s="74">
        <v>87.79</v>
      </c>
      <c r="G20" s="74">
        <v>87.79</v>
      </c>
      <c r="H20" s="74">
        <v>87.79</v>
      </c>
      <c r="I20" s="74">
        <v>87.79</v>
      </c>
      <c r="J20" s="74">
        <v>87.79</v>
      </c>
      <c r="K20" s="74">
        <v>87.79</v>
      </c>
      <c r="L20" s="74">
        <v>87.79</v>
      </c>
      <c r="M20" s="74">
        <v>87.79</v>
      </c>
      <c r="N20" s="74">
        <v>87.79</v>
      </c>
      <c r="O20" s="74">
        <v>87.79</v>
      </c>
      <c r="P20" s="74">
        <v>87.79</v>
      </c>
      <c r="Q20" s="74">
        <v>87.79</v>
      </c>
      <c r="R20" s="74">
        <v>87.79</v>
      </c>
      <c r="S20" s="74">
        <v>87.79</v>
      </c>
      <c r="T20" s="74">
        <v>87.79</v>
      </c>
      <c r="U20" s="74">
        <v>87.79</v>
      </c>
      <c r="V20" s="74">
        <v>87.79</v>
      </c>
      <c r="W20" s="74">
        <v>87.79</v>
      </c>
      <c r="X20" s="74">
        <v>87.79</v>
      </c>
      <c r="Y20" s="74">
        <v>87.79</v>
      </c>
      <c r="Z20" s="74">
        <v>87.79</v>
      </c>
      <c r="AA20" s="74">
        <v>87.79</v>
      </c>
      <c r="AB20" s="73">
        <f t="shared" si="0"/>
        <v>2106.9599999999996</v>
      </c>
      <c r="AC20" s="35">
        <v>4</v>
      </c>
      <c r="AD20" s="86"/>
    </row>
    <row r="21" spans="2:30" x14ac:dyDescent="0.2">
      <c r="B21" s="92"/>
      <c r="C21" s="2" t="s">
        <v>63</v>
      </c>
      <c r="D21" s="74">
        <v>87.79</v>
      </c>
      <c r="E21" s="74">
        <v>87.79</v>
      </c>
      <c r="F21" s="74">
        <v>87.79</v>
      </c>
      <c r="G21" s="74">
        <v>87.79</v>
      </c>
      <c r="H21" s="74">
        <v>87.79</v>
      </c>
      <c r="I21" s="74">
        <v>87.79</v>
      </c>
      <c r="J21" s="74">
        <v>87.79</v>
      </c>
      <c r="K21" s="74">
        <v>87.79</v>
      </c>
      <c r="L21" s="74">
        <v>87.79</v>
      </c>
      <c r="M21" s="74">
        <v>87.79</v>
      </c>
      <c r="N21" s="74">
        <v>87.79</v>
      </c>
      <c r="O21" s="74">
        <v>87.79</v>
      </c>
      <c r="P21" s="74">
        <v>87.79</v>
      </c>
      <c r="Q21" s="74">
        <v>87.79</v>
      </c>
      <c r="R21" s="74">
        <v>87.79</v>
      </c>
      <c r="S21" s="74">
        <v>87.79</v>
      </c>
      <c r="T21" s="74">
        <v>87.79</v>
      </c>
      <c r="U21" s="74">
        <v>87.79</v>
      </c>
      <c r="V21" s="74">
        <v>87.79</v>
      </c>
      <c r="W21" s="74">
        <v>87.79</v>
      </c>
      <c r="X21" s="74">
        <v>87.79</v>
      </c>
      <c r="Y21" s="74">
        <v>87.79</v>
      </c>
      <c r="Z21" s="74">
        <v>87.79</v>
      </c>
      <c r="AA21" s="74">
        <v>87.79</v>
      </c>
      <c r="AB21" s="73">
        <f t="shared" si="0"/>
        <v>2106.9599999999996</v>
      </c>
      <c r="AC21" s="35">
        <v>8</v>
      </c>
      <c r="AD21" s="86"/>
    </row>
    <row r="22" spans="2:30" x14ac:dyDescent="0.2">
      <c r="B22" s="90">
        <v>46539</v>
      </c>
      <c r="C22" s="2" t="s">
        <v>29</v>
      </c>
      <c r="D22" s="74">
        <v>87.79</v>
      </c>
      <c r="E22" s="74">
        <v>87.79</v>
      </c>
      <c r="F22" s="74">
        <v>87.79</v>
      </c>
      <c r="G22" s="74">
        <v>87.79</v>
      </c>
      <c r="H22" s="74">
        <v>87.79</v>
      </c>
      <c r="I22" s="74">
        <v>87.79</v>
      </c>
      <c r="J22" s="74">
        <v>87.79</v>
      </c>
      <c r="K22" s="74">
        <v>87.79</v>
      </c>
      <c r="L22" s="74">
        <v>87.79</v>
      </c>
      <c r="M22" s="74">
        <v>87.79</v>
      </c>
      <c r="N22" s="74">
        <v>87.79</v>
      </c>
      <c r="O22" s="74">
        <v>87.79</v>
      </c>
      <c r="P22" s="74">
        <v>87.79</v>
      </c>
      <c r="Q22" s="74">
        <v>87.79</v>
      </c>
      <c r="R22" s="74">
        <v>87.79</v>
      </c>
      <c r="S22" s="74">
        <v>87.79</v>
      </c>
      <c r="T22" s="74">
        <v>87.79</v>
      </c>
      <c r="U22" s="74">
        <v>87.79</v>
      </c>
      <c r="V22" s="74">
        <v>87.79</v>
      </c>
      <c r="W22" s="74">
        <v>87.79</v>
      </c>
      <c r="X22" s="74">
        <v>87.79</v>
      </c>
      <c r="Y22" s="74">
        <v>87.79</v>
      </c>
      <c r="Z22" s="74">
        <v>87.79</v>
      </c>
      <c r="AA22" s="74">
        <v>87.79</v>
      </c>
      <c r="AB22" s="73">
        <f t="shared" si="0"/>
        <v>2106.9599999999996</v>
      </c>
      <c r="AC22" s="35">
        <v>21</v>
      </c>
      <c r="AD22" s="86">
        <f>+AB22*AC22+AB23*AC23+AB24*AC24</f>
        <v>63208.799999999981</v>
      </c>
    </row>
    <row r="23" spans="2:30" x14ac:dyDescent="0.2">
      <c r="B23" s="91"/>
      <c r="C23" s="2" t="s">
        <v>30</v>
      </c>
      <c r="D23" s="74">
        <v>87.79</v>
      </c>
      <c r="E23" s="74">
        <v>87.79</v>
      </c>
      <c r="F23" s="74">
        <v>87.79</v>
      </c>
      <c r="G23" s="74">
        <v>87.79</v>
      </c>
      <c r="H23" s="74">
        <v>87.79</v>
      </c>
      <c r="I23" s="74">
        <v>87.79</v>
      </c>
      <c r="J23" s="74">
        <v>87.79</v>
      </c>
      <c r="K23" s="74">
        <v>87.79</v>
      </c>
      <c r="L23" s="74">
        <v>87.79</v>
      </c>
      <c r="M23" s="74">
        <v>87.79</v>
      </c>
      <c r="N23" s="74">
        <v>87.79</v>
      </c>
      <c r="O23" s="74">
        <v>87.79</v>
      </c>
      <c r="P23" s="74">
        <v>87.79</v>
      </c>
      <c r="Q23" s="74">
        <v>87.79</v>
      </c>
      <c r="R23" s="74">
        <v>87.79</v>
      </c>
      <c r="S23" s="74">
        <v>87.79</v>
      </c>
      <c r="T23" s="74">
        <v>87.79</v>
      </c>
      <c r="U23" s="74">
        <v>87.79</v>
      </c>
      <c r="V23" s="74">
        <v>87.79</v>
      </c>
      <c r="W23" s="74">
        <v>87.79</v>
      </c>
      <c r="X23" s="74">
        <v>87.79</v>
      </c>
      <c r="Y23" s="74">
        <v>87.79</v>
      </c>
      <c r="Z23" s="74">
        <v>87.79</v>
      </c>
      <c r="AA23" s="74">
        <v>87.79</v>
      </c>
      <c r="AB23" s="73">
        <f t="shared" si="0"/>
        <v>2106.9599999999996</v>
      </c>
      <c r="AC23" s="35">
        <v>4</v>
      </c>
      <c r="AD23" s="86"/>
    </row>
    <row r="24" spans="2:30" x14ac:dyDescent="0.2">
      <c r="B24" s="92"/>
      <c r="C24" s="2" t="s">
        <v>63</v>
      </c>
      <c r="D24" s="74">
        <v>87.79</v>
      </c>
      <c r="E24" s="74">
        <v>87.79</v>
      </c>
      <c r="F24" s="74">
        <v>87.79</v>
      </c>
      <c r="G24" s="74">
        <v>87.79</v>
      </c>
      <c r="H24" s="74">
        <v>87.79</v>
      </c>
      <c r="I24" s="74">
        <v>87.79</v>
      </c>
      <c r="J24" s="74">
        <v>87.79</v>
      </c>
      <c r="K24" s="74">
        <v>87.79</v>
      </c>
      <c r="L24" s="74">
        <v>87.79</v>
      </c>
      <c r="M24" s="74">
        <v>87.79</v>
      </c>
      <c r="N24" s="74">
        <v>87.79</v>
      </c>
      <c r="O24" s="74">
        <v>87.79</v>
      </c>
      <c r="P24" s="74">
        <v>87.79</v>
      </c>
      <c r="Q24" s="74">
        <v>87.79</v>
      </c>
      <c r="R24" s="74">
        <v>87.79</v>
      </c>
      <c r="S24" s="74">
        <v>87.79</v>
      </c>
      <c r="T24" s="74">
        <v>87.79</v>
      </c>
      <c r="U24" s="74">
        <v>87.79</v>
      </c>
      <c r="V24" s="74">
        <v>87.79</v>
      </c>
      <c r="W24" s="74">
        <v>87.79</v>
      </c>
      <c r="X24" s="74">
        <v>87.79</v>
      </c>
      <c r="Y24" s="74">
        <v>87.79</v>
      </c>
      <c r="Z24" s="74">
        <v>87.79</v>
      </c>
      <c r="AA24" s="74">
        <v>87.79</v>
      </c>
      <c r="AB24" s="73">
        <f t="shared" si="0"/>
        <v>2106.9599999999996</v>
      </c>
      <c r="AC24" s="35">
        <v>5</v>
      </c>
      <c r="AD24" s="86"/>
    </row>
    <row r="25" spans="2:30" x14ac:dyDescent="0.2">
      <c r="B25" s="90">
        <v>46569</v>
      </c>
      <c r="C25" s="2" t="s">
        <v>29</v>
      </c>
      <c r="D25" s="74">
        <v>87.79</v>
      </c>
      <c r="E25" s="74">
        <v>87.79</v>
      </c>
      <c r="F25" s="74">
        <v>87.79</v>
      </c>
      <c r="G25" s="74">
        <v>87.79</v>
      </c>
      <c r="H25" s="74">
        <v>87.79</v>
      </c>
      <c r="I25" s="74">
        <v>87.79</v>
      </c>
      <c r="J25" s="74">
        <v>87.79</v>
      </c>
      <c r="K25" s="74">
        <v>87.79</v>
      </c>
      <c r="L25" s="74">
        <v>87.79</v>
      </c>
      <c r="M25" s="74">
        <v>87.79</v>
      </c>
      <c r="N25" s="74">
        <v>87.79</v>
      </c>
      <c r="O25" s="74">
        <v>87.79</v>
      </c>
      <c r="P25" s="74">
        <v>87.79</v>
      </c>
      <c r="Q25" s="74">
        <v>87.79</v>
      </c>
      <c r="R25" s="74">
        <v>87.79</v>
      </c>
      <c r="S25" s="74">
        <v>87.79</v>
      </c>
      <c r="T25" s="74">
        <v>87.79</v>
      </c>
      <c r="U25" s="74">
        <v>87.79</v>
      </c>
      <c r="V25" s="74">
        <v>87.79</v>
      </c>
      <c r="W25" s="74">
        <v>87.79</v>
      </c>
      <c r="X25" s="74">
        <v>87.79</v>
      </c>
      <c r="Y25" s="74">
        <v>87.79</v>
      </c>
      <c r="Z25" s="74">
        <v>87.79</v>
      </c>
      <c r="AA25" s="74">
        <v>87.79</v>
      </c>
      <c r="AB25" s="73">
        <f t="shared" si="0"/>
        <v>2106.9599999999996</v>
      </c>
      <c r="AC25" s="35">
        <v>20</v>
      </c>
      <c r="AD25" s="86">
        <f>+AB25*AC25+AB26*AC26+AB27*AC27</f>
        <v>65315.75999999998</v>
      </c>
    </row>
    <row r="26" spans="2:30" x14ac:dyDescent="0.2">
      <c r="B26" s="91"/>
      <c r="C26" s="2" t="s">
        <v>30</v>
      </c>
      <c r="D26" s="74">
        <v>87.79</v>
      </c>
      <c r="E26" s="74">
        <v>87.79</v>
      </c>
      <c r="F26" s="74">
        <v>87.79</v>
      </c>
      <c r="G26" s="74">
        <v>87.79</v>
      </c>
      <c r="H26" s="74">
        <v>87.79</v>
      </c>
      <c r="I26" s="74">
        <v>87.79</v>
      </c>
      <c r="J26" s="74">
        <v>87.79</v>
      </c>
      <c r="K26" s="74">
        <v>87.79</v>
      </c>
      <c r="L26" s="74">
        <v>87.79</v>
      </c>
      <c r="M26" s="74">
        <v>87.79</v>
      </c>
      <c r="N26" s="74">
        <v>87.79</v>
      </c>
      <c r="O26" s="74">
        <v>87.79</v>
      </c>
      <c r="P26" s="74">
        <v>87.79</v>
      </c>
      <c r="Q26" s="74">
        <v>87.79</v>
      </c>
      <c r="R26" s="74">
        <v>87.79</v>
      </c>
      <c r="S26" s="74">
        <v>87.79</v>
      </c>
      <c r="T26" s="74">
        <v>87.79</v>
      </c>
      <c r="U26" s="74">
        <v>87.79</v>
      </c>
      <c r="V26" s="74">
        <v>87.79</v>
      </c>
      <c r="W26" s="74">
        <v>87.79</v>
      </c>
      <c r="X26" s="74">
        <v>87.79</v>
      </c>
      <c r="Y26" s="74">
        <v>87.79</v>
      </c>
      <c r="Z26" s="74">
        <v>87.79</v>
      </c>
      <c r="AA26" s="74">
        <v>87.79</v>
      </c>
      <c r="AB26" s="73">
        <f t="shared" si="0"/>
        <v>2106.9599999999996</v>
      </c>
      <c r="AC26" s="35">
        <v>5</v>
      </c>
      <c r="AD26" s="86"/>
    </row>
    <row r="27" spans="2:30" x14ac:dyDescent="0.2">
      <c r="B27" s="92"/>
      <c r="C27" s="2" t="s">
        <v>63</v>
      </c>
      <c r="D27" s="74">
        <v>87.79</v>
      </c>
      <c r="E27" s="74">
        <v>87.79</v>
      </c>
      <c r="F27" s="74">
        <v>87.79</v>
      </c>
      <c r="G27" s="74">
        <v>87.79</v>
      </c>
      <c r="H27" s="74">
        <v>87.79</v>
      </c>
      <c r="I27" s="74">
        <v>87.79</v>
      </c>
      <c r="J27" s="74">
        <v>87.79</v>
      </c>
      <c r="K27" s="74">
        <v>87.79</v>
      </c>
      <c r="L27" s="74">
        <v>87.79</v>
      </c>
      <c r="M27" s="74">
        <v>87.79</v>
      </c>
      <c r="N27" s="74">
        <v>87.79</v>
      </c>
      <c r="O27" s="74">
        <v>87.79</v>
      </c>
      <c r="P27" s="74">
        <v>87.79</v>
      </c>
      <c r="Q27" s="74">
        <v>87.79</v>
      </c>
      <c r="R27" s="74">
        <v>87.79</v>
      </c>
      <c r="S27" s="74">
        <v>87.79</v>
      </c>
      <c r="T27" s="74">
        <v>87.79</v>
      </c>
      <c r="U27" s="74">
        <v>87.79</v>
      </c>
      <c r="V27" s="74">
        <v>87.79</v>
      </c>
      <c r="W27" s="74">
        <v>87.79</v>
      </c>
      <c r="X27" s="74">
        <v>87.79</v>
      </c>
      <c r="Y27" s="74">
        <v>87.79</v>
      </c>
      <c r="Z27" s="74">
        <v>87.79</v>
      </c>
      <c r="AA27" s="74">
        <v>87.79</v>
      </c>
      <c r="AB27" s="73">
        <f t="shared" si="0"/>
        <v>2106.9599999999996</v>
      </c>
      <c r="AC27" s="35">
        <v>6</v>
      </c>
      <c r="AD27" s="86"/>
    </row>
    <row r="28" spans="2:30" x14ac:dyDescent="0.2">
      <c r="B28" s="90">
        <v>46600</v>
      </c>
      <c r="C28" s="2" t="s">
        <v>29</v>
      </c>
      <c r="D28" s="74">
        <v>87.79</v>
      </c>
      <c r="E28" s="74">
        <v>87.79</v>
      </c>
      <c r="F28" s="74">
        <v>87.79</v>
      </c>
      <c r="G28" s="74">
        <v>87.79</v>
      </c>
      <c r="H28" s="74">
        <v>87.79</v>
      </c>
      <c r="I28" s="74">
        <v>87.79</v>
      </c>
      <c r="J28" s="74">
        <v>87.79</v>
      </c>
      <c r="K28" s="74">
        <v>87.79</v>
      </c>
      <c r="L28" s="74">
        <v>87.79</v>
      </c>
      <c r="M28" s="74">
        <v>87.79</v>
      </c>
      <c r="N28" s="74">
        <v>87.79</v>
      </c>
      <c r="O28" s="74">
        <v>87.79</v>
      </c>
      <c r="P28" s="74">
        <v>87.79</v>
      </c>
      <c r="Q28" s="74">
        <v>87.79</v>
      </c>
      <c r="R28" s="74">
        <v>87.79</v>
      </c>
      <c r="S28" s="74">
        <v>87.79</v>
      </c>
      <c r="T28" s="74">
        <v>87.79</v>
      </c>
      <c r="U28" s="74">
        <v>87.79</v>
      </c>
      <c r="V28" s="74">
        <v>87.79</v>
      </c>
      <c r="W28" s="74">
        <v>87.79</v>
      </c>
      <c r="X28" s="74">
        <v>87.79</v>
      </c>
      <c r="Y28" s="74">
        <v>87.79</v>
      </c>
      <c r="Z28" s="74">
        <v>87.79</v>
      </c>
      <c r="AA28" s="74">
        <v>87.79</v>
      </c>
      <c r="AB28" s="73">
        <f t="shared" si="0"/>
        <v>2106.9599999999996</v>
      </c>
      <c r="AC28" s="35">
        <v>21</v>
      </c>
      <c r="AD28" s="86">
        <f>+AB28*AC28+AB29*AC29+AB30*AC30</f>
        <v>65315.75999999998</v>
      </c>
    </row>
    <row r="29" spans="2:30" x14ac:dyDescent="0.2">
      <c r="B29" s="91"/>
      <c r="C29" s="2" t="s">
        <v>30</v>
      </c>
      <c r="D29" s="74">
        <v>87.79</v>
      </c>
      <c r="E29" s="74">
        <v>87.79</v>
      </c>
      <c r="F29" s="74">
        <v>87.79</v>
      </c>
      <c r="G29" s="74">
        <v>87.79</v>
      </c>
      <c r="H29" s="74">
        <v>87.79</v>
      </c>
      <c r="I29" s="74">
        <v>87.79</v>
      </c>
      <c r="J29" s="74">
        <v>87.79</v>
      </c>
      <c r="K29" s="74">
        <v>87.79</v>
      </c>
      <c r="L29" s="74">
        <v>87.79</v>
      </c>
      <c r="M29" s="74">
        <v>87.79</v>
      </c>
      <c r="N29" s="74">
        <v>87.79</v>
      </c>
      <c r="O29" s="74">
        <v>87.79</v>
      </c>
      <c r="P29" s="74">
        <v>87.79</v>
      </c>
      <c r="Q29" s="74">
        <v>87.79</v>
      </c>
      <c r="R29" s="74">
        <v>87.79</v>
      </c>
      <c r="S29" s="74">
        <v>87.79</v>
      </c>
      <c r="T29" s="74">
        <v>87.79</v>
      </c>
      <c r="U29" s="74">
        <v>87.79</v>
      </c>
      <c r="V29" s="74">
        <v>87.79</v>
      </c>
      <c r="W29" s="74">
        <v>87.79</v>
      </c>
      <c r="X29" s="74">
        <v>87.79</v>
      </c>
      <c r="Y29" s="74">
        <v>87.79</v>
      </c>
      <c r="Z29" s="74">
        <v>87.79</v>
      </c>
      <c r="AA29" s="74">
        <v>87.79</v>
      </c>
      <c r="AB29" s="73">
        <f t="shared" si="0"/>
        <v>2106.9599999999996</v>
      </c>
      <c r="AC29" s="35">
        <v>3</v>
      </c>
      <c r="AD29" s="86"/>
    </row>
    <row r="30" spans="2:30" x14ac:dyDescent="0.2">
      <c r="B30" s="92"/>
      <c r="C30" s="2" t="s">
        <v>63</v>
      </c>
      <c r="D30" s="74">
        <v>87.79</v>
      </c>
      <c r="E30" s="74">
        <v>87.79</v>
      </c>
      <c r="F30" s="74">
        <v>87.79</v>
      </c>
      <c r="G30" s="74">
        <v>87.79</v>
      </c>
      <c r="H30" s="74">
        <v>87.79</v>
      </c>
      <c r="I30" s="74">
        <v>87.79</v>
      </c>
      <c r="J30" s="74">
        <v>87.79</v>
      </c>
      <c r="K30" s="74">
        <v>87.79</v>
      </c>
      <c r="L30" s="74">
        <v>87.79</v>
      </c>
      <c r="M30" s="74">
        <v>87.79</v>
      </c>
      <c r="N30" s="74">
        <v>87.79</v>
      </c>
      <c r="O30" s="74">
        <v>87.79</v>
      </c>
      <c r="P30" s="74">
        <v>87.79</v>
      </c>
      <c r="Q30" s="74">
        <v>87.79</v>
      </c>
      <c r="R30" s="74">
        <v>87.79</v>
      </c>
      <c r="S30" s="74">
        <v>87.79</v>
      </c>
      <c r="T30" s="74">
        <v>87.79</v>
      </c>
      <c r="U30" s="74">
        <v>87.79</v>
      </c>
      <c r="V30" s="74">
        <v>87.79</v>
      </c>
      <c r="W30" s="74">
        <v>87.79</v>
      </c>
      <c r="X30" s="74">
        <v>87.79</v>
      </c>
      <c r="Y30" s="74">
        <v>87.79</v>
      </c>
      <c r="Z30" s="74">
        <v>87.79</v>
      </c>
      <c r="AA30" s="74">
        <v>87.79</v>
      </c>
      <c r="AB30" s="73">
        <f t="shared" si="0"/>
        <v>2106.9599999999996</v>
      </c>
      <c r="AC30" s="35">
        <v>7</v>
      </c>
      <c r="AD30" s="86"/>
    </row>
    <row r="31" spans="2:30" x14ac:dyDescent="0.2">
      <c r="B31" s="90">
        <v>46631</v>
      </c>
      <c r="C31" s="2" t="s">
        <v>29</v>
      </c>
      <c r="D31" s="74">
        <v>87.79</v>
      </c>
      <c r="E31" s="74">
        <v>87.79</v>
      </c>
      <c r="F31" s="74">
        <v>87.79</v>
      </c>
      <c r="G31" s="74">
        <v>87.79</v>
      </c>
      <c r="H31" s="74">
        <v>87.79</v>
      </c>
      <c r="I31" s="74">
        <v>87.79</v>
      </c>
      <c r="J31" s="74">
        <v>87.79</v>
      </c>
      <c r="K31" s="74">
        <v>87.79</v>
      </c>
      <c r="L31" s="74">
        <v>87.79</v>
      </c>
      <c r="M31" s="74">
        <v>87.79</v>
      </c>
      <c r="N31" s="74">
        <v>87.79</v>
      </c>
      <c r="O31" s="74">
        <v>87.79</v>
      </c>
      <c r="P31" s="74">
        <v>87.79</v>
      </c>
      <c r="Q31" s="74">
        <v>87.79</v>
      </c>
      <c r="R31" s="74">
        <v>87.79</v>
      </c>
      <c r="S31" s="74">
        <v>87.79</v>
      </c>
      <c r="T31" s="74">
        <v>87.79</v>
      </c>
      <c r="U31" s="74">
        <v>87.79</v>
      </c>
      <c r="V31" s="74">
        <v>87.79</v>
      </c>
      <c r="W31" s="74">
        <v>87.79</v>
      </c>
      <c r="X31" s="74">
        <v>87.79</v>
      </c>
      <c r="Y31" s="74">
        <v>87.79</v>
      </c>
      <c r="Z31" s="74">
        <v>87.79</v>
      </c>
      <c r="AA31" s="74">
        <v>87.79</v>
      </c>
      <c r="AB31" s="73">
        <f t="shared" si="0"/>
        <v>2106.9599999999996</v>
      </c>
      <c r="AC31" s="35">
        <v>22</v>
      </c>
      <c r="AD31" s="86">
        <f>+AB31*AC31+AB32*AC32+AB33*AC33</f>
        <v>63208.799999999981</v>
      </c>
    </row>
    <row r="32" spans="2:30" x14ac:dyDescent="0.2">
      <c r="B32" s="91"/>
      <c r="C32" s="2" t="s">
        <v>30</v>
      </c>
      <c r="D32" s="74">
        <v>87.79</v>
      </c>
      <c r="E32" s="74">
        <v>87.79</v>
      </c>
      <c r="F32" s="74">
        <v>87.79</v>
      </c>
      <c r="G32" s="74">
        <v>87.79</v>
      </c>
      <c r="H32" s="74">
        <v>87.79</v>
      </c>
      <c r="I32" s="74">
        <v>87.79</v>
      </c>
      <c r="J32" s="74">
        <v>87.79</v>
      </c>
      <c r="K32" s="74">
        <v>87.79</v>
      </c>
      <c r="L32" s="74">
        <v>87.79</v>
      </c>
      <c r="M32" s="74">
        <v>87.79</v>
      </c>
      <c r="N32" s="74">
        <v>87.79</v>
      </c>
      <c r="O32" s="74">
        <v>87.79</v>
      </c>
      <c r="P32" s="74">
        <v>87.79</v>
      </c>
      <c r="Q32" s="74">
        <v>87.79</v>
      </c>
      <c r="R32" s="74">
        <v>87.79</v>
      </c>
      <c r="S32" s="74">
        <v>87.79</v>
      </c>
      <c r="T32" s="74">
        <v>87.79</v>
      </c>
      <c r="U32" s="74">
        <v>87.79</v>
      </c>
      <c r="V32" s="74">
        <v>87.79</v>
      </c>
      <c r="W32" s="74">
        <v>87.79</v>
      </c>
      <c r="X32" s="74">
        <v>87.79</v>
      </c>
      <c r="Y32" s="74">
        <v>87.79</v>
      </c>
      <c r="Z32" s="74">
        <v>87.79</v>
      </c>
      <c r="AA32" s="74">
        <v>87.79</v>
      </c>
      <c r="AB32" s="73">
        <f t="shared" si="0"/>
        <v>2106.9599999999996</v>
      </c>
      <c r="AC32" s="35">
        <v>4</v>
      </c>
      <c r="AD32" s="86"/>
    </row>
    <row r="33" spans="2:30" x14ac:dyDescent="0.2">
      <c r="B33" s="92"/>
      <c r="C33" s="2" t="s">
        <v>63</v>
      </c>
      <c r="D33" s="74">
        <v>87.79</v>
      </c>
      <c r="E33" s="74">
        <v>87.79</v>
      </c>
      <c r="F33" s="74">
        <v>87.79</v>
      </c>
      <c r="G33" s="74">
        <v>87.79</v>
      </c>
      <c r="H33" s="74">
        <v>87.79</v>
      </c>
      <c r="I33" s="74">
        <v>87.79</v>
      </c>
      <c r="J33" s="74">
        <v>87.79</v>
      </c>
      <c r="K33" s="74">
        <v>87.79</v>
      </c>
      <c r="L33" s="74">
        <v>87.79</v>
      </c>
      <c r="M33" s="74">
        <v>87.79</v>
      </c>
      <c r="N33" s="74">
        <v>87.79</v>
      </c>
      <c r="O33" s="74">
        <v>87.79</v>
      </c>
      <c r="P33" s="74">
        <v>87.79</v>
      </c>
      <c r="Q33" s="74">
        <v>87.79</v>
      </c>
      <c r="R33" s="74">
        <v>87.79</v>
      </c>
      <c r="S33" s="74">
        <v>87.79</v>
      </c>
      <c r="T33" s="74">
        <v>87.79</v>
      </c>
      <c r="U33" s="74">
        <v>87.79</v>
      </c>
      <c r="V33" s="74">
        <v>87.79</v>
      </c>
      <c r="W33" s="74">
        <v>87.79</v>
      </c>
      <c r="X33" s="74">
        <v>87.79</v>
      </c>
      <c r="Y33" s="74">
        <v>87.79</v>
      </c>
      <c r="Z33" s="74">
        <v>87.79</v>
      </c>
      <c r="AA33" s="74">
        <v>87.79</v>
      </c>
      <c r="AB33" s="73">
        <f t="shared" si="0"/>
        <v>2106.9599999999996</v>
      </c>
      <c r="AC33" s="35">
        <v>4</v>
      </c>
      <c r="AD33" s="86"/>
    </row>
    <row r="34" spans="2:30" x14ac:dyDescent="0.2">
      <c r="B34" s="90">
        <v>46661</v>
      </c>
      <c r="C34" s="2" t="s">
        <v>29</v>
      </c>
      <c r="D34" s="74">
        <v>87.79</v>
      </c>
      <c r="E34" s="74">
        <v>87.79</v>
      </c>
      <c r="F34" s="74">
        <v>87.79</v>
      </c>
      <c r="G34" s="74">
        <v>87.79</v>
      </c>
      <c r="H34" s="74">
        <v>87.79</v>
      </c>
      <c r="I34" s="74">
        <v>87.79</v>
      </c>
      <c r="J34" s="74">
        <v>87.79</v>
      </c>
      <c r="K34" s="74">
        <v>87.79</v>
      </c>
      <c r="L34" s="74">
        <v>87.79</v>
      </c>
      <c r="M34" s="74">
        <v>87.79</v>
      </c>
      <c r="N34" s="74">
        <v>87.79</v>
      </c>
      <c r="O34" s="74">
        <v>87.79</v>
      </c>
      <c r="P34" s="74">
        <v>87.79</v>
      </c>
      <c r="Q34" s="74">
        <v>87.79</v>
      </c>
      <c r="R34" s="74">
        <v>87.79</v>
      </c>
      <c r="S34" s="74">
        <v>87.79</v>
      </c>
      <c r="T34" s="74">
        <v>87.79</v>
      </c>
      <c r="U34" s="74">
        <v>87.79</v>
      </c>
      <c r="V34" s="74">
        <v>87.79</v>
      </c>
      <c r="W34" s="74">
        <v>87.79</v>
      </c>
      <c r="X34" s="74">
        <v>87.79</v>
      </c>
      <c r="Y34" s="74">
        <v>87.79</v>
      </c>
      <c r="Z34" s="74">
        <v>87.79</v>
      </c>
      <c r="AA34" s="74">
        <v>87.79</v>
      </c>
      <c r="AB34" s="73">
        <f t="shared" si="0"/>
        <v>2106.9599999999996</v>
      </c>
      <c r="AC34" s="35">
        <v>20</v>
      </c>
      <c r="AD34" s="86">
        <f>+AB34*AC34+AB35*AC35+AB36*AC36</f>
        <v>65315.75999999998</v>
      </c>
    </row>
    <row r="35" spans="2:30" x14ac:dyDescent="0.2">
      <c r="B35" s="91"/>
      <c r="C35" s="2" t="s">
        <v>30</v>
      </c>
      <c r="D35" s="74">
        <v>87.79</v>
      </c>
      <c r="E35" s="74">
        <v>87.79</v>
      </c>
      <c r="F35" s="74">
        <v>87.79</v>
      </c>
      <c r="G35" s="74">
        <v>87.79</v>
      </c>
      <c r="H35" s="74">
        <v>87.79</v>
      </c>
      <c r="I35" s="74">
        <v>87.79</v>
      </c>
      <c r="J35" s="74">
        <v>87.79</v>
      </c>
      <c r="K35" s="74">
        <v>87.79</v>
      </c>
      <c r="L35" s="74">
        <v>87.79</v>
      </c>
      <c r="M35" s="74">
        <v>87.79</v>
      </c>
      <c r="N35" s="74">
        <v>87.79</v>
      </c>
      <c r="O35" s="74">
        <v>87.79</v>
      </c>
      <c r="P35" s="74">
        <v>87.79</v>
      </c>
      <c r="Q35" s="74">
        <v>87.79</v>
      </c>
      <c r="R35" s="74">
        <v>87.79</v>
      </c>
      <c r="S35" s="74">
        <v>87.79</v>
      </c>
      <c r="T35" s="74">
        <v>87.79</v>
      </c>
      <c r="U35" s="74">
        <v>87.79</v>
      </c>
      <c r="V35" s="74">
        <v>87.79</v>
      </c>
      <c r="W35" s="74">
        <v>87.79</v>
      </c>
      <c r="X35" s="74">
        <v>87.79</v>
      </c>
      <c r="Y35" s="74">
        <v>87.79</v>
      </c>
      <c r="Z35" s="74">
        <v>87.79</v>
      </c>
      <c r="AA35" s="74">
        <v>87.79</v>
      </c>
      <c r="AB35" s="73">
        <f t="shared" si="0"/>
        <v>2106.9599999999996</v>
      </c>
      <c r="AC35" s="35">
        <v>5</v>
      </c>
      <c r="AD35" s="86"/>
    </row>
    <row r="36" spans="2:30" x14ac:dyDescent="0.2">
      <c r="B36" s="92"/>
      <c r="C36" s="2" t="s">
        <v>63</v>
      </c>
      <c r="D36" s="74">
        <v>87.79</v>
      </c>
      <c r="E36" s="74">
        <v>87.79</v>
      </c>
      <c r="F36" s="74">
        <v>87.79</v>
      </c>
      <c r="G36" s="74">
        <v>87.79</v>
      </c>
      <c r="H36" s="74">
        <v>87.79</v>
      </c>
      <c r="I36" s="74">
        <v>87.79</v>
      </c>
      <c r="J36" s="74">
        <v>87.79</v>
      </c>
      <c r="K36" s="74">
        <v>87.79</v>
      </c>
      <c r="L36" s="74">
        <v>87.79</v>
      </c>
      <c r="M36" s="74">
        <v>87.79</v>
      </c>
      <c r="N36" s="74">
        <v>87.79</v>
      </c>
      <c r="O36" s="74">
        <v>87.79</v>
      </c>
      <c r="P36" s="74">
        <v>87.79</v>
      </c>
      <c r="Q36" s="74">
        <v>87.79</v>
      </c>
      <c r="R36" s="74">
        <v>87.79</v>
      </c>
      <c r="S36" s="74">
        <v>87.79</v>
      </c>
      <c r="T36" s="74">
        <v>87.79</v>
      </c>
      <c r="U36" s="74">
        <v>87.79</v>
      </c>
      <c r="V36" s="74">
        <v>87.79</v>
      </c>
      <c r="W36" s="74">
        <v>87.79</v>
      </c>
      <c r="X36" s="74">
        <v>87.79</v>
      </c>
      <c r="Y36" s="74">
        <v>87.79</v>
      </c>
      <c r="Z36" s="74">
        <v>87.79</v>
      </c>
      <c r="AA36" s="74">
        <v>87.79</v>
      </c>
      <c r="AB36" s="73">
        <f t="shared" si="0"/>
        <v>2106.9599999999996</v>
      </c>
      <c r="AC36" s="35">
        <v>6</v>
      </c>
      <c r="AD36" s="86"/>
    </row>
    <row r="37" spans="2:30" x14ac:dyDescent="0.2">
      <c r="B37" s="90">
        <v>46692</v>
      </c>
      <c r="C37" s="2" t="s">
        <v>29</v>
      </c>
      <c r="D37" s="74">
        <v>87.79</v>
      </c>
      <c r="E37" s="74">
        <v>87.79</v>
      </c>
      <c r="F37" s="74">
        <v>87.79</v>
      </c>
      <c r="G37" s="74">
        <v>87.79</v>
      </c>
      <c r="H37" s="74">
        <v>87.79</v>
      </c>
      <c r="I37" s="74">
        <v>87.79</v>
      </c>
      <c r="J37" s="74">
        <v>87.79</v>
      </c>
      <c r="K37" s="74">
        <v>87.79</v>
      </c>
      <c r="L37" s="74">
        <v>87.79</v>
      </c>
      <c r="M37" s="74">
        <v>87.79</v>
      </c>
      <c r="N37" s="74">
        <v>87.79</v>
      </c>
      <c r="O37" s="74">
        <v>87.79</v>
      </c>
      <c r="P37" s="74">
        <v>87.79</v>
      </c>
      <c r="Q37" s="74">
        <v>87.79</v>
      </c>
      <c r="R37" s="74">
        <v>87.79</v>
      </c>
      <c r="S37" s="74">
        <v>87.79</v>
      </c>
      <c r="T37" s="74">
        <v>87.79</v>
      </c>
      <c r="U37" s="74">
        <v>87.79</v>
      </c>
      <c r="V37" s="74">
        <v>87.79</v>
      </c>
      <c r="W37" s="74">
        <v>87.79</v>
      </c>
      <c r="X37" s="74">
        <v>87.79</v>
      </c>
      <c r="Y37" s="74">
        <v>87.79</v>
      </c>
      <c r="Z37" s="74">
        <v>87.79</v>
      </c>
      <c r="AA37" s="74">
        <v>87.79</v>
      </c>
      <c r="AB37" s="73">
        <f t="shared" si="0"/>
        <v>2106.9599999999996</v>
      </c>
      <c r="AC37" s="35">
        <v>20</v>
      </c>
      <c r="AD37" s="86">
        <f>+AB37*AC37+AB38*AC38+AB39*AC39</f>
        <v>63208.799999999988</v>
      </c>
    </row>
    <row r="38" spans="2:30" x14ac:dyDescent="0.2">
      <c r="B38" s="91"/>
      <c r="C38" s="2" t="s">
        <v>30</v>
      </c>
      <c r="D38" s="74">
        <v>87.79</v>
      </c>
      <c r="E38" s="74">
        <v>87.79</v>
      </c>
      <c r="F38" s="74">
        <v>87.79</v>
      </c>
      <c r="G38" s="74">
        <v>87.79</v>
      </c>
      <c r="H38" s="74">
        <v>87.79</v>
      </c>
      <c r="I38" s="74">
        <v>87.79</v>
      </c>
      <c r="J38" s="74">
        <v>87.79</v>
      </c>
      <c r="K38" s="74">
        <v>87.79</v>
      </c>
      <c r="L38" s="74">
        <v>87.79</v>
      </c>
      <c r="M38" s="74">
        <v>87.79</v>
      </c>
      <c r="N38" s="74">
        <v>87.79</v>
      </c>
      <c r="O38" s="74">
        <v>87.79</v>
      </c>
      <c r="P38" s="74">
        <v>87.79</v>
      </c>
      <c r="Q38" s="74">
        <v>87.79</v>
      </c>
      <c r="R38" s="74">
        <v>87.79</v>
      </c>
      <c r="S38" s="74">
        <v>87.79</v>
      </c>
      <c r="T38" s="74">
        <v>87.79</v>
      </c>
      <c r="U38" s="74">
        <v>87.79</v>
      </c>
      <c r="V38" s="74">
        <v>87.79</v>
      </c>
      <c r="W38" s="74">
        <v>87.79</v>
      </c>
      <c r="X38" s="74">
        <v>87.79</v>
      </c>
      <c r="Y38" s="74">
        <v>87.79</v>
      </c>
      <c r="Z38" s="74">
        <v>87.79</v>
      </c>
      <c r="AA38" s="74">
        <v>87.79</v>
      </c>
      <c r="AB38" s="73">
        <f t="shared" si="0"/>
        <v>2106.9599999999996</v>
      </c>
      <c r="AC38" s="35">
        <v>4</v>
      </c>
      <c r="AD38" s="86"/>
    </row>
    <row r="39" spans="2:30" x14ac:dyDescent="0.2">
      <c r="B39" s="92"/>
      <c r="C39" s="2" t="s">
        <v>63</v>
      </c>
      <c r="D39" s="74">
        <v>87.79</v>
      </c>
      <c r="E39" s="74">
        <v>87.79</v>
      </c>
      <c r="F39" s="74">
        <v>87.79</v>
      </c>
      <c r="G39" s="74">
        <v>87.79</v>
      </c>
      <c r="H39" s="74">
        <v>87.79</v>
      </c>
      <c r="I39" s="74">
        <v>87.79</v>
      </c>
      <c r="J39" s="74">
        <v>87.79</v>
      </c>
      <c r="K39" s="74">
        <v>87.79</v>
      </c>
      <c r="L39" s="74">
        <v>87.79</v>
      </c>
      <c r="M39" s="74">
        <v>87.79</v>
      </c>
      <c r="N39" s="74">
        <v>87.79</v>
      </c>
      <c r="O39" s="74">
        <v>87.79</v>
      </c>
      <c r="P39" s="74">
        <v>87.79</v>
      </c>
      <c r="Q39" s="74">
        <v>87.79</v>
      </c>
      <c r="R39" s="74">
        <v>87.79</v>
      </c>
      <c r="S39" s="74">
        <v>87.79</v>
      </c>
      <c r="T39" s="74">
        <v>87.79</v>
      </c>
      <c r="U39" s="74">
        <v>87.79</v>
      </c>
      <c r="V39" s="74">
        <v>87.79</v>
      </c>
      <c r="W39" s="74">
        <v>87.79</v>
      </c>
      <c r="X39" s="74">
        <v>87.79</v>
      </c>
      <c r="Y39" s="74">
        <v>87.79</v>
      </c>
      <c r="Z39" s="74">
        <v>87.79</v>
      </c>
      <c r="AA39" s="74">
        <v>87.79</v>
      </c>
      <c r="AB39" s="73">
        <f t="shared" si="0"/>
        <v>2106.9599999999996</v>
      </c>
      <c r="AC39" s="35">
        <v>6</v>
      </c>
      <c r="AD39" s="86"/>
    </row>
    <row r="40" spans="2:30" x14ac:dyDescent="0.2">
      <c r="B40" s="90">
        <v>46722</v>
      </c>
      <c r="C40" s="2" t="s">
        <v>29</v>
      </c>
      <c r="D40" s="74">
        <v>87.79</v>
      </c>
      <c r="E40" s="74">
        <v>87.79</v>
      </c>
      <c r="F40" s="74">
        <v>87.79</v>
      </c>
      <c r="G40" s="74">
        <v>87.79</v>
      </c>
      <c r="H40" s="74">
        <v>87.79</v>
      </c>
      <c r="I40" s="74">
        <v>87.79</v>
      </c>
      <c r="J40" s="74">
        <v>87.79</v>
      </c>
      <c r="K40" s="74">
        <v>87.79</v>
      </c>
      <c r="L40" s="74">
        <v>87.79</v>
      </c>
      <c r="M40" s="74">
        <v>87.79</v>
      </c>
      <c r="N40" s="74">
        <v>87.79</v>
      </c>
      <c r="O40" s="74">
        <v>87.79</v>
      </c>
      <c r="P40" s="74">
        <v>87.79</v>
      </c>
      <c r="Q40" s="74">
        <v>87.79</v>
      </c>
      <c r="R40" s="74">
        <v>87.79</v>
      </c>
      <c r="S40" s="74">
        <v>87.79</v>
      </c>
      <c r="T40" s="74">
        <v>87.79</v>
      </c>
      <c r="U40" s="74">
        <v>87.79</v>
      </c>
      <c r="V40" s="74">
        <v>87.79</v>
      </c>
      <c r="W40" s="74">
        <v>87.79</v>
      </c>
      <c r="X40" s="74">
        <v>87.79</v>
      </c>
      <c r="Y40" s="74">
        <v>87.79</v>
      </c>
      <c r="Z40" s="74">
        <v>87.79</v>
      </c>
      <c r="AA40" s="74">
        <v>87.79</v>
      </c>
      <c r="AB40" s="73">
        <f t="shared" si="0"/>
        <v>2106.9599999999996</v>
      </c>
      <c r="AC40" s="35">
        <v>22</v>
      </c>
      <c r="AD40" s="86">
        <f>+AB40*AC40+AB41*AC41+AB42*AC42</f>
        <v>65315.75999999998</v>
      </c>
    </row>
    <row r="41" spans="2:30" x14ac:dyDescent="0.2">
      <c r="B41" s="91"/>
      <c r="C41" s="2" t="s">
        <v>30</v>
      </c>
      <c r="D41" s="74">
        <v>87.79</v>
      </c>
      <c r="E41" s="74">
        <v>87.79</v>
      </c>
      <c r="F41" s="74">
        <v>87.79</v>
      </c>
      <c r="G41" s="74">
        <v>87.79</v>
      </c>
      <c r="H41" s="74">
        <v>87.79</v>
      </c>
      <c r="I41" s="74">
        <v>87.79</v>
      </c>
      <c r="J41" s="74">
        <v>87.79</v>
      </c>
      <c r="K41" s="74">
        <v>87.79</v>
      </c>
      <c r="L41" s="74">
        <v>87.79</v>
      </c>
      <c r="M41" s="74">
        <v>87.79</v>
      </c>
      <c r="N41" s="74">
        <v>87.79</v>
      </c>
      <c r="O41" s="74">
        <v>87.79</v>
      </c>
      <c r="P41" s="74">
        <v>87.79</v>
      </c>
      <c r="Q41" s="74">
        <v>87.79</v>
      </c>
      <c r="R41" s="74">
        <v>87.79</v>
      </c>
      <c r="S41" s="74">
        <v>87.79</v>
      </c>
      <c r="T41" s="74">
        <v>87.79</v>
      </c>
      <c r="U41" s="74">
        <v>87.79</v>
      </c>
      <c r="V41" s="74">
        <v>87.79</v>
      </c>
      <c r="W41" s="74">
        <v>87.79</v>
      </c>
      <c r="X41" s="74">
        <v>87.79</v>
      </c>
      <c r="Y41" s="74">
        <v>87.79</v>
      </c>
      <c r="Z41" s="74">
        <v>87.79</v>
      </c>
      <c r="AA41" s="74">
        <v>87.79</v>
      </c>
      <c r="AB41" s="73">
        <f t="shared" si="0"/>
        <v>2106.9599999999996</v>
      </c>
      <c r="AC41" s="35">
        <v>3</v>
      </c>
      <c r="AD41" s="86"/>
    </row>
    <row r="42" spans="2:30" x14ac:dyDescent="0.2">
      <c r="B42" s="92"/>
      <c r="C42" s="2" t="s">
        <v>63</v>
      </c>
      <c r="D42" s="74">
        <v>87.79</v>
      </c>
      <c r="E42" s="74">
        <v>87.79</v>
      </c>
      <c r="F42" s="74">
        <v>87.79</v>
      </c>
      <c r="G42" s="74">
        <v>87.79</v>
      </c>
      <c r="H42" s="74">
        <v>87.79</v>
      </c>
      <c r="I42" s="74">
        <v>87.79</v>
      </c>
      <c r="J42" s="74">
        <v>87.79</v>
      </c>
      <c r="K42" s="74">
        <v>87.79</v>
      </c>
      <c r="L42" s="74">
        <v>87.79</v>
      </c>
      <c r="M42" s="74">
        <v>87.79</v>
      </c>
      <c r="N42" s="74">
        <v>87.79</v>
      </c>
      <c r="O42" s="74">
        <v>87.79</v>
      </c>
      <c r="P42" s="74">
        <v>87.79</v>
      </c>
      <c r="Q42" s="74">
        <v>87.79</v>
      </c>
      <c r="R42" s="74">
        <v>87.79</v>
      </c>
      <c r="S42" s="74">
        <v>87.79</v>
      </c>
      <c r="T42" s="74">
        <v>87.79</v>
      </c>
      <c r="U42" s="74">
        <v>87.79</v>
      </c>
      <c r="V42" s="74">
        <v>87.79</v>
      </c>
      <c r="W42" s="74">
        <v>87.79</v>
      </c>
      <c r="X42" s="74">
        <v>87.79</v>
      </c>
      <c r="Y42" s="74">
        <v>87.79</v>
      </c>
      <c r="Z42" s="74">
        <v>87.79</v>
      </c>
      <c r="AA42" s="74">
        <v>87.79</v>
      </c>
      <c r="AB42" s="73">
        <f t="shared" si="0"/>
        <v>2106.9599999999996</v>
      </c>
      <c r="AC42" s="35">
        <v>6</v>
      </c>
      <c r="AD42" s="86"/>
    </row>
    <row r="43" spans="2:30" ht="15.75" x14ac:dyDescent="0.25">
      <c r="AA43" s="87" t="s">
        <v>31</v>
      </c>
      <c r="AB43" s="88"/>
      <c r="AC43" s="89"/>
      <c r="AD43" s="25">
        <f>SUM(AD7:AD42)</f>
        <v>769040.39999999991</v>
      </c>
    </row>
  </sheetData>
  <mergeCells count="25">
    <mergeCell ref="AA43:AC43"/>
    <mergeCell ref="B34:B36"/>
    <mergeCell ref="AD34:AD36"/>
    <mergeCell ref="B37:B39"/>
    <mergeCell ref="AD37:AD39"/>
    <mergeCell ref="B40:B42"/>
    <mergeCell ref="AD40:AD42"/>
    <mergeCell ref="B25:B27"/>
    <mergeCell ref="AD25:AD27"/>
    <mergeCell ref="B28:B30"/>
    <mergeCell ref="AD28:AD30"/>
    <mergeCell ref="B31:B33"/>
    <mergeCell ref="AD31:AD33"/>
    <mergeCell ref="B16:B18"/>
    <mergeCell ref="AD16:AD18"/>
    <mergeCell ref="B19:B21"/>
    <mergeCell ref="AD19:AD21"/>
    <mergeCell ref="B22:B24"/>
    <mergeCell ref="AD22:AD24"/>
    <mergeCell ref="B7:B9"/>
    <mergeCell ref="AD7:AD9"/>
    <mergeCell ref="B10:B12"/>
    <mergeCell ref="AD10:AD12"/>
    <mergeCell ref="B13:B15"/>
    <mergeCell ref="AD13:AD15"/>
  </mergeCells>
  <conditionalFormatting sqref="D7:AA42">
    <cfRule type="cellIs" dxfId="9" priority="1" operator="lessThan">
      <formula>0</formula>
    </cfRule>
    <cfRule type="cellIs" dxfId="8" priority="2" operator="equal">
      <formula>"&gt;0"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181C4-1C41-4316-91D2-181CCE0B2CE7}">
  <sheetPr>
    <tabColor theme="7" tint="0.39997558519241921"/>
  </sheetPr>
  <dimension ref="B2:M23"/>
  <sheetViews>
    <sheetView showGridLines="0" zoomScale="80" zoomScaleNormal="80" workbookViewId="0"/>
  </sheetViews>
  <sheetFormatPr baseColWidth="10" defaultRowHeight="15" x14ac:dyDescent="0.2"/>
  <cols>
    <col min="1" max="1" width="3.88671875" customWidth="1"/>
    <col min="2" max="2" width="12.5546875" customWidth="1"/>
    <col min="3" max="4" width="12.109375" customWidth="1"/>
    <col min="5" max="5" width="13.109375" customWidth="1"/>
    <col min="6" max="6" width="12.5546875" customWidth="1"/>
    <col min="7" max="7" width="8.109375" customWidth="1"/>
    <col min="8" max="8" width="13.77734375" customWidth="1"/>
  </cols>
  <sheetData>
    <row r="2" spans="2:8" x14ac:dyDescent="0.2">
      <c r="B2" s="10"/>
      <c r="C2" s="46"/>
      <c r="D2" s="46"/>
      <c r="E2" s="46"/>
      <c r="F2" s="46"/>
      <c r="G2" s="46"/>
      <c r="H2" s="11"/>
    </row>
    <row r="3" spans="2:8" ht="18" x14ac:dyDescent="0.2">
      <c r="B3" s="12"/>
      <c r="C3" s="48" t="s">
        <v>32</v>
      </c>
      <c r="D3" s="3"/>
      <c r="E3" s="3"/>
      <c r="F3" s="3"/>
      <c r="G3" s="3"/>
      <c r="H3" s="14"/>
    </row>
    <row r="4" spans="2:8" ht="18" x14ac:dyDescent="0.2">
      <c r="B4" s="12"/>
      <c r="C4" s="13" t="s">
        <v>33</v>
      </c>
      <c r="H4" s="14"/>
    </row>
    <row r="5" spans="2:8" ht="18" x14ac:dyDescent="0.2">
      <c r="B5" s="12"/>
      <c r="C5" s="13" t="s">
        <v>62</v>
      </c>
      <c r="H5" s="14"/>
    </row>
    <row r="6" spans="2:8" ht="18" x14ac:dyDescent="0.2">
      <c r="B6" s="12"/>
      <c r="C6" s="13"/>
      <c r="H6" s="14"/>
    </row>
    <row r="7" spans="2:8" ht="18" x14ac:dyDescent="0.2">
      <c r="B7" s="12"/>
      <c r="C7" s="13" t="s">
        <v>54</v>
      </c>
      <c r="H7" s="14"/>
    </row>
    <row r="8" spans="2:8" x14ac:dyDescent="0.2">
      <c r="B8" s="12"/>
      <c r="H8" s="14"/>
    </row>
    <row r="9" spans="2:8" ht="18" x14ac:dyDescent="0.2">
      <c r="B9" s="12"/>
      <c r="C9" s="13" t="s">
        <v>78</v>
      </c>
      <c r="H9" s="14"/>
    </row>
    <row r="10" spans="2:8" x14ac:dyDescent="0.2">
      <c r="B10" s="12"/>
      <c r="H10" s="14"/>
    </row>
    <row r="11" spans="2:8" ht="15.75" x14ac:dyDescent="0.25">
      <c r="B11" s="12"/>
      <c r="C11" s="5"/>
      <c r="H11" s="15"/>
    </row>
    <row r="12" spans="2:8" ht="45" x14ac:dyDescent="0.25">
      <c r="B12" s="12"/>
      <c r="C12" s="6" t="s">
        <v>46</v>
      </c>
      <c r="D12" s="6" t="s">
        <v>34</v>
      </c>
      <c r="E12" s="6" t="s">
        <v>91</v>
      </c>
      <c r="F12" s="6" t="s">
        <v>56</v>
      </c>
      <c r="G12" s="16"/>
      <c r="H12" s="15"/>
    </row>
    <row r="13" spans="2:8" ht="15.75" x14ac:dyDescent="0.25">
      <c r="B13" s="12"/>
      <c r="C13" s="27">
        <v>2027</v>
      </c>
      <c r="D13" s="28">
        <f>'P2_Anexo_ 1_2027'!AD43</f>
        <v>769040.39999999991</v>
      </c>
      <c r="E13" s="9"/>
      <c r="F13" s="9"/>
      <c r="G13" s="17"/>
      <c r="H13" s="15"/>
    </row>
    <row r="14" spans="2:8" ht="15.75" x14ac:dyDescent="0.25">
      <c r="B14" s="12"/>
      <c r="C14" s="7" t="s">
        <v>35</v>
      </c>
      <c r="D14" s="29">
        <f>SUM(D13:D13)</f>
        <v>769040.39999999991</v>
      </c>
      <c r="H14" s="15"/>
    </row>
    <row r="15" spans="2:8" ht="15.75" x14ac:dyDescent="0.25">
      <c r="B15" s="12"/>
      <c r="H15" s="15"/>
    </row>
    <row r="16" spans="2:8" x14ac:dyDescent="0.2">
      <c r="B16" s="12"/>
      <c r="H16" s="14"/>
    </row>
    <row r="17" spans="2:13" x14ac:dyDescent="0.2">
      <c r="B17" s="39"/>
      <c r="C17" s="41" t="s">
        <v>36</v>
      </c>
      <c r="D17" s="3"/>
      <c r="E17" s="3"/>
      <c r="F17" s="3"/>
      <c r="G17" s="3"/>
      <c r="H17" s="40"/>
      <c r="M17" s="8"/>
    </row>
    <row r="18" spans="2:13" x14ac:dyDescent="0.2">
      <c r="B18" s="39"/>
      <c r="C18" s="41" t="s">
        <v>96</v>
      </c>
      <c r="D18" s="3"/>
      <c r="E18" s="3"/>
      <c r="F18" s="3"/>
      <c r="G18" s="3"/>
      <c r="H18" s="40"/>
    </row>
    <row r="19" spans="2:13" x14ac:dyDescent="0.2">
      <c r="B19" s="39"/>
      <c r="C19" s="41" t="s">
        <v>93</v>
      </c>
      <c r="D19" s="3"/>
      <c r="E19" s="3"/>
      <c r="F19" s="3"/>
      <c r="G19" s="3"/>
      <c r="H19" s="40"/>
    </row>
    <row r="20" spans="2:13" x14ac:dyDescent="0.2">
      <c r="B20" s="39"/>
      <c r="C20" s="41" t="s">
        <v>37</v>
      </c>
      <c r="D20" s="3"/>
      <c r="E20" s="3"/>
      <c r="F20" s="3"/>
      <c r="G20" s="3"/>
      <c r="H20" s="40"/>
    </row>
    <row r="21" spans="2:13" x14ac:dyDescent="0.2">
      <c r="B21" s="39"/>
      <c r="C21" s="41" t="s">
        <v>92</v>
      </c>
      <c r="D21" s="3"/>
      <c r="E21" s="3"/>
      <c r="F21" s="3"/>
      <c r="G21" s="3"/>
      <c r="H21" s="40"/>
    </row>
    <row r="22" spans="2:13" x14ac:dyDescent="0.2">
      <c r="B22" s="39"/>
      <c r="C22" s="41"/>
      <c r="D22" s="3"/>
      <c r="E22" s="3"/>
      <c r="F22" s="3"/>
      <c r="G22" s="3"/>
      <c r="H22" s="40"/>
    </row>
    <row r="23" spans="2:13" x14ac:dyDescent="0.2">
      <c r="B23" s="18"/>
      <c r="C23" s="19"/>
      <c r="D23" s="19"/>
      <c r="E23" s="19"/>
      <c r="F23" s="19"/>
      <c r="G23" s="19"/>
      <c r="H23" s="2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4022-6C9C-462F-A968-E7DCCCE9A216}">
  <sheetPr>
    <tabColor theme="9" tint="0.39997558519241921"/>
  </sheetPr>
  <dimension ref="B2:AD45"/>
  <sheetViews>
    <sheetView showGridLines="0" zoomScale="60" zoomScaleNormal="6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RowHeight="15" x14ac:dyDescent="0.2"/>
  <cols>
    <col min="1" max="1" width="2.88671875" customWidth="1"/>
    <col min="4" max="27" width="7.6640625" bestFit="1" customWidth="1"/>
    <col min="28" max="28" width="7.109375" bestFit="1" customWidth="1"/>
    <col min="29" max="29" width="8.6640625" bestFit="1" customWidth="1"/>
    <col min="30" max="30" width="11.5546875" bestFit="1" customWidth="1"/>
  </cols>
  <sheetData>
    <row r="2" spans="2:30" ht="23.25" x14ac:dyDescent="0.35">
      <c r="B2" s="1" t="s">
        <v>55</v>
      </c>
    </row>
    <row r="3" spans="2:30" ht="23.25" x14ac:dyDescent="0.35">
      <c r="B3" s="1" t="s">
        <v>66</v>
      </c>
    </row>
    <row r="4" spans="2:30" ht="23.25" x14ac:dyDescent="0.35">
      <c r="B4" s="1"/>
    </row>
    <row r="5" spans="2:30" ht="23.25" x14ac:dyDescent="0.35">
      <c r="B5" s="1" t="s">
        <v>44</v>
      </c>
    </row>
    <row r="6" spans="2:30" x14ac:dyDescent="0.2">
      <c r="B6" s="22" t="s">
        <v>0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  <c r="J6" s="22" t="s">
        <v>8</v>
      </c>
      <c r="K6" s="22" t="s">
        <v>9</v>
      </c>
      <c r="L6" s="22" t="s">
        <v>10</v>
      </c>
      <c r="M6" s="22" t="s">
        <v>11</v>
      </c>
      <c r="N6" s="22" t="s">
        <v>12</v>
      </c>
      <c r="O6" s="22" t="s">
        <v>13</v>
      </c>
      <c r="P6" s="22" t="s">
        <v>14</v>
      </c>
      <c r="Q6" s="22" t="s">
        <v>15</v>
      </c>
      <c r="R6" s="22" t="s">
        <v>16</v>
      </c>
      <c r="S6" s="22" t="s">
        <v>17</v>
      </c>
      <c r="T6" s="22" t="s">
        <v>18</v>
      </c>
      <c r="U6" s="22" t="s">
        <v>19</v>
      </c>
      <c r="V6" s="22" t="s">
        <v>20</v>
      </c>
      <c r="W6" s="22" t="s">
        <v>21</v>
      </c>
      <c r="X6" s="22" t="s">
        <v>22</v>
      </c>
      <c r="Y6" s="22" t="s">
        <v>23</v>
      </c>
      <c r="Z6" s="22" t="s">
        <v>24</v>
      </c>
      <c r="AA6" s="22" t="s">
        <v>25</v>
      </c>
      <c r="AB6" s="22" t="s">
        <v>26</v>
      </c>
      <c r="AC6" s="22" t="s">
        <v>27</v>
      </c>
      <c r="AD6" s="22" t="s">
        <v>28</v>
      </c>
    </row>
    <row r="7" spans="2:30" x14ac:dyDescent="0.2">
      <c r="B7" s="85">
        <v>46753</v>
      </c>
      <c r="C7" s="2" t="s">
        <v>29</v>
      </c>
      <c r="D7" s="26">
        <v>79.209999999999994</v>
      </c>
      <c r="E7" s="26">
        <v>79.209999999999994</v>
      </c>
      <c r="F7" s="26">
        <v>79.209999999999994</v>
      </c>
      <c r="G7" s="26">
        <v>79.209999999999994</v>
      </c>
      <c r="H7" s="26">
        <v>79.209999999999994</v>
      </c>
      <c r="I7" s="26">
        <v>79.209999999999994</v>
      </c>
      <c r="J7" s="26">
        <v>79.209999999999994</v>
      </c>
      <c r="K7" s="26">
        <v>79.209999999999994</v>
      </c>
      <c r="L7" s="26">
        <v>79.209999999999994</v>
      </c>
      <c r="M7" s="26">
        <v>79.209999999999994</v>
      </c>
      <c r="N7" s="26">
        <v>79.209999999999994</v>
      </c>
      <c r="O7" s="26">
        <v>79.209999999999994</v>
      </c>
      <c r="P7" s="26">
        <v>79.209999999999994</v>
      </c>
      <c r="Q7" s="26">
        <v>79.209999999999994</v>
      </c>
      <c r="R7" s="26">
        <v>79.209999999999994</v>
      </c>
      <c r="S7" s="26">
        <v>79.209999999999994</v>
      </c>
      <c r="T7" s="26">
        <v>79.209999999999994</v>
      </c>
      <c r="U7" s="26">
        <v>79.209999999999994</v>
      </c>
      <c r="V7" s="26">
        <v>79.209999999999994</v>
      </c>
      <c r="W7" s="26">
        <v>79.209999999999994</v>
      </c>
      <c r="X7" s="26">
        <v>79.209999999999994</v>
      </c>
      <c r="Y7" s="26">
        <v>79.209999999999994</v>
      </c>
      <c r="Z7" s="26">
        <v>79.209999999999994</v>
      </c>
      <c r="AA7" s="26">
        <v>79.209999999999994</v>
      </c>
      <c r="AB7" s="23">
        <f>SUM(D7:AA7)</f>
        <v>1901.0400000000004</v>
      </c>
      <c r="AC7" s="24">
        <v>20</v>
      </c>
      <c r="AD7" s="86">
        <f>+AB7*AC7+AB8*AC8+AB9*AC9</f>
        <v>58932.24000000002</v>
      </c>
    </row>
    <row r="8" spans="2:30" x14ac:dyDescent="0.2">
      <c r="B8" s="85"/>
      <c r="C8" s="2" t="s">
        <v>30</v>
      </c>
      <c r="D8" s="26">
        <v>79.209999999999994</v>
      </c>
      <c r="E8" s="26">
        <v>79.209999999999994</v>
      </c>
      <c r="F8" s="26">
        <v>79.209999999999994</v>
      </c>
      <c r="G8" s="26">
        <v>79.209999999999994</v>
      </c>
      <c r="H8" s="26">
        <v>79.209999999999994</v>
      </c>
      <c r="I8" s="26">
        <v>79.209999999999994</v>
      </c>
      <c r="J8" s="26">
        <v>79.209999999999994</v>
      </c>
      <c r="K8" s="26">
        <v>79.209999999999994</v>
      </c>
      <c r="L8" s="26">
        <v>79.209999999999994</v>
      </c>
      <c r="M8" s="26">
        <v>79.209999999999994</v>
      </c>
      <c r="N8" s="26">
        <v>79.209999999999994</v>
      </c>
      <c r="O8" s="26">
        <v>79.209999999999994</v>
      </c>
      <c r="P8" s="26">
        <v>79.209999999999994</v>
      </c>
      <c r="Q8" s="26">
        <v>79.209999999999994</v>
      </c>
      <c r="R8" s="26">
        <v>79.209999999999994</v>
      </c>
      <c r="S8" s="26">
        <v>79.209999999999994</v>
      </c>
      <c r="T8" s="26">
        <v>79.209999999999994</v>
      </c>
      <c r="U8" s="26">
        <v>79.209999999999994</v>
      </c>
      <c r="V8" s="26">
        <v>79.209999999999994</v>
      </c>
      <c r="W8" s="26">
        <v>79.209999999999994</v>
      </c>
      <c r="X8" s="26">
        <v>79.209999999999994</v>
      </c>
      <c r="Y8" s="26">
        <v>79.209999999999994</v>
      </c>
      <c r="Z8" s="26">
        <v>79.209999999999994</v>
      </c>
      <c r="AA8" s="26">
        <v>79.209999999999994</v>
      </c>
      <c r="AB8" s="23">
        <f t="shared" ref="AB8:AB42" si="0">SUM(D8:AA8)</f>
        <v>1901.0400000000004</v>
      </c>
      <c r="AC8" s="24">
        <v>4</v>
      </c>
      <c r="AD8" s="86"/>
    </row>
    <row r="9" spans="2:30" x14ac:dyDescent="0.2">
      <c r="B9" s="85"/>
      <c r="C9" s="2" t="s">
        <v>63</v>
      </c>
      <c r="D9" s="26">
        <v>79.209999999999994</v>
      </c>
      <c r="E9" s="26">
        <v>79.209999999999994</v>
      </c>
      <c r="F9" s="26">
        <v>79.209999999999994</v>
      </c>
      <c r="G9" s="26">
        <v>79.209999999999994</v>
      </c>
      <c r="H9" s="26">
        <v>79.209999999999994</v>
      </c>
      <c r="I9" s="26">
        <v>79.209999999999994</v>
      </c>
      <c r="J9" s="26">
        <v>79.209999999999994</v>
      </c>
      <c r="K9" s="26">
        <v>79.209999999999994</v>
      </c>
      <c r="L9" s="26">
        <v>79.209999999999994</v>
      </c>
      <c r="M9" s="26">
        <v>79.209999999999994</v>
      </c>
      <c r="N9" s="26">
        <v>79.209999999999994</v>
      </c>
      <c r="O9" s="26">
        <v>79.209999999999994</v>
      </c>
      <c r="P9" s="26">
        <v>79.209999999999994</v>
      </c>
      <c r="Q9" s="26">
        <v>79.209999999999994</v>
      </c>
      <c r="R9" s="26">
        <v>79.209999999999994</v>
      </c>
      <c r="S9" s="26">
        <v>79.209999999999994</v>
      </c>
      <c r="T9" s="26">
        <v>79.209999999999994</v>
      </c>
      <c r="U9" s="26">
        <v>79.209999999999994</v>
      </c>
      <c r="V9" s="26">
        <v>79.209999999999994</v>
      </c>
      <c r="W9" s="26">
        <v>79.209999999999994</v>
      </c>
      <c r="X9" s="26">
        <v>79.209999999999994</v>
      </c>
      <c r="Y9" s="26">
        <v>79.209999999999994</v>
      </c>
      <c r="Z9" s="26">
        <v>79.209999999999994</v>
      </c>
      <c r="AA9" s="26">
        <v>79.209999999999994</v>
      </c>
      <c r="AB9" s="23">
        <f t="shared" si="0"/>
        <v>1901.0400000000004</v>
      </c>
      <c r="AC9" s="24">
        <v>7</v>
      </c>
      <c r="AD9" s="86"/>
    </row>
    <row r="10" spans="2:30" x14ac:dyDescent="0.2">
      <c r="B10" s="85">
        <v>46784</v>
      </c>
      <c r="C10" s="2" t="s">
        <v>29</v>
      </c>
      <c r="D10" s="26">
        <v>79.209999999999994</v>
      </c>
      <c r="E10" s="26">
        <v>79.209999999999994</v>
      </c>
      <c r="F10" s="26">
        <v>79.209999999999994</v>
      </c>
      <c r="G10" s="26">
        <v>79.209999999999994</v>
      </c>
      <c r="H10" s="26">
        <v>79.209999999999994</v>
      </c>
      <c r="I10" s="26">
        <v>79.209999999999994</v>
      </c>
      <c r="J10" s="26">
        <v>79.209999999999994</v>
      </c>
      <c r="K10" s="26">
        <v>79.209999999999994</v>
      </c>
      <c r="L10" s="26">
        <v>79.209999999999994</v>
      </c>
      <c r="M10" s="26">
        <v>79.209999999999994</v>
      </c>
      <c r="N10" s="26">
        <v>79.209999999999994</v>
      </c>
      <c r="O10" s="26">
        <v>79.209999999999994</v>
      </c>
      <c r="P10" s="26">
        <v>79.209999999999994</v>
      </c>
      <c r="Q10" s="26">
        <v>79.209999999999994</v>
      </c>
      <c r="R10" s="26">
        <v>79.209999999999994</v>
      </c>
      <c r="S10" s="26">
        <v>79.209999999999994</v>
      </c>
      <c r="T10" s="26">
        <v>79.209999999999994</v>
      </c>
      <c r="U10" s="26">
        <v>79.209999999999994</v>
      </c>
      <c r="V10" s="26">
        <v>79.209999999999994</v>
      </c>
      <c r="W10" s="26">
        <v>79.209999999999994</v>
      </c>
      <c r="X10" s="26">
        <v>79.209999999999994</v>
      </c>
      <c r="Y10" s="26">
        <v>79.209999999999994</v>
      </c>
      <c r="Z10" s="26">
        <v>79.209999999999994</v>
      </c>
      <c r="AA10" s="26">
        <v>79.209999999999994</v>
      </c>
      <c r="AB10" s="23">
        <f t="shared" si="0"/>
        <v>1901.0400000000004</v>
      </c>
      <c r="AC10" s="24">
        <v>21</v>
      </c>
      <c r="AD10" s="86">
        <f>+AB10*AC10+AB11*AC11+AB12*AC12</f>
        <v>55130.160000000018</v>
      </c>
    </row>
    <row r="11" spans="2:30" x14ac:dyDescent="0.2">
      <c r="B11" s="85"/>
      <c r="C11" s="2" t="s">
        <v>30</v>
      </c>
      <c r="D11" s="26">
        <v>79.209999999999994</v>
      </c>
      <c r="E11" s="26">
        <v>79.209999999999994</v>
      </c>
      <c r="F11" s="26">
        <v>79.209999999999994</v>
      </c>
      <c r="G11" s="26">
        <v>79.209999999999994</v>
      </c>
      <c r="H11" s="26">
        <v>79.209999999999994</v>
      </c>
      <c r="I11" s="26">
        <v>79.209999999999994</v>
      </c>
      <c r="J11" s="26">
        <v>79.209999999999994</v>
      </c>
      <c r="K11" s="26">
        <v>79.209999999999994</v>
      </c>
      <c r="L11" s="26">
        <v>79.209999999999994</v>
      </c>
      <c r="M11" s="26">
        <v>79.209999999999994</v>
      </c>
      <c r="N11" s="26">
        <v>79.209999999999994</v>
      </c>
      <c r="O11" s="26">
        <v>79.209999999999994</v>
      </c>
      <c r="P11" s="26">
        <v>79.209999999999994</v>
      </c>
      <c r="Q11" s="26">
        <v>79.209999999999994</v>
      </c>
      <c r="R11" s="26">
        <v>79.209999999999994</v>
      </c>
      <c r="S11" s="26">
        <v>79.209999999999994</v>
      </c>
      <c r="T11" s="26">
        <v>79.209999999999994</v>
      </c>
      <c r="U11" s="26">
        <v>79.209999999999994</v>
      </c>
      <c r="V11" s="26">
        <v>79.209999999999994</v>
      </c>
      <c r="W11" s="26">
        <v>79.209999999999994</v>
      </c>
      <c r="X11" s="26">
        <v>79.209999999999994</v>
      </c>
      <c r="Y11" s="26">
        <v>79.209999999999994</v>
      </c>
      <c r="Z11" s="26">
        <v>79.209999999999994</v>
      </c>
      <c r="AA11" s="26">
        <v>79.209999999999994</v>
      </c>
      <c r="AB11" s="23">
        <f t="shared" si="0"/>
        <v>1901.0400000000004</v>
      </c>
      <c r="AC11" s="24">
        <v>4</v>
      </c>
      <c r="AD11" s="86"/>
    </row>
    <row r="12" spans="2:30" x14ac:dyDescent="0.2">
      <c r="B12" s="85"/>
      <c r="C12" s="2" t="s">
        <v>63</v>
      </c>
      <c r="D12" s="26">
        <v>79.209999999999994</v>
      </c>
      <c r="E12" s="26">
        <v>79.209999999999994</v>
      </c>
      <c r="F12" s="26">
        <v>79.209999999999994</v>
      </c>
      <c r="G12" s="26">
        <v>79.209999999999994</v>
      </c>
      <c r="H12" s="26">
        <v>79.209999999999994</v>
      </c>
      <c r="I12" s="26">
        <v>79.209999999999994</v>
      </c>
      <c r="J12" s="26">
        <v>79.209999999999994</v>
      </c>
      <c r="K12" s="26">
        <v>79.209999999999994</v>
      </c>
      <c r="L12" s="26">
        <v>79.209999999999994</v>
      </c>
      <c r="M12" s="26">
        <v>79.209999999999994</v>
      </c>
      <c r="N12" s="26">
        <v>79.209999999999994</v>
      </c>
      <c r="O12" s="26">
        <v>79.209999999999994</v>
      </c>
      <c r="P12" s="26">
        <v>79.209999999999994</v>
      </c>
      <c r="Q12" s="26">
        <v>79.209999999999994</v>
      </c>
      <c r="R12" s="26">
        <v>79.209999999999994</v>
      </c>
      <c r="S12" s="26">
        <v>79.209999999999994</v>
      </c>
      <c r="T12" s="26">
        <v>79.209999999999994</v>
      </c>
      <c r="U12" s="26">
        <v>79.209999999999994</v>
      </c>
      <c r="V12" s="26">
        <v>79.209999999999994</v>
      </c>
      <c r="W12" s="26">
        <v>79.209999999999994</v>
      </c>
      <c r="X12" s="26">
        <v>79.209999999999994</v>
      </c>
      <c r="Y12" s="26">
        <v>79.209999999999994</v>
      </c>
      <c r="Z12" s="26">
        <v>79.209999999999994</v>
      </c>
      <c r="AA12" s="26">
        <v>79.209999999999994</v>
      </c>
      <c r="AB12" s="23">
        <f t="shared" si="0"/>
        <v>1901.0400000000004</v>
      </c>
      <c r="AC12" s="24">
        <v>4</v>
      </c>
      <c r="AD12" s="86"/>
    </row>
    <row r="13" spans="2:30" x14ac:dyDescent="0.2">
      <c r="B13" s="85">
        <v>46813</v>
      </c>
      <c r="C13" s="2" t="s">
        <v>29</v>
      </c>
      <c r="D13" s="26">
        <v>79.209999999999994</v>
      </c>
      <c r="E13" s="26">
        <v>79.209999999999994</v>
      </c>
      <c r="F13" s="26">
        <v>79.209999999999994</v>
      </c>
      <c r="G13" s="26">
        <v>79.209999999999994</v>
      </c>
      <c r="H13" s="26">
        <v>79.209999999999994</v>
      </c>
      <c r="I13" s="26">
        <v>79.209999999999994</v>
      </c>
      <c r="J13" s="26">
        <v>79.209999999999994</v>
      </c>
      <c r="K13" s="26">
        <v>79.209999999999994</v>
      </c>
      <c r="L13" s="26">
        <v>79.209999999999994</v>
      </c>
      <c r="M13" s="26">
        <v>79.209999999999994</v>
      </c>
      <c r="N13" s="26">
        <v>79.209999999999994</v>
      </c>
      <c r="O13" s="26">
        <v>79.209999999999994</v>
      </c>
      <c r="P13" s="26">
        <v>79.209999999999994</v>
      </c>
      <c r="Q13" s="26">
        <v>79.209999999999994</v>
      </c>
      <c r="R13" s="26">
        <v>79.209999999999994</v>
      </c>
      <c r="S13" s="26">
        <v>79.209999999999994</v>
      </c>
      <c r="T13" s="26">
        <v>79.209999999999994</v>
      </c>
      <c r="U13" s="26">
        <v>79.209999999999994</v>
      </c>
      <c r="V13" s="26">
        <v>79.209999999999994</v>
      </c>
      <c r="W13" s="26">
        <v>79.209999999999994</v>
      </c>
      <c r="X13" s="26">
        <v>79.209999999999994</v>
      </c>
      <c r="Y13" s="26">
        <v>79.209999999999994</v>
      </c>
      <c r="Z13" s="26">
        <v>79.209999999999994</v>
      </c>
      <c r="AA13" s="26">
        <v>79.209999999999994</v>
      </c>
      <c r="AB13" s="23">
        <f t="shared" si="0"/>
        <v>1901.0400000000004</v>
      </c>
      <c r="AC13" s="24">
        <v>22</v>
      </c>
      <c r="AD13" s="86">
        <f>+AB13*AC13+AB14*AC14+AB15*AC15</f>
        <v>58932.24000000002</v>
      </c>
    </row>
    <row r="14" spans="2:30" x14ac:dyDescent="0.2">
      <c r="B14" s="85"/>
      <c r="C14" s="2" t="s">
        <v>30</v>
      </c>
      <c r="D14" s="26">
        <v>79.209999999999994</v>
      </c>
      <c r="E14" s="26">
        <v>79.209999999999994</v>
      </c>
      <c r="F14" s="26">
        <v>79.209999999999994</v>
      </c>
      <c r="G14" s="26">
        <v>79.209999999999994</v>
      </c>
      <c r="H14" s="26">
        <v>79.209999999999994</v>
      </c>
      <c r="I14" s="26">
        <v>79.209999999999994</v>
      </c>
      <c r="J14" s="26">
        <v>79.209999999999994</v>
      </c>
      <c r="K14" s="26">
        <v>79.209999999999994</v>
      </c>
      <c r="L14" s="26">
        <v>79.209999999999994</v>
      </c>
      <c r="M14" s="26">
        <v>79.209999999999994</v>
      </c>
      <c r="N14" s="26">
        <v>79.209999999999994</v>
      </c>
      <c r="O14" s="26">
        <v>79.209999999999994</v>
      </c>
      <c r="P14" s="26">
        <v>79.209999999999994</v>
      </c>
      <c r="Q14" s="26">
        <v>79.209999999999994</v>
      </c>
      <c r="R14" s="26">
        <v>79.209999999999994</v>
      </c>
      <c r="S14" s="26">
        <v>79.209999999999994</v>
      </c>
      <c r="T14" s="26">
        <v>79.209999999999994</v>
      </c>
      <c r="U14" s="26">
        <v>79.209999999999994</v>
      </c>
      <c r="V14" s="26">
        <v>79.209999999999994</v>
      </c>
      <c r="W14" s="26">
        <v>79.209999999999994</v>
      </c>
      <c r="X14" s="26">
        <v>79.209999999999994</v>
      </c>
      <c r="Y14" s="26">
        <v>79.209999999999994</v>
      </c>
      <c r="Z14" s="26">
        <v>79.209999999999994</v>
      </c>
      <c r="AA14" s="26">
        <v>79.209999999999994</v>
      </c>
      <c r="AB14" s="23">
        <f t="shared" si="0"/>
        <v>1901.0400000000004</v>
      </c>
      <c r="AC14" s="24">
        <v>4</v>
      </c>
      <c r="AD14" s="86"/>
    </row>
    <row r="15" spans="2:30" x14ac:dyDescent="0.2">
      <c r="B15" s="85"/>
      <c r="C15" s="2" t="s">
        <v>63</v>
      </c>
      <c r="D15" s="26">
        <v>79.209999999999994</v>
      </c>
      <c r="E15" s="26">
        <v>79.209999999999994</v>
      </c>
      <c r="F15" s="26">
        <v>79.209999999999994</v>
      </c>
      <c r="G15" s="26">
        <v>79.209999999999994</v>
      </c>
      <c r="H15" s="26">
        <v>79.209999999999994</v>
      </c>
      <c r="I15" s="26">
        <v>79.209999999999994</v>
      </c>
      <c r="J15" s="26">
        <v>79.209999999999994</v>
      </c>
      <c r="K15" s="26">
        <v>79.209999999999994</v>
      </c>
      <c r="L15" s="26">
        <v>79.209999999999994</v>
      </c>
      <c r="M15" s="26">
        <v>79.209999999999994</v>
      </c>
      <c r="N15" s="26">
        <v>79.209999999999994</v>
      </c>
      <c r="O15" s="26">
        <v>79.209999999999994</v>
      </c>
      <c r="P15" s="26">
        <v>79.209999999999994</v>
      </c>
      <c r="Q15" s="26">
        <v>79.209999999999994</v>
      </c>
      <c r="R15" s="26">
        <v>79.209999999999994</v>
      </c>
      <c r="S15" s="26">
        <v>79.209999999999994</v>
      </c>
      <c r="T15" s="26">
        <v>79.209999999999994</v>
      </c>
      <c r="U15" s="26">
        <v>79.209999999999994</v>
      </c>
      <c r="V15" s="26">
        <v>79.209999999999994</v>
      </c>
      <c r="W15" s="26">
        <v>79.209999999999994</v>
      </c>
      <c r="X15" s="26">
        <v>79.209999999999994</v>
      </c>
      <c r="Y15" s="26">
        <v>79.209999999999994</v>
      </c>
      <c r="Z15" s="26">
        <v>79.209999999999994</v>
      </c>
      <c r="AA15" s="26">
        <v>79.209999999999994</v>
      </c>
      <c r="AB15" s="23">
        <f t="shared" si="0"/>
        <v>1901.0400000000004</v>
      </c>
      <c r="AC15" s="24">
        <v>5</v>
      </c>
      <c r="AD15" s="86"/>
    </row>
    <row r="16" spans="2:30" x14ac:dyDescent="0.2">
      <c r="B16" s="85">
        <v>46844</v>
      </c>
      <c r="C16" s="2" t="s">
        <v>29</v>
      </c>
      <c r="D16" s="26">
        <v>79.209999999999994</v>
      </c>
      <c r="E16" s="26">
        <v>79.209999999999994</v>
      </c>
      <c r="F16" s="26">
        <v>79.209999999999994</v>
      </c>
      <c r="G16" s="26">
        <v>79.209999999999994</v>
      </c>
      <c r="H16" s="26">
        <v>79.209999999999994</v>
      </c>
      <c r="I16" s="26">
        <v>79.209999999999994</v>
      </c>
      <c r="J16" s="26">
        <v>79.209999999999994</v>
      </c>
      <c r="K16" s="26">
        <v>79.209999999999994</v>
      </c>
      <c r="L16" s="26">
        <v>79.209999999999994</v>
      </c>
      <c r="M16" s="26">
        <v>79.209999999999994</v>
      </c>
      <c r="N16" s="26">
        <v>79.209999999999994</v>
      </c>
      <c r="O16" s="26">
        <v>79.209999999999994</v>
      </c>
      <c r="P16" s="26">
        <v>79.209999999999994</v>
      </c>
      <c r="Q16" s="26">
        <v>79.209999999999994</v>
      </c>
      <c r="R16" s="26">
        <v>79.209999999999994</v>
      </c>
      <c r="S16" s="26">
        <v>79.209999999999994</v>
      </c>
      <c r="T16" s="26">
        <v>79.209999999999994</v>
      </c>
      <c r="U16" s="26">
        <v>79.209999999999994</v>
      </c>
      <c r="V16" s="26">
        <v>79.209999999999994</v>
      </c>
      <c r="W16" s="26">
        <v>79.209999999999994</v>
      </c>
      <c r="X16" s="26">
        <v>79.209999999999994</v>
      </c>
      <c r="Y16" s="26">
        <v>79.209999999999994</v>
      </c>
      <c r="Z16" s="26">
        <v>79.209999999999994</v>
      </c>
      <c r="AA16" s="26">
        <v>79.209999999999994</v>
      </c>
      <c r="AB16" s="23">
        <f t="shared" si="0"/>
        <v>1901.0400000000004</v>
      </c>
      <c r="AC16" s="24">
        <v>18</v>
      </c>
      <c r="AD16" s="86">
        <f>+AB16*AC16+AB17*AC17+AB18*AC18</f>
        <v>57031.200000000012</v>
      </c>
    </row>
    <row r="17" spans="2:30" x14ac:dyDescent="0.2">
      <c r="B17" s="85"/>
      <c r="C17" s="2" t="s">
        <v>30</v>
      </c>
      <c r="D17" s="26">
        <v>79.209999999999994</v>
      </c>
      <c r="E17" s="26">
        <v>79.209999999999994</v>
      </c>
      <c r="F17" s="26">
        <v>79.209999999999994</v>
      </c>
      <c r="G17" s="26">
        <v>79.209999999999994</v>
      </c>
      <c r="H17" s="26">
        <v>79.209999999999994</v>
      </c>
      <c r="I17" s="26">
        <v>79.209999999999994</v>
      </c>
      <c r="J17" s="26">
        <v>79.209999999999994</v>
      </c>
      <c r="K17" s="26">
        <v>79.209999999999994</v>
      </c>
      <c r="L17" s="26">
        <v>79.209999999999994</v>
      </c>
      <c r="M17" s="26">
        <v>79.209999999999994</v>
      </c>
      <c r="N17" s="26">
        <v>79.209999999999994</v>
      </c>
      <c r="O17" s="26">
        <v>79.209999999999994</v>
      </c>
      <c r="P17" s="26">
        <v>79.209999999999994</v>
      </c>
      <c r="Q17" s="26">
        <v>79.209999999999994</v>
      </c>
      <c r="R17" s="26">
        <v>79.209999999999994</v>
      </c>
      <c r="S17" s="26">
        <v>79.209999999999994</v>
      </c>
      <c r="T17" s="26">
        <v>79.209999999999994</v>
      </c>
      <c r="U17" s="26">
        <v>79.209999999999994</v>
      </c>
      <c r="V17" s="26">
        <v>79.209999999999994</v>
      </c>
      <c r="W17" s="26">
        <v>79.209999999999994</v>
      </c>
      <c r="X17" s="26">
        <v>79.209999999999994</v>
      </c>
      <c r="Y17" s="26">
        <v>79.209999999999994</v>
      </c>
      <c r="Z17" s="26">
        <v>79.209999999999994</v>
      </c>
      <c r="AA17" s="26">
        <v>79.209999999999994</v>
      </c>
      <c r="AB17" s="23">
        <f t="shared" si="0"/>
        <v>1901.0400000000004</v>
      </c>
      <c r="AC17" s="24">
        <v>5</v>
      </c>
      <c r="AD17" s="86"/>
    </row>
    <row r="18" spans="2:30" x14ac:dyDescent="0.2">
      <c r="B18" s="85"/>
      <c r="C18" s="2" t="s">
        <v>63</v>
      </c>
      <c r="D18" s="26">
        <v>79.209999999999994</v>
      </c>
      <c r="E18" s="26">
        <v>79.209999999999994</v>
      </c>
      <c r="F18" s="26">
        <v>79.209999999999994</v>
      </c>
      <c r="G18" s="26">
        <v>79.209999999999994</v>
      </c>
      <c r="H18" s="26">
        <v>79.209999999999994</v>
      </c>
      <c r="I18" s="26">
        <v>79.209999999999994</v>
      </c>
      <c r="J18" s="26">
        <v>79.209999999999994</v>
      </c>
      <c r="K18" s="26">
        <v>79.209999999999994</v>
      </c>
      <c r="L18" s="26">
        <v>79.209999999999994</v>
      </c>
      <c r="M18" s="26">
        <v>79.209999999999994</v>
      </c>
      <c r="N18" s="26">
        <v>79.209999999999994</v>
      </c>
      <c r="O18" s="26">
        <v>79.209999999999994</v>
      </c>
      <c r="P18" s="26">
        <v>79.209999999999994</v>
      </c>
      <c r="Q18" s="26">
        <v>79.209999999999994</v>
      </c>
      <c r="R18" s="26">
        <v>79.209999999999994</v>
      </c>
      <c r="S18" s="26">
        <v>79.209999999999994</v>
      </c>
      <c r="T18" s="26">
        <v>79.209999999999994</v>
      </c>
      <c r="U18" s="26">
        <v>79.209999999999994</v>
      </c>
      <c r="V18" s="26">
        <v>79.209999999999994</v>
      </c>
      <c r="W18" s="26">
        <v>79.209999999999994</v>
      </c>
      <c r="X18" s="26">
        <v>79.209999999999994</v>
      </c>
      <c r="Y18" s="26">
        <v>79.209999999999994</v>
      </c>
      <c r="Z18" s="26">
        <v>79.209999999999994</v>
      </c>
      <c r="AA18" s="26">
        <v>79.209999999999994</v>
      </c>
      <c r="AB18" s="23">
        <f t="shared" si="0"/>
        <v>1901.0400000000004</v>
      </c>
      <c r="AC18" s="24">
        <v>7</v>
      </c>
      <c r="AD18" s="86"/>
    </row>
    <row r="19" spans="2:30" x14ac:dyDescent="0.2">
      <c r="B19" s="85">
        <v>46874</v>
      </c>
      <c r="C19" s="2" t="s">
        <v>29</v>
      </c>
      <c r="D19" s="26">
        <v>79.209999999999994</v>
      </c>
      <c r="E19" s="26">
        <v>79.209999999999994</v>
      </c>
      <c r="F19" s="26">
        <v>79.209999999999994</v>
      </c>
      <c r="G19" s="26">
        <v>79.209999999999994</v>
      </c>
      <c r="H19" s="26">
        <v>79.209999999999994</v>
      </c>
      <c r="I19" s="26">
        <v>79.209999999999994</v>
      </c>
      <c r="J19" s="26">
        <v>79.209999999999994</v>
      </c>
      <c r="K19" s="26">
        <v>79.209999999999994</v>
      </c>
      <c r="L19" s="26">
        <v>79.209999999999994</v>
      </c>
      <c r="M19" s="26">
        <v>79.209999999999994</v>
      </c>
      <c r="N19" s="26">
        <v>79.209999999999994</v>
      </c>
      <c r="O19" s="26">
        <v>79.209999999999994</v>
      </c>
      <c r="P19" s="26">
        <v>79.209999999999994</v>
      </c>
      <c r="Q19" s="26">
        <v>79.209999999999994</v>
      </c>
      <c r="R19" s="26">
        <v>79.209999999999994</v>
      </c>
      <c r="S19" s="26">
        <v>79.209999999999994</v>
      </c>
      <c r="T19" s="26">
        <v>79.209999999999994</v>
      </c>
      <c r="U19" s="26">
        <v>79.209999999999994</v>
      </c>
      <c r="V19" s="26">
        <v>79.209999999999994</v>
      </c>
      <c r="W19" s="26">
        <v>79.209999999999994</v>
      </c>
      <c r="X19" s="26">
        <v>79.209999999999994</v>
      </c>
      <c r="Y19" s="26">
        <v>79.209999999999994</v>
      </c>
      <c r="Z19" s="26">
        <v>79.209999999999994</v>
      </c>
      <c r="AA19" s="26">
        <v>79.209999999999994</v>
      </c>
      <c r="AB19" s="23">
        <f t="shared" si="0"/>
        <v>1901.0400000000004</v>
      </c>
      <c r="AC19" s="24">
        <v>21</v>
      </c>
      <c r="AD19" s="86">
        <f>+AB19*AC19+AB20*AC20+AB21*AC21</f>
        <v>58932.24000000002</v>
      </c>
    </row>
    <row r="20" spans="2:30" x14ac:dyDescent="0.2">
      <c r="B20" s="85"/>
      <c r="C20" s="2" t="s">
        <v>30</v>
      </c>
      <c r="D20" s="26">
        <v>79.209999999999994</v>
      </c>
      <c r="E20" s="26">
        <v>79.209999999999994</v>
      </c>
      <c r="F20" s="26">
        <v>79.209999999999994</v>
      </c>
      <c r="G20" s="26">
        <v>79.209999999999994</v>
      </c>
      <c r="H20" s="26">
        <v>79.209999999999994</v>
      </c>
      <c r="I20" s="26">
        <v>79.209999999999994</v>
      </c>
      <c r="J20" s="26">
        <v>79.209999999999994</v>
      </c>
      <c r="K20" s="26">
        <v>79.209999999999994</v>
      </c>
      <c r="L20" s="26">
        <v>79.209999999999994</v>
      </c>
      <c r="M20" s="26">
        <v>79.209999999999994</v>
      </c>
      <c r="N20" s="26">
        <v>79.209999999999994</v>
      </c>
      <c r="O20" s="26">
        <v>79.209999999999994</v>
      </c>
      <c r="P20" s="26">
        <v>79.209999999999994</v>
      </c>
      <c r="Q20" s="26">
        <v>79.209999999999994</v>
      </c>
      <c r="R20" s="26">
        <v>79.209999999999994</v>
      </c>
      <c r="S20" s="26">
        <v>79.209999999999994</v>
      </c>
      <c r="T20" s="26">
        <v>79.209999999999994</v>
      </c>
      <c r="U20" s="26">
        <v>79.209999999999994</v>
      </c>
      <c r="V20" s="26">
        <v>79.209999999999994</v>
      </c>
      <c r="W20" s="26">
        <v>79.209999999999994</v>
      </c>
      <c r="X20" s="26">
        <v>79.209999999999994</v>
      </c>
      <c r="Y20" s="26">
        <v>79.209999999999994</v>
      </c>
      <c r="Z20" s="26">
        <v>79.209999999999994</v>
      </c>
      <c r="AA20" s="26">
        <v>79.209999999999994</v>
      </c>
      <c r="AB20" s="23">
        <f t="shared" si="0"/>
        <v>1901.0400000000004</v>
      </c>
      <c r="AC20" s="24">
        <v>4</v>
      </c>
      <c r="AD20" s="86"/>
    </row>
    <row r="21" spans="2:30" x14ac:dyDescent="0.2">
      <c r="B21" s="85"/>
      <c r="C21" s="2" t="s">
        <v>63</v>
      </c>
      <c r="D21" s="26">
        <v>79.209999999999994</v>
      </c>
      <c r="E21" s="26">
        <v>79.209999999999994</v>
      </c>
      <c r="F21" s="26">
        <v>79.209999999999994</v>
      </c>
      <c r="G21" s="26">
        <v>79.209999999999994</v>
      </c>
      <c r="H21" s="26">
        <v>79.209999999999994</v>
      </c>
      <c r="I21" s="26">
        <v>79.209999999999994</v>
      </c>
      <c r="J21" s="26">
        <v>79.209999999999994</v>
      </c>
      <c r="K21" s="26">
        <v>79.209999999999994</v>
      </c>
      <c r="L21" s="26">
        <v>79.209999999999994</v>
      </c>
      <c r="M21" s="26">
        <v>79.209999999999994</v>
      </c>
      <c r="N21" s="26">
        <v>79.209999999999994</v>
      </c>
      <c r="O21" s="26">
        <v>79.209999999999994</v>
      </c>
      <c r="P21" s="26">
        <v>79.209999999999994</v>
      </c>
      <c r="Q21" s="26">
        <v>79.209999999999994</v>
      </c>
      <c r="R21" s="26">
        <v>79.209999999999994</v>
      </c>
      <c r="S21" s="26">
        <v>79.209999999999994</v>
      </c>
      <c r="T21" s="26">
        <v>79.209999999999994</v>
      </c>
      <c r="U21" s="26">
        <v>79.209999999999994</v>
      </c>
      <c r="V21" s="26">
        <v>79.209999999999994</v>
      </c>
      <c r="W21" s="26">
        <v>79.209999999999994</v>
      </c>
      <c r="X21" s="26">
        <v>79.209999999999994</v>
      </c>
      <c r="Y21" s="26">
        <v>79.209999999999994</v>
      </c>
      <c r="Z21" s="26">
        <v>79.209999999999994</v>
      </c>
      <c r="AA21" s="26">
        <v>79.209999999999994</v>
      </c>
      <c r="AB21" s="23">
        <f t="shared" si="0"/>
        <v>1901.0400000000004</v>
      </c>
      <c r="AC21" s="24">
        <v>6</v>
      </c>
      <c r="AD21" s="86"/>
    </row>
    <row r="22" spans="2:30" x14ac:dyDescent="0.2">
      <c r="B22" s="85">
        <v>46905</v>
      </c>
      <c r="C22" s="2" t="s">
        <v>29</v>
      </c>
      <c r="D22" s="26">
        <v>79.209999999999994</v>
      </c>
      <c r="E22" s="26">
        <v>79.209999999999994</v>
      </c>
      <c r="F22" s="26">
        <v>79.209999999999994</v>
      </c>
      <c r="G22" s="26">
        <v>79.209999999999994</v>
      </c>
      <c r="H22" s="26">
        <v>79.209999999999994</v>
      </c>
      <c r="I22" s="26">
        <v>79.209999999999994</v>
      </c>
      <c r="J22" s="26">
        <v>79.209999999999994</v>
      </c>
      <c r="K22" s="26">
        <v>79.209999999999994</v>
      </c>
      <c r="L22" s="26">
        <v>79.209999999999994</v>
      </c>
      <c r="M22" s="26">
        <v>79.209999999999994</v>
      </c>
      <c r="N22" s="26">
        <v>79.209999999999994</v>
      </c>
      <c r="O22" s="26">
        <v>79.209999999999994</v>
      </c>
      <c r="P22" s="26">
        <v>79.209999999999994</v>
      </c>
      <c r="Q22" s="26">
        <v>79.209999999999994</v>
      </c>
      <c r="R22" s="26">
        <v>79.209999999999994</v>
      </c>
      <c r="S22" s="26">
        <v>79.209999999999994</v>
      </c>
      <c r="T22" s="26">
        <v>79.209999999999994</v>
      </c>
      <c r="U22" s="26">
        <v>79.209999999999994</v>
      </c>
      <c r="V22" s="26">
        <v>79.209999999999994</v>
      </c>
      <c r="W22" s="26">
        <v>79.209999999999994</v>
      </c>
      <c r="X22" s="26">
        <v>79.209999999999994</v>
      </c>
      <c r="Y22" s="26">
        <v>79.209999999999994</v>
      </c>
      <c r="Z22" s="26">
        <v>79.209999999999994</v>
      </c>
      <c r="AA22" s="26">
        <v>79.209999999999994</v>
      </c>
      <c r="AB22" s="23">
        <f t="shared" si="0"/>
        <v>1901.0400000000004</v>
      </c>
      <c r="AC22" s="24">
        <v>20</v>
      </c>
      <c r="AD22" s="86">
        <f>+AB22*AC22+AB23*AC23+AB24*AC24</f>
        <v>57031.200000000012</v>
      </c>
    </row>
    <row r="23" spans="2:30" x14ac:dyDescent="0.2">
      <c r="B23" s="85"/>
      <c r="C23" s="2" t="s">
        <v>30</v>
      </c>
      <c r="D23" s="26">
        <v>79.209999999999994</v>
      </c>
      <c r="E23" s="26">
        <v>79.209999999999994</v>
      </c>
      <c r="F23" s="26">
        <v>79.209999999999994</v>
      </c>
      <c r="G23" s="26">
        <v>79.209999999999994</v>
      </c>
      <c r="H23" s="26">
        <v>79.209999999999994</v>
      </c>
      <c r="I23" s="26">
        <v>79.209999999999994</v>
      </c>
      <c r="J23" s="26">
        <v>79.209999999999994</v>
      </c>
      <c r="K23" s="26">
        <v>79.209999999999994</v>
      </c>
      <c r="L23" s="26">
        <v>79.209999999999994</v>
      </c>
      <c r="M23" s="26">
        <v>79.209999999999994</v>
      </c>
      <c r="N23" s="26">
        <v>79.209999999999994</v>
      </c>
      <c r="O23" s="26">
        <v>79.209999999999994</v>
      </c>
      <c r="P23" s="26">
        <v>79.209999999999994</v>
      </c>
      <c r="Q23" s="26">
        <v>79.209999999999994</v>
      </c>
      <c r="R23" s="26">
        <v>79.209999999999994</v>
      </c>
      <c r="S23" s="26">
        <v>79.209999999999994</v>
      </c>
      <c r="T23" s="26">
        <v>79.209999999999994</v>
      </c>
      <c r="U23" s="26">
        <v>79.209999999999994</v>
      </c>
      <c r="V23" s="26">
        <v>79.209999999999994</v>
      </c>
      <c r="W23" s="26">
        <v>79.209999999999994</v>
      </c>
      <c r="X23" s="26">
        <v>79.209999999999994</v>
      </c>
      <c r="Y23" s="26">
        <v>79.209999999999994</v>
      </c>
      <c r="Z23" s="26">
        <v>79.209999999999994</v>
      </c>
      <c r="AA23" s="26">
        <v>79.209999999999994</v>
      </c>
      <c r="AB23" s="23">
        <f t="shared" si="0"/>
        <v>1901.0400000000004</v>
      </c>
      <c r="AC23" s="24">
        <v>4</v>
      </c>
      <c r="AD23" s="86"/>
    </row>
    <row r="24" spans="2:30" x14ac:dyDescent="0.2">
      <c r="B24" s="85"/>
      <c r="C24" s="2" t="s">
        <v>63</v>
      </c>
      <c r="D24" s="26">
        <v>79.209999999999994</v>
      </c>
      <c r="E24" s="26">
        <v>79.209999999999994</v>
      </c>
      <c r="F24" s="26">
        <v>79.209999999999994</v>
      </c>
      <c r="G24" s="26">
        <v>79.209999999999994</v>
      </c>
      <c r="H24" s="26">
        <v>79.209999999999994</v>
      </c>
      <c r="I24" s="26">
        <v>79.209999999999994</v>
      </c>
      <c r="J24" s="26">
        <v>79.209999999999994</v>
      </c>
      <c r="K24" s="26">
        <v>79.209999999999994</v>
      </c>
      <c r="L24" s="26">
        <v>79.209999999999994</v>
      </c>
      <c r="M24" s="26">
        <v>79.209999999999994</v>
      </c>
      <c r="N24" s="26">
        <v>79.209999999999994</v>
      </c>
      <c r="O24" s="26">
        <v>79.209999999999994</v>
      </c>
      <c r="P24" s="26">
        <v>79.209999999999994</v>
      </c>
      <c r="Q24" s="26">
        <v>79.209999999999994</v>
      </c>
      <c r="R24" s="26">
        <v>79.209999999999994</v>
      </c>
      <c r="S24" s="26">
        <v>79.209999999999994</v>
      </c>
      <c r="T24" s="26">
        <v>79.209999999999994</v>
      </c>
      <c r="U24" s="26">
        <v>79.209999999999994</v>
      </c>
      <c r="V24" s="26">
        <v>79.209999999999994</v>
      </c>
      <c r="W24" s="26">
        <v>79.209999999999994</v>
      </c>
      <c r="X24" s="26">
        <v>79.209999999999994</v>
      </c>
      <c r="Y24" s="26">
        <v>79.209999999999994</v>
      </c>
      <c r="Z24" s="26">
        <v>79.209999999999994</v>
      </c>
      <c r="AA24" s="26">
        <v>79.209999999999994</v>
      </c>
      <c r="AB24" s="23">
        <f t="shared" si="0"/>
        <v>1901.0400000000004</v>
      </c>
      <c r="AC24" s="24">
        <v>6</v>
      </c>
      <c r="AD24" s="86"/>
    </row>
    <row r="25" spans="2:30" x14ac:dyDescent="0.2">
      <c r="B25" s="85">
        <v>46935</v>
      </c>
      <c r="C25" s="2" t="s">
        <v>29</v>
      </c>
      <c r="D25" s="26">
        <v>79.209999999999994</v>
      </c>
      <c r="E25" s="26">
        <v>79.209999999999994</v>
      </c>
      <c r="F25" s="26">
        <v>79.209999999999994</v>
      </c>
      <c r="G25" s="26">
        <v>79.209999999999994</v>
      </c>
      <c r="H25" s="26">
        <v>79.209999999999994</v>
      </c>
      <c r="I25" s="26">
        <v>79.209999999999994</v>
      </c>
      <c r="J25" s="26">
        <v>79.209999999999994</v>
      </c>
      <c r="K25" s="26">
        <v>79.209999999999994</v>
      </c>
      <c r="L25" s="26">
        <v>79.209999999999994</v>
      </c>
      <c r="M25" s="26">
        <v>79.209999999999994</v>
      </c>
      <c r="N25" s="26">
        <v>79.209999999999994</v>
      </c>
      <c r="O25" s="26">
        <v>79.209999999999994</v>
      </c>
      <c r="P25" s="26">
        <v>79.209999999999994</v>
      </c>
      <c r="Q25" s="26">
        <v>79.209999999999994</v>
      </c>
      <c r="R25" s="26">
        <v>79.209999999999994</v>
      </c>
      <c r="S25" s="26">
        <v>79.209999999999994</v>
      </c>
      <c r="T25" s="26">
        <v>79.209999999999994</v>
      </c>
      <c r="U25" s="26">
        <v>79.209999999999994</v>
      </c>
      <c r="V25" s="26">
        <v>79.209999999999994</v>
      </c>
      <c r="W25" s="26">
        <v>79.209999999999994</v>
      </c>
      <c r="X25" s="26">
        <v>79.209999999999994</v>
      </c>
      <c r="Y25" s="26">
        <v>79.209999999999994</v>
      </c>
      <c r="Z25" s="26">
        <v>79.209999999999994</v>
      </c>
      <c r="AA25" s="26">
        <v>79.209999999999994</v>
      </c>
      <c r="AB25" s="23">
        <f t="shared" si="0"/>
        <v>1901.0400000000004</v>
      </c>
      <c r="AC25" s="24">
        <v>19</v>
      </c>
      <c r="AD25" s="86">
        <f>+AB25*AC25+AB26*AC26+AB27*AC27</f>
        <v>58932.24000000002</v>
      </c>
    </row>
    <row r="26" spans="2:30" x14ac:dyDescent="0.2">
      <c r="B26" s="85"/>
      <c r="C26" s="2" t="s">
        <v>30</v>
      </c>
      <c r="D26" s="26">
        <v>79.209999999999994</v>
      </c>
      <c r="E26" s="26">
        <v>79.209999999999994</v>
      </c>
      <c r="F26" s="26">
        <v>79.209999999999994</v>
      </c>
      <c r="G26" s="26">
        <v>79.209999999999994</v>
      </c>
      <c r="H26" s="26">
        <v>79.209999999999994</v>
      </c>
      <c r="I26" s="26">
        <v>79.209999999999994</v>
      </c>
      <c r="J26" s="26">
        <v>79.209999999999994</v>
      </c>
      <c r="K26" s="26">
        <v>79.209999999999994</v>
      </c>
      <c r="L26" s="26">
        <v>79.209999999999994</v>
      </c>
      <c r="M26" s="26">
        <v>79.209999999999994</v>
      </c>
      <c r="N26" s="26">
        <v>79.209999999999994</v>
      </c>
      <c r="O26" s="26">
        <v>79.209999999999994</v>
      </c>
      <c r="P26" s="26">
        <v>79.209999999999994</v>
      </c>
      <c r="Q26" s="26">
        <v>79.209999999999994</v>
      </c>
      <c r="R26" s="26">
        <v>79.209999999999994</v>
      </c>
      <c r="S26" s="26">
        <v>79.209999999999994</v>
      </c>
      <c r="T26" s="26">
        <v>79.209999999999994</v>
      </c>
      <c r="U26" s="26">
        <v>79.209999999999994</v>
      </c>
      <c r="V26" s="26">
        <v>79.209999999999994</v>
      </c>
      <c r="W26" s="26">
        <v>79.209999999999994</v>
      </c>
      <c r="X26" s="26">
        <v>79.209999999999994</v>
      </c>
      <c r="Y26" s="26">
        <v>79.209999999999994</v>
      </c>
      <c r="Z26" s="26">
        <v>79.209999999999994</v>
      </c>
      <c r="AA26" s="26">
        <v>79.209999999999994</v>
      </c>
      <c r="AB26" s="23">
        <f t="shared" si="0"/>
        <v>1901.0400000000004</v>
      </c>
      <c r="AC26" s="24">
        <v>5</v>
      </c>
      <c r="AD26" s="86"/>
    </row>
    <row r="27" spans="2:30" x14ac:dyDescent="0.2">
      <c r="B27" s="85"/>
      <c r="C27" s="2" t="s">
        <v>63</v>
      </c>
      <c r="D27" s="26">
        <v>79.209999999999994</v>
      </c>
      <c r="E27" s="26">
        <v>79.209999999999994</v>
      </c>
      <c r="F27" s="26">
        <v>79.209999999999994</v>
      </c>
      <c r="G27" s="26">
        <v>79.209999999999994</v>
      </c>
      <c r="H27" s="26">
        <v>79.209999999999994</v>
      </c>
      <c r="I27" s="26">
        <v>79.209999999999994</v>
      </c>
      <c r="J27" s="26">
        <v>79.209999999999994</v>
      </c>
      <c r="K27" s="26">
        <v>79.209999999999994</v>
      </c>
      <c r="L27" s="26">
        <v>79.209999999999994</v>
      </c>
      <c r="M27" s="26">
        <v>79.209999999999994</v>
      </c>
      <c r="N27" s="26">
        <v>79.209999999999994</v>
      </c>
      <c r="O27" s="26">
        <v>79.209999999999994</v>
      </c>
      <c r="P27" s="26">
        <v>79.209999999999994</v>
      </c>
      <c r="Q27" s="26">
        <v>79.209999999999994</v>
      </c>
      <c r="R27" s="26">
        <v>79.209999999999994</v>
      </c>
      <c r="S27" s="26">
        <v>79.209999999999994</v>
      </c>
      <c r="T27" s="26">
        <v>79.209999999999994</v>
      </c>
      <c r="U27" s="26">
        <v>79.209999999999994</v>
      </c>
      <c r="V27" s="26">
        <v>79.209999999999994</v>
      </c>
      <c r="W27" s="26">
        <v>79.209999999999994</v>
      </c>
      <c r="X27" s="26">
        <v>79.209999999999994</v>
      </c>
      <c r="Y27" s="26">
        <v>79.209999999999994</v>
      </c>
      <c r="Z27" s="26">
        <v>79.209999999999994</v>
      </c>
      <c r="AA27" s="26">
        <v>79.209999999999994</v>
      </c>
      <c r="AB27" s="23">
        <f t="shared" si="0"/>
        <v>1901.0400000000004</v>
      </c>
      <c r="AC27" s="24">
        <v>7</v>
      </c>
      <c r="AD27" s="86"/>
    </row>
    <row r="28" spans="2:30" x14ac:dyDescent="0.2">
      <c r="B28" s="85">
        <v>46966</v>
      </c>
      <c r="C28" s="2" t="s">
        <v>29</v>
      </c>
      <c r="D28" s="26">
        <v>79.209999999999994</v>
      </c>
      <c r="E28" s="26">
        <v>79.209999999999994</v>
      </c>
      <c r="F28" s="26">
        <v>79.209999999999994</v>
      </c>
      <c r="G28" s="26">
        <v>79.209999999999994</v>
      </c>
      <c r="H28" s="26">
        <v>79.209999999999994</v>
      </c>
      <c r="I28" s="26">
        <v>79.209999999999994</v>
      </c>
      <c r="J28" s="26">
        <v>79.209999999999994</v>
      </c>
      <c r="K28" s="26">
        <v>79.209999999999994</v>
      </c>
      <c r="L28" s="26">
        <v>79.209999999999994</v>
      </c>
      <c r="M28" s="26">
        <v>79.209999999999994</v>
      </c>
      <c r="N28" s="26">
        <v>79.209999999999994</v>
      </c>
      <c r="O28" s="26">
        <v>79.209999999999994</v>
      </c>
      <c r="P28" s="26">
        <v>79.209999999999994</v>
      </c>
      <c r="Q28" s="26">
        <v>79.209999999999994</v>
      </c>
      <c r="R28" s="26">
        <v>79.209999999999994</v>
      </c>
      <c r="S28" s="26">
        <v>79.209999999999994</v>
      </c>
      <c r="T28" s="26">
        <v>79.209999999999994</v>
      </c>
      <c r="U28" s="26">
        <v>79.209999999999994</v>
      </c>
      <c r="V28" s="26">
        <v>79.209999999999994</v>
      </c>
      <c r="W28" s="26">
        <v>79.209999999999994</v>
      </c>
      <c r="X28" s="26">
        <v>79.209999999999994</v>
      </c>
      <c r="Y28" s="26">
        <v>79.209999999999994</v>
      </c>
      <c r="Z28" s="26">
        <v>79.209999999999994</v>
      </c>
      <c r="AA28" s="26">
        <v>79.209999999999994</v>
      </c>
      <c r="AB28" s="23">
        <f t="shared" si="0"/>
        <v>1901.0400000000004</v>
      </c>
      <c r="AC28" s="24">
        <v>21</v>
      </c>
      <c r="AD28" s="86">
        <f>+AB28*AC28+AB29*AC29+AB30*AC30</f>
        <v>58932.24000000002</v>
      </c>
    </row>
    <row r="29" spans="2:30" x14ac:dyDescent="0.2">
      <c r="B29" s="85"/>
      <c r="C29" s="2" t="s">
        <v>30</v>
      </c>
      <c r="D29" s="26">
        <v>79.209999999999994</v>
      </c>
      <c r="E29" s="26">
        <v>79.209999999999994</v>
      </c>
      <c r="F29" s="26">
        <v>79.209999999999994</v>
      </c>
      <c r="G29" s="26">
        <v>79.209999999999994</v>
      </c>
      <c r="H29" s="26">
        <v>79.209999999999994</v>
      </c>
      <c r="I29" s="26">
        <v>79.209999999999994</v>
      </c>
      <c r="J29" s="26">
        <v>79.209999999999994</v>
      </c>
      <c r="K29" s="26">
        <v>79.209999999999994</v>
      </c>
      <c r="L29" s="26">
        <v>79.209999999999994</v>
      </c>
      <c r="M29" s="26">
        <v>79.209999999999994</v>
      </c>
      <c r="N29" s="26">
        <v>79.209999999999994</v>
      </c>
      <c r="O29" s="26">
        <v>79.209999999999994</v>
      </c>
      <c r="P29" s="26">
        <v>79.209999999999994</v>
      </c>
      <c r="Q29" s="26">
        <v>79.209999999999994</v>
      </c>
      <c r="R29" s="26">
        <v>79.209999999999994</v>
      </c>
      <c r="S29" s="26">
        <v>79.209999999999994</v>
      </c>
      <c r="T29" s="26">
        <v>79.209999999999994</v>
      </c>
      <c r="U29" s="26">
        <v>79.209999999999994</v>
      </c>
      <c r="V29" s="26">
        <v>79.209999999999994</v>
      </c>
      <c r="W29" s="26">
        <v>79.209999999999994</v>
      </c>
      <c r="X29" s="26">
        <v>79.209999999999994</v>
      </c>
      <c r="Y29" s="26">
        <v>79.209999999999994</v>
      </c>
      <c r="Z29" s="26">
        <v>79.209999999999994</v>
      </c>
      <c r="AA29" s="26">
        <v>79.209999999999994</v>
      </c>
      <c r="AB29" s="23">
        <f t="shared" si="0"/>
        <v>1901.0400000000004</v>
      </c>
      <c r="AC29" s="24">
        <v>4</v>
      </c>
      <c r="AD29" s="86"/>
    </row>
    <row r="30" spans="2:30" x14ac:dyDescent="0.2">
      <c r="B30" s="85"/>
      <c r="C30" s="2" t="s">
        <v>63</v>
      </c>
      <c r="D30" s="26">
        <v>79.209999999999994</v>
      </c>
      <c r="E30" s="26">
        <v>79.209999999999994</v>
      </c>
      <c r="F30" s="26">
        <v>79.209999999999994</v>
      </c>
      <c r="G30" s="26">
        <v>79.209999999999994</v>
      </c>
      <c r="H30" s="26">
        <v>79.209999999999994</v>
      </c>
      <c r="I30" s="26">
        <v>79.209999999999994</v>
      </c>
      <c r="J30" s="26">
        <v>79.209999999999994</v>
      </c>
      <c r="K30" s="26">
        <v>79.209999999999994</v>
      </c>
      <c r="L30" s="26">
        <v>79.209999999999994</v>
      </c>
      <c r="M30" s="26">
        <v>79.209999999999994</v>
      </c>
      <c r="N30" s="26">
        <v>79.209999999999994</v>
      </c>
      <c r="O30" s="26">
        <v>79.209999999999994</v>
      </c>
      <c r="P30" s="26">
        <v>79.209999999999994</v>
      </c>
      <c r="Q30" s="26">
        <v>79.209999999999994</v>
      </c>
      <c r="R30" s="26">
        <v>79.209999999999994</v>
      </c>
      <c r="S30" s="26">
        <v>79.209999999999994</v>
      </c>
      <c r="T30" s="26">
        <v>79.209999999999994</v>
      </c>
      <c r="U30" s="26">
        <v>79.209999999999994</v>
      </c>
      <c r="V30" s="26">
        <v>79.209999999999994</v>
      </c>
      <c r="W30" s="26">
        <v>79.209999999999994</v>
      </c>
      <c r="X30" s="26">
        <v>79.209999999999994</v>
      </c>
      <c r="Y30" s="26">
        <v>79.209999999999994</v>
      </c>
      <c r="Z30" s="26">
        <v>79.209999999999994</v>
      </c>
      <c r="AA30" s="26">
        <v>79.209999999999994</v>
      </c>
      <c r="AB30" s="23">
        <f t="shared" si="0"/>
        <v>1901.0400000000004</v>
      </c>
      <c r="AC30" s="24">
        <v>6</v>
      </c>
      <c r="AD30" s="86"/>
    </row>
    <row r="31" spans="2:30" x14ac:dyDescent="0.2">
      <c r="B31" s="85">
        <v>46997</v>
      </c>
      <c r="C31" s="2" t="s">
        <v>29</v>
      </c>
      <c r="D31" s="26">
        <v>79.209999999999994</v>
      </c>
      <c r="E31" s="26">
        <v>79.209999999999994</v>
      </c>
      <c r="F31" s="26">
        <v>79.209999999999994</v>
      </c>
      <c r="G31" s="26">
        <v>79.209999999999994</v>
      </c>
      <c r="H31" s="26">
        <v>79.209999999999994</v>
      </c>
      <c r="I31" s="26">
        <v>79.209999999999994</v>
      </c>
      <c r="J31" s="26">
        <v>79.209999999999994</v>
      </c>
      <c r="K31" s="26">
        <v>79.209999999999994</v>
      </c>
      <c r="L31" s="26">
        <v>79.209999999999994</v>
      </c>
      <c r="M31" s="26">
        <v>79.209999999999994</v>
      </c>
      <c r="N31" s="26">
        <v>79.209999999999994</v>
      </c>
      <c r="O31" s="26">
        <v>79.209999999999994</v>
      </c>
      <c r="P31" s="26">
        <v>79.209999999999994</v>
      </c>
      <c r="Q31" s="26">
        <v>79.209999999999994</v>
      </c>
      <c r="R31" s="26">
        <v>79.209999999999994</v>
      </c>
      <c r="S31" s="26">
        <v>79.209999999999994</v>
      </c>
      <c r="T31" s="26">
        <v>79.209999999999994</v>
      </c>
      <c r="U31" s="26">
        <v>79.209999999999994</v>
      </c>
      <c r="V31" s="26">
        <v>79.209999999999994</v>
      </c>
      <c r="W31" s="26">
        <v>79.209999999999994</v>
      </c>
      <c r="X31" s="26">
        <v>79.209999999999994</v>
      </c>
      <c r="Y31" s="26">
        <v>79.209999999999994</v>
      </c>
      <c r="Z31" s="26">
        <v>79.209999999999994</v>
      </c>
      <c r="AA31" s="26">
        <v>79.209999999999994</v>
      </c>
      <c r="AB31" s="23">
        <f t="shared" si="0"/>
        <v>1901.0400000000004</v>
      </c>
      <c r="AC31" s="24">
        <v>21</v>
      </c>
      <c r="AD31" s="86">
        <f>+AB31*AC31+AB32*AC32+AB33*AC33</f>
        <v>57031.200000000019</v>
      </c>
    </row>
    <row r="32" spans="2:30" x14ac:dyDescent="0.2">
      <c r="B32" s="85"/>
      <c r="C32" s="2" t="s">
        <v>30</v>
      </c>
      <c r="D32" s="26">
        <v>79.209999999999994</v>
      </c>
      <c r="E32" s="26">
        <v>79.209999999999994</v>
      </c>
      <c r="F32" s="26">
        <v>79.209999999999994</v>
      </c>
      <c r="G32" s="26">
        <v>79.209999999999994</v>
      </c>
      <c r="H32" s="26">
        <v>79.209999999999994</v>
      </c>
      <c r="I32" s="26">
        <v>79.209999999999994</v>
      </c>
      <c r="J32" s="26">
        <v>79.209999999999994</v>
      </c>
      <c r="K32" s="26">
        <v>79.209999999999994</v>
      </c>
      <c r="L32" s="26">
        <v>79.209999999999994</v>
      </c>
      <c r="M32" s="26">
        <v>79.209999999999994</v>
      </c>
      <c r="N32" s="26">
        <v>79.209999999999994</v>
      </c>
      <c r="O32" s="26">
        <v>79.209999999999994</v>
      </c>
      <c r="P32" s="26">
        <v>79.209999999999994</v>
      </c>
      <c r="Q32" s="26">
        <v>79.209999999999994</v>
      </c>
      <c r="R32" s="26">
        <v>79.209999999999994</v>
      </c>
      <c r="S32" s="26">
        <v>79.209999999999994</v>
      </c>
      <c r="T32" s="26">
        <v>79.209999999999994</v>
      </c>
      <c r="U32" s="26">
        <v>79.209999999999994</v>
      </c>
      <c r="V32" s="26">
        <v>79.209999999999994</v>
      </c>
      <c r="W32" s="26">
        <v>79.209999999999994</v>
      </c>
      <c r="X32" s="26">
        <v>79.209999999999994</v>
      </c>
      <c r="Y32" s="26">
        <v>79.209999999999994</v>
      </c>
      <c r="Z32" s="26">
        <v>79.209999999999994</v>
      </c>
      <c r="AA32" s="26">
        <v>79.209999999999994</v>
      </c>
      <c r="AB32" s="23">
        <f t="shared" si="0"/>
        <v>1901.0400000000004</v>
      </c>
      <c r="AC32" s="24">
        <v>5</v>
      </c>
      <c r="AD32" s="86"/>
    </row>
    <row r="33" spans="2:30" x14ac:dyDescent="0.2">
      <c r="B33" s="85"/>
      <c r="C33" s="2" t="s">
        <v>63</v>
      </c>
      <c r="D33" s="26">
        <v>79.209999999999994</v>
      </c>
      <c r="E33" s="26">
        <v>79.209999999999994</v>
      </c>
      <c r="F33" s="26">
        <v>79.209999999999994</v>
      </c>
      <c r="G33" s="26">
        <v>79.209999999999994</v>
      </c>
      <c r="H33" s="26">
        <v>79.209999999999994</v>
      </c>
      <c r="I33" s="26">
        <v>79.209999999999994</v>
      </c>
      <c r="J33" s="26">
        <v>79.209999999999994</v>
      </c>
      <c r="K33" s="26">
        <v>79.209999999999994</v>
      </c>
      <c r="L33" s="26">
        <v>79.209999999999994</v>
      </c>
      <c r="M33" s="26">
        <v>79.209999999999994</v>
      </c>
      <c r="N33" s="26">
        <v>79.209999999999994</v>
      </c>
      <c r="O33" s="26">
        <v>79.209999999999994</v>
      </c>
      <c r="P33" s="26">
        <v>79.209999999999994</v>
      </c>
      <c r="Q33" s="26">
        <v>79.209999999999994</v>
      </c>
      <c r="R33" s="26">
        <v>79.209999999999994</v>
      </c>
      <c r="S33" s="26">
        <v>79.209999999999994</v>
      </c>
      <c r="T33" s="26">
        <v>79.209999999999994</v>
      </c>
      <c r="U33" s="26">
        <v>79.209999999999994</v>
      </c>
      <c r="V33" s="26">
        <v>79.209999999999994</v>
      </c>
      <c r="W33" s="26">
        <v>79.209999999999994</v>
      </c>
      <c r="X33" s="26">
        <v>79.209999999999994</v>
      </c>
      <c r="Y33" s="26">
        <v>79.209999999999994</v>
      </c>
      <c r="Z33" s="26">
        <v>79.209999999999994</v>
      </c>
      <c r="AA33" s="26">
        <v>79.209999999999994</v>
      </c>
      <c r="AB33" s="23">
        <f t="shared" si="0"/>
        <v>1901.0400000000004</v>
      </c>
      <c r="AC33" s="24">
        <v>4</v>
      </c>
      <c r="AD33" s="86"/>
    </row>
    <row r="34" spans="2:30" x14ac:dyDescent="0.2">
      <c r="B34" s="85">
        <v>47027</v>
      </c>
      <c r="C34" s="2" t="s">
        <v>29</v>
      </c>
      <c r="D34" s="26">
        <v>79.209999999999994</v>
      </c>
      <c r="E34" s="26">
        <v>79.209999999999994</v>
      </c>
      <c r="F34" s="26">
        <v>79.209999999999994</v>
      </c>
      <c r="G34" s="26">
        <v>79.209999999999994</v>
      </c>
      <c r="H34" s="26">
        <v>79.209999999999994</v>
      </c>
      <c r="I34" s="26">
        <v>79.209999999999994</v>
      </c>
      <c r="J34" s="26">
        <v>79.209999999999994</v>
      </c>
      <c r="K34" s="26">
        <v>79.209999999999994</v>
      </c>
      <c r="L34" s="26">
        <v>79.209999999999994</v>
      </c>
      <c r="M34" s="26">
        <v>79.209999999999994</v>
      </c>
      <c r="N34" s="26">
        <v>79.209999999999994</v>
      </c>
      <c r="O34" s="26">
        <v>79.209999999999994</v>
      </c>
      <c r="P34" s="26">
        <v>79.209999999999994</v>
      </c>
      <c r="Q34" s="26">
        <v>79.209999999999994</v>
      </c>
      <c r="R34" s="26">
        <v>79.209999999999994</v>
      </c>
      <c r="S34" s="26">
        <v>79.209999999999994</v>
      </c>
      <c r="T34" s="26">
        <v>79.209999999999994</v>
      </c>
      <c r="U34" s="26">
        <v>79.209999999999994</v>
      </c>
      <c r="V34" s="26">
        <v>79.209999999999994</v>
      </c>
      <c r="W34" s="26">
        <v>79.209999999999994</v>
      </c>
      <c r="X34" s="26">
        <v>79.209999999999994</v>
      </c>
      <c r="Y34" s="26">
        <v>79.209999999999994</v>
      </c>
      <c r="Z34" s="26">
        <v>79.209999999999994</v>
      </c>
      <c r="AA34" s="26">
        <v>79.209999999999994</v>
      </c>
      <c r="AB34" s="23">
        <f t="shared" si="0"/>
        <v>1901.0400000000004</v>
      </c>
      <c r="AC34" s="24">
        <v>21</v>
      </c>
      <c r="AD34" s="86">
        <f>+AB34*AC34+AB35*AC35+AB36*AC36</f>
        <v>58932.24000000002</v>
      </c>
    </row>
    <row r="35" spans="2:30" x14ac:dyDescent="0.2">
      <c r="B35" s="85"/>
      <c r="C35" s="2" t="s">
        <v>30</v>
      </c>
      <c r="D35" s="26">
        <v>79.209999999999994</v>
      </c>
      <c r="E35" s="26">
        <v>79.209999999999994</v>
      </c>
      <c r="F35" s="26">
        <v>79.209999999999994</v>
      </c>
      <c r="G35" s="26">
        <v>79.209999999999994</v>
      </c>
      <c r="H35" s="26">
        <v>79.209999999999994</v>
      </c>
      <c r="I35" s="26">
        <v>79.209999999999994</v>
      </c>
      <c r="J35" s="26">
        <v>79.209999999999994</v>
      </c>
      <c r="K35" s="26">
        <v>79.209999999999994</v>
      </c>
      <c r="L35" s="26">
        <v>79.209999999999994</v>
      </c>
      <c r="M35" s="26">
        <v>79.209999999999994</v>
      </c>
      <c r="N35" s="26">
        <v>79.209999999999994</v>
      </c>
      <c r="O35" s="26">
        <v>79.209999999999994</v>
      </c>
      <c r="P35" s="26">
        <v>79.209999999999994</v>
      </c>
      <c r="Q35" s="26">
        <v>79.209999999999994</v>
      </c>
      <c r="R35" s="26">
        <v>79.209999999999994</v>
      </c>
      <c r="S35" s="26">
        <v>79.209999999999994</v>
      </c>
      <c r="T35" s="26">
        <v>79.209999999999994</v>
      </c>
      <c r="U35" s="26">
        <v>79.209999999999994</v>
      </c>
      <c r="V35" s="26">
        <v>79.209999999999994</v>
      </c>
      <c r="W35" s="26">
        <v>79.209999999999994</v>
      </c>
      <c r="X35" s="26">
        <v>79.209999999999994</v>
      </c>
      <c r="Y35" s="26">
        <v>79.209999999999994</v>
      </c>
      <c r="Z35" s="26">
        <v>79.209999999999994</v>
      </c>
      <c r="AA35" s="26">
        <v>79.209999999999994</v>
      </c>
      <c r="AB35" s="23">
        <f t="shared" si="0"/>
        <v>1901.0400000000004</v>
      </c>
      <c r="AC35" s="24">
        <v>4</v>
      </c>
      <c r="AD35" s="86"/>
    </row>
    <row r="36" spans="2:30" x14ac:dyDescent="0.2">
      <c r="B36" s="85"/>
      <c r="C36" s="2" t="s">
        <v>63</v>
      </c>
      <c r="D36" s="26">
        <v>79.209999999999994</v>
      </c>
      <c r="E36" s="26">
        <v>79.209999999999994</v>
      </c>
      <c r="F36" s="26">
        <v>79.209999999999994</v>
      </c>
      <c r="G36" s="26">
        <v>79.209999999999994</v>
      </c>
      <c r="H36" s="26">
        <v>79.209999999999994</v>
      </c>
      <c r="I36" s="26">
        <v>79.209999999999994</v>
      </c>
      <c r="J36" s="26">
        <v>79.209999999999994</v>
      </c>
      <c r="K36" s="26">
        <v>79.209999999999994</v>
      </c>
      <c r="L36" s="26">
        <v>79.209999999999994</v>
      </c>
      <c r="M36" s="26">
        <v>79.209999999999994</v>
      </c>
      <c r="N36" s="26">
        <v>79.209999999999994</v>
      </c>
      <c r="O36" s="26">
        <v>79.209999999999994</v>
      </c>
      <c r="P36" s="26">
        <v>79.209999999999994</v>
      </c>
      <c r="Q36" s="26">
        <v>79.209999999999994</v>
      </c>
      <c r="R36" s="26">
        <v>79.209999999999994</v>
      </c>
      <c r="S36" s="26">
        <v>79.209999999999994</v>
      </c>
      <c r="T36" s="26">
        <v>79.209999999999994</v>
      </c>
      <c r="U36" s="26">
        <v>79.209999999999994</v>
      </c>
      <c r="V36" s="26">
        <v>79.209999999999994</v>
      </c>
      <c r="W36" s="26">
        <v>79.209999999999994</v>
      </c>
      <c r="X36" s="26">
        <v>79.209999999999994</v>
      </c>
      <c r="Y36" s="26">
        <v>79.209999999999994</v>
      </c>
      <c r="Z36" s="26">
        <v>79.209999999999994</v>
      </c>
      <c r="AA36" s="26">
        <v>79.209999999999994</v>
      </c>
      <c r="AB36" s="23">
        <f t="shared" si="0"/>
        <v>1901.0400000000004</v>
      </c>
      <c r="AC36" s="24">
        <v>6</v>
      </c>
      <c r="AD36" s="86"/>
    </row>
    <row r="37" spans="2:30" x14ac:dyDescent="0.2">
      <c r="B37" s="85">
        <v>47058</v>
      </c>
      <c r="C37" s="2" t="s">
        <v>29</v>
      </c>
      <c r="D37" s="26">
        <v>79.209999999999994</v>
      </c>
      <c r="E37" s="26">
        <v>79.209999999999994</v>
      </c>
      <c r="F37" s="26">
        <v>79.209999999999994</v>
      </c>
      <c r="G37" s="26">
        <v>79.209999999999994</v>
      </c>
      <c r="H37" s="26">
        <v>79.209999999999994</v>
      </c>
      <c r="I37" s="26">
        <v>79.209999999999994</v>
      </c>
      <c r="J37" s="26">
        <v>79.209999999999994</v>
      </c>
      <c r="K37" s="26">
        <v>79.209999999999994</v>
      </c>
      <c r="L37" s="26">
        <v>79.209999999999994</v>
      </c>
      <c r="M37" s="26">
        <v>79.209999999999994</v>
      </c>
      <c r="N37" s="26">
        <v>79.209999999999994</v>
      </c>
      <c r="O37" s="26">
        <v>79.209999999999994</v>
      </c>
      <c r="P37" s="26">
        <v>79.209999999999994</v>
      </c>
      <c r="Q37" s="26">
        <v>79.209999999999994</v>
      </c>
      <c r="R37" s="26">
        <v>79.209999999999994</v>
      </c>
      <c r="S37" s="26">
        <v>79.209999999999994</v>
      </c>
      <c r="T37" s="26">
        <v>79.209999999999994</v>
      </c>
      <c r="U37" s="26">
        <v>79.209999999999994</v>
      </c>
      <c r="V37" s="26">
        <v>79.209999999999994</v>
      </c>
      <c r="W37" s="26">
        <v>79.209999999999994</v>
      </c>
      <c r="X37" s="26">
        <v>79.209999999999994</v>
      </c>
      <c r="Y37" s="26">
        <v>79.209999999999994</v>
      </c>
      <c r="Z37" s="26">
        <v>79.209999999999994</v>
      </c>
      <c r="AA37" s="26">
        <v>79.209999999999994</v>
      </c>
      <c r="AB37" s="23">
        <f t="shared" si="0"/>
        <v>1901.0400000000004</v>
      </c>
      <c r="AC37" s="24">
        <v>20</v>
      </c>
      <c r="AD37" s="86">
        <f>+AB37*AC37+AB38*AC38+AB39*AC39</f>
        <v>57031.200000000012</v>
      </c>
    </row>
    <row r="38" spans="2:30" x14ac:dyDescent="0.2">
      <c r="B38" s="85"/>
      <c r="C38" s="2" t="s">
        <v>30</v>
      </c>
      <c r="D38" s="26">
        <v>79.209999999999994</v>
      </c>
      <c r="E38" s="26">
        <v>79.209999999999994</v>
      </c>
      <c r="F38" s="26">
        <v>79.209999999999994</v>
      </c>
      <c r="G38" s="26">
        <v>79.209999999999994</v>
      </c>
      <c r="H38" s="26">
        <v>79.209999999999994</v>
      </c>
      <c r="I38" s="26">
        <v>79.209999999999994</v>
      </c>
      <c r="J38" s="26">
        <v>79.209999999999994</v>
      </c>
      <c r="K38" s="26">
        <v>79.209999999999994</v>
      </c>
      <c r="L38" s="26">
        <v>79.209999999999994</v>
      </c>
      <c r="M38" s="26">
        <v>79.209999999999994</v>
      </c>
      <c r="N38" s="26">
        <v>79.209999999999994</v>
      </c>
      <c r="O38" s="26">
        <v>79.209999999999994</v>
      </c>
      <c r="P38" s="26">
        <v>79.209999999999994</v>
      </c>
      <c r="Q38" s="26">
        <v>79.209999999999994</v>
      </c>
      <c r="R38" s="26">
        <v>79.209999999999994</v>
      </c>
      <c r="S38" s="26">
        <v>79.209999999999994</v>
      </c>
      <c r="T38" s="26">
        <v>79.209999999999994</v>
      </c>
      <c r="U38" s="26">
        <v>79.209999999999994</v>
      </c>
      <c r="V38" s="26">
        <v>79.209999999999994</v>
      </c>
      <c r="W38" s="26">
        <v>79.209999999999994</v>
      </c>
      <c r="X38" s="26">
        <v>79.209999999999994</v>
      </c>
      <c r="Y38" s="26">
        <v>79.209999999999994</v>
      </c>
      <c r="Z38" s="26">
        <v>79.209999999999994</v>
      </c>
      <c r="AA38" s="26">
        <v>79.209999999999994</v>
      </c>
      <c r="AB38" s="23">
        <f t="shared" si="0"/>
        <v>1901.0400000000004</v>
      </c>
      <c r="AC38" s="24">
        <v>4</v>
      </c>
      <c r="AD38" s="86"/>
    </row>
    <row r="39" spans="2:30" x14ac:dyDescent="0.2">
      <c r="B39" s="85"/>
      <c r="C39" s="2" t="s">
        <v>63</v>
      </c>
      <c r="D39" s="26">
        <v>79.209999999999994</v>
      </c>
      <c r="E39" s="26">
        <v>79.209999999999994</v>
      </c>
      <c r="F39" s="26">
        <v>79.209999999999994</v>
      </c>
      <c r="G39" s="26">
        <v>79.209999999999994</v>
      </c>
      <c r="H39" s="26">
        <v>79.209999999999994</v>
      </c>
      <c r="I39" s="26">
        <v>79.209999999999994</v>
      </c>
      <c r="J39" s="26">
        <v>79.209999999999994</v>
      </c>
      <c r="K39" s="26">
        <v>79.209999999999994</v>
      </c>
      <c r="L39" s="26">
        <v>79.209999999999994</v>
      </c>
      <c r="M39" s="26">
        <v>79.209999999999994</v>
      </c>
      <c r="N39" s="26">
        <v>79.209999999999994</v>
      </c>
      <c r="O39" s="26">
        <v>79.209999999999994</v>
      </c>
      <c r="P39" s="26">
        <v>79.209999999999994</v>
      </c>
      <c r="Q39" s="26">
        <v>79.209999999999994</v>
      </c>
      <c r="R39" s="26">
        <v>79.209999999999994</v>
      </c>
      <c r="S39" s="26">
        <v>79.209999999999994</v>
      </c>
      <c r="T39" s="26">
        <v>79.209999999999994</v>
      </c>
      <c r="U39" s="26">
        <v>79.209999999999994</v>
      </c>
      <c r="V39" s="26">
        <v>79.209999999999994</v>
      </c>
      <c r="W39" s="26">
        <v>79.209999999999994</v>
      </c>
      <c r="X39" s="26">
        <v>79.209999999999994</v>
      </c>
      <c r="Y39" s="26">
        <v>79.209999999999994</v>
      </c>
      <c r="Z39" s="26">
        <v>79.209999999999994</v>
      </c>
      <c r="AA39" s="26">
        <v>79.209999999999994</v>
      </c>
      <c r="AB39" s="23">
        <f t="shared" si="0"/>
        <v>1901.0400000000004</v>
      </c>
      <c r="AC39" s="24">
        <v>6</v>
      </c>
      <c r="AD39" s="86"/>
    </row>
    <row r="40" spans="2:30" x14ac:dyDescent="0.2">
      <c r="B40" s="85">
        <v>47088</v>
      </c>
      <c r="C40" s="2" t="s">
        <v>29</v>
      </c>
      <c r="D40" s="26">
        <v>79.209999999999994</v>
      </c>
      <c r="E40" s="26">
        <v>79.209999999999994</v>
      </c>
      <c r="F40" s="26">
        <v>79.209999999999994</v>
      </c>
      <c r="G40" s="26">
        <v>79.209999999999994</v>
      </c>
      <c r="H40" s="26">
        <v>79.209999999999994</v>
      </c>
      <c r="I40" s="26">
        <v>79.209999999999994</v>
      </c>
      <c r="J40" s="26">
        <v>79.209999999999994</v>
      </c>
      <c r="K40" s="26">
        <v>79.209999999999994</v>
      </c>
      <c r="L40" s="26">
        <v>79.209999999999994</v>
      </c>
      <c r="M40" s="26">
        <v>79.209999999999994</v>
      </c>
      <c r="N40" s="26">
        <v>79.209999999999994</v>
      </c>
      <c r="O40" s="26">
        <v>79.209999999999994</v>
      </c>
      <c r="P40" s="26">
        <v>79.209999999999994</v>
      </c>
      <c r="Q40" s="26">
        <v>79.209999999999994</v>
      </c>
      <c r="R40" s="26">
        <v>79.209999999999994</v>
      </c>
      <c r="S40" s="26">
        <v>79.209999999999994</v>
      </c>
      <c r="T40" s="26">
        <v>79.209999999999994</v>
      </c>
      <c r="U40" s="26">
        <v>79.209999999999994</v>
      </c>
      <c r="V40" s="26">
        <v>79.209999999999994</v>
      </c>
      <c r="W40" s="26">
        <v>79.209999999999994</v>
      </c>
      <c r="X40" s="26">
        <v>79.209999999999994</v>
      </c>
      <c r="Y40" s="26">
        <v>79.209999999999994</v>
      </c>
      <c r="Z40" s="26">
        <v>79.209999999999994</v>
      </c>
      <c r="AA40" s="26">
        <v>79.209999999999994</v>
      </c>
      <c r="AB40" s="23">
        <f t="shared" si="0"/>
        <v>1901.0400000000004</v>
      </c>
      <c r="AC40" s="24">
        <v>19</v>
      </c>
      <c r="AD40" s="86">
        <f>+AB40*AC40+AB41*AC41+AB42*AC42</f>
        <v>58932.24000000002</v>
      </c>
    </row>
    <row r="41" spans="2:30" x14ac:dyDescent="0.2">
      <c r="B41" s="85"/>
      <c r="C41" s="2" t="s">
        <v>30</v>
      </c>
      <c r="D41" s="26">
        <v>79.209999999999994</v>
      </c>
      <c r="E41" s="26">
        <v>79.209999999999994</v>
      </c>
      <c r="F41" s="26">
        <v>79.209999999999994</v>
      </c>
      <c r="G41" s="26">
        <v>79.209999999999994</v>
      </c>
      <c r="H41" s="26">
        <v>79.209999999999994</v>
      </c>
      <c r="I41" s="26">
        <v>79.209999999999994</v>
      </c>
      <c r="J41" s="26">
        <v>79.209999999999994</v>
      </c>
      <c r="K41" s="26">
        <v>79.209999999999994</v>
      </c>
      <c r="L41" s="26">
        <v>79.209999999999994</v>
      </c>
      <c r="M41" s="26">
        <v>79.209999999999994</v>
      </c>
      <c r="N41" s="26">
        <v>79.209999999999994</v>
      </c>
      <c r="O41" s="26">
        <v>79.209999999999994</v>
      </c>
      <c r="P41" s="26">
        <v>79.209999999999994</v>
      </c>
      <c r="Q41" s="26">
        <v>79.209999999999994</v>
      </c>
      <c r="R41" s="26">
        <v>79.209999999999994</v>
      </c>
      <c r="S41" s="26">
        <v>79.209999999999994</v>
      </c>
      <c r="T41" s="26">
        <v>79.209999999999994</v>
      </c>
      <c r="U41" s="26">
        <v>79.209999999999994</v>
      </c>
      <c r="V41" s="26">
        <v>79.209999999999994</v>
      </c>
      <c r="W41" s="26">
        <v>79.209999999999994</v>
      </c>
      <c r="X41" s="26">
        <v>79.209999999999994</v>
      </c>
      <c r="Y41" s="26">
        <v>79.209999999999994</v>
      </c>
      <c r="Z41" s="26">
        <v>79.209999999999994</v>
      </c>
      <c r="AA41" s="26">
        <v>79.209999999999994</v>
      </c>
      <c r="AB41" s="23">
        <f t="shared" si="0"/>
        <v>1901.0400000000004</v>
      </c>
      <c r="AC41" s="24">
        <v>5</v>
      </c>
      <c r="AD41" s="86"/>
    </row>
    <row r="42" spans="2:30" x14ac:dyDescent="0.2">
      <c r="B42" s="85"/>
      <c r="C42" s="2" t="s">
        <v>63</v>
      </c>
      <c r="D42" s="26">
        <v>79.209999999999994</v>
      </c>
      <c r="E42" s="26">
        <v>79.209999999999994</v>
      </c>
      <c r="F42" s="26">
        <v>79.209999999999994</v>
      </c>
      <c r="G42" s="26">
        <v>79.209999999999994</v>
      </c>
      <c r="H42" s="26">
        <v>79.209999999999994</v>
      </c>
      <c r="I42" s="26">
        <v>79.209999999999994</v>
      </c>
      <c r="J42" s="26">
        <v>79.209999999999994</v>
      </c>
      <c r="K42" s="26">
        <v>79.209999999999994</v>
      </c>
      <c r="L42" s="26">
        <v>79.209999999999994</v>
      </c>
      <c r="M42" s="26">
        <v>79.209999999999994</v>
      </c>
      <c r="N42" s="26">
        <v>79.209999999999994</v>
      </c>
      <c r="O42" s="26">
        <v>79.209999999999994</v>
      </c>
      <c r="P42" s="26">
        <v>79.209999999999994</v>
      </c>
      <c r="Q42" s="26">
        <v>79.209999999999994</v>
      </c>
      <c r="R42" s="26">
        <v>79.209999999999994</v>
      </c>
      <c r="S42" s="26">
        <v>79.209999999999994</v>
      </c>
      <c r="T42" s="26">
        <v>79.209999999999994</v>
      </c>
      <c r="U42" s="26">
        <v>79.209999999999994</v>
      </c>
      <c r="V42" s="26">
        <v>79.209999999999994</v>
      </c>
      <c r="W42" s="26">
        <v>79.209999999999994</v>
      </c>
      <c r="X42" s="26">
        <v>79.209999999999994</v>
      </c>
      <c r="Y42" s="26">
        <v>79.209999999999994</v>
      </c>
      <c r="Z42" s="26">
        <v>79.209999999999994</v>
      </c>
      <c r="AA42" s="26">
        <v>79.209999999999994</v>
      </c>
      <c r="AB42" s="23">
        <f t="shared" si="0"/>
        <v>1901.0400000000004</v>
      </c>
      <c r="AC42" s="24">
        <v>7</v>
      </c>
      <c r="AD42" s="86"/>
    </row>
    <row r="43" spans="2:30" ht="15.75" x14ac:dyDescent="0.25">
      <c r="AA43" s="87" t="s">
        <v>31</v>
      </c>
      <c r="AB43" s="88"/>
      <c r="AC43" s="89"/>
      <c r="AD43" s="25">
        <f>SUM(AD7:AD42)</f>
        <v>695780.64000000013</v>
      </c>
    </row>
    <row r="45" spans="2:30" x14ac:dyDescent="0.2">
      <c r="D45" s="75"/>
    </row>
  </sheetData>
  <mergeCells count="25">
    <mergeCell ref="AA43:AC43"/>
    <mergeCell ref="B34:B36"/>
    <mergeCell ref="AD34:AD36"/>
    <mergeCell ref="B37:B39"/>
    <mergeCell ref="AD37:AD39"/>
    <mergeCell ref="B40:B42"/>
    <mergeCell ref="AD40:AD42"/>
    <mergeCell ref="B25:B27"/>
    <mergeCell ref="AD25:AD27"/>
    <mergeCell ref="B28:B30"/>
    <mergeCell ref="AD28:AD30"/>
    <mergeCell ref="B31:B33"/>
    <mergeCell ref="AD31:AD33"/>
    <mergeCell ref="B16:B18"/>
    <mergeCell ref="AD16:AD18"/>
    <mergeCell ref="B19:B21"/>
    <mergeCell ref="AD19:AD21"/>
    <mergeCell ref="B22:B24"/>
    <mergeCell ref="AD22:AD24"/>
    <mergeCell ref="B7:B9"/>
    <mergeCell ref="AD7:AD9"/>
    <mergeCell ref="B10:B12"/>
    <mergeCell ref="AD10:AD12"/>
    <mergeCell ref="B13:B15"/>
    <mergeCell ref="AD13:AD15"/>
  </mergeCells>
  <conditionalFormatting sqref="D7:AA42">
    <cfRule type="cellIs" dxfId="7" priority="5" operator="lessThan">
      <formula>0</formula>
    </cfRule>
    <cfRule type="cellIs" dxfId="6" priority="6" operator="equal">
      <formula>"&gt;0"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7EDC-66AC-4736-ACD3-433A283053B0}">
  <sheetPr>
    <tabColor theme="7" tint="0.39997558519241921"/>
  </sheetPr>
  <dimension ref="B2:M24"/>
  <sheetViews>
    <sheetView showGridLines="0" zoomScale="80" zoomScaleNormal="80" workbookViewId="0">
      <selection activeCell="C18" sqref="C18"/>
    </sheetView>
  </sheetViews>
  <sheetFormatPr baseColWidth="10" defaultColWidth="10.88671875" defaultRowHeight="15" x14ac:dyDescent="0.2"/>
  <cols>
    <col min="1" max="1" width="10.88671875" style="3"/>
    <col min="2" max="2" width="10.88671875" style="3" customWidth="1"/>
    <col min="3" max="4" width="12.109375" style="3" customWidth="1"/>
    <col min="5" max="5" width="13.109375" style="3" customWidth="1"/>
    <col min="6" max="6" width="12.5546875" style="3" customWidth="1"/>
    <col min="7" max="7" width="8.109375" style="3" customWidth="1"/>
    <col min="8" max="8" width="12.5546875" style="3" customWidth="1"/>
    <col min="9" max="16384" width="10.88671875" style="3"/>
  </cols>
  <sheetData>
    <row r="2" spans="2:8" x14ac:dyDescent="0.2">
      <c r="B2" s="45"/>
      <c r="C2" s="46"/>
      <c r="D2" s="46"/>
      <c r="E2" s="46"/>
      <c r="F2" s="46"/>
      <c r="G2" s="46"/>
      <c r="H2" s="47"/>
    </row>
    <row r="3" spans="2:8" ht="18" x14ac:dyDescent="0.2">
      <c r="B3" s="39"/>
      <c r="C3" s="48" t="s">
        <v>32</v>
      </c>
      <c r="H3" s="40"/>
    </row>
    <row r="4" spans="2:8" ht="18" x14ac:dyDescent="0.2">
      <c r="B4" s="39"/>
      <c r="C4" s="48" t="s">
        <v>33</v>
      </c>
      <c r="H4" s="40"/>
    </row>
    <row r="5" spans="2:8" ht="18" x14ac:dyDescent="0.2">
      <c r="B5" s="39"/>
      <c r="C5" s="48" t="s">
        <v>62</v>
      </c>
      <c r="H5" s="40"/>
    </row>
    <row r="6" spans="2:8" ht="18" x14ac:dyDescent="0.2">
      <c r="B6" s="39"/>
      <c r="C6" s="48"/>
      <c r="H6" s="40"/>
    </row>
    <row r="7" spans="2:8" ht="18" x14ac:dyDescent="0.2">
      <c r="B7" s="39"/>
      <c r="C7" s="48" t="s">
        <v>54</v>
      </c>
      <c r="H7" s="40"/>
    </row>
    <row r="8" spans="2:8" x14ac:dyDescent="0.2">
      <c r="B8" s="39"/>
      <c r="H8" s="40"/>
    </row>
    <row r="9" spans="2:8" ht="18" x14ac:dyDescent="0.2">
      <c r="B9" s="39"/>
      <c r="C9" s="13" t="s">
        <v>77</v>
      </c>
      <c r="H9" s="40"/>
    </row>
    <row r="10" spans="2:8" x14ac:dyDescent="0.2">
      <c r="B10" s="39"/>
      <c r="H10" s="40"/>
    </row>
    <row r="11" spans="2:8" ht="15.75" x14ac:dyDescent="0.25">
      <c r="B11" s="39"/>
      <c r="C11" s="49"/>
      <c r="H11" s="50"/>
    </row>
    <row r="12" spans="2:8" ht="45" x14ac:dyDescent="0.25">
      <c r="B12" s="39"/>
      <c r="C12" s="34" t="s">
        <v>46</v>
      </c>
      <c r="D12" s="34" t="s">
        <v>34</v>
      </c>
      <c r="E12" s="6" t="s">
        <v>91</v>
      </c>
      <c r="F12" s="6" t="s">
        <v>56</v>
      </c>
      <c r="G12" s="51"/>
      <c r="H12" s="50"/>
    </row>
    <row r="13" spans="2:8" ht="15.75" x14ac:dyDescent="0.25">
      <c r="B13" s="39"/>
      <c r="C13" s="52">
        <v>2028</v>
      </c>
      <c r="D13" s="53">
        <f>P3_Anexo_1_2028!AD43</f>
        <v>695780.64000000013</v>
      </c>
      <c r="E13" s="58"/>
      <c r="F13" s="58"/>
      <c r="G13" s="38"/>
      <c r="H13" s="50"/>
    </row>
    <row r="14" spans="2:8" ht="15.75" x14ac:dyDescent="0.25">
      <c r="B14" s="39"/>
      <c r="C14" s="55" t="s">
        <v>35</v>
      </c>
      <c r="D14" s="56">
        <f>SUM(D13:D13)</f>
        <v>695780.64000000013</v>
      </c>
      <c r="H14" s="50"/>
    </row>
    <row r="15" spans="2:8" ht="15.75" x14ac:dyDescent="0.25">
      <c r="B15" s="39"/>
      <c r="H15" s="50"/>
    </row>
    <row r="16" spans="2:8" x14ac:dyDescent="0.2">
      <c r="B16" s="39"/>
      <c r="H16" s="40"/>
    </row>
    <row r="17" spans="2:13" x14ac:dyDescent="0.2">
      <c r="B17" s="39"/>
      <c r="C17" s="41" t="s">
        <v>36</v>
      </c>
      <c r="H17" s="40"/>
      <c r="M17" s="57"/>
    </row>
    <row r="18" spans="2:13" x14ac:dyDescent="0.2">
      <c r="B18" s="39"/>
      <c r="C18" s="41" t="s">
        <v>96</v>
      </c>
      <c r="H18" s="40"/>
    </row>
    <row r="19" spans="2:13" x14ac:dyDescent="0.2">
      <c r="B19" s="39"/>
      <c r="C19" s="41" t="s">
        <v>93</v>
      </c>
      <c r="H19" s="40"/>
    </row>
    <row r="20" spans="2:13" x14ac:dyDescent="0.2">
      <c r="B20" s="39"/>
      <c r="C20" s="41" t="s">
        <v>37</v>
      </c>
      <c r="H20" s="40"/>
    </row>
    <row r="21" spans="2:13" x14ac:dyDescent="0.2">
      <c r="B21" s="39"/>
      <c r="C21" s="41" t="s">
        <v>92</v>
      </c>
      <c r="H21" s="40"/>
    </row>
    <row r="22" spans="2:13" x14ac:dyDescent="0.2">
      <c r="B22" s="39"/>
      <c r="C22" s="41"/>
      <c r="H22" s="40"/>
    </row>
    <row r="23" spans="2:13" x14ac:dyDescent="0.2">
      <c r="B23" s="39"/>
      <c r="C23" s="41"/>
      <c r="H23" s="40"/>
    </row>
    <row r="24" spans="2:13" x14ac:dyDescent="0.2">
      <c r="B24" s="42"/>
      <c r="C24" s="43"/>
      <c r="D24" s="43"/>
      <c r="E24" s="43"/>
      <c r="F24" s="43"/>
      <c r="G24" s="43"/>
      <c r="H24" s="4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5DB4-6CEF-457A-9FFD-EF7F88D2226A}">
  <sheetPr>
    <tabColor theme="9" tint="0.39997558519241921"/>
  </sheetPr>
  <dimension ref="B2:AG45"/>
  <sheetViews>
    <sheetView showGridLines="0" zoomScale="60" zoomScaleNormal="6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:AA7"/>
    </sheetView>
  </sheetViews>
  <sheetFormatPr baseColWidth="10" defaultRowHeight="15" x14ac:dyDescent="0.2"/>
  <cols>
    <col min="1" max="1" width="3.109375" customWidth="1"/>
    <col min="4" max="6" width="8.109375" bestFit="1" customWidth="1"/>
    <col min="7" max="9" width="7.6640625" bestFit="1" customWidth="1"/>
    <col min="10" max="14" width="8.109375" bestFit="1" customWidth="1"/>
    <col min="15" max="15" width="8.44140625" bestFit="1" customWidth="1"/>
    <col min="16" max="18" width="8.77734375" bestFit="1" customWidth="1"/>
    <col min="19" max="19" width="8.44140625" bestFit="1" customWidth="1"/>
    <col min="20" max="20" width="8.77734375" bestFit="1" customWidth="1"/>
    <col min="21" max="21" width="8.44140625" bestFit="1" customWidth="1"/>
    <col min="22" max="22" width="8.77734375" bestFit="1" customWidth="1"/>
    <col min="23" max="23" width="9.21875" bestFit="1" customWidth="1"/>
    <col min="24" max="26" width="8.77734375" bestFit="1" customWidth="1"/>
    <col min="27" max="27" width="8.109375" bestFit="1" customWidth="1"/>
    <col min="28" max="28" width="7.109375" bestFit="1" customWidth="1"/>
    <col min="29" max="29" width="8.6640625" bestFit="1" customWidth="1"/>
    <col min="30" max="30" width="11.5546875" bestFit="1" customWidth="1"/>
  </cols>
  <sheetData>
    <row r="2" spans="2:33" ht="23.25" x14ac:dyDescent="0.35">
      <c r="B2" s="1" t="s">
        <v>55</v>
      </c>
      <c r="AG2" s="80" t="s">
        <v>95</v>
      </c>
    </row>
    <row r="3" spans="2:33" ht="23.25" x14ac:dyDescent="0.35">
      <c r="B3" s="1" t="s">
        <v>65</v>
      </c>
    </row>
    <row r="4" spans="2:33" ht="23.25" x14ac:dyDescent="0.35">
      <c r="B4" s="1"/>
    </row>
    <row r="5" spans="2:33" ht="23.25" x14ac:dyDescent="0.35">
      <c r="B5" s="1" t="s">
        <v>48</v>
      </c>
    </row>
    <row r="6" spans="2:33" x14ac:dyDescent="0.2">
      <c r="B6" s="22" t="s">
        <v>0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  <c r="J6" s="22" t="s">
        <v>8</v>
      </c>
      <c r="K6" s="22" t="s">
        <v>9</v>
      </c>
      <c r="L6" s="22" t="s">
        <v>10</v>
      </c>
      <c r="M6" s="22" t="s">
        <v>11</v>
      </c>
      <c r="N6" s="22" t="s">
        <v>12</v>
      </c>
      <c r="O6" s="22" t="s">
        <v>13</v>
      </c>
      <c r="P6" s="22" t="s">
        <v>14</v>
      </c>
      <c r="Q6" s="22" t="s">
        <v>15</v>
      </c>
      <c r="R6" s="22" t="s">
        <v>16</v>
      </c>
      <c r="S6" s="22" t="s">
        <v>17</v>
      </c>
      <c r="T6" s="22" t="s">
        <v>18</v>
      </c>
      <c r="U6" s="22" t="s">
        <v>19</v>
      </c>
      <c r="V6" s="22" t="s">
        <v>20</v>
      </c>
      <c r="W6" s="22" t="s">
        <v>21</v>
      </c>
      <c r="X6" s="22" t="s">
        <v>22</v>
      </c>
      <c r="Y6" s="22" t="s">
        <v>23</v>
      </c>
      <c r="Z6" s="22" t="s">
        <v>24</v>
      </c>
      <c r="AA6" s="22" t="s">
        <v>25</v>
      </c>
      <c r="AB6" s="22" t="s">
        <v>26</v>
      </c>
      <c r="AC6" s="22" t="s">
        <v>27</v>
      </c>
      <c r="AD6" s="22" t="s">
        <v>28</v>
      </c>
    </row>
    <row r="7" spans="2:33" x14ac:dyDescent="0.2">
      <c r="B7" s="85">
        <v>46753</v>
      </c>
      <c r="C7" s="2" t="s">
        <v>29</v>
      </c>
      <c r="D7" s="26">
        <v>61.43</v>
      </c>
      <c r="E7" s="26">
        <v>43.53</v>
      </c>
      <c r="F7" s="26">
        <v>27.34</v>
      </c>
      <c r="G7" s="26">
        <v>22.17</v>
      </c>
      <c r="H7" s="26">
        <v>21.06</v>
      </c>
      <c r="I7" s="26">
        <v>19.32</v>
      </c>
      <c r="J7" s="26">
        <v>38.82</v>
      </c>
      <c r="K7" s="26">
        <v>36</v>
      </c>
      <c r="L7" s="26">
        <v>59.86</v>
      </c>
      <c r="M7" s="26">
        <v>76.760000000000005</v>
      </c>
      <c r="N7" s="26">
        <v>98.2</v>
      </c>
      <c r="O7" s="26">
        <v>121.05</v>
      </c>
      <c r="P7" s="26">
        <v>138.02000000000001</v>
      </c>
      <c r="Q7" s="26">
        <v>126.98</v>
      </c>
      <c r="R7" s="26">
        <v>116.35</v>
      </c>
      <c r="S7" s="26">
        <v>113.11</v>
      </c>
      <c r="T7" s="26">
        <v>116.11</v>
      </c>
      <c r="U7" s="26">
        <v>161.68</v>
      </c>
      <c r="V7" s="26">
        <v>174.21</v>
      </c>
      <c r="W7" s="26">
        <v>216.23</v>
      </c>
      <c r="X7" s="26">
        <v>213.64</v>
      </c>
      <c r="Y7" s="26">
        <v>197.65</v>
      </c>
      <c r="Z7" s="26">
        <v>159.32</v>
      </c>
      <c r="AA7" s="26">
        <v>79.989999999999995</v>
      </c>
      <c r="AB7" s="23">
        <f>SUM(D7:AA7)</f>
        <v>2438.83</v>
      </c>
      <c r="AC7" s="24">
        <v>20</v>
      </c>
      <c r="AD7" s="86">
        <f>+AB7*AC7+AB8*AC8+AB9*AC9</f>
        <v>70038.929999999993</v>
      </c>
    </row>
    <row r="8" spans="2:33" x14ac:dyDescent="0.2">
      <c r="B8" s="85"/>
      <c r="C8" s="2" t="s">
        <v>30</v>
      </c>
      <c r="D8" s="26">
        <v>53.92</v>
      </c>
      <c r="E8" s="26">
        <v>36.64</v>
      </c>
      <c r="F8" s="26">
        <v>21.02</v>
      </c>
      <c r="G8" s="26">
        <v>16.03</v>
      </c>
      <c r="H8" s="26">
        <v>14.96</v>
      </c>
      <c r="I8" s="26">
        <v>13.28</v>
      </c>
      <c r="J8" s="26">
        <v>32.090000000000003</v>
      </c>
      <c r="K8" s="26">
        <v>28.65</v>
      </c>
      <c r="L8" s="26">
        <v>51.58</v>
      </c>
      <c r="M8" s="26">
        <v>67.77</v>
      </c>
      <c r="N8" s="26">
        <v>88.4</v>
      </c>
      <c r="O8" s="26">
        <v>110.41</v>
      </c>
      <c r="P8" s="26">
        <v>126.82</v>
      </c>
      <c r="Q8" s="26">
        <v>116.23</v>
      </c>
      <c r="R8" s="26">
        <v>105.98</v>
      </c>
      <c r="S8" s="26">
        <v>102.91</v>
      </c>
      <c r="T8" s="26">
        <v>105.89</v>
      </c>
      <c r="U8" s="26">
        <v>151.34</v>
      </c>
      <c r="V8" s="26">
        <v>163.43</v>
      </c>
      <c r="W8" s="26">
        <v>203.98</v>
      </c>
      <c r="X8" s="26">
        <v>201.48</v>
      </c>
      <c r="Y8" s="26">
        <v>186.04</v>
      </c>
      <c r="Z8" s="26">
        <v>149.06</v>
      </c>
      <c r="AA8" s="26">
        <v>79.989999999999995</v>
      </c>
      <c r="AB8" s="23">
        <f t="shared" ref="AB8:AB42" si="0">SUM(D8:AA8)</f>
        <v>2227.8999999999996</v>
      </c>
      <c r="AC8" s="24">
        <v>4</v>
      </c>
      <c r="AD8" s="86"/>
    </row>
    <row r="9" spans="2:33" x14ac:dyDescent="0.2">
      <c r="B9" s="85"/>
      <c r="C9" s="2" t="s">
        <v>63</v>
      </c>
      <c r="D9" s="26">
        <v>37.409999999999997</v>
      </c>
      <c r="E9" s="26">
        <v>21.5</v>
      </c>
      <c r="F9" s="26">
        <v>7.13</v>
      </c>
      <c r="G9" s="26">
        <v>2.52</v>
      </c>
      <c r="H9" s="26">
        <v>1.55</v>
      </c>
      <c r="I9" s="26">
        <v>0</v>
      </c>
      <c r="J9" s="26">
        <v>17.32</v>
      </c>
      <c r="K9" s="26">
        <v>12.48</v>
      </c>
      <c r="L9" s="26">
        <v>33.380000000000003</v>
      </c>
      <c r="M9" s="26">
        <v>48.05</v>
      </c>
      <c r="N9" s="26">
        <v>66.849999999999994</v>
      </c>
      <c r="O9" s="26">
        <v>87.04</v>
      </c>
      <c r="P9" s="26">
        <v>102.22</v>
      </c>
      <c r="Q9" s="26">
        <v>92.59</v>
      </c>
      <c r="R9" s="26">
        <v>83.2</v>
      </c>
      <c r="S9" s="26">
        <v>80.5</v>
      </c>
      <c r="T9" s="26">
        <v>83.44</v>
      </c>
      <c r="U9" s="26">
        <v>128.61000000000001</v>
      </c>
      <c r="V9" s="26">
        <v>139.72999999999999</v>
      </c>
      <c r="W9" s="26">
        <v>177.06</v>
      </c>
      <c r="X9" s="26">
        <v>174.76</v>
      </c>
      <c r="Y9" s="26">
        <v>160.55000000000001</v>
      </c>
      <c r="Z9" s="26">
        <v>126.51</v>
      </c>
      <c r="AA9" s="26">
        <v>79.989999999999995</v>
      </c>
      <c r="AB9" s="23">
        <f t="shared" si="0"/>
        <v>1764.3899999999999</v>
      </c>
      <c r="AC9" s="24">
        <v>7</v>
      </c>
      <c r="AD9" s="86"/>
    </row>
    <row r="10" spans="2:33" x14ac:dyDescent="0.2">
      <c r="B10" s="85">
        <v>46784</v>
      </c>
      <c r="C10" s="2" t="s">
        <v>29</v>
      </c>
      <c r="D10" s="26">
        <v>61.43</v>
      </c>
      <c r="E10" s="26">
        <v>43.53</v>
      </c>
      <c r="F10" s="26">
        <v>27.34</v>
      </c>
      <c r="G10" s="26">
        <v>22.17</v>
      </c>
      <c r="H10" s="26">
        <v>21.06</v>
      </c>
      <c r="I10" s="26">
        <v>19.32</v>
      </c>
      <c r="J10" s="26">
        <v>38.82</v>
      </c>
      <c r="K10" s="26">
        <v>36</v>
      </c>
      <c r="L10" s="26">
        <v>59.86</v>
      </c>
      <c r="M10" s="26">
        <v>76.760000000000005</v>
      </c>
      <c r="N10" s="26">
        <v>98.2</v>
      </c>
      <c r="O10" s="26">
        <v>121.05</v>
      </c>
      <c r="P10" s="26">
        <v>138.02000000000001</v>
      </c>
      <c r="Q10" s="26">
        <v>126.98</v>
      </c>
      <c r="R10" s="26">
        <v>116.35</v>
      </c>
      <c r="S10" s="26">
        <v>113.11</v>
      </c>
      <c r="T10" s="26">
        <v>116.11</v>
      </c>
      <c r="U10" s="26">
        <v>161.68</v>
      </c>
      <c r="V10" s="26">
        <v>174.21</v>
      </c>
      <c r="W10" s="26">
        <v>216.23</v>
      </c>
      <c r="X10" s="26">
        <v>213.64</v>
      </c>
      <c r="Y10" s="26">
        <v>197.65</v>
      </c>
      <c r="Z10" s="26">
        <v>159.32</v>
      </c>
      <c r="AA10" s="26">
        <v>79.989999999999995</v>
      </c>
      <c r="AB10" s="23">
        <f t="shared" si="0"/>
        <v>2438.83</v>
      </c>
      <c r="AC10" s="24">
        <v>21</v>
      </c>
      <c r="AD10" s="86">
        <f>+AB10*AC10+AB11*AC11+AB12*AC12</f>
        <v>67184.59</v>
      </c>
    </row>
    <row r="11" spans="2:33" x14ac:dyDescent="0.2">
      <c r="B11" s="85"/>
      <c r="C11" s="2" t="s">
        <v>30</v>
      </c>
      <c r="D11" s="26">
        <v>53.92</v>
      </c>
      <c r="E11" s="26">
        <v>36.64</v>
      </c>
      <c r="F11" s="26">
        <v>21.02</v>
      </c>
      <c r="G11" s="26">
        <v>16.03</v>
      </c>
      <c r="H11" s="26">
        <v>14.96</v>
      </c>
      <c r="I11" s="26">
        <v>13.28</v>
      </c>
      <c r="J11" s="26">
        <v>32.090000000000003</v>
      </c>
      <c r="K11" s="26">
        <v>28.65</v>
      </c>
      <c r="L11" s="26">
        <v>51.58</v>
      </c>
      <c r="M11" s="26">
        <v>67.77</v>
      </c>
      <c r="N11" s="26">
        <v>88.4</v>
      </c>
      <c r="O11" s="26">
        <v>110.41</v>
      </c>
      <c r="P11" s="26">
        <v>126.82</v>
      </c>
      <c r="Q11" s="26">
        <v>116.23</v>
      </c>
      <c r="R11" s="26">
        <v>105.98</v>
      </c>
      <c r="S11" s="26">
        <v>102.91</v>
      </c>
      <c r="T11" s="26">
        <v>105.89</v>
      </c>
      <c r="U11" s="26">
        <v>151.34</v>
      </c>
      <c r="V11" s="26">
        <v>163.43</v>
      </c>
      <c r="W11" s="26">
        <v>203.98</v>
      </c>
      <c r="X11" s="26">
        <v>201.48</v>
      </c>
      <c r="Y11" s="26">
        <v>186.04</v>
      </c>
      <c r="Z11" s="26">
        <v>149.06</v>
      </c>
      <c r="AA11" s="26">
        <v>79.989999999999995</v>
      </c>
      <c r="AB11" s="23">
        <f t="shared" si="0"/>
        <v>2227.8999999999996</v>
      </c>
      <c r="AC11" s="24">
        <v>4</v>
      </c>
      <c r="AD11" s="86"/>
    </row>
    <row r="12" spans="2:33" x14ac:dyDescent="0.2">
      <c r="B12" s="85"/>
      <c r="C12" s="2" t="s">
        <v>63</v>
      </c>
      <c r="D12" s="26">
        <v>37.409999999999997</v>
      </c>
      <c r="E12" s="26">
        <v>21.5</v>
      </c>
      <c r="F12" s="26">
        <v>7.13</v>
      </c>
      <c r="G12" s="26">
        <v>2.52</v>
      </c>
      <c r="H12" s="26">
        <v>1.55</v>
      </c>
      <c r="I12" s="26">
        <v>0</v>
      </c>
      <c r="J12" s="26">
        <v>17.32</v>
      </c>
      <c r="K12" s="26">
        <v>12.48</v>
      </c>
      <c r="L12" s="26">
        <v>33.380000000000003</v>
      </c>
      <c r="M12" s="26">
        <v>48.05</v>
      </c>
      <c r="N12" s="26">
        <v>66.849999999999994</v>
      </c>
      <c r="O12" s="26">
        <v>87.04</v>
      </c>
      <c r="P12" s="26">
        <v>102.22</v>
      </c>
      <c r="Q12" s="26">
        <v>92.59</v>
      </c>
      <c r="R12" s="26">
        <v>83.2</v>
      </c>
      <c r="S12" s="26">
        <v>80.5</v>
      </c>
      <c r="T12" s="26">
        <v>83.44</v>
      </c>
      <c r="U12" s="26">
        <v>128.61000000000001</v>
      </c>
      <c r="V12" s="26">
        <v>139.72999999999999</v>
      </c>
      <c r="W12" s="26">
        <v>177.06</v>
      </c>
      <c r="X12" s="26">
        <v>174.76</v>
      </c>
      <c r="Y12" s="26">
        <v>160.55000000000001</v>
      </c>
      <c r="Z12" s="26">
        <v>126.51</v>
      </c>
      <c r="AA12" s="26">
        <v>79.989999999999995</v>
      </c>
      <c r="AB12" s="23">
        <f t="shared" si="0"/>
        <v>1764.3899999999999</v>
      </c>
      <c r="AC12" s="24">
        <v>4</v>
      </c>
      <c r="AD12" s="86"/>
    </row>
    <row r="13" spans="2:33" x14ac:dyDescent="0.2">
      <c r="B13" s="85">
        <v>46813</v>
      </c>
      <c r="C13" s="2" t="s">
        <v>29</v>
      </c>
      <c r="D13" s="26">
        <v>61.43</v>
      </c>
      <c r="E13" s="26">
        <v>43.53</v>
      </c>
      <c r="F13" s="26">
        <v>27.34</v>
      </c>
      <c r="G13" s="26">
        <v>22.17</v>
      </c>
      <c r="H13" s="26">
        <v>21.06</v>
      </c>
      <c r="I13" s="26">
        <v>19.32</v>
      </c>
      <c r="J13" s="26">
        <v>38.82</v>
      </c>
      <c r="K13" s="26">
        <v>36</v>
      </c>
      <c r="L13" s="26">
        <v>59.86</v>
      </c>
      <c r="M13" s="26">
        <v>76.760000000000005</v>
      </c>
      <c r="N13" s="26">
        <v>98.2</v>
      </c>
      <c r="O13" s="26">
        <v>121.05</v>
      </c>
      <c r="P13" s="26">
        <v>138.02000000000001</v>
      </c>
      <c r="Q13" s="26">
        <v>126.98</v>
      </c>
      <c r="R13" s="26">
        <v>116.35</v>
      </c>
      <c r="S13" s="26">
        <v>113.11</v>
      </c>
      <c r="T13" s="26">
        <v>116.11</v>
      </c>
      <c r="U13" s="26">
        <v>161.68</v>
      </c>
      <c r="V13" s="26">
        <v>174.21</v>
      </c>
      <c r="W13" s="26">
        <v>216.23</v>
      </c>
      <c r="X13" s="26">
        <v>213.64</v>
      </c>
      <c r="Y13" s="26">
        <v>197.65</v>
      </c>
      <c r="Z13" s="26">
        <v>159.32</v>
      </c>
      <c r="AA13" s="26">
        <v>79.989999999999995</v>
      </c>
      <c r="AB13" s="23">
        <f t="shared" si="0"/>
        <v>2438.83</v>
      </c>
      <c r="AC13" s="24">
        <v>22</v>
      </c>
      <c r="AD13" s="86">
        <f>+AB13*AC13+AB14*AC14+AB15*AC15</f>
        <v>71387.81</v>
      </c>
    </row>
    <row r="14" spans="2:33" x14ac:dyDescent="0.2">
      <c r="B14" s="85"/>
      <c r="C14" s="2" t="s">
        <v>30</v>
      </c>
      <c r="D14" s="26">
        <v>53.92</v>
      </c>
      <c r="E14" s="26">
        <v>36.64</v>
      </c>
      <c r="F14" s="26">
        <v>21.02</v>
      </c>
      <c r="G14" s="26">
        <v>16.03</v>
      </c>
      <c r="H14" s="26">
        <v>14.96</v>
      </c>
      <c r="I14" s="26">
        <v>13.28</v>
      </c>
      <c r="J14" s="26">
        <v>32.090000000000003</v>
      </c>
      <c r="K14" s="26">
        <v>28.65</v>
      </c>
      <c r="L14" s="26">
        <v>51.58</v>
      </c>
      <c r="M14" s="26">
        <v>67.77</v>
      </c>
      <c r="N14" s="26">
        <v>88.4</v>
      </c>
      <c r="O14" s="26">
        <v>110.41</v>
      </c>
      <c r="P14" s="26">
        <v>126.82</v>
      </c>
      <c r="Q14" s="26">
        <v>116.23</v>
      </c>
      <c r="R14" s="26">
        <v>105.98</v>
      </c>
      <c r="S14" s="26">
        <v>102.91</v>
      </c>
      <c r="T14" s="26">
        <v>105.89</v>
      </c>
      <c r="U14" s="26">
        <v>151.34</v>
      </c>
      <c r="V14" s="26">
        <v>163.43</v>
      </c>
      <c r="W14" s="26">
        <v>203.98</v>
      </c>
      <c r="X14" s="26">
        <v>201.48</v>
      </c>
      <c r="Y14" s="26">
        <v>186.04</v>
      </c>
      <c r="Z14" s="26">
        <v>149.06</v>
      </c>
      <c r="AA14" s="26">
        <v>79.989999999999995</v>
      </c>
      <c r="AB14" s="23">
        <f t="shared" si="0"/>
        <v>2227.8999999999996</v>
      </c>
      <c r="AC14" s="24">
        <v>4</v>
      </c>
      <c r="AD14" s="86"/>
    </row>
    <row r="15" spans="2:33" x14ac:dyDescent="0.2">
      <c r="B15" s="85"/>
      <c r="C15" s="2" t="s">
        <v>63</v>
      </c>
      <c r="D15" s="26">
        <v>37.409999999999997</v>
      </c>
      <c r="E15" s="26">
        <v>21.5</v>
      </c>
      <c r="F15" s="26">
        <v>7.13</v>
      </c>
      <c r="G15" s="26">
        <v>2.52</v>
      </c>
      <c r="H15" s="26">
        <v>1.55</v>
      </c>
      <c r="I15" s="26">
        <v>0</v>
      </c>
      <c r="J15" s="26">
        <v>17.32</v>
      </c>
      <c r="K15" s="26">
        <v>12.48</v>
      </c>
      <c r="L15" s="26">
        <v>33.380000000000003</v>
      </c>
      <c r="M15" s="26">
        <v>48.05</v>
      </c>
      <c r="N15" s="26">
        <v>66.849999999999994</v>
      </c>
      <c r="O15" s="26">
        <v>87.04</v>
      </c>
      <c r="P15" s="26">
        <v>102.22</v>
      </c>
      <c r="Q15" s="26">
        <v>92.59</v>
      </c>
      <c r="R15" s="26">
        <v>83.2</v>
      </c>
      <c r="S15" s="26">
        <v>80.5</v>
      </c>
      <c r="T15" s="26">
        <v>83.44</v>
      </c>
      <c r="U15" s="26">
        <v>128.61000000000001</v>
      </c>
      <c r="V15" s="26">
        <v>139.72999999999999</v>
      </c>
      <c r="W15" s="26">
        <v>177.06</v>
      </c>
      <c r="X15" s="26">
        <v>174.76</v>
      </c>
      <c r="Y15" s="26">
        <v>160.55000000000001</v>
      </c>
      <c r="Z15" s="26">
        <v>126.51</v>
      </c>
      <c r="AA15" s="26">
        <v>79.989999999999995</v>
      </c>
      <c r="AB15" s="23">
        <f t="shared" si="0"/>
        <v>1764.3899999999999</v>
      </c>
      <c r="AC15" s="24">
        <v>5</v>
      </c>
      <c r="AD15" s="86"/>
    </row>
    <row r="16" spans="2:33" x14ac:dyDescent="0.2">
      <c r="B16" s="85">
        <v>46844</v>
      </c>
      <c r="C16" s="2" t="s">
        <v>29</v>
      </c>
      <c r="D16" s="26">
        <v>61.43</v>
      </c>
      <c r="E16" s="26">
        <v>43.53</v>
      </c>
      <c r="F16" s="26">
        <v>27.34</v>
      </c>
      <c r="G16" s="26">
        <v>22.17</v>
      </c>
      <c r="H16" s="26">
        <v>21.06</v>
      </c>
      <c r="I16" s="26">
        <v>19.32</v>
      </c>
      <c r="J16" s="26">
        <v>38.82</v>
      </c>
      <c r="K16" s="26">
        <v>36</v>
      </c>
      <c r="L16" s="26">
        <v>59.86</v>
      </c>
      <c r="M16" s="26">
        <v>76.760000000000005</v>
      </c>
      <c r="N16" s="26">
        <v>98.2</v>
      </c>
      <c r="O16" s="26">
        <v>121.05</v>
      </c>
      <c r="P16" s="26">
        <v>138.02000000000001</v>
      </c>
      <c r="Q16" s="26">
        <v>126.98</v>
      </c>
      <c r="R16" s="26">
        <v>116.35</v>
      </c>
      <c r="S16" s="26">
        <v>113.11</v>
      </c>
      <c r="T16" s="26">
        <v>116.11</v>
      </c>
      <c r="U16" s="26">
        <v>161.68</v>
      </c>
      <c r="V16" s="26">
        <v>174.21</v>
      </c>
      <c r="W16" s="26">
        <v>216.23</v>
      </c>
      <c r="X16" s="26">
        <v>213.64</v>
      </c>
      <c r="Y16" s="26">
        <v>197.65</v>
      </c>
      <c r="Z16" s="26">
        <v>159.32</v>
      </c>
      <c r="AA16" s="26">
        <v>79.989999999999995</v>
      </c>
      <c r="AB16" s="23">
        <f t="shared" si="0"/>
        <v>2438.83</v>
      </c>
      <c r="AC16" s="24">
        <v>18</v>
      </c>
      <c r="AD16" s="86">
        <f>+AB16*AC16+AB17*AC17+AB18*AC18</f>
        <v>67389.17</v>
      </c>
    </row>
    <row r="17" spans="2:30" x14ac:dyDescent="0.2">
      <c r="B17" s="85"/>
      <c r="C17" s="2" t="s">
        <v>30</v>
      </c>
      <c r="D17" s="26">
        <v>53.92</v>
      </c>
      <c r="E17" s="26">
        <v>36.64</v>
      </c>
      <c r="F17" s="26">
        <v>21.02</v>
      </c>
      <c r="G17" s="26">
        <v>16.03</v>
      </c>
      <c r="H17" s="26">
        <v>14.96</v>
      </c>
      <c r="I17" s="26">
        <v>13.28</v>
      </c>
      <c r="J17" s="26">
        <v>32.090000000000003</v>
      </c>
      <c r="K17" s="26">
        <v>28.65</v>
      </c>
      <c r="L17" s="26">
        <v>51.58</v>
      </c>
      <c r="M17" s="26">
        <v>67.77</v>
      </c>
      <c r="N17" s="26">
        <v>88.4</v>
      </c>
      <c r="O17" s="26">
        <v>110.41</v>
      </c>
      <c r="P17" s="26">
        <v>126.82</v>
      </c>
      <c r="Q17" s="26">
        <v>116.23</v>
      </c>
      <c r="R17" s="26">
        <v>105.98</v>
      </c>
      <c r="S17" s="26">
        <v>102.91</v>
      </c>
      <c r="T17" s="26">
        <v>105.89</v>
      </c>
      <c r="U17" s="26">
        <v>151.34</v>
      </c>
      <c r="V17" s="26">
        <v>163.43</v>
      </c>
      <c r="W17" s="26">
        <v>203.98</v>
      </c>
      <c r="X17" s="26">
        <v>201.48</v>
      </c>
      <c r="Y17" s="26">
        <v>186.04</v>
      </c>
      <c r="Z17" s="26">
        <v>149.06</v>
      </c>
      <c r="AA17" s="26">
        <v>79.989999999999995</v>
      </c>
      <c r="AB17" s="23">
        <f t="shared" si="0"/>
        <v>2227.8999999999996</v>
      </c>
      <c r="AC17" s="24">
        <v>5</v>
      </c>
      <c r="AD17" s="86"/>
    </row>
    <row r="18" spans="2:30" x14ac:dyDescent="0.2">
      <c r="B18" s="85"/>
      <c r="C18" s="2" t="s">
        <v>63</v>
      </c>
      <c r="D18" s="26">
        <v>37.409999999999997</v>
      </c>
      <c r="E18" s="26">
        <v>21.5</v>
      </c>
      <c r="F18" s="26">
        <v>7.13</v>
      </c>
      <c r="G18" s="26">
        <v>2.52</v>
      </c>
      <c r="H18" s="26">
        <v>1.55</v>
      </c>
      <c r="I18" s="26">
        <v>0</v>
      </c>
      <c r="J18" s="26">
        <v>17.32</v>
      </c>
      <c r="K18" s="26">
        <v>12.48</v>
      </c>
      <c r="L18" s="26">
        <v>33.380000000000003</v>
      </c>
      <c r="M18" s="26">
        <v>48.05</v>
      </c>
      <c r="N18" s="26">
        <v>66.849999999999994</v>
      </c>
      <c r="O18" s="26">
        <v>87.04</v>
      </c>
      <c r="P18" s="26">
        <v>102.22</v>
      </c>
      <c r="Q18" s="26">
        <v>92.59</v>
      </c>
      <c r="R18" s="26">
        <v>83.2</v>
      </c>
      <c r="S18" s="26">
        <v>80.5</v>
      </c>
      <c r="T18" s="26">
        <v>83.44</v>
      </c>
      <c r="U18" s="26">
        <v>128.61000000000001</v>
      </c>
      <c r="V18" s="26">
        <v>139.72999999999999</v>
      </c>
      <c r="W18" s="26">
        <v>177.06</v>
      </c>
      <c r="X18" s="26">
        <v>174.76</v>
      </c>
      <c r="Y18" s="26">
        <v>160.55000000000001</v>
      </c>
      <c r="Z18" s="26">
        <v>126.51</v>
      </c>
      <c r="AA18" s="26">
        <v>79.989999999999995</v>
      </c>
      <c r="AB18" s="23">
        <f t="shared" si="0"/>
        <v>1764.3899999999999</v>
      </c>
      <c r="AC18" s="24">
        <v>7</v>
      </c>
      <c r="AD18" s="86"/>
    </row>
    <row r="19" spans="2:30" x14ac:dyDescent="0.2">
      <c r="B19" s="85">
        <v>46874</v>
      </c>
      <c r="C19" s="2" t="s">
        <v>29</v>
      </c>
      <c r="D19" s="26">
        <v>61.43</v>
      </c>
      <c r="E19" s="26">
        <v>43.53</v>
      </c>
      <c r="F19" s="26">
        <v>27.34</v>
      </c>
      <c r="G19" s="26">
        <v>22.17</v>
      </c>
      <c r="H19" s="26">
        <v>21.06</v>
      </c>
      <c r="I19" s="26">
        <v>19.32</v>
      </c>
      <c r="J19" s="26">
        <v>38.82</v>
      </c>
      <c r="K19" s="26">
        <v>36</v>
      </c>
      <c r="L19" s="26">
        <v>59.86</v>
      </c>
      <c r="M19" s="26">
        <v>76.760000000000005</v>
      </c>
      <c r="N19" s="26">
        <v>98.2</v>
      </c>
      <c r="O19" s="26">
        <v>121.05</v>
      </c>
      <c r="P19" s="26">
        <v>138.02000000000001</v>
      </c>
      <c r="Q19" s="26">
        <v>126.98</v>
      </c>
      <c r="R19" s="26">
        <v>116.35</v>
      </c>
      <c r="S19" s="26">
        <v>113.11</v>
      </c>
      <c r="T19" s="26">
        <v>116.11</v>
      </c>
      <c r="U19" s="26">
        <v>161.68</v>
      </c>
      <c r="V19" s="26">
        <v>174.21</v>
      </c>
      <c r="W19" s="26">
        <v>216.23</v>
      </c>
      <c r="X19" s="26">
        <v>213.64</v>
      </c>
      <c r="Y19" s="26">
        <v>197.65</v>
      </c>
      <c r="Z19" s="26">
        <v>159.32</v>
      </c>
      <c r="AA19" s="26">
        <v>79.989999999999995</v>
      </c>
      <c r="AB19" s="23">
        <f t="shared" si="0"/>
        <v>2438.83</v>
      </c>
      <c r="AC19" s="24">
        <v>21</v>
      </c>
      <c r="AD19" s="86">
        <f>+AB19*AC19+AB20*AC20+AB21*AC21</f>
        <v>70713.37</v>
      </c>
    </row>
    <row r="20" spans="2:30" x14ac:dyDescent="0.2">
      <c r="B20" s="85"/>
      <c r="C20" s="2" t="s">
        <v>30</v>
      </c>
      <c r="D20" s="26">
        <v>53.92</v>
      </c>
      <c r="E20" s="26">
        <v>36.64</v>
      </c>
      <c r="F20" s="26">
        <v>21.02</v>
      </c>
      <c r="G20" s="26">
        <v>16.03</v>
      </c>
      <c r="H20" s="26">
        <v>14.96</v>
      </c>
      <c r="I20" s="26">
        <v>13.28</v>
      </c>
      <c r="J20" s="26">
        <v>32.090000000000003</v>
      </c>
      <c r="K20" s="26">
        <v>28.65</v>
      </c>
      <c r="L20" s="26">
        <v>51.58</v>
      </c>
      <c r="M20" s="26">
        <v>67.77</v>
      </c>
      <c r="N20" s="26">
        <v>88.4</v>
      </c>
      <c r="O20" s="26">
        <v>110.41</v>
      </c>
      <c r="P20" s="26">
        <v>126.82</v>
      </c>
      <c r="Q20" s="26">
        <v>116.23</v>
      </c>
      <c r="R20" s="26">
        <v>105.98</v>
      </c>
      <c r="S20" s="26">
        <v>102.91</v>
      </c>
      <c r="T20" s="26">
        <v>105.89</v>
      </c>
      <c r="U20" s="26">
        <v>151.34</v>
      </c>
      <c r="V20" s="26">
        <v>163.43</v>
      </c>
      <c r="W20" s="26">
        <v>203.98</v>
      </c>
      <c r="X20" s="26">
        <v>201.48</v>
      </c>
      <c r="Y20" s="26">
        <v>186.04</v>
      </c>
      <c r="Z20" s="26">
        <v>149.06</v>
      </c>
      <c r="AA20" s="26">
        <v>79.989999999999995</v>
      </c>
      <c r="AB20" s="23">
        <f t="shared" si="0"/>
        <v>2227.8999999999996</v>
      </c>
      <c r="AC20" s="24">
        <v>4</v>
      </c>
      <c r="AD20" s="86"/>
    </row>
    <row r="21" spans="2:30" x14ac:dyDescent="0.2">
      <c r="B21" s="85"/>
      <c r="C21" s="2" t="s">
        <v>63</v>
      </c>
      <c r="D21" s="26">
        <v>37.409999999999997</v>
      </c>
      <c r="E21" s="26">
        <v>21.5</v>
      </c>
      <c r="F21" s="26">
        <v>7.13</v>
      </c>
      <c r="G21" s="26">
        <v>2.52</v>
      </c>
      <c r="H21" s="26">
        <v>1.55</v>
      </c>
      <c r="I21" s="26">
        <v>0</v>
      </c>
      <c r="J21" s="26">
        <v>17.32</v>
      </c>
      <c r="K21" s="26">
        <v>12.48</v>
      </c>
      <c r="L21" s="26">
        <v>33.380000000000003</v>
      </c>
      <c r="M21" s="26">
        <v>48.05</v>
      </c>
      <c r="N21" s="26">
        <v>66.849999999999994</v>
      </c>
      <c r="O21" s="26">
        <v>87.04</v>
      </c>
      <c r="P21" s="26">
        <v>102.22</v>
      </c>
      <c r="Q21" s="26">
        <v>92.59</v>
      </c>
      <c r="R21" s="26">
        <v>83.2</v>
      </c>
      <c r="S21" s="26">
        <v>80.5</v>
      </c>
      <c r="T21" s="26">
        <v>83.44</v>
      </c>
      <c r="U21" s="26">
        <v>128.61000000000001</v>
      </c>
      <c r="V21" s="26">
        <v>139.72999999999999</v>
      </c>
      <c r="W21" s="26">
        <v>177.06</v>
      </c>
      <c r="X21" s="26">
        <v>174.76</v>
      </c>
      <c r="Y21" s="26">
        <v>160.55000000000001</v>
      </c>
      <c r="Z21" s="26">
        <v>126.51</v>
      </c>
      <c r="AA21" s="26">
        <v>79.989999999999995</v>
      </c>
      <c r="AB21" s="23">
        <f t="shared" si="0"/>
        <v>1764.3899999999999</v>
      </c>
      <c r="AC21" s="24">
        <v>6</v>
      </c>
      <c r="AD21" s="86"/>
    </row>
    <row r="22" spans="2:30" x14ac:dyDescent="0.2">
      <c r="B22" s="85">
        <v>46905</v>
      </c>
      <c r="C22" s="2" t="s">
        <v>29</v>
      </c>
      <c r="D22" s="26">
        <v>61.43</v>
      </c>
      <c r="E22" s="26">
        <v>43.53</v>
      </c>
      <c r="F22" s="26">
        <v>27.34</v>
      </c>
      <c r="G22" s="26">
        <v>22.17</v>
      </c>
      <c r="H22" s="26">
        <v>21.06</v>
      </c>
      <c r="I22" s="26">
        <v>19.32</v>
      </c>
      <c r="J22" s="26">
        <v>38.82</v>
      </c>
      <c r="K22" s="26">
        <v>36</v>
      </c>
      <c r="L22" s="26">
        <v>59.86</v>
      </c>
      <c r="M22" s="26">
        <v>76.760000000000005</v>
      </c>
      <c r="N22" s="26">
        <v>98.2</v>
      </c>
      <c r="O22" s="26">
        <v>121.05</v>
      </c>
      <c r="P22" s="26">
        <v>138.02000000000001</v>
      </c>
      <c r="Q22" s="26">
        <v>126.98</v>
      </c>
      <c r="R22" s="26">
        <v>116.35</v>
      </c>
      <c r="S22" s="26">
        <v>113.11</v>
      </c>
      <c r="T22" s="26">
        <v>116.11</v>
      </c>
      <c r="U22" s="26">
        <v>161.68</v>
      </c>
      <c r="V22" s="26">
        <v>174.21</v>
      </c>
      <c r="W22" s="26">
        <v>216.23</v>
      </c>
      <c r="X22" s="26">
        <v>213.64</v>
      </c>
      <c r="Y22" s="26">
        <v>197.65</v>
      </c>
      <c r="Z22" s="26">
        <v>159.32</v>
      </c>
      <c r="AA22" s="26">
        <v>79.989999999999995</v>
      </c>
      <c r="AB22" s="23">
        <f t="shared" si="0"/>
        <v>2438.83</v>
      </c>
      <c r="AC22" s="24">
        <v>20</v>
      </c>
      <c r="AD22" s="86">
        <f>+AB22*AC22+AB23*AC23+AB24*AC24</f>
        <v>68274.539999999994</v>
      </c>
    </row>
    <row r="23" spans="2:30" x14ac:dyDescent="0.2">
      <c r="B23" s="85"/>
      <c r="C23" s="2" t="s">
        <v>30</v>
      </c>
      <c r="D23" s="26">
        <v>53.92</v>
      </c>
      <c r="E23" s="26">
        <v>36.64</v>
      </c>
      <c r="F23" s="26">
        <v>21.02</v>
      </c>
      <c r="G23" s="26">
        <v>16.03</v>
      </c>
      <c r="H23" s="26">
        <v>14.96</v>
      </c>
      <c r="I23" s="26">
        <v>13.28</v>
      </c>
      <c r="J23" s="26">
        <v>32.090000000000003</v>
      </c>
      <c r="K23" s="26">
        <v>28.65</v>
      </c>
      <c r="L23" s="26">
        <v>51.58</v>
      </c>
      <c r="M23" s="26">
        <v>67.77</v>
      </c>
      <c r="N23" s="26">
        <v>88.4</v>
      </c>
      <c r="O23" s="26">
        <v>110.41</v>
      </c>
      <c r="P23" s="26">
        <v>126.82</v>
      </c>
      <c r="Q23" s="26">
        <v>116.23</v>
      </c>
      <c r="R23" s="26">
        <v>105.98</v>
      </c>
      <c r="S23" s="26">
        <v>102.91</v>
      </c>
      <c r="T23" s="26">
        <v>105.89</v>
      </c>
      <c r="U23" s="26">
        <v>151.34</v>
      </c>
      <c r="V23" s="26">
        <v>163.43</v>
      </c>
      <c r="W23" s="26">
        <v>203.98</v>
      </c>
      <c r="X23" s="26">
        <v>201.48</v>
      </c>
      <c r="Y23" s="26">
        <v>186.04</v>
      </c>
      <c r="Z23" s="26">
        <v>149.06</v>
      </c>
      <c r="AA23" s="26">
        <v>79.989999999999995</v>
      </c>
      <c r="AB23" s="23">
        <f t="shared" si="0"/>
        <v>2227.8999999999996</v>
      </c>
      <c r="AC23" s="24">
        <v>4</v>
      </c>
      <c r="AD23" s="86"/>
    </row>
    <row r="24" spans="2:30" x14ac:dyDescent="0.2">
      <c r="B24" s="85"/>
      <c r="C24" s="2" t="s">
        <v>63</v>
      </c>
      <c r="D24" s="26">
        <v>37.409999999999997</v>
      </c>
      <c r="E24" s="26">
        <v>21.5</v>
      </c>
      <c r="F24" s="26">
        <v>7.13</v>
      </c>
      <c r="G24" s="26">
        <v>2.52</v>
      </c>
      <c r="H24" s="26">
        <v>1.55</v>
      </c>
      <c r="I24" s="26">
        <v>0</v>
      </c>
      <c r="J24" s="26">
        <v>17.32</v>
      </c>
      <c r="K24" s="26">
        <v>12.48</v>
      </c>
      <c r="L24" s="26">
        <v>33.380000000000003</v>
      </c>
      <c r="M24" s="26">
        <v>48.05</v>
      </c>
      <c r="N24" s="26">
        <v>66.849999999999994</v>
      </c>
      <c r="O24" s="26">
        <v>87.04</v>
      </c>
      <c r="P24" s="26">
        <v>102.22</v>
      </c>
      <c r="Q24" s="26">
        <v>92.59</v>
      </c>
      <c r="R24" s="26">
        <v>83.2</v>
      </c>
      <c r="S24" s="26">
        <v>80.5</v>
      </c>
      <c r="T24" s="26">
        <v>83.44</v>
      </c>
      <c r="U24" s="26">
        <v>128.61000000000001</v>
      </c>
      <c r="V24" s="26">
        <v>139.72999999999999</v>
      </c>
      <c r="W24" s="26">
        <v>177.06</v>
      </c>
      <c r="X24" s="26">
        <v>174.76</v>
      </c>
      <c r="Y24" s="26">
        <v>160.55000000000001</v>
      </c>
      <c r="Z24" s="26">
        <v>126.51</v>
      </c>
      <c r="AA24" s="26">
        <v>79.989999999999995</v>
      </c>
      <c r="AB24" s="23">
        <f t="shared" si="0"/>
        <v>1764.3899999999999</v>
      </c>
      <c r="AC24" s="24">
        <v>6</v>
      </c>
      <c r="AD24" s="86"/>
    </row>
    <row r="25" spans="2:30" x14ac:dyDescent="0.2">
      <c r="B25" s="85">
        <v>46935</v>
      </c>
      <c r="C25" s="2" t="s">
        <v>29</v>
      </c>
      <c r="D25" s="26">
        <v>61.43</v>
      </c>
      <c r="E25" s="26">
        <v>43.53</v>
      </c>
      <c r="F25" s="26">
        <v>27.34</v>
      </c>
      <c r="G25" s="26">
        <v>22.17</v>
      </c>
      <c r="H25" s="26">
        <v>21.06</v>
      </c>
      <c r="I25" s="26">
        <v>19.32</v>
      </c>
      <c r="J25" s="26">
        <v>38.82</v>
      </c>
      <c r="K25" s="26">
        <v>36</v>
      </c>
      <c r="L25" s="26">
        <v>59.86</v>
      </c>
      <c r="M25" s="26">
        <v>76.760000000000005</v>
      </c>
      <c r="N25" s="26">
        <v>98.2</v>
      </c>
      <c r="O25" s="26">
        <v>121.05</v>
      </c>
      <c r="P25" s="26">
        <v>138.02000000000001</v>
      </c>
      <c r="Q25" s="26">
        <v>126.98</v>
      </c>
      <c r="R25" s="26">
        <v>116.35</v>
      </c>
      <c r="S25" s="26">
        <v>113.11</v>
      </c>
      <c r="T25" s="26">
        <v>116.11</v>
      </c>
      <c r="U25" s="26">
        <v>161.68</v>
      </c>
      <c r="V25" s="26">
        <v>174.21</v>
      </c>
      <c r="W25" s="26">
        <v>216.23</v>
      </c>
      <c r="X25" s="26">
        <v>213.64</v>
      </c>
      <c r="Y25" s="26">
        <v>197.65</v>
      </c>
      <c r="Z25" s="26">
        <v>159.32</v>
      </c>
      <c r="AA25" s="26">
        <v>79.989999999999995</v>
      </c>
      <c r="AB25" s="23">
        <f t="shared" si="0"/>
        <v>2438.83</v>
      </c>
      <c r="AC25" s="24">
        <v>19</v>
      </c>
      <c r="AD25" s="86">
        <f>+AB25*AC25+AB26*AC26+AB27*AC27</f>
        <v>69828</v>
      </c>
    </row>
    <row r="26" spans="2:30" x14ac:dyDescent="0.2">
      <c r="B26" s="85"/>
      <c r="C26" s="2" t="s">
        <v>30</v>
      </c>
      <c r="D26" s="26">
        <v>53.92</v>
      </c>
      <c r="E26" s="26">
        <v>36.64</v>
      </c>
      <c r="F26" s="26">
        <v>21.02</v>
      </c>
      <c r="G26" s="26">
        <v>16.03</v>
      </c>
      <c r="H26" s="26">
        <v>14.96</v>
      </c>
      <c r="I26" s="26">
        <v>13.28</v>
      </c>
      <c r="J26" s="26">
        <v>32.090000000000003</v>
      </c>
      <c r="K26" s="26">
        <v>28.65</v>
      </c>
      <c r="L26" s="26">
        <v>51.58</v>
      </c>
      <c r="M26" s="26">
        <v>67.77</v>
      </c>
      <c r="N26" s="26">
        <v>88.4</v>
      </c>
      <c r="O26" s="26">
        <v>110.41</v>
      </c>
      <c r="P26" s="26">
        <v>126.82</v>
      </c>
      <c r="Q26" s="26">
        <v>116.23</v>
      </c>
      <c r="R26" s="26">
        <v>105.98</v>
      </c>
      <c r="S26" s="26">
        <v>102.91</v>
      </c>
      <c r="T26" s="26">
        <v>105.89</v>
      </c>
      <c r="U26" s="26">
        <v>151.34</v>
      </c>
      <c r="V26" s="26">
        <v>163.43</v>
      </c>
      <c r="W26" s="26">
        <v>203.98</v>
      </c>
      <c r="X26" s="26">
        <v>201.48</v>
      </c>
      <c r="Y26" s="26">
        <v>186.04</v>
      </c>
      <c r="Z26" s="26">
        <v>149.06</v>
      </c>
      <c r="AA26" s="26">
        <v>79.989999999999995</v>
      </c>
      <c r="AB26" s="23">
        <f t="shared" si="0"/>
        <v>2227.8999999999996</v>
      </c>
      <c r="AC26" s="24">
        <v>5</v>
      </c>
      <c r="AD26" s="86"/>
    </row>
    <row r="27" spans="2:30" x14ac:dyDescent="0.2">
      <c r="B27" s="85"/>
      <c r="C27" s="2" t="s">
        <v>63</v>
      </c>
      <c r="D27" s="26">
        <v>37.409999999999997</v>
      </c>
      <c r="E27" s="26">
        <v>21.5</v>
      </c>
      <c r="F27" s="26">
        <v>7.13</v>
      </c>
      <c r="G27" s="26">
        <v>2.52</v>
      </c>
      <c r="H27" s="26">
        <v>1.55</v>
      </c>
      <c r="I27" s="26">
        <v>0</v>
      </c>
      <c r="J27" s="26">
        <v>17.32</v>
      </c>
      <c r="K27" s="26">
        <v>12.48</v>
      </c>
      <c r="L27" s="26">
        <v>33.380000000000003</v>
      </c>
      <c r="M27" s="26">
        <v>48.05</v>
      </c>
      <c r="N27" s="26">
        <v>66.849999999999994</v>
      </c>
      <c r="O27" s="26">
        <v>87.04</v>
      </c>
      <c r="P27" s="26">
        <v>102.22</v>
      </c>
      <c r="Q27" s="26">
        <v>92.59</v>
      </c>
      <c r="R27" s="26">
        <v>83.2</v>
      </c>
      <c r="S27" s="26">
        <v>80.5</v>
      </c>
      <c r="T27" s="26">
        <v>83.44</v>
      </c>
      <c r="U27" s="26">
        <v>128.61000000000001</v>
      </c>
      <c r="V27" s="26">
        <v>139.72999999999999</v>
      </c>
      <c r="W27" s="26">
        <v>177.06</v>
      </c>
      <c r="X27" s="26">
        <v>174.76</v>
      </c>
      <c r="Y27" s="26">
        <v>160.55000000000001</v>
      </c>
      <c r="Z27" s="26">
        <v>126.51</v>
      </c>
      <c r="AA27" s="26">
        <v>79.989999999999995</v>
      </c>
      <c r="AB27" s="23">
        <f t="shared" si="0"/>
        <v>1764.3899999999999</v>
      </c>
      <c r="AC27" s="24">
        <v>7</v>
      </c>
      <c r="AD27" s="86"/>
    </row>
    <row r="28" spans="2:30" x14ac:dyDescent="0.2">
      <c r="B28" s="85">
        <v>46966</v>
      </c>
      <c r="C28" s="2" t="s">
        <v>29</v>
      </c>
      <c r="D28" s="26">
        <v>61.43</v>
      </c>
      <c r="E28" s="26">
        <v>43.53</v>
      </c>
      <c r="F28" s="26">
        <v>27.34</v>
      </c>
      <c r="G28" s="26">
        <v>22.17</v>
      </c>
      <c r="H28" s="26">
        <v>21.06</v>
      </c>
      <c r="I28" s="26">
        <v>19.32</v>
      </c>
      <c r="J28" s="26">
        <v>38.82</v>
      </c>
      <c r="K28" s="26">
        <v>36</v>
      </c>
      <c r="L28" s="26">
        <v>59.86</v>
      </c>
      <c r="M28" s="26">
        <v>76.760000000000005</v>
      </c>
      <c r="N28" s="26">
        <v>98.2</v>
      </c>
      <c r="O28" s="26">
        <v>121.05</v>
      </c>
      <c r="P28" s="26">
        <v>138.02000000000001</v>
      </c>
      <c r="Q28" s="26">
        <v>126.98</v>
      </c>
      <c r="R28" s="26">
        <v>116.35</v>
      </c>
      <c r="S28" s="26">
        <v>113.11</v>
      </c>
      <c r="T28" s="26">
        <v>116.11</v>
      </c>
      <c r="U28" s="26">
        <v>161.68</v>
      </c>
      <c r="V28" s="26">
        <v>174.21</v>
      </c>
      <c r="W28" s="26">
        <v>216.23</v>
      </c>
      <c r="X28" s="26">
        <v>213.64</v>
      </c>
      <c r="Y28" s="26">
        <v>197.65</v>
      </c>
      <c r="Z28" s="26">
        <v>159.32</v>
      </c>
      <c r="AA28" s="26">
        <v>79.989999999999995</v>
      </c>
      <c r="AB28" s="23">
        <f t="shared" si="0"/>
        <v>2438.83</v>
      </c>
      <c r="AC28" s="24">
        <v>21</v>
      </c>
      <c r="AD28" s="86">
        <f>+AB28*AC28+AB29*AC29+AB30*AC30</f>
        <v>70713.37</v>
      </c>
    </row>
    <row r="29" spans="2:30" x14ac:dyDescent="0.2">
      <c r="B29" s="85"/>
      <c r="C29" s="2" t="s">
        <v>30</v>
      </c>
      <c r="D29" s="26">
        <v>53.92</v>
      </c>
      <c r="E29" s="26">
        <v>36.64</v>
      </c>
      <c r="F29" s="26">
        <v>21.02</v>
      </c>
      <c r="G29" s="26">
        <v>16.03</v>
      </c>
      <c r="H29" s="26">
        <v>14.96</v>
      </c>
      <c r="I29" s="26">
        <v>13.28</v>
      </c>
      <c r="J29" s="26">
        <v>32.090000000000003</v>
      </c>
      <c r="K29" s="26">
        <v>28.65</v>
      </c>
      <c r="L29" s="26">
        <v>51.58</v>
      </c>
      <c r="M29" s="26">
        <v>67.77</v>
      </c>
      <c r="N29" s="26">
        <v>88.4</v>
      </c>
      <c r="O29" s="26">
        <v>110.41</v>
      </c>
      <c r="P29" s="26">
        <v>126.82</v>
      </c>
      <c r="Q29" s="26">
        <v>116.23</v>
      </c>
      <c r="R29" s="26">
        <v>105.98</v>
      </c>
      <c r="S29" s="26">
        <v>102.91</v>
      </c>
      <c r="T29" s="26">
        <v>105.89</v>
      </c>
      <c r="U29" s="26">
        <v>151.34</v>
      </c>
      <c r="V29" s="26">
        <v>163.43</v>
      </c>
      <c r="W29" s="26">
        <v>203.98</v>
      </c>
      <c r="X29" s="26">
        <v>201.48</v>
      </c>
      <c r="Y29" s="26">
        <v>186.04</v>
      </c>
      <c r="Z29" s="26">
        <v>149.06</v>
      </c>
      <c r="AA29" s="26">
        <v>79.989999999999995</v>
      </c>
      <c r="AB29" s="23">
        <f t="shared" si="0"/>
        <v>2227.8999999999996</v>
      </c>
      <c r="AC29" s="24">
        <v>4</v>
      </c>
      <c r="AD29" s="86"/>
    </row>
    <row r="30" spans="2:30" x14ac:dyDescent="0.2">
      <c r="B30" s="85"/>
      <c r="C30" s="2" t="s">
        <v>63</v>
      </c>
      <c r="D30" s="26">
        <v>37.409999999999997</v>
      </c>
      <c r="E30" s="26">
        <v>21.5</v>
      </c>
      <c r="F30" s="26">
        <v>7.13</v>
      </c>
      <c r="G30" s="26">
        <v>2.52</v>
      </c>
      <c r="H30" s="26">
        <v>1.55</v>
      </c>
      <c r="I30" s="26">
        <v>0</v>
      </c>
      <c r="J30" s="26">
        <v>17.32</v>
      </c>
      <c r="K30" s="26">
        <v>12.48</v>
      </c>
      <c r="L30" s="26">
        <v>33.380000000000003</v>
      </c>
      <c r="M30" s="26">
        <v>48.05</v>
      </c>
      <c r="N30" s="26">
        <v>66.849999999999994</v>
      </c>
      <c r="O30" s="26">
        <v>87.04</v>
      </c>
      <c r="P30" s="26">
        <v>102.22</v>
      </c>
      <c r="Q30" s="26">
        <v>92.59</v>
      </c>
      <c r="R30" s="26">
        <v>83.2</v>
      </c>
      <c r="S30" s="26">
        <v>80.5</v>
      </c>
      <c r="T30" s="26">
        <v>83.44</v>
      </c>
      <c r="U30" s="26">
        <v>128.61000000000001</v>
      </c>
      <c r="V30" s="26">
        <v>139.72999999999999</v>
      </c>
      <c r="W30" s="26">
        <v>177.06</v>
      </c>
      <c r="X30" s="26">
        <v>174.76</v>
      </c>
      <c r="Y30" s="26">
        <v>160.55000000000001</v>
      </c>
      <c r="Z30" s="26">
        <v>126.51</v>
      </c>
      <c r="AA30" s="26">
        <v>79.989999999999995</v>
      </c>
      <c r="AB30" s="23">
        <f t="shared" si="0"/>
        <v>1764.3899999999999</v>
      </c>
      <c r="AC30" s="24">
        <v>6</v>
      </c>
      <c r="AD30" s="86"/>
    </row>
    <row r="31" spans="2:30" x14ac:dyDescent="0.2">
      <c r="B31" s="85">
        <v>46997</v>
      </c>
      <c r="C31" s="2" t="s">
        <v>29</v>
      </c>
      <c r="D31" s="26">
        <v>61.43</v>
      </c>
      <c r="E31" s="26">
        <v>43.53</v>
      </c>
      <c r="F31" s="26">
        <v>27.34</v>
      </c>
      <c r="G31" s="26">
        <v>22.17</v>
      </c>
      <c r="H31" s="26">
        <v>21.06</v>
      </c>
      <c r="I31" s="26">
        <v>19.32</v>
      </c>
      <c r="J31" s="26">
        <v>38.82</v>
      </c>
      <c r="K31" s="26">
        <v>36</v>
      </c>
      <c r="L31" s="26">
        <v>59.86</v>
      </c>
      <c r="M31" s="26">
        <v>76.760000000000005</v>
      </c>
      <c r="N31" s="26">
        <v>98.2</v>
      </c>
      <c r="O31" s="26">
        <v>121.05</v>
      </c>
      <c r="P31" s="26">
        <v>138.02000000000001</v>
      </c>
      <c r="Q31" s="26">
        <v>126.98</v>
      </c>
      <c r="R31" s="26">
        <v>116.35</v>
      </c>
      <c r="S31" s="26">
        <v>113.11</v>
      </c>
      <c r="T31" s="26">
        <v>116.11</v>
      </c>
      <c r="U31" s="26">
        <v>161.68</v>
      </c>
      <c r="V31" s="26">
        <v>174.21</v>
      </c>
      <c r="W31" s="26">
        <v>216.23</v>
      </c>
      <c r="X31" s="26">
        <v>213.64</v>
      </c>
      <c r="Y31" s="26">
        <v>197.65</v>
      </c>
      <c r="Z31" s="26">
        <v>159.32</v>
      </c>
      <c r="AA31" s="26">
        <v>79.989999999999995</v>
      </c>
      <c r="AB31" s="23">
        <f t="shared" si="0"/>
        <v>2438.83</v>
      </c>
      <c r="AC31" s="24">
        <v>21</v>
      </c>
      <c r="AD31" s="86">
        <f>+AB31*AC31+AB32*AC32+AB33*AC33</f>
        <v>69412.490000000005</v>
      </c>
    </row>
    <row r="32" spans="2:30" x14ac:dyDescent="0.2">
      <c r="B32" s="85"/>
      <c r="C32" s="2" t="s">
        <v>30</v>
      </c>
      <c r="D32" s="26">
        <v>53.92</v>
      </c>
      <c r="E32" s="26">
        <v>36.64</v>
      </c>
      <c r="F32" s="26">
        <v>21.02</v>
      </c>
      <c r="G32" s="26">
        <v>16.03</v>
      </c>
      <c r="H32" s="26">
        <v>14.96</v>
      </c>
      <c r="I32" s="26">
        <v>13.28</v>
      </c>
      <c r="J32" s="26">
        <v>32.090000000000003</v>
      </c>
      <c r="K32" s="26">
        <v>28.65</v>
      </c>
      <c r="L32" s="26">
        <v>51.58</v>
      </c>
      <c r="M32" s="26">
        <v>67.77</v>
      </c>
      <c r="N32" s="26">
        <v>88.4</v>
      </c>
      <c r="O32" s="26">
        <v>110.41</v>
      </c>
      <c r="P32" s="26">
        <v>126.82</v>
      </c>
      <c r="Q32" s="26">
        <v>116.23</v>
      </c>
      <c r="R32" s="26">
        <v>105.98</v>
      </c>
      <c r="S32" s="26">
        <v>102.91</v>
      </c>
      <c r="T32" s="26">
        <v>105.89</v>
      </c>
      <c r="U32" s="26">
        <v>151.34</v>
      </c>
      <c r="V32" s="26">
        <v>163.43</v>
      </c>
      <c r="W32" s="26">
        <v>203.98</v>
      </c>
      <c r="X32" s="26">
        <v>201.48</v>
      </c>
      <c r="Y32" s="26">
        <v>186.04</v>
      </c>
      <c r="Z32" s="26">
        <v>149.06</v>
      </c>
      <c r="AA32" s="26">
        <v>79.989999999999995</v>
      </c>
      <c r="AB32" s="23">
        <f t="shared" si="0"/>
        <v>2227.8999999999996</v>
      </c>
      <c r="AC32" s="24">
        <v>5</v>
      </c>
      <c r="AD32" s="86"/>
    </row>
    <row r="33" spans="2:30" x14ac:dyDescent="0.2">
      <c r="B33" s="85"/>
      <c r="C33" s="2" t="s">
        <v>63</v>
      </c>
      <c r="D33" s="26">
        <v>37.409999999999997</v>
      </c>
      <c r="E33" s="26">
        <v>21.5</v>
      </c>
      <c r="F33" s="26">
        <v>7.13</v>
      </c>
      <c r="G33" s="26">
        <v>2.52</v>
      </c>
      <c r="H33" s="26">
        <v>1.55</v>
      </c>
      <c r="I33" s="26">
        <v>0</v>
      </c>
      <c r="J33" s="26">
        <v>17.32</v>
      </c>
      <c r="K33" s="26">
        <v>12.48</v>
      </c>
      <c r="L33" s="26">
        <v>33.380000000000003</v>
      </c>
      <c r="M33" s="26">
        <v>48.05</v>
      </c>
      <c r="N33" s="26">
        <v>66.849999999999994</v>
      </c>
      <c r="O33" s="26">
        <v>87.04</v>
      </c>
      <c r="P33" s="26">
        <v>102.22</v>
      </c>
      <c r="Q33" s="26">
        <v>92.59</v>
      </c>
      <c r="R33" s="26">
        <v>83.2</v>
      </c>
      <c r="S33" s="26">
        <v>80.5</v>
      </c>
      <c r="T33" s="26">
        <v>83.44</v>
      </c>
      <c r="U33" s="26">
        <v>128.61000000000001</v>
      </c>
      <c r="V33" s="26">
        <v>139.72999999999999</v>
      </c>
      <c r="W33" s="26">
        <v>177.06</v>
      </c>
      <c r="X33" s="26">
        <v>174.76</v>
      </c>
      <c r="Y33" s="26">
        <v>160.55000000000001</v>
      </c>
      <c r="Z33" s="26">
        <v>126.51</v>
      </c>
      <c r="AA33" s="26">
        <v>79.989999999999995</v>
      </c>
      <c r="AB33" s="23">
        <f t="shared" si="0"/>
        <v>1764.3899999999999</v>
      </c>
      <c r="AC33" s="24">
        <v>4</v>
      </c>
      <c r="AD33" s="86"/>
    </row>
    <row r="34" spans="2:30" x14ac:dyDescent="0.2">
      <c r="B34" s="85">
        <v>47027</v>
      </c>
      <c r="C34" s="2" t="s">
        <v>29</v>
      </c>
      <c r="D34" s="26">
        <v>61.43</v>
      </c>
      <c r="E34" s="26">
        <v>43.53</v>
      </c>
      <c r="F34" s="26">
        <v>27.34</v>
      </c>
      <c r="G34" s="26">
        <v>22.17</v>
      </c>
      <c r="H34" s="26">
        <v>21.06</v>
      </c>
      <c r="I34" s="26">
        <v>19.32</v>
      </c>
      <c r="J34" s="26">
        <v>38.82</v>
      </c>
      <c r="K34" s="26">
        <v>36</v>
      </c>
      <c r="L34" s="26">
        <v>59.86</v>
      </c>
      <c r="M34" s="26">
        <v>76.760000000000005</v>
      </c>
      <c r="N34" s="26">
        <v>98.2</v>
      </c>
      <c r="O34" s="26">
        <v>121.05</v>
      </c>
      <c r="P34" s="26">
        <v>138.02000000000001</v>
      </c>
      <c r="Q34" s="26">
        <v>126.98</v>
      </c>
      <c r="R34" s="26">
        <v>116.35</v>
      </c>
      <c r="S34" s="26">
        <v>113.11</v>
      </c>
      <c r="T34" s="26">
        <v>116.11</v>
      </c>
      <c r="U34" s="26">
        <v>161.68</v>
      </c>
      <c r="V34" s="26">
        <v>174.21</v>
      </c>
      <c r="W34" s="26">
        <v>216.23</v>
      </c>
      <c r="X34" s="26">
        <v>213.64</v>
      </c>
      <c r="Y34" s="26">
        <v>197.65</v>
      </c>
      <c r="Z34" s="26">
        <v>159.32</v>
      </c>
      <c r="AA34" s="26">
        <v>79.989999999999995</v>
      </c>
      <c r="AB34" s="23">
        <f t="shared" si="0"/>
        <v>2438.83</v>
      </c>
      <c r="AC34" s="24">
        <v>21</v>
      </c>
      <c r="AD34" s="86">
        <f>+AB34*AC34+AB35*AC35+AB36*AC36</f>
        <v>70713.37</v>
      </c>
    </row>
    <row r="35" spans="2:30" x14ac:dyDescent="0.2">
      <c r="B35" s="85"/>
      <c r="C35" s="2" t="s">
        <v>30</v>
      </c>
      <c r="D35" s="26">
        <v>53.92</v>
      </c>
      <c r="E35" s="26">
        <v>36.64</v>
      </c>
      <c r="F35" s="26">
        <v>21.02</v>
      </c>
      <c r="G35" s="26">
        <v>16.03</v>
      </c>
      <c r="H35" s="26">
        <v>14.96</v>
      </c>
      <c r="I35" s="26">
        <v>13.28</v>
      </c>
      <c r="J35" s="26">
        <v>32.090000000000003</v>
      </c>
      <c r="K35" s="26">
        <v>28.65</v>
      </c>
      <c r="L35" s="26">
        <v>51.58</v>
      </c>
      <c r="M35" s="26">
        <v>67.77</v>
      </c>
      <c r="N35" s="26">
        <v>88.4</v>
      </c>
      <c r="O35" s="26">
        <v>110.41</v>
      </c>
      <c r="P35" s="26">
        <v>126.82</v>
      </c>
      <c r="Q35" s="26">
        <v>116.23</v>
      </c>
      <c r="R35" s="26">
        <v>105.98</v>
      </c>
      <c r="S35" s="26">
        <v>102.91</v>
      </c>
      <c r="T35" s="26">
        <v>105.89</v>
      </c>
      <c r="U35" s="26">
        <v>151.34</v>
      </c>
      <c r="V35" s="26">
        <v>163.43</v>
      </c>
      <c r="W35" s="26">
        <v>203.98</v>
      </c>
      <c r="X35" s="26">
        <v>201.48</v>
      </c>
      <c r="Y35" s="26">
        <v>186.04</v>
      </c>
      <c r="Z35" s="26">
        <v>149.06</v>
      </c>
      <c r="AA35" s="26">
        <v>79.989999999999995</v>
      </c>
      <c r="AB35" s="23">
        <f t="shared" si="0"/>
        <v>2227.8999999999996</v>
      </c>
      <c r="AC35" s="24">
        <v>4</v>
      </c>
      <c r="AD35" s="86"/>
    </row>
    <row r="36" spans="2:30" x14ac:dyDescent="0.2">
      <c r="B36" s="85"/>
      <c r="C36" s="2" t="s">
        <v>63</v>
      </c>
      <c r="D36" s="26">
        <v>37.409999999999997</v>
      </c>
      <c r="E36" s="26">
        <v>21.5</v>
      </c>
      <c r="F36" s="26">
        <v>7.13</v>
      </c>
      <c r="G36" s="26">
        <v>2.52</v>
      </c>
      <c r="H36" s="26">
        <v>1.55</v>
      </c>
      <c r="I36" s="26">
        <v>0</v>
      </c>
      <c r="J36" s="26">
        <v>17.32</v>
      </c>
      <c r="K36" s="26">
        <v>12.48</v>
      </c>
      <c r="L36" s="26">
        <v>33.380000000000003</v>
      </c>
      <c r="M36" s="26">
        <v>48.05</v>
      </c>
      <c r="N36" s="26">
        <v>66.849999999999994</v>
      </c>
      <c r="O36" s="26">
        <v>87.04</v>
      </c>
      <c r="P36" s="26">
        <v>102.22</v>
      </c>
      <c r="Q36" s="26">
        <v>92.59</v>
      </c>
      <c r="R36" s="26">
        <v>83.2</v>
      </c>
      <c r="S36" s="26">
        <v>80.5</v>
      </c>
      <c r="T36" s="26">
        <v>83.44</v>
      </c>
      <c r="U36" s="26">
        <v>128.61000000000001</v>
      </c>
      <c r="V36" s="26">
        <v>139.72999999999999</v>
      </c>
      <c r="W36" s="26">
        <v>177.06</v>
      </c>
      <c r="X36" s="26">
        <v>174.76</v>
      </c>
      <c r="Y36" s="26">
        <v>160.55000000000001</v>
      </c>
      <c r="Z36" s="26">
        <v>126.51</v>
      </c>
      <c r="AA36" s="26">
        <v>79.989999999999995</v>
      </c>
      <c r="AB36" s="23">
        <f t="shared" si="0"/>
        <v>1764.3899999999999</v>
      </c>
      <c r="AC36" s="24">
        <v>6</v>
      </c>
      <c r="AD36" s="86"/>
    </row>
    <row r="37" spans="2:30" x14ac:dyDescent="0.2">
      <c r="B37" s="85">
        <v>47058</v>
      </c>
      <c r="C37" s="2" t="s">
        <v>29</v>
      </c>
      <c r="D37" s="26">
        <v>61.43</v>
      </c>
      <c r="E37" s="26">
        <v>43.53</v>
      </c>
      <c r="F37" s="26">
        <v>27.34</v>
      </c>
      <c r="G37" s="26">
        <v>22.17</v>
      </c>
      <c r="H37" s="26">
        <v>21.06</v>
      </c>
      <c r="I37" s="26">
        <v>19.32</v>
      </c>
      <c r="J37" s="26">
        <v>38.82</v>
      </c>
      <c r="K37" s="26">
        <v>36</v>
      </c>
      <c r="L37" s="26">
        <v>59.86</v>
      </c>
      <c r="M37" s="26">
        <v>76.760000000000005</v>
      </c>
      <c r="N37" s="26">
        <v>98.2</v>
      </c>
      <c r="O37" s="26">
        <v>121.05</v>
      </c>
      <c r="P37" s="26">
        <v>138.02000000000001</v>
      </c>
      <c r="Q37" s="26">
        <v>126.98</v>
      </c>
      <c r="R37" s="26">
        <v>116.35</v>
      </c>
      <c r="S37" s="26">
        <v>113.11</v>
      </c>
      <c r="T37" s="26">
        <v>116.11</v>
      </c>
      <c r="U37" s="26">
        <v>161.68</v>
      </c>
      <c r="V37" s="26">
        <v>174.21</v>
      </c>
      <c r="W37" s="26">
        <v>216.23</v>
      </c>
      <c r="X37" s="26">
        <v>213.64</v>
      </c>
      <c r="Y37" s="26">
        <v>197.65</v>
      </c>
      <c r="Z37" s="26">
        <v>159.32</v>
      </c>
      <c r="AA37" s="26">
        <v>79.989999999999995</v>
      </c>
      <c r="AB37" s="23">
        <f t="shared" si="0"/>
        <v>2438.83</v>
      </c>
      <c r="AC37" s="24">
        <v>20</v>
      </c>
      <c r="AD37" s="86">
        <f>+AB37*AC37+AB38*AC38+AB39*AC39</f>
        <v>68274.539999999994</v>
      </c>
    </row>
    <row r="38" spans="2:30" x14ac:dyDescent="0.2">
      <c r="B38" s="85"/>
      <c r="C38" s="2" t="s">
        <v>30</v>
      </c>
      <c r="D38" s="26">
        <v>53.92</v>
      </c>
      <c r="E38" s="26">
        <v>36.64</v>
      </c>
      <c r="F38" s="26">
        <v>21.02</v>
      </c>
      <c r="G38" s="26">
        <v>16.03</v>
      </c>
      <c r="H38" s="26">
        <v>14.96</v>
      </c>
      <c r="I38" s="26">
        <v>13.28</v>
      </c>
      <c r="J38" s="26">
        <v>32.090000000000003</v>
      </c>
      <c r="K38" s="26">
        <v>28.65</v>
      </c>
      <c r="L38" s="26">
        <v>51.58</v>
      </c>
      <c r="M38" s="26">
        <v>67.77</v>
      </c>
      <c r="N38" s="26">
        <v>88.4</v>
      </c>
      <c r="O38" s="26">
        <v>110.41</v>
      </c>
      <c r="P38" s="26">
        <v>126.82</v>
      </c>
      <c r="Q38" s="26">
        <v>116.23</v>
      </c>
      <c r="R38" s="26">
        <v>105.98</v>
      </c>
      <c r="S38" s="26">
        <v>102.91</v>
      </c>
      <c r="T38" s="26">
        <v>105.89</v>
      </c>
      <c r="U38" s="26">
        <v>151.34</v>
      </c>
      <c r="V38" s="26">
        <v>163.43</v>
      </c>
      <c r="W38" s="26">
        <v>203.98</v>
      </c>
      <c r="X38" s="26">
        <v>201.48</v>
      </c>
      <c r="Y38" s="26">
        <v>186.04</v>
      </c>
      <c r="Z38" s="26">
        <v>149.06</v>
      </c>
      <c r="AA38" s="26">
        <v>79.989999999999995</v>
      </c>
      <c r="AB38" s="23">
        <f t="shared" si="0"/>
        <v>2227.8999999999996</v>
      </c>
      <c r="AC38" s="24">
        <v>4</v>
      </c>
      <c r="AD38" s="86"/>
    </row>
    <row r="39" spans="2:30" x14ac:dyDescent="0.2">
      <c r="B39" s="85"/>
      <c r="C39" s="2" t="s">
        <v>63</v>
      </c>
      <c r="D39" s="26">
        <v>37.409999999999997</v>
      </c>
      <c r="E39" s="26">
        <v>21.5</v>
      </c>
      <c r="F39" s="26">
        <v>7.13</v>
      </c>
      <c r="G39" s="26">
        <v>2.52</v>
      </c>
      <c r="H39" s="26">
        <v>1.55</v>
      </c>
      <c r="I39" s="26">
        <v>0</v>
      </c>
      <c r="J39" s="26">
        <v>17.32</v>
      </c>
      <c r="K39" s="26">
        <v>12.48</v>
      </c>
      <c r="L39" s="26">
        <v>33.380000000000003</v>
      </c>
      <c r="M39" s="26">
        <v>48.05</v>
      </c>
      <c r="N39" s="26">
        <v>66.849999999999994</v>
      </c>
      <c r="O39" s="26">
        <v>87.04</v>
      </c>
      <c r="P39" s="26">
        <v>102.22</v>
      </c>
      <c r="Q39" s="26">
        <v>92.59</v>
      </c>
      <c r="R39" s="26">
        <v>83.2</v>
      </c>
      <c r="S39" s="26">
        <v>80.5</v>
      </c>
      <c r="T39" s="26">
        <v>83.44</v>
      </c>
      <c r="U39" s="26">
        <v>128.61000000000001</v>
      </c>
      <c r="V39" s="26">
        <v>139.72999999999999</v>
      </c>
      <c r="W39" s="26">
        <v>177.06</v>
      </c>
      <c r="X39" s="26">
        <v>174.76</v>
      </c>
      <c r="Y39" s="26">
        <v>160.55000000000001</v>
      </c>
      <c r="Z39" s="26">
        <v>126.51</v>
      </c>
      <c r="AA39" s="26">
        <v>79.989999999999995</v>
      </c>
      <c r="AB39" s="23">
        <f t="shared" si="0"/>
        <v>1764.3899999999999</v>
      </c>
      <c r="AC39" s="24">
        <v>6</v>
      </c>
      <c r="AD39" s="86"/>
    </row>
    <row r="40" spans="2:30" x14ac:dyDescent="0.2">
      <c r="B40" s="85">
        <v>47088</v>
      </c>
      <c r="C40" s="2" t="s">
        <v>29</v>
      </c>
      <c r="D40" s="26">
        <v>61.43</v>
      </c>
      <c r="E40" s="26">
        <v>43.53</v>
      </c>
      <c r="F40" s="26">
        <v>27.34</v>
      </c>
      <c r="G40" s="26">
        <v>22.17</v>
      </c>
      <c r="H40" s="26">
        <v>21.06</v>
      </c>
      <c r="I40" s="26">
        <v>19.32</v>
      </c>
      <c r="J40" s="26">
        <v>38.82</v>
      </c>
      <c r="K40" s="26">
        <v>36</v>
      </c>
      <c r="L40" s="26">
        <v>59.86</v>
      </c>
      <c r="M40" s="26">
        <v>76.760000000000005</v>
      </c>
      <c r="N40" s="26">
        <v>98.2</v>
      </c>
      <c r="O40" s="26">
        <v>121.05</v>
      </c>
      <c r="P40" s="26">
        <v>138.02000000000001</v>
      </c>
      <c r="Q40" s="26">
        <v>126.98</v>
      </c>
      <c r="R40" s="26">
        <v>116.35</v>
      </c>
      <c r="S40" s="26">
        <v>113.11</v>
      </c>
      <c r="T40" s="26">
        <v>116.11</v>
      </c>
      <c r="U40" s="26">
        <v>161.68</v>
      </c>
      <c r="V40" s="26">
        <v>174.21</v>
      </c>
      <c r="W40" s="26">
        <v>216.23</v>
      </c>
      <c r="X40" s="26">
        <v>213.64</v>
      </c>
      <c r="Y40" s="26">
        <v>197.65</v>
      </c>
      <c r="Z40" s="26">
        <v>159.32</v>
      </c>
      <c r="AA40" s="26">
        <v>79.989999999999995</v>
      </c>
      <c r="AB40" s="23">
        <f t="shared" si="0"/>
        <v>2438.83</v>
      </c>
      <c r="AC40" s="24">
        <v>19</v>
      </c>
      <c r="AD40" s="86">
        <f>+AB40*AC40+AB41*AC41+AB42*AC42</f>
        <v>69828</v>
      </c>
    </row>
    <row r="41" spans="2:30" x14ac:dyDescent="0.2">
      <c r="B41" s="85"/>
      <c r="C41" s="2" t="s">
        <v>30</v>
      </c>
      <c r="D41" s="26">
        <v>53.92</v>
      </c>
      <c r="E41" s="26">
        <v>36.64</v>
      </c>
      <c r="F41" s="26">
        <v>21.02</v>
      </c>
      <c r="G41" s="26">
        <v>16.03</v>
      </c>
      <c r="H41" s="26">
        <v>14.96</v>
      </c>
      <c r="I41" s="26">
        <v>13.28</v>
      </c>
      <c r="J41" s="26">
        <v>32.090000000000003</v>
      </c>
      <c r="K41" s="26">
        <v>28.65</v>
      </c>
      <c r="L41" s="26">
        <v>51.58</v>
      </c>
      <c r="M41" s="26">
        <v>67.77</v>
      </c>
      <c r="N41" s="26">
        <v>88.4</v>
      </c>
      <c r="O41" s="26">
        <v>110.41</v>
      </c>
      <c r="P41" s="26">
        <v>126.82</v>
      </c>
      <c r="Q41" s="26">
        <v>116.23</v>
      </c>
      <c r="R41" s="26">
        <v>105.98</v>
      </c>
      <c r="S41" s="26">
        <v>102.91</v>
      </c>
      <c r="T41" s="26">
        <v>105.89</v>
      </c>
      <c r="U41" s="26">
        <v>151.34</v>
      </c>
      <c r="V41" s="26">
        <v>163.43</v>
      </c>
      <c r="W41" s="26">
        <v>203.98</v>
      </c>
      <c r="X41" s="26">
        <v>201.48</v>
      </c>
      <c r="Y41" s="26">
        <v>186.04</v>
      </c>
      <c r="Z41" s="26">
        <v>149.06</v>
      </c>
      <c r="AA41" s="26">
        <v>79.989999999999995</v>
      </c>
      <c r="AB41" s="23">
        <f t="shared" si="0"/>
        <v>2227.8999999999996</v>
      </c>
      <c r="AC41" s="24">
        <v>5</v>
      </c>
      <c r="AD41" s="86"/>
    </row>
    <row r="42" spans="2:30" x14ac:dyDescent="0.2">
      <c r="B42" s="85"/>
      <c r="C42" s="2" t="s">
        <v>63</v>
      </c>
      <c r="D42" s="26">
        <v>37.409999999999997</v>
      </c>
      <c r="E42" s="26">
        <v>21.5</v>
      </c>
      <c r="F42" s="26">
        <v>7.13</v>
      </c>
      <c r="G42" s="26">
        <v>2.52</v>
      </c>
      <c r="H42" s="26">
        <v>1.55</v>
      </c>
      <c r="I42" s="26">
        <v>0</v>
      </c>
      <c r="J42" s="26">
        <v>17.32</v>
      </c>
      <c r="K42" s="26">
        <v>12.48</v>
      </c>
      <c r="L42" s="26">
        <v>33.380000000000003</v>
      </c>
      <c r="M42" s="26">
        <v>48.05</v>
      </c>
      <c r="N42" s="26">
        <v>66.849999999999994</v>
      </c>
      <c r="O42" s="26">
        <v>87.04</v>
      </c>
      <c r="P42" s="26">
        <v>102.22</v>
      </c>
      <c r="Q42" s="26">
        <v>92.59</v>
      </c>
      <c r="R42" s="26">
        <v>83.2</v>
      </c>
      <c r="S42" s="26">
        <v>80.5</v>
      </c>
      <c r="T42" s="26">
        <v>83.44</v>
      </c>
      <c r="U42" s="26">
        <v>128.61000000000001</v>
      </c>
      <c r="V42" s="26">
        <v>139.72999999999999</v>
      </c>
      <c r="W42" s="26">
        <v>177.06</v>
      </c>
      <c r="X42" s="26">
        <v>174.76</v>
      </c>
      <c r="Y42" s="26">
        <v>160.55000000000001</v>
      </c>
      <c r="Z42" s="26">
        <v>126.51</v>
      </c>
      <c r="AA42" s="26">
        <v>79.989999999999995</v>
      </c>
      <c r="AB42" s="23">
        <f t="shared" si="0"/>
        <v>1764.3899999999999</v>
      </c>
      <c r="AC42" s="24">
        <v>7</v>
      </c>
      <c r="AD42" s="86"/>
    </row>
    <row r="43" spans="2:30" ht="15.75" x14ac:dyDescent="0.25">
      <c r="AA43" s="87" t="s">
        <v>31</v>
      </c>
      <c r="AB43" s="88"/>
      <c r="AC43" s="89"/>
      <c r="AD43" s="25">
        <f>SUM(AD7:AD42)</f>
        <v>833758.18</v>
      </c>
    </row>
    <row r="45" spans="2:30" x14ac:dyDescent="0.2">
      <c r="AD45" s="71"/>
    </row>
  </sheetData>
  <mergeCells count="25">
    <mergeCell ref="AA43:AC43"/>
    <mergeCell ref="B34:B36"/>
    <mergeCell ref="AD34:AD36"/>
    <mergeCell ref="B37:B39"/>
    <mergeCell ref="AD37:AD39"/>
    <mergeCell ref="B40:B42"/>
    <mergeCell ref="AD40:AD42"/>
    <mergeCell ref="B25:B27"/>
    <mergeCell ref="AD25:AD27"/>
    <mergeCell ref="B28:B30"/>
    <mergeCell ref="AD28:AD30"/>
    <mergeCell ref="B31:B33"/>
    <mergeCell ref="AD31:AD33"/>
    <mergeCell ref="B16:B18"/>
    <mergeCell ref="AD16:AD18"/>
    <mergeCell ref="B19:B21"/>
    <mergeCell ref="AD19:AD21"/>
    <mergeCell ref="B22:B24"/>
    <mergeCell ref="AD22:AD24"/>
    <mergeCell ref="B7:B9"/>
    <mergeCell ref="AD7:AD9"/>
    <mergeCell ref="B10:B12"/>
    <mergeCell ref="AD10:AD12"/>
    <mergeCell ref="B13:B15"/>
    <mergeCell ref="AD13:AD15"/>
  </mergeCells>
  <conditionalFormatting sqref="D7:AA42">
    <cfRule type="cellIs" dxfId="5" priority="5" operator="lessThan">
      <formula>0</formula>
    </cfRule>
    <cfRule type="cellIs" dxfId="4" priority="6" operator="equal">
      <formula>"&gt;0"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EE615-B6D9-4C90-ABB7-1166D8E52B0F}">
  <sheetPr>
    <tabColor theme="7" tint="0.39997558519241921"/>
  </sheetPr>
  <dimension ref="B2:M23"/>
  <sheetViews>
    <sheetView showGridLines="0" zoomScale="80" zoomScaleNormal="80" workbookViewId="0">
      <selection activeCell="C21" sqref="C21"/>
    </sheetView>
  </sheetViews>
  <sheetFormatPr baseColWidth="10" defaultColWidth="10.88671875" defaultRowHeight="15" x14ac:dyDescent="0.2"/>
  <cols>
    <col min="1" max="2" width="10.88671875" style="3"/>
    <col min="3" max="4" width="12.109375" style="3" customWidth="1"/>
    <col min="5" max="5" width="13.109375" style="3" customWidth="1"/>
    <col min="6" max="6" width="12.5546875" style="3" customWidth="1"/>
    <col min="7" max="7" width="8.109375" style="3" customWidth="1"/>
    <col min="8" max="16384" width="10.88671875" style="3"/>
  </cols>
  <sheetData>
    <row r="2" spans="2:8" x14ac:dyDescent="0.2">
      <c r="B2" s="45"/>
      <c r="C2" s="46"/>
      <c r="D2" s="46"/>
      <c r="E2" s="46"/>
      <c r="F2" s="46"/>
      <c r="G2" s="46"/>
      <c r="H2" s="47"/>
    </row>
    <row r="3" spans="2:8" ht="18" x14ac:dyDescent="0.2">
      <c r="B3" s="39"/>
      <c r="C3" s="48" t="s">
        <v>32</v>
      </c>
      <c r="H3" s="40"/>
    </row>
    <row r="4" spans="2:8" ht="18" x14ac:dyDescent="0.2">
      <c r="B4" s="39"/>
      <c r="C4" s="48" t="s">
        <v>33</v>
      </c>
      <c r="H4" s="40"/>
    </row>
    <row r="5" spans="2:8" ht="18" x14ac:dyDescent="0.2">
      <c r="B5" s="39"/>
      <c r="C5" s="48" t="s">
        <v>62</v>
      </c>
      <c r="H5" s="40"/>
    </row>
    <row r="6" spans="2:8" ht="18" x14ac:dyDescent="0.2">
      <c r="B6" s="39"/>
      <c r="C6" s="48"/>
      <c r="H6" s="40"/>
    </row>
    <row r="7" spans="2:8" ht="18" x14ac:dyDescent="0.2">
      <c r="B7" s="39"/>
      <c r="C7" s="48" t="s">
        <v>54</v>
      </c>
      <c r="H7" s="40"/>
    </row>
    <row r="8" spans="2:8" x14ac:dyDescent="0.2">
      <c r="B8" s="39"/>
      <c r="H8" s="40"/>
    </row>
    <row r="9" spans="2:8" ht="18" x14ac:dyDescent="0.2">
      <c r="B9" s="39"/>
      <c r="C9" s="13" t="s">
        <v>76</v>
      </c>
      <c r="H9" s="40"/>
    </row>
    <row r="10" spans="2:8" x14ac:dyDescent="0.2">
      <c r="B10" s="39"/>
      <c r="H10" s="40"/>
    </row>
    <row r="11" spans="2:8" ht="15.75" x14ac:dyDescent="0.25">
      <c r="B11" s="39"/>
      <c r="C11" s="49"/>
      <c r="H11" s="50"/>
    </row>
    <row r="12" spans="2:8" ht="45" x14ac:dyDescent="0.25">
      <c r="B12" s="39"/>
      <c r="C12" s="34" t="s">
        <v>46</v>
      </c>
      <c r="D12" s="34" t="s">
        <v>34</v>
      </c>
      <c r="E12" s="6" t="s">
        <v>91</v>
      </c>
      <c r="F12" s="6" t="s">
        <v>56</v>
      </c>
      <c r="G12" s="51"/>
      <c r="H12" s="50"/>
    </row>
    <row r="13" spans="2:8" ht="15.75" x14ac:dyDescent="0.25">
      <c r="B13" s="39"/>
      <c r="C13" s="52">
        <v>2028</v>
      </c>
      <c r="D13" s="53">
        <f>P4_Anexo_1_2028!AD43</f>
        <v>833758.18</v>
      </c>
      <c r="E13" s="58"/>
      <c r="F13" s="58"/>
      <c r="G13" s="38"/>
      <c r="H13" s="50"/>
    </row>
    <row r="14" spans="2:8" ht="15.75" x14ac:dyDescent="0.25">
      <c r="B14" s="39"/>
      <c r="C14" s="55" t="s">
        <v>35</v>
      </c>
      <c r="D14" s="56">
        <f>SUM(D13:D13)</f>
        <v>833758.18</v>
      </c>
      <c r="H14" s="50"/>
    </row>
    <row r="15" spans="2:8" ht="15.75" x14ac:dyDescent="0.25">
      <c r="B15" s="39"/>
      <c r="H15" s="50"/>
    </row>
    <row r="16" spans="2:8" x14ac:dyDescent="0.2">
      <c r="B16" s="39"/>
      <c r="H16" s="40"/>
    </row>
    <row r="17" spans="2:13" x14ac:dyDescent="0.2">
      <c r="B17" s="39"/>
      <c r="C17" s="41" t="s">
        <v>36</v>
      </c>
      <c r="H17" s="40"/>
      <c r="M17" s="57"/>
    </row>
    <row r="18" spans="2:13" x14ac:dyDescent="0.2">
      <c r="B18" s="39"/>
      <c r="C18" s="41" t="s">
        <v>58</v>
      </c>
      <c r="H18" s="40"/>
    </row>
    <row r="19" spans="2:13" x14ac:dyDescent="0.2">
      <c r="B19" s="39"/>
      <c r="C19" s="41" t="s">
        <v>94</v>
      </c>
      <c r="H19" s="40"/>
    </row>
    <row r="20" spans="2:13" x14ac:dyDescent="0.2">
      <c r="B20" s="39"/>
      <c r="C20" s="41" t="s">
        <v>37</v>
      </c>
      <c r="H20" s="40"/>
    </row>
    <row r="21" spans="2:13" x14ac:dyDescent="0.2">
      <c r="B21" s="39"/>
      <c r="C21" s="41" t="s">
        <v>38</v>
      </c>
      <c r="H21" s="40"/>
    </row>
    <row r="22" spans="2:13" x14ac:dyDescent="0.2">
      <c r="B22" s="39"/>
      <c r="C22" s="41"/>
      <c r="H22" s="40"/>
    </row>
    <row r="23" spans="2:13" x14ac:dyDescent="0.2">
      <c r="B23" s="42"/>
      <c r="C23" s="43"/>
      <c r="D23" s="43"/>
      <c r="E23" s="43"/>
      <c r="F23" s="43"/>
      <c r="G23" s="43"/>
      <c r="H23" s="4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6CC3-AD14-4DBE-A4FA-CFF1B8BC46A3}">
  <sheetPr>
    <tabColor theme="9" tint="0.39997558519241921"/>
  </sheetPr>
  <dimension ref="B2:AD43"/>
  <sheetViews>
    <sheetView showGridLines="0" zoomScale="60" zoomScaleNormal="6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I26" sqref="AI26"/>
    </sheetView>
  </sheetViews>
  <sheetFormatPr baseColWidth="10" defaultRowHeight="15" x14ac:dyDescent="0.2"/>
  <cols>
    <col min="1" max="1" width="2.6640625" customWidth="1"/>
    <col min="4" max="27" width="8.109375" bestFit="1" customWidth="1"/>
    <col min="28" max="28" width="7.109375" bestFit="1" customWidth="1"/>
    <col min="29" max="29" width="8.6640625" bestFit="1" customWidth="1"/>
    <col min="30" max="30" width="11.5546875" bestFit="1" customWidth="1"/>
  </cols>
  <sheetData>
    <row r="2" spans="2:30" ht="23.25" x14ac:dyDescent="0.35">
      <c r="B2" s="1" t="s">
        <v>55</v>
      </c>
    </row>
    <row r="3" spans="2:30" ht="23.25" x14ac:dyDescent="0.35">
      <c r="B3" s="1" t="s">
        <v>64</v>
      </c>
    </row>
    <row r="4" spans="2:30" ht="23.25" x14ac:dyDescent="0.35">
      <c r="B4" s="1"/>
    </row>
    <row r="5" spans="2:30" ht="23.25" x14ac:dyDescent="0.35">
      <c r="B5" s="1" t="s">
        <v>45</v>
      </c>
    </row>
    <row r="6" spans="2:30" x14ac:dyDescent="0.2">
      <c r="B6" s="22" t="s">
        <v>0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  <c r="J6" s="22" t="s">
        <v>8</v>
      </c>
      <c r="K6" s="22" t="s">
        <v>9</v>
      </c>
      <c r="L6" s="22" t="s">
        <v>10</v>
      </c>
      <c r="M6" s="22" t="s">
        <v>11</v>
      </c>
      <c r="N6" s="22" t="s">
        <v>12</v>
      </c>
      <c r="O6" s="22" t="s">
        <v>13</v>
      </c>
      <c r="P6" s="22" t="s">
        <v>14</v>
      </c>
      <c r="Q6" s="22" t="s">
        <v>15</v>
      </c>
      <c r="R6" s="22" t="s">
        <v>16</v>
      </c>
      <c r="S6" s="22" t="s">
        <v>17</v>
      </c>
      <c r="T6" s="22" t="s">
        <v>18</v>
      </c>
      <c r="U6" s="22" t="s">
        <v>19</v>
      </c>
      <c r="V6" s="22" t="s">
        <v>20</v>
      </c>
      <c r="W6" s="22" t="s">
        <v>21</v>
      </c>
      <c r="X6" s="22" t="s">
        <v>22</v>
      </c>
      <c r="Y6" s="22" t="s">
        <v>23</v>
      </c>
      <c r="Z6" s="22" t="s">
        <v>24</v>
      </c>
      <c r="AA6" s="22" t="s">
        <v>25</v>
      </c>
      <c r="AB6" s="22" t="s">
        <v>26</v>
      </c>
      <c r="AC6" s="22" t="s">
        <v>27</v>
      </c>
      <c r="AD6" s="22" t="s">
        <v>28</v>
      </c>
    </row>
    <row r="7" spans="2:30" x14ac:dyDescent="0.2">
      <c r="B7" s="85">
        <v>47119</v>
      </c>
      <c r="C7" s="2" t="s">
        <v>29</v>
      </c>
      <c r="D7" s="26">
        <v>76.89</v>
      </c>
      <c r="E7" s="26">
        <v>76.89</v>
      </c>
      <c r="F7" s="26">
        <v>76.89</v>
      </c>
      <c r="G7" s="26">
        <v>76.89</v>
      </c>
      <c r="H7" s="26">
        <v>76.89</v>
      </c>
      <c r="I7" s="26">
        <v>76.89</v>
      </c>
      <c r="J7" s="26">
        <v>76.89</v>
      </c>
      <c r="K7" s="26">
        <v>76.89</v>
      </c>
      <c r="L7" s="26">
        <v>76.89</v>
      </c>
      <c r="M7" s="26">
        <v>76.89</v>
      </c>
      <c r="N7" s="26">
        <v>76.89</v>
      </c>
      <c r="O7" s="26">
        <v>76.89</v>
      </c>
      <c r="P7" s="26">
        <v>76.89</v>
      </c>
      <c r="Q7" s="26">
        <v>76.89</v>
      </c>
      <c r="R7" s="26">
        <v>76.89</v>
      </c>
      <c r="S7" s="26">
        <v>76.89</v>
      </c>
      <c r="T7" s="26">
        <v>76.89</v>
      </c>
      <c r="U7" s="26">
        <v>76.89</v>
      </c>
      <c r="V7" s="26">
        <v>76.89</v>
      </c>
      <c r="W7" s="26">
        <v>76.89</v>
      </c>
      <c r="X7" s="26">
        <v>76.89</v>
      </c>
      <c r="Y7" s="26">
        <v>76.89</v>
      </c>
      <c r="Z7" s="26">
        <v>76.89</v>
      </c>
      <c r="AA7" s="26">
        <v>76.89</v>
      </c>
      <c r="AB7" s="23">
        <f>SUM(D7:AA7)</f>
        <v>1845.360000000001</v>
      </c>
      <c r="AC7" s="24">
        <v>21</v>
      </c>
      <c r="AD7" s="86">
        <f>+AB7*AC7+AB8*AC8+AB9*AC9</f>
        <v>57206.160000000033</v>
      </c>
    </row>
    <row r="8" spans="2:30" x14ac:dyDescent="0.2">
      <c r="B8" s="85"/>
      <c r="C8" s="2" t="s">
        <v>30</v>
      </c>
      <c r="D8" s="26">
        <v>76.89</v>
      </c>
      <c r="E8" s="26">
        <v>76.89</v>
      </c>
      <c r="F8" s="26">
        <v>76.89</v>
      </c>
      <c r="G8" s="26">
        <v>76.89</v>
      </c>
      <c r="H8" s="26">
        <v>76.89</v>
      </c>
      <c r="I8" s="26">
        <v>76.89</v>
      </c>
      <c r="J8" s="26">
        <v>76.89</v>
      </c>
      <c r="K8" s="26">
        <v>76.89</v>
      </c>
      <c r="L8" s="26">
        <v>76.89</v>
      </c>
      <c r="M8" s="26">
        <v>76.89</v>
      </c>
      <c r="N8" s="26">
        <v>76.89</v>
      </c>
      <c r="O8" s="26">
        <v>76.89</v>
      </c>
      <c r="P8" s="26">
        <v>76.89</v>
      </c>
      <c r="Q8" s="26">
        <v>76.89</v>
      </c>
      <c r="R8" s="26">
        <v>76.89</v>
      </c>
      <c r="S8" s="26">
        <v>76.89</v>
      </c>
      <c r="T8" s="26">
        <v>76.89</v>
      </c>
      <c r="U8" s="26">
        <v>76.89</v>
      </c>
      <c r="V8" s="26">
        <v>76.89</v>
      </c>
      <c r="W8" s="26">
        <v>76.89</v>
      </c>
      <c r="X8" s="26">
        <v>76.89</v>
      </c>
      <c r="Y8" s="26">
        <v>76.89</v>
      </c>
      <c r="Z8" s="26">
        <v>76.89</v>
      </c>
      <c r="AA8" s="26">
        <v>76.89</v>
      </c>
      <c r="AB8" s="23">
        <f t="shared" ref="AB8:AB42" si="0">SUM(D8:AA8)</f>
        <v>1845.360000000001</v>
      </c>
      <c r="AC8" s="24">
        <v>4</v>
      </c>
      <c r="AD8" s="86"/>
    </row>
    <row r="9" spans="2:30" x14ac:dyDescent="0.2">
      <c r="B9" s="85"/>
      <c r="C9" s="2" t="s">
        <v>63</v>
      </c>
      <c r="D9" s="26">
        <v>76.89</v>
      </c>
      <c r="E9" s="26">
        <v>76.89</v>
      </c>
      <c r="F9" s="26">
        <v>76.89</v>
      </c>
      <c r="G9" s="26">
        <v>76.89</v>
      </c>
      <c r="H9" s="26">
        <v>76.89</v>
      </c>
      <c r="I9" s="26">
        <v>76.89</v>
      </c>
      <c r="J9" s="26">
        <v>76.89</v>
      </c>
      <c r="K9" s="26">
        <v>76.89</v>
      </c>
      <c r="L9" s="26">
        <v>76.89</v>
      </c>
      <c r="M9" s="26">
        <v>76.89</v>
      </c>
      <c r="N9" s="26">
        <v>76.89</v>
      </c>
      <c r="O9" s="26">
        <v>76.89</v>
      </c>
      <c r="P9" s="26">
        <v>76.89</v>
      </c>
      <c r="Q9" s="26">
        <v>76.89</v>
      </c>
      <c r="R9" s="26">
        <v>76.89</v>
      </c>
      <c r="S9" s="26">
        <v>76.89</v>
      </c>
      <c r="T9" s="26">
        <v>76.89</v>
      </c>
      <c r="U9" s="26">
        <v>76.89</v>
      </c>
      <c r="V9" s="26">
        <v>76.89</v>
      </c>
      <c r="W9" s="26">
        <v>76.89</v>
      </c>
      <c r="X9" s="26">
        <v>76.89</v>
      </c>
      <c r="Y9" s="26">
        <v>76.89</v>
      </c>
      <c r="Z9" s="26">
        <v>76.89</v>
      </c>
      <c r="AA9" s="26">
        <v>76.89</v>
      </c>
      <c r="AB9" s="23">
        <f t="shared" si="0"/>
        <v>1845.360000000001</v>
      </c>
      <c r="AC9" s="24">
        <v>6</v>
      </c>
      <c r="AD9" s="86"/>
    </row>
    <row r="10" spans="2:30" x14ac:dyDescent="0.2">
      <c r="B10" s="85">
        <v>47150</v>
      </c>
      <c r="C10" s="2" t="s">
        <v>29</v>
      </c>
      <c r="D10" s="26">
        <v>76.89</v>
      </c>
      <c r="E10" s="26">
        <v>76.89</v>
      </c>
      <c r="F10" s="26">
        <v>76.89</v>
      </c>
      <c r="G10" s="26">
        <v>76.89</v>
      </c>
      <c r="H10" s="26">
        <v>76.89</v>
      </c>
      <c r="I10" s="26">
        <v>76.89</v>
      </c>
      <c r="J10" s="26">
        <v>76.89</v>
      </c>
      <c r="K10" s="26">
        <v>76.89</v>
      </c>
      <c r="L10" s="26">
        <v>76.89</v>
      </c>
      <c r="M10" s="26">
        <v>76.89</v>
      </c>
      <c r="N10" s="26">
        <v>76.89</v>
      </c>
      <c r="O10" s="26">
        <v>76.89</v>
      </c>
      <c r="P10" s="26">
        <v>76.89</v>
      </c>
      <c r="Q10" s="26">
        <v>76.89</v>
      </c>
      <c r="R10" s="26">
        <v>76.89</v>
      </c>
      <c r="S10" s="26">
        <v>76.89</v>
      </c>
      <c r="T10" s="26">
        <v>76.89</v>
      </c>
      <c r="U10" s="26">
        <v>76.89</v>
      </c>
      <c r="V10" s="26">
        <v>76.89</v>
      </c>
      <c r="W10" s="26">
        <v>76.89</v>
      </c>
      <c r="X10" s="26">
        <v>76.89</v>
      </c>
      <c r="Y10" s="26">
        <v>76.89</v>
      </c>
      <c r="Z10" s="26">
        <v>76.89</v>
      </c>
      <c r="AA10" s="26">
        <v>76.89</v>
      </c>
      <c r="AB10" s="23">
        <f t="shared" si="0"/>
        <v>1845.360000000001</v>
      </c>
      <c r="AC10" s="24">
        <v>20</v>
      </c>
      <c r="AD10" s="86">
        <f>+AB10*AC10+AB11*AC11+AB12*AC12</f>
        <v>51670.080000000024</v>
      </c>
    </row>
    <row r="11" spans="2:30" x14ac:dyDescent="0.2">
      <c r="B11" s="85"/>
      <c r="C11" s="2" t="s">
        <v>30</v>
      </c>
      <c r="D11" s="26">
        <v>76.89</v>
      </c>
      <c r="E11" s="26">
        <v>76.89</v>
      </c>
      <c r="F11" s="26">
        <v>76.89</v>
      </c>
      <c r="G11" s="26">
        <v>76.89</v>
      </c>
      <c r="H11" s="26">
        <v>76.89</v>
      </c>
      <c r="I11" s="26">
        <v>76.89</v>
      </c>
      <c r="J11" s="26">
        <v>76.89</v>
      </c>
      <c r="K11" s="26">
        <v>76.89</v>
      </c>
      <c r="L11" s="26">
        <v>76.89</v>
      </c>
      <c r="M11" s="26">
        <v>76.89</v>
      </c>
      <c r="N11" s="26">
        <v>76.89</v>
      </c>
      <c r="O11" s="26">
        <v>76.89</v>
      </c>
      <c r="P11" s="26">
        <v>76.89</v>
      </c>
      <c r="Q11" s="26">
        <v>76.89</v>
      </c>
      <c r="R11" s="26">
        <v>76.89</v>
      </c>
      <c r="S11" s="26">
        <v>76.89</v>
      </c>
      <c r="T11" s="26">
        <v>76.89</v>
      </c>
      <c r="U11" s="26">
        <v>76.89</v>
      </c>
      <c r="V11" s="26">
        <v>76.89</v>
      </c>
      <c r="W11" s="26">
        <v>76.89</v>
      </c>
      <c r="X11" s="26">
        <v>76.89</v>
      </c>
      <c r="Y11" s="26">
        <v>76.89</v>
      </c>
      <c r="Z11" s="26">
        <v>76.89</v>
      </c>
      <c r="AA11" s="26">
        <v>76.89</v>
      </c>
      <c r="AB11" s="23">
        <f t="shared" si="0"/>
        <v>1845.360000000001</v>
      </c>
      <c r="AC11" s="24">
        <v>4</v>
      </c>
      <c r="AD11" s="86"/>
    </row>
    <row r="12" spans="2:30" x14ac:dyDescent="0.2">
      <c r="B12" s="85"/>
      <c r="C12" s="2" t="s">
        <v>63</v>
      </c>
      <c r="D12" s="26">
        <v>76.89</v>
      </c>
      <c r="E12" s="26">
        <v>76.89</v>
      </c>
      <c r="F12" s="26">
        <v>76.89</v>
      </c>
      <c r="G12" s="26">
        <v>76.89</v>
      </c>
      <c r="H12" s="26">
        <v>76.89</v>
      </c>
      <c r="I12" s="26">
        <v>76.89</v>
      </c>
      <c r="J12" s="26">
        <v>76.89</v>
      </c>
      <c r="K12" s="26">
        <v>76.89</v>
      </c>
      <c r="L12" s="26">
        <v>76.89</v>
      </c>
      <c r="M12" s="26">
        <v>76.89</v>
      </c>
      <c r="N12" s="26">
        <v>76.89</v>
      </c>
      <c r="O12" s="26">
        <v>76.89</v>
      </c>
      <c r="P12" s="26">
        <v>76.89</v>
      </c>
      <c r="Q12" s="26">
        <v>76.89</v>
      </c>
      <c r="R12" s="26">
        <v>76.89</v>
      </c>
      <c r="S12" s="26">
        <v>76.89</v>
      </c>
      <c r="T12" s="26">
        <v>76.89</v>
      </c>
      <c r="U12" s="26">
        <v>76.89</v>
      </c>
      <c r="V12" s="26">
        <v>76.89</v>
      </c>
      <c r="W12" s="26">
        <v>76.89</v>
      </c>
      <c r="X12" s="26">
        <v>76.89</v>
      </c>
      <c r="Y12" s="26">
        <v>76.89</v>
      </c>
      <c r="Z12" s="26">
        <v>76.89</v>
      </c>
      <c r="AA12" s="26">
        <v>76.89</v>
      </c>
      <c r="AB12" s="23">
        <f t="shared" si="0"/>
        <v>1845.360000000001</v>
      </c>
      <c r="AC12" s="24">
        <v>4</v>
      </c>
      <c r="AD12" s="86"/>
    </row>
    <row r="13" spans="2:30" x14ac:dyDescent="0.2">
      <c r="B13" s="85">
        <v>47178</v>
      </c>
      <c r="C13" s="2" t="s">
        <v>29</v>
      </c>
      <c r="D13" s="26">
        <v>76.89</v>
      </c>
      <c r="E13" s="26">
        <v>76.89</v>
      </c>
      <c r="F13" s="26">
        <v>76.89</v>
      </c>
      <c r="G13" s="26">
        <v>76.89</v>
      </c>
      <c r="H13" s="26">
        <v>76.89</v>
      </c>
      <c r="I13" s="26">
        <v>76.89</v>
      </c>
      <c r="J13" s="26">
        <v>76.89</v>
      </c>
      <c r="K13" s="26">
        <v>76.89</v>
      </c>
      <c r="L13" s="26">
        <v>76.89</v>
      </c>
      <c r="M13" s="26">
        <v>76.89</v>
      </c>
      <c r="N13" s="26">
        <v>76.89</v>
      </c>
      <c r="O13" s="26">
        <v>76.89</v>
      </c>
      <c r="P13" s="26">
        <v>76.89</v>
      </c>
      <c r="Q13" s="26">
        <v>76.89</v>
      </c>
      <c r="R13" s="26">
        <v>76.89</v>
      </c>
      <c r="S13" s="26">
        <v>76.89</v>
      </c>
      <c r="T13" s="26">
        <v>76.89</v>
      </c>
      <c r="U13" s="26">
        <v>76.89</v>
      </c>
      <c r="V13" s="26">
        <v>76.89</v>
      </c>
      <c r="W13" s="26">
        <v>76.89</v>
      </c>
      <c r="X13" s="26">
        <v>76.89</v>
      </c>
      <c r="Y13" s="26">
        <v>76.89</v>
      </c>
      <c r="Z13" s="26">
        <v>76.89</v>
      </c>
      <c r="AA13" s="26">
        <v>76.89</v>
      </c>
      <c r="AB13" s="23">
        <f t="shared" si="0"/>
        <v>1845.360000000001</v>
      </c>
      <c r="AC13" s="24">
        <v>19</v>
      </c>
      <c r="AD13" s="86">
        <f>+AB13*AC13+AB14*AC14+AB15*AC15</f>
        <v>57206.160000000033</v>
      </c>
    </row>
    <row r="14" spans="2:30" x14ac:dyDescent="0.2">
      <c r="B14" s="85"/>
      <c r="C14" s="2" t="s">
        <v>30</v>
      </c>
      <c r="D14" s="26">
        <v>76.89</v>
      </c>
      <c r="E14" s="26">
        <v>76.89</v>
      </c>
      <c r="F14" s="26">
        <v>76.89</v>
      </c>
      <c r="G14" s="26">
        <v>76.89</v>
      </c>
      <c r="H14" s="26">
        <v>76.89</v>
      </c>
      <c r="I14" s="26">
        <v>76.89</v>
      </c>
      <c r="J14" s="26">
        <v>76.89</v>
      </c>
      <c r="K14" s="26">
        <v>76.89</v>
      </c>
      <c r="L14" s="26">
        <v>76.89</v>
      </c>
      <c r="M14" s="26">
        <v>76.89</v>
      </c>
      <c r="N14" s="26">
        <v>76.89</v>
      </c>
      <c r="O14" s="26">
        <v>76.89</v>
      </c>
      <c r="P14" s="26">
        <v>76.89</v>
      </c>
      <c r="Q14" s="26">
        <v>76.89</v>
      </c>
      <c r="R14" s="26">
        <v>76.89</v>
      </c>
      <c r="S14" s="26">
        <v>76.89</v>
      </c>
      <c r="T14" s="26">
        <v>76.89</v>
      </c>
      <c r="U14" s="26">
        <v>76.89</v>
      </c>
      <c r="V14" s="26">
        <v>76.89</v>
      </c>
      <c r="W14" s="26">
        <v>76.89</v>
      </c>
      <c r="X14" s="26">
        <v>76.89</v>
      </c>
      <c r="Y14" s="26">
        <v>76.89</v>
      </c>
      <c r="Z14" s="26">
        <v>76.89</v>
      </c>
      <c r="AA14" s="26">
        <v>76.89</v>
      </c>
      <c r="AB14" s="23">
        <f t="shared" si="0"/>
        <v>1845.360000000001</v>
      </c>
      <c r="AC14" s="24">
        <v>5</v>
      </c>
      <c r="AD14" s="86"/>
    </row>
    <row r="15" spans="2:30" x14ac:dyDescent="0.2">
      <c r="B15" s="85"/>
      <c r="C15" s="2" t="s">
        <v>63</v>
      </c>
      <c r="D15" s="26">
        <v>76.89</v>
      </c>
      <c r="E15" s="26">
        <v>76.89</v>
      </c>
      <c r="F15" s="26">
        <v>76.89</v>
      </c>
      <c r="G15" s="26">
        <v>76.89</v>
      </c>
      <c r="H15" s="26">
        <v>76.89</v>
      </c>
      <c r="I15" s="26">
        <v>76.89</v>
      </c>
      <c r="J15" s="26">
        <v>76.89</v>
      </c>
      <c r="K15" s="26">
        <v>76.89</v>
      </c>
      <c r="L15" s="26">
        <v>76.89</v>
      </c>
      <c r="M15" s="26">
        <v>76.89</v>
      </c>
      <c r="N15" s="26">
        <v>76.89</v>
      </c>
      <c r="O15" s="26">
        <v>76.89</v>
      </c>
      <c r="P15" s="26">
        <v>76.89</v>
      </c>
      <c r="Q15" s="26">
        <v>76.89</v>
      </c>
      <c r="R15" s="26">
        <v>76.89</v>
      </c>
      <c r="S15" s="26">
        <v>76.89</v>
      </c>
      <c r="T15" s="26">
        <v>76.89</v>
      </c>
      <c r="U15" s="26">
        <v>76.89</v>
      </c>
      <c r="V15" s="26">
        <v>76.89</v>
      </c>
      <c r="W15" s="26">
        <v>76.89</v>
      </c>
      <c r="X15" s="26">
        <v>76.89</v>
      </c>
      <c r="Y15" s="26">
        <v>76.89</v>
      </c>
      <c r="Z15" s="26">
        <v>76.89</v>
      </c>
      <c r="AA15" s="26">
        <v>76.89</v>
      </c>
      <c r="AB15" s="23">
        <f t="shared" si="0"/>
        <v>1845.360000000001</v>
      </c>
      <c r="AC15" s="24">
        <v>7</v>
      </c>
      <c r="AD15" s="86"/>
    </row>
    <row r="16" spans="2:30" x14ac:dyDescent="0.2">
      <c r="B16" s="85">
        <v>47209</v>
      </c>
      <c r="C16" s="2" t="s">
        <v>29</v>
      </c>
      <c r="D16" s="26">
        <v>76.89</v>
      </c>
      <c r="E16" s="26">
        <v>76.89</v>
      </c>
      <c r="F16" s="26">
        <v>76.89</v>
      </c>
      <c r="G16" s="26">
        <v>76.89</v>
      </c>
      <c r="H16" s="26">
        <v>76.89</v>
      </c>
      <c r="I16" s="26">
        <v>76.89</v>
      </c>
      <c r="J16" s="26">
        <v>76.89</v>
      </c>
      <c r="K16" s="26">
        <v>76.89</v>
      </c>
      <c r="L16" s="26">
        <v>76.89</v>
      </c>
      <c r="M16" s="26">
        <v>76.89</v>
      </c>
      <c r="N16" s="26">
        <v>76.89</v>
      </c>
      <c r="O16" s="26">
        <v>76.89</v>
      </c>
      <c r="P16" s="26">
        <v>76.89</v>
      </c>
      <c r="Q16" s="26">
        <v>76.89</v>
      </c>
      <c r="R16" s="26">
        <v>76.89</v>
      </c>
      <c r="S16" s="26">
        <v>76.89</v>
      </c>
      <c r="T16" s="26">
        <v>76.89</v>
      </c>
      <c r="U16" s="26">
        <v>76.89</v>
      </c>
      <c r="V16" s="26">
        <v>76.89</v>
      </c>
      <c r="W16" s="26">
        <v>76.89</v>
      </c>
      <c r="X16" s="26">
        <v>76.89</v>
      </c>
      <c r="Y16" s="26">
        <v>76.89</v>
      </c>
      <c r="Z16" s="26">
        <v>76.89</v>
      </c>
      <c r="AA16" s="26">
        <v>76.89</v>
      </c>
      <c r="AB16" s="23">
        <f t="shared" si="0"/>
        <v>1845.360000000001</v>
      </c>
      <c r="AC16" s="24">
        <v>21</v>
      </c>
      <c r="AD16" s="86">
        <f>+AB16*AC16+AB17*AC17+AB18*AC18</f>
        <v>55360.800000000025</v>
      </c>
    </row>
    <row r="17" spans="2:30" x14ac:dyDescent="0.2">
      <c r="B17" s="85"/>
      <c r="C17" s="2" t="s">
        <v>30</v>
      </c>
      <c r="D17" s="26">
        <v>76.89</v>
      </c>
      <c r="E17" s="26">
        <v>76.89</v>
      </c>
      <c r="F17" s="26">
        <v>76.89</v>
      </c>
      <c r="G17" s="26">
        <v>76.89</v>
      </c>
      <c r="H17" s="26">
        <v>76.89</v>
      </c>
      <c r="I17" s="26">
        <v>76.89</v>
      </c>
      <c r="J17" s="26">
        <v>76.89</v>
      </c>
      <c r="K17" s="26">
        <v>76.89</v>
      </c>
      <c r="L17" s="26">
        <v>76.89</v>
      </c>
      <c r="M17" s="26">
        <v>76.89</v>
      </c>
      <c r="N17" s="26">
        <v>76.89</v>
      </c>
      <c r="O17" s="26">
        <v>76.89</v>
      </c>
      <c r="P17" s="26">
        <v>76.89</v>
      </c>
      <c r="Q17" s="26">
        <v>76.89</v>
      </c>
      <c r="R17" s="26">
        <v>76.89</v>
      </c>
      <c r="S17" s="26">
        <v>76.89</v>
      </c>
      <c r="T17" s="26">
        <v>76.89</v>
      </c>
      <c r="U17" s="26">
        <v>76.89</v>
      </c>
      <c r="V17" s="26">
        <v>76.89</v>
      </c>
      <c r="W17" s="26">
        <v>76.89</v>
      </c>
      <c r="X17" s="26">
        <v>76.89</v>
      </c>
      <c r="Y17" s="26">
        <v>76.89</v>
      </c>
      <c r="Z17" s="26">
        <v>76.89</v>
      </c>
      <c r="AA17" s="26">
        <v>76.89</v>
      </c>
      <c r="AB17" s="23">
        <f t="shared" si="0"/>
        <v>1845.360000000001</v>
      </c>
      <c r="AC17" s="24">
        <v>4</v>
      </c>
      <c r="AD17" s="86"/>
    </row>
    <row r="18" spans="2:30" x14ac:dyDescent="0.2">
      <c r="B18" s="85"/>
      <c r="C18" s="2" t="s">
        <v>63</v>
      </c>
      <c r="D18" s="26">
        <v>76.89</v>
      </c>
      <c r="E18" s="26">
        <v>76.89</v>
      </c>
      <c r="F18" s="26">
        <v>76.89</v>
      </c>
      <c r="G18" s="26">
        <v>76.89</v>
      </c>
      <c r="H18" s="26">
        <v>76.89</v>
      </c>
      <c r="I18" s="26">
        <v>76.89</v>
      </c>
      <c r="J18" s="26">
        <v>76.89</v>
      </c>
      <c r="K18" s="26">
        <v>76.89</v>
      </c>
      <c r="L18" s="26">
        <v>76.89</v>
      </c>
      <c r="M18" s="26">
        <v>76.89</v>
      </c>
      <c r="N18" s="26">
        <v>76.89</v>
      </c>
      <c r="O18" s="26">
        <v>76.89</v>
      </c>
      <c r="P18" s="26">
        <v>76.89</v>
      </c>
      <c r="Q18" s="26">
        <v>76.89</v>
      </c>
      <c r="R18" s="26">
        <v>76.89</v>
      </c>
      <c r="S18" s="26">
        <v>76.89</v>
      </c>
      <c r="T18" s="26">
        <v>76.89</v>
      </c>
      <c r="U18" s="26">
        <v>76.89</v>
      </c>
      <c r="V18" s="26">
        <v>76.89</v>
      </c>
      <c r="W18" s="26">
        <v>76.89</v>
      </c>
      <c r="X18" s="26">
        <v>76.89</v>
      </c>
      <c r="Y18" s="26">
        <v>76.89</v>
      </c>
      <c r="Z18" s="26">
        <v>76.89</v>
      </c>
      <c r="AA18" s="26">
        <v>76.89</v>
      </c>
      <c r="AB18" s="23">
        <f t="shared" si="0"/>
        <v>1845.360000000001</v>
      </c>
      <c r="AC18" s="24">
        <v>5</v>
      </c>
      <c r="AD18" s="86"/>
    </row>
    <row r="19" spans="2:30" x14ac:dyDescent="0.2">
      <c r="B19" s="85">
        <v>47239</v>
      </c>
      <c r="C19" s="2" t="s">
        <v>29</v>
      </c>
      <c r="D19" s="26">
        <v>76.89</v>
      </c>
      <c r="E19" s="26">
        <v>76.89</v>
      </c>
      <c r="F19" s="26">
        <v>76.89</v>
      </c>
      <c r="G19" s="26">
        <v>76.89</v>
      </c>
      <c r="H19" s="26">
        <v>76.89</v>
      </c>
      <c r="I19" s="26">
        <v>76.89</v>
      </c>
      <c r="J19" s="26">
        <v>76.89</v>
      </c>
      <c r="K19" s="26">
        <v>76.89</v>
      </c>
      <c r="L19" s="26">
        <v>76.89</v>
      </c>
      <c r="M19" s="26">
        <v>76.89</v>
      </c>
      <c r="N19" s="26">
        <v>76.89</v>
      </c>
      <c r="O19" s="26">
        <v>76.89</v>
      </c>
      <c r="P19" s="26">
        <v>76.89</v>
      </c>
      <c r="Q19" s="26">
        <v>76.89</v>
      </c>
      <c r="R19" s="26">
        <v>76.89</v>
      </c>
      <c r="S19" s="26">
        <v>76.89</v>
      </c>
      <c r="T19" s="26">
        <v>76.89</v>
      </c>
      <c r="U19" s="26">
        <v>76.89</v>
      </c>
      <c r="V19" s="26">
        <v>76.89</v>
      </c>
      <c r="W19" s="26">
        <v>76.89</v>
      </c>
      <c r="X19" s="26">
        <v>76.89</v>
      </c>
      <c r="Y19" s="26">
        <v>76.89</v>
      </c>
      <c r="Z19" s="26">
        <v>76.89</v>
      </c>
      <c r="AA19" s="26">
        <v>76.89</v>
      </c>
      <c r="AB19" s="23">
        <f t="shared" si="0"/>
        <v>1845.360000000001</v>
      </c>
      <c r="AC19" s="24">
        <v>21</v>
      </c>
      <c r="AD19" s="86">
        <f>+AB19*AC19+AB20*AC20+AB21*AC21</f>
        <v>57206.160000000033</v>
      </c>
    </row>
    <row r="20" spans="2:30" x14ac:dyDescent="0.2">
      <c r="B20" s="85"/>
      <c r="C20" s="2" t="s">
        <v>30</v>
      </c>
      <c r="D20" s="26">
        <v>76.89</v>
      </c>
      <c r="E20" s="26">
        <v>76.89</v>
      </c>
      <c r="F20" s="26">
        <v>76.89</v>
      </c>
      <c r="G20" s="26">
        <v>76.89</v>
      </c>
      <c r="H20" s="26">
        <v>76.89</v>
      </c>
      <c r="I20" s="26">
        <v>76.89</v>
      </c>
      <c r="J20" s="26">
        <v>76.89</v>
      </c>
      <c r="K20" s="26">
        <v>76.89</v>
      </c>
      <c r="L20" s="26">
        <v>76.89</v>
      </c>
      <c r="M20" s="26">
        <v>76.89</v>
      </c>
      <c r="N20" s="26">
        <v>76.89</v>
      </c>
      <c r="O20" s="26">
        <v>76.89</v>
      </c>
      <c r="P20" s="26">
        <v>76.89</v>
      </c>
      <c r="Q20" s="26">
        <v>76.89</v>
      </c>
      <c r="R20" s="26">
        <v>76.89</v>
      </c>
      <c r="S20" s="26">
        <v>76.89</v>
      </c>
      <c r="T20" s="26">
        <v>76.89</v>
      </c>
      <c r="U20" s="26">
        <v>76.89</v>
      </c>
      <c r="V20" s="26">
        <v>76.89</v>
      </c>
      <c r="W20" s="26">
        <v>76.89</v>
      </c>
      <c r="X20" s="26">
        <v>76.89</v>
      </c>
      <c r="Y20" s="26">
        <v>76.89</v>
      </c>
      <c r="Z20" s="26">
        <v>76.89</v>
      </c>
      <c r="AA20" s="26">
        <v>76.89</v>
      </c>
      <c r="AB20" s="23">
        <f t="shared" si="0"/>
        <v>1845.360000000001</v>
      </c>
      <c r="AC20" s="24">
        <v>4</v>
      </c>
      <c r="AD20" s="86"/>
    </row>
    <row r="21" spans="2:30" x14ac:dyDescent="0.2">
      <c r="B21" s="85"/>
      <c r="C21" s="2" t="s">
        <v>63</v>
      </c>
      <c r="D21" s="26">
        <v>76.89</v>
      </c>
      <c r="E21" s="26">
        <v>76.89</v>
      </c>
      <c r="F21" s="26">
        <v>76.89</v>
      </c>
      <c r="G21" s="26">
        <v>76.89</v>
      </c>
      <c r="H21" s="26">
        <v>76.89</v>
      </c>
      <c r="I21" s="26">
        <v>76.89</v>
      </c>
      <c r="J21" s="26">
        <v>76.89</v>
      </c>
      <c r="K21" s="26">
        <v>76.89</v>
      </c>
      <c r="L21" s="26">
        <v>76.89</v>
      </c>
      <c r="M21" s="26">
        <v>76.89</v>
      </c>
      <c r="N21" s="26">
        <v>76.89</v>
      </c>
      <c r="O21" s="26">
        <v>76.89</v>
      </c>
      <c r="P21" s="26">
        <v>76.89</v>
      </c>
      <c r="Q21" s="26">
        <v>76.89</v>
      </c>
      <c r="R21" s="26">
        <v>76.89</v>
      </c>
      <c r="S21" s="26">
        <v>76.89</v>
      </c>
      <c r="T21" s="26">
        <v>76.89</v>
      </c>
      <c r="U21" s="26">
        <v>76.89</v>
      </c>
      <c r="V21" s="26">
        <v>76.89</v>
      </c>
      <c r="W21" s="26">
        <v>76.89</v>
      </c>
      <c r="X21" s="26">
        <v>76.89</v>
      </c>
      <c r="Y21" s="26">
        <v>76.89</v>
      </c>
      <c r="Z21" s="26">
        <v>76.89</v>
      </c>
      <c r="AA21" s="26">
        <v>76.89</v>
      </c>
      <c r="AB21" s="23">
        <f t="shared" si="0"/>
        <v>1845.360000000001</v>
      </c>
      <c r="AC21" s="24">
        <v>6</v>
      </c>
      <c r="AD21" s="86"/>
    </row>
    <row r="22" spans="2:30" x14ac:dyDescent="0.2">
      <c r="B22" s="85">
        <v>47270</v>
      </c>
      <c r="C22" s="2" t="s">
        <v>29</v>
      </c>
      <c r="D22" s="26">
        <v>76.89</v>
      </c>
      <c r="E22" s="26">
        <v>76.89</v>
      </c>
      <c r="F22" s="26">
        <v>76.89</v>
      </c>
      <c r="G22" s="26">
        <v>76.89</v>
      </c>
      <c r="H22" s="26">
        <v>76.89</v>
      </c>
      <c r="I22" s="26">
        <v>76.89</v>
      </c>
      <c r="J22" s="26">
        <v>76.89</v>
      </c>
      <c r="K22" s="26">
        <v>76.89</v>
      </c>
      <c r="L22" s="26">
        <v>76.89</v>
      </c>
      <c r="M22" s="26">
        <v>76.89</v>
      </c>
      <c r="N22" s="26">
        <v>76.89</v>
      </c>
      <c r="O22" s="26">
        <v>76.89</v>
      </c>
      <c r="P22" s="26">
        <v>76.89</v>
      </c>
      <c r="Q22" s="26">
        <v>76.89</v>
      </c>
      <c r="R22" s="26">
        <v>76.89</v>
      </c>
      <c r="S22" s="26">
        <v>76.89</v>
      </c>
      <c r="T22" s="26">
        <v>76.89</v>
      </c>
      <c r="U22" s="26">
        <v>76.89</v>
      </c>
      <c r="V22" s="26">
        <v>76.89</v>
      </c>
      <c r="W22" s="26">
        <v>76.89</v>
      </c>
      <c r="X22" s="26">
        <v>76.89</v>
      </c>
      <c r="Y22" s="26">
        <v>76.89</v>
      </c>
      <c r="Z22" s="26">
        <v>76.89</v>
      </c>
      <c r="AA22" s="26">
        <v>76.89</v>
      </c>
      <c r="AB22" s="23">
        <f t="shared" si="0"/>
        <v>1845.360000000001</v>
      </c>
      <c r="AC22" s="24">
        <v>19</v>
      </c>
      <c r="AD22" s="86">
        <f>+AB22*AC22+AB23*AC23+AB24*AC24</f>
        <v>55360.800000000032</v>
      </c>
    </row>
    <row r="23" spans="2:30" x14ac:dyDescent="0.2">
      <c r="B23" s="85"/>
      <c r="C23" s="2" t="s">
        <v>30</v>
      </c>
      <c r="D23" s="26">
        <v>76.89</v>
      </c>
      <c r="E23" s="26">
        <v>76.89</v>
      </c>
      <c r="F23" s="26">
        <v>76.89</v>
      </c>
      <c r="G23" s="26">
        <v>76.89</v>
      </c>
      <c r="H23" s="26">
        <v>76.89</v>
      </c>
      <c r="I23" s="26">
        <v>76.89</v>
      </c>
      <c r="J23" s="26">
        <v>76.89</v>
      </c>
      <c r="K23" s="26">
        <v>76.89</v>
      </c>
      <c r="L23" s="26">
        <v>76.89</v>
      </c>
      <c r="M23" s="26">
        <v>76.89</v>
      </c>
      <c r="N23" s="26">
        <v>76.89</v>
      </c>
      <c r="O23" s="26">
        <v>76.89</v>
      </c>
      <c r="P23" s="26">
        <v>76.89</v>
      </c>
      <c r="Q23" s="26">
        <v>76.89</v>
      </c>
      <c r="R23" s="26">
        <v>76.89</v>
      </c>
      <c r="S23" s="26">
        <v>76.89</v>
      </c>
      <c r="T23" s="26">
        <v>76.89</v>
      </c>
      <c r="U23" s="26">
        <v>76.89</v>
      </c>
      <c r="V23" s="26">
        <v>76.89</v>
      </c>
      <c r="W23" s="26">
        <v>76.89</v>
      </c>
      <c r="X23" s="26">
        <v>76.89</v>
      </c>
      <c r="Y23" s="26">
        <v>76.89</v>
      </c>
      <c r="Z23" s="26">
        <v>76.89</v>
      </c>
      <c r="AA23" s="26">
        <v>76.89</v>
      </c>
      <c r="AB23" s="23">
        <f t="shared" si="0"/>
        <v>1845.360000000001</v>
      </c>
      <c r="AC23" s="24">
        <v>5</v>
      </c>
      <c r="AD23" s="86"/>
    </row>
    <row r="24" spans="2:30" x14ac:dyDescent="0.2">
      <c r="B24" s="85"/>
      <c r="C24" s="2" t="s">
        <v>63</v>
      </c>
      <c r="D24" s="26">
        <v>76.89</v>
      </c>
      <c r="E24" s="26">
        <v>76.89</v>
      </c>
      <c r="F24" s="26">
        <v>76.89</v>
      </c>
      <c r="G24" s="26">
        <v>76.89</v>
      </c>
      <c r="H24" s="26">
        <v>76.89</v>
      </c>
      <c r="I24" s="26">
        <v>76.89</v>
      </c>
      <c r="J24" s="26">
        <v>76.89</v>
      </c>
      <c r="K24" s="26">
        <v>76.89</v>
      </c>
      <c r="L24" s="26">
        <v>76.89</v>
      </c>
      <c r="M24" s="26">
        <v>76.89</v>
      </c>
      <c r="N24" s="26">
        <v>76.89</v>
      </c>
      <c r="O24" s="26">
        <v>76.89</v>
      </c>
      <c r="P24" s="26">
        <v>76.89</v>
      </c>
      <c r="Q24" s="26">
        <v>76.89</v>
      </c>
      <c r="R24" s="26">
        <v>76.89</v>
      </c>
      <c r="S24" s="26">
        <v>76.89</v>
      </c>
      <c r="T24" s="26">
        <v>76.89</v>
      </c>
      <c r="U24" s="26">
        <v>76.89</v>
      </c>
      <c r="V24" s="26">
        <v>76.89</v>
      </c>
      <c r="W24" s="26">
        <v>76.89</v>
      </c>
      <c r="X24" s="26">
        <v>76.89</v>
      </c>
      <c r="Y24" s="26">
        <v>76.89</v>
      </c>
      <c r="Z24" s="26">
        <v>76.89</v>
      </c>
      <c r="AA24" s="26">
        <v>76.89</v>
      </c>
      <c r="AB24" s="23">
        <f t="shared" si="0"/>
        <v>1845.360000000001</v>
      </c>
      <c r="AC24" s="24">
        <v>6</v>
      </c>
      <c r="AD24" s="86"/>
    </row>
    <row r="25" spans="2:30" x14ac:dyDescent="0.2">
      <c r="B25" s="85">
        <v>47300</v>
      </c>
      <c r="C25" s="2" t="s">
        <v>29</v>
      </c>
      <c r="D25" s="26">
        <v>76.89</v>
      </c>
      <c r="E25" s="26">
        <v>76.89</v>
      </c>
      <c r="F25" s="26">
        <v>76.89</v>
      </c>
      <c r="G25" s="26">
        <v>76.89</v>
      </c>
      <c r="H25" s="26">
        <v>76.89</v>
      </c>
      <c r="I25" s="26">
        <v>76.89</v>
      </c>
      <c r="J25" s="26">
        <v>76.89</v>
      </c>
      <c r="K25" s="26">
        <v>76.89</v>
      </c>
      <c r="L25" s="26">
        <v>76.89</v>
      </c>
      <c r="M25" s="26">
        <v>76.89</v>
      </c>
      <c r="N25" s="26">
        <v>76.89</v>
      </c>
      <c r="O25" s="26">
        <v>76.89</v>
      </c>
      <c r="P25" s="26">
        <v>76.89</v>
      </c>
      <c r="Q25" s="26">
        <v>76.89</v>
      </c>
      <c r="R25" s="26">
        <v>76.89</v>
      </c>
      <c r="S25" s="26">
        <v>76.89</v>
      </c>
      <c r="T25" s="26">
        <v>76.89</v>
      </c>
      <c r="U25" s="26">
        <v>76.89</v>
      </c>
      <c r="V25" s="26">
        <v>76.89</v>
      </c>
      <c r="W25" s="26">
        <v>76.89</v>
      </c>
      <c r="X25" s="26">
        <v>76.89</v>
      </c>
      <c r="Y25" s="26">
        <v>76.89</v>
      </c>
      <c r="Z25" s="26">
        <v>76.89</v>
      </c>
      <c r="AA25" s="26">
        <v>76.89</v>
      </c>
      <c r="AB25" s="23">
        <f t="shared" si="0"/>
        <v>1845.360000000001</v>
      </c>
      <c r="AC25" s="24">
        <v>20</v>
      </c>
      <c r="AD25" s="86">
        <f>+AB25*AC25+AB26*AC26+AB27*AC27</f>
        <v>57206.160000000033</v>
      </c>
    </row>
    <row r="26" spans="2:30" x14ac:dyDescent="0.2">
      <c r="B26" s="85"/>
      <c r="C26" s="2" t="s">
        <v>30</v>
      </c>
      <c r="D26" s="26">
        <v>76.89</v>
      </c>
      <c r="E26" s="26">
        <v>76.89</v>
      </c>
      <c r="F26" s="26">
        <v>76.89</v>
      </c>
      <c r="G26" s="26">
        <v>76.89</v>
      </c>
      <c r="H26" s="26">
        <v>76.89</v>
      </c>
      <c r="I26" s="26">
        <v>76.89</v>
      </c>
      <c r="J26" s="26">
        <v>76.89</v>
      </c>
      <c r="K26" s="26">
        <v>76.89</v>
      </c>
      <c r="L26" s="26">
        <v>76.89</v>
      </c>
      <c r="M26" s="26">
        <v>76.89</v>
      </c>
      <c r="N26" s="26">
        <v>76.89</v>
      </c>
      <c r="O26" s="26">
        <v>76.89</v>
      </c>
      <c r="P26" s="26">
        <v>76.89</v>
      </c>
      <c r="Q26" s="26">
        <v>76.89</v>
      </c>
      <c r="R26" s="26">
        <v>76.89</v>
      </c>
      <c r="S26" s="26">
        <v>76.89</v>
      </c>
      <c r="T26" s="26">
        <v>76.89</v>
      </c>
      <c r="U26" s="26">
        <v>76.89</v>
      </c>
      <c r="V26" s="26">
        <v>76.89</v>
      </c>
      <c r="W26" s="26">
        <v>76.89</v>
      </c>
      <c r="X26" s="26">
        <v>76.89</v>
      </c>
      <c r="Y26" s="26">
        <v>76.89</v>
      </c>
      <c r="Z26" s="26">
        <v>76.89</v>
      </c>
      <c r="AA26" s="26">
        <v>76.89</v>
      </c>
      <c r="AB26" s="23">
        <f t="shared" si="0"/>
        <v>1845.360000000001</v>
      </c>
      <c r="AC26" s="24">
        <v>4</v>
      </c>
      <c r="AD26" s="86"/>
    </row>
    <row r="27" spans="2:30" x14ac:dyDescent="0.2">
      <c r="B27" s="85"/>
      <c r="C27" s="2" t="s">
        <v>63</v>
      </c>
      <c r="D27" s="26">
        <v>76.89</v>
      </c>
      <c r="E27" s="26">
        <v>76.89</v>
      </c>
      <c r="F27" s="26">
        <v>76.89</v>
      </c>
      <c r="G27" s="26">
        <v>76.89</v>
      </c>
      <c r="H27" s="26">
        <v>76.89</v>
      </c>
      <c r="I27" s="26">
        <v>76.89</v>
      </c>
      <c r="J27" s="26">
        <v>76.89</v>
      </c>
      <c r="K27" s="26">
        <v>76.89</v>
      </c>
      <c r="L27" s="26">
        <v>76.89</v>
      </c>
      <c r="M27" s="26">
        <v>76.89</v>
      </c>
      <c r="N27" s="26">
        <v>76.89</v>
      </c>
      <c r="O27" s="26">
        <v>76.89</v>
      </c>
      <c r="P27" s="26">
        <v>76.89</v>
      </c>
      <c r="Q27" s="26">
        <v>76.89</v>
      </c>
      <c r="R27" s="26">
        <v>76.89</v>
      </c>
      <c r="S27" s="26">
        <v>76.89</v>
      </c>
      <c r="T27" s="26">
        <v>76.89</v>
      </c>
      <c r="U27" s="26">
        <v>76.89</v>
      </c>
      <c r="V27" s="26">
        <v>76.89</v>
      </c>
      <c r="W27" s="26">
        <v>76.89</v>
      </c>
      <c r="X27" s="26">
        <v>76.89</v>
      </c>
      <c r="Y27" s="26">
        <v>76.89</v>
      </c>
      <c r="Z27" s="26">
        <v>76.89</v>
      </c>
      <c r="AA27" s="26">
        <v>76.89</v>
      </c>
      <c r="AB27" s="23">
        <f t="shared" si="0"/>
        <v>1845.360000000001</v>
      </c>
      <c r="AC27" s="24">
        <v>7</v>
      </c>
      <c r="AD27" s="86"/>
    </row>
    <row r="28" spans="2:30" x14ac:dyDescent="0.2">
      <c r="B28" s="85">
        <v>47331</v>
      </c>
      <c r="C28" s="2" t="s">
        <v>29</v>
      </c>
      <c r="D28" s="26">
        <v>76.89</v>
      </c>
      <c r="E28" s="26">
        <v>76.89</v>
      </c>
      <c r="F28" s="26">
        <v>76.89</v>
      </c>
      <c r="G28" s="26">
        <v>76.89</v>
      </c>
      <c r="H28" s="26">
        <v>76.89</v>
      </c>
      <c r="I28" s="26">
        <v>76.89</v>
      </c>
      <c r="J28" s="26">
        <v>76.89</v>
      </c>
      <c r="K28" s="26">
        <v>76.89</v>
      </c>
      <c r="L28" s="26">
        <v>76.89</v>
      </c>
      <c r="M28" s="26">
        <v>76.89</v>
      </c>
      <c r="N28" s="26">
        <v>76.89</v>
      </c>
      <c r="O28" s="26">
        <v>76.89</v>
      </c>
      <c r="P28" s="26">
        <v>76.89</v>
      </c>
      <c r="Q28" s="26">
        <v>76.89</v>
      </c>
      <c r="R28" s="26">
        <v>76.89</v>
      </c>
      <c r="S28" s="26">
        <v>76.89</v>
      </c>
      <c r="T28" s="26">
        <v>76.89</v>
      </c>
      <c r="U28" s="26">
        <v>76.89</v>
      </c>
      <c r="V28" s="26">
        <v>76.89</v>
      </c>
      <c r="W28" s="26">
        <v>76.89</v>
      </c>
      <c r="X28" s="26">
        <v>76.89</v>
      </c>
      <c r="Y28" s="26">
        <v>76.89</v>
      </c>
      <c r="Z28" s="26">
        <v>76.89</v>
      </c>
      <c r="AA28" s="26">
        <v>76.89</v>
      </c>
      <c r="AB28" s="23">
        <f t="shared" si="0"/>
        <v>1845.360000000001</v>
      </c>
      <c r="AC28" s="24">
        <v>21</v>
      </c>
      <c r="AD28" s="86">
        <f>+AB28*AC28+AB29*AC29+AB30*AC30</f>
        <v>57206.160000000033</v>
      </c>
    </row>
    <row r="29" spans="2:30" x14ac:dyDescent="0.2">
      <c r="B29" s="85"/>
      <c r="C29" s="2" t="s">
        <v>30</v>
      </c>
      <c r="D29" s="26">
        <v>76.89</v>
      </c>
      <c r="E29" s="26">
        <v>76.89</v>
      </c>
      <c r="F29" s="26">
        <v>76.89</v>
      </c>
      <c r="G29" s="26">
        <v>76.89</v>
      </c>
      <c r="H29" s="26">
        <v>76.89</v>
      </c>
      <c r="I29" s="26">
        <v>76.89</v>
      </c>
      <c r="J29" s="26">
        <v>76.89</v>
      </c>
      <c r="K29" s="26">
        <v>76.89</v>
      </c>
      <c r="L29" s="26">
        <v>76.89</v>
      </c>
      <c r="M29" s="26">
        <v>76.89</v>
      </c>
      <c r="N29" s="26">
        <v>76.89</v>
      </c>
      <c r="O29" s="26">
        <v>76.89</v>
      </c>
      <c r="P29" s="26">
        <v>76.89</v>
      </c>
      <c r="Q29" s="26">
        <v>76.89</v>
      </c>
      <c r="R29" s="26">
        <v>76.89</v>
      </c>
      <c r="S29" s="26">
        <v>76.89</v>
      </c>
      <c r="T29" s="26">
        <v>76.89</v>
      </c>
      <c r="U29" s="26">
        <v>76.89</v>
      </c>
      <c r="V29" s="26">
        <v>76.89</v>
      </c>
      <c r="W29" s="26">
        <v>76.89</v>
      </c>
      <c r="X29" s="26">
        <v>76.89</v>
      </c>
      <c r="Y29" s="26">
        <v>76.89</v>
      </c>
      <c r="Z29" s="26">
        <v>76.89</v>
      </c>
      <c r="AA29" s="26">
        <v>76.89</v>
      </c>
      <c r="AB29" s="23">
        <f t="shared" si="0"/>
        <v>1845.360000000001</v>
      </c>
      <c r="AC29" s="24">
        <v>4</v>
      </c>
      <c r="AD29" s="86"/>
    </row>
    <row r="30" spans="2:30" x14ac:dyDescent="0.2">
      <c r="B30" s="85"/>
      <c r="C30" s="2" t="s">
        <v>63</v>
      </c>
      <c r="D30" s="26">
        <v>76.89</v>
      </c>
      <c r="E30" s="26">
        <v>76.89</v>
      </c>
      <c r="F30" s="26">
        <v>76.89</v>
      </c>
      <c r="G30" s="26">
        <v>76.89</v>
      </c>
      <c r="H30" s="26">
        <v>76.89</v>
      </c>
      <c r="I30" s="26">
        <v>76.89</v>
      </c>
      <c r="J30" s="26">
        <v>76.89</v>
      </c>
      <c r="K30" s="26">
        <v>76.89</v>
      </c>
      <c r="L30" s="26">
        <v>76.89</v>
      </c>
      <c r="M30" s="26">
        <v>76.89</v>
      </c>
      <c r="N30" s="26">
        <v>76.89</v>
      </c>
      <c r="O30" s="26">
        <v>76.89</v>
      </c>
      <c r="P30" s="26">
        <v>76.89</v>
      </c>
      <c r="Q30" s="26">
        <v>76.89</v>
      </c>
      <c r="R30" s="26">
        <v>76.89</v>
      </c>
      <c r="S30" s="26">
        <v>76.89</v>
      </c>
      <c r="T30" s="26">
        <v>76.89</v>
      </c>
      <c r="U30" s="26">
        <v>76.89</v>
      </c>
      <c r="V30" s="26">
        <v>76.89</v>
      </c>
      <c r="W30" s="26">
        <v>76.89</v>
      </c>
      <c r="X30" s="26">
        <v>76.89</v>
      </c>
      <c r="Y30" s="26">
        <v>76.89</v>
      </c>
      <c r="Z30" s="26">
        <v>76.89</v>
      </c>
      <c r="AA30" s="26">
        <v>76.89</v>
      </c>
      <c r="AB30" s="23">
        <f t="shared" si="0"/>
        <v>1845.360000000001</v>
      </c>
      <c r="AC30" s="24">
        <v>6</v>
      </c>
      <c r="AD30" s="86"/>
    </row>
    <row r="31" spans="2:30" x14ac:dyDescent="0.2">
      <c r="B31" s="85">
        <v>47362</v>
      </c>
      <c r="C31" s="2" t="s">
        <v>29</v>
      </c>
      <c r="D31" s="26">
        <v>76.89</v>
      </c>
      <c r="E31" s="26">
        <v>76.89</v>
      </c>
      <c r="F31" s="26">
        <v>76.89</v>
      </c>
      <c r="G31" s="26">
        <v>76.89</v>
      </c>
      <c r="H31" s="26">
        <v>76.89</v>
      </c>
      <c r="I31" s="26">
        <v>76.89</v>
      </c>
      <c r="J31" s="26">
        <v>76.89</v>
      </c>
      <c r="K31" s="26">
        <v>76.89</v>
      </c>
      <c r="L31" s="26">
        <v>76.89</v>
      </c>
      <c r="M31" s="26">
        <v>76.89</v>
      </c>
      <c r="N31" s="26">
        <v>76.89</v>
      </c>
      <c r="O31" s="26">
        <v>76.89</v>
      </c>
      <c r="P31" s="26">
        <v>76.89</v>
      </c>
      <c r="Q31" s="26">
        <v>76.89</v>
      </c>
      <c r="R31" s="26">
        <v>76.89</v>
      </c>
      <c r="S31" s="26">
        <v>76.89</v>
      </c>
      <c r="T31" s="26">
        <v>76.89</v>
      </c>
      <c r="U31" s="26">
        <v>76.89</v>
      </c>
      <c r="V31" s="26">
        <v>76.89</v>
      </c>
      <c r="W31" s="26">
        <v>76.89</v>
      </c>
      <c r="X31" s="26">
        <v>76.89</v>
      </c>
      <c r="Y31" s="26">
        <v>76.89</v>
      </c>
      <c r="Z31" s="26">
        <v>76.89</v>
      </c>
      <c r="AA31" s="26">
        <v>76.89</v>
      </c>
      <c r="AB31" s="23">
        <f t="shared" si="0"/>
        <v>1845.360000000001</v>
      </c>
      <c r="AC31" s="24">
        <v>20</v>
      </c>
      <c r="AD31" s="86">
        <f>+AB31*AC31+AB32*AC32+AB33*AC33</f>
        <v>55360.800000000025</v>
      </c>
    </row>
    <row r="32" spans="2:30" x14ac:dyDescent="0.2">
      <c r="B32" s="85"/>
      <c r="C32" s="2" t="s">
        <v>30</v>
      </c>
      <c r="D32" s="26">
        <v>76.89</v>
      </c>
      <c r="E32" s="26">
        <v>76.89</v>
      </c>
      <c r="F32" s="26">
        <v>76.89</v>
      </c>
      <c r="G32" s="26">
        <v>76.89</v>
      </c>
      <c r="H32" s="26">
        <v>76.89</v>
      </c>
      <c r="I32" s="26">
        <v>76.89</v>
      </c>
      <c r="J32" s="26">
        <v>76.89</v>
      </c>
      <c r="K32" s="26">
        <v>76.89</v>
      </c>
      <c r="L32" s="26">
        <v>76.89</v>
      </c>
      <c r="M32" s="26">
        <v>76.89</v>
      </c>
      <c r="N32" s="26">
        <v>76.89</v>
      </c>
      <c r="O32" s="26">
        <v>76.89</v>
      </c>
      <c r="P32" s="26">
        <v>76.89</v>
      </c>
      <c r="Q32" s="26">
        <v>76.89</v>
      </c>
      <c r="R32" s="26">
        <v>76.89</v>
      </c>
      <c r="S32" s="26">
        <v>76.89</v>
      </c>
      <c r="T32" s="26">
        <v>76.89</v>
      </c>
      <c r="U32" s="26">
        <v>76.89</v>
      </c>
      <c r="V32" s="26">
        <v>76.89</v>
      </c>
      <c r="W32" s="26">
        <v>76.89</v>
      </c>
      <c r="X32" s="26">
        <v>76.89</v>
      </c>
      <c r="Y32" s="26">
        <v>76.89</v>
      </c>
      <c r="Z32" s="26">
        <v>76.89</v>
      </c>
      <c r="AA32" s="26">
        <v>76.89</v>
      </c>
      <c r="AB32" s="23">
        <f t="shared" si="0"/>
        <v>1845.360000000001</v>
      </c>
      <c r="AC32" s="24">
        <v>5</v>
      </c>
      <c r="AD32" s="86"/>
    </row>
    <row r="33" spans="2:30" x14ac:dyDescent="0.2">
      <c r="B33" s="85"/>
      <c r="C33" s="2" t="s">
        <v>63</v>
      </c>
      <c r="D33" s="26">
        <v>76.89</v>
      </c>
      <c r="E33" s="26">
        <v>76.89</v>
      </c>
      <c r="F33" s="26">
        <v>76.89</v>
      </c>
      <c r="G33" s="26">
        <v>76.89</v>
      </c>
      <c r="H33" s="26">
        <v>76.89</v>
      </c>
      <c r="I33" s="26">
        <v>76.89</v>
      </c>
      <c r="J33" s="26">
        <v>76.89</v>
      </c>
      <c r="K33" s="26">
        <v>76.89</v>
      </c>
      <c r="L33" s="26">
        <v>76.89</v>
      </c>
      <c r="M33" s="26">
        <v>76.89</v>
      </c>
      <c r="N33" s="26">
        <v>76.89</v>
      </c>
      <c r="O33" s="26">
        <v>76.89</v>
      </c>
      <c r="P33" s="26">
        <v>76.89</v>
      </c>
      <c r="Q33" s="26">
        <v>76.89</v>
      </c>
      <c r="R33" s="26">
        <v>76.89</v>
      </c>
      <c r="S33" s="26">
        <v>76.89</v>
      </c>
      <c r="T33" s="26">
        <v>76.89</v>
      </c>
      <c r="U33" s="26">
        <v>76.89</v>
      </c>
      <c r="V33" s="26">
        <v>76.89</v>
      </c>
      <c r="W33" s="26">
        <v>76.89</v>
      </c>
      <c r="X33" s="26">
        <v>76.89</v>
      </c>
      <c r="Y33" s="26">
        <v>76.89</v>
      </c>
      <c r="Z33" s="26">
        <v>76.89</v>
      </c>
      <c r="AA33" s="26">
        <v>76.89</v>
      </c>
      <c r="AB33" s="23">
        <f t="shared" si="0"/>
        <v>1845.360000000001</v>
      </c>
      <c r="AC33" s="24">
        <v>5</v>
      </c>
      <c r="AD33" s="86"/>
    </row>
    <row r="34" spans="2:30" x14ac:dyDescent="0.2">
      <c r="B34" s="85">
        <v>47392</v>
      </c>
      <c r="C34" s="2" t="s">
        <v>29</v>
      </c>
      <c r="D34" s="26">
        <v>76.89</v>
      </c>
      <c r="E34" s="26">
        <v>76.89</v>
      </c>
      <c r="F34" s="26">
        <v>76.89</v>
      </c>
      <c r="G34" s="26">
        <v>76.89</v>
      </c>
      <c r="H34" s="26">
        <v>76.89</v>
      </c>
      <c r="I34" s="26">
        <v>76.89</v>
      </c>
      <c r="J34" s="26">
        <v>76.89</v>
      </c>
      <c r="K34" s="26">
        <v>76.89</v>
      </c>
      <c r="L34" s="26">
        <v>76.89</v>
      </c>
      <c r="M34" s="26">
        <v>76.89</v>
      </c>
      <c r="N34" s="26">
        <v>76.89</v>
      </c>
      <c r="O34" s="26">
        <v>76.89</v>
      </c>
      <c r="P34" s="26">
        <v>76.89</v>
      </c>
      <c r="Q34" s="26">
        <v>76.89</v>
      </c>
      <c r="R34" s="26">
        <v>76.89</v>
      </c>
      <c r="S34" s="26">
        <v>76.89</v>
      </c>
      <c r="T34" s="26">
        <v>76.89</v>
      </c>
      <c r="U34" s="26">
        <v>76.89</v>
      </c>
      <c r="V34" s="26">
        <v>76.89</v>
      </c>
      <c r="W34" s="26">
        <v>76.89</v>
      </c>
      <c r="X34" s="26">
        <v>76.89</v>
      </c>
      <c r="Y34" s="26">
        <v>76.89</v>
      </c>
      <c r="Z34" s="26">
        <v>76.89</v>
      </c>
      <c r="AA34" s="26">
        <v>76.89</v>
      </c>
      <c r="AB34" s="23">
        <f t="shared" si="0"/>
        <v>1845.360000000001</v>
      </c>
      <c r="AC34" s="24">
        <v>22</v>
      </c>
      <c r="AD34" s="86">
        <f>+AB34*AC34+AB35*AC35+AB36*AC36</f>
        <v>57206.160000000025</v>
      </c>
    </row>
    <row r="35" spans="2:30" x14ac:dyDescent="0.2">
      <c r="B35" s="85"/>
      <c r="C35" s="2" t="s">
        <v>30</v>
      </c>
      <c r="D35" s="26">
        <v>76.89</v>
      </c>
      <c r="E35" s="26">
        <v>76.89</v>
      </c>
      <c r="F35" s="26">
        <v>76.89</v>
      </c>
      <c r="G35" s="26">
        <v>76.89</v>
      </c>
      <c r="H35" s="26">
        <v>76.89</v>
      </c>
      <c r="I35" s="26">
        <v>76.89</v>
      </c>
      <c r="J35" s="26">
        <v>76.89</v>
      </c>
      <c r="K35" s="26">
        <v>76.89</v>
      </c>
      <c r="L35" s="26">
        <v>76.89</v>
      </c>
      <c r="M35" s="26">
        <v>76.89</v>
      </c>
      <c r="N35" s="26">
        <v>76.89</v>
      </c>
      <c r="O35" s="26">
        <v>76.89</v>
      </c>
      <c r="P35" s="26">
        <v>76.89</v>
      </c>
      <c r="Q35" s="26">
        <v>76.89</v>
      </c>
      <c r="R35" s="26">
        <v>76.89</v>
      </c>
      <c r="S35" s="26">
        <v>76.89</v>
      </c>
      <c r="T35" s="26">
        <v>76.89</v>
      </c>
      <c r="U35" s="26">
        <v>76.89</v>
      </c>
      <c r="V35" s="26">
        <v>76.89</v>
      </c>
      <c r="W35" s="26">
        <v>76.89</v>
      </c>
      <c r="X35" s="26">
        <v>76.89</v>
      </c>
      <c r="Y35" s="26">
        <v>76.89</v>
      </c>
      <c r="Z35" s="26">
        <v>76.89</v>
      </c>
      <c r="AA35" s="26">
        <v>76.89</v>
      </c>
      <c r="AB35" s="23">
        <f t="shared" si="0"/>
        <v>1845.360000000001</v>
      </c>
      <c r="AC35" s="24">
        <v>4</v>
      </c>
      <c r="AD35" s="86"/>
    </row>
    <row r="36" spans="2:30" x14ac:dyDescent="0.2">
      <c r="B36" s="85"/>
      <c r="C36" s="2" t="s">
        <v>63</v>
      </c>
      <c r="D36" s="26">
        <v>76.89</v>
      </c>
      <c r="E36" s="26">
        <v>76.89</v>
      </c>
      <c r="F36" s="26">
        <v>76.89</v>
      </c>
      <c r="G36" s="26">
        <v>76.89</v>
      </c>
      <c r="H36" s="26">
        <v>76.89</v>
      </c>
      <c r="I36" s="26">
        <v>76.89</v>
      </c>
      <c r="J36" s="26">
        <v>76.89</v>
      </c>
      <c r="K36" s="26">
        <v>76.89</v>
      </c>
      <c r="L36" s="26">
        <v>76.89</v>
      </c>
      <c r="M36" s="26">
        <v>76.89</v>
      </c>
      <c r="N36" s="26">
        <v>76.89</v>
      </c>
      <c r="O36" s="26">
        <v>76.89</v>
      </c>
      <c r="P36" s="26">
        <v>76.89</v>
      </c>
      <c r="Q36" s="26">
        <v>76.89</v>
      </c>
      <c r="R36" s="26">
        <v>76.89</v>
      </c>
      <c r="S36" s="26">
        <v>76.89</v>
      </c>
      <c r="T36" s="26">
        <v>76.89</v>
      </c>
      <c r="U36" s="26">
        <v>76.89</v>
      </c>
      <c r="V36" s="26">
        <v>76.89</v>
      </c>
      <c r="W36" s="26">
        <v>76.89</v>
      </c>
      <c r="X36" s="26">
        <v>76.89</v>
      </c>
      <c r="Y36" s="26">
        <v>76.89</v>
      </c>
      <c r="Z36" s="26">
        <v>76.89</v>
      </c>
      <c r="AA36" s="26">
        <v>76.89</v>
      </c>
      <c r="AB36" s="23">
        <f t="shared" si="0"/>
        <v>1845.360000000001</v>
      </c>
      <c r="AC36" s="24">
        <v>5</v>
      </c>
      <c r="AD36" s="86"/>
    </row>
    <row r="37" spans="2:30" x14ac:dyDescent="0.2">
      <c r="B37" s="85">
        <v>47423</v>
      </c>
      <c r="C37" s="2" t="s">
        <v>29</v>
      </c>
      <c r="D37" s="26">
        <v>76.89</v>
      </c>
      <c r="E37" s="26">
        <v>76.89</v>
      </c>
      <c r="F37" s="26">
        <v>76.89</v>
      </c>
      <c r="G37" s="26">
        <v>76.89</v>
      </c>
      <c r="H37" s="26">
        <v>76.89</v>
      </c>
      <c r="I37" s="26">
        <v>76.89</v>
      </c>
      <c r="J37" s="26">
        <v>76.89</v>
      </c>
      <c r="K37" s="26">
        <v>76.89</v>
      </c>
      <c r="L37" s="26">
        <v>76.89</v>
      </c>
      <c r="M37" s="26">
        <v>76.89</v>
      </c>
      <c r="N37" s="26">
        <v>76.89</v>
      </c>
      <c r="O37" s="26">
        <v>76.89</v>
      </c>
      <c r="P37" s="26">
        <v>76.89</v>
      </c>
      <c r="Q37" s="26">
        <v>76.89</v>
      </c>
      <c r="R37" s="26">
        <v>76.89</v>
      </c>
      <c r="S37" s="26">
        <v>76.89</v>
      </c>
      <c r="T37" s="26">
        <v>76.89</v>
      </c>
      <c r="U37" s="26">
        <v>76.89</v>
      </c>
      <c r="V37" s="26">
        <v>76.89</v>
      </c>
      <c r="W37" s="26">
        <v>76.89</v>
      </c>
      <c r="X37" s="26">
        <v>76.89</v>
      </c>
      <c r="Y37" s="26">
        <v>76.89</v>
      </c>
      <c r="Z37" s="26">
        <v>76.89</v>
      </c>
      <c r="AA37" s="26">
        <v>76.89</v>
      </c>
      <c r="AB37" s="23">
        <f t="shared" si="0"/>
        <v>1845.360000000001</v>
      </c>
      <c r="AC37" s="24">
        <v>20</v>
      </c>
      <c r="AD37" s="86">
        <f>+AB37*AC37+AB38*AC38+AB39*AC39</f>
        <v>55360.800000000032</v>
      </c>
    </row>
    <row r="38" spans="2:30" x14ac:dyDescent="0.2">
      <c r="B38" s="85"/>
      <c r="C38" s="2" t="s">
        <v>30</v>
      </c>
      <c r="D38" s="26">
        <v>76.89</v>
      </c>
      <c r="E38" s="26">
        <v>76.89</v>
      </c>
      <c r="F38" s="26">
        <v>76.89</v>
      </c>
      <c r="G38" s="26">
        <v>76.89</v>
      </c>
      <c r="H38" s="26">
        <v>76.89</v>
      </c>
      <c r="I38" s="26">
        <v>76.89</v>
      </c>
      <c r="J38" s="26">
        <v>76.89</v>
      </c>
      <c r="K38" s="26">
        <v>76.89</v>
      </c>
      <c r="L38" s="26">
        <v>76.89</v>
      </c>
      <c r="M38" s="26">
        <v>76.89</v>
      </c>
      <c r="N38" s="26">
        <v>76.89</v>
      </c>
      <c r="O38" s="26">
        <v>76.89</v>
      </c>
      <c r="P38" s="26">
        <v>76.89</v>
      </c>
      <c r="Q38" s="26">
        <v>76.89</v>
      </c>
      <c r="R38" s="26">
        <v>76.89</v>
      </c>
      <c r="S38" s="26">
        <v>76.89</v>
      </c>
      <c r="T38" s="26">
        <v>76.89</v>
      </c>
      <c r="U38" s="26">
        <v>76.89</v>
      </c>
      <c r="V38" s="26">
        <v>76.89</v>
      </c>
      <c r="W38" s="26">
        <v>76.89</v>
      </c>
      <c r="X38" s="26">
        <v>76.89</v>
      </c>
      <c r="Y38" s="26">
        <v>76.89</v>
      </c>
      <c r="Z38" s="26">
        <v>76.89</v>
      </c>
      <c r="AA38" s="26">
        <v>76.89</v>
      </c>
      <c r="AB38" s="23">
        <f t="shared" si="0"/>
        <v>1845.360000000001</v>
      </c>
      <c r="AC38" s="24">
        <v>4</v>
      </c>
      <c r="AD38" s="86"/>
    </row>
    <row r="39" spans="2:30" x14ac:dyDescent="0.2">
      <c r="B39" s="85"/>
      <c r="C39" s="2" t="s">
        <v>63</v>
      </c>
      <c r="D39" s="26">
        <v>76.89</v>
      </c>
      <c r="E39" s="26">
        <v>76.89</v>
      </c>
      <c r="F39" s="26">
        <v>76.89</v>
      </c>
      <c r="G39" s="26">
        <v>76.89</v>
      </c>
      <c r="H39" s="26">
        <v>76.89</v>
      </c>
      <c r="I39" s="26">
        <v>76.89</v>
      </c>
      <c r="J39" s="26">
        <v>76.89</v>
      </c>
      <c r="K39" s="26">
        <v>76.89</v>
      </c>
      <c r="L39" s="26">
        <v>76.89</v>
      </c>
      <c r="M39" s="26">
        <v>76.89</v>
      </c>
      <c r="N39" s="26">
        <v>76.89</v>
      </c>
      <c r="O39" s="26">
        <v>76.89</v>
      </c>
      <c r="P39" s="26">
        <v>76.89</v>
      </c>
      <c r="Q39" s="26">
        <v>76.89</v>
      </c>
      <c r="R39" s="26">
        <v>76.89</v>
      </c>
      <c r="S39" s="26">
        <v>76.89</v>
      </c>
      <c r="T39" s="26">
        <v>76.89</v>
      </c>
      <c r="U39" s="26">
        <v>76.89</v>
      </c>
      <c r="V39" s="26">
        <v>76.89</v>
      </c>
      <c r="W39" s="26">
        <v>76.89</v>
      </c>
      <c r="X39" s="26">
        <v>76.89</v>
      </c>
      <c r="Y39" s="26">
        <v>76.89</v>
      </c>
      <c r="Z39" s="26">
        <v>76.89</v>
      </c>
      <c r="AA39" s="26">
        <v>76.89</v>
      </c>
      <c r="AB39" s="23">
        <f t="shared" si="0"/>
        <v>1845.360000000001</v>
      </c>
      <c r="AC39" s="24">
        <v>6</v>
      </c>
      <c r="AD39" s="86"/>
    </row>
    <row r="40" spans="2:30" x14ac:dyDescent="0.2">
      <c r="B40" s="85">
        <v>47453</v>
      </c>
      <c r="C40" s="2" t="s">
        <v>29</v>
      </c>
      <c r="D40" s="26">
        <v>76.89</v>
      </c>
      <c r="E40" s="26">
        <v>76.89</v>
      </c>
      <c r="F40" s="26">
        <v>76.89</v>
      </c>
      <c r="G40" s="26">
        <v>76.89</v>
      </c>
      <c r="H40" s="26">
        <v>76.89</v>
      </c>
      <c r="I40" s="26">
        <v>76.89</v>
      </c>
      <c r="J40" s="26">
        <v>76.89</v>
      </c>
      <c r="K40" s="26">
        <v>76.89</v>
      </c>
      <c r="L40" s="26">
        <v>76.89</v>
      </c>
      <c r="M40" s="26">
        <v>76.89</v>
      </c>
      <c r="N40" s="26">
        <v>76.89</v>
      </c>
      <c r="O40" s="26">
        <v>76.89</v>
      </c>
      <c r="P40" s="26">
        <v>76.89</v>
      </c>
      <c r="Q40" s="26">
        <v>76.89</v>
      </c>
      <c r="R40" s="26">
        <v>76.89</v>
      </c>
      <c r="S40" s="26">
        <v>76.89</v>
      </c>
      <c r="T40" s="26">
        <v>76.89</v>
      </c>
      <c r="U40" s="26">
        <v>76.89</v>
      </c>
      <c r="V40" s="26">
        <v>76.89</v>
      </c>
      <c r="W40" s="26">
        <v>76.89</v>
      </c>
      <c r="X40" s="26">
        <v>76.89</v>
      </c>
      <c r="Y40" s="26">
        <v>76.89</v>
      </c>
      <c r="Z40" s="26">
        <v>76.89</v>
      </c>
      <c r="AA40" s="26">
        <v>76.89</v>
      </c>
      <c r="AB40" s="23">
        <f t="shared" si="0"/>
        <v>1845.360000000001</v>
      </c>
      <c r="AC40" s="24">
        <v>20</v>
      </c>
      <c r="AD40" s="86">
        <f>+AB40*AC40+AB41*AC41+AB42*AC42</f>
        <v>57206.160000000033</v>
      </c>
    </row>
    <row r="41" spans="2:30" x14ac:dyDescent="0.2">
      <c r="B41" s="85"/>
      <c r="C41" s="2" t="s">
        <v>30</v>
      </c>
      <c r="D41" s="26">
        <v>76.89</v>
      </c>
      <c r="E41" s="26">
        <v>76.89</v>
      </c>
      <c r="F41" s="26">
        <v>76.89</v>
      </c>
      <c r="G41" s="26">
        <v>76.89</v>
      </c>
      <c r="H41" s="26">
        <v>76.89</v>
      </c>
      <c r="I41" s="26">
        <v>76.89</v>
      </c>
      <c r="J41" s="26">
        <v>76.89</v>
      </c>
      <c r="K41" s="26">
        <v>76.89</v>
      </c>
      <c r="L41" s="26">
        <v>76.89</v>
      </c>
      <c r="M41" s="26">
        <v>76.89</v>
      </c>
      <c r="N41" s="26">
        <v>76.89</v>
      </c>
      <c r="O41" s="26">
        <v>76.89</v>
      </c>
      <c r="P41" s="26">
        <v>76.89</v>
      </c>
      <c r="Q41" s="26">
        <v>76.89</v>
      </c>
      <c r="R41" s="26">
        <v>76.89</v>
      </c>
      <c r="S41" s="26">
        <v>76.89</v>
      </c>
      <c r="T41" s="26">
        <v>76.89</v>
      </c>
      <c r="U41" s="26">
        <v>76.89</v>
      </c>
      <c r="V41" s="26">
        <v>76.89</v>
      </c>
      <c r="W41" s="26">
        <v>76.89</v>
      </c>
      <c r="X41" s="26">
        <v>76.89</v>
      </c>
      <c r="Y41" s="26">
        <v>76.89</v>
      </c>
      <c r="Z41" s="26">
        <v>76.89</v>
      </c>
      <c r="AA41" s="26">
        <v>76.89</v>
      </c>
      <c r="AB41" s="23">
        <f t="shared" si="0"/>
        <v>1845.360000000001</v>
      </c>
      <c r="AC41" s="24">
        <v>4</v>
      </c>
      <c r="AD41" s="86"/>
    </row>
    <row r="42" spans="2:30" x14ac:dyDescent="0.2">
      <c r="B42" s="85"/>
      <c r="C42" s="2" t="s">
        <v>63</v>
      </c>
      <c r="D42" s="26">
        <v>76.89</v>
      </c>
      <c r="E42" s="26">
        <v>76.89</v>
      </c>
      <c r="F42" s="26">
        <v>76.89</v>
      </c>
      <c r="G42" s="26">
        <v>76.89</v>
      </c>
      <c r="H42" s="26">
        <v>76.89</v>
      </c>
      <c r="I42" s="26">
        <v>76.89</v>
      </c>
      <c r="J42" s="26">
        <v>76.89</v>
      </c>
      <c r="K42" s="26">
        <v>76.89</v>
      </c>
      <c r="L42" s="26">
        <v>76.89</v>
      </c>
      <c r="M42" s="26">
        <v>76.89</v>
      </c>
      <c r="N42" s="26">
        <v>76.89</v>
      </c>
      <c r="O42" s="26">
        <v>76.89</v>
      </c>
      <c r="P42" s="26">
        <v>76.89</v>
      </c>
      <c r="Q42" s="26">
        <v>76.89</v>
      </c>
      <c r="R42" s="26">
        <v>76.89</v>
      </c>
      <c r="S42" s="26">
        <v>76.89</v>
      </c>
      <c r="T42" s="26">
        <v>76.89</v>
      </c>
      <c r="U42" s="26">
        <v>76.89</v>
      </c>
      <c r="V42" s="26">
        <v>76.89</v>
      </c>
      <c r="W42" s="26">
        <v>76.89</v>
      </c>
      <c r="X42" s="26">
        <v>76.89</v>
      </c>
      <c r="Y42" s="26">
        <v>76.89</v>
      </c>
      <c r="Z42" s="26">
        <v>76.89</v>
      </c>
      <c r="AA42" s="26">
        <v>76.89</v>
      </c>
      <c r="AB42" s="23">
        <f t="shared" si="0"/>
        <v>1845.360000000001</v>
      </c>
      <c r="AC42" s="24">
        <v>7</v>
      </c>
      <c r="AD42" s="86"/>
    </row>
    <row r="43" spans="2:30" ht="15.75" x14ac:dyDescent="0.25">
      <c r="AA43" s="87" t="s">
        <v>31</v>
      </c>
      <c r="AB43" s="88"/>
      <c r="AC43" s="89"/>
      <c r="AD43" s="25">
        <f>SUM(AD7:AD42)</f>
        <v>673556.40000000037</v>
      </c>
    </row>
  </sheetData>
  <mergeCells count="25">
    <mergeCell ref="AA43:AC43"/>
    <mergeCell ref="B34:B36"/>
    <mergeCell ref="AD34:AD36"/>
    <mergeCell ref="B37:B39"/>
    <mergeCell ref="AD37:AD39"/>
    <mergeCell ref="B40:B42"/>
    <mergeCell ref="AD40:AD42"/>
    <mergeCell ref="B25:B27"/>
    <mergeCell ref="AD25:AD27"/>
    <mergeCell ref="B28:B30"/>
    <mergeCell ref="AD28:AD30"/>
    <mergeCell ref="B31:B33"/>
    <mergeCell ref="AD31:AD33"/>
    <mergeCell ref="B16:B18"/>
    <mergeCell ref="AD16:AD18"/>
    <mergeCell ref="B19:B21"/>
    <mergeCell ref="AD19:AD21"/>
    <mergeCell ref="B22:B24"/>
    <mergeCell ref="AD22:AD24"/>
    <mergeCell ref="B13:B15"/>
    <mergeCell ref="AD13:AD15"/>
    <mergeCell ref="B7:B9"/>
    <mergeCell ref="AD7:AD9"/>
    <mergeCell ref="B10:B12"/>
    <mergeCell ref="AD10:AD12"/>
  </mergeCells>
  <conditionalFormatting sqref="D7:AA42">
    <cfRule type="cellIs" dxfId="3" priority="1" operator="lessThan">
      <formula>0</formula>
    </cfRule>
    <cfRule type="cellIs" dxfId="2" priority="2" operator="equal">
      <formula>"&gt;0"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FF3A2-2D78-43AD-9CE2-B95292AFDB21}">
  <sheetPr>
    <tabColor theme="7" tint="0.39997558519241921"/>
  </sheetPr>
  <dimension ref="B2:M23"/>
  <sheetViews>
    <sheetView showGridLines="0" zoomScale="80" zoomScaleNormal="80" workbookViewId="0">
      <selection activeCell="C18" sqref="C18"/>
    </sheetView>
  </sheetViews>
  <sheetFormatPr baseColWidth="10" defaultColWidth="10.88671875" defaultRowHeight="15" x14ac:dyDescent="0.2"/>
  <cols>
    <col min="1" max="1" width="6.33203125" style="3" customWidth="1"/>
    <col min="2" max="2" width="10.88671875" style="3" customWidth="1"/>
    <col min="3" max="4" width="12.109375" style="3" customWidth="1"/>
    <col min="5" max="5" width="13.109375" style="3" customWidth="1"/>
    <col min="6" max="6" width="12.5546875" style="3" customWidth="1"/>
    <col min="7" max="7" width="8.109375" style="3" customWidth="1"/>
    <col min="8" max="8" width="13.109375" style="3" customWidth="1"/>
    <col min="9" max="16384" width="10.88671875" style="3"/>
  </cols>
  <sheetData>
    <row r="2" spans="2:8" x14ac:dyDescent="0.2">
      <c r="B2" s="45"/>
      <c r="C2" s="46"/>
      <c r="D2" s="46"/>
      <c r="E2" s="46"/>
      <c r="F2" s="46"/>
      <c r="G2" s="46"/>
      <c r="H2" s="47"/>
    </row>
    <row r="3" spans="2:8" ht="18" x14ac:dyDescent="0.2">
      <c r="B3" s="39"/>
      <c r="C3" s="48" t="s">
        <v>32</v>
      </c>
      <c r="H3" s="40"/>
    </row>
    <row r="4" spans="2:8" ht="18" x14ac:dyDescent="0.2">
      <c r="B4" s="39"/>
      <c r="C4" s="48" t="s">
        <v>33</v>
      </c>
      <c r="H4" s="40"/>
    </row>
    <row r="5" spans="2:8" ht="18" x14ac:dyDescent="0.2">
      <c r="B5" s="39"/>
      <c r="C5" s="48" t="s">
        <v>62</v>
      </c>
      <c r="H5" s="40"/>
    </row>
    <row r="6" spans="2:8" ht="18" x14ac:dyDescent="0.2">
      <c r="B6" s="39"/>
      <c r="C6" s="48"/>
      <c r="H6" s="40"/>
    </row>
    <row r="7" spans="2:8" ht="18" x14ac:dyDescent="0.2">
      <c r="B7" s="39"/>
      <c r="C7" s="48" t="s">
        <v>54</v>
      </c>
      <c r="H7" s="40"/>
    </row>
    <row r="8" spans="2:8" x14ac:dyDescent="0.2">
      <c r="B8" s="39"/>
      <c r="H8" s="40"/>
    </row>
    <row r="9" spans="2:8" ht="18" x14ac:dyDescent="0.2">
      <c r="B9" s="39"/>
      <c r="C9" s="13" t="s">
        <v>75</v>
      </c>
      <c r="H9" s="40"/>
    </row>
    <row r="10" spans="2:8" x14ac:dyDescent="0.2">
      <c r="B10" s="39"/>
      <c r="H10" s="40"/>
    </row>
    <row r="11" spans="2:8" ht="15.75" x14ac:dyDescent="0.25">
      <c r="B11" s="39"/>
      <c r="C11" s="49"/>
      <c r="H11" s="50"/>
    </row>
    <row r="12" spans="2:8" ht="45" x14ac:dyDescent="0.25">
      <c r="B12" s="39"/>
      <c r="C12" s="34" t="s">
        <v>46</v>
      </c>
      <c r="D12" s="34" t="s">
        <v>34</v>
      </c>
      <c r="E12" s="6" t="s">
        <v>91</v>
      </c>
      <c r="F12" s="6" t="s">
        <v>56</v>
      </c>
      <c r="G12" s="51"/>
      <c r="H12" s="50"/>
    </row>
    <row r="13" spans="2:8" ht="15.75" x14ac:dyDescent="0.25">
      <c r="B13" s="39"/>
      <c r="C13" s="52">
        <v>2029</v>
      </c>
      <c r="D13" s="53">
        <f>P5_Anexo_1_2029!AD43</f>
        <v>673556.40000000037</v>
      </c>
      <c r="E13" s="58"/>
      <c r="F13" s="58"/>
      <c r="G13" s="38"/>
      <c r="H13" s="50"/>
    </row>
    <row r="14" spans="2:8" ht="15.75" x14ac:dyDescent="0.25">
      <c r="B14" s="39"/>
      <c r="C14" s="55" t="s">
        <v>35</v>
      </c>
      <c r="D14" s="56">
        <f>SUM(D13:D13)</f>
        <v>673556.40000000037</v>
      </c>
      <c r="H14" s="50"/>
    </row>
    <row r="15" spans="2:8" ht="15.75" x14ac:dyDescent="0.25">
      <c r="B15" s="39"/>
      <c r="H15" s="50"/>
    </row>
    <row r="16" spans="2:8" x14ac:dyDescent="0.2">
      <c r="B16" s="39"/>
      <c r="H16" s="40"/>
    </row>
    <row r="17" spans="2:13" x14ac:dyDescent="0.2">
      <c r="B17" s="39"/>
      <c r="C17" s="41" t="s">
        <v>36</v>
      </c>
      <c r="H17" s="40"/>
      <c r="M17" s="57"/>
    </row>
    <row r="18" spans="2:13" x14ac:dyDescent="0.2">
      <c r="B18" s="39"/>
      <c r="C18" s="41" t="s">
        <v>96</v>
      </c>
      <c r="H18" s="40"/>
    </row>
    <row r="19" spans="2:13" x14ac:dyDescent="0.2">
      <c r="B19" s="39"/>
      <c r="C19" s="41" t="s">
        <v>93</v>
      </c>
      <c r="H19" s="40"/>
    </row>
    <row r="20" spans="2:13" x14ac:dyDescent="0.2">
      <c r="B20" s="39"/>
      <c r="C20" s="41" t="s">
        <v>37</v>
      </c>
      <c r="H20" s="40"/>
    </row>
    <row r="21" spans="2:13" x14ac:dyDescent="0.2">
      <c r="B21" s="39"/>
      <c r="C21" s="41" t="s">
        <v>92</v>
      </c>
      <c r="H21" s="40"/>
    </row>
    <row r="22" spans="2:13" x14ac:dyDescent="0.2">
      <c r="B22" s="39"/>
      <c r="C22" s="41"/>
      <c r="H22" s="40"/>
    </row>
    <row r="23" spans="2:13" x14ac:dyDescent="0.2">
      <c r="B23" s="42"/>
      <c r="C23" s="43"/>
      <c r="D23" s="43"/>
      <c r="E23" s="43"/>
      <c r="F23" s="43"/>
      <c r="G23" s="43"/>
      <c r="H23" s="4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2728-49E2-43FB-8C29-49D3F4DDD9B1}">
  <sheetPr>
    <tabColor theme="9" tint="0.39997558519241921"/>
  </sheetPr>
  <dimension ref="B2:AD43"/>
  <sheetViews>
    <sheetView showGridLines="0" zoomScale="60" zoomScaleNormal="6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" sqref="D1:AA1048576"/>
    </sheetView>
  </sheetViews>
  <sheetFormatPr baseColWidth="10" defaultRowHeight="15" x14ac:dyDescent="0.2"/>
  <cols>
    <col min="1" max="1" width="2.44140625" customWidth="1"/>
    <col min="4" max="6" width="8.109375" bestFit="1" customWidth="1"/>
    <col min="7" max="7" width="7.6640625" bestFit="1" customWidth="1"/>
    <col min="8" max="8" width="8.109375" bestFit="1" customWidth="1"/>
    <col min="9" max="9" width="7.6640625" bestFit="1" customWidth="1"/>
    <col min="10" max="14" width="8.109375" bestFit="1" customWidth="1"/>
    <col min="15" max="15" width="8.44140625" bestFit="1" customWidth="1"/>
    <col min="16" max="17" width="8.77734375" bestFit="1" customWidth="1"/>
    <col min="18" max="18" width="8.44140625" bestFit="1" customWidth="1"/>
    <col min="19" max="19" width="8.77734375" bestFit="1" customWidth="1"/>
    <col min="20" max="20" width="8.44140625" bestFit="1" customWidth="1"/>
    <col min="21" max="22" width="8.77734375" bestFit="1" customWidth="1"/>
    <col min="23" max="24" width="9.21875" bestFit="1" customWidth="1"/>
    <col min="25" max="27" width="8.77734375" bestFit="1" customWidth="1"/>
    <col min="28" max="28" width="7.109375" bestFit="1" customWidth="1"/>
    <col min="29" max="29" width="8.21875" bestFit="1" customWidth="1"/>
    <col min="30" max="30" width="11.5546875" bestFit="1" customWidth="1"/>
  </cols>
  <sheetData>
    <row r="2" spans="2:30" ht="23.25" x14ac:dyDescent="0.35">
      <c r="B2" s="1" t="s">
        <v>55</v>
      </c>
    </row>
    <row r="3" spans="2:30" ht="23.25" x14ac:dyDescent="0.35">
      <c r="B3" s="1" t="s">
        <v>69</v>
      </c>
    </row>
    <row r="4" spans="2:30" ht="23.25" x14ac:dyDescent="0.35">
      <c r="B4" s="1"/>
    </row>
    <row r="5" spans="2:30" ht="23.25" x14ac:dyDescent="0.35">
      <c r="B5" s="1" t="s">
        <v>47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2:30" x14ac:dyDescent="0.2">
      <c r="B6" s="22" t="s">
        <v>0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  <c r="J6" s="22" t="s">
        <v>8</v>
      </c>
      <c r="K6" s="22" t="s">
        <v>9</v>
      </c>
      <c r="L6" s="22" t="s">
        <v>10</v>
      </c>
      <c r="M6" s="22" t="s">
        <v>11</v>
      </c>
      <c r="N6" s="22" t="s">
        <v>12</v>
      </c>
      <c r="O6" s="22" t="s">
        <v>13</v>
      </c>
      <c r="P6" s="22" t="s">
        <v>14</v>
      </c>
      <c r="Q6" s="22" t="s">
        <v>15</v>
      </c>
      <c r="R6" s="22" t="s">
        <v>16</v>
      </c>
      <c r="S6" s="22" t="s">
        <v>17</v>
      </c>
      <c r="T6" s="22" t="s">
        <v>18</v>
      </c>
      <c r="U6" s="22" t="s">
        <v>19</v>
      </c>
      <c r="V6" s="22" t="s">
        <v>20</v>
      </c>
      <c r="W6" s="22" t="s">
        <v>21</v>
      </c>
      <c r="X6" s="22" t="s">
        <v>22</v>
      </c>
      <c r="Y6" s="22" t="s">
        <v>23</v>
      </c>
      <c r="Z6" s="22" t="s">
        <v>24</v>
      </c>
      <c r="AA6" s="22" t="s">
        <v>25</v>
      </c>
      <c r="AB6" s="22" t="s">
        <v>26</v>
      </c>
      <c r="AC6" s="22" t="s">
        <v>27</v>
      </c>
      <c r="AD6" s="22" t="s">
        <v>28</v>
      </c>
    </row>
    <row r="7" spans="2:30" x14ac:dyDescent="0.2">
      <c r="B7" s="85">
        <v>47119</v>
      </c>
      <c r="C7" s="2" t="s">
        <v>29</v>
      </c>
      <c r="D7" s="26">
        <v>59.04</v>
      </c>
      <c r="E7" s="26">
        <v>41.84</v>
      </c>
      <c r="F7" s="26">
        <v>26.28</v>
      </c>
      <c r="G7" s="26">
        <v>21.31</v>
      </c>
      <c r="H7" s="26">
        <v>20.239999999999998</v>
      </c>
      <c r="I7" s="26">
        <v>18.57</v>
      </c>
      <c r="J7" s="26">
        <v>37.31</v>
      </c>
      <c r="K7" s="26">
        <v>34.61</v>
      </c>
      <c r="L7" s="26">
        <v>57.53</v>
      </c>
      <c r="M7" s="26">
        <v>73.78</v>
      </c>
      <c r="N7" s="26">
        <v>94.39</v>
      </c>
      <c r="O7" s="26">
        <v>116.35</v>
      </c>
      <c r="P7" s="26">
        <v>132.66</v>
      </c>
      <c r="Q7" s="26">
        <v>122.05</v>
      </c>
      <c r="R7" s="26">
        <v>111.83</v>
      </c>
      <c r="S7" s="26">
        <v>108.72</v>
      </c>
      <c r="T7" s="26">
        <v>111.6</v>
      </c>
      <c r="U7" s="26">
        <v>155.41</v>
      </c>
      <c r="V7" s="26">
        <v>167.45</v>
      </c>
      <c r="W7" s="26">
        <v>207.84</v>
      </c>
      <c r="X7" s="26">
        <v>205.35</v>
      </c>
      <c r="Y7" s="26">
        <v>189.98</v>
      </c>
      <c r="Z7" s="26">
        <v>153.13999999999999</v>
      </c>
      <c r="AA7" s="26">
        <v>104.94</v>
      </c>
      <c r="AB7" s="23">
        <f>SUM(D7:AA7)</f>
        <v>2372.2199999999998</v>
      </c>
      <c r="AC7" s="24">
        <v>21</v>
      </c>
      <c r="AD7" s="86">
        <f>+AB7*AC7+AB8*AC8+AB9*AC9</f>
        <v>68648.34</v>
      </c>
    </row>
    <row r="8" spans="2:30" x14ac:dyDescent="0.2">
      <c r="B8" s="85"/>
      <c r="C8" s="2" t="s">
        <v>30</v>
      </c>
      <c r="D8" s="26">
        <v>51.82</v>
      </c>
      <c r="E8" s="26">
        <v>35.22</v>
      </c>
      <c r="F8" s="26">
        <v>20.2</v>
      </c>
      <c r="G8" s="26">
        <v>15.4</v>
      </c>
      <c r="H8" s="26">
        <v>14.38</v>
      </c>
      <c r="I8" s="26">
        <v>12.76</v>
      </c>
      <c r="J8" s="26">
        <v>30.85</v>
      </c>
      <c r="K8" s="26">
        <v>27.53</v>
      </c>
      <c r="L8" s="26">
        <v>49.57</v>
      </c>
      <c r="M8" s="26">
        <v>65.150000000000006</v>
      </c>
      <c r="N8" s="26">
        <v>84.96</v>
      </c>
      <c r="O8" s="26">
        <v>106.13</v>
      </c>
      <c r="P8" s="26">
        <v>121.9</v>
      </c>
      <c r="Q8" s="26">
        <v>111.71</v>
      </c>
      <c r="R8" s="26">
        <v>101.86</v>
      </c>
      <c r="S8" s="26">
        <v>98.92</v>
      </c>
      <c r="T8" s="26">
        <v>101.78</v>
      </c>
      <c r="U8" s="26">
        <v>145.47</v>
      </c>
      <c r="V8" s="26">
        <v>157.08000000000001</v>
      </c>
      <c r="W8" s="26">
        <v>196.06</v>
      </c>
      <c r="X8" s="26">
        <v>193.66</v>
      </c>
      <c r="Y8" s="26">
        <v>178.82</v>
      </c>
      <c r="Z8" s="26">
        <v>143.27000000000001</v>
      </c>
      <c r="AA8" s="26">
        <v>96.76</v>
      </c>
      <c r="AB8" s="23">
        <f t="shared" ref="AB8:AB42" si="0">SUM(D8:AA8)</f>
        <v>2161.2600000000002</v>
      </c>
      <c r="AC8" s="24">
        <v>4</v>
      </c>
      <c r="AD8" s="86"/>
    </row>
    <row r="9" spans="2:30" x14ac:dyDescent="0.2">
      <c r="B9" s="85"/>
      <c r="C9" s="2" t="s">
        <v>63</v>
      </c>
      <c r="D9" s="26">
        <v>35.96</v>
      </c>
      <c r="E9" s="26">
        <v>20.67</v>
      </c>
      <c r="F9" s="26">
        <v>6.85</v>
      </c>
      <c r="G9" s="26">
        <v>2.4300000000000002</v>
      </c>
      <c r="H9" s="26">
        <v>1.48</v>
      </c>
      <c r="I9" s="26">
        <v>0</v>
      </c>
      <c r="J9" s="26">
        <v>16.649999999999999</v>
      </c>
      <c r="K9" s="26">
        <v>12</v>
      </c>
      <c r="L9" s="26">
        <v>32.08</v>
      </c>
      <c r="M9" s="26">
        <v>46.18</v>
      </c>
      <c r="N9" s="26">
        <v>64.25</v>
      </c>
      <c r="O9" s="26">
        <v>83.67</v>
      </c>
      <c r="P9" s="26">
        <v>98.25</v>
      </c>
      <c r="Q9" s="26">
        <v>89</v>
      </c>
      <c r="R9" s="26">
        <v>79.959999999999994</v>
      </c>
      <c r="S9" s="26">
        <v>77.38</v>
      </c>
      <c r="T9" s="26">
        <v>80.2</v>
      </c>
      <c r="U9" s="26">
        <v>123.61</v>
      </c>
      <c r="V9" s="26">
        <v>134.31</v>
      </c>
      <c r="W9" s="26">
        <v>170.18</v>
      </c>
      <c r="X9" s="26">
        <v>167.98</v>
      </c>
      <c r="Y9" s="26">
        <v>154.32</v>
      </c>
      <c r="Z9" s="26">
        <v>121.59</v>
      </c>
      <c r="AA9" s="26">
        <v>78.78</v>
      </c>
      <c r="AB9" s="23">
        <f t="shared" si="0"/>
        <v>1697.78</v>
      </c>
      <c r="AC9" s="24">
        <v>6</v>
      </c>
      <c r="AD9" s="86"/>
    </row>
    <row r="10" spans="2:30" x14ac:dyDescent="0.2">
      <c r="B10" s="85">
        <v>47150</v>
      </c>
      <c r="C10" s="2" t="s">
        <v>29</v>
      </c>
      <c r="D10" s="26">
        <v>59.04</v>
      </c>
      <c r="E10" s="26">
        <v>41.84</v>
      </c>
      <c r="F10" s="26">
        <v>26.28</v>
      </c>
      <c r="G10" s="26">
        <v>21.31</v>
      </c>
      <c r="H10" s="26">
        <v>20.239999999999998</v>
      </c>
      <c r="I10" s="26">
        <v>18.57</v>
      </c>
      <c r="J10" s="26">
        <v>37.31</v>
      </c>
      <c r="K10" s="26">
        <v>34.61</v>
      </c>
      <c r="L10" s="26">
        <v>57.53</v>
      </c>
      <c r="M10" s="26">
        <v>73.78</v>
      </c>
      <c r="N10" s="26">
        <v>94.39</v>
      </c>
      <c r="O10" s="26">
        <v>116.35</v>
      </c>
      <c r="P10" s="26">
        <v>132.66</v>
      </c>
      <c r="Q10" s="26">
        <v>122.05</v>
      </c>
      <c r="R10" s="26">
        <v>111.83</v>
      </c>
      <c r="S10" s="26">
        <v>108.72</v>
      </c>
      <c r="T10" s="26">
        <v>111.6</v>
      </c>
      <c r="U10" s="26">
        <v>155.41</v>
      </c>
      <c r="V10" s="26">
        <v>167.45</v>
      </c>
      <c r="W10" s="26">
        <v>207.84</v>
      </c>
      <c r="X10" s="26">
        <v>205.35</v>
      </c>
      <c r="Y10" s="26">
        <v>189.98</v>
      </c>
      <c r="Z10" s="26">
        <v>153.13999999999999</v>
      </c>
      <c r="AA10" s="26">
        <v>104.94</v>
      </c>
      <c r="AB10" s="23">
        <f t="shared" si="0"/>
        <v>2372.2199999999998</v>
      </c>
      <c r="AC10" s="24">
        <v>20</v>
      </c>
      <c r="AD10" s="86">
        <f>+AB10*AC10+AB11*AC11+AB12*AC12</f>
        <v>62880.56</v>
      </c>
    </row>
    <row r="11" spans="2:30" x14ac:dyDescent="0.2">
      <c r="B11" s="85"/>
      <c r="C11" s="2" t="s">
        <v>30</v>
      </c>
      <c r="D11" s="26">
        <v>51.82</v>
      </c>
      <c r="E11" s="26">
        <v>35.22</v>
      </c>
      <c r="F11" s="26">
        <v>20.2</v>
      </c>
      <c r="G11" s="26">
        <v>15.4</v>
      </c>
      <c r="H11" s="26">
        <v>14.38</v>
      </c>
      <c r="I11" s="26">
        <v>12.76</v>
      </c>
      <c r="J11" s="26">
        <v>30.85</v>
      </c>
      <c r="K11" s="26">
        <v>27.53</v>
      </c>
      <c r="L11" s="26">
        <v>49.57</v>
      </c>
      <c r="M11" s="26">
        <v>65.150000000000006</v>
      </c>
      <c r="N11" s="26">
        <v>84.96</v>
      </c>
      <c r="O11" s="26">
        <v>106.13</v>
      </c>
      <c r="P11" s="26">
        <v>121.9</v>
      </c>
      <c r="Q11" s="26">
        <v>111.71</v>
      </c>
      <c r="R11" s="26">
        <v>101.86</v>
      </c>
      <c r="S11" s="26">
        <v>98.92</v>
      </c>
      <c r="T11" s="26">
        <v>101.78</v>
      </c>
      <c r="U11" s="26">
        <v>145.47</v>
      </c>
      <c r="V11" s="26">
        <v>157.08000000000001</v>
      </c>
      <c r="W11" s="26">
        <v>196.06</v>
      </c>
      <c r="X11" s="26">
        <v>193.66</v>
      </c>
      <c r="Y11" s="26">
        <v>178.82</v>
      </c>
      <c r="Z11" s="26">
        <v>143.27000000000001</v>
      </c>
      <c r="AA11" s="26">
        <v>96.76</v>
      </c>
      <c r="AB11" s="23">
        <f t="shared" si="0"/>
        <v>2161.2600000000002</v>
      </c>
      <c r="AC11" s="24">
        <v>4</v>
      </c>
      <c r="AD11" s="86"/>
    </row>
    <row r="12" spans="2:30" x14ac:dyDescent="0.2">
      <c r="B12" s="85"/>
      <c r="C12" s="2" t="s">
        <v>63</v>
      </c>
      <c r="D12" s="26">
        <v>35.96</v>
      </c>
      <c r="E12" s="26">
        <v>20.67</v>
      </c>
      <c r="F12" s="26">
        <v>6.85</v>
      </c>
      <c r="G12" s="26">
        <v>2.4300000000000002</v>
      </c>
      <c r="H12" s="26">
        <v>1.48</v>
      </c>
      <c r="I12" s="26">
        <v>0</v>
      </c>
      <c r="J12" s="26">
        <v>16.649999999999999</v>
      </c>
      <c r="K12" s="26">
        <v>12</v>
      </c>
      <c r="L12" s="26">
        <v>32.08</v>
      </c>
      <c r="M12" s="26">
        <v>46.18</v>
      </c>
      <c r="N12" s="26">
        <v>64.25</v>
      </c>
      <c r="O12" s="26">
        <v>83.67</v>
      </c>
      <c r="P12" s="26">
        <v>98.25</v>
      </c>
      <c r="Q12" s="26">
        <v>89</v>
      </c>
      <c r="R12" s="26">
        <v>79.959999999999994</v>
      </c>
      <c r="S12" s="26">
        <v>77.38</v>
      </c>
      <c r="T12" s="26">
        <v>80.2</v>
      </c>
      <c r="U12" s="26">
        <v>123.61</v>
      </c>
      <c r="V12" s="26">
        <v>134.31</v>
      </c>
      <c r="W12" s="26">
        <v>170.18</v>
      </c>
      <c r="X12" s="26">
        <v>167.98</v>
      </c>
      <c r="Y12" s="26">
        <v>154.32</v>
      </c>
      <c r="Z12" s="26">
        <v>121.59</v>
      </c>
      <c r="AA12" s="26">
        <v>78.78</v>
      </c>
      <c r="AB12" s="23">
        <f t="shared" si="0"/>
        <v>1697.78</v>
      </c>
      <c r="AC12" s="24">
        <v>4</v>
      </c>
      <c r="AD12" s="86"/>
    </row>
    <row r="13" spans="2:30" x14ac:dyDescent="0.2">
      <c r="B13" s="85">
        <v>47178</v>
      </c>
      <c r="C13" s="2" t="s">
        <v>29</v>
      </c>
      <c r="D13" s="26">
        <v>59.04</v>
      </c>
      <c r="E13" s="26">
        <v>41.84</v>
      </c>
      <c r="F13" s="26">
        <v>26.28</v>
      </c>
      <c r="G13" s="26">
        <v>21.31</v>
      </c>
      <c r="H13" s="26">
        <v>20.239999999999998</v>
      </c>
      <c r="I13" s="26">
        <v>18.57</v>
      </c>
      <c r="J13" s="26">
        <v>37.31</v>
      </c>
      <c r="K13" s="26">
        <v>34.61</v>
      </c>
      <c r="L13" s="26">
        <v>57.53</v>
      </c>
      <c r="M13" s="26">
        <v>73.78</v>
      </c>
      <c r="N13" s="26">
        <v>94.39</v>
      </c>
      <c r="O13" s="26">
        <v>116.35</v>
      </c>
      <c r="P13" s="26">
        <v>132.66</v>
      </c>
      <c r="Q13" s="26">
        <v>122.05</v>
      </c>
      <c r="R13" s="26">
        <v>111.83</v>
      </c>
      <c r="S13" s="26">
        <v>108.72</v>
      </c>
      <c r="T13" s="26">
        <v>111.6</v>
      </c>
      <c r="U13" s="26">
        <v>155.41</v>
      </c>
      <c r="V13" s="26">
        <v>167.45</v>
      </c>
      <c r="W13" s="26">
        <v>207.84</v>
      </c>
      <c r="X13" s="26">
        <v>205.35</v>
      </c>
      <c r="Y13" s="26">
        <v>189.98</v>
      </c>
      <c r="Z13" s="26">
        <v>153.13999999999999</v>
      </c>
      <c r="AA13" s="26">
        <v>104.94</v>
      </c>
      <c r="AB13" s="23">
        <f t="shared" si="0"/>
        <v>2372.2199999999998</v>
      </c>
      <c r="AC13" s="24">
        <v>19</v>
      </c>
      <c r="AD13" s="86">
        <f>+AB13*AC13+AB14*AC14+AB15*AC15</f>
        <v>67762.94</v>
      </c>
    </row>
    <row r="14" spans="2:30" x14ac:dyDescent="0.2">
      <c r="B14" s="85"/>
      <c r="C14" s="2" t="s">
        <v>30</v>
      </c>
      <c r="D14" s="26">
        <v>51.82</v>
      </c>
      <c r="E14" s="26">
        <v>35.22</v>
      </c>
      <c r="F14" s="26">
        <v>20.2</v>
      </c>
      <c r="G14" s="26">
        <v>15.4</v>
      </c>
      <c r="H14" s="26">
        <v>14.38</v>
      </c>
      <c r="I14" s="26">
        <v>12.76</v>
      </c>
      <c r="J14" s="26">
        <v>30.85</v>
      </c>
      <c r="K14" s="26">
        <v>27.53</v>
      </c>
      <c r="L14" s="26">
        <v>49.57</v>
      </c>
      <c r="M14" s="26">
        <v>65.150000000000006</v>
      </c>
      <c r="N14" s="26">
        <v>84.96</v>
      </c>
      <c r="O14" s="26">
        <v>106.13</v>
      </c>
      <c r="P14" s="26">
        <v>121.9</v>
      </c>
      <c r="Q14" s="26">
        <v>111.71</v>
      </c>
      <c r="R14" s="26">
        <v>101.86</v>
      </c>
      <c r="S14" s="26">
        <v>98.92</v>
      </c>
      <c r="T14" s="26">
        <v>101.78</v>
      </c>
      <c r="U14" s="26">
        <v>145.47</v>
      </c>
      <c r="V14" s="26">
        <v>157.08000000000001</v>
      </c>
      <c r="W14" s="26">
        <v>196.06</v>
      </c>
      <c r="X14" s="26">
        <v>193.66</v>
      </c>
      <c r="Y14" s="26">
        <v>178.82</v>
      </c>
      <c r="Z14" s="26">
        <v>143.27000000000001</v>
      </c>
      <c r="AA14" s="26">
        <v>96.76</v>
      </c>
      <c r="AB14" s="23">
        <f t="shared" si="0"/>
        <v>2161.2600000000002</v>
      </c>
      <c r="AC14" s="24">
        <v>5</v>
      </c>
      <c r="AD14" s="86"/>
    </row>
    <row r="15" spans="2:30" x14ac:dyDescent="0.2">
      <c r="B15" s="85"/>
      <c r="C15" s="2" t="s">
        <v>63</v>
      </c>
      <c r="D15" s="26">
        <v>35.96</v>
      </c>
      <c r="E15" s="26">
        <v>20.67</v>
      </c>
      <c r="F15" s="26">
        <v>6.85</v>
      </c>
      <c r="G15" s="26">
        <v>2.4300000000000002</v>
      </c>
      <c r="H15" s="26">
        <v>1.48</v>
      </c>
      <c r="I15" s="26">
        <v>0</v>
      </c>
      <c r="J15" s="26">
        <v>16.649999999999999</v>
      </c>
      <c r="K15" s="26">
        <v>12</v>
      </c>
      <c r="L15" s="26">
        <v>32.08</v>
      </c>
      <c r="M15" s="26">
        <v>46.18</v>
      </c>
      <c r="N15" s="26">
        <v>64.25</v>
      </c>
      <c r="O15" s="26">
        <v>83.67</v>
      </c>
      <c r="P15" s="26">
        <v>98.25</v>
      </c>
      <c r="Q15" s="26">
        <v>89</v>
      </c>
      <c r="R15" s="26">
        <v>79.959999999999994</v>
      </c>
      <c r="S15" s="26">
        <v>77.38</v>
      </c>
      <c r="T15" s="26">
        <v>80.2</v>
      </c>
      <c r="U15" s="26">
        <v>123.61</v>
      </c>
      <c r="V15" s="26">
        <v>134.31</v>
      </c>
      <c r="W15" s="26">
        <v>170.18</v>
      </c>
      <c r="X15" s="26">
        <v>167.98</v>
      </c>
      <c r="Y15" s="26">
        <v>154.32</v>
      </c>
      <c r="Z15" s="26">
        <v>121.59</v>
      </c>
      <c r="AA15" s="26">
        <v>78.78</v>
      </c>
      <c r="AB15" s="23">
        <f t="shared" si="0"/>
        <v>1697.78</v>
      </c>
      <c r="AC15" s="24">
        <v>7</v>
      </c>
      <c r="AD15" s="86"/>
    </row>
    <row r="16" spans="2:30" x14ac:dyDescent="0.2">
      <c r="B16" s="85">
        <v>47209</v>
      </c>
      <c r="C16" s="2" t="s">
        <v>29</v>
      </c>
      <c r="D16" s="26">
        <v>59.04</v>
      </c>
      <c r="E16" s="26">
        <v>41.84</v>
      </c>
      <c r="F16" s="26">
        <v>26.28</v>
      </c>
      <c r="G16" s="26">
        <v>21.31</v>
      </c>
      <c r="H16" s="26">
        <v>20.239999999999998</v>
      </c>
      <c r="I16" s="26">
        <v>18.57</v>
      </c>
      <c r="J16" s="26">
        <v>37.31</v>
      </c>
      <c r="K16" s="26">
        <v>34.61</v>
      </c>
      <c r="L16" s="26">
        <v>57.53</v>
      </c>
      <c r="M16" s="26">
        <v>73.78</v>
      </c>
      <c r="N16" s="26">
        <v>94.39</v>
      </c>
      <c r="O16" s="26">
        <v>116.35</v>
      </c>
      <c r="P16" s="26">
        <v>132.66</v>
      </c>
      <c r="Q16" s="26">
        <v>122.05</v>
      </c>
      <c r="R16" s="26">
        <v>111.83</v>
      </c>
      <c r="S16" s="26">
        <v>108.72</v>
      </c>
      <c r="T16" s="26">
        <v>111.6</v>
      </c>
      <c r="U16" s="26">
        <v>155.41</v>
      </c>
      <c r="V16" s="26">
        <v>167.45</v>
      </c>
      <c r="W16" s="26">
        <v>207.84</v>
      </c>
      <c r="X16" s="26">
        <v>205.35</v>
      </c>
      <c r="Y16" s="26">
        <v>189.98</v>
      </c>
      <c r="Z16" s="26">
        <v>153.13999999999999</v>
      </c>
      <c r="AA16" s="26">
        <v>104.94</v>
      </c>
      <c r="AB16" s="23">
        <f t="shared" si="0"/>
        <v>2372.2199999999998</v>
      </c>
      <c r="AC16" s="24">
        <v>21</v>
      </c>
      <c r="AD16" s="86">
        <f>+AB16*AC16+AB17*AC17+AB18*AC18</f>
        <v>66950.559999999998</v>
      </c>
    </row>
    <row r="17" spans="2:30" x14ac:dyDescent="0.2">
      <c r="B17" s="85"/>
      <c r="C17" s="2" t="s">
        <v>30</v>
      </c>
      <c r="D17" s="26">
        <v>51.82</v>
      </c>
      <c r="E17" s="26">
        <v>35.22</v>
      </c>
      <c r="F17" s="26">
        <v>20.2</v>
      </c>
      <c r="G17" s="26">
        <v>15.4</v>
      </c>
      <c r="H17" s="26">
        <v>14.38</v>
      </c>
      <c r="I17" s="26">
        <v>12.76</v>
      </c>
      <c r="J17" s="26">
        <v>30.85</v>
      </c>
      <c r="K17" s="26">
        <v>27.53</v>
      </c>
      <c r="L17" s="26">
        <v>49.57</v>
      </c>
      <c r="M17" s="26">
        <v>65.150000000000006</v>
      </c>
      <c r="N17" s="26">
        <v>84.96</v>
      </c>
      <c r="O17" s="26">
        <v>106.13</v>
      </c>
      <c r="P17" s="26">
        <v>121.9</v>
      </c>
      <c r="Q17" s="26">
        <v>111.71</v>
      </c>
      <c r="R17" s="26">
        <v>101.86</v>
      </c>
      <c r="S17" s="26">
        <v>98.92</v>
      </c>
      <c r="T17" s="26">
        <v>101.78</v>
      </c>
      <c r="U17" s="26">
        <v>145.47</v>
      </c>
      <c r="V17" s="26">
        <v>157.08000000000001</v>
      </c>
      <c r="W17" s="26">
        <v>196.06</v>
      </c>
      <c r="X17" s="26">
        <v>193.66</v>
      </c>
      <c r="Y17" s="26">
        <v>178.82</v>
      </c>
      <c r="Z17" s="26">
        <v>143.27000000000001</v>
      </c>
      <c r="AA17" s="26">
        <v>96.76</v>
      </c>
      <c r="AB17" s="23">
        <f t="shared" si="0"/>
        <v>2161.2600000000002</v>
      </c>
      <c r="AC17" s="24">
        <v>4</v>
      </c>
      <c r="AD17" s="86"/>
    </row>
    <row r="18" spans="2:30" x14ac:dyDescent="0.2">
      <c r="B18" s="85"/>
      <c r="C18" s="2" t="s">
        <v>63</v>
      </c>
      <c r="D18" s="26">
        <v>35.96</v>
      </c>
      <c r="E18" s="26">
        <v>20.67</v>
      </c>
      <c r="F18" s="26">
        <v>6.85</v>
      </c>
      <c r="G18" s="26">
        <v>2.4300000000000002</v>
      </c>
      <c r="H18" s="26">
        <v>1.48</v>
      </c>
      <c r="I18" s="26">
        <v>0</v>
      </c>
      <c r="J18" s="26">
        <v>16.649999999999999</v>
      </c>
      <c r="K18" s="26">
        <v>12</v>
      </c>
      <c r="L18" s="26">
        <v>32.08</v>
      </c>
      <c r="M18" s="26">
        <v>46.18</v>
      </c>
      <c r="N18" s="26">
        <v>64.25</v>
      </c>
      <c r="O18" s="26">
        <v>83.67</v>
      </c>
      <c r="P18" s="26">
        <v>98.25</v>
      </c>
      <c r="Q18" s="26">
        <v>89</v>
      </c>
      <c r="R18" s="26">
        <v>79.959999999999994</v>
      </c>
      <c r="S18" s="26">
        <v>77.38</v>
      </c>
      <c r="T18" s="26">
        <v>80.2</v>
      </c>
      <c r="U18" s="26">
        <v>123.61</v>
      </c>
      <c r="V18" s="26">
        <v>134.31</v>
      </c>
      <c r="W18" s="26">
        <v>170.18</v>
      </c>
      <c r="X18" s="26">
        <v>167.98</v>
      </c>
      <c r="Y18" s="26">
        <v>154.32</v>
      </c>
      <c r="Z18" s="26">
        <v>121.59</v>
      </c>
      <c r="AA18" s="26">
        <v>78.78</v>
      </c>
      <c r="AB18" s="23">
        <f t="shared" si="0"/>
        <v>1697.78</v>
      </c>
      <c r="AC18" s="24">
        <v>5</v>
      </c>
      <c r="AD18" s="86"/>
    </row>
    <row r="19" spans="2:30" x14ac:dyDescent="0.2">
      <c r="B19" s="85">
        <v>47239</v>
      </c>
      <c r="C19" s="2" t="s">
        <v>29</v>
      </c>
      <c r="D19" s="26">
        <v>59.04</v>
      </c>
      <c r="E19" s="26">
        <v>41.84</v>
      </c>
      <c r="F19" s="26">
        <v>26.28</v>
      </c>
      <c r="G19" s="26">
        <v>21.31</v>
      </c>
      <c r="H19" s="26">
        <v>20.239999999999998</v>
      </c>
      <c r="I19" s="26">
        <v>18.57</v>
      </c>
      <c r="J19" s="26">
        <v>37.31</v>
      </c>
      <c r="K19" s="26">
        <v>34.61</v>
      </c>
      <c r="L19" s="26">
        <v>57.53</v>
      </c>
      <c r="M19" s="26">
        <v>73.78</v>
      </c>
      <c r="N19" s="26">
        <v>94.39</v>
      </c>
      <c r="O19" s="26">
        <v>116.35</v>
      </c>
      <c r="P19" s="26">
        <v>132.66</v>
      </c>
      <c r="Q19" s="26">
        <v>122.05</v>
      </c>
      <c r="R19" s="26">
        <v>111.83</v>
      </c>
      <c r="S19" s="26">
        <v>108.72</v>
      </c>
      <c r="T19" s="26">
        <v>111.6</v>
      </c>
      <c r="U19" s="26">
        <v>155.41</v>
      </c>
      <c r="V19" s="26">
        <v>167.45</v>
      </c>
      <c r="W19" s="26">
        <v>207.84</v>
      </c>
      <c r="X19" s="26">
        <v>205.35</v>
      </c>
      <c r="Y19" s="26">
        <v>189.98</v>
      </c>
      <c r="Z19" s="26">
        <v>153.13999999999999</v>
      </c>
      <c r="AA19" s="26">
        <v>104.94</v>
      </c>
      <c r="AB19" s="23">
        <f t="shared" si="0"/>
        <v>2372.2199999999998</v>
      </c>
      <c r="AC19" s="24">
        <v>21</v>
      </c>
      <c r="AD19" s="86">
        <f>+AB19*AC19+AB20*AC20+AB21*AC21</f>
        <v>68648.34</v>
      </c>
    </row>
    <row r="20" spans="2:30" x14ac:dyDescent="0.2">
      <c r="B20" s="85"/>
      <c r="C20" s="2" t="s">
        <v>30</v>
      </c>
      <c r="D20" s="26">
        <v>51.82</v>
      </c>
      <c r="E20" s="26">
        <v>35.22</v>
      </c>
      <c r="F20" s="26">
        <v>20.2</v>
      </c>
      <c r="G20" s="26">
        <v>15.4</v>
      </c>
      <c r="H20" s="26">
        <v>14.38</v>
      </c>
      <c r="I20" s="26">
        <v>12.76</v>
      </c>
      <c r="J20" s="26">
        <v>30.85</v>
      </c>
      <c r="K20" s="26">
        <v>27.53</v>
      </c>
      <c r="L20" s="26">
        <v>49.57</v>
      </c>
      <c r="M20" s="26">
        <v>65.150000000000006</v>
      </c>
      <c r="N20" s="26">
        <v>84.96</v>
      </c>
      <c r="O20" s="26">
        <v>106.13</v>
      </c>
      <c r="P20" s="26">
        <v>121.9</v>
      </c>
      <c r="Q20" s="26">
        <v>111.71</v>
      </c>
      <c r="R20" s="26">
        <v>101.86</v>
      </c>
      <c r="S20" s="26">
        <v>98.92</v>
      </c>
      <c r="T20" s="26">
        <v>101.78</v>
      </c>
      <c r="U20" s="26">
        <v>145.47</v>
      </c>
      <c r="V20" s="26">
        <v>157.08000000000001</v>
      </c>
      <c r="W20" s="26">
        <v>196.06</v>
      </c>
      <c r="X20" s="26">
        <v>193.66</v>
      </c>
      <c r="Y20" s="26">
        <v>178.82</v>
      </c>
      <c r="Z20" s="26">
        <v>143.27000000000001</v>
      </c>
      <c r="AA20" s="26">
        <v>96.76</v>
      </c>
      <c r="AB20" s="23">
        <f t="shared" si="0"/>
        <v>2161.2600000000002</v>
      </c>
      <c r="AC20" s="24">
        <v>4</v>
      </c>
      <c r="AD20" s="86"/>
    </row>
    <row r="21" spans="2:30" x14ac:dyDescent="0.2">
      <c r="B21" s="85"/>
      <c r="C21" s="2" t="s">
        <v>63</v>
      </c>
      <c r="D21" s="26">
        <v>35.96</v>
      </c>
      <c r="E21" s="26">
        <v>20.67</v>
      </c>
      <c r="F21" s="26">
        <v>6.85</v>
      </c>
      <c r="G21" s="26">
        <v>2.4300000000000002</v>
      </c>
      <c r="H21" s="26">
        <v>1.48</v>
      </c>
      <c r="I21" s="26">
        <v>0</v>
      </c>
      <c r="J21" s="26">
        <v>16.649999999999999</v>
      </c>
      <c r="K21" s="26">
        <v>12</v>
      </c>
      <c r="L21" s="26">
        <v>32.08</v>
      </c>
      <c r="M21" s="26">
        <v>46.18</v>
      </c>
      <c r="N21" s="26">
        <v>64.25</v>
      </c>
      <c r="O21" s="26">
        <v>83.67</v>
      </c>
      <c r="P21" s="26">
        <v>98.25</v>
      </c>
      <c r="Q21" s="26">
        <v>89</v>
      </c>
      <c r="R21" s="26">
        <v>79.959999999999994</v>
      </c>
      <c r="S21" s="26">
        <v>77.38</v>
      </c>
      <c r="T21" s="26">
        <v>80.2</v>
      </c>
      <c r="U21" s="26">
        <v>123.61</v>
      </c>
      <c r="V21" s="26">
        <v>134.31</v>
      </c>
      <c r="W21" s="26">
        <v>170.18</v>
      </c>
      <c r="X21" s="26">
        <v>167.98</v>
      </c>
      <c r="Y21" s="26">
        <v>154.32</v>
      </c>
      <c r="Z21" s="26">
        <v>121.59</v>
      </c>
      <c r="AA21" s="26">
        <v>78.78</v>
      </c>
      <c r="AB21" s="23">
        <f t="shared" si="0"/>
        <v>1697.78</v>
      </c>
      <c r="AC21" s="24">
        <v>6</v>
      </c>
      <c r="AD21" s="86"/>
    </row>
    <row r="22" spans="2:30" x14ac:dyDescent="0.2">
      <c r="B22" s="85">
        <v>47270</v>
      </c>
      <c r="C22" s="2" t="s">
        <v>29</v>
      </c>
      <c r="D22" s="26">
        <v>59.04</v>
      </c>
      <c r="E22" s="26">
        <v>41.84</v>
      </c>
      <c r="F22" s="26">
        <v>26.28</v>
      </c>
      <c r="G22" s="26">
        <v>21.31</v>
      </c>
      <c r="H22" s="26">
        <v>20.239999999999998</v>
      </c>
      <c r="I22" s="26">
        <v>18.57</v>
      </c>
      <c r="J22" s="26">
        <v>37.31</v>
      </c>
      <c r="K22" s="26">
        <v>34.61</v>
      </c>
      <c r="L22" s="26">
        <v>57.53</v>
      </c>
      <c r="M22" s="26">
        <v>73.78</v>
      </c>
      <c r="N22" s="26">
        <v>94.39</v>
      </c>
      <c r="O22" s="26">
        <v>116.35</v>
      </c>
      <c r="P22" s="26">
        <v>132.66</v>
      </c>
      <c r="Q22" s="26">
        <v>122.05</v>
      </c>
      <c r="R22" s="26">
        <v>111.83</v>
      </c>
      <c r="S22" s="26">
        <v>108.72</v>
      </c>
      <c r="T22" s="26">
        <v>111.6</v>
      </c>
      <c r="U22" s="26">
        <v>155.41</v>
      </c>
      <c r="V22" s="26">
        <v>167.45</v>
      </c>
      <c r="W22" s="26">
        <v>207.84</v>
      </c>
      <c r="X22" s="26">
        <v>205.35</v>
      </c>
      <c r="Y22" s="26">
        <v>189.98</v>
      </c>
      <c r="Z22" s="26">
        <v>153.13999999999999</v>
      </c>
      <c r="AA22" s="26">
        <v>104.94</v>
      </c>
      <c r="AB22" s="23">
        <f t="shared" si="0"/>
        <v>2372.2199999999998</v>
      </c>
      <c r="AC22" s="24">
        <v>19</v>
      </c>
      <c r="AD22" s="86">
        <f>+AB22*AC22+AB23*AC23+AB24*AC24</f>
        <v>66065.16</v>
      </c>
    </row>
    <row r="23" spans="2:30" x14ac:dyDescent="0.2">
      <c r="B23" s="85"/>
      <c r="C23" s="2" t="s">
        <v>30</v>
      </c>
      <c r="D23" s="26">
        <v>51.82</v>
      </c>
      <c r="E23" s="26">
        <v>35.22</v>
      </c>
      <c r="F23" s="26">
        <v>20.2</v>
      </c>
      <c r="G23" s="26">
        <v>15.4</v>
      </c>
      <c r="H23" s="26">
        <v>14.38</v>
      </c>
      <c r="I23" s="26">
        <v>12.76</v>
      </c>
      <c r="J23" s="26">
        <v>30.85</v>
      </c>
      <c r="K23" s="26">
        <v>27.53</v>
      </c>
      <c r="L23" s="26">
        <v>49.57</v>
      </c>
      <c r="M23" s="26">
        <v>65.150000000000006</v>
      </c>
      <c r="N23" s="26">
        <v>84.96</v>
      </c>
      <c r="O23" s="26">
        <v>106.13</v>
      </c>
      <c r="P23" s="26">
        <v>121.9</v>
      </c>
      <c r="Q23" s="26">
        <v>111.71</v>
      </c>
      <c r="R23" s="26">
        <v>101.86</v>
      </c>
      <c r="S23" s="26">
        <v>98.92</v>
      </c>
      <c r="T23" s="26">
        <v>101.78</v>
      </c>
      <c r="U23" s="26">
        <v>145.47</v>
      </c>
      <c r="V23" s="26">
        <v>157.08000000000001</v>
      </c>
      <c r="W23" s="26">
        <v>196.06</v>
      </c>
      <c r="X23" s="26">
        <v>193.66</v>
      </c>
      <c r="Y23" s="26">
        <v>178.82</v>
      </c>
      <c r="Z23" s="26">
        <v>143.27000000000001</v>
      </c>
      <c r="AA23" s="26">
        <v>96.76</v>
      </c>
      <c r="AB23" s="23">
        <f t="shared" si="0"/>
        <v>2161.2600000000002</v>
      </c>
      <c r="AC23" s="24">
        <v>5</v>
      </c>
      <c r="AD23" s="86"/>
    </row>
    <row r="24" spans="2:30" x14ac:dyDescent="0.2">
      <c r="B24" s="85"/>
      <c r="C24" s="2" t="s">
        <v>63</v>
      </c>
      <c r="D24" s="26">
        <v>35.96</v>
      </c>
      <c r="E24" s="26">
        <v>20.67</v>
      </c>
      <c r="F24" s="26">
        <v>6.85</v>
      </c>
      <c r="G24" s="26">
        <v>2.4300000000000002</v>
      </c>
      <c r="H24" s="26">
        <v>1.48</v>
      </c>
      <c r="I24" s="26">
        <v>0</v>
      </c>
      <c r="J24" s="26">
        <v>16.649999999999999</v>
      </c>
      <c r="K24" s="26">
        <v>12</v>
      </c>
      <c r="L24" s="26">
        <v>32.08</v>
      </c>
      <c r="M24" s="26">
        <v>46.18</v>
      </c>
      <c r="N24" s="26">
        <v>64.25</v>
      </c>
      <c r="O24" s="26">
        <v>83.67</v>
      </c>
      <c r="P24" s="26">
        <v>98.25</v>
      </c>
      <c r="Q24" s="26">
        <v>89</v>
      </c>
      <c r="R24" s="26">
        <v>79.959999999999994</v>
      </c>
      <c r="S24" s="26">
        <v>77.38</v>
      </c>
      <c r="T24" s="26">
        <v>80.2</v>
      </c>
      <c r="U24" s="26">
        <v>123.61</v>
      </c>
      <c r="V24" s="26">
        <v>134.31</v>
      </c>
      <c r="W24" s="26">
        <v>170.18</v>
      </c>
      <c r="X24" s="26">
        <v>167.98</v>
      </c>
      <c r="Y24" s="26">
        <v>154.32</v>
      </c>
      <c r="Z24" s="26">
        <v>121.59</v>
      </c>
      <c r="AA24" s="26">
        <v>78.78</v>
      </c>
      <c r="AB24" s="23">
        <f t="shared" si="0"/>
        <v>1697.78</v>
      </c>
      <c r="AC24" s="24">
        <v>6</v>
      </c>
      <c r="AD24" s="86"/>
    </row>
    <row r="25" spans="2:30" x14ac:dyDescent="0.2">
      <c r="B25" s="85">
        <v>47300</v>
      </c>
      <c r="C25" s="2" t="s">
        <v>29</v>
      </c>
      <c r="D25" s="26">
        <v>59.04</v>
      </c>
      <c r="E25" s="26">
        <v>41.84</v>
      </c>
      <c r="F25" s="26">
        <v>26.28</v>
      </c>
      <c r="G25" s="26">
        <v>21.31</v>
      </c>
      <c r="H25" s="26">
        <v>20.239999999999998</v>
      </c>
      <c r="I25" s="26">
        <v>18.57</v>
      </c>
      <c r="J25" s="26">
        <v>37.31</v>
      </c>
      <c r="K25" s="26">
        <v>34.61</v>
      </c>
      <c r="L25" s="26">
        <v>57.53</v>
      </c>
      <c r="M25" s="26">
        <v>73.78</v>
      </c>
      <c r="N25" s="26">
        <v>94.39</v>
      </c>
      <c r="O25" s="26">
        <v>116.35</v>
      </c>
      <c r="P25" s="26">
        <v>132.66</v>
      </c>
      <c r="Q25" s="26">
        <v>122.05</v>
      </c>
      <c r="R25" s="26">
        <v>111.83</v>
      </c>
      <c r="S25" s="26">
        <v>108.72</v>
      </c>
      <c r="T25" s="26">
        <v>111.6</v>
      </c>
      <c r="U25" s="26">
        <v>155.41</v>
      </c>
      <c r="V25" s="26">
        <v>167.45</v>
      </c>
      <c r="W25" s="26">
        <v>207.84</v>
      </c>
      <c r="X25" s="26">
        <v>205.35</v>
      </c>
      <c r="Y25" s="26">
        <v>189.98</v>
      </c>
      <c r="Z25" s="26">
        <v>153.13999999999999</v>
      </c>
      <c r="AA25" s="26">
        <v>104.94</v>
      </c>
      <c r="AB25" s="23">
        <f t="shared" si="0"/>
        <v>2372.2199999999998</v>
      </c>
      <c r="AC25" s="24">
        <v>20</v>
      </c>
      <c r="AD25" s="86">
        <f>+AB25*AC25+AB26*AC26+AB27*AC27</f>
        <v>67973.899999999994</v>
      </c>
    </row>
    <row r="26" spans="2:30" x14ac:dyDescent="0.2">
      <c r="B26" s="85"/>
      <c r="C26" s="2" t="s">
        <v>30</v>
      </c>
      <c r="D26" s="26">
        <v>51.82</v>
      </c>
      <c r="E26" s="26">
        <v>35.22</v>
      </c>
      <c r="F26" s="26">
        <v>20.2</v>
      </c>
      <c r="G26" s="26">
        <v>15.4</v>
      </c>
      <c r="H26" s="26">
        <v>14.38</v>
      </c>
      <c r="I26" s="26">
        <v>12.76</v>
      </c>
      <c r="J26" s="26">
        <v>30.85</v>
      </c>
      <c r="K26" s="26">
        <v>27.53</v>
      </c>
      <c r="L26" s="26">
        <v>49.57</v>
      </c>
      <c r="M26" s="26">
        <v>65.150000000000006</v>
      </c>
      <c r="N26" s="26">
        <v>84.96</v>
      </c>
      <c r="O26" s="26">
        <v>106.13</v>
      </c>
      <c r="P26" s="26">
        <v>121.9</v>
      </c>
      <c r="Q26" s="26">
        <v>111.71</v>
      </c>
      <c r="R26" s="26">
        <v>101.86</v>
      </c>
      <c r="S26" s="26">
        <v>98.92</v>
      </c>
      <c r="T26" s="26">
        <v>101.78</v>
      </c>
      <c r="U26" s="26">
        <v>145.47</v>
      </c>
      <c r="V26" s="26">
        <v>157.08000000000001</v>
      </c>
      <c r="W26" s="26">
        <v>196.06</v>
      </c>
      <c r="X26" s="26">
        <v>193.66</v>
      </c>
      <c r="Y26" s="26">
        <v>178.82</v>
      </c>
      <c r="Z26" s="26">
        <v>143.27000000000001</v>
      </c>
      <c r="AA26" s="26">
        <v>96.76</v>
      </c>
      <c r="AB26" s="23">
        <f t="shared" si="0"/>
        <v>2161.2600000000002</v>
      </c>
      <c r="AC26" s="24">
        <v>4</v>
      </c>
      <c r="AD26" s="86"/>
    </row>
    <row r="27" spans="2:30" x14ac:dyDescent="0.2">
      <c r="B27" s="85"/>
      <c r="C27" s="2" t="s">
        <v>63</v>
      </c>
      <c r="D27" s="26">
        <v>35.96</v>
      </c>
      <c r="E27" s="26">
        <v>20.67</v>
      </c>
      <c r="F27" s="26">
        <v>6.85</v>
      </c>
      <c r="G27" s="26">
        <v>2.4300000000000002</v>
      </c>
      <c r="H27" s="26">
        <v>1.48</v>
      </c>
      <c r="I27" s="26">
        <v>0</v>
      </c>
      <c r="J27" s="26">
        <v>16.649999999999999</v>
      </c>
      <c r="K27" s="26">
        <v>12</v>
      </c>
      <c r="L27" s="26">
        <v>32.08</v>
      </c>
      <c r="M27" s="26">
        <v>46.18</v>
      </c>
      <c r="N27" s="26">
        <v>64.25</v>
      </c>
      <c r="O27" s="26">
        <v>83.67</v>
      </c>
      <c r="P27" s="26">
        <v>98.25</v>
      </c>
      <c r="Q27" s="26">
        <v>89</v>
      </c>
      <c r="R27" s="26">
        <v>79.959999999999994</v>
      </c>
      <c r="S27" s="26">
        <v>77.38</v>
      </c>
      <c r="T27" s="26">
        <v>80.2</v>
      </c>
      <c r="U27" s="26">
        <v>123.61</v>
      </c>
      <c r="V27" s="26">
        <v>134.31</v>
      </c>
      <c r="W27" s="26">
        <v>170.18</v>
      </c>
      <c r="X27" s="26">
        <v>167.98</v>
      </c>
      <c r="Y27" s="26">
        <v>154.32</v>
      </c>
      <c r="Z27" s="26">
        <v>121.59</v>
      </c>
      <c r="AA27" s="26">
        <v>78.78</v>
      </c>
      <c r="AB27" s="23">
        <f t="shared" si="0"/>
        <v>1697.78</v>
      </c>
      <c r="AC27" s="24">
        <v>7</v>
      </c>
      <c r="AD27" s="86"/>
    </row>
    <row r="28" spans="2:30" x14ac:dyDescent="0.2">
      <c r="B28" s="85">
        <v>47331</v>
      </c>
      <c r="C28" s="2" t="s">
        <v>29</v>
      </c>
      <c r="D28" s="26">
        <v>59.04</v>
      </c>
      <c r="E28" s="26">
        <v>41.84</v>
      </c>
      <c r="F28" s="26">
        <v>26.28</v>
      </c>
      <c r="G28" s="26">
        <v>21.31</v>
      </c>
      <c r="H28" s="26">
        <v>20.239999999999998</v>
      </c>
      <c r="I28" s="26">
        <v>18.57</v>
      </c>
      <c r="J28" s="26">
        <v>37.31</v>
      </c>
      <c r="K28" s="26">
        <v>34.61</v>
      </c>
      <c r="L28" s="26">
        <v>57.53</v>
      </c>
      <c r="M28" s="26">
        <v>73.78</v>
      </c>
      <c r="N28" s="26">
        <v>94.39</v>
      </c>
      <c r="O28" s="26">
        <v>116.35</v>
      </c>
      <c r="P28" s="26">
        <v>132.66</v>
      </c>
      <c r="Q28" s="26">
        <v>122.05</v>
      </c>
      <c r="R28" s="26">
        <v>111.83</v>
      </c>
      <c r="S28" s="26">
        <v>108.72</v>
      </c>
      <c r="T28" s="26">
        <v>111.6</v>
      </c>
      <c r="U28" s="26">
        <v>155.41</v>
      </c>
      <c r="V28" s="26">
        <v>167.45</v>
      </c>
      <c r="W28" s="26">
        <v>207.84</v>
      </c>
      <c r="X28" s="26">
        <v>205.35</v>
      </c>
      <c r="Y28" s="26">
        <v>189.98</v>
      </c>
      <c r="Z28" s="26">
        <v>153.13999999999999</v>
      </c>
      <c r="AA28" s="26">
        <v>104.94</v>
      </c>
      <c r="AB28" s="23">
        <f t="shared" si="0"/>
        <v>2372.2199999999998</v>
      </c>
      <c r="AC28" s="24">
        <v>21</v>
      </c>
      <c r="AD28" s="86">
        <f>+AB28*AC28+AB29*AC29+AB30*AC30</f>
        <v>68648.34</v>
      </c>
    </row>
    <row r="29" spans="2:30" x14ac:dyDescent="0.2">
      <c r="B29" s="85"/>
      <c r="C29" s="2" t="s">
        <v>30</v>
      </c>
      <c r="D29" s="26">
        <v>51.82</v>
      </c>
      <c r="E29" s="26">
        <v>35.22</v>
      </c>
      <c r="F29" s="26">
        <v>20.2</v>
      </c>
      <c r="G29" s="26">
        <v>15.4</v>
      </c>
      <c r="H29" s="26">
        <v>14.38</v>
      </c>
      <c r="I29" s="26">
        <v>12.76</v>
      </c>
      <c r="J29" s="26">
        <v>30.85</v>
      </c>
      <c r="K29" s="26">
        <v>27.53</v>
      </c>
      <c r="L29" s="26">
        <v>49.57</v>
      </c>
      <c r="M29" s="26">
        <v>65.150000000000006</v>
      </c>
      <c r="N29" s="26">
        <v>84.96</v>
      </c>
      <c r="O29" s="26">
        <v>106.13</v>
      </c>
      <c r="P29" s="26">
        <v>121.9</v>
      </c>
      <c r="Q29" s="26">
        <v>111.71</v>
      </c>
      <c r="R29" s="26">
        <v>101.86</v>
      </c>
      <c r="S29" s="26">
        <v>98.92</v>
      </c>
      <c r="T29" s="26">
        <v>101.78</v>
      </c>
      <c r="U29" s="26">
        <v>145.47</v>
      </c>
      <c r="V29" s="26">
        <v>157.08000000000001</v>
      </c>
      <c r="W29" s="26">
        <v>196.06</v>
      </c>
      <c r="X29" s="26">
        <v>193.66</v>
      </c>
      <c r="Y29" s="26">
        <v>178.82</v>
      </c>
      <c r="Z29" s="26">
        <v>143.27000000000001</v>
      </c>
      <c r="AA29" s="26">
        <v>96.76</v>
      </c>
      <c r="AB29" s="23">
        <f t="shared" si="0"/>
        <v>2161.2600000000002</v>
      </c>
      <c r="AC29" s="24">
        <v>4</v>
      </c>
      <c r="AD29" s="86"/>
    </row>
    <row r="30" spans="2:30" x14ac:dyDescent="0.2">
      <c r="B30" s="85"/>
      <c r="C30" s="2" t="s">
        <v>63</v>
      </c>
      <c r="D30" s="26">
        <v>35.96</v>
      </c>
      <c r="E30" s="26">
        <v>20.67</v>
      </c>
      <c r="F30" s="26">
        <v>6.85</v>
      </c>
      <c r="G30" s="26">
        <v>2.4300000000000002</v>
      </c>
      <c r="H30" s="26">
        <v>1.48</v>
      </c>
      <c r="I30" s="26">
        <v>0</v>
      </c>
      <c r="J30" s="26">
        <v>16.649999999999999</v>
      </c>
      <c r="K30" s="26">
        <v>12</v>
      </c>
      <c r="L30" s="26">
        <v>32.08</v>
      </c>
      <c r="M30" s="26">
        <v>46.18</v>
      </c>
      <c r="N30" s="26">
        <v>64.25</v>
      </c>
      <c r="O30" s="26">
        <v>83.67</v>
      </c>
      <c r="P30" s="26">
        <v>98.25</v>
      </c>
      <c r="Q30" s="26">
        <v>89</v>
      </c>
      <c r="R30" s="26">
        <v>79.959999999999994</v>
      </c>
      <c r="S30" s="26">
        <v>77.38</v>
      </c>
      <c r="T30" s="26">
        <v>80.2</v>
      </c>
      <c r="U30" s="26">
        <v>123.61</v>
      </c>
      <c r="V30" s="26">
        <v>134.31</v>
      </c>
      <c r="W30" s="26">
        <v>170.18</v>
      </c>
      <c r="X30" s="26">
        <v>167.98</v>
      </c>
      <c r="Y30" s="26">
        <v>154.32</v>
      </c>
      <c r="Z30" s="26">
        <v>121.59</v>
      </c>
      <c r="AA30" s="26">
        <v>78.78</v>
      </c>
      <c r="AB30" s="23">
        <f t="shared" si="0"/>
        <v>1697.78</v>
      </c>
      <c r="AC30" s="24">
        <v>6</v>
      </c>
      <c r="AD30" s="86"/>
    </row>
    <row r="31" spans="2:30" x14ac:dyDescent="0.2">
      <c r="B31" s="85">
        <v>47362</v>
      </c>
      <c r="C31" s="2" t="s">
        <v>29</v>
      </c>
      <c r="D31" s="26">
        <v>59.04</v>
      </c>
      <c r="E31" s="26">
        <v>41.84</v>
      </c>
      <c r="F31" s="26">
        <v>26.28</v>
      </c>
      <c r="G31" s="26">
        <v>21.31</v>
      </c>
      <c r="H31" s="26">
        <v>20.239999999999998</v>
      </c>
      <c r="I31" s="26">
        <v>18.57</v>
      </c>
      <c r="J31" s="26">
        <v>37.31</v>
      </c>
      <c r="K31" s="26">
        <v>34.61</v>
      </c>
      <c r="L31" s="26">
        <v>57.53</v>
      </c>
      <c r="M31" s="26">
        <v>73.78</v>
      </c>
      <c r="N31" s="26">
        <v>94.39</v>
      </c>
      <c r="O31" s="26">
        <v>116.35</v>
      </c>
      <c r="P31" s="26">
        <v>132.66</v>
      </c>
      <c r="Q31" s="26">
        <v>122.05</v>
      </c>
      <c r="R31" s="26">
        <v>111.83</v>
      </c>
      <c r="S31" s="26">
        <v>108.72</v>
      </c>
      <c r="T31" s="26">
        <v>111.6</v>
      </c>
      <c r="U31" s="26">
        <v>155.41</v>
      </c>
      <c r="V31" s="26">
        <v>167.45</v>
      </c>
      <c r="W31" s="26">
        <v>207.84</v>
      </c>
      <c r="X31" s="26">
        <v>205.35</v>
      </c>
      <c r="Y31" s="26">
        <v>189.98</v>
      </c>
      <c r="Z31" s="26">
        <v>153.13999999999999</v>
      </c>
      <c r="AA31" s="26">
        <v>104.94</v>
      </c>
      <c r="AB31" s="23">
        <f t="shared" si="0"/>
        <v>2372.2199999999998</v>
      </c>
      <c r="AC31" s="24">
        <v>20</v>
      </c>
      <c r="AD31" s="86">
        <f>+AB31*AC31+AB32*AC32+AB33*AC33</f>
        <v>66739.599999999991</v>
      </c>
    </row>
    <row r="32" spans="2:30" x14ac:dyDescent="0.2">
      <c r="B32" s="85"/>
      <c r="C32" s="2" t="s">
        <v>30</v>
      </c>
      <c r="D32" s="26">
        <v>51.82</v>
      </c>
      <c r="E32" s="26">
        <v>35.22</v>
      </c>
      <c r="F32" s="26">
        <v>20.2</v>
      </c>
      <c r="G32" s="26">
        <v>15.4</v>
      </c>
      <c r="H32" s="26">
        <v>14.38</v>
      </c>
      <c r="I32" s="26">
        <v>12.76</v>
      </c>
      <c r="J32" s="26">
        <v>30.85</v>
      </c>
      <c r="K32" s="26">
        <v>27.53</v>
      </c>
      <c r="L32" s="26">
        <v>49.57</v>
      </c>
      <c r="M32" s="26">
        <v>65.150000000000006</v>
      </c>
      <c r="N32" s="26">
        <v>84.96</v>
      </c>
      <c r="O32" s="26">
        <v>106.13</v>
      </c>
      <c r="P32" s="26">
        <v>121.9</v>
      </c>
      <c r="Q32" s="26">
        <v>111.71</v>
      </c>
      <c r="R32" s="26">
        <v>101.86</v>
      </c>
      <c r="S32" s="26">
        <v>98.92</v>
      </c>
      <c r="T32" s="26">
        <v>101.78</v>
      </c>
      <c r="U32" s="26">
        <v>145.47</v>
      </c>
      <c r="V32" s="26">
        <v>157.08000000000001</v>
      </c>
      <c r="W32" s="26">
        <v>196.06</v>
      </c>
      <c r="X32" s="26">
        <v>193.66</v>
      </c>
      <c r="Y32" s="26">
        <v>178.82</v>
      </c>
      <c r="Z32" s="26">
        <v>143.27000000000001</v>
      </c>
      <c r="AA32" s="26">
        <v>96.76</v>
      </c>
      <c r="AB32" s="23">
        <f t="shared" si="0"/>
        <v>2161.2600000000002</v>
      </c>
      <c r="AC32" s="24">
        <v>5</v>
      </c>
      <c r="AD32" s="86"/>
    </row>
    <row r="33" spans="2:30" x14ac:dyDescent="0.2">
      <c r="B33" s="85"/>
      <c r="C33" s="2" t="s">
        <v>63</v>
      </c>
      <c r="D33" s="26">
        <v>35.96</v>
      </c>
      <c r="E33" s="26">
        <v>20.67</v>
      </c>
      <c r="F33" s="26">
        <v>6.85</v>
      </c>
      <c r="G33" s="26">
        <v>2.4300000000000002</v>
      </c>
      <c r="H33" s="26">
        <v>1.48</v>
      </c>
      <c r="I33" s="26">
        <v>0</v>
      </c>
      <c r="J33" s="26">
        <v>16.649999999999999</v>
      </c>
      <c r="K33" s="26">
        <v>12</v>
      </c>
      <c r="L33" s="26">
        <v>32.08</v>
      </c>
      <c r="M33" s="26">
        <v>46.18</v>
      </c>
      <c r="N33" s="26">
        <v>64.25</v>
      </c>
      <c r="O33" s="26">
        <v>83.67</v>
      </c>
      <c r="P33" s="26">
        <v>98.25</v>
      </c>
      <c r="Q33" s="26">
        <v>89</v>
      </c>
      <c r="R33" s="26">
        <v>79.959999999999994</v>
      </c>
      <c r="S33" s="26">
        <v>77.38</v>
      </c>
      <c r="T33" s="26">
        <v>80.2</v>
      </c>
      <c r="U33" s="26">
        <v>123.61</v>
      </c>
      <c r="V33" s="26">
        <v>134.31</v>
      </c>
      <c r="W33" s="26">
        <v>170.18</v>
      </c>
      <c r="X33" s="26">
        <v>167.98</v>
      </c>
      <c r="Y33" s="26">
        <v>154.32</v>
      </c>
      <c r="Z33" s="26">
        <v>121.59</v>
      </c>
      <c r="AA33" s="26">
        <v>78.78</v>
      </c>
      <c r="AB33" s="23">
        <f t="shared" si="0"/>
        <v>1697.78</v>
      </c>
      <c r="AC33" s="24">
        <v>5</v>
      </c>
      <c r="AD33" s="86"/>
    </row>
    <row r="34" spans="2:30" x14ac:dyDescent="0.2">
      <c r="B34" s="85">
        <v>47392</v>
      </c>
      <c r="C34" s="2" t="s">
        <v>29</v>
      </c>
      <c r="D34" s="26">
        <v>59.04</v>
      </c>
      <c r="E34" s="26">
        <v>41.84</v>
      </c>
      <c r="F34" s="26">
        <v>26.28</v>
      </c>
      <c r="G34" s="26">
        <v>21.31</v>
      </c>
      <c r="H34" s="26">
        <v>20.239999999999998</v>
      </c>
      <c r="I34" s="26">
        <v>18.57</v>
      </c>
      <c r="J34" s="26">
        <v>37.31</v>
      </c>
      <c r="K34" s="26">
        <v>34.61</v>
      </c>
      <c r="L34" s="26">
        <v>57.53</v>
      </c>
      <c r="M34" s="26">
        <v>73.78</v>
      </c>
      <c r="N34" s="26">
        <v>94.39</v>
      </c>
      <c r="O34" s="26">
        <v>116.35</v>
      </c>
      <c r="P34" s="26">
        <v>132.66</v>
      </c>
      <c r="Q34" s="26">
        <v>122.05</v>
      </c>
      <c r="R34" s="26">
        <v>111.83</v>
      </c>
      <c r="S34" s="26">
        <v>108.72</v>
      </c>
      <c r="T34" s="26">
        <v>111.6</v>
      </c>
      <c r="U34" s="26">
        <v>155.41</v>
      </c>
      <c r="V34" s="26">
        <v>167.45</v>
      </c>
      <c r="W34" s="26">
        <v>207.84</v>
      </c>
      <c r="X34" s="26">
        <v>205.35</v>
      </c>
      <c r="Y34" s="26">
        <v>189.98</v>
      </c>
      <c r="Z34" s="26">
        <v>153.13999999999999</v>
      </c>
      <c r="AA34" s="26">
        <v>104.94</v>
      </c>
      <c r="AB34" s="23">
        <f t="shared" si="0"/>
        <v>2372.2199999999998</v>
      </c>
      <c r="AC34" s="24">
        <v>22</v>
      </c>
      <c r="AD34" s="86">
        <f>+AB34*AC34+AB35*AC35+AB36*AC36</f>
        <v>69322.78</v>
      </c>
    </row>
    <row r="35" spans="2:30" x14ac:dyDescent="0.2">
      <c r="B35" s="85"/>
      <c r="C35" s="2" t="s">
        <v>30</v>
      </c>
      <c r="D35" s="26">
        <v>51.82</v>
      </c>
      <c r="E35" s="26">
        <v>35.22</v>
      </c>
      <c r="F35" s="26">
        <v>20.2</v>
      </c>
      <c r="G35" s="26">
        <v>15.4</v>
      </c>
      <c r="H35" s="26">
        <v>14.38</v>
      </c>
      <c r="I35" s="26">
        <v>12.76</v>
      </c>
      <c r="J35" s="26">
        <v>30.85</v>
      </c>
      <c r="K35" s="26">
        <v>27.53</v>
      </c>
      <c r="L35" s="26">
        <v>49.57</v>
      </c>
      <c r="M35" s="26">
        <v>65.150000000000006</v>
      </c>
      <c r="N35" s="26">
        <v>84.96</v>
      </c>
      <c r="O35" s="26">
        <v>106.13</v>
      </c>
      <c r="P35" s="26">
        <v>121.9</v>
      </c>
      <c r="Q35" s="26">
        <v>111.71</v>
      </c>
      <c r="R35" s="26">
        <v>101.86</v>
      </c>
      <c r="S35" s="26">
        <v>98.92</v>
      </c>
      <c r="T35" s="26">
        <v>101.78</v>
      </c>
      <c r="U35" s="26">
        <v>145.47</v>
      </c>
      <c r="V35" s="26">
        <v>157.08000000000001</v>
      </c>
      <c r="W35" s="26">
        <v>196.06</v>
      </c>
      <c r="X35" s="26">
        <v>193.66</v>
      </c>
      <c r="Y35" s="26">
        <v>178.82</v>
      </c>
      <c r="Z35" s="26">
        <v>143.27000000000001</v>
      </c>
      <c r="AA35" s="26">
        <v>96.76</v>
      </c>
      <c r="AB35" s="23">
        <f t="shared" si="0"/>
        <v>2161.2600000000002</v>
      </c>
      <c r="AC35" s="24">
        <v>4</v>
      </c>
      <c r="AD35" s="86"/>
    </row>
    <row r="36" spans="2:30" x14ac:dyDescent="0.2">
      <c r="B36" s="85"/>
      <c r="C36" s="2" t="s">
        <v>63</v>
      </c>
      <c r="D36" s="26">
        <v>35.96</v>
      </c>
      <c r="E36" s="26">
        <v>20.67</v>
      </c>
      <c r="F36" s="26">
        <v>6.85</v>
      </c>
      <c r="G36" s="26">
        <v>2.4300000000000002</v>
      </c>
      <c r="H36" s="26">
        <v>1.48</v>
      </c>
      <c r="I36" s="26">
        <v>0</v>
      </c>
      <c r="J36" s="26">
        <v>16.649999999999999</v>
      </c>
      <c r="K36" s="26">
        <v>12</v>
      </c>
      <c r="L36" s="26">
        <v>32.08</v>
      </c>
      <c r="M36" s="26">
        <v>46.18</v>
      </c>
      <c r="N36" s="26">
        <v>64.25</v>
      </c>
      <c r="O36" s="26">
        <v>83.67</v>
      </c>
      <c r="P36" s="26">
        <v>98.25</v>
      </c>
      <c r="Q36" s="26">
        <v>89</v>
      </c>
      <c r="R36" s="26">
        <v>79.959999999999994</v>
      </c>
      <c r="S36" s="26">
        <v>77.38</v>
      </c>
      <c r="T36" s="26">
        <v>80.2</v>
      </c>
      <c r="U36" s="26">
        <v>123.61</v>
      </c>
      <c r="V36" s="26">
        <v>134.31</v>
      </c>
      <c r="W36" s="26">
        <v>170.18</v>
      </c>
      <c r="X36" s="26">
        <v>167.98</v>
      </c>
      <c r="Y36" s="26">
        <v>154.32</v>
      </c>
      <c r="Z36" s="26">
        <v>121.59</v>
      </c>
      <c r="AA36" s="26">
        <v>78.78</v>
      </c>
      <c r="AB36" s="23">
        <f t="shared" si="0"/>
        <v>1697.78</v>
      </c>
      <c r="AC36" s="24">
        <v>5</v>
      </c>
      <c r="AD36" s="86"/>
    </row>
    <row r="37" spans="2:30" x14ac:dyDescent="0.2">
      <c r="B37" s="85">
        <v>47423</v>
      </c>
      <c r="C37" s="2" t="s">
        <v>29</v>
      </c>
      <c r="D37" s="26">
        <v>59.04</v>
      </c>
      <c r="E37" s="26">
        <v>41.84</v>
      </c>
      <c r="F37" s="26">
        <v>26.28</v>
      </c>
      <c r="G37" s="26">
        <v>21.31</v>
      </c>
      <c r="H37" s="26">
        <v>20.239999999999998</v>
      </c>
      <c r="I37" s="26">
        <v>18.57</v>
      </c>
      <c r="J37" s="26">
        <v>37.31</v>
      </c>
      <c r="K37" s="26">
        <v>34.61</v>
      </c>
      <c r="L37" s="26">
        <v>57.53</v>
      </c>
      <c r="M37" s="26">
        <v>73.78</v>
      </c>
      <c r="N37" s="26">
        <v>94.39</v>
      </c>
      <c r="O37" s="26">
        <v>116.35</v>
      </c>
      <c r="P37" s="26">
        <v>132.66</v>
      </c>
      <c r="Q37" s="26">
        <v>122.05</v>
      </c>
      <c r="R37" s="26">
        <v>111.83</v>
      </c>
      <c r="S37" s="26">
        <v>108.72</v>
      </c>
      <c r="T37" s="26">
        <v>111.6</v>
      </c>
      <c r="U37" s="26">
        <v>155.41</v>
      </c>
      <c r="V37" s="26">
        <v>167.45</v>
      </c>
      <c r="W37" s="26">
        <v>207.84</v>
      </c>
      <c r="X37" s="26">
        <v>205.35</v>
      </c>
      <c r="Y37" s="26">
        <v>189.98</v>
      </c>
      <c r="Z37" s="26">
        <v>153.13999999999999</v>
      </c>
      <c r="AA37" s="26">
        <v>104.94</v>
      </c>
      <c r="AB37" s="23">
        <f t="shared" si="0"/>
        <v>2372.2199999999998</v>
      </c>
      <c r="AC37" s="24">
        <v>20</v>
      </c>
      <c r="AD37" s="86">
        <f>+AB37*AC37+AB38*AC38+AB39*AC39</f>
        <v>66276.12</v>
      </c>
    </row>
    <row r="38" spans="2:30" x14ac:dyDescent="0.2">
      <c r="B38" s="85"/>
      <c r="C38" s="2" t="s">
        <v>30</v>
      </c>
      <c r="D38" s="26">
        <v>51.82</v>
      </c>
      <c r="E38" s="26">
        <v>35.22</v>
      </c>
      <c r="F38" s="26">
        <v>20.2</v>
      </c>
      <c r="G38" s="26">
        <v>15.4</v>
      </c>
      <c r="H38" s="26">
        <v>14.38</v>
      </c>
      <c r="I38" s="26">
        <v>12.76</v>
      </c>
      <c r="J38" s="26">
        <v>30.85</v>
      </c>
      <c r="K38" s="26">
        <v>27.53</v>
      </c>
      <c r="L38" s="26">
        <v>49.57</v>
      </c>
      <c r="M38" s="26">
        <v>65.150000000000006</v>
      </c>
      <c r="N38" s="26">
        <v>84.96</v>
      </c>
      <c r="O38" s="26">
        <v>106.13</v>
      </c>
      <c r="P38" s="26">
        <v>121.9</v>
      </c>
      <c r="Q38" s="26">
        <v>111.71</v>
      </c>
      <c r="R38" s="26">
        <v>101.86</v>
      </c>
      <c r="S38" s="26">
        <v>98.92</v>
      </c>
      <c r="T38" s="26">
        <v>101.78</v>
      </c>
      <c r="U38" s="26">
        <v>145.47</v>
      </c>
      <c r="V38" s="26">
        <v>157.08000000000001</v>
      </c>
      <c r="W38" s="26">
        <v>196.06</v>
      </c>
      <c r="X38" s="26">
        <v>193.66</v>
      </c>
      <c r="Y38" s="26">
        <v>178.82</v>
      </c>
      <c r="Z38" s="26">
        <v>143.27000000000001</v>
      </c>
      <c r="AA38" s="26">
        <v>96.76</v>
      </c>
      <c r="AB38" s="23">
        <f t="shared" si="0"/>
        <v>2161.2600000000002</v>
      </c>
      <c r="AC38" s="24">
        <v>4</v>
      </c>
      <c r="AD38" s="86"/>
    </row>
    <row r="39" spans="2:30" x14ac:dyDescent="0.2">
      <c r="B39" s="85"/>
      <c r="C39" s="2" t="s">
        <v>63</v>
      </c>
      <c r="D39" s="26">
        <v>35.96</v>
      </c>
      <c r="E39" s="26">
        <v>20.67</v>
      </c>
      <c r="F39" s="26">
        <v>6.85</v>
      </c>
      <c r="G39" s="26">
        <v>2.4300000000000002</v>
      </c>
      <c r="H39" s="26">
        <v>1.48</v>
      </c>
      <c r="I39" s="26">
        <v>0</v>
      </c>
      <c r="J39" s="26">
        <v>16.649999999999999</v>
      </c>
      <c r="K39" s="26">
        <v>12</v>
      </c>
      <c r="L39" s="26">
        <v>32.08</v>
      </c>
      <c r="M39" s="26">
        <v>46.18</v>
      </c>
      <c r="N39" s="26">
        <v>64.25</v>
      </c>
      <c r="O39" s="26">
        <v>83.67</v>
      </c>
      <c r="P39" s="26">
        <v>98.25</v>
      </c>
      <c r="Q39" s="26">
        <v>89</v>
      </c>
      <c r="R39" s="26">
        <v>79.959999999999994</v>
      </c>
      <c r="S39" s="26">
        <v>77.38</v>
      </c>
      <c r="T39" s="26">
        <v>80.2</v>
      </c>
      <c r="U39" s="26">
        <v>123.61</v>
      </c>
      <c r="V39" s="26">
        <v>134.31</v>
      </c>
      <c r="W39" s="26">
        <v>170.18</v>
      </c>
      <c r="X39" s="26">
        <v>167.98</v>
      </c>
      <c r="Y39" s="26">
        <v>154.32</v>
      </c>
      <c r="Z39" s="26">
        <v>121.59</v>
      </c>
      <c r="AA39" s="26">
        <v>78.78</v>
      </c>
      <c r="AB39" s="23">
        <f t="shared" si="0"/>
        <v>1697.78</v>
      </c>
      <c r="AC39" s="24">
        <v>6</v>
      </c>
      <c r="AD39" s="86"/>
    </row>
    <row r="40" spans="2:30" x14ac:dyDescent="0.2">
      <c r="B40" s="85">
        <v>47453</v>
      </c>
      <c r="C40" s="2" t="s">
        <v>29</v>
      </c>
      <c r="D40" s="26">
        <v>59.04</v>
      </c>
      <c r="E40" s="26">
        <v>41.84</v>
      </c>
      <c r="F40" s="26">
        <v>26.28</v>
      </c>
      <c r="G40" s="26">
        <v>21.31</v>
      </c>
      <c r="H40" s="26">
        <v>20.239999999999998</v>
      </c>
      <c r="I40" s="26">
        <v>18.57</v>
      </c>
      <c r="J40" s="26">
        <v>37.31</v>
      </c>
      <c r="K40" s="26">
        <v>34.61</v>
      </c>
      <c r="L40" s="26">
        <v>57.53</v>
      </c>
      <c r="M40" s="26">
        <v>73.78</v>
      </c>
      <c r="N40" s="26">
        <v>94.39</v>
      </c>
      <c r="O40" s="26">
        <v>116.35</v>
      </c>
      <c r="P40" s="26">
        <v>132.66</v>
      </c>
      <c r="Q40" s="26">
        <v>122.05</v>
      </c>
      <c r="R40" s="26">
        <v>111.83</v>
      </c>
      <c r="S40" s="26">
        <v>108.72</v>
      </c>
      <c r="T40" s="26">
        <v>111.6</v>
      </c>
      <c r="U40" s="26">
        <v>155.41</v>
      </c>
      <c r="V40" s="26">
        <v>167.45</v>
      </c>
      <c r="W40" s="26">
        <v>207.84</v>
      </c>
      <c r="X40" s="26">
        <v>205.35</v>
      </c>
      <c r="Y40" s="26">
        <v>189.98</v>
      </c>
      <c r="Z40" s="26">
        <v>153.13999999999999</v>
      </c>
      <c r="AA40" s="26">
        <v>104.94</v>
      </c>
      <c r="AB40" s="23">
        <f t="shared" si="0"/>
        <v>2372.2199999999998</v>
      </c>
      <c r="AC40" s="24">
        <v>20</v>
      </c>
      <c r="AD40" s="86">
        <f>+AB40*AC40+AB41*AC41+AB42*AC42</f>
        <v>67973.899999999994</v>
      </c>
    </row>
    <row r="41" spans="2:30" x14ac:dyDescent="0.2">
      <c r="B41" s="85"/>
      <c r="C41" s="2" t="s">
        <v>30</v>
      </c>
      <c r="D41" s="26">
        <v>51.82</v>
      </c>
      <c r="E41" s="26">
        <v>35.22</v>
      </c>
      <c r="F41" s="26">
        <v>20.2</v>
      </c>
      <c r="G41" s="26">
        <v>15.4</v>
      </c>
      <c r="H41" s="26">
        <v>14.38</v>
      </c>
      <c r="I41" s="26">
        <v>12.76</v>
      </c>
      <c r="J41" s="26">
        <v>30.85</v>
      </c>
      <c r="K41" s="26">
        <v>27.53</v>
      </c>
      <c r="L41" s="26">
        <v>49.57</v>
      </c>
      <c r="M41" s="26">
        <v>65.150000000000006</v>
      </c>
      <c r="N41" s="26">
        <v>84.96</v>
      </c>
      <c r="O41" s="26">
        <v>106.13</v>
      </c>
      <c r="P41" s="26">
        <v>121.9</v>
      </c>
      <c r="Q41" s="26">
        <v>111.71</v>
      </c>
      <c r="R41" s="26">
        <v>101.86</v>
      </c>
      <c r="S41" s="26">
        <v>98.92</v>
      </c>
      <c r="T41" s="26">
        <v>101.78</v>
      </c>
      <c r="U41" s="26">
        <v>145.47</v>
      </c>
      <c r="V41" s="26">
        <v>157.08000000000001</v>
      </c>
      <c r="W41" s="26">
        <v>196.06</v>
      </c>
      <c r="X41" s="26">
        <v>193.66</v>
      </c>
      <c r="Y41" s="26">
        <v>178.82</v>
      </c>
      <c r="Z41" s="26">
        <v>143.27000000000001</v>
      </c>
      <c r="AA41" s="26">
        <v>96.76</v>
      </c>
      <c r="AB41" s="23">
        <f t="shared" si="0"/>
        <v>2161.2600000000002</v>
      </c>
      <c r="AC41" s="24">
        <v>4</v>
      </c>
      <c r="AD41" s="86"/>
    </row>
    <row r="42" spans="2:30" x14ac:dyDescent="0.2">
      <c r="B42" s="85"/>
      <c r="C42" s="2" t="s">
        <v>63</v>
      </c>
      <c r="D42" s="26">
        <v>35.96</v>
      </c>
      <c r="E42" s="26">
        <v>20.67</v>
      </c>
      <c r="F42" s="26">
        <v>6.85</v>
      </c>
      <c r="G42" s="26">
        <v>2.4300000000000002</v>
      </c>
      <c r="H42" s="26">
        <v>1.48</v>
      </c>
      <c r="I42" s="26">
        <v>0</v>
      </c>
      <c r="J42" s="26">
        <v>16.649999999999999</v>
      </c>
      <c r="K42" s="26">
        <v>12</v>
      </c>
      <c r="L42" s="26">
        <v>32.08</v>
      </c>
      <c r="M42" s="26">
        <v>46.18</v>
      </c>
      <c r="N42" s="26">
        <v>64.25</v>
      </c>
      <c r="O42" s="26">
        <v>83.67</v>
      </c>
      <c r="P42" s="26">
        <v>98.25</v>
      </c>
      <c r="Q42" s="26">
        <v>89</v>
      </c>
      <c r="R42" s="26">
        <v>79.959999999999994</v>
      </c>
      <c r="S42" s="26">
        <v>77.38</v>
      </c>
      <c r="T42" s="26">
        <v>80.2</v>
      </c>
      <c r="U42" s="26">
        <v>123.61</v>
      </c>
      <c r="V42" s="26">
        <v>134.31</v>
      </c>
      <c r="W42" s="26">
        <v>170.18</v>
      </c>
      <c r="X42" s="26">
        <v>167.98</v>
      </c>
      <c r="Y42" s="26">
        <v>154.32</v>
      </c>
      <c r="Z42" s="26">
        <v>121.59</v>
      </c>
      <c r="AA42" s="26">
        <v>78.78</v>
      </c>
      <c r="AB42" s="23">
        <f t="shared" si="0"/>
        <v>1697.78</v>
      </c>
      <c r="AC42" s="24">
        <v>7</v>
      </c>
      <c r="AD42" s="86"/>
    </row>
    <row r="43" spans="2:30" ht="15.75" x14ac:dyDescent="0.25">
      <c r="AA43" s="87" t="s">
        <v>31</v>
      </c>
      <c r="AB43" s="88"/>
      <c r="AC43" s="89"/>
      <c r="AD43" s="25">
        <f>SUM(AD7:AD42)</f>
        <v>807890.54</v>
      </c>
    </row>
  </sheetData>
  <mergeCells count="25">
    <mergeCell ref="AA43:AC43"/>
    <mergeCell ref="B25:B27"/>
    <mergeCell ref="AD25:AD27"/>
    <mergeCell ref="B28:B30"/>
    <mergeCell ref="AD28:AD30"/>
    <mergeCell ref="B31:B33"/>
    <mergeCell ref="AD31:AD33"/>
    <mergeCell ref="B34:B36"/>
    <mergeCell ref="AD34:AD36"/>
    <mergeCell ref="B37:B39"/>
    <mergeCell ref="AD37:AD39"/>
    <mergeCell ref="B40:B42"/>
    <mergeCell ref="AD40:AD42"/>
    <mergeCell ref="B16:B18"/>
    <mergeCell ref="AD16:AD18"/>
    <mergeCell ref="B19:B21"/>
    <mergeCell ref="AD19:AD21"/>
    <mergeCell ref="B22:B24"/>
    <mergeCell ref="AD22:AD24"/>
    <mergeCell ref="B7:B9"/>
    <mergeCell ref="AD7:AD9"/>
    <mergeCell ref="B10:B12"/>
    <mergeCell ref="AD10:AD12"/>
    <mergeCell ref="B13:B15"/>
    <mergeCell ref="AD13:AD15"/>
  </mergeCells>
  <conditionalFormatting sqref="D7:AA42">
    <cfRule type="cellIs" dxfId="1" priority="7" operator="lessThan">
      <formula>0</formula>
    </cfRule>
    <cfRule type="cellIs" dxfId="0" priority="8" operator="equal">
      <formula>"&gt;0"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4174-E667-4899-9304-50BDE9467BC0}">
  <sheetPr>
    <tabColor theme="7" tint="0.39997558519241921"/>
  </sheetPr>
  <dimension ref="B2:M24"/>
  <sheetViews>
    <sheetView showGridLines="0" zoomScale="80" zoomScaleNormal="80" workbookViewId="0">
      <selection activeCell="M3" sqref="M3"/>
    </sheetView>
  </sheetViews>
  <sheetFormatPr baseColWidth="10" defaultColWidth="10.88671875" defaultRowHeight="15" x14ac:dyDescent="0.2"/>
  <cols>
    <col min="1" max="2" width="10.88671875" style="3"/>
    <col min="3" max="4" width="12.109375" style="3" customWidth="1"/>
    <col min="5" max="5" width="13.109375" style="3" customWidth="1"/>
    <col min="6" max="6" width="12.5546875" style="3" customWidth="1"/>
    <col min="7" max="7" width="8.109375" style="3" customWidth="1"/>
    <col min="8" max="8" width="13.88671875" style="3" customWidth="1"/>
    <col min="9" max="16384" width="10.88671875" style="3"/>
  </cols>
  <sheetData>
    <row r="2" spans="2:8" x14ac:dyDescent="0.2">
      <c r="B2" s="45"/>
      <c r="C2" s="46"/>
      <c r="D2" s="46"/>
      <c r="E2" s="46"/>
      <c r="F2" s="46"/>
      <c r="G2" s="46"/>
      <c r="H2" s="47"/>
    </row>
    <row r="3" spans="2:8" ht="18" x14ac:dyDescent="0.2">
      <c r="B3" s="39"/>
      <c r="C3" s="48" t="s">
        <v>32</v>
      </c>
      <c r="H3" s="40"/>
    </row>
    <row r="4" spans="2:8" ht="18" x14ac:dyDescent="0.2">
      <c r="B4" s="39"/>
      <c r="C4" s="48" t="s">
        <v>33</v>
      </c>
      <c r="H4" s="40"/>
    </row>
    <row r="5" spans="2:8" ht="18" x14ac:dyDescent="0.2">
      <c r="B5" s="39"/>
      <c r="C5" s="48" t="s">
        <v>62</v>
      </c>
      <c r="H5" s="40"/>
    </row>
    <row r="6" spans="2:8" ht="18" x14ac:dyDescent="0.2">
      <c r="B6" s="39"/>
      <c r="C6" s="48"/>
      <c r="H6" s="40"/>
    </row>
    <row r="7" spans="2:8" ht="18" x14ac:dyDescent="0.2">
      <c r="B7" s="39"/>
      <c r="C7" s="48" t="s">
        <v>54</v>
      </c>
      <c r="H7" s="40"/>
    </row>
    <row r="8" spans="2:8" x14ac:dyDescent="0.2">
      <c r="B8" s="39"/>
      <c r="H8" s="40"/>
    </row>
    <row r="9" spans="2:8" ht="18" x14ac:dyDescent="0.2">
      <c r="B9" s="39"/>
      <c r="C9" s="13" t="s">
        <v>74</v>
      </c>
      <c r="H9" s="40"/>
    </row>
    <row r="10" spans="2:8" x14ac:dyDescent="0.2">
      <c r="B10" s="39"/>
      <c r="H10" s="40"/>
    </row>
    <row r="11" spans="2:8" ht="15.75" x14ac:dyDescent="0.25">
      <c r="B11" s="39"/>
      <c r="C11" s="49"/>
      <c r="H11" s="50"/>
    </row>
    <row r="12" spans="2:8" ht="45" x14ac:dyDescent="0.25">
      <c r="B12" s="39"/>
      <c r="C12" s="34" t="s">
        <v>46</v>
      </c>
      <c r="D12" s="34" t="s">
        <v>34</v>
      </c>
      <c r="E12" s="6" t="s">
        <v>91</v>
      </c>
      <c r="F12" s="6" t="s">
        <v>56</v>
      </c>
      <c r="G12" s="51"/>
      <c r="H12" s="50"/>
    </row>
    <row r="13" spans="2:8" ht="15.75" x14ac:dyDescent="0.25">
      <c r="B13" s="39"/>
      <c r="C13" s="52">
        <v>2029</v>
      </c>
      <c r="D13" s="53">
        <f>P6_Anexo_1_2029!AD43</f>
        <v>807890.54</v>
      </c>
      <c r="E13" s="58"/>
      <c r="F13" s="58"/>
      <c r="G13" s="54"/>
      <c r="H13" s="50"/>
    </row>
    <row r="14" spans="2:8" ht="15.75" x14ac:dyDescent="0.25">
      <c r="B14" s="39"/>
      <c r="C14" s="55" t="s">
        <v>35</v>
      </c>
      <c r="D14" s="56">
        <f>SUM(D13:D13)</f>
        <v>807890.54</v>
      </c>
      <c r="H14" s="50"/>
    </row>
    <row r="15" spans="2:8" ht="15.75" x14ac:dyDescent="0.25">
      <c r="B15" s="39"/>
      <c r="H15" s="50"/>
    </row>
    <row r="16" spans="2:8" x14ac:dyDescent="0.2">
      <c r="B16" s="39"/>
      <c r="H16" s="40"/>
    </row>
    <row r="17" spans="2:13" x14ac:dyDescent="0.2">
      <c r="B17" s="39"/>
      <c r="C17" s="41" t="s">
        <v>36</v>
      </c>
      <c r="H17" s="40"/>
      <c r="M17" s="57"/>
    </row>
    <row r="18" spans="2:13" x14ac:dyDescent="0.2">
      <c r="B18" s="39"/>
      <c r="C18" s="41" t="s">
        <v>58</v>
      </c>
      <c r="H18" s="40"/>
    </row>
    <row r="19" spans="2:13" x14ac:dyDescent="0.2">
      <c r="B19" s="39"/>
      <c r="C19" s="41" t="s">
        <v>94</v>
      </c>
      <c r="H19" s="40"/>
    </row>
    <row r="20" spans="2:13" x14ac:dyDescent="0.2">
      <c r="B20" s="39"/>
      <c r="C20" s="41" t="s">
        <v>37</v>
      </c>
      <c r="H20" s="40"/>
    </row>
    <row r="21" spans="2:13" x14ac:dyDescent="0.2">
      <c r="B21" s="39"/>
      <c r="C21" s="41" t="s">
        <v>38</v>
      </c>
      <c r="H21" s="40"/>
    </row>
    <row r="22" spans="2:13" x14ac:dyDescent="0.2">
      <c r="B22" s="39"/>
      <c r="C22" s="41"/>
      <c r="H22" s="40"/>
    </row>
    <row r="23" spans="2:13" x14ac:dyDescent="0.2">
      <c r="B23" s="39"/>
      <c r="C23" s="41"/>
      <c r="H23" s="40"/>
    </row>
    <row r="24" spans="2:13" x14ac:dyDescent="0.2">
      <c r="B24" s="42"/>
      <c r="C24" s="43"/>
      <c r="D24" s="43"/>
      <c r="E24" s="43"/>
      <c r="F24" s="43"/>
      <c r="G24" s="43"/>
      <c r="H24" s="44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B2:AF43"/>
  <sheetViews>
    <sheetView showGridLines="0" zoomScale="60" zoomScaleNormal="6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" sqref="D1:AA1048576"/>
    </sheetView>
  </sheetViews>
  <sheetFormatPr baseColWidth="10" defaultRowHeight="15" x14ac:dyDescent="0.2"/>
  <cols>
    <col min="1" max="1" width="2.5546875" customWidth="1"/>
    <col min="3" max="3" width="11.5546875" customWidth="1"/>
    <col min="4" max="27" width="7.6640625" bestFit="1" customWidth="1"/>
    <col min="28" max="28" width="7.109375" bestFit="1" customWidth="1"/>
    <col min="29" max="29" width="8.21875" bestFit="1" customWidth="1"/>
  </cols>
  <sheetData>
    <row r="2" spans="2:30" ht="23.25" x14ac:dyDescent="0.35">
      <c r="B2" s="1" t="s">
        <v>55</v>
      </c>
    </row>
    <row r="3" spans="2:30" ht="23.25" x14ac:dyDescent="0.35">
      <c r="B3" s="1" t="s">
        <v>70</v>
      </c>
    </row>
    <row r="4" spans="2:30" ht="23.25" x14ac:dyDescent="0.35">
      <c r="B4" s="1"/>
    </row>
    <row r="5" spans="2:30" ht="23.25" x14ac:dyDescent="0.35">
      <c r="B5" s="1" t="s">
        <v>71</v>
      </c>
    </row>
    <row r="6" spans="2:30" x14ac:dyDescent="0.2">
      <c r="B6" s="22" t="s">
        <v>0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  <c r="J6" s="22" t="s">
        <v>8</v>
      </c>
      <c r="K6" s="22" t="s">
        <v>9</v>
      </c>
      <c r="L6" s="22" t="s">
        <v>10</v>
      </c>
      <c r="M6" s="22" t="s">
        <v>11</v>
      </c>
      <c r="N6" s="22" t="s">
        <v>12</v>
      </c>
      <c r="O6" s="22" t="s">
        <v>13</v>
      </c>
      <c r="P6" s="22" t="s">
        <v>14</v>
      </c>
      <c r="Q6" s="22" t="s">
        <v>15</v>
      </c>
      <c r="R6" s="22" t="s">
        <v>16</v>
      </c>
      <c r="S6" s="22" t="s">
        <v>17</v>
      </c>
      <c r="T6" s="22" t="s">
        <v>18</v>
      </c>
      <c r="U6" s="22" t="s">
        <v>19</v>
      </c>
      <c r="V6" s="22" t="s">
        <v>20</v>
      </c>
      <c r="W6" s="22" t="s">
        <v>21</v>
      </c>
      <c r="X6" s="22" t="s">
        <v>22</v>
      </c>
      <c r="Y6" s="22" t="s">
        <v>23</v>
      </c>
      <c r="Z6" s="22" t="s">
        <v>24</v>
      </c>
      <c r="AA6" s="22" t="s">
        <v>25</v>
      </c>
      <c r="AB6" s="22" t="s">
        <v>26</v>
      </c>
      <c r="AC6" s="22" t="s">
        <v>27</v>
      </c>
      <c r="AD6" s="22" t="s">
        <v>28</v>
      </c>
    </row>
    <row r="7" spans="2:30" x14ac:dyDescent="0.2">
      <c r="B7" s="85">
        <v>47484</v>
      </c>
      <c r="C7" s="2" t="s">
        <v>29</v>
      </c>
      <c r="D7" s="4">
        <v>64.17</v>
      </c>
      <c r="E7" s="4">
        <v>64.17</v>
      </c>
      <c r="F7" s="4">
        <v>64.17</v>
      </c>
      <c r="G7" s="4">
        <v>64.17</v>
      </c>
      <c r="H7" s="4">
        <v>64.17</v>
      </c>
      <c r="I7" s="4">
        <v>64.17</v>
      </c>
      <c r="J7" s="4">
        <v>64.17</v>
      </c>
      <c r="K7" s="4">
        <v>64.17</v>
      </c>
      <c r="L7" s="4">
        <v>64.17</v>
      </c>
      <c r="M7" s="4">
        <v>64.17</v>
      </c>
      <c r="N7" s="4">
        <v>64.17</v>
      </c>
      <c r="O7" s="4">
        <v>64.17</v>
      </c>
      <c r="P7" s="4">
        <v>64.17</v>
      </c>
      <c r="Q7" s="4">
        <v>64.17</v>
      </c>
      <c r="R7" s="4">
        <v>64.17</v>
      </c>
      <c r="S7" s="4">
        <v>64.17</v>
      </c>
      <c r="T7" s="4">
        <v>64.17</v>
      </c>
      <c r="U7" s="4">
        <v>64.17</v>
      </c>
      <c r="V7" s="4">
        <v>64.17</v>
      </c>
      <c r="W7" s="4">
        <v>64.17</v>
      </c>
      <c r="X7" s="4">
        <v>64.17</v>
      </c>
      <c r="Y7" s="4">
        <v>64.17</v>
      </c>
      <c r="Z7" s="4">
        <v>64.17</v>
      </c>
      <c r="AA7" s="4">
        <v>64.17</v>
      </c>
      <c r="AB7" s="23">
        <f>SUM(D7:AA7)</f>
        <v>1540.0800000000004</v>
      </c>
      <c r="AC7" s="24">
        <v>21</v>
      </c>
      <c r="AD7" s="86">
        <f>+AB7*AC7+AB8*AC8+AB9*AC9</f>
        <v>47742.48000000001</v>
      </c>
    </row>
    <row r="8" spans="2:30" x14ac:dyDescent="0.2">
      <c r="B8" s="85"/>
      <c r="C8" s="2" t="s">
        <v>30</v>
      </c>
      <c r="D8" s="4">
        <v>64.17</v>
      </c>
      <c r="E8" s="4">
        <v>64.17</v>
      </c>
      <c r="F8" s="4">
        <v>64.17</v>
      </c>
      <c r="G8" s="4">
        <v>64.17</v>
      </c>
      <c r="H8" s="4">
        <v>64.17</v>
      </c>
      <c r="I8" s="4">
        <v>64.17</v>
      </c>
      <c r="J8" s="4">
        <v>64.17</v>
      </c>
      <c r="K8" s="4">
        <v>64.17</v>
      </c>
      <c r="L8" s="4">
        <v>64.17</v>
      </c>
      <c r="M8" s="4">
        <v>64.17</v>
      </c>
      <c r="N8" s="4">
        <v>64.17</v>
      </c>
      <c r="O8" s="4">
        <v>64.17</v>
      </c>
      <c r="P8" s="4">
        <v>64.17</v>
      </c>
      <c r="Q8" s="4">
        <v>64.17</v>
      </c>
      <c r="R8" s="4">
        <v>64.17</v>
      </c>
      <c r="S8" s="4">
        <v>64.17</v>
      </c>
      <c r="T8" s="4">
        <v>64.17</v>
      </c>
      <c r="U8" s="4">
        <v>64.17</v>
      </c>
      <c r="V8" s="4">
        <v>64.17</v>
      </c>
      <c r="W8" s="4">
        <v>64.17</v>
      </c>
      <c r="X8" s="4">
        <v>64.17</v>
      </c>
      <c r="Y8" s="4">
        <v>64.17</v>
      </c>
      <c r="Z8" s="4">
        <v>64.17</v>
      </c>
      <c r="AA8" s="4">
        <v>64.17</v>
      </c>
      <c r="AB8" s="23">
        <f t="shared" ref="AB8:AB42" si="0">SUM(D8:AA8)</f>
        <v>1540.0800000000004</v>
      </c>
      <c r="AC8" s="24">
        <v>4</v>
      </c>
      <c r="AD8" s="86"/>
    </row>
    <row r="9" spans="2:30" x14ac:dyDescent="0.2">
      <c r="B9" s="85"/>
      <c r="C9" s="2" t="s">
        <v>63</v>
      </c>
      <c r="D9" s="4">
        <v>64.17</v>
      </c>
      <c r="E9" s="4">
        <v>64.17</v>
      </c>
      <c r="F9" s="4">
        <v>64.17</v>
      </c>
      <c r="G9" s="4">
        <v>64.17</v>
      </c>
      <c r="H9" s="4">
        <v>64.17</v>
      </c>
      <c r="I9" s="4">
        <v>64.17</v>
      </c>
      <c r="J9" s="4">
        <v>64.17</v>
      </c>
      <c r="K9" s="4">
        <v>64.17</v>
      </c>
      <c r="L9" s="4">
        <v>64.17</v>
      </c>
      <c r="M9" s="4">
        <v>64.17</v>
      </c>
      <c r="N9" s="4">
        <v>64.17</v>
      </c>
      <c r="O9" s="4">
        <v>64.17</v>
      </c>
      <c r="P9" s="4">
        <v>64.17</v>
      </c>
      <c r="Q9" s="4">
        <v>64.17</v>
      </c>
      <c r="R9" s="4">
        <v>64.17</v>
      </c>
      <c r="S9" s="4">
        <v>64.17</v>
      </c>
      <c r="T9" s="4">
        <v>64.17</v>
      </c>
      <c r="U9" s="4">
        <v>64.17</v>
      </c>
      <c r="V9" s="4">
        <v>64.17</v>
      </c>
      <c r="W9" s="4">
        <v>64.17</v>
      </c>
      <c r="X9" s="4">
        <v>64.17</v>
      </c>
      <c r="Y9" s="4">
        <v>64.17</v>
      </c>
      <c r="Z9" s="4">
        <v>64.17</v>
      </c>
      <c r="AA9" s="4">
        <v>64.17</v>
      </c>
      <c r="AB9" s="23">
        <f t="shared" si="0"/>
        <v>1540.0800000000004</v>
      </c>
      <c r="AC9" s="24">
        <v>6</v>
      </c>
      <c r="AD9" s="86"/>
    </row>
    <row r="10" spans="2:30" x14ac:dyDescent="0.2">
      <c r="B10" s="85">
        <v>47515</v>
      </c>
      <c r="C10" s="2" t="s">
        <v>29</v>
      </c>
      <c r="D10" s="4">
        <v>64.17</v>
      </c>
      <c r="E10" s="4">
        <v>64.17</v>
      </c>
      <c r="F10" s="4">
        <v>64.17</v>
      </c>
      <c r="G10" s="4">
        <v>64.17</v>
      </c>
      <c r="H10" s="4">
        <v>64.17</v>
      </c>
      <c r="I10" s="4">
        <v>64.17</v>
      </c>
      <c r="J10" s="4">
        <v>64.17</v>
      </c>
      <c r="K10" s="4">
        <v>64.17</v>
      </c>
      <c r="L10" s="4">
        <v>64.17</v>
      </c>
      <c r="M10" s="4">
        <v>64.17</v>
      </c>
      <c r="N10" s="4">
        <v>64.17</v>
      </c>
      <c r="O10" s="4">
        <v>64.17</v>
      </c>
      <c r="P10" s="4">
        <v>64.17</v>
      </c>
      <c r="Q10" s="4">
        <v>64.17</v>
      </c>
      <c r="R10" s="4">
        <v>64.17</v>
      </c>
      <c r="S10" s="4">
        <v>64.17</v>
      </c>
      <c r="T10" s="4">
        <v>64.17</v>
      </c>
      <c r="U10" s="4">
        <v>64.17</v>
      </c>
      <c r="V10" s="4">
        <v>64.17</v>
      </c>
      <c r="W10" s="4">
        <v>64.17</v>
      </c>
      <c r="X10" s="4">
        <v>64.17</v>
      </c>
      <c r="Y10" s="4">
        <v>64.17</v>
      </c>
      <c r="Z10" s="4">
        <v>64.17</v>
      </c>
      <c r="AA10" s="4">
        <v>64.17</v>
      </c>
      <c r="AB10" s="23">
        <f t="shared" si="0"/>
        <v>1540.0800000000004</v>
      </c>
      <c r="AC10" s="24">
        <v>20</v>
      </c>
      <c r="AD10" s="86">
        <f>+AB10*AC10+AB11*AC11+AB12*AC12</f>
        <v>43122.240000000005</v>
      </c>
    </row>
    <row r="11" spans="2:30" x14ac:dyDescent="0.2">
      <c r="B11" s="85"/>
      <c r="C11" s="2" t="s">
        <v>30</v>
      </c>
      <c r="D11" s="4">
        <v>64.17</v>
      </c>
      <c r="E11" s="4">
        <v>64.17</v>
      </c>
      <c r="F11" s="4">
        <v>64.17</v>
      </c>
      <c r="G11" s="4">
        <v>64.17</v>
      </c>
      <c r="H11" s="4">
        <v>64.17</v>
      </c>
      <c r="I11" s="4">
        <v>64.17</v>
      </c>
      <c r="J11" s="4">
        <v>64.17</v>
      </c>
      <c r="K11" s="4">
        <v>64.17</v>
      </c>
      <c r="L11" s="4">
        <v>64.17</v>
      </c>
      <c r="M11" s="4">
        <v>64.17</v>
      </c>
      <c r="N11" s="4">
        <v>64.17</v>
      </c>
      <c r="O11" s="4">
        <v>64.17</v>
      </c>
      <c r="P11" s="4">
        <v>64.17</v>
      </c>
      <c r="Q11" s="4">
        <v>64.17</v>
      </c>
      <c r="R11" s="4">
        <v>64.17</v>
      </c>
      <c r="S11" s="4">
        <v>64.17</v>
      </c>
      <c r="T11" s="4">
        <v>64.17</v>
      </c>
      <c r="U11" s="4">
        <v>64.17</v>
      </c>
      <c r="V11" s="4">
        <v>64.17</v>
      </c>
      <c r="W11" s="4">
        <v>64.17</v>
      </c>
      <c r="X11" s="4">
        <v>64.17</v>
      </c>
      <c r="Y11" s="4">
        <v>64.17</v>
      </c>
      <c r="Z11" s="4">
        <v>64.17</v>
      </c>
      <c r="AA11" s="4">
        <v>64.17</v>
      </c>
      <c r="AB11" s="23">
        <f t="shared" si="0"/>
        <v>1540.0800000000004</v>
      </c>
      <c r="AC11" s="24">
        <v>4</v>
      </c>
      <c r="AD11" s="86"/>
    </row>
    <row r="12" spans="2:30" x14ac:dyDescent="0.2">
      <c r="B12" s="85"/>
      <c r="C12" s="2" t="s">
        <v>63</v>
      </c>
      <c r="D12" s="4">
        <v>64.17</v>
      </c>
      <c r="E12" s="4">
        <v>64.17</v>
      </c>
      <c r="F12" s="4">
        <v>64.17</v>
      </c>
      <c r="G12" s="4">
        <v>64.17</v>
      </c>
      <c r="H12" s="4">
        <v>64.17</v>
      </c>
      <c r="I12" s="4">
        <v>64.17</v>
      </c>
      <c r="J12" s="4">
        <v>64.17</v>
      </c>
      <c r="K12" s="4">
        <v>64.17</v>
      </c>
      <c r="L12" s="4">
        <v>64.17</v>
      </c>
      <c r="M12" s="4">
        <v>64.17</v>
      </c>
      <c r="N12" s="4">
        <v>64.17</v>
      </c>
      <c r="O12" s="4">
        <v>64.17</v>
      </c>
      <c r="P12" s="4">
        <v>64.17</v>
      </c>
      <c r="Q12" s="4">
        <v>64.17</v>
      </c>
      <c r="R12" s="4">
        <v>64.17</v>
      </c>
      <c r="S12" s="4">
        <v>64.17</v>
      </c>
      <c r="T12" s="4">
        <v>64.17</v>
      </c>
      <c r="U12" s="4">
        <v>64.17</v>
      </c>
      <c r="V12" s="4">
        <v>64.17</v>
      </c>
      <c r="W12" s="4">
        <v>64.17</v>
      </c>
      <c r="X12" s="4">
        <v>64.17</v>
      </c>
      <c r="Y12" s="4">
        <v>64.17</v>
      </c>
      <c r="Z12" s="4">
        <v>64.17</v>
      </c>
      <c r="AA12" s="4">
        <v>64.17</v>
      </c>
      <c r="AB12" s="23">
        <f t="shared" si="0"/>
        <v>1540.0800000000004</v>
      </c>
      <c r="AC12" s="24">
        <v>4</v>
      </c>
      <c r="AD12" s="86"/>
    </row>
    <row r="13" spans="2:30" x14ac:dyDescent="0.2">
      <c r="B13" s="85">
        <v>47543</v>
      </c>
      <c r="C13" s="2" t="s">
        <v>29</v>
      </c>
      <c r="D13" s="4">
        <v>64.17</v>
      </c>
      <c r="E13" s="4">
        <v>64.17</v>
      </c>
      <c r="F13" s="4">
        <v>64.17</v>
      </c>
      <c r="G13" s="4">
        <v>64.17</v>
      </c>
      <c r="H13" s="4">
        <v>64.17</v>
      </c>
      <c r="I13" s="4">
        <v>64.17</v>
      </c>
      <c r="J13" s="4">
        <v>64.17</v>
      </c>
      <c r="K13" s="4">
        <v>64.17</v>
      </c>
      <c r="L13" s="4">
        <v>64.17</v>
      </c>
      <c r="M13" s="4">
        <v>64.17</v>
      </c>
      <c r="N13" s="4">
        <v>64.17</v>
      </c>
      <c r="O13" s="4">
        <v>64.17</v>
      </c>
      <c r="P13" s="4">
        <v>64.17</v>
      </c>
      <c r="Q13" s="4">
        <v>64.17</v>
      </c>
      <c r="R13" s="4">
        <v>64.17</v>
      </c>
      <c r="S13" s="4">
        <v>64.17</v>
      </c>
      <c r="T13" s="4">
        <v>64.17</v>
      </c>
      <c r="U13" s="4">
        <v>64.17</v>
      </c>
      <c r="V13" s="4">
        <v>64.17</v>
      </c>
      <c r="W13" s="4">
        <v>64.17</v>
      </c>
      <c r="X13" s="4">
        <v>64.17</v>
      </c>
      <c r="Y13" s="4">
        <v>64.17</v>
      </c>
      <c r="Z13" s="4">
        <v>64.17</v>
      </c>
      <c r="AA13" s="4">
        <v>64.17</v>
      </c>
      <c r="AB13" s="23">
        <f t="shared" si="0"/>
        <v>1540.0800000000004</v>
      </c>
      <c r="AC13" s="24">
        <v>20</v>
      </c>
      <c r="AD13" s="86">
        <f>+AB13*AC13+AB14*AC14+AB15*AC15</f>
        <v>47742.48000000001</v>
      </c>
    </row>
    <row r="14" spans="2:30" x14ac:dyDescent="0.2">
      <c r="B14" s="85"/>
      <c r="C14" s="2" t="s">
        <v>30</v>
      </c>
      <c r="D14" s="4">
        <v>64.17</v>
      </c>
      <c r="E14" s="4">
        <v>64.17</v>
      </c>
      <c r="F14" s="4">
        <v>64.17</v>
      </c>
      <c r="G14" s="4">
        <v>64.17</v>
      </c>
      <c r="H14" s="4">
        <v>64.17</v>
      </c>
      <c r="I14" s="4">
        <v>64.17</v>
      </c>
      <c r="J14" s="4">
        <v>64.17</v>
      </c>
      <c r="K14" s="4">
        <v>64.17</v>
      </c>
      <c r="L14" s="4">
        <v>64.17</v>
      </c>
      <c r="M14" s="4">
        <v>64.17</v>
      </c>
      <c r="N14" s="4">
        <v>64.17</v>
      </c>
      <c r="O14" s="4">
        <v>64.17</v>
      </c>
      <c r="P14" s="4">
        <v>64.17</v>
      </c>
      <c r="Q14" s="4">
        <v>64.17</v>
      </c>
      <c r="R14" s="4">
        <v>64.17</v>
      </c>
      <c r="S14" s="4">
        <v>64.17</v>
      </c>
      <c r="T14" s="4">
        <v>64.17</v>
      </c>
      <c r="U14" s="4">
        <v>64.17</v>
      </c>
      <c r="V14" s="4">
        <v>64.17</v>
      </c>
      <c r="W14" s="4">
        <v>64.17</v>
      </c>
      <c r="X14" s="4">
        <v>64.17</v>
      </c>
      <c r="Y14" s="4">
        <v>64.17</v>
      </c>
      <c r="Z14" s="4">
        <v>64.17</v>
      </c>
      <c r="AA14" s="4">
        <v>64.17</v>
      </c>
      <c r="AB14" s="23">
        <f t="shared" si="0"/>
        <v>1540.0800000000004</v>
      </c>
      <c r="AC14" s="24">
        <v>5</v>
      </c>
      <c r="AD14" s="86"/>
    </row>
    <row r="15" spans="2:30" x14ac:dyDescent="0.2">
      <c r="B15" s="85"/>
      <c r="C15" s="2" t="s">
        <v>63</v>
      </c>
      <c r="D15" s="4">
        <v>64.17</v>
      </c>
      <c r="E15" s="4">
        <v>64.17</v>
      </c>
      <c r="F15" s="4">
        <v>64.17</v>
      </c>
      <c r="G15" s="4">
        <v>64.17</v>
      </c>
      <c r="H15" s="4">
        <v>64.17</v>
      </c>
      <c r="I15" s="4">
        <v>64.17</v>
      </c>
      <c r="J15" s="4">
        <v>64.17</v>
      </c>
      <c r="K15" s="4">
        <v>64.17</v>
      </c>
      <c r="L15" s="4">
        <v>64.17</v>
      </c>
      <c r="M15" s="4">
        <v>64.17</v>
      </c>
      <c r="N15" s="4">
        <v>64.17</v>
      </c>
      <c r="O15" s="4">
        <v>64.17</v>
      </c>
      <c r="P15" s="4">
        <v>64.17</v>
      </c>
      <c r="Q15" s="4">
        <v>64.17</v>
      </c>
      <c r="R15" s="4">
        <v>64.17</v>
      </c>
      <c r="S15" s="4">
        <v>64.17</v>
      </c>
      <c r="T15" s="4">
        <v>64.17</v>
      </c>
      <c r="U15" s="4">
        <v>64.17</v>
      </c>
      <c r="V15" s="4">
        <v>64.17</v>
      </c>
      <c r="W15" s="4">
        <v>64.17</v>
      </c>
      <c r="X15" s="4">
        <v>64.17</v>
      </c>
      <c r="Y15" s="4">
        <v>64.17</v>
      </c>
      <c r="Z15" s="4">
        <v>64.17</v>
      </c>
      <c r="AA15" s="4">
        <v>64.17</v>
      </c>
      <c r="AB15" s="23">
        <f t="shared" si="0"/>
        <v>1540.0800000000004</v>
      </c>
      <c r="AC15" s="24">
        <v>6</v>
      </c>
      <c r="AD15" s="86"/>
    </row>
    <row r="16" spans="2:30" x14ac:dyDescent="0.2">
      <c r="B16" s="85">
        <v>47574</v>
      </c>
      <c r="C16" s="2" t="s">
        <v>29</v>
      </c>
      <c r="D16" s="4">
        <v>64.17</v>
      </c>
      <c r="E16" s="4">
        <v>64.17</v>
      </c>
      <c r="F16" s="4">
        <v>64.17</v>
      </c>
      <c r="G16" s="4">
        <v>64.17</v>
      </c>
      <c r="H16" s="4">
        <v>64.17</v>
      </c>
      <c r="I16" s="4">
        <v>64.17</v>
      </c>
      <c r="J16" s="4">
        <v>64.17</v>
      </c>
      <c r="K16" s="4">
        <v>64.17</v>
      </c>
      <c r="L16" s="4">
        <v>64.17</v>
      </c>
      <c r="M16" s="4">
        <v>64.17</v>
      </c>
      <c r="N16" s="4">
        <v>64.17</v>
      </c>
      <c r="O16" s="4">
        <v>64.17</v>
      </c>
      <c r="P16" s="4">
        <v>64.17</v>
      </c>
      <c r="Q16" s="4">
        <v>64.17</v>
      </c>
      <c r="R16" s="4">
        <v>64.17</v>
      </c>
      <c r="S16" s="4">
        <v>64.17</v>
      </c>
      <c r="T16" s="4">
        <v>64.17</v>
      </c>
      <c r="U16" s="4">
        <v>64.17</v>
      </c>
      <c r="V16" s="4">
        <v>64.17</v>
      </c>
      <c r="W16" s="4">
        <v>64.17</v>
      </c>
      <c r="X16" s="4">
        <v>64.17</v>
      </c>
      <c r="Y16" s="4">
        <v>64.17</v>
      </c>
      <c r="Z16" s="4">
        <v>64.17</v>
      </c>
      <c r="AA16" s="4">
        <v>64.17</v>
      </c>
      <c r="AB16" s="23">
        <f t="shared" si="0"/>
        <v>1540.0800000000004</v>
      </c>
      <c r="AC16" s="24">
        <v>20</v>
      </c>
      <c r="AD16" s="86">
        <f>+AB16*AC16+AB17*AC17+AB18*AC18</f>
        <v>46202.400000000009</v>
      </c>
    </row>
    <row r="17" spans="2:30" x14ac:dyDescent="0.2">
      <c r="B17" s="85"/>
      <c r="C17" s="2" t="s">
        <v>30</v>
      </c>
      <c r="D17" s="4">
        <v>64.17</v>
      </c>
      <c r="E17" s="4">
        <v>64.17</v>
      </c>
      <c r="F17" s="4">
        <v>64.17</v>
      </c>
      <c r="G17" s="4">
        <v>64.17</v>
      </c>
      <c r="H17" s="4">
        <v>64.17</v>
      </c>
      <c r="I17" s="4">
        <v>64.17</v>
      </c>
      <c r="J17" s="4">
        <v>64.17</v>
      </c>
      <c r="K17" s="4">
        <v>64.17</v>
      </c>
      <c r="L17" s="4">
        <v>64.17</v>
      </c>
      <c r="M17" s="4">
        <v>64.17</v>
      </c>
      <c r="N17" s="4">
        <v>64.17</v>
      </c>
      <c r="O17" s="4">
        <v>64.17</v>
      </c>
      <c r="P17" s="4">
        <v>64.17</v>
      </c>
      <c r="Q17" s="4">
        <v>64.17</v>
      </c>
      <c r="R17" s="4">
        <v>64.17</v>
      </c>
      <c r="S17" s="4">
        <v>64.17</v>
      </c>
      <c r="T17" s="4">
        <v>64.17</v>
      </c>
      <c r="U17" s="4">
        <v>64.17</v>
      </c>
      <c r="V17" s="4">
        <v>64.17</v>
      </c>
      <c r="W17" s="4">
        <v>64.17</v>
      </c>
      <c r="X17" s="4">
        <v>64.17</v>
      </c>
      <c r="Y17" s="4">
        <v>64.17</v>
      </c>
      <c r="Z17" s="4">
        <v>64.17</v>
      </c>
      <c r="AA17" s="4">
        <v>64.17</v>
      </c>
      <c r="AB17" s="23">
        <f t="shared" si="0"/>
        <v>1540.0800000000004</v>
      </c>
      <c r="AC17" s="24">
        <v>4</v>
      </c>
      <c r="AD17" s="86"/>
    </row>
    <row r="18" spans="2:30" x14ac:dyDescent="0.2">
      <c r="B18" s="85"/>
      <c r="C18" s="2" t="s">
        <v>63</v>
      </c>
      <c r="D18" s="4">
        <v>64.17</v>
      </c>
      <c r="E18" s="4">
        <v>64.17</v>
      </c>
      <c r="F18" s="4">
        <v>64.17</v>
      </c>
      <c r="G18" s="4">
        <v>64.17</v>
      </c>
      <c r="H18" s="4">
        <v>64.17</v>
      </c>
      <c r="I18" s="4">
        <v>64.17</v>
      </c>
      <c r="J18" s="4">
        <v>64.17</v>
      </c>
      <c r="K18" s="4">
        <v>64.17</v>
      </c>
      <c r="L18" s="4">
        <v>64.17</v>
      </c>
      <c r="M18" s="4">
        <v>64.17</v>
      </c>
      <c r="N18" s="4">
        <v>64.17</v>
      </c>
      <c r="O18" s="4">
        <v>64.17</v>
      </c>
      <c r="P18" s="4">
        <v>64.17</v>
      </c>
      <c r="Q18" s="4">
        <v>64.17</v>
      </c>
      <c r="R18" s="4">
        <v>64.17</v>
      </c>
      <c r="S18" s="4">
        <v>64.17</v>
      </c>
      <c r="T18" s="4">
        <v>64.17</v>
      </c>
      <c r="U18" s="4">
        <v>64.17</v>
      </c>
      <c r="V18" s="4">
        <v>64.17</v>
      </c>
      <c r="W18" s="4">
        <v>64.17</v>
      </c>
      <c r="X18" s="4">
        <v>64.17</v>
      </c>
      <c r="Y18" s="4">
        <v>64.17</v>
      </c>
      <c r="Z18" s="4">
        <v>64.17</v>
      </c>
      <c r="AA18" s="4">
        <v>64.17</v>
      </c>
      <c r="AB18" s="23">
        <f t="shared" si="0"/>
        <v>1540.0800000000004</v>
      </c>
      <c r="AC18" s="24">
        <v>6</v>
      </c>
      <c r="AD18" s="86"/>
    </row>
    <row r="19" spans="2:30" x14ac:dyDescent="0.2">
      <c r="B19" s="85">
        <v>47604</v>
      </c>
      <c r="C19" s="2" t="s">
        <v>29</v>
      </c>
      <c r="D19" s="4">
        <v>64.17</v>
      </c>
      <c r="E19" s="4">
        <v>64.17</v>
      </c>
      <c r="F19" s="4">
        <v>64.17</v>
      </c>
      <c r="G19" s="4">
        <v>64.17</v>
      </c>
      <c r="H19" s="4">
        <v>64.17</v>
      </c>
      <c r="I19" s="4">
        <v>64.17</v>
      </c>
      <c r="J19" s="4">
        <v>64.17</v>
      </c>
      <c r="K19" s="4">
        <v>64.17</v>
      </c>
      <c r="L19" s="4">
        <v>64.17</v>
      </c>
      <c r="M19" s="4">
        <v>64.17</v>
      </c>
      <c r="N19" s="4">
        <v>64.17</v>
      </c>
      <c r="O19" s="4">
        <v>64.17</v>
      </c>
      <c r="P19" s="4">
        <v>64.17</v>
      </c>
      <c r="Q19" s="4">
        <v>64.17</v>
      </c>
      <c r="R19" s="4">
        <v>64.17</v>
      </c>
      <c r="S19" s="4">
        <v>64.17</v>
      </c>
      <c r="T19" s="4">
        <v>64.17</v>
      </c>
      <c r="U19" s="4">
        <v>64.17</v>
      </c>
      <c r="V19" s="4">
        <v>64.17</v>
      </c>
      <c r="W19" s="4">
        <v>64.17</v>
      </c>
      <c r="X19" s="4">
        <v>64.17</v>
      </c>
      <c r="Y19" s="4">
        <v>64.17</v>
      </c>
      <c r="Z19" s="4">
        <v>64.17</v>
      </c>
      <c r="AA19" s="4">
        <v>64.17</v>
      </c>
      <c r="AB19" s="23">
        <f t="shared" si="0"/>
        <v>1540.0800000000004</v>
      </c>
      <c r="AC19" s="24">
        <v>22</v>
      </c>
      <c r="AD19" s="86">
        <f>+AB19*AC19+AB20*AC20+AB21*AC21</f>
        <v>47742.48000000001</v>
      </c>
    </row>
    <row r="20" spans="2:30" x14ac:dyDescent="0.2">
      <c r="B20" s="85"/>
      <c r="C20" s="2" t="s">
        <v>30</v>
      </c>
      <c r="D20" s="4">
        <v>64.17</v>
      </c>
      <c r="E20" s="4">
        <v>64.17</v>
      </c>
      <c r="F20" s="4">
        <v>64.17</v>
      </c>
      <c r="G20" s="4">
        <v>64.17</v>
      </c>
      <c r="H20" s="4">
        <v>64.17</v>
      </c>
      <c r="I20" s="4">
        <v>64.17</v>
      </c>
      <c r="J20" s="4">
        <v>64.17</v>
      </c>
      <c r="K20" s="4">
        <v>64.17</v>
      </c>
      <c r="L20" s="4">
        <v>64.17</v>
      </c>
      <c r="M20" s="4">
        <v>64.17</v>
      </c>
      <c r="N20" s="4">
        <v>64.17</v>
      </c>
      <c r="O20" s="4">
        <v>64.17</v>
      </c>
      <c r="P20" s="4">
        <v>64.17</v>
      </c>
      <c r="Q20" s="4">
        <v>64.17</v>
      </c>
      <c r="R20" s="4">
        <v>64.17</v>
      </c>
      <c r="S20" s="4">
        <v>64.17</v>
      </c>
      <c r="T20" s="4">
        <v>64.17</v>
      </c>
      <c r="U20" s="4">
        <v>64.17</v>
      </c>
      <c r="V20" s="4">
        <v>64.17</v>
      </c>
      <c r="W20" s="4">
        <v>64.17</v>
      </c>
      <c r="X20" s="4">
        <v>64.17</v>
      </c>
      <c r="Y20" s="4">
        <v>64.17</v>
      </c>
      <c r="Z20" s="4">
        <v>64.17</v>
      </c>
      <c r="AA20" s="4">
        <v>64.17</v>
      </c>
      <c r="AB20" s="23">
        <f t="shared" si="0"/>
        <v>1540.0800000000004</v>
      </c>
      <c r="AC20" s="24">
        <v>4</v>
      </c>
      <c r="AD20" s="86"/>
    </row>
    <row r="21" spans="2:30" x14ac:dyDescent="0.2">
      <c r="B21" s="85"/>
      <c r="C21" s="2" t="s">
        <v>63</v>
      </c>
      <c r="D21" s="4">
        <v>64.17</v>
      </c>
      <c r="E21" s="4">
        <v>64.17</v>
      </c>
      <c r="F21" s="4">
        <v>64.17</v>
      </c>
      <c r="G21" s="4">
        <v>64.17</v>
      </c>
      <c r="H21" s="4">
        <v>64.17</v>
      </c>
      <c r="I21" s="4">
        <v>64.17</v>
      </c>
      <c r="J21" s="4">
        <v>64.17</v>
      </c>
      <c r="K21" s="4">
        <v>64.17</v>
      </c>
      <c r="L21" s="4">
        <v>64.17</v>
      </c>
      <c r="M21" s="4">
        <v>64.17</v>
      </c>
      <c r="N21" s="4">
        <v>64.17</v>
      </c>
      <c r="O21" s="4">
        <v>64.17</v>
      </c>
      <c r="P21" s="4">
        <v>64.17</v>
      </c>
      <c r="Q21" s="4">
        <v>64.17</v>
      </c>
      <c r="R21" s="4">
        <v>64.17</v>
      </c>
      <c r="S21" s="4">
        <v>64.17</v>
      </c>
      <c r="T21" s="4">
        <v>64.17</v>
      </c>
      <c r="U21" s="4">
        <v>64.17</v>
      </c>
      <c r="V21" s="4">
        <v>64.17</v>
      </c>
      <c r="W21" s="4">
        <v>64.17</v>
      </c>
      <c r="X21" s="4">
        <v>64.17</v>
      </c>
      <c r="Y21" s="4">
        <v>64.17</v>
      </c>
      <c r="Z21" s="4">
        <v>64.17</v>
      </c>
      <c r="AA21" s="4">
        <v>64.17</v>
      </c>
      <c r="AB21" s="23">
        <f t="shared" si="0"/>
        <v>1540.0800000000004</v>
      </c>
      <c r="AC21" s="24">
        <v>5</v>
      </c>
      <c r="AD21" s="86"/>
    </row>
    <row r="22" spans="2:30" x14ac:dyDescent="0.2">
      <c r="B22" s="85">
        <v>47635</v>
      </c>
      <c r="C22" s="2" t="s">
        <v>29</v>
      </c>
      <c r="D22" s="4">
        <v>64.17</v>
      </c>
      <c r="E22" s="4">
        <v>64.17</v>
      </c>
      <c r="F22" s="4">
        <v>64.17</v>
      </c>
      <c r="G22" s="4">
        <v>64.17</v>
      </c>
      <c r="H22" s="4">
        <v>64.17</v>
      </c>
      <c r="I22" s="4">
        <v>64.17</v>
      </c>
      <c r="J22" s="4">
        <v>64.17</v>
      </c>
      <c r="K22" s="4">
        <v>64.17</v>
      </c>
      <c r="L22" s="4">
        <v>64.17</v>
      </c>
      <c r="M22" s="4">
        <v>64.17</v>
      </c>
      <c r="N22" s="4">
        <v>64.17</v>
      </c>
      <c r="O22" s="4">
        <v>64.17</v>
      </c>
      <c r="P22" s="4">
        <v>64.17</v>
      </c>
      <c r="Q22" s="4">
        <v>64.17</v>
      </c>
      <c r="R22" s="4">
        <v>64.17</v>
      </c>
      <c r="S22" s="4">
        <v>64.17</v>
      </c>
      <c r="T22" s="4">
        <v>64.17</v>
      </c>
      <c r="U22" s="4">
        <v>64.17</v>
      </c>
      <c r="V22" s="4">
        <v>64.17</v>
      </c>
      <c r="W22" s="4">
        <v>64.17</v>
      </c>
      <c r="X22" s="4">
        <v>64.17</v>
      </c>
      <c r="Y22" s="4">
        <v>64.17</v>
      </c>
      <c r="Z22" s="4">
        <v>64.17</v>
      </c>
      <c r="AA22" s="4">
        <v>64.17</v>
      </c>
      <c r="AB22" s="23">
        <f t="shared" si="0"/>
        <v>1540.0800000000004</v>
      </c>
      <c r="AC22" s="24">
        <v>18</v>
      </c>
      <c r="AD22" s="86">
        <f>+AB22*AC22+AB23*AC23+AB24*AC24</f>
        <v>46202.400000000016</v>
      </c>
    </row>
    <row r="23" spans="2:30" x14ac:dyDescent="0.2">
      <c r="B23" s="85"/>
      <c r="C23" s="2" t="s">
        <v>30</v>
      </c>
      <c r="D23" s="4">
        <v>64.17</v>
      </c>
      <c r="E23" s="4">
        <v>64.17</v>
      </c>
      <c r="F23" s="4">
        <v>64.17</v>
      </c>
      <c r="G23" s="4">
        <v>64.17</v>
      </c>
      <c r="H23" s="4">
        <v>64.17</v>
      </c>
      <c r="I23" s="4">
        <v>64.17</v>
      </c>
      <c r="J23" s="4">
        <v>64.17</v>
      </c>
      <c r="K23" s="4">
        <v>64.17</v>
      </c>
      <c r="L23" s="4">
        <v>64.17</v>
      </c>
      <c r="M23" s="4">
        <v>64.17</v>
      </c>
      <c r="N23" s="4">
        <v>64.17</v>
      </c>
      <c r="O23" s="4">
        <v>64.17</v>
      </c>
      <c r="P23" s="4">
        <v>64.17</v>
      </c>
      <c r="Q23" s="4">
        <v>64.17</v>
      </c>
      <c r="R23" s="4">
        <v>64.17</v>
      </c>
      <c r="S23" s="4">
        <v>64.17</v>
      </c>
      <c r="T23" s="4">
        <v>64.17</v>
      </c>
      <c r="U23" s="4">
        <v>64.17</v>
      </c>
      <c r="V23" s="4">
        <v>64.17</v>
      </c>
      <c r="W23" s="4">
        <v>64.17</v>
      </c>
      <c r="X23" s="4">
        <v>64.17</v>
      </c>
      <c r="Y23" s="4">
        <v>64.17</v>
      </c>
      <c r="Z23" s="4">
        <v>64.17</v>
      </c>
      <c r="AA23" s="4">
        <v>64.17</v>
      </c>
      <c r="AB23" s="23">
        <f t="shared" si="0"/>
        <v>1540.0800000000004</v>
      </c>
      <c r="AC23" s="24">
        <v>5</v>
      </c>
      <c r="AD23" s="86"/>
    </row>
    <row r="24" spans="2:30" x14ac:dyDescent="0.2">
      <c r="B24" s="85"/>
      <c r="C24" s="2" t="s">
        <v>63</v>
      </c>
      <c r="D24" s="4">
        <v>64.17</v>
      </c>
      <c r="E24" s="4">
        <v>64.17</v>
      </c>
      <c r="F24" s="4">
        <v>64.17</v>
      </c>
      <c r="G24" s="4">
        <v>64.17</v>
      </c>
      <c r="H24" s="4">
        <v>64.17</v>
      </c>
      <c r="I24" s="4">
        <v>64.17</v>
      </c>
      <c r="J24" s="4">
        <v>64.17</v>
      </c>
      <c r="K24" s="4">
        <v>64.17</v>
      </c>
      <c r="L24" s="4">
        <v>64.17</v>
      </c>
      <c r="M24" s="4">
        <v>64.17</v>
      </c>
      <c r="N24" s="4">
        <v>64.17</v>
      </c>
      <c r="O24" s="4">
        <v>64.17</v>
      </c>
      <c r="P24" s="4">
        <v>64.17</v>
      </c>
      <c r="Q24" s="4">
        <v>64.17</v>
      </c>
      <c r="R24" s="4">
        <v>64.17</v>
      </c>
      <c r="S24" s="4">
        <v>64.17</v>
      </c>
      <c r="T24" s="4">
        <v>64.17</v>
      </c>
      <c r="U24" s="4">
        <v>64.17</v>
      </c>
      <c r="V24" s="4">
        <v>64.17</v>
      </c>
      <c r="W24" s="4">
        <v>64.17</v>
      </c>
      <c r="X24" s="4">
        <v>64.17</v>
      </c>
      <c r="Y24" s="4">
        <v>64.17</v>
      </c>
      <c r="Z24" s="4">
        <v>64.17</v>
      </c>
      <c r="AA24" s="4">
        <v>64.17</v>
      </c>
      <c r="AB24" s="23">
        <f t="shared" si="0"/>
        <v>1540.0800000000004</v>
      </c>
      <c r="AC24" s="24">
        <v>7</v>
      </c>
      <c r="AD24" s="86"/>
    </row>
    <row r="25" spans="2:30" x14ac:dyDescent="0.2">
      <c r="B25" s="85">
        <v>47665</v>
      </c>
      <c r="C25" s="2" t="s">
        <v>29</v>
      </c>
      <c r="D25" s="4">
        <v>64.17</v>
      </c>
      <c r="E25" s="4">
        <v>64.17</v>
      </c>
      <c r="F25" s="4">
        <v>64.17</v>
      </c>
      <c r="G25" s="4">
        <v>64.17</v>
      </c>
      <c r="H25" s="4">
        <v>64.17</v>
      </c>
      <c r="I25" s="4">
        <v>64.17</v>
      </c>
      <c r="J25" s="4">
        <v>64.17</v>
      </c>
      <c r="K25" s="4">
        <v>64.17</v>
      </c>
      <c r="L25" s="4">
        <v>64.17</v>
      </c>
      <c r="M25" s="4">
        <v>64.17</v>
      </c>
      <c r="N25" s="4">
        <v>64.17</v>
      </c>
      <c r="O25" s="4">
        <v>64.17</v>
      </c>
      <c r="P25" s="4">
        <v>64.17</v>
      </c>
      <c r="Q25" s="4">
        <v>64.17</v>
      </c>
      <c r="R25" s="4">
        <v>64.17</v>
      </c>
      <c r="S25" s="4">
        <v>64.17</v>
      </c>
      <c r="T25" s="4">
        <v>64.17</v>
      </c>
      <c r="U25" s="4">
        <v>64.17</v>
      </c>
      <c r="V25" s="4">
        <v>64.17</v>
      </c>
      <c r="W25" s="4">
        <v>64.17</v>
      </c>
      <c r="X25" s="4">
        <v>64.17</v>
      </c>
      <c r="Y25" s="4">
        <v>64.17</v>
      </c>
      <c r="Z25" s="4">
        <v>64.17</v>
      </c>
      <c r="AA25" s="4">
        <v>64.17</v>
      </c>
      <c r="AB25" s="23">
        <f t="shared" si="0"/>
        <v>1540.0800000000004</v>
      </c>
      <c r="AC25" s="24">
        <v>22</v>
      </c>
      <c r="AD25" s="86">
        <f>+AB25*AC25+AB26*AC26+AB27*AC27</f>
        <v>47742.480000000018</v>
      </c>
    </row>
    <row r="26" spans="2:30" x14ac:dyDescent="0.2">
      <c r="B26" s="85"/>
      <c r="C26" s="2" t="s">
        <v>30</v>
      </c>
      <c r="D26" s="4">
        <v>64.17</v>
      </c>
      <c r="E26" s="4">
        <v>64.17</v>
      </c>
      <c r="F26" s="4">
        <v>64.17</v>
      </c>
      <c r="G26" s="4">
        <v>64.17</v>
      </c>
      <c r="H26" s="4">
        <v>64.17</v>
      </c>
      <c r="I26" s="4">
        <v>64.17</v>
      </c>
      <c r="J26" s="4">
        <v>64.17</v>
      </c>
      <c r="K26" s="4">
        <v>64.17</v>
      </c>
      <c r="L26" s="4">
        <v>64.17</v>
      </c>
      <c r="M26" s="4">
        <v>64.17</v>
      </c>
      <c r="N26" s="4">
        <v>64.17</v>
      </c>
      <c r="O26" s="4">
        <v>64.17</v>
      </c>
      <c r="P26" s="4">
        <v>64.17</v>
      </c>
      <c r="Q26" s="4">
        <v>64.17</v>
      </c>
      <c r="R26" s="4">
        <v>64.17</v>
      </c>
      <c r="S26" s="4">
        <v>64.17</v>
      </c>
      <c r="T26" s="4">
        <v>64.17</v>
      </c>
      <c r="U26" s="4">
        <v>64.17</v>
      </c>
      <c r="V26" s="4">
        <v>64.17</v>
      </c>
      <c r="W26" s="4">
        <v>64.17</v>
      </c>
      <c r="X26" s="4">
        <v>64.17</v>
      </c>
      <c r="Y26" s="4">
        <v>64.17</v>
      </c>
      <c r="Z26" s="4">
        <v>64.17</v>
      </c>
      <c r="AA26" s="4">
        <v>64.17</v>
      </c>
      <c r="AB26" s="23">
        <f t="shared" si="0"/>
        <v>1540.0800000000004</v>
      </c>
      <c r="AC26" s="24">
        <v>3</v>
      </c>
      <c r="AD26" s="86"/>
    </row>
    <row r="27" spans="2:30" x14ac:dyDescent="0.2">
      <c r="B27" s="85"/>
      <c r="C27" s="2" t="s">
        <v>63</v>
      </c>
      <c r="D27" s="4">
        <v>64.17</v>
      </c>
      <c r="E27" s="4">
        <v>64.17</v>
      </c>
      <c r="F27" s="4">
        <v>64.17</v>
      </c>
      <c r="G27" s="4">
        <v>64.17</v>
      </c>
      <c r="H27" s="4">
        <v>64.17</v>
      </c>
      <c r="I27" s="4">
        <v>64.17</v>
      </c>
      <c r="J27" s="4">
        <v>64.17</v>
      </c>
      <c r="K27" s="4">
        <v>64.17</v>
      </c>
      <c r="L27" s="4">
        <v>64.17</v>
      </c>
      <c r="M27" s="4">
        <v>64.17</v>
      </c>
      <c r="N27" s="4">
        <v>64.17</v>
      </c>
      <c r="O27" s="4">
        <v>64.17</v>
      </c>
      <c r="P27" s="4">
        <v>64.17</v>
      </c>
      <c r="Q27" s="4">
        <v>64.17</v>
      </c>
      <c r="R27" s="4">
        <v>64.17</v>
      </c>
      <c r="S27" s="4">
        <v>64.17</v>
      </c>
      <c r="T27" s="4">
        <v>64.17</v>
      </c>
      <c r="U27" s="4">
        <v>64.17</v>
      </c>
      <c r="V27" s="4">
        <v>64.17</v>
      </c>
      <c r="W27" s="4">
        <v>64.17</v>
      </c>
      <c r="X27" s="4">
        <v>64.17</v>
      </c>
      <c r="Y27" s="4">
        <v>64.17</v>
      </c>
      <c r="Z27" s="4">
        <v>64.17</v>
      </c>
      <c r="AA27" s="4">
        <v>64.17</v>
      </c>
      <c r="AB27" s="23">
        <f t="shared" si="0"/>
        <v>1540.0800000000004</v>
      </c>
      <c r="AC27" s="24">
        <v>6</v>
      </c>
      <c r="AD27" s="86"/>
    </row>
    <row r="28" spans="2:30" x14ac:dyDescent="0.2">
      <c r="B28" s="85">
        <v>47696</v>
      </c>
      <c r="C28" s="2" t="s">
        <v>29</v>
      </c>
      <c r="D28" s="4">
        <v>64.17</v>
      </c>
      <c r="E28" s="4">
        <v>64.17</v>
      </c>
      <c r="F28" s="4">
        <v>64.17</v>
      </c>
      <c r="G28" s="4">
        <v>64.17</v>
      </c>
      <c r="H28" s="4">
        <v>64.17</v>
      </c>
      <c r="I28" s="4">
        <v>64.17</v>
      </c>
      <c r="J28" s="4">
        <v>64.17</v>
      </c>
      <c r="K28" s="4">
        <v>64.17</v>
      </c>
      <c r="L28" s="4">
        <v>64.17</v>
      </c>
      <c r="M28" s="4">
        <v>64.17</v>
      </c>
      <c r="N28" s="4">
        <v>64.17</v>
      </c>
      <c r="O28" s="4">
        <v>64.17</v>
      </c>
      <c r="P28" s="4">
        <v>64.17</v>
      </c>
      <c r="Q28" s="4">
        <v>64.17</v>
      </c>
      <c r="R28" s="4">
        <v>64.17</v>
      </c>
      <c r="S28" s="4">
        <v>64.17</v>
      </c>
      <c r="T28" s="4">
        <v>64.17</v>
      </c>
      <c r="U28" s="4">
        <v>64.17</v>
      </c>
      <c r="V28" s="4">
        <v>64.17</v>
      </c>
      <c r="W28" s="4">
        <v>64.17</v>
      </c>
      <c r="X28" s="4">
        <v>64.17</v>
      </c>
      <c r="Y28" s="4">
        <v>64.17</v>
      </c>
      <c r="Z28" s="4">
        <v>64.17</v>
      </c>
      <c r="AA28" s="4">
        <v>64.17</v>
      </c>
      <c r="AB28" s="23">
        <f t="shared" si="0"/>
        <v>1540.0800000000004</v>
      </c>
      <c r="AC28" s="24">
        <v>20</v>
      </c>
      <c r="AD28" s="86">
        <f>+AB28*AC28+AB29*AC29+AB30*AC30</f>
        <v>47742.48000000001</v>
      </c>
    </row>
    <row r="29" spans="2:30" x14ac:dyDescent="0.2">
      <c r="B29" s="85"/>
      <c r="C29" s="2" t="s">
        <v>30</v>
      </c>
      <c r="D29" s="4">
        <v>64.17</v>
      </c>
      <c r="E29" s="4">
        <v>64.17</v>
      </c>
      <c r="F29" s="4">
        <v>64.17</v>
      </c>
      <c r="G29" s="4">
        <v>64.17</v>
      </c>
      <c r="H29" s="4">
        <v>64.17</v>
      </c>
      <c r="I29" s="4">
        <v>64.17</v>
      </c>
      <c r="J29" s="4">
        <v>64.17</v>
      </c>
      <c r="K29" s="4">
        <v>64.17</v>
      </c>
      <c r="L29" s="4">
        <v>64.17</v>
      </c>
      <c r="M29" s="4">
        <v>64.17</v>
      </c>
      <c r="N29" s="4">
        <v>64.17</v>
      </c>
      <c r="O29" s="4">
        <v>64.17</v>
      </c>
      <c r="P29" s="4">
        <v>64.17</v>
      </c>
      <c r="Q29" s="4">
        <v>64.17</v>
      </c>
      <c r="R29" s="4">
        <v>64.17</v>
      </c>
      <c r="S29" s="4">
        <v>64.17</v>
      </c>
      <c r="T29" s="4">
        <v>64.17</v>
      </c>
      <c r="U29" s="4">
        <v>64.17</v>
      </c>
      <c r="V29" s="4">
        <v>64.17</v>
      </c>
      <c r="W29" s="4">
        <v>64.17</v>
      </c>
      <c r="X29" s="4">
        <v>64.17</v>
      </c>
      <c r="Y29" s="4">
        <v>64.17</v>
      </c>
      <c r="Z29" s="4">
        <v>64.17</v>
      </c>
      <c r="AA29" s="4">
        <v>64.17</v>
      </c>
      <c r="AB29" s="23">
        <f t="shared" si="0"/>
        <v>1540.0800000000004</v>
      </c>
      <c r="AC29" s="24">
        <v>5</v>
      </c>
      <c r="AD29" s="86"/>
    </row>
    <row r="30" spans="2:30" x14ac:dyDescent="0.2">
      <c r="B30" s="85"/>
      <c r="C30" s="2" t="s">
        <v>63</v>
      </c>
      <c r="D30" s="4">
        <v>64.17</v>
      </c>
      <c r="E30" s="4">
        <v>64.17</v>
      </c>
      <c r="F30" s="4">
        <v>64.17</v>
      </c>
      <c r="G30" s="4">
        <v>64.17</v>
      </c>
      <c r="H30" s="4">
        <v>64.17</v>
      </c>
      <c r="I30" s="4">
        <v>64.17</v>
      </c>
      <c r="J30" s="4">
        <v>64.17</v>
      </c>
      <c r="K30" s="4">
        <v>64.17</v>
      </c>
      <c r="L30" s="4">
        <v>64.17</v>
      </c>
      <c r="M30" s="4">
        <v>64.17</v>
      </c>
      <c r="N30" s="4">
        <v>64.17</v>
      </c>
      <c r="O30" s="4">
        <v>64.17</v>
      </c>
      <c r="P30" s="4">
        <v>64.17</v>
      </c>
      <c r="Q30" s="4">
        <v>64.17</v>
      </c>
      <c r="R30" s="4">
        <v>64.17</v>
      </c>
      <c r="S30" s="4">
        <v>64.17</v>
      </c>
      <c r="T30" s="4">
        <v>64.17</v>
      </c>
      <c r="U30" s="4">
        <v>64.17</v>
      </c>
      <c r="V30" s="4">
        <v>64.17</v>
      </c>
      <c r="W30" s="4">
        <v>64.17</v>
      </c>
      <c r="X30" s="4">
        <v>64.17</v>
      </c>
      <c r="Y30" s="4">
        <v>64.17</v>
      </c>
      <c r="Z30" s="4">
        <v>64.17</v>
      </c>
      <c r="AA30" s="4">
        <v>64.17</v>
      </c>
      <c r="AB30" s="23">
        <f t="shared" si="0"/>
        <v>1540.0800000000004</v>
      </c>
      <c r="AC30" s="24">
        <v>6</v>
      </c>
      <c r="AD30" s="86"/>
    </row>
    <row r="31" spans="2:30" x14ac:dyDescent="0.2">
      <c r="B31" s="85">
        <v>47727</v>
      </c>
      <c r="C31" s="2" t="s">
        <v>29</v>
      </c>
      <c r="D31" s="4">
        <v>64.17</v>
      </c>
      <c r="E31" s="4">
        <v>64.17</v>
      </c>
      <c r="F31" s="4">
        <v>64.17</v>
      </c>
      <c r="G31" s="4">
        <v>64.17</v>
      </c>
      <c r="H31" s="4">
        <v>64.17</v>
      </c>
      <c r="I31" s="4">
        <v>64.17</v>
      </c>
      <c r="J31" s="4">
        <v>64.17</v>
      </c>
      <c r="K31" s="4">
        <v>64.17</v>
      </c>
      <c r="L31" s="4">
        <v>64.17</v>
      </c>
      <c r="M31" s="4">
        <v>64.17</v>
      </c>
      <c r="N31" s="4">
        <v>64.17</v>
      </c>
      <c r="O31" s="4">
        <v>64.17</v>
      </c>
      <c r="P31" s="4">
        <v>64.17</v>
      </c>
      <c r="Q31" s="4">
        <v>64.17</v>
      </c>
      <c r="R31" s="4">
        <v>64.17</v>
      </c>
      <c r="S31" s="4">
        <v>64.17</v>
      </c>
      <c r="T31" s="4">
        <v>64.17</v>
      </c>
      <c r="U31" s="4">
        <v>64.17</v>
      </c>
      <c r="V31" s="4">
        <v>64.17</v>
      </c>
      <c r="W31" s="4">
        <v>64.17</v>
      </c>
      <c r="X31" s="4">
        <v>64.17</v>
      </c>
      <c r="Y31" s="4">
        <v>64.17</v>
      </c>
      <c r="Z31" s="4">
        <v>64.17</v>
      </c>
      <c r="AA31" s="4">
        <v>64.17</v>
      </c>
      <c r="AB31" s="23">
        <f t="shared" si="0"/>
        <v>1540.0800000000004</v>
      </c>
      <c r="AC31" s="24">
        <v>21</v>
      </c>
      <c r="AD31" s="86">
        <f>+AB31*AC31+AB32*AC32+AB33*AC33</f>
        <v>46202.400000000009</v>
      </c>
    </row>
    <row r="32" spans="2:30" x14ac:dyDescent="0.2">
      <c r="B32" s="85"/>
      <c r="C32" s="2" t="s">
        <v>30</v>
      </c>
      <c r="D32" s="4">
        <v>64.17</v>
      </c>
      <c r="E32" s="4">
        <v>64.17</v>
      </c>
      <c r="F32" s="4">
        <v>64.17</v>
      </c>
      <c r="G32" s="4">
        <v>64.17</v>
      </c>
      <c r="H32" s="4">
        <v>64.17</v>
      </c>
      <c r="I32" s="4">
        <v>64.17</v>
      </c>
      <c r="J32" s="4">
        <v>64.17</v>
      </c>
      <c r="K32" s="4">
        <v>64.17</v>
      </c>
      <c r="L32" s="4">
        <v>64.17</v>
      </c>
      <c r="M32" s="4">
        <v>64.17</v>
      </c>
      <c r="N32" s="4">
        <v>64.17</v>
      </c>
      <c r="O32" s="4">
        <v>64.17</v>
      </c>
      <c r="P32" s="4">
        <v>64.17</v>
      </c>
      <c r="Q32" s="4">
        <v>64.17</v>
      </c>
      <c r="R32" s="4">
        <v>64.17</v>
      </c>
      <c r="S32" s="4">
        <v>64.17</v>
      </c>
      <c r="T32" s="4">
        <v>64.17</v>
      </c>
      <c r="U32" s="4">
        <v>64.17</v>
      </c>
      <c r="V32" s="4">
        <v>64.17</v>
      </c>
      <c r="W32" s="4">
        <v>64.17</v>
      </c>
      <c r="X32" s="4">
        <v>64.17</v>
      </c>
      <c r="Y32" s="4">
        <v>64.17</v>
      </c>
      <c r="Z32" s="4">
        <v>64.17</v>
      </c>
      <c r="AA32" s="4">
        <v>64.17</v>
      </c>
      <c r="AB32" s="23">
        <f t="shared" si="0"/>
        <v>1540.0800000000004</v>
      </c>
      <c r="AC32" s="24">
        <v>4</v>
      </c>
      <c r="AD32" s="86"/>
    </row>
    <row r="33" spans="2:32" x14ac:dyDescent="0.2">
      <c r="B33" s="85"/>
      <c r="C33" s="2" t="s">
        <v>63</v>
      </c>
      <c r="D33" s="4">
        <v>64.17</v>
      </c>
      <c r="E33" s="4">
        <v>64.17</v>
      </c>
      <c r="F33" s="4">
        <v>64.17</v>
      </c>
      <c r="G33" s="4">
        <v>64.17</v>
      </c>
      <c r="H33" s="4">
        <v>64.17</v>
      </c>
      <c r="I33" s="4">
        <v>64.17</v>
      </c>
      <c r="J33" s="4">
        <v>64.17</v>
      </c>
      <c r="K33" s="4">
        <v>64.17</v>
      </c>
      <c r="L33" s="4">
        <v>64.17</v>
      </c>
      <c r="M33" s="4">
        <v>64.17</v>
      </c>
      <c r="N33" s="4">
        <v>64.17</v>
      </c>
      <c r="O33" s="4">
        <v>64.17</v>
      </c>
      <c r="P33" s="4">
        <v>64.17</v>
      </c>
      <c r="Q33" s="4">
        <v>64.17</v>
      </c>
      <c r="R33" s="4">
        <v>64.17</v>
      </c>
      <c r="S33" s="4">
        <v>64.17</v>
      </c>
      <c r="T33" s="4">
        <v>64.17</v>
      </c>
      <c r="U33" s="4">
        <v>64.17</v>
      </c>
      <c r="V33" s="4">
        <v>64.17</v>
      </c>
      <c r="W33" s="4">
        <v>64.17</v>
      </c>
      <c r="X33" s="4">
        <v>64.17</v>
      </c>
      <c r="Y33" s="4">
        <v>64.17</v>
      </c>
      <c r="Z33" s="4">
        <v>64.17</v>
      </c>
      <c r="AA33" s="4">
        <v>64.17</v>
      </c>
      <c r="AB33" s="23">
        <f t="shared" si="0"/>
        <v>1540.0800000000004</v>
      </c>
      <c r="AC33" s="24">
        <v>5</v>
      </c>
      <c r="AD33" s="86"/>
    </row>
    <row r="34" spans="2:32" x14ac:dyDescent="0.2">
      <c r="B34" s="85">
        <v>47757</v>
      </c>
      <c r="C34" s="2" t="s">
        <v>29</v>
      </c>
      <c r="D34" s="4">
        <v>64.17</v>
      </c>
      <c r="E34" s="4">
        <v>64.17</v>
      </c>
      <c r="F34" s="4">
        <v>64.17</v>
      </c>
      <c r="G34" s="4">
        <v>64.17</v>
      </c>
      <c r="H34" s="4">
        <v>64.17</v>
      </c>
      <c r="I34" s="4">
        <v>64.17</v>
      </c>
      <c r="J34" s="4">
        <v>64.17</v>
      </c>
      <c r="K34" s="4">
        <v>64.17</v>
      </c>
      <c r="L34" s="4">
        <v>64.17</v>
      </c>
      <c r="M34" s="4">
        <v>64.17</v>
      </c>
      <c r="N34" s="4">
        <v>64.17</v>
      </c>
      <c r="O34" s="4">
        <v>64.17</v>
      </c>
      <c r="P34" s="4">
        <v>64.17</v>
      </c>
      <c r="Q34" s="4">
        <v>64.17</v>
      </c>
      <c r="R34" s="4">
        <v>64.17</v>
      </c>
      <c r="S34" s="4">
        <v>64.17</v>
      </c>
      <c r="T34" s="4">
        <v>64.17</v>
      </c>
      <c r="U34" s="4">
        <v>64.17</v>
      </c>
      <c r="V34" s="4">
        <v>64.17</v>
      </c>
      <c r="W34" s="4">
        <v>64.17</v>
      </c>
      <c r="X34" s="4">
        <v>64.17</v>
      </c>
      <c r="Y34" s="4">
        <v>64.17</v>
      </c>
      <c r="Z34" s="4">
        <v>64.17</v>
      </c>
      <c r="AA34" s="4">
        <v>64.17</v>
      </c>
      <c r="AB34" s="23">
        <f t="shared" si="0"/>
        <v>1540.0800000000004</v>
      </c>
      <c r="AC34" s="24">
        <v>22</v>
      </c>
      <c r="AD34" s="86">
        <f>+AB34*AC34+AB35*AC35+AB36*AC36</f>
        <v>47742.48000000001</v>
      </c>
    </row>
    <row r="35" spans="2:32" x14ac:dyDescent="0.2">
      <c r="B35" s="85"/>
      <c r="C35" s="2" t="s">
        <v>30</v>
      </c>
      <c r="D35" s="4">
        <v>64.17</v>
      </c>
      <c r="E35" s="4">
        <v>64.17</v>
      </c>
      <c r="F35" s="4">
        <v>64.17</v>
      </c>
      <c r="G35" s="4">
        <v>64.17</v>
      </c>
      <c r="H35" s="4">
        <v>64.17</v>
      </c>
      <c r="I35" s="4">
        <v>64.17</v>
      </c>
      <c r="J35" s="4">
        <v>64.17</v>
      </c>
      <c r="K35" s="4">
        <v>64.17</v>
      </c>
      <c r="L35" s="4">
        <v>64.17</v>
      </c>
      <c r="M35" s="4">
        <v>64.17</v>
      </c>
      <c r="N35" s="4">
        <v>64.17</v>
      </c>
      <c r="O35" s="4">
        <v>64.17</v>
      </c>
      <c r="P35" s="4">
        <v>64.17</v>
      </c>
      <c r="Q35" s="4">
        <v>64.17</v>
      </c>
      <c r="R35" s="4">
        <v>64.17</v>
      </c>
      <c r="S35" s="4">
        <v>64.17</v>
      </c>
      <c r="T35" s="4">
        <v>64.17</v>
      </c>
      <c r="U35" s="4">
        <v>64.17</v>
      </c>
      <c r="V35" s="4">
        <v>64.17</v>
      </c>
      <c r="W35" s="4">
        <v>64.17</v>
      </c>
      <c r="X35" s="4">
        <v>64.17</v>
      </c>
      <c r="Y35" s="4">
        <v>64.17</v>
      </c>
      <c r="Z35" s="4">
        <v>64.17</v>
      </c>
      <c r="AA35" s="4">
        <v>64.17</v>
      </c>
      <c r="AB35" s="23">
        <f t="shared" si="0"/>
        <v>1540.0800000000004</v>
      </c>
      <c r="AC35" s="24">
        <v>4</v>
      </c>
      <c r="AD35" s="86"/>
    </row>
    <row r="36" spans="2:32" x14ac:dyDescent="0.2">
      <c r="B36" s="85"/>
      <c r="C36" s="2" t="s">
        <v>63</v>
      </c>
      <c r="D36" s="4">
        <v>64.17</v>
      </c>
      <c r="E36" s="4">
        <v>64.17</v>
      </c>
      <c r="F36" s="4">
        <v>64.17</v>
      </c>
      <c r="G36" s="4">
        <v>64.17</v>
      </c>
      <c r="H36" s="4">
        <v>64.17</v>
      </c>
      <c r="I36" s="4">
        <v>64.17</v>
      </c>
      <c r="J36" s="4">
        <v>64.17</v>
      </c>
      <c r="K36" s="4">
        <v>64.17</v>
      </c>
      <c r="L36" s="4">
        <v>64.17</v>
      </c>
      <c r="M36" s="4">
        <v>64.17</v>
      </c>
      <c r="N36" s="4">
        <v>64.17</v>
      </c>
      <c r="O36" s="4">
        <v>64.17</v>
      </c>
      <c r="P36" s="4">
        <v>64.17</v>
      </c>
      <c r="Q36" s="4">
        <v>64.17</v>
      </c>
      <c r="R36" s="4">
        <v>64.17</v>
      </c>
      <c r="S36" s="4">
        <v>64.17</v>
      </c>
      <c r="T36" s="4">
        <v>64.17</v>
      </c>
      <c r="U36" s="4">
        <v>64.17</v>
      </c>
      <c r="V36" s="4">
        <v>64.17</v>
      </c>
      <c r="W36" s="4">
        <v>64.17</v>
      </c>
      <c r="X36" s="4">
        <v>64.17</v>
      </c>
      <c r="Y36" s="4">
        <v>64.17</v>
      </c>
      <c r="Z36" s="4">
        <v>64.17</v>
      </c>
      <c r="AA36" s="4">
        <v>64.17</v>
      </c>
      <c r="AB36" s="23">
        <f t="shared" si="0"/>
        <v>1540.0800000000004</v>
      </c>
      <c r="AC36" s="24">
        <v>5</v>
      </c>
      <c r="AD36" s="86"/>
    </row>
    <row r="37" spans="2:32" x14ac:dyDescent="0.2">
      <c r="B37" s="85">
        <v>47788</v>
      </c>
      <c r="C37" s="2" t="s">
        <v>29</v>
      </c>
      <c r="D37" s="4">
        <v>64.17</v>
      </c>
      <c r="E37" s="4">
        <v>64.17</v>
      </c>
      <c r="F37" s="4">
        <v>64.17</v>
      </c>
      <c r="G37" s="4">
        <v>64.17</v>
      </c>
      <c r="H37" s="4">
        <v>64.17</v>
      </c>
      <c r="I37" s="4">
        <v>64.17</v>
      </c>
      <c r="J37" s="4">
        <v>64.17</v>
      </c>
      <c r="K37" s="4">
        <v>64.17</v>
      </c>
      <c r="L37" s="4">
        <v>64.17</v>
      </c>
      <c r="M37" s="4">
        <v>64.17</v>
      </c>
      <c r="N37" s="4">
        <v>64.17</v>
      </c>
      <c r="O37" s="4">
        <v>64.17</v>
      </c>
      <c r="P37" s="4">
        <v>64.17</v>
      </c>
      <c r="Q37" s="4">
        <v>64.17</v>
      </c>
      <c r="R37" s="4">
        <v>64.17</v>
      </c>
      <c r="S37" s="4">
        <v>64.17</v>
      </c>
      <c r="T37" s="4">
        <v>64.17</v>
      </c>
      <c r="U37" s="4">
        <v>64.17</v>
      </c>
      <c r="V37" s="4">
        <v>64.17</v>
      </c>
      <c r="W37" s="4">
        <v>64.17</v>
      </c>
      <c r="X37" s="4">
        <v>64.17</v>
      </c>
      <c r="Y37" s="4">
        <v>64.17</v>
      </c>
      <c r="Z37" s="4">
        <v>64.17</v>
      </c>
      <c r="AA37" s="4">
        <v>64.17</v>
      </c>
      <c r="AB37" s="23">
        <f t="shared" si="0"/>
        <v>1540.0800000000004</v>
      </c>
      <c r="AC37" s="24">
        <v>19</v>
      </c>
      <c r="AD37" s="86">
        <f>+AB37*AC37+AB38*AC38+AB39*AC39</f>
        <v>46202.400000000016</v>
      </c>
    </row>
    <row r="38" spans="2:32" x14ac:dyDescent="0.2">
      <c r="B38" s="85"/>
      <c r="C38" s="2" t="s">
        <v>30</v>
      </c>
      <c r="D38" s="4">
        <v>64.17</v>
      </c>
      <c r="E38" s="4">
        <v>64.17</v>
      </c>
      <c r="F38" s="4">
        <v>64.17</v>
      </c>
      <c r="G38" s="4">
        <v>64.17</v>
      </c>
      <c r="H38" s="4">
        <v>64.17</v>
      </c>
      <c r="I38" s="4">
        <v>64.17</v>
      </c>
      <c r="J38" s="4">
        <v>64.17</v>
      </c>
      <c r="K38" s="4">
        <v>64.17</v>
      </c>
      <c r="L38" s="4">
        <v>64.17</v>
      </c>
      <c r="M38" s="4">
        <v>64.17</v>
      </c>
      <c r="N38" s="4">
        <v>64.17</v>
      </c>
      <c r="O38" s="4">
        <v>64.17</v>
      </c>
      <c r="P38" s="4">
        <v>64.17</v>
      </c>
      <c r="Q38" s="4">
        <v>64.17</v>
      </c>
      <c r="R38" s="4">
        <v>64.17</v>
      </c>
      <c r="S38" s="4">
        <v>64.17</v>
      </c>
      <c r="T38" s="4">
        <v>64.17</v>
      </c>
      <c r="U38" s="4">
        <v>64.17</v>
      </c>
      <c r="V38" s="4">
        <v>64.17</v>
      </c>
      <c r="W38" s="4">
        <v>64.17</v>
      </c>
      <c r="X38" s="4">
        <v>64.17</v>
      </c>
      <c r="Y38" s="4">
        <v>64.17</v>
      </c>
      <c r="Z38" s="4">
        <v>64.17</v>
      </c>
      <c r="AA38" s="4">
        <v>64.17</v>
      </c>
      <c r="AB38" s="23">
        <f t="shared" si="0"/>
        <v>1540.0800000000004</v>
      </c>
      <c r="AC38" s="24">
        <v>5</v>
      </c>
      <c r="AD38" s="86"/>
    </row>
    <row r="39" spans="2:32" x14ac:dyDescent="0.2">
      <c r="B39" s="85"/>
      <c r="C39" s="2" t="s">
        <v>63</v>
      </c>
      <c r="D39" s="4">
        <v>64.17</v>
      </c>
      <c r="E39" s="4">
        <v>64.17</v>
      </c>
      <c r="F39" s="4">
        <v>64.17</v>
      </c>
      <c r="G39" s="4">
        <v>64.17</v>
      </c>
      <c r="H39" s="4">
        <v>64.17</v>
      </c>
      <c r="I39" s="4">
        <v>64.17</v>
      </c>
      <c r="J39" s="4">
        <v>64.17</v>
      </c>
      <c r="K39" s="4">
        <v>64.17</v>
      </c>
      <c r="L39" s="4">
        <v>64.17</v>
      </c>
      <c r="M39" s="4">
        <v>64.17</v>
      </c>
      <c r="N39" s="4">
        <v>64.17</v>
      </c>
      <c r="O39" s="4">
        <v>64.17</v>
      </c>
      <c r="P39" s="4">
        <v>64.17</v>
      </c>
      <c r="Q39" s="4">
        <v>64.17</v>
      </c>
      <c r="R39" s="4">
        <v>64.17</v>
      </c>
      <c r="S39" s="4">
        <v>64.17</v>
      </c>
      <c r="T39" s="4">
        <v>64.17</v>
      </c>
      <c r="U39" s="4">
        <v>64.17</v>
      </c>
      <c r="V39" s="4">
        <v>64.17</v>
      </c>
      <c r="W39" s="4">
        <v>64.17</v>
      </c>
      <c r="X39" s="4">
        <v>64.17</v>
      </c>
      <c r="Y39" s="4">
        <v>64.17</v>
      </c>
      <c r="Z39" s="4">
        <v>64.17</v>
      </c>
      <c r="AA39" s="4">
        <v>64.17</v>
      </c>
      <c r="AB39" s="23">
        <f t="shared" si="0"/>
        <v>1540.0800000000004</v>
      </c>
      <c r="AC39" s="24">
        <v>6</v>
      </c>
      <c r="AD39" s="86"/>
    </row>
    <row r="40" spans="2:32" x14ac:dyDescent="0.2">
      <c r="B40" s="85">
        <v>47818</v>
      </c>
      <c r="C40" s="2" t="s">
        <v>29</v>
      </c>
      <c r="D40" s="4">
        <v>64.17</v>
      </c>
      <c r="E40" s="4">
        <v>64.17</v>
      </c>
      <c r="F40" s="4">
        <v>64.17</v>
      </c>
      <c r="G40" s="4">
        <v>64.17</v>
      </c>
      <c r="H40" s="4">
        <v>64.17</v>
      </c>
      <c r="I40" s="4">
        <v>64.17</v>
      </c>
      <c r="J40" s="4">
        <v>64.17</v>
      </c>
      <c r="K40" s="4">
        <v>64.17</v>
      </c>
      <c r="L40" s="4">
        <v>64.17</v>
      </c>
      <c r="M40" s="4">
        <v>64.17</v>
      </c>
      <c r="N40" s="4">
        <v>64.17</v>
      </c>
      <c r="O40" s="4">
        <v>64.17</v>
      </c>
      <c r="P40" s="4">
        <v>64.17</v>
      </c>
      <c r="Q40" s="4">
        <v>64.17</v>
      </c>
      <c r="R40" s="4">
        <v>64.17</v>
      </c>
      <c r="S40" s="4">
        <v>64.17</v>
      </c>
      <c r="T40" s="4">
        <v>64.17</v>
      </c>
      <c r="U40" s="4">
        <v>64.17</v>
      </c>
      <c r="V40" s="4">
        <v>64.17</v>
      </c>
      <c r="W40" s="4">
        <v>64.17</v>
      </c>
      <c r="X40" s="4">
        <v>64.17</v>
      </c>
      <c r="Y40" s="4">
        <v>64.17</v>
      </c>
      <c r="Z40" s="4">
        <v>64.17</v>
      </c>
      <c r="AA40" s="4">
        <v>64.17</v>
      </c>
      <c r="AB40" s="23">
        <f t="shared" si="0"/>
        <v>1540.0800000000004</v>
      </c>
      <c r="AC40" s="24">
        <v>21</v>
      </c>
      <c r="AD40" s="86">
        <f>+AB40*AC40+AB41*AC41+AB42*AC42</f>
        <v>47742.48000000001</v>
      </c>
    </row>
    <row r="41" spans="2:32" x14ac:dyDescent="0.2">
      <c r="B41" s="85"/>
      <c r="C41" s="2" t="s">
        <v>30</v>
      </c>
      <c r="D41" s="4">
        <v>64.17</v>
      </c>
      <c r="E41" s="4">
        <v>64.17</v>
      </c>
      <c r="F41" s="4">
        <v>64.17</v>
      </c>
      <c r="G41" s="4">
        <v>64.17</v>
      </c>
      <c r="H41" s="4">
        <v>64.17</v>
      </c>
      <c r="I41" s="4">
        <v>64.17</v>
      </c>
      <c r="J41" s="4">
        <v>64.17</v>
      </c>
      <c r="K41" s="4">
        <v>64.17</v>
      </c>
      <c r="L41" s="4">
        <v>64.17</v>
      </c>
      <c r="M41" s="4">
        <v>64.17</v>
      </c>
      <c r="N41" s="4">
        <v>64.17</v>
      </c>
      <c r="O41" s="4">
        <v>64.17</v>
      </c>
      <c r="P41" s="4">
        <v>64.17</v>
      </c>
      <c r="Q41" s="4">
        <v>64.17</v>
      </c>
      <c r="R41" s="4">
        <v>64.17</v>
      </c>
      <c r="S41" s="4">
        <v>64.17</v>
      </c>
      <c r="T41" s="4">
        <v>64.17</v>
      </c>
      <c r="U41" s="4">
        <v>64.17</v>
      </c>
      <c r="V41" s="4">
        <v>64.17</v>
      </c>
      <c r="W41" s="4">
        <v>64.17</v>
      </c>
      <c r="X41" s="4">
        <v>64.17</v>
      </c>
      <c r="Y41" s="4">
        <v>64.17</v>
      </c>
      <c r="Z41" s="4">
        <v>64.17</v>
      </c>
      <c r="AA41" s="4">
        <v>64.17</v>
      </c>
      <c r="AB41" s="23">
        <f t="shared" si="0"/>
        <v>1540.0800000000004</v>
      </c>
      <c r="AC41" s="24">
        <v>4</v>
      </c>
      <c r="AD41" s="86"/>
    </row>
    <row r="42" spans="2:32" x14ac:dyDescent="0.2">
      <c r="B42" s="85"/>
      <c r="C42" s="2" t="s">
        <v>63</v>
      </c>
      <c r="D42" s="4">
        <v>64.17</v>
      </c>
      <c r="E42" s="4">
        <v>64.17</v>
      </c>
      <c r="F42" s="4">
        <v>64.17</v>
      </c>
      <c r="G42" s="4">
        <v>64.17</v>
      </c>
      <c r="H42" s="4">
        <v>64.17</v>
      </c>
      <c r="I42" s="4">
        <v>64.17</v>
      </c>
      <c r="J42" s="4">
        <v>64.17</v>
      </c>
      <c r="K42" s="4">
        <v>64.17</v>
      </c>
      <c r="L42" s="4">
        <v>64.17</v>
      </c>
      <c r="M42" s="4">
        <v>64.17</v>
      </c>
      <c r="N42" s="4">
        <v>64.17</v>
      </c>
      <c r="O42" s="4">
        <v>64.17</v>
      </c>
      <c r="P42" s="4">
        <v>64.17</v>
      </c>
      <c r="Q42" s="4">
        <v>64.17</v>
      </c>
      <c r="R42" s="4">
        <v>64.17</v>
      </c>
      <c r="S42" s="4">
        <v>64.17</v>
      </c>
      <c r="T42" s="4">
        <v>64.17</v>
      </c>
      <c r="U42" s="4">
        <v>64.17</v>
      </c>
      <c r="V42" s="4">
        <v>64.17</v>
      </c>
      <c r="W42" s="4">
        <v>64.17</v>
      </c>
      <c r="X42" s="4">
        <v>64.17</v>
      </c>
      <c r="Y42" s="4">
        <v>64.17</v>
      </c>
      <c r="Z42" s="4">
        <v>64.17</v>
      </c>
      <c r="AA42" s="4">
        <v>64.17</v>
      </c>
      <c r="AB42" s="23">
        <f t="shared" si="0"/>
        <v>1540.0800000000004</v>
      </c>
      <c r="AC42" s="24">
        <v>6</v>
      </c>
      <c r="AD42" s="86"/>
    </row>
    <row r="43" spans="2:32" ht="15.75" x14ac:dyDescent="0.25">
      <c r="AA43" s="87" t="s">
        <v>31</v>
      </c>
      <c r="AB43" s="88"/>
      <c r="AC43" s="89"/>
      <c r="AD43" s="25">
        <f>SUM(AD7:AD42)</f>
        <v>562129.20000000007</v>
      </c>
      <c r="AE43" s="71"/>
      <c r="AF43" s="72"/>
    </row>
  </sheetData>
  <mergeCells count="25">
    <mergeCell ref="AA43:AC43"/>
    <mergeCell ref="B31:B33"/>
    <mergeCell ref="AD31:AD33"/>
    <mergeCell ref="B34:B36"/>
    <mergeCell ref="AD34:AD36"/>
    <mergeCell ref="B37:B39"/>
    <mergeCell ref="AD37:AD39"/>
    <mergeCell ref="B25:B27"/>
    <mergeCell ref="AD25:AD27"/>
    <mergeCell ref="B28:B30"/>
    <mergeCell ref="AD28:AD30"/>
    <mergeCell ref="B40:B42"/>
    <mergeCell ref="AD40:AD42"/>
    <mergeCell ref="B16:B18"/>
    <mergeCell ref="AD16:AD18"/>
    <mergeCell ref="B19:B21"/>
    <mergeCell ref="AD19:AD21"/>
    <mergeCell ref="B22:B24"/>
    <mergeCell ref="AD22:AD24"/>
    <mergeCell ref="B7:B9"/>
    <mergeCell ref="AD7:AD9"/>
    <mergeCell ref="B10:B12"/>
    <mergeCell ref="AD10:AD12"/>
    <mergeCell ref="B13:B15"/>
    <mergeCell ref="AD13:AD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E6F0-6F52-4950-ABD8-2AA5BB172D5D}">
  <sheetPr>
    <tabColor theme="7" tint="0.39997558519241921"/>
  </sheetPr>
  <dimension ref="B2:M23"/>
  <sheetViews>
    <sheetView showGridLines="0" zoomScale="80" zoomScaleNormal="80" workbookViewId="0">
      <selection activeCell="C18" sqref="C18"/>
    </sheetView>
  </sheetViews>
  <sheetFormatPr baseColWidth="10" defaultColWidth="10.88671875" defaultRowHeight="15" x14ac:dyDescent="0.2"/>
  <cols>
    <col min="1" max="1" width="5.33203125" style="30" customWidth="1"/>
    <col min="2" max="2" width="10.88671875" style="30" customWidth="1"/>
    <col min="3" max="4" width="12.109375" style="30" customWidth="1"/>
    <col min="5" max="5" width="12.88671875" style="30" customWidth="1"/>
    <col min="6" max="6" width="13.109375" style="30" customWidth="1"/>
    <col min="7" max="7" width="8.109375" style="30" customWidth="1"/>
    <col min="8" max="8" width="15.109375" style="30" customWidth="1"/>
    <col min="9" max="16384" width="10.88671875" style="30"/>
  </cols>
  <sheetData>
    <row r="2" spans="2:8" x14ac:dyDescent="0.2">
      <c r="B2" s="59"/>
      <c r="C2" s="60"/>
      <c r="D2" s="60"/>
      <c r="E2" s="60"/>
      <c r="F2" s="60"/>
      <c r="G2" s="60"/>
      <c r="H2" s="61"/>
    </row>
    <row r="3" spans="2:8" ht="18" x14ac:dyDescent="0.2">
      <c r="B3" s="62"/>
      <c r="C3" s="48" t="s">
        <v>32</v>
      </c>
      <c r="H3" s="63"/>
    </row>
    <row r="4" spans="2:8" ht="18" x14ac:dyDescent="0.2">
      <c r="B4" s="62"/>
      <c r="C4" s="48" t="s">
        <v>33</v>
      </c>
      <c r="H4" s="63"/>
    </row>
    <row r="5" spans="2:8" ht="18" x14ac:dyDescent="0.2">
      <c r="B5" s="62"/>
      <c r="C5" s="48" t="s">
        <v>62</v>
      </c>
      <c r="H5" s="63"/>
    </row>
    <row r="6" spans="2:8" ht="18" x14ac:dyDescent="0.2">
      <c r="B6" s="62"/>
      <c r="C6" s="48"/>
      <c r="H6" s="63"/>
    </row>
    <row r="7" spans="2:8" ht="18" x14ac:dyDescent="0.2">
      <c r="B7" s="62"/>
      <c r="C7" s="48" t="s">
        <v>54</v>
      </c>
      <c r="H7" s="63"/>
    </row>
    <row r="8" spans="2:8" x14ac:dyDescent="0.2">
      <c r="B8" s="62"/>
      <c r="H8" s="63"/>
    </row>
    <row r="9" spans="2:8" ht="18" x14ac:dyDescent="0.2">
      <c r="B9" s="62"/>
      <c r="C9" s="13" t="s">
        <v>73</v>
      </c>
      <c r="H9" s="63"/>
    </row>
    <row r="10" spans="2:8" x14ac:dyDescent="0.2">
      <c r="B10" s="62"/>
      <c r="H10" s="63"/>
    </row>
    <row r="11" spans="2:8" ht="15.75" x14ac:dyDescent="0.2">
      <c r="B11" s="62"/>
      <c r="C11" s="32"/>
      <c r="H11" s="64"/>
    </row>
    <row r="12" spans="2:8" ht="45" x14ac:dyDescent="0.2">
      <c r="B12" s="62"/>
      <c r="C12" s="34" t="s">
        <v>72</v>
      </c>
      <c r="D12" s="34" t="s">
        <v>34</v>
      </c>
      <c r="E12" s="6" t="s">
        <v>91</v>
      </c>
      <c r="F12" s="34" t="s">
        <v>57</v>
      </c>
      <c r="G12" s="51"/>
      <c r="H12" s="64"/>
    </row>
    <row r="13" spans="2:8" ht="15.75" x14ac:dyDescent="0.2">
      <c r="B13" s="62"/>
      <c r="C13" s="33">
        <v>2030</v>
      </c>
      <c r="D13" s="53">
        <f>P7_Anexo_1_2030!AD43</f>
        <v>562129.20000000007</v>
      </c>
      <c r="E13" s="36"/>
      <c r="F13" s="36"/>
      <c r="G13" s="38"/>
      <c r="H13" s="64"/>
    </row>
    <row r="14" spans="2:8" ht="15.75" x14ac:dyDescent="0.2">
      <c r="B14" s="62"/>
      <c r="C14" s="65" t="s">
        <v>35</v>
      </c>
      <c r="D14" s="56">
        <f>SUM(D13:D13)</f>
        <v>562129.20000000007</v>
      </c>
      <c r="H14" s="64"/>
    </row>
    <row r="15" spans="2:8" ht="15.75" x14ac:dyDescent="0.2">
      <c r="B15" s="62"/>
      <c r="H15" s="64"/>
    </row>
    <row r="16" spans="2:8" x14ac:dyDescent="0.2">
      <c r="B16" s="62"/>
      <c r="H16" s="63"/>
    </row>
    <row r="17" spans="2:13" x14ac:dyDescent="0.2">
      <c r="B17" s="62"/>
      <c r="C17" s="41" t="s">
        <v>36</v>
      </c>
      <c r="H17" s="63"/>
      <c r="M17" s="31"/>
    </row>
    <row r="18" spans="2:13" x14ac:dyDescent="0.2">
      <c r="B18" s="62"/>
      <c r="C18" s="41" t="s">
        <v>96</v>
      </c>
      <c r="H18" s="63"/>
    </row>
    <row r="19" spans="2:13" x14ac:dyDescent="0.2">
      <c r="B19" s="62"/>
      <c r="C19" s="41" t="s">
        <v>93</v>
      </c>
      <c r="H19" s="63"/>
    </row>
    <row r="20" spans="2:13" x14ac:dyDescent="0.2">
      <c r="B20" s="62"/>
      <c r="C20" s="41" t="s">
        <v>37</v>
      </c>
      <c r="H20" s="63"/>
    </row>
    <row r="21" spans="2:13" x14ac:dyDescent="0.2">
      <c r="B21" s="62"/>
      <c r="C21" s="41" t="s">
        <v>92</v>
      </c>
      <c r="H21" s="63"/>
    </row>
    <row r="22" spans="2:13" x14ac:dyDescent="0.2">
      <c r="B22" s="62"/>
      <c r="C22" s="41"/>
      <c r="H22" s="63"/>
    </row>
    <row r="23" spans="2:13" x14ac:dyDescent="0.2">
      <c r="B23" s="66"/>
      <c r="C23" s="67"/>
      <c r="D23" s="67"/>
      <c r="E23" s="67"/>
      <c r="F23" s="67"/>
      <c r="G23" s="67"/>
      <c r="H23" s="68"/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AD92-2E8A-4AA4-B58D-9A452050F6A6}">
  <sheetPr>
    <tabColor theme="9" tint="0.39997558519241921"/>
  </sheetPr>
  <dimension ref="B2:AF43"/>
  <sheetViews>
    <sheetView showGridLines="0" zoomScale="60" zoomScaleNormal="6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B7" sqref="AB7"/>
    </sheetView>
  </sheetViews>
  <sheetFormatPr baseColWidth="10" defaultRowHeight="15" x14ac:dyDescent="0.2"/>
  <cols>
    <col min="1" max="1" width="3.109375" customWidth="1"/>
    <col min="3" max="3" width="11.5546875" customWidth="1"/>
    <col min="4" max="5" width="8.109375" bestFit="1" customWidth="1"/>
    <col min="6" max="9" width="7.6640625" bestFit="1" customWidth="1"/>
    <col min="10" max="15" width="8.109375" bestFit="1" customWidth="1"/>
    <col min="16" max="17" width="8.44140625" bestFit="1" customWidth="1"/>
    <col min="18" max="20" width="8.109375" bestFit="1" customWidth="1"/>
    <col min="21" max="21" width="8.44140625" bestFit="1" customWidth="1"/>
    <col min="22" max="25" width="8.77734375" bestFit="1" customWidth="1"/>
    <col min="26" max="26" width="8.44140625" bestFit="1" customWidth="1"/>
    <col min="27" max="27" width="8.109375" bestFit="1" customWidth="1"/>
    <col min="28" max="28" width="7.109375" bestFit="1" customWidth="1"/>
  </cols>
  <sheetData>
    <row r="2" spans="2:30" ht="23.25" x14ac:dyDescent="0.35">
      <c r="B2" s="1" t="s">
        <v>55</v>
      </c>
    </row>
    <row r="3" spans="2:30" ht="23.25" x14ac:dyDescent="0.35">
      <c r="B3" s="1" t="s">
        <v>81</v>
      </c>
    </row>
    <row r="4" spans="2:30" ht="23.25" x14ac:dyDescent="0.35">
      <c r="B4" s="1"/>
    </row>
    <row r="5" spans="2:30" ht="23.25" x14ac:dyDescent="0.35">
      <c r="B5" s="1" t="s">
        <v>49</v>
      </c>
    </row>
    <row r="6" spans="2:30" x14ac:dyDescent="0.2">
      <c r="B6" s="22" t="s">
        <v>0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  <c r="J6" s="22" t="s">
        <v>8</v>
      </c>
      <c r="K6" s="22" t="s">
        <v>9</v>
      </c>
      <c r="L6" s="22" t="s">
        <v>10</v>
      </c>
      <c r="M6" s="22" t="s">
        <v>11</v>
      </c>
      <c r="N6" s="22" t="s">
        <v>12</v>
      </c>
      <c r="O6" s="22" t="s">
        <v>13</v>
      </c>
      <c r="P6" s="22" t="s">
        <v>14</v>
      </c>
      <c r="Q6" s="22" t="s">
        <v>15</v>
      </c>
      <c r="R6" s="22" t="s">
        <v>16</v>
      </c>
      <c r="S6" s="22" t="s">
        <v>17</v>
      </c>
      <c r="T6" s="22" t="s">
        <v>18</v>
      </c>
      <c r="U6" s="22" t="s">
        <v>19</v>
      </c>
      <c r="V6" s="22" t="s">
        <v>20</v>
      </c>
      <c r="W6" s="22" t="s">
        <v>21</v>
      </c>
      <c r="X6" s="22" t="s">
        <v>22</v>
      </c>
      <c r="Y6" s="22" t="s">
        <v>23</v>
      </c>
      <c r="Z6" s="22" t="s">
        <v>24</v>
      </c>
      <c r="AA6" s="22" t="s">
        <v>25</v>
      </c>
      <c r="AB6" s="22" t="s">
        <v>26</v>
      </c>
      <c r="AC6" s="22" t="s">
        <v>27</v>
      </c>
      <c r="AD6" s="22" t="s">
        <v>28</v>
      </c>
    </row>
    <row r="7" spans="2:30" x14ac:dyDescent="0.2">
      <c r="B7" s="85">
        <v>47484</v>
      </c>
      <c r="C7" s="2" t="s">
        <v>29</v>
      </c>
      <c r="D7" s="4">
        <v>49.29</v>
      </c>
      <c r="E7" s="4">
        <v>34.92</v>
      </c>
      <c r="F7" s="4">
        <v>21.93</v>
      </c>
      <c r="G7" s="4">
        <v>17.78</v>
      </c>
      <c r="H7" s="4">
        <v>16.89</v>
      </c>
      <c r="I7" s="4">
        <v>15.5</v>
      </c>
      <c r="J7" s="4">
        <v>31.14</v>
      </c>
      <c r="K7" s="4">
        <v>28.88</v>
      </c>
      <c r="L7" s="4">
        <v>48.02</v>
      </c>
      <c r="M7" s="4">
        <v>61.58</v>
      </c>
      <c r="N7" s="4">
        <v>78.78</v>
      </c>
      <c r="O7" s="4">
        <v>97.11</v>
      </c>
      <c r="P7" s="4">
        <v>110.73</v>
      </c>
      <c r="Q7" s="4">
        <v>101.88</v>
      </c>
      <c r="R7" s="4">
        <v>93.35</v>
      </c>
      <c r="S7" s="4">
        <v>90.75</v>
      </c>
      <c r="T7" s="4">
        <v>93.15</v>
      </c>
      <c r="U7" s="4">
        <v>129.71</v>
      </c>
      <c r="V7" s="4">
        <v>139.76</v>
      </c>
      <c r="W7" s="4">
        <v>173.47</v>
      </c>
      <c r="X7" s="4">
        <v>171.4</v>
      </c>
      <c r="Y7" s="4">
        <v>158.57</v>
      </c>
      <c r="Z7" s="4">
        <v>127.81</v>
      </c>
      <c r="AA7" s="4">
        <v>87.59</v>
      </c>
      <c r="AB7" s="23">
        <f>SUM(D7:AA7)</f>
        <v>1979.9899999999998</v>
      </c>
      <c r="AC7" s="24">
        <v>21</v>
      </c>
      <c r="AD7" s="86">
        <f>+AB7*AC7+AB8*AC8+AB9*AC9</f>
        <v>57297.729999999996</v>
      </c>
    </row>
    <row r="8" spans="2:30" x14ac:dyDescent="0.2">
      <c r="B8" s="85"/>
      <c r="C8" s="2" t="s">
        <v>30</v>
      </c>
      <c r="D8" s="4">
        <v>43.25</v>
      </c>
      <c r="E8" s="4">
        <v>29.39</v>
      </c>
      <c r="F8" s="4">
        <v>16.86</v>
      </c>
      <c r="G8" s="4">
        <v>12.86</v>
      </c>
      <c r="H8" s="4">
        <v>12</v>
      </c>
      <c r="I8" s="4">
        <v>10.65</v>
      </c>
      <c r="J8" s="4">
        <v>25.75</v>
      </c>
      <c r="K8" s="4">
        <v>22.98</v>
      </c>
      <c r="L8" s="4">
        <v>41.37</v>
      </c>
      <c r="M8" s="4">
        <v>54.37</v>
      </c>
      <c r="N8" s="4">
        <v>70.92</v>
      </c>
      <c r="O8" s="4">
        <v>88.58</v>
      </c>
      <c r="P8" s="4">
        <v>101.75</v>
      </c>
      <c r="Q8" s="4">
        <v>93.25</v>
      </c>
      <c r="R8" s="4">
        <v>85.02</v>
      </c>
      <c r="S8" s="4">
        <v>82.57</v>
      </c>
      <c r="T8" s="4">
        <v>84.95</v>
      </c>
      <c r="U8" s="4">
        <v>121.41</v>
      </c>
      <c r="V8" s="4">
        <v>131.11000000000001</v>
      </c>
      <c r="W8" s="4">
        <v>163.63999999999999</v>
      </c>
      <c r="X8" s="4">
        <v>161.63</v>
      </c>
      <c r="Y8" s="4">
        <v>149.26</v>
      </c>
      <c r="Z8" s="4">
        <v>119.58</v>
      </c>
      <c r="AA8" s="4">
        <v>80.760000000000005</v>
      </c>
      <c r="AB8" s="23">
        <f t="shared" ref="AB8:AB42" si="0">SUM(D8:AA8)</f>
        <v>1803.9099999999999</v>
      </c>
      <c r="AC8" s="24">
        <v>4</v>
      </c>
      <c r="AD8" s="86"/>
    </row>
    <row r="9" spans="2:30" x14ac:dyDescent="0.2">
      <c r="B9" s="85"/>
      <c r="C9" s="2" t="s">
        <v>63</v>
      </c>
      <c r="D9" s="4">
        <v>30.01</v>
      </c>
      <c r="E9" s="4">
        <v>17.25</v>
      </c>
      <c r="F9" s="4">
        <v>5.71</v>
      </c>
      <c r="G9" s="4">
        <v>2.0299999999999998</v>
      </c>
      <c r="H9" s="4">
        <v>1.24</v>
      </c>
      <c r="I9" s="4">
        <v>0</v>
      </c>
      <c r="J9" s="4">
        <v>13.9</v>
      </c>
      <c r="K9" s="4">
        <v>10.01</v>
      </c>
      <c r="L9" s="4">
        <v>26.78</v>
      </c>
      <c r="M9" s="4">
        <v>38.549999999999997</v>
      </c>
      <c r="N9" s="4">
        <v>53.62</v>
      </c>
      <c r="O9" s="4">
        <v>69.84</v>
      </c>
      <c r="P9" s="4">
        <v>82.01</v>
      </c>
      <c r="Q9" s="4">
        <v>74.28</v>
      </c>
      <c r="R9" s="4">
        <v>66.739999999999995</v>
      </c>
      <c r="S9" s="4">
        <v>64.58</v>
      </c>
      <c r="T9" s="4">
        <v>66.94</v>
      </c>
      <c r="U9" s="4">
        <v>103.18</v>
      </c>
      <c r="V9" s="4">
        <v>112.1</v>
      </c>
      <c r="W9" s="4">
        <v>142.04</v>
      </c>
      <c r="X9" s="4">
        <v>140.19999999999999</v>
      </c>
      <c r="Y9" s="4">
        <v>128.80000000000001</v>
      </c>
      <c r="Z9" s="4">
        <v>101.49</v>
      </c>
      <c r="AA9" s="4">
        <v>65.75</v>
      </c>
      <c r="AB9" s="23">
        <f t="shared" si="0"/>
        <v>1417.05</v>
      </c>
      <c r="AC9" s="24">
        <v>6</v>
      </c>
      <c r="AD9" s="86"/>
    </row>
    <row r="10" spans="2:30" x14ac:dyDescent="0.2">
      <c r="B10" s="85">
        <v>47515</v>
      </c>
      <c r="C10" s="2" t="s">
        <v>29</v>
      </c>
      <c r="D10" s="4">
        <v>49.29</v>
      </c>
      <c r="E10" s="4">
        <v>34.92</v>
      </c>
      <c r="F10" s="4">
        <v>21.93</v>
      </c>
      <c r="G10" s="4">
        <v>17.78</v>
      </c>
      <c r="H10" s="4">
        <v>16.89</v>
      </c>
      <c r="I10" s="4">
        <v>15.5</v>
      </c>
      <c r="J10" s="4">
        <v>31.14</v>
      </c>
      <c r="K10" s="4">
        <v>28.88</v>
      </c>
      <c r="L10" s="4">
        <v>48.02</v>
      </c>
      <c r="M10" s="4">
        <v>61.58</v>
      </c>
      <c r="N10" s="4">
        <v>78.78</v>
      </c>
      <c r="O10" s="4">
        <v>97.11</v>
      </c>
      <c r="P10" s="4">
        <v>110.73</v>
      </c>
      <c r="Q10" s="4">
        <v>101.88</v>
      </c>
      <c r="R10" s="4">
        <v>93.35</v>
      </c>
      <c r="S10" s="4">
        <v>90.75</v>
      </c>
      <c r="T10" s="4">
        <v>93.15</v>
      </c>
      <c r="U10" s="4">
        <v>129.71</v>
      </c>
      <c r="V10" s="4">
        <v>139.76</v>
      </c>
      <c r="W10" s="4">
        <v>173.47</v>
      </c>
      <c r="X10" s="4">
        <v>171.4</v>
      </c>
      <c r="Y10" s="4">
        <v>158.57</v>
      </c>
      <c r="Z10" s="4">
        <v>127.81</v>
      </c>
      <c r="AA10" s="4">
        <v>87.59</v>
      </c>
      <c r="AB10" s="23">
        <f t="shared" si="0"/>
        <v>1979.9899999999998</v>
      </c>
      <c r="AC10" s="24">
        <v>20</v>
      </c>
      <c r="AD10" s="86">
        <f>+AB10*AC10+AB11*AC11+AB12*AC12</f>
        <v>52483.639999999992</v>
      </c>
    </row>
    <row r="11" spans="2:30" x14ac:dyDescent="0.2">
      <c r="B11" s="85"/>
      <c r="C11" s="2" t="s">
        <v>30</v>
      </c>
      <c r="D11" s="4">
        <v>43.25</v>
      </c>
      <c r="E11" s="4">
        <v>29.39</v>
      </c>
      <c r="F11" s="4">
        <v>16.86</v>
      </c>
      <c r="G11" s="4">
        <v>12.86</v>
      </c>
      <c r="H11" s="4">
        <v>12</v>
      </c>
      <c r="I11" s="4">
        <v>10.65</v>
      </c>
      <c r="J11" s="4">
        <v>25.75</v>
      </c>
      <c r="K11" s="4">
        <v>22.98</v>
      </c>
      <c r="L11" s="4">
        <v>41.37</v>
      </c>
      <c r="M11" s="4">
        <v>54.37</v>
      </c>
      <c r="N11" s="4">
        <v>70.92</v>
      </c>
      <c r="O11" s="4">
        <v>88.58</v>
      </c>
      <c r="P11" s="4">
        <v>101.75</v>
      </c>
      <c r="Q11" s="4">
        <v>93.25</v>
      </c>
      <c r="R11" s="4">
        <v>85.02</v>
      </c>
      <c r="S11" s="4">
        <v>82.57</v>
      </c>
      <c r="T11" s="4">
        <v>84.95</v>
      </c>
      <c r="U11" s="4">
        <v>121.41</v>
      </c>
      <c r="V11" s="4">
        <v>131.11000000000001</v>
      </c>
      <c r="W11" s="4">
        <v>163.63999999999999</v>
      </c>
      <c r="X11" s="4">
        <v>161.63</v>
      </c>
      <c r="Y11" s="4">
        <v>149.26</v>
      </c>
      <c r="Z11" s="4">
        <v>119.58</v>
      </c>
      <c r="AA11" s="4">
        <v>80.760000000000005</v>
      </c>
      <c r="AB11" s="23">
        <f t="shared" si="0"/>
        <v>1803.9099999999999</v>
      </c>
      <c r="AC11" s="24">
        <v>4</v>
      </c>
      <c r="AD11" s="86"/>
    </row>
    <row r="12" spans="2:30" x14ac:dyDescent="0.2">
      <c r="B12" s="85"/>
      <c r="C12" s="2" t="s">
        <v>63</v>
      </c>
      <c r="D12" s="4">
        <v>30.01</v>
      </c>
      <c r="E12" s="4">
        <v>17.25</v>
      </c>
      <c r="F12" s="4">
        <v>5.71</v>
      </c>
      <c r="G12" s="4">
        <v>2.0299999999999998</v>
      </c>
      <c r="H12" s="4">
        <v>1.24</v>
      </c>
      <c r="I12" s="4">
        <v>0</v>
      </c>
      <c r="J12" s="4">
        <v>13.9</v>
      </c>
      <c r="K12" s="4">
        <v>10.01</v>
      </c>
      <c r="L12" s="4">
        <v>26.78</v>
      </c>
      <c r="M12" s="4">
        <v>38.549999999999997</v>
      </c>
      <c r="N12" s="4">
        <v>53.62</v>
      </c>
      <c r="O12" s="4">
        <v>69.84</v>
      </c>
      <c r="P12" s="4">
        <v>82.01</v>
      </c>
      <c r="Q12" s="4">
        <v>74.28</v>
      </c>
      <c r="R12" s="4">
        <v>66.739999999999995</v>
      </c>
      <c r="S12" s="4">
        <v>64.58</v>
      </c>
      <c r="T12" s="4">
        <v>66.94</v>
      </c>
      <c r="U12" s="4">
        <v>103.18</v>
      </c>
      <c r="V12" s="4">
        <v>112.1</v>
      </c>
      <c r="W12" s="4">
        <v>142.04</v>
      </c>
      <c r="X12" s="4">
        <v>140.19999999999999</v>
      </c>
      <c r="Y12" s="4">
        <v>128.80000000000001</v>
      </c>
      <c r="Z12" s="4">
        <v>101.49</v>
      </c>
      <c r="AA12" s="4">
        <v>65.75</v>
      </c>
      <c r="AB12" s="23">
        <f t="shared" si="0"/>
        <v>1417.05</v>
      </c>
      <c r="AC12" s="24">
        <v>4</v>
      </c>
      <c r="AD12" s="86"/>
    </row>
    <row r="13" spans="2:30" x14ac:dyDescent="0.2">
      <c r="B13" s="85">
        <v>47543</v>
      </c>
      <c r="C13" s="2" t="s">
        <v>29</v>
      </c>
      <c r="D13" s="4">
        <v>49.29</v>
      </c>
      <c r="E13" s="4">
        <v>34.92</v>
      </c>
      <c r="F13" s="4">
        <v>21.93</v>
      </c>
      <c r="G13" s="4">
        <v>17.78</v>
      </c>
      <c r="H13" s="4">
        <v>16.89</v>
      </c>
      <c r="I13" s="4">
        <v>15.5</v>
      </c>
      <c r="J13" s="4">
        <v>31.14</v>
      </c>
      <c r="K13" s="4">
        <v>28.88</v>
      </c>
      <c r="L13" s="4">
        <v>48.02</v>
      </c>
      <c r="M13" s="4">
        <v>61.58</v>
      </c>
      <c r="N13" s="4">
        <v>78.78</v>
      </c>
      <c r="O13" s="4">
        <v>97.11</v>
      </c>
      <c r="P13" s="4">
        <v>110.73</v>
      </c>
      <c r="Q13" s="4">
        <v>101.88</v>
      </c>
      <c r="R13" s="4">
        <v>93.35</v>
      </c>
      <c r="S13" s="4">
        <v>90.75</v>
      </c>
      <c r="T13" s="4">
        <v>93.15</v>
      </c>
      <c r="U13" s="4">
        <v>129.71</v>
      </c>
      <c r="V13" s="4">
        <v>139.76</v>
      </c>
      <c r="W13" s="4">
        <v>173.47</v>
      </c>
      <c r="X13" s="4">
        <v>171.4</v>
      </c>
      <c r="Y13" s="4">
        <v>158.57</v>
      </c>
      <c r="Z13" s="4">
        <v>127.81</v>
      </c>
      <c r="AA13" s="4">
        <v>87.59</v>
      </c>
      <c r="AB13" s="23">
        <f t="shared" si="0"/>
        <v>1979.9899999999998</v>
      </c>
      <c r="AC13" s="24">
        <v>20</v>
      </c>
      <c r="AD13" s="86">
        <f>+AB13*AC13+AB14*AC14+AB15*AC15</f>
        <v>57121.649999999994</v>
      </c>
    </row>
    <row r="14" spans="2:30" x14ac:dyDescent="0.2">
      <c r="B14" s="85"/>
      <c r="C14" s="2" t="s">
        <v>30</v>
      </c>
      <c r="D14" s="4">
        <v>43.25</v>
      </c>
      <c r="E14" s="4">
        <v>29.39</v>
      </c>
      <c r="F14" s="4">
        <v>16.86</v>
      </c>
      <c r="G14" s="4">
        <v>12.86</v>
      </c>
      <c r="H14" s="4">
        <v>12</v>
      </c>
      <c r="I14" s="4">
        <v>10.65</v>
      </c>
      <c r="J14" s="4">
        <v>25.75</v>
      </c>
      <c r="K14" s="4">
        <v>22.98</v>
      </c>
      <c r="L14" s="4">
        <v>41.37</v>
      </c>
      <c r="M14" s="4">
        <v>54.37</v>
      </c>
      <c r="N14" s="4">
        <v>70.92</v>
      </c>
      <c r="O14" s="4">
        <v>88.58</v>
      </c>
      <c r="P14" s="4">
        <v>101.75</v>
      </c>
      <c r="Q14" s="4">
        <v>93.25</v>
      </c>
      <c r="R14" s="4">
        <v>85.02</v>
      </c>
      <c r="S14" s="4">
        <v>82.57</v>
      </c>
      <c r="T14" s="4">
        <v>84.95</v>
      </c>
      <c r="U14" s="4">
        <v>121.41</v>
      </c>
      <c r="V14" s="4">
        <v>131.11000000000001</v>
      </c>
      <c r="W14" s="4">
        <v>163.63999999999999</v>
      </c>
      <c r="X14" s="4">
        <v>161.63</v>
      </c>
      <c r="Y14" s="4">
        <v>149.26</v>
      </c>
      <c r="Z14" s="4">
        <v>119.58</v>
      </c>
      <c r="AA14" s="4">
        <v>80.760000000000005</v>
      </c>
      <c r="AB14" s="23">
        <f t="shared" si="0"/>
        <v>1803.9099999999999</v>
      </c>
      <c r="AC14" s="24">
        <v>5</v>
      </c>
      <c r="AD14" s="86"/>
    </row>
    <row r="15" spans="2:30" x14ac:dyDescent="0.2">
      <c r="B15" s="85"/>
      <c r="C15" s="2" t="s">
        <v>63</v>
      </c>
      <c r="D15" s="4">
        <v>30.01</v>
      </c>
      <c r="E15" s="4">
        <v>17.25</v>
      </c>
      <c r="F15" s="4">
        <v>5.71</v>
      </c>
      <c r="G15" s="4">
        <v>2.0299999999999998</v>
      </c>
      <c r="H15" s="4">
        <v>1.24</v>
      </c>
      <c r="I15" s="4">
        <v>0</v>
      </c>
      <c r="J15" s="4">
        <v>13.9</v>
      </c>
      <c r="K15" s="4">
        <v>10.01</v>
      </c>
      <c r="L15" s="4">
        <v>26.78</v>
      </c>
      <c r="M15" s="4">
        <v>38.549999999999997</v>
      </c>
      <c r="N15" s="4">
        <v>53.62</v>
      </c>
      <c r="O15" s="4">
        <v>69.84</v>
      </c>
      <c r="P15" s="4">
        <v>82.01</v>
      </c>
      <c r="Q15" s="4">
        <v>74.28</v>
      </c>
      <c r="R15" s="4">
        <v>66.739999999999995</v>
      </c>
      <c r="S15" s="4">
        <v>64.58</v>
      </c>
      <c r="T15" s="4">
        <v>66.94</v>
      </c>
      <c r="U15" s="4">
        <v>103.18</v>
      </c>
      <c r="V15" s="4">
        <v>112.1</v>
      </c>
      <c r="W15" s="4">
        <v>142.04</v>
      </c>
      <c r="X15" s="4">
        <v>140.19999999999999</v>
      </c>
      <c r="Y15" s="4">
        <v>128.80000000000001</v>
      </c>
      <c r="Z15" s="4">
        <v>101.49</v>
      </c>
      <c r="AA15" s="4">
        <v>65.75</v>
      </c>
      <c r="AB15" s="23">
        <f t="shared" si="0"/>
        <v>1417.05</v>
      </c>
      <c r="AC15" s="24">
        <v>6</v>
      </c>
      <c r="AD15" s="86"/>
    </row>
    <row r="16" spans="2:30" x14ac:dyDescent="0.2">
      <c r="B16" s="85">
        <v>47574</v>
      </c>
      <c r="C16" s="2" t="s">
        <v>29</v>
      </c>
      <c r="D16" s="4">
        <v>49.29</v>
      </c>
      <c r="E16" s="4">
        <v>34.92</v>
      </c>
      <c r="F16" s="4">
        <v>21.93</v>
      </c>
      <c r="G16" s="4">
        <v>17.78</v>
      </c>
      <c r="H16" s="4">
        <v>16.89</v>
      </c>
      <c r="I16" s="4">
        <v>15.5</v>
      </c>
      <c r="J16" s="4">
        <v>31.14</v>
      </c>
      <c r="K16" s="4">
        <v>28.88</v>
      </c>
      <c r="L16" s="4">
        <v>48.02</v>
      </c>
      <c r="M16" s="4">
        <v>61.58</v>
      </c>
      <c r="N16" s="4">
        <v>78.78</v>
      </c>
      <c r="O16" s="4">
        <v>97.11</v>
      </c>
      <c r="P16" s="4">
        <v>110.73</v>
      </c>
      <c r="Q16" s="4">
        <v>101.88</v>
      </c>
      <c r="R16" s="4">
        <v>93.35</v>
      </c>
      <c r="S16" s="4">
        <v>90.75</v>
      </c>
      <c r="T16" s="4">
        <v>93.15</v>
      </c>
      <c r="U16" s="4">
        <v>129.71</v>
      </c>
      <c r="V16" s="4">
        <v>139.76</v>
      </c>
      <c r="W16" s="4">
        <v>173.47</v>
      </c>
      <c r="X16" s="4">
        <v>171.4</v>
      </c>
      <c r="Y16" s="4">
        <v>158.57</v>
      </c>
      <c r="Z16" s="4">
        <v>127.81</v>
      </c>
      <c r="AA16" s="4">
        <v>87.59</v>
      </c>
      <c r="AB16" s="23">
        <f t="shared" si="0"/>
        <v>1979.9899999999998</v>
      </c>
      <c r="AC16" s="24">
        <v>20</v>
      </c>
      <c r="AD16" s="86">
        <f>+AB16*AC16+AB17*AC17+AB18*AC18</f>
        <v>55317.739999999991</v>
      </c>
    </row>
    <row r="17" spans="2:30" x14ac:dyDescent="0.2">
      <c r="B17" s="85"/>
      <c r="C17" s="2" t="s">
        <v>30</v>
      </c>
      <c r="D17" s="4">
        <v>43.25</v>
      </c>
      <c r="E17" s="4">
        <v>29.39</v>
      </c>
      <c r="F17" s="4">
        <v>16.86</v>
      </c>
      <c r="G17" s="4">
        <v>12.86</v>
      </c>
      <c r="H17" s="4">
        <v>12</v>
      </c>
      <c r="I17" s="4">
        <v>10.65</v>
      </c>
      <c r="J17" s="4">
        <v>25.75</v>
      </c>
      <c r="K17" s="4">
        <v>22.98</v>
      </c>
      <c r="L17" s="4">
        <v>41.37</v>
      </c>
      <c r="M17" s="4">
        <v>54.37</v>
      </c>
      <c r="N17" s="4">
        <v>70.92</v>
      </c>
      <c r="O17" s="4">
        <v>88.58</v>
      </c>
      <c r="P17" s="4">
        <v>101.75</v>
      </c>
      <c r="Q17" s="4">
        <v>93.25</v>
      </c>
      <c r="R17" s="4">
        <v>85.02</v>
      </c>
      <c r="S17" s="4">
        <v>82.57</v>
      </c>
      <c r="T17" s="4">
        <v>84.95</v>
      </c>
      <c r="U17" s="4">
        <v>121.41</v>
      </c>
      <c r="V17" s="4">
        <v>131.11000000000001</v>
      </c>
      <c r="W17" s="4">
        <v>163.63999999999999</v>
      </c>
      <c r="X17" s="4">
        <v>161.63</v>
      </c>
      <c r="Y17" s="4">
        <v>149.26</v>
      </c>
      <c r="Z17" s="4">
        <v>119.58</v>
      </c>
      <c r="AA17" s="4">
        <v>80.760000000000005</v>
      </c>
      <c r="AB17" s="23">
        <f t="shared" si="0"/>
        <v>1803.9099999999999</v>
      </c>
      <c r="AC17" s="24">
        <v>4</v>
      </c>
      <c r="AD17" s="86"/>
    </row>
    <row r="18" spans="2:30" x14ac:dyDescent="0.2">
      <c r="B18" s="85"/>
      <c r="C18" s="2" t="s">
        <v>63</v>
      </c>
      <c r="D18" s="4">
        <v>30.01</v>
      </c>
      <c r="E18" s="4">
        <v>17.25</v>
      </c>
      <c r="F18" s="4">
        <v>5.71</v>
      </c>
      <c r="G18" s="4">
        <v>2.0299999999999998</v>
      </c>
      <c r="H18" s="4">
        <v>1.24</v>
      </c>
      <c r="I18" s="4">
        <v>0</v>
      </c>
      <c r="J18" s="4">
        <v>13.9</v>
      </c>
      <c r="K18" s="4">
        <v>10.01</v>
      </c>
      <c r="L18" s="4">
        <v>26.78</v>
      </c>
      <c r="M18" s="4">
        <v>38.549999999999997</v>
      </c>
      <c r="N18" s="4">
        <v>53.62</v>
      </c>
      <c r="O18" s="4">
        <v>69.84</v>
      </c>
      <c r="P18" s="4">
        <v>82.01</v>
      </c>
      <c r="Q18" s="4">
        <v>74.28</v>
      </c>
      <c r="R18" s="4">
        <v>66.739999999999995</v>
      </c>
      <c r="S18" s="4">
        <v>64.58</v>
      </c>
      <c r="T18" s="4">
        <v>66.94</v>
      </c>
      <c r="U18" s="4">
        <v>103.18</v>
      </c>
      <c r="V18" s="4">
        <v>112.1</v>
      </c>
      <c r="W18" s="4">
        <v>142.04</v>
      </c>
      <c r="X18" s="4">
        <v>140.19999999999999</v>
      </c>
      <c r="Y18" s="4">
        <v>128.80000000000001</v>
      </c>
      <c r="Z18" s="4">
        <v>101.49</v>
      </c>
      <c r="AA18" s="4">
        <v>65.75</v>
      </c>
      <c r="AB18" s="23">
        <f t="shared" si="0"/>
        <v>1417.05</v>
      </c>
      <c r="AC18" s="24">
        <v>6</v>
      </c>
      <c r="AD18" s="86"/>
    </row>
    <row r="19" spans="2:30" x14ac:dyDescent="0.2">
      <c r="B19" s="85">
        <v>47604</v>
      </c>
      <c r="C19" s="2" t="s">
        <v>29</v>
      </c>
      <c r="D19" s="4">
        <v>49.29</v>
      </c>
      <c r="E19" s="4">
        <v>34.92</v>
      </c>
      <c r="F19" s="4">
        <v>21.93</v>
      </c>
      <c r="G19" s="4">
        <v>17.78</v>
      </c>
      <c r="H19" s="4">
        <v>16.89</v>
      </c>
      <c r="I19" s="4">
        <v>15.5</v>
      </c>
      <c r="J19" s="4">
        <v>31.14</v>
      </c>
      <c r="K19" s="4">
        <v>28.88</v>
      </c>
      <c r="L19" s="4">
        <v>48.02</v>
      </c>
      <c r="M19" s="4">
        <v>61.58</v>
      </c>
      <c r="N19" s="4">
        <v>78.78</v>
      </c>
      <c r="O19" s="4">
        <v>97.11</v>
      </c>
      <c r="P19" s="4">
        <v>110.73</v>
      </c>
      <c r="Q19" s="4">
        <v>101.88</v>
      </c>
      <c r="R19" s="4">
        <v>93.35</v>
      </c>
      <c r="S19" s="4">
        <v>90.75</v>
      </c>
      <c r="T19" s="4">
        <v>93.15</v>
      </c>
      <c r="U19" s="4">
        <v>129.71</v>
      </c>
      <c r="V19" s="4">
        <v>139.76</v>
      </c>
      <c r="W19" s="4">
        <v>173.47</v>
      </c>
      <c r="X19" s="4">
        <v>171.4</v>
      </c>
      <c r="Y19" s="4">
        <v>158.57</v>
      </c>
      <c r="Z19" s="4">
        <v>127.81</v>
      </c>
      <c r="AA19" s="4">
        <v>87.59</v>
      </c>
      <c r="AB19" s="23">
        <f t="shared" si="0"/>
        <v>1979.9899999999998</v>
      </c>
      <c r="AC19" s="24">
        <v>22</v>
      </c>
      <c r="AD19" s="86">
        <f>+AB19*AC19+AB20*AC20+AB21*AC21</f>
        <v>57860.67</v>
      </c>
    </row>
    <row r="20" spans="2:30" x14ac:dyDescent="0.2">
      <c r="B20" s="85"/>
      <c r="C20" s="2" t="s">
        <v>30</v>
      </c>
      <c r="D20" s="4">
        <v>43.25</v>
      </c>
      <c r="E20" s="4">
        <v>29.39</v>
      </c>
      <c r="F20" s="4">
        <v>16.86</v>
      </c>
      <c r="G20" s="4">
        <v>12.86</v>
      </c>
      <c r="H20" s="4">
        <v>12</v>
      </c>
      <c r="I20" s="4">
        <v>10.65</v>
      </c>
      <c r="J20" s="4">
        <v>25.75</v>
      </c>
      <c r="K20" s="4">
        <v>22.98</v>
      </c>
      <c r="L20" s="4">
        <v>41.37</v>
      </c>
      <c r="M20" s="4">
        <v>54.37</v>
      </c>
      <c r="N20" s="4">
        <v>70.92</v>
      </c>
      <c r="O20" s="4">
        <v>88.58</v>
      </c>
      <c r="P20" s="4">
        <v>101.75</v>
      </c>
      <c r="Q20" s="4">
        <v>93.25</v>
      </c>
      <c r="R20" s="4">
        <v>85.02</v>
      </c>
      <c r="S20" s="4">
        <v>82.57</v>
      </c>
      <c r="T20" s="4">
        <v>84.95</v>
      </c>
      <c r="U20" s="4">
        <v>121.41</v>
      </c>
      <c r="V20" s="4">
        <v>131.11000000000001</v>
      </c>
      <c r="W20" s="4">
        <v>163.63999999999999</v>
      </c>
      <c r="X20" s="4">
        <v>161.63</v>
      </c>
      <c r="Y20" s="4">
        <v>149.26</v>
      </c>
      <c r="Z20" s="4">
        <v>119.58</v>
      </c>
      <c r="AA20" s="4">
        <v>80.760000000000005</v>
      </c>
      <c r="AB20" s="23">
        <f t="shared" si="0"/>
        <v>1803.9099999999999</v>
      </c>
      <c r="AC20" s="24">
        <v>4</v>
      </c>
      <c r="AD20" s="86"/>
    </row>
    <row r="21" spans="2:30" x14ac:dyDescent="0.2">
      <c r="B21" s="85"/>
      <c r="C21" s="2" t="s">
        <v>63</v>
      </c>
      <c r="D21" s="4">
        <v>30.01</v>
      </c>
      <c r="E21" s="4">
        <v>17.25</v>
      </c>
      <c r="F21" s="4">
        <v>5.71</v>
      </c>
      <c r="G21" s="4">
        <v>2.0299999999999998</v>
      </c>
      <c r="H21" s="4">
        <v>1.24</v>
      </c>
      <c r="I21" s="4">
        <v>0</v>
      </c>
      <c r="J21" s="4">
        <v>13.9</v>
      </c>
      <c r="K21" s="4">
        <v>10.01</v>
      </c>
      <c r="L21" s="4">
        <v>26.78</v>
      </c>
      <c r="M21" s="4">
        <v>38.549999999999997</v>
      </c>
      <c r="N21" s="4">
        <v>53.62</v>
      </c>
      <c r="O21" s="4">
        <v>69.84</v>
      </c>
      <c r="P21" s="4">
        <v>82.01</v>
      </c>
      <c r="Q21" s="4">
        <v>74.28</v>
      </c>
      <c r="R21" s="4">
        <v>66.739999999999995</v>
      </c>
      <c r="S21" s="4">
        <v>64.58</v>
      </c>
      <c r="T21" s="4">
        <v>66.94</v>
      </c>
      <c r="U21" s="4">
        <v>103.18</v>
      </c>
      <c r="V21" s="4">
        <v>112.1</v>
      </c>
      <c r="W21" s="4">
        <v>142.04</v>
      </c>
      <c r="X21" s="4">
        <v>140.19999999999999</v>
      </c>
      <c r="Y21" s="4">
        <v>128.80000000000001</v>
      </c>
      <c r="Z21" s="4">
        <v>101.49</v>
      </c>
      <c r="AA21" s="4">
        <v>65.75</v>
      </c>
      <c r="AB21" s="23">
        <f t="shared" si="0"/>
        <v>1417.05</v>
      </c>
      <c r="AC21" s="24">
        <v>5</v>
      </c>
      <c r="AD21" s="86"/>
    </row>
    <row r="22" spans="2:30" x14ac:dyDescent="0.2">
      <c r="B22" s="85">
        <v>47635</v>
      </c>
      <c r="C22" s="2" t="s">
        <v>29</v>
      </c>
      <c r="D22" s="4">
        <v>49.29</v>
      </c>
      <c r="E22" s="4">
        <v>34.92</v>
      </c>
      <c r="F22" s="4">
        <v>21.93</v>
      </c>
      <c r="G22" s="4">
        <v>17.78</v>
      </c>
      <c r="H22" s="4">
        <v>16.89</v>
      </c>
      <c r="I22" s="4">
        <v>15.5</v>
      </c>
      <c r="J22" s="4">
        <v>31.14</v>
      </c>
      <c r="K22" s="4">
        <v>28.88</v>
      </c>
      <c r="L22" s="4">
        <v>48.02</v>
      </c>
      <c r="M22" s="4">
        <v>61.58</v>
      </c>
      <c r="N22" s="4">
        <v>78.78</v>
      </c>
      <c r="O22" s="4">
        <v>97.11</v>
      </c>
      <c r="P22" s="4">
        <v>110.73</v>
      </c>
      <c r="Q22" s="4">
        <v>101.88</v>
      </c>
      <c r="R22" s="4">
        <v>93.35</v>
      </c>
      <c r="S22" s="4">
        <v>90.75</v>
      </c>
      <c r="T22" s="4">
        <v>93.15</v>
      </c>
      <c r="U22" s="4">
        <v>129.71</v>
      </c>
      <c r="V22" s="4">
        <v>139.76</v>
      </c>
      <c r="W22" s="4">
        <v>173.47</v>
      </c>
      <c r="X22" s="4">
        <v>171.4</v>
      </c>
      <c r="Y22" s="4">
        <v>158.57</v>
      </c>
      <c r="Z22" s="4">
        <v>127.81</v>
      </c>
      <c r="AA22" s="4">
        <v>87.59</v>
      </c>
      <c r="AB22" s="23">
        <f t="shared" si="0"/>
        <v>1979.9899999999998</v>
      </c>
      <c r="AC22" s="24">
        <v>18</v>
      </c>
      <c r="AD22" s="86">
        <f>+AB22*AC22+AB23*AC23+AB24*AC24</f>
        <v>54578.719999999994</v>
      </c>
    </row>
    <row r="23" spans="2:30" x14ac:dyDescent="0.2">
      <c r="B23" s="85"/>
      <c r="C23" s="2" t="s">
        <v>30</v>
      </c>
      <c r="D23" s="4">
        <v>43.25</v>
      </c>
      <c r="E23" s="4">
        <v>29.39</v>
      </c>
      <c r="F23" s="4">
        <v>16.86</v>
      </c>
      <c r="G23" s="4">
        <v>12.86</v>
      </c>
      <c r="H23" s="4">
        <v>12</v>
      </c>
      <c r="I23" s="4">
        <v>10.65</v>
      </c>
      <c r="J23" s="4">
        <v>25.75</v>
      </c>
      <c r="K23" s="4">
        <v>22.98</v>
      </c>
      <c r="L23" s="4">
        <v>41.37</v>
      </c>
      <c r="M23" s="4">
        <v>54.37</v>
      </c>
      <c r="N23" s="4">
        <v>70.92</v>
      </c>
      <c r="O23" s="4">
        <v>88.58</v>
      </c>
      <c r="P23" s="4">
        <v>101.75</v>
      </c>
      <c r="Q23" s="4">
        <v>93.25</v>
      </c>
      <c r="R23" s="4">
        <v>85.02</v>
      </c>
      <c r="S23" s="4">
        <v>82.57</v>
      </c>
      <c r="T23" s="4">
        <v>84.95</v>
      </c>
      <c r="U23" s="4">
        <v>121.41</v>
      </c>
      <c r="V23" s="4">
        <v>131.11000000000001</v>
      </c>
      <c r="W23" s="4">
        <v>163.63999999999999</v>
      </c>
      <c r="X23" s="4">
        <v>161.63</v>
      </c>
      <c r="Y23" s="4">
        <v>149.26</v>
      </c>
      <c r="Z23" s="4">
        <v>119.58</v>
      </c>
      <c r="AA23" s="4">
        <v>80.760000000000005</v>
      </c>
      <c r="AB23" s="23">
        <f t="shared" si="0"/>
        <v>1803.9099999999999</v>
      </c>
      <c r="AC23" s="24">
        <v>5</v>
      </c>
      <c r="AD23" s="86"/>
    </row>
    <row r="24" spans="2:30" x14ac:dyDescent="0.2">
      <c r="B24" s="85"/>
      <c r="C24" s="2" t="s">
        <v>63</v>
      </c>
      <c r="D24" s="4">
        <v>30.01</v>
      </c>
      <c r="E24" s="4">
        <v>17.25</v>
      </c>
      <c r="F24" s="4">
        <v>5.71</v>
      </c>
      <c r="G24" s="4">
        <v>2.0299999999999998</v>
      </c>
      <c r="H24" s="4">
        <v>1.24</v>
      </c>
      <c r="I24" s="4">
        <v>0</v>
      </c>
      <c r="J24" s="4">
        <v>13.9</v>
      </c>
      <c r="K24" s="4">
        <v>10.01</v>
      </c>
      <c r="L24" s="4">
        <v>26.78</v>
      </c>
      <c r="M24" s="4">
        <v>38.549999999999997</v>
      </c>
      <c r="N24" s="4">
        <v>53.62</v>
      </c>
      <c r="O24" s="4">
        <v>69.84</v>
      </c>
      <c r="P24" s="4">
        <v>82.01</v>
      </c>
      <c r="Q24" s="4">
        <v>74.28</v>
      </c>
      <c r="R24" s="4">
        <v>66.739999999999995</v>
      </c>
      <c r="S24" s="4">
        <v>64.58</v>
      </c>
      <c r="T24" s="4">
        <v>66.94</v>
      </c>
      <c r="U24" s="4">
        <v>103.18</v>
      </c>
      <c r="V24" s="4">
        <v>112.1</v>
      </c>
      <c r="W24" s="4">
        <v>142.04</v>
      </c>
      <c r="X24" s="4">
        <v>140.19999999999999</v>
      </c>
      <c r="Y24" s="4">
        <v>128.80000000000001</v>
      </c>
      <c r="Z24" s="4">
        <v>101.49</v>
      </c>
      <c r="AA24" s="4">
        <v>65.75</v>
      </c>
      <c r="AB24" s="23">
        <f t="shared" si="0"/>
        <v>1417.05</v>
      </c>
      <c r="AC24" s="24">
        <v>7</v>
      </c>
      <c r="AD24" s="86"/>
    </row>
    <row r="25" spans="2:30" x14ac:dyDescent="0.2">
      <c r="B25" s="85">
        <v>47665</v>
      </c>
      <c r="C25" s="2" t="s">
        <v>29</v>
      </c>
      <c r="D25" s="4">
        <v>49.29</v>
      </c>
      <c r="E25" s="4">
        <v>34.92</v>
      </c>
      <c r="F25" s="4">
        <v>21.93</v>
      </c>
      <c r="G25" s="4">
        <v>17.78</v>
      </c>
      <c r="H25" s="4">
        <v>16.89</v>
      </c>
      <c r="I25" s="4">
        <v>15.5</v>
      </c>
      <c r="J25" s="4">
        <v>31.14</v>
      </c>
      <c r="K25" s="4">
        <v>28.88</v>
      </c>
      <c r="L25" s="4">
        <v>48.02</v>
      </c>
      <c r="M25" s="4">
        <v>61.58</v>
      </c>
      <c r="N25" s="4">
        <v>78.78</v>
      </c>
      <c r="O25" s="4">
        <v>97.11</v>
      </c>
      <c r="P25" s="4">
        <v>110.73</v>
      </c>
      <c r="Q25" s="4">
        <v>101.88</v>
      </c>
      <c r="R25" s="4">
        <v>93.35</v>
      </c>
      <c r="S25" s="4">
        <v>90.75</v>
      </c>
      <c r="T25" s="4">
        <v>93.15</v>
      </c>
      <c r="U25" s="4">
        <v>129.71</v>
      </c>
      <c r="V25" s="4">
        <v>139.76</v>
      </c>
      <c r="W25" s="4">
        <v>173.47</v>
      </c>
      <c r="X25" s="4">
        <v>171.4</v>
      </c>
      <c r="Y25" s="4">
        <v>158.57</v>
      </c>
      <c r="Z25" s="4">
        <v>127.81</v>
      </c>
      <c r="AA25" s="4">
        <v>87.59</v>
      </c>
      <c r="AB25" s="23">
        <f t="shared" si="0"/>
        <v>1979.9899999999998</v>
      </c>
      <c r="AC25" s="24">
        <v>22</v>
      </c>
      <c r="AD25" s="86">
        <f>+AB25*AC25+AB26*AC26+AB27*AC27</f>
        <v>57473.81</v>
      </c>
    </row>
    <row r="26" spans="2:30" x14ac:dyDescent="0.2">
      <c r="B26" s="85"/>
      <c r="C26" s="2" t="s">
        <v>30</v>
      </c>
      <c r="D26" s="4">
        <v>43.25</v>
      </c>
      <c r="E26" s="4">
        <v>29.39</v>
      </c>
      <c r="F26" s="4">
        <v>16.86</v>
      </c>
      <c r="G26" s="4">
        <v>12.86</v>
      </c>
      <c r="H26" s="4">
        <v>12</v>
      </c>
      <c r="I26" s="4">
        <v>10.65</v>
      </c>
      <c r="J26" s="4">
        <v>25.75</v>
      </c>
      <c r="K26" s="4">
        <v>22.98</v>
      </c>
      <c r="L26" s="4">
        <v>41.37</v>
      </c>
      <c r="M26" s="4">
        <v>54.37</v>
      </c>
      <c r="N26" s="4">
        <v>70.92</v>
      </c>
      <c r="O26" s="4">
        <v>88.58</v>
      </c>
      <c r="P26" s="4">
        <v>101.75</v>
      </c>
      <c r="Q26" s="4">
        <v>93.25</v>
      </c>
      <c r="R26" s="4">
        <v>85.02</v>
      </c>
      <c r="S26" s="4">
        <v>82.57</v>
      </c>
      <c r="T26" s="4">
        <v>84.95</v>
      </c>
      <c r="U26" s="4">
        <v>121.41</v>
      </c>
      <c r="V26" s="4">
        <v>131.11000000000001</v>
      </c>
      <c r="W26" s="4">
        <v>163.63999999999999</v>
      </c>
      <c r="X26" s="4">
        <v>161.63</v>
      </c>
      <c r="Y26" s="4">
        <v>149.26</v>
      </c>
      <c r="Z26" s="4">
        <v>119.58</v>
      </c>
      <c r="AA26" s="4">
        <v>80.760000000000005</v>
      </c>
      <c r="AB26" s="23">
        <f t="shared" si="0"/>
        <v>1803.9099999999999</v>
      </c>
      <c r="AC26" s="24">
        <v>3</v>
      </c>
      <c r="AD26" s="86"/>
    </row>
    <row r="27" spans="2:30" x14ac:dyDescent="0.2">
      <c r="B27" s="85"/>
      <c r="C27" s="2" t="s">
        <v>63</v>
      </c>
      <c r="D27" s="4">
        <v>30.01</v>
      </c>
      <c r="E27" s="4">
        <v>17.25</v>
      </c>
      <c r="F27" s="4">
        <v>5.71</v>
      </c>
      <c r="G27" s="4">
        <v>2.0299999999999998</v>
      </c>
      <c r="H27" s="4">
        <v>1.24</v>
      </c>
      <c r="I27" s="4">
        <v>0</v>
      </c>
      <c r="J27" s="4">
        <v>13.9</v>
      </c>
      <c r="K27" s="4">
        <v>10.01</v>
      </c>
      <c r="L27" s="4">
        <v>26.78</v>
      </c>
      <c r="M27" s="4">
        <v>38.549999999999997</v>
      </c>
      <c r="N27" s="4">
        <v>53.62</v>
      </c>
      <c r="O27" s="4">
        <v>69.84</v>
      </c>
      <c r="P27" s="4">
        <v>82.01</v>
      </c>
      <c r="Q27" s="4">
        <v>74.28</v>
      </c>
      <c r="R27" s="4">
        <v>66.739999999999995</v>
      </c>
      <c r="S27" s="4">
        <v>64.58</v>
      </c>
      <c r="T27" s="4">
        <v>66.94</v>
      </c>
      <c r="U27" s="4">
        <v>103.18</v>
      </c>
      <c r="V27" s="4">
        <v>112.1</v>
      </c>
      <c r="W27" s="4">
        <v>142.04</v>
      </c>
      <c r="X27" s="4">
        <v>140.19999999999999</v>
      </c>
      <c r="Y27" s="4">
        <v>128.80000000000001</v>
      </c>
      <c r="Z27" s="4">
        <v>101.49</v>
      </c>
      <c r="AA27" s="4">
        <v>65.75</v>
      </c>
      <c r="AB27" s="23">
        <f t="shared" si="0"/>
        <v>1417.05</v>
      </c>
      <c r="AC27" s="24">
        <v>6</v>
      </c>
      <c r="AD27" s="86"/>
    </row>
    <row r="28" spans="2:30" x14ac:dyDescent="0.2">
      <c r="B28" s="85">
        <v>47696</v>
      </c>
      <c r="C28" s="2" t="s">
        <v>29</v>
      </c>
      <c r="D28" s="4">
        <v>49.29</v>
      </c>
      <c r="E28" s="4">
        <v>34.92</v>
      </c>
      <c r="F28" s="4">
        <v>21.93</v>
      </c>
      <c r="G28" s="4">
        <v>17.78</v>
      </c>
      <c r="H28" s="4">
        <v>16.89</v>
      </c>
      <c r="I28" s="4">
        <v>15.5</v>
      </c>
      <c r="J28" s="4">
        <v>31.14</v>
      </c>
      <c r="K28" s="4">
        <v>28.88</v>
      </c>
      <c r="L28" s="4">
        <v>48.02</v>
      </c>
      <c r="M28" s="4">
        <v>61.58</v>
      </c>
      <c r="N28" s="4">
        <v>78.78</v>
      </c>
      <c r="O28" s="4">
        <v>97.11</v>
      </c>
      <c r="P28" s="4">
        <v>110.73</v>
      </c>
      <c r="Q28" s="4">
        <v>101.88</v>
      </c>
      <c r="R28" s="4">
        <v>93.35</v>
      </c>
      <c r="S28" s="4">
        <v>90.75</v>
      </c>
      <c r="T28" s="4">
        <v>93.15</v>
      </c>
      <c r="U28" s="4">
        <v>129.71</v>
      </c>
      <c r="V28" s="4">
        <v>139.76</v>
      </c>
      <c r="W28" s="4">
        <v>173.47</v>
      </c>
      <c r="X28" s="4">
        <v>171.4</v>
      </c>
      <c r="Y28" s="4">
        <v>158.57</v>
      </c>
      <c r="Z28" s="4">
        <v>127.81</v>
      </c>
      <c r="AA28" s="4">
        <v>87.59</v>
      </c>
      <c r="AB28" s="23">
        <f t="shared" si="0"/>
        <v>1979.9899999999998</v>
      </c>
      <c r="AC28" s="24">
        <v>20</v>
      </c>
      <c r="AD28" s="86">
        <f>+AB28*AC28+AB29*AC29+AB30*AC30</f>
        <v>57121.649999999994</v>
      </c>
    </row>
    <row r="29" spans="2:30" x14ac:dyDescent="0.2">
      <c r="B29" s="85"/>
      <c r="C29" s="2" t="s">
        <v>30</v>
      </c>
      <c r="D29" s="4">
        <v>43.25</v>
      </c>
      <c r="E29" s="4">
        <v>29.39</v>
      </c>
      <c r="F29" s="4">
        <v>16.86</v>
      </c>
      <c r="G29" s="4">
        <v>12.86</v>
      </c>
      <c r="H29" s="4">
        <v>12</v>
      </c>
      <c r="I29" s="4">
        <v>10.65</v>
      </c>
      <c r="J29" s="4">
        <v>25.75</v>
      </c>
      <c r="K29" s="4">
        <v>22.98</v>
      </c>
      <c r="L29" s="4">
        <v>41.37</v>
      </c>
      <c r="M29" s="4">
        <v>54.37</v>
      </c>
      <c r="N29" s="4">
        <v>70.92</v>
      </c>
      <c r="O29" s="4">
        <v>88.58</v>
      </c>
      <c r="P29" s="4">
        <v>101.75</v>
      </c>
      <c r="Q29" s="4">
        <v>93.25</v>
      </c>
      <c r="R29" s="4">
        <v>85.02</v>
      </c>
      <c r="S29" s="4">
        <v>82.57</v>
      </c>
      <c r="T29" s="4">
        <v>84.95</v>
      </c>
      <c r="U29" s="4">
        <v>121.41</v>
      </c>
      <c r="V29" s="4">
        <v>131.11000000000001</v>
      </c>
      <c r="W29" s="4">
        <v>163.63999999999999</v>
      </c>
      <c r="X29" s="4">
        <v>161.63</v>
      </c>
      <c r="Y29" s="4">
        <v>149.26</v>
      </c>
      <c r="Z29" s="4">
        <v>119.58</v>
      </c>
      <c r="AA29" s="4">
        <v>80.760000000000005</v>
      </c>
      <c r="AB29" s="23">
        <f t="shared" si="0"/>
        <v>1803.9099999999999</v>
      </c>
      <c r="AC29" s="24">
        <v>5</v>
      </c>
      <c r="AD29" s="86"/>
    </row>
    <row r="30" spans="2:30" x14ac:dyDescent="0.2">
      <c r="B30" s="85"/>
      <c r="C30" s="2" t="s">
        <v>63</v>
      </c>
      <c r="D30" s="4">
        <v>30.01</v>
      </c>
      <c r="E30" s="4">
        <v>17.25</v>
      </c>
      <c r="F30" s="4">
        <v>5.71</v>
      </c>
      <c r="G30" s="4">
        <v>2.0299999999999998</v>
      </c>
      <c r="H30" s="4">
        <v>1.24</v>
      </c>
      <c r="I30" s="4">
        <v>0</v>
      </c>
      <c r="J30" s="4">
        <v>13.9</v>
      </c>
      <c r="K30" s="4">
        <v>10.01</v>
      </c>
      <c r="L30" s="4">
        <v>26.78</v>
      </c>
      <c r="M30" s="4">
        <v>38.549999999999997</v>
      </c>
      <c r="N30" s="4">
        <v>53.62</v>
      </c>
      <c r="O30" s="4">
        <v>69.84</v>
      </c>
      <c r="P30" s="4">
        <v>82.01</v>
      </c>
      <c r="Q30" s="4">
        <v>74.28</v>
      </c>
      <c r="R30" s="4">
        <v>66.739999999999995</v>
      </c>
      <c r="S30" s="4">
        <v>64.58</v>
      </c>
      <c r="T30" s="4">
        <v>66.94</v>
      </c>
      <c r="U30" s="4">
        <v>103.18</v>
      </c>
      <c r="V30" s="4">
        <v>112.1</v>
      </c>
      <c r="W30" s="4">
        <v>142.04</v>
      </c>
      <c r="X30" s="4">
        <v>140.19999999999999</v>
      </c>
      <c r="Y30" s="4">
        <v>128.80000000000001</v>
      </c>
      <c r="Z30" s="4">
        <v>101.49</v>
      </c>
      <c r="AA30" s="4">
        <v>65.75</v>
      </c>
      <c r="AB30" s="23">
        <f t="shared" si="0"/>
        <v>1417.05</v>
      </c>
      <c r="AC30" s="24">
        <v>6</v>
      </c>
      <c r="AD30" s="86"/>
    </row>
    <row r="31" spans="2:30" x14ac:dyDescent="0.2">
      <c r="B31" s="85">
        <v>47727</v>
      </c>
      <c r="C31" s="2" t="s">
        <v>29</v>
      </c>
      <c r="D31" s="4">
        <v>49.29</v>
      </c>
      <c r="E31" s="4">
        <v>34.92</v>
      </c>
      <c r="F31" s="4">
        <v>21.93</v>
      </c>
      <c r="G31" s="4">
        <v>17.78</v>
      </c>
      <c r="H31" s="4">
        <v>16.89</v>
      </c>
      <c r="I31" s="4">
        <v>15.5</v>
      </c>
      <c r="J31" s="4">
        <v>31.14</v>
      </c>
      <c r="K31" s="4">
        <v>28.88</v>
      </c>
      <c r="L31" s="4">
        <v>48.02</v>
      </c>
      <c r="M31" s="4">
        <v>61.58</v>
      </c>
      <c r="N31" s="4">
        <v>78.78</v>
      </c>
      <c r="O31" s="4">
        <v>97.11</v>
      </c>
      <c r="P31" s="4">
        <v>110.73</v>
      </c>
      <c r="Q31" s="4">
        <v>101.88</v>
      </c>
      <c r="R31" s="4">
        <v>93.35</v>
      </c>
      <c r="S31" s="4">
        <v>90.75</v>
      </c>
      <c r="T31" s="4">
        <v>93.15</v>
      </c>
      <c r="U31" s="4">
        <v>129.71</v>
      </c>
      <c r="V31" s="4">
        <v>139.76</v>
      </c>
      <c r="W31" s="4">
        <v>173.47</v>
      </c>
      <c r="X31" s="4">
        <v>171.4</v>
      </c>
      <c r="Y31" s="4">
        <v>158.57</v>
      </c>
      <c r="Z31" s="4">
        <v>127.81</v>
      </c>
      <c r="AA31" s="4">
        <v>87.59</v>
      </c>
      <c r="AB31" s="23">
        <f t="shared" si="0"/>
        <v>1979.9899999999998</v>
      </c>
      <c r="AC31" s="24">
        <v>21</v>
      </c>
      <c r="AD31" s="86">
        <f>+AB31*AC31+AB32*AC32+AB33*AC33</f>
        <v>55880.679999999993</v>
      </c>
    </row>
    <row r="32" spans="2:30" x14ac:dyDescent="0.2">
      <c r="B32" s="85"/>
      <c r="C32" s="2" t="s">
        <v>30</v>
      </c>
      <c r="D32" s="4">
        <v>43.25</v>
      </c>
      <c r="E32" s="4">
        <v>29.39</v>
      </c>
      <c r="F32" s="4">
        <v>16.86</v>
      </c>
      <c r="G32" s="4">
        <v>12.86</v>
      </c>
      <c r="H32" s="4">
        <v>12</v>
      </c>
      <c r="I32" s="4">
        <v>10.65</v>
      </c>
      <c r="J32" s="4">
        <v>25.75</v>
      </c>
      <c r="K32" s="4">
        <v>22.98</v>
      </c>
      <c r="L32" s="4">
        <v>41.37</v>
      </c>
      <c r="M32" s="4">
        <v>54.37</v>
      </c>
      <c r="N32" s="4">
        <v>70.92</v>
      </c>
      <c r="O32" s="4">
        <v>88.58</v>
      </c>
      <c r="P32" s="4">
        <v>101.75</v>
      </c>
      <c r="Q32" s="4">
        <v>93.25</v>
      </c>
      <c r="R32" s="4">
        <v>85.02</v>
      </c>
      <c r="S32" s="4">
        <v>82.57</v>
      </c>
      <c r="T32" s="4">
        <v>84.95</v>
      </c>
      <c r="U32" s="4">
        <v>121.41</v>
      </c>
      <c r="V32" s="4">
        <v>131.11000000000001</v>
      </c>
      <c r="W32" s="4">
        <v>163.63999999999999</v>
      </c>
      <c r="X32" s="4">
        <v>161.63</v>
      </c>
      <c r="Y32" s="4">
        <v>149.26</v>
      </c>
      <c r="Z32" s="4">
        <v>119.58</v>
      </c>
      <c r="AA32" s="4">
        <v>80.760000000000005</v>
      </c>
      <c r="AB32" s="23">
        <f t="shared" si="0"/>
        <v>1803.9099999999999</v>
      </c>
      <c r="AC32" s="24">
        <v>4</v>
      </c>
      <c r="AD32" s="86"/>
    </row>
    <row r="33" spans="2:32" x14ac:dyDescent="0.2">
      <c r="B33" s="85"/>
      <c r="C33" s="2" t="s">
        <v>63</v>
      </c>
      <c r="D33" s="4">
        <v>30.01</v>
      </c>
      <c r="E33" s="4">
        <v>17.25</v>
      </c>
      <c r="F33" s="4">
        <v>5.71</v>
      </c>
      <c r="G33" s="4">
        <v>2.0299999999999998</v>
      </c>
      <c r="H33" s="4">
        <v>1.24</v>
      </c>
      <c r="I33" s="4">
        <v>0</v>
      </c>
      <c r="J33" s="4">
        <v>13.9</v>
      </c>
      <c r="K33" s="4">
        <v>10.01</v>
      </c>
      <c r="L33" s="4">
        <v>26.78</v>
      </c>
      <c r="M33" s="4">
        <v>38.549999999999997</v>
      </c>
      <c r="N33" s="4">
        <v>53.62</v>
      </c>
      <c r="O33" s="4">
        <v>69.84</v>
      </c>
      <c r="P33" s="4">
        <v>82.01</v>
      </c>
      <c r="Q33" s="4">
        <v>74.28</v>
      </c>
      <c r="R33" s="4">
        <v>66.739999999999995</v>
      </c>
      <c r="S33" s="4">
        <v>64.58</v>
      </c>
      <c r="T33" s="4">
        <v>66.94</v>
      </c>
      <c r="U33" s="4">
        <v>103.18</v>
      </c>
      <c r="V33" s="4">
        <v>112.1</v>
      </c>
      <c r="W33" s="4">
        <v>142.04</v>
      </c>
      <c r="X33" s="4">
        <v>140.19999999999999</v>
      </c>
      <c r="Y33" s="4">
        <v>128.80000000000001</v>
      </c>
      <c r="Z33" s="4">
        <v>101.49</v>
      </c>
      <c r="AA33" s="4">
        <v>65.75</v>
      </c>
      <c r="AB33" s="23">
        <f t="shared" si="0"/>
        <v>1417.05</v>
      </c>
      <c r="AC33" s="24">
        <v>5</v>
      </c>
      <c r="AD33" s="86"/>
    </row>
    <row r="34" spans="2:32" x14ac:dyDescent="0.2">
      <c r="B34" s="85">
        <v>47757</v>
      </c>
      <c r="C34" s="2" t="s">
        <v>29</v>
      </c>
      <c r="D34" s="4">
        <v>49.29</v>
      </c>
      <c r="E34" s="4">
        <v>34.92</v>
      </c>
      <c r="F34" s="4">
        <v>21.93</v>
      </c>
      <c r="G34" s="4">
        <v>17.78</v>
      </c>
      <c r="H34" s="4">
        <v>16.89</v>
      </c>
      <c r="I34" s="4">
        <v>15.5</v>
      </c>
      <c r="J34" s="4">
        <v>31.14</v>
      </c>
      <c r="K34" s="4">
        <v>28.88</v>
      </c>
      <c r="L34" s="4">
        <v>48.02</v>
      </c>
      <c r="M34" s="4">
        <v>61.58</v>
      </c>
      <c r="N34" s="4">
        <v>78.78</v>
      </c>
      <c r="O34" s="4">
        <v>97.11</v>
      </c>
      <c r="P34" s="4">
        <v>110.73</v>
      </c>
      <c r="Q34" s="4">
        <v>101.88</v>
      </c>
      <c r="R34" s="4">
        <v>93.35</v>
      </c>
      <c r="S34" s="4">
        <v>90.75</v>
      </c>
      <c r="T34" s="4">
        <v>93.15</v>
      </c>
      <c r="U34" s="4">
        <v>129.71</v>
      </c>
      <c r="V34" s="4">
        <v>139.76</v>
      </c>
      <c r="W34" s="4">
        <v>173.47</v>
      </c>
      <c r="X34" s="4">
        <v>171.4</v>
      </c>
      <c r="Y34" s="4">
        <v>158.57</v>
      </c>
      <c r="Z34" s="4">
        <v>127.81</v>
      </c>
      <c r="AA34" s="4">
        <v>87.59</v>
      </c>
      <c r="AB34" s="23">
        <f t="shared" si="0"/>
        <v>1979.9899999999998</v>
      </c>
      <c r="AC34" s="24">
        <v>22</v>
      </c>
      <c r="AD34" s="86">
        <f>+AB34*AC34+AB35*AC35+AB36*AC36</f>
        <v>57860.67</v>
      </c>
    </row>
    <row r="35" spans="2:32" x14ac:dyDescent="0.2">
      <c r="B35" s="85"/>
      <c r="C35" s="2" t="s">
        <v>30</v>
      </c>
      <c r="D35" s="4">
        <v>43.25</v>
      </c>
      <c r="E35" s="4">
        <v>29.39</v>
      </c>
      <c r="F35" s="4">
        <v>16.86</v>
      </c>
      <c r="G35" s="4">
        <v>12.86</v>
      </c>
      <c r="H35" s="4">
        <v>12</v>
      </c>
      <c r="I35" s="4">
        <v>10.65</v>
      </c>
      <c r="J35" s="4">
        <v>25.75</v>
      </c>
      <c r="K35" s="4">
        <v>22.98</v>
      </c>
      <c r="L35" s="4">
        <v>41.37</v>
      </c>
      <c r="M35" s="4">
        <v>54.37</v>
      </c>
      <c r="N35" s="4">
        <v>70.92</v>
      </c>
      <c r="O35" s="4">
        <v>88.58</v>
      </c>
      <c r="P35" s="4">
        <v>101.75</v>
      </c>
      <c r="Q35" s="4">
        <v>93.25</v>
      </c>
      <c r="R35" s="4">
        <v>85.02</v>
      </c>
      <c r="S35" s="4">
        <v>82.57</v>
      </c>
      <c r="T35" s="4">
        <v>84.95</v>
      </c>
      <c r="U35" s="4">
        <v>121.41</v>
      </c>
      <c r="V35" s="4">
        <v>131.11000000000001</v>
      </c>
      <c r="W35" s="4">
        <v>163.63999999999999</v>
      </c>
      <c r="X35" s="4">
        <v>161.63</v>
      </c>
      <c r="Y35" s="4">
        <v>149.26</v>
      </c>
      <c r="Z35" s="4">
        <v>119.58</v>
      </c>
      <c r="AA35" s="4">
        <v>80.760000000000005</v>
      </c>
      <c r="AB35" s="23">
        <f t="shared" si="0"/>
        <v>1803.9099999999999</v>
      </c>
      <c r="AC35" s="24">
        <v>4</v>
      </c>
      <c r="AD35" s="86"/>
    </row>
    <row r="36" spans="2:32" x14ac:dyDescent="0.2">
      <c r="B36" s="85"/>
      <c r="C36" s="2" t="s">
        <v>63</v>
      </c>
      <c r="D36" s="4">
        <v>30.01</v>
      </c>
      <c r="E36" s="4">
        <v>17.25</v>
      </c>
      <c r="F36" s="4">
        <v>5.71</v>
      </c>
      <c r="G36" s="4">
        <v>2.0299999999999998</v>
      </c>
      <c r="H36" s="4">
        <v>1.24</v>
      </c>
      <c r="I36" s="4">
        <v>0</v>
      </c>
      <c r="J36" s="4">
        <v>13.9</v>
      </c>
      <c r="K36" s="4">
        <v>10.01</v>
      </c>
      <c r="L36" s="4">
        <v>26.78</v>
      </c>
      <c r="M36" s="4">
        <v>38.549999999999997</v>
      </c>
      <c r="N36" s="4">
        <v>53.62</v>
      </c>
      <c r="O36" s="4">
        <v>69.84</v>
      </c>
      <c r="P36" s="4">
        <v>82.01</v>
      </c>
      <c r="Q36" s="4">
        <v>74.28</v>
      </c>
      <c r="R36" s="4">
        <v>66.739999999999995</v>
      </c>
      <c r="S36" s="4">
        <v>64.58</v>
      </c>
      <c r="T36" s="4">
        <v>66.94</v>
      </c>
      <c r="U36" s="4">
        <v>103.18</v>
      </c>
      <c r="V36" s="4">
        <v>112.1</v>
      </c>
      <c r="W36" s="4">
        <v>142.04</v>
      </c>
      <c r="X36" s="4">
        <v>140.19999999999999</v>
      </c>
      <c r="Y36" s="4">
        <v>128.80000000000001</v>
      </c>
      <c r="Z36" s="4">
        <v>101.49</v>
      </c>
      <c r="AA36" s="4">
        <v>65.75</v>
      </c>
      <c r="AB36" s="23">
        <f t="shared" si="0"/>
        <v>1417.05</v>
      </c>
      <c r="AC36" s="24">
        <v>5</v>
      </c>
      <c r="AD36" s="86"/>
    </row>
    <row r="37" spans="2:32" x14ac:dyDescent="0.2">
      <c r="B37" s="85">
        <v>47788</v>
      </c>
      <c r="C37" s="2" t="s">
        <v>29</v>
      </c>
      <c r="D37" s="4">
        <v>49.29</v>
      </c>
      <c r="E37" s="4">
        <v>34.92</v>
      </c>
      <c r="F37" s="4">
        <v>21.93</v>
      </c>
      <c r="G37" s="4">
        <v>17.78</v>
      </c>
      <c r="H37" s="4">
        <v>16.89</v>
      </c>
      <c r="I37" s="4">
        <v>15.5</v>
      </c>
      <c r="J37" s="4">
        <v>31.14</v>
      </c>
      <c r="K37" s="4">
        <v>28.88</v>
      </c>
      <c r="L37" s="4">
        <v>48.02</v>
      </c>
      <c r="M37" s="4">
        <v>61.58</v>
      </c>
      <c r="N37" s="4">
        <v>78.78</v>
      </c>
      <c r="O37" s="4">
        <v>97.11</v>
      </c>
      <c r="P37" s="4">
        <v>110.73</v>
      </c>
      <c r="Q37" s="4">
        <v>101.88</v>
      </c>
      <c r="R37" s="4">
        <v>93.35</v>
      </c>
      <c r="S37" s="4">
        <v>90.75</v>
      </c>
      <c r="T37" s="4">
        <v>93.15</v>
      </c>
      <c r="U37" s="4">
        <v>129.71</v>
      </c>
      <c r="V37" s="4">
        <v>139.76</v>
      </c>
      <c r="W37" s="4">
        <v>173.47</v>
      </c>
      <c r="X37" s="4">
        <v>171.4</v>
      </c>
      <c r="Y37" s="4">
        <v>158.57</v>
      </c>
      <c r="Z37" s="4">
        <v>127.81</v>
      </c>
      <c r="AA37" s="4">
        <v>87.59</v>
      </c>
      <c r="AB37" s="23">
        <f t="shared" si="0"/>
        <v>1979.9899999999998</v>
      </c>
      <c r="AC37" s="24">
        <v>19</v>
      </c>
      <c r="AD37" s="86">
        <f>+AB37*AC37+AB38*AC38+AB39*AC39</f>
        <v>55141.66</v>
      </c>
    </row>
    <row r="38" spans="2:32" x14ac:dyDescent="0.2">
      <c r="B38" s="85"/>
      <c r="C38" s="2" t="s">
        <v>30</v>
      </c>
      <c r="D38" s="4">
        <v>43.25</v>
      </c>
      <c r="E38" s="4">
        <v>29.39</v>
      </c>
      <c r="F38" s="4">
        <v>16.86</v>
      </c>
      <c r="G38" s="4">
        <v>12.86</v>
      </c>
      <c r="H38" s="4">
        <v>12</v>
      </c>
      <c r="I38" s="4">
        <v>10.65</v>
      </c>
      <c r="J38" s="4">
        <v>25.75</v>
      </c>
      <c r="K38" s="4">
        <v>22.98</v>
      </c>
      <c r="L38" s="4">
        <v>41.37</v>
      </c>
      <c r="M38" s="4">
        <v>54.37</v>
      </c>
      <c r="N38" s="4">
        <v>70.92</v>
      </c>
      <c r="O38" s="4">
        <v>88.58</v>
      </c>
      <c r="P38" s="4">
        <v>101.75</v>
      </c>
      <c r="Q38" s="4">
        <v>93.25</v>
      </c>
      <c r="R38" s="4">
        <v>85.02</v>
      </c>
      <c r="S38" s="4">
        <v>82.57</v>
      </c>
      <c r="T38" s="4">
        <v>84.95</v>
      </c>
      <c r="U38" s="4">
        <v>121.41</v>
      </c>
      <c r="V38" s="4">
        <v>131.11000000000001</v>
      </c>
      <c r="W38" s="4">
        <v>163.63999999999999</v>
      </c>
      <c r="X38" s="4">
        <v>161.63</v>
      </c>
      <c r="Y38" s="4">
        <v>149.26</v>
      </c>
      <c r="Z38" s="4">
        <v>119.58</v>
      </c>
      <c r="AA38" s="4">
        <v>80.760000000000005</v>
      </c>
      <c r="AB38" s="23">
        <f t="shared" si="0"/>
        <v>1803.9099999999999</v>
      </c>
      <c r="AC38" s="24">
        <v>5</v>
      </c>
      <c r="AD38" s="86"/>
    </row>
    <row r="39" spans="2:32" x14ac:dyDescent="0.2">
      <c r="B39" s="85"/>
      <c r="C39" s="2" t="s">
        <v>63</v>
      </c>
      <c r="D39" s="4">
        <v>30.01</v>
      </c>
      <c r="E39" s="4">
        <v>17.25</v>
      </c>
      <c r="F39" s="4">
        <v>5.71</v>
      </c>
      <c r="G39" s="4">
        <v>2.0299999999999998</v>
      </c>
      <c r="H39" s="4">
        <v>1.24</v>
      </c>
      <c r="I39" s="4">
        <v>0</v>
      </c>
      <c r="J39" s="4">
        <v>13.9</v>
      </c>
      <c r="K39" s="4">
        <v>10.01</v>
      </c>
      <c r="L39" s="4">
        <v>26.78</v>
      </c>
      <c r="M39" s="4">
        <v>38.549999999999997</v>
      </c>
      <c r="N39" s="4">
        <v>53.62</v>
      </c>
      <c r="O39" s="4">
        <v>69.84</v>
      </c>
      <c r="P39" s="4">
        <v>82.01</v>
      </c>
      <c r="Q39" s="4">
        <v>74.28</v>
      </c>
      <c r="R39" s="4">
        <v>66.739999999999995</v>
      </c>
      <c r="S39" s="4">
        <v>64.58</v>
      </c>
      <c r="T39" s="4">
        <v>66.94</v>
      </c>
      <c r="U39" s="4">
        <v>103.18</v>
      </c>
      <c r="V39" s="4">
        <v>112.1</v>
      </c>
      <c r="W39" s="4">
        <v>142.04</v>
      </c>
      <c r="X39" s="4">
        <v>140.19999999999999</v>
      </c>
      <c r="Y39" s="4">
        <v>128.80000000000001</v>
      </c>
      <c r="Z39" s="4">
        <v>101.49</v>
      </c>
      <c r="AA39" s="4">
        <v>65.75</v>
      </c>
      <c r="AB39" s="23">
        <f t="shared" si="0"/>
        <v>1417.05</v>
      </c>
      <c r="AC39" s="24">
        <v>6</v>
      </c>
      <c r="AD39" s="86"/>
    </row>
    <row r="40" spans="2:32" x14ac:dyDescent="0.2">
      <c r="B40" s="85">
        <v>47818</v>
      </c>
      <c r="C40" s="2" t="s">
        <v>29</v>
      </c>
      <c r="D40" s="4">
        <v>49.29</v>
      </c>
      <c r="E40" s="4">
        <v>34.92</v>
      </c>
      <c r="F40" s="4">
        <v>21.93</v>
      </c>
      <c r="G40" s="4">
        <v>17.78</v>
      </c>
      <c r="H40" s="4">
        <v>16.89</v>
      </c>
      <c r="I40" s="4">
        <v>15.5</v>
      </c>
      <c r="J40" s="4">
        <v>31.14</v>
      </c>
      <c r="K40" s="4">
        <v>28.88</v>
      </c>
      <c r="L40" s="4">
        <v>48.02</v>
      </c>
      <c r="M40" s="4">
        <v>61.58</v>
      </c>
      <c r="N40" s="4">
        <v>78.78</v>
      </c>
      <c r="O40" s="4">
        <v>97.11</v>
      </c>
      <c r="P40" s="4">
        <v>110.73</v>
      </c>
      <c r="Q40" s="4">
        <v>101.88</v>
      </c>
      <c r="R40" s="4">
        <v>93.35</v>
      </c>
      <c r="S40" s="4">
        <v>90.75</v>
      </c>
      <c r="T40" s="4">
        <v>93.15</v>
      </c>
      <c r="U40" s="4">
        <v>129.71</v>
      </c>
      <c r="V40" s="4">
        <v>139.76</v>
      </c>
      <c r="W40" s="4">
        <v>173.47</v>
      </c>
      <c r="X40" s="4">
        <v>171.4</v>
      </c>
      <c r="Y40" s="4">
        <v>158.57</v>
      </c>
      <c r="Z40" s="4">
        <v>127.81</v>
      </c>
      <c r="AA40" s="4">
        <v>87.59</v>
      </c>
      <c r="AB40" s="23">
        <f t="shared" si="0"/>
        <v>1979.9899999999998</v>
      </c>
      <c r="AC40" s="24">
        <v>21</v>
      </c>
      <c r="AD40" s="86">
        <f>+AB40*AC40+AB41*AC41+AB42*AC42</f>
        <v>57297.729999999996</v>
      </c>
    </row>
    <row r="41" spans="2:32" x14ac:dyDescent="0.2">
      <c r="B41" s="85"/>
      <c r="C41" s="2" t="s">
        <v>30</v>
      </c>
      <c r="D41" s="4">
        <v>43.25</v>
      </c>
      <c r="E41" s="4">
        <v>29.39</v>
      </c>
      <c r="F41" s="4">
        <v>16.86</v>
      </c>
      <c r="G41" s="4">
        <v>12.86</v>
      </c>
      <c r="H41" s="4">
        <v>12</v>
      </c>
      <c r="I41" s="4">
        <v>10.65</v>
      </c>
      <c r="J41" s="4">
        <v>25.75</v>
      </c>
      <c r="K41" s="4">
        <v>22.98</v>
      </c>
      <c r="L41" s="4">
        <v>41.37</v>
      </c>
      <c r="M41" s="4">
        <v>54.37</v>
      </c>
      <c r="N41" s="4">
        <v>70.92</v>
      </c>
      <c r="O41" s="4">
        <v>88.58</v>
      </c>
      <c r="P41" s="4">
        <v>101.75</v>
      </c>
      <c r="Q41" s="4">
        <v>93.25</v>
      </c>
      <c r="R41" s="4">
        <v>85.02</v>
      </c>
      <c r="S41" s="4">
        <v>82.57</v>
      </c>
      <c r="T41" s="4">
        <v>84.95</v>
      </c>
      <c r="U41" s="4">
        <v>121.41</v>
      </c>
      <c r="V41" s="4">
        <v>131.11000000000001</v>
      </c>
      <c r="W41" s="4">
        <v>163.63999999999999</v>
      </c>
      <c r="X41" s="4">
        <v>161.63</v>
      </c>
      <c r="Y41" s="4">
        <v>149.26</v>
      </c>
      <c r="Z41" s="4">
        <v>119.58</v>
      </c>
      <c r="AA41" s="4">
        <v>80.760000000000005</v>
      </c>
      <c r="AB41" s="23">
        <f t="shared" si="0"/>
        <v>1803.9099999999999</v>
      </c>
      <c r="AC41" s="24">
        <v>4</v>
      </c>
      <c r="AD41" s="86"/>
    </row>
    <row r="42" spans="2:32" x14ac:dyDescent="0.2">
      <c r="B42" s="85"/>
      <c r="C42" s="2" t="s">
        <v>63</v>
      </c>
      <c r="D42" s="4">
        <v>30.01</v>
      </c>
      <c r="E42" s="4">
        <v>17.25</v>
      </c>
      <c r="F42" s="4">
        <v>5.71</v>
      </c>
      <c r="G42" s="4">
        <v>2.0299999999999998</v>
      </c>
      <c r="H42" s="4">
        <v>1.24</v>
      </c>
      <c r="I42" s="4">
        <v>0</v>
      </c>
      <c r="J42" s="4">
        <v>13.9</v>
      </c>
      <c r="K42" s="4">
        <v>10.01</v>
      </c>
      <c r="L42" s="4">
        <v>26.78</v>
      </c>
      <c r="M42" s="4">
        <v>38.549999999999997</v>
      </c>
      <c r="N42" s="4">
        <v>53.62</v>
      </c>
      <c r="O42" s="4">
        <v>69.84</v>
      </c>
      <c r="P42" s="4">
        <v>82.01</v>
      </c>
      <c r="Q42" s="4">
        <v>74.28</v>
      </c>
      <c r="R42" s="4">
        <v>66.739999999999995</v>
      </c>
      <c r="S42" s="4">
        <v>64.58</v>
      </c>
      <c r="T42" s="4">
        <v>66.94</v>
      </c>
      <c r="U42" s="4">
        <v>103.18</v>
      </c>
      <c r="V42" s="4">
        <v>112.1</v>
      </c>
      <c r="W42" s="4">
        <v>142.04</v>
      </c>
      <c r="X42" s="4">
        <v>140.19999999999999</v>
      </c>
      <c r="Y42" s="4">
        <v>128.80000000000001</v>
      </c>
      <c r="Z42" s="4">
        <v>101.49</v>
      </c>
      <c r="AA42" s="4">
        <v>65.75</v>
      </c>
      <c r="AB42" s="23">
        <f t="shared" si="0"/>
        <v>1417.05</v>
      </c>
      <c r="AC42" s="24">
        <v>6</v>
      </c>
      <c r="AD42" s="86"/>
    </row>
    <row r="43" spans="2:32" ht="15.75" x14ac:dyDescent="0.25">
      <c r="AA43" s="87" t="s">
        <v>31</v>
      </c>
      <c r="AB43" s="88"/>
      <c r="AC43" s="89"/>
      <c r="AD43" s="25">
        <f>SUM(AD7:AD42)</f>
        <v>675436.35</v>
      </c>
      <c r="AE43" s="71"/>
      <c r="AF43" s="72"/>
    </row>
  </sheetData>
  <mergeCells count="25">
    <mergeCell ref="AA43:AC43"/>
    <mergeCell ref="B34:B36"/>
    <mergeCell ref="AD34:AD36"/>
    <mergeCell ref="B37:B39"/>
    <mergeCell ref="AD37:AD39"/>
    <mergeCell ref="B40:B42"/>
    <mergeCell ref="AD40:AD42"/>
    <mergeCell ref="B25:B27"/>
    <mergeCell ref="AD25:AD27"/>
    <mergeCell ref="B28:B30"/>
    <mergeCell ref="AD28:AD30"/>
    <mergeCell ref="B31:B33"/>
    <mergeCell ref="AD31:AD33"/>
    <mergeCell ref="B16:B18"/>
    <mergeCell ref="AD16:AD18"/>
    <mergeCell ref="B19:B21"/>
    <mergeCell ref="AD19:AD21"/>
    <mergeCell ref="B22:B24"/>
    <mergeCell ref="AD22:AD24"/>
    <mergeCell ref="B7:B9"/>
    <mergeCell ref="AD7:AD9"/>
    <mergeCell ref="B10:B12"/>
    <mergeCell ref="AD10:AD12"/>
    <mergeCell ref="B13:B15"/>
    <mergeCell ref="AD13:AD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CC34-37D6-46DB-AD75-8E88F1B72F2D}">
  <sheetPr>
    <tabColor theme="7" tint="0.39997558519241921"/>
  </sheetPr>
  <dimension ref="B2:M23"/>
  <sheetViews>
    <sheetView zoomScale="80" zoomScaleNormal="80" workbookViewId="0"/>
  </sheetViews>
  <sheetFormatPr baseColWidth="10" defaultColWidth="10.88671875" defaultRowHeight="15" x14ac:dyDescent="0.2"/>
  <cols>
    <col min="1" max="1" width="5.33203125" style="30" customWidth="1"/>
    <col min="2" max="2" width="10.88671875" style="30"/>
    <col min="3" max="4" width="12.109375" style="30" customWidth="1"/>
    <col min="5" max="5" width="12.88671875" style="30" customWidth="1"/>
    <col min="6" max="6" width="13.109375" style="30" customWidth="1"/>
    <col min="7" max="7" width="8.109375" style="30" customWidth="1"/>
    <col min="8" max="8" width="13" style="30" customWidth="1"/>
    <col min="9" max="16384" width="10.88671875" style="30"/>
  </cols>
  <sheetData>
    <row r="2" spans="2:8" x14ac:dyDescent="0.2">
      <c r="B2" s="59"/>
      <c r="C2" s="60"/>
      <c r="D2" s="60"/>
      <c r="E2" s="60"/>
      <c r="F2" s="60"/>
      <c r="G2" s="60"/>
      <c r="H2" s="61"/>
    </row>
    <row r="3" spans="2:8" ht="18" x14ac:dyDescent="0.2">
      <c r="B3" s="62"/>
      <c r="C3" s="48" t="s">
        <v>32</v>
      </c>
      <c r="H3" s="63"/>
    </row>
    <row r="4" spans="2:8" ht="18" x14ac:dyDescent="0.2">
      <c r="B4" s="62"/>
      <c r="C4" s="48" t="s">
        <v>33</v>
      </c>
      <c r="H4" s="63"/>
    </row>
    <row r="5" spans="2:8" ht="18" x14ac:dyDescent="0.2">
      <c r="B5" s="62"/>
      <c r="C5" s="48" t="s">
        <v>62</v>
      </c>
      <c r="H5" s="63"/>
    </row>
    <row r="6" spans="2:8" ht="18" x14ac:dyDescent="0.2">
      <c r="B6" s="62"/>
      <c r="C6" s="48"/>
      <c r="H6" s="63"/>
    </row>
    <row r="7" spans="2:8" ht="18" x14ac:dyDescent="0.2">
      <c r="B7" s="62"/>
      <c r="C7" s="48" t="s">
        <v>54</v>
      </c>
      <c r="H7" s="63"/>
    </row>
    <row r="8" spans="2:8" x14ac:dyDescent="0.2">
      <c r="B8" s="62"/>
      <c r="H8" s="63"/>
    </row>
    <row r="9" spans="2:8" ht="18" x14ac:dyDescent="0.2">
      <c r="B9" s="62"/>
      <c r="C9" s="13" t="s">
        <v>80</v>
      </c>
      <c r="H9" s="63"/>
    </row>
    <row r="10" spans="2:8" x14ac:dyDescent="0.2">
      <c r="B10" s="62"/>
      <c r="H10" s="63"/>
    </row>
    <row r="11" spans="2:8" ht="15.75" x14ac:dyDescent="0.2">
      <c r="B11" s="62"/>
      <c r="C11" s="32"/>
      <c r="H11" s="64"/>
    </row>
    <row r="12" spans="2:8" ht="45" x14ac:dyDescent="0.2">
      <c r="B12" s="62"/>
      <c r="C12" s="34" t="s">
        <v>46</v>
      </c>
      <c r="D12" s="34" t="s">
        <v>34</v>
      </c>
      <c r="E12" s="6" t="s">
        <v>91</v>
      </c>
      <c r="F12" s="34" t="s">
        <v>57</v>
      </c>
      <c r="G12" s="51"/>
      <c r="H12" s="64"/>
    </row>
    <row r="13" spans="2:8" ht="15.75" x14ac:dyDescent="0.2">
      <c r="B13" s="62"/>
      <c r="C13" s="33">
        <v>2030</v>
      </c>
      <c r="D13" s="53">
        <f>P8_Anexo_1_2030!AD43</f>
        <v>675436.35</v>
      </c>
      <c r="E13" s="36"/>
      <c r="F13" s="36"/>
      <c r="G13" s="38"/>
      <c r="H13" s="64"/>
    </row>
    <row r="14" spans="2:8" ht="15.75" x14ac:dyDescent="0.2">
      <c r="B14" s="62"/>
      <c r="C14" s="65" t="s">
        <v>35</v>
      </c>
      <c r="D14" s="56">
        <f>SUM(D13:D13)</f>
        <v>675436.35</v>
      </c>
      <c r="H14" s="64"/>
    </row>
    <row r="15" spans="2:8" ht="15.75" x14ac:dyDescent="0.2">
      <c r="B15" s="62"/>
      <c r="H15" s="64"/>
    </row>
    <row r="16" spans="2:8" x14ac:dyDescent="0.2">
      <c r="B16" s="62"/>
      <c r="H16" s="63"/>
    </row>
    <row r="17" spans="2:13" x14ac:dyDescent="0.2">
      <c r="B17" s="62"/>
      <c r="C17" s="41" t="s">
        <v>36</v>
      </c>
      <c r="H17" s="63"/>
      <c r="M17" s="31"/>
    </row>
    <row r="18" spans="2:13" x14ac:dyDescent="0.2">
      <c r="B18" s="62"/>
      <c r="C18" s="41" t="s">
        <v>58</v>
      </c>
      <c r="H18" s="63"/>
    </row>
    <row r="19" spans="2:13" x14ac:dyDescent="0.2">
      <c r="B19" s="62"/>
      <c r="C19" s="41" t="s">
        <v>94</v>
      </c>
      <c r="H19" s="63"/>
    </row>
    <row r="20" spans="2:13" x14ac:dyDescent="0.2">
      <c r="B20" s="62"/>
      <c r="C20" s="41" t="s">
        <v>37</v>
      </c>
      <c r="H20" s="63"/>
    </row>
    <row r="21" spans="2:13" x14ac:dyDescent="0.2">
      <c r="B21" s="62"/>
      <c r="C21" s="41" t="s">
        <v>38</v>
      </c>
      <c r="H21" s="63"/>
    </row>
    <row r="22" spans="2:13" x14ac:dyDescent="0.2">
      <c r="B22" s="62"/>
      <c r="C22" s="41"/>
      <c r="H22" s="63"/>
    </row>
    <row r="23" spans="2:13" x14ac:dyDescent="0.2">
      <c r="B23" s="66"/>
      <c r="C23" s="67"/>
      <c r="D23" s="67"/>
      <c r="E23" s="67"/>
      <c r="F23" s="67"/>
      <c r="G23" s="67"/>
      <c r="H23" s="68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B588-EED1-492D-9805-69C3107FBD4F}">
  <sheetPr>
    <tabColor theme="9" tint="0.39997558519241921"/>
  </sheetPr>
  <dimension ref="B2:AF43"/>
  <sheetViews>
    <sheetView showGridLines="0" zoomScale="60" zoomScaleNormal="60" workbookViewId="0">
      <selection activeCell="D1" sqref="D1:AA1048576"/>
    </sheetView>
  </sheetViews>
  <sheetFormatPr baseColWidth="10" defaultRowHeight="15" x14ac:dyDescent="0.2"/>
  <cols>
    <col min="1" max="1" width="2.5546875" customWidth="1"/>
    <col min="3" max="3" width="11.5546875" customWidth="1"/>
    <col min="4" max="27" width="7.6640625" bestFit="1" customWidth="1"/>
    <col min="28" max="28" width="7.109375" bestFit="1" customWidth="1"/>
  </cols>
  <sheetData>
    <row r="2" spans="2:30" ht="23.25" x14ac:dyDescent="0.35">
      <c r="B2" s="1" t="s">
        <v>55</v>
      </c>
    </row>
    <row r="3" spans="2:30" ht="23.25" x14ac:dyDescent="0.35">
      <c r="B3" s="1" t="s">
        <v>82</v>
      </c>
    </row>
    <row r="4" spans="2:30" ht="23.25" x14ac:dyDescent="0.35">
      <c r="B4" s="1"/>
    </row>
    <row r="5" spans="2:30" ht="23.25" x14ac:dyDescent="0.35">
      <c r="B5" s="1" t="s">
        <v>83</v>
      </c>
    </row>
    <row r="6" spans="2:30" x14ac:dyDescent="0.2">
      <c r="B6" s="22" t="s">
        <v>0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  <c r="J6" s="22" t="s">
        <v>8</v>
      </c>
      <c r="K6" s="22" t="s">
        <v>9</v>
      </c>
      <c r="L6" s="22" t="s">
        <v>10</v>
      </c>
      <c r="M6" s="22" t="s">
        <v>11</v>
      </c>
      <c r="N6" s="22" t="s">
        <v>12</v>
      </c>
      <c r="O6" s="22" t="s">
        <v>13</v>
      </c>
      <c r="P6" s="22" t="s">
        <v>14</v>
      </c>
      <c r="Q6" s="22" t="s">
        <v>15</v>
      </c>
      <c r="R6" s="22" t="s">
        <v>16</v>
      </c>
      <c r="S6" s="22" t="s">
        <v>17</v>
      </c>
      <c r="T6" s="22" t="s">
        <v>18</v>
      </c>
      <c r="U6" s="22" t="s">
        <v>19</v>
      </c>
      <c r="V6" s="22" t="s">
        <v>20</v>
      </c>
      <c r="W6" s="22" t="s">
        <v>21</v>
      </c>
      <c r="X6" s="22" t="s">
        <v>22</v>
      </c>
      <c r="Y6" s="22" t="s">
        <v>23</v>
      </c>
      <c r="Z6" s="22" t="s">
        <v>24</v>
      </c>
      <c r="AA6" s="22" t="s">
        <v>25</v>
      </c>
      <c r="AB6" s="22" t="s">
        <v>26</v>
      </c>
      <c r="AC6" s="22" t="s">
        <v>27</v>
      </c>
      <c r="AD6" s="22" t="s">
        <v>28</v>
      </c>
    </row>
    <row r="7" spans="2:30" x14ac:dyDescent="0.2">
      <c r="B7" s="85">
        <v>47849</v>
      </c>
      <c r="C7" s="2" t="s">
        <v>29</v>
      </c>
      <c r="D7" s="4">
        <v>51.45</v>
      </c>
      <c r="E7" s="4">
        <v>51.45</v>
      </c>
      <c r="F7" s="4">
        <v>51.45</v>
      </c>
      <c r="G7" s="4">
        <v>51.45</v>
      </c>
      <c r="H7" s="4">
        <v>51.45</v>
      </c>
      <c r="I7" s="4">
        <v>51.45</v>
      </c>
      <c r="J7" s="4">
        <v>51.45</v>
      </c>
      <c r="K7" s="4">
        <v>51.45</v>
      </c>
      <c r="L7" s="4">
        <v>51.45</v>
      </c>
      <c r="M7" s="4">
        <v>51.45</v>
      </c>
      <c r="N7" s="4">
        <v>51.45</v>
      </c>
      <c r="O7" s="4">
        <v>51.45</v>
      </c>
      <c r="P7" s="4">
        <v>51.45</v>
      </c>
      <c r="Q7" s="4">
        <v>51.45</v>
      </c>
      <c r="R7" s="4">
        <v>51.45</v>
      </c>
      <c r="S7" s="4">
        <v>51.45</v>
      </c>
      <c r="T7" s="4">
        <v>51.45</v>
      </c>
      <c r="U7" s="4">
        <v>51.45</v>
      </c>
      <c r="V7" s="4">
        <v>51.45</v>
      </c>
      <c r="W7" s="4">
        <v>51.45</v>
      </c>
      <c r="X7" s="4">
        <v>51.45</v>
      </c>
      <c r="Y7" s="4">
        <v>51.45</v>
      </c>
      <c r="Z7" s="4">
        <v>51.45</v>
      </c>
      <c r="AA7" s="4">
        <v>51.45</v>
      </c>
      <c r="AB7" s="23">
        <f>SUM(D7:AA7)</f>
        <v>1234.8000000000006</v>
      </c>
      <c r="AC7" s="24">
        <v>21</v>
      </c>
      <c r="AD7" s="86">
        <f>+AB7*AC7+AB8*AC8+AB9*AC9</f>
        <v>38278.800000000017</v>
      </c>
    </row>
    <row r="8" spans="2:30" x14ac:dyDescent="0.2">
      <c r="B8" s="85"/>
      <c r="C8" s="2" t="s">
        <v>30</v>
      </c>
      <c r="D8" s="4">
        <v>51.45</v>
      </c>
      <c r="E8" s="4">
        <v>51.45</v>
      </c>
      <c r="F8" s="4">
        <v>51.45</v>
      </c>
      <c r="G8" s="4">
        <v>51.45</v>
      </c>
      <c r="H8" s="4">
        <v>51.45</v>
      </c>
      <c r="I8" s="4">
        <v>51.45</v>
      </c>
      <c r="J8" s="4">
        <v>51.45</v>
      </c>
      <c r="K8" s="4">
        <v>51.45</v>
      </c>
      <c r="L8" s="4">
        <v>51.45</v>
      </c>
      <c r="M8" s="4">
        <v>51.45</v>
      </c>
      <c r="N8" s="4">
        <v>51.45</v>
      </c>
      <c r="O8" s="4">
        <v>51.45</v>
      </c>
      <c r="P8" s="4">
        <v>51.45</v>
      </c>
      <c r="Q8" s="4">
        <v>51.45</v>
      </c>
      <c r="R8" s="4">
        <v>51.45</v>
      </c>
      <c r="S8" s="4">
        <v>51.45</v>
      </c>
      <c r="T8" s="4">
        <v>51.45</v>
      </c>
      <c r="U8" s="4">
        <v>51.45</v>
      </c>
      <c r="V8" s="4">
        <v>51.45</v>
      </c>
      <c r="W8" s="4">
        <v>51.45</v>
      </c>
      <c r="X8" s="4">
        <v>51.45</v>
      </c>
      <c r="Y8" s="4">
        <v>51.45</v>
      </c>
      <c r="Z8" s="4">
        <v>51.45</v>
      </c>
      <c r="AA8" s="4">
        <v>51.45</v>
      </c>
      <c r="AB8" s="23">
        <f t="shared" ref="AB8:AB42" si="0">SUM(D8:AA8)</f>
        <v>1234.8000000000006</v>
      </c>
      <c r="AC8" s="24">
        <v>4</v>
      </c>
      <c r="AD8" s="86"/>
    </row>
    <row r="9" spans="2:30" x14ac:dyDescent="0.2">
      <c r="B9" s="85"/>
      <c r="C9" s="2" t="s">
        <v>63</v>
      </c>
      <c r="D9" s="4">
        <v>51.45</v>
      </c>
      <c r="E9" s="4">
        <v>51.45</v>
      </c>
      <c r="F9" s="4">
        <v>51.45</v>
      </c>
      <c r="G9" s="4">
        <v>51.45</v>
      </c>
      <c r="H9" s="4">
        <v>51.45</v>
      </c>
      <c r="I9" s="4">
        <v>51.45</v>
      </c>
      <c r="J9" s="4">
        <v>51.45</v>
      </c>
      <c r="K9" s="4">
        <v>51.45</v>
      </c>
      <c r="L9" s="4">
        <v>51.45</v>
      </c>
      <c r="M9" s="4">
        <v>51.45</v>
      </c>
      <c r="N9" s="4">
        <v>51.45</v>
      </c>
      <c r="O9" s="4">
        <v>51.45</v>
      </c>
      <c r="P9" s="4">
        <v>51.45</v>
      </c>
      <c r="Q9" s="4">
        <v>51.45</v>
      </c>
      <c r="R9" s="4">
        <v>51.45</v>
      </c>
      <c r="S9" s="4">
        <v>51.45</v>
      </c>
      <c r="T9" s="4">
        <v>51.45</v>
      </c>
      <c r="U9" s="4">
        <v>51.45</v>
      </c>
      <c r="V9" s="4">
        <v>51.45</v>
      </c>
      <c r="W9" s="4">
        <v>51.45</v>
      </c>
      <c r="X9" s="4">
        <v>51.45</v>
      </c>
      <c r="Y9" s="4">
        <v>51.45</v>
      </c>
      <c r="Z9" s="4">
        <v>51.45</v>
      </c>
      <c r="AA9" s="4">
        <v>51.45</v>
      </c>
      <c r="AB9" s="23">
        <f t="shared" si="0"/>
        <v>1234.8000000000006</v>
      </c>
      <c r="AC9" s="24">
        <v>6</v>
      </c>
      <c r="AD9" s="86"/>
    </row>
    <row r="10" spans="2:30" x14ac:dyDescent="0.2">
      <c r="B10" s="85">
        <v>47880</v>
      </c>
      <c r="C10" s="2" t="s">
        <v>29</v>
      </c>
      <c r="D10" s="4">
        <v>51.45</v>
      </c>
      <c r="E10" s="4">
        <v>51.45</v>
      </c>
      <c r="F10" s="4">
        <v>51.45</v>
      </c>
      <c r="G10" s="4">
        <v>51.45</v>
      </c>
      <c r="H10" s="4">
        <v>51.45</v>
      </c>
      <c r="I10" s="4">
        <v>51.45</v>
      </c>
      <c r="J10" s="4">
        <v>51.45</v>
      </c>
      <c r="K10" s="4">
        <v>51.45</v>
      </c>
      <c r="L10" s="4">
        <v>51.45</v>
      </c>
      <c r="M10" s="4">
        <v>51.45</v>
      </c>
      <c r="N10" s="4">
        <v>51.45</v>
      </c>
      <c r="O10" s="4">
        <v>51.45</v>
      </c>
      <c r="P10" s="4">
        <v>51.45</v>
      </c>
      <c r="Q10" s="4">
        <v>51.45</v>
      </c>
      <c r="R10" s="4">
        <v>51.45</v>
      </c>
      <c r="S10" s="4">
        <v>51.45</v>
      </c>
      <c r="T10" s="4">
        <v>51.45</v>
      </c>
      <c r="U10" s="4">
        <v>51.45</v>
      </c>
      <c r="V10" s="4">
        <v>51.45</v>
      </c>
      <c r="W10" s="4">
        <v>51.45</v>
      </c>
      <c r="X10" s="4">
        <v>51.45</v>
      </c>
      <c r="Y10" s="4">
        <v>51.45</v>
      </c>
      <c r="Z10" s="4">
        <v>51.45</v>
      </c>
      <c r="AA10" s="4">
        <v>51.45</v>
      </c>
      <c r="AB10" s="23">
        <f t="shared" si="0"/>
        <v>1234.8000000000006</v>
      </c>
      <c r="AC10" s="24">
        <v>20</v>
      </c>
      <c r="AD10" s="86">
        <f>+AB10*AC10+AB11*AC11+AB12*AC12</f>
        <v>34574.400000000023</v>
      </c>
    </row>
    <row r="11" spans="2:30" x14ac:dyDescent="0.2">
      <c r="B11" s="85"/>
      <c r="C11" s="2" t="s">
        <v>30</v>
      </c>
      <c r="D11" s="4">
        <v>51.45</v>
      </c>
      <c r="E11" s="4">
        <v>51.45</v>
      </c>
      <c r="F11" s="4">
        <v>51.45</v>
      </c>
      <c r="G11" s="4">
        <v>51.45</v>
      </c>
      <c r="H11" s="4">
        <v>51.45</v>
      </c>
      <c r="I11" s="4">
        <v>51.45</v>
      </c>
      <c r="J11" s="4">
        <v>51.45</v>
      </c>
      <c r="K11" s="4">
        <v>51.45</v>
      </c>
      <c r="L11" s="4">
        <v>51.45</v>
      </c>
      <c r="M11" s="4">
        <v>51.45</v>
      </c>
      <c r="N11" s="4">
        <v>51.45</v>
      </c>
      <c r="O11" s="4">
        <v>51.45</v>
      </c>
      <c r="P11" s="4">
        <v>51.45</v>
      </c>
      <c r="Q11" s="4">
        <v>51.45</v>
      </c>
      <c r="R11" s="4">
        <v>51.45</v>
      </c>
      <c r="S11" s="4">
        <v>51.45</v>
      </c>
      <c r="T11" s="4">
        <v>51.45</v>
      </c>
      <c r="U11" s="4">
        <v>51.45</v>
      </c>
      <c r="V11" s="4">
        <v>51.45</v>
      </c>
      <c r="W11" s="4">
        <v>51.45</v>
      </c>
      <c r="X11" s="4">
        <v>51.45</v>
      </c>
      <c r="Y11" s="4">
        <v>51.45</v>
      </c>
      <c r="Z11" s="4">
        <v>51.45</v>
      </c>
      <c r="AA11" s="4">
        <v>51.45</v>
      </c>
      <c r="AB11" s="23">
        <f t="shared" si="0"/>
        <v>1234.8000000000006</v>
      </c>
      <c r="AC11" s="24">
        <v>4</v>
      </c>
      <c r="AD11" s="86"/>
    </row>
    <row r="12" spans="2:30" x14ac:dyDescent="0.2">
      <c r="B12" s="85"/>
      <c r="C12" s="2" t="s">
        <v>63</v>
      </c>
      <c r="D12" s="4">
        <v>51.45</v>
      </c>
      <c r="E12" s="4">
        <v>51.45</v>
      </c>
      <c r="F12" s="4">
        <v>51.45</v>
      </c>
      <c r="G12" s="4">
        <v>51.45</v>
      </c>
      <c r="H12" s="4">
        <v>51.45</v>
      </c>
      <c r="I12" s="4">
        <v>51.45</v>
      </c>
      <c r="J12" s="4">
        <v>51.45</v>
      </c>
      <c r="K12" s="4">
        <v>51.45</v>
      </c>
      <c r="L12" s="4">
        <v>51.45</v>
      </c>
      <c r="M12" s="4">
        <v>51.45</v>
      </c>
      <c r="N12" s="4">
        <v>51.45</v>
      </c>
      <c r="O12" s="4">
        <v>51.45</v>
      </c>
      <c r="P12" s="4">
        <v>51.45</v>
      </c>
      <c r="Q12" s="4">
        <v>51.45</v>
      </c>
      <c r="R12" s="4">
        <v>51.45</v>
      </c>
      <c r="S12" s="4">
        <v>51.45</v>
      </c>
      <c r="T12" s="4">
        <v>51.45</v>
      </c>
      <c r="U12" s="4">
        <v>51.45</v>
      </c>
      <c r="V12" s="4">
        <v>51.45</v>
      </c>
      <c r="W12" s="4">
        <v>51.45</v>
      </c>
      <c r="X12" s="4">
        <v>51.45</v>
      </c>
      <c r="Y12" s="4">
        <v>51.45</v>
      </c>
      <c r="Z12" s="4">
        <v>51.45</v>
      </c>
      <c r="AA12" s="4">
        <v>51.45</v>
      </c>
      <c r="AB12" s="23">
        <f t="shared" si="0"/>
        <v>1234.8000000000006</v>
      </c>
      <c r="AC12" s="24">
        <v>4</v>
      </c>
      <c r="AD12" s="86"/>
    </row>
    <row r="13" spans="2:30" x14ac:dyDescent="0.2">
      <c r="B13" s="85">
        <v>47908</v>
      </c>
      <c r="C13" s="2" t="s">
        <v>29</v>
      </c>
      <c r="D13" s="4">
        <v>51.45</v>
      </c>
      <c r="E13" s="4">
        <v>51.45</v>
      </c>
      <c r="F13" s="4">
        <v>51.45</v>
      </c>
      <c r="G13" s="4">
        <v>51.45</v>
      </c>
      <c r="H13" s="4">
        <v>51.45</v>
      </c>
      <c r="I13" s="4">
        <v>51.45</v>
      </c>
      <c r="J13" s="4">
        <v>51.45</v>
      </c>
      <c r="K13" s="4">
        <v>51.45</v>
      </c>
      <c r="L13" s="4">
        <v>51.45</v>
      </c>
      <c r="M13" s="4">
        <v>51.45</v>
      </c>
      <c r="N13" s="4">
        <v>51.45</v>
      </c>
      <c r="O13" s="4">
        <v>51.45</v>
      </c>
      <c r="P13" s="4">
        <v>51.45</v>
      </c>
      <c r="Q13" s="4">
        <v>51.45</v>
      </c>
      <c r="R13" s="4">
        <v>51.45</v>
      </c>
      <c r="S13" s="4">
        <v>51.45</v>
      </c>
      <c r="T13" s="4">
        <v>51.45</v>
      </c>
      <c r="U13" s="4">
        <v>51.45</v>
      </c>
      <c r="V13" s="4">
        <v>51.45</v>
      </c>
      <c r="W13" s="4">
        <v>51.45</v>
      </c>
      <c r="X13" s="4">
        <v>51.45</v>
      </c>
      <c r="Y13" s="4">
        <v>51.45</v>
      </c>
      <c r="Z13" s="4">
        <v>51.45</v>
      </c>
      <c r="AA13" s="4">
        <v>51.45</v>
      </c>
      <c r="AB13" s="23">
        <f t="shared" si="0"/>
        <v>1234.8000000000006</v>
      </c>
      <c r="AC13" s="24">
        <v>20</v>
      </c>
      <c r="AD13" s="86">
        <f>+AB13*AC13+AB14*AC14+AB15*AC15</f>
        <v>38278.800000000025</v>
      </c>
    </row>
    <row r="14" spans="2:30" x14ac:dyDescent="0.2">
      <c r="B14" s="85"/>
      <c r="C14" s="2" t="s">
        <v>30</v>
      </c>
      <c r="D14" s="4">
        <v>51.45</v>
      </c>
      <c r="E14" s="4">
        <v>51.45</v>
      </c>
      <c r="F14" s="4">
        <v>51.45</v>
      </c>
      <c r="G14" s="4">
        <v>51.45</v>
      </c>
      <c r="H14" s="4">
        <v>51.45</v>
      </c>
      <c r="I14" s="4">
        <v>51.45</v>
      </c>
      <c r="J14" s="4">
        <v>51.45</v>
      </c>
      <c r="K14" s="4">
        <v>51.45</v>
      </c>
      <c r="L14" s="4">
        <v>51.45</v>
      </c>
      <c r="M14" s="4">
        <v>51.45</v>
      </c>
      <c r="N14" s="4">
        <v>51.45</v>
      </c>
      <c r="O14" s="4">
        <v>51.45</v>
      </c>
      <c r="P14" s="4">
        <v>51.45</v>
      </c>
      <c r="Q14" s="4">
        <v>51.45</v>
      </c>
      <c r="R14" s="4">
        <v>51.45</v>
      </c>
      <c r="S14" s="4">
        <v>51.45</v>
      </c>
      <c r="T14" s="4">
        <v>51.45</v>
      </c>
      <c r="U14" s="4">
        <v>51.45</v>
      </c>
      <c r="V14" s="4">
        <v>51.45</v>
      </c>
      <c r="W14" s="4">
        <v>51.45</v>
      </c>
      <c r="X14" s="4">
        <v>51.45</v>
      </c>
      <c r="Y14" s="4">
        <v>51.45</v>
      </c>
      <c r="Z14" s="4">
        <v>51.45</v>
      </c>
      <c r="AA14" s="4">
        <v>51.45</v>
      </c>
      <c r="AB14" s="23">
        <f t="shared" si="0"/>
        <v>1234.8000000000006</v>
      </c>
      <c r="AC14" s="24">
        <v>5</v>
      </c>
      <c r="AD14" s="86"/>
    </row>
    <row r="15" spans="2:30" x14ac:dyDescent="0.2">
      <c r="B15" s="85"/>
      <c r="C15" s="2" t="s">
        <v>63</v>
      </c>
      <c r="D15" s="4">
        <v>51.45</v>
      </c>
      <c r="E15" s="4">
        <v>51.45</v>
      </c>
      <c r="F15" s="4">
        <v>51.45</v>
      </c>
      <c r="G15" s="4">
        <v>51.45</v>
      </c>
      <c r="H15" s="4">
        <v>51.45</v>
      </c>
      <c r="I15" s="4">
        <v>51.45</v>
      </c>
      <c r="J15" s="4">
        <v>51.45</v>
      </c>
      <c r="K15" s="4">
        <v>51.45</v>
      </c>
      <c r="L15" s="4">
        <v>51.45</v>
      </c>
      <c r="M15" s="4">
        <v>51.45</v>
      </c>
      <c r="N15" s="4">
        <v>51.45</v>
      </c>
      <c r="O15" s="4">
        <v>51.45</v>
      </c>
      <c r="P15" s="4">
        <v>51.45</v>
      </c>
      <c r="Q15" s="4">
        <v>51.45</v>
      </c>
      <c r="R15" s="4">
        <v>51.45</v>
      </c>
      <c r="S15" s="4">
        <v>51.45</v>
      </c>
      <c r="T15" s="4">
        <v>51.45</v>
      </c>
      <c r="U15" s="4">
        <v>51.45</v>
      </c>
      <c r="V15" s="4">
        <v>51.45</v>
      </c>
      <c r="W15" s="4">
        <v>51.45</v>
      </c>
      <c r="X15" s="4">
        <v>51.45</v>
      </c>
      <c r="Y15" s="4">
        <v>51.45</v>
      </c>
      <c r="Z15" s="4">
        <v>51.45</v>
      </c>
      <c r="AA15" s="4">
        <v>51.45</v>
      </c>
      <c r="AB15" s="23">
        <f t="shared" si="0"/>
        <v>1234.8000000000006</v>
      </c>
      <c r="AC15" s="24">
        <v>6</v>
      </c>
      <c r="AD15" s="86"/>
    </row>
    <row r="16" spans="2:30" x14ac:dyDescent="0.2">
      <c r="B16" s="85">
        <v>47939</v>
      </c>
      <c r="C16" s="2" t="s">
        <v>29</v>
      </c>
      <c r="D16" s="4">
        <v>51.45</v>
      </c>
      <c r="E16" s="4">
        <v>51.45</v>
      </c>
      <c r="F16" s="4">
        <v>51.45</v>
      </c>
      <c r="G16" s="4">
        <v>51.45</v>
      </c>
      <c r="H16" s="4">
        <v>51.45</v>
      </c>
      <c r="I16" s="4">
        <v>51.45</v>
      </c>
      <c r="J16" s="4">
        <v>51.45</v>
      </c>
      <c r="K16" s="4">
        <v>51.45</v>
      </c>
      <c r="L16" s="4">
        <v>51.45</v>
      </c>
      <c r="M16" s="4">
        <v>51.45</v>
      </c>
      <c r="N16" s="4">
        <v>51.45</v>
      </c>
      <c r="O16" s="4">
        <v>51.45</v>
      </c>
      <c r="P16" s="4">
        <v>51.45</v>
      </c>
      <c r="Q16" s="4">
        <v>51.45</v>
      </c>
      <c r="R16" s="4">
        <v>51.45</v>
      </c>
      <c r="S16" s="4">
        <v>51.45</v>
      </c>
      <c r="T16" s="4">
        <v>51.45</v>
      </c>
      <c r="U16" s="4">
        <v>51.45</v>
      </c>
      <c r="V16" s="4">
        <v>51.45</v>
      </c>
      <c r="W16" s="4">
        <v>51.45</v>
      </c>
      <c r="X16" s="4">
        <v>51.45</v>
      </c>
      <c r="Y16" s="4">
        <v>51.45</v>
      </c>
      <c r="Z16" s="4">
        <v>51.45</v>
      </c>
      <c r="AA16" s="4">
        <v>51.45</v>
      </c>
      <c r="AB16" s="23">
        <f t="shared" si="0"/>
        <v>1234.8000000000006</v>
      </c>
      <c r="AC16" s="24">
        <v>20</v>
      </c>
      <c r="AD16" s="86">
        <f>+AB16*AC16+AB17*AC17+AB18*AC18</f>
        <v>37044.000000000022</v>
      </c>
    </row>
    <row r="17" spans="2:30" x14ac:dyDescent="0.2">
      <c r="B17" s="85"/>
      <c r="C17" s="2" t="s">
        <v>30</v>
      </c>
      <c r="D17" s="4">
        <v>51.45</v>
      </c>
      <c r="E17" s="4">
        <v>51.45</v>
      </c>
      <c r="F17" s="4">
        <v>51.45</v>
      </c>
      <c r="G17" s="4">
        <v>51.45</v>
      </c>
      <c r="H17" s="4">
        <v>51.45</v>
      </c>
      <c r="I17" s="4">
        <v>51.45</v>
      </c>
      <c r="J17" s="4">
        <v>51.45</v>
      </c>
      <c r="K17" s="4">
        <v>51.45</v>
      </c>
      <c r="L17" s="4">
        <v>51.45</v>
      </c>
      <c r="M17" s="4">
        <v>51.45</v>
      </c>
      <c r="N17" s="4">
        <v>51.45</v>
      </c>
      <c r="O17" s="4">
        <v>51.45</v>
      </c>
      <c r="P17" s="4">
        <v>51.45</v>
      </c>
      <c r="Q17" s="4">
        <v>51.45</v>
      </c>
      <c r="R17" s="4">
        <v>51.45</v>
      </c>
      <c r="S17" s="4">
        <v>51.45</v>
      </c>
      <c r="T17" s="4">
        <v>51.45</v>
      </c>
      <c r="U17" s="4">
        <v>51.45</v>
      </c>
      <c r="V17" s="4">
        <v>51.45</v>
      </c>
      <c r="W17" s="4">
        <v>51.45</v>
      </c>
      <c r="X17" s="4">
        <v>51.45</v>
      </c>
      <c r="Y17" s="4">
        <v>51.45</v>
      </c>
      <c r="Z17" s="4">
        <v>51.45</v>
      </c>
      <c r="AA17" s="4">
        <v>51.45</v>
      </c>
      <c r="AB17" s="23">
        <f t="shared" si="0"/>
        <v>1234.8000000000006</v>
      </c>
      <c r="AC17" s="24">
        <v>4</v>
      </c>
      <c r="AD17" s="86"/>
    </row>
    <row r="18" spans="2:30" x14ac:dyDescent="0.2">
      <c r="B18" s="85"/>
      <c r="C18" s="2" t="s">
        <v>63</v>
      </c>
      <c r="D18" s="4">
        <v>51.45</v>
      </c>
      <c r="E18" s="4">
        <v>51.45</v>
      </c>
      <c r="F18" s="4">
        <v>51.45</v>
      </c>
      <c r="G18" s="4">
        <v>51.45</v>
      </c>
      <c r="H18" s="4">
        <v>51.45</v>
      </c>
      <c r="I18" s="4">
        <v>51.45</v>
      </c>
      <c r="J18" s="4">
        <v>51.45</v>
      </c>
      <c r="K18" s="4">
        <v>51.45</v>
      </c>
      <c r="L18" s="4">
        <v>51.45</v>
      </c>
      <c r="M18" s="4">
        <v>51.45</v>
      </c>
      <c r="N18" s="4">
        <v>51.45</v>
      </c>
      <c r="O18" s="4">
        <v>51.45</v>
      </c>
      <c r="P18" s="4">
        <v>51.45</v>
      </c>
      <c r="Q18" s="4">
        <v>51.45</v>
      </c>
      <c r="R18" s="4">
        <v>51.45</v>
      </c>
      <c r="S18" s="4">
        <v>51.45</v>
      </c>
      <c r="T18" s="4">
        <v>51.45</v>
      </c>
      <c r="U18" s="4">
        <v>51.45</v>
      </c>
      <c r="V18" s="4">
        <v>51.45</v>
      </c>
      <c r="W18" s="4">
        <v>51.45</v>
      </c>
      <c r="X18" s="4">
        <v>51.45</v>
      </c>
      <c r="Y18" s="4">
        <v>51.45</v>
      </c>
      <c r="Z18" s="4">
        <v>51.45</v>
      </c>
      <c r="AA18" s="4">
        <v>51.45</v>
      </c>
      <c r="AB18" s="23">
        <f t="shared" si="0"/>
        <v>1234.8000000000006</v>
      </c>
      <c r="AC18" s="24">
        <v>6</v>
      </c>
      <c r="AD18" s="86"/>
    </row>
    <row r="19" spans="2:30" x14ac:dyDescent="0.2">
      <c r="B19" s="85">
        <v>47969</v>
      </c>
      <c r="C19" s="2" t="s">
        <v>29</v>
      </c>
      <c r="D19" s="4">
        <v>51.45</v>
      </c>
      <c r="E19" s="4">
        <v>51.45</v>
      </c>
      <c r="F19" s="4">
        <v>51.45</v>
      </c>
      <c r="G19" s="4">
        <v>51.45</v>
      </c>
      <c r="H19" s="4">
        <v>51.45</v>
      </c>
      <c r="I19" s="4">
        <v>51.45</v>
      </c>
      <c r="J19" s="4">
        <v>51.45</v>
      </c>
      <c r="K19" s="4">
        <v>51.45</v>
      </c>
      <c r="L19" s="4">
        <v>51.45</v>
      </c>
      <c r="M19" s="4">
        <v>51.45</v>
      </c>
      <c r="N19" s="4">
        <v>51.45</v>
      </c>
      <c r="O19" s="4">
        <v>51.45</v>
      </c>
      <c r="P19" s="4">
        <v>51.45</v>
      </c>
      <c r="Q19" s="4">
        <v>51.45</v>
      </c>
      <c r="R19" s="4">
        <v>51.45</v>
      </c>
      <c r="S19" s="4">
        <v>51.45</v>
      </c>
      <c r="T19" s="4">
        <v>51.45</v>
      </c>
      <c r="U19" s="4">
        <v>51.45</v>
      </c>
      <c r="V19" s="4">
        <v>51.45</v>
      </c>
      <c r="W19" s="4">
        <v>51.45</v>
      </c>
      <c r="X19" s="4">
        <v>51.45</v>
      </c>
      <c r="Y19" s="4">
        <v>51.45</v>
      </c>
      <c r="Z19" s="4">
        <v>51.45</v>
      </c>
      <c r="AA19" s="4">
        <v>51.45</v>
      </c>
      <c r="AB19" s="23">
        <f t="shared" si="0"/>
        <v>1234.8000000000006</v>
      </c>
      <c r="AC19" s="24">
        <v>20</v>
      </c>
      <c r="AD19" s="86">
        <f>+AB19*AC19+AB20*AC20+AB21*AC21</f>
        <v>38278.800000000025</v>
      </c>
    </row>
    <row r="20" spans="2:30" x14ac:dyDescent="0.2">
      <c r="B20" s="85"/>
      <c r="C20" s="2" t="s">
        <v>30</v>
      </c>
      <c r="D20" s="4">
        <v>51.45</v>
      </c>
      <c r="E20" s="4">
        <v>51.45</v>
      </c>
      <c r="F20" s="4">
        <v>51.45</v>
      </c>
      <c r="G20" s="4">
        <v>51.45</v>
      </c>
      <c r="H20" s="4">
        <v>51.45</v>
      </c>
      <c r="I20" s="4">
        <v>51.45</v>
      </c>
      <c r="J20" s="4">
        <v>51.45</v>
      </c>
      <c r="K20" s="4">
        <v>51.45</v>
      </c>
      <c r="L20" s="4">
        <v>51.45</v>
      </c>
      <c r="M20" s="4">
        <v>51.45</v>
      </c>
      <c r="N20" s="4">
        <v>51.45</v>
      </c>
      <c r="O20" s="4">
        <v>51.45</v>
      </c>
      <c r="P20" s="4">
        <v>51.45</v>
      </c>
      <c r="Q20" s="4">
        <v>51.45</v>
      </c>
      <c r="R20" s="4">
        <v>51.45</v>
      </c>
      <c r="S20" s="4">
        <v>51.45</v>
      </c>
      <c r="T20" s="4">
        <v>51.45</v>
      </c>
      <c r="U20" s="4">
        <v>51.45</v>
      </c>
      <c r="V20" s="4">
        <v>51.45</v>
      </c>
      <c r="W20" s="4">
        <v>51.45</v>
      </c>
      <c r="X20" s="4">
        <v>51.45</v>
      </c>
      <c r="Y20" s="4">
        <v>51.45</v>
      </c>
      <c r="Z20" s="4">
        <v>51.45</v>
      </c>
      <c r="AA20" s="4">
        <v>51.45</v>
      </c>
      <c r="AB20" s="23">
        <f t="shared" si="0"/>
        <v>1234.8000000000006</v>
      </c>
      <c r="AC20" s="24">
        <v>5</v>
      </c>
      <c r="AD20" s="86"/>
    </row>
    <row r="21" spans="2:30" x14ac:dyDescent="0.2">
      <c r="B21" s="85"/>
      <c r="C21" s="2" t="s">
        <v>63</v>
      </c>
      <c r="D21" s="4">
        <v>51.45</v>
      </c>
      <c r="E21" s="4">
        <v>51.45</v>
      </c>
      <c r="F21" s="4">
        <v>51.45</v>
      </c>
      <c r="G21" s="4">
        <v>51.45</v>
      </c>
      <c r="H21" s="4">
        <v>51.45</v>
      </c>
      <c r="I21" s="4">
        <v>51.45</v>
      </c>
      <c r="J21" s="4">
        <v>51.45</v>
      </c>
      <c r="K21" s="4">
        <v>51.45</v>
      </c>
      <c r="L21" s="4">
        <v>51.45</v>
      </c>
      <c r="M21" s="4">
        <v>51.45</v>
      </c>
      <c r="N21" s="4">
        <v>51.45</v>
      </c>
      <c r="O21" s="4">
        <v>51.45</v>
      </c>
      <c r="P21" s="4">
        <v>51.45</v>
      </c>
      <c r="Q21" s="4">
        <v>51.45</v>
      </c>
      <c r="R21" s="4">
        <v>51.45</v>
      </c>
      <c r="S21" s="4">
        <v>51.45</v>
      </c>
      <c r="T21" s="4">
        <v>51.45</v>
      </c>
      <c r="U21" s="4">
        <v>51.45</v>
      </c>
      <c r="V21" s="4">
        <v>51.45</v>
      </c>
      <c r="W21" s="4">
        <v>51.45</v>
      </c>
      <c r="X21" s="4">
        <v>51.45</v>
      </c>
      <c r="Y21" s="4">
        <v>51.45</v>
      </c>
      <c r="Z21" s="4">
        <v>51.45</v>
      </c>
      <c r="AA21" s="4">
        <v>51.45</v>
      </c>
      <c r="AB21" s="23">
        <f t="shared" si="0"/>
        <v>1234.8000000000006</v>
      </c>
      <c r="AC21" s="24">
        <v>6</v>
      </c>
      <c r="AD21" s="86"/>
    </row>
    <row r="22" spans="2:30" x14ac:dyDescent="0.2">
      <c r="B22" s="85">
        <v>48000</v>
      </c>
      <c r="C22" s="2" t="s">
        <v>29</v>
      </c>
      <c r="D22" s="4">
        <v>51.45</v>
      </c>
      <c r="E22" s="4">
        <v>51.45</v>
      </c>
      <c r="F22" s="4">
        <v>51.45</v>
      </c>
      <c r="G22" s="4">
        <v>51.45</v>
      </c>
      <c r="H22" s="4">
        <v>51.45</v>
      </c>
      <c r="I22" s="4">
        <v>51.45</v>
      </c>
      <c r="J22" s="4">
        <v>51.45</v>
      </c>
      <c r="K22" s="4">
        <v>51.45</v>
      </c>
      <c r="L22" s="4">
        <v>51.45</v>
      </c>
      <c r="M22" s="4">
        <v>51.45</v>
      </c>
      <c r="N22" s="4">
        <v>51.45</v>
      </c>
      <c r="O22" s="4">
        <v>51.45</v>
      </c>
      <c r="P22" s="4">
        <v>51.45</v>
      </c>
      <c r="Q22" s="4">
        <v>51.45</v>
      </c>
      <c r="R22" s="4">
        <v>51.45</v>
      </c>
      <c r="S22" s="4">
        <v>51.45</v>
      </c>
      <c r="T22" s="4">
        <v>51.45</v>
      </c>
      <c r="U22" s="4">
        <v>51.45</v>
      </c>
      <c r="V22" s="4">
        <v>51.45</v>
      </c>
      <c r="W22" s="4">
        <v>51.45</v>
      </c>
      <c r="X22" s="4">
        <v>51.45</v>
      </c>
      <c r="Y22" s="4">
        <v>51.45</v>
      </c>
      <c r="Z22" s="4">
        <v>51.45</v>
      </c>
      <c r="AA22" s="4">
        <v>51.45</v>
      </c>
      <c r="AB22" s="23">
        <f t="shared" si="0"/>
        <v>1234.8000000000006</v>
      </c>
      <c r="AC22" s="24">
        <v>18</v>
      </c>
      <c r="AD22" s="86">
        <f>+AB22*AC22+AB23*AC23+AB24*AC24</f>
        <v>37044.000000000015</v>
      </c>
    </row>
    <row r="23" spans="2:30" x14ac:dyDescent="0.2">
      <c r="B23" s="85"/>
      <c r="C23" s="2" t="s">
        <v>30</v>
      </c>
      <c r="D23" s="4">
        <v>51.45</v>
      </c>
      <c r="E23" s="4">
        <v>51.45</v>
      </c>
      <c r="F23" s="4">
        <v>51.45</v>
      </c>
      <c r="G23" s="4">
        <v>51.45</v>
      </c>
      <c r="H23" s="4">
        <v>51.45</v>
      </c>
      <c r="I23" s="4">
        <v>51.45</v>
      </c>
      <c r="J23" s="4">
        <v>51.45</v>
      </c>
      <c r="K23" s="4">
        <v>51.45</v>
      </c>
      <c r="L23" s="4">
        <v>51.45</v>
      </c>
      <c r="M23" s="4">
        <v>51.45</v>
      </c>
      <c r="N23" s="4">
        <v>51.45</v>
      </c>
      <c r="O23" s="4">
        <v>51.45</v>
      </c>
      <c r="P23" s="4">
        <v>51.45</v>
      </c>
      <c r="Q23" s="4">
        <v>51.45</v>
      </c>
      <c r="R23" s="4">
        <v>51.45</v>
      </c>
      <c r="S23" s="4">
        <v>51.45</v>
      </c>
      <c r="T23" s="4">
        <v>51.45</v>
      </c>
      <c r="U23" s="4">
        <v>51.45</v>
      </c>
      <c r="V23" s="4">
        <v>51.45</v>
      </c>
      <c r="W23" s="4">
        <v>51.45</v>
      </c>
      <c r="X23" s="4">
        <v>51.45</v>
      </c>
      <c r="Y23" s="4">
        <v>51.45</v>
      </c>
      <c r="Z23" s="4">
        <v>51.45</v>
      </c>
      <c r="AA23" s="4">
        <v>51.45</v>
      </c>
      <c r="AB23" s="23">
        <f t="shared" si="0"/>
        <v>1234.8000000000006</v>
      </c>
      <c r="AC23" s="24">
        <v>4</v>
      </c>
      <c r="AD23" s="86"/>
    </row>
    <row r="24" spans="2:30" x14ac:dyDescent="0.2">
      <c r="B24" s="85"/>
      <c r="C24" s="2" t="s">
        <v>63</v>
      </c>
      <c r="D24" s="4">
        <v>51.45</v>
      </c>
      <c r="E24" s="4">
        <v>51.45</v>
      </c>
      <c r="F24" s="4">
        <v>51.45</v>
      </c>
      <c r="G24" s="4">
        <v>51.45</v>
      </c>
      <c r="H24" s="4">
        <v>51.45</v>
      </c>
      <c r="I24" s="4">
        <v>51.45</v>
      </c>
      <c r="J24" s="4">
        <v>51.45</v>
      </c>
      <c r="K24" s="4">
        <v>51.45</v>
      </c>
      <c r="L24" s="4">
        <v>51.45</v>
      </c>
      <c r="M24" s="4">
        <v>51.45</v>
      </c>
      <c r="N24" s="4">
        <v>51.45</v>
      </c>
      <c r="O24" s="4">
        <v>51.45</v>
      </c>
      <c r="P24" s="4">
        <v>51.45</v>
      </c>
      <c r="Q24" s="4">
        <v>51.45</v>
      </c>
      <c r="R24" s="4">
        <v>51.45</v>
      </c>
      <c r="S24" s="4">
        <v>51.45</v>
      </c>
      <c r="T24" s="4">
        <v>51.45</v>
      </c>
      <c r="U24" s="4">
        <v>51.45</v>
      </c>
      <c r="V24" s="4">
        <v>51.45</v>
      </c>
      <c r="W24" s="4">
        <v>51.45</v>
      </c>
      <c r="X24" s="4">
        <v>51.45</v>
      </c>
      <c r="Y24" s="4">
        <v>51.45</v>
      </c>
      <c r="Z24" s="4">
        <v>51.45</v>
      </c>
      <c r="AA24" s="4">
        <v>51.45</v>
      </c>
      <c r="AB24" s="23">
        <f t="shared" si="0"/>
        <v>1234.8000000000006</v>
      </c>
      <c r="AC24" s="24">
        <v>8</v>
      </c>
      <c r="AD24" s="86"/>
    </row>
    <row r="25" spans="2:30" x14ac:dyDescent="0.2">
      <c r="B25" s="85">
        <v>48030</v>
      </c>
      <c r="C25" s="2" t="s">
        <v>29</v>
      </c>
      <c r="D25" s="4">
        <v>51.45</v>
      </c>
      <c r="E25" s="4">
        <v>51.45</v>
      </c>
      <c r="F25" s="4">
        <v>51.45</v>
      </c>
      <c r="G25" s="4">
        <v>51.45</v>
      </c>
      <c r="H25" s="4">
        <v>51.45</v>
      </c>
      <c r="I25" s="4">
        <v>51.45</v>
      </c>
      <c r="J25" s="4">
        <v>51.45</v>
      </c>
      <c r="K25" s="4">
        <v>51.45</v>
      </c>
      <c r="L25" s="4">
        <v>51.45</v>
      </c>
      <c r="M25" s="4">
        <v>51.45</v>
      </c>
      <c r="N25" s="4">
        <v>51.45</v>
      </c>
      <c r="O25" s="4">
        <v>51.45</v>
      </c>
      <c r="P25" s="4">
        <v>51.45</v>
      </c>
      <c r="Q25" s="4">
        <v>51.45</v>
      </c>
      <c r="R25" s="4">
        <v>51.45</v>
      </c>
      <c r="S25" s="4">
        <v>51.45</v>
      </c>
      <c r="T25" s="4">
        <v>51.45</v>
      </c>
      <c r="U25" s="4">
        <v>51.45</v>
      </c>
      <c r="V25" s="4">
        <v>51.45</v>
      </c>
      <c r="W25" s="4">
        <v>51.45</v>
      </c>
      <c r="X25" s="4">
        <v>51.45</v>
      </c>
      <c r="Y25" s="4">
        <v>51.45</v>
      </c>
      <c r="Z25" s="4">
        <v>51.45</v>
      </c>
      <c r="AA25" s="4">
        <v>51.45</v>
      </c>
      <c r="AB25" s="23">
        <f t="shared" si="0"/>
        <v>1234.8000000000006</v>
      </c>
      <c r="AC25" s="24">
        <v>23</v>
      </c>
      <c r="AD25" s="86">
        <f>+AB25*AC25+AB26*AC26+AB27*AC27</f>
        <v>38278.800000000025</v>
      </c>
    </row>
    <row r="26" spans="2:30" x14ac:dyDescent="0.2">
      <c r="B26" s="85"/>
      <c r="C26" s="2" t="s">
        <v>30</v>
      </c>
      <c r="D26" s="4">
        <v>51.45</v>
      </c>
      <c r="E26" s="4">
        <v>51.45</v>
      </c>
      <c r="F26" s="4">
        <v>51.45</v>
      </c>
      <c r="G26" s="4">
        <v>51.45</v>
      </c>
      <c r="H26" s="4">
        <v>51.45</v>
      </c>
      <c r="I26" s="4">
        <v>51.45</v>
      </c>
      <c r="J26" s="4">
        <v>51.45</v>
      </c>
      <c r="K26" s="4">
        <v>51.45</v>
      </c>
      <c r="L26" s="4">
        <v>51.45</v>
      </c>
      <c r="M26" s="4">
        <v>51.45</v>
      </c>
      <c r="N26" s="4">
        <v>51.45</v>
      </c>
      <c r="O26" s="4">
        <v>51.45</v>
      </c>
      <c r="P26" s="4">
        <v>51.45</v>
      </c>
      <c r="Q26" s="4">
        <v>51.45</v>
      </c>
      <c r="R26" s="4">
        <v>51.45</v>
      </c>
      <c r="S26" s="4">
        <v>51.45</v>
      </c>
      <c r="T26" s="4">
        <v>51.45</v>
      </c>
      <c r="U26" s="4">
        <v>51.45</v>
      </c>
      <c r="V26" s="4">
        <v>51.45</v>
      </c>
      <c r="W26" s="4">
        <v>51.45</v>
      </c>
      <c r="X26" s="4">
        <v>51.45</v>
      </c>
      <c r="Y26" s="4">
        <v>51.45</v>
      </c>
      <c r="Z26" s="4">
        <v>51.45</v>
      </c>
      <c r="AA26" s="4">
        <v>51.45</v>
      </c>
      <c r="AB26" s="23">
        <f t="shared" si="0"/>
        <v>1234.8000000000006</v>
      </c>
      <c r="AC26" s="24">
        <v>4</v>
      </c>
      <c r="AD26" s="86"/>
    </row>
    <row r="27" spans="2:30" x14ac:dyDescent="0.2">
      <c r="B27" s="85"/>
      <c r="C27" s="2" t="s">
        <v>63</v>
      </c>
      <c r="D27" s="4">
        <v>51.45</v>
      </c>
      <c r="E27" s="4">
        <v>51.45</v>
      </c>
      <c r="F27" s="4">
        <v>51.45</v>
      </c>
      <c r="G27" s="4">
        <v>51.45</v>
      </c>
      <c r="H27" s="4">
        <v>51.45</v>
      </c>
      <c r="I27" s="4">
        <v>51.45</v>
      </c>
      <c r="J27" s="4">
        <v>51.45</v>
      </c>
      <c r="K27" s="4">
        <v>51.45</v>
      </c>
      <c r="L27" s="4">
        <v>51.45</v>
      </c>
      <c r="M27" s="4">
        <v>51.45</v>
      </c>
      <c r="N27" s="4">
        <v>51.45</v>
      </c>
      <c r="O27" s="4">
        <v>51.45</v>
      </c>
      <c r="P27" s="4">
        <v>51.45</v>
      </c>
      <c r="Q27" s="4">
        <v>51.45</v>
      </c>
      <c r="R27" s="4">
        <v>51.45</v>
      </c>
      <c r="S27" s="4">
        <v>51.45</v>
      </c>
      <c r="T27" s="4">
        <v>51.45</v>
      </c>
      <c r="U27" s="4">
        <v>51.45</v>
      </c>
      <c r="V27" s="4">
        <v>51.45</v>
      </c>
      <c r="W27" s="4">
        <v>51.45</v>
      </c>
      <c r="X27" s="4">
        <v>51.45</v>
      </c>
      <c r="Y27" s="4">
        <v>51.45</v>
      </c>
      <c r="Z27" s="4">
        <v>51.45</v>
      </c>
      <c r="AA27" s="4">
        <v>51.45</v>
      </c>
      <c r="AB27" s="23">
        <f t="shared" si="0"/>
        <v>1234.8000000000006</v>
      </c>
      <c r="AC27" s="24">
        <v>4</v>
      </c>
      <c r="AD27" s="86"/>
    </row>
    <row r="28" spans="2:30" x14ac:dyDescent="0.2">
      <c r="B28" s="85">
        <v>48061</v>
      </c>
      <c r="C28" s="2" t="s">
        <v>29</v>
      </c>
      <c r="D28" s="4">
        <v>51.45</v>
      </c>
      <c r="E28" s="4">
        <v>51.45</v>
      </c>
      <c r="F28" s="4">
        <v>51.45</v>
      </c>
      <c r="G28" s="4">
        <v>51.45</v>
      </c>
      <c r="H28" s="4">
        <v>51.45</v>
      </c>
      <c r="I28" s="4">
        <v>51.45</v>
      </c>
      <c r="J28" s="4">
        <v>51.45</v>
      </c>
      <c r="K28" s="4">
        <v>51.45</v>
      </c>
      <c r="L28" s="4">
        <v>51.45</v>
      </c>
      <c r="M28" s="4">
        <v>51.45</v>
      </c>
      <c r="N28" s="4">
        <v>51.45</v>
      </c>
      <c r="O28" s="4">
        <v>51.45</v>
      </c>
      <c r="P28" s="4">
        <v>51.45</v>
      </c>
      <c r="Q28" s="4">
        <v>51.45</v>
      </c>
      <c r="R28" s="4">
        <v>51.45</v>
      </c>
      <c r="S28" s="4">
        <v>51.45</v>
      </c>
      <c r="T28" s="4">
        <v>51.45</v>
      </c>
      <c r="U28" s="4">
        <v>51.45</v>
      </c>
      <c r="V28" s="4">
        <v>51.45</v>
      </c>
      <c r="W28" s="4">
        <v>51.45</v>
      </c>
      <c r="X28" s="4">
        <v>51.45</v>
      </c>
      <c r="Y28" s="4">
        <v>51.45</v>
      </c>
      <c r="Z28" s="4">
        <v>51.45</v>
      </c>
      <c r="AA28" s="4">
        <v>51.45</v>
      </c>
      <c r="AB28" s="23">
        <f t="shared" si="0"/>
        <v>1234.8000000000006</v>
      </c>
      <c r="AC28" s="24">
        <v>19</v>
      </c>
      <c r="AD28" s="86">
        <f>+AB28*AC28+AB29*AC29+AB30*AC30</f>
        <v>38278.800000000017</v>
      </c>
    </row>
    <row r="29" spans="2:30" x14ac:dyDescent="0.2">
      <c r="B29" s="85"/>
      <c r="C29" s="2" t="s">
        <v>30</v>
      </c>
      <c r="D29" s="4">
        <v>51.45</v>
      </c>
      <c r="E29" s="4">
        <v>51.45</v>
      </c>
      <c r="F29" s="4">
        <v>51.45</v>
      </c>
      <c r="G29" s="4">
        <v>51.45</v>
      </c>
      <c r="H29" s="4">
        <v>51.45</v>
      </c>
      <c r="I29" s="4">
        <v>51.45</v>
      </c>
      <c r="J29" s="4">
        <v>51.45</v>
      </c>
      <c r="K29" s="4">
        <v>51.45</v>
      </c>
      <c r="L29" s="4">
        <v>51.45</v>
      </c>
      <c r="M29" s="4">
        <v>51.45</v>
      </c>
      <c r="N29" s="4">
        <v>51.45</v>
      </c>
      <c r="O29" s="4">
        <v>51.45</v>
      </c>
      <c r="P29" s="4">
        <v>51.45</v>
      </c>
      <c r="Q29" s="4">
        <v>51.45</v>
      </c>
      <c r="R29" s="4">
        <v>51.45</v>
      </c>
      <c r="S29" s="4">
        <v>51.45</v>
      </c>
      <c r="T29" s="4">
        <v>51.45</v>
      </c>
      <c r="U29" s="4">
        <v>51.45</v>
      </c>
      <c r="V29" s="4">
        <v>51.45</v>
      </c>
      <c r="W29" s="4">
        <v>51.45</v>
      </c>
      <c r="X29" s="4">
        <v>51.45</v>
      </c>
      <c r="Y29" s="4">
        <v>51.45</v>
      </c>
      <c r="Z29" s="4">
        <v>51.45</v>
      </c>
      <c r="AA29" s="4">
        <v>51.45</v>
      </c>
      <c r="AB29" s="23">
        <f t="shared" si="0"/>
        <v>1234.8000000000006</v>
      </c>
      <c r="AC29" s="24">
        <v>5</v>
      </c>
      <c r="AD29" s="86"/>
    </row>
    <row r="30" spans="2:30" x14ac:dyDescent="0.2">
      <c r="B30" s="85"/>
      <c r="C30" s="2" t="s">
        <v>63</v>
      </c>
      <c r="D30" s="4">
        <v>51.45</v>
      </c>
      <c r="E30" s="4">
        <v>51.45</v>
      </c>
      <c r="F30" s="4">
        <v>51.45</v>
      </c>
      <c r="G30" s="4">
        <v>51.45</v>
      </c>
      <c r="H30" s="4">
        <v>51.45</v>
      </c>
      <c r="I30" s="4">
        <v>51.45</v>
      </c>
      <c r="J30" s="4">
        <v>51.45</v>
      </c>
      <c r="K30" s="4">
        <v>51.45</v>
      </c>
      <c r="L30" s="4">
        <v>51.45</v>
      </c>
      <c r="M30" s="4">
        <v>51.45</v>
      </c>
      <c r="N30" s="4">
        <v>51.45</v>
      </c>
      <c r="O30" s="4">
        <v>51.45</v>
      </c>
      <c r="P30" s="4">
        <v>51.45</v>
      </c>
      <c r="Q30" s="4">
        <v>51.45</v>
      </c>
      <c r="R30" s="4">
        <v>51.45</v>
      </c>
      <c r="S30" s="4">
        <v>51.45</v>
      </c>
      <c r="T30" s="4">
        <v>51.45</v>
      </c>
      <c r="U30" s="4">
        <v>51.45</v>
      </c>
      <c r="V30" s="4">
        <v>51.45</v>
      </c>
      <c r="W30" s="4">
        <v>51.45</v>
      </c>
      <c r="X30" s="4">
        <v>51.45</v>
      </c>
      <c r="Y30" s="4">
        <v>51.45</v>
      </c>
      <c r="Z30" s="4">
        <v>51.45</v>
      </c>
      <c r="AA30" s="4">
        <v>51.45</v>
      </c>
      <c r="AB30" s="23">
        <f t="shared" si="0"/>
        <v>1234.8000000000006</v>
      </c>
      <c r="AC30" s="24">
        <v>7</v>
      </c>
      <c r="AD30" s="86"/>
    </row>
    <row r="31" spans="2:30" x14ac:dyDescent="0.2">
      <c r="B31" s="85">
        <v>48092</v>
      </c>
      <c r="C31" s="2" t="s">
        <v>29</v>
      </c>
      <c r="D31" s="4">
        <v>51.45</v>
      </c>
      <c r="E31" s="4">
        <v>51.45</v>
      </c>
      <c r="F31" s="4">
        <v>51.45</v>
      </c>
      <c r="G31" s="4">
        <v>51.45</v>
      </c>
      <c r="H31" s="4">
        <v>51.45</v>
      </c>
      <c r="I31" s="4">
        <v>51.45</v>
      </c>
      <c r="J31" s="4">
        <v>51.45</v>
      </c>
      <c r="K31" s="4">
        <v>51.45</v>
      </c>
      <c r="L31" s="4">
        <v>51.45</v>
      </c>
      <c r="M31" s="4">
        <v>51.45</v>
      </c>
      <c r="N31" s="4">
        <v>51.45</v>
      </c>
      <c r="O31" s="4">
        <v>51.45</v>
      </c>
      <c r="P31" s="4">
        <v>51.45</v>
      </c>
      <c r="Q31" s="4">
        <v>51.45</v>
      </c>
      <c r="R31" s="4">
        <v>51.45</v>
      </c>
      <c r="S31" s="4">
        <v>51.45</v>
      </c>
      <c r="T31" s="4">
        <v>51.45</v>
      </c>
      <c r="U31" s="4">
        <v>51.45</v>
      </c>
      <c r="V31" s="4">
        <v>51.45</v>
      </c>
      <c r="W31" s="4">
        <v>51.45</v>
      </c>
      <c r="X31" s="4">
        <v>51.45</v>
      </c>
      <c r="Y31" s="4">
        <v>51.45</v>
      </c>
      <c r="Z31" s="4">
        <v>51.45</v>
      </c>
      <c r="AA31" s="4">
        <v>51.45</v>
      </c>
      <c r="AB31" s="23">
        <f t="shared" si="0"/>
        <v>1234.8000000000006</v>
      </c>
      <c r="AC31" s="24">
        <v>22</v>
      </c>
      <c r="AD31" s="86">
        <f>+AB31*AC31+AB32*AC32+AB33*AC33</f>
        <v>37044.000000000022</v>
      </c>
    </row>
    <row r="32" spans="2:30" x14ac:dyDescent="0.2">
      <c r="B32" s="85"/>
      <c r="C32" s="2" t="s">
        <v>30</v>
      </c>
      <c r="D32" s="4">
        <v>51.45</v>
      </c>
      <c r="E32" s="4">
        <v>51.45</v>
      </c>
      <c r="F32" s="4">
        <v>51.45</v>
      </c>
      <c r="G32" s="4">
        <v>51.45</v>
      </c>
      <c r="H32" s="4">
        <v>51.45</v>
      </c>
      <c r="I32" s="4">
        <v>51.45</v>
      </c>
      <c r="J32" s="4">
        <v>51.45</v>
      </c>
      <c r="K32" s="4">
        <v>51.45</v>
      </c>
      <c r="L32" s="4">
        <v>51.45</v>
      </c>
      <c r="M32" s="4">
        <v>51.45</v>
      </c>
      <c r="N32" s="4">
        <v>51.45</v>
      </c>
      <c r="O32" s="4">
        <v>51.45</v>
      </c>
      <c r="P32" s="4">
        <v>51.45</v>
      </c>
      <c r="Q32" s="4">
        <v>51.45</v>
      </c>
      <c r="R32" s="4">
        <v>51.45</v>
      </c>
      <c r="S32" s="4">
        <v>51.45</v>
      </c>
      <c r="T32" s="4">
        <v>51.45</v>
      </c>
      <c r="U32" s="4">
        <v>51.45</v>
      </c>
      <c r="V32" s="4">
        <v>51.45</v>
      </c>
      <c r="W32" s="4">
        <v>51.45</v>
      </c>
      <c r="X32" s="4">
        <v>51.45</v>
      </c>
      <c r="Y32" s="4">
        <v>51.45</v>
      </c>
      <c r="Z32" s="4">
        <v>51.45</v>
      </c>
      <c r="AA32" s="4">
        <v>51.45</v>
      </c>
      <c r="AB32" s="23">
        <f t="shared" si="0"/>
        <v>1234.8000000000006</v>
      </c>
      <c r="AC32" s="24">
        <v>4</v>
      </c>
      <c r="AD32" s="86"/>
    </row>
    <row r="33" spans="2:32" x14ac:dyDescent="0.2">
      <c r="B33" s="85"/>
      <c r="C33" s="2" t="s">
        <v>63</v>
      </c>
      <c r="D33" s="4">
        <v>51.45</v>
      </c>
      <c r="E33" s="4">
        <v>51.45</v>
      </c>
      <c r="F33" s="4">
        <v>51.45</v>
      </c>
      <c r="G33" s="4">
        <v>51.45</v>
      </c>
      <c r="H33" s="4">
        <v>51.45</v>
      </c>
      <c r="I33" s="4">
        <v>51.45</v>
      </c>
      <c r="J33" s="4">
        <v>51.45</v>
      </c>
      <c r="K33" s="4">
        <v>51.45</v>
      </c>
      <c r="L33" s="4">
        <v>51.45</v>
      </c>
      <c r="M33" s="4">
        <v>51.45</v>
      </c>
      <c r="N33" s="4">
        <v>51.45</v>
      </c>
      <c r="O33" s="4">
        <v>51.45</v>
      </c>
      <c r="P33" s="4">
        <v>51.45</v>
      </c>
      <c r="Q33" s="4">
        <v>51.45</v>
      </c>
      <c r="R33" s="4">
        <v>51.45</v>
      </c>
      <c r="S33" s="4">
        <v>51.45</v>
      </c>
      <c r="T33" s="4">
        <v>51.45</v>
      </c>
      <c r="U33" s="4">
        <v>51.45</v>
      </c>
      <c r="V33" s="4">
        <v>51.45</v>
      </c>
      <c r="W33" s="4">
        <v>51.45</v>
      </c>
      <c r="X33" s="4">
        <v>51.45</v>
      </c>
      <c r="Y33" s="4">
        <v>51.45</v>
      </c>
      <c r="Z33" s="4">
        <v>51.45</v>
      </c>
      <c r="AA33" s="4">
        <v>51.45</v>
      </c>
      <c r="AB33" s="23">
        <f t="shared" si="0"/>
        <v>1234.8000000000006</v>
      </c>
      <c r="AC33" s="24">
        <v>4</v>
      </c>
      <c r="AD33" s="86"/>
    </row>
    <row r="34" spans="2:32" x14ac:dyDescent="0.2">
      <c r="B34" s="85">
        <v>48122</v>
      </c>
      <c r="C34" s="2" t="s">
        <v>29</v>
      </c>
      <c r="D34" s="4">
        <v>51.45</v>
      </c>
      <c r="E34" s="4">
        <v>51.45</v>
      </c>
      <c r="F34" s="4">
        <v>51.45</v>
      </c>
      <c r="G34" s="4">
        <v>51.45</v>
      </c>
      <c r="H34" s="4">
        <v>51.45</v>
      </c>
      <c r="I34" s="4">
        <v>51.45</v>
      </c>
      <c r="J34" s="4">
        <v>51.45</v>
      </c>
      <c r="K34" s="4">
        <v>51.45</v>
      </c>
      <c r="L34" s="4">
        <v>51.45</v>
      </c>
      <c r="M34" s="4">
        <v>51.45</v>
      </c>
      <c r="N34" s="4">
        <v>51.45</v>
      </c>
      <c r="O34" s="4">
        <v>51.45</v>
      </c>
      <c r="P34" s="4">
        <v>51.45</v>
      </c>
      <c r="Q34" s="4">
        <v>51.45</v>
      </c>
      <c r="R34" s="4">
        <v>51.45</v>
      </c>
      <c r="S34" s="4">
        <v>51.45</v>
      </c>
      <c r="T34" s="4">
        <v>51.45</v>
      </c>
      <c r="U34" s="4">
        <v>51.45</v>
      </c>
      <c r="V34" s="4">
        <v>51.45</v>
      </c>
      <c r="W34" s="4">
        <v>51.45</v>
      </c>
      <c r="X34" s="4">
        <v>51.45</v>
      </c>
      <c r="Y34" s="4">
        <v>51.45</v>
      </c>
      <c r="Z34" s="4">
        <v>51.45</v>
      </c>
      <c r="AA34" s="4">
        <v>51.45</v>
      </c>
      <c r="AB34" s="23">
        <f t="shared" si="0"/>
        <v>1234.8000000000006</v>
      </c>
      <c r="AC34" s="24">
        <v>22</v>
      </c>
      <c r="AD34" s="86">
        <f>+AB34*AC34+AB35*AC35+AB36*AC36</f>
        <v>38278.800000000017</v>
      </c>
    </row>
    <row r="35" spans="2:32" x14ac:dyDescent="0.2">
      <c r="B35" s="85"/>
      <c r="C35" s="2" t="s">
        <v>30</v>
      </c>
      <c r="D35" s="4">
        <v>51.45</v>
      </c>
      <c r="E35" s="4">
        <v>51.45</v>
      </c>
      <c r="F35" s="4">
        <v>51.45</v>
      </c>
      <c r="G35" s="4">
        <v>51.45</v>
      </c>
      <c r="H35" s="4">
        <v>51.45</v>
      </c>
      <c r="I35" s="4">
        <v>51.45</v>
      </c>
      <c r="J35" s="4">
        <v>51.45</v>
      </c>
      <c r="K35" s="4">
        <v>51.45</v>
      </c>
      <c r="L35" s="4">
        <v>51.45</v>
      </c>
      <c r="M35" s="4">
        <v>51.45</v>
      </c>
      <c r="N35" s="4">
        <v>51.45</v>
      </c>
      <c r="O35" s="4">
        <v>51.45</v>
      </c>
      <c r="P35" s="4">
        <v>51.45</v>
      </c>
      <c r="Q35" s="4">
        <v>51.45</v>
      </c>
      <c r="R35" s="4">
        <v>51.45</v>
      </c>
      <c r="S35" s="4">
        <v>51.45</v>
      </c>
      <c r="T35" s="4">
        <v>51.45</v>
      </c>
      <c r="U35" s="4">
        <v>51.45</v>
      </c>
      <c r="V35" s="4">
        <v>51.45</v>
      </c>
      <c r="W35" s="4">
        <v>51.45</v>
      </c>
      <c r="X35" s="4">
        <v>51.45</v>
      </c>
      <c r="Y35" s="4">
        <v>51.45</v>
      </c>
      <c r="Z35" s="4">
        <v>51.45</v>
      </c>
      <c r="AA35" s="4">
        <v>51.45</v>
      </c>
      <c r="AB35" s="23">
        <f t="shared" si="0"/>
        <v>1234.8000000000006</v>
      </c>
      <c r="AC35" s="24">
        <v>4</v>
      </c>
      <c r="AD35" s="86"/>
    </row>
    <row r="36" spans="2:32" x14ac:dyDescent="0.2">
      <c r="B36" s="85"/>
      <c r="C36" s="2" t="s">
        <v>63</v>
      </c>
      <c r="D36" s="4">
        <v>51.45</v>
      </c>
      <c r="E36" s="4">
        <v>51.45</v>
      </c>
      <c r="F36" s="4">
        <v>51.45</v>
      </c>
      <c r="G36" s="4">
        <v>51.45</v>
      </c>
      <c r="H36" s="4">
        <v>51.45</v>
      </c>
      <c r="I36" s="4">
        <v>51.45</v>
      </c>
      <c r="J36" s="4">
        <v>51.45</v>
      </c>
      <c r="K36" s="4">
        <v>51.45</v>
      </c>
      <c r="L36" s="4">
        <v>51.45</v>
      </c>
      <c r="M36" s="4">
        <v>51.45</v>
      </c>
      <c r="N36" s="4">
        <v>51.45</v>
      </c>
      <c r="O36" s="4">
        <v>51.45</v>
      </c>
      <c r="P36" s="4">
        <v>51.45</v>
      </c>
      <c r="Q36" s="4">
        <v>51.45</v>
      </c>
      <c r="R36" s="4">
        <v>51.45</v>
      </c>
      <c r="S36" s="4">
        <v>51.45</v>
      </c>
      <c r="T36" s="4">
        <v>51.45</v>
      </c>
      <c r="U36" s="4">
        <v>51.45</v>
      </c>
      <c r="V36" s="4">
        <v>51.45</v>
      </c>
      <c r="W36" s="4">
        <v>51.45</v>
      </c>
      <c r="X36" s="4">
        <v>51.45</v>
      </c>
      <c r="Y36" s="4">
        <v>51.45</v>
      </c>
      <c r="Z36" s="4">
        <v>51.45</v>
      </c>
      <c r="AA36" s="4">
        <v>51.45</v>
      </c>
      <c r="AB36" s="23">
        <f t="shared" si="0"/>
        <v>1234.8000000000006</v>
      </c>
      <c r="AC36" s="24">
        <v>5</v>
      </c>
      <c r="AD36" s="86"/>
    </row>
    <row r="37" spans="2:32" x14ac:dyDescent="0.2">
      <c r="B37" s="85">
        <v>48153</v>
      </c>
      <c r="C37" s="2" t="s">
        <v>29</v>
      </c>
      <c r="D37" s="4">
        <v>51.45</v>
      </c>
      <c r="E37" s="4">
        <v>51.45</v>
      </c>
      <c r="F37" s="4">
        <v>51.45</v>
      </c>
      <c r="G37" s="4">
        <v>51.45</v>
      </c>
      <c r="H37" s="4">
        <v>51.45</v>
      </c>
      <c r="I37" s="4">
        <v>51.45</v>
      </c>
      <c r="J37" s="4">
        <v>51.45</v>
      </c>
      <c r="K37" s="4">
        <v>51.45</v>
      </c>
      <c r="L37" s="4">
        <v>51.45</v>
      </c>
      <c r="M37" s="4">
        <v>51.45</v>
      </c>
      <c r="N37" s="4">
        <v>51.45</v>
      </c>
      <c r="O37" s="4">
        <v>51.45</v>
      </c>
      <c r="P37" s="4">
        <v>51.45</v>
      </c>
      <c r="Q37" s="4">
        <v>51.45</v>
      </c>
      <c r="R37" s="4">
        <v>51.45</v>
      </c>
      <c r="S37" s="4">
        <v>51.45</v>
      </c>
      <c r="T37" s="4">
        <v>51.45</v>
      </c>
      <c r="U37" s="4">
        <v>51.45</v>
      </c>
      <c r="V37" s="4">
        <v>51.45</v>
      </c>
      <c r="W37" s="4">
        <v>51.45</v>
      </c>
      <c r="X37" s="4">
        <v>51.45</v>
      </c>
      <c r="Y37" s="4">
        <v>51.45</v>
      </c>
      <c r="Z37" s="4">
        <v>51.45</v>
      </c>
      <c r="AA37" s="4">
        <v>51.45</v>
      </c>
      <c r="AB37" s="23">
        <f t="shared" si="0"/>
        <v>1234.8000000000006</v>
      </c>
      <c r="AC37" s="24">
        <v>18</v>
      </c>
      <c r="AD37" s="86">
        <f>+AB37*AC37+AB38*AC38+AB39*AC39</f>
        <v>37044.000000000022</v>
      </c>
    </row>
    <row r="38" spans="2:32" x14ac:dyDescent="0.2">
      <c r="B38" s="85"/>
      <c r="C38" s="2" t="s">
        <v>30</v>
      </c>
      <c r="D38" s="4">
        <v>51.45</v>
      </c>
      <c r="E38" s="4">
        <v>51.45</v>
      </c>
      <c r="F38" s="4">
        <v>51.45</v>
      </c>
      <c r="G38" s="4">
        <v>51.45</v>
      </c>
      <c r="H38" s="4">
        <v>51.45</v>
      </c>
      <c r="I38" s="4">
        <v>51.45</v>
      </c>
      <c r="J38" s="4">
        <v>51.45</v>
      </c>
      <c r="K38" s="4">
        <v>51.45</v>
      </c>
      <c r="L38" s="4">
        <v>51.45</v>
      </c>
      <c r="M38" s="4">
        <v>51.45</v>
      </c>
      <c r="N38" s="4">
        <v>51.45</v>
      </c>
      <c r="O38" s="4">
        <v>51.45</v>
      </c>
      <c r="P38" s="4">
        <v>51.45</v>
      </c>
      <c r="Q38" s="4">
        <v>51.45</v>
      </c>
      <c r="R38" s="4">
        <v>51.45</v>
      </c>
      <c r="S38" s="4">
        <v>51.45</v>
      </c>
      <c r="T38" s="4">
        <v>51.45</v>
      </c>
      <c r="U38" s="4">
        <v>51.45</v>
      </c>
      <c r="V38" s="4">
        <v>51.45</v>
      </c>
      <c r="W38" s="4">
        <v>51.45</v>
      </c>
      <c r="X38" s="4">
        <v>51.45</v>
      </c>
      <c r="Y38" s="4">
        <v>51.45</v>
      </c>
      <c r="Z38" s="4">
        <v>51.45</v>
      </c>
      <c r="AA38" s="4">
        <v>51.45</v>
      </c>
      <c r="AB38" s="23">
        <f t="shared" si="0"/>
        <v>1234.8000000000006</v>
      </c>
      <c r="AC38" s="24">
        <v>5</v>
      </c>
      <c r="AD38" s="86"/>
    </row>
    <row r="39" spans="2:32" x14ac:dyDescent="0.2">
      <c r="B39" s="85"/>
      <c r="C39" s="2" t="s">
        <v>63</v>
      </c>
      <c r="D39" s="4">
        <v>51.45</v>
      </c>
      <c r="E39" s="4">
        <v>51.45</v>
      </c>
      <c r="F39" s="4">
        <v>51.45</v>
      </c>
      <c r="G39" s="4">
        <v>51.45</v>
      </c>
      <c r="H39" s="4">
        <v>51.45</v>
      </c>
      <c r="I39" s="4">
        <v>51.45</v>
      </c>
      <c r="J39" s="4">
        <v>51.45</v>
      </c>
      <c r="K39" s="4">
        <v>51.45</v>
      </c>
      <c r="L39" s="4">
        <v>51.45</v>
      </c>
      <c r="M39" s="4">
        <v>51.45</v>
      </c>
      <c r="N39" s="4">
        <v>51.45</v>
      </c>
      <c r="O39" s="4">
        <v>51.45</v>
      </c>
      <c r="P39" s="4">
        <v>51.45</v>
      </c>
      <c r="Q39" s="4">
        <v>51.45</v>
      </c>
      <c r="R39" s="4">
        <v>51.45</v>
      </c>
      <c r="S39" s="4">
        <v>51.45</v>
      </c>
      <c r="T39" s="4">
        <v>51.45</v>
      </c>
      <c r="U39" s="4">
        <v>51.45</v>
      </c>
      <c r="V39" s="4">
        <v>51.45</v>
      </c>
      <c r="W39" s="4">
        <v>51.45</v>
      </c>
      <c r="X39" s="4">
        <v>51.45</v>
      </c>
      <c r="Y39" s="4">
        <v>51.45</v>
      </c>
      <c r="Z39" s="4">
        <v>51.45</v>
      </c>
      <c r="AA39" s="4">
        <v>51.45</v>
      </c>
      <c r="AB39" s="23">
        <f t="shared" si="0"/>
        <v>1234.8000000000006</v>
      </c>
      <c r="AC39" s="24">
        <v>7</v>
      </c>
      <c r="AD39" s="86"/>
    </row>
    <row r="40" spans="2:32" x14ac:dyDescent="0.2">
      <c r="B40" s="85">
        <v>48183</v>
      </c>
      <c r="C40" s="2" t="s">
        <v>29</v>
      </c>
      <c r="D40" s="4">
        <v>51.45</v>
      </c>
      <c r="E40" s="4">
        <v>51.45</v>
      </c>
      <c r="F40" s="4">
        <v>51.45</v>
      </c>
      <c r="G40" s="4">
        <v>51.45</v>
      </c>
      <c r="H40" s="4">
        <v>51.45</v>
      </c>
      <c r="I40" s="4">
        <v>51.45</v>
      </c>
      <c r="J40" s="4">
        <v>51.45</v>
      </c>
      <c r="K40" s="4">
        <v>51.45</v>
      </c>
      <c r="L40" s="4">
        <v>51.45</v>
      </c>
      <c r="M40" s="4">
        <v>51.45</v>
      </c>
      <c r="N40" s="4">
        <v>51.45</v>
      </c>
      <c r="O40" s="4">
        <v>51.45</v>
      </c>
      <c r="P40" s="4">
        <v>51.45</v>
      </c>
      <c r="Q40" s="4">
        <v>51.45</v>
      </c>
      <c r="R40" s="4">
        <v>51.45</v>
      </c>
      <c r="S40" s="4">
        <v>51.45</v>
      </c>
      <c r="T40" s="4">
        <v>51.45</v>
      </c>
      <c r="U40" s="4">
        <v>51.45</v>
      </c>
      <c r="V40" s="4">
        <v>51.45</v>
      </c>
      <c r="W40" s="4">
        <v>51.45</v>
      </c>
      <c r="X40" s="4">
        <v>51.45</v>
      </c>
      <c r="Y40" s="4">
        <v>51.45</v>
      </c>
      <c r="Z40" s="4">
        <v>51.45</v>
      </c>
      <c r="AA40" s="4">
        <v>51.45</v>
      </c>
      <c r="AB40" s="23">
        <f t="shared" si="0"/>
        <v>1234.8000000000006</v>
      </c>
      <c r="AC40" s="24">
        <v>21</v>
      </c>
      <c r="AD40" s="86">
        <f>+AB40*AC40+AB41*AC41+AB42*AC42</f>
        <v>38278.800000000017</v>
      </c>
    </row>
    <row r="41" spans="2:32" x14ac:dyDescent="0.2">
      <c r="B41" s="85"/>
      <c r="C41" s="2" t="s">
        <v>30</v>
      </c>
      <c r="D41" s="4">
        <v>51.45</v>
      </c>
      <c r="E41" s="4">
        <v>51.45</v>
      </c>
      <c r="F41" s="4">
        <v>51.45</v>
      </c>
      <c r="G41" s="4">
        <v>51.45</v>
      </c>
      <c r="H41" s="4">
        <v>51.45</v>
      </c>
      <c r="I41" s="4">
        <v>51.45</v>
      </c>
      <c r="J41" s="4">
        <v>51.45</v>
      </c>
      <c r="K41" s="4">
        <v>51.45</v>
      </c>
      <c r="L41" s="4">
        <v>51.45</v>
      </c>
      <c r="M41" s="4">
        <v>51.45</v>
      </c>
      <c r="N41" s="4">
        <v>51.45</v>
      </c>
      <c r="O41" s="4">
        <v>51.45</v>
      </c>
      <c r="P41" s="4">
        <v>51.45</v>
      </c>
      <c r="Q41" s="4">
        <v>51.45</v>
      </c>
      <c r="R41" s="4">
        <v>51.45</v>
      </c>
      <c r="S41" s="4">
        <v>51.45</v>
      </c>
      <c r="T41" s="4">
        <v>51.45</v>
      </c>
      <c r="U41" s="4">
        <v>51.45</v>
      </c>
      <c r="V41" s="4">
        <v>51.45</v>
      </c>
      <c r="W41" s="4">
        <v>51.45</v>
      </c>
      <c r="X41" s="4">
        <v>51.45</v>
      </c>
      <c r="Y41" s="4">
        <v>51.45</v>
      </c>
      <c r="Z41" s="4">
        <v>51.45</v>
      </c>
      <c r="AA41" s="4">
        <v>51.45</v>
      </c>
      <c r="AB41" s="23">
        <f t="shared" si="0"/>
        <v>1234.8000000000006</v>
      </c>
      <c r="AC41" s="24">
        <v>4</v>
      </c>
      <c r="AD41" s="86"/>
    </row>
    <row r="42" spans="2:32" x14ac:dyDescent="0.2">
      <c r="B42" s="85"/>
      <c r="C42" s="2" t="s">
        <v>63</v>
      </c>
      <c r="D42" s="4">
        <v>51.45</v>
      </c>
      <c r="E42" s="4">
        <v>51.45</v>
      </c>
      <c r="F42" s="4">
        <v>51.45</v>
      </c>
      <c r="G42" s="4">
        <v>51.45</v>
      </c>
      <c r="H42" s="4">
        <v>51.45</v>
      </c>
      <c r="I42" s="4">
        <v>51.45</v>
      </c>
      <c r="J42" s="4">
        <v>51.45</v>
      </c>
      <c r="K42" s="4">
        <v>51.45</v>
      </c>
      <c r="L42" s="4">
        <v>51.45</v>
      </c>
      <c r="M42" s="4">
        <v>51.45</v>
      </c>
      <c r="N42" s="4">
        <v>51.45</v>
      </c>
      <c r="O42" s="4">
        <v>51.45</v>
      </c>
      <c r="P42" s="4">
        <v>51.45</v>
      </c>
      <c r="Q42" s="4">
        <v>51.45</v>
      </c>
      <c r="R42" s="4">
        <v>51.45</v>
      </c>
      <c r="S42" s="4">
        <v>51.45</v>
      </c>
      <c r="T42" s="4">
        <v>51.45</v>
      </c>
      <c r="U42" s="4">
        <v>51.45</v>
      </c>
      <c r="V42" s="4">
        <v>51.45</v>
      </c>
      <c r="W42" s="4">
        <v>51.45</v>
      </c>
      <c r="X42" s="4">
        <v>51.45</v>
      </c>
      <c r="Y42" s="4">
        <v>51.45</v>
      </c>
      <c r="Z42" s="4">
        <v>51.45</v>
      </c>
      <c r="AA42" s="4">
        <v>51.45</v>
      </c>
      <c r="AB42" s="23">
        <f t="shared" si="0"/>
        <v>1234.8000000000006</v>
      </c>
      <c r="AC42" s="24">
        <v>6</v>
      </c>
      <c r="AD42" s="86"/>
    </row>
    <row r="43" spans="2:32" ht="15.75" x14ac:dyDescent="0.25">
      <c r="AA43" s="87" t="s">
        <v>31</v>
      </c>
      <c r="AB43" s="88"/>
      <c r="AC43" s="89"/>
      <c r="AD43" s="25">
        <f>SUM(AD7:AD42)</f>
        <v>450702.00000000023</v>
      </c>
      <c r="AE43" s="71"/>
      <c r="AF43" s="72"/>
    </row>
  </sheetData>
  <mergeCells count="25">
    <mergeCell ref="AA43:AC43"/>
    <mergeCell ref="B34:B36"/>
    <mergeCell ref="AD34:AD36"/>
    <mergeCell ref="B37:B39"/>
    <mergeCell ref="AD37:AD39"/>
    <mergeCell ref="B40:B42"/>
    <mergeCell ref="AD40:AD42"/>
    <mergeCell ref="B25:B27"/>
    <mergeCell ref="AD25:AD27"/>
    <mergeCell ref="B28:B30"/>
    <mergeCell ref="AD28:AD30"/>
    <mergeCell ref="B31:B33"/>
    <mergeCell ref="AD31:AD33"/>
    <mergeCell ref="B16:B18"/>
    <mergeCell ref="AD16:AD18"/>
    <mergeCell ref="B19:B21"/>
    <mergeCell ref="AD19:AD21"/>
    <mergeCell ref="B22:B24"/>
    <mergeCell ref="AD22:AD24"/>
    <mergeCell ref="B7:B9"/>
    <mergeCell ref="AD7:AD9"/>
    <mergeCell ref="B10:B12"/>
    <mergeCell ref="AD10:AD12"/>
    <mergeCell ref="B13:B15"/>
    <mergeCell ref="AD13:AD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E3A6-689A-4B01-B9A0-3C701B936400}">
  <sheetPr>
    <tabColor theme="7" tint="0.39997558519241921"/>
  </sheetPr>
  <dimension ref="B2:M23"/>
  <sheetViews>
    <sheetView zoomScale="80" zoomScaleNormal="80" workbookViewId="0">
      <selection activeCell="C18" sqref="C18"/>
    </sheetView>
  </sheetViews>
  <sheetFormatPr baseColWidth="10" defaultColWidth="10.88671875" defaultRowHeight="15" x14ac:dyDescent="0.2"/>
  <cols>
    <col min="1" max="1" width="5.33203125" style="30" customWidth="1"/>
    <col min="2" max="2" width="10.88671875" style="30" customWidth="1"/>
    <col min="3" max="4" width="12.109375" style="30" customWidth="1"/>
    <col min="5" max="5" width="12.88671875" style="30" customWidth="1"/>
    <col min="6" max="6" width="13.109375" style="30" customWidth="1"/>
    <col min="7" max="7" width="8.109375" style="30" customWidth="1"/>
    <col min="8" max="8" width="13" style="30" customWidth="1"/>
    <col min="9" max="16384" width="10.88671875" style="30"/>
  </cols>
  <sheetData>
    <row r="2" spans="2:8" x14ac:dyDescent="0.2">
      <c r="B2" s="59"/>
      <c r="C2" s="60"/>
      <c r="D2" s="60"/>
      <c r="E2" s="60"/>
      <c r="F2" s="60"/>
      <c r="G2" s="60"/>
      <c r="H2" s="61"/>
    </row>
    <row r="3" spans="2:8" ht="18" x14ac:dyDescent="0.2">
      <c r="B3" s="62"/>
      <c r="C3" s="48" t="s">
        <v>32</v>
      </c>
      <c r="H3" s="63"/>
    </row>
    <row r="4" spans="2:8" ht="18" x14ac:dyDescent="0.2">
      <c r="B4" s="62"/>
      <c r="C4" s="48" t="s">
        <v>33</v>
      </c>
      <c r="H4" s="63"/>
    </row>
    <row r="5" spans="2:8" ht="18" x14ac:dyDescent="0.2">
      <c r="B5" s="62"/>
      <c r="C5" s="48" t="s">
        <v>62</v>
      </c>
      <c r="H5" s="63"/>
    </row>
    <row r="6" spans="2:8" ht="18" x14ac:dyDescent="0.2">
      <c r="B6" s="62"/>
      <c r="C6" s="48"/>
      <c r="H6" s="63"/>
    </row>
    <row r="7" spans="2:8" ht="18" x14ac:dyDescent="0.2">
      <c r="B7" s="62"/>
      <c r="C7" s="48" t="s">
        <v>54</v>
      </c>
      <c r="H7" s="63"/>
    </row>
    <row r="8" spans="2:8" x14ac:dyDescent="0.2">
      <c r="B8" s="62"/>
      <c r="H8" s="63"/>
    </row>
    <row r="9" spans="2:8" ht="18" x14ac:dyDescent="0.2">
      <c r="B9" s="62"/>
      <c r="C9" s="13" t="s">
        <v>84</v>
      </c>
      <c r="H9" s="63"/>
    </row>
    <row r="10" spans="2:8" x14ac:dyDescent="0.2">
      <c r="B10" s="62"/>
      <c r="H10" s="63"/>
    </row>
    <row r="11" spans="2:8" ht="15.75" x14ac:dyDescent="0.2">
      <c r="B11" s="62"/>
      <c r="C11" s="32"/>
      <c r="H11" s="64"/>
    </row>
    <row r="12" spans="2:8" ht="45" x14ac:dyDescent="0.2">
      <c r="B12" s="62"/>
      <c r="C12" s="34" t="s">
        <v>72</v>
      </c>
      <c r="D12" s="34" t="s">
        <v>34</v>
      </c>
      <c r="E12" s="6" t="s">
        <v>91</v>
      </c>
      <c r="F12" s="34" t="s">
        <v>57</v>
      </c>
      <c r="G12" s="51"/>
      <c r="H12" s="64"/>
    </row>
    <row r="13" spans="2:8" ht="15.75" x14ac:dyDescent="0.2">
      <c r="B13" s="62"/>
      <c r="C13" s="33">
        <v>2031</v>
      </c>
      <c r="D13" s="53">
        <f>P9_Anexo_1_2031!AD43</f>
        <v>450702.00000000023</v>
      </c>
      <c r="E13" s="36"/>
      <c r="F13" s="36"/>
      <c r="G13" s="38"/>
      <c r="H13" s="64"/>
    </row>
    <row r="14" spans="2:8" ht="15.75" x14ac:dyDescent="0.2">
      <c r="B14" s="62"/>
      <c r="C14" s="65" t="s">
        <v>35</v>
      </c>
      <c r="D14" s="56">
        <f>SUM(D13:D13)</f>
        <v>450702.00000000023</v>
      </c>
      <c r="H14" s="64"/>
    </row>
    <row r="15" spans="2:8" ht="15.75" x14ac:dyDescent="0.2">
      <c r="B15" s="62"/>
      <c r="H15" s="64"/>
    </row>
    <row r="16" spans="2:8" x14ac:dyDescent="0.2">
      <c r="B16" s="62"/>
      <c r="H16" s="63"/>
    </row>
    <row r="17" spans="2:13" x14ac:dyDescent="0.2">
      <c r="B17" s="62"/>
      <c r="C17" s="41" t="s">
        <v>36</v>
      </c>
      <c r="H17" s="63"/>
      <c r="M17" s="31"/>
    </row>
    <row r="18" spans="2:13" x14ac:dyDescent="0.2">
      <c r="B18" s="62"/>
      <c r="C18" s="41" t="s">
        <v>96</v>
      </c>
      <c r="H18" s="63"/>
    </row>
    <row r="19" spans="2:13" x14ac:dyDescent="0.2">
      <c r="B19" s="62"/>
      <c r="C19" s="41" t="s">
        <v>93</v>
      </c>
      <c r="H19" s="63"/>
    </row>
    <row r="20" spans="2:13" x14ac:dyDescent="0.2">
      <c r="B20" s="62"/>
      <c r="C20" s="41" t="s">
        <v>37</v>
      </c>
      <c r="H20" s="63"/>
    </row>
    <row r="21" spans="2:13" x14ac:dyDescent="0.2">
      <c r="B21" s="62"/>
      <c r="C21" s="41" t="s">
        <v>92</v>
      </c>
      <c r="H21" s="63"/>
    </row>
    <row r="22" spans="2:13" x14ac:dyDescent="0.2">
      <c r="B22" s="62"/>
      <c r="C22" s="41"/>
      <c r="H22" s="63"/>
    </row>
    <row r="23" spans="2:13" x14ac:dyDescent="0.2">
      <c r="B23" s="66"/>
      <c r="C23" s="67"/>
      <c r="D23" s="67"/>
      <c r="E23" s="67"/>
      <c r="F23" s="67"/>
      <c r="G23" s="67"/>
      <c r="H23" s="68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44DF-EC60-403C-BCEC-C7872FD03F73}">
  <sheetPr>
    <tabColor theme="9" tint="0.39997558519241921"/>
  </sheetPr>
  <dimension ref="B2:AF43"/>
  <sheetViews>
    <sheetView showGridLines="0" zoomScale="60" zoomScaleNormal="6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" sqref="D1:AA1048576"/>
    </sheetView>
  </sheetViews>
  <sheetFormatPr baseColWidth="10" defaultRowHeight="15" x14ac:dyDescent="0.2"/>
  <cols>
    <col min="1" max="1" width="3.33203125" customWidth="1"/>
    <col min="3" max="3" width="11.5546875" customWidth="1"/>
    <col min="4" max="5" width="8.109375" bestFit="1" customWidth="1"/>
    <col min="6" max="9" width="7.6640625" bestFit="1" customWidth="1"/>
    <col min="10" max="10" width="8.109375" bestFit="1" customWidth="1"/>
    <col min="11" max="12" width="7.6640625" bestFit="1" customWidth="1"/>
    <col min="13" max="20" width="8.109375" bestFit="1" customWidth="1"/>
    <col min="21" max="22" width="8.44140625" bestFit="1" customWidth="1"/>
    <col min="23" max="26" width="8.77734375" bestFit="1" customWidth="1"/>
    <col min="27" max="27" width="8.109375" bestFit="1" customWidth="1"/>
    <col min="28" max="28" width="7.109375" bestFit="1" customWidth="1"/>
  </cols>
  <sheetData>
    <row r="2" spans="2:30" ht="23.25" x14ac:dyDescent="0.35">
      <c r="B2" s="1" t="s">
        <v>55</v>
      </c>
    </row>
    <row r="3" spans="2:30" ht="23.25" x14ac:dyDescent="0.35">
      <c r="B3" s="1" t="s">
        <v>82</v>
      </c>
    </row>
    <row r="4" spans="2:30" ht="23.25" x14ac:dyDescent="0.35">
      <c r="B4" s="1"/>
    </row>
    <row r="5" spans="2:30" ht="23.25" x14ac:dyDescent="0.35">
      <c r="B5" s="1" t="s">
        <v>50</v>
      </c>
    </row>
    <row r="6" spans="2:30" x14ac:dyDescent="0.2">
      <c r="B6" s="22" t="s">
        <v>0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  <c r="J6" s="22" t="s">
        <v>8</v>
      </c>
      <c r="K6" s="22" t="s">
        <v>9</v>
      </c>
      <c r="L6" s="22" t="s">
        <v>10</v>
      </c>
      <c r="M6" s="22" t="s">
        <v>11</v>
      </c>
      <c r="N6" s="22" t="s">
        <v>12</v>
      </c>
      <c r="O6" s="22" t="s">
        <v>13</v>
      </c>
      <c r="P6" s="22" t="s">
        <v>14</v>
      </c>
      <c r="Q6" s="22" t="s">
        <v>15</v>
      </c>
      <c r="R6" s="22" t="s">
        <v>16</v>
      </c>
      <c r="S6" s="22" t="s">
        <v>17</v>
      </c>
      <c r="T6" s="22" t="s">
        <v>18</v>
      </c>
      <c r="U6" s="22" t="s">
        <v>19</v>
      </c>
      <c r="V6" s="22" t="s">
        <v>20</v>
      </c>
      <c r="W6" s="22" t="s">
        <v>21</v>
      </c>
      <c r="X6" s="22" t="s">
        <v>22</v>
      </c>
      <c r="Y6" s="22" t="s">
        <v>23</v>
      </c>
      <c r="Z6" s="22" t="s">
        <v>24</v>
      </c>
      <c r="AA6" s="22" t="s">
        <v>25</v>
      </c>
      <c r="AB6" s="22" t="s">
        <v>26</v>
      </c>
      <c r="AC6" s="22" t="s">
        <v>27</v>
      </c>
      <c r="AD6" s="22" t="s">
        <v>28</v>
      </c>
    </row>
    <row r="7" spans="2:30" x14ac:dyDescent="0.2">
      <c r="B7" s="85">
        <v>47849</v>
      </c>
      <c r="C7" s="2" t="s">
        <v>29</v>
      </c>
      <c r="D7" s="4">
        <v>39.520000000000003</v>
      </c>
      <c r="E7" s="4">
        <v>28</v>
      </c>
      <c r="F7" s="4">
        <v>17.59</v>
      </c>
      <c r="G7" s="4">
        <v>14.26</v>
      </c>
      <c r="H7" s="4">
        <v>13.55</v>
      </c>
      <c r="I7" s="4">
        <v>12.43</v>
      </c>
      <c r="J7" s="4">
        <v>24.97</v>
      </c>
      <c r="K7" s="4">
        <v>23.16</v>
      </c>
      <c r="L7" s="4">
        <v>38.51</v>
      </c>
      <c r="M7" s="4">
        <v>49.38</v>
      </c>
      <c r="N7" s="4">
        <v>63.17</v>
      </c>
      <c r="O7" s="4">
        <v>77.87</v>
      </c>
      <c r="P7" s="4">
        <v>88.79</v>
      </c>
      <c r="Q7" s="4">
        <v>81.69</v>
      </c>
      <c r="R7" s="4">
        <v>74.849999999999994</v>
      </c>
      <c r="S7" s="4">
        <v>72.760000000000005</v>
      </c>
      <c r="T7" s="4">
        <v>74.69</v>
      </c>
      <c r="U7" s="4">
        <v>104.01</v>
      </c>
      <c r="V7" s="4">
        <v>112.07</v>
      </c>
      <c r="W7" s="4">
        <v>139.09</v>
      </c>
      <c r="X7" s="4">
        <v>137.43</v>
      </c>
      <c r="Y7" s="4">
        <v>127.14</v>
      </c>
      <c r="Z7" s="4">
        <v>102.49</v>
      </c>
      <c r="AA7" s="4">
        <v>70.239999999999995</v>
      </c>
      <c r="AB7" s="23">
        <f>SUM(D7:AA7)</f>
        <v>1587.66</v>
      </c>
      <c r="AC7" s="24">
        <v>21</v>
      </c>
      <c r="AD7" s="86">
        <f>+AB7*AC7+AB8*AC8+AB9*AC9</f>
        <v>45944.98</v>
      </c>
    </row>
    <row r="8" spans="2:30" x14ac:dyDescent="0.2">
      <c r="B8" s="85"/>
      <c r="C8" s="2" t="s">
        <v>30</v>
      </c>
      <c r="D8" s="4">
        <v>34.69</v>
      </c>
      <c r="E8" s="4">
        <v>23.57</v>
      </c>
      <c r="F8" s="4">
        <v>13.53</v>
      </c>
      <c r="G8" s="4">
        <v>10.31</v>
      </c>
      <c r="H8" s="4">
        <v>9.6300000000000008</v>
      </c>
      <c r="I8" s="4">
        <v>8.5500000000000007</v>
      </c>
      <c r="J8" s="4">
        <v>20.65</v>
      </c>
      <c r="K8" s="4">
        <v>18.43</v>
      </c>
      <c r="L8" s="4">
        <v>33.18</v>
      </c>
      <c r="M8" s="4">
        <v>43.6</v>
      </c>
      <c r="N8" s="4">
        <v>56.86</v>
      </c>
      <c r="O8" s="4">
        <v>71.03</v>
      </c>
      <c r="P8" s="4">
        <v>81.58</v>
      </c>
      <c r="Q8" s="4">
        <v>74.77</v>
      </c>
      <c r="R8" s="4">
        <v>68.180000000000007</v>
      </c>
      <c r="S8" s="4">
        <v>66.2</v>
      </c>
      <c r="T8" s="4">
        <v>68.12</v>
      </c>
      <c r="U8" s="4">
        <v>97.36</v>
      </c>
      <c r="V8" s="4">
        <v>105.13</v>
      </c>
      <c r="W8" s="4">
        <v>131.21</v>
      </c>
      <c r="X8" s="4">
        <v>129.61000000000001</v>
      </c>
      <c r="Y8" s="4">
        <v>119.68</v>
      </c>
      <c r="Z8" s="4">
        <v>95.89</v>
      </c>
      <c r="AA8" s="4">
        <v>64.760000000000005</v>
      </c>
      <c r="AB8" s="23">
        <f t="shared" ref="AB8:AB42" si="0">SUM(D8:AA8)</f>
        <v>1446.5200000000002</v>
      </c>
      <c r="AC8" s="24">
        <v>4</v>
      </c>
      <c r="AD8" s="86"/>
    </row>
    <row r="9" spans="2:30" x14ac:dyDescent="0.2">
      <c r="B9" s="85"/>
      <c r="C9" s="2" t="s">
        <v>63</v>
      </c>
      <c r="D9" s="4">
        <v>24.07</v>
      </c>
      <c r="E9" s="4">
        <v>13.84</v>
      </c>
      <c r="F9" s="4">
        <v>4.59</v>
      </c>
      <c r="G9" s="4">
        <v>1.63</v>
      </c>
      <c r="H9" s="4">
        <v>1</v>
      </c>
      <c r="I9" s="4">
        <v>0</v>
      </c>
      <c r="J9" s="4">
        <v>11.15</v>
      </c>
      <c r="K9" s="4">
        <v>8.0299999999999994</v>
      </c>
      <c r="L9" s="4">
        <v>21.48</v>
      </c>
      <c r="M9" s="4">
        <v>30.91</v>
      </c>
      <c r="N9" s="4">
        <v>43</v>
      </c>
      <c r="O9" s="4">
        <v>56</v>
      </c>
      <c r="P9" s="4">
        <v>65.760000000000005</v>
      </c>
      <c r="Q9" s="4">
        <v>59.56</v>
      </c>
      <c r="R9" s="4">
        <v>53.52</v>
      </c>
      <c r="S9" s="4">
        <v>51.79</v>
      </c>
      <c r="T9" s="4">
        <v>53.68</v>
      </c>
      <c r="U9" s="4">
        <v>82.73</v>
      </c>
      <c r="V9" s="4">
        <v>89.89</v>
      </c>
      <c r="W9" s="4">
        <v>113.9</v>
      </c>
      <c r="X9" s="4">
        <v>112.42</v>
      </c>
      <c r="Y9" s="4">
        <v>103.28</v>
      </c>
      <c r="Z9" s="4">
        <v>81.38</v>
      </c>
      <c r="AA9" s="4">
        <v>52.73</v>
      </c>
      <c r="AB9" s="23">
        <f t="shared" si="0"/>
        <v>1136.3399999999999</v>
      </c>
      <c r="AC9" s="24">
        <v>6</v>
      </c>
      <c r="AD9" s="86"/>
    </row>
    <row r="10" spans="2:30" x14ac:dyDescent="0.2">
      <c r="B10" s="85">
        <v>47880</v>
      </c>
      <c r="C10" s="2" t="s">
        <v>29</v>
      </c>
      <c r="D10" s="4">
        <v>39.520000000000003</v>
      </c>
      <c r="E10" s="4">
        <v>28</v>
      </c>
      <c r="F10" s="4">
        <v>17.59</v>
      </c>
      <c r="G10" s="4">
        <v>14.26</v>
      </c>
      <c r="H10" s="4">
        <v>13.55</v>
      </c>
      <c r="I10" s="4">
        <v>12.43</v>
      </c>
      <c r="J10" s="4">
        <v>24.97</v>
      </c>
      <c r="K10" s="4">
        <v>23.16</v>
      </c>
      <c r="L10" s="4">
        <v>38.51</v>
      </c>
      <c r="M10" s="4">
        <v>49.38</v>
      </c>
      <c r="N10" s="4">
        <v>63.17</v>
      </c>
      <c r="O10" s="4">
        <v>77.87</v>
      </c>
      <c r="P10" s="4">
        <v>88.79</v>
      </c>
      <c r="Q10" s="4">
        <v>81.69</v>
      </c>
      <c r="R10" s="4">
        <v>74.849999999999994</v>
      </c>
      <c r="S10" s="4">
        <v>72.760000000000005</v>
      </c>
      <c r="T10" s="4">
        <v>74.69</v>
      </c>
      <c r="U10" s="4">
        <v>104.01</v>
      </c>
      <c r="V10" s="4">
        <v>112.07</v>
      </c>
      <c r="W10" s="4">
        <v>139.09</v>
      </c>
      <c r="X10" s="4">
        <v>137.43</v>
      </c>
      <c r="Y10" s="4">
        <v>127.14</v>
      </c>
      <c r="Z10" s="4">
        <v>102.49</v>
      </c>
      <c r="AA10" s="4">
        <v>70.239999999999995</v>
      </c>
      <c r="AB10" s="23">
        <f t="shared" si="0"/>
        <v>1587.66</v>
      </c>
      <c r="AC10" s="24">
        <v>20</v>
      </c>
      <c r="AD10" s="86">
        <f>+AB10*AC10+AB11*AC11+AB12*AC12</f>
        <v>42084.639999999999</v>
      </c>
    </row>
    <row r="11" spans="2:30" x14ac:dyDescent="0.2">
      <c r="B11" s="85"/>
      <c r="C11" s="2" t="s">
        <v>30</v>
      </c>
      <c r="D11" s="4">
        <v>34.69</v>
      </c>
      <c r="E11" s="4">
        <v>23.57</v>
      </c>
      <c r="F11" s="4">
        <v>13.53</v>
      </c>
      <c r="G11" s="4">
        <v>10.31</v>
      </c>
      <c r="H11" s="4">
        <v>9.6300000000000008</v>
      </c>
      <c r="I11" s="4">
        <v>8.5500000000000007</v>
      </c>
      <c r="J11" s="4">
        <v>20.65</v>
      </c>
      <c r="K11" s="4">
        <v>18.43</v>
      </c>
      <c r="L11" s="4">
        <v>33.18</v>
      </c>
      <c r="M11" s="4">
        <v>43.6</v>
      </c>
      <c r="N11" s="4">
        <v>56.86</v>
      </c>
      <c r="O11" s="4">
        <v>71.03</v>
      </c>
      <c r="P11" s="4">
        <v>81.58</v>
      </c>
      <c r="Q11" s="4">
        <v>74.77</v>
      </c>
      <c r="R11" s="4">
        <v>68.180000000000007</v>
      </c>
      <c r="S11" s="4">
        <v>66.2</v>
      </c>
      <c r="T11" s="4">
        <v>68.12</v>
      </c>
      <c r="U11" s="4">
        <v>97.36</v>
      </c>
      <c r="V11" s="4">
        <v>105.13</v>
      </c>
      <c r="W11" s="4">
        <v>131.21</v>
      </c>
      <c r="X11" s="4">
        <v>129.61000000000001</v>
      </c>
      <c r="Y11" s="4">
        <v>119.68</v>
      </c>
      <c r="Z11" s="4">
        <v>95.89</v>
      </c>
      <c r="AA11" s="4">
        <v>64.760000000000005</v>
      </c>
      <c r="AB11" s="23">
        <f t="shared" si="0"/>
        <v>1446.5200000000002</v>
      </c>
      <c r="AC11" s="24">
        <v>4</v>
      </c>
      <c r="AD11" s="86"/>
    </row>
    <row r="12" spans="2:30" x14ac:dyDescent="0.2">
      <c r="B12" s="85"/>
      <c r="C12" s="2" t="s">
        <v>63</v>
      </c>
      <c r="D12" s="4">
        <v>24.07</v>
      </c>
      <c r="E12" s="4">
        <v>13.84</v>
      </c>
      <c r="F12" s="4">
        <v>4.59</v>
      </c>
      <c r="G12" s="4">
        <v>1.63</v>
      </c>
      <c r="H12" s="4">
        <v>1</v>
      </c>
      <c r="I12" s="4">
        <v>0</v>
      </c>
      <c r="J12" s="4">
        <v>11.15</v>
      </c>
      <c r="K12" s="4">
        <v>8.0299999999999994</v>
      </c>
      <c r="L12" s="4">
        <v>21.48</v>
      </c>
      <c r="M12" s="4">
        <v>30.91</v>
      </c>
      <c r="N12" s="4">
        <v>43</v>
      </c>
      <c r="O12" s="4">
        <v>56</v>
      </c>
      <c r="P12" s="4">
        <v>65.760000000000005</v>
      </c>
      <c r="Q12" s="4">
        <v>59.56</v>
      </c>
      <c r="R12" s="4">
        <v>53.52</v>
      </c>
      <c r="S12" s="4">
        <v>51.79</v>
      </c>
      <c r="T12" s="4">
        <v>53.68</v>
      </c>
      <c r="U12" s="4">
        <v>82.73</v>
      </c>
      <c r="V12" s="4">
        <v>89.89</v>
      </c>
      <c r="W12" s="4">
        <v>113.9</v>
      </c>
      <c r="X12" s="4">
        <v>112.42</v>
      </c>
      <c r="Y12" s="4">
        <v>103.28</v>
      </c>
      <c r="Z12" s="4">
        <v>81.38</v>
      </c>
      <c r="AA12" s="4">
        <v>52.73</v>
      </c>
      <c r="AB12" s="23">
        <f t="shared" si="0"/>
        <v>1136.3399999999999</v>
      </c>
      <c r="AC12" s="24">
        <v>4</v>
      </c>
      <c r="AD12" s="86"/>
    </row>
    <row r="13" spans="2:30" x14ac:dyDescent="0.2">
      <c r="B13" s="85">
        <v>47908</v>
      </c>
      <c r="C13" s="2" t="s">
        <v>29</v>
      </c>
      <c r="D13" s="4">
        <v>39.520000000000003</v>
      </c>
      <c r="E13" s="4">
        <v>28</v>
      </c>
      <c r="F13" s="4">
        <v>17.59</v>
      </c>
      <c r="G13" s="4">
        <v>14.26</v>
      </c>
      <c r="H13" s="4">
        <v>13.55</v>
      </c>
      <c r="I13" s="4">
        <v>12.43</v>
      </c>
      <c r="J13" s="4">
        <v>24.97</v>
      </c>
      <c r="K13" s="4">
        <v>23.16</v>
      </c>
      <c r="L13" s="4">
        <v>38.51</v>
      </c>
      <c r="M13" s="4">
        <v>49.38</v>
      </c>
      <c r="N13" s="4">
        <v>63.17</v>
      </c>
      <c r="O13" s="4">
        <v>77.87</v>
      </c>
      <c r="P13" s="4">
        <v>88.79</v>
      </c>
      <c r="Q13" s="4">
        <v>81.69</v>
      </c>
      <c r="R13" s="4">
        <v>74.849999999999994</v>
      </c>
      <c r="S13" s="4">
        <v>72.760000000000005</v>
      </c>
      <c r="T13" s="4">
        <v>74.69</v>
      </c>
      <c r="U13" s="4">
        <v>104.01</v>
      </c>
      <c r="V13" s="4">
        <v>112.07</v>
      </c>
      <c r="W13" s="4">
        <v>139.09</v>
      </c>
      <c r="X13" s="4">
        <v>137.43</v>
      </c>
      <c r="Y13" s="4">
        <v>127.14</v>
      </c>
      <c r="Z13" s="4">
        <v>102.49</v>
      </c>
      <c r="AA13" s="4">
        <v>70.239999999999995</v>
      </c>
      <c r="AB13" s="23">
        <f t="shared" si="0"/>
        <v>1587.66</v>
      </c>
      <c r="AC13" s="24">
        <v>20</v>
      </c>
      <c r="AD13" s="86">
        <f>+AB13*AC13+AB14*AC14+AB15*AC15</f>
        <v>45803.840000000004</v>
      </c>
    </row>
    <row r="14" spans="2:30" x14ac:dyDescent="0.2">
      <c r="B14" s="85"/>
      <c r="C14" s="2" t="s">
        <v>30</v>
      </c>
      <c r="D14" s="4">
        <v>34.69</v>
      </c>
      <c r="E14" s="4">
        <v>23.57</v>
      </c>
      <c r="F14" s="4">
        <v>13.53</v>
      </c>
      <c r="G14" s="4">
        <v>10.31</v>
      </c>
      <c r="H14" s="4">
        <v>9.6300000000000008</v>
      </c>
      <c r="I14" s="4">
        <v>8.5500000000000007</v>
      </c>
      <c r="J14" s="4">
        <v>20.65</v>
      </c>
      <c r="K14" s="4">
        <v>18.43</v>
      </c>
      <c r="L14" s="4">
        <v>33.18</v>
      </c>
      <c r="M14" s="4">
        <v>43.6</v>
      </c>
      <c r="N14" s="4">
        <v>56.86</v>
      </c>
      <c r="O14" s="4">
        <v>71.03</v>
      </c>
      <c r="P14" s="4">
        <v>81.58</v>
      </c>
      <c r="Q14" s="4">
        <v>74.77</v>
      </c>
      <c r="R14" s="4">
        <v>68.180000000000007</v>
      </c>
      <c r="S14" s="4">
        <v>66.2</v>
      </c>
      <c r="T14" s="4">
        <v>68.12</v>
      </c>
      <c r="U14" s="4">
        <v>97.36</v>
      </c>
      <c r="V14" s="4">
        <v>105.13</v>
      </c>
      <c r="W14" s="4">
        <v>131.21</v>
      </c>
      <c r="X14" s="4">
        <v>129.61000000000001</v>
      </c>
      <c r="Y14" s="4">
        <v>119.68</v>
      </c>
      <c r="Z14" s="4">
        <v>95.89</v>
      </c>
      <c r="AA14" s="4">
        <v>64.760000000000005</v>
      </c>
      <c r="AB14" s="23">
        <f t="shared" si="0"/>
        <v>1446.5200000000002</v>
      </c>
      <c r="AC14" s="24">
        <v>5</v>
      </c>
      <c r="AD14" s="86"/>
    </row>
    <row r="15" spans="2:30" x14ac:dyDescent="0.2">
      <c r="B15" s="85"/>
      <c r="C15" s="2" t="s">
        <v>63</v>
      </c>
      <c r="D15" s="4">
        <v>24.07</v>
      </c>
      <c r="E15" s="4">
        <v>13.84</v>
      </c>
      <c r="F15" s="4">
        <v>4.59</v>
      </c>
      <c r="G15" s="4">
        <v>1.63</v>
      </c>
      <c r="H15" s="4">
        <v>1</v>
      </c>
      <c r="I15" s="4">
        <v>0</v>
      </c>
      <c r="J15" s="4">
        <v>11.15</v>
      </c>
      <c r="K15" s="4">
        <v>8.0299999999999994</v>
      </c>
      <c r="L15" s="4">
        <v>21.48</v>
      </c>
      <c r="M15" s="4">
        <v>30.91</v>
      </c>
      <c r="N15" s="4">
        <v>43</v>
      </c>
      <c r="O15" s="4">
        <v>56</v>
      </c>
      <c r="P15" s="4">
        <v>65.760000000000005</v>
      </c>
      <c r="Q15" s="4">
        <v>59.56</v>
      </c>
      <c r="R15" s="4">
        <v>53.52</v>
      </c>
      <c r="S15" s="4">
        <v>51.79</v>
      </c>
      <c r="T15" s="4">
        <v>53.68</v>
      </c>
      <c r="U15" s="4">
        <v>82.73</v>
      </c>
      <c r="V15" s="4">
        <v>89.89</v>
      </c>
      <c r="W15" s="4">
        <v>113.9</v>
      </c>
      <c r="X15" s="4">
        <v>112.42</v>
      </c>
      <c r="Y15" s="4">
        <v>103.28</v>
      </c>
      <c r="Z15" s="4">
        <v>81.38</v>
      </c>
      <c r="AA15" s="4">
        <v>52.73</v>
      </c>
      <c r="AB15" s="23">
        <f t="shared" si="0"/>
        <v>1136.3399999999999</v>
      </c>
      <c r="AC15" s="24">
        <v>6</v>
      </c>
      <c r="AD15" s="86"/>
    </row>
    <row r="16" spans="2:30" x14ac:dyDescent="0.2">
      <c r="B16" s="85">
        <v>47939</v>
      </c>
      <c r="C16" s="2" t="s">
        <v>29</v>
      </c>
      <c r="D16" s="4">
        <v>39.520000000000003</v>
      </c>
      <c r="E16" s="4">
        <v>28</v>
      </c>
      <c r="F16" s="4">
        <v>17.59</v>
      </c>
      <c r="G16" s="4">
        <v>14.26</v>
      </c>
      <c r="H16" s="4">
        <v>13.55</v>
      </c>
      <c r="I16" s="4">
        <v>12.43</v>
      </c>
      <c r="J16" s="4">
        <v>24.97</v>
      </c>
      <c r="K16" s="4">
        <v>23.16</v>
      </c>
      <c r="L16" s="4">
        <v>38.51</v>
      </c>
      <c r="M16" s="4">
        <v>49.38</v>
      </c>
      <c r="N16" s="4">
        <v>63.17</v>
      </c>
      <c r="O16" s="4">
        <v>77.87</v>
      </c>
      <c r="P16" s="4">
        <v>88.79</v>
      </c>
      <c r="Q16" s="4">
        <v>81.69</v>
      </c>
      <c r="R16" s="4">
        <v>74.849999999999994</v>
      </c>
      <c r="S16" s="4">
        <v>72.760000000000005</v>
      </c>
      <c r="T16" s="4">
        <v>74.69</v>
      </c>
      <c r="U16" s="4">
        <v>104.01</v>
      </c>
      <c r="V16" s="4">
        <v>112.07</v>
      </c>
      <c r="W16" s="4">
        <v>139.09</v>
      </c>
      <c r="X16" s="4">
        <v>137.43</v>
      </c>
      <c r="Y16" s="4">
        <v>127.14</v>
      </c>
      <c r="Z16" s="4">
        <v>102.49</v>
      </c>
      <c r="AA16" s="4">
        <v>70.239999999999995</v>
      </c>
      <c r="AB16" s="23">
        <f t="shared" si="0"/>
        <v>1587.66</v>
      </c>
      <c r="AC16" s="24">
        <v>20</v>
      </c>
      <c r="AD16" s="86">
        <f>+AB16*AC16+AB17*AC17+AB18*AC18</f>
        <v>44357.32</v>
      </c>
    </row>
    <row r="17" spans="2:30" x14ac:dyDescent="0.2">
      <c r="B17" s="85"/>
      <c r="C17" s="2" t="s">
        <v>30</v>
      </c>
      <c r="D17" s="4">
        <v>34.69</v>
      </c>
      <c r="E17" s="4">
        <v>23.57</v>
      </c>
      <c r="F17" s="4">
        <v>13.53</v>
      </c>
      <c r="G17" s="4">
        <v>10.31</v>
      </c>
      <c r="H17" s="4">
        <v>9.6300000000000008</v>
      </c>
      <c r="I17" s="4">
        <v>8.5500000000000007</v>
      </c>
      <c r="J17" s="4">
        <v>20.65</v>
      </c>
      <c r="K17" s="4">
        <v>18.43</v>
      </c>
      <c r="L17" s="4">
        <v>33.18</v>
      </c>
      <c r="M17" s="4">
        <v>43.6</v>
      </c>
      <c r="N17" s="4">
        <v>56.86</v>
      </c>
      <c r="O17" s="4">
        <v>71.03</v>
      </c>
      <c r="P17" s="4">
        <v>81.58</v>
      </c>
      <c r="Q17" s="4">
        <v>74.77</v>
      </c>
      <c r="R17" s="4">
        <v>68.180000000000007</v>
      </c>
      <c r="S17" s="4">
        <v>66.2</v>
      </c>
      <c r="T17" s="4">
        <v>68.12</v>
      </c>
      <c r="U17" s="4">
        <v>97.36</v>
      </c>
      <c r="V17" s="4">
        <v>105.13</v>
      </c>
      <c r="W17" s="4">
        <v>131.21</v>
      </c>
      <c r="X17" s="4">
        <v>129.61000000000001</v>
      </c>
      <c r="Y17" s="4">
        <v>119.68</v>
      </c>
      <c r="Z17" s="4">
        <v>95.89</v>
      </c>
      <c r="AA17" s="4">
        <v>64.760000000000005</v>
      </c>
      <c r="AB17" s="23">
        <f t="shared" si="0"/>
        <v>1446.5200000000002</v>
      </c>
      <c r="AC17" s="24">
        <v>4</v>
      </c>
      <c r="AD17" s="86"/>
    </row>
    <row r="18" spans="2:30" x14ac:dyDescent="0.2">
      <c r="B18" s="85"/>
      <c r="C18" s="2" t="s">
        <v>63</v>
      </c>
      <c r="D18" s="4">
        <v>24.07</v>
      </c>
      <c r="E18" s="4">
        <v>13.84</v>
      </c>
      <c r="F18" s="4">
        <v>4.59</v>
      </c>
      <c r="G18" s="4">
        <v>1.63</v>
      </c>
      <c r="H18" s="4">
        <v>1</v>
      </c>
      <c r="I18" s="4">
        <v>0</v>
      </c>
      <c r="J18" s="4">
        <v>11.15</v>
      </c>
      <c r="K18" s="4">
        <v>8.0299999999999994</v>
      </c>
      <c r="L18" s="4">
        <v>21.48</v>
      </c>
      <c r="M18" s="4">
        <v>30.91</v>
      </c>
      <c r="N18" s="4">
        <v>43</v>
      </c>
      <c r="O18" s="4">
        <v>56</v>
      </c>
      <c r="P18" s="4">
        <v>65.760000000000005</v>
      </c>
      <c r="Q18" s="4">
        <v>59.56</v>
      </c>
      <c r="R18" s="4">
        <v>53.52</v>
      </c>
      <c r="S18" s="4">
        <v>51.79</v>
      </c>
      <c r="T18" s="4">
        <v>53.68</v>
      </c>
      <c r="U18" s="4">
        <v>82.73</v>
      </c>
      <c r="V18" s="4">
        <v>89.89</v>
      </c>
      <c r="W18" s="4">
        <v>113.9</v>
      </c>
      <c r="X18" s="4">
        <v>112.42</v>
      </c>
      <c r="Y18" s="4">
        <v>103.28</v>
      </c>
      <c r="Z18" s="4">
        <v>81.38</v>
      </c>
      <c r="AA18" s="4">
        <v>52.73</v>
      </c>
      <c r="AB18" s="23">
        <f t="shared" si="0"/>
        <v>1136.3399999999999</v>
      </c>
      <c r="AC18" s="24">
        <v>6</v>
      </c>
      <c r="AD18" s="86"/>
    </row>
    <row r="19" spans="2:30" x14ac:dyDescent="0.2">
      <c r="B19" s="85">
        <v>47969</v>
      </c>
      <c r="C19" s="2" t="s">
        <v>29</v>
      </c>
      <c r="D19" s="4">
        <v>39.520000000000003</v>
      </c>
      <c r="E19" s="4">
        <v>28</v>
      </c>
      <c r="F19" s="4">
        <v>17.59</v>
      </c>
      <c r="G19" s="4">
        <v>14.26</v>
      </c>
      <c r="H19" s="4">
        <v>13.55</v>
      </c>
      <c r="I19" s="4">
        <v>12.43</v>
      </c>
      <c r="J19" s="4">
        <v>24.97</v>
      </c>
      <c r="K19" s="4">
        <v>23.16</v>
      </c>
      <c r="L19" s="4">
        <v>38.51</v>
      </c>
      <c r="M19" s="4">
        <v>49.38</v>
      </c>
      <c r="N19" s="4">
        <v>63.17</v>
      </c>
      <c r="O19" s="4">
        <v>77.87</v>
      </c>
      <c r="P19" s="4">
        <v>88.79</v>
      </c>
      <c r="Q19" s="4">
        <v>81.69</v>
      </c>
      <c r="R19" s="4">
        <v>74.849999999999994</v>
      </c>
      <c r="S19" s="4">
        <v>72.760000000000005</v>
      </c>
      <c r="T19" s="4">
        <v>74.69</v>
      </c>
      <c r="U19" s="4">
        <v>104.01</v>
      </c>
      <c r="V19" s="4">
        <v>112.07</v>
      </c>
      <c r="W19" s="4">
        <v>139.09</v>
      </c>
      <c r="X19" s="4">
        <v>137.43</v>
      </c>
      <c r="Y19" s="4">
        <v>127.14</v>
      </c>
      <c r="Z19" s="4">
        <v>102.49</v>
      </c>
      <c r="AA19" s="4">
        <v>70.239999999999995</v>
      </c>
      <c r="AB19" s="23">
        <f t="shared" si="0"/>
        <v>1587.66</v>
      </c>
      <c r="AC19" s="24">
        <v>20</v>
      </c>
      <c r="AD19" s="86">
        <f>+AB19*AC19+AB20*AC20+AB21*AC21</f>
        <v>45803.840000000004</v>
      </c>
    </row>
    <row r="20" spans="2:30" x14ac:dyDescent="0.2">
      <c r="B20" s="85"/>
      <c r="C20" s="2" t="s">
        <v>30</v>
      </c>
      <c r="D20" s="4">
        <v>34.69</v>
      </c>
      <c r="E20" s="4">
        <v>23.57</v>
      </c>
      <c r="F20" s="4">
        <v>13.53</v>
      </c>
      <c r="G20" s="4">
        <v>10.31</v>
      </c>
      <c r="H20" s="4">
        <v>9.6300000000000008</v>
      </c>
      <c r="I20" s="4">
        <v>8.5500000000000007</v>
      </c>
      <c r="J20" s="4">
        <v>20.65</v>
      </c>
      <c r="K20" s="4">
        <v>18.43</v>
      </c>
      <c r="L20" s="4">
        <v>33.18</v>
      </c>
      <c r="M20" s="4">
        <v>43.6</v>
      </c>
      <c r="N20" s="4">
        <v>56.86</v>
      </c>
      <c r="O20" s="4">
        <v>71.03</v>
      </c>
      <c r="P20" s="4">
        <v>81.58</v>
      </c>
      <c r="Q20" s="4">
        <v>74.77</v>
      </c>
      <c r="R20" s="4">
        <v>68.180000000000007</v>
      </c>
      <c r="S20" s="4">
        <v>66.2</v>
      </c>
      <c r="T20" s="4">
        <v>68.12</v>
      </c>
      <c r="U20" s="4">
        <v>97.36</v>
      </c>
      <c r="V20" s="4">
        <v>105.13</v>
      </c>
      <c r="W20" s="4">
        <v>131.21</v>
      </c>
      <c r="X20" s="4">
        <v>129.61000000000001</v>
      </c>
      <c r="Y20" s="4">
        <v>119.68</v>
      </c>
      <c r="Z20" s="4">
        <v>95.89</v>
      </c>
      <c r="AA20" s="4">
        <v>64.760000000000005</v>
      </c>
      <c r="AB20" s="23">
        <f t="shared" si="0"/>
        <v>1446.5200000000002</v>
      </c>
      <c r="AC20" s="24">
        <v>5</v>
      </c>
      <c r="AD20" s="86"/>
    </row>
    <row r="21" spans="2:30" x14ac:dyDescent="0.2">
      <c r="B21" s="85"/>
      <c r="C21" s="2" t="s">
        <v>63</v>
      </c>
      <c r="D21" s="4">
        <v>24.07</v>
      </c>
      <c r="E21" s="4">
        <v>13.84</v>
      </c>
      <c r="F21" s="4">
        <v>4.59</v>
      </c>
      <c r="G21" s="4">
        <v>1.63</v>
      </c>
      <c r="H21" s="4">
        <v>1</v>
      </c>
      <c r="I21" s="4">
        <v>0</v>
      </c>
      <c r="J21" s="4">
        <v>11.15</v>
      </c>
      <c r="K21" s="4">
        <v>8.0299999999999994</v>
      </c>
      <c r="L21" s="4">
        <v>21.48</v>
      </c>
      <c r="M21" s="4">
        <v>30.91</v>
      </c>
      <c r="N21" s="4">
        <v>43</v>
      </c>
      <c r="O21" s="4">
        <v>56</v>
      </c>
      <c r="P21" s="4">
        <v>65.760000000000005</v>
      </c>
      <c r="Q21" s="4">
        <v>59.56</v>
      </c>
      <c r="R21" s="4">
        <v>53.52</v>
      </c>
      <c r="S21" s="4">
        <v>51.79</v>
      </c>
      <c r="T21" s="4">
        <v>53.68</v>
      </c>
      <c r="U21" s="4">
        <v>82.73</v>
      </c>
      <c r="V21" s="4">
        <v>89.89</v>
      </c>
      <c r="W21" s="4">
        <v>113.9</v>
      </c>
      <c r="X21" s="4">
        <v>112.42</v>
      </c>
      <c r="Y21" s="4">
        <v>103.28</v>
      </c>
      <c r="Z21" s="4">
        <v>81.38</v>
      </c>
      <c r="AA21" s="4">
        <v>52.73</v>
      </c>
      <c r="AB21" s="23">
        <f t="shared" si="0"/>
        <v>1136.3399999999999</v>
      </c>
      <c r="AC21" s="24">
        <v>6</v>
      </c>
      <c r="AD21" s="86"/>
    </row>
    <row r="22" spans="2:30" x14ac:dyDescent="0.2">
      <c r="B22" s="85">
        <v>48000</v>
      </c>
      <c r="C22" s="2" t="s">
        <v>29</v>
      </c>
      <c r="D22" s="4">
        <v>39.520000000000003</v>
      </c>
      <c r="E22" s="4">
        <v>28</v>
      </c>
      <c r="F22" s="4">
        <v>17.59</v>
      </c>
      <c r="G22" s="4">
        <v>14.26</v>
      </c>
      <c r="H22" s="4">
        <v>13.55</v>
      </c>
      <c r="I22" s="4">
        <v>12.43</v>
      </c>
      <c r="J22" s="4">
        <v>24.97</v>
      </c>
      <c r="K22" s="4">
        <v>23.16</v>
      </c>
      <c r="L22" s="4">
        <v>38.51</v>
      </c>
      <c r="M22" s="4">
        <v>49.38</v>
      </c>
      <c r="N22" s="4">
        <v>63.17</v>
      </c>
      <c r="O22" s="4">
        <v>77.87</v>
      </c>
      <c r="P22" s="4">
        <v>88.79</v>
      </c>
      <c r="Q22" s="4">
        <v>81.69</v>
      </c>
      <c r="R22" s="4">
        <v>74.849999999999994</v>
      </c>
      <c r="S22" s="4">
        <v>72.760000000000005</v>
      </c>
      <c r="T22" s="4">
        <v>74.69</v>
      </c>
      <c r="U22" s="4">
        <v>104.01</v>
      </c>
      <c r="V22" s="4">
        <v>112.07</v>
      </c>
      <c r="W22" s="4">
        <v>139.09</v>
      </c>
      <c r="X22" s="4">
        <v>137.43</v>
      </c>
      <c r="Y22" s="4">
        <v>127.14</v>
      </c>
      <c r="Z22" s="4">
        <v>102.49</v>
      </c>
      <c r="AA22" s="4">
        <v>70.239999999999995</v>
      </c>
      <c r="AB22" s="23">
        <f t="shared" si="0"/>
        <v>1587.66</v>
      </c>
      <c r="AC22" s="24">
        <v>18</v>
      </c>
      <c r="AD22" s="86">
        <f>+AB22*AC22+AB23*AC23+AB24*AC24</f>
        <v>43454.68</v>
      </c>
    </row>
    <row r="23" spans="2:30" x14ac:dyDescent="0.2">
      <c r="B23" s="85"/>
      <c r="C23" s="2" t="s">
        <v>30</v>
      </c>
      <c r="D23" s="4">
        <v>34.69</v>
      </c>
      <c r="E23" s="4">
        <v>23.57</v>
      </c>
      <c r="F23" s="4">
        <v>13.53</v>
      </c>
      <c r="G23" s="4">
        <v>10.31</v>
      </c>
      <c r="H23" s="4">
        <v>9.6300000000000008</v>
      </c>
      <c r="I23" s="4">
        <v>8.5500000000000007</v>
      </c>
      <c r="J23" s="4">
        <v>20.65</v>
      </c>
      <c r="K23" s="4">
        <v>18.43</v>
      </c>
      <c r="L23" s="4">
        <v>33.18</v>
      </c>
      <c r="M23" s="4">
        <v>43.6</v>
      </c>
      <c r="N23" s="4">
        <v>56.86</v>
      </c>
      <c r="O23" s="4">
        <v>71.03</v>
      </c>
      <c r="P23" s="4">
        <v>81.58</v>
      </c>
      <c r="Q23" s="4">
        <v>74.77</v>
      </c>
      <c r="R23" s="4">
        <v>68.180000000000007</v>
      </c>
      <c r="S23" s="4">
        <v>66.2</v>
      </c>
      <c r="T23" s="4">
        <v>68.12</v>
      </c>
      <c r="U23" s="4">
        <v>97.36</v>
      </c>
      <c r="V23" s="4">
        <v>105.13</v>
      </c>
      <c r="W23" s="4">
        <v>131.21</v>
      </c>
      <c r="X23" s="4">
        <v>129.61000000000001</v>
      </c>
      <c r="Y23" s="4">
        <v>119.68</v>
      </c>
      <c r="Z23" s="4">
        <v>95.89</v>
      </c>
      <c r="AA23" s="4">
        <v>64.760000000000005</v>
      </c>
      <c r="AB23" s="23">
        <f t="shared" si="0"/>
        <v>1446.5200000000002</v>
      </c>
      <c r="AC23" s="24">
        <v>4</v>
      </c>
      <c r="AD23" s="86"/>
    </row>
    <row r="24" spans="2:30" x14ac:dyDescent="0.2">
      <c r="B24" s="85"/>
      <c r="C24" s="2" t="s">
        <v>63</v>
      </c>
      <c r="D24" s="4">
        <v>24.07</v>
      </c>
      <c r="E24" s="4">
        <v>13.84</v>
      </c>
      <c r="F24" s="4">
        <v>4.59</v>
      </c>
      <c r="G24" s="4">
        <v>1.63</v>
      </c>
      <c r="H24" s="4">
        <v>1</v>
      </c>
      <c r="I24" s="4">
        <v>0</v>
      </c>
      <c r="J24" s="4">
        <v>11.15</v>
      </c>
      <c r="K24" s="4">
        <v>8.0299999999999994</v>
      </c>
      <c r="L24" s="4">
        <v>21.48</v>
      </c>
      <c r="M24" s="4">
        <v>30.91</v>
      </c>
      <c r="N24" s="4">
        <v>43</v>
      </c>
      <c r="O24" s="4">
        <v>56</v>
      </c>
      <c r="P24" s="4">
        <v>65.760000000000005</v>
      </c>
      <c r="Q24" s="4">
        <v>59.56</v>
      </c>
      <c r="R24" s="4">
        <v>53.52</v>
      </c>
      <c r="S24" s="4">
        <v>51.79</v>
      </c>
      <c r="T24" s="4">
        <v>53.68</v>
      </c>
      <c r="U24" s="4">
        <v>82.73</v>
      </c>
      <c r="V24" s="4">
        <v>89.89</v>
      </c>
      <c r="W24" s="4">
        <v>113.9</v>
      </c>
      <c r="X24" s="4">
        <v>112.42</v>
      </c>
      <c r="Y24" s="4">
        <v>103.28</v>
      </c>
      <c r="Z24" s="4">
        <v>81.38</v>
      </c>
      <c r="AA24" s="4">
        <v>52.73</v>
      </c>
      <c r="AB24" s="23">
        <f t="shared" si="0"/>
        <v>1136.3399999999999</v>
      </c>
      <c r="AC24" s="24">
        <v>8</v>
      </c>
      <c r="AD24" s="86"/>
    </row>
    <row r="25" spans="2:30" x14ac:dyDescent="0.2">
      <c r="B25" s="85">
        <v>48030</v>
      </c>
      <c r="C25" s="2" t="s">
        <v>29</v>
      </c>
      <c r="D25" s="4">
        <v>39.520000000000003</v>
      </c>
      <c r="E25" s="4">
        <v>28</v>
      </c>
      <c r="F25" s="4">
        <v>17.59</v>
      </c>
      <c r="G25" s="4">
        <v>14.26</v>
      </c>
      <c r="H25" s="4">
        <v>13.55</v>
      </c>
      <c r="I25" s="4">
        <v>12.43</v>
      </c>
      <c r="J25" s="4">
        <v>24.97</v>
      </c>
      <c r="K25" s="4">
        <v>23.16</v>
      </c>
      <c r="L25" s="4">
        <v>38.51</v>
      </c>
      <c r="M25" s="4">
        <v>49.38</v>
      </c>
      <c r="N25" s="4">
        <v>63.17</v>
      </c>
      <c r="O25" s="4">
        <v>77.87</v>
      </c>
      <c r="P25" s="4">
        <v>88.79</v>
      </c>
      <c r="Q25" s="4">
        <v>81.69</v>
      </c>
      <c r="R25" s="4">
        <v>74.849999999999994</v>
      </c>
      <c r="S25" s="4">
        <v>72.760000000000005</v>
      </c>
      <c r="T25" s="4">
        <v>74.69</v>
      </c>
      <c r="U25" s="4">
        <v>104.01</v>
      </c>
      <c r="V25" s="4">
        <v>112.07</v>
      </c>
      <c r="W25" s="4">
        <v>139.09</v>
      </c>
      <c r="X25" s="4">
        <v>137.43</v>
      </c>
      <c r="Y25" s="4">
        <v>127.14</v>
      </c>
      <c r="Z25" s="4">
        <v>102.49</v>
      </c>
      <c r="AA25" s="4">
        <v>70.239999999999995</v>
      </c>
      <c r="AB25" s="23">
        <f t="shared" si="0"/>
        <v>1587.66</v>
      </c>
      <c r="AC25" s="24">
        <v>23</v>
      </c>
      <c r="AD25" s="86">
        <f>+AB25*AC25+AB26*AC26+AB27*AC27</f>
        <v>46847.62</v>
      </c>
    </row>
    <row r="26" spans="2:30" x14ac:dyDescent="0.2">
      <c r="B26" s="85"/>
      <c r="C26" s="2" t="s">
        <v>30</v>
      </c>
      <c r="D26" s="4">
        <v>34.69</v>
      </c>
      <c r="E26" s="4">
        <v>23.57</v>
      </c>
      <c r="F26" s="4">
        <v>13.53</v>
      </c>
      <c r="G26" s="4">
        <v>10.31</v>
      </c>
      <c r="H26" s="4">
        <v>9.6300000000000008</v>
      </c>
      <c r="I26" s="4">
        <v>8.5500000000000007</v>
      </c>
      <c r="J26" s="4">
        <v>20.65</v>
      </c>
      <c r="K26" s="4">
        <v>18.43</v>
      </c>
      <c r="L26" s="4">
        <v>33.18</v>
      </c>
      <c r="M26" s="4">
        <v>43.6</v>
      </c>
      <c r="N26" s="4">
        <v>56.86</v>
      </c>
      <c r="O26" s="4">
        <v>71.03</v>
      </c>
      <c r="P26" s="4">
        <v>81.58</v>
      </c>
      <c r="Q26" s="4">
        <v>74.77</v>
      </c>
      <c r="R26" s="4">
        <v>68.180000000000007</v>
      </c>
      <c r="S26" s="4">
        <v>66.2</v>
      </c>
      <c r="T26" s="4">
        <v>68.12</v>
      </c>
      <c r="U26" s="4">
        <v>97.36</v>
      </c>
      <c r="V26" s="4">
        <v>105.13</v>
      </c>
      <c r="W26" s="4">
        <v>131.21</v>
      </c>
      <c r="X26" s="4">
        <v>129.61000000000001</v>
      </c>
      <c r="Y26" s="4">
        <v>119.68</v>
      </c>
      <c r="Z26" s="4">
        <v>95.89</v>
      </c>
      <c r="AA26" s="4">
        <v>64.760000000000005</v>
      </c>
      <c r="AB26" s="23">
        <f t="shared" si="0"/>
        <v>1446.5200000000002</v>
      </c>
      <c r="AC26" s="24">
        <v>4</v>
      </c>
      <c r="AD26" s="86"/>
    </row>
    <row r="27" spans="2:30" x14ac:dyDescent="0.2">
      <c r="B27" s="85"/>
      <c r="C27" s="2" t="s">
        <v>63</v>
      </c>
      <c r="D27" s="4">
        <v>24.07</v>
      </c>
      <c r="E27" s="4">
        <v>13.84</v>
      </c>
      <c r="F27" s="4">
        <v>4.59</v>
      </c>
      <c r="G27" s="4">
        <v>1.63</v>
      </c>
      <c r="H27" s="4">
        <v>1</v>
      </c>
      <c r="I27" s="4">
        <v>0</v>
      </c>
      <c r="J27" s="4">
        <v>11.15</v>
      </c>
      <c r="K27" s="4">
        <v>8.0299999999999994</v>
      </c>
      <c r="L27" s="4">
        <v>21.48</v>
      </c>
      <c r="M27" s="4">
        <v>30.91</v>
      </c>
      <c r="N27" s="4">
        <v>43</v>
      </c>
      <c r="O27" s="4">
        <v>56</v>
      </c>
      <c r="P27" s="4">
        <v>65.760000000000005</v>
      </c>
      <c r="Q27" s="4">
        <v>59.56</v>
      </c>
      <c r="R27" s="4">
        <v>53.52</v>
      </c>
      <c r="S27" s="4">
        <v>51.79</v>
      </c>
      <c r="T27" s="4">
        <v>53.68</v>
      </c>
      <c r="U27" s="4">
        <v>82.73</v>
      </c>
      <c r="V27" s="4">
        <v>89.89</v>
      </c>
      <c r="W27" s="4">
        <v>113.9</v>
      </c>
      <c r="X27" s="4">
        <v>112.42</v>
      </c>
      <c r="Y27" s="4">
        <v>103.28</v>
      </c>
      <c r="Z27" s="4">
        <v>81.38</v>
      </c>
      <c r="AA27" s="4">
        <v>52.73</v>
      </c>
      <c r="AB27" s="23">
        <f t="shared" si="0"/>
        <v>1136.3399999999999</v>
      </c>
      <c r="AC27" s="24">
        <v>4</v>
      </c>
      <c r="AD27" s="86"/>
    </row>
    <row r="28" spans="2:30" x14ac:dyDescent="0.2">
      <c r="B28" s="85">
        <v>48061</v>
      </c>
      <c r="C28" s="2" t="s">
        <v>29</v>
      </c>
      <c r="D28" s="4">
        <v>39.520000000000003</v>
      </c>
      <c r="E28" s="4">
        <v>28</v>
      </c>
      <c r="F28" s="4">
        <v>17.59</v>
      </c>
      <c r="G28" s="4">
        <v>14.26</v>
      </c>
      <c r="H28" s="4">
        <v>13.55</v>
      </c>
      <c r="I28" s="4">
        <v>12.43</v>
      </c>
      <c r="J28" s="4">
        <v>24.97</v>
      </c>
      <c r="K28" s="4">
        <v>23.16</v>
      </c>
      <c r="L28" s="4">
        <v>38.51</v>
      </c>
      <c r="M28" s="4">
        <v>49.38</v>
      </c>
      <c r="N28" s="4">
        <v>63.17</v>
      </c>
      <c r="O28" s="4">
        <v>77.87</v>
      </c>
      <c r="P28" s="4">
        <v>88.79</v>
      </c>
      <c r="Q28" s="4">
        <v>81.69</v>
      </c>
      <c r="R28" s="4">
        <v>74.849999999999994</v>
      </c>
      <c r="S28" s="4">
        <v>72.760000000000005</v>
      </c>
      <c r="T28" s="4">
        <v>74.69</v>
      </c>
      <c r="U28" s="4">
        <v>104.01</v>
      </c>
      <c r="V28" s="4">
        <v>112.07</v>
      </c>
      <c r="W28" s="4">
        <v>139.09</v>
      </c>
      <c r="X28" s="4">
        <v>137.43</v>
      </c>
      <c r="Y28" s="4">
        <v>127.14</v>
      </c>
      <c r="Z28" s="4">
        <v>102.49</v>
      </c>
      <c r="AA28" s="4">
        <v>70.239999999999995</v>
      </c>
      <c r="AB28" s="23">
        <f t="shared" si="0"/>
        <v>1587.66</v>
      </c>
      <c r="AC28" s="24">
        <v>19</v>
      </c>
      <c r="AD28" s="86">
        <f>+AB28*AC28+AB29*AC29+AB30*AC30</f>
        <v>45352.52</v>
      </c>
    </row>
    <row r="29" spans="2:30" x14ac:dyDescent="0.2">
      <c r="B29" s="85"/>
      <c r="C29" s="2" t="s">
        <v>30</v>
      </c>
      <c r="D29" s="4">
        <v>34.69</v>
      </c>
      <c r="E29" s="4">
        <v>23.57</v>
      </c>
      <c r="F29" s="4">
        <v>13.53</v>
      </c>
      <c r="G29" s="4">
        <v>10.31</v>
      </c>
      <c r="H29" s="4">
        <v>9.6300000000000008</v>
      </c>
      <c r="I29" s="4">
        <v>8.5500000000000007</v>
      </c>
      <c r="J29" s="4">
        <v>20.65</v>
      </c>
      <c r="K29" s="4">
        <v>18.43</v>
      </c>
      <c r="L29" s="4">
        <v>33.18</v>
      </c>
      <c r="M29" s="4">
        <v>43.6</v>
      </c>
      <c r="N29" s="4">
        <v>56.86</v>
      </c>
      <c r="O29" s="4">
        <v>71.03</v>
      </c>
      <c r="P29" s="4">
        <v>81.58</v>
      </c>
      <c r="Q29" s="4">
        <v>74.77</v>
      </c>
      <c r="R29" s="4">
        <v>68.180000000000007</v>
      </c>
      <c r="S29" s="4">
        <v>66.2</v>
      </c>
      <c r="T29" s="4">
        <v>68.12</v>
      </c>
      <c r="U29" s="4">
        <v>97.36</v>
      </c>
      <c r="V29" s="4">
        <v>105.13</v>
      </c>
      <c r="W29" s="4">
        <v>131.21</v>
      </c>
      <c r="X29" s="4">
        <v>129.61000000000001</v>
      </c>
      <c r="Y29" s="4">
        <v>119.68</v>
      </c>
      <c r="Z29" s="4">
        <v>95.89</v>
      </c>
      <c r="AA29" s="4">
        <v>64.760000000000005</v>
      </c>
      <c r="AB29" s="23">
        <f t="shared" si="0"/>
        <v>1446.5200000000002</v>
      </c>
      <c r="AC29" s="24">
        <v>5</v>
      </c>
      <c r="AD29" s="86"/>
    </row>
    <row r="30" spans="2:30" x14ac:dyDescent="0.2">
      <c r="B30" s="85"/>
      <c r="C30" s="2" t="s">
        <v>63</v>
      </c>
      <c r="D30" s="4">
        <v>24.07</v>
      </c>
      <c r="E30" s="4">
        <v>13.84</v>
      </c>
      <c r="F30" s="4">
        <v>4.59</v>
      </c>
      <c r="G30" s="4">
        <v>1.63</v>
      </c>
      <c r="H30" s="4">
        <v>1</v>
      </c>
      <c r="I30" s="4">
        <v>0</v>
      </c>
      <c r="J30" s="4">
        <v>11.15</v>
      </c>
      <c r="K30" s="4">
        <v>8.0299999999999994</v>
      </c>
      <c r="L30" s="4">
        <v>21.48</v>
      </c>
      <c r="M30" s="4">
        <v>30.91</v>
      </c>
      <c r="N30" s="4">
        <v>43</v>
      </c>
      <c r="O30" s="4">
        <v>56</v>
      </c>
      <c r="P30" s="4">
        <v>65.760000000000005</v>
      </c>
      <c r="Q30" s="4">
        <v>59.56</v>
      </c>
      <c r="R30" s="4">
        <v>53.52</v>
      </c>
      <c r="S30" s="4">
        <v>51.79</v>
      </c>
      <c r="T30" s="4">
        <v>53.68</v>
      </c>
      <c r="U30" s="4">
        <v>82.73</v>
      </c>
      <c r="V30" s="4">
        <v>89.89</v>
      </c>
      <c r="W30" s="4">
        <v>113.9</v>
      </c>
      <c r="X30" s="4">
        <v>112.42</v>
      </c>
      <c r="Y30" s="4">
        <v>103.28</v>
      </c>
      <c r="Z30" s="4">
        <v>81.38</v>
      </c>
      <c r="AA30" s="4">
        <v>52.73</v>
      </c>
      <c r="AB30" s="23">
        <f t="shared" si="0"/>
        <v>1136.3399999999999</v>
      </c>
      <c r="AC30" s="24">
        <v>7</v>
      </c>
      <c r="AD30" s="86"/>
    </row>
    <row r="31" spans="2:30" x14ac:dyDescent="0.2">
      <c r="B31" s="85">
        <v>48092</v>
      </c>
      <c r="C31" s="2" t="s">
        <v>29</v>
      </c>
      <c r="D31" s="4">
        <v>39.520000000000003</v>
      </c>
      <c r="E31" s="4">
        <v>28</v>
      </c>
      <c r="F31" s="4">
        <v>17.59</v>
      </c>
      <c r="G31" s="4">
        <v>14.26</v>
      </c>
      <c r="H31" s="4">
        <v>13.55</v>
      </c>
      <c r="I31" s="4">
        <v>12.43</v>
      </c>
      <c r="J31" s="4">
        <v>24.97</v>
      </c>
      <c r="K31" s="4">
        <v>23.16</v>
      </c>
      <c r="L31" s="4">
        <v>38.51</v>
      </c>
      <c r="M31" s="4">
        <v>49.38</v>
      </c>
      <c r="N31" s="4">
        <v>63.17</v>
      </c>
      <c r="O31" s="4">
        <v>77.87</v>
      </c>
      <c r="P31" s="4">
        <v>88.79</v>
      </c>
      <c r="Q31" s="4">
        <v>81.69</v>
      </c>
      <c r="R31" s="4">
        <v>74.849999999999994</v>
      </c>
      <c r="S31" s="4">
        <v>72.760000000000005</v>
      </c>
      <c r="T31" s="4">
        <v>74.69</v>
      </c>
      <c r="U31" s="4">
        <v>104.01</v>
      </c>
      <c r="V31" s="4">
        <v>112.07</v>
      </c>
      <c r="W31" s="4">
        <v>139.09</v>
      </c>
      <c r="X31" s="4">
        <v>137.43</v>
      </c>
      <c r="Y31" s="4">
        <v>127.14</v>
      </c>
      <c r="Z31" s="4">
        <v>102.49</v>
      </c>
      <c r="AA31" s="4">
        <v>70.239999999999995</v>
      </c>
      <c r="AB31" s="23">
        <f t="shared" si="0"/>
        <v>1587.66</v>
      </c>
      <c r="AC31" s="24">
        <v>22</v>
      </c>
      <c r="AD31" s="86">
        <f>+AB31*AC31+AB32*AC32+AB33*AC33</f>
        <v>45259.960000000006</v>
      </c>
    </row>
    <row r="32" spans="2:30" x14ac:dyDescent="0.2">
      <c r="B32" s="85"/>
      <c r="C32" s="2" t="s">
        <v>30</v>
      </c>
      <c r="D32" s="4">
        <v>34.69</v>
      </c>
      <c r="E32" s="4">
        <v>23.57</v>
      </c>
      <c r="F32" s="4">
        <v>13.53</v>
      </c>
      <c r="G32" s="4">
        <v>10.31</v>
      </c>
      <c r="H32" s="4">
        <v>9.6300000000000008</v>
      </c>
      <c r="I32" s="4">
        <v>8.5500000000000007</v>
      </c>
      <c r="J32" s="4">
        <v>20.65</v>
      </c>
      <c r="K32" s="4">
        <v>18.43</v>
      </c>
      <c r="L32" s="4">
        <v>33.18</v>
      </c>
      <c r="M32" s="4">
        <v>43.6</v>
      </c>
      <c r="N32" s="4">
        <v>56.86</v>
      </c>
      <c r="O32" s="4">
        <v>71.03</v>
      </c>
      <c r="P32" s="4">
        <v>81.58</v>
      </c>
      <c r="Q32" s="4">
        <v>74.77</v>
      </c>
      <c r="R32" s="4">
        <v>68.180000000000007</v>
      </c>
      <c r="S32" s="4">
        <v>66.2</v>
      </c>
      <c r="T32" s="4">
        <v>68.12</v>
      </c>
      <c r="U32" s="4">
        <v>97.36</v>
      </c>
      <c r="V32" s="4">
        <v>105.13</v>
      </c>
      <c r="W32" s="4">
        <v>131.21</v>
      </c>
      <c r="X32" s="4">
        <v>129.61000000000001</v>
      </c>
      <c r="Y32" s="4">
        <v>119.68</v>
      </c>
      <c r="Z32" s="4">
        <v>95.89</v>
      </c>
      <c r="AA32" s="4">
        <v>64.760000000000005</v>
      </c>
      <c r="AB32" s="23">
        <f t="shared" si="0"/>
        <v>1446.5200000000002</v>
      </c>
      <c r="AC32" s="24">
        <v>4</v>
      </c>
      <c r="AD32" s="86"/>
    </row>
    <row r="33" spans="2:32" x14ac:dyDescent="0.2">
      <c r="B33" s="85"/>
      <c r="C33" s="2" t="s">
        <v>63</v>
      </c>
      <c r="D33" s="4">
        <v>24.07</v>
      </c>
      <c r="E33" s="4">
        <v>13.84</v>
      </c>
      <c r="F33" s="4">
        <v>4.59</v>
      </c>
      <c r="G33" s="4">
        <v>1.63</v>
      </c>
      <c r="H33" s="4">
        <v>1</v>
      </c>
      <c r="I33" s="4">
        <v>0</v>
      </c>
      <c r="J33" s="4">
        <v>11.15</v>
      </c>
      <c r="K33" s="4">
        <v>8.0299999999999994</v>
      </c>
      <c r="L33" s="4">
        <v>21.48</v>
      </c>
      <c r="M33" s="4">
        <v>30.91</v>
      </c>
      <c r="N33" s="4">
        <v>43</v>
      </c>
      <c r="O33" s="4">
        <v>56</v>
      </c>
      <c r="P33" s="4">
        <v>65.760000000000005</v>
      </c>
      <c r="Q33" s="4">
        <v>59.56</v>
      </c>
      <c r="R33" s="4">
        <v>53.52</v>
      </c>
      <c r="S33" s="4">
        <v>51.79</v>
      </c>
      <c r="T33" s="4">
        <v>53.68</v>
      </c>
      <c r="U33" s="4">
        <v>82.73</v>
      </c>
      <c r="V33" s="4">
        <v>89.89</v>
      </c>
      <c r="W33" s="4">
        <v>113.9</v>
      </c>
      <c r="X33" s="4">
        <v>112.42</v>
      </c>
      <c r="Y33" s="4">
        <v>103.28</v>
      </c>
      <c r="Z33" s="4">
        <v>81.38</v>
      </c>
      <c r="AA33" s="4">
        <v>52.73</v>
      </c>
      <c r="AB33" s="23">
        <f t="shared" si="0"/>
        <v>1136.3399999999999</v>
      </c>
      <c r="AC33" s="24">
        <v>4</v>
      </c>
      <c r="AD33" s="86"/>
    </row>
    <row r="34" spans="2:32" x14ac:dyDescent="0.2">
      <c r="B34" s="85">
        <v>48122</v>
      </c>
      <c r="C34" s="2" t="s">
        <v>29</v>
      </c>
      <c r="D34" s="4">
        <v>39.520000000000003</v>
      </c>
      <c r="E34" s="4">
        <v>28</v>
      </c>
      <c r="F34" s="4">
        <v>17.59</v>
      </c>
      <c r="G34" s="4">
        <v>14.26</v>
      </c>
      <c r="H34" s="4">
        <v>13.55</v>
      </c>
      <c r="I34" s="4">
        <v>12.43</v>
      </c>
      <c r="J34" s="4">
        <v>24.97</v>
      </c>
      <c r="K34" s="4">
        <v>23.16</v>
      </c>
      <c r="L34" s="4">
        <v>38.51</v>
      </c>
      <c r="M34" s="4">
        <v>49.38</v>
      </c>
      <c r="N34" s="4">
        <v>63.17</v>
      </c>
      <c r="O34" s="4">
        <v>77.87</v>
      </c>
      <c r="P34" s="4">
        <v>88.79</v>
      </c>
      <c r="Q34" s="4">
        <v>81.69</v>
      </c>
      <c r="R34" s="4">
        <v>74.849999999999994</v>
      </c>
      <c r="S34" s="4">
        <v>72.760000000000005</v>
      </c>
      <c r="T34" s="4">
        <v>74.69</v>
      </c>
      <c r="U34" s="4">
        <v>104.01</v>
      </c>
      <c r="V34" s="4">
        <v>112.07</v>
      </c>
      <c r="W34" s="4">
        <v>139.09</v>
      </c>
      <c r="X34" s="4">
        <v>137.43</v>
      </c>
      <c r="Y34" s="4">
        <v>127.14</v>
      </c>
      <c r="Z34" s="4">
        <v>102.49</v>
      </c>
      <c r="AA34" s="4">
        <v>70.239999999999995</v>
      </c>
      <c r="AB34" s="23">
        <f t="shared" si="0"/>
        <v>1587.66</v>
      </c>
      <c r="AC34" s="24">
        <v>22</v>
      </c>
      <c r="AD34" s="86">
        <f>+AB34*AC34+AB35*AC35+AB36*AC36</f>
        <v>46396.3</v>
      </c>
    </row>
    <row r="35" spans="2:32" x14ac:dyDescent="0.2">
      <c r="B35" s="85"/>
      <c r="C35" s="2" t="s">
        <v>30</v>
      </c>
      <c r="D35" s="4">
        <v>34.69</v>
      </c>
      <c r="E35" s="4">
        <v>23.57</v>
      </c>
      <c r="F35" s="4">
        <v>13.53</v>
      </c>
      <c r="G35" s="4">
        <v>10.31</v>
      </c>
      <c r="H35" s="4">
        <v>9.6300000000000008</v>
      </c>
      <c r="I35" s="4">
        <v>8.5500000000000007</v>
      </c>
      <c r="J35" s="4">
        <v>20.65</v>
      </c>
      <c r="K35" s="4">
        <v>18.43</v>
      </c>
      <c r="L35" s="4">
        <v>33.18</v>
      </c>
      <c r="M35" s="4">
        <v>43.6</v>
      </c>
      <c r="N35" s="4">
        <v>56.86</v>
      </c>
      <c r="O35" s="4">
        <v>71.03</v>
      </c>
      <c r="P35" s="4">
        <v>81.58</v>
      </c>
      <c r="Q35" s="4">
        <v>74.77</v>
      </c>
      <c r="R35" s="4">
        <v>68.180000000000007</v>
      </c>
      <c r="S35" s="4">
        <v>66.2</v>
      </c>
      <c r="T35" s="4">
        <v>68.12</v>
      </c>
      <c r="U35" s="4">
        <v>97.36</v>
      </c>
      <c r="V35" s="4">
        <v>105.13</v>
      </c>
      <c r="W35" s="4">
        <v>131.21</v>
      </c>
      <c r="X35" s="4">
        <v>129.61000000000001</v>
      </c>
      <c r="Y35" s="4">
        <v>119.68</v>
      </c>
      <c r="Z35" s="4">
        <v>95.89</v>
      </c>
      <c r="AA35" s="4">
        <v>64.760000000000005</v>
      </c>
      <c r="AB35" s="23">
        <f t="shared" si="0"/>
        <v>1446.5200000000002</v>
      </c>
      <c r="AC35" s="24">
        <v>4</v>
      </c>
      <c r="AD35" s="86"/>
    </row>
    <row r="36" spans="2:32" x14ac:dyDescent="0.2">
      <c r="B36" s="85"/>
      <c r="C36" s="2" t="s">
        <v>63</v>
      </c>
      <c r="D36" s="4">
        <v>24.07</v>
      </c>
      <c r="E36" s="4">
        <v>13.84</v>
      </c>
      <c r="F36" s="4">
        <v>4.59</v>
      </c>
      <c r="G36" s="4">
        <v>1.63</v>
      </c>
      <c r="H36" s="4">
        <v>1</v>
      </c>
      <c r="I36" s="4">
        <v>0</v>
      </c>
      <c r="J36" s="4">
        <v>11.15</v>
      </c>
      <c r="K36" s="4">
        <v>8.0299999999999994</v>
      </c>
      <c r="L36" s="4">
        <v>21.48</v>
      </c>
      <c r="M36" s="4">
        <v>30.91</v>
      </c>
      <c r="N36" s="4">
        <v>43</v>
      </c>
      <c r="O36" s="4">
        <v>56</v>
      </c>
      <c r="P36" s="4">
        <v>65.760000000000005</v>
      </c>
      <c r="Q36" s="4">
        <v>59.56</v>
      </c>
      <c r="R36" s="4">
        <v>53.52</v>
      </c>
      <c r="S36" s="4">
        <v>51.79</v>
      </c>
      <c r="T36" s="4">
        <v>53.68</v>
      </c>
      <c r="U36" s="4">
        <v>82.73</v>
      </c>
      <c r="V36" s="4">
        <v>89.89</v>
      </c>
      <c r="W36" s="4">
        <v>113.9</v>
      </c>
      <c r="X36" s="4">
        <v>112.42</v>
      </c>
      <c r="Y36" s="4">
        <v>103.28</v>
      </c>
      <c r="Z36" s="4">
        <v>81.38</v>
      </c>
      <c r="AA36" s="4">
        <v>52.73</v>
      </c>
      <c r="AB36" s="23">
        <f t="shared" si="0"/>
        <v>1136.3399999999999</v>
      </c>
      <c r="AC36" s="24">
        <v>5</v>
      </c>
      <c r="AD36" s="86"/>
    </row>
    <row r="37" spans="2:32" x14ac:dyDescent="0.2">
      <c r="B37" s="85">
        <v>48153</v>
      </c>
      <c r="C37" s="2" t="s">
        <v>29</v>
      </c>
      <c r="D37" s="4">
        <v>39.520000000000003</v>
      </c>
      <c r="E37" s="4">
        <v>28</v>
      </c>
      <c r="F37" s="4">
        <v>17.59</v>
      </c>
      <c r="G37" s="4">
        <v>14.26</v>
      </c>
      <c r="H37" s="4">
        <v>13.55</v>
      </c>
      <c r="I37" s="4">
        <v>12.43</v>
      </c>
      <c r="J37" s="4">
        <v>24.97</v>
      </c>
      <c r="K37" s="4">
        <v>23.16</v>
      </c>
      <c r="L37" s="4">
        <v>38.51</v>
      </c>
      <c r="M37" s="4">
        <v>49.38</v>
      </c>
      <c r="N37" s="4">
        <v>63.17</v>
      </c>
      <c r="O37" s="4">
        <v>77.87</v>
      </c>
      <c r="P37" s="4">
        <v>88.79</v>
      </c>
      <c r="Q37" s="4">
        <v>81.69</v>
      </c>
      <c r="R37" s="4">
        <v>74.849999999999994</v>
      </c>
      <c r="S37" s="4">
        <v>72.760000000000005</v>
      </c>
      <c r="T37" s="4">
        <v>74.69</v>
      </c>
      <c r="U37" s="4">
        <v>104.01</v>
      </c>
      <c r="V37" s="4">
        <v>112.07</v>
      </c>
      <c r="W37" s="4">
        <v>139.09</v>
      </c>
      <c r="X37" s="4">
        <v>137.43</v>
      </c>
      <c r="Y37" s="4">
        <v>127.14</v>
      </c>
      <c r="Z37" s="4">
        <v>102.49</v>
      </c>
      <c r="AA37" s="4">
        <v>70.239999999999995</v>
      </c>
      <c r="AB37" s="23">
        <f t="shared" si="0"/>
        <v>1587.66</v>
      </c>
      <c r="AC37" s="24">
        <v>18</v>
      </c>
      <c r="AD37" s="86">
        <f>+AB37*AC37+AB38*AC38+AB39*AC39</f>
        <v>43764.86</v>
      </c>
    </row>
    <row r="38" spans="2:32" x14ac:dyDescent="0.2">
      <c r="B38" s="85"/>
      <c r="C38" s="2" t="s">
        <v>30</v>
      </c>
      <c r="D38" s="4">
        <v>34.69</v>
      </c>
      <c r="E38" s="4">
        <v>23.57</v>
      </c>
      <c r="F38" s="4">
        <v>13.53</v>
      </c>
      <c r="G38" s="4">
        <v>10.31</v>
      </c>
      <c r="H38" s="4">
        <v>9.6300000000000008</v>
      </c>
      <c r="I38" s="4">
        <v>8.5500000000000007</v>
      </c>
      <c r="J38" s="4">
        <v>20.65</v>
      </c>
      <c r="K38" s="4">
        <v>18.43</v>
      </c>
      <c r="L38" s="4">
        <v>33.18</v>
      </c>
      <c r="M38" s="4">
        <v>43.6</v>
      </c>
      <c r="N38" s="4">
        <v>56.86</v>
      </c>
      <c r="O38" s="4">
        <v>71.03</v>
      </c>
      <c r="P38" s="4">
        <v>81.58</v>
      </c>
      <c r="Q38" s="4">
        <v>74.77</v>
      </c>
      <c r="R38" s="4">
        <v>68.180000000000007</v>
      </c>
      <c r="S38" s="4">
        <v>66.2</v>
      </c>
      <c r="T38" s="4">
        <v>68.12</v>
      </c>
      <c r="U38" s="4">
        <v>97.36</v>
      </c>
      <c r="V38" s="4">
        <v>105.13</v>
      </c>
      <c r="W38" s="4">
        <v>131.21</v>
      </c>
      <c r="X38" s="4">
        <v>129.61000000000001</v>
      </c>
      <c r="Y38" s="4">
        <v>119.68</v>
      </c>
      <c r="Z38" s="4">
        <v>95.89</v>
      </c>
      <c r="AA38" s="4">
        <v>64.760000000000005</v>
      </c>
      <c r="AB38" s="23">
        <f t="shared" si="0"/>
        <v>1446.5200000000002</v>
      </c>
      <c r="AC38" s="24">
        <v>5</v>
      </c>
      <c r="AD38" s="86"/>
    </row>
    <row r="39" spans="2:32" x14ac:dyDescent="0.2">
      <c r="B39" s="85"/>
      <c r="C39" s="2" t="s">
        <v>63</v>
      </c>
      <c r="D39" s="4">
        <v>24.07</v>
      </c>
      <c r="E39" s="4">
        <v>13.84</v>
      </c>
      <c r="F39" s="4">
        <v>4.59</v>
      </c>
      <c r="G39" s="4">
        <v>1.63</v>
      </c>
      <c r="H39" s="4">
        <v>1</v>
      </c>
      <c r="I39" s="4">
        <v>0</v>
      </c>
      <c r="J39" s="4">
        <v>11.15</v>
      </c>
      <c r="K39" s="4">
        <v>8.0299999999999994</v>
      </c>
      <c r="L39" s="4">
        <v>21.48</v>
      </c>
      <c r="M39" s="4">
        <v>30.91</v>
      </c>
      <c r="N39" s="4">
        <v>43</v>
      </c>
      <c r="O39" s="4">
        <v>56</v>
      </c>
      <c r="P39" s="4">
        <v>65.760000000000005</v>
      </c>
      <c r="Q39" s="4">
        <v>59.56</v>
      </c>
      <c r="R39" s="4">
        <v>53.52</v>
      </c>
      <c r="S39" s="4">
        <v>51.79</v>
      </c>
      <c r="T39" s="4">
        <v>53.68</v>
      </c>
      <c r="U39" s="4">
        <v>82.73</v>
      </c>
      <c r="V39" s="4">
        <v>89.89</v>
      </c>
      <c r="W39" s="4">
        <v>113.9</v>
      </c>
      <c r="X39" s="4">
        <v>112.42</v>
      </c>
      <c r="Y39" s="4">
        <v>103.28</v>
      </c>
      <c r="Z39" s="4">
        <v>81.38</v>
      </c>
      <c r="AA39" s="4">
        <v>52.73</v>
      </c>
      <c r="AB39" s="23">
        <f t="shared" si="0"/>
        <v>1136.3399999999999</v>
      </c>
      <c r="AC39" s="24">
        <v>7</v>
      </c>
      <c r="AD39" s="86"/>
    </row>
    <row r="40" spans="2:32" x14ac:dyDescent="0.2">
      <c r="B40" s="85">
        <v>48183</v>
      </c>
      <c r="C40" s="2" t="s">
        <v>29</v>
      </c>
      <c r="D40" s="4">
        <v>39.520000000000003</v>
      </c>
      <c r="E40" s="4">
        <v>28</v>
      </c>
      <c r="F40" s="4">
        <v>17.59</v>
      </c>
      <c r="G40" s="4">
        <v>14.26</v>
      </c>
      <c r="H40" s="4">
        <v>13.55</v>
      </c>
      <c r="I40" s="4">
        <v>12.43</v>
      </c>
      <c r="J40" s="4">
        <v>24.97</v>
      </c>
      <c r="K40" s="4">
        <v>23.16</v>
      </c>
      <c r="L40" s="4">
        <v>38.51</v>
      </c>
      <c r="M40" s="4">
        <v>49.38</v>
      </c>
      <c r="N40" s="4">
        <v>63.17</v>
      </c>
      <c r="O40" s="4">
        <v>77.87</v>
      </c>
      <c r="P40" s="4">
        <v>88.79</v>
      </c>
      <c r="Q40" s="4">
        <v>81.69</v>
      </c>
      <c r="R40" s="4">
        <v>74.849999999999994</v>
      </c>
      <c r="S40" s="4">
        <v>72.760000000000005</v>
      </c>
      <c r="T40" s="4">
        <v>74.69</v>
      </c>
      <c r="U40" s="4">
        <v>104.01</v>
      </c>
      <c r="V40" s="4">
        <v>112.07</v>
      </c>
      <c r="W40" s="4">
        <v>139.09</v>
      </c>
      <c r="X40" s="4">
        <v>137.43</v>
      </c>
      <c r="Y40" s="4">
        <v>127.14</v>
      </c>
      <c r="Z40" s="4">
        <v>102.49</v>
      </c>
      <c r="AA40" s="4">
        <v>70.239999999999995</v>
      </c>
      <c r="AB40" s="23">
        <f t="shared" si="0"/>
        <v>1587.66</v>
      </c>
      <c r="AC40" s="24">
        <v>21</v>
      </c>
      <c r="AD40" s="86">
        <f>+AB40*AC40+AB41*AC41+AB42*AC42</f>
        <v>45944.98</v>
      </c>
    </row>
    <row r="41" spans="2:32" x14ac:dyDescent="0.2">
      <c r="B41" s="85"/>
      <c r="C41" s="2" t="s">
        <v>30</v>
      </c>
      <c r="D41" s="4">
        <v>34.69</v>
      </c>
      <c r="E41" s="4">
        <v>23.57</v>
      </c>
      <c r="F41" s="4">
        <v>13.53</v>
      </c>
      <c r="G41" s="4">
        <v>10.31</v>
      </c>
      <c r="H41" s="4">
        <v>9.6300000000000008</v>
      </c>
      <c r="I41" s="4">
        <v>8.5500000000000007</v>
      </c>
      <c r="J41" s="4">
        <v>20.65</v>
      </c>
      <c r="K41" s="4">
        <v>18.43</v>
      </c>
      <c r="L41" s="4">
        <v>33.18</v>
      </c>
      <c r="M41" s="4">
        <v>43.6</v>
      </c>
      <c r="N41" s="4">
        <v>56.86</v>
      </c>
      <c r="O41" s="4">
        <v>71.03</v>
      </c>
      <c r="P41" s="4">
        <v>81.58</v>
      </c>
      <c r="Q41" s="4">
        <v>74.77</v>
      </c>
      <c r="R41" s="4">
        <v>68.180000000000007</v>
      </c>
      <c r="S41" s="4">
        <v>66.2</v>
      </c>
      <c r="T41" s="4">
        <v>68.12</v>
      </c>
      <c r="U41" s="4">
        <v>97.36</v>
      </c>
      <c r="V41" s="4">
        <v>105.13</v>
      </c>
      <c r="W41" s="4">
        <v>131.21</v>
      </c>
      <c r="X41" s="4">
        <v>129.61000000000001</v>
      </c>
      <c r="Y41" s="4">
        <v>119.68</v>
      </c>
      <c r="Z41" s="4">
        <v>95.89</v>
      </c>
      <c r="AA41" s="4">
        <v>64.760000000000005</v>
      </c>
      <c r="AB41" s="23">
        <f t="shared" si="0"/>
        <v>1446.5200000000002</v>
      </c>
      <c r="AC41" s="24">
        <v>4</v>
      </c>
      <c r="AD41" s="86"/>
    </row>
    <row r="42" spans="2:32" x14ac:dyDescent="0.2">
      <c r="B42" s="85"/>
      <c r="C42" s="2" t="s">
        <v>63</v>
      </c>
      <c r="D42" s="4">
        <v>24.07</v>
      </c>
      <c r="E42" s="4">
        <v>13.84</v>
      </c>
      <c r="F42" s="4">
        <v>4.59</v>
      </c>
      <c r="G42" s="4">
        <v>1.63</v>
      </c>
      <c r="H42" s="4">
        <v>1</v>
      </c>
      <c r="I42" s="4">
        <v>0</v>
      </c>
      <c r="J42" s="4">
        <v>11.15</v>
      </c>
      <c r="K42" s="4">
        <v>8.0299999999999994</v>
      </c>
      <c r="L42" s="4">
        <v>21.48</v>
      </c>
      <c r="M42" s="4">
        <v>30.91</v>
      </c>
      <c r="N42" s="4">
        <v>43</v>
      </c>
      <c r="O42" s="4">
        <v>56</v>
      </c>
      <c r="P42" s="4">
        <v>65.760000000000005</v>
      </c>
      <c r="Q42" s="4">
        <v>59.56</v>
      </c>
      <c r="R42" s="4">
        <v>53.52</v>
      </c>
      <c r="S42" s="4">
        <v>51.79</v>
      </c>
      <c r="T42" s="4">
        <v>53.68</v>
      </c>
      <c r="U42" s="4">
        <v>82.73</v>
      </c>
      <c r="V42" s="4">
        <v>89.89</v>
      </c>
      <c r="W42" s="4">
        <v>113.9</v>
      </c>
      <c r="X42" s="4">
        <v>112.42</v>
      </c>
      <c r="Y42" s="4">
        <v>103.28</v>
      </c>
      <c r="Z42" s="4">
        <v>81.38</v>
      </c>
      <c r="AA42" s="4">
        <v>52.73</v>
      </c>
      <c r="AB42" s="23">
        <f t="shared" si="0"/>
        <v>1136.3399999999999</v>
      </c>
      <c r="AC42" s="24">
        <v>6</v>
      </c>
      <c r="AD42" s="86"/>
    </row>
    <row r="43" spans="2:32" ht="15.75" x14ac:dyDescent="0.25">
      <c r="AA43" s="87" t="s">
        <v>31</v>
      </c>
      <c r="AB43" s="88"/>
      <c r="AC43" s="89"/>
      <c r="AD43" s="25">
        <f>SUM(AD7:AD42)</f>
        <v>541015.54</v>
      </c>
      <c r="AE43" s="71"/>
      <c r="AF43" s="72"/>
    </row>
  </sheetData>
  <mergeCells count="25">
    <mergeCell ref="AA43:AC43"/>
    <mergeCell ref="B34:B36"/>
    <mergeCell ref="AD34:AD36"/>
    <mergeCell ref="B37:B39"/>
    <mergeCell ref="AD37:AD39"/>
    <mergeCell ref="B40:B42"/>
    <mergeCell ref="AD40:AD42"/>
    <mergeCell ref="B25:B27"/>
    <mergeCell ref="AD25:AD27"/>
    <mergeCell ref="B28:B30"/>
    <mergeCell ref="AD28:AD30"/>
    <mergeCell ref="B31:B33"/>
    <mergeCell ref="AD31:AD33"/>
    <mergeCell ref="B16:B18"/>
    <mergeCell ref="AD16:AD18"/>
    <mergeCell ref="B19:B21"/>
    <mergeCell ref="AD19:AD21"/>
    <mergeCell ref="B22:B24"/>
    <mergeCell ref="AD22:AD24"/>
    <mergeCell ref="B7:B9"/>
    <mergeCell ref="AD7:AD9"/>
    <mergeCell ref="B10:B12"/>
    <mergeCell ref="AD10:AD12"/>
    <mergeCell ref="B13:B15"/>
    <mergeCell ref="AD13:AD1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5555-9CD6-4DA2-AEA4-963A5F4A926D}">
  <sheetPr>
    <tabColor theme="7" tint="0.39997558519241921"/>
  </sheetPr>
  <dimension ref="B2:M23"/>
  <sheetViews>
    <sheetView showGridLines="0" zoomScale="80" zoomScaleNormal="80" workbookViewId="0"/>
  </sheetViews>
  <sheetFormatPr baseColWidth="10" defaultColWidth="10.88671875" defaultRowHeight="15" x14ac:dyDescent="0.2"/>
  <cols>
    <col min="1" max="1" width="5.33203125" style="30" customWidth="1"/>
    <col min="2" max="2" width="13.6640625" style="30" customWidth="1"/>
    <col min="3" max="4" width="12.109375" style="30" customWidth="1"/>
    <col min="5" max="5" width="12.88671875" style="30" customWidth="1"/>
    <col min="6" max="6" width="13.109375" style="30" customWidth="1"/>
    <col min="7" max="7" width="8.109375" style="30" customWidth="1"/>
    <col min="8" max="8" width="13" style="30" customWidth="1"/>
    <col min="9" max="16384" width="10.88671875" style="30"/>
  </cols>
  <sheetData>
    <row r="2" spans="2:8" x14ac:dyDescent="0.2">
      <c r="B2" s="59"/>
      <c r="C2" s="60"/>
      <c r="D2" s="60"/>
      <c r="E2" s="60"/>
      <c r="F2" s="60"/>
      <c r="G2" s="60"/>
      <c r="H2" s="61"/>
    </row>
    <row r="3" spans="2:8" ht="18" x14ac:dyDescent="0.2">
      <c r="B3" s="62"/>
      <c r="C3" s="48" t="s">
        <v>32</v>
      </c>
      <c r="H3" s="63"/>
    </row>
    <row r="4" spans="2:8" ht="18" x14ac:dyDescent="0.2">
      <c r="B4" s="62"/>
      <c r="C4" s="48" t="s">
        <v>33</v>
      </c>
      <c r="H4" s="63"/>
    </row>
    <row r="5" spans="2:8" ht="18" x14ac:dyDescent="0.2">
      <c r="B5" s="62"/>
      <c r="C5" s="48" t="s">
        <v>62</v>
      </c>
      <c r="H5" s="63"/>
    </row>
    <row r="6" spans="2:8" ht="18" x14ac:dyDescent="0.2">
      <c r="B6" s="62"/>
      <c r="C6" s="48"/>
      <c r="H6" s="63"/>
    </row>
    <row r="7" spans="2:8" ht="18" x14ac:dyDescent="0.2">
      <c r="B7" s="62"/>
      <c r="C7" s="48" t="s">
        <v>54</v>
      </c>
      <c r="H7" s="63"/>
    </row>
    <row r="8" spans="2:8" x14ac:dyDescent="0.2">
      <c r="B8" s="62"/>
      <c r="H8" s="63"/>
    </row>
    <row r="9" spans="2:8" ht="18" x14ac:dyDescent="0.2">
      <c r="B9" s="62"/>
      <c r="C9" s="13" t="s">
        <v>85</v>
      </c>
      <c r="H9" s="63"/>
    </row>
    <row r="10" spans="2:8" x14ac:dyDescent="0.2">
      <c r="B10" s="62"/>
      <c r="H10" s="63"/>
    </row>
    <row r="11" spans="2:8" ht="15.75" x14ac:dyDescent="0.2">
      <c r="B11" s="62"/>
      <c r="C11" s="32"/>
      <c r="H11" s="64"/>
    </row>
    <row r="12" spans="2:8" ht="45" x14ac:dyDescent="0.2">
      <c r="B12" s="62"/>
      <c r="C12" s="34" t="s">
        <v>72</v>
      </c>
      <c r="D12" s="34" t="s">
        <v>34</v>
      </c>
      <c r="E12" s="6" t="s">
        <v>91</v>
      </c>
      <c r="F12" s="34" t="s">
        <v>57</v>
      </c>
      <c r="G12" s="51"/>
      <c r="H12" s="64"/>
    </row>
    <row r="13" spans="2:8" ht="15.75" x14ac:dyDescent="0.2">
      <c r="B13" s="62"/>
      <c r="C13" s="33">
        <v>2031</v>
      </c>
      <c r="D13" s="53">
        <f>P10_Anexo_1_2031!AD43</f>
        <v>541015.54</v>
      </c>
      <c r="E13" s="36"/>
      <c r="F13" s="36"/>
      <c r="G13" s="38"/>
      <c r="H13" s="64"/>
    </row>
    <row r="14" spans="2:8" ht="15.75" x14ac:dyDescent="0.2">
      <c r="B14" s="62"/>
      <c r="C14" s="65" t="s">
        <v>35</v>
      </c>
      <c r="D14" s="56">
        <f>SUM(D13:D13)</f>
        <v>541015.54</v>
      </c>
      <c r="H14" s="64"/>
    </row>
    <row r="15" spans="2:8" ht="15.75" x14ac:dyDescent="0.2">
      <c r="B15" s="62"/>
      <c r="H15" s="64"/>
    </row>
    <row r="16" spans="2:8" x14ac:dyDescent="0.2">
      <c r="B16" s="62"/>
      <c r="H16" s="63"/>
    </row>
    <row r="17" spans="2:13" x14ac:dyDescent="0.2">
      <c r="B17" s="62"/>
      <c r="C17" s="41" t="s">
        <v>36</v>
      </c>
      <c r="H17" s="63"/>
      <c r="M17" s="31"/>
    </row>
    <row r="18" spans="2:13" x14ac:dyDescent="0.2">
      <c r="B18" s="62"/>
      <c r="C18" s="41" t="s">
        <v>58</v>
      </c>
      <c r="H18" s="63"/>
    </row>
    <row r="19" spans="2:13" x14ac:dyDescent="0.2">
      <c r="B19" s="62"/>
      <c r="C19" s="41" t="s">
        <v>94</v>
      </c>
      <c r="H19" s="63"/>
    </row>
    <row r="20" spans="2:13" x14ac:dyDescent="0.2">
      <c r="B20" s="62"/>
      <c r="C20" s="41" t="s">
        <v>37</v>
      </c>
      <c r="H20" s="63"/>
    </row>
    <row r="21" spans="2:13" x14ac:dyDescent="0.2">
      <c r="B21" s="62"/>
      <c r="C21" s="41" t="s">
        <v>38</v>
      </c>
      <c r="H21" s="63"/>
    </row>
    <row r="22" spans="2:13" x14ac:dyDescent="0.2">
      <c r="B22" s="62"/>
      <c r="C22" s="41"/>
      <c r="H22" s="63"/>
    </row>
    <row r="23" spans="2:13" x14ac:dyDescent="0.2">
      <c r="B23" s="66"/>
      <c r="C23" s="67"/>
      <c r="D23" s="67"/>
      <c r="E23" s="67"/>
      <c r="F23" s="67"/>
      <c r="G23" s="67"/>
      <c r="H23" s="68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B858-EA96-498F-AAF6-F8CB0642B010}">
  <sheetPr>
    <tabColor theme="9" tint="0.39997558519241921"/>
  </sheetPr>
  <dimension ref="B2:AF43"/>
  <sheetViews>
    <sheetView showGridLines="0" zoomScale="60" zoomScaleNormal="6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" sqref="D1:AA1048576"/>
    </sheetView>
  </sheetViews>
  <sheetFormatPr baseColWidth="10" defaultRowHeight="15" x14ac:dyDescent="0.2"/>
  <cols>
    <col min="1" max="1" width="3.88671875" customWidth="1"/>
    <col min="3" max="3" width="11.5546875" customWidth="1"/>
    <col min="4" max="27" width="8.109375" bestFit="1" customWidth="1"/>
    <col min="28" max="28" width="7.109375" bestFit="1" customWidth="1"/>
    <col min="29" max="29" width="8.21875" bestFit="1" customWidth="1"/>
  </cols>
  <sheetData>
    <row r="2" spans="2:30" ht="23.25" x14ac:dyDescent="0.35">
      <c r="B2" s="1" t="s">
        <v>55</v>
      </c>
    </row>
    <row r="3" spans="2:30" ht="23.25" x14ac:dyDescent="0.35">
      <c r="B3" s="1" t="s">
        <v>86</v>
      </c>
    </row>
    <row r="4" spans="2:30" ht="23.25" x14ac:dyDescent="0.35">
      <c r="B4" s="1"/>
    </row>
    <row r="5" spans="2:30" ht="23.25" x14ac:dyDescent="0.35">
      <c r="B5" s="1" t="s">
        <v>87</v>
      </c>
    </row>
    <row r="6" spans="2:30" x14ac:dyDescent="0.2">
      <c r="B6" s="22" t="s">
        <v>0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  <c r="J6" s="22" t="s">
        <v>8</v>
      </c>
      <c r="K6" s="22" t="s">
        <v>9</v>
      </c>
      <c r="L6" s="22" t="s">
        <v>10</v>
      </c>
      <c r="M6" s="22" t="s">
        <v>11</v>
      </c>
      <c r="N6" s="22" t="s">
        <v>12</v>
      </c>
      <c r="O6" s="22" t="s">
        <v>13</v>
      </c>
      <c r="P6" s="22" t="s">
        <v>14</v>
      </c>
      <c r="Q6" s="22" t="s">
        <v>15</v>
      </c>
      <c r="R6" s="22" t="s">
        <v>16</v>
      </c>
      <c r="S6" s="22" t="s">
        <v>17</v>
      </c>
      <c r="T6" s="22" t="s">
        <v>18</v>
      </c>
      <c r="U6" s="22" t="s">
        <v>19</v>
      </c>
      <c r="V6" s="22" t="s">
        <v>20</v>
      </c>
      <c r="W6" s="22" t="s">
        <v>21</v>
      </c>
      <c r="X6" s="22" t="s">
        <v>22</v>
      </c>
      <c r="Y6" s="22" t="s">
        <v>23</v>
      </c>
      <c r="Z6" s="22" t="s">
        <v>24</v>
      </c>
      <c r="AA6" s="22" t="s">
        <v>25</v>
      </c>
      <c r="AB6" s="22" t="s">
        <v>26</v>
      </c>
      <c r="AC6" s="22" t="s">
        <v>27</v>
      </c>
      <c r="AD6" s="22" t="s">
        <v>28</v>
      </c>
    </row>
    <row r="7" spans="2:30" x14ac:dyDescent="0.2">
      <c r="B7" s="85">
        <v>48214</v>
      </c>
      <c r="C7" s="2" t="s">
        <v>29</v>
      </c>
      <c r="D7" s="4">
        <v>38.5</v>
      </c>
      <c r="E7" s="4">
        <v>38.5</v>
      </c>
      <c r="F7" s="4">
        <v>38.5</v>
      </c>
      <c r="G7" s="4">
        <v>38.5</v>
      </c>
      <c r="H7" s="4">
        <v>38.5</v>
      </c>
      <c r="I7" s="4">
        <v>38.5</v>
      </c>
      <c r="J7" s="4">
        <v>38.5</v>
      </c>
      <c r="K7" s="4">
        <v>38.5</v>
      </c>
      <c r="L7" s="4">
        <v>38.5</v>
      </c>
      <c r="M7" s="4">
        <v>38.5</v>
      </c>
      <c r="N7" s="4">
        <v>38.5</v>
      </c>
      <c r="O7" s="4">
        <v>38.5</v>
      </c>
      <c r="P7" s="4">
        <v>38.5</v>
      </c>
      <c r="Q7" s="4">
        <v>38.5</v>
      </c>
      <c r="R7" s="4">
        <v>38.5</v>
      </c>
      <c r="S7" s="4">
        <v>38.5</v>
      </c>
      <c r="T7" s="4">
        <v>38.5</v>
      </c>
      <c r="U7" s="4">
        <v>38.5</v>
      </c>
      <c r="V7" s="4">
        <v>38.5</v>
      </c>
      <c r="W7" s="4">
        <v>38.5</v>
      </c>
      <c r="X7" s="4">
        <v>38.5</v>
      </c>
      <c r="Y7" s="4">
        <v>38.5</v>
      </c>
      <c r="Z7" s="4">
        <v>38.5</v>
      </c>
      <c r="AA7" s="4">
        <v>38.5</v>
      </c>
      <c r="AB7" s="23">
        <f>SUM(D7:AA7)</f>
        <v>924</v>
      </c>
      <c r="AC7" s="24">
        <v>20</v>
      </c>
      <c r="AD7" s="86">
        <f>+AB7*AC7+AB8*AC8+AB9*AC9</f>
        <v>28644</v>
      </c>
    </row>
    <row r="8" spans="2:30" x14ac:dyDescent="0.2">
      <c r="B8" s="85"/>
      <c r="C8" s="2" t="s">
        <v>30</v>
      </c>
      <c r="D8" s="4">
        <v>38.5</v>
      </c>
      <c r="E8" s="4">
        <v>38.5</v>
      </c>
      <c r="F8" s="4">
        <v>38.5</v>
      </c>
      <c r="G8" s="4">
        <v>38.5</v>
      </c>
      <c r="H8" s="4">
        <v>38.5</v>
      </c>
      <c r="I8" s="4">
        <v>38.5</v>
      </c>
      <c r="J8" s="4">
        <v>38.5</v>
      </c>
      <c r="K8" s="4">
        <v>38.5</v>
      </c>
      <c r="L8" s="4">
        <v>38.5</v>
      </c>
      <c r="M8" s="4">
        <v>38.5</v>
      </c>
      <c r="N8" s="4">
        <v>38.5</v>
      </c>
      <c r="O8" s="4">
        <v>38.5</v>
      </c>
      <c r="P8" s="4">
        <v>38.5</v>
      </c>
      <c r="Q8" s="4">
        <v>38.5</v>
      </c>
      <c r="R8" s="4">
        <v>38.5</v>
      </c>
      <c r="S8" s="4">
        <v>38.5</v>
      </c>
      <c r="T8" s="4">
        <v>38.5</v>
      </c>
      <c r="U8" s="4">
        <v>38.5</v>
      </c>
      <c r="V8" s="4">
        <v>38.5</v>
      </c>
      <c r="W8" s="4">
        <v>38.5</v>
      </c>
      <c r="X8" s="4">
        <v>38.5</v>
      </c>
      <c r="Y8" s="4">
        <v>38.5</v>
      </c>
      <c r="Z8" s="4">
        <v>38.5</v>
      </c>
      <c r="AA8" s="4">
        <v>38.5</v>
      </c>
      <c r="AB8" s="23">
        <f t="shared" ref="AB8:AB42" si="0">SUM(D8:AA8)</f>
        <v>924</v>
      </c>
      <c r="AC8" s="24">
        <v>5</v>
      </c>
      <c r="AD8" s="86"/>
    </row>
    <row r="9" spans="2:30" x14ac:dyDescent="0.2">
      <c r="B9" s="85"/>
      <c r="C9" s="2" t="s">
        <v>63</v>
      </c>
      <c r="D9" s="4">
        <v>38.5</v>
      </c>
      <c r="E9" s="4">
        <v>38.5</v>
      </c>
      <c r="F9" s="4">
        <v>38.5</v>
      </c>
      <c r="G9" s="4">
        <v>38.5</v>
      </c>
      <c r="H9" s="4">
        <v>38.5</v>
      </c>
      <c r="I9" s="4">
        <v>38.5</v>
      </c>
      <c r="J9" s="4">
        <v>38.5</v>
      </c>
      <c r="K9" s="4">
        <v>38.5</v>
      </c>
      <c r="L9" s="4">
        <v>38.5</v>
      </c>
      <c r="M9" s="4">
        <v>38.5</v>
      </c>
      <c r="N9" s="4">
        <v>38.5</v>
      </c>
      <c r="O9" s="4">
        <v>38.5</v>
      </c>
      <c r="P9" s="4">
        <v>38.5</v>
      </c>
      <c r="Q9" s="4">
        <v>38.5</v>
      </c>
      <c r="R9" s="4">
        <v>38.5</v>
      </c>
      <c r="S9" s="4">
        <v>38.5</v>
      </c>
      <c r="T9" s="4">
        <v>38.5</v>
      </c>
      <c r="U9" s="4">
        <v>38.5</v>
      </c>
      <c r="V9" s="4">
        <v>38.5</v>
      </c>
      <c r="W9" s="4">
        <v>38.5</v>
      </c>
      <c r="X9" s="4">
        <v>38.5</v>
      </c>
      <c r="Y9" s="4">
        <v>38.5</v>
      </c>
      <c r="Z9" s="4">
        <v>38.5</v>
      </c>
      <c r="AA9" s="4">
        <v>38.5</v>
      </c>
      <c r="AB9" s="23">
        <f t="shared" si="0"/>
        <v>924</v>
      </c>
      <c r="AC9" s="24">
        <v>6</v>
      </c>
      <c r="AD9" s="86"/>
    </row>
    <row r="10" spans="2:30" x14ac:dyDescent="0.2">
      <c r="B10" s="85">
        <v>48245</v>
      </c>
      <c r="C10" s="2" t="s">
        <v>29</v>
      </c>
      <c r="D10" s="4">
        <v>38.5</v>
      </c>
      <c r="E10" s="4">
        <v>38.5</v>
      </c>
      <c r="F10" s="4">
        <v>38.5</v>
      </c>
      <c r="G10" s="4">
        <v>38.5</v>
      </c>
      <c r="H10" s="4">
        <v>38.5</v>
      </c>
      <c r="I10" s="4">
        <v>38.5</v>
      </c>
      <c r="J10" s="4">
        <v>38.5</v>
      </c>
      <c r="K10" s="4">
        <v>38.5</v>
      </c>
      <c r="L10" s="4">
        <v>38.5</v>
      </c>
      <c r="M10" s="4">
        <v>38.5</v>
      </c>
      <c r="N10" s="4">
        <v>38.5</v>
      </c>
      <c r="O10" s="4">
        <v>38.5</v>
      </c>
      <c r="P10" s="4">
        <v>38.5</v>
      </c>
      <c r="Q10" s="4">
        <v>38.5</v>
      </c>
      <c r="R10" s="4">
        <v>38.5</v>
      </c>
      <c r="S10" s="4">
        <v>38.5</v>
      </c>
      <c r="T10" s="4">
        <v>38.5</v>
      </c>
      <c r="U10" s="4">
        <v>38.5</v>
      </c>
      <c r="V10" s="4">
        <v>38.5</v>
      </c>
      <c r="W10" s="4">
        <v>38.5</v>
      </c>
      <c r="X10" s="4">
        <v>38.5</v>
      </c>
      <c r="Y10" s="4">
        <v>38.5</v>
      </c>
      <c r="Z10" s="4">
        <v>38.5</v>
      </c>
      <c r="AA10" s="4">
        <v>38.5</v>
      </c>
      <c r="AB10" s="23">
        <f t="shared" si="0"/>
        <v>924</v>
      </c>
      <c r="AC10" s="24">
        <v>20</v>
      </c>
      <c r="AD10" s="86">
        <f>+AB10*AC10+AB11*AC11+AB12*AC12</f>
        <v>26796</v>
      </c>
    </row>
    <row r="11" spans="2:30" x14ac:dyDescent="0.2">
      <c r="B11" s="85"/>
      <c r="C11" s="2" t="s">
        <v>30</v>
      </c>
      <c r="D11" s="4">
        <v>38.5</v>
      </c>
      <c r="E11" s="4">
        <v>38.5</v>
      </c>
      <c r="F11" s="4">
        <v>38.5</v>
      </c>
      <c r="G11" s="4">
        <v>38.5</v>
      </c>
      <c r="H11" s="4">
        <v>38.5</v>
      </c>
      <c r="I11" s="4">
        <v>38.5</v>
      </c>
      <c r="J11" s="4">
        <v>38.5</v>
      </c>
      <c r="K11" s="4">
        <v>38.5</v>
      </c>
      <c r="L11" s="4">
        <v>38.5</v>
      </c>
      <c r="M11" s="4">
        <v>38.5</v>
      </c>
      <c r="N11" s="4">
        <v>38.5</v>
      </c>
      <c r="O11" s="4">
        <v>38.5</v>
      </c>
      <c r="P11" s="4">
        <v>38.5</v>
      </c>
      <c r="Q11" s="4">
        <v>38.5</v>
      </c>
      <c r="R11" s="4">
        <v>38.5</v>
      </c>
      <c r="S11" s="4">
        <v>38.5</v>
      </c>
      <c r="T11" s="4">
        <v>38.5</v>
      </c>
      <c r="U11" s="4">
        <v>38.5</v>
      </c>
      <c r="V11" s="4">
        <v>38.5</v>
      </c>
      <c r="W11" s="4">
        <v>38.5</v>
      </c>
      <c r="X11" s="4">
        <v>38.5</v>
      </c>
      <c r="Y11" s="4">
        <v>38.5</v>
      </c>
      <c r="Z11" s="4">
        <v>38.5</v>
      </c>
      <c r="AA11" s="4">
        <v>38.5</v>
      </c>
      <c r="AB11" s="23">
        <f t="shared" si="0"/>
        <v>924</v>
      </c>
      <c r="AC11" s="24">
        <v>4</v>
      </c>
      <c r="AD11" s="86"/>
    </row>
    <row r="12" spans="2:30" x14ac:dyDescent="0.2">
      <c r="B12" s="85"/>
      <c r="C12" s="2" t="s">
        <v>63</v>
      </c>
      <c r="D12" s="4">
        <v>38.5</v>
      </c>
      <c r="E12" s="4">
        <v>38.5</v>
      </c>
      <c r="F12" s="4">
        <v>38.5</v>
      </c>
      <c r="G12" s="4">
        <v>38.5</v>
      </c>
      <c r="H12" s="4">
        <v>38.5</v>
      </c>
      <c r="I12" s="4">
        <v>38.5</v>
      </c>
      <c r="J12" s="4">
        <v>38.5</v>
      </c>
      <c r="K12" s="4">
        <v>38.5</v>
      </c>
      <c r="L12" s="4">
        <v>38.5</v>
      </c>
      <c r="M12" s="4">
        <v>38.5</v>
      </c>
      <c r="N12" s="4">
        <v>38.5</v>
      </c>
      <c r="O12" s="4">
        <v>38.5</v>
      </c>
      <c r="P12" s="4">
        <v>38.5</v>
      </c>
      <c r="Q12" s="4">
        <v>38.5</v>
      </c>
      <c r="R12" s="4">
        <v>38.5</v>
      </c>
      <c r="S12" s="4">
        <v>38.5</v>
      </c>
      <c r="T12" s="4">
        <v>38.5</v>
      </c>
      <c r="U12" s="4">
        <v>38.5</v>
      </c>
      <c r="V12" s="4">
        <v>38.5</v>
      </c>
      <c r="W12" s="4">
        <v>38.5</v>
      </c>
      <c r="X12" s="4">
        <v>38.5</v>
      </c>
      <c r="Y12" s="4">
        <v>38.5</v>
      </c>
      <c r="Z12" s="4">
        <v>38.5</v>
      </c>
      <c r="AA12" s="4">
        <v>38.5</v>
      </c>
      <c r="AB12" s="23">
        <f t="shared" si="0"/>
        <v>924</v>
      </c>
      <c r="AC12" s="24">
        <v>5</v>
      </c>
      <c r="AD12" s="86"/>
    </row>
    <row r="13" spans="2:30" x14ac:dyDescent="0.2">
      <c r="B13" s="85">
        <v>48274</v>
      </c>
      <c r="C13" s="2" t="s">
        <v>29</v>
      </c>
      <c r="D13" s="4">
        <v>38.5</v>
      </c>
      <c r="E13" s="4">
        <v>38.5</v>
      </c>
      <c r="F13" s="4">
        <v>38.5</v>
      </c>
      <c r="G13" s="4">
        <v>38.5</v>
      </c>
      <c r="H13" s="4">
        <v>38.5</v>
      </c>
      <c r="I13" s="4">
        <v>38.5</v>
      </c>
      <c r="J13" s="4">
        <v>38.5</v>
      </c>
      <c r="K13" s="4">
        <v>38.5</v>
      </c>
      <c r="L13" s="4">
        <v>38.5</v>
      </c>
      <c r="M13" s="4">
        <v>38.5</v>
      </c>
      <c r="N13" s="4">
        <v>38.5</v>
      </c>
      <c r="O13" s="4">
        <v>38.5</v>
      </c>
      <c r="P13" s="4">
        <v>38.5</v>
      </c>
      <c r="Q13" s="4">
        <v>38.5</v>
      </c>
      <c r="R13" s="4">
        <v>38.5</v>
      </c>
      <c r="S13" s="4">
        <v>38.5</v>
      </c>
      <c r="T13" s="4">
        <v>38.5</v>
      </c>
      <c r="U13" s="4">
        <v>38.5</v>
      </c>
      <c r="V13" s="4">
        <v>38.5</v>
      </c>
      <c r="W13" s="4">
        <v>38.5</v>
      </c>
      <c r="X13" s="4">
        <v>38.5</v>
      </c>
      <c r="Y13" s="4">
        <v>38.5</v>
      </c>
      <c r="Z13" s="4">
        <v>38.5</v>
      </c>
      <c r="AA13" s="4">
        <v>38.5</v>
      </c>
      <c r="AB13" s="23">
        <f t="shared" si="0"/>
        <v>924</v>
      </c>
      <c r="AC13" s="24">
        <v>20</v>
      </c>
      <c r="AD13" s="86">
        <f>+AB13*AC13+AB14*AC14+AB15*AC15</f>
        <v>28644</v>
      </c>
    </row>
    <row r="14" spans="2:30" x14ac:dyDescent="0.2">
      <c r="B14" s="85"/>
      <c r="C14" s="2" t="s">
        <v>30</v>
      </c>
      <c r="D14" s="4">
        <v>38.5</v>
      </c>
      <c r="E14" s="4">
        <v>38.5</v>
      </c>
      <c r="F14" s="4">
        <v>38.5</v>
      </c>
      <c r="G14" s="4">
        <v>38.5</v>
      </c>
      <c r="H14" s="4">
        <v>38.5</v>
      </c>
      <c r="I14" s="4">
        <v>38.5</v>
      </c>
      <c r="J14" s="4">
        <v>38.5</v>
      </c>
      <c r="K14" s="4">
        <v>38.5</v>
      </c>
      <c r="L14" s="4">
        <v>38.5</v>
      </c>
      <c r="M14" s="4">
        <v>38.5</v>
      </c>
      <c r="N14" s="4">
        <v>38.5</v>
      </c>
      <c r="O14" s="4">
        <v>38.5</v>
      </c>
      <c r="P14" s="4">
        <v>38.5</v>
      </c>
      <c r="Q14" s="4">
        <v>38.5</v>
      </c>
      <c r="R14" s="4">
        <v>38.5</v>
      </c>
      <c r="S14" s="4">
        <v>38.5</v>
      </c>
      <c r="T14" s="4">
        <v>38.5</v>
      </c>
      <c r="U14" s="4">
        <v>38.5</v>
      </c>
      <c r="V14" s="4">
        <v>38.5</v>
      </c>
      <c r="W14" s="4">
        <v>38.5</v>
      </c>
      <c r="X14" s="4">
        <v>38.5</v>
      </c>
      <c r="Y14" s="4">
        <v>38.5</v>
      </c>
      <c r="Z14" s="4">
        <v>38.5</v>
      </c>
      <c r="AA14" s="4">
        <v>38.5</v>
      </c>
      <c r="AB14" s="23">
        <f t="shared" si="0"/>
        <v>924</v>
      </c>
      <c r="AC14" s="24">
        <v>4</v>
      </c>
      <c r="AD14" s="86"/>
    </row>
    <row r="15" spans="2:30" x14ac:dyDescent="0.2">
      <c r="B15" s="85"/>
      <c r="C15" s="2" t="s">
        <v>63</v>
      </c>
      <c r="D15" s="4">
        <v>38.5</v>
      </c>
      <c r="E15" s="4">
        <v>38.5</v>
      </c>
      <c r="F15" s="4">
        <v>38.5</v>
      </c>
      <c r="G15" s="4">
        <v>38.5</v>
      </c>
      <c r="H15" s="4">
        <v>38.5</v>
      </c>
      <c r="I15" s="4">
        <v>38.5</v>
      </c>
      <c r="J15" s="4">
        <v>38.5</v>
      </c>
      <c r="K15" s="4">
        <v>38.5</v>
      </c>
      <c r="L15" s="4">
        <v>38.5</v>
      </c>
      <c r="M15" s="4">
        <v>38.5</v>
      </c>
      <c r="N15" s="4">
        <v>38.5</v>
      </c>
      <c r="O15" s="4">
        <v>38.5</v>
      </c>
      <c r="P15" s="4">
        <v>38.5</v>
      </c>
      <c r="Q15" s="4">
        <v>38.5</v>
      </c>
      <c r="R15" s="4">
        <v>38.5</v>
      </c>
      <c r="S15" s="4">
        <v>38.5</v>
      </c>
      <c r="T15" s="4">
        <v>38.5</v>
      </c>
      <c r="U15" s="4">
        <v>38.5</v>
      </c>
      <c r="V15" s="4">
        <v>38.5</v>
      </c>
      <c r="W15" s="4">
        <v>38.5</v>
      </c>
      <c r="X15" s="4">
        <v>38.5</v>
      </c>
      <c r="Y15" s="4">
        <v>38.5</v>
      </c>
      <c r="Z15" s="4">
        <v>38.5</v>
      </c>
      <c r="AA15" s="4">
        <v>38.5</v>
      </c>
      <c r="AB15" s="23">
        <f t="shared" si="0"/>
        <v>924</v>
      </c>
      <c r="AC15" s="24">
        <v>7</v>
      </c>
      <c r="AD15" s="86"/>
    </row>
    <row r="16" spans="2:30" x14ac:dyDescent="0.2">
      <c r="B16" s="85">
        <v>48305</v>
      </c>
      <c r="C16" s="2" t="s">
        <v>29</v>
      </c>
      <c r="D16" s="4">
        <v>38.5</v>
      </c>
      <c r="E16" s="4">
        <v>38.5</v>
      </c>
      <c r="F16" s="4">
        <v>38.5</v>
      </c>
      <c r="G16" s="4">
        <v>38.5</v>
      </c>
      <c r="H16" s="4">
        <v>38.5</v>
      </c>
      <c r="I16" s="4">
        <v>38.5</v>
      </c>
      <c r="J16" s="4">
        <v>38.5</v>
      </c>
      <c r="K16" s="4">
        <v>38.5</v>
      </c>
      <c r="L16" s="4">
        <v>38.5</v>
      </c>
      <c r="M16" s="4">
        <v>38.5</v>
      </c>
      <c r="N16" s="4">
        <v>38.5</v>
      </c>
      <c r="O16" s="4">
        <v>38.5</v>
      </c>
      <c r="P16" s="4">
        <v>38.5</v>
      </c>
      <c r="Q16" s="4">
        <v>38.5</v>
      </c>
      <c r="R16" s="4">
        <v>38.5</v>
      </c>
      <c r="S16" s="4">
        <v>38.5</v>
      </c>
      <c r="T16" s="4">
        <v>38.5</v>
      </c>
      <c r="U16" s="4">
        <v>38.5</v>
      </c>
      <c r="V16" s="4">
        <v>38.5</v>
      </c>
      <c r="W16" s="4">
        <v>38.5</v>
      </c>
      <c r="X16" s="4">
        <v>38.5</v>
      </c>
      <c r="Y16" s="4">
        <v>38.5</v>
      </c>
      <c r="Z16" s="4">
        <v>38.5</v>
      </c>
      <c r="AA16" s="4">
        <v>38.5</v>
      </c>
      <c r="AB16" s="23">
        <f t="shared" si="0"/>
        <v>924</v>
      </c>
      <c r="AC16" s="24">
        <v>22</v>
      </c>
      <c r="AD16" s="86">
        <f>+AB16*AC16+AB17*AC17+AB18*AC18</f>
        <v>27720</v>
      </c>
    </row>
    <row r="17" spans="2:30" x14ac:dyDescent="0.2">
      <c r="B17" s="85"/>
      <c r="C17" s="2" t="s">
        <v>30</v>
      </c>
      <c r="D17" s="4">
        <v>38.5</v>
      </c>
      <c r="E17" s="4">
        <v>38.5</v>
      </c>
      <c r="F17" s="4">
        <v>38.5</v>
      </c>
      <c r="G17" s="4">
        <v>38.5</v>
      </c>
      <c r="H17" s="4">
        <v>38.5</v>
      </c>
      <c r="I17" s="4">
        <v>38.5</v>
      </c>
      <c r="J17" s="4">
        <v>38.5</v>
      </c>
      <c r="K17" s="4">
        <v>38.5</v>
      </c>
      <c r="L17" s="4">
        <v>38.5</v>
      </c>
      <c r="M17" s="4">
        <v>38.5</v>
      </c>
      <c r="N17" s="4">
        <v>38.5</v>
      </c>
      <c r="O17" s="4">
        <v>38.5</v>
      </c>
      <c r="P17" s="4">
        <v>38.5</v>
      </c>
      <c r="Q17" s="4">
        <v>38.5</v>
      </c>
      <c r="R17" s="4">
        <v>38.5</v>
      </c>
      <c r="S17" s="4">
        <v>38.5</v>
      </c>
      <c r="T17" s="4">
        <v>38.5</v>
      </c>
      <c r="U17" s="4">
        <v>38.5</v>
      </c>
      <c r="V17" s="4">
        <v>38.5</v>
      </c>
      <c r="W17" s="4">
        <v>38.5</v>
      </c>
      <c r="X17" s="4">
        <v>38.5</v>
      </c>
      <c r="Y17" s="4">
        <v>38.5</v>
      </c>
      <c r="Z17" s="4">
        <v>38.5</v>
      </c>
      <c r="AA17" s="4">
        <v>38.5</v>
      </c>
      <c r="AB17" s="23">
        <f t="shared" si="0"/>
        <v>924</v>
      </c>
      <c r="AC17" s="24">
        <v>4</v>
      </c>
      <c r="AD17" s="86"/>
    </row>
    <row r="18" spans="2:30" x14ac:dyDescent="0.2">
      <c r="B18" s="85"/>
      <c r="C18" s="2" t="s">
        <v>63</v>
      </c>
      <c r="D18" s="4">
        <v>38.5</v>
      </c>
      <c r="E18" s="4">
        <v>38.5</v>
      </c>
      <c r="F18" s="4">
        <v>38.5</v>
      </c>
      <c r="G18" s="4">
        <v>38.5</v>
      </c>
      <c r="H18" s="4">
        <v>38.5</v>
      </c>
      <c r="I18" s="4">
        <v>38.5</v>
      </c>
      <c r="J18" s="4">
        <v>38.5</v>
      </c>
      <c r="K18" s="4">
        <v>38.5</v>
      </c>
      <c r="L18" s="4">
        <v>38.5</v>
      </c>
      <c r="M18" s="4">
        <v>38.5</v>
      </c>
      <c r="N18" s="4">
        <v>38.5</v>
      </c>
      <c r="O18" s="4">
        <v>38.5</v>
      </c>
      <c r="P18" s="4">
        <v>38.5</v>
      </c>
      <c r="Q18" s="4">
        <v>38.5</v>
      </c>
      <c r="R18" s="4">
        <v>38.5</v>
      </c>
      <c r="S18" s="4">
        <v>38.5</v>
      </c>
      <c r="T18" s="4">
        <v>38.5</v>
      </c>
      <c r="U18" s="4">
        <v>38.5</v>
      </c>
      <c r="V18" s="4">
        <v>38.5</v>
      </c>
      <c r="W18" s="4">
        <v>38.5</v>
      </c>
      <c r="X18" s="4">
        <v>38.5</v>
      </c>
      <c r="Y18" s="4">
        <v>38.5</v>
      </c>
      <c r="Z18" s="4">
        <v>38.5</v>
      </c>
      <c r="AA18" s="4">
        <v>38.5</v>
      </c>
      <c r="AB18" s="23">
        <f t="shared" si="0"/>
        <v>924</v>
      </c>
      <c r="AC18" s="24">
        <v>4</v>
      </c>
      <c r="AD18" s="86"/>
    </row>
    <row r="19" spans="2:30" x14ac:dyDescent="0.2">
      <c r="B19" s="85">
        <v>48335</v>
      </c>
      <c r="C19" s="2" t="s">
        <v>29</v>
      </c>
      <c r="D19" s="4">
        <v>38.5</v>
      </c>
      <c r="E19" s="4">
        <v>38.5</v>
      </c>
      <c r="F19" s="4">
        <v>38.5</v>
      </c>
      <c r="G19" s="4">
        <v>38.5</v>
      </c>
      <c r="H19" s="4">
        <v>38.5</v>
      </c>
      <c r="I19" s="4">
        <v>38.5</v>
      </c>
      <c r="J19" s="4">
        <v>38.5</v>
      </c>
      <c r="K19" s="4">
        <v>38.5</v>
      </c>
      <c r="L19" s="4">
        <v>38.5</v>
      </c>
      <c r="M19" s="4">
        <v>38.5</v>
      </c>
      <c r="N19" s="4">
        <v>38.5</v>
      </c>
      <c r="O19" s="4">
        <v>38.5</v>
      </c>
      <c r="P19" s="4">
        <v>38.5</v>
      </c>
      <c r="Q19" s="4">
        <v>38.5</v>
      </c>
      <c r="R19" s="4">
        <v>38.5</v>
      </c>
      <c r="S19" s="4">
        <v>38.5</v>
      </c>
      <c r="T19" s="4">
        <v>38.5</v>
      </c>
      <c r="U19" s="4">
        <v>38.5</v>
      </c>
      <c r="V19" s="4">
        <v>38.5</v>
      </c>
      <c r="W19" s="4">
        <v>38.5</v>
      </c>
      <c r="X19" s="4">
        <v>38.5</v>
      </c>
      <c r="Y19" s="4">
        <v>38.5</v>
      </c>
      <c r="Z19" s="4">
        <v>38.5</v>
      </c>
      <c r="AA19" s="4">
        <v>38.5</v>
      </c>
      <c r="AB19" s="23">
        <f t="shared" si="0"/>
        <v>924</v>
      </c>
      <c r="AC19" s="24">
        <v>19</v>
      </c>
      <c r="AD19" s="86">
        <f>+AB19*AC19+AB20*AC20+AB21*AC21</f>
        <v>28644</v>
      </c>
    </row>
    <row r="20" spans="2:30" x14ac:dyDescent="0.2">
      <c r="B20" s="85"/>
      <c r="C20" s="2" t="s">
        <v>30</v>
      </c>
      <c r="D20" s="4">
        <v>38.5</v>
      </c>
      <c r="E20" s="4">
        <v>38.5</v>
      </c>
      <c r="F20" s="4">
        <v>38.5</v>
      </c>
      <c r="G20" s="4">
        <v>38.5</v>
      </c>
      <c r="H20" s="4">
        <v>38.5</v>
      </c>
      <c r="I20" s="4">
        <v>38.5</v>
      </c>
      <c r="J20" s="4">
        <v>38.5</v>
      </c>
      <c r="K20" s="4">
        <v>38.5</v>
      </c>
      <c r="L20" s="4">
        <v>38.5</v>
      </c>
      <c r="M20" s="4">
        <v>38.5</v>
      </c>
      <c r="N20" s="4">
        <v>38.5</v>
      </c>
      <c r="O20" s="4">
        <v>38.5</v>
      </c>
      <c r="P20" s="4">
        <v>38.5</v>
      </c>
      <c r="Q20" s="4">
        <v>38.5</v>
      </c>
      <c r="R20" s="4">
        <v>38.5</v>
      </c>
      <c r="S20" s="4">
        <v>38.5</v>
      </c>
      <c r="T20" s="4">
        <v>38.5</v>
      </c>
      <c r="U20" s="4">
        <v>38.5</v>
      </c>
      <c r="V20" s="4">
        <v>38.5</v>
      </c>
      <c r="W20" s="4">
        <v>38.5</v>
      </c>
      <c r="X20" s="4">
        <v>38.5</v>
      </c>
      <c r="Y20" s="4">
        <v>38.5</v>
      </c>
      <c r="Z20" s="4">
        <v>38.5</v>
      </c>
      <c r="AA20" s="4">
        <v>38.5</v>
      </c>
      <c r="AB20" s="23">
        <f t="shared" si="0"/>
        <v>924</v>
      </c>
      <c r="AC20" s="24">
        <v>4</v>
      </c>
      <c r="AD20" s="86"/>
    </row>
    <row r="21" spans="2:30" x14ac:dyDescent="0.2">
      <c r="B21" s="85"/>
      <c r="C21" s="2" t="s">
        <v>63</v>
      </c>
      <c r="D21" s="4">
        <v>38.5</v>
      </c>
      <c r="E21" s="4">
        <v>38.5</v>
      </c>
      <c r="F21" s="4">
        <v>38.5</v>
      </c>
      <c r="G21" s="4">
        <v>38.5</v>
      </c>
      <c r="H21" s="4">
        <v>38.5</v>
      </c>
      <c r="I21" s="4">
        <v>38.5</v>
      </c>
      <c r="J21" s="4">
        <v>38.5</v>
      </c>
      <c r="K21" s="4">
        <v>38.5</v>
      </c>
      <c r="L21" s="4">
        <v>38.5</v>
      </c>
      <c r="M21" s="4">
        <v>38.5</v>
      </c>
      <c r="N21" s="4">
        <v>38.5</v>
      </c>
      <c r="O21" s="4">
        <v>38.5</v>
      </c>
      <c r="P21" s="4">
        <v>38.5</v>
      </c>
      <c r="Q21" s="4">
        <v>38.5</v>
      </c>
      <c r="R21" s="4">
        <v>38.5</v>
      </c>
      <c r="S21" s="4">
        <v>38.5</v>
      </c>
      <c r="T21" s="4">
        <v>38.5</v>
      </c>
      <c r="U21" s="4">
        <v>38.5</v>
      </c>
      <c r="V21" s="4">
        <v>38.5</v>
      </c>
      <c r="W21" s="4">
        <v>38.5</v>
      </c>
      <c r="X21" s="4">
        <v>38.5</v>
      </c>
      <c r="Y21" s="4">
        <v>38.5</v>
      </c>
      <c r="Z21" s="4">
        <v>38.5</v>
      </c>
      <c r="AA21" s="4">
        <v>38.5</v>
      </c>
      <c r="AB21" s="23">
        <f t="shared" si="0"/>
        <v>924</v>
      </c>
      <c r="AC21" s="24">
        <v>8</v>
      </c>
      <c r="AD21" s="86"/>
    </row>
    <row r="22" spans="2:30" x14ac:dyDescent="0.2">
      <c r="B22" s="85">
        <v>48366</v>
      </c>
      <c r="C22" s="2" t="s">
        <v>29</v>
      </c>
      <c r="D22" s="4">
        <v>38.5</v>
      </c>
      <c r="E22" s="4">
        <v>38.5</v>
      </c>
      <c r="F22" s="4">
        <v>38.5</v>
      </c>
      <c r="G22" s="4">
        <v>38.5</v>
      </c>
      <c r="H22" s="4">
        <v>38.5</v>
      </c>
      <c r="I22" s="4">
        <v>38.5</v>
      </c>
      <c r="J22" s="4">
        <v>38.5</v>
      </c>
      <c r="K22" s="4">
        <v>38.5</v>
      </c>
      <c r="L22" s="4">
        <v>38.5</v>
      </c>
      <c r="M22" s="4">
        <v>38.5</v>
      </c>
      <c r="N22" s="4">
        <v>38.5</v>
      </c>
      <c r="O22" s="4">
        <v>38.5</v>
      </c>
      <c r="P22" s="4">
        <v>38.5</v>
      </c>
      <c r="Q22" s="4">
        <v>38.5</v>
      </c>
      <c r="R22" s="4">
        <v>38.5</v>
      </c>
      <c r="S22" s="4">
        <v>38.5</v>
      </c>
      <c r="T22" s="4">
        <v>38.5</v>
      </c>
      <c r="U22" s="4">
        <v>38.5</v>
      </c>
      <c r="V22" s="4">
        <v>38.5</v>
      </c>
      <c r="W22" s="4">
        <v>38.5</v>
      </c>
      <c r="X22" s="4">
        <v>38.5</v>
      </c>
      <c r="Y22" s="4">
        <v>38.5</v>
      </c>
      <c r="Z22" s="4">
        <v>38.5</v>
      </c>
      <c r="AA22" s="4">
        <v>38.5</v>
      </c>
      <c r="AB22" s="23">
        <f t="shared" si="0"/>
        <v>924</v>
      </c>
      <c r="AC22" s="24">
        <v>21</v>
      </c>
      <c r="AD22" s="86">
        <f>+AB22*AC22+AB23*AC23+AB24*AC24</f>
        <v>27720</v>
      </c>
    </row>
    <row r="23" spans="2:30" x14ac:dyDescent="0.2">
      <c r="B23" s="85"/>
      <c r="C23" s="2" t="s">
        <v>30</v>
      </c>
      <c r="D23" s="4">
        <v>38.5</v>
      </c>
      <c r="E23" s="4">
        <v>38.5</v>
      </c>
      <c r="F23" s="4">
        <v>38.5</v>
      </c>
      <c r="G23" s="4">
        <v>38.5</v>
      </c>
      <c r="H23" s="4">
        <v>38.5</v>
      </c>
      <c r="I23" s="4">
        <v>38.5</v>
      </c>
      <c r="J23" s="4">
        <v>38.5</v>
      </c>
      <c r="K23" s="4">
        <v>38.5</v>
      </c>
      <c r="L23" s="4">
        <v>38.5</v>
      </c>
      <c r="M23" s="4">
        <v>38.5</v>
      </c>
      <c r="N23" s="4">
        <v>38.5</v>
      </c>
      <c r="O23" s="4">
        <v>38.5</v>
      </c>
      <c r="P23" s="4">
        <v>38.5</v>
      </c>
      <c r="Q23" s="4">
        <v>38.5</v>
      </c>
      <c r="R23" s="4">
        <v>38.5</v>
      </c>
      <c r="S23" s="4">
        <v>38.5</v>
      </c>
      <c r="T23" s="4">
        <v>38.5</v>
      </c>
      <c r="U23" s="4">
        <v>38.5</v>
      </c>
      <c r="V23" s="4">
        <v>38.5</v>
      </c>
      <c r="W23" s="4">
        <v>38.5</v>
      </c>
      <c r="X23" s="4">
        <v>38.5</v>
      </c>
      <c r="Y23" s="4">
        <v>38.5</v>
      </c>
      <c r="Z23" s="4">
        <v>38.5</v>
      </c>
      <c r="AA23" s="4">
        <v>38.5</v>
      </c>
      <c r="AB23" s="23">
        <f t="shared" si="0"/>
        <v>924</v>
      </c>
      <c r="AC23" s="24">
        <v>4</v>
      </c>
      <c r="AD23" s="86"/>
    </row>
    <row r="24" spans="2:30" x14ac:dyDescent="0.2">
      <c r="B24" s="85"/>
      <c r="C24" s="2" t="s">
        <v>63</v>
      </c>
      <c r="D24" s="4">
        <v>38.5</v>
      </c>
      <c r="E24" s="4">
        <v>38.5</v>
      </c>
      <c r="F24" s="4">
        <v>38.5</v>
      </c>
      <c r="G24" s="4">
        <v>38.5</v>
      </c>
      <c r="H24" s="4">
        <v>38.5</v>
      </c>
      <c r="I24" s="4">
        <v>38.5</v>
      </c>
      <c r="J24" s="4">
        <v>38.5</v>
      </c>
      <c r="K24" s="4">
        <v>38.5</v>
      </c>
      <c r="L24" s="4">
        <v>38.5</v>
      </c>
      <c r="M24" s="4">
        <v>38.5</v>
      </c>
      <c r="N24" s="4">
        <v>38.5</v>
      </c>
      <c r="O24" s="4">
        <v>38.5</v>
      </c>
      <c r="P24" s="4">
        <v>38.5</v>
      </c>
      <c r="Q24" s="4">
        <v>38.5</v>
      </c>
      <c r="R24" s="4">
        <v>38.5</v>
      </c>
      <c r="S24" s="4">
        <v>38.5</v>
      </c>
      <c r="T24" s="4">
        <v>38.5</v>
      </c>
      <c r="U24" s="4">
        <v>38.5</v>
      </c>
      <c r="V24" s="4">
        <v>38.5</v>
      </c>
      <c r="W24" s="4">
        <v>38.5</v>
      </c>
      <c r="X24" s="4">
        <v>38.5</v>
      </c>
      <c r="Y24" s="4">
        <v>38.5</v>
      </c>
      <c r="Z24" s="4">
        <v>38.5</v>
      </c>
      <c r="AA24" s="4">
        <v>38.5</v>
      </c>
      <c r="AB24" s="23">
        <f t="shared" si="0"/>
        <v>924</v>
      </c>
      <c r="AC24" s="24">
        <v>5</v>
      </c>
      <c r="AD24" s="86"/>
    </row>
    <row r="25" spans="2:30" x14ac:dyDescent="0.2">
      <c r="B25" s="85">
        <v>48396</v>
      </c>
      <c r="C25" s="2" t="s">
        <v>29</v>
      </c>
      <c r="D25" s="4">
        <v>38.5</v>
      </c>
      <c r="E25" s="4">
        <v>38.5</v>
      </c>
      <c r="F25" s="4">
        <v>38.5</v>
      </c>
      <c r="G25" s="4">
        <v>38.5</v>
      </c>
      <c r="H25" s="4">
        <v>38.5</v>
      </c>
      <c r="I25" s="4">
        <v>38.5</v>
      </c>
      <c r="J25" s="4">
        <v>38.5</v>
      </c>
      <c r="K25" s="4">
        <v>38.5</v>
      </c>
      <c r="L25" s="4">
        <v>38.5</v>
      </c>
      <c r="M25" s="4">
        <v>38.5</v>
      </c>
      <c r="N25" s="4">
        <v>38.5</v>
      </c>
      <c r="O25" s="4">
        <v>38.5</v>
      </c>
      <c r="P25" s="4">
        <v>38.5</v>
      </c>
      <c r="Q25" s="4">
        <v>38.5</v>
      </c>
      <c r="R25" s="4">
        <v>38.5</v>
      </c>
      <c r="S25" s="4">
        <v>38.5</v>
      </c>
      <c r="T25" s="4">
        <v>38.5</v>
      </c>
      <c r="U25" s="4">
        <v>38.5</v>
      </c>
      <c r="V25" s="4">
        <v>38.5</v>
      </c>
      <c r="W25" s="4">
        <v>38.5</v>
      </c>
      <c r="X25" s="4">
        <v>38.5</v>
      </c>
      <c r="Y25" s="4">
        <v>38.5</v>
      </c>
      <c r="Z25" s="4">
        <v>38.5</v>
      </c>
      <c r="AA25" s="4">
        <v>38.5</v>
      </c>
      <c r="AB25" s="23">
        <f t="shared" si="0"/>
        <v>924</v>
      </c>
      <c r="AC25" s="24">
        <v>20</v>
      </c>
      <c r="AD25" s="86">
        <f>+AB25*AC25+AB26*AC26+AB27*AC27</f>
        <v>28644</v>
      </c>
    </row>
    <row r="26" spans="2:30" x14ac:dyDescent="0.2">
      <c r="B26" s="85"/>
      <c r="C26" s="2" t="s">
        <v>30</v>
      </c>
      <c r="D26" s="4">
        <v>38.5</v>
      </c>
      <c r="E26" s="4">
        <v>38.5</v>
      </c>
      <c r="F26" s="4">
        <v>38.5</v>
      </c>
      <c r="G26" s="4">
        <v>38.5</v>
      </c>
      <c r="H26" s="4">
        <v>38.5</v>
      </c>
      <c r="I26" s="4">
        <v>38.5</v>
      </c>
      <c r="J26" s="4">
        <v>38.5</v>
      </c>
      <c r="K26" s="4">
        <v>38.5</v>
      </c>
      <c r="L26" s="4">
        <v>38.5</v>
      </c>
      <c r="M26" s="4">
        <v>38.5</v>
      </c>
      <c r="N26" s="4">
        <v>38.5</v>
      </c>
      <c r="O26" s="4">
        <v>38.5</v>
      </c>
      <c r="P26" s="4">
        <v>38.5</v>
      </c>
      <c r="Q26" s="4">
        <v>38.5</v>
      </c>
      <c r="R26" s="4">
        <v>38.5</v>
      </c>
      <c r="S26" s="4">
        <v>38.5</v>
      </c>
      <c r="T26" s="4">
        <v>38.5</v>
      </c>
      <c r="U26" s="4">
        <v>38.5</v>
      </c>
      <c r="V26" s="4">
        <v>38.5</v>
      </c>
      <c r="W26" s="4">
        <v>38.5</v>
      </c>
      <c r="X26" s="4">
        <v>38.5</v>
      </c>
      <c r="Y26" s="4">
        <v>38.5</v>
      </c>
      <c r="Z26" s="4">
        <v>38.5</v>
      </c>
      <c r="AA26" s="4">
        <v>38.5</v>
      </c>
      <c r="AB26" s="23">
        <f t="shared" si="0"/>
        <v>924</v>
      </c>
      <c r="AC26" s="24">
        <v>5</v>
      </c>
      <c r="AD26" s="86"/>
    </row>
    <row r="27" spans="2:30" x14ac:dyDescent="0.2">
      <c r="B27" s="85"/>
      <c r="C27" s="2" t="s">
        <v>63</v>
      </c>
      <c r="D27" s="4">
        <v>38.5</v>
      </c>
      <c r="E27" s="4">
        <v>38.5</v>
      </c>
      <c r="F27" s="4">
        <v>38.5</v>
      </c>
      <c r="G27" s="4">
        <v>38.5</v>
      </c>
      <c r="H27" s="4">
        <v>38.5</v>
      </c>
      <c r="I27" s="4">
        <v>38.5</v>
      </c>
      <c r="J27" s="4">
        <v>38.5</v>
      </c>
      <c r="K27" s="4">
        <v>38.5</v>
      </c>
      <c r="L27" s="4">
        <v>38.5</v>
      </c>
      <c r="M27" s="4">
        <v>38.5</v>
      </c>
      <c r="N27" s="4">
        <v>38.5</v>
      </c>
      <c r="O27" s="4">
        <v>38.5</v>
      </c>
      <c r="P27" s="4">
        <v>38.5</v>
      </c>
      <c r="Q27" s="4">
        <v>38.5</v>
      </c>
      <c r="R27" s="4">
        <v>38.5</v>
      </c>
      <c r="S27" s="4">
        <v>38.5</v>
      </c>
      <c r="T27" s="4">
        <v>38.5</v>
      </c>
      <c r="U27" s="4">
        <v>38.5</v>
      </c>
      <c r="V27" s="4">
        <v>38.5</v>
      </c>
      <c r="W27" s="4">
        <v>38.5</v>
      </c>
      <c r="X27" s="4">
        <v>38.5</v>
      </c>
      <c r="Y27" s="4">
        <v>38.5</v>
      </c>
      <c r="Z27" s="4">
        <v>38.5</v>
      </c>
      <c r="AA27" s="4">
        <v>38.5</v>
      </c>
      <c r="AB27" s="23">
        <f t="shared" si="0"/>
        <v>924</v>
      </c>
      <c r="AC27" s="24">
        <v>6</v>
      </c>
      <c r="AD27" s="86"/>
    </row>
    <row r="28" spans="2:30" x14ac:dyDescent="0.2">
      <c r="B28" s="85">
        <v>48427</v>
      </c>
      <c r="C28" s="2" t="s">
        <v>29</v>
      </c>
      <c r="D28" s="4">
        <v>38.5</v>
      </c>
      <c r="E28" s="4">
        <v>38.5</v>
      </c>
      <c r="F28" s="4">
        <v>38.5</v>
      </c>
      <c r="G28" s="4">
        <v>38.5</v>
      </c>
      <c r="H28" s="4">
        <v>38.5</v>
      </c>
      <c r="I28" s="4">
        <v>38.5</v>
      </c>
      <c r="J28" s="4">
        <v>38.5</v>
      </c>
      <c r="K28" s="4">
        <v>38.5</v>
      </c>
      <c r="L28" s="4">
        <v>38.5</v>
      </c>
      <c r="M28" s="4">
        <v>38.5</v>
      </c>
      <c r="N28" s="4">
        <v>38.5</v>
      </c>
      <c r="O28" s="4">
        <v>38.5</v>
      </c>
      <c r="P28" s="4">
        <v>38.5</v>
      </c>
      <c r="Q28" s="4">
        <v>38.5</v>
      </c>
      <c r="R28" s="4">
        <v>38.5</v>
      </c>
      <c r="S28" s="4">
        <v>38.5</v>
      </c>
      <c r="T28" s="4">
        <v>38.5</v>
      </c>
      <c r="U28" s="4">
        <v>38.5</v>
      </c>
      <c r="V28" s="4">
        <v>38.5</v>
      </c>
      <c r="W28" s="4">
        <v>38.5</v>
      </c>
      <c r="X28" s="4">
        <v>38.5</v>
      </c>
      <c r="Y28" s="4">
        <v>38.5</v>
      </c>
      <c r="Z28" s="4">
        <v>38.5</v>
      </c>
      <c r="AA28" s="4">
        <v>38.5</v>
      </c>
      <c r="AB28" s="23">
        <f t="shared" si="0"/>
        <v>924</v>
      </c>
      <c r="AC28" s="24">
        <v>21</v>
      </c>
      <c r="AD28" s="86">
        <f>+AB28*AC28+AB29*AC29+AB30*AC30</f>
        <v>28644</v>
      </c>
    </row>
    <row r="29" spans="2:30" x14ac:dyDescent="0.2">
      <c r="B29" s="85"/>
      <c r="C29" s="2" t="s">
        <v>30</v>
      </c>
      <c r="D29" s="4">
        <v>38.5</v>
      </c>
      <c r="E29" s="4">
        <v>38.5</v>
      </c>
      <c r="F29" s="4">
        <v>38.5</v>
      </c>
      <c r="G29" s="4">
        <v>38.5</v>
      </c>
      <c r="H29" s="4">
        <v>38.5</v>
      </c>
      <c r="I29" s="4">
        <v>38.5</v>
      </c>
      <c r="J29" s="4">
        <v>38.5</v>
      </c>
      <c r="K29" s="4">
        <v>38.5</v>
      </c>
      <c r="L29" s="4">
        <v>38.5</v>
      </c>
      <c r="M29" s="4">
        <v>38.5</v>
      </c>
      <c r="N29" s="4">
        <v>38.5</v>
      </c>
      <c r="O29" s="4">
        <v>38.5</v>
      </c>
      <c r="P29" s="4">
        <v>38.5</v>
      </c>
      <c r="Q29" s="4">
        <v>38.5</v>
      </c>
      <c r="R29" s="4">
        <v>38.5</v>
      </c>
      <c r="S29" s="4">
        <v>38.5</v>
      </c>
      <c r="T29" s="4">
        <v>38.5</v>
      </c>
      <c r="U29" s="4">
        <v>38.5</v>
      </c>
      <c r="V29" s="4">
        <v>38.5</v>
      </c>
      <c r="W29" s="4">
        <v>38.5</v>
      </c>
      <c r="X29" s="4">
        <v>38.5</v>
      </c>
      <c r="Y29" s="4">
        <v>38.5</v>
      </c>
      <c r="Z29" s="4">
        <v>38.5</v>
      </c>
      <c r="AA29" s="4">
        <v>38.5</v>
      </c>
      <c r="AB29" s="23">
        <f t="shared" si="0"/>
        <v>924</v>
      </c>
      <c r="AC29" s="24">
        <v>3</v>
      </c>
      <c r="AD29" s="86"/>
    </row>
    <row r="30" spans="2:30" x14ac:dyDescent="0.2">
      <c r="B30" s="85"/>
      <c r="C30" s="2" t="s">
        <v>63</v>
      </c>
      <c r="D30" s="4">
        <v>38.5</v>
      </c>
      <c r="E30" s="4">
        <v>38.5</v>
      </c>
      <c r="F30" s="4">
        <v>38.5</v>
      </c>
      <c r="G30" s="4">
        <v>38.5</v>
      </c>
      <c r="H30" s="4">
        <v>38.5</v>
      </c>
      <c r="I30" s="4">
        <v>38.5</v>
      </c>
      <c r="J30" s="4">
        <v>38.5</v>
      </c>
      <c r="K30" s="4">
        <v>38.5</v>
      </c>
      <c r="L30" s="4">
        <v>38.5</v>
      </c>
      <c r="M30" s="4">
        <v>38.5</v>
      </c>
      <c r="N30" s="4">
        <v>38.5</v>
      </c>
      <c r="O30" s="4">
        <v>38.5</v>
      </c>
      <c r="P30" s="4">
        <v>38.5</v>
      </c>
      <c r="Q30" s="4">
        <v>38.5</v>
      </c>
      <c r="R30" s="4">
        <v>38.5</v>
      </c>
      <c r="S30" s="4">
        <v>38.5</v>
      </c>
      <c r="T30" s="4">
        <v>38.5</v>
      </c>
      <c r="U30" s="4">
        <v>38.5</v>
      </c>
      <c r="V30" s="4">
        <v>38.5</v>
      </c>
      <c r="W30" s="4">
        <v>38.5</v>
      </c>
      <c r="X30" s="4">
        <v>38.5</v>
      </c>
      <c r="Y30" s="4">
        <v>38.5</v>
      </c>
      <c r="Z30" s="4">
        <v>38.5</v>
      </c>
      <c r="AA30" s="4">
        <v>38.5</v>
      </c>
      <c r="AB30" s="23">
        <f t="shared" si="0"/>
        <v>924</v>
      </c>
      <c r="AC30" s="24">
        <v>7</v>
      </c>
      <c r="AD30" s="86"/>
    </row>
    <row r="31" spans="2:30" x14ac:dyDescent="0.2">
      <c r="B31" s="85">
        <v>48458</v>
      </c>
      <c r="C31" s="2" t="s">
        <v>29</v>
      </c>
      <c r="D31" s="4">
        <v>38.5</v>
      </c>
      <c r="E31" s="4">
        <v>38.5</v>
      </c>
      <c r="F31" s="4">
        <v>38.5</v>
      </c>
      <c r="G31" s="4">
        <v>38.5</v>
      </c>
      <c r="H31" s="4">
        <v>38.5</v>
      </c>
      <c r="I31" s="4">
        <v>38.5</v>
      </c>
      <c r="J31" s="4">
        <v>38.5</v>
      </c>
      <c r="K31" s="4">
        <v>38.5</v>
      </c>
      <c r="L31" s="4">
        <v>38.5</v>
      </c>
      <c r="M31" s="4">
        <v>38.5</v>
      </c>
      <c r="N31" s="4">
        <v>38.5</v>
      </c>
      <c r="O31" s="4">
        <v>38.5</v>
      </c>
      <c r="P31" s="4">
        <v>38.5</v>
      </c>
      <c r="Q31" s="4">
        <v>38.5</v>
      </c>
      <c r="R31" s="4">
        <v>38.5</v>
      </c>
      <c r="S31" s="4">
        <v>38.5</v>
      </c>
      <c r="T31" s="4">
        <v>38.5</v>
      </c>
      <c r="U31" s="4">
        <v>38.5</v>
      </c>
      <c r="V31" s="4">
        <v>38.5</v>
      </c>
      <c r="W31" s="4">
        <v>38.5</v>
      </c>
      <c r="X31" s="4">
        <v>38.5</v>
      </c>
      <c r="Y31" s="4">
        <v>38.5</v>
      </c>
      <c r="Z31" s="4">
        <v>38.5</v>
      </c>
      <c r="AA31" s="4">
        <v>38.5</v>
      </c>
      <c r="AB31" s="23">
        <f t="shared" si="0"/>
        <v>924</v>
      </c>
      <c r="AC31" s="24">
        <v>22</v>
      </c>
      <c r="AD31" s="86">
        <f>+AB31*AC31+AB32*AC32+AB33*AC33</f>
        <v>27720</v>
      </c>
    </row>
    <row r="32" spans="2:30" x14ac:dyDescent="0.2">
      <c r="B32" s="85"/>
      <c r="C32" s="2" t="s">
        <v>30</v>
      </c>
      <c r="D32" s="4">
        <v>38.5</v>
      </c>
      <c r="E32" s="4">
        <v>38.5</v>
      </c>
      <c r="F32" s="4">
        <v>38.5</v>
      </c>
      <c r="G32" s="4">
        <v>38.5</v>
      </c>
      <c r="H32" s="4">
        <v>38.5</v>
      </c>
      <c r="I32" s="4">
        <v>38.5</v>
      </c>
      <c r="J32" s="4">
        <v>38.5</v>
      </c>
      <c r="K32" s="4">
        <v>38.5</v>
      </c>
      <c r="L32" s="4">
        <v>38.5</v>
      </c>
      <c r="M32" s="4">
        <v>38.5</v>
      </c>
      <c r="N32" s="4">
        <v>38.5</v>
      </c>
      <c r="O32" s="4">
        <v>38.5</v>
      </c>
      <c r="P32" s="4">
        <v>38.5</v>
      </c>
      <c r="Q32" s="4">
        <v>38.5</v>
      </c>
      <c r="R32" s="4">
        <v>38.5</v>
      </c>
      <c r="S32" s="4">
        <v>38.5</v>
      </c>
      <c r="T32" s="4">
        <v>38.5</v>
      </c>
      <c r="U32" s="4">
        <v>38.5</v>
      </c>
      <c r="V32" s="4">
        <v>38.5</v>
      </c>
      <c r="W32" s="4">
        <v>38.5</v>
      </c>
      <c r="X32" s="4">
        <v>38.5</v>
      </c>
      <c r="Y32" s="4">
        <v>38.5</v>
      </c>
      <c r="Z32" s="4">
        <v>38.5</v>
      </c>
      <c r="AA32" s="4">
        <v>38.5</v>
      </c>
      <c r="AB32" s="23">
        <f t="shared" si="0"/>
        <v>924</v>
      </c>
      <c r="AC32" s="24">
        <v>4</v>
      </c>
      <c r="AD32" s="86"/>
    </row>
    <row r="33" spans="2:32" x14ac:dyDescent="0.2">
      <c r="B33" s="85"/>
      <c r="C33" s="2" t="s">
        <v>63</v>
      </c>
      <c r="D33" s="4">
        <v>38.5</v>
      </c>
      <c r="E33" s="4">
        <v>38.5</v>
      </c>
      <c r="F33" s="4">
        <v>38.5</v>
      </c>
      <c r="G33" s="4">
        <v>38.5</v>
      </c>
      <c r="H33" s="4">
        <v>38.5</v>
      </c>
      <c r="I33" s="4">
        <v>38.5</v>
      </c>
      <c r="J33" s="4">
        <v>38.5</v>
      </c>
      <c r="K33" s="4">
        <v>38.5</v>
      </c>
      <c r="L33" s="4">
        <v>38.5</v>
      </c>
      <c r="M33" s="4">
        <v>38.5</v>
      </c>
      <c r="N33" s="4">
        <v>38.5</v>
      </c>
      <c r="O33" s="4">
        <v>38.5</v>
      </c>
      <c r="P33" s="4">
        <v>38.5</v>
      </c>
      <c r="Q33" s="4">
        <v>38.5</v>
      </c>
      <c r="R33" s="4">
        <v>38.5</v>
      </c>
      <c r="S33" s="4">
        <v>38.5</v>
      </c>
      <c r="T33" s="4">
        <v>38.5</v>
      </c>
      <c r="U33" s="4">
        <v>38.5</v>
      </c>
      <c r="V33" s="4">
        <v>38.5</v>
      </c>
      <c r="W33" s="4">
        <v>38.5</v>
      </c>
      <c r="X33" s="4">
        <v>38.5</v>
      </c>
      <c r="Y33" s="4">
        <v>38.5</v>
      </c>
      <c r="Z33" s="4">
        <v>38.5</v>
      </c>
      <c r="AA33" s="4">
        <v>38.5</v>
      </c>
      <c r="AB33" s="23">
        <f t="shared" si="0"/>
        <v>924</v>
      </c>
      <c r="AC33" s="24">
        <v>4</v>
      </c>
      <c r="AD33" s="86"/>
    </row>
    <row r="34" spans="2:32" x14ac:dyDescent="0.2">
      <c r="B34" s="85">
        <v>48488</v>
      </c>
      <c r="C34" s="2" t="s">
        <v>29</v>
      </c>
      <c r="D34" s="4">
        <v>38.5</v>
      </c>
      <c r="E34" s="4">
        <v>38.5</v>
      </c>
      <c r="F34" s="4">
        <v>38.5</v>
      </c>
      <c r="G34" s="4">
        <v>38.5</v>
      </c>
      <c r="H34" s="4">
        <v>38.5</v>
      </c>
      <c r="I34" s="4">
        <v>38.5</v>
      </c>
      <c r="J34" s="4">
        <v>38.5</v>
      </c>
      <c r="K34" s="4">
        <v>38.5</v>
      </c>
      <c r="L34" s="4">
        <v>38.5</v>
      </c>
      <c r="M34" s="4">
        <v>38.5</v>
      </c>
      <c r="N34" s="4">
        <v>38.5</v>
      </c>
      <c r="O34" s="4">
        <v>38.5</v>
      </c>
      <c r="P34" s="4">
        <v>38.5</v>
      </c>
      <c r="Q34" s="4">
        <v>38.5</v>
      </c>
      <c r="R34" s="4">
        <v>38.5</v>
      </c>
      <c r="S34" s="4">
        <v>38.5</v>
      </c>
      <c r="T34" s="4">
        <v>38.5</v>
      </c>
      <c r="U34" s="4">
        <v>38.5</v>
      </c>
      <c r="V34" s="4">
        <v>38.5</v>
      </c>
      <c r="W34" s="4">
        <v>38.5</v>
      </c>
      <c r="X34" s="4">
        <v>38.5</v>
      </c>
      <c r="Y34" s="4">
        <v>38.5</v>
      </c>
      <c r="Z34" s="4">
        <v>38.5</v>
      </c>
      <c r="AA34" s="4">
        <v>38.5</v>
      </c>
      <c r="AB34" s="23">
        <f t="shared" si="0"/>
        <v>924</v>
      </c>
      <c r="AC34" s="24">
        <v>20</v>
      </c>
      <c r="AD34" s="86">
        <f>+AB34*AC34+AB35*AC35+AB36*AC36</f>
        <v>28644</v>
      </c>
    </row>
    <row r="35" spans="2:32" x14ac:dyDescent="0.2">
      <c r="B35" s="85"/>
      <c r="C35" s="2" t="s">
        <v>30</v>
      </c>
      <c r="D35" s="4">
        <v>38.5</v>
      </c>
      <c r="E35" s="4">
        <v>38.5</v>
      </c>
      <c r="F35" s="4">
        <v>38.5</v>
      </c>
      <c r="G35" s="4">
        <v>38.5</v>
      </c>
      <c r="H35" s="4">
        <v>38.5</v>
      </c>
      <c r="I35" s="4">
        <v>38.5</v>
      </c>
      <c r="J35" s="4">
        <v>38.5</v>
      </c>
      <c r="K35" s="4">
        <v>38.5</v>
      </c>
      <c r="L35" s="4">
        <v>38.5</v>
      </c>
      <c r="M35" s="4">
        <v>38.5</v>
      </c>
      <c r="N35" s="4">
        <v>38.5</v>
      </c>
      <c r="O35" s="4">
        <v>38.5</v>
      </c>
      <c r="P35" s="4">
        <v>38.5</v>
      </c>
      <c r="Q35" s="4">
        <v>38.5</v>
      </c>
      <c r="R35" s="4">
        <v>38.5</v>
      </c>
      <c r="S35" s="4">
        <v>38.5</v>
      </c>
      <c r="T35" s="4">
        <v>38.5</v>
      </c>
      <c r="U35" s="4">
        <v>38.5</v>
      </c>
      <c r="V35" s="4">
        <v>38.5</v>
      </c>
      <c r="W35" s="4">
        <v>38.5</v>
      </c>
      <c r="X35" s="4">
        <v>38.5</v>
      </c>
      <c r="Y35" s="4">
        <v>38.5</v>
      </c>
      <c r="Z35" s="4">
        <v>38.5</v>
      </c>
      <c r="AA35" s="4">
        <v>38.5</v>
      </c>
      <c r="AB35" s="23">
        <f t="shared" si="0"/>
        <v>924</v>
      </c>
      <c r="AC35" s="24">
        <v>5</v>
      </c>
      <c r="AD35" s="86"/>
    </row>
    <row r="36" spans="2:32" x14ac:dyDescent="0.2">
      <c r="B36" s="85"/>
      <c r="C36" s="2" t="s">
        <v>63</v>
      </c>
      <c r="D36" s="4">
        <v>38.5</v>
      </c>
      <c r="E36" s="4">
        <v>38.5</v>
      </c>
      <c r="F36" s="4">
        <v>38.5</v>
      </c>
      <c r="G36" s="4">
        <v>38.5</v>
      </c>
      <c r="H36" s="4">
        <v>38.5</v>
      </c>
      <c r="I36" s="4">
        <v>38.5</v>
      </c>
      <c r="J36" s="4">
        <v>38.5</v>
      </c>
      <c r="K36" s="4">
        <v>38.5</v>
      </c>
      <c r="L36" s="4">
        <v>38.5</v>
      </c>
      <c r="M36" s="4">
        <v>38.5</v>
      </c>
      <c r="N36" s="4">
        <v>38.5</v>
      </c>
      <c r="O36" s="4">
        <v>38.5</v>
      </c>
      <c r="P36" s="4">
        <v>38.5</v>
      </c>
      <c r="Q36" s="4">
        <v>38.5</v>
      </c>
      <c r="R36" s="4">
        <v>38.5</v>
      </c>
      <c r="S36" s="4">
        <v>38.5</v>
      </c>
      <c r="T36" s="4">
        <v>38.5</v>
      </c>
      <c r="U36" s="4">
        <v>38.5</v>
      </c>
      <c r="V36" s="4">
        <v>38.5</v>
      </c>
      <c r="W36" s="4">
        <v>38.5</v>
      </c>
      <c r="X36" s="4">
        <v>38.5</v>
      </c>
      <c r="Y36" s="4">
        <v>38.5</v>
      </c>
      <c r="Z36" s="4">
        <v>38.5</v>
      </c>
      <c r="AA36" s="4">
        <v>38.5</v>
      </c>
      <c r="AB36" s="23">
        <f t="shared" si="0"/>
        <v>924</v>
      </c>
      <c r="AC36" s="24">
        <v>6</v>
      </c>
      <c r="AD36" s="86"/>
    </row>
    <row r="37" spans="2:32" x14ac:dyDescent="0.2">
      <c r="B37" s="85">
        <v>48519</v>
      </c>
      <c r="C37" s="2" t="s">
        <v>29</v>
      </c>
      <c r="D37" s="4">
        <v>38.5</v>
      </c>
      <c r="E37" s="4">
        <v>38.5</v>
      </c>
      <c r="F37" s="4">
        <v>38.5</v>
      </c>
      <c r="G37" s="4">
        <v>38.5</v>
      </c>
      <c r="H37" s="4">
        <v>38.5</v>
      </c>
      <c r="I37" s="4">
        <v>38.5</v>
      </c>
      <c r="J37" s="4">
        <v>38.5</v>
      </c>
      <c r="K37" s="4">
        <v>38.5</v>
      </c>
      <c r="L37" s="4">
        <v>38.5</v>
      </c>
      <c r="M37" s="4">
        <v>38.5</v>
      </c>
      <c r="N37" s="4">
        <v>38.5</v>
      </c>
      <c r="O37" s="4">
        <v>38.5</v>
      </c>
      <c r="P37" s="4">
        <v>38.5</v>
      </c>
      <c r="Q37" s="4">
        <v>38.5</v>
      </c>
      <c r="R37" s="4">
        <v>38.5</v>
      </c>
      <c r="S37" s="4">
        <v>38.5</v>
      </c>
      <c r="T37" s="4">
        <v>38.5</v>
      </c>
      <c r="U37" s="4">
        <v>38.5</v>
      </c>
      <c r="V37" s="4">
        <v>38.5</v>
      </c>
      <c r="W37" s="4">
        <v>38.5</v>
      </c>
      <c r="X37" s="4">
        <v>38.5</v>
      </c>
      <c r="Y37" s="4">
        <v>38.5</v>
      </c>
      <c r="Z37" s="4">
        <v>38.5</v>
      </c>
      <c r="AA37" s="4">
        <v>38.5</v>
      </c>
      <c r="AB37" s="23">
        <f t="shared" si="0"/>
        <v>924</v>
      </c>
      <c r="AC37" s="24">
        <v>20</v>
      </c>
      <c r="AD37" s="86">
        <f>+AB37*AC37+AB38*AC38+AB39*AC39</f>
        <v>27720</v>
      </c>
    </row>
    <row r="38" spans="2:32" x14ac:dyDescent="0.2">
      <c r="B38" s="85"/>
      <c r="C38" s="2" t="s">
        <v>30</v>
      </c>
      <c r="D38" s="4">
        <v>38.5</v>
      </c>
      <c r="E38" s="4">
        <v>38.5</v>
      </c>
      <c r="F38" s="4">
        <v>38.5</v>
      </c>
      <c r="G38" s="4">
        <v>38.5</v>
      </c>
      <c r="H38" s="4">
        <v>38.5</v>
      </c>
      <c r="I38" s="4">
        <v>38.5</v>
      </c>
      <c r="J38" s="4">
        <v>38.5</v>
      </c>
      <c r="K38" s="4">
        <v>38.5</v>
      </c>
      <c r="L38" s="4">
        <v>38.5</v>
      </c>
      <c r="M38" s="4">
        <v>38.5</v>
      </c>
      <c r="N38" s="4">
        <v>38.5</v>
      </c>
      <c r="O38" s="4">
        <v>38.5</v>
      </c>
      <c r="P38" s="4">
        <v>38.5</v>
      </c>
      <c r="Q38" s="4">
        <v>38.5</v>
      </c>
      <c r="R38" s="4">
        <v>38.5</v>
      </c>
      <c r="S38" s="4">
        <v>38.5</v>
      </c>
      <c r="T38" s="4">
        <v>38.5</v>
      </c>
      <c r="U38" s="4">
        <v>38.5</v>
      </c>
      <c r="V38" s="4">
        <v>38.5</v>
      </c>
      <c r="W38" s="4">
        <v>38.5</v>
      </c>
      <c r="X38" s="4">
        <v>38.5</v>
      </c>
      <c r="Y38" s="4">
        <v>38.5</v>
      </c>
      <c r="Z38" s="4">
        <v>38.5</v>
      </c>
      <c r="AA38" s="4">
        <v>38.5</v>
      </c>
      <c r="AB38" s="23">
        <f t="shared" si="0"/>
        <v>924</v>
      </c>
      <c r="AC38" s="24">
        <v>4</v>
      </c>
      <c r="AD38" s="86"/>
    </row>
    <row r="39" spans="2:32" x14ac:dyDescent="0.2">
      <c r="B39" s="85"/>
      <c r="C39" s="2" t="s">
        <v>63</v>
      </c>
      <c r="D39" s="4">
        <v>38.5</v>
      </c>
      <c r="E39" s="4">
        <v>38.5</v>
      </c>
      <c r="F39" s="4">
        <v>38.5</v>
      </c>
      <c r="G39" s="4">
        <v>38.5</v>
      </c>
      <c r="H39" s="4">
        <v>38.5</v>
      </c>
      <c r="I39" s="4">
        <v>38.5</v>
      </c>
      <c r="J39" s="4">
        <v>38.5</v>
      </c>
      <c r="K39" s="4">
        <v>38.5</v>
      </c>
      <c r="L39" s="4">
        <v>38.5</v>
      </c>
      <c r="M39" s="4">
        <v>38.5</v>
      </c>
      <c r="N39" s="4">
        <v>38.5</v>
      </c>
      <c r="O39" s="4">
        <v>38.5</v>
      </c>
      <c r="P39" s="4">
        <v>38.5</v>
      </c>
      <c r="Q39" s="4">
        <v>38.5</v>
      </c>
      <c r="R39" s="4">
        <v>38.5</v>
      </c>
      <c r="S39" s="4">
        <v>38.5</v>
      </c>
      <c r="T39" s="4">
        <v>38.5</v>
      </c>
      <c r="U39" s="4">
        <v>38.5</v>
      </c>
      <c r="V39" s="4">
        <v>38.5</v>
      </c>
      <c r="W39" s="4">
        <v>38.5</v>
      </c>
      <c r="X39" s="4">
        <v>38.5</v>
      </c>
      <c r="Y39" s="4">
        <v>38.5</v>
      </c>
      <c r="Z39" s="4">
        <v>38.5</v>
      </c>
      <c r="AA39" s="4">
        <v>38.5</v>
      </c>
      <c r="AB39" s="23">
        <f t="shared" si="0"/>
        <v>924</v>
      </c>
      <c r="AC39" s="24">
        <v>6</v>
      </c>
      <c r="AD39" s="86"/>
    </row>
    <row r="40" spans="2:32" x14ac:dyDescent="0.2">
      <c r="B40" s="85">
        <v>48549</v>
      </c>
      <c r="C40" s="2" t="s">
        <v>29</v>
      </c>
      <c r="D40" s="4">
        <v>38.5</v>
      </c>
      <c r="E40" s="4">
        <v>38.5</v>
      </c>
      <c r="F40" s="4">
        <v>38.5</v>
      </c>
      <c r="G40" s="4">
        <v>38.5</v>
      </c>
      <c r="H40" s="4">
        <v>38.5</v>
      </c>
      <c r="I40" s="4">
        <v>38.5</v>
      </c>
      <c r="J40" s="4">
        <v>38.5</v>
      </c>
      <c r="K40" s="4">
        <v>38.5</v>
      </c>
      <c r="L40" s="4">
        <v>38.5</v>
      </c>
      <c r="M40" s="4">
        <v>38.5</v>
      </c>
      <c r="N40" s="4">
        <v>38.5</v>
      </c>
      <c r="O40" s="4">
        <v>38.5</v>
      </c>
      <c r="P40" s="4">
        <v>38.5</v>
      </c>
      <c r="Q40" s="4">
        <v>38.5</v>
      </c>
      <c r="R40" s="4">
        <v>38.5</v>
      </c>
      <c r="S40" s="4">
        <v>38.5</v>
      </c>
      <c r="T40" s="4">
        <v>38.5</v>
      </c>
      <c r="U40" s="4">
        <v>38.5</v>
      </c>
      <c r="V40" s="4">
        <v>38.5</v>
      </c>
      <c r="W40" s="4">
        <v>38.5</v>
      </c>
      <c r="X40" s="4">
        <v>38.5</v>
      </c>
      <c r="Y40" s="4">
        <v>38.5</v>
      </c>
      <c r="Z40" s="4">
        <v>38.5</v>
      </c>
      <c r="AA40" s="4">
        <v>38.5</v>
      </c>
      <c r="AB40" s="23">
        <f t="shared" si="0"/>
        <v>924</v>
      </c>
      <c r="AC40" s="24">
        <v>22</v>
      </c>
      <c r="AD40" s="86">
        <f>+AB40*AC40+AB41*AC41+AB42*AC42</f>
        <v>28644</v>
      </c>
    </row>
    <row r="41" spans="2:32" x14ac:dyDescent="0.2">
      <c r="B41" s="85"/>
      <c r="C41" s="2" t="s">
        <v>30</v>
      </c>
      <c r="D41" s="4">
        <v>38.5</v>
      </c>
      <c r="E41" s="4">
        <v>38.5</v>
      </c>
      <c r="F41" s="4">
        <v>38.5</v>
      </c>
      <c r="G41" s="4">
        <v>38.5</v>
      </c>
      <c r="H41" s="4">
        <v>38.5</v>
      </c>
      <c r="I41" s="4">
        <v>38.5</v>
      </c>
      <c r="J41" s="4">
        <v>38.5</v>
      </c>
      <c r="K41" s="4">
        <v>38.5</v>
      </c>
      <c r="L41" s="4">
        <v>38.5</v>
      </c>
      <c r="M41" s="4">
        <v>38.5</v>
      </c>
      <c r="N41" s="4">
        <v>38.5</v>
      </c>
      <c r="O41" s="4">
        <v>38.5</v>
      </c>
      <c r="P41" s="4">
        <v>38.5</v>
      </c>
      <c r="Q41" s="4">
        <v>38.5</v>
      </c>
      <c r="R41" s="4">
        <v>38.5</v>
      </c>
      <c r="S41" s="4">
        <v>38.5</v>
      </c>
      <c r="T41" s="4">
        <v>38.5</v>
      </c>
      <c r="U41" s="4">
        <v>38.5</v>
      </c>
      <c r="V41" s="4">
        <v>38.5</v>
      </c>
      <c r="W41" s="4">
        <v>38.5</v>
      </c>
      <c r="X41" s="4">
        <v>38.5</v>
      </c>
      <c r="Y41" s="4">
        <v>38.5</v>
      </c>
      <c r="Z41" s="4">
        <v>38.5</v>
      </c>
      <c r="AA41" s="4">
        <v>38.5</v>
      </c>
      <c r="AB41" s="23">
        <f t="shared" si="0"/>
        <v>924</v>
      </c>
      <c r="AC41" s="24">
        <v>3</v>
      </c>
      <c r="AD41" s="86"/>
    </row>
    <row r="42" spans="2:32" x14ac:dyDescent="0.2">
      <c r="B42" s="85"/>
      <c r="C42" s="2" t="s">
        <v>63</v>
      </c>
      <c r="D42" s="4">
        <v>38.5</v>
      </c>
      <c r="E42" s="4">
        <v>38.5</v>
      </c>
      <c r="F42" s="4">
        <v>38.5</v>
      </c>
      <c r="G42" s="4">
        <v>38.5</v>
      </c>
      <c r="H42" s="4">
        <v>38.5</v>
      </c>
      <c r="I42" s="4">
        <v>38.5</v>
      </c>
      <c r="J42" s="4">
        <v>38.5</v>
      </c>
      <c r="K42" s="4">
        <v>38.5</v>
      </c>
      <c r="L42" s="4">
        <v>38.5</v>
      </c>
      <c r="M42" s="4">
        <v>38.5</v>
      </c>
      <c r="N42" s="4">
        <v>38.5</v>
      </c>
      <c r="O42" s="4">
        <v>38.5</v>
      </c>
      <c r="P42" s="4">
        <v>38.5</v>
      </c>
      <c r="Q42" s="4">
        <v>38.5</v>
      </c>
      <c r="R42" s="4">
        <v>38.5</v>
      </c>
      <c r="S42" s="4">
        <v>38.5</v>
      </c>
      <c r="T42" s="4">
        <v>38.5</v>
      </c>
      <c r="U42" s="4">
        <v>38.5</v>
      </c>
      <c r="V42" s="4">
        <v>38.5</v>
      </c>
      <c r="W42" s="4">
        <v>38.5</v>
      </c>
      <c r="X42" s="4">
        <v>38.5</v>
      </c>
      <c r="Y42" s="4">
        <v>38.5</v>
      </c>
      <c r="Z42" s="4">
        <v>38.5</v>
      </c>
      <c r="AA42" s="4">
        <v>38.5</v>
      </c>
      <c r="AB42" s="23">
        <f t="shared" si="0"/>
        <v>924</v>
      </c>
      <c r="AC42" s="24">
        <v>6</v>
      </c>
      <c r="AD42" s="86"/>
    </row>
    <row r="43" spans="2:32" ht="15.75" x14ac:dyDescent="0.25">
      <c r="AA43" s="87" t="s">
        <v>31</v>
      </c>
      <c r="AB43" s="88"/>
      <c r="AC43" s="89"/>
      <c r="AD43" s="25">
        <f>SUM(AD7:AD42)</f>
        <v>338184</v>
      </c>
      <c r="AE43" s="71"/>
      <c r="AF43" s="72"/>
    </row>
  </sheetData>
  <mergeCells count="25">
    <mergeCell ref="AA43:AC43"/>
    <mergeCell ref="B34:B36"/>
    <mergeCell ref="AD34:AD36"/>
    <mergeCell ref="B37:B39"/>
    <mergeCell ref="AD37:AD39"/>
    <mergeCell ref="B40:B42"/>
    <mergeCell ref="AD40:AD42"/>
    <mergeCell ref="B25:B27"/>
    <mergeCell ref="AD25:AD27"/>
    <mergeCell ref="B28:B30"/>
    <mergeCell ref="AD28:AD30"/>
    <mergeCell ref="B31:B33"/>
    <mergeCell ref="AD31:AD33"/>
    <mergeCell ref="B16:B18"/>
    <mergeCell ref="AD16:AD18"/>
    <mergeCell ref="B19:B21"/>
    <mergeCell ref="AD19:AD21"/>
    <mergeCell ref="B22:B24"/>
    <mergeCell ref="AD22:AD24"/>
    <mergeCell ref="B7:B9"/>
    <mergeCell ref="AD7:AD9"/>
    <mergeCell ref="B10:B12"/>
    <mergeCell ref="AD10:AD12"/>
    <mergeCell ref="B13:B15"/>
    <mergeCell ref="AD13:AD1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CC34-FB3F-45A1-A2F1-4F64FFB40BBE}">
  <sheetPr>
    <tabColor theme="7" tint="0.39997558519241921"/>
  </sheetPr>
  <dimension ref="B2:M23"/>
  <sheetViews>
    <sheetView zoomScale="80" zoomScaleNormal="80" workbookViewId="0">
      <selection activeCell="C18" sqref="C18"/>
    </sheetView>
  </sheetViews>
  <sheetFormatPr baseColWidth="10" defaultColWidth="10.88671875" defaultRowHeight="15" x14ac:dyDescent="0.2"/>
  <cols>
    <col min="1" max="1" width="5.33203125" style="30" customWidth="1"/>
    <col min="2" max="2" width="13" style="30" customWidth="1"/>
    <col min="3" max="4" width="12.109375" style="30" customWidth="1"/>
    <col min="5" max="5" width="12.88671875" style="30" customWidth="1"/>
    <col min="6" max="6" width="13.109375" style="30" customWidth="1"/>
    <col min="7" max="7" width="8.109375" style="30" customWidth="1"/>
    <col min="8" max="8" width="14.6640625" style="30" customWidth="1"/>
    <col min="9" max="16384" width="10.88671875" style="30"/>
  </cols>
  <sheetData>
    <row r="2" spans="2:8" x14ac:dyDescent="0.2">
      <c r="B2" s="59"/>
      <c r="C2" s="60"/>
      <c r="D2" s="60"/>
      <c r="E2" s="60"/>
      <c r="F2" s="60"/>
      <c r="G2" s="60"/>
      <c r="H2" s="61"/>
    </row>
    <row r="3" spans="2:8" ht="18" x14ac:dyDescent="0.2">
      <c r="B3" s="62"/>
      <c r="C3" s="48" t="s">
        <v>32</v>
      </c>
      <c r="H3" s="63"/>
    </row>
    <row r="4" spans="2:8" ht="18" x14ac:dyDescent="0.2">
      <c r="B4" s="62"/>
      <c r="C4" s="48" t="s">
        <v>33</v>
      </c>
      <c r="H4" s="63"/>
    </row>
    <row r="5" spans="2:8" ht="18" x14ac:dyDescent="0.2">
      <c r="B5" s="62"/>
      <c r="C5" s="48" t="s">
        <v>62</v>
      </c>
      <c r="H5" s="63"/>
    </row>
    <row r="6" spans="2:8" ht="18" x14ac:dyDescent="0.2">
      <c r="B6" s="62"/>
      <c r="C6" s="48"/>
      <c r="H6" s="63"/>
    </row>
    <row r="7" spans="2:8" ht="18" x14ac:dyDescent="0.2">
      <c r="B7" s="62"/>
      <c r="C7" s="48" t="s">
        <v>54</v>
      </c>
      <c r="H7" s="63"/>
    </row>
    <row r="8" spans="2:8" x14ac:dyDescent="0.2">
      <c r="B8" s="62"/>
      <c r="H8" s="63"/>
    </row>
    <row r="9" spans="2:8" ht="18" x14ac:dyDescent="0.2">
      <c r="B9" s="62"/>
      <c r="C9" s="13" t="s">
        <v>90</v>
      </c>
      <c r="H9" s="63"/>
    </row>
    <row r="10" spans="2:8" x14ac:dyDescent="0.2">
      <c r="B10" s="62"/>
      <c r="H10" s="63"/>
    </row>
    <row r="11" spans="2:8" ht="15.75" x14ac:dyDescent="0.2">
      <c r="B11" s="62"/>
      <c r="C11" s="32"/>
      <c r="H11" s="64"/>
    </row>
    <row r="12" spans="2:8" ht="45" x14ac:dyDescent="0.2">
      <c r="B12" s="62"/>
      <c r="C12" s="34" t="s">
        <v>72</v>
      </c>
      <c r="D12" s="34" t="s">
        <v>34</v>
      </c>
      <c r="E12" s="6" t="s">
        <v>91</v>
      </c>
      <c r="F12" s="34" t="s">
        <v>57</v>
      </c>
      <c r="G12" s="51"/>
      <c r="H12" s="64"/>
    </row>
    <row r="13" spans="2:8" ht="15.75" x14ac:dyDescent="0.2">
      <c r="B13" s="62"/>
      <c r="C13" s="33">
        <v>2032</v>
      </c>
      <c r="D13" s="53">
        <f>P11_Anexo_1_2032!AD43</f>
        <v>338184</v>
      </c>
      <c r="E13" s="36"/>
      <c r="F13" s="36"/>
      <c r="G13" s="38"/>
      <c r="H13" s="64"/>
    </row>
    <row r="14" spans="2:8" ht="15.75" x14ac:dyDescent="0.2">
      <c r="B14" s="62"/>
      <c r="C14" s="65" t="s">
        <v>35</v>
      </c>
      <c r="D14" s="56">
        <f>SUM(D13:D13)</f>
        <v>338184</v>
      </c>
      <c r="H14" s="64"/>
    </row>
    <row r="15" spans="2:8" ht="15.75" x14ac:dyDescent="0.2">
      <c r="B15" s="62"/>
      <c r="H15" s="64"/>
    </row>
    <row r="16" spans="2:8" x14ac:dyDescent="0.2">
      <c r="B16" s="62"/>
      <c r="H16" s="63"/>
    </row>
    <row r="17" spans="2:13" x14ac:dyDescent="0.2">
      <c r="B17" s="62"/>
      <c r="C17" s="41" t="s">
        <v>36</v>
      </c>
      <c r="H17" s="63"/>
      <c r="M17" s="31"/>
    </row>
    <row r="18" spans="2:13" x14ac:dyDescent="0.2">
      <c r="B18" s="62"/>
      <c r="C18" s="41" t="s">
        <v>96</v>
      </c>
      <c r="H18" s="63"/>
    </row>
    <row r="19" spans="2:13" x14ac:dyDescent="0.2">
      <c r="B19" s="62"/>
      <c r="C19" s="41" t="s">
        <v>93</v>
      </c>
      <c r="H19" s="63"/>
    </row>
    <row r="20" spans="2:13" x14ac:dyDescent="0.2">
      <c r="B20" s="62"/>
      <c r="C20" s="41" t="s">
        <v>37</v>
      </c>
      <c r="H20" s="63"/>
    </row>
    <row r="21" spans="2:13" x14ac:dyDescent="0.2">
      <c r="B21" s="62"/>
      <c r="C21" s="41" t="s">
        <v>92</v>
      </c>
      <c r="H21" s="63"/>
    </row>
    <row r="22" spans="2:13" x14ac:dyDescent="0.2">
      <c r="B22" s="62"/>
      <c r="C22" s="41"/>
      <c r="H22" s="63"/>
    </row>
    <row r="23" spans="2:13" x14ac:dyDescent="0.2">
      <c r="B23" s="66"/>
      <c r="C23" s="67"/>
      <c r="D23" s="67"/>
      <c r="E23" s="67"/>
      <c r="F23" s="67"/>
      <c r="G23" s="67"/>
      <c r="H23" s="68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4B11-181F-4614-B5D0-AFF9479E760E}">
  <sheetPr>
    <tabColor theme="9" tint="0.39997558519241921"/>
  </sheetPr>
  <dimension ref="B2:AF43"/>
  <sheetViews>
    <sheetView showGridLines="0" zoomScale="60" zoomScaleNormal="6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H19" sqref="AH19"/>
    </sheetView>
  </sheetViews>
  <sheetFormatPr baseColWidth="10" defaultRowHeight="15" x14ac:dyDescent="0.2"/>
  <cols>
    <col min="1" max="1" width="2.44140625" customWidth="1"/>
    <col min="3" max="3" width="11.5546875" customWidth="1"/>
    <col min="4" max="5" width="8.109375" bestFit="1" customWidth="1"/>
    <col min="6" max="6" width="7.33203125" bestFit="1" customWidth="1"/>
    <col min="7" max="7" width="7.6640625" bestFit="1" customWidth="1"/>
    <col min="8" max="8" width="7.33203125" bestFit="1" customWidth="1"/>
    <col min="9" max="9" width="7" bestFit="1" customWidth="1"/>
    <col min="10" max="11" width="7.6640625" bestFit="1" customWidth="1"/>
    <col min="12" max="22" width="8.109375" bestFit="1" customWidth="1"/>
    <col min="23" max="23" width="8.77734375" bestFit="1" customWidth="1"/>
    <col min="24" max="24" width="8.44140625" bestFit="1" customWidth="1"/>
    <col min="25" max="27" width="8.109375" bestFit="1" customWidth="1"/>
    <col min="28" max="28" width="7.109375" bestFit="1" customWidth="1"/>
    <col min="29" max="29" width="8.21875" bestFit="1" customWidth="1"/>
    <col min="31" max="31" width="12.109375" bestFit="1" customWidth="1"/>
  </cols>
  <sheetData>
    <row r="2" spans="2:31" ht="23.25" x14ac:dyDescent="0.35">
      <c r="B2" s="1" t="s">
        <v>55</v>
      </c>
    </row>
    <row r="3" spans="2:31" ht="23.25" x14ac:dyDescent="0.35">
      <c r="B3" s="1" t="s">
        <v>89</v>
      </c>
    </row>
    <row r="4" spans="2:31" ht="23.25" x14ac:dyDescent="0.35">
      <c r="B4" s="1"/>
    </row>
    <row r="5" spans="2:31" ht="23.25" x14ac:dyDescent="0.35">
      <c r="B5" s="1" t="s">
        <v>51</v>
      </c>
    </row>
    <row r="6" spans="2:31" x14ac:dyDescent="0.2">
      <c r="B6" s="22" t="s">
        <v>0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  <c r="J6" s="22" t="s">
        <v>8</v>
      </c>
      <c r="K6" s="22" t="s">
        <v>9</v>
      </c>
      <c r="L6" s="22" t="s">
        <v>10</v>
      </c>
      <c r="M6" s="22" t="s">
        <v>11</v>
      </c>
      <c r="N6" s="22" t="s">
        <v>12</v>
      </c>
      <c r="O6" s="22" t="s">
        <v>13</v>
      </c>
      <c r="P6" s="22" t="s">
        <v>14</v>
      </c>
      <c r="Q6" s="22" t="s">
        <v>15</v>
      </c>
      <c r="R6" s="22" t="s">
        <v>16</v>
      </c>
      <c r="S6" s="22" t="s">
        <v>17</v>
      </c>
      <c r="T6" s="22" t="s">
        <v>18</v>
      </c>
      <c r="U6" s="22" t="s">
        <v>19</v>
      </c>
      <c r="V6" s="22" t="s">
        <v>20</v>
      </c>
      <c r="W6" s="22" t="s">
        <v>21</v>
      </c>
      <c r="X6" s="22" t="s">
        <v>22</v>
      </c>
      <c r="Y6" s="22" t="s">
        <v>23</v>
      </c>
      <c r="Z6" s="22" t="s">
        <v>24</v>
      </c>
      <c r="AA6" s="22" t="s">
        <v>25</v>
      </c>
      <c r="AB6" s="22" t="s">
        <v>26</v>
      </c>
      <c r="AC6" s="22" t="s">
        <v>27</v>
      </c>
      <c r="AD6" s="22" t="s">
        <v>28</v>
      </c>
    </row>
    <row r="7" spans="2:31" x14ac:dyDescent="0.2">
      <c r="B7" s="85">
        <v>48214</v>
      </c>
      <c r="C7" s="2" t="s">
        <v>29</v>
      </c>
      <c r="D7" s="4">
        <v>29.56</v>
      </c>
      <c r="E7" s="4">
        <v>20.94</v>
      </c>
      <c r="F7" s="4">
        <v>13.15</v>
      </c>
      <c r="G7" s="4">
        <v>10.66</v>
      </c>
      <c r="H7" s="4">
        <v>10.130000000000001</v>
      </c>
      <c r="I7" s="4">
        <v>9.2899999999999991</v>
      </c>
      <c r="J7" s="4">
        <v>18.68</v>
      </c>
      <c r="K7" s="4">
        <v>17.32</v>
      </c>
      <c r="L7" s="4">
        <v>28.8</v>
      </c>
      <c r="M7" s="4">
        <v>36.94</v>
      </c>
      <c r="N7" s="4">
        <v>47.25</v>
      </c>
      <c r="O7" s="4">
        <v>58.25</v>
      </c>
      <c r="P7" s="4">
        <v>66.42</v>
      </c>
      <c r="Q7" s="4">
        <v>61.11</v>
      </c>
      <c r="R7" s="4">
        <v>55.99</v>
      </c>
      <c r="S7" s="4">
        <v>54.43</v>
      </c>
      <c r="T7" s="4">
        <v>55.87</v>
      </c>
      <c r="U7" s="4">
        <v>77.81</v>
      </c>
      <c r="V7" s="4">
        <v>83.83</v>
      </c>
      <c r="W7" s="4">
        <v>104.05</v>
      </c>
      <c r="X7" s="4">
        <v>102.81</v>
      </c>
      <c r="Y7" s="4">
        <v>95.11</v>
      </c>
      <c r="Z7" s="4">
        <v>76.67</v>
      </c>
      <c r="AA7" s="4">
        <v>52.54</v>
      </c>
      <c r="AB7" s="23">
        <f>SUM(D7:AA7)</f>
        <v>1187.6100000000001</v>
      </c>
      <c r="AC7" s="24">
        <v>20</v>
      </c>
      <c r="AD7" s="86">
        <f>+AB7*AC7+AB8*AC8+AB9*AC9</f>
        <v>34261.960000000006</v>
      </c>
    </row>
    <row r="8" spans="2:31" x14ac:dyDescent="0.2">
      <c r="B8" s="85"/>
      <c r="C8" s="2" t="s">
        <v>30</v>
      </c>
      <c r="D8" s="4">
        <v>25.94</v>
      </c>
      <c r="E8" s="4">
        <v>17.63</v>
      </c>
      <c r="F8" s="4">
        <v>10.11</v>
      </c>
      <c r="G8" s="4">
        <v>7.71</v>
      </c>
      <c r="H8" s="4">
        <v>7.19</v>
      </c>
      <c r="I8" s="4">
        <v>6.39</v>
      </c>
      <c r="J8" s="4">
        <v>15.44</v>
      </c>
      <c r="K8" s="4">
        <v>13.78</v>
      </c>
      <c r="L8" s="4">
        <v>24.82</v>
      </c>
      <c r="M8" s="4">
        <v>32.61</v>
      </c>
      <c r="N8" s="4">
        <v>42.53</v>
      </c>
      <c r="O8" s="4">
        <v>53.13</v>
      </c>
      <c r="P8" s="4">
        <v>61.03</v>
      </c>
      <c r="Q8" s="4">
        <v>55.93</v>
      </c>
      <c r="R8" s="4">
        <v>51</v>
      </c>
      <c r="S8" s="4">
        <v>49.52</v>
      </c>
      <c r="T8" s="4">
        <v>50.95</v>
      </c>
      <c r="U8" s="4">
        <v>72.83</v>
      </c>
      <c r="V8" s="4">
        <v>78.64</v>
      </c>
      <c r="W8" s="4">
        <v>98.16</v>
      </c>
      <c r="X8" s="4">
        <v>96.96</v>
      </c>
      <c r="Y8" s="4">
        <v>89.53</v>
      </c>
      <c r="Z8" s="4">
        <v>71.73</v>
      </c>
      <c r="AA8" s="4">
        <v>48.44</v>
      </c>
      <c r="AB8" s="23">
        <f t="shared" ref="AB8:AB42" si="0">SUM(D8:AA8)</f>
        <v>1082</v>
      </c>
      <c r="AC8" s="24">
        <v>5</v>
      </c>
      <c r="AD8" s="86"/>
    </row>
    <row r="9" spans="2:31" x14ac:dyDescent="0.2">
      <c r="B9" s="85"/>
      <c r="C9" s="2" t="s">
        <v>63</v>
      </c>
      <c r="D9" s="4">
        <v>18</v>
      </c>
      <c r="E9" s="4">
        <v>10.35</v>
      </c>
      <c r="F9" s="4">
        <v>3.43</v>
      </c>
      <c r="G9" s="4">
        <v>1.21</v>
      </c>
      <c r="H9" s="4">
        <v>0.74</v>
      </c>
      <c r="I9" s="4"/>
      <c r="J9" s="4">
        <v>8.33</v>
      </c>
      <c r="K9" s="4">
        <v>6</v>
      </c>
      <c r="L9" s="4">
        <v>16.059999999999999</v>
      </c>
      <c r="M9" s="4">
        <v>23.12</v>
      </c>
      <c r="N9" s="4">
        <v>32.159999999999997</v>
      </c>
      <c r="O9" s="4">
        <v>41.89</v>
      </c>
      <c r="P9" s="4">
        <v>49.19</v>
      </c>
      <c r="Q9" s="4">
        <v>44.55</v>
      </c>
      <c r="R9" s="4">
        <v>40.03</v>
      </c>
      <c r="S9" s="4">
        <v>38.74</v>
      </c>
      <c r="T9" s="4">
        <v>40.15</v>
      </c>
      <c r="U9" s="4">
        <v>61.89</v>
      </c>
      <c r="V9" s="4">
        <v>67.239999999999995</v>
      </c>
      <c r="W9" s="4">
        <v>85.2</v>
      </c>
      <c r="X9" s="4">
        <v>84.1</v>
      </c>
      <c r="Y9" s="4">
        <v>77.260000000000005</v>
      </c>
      <c r="Z9" s="4">
        <v>60.88</v>
      </c>
      <c r="AA9" s="4">
        <v>39.44</v>
      </c>
      <c r="AB9" s="23">
        <f t="shared" si="0"/>
        <v>849.96</v>
      </c>
      <c r="AC9" s="24">
        <v>6</v>
      </c>
      <c r="AD9" s="86"/>
      <c r="AE9" s="76"/>
    </row>
    <row r="10" spans="2:31" x14ac:dyDescent="0.2">
      <c r="B10" s="85">
        <v>48245</v>
      </c>
      <c r="C10" s="2" t="s">
        <v>29</v>
      </c>
      <c r="D10" s="4">
        <v>29.56</v>
      </c>
      <c r="E10" s="4">
        <v>20.94</v>
      </c>
      <c r="F10" s="4">
        <v>13.15</v>
      </c>
      <c r="G10" s="4">
        <v>10.66</v>
      </c>
      <c r="H10" s="4">
        <v>10.130000000000001</v>
      </c>
      <c r="I10" s="4">
        <v>9.2899999999999991</v>
      </c>
      <c r="J10" s="4">
        <v>18.68</v>
      </c>
      <c r="K10" s="4">
        <v>17.32</v>
      </c>
      <c r="L10" s="4">
        <v>28.8</v>
      </c>
      <c r="M10" s="4">
        <v>36.94</v>
      </c>
      <c r="N10" s="4">
        <v>47.25</v>
      </c>
      <c r="O10" s="4">
        <v>58.25</v>
      </c>
      <c r="P10" s="4">
        <v>66.42</v>
      </c>
      <c r="Q10" s="4">
        <v>61.11</v>
      </c>
      <c r="R10" s="4">
        <v>55.99</v>
      </c>
      <c r="S10" s="4">
        <v>54.43</v>
      </c>
      <c r="T10" s="4">
        <v>55.87</v>
      </c>
      <c r="U10" s="4">
        <v>77.81</v>
      </c>
      <c r="V10" s="4">
        <v>83.83</v>
      </c>
      <c r="W10" s="4">
        <v>104.05</v>
      </c>
      <c r="X10" s="4">
        <v>102.81</v>
      </c>
      <c r="Y10" s="4">
        <v>95.11</v>
      </c>
      <c r="Z10" s="4">
        <v>76.67</v>
      </c>
      <c r="AA10" s="4">
        <v>52.54</v>
      </c>
      <c r="AB10" s="23">
        <f t="shared" si="0"/>
        <v>1187.6100000000001</v>
      </c>
      <c r="AC10" s="24">
        <v>20</v>
      </c>
      <c r="AD10" s="86">
        <f>+AB10*AC10+AB11*AC11+AB12*AC12</f>
        <v>32330.000000000004</v>
      </c>
    </row>
    <row r="11" spans="2:31" x14ac:dyDescent="0.2">
      <c r="B11" s="85"/>
      <c r="C11" s="2" t="s">
        <v>30</v>
      </c>
      <c r="D11" s="4">
        <v>25.94</v>
      </c>
      <c r="E11" s="4">
        <v>17.63</v>
      </c>
      <c r="F11" s="4">
        <v>10.11</v>
      </c>
      <c r="G11" s="4">
        <v>7.71</v>
      </c>
      <c r="H11" s="4">
        <v>7.19</v>
      </c>
      <c r="I11" s="4">
        <v>6.39</v>
      </c>
      <c r="J11" s="4">
        <v>15.44</v>
      </c>
      <c r="K11" s="4">
        <v>13.78</v>
      </c>
      <c r="L11" s="4">
        <v>24.82</v>
      </c>
      <c r="M11" s="4">
        <v>32.61</v>
      </c>
      <c r="N11" s="4">
        <v>42.53</v>
      </c>
      <c r="O11" s="4">
        <v>53.13</v>
      </c>
      <c r="P11" s="4">
        <v>61.03</v>
      </c>
      <c r="Q11" s="4">
        <v>55.93</v>
      </c>
      <c r="R11" s="4">
        <v>51</v>
      </c>
      <c r="S11" s="4">
        <v>49.52</v>
      </c>
      <c r="T11" s="4">
        <v>50.95</v>
      </c>
      <c r="U11" s="4">
        <v>72.83</v>
      </c>
      <c r="V11" s="4">
        <v>78.64</v>
      </c>
      <c r="W11" s="4">
        <v>98.16</v>
      </c>
      <c r="X11" s="4">
        <v>96.96</v>
      </c>
      <c r="Y11" s="4">
        <v>89.53</v>
      </c>
      <c r="Z11" s="4">
        <v>71.73</v>
      </c>
      <c r="AA11" s="4">
        <v>48.44</v>
      </c>
      <c r="AB11" s="23">
        <f t="shared" si="0"/>
        <v>1082</v>
      </c>
      <c r="AC11" s="24">
        <v>4</v>
      </c>
      <c r="AD11" s="86"/>
    </row>
    <row r="12" spans="2:31" x14ac:dyDescent="0.2">
      <c r="B12" s="85"/>
      <c r="C12" s="2" t="s">
        <v>63</v>
      </c>
      <c r="D12" s="4">
        <v>18</v>
      </c>
      <c r="E12" s="4">
        <v>10.35</v>
      </c>
      <c r="F12" s="4">
        <v>3.43</v>
      </c>
      <c r="G12" s="4">
        <v>1.21</v>
      </c>
      <c r="H12" s="4">
        <v>0.74</v>
      </c>
      <c r="I12" s="4">
        <v>0</v>
      </c>
      <c r="J12" s="4">
        <v>8.33</v>
      </c>
      <c r="K12" s="4">
        <v>6</v>
      </c>
      <c r="L12" s="4">
        <v>16.059999999999999</v>
      </c>
      <c r="M12" s="4">
        <v>23.12</v>
      </c>
      <c r="N12" s="4">
        <v>32.159999999999997</v>
      </c>
      <c r="O12" s="4">
        <v>41.89</v>
      </c>
      <c r="P12" s="4">
        <v>49.19</v>
      </c>
      <c r="Q12" s="4">
        <v>44.55</v>
      </c>
      <c r="R12" s="4">
        <v>40.03</v>
      </c>
      <c r="S12" s="4">
        <v>38.74</v>
      </c>
      <c r="T12" s="4">
        <v>40.15</v>
      </c>
      <c r="U12" s="4">
        <v>61.89</v>
      </c>
      <c r="V12" s="4">
        <v>67.239999999999995</v>
      </c>
      <c r="W12" s="4">
        <v>85.2</v>
      </c>
      <c r="X12" s="4">
        <v>84.1</v>
      </c>
      <c r="Y12" s="4">
        <v>77.260000000000005</v>
      </c>
      <c r="Z12" s="4">
        <v>60.88</v>
      </c>
      <c r="AA12" s="4">
        <v>39.44</v>
      </c>
      <c r="AB12" s="23">
        <f t="shared" si="0"/>
        <v>849.96</v>
      </c>
      <c r="AC12" s="24">
        <v>5</v>
      </c>
      <c r="AD12" s="86"/>
      <c r="AE12" s="76">
        <f>MIN(D10:AA12)</f>
        <v>0</v>
      </c>
    </row>
    <row r="13" spans="2:31" x14ac:dyDescent="0.2">
      <c r="B13" s="85">
        <v>48274</v>
      </c>
      <c r="C13" s="2" t="s">
        <v>29</v>
      </c>
      <c r="D13" s="4">
        <v>29.56</v>
      </c>
      <c r="E13" s="4">
        <v>20.94</v>
      </c>
      <c r="F13" s="4">
        <v>13.15</v>
      </c>
      <c r="G13" s="4">
        <v>10.66</v>
      </c>
      <c r="H13" s="4">
        <v>10.130000000000001</v>
      </c>
      <c r="I13" s="4">
        <v>9.2899999999999991</v>
      </c>
      <c r="J13" s="4">
        <v>18.68</v>
      </c>
      <c r="K13" s="4">
        <v>17.32</v>
      </c>
      <c r="L13" s="4">
        <v>28.8</v>
      </c>
      <c r="M13" s="4">
        <v>36.94</v>
      </c>
      <c r="N13" s="4">
        <v>47.25</v>
      </c>
      <c r="O13" s="4">
        <v>58.25</v>
      </c>
      <c r="P13" s="4">
        <v>66.42</v>
      </c>
      <c r="Q13" s="4">
        <v>61.11</v>
      </c>
      <c r="R13" s="4">
        <v>55.99</v>
      </c>
      <c r="S13" s="4">
        <v>54.43</v>
      </c>
      <c r="T13" s="4">
        <v>55.87</v>
      </c>
      <c r="U13" s="4">
        <v>77.81</v>
      </c>
      <c r="V13" s="4">
        <v>83.83</v>
      </c>
      <c r="W13" s="4">
        <v>104.05</v>
      </c>
      <c r="X13" s="4">
        <v>102.81</v>
      </c>
      <c r="Y13" s="4">
        <v>95.11</v>
      </c>
      <c r="Z13" s="4">
        <v>76.67</v>
      </c>
      <c r="AA13" s="4">
        <v>52.54</v>
      </c>
      <c r="AB13" s="23">
        <f t="shared" si="0"/>
        <v>1187.6100000000001</v>
      </c>
      <c r="AC13" s="24">
        <v>20</v>
      </c>
      <c r="AD13" s="86">
        <f>+AB13*AC13+AB14*AC14+AB15*AC15</f>
        <v>34029.920000000006</v>
      </c>
    </row>
    <row r="14" spans="2:31" x14ac:dyDescent="0.2">
      <c r="B14" s="85"/>
      <c r="C14" s="2" t="s">
        <v>30</v>
      </c>
      <c r="D14" s="4">
        <v>25.94</v>
      </c>
      <c r="E14" s="4">
        <v>17.63</v>
      </c>
      <c r="F14" s="4">
        <v>10.11</v>
      </c>
      <c r="G14" s="4">
        <v>7.71</v>
      </c>
      <c r="H14" s="4">
        <v>7.19</v>
      </c>
      <c r="I14" s="4">
        <v>6.39</v>
      </c>
      <c r="J14" s="4">
        <v>15.44</v>
      </c>
      <c r="K14" s="4">
        <v>13.78</v>
      </c>
      <c r="L14" s="4">
        <v>24.82</v>
      </c>
      <c r="M14" s="4">
        <v>32.61</v>
      </c>
      <c r="N14" s="4">
        <v>42.53</v>
      </c>
      <c r="O14" s="4">
        <v>53.13</v>
      </c>
      <c r="P14" s="4">
        <v>61.03</v>
      </c>
      <c r="Q14" s="4">
        <v>55.93</v>
      </c>
      <c r="R14" s="4">
        <v>51</v>
      </c>
      <c r="S14" s="4">
        <v>49.52</v>
      </c>
      <c r="T14" s="4">
        <v>50.95</v>
      </c>
      <c r="U14" s="4">
        <v>72.83</v>
      </c>
      <c r="V14" s="4">
        <v>78.64</v>
      </c>
      <c r="W14" s="4">
        <v>98.16</v>
      </c>
      <c r="X14" s="4">
        <v>96.96</v>
      </c>
      <c r="Y14" s="4">
        <v>89.53</v>
      </c>
      <c r="Z14" s="4">
        <v>71.73</v>
      </c>
      <c r="AA14" s="4">
        <v>48.44</v>
      </c>
      <c r="AB14" s="23">
        <f t="shared" si="0"/>
        <v>1082</v>
      </c>
      <c r="AC14" s="24">
        <v>4</v>
      </c>
      <c r="AD14" s="86"/>
    </row>
    <row r="15" spans="2:31" x14ac:dyDescent="0.2">
      <c r="B15" s="85"/>
      <c r="C15" s="2" t="s">
        <v>63</v>
      </c>
      <c r="D15" s="4">
        <v>18</v>
      </c>
      <c r="E15" s="4">
        <v>10.35</v>
      </c>
      <c r="F15" s="4">
        <v>3.43</v>
      </c>
      <c r="G15" s="4">
        <v>1.21</v>
      </c>
      <c r="H15" s="4">
        <v>0.74</v>
      </c>
      <c r="I15" s="4">
        <v>0</v>
      </c>
      <c r="J15" s="4">
        <v>8.33</v>
      </c>
      <c r="K15" s="4">
        <v>6</v>
      </c>
      <c r="L15" s="4">
        <v>16.059999999999999</v>
      </c>
      <c r="M15" s="4">
        <v>23.12</v>
      </c>
      <c r="N15" s="4">
        <v>32.159999999999997</v>
      </c>
      <c r="O15" s="4">
        <v>41.89</v>
      </c>
      <c r="P15" s="4">
        <v>49.19</v>
      </c>
      <c r="Q15" s="4">
        <v>44.55</v>
      </c>
      <c r="R15" s="4">
        <v>40.03</v>
      </c>
      <c r="S15" s="4">
        <v>38.74</v>
      </c>
      <c r="T15" s="4">
        <v>40.15</v>
      </c>
      <c r="U15" s="4">
        <v>61.89</v>
      </c>
      <c r="V15" s="4">
        <v>67.239999999999995</v>
      </c>
      <c r="W15" s="4">
        <v>85.2</v>
      </c>
      <c r="X15" s="4">
        <v>84.1</v>
      </c>
      <c r="Y15" s="4">
        <v>77.260000000000005</v>
      </c>
      <c r="Z15" s="4">
        <v>60.88</v>
      </c>
      <c r="AA15" s="4">
        <v>39.44</v>
      </c>
      <c r="AB15" s="23">
        <f t="shared" si="0"/>
        <v>849.96</v>
      </c>
      <c r="AC15" s="24">
        <v>7</v>
      </c>
      <c r="AD15" s="86"/>
    </row>
    <row r="16" spans="2:31" x14ac:dyDescent="0.2">
      <c r="B16" s="85">
        <v>48305</v>
      </c>
      <c r="C16" s="2" t="s">
        <v>29</v>
      </c>
      <c r="D16" s="4">
        <v>29.56</v>
      </c>
      <c r="E16" s="4">
        <v>20.94</v>
      </c>
      <c r="F16" s="4">
        <v>13.15</v>
      </c>
      <c r="G16" s="4">
        <v>10.66</v>
      </c>
      <c r="H16" s="4">
        <v>10.130000000000001</v>
      </c>
      <c r="I16" s="4">
        <v>9.2899999999999991</v>
      </c>
      <c r="J16" s="4">
        <v>18.68</v>
      </c>
      <c r="K16" s="4">
        <v>17.32</v>
      </c>
      <c r="L16" s="4">
        <v>28.8</v>
      </c>
      <c r="M16" s="4">
        <v>36.94</v>
      </c>
      <c r="N16" s="4">
        <v>47.25</v>
      </c>
      <c r="O16" s="4">
        <v>58.25</v>
      </c>
      <c r="P16" s="4">
        <v>66.42</v>
      </c>
      <c r="Q16" s="4">
        <v>61.11</v>
      </c>
      <c r="R16" s="4">
        <v>55.99</v>
      </c>
      <c r="S16" s="4">
        <v>54.43</v>
      </c>
      <c r="T16" s="4">
        <v>55.87</v>
      </c>
      <c r="U16" s="4">
        <v>77.81</v>
      </c>
      <c r="V16" s="4">
        <v>83.83</v>
      </c>
      <c r="W16" s="4">
        <v>104.05</v>
      </c>
      <c r="X16" s="4">
        <v>102.81</v>
      </c>
      <c r="Y16" s="4">
        <v>95.11</v>
      </c>
      <c r="Z16" s="4">
        <v>76.67</v>
      </c>
      <c r="AA16" s="4">
        <v>52.54</v>
      </c>
      <c r="AB16" s="23">
        <f t="shared" si="0"/>
        <v>1187.6100000000001</v>
      </c>
      <c r="AC16" s="24">
        <v>22</v>
      </c>
      <c r="AD16" s="86">
        <f>+AB16*AC16+AB17*AC17+AB18*AC18</f>
        <v>33855.26</v>
      </c>
    </row>
    <row r="17" spans="2:30" x14ac:dyDescent="0.2">
      <c r="B17" s="85"/>
      <c r="C17" s="2" t="s">
        <v>30</v>
      </c>
      <c r="D17" s="4">
        <v>25.94</v>
      </c>
      <c r="E17" s="4">
        <v>17.63</v>
      </c>
      <c r="F17" s="4">
        <v>10.11</v>
      </c>
      <c r="G17" s="4">
        <v>7.71</v>
      </c>
      <c r="H17" s="4">
        <v>7.19</v>
      </c>
      <c r="I17" s="4">
        <v>6.39</v>
      </c>
      <c r="J17" s="4">
        <v>15.44</v>
      </c>
      <c r="K17" s="4">
        <v>13.78</v>
      </c>
      <c r="L17" s="4">
        <v>24.82</v>
      </c>
      <c r="M17" s="4">
        <v>32.61</v>
      </c>
      <c r="N17" s="4">
        <v>42.53</v>
      </c>
      <c r="O17" s="4">
        <v>53.13</v>
      </c>
      <c r="P17" s="4">
        <v>61.03</v>
      </c>
      <c r="Q17" s="4">
        <v>55.93</v>
      </c>
      <c r="R17" s="4">
        <v>51</v>
      </c>
      <c r="S17" s="4">
        <v>49.52</v>
      </c>
      <c r="T17" s="4">
        <v>50.95</v>
      </c>
      <c r="U17" s="4">
        <v>72.83</v>
      </c>
      <c r="V17" s="4">
        <v>78.64</v>
      </c>
      <c r="W17" s="4">
        <v>98.16</v>
      </c>
      <c r="X17" s="4">
        <v>96.96</v>
      </c>
      <c r="Y17" s="4">
        <v>89.53</v>
      </c>
      <c r="Z17" s="4">
        <v>71.73</v>
      </c>
      <c r="AA17" s="4">
        <v>48.44</v>
      </c>
      <c r="AB17" s="23">
        <f t="shared" si="0"/>
        <v>1082</v>
      </c>
      <c r="AC17" s="24">
        <v>4</v>
      </c>
      <c r="AD17" s="86"/>
    </row>
    <row r="18" spans="2:30" x14ac:dyDescent="0.2">
      <c r="B18" s="85"/>
      <c r="C18" s="2" t="s">
        <v>63</v>
      </c>
      <c r="D18" s="4">
        <v>18</v>
      </c>
      <c r="E18" s="4">
        <v>10.35</v>
      </c>
      <c r="F18" s="4">
        <v>3.43</v>
      </c>
      <c r="G18" s="4">
        <v>1.21</v>
      </c>
      <c r="H18" s="4">
        <v>0.74</v>
      </c>
      <c r="I18" s="4">
        <v>0</v>
      </c>
      <c r="J18" s="4">
        <v>8.33</v>
      </c>
      <c r="K18" s="4">
        <v>6</v>
      </c>
      <c r="L18" s="4">
        <v>16.059999999999999</v>
      </c>
      <c r="M18" s="4">
        <v>23.12</v>
      </c>
      <c r="N18" s="4">
        <v>32.159999999999997</v>
      </c>
      <c r="O18" s="4">
        <v>41.89</v>
      </c>
      <c r="P18" s="4">
        <v>49.19</v>
      </c>
      <c r="Q18" s="4">
        <v>44.55</v>
      </c>
      <c r="R18" s="4">
        <v>40.03</v>
      </c>
      <c r="S18" s="4">
        <v>38.74</v>
      </c>
      <c r="T18" s="4">
        <v>40.15</v>
      </c>
      <c r="U18" s="4">
        <v>61.89</v>
      </c>
      <c r="V18" s="4">
        <v>67.239999999999995</v>
      </c>
      <c r="W18" s="4">
        <v>85.2</v>
      </c>
      <c r="X18" s="4">
        <v>84.1</v>
      </c>
      <c r="Y18" s="4">
        <v>77.260000000000005</v>
      </c>
      <c r="Z18" s="4">
        <v>60.88</v>
      </c>
      <c r="AA18" s="4">
        <v>39.44</v>
      </c>
      <c r="AB18" s="23">
        <f t="shared" si="0"/>
        <v>849.96</v>
      </c>
      <c r="AC18" s="24">
        <v>4</v>
      </c>
      <c r="AD18" s="86"/>
    </row>
    <row r="19" spans="2:30" x14ac:dyDescent="0.2">
      <c r="B19" s="85">
        <v>48335</v>
      </c>
      <c r="C19" s="2" t="s">
        <v>29</v>
      </c>
      <c r="D19" s="4">
        <v>29.56</v>
      </c>
      <c r="E19" s="4">
        <v>20.94</v>
      </c>
      <c r="F19" s="4">
        <v>13.15</v>
      </c>
      <c r="G19" s="4">
        <v>10.66</v>
      </c>
      <c r="H19" s="4">
        <v>10.130000000000001</v>
      </c>
      <c r="I19" s="4">
        <v>9.2899999999999991</v>
      </c>
      <c r="J19" s="4">
        <v>18.68</v>
      </c>
      <c r="K19" s="4">
        <v>17.32</v>
      </c>
      <c r="L19" s="4">
        <v>28.8</v>
      </c>
      <c r="M19" s="4">
        <v>36.94</v>
      </c>
      <c r="N19" s="4">
        <v>47.25</v>
      </c>
      <c r="O19" s="4">
        <v>58.25</v>
      </c>
      <c r="P19" s="4">
        <v>66.42</v>
      </c>
      <c r="Q19" s="4">
        <v>61.11</v>
      </c>
      <c r="R19" s="4">
        <v>55.99</v>
      </c>
      <c r="S19" s="4">
        <v>54.43</v>
      </c>
      <c r="T19" s="4">
        <v>55.87</v>
      </c>
      <c r="U19" s="4">
        <v>77.81</v>
      </c>
      <c r="V19" s="4">
        <v>83.83</v>
      </c>
      <c r="W19" s="4">
        <v>104.05</v>
      </c>
      <c r="X19" s="4">
        <v>102.81</v>
      </c>
      <c r="Y19" s="4">
        <v>95.11</v>
      </c>
      <c r="Z19" s="4">
        <v>76.67</v>
      </c>
      <c r="AA19" s="4">
        <v>52.54</v>
      </c>
      <c r="AB19" s="23">
        <f t="shared" si="0"/>
        <v>1187.6100000000001</v>
      </c>
      <c r="AC19" s="24">
        <v>19</v>
      </c>
      <c r="AD19" s="86">
        <f>+AB19*AC19+AB20*AC20+AB21*AC21</f>
        <v>33692.270000000004</v>
      </c>
    </row>
    <row r="20" spans="2:30" x14ac:dyDescent="0.2">
      <c r="B20" s="85"/>
      <c r="C20" s="2" t="s">
        <v>30</v>
      </c>
      <c r="D20" s="4">
        <v>25.94</v>
      </c>
      <c r="E20" s="4">
        <v>17.63</v>
      </c>
      <c r="F20" s="4">
        <v>10.11</v>
      </c>
      <c r="G20" s="4">
        <v>7.71</v>
      </c>
      <c r="H20" s="4">
        <v>7.19</v>
      </c>
      <c r="I20" s="4">
        <v>6.39</v>
      </c>
      <c r="J20" s="4">
        <v>15.44</v>
      </c>
      <c r="K20" s="4">
        <v>13.78</v>
      </c>
      <c r="L20" s="4">
        <v>24.82</v>
      </c>
      <c r="M20" s="4">
        <v>32.61</v>
      </c>
      <c r="N20" s="4">
        <v>42.53</v>
      </c>
      <c r="O20" s="4">
        <v>53.13</v>
      </c>
      <c r="P20" s="4">
        <v>61.03</v>
      </c>
      <c r="Q20" s="4">
        <v>55.93</v>
      </c>
      <c r="R20" s="4">
        <v>51</v>
      </c>
      <c r="S20" s="4">
        <v>49.52</v>
      </c>
      <c r="T20" s="4">
        <v>50.95</v>
      </c>
      <c r="U20" s="4">
        <v>72.83</v>
      </c>
      <c r="V20" s="4">
        <v>78.64</v>
      </c>
      <c r="W20" s="4">
        <v>98.16</v>
      </c>
      <c r="X20" s="4">
        <v>96.96</v>
      </c>
      <c r="Y20" s="4">
        <v>89.53</v>
      </c>
      <c r="Z20" s="4">
        <v>71.73</v>
      </c>
      <c r="AA20" s="4">
        <v>48.44</v>
      </c>
      <c r="AB20" s="23">
        <f t="shared" si="0"/>
        <v>1082</v>
      </c>
      <c r="AC20" s="24">
        <v>4</v>
      </c>
      <c r="AD20" s="86"/>
    </row>
    <row r="21" spans="2:30" x14ac:dyDescent="0.2">
      <c r="B21" s="85"/>
      <c r="C21" s="2" t="s">
        <v>63</v>
      </c>
      <c r="D21" s="4">
        <v>18</v>
      </c>
      <c r="E21" s="4">
        <v>10.35</v>
      </c>
      <c r="F21" s="4">
        <v>3.43</v>
      </c>
      <c r="G21" s="4">
        <v>1.21</v>
      </c>
      <c r="H21" s="4">
        <v>0.74</v>
      </c>
      <c r="I21" s="4">
        <v>0</v>
      </c>
      <c r="J21" s="4">
        <v>8.33</v>
      </c>
      <c r="K21" s="4">
        <v>6</v>
      </c>
      <c r="L21" s="4">
        <v>16.059999999999999</v>
      </c>
      <c r="M21" s="4">
        <v>23.12</v>
      </c>
      <c r="N21" s="4">
        <v>32.159999999999997</v>
      </c>
      <c r="O21" s="4">
        <v>41.89</v>
      </c>
      <c r="P21" s="4">
        <v>49.19</v>
      </c>
      <c r="Q21" s="4">
        <v>44.55</v>
      </c>
      <c r="R21" s="4">
        <v>40.03</v>
      </c>
      <c r="S21" s="4">
        <v>38.74</v>
      </c>
      <c r="T21" s="4">
        <v>40.15</v>
      </c>
      <c r="U21" s="4">
        <v>61.89</v>
      </c>
      <c r="V21" s="4">
        <v>67.239999999999995</v>
      </c>
      <c r="W21" s="4">
        <v>85.2</v>
      </c>
      <c r="X21" s="4">
        <v>84.1</v>
      </c>
      <c r="Y21" s="4">
        <v>77.260000000000005</v>
      </c>
      <c r="Z21" s="4">
        <v>60.88</v>
      </c>
      <c r="AA21" s="4">
        <v>39.44</v>
      </c>
      <c r="AB21" s="23">
        <f t="shared" si="0"/>
        <v>849.96</v>
      </c>
      <c r="AC21" s="24">
        <v>8</v>
      </c>
      <c r="AD21" s="86"/>
    </row>
    <row r="22" spans="2:30" x14ac:dyDescent="0.2">
      <c r="B22" s="85">
        <v>48366</v>
      </c>
      <c r="C22" s="2" t="s">
        <v>29</v>
      </c>
      <c r="D22" s="4">
        <v>29.56</v>
      </c>
      <c r="E22" s="4">
        <v>20.94</v>
      </c>
      <c r="F22" s="4">
        <v>13.15</v>
      </c>
      <c r="G22" s="4">
        <v>10.66</v>
      </c>
      <c r="H22" s="4">
        <v>10.130000000000001</v>
      </c>
      <c r="I22" s="4">
        <v>9.2899999999999991</v>
      </c>
      <c r="J22" s="4">
        <v>18.68</v>
      </c>
      <c r="K22" s="4">
        <v>17.32</v>
      </c>
      <c r="L22" s="4">
        <v>28.8</v>
      </c>
      <c r="M22" s="4">
        <v>36.94</v>
      </c>
      <c r="N22" s="4">
        <v>47.25</v>
      </c>
      <c r="O22" s="4">
        <v>58.25</v>
      </c>
      <c r="P22" s="4">
        <v>66.42</v>
      </c>
      <c r="Q22" s="4">
        <v>61.11</v>
      </c>
      <c r="R22" s="4">
        <v>55.99</v>
      </c>
      <c r="S22" s="4">
        <v>54.43</v>
      </c>
      <c r="T22" s="4">
        <v>55.87</v>
      </c>
      <c r="U22" s="4">
        <v>77.81</v>
      </c>
      <c r="V22" s="4">
        <v>83.83</v>
      </c>
      <c r="W22" s="4">
        <v>104.05</v>
      </c>
      <c r="X22" s="4">
        <v>102.81</v>
      </c>
      <c r="Y22" s="4">
        <v>95.11</v>
      </c>
      <c r="Z22" s="4">
        <v>76.67</v>
      </c>
      <c r="AA22" s="4">
        <v>52.54</v>
      </c>
      <c r="AB22" s="23">
        <f t="shared" si="0"/>
        <v>1187.6100000000001</v>
      </c>
      <c r="AC22" s="24">
        <v>21</v>
      </c>
      <c r="AD22" s="86">
        <f>+AB22*AC22+AB23*AC23+AB24*AC24</f>
        <v>33517.61</v>
      </c>
    </row>
    <row r="23" spans="2:30" x14ac:dyDescent="0.2">
      <c r="B23" s="85"/>
      <c r="C23" s="2" t="s">
        <v>30</v>
      </c>
      <c r="D23" s="4">
        <v>25.94</v>
      </c>
      <c r="E23" s="4">
        <v>17.63</v>
      </c>
      <c r="F23" s="4">
        <v>10.11</v>
      </c>
      <c r="G23" s="4">
        <v>7.71</v>
      </c>
      <c r="H23" s="4">
        <v>7.19</v>
      </c>
      <c r="I23" s="4">
        <v>6.39</v>
      </c>
      <c r="J23" s="4">
        <v>15.44</v>
      </c>
      <c r="K23" s="4">
        <v>13.78</v>
      </c>
      <c r="L23" s="4">
        <v>24.82</v>
      </c>
      <c r="M23" s="4">
        <v>32.61</v>
      </c>
      <c r="N23" s="4">
        <v>42.53</v>
      </c>
      <c r="O23" s="4">
        <v>53.13</v>
      </c>
      <c r="P23" s="4">
        <v>61.03</v>
      </c>
      <c r="Q23" s="4">
        <v>55.93</v>
      </c>
      <c r="R23" s="4">
        <v>51</v>
      </c>
      <c r="S23" s="4">
        <v>49.52</v>
      </c>
      <c r="T23" s="4">
        <v>50.95</v>
      </c>
      <c r="U23" s="4">
        <v>72.83</v>
      </c>
      <c r="V23" s="4">
        <v>78.64</v>
      </c>
      <c r="W23" s="4">
        <v>98.16</v>
      </c>
      <c r="X23" s="4">
        <v>96.96</v>
      </c>
      <c r="Y23" s="4">
        <v>89.53</v>
      </c>
      <c r="Z23" s="4">
        <v>71.73</v>
      </c>
      <c r="AA23" s="4">
        <v>48.44</v>
      </c>
      <c r="AB23" s="23">
        <f t="shared" si="0"/>
        <v>1082</v>
      </c>
      <c r="AC23" s="24">
        <v>4</v>
      </c>
      <c r="AD23" s="86"/>
    </row>
    <row r="24" spans="2:30" x14ac:dyDescent="0.2">
      <c r="B24" s="85"/>
      <c r="C24" s="2" t="s">
        <v>63</v>
      </c>
      <c r="D24" s="4">
        <v>18</v>
      </c>
      <c r="E24" s="4">
        <v>10.35</v>
      </c>
      <c r="F24" s="4">
        <v>3.43</v>
      </c>
      <c r="G24" s="4">
        <v>1.21</v>
      </c>
      <c r="H24" s="4">
        <v>0.74</v>
      </c>
      <c r="I24" s="4">
        <v>0</v>
      </c>
      <c r="J24" s="4">
        <v>8.33</v>
      </c>
      <c r="K24" s="4">
        <v>6</v>
      </c>
      <c r="L24" s="4">
        <v>16.059999999999999</v>
      </c>
      <c r="M24" s="4">
        <v>23.12</v>
      </c>
      <c r="N24" s="4">
        <v>32.159999999999997</v>
      </c>
      <c r="O24" s="4">
        <v>41.89</v>
      </c>
      <c r="P24" s="4">
        <v>49.19</v>
      </c>
      <c r="Q24" s="4">
        <v>44.55</v>
      </c>
      <c r="R24" s="4">
        <v>40.03</v>
      </c>
      <c r="S24" s="4">
        <v>38.74</v>
      </c>
      <c r="T24" s="4">
        <v>40.15</v>
      </c>
      <c r="U24" s="4">
        <v>61.89</v>
      </c>
      <c r="V24" s="4">
        <v>67.239999999999995</v>
      </c>
      <c r="W24" s="4">
        <v>85.2</v>
      </c>
      <c r="X24" s="4">
        <v>84.1</v>
      </c>
      <c r="Y24" s="4">
        <v>77.260000000000005</v>
      </c>
      <c r="Z24" s="4">
        <v>60.88</v>
      </c>
      <c r="AA24" s="4">
        <v>39.44</v>
      </c>
      <c r="AB24" s="23">
        <f t="shared" si="0"/>
        <v>849.96</v>
      </c>
      <c r="AC24" s="24">
        <v>5</v>
      </c>
      <c r="AD24" s="86"/>
    </row>
    <row r="25" spans="2:30" x14ac:dyDescent="0.2">
      <c r="B25" s="85">
        <v>48396</v>
      </c>
      <c r="C25" s="2" t="s">
        <v>29</v>
      </c>
      <c r="D25" s="4">
        <v>29.56</v>
      </c>
      <c r="E25" s="4">
        <v>20.94</v>
      </c>
      <c r="F25" s="4">
        <v>13.15</v>
      </c>
      <c r="G25" s="4">
        <v>10.66</v>
      </c>
      <c r="H25" s="4">
        <v>10.130000000000001</v>
      </c>
      <c r="I25" s="4">
        <v>9.2899999999999991</v>
      </c>
      <c r="J25" s="4">
        <v>18.68</v>
      </c>
      <c r="K25" s="4">
        <v>17.32</v>
      </c>
      <c r="L25" s="4">
        <v>28.8</v>
      </c>
      <c r="M25" s="4">
        <v>36.94</v>
      </c>
      <c r="N25" s="4">
        <v>47.25</v>
      </c>
      <c r="O25" s="4">
        <v>58.25</v>
      </c>
      <c r="P25" s="4">
        <v>66.42</v>
      </c>
      <c r="Q25" s="4">
        <v>61.11</v>
      </c>
      <c r="R25" s="4">
        <v>55.99</v>
      </c>
      <c r="S25" s="4">
        <v>54.43</v>
      </c>
      <c r="T25" s="4">
        <v>55.87</v>
      </c>
      <c r="U25" s="4">
        <v>77.81</v>
      </c>
      <c r="V25" s="4">
        <v>83.83</v>
      </c>
      <c r="W25" s="4">
        <v>104.05</v>
      </c>
      <c r="X25" s="4">
        <v>102.81</v>
      </c>
      <c r="Y25" s="4">
        <v>95.11</v>
      </c>
      <c r="Z25" s="4">
        <v>76.67</v>
      </c>
      <c r="AA25" s="4">
        <v>52.54</v>
      </c>
      <c r="AB25" s="23">
        <f t="shared" si="0"/>
        <v>1187.6100000000001</v>
      </c>
      <c r="AC25" s="24">
        <v>20</v>
      </c>
      <c r="AD25" s="86">
        <f>+AB25*AC25+AB26*AC26+AB27*AC27</f>
        <v>34261.960000000006</v>
      </c>
    </row>
    <row r="26" spans="2:30" x14ac:dyDescent="0.2">
      <c r="B26" s="85"/>
      <c r="C26" s="2" t="s">
        <v>30</v>
      </c>
      <c r="D26" s="4">
        <v>25.94</v>
      </c>
      <c r="E26" s="4">
        <v>17.63</v>
      </c>
      <c r="F26" s="4">
        <v>10.11</v>
      </c>
      <c r="G26" s="4">
        <v>7.71</v>
      </c>
      <c r="H26" s="4">
        <v>7.19</v>
      </c>
      <c r="I26" s="4">
        <v>6.39</v>
      </c>
      <c r="J26" s="4">
        <v>15.44</v>
      </c>
      <c r="K26" s="4">
        <v>13.78</v>
      </c>
      <c r="L26" s="4">
        <v>24.82</v>
      </c>
      <c r="M26" s="4">
        <v>32.61</v>
      </c>
      <c r="N26" s="4">
        <v>42.53</v>
      </c>
      <c r="O26" s="4">
        <v>53.13</v>
      </c>
      <c r="P26" s="4">
        <v>61.03</v>
      </c>
      <c r="Q26" s="4">
        <v>55.93</v>
      </c>
      <c r="R26" s="4">
        <v>51</v>
      </c>
      <c r="S26" s="4">
        <v>49.52</v>
      </c>
      <c r="T26" s="4">
        <v>50.95</v>
      </c>
      <c r="U26" s="4">
        <v>72.83</v>
      </c>
      <c r="V26" s="4">
        <v>78.64</v>
      </c>
      <c r="W26" s="4">
        <v>98.16</v>
      </c>
      <c r="X26" s="4">
        <v>96.96</v>
      </c>
      <c r="Y26" s="4">
        <v>89.53</v>
      </c>
      <c r="Z26" s="4">
        <v>71.73</v>
      </c>
      <c r="AA26" s="4">
        <v>48.44</v>
      </c>
      <c r="AB26" s="23">
        <f t="shared" si="0"/>
        <v>1082</v>
      </c>
      <c r="AC26" s="24">
        <v>5</v>
      </c>
      <c r="AD26" s="86"/>
    </row>
    <row r="27" spans="2:30" x14ac:dyDescent="0.2">
      <c r="B27" s="85"/>
      <c r="C27" s="2" t="s">
        <v>63</v>
      </c>
      <c r="D27" s="4">
        <v>18</v>
      </c>
      <c r="E27" s="4">
        <v>10.35</v>
      </c>
      <c r="F27" s="4">
        <v>3.43</v>
      </c>
      <c r="G27" s="4">
        <v>1.21</v>
      </c>
      <c r="H27" s="4">
        <v>0.74</v>
      </c>
      <c r="I27" s="4">
        <v>0</v>
      </c>
      <c r="J27" s="4">
        <v>8.33</v>
      </c>
      <c r="K27" s="4">
        <v>6</v>
      </c>
      <c r="L27" s="4">
        <v>16.059999999999999</v>
      </c>
      <c r="M27" s="4">
        <v>23.12</v>
      </c>
      <c r="N27" s="4">
        <v>32.159999999999997</v>
      </c>
      <c r="O27" s="4">
        <v>41.89</v>
      </c>
      <c r="P27" s="4">
        <v>49.19</v>
      </c>
      <c r="Q27" s="4">
        <v>44.55</v>
      </c>
      <c r="R27" s="4">
        <v>40.03</v>
      </c>
      <c r="S27" s="4">
        <v>38.74</v>
      </c>
      <c r="T27" s="4">
        <v>40.15</v>
      </c>
      <c r="U27" s="4">
        <v>61.89</v>
      </c>
      <c r="V27" s="4">
        <v>67.239999999999995</v>
      </c>
      <c r="W27" s="4">
        <v>85.2</v>
      </c>
      <c r="X27" s="4">
        <v>84.1</v>
      </c>
      <c r="Y27" s="4">
        <v>77.260000000000005</v>
      </c>
      <c r="Z27" s="4">
        <v>60.88</v>
      </c>
      <c r="AA27" s="4">
        <v>39.44</v>
      </c>
      <c r="AB27" s="23">
        <f t="shared" si="0"/>
        <v>849.96</v>
      </c>
      <c r="AC27" s="24">
        <v>6</v>
      </c>
      <c r="AD27" s="86"/>
    </row>
    <row r="28" spans="2:30" x14ac:dyDescent="0.2">
      <c r="B28" s="85">
        <v>48427</v>
      </c>
      <c r="C28" s="2" t="s">
        <v>29</v>
      </c>
      <c r="D28" s="4">
        <v>29.56</v>
      </c>
      <c r="E28" s="4">
        <v>20.94</v>
      </c>
      <c r="F28" s="4">
        <v>13.15</v>
      </c>
      <c r="G28" s="4">
        <v>10.66</v>
      </c>
      <c r="H28" s="4">
        <v>10.130000000000001</v>
      </c>
      <c r="I28" s="4">
        <v>9.2899999999999991</v>
      </c>
      <c r="J28" s="4">
        <v>18.68</v>
      </c>
      <c r="K28" s="4">
        <v>17.32</v>
      </c>
      <c r="L28" s="4">
        <v>28.8</v>
      </c>
      <c r="M28" s="4">
        <v>36.94</v>
      </c>
      <c r="N28" s="4">
        <v>47.25</v>
      </c>
      <c r="O28" s="4">
        <v>58.25</v>
      </c>
      <c r="P28" s="4">
        <v>66.42</v>
      </c>
      <c r="Q28" s="4">
        <v>61.11</v>
      </c>
      <c r="R28" s="4">
        <v>55.99</v>
      </c>
      <c r="S28" s="4">
        <v>54.43</v>
      </c>
      <c r="T28" s="4">
        <v>55.87</v>
      </c>
      <c r="U28" s="4">
        <v>77.81</v>
      </c>
      <c r="V28" s="4">
        <v>83.83</v>
      </c>
      <c r="W28" s="4">
        <v>104.05</v>
      </c>
      <c r="X28" s="4">
        <v>102.81</v>
      </c>
      <c r="Y28" s="4">
        <v>95.11</v>
      </c>
      <c r="Z28" s="4">
        <v>76.67</v>
      </c>
      <c r="AA28" s="4">
        <v>52.54</v>
      </c>
      <c r="AB28" s="23">
        <f t="shared" si="0"/>
        <v>1187.6100000000001</v>
      </c>
      <c r="AC28" s="24">
        <v>21</v>
      </c>
      <c r="AD28" s="86">
        <f>+AB28*AC28+AB29*AC29+AB30*AC30</f>
        <v>34135.53</v>
      </c>
    </row>
    <row r="29" spans="2:30" x14ac:dyDescent="0.2">
      <c r="B29" s="85"/>
      <c r="C29" s="2" t="s">
        <v>30</v>
      </c>
      <c r="D29" s="4">
        <v>25.94</v>
      </c>
      <c r="E29" s="4">
        <v>17.63</v>
      </c>
      <c r="F29" s="4">
        <v>10.11</v>
      </c>
      <c r="G29" s="4">
        <v>7.71</v>
      </c>
      <c r="H29" s="4">
        <v>7.19</v>
      </c>
      <c r="I29" s="4">
        <v>6.39</v>
      </c>
      <c r="J29" s="4">
        <v>15.44</v>
      </c>
      <c r="K29" s="4">
        <v>13.78</v>
      </c>
      <c r="L29" s="4">
        <v>24.82</v>
      </c>
      <c r="M29" s="4">
        <v>32.61</v>
      </c>
      <c r="N29" s="4">
        <v>42.53</v>
      </c>
      <c r="O29" s="4">
        <v>53.13</v>
      </c>
      <c r="P29" s="4">
        <v>61.03</v>
      </c>
      <c r="Q29" s="4">
        <v>55.93</v>
      </c>
      <c r="R29" s="4">
        <v>51</v>
      </c>
      <c r="S29" s="4">
        <v>49.52</v>
      </c>
      <c r="T29" s="4">
        <v>50.95</v>
      </c>
      <c r="U29" s="4">
        <v>72.83</v>
      </c>
      <c r="V29" s="4">
        <v>78.64</v>
      </c>
      <c r="W29" s="4">
        <v>98.16</v>
      </c>
      <c r="X29" s="4">
        <v>96.96</v>
      </c>
      <c r="Y29" s="4">
        <v>89.53</v>
      </c>
      <c r="Z29" s="4">
        <v>71.73</v>
      </c>
      <c r="AA29" s="4">
        <v>48.44</v>
      </c>
      <c r="AB29" s="23">
        <f t="shared" si="0"/>
        <v>1082</v>
      </c>
      <c r="AC29" s="24">
        <v>3</v>
      </c>
      <c r="AD29" s="86"/>
    </row>
    <row r="30" spans="2:30" x14ac:dyDescent="0.2">
      <c r="B30" s="85"/>
      <c r="C30" s="2" t="s">
        <v>63</v>
      </c>
      <c r="D30" s="4">
        <v>18</v>
      </c>
      <c r="E30" s="4">
        <v>10.35</v>
      </c>
      <c r="F30" s="4">
        <v>3.43</v>
      </c>
      <c r="G30" s="4">
        <v>1.21</v>
      </c>
      <c r="H30" s="4">
        <v>0.74</v>
      </c>
      <c r="I30" s="4">
        <v>0</v>
      </c>
      <c r="J30" s="4">
        <v>8.33</v>
      </c>
      <c r="K30" s="4">
        <v>6</v>
      </c>
      <c r="L30" s="4">
        <v>16.059999999999999</v>
      </c>
      <c r="M30" s="4">
        <v>23.12</v>
      </c>
      <c r="N30" s="4">
        <v>32.159999999999997</v>
      </c>
      <c r="O30" s="4">
        <v>41.89</v>
      </c>
      <c r="P30" s="4">
        <v>49.19</v>
      </c>
      <c r="Q30" s="4">
        <v>44.55</v>
      </c>
      <c r="R30" s="4">
        <v>40.03</v>
      </c>
      <c r="S30" s="4">
        <v>38.74</v>
      </c>
      <c r="T30" s="4">
        <v>40.15</v>
      </c>
      <c r="U30" s="4">
        <v>61.89</v>
      </c>
      <c r="V30" s="4">
        <v>67.239999999999995</v>
      </c>
      <c r="W30" s="4">
        <v>85.2</v>
      </c>
      <c r="X30" s="4">
        <v>84.1</v>
      </c>
      <c r="Y30" s="4">
        <v>77.260000000000005</v>
      </c>
      <c r="Z30" s="4">
        <v>60.88</v>
      </c>
      <c r="AA30" s="4">
        <v>39.44</v>
      </c>
      <c r="AB30" s="23">
        <f t="shared" si="0"/>
        <v>849.96</v>
      </c>
      <c r="AC30" s="24">
        <v>7</v>
      </c>
      <c r="AD30" s="86"/>
    </row>
    <row r="31" spans="2:30" x14ac:dyDescent="0.2">
      <c r="B31" s="85">
        <v>48458</v>
      </c>
      <c r="C31" s="2" t="s">
        <v>29</v>
      </c>
      <c r="D31" s="4">
        <v>29.56</v>
      </c>
      <c r="E31" s="4">
        <v>20.94</v>
      </c>
      <c r="F31" s="4">
        <v>13.15</v>
      </c>
      <c r="G31" s="4">
        <v>10.66</v>
      </c>
      <c r="H31" s="4">
        <v>10.130000000000001</v>
      </c>
      <c r="I31" s="4">
        <v>9.2899999999999991</v>
      </c>
      <c r="J31" s="4">
        <v>18.68</v>
      </c>
      <c r="K31" s="4">
        <v>17.32</v>
      </c>
      <c r="L31" s="4">
        <v>28.8</v>
      </c>
      <c r="M31" s="4">
        <v>36.94</v>
      </c>
      <c r="N31" s="4">
        <v>47.25</v>
      </c>
      <c r="O31" s="4">
        <v>58.25</v>
      </c>
      <c r="P31" s="4">
        <v>66.42</v>
      </c>
      <c r="Q31" s="4">
        <v>61.11</v>
      </c>
      <c r="R31" s="4">
        <v>55.99</v>
      </c>
      <c r="S31" s="4">
        <v>54.43</v>
      </c>
      <c r="T31" s="4">
        <v>55.87</v>
      </c>
      <c r="U31" s="4">
        <v>77.81</v>
      </c>
      <c r="V31" s="4">
        <v>83.83</v>
      </c>
      <c r="W31" s="4">
        <v>104.05</v>
      </c>
      <c r="X31" s="4">
        <v>102.81</v>
      </c>
      <c r="Y31" s="4">
        <v>95.11</v>
      </c>
      <c r="Z31" s="4">
        <v>76.67</v>
      </c>
      <c r="AA31" s="4">
        <v>52.54</v>
      </c>
      <c r="AB31" s="23">
        <f t="shared" si="0"/>
        <v>1187.6100000000001</v>
      </c>
      <c r="AC31" s="24">
        <v>22</v>
      </c>
      <c r="AD31" s="86">
        <f>+AB31*AC31+AB32*AC32+AB33*AC33</f>
        <v>33855.26</v>
      </c>
    </row>
    <row r="32" spans="2:30" x14ac:dyDescent="0.2">
      <c r="B32" s="85"/>
      <c r="C32" s="2" t="s">
        <v>30</v>
      </c>
      <c r="D32" s="4">
        <v>25.94</v>
      </c>
      <c r="E32" s="4">
        <v>17.63</v>
      </c>
      <c r="F32" s="4">
        <v>10.11</v>
      </c>
      <c r="G32" s="4">
        <v>7.71</v>
      </c>
      <c r="H32" s="4">
        <v>7.19</v>
      </c>
      <c r="I32" s="4">
        <v>6.39</v>
      </c>
      <c r="J32" s="4">
        <v>15.44</v>
      </c>
      <c r="K32" s="4">
        <v>13.78</v>
      </c>
      <c r="L32" s="4">
        <v>24.82</v>
      </c>
      <c r="M32" s="4">
        <v>32.61</v>
      </c>
      <c r="N32" s="4">
        <v>42.53</v>
      </c>
      <c r="O32" s="4">
        <v>53.13</v>
      </c>
      <c r="P32" s="4">
        <v>61.03</v>
      </c>
      <c r="Q32" s="4">
        <v>55.93</v>
      </c>
      <c r="R32" s="4">
        <v>51</v>
      </c>
      <c r="S32" s="4">
        <v>49.52</v>
      </c>
      <c r="T32" s="4">
        <v>50.95</v>
      </c>
      <c r="U32" s="4">
        <v>72.83</v>
      </c>
      <c r="V32" s="4">
        <v>78.64</v>
      </c>
      <c r="W32" s="4">
        <v>98.16</v>
      </c>
      <c r="X32" s="4">
        <v>96.96</v>
      </c>
      <c r="Y32" s="4">
        <v>89.53</v>
      </c>
      <c r="Z32" s="4">
        <v>71.73</v>
      </c>
      <c r="AA32" s="4">
        <v>48.44</v>
      </c>
      <c r="AB32" s="23">
        <f t="shared" si="0"/>
        <v>1082</v>
      </c>
      <c r="AC32" s="24">
        <v>4</v>
      </c>
      <c r="AD32" s="86"/>
    </row>
    <row r="33" spans="2:32" x14ac:dyDescent="0.2">
      <c r="B33" s="85"/>
      <c r="C33" s="2" t="s">
        <v>63</v>
      </c>
      <c r="D33" s="4">
        <v>18</v>
      </c>
      <c r="E33" s="4">
        <v>10.35</v>
      </c>
      <c r="F33" s="4">
        <v>3.43</v>
      </c>
      <c r="G33" s="4">
        <v>1.21</v>
      </c>
      <c r="H33" s="4">
        <v>0.74</v>
      </c>
      <c r="I33" s="4">
        <v>0</v>
      </c>
      <c r="J33" s="4">
        <v>8.33</v>
      </c>
      <c r="K33" s="4">
        <v>6</v>
      </c>
      <c r="L33" s="4">
        <v>16.059999999999999</v>
      </c>
      <c r="M33" s="4">
        <v>23.12</v>
      </c>
      <c r="N33" s="4">
        <v>32.159999999999997</v>
      </c>
      <c r="O33" s="4">
        <v>41.89</v>
      </c>
      <c r="P33" s="4">
        <v>49.19</v>
      </c>
      <c r="Q33" s="4">
        <v>44.55</v>
      </c>
      <c r="R33" s="4">
        <v>40.03</v>
      </c>
      <c r="S33" s="4">
        <v>38.74</v>
      </c>
      <c r="T33" s="4">
        <v>40.15</v>
      </c>
      <c r="U33" s="4">
        <v>61.89</v>
      </c>
      <c r="V33" s="4">
        <v>67.239999999999995</v>
      </c>
      <c r="W33" s="4">
        <v>85.2</v>
      </c>
      <c r="X33" s="4">
        <v>84.1</v>
      </c>
      <c r="Y33" s="4">
        <v>77.260000000000005</v>
      </c>
      <c r="Z33" s="4">
        <v>60.88</v>
      </c>
      <c r="AA33" s="4">
        <v>39.44</v>
      </c>
      <c r="AB33" s="23">
        <f t="shared" si="0"/>
        <v>849.96</v>
      </c>
      <c r="AC33" s="24">
        <v>4</v>
      </c>
      <c r="AD33" s="86"/>
    </row>
    <row r="34" spans="2:32" x14ac:dyDescent="0.2">
      <c r="B34" s="85">
        <v>48488</v>
      </c>
      <c r="C34" s="2" t="s">
        <v>29</v>
      </c>
      <c r="D34" s="4">
        <v>29.56</v>
      </c>
      <c r="E34" s="4">
        <v>20.94</v>
      </c>
      <c r="F34" s="4">
        <v>13.15</v>
      </c>
      <c r="G34" s="4">
        <v>10.66</v>
      </c>
      <c r="H34" s="4">
        <v>10.130000000000001</v>
      </c>
      <c r="I34" s="4">
        <v>9.2899999999999991</v>
      </c>
      <c r="J34" s="4">
        <v>18.68</v>
      </c>
      <c r="K34" s="4">
        <v>17.32</v>
      </c>
      <c r="L34" s="4">
        <v>28.8</v>
      </c>
      <c r="M34" s="4">
        <v>36.94</v>
      </c>
      <c r="N34" s="4">
        <v>47.25</v>
      </c>
      <c r="O34" s="4">
        <v>58.25</v>
      </c>
      <c r="P34" s="4">
        <v>66.42</v>
      </c>
      <c r="Q34" s="4">
        <v>61.11</v>
      </c>
      <c r="R34" s="4">
        <v>55.99</v>
      </c>
      <c r="S34" s="4">
        <v>54.43</v>
      </c>
      <c r="T34" s="4">
        <v>55.87</v>
      </c>
      <c r="U34" s="4">
        <v>77.81</v>
      </c>
      <c r="V34" s="4">
        <v>83.83</v>
      </c>
      <c r="W34" s="4">
        <v>104.05</v>
      </c>
      <c r="X34" s="4">
        <v>102.81</v>
      </c>
      <c r="Y34" s="4">
        <v>95.11</v>
      </c>
      <c r="Z34" s="4">
        <v>76.67</v>
      </c>
      <c r="AA34" s="4">
        <v>52.54</v>
      </c>
      <c r="AB34" s="23">
        <f t="shared" si="0"/>
        <v>1187.6100000000001</v>
      </c>
      <c r="AC34" s="24">
        <v>20</v>
      </c>
      <c r="AD34" s="86">
        <f>+AB34*AC34+AB35*AC35+AB36*AC36</f>
        <v>34261.960000000006</v>
      </c>
    </row>
    <row r="35" spans="2:32" x14ac:dyDescent="0.2">
      <c r="B35" s="85"/>
      <c r="C35" s="2" t="s">
        <v>30</v>
      </c>
      <c r="D35" s="4">
        <v>25.94</v>
      </c>
      <c r="E35" s="4">
        <v>17.63</v>
      </c>
      <c r="F35" s="4">
        <v>10.11</v>
      </c>
      <c r="G35" s="4">
        <v>7.71</v>
      </c>
      <c r="H35" s="4">
        <v>7.19</v>
      </c>
      <c r="I35" s="4">
        <v>6.39</v>
      </c>
      <c r="J35" s="4">
        <v>15.44</v>
      </c>
      <c r="K35" s="4">
        <v>13.78</v>
      </c>
      <c r="L35" s="4">
        <v>24.82</v>
      </c>
      <c r="M35" s="4">
        <v>32.61</v>
      </c>
      <c r="N35" s="4">
        <v>42.53</v>
      </c>
      <c r="O35" s="4">
        <v>53.13</v>
      </c>
      <c r="P35" s="4">
        <v>61.03</v>
      </c>
      <c r="Q35" s="4">
        <v>55.93</v>
      </c>
      <c r="R35" s="4">
        <v>51</v>
      </c>
      <c r="S35" s="4">
        <v>49.52</v>
      </c>
      <c r="T35" s="4">
        <v>50.95</v>
      </c>
      <c r="U35" s="4">
        <v>72.83</v>
      </c>
      <c r="V35" s="4">
        <v>78.64</v>
      </c>
      <c r="W35" s="4">
        <v>98.16</v>
      </c>
      <c r="X35" s="4">
        <v>96.96</v>
      </c>
      <c r="Y35" s="4">
        <v>89.53</v>
      </c>
      <c r="Z35" s="4">
        <v>71.73</v>
      </c>
      <c r="AA35" s="4">
        <v>48.44</v>
      </c>
      <c r="AB35" s="23">
        <f t="shared" si="0"/>
        <v>1082</v>
      </c>
      <c r="AC35" s="24">
        <v>5</v>
      </c>
      <c r="AD35" s="86"/>
    </row>
    <row r="36" spans="2:32" x14ac:dyDescent="0.2">
      <c r="B36" s="85"/>
      <c r="C36" s="2" t="s">
        <v>63</v>
      </c>
      <c r="D36" s="4">
        <v>18</v>
      </c>
      <c r="E36" s="4">
        <v>10.35</v>
      </c>
      <c r="F36" s="4">
        <v>3.43</v>
      </c>
      <c r="G36" s="4">
        <v>1.21</v>
      </c>
      <c r="H36" s="4">
        <v>0.74</v>
      </c>
      <c r="I36" s="4">
        <v>0</v>
      </c>
      <c r="J36" s="4">
        <v>8.33</v>
      </c>
      <c r="K36" s="4">
        <v>6</v>
      </c>
      <c r="L36" s="4">
        <v>16.059999999999999</v>
      </c>
      <c r="M36" s="4">
        <v>23.12</v>
      </c>
      <c r="N36" s="4">
        <v>32.159999999999997</v>
      </c>
      <c r="O36" s="4">
        <v>41.89</v>
      </c>
      <c r="P36" s="4">
        <v>49.19</v>
      </c>
      <c r="Q36" s="4">
        <v>44.55</v>
      </c>
      <c r="R36" s="4">
        <v>40.03</v>
      </c>
      <c r="S36" s="4">
        <v>38.74</v>
      </c>
      <c r="T36" s="4">
        <v>40.15</v>
      </c>
      <c r="U36" s="4">
        <v>61.89</v>
      </c>
      <c r="V36" s="4">
        <v>67.239999999999995</v>
      </c>
      <c r="W36" s="4">
        <v>85.2</v>
      </c>
      <c r="X36" s="4">
        <v>84.1</v>
      </c>
      <c r="Y36" s="4">
        <v>77.260000000000005</v>
      </c>
      <c r="Z36" s="4">
        <v>60.88</v>
      </c>
      <c r="AA36" s="4">
        <v>39.44</v>
      </c>
      <c r="AB36" s="23">
        <f t="shared" si="0"/>
        <v>849.96</v>
      </c>
      <c r="AC36" s="24">
        <v>6</v>
      </c>
      <c r="AD36" s="86"/>
    </row>
    <row r="37" spans="2:32" x14ac:dyDescent="0.2">
      <c r="B37" s="85">
        <v>48519</v>
      </c>
      <c r="C37" s="2" t="s">
        <v>29</v>
      </c>
      <c r="D37" s="4">
        <v>29.56</v>
      </c>
      <c r="E37" s="4">
        <v>20.94</v>
      </c>
      <c r="F37" s="4">
        <v>13.15</v>
      </c>
      <c r="G37" s="4">
        <v>10.66</v>
      </c>
      <c r="H37" s="4">
        <v>10.130000000000001</v>
      </c>
      <c r="I37" s="4">
        <v>9.2899999999999991</v>
      </c>
      <c r="J37" s="4">
        <v>18.68</v>
      </c>
      <c r="K37" s="4">
        <v>17.32</v>
      </c>
      <c r="L37" s="4">
        <v>28.8</v>
      </c>
      <c r="M37" s="4">
        <v>36.94</v>
      </c>
      <c r="N37" s="4">
        <v>47.25</v>
      </c>
      <c r="O37" s="4">
        <v>58.25</v>
      </c>
      <c r="P37" s="4">
        <v>66.42</v>
      </c>
      <c r="Q37" s="4">
        <v>61.11</v>
      </c>
      <c r="R37" s="4">
        <v>55.99</v>
      </c>
      <c r="S37" s="4">
        <v>54.43</v>
      </c>
      <c r="T37" s="4">
        <v>55.87</v>
      </c>
      <c r="U37" s="4">
        <v>77.81</v>
      </c>
      <c r="V37" s="4">
        <v>83.83</v>
      </c>
      <c r="W37" s="4">
        <v>104.05</v>
      </c>
      <c r="X37" s="4">
        <v>102.81</v>
      </c>
      <c r="Y37" s="4">
        <v>95.11</v>
      </c>
      <c r="Z37" s="4">
        <v>76.67</v>
      </c>
      <c r="AA37" s="4">
        <v>52.54</v>
      </c>
      <c r="AB37" s="23">
        <f t="shared" si="0"/>
        <v>1187.6100000000001</v>
      </c>
      <c r="AC37" s="24">
        <v>20</v>
      </c>
      <c r="AD37" s="86">
        <f>+AB37*AC37+AB38*AC38+AB39*AC39</f>
        <v>33179.960000000006</v>
      </c>
    </row>
    <row r="38" spans="2:32" x14ac:dyDescent="0.2">
      <c r="B38" s="85"/>
      <c r="C38" s="2" t="s">
        <v>30</v>
      </c>
      <c r="D38" s="4">
        <v>25.94</v>
      </c>
      <c r="E38" s="4">
        <v>17.63</v>
      </c>
      <c r="F38" s="4">
        <v>10.11</v>
      </c>
      <c r="G38" s="4">
        <v>7.71</v>
      </c>
      <c r="H38" s="4">
        <v>7.19</v>
      </c>
      <c r="I38" s="4">
        <v>6.39</v>
      </c>
      <c r="J38" s="4">
        <v>15.44</v>
      </c>
      <c r="K38" s="4">
        <v>13.78</v>
      </c>
      <c r="L38" s="4">
        <v>24.82</v>
      </c>
      <c r="M38" s="4">
        <v>32.61</v>
      </c>
      <c r="N38" s="4">
        <v>42.53</v>
      </c>
      <c r="O38" s="4">
        <v>53.13</v>
      </c>
      <c r="P38" s="4">
        <v>61.03</v>
      </c>
      <c r="Q38" s="4">
        <v>55.93</v>
      </c>
      <c r="R38" s="4">
        <v>51</v>
      </c>
      <c r="S38" s="4">
        <v>49.52</v>
      </c>
      <c r="T38" s="4">
        <v>50.95</v>
      </c>
      <c r="U38" s="4">
        <v>72.83</v>
      </c>
      <c r="V38" s="4">
        <v>78.64</v>
      </c>
      <c r="W38" s="4">
        <v>98.16</v>
      </c>
      <c r="X38" s="4">
        <v>96.96</v>
      </c>
      <c r="Y38" s="4">
        <v>89.53</v>
      </c>
      <c r="Z38" s="4">
        <v>71.73</v>
      </c>
      <c r="AA38" s="4">
        <v>48.44</v>
      </c>
      <c r="AB38" s="23">
        <f t="shared" si="0"/>
        <v>1082</v>
      </c>
      <c r="AC38" s="24">
        <v>4</v>
      </c>
      <c r="AD38" s="86"/>
    </row>
    <row r="39" spans="2:32" x14ac:dyDescent="0.2">
      <c r="B39" s="85"/>
      <c r="C39" s="2" t="s">
        <v>63</v>
      </c>
      <c r="D39" s="4">
        <v>18</v>
      </c>
      <c r="E39" s="4">
        <v>10.35</v>
      </c>
      <c r="F39" s="4">
        <v>3.43</v>
      </c>
      <c r="G39" s="4">
        <v>1.21</v>
      </c>
      <c r="H39" s="4">
        <v>0.74</v>
      </c>
      <c r="I39" s="4">
        <v>0</v>
      </c>
      <c r="J39" s="4">
        <v>8.33</v>
      </c>
      <c r="K39" s="4">
        <v>6</v>
      </c>
      <c r="L39" s="4">
        <v>16.059999999999999</v>
      </c>
      <c r="M39" s="4">
        <v>23.12</v>
      </c>
      <c r="N39" s="4">
        <v>32.159999999999997</v>
      </c>
      <c r="O39" s="4">
        <v>41.89</v>
      </c>
      <c r="P39" s="4">
        <v>49.19</v>
      </c>
      <c r="Q39" s="4">
        <v>44.55</v>
      </c>
      <c r="R39" s="4">
        <v>40.03</v>
      </c>
      <c r="S39" s="4">
        <v>38.74</v>
      </c>
      <c r="T39" s="4">
        <v>40.15</v>
      </c>
      <c r="U39" s="4">
        <v>61.89</v>
      </c>
      <c r="V39" s="4">
        <v>67.239999999999995</v>
      </c>
      <c r="W39" s="4">
        <v>85.2</v>
      </c>
      <c r="X39" s="4">
        <v>84.1</v>
      </c>
      <c r="Y39" s="4">
        <v>77.260000000000005</v>
      </c>
      <c r="Z39" s="4">
        <v>60.88</v>
      </c>
      <c r="AA39" s="4">
        <v>39.44</v>
      </c>
      <c r="AB39" s="23">
        <f t="shared" si="0"/>
        <v>849.96</v>
      </c>
      <c r="AC39" s="24">
        <v>6</v>
      </c>
      <c r="AD39" s="86"/>
    </row>
    <row r="40" spans="2:32" x14ac:dyDescent="0.2">
      <c r="B40" s="85">
        <v>48549</v>
      </c>
      <c r="C40" s="2" t="s">
        <v>29</v>
      </c>
      <c r="D40" s="4">
        <v>29.56</v>
      </c>
      <c r="E40" s="4">
        <v>20.94</v>
      </c>
      <c r="F40" s="4">
        <v>13.15</v>
      </c>
      <c r="G40" s="4">
        <v>10.66</v>
      </c>
      <c r="H40" s="4">
        <v>10.130000000000001</v>
      </c>
      <c r="I40" s="4">
        <v>9.2899999999999991</v>
      </c>
      <c r="J40" s="4">
        <v>18.68</v>
      </c>
      <c r="K40" s="4">
        <v>17.32</v>
      </c>
      <c r="L40" s="4">
        <v>28.8</v>
      </c>
      <c r="M40" s="4">
        <v>36.94</v>
      </c>
      <c r="N40" s="4">
        <v>47.25</v>
      </c>
      <c r="O40" s="4">
        <v>58.25</v>
      </c>
      <c r="P40" s="4">
        <v>66.42</v>
      </c>
      <c r="Q40" s="4">
        <v>61.11</v>
      </c>
      <c r="R40" s="4">
        <v>55.99</v>
      </c>
      <c r="S40" s="4">
        <v>54.43</v>
      </c>
      <c r="T40" s="4">
        <v>55.87</v>
      </c>
      <c r="U40" s="4">
        <v>77.81</v>
      </c>
      <c r="V40" s="4">
        <v>83.83</v>
      </c>
      <c r="W40" s="4">
        <v>104.05</v>
      </c>
      <c r="X40" s="4">
        <v>102.81</v>
      </c>
      <c r="Y40" s="4">
        <v>95.11</v>
      </c>
      <c r="Z40" s="4">
        <v>76.67</v>
      </c>
      <c r="AA40" s="4">
        <v>52.54</v>
      </c>
      <c r="AB40" s="23">
        <f t="shared" si="0"/>
        <v>1187.6100000000001</v>
      </c>
      <c r="AC40" s="24">
        <v>22</v>
      </c>
      <c r="AD40" s="86">
        <f>+AB40*AC40+AB41*AC41+AB42*AC42</f>
        <v>34473.18</v>
      </c>
    </row>
    <row r="41" spans="2:32" x14ac:dyDescent="0.2">
      <c r="B41" s="85"/>
      <c r="C41" s="2" t="s">
        <v>30</v>
      </c>
      <c r="D41" s="4">
        <v>25.94</v>
      </c>
      <c r="E41" s="4">
        <v>17.63</v>
      </c>
      <c r="F41" s="4">
        <v>10.11</v>
      </c>
      <c r="G41" s="4">
        <v>7.71</v>
      </c>
      <c r="H41" s="4">
        <v>7.19</v>
      </c>
      <c r="I41" s="4">
        <v>6.39</v>
      </c>
      <c r="J41" s="4">
        <v>15.44</v>
      </c>
      <c r="K41" s="4">
        <v>13.78</v>
      </c>
      <c r="L41" s="4">
        <v>24.82</v>
      </c>
      <c r="M41" s="4">
        <v>32.61</v>
      </c>
      <c r="N41" s="4">
        <v>42.53</v>
      </c>
      <c r="O41" s="4">
        <v>53.13</v>
      </c>
      <c r="P41" s="4">
        <v>61.03</v>
      </c>
      <c r="Q41" s="4">
        <v>55.93</v>
      </c>
      <c r="R41" s="4">
        <v>51</v>
      </c>
      <c r="S41" s="4">
        <v>49.52</v>
      </c>
      <c r="T41" s="4">
        <v>50.95</v>
      </c>
      <c r="U41" s="4">
        <v>72.83</v>
      </c>
      <c r="V41" s="4">
        <v>78.64</v>
      </c>
      <c r="W41" s="4">
        <v>98.16</v>
      </c>
      <c r="X41" s="4">
        <v>96.96</v>
      </c>
      <c r="Y41" s="4">
        <v>89.53</v>
      </c>
      <c r="Z41" s="4">
        <v>71.73</v>
      </c>
      <c r="AA41" s="4">
        <v>48.44</v>
      </c>
      <c r="AB41" s="23">
        <f t="shared" si="0"/>
        <v>1082</v>
      </c>
      <c r="AC41" s="24">
        <v>3</v>
      </c>
      <c r="AD41" s="86"/>
    </row>
    <row r="42" spans="2:32" x14ac:dyDescent="0.2">
      <c r="B42" s="85"/>
      <c r="C42" s="2" t="s">
        <v>63</v>
      </c>
      <c r="D42" s="4">
        <v>18</v>
      </c>
      <c r="E42" s="4">
        <v>10.35</v>
      </c>
      <c r="F42" s="4">
        <v>3.43</v>
      </c>
      <c r="G42" s="4">
        <v>1.21</v>
      </c>
      <c r="H42" s="4">
        <v>0.74</v>
      </c>
      <c r="I42" s="4">
        <v>0</v>
      </c>
      <c r="J42" s="4">
        <v>8.33</v>
      </c>
      <c r="K42" s="4">
        <v>6</v>
      </c>
      <c r="L42" s="4">
        <v>16.059999999999999</v>
      </c>
      <c r="M42" s="4">
        <v>23.12</v>
      </c>
      <c r="N42" s="4">
        <v>32.159999999999997</v>
      </c>
      <c r="O42" s="4">
        <v>41.89</v>
      </c>
      <c r="P42" s="4">
        <v>49.19</v>
      </c>
      <c r="Q42" s="4">
        <v>44.55</v>
      </c>
      <c r="R42" s="4">
        <v>40.03</v>
      </c>
      <c r="S42" s="4">
        <v>38.74</v>
      </c>
      <c r="T42" s="4">
        <v>40.15</v>
      </c>
      <c r="U42" s="4">
        <v>61.89</v>
      </c>
      <c r="V42" s="4">
        <v>67.239999999999995</v>
      </c>
      <c r="W42" s="4">
        <v>85.2</v>
      </c>
      <c r="X42" s="4">
        <v>84.1</v>
      </c>
      <c r="Y42" s="4">
        <v>77.260000000000005</v>
      </c>
      <c r="Z42" s="4">
        <v>60.88</v>
      </c>
      <c r="AA42" s="4">
        <v>39.44</v>
      </c>
      <c r="AB42" s="23">
        <f t="shared" si="0"/>
        <v>849.96</v>
      </c>
      <c r="AC42" s="24">
        <v>6</v>
      </c>
      <c r="AD42" s="86"/>
    </row>
    <row r="43" spans="2:32" ht="15.75" x14ac:dyDescent="0.25">
      <c r="AA43" s="87" t="s">
        <v>31</v>
      </c>
      <c r="AB43" s="88"/>
      <c r="AC43" s="89"/>
      <c r="AD43" s="25">
        <f>SUM(AD7:AD42)</f>
        <v>405854.87000000005</v>
      </c>
      <c r="AE43" s="71"/>
      <c r="AF43" s="72"/>
    </row>
  </sheetData>
  <mergeCells count="25">
    <mergeCell ref="AA43:AC43"/>
    <mergeCell ref="B34:B36"/>
    <mergeCell ref="AD34:AD36"/>
    <mergeCell ref="B37:B39"/>
    <mergeCell ref="AD37:AD39"/>
    <mergeCell ref="B40:B42"/>
    <mergeCell ref="AD40:AD42"/>
    <mergeCell ref="B25:B27"/>
    <mergeCell ref="AD25:AD27"/>
    <mergeCell ref="B28:B30"/>
    <mergeCell ref="AD28:AD30"/>
    <mergeCell ref="B31:B33"/>
    <mergeCell ref="AD31:AD33"/>
    <mergeCell ref="B16:B18"/>
    <mergeCell ref="AD16:AD18"/>
    <mergeCell ref="B19:B21"/>
    <mergeCell ref="AD19:AD21"/>
    <mergeCell ref="B22:B24"/>
    <mergeCell ref="AD22:AD24"/>
    <mergeCell ref="B7:B9"/>
    <mergeCell ref="AD7:AD9"/>
    <mergeCell ref="B10:B12"/>
    <mergeCell ref="AD10:AD12"/>
    <mergeCell ref="B13:B15"/>
    <mergeCell ref="AD13:AD1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6CA2-7337-41E7-9EF6-11FEF5073121}">
  <sheetPr>
    <tabColor theme="7" tint="0.39997558519241921"/>
  </sheetPr>
  <dimension ref="B2:M23"/>
  <sheetViews>
    <sheetView showGridLines="0" zoomScale="80" zoomScaleNormal="80" workbookViewId="0"/>
  </sheetViews>
  <sheetFormatPr baseColWidth="10" defaultColWidth="10.88671875" defaultRowHeight="15" x14ac:dyDescent="0.2"/>
  <cols>
    <col min="1" max="1" width="5.33203125" style="30" customWidth="1"/>
    <col min="2" max="2" width="13" style="30" customWidth="1"/>
    <col min="3" max="4" width="12.109375" style="30" customWidth="1"/>
    <col min="5" max="5" width="12.88671875" style="30" customWidth="1"/>
    <col min="6" max="6" width="13.109375" style="30" customWidth="1"/>
    <col min="7" max="7" width="8.109375" style="30" customWidth="1"/>
    <col min="8" max="8" width="14.6640625" style="30" customWidth="1"/>
    <col min="9" max="16384" width="10.88671875" style="30"/>
  </cols>
  <sheetData>
    <row r="2" spans="2:8" x14ac:dyDescent="0.2">
      <c r="B2" s="59"/>
      <c r="C2" s="60"/>
      <c r="D2" s="60"/>
      <c r="E2" s="60"/>
      <c r="F2" s="60"/>
      <c r="G2" s="60"/>
      <c r="H2" s="61"/>
    </row>
    <row r="3" spans="2:8" ht="18" x14ac:dyDescent="0.2">
      <c r="B3" s="62"/>
      <c r="C3" s="48" t="s">
        <v>32</v>
      </c>
      <c r="H3" s="63"/>
    </row>
    <row r="4" spans="2:8" ht="18" x14ac:dyDescent="0.2">
      <c r="B4" s="62"/>
      <c r="C4" s="48" t="s">
        <v>33</v>
      </c>
      <c r="H4" s="63"/>
    </row>
    <row r="5" spans="2:8" ht="18" x14ac:dyDescent="0.2">
      <c r="B5" s="62"/>
      <c r="C5" s="48" t="s">
        <v>62</v>
      </c>
      <c r="H5" s="63"/>
    </row>
    <row r="6" spans="2:8" ht="18" x14ac:dyDescent="0.2">
      <c r="B6" s="62"/>
      <c r="C6" s="48"/>
      <c r="H6" s="63"/>
    </row>
    <row r="7" spans="2:8" ht="18" x14ac:dyDescent="0.2">
      <c r="B7" s="62"/>
      <c r="C7" s="48" t="s">
        <v>54</v>
      </c>
      <c r="H7" s="63"/>
    </row>
    <row r="8" spans="2:8" x14ac:dyDescent="0.2">
      <c r="B8" s="62"/>
      <c r="H8" s="63"/>
    </row>
    <row r="9" spans="2:8" ht="18" x14ac:dyDescent="0.2">
      <c r="B9" s="62"/>
      <c r="C9" s="13" t="s">
        <v>88</v>
      </c>
      <c r="H9" s="63"/>
    </row>
    <row r="10" spans="2:8" x14ac:dyDescent="0.2">
      <c r="B10" s="62"/>
      <c r="H10" s="63"/>
    </row>
    <row r="11" spans="2:8" ht="15.75" x14ac:dyDescent="0.2">
      <c r="B11" s="62"/>
      <c r="C11" s="32"/>
      <c r="H11" s="64"/>
    </row>
    <row r="12" spans="2:8" ht="45" x14ac:dyDescent="0.2">
      <c r="B12" s="62"/>
      <c r="C12" s="34" t="s">
        <v>72</v>
      </c>
      <c r="D12" s="34" t="s">
        <v>34</v>
      </c>
      <c r="E12" s="6" t="s">
        <v>91</v>
      </c>
      <c r="F12" s="34" t="s">
        <v>57</v>
      </c>
      <c r="G12" s="51"/>
      <c r="H12" s="64"/>
    </row>
    <row r="13" spans="2:8" ht="15.75" x14ac:dyDescent="0.2">
      <c r="B13" s="62"/>
      <c r="C13" s="33">
        <v>2032</v>
      </c>
      <c r="D13" s="53">
        <f>P12_Anexo_1_2032!AD43</f>
        <v>405854.87000000005</v>
      </c>
      <c r="E13" s="36"/>
      <c r="F13" s="36"/>
      <c r="G13" s="38"/>
      <c r="H13" s="64"/>
    </row>
    <row r="14" spans="2:8" ht="15.75" x14ac:dyDescent="0.2">
      <c r="B14" s="62"/>
      <c r="C14" s="65" t="s">
        <v>35</v>
      </c>
      <c r="D14" s="56">
        <f>SUM(D13:D13)</f>
        <v>405854.87000000005</v>
      </c>
      <c r="H14" s="64"/>
    </row>
    <row r="15" spans="2:8" ht="15.75" x14ac:dyDescent="0.2">
      <c r="B15" s="62"/>
      <c r="H15" s="64"/>
    </row>
    <row r="16" spans="2:8" x14ac:dyDescent="0.2">
      <c r="B16" s="62"/>
      <c r="H16" s="63"/>
    </row>
    <row r="17" spans="2:13" x14ac:dyDescent="0.2">
      <c r="B17" s="62"/>
      <c r="C17" s="41" t="s">
        <v>36</v>
      </c>
      <c r="H17" s="63"/>
      <c r="M17" s="31"/>
    </row>
    <row r="18" spans="2:13" x14ac:dyDescent="0.2">
      <c r="B18" s="62"/>
      <c r="C18" s="41" t="s">
        <v>58</v>
      </c>
      <c r="H18" s="63"/>
    </row>
    <row r="19" spans="2:13" x14ac:dyDescent="0.2">
      <c r="B19" s="62"/>
      <c r="C19" s="41" t="s">
        <v>94</v>
      </c>
      <c r="H19" s="63"/>
    </row>
    <row r="20" spans="2:13" x14ac:dyDescent="0.2">
      <c r="B20" s="62"/>
      <c r="C20" s="41" t="s">
        <v>37</v>
      </c>
      <c r="H20" s="63"/>
    </row>
    <row r="21" spans="2:13" x14ac:dyDescent="0.2">
      <c r="B21" s="62"/>
      <c r="C21" s="41" t="s">
        <v>38</v>
      </c>
      <c r="H21" s="63"/>
    </row>
    <row r="22" spans="2:13" x14ac:dyDescent="0.2">
      <c r="B22" s="62"/>
      <c r="C22" s="41"/>
      <c r="H22" s="63"/>
    </row>
    <row r="23" spans="2:13" x14ac:dyDescent="0.2">
      <c r="B23" s="66"/>
      <c r="C23" s="67"/>
      <c r="D23" s="67"/>
      <c r="E23" s="67"/>
      <c r="F23" s="67"/>
      <c r="G23" s="67"/>
      <c r="H23" s="6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3</vt:i4>
      </vt:variant>
    </vt:vector>
  </HeadingPairs>
  <TitlesOfParts>
    <vt:vector size="28" baseType="lpstr">
      <vt:lpstr>RESUMEN</vt:lpstr>
      <vt:lpstr>P1_Anexo_1_2026</vt:lpstr>
      <vt:lpstr>P1_Anexo_2_2026</vt:lpstr>
      <vt:lpstr>P2_Anexo_ 1_2027</vt:lpstr>
      <vt:lpstr>P2_Anexo_2_2027</vt:lpstr>
      <vt:lpstr>P3_Anexo_1_2028</vt:lpstr>
      <vt:lpstr>P3_Anexo_2_2028</vt:lpstr>
      <vt:lpstr>P4_Anexo_1_2028</vt:lpstr>
      <vt:lpstr>P4_Anexo_2_2028</vt:lpstr>
      <vt:lpstr>P5_Anexo_1_2029</vt:lpstr>
      <vt:lpstr>P5_Anexo_2_2029</vt:lpstr>
      <vt:lpstr>P6_Anexo_1_2029</vt:lpstr>
      <vt:lpstr>P6_Anexo_2_2029</vt:lpstr>
      <vt:lpstr>P7_Anexo_1_2030</vt:lpstr>
      <vt:lpstr>P7_Anexo_2_2030</vt:lpstr>
      <vt:lpstr>P8_Anexo_1_2030</vt:lpstr>
      <vt:lpstr>P8_Anexo_2_2030</vt:lpstr>
      <vt:lpstr>P9_Anexo_1_2031</vt:lpstr>
      <vt:lpstr>P9_Anexo_2_2031</vt:lpstr>
      <vt:lpstr>P10_Anexo_1_2031</vt:lpstr>
      <vt:lpstr>P10_Anexo_2_2031</vt:lpstr>
      <vt:lpstr>P11_Anexo_1_2032</vt:lpstr>
      <vt:lpstr>P11_Anexo_2_2032</vt:lpstr>
      <vt:lpstr>P12_Anexo_1_2032</vt:lpstr>
      <vt:lpstr>P12_Anexo_2_2032</vt:lpstr>
      <vt:lpstr>P1_Anexo_2_2026!Área_de_impresión</vt:lpstr>
      <vt:lpstr>P7_Anexo_2_2030!Área_de_impresión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Vergara Cortes</dc:creator>
  <cp:lastModifiedBy>Andres Vergara Cortes</cp:lastModifiedBy>
  <cp:lastPrinted>2025-06-09T01:04:30Z</cp:lastPrinted>
  <dcterms:created xsi:type="dcterms:W3CDTF">2024-08-27T20:16:25Z</dcterms:created>
  <dcterms:modified xsi:type="dcterms:W3CDTF">2025-09-30T18:57:38Z</dcterms:modified>
</cp:coreProperties>
</file>