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pmco.sharepoint.com/sites/file-7501-ute/7501_TCE/CompraEnergia/ComprasBilateralesSICEP/CompraCRW353244-2025/SICEP/Definitivos/"/>
    </mc:Choice>
  </mc:AlternateContent>
  <xr:revisionPtr revIDLastSave="752" documentId="14_{44A8E853-3705-4256-9B74-AADE9313159D}" xr6:coauthVersionLast="47" xr6:coauthVersionMax="47" xr10:uidLastSave="{B90CEF6E-5321-445E-A483-3D13BEC5E73C}"/>
  <bookViews>
    <workbookView xWindow="-110" yWindow="-110" windowWidth="19420" windowHeight="10300" firstSheet="26" activeTab="30" xr2:uid="{973B4848-E2D4-4964-BCF6-5DB1BE618D36}"/>
  </bookViews>
  <sheets>
    <sheet name="Cantidades 2026" sheetId="29" r:id="rId1"/>
    <sheet name="Cantidades 2027" sheetId="30" r:id="rId2"/>
    <sheet name="Cantidades 2028" sheetId="31" r:id="rId3"/>
    <sheet name="Cantidades 2029" sheetId="16" r:id="rId4"/>
    <sheet name="Cantidades 2030" sheetId="40" r:id="rId5"/>
    <sheet name="Cantidades 2031" sheetId="42" r:id="rId6"/>
    <sheet name="Cantidades 2032" sheetId="43" r:id="rId7"/>
    <sheet name="Cantidades 2033" sheetId="44" r:id="rId8"/>
    <sheet name="Cantidades 2034" sheetId="45" r:id="rId9"/>
    <sheet name="Cantidades 2035" sheetId="46" r:id="rId10"/>
    <sheet name="Cantidades 2036" sheetId="47" r:id="rId11"/>
    <sheet name="Cantidades 2037" sheetId="48" r:id="rId12"/>
    <sheet name="Cantidades 2038" sheetId="49" r:id="rId13"/>
    <sheet name="Cantidades 2039" sheetId="50" r:id="rId14"/>
    <sheet name="Cantidades 2040" sheetId="51" r:id="rId15"/>
    <sheet name="Oferta 2026" sheetId="32" r:id="rId16"/>
    <sheet name="Oferta 2027" sheetId="33" r:id="rId17"/>
    <sheet name="Oferta 2028" sheetId="34" r:id="rId18"/>
    <sheet name="Oferta 2029" sheetId="39" r:id="rId19"/>
    <sheet name="Oferta 2030" sheetId="41" r:id="rId20"/>
    <sheet name="Oferta 2031" sheetId="52" r:id="rId21"/>
    <sheet name="Oferta 2032" sheetId="53" r:id="rId22"/>
    <sheet name="Oferta 2033" sheetId="54" r:id="rId23"/>
    <sheet name="Oferta 2034" sheetId="55" r:id="rId24"/>
    <sheet name="Oferta 2035" sheetId="56" r:id="rId25"/>
    <sheet name="Oferta 2036" sheetId="57" r:id="rId26"/>
    <sheet name="Oferta 2037" sheetId="58" r:id="rId27"/>
    <sheet name="Oferta 2038" sheetId="59" r:id="rId28"/>
    <sheet name="Oferta 2039" sheetId="60" r:id="rId29"/>
    <sheet name="Oferta 2040" sheetId="61" r:id="rId30"/>
    <sheet name="Oferta Horaria 2026-2040" sheetId="14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Print_Area" localSheetId="15">'Oferta 2026'!$B$2:$I$17</definedName>
    <definedName name="_xlnm.Print_Area" localSheetId="16">'Oferta 2027'!$B$2:$I$17</definedName>
    <definedName name="_xlnm.Print_Area" localSheetId="17">'Oferta 2028'!$B$2:$I$17</definedName>
    <definedName name="_xlnm.Print_Area" localSheetId="18">'Oferta 2029'!$B$2:$I$17</definedName>
    <definedName name="_xlnm.Print_Area" localSheetId="19">'Oferta 2030'!$B$2:$I$17</definedName>
    <definedName name="_xlnm.Print_Area" localSheetId="20">'Oferta 2031'!$B$2:$I$17</definedName>
    <definedName name="_xlnm.Print_Area" localSheetId="21">'Oferta 2032'!$B$2:$I$17</definedName>
    <definedName name="_xlnm.Print_Area" localSheetId="22">'Oferta 2033'!$B$2:$I$17</definedName>
    <definedName name="_xlnm.Print_Area" localSheetId="23">'Oferta 2034'!$B$2:$I$17</definedName>
    <definedName name="_xlnm.Print_Area" localSheetId="24">'Oferta 2035'!$B$2:$I$17</definedName>
    <definedName name="_xlnm.Print_Area" localSheetId="25">'Oferta 2036'!$B$2:$I$17</definedName>
    <definedName name="_xlnm.Print_Area" localSheetId="26">'Oferta 2037'!$B$2:$I$17</definedName>
    <definedName name="_xlnm.Print_Area" localSheetId="27">'Oferta 2038'!$B$2:$I$17</definedName>
    <definedName name="_xlnm.Print_Area" localSheetId="28">'Oferta 2039'!$B$2:$I$17</definedName>
    <definedName name="_xlnm.Print_Area" localSheetId="29">'Oferta 2040'!$B$2:$I$17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32" l="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7" i="51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7" i="50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7" i="49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7" i="48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7" i="47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7" i="46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7" i="45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7" i="44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7" i="43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7" i="42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A8" i="51"/>
  <c r="AB8" i="51"/>
  <c r="AC8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F10" i="51"/>
  <c r="G10" i="51"/>
  <c r="H10" i="51"/>
  <c r="I10" i="51"/>
  <c r="J10" i="51"/>
  <c r="K10" i="51"/>
  <c r="L10" i="51"/>
  <c r="M10" i="51"/>
  <c r="N10" i="51"/>
  <c r="O10" i="51"/>
  <c r="P10" i="51"/>
  <c r="Q10" i="51"/>
  <c r="R10" i="51"/>
  <c r="S10" i="51"/>
  <c r="T10" i="51"/>
  <c r="U10" i="51"/>
  <c r="V10" i="51"/>
  <c r="W10" i="51"/>
  <c r="X10" i="51"/>
  <c r="Y10" i="51"/>
  <c r="Z10" i="51"/>
  <c r="AA10" i="51"/>
  <c r="AB10" i="51"/>
  <c r="AC10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F12" i="51"/>
  <c r="G12" i="51"/>
  <c r="H12" i="51"/>
  <c r="I12" i="51"/>
  <c r="J12" i="51"/>
  <c r="K12" i="51"/>
  <c r="L12" i="51"/>
  <c r="M12" i="51"/>
  <c r="N12" i="51"/>
  <c r="O12" i="51"/>
  <c r="P12" i="51"/>
  <c r="Q12" i="51"/>
  <c r="R12" i="51"/>
  <c r="S12" i="51"/>
  <c r="T12" i="51"/>
  <c r="U12" i="51"/>
  <c r="V12" i="51"/>
  <c r="W12" i="51"/>
  <c r="X12" i="51"/>
  <c r="Y12" i="51"/>
  <c r="Z12" i="51"/>
  <c r="AA12" i="51"/>
  <c r="AB12" i="51"/>
  <c r="AC12" i="51"/>
  <c r="F13" i="51"/>
  <c r="G13" i="51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A13" i="51"/>
  <c r="AB13" i="51"/>
  <c r="AC13" i="51"/>
  <c r="F14" i="51"/>
  <c r="G14" i="51"/>
  <c r="H14" i="51"/>
  <c r="I14" i="51"/>
  <c r="J14" i="51"/>
  <c r="K14" i="51"/>
  <c r="L14" i="51"/>
  <c r="M14" i="51"/>
  <c r="N14" i="51"/>
  <c r="O14" i="51"/>
  <c r="P14" i="51"/>
  <c r="Q14" i="51"/>
  <c r="R14" i="51"/>
  <c r="S14" i="51"/>
  <c r="T14" i="51"/>
  <c r="U14" i="51"/>
  <c r="V14" i="51"/>
  <c r="W14" i="51"/>
  <c r="X14" i="51"/>
  <c r="Y14" i="51"/>
  <c r="Z14" i="51"/>
  <c r="AA14" i="51"/>
  <c r="AB14" i="51"/>
  <c r="AC14" i="51"/>
  <c r="F15" i="51"/>
  <c r="G15" i="51"/>
  <c r="H15" i="51"/>
  <c r="I15" i="51"/>
  <c r="J15" i="51"/>
  <c r="K15" i="51"/>
  <c r="L15" i="51"/>
  <c r="M15" i="51"/>
  <c r="N15" i="51"/>
  <c r="O15" i="51"/>
  <c r="P15" i="51"/>
  <c r="Q15" i="51"/>
  <c r="R15" i="51"/>
  <c r="S15" i="51"/>
  <c r="T15" i="51"/>
  <c r="U15" i="51"/>
  <c r="V15" i="51"/>
  <c r="W15" i="51"/>
  <c r="X15" i="51"/>
  <c r="Y15" i="51"/>
  <c r="Z15" i="51"/>
  <c r="AA15" i="51"/>
  <c r="AB15" i="51"/>
  <c r="AC15" i="51"/>
  <c r="F16" i="51"/>
  <c r="G16" i="51"/>
  <c r="H16" i="51"/>
  <c r="I16" i="51"/>
  <c r="J16" i="51"/>
  <c r="K16" i="51"/>
  <c r="L16" i="51"/>
  <c r="M16" i="51"/>
  <c r="N16" i="51"/>
  <c r="O16" i="51"/>
  <c r="P16" i="51"/>
  <c r="Q16" i="51"/>
  <c r="R16" i="51"/>
  <c r="S16" i="51"/>
  <c r="T16" i="51"/>
  <c r="U16" i="51"/>
  <c r="V16" i="51"/>
  <c r="W16" i="51"/>
  <c r="X16" i="51"/>
  <c r="Y16" i="51"/>
  <c r="Z16" i="51"/>
  <c r="AA16" i="51"/>
  <c r="AB16" i="51"/>
  <c r="AC16" i="51"/>
  <c r="F17" i="51"/>
  <c r="G17" i="51"/>
  <c r="H17" i="51"/>
  <c r="I17" i="51"/>
  <c r="J17" i="51"/>
  <c r="K17" i="51"/>
  <c r="L17" i="51"/>
  <c r="M17" i="51"/>
  <c r="N17" i="51"/>
  <c r="O17" i="51"/>
  <c r="P17" i="51"/>
  <c r="Q17" i="51"/>
  <c r="R17" i="51"/>
  <c r="S17" i="51"/>
  <c r="T17" i="51"/>
  <c r="U17" i="51"/>
  <c r="V17" i="51"/>
  <c r="W17" i="51"/>
  <c r="X17" i="51"/>
  <c r="Y17" i="51"/>
  <c r="Z17" i="51"/>
  <c r="AA17" i="51"/>
  <c r="AB17" i="51"/>
  <c r="AC17" i="51"/>
  <c r="F18" i="51"/>
  <c r="G18" i="51"/>
  <c r="H18" i="51"/>
  <c r="I18" i="51"/>
  <c r="J18" i="51"/>
  <c r="K18" i="51"/>
  <c r="L18" i="51"/>
  <c r="M18" i="51"/>
  <c r="N18" i="51"/>
  <c r="O18" i="51"/>
  <c r="P18" i="51"/>
  <c r="Q18" i="51"/>
  <c r="R18" i="51"/>
  <c r="S18" i="51"/>
  <c r="T18" i="51"/>
  <c r="U18" i="51"/>
  <c r="V18" i="51"/>
  <c r="W18" i="51"/>
  <c r="X18" i="51"/>
  <c r="Y18" i="51"/>
  <c r="Z18" i="51"/>
  <c r="AA18" i="51"/>
  <c r="AB18" i="51"/>
  <c r="AC18" i="51"/>
  <c r="F19" i="51"/>
  <c r="G19" i="51"/>
  <c r="H19" i="51"/>
  <c r="I19" i="51"/>
  <c r="J19" i="51"/>
  <c r="K19" i="51"/>
  <c r="L19" i="51"/>
  <c r="M19" i="51"/>
  <c r="N19" i="51"/>
  <c r="O19" i="51"/>
  <c r="P19" i="51"/>
  <c r="Q19" i="51"/>
  <c r="R19" i="51"/>
  <c r="S19" i="51"/>
  <c r="T19" i="51"/>
  <c r="U19" i="51"/>
  <c r="V19" i="51"/>
  <c r="W19" i="51"/>
  <c r="X19" i="51"/>
  <c r="Y19" i="51"/>
  <c r="Z19" i="51"/>
  <c r="AA19" i="51"/>
  <c r="AB19" i="51"/>
  <c r="AC19" i="51"/>
  <c r="F20" i="51"/>
  <c r="G20" i="51"/>
  <c r="H20" i="51"/>
  <c r="I20" i="51"/>
  <c r="J20" i="51"/>
  <c r="K20" i="51"/>
  <c r="L20" i="51"/>
  <c r="M20" i="51"/>
  <c r="N20" i="51"/>
  <c r="O20" i="51"/>
  <c r="P20" i="51"/>
  <c r="Q20" i="51"/>
  <c r="R20" i="51"/>
  <c r="S20" i="51"/>
  <c r="T20" i="51"/>
  <c r="U20" i="51"/>
  <c r="V20" i="51"/>
  <c r="W20" i="51"/>
  <c r="X20" i="51"/>
  <c r="Y20" i="51"/>
  <c r="Z20" i="51"/>
  <c r="AA20" i="51"/>
  <c r="AB20" i="51"/>
  <c r="AC20" i="51"/>
  <c r="F21" i="51"/>
  <c r="G21" i="51"/>
  <c r="H21" i="51"/>
  <c r="I21" i="51"/>
  <c r="J21" i="51"/>
  <c r="K21" i="51"/>
  <c r="L21" i="51"/>
  <c r="M21" i="51"/>
  <c r="N21" i="51"/>
  <c r="O21" i="51"/>
  <c r="P21" i="51"/>
  <c r="Q21" i="51"/>
  <c r="R21" i="51"/>
  <c r="S21" i="51"/>
  <c r="T21" i="51"/>
  <c r="U21" i="51"/>
  <c r="V21" i="51"/>
  <c r="W21" i="51"/>
  <c r="X21" i="51"/>
  <c r="Y21" i="51"/>
  <c r="Z21" i="51"/>
  <c r="AA21" i="51"/>
  <c r="AB21" i="51"/>
  <c r="AC21" i="51"/>
  <c r="F22" i="51"/>
  <c r="G22" i="51"/>
  <c r="H22" i="51"/>
  <c r="I22" i="51"/>
  <c r="J22" i="51"/>
  <c r="K22" i="51"/>
  <c r="L22" i="51"/>
  <c r="M22" i="51"/>
  <c r="N22" i="51"/>
  <c r="O22" i="51"/>
  <c r="P22" i="51"/>
  <c r="Q22" i="51"/>
  <c r="R22" i="51"/>
  <c r="S22" i="51"/>
  <c r="T22" i="51"/>
  <c r="U22" i="51"/>
  <c r="V22" i="51"/>
  <c r="W22" i="51"/>
  <c r="X22" i="51"/>
  <c r="Y22" i="51"/>
  <c r="Z22" i="51"/>
  <c r="AA22" i="51"/>
  <c r="AB22" i="51"/>
  <c r="AC22" i="51"/>
  <c r="F23" i="51"/>
  <c r="G23" i="51"/>
  <c r="H23" i="51"/>
  <c r="I23" i="51"/>
  <c r="J23" i="51"/>
  <c r="K23" i="51"/>
  <c r="L23" i="51"/>
  <c r="M23" i="51"/>
  <c r="N23" i="51"/>
  <c r="O23" i="51"/>
  <c r="P23" i="51"/>
  <c r="Q23" i="51"/>
  <c r="R23" i="51"/>
  <c r="S23" i="51"/>
  <c r="T23" i="51"/>
  <c r="U23" i="51"/>
  <c r="V23" i="51"/>
  <c r="W23" i="51"/>
  <c r="X23" i="51"/>
  <c r="Y23" i="51"/>
  <c r="Z23" i="51"/>
  <c r="AA23" i="51"/>
  <c r="AB23" i="51"/>
  <c r="AC23" i="51"/>
  <c r="F24" i="51"/>
  <c r="G24" i="51"/>
  <c r="H24" i="51"/>
  <c r="I24" i="51"/>
  <c r="J24" i="51"/>
  <c r="K24" i="51"/>
  <c r="L24" i="51"/>
  <c r="M24" i="51"/>
  <c r="N24" i="51"/>
  <c r="O24" i="51"/>
  <c r="P24" i="51"/>
  <c r="Q24" i="51"/>
  <c r="R24" i="51"/>
  <c r="S24" i="51"/>
  <c r="T24" i="51"/>
  <c r="U24" i="51"/>
  <c r="V24" i="51"/>
  <c r="W24" i="51"/>
  <c r="X24" i="51"/>
  <c r="Y24" i="51"/>
  <c r="Z24" i="51"/>
  <c r="AA24" i="51"/>
  <c r="AB24" i="51"/>
  <c r="AC24" i="51"/>
  <c r="F25" i="51"/>
  <c r="G25" i="51"/>
  <c r="H25" i="51"/>
  <c r="I25" i="51"/>
  <c r="J25" i="51"/>
  <c r="K25" i="51"/>
  <c r="L25" i="51"/>
  <c r="M25" i="51"/>
  <c r="N25" i="51"/>
  <c r="O25" i="51"/>
  <c r="P25" i="51"/>
  <c r="Q25" i="51"/>
  <c r="R25" i="51"/>
  <c r="S25" i="51"/>
  <c r="T25" i="51"/>
  <c r="U25" i="51"/>
  <c r="V25" i="51"/>
  <c r="W25" i="51"/>
  <c r="X25" i="51"/>
  <c r="Y25" i="51"/>
  <c r="Z25" i="51"/>
  <c r="AA25" i="51"/>
  <c r="AB25" i="51"/>
  <c r="AC25" i="51"/>
  <c r="F26" i="51"/>
  <c r="G26" i="51"/>
  <c r="H26" i="51"/>
  <c r="I26" i="51"/>
  <c r="J26" i="51"/>
  <c r="K26" i="51"/>
  <c r="L26" i="51"/>
  <c r="M26" i="51"/>
  <c r="N26" i="51"/>
  <c r="O26" i="51"/>
  <c r="P26" i="51"/>
  <c r="Q26" i="51"/>
  <c r="R26" i="51"/>
  <c r="S26" i="51"/>
  <c r="T26" i="51"/>
  <c r="U26" i="51"/>
  <c r="V26" i="51"/>
  <c r="W26" i="51"/>
  <c r="X26" i="51"/>
  <c r="Y26" i="51"/>
  <c r="Z26" i="51"/>
  <c r="AA26" i="51"/>
  <c r="AB26" i="51"/>
  <c r="AC26" i="51"/>
  <c r="F27" i="51"/>
  <c r="G27" i="51"/>
  <c r="H27" i="51"/>
  <c r="I27" i="51"/>
  <c r="J27" i="51"/>
  <c r="K27" i="51"/>
  <c r="L27" i="51"/>
  <c r="M27" i="51"/>
  <c r="N27" i="51"/>
  <c r="O27" i="51"/>
  <c r="P27" i="51"/>
  <c r="Q27" i="51"/>
  <c r="R27" i="51"/>
  <c r="S27" i="51"/>
  <c r="T27" i="51"/>
  <c r="U27" i="51"/>
  <c r="V27" i="51"/>
  <c r="W27" i="51"/>
  <c r="X27" i="51"/>
  <c r="Y27" i="51"/>
  <c r="Z27" i="51"/>
  <c r="AA27" i="51"/>
  <c r="AB27" i="51"/>
  <c r="AC27" i="51"/>
  <c r="F28" i="51"/>
  <c r="G28" i="51"/>
  <c r="H28" i="51"/>
  <c r="I28" i="51"/>
  <c r="J28" i="51"/>
  <c r="K28" i="51"/>
  <c r="L28" i="51"/>
  <c r="M28" i="51"/>
  <c r="N28" i="51"/>
  <c r="O28" i="51"/>
  <c r="P28" i="51"/>
  <c r="Q28" i="51"/>
  <c r="R28" i="51"/>
  <c r="S28" i="51"/>
  <c r="T28" i="51"/>
  <c r="U28" i="51"/>
  <c r="V28" i="51"/>
  <c r="W28" i="51"/>
  <c r="X28" i="51"/>
  <c r="Y28" i="51"/>
  <c r="Z28" i="51"/>
  <c r="AA28" i="51"/>
  <c r="AB28" i="51"/>
  <c r="AC28" i="51"/>
  <c r="F29" i="51"/>
  <c r="G29" i="51"/>
  <c r="H29" i="51"/>
  <c r="I29" i="51"/>
  <c r="J29" i="51"/>
  <c r="K29" i="51"/>
  <c r="L29" i="51"/>
  <c r="M29" i="51"/>
  <c r="N29" i="51"/>
  <c r="O29" i="51"/>
  <c r="P29" i="51"/>
  <c r="Q29" i="51"/>
  <c r="R29" i="51"/>
  <c r="S29" i="51"/>
  <c r="T29" i="51"/>
  <c r="U29" i="51"/>
  <c r="V29" i="51"/>
  <c r="W29" i="51"/>
  <c r="X29" i="51"/>
  <c r="Y29" i="51"/>
  <c r="Z29" i="51"/>
  <c r="AA29" i="51"/>
  <c r="AB29" i="51"/>
  <c r="AC29" i="51"/>
  <c r="F30" i="51"/>
  <c r="G30" i="51"/>
  <c r="H30" i="51"/>
  <c r="I30" i="51"/>
  <c r="J30" i="51"/>
  <c r="K30" i="51"/>
  <c r="L30" i="51"/>
  <c r="M30" i="51"/>
  <c r="N30" i="51"/>
  <c r="O30" i="51"/>
  <c r="P30" i="51"/>
  <c r="Q30" i="51"/>
  <c r="R30" i="51"/>
  <c r="S30" i="51"/>
  <c r="T30" i="51"/>
  <c r="U30" i="51"/>
  <c r="V30" i="51"/>
  <c r="W30" i="51"/>
  <c r="X30" i="51"/>
  <c r="Y30" i="51"/>
  <c r="Z30" i="51"/>
  <c r="AA30" i="51"/>
  <c r="AB30" i="51"/>
  <c r="AC30" i="51"/>
  <c r="F31" i="51"/>
  <c r="G31" i="51"/>
  <c r="H31" i="51"/>
  <c r="I31" i="51"/>
  <c r="J31" i="51"/>
  <c r="K31" i="51"/>
  <c r="L31" i="51"/>
  <c r="M31" i="51"/>
  <c r="N31" i="51"/>
  <c r="O31" i="51"/>
  <c r="P31" i="51"/>
  <c r="Q31" i="51"/>
  <c r="R31" i="51"/>
  <c r="S31" i="51"/>
  <c r="T31" i="51"/>
  <c r="U31" i="51"/>
  <c r="V31" i="51"/>
  <c r="W31" i="51"/>
  <c r="X31" i="51"/>
  <c r="Y31" i="51"/>
  <c r="Z31" i="51"/>
  <c r="AA31" i="51"/>
  <c r="AB31" i="51"/>
  <c r="AC31" i="51"/>
  <c r="F32" i="51"/>
  <c r="G32" i="51"/>
  <c r="H32" i="51"/>
  <c r="I32" i="51"/>
  <c r="J32" i="51"/>
  <c r="K32" i="51"/>
  <c r="L32" i="51"/>
  <c r="M32" i="51"/>
  <c r="N32" i="51"/>
  <c r="O32" i="51"/>
  <c r="P32" i="51"/>
  <c r="Q32" i="51"/>
  <c r="R32" i="51"/>
  <c r="S32" i="51"/>
  <c r="T32" i="51"/>
  <c r="U32" i="51"/>
  <c r="V32" i="51"/>
  <c r="W32" i="51"/>
  <c r="X32" i="51"/>
  <c r="Y32" i="51"/>
  <c r="Z32" i="51"/>
  <c r="AA32" i="51"/>
  <c r="AB32" i="51"/>
  <c r="AC32" i="51"/>
  <c r="F33" i="51"/>
  <c r="G33" i="51"/>
  <c r="H33" i="51"/>
  <c r="I33" i="51"/>
  <c r="J33" i="51"/>
  <c r="K33" i="51"/>
  <c r="L33" i="51"/>
  <c r="M33" i="51"/>
  <c r="N33" i="51"/>
  <c r="O33" i="51"/>
  <c r="P33" i="51"/>
  <c r="Q33" i="51"/>
  <c r="R33" i="51"/>
  <c r="S33" i="51"/>
  <c r="T33" i="51"/>
  <c r="U33" i="51"/>
  <c r="V33" i="51"/>
  <c r="W33" i="51"/>
  <c r="X33" i="51"/>
  <c r="Y33" i="51"/>
  <c r="Z33" i="51"/>
  <c r="AA33" i="51"/>
  <c r="AB33" i="51"/>
  <c r="AC33" i="51"/>
  <c r="F34" i="51"/>
  <c r="G34" i="51"/>
  <c r="H34" i="51"/>
  <c r="I34" i="51"/>
  <c r="J34" i="51"/>
  <c r="K34" i="51"/>
  <c r="L34" i="51"/>
  <c r="M34" i="51"/>
  <c r="N34" i="51"/>
  <c r="O34" i="51"/>
  <c r="P34" i="51"/>
  <c r="Q34" i="51"/>
  <c r="R34" i="51"/>
  <c r="S34" i="51"/>
  <c r="T34" i="51"/>
  <c r="U34" i="51"/>
  <c r="V34" i="51"/>
  <c r="W34" i="51"/>
  <c r="X34" i="51"/>
  <c r="Y34" i="51"/>
  <c r="Z34" i="51"/>
  <c r="AA34" i="51"/>
  <c r="AB34" i="51"/>
  <c r="AC34" i="51"/>
  <c r="F35" i="51"/>
  <c r="G35" i="51"/>
  <c r="H35" i="51"/>
  <c r="I35" i="51"/>
  <c r="J35" i="51"/>
  <c r="K35" i="51"/>
  <c r="L35" i="51"/>
  <c r="M35" i="51"/>
  <c r="N35" i="51"/>
  <c r="O35" i="51"/>
  <c r="P35" i="51"/>
  <c r="Q35" i="51"/>
  <c r="R35" i="51"/>
  <c r="S35" i="51"/>
  <c r="T35" i="51"/>
  <c r="U35" i="51"/>
  <c r="V35" i="51"/>
  <c r="W35" i="51"/>
  <c r="X35" i="51"/>
  <c r="Y35" i="51"/>
  <c r="Z35" i="51"/>
  <c r="AA35" i="51"/>
  <c r="AB35" i="51"/>
  <c r="AC35" i="51"/>
  <c r="F36" i="51"/>
  <c r="G36" i="51"/>
  <c r="H36" i="51"/>
  <c r="I36" i="51"/>
  <c r="J36" i="51"/>
  <c r="K36" i="51"/>
  <c r="L36" i="51"/>
  <c r="M36" i="51"/>
  <c r="N36" i="51"/>
  <c r="O36" i="51"/>
  <c r="P36" i="51"/>
  <c r="Q36" i="51"/>
  <c r="R36" i="51"/>
  <c r="S36" i="51"/>
  <c r="T36" i="51"/>
  <c r="U36" i="51"/>
  <c r="V36" i="51"/>
  <c r="W36" i="51"/>
  <c r="X36" i="51"/>
  <c r="Y36" i="51"/>
  <c r="Z36" i="51"/>
  <c r="AA36" i="51"/>
  <c r="AB36" i="51"/>
  <c r="AC36" i="51"/>
  <c r="F37" i="51"/>
  <c r="G37" i="51"/>
  <c r="H37" i="51"/>
  <c r="I37" i="51"/>
  <c r="J37" i="51"/>
  <c r="K37" i="51"/>
  <c r="L37" i="51"/>
  <c r="M37" i="51"/>
  <c r="N37" i="51"/>
  <c r="O37" i="51"/>
  <c r="P37" i="51"/>
  <c r="Q37" i="51"/>
  <c r="R37" i="51"/>
  <c r="S37" i="51"/>
  <c r="T37" i="51"/>
  <c r="U37" i="51"/>
  <c r="V37" i="51"/>
  <c r="W37" i="51"/>
  <c r="X37" i="51"/>
  <c r="Y37" i="51"/>
  <c r="Z37" i="51"/>
  <c r="AA37" i="51"/>
  <c r="AB37" i="51"/>
  <c r="AC37" i="51"/>
  <c r="F38" i="51"/>
  <c r="G38" i="51"/>
  <c r="H38" i="51"/>
  <c r="I38" i="51"/>
  <c r="J38" i="51"/>
  <c r="K38" i="51"/>
  <c r="L38" i="51"/>
  <c r="M38" i="51"/>
  <c r="N38" i="51"/>
  <c r="O38" i="51"/>
  <c r="P38" i="51"/>
  <c r="Q38" i="51"/>
  <c r="R38" i="51"/>
  <c r="S38" i="51"/>
  <c r="T38" i="51"/>
  <c r="U38" i="51"/>
  <c r="V38" i="51"/>
  <c r="W38" i="51"/>
  <c r="X38" i="51"/>
  <c r="Y38" i="51"/>
  <c r="Z38" i="51"/>
  <c r="AA38" i="51"/>
  <c r="AB38" i="51"/>
  <c r="AC38" i="51"/>
  <c r="F39" i="51"/>
  <c r="G39" i="51"/>
  <c r="H39" i="51"/>
  <c r="I39" i="51"/>
  <c r="J39" i="51"/>
  <c r="K39" i="51"/>
  <c r="L39" i="51"/>
  <c r="M39" i="51"/>
  <c r="N39" i="51"/>
  <c r="O39" i="51"/>
  <c r="P39" i="51"/>
  <c r="Q39" i="51"/>
  <c r="R39" i="51"/>
  <c r="S39" i="51"/>
  <c r="T39" i="51"/>
  <c r="U39" i="51"/>
  <c r="V39" i="51"/>
  <c r="W39" i="51"/>
  <c r="X39" i="51"/>
  <c r="Y39" i="51"/>
  <c r="Z39" i="51"/>
  <c r="AA39" i="51"/>
  <c r="AB39" i="51"/>
  <c r="AC39" i="51"/>
  <c r="F40" i="51"/>
  <c r="G40" i="51"/>
  <c r="H40" i="51"/>
  <c r="I40" i="51"/>
  <c r="J40" i="51"/>
  <c r="K40" i="51"/>
  <c r="L40" i="51"/>
  <c r="M40" i="51"/>
  <c r="N40" i="51"/>
  <c r="O40" i="51"/>
  <c r="P40" i="51"/>
  <c r="Q40" i="51"/>
  <c r="R40" i="51"/>
  <c r="S40" i="51"/>
  <c r="T40" i="51"/>
  <c r="U40" i="51"/>
  <c r="V40" i="51"/>
  <c r="W40" i="51"/>
  <c r="X40" i="51"/>
  <c r="Y40" i="51"/>
  <c r="Z40" i="51"/>
  <c r="AA40" i="51"/>
  <c r="AB40" i="51"/>
  <c r="AC40" i="51"/>
  <c r="F41" i="51"/>
  <c r="G41" i="51"/>
  <c r="H41" i="51"/>
  <c r="I41" i="51"/>
  <c r="J41" i="51"/>
  <c r="K41" i="51"/>
  <c r="L41" i="51"/>
  <c r="M41" i="51"/>
  <c r="N41" i="51"/>
  <c r="O41" i="51"/>
  <c r="P41" i="51"/>
  <c r="Q41" i="51"/>
  <c r="R41" i="51"/>
  <c r="S41" i="51"/>
  <c r="T41" i="51"/>
  <c r="U41" i="51"/>
  <c r="V41" i="51"/>
  <c r="W41" i="51"/>
  <c r="X41" i="51"/>
  <c r="Y41" i="51"/>
  <c r="Z41" i="51"/>
  <c r="AA41" i="51"/>
  <c r="AB41" i="51"/>
  <c r="AC41" i="51"/>
  <c r="F42" i="51"/>
  <c r="G42" i="51"/>
  <c r="H42" i="51"/>
  <c r="I42" i="51"/>
  <c r="J42" i="51"/>
  <c r="K42" i="51"/>
  <c r="L42" i="51"/>
  <c r="M42" i="51"/>
  <c r="N42" i="51"/>
  <c r="O42" i="51"/>
  <c r="P42" i="51"/>
  <c r="Q42" i="51"/>
  <c r="R42" i="51"/>
  <c r="S42" i="51"/>
  <c r="T42" i="51"/>
  <c r="U42" i="51"/>
  <c r="V42" i="51"/>
  <c r="W42" i="51"/>
  <c r="X42" i="51"/>
  <c r="Y42" i="51"/>
  <c r="Z42" i="51"/>
  <c r="AA42" i="51"/>
  <c r="AB42" i="51"/>
  <c r="AC42" i="51"/>
  <c r="F43" i="51"/>
  <c r="G43" i="51"/>
  <c r="H43" i="51"/>
  <c r="I43" i="51"/>
  <c r="J43" i="51"/>
  <c r="K43" i="51"/>
  <c r="L43" i="51"/>
  <c r="M43" i="51"/>
  <c r="N43" i="51"/>
  <c r="O43" i="51"/>
  <c r="P43" i="51"/>
  <c r="Q43" i="51"/>
  <c r="R43" i="51"/>
  <c r="S43" i="51"/>
  <c r="T43" i="51"/>
  <c r="U43" i="51"/>
  <c r="V43" i="51"/>
  <c r="W43" i="51"/>
  <c r="X43" i="51"/>
  <c r="Y43" i="51"/>
  <c r="Z43" i="51"/>
  <c r="AA43" i="51"/>
  <c r="AB43" i="51"/>
  <c r="AC43" i="51"/>
  <c r="F44" i="51"/>
  <c r="G44" i="51"/>
  <c r="H44" i="51"/>
  <c r="I44" i="51"/>
  <c r="J44" i="51"/>
  <c r="K44" i="51"/>
  <c r="L44" i="51"/>
  <c r="M44" i="51"/>
  <c r="N44" i="51"/>
  <c r="O44" i="51"/>
  <c r="P44" i="51"/>
  <c r="Q44" i="51"/>
  <c r="R44" i="51"/>
  <c r="S44" i="51"/>
  <c r="T44" i="51"/>
  <c r="U44" i="51"/>
  <c r="V44" i="51"/>
  <c r="W44" i="51"/>
  <c r="X44" i="51"/>
  <c r="Y44" i="51"/>
  <c r="Z44" i="51"/>
  <c r="AA44" i="51"/>
  <c r="AB44" i="51"/>
  <c r="AC44" i="51"/>
  <c r="F45" i="51"/>
  <c r="G45" i="51"/>
  <c r="H45" i="51"/>
  <c r="I45" i="51"/>
  <c r="J45" i="51"/>
  <c r="K45" i="51"/>
  <c r="L45" i="51"/>
  <c r="M45" i="51"/>
  <c r="N45" i="51"/>
  <c r="O45" i="51"/>
  <c r="P45" i="51"/>
  <c r="Q45" i="51"/>
  <c r="R45" i="51"/>
  <c r="S45" i="51"/>
  <c r="T45" i="51"/>
  <c r="U45" i="51"/>
  <c r="V45" i="51"/>
  <c r="W45" i="51"/>
  <c r="X45" i="51"/>
  <c r="Y45" i="51"/>
  <c r="Z45" i="51"/>
  <c r="AA45" i="51"/>
  <c r="AB45" i="51"/>
  <c r="AC45" i="51"/>
  <c r="F46" i="51"/>
  <c r="G46" i="51"/>
  <c r="H46" i="51"/>
  <c r="I46" i="51"/>
  <c r="J46" i="51"/>
  <c r="K46" i="51"/>
  <c r="L46" i="51"/>
  <c r="M46" i="51"/>
  <c r="N46" i="51"/>
  <c r="O46" i="51"/>
  <c r="P46" i="51"/>
  <c r="Q46" i="51"/>
  <c r="R46" i="51"/>
  <c r="S46" i="51"/>
  <c r="T46" i="51"/>
  <c r="U46" i="51"/>
  <c r="V46" i="51"/>
  <c r="W46" i="51"/>
  <c r="X46" i="51"/>
  <c r="Y46" i="51"/>
  <c r="Z46" i="51"/>
  <c r="AA46" i="51"/>
  <c r="AB46" i="51"/>
  <c r="AC46" i="51"/>
  <c r="F47" i="51"/>
  <c r="G47" i="51"/>
  <c r="H47" i="51"/>
  <c r="I47" i="51"/>
  <c r="J47" i="51"/>
  <c r="K47" i="51"/>
  <c r="L47" i="51"/>
  <c r="M47" i="51"/>
  <c r="N47" i="51"/>
  <c r="O47" i="51"/>
  <c r="P47" i="51"/>
  <c r="Q47" i="51"/>
  <c r="R47" i="51"/>
  <c r="S47" i="51"/>
  <c r="T47" i="51"/>
  <c r="U47" i="51"/>
  <c r="V47" i="51"/>
  <c r="W47" i="51"/>
  <c r="X47" i="51"/>
  <c r="Y47" i="51"/>
  <c r="Z47" i="51"/>
  <c r="AA47" i="51"/>
  <c r="AB47" i="51"/>
  <c r="AC47" i="51"/>
  <c r="F48" i="51"/>
  <c r="G48" i="51"/>
  <c r="H48" i="51"/>
  <c r="I48" i="51"/>
  <c r="J48" i="51"/>
  <c r="K48" i="51"/>
  <c r="L48" i="51"/>
  <c r="M48" i="51"/>
  <c r="N48" i="51"/>
  <c r="O48" i="51"/>
  <c r="P48" i="51"/>
  <c r="Q48" i="51"/>
  <c r="R48" i="51"/>
  <c r="S48" i="51"/>
  <c r="T48" i="51"/>
  <c r="U48" i="51"/>
  <c r="V48" i="51"/>
  <c r="W48" i="51"/>
  <c r="X48" i="51"/>
  <c r="Y48" i="51"/>
  <c r="Z48" i="51"/>
  <c r="AA48" i="51"/>
  <c r="AB48" i="51"/>
  <c r="AC48" i="51"/>
  <c r="F49" i="51"/>
  <c r="G49" i="51"/>
  <c r="H49" i="51"/>
  <c r="I49" i="51"/>
  <c r="J49" i="51"/>
  <c r="K49" i="51"/>
  <c r="L49" i="51"/>
  <c r="M49" i="51"/>
  <c r="N49" i="51"/>
  <c r="O49" i="51"/>
  <c r="P49" i="51"/>
  <c r="Q49" i="51"/>
  <c r="R49" i="51"/>
  <c r="S49" i="51"/>
  <c r="T49" i="51"/>
  <c r="U49" i="51"/>
  <c r="V49" i="51"/>
  <c r="W49" i="51"/>
  <c r="X49" i="51"/>
  <c r="Y49" i="51"/>
  <c r="Z49" i="51"/>
  <c r="AA49" i="51"/>
  <c r="AB49" i="51"/>
  <c r="AC49" i="51"/>
  <c r="F50" i="51"/>
  <c r="G50" i="51"/>
  <c r="H50" i="51"/>
  <c r="I50" i="51"/>
  <c r="J50" i="51"/>
  <c r="K50" i="51"/>
  <c r="L50" i="51"/>
  <c r="M50" i="51"/>
  <c r="N50" i="51"/>
  <c r="O50" i="51"/>
  <c r="P50" i="51"/>
  <c r="Q50" i="51"/>
  <c r="R50" i="51"/>
  <c r="S50" i="51"/>
  <c r="T50" i="51"/>
  <c r="U50" i="51"/>
  <c r="V50" i="51"/>
  <c r="W50" i="51"/>
  <c r="X50" i="51"/>
  <c r="Y50" i="51"/>
  <c r="Z50" i="51"/>
  <c r="AA50" i="51"/>
  <c r="AB50" i="51"/>
  <c r="AC50" i="51"/>
  <c r="F51" i="51"/>
  <c r="G51" i="51"/>
  <c r="H51" i="51"/>
  <c r="I51" i="51"/>
  <c r="J51" i="51"/>
  <c r="K51" i="51"/>
  <c r="L51" i="51"/>
  <c r="M51" i="51"/>
  <c r="N51" i="51"/>
  <c r="O51" i="51"/>
  <c r="P51" i="51"/>
  <c r="Q51" i="51"/>
  <c r="R51" i="51"/>
  <c r="S51" i="51"/>
  <c r="T51" i="51"/>
  <c r="U51" i="51"/>
  <c r="V51" i="51"/>
  <c r="W51" i="51"/>
  <c r="X51" i="51"/>
  <c r="Y51" i="51"/>
  <c r="Z51" i="51"/>
  <c r="AA51" i="51"/>
  <c r="AB51" i="51"/>
  <c r="AC51" i="51"/>
  <c r="F52" i="51"/>
  <c r="G52" i="51"/>
  <c r="H52" i="51"/>
  <c r="I52" i="51"/>
  <c r="J52" i="51"/>
  <c r="K52" i="51"/>
  <c r="L52" i="51"/>
  <c r="M52" i="51"/>
  <c r="N52" i="51"/>
  <c r="O52" i="51"/>
  <c r="P52" i="51"/>
  <c r="Q52" i="51"/>
  <c r="R52" i="51"/>
  <c r="S52" i="51"/>
  <c r="T52" i="51"/>
  <c r="U52" i="51"/>
  <c r="V52" i="51"/>
  <c r="W52" i="51"/>
  <c r="X52" i="51"/>
  <c r="Y52" i="51"/>
  <c r="Z52" i="51"/>
  <c r="AA52" i="51"/>
  <c r="AB52" i="51"/>
  <c r="AC52" i="51"/>
  <c r="F53" i="51"/>
  <c r="G53" i="51"/>
  <c r="H53" i="51"/>
  <c r="I53" i="51"/>
  <c r="J53" i="51"/>
  <c r="K53" i="51"/>
  <c r="L53" i="51"/>
  <c r="M53" i="51"/>
  <c r="N53" i="51"/>
  <c r="O53" i="51"/>
  <c r="P53" i="51"/>
  <c r="Q53" i="51"/>
  <c r="R53" i="51"/>
  <c r="S53" i="51"/>
  <c r="T53" i="51"/>
  <c r="U53" i="51"/>
  <c r="V53" i="51"/>
  <c r="W53" i="51"/>
  <c r="X53" i="51"/>
  <c r="Y53" i="51"/>
  <c r="Z53" i="51"/>
  <c r="AA53" i="51"/>
  <c r="AB53" i="51"/>
  <c r="AC53" i="51"/>
  <c r="F54" i="51"/>
  <c r="G54" i="51"/>
  <c r="H54" i="51"/>
  <c r="I54" i="51"/>
  <c r="J54" i="51"/>
  <c r="K54" i="51"/>
  <c r="L54" i="51"/>
  <c r="M54" i="51"/>
  <c r="N54" i="51"/>
  <c r="O54" i="51"/>
  <c r="P54" i="51"/>
  <c r="Q54" i="51"/>
  <c r="R54" i="51"/>
  <c r="S54" i="51"/>
  <c r="T54" i="51"/>
  <c r="U54" i="51"/>
  <c r="V54" i="51"/>
  <c r="W54" i="51"/>
  <c r="X54" i="51"/>
  <c r="Y54" i="51"/>
  <c r="Z54" i="51"/>
  <c r="AA54" i="51"/>
  <c r="AB54" i="51"/>
  <c r="AC54" i="51"/>
  <c r="G7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F7" i="51"/>
  <c r="AG47" i="51"/>
  <c r="F8" i="50"/>
  <c r="G8" i="50"/>
  <c r="H8" i="50"/>
  <c r="I8" i="50"/>
  <c r="J8" i="50"/>
  <c r="K8" i="50"/>
  <c r="L8" i="50"/>
  <c r="M8" i="50"/>
  <c r="N8" i="50"/>
  <c r="O8" i="50"/>
  <c r="P8" i="50"/>
  <c r="Q8" i="50"/>
  <c r="R8" i="50"/>
  <c r="S8" i="50"/>
  <c r="T8" i="50"/>
  <c r="U8" i="50"/>
  <c r="V8" i="50"/>
  <c r="W8" i="50"/>
  <c r="X8" i="50"/>
  <c r="Y8" i="50"/>
  <c r="Z8" i="50"/>
  <c r="AA8" i="50"/>
  <c r="AB8" i="50"/>
  <c r="AC8" i="50"/>
  <c r="F9" i="50"/>
  <c r="G9" i="50"/>
  <c r="H9" i="50"/>
  <c r="I9" i="50"/>
  <c r="J9" i="50"/>
  <c r="K9" i="50"/>
  <c r="L9" i="50"/>
  <c r="M9" i="50"/>
  <c r="N9" i="50"/>
  <c r="O9" i="50"/>
  <c r="P9" i="50"/>
  <c r="Q9" i="50"/>
  <c r="R9" i="50"/>
  <c r="S9" i="50"/>
  <c r="T9" i="50"/>
  <c r="U9" i="50"/>
  <c r="V9" i="50"/>
  <c r="W9" i="50"/>
  <c r="X9" i="50"/>
  <c r="Y9" i="50"/>
  <c r="Z9" i="50"/>
  <c r="AA9" i="50"/>
  <c r="AB9" i="50"/>
  <c r="AC9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R10" i="50"/>
  <c r="S10" i="50"/>
  <c r="T10" i="50"/>
  <c r="U10" i="50"/>
  <c r="V10" i="50"/>
  <c r="W10" i="50"/>
  <c r="X10" i="50"/>
  <c r="Y10" i="50"/>
  <c r="Z10" i="50"/>
  <c r="AA10" i="50"/>
  <c r="AB10" i="50"/>
  <c r="AC10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R11" i="50"/>
  <c r="S11" i="50"/>
  <c r="T11" i="50"/>
  <c r="U11" i="50"/>
  <c r="V11" i="50"/>
  <c r="W11" i="50"/>
  <c r="X11" i="50"/>
  <c r="Y11" i="50"/>
  <c r="Z11" i="50"/>
  <c r="AA11" i="50"/>
  <c r="AB11" i="50"/>
  <c r="AC11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S12" i="50"/>
  <c r="T12" i="50"/>
  <c r="U12" i="50"/>
  <c r="V12" i="50"/>
  <c r="W12" i="50"/>
  <c r="X12" i="50"/>
  <c r="Y12" i="50"/>
  <c r="Z12" i="50"/>
  <c r="AA12" i="50"/>
  <c r="AB12" i="50"/>
  <c r="AC12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S13" i="50"/>
  <c r="T13" i="50"/>
  <c r="U13" i="50"/>
  <c r="V13" i="50"/>
  <c r="W13" i="50"/>
  <c r="X13" i="50"/>
  <c r="Y13" i="50"/>
  <c r="Z13" i="50"/>
  <c r="AA13" i="50"/>
  <c r="AB13" i="50"/>
  <c r="AC13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Z14" i="50"/>
  <c r="AA14" i="50"/>
  <c r="AB14" i="50"/>
  <c r="AC14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S15" i="50"/>
  <c r="T15" i="50"/>
  <c r="U15" i="50"/>
  <c r="V15" i="50"/>
  <c r="W15" i="50"/>
  <c r="X15" i="50"/>
  <c r="Y15" i="50"/>
  <c r="Z15" i="50"/>
  <c r="AA15" i="50"/>
  <c r="AB15" i="50"/>
  <c r="AC15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S16" i="50"/>
  <c r="T16" i="50"/>
  <c r="U16" i="50"/>
  <c r="V16" i="50"/>
  <c r="W16" i="50"/>
  <c r="X16" i="50"/>
  <c r="Y16" i="50"/>
  <c r="Z16" i="50"/>
  <c r="AA16" i="50"/>
  <c r="AB16" i="50"/>
  <c r="AC16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R17" i="50"/>
  <c r="S17" i="50"/>
  <c r="T17" i="50"/>
  <c r="U17" i="50"/>
  <c r="V17" i="50"/>
  <c r="W17" i="50"/>
  <c r="X17" i="50"/>
  <c r="Y17" i="50"/>
  <c r="Z17" i="50"/>
  <c r="AA17" i="50"/>
  <c r="AB17" i="50"/>
  <c r="AC17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S18" i="50"/>
  <c r="T18" i="50"/>
  <c r="U18" i="50"/>
  <c r="V18" i="50"/>
  <c r="W18" i="50"/>
  <c r="X18" i="50"/>
  <c r="Y18" i="50"/>
  <c r="Z18" i="50"/>
  <c r="AA18" i="50"/>
  <c r="AB18" i="50"/>
  <c r="AC18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S19" i="50"/>
  <c r="T19" i="50"/>
  <c r="U19" i="50"/>
  <c r="V19" i="50"/>
  <c r="W19" i="50"/>
  <c r="X19" i="50"/>
  <c r="Y19" i="50"/>
  <c r="Z19" i="50"/>
  <c r="AA19" i="50"/>
  <c r="AB19" i="50"/>
  <c r="AC19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S20" i="50"/>
  <c r="T20" i="50"/>
  <c r="U20" i="50"/>
  <c r="V20" i="50"/>
  <c r="W20" i="50"/>
  <c r="X20" i="50"/>
  <c r="Y20" i="50"/>
  <c r="Z20" i="50"/>
  <c r="AA20" i="50"/>
  <c r="AB20" i="50"/>
  <c r="AC20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S21" i="50"/>
  <c r="T21" i="50"/>
  <c r="U21" i="50"/>
  <c r="V21" i="50"/>
  <c r="W21" i="50"/>
  <c r="X21" i="50"/>
  <c r="Y21" i="50"/>
  <c r="Z21" i="50"/>
  <c r="AA21" i="50"/>
  <c r="AB21" i="50"/>
  <c r="AC21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S22" i="50"/>
  <c r="T22" i="50"/>
  <c r="U22" i="50"/>
  <c r="V22" i="50"/>
  <c r="W22" i="50"/>
  <c r="X22" i="50"/>
  <c r="Y22" i="50"/>
  <c r="Z22" i="50"/>
  <c r="AA22" i="50"/>
  <c r="AB22" i="50"/>
  <c r="AC22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R23" i="50"/>
  <c r="S23" i="50"/>
  <c r="T23" i="50"/>
  <c r="U23" i="50"/>
  <c r="V23" i="50"/>
  <c r="W23" i="50"/>
  <c r="X23" i="50"/>
  <c r="Y23" i="50"/>
  <c r="Z23" i="50"/>
  <c r="AA23" i="50"/>
  <c r="AB23" i="50"/>
  <c r="AC23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W24" i="50"/>
  <c r="X24" i="50"/>
  <c r="Y24" i="50"/>
  <c r="Z24" i="50"/>
  <c r="AA24" i="50"/>
  <c r="AB24" i="50"/>
  <c r="AC24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R25" i="50"/>
  <c r="S25" i="50"/>
  <c r="T25" i="50"/>
  <c r="U25" i="50"/>
  <c r="V25" i="50"/>
  <c r="W25" i="50"/>
  <c r="X25" i="50"/>
  <c r="Y25" i="50"/>
  <c r="Z25" i="50"/>
  <c r="AA25" i="50"/>
  <c r="AB25" i="50"/>
  <c r="AC25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R26" i="50"/>
  <c r="S26" i="50"/>
  <c r="T26" i="50"/>
  <c r="U26" i="50"/>
  <c r="V26" i="50"/>
  <c r="W26" i="50"/>
  <c r="X26" i="50"/>
  <c r="Y26" i="50"/>
  <c r="Z26" i="50"/>
  <c r="AA26" i="50"/>
  <c r="AB26" i="50"/>
  <c r="AC26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R27" i="50"/>
  <c r="S27" i="50"/>
  <c r="T27" i="50"/>
  <c r="U27" i="50"/>
  <c r="V27" i="50"/>
  <c r="W27" i="50"/>
  <c r="X27" i="50"/>
  <c r="Y27" i="50"/>
  <c r="Z27" i="50"/>
  <c r="AA27" i="50"/>
  <c r="AB27" i="50"/>
  <c r="AC27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S28" i="50"/>
  <c r="T28" i="50"/>
  <c r="U28" i="50"/>
  <c r="V28" i="50"/>
  <c r="W28" i="50"/>
  <c r="X28" i="50"/>
  <c r="Y28" i="50"/>
  <c r="Z28" i="50"/>
  <c r="AA28" i="50"/>
  <c r="AB28" i="50"/>
  <c r="AC28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S29" i="50"/>
  <c r="T29" i="50"/>
  <c r="U29" i="50"/>
  <c r="V29" i="50"/>
  <c r="W29" i="50"/>
  <c r="X29" i="50"/>
  <c r="Y29" i="50"/>
  <c r="Z29" i="50"/>
  <c r="AA29" i="50"/>
  <c r="AB29" i="50"/>
  <c r="AC29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R30" i="50"/>
  <c r="S30" i="50"/>
  <c r="T30" i="50"/>
  <c r="U30" i="50"/>
  <c r="V30" i="50"/>
  <c r="W30" i="50"/>
  <c r="X30" i="50"/>
  <c r="Y30" i="50"/>
  <c r="Z30" i="50"/>
  <c r="AA30" i="50"/>
  <c r="AB30" i="50"/>
  <c r="AC30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S31" i="50"/>
  <c r="T31" i="50"/>
  <c r="U31" i="50"/>
  <c r="V31" i="50"/>
  <c r="W31" i="50"/>
  <c r="X31" i="50"/>
  <c r="Y31" i="50"/>
  <c r="Z31" i="50"/>
  <c r="AA31" i="50"/>
  <c r="AB31" i="50"/>
  <c r="AC31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S32" i="50"/>
  <c r="T32" i="50"/>
  <c r="U32" i="50"/>
  <c r="V32" i="50"/>
  <c r="W32" i="50"/>
  <c r="X32" i="50"/>
  <c r="Y32" i="50"/>
  <c r="Z32" i="50"/>
  <c r="AA32" i="50"/>
  <c r="AB32" i="50"/>
  <c r="AC32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S33" i="50"/>
  <c r="T33" i="50"/>
  <c r="U33" i="50"/>
  <c r="V33" i="50"/>
  <c r="W33" i="50"/>
  <c r="X33" i="50"/>
  <c r="Y33" i="50"/>
  <c r="Z33" i="50"/>
  <c r="AA33" i="50"/>
  <c r="AB33" i="50"/>
  <c r="AC33" i="50"/>
  <c r="F34" i="50"/>
  <c r="G34" i="50"/>
  <c r="H34" i="50"/>
  <c r="I34" i="50"/>
  <c r="J34" i="50"/>
  <c r="K34" i="50"/>
  <c r="L34" i="50"/>
  <c r="M34" i="50"/>
  <c r="N34" i="50"/>
  <c r="O34" i="50"/>
  <c r="P34" i="50"/>
  <c r="Q34" i="50"/>
  <c r="R34" i="50"/>
  <c r="S34" i="50"/>
  <c r="T34" i="50"/>
  <c r="U34" i="50"/>
  <c r="V34" i="50"/>
  <c r="W34" i="50"/>
  <c r="X34" i="50"/>
  <c r="Y34" i="50"/>
  <c r="Z34" i="50"/>
  <c r="AA34" i="50"/>
  <c r="AB34" i="50"/>
  <c r="AC34" i="50"/>
  <c r="F35" i="50"/>
  <c r="G35" i="50"/>
  <c r="H35" i="50"/>
  <c r="I35" i="50"/>
  <c r="J35" i="50"/>
  <c r="K35" i="50"/>
  <c r="L35" i="50"/>
  <c r="M35" i="50"/>
  <c r="N35" i="50"/>
  <c r="O35" i="50"/>
  <c r="P35" i="50"/>
  <c r="Q35" i="50"/>
  <c r="R35" i="50"/>
  <c r="S35" i="50"/>
  <c r="T35" i="50"/>
  <c r="U35" i="50"/>
  <c r="V35" i="50"/>
  <c r="W35" i="50"/>
  <c r="X35" i="50"/>
  <c r="Y35" i="50"/>
  <c r="Z35" i="50"/>
  <c r="AA35" i="50"/>
  <c r="AB35" i="50"/>
  <c r="AC35" i="50"/>
  <c r="F36" i="50"/>
  <c r="G36" i="50"/>
  <c r="H36" i="50"/>
  <c r="I36" i="50"/>
  <c r="J36" i="50"/>
  <c r="K36" i="50"/>
  <c r="L36" i="50"/>
  <c r="M36" i="50"/>
  <c r="N36" i="50"/>
  <c r="O36" i="50"/>
  <c r="P36" i="50"/>
  <c r="Q36" i="50"/>
  <c r="R36" i="50"/>
  <c r="S36" i="50"/>
  <c r="T36" i="50"/>
  <c r="U36" i="50"/>
  <c r="V36" i="50"/>
  <c r="W36" i="50"/>
  <c r="X36" i="50"/>
  <c r="Y36" i="50"/>
  <c r="Z36" i="50"/>
  <c r="AA36" i="50"/>
  <c r="AB36" i="50"/>
  <c r="AC36" i="50"/>
  <c r="F37" i="50"/>
  <c r="G37" i="50"/>
  <c r="H37" i="50"/>
  <c r="I37" i="50"/>
  <c r="J37" i="50"/>
  <c r="K37" i="50"/>
  <c r="L37" i="50"/>
  <c r="M37" i="50"/>
  <c r="N37" i="50"/>
  <c r="O37" i="50"/>
  <c r="P37" i="50"/>
  <c r="Q37" i="50"/>
  <c r="R37" i="50"/>
  <c r="S37" i="50"/>
  <c r="T37" i="50"/>
  <c r="U37" i="50"/>
  <c r="V37" i="50"/>
  <c r="W37" i="50"/>
  <c r="X37" i="50"/>
  <c r="Y37" i="50"/>
  <c r="Z37" i="50"/>
  <c r="AA37" i="50"/>
  <c r="AB37" i="50"/>
  <c r="AC37" i="50"/>
  <c r="F38" i="50"/>
  <c r="G38" i="50"/>
  <c r="H38" i="50"/>
  <c r="I38" i="50"/>
  <c r="J38" i="50"/>
  <c r="K38" i="50"/>
  <c r="L38" i="50"/>
  <c r="M38" i="50"/>
  <c r="N38" i="50"/>
  <c r="O38" i="50"/>
  <c r="P38" i="50"/>
  <c r="Q38" i="50"/>
  <c r="R38" i="50"/>
  <c r="S38" i="50"/>
  <c r="T38" i="50"/>
  <c r="U38" i="50"/>
  <c r="V38" i="50"/>
  <c r="W38" i="50"/>
  <c r="X38" i="50"/>
  <c r="Y38" i="50"/>
  <c r="Z38" i="50"/>
  <c r="AA38" i="50"/>
  <c r="AB38" i="50"/>
  <c r="AC38" i="50"/>
  <c r="F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X39" i="50"/>
  <c r="Y39" i="50"/>
  <c r="Z39" i="50"/>
  <c r="AA39" i="50"/>
  <c r="AB39" i="50"/>
  <c r="AC39" i="50"/>
  <c r="F40" i="50"/>
  <c r="G40" i="50"/>
  <c r="H40" i="50"/>
  <c r="I40" i="50"/>
  <c r="J40" i="50"/>
  <c r="K40" i="50"/>
  <c r="L40" i="50"/>
  <c r="M40" i="50"/>
  <c r="N40" i="50"/>
  <c r="O40" i="50"/>
  <c r="P40" i="50"/>
  <c r="Q40" i="50"/>
  <c r="R40" i="50"/>
  <c r="S40" i="50"/>
  <c r="T40" i="50"/>
  <c r="U40" i="50"/>
  <c r="V40" i="50"/>
  <c r="W40" i="50"/>
  <c r="X40" i="50"/>
  <c r="Y40" i="50"/>
  <c r="Z40" i="50"/>
  <c r="AA40" i="50"/>
  <c r="AB40" i="50"/>
  <c r="AC40" i="50"/>
  <c r="F41" i="50"/>
  <c r="G41" i="50"/>
  <c r="H41" i="50"/>
  <c r="I41" i="50"/>
  <c r="J41" i="50"/>
  <c r="K41" i="50"/>
  <c r="L41" i="50"/>
  <c r="M41" i="50"/>
  <c r="N41" i="50"/>
  <c r="O41" i="50"/>
  <c r="P41" i="50"/>
  <c r="Q41" i="50"/>
  <c r="R41" i="50"/>
  <c r="S41" i="50"/>
  <c r="T41" i="50"/>
  <c r="U41" i="50"/>
  <c r="V41" i="50"/>
  <c r="W41" i="50"/>
  <c r="X41" i="50"/>
  <c r="Y41" i="50"/>
  <c r="Z41" i="50"/>
  <c r="AA41" i="50"/>
  <c r="AB41" i="50"/>
  <c r="AC41" i="50"/>
  <c r="F42" i="50"/>
  <c r="G42" i="50"/>
  <c r="H42" i="50"/>
  <c r="I42" i="50"/>
  <c r="J42" i="50"/>
  <c r="K42" i="50"/>
  <c r="L42" i="50"/>
  <c r="M42" i="50"/>
  <c r="N42" i="50"/>
  <c r="O42" i="50"/>
  <c r="P42" i="50"/>
  <c r="Q42" i="50"/>
  <c r="R42" i="50"/>
  <c r="S42" i="50"/>
  <c r="T42" i="50"/>
  <c r="U42" i="50"/>
  <c r="V42" i="50"/>
  <c r="W42" i="50"/>
  <c r="X42" i="50"/>
  <c r="Y42" i="50"/>
  <c r="Z42" i="50"/>
  <c r="AA42" i="50"/>
  <c r="AB42" i="50"/>
  <c r="AC42" i="50"/>
  <c r="F43" i="50"/>
  <c r="G43" i="50"/>
  <c r="H43" i="50"/>
  <c r="I43" i="50"/>
  <c r="J43" i="50"/>
  <c r="K43" i="50"/>
  <c r="L43" i="50"/>
  <c r="M43" i="50"/>
  <c r="N43" i="50"/>
  <c r="O43" i="50"/>
  <c r="P43" i="50"/>
  <c r="Q43" i="50"/>
  <c r="R43" i="50"/>
  <c r="S43" i="50"/>
  <c r="T43" i="50"/>
  <c r="U43" i="50"/>
  <c r="V43" i="50"/>
  <c r="W43" i="50"/>
  <c r="X43" i="50"/>
  <c r="Y43" i="50"/>
  <c r="Z43" i="50"/>
  <c r="AA43" i="50"/>
  <c r="AB43" i="50"/>
  <c r="AC43" i="50"/>
  <c r="F44" i="50"/>
  <c r="G44" i="50"/>
  <c r="H44" i="50"/>
  <c r="I44" i="50"/>
  <c r="J44" i="50"/>
  <c r="K44" i="50"/>
  <c r="L44" i="50"/>
  <c r="M44" i="50"/>
  <c r="N44" i="50"/>
  <c r="O44" i="50"/>
  <c r="P44" i="50"/>
  <c r="Q44" i="50"/>
  <c r="R44" i="50"/>
  <c r="S44" i="50"/>
  <c r="T44" i="50"/>
  <c r="U44" i="50"/>
  <c r="V44" i="50"/>
  <c r="W44" i="50"/>
  <c r="X44" i="50"/>
  <c r="Y44" i="50"/>
  <c r="Z44" i="50"/>
  <c r="AA44" i="50"/>
  <c r="AB44" i="50"/>
  <c r="AC44" i="50"/>
  <c r="F45" i="50"/>
  <c r="G45" i="50"/>
  <c r="H45" i="50"/>
  <c r="I45" i="50"/>
  <c r="J45" i="50"/>
  <c r="K45" i="50"/>
  <c r="L45" i="50"/>
  <c r="M45" i="50"/>
  <c r="N45" i="50"/>
  <c r="O45" i="50"/>
  <c r="P45" i="50"/>
  <c r="Q45" i="50"/>
  <c r="R45" i="50"/>
  <c r="S45" i="50"/>
  <c r="T45" i="50"/>
  <c r="U45" i="50"/>
  <c r="V45" i="50"/>
  <c r="W45" i="50"/>
  <c r="X45" i="50"/>
  <c r="Y45" i="50"/>
  <c r="Z45" i="50"/>
  <c r="AA45" i="50"/>
  <c r="AB45" i="50"/>
  <c r="AC45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S46" i="50"/>
  <c r="T46" i="50"/>
  <c r="U46" i="50"/>
  <c r="V46" i="50"/>
  <c r="W46" i="50"/>
  <c r="X46" i="50"/>
  <c r="Y46" i="50"/>
  <c r="Z46" i="50"/>
  <c r="AA46" i="50"/>
  <c r="AB46" i="50"/>
  <c r="AC46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S47" i="50"/>
  <c r="T47" i="50"/>
  <c r="U47" i="50"/>
  <c r="V47" i="50"/>
  <c r="W47" i="50"/>
  <c r="X47" i="50"/>
  <c r="Y47" i="50"/>
  <c r="Z47" i="50"/>
  <c r="AA47" i="50"/>
  <c r="AB47" i="50"/>
  <c r="AC47" i="50"/>
  <c r="F48" i="50"/>
  <c r="G48" i="50"/>
  <c r="H48" i="50"/>
  <c r="I48" i="50"/>
  <c r="J48" i="50"/>
  <c r="K48" i="50"/>
  <c r="L48" i="50"/>
  <c r="M48" i="50"/>
  <c r="N48" i="50"/>
  <c r="O48" i="50"/>
  <c r="P48" i="50"/>
  <c r="Q48" i="50"/>
  <c r="R48" i="50"/>
  <c r="S48" i="50"/>
  <c r="T48" i="50"/>
  <c r="U48" i="50"/>
  <c r="V48" i="50"/>
  <c r="W48" i="50"/>
  <c r="X48" i="50"/>
  <c r="Y48" i="50"/>
  <c r="Z48" i="50"/>
  <c r="AA48" i="50"/>
  <c r="AB48" i="50"/>
  <c r="AC48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R49" i="50"/>
  <c r="S49" i="50"/>
  <c r="T49" i="50"/>
  <c r="U49" i="50"/>
  <c r="V49" i="50"/>
  <c r="W49" i="50"/>
  <c r="X49" i="50"/>
  <c r="Y49" i="50"/>
  <c r="Z49" i="50"/>
  <c r="AA49" i="50"/>
  <c r="AB49" i="50"/>
  <c r="AC49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S50" i="50"/>
  <c r="T50" i="50"/>
  <c r="U50" i="50"/>
  <c r="V50" i="50"/>
  <c r="W50" i="50"/>
  <c r="X50" i="50"/>
  <c r="Y50" i="50"/>
  <c r="Z50" i="50"/>
  <c r="AA50" i="50"/>
  <c r="AB50" i="50"/>
  <c r="AC50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S51" i="50"/>
  <c r="T51" i="50"/>
  <c r="U51" i="50"/>
  <c r="V51" i="50"/>
  <c r="W51" i="50"/>
  <c r="X51" i="50"/>
  <c r="Y51" i="50"/>
  <c r="Z51" i="50"/>
  <c r="AA51" i="50"/>
  <c r="AB51" i="50"/>
  <c r="AC51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S52" i="50"/>
  <c r="T52" i="50"/>
  <c r="U52" i="50"/>
  <c r="V52" i="50"/>
  <c r="W52" i="50"/>
  <c r="X52" i="50"/>
  <c r="Y52" i="50"/>
  <c r="Z52" i="50"/>
  <c r="AA52" i="50"/>
  <c r="AB52" i="50"/>
  <c r="AC52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S53" i="50"/>
  <c r="T53" i="50"/>
  <c r="U53" i="50"/>
  <c r="V53" i="50"/>
  <c r="W53" i="50"/>
  <c r="X53" i="50"/>
  <c r="Y53" i="50"/>
  <c r="Z53" i="50"/>
  <c r="AA53" i="50"/>
  <c r="AB53" i="50"/>
  <c r="AC53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R54" i="50"/>
  <c r="S54" i="50"/>
  <c r="T54" i="50"/>
  <c r="U54" i="50"/>
  <c r="V54" i="50"/>
  <c r="W54" i="50"/>
  <c r="X54" i="50"/>
  <c r="Y54" i="50"/>
  <c r="Z54" i="50"/>
  <c r="AA54" i="50"/>
  <c r="AB54" i="50"/>
  <c r="AC54" i="50"/>
  <c r="G7" i="50"/>
  <c r="H7" i="50"/>
  <c r="I7" i="50"/>
  <c r="J7" i="50"/>
  <c r="K7" i="50"/>
  <c r="L7" i="50"/>
  <c r="M7" i="50"/>
  <c r="N7" i="50"/>
  <c r="O7" i="50"/>
  <c r="P7" i="50"/>
  <c r="Q7" i="50"/>
  <c r="R7" i="50"/>
  <c r="S7" i="50"/>
  <c r="T7" i="50"/>
  <c r="U7" i="50"/>
  <c r="V7" i="50"/>
  <c r="W7" i="50"/>
  <c r="X7" i="50"/>
  <c r="Y7" i="50"/>
  <c r="Z7" i="50"/>
  <c r="AA7" i="50"/>
  <c r="AB7" i="50"/>
  <c r="AC7" i="50"/>
  <c r="F7" i="50"/>
  <c r="AG47" i="50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F9" i="49"/>
  <c r="G9" i="49"/>
  <c r="H9" i="49"/>
  <c r="I9" i="49"/>
  <c r="J9" i="49"/>
  <c r="K9" i="49"/>
  <c r="L9" i="49"/>
  <c r="M9" i="49"/>
  <c r="N9" i="49"/>
  <c r="O9" i="49"/>
  <c r="P9" i="49"/>
  <c r="Q9" i="49"/>
  <c r="R9" i="49"/>
  <c r="S9" i="49"/>
  <c r="T9" i="49"/>
  <c r="U9" i="49"/>
  <c r="V9" i="49"/>
  <c r="W9" i="49"/>
  <c r="X9" i="49"/>
  <c r="Y9" i="49"/>
  <c r="Z9" i="49"/>
  <c r="AA9" i="49"/>
  <c r="AB9" i="49"/>
  <c r="AC9" i="49"/>
  <c r="F10" i="49"/>
  <c r="G10" i="49"/>
  <c r="H10" i="49"/>
  <c r="I10" i="49"/>
  <c r="J10" i="49"/>
  <c r="K10" i="49"/>
  <c r="L10" i="49"/>
  <c r="M10" i="49"/>
  <c r="N10" i="49"/>
  <c r="O10" i="49"/>
  <c r="P10" i="49"/>
  <c r="Q10" i="49"/>
  <c r="R10" i="49"/>
  <c r="S10" i="49"/>
  <c r="T10" i="49"/>
  <c r="U10" i="49"/>
  <c r="V10" i="49"/>
  <c r="W10" i="49"/>
  <c r="X10" i="49"/>
  <c r="Y10" i="49"/>
  <c r="Z10" i="49"/>
  <c r="AA10" i="49"/>
  <c r="AB10" i="49"/>
  <c r="AC10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W11" i="49"/>
  <c r="X11" i="49"/>
  <c r="Y11" i="49"/>
  <c r="Z11" i="49"/>
  <c r="AA11" i="49"/>
  <c r="AB11" i="49"/>
  <c r="AC11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U12" i="49"/>
  <c r="V12" i="49"/>
  <c r="W12" i="49"/>
  <c r="X12" i="49"/>
  <c r="Y12" i="49"/>
  <c r="Z12" i="49"/>
  <c r="AA12" i="49"/>
  <c r="AB12" i="49"/>
  <c r="AC12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U13" i="49"/>
  <c r="V13" i="49"/>
  <c r="W13" i="49"/>
  <c r="X13" i="49"/>
  <c r="Y13" i="49"/>
  <c r="Z13" i="49"/>
  <c r="AA13" i="49"/>
  <c r="AB13" i="49"/>
  <c r="AC13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U14" i="49"/>
  <c r="V14" i="49"/>
  <c r="W14" i="49"/>
  <c r="X14" i="49"/>
  <c r="Y14" i="49"/>
  <c r="Z14" i="49"/>
  <c r="AA14" i="49"/>
  <c r="AB14" i="49"/>
  <c r="AC14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W15" i="49"/>
  <c r="X15" i="49"/>
  <c r="Y15" i="49"/>
  <c r="Z15" i="49"/>
  <c r="AA15" i="49"/>
  <c r="AB15" i="49"/>
  <c r="AC15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U16" i="49"/>
  <c r="V16" i="49"/>
  <c r="W16" i="49"/>
  <c r="X16" i="49"/>
  <c r="Y16" i="49"/>
  <c r="Z16" i="49"/>
  <c r="AA16" i="49"/>
  <c r="AB16" i="49"/>
  <c r="AC16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AA17" i="49"/>
  <c r="AB17" i="49"/>
  <c r="AC17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/>
  <c r="X18" i="49"/>
  <c r="Y18" i="49"/>
  <c r="Z18" i="49"/>
  <c r="AA18" i="49"/>
  <c r="AB18" i="49"/>
  <c r="AC18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U19" i="49"/>
  <c r="V19" i="49"/>
  <c r="W19" i="49"/>
  <c r="X19" i="49"/>
  <c r="Y19" i="49"/>
  <c r="Z19" i="49"/>
  <c r="AA19" i="49"/>
  <c r="AB19" i="49"/>
  <c r="AC19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U20" i="49"/>
  <c r="V20" i="49"/>
  <c r="W20" i="49"/>
  <c r="X20" i="49"/>
  <c r="Y20" i="49"/>
  <c r="Z20" i="49"/>
  <c r="AA20" i="49"/>
  <c r="AB20" i="49"/>
  <c r="AC20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U21" i="49"/>
  <c r="V21" i="49"/>
  <c r="W21" i="49"/>
  <c r="X21" i="49"/>
  <c r="Y21" i="49"/>
  <c r="Z21" i="49"/>
  <c r="AA21" i="49"/>
  <c r="AB21" i="49"/>
  <c r="AC21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U22" i="49"/>
  <c r="V22" i="49"/>
  <c r="W22" i="49"/>
  <c r="X22" i="49"/>
  <c r="Y22" i="49"/>
  <c r="Z22" i="49"/>
  <c r="AA22" i="49"/>
  <c r="AB22" i="49"/>
  <c r="AC22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AA23" i="49"/>
  <c r="AB23" i="49"/>
  <c r="AC23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U24" i="49"/>
  <c r="V24" i="49"/>
  <c r="W24" i="49"/>
  <c r="X24" i="49"/>
  <c r="Y24" i="49"/>
  <c r="Z24" i="49"/>
  <c r="AA24" i="49"/>
  <c r="AB24" i="49"/>
  <c r="AC24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AA25" i="49"/>
  <c r="AB25" i="49"/>
  <c r="AC25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U26" i="49"/>
  <c r="V26" i="49"/>
  <c r="W26" i="49"/>
  <c r="X26" i="49"/>
  <c r="Y26" i="49"/>
  <c r="Z26" i="49"/>
  <c r="AA26" i="49"/>
  <c r="AB26" i="49"/>
  <c r="AC26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AA27" i="49"/>
  <c r="AB27" i="49"/>
  <c r="AC27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U28" i="49"/>
  <c r="V28" i="49"/>
  <c r="W28" i="49"/>
  <c r="X28" i="49"/>
  <c r="Y28" i="49"/>
  <c r="Z28" i="49"/>
  <c r="AA28" i="49"/>
  <c r="AB28" i="49"/>
  <c r="AC28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U29" i="49"/>
  <c r="V29" i="49"/>
  <c r="W29" i="49"/>
  <c r="X29" i="49"/>
  <c r="Y29" i="49"/>
  <c r="Z29" i="49"/>
  <c r="AA29" i="49"/>
  <c r="AB29" i="49"/>
  <c r="AC29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U30" i="49"/>
  <c r="V30" i="49"/>
  <c r="W30" i="49"/>
  <c r="X30" i="49"/>
  <c r="Y30" i="49"/>
  <c r="Z30" i="49"/>
  <c r="AA30" i="49"/>
  <c r="AB30" i="49"/>
  <c r="AC30" i="49"/>
  <c r="F31" i="49"/>
  <c r="G31" i="49"/>
  <c r="H31" i="49"/>
  <c r="I31" i="49"/>
  <c r="J31" i="49"/>
  <c r="K31" i="49"/>
  <c r="L31" i="49"/>
  <c r="M31" i="49"/>
  <c r="N31" i="49"/>
  <c r="O31" i="49"/>
  <c r="P31" i="49"/>
  <c r="Q31" i="49"/>
  <c r="R31" i="49"/>
  <c r="S31" i="49"/>
  <c r="T31" i="49"/>
  <c r="U31" i="49"/>
  <c r="V31" i="49"/>
  <c r="W31" i="49"/>
  <c r="X31" i="49"/>
  <c r="Y31" i="49"/>
  <c r="Z31" i="49"/>
  <c r="AA31" i="49"/>
  <c r="AB31" i="49"/>
  <c r="AC31" i="49"/>
  <c r="F32" i="49"/>
  <c r="G32" i="49"/>
  <c r="H32" i="49"/>
  <c r="I32" i="49"/>
  <c r="J32" i="49"/>
  <c r="K32" i="49"/>
  <c r="L32" i="49"/>
  <c r="M32" i="49"/>
  <c r="N32" i="49"/>
  <c r="O32" i="49"/>
  <c r="P32" i="49"/>
  <c r="Q32" i="49"/>
  <c r="R32" i="49"/>
  <c r="S32" i="49"/>
  <c r="T32" i="49"/>
  <c r="U32" i="49"/>
  <c r="V32" i="49"/>
  <c r="W32" i="49"/>
  <c r="X32" i="49"/>
  <c r="Y32" i="49"/>
  <c r="Z32" i="49"/>
  <c r="AA32" i="49"/>
  <c r="AB32" i="49"/>
  <c r="AC32" i="49"/>
  <c r="F33" i="49"/>
  <c r="G33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AA33" i="49"/>
  <c r="AB33" i="49"/>
  <c r="AC33" i="49"/>
  <c r="F34" i="49"/>
  <c r="G34" i="49"/>
  <c r="H34" i="49"/>
  <c r="I34" i="49"/>
  <c r="J34" i="49"/>
  <c r="K34" i="49"/>
  <c r="L34" i="49"/>
  <c r="M34" i="49"/>
  <c r="N34" i="49"/>
  <c r="O34" i="49"/>
  <c r="P34" i="49"/>
  <c r="Q34" i="49"/>
  <c r="R34" i="49"/>
  <c r="S34" i="49"/>
  <c r="T34" i="49"/>
  <c r="U34" i="49"/>
  <c r="V34" i="49"/>
  <c r="W34" i="49"/>
  <c r="X34" i="49"/>
  <c r="Y34" i="49"/>
  <c r="Z34" i="49"/>
  <c r="AA34" i="49"/>
  <c r="AB34" i="49"/>
  <c r="AC34" i="49"/>
  <c r="F35" i="49"/>
  <c r="G35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V35" i="49"/>
  <c r="W35" i="49"/>
  <c r="X35" i="49"/>
  <c r="Y35" i="49"/>
  <c r="Z35" i="49"/>
  <c r="AA35" i="49"/>
  <c r="AB35" i="49"/>
  <c r="AC35" i="49"/>
  <c r="F36" i="49"/>
  <c r="G36" i="49"/>
  <c r="H36" i="49"/>
  <c r="I36" i="49"/>
  <c r="J36" i="49"/>
  <c r="K36" i="49"/>
  <c r="L36" i="49"/>
  <c r="M36" i="49"/>
  <c r="N36" i="49"/>
  <c r="O36" i="49"/>
  <c r="P36" i="49"/>
  <c r="Q36" i="49"/>
  <c r="R36" i="49"/>
  <c r="S36" i="49"/>
  <c r="T36" i="49"/>
  <c r="U36" i="49"/>
  <c r="V36" i="49"/>
  <c r="W36" i="49"/>
  <c r="X36" i="49"/>
  <c r="Y36" i="49"/>
  <c r="Z36" i="49"/>
  <c r="AA36" i="49"/>
  <c r="AB36" i="49"/>
  <c r="AC36" i="49"/>
  <c r="F37" i="49"/>
  <c r="G37" i="49"/>
  <c r="H37" i="49"/>
  <c r="I37" i="49"/>
  <c r="J37" i="49"/>
  <c r="K37" i="49"/>
  <c r="L37" i="49"/>
  <c r="M37" i="49"/>
  <c r="N37" i="49"/>
  <c r="O37" i="49"/>
  <c r="P37" i="49"/>
  <c r="Q37" i="49"/>
  <c r="R37" i="49"/>
  <c r="S37" i="49"/>
  <c r="T37" i="49"/>
  <c r="U37" i="49"/>
  <c r="V37" i="49"/>
  <c r="W37" i="49"/>
  <c r="X37" i="49"/>
  <c r="Y37" i="49"/>
  <c r="Z37" i="49"/>
  <c r="AA37" i="49"/>
  <c r="AB37" i="49"/>
  <c r="AC37" i="49"/>
  <c r="F38" i="49"/>
  <c r="G38" i="49"/>
  <c r="H38" i="49"/>
  <c r="I38" i="49"/>
  <c r="J38" i="49"/>
  <c r="K38" i="49"/>
  <c r="L38" i="49"/>
  <c r="M38" i="49"/>
  <c r="N38" i="49"/>
  <c r="O38" i="49"/>
  <c r="P38" i="49"/>
  <c r="Q38" i="49"/>
  <c r="R38" i="49"/>
  <c r="S38" i="49"/>
  <c r="T38" i="49"/>
  <c r="U38" i="49"/>
  <c r="V38" i="49"/>
  <c r="W38" i="49"/>
  <c r="X38" i="49"/>
  <c r="Y38" i="49"/>
  <c r="Z38" i="49"/>
  <c r="AA38" i="49"/>
  <c r="AB38" i="49"/>
  <c r="AC38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AA39" i="49"/>
  <c r="AB39" i="49"/>
  <c r="AC39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U40" i="49"/>
  <c r="V40" i="49"/>
  <c r="W40" i="49"/>
  <c r="X40" i="49"/>
  <c r="Y40" i="49"/>
  <c r="Z40" i="49"/>
  <c r="AA40" i="49"/>
  <c r="AB40" i="49"/>
  <c r="AC40" i="49"/>
  <c r="F41" i="49"/>
  <c r="G41" i="49"/>
  <c r="H41" i="49"/>
  <c r="I41" i="49"/>
  <c r="J41" i="49"/>
  <c r="K41" i="49"/>
  <c r="L41" i="49"/>
  <c r="M41" i="49"/>
  <c r="N41" i="49"/>
  <c r="O41" i="49"/>
  <c r="P41" i="49"/>
  <c r="Q41" i="49"/>
  <c r="R41" i="49"/>
  <c r="S41" i="49"/>
  <c r="T41" i="49"/>
  <c r="U41" i="49"/>
  <c r="V41" i="49"/>
  <c r="W41" i="49"/>
  <c r="X41" i="49"/>
  <c r="Y41" i="49"/>
  <c r="Z41" i="49"/>
  <c r="AA41" i="49"/>
  <c r="AB41" i="49"/>
  <c r="AC41" i="49"/>
  <c r="F42" i="49"/>
  <c r="G42" i="49"/>
  <c r="H42" i="49"/>
  <c r="I42" i="49"/>
  <c r="J42" i="49"/>
  <c r="K42" i="49"/>
  <c r="L42" i="49"/>
  <c r="M42" i="49"/>
  <c r="N42" i="49"/>
  <c r="O42" i="49"/>
  <c r="P42" i="49"/>
  <c r="Q42" i="49"/>
  <c r="R42" i="49"/>
  <c r="S42" i="49"/>
  <c r="T42" i="49"/>
  <c r="U42" i="49"/>
  <c r="V42" i="49"/>
  <c r="W42" i="49"/>
  <c r="X42" i="49"/>
  <c r="Y42" i="49"/>
  <c r="Z42" i="49"/>
  <c r="AA42" i="49"/>
  <c r="AB42" i="49"/>
  <c r="AC42" i="49"/>
  <c r="F43" i="49"/>
  <c r="G43" i="49"/>
  <c r="H43" i="49"/>
  <c r="I43" i="49"/>
  <c r="J43" i="49"/>
  <c r="K43" i="49"/>
  <c r="L43" i="49"/>
  <c r="M43" i="49"/>
  <c r="N43" i="49"/>
  <c r="O43" i="49"/>
  <c r="P43" i="49"/>
  <c r="Q43" i="49"/>
  <c r="R43" i="49"/>
  <c r="S43" i="49"/>
  <c r="T43" i="49"/>
  <c r="U43" i="49"/>
  <c r="V43" i="49"/>
  <c r="W43" i="49"/>
  <c r="X43" i="49"/>
  <c r="Y43" i="49"/>
  <c r="Z43" i="49"/>
  <c r="AA43" i="49"/>
  <c r="AB43" i="49"/>
  <c r="AC43" i="49"/>
  <c r="F44" i="49"/>
  <c r="G44" i="49"/>
  <c r="H44" i="49"/>
  <c r="I44" i="49"/>
  <c r="J44" i="49"/>
  <c r="K44" i="49"/>
  <c r="L44" i="49"/>
  <c r="M44" i="49"/>
  <c r="N44" i="49"/>
  <c r="O44" i="49"/>
  <c r="P44" i="49"/>
  <c r="Q44" i="49"/>
  <c r="R44" i="49"/>
  <c r="S44" i="49"/>
  <c r="T44" i="49"/>
  <c r="U44" i="49"/>
  <c r="V44" i="49"/>
  <c r="W44" i="49"/>
  <c r="X44" i="49"/>
  <c r="Y44" i="49"/>
  <c r="Z44" i="49"/>
  <c r="AA44" i="49"/>
  <c r="AB44" i="49"/>
  <c r="AC44" i="49"/>
  <c r="F45" i="49"/>
  <c r="G45" i="49"/>
  <c r="H45" i="49"/>
  <c r="I45" i="49"/>
  <c r="J45" i="49"/>
  <c r="K45" i="49"/>
  <c r="L45" i="49"/>
  <c r="M45" i="49"/>
  <c r="N45" i="49"/>
  <c r="O45" i="49"/>
  <c r="P45" i="49"/>
  <c r="Q45" i="49"/>
  <c r="R45" i="49"/>
  <c r="S45" i="49"/>
  <c r="T45" i="49"/>
  <c r="U45" i="49"/>
  <c r="V45" i="49"/>
  <c r="W45" i="49"/>
  <c r="X45" i="49"/>
  <c r="Y45" i="49"/>
  <c r="Z45" i="49"/>
  <c r="AA45" i="49"/>
  <c r="AB45" i="49"/>
  <c r="AC45" i="49"/>
  <c r="F46" i="49"/>
  <c r="G46" i="49"/>
  <c r="H46" i="49"/>
  <c r="I46" i="49"/>
  <c r="J46" i="49"/>
  <c r="K46" i="49"/>
  <c r="L46" i="49"/>
  <c r="M46" i="49"/>
  <c r="N46" i="49"/>
  <c r="O46" i="49"/>
  <c r="P46" i="49"/>
  <c r="Q46" i="49"/>
  <c r="R46" i="49"/>
  <c r="S46" i="49"/>
  <c r="T46" i="49"/>
  <c r="U46" i="49"/>
  <c r="V46" i="49"/>
  <c r="W46" i="49"/>
  <c r="X46" i="49"/>
  <c r="Y46" i="49"/>
  <c r="Z46" i="49"/>
  <c r="AA46" i="49"/>
  <c r="AB46" i="49"/>
  <c r="AC46" i="49"/>
  <c r="F47" i="49"/>
  <c r="G47" i="49"/>
  <c r="H47" i="49"/>
  <c r="I47" i="49"/>
  <c r="J47" i="49"/>
  <c r="K47" i="49"/>
  <c r="L47" i="49"/>
  <c r="M47" i="49"/>
  <c r="N47" i="49"/>
  <c r="O47" i="49"/>
  <c r="P47" i="49"/>
  <c r="Q47" i="49"/>
  <c r="R47" i="49"/>
  <c r="S47" i="49"/>
  <c r="T47" i="49"/>
  <c r="U47" i="49"/>
  <c r="V47" i="49"/>
  <c r="W47" i="49"/>
  <c r="X47" i="49"/>
  <c r="Y47" i="49"/>
  <c r="Z47" i="49"/>
  <c r="AA47" i="49"/>
  <c r="AB47" i="49"/>
  <c r="AC47" i="49"/>
  <c r="F48" i="49"/>
  <c r="G48" i="49"/>
  <c r="H48" i="49"/>
  <c r="I48" i="49"/>
  <c r="J48" i="49"/>
  <c r="K48" i="49"/>
  <c r="L48" i="49"/>
  <c r="M48" i="49"/>
  <c r="N48" i="49"/>
  <c r="O48" i="49"/>
  <c r="P48" i="49"/>
  <c r="Q48" i="49"/>
  <c r="R48" i="49"/>
  <c r="S48" i="49"/>
  <c r="T48" i="49"/>
  <c r="U48" i="49"/>
  <c r="V48" i="49"/>
  <c r="W48" i="49"/>
  <c r="X48" i="49"/>
  <c r="Y48" i="49"/>
  <c r="Z48" i="49"/>
  <c r="AA48" i="49"/>
  <c r="AB48" i="49"/>
  <c r="AC48" i="49"/>
  <c r="F49" i="49"/>
  <c r="G49" i="49"/>
  <c r="H49" i="49"/>
  <c r="I49" i="49"/>
  <c r="J49" i="49"/>
  <c r="K49" i="49"/>
  <c r="L49" i="49"/>
  <c r="M49" i="49"/>
  <c r="N49" i="49"/>
  <c r="O49" i="49"/>
  <c r="P49" i="49"/>
  <c r="Q49" i="49"/>
  <c r="R49" i="49"/>
  <c r="S49" i="49"/>
  <c r="T49" i="49"/>
  <c r="U49" i="49"/>
  <c r="V49" i="49"/>
  <c r="W49" i="49"/>
  <c r="X49" i="49"/>
  <c r="Y49" i="49"/>
  <c r="Z49" i="49"/>
  <c r="AA49" i="49"/>
  <c r="AB49" i="49"/>
  <c r="AC49" i="49"/>
  <c r="F50" i="49"/>
  <c r="G50" i="49"/>
  <c r="H50" i="49"/>
  <c r="I50" i="49"/>
  <c r="J50" i="49"/>
  <c r="K50" i="49"/>
  <c r="L50" i="49"/>
  <c r="M50" i="49"/>
  <c r="N50" i="49"/>
  <c r="O50" i="49"/>
  <c r="P50" i="49"/>
  <c r="Q50" i="49"/>
  <c r="R50" i="49"/>
  <c r="S50" i="49"/>
  <c r="T50" i="49"/>
  <c r="U50" i="49"/>
  <c r="V50" i="49"/>
  <c r="W50" i="49"/>
  <c r="X50" i="49"/>
  <c r="Y50" i="49"/>
  <c r="Z50" i="49"/>
  <c r="AA50" i="49"/>
  <c r="AB50" i="49"/>
  <c r="AC50" i="49"/>
  <c r="F51" i="49"/>
  <c r="G51" i="49"/>
  <c r="H51" i="49"/>
  <c r="I51" i="49"/>
  <c r="J51" i="49"/>
  <c r="K51" i="49"/>
  <c r="L51" i="49"/>
  <c r="M51" i="49"/>
  <c r="N51" i="49"/>
  <c r="O51" i="49"/>
  <c r="P51" i="49"/>
  <c r="Q51" i="49"/>
  <c r="R51" i="49"/>
  <c r="S51" i="49"/>
  <c r="T51" i="49"/>
  <c r="U51" i="49"/>
  <c r="V51" i="49"/>
  <c r="W51" i="49"/>
  <c r="X51" i="49"/>
  <c r="Y51" i="49"/>
  <c r="Z51" i="49"/>
  <c r="AA51" i="49"/>
  <c r="AB51" i="49"/>
  <c r="AC51" i="49"/>
  <c r="F52" i="49"/>
  <c r="G52" i="49"/>
  <c r="H52" i="49"/>
  <c r="I52" i="49"/>
  <c r="J52" i="49"/>
  <c r="K52" i="49"/>
  <c r="L52" i="49"/>
  <c r="M52" i="49"/>
  <c r="N52" i="49"/>
  <c r="O52" i="49"/>
  <c r="P52" i="49"/>
  <c r="Q52" i="49"/>
  <c r="R52" i="49"/>
  <c r="S52" i="49"/>
  <c r="T52" i="49"/>
  <c r="U52" i="49"/>
  <c r="V52" i="49"/>
  <c r="W52" i="49"/>
  <c r="X52" i="49"/>
  <c r="Y52" i="49"/>
  <c r="Z52" i="49"/>
  <c r="AA52" i="49"/>
  <c r="AB52" i="49"/>
  <c r="AC52" i="49"/>
  <c r="F53" i="49"/>
  <c r="G53" i="49"/>
  <c r="H53" i="49"/>
  <c r="I53" i="49"/>
  <c r="J53" i="49"/>
  <c r="K53" i="49"/>
  <c r="L53" i="49"/>
  <c r="M53" i="49"/>
  <c r="N53" i="49"/>
  <c r="O53" i="49"/>
  <c r="P53" i="49"/>
  <c r="Q53" i="49"/>
  <c r="R53" i="49"/>
  <c r="S53" i="49"/>
  <c r="T53" i="49"/>
  <c r="U53" i="49"/>
  <c r="V53" i="49"/>
  <c r="W53" i="49"/>
  <c r="X53" i="49"/>
  <c r="Y53" i="49"/>
  <c r="Z53" i="49"/>
  <c r="AA53" i="49"/>
  <c r="AB53" i="49"/>
  <c r="AC53" i="49"/>
  <c r="F54" i="49"/>
  <c r="G54" i="49"/>
  <c r="H54" i="49"/>
  <c r="I54" i="49"/>
  <c r="J54" i="49"/>
  <c r="K54" i="49"/>
  <c r="L54" i="49"/>
  <c r="M54" i="49"/>
  <c r="N54" i="49"/>
  <c r="O54" i="49"/>
  <c r="P54" i="49"/>
  <c r="Q54" i="49"/>
  <c r="R54" i="49"/>
  <c r="S54" i="49"/>
  <c r="T54" i="49"/>
  <c r="U54" i="49"/>
  <c r="V54" i="49"/>
  <c r="W54" i="49"/>
  <c r="X54" i="49"/>
  <c r="Y54" i="49"/>
  <c r="Z54" i="49"/>
  <c r="AA54" i="49"/>
  <c r="AB54" i="49"/>
  <c r="AC54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F7" i="49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AB8" i="48"/>
  <c r="AC8" i="48"/>
  <c r="F9" i="48"/>
  <c r="G9" i="48"/>
  <c r="H9" i="48"/>
  <c r="I9" i="48"/>
  <c r="J9" i="48"/>
  <c r="K9" i="48"/>
  <c r="L9" i="48"/>
  <c r="M9" i="48"/>
  <c r="N9" i="48"/>
  <c r="O9" i="48"/>
  <c r="P9" i="48"/>
  <c r="Q9" i="48"/>
  <c r="R9" i="48"/>
  <c r="S9" i="48"/>
  <c r="T9" i="48"/>
  <c r="U9" i="48"/>
  <c r="V9" i="48"/>
  <c r="W9" i="48"/>
  <c r="X9" i="48"/>
  <c r="Y9" i="48"/>
  <c r="Z9" i="48"/>
  <c r="AA9" i="48"/>
  <c r="AB9" i="48"/>
  <c r="AC9" i="48"/>
  <c r="F10" i="48"/>
  <c r="G10" i="48"/>
  <c r="H10" i="48"/>
  <c r="I10" i="48"/>
  <c r="J10" i="48"/>
  <c r="K10" i="48"/>
  <c r="L10" i="48"/>
  <c r="M10" i="48"/>
  <c r="N10" i="48"/>
  <c r="O10" i="48"/>
  <c r="P10" i="48"/>
  <c r="Q10" i="48"/>
  <c r="R10" i="48"/>
  <c r="S10" i="48"/>
  <c r="T10" i="48"/>
  <c r="U10" i="48"/>
  <c r="V10" i="48"/>
  <c r="W10" i="48"/>
  <c r="X10" i="48"/>
  <c r="Y10" i="48"/>
  <c r="Z10" i="48"/>
  <c r="AA10" i="48"/>
  <c r="AB10" i="48"/>
  <c r="AC10" i="48"/>
  <c r="F11" i="48"/>
  <c r="G11" i="48"/>
  <c r="H11" i="48"/>
  <c r="I11" i="48"/>
  <c r="J11" i="48"/>
  <c r="K11" i="48"/>
  <c r="L11" i="48"/>
  <c r="M11" i="48"/>
  <c r="N11" i="48"/>
  <c r="O11" i="48"/>
  <c r="P11" i="48"/>
  <c r="Q11" i="48"/>
  <c r="R11" i="48"/>
  <c r="S11" i="48"/>
  <c r="T11" i="48"/>
  <c r="U11" i="48"/>
  <c r="V11" i="48"/>
  <c r="W11" i="48"/>
  <c r="X11" i="48"/>
  <c r="Y11" i="48"/>
  <c r="Z11" i="48"/>
  <c r="AA11" i="48"/>
  <c r="AB11" i="48"/>
  <c r="AC11" i="48"/>
  <c r="F12" i="48"/>
  <c r="G12" i="48"/>
  <c r="H12" i="48"/>
  <c r="I12" i="48"/>
  <c r="J12" i="48"/>
  <c r="K12" i="48"/>
  <c r="L12" i="48"/>
  <c r="M12" i="48"/>
  <c r="N12" i="48"/>
  <c r="O12" i="48"/>
  <c r="P12" i="48"/>
  <c r="Q12" i="48"/>
  <c r="R12" i="48"/>
  <c r="S12" i="48"/>
  <c r="T12" i="48"/>
  <c r="U12" i="48"/>
  <c r="V12" i="48"/>
  <c r="W12" i="48"/>
  <c r="X12" i="48"/>
  <c r="Y12" i="48"/>
  <c r="Z12" i="48"/>
  <c r="AA12" i="48"/>
  <c r="AB12" i="48"/>
  <c r="AC12" i="48"/>
  <c r="F13" i="48"/>
  <c r="G13" i="48"/>
  <c r="H13" i="48"/>
  <c r="I13" i="48"/>
  <c r="J13" i="48"/>
  <c r="K13" i="48"/>
  <c r="L13" i="48"/>
  <c r="M13" i="48"/>
  <c r="N13" i="48"/>
  <c r="O13" i="48"/>
  <c r="P13" i="48"/>
  <c r="Q13" i="48"/>
  <c r="R13" i="48"/>
  <c r="S13" i="48"/>
  <c r="T13" i="48"/>
  <c r="U13" i="48"/>
  <c r="V13" i="48"/>
  <c r="W13" i="48"/>
  <c r="X13" i="48"/>
  <c r="Y13" i="48"/>
  <c r="Z13" i="48"/>
  <c r="AA13" i="48"/>
  <c r="AB13" i="48"/>
  <c r="AC13" i="48"/>
  <c r="F14" i="48"/>
  <c r="G14" i="48"/>
  <c r="H14" i="48"/>
  <c r="I14" i="48"/>
  <c r="J14" i="48"/>
  <c r="K14" i="48"/>
  <c r="L14" i="48"/>
  <c r="M14" i="48"/>
  <c r="N14" i="48"/>
  <c r="O14" i="48"/>
  <c r="P14" i="48"/>
  <c r="Q14" i="48"/>
  <c r="R14" i="48"/>
  <c r="S14" i="48"/>
  <c r="T14" i="48"/>
  <c r="U14" i="48"/>
  <c r="V14" i="48"/>
  <c r="W14" i="48"/>
  <c r="X14" i="48"/>
  <c r="Y14" i="48"/>
  <c r="Z14" i="48"/>
  <c r="AA14" i="48"/>
  <c r="AB14" i="48"/>
  <c r="AC14" i="48"/>
  <c r="F15" i="48"/>
  <c r="G15" i="48"/>
  <c r="H15" i="48"/>
  <c r="I15" i="48"/>
  <c r="J15" i="48"/>
  <c r="K15" i="48"/>
  <c r="L15" i="48"/>
  <c r="M15" i="48"/>
  <c r="N15" i="48"/>
  <c r="O15" i="48"/>
  <c r="P15" i="48"/>
  <c r="Q15" i="48"/>
  <c r="R15" i="48"/>
  <c r="S15" i="48"/>
  <c r="T15" i="48"/>
  <c r="U15" i="48"/>
  <c r="V15" i="48"/>
  <c r="W15" i="48"/>
  <c r="X15" i="48"/>
  <c r="Y15" i="48"/>
  <c r="Z15" i="48"/>
  <c r="AA15" i="48"/>
  <c r="AB15" i="48"/>
  <c r="AC15" i="48"/>
  <c r="F16" i="48"/>
  <c r="G16" i="48"/>
  <c r="H16" i="48"/>
  <c r="I16" i="48"/>
  <c r="J16" i="48"/>
  <c r="K16" i="48"/>
  <c r="L16" i="48"/>
  <c r="M16" i="48"/>
  <c r="N16" i="48"/>
  <c r="O16" i="48"/>
  <c r="P16" i="48"/>
  <c r="Q16" i="48"/>
  <c r="R16" i="48"/>
  <c r="S16" i="48"/>
  <c r="T16" i="48"/>
  <c r="U16" i="48"/>
  <c r="V16" i="48"/>
  <c r="W16" i="48"/>
  <c r="X16" i="48"/>
  <c r="Y16" i="48"/>
  <c r="Z16" i="48"/>
  <c r="AA16" i="48"/>
  <c r="AB16" i="48"/>
  <c r="AC16" i="48"/>
  <c r="F17" i="48"/>
  <c r="G17" i="48"/>
  <c r="H17" i="48"/>
  <c r="I17" i="48"/>
  <c r="J17" i="48"/>
  <c r="K17" i="48"/>
  <c r="L17" i="48"/>
  <c r="M17" i="48"/>
  <c r="N17" i="48"/>
  <c r="O17" i="48"/>
  <c r="P17" i="48"/>
  <c r="Q17" i="48"/>
  <c r="R17" i="48"/>
  <c r="S17" i="48"/>
  <c r="T17" i="48"/>
  <c r="U17" i="48"/>
  <c r="V17" i="48"/>
  <c r="W17" i="48"/>
  <c r="X17" i="48"/>
  <c r="Y17" i="48"/>
  <c r="Z17" i="48"/>
  <c r="AA17" i="48"/>
  <c r="AB17" i="48"/>
  <c r="AC17" i="48"/>
  <c r="F18" i="48"/>
  <c r="G18" i="48"/>
  <c r="H18" i="48"/>
  <c r="I18" i="48"/>
  <c r="J18" i="48"/>
  <c r="K18" i="48"/>
  <c r="L18" i="48"/>
  <c r="M18" i="48"/>
  <c r="N18" i="48"/>
  <c r="O18" i="48"/>
  <c r="P18" i="48"/>
  <c r="Q18" i="48"/>
  <c r="R18" i="48"/>
  <c r="S18" i="48"/>
  <c r="T18" i="48"/>
  <c r="U18" i="48"/>
  <c r="V18" i="48"/>
  <c r="W18" i="48"/>
  <c r="X18" i="48"/>
  <c r="Y18" i="48"/>
  <c r="Z18" i="48"/>
  <c r="AA18" i="48"/>
  <c r="AB18" i="48"/>
  <c r="AC18" i="48"/>
  <c r="F19" i="48"/>
  <c r="G19" i="48"/>
  <c r="H19" i="48"/>
  <c r="I19" i="48"/>
  <c r="J19" i="48"/>
  <c r="K19" i="48"/>
  <c r="L19" i="48"/>
  <c r="M19" i="48"/>
  <c r="N19" i="48"/>
  <c r="O19" i="48"/>
  <c r="P19" i="48"/>
  <c r="Q19" i="48"/>
  <c r="R19" i="48"/>
  <c r="S19" i="48"/>
  <c r="T19" i="48"/>
  <c r="U19" i="48"/>
  <c r="V19" i="48"/>
  <c r="W19" i="48"/>
  <c r="X19" i="48"/>
  <c r="Y19" i="48"/>
  <c r="Z19" i="48"/>
  <c r="AA19" i="48"/>
  <c r="AB19" i="48"/>
  <c r="AC19" i="48"/>
  <c r="F20" i="48"/>
  <c r="G20" i="48"/>
  <c r="H20" i="48"/>
  <c r="I20" i="48"/>
  <c r="J20" i="48"/>
  <c r="K20" i="48"/>
  <c r="L20" i="48"/>
  <c r="M20" i="48"/>
  <c r="N20" i="48"/>
  <c r="O20" i="48"/>
  <c r="P20" i="48"/>
  <c r="Q20" i="48"/>
  <c r="R20" i="48"/>
  <c r="S20" i="48"/>
  <c r="T20" i="48"/>
  <c r="U20" i="48"/>
  <c r="V20" i="48"/>
  <c r="W20" i="48"/>
  <c r="X20" i="48"/>
  <c r="Y20" i="48"/>
  <c r="Z20" i="48"/>
  <c r="AA20" i="48"/>
  <c r="AB20" i="48"/>
  <c r="AC20" i="48"/>
  <c r="F21" i="48"/>
  <c r="G21" i="48"/>
  <c r="H21" i="48"/>
  <c r="I21" i="48"/>
  <c r="J21" i="48"/>
  <c r="K21" i="48"/>
  <c r="L21" i="48"/>
  <c r="M21" i="48"/>
  <c r="N21" i="48"/>
  <c r="O21" i="48"/>
  <c r="P21" i="48"/>
  <c r="Q21" i="48"/>
  <c r="R21" i="48"/>
  <c r="S21" i="48"/>
  <c r="T21" i="48"/>
  <c r="U21" i="48"/>
  <c r="V21" i="48"/>
  <c r="W21" i="48"/>
  <c r="X21" i="48"/>
  <c r="Y21" i="48"/>
  <c r="Z21" i="48"/>
  <c r="AA21" i="48"/>
  <c r="AB21" i="48"/>
  <c r="AC21" i="48"/>
  <c r="F22" i="48"/>
  <c r="G22" i="48"/>
  <c r="H22" i="48"/>
  <c r="I22" i="48"/>
  <c r="J22" i="48"/>
  <c r="K22" i="48"/>
  <c r="L22" i="48"/>
  <c r="M22" i="48"/>
  <c r="N22" i="48"/>
  <c r="O22" i="48"/>
  <c r="P22" i="48"/>
  <c r="Q22" i="48"/>
  <c r="R22" i="48"/>
  <c r="S22" i="48"/>
  <c r="T22" i="48"/>
  <c r="U22" i="48"/>
  <c r="V22" i="48"/>
  <c r="W22" i="48"/>
  <c r="X22" i="48"/>
  <c r="Y22" i="48"/>
  <c r="Z22" i="48"/>
  <c r="AA22" i="48"/>
  <c r="AB22" i="48"/>
  <c r="AC22" i="48"/>
  <c r="F23" i="48"/>
  <c r="G23" i="48"/>
  <c r="H23" i="48"/>
  <c r="I23" i="48"/>
  <c r="J23" i="48"/>
  <c r="K23" i="48"/>
  <c r="L23" i="48"/>
  <c r="M23" i="48"/>
  <c r="N23" i="48"/>
  <c r="O23" i="48"/>
  <c r="P23" i="48"/>
  <c r="Q23" i="48"/>
  <c r="R23" i="48"/>
  <c r="S23" i="48"/>
  <c r="T23" i="48"/>
  <c r="U23" i="48"/>
  <c r="V23" i="48"/>
  <c r="W23" i="48"/>
  <c r="X23" i="48"/>
  <c r="Y23" i="48"/>
  <c r="Z23" i="48"/>
  <c r="AA23" i="48"/>
  <c r="AB23" i="48"/>
  <c r="AC23" i="48"/>
  <c r="F24" i="48"/>
  <c r="G24" i="48"/>
  <c r="H24" i="48"/>
  <c r="I24" i="48"/>
  <c r="J24" i="48"/>
  <c r="K24" i="48"/>
  <c r="L24" i="48"/>
  <c r="M24" i="48"/>
  <c r="N24" i="48"/>
  <c r="O24" i="48"/>
  <c r="P24" i="48"/>
  <c r="Q24" i="48"/>
  <c r="R24" i="48"/>
  <c r="S24" i="48"/>
  <c r="T24" i="48"/>
  <c r="U24" i="48"/>
  <c r="V24" i="48"/>
  <c r="W24" i="48"/>
  <c r="X24" i="48"/>
  <c r="Y24" i="48"/>
  <c r="Z24" i="48"/>
  <c r="AA24" i="48"/>
  <c r="AB24" i="48"/>
  <c r="AC24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R25" i="48"/>
  <c r="S25" i="48"/>
  <c r="T25" i="48"/>
  <c r="U25" i="48"/>
  <c r="V25" i="48"/>
  <c r="W25" i="48"/>
  <c r="X25" i="48"/>
  <c r="Y25" i="48"/>
  <c r="Z25" i="48"/>
  <c r="AA25" i="48"/>
  <c r="AB25" i="48"/>
  <c r="AC25" i="48"/>
  <c r="F26" i="48"/>
  <c r="G26" i="48"/>
  <c r="H26" i="48"/>
  <c r="I26" i="48"/>
  <c r="J26" i="48"/>
  <c r="K26" i="48"/>
  <c r="L26" i="48"/>
  <c r="M26" i="48"/>
  <c r="N26" i="48"/>
  <c r="O26" i="48"/>
  <c r="P26" i="48"/>
  <c r="Q26" i="48"/>
  <c r="R26" i="48"/>
  <c r="S26" i="48"/>
  <c r="T26" i="48"/>
  <c r="U26" i="48"/>
  <c r="V26" i="48"/>
  <c r="W26" i="48"/>
  <c r="X26" i="48"/>
  <c r="Y26" i="48"/>
  <c r="Z26" i="48"/>
  <c r="AA26" i="48"/>
  <c r="AB26" i="48"/>
  <c r="AC26" i="48"/>
  <c r="F27" i="48"/>
  <c r="G27" i="48"/>
  <c r="H27" i="48"/>
  <c r="I27" i="48"/>
  <c r="J27" i="48"/>
  <c r="K27" i="48"/>
  <c r="L27" i="48"/>
  <c r="M27" i="48"/>
  <c r="N27" i="48"/>
  <c r="O27" i="48"/>
  <c r="P27" i="48"/>
  <c r="Q27" i="48"/>
  <c r="R27" i="48"/>
  <c r="S27" i="48"/>
  <c r="T27" i="48"/>
  <c r="U27" i="48"/>
  <c r="V27" i="48"/>
  <c r="W27" i="48"/>
  <c r="X27" i="48"/>
  <c r="Y27" i="48"/>
  <c r="Z27" i="48"/>
  <c r="AA27" i="48"/>
  <c r="AB27" i="48"/>
  <c r="AC27" i="48"/>
  <c r="F28" i="48"/>
  <c r="G28" i="48"/>
  <c r="H28" i="48"/>
  <c r="I28" i="48"/>
  <c r="J28" i="48"/>
  <c r="K28" i="48"/>
  <c r="L28" i="48"/>
  <c r="M28" i="48"/>
  <c r="N28" i="48"/>
  <c r="O28" i="48"/>
  <c r="P28" i="48"/>
  <c r="Q28" i="48"/>
  <c r="R28" i="48"/>
  <c r="S28" i="48"/>
  <c r="T28" i="48"/>
  <c r="U28" i="48"/>
  <c r="V28" i="48"/>
  <c r="W28" i="48"/>
  <c r="X28" i="48"/>
  <c r="Y28" i="48"/>
  <c r="Z28" i="48"/>
  <c r="AA28" i="48"/>
  <c r="AB28" i="48"/>
  <c r="AC28" i="48"/>
  <c r="F29" i="48"/>
  <c r="G29" i="48"/>
  <c r="H29" i="48"/>
  <c r="I29" i="48"/>
  <c r="J29" i="48"/>
  <c r="K29" i="48"/>
  <c r="L29" i="48"/>
  <c r="M29" i="48"/>
  <c r="N29" i="48"/>
  <c r="O29" i="48"/>
  <c r="P29" i="48"/>
  <c r="Q29" i="48"/>
  <c r="R29" i="48"/>
  <c r="S29" i="48"/>
  <c r="T29" i="48"/>
  <c r="U29" i="48"/>
  <c r="V29" i="48"/>
  <c r="W29" i="48"/>
  <c r="X29" i="48"/>
  <c r="Y29" i="48"/>
  <c r="Z29" i="48"/>
  <c r="AA29" i="48"/>
  <c r="AB29" i="48"/>
  <c r="AC29" i="48"/>
  <c r="F30" i="48"/>
  <c r="G30" i="48"/>
  <c r="H30" i="48"/>
  <c r="I30" i="48"/>
  <c r="J30" i="48"/>
  <c r="K30" i="48"/>
  <c r="L30" i="48"/>
  <c r="M30" i="48"/>
  <c r="N30" i="48"/>
  <c r="O30" i="48"/>
  <c r="P30" i="48"/>
  <c r="Q30" i="48"/>
  <c r="R30" i="48"/>
  <c r="S30" i="48"/>
  <c r="T30" i="48"/>
  <c r="U30" i="48"/>
  <c r="V30" i="48"/>
  <c r="W30" i="48"/>
  <c r="X30" i="48"/>
  <c r="Y30" i="48"/>
  <c r="Z30" i="48"/>
  <c r="AA30" i="48"/>
  <c r="AB30" i="48"/>
  <c r="AC30" i="48"/>
  <c r="F31" i="48"/>
  <c r="G31" i="48"/>
  <c r="H31" i="48"/>
  <c r="I31" i="48"/>
  <c r="J31" i="48"/>
  <c r="K31" i="48"/>
  <c r="L31" i="48"/>
  <c r="M31" i="48"/>
  <c r="N31" i="48"/>
  <c r="O31" i="48"/>
  <c r="P31" i="48"/>
  <c r="Q31" i="48"/>
  <c r="R31" i="48"/>
  <c r="S31" i="48"/>
  <c r="T31" i="48"/>
  <c r="U31" i="48"/>
  <c r="V31" i="48"/>
  <c r="W31" i="48"/>
  <c r="X31" i="48"/>
  <c r="Y31" i="48"/>
  <c r="Z31" i="48"/>
  <c r="AA31" i="48"/>
  <c r="AB31" i="48"/>
  <c r="AC31" i="48"/>
  <c r="F32" i="48"/>
  <c r="G32" i="48"/>
  <c r="H32" i="48"/>
  <c r="I32" i="48"/>
  <c r="J32" i="48"/>
  <c r="K32" i="48"/>
  <c r="L32" i="48"/>
  <c r="M32" i="48"/>
  <c r="N32" i="48"/>
  <c r="O32" i="48"/>
  <c r="P32" i="48"/>
  <c r="Q32" i="48"/>
  <c r="R32" i="48"/>
  <c r="S32" i="48"/>
  <c r="T32" i="48"/>
  <c r="U32" i="48"/>
  <c r="V32" i="48"/>
  <c r="W32" i="48"/>
  <c r="X32" i="48"/>
  <c r="Y32" i="48"/>
  <c r="Z32" i="48"/>
  <c r="AA32" i="48"/>
  <c r="AB32" i="48"/>
  <c r="AC32" i="48"/>
  <c r="F33" i="48"/>
  <c r="G33" i="48"/>
  <c r="H33" i="48"/>
  <c r="I33" i="48"/>
  <c r="J33" i="48"/>
  <c r="K33" i="48"/>
  <c r="L33" i="48"/>
  <c r="M33" i="48"/>
  <c r="N33" i="48"/>
  <c r="O33" i="48"/>
  <c r="P33" i="48"/>
  <c r="Q33" i="48"/>
  <c r="R33" i="48"/>
  <c r="S33" i="48"/>
  <c r="T33" i="48"/>
  <c r="U33" i="48"/>
  <c r="V33" i="48"/>
  <c r="W33" i="48"/>
  <c r="X33" i="48"/>
  <c r="Y33" i="48"/>
  <c r="Z33" i="48"/>
  <c r="AA33" i="48"/>
  <c r="AB33" i="48"/>
  <c r="AC33" i="48"/>
  <c r="F34" i="48"/>
  <c r="G34" i="48"/>
  <c r="H34" i="48"/>
  <c r="I34" i="48"/>
  <c r="J34" i="48"/>
  <c r="K34" i="48"/>
  <c r="L34" i="48"/>
  <c r="M34" i="48"/>
  <c r="N34" i="48"/>
  <c r="O34" i="48"/>
  <c r="P34" i="48"/>
  <c r="Q34" i="48"/>
  <c r="R34" i="48"/>
  <c r="S34" i="48"/>
  <c r="T34" i="48"/>
  <c r="U34" i="48"/>
  <c r="V34" i="48"/>
  <c r="W34" i="48"/>
  <c r="X34" i="48"/>
  <c r="Y34" i="48"/>
  <c r="Z34" i="48"/>
  <c r="AA34" i="48"/>
  <c r="AB34" i="48"/>
  <c r="AC34" i="48"/>
  <c r="F35" i="48"/>
  <c r="G35" i="48"/>
  <c r="H35" i="48"/>
  <c r="I35" i="48"/>
  <c r="J35" i="48"/>
  <c r="K35" i="48"/>
  <c r="L35" i="48"/>
  <c r="M35" i="48"/>
  <c r="N35" i="48"/>
  <c r="O35" i="48"/>
  <c r="P35" i="48"/>
  <c r="Q35" i="48"/>
  <c r="R35" i="48"/>
  <c r="S35" i="48"/>
  <c r="T35" i="48"/>
  <c r="U35" i="48"/>
  <c r="V35" i="48"/>
  <c r="W35" i="48"/>
  <c r="X35" i="48"/>
  <c r="Y35" i="48"/>
  <c r="Z35" i="48"/>
  <c r="AA35" i="48"/>
  <c r="AB35" i="48"/>
  <c r="AC35" i="48"/>
  <c r="F36" i="48"/>
  <c r="G36" i="48"/>
  <c r="H36" i="48"/>
  <c r="I36" i="48"/>
  <c r="J36" i="48"/>
  <c r="K36" i="48"/>
  <c r="L36" i="48"/>
  <c r="M36" i="48"/>
  <c r="N36" i="48"/>
  <c r="O36" i="48"/>
  <c r="P36" i="48"/>
  <c r="Q36" i="48"/>
  <c r="R36" i="48"/>
  <c r="S36" i="48"/>
  <c r="T36" i="48"/>
  <c r="U36" i="48"/>
  <c r="V36" i="48"/>
  <c r="W36" i="48"/>
  <c r="X36" i="48"/>
  <c r="Y36" i="48"/>
  <c r="Z36" i="48"/>
  <c r="AA36" i="48"/>
  <c r="AB36" i="48"/>
  <c r="AC36" i="48"/>
  <c r="F37" i="48"/>
  <c r="G37" i="48"/>
  <c r="H37" i="48"/>
  <c r="I37" i="48"/>
  <c r="J37" i="48"/>
  <c r="K37" i="48"/>
  <c r="L37" i="48"/>
  <c r="M37" i="48"/>
  <c r="N37" i="48"/>
  <c r="O37" i="48"/>
  <c r="P37" i="48"/>
  <c r="Q37" i="48"/>
  <c r="R37" i="48"/>
  <c r="S37" i="48"/>
  <c r="T37" i="48"/>
  <c r="U37" i="48"/>
  <c r="V37" i="48"/>
  <c r="W37" i="48"/>
  <c r="X37" i="48"/>
  <c r="Y37" i="48"/>
  <c r="Z37" i="48"/>
  <c r="AA37" i="48"/>
  <c r="AB37" i="48"/>
  <c r="AC37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W38" i="48"/>
  <c r="X38" i="48"/>
  <c r="Y38" i="48"/>
  <c r="Z38" i="48"/>
  <c r="AA38" i="48"/>
  <c r="AB38" i="48"/>
  <c r="AC38" i="48"/>
  <c r="F39" i="48"/>
  <c r="G39" i="48"/>
  <c r="H39" i="48"/>
  <c r="I39" i="48"/>
  <c r="J39" i="48"/>
  <c r="K39" i="48"/>
  <c r="L39" i="48"/>
  <c r="M39" i="48"/>
  <c r="N39" i="48"/>
  <c r="O39" i="48"/>
  <c r="P39" i="48"/>
  <c r="Q39" i="48"/>
  <c r="R39" i="48"/>
  <c r="S39" i="48"/>
  <c r="T39" i="48"/>
  <c r="U39" i="48"/>
  <c r="V39" i="48"/>
  <c r="W39" i="48"/>
  <c r="X39" i="48"/>
  <c r="Y39" i="48"/>
  <c r="Z39" i="48"/>
  <c r="AA39" i="48"/>
  <c r="AB39" i="48"/>
  <c r="AC39" i="48"/>
  <c r="F40" i="48"/>
  <c r="G40" i="48"/>
  <c r="H40" i="48"/>
  <c r="I40" i="48"/>
  <c r="J40" i="48"/>
  <c r="K40" i="48"/>
  <c r="L40" i="48"/>
  <c r="M40" i="48"/>
  <c r="N40" i="48"/>
  <c r="O40" i="48"/>
  <c r="P40" i="48"/>
  <c r="Q40" i="48"/>
  <c r="R40" i="48"/>
  <c r="S40" i="48"/>
  <c r="T40" i="48"/>
  <c r="U40" i="48"/>
  <c r="V40" i="48"/>
  <c r="W40" i="48"/>
  <c r="X40" i="48"/>
  <c r="Y40" i="48"/>
  <c r="Z40" i="48"/>
  <c r="AA40" i="48"/>
  <c r="AB40" i="48"/>
  <c r="AC40" i="48"/>
  <c r="F41" i="48"/>
  <c r="G41" i="48"/>
  <c r="H41" i="48"/>
  <c r="I41" i="48"/>
  <c r="J41" i="48"/>
  <c r="K41" i="48"/>
  <c r="L41" i="48"/>
  <c r="M41" i="48"/>
  <c r="N41" i="48"/>
  <c r="O41" i="48"/>
  <c r="P41" i="48"/>
  <c r="Q41" i="48"/>
  <c r="R41" i="48"/>
  <c r="S41" i="48"/>
  <c r="T41" i="48"/>
  <c r="U41" i="48"/>
  <c r="V41" i="48"/>
  <c r="W41" i="48"/>
  <c r="X41" i="48"/>
  <c r="Y41" i="48"/>
  <c r="Z41" i="48"/>
  <c r="AA41" i="48"/>
  <c r="AB41" i="48"/>
  <c r="AC41" i="48"/>
  <c r="F42" i="48"/>
  <c r="G42" i="48"/>
  <c r="H42" i="48"/>
  <c r="I42" i="48"/>
  <c r="J42" i="48"/>
  <c r="K42" i="48"/>
  <c r="L42" i="48"/>
  <c r="M42" i="48"/>
  <c r="N42" i="48"/>
  <c r="O42" i="48"/>
  <c r="P42" i="48"/>
  <c r="Q42" i="48"/>
  <c r="R42" i="48"/>
  <c r="S42" i="48"/>
  <c r="T42" i="48"/>
  <c r="U42" i="48"/>
  <c r="V42" i="48"/>
  <c r="W42" i="48"/>
  <c r="X42" i="48"/>
  <c r="Y42" i="48"/>
  <c r="Z42" i="48"/>
  <c r="AA42" i="48"/>
  <c r="AB42" i="48"/>
  <c r="AC42" i="48"/>
  <c r="F43" i="48"/>
  <c r="G43" i="48"/>
  <c r="H43" i="48"/>
  <c r="I43" i="48"/>
  <c r="J43" i="48"/>
  <c r="K43" i="48"/>
  <c r="L43" i="48"/>
  <c r="M43" i="48"/>
  <c r="N43" i="48"/>
  <c r="O43" i="48"/>
  <c r="P43" i="48"/>
  <c r="Q43" i="48"/>
  <c r="R43" i="48"/>
  <c r="S43" i="48"/>
  <c r="T43" i="48"/>
  <c r="U43" i="48"/>
  <c r="V43" i="48"/>
  <c r="W43" i="48"/>
  <c r="X43" i="48"/>
  <c r="Y43" i="48"/>
  <c r="Z43" i="48"/>
  <c r="AA43" i="48"/>
  <c r="AB43" i="48"/>
  <c r="AC43" i="48"/>
  <c r="F44" i="48"/>
  <c r="G44" i="48"/>
  <c r="H44" i="48"/>
  <c r="I44" i="48"/>
  <c r="J44" i="48"/>
  <c r="K44" i="48"/>
  <c r="L44" i="48"/>
  <c r="M44" i="48"/>
  <c r="N44" i="48"/>
  <c r="O44" i="48"/>
  <c r="P44" i="48"/>
  <c r="Q44" i="48"/>
  <c r="R44" i="48"/>
  <c r="S44" i="48"/>
  <c r="T44" i="48"/>
  <c r="U44" i="48"/>
  <c r="V44" i="48"/>
  <c r="W44" i="48"/>
  <c r="X44" i="48"/>
  <c r="Y44" i="48"/>
  <c r="Z44" i="48"/>
  <c r="AA44" i="48"/>
  <c r="AB44" i="48"/>
  <c r="AC44" i="48"/>
  <c r="F45" i="48"/>
  <c r="G45" i="48"/>
  <c r="H45" i="48"/>
  <c r="I45" i="48"/>
  <c r="J45" i="48"/>
  <c r="K45" i="48"/>
  <c r="L45" i="48"/>
  <c r="M45" i="48"/>
  <c r="N45" i="48"/>
  <c r="O45" i="48"/>
  <c r="P45" i="48"/>
  <c r="Q45" i="48"/>
  <c r="R45" i="48"/>
  <c r="S45" i="48"/>
  <c r="T45" i="48"/>
  <c r="U45" i="48"/>
  <c r="V45" i="48"/>
  <c r="W45" i="48"/>
  <c r="X45" i="48"/>
  <c r="Y45" i="48"/>
  <c r="Z45" i="48"/>
  <c r="AA45" i="48"/>
  <c r="AB45" i="48"/>
  <c r="AC45" i="48"/>
  <c r="F46" i="48"/>
  <c r="G46" i="48"/>
  <c r="H46" i="48"/>
  <c r="I46" i="48"/>
  <c r="J46" i="48"/>
  <c r="K46" i="48"/>
  <c r="L46" i="48"/>
  <c r="M46" i="48"/>
  <c r="N46" i="48"/>
  <c r="O46" i="48"/>
  <c r="P46" i="48"/>
  <c r="Q46" i="48"/>
  <c r="R46" i="48"/>
  <c r="S46" i="48"/>
  <c r="T46" i="48"/>
  <c r="U46" i="48"/>
  <c r="V46" i="48"/>
  <c r="W46" i="48"/>
  <c r="X46" i="48"/>
  <c r="Y46" i="48"/>
  <c r="Z46" i="48"/>
  <c r="AA46" i="48"/>
  <c r="AB46" i="48"/>
  <c r="AC46" i="48"/>
  <c r="F47" i="48"/>
  <c r="G47" i="48"/>
  <c r="H47" i="48"/>
  <c r="I47" i="48"/>
  <c r="J47" i="48"/>
  <c r="K47" i="48"/>
  <c r="L47" i="48"/>
  <c r="M47" i="48"/>
  <c r="N47" i="48"/>
  <c r="O47" i="48"/>
  <c r="P47" i="48"/>
  <c r="Q47" i="48"/>
  <c r="R47" i="48"/>
  <c r="S47" i="48"/>
  <c r="T47" i="48"/>
  <c r="U47" i="48"/>
  <c r="V47" i="48"/>
  <c r="W47" i="48"/>
  <c r="X47" i="48"/>
  <c r="Y47" i="48"/>
  <c r="Z47" i="48"/>
  <c r="AA47" i="48"/>
  <c r="AB47" i="48"/>
  <c r="AC47" i="48"/>
  <c r="F48" i="48"/>
  <c r="G48" i="48"/>
  <c r="H48" i="48"/>
  <c r="I48" i="48"/>
  <c r="J48" i="48"/>
  <c r="K48" i="48"/>
  <c r="L48" i="48"/>
  <c r="M48" i="48"/>
  <c r="N48" i="48"/>
  <c r="O48" i="48"/>
  <c r="P48" i="48"/>
  <c r="Q48" i="48"/>
  <c r="R48" i="48"/>
  <c r="S48" i="48"/>
  <c r="T48" i="48"/>
  <c r="U48" i="48"/>
  <c r="V48" i="48"/>
  <c r="W48" i="48"/>
  <c r="X48" i="48"/>
  <c r="Y48" i="48"/>
  <c r="Z48" i="48"/>
  <c r="AA48" i="48"/>
  <c r="AB48" i="48"/>
  <c r="AC48" i="48"/>
  <c r="F49" i="48"/>
  <c r="G49" i="48"/>
  <c r="H49" i="48"/>
  <c r="I49" i="48"/>
  <c r="J49" i="48"/>
  <c r="K49" i="48"/>
  <c r="L49" i="48"/>
  <c r="M49" i="48"/>
  <c r="N49" i="48"/>
  <c r="O49" i="48"/>
  <c r="P49" i="48"/>
  <c r="Q49" i="48"/>
  <c r="R49" i="48"/>
  <c r="S49" i="48"/>
  <c r="T49" i="48"/>
  <c r="U49" i="48"/>
  <c r="V49" i="48"/>
  <c r="W49" i="48"/>
  <c r="X49" i="48"/>
  <c r="Y49" i="48"/>
  <c r="Z49" i="48"/>
  <c r="AA49" i="48"/>
  <c r="AB49" i="48"/>
  <c r="AC49" i="48"/>
  <c r="F50" i="48"/>
  <c r="G50" i="48"/>
  <c r="H50" i="48"/>
  <c r="I50" i="48"/>
  <c r="J50" i="48"/>
  <c r="K50" i="48"/>
  <c r="L50" i="48"/>
  <c r="M50" i="48"/>
  <c r="N50" i="48"/>
  <c r="O50" i="48"/>
  <c r="P50" i="48"/>
  <c r="Q50" i="48"/>
  <c r="R50" i="48"/>
  <c r="S50" i="48"/>
  <c r="T50" i="48"/>
  <c r="U50" i="48"/>
  <c r="V50" i="48"/>
  <c r="W50" i="48"/>
  <c r="X50" i="48"/>
  <c r="Y50" i="48"/>
  <c r="Z50" i="48"/>
  <c r="AA50" i="48"/>
  <c r="AB50" i="48"/>
  <c r="AC50" i="48"/>
  <c r="F51" i="48"/>
  <c r="G51" i="48"/>
  <c r="H51" i="48"/>
  <c r="I51" i="48"/>
  <c r="J51" i="48"/>
  <c r="K51" i="48"/>
  <c r="L51" i="48"/>
  <c r="M51" i="48"/>
  <c r="N51" i="48"/>
  <c r="O51" i="48"/>
  <c r="P51" i="48"/>
  <c r="Q51" i="48"/>
  <c r="R51" i="48"/>
  <c r="S51" i="48"/>
  <c r="T51" i="48"/>
  <c r="U51" i="48"/>
  <c r="V51" i="48"/>
  <c r="W51" i="48"/>
  <c r="X51" i="48"/>
  <c r="Y51" i="48"/>
  <c r="Z51" i="48"/>
  <c r="AA51" i="48"/>
  <c r="AB51" i="48"/>
  <c r="AC51" i="48"/>
  <c r="F52" i="48"/>
  <c r="G52" i="48"/>
  <c r="H52" i="48"/>
  <c r="I52" i="48"/>
  <c r="J52" i="48"/>
  <c r="K52" i="48"/>
  <c r="L52" i="48"/>
  <c r="M52" i="48"/>
  <c r="N52" i="48"/>
  <c r="O52" i="48"/>
  <c r="P52" i="48"/>
  <c r="Q52" i="48"/>
  <c r="R52" i="48"/>
  <c r="S52" i="48"/>
  <c r="T52" i="48"/>
  <c r="U52" i="48"/>
  <c r="V52" i="48"/>
  <c r="W52" i="48"/>
  <c r="X52" i="48"/>
  <c r="Y52" i="48"/>
  <c r="Z52" i="48"/>
  <c r="AA52" i="48"/>
  <c r="AB52" i="48"/>
  <c r="AC52" i="48"/>
  <c r="F53" i="48"/>
  <c r="G53" i="48"/>
  <c r="H53" i="48"/>
  <c r="I53" i="48"/>
  <c r="J53" i="48"/>
  <c r="K53" i="48"/>
  <c r="L53" i="48"/>
  <c r="M53" i="48"/>
  <c r="N53" i="48"/>
  <c r="O53" i="48"/>
  <c r="P53" i="48"/>
  <c r="Q53" i="48"/>
  <c r="R53" i="48"/>
  <c r="S53" i="48"/>
  <c r="T53" i="48"/>
  <c r="U53" i="48"/>
  <c r="V53" i="48"/>
  <c r="W53" i="48"/>
  <c r="X53" i="48"/>
  <c r="Y53" i="48"/>
  <c r="Z53" i="48"/>
  <c r="AA53" i="48"/>
  <c r="AB53" i="48"/>
  <c r="AC53" i="48"/>
  <c r="F54" i="48"/>
  <c r="G54" i="48"/>
  <c r="H54" i="48"/>
  <c r="I54" i="48"/>
  <c r="J54" i="48"/>
  <c r="K54" i="48"/>
  <c r="L54" i="48"/>
  <c r="M54" i="48"/>
  <c r="N54" i="48"/>
  <c r="O54" i="48"/>
  <c r="P54" i="48"/>
  <c r="Q54" i="48"/>
  <c r="R54" i="48"/>
  <c r="S54" i="48"/>
  <c r="T54" i="48"/>
  <c r="U54" i="48"/>
  <c r="V54" i="48"/>
  <c r="W54" i="48"/>
  <c r="X54" i="48"/>
  <c r="Y54" i="48"/>
  <c r="Z54" i="48"/>
  <c r="AA54" i="48"/>
  <c r="AB54" i="48"/>
  <c r="AC54" i="48"/>
  <c r="G7" i="48"/>
  <c r="H7" i="48"/>
  <c r="I7" i="48"/>
  <c r="J7" i="48"/>
  <c r="K7" i="48"/>
  <c r="L7" i="48"/>
  <c r="M7" i="48"/>
  <c r="N7" i="48"/>
  <c r="O7" i="48"/>
  <c r="P7" i="48"/>
  <c r="Q7" i="48"/>
  <c r="R7" i="48"/>
  <c r="S7" i="48"/>
  <c r="T7" i="48"/>
  <c r="U7" i="48"/>
  <c r="V7" i="48"/>
  <c r="W7" i="48"/>
  <c r="X7" i="48"/>
  <c r="Y7" i="48"/>
  <c r="Z7" i="48"/>
  <c r="AA7" i="48"/>
  <c r="AB7" i="48"/>
  <c r="AC7" i="48"/>
  <c r="F7" i="48"/>
  <c r="AG47" i="48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F9" i="47"/>
  <c r="G9" i="47"/>
  <c r="H9" i="47"/>
  <c r="I9" i="47"/>
  <c r="J9" i="47"/>
  <c r="K9" i="47"/>
  <c r="L9" i="47"/>
  <c r="M9" i="47"/>
  <c r="N9" i="47"/>
  <c r="O9" i="47"/>
  <c r="P9" i="47"/>
  <c r="Q9" i="47"/>
  <c r="R9" i="47"/>
  <c r="S9" i="47"/>
  <c r="T9" i="47"/>
  <c r="U9" i="47"/>
  <c r="V9" i="47"/>
  <c r="W9" i="47"/>
  <c r="X9" i="47"/>
  <c r="Y9" i="47"/>
  <c r="Z9" i="47"/>
  <c r="AA9" i="47"/>
  <c r="AB9" i="47"/>
  <c r="AC9" i="47"/>
  <c r="F10" i="47"/>
  <c r="G10" i="47"/>
  <c r="H10" i="47"/>
  <c r="I10" i="47"/>
  <c r="J10" i="47"/>
  <c r="K10" i="47"/>
  <c r="L10" i="47"/>
  <c r="M10" i="47"/>
  <c r="N10" i="47"/>
  <c r="O10" i="47"/>
  <c r="P10" i="47"/>
  <c r="Q10" i="47"/>
  <c r="R10" i="47"/>
  <c r="S10" i="47"/>
  <c r="T10" i="47"/>
  <c r="U10" i="47"/>
  <c r="V10" i="47"/>
  <c r="W10" i="47"/>
  <c r="X10" i="47"/>
  <c r="Y10" i="47"/>
  <c r="Z10" i="47"/>
  <c r="AA10" i="47"/>
  <c r="AB10" i="47"/>
  <c r="AC10" i="47"/>
  <c r="F11" i="47"/>
  <c r="G11" i="47"/>
  <c r="H11" i="47"/>
  <c r="I11" i="47"/>
  <c r="J11" i="47"/>
  <c r="K11" i="47"/>
  <c r="L11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Z11" i="47"/>
  <c r="AA11" i="47"/>
  <c r="AB11" i="47"/>
  <c r="AC11" i="47"/>
  <c r="F12" i="47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W12" i="47"/>
  <c r="X12" i="47"/>
  <c r="Y12" i="47"/>
  <c r="Z12" i="47"/>
  <c r="AA12" i="47"/>
  <c r="AB12" i="47"/>
  <c r="AC12" i="47"/>
  <c r="F13" i="47"/>
  <c r="G13" i="47"/>
  <c r="H13" i="47"/>
  <c r="I13" i="47"/>
  <c r="J13" i="47"/>
  <c r="K13" i="47"/>
  <c r="L13" i="47"/>
  <c r="M13" i="47"/>
  <c r="N13" i="47"/>
  <c r="O13" i="47"/>
  <c r="P13" i="47"/>
  <c r="Q13" i="47"/>
  <c r="R13" i="47"/>
  <c r="S13" i="47"/>
  <c r="T13" i="47"/>
  <c r="U13" i="47"/>
  <c r="V13" i="47"/>
  <c r="W13" i="47"/>
  <c r="X13" i="47"/>
  <c r="Y13" i="47"/>
  <c r="Z13" i="47"/>
  <c r="AA13" i="47"/>
  <c r="AB13" i="47"/>
  <c r="AC13" i="47"/>
  <c r="F14" i="47"/>
  <c r="G14" i="47"/>
  <c r="H14" i="47"/>
  <c r="I14" i="47"/>
  <c r="J14" i="47"/>
  <c r="K14" i="47"/>
  <c r="L14" i="47"/>
  <c r="M14" i="47"/>
  <c r="N14" i="47"/>
  <c r="O14" i="47"/>
  <c r="P14" i="47"/>
  <c r="Q14" i="47"/>
  <c r="R14" i="47"/>
  <c r="S14" i="47"/>
  <c r="T14" i="47"/>
  <c r="U14" i="47"/>
  <c r="V14" i="47"/>
  <c r="W14" i="47"/>
  <c r="X14" i="47"/>
  <c r="Y14" i="47"/>
  <c r="Z14" i="47"/>
  <c r="AA14" i="47"/>
  <c r="AB14" i="47"/>
  <c r="AC14" i="47"/>
  <c r="F15" i="47"/>
  <c r="G15" i="47"/>
  <c r="H15" i="47"/>
  <c r="I15" i="47"/>
  <c r="J15" i="47"/>
  <c r="K15" i="47"/>
  <c r="L15" i="47"/>
  <c r="M15" i="47"/>
  <c r="N15" i="47"/>
  <c r="O15" i="47"/>
  <c r="P15" i="47"/>
  <c r="Q15" i="47"/>
  <c r="R15" i="47"/>
  <c r="S15" i="47"/>
  <c r="T15" i="47"/>
  <c r="U15" i="47"/>
  <c r="V15" i="47"/>
  <c r="W15" i="47"/>
  <c r="X15" i="47"/>
  <c r="Y15" i="47"/>
  <c r="Z15" i="47"/>
  <c r="AA15" i="47"/>
  <c r="AB15" i="47"/>
  <c r="AC15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R16" i="47"/>
  <c r="S16" i="47"/>
  <c r="T16" i="47"/>
  <c r="U16" i="47"/>
  <c r="V16" i="47"/>
  <c r="W16" i="47"/>
  <c r="X16" i="47"/>
  <c r="Y16" i="47"/>
  <c r="Z16" i="47"/>
  <c r="AA16" i="47"/>
  <c r="AB16" i="47"/>
  <c r="AC16" i="47"/>
  <c r="F17" i="47"/>
  <c r="G17" i="47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U18" i="47"/>
  <c r="V18" i="47"/>
  <c r="W18" i="47"/>
  <c r="X18" i="47"/>
  <c r="Y18" i="47"/>
  <c r="Z18" i="47"/>
  <c r="AA18" i="47"/>
  <c r="AB18" i="47"/>
  <c r="AC18" i="47"/>
  <c r="F19" i="47"/>
  <c r="G19" i="47"/>
  <c r="H19" i="47"/>
  <c r="I19" i="47"/>
  <c r="J19" i="47"/>
  <c r="K19" i="47"/>
  <c r="L19" i="47"/>
  <c r="M19" i="47"/>
  <c r="N19" i="47"/>
  <c r="O19" i="47"/>
  <c r="P19" i="47"/>
  <c r="Q19" i="47"/>
  <c r="R19" i="47"/>
  <c r="S19" i="47"/>
  <c r="T19" i="47"/>
  <c r="U19" i="47"/>
  <c r="V19" i="47"/>
  <c r="W19" i="47"/>
  <c r="X19" i="47"/>
  <c r="Y19" i="47"/>
  <c r="Z19" i="47"/>
  <c r="AA19" i="47"/>
  <c r="AB19" i="47"/>
  <c r="AC19" i="47"/>
  <c r="F20" i="47"/>
  <c r="G20" i="47"/>
  <c r="H20" i="47"/>
  <c r="I20" i="47"/>
  <c r="J20" i="47"/>
  <c r="K20" i="47"/>
  <c r="L20" i="47"/>
  <c r="M20" i="47"/>
  <c r="N20" i="47"/>
  <c r="O20" i="47"/>
  <c r="P20" i="47"/>
  <c r="Q20" i="47"/>
  <c r="R20" i="47"/>
  <c r="S20" i="47"/>
  <c r="T20" i="47"/>
  <c r="U20" i="47"/>
  <c r="V20" i="47"/>
  <c r="W20" i="47"/>
  <c r="X20" i="47"/>
  <c r="Y20" i="47"/>
  <c r="Z20" i="47"/>
  <c r="AA20" i="47"/>
  <c r="AB20" i="47"/>
  <c r="AC20" i="47"/>
  <c r="F21" i="47"/>
  <c r="G21" i="47"/>
  <c r="H21" i="47"/>
  <c r="I21" i="47"/>
  <c r="J21" i="47"/>
  <c r="K21" i="47"/>
  <c r="L21" i="47"/>
  <c r="M21" i="47"/>
  <c r="N21" i="47"/>
  <c r="O21" i="47"/>
  <c r="P21" i="47"/>
  <c r="Q21" i="47"/>
  <c r="R21" i="47"/>
  <c r="S21" i="47"/>
  <c r="T21" i="47"/>
  <c r="U21" i="47"/>
  <c r="V21" i="47"/>
  <c r="W21" i="47"/>
  <c r="X21" i="47"/>
  <c r="Y21" i="47"/>
  <c r="Z21" i="47"/>
  <c r="AA21" i="47"/>
  <c r="AB21" i="47"/>
  <c r="AC21" i="47"/>
  <c r="F22" i="47"/>
  <c r="G22" i="47"/>
  <c r="H22" i="47"/>
  <c r="I22" i="47"/>
  <c r="J22" i="47"/>
  <c r="K22" i="47"/>
  <c r="L22" i="47"/>
  <c r="M22" i="47"/>
  <c r="N22" i="47"/>
  <c r="O22" i="47"/>
  <c r="P22" i="47"/>
  <c r="Q22" i="47"/>
  <c r="R22" i="47"/>
  <c r="S22" i="47"/>
  <c r="T22" i="47"/>
  <c r="U22" i="47"/>
  <c r="V22" i="47"/>
  <c r="W22" i="47"/>
  <c r="X22" i="47"/>
  <c r="Y22" i="47"/>
  <c r="Z22" i="47"/>
  <c r="AA22" i="47"/>
  <c r="AB22" i="47"/>
  <c r="AC22" i="47"/>
  <c r="F23" i="47"/>
  <c r="G23" i="47"/>
  <c r="H23" i="47"/>
  <c r="I23" i="47"/>
  <c r="J23" i="47"/>
  <c r="K23" i="47"/>
  <c r="L23" i="47"/>
  <c r="M23" i="47"/>
  <c r="N23" i="47"/>
  <c r="O23" i="47"/>
  <c r="P23" i="47"/>
  <c r="Q23" i="47"/>
  <c r="R23" i="47"/>
  <c r="S23" i="47"/>
  <c r="T23" i="47"/>
  <c r="U23" i="47"/>
  <c r="V23" i="47"/>
  <c r="W23" i="47"/>
  <c r="X23" i="47"/>
  <c r="Y23" i="47"/>
  <c r="Z23" i="47"/>
  <c r="AA23" i="47"/>
  <c r="AB23" i="47"/>
  <c r="AC23" i="47"/>
  <c r="F24" i="47"/>
  <c r="G24" i="47"/>
  <c r="H24" i="47"/>
  <c r="I24" i="47"/>
  <c r="J24" i="47"/>
  <c r="K24" i="47"/>
  <c r="L24" i="47"/>
  <c r="M24" i="47"/>
  <c r="N24" i="47"/>
  <c r="O24" i="47"/>
  <c r="P24" i="47"/>
  <c r="Q24" i="47"/>
  <c r="R24" i="47"/>
  <c r="S24" i="47"/>
  <c r="T24" i="47"/>
  <c r="U24" i="47"/>
  <c r="V24" i="47"/>
  <c r="W24" i="47"/>
  <c r="X24" i="47"/>
  <c r="Y24" i="47"/>
  <c r="Z24" i="47"/>
  <c r="AA24" i="47"/>
  <c r="AB24" i="47"/>
  <c r="AC24" i="47"/>
  <c r="F25" i="47"/>
  <c r="G25" i="47"/>
  <c r="H25" i="47"/>
  <c r="I25" i="47"/>
  <c r="J25" i="47"/>
  <c r="K25" i="47"/>
  <c r="L25" i="47"/>
  <c r="M25" i="47"/>
  <c r="N25" i="47"/>
  <c r="O25" i="47"/>
  <c r="P25" i="47"/>
  <c r="Q25" i="47"/>
  <c r="R25" i="47"/>
  <c r="S25" i="47"/>
  <c r="T25" i="47"/>
  <c r="U25" i="47"/>
  <c r="V25" i="47"/>
  <c r="W25" i="47"/>
  <c r="X25" i="47"/>
  <c r="Y25" i="47"/>
  <c r="Z25" i="47"/>
  <c r="AA25" i="47"/>
  <c r="AB25" i="47"/>
  <c r="AC25" i="47"/>
  <c r="F26" i="47"/>
  <c r="G26" i="47"/>
  <c r="H26" i="47"/>
  <c r="I26" i="47"/>
  <c r="J26" i="47"/>
  <c r="K26" i="47"/>
  <c r="L26" i="47"/>
  <c r="M26" i="47"/>
  <c r="N26" i="47"/>
  <c r="O26" i="47"/>
  <c r="P26" i="47"/>
  <c r="Q26" i="47"/>
  <c r="R26" i="47"/>
  <c r="S26" i="47"/>
  <c r="T26" i="47"/>
  <c r="U26" i="47"/>
  <c r="V26" i="47"/>
  <c r="W26" i="47"/>
  <c r="X26" i="47"/>
  <c r="Y26" i="47"/>
  <c r="Z26" i="47"/>
  <c r="AA26" i="47"/>
  <c r="AB26" i="47"/>
  <c r="AC26" i="47"/>
  <c r="F27" i="47"/>
  <c r="G27" i="47"/>
  <c r="H27" i="47"/>
  <c r="I27" i="47"/>
  <c r="J27" i="47"/>
  <c r="K27" i="47"/>
  <c r="L27" i="47"/>
  <c r="M27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Z27" i="47"/>
  <c r="AA27" i="47"/>
  <c r="AB27" i="47"/>
  <c r="AC27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R28" i="47"/>
  <c r="S28" i="47"/>
  <c r="T28" i="47"/>
  <c r="U28" i="47"/>
  <c r="V28" i="47"/>
  <c r="W28" i="47"/>
  <c r="X28" i="47"/>
  <c r="Y28" i="47"/>
  <c r="Z28" i="47"/>
  <c r="AA28" i="47"/>
  <c r="AB28" i="47"/>
  <c r="AC28" i="47"/>
  <c r="F29" i="47"/>
  <c r="G29" i="47"/>
  <c r="H29" i="47"/>
  <c r="I29" i="47"/>
  <c r="J29" i="47"/>
  <c r="K29" i="47"/>
  <c r="L29" i="47"/>
  <c r="M29" i="47"/>
  <c r="N29" i="47"/>
  <c r="O29" i="47"/>
  <c r="P29" i="47"/>
  <c r="Q29" i="47"/>
  <c r="R29" i="47"/>
  <c r="S29" i="47"/>
  <c r="T29" i="47"/>
  <c r="U29" i="47"/>
  <c r="V29" i="47"/>
  <c r="W29" i="47"/>
  <c r="X29" i="47"/>
  <c r="Y29" i="47"/>
  <c r="Z29" i="47"/>
  <c r="AA29" i="47"/>
  <c r="AB29" i="47"/>
  <c r="AC29" i="47"/>
  <c r="F30" i="47"/>
  <c r="G30" i="47"/>
  <c r="H30" i="47"/>
  <c r="I30" i="47"/>
  <c r="J30" i="47"/>
  <c r="K30" i="47"/>
  <c r="L30" i="47"/>
  <c r="M30" i="47"/>
  <c r="N30" i="47"/>
  <c r="O30" i="47"/>
  <c r="P30" i="47"/>
  <c r="Q30" i="47"/>
  <c r="R30" i="47"/>
  <c r="S30" i="47"/>
  <c r="T30" i="47"/>
  <c r="U30" i="47"/>
  <c r="V30" i="47"/>
  <c r="W30" i="47"/>
  <c r="X30" i="47"/>
  <c r="Y30" i="47"/>
  <c r="Z30" i="47"/>
  <c r="AA30" i="47"/>
  <c r="AB30" i="47"/>
  <c r="AC30" i="47"/>
  <c r="F31" i="47"/>
  <c r="G31" i="47"/>
  <c r="H31" i="47"/>
  <c r="I31" i="47"/>
  <c r="J31" i="47"/>
  <c r="K31" i="47"/>
  <c r="L31" i="47"/>
  <c r="M31" i="47"/>
  <c r="N31" i="47"/>
  <c r="O31" i="47"/>
  <c r="P31" i="47"/>
  <c r="Q31" i="47"/>
  <c r="R31" i="47"/>
  <c r="S31" i="47"/>
  <c r="T31" i="47"/>
  <c r="U31" i="47"/>
  <c r="V31" i="47"/>
  <c r="W31" i="47"/>
  <c r="X31" i="47"/>
  <c r="Y31" i="47"/>
  <c r="Z31" i="47"/>
  <c r="AA31" i="47"/>
  <c r="AB31" i="47"/>
  <c r="AC31" i="47"/>
  <c r="F32" i="47"/>
  <c r="G32" i="47"/>
  <c r="H32" i="47"/>
  <c r="I32" i="47"/>
  <c r="J32" i="47"/>
  <c r="K32" i="47"/>
  <c r="L32" i="47"/>
  <c r="M32" i="47"/>
  <c r="N32" i="47"/>
  <c r="O32" i="47"/>
  <c r="P32" i="47"/>
  <c r="Q32" i="47"/>
  <c r="R32" i="47"/>
  <c r="S32" i="47"/>
  <c r="T32" i="47"/>
  <c r="U32" i="47"/>
  <c r="V32" i="47"/>
  <c r="W32" i="47"/>
  <c r="X32" i="47"/>
  <c r="Y32" i="47"/>
  <c r="Z32" i="47"/>
  <c r="AA32" i="47"/>
  <c r="AB32" i="47"/>
  <c r="AC32" i="47"/>
  <c r="F33" i="47"/>
  <c r="G33" i="47"/>
  <c r="H33" i="47"/>
  <c r="I33" i="47"/>
  <c r="J33" i="47"/>
  <c r="K33" i="47"/>
  <c r="L33" i="47"/>
  <c r="M33" i="47"/>
  <c r="N33" i="47"/>
  <c r="O33" i="47"/>
  <c r="P33" i="47"/>
  <c r="Q33" i="47"/>
  <c r="R33" i="47"/>
  <c r="S33" i="47"/>
  <c r="T33" i="47"/>
  <c r="U33" i="47"/>
  <c r="V33" i="47"/>
  <c r="W33" i="47"/>
  <c r="X33" i="47"/>
  <c r="Y33" i="47"/>
  <c r="Z33" i="47"/>
  <c r="AA33" i="47"/>
  <c r="AB33" i="47"/>
  <c r="AC33" i="47"/>
  <c r="F34" i="47"/>
  <c r="G34" i="47"/>
  <c r="H34" i="47"/>
  <c r="I34" i="47"/>
  <c r="J34" i="47"/>
  <c r="K34" i="47"/>
  <c r="L34" i="47"/>
  <c r="M34" i="47"/>
  <c r="N34" i="47"/>
  <c r="O34" i="47"/>
  <c r="P34" i="47"/>
  <c r="Q34" i="47"/>
  <c r="R34" i="47"/>
  <c r="S34" i="47"/>
  <c r="T34" i="47"/>
  <c r="U34" i="47"/>
  <c r="V34" i="47"/>
  <c r="W34" i="47"/>
  <c r="X34" i="47"/>
  <c r="Y34" i="47"/>
  <c r="Z34" i="47"/>
  <c r="AA34" i="47"/>
  <c r="AB34" i="47"/>
  <c r="AC34" i="47"/>
  <c r="F35" i="47"/>
  <c r="G35" i="47"/>
  <c r="H35" i="47"/>
  <c r="I35" i="47"/>
  <c r="J35" i="47"/>
  <c r="K35" i="47"/>
  <c r="L35" i="47"/>
  <c r="M35" i="47"/>
  <c r="N35" i="47"/>
  <c r="O35" i="47"/>
  <c r="P35" i="47"/>
  <c r="Q35" i="47"/>
  <c r="R35" i="47"/>
  <c r="S35" i="47"/>
  <c r="T35" i="47"/>
  <c r="U35" i="47"/>
  <c r="V35" i="47"/>
  <c r="W35" i="47"/>
  <c r="X35" i="47"/>
  <c r="Y35" i="47"/>
  <c r="Z35" i="47"/>
  <c r="AA35" i="47"/>
  <c r="AB35" i="47"/>
  <c r="AC35" i="47"/>
  <c r="F36" i="47"/>
  <c r="G36" i="47"/>
  <c r="H36" i="47"/>
  <c r="I36" i="47"/>
  <c r="J36" i="47"/>
  <c r="K36" i="47"/>
  <c r="L36" i="47"/>
  <c r="M36" i="47"/>
  <c r="N36" i="47"/>
  <c r="O36" i="47"/>
  <c r="P36" i="47"/>
  <c r="Q36" i="47"/>
  <c r="R36" i="47"/>
  <c r="S36" i="47"/>
  <c r="T36" i="47"/>
  <c r="U36" i="47"/>
  <c r="V36" i="47"/>
  <c r="W36" i="47"/>
  <c r="X36" i="47"/>
  <c r="Y36" i="47"/>
  <c r="Z36" i="47"/>
  <c r="AA36" i="47"/>
  <c r="AB36" i="47"/>
  <c r="AC36" i="47"/>
  <c r="F37" i="47"/>
  <c r="G37" i="47"/>
  <c r="H37" i="47"/>
  <c r="I37" i="47"/>
  <c r="J37" i="47"/>
  <c r="K37" i="47"/>
  <c r="L37" i="47"/>
  <c r="M37" i="47"/>
  <c r="N37" i="47"/>
  <c r="O37" i="47"/>
  <c r="P37" i="47"/>
  <c r="Q37" i="47"/>
  <c r="R37" i="47"/>
  <c r="S37" i="47"/>
  <c r="T37" i="47"/>
  <c r="U37" i="47"/>
  <c r="V37" i="47"/>
  <c r="W37" i="47"/>
  <c r="X37" i="47"/>
  <c r="Y37" i="47"/>
  <c r="Z37" i="47"/>
  <c r="AA37" i="47"/>
  <c r="AB37" i="47"/>
  <c r="AC37" i="47"/>
  <c r="F38" i="47"/>
  <c r="G38" i="47"/>
  <c r="H38" i="47"/>
  <c r="I38" i="47"/>
  <c r="J38" i="47"/>
  <c r="K38" i="47"/>
  <c r="L38" i="47"/>
  <c r="M38" i="47"/>
  <c r="N38" i="47"/>
  <c r="O38" i="47"/>
  <c r="P38" i="47"/>
  <c r="Q38" i="47"/>
  <c r="R38" i="47"/>
  <c r="S38" i="47"/>
  <c r="T38" i="47"/>
  <c r="U38" i="47"/>
  <c r="V38" i="47"/>
  <c r="W38" i="47"/>
  <c r="X38" i="47"/>
  <c r="Y38" i="47"/>
  <c r="Z38" i="47"/>
  <c r="AA38" i="47"/>
  <c r="AB38" i="47"/>
  <c r="AC38" i="47"/>
  <c r="F39" i="47"/>
  <c r="G39" i="47"/>
  <c r="H39" i="47"/>
  <c r="I39" i="47"/>
  <c r="J39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W39" i="47"/>
  <c r="X39" i="47"/>
  <c r="Y39" i="47"/>
  <c r="Z39" i="47"/>
  <c r="AA39" i="47"/>
  <c r="AB39" i="47"/>
  <c r="AC39" i="47"/>
  <c r="F40" i="47"/>
  <c r="G40" i="47"/>
  <c r="H40" i="47"/>
  <c r="I40" i="47"/>
  <c r="J40" i="47"/>
  <c r="K40" i="47"/>
  <c r="L40" i="47"/>
  <c r="M40" i="47"/>
  <c r="N40" i="47"/>
  <c r="O40" i="47"/>
  <c r="P40" i="47"/>
  <c r="Q40" i="47"/>
  <c r="R40" i="47"/>
  <c r="S40" i="47"/>
  <c r="T40" i="47"/>
  <c r="U40" i="47"/>
  <c r="V40" i="47"/>
  <c r="W40" i="47"/>
  <c r="X40" i="47"/>
  <c r="Y40" i="47"/>
  <c r="Z40" i="47"/>
  <c r="AA40" i="47"/>
  <c r="AB40" i="47"/>
  <c r="AC40" i="47"/>
  <c r="F41" i="47"/>
  <c r="G41" i="47"/>
  <c r="H41" i="47"/>
  <c r="I41" i="47"/>
  <c r="J41" i="47"/>
  <c r="K41" i="47"/>
  <c r="L41" i="47"/>
  <c r="M41" i="47"/>
  <c r="N41" i="47"/>
  <c r="O41" i="47"/>
  <c r="P41" i="47"/>
  <c r="Q41" i="47"/>
  <c r="R41" i="47"/>
  <c r="S41" i="47"/>
  <c r="T41" i="47"/>
  <c r="U41" i="47"/>
  <c r="V41" i="47"/>
  <c r="W41" i="47"/>
  <c r="X41" i="47"/>
  <c r="Y41" i="47"/>
  <c r="Z41" i="47"/>
  <c r="AA41" i="47"/>
  <c r="AB41" i="47"/>
  <c r="AC41" i="47"/>
  <c r="F42" i="47"/>
  <c r="G42" i="47"/>
  <c r="H42" i="47"/>
  <c r="I42" i="47"/>
  <c r="J42" i="47"/>
  <c r="K42" i="47"/>
  <c r="L42" i="47"/>
  <c r="M42" i="47"/>
  <c r="N42" i="47"/>
  <c r="O42" i="47"/>
  <c r="P42" i="47"/>
  <c r="Q42" i="47"/>
  <c r="R42" i="47"/>
  <c r="S42" i="47"/>
  <c r="T42" i="47"/>
  <c r="U42" i="47"/>
  <c r="V42" i="47"/>
  <c r="W42" i="47"/>
  <c r="X42" i="47"/>
  <c r="Y42" i="47"/>
  <c r="Z42" i="47"/>
  <c r="AA42" i="47"/>
  <c r="AB42" i="47"/>
  <c r="AC42" i="47"/>
  <c r="F43" i="47"/>
  <c r="G43" i="47"/>
  <c r="H43" i="47"/>
  <c r="I43" i="47"/>
  <c r="J43" i="47"/>
  <c r="K43" i="47"/>
  <c r="L43" i="47"/>
  <c r="M43" i="47"/>
  <c r="N43" i="47"/>
  <c r="O43" i="47"/>
  <c r="P43" i="47"/>
  <c r="Q43" i="47"/>
  <c r="R43" i="47"/>
  <c r="S43" i="47"/>
  <c r="T43" i="47"/>
  <c r="U43" i="47"/>
  <c r="V43" i="47"/>
  <c r="W43" i="47"/>
  <c r="X43" i="47"/>
  <c r="Y43" i="47"/>
  <c r="Z43" i="47"/>
  <c r="AA43" i="47"/>
  <c r="AB43" i="47"/>
  <c r="AC43" i="47"/>
  <c r="F44" i="47"/>
  <c r="G44" i="47"/>
  <c r="H44" i="47"/>
  <c r="I44" i="47"/>
  <c r="J44" i="47"/>
  <c r="K44" i="47"/>
  <c r="L44" i="47"/>
  <c r="M44" i="47"/>
  <c r="N44" i="47"/>
  <c r="O44" i="47"/>
  <c r="P44" i="47"/>
  <c r="Q44" i="47"/>
  <c r="R44" i="47"/>
  <c r="S44" i="47"/>
  <c r="T44" i="47"/>
  <c r="U44" i="47"/>
  <c r="V44" i="47"/>
  <c r="W44" i="47"/>
  <c r="X44" i="47"/>
  <c r="Y44" i="47"/>
  <c r="Z44" i="47"/>
  <c r="AA44" i="47"/>
  <c r="AB44" i="47"/>
  <c r="AC44" i="47"/>
  <c r="F45" i="47"/>
  <c r="G45" i="47"/>
  <c r="H45" i="47"/>
  <c r="I45" i="47"/>
  <c r="J45" i="47"/>
  <c r="K45" i="47"/>
  <c r="L45" i="47"/>
  <c r="M45" i="47"/>
  <c r="N45" i="47"/>
  <c r="O45" i="47"/>
  <c r="P45" i="47"/>
  <c r="Q45" i="47"/>
  <c r="R45" i="47"/>
  <c r="S45" i="47"/>
  <c r="T45" i="47"/>
  <c r="U45" i="47"/>
  <c r="V45" i="47"/>
  <c r="W45" i="47"/>
  <c r="X45" i="47"/>
  <c r="Y45" i="47"/>
  <c r="Z45" i="47"/>
  <c r="AA45" i="47"/>
  <c r="AB45" i="47"/>
  <c r="AC45" i="47"/>
  <c r="F46" i="47"/>
  <c r="G46" i="47"/>
  <c r="H46" i="47"/>
  <c r="I46" i="47"/>
  <c r="J46" i="47"/>
  <c r="K46" i="47"/>
  <c r="L46" i="47"/>
  <c r="M46" i="47"/>
  <c r="N46" i="47"/>
  <c r="O46" i="47"/>
  <c r="P46" i="47"/>
  <c r="Q46" i="47"/>
  <c r="R46" i="47"/>
  <c r="S46" i="47"/>
  <c r="T46" i="47"/>
  <c r="U46" i="47"/>
  <c r="V46" i="47"/>
  <c r="W46" i="47"/>
  <c r="X46" i="47"/>
  <c r="Y46" i="47"/>
  <c r="Z46" i="47"/>
  <c r="AA46" i="47"/>
  <c r="AB46" i="47"/>
  <c r="AC46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R47" i="47"/>
  <c r="S47" i="47"/>
  <c r="T47" i="47"/>
  <c r="U47" i="47"/>
  <c r="V47" i="47"/>
  <c r="W47" i="47"/>
  <c r="X47" i="47"/>
  <c r="Y47" i="47"/>
  <c r="Z47" i="47"/>
  <c r="AA47" i="47"/>
  <c r="AB47" i="47"/>
  <c r="AC47" i="47"/>
  <c r="F48" i="47"/>
  <c r="G48" i="47"/>
  <c r="H48" i="47"/>
  <c r="I48" i="47"/>
  <c r="J48" i="47"/>
  <c r="K48" i="47"/>
  <c r="L48" i="47"/>
  <c r="M48" i="47"/>
  <c r="N48" i="47"/>
  <c r="O48" i="47"/>
  <c r="P48" i="47"/>
  <c r="Q48" i="47"/>
  <c r="R48" i="47"/>
  <c r="S48" i="47"/>
  <c r="T48" i="47"/>
  <c r="U48" i="47"/>
  <c r="V48" i="47"/>
  <c r="W48" i="47"/>
  <c r="X48" i="47"/>
  <c r="Y48" i="47"/>
  <c r="Z48" i="47"/>
  <c r="AA48" i="47"/>
  <c r="AB48" i="47"/>
  <c r="AC48" i="47"/>
  <c r="F49" i="47"/>
  <c r="G49" i="47"/>
  <c r="H49" i="47"/>
  <c r="I49" i="47"/>
  <c r="J49" i="47"/>
  <c r="K49" i="47"/>
  <c r="L49" i="47"/>
  <c r="M49" i="47"/>
  <c r="N49" i="47"/>
  <c r="O49" i="47"/>
  <c r="P49" i="47"/>
  <c r="Q49" i="47"/>
  <c r="R49" i="47"/>
  <c r="S49" i="47"/>
  <c r="T49" i="47"/>
  <c r="U49" i="47"/>
  <c r="V49" i="47"/>
  <c r="W49" i="47"/>
  <c r="X49" i="47"/>
  <c r="Y49" i="47"/>
  <c r="Z49" i="47"/>
  <c r="AA49" i="47"/>
  <c r="AB49" i="47"/>
  <c r="AC49" i="47"/>
  <c r="F50" i="47"/>
  <c r="G50" i="47"/>
  <c r="H50" i="47"/>
  <c r="I50" i="47"/>
  <c r="J50" i="47"/>
  <c r="K50" i="47"/>
  <c r="L50" i="47"/>
  <c r="M50" i="47"/>
  <c r="N50" i="47"/>
  <c r="O50" i="47"/>
  <c r="P50" i="47"/>
  <c r="Q50" i="47"/>
  <c r="R50" i="47"/>
  <c r="S50" i="47"/>
  <c r="T50" i="47"/>
  <c r="U50" i="47"/>
  <c r="V50" i="47"/>
  <c r="W50" i="47"/>
  <c r="X50" i="47"/>
  <c r="Y50" i="47"/>
  <c r="Z50" i="47"/>
  <c r="AA50" i="47"/>
  <c r="AB50" i="47"/>
  <c r="AC50" i="47"/>
  <c r="F51" i="47"/>
  <c r="G51" i="47"/>
  <c r="H51" i="47"/>
  <c r="I51" i="47"/>
  <c r="J51" i="47"/>
  <c r="K51" i="47"/>
  <c r="L51" i="47"/>
  <c r="M51" i="47"/>
  <c r="N51" i="47"/>
  <c r="O51" i="47"/>
  <c r="P51" i="47"/>
  <c r="Q51" i="47"/>
  <c r="R51" i="47"/>
  <c r="S51" i="47"/>
  <c r="T51" i="47"/>
  <c r="U51" i="47"/>
  <c r="V51" i="47"/>
  <c r="W51" i="47"/>
  <c r="X51" i="47"/>
  <c r="Y51" i="47"/>
  <c r="Z51" i="47"/>
  <c r="AA51" i="47"/>
  <c r="AB51" i="47"/>
  <c r="AC51" i="47"/>
  <c r="F52" i="47"/>
  <c r="G52" i="47"/>
  <c r="H52" i="47"/>
  <c r="I52" i="47"/>
  <c r="J52" i="47"/>
  <c r="K52" i="47"/>
  <c r="L52" i="47"/>
  <c r="M52" i="47"/>
  <c r="N52" i="47"/>
  <c r="O52" i="47"/>
  <c r="P52" i="47"/>
  <c r="Q52" i="47"/>
  <c r="R52" i="47"/>
  <c r="S52" i="47"/>
  <c r="T52" i="47"/>
  <c r="U52" i="47"/>
  <c r="V52" i="47"/>
  <c r="W52" i="47"/>
  <c r="X52" i="47"/>
  <c r="Y52" i="47"/>
  <c r="Z52" i="47"/>
  <c r="AA52" i="47"/>
  <c r="AB52" i="47"/>
  <c r="AC52" i="47"/>
  <c r="F53" i="47"/>
  <c r="G53" i="47"/>
  <c r="H53" i="47"/>
  <c r="I53" i="47"/>
  <c r="J53" i="47"/>
  <c r="K53" i="47"/>
  <c r="L53" i="47"/>
  <c r="M53" i="47"/>
  <c r="N53" i="47"/>
  <c r="O53" i="47"/>
  <c r="P53" i="47"/>
  <c r="Q53" i="47"/>
  <c r="R53" i="47"/>
  <c r="S53" i="47"/>
  <c r="T53" i="47"/>
  <c r="U53" i="47"/>
  <c r="V53" i="47"/>
  <c r="W53" i="47"/>
  <c r="X53" i="47"/>
  <c r="Y53" i="47"/>
  <c r="Z53" i="47"/>
  <c r="AA53" i="47"/>
  <c r="AB53" i="47"/>
  <c r="AC53" i="47"/>
  <c r="F54" i="47"/>
  <c r="G54" i="47"/>
  <c r="H54" i="47"/>
  <c r="I54" i="47"/>
  <c r="J54" i="47"/>
  <c r="K54" i="47"/>
  <c r="L54" i="47"/>
  <c r="M54" i="47"/>
  <c r="N54" i="47"/>
  <c r="O54" i="47"/>
  <c r="P54" i="47"/>
  <c r="Q54" i="47"/>
  <c r="R54" i="47"/>
  <c r="S54" i="47"/>
  <c r="T54" i="47"/>
  <c r="U54" i="47"/>
  <c r="V54" i="47"/>
  <c r="W54" i="47"/>
  <c r="X54" i="47"/>
  <c r="Y54" i="47"/>
  <c r="Z54" i="47"/>
  <c r="AA54" i="47"/>
  <c r="AB54" i="47"/>
  <c r="AC54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F7" i="47"/>
  <c r="AG47" i="47"/>
  <c r="F8" i="46"/>
  <c r="G8" i="46"/>
  <c r="H8" i="46"/>
  <c r="I8" i="46"/>
  <c r="J8" i="46"/>
  <c r="K8" i="46"/>
  <c r="L8" i="46"/>
  <c r="M8" i="46"/>
  <c r="N8" i="46"/>
  <c r="O8" i="46"/>
  <c r="P8" i="46"/>
  <c r="Q8" i="46"/>
  <c r="R8" i="46"/>
  <c r="S8" i="46"/>
  <c r="T8" i="46"/>
  <c r="U8" i="46"/>
  <c r="V8" i="46"/>
  <c r="W8" i="46"/>
  <c r="X8" i="46"/>
  <c r="Y8" i="46"/>
  <c r="Z8" i="46"/>
  <c r="AA8" i="46"/>
  <c r="AB8" i="46"/>
  <c r="AC8" i="46"/>
  <c r="F9" i="46"/>
  <c r="G9" i="46"/>
  <c r="H9" i="46"/>
  <c r="I9" i="46"/>
  <c r="J9" i="46"/>
  <c r="K9" i="46"/>
  <c r="L9" i="46"/>
  <c r="M9" i="46"/>
  <c r="N9" i="46"/>
  <c r="O9" i="46"/>
  <c r="P9" i="46"/>
  <c r="Q9" i="46"/>
  <c r="R9" i="46"/>
  <c r="S9" i="46"/>
  <c r="T9" i="46"/>
  <c r="U9" i="46"/>
  <c r="V9" i="46"/>
  <c r="W9" i="46"/>
  <c r="X9" i="46"/>
  <c r="Y9" i="46"/>
  <c r="Z9" i="46"/>
  <c r="AA9" i="46"/>
  <c r="AB9" i="46"/>
  <c r="AC9" i="46"/>
  <c r="F10" i="46"/>
  <c r="G10" i="46"/>
  <c r="H10" i="46"/>
  <c r="I10" i="46"/>
  <c r="J10" i="46"/>
  <c r="K10" i="46"/>
  <c r="L10" i="46"/>
  <c r="M10" i="46"/>
  <c r="N10" i="46"/>
  <c r="O10" i="46"/>
  <c r="P10" i="46"/>
  <c r="Q10" i="46"/>
  <c r="R10" i="46"/>
  <c r="S10" i="46"/>
  <c r="T10" i="46"/>
  <c r="U10" i="46"/>
  <c r="V10" i="46"/>
  <c r="W10" i="46"/>
  <c r="X10" i="46"/>
  <c r="Y10" i="46"/>
  <c r="Z10" i="46"/>
  <c r="AA10" i="46"/>
  <c r="AB10" i="46"/>
  <c r="AC10" i="46"/>
  <c r="F11" i="46"/>
  <c r="G11" i="46"/>
  <c r="H11" i="46"/>
  <c r="I11" i="46"/>
  <c r="J11" i="46"/>
  <c r="K11" i="46"/>
  <c r="L11" i="46"/>
  <c r="M11" i="46"/>
  <c r="N11" i="46"/>
  <c r="O11" i="46"/>
  <c r="P11" i="46"/>
  <c r="Q11" i="46"/>
  <c r="R11" i="46"/>
  <c r="S11" i="46"/>
  <c r="T11" i="46"/>
  <c r="U11" i="46"/>
  <c r="V11" i="46"/>
  <c r="W11" i="46"/>
  <c r="X11" i="46"/>
  <c r="Y11" i="46"/>
  <c r="Z11" i="46"/>
  <c r="AA11" i="46"/>
  <c r="AB11" i="46"/>
  <c r="AC11" i="46"/>
  <c r="F12" i="46"/>
  <c r="G12" i="46"/>
  <c r="H12" i="46"/>
  <c r="I12" i="46"/>
  <c r="J12" i="46"/>
  <c r="K12" i="46"/>
  <c r="L12" i="46"/>
  <c r="M12" i="46"/>
  <c r="N12" i="46"/>
  <c r="O12" i="46"/>
  <c r="P12" i="46"/>
  <c r="Q12" i="46"/>
  <c r="R12" i="46"/>
  <c r="S12" i="46"/>
  <c r="T12" i="46"/>
  <c r="U12" i="46"/>
  <c r="V12" i="46"/>
  <c r="W12" i="46"/>
  <c r="X12" i="46"/>
  <c r="Y12" i="46"/>
  <c r="Z12" i="46"/>
  <c r="AA12" i="46"/>
  <c r="AB12" i="46"/>
  <c r="AC12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R13" i="46"/>
  <c r="S13" i="46"/>
  <c r="T13" i="46"/>
  <c r="U13" i="46"/>
  <c r="V13" i="46"/>
  <c r="W13" i="46"/>
  <c r="X13" i="46"/>
  <c r="Y13" i="46"/>
  <c r="Z13" i="46"/>
  <c r="AA13" i="46"/>
  <c r="AB13" i="46"/>
  <c r="AC13" i="46"/>
  <c r="F14" i="46"/>
  <c r="G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U14" i="46"/>
  <c r="V14" i="46"/>
  <c r="W14" i="46"/>
  <c r="X14" i="46"/>
  <c r="Y14" i="46"/>
  <c r="Z14" i="46"/>
  <c r="AA14" i="46"/>
  <c r="AB14" i="46"/>
  <c r="AC14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U15" i="46"/>
  <c r="V15" i="46"/>
  <c r="W15" i="46"/>
  <c r="X15" i="46"/>
  <c r="Y15" i="46"/>
  <c r="Z15" i="46"/>
  <c r="AA15" i="46"/>
  <c r="AB15" i="46"/>
  <c r="AC15" i="46"/>
  <c r="F16" i="46"/>
  <c r="G16" i="46"/>
  <c r="H16" i="46"/>
  <c r="I16" i="46"/>
  <c r="J16" i="46"/>
  <c r="K16" i="46"/>
  <c r="L16" i="46"/>
  <c r="M16" i="46"/>
  <c r="N16" i="46"/>
  <c r="O16" i="46"/>
  <c r="P16" i="46"/>
  <c r="Q16" i="46"/>
  <c r="R16" i="46"/>
  <c r="S16" i="46"/>
  <c r="T16" i="46"/>
  <c r="U16" i="46"/>
  <c r="V16" i="46"/>
  <c r="W16" i="46"/>
  <c r="X16" i="46"/>
  <c r="Y16" i="46"/>
  <c r="Z16" i="46"/>
  <c r="AA16" i="46"/>
  <c r="AB16" i="46"/>
  <c r="AC16" i="46"/>
  <c r="F17" i="46"/>
  <c r="G17" i="46"/>
  <c r="H17" i="46"/>
  <c r="I17" i="46"/>
  <c r="J17" i="46"/>
  <c r="K17" i="46"/>
  <c r="L17" i="46"/>
  <c r="M17" i="46"/>
  <c r="N17" i="46"/>
  <c r="O17" i="46"/>
  <c r="P17" i="46"/>
  <c r="Q17" i="46"/>
  <c r="R17" i="46"/>
  <c r="S17" i="46"/>
  <c r="T17" i="46"/>
  <c r="U17" i="46"/>
  <c r="V17" i="46"/>
  <c r="W17" i="46"/>
  <c r="X17" i="46"/>
  <c r="Y17" i="46"/>
  <c r="Z17" i="46"/>
  <c r="AA17" i="46"/>
  <c r="AB17" i="46"/>
  <c r="AC17" i="46"/>
  <c r="F18" i="46"/>
  <c r="G18" i="46"/>
  <c r="H18" i="46"/>
  <c r="I18" i="46"/>
  <c r="J18" i="46"/>
  <c r="K18" i="46"/>
  <c r="L18" i="46"/>
  <c r="M18" i="46"/>
  <c r="N18" i="46"/>
  <c r="O18" i="46"/>
  <c r="P18" i="46"/>
  <c r="Q18" i="46"/>
  <c r="R18" i="46"/>
  <c r="S18" i="46"/>
  <c r="T18" i="46"/>
  <c r="U18" i="46"/>
  <c r="V18" i="46"/>
  <c r="W18" i="46"/>
  <c r="X18" i="46"/>
  <c r="Y18" i="46"/>
  <c r="Z18" i="46"/>
  <c r="AA18" i="46"/>
  <c r="AB18" i="46"/>
  <c r="AC18" i="46"/>
  <c r="F19" i="46"/>
  <c r="G19" i="46"/>
  <c r="H19" i="46"/>
  <c r="I19" i="46"/>
  <c r="J19" i="46"/>
  <c r="K19" i="46"/>
  <c r="L19" i="46"/>
  <c r="M19" i="46"/>
  <c r="N19" i="46"/>
  <c r="O19" i="46"/>
  <c r="P19" i="46"/>
  <c r="Q19" i="46"/>
  <c r="R19" i="46"/>
  <c r="S19" i="46"/>
  <c r="T19" i="46"/>
  <c r="U19" i="46"/>
  <c r="V19" i="46"/>
  <c r="W19" i="46"/>
  <c r="X19" i="46"/>
  <c r="Y19" i="46"/>
  <c r="Z19" i="46"/>
  <c r="AA19" i="46"/>
  <c r="AB19" i="46"/>
  <c r="AC19" i="46"/>
  <c r="F20" i="46"/>
  <c r="G20" i="46"/>
  <c r="H20" i="46"/>
  <c r="I20" i="46"/>
  <c r="J20" i="46"/>
  <c r="K20" i="46"/>
  <c r="L20" i="46"/>
  <c r="M20" i="46"/>
  <c r="N20" i="46"/>
  <c r="O20" i="46"/>
  <c r="P20" i="46"/>
  <c r="Q20" i="46"/>
  <c r="R20" i="46"/>
  <c r="S20" i="46"/>
  <c r="T20" i="46"/>
  <c r="U20" i="46"/>
  <c r="V20" i="46"/>
  <c r="W20" i="46"/>
  <c r="X20" i="46"/>
  <c r="Y20" i="46"/>
  <c r="Z20" i="46"/>
  <c r="AA20" i="46"/>
  <c r="AB20" i="46"/>
  <c r="AC20" i="46"/>
  <c r="F21" i="46"/>
  <c r="G21" i="46"/>
  <c r="H21" i="46"/>
  <c r="I21" i="46"/>
  <c r="J21" i="46"/>
  <c r="K21" i="46"/>
  <c r="L21" i="46"/>
  <c r="M21" i="46"/>
  <c r="N21" i="46"/>
  <c r="O21" i="46"/>
  <c r="P21" i="46"/>
  <c r="Q21" i="46"/>
  <c r="R21" i="46"/>
  <c r="S21" i="46"/>
  <c r="T21" i="46"/>
  <c r="U21" i="46"/>
  <c r="V21" i="46"/>
  <c r="W21" i="46"/>
  <c r="X21" i="46"/>
  <c r="Y21" i="46"/>
  <c r="Z21" i="46"/>
  <c r="AA21" i="46"/>
  <c r="AB21" i="46"/>
  <c r="AC21" i="46"/>
  <c r="F22" i="46"/>
  <c r="G22" i="46"/>
  <c r="H22" i="46"/>
  <c r="I22" i="46"/>
  <c r="J22" i="46"/>
  <c r="K22" i="46"/>
  <c r="L22" i="46"/>
  <c r="M22" i="46"/>
  <c r="N22" i="46"/>
  <c r="O22" i="46"/>
  <c r="P22" i="46"/>
  <c r="Q22" i="46"/>
  <c r="R22" i="46"/>
  <c r="S22" i="46"/>
  <c r="T22" i="46"/>
  <c r="U22" i="46"/>
  <c r="V22" i="46"/>
  <c r="W22" i="46"/>
  <c r="X22" i="46"/>
  <c r="Y22" i="46"/>
  <c r="Z22" i="46"/>
  <c r="AA22" i="46"/>
  <c r="AB22" i="46"/>
  <c r="AC22" i="46"/>
  <c r="F23" i="46"/>
  <c r="G23" i="46"/>
  <c r="H23" i="46"/>
  <c r="I23" i="46"/>
  <c r="J23" i="46"/>
  <c r="K23" i="46"/>
  <c r="L23" i="46"/>
  <c r="M23" i="46"/>
  <c r="N23" i="46"/>
  <c r="O23" i="46"/>
  <c r="P23" i="46"/>
  <c r="Q23" i="46"/>
  <c r="R23" i="46"/>
  <c r="S23" i="46"/>
  <c r="T23" i="46"/>
  <c r="U23" i="46"/>
  <c r="V23" i="46"/>
  <c r="W23" i="46"/>
  <c r="X23" i="46"/>
  <c r="Y23" i="46"/>
  <c r="Z23" i="46"/>
  <c r="AA23" i="46"/>
  <c r="AB23" i="46"/>
  <c r="AC23" i="46"/>
  <c r="F24" i="46"/>
  <c r="G24" i="46"/>
  <c r="H24" i="46"/>
  <c r="I24" i="46"/>
  <c r="J24" i="46"/>
  <c r="K24" i="46"/>
  <c r="L24" i="46"/>
  <c r="M24" i="46"/>
  <c r="N24" i="46"/>
  <c r="O24" i="46"/>
  <c r="P24" i="46"/>
  <c r="Q24" i="46"/>
  <c r="R24" i="46"/>
  <c r="S24" i="46"/>
  <c r="T24" i="46"/>
  <c r="U24" i="46"/>
  <c r="V24" i="46"/>
  <c r="W24" i="46"/>
  <c r="X24" i="46"/>
  <c r="Y24" i="46"/>
  <c r="Z24" i="46"/>
  <c r="AA24" i="46"/>
  <c r="AB24" i="46"/>
  <c r="AC24" i="46"/>
  <c r="F25" i="46"/>
  <c r="G25" i="46"/>
  <c r="H25" i="46"/>
  <c r="I25" i="46"/>
  <c r="J25" i="46"/>
  <c r="K25" i="46"/>
  <c r="L25" i="46"/>
  <c r="M25" i="46"/>
  <c r="N25" i="46"/>
  <c r="O25" i="46"/>
  <c r="P25" i="46"/>
  <c r="Q25" i="46"/>
  <c r="R25" i="46"/>
  <c r="S25" i="46"/>
  <c r="T25" i="46"/>
  <c r="U25" i="46"/>
  <c r="V25" i="46"/>
  <c r="W25" i="46"/>
  <c r="X25" i="46"/>
  <c r="Y25" i="46"/>
  <c r="Z25" i="46"/>
  <c r="AA25" i="46"/>
  <c r="AB25" i="46"/>
  <c r="AC25" i="46"/>
  <c r="F26" i="46"/>
  <c r="G26" i="46"/>
  <c r="H26" i="46"/>
  <c r="I26" i="46"/>
  <c r="J26" i="46"/>
  <c r="K26" i="46"/>
  <c r="L26" i="46"/>
  <c r="M26" i="46"/>
  <c r="N26" i="46"/>
  <c r="O26" i="46"/>
  <c r="P26" i="46"/>
  <c r="Q26" i="46"/>
  <c r="R26" i="46"/>
  <c r="S26" i="46"/>
  <c r="T26" i="46"/>
  <c r="U26" i="46"/>
  <c r="V26" i="46"/>
  <c r="W26" i="46"/>
  <c r="X26" i="46"/>
  <c r="Y26" i="46"/>
  <c r="Z26" i="46"/>
  <c r="AA26" i="46"/>
  <c r="AB26" i="46"/>
  <c r="AC26" i="46"/>
  <c r="F27" i="46"/>
  <c r="G27" i="46"/>
  <c r="H27" i="46"/>
  <c r="I27" i="46"/>
  <c r="J27" i="46"/>
  <c r="K27" i="46"/>
  <c r="L27" i="46"/>
  <c r="M27" i="46"/>
  <c r="N27" i="46"/>
  <c r="O27" i="46"/>
  <c r="P27" i="46"/>
  <c r="Q27" i="46"/>
  <c r="R27" i="46"/>
  <c r="S27" i="46"/>
  <c r="T27" i="46"/>
  <c r="U27" i="46"/>
  <c r="V27" i="46"/>
  <c r="W27" i="46"/>
  <c r="X27" i="46"/>
  <c r="Y27" i="46"/>
  <c r="Z27" i="46"/>
  <c r="AA27" i="46"/>
  <c r="AB27" i="46"/>
  <c r="AC27" i="46"/>
  <c r="F28" i="46"/>
  <c r="G28" i="46"/>
  <c r="H28" i="46"/>
  <c r="I28" i="46"/>
  <c r="J28" i="46"/>
  <c r="K28" i="46"/>
  <c r="L28" i="46"/>
  <c r="M28" i="46"/>
  <c r="N28" i="46"/>
  <c r="O28" i="46"/>
  <c r="P28" i="46"/>
  <c r="Q28" i="46"/>
  <c r="R28" i="46"/>
  <c r="S28" i="46"/>
  <c r="T28" i="46"/>
  <c r="U28" i="46"/>
  <c r="V28" i="46"/>
  <c r="W28" i="46"/>
  <c r="X28" i="46"/>
  <c r="Y28" i="46"/>
  <c r="Z28" i="46"/>
  <c r="AA28" i="46"/>
  <c r="AB28" i="46"/>
  <c r="AC28" i="46"/>
  <c r="F29" i="46"/>
  <c r="G29" i="46"/>
  <c r="H29" i="46"/>
  <c r="I29" i="46"/>
  <c r="J29" i="46"/>
  <c r="K29" i="46"/>
  <c r="L29" i="46"/>
  <c r="M29" i="46"/>
  <c r="N29" i="46"/>
  <c r="O29" i="46"/>
  <c r="P29" i="46"/>
  <c r="Q29" i="46"/>
  <c r="R29" i="46"/>
  <c r="S29" i="46"/>
  <c r="T29" i="46"/>
  <c r="U29" i="46"/>
  <c r="V29" i="46"/>
  <c r="W29" i="46"/>
  <c r="X29" i="46"/>
  <c r="Y29" i="46"/>
  <c r="Z29" i="46"/>
  <c r="AA29" i="46"/>
  <c r="AB29" i="46"/>
  <c r="AC29" i="46"/>
  <c r="F30" i="46"/>
  <c r="G30" i="46"/>
  <c r="H30" i="46"/>
  <c r="I30" i="46"/>
  <c r="J30" i="46"/>
  <c r="K30" i="46"/>
  <c r="L30" i="46"/>
  <c r="M30" i="46"/>
  <c r="N30" i="46"/>
  <c r="O30" i="46"/>
  <c r="P30" i="46"/>
  <c r="Q30" i="46"/>
  <c r="R30" i="46"/>
  <c r="S30" i="46"/>
  <c r="T30" i="46"/>
  <c r="U30" i="46"/>
  <c r="V30" i="46"/>
  <c r="W30" i="46"/>
  <c r="X30" i="46"/>
  <c r="Y30" i="46"/>
  <c r="Z30" i="46"/>
  <c r="AA30" i="46"/>
  <c r="AB30" i="46"/>
  <c r="AC30" i="46"/>
  <c r="F31" i="46"/>
  <c r="G31" i="46"/>
  <c r="H31" i="46"/>
  <c r="I31" i="46"/>
  <c r="J31" i="46"/>
  <c r="K31" i="46"/>
  <c r="L31" i="46"/>
  <c r="M31" i="46"/>
  <c r="N31" i="46"/>
  <c r="O31" i="46"/>
  <c r="P31" i="46"/>
  <c r="Q31" i="46"/>
  <c r="R31" i="46"/>
  <c r="S31" i="46"/>
  <c r="T31" i="46"/>
  <c r="U31" i="46"/>
  <c r="V31" i="46"/>
  <c r="W31" i="46"/>
  <c r="X31" i="46"/>
  <c r="Y31" i="46"/>
  <c r="Z31" i="46"/>
  <c r="AA31" i="46"/>
  <c r="AB31" i="46"/>
  <c r="AC31" i="46"/>
  <c r="F32" i="46"/>
  <c r="G32" i="46"/>
  <c r="H32" i="46"/>
  <c r="I32" i="46"/>
  <c r="J32" i="46"/>
  <c r="K32" i="46"/>
  <c r="L32" i="46"/>
  <c r="M32" i="46"/>
  <c r="N32" i="46"/>
  <c r="O32" i="46"/>
  <c r="P32" i="46"/>
  <c r="Q32" i="46"/>
  <c r="R32" i="46"/>
  <c r="S32" i="46"/>
  <c r="T32" i="46"/>
  <c r="U32" i="46"/>
  <c r="V32" i="46"/>
  <c r="W32" i="46"/>
  <c r="X32" i="46"/>
  <c r="Y32" i="46"/>
  <c r="Z32" i="46"/>
  <c r="AA32" i="46"/>
  <c r="AB32" i="46"/>
  <c r="AC32" i="46"/>
  <c r="F33" i="46"/>
  <c r="G33" i="46"/>
  <c r="H33" i="46"/>
  <c r="I33" i="46"/>
  <c r="J33" i="46"/>
  <c r="K33" i="46"/>
  <c r="L33" i="46"/>
  <c r="M33" i="46"/>
  <c r="N33" i="46"/>
  <c r="O33" i="46"/>
  <c r="P33" i="46"/>
  <c r="Q33" i="46"/>
  <c r="R33" i="46"/>
  <c r="S33" i="46"/>
  <c r="T33" i="46"/>
  <c r="U33" i="46"/>
  <c r="V33" i="46"/>
  <c r="W33" i="46"/>
  <c r="X33" i="46"/>
  <c r="Y33" i="46"/>
  <c r="Z33" i="46"/>
  <c r="AA33" i="46"/>
  <c r="AB33" i="46"/>
  <c r="AC33" i="46"/>
  <c r="F34" i="46"/>
  <c r="G34" i="46"/>
  <c r="H34" i="46"/>
  <c r="I34" i="46"/>
  <c r="J34" i="46"/>
  <c r="K34" i="46"/>
  <c r="L34" i="46"/>
  <c r="M34" i="46"/>
  <c r="N34" i="46"/>
  <c r="O34" i="46"/>
  <c r="P34" i="46"/>
  <c r="Q34" i="46"/>
  <c r="R34" i="46"/>
  <c r="S34" i="46"/>
  <c r="T34" i="46"/>
  <c r="U34" i="46"/>
  <c r="V34" i="46"/>
  <c r="W34" i="46"/>
  <c r="X34" i="46"/>
  <c r="Y34" i="46"/>
  <c r="Z34" i="46"/>
  <c r="AA34" i="46"/>
  <c r="AB34" i="46"/>
  <c r="AC34" i="46"/>
  <c r="F35" i="46"/>
  <c r="G35" i="46"/>
  <c r="H35" i="46"/>
  <c r="I35" i="46"/>
  <c r="J35" i="46"/>
  <c r="K35" i="46"/>
  <c r="L35" i="46"/>
  <c r="M35" i="46"/>
  <c r="N35" i="46"/>
  <c r="O35" i="46"/>
  <c r="P35" i="46"/>
  <c r="Q35" i="46"/>
  <c r="R35" i="46"/>
  <c r="S35" i="46"/>
  <c r="T35" i="46"/>
  <c r="U35" i="46"/>
  <c r="V35" i="46"/>
  <c r="W35" i="46"/>
  <c r="X35" i="46"/>
  <c r="Y35" i="46"/>
  <c r="Z35" i="46"/>
  <c r="AA35" i="46"/>
  <c r="AB35" i="46"/>
  <c r="AC35" i="46"/>
  <c r="F36" i="46"/>
  <c r="G36" i="46"/>
  <c r="H36" i="46"/>
  <c r="I36" i="46"/>
  <c r="J36" i="46"/>
  <c r="K36" i="46"/>
  <c r="L36" i="46"/>
  <c r="M36" i="46"/>
  <c r="N36" i="46"/>
  <c r="O36" i="46"/>
  <c r="P36" i="46"/>
  <c r="Q36" i="46"/>
  <c r="R36" i="46"/>
  <c r="S36" i="46"/>
  <c r="T36" i="46"/>
  <c r="U36" i="46"/>
  <c r="V36" i="46"/>
  <c r="W36" i="46"/>
  <c r="X36" i="46"/>
  <c r="Y36" i="46"/>
  <c r="Z36" i="46"/>
  <c r="AA36" i="46"/>
  <c r="AB36" i="46"/>
  <c r="AC36" i="46"/>
  <c r="F37" i="46"/>
  <c r="G37" i="46"/>
  <c r="H37" i="46"/>
  <c r="I37" i="46"/>
  <c r="J37" i="46"/>
  <c r="K37" i="46"/>
  <c r="L37" i="46"/>
  <c r="M37" i="46"/>
  <c r="N37" i="46"/>
  <c r="O37" i="46"/>
  <c r="P37" i="46"/>
  <c r="Q37" i="46"/>
  <c r="R37" i="46"/>
  <c r="S37" i="46"/>
  <c r="T37" i="46"/>
  <c r="U37" i="46"/>
  <c r="V37" i="46"/>
  <c r="W37" i="46"/>
  <c r="X37" i="46"/>
  <c r="Y37" i="46"/>
  <c r="Z37" i="46"/>
  <c r="AA37" i="46"/>
  <c r="AB37" i="46"/>
  <c r="AC37" i="46"/>
  <c r="F38" i="46"/>
  <c r="G38" i="46"/>
  <c r="H38" i="46"/>
  <c r="I38" i="46"/>
  <c r="J38" i="46"/>
  <c r="K38" i="46"/>
  <c r="L38" i="46"/>
  <c r="M38" i="46"/>
  <c r="N38" i="46"/>
  <c r="O38" i="46"/>
  <c r="P38" i="46"/>
  <c r="Q38" i="46"/>
  <c r="R38" i="46"/>
  <c r="S38" i="46"/>
  <c r="T38" i="46"/>
  <c r="U38" i="46"/>
  <c r="V38" i="46"/>
  <c r="W38" i="46"/>
  <c r="X38" i="46"/>
  <c r="Y38" i="46"/>
  <c r="Z38" i="46"/>
  <c r="AA38" i="46"/>
  <c r="AB38" i="46"/>
  <c r="AC38" i="46"/>
  <c r="F39" i="46"/>
  <c r="G39" i="46"/>
  <c r="H39" i="46"/>
  <c r="I39" i="46"/>
  <c r="J39" i="46"/>
  <c r="K39" i="46"/>
  <c r="L39" i="46"/>
  <c r="M39" i="46"/>
  <c r="N39" i="46"/>
  <c r="O39" i="46"/>
  <c r="P39" i="46"/>
  <c r="Q39" i="46"/>
  <c r="R39" i="46"/>
  <c r="S39" i="46"/>
  <c r="T39" i="46"/>
  <c r="U39" i="46"/>
  <c r="V39" i="46"/>
  <c r="W39" i="46"/>
  <c r="X39" i="46"/>
  <c r="Y39" i="46"/>
  <c r="Z39" i="46"/>
  <c r="AA39" i="46"/>
  <c r="AB39" i="46"/>
  <c r="AC39" i="46"/>
  <c r="F40" i="46"/>
  <c r="G40" i="46"/>
  <c r="H40" i="46"/>
  <c r="I40" i="46"/>
  <c r="J40" i="46"/>
  <c r="K40" i="46"/>
  <c r="L40" i="46"/>
  <c r="M40" i="46"/>
  <c r="N40" i="46"/>
  <c r="O40" i="46"/>
  <c r="P40" i="46"/>
  <c r="Q40" i="46"/>
  <c r="R40" i="46"/>
  <c r="S40" i="46"/>
  <c r="T40" i="46"/>
  <c r="U40" i="46"/>
  <c r="V40" i="46"/>
  <c r="W40" i="46"/>
  <c r="X40" i="46"/>
  <c r="Y40" i="46"/>
  <c r="Z40" i="46"/>
  <c r="AA40" i="46"/>
  <c r="AB40" i="46"/>
  <c r="AC40" i="46"/>
  <c r="F41" i="46"/>
  <c r="G41" i="46"/>
  <c r="H41" i="46"/>
  <c r="I41" i="46"/>
  <c r="J41" i="46"/>
  <c r="K41" i="46"/>
  <c r="L41" i="46"/>
  <c r="M41" i="46"/>
  <c r="N41" i="46"/>
  <c r="O41" i="46"/>
  <c r="P41" i="46"/>
  <c r="Q41" i="46"/>
  <c r="R41" i="46"/>
  <c r="S41" i="46"/>
  <c r="T41" i="46"/>
  <c r="U41" i="46"/>
  <c r="V41" i="46"/>
  <c r="W41" i="46"/>
  <c r="X41" i="46"/>
  <c r="Y41" i="46"/>
  <c r="Z41" i="46"/>
  <c r="AA41" i="46"/>
  <c r="AB41" i="46"/>
  <c r="AC41" i="46"/>
  <c r="F42" i="46"/>
  <c r="G42" i="46"/>
  <c r="H42" i="46"/>
  <c r="I42" i="46"/>
  <c r="J42" i="46"/>
  <c r="K42" i="46"/>
  <c r="L42" i="46"/>
  <c r="M42" i="46"/>
  <c r="N42" i="46"/>
  <c r="O42" i="46"/>
  <c r="P42" i="46"/>
  <c r="Q42" i="46"/>
  <c r="R42" i="46"/>
  <c r="S42" i="46"/>
  <c r="T42" i="46"/>
  <c r="U42" i="46"/>
  <c r="V42" i="46"/>
  <c r="W42" i="46"/>
  <c r="X42" i="46"/>
  <c r="Y42" i="46"/>
  <c r="Z42" i="46"/>
  <c r="AA42" i="46"/>
  <c r="AB42" i="46"/>
  <c r="AC42" i="46"/>
  <c r="F43" i="46"/>
  <c r="G43" i="46"/>
  <c r="H43" i="46"/>
  <c r="I43" i="46"/>
  <c r="J43" i="46"/>
  <c r="K43" i="46"/>
  <c r="L43" i="46"/>
  <c r="M43" i="46"/>
  <c r="N43" i="46"/>
  <c r="O43" i="46"/>
  <c r="P43" i="46"/>
  <c r="Q43" i="46"/>
  <c r="R43" i="46"/>
  <c r="S43" i="46"/>
  <c r="T43" i="46"/>
  <c r="U43" i="46"/>
  <c r="V43" i="46"/>
  <c r="W43" i="46"/>
  <c r="X43" i="46"/>
  <c r="Y43" i="46"/>
  <c r="Z43" i="46"/>
  <c r="AA43" i="46"/>
  <c r="AB43" i="46"/>
  <c r="AC43" i="46"/>
  <c r="F44" i="46"/>
  <c r="G44" i="46"/>
  <c r="H44" i="46"/>
  <c r="I44" i="46"/>
  <c r="J44" i="46"/>
  <c r="K44" i="46"/>
  <c r="L44" i="46"/>
  <c r="M44" i="46"/>
  <c r="N44" i="46"/>
  <c r="O44" i="46"/>
  <c r="P44" i="46"/>
  <c r="Q44" i="46"/>
  <c r="R44" i="46"/>
  <c r="S44" i="46"/>
  <c r="T44" i="46"/>
  <c r="U44" i="46"/>
  <c r="V44" i="46"/>
  <c r="W44" i="46"/>
  <c r="X44" i="46"/>
  <c r="Y44" i="46"/>
  <c r="Z44" i="46"/>
  <c r="AA44" i="46"/>
  <c r="AB44" i="46"/>
  <c r="AC44" i="46"/>
  <c r="F45" i="46"/>
  <c r="G45" i="46"/>
  <c r="H45" i="46"/>
  <c r="I45" i="46"/>
  <c r="J45" i="46"/>
  <c r="K45" i="46"/>
  <c r="L45" i="46"/>
  <c r="M45" i="46"/>
  <c r="N45" i="46"/>
  <c r="O45" i="46"/>
  <c r="P45" i="46"/>
  <c r="Q45" i="46"/>
  <c r="R45" i="46"/>
  <c r="S45" i="46"/>
  <c r="T45" i="46"/>
  <c r="U45" i="46"/>
  <c r="V45" i="46"/>
  <c r="W45" i="46"/>
  <c r="X45" i="46"/>
  <c r="Y45" i="46"/>
  <c r="Z45" i="46"/>
  <c r="AA45" i="46"/>
  <c r="AB45" i="46"/>
  <c r="AC45" i="46"/>
  <c r="F46" i="46"/>
  <c r="G46" i="46"/>
  <c r="H46" i="46"/>
  <c r="I46" i="46"/>
  <c r="J46" i="46"/>
  <c r="K46" i="46"/>
  <c r="L46" i="46"/>
  <c r="M46" i="46"/>
  <c r="N46" i="46"/>
  <c r="O46" i="46"/>
  <c r="P46" i="46"/>
  <c r="Q46" i="46"/>
  <c r="R46" i="46"/>
  <c r="S46" i="46"/>
  <c r="T46" i="46"/>
  <c r="U46" i="46"/>
  <c r="V46" i="46"/>
  <c r="W46" i="46"/>
  <c r="X46" i="46"/>
  <c r="Y46" i="46"/>
  <c r="Z46" i="46"/>
  <c r="AA46" i="46"/>
  <c r="AB46" i="46"/>
  <c r="AC46" i="46"/>
  <c r="F47" i="46"/>
  <c r="G47" i="46"/>
  <c r="H47" i="46"/>
  <c r="I47" i="46"/>
  <c r="J47" i="46"/>
  <c r="K47" i="46"/>
  <c r="L47" i="46"/>
  <c r="M47" i="46"/>
  <c r="N47" i="46"/>
  <c r="O47" i="46"/>
  <c r="P47" i="46"/>
  <c r="Q47" i="46"/>
  <c r="R47" i="46"/>
  <c r="S47" i="46"/>
  <c r="T47" i="46"/>
  <c r="U47" i="46"/>
  <c r="V47" i="46"/>
  <c r="W47" i="46"/>
  <c r="X47" i="46"/>
  <c r="Y47" i="46"/>
  <c r="Z47" i="46"/>
  <c r="AA47" i="46"/>
  <c r="AB47" i="46"/>
  <c r="AC47" i="46"/>
  <c r="F48" i="46"/>
  <c r="G48" i="46"/>
  <c r="H48" i="46"/>
  <c r="I48" i="46"/>
  <c r="J48" i="46"/>
  <c r="K48" i="46"/>
  <c r="L48" i="46"/>
  <c r="M48" i="46"/>
  <c r="N48" i="46"/>
  <c r="O48" i="46"/>
  <c r="P48" i="46"/>
  <c r="Q48" i="46"/>
  <c r="R48" i="46"/>
  <c r="S48" i="46"/>
  <c r="T48" i="46"/>
  <c r="U48" i="46"/>
  <c r="V48" i="46"/>
  <c r="W48" i="46"/>
  <c r="X48" i="46"/>
  <c r="Y48" i="46"/>
  <c r="Z48" i="46"/>
  <c r="AA48" i="46"/>
  <c r="AB48" i="46"/>
  <c r="AC48" i="46"/>
  <c r="F49" i="46"/>
  <c r="G49" i="46"/>
  <c r="H49" i="46"/>
  <c r="I49" i="46"/>
  <c r="J49" i="46"/>
  <c r="K49" i="46"/>
  <c r="L49" i="46"/>
  <c r="M49" i="46"/>
  <c r="N49" i="46"/>
  <c r="O49" i="46"/>
  <c r="P49" i="46"/>
  <c r="Q49" i="46"/>
  <c r="R49" i="46"/>
  <c r="S49" i="46"/>
  <c r="T49" i="46"/>
  <c r="U49" i="46"/>
  <c r="V49" i="46"/>
  <c r="W49" i="46"/>
  <c r="X49" i="46"/>
  <c r="Y49" i="46"/>
  <c r="Z49" i="46"/>
  <c r="AA49" i="46"/>
  <c r="AB49" i="46"/>
  <c r="AC49" i="46"/>
  <c r="F50" i="46"/>
  <c r="G50" i="46"/>
  <c r="H50" i="46"/>
  <c r="I50" i="46"/>
  <c r="J50" i="46"/>
  <c r="K50" i="46"/>
  <c r="L50" i="46"/>
  <c r="M50" i="46"/>
  <c r="N50" i="46"/>
  <c r="O50" i="46"/>
  <c r="P50" i="46"/>
  <c r="Q50" i="46"/>
  <c r="R50" i="46"/>
  <c r="S50" i="46"/>
  <c r="T50" i="46"/>
  <c r="U50" i="46"/>
  <c r="V50" i="46"/>
  <c r="W50" i="46"/>
  <c r="X50" i="46"/>
  <c r="Y50" i="46"/>
  <c r="Z50" i="46"/>
  <c r="AA50" i="46"/>
  <c r="AB50" i="46"/>
  <c r="AC50" i="46"/>
  <c r="F51" i="46"/>
  <c r="G51" i="46"/>
  <c r="H51" i="46"/>
  <c r="I51" i="46"/>
  <c r="J51" i="46"/>
  <c r="K51" i="46"/>
  <c r="L51" i="46"/>
  <c r="M51" i="46"/>
  <c r="N51" i="46"/>
  <c r="O51" i="46"/>
  <c r="P51" i="46"/>
  <c r="Q51" i="46"/>
  <c r="R51" i="46"/>
  <c r="S51" i="46"/>
  <c r="T51" i="46"/>
  <c r="U51" i="46"/>
  <c r="V51" i="46"/>
  <c r="W51" i="46"/>
  <c r="X51" i="46"/>
  <c r="Y51" i="46"/>
  <c r="Z51" i="46"/>
  <c r="AA51" i="46"/>
  <c r="AB51" i="46"/>
  <c r="AC51" i="46"/>
  <c r="F52" i="46"/>
  <c r="G52" i="46"/>
  <c r="H52" i="46"/>
  <c r="I52" i="46"/>
  <c r="J52" i="46"/>
  <c r="K52" i="46"/>
  <c r="L52" i="46"/>
  <c r="M52" i="46"/>
  <c r="N52" i="46"/>
  <c r="O52" i="46"/>
  <c r="P52" i="46"/>
  <c r="Q52" i="46"/>
  <c r="R52" i="46"/>
  <c r="S52" i="46"/>
  <c r="T52" i="46"/>
  <c r="U52" i="46"/>
  <c r="V52" i="46"/>
  <c r="W52" i="46"/>
  <c r="X52" i="46"/>
  <c r="Y52" i="46"/>
  <c r="Z52" i="46"/>
  <c r="AA52" i="46"/>
  <c r="AB52" i="46"/>
  <c r="AC52" i="46"/>
  <c r="F53" i="46"/>
  <c r="G53" i="46"/>
  <c r="H53" i="46"/>
  <c r="I53" i="46"/>
  <c r="J53" i="46"/>
  <c r="K53" i="46"/>
  <c r="L53" i="46"/>
  <c r="M53" i="46"/>
  <c r="N53" i="46"/>
  <c r="O53" i="46"/>
  <c r="P53" i="46"/>
  <c r="Q53" i="46"/>
  <c r="R53" i="46"/>
  <c r="S53" i="46"/>
  <c r="T53" i="46"/>
  <c r="U53" i="46"/>
  <c r="V53" i="46"/>
  <c r="W53" i="46"/>
  <c r="X53" i="46"/>
  <c r="Y53" i="46"/>
  <c r="Z53" i="46"/>
  <c r="AA53" i="46"/>
  <c r="AB53" i="46"/>
  <c r="AC53" i="46"/>
  <c r="F54" i="46"/>
  <c r="G54" i="46"/>
  <c r="H54" i="46"/>
  <c r="I54" i="46"/>
  <c r="J54" i="46"/>
  <c r="K54" i="46"/>
  <c r="L54" i="46"/>
  <c r="M54" i="46"/>
  <c r="N54" i="46"/>
  <c r="O54" i="46"/>
  <c r="P54" i="46"/>
  <c r="Q54" i="46"/>
  <c r="R54" i="46"/>
  <c r="S54" i="46"/>
  <c r="T54" i="46"/>
  <c r="U54" i="46"/>
  <c r="V54" i="46"/>
  <c r="W54" i="46"/>
  <c r="X54" i="46"/>
  <c r="Y54" i="46"/>
  <c r="Z54" i="46"/>
  <c r="AA54" i="46"/>
  <c r="AB54" i="46"/>
  <c r="AC54" i="46"/>
  <c r="G7" i="46"/>
  <c r="H7" i="46"/>
  <c r="I7" i="46"/>
  <c r="J7" i="46"/>
  <c r="K7" i="46"/>
  <c r="L7" i="46"/>
  <c r="M7" i="46"/>
  <c r="N7" i="46"/>
  <c r="O7" i="46"/>
  <c r="P7" i="46"/>
  <c r="Q7" i="46"/>
  <c r="R7" i="46"/>
  <c r="S7" i="46"/>
  <c r="T7" i="46"/>
  <c r="U7" i="46"/>
  <c r="V7" i="46"/>
  <c r="W7" i="46"/>
  <c r="X7" i="46"/>
  <c r="Y7" i="46"/>
  <c r="Z7" i="46"/>
  <c r="AA7" i="46"/>
  <c r="AB7" i="46"/>
  <c r="AC7" i="46"/>
  <c r="F7" i="46"/>
  <c r="AG47" i="46"/>
  <c r="AG47" i="45"/>
  <c r="F8" i="45"/>
  <c r="G8" i="45"/>
  <c r="H8" i="45"/>
  <c r="I8" i="45"/>
  <c r="J8" i="45"/>
  <c r="K8" i="45"/>
  <c r="L8" i="45"/>
  <c r="M8" i="45"/>
  <c r="N8" i="45"/>
  <c r="O8" i="45"/>
  <c r="P8" i="45"/>
  <c r="Q8" i="45"/>
  <c r="R8" i="45"/>
  <c r="S8" i="45"/>
  <c r="T8" i="45"/>
  <c r="U8" i="45"/>
  <c r="V8" i="45"/>
  <c r="W8" i="45"/>
  <c r="X8" i="45"/>
  <c r="Y8" i="45"/>
  <c r="Z8" i="45"/>
  <c r="AA8" i="45"/>
  <c r="AB8" i="45"/>
  <c r="AC8" i="45"/>
  <c r="F9" i="45"/>
  <c r="G9" i="45"/>
  <c r="H9" i="45"/>
  <c r="I9" i="45"/>
  <c r="J9" i="45"/>
  <c r="K9" i="45"/>
  <c r="L9" i="45"/>
  <c r="M9" i="45"/>
  <c r="N9" i="45"/>
  <c r="O9" i="45"/>
  <c r="P9" i="45"/>
  <c r="Q9" i="45"/>
  <c r="R9" i="45"/>
  <c r="S9" i="45"/>
  <c r="T9" i="45"/>
  <c r="U9" i="45"/>
  <c r="V9" i="45"/>
  <c r="W9" i="45"/>
  <c r="X9" i="45"/>
  <c r="Y9" i="45"/>
  <c r="Z9" i="45"/>
  <c r="AA9" i="45"/>
  <c r="AB9" i="45"/>
  <c r="AC9" i="45"/>
  <c r="F10" i="45"/>
  <c r="G10" i="45"/>
  <c r="H10" i="45"/>
  <c r="I10" i="45"/>
  <c r="J10" i="45"/>
  <c r="K10" i="45"/>
  <c r="L10" i="45"/>
  <c r="M10" i="45"/>
  <c r="N10" i="45"/>
  <c r="O10" i="45"/>
  <c r="P10" i="45"/>
  <c r="Q10" i="45"/>
  <c r="R10" i="45"/>
  <c r="S10" i="45"/>
  <c r="T10" i="45"/>
  <c r="U10" i="45"/>
  <c r="V10" i="45"/>
  <c r="W10" i="45"/>
  <c r="X10" i="45"/>
  <c r="Y10" i="45"/>
  <c r="Z10" i="45"/>
  <c r="AA10" i="45"/>
  <c r="AB10" i="45"/>
  <c r="AC10" i="45"/>
  <c r="F11" i="45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U11" i="45"/>
  <c r="V11" i="45"/>
  <c r="W11" i="45"/>
  <c r="X11" i="45"/>
  <c r="Y11" i="45"/>
  <c r="Z11" i="45"/>
  <c r="AA11" i="45"/>
  <c r="AB11" i="45"/>
  <c r="AC11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W12" i="45"/>
  <c r="X12" i="45"/>
  <c r="Y12" i="45"/>
  <c r="Z12" i="45"/>
  <c r="AA12" i="45"/>
  <c r="AB12" i="45"/>
  <c r="AC12" i="45"/>
  <c r="F13" i="45"/>
  <c r="G13" i="45"/>
  <c r="H13" i="45"/>
  <c r="I13" i="45"/>
  <c r="J13" i="45"/>
  <c r="K13" i="45"/>
  <c r="L13" i="45"/>
  <c r="M13" i="45"/>
  <c r="N13" i="45"/>
  <c r="O13" i="45"/>
  <c r="P13" i="45"/>
  <c r="Q13" i="45"/>
  <c r="R13" i="45"/>
  <c r="S13" i="45"/>
  <c r="T13" i="45"/>
  <c r="U13" i="45"/>
  <c r="V13" i="45"/>
  <c r="W13" i="45"/>
  <c r="X13" i="45"/>
  <c r="Y13" i="45"/>
  <c r="Z13" i="45"/>
  <c r="AA13" i="45"/>
  <c r="AB13" i="45"/>
  <c r="AC13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U14" i="45"/>
  <c r="V14" i="45"/>
  <c r="W14" i="45"/>
  <c r="X14" i="45"/>
  <c r="Y14" i="45"/>
  <c r="Z14" i="45"/>
  <c r="AA14" i="45"/>
  <c r="AB14" i="45"/>
  <c r="AC14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U15" i="45"/>
  <c r="V15" i="45"/>
  <c r="W15" i="45"/>
  <c r="X15" i="45"/>
  <c r="Y15" i="45"/>
  <c r="Z15" i="45"/>
  <c r="AA15" i="45"/>
  <c r="AB15" i="45"/>
  <c r="AC15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T16" i="45"/>
  <c r="U16" i="45"/>
  <c r="V16" i="45"/>
  <c r="W16" i="45"/>
  <c r="X16" i="45"/>
  <c r="Y16" i="45"/>
  <c r="Z16" i="45"/>
  <c r="AA16" i="45"/>
  <c r="AB16" i="45"/>
  <c r="AC16" i="45"/>
  <c r="F17" i="45"/>
  <c r="G17" i="45"/>
  <c r="H17" i="45"/>
  <c r="I17" i="45"/>
  <c r="J17" i="45"/>
  <c r="K17" i="45"/>
  <c r="L17" i="45"/>
  <c r="M17" i="45"/>
  <c r="N17" i="45"/>
  <c r="O17" i="45"/>
  <c r="P17" i="45"/>
  <c r="Q17" i="45"/>
  <c r="R17" i="45"/>
  <c r="S17" i="45"/>
  <c r="T17" i="45"/>
  <c r="U17" i="45"/>
  <c r="V17" i="45"/>
  <c r="W17" i="45"/>
  <c r="X17" i="45"/>
  <c r="Y17" i="45"/>
  <c r="Z17" i="45"/>
  <c r="AA17" i="45"/>
  <c r="AB17" i="45"/>
  <c r="AC17" i="45"/>
  <c r="F18" i="45"/>
  <c r="G18" i="45"/>
  <c r="H18" i="45"/>
  <c r="I18" i="45"/>
  <c r="J18" i="45"/>
  <c r="K18" i="45"/>
  <c r="L18" i="45"/>
  <c r="M18" i="45"/>
  <c r="N18" i="45"/>
  <c r="O18" i="45"/>
  <c r="P18" i="45"/>
  <c r="Q18" i="45"/>
  <c r="R18" i="45"/>
  <c r="S18" i="45"/>
  <c r="T18" i="45"/>
  <c r="U18" i="45"/>
  <c r="V18" i="45"/>
  <c r="W18" i="45"/>
  <c r="X18" i="45"/>
  <c r="Y18" i="45"/>
  <c r="Z18" i="45"/>
  <c r="AA18" i="45"/>
  <c r="AB18" i="45"/>
  <c r="AC18" i="45"/>
  <c r="F19" i="45"/>
  <c r="G19" i="45"/>
  <c r="H19" i="45"/>
  <c r="I19" i="45"/>
  <c r="J19" i="45"/>
  <c r="K19" i="45"/>
  <c r="L19" i="45"/>
  <c r="M19" i="45"/>
  <c r="N19" i="45"/>
  <c r="O19" i="45"/>
  <c r="P19" i="45"/>
  <c r="Q19" i="45"/>
  <c r="R19" i="45"/>
  <c r="S19" i="45"/>
  <c r="T19" i="45"/>
  <c r="U19" i="45"/>
  <c r="V19" i="45"/>
  <c r="W19" i="45"/>
  <c r="X19" i="45"/>
  <c r="Y19" i="45"/>
  <c r="Z19" i="45"/>
  <c r="AA19" i="45"/>
  <c r="AB19" i="45"/>
  <c r="AC19" i="45"/>
  <c r="F20" i="45"/>
  <c r="G20" i="45"/>
  <c r="H20" i="45"/>
  <c r="I20" i="45"/>
  <c r="J20" i="45"/>
  <c r="K20" i="45"/>
  <c r="L20" i="45"/>
  <c r="M20" i="45"/>
  <c r="N20" i="45"/>
  <c r="O20" i="45"/>
  <c r="P20" i="45"/>
  <c r="Q20" i="45"/>
  <c r="R20" i="45"/>
  <c r="S20" i="45"/>
  <c r="T20" i="45"/>
  <c r="U20" i="45"/>
  <c r="V20" i="45"/>
  <c r="W20" i="45"/>
  <c r="X20" i="45"/>
  <c r="Y20" i="45"/>
  <c r="Z20" i="45"/>
  <c r="AA20" i="45"/>
  <c r="AB20" i="45"/>
  <c r="AC20" i="45"/>
  <c r="F21" i="45"/>
  <c r="G21" i="45"/>
  <c r="H21" i="45"/>
  <c r="I21" i="45"/>
  <c r="J21" i="45"/>
  <c r="K21" i="45"/>
  <c r="L21" i="45"/>
  <c r="M21" i="45"/>
  <c r="N21" i="45"/>
  <c r="O21" i="45"/>
  <c r="P21" i="45"/>
  <c r="Q21" i="45"/>
  <c r="R21" i="45"/>
  <c r="S21" i="45"/>
  <c r="T21" i="45"/>
  <c r="U21" i="45"/>
  <c r="V21" i="45"/>
  <c r="W21" i="45"/>
  <c r="X21" i="45"/>
  <c r="Y21" i="45"/>
  <c r="Z21" i="45"/>
  <c r="AA21" i="45"/>
  <c r="AB21" i="45"/>
  <c r="AC21" i="45"/>
  <c r="F22" i="45"/>
  <c r="G22" i="45"/>
  <c r="H22" i="45"/>
  <c r="I22" i="45"/>
  <c r="J22" i="45"/>
  <c r="K22" i="45"/>
  <c r="L22" i="45"/>
  <c r="M22" i="45"/>
  <c r="N22" i="45"/>
  <c r="O22" i="45"/>
  <c r="P22" i="45"/>
  <c r="Q22" i="45"/>
  <c r="R22" i="45"/>
  <c r="S22" i="45"/>
  <c r="T22" i="45"/>
  <c r="U22" i="45"/>
  <c r="V22" i="45"/>
  <c r="W22" i="45"/>
  <c r="X22" i="45"/>
  <c r="Y22" i="45"/>
  <c r="Z22" i="45"/>
  <c r="AA22" i="45"/>
  <c r="AB22" i="45"/>
  <c r="AC22" i="45"/>
  <c r="F23" i="45"/>
  <c r="G23" i="45"/>
  <c r="H23" i="45"/>
  <c r="I23" i="45"/>
  <c r="J23" i="45"/>
  <c r="K23" i="45"/>
  <c r="L23" i="45"/>
  <c r="M23" i="45"/>
  <c r="N23" i="45"/>
  <c r="O23" i="45"/>
  <c r="P23" i="45"/>
  <c r="Q23" i="45"/>
  <c r="R23" i="45"/>
  <c r="S23" i="45"/>
  <c r="T23" i="45"/>
  <c r="U23" i="45"/>
  <c r="V23" i="45"/>
  <c r="W23" i="45"/>
  <c r="X23" i="45"/>
  <c r="Y23" i="45"/>
  <c r="Z23" i="45"/>
  <c r="AA23" i="45"/>
  <c r="AB23" i="45"/>
  <c r="AC23" i="45"/>
  <c r="F24" i="45"/>
  <c r="G24" i="45"/>
  <c r="H24" i="45"/>
  <c r="I24" i="45"/>
  <c r="J24" i="45"/>
  <c r="K24" i="45"/>
  <c r="L24" i="45"/>
  <c r="M24" i="45"/>
  <c r="N24" i="45"/>
  <c r="O24" i="45"/>
  <c r="P24" i="45"/>
  <c r="Q24" i="45"/>
  <c r="R24" i="45"/>
  <c r="S24" i="45"/>
  <c r="T24" i="45"/>
  <c r="U24" i="45"/>
  <c r="V24" i="45"/>
  <c r="W24" i="45"/>
  <c r="X24" i="45"/>
  <c r="Y24" i="45"/>
  <c r="Z24" i="45"/>
  <c r="AA24" i="45"/>
  <c r="AB24" i="45"/>
  <c r="AC24" i="45"/>
  <c r="F25" i="45"/>
  <c r="G25" i="45"/>
  <c r="H25" i="45"/>
  <c r="I25" i="45"/>
  <c r="J25" i="45"/>
  <c r="K25" i="45"/>
  <c r="L25" i="45"/>
  <c r="M25" i="45"/>
  <c r="N25" i="45"/>
  <c r="O25" i="45"/>
  <c r="P25" i="45"/>
  <c r="Q25" i="45"/>
  <c r="R25" i="45"/>
  <c r="S25" i="45"/>
  <c r="T25" i="45"/>
  <c r="U25" i="45"/>
  <c r="V25" i="45"/>
  <c r="W25" i="45"/>
  <c r="X25" i="45"/>
  <c r="Y25" i="45"/>
  <c r="Z25" i="45"/>
  <c r="AA25" i="45"/>
  <c r="AB25" i="45"/>
  <c r="AC25" i="45"/>
  <c r="F26" i="45"/>
  <c r="G26" i="45"/>
  <c r="H26" i="45"/>
  <c r="I26" i="45"/>
  <c r="J26" i="45"/>
  <c r="K26" i="45"/>
  <c r="L26" i="45"/>
  <c r="M26" i="45"/>
  <c r="N26" i="45"/>
  <c r="O26" i="45"/>
  <c r="P26" i="45"/>
  <c r="Q26" i="45"/>
  <c r="R26" i="45"/>
  <c r="S26" i="45"/>
  <c r="T26" i="45"/>
  <c r="U26" i="45"/>
  <c r="V26" i="45"/>
  <c r="W26" i="45"/>
  <c r="X26" i="45"/>
  <c r="Y26" i="45"/>
  <c r="Z26" i="45"/>
  <c r="AA26" i="45"/>
  <c r="AB26" i="45"/>
  <c r="AC26" i="45"/>
  <c r="F27" i="45"/>
  <c r="G27" i="45"/>
  <c r="H27" i="45"/>
  <c r="I27" i="45"/>
  <c r="J27" i="45"/>
  <c r="K27" i="45"/>
  <c r="L27" i="45"/>
  <c r="M27" i="45"/>
  <c r="N27" i="45"/>
  <c r="O27" i="45"/>
  <c r="P27" i="45"/>
  <c r="Q27" i="45"/>
  <c r="R27" i="45"/>
  <c r="S27" i="45"/>
  <c r="T27" i="45"/>
  <c r="U27" i="45"/>
  <c r="V27" i="45"/>
  <c r="W27" i="45"/>
  <c r="X27" i="45"/>
  <c r="Y27" i="45"/>
  <c r="Z27" i="45"/>
  <c r="AA27" i="45"/>
  <c r="AB27" i="45"/>
  <c r="AC27" i="45"/>
  <c r="F28" i="45"/>
  <c r="G28" i="45"/>
  <c r="H28" i="45"/>
  <c r="I28" i="45"/>
  <c r="J28" i="45"/>
  <c r="K28" i="45"/>
  <c r="L28" i="45"/>
  <c r="M28" i="45"/>
  <c r="N28" i="45"/>
  <c r="O28" i="45"/>
  <c r="P28" i="45"/>
  <c r="Q28" i="45"/>
  <c r="R28" i="45"/>
  <c r="S28" i="45"/>
  <c r="T28" i="45"/>
  <c r="U28" i="45"/>
  <c r="V28" i="45"/>
  <c r="W28" i="45"/>
  <c r="X28" i="45"/>
  <c r="Y28" i="45"/>
  <c r="Z28" i="45"/>
  <c r="AA28" i="45"/>
  <c r="AB28" i="45"/>
  <c r="AC28" i="45"/>
  <c r="F29" i="45"/>
  <c r="G29" i="45"/>
  <c r="H29" i="45"/>
  <c r="I29" i="45"/>
  <c r="J29" i="45"/>
  <c r="K29" i="45"/>
  <c r="L29" i="45"/>
  <c r="M29" i="45"/>
  <c r="N29" i="45"/>
  <c r="O29" i="45"/>
  <c r="P29" i="45"/>
  <c r="Q29" i="45"/>
  <c r="R29" i="45"/>
  <c r="S29" i="45"/>
  <c r="T29" i="45"/>
  <c r="U29" i="45"/>
  <c r="V29" i="45"/>
  <c r="W29" i="45"/>
  <c r="X29" i="45"/>
  <c r="Y29" i="45"/>
  <c r="Z29" i="45"/>
  <c r="AA29" i="45"/>
  <c r="AB29" i="45"/>
  <c r="AC29" i="45"/>
  <c r="F30" i="45"/>
  <c r="G30" i="45"/>
  <c r="H30" i="45"/>
  <c r="I30" i="45"/>
  <c r="J30" i="45"/>
  <c r="K30" i="45"/>
  <c r="L30" i="45"/>
  <c r="M30" i="45"/>
  <c r="N30" i="45"/>
  <c r="O30" i="45"/>
  <c r="P30" i="45"/>
  <c r="Q30" i="45"/>
  <c r="R30" i="45"/>
  <c r="S30" i="45"/>
  <c r="T30" i="45"/>
  <c r="U30" i="45"/>
  <c r="V30" i="45"/>
  <c r="W30" i="45"/>
  <c r="X30" i="45"/>
  <c r="Y30" i="45"/>
  <c r="Z30" i="45"/>
  <c r="AA30" i="45"/>
  <c r="AB30" i="45"/>
  <c r="AC30" i="45"/>
  <c r="F31" i="45"/>
  <c r="G31" i="45"/>
  <c r="H31" i="45"/>
  <c r="I31" i="45"/>
  <c r="J31" i="45"/>
  <c r="K31" i="45"/>
  <c r="L31" i="45"/>
  <c r="M31" i="45"/>
  <c r="N31" i="45"/>
  <c r="O31" i="45"/>
  <c r="P31" i="45"/>
  <c r="Q31" i="45"/>
  <c r="R31" i="45"/>
  <c r="S31" i="45"/>
  <c r="T31" i="45"/>
  <c r="U31" i="45"/>
  <c r="V31" i="45"/>
  <c r="W31" i="45"/>
  <c r="X31" i="45"/>
  <c r="Y31" i="45"/>
  <c r="Z31" i="45"/>
  <c r="AA31" i="45"/>
  <c r="AB31" i="45"/>
  <c r="AC31" i="45"/>
  <c r="F32" i="45"/>
  <c r="G32" i="45"/>
  <c r="H32" i="45"/>
  <c r="I32" i="45"/>
  <c r="J32" i="45"/>
  <c r="K32" i="45"/>
  <c r="L32" i="45"/>
  <c r="M32" i="45"/>
  <c r="N32" i="45"/>
  <c r="O32" i="45"/>
  <c r="P32" i="45"/>
  <c r="Q32" i="45"/>
  <c r="R32" i="45"/>
  <c r="S32" i="45"/>
  <c r="T32" i="45"/>
  <c r="U32" i="45"/>
  <c r="V32" i="45"/>
  <c r="W32" i="45"/>
  <c r="X32" i="45"/>
  <c r="Y32" i="45"/>
  <c r="Z32" i="45"/>
  <c r="AA32" i="45"/>
  <c r="AB32" i="45"/>
  <c r="AC32" i="45"/>
  <c r="F33" i="45"/>
  <c r="G33" i="45"/>
  <c r="H33" i="45"/>
  <c r="I33" i="45"/>
  <c r="J33" i="45"/>
  <c r="K33" i="45"/>
  <c r="L33" i="45"/>
  <c r="M33" i="45"/>
  <c r="N33" i="45"/>
  <c r="O33" i="45"/>
  <c r="P33" i="45"/>
  <c r="Q33" i="45"/>
  <c r="R33" i="45"/>
  <c r="S33" i="45"/>
  <c r="T33" i="45"/>
  <c r="U33" i="45"/>
  <c r="V33" i="45"/>
  <c r="W33" i="45"/>
  <c r="X33" i="45"/>
  <c r="Y33" i="45"/>
  <c r="Z33" i="45"/>
  <c r="AA33" i="45"/>
  <c r="AB33" i="45"/>
  <c r="AC33" i="45"/>
  <c r="F34" i="45"/>
  <c r="G34" i="45"/>
  <c r="H34" i="45"/>
  <c r="I34" i="45"/>
  <c r="J34" i="45"/>
  <c r="K34" i="45"/>
  <c r="L34" i="45"/>
  <c r="M34" i="45"/>
  <c r="N34" i="45"/>
  <c r="O34" i="45"/>
  <c r="P34" i="45"/>
  <c r="Q34" i="45"/>
  <c r="R34" i="45"/>
  <c r="S34" i="45"/>
  <c r="T34" i="45"/>
  <c r="U34" i="45"/>
  <c r="V34" i="45"/>
  <c r="W34" i="45"/>
  <c r="X34" i="45"/>
  <c r="Y34" i="45"/>
  <c r="Z34" i="45"/>
  <c r="AA34" i="45"/>
  <c r="AB34" i="45"/>
  <c r="AC34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F39" i="45"/>
  <c r="G39" i="45"/>
  <c r="H39" i="45"/>
  <c r="I39" i="45"/>
  <c r="J39" i="45"/>
  <c r="K39" i="45"/>
  <c r="L39" i="45"/>
  <c r="M39" i="45"/>
  <c r="N39" i="45"/>
  <c r="O39" i="45"/>
  <c r="P39" i="45"/>
  <c r="Q39" i="45"/>
  <c r="R39" i="45"/>
  <c r="S39" i="45"/>
  <c r="T39" i="45"/>
  <c r="U39" i="45"/>
  <c r="V39" i="45"/>
  <c r="W39" i="45"/>
  <c r="X39" i="45"/>
  <c r="Y39" i="45"/>
  <c r="Z39" i="45"/>
  <c r="AA39" i="45"/>
  <c r="AB39" i="45"/>
  <c r="AC39" i="45"/>
  <c r="F40" i="45"/>
  <c r="G40" i="45"/>
  <c r="H40" i="45"/>
  <c r="I40" i="45"/>
  <c r="J40" i="45"/>
  <c r="K40" i="45"/>
  <c r="L40" i="45"/>
  <c r="M40" i="45"/>
  <c r="N40" i="45"/>
  <c r="O40" i="45"/>
  <c r="P40" i="45"/>
  <c r="Q40" i="45"/>
  <c r="R40" i="45"/>
  <c r="S40" i="45"/>
  <c r="T40" i="45"/>
  <c r="U40" i="45"/>
  <c r="V40" i="45"/>
  <c r="W40" i="45"/>
  <c r="X40" i="45"/>
  <c r="Y40" i="45"/>
  <c r="Z40" i="45"/>
  <c r="AA40" i="45"/>
  <c r="AB40" i="45"/>
  <c r="AC40" i="45"/>
  <c r="F41" i="45"/>
  <c r="G41" i="45"/>
  <c r="H41" i="45"/>
  <c r="I41" i="45"/>
  <c r="J41" i="45"/>
  <c r="K41" i="45"/>
  <c r="L41" i="45"/>
  <c r="M41" i="45"/>
  <c r="N41" i="45"/>
  <c r="O41" i="45"/>
  <c r="P41" i="45"/>
  <c r="Q41" i="45"/>
  <c r="R41" i="45"/>
  <c r="S41" i="45"/>
  <c r="T41" i="45"/>
  <c r="U41" i="45"/>
  <c r="V41" i="45"/>
  <c r="W41" i="45"/>
  <c r="X41" i="45"/>
  <c r="Y41" i="45"/>
  <c r="Z41" i="45"/>
  <c r="AA41" i="45"/>
  <c r="AB41" i="45"/>
  <c r="AC41" i="45"/>
  <c r="F42" i="45"/>
  <c r="G42" i="45"/>
  <c r="H42" i="45"/>
  <c r="I42" i="45"/>
  <c r="J42" i="45"/>
  <c r="K42" i="45"/>
  <c r="L42" i="45"/>
  <c r="M42" i="45"/>
  <c r="N42" i="45"/>
  <c r="O42" i="45"/>
  <c r="P42" i="45"/>
  <c r="Q42" i="45"/>
  <c r="R42" i="45"/>
  <c r="S42" i="45"/>
  <c r="T42" i="45"/>
  <c r="U42" i="45"/>
  <c r="V42" i="45"/>
  <c r="W42" i="45"/>
  <c r="X42" i="45"/>
  <c r="Y42" i="45"/>
  <c r="Z42" i="45"/>
  <c r="AA42" i="45"/>
  <c r="AB42" i="45"/>
  <c r="AC42" i="45"/>
  <c r="F43" i="45"/>
  <c r="G43" i="45"/>
  <c r="H43" i="45"/>
  <c r="I43" i="45"/>
  <c r="J43" i="45"/>
  <c r="K43" i="45"/>
  <c r="L43" i="45"/>
  <c r="M43" i="45"/>
  <c r="N43" i="45"/>
  <c r="O43" i="45"/>
  <c r="P43" i="45"/>
  <c r="Q43" i="45"/>
  <c r="R43" i="45"/>
  <c r="S43" i="45"/>
  <c r="T43" i="45"/>
  <c r="U43" i="45"/>
  <c r="V43" i="45"/>
  <c r="W43" i="45"/>
  <c r="X43" i="45"/>
  <c r="Y43" i="45"/>
  <c r="Z43" i="45"/>
  <c r="AA43" i="45"/>
  <c r="AB43" i="45"/>
  <c r="AC43" i="45"/>
  <c r="F44" i="45"/>
  <c r="G44" i="45"/>
  <c r="H44" i="45"/>
  <c r="I44" i="45"/>
  <c r="J44" i="45"/>
  <c r="K44" i="45"/>
  <c r="L44" i="45"/>
  <c r="M44" i="45"/>
  <c r="N44" i="45"/>
  <c r="O44" i="45"/>
  <c r="P44" i="45"/>
  <c r="Q44" i="45"/>
  <c r="R44" i="45"/>
  <c r="S44" i="45"/>
  <c r="T44" i="45"/>
  <c r="U44" i="45"/>
  <c r="V44" i="45"/>
  <c r="W44" i="45"/>
  <c r="X44" i="45"/>
  <c r="Y44" i="45"/>
  <c r="Z44" i="45"/>
  <c r="AA44" i="45"/>
  <c r="AB44" i="45"/>
  <c r="AC44" i="45"/>
  <c r="F45" i="45"/>
  <c r="G45" i="45"/>
  <c r="H45" i="45"/>
  <c r="I45" i="45"/>
  <c r="J45" i="45"/>
  <c r="K45" i="45"/>
  <c r="L45" i="45"/>
  <c r="M45" i="45"/>
  <c r="N45" i="45"/>
  <c r="O45" i="45"/>
  <c r="P45" i="45"/>
  <c r="Q45" i="45"/>
  <c r="R45" i="45"/>
  <c r="S45" i="45"/>
  <c r="T45" i="45"/>
  <c r="U45" i="45"/>
  <c r="V45" i="45"/>
  <c r="W45" i="45"/>
  <c r="X45" i="45"/>
  <c r="Y45" i="45"/>
  <c r="Z45" i="45"/>
  <c r="AA45" i="45"/>
  <c r="AB45" i="45"/>
  <c r="AC45" i="45"/>
  <c r="F46" i="45"/>
  <c r="G46" i="45"/>
  <c r="H46" i="45"/>
  <c r="I46" i="45"/>
  <c r="J46" i="45"/>
  <c r="K46" i="45"/>
  <c r="L46" i="45"/>
  <c r="M46" i="45"/>
  <c r="N46" i="45"/>
  <c r="O46" i="45"/>
  <c r="P46" i="45"/>
  <c r="Q46" i="45"/>
  <c r="R46" i="45"/>
  <c r="S46" i="45"/>
  <c r="T46" i="45"/>
  <c r="U46" i="45"/>
  <c r="V46" i="45"/>
  <c r="W46" i="45"/>
  <c r="X46" i="45"/>
  <c r="Y46" i="45"/>
  <c r="Z46" i="45"/>
  <c r="AA46" i="45"/>
  <c r="AB46" i="45"/>
  <c r="AC46" i="45"/>
  <c r="F47" i="45"/>
  <c r="G47" i="45"/>
  <c r="H47" i="45"/>
  <c r="I47" i="45"/>
  <c r="J47" i="45"/>
  <c r="K47" i="45"/>
  <c r="L47" i="45"/>
  <c r="M47" i="45"/>
  <c r="N47" i="45"/>
  <c r="O47" i="45"/>
  <c r="P47" i="45"/>
  <c r="Q47" i="45"/>
  <c r="R47" i="45"/>
  <c r="S47" i="45"/>
  <c r="T47" i="45"/>
  <c r="U47" i="45"/>
  <c r="V47" i="45"/>
  <c r="W47" i="45"/>
  <c r="X47" i="45"/>
  <c r="Y47" i="45"/>
  <c r="Z47" i="45"/>
  <c r="AA47" i="45"/>
  <c r="AB47" i="45"/>
  <c r="AC47" i="45"/>
  <c r="F48" i="45"/>
  <c r="G48" i="45"/>
  <c r="H48" i="45"/>
  <c r="I48" i="45"/>
  <c r="J48" i="45"/>
  <c r="K48" i="45"/>
  <c r="L48" i="45"/>
  <c r="M48" i="45"/>
  <c r="N48" i="45"/>
  <c r="O48" i="45"/>
  <c r="P48" i="45"/>
  <c r="Q48" i="45"/>
  <c r="R48" i="45"/>
  <c r="S48" i="45"/>
  <c r="T48" i="45"/>
  <c r="U48" i="45"/>
  <c r="V48" i="45"/>
  <c r="W48" i="45"/>
  <c r="X48" i="45"/>
  <c r="Y48" i="45"/>
  <c r="Z48" i="45"/>
  <c r="AA48" i="45"/>
  <c r="AB48" i="45"/>
  <c r="AC48" i="45"/>
  <c r="F49" i="45"/>
  <c r="G49" i="45"/>
  <c r="H49" i="45"/>
  <c r="I49" i="45"/>
  <c r="J49" i="45"/>
  <c r="K49" i="45"/>
  <c r="L49" i="45"/>
  <c r="M49" i="45"/>
  <c r="N49" i="45"/>
  <c r="O49" i="45"/>
  <c r="P49" i="45"/>
  <c r="Q49" i="45"/>
  <c r="R49" i="45"/>
  <c r="S49" i="45"/>
  <c r="T49" i="45"/>
  <c r="U49" i="45"/>
  <c r="V49" i="45"/>
  <c r="W49" i="45"/>
  <c r="X49" i="45"/>
  <c r="Y49" i="45"/>
  <c r="Z49" i="45"/>
  <c r="AA49" i="45"/>
  <c r="AB49" i="45"/>
  <c r="AC49" i="45"/>
  <c r="F50" i="45"/>
  <c r="G50" i="45"/>
  <c r="H50" i="45"/>
  <c r="I50" i="45"/>
  <c r="J50" i="45"/>
  <c r="K50" i="45"/>
  <c r="L50" i="45"/>
  <c r="M50" i="45"/>
  <c r="N50" i="45"/>
  <c r="O50" i="45"/>
  <c r="P50" i="45"/>
  <c r="Q50" i="45"/>
  <c r="R50" i="45"/>
  <c r="S50" i="45"/>
  <c r="T50" i="45"/>
  <c r="U50" i="45"/>
  <c r="V50" i="45"/>
  <c r="W50" i="45"/>
  <c r="X50" i="45"/>
  <c r="Y50" i="45"/>
  <c r="Z50" i="45"/>
  <c r="AA50" i="45"/>
  <c r="AB50" i="45"/>
  <c r="AC50" i="45"/>
  <c r="F51" i="45"/>
  <c r="G51" i="45"/>
  <c r="H51" i="45"/>
  <c r="I51" i="45"/>
  <c r="J51" i="45"/>
  <c r="K51" i="45"/>
  <c r="L51" i="45"/>
  <c r="M51" i="45"/>
  <c r="N51" i="45"/>
  <c r="O51" i="45"/>
  <c r="P51" i="45"/>
  <c r="Q51" i="45"/>
  <c r="R51" i="45"/>
  <c r="S51" i="45"/>
  <c r="T51" i="45"/>
  <c r="U51" i="45"/>
  <c r="V51" i="45"/>
  <c r="W51" i="45"/>
  <c r="X51" i="45"/>
  <c r="Y51" i="45"/>
  <c r="Z51" i="45"/>
  <c r="AA51" i="45"/>
  <c r="AB51" i="45"/>
  <c r="AC51" i="45"/>
  <c r="F52" i="45"/>
  <c r="G52" i="45"/>
  <c r="H52" i="45"/>
  <c r="I52" i="45"/>
  <c r="J52" i="45"/>
  <c r="K52" i="45"/>
  <c r="L52" i="45"/>
  <c r="M52" i="45"/>
  <c r="N52" i="45"/>
  <c r="O52" i="45"/>
  <c r="P52" i="45"/>
  <c r="Q52" i="45"/>
  <c r="R52" i="45"/>
  <c r="S52" i="45"/>
  <c r="T52" i="45"/>
  <c r="U52" i="45"/>
  <c r="V52" i="45"/>
  <c r="W52" i="45"/>
  <c r="X52" i="45"/>
  <c r="Y52" i="45"/>
  <c r="Z52" i="45"/>
  <c r="AA52" i="45"/>
  <c r="AB52" i="45"/>
  <c r="AC52" i="45"/>
  <c r="F53" i="45"/>
  <c r="G53" i="45"/>
  <c r="H53" i="45"/>
  <c r="I53" i="45"/>
  <c r="J53" i="45"/>
  <c r="K53" i="45"/>
  <c r="L53" i="45"/>
  <c r="M53" i="45"/>
  <c r="N53" i="45"/>
  <c r="O53" i="45"/>
  <c r="P53" i="45"/>
  <c r="Q53" i="45"/>
  <c r="R53" i="45"/>
  <c r="S53" i="45"/>
  <c r="T53" i="45"/>
  <c r="U53" i="45"/>
  <c r="V53" i="45"/>
  <c r="W53" i="45"/>
  <c r="X53" i="45"/>
  <c r="Y53" i="45"/>
  <c r="Z53" i="45"/>
  <c r="AA53" i="45"/>
  <c r="AB53" i="45"/>
  <c r="AC53" i="45"/>
  <c r="F54" i="45"/>
  <c r="G54" i="45"/>
  <c r="H54" i="45"/>
  <c r="I54" i="45"/>
  <c r="J54" i="45"/>
  <c r="K54" i="45"/>
  <c r="L54" i="45"/>
  <c r="M54" i="45"/>
  <c r="N54" i="45"/>
  <c r="O54" i="45"/>
  <c r="P54" i="45"/>
  <c r="Q54" i="45"/>
  <c r="R54" i="45"/>
  <c r="S54" i="45"/>
  <c r="T54" i="45"/>
  <c r="U54" i="45"/>
  <c r="V54" i="45"/>
  <c r="W54" i="45"/>
  <c r="X54" i="45"/>
  <c r="Y54" i="45"/>
  <c r="Z54" i="45"/>
  <c r="AA54" i="45"/>
  <c r="AB54" i="45"/>
  <c r="AC54" i="45"/>
  <c r="G7" i="45"/>
  <c r="H7" i="45"/>
  <c r="I7" i="45"/>
  <c r="J7" i="45"/>
  <c r="K7" i="45"/>
  <c r="L7" i="45"/>
  <c r="M7" i="45"/>
  <c r="N7" i="45"/>
  <c r="O7" i="45"/>
  <c r="P7" i="45"/>
  <c r="Q7" i="45"/>
  <c r="R7" i="45"/>
  <c r="S7" i="45"/>
  <c r="T7" i="45"/>
  <c r="U7" i="45"/>
  <c r="V7" i="45"/>
  <c r="W7" i="45"/>
  <c r="X7" i="45"/>
  <c r="Y7" i="45"/>
  <c r="Z7" i="45"/>
  <c r="AA7" i="45"/>
  <c r="AB7" i="45"/>
  <c r="AC7" i="45"/>
  <c r="F7" i="45"/>
  <c r="F8" i="44"/>
  <c r="G8" i="44"/>
  <c r="H8" i="44"/>
  <c r="I8" i="44"/>
  <c r="J8" i="44"/>
  <c r="K8" i="44"/>
  <c r="L8" i="44"/>
  <c r="M8" i="44"/>
  <c r="N8" i="44"/>
  <c r="O8" i="44"/>
  <c r="P8" i="44"/>
  <c r="Q8" i="44"/>
  <c r="R8" i="44"/>
  <c r="S8" i="44"/>
  <c r="T8" i="44"/>
  <c r="U8" i="44"/>
  <c r="V8" i="44"/>
  <c r="W8" i="44"/>
  <c r="X8" i="44"/>
  <c r="Y8" i="44"/>
  <c r="Z8" i="44"/>
  <c r="AA8" i="44"/>
  <c r="AB8" i="44"/>
  <c r="AC8" i="44"/>
  <c r="F9" i="44"/>
  <c r="G9" i="44"/>
  <c r="H9" i="44"/>
  <c r="I9" i="44"/>
  <c r="J9" i="44"/>
  <c r="K9" i="44"/>
  <c r="L9" i="44"/>
  <c r="M9" i="44"/>
  <c r="N9" i="44"/>
  <c r="O9" i="44"/>
  <c r="P9" i="44"/>
  <c r="Q9" i="44"/>
  <c r="R9" i="44"/>
  <c r="S9" i="44"/>
  <c r="T9" i="44"/>
  <c r="U9" i="44"/>
  <c r="V9" i="44"/>
  <c r="W9" i="44"/>
  <c r="X9" i="44"/>
  <c r="Y9" i="44"/>
  <c r="Z9" i="44"/>
  <c r="AA9" i="44"/>
  <c r="AB9" i="44"/>
  <c r="AC9" i="44"/>
  <c r="F10" i="44"/>
  <c r="G10" i="44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X10" i="44"/>
  <c r="Y10" i="44"/>
  <c r="Z10" i="44"/>
  <c r="AA10" i="44"/>
  <c r="AB10" i="44"/>
  <c r="AC10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Z11" i="44"/>
  <c r="AA11" i="44"/>
  <c r="AB11" i="44"/>
  <c r="AC11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/>
  <c r="X12" i="44"/>
  <c r="Y12" i="44"/>
  <c r="Z12" i="44"/>
  <c r="AA12" i="44"/>
  <c r="AB12" i="44"/>
  <c r="AC12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Z13" i="44"/>
  <c r="AA13" i="44"/>
  <c r="AB13" i="44"/>
  <c r="AC13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W14" i="44"/>
  <c r="X14" i="44"/>
  <c r="Y14" i="44"/>
  <c r="Z14" i="44"/>
  <c r="AA14" i="44"/>
  <c r="AB14" i="44"/>
  <c r="AC14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Z15" i="44"/>
  <c r="AA15" i="44"/>
  <c r="AB15" i="44"/>
  <c r="AC15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U17" i="44"/>
  <c r="V17" i="44"/>
  <c r="W17" i="44"/>
  <c r="X17" i="44"/>
  <c r="Y17" i="44"/>
  <c r="Z17" i="44"/>
  <c r="AA17" i="44"/>
  <c r="AB17" i="44"/>
  <c r="AC17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Z18" i="44"/>
  <c r="AA18" i="44"/>
  <c r="AB18" i="44"/>
  <c r="AC18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U19" i="44"/>
  <c r="V19" i="44"/>
  <c r="W19" i="44"/>
  <c r="X19" i="44"/>
  <c r="Y19" i="44"/>
  <c r="Z19" i="44"/>
  <c r="AA19" i="44"/>
  <c r="AB19" i="44"/>
  <c r="AC19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U20" i="44"/>
  <c r="V20" i="44"/>
  <c r="W20" i="44"/>
  <c r="X20" i="44"/>
  <c r="Y20" i="44"/>
  <c r="Z20" i="44"/>
  <c r="AA20" i="44"/>
  <c r="AB20" i="44"/>
  <c r="AC20" i="44"/>
  <c r="F21" i="44"/>
  <c r="G21" i="44"/>
  <c r="H21" i="44"/>
  <c r="I21" i="44"/>
  <c r="J21" i="44"/>
  <c r="K21" i="44"/>
  <c r="L21" i="44"/>
  <c r="M21" i="44"/>
  <c r="N21" i="44"/>
  <c r="O21" i="44"/>
  <c r="P21" i="44"/>
  <c r="Q21" i="44"/>
  <c r="R21" i="44"/>
  <c r="S21" i="44"/>
  <c r="T21" i="44"/>
  <c r="U21" i="44"/>
  <c r="V21" i="44"/>
  <c r="W21" i="44"/>
  <c r="X21" i="44"/>
  <c r="Y21" i="44"/>
  <c r="Z21" i="44"/>
  <c r="AA21" i="44"/>
  <c r="AB21" i="44"/>
  <c r="AC21" i="44"/>
  <c r="F22" i="44"/>
  <c r="G22" i="44"/>
  <c r="H22" i="44"/>
  <c r="I22" i="44"/>
  <c r="J22" i="44"/>
  <c r="K22" i="44"/>
  <c r="L22" i="44"/>
  <c r="M22" i="44"/>
  <c r="N22" i="44"/>
  <c r="O22" i="44"/>
  <c r="P22" i="44"/>
  <c r="Q22" i="44"/>
  <c r="R22" i="44"/>
  <c r="S22" i="44"/>
  <c r="T22" i="44"/>
  <c r="U22" i="44"/>
  <c r="V22" i="44"/>
  <c r="W22" i="44"/>
  <c r="X22" i="44"/>
  <c r="Y22" i="44"/>
  <c r="Z22" i="44"/>
  <c r="AA22" i="44"/>
  <c r="AB22" i="44"/>
  <c r="AC22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S23" i="44"/>
  <c r="T23" i="44"/>
  <c r="U23" i="44"/>
  <c r="V23" i="44"/>
  <c r="W23" i="44"/>
  <c r="X23" i="44"/>
  <c r="Y23" i="44"/>
  <c r="Z23" i="44"/>
  <c r="AA23" i="44"/>
  <c r="AB23" i="44"/>
  <c r="AC23" i="44"/>
  <c r="F24" i="44"/>
  <c r="G24" i="44"/>
  <c r="H24" i="44"/>
  <c r="I24" i="44"/>
  <c r="J24" i="44"/>
  <c r="K24" i="44"/>
  <c r="L24" i="44"/>
  <c r="M24" i="44"/>
  <c r="N24" i="44"/>
  <c r="O24" i="44"/>
  <c r="P24" i="44"/>
  <c r="Q24" i="44"/>
  <c r="R24" i="44"/>
  <c r="S24" i="44"/>
  <c r="T24" i="44"/>
  <c r="U24" i="44"/>
  <c r="V24" i="44"/>
  <c r="W24" i="44"/>
  <c r="X24" i="44"/>
  <c r="Y24" i="44"/>
  <c r="Z24" i="44"/>
  <c r="AA24" i="44"/>
  <c r="AB24" i="44"/>
  <c r="AC24" i="44"/>
  <c r="F25" i="44"/>
  <c r="G25" i="44"/>
  <c r="H25" i="44"/>
  <c r="I25" i="44"/>
  <c r="J25" i="44"/>
  <c r="K25" i="44"/>
  <c r="L25" i="44"/>
  <c r="M25" i="44"/>
  <c r="N25" i="44"/>
  <c r="O25" i="44"/>
  <c r="P25" i="44"/>
  <c r="Q25" i="44"/>
  <c r="R25" i="44"/>
  <c r="S25" i="44"/>
  <c r="T25" i="44"/>
  <c r="U25" i="44"/>
  <c r="V25" i="44"/>
  <c r="W25" i="44"/>
  <c r="X25" i="44"/>
  <c r="Y25" i="44"/>
  <c r="Z25" i="44"/>
  <c r="AA25" i="44"/>
  <c r="AB25" i="44"/>
  <c r="AC25" i="44"/>
  <c r="F26" i="44"/>
  <c r="G26" i="44"/>
  <c r="H26" i="44"/>
  <c r="I26" i="44"/>
  <c r="J26" i="44"/>
  <c r="K26" i="44"/>
  <c r="L26" i="44"/>
  <c r="M26" i="44"/>
  <c r="N26" i="44"/>
  <c r="O26" i="44"/>
  <c r="P26" i="44"/>
  <c r="Q26" i="44"/>
  <c r="R26" i="44"/>
  <c r="S26" i="44"/>
  <c r="T26" i="44"/>
  <c r="U26" i="44"/>
  <c r="V26" i="44"/>
  <c r="W26" i="44"/>
  <c r="X26" i="44"/>
  <c r="Y26" i="44"/>
  <c r="Z26" i="44"/>
  <c r="AA26" i="44"/>
  <c r="AB26" i="44"/>
  <c r="AC26" i="44"/>
  <c r="F27" i="44"/>
  <c r="G27" i="44"/>
  <c r="H27" i="44"/>
  <c r="I27" i="44"/>
  <c r="J27" i="44"/>
  <c r="K27" i="44"/>
  <c r="L27" i="44"/>
  <c r="M27" i="44"/>
  <c r="N27" i="44"/>
  <c r="O27" i="44"/>
  <c r="P27" i="44"/>
  <c r="Q27" i="44"/>
  <c r="R27" i="44"/>
  <c r="S27" i="44"/>
  <c r="T27" i="44"/>
  <c r="U27" i="44"/>
  <c r="V27" i="44"/>
  <c r="W27" i="44"/>
  <c r="X27" i="44"/>
  <c r="Y27" i="44"/>
  <c r="Z27" i="44"/>
  <c r="AA27" i="44"/>
  <c r="AB27" i="44"/>
  <c r="AC27" i="44"/>
  <c r="F28" i="44"/>
  <c r="G28" i="44"/>
  <c r="H28" i="44"/>
  <c r="I28" i="44"/>
  <c r="J28" i="44"/>
  <c r="K28" i="44"/>
  <c r="L28" i="44"/>
  <c r="M28" i="44"/>
  <c r="N28" i="44"/>
  <c r="O28" i="44"/>
  <c r="P28" i="44"/>
  <c r="Q28" i="44"/>
  <c r="R28" i="44"/>
  <c r="S28" i="44"/>
  <c r="T28" i="44"/>
  <c r="U28" i="44"/>
  <c r="V28" i="44"/>
  <c r="W28" i="44"/>
  <c r="X28" i="44"/>
  <c r="Y28" i="44"/>
  <c r="Z28" i="44"/>
  <c r="AA28" i="44"/>
  <c r="AB28" i="44"/>
  <c r="AC28" i="44"/>
  <c r="F29" i="44"/>
  <c r="G29" i="44"/>
  <c r="H29" i="44"/>
  <c r="I29" i="44"/>
  <c r="J29" i="44"/>
  <c r="K29" i="44"/>
  <c r="L29" i="44"/>
  <c r="M29" i="44"/>
  <c r="N29" i="44"/>
  <c r="O29" i="44"/>
  <c r="P29" i="44"/>
  <c r="Q29" i="44"/>
  <c r="R29" i="44"/>
  <c r="S29" i="44"/>
  <c r="T29" i="44"/>
  <c r="U29" i="44"/>
  <c r="V29" i="44"/>
  <c r="W29" i="44"/>
  <c r="X29" i="44"/>
  <c r="Y29" i="44"/>
  <c r="Z29" i="44"/>
  <c r="AA29" i="44"/>
  <c r="AB29" i="44"/>
  <c r="AC29" i="44"/>
  <c r="F30" i="44"/>
  <c r="G30" i="44"/>
  <c r="H30" i="44"/>
  <c r="I30" i="44"/>
  <c r="J30" i="44"/>
  <c r="K30" i="44"/>
  <c r="L30" i="44"/>
  <c r="M30" i="44"/>
  <c r="N30" i="44"/>
  <c r="O30" i="44"/>
  <c r="P30" i="44"/>
  <c r="Q30" i="44"/>
  <c r="R30" i="44"/>
  <c r="S30" i="44"/>
  <c r="T30" i="44"/>
  <c r="U30" i="44"/>
  <c r="V30" i="44"/>
  <c r="W30" i="44"/>
  <c r="X30" i="44"/>
  <c r="Y30" i="44"/>
  <c r="Z30" i="44"/>
  <c r="AA30" i="44"/>
  <c r="AB30" i="44"/>
  <c r="AC30" i="44"/>
  <c r="F31" i="44"/>
  <c r="G31" i="44"/>
  <c r="H31" i="44"/>
  <c r="I31" i="44"/>
  <c r="J31" i="44"/>
  <c r="K31" i="44"/>
  <c r="L31" i="44"/>
  <c r="M31" i="44"/>
  <c r="N31" i="44"/>
  <c r="O31" i="44"/>
  <c r="P31" i="44"/>
  <c r="Q31" i="44"/>
  <c r="R31" i="44"/>
  <c r="S31" i="44"/>
  <c r="T31" i="44"/>
  <c r="U31" i="44"/>
  <c r="V31" i="44"/>
  <c r="W31" i="44"/>
  <c r="X31" i="44"/>
  <c r="Y31" i="44"/>
  <c r="Z31" i="44"/>
  <c r="AA31" i="44"/>
  <c r="AB31" i="44"/>
  <c r="AC31" i="44"/>
  <c r="F32" i="44"/>
  <c r="G32" i="44"/>
  <c r="H32" i="44"/>
  <c r="I32" i="44"/>
  <c r="J32" i="44"/>
  <c r="K32" i="44"/>
  <c r="L32" i="44"/>
  <c r="M32" i="44"/>
  <c r="N32" i="44"/>
  <c r="O32" i="44"/>
  <c r="P32" i="44"/>
  <c r="Q32" i="44"/>
  <c r="R32" i="44"/>
  <c r="S32" i="44"/>
  <c r="T32" i="44"/>
  <c r="U32" i="44"/>
  <c r="V32" i="44"/>
  <c r="W32" i="44"/>
  <c r="X32" i="44"/>
  <c r="Y32" i="44"/>
  <c r="Z32" i="44"/>
  <c r="AA32" i="44"/>
  <c r="AB32" i="44"/>
  <c r="AC32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U33" i="44"/>
  <c r="V33" i="44"/>
  <c r="W33" i="44"/>
  <c r="X33" i="44"/>
  <c r="Y33" i="44"/>
  <c r="Z33" i="44"/>
  <c r="AA33" i="44"/>
  <c r="AB33" i="44"/>
  <c r="AC33" i="44"/>
  <c r="F34" i="44"/>
  <c r="G34" i="44"/>
  <c r="H34" i="44"/>
  <c r="I34" i="44"/>
  <c r="J34" i="44"/>
  <c r="K34" i="44"/>
  <c r="L34" i="44"/>
  <c r="M34" i="44"/>
  <c r="N34" i="44"/>
  <c r="O34" i="44"/>
  <c r="P34" i="44"/>
  <c r="Q34" i="44"/>
  <c r="R34" i="44"/>
  <c r="S34" i="44"/>
  <c r="T34" i="44"/>
  <c r="U34" i="44"/>
  <c r="V34" i="44"/>
  <c r="W34" i="44"/>
  <c r="X34" i="44"/>
  <c r="Y34" i="44"/>
  <c r="Z34" i="44"/>
  <c r="AA34" i="44"/>
  <c r="AB34" i="44"/>
  <c r="AC34" i="44"/>
  <c r="F35" i="44"/>
  <c r="G35" i="44"/>
  <c r="H35" i="44"/>
  <c r="I35" i="44"/>
  <c r="J35" i="44"/>
  <c r="K35" i="44"/>
  <c r="L35" i="44"/>
  <c r="M35" i="44"/>
  <c r="N35" i="44"/>
  <c r="O35" i="44"/>
  <c r="P35" i="44"/>
  <c r="Q35" i="44"/>
  <c r="R35" i="44"/>
  <c r="S35" i="44"/>
  <c r="T35" i="44"/>
  <c r="U35" i="44"/>
  <c r="V35" i="44"/>
  <c r="W35" i="44"/>
  <c r="X35" i="44"/>
  <c r="Y35" i="44"/>
  <c r="Z35" i="44"/>
  <c r="AA35" i="44"/>
  <c r="AB35" i="44"/>
  <c r="AC35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F38" i="44"/>
  <c r="G38" i="44"/>
  <c r="H38" i="44"/>
  <c r="I38" i="44"/>
  <c r="J38" i="44"/>
  <c r="K38" i="44"/>
  <c r="L38" i="44"/>
  <c r="M38" i="44"/>
  <c r="N38" i="44"/>
  <c r="O38" i="44"/>
  <c r="P38" i="44"/>
  <c r="Q38" i="44"/>
  <c r="R38" i="44"/>
  <c r="S38" i="44"/>
  <c r="T38" i="44"/>
  <c r="U38" i="44"/>
  <c r="V38" i="44"/>
  <c r="W38" i="44"/>
  <c r="X38" i="44"/>
  <c r="Y38" i="44"/>
  <c r="Z38" i="44"/>
  <c r="AA38" i="44"/>
  <c r="AB38" i="44"/>
  <c r="AC38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F40" i="44"/>
  <c r="G40" i="44"/>
  <c r="H40" i="44"/>
  <c r="I40" i="44"/>
  <c r="J40" i="44"/>
  <c r="K40" i="44"/>
  <c r="L40" i="44"/>
  <c r="M40" i="44"/>
  <c r="N40" i="44"/>
  <c r="O40" i="44"/>
  <c r="P40" i="44"/>
  <c r="Q40" i="44"/>
  <c r="R40" i="44"/>
  <c r="S40" i="44"/>
  <c r="T40" i="44"/>
  <c r="U40" i="44"/>
  <c r="V40" i="44"/>
  <c r="W40" i="44"/>
  <c r="X40" i="44"/>
  <c r="Y40" i="44"/>
  <c r="Z40" i="44"/>
  <c r="AA40" i="44"/>
  <c r="AB40" i="44"/>
  <c r="AC40" i="44"/>
  <c r="F41" i="44"/>
  <c r="G41" i="44"/>
  <c r="H41" i="44"/>
  <c r="I41" i="44"/>
  <c r="J41" i="44"/>
  <c r="K41" i="44"/>
  <c r="L41" i="44"/>
  <c r="M41" i="44"/>
  <c r="N41" i="44"/>
  <c r="O41" i="44"/>
  <c r="P41" i="44"/>
  <c r="Q41" i="44"/>
  <c r="R41" i="44"/>
  <c r="S41" i="44"/>
  <c r="T41" i="44"/>
  <c r="U41" i="44"/>
  <c r="V41" i="44"/>
  <c r="W41" i="44"/>
  <c r="X41" i="44"/>
  <c r="Y41" i="44"/>
  <c r="Z41" i="44"/>
  <c r="AA41" i="44"/>
  <c r="AB41" i="44"/>
  <c r="AC41" i="44"/>
  <c r="F42" i="44"/>
  <c r="G42" i="44"/>
  <c r="H42" i="44"/>
  <c r="I42" i="44"/>
  <c r="J42" i="44"/>
  <c r="K42" i="44"/>
  <c r="L42" i="44"/>
  <c r="M42" i="44"/>
  <c r="N42" i="44"/>
  <c r="O42" i="44"/>
  <c r="P42" i="44"/>
  <c r="Q42" i="44"/>
  <c r="R42" i="44"/>
  <c r="S42" i="44"/>
  <c r="T42" i="44"/>
  <c r="U42" i="44"/>
  <c r="V42" i="44"/>
  <c r="W42" i="44"/>
  <c r="X42" i="44"/>
  <c r="Y42" i="44"/>
  <c r="Z42" i="44"/>
  <c r="AA42" i="44"/>
  <c r="AB42" i="44"/>
  <c r="AC42" i="44"/>
  <c r="F43" i="44"/>
  <c r="G43" i="44"/>
  <c r="H43" i="44"/>
  <c r="I43" i="44"/>
  <c r="J43" i="44"/>
  <c r="K43" i="44"/>
  <c r="L43" i="44"/>
  <c r="M43" i="44"/>
  <c r="N43" i="44"/>
  <c r="O43" i="44"/>
  <c r="P43" i="44"/>
  <c r="Q43" i="44"/>
  <c r="R43" i="44"/>
  <c r="S43" i="44"/>
  <c r="T43" i="44"/>
  <c r="U43" i="44"/>
  <c r="V43" i="44"/>
  <c r="W43" i="44"/>
  <c r="X43" i="44"/>
  <c r="Y43" i="44"/>
  <c r="Z43" i="44"/>
  <c r="AA43" i="44"/>
  <c r="AB43" i="44"/>
  <c r="AC43" i="44"/>
  <c r="F44" i="44"/>
  <c r="G44" i="44"/>
  <c r="H44" i="44"/>
  <c r="I44" i="44"/>
  <c r="J44" i="44"/>
  <c r="K44" i="44"/>
  <c r="L44" i="44"/>
  <c r="M44" i="44"/>
  <c r="N44" i="44"/>
  <c r="O44" i="44"/>
  <c r="P44" i="44"/>
  <c r="Q44" i="44"/>
  <c r="R44" i="44"/>
  <c r="S44" i="44"/>
  <c r="T44" i="44"/>
  <c r="U44" i="44"/>
  <c r="V44" i="44"/>
  <c r="W44" i="44"/>
  <c r="X44" i="44"/>
  <c r="Y44" i="44"/>
  <c r="Z44" i="44"/>
  <c r="AA44" i="44"/>
  <c r="AB44" i="44"/>
  <c r="AC44" i="44"/>
  <c r="F45" i="44"/>
  <c r="G45" i="44"/>
  <c r="H45" i="44"/>
  <c r="I45" i="44"/>
  <c r="J45" i="44"/>
  <c r="K45" i="44"/>
  <c r="L45" i="44"/>
  <c r="M45" i="44"/>
  <c r="N45" i="44"/>
  <c r="O45" i="44"/>
  <c r="P45" i="44"/>
  <c r="Q45" i="44"/>
  <c r="R45" i="44"/>
  <c r="S45" i="44"/>
  <c r="T45" i="44"/>
  <c r="U45" i="44"/>
  <c r="V45" i="44"/>
  <c r="W45" i="44"/>
  <c r="X45" i="44"/>
  <c r="Y45" i="44"/>
  <c r="Z45" i="44"/>
  <c r="AA45" i="44"/>
  <c r="AB45" i="44"/>
  <c r="AC45" i="44"/>
  <c r="F46" i="44"/>
  <c r="G46" i="44"/>
  <c r="H46" i="44"/>
  <c r="I46" i="44"/>
  <c r="J46" i="44"/>
  <c r="K46" i="44"/>
  <c r="L46" i="44"/>
  <c r="M46" i="44"/>
  <c r="N46" i="44"/>
  <c r="O46" i="44"/>
  <c r="P46" i="44"/>
  <c r="Q46" i="44"/>
  <c r="R46" i="44"/>
  <c r="S46" i="44"/>
  <c r="T46" i="44"/>
  <c r="U46" i="44"/>
  <c r="V46" i="44"/>
  <c r="W46" i="44"/>
  <c r="X46" i="44"/>
  <c r="Y46" i="44"/>
  <c r="Z46" i="44"/>
  <c r="AA46" i="44"/>
  <c r="AB46" i="44"/>
  <c r="AC46" i="44"/>
  <c r="F47" i="44"/>
  <c r="G47" i="44"/>
  <c r="H47" i="44"/>
  <c r="I47" i="44"/>
  <c r="J47" i="44"/>
  <c r="K47" i="44"/>
  <c r="L47" i="44"/>
  <c r="M47" i="44"/>
  <c r="N47" i="44"/>
  <c r="O47" i="44"/>
  <c r="P47" i="44"/>
  <c r="Q47" i="44"/>
  <c r="R47" i="44"/>
  <c r="S47" i="44"/>
  <c r="T47" i="44"/>
  <c r="U47" i="44"/>
  <c r="V47" i="44"/>
  <c r="W47" i="44"/>
  <c r="X47" i="44"/>
  <c r="Y47" i="44"/>
  <c r="Z47" i="44"/>
  <c r="AA47" i="44"/>
  <c r="AB47" i="44"/>
  <c r="AC47" i="44"/>
  <c r="F48" i="44"/>
  <c r="G48" i="44"/>
  <c r="H48" i="44"/>
  <c r="I48" i="44"/>
  <c r="J48" i="44"/>
  <c r="K48" i="44"/>
  <c r="L48" i="44"/>
  <c r="M48" i="44"/>
  <c r="N48" i="44"/>
  <c r="O48" i="44"/>
  <c r="P48" i="44"/>
  <c r="Q48" i="44"/>
  <c r="R48" i="44"/>
  <c r="S48" i="44"/>
  <c r="T48" i="44"/>
  <c r="U48" i="44"/>
  <c r="V48" i="44"/>
  <c r="W48" i="44"/>
  <c r="X48" i="44"/>
  <c r="Y48" i="44"/>
  <c r="Z48" i="44"/>
  <c r="AA48" i="44"/>
  <c r="AB48" i="44"/>
  <c r="AC48" i="44"/>
  <c r="F49" i="44"/>
  <c r="G49" i="44"/>
  <c r="H49" i="44"/>
  <c r="I49" i="44"/>
  <c r="J49" i="44"/>
  <c r="K49" i="44"/>
  <c r="L49" i="44"/>
  <c r="M49" i="44"/>
  <c r="N49" i="44"/>
  <c r="O49" i="44"/>
  <c r="P49" i="44"/>
  <c r="Q49" i="44"/>
  <c r="R49" i="44"/>
  <c r="S49" i="44"/>
  <c r="T49" i="44"/>
  <c r="U49" i="44"/>
  <c r="V49" i="44"/>
  <c r="W49" i="44"/>
  <c r="X49" i="44"/>
  <c r="Y49" i="44"/>
  <c r="Z49" i="44"/>
  <c r="AA49" i="44"/>
  <c r="AB49" i="44"/>
  <c r="AC49" i="44"/>
  <c r="F50" i="44"/>
  <c r="G50" i="44"/>
  <c r="H50" i="44"/>
  <c r="I50" i="44"/>
  <c r="J50" i="44"/>
  <c r="K50" i="44"/>
  <c r="L50" i="44"/>
  <c r="M50" i="44"/>
  <c r="N50" i="44"/>
  <c r="O50" i="44"/>
  <c r="P50" i="44"/>
  <c r="Q50" i="44"/>
  <c r="R50" i="44"/>
  <c r="S50" i="44"/>
  <c r="T50" i="44"/>
  <c r="U50" i="44"/>
  <c r="V50" i="44"/>
  <c r="W50" i="44"/>
  <c r="X50" i="44"/>
  <c r="Y50" i="44"/>
  <c r="Z50" i="44"/>
  <c r="AA50" i="44"/>
  <c r="AB50" i="44"/>
  <c r="AC50" i="44"/>
  <c r="F51" i="44"/>
  <c r="G51" i="44"/>
  <c r="H51" i="44"/>
  <c r="I51" i="44"/>
  <c r="J51" i="44"/>
  <c r="K51" i="44"/>
  <c r="L51" i="44"/>
  <c r="M51" i="44"/>
  <c r="N51" i="44"/>
  <c r="O51" i="44"/>
  <c r="P51" i="44"/>
  <c r="Q51" i="44"/>
  <c r="R51" i="44"/>
  <c r="S51" i="44"/>
  <c r="T51" i="44"/>
  <c r="U51" i="44"/>
  <c r="V51" i="44"/>
  <c r="W51" i="44"/>
  <c r="X51" i="44"/>
  <c r="Y51" i="44"/>
  <c r="Z51" i="44"/>
  <c r="AA51" i="44"/>
  <c r="AB51" i="44"/>
  <c r="AC51" i="44"/>
  <c r="F52" i="44"/>
  <c r="G52" i="44"/>
  <c r="H52" i="44"/>
  <c r="I52" i="44"/>
  <c r="J52" i="44"/>
  <c r="K52" i="44"/>
  <c r="L52" i="44"/>
  <c r="M52" i="44"/>
  <c r="N52" i="44"/>
  <c r="O52" i="44"/>
  <c r="P52" i="44"/>
  <c r="Q52" i="44"/>
  <c r="R52" i="44"/>
  <c r="S52" i="44"/>
  <c r="T52" i="44"/>
  <c r="U52" i="44"/>
  <c r="V52" i="44"/>
  <c r="W52" i="44"/>
  <c r="X52" i="44"/>
  <c r="Y52" i="44"/>
  <c r="Z52" i="44"/>
  <c r="AA52" i="44"/>
  <c r="AB52" i="44"/>
  <c r="AC52" i="44"/>
  <c r="F53" i="44"/>
  <c r="G53" i="44"/>
  <c r="H53" i="44"/>
  <c r="I53" i="44"/>
  <c r="J53" i="44"/>
  <c r="K53" i="44"/>
  <c r="L53" i="44"/>
  <c r="M53" i="44"/>
  <c r="N53" i="44"/>
  <c r="O53" i="44"/>
  <c r="P53" i="44"/>
  <c r="Q53" i="44"/>
  <c r="R53" i="44"/>
  <c r="S53" i="44"/>
  <c r="T53" i="44"/>
  <c r="U53" i="44"/>
  <c r="V53" i="44"/>
  <c r="W53" i="44"/>
  <c r="X53" i="44"/>
  <c r="Y53" i="44"/>
  <c r="Z53" i="44"/>
  <c r="AA53" i="44"/>
  <c r="AB53" i="44"/>
  <c r="AC53" i="44"/>
  <c r="F54" i="44"/>
  <c r="G54" i="44"/>
  <c r="H54" i="44"/>
  <c r="I54" i="44"/>
  <c r="J54" i="44"/>
  <c r="K54" i="44"/>
  <c r="L54" i="44"/>
  <c r="M54" i="44"/>
  <c r="N54" i="44"/>
  <c r="O54" i="44"/>
  <c r="P54" i="44"/>
  <c r="Q54" i="44"/>
  <c r="R54" i="44"/>
  <c r="S54" i="44"/>
  <c r="T54" i="44"/>
  <c r="U54" i="44"/>
  <c r="V54" i="44"/>
  <c r="W54" i="44"/>
  <c r="X54" i="44"/>
  <c r="Y54" i="44"/>
  <c r="Z54" i="44"/>
  <c r="AA54" i="44"/>
  <c r="AB54" i="44"/>
  <c r="AC54" i="44"/>
  <c r="G7" i="44"/>
  <c r="H7" i="44"/>
  <c r="I7" i="44"/>
  <c r="J7" i="44"/>
  <c r="K7" i="44"/>
  <c r="L7" i="44"/>
  <c r="M7" i="44"/>
  <c r="N7" i="44"/>
  <c r="O7" i="44"/>
  <c r="P7" i="44"/>
  <c r="Q7" i="44"/>
  <c r="R7" i="44"/>
  <c r="S7" i="44"/>
  <c r="T7" i="44"/>
  <c r="U7" i="44"/>
  <c r="V7" i="44"/>
  <c r="W7" i="44"/>
  <c r="X7" i="44"/>
  <c r="Y7" i="44"/>
  <c r="Z7" i="44"/>
  <c r="AA7" i="44"/>
  <c r="AB7" i="44"/>
  <c r="AC7" i="44"/>
  <c r="F7" i="44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AA15" i="43"/>
  <c r="AB15" i="43"/>
  <c r="AC15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AA16" i="43"/>
  <c r="AB16" i="43"/>
  <c r="AC16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W17" i="43"/>
  <c r="X17" i="43"/>
  <c r="Y17" i="43"/>
  <c r="Z17" i="43"/>
  <c r="AA17" i="43"/>
  <c r="AB17" i="43"/>
  <c r="AC17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AA18" i="43"/>
  <c r="AB18" i="43"/>
  <c r="AC18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Z19" i="43"/>
  <c r="AA19" i="43"/>
  <c r="AB19" i="43"/>
  <c r="AC19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W20" i="43"/>
  <c r="X20" i="43"/>
  <c r="Y20" i="43"/>
  <c r="Z20" i="43"/>
  <c r="AA20" i="43"/>
  <c r="AB20" i="43"/>
  <c r="AC20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W21" i="43"/>
  <c r="X21" i="43"/>
  <c r="Y21" i="43"/>
  <c r="Z21" i="43"/>
  <c r="AA21" i="43"/>
  <c r="AB21" i="43"/>
  <c r="AC21" i="43"/>
  <c r="F22" i="43"/>
  <c r="G22" i="43"/>
  <c r="H22" i="43"/>
  <c r="I22" i="43"/>
  <c r="J22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W22" i="43"/>
  <c r="X22" i="43"/>
  <c r="Y22" i="43"/>
  <c r="Z22" i="43"/>
  <c r="AA22" i="43"/>
  <c r="AB22" i="43"/>
  <c r="AC22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/>
  <c r="X23" i="43"/>
  <c r="Y23" i="43"/>
  <c r="Z23" i="43"/>
  <c r="AA23" i="43"/>
  <c r="AB23" i="43"/>
  <c r="AC23" i="43"/>
  <c r="F24" i="43"/>
  <c r="G24" i="43"/>
  <c r="H24" i="43"/>
  <c r="I24" i="43"/>
  <c r="J24" i="43"/>
  <c r="K24" i="43"/>
  <c r="L24" i="43"/>
  <c r="M24" i="43"/>
  <c r="N24" i="43"/>
  <c r="O24" i="43"/>
  <c r="P24" i="43"/>
  <c r="Q24" i="43"/>
  <c r="R24" i="43"/>
  <c r="S24" i="43"/>
  <c r="T24" i="43"/>
  <c r="U24" i="43"/>
  <c r="V24" i="43"/>
  <c r="W24" i="43"/>
  <c r="X24" i="43"/>
  <c r="Y24" i="43"/>
  <c r="Z24" i="43"/>
  <c r="AA24" i="43"/>
  <c r="AB24" i="43"/>
  <c r="AC24" i="43"/>
  <c r="F25" i="43"/>
  <c r="G25" i="43"/>
  <c r="H25" i="43"/>
  <c r="I25" i="43"/>
  <c r="J25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W25" i="43"/>
  <c r="X25" i="43"/>
  <c r="Y25" i="43"/>
  <c r="Z25" i="43"/>
  <c r="AA25" i="43"/>
  <c r="AB25" i="43"/>
  <c r="AC25" i="43"/>
  <c r="F26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T26" i="43"/>
  <c r="U26" i="43"/>
  <c r="V26" i="43"/>
  <c r="W26" i="43"/>
  <c r="X26" i="43"/>
  <c r="Y26" i="43"/>
  <c r="Z26" i="43"/>
  <c r="AA26" i="43"/>
  <c r="AB26" i="43"/>
  <c r="AC26" i="43"/>
  <c r="F27" i="43"/>
  <c r="G27" i="43"/>
  <c r="H27" i="43"/>
  <c r="I27" i="43"/>
  <c r="J27" i="43"/>
  <c r="K27" i="43"/>
  <c r="L27" i="43"/>
  <c r="M27" i="43"/>
  <c r="N27" i="43"/>
  <c r="O27" i="43"/>
  <c r="P27" i="43"/>
  <c r="Q27" i="43"/>
  <c r="R27" i="43"/>
  <c r="S27" i="43"/>
  <c r="T27" i="43"/>
  <c r="U27" i="43"/>
  <c r="V27" i="43"/>
  <c r="W27" i="43"/>
  <c r="X27" i="43"/>
  <c r="Y27" i="43"/>
  <c r="Z27" i="43"/>
  <c r="AA27" i="43"/>
  <c r="AB27" i="43"/>
  <c r="AC27" i="43"/>
  <c r="F28" i="43"/>
  <c r="G28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U28" i="43"/>
  <c r="V28" i="43"/>
  <c r="W28" i="43"/>
  <c r="X28" i="43"/>
  <c r="Y28" i="43"/>
  <c r="Z28" i="43"/>
  <c r="AA28" i="43"/>
  <c r="AB28" i="43"/>
  <c r="AC28" i="43"/>
  <c r="F29" i="43"/>
  <c r="G29" i="43"/>
  <c r="H29" i="43"/>
  <c r="I29" i="43"/>
  <c r="J29" i="43"/>
  <c r="K29" i="43"/>
  <c r="L29" i="43"/>
  <c r="M29" i="43"/>
  <c r="N29" i="43"/>
  <c r="O29" i="43"/>
  <c r="P29" i="43"/>
  <c r="Q29" i="43"/>
  <c r="R29" i="43"/>
  <c r="S29" i="43"/>
  <c r="T29" i="43"/>
  <c r="U29" i="43"/>
  <c r="V29" i="43"/>
  <c r="W29" i="43"/>
  <c r="X29" i="43"/>
  <c r="Y29" i="43"/>
  <c r="Z29" i="43"/>
  <c r="AA29" i="43"/>
  <c r="AB29" i="43"/>
  <c r="AC29" i="43"/>
  <c r="F30" i="43"/>
  <c r="G30" i="43"/>
  <c r="H30" i="43"/>
  <c r="I30" i="43"/>
  <c r="J30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W30" i="43"/>
  <c r="X30" i="43"/>
  <c r="Y30" i="43"/>
  <c r="Z30" i="43"/>
  <c r="AA30" i="43"/>
  <c r="AB30" i="43"/>
  <c r="AC30" i="43"/>
  <c r="F31" i="43"/>
  <c r="G31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W31" i="43"/>
  <c r="X31" i="43"/>
  <c r="Y31" i="43"/>
  <c r="Z31" i="43"/>
  <c r="AA31" i="43"/>
  <c r="AB31" i="43"/>
  <c r="AC31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T32" i="43"/>
  <c r="U32" i="43"/>
  <c r="V32" i="43"/>
  <c r="W32" i="43"/>
  <c r="X32" i="43"/>
  <c r="Y32" i="43"/>
  <c r="Z32" i="43"/>
  <c r="AA32" i="43"/>
  <c r="AB32" i="43"/>
  <c r="AC32" i="43"/>
  <c r="F33" i="43"/>
  <c r="G33" i="43"/>
  <c r="H33" i="43"/>
  <c r="I33" i="43"/>
  <c r="J33" i="43"/>
  <c r="K33" i="43"/>
  <c r="L33" i="43"/>
  <c r="M33" i="43"/>
  <c r="N33" i="43"/>
  <c r="O33" i="43"/>
  <c r="P33" i="43"/>
  <c r="Q33" i="43"/>
  <c r="R33" i="43"/>
  <c r="S33" i="43"/>
  <c r="T33" i="43"/>
  <c r="U33" i="43"/>
  <c r="V33" i="43"/>
  <c r="W33" i="43"/>
  <c r="X33" i="43"/>
  <c r="Y33" i="43"/>
  <c r="Z33" i="43"/>
  <c r="AA33" i="43"/>
  <c r="AB33" i="43"/>
  <c r="AC33" i="43"/>
  <c r="F34" i="43"/>
  <c r="G34" i="43"/>
  <c r="H34" i="43"/>
  <c r="I34" i="43"/>
  <c r="J34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W34" i="43"/>
  <c r="X34" i="43"/>
  <c r="Y34" i="43"/>
  <c r="Z34" i="43"/>
  <c r="AA34" i="43"/>
  <c r="AB34" i="43"/>
  <c r="AC34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W35" i="43"/>
  <c r="X35" i="43"/>
  <c r="Y35" i="43"/>
  <c r="Z35" i="43"/>
  <c r="AA35" i="43"/>
  <c r="AB35" i="43"/>
  <c r="AC35" i="43"/>
  <c r="F36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W36" i="43"/>
  <c r="X36" i="43"/>
  <c r="Y36" i="43"/>
  <c r="Z36" i="43"/>
  <c r="AA36" i="43"/>
  <c r="AB36" i="43"/>
  <c r="AC36" i="43"/>
  <c r="F37" i="43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W37" i="43"/>
  <c r="X37" i="43"/>
  <c r="Y37" i="43"/>
  <c r="Z37" i="43"/>
  <c r="AA37" i="43"/>
  <c r="AB37" i="43"/>
  <c r="AC37" i="43"/>
  <c r="F38" i="43"/>
  <c r="G38" i="43"/>
  <c r="H38" i="43"/>
  <c r="I38" i="43"/>
  <c r="J38" i="43"/>
  <c r="K38" i="43"/>
  <c r="L38" i="43"/>
  <c r="M38" i="43"/>
  <c r="N38" i="43"/>
  <c r="O38" i="43"/>
  <c r="P38" i="43"/>
  <c r="Q38" i="43"/>
  <c r="R38" i="43"/>
  <c r="S38" i="43"/>
  <c r="T38" i="43"/>
  <c r="U38" i="43"/>
  <c r="V38" i="43"/>
  <c r="W38" i="43"/>
  <c r="X38" i="43"/>
  <c r="Y38" i="43"/>
  <c r="Z38" i="43"/>
  <c r="AA38" i="43"/>
  <c r="AB38" i="43"/>
  <c r="AC38" i="43"/>
  <c r="F39" i="43"/>
  <c r="G39" i="43"/>
  <c r="H39" i="43"/>
  <c r="I39" i="43"/>
  <c r="J39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W39" i="43"/>
  <c r="X39" i="43"/>
  <c r="Y39" i="43"/>
  <c r="Z39" i="43"/>
  <c r="AA39" i="43"/>
  <c r="AB39" i="43"/>
  <c r="AC39" i="43"/>
  <c r="F40" i="43"/>
  <c r="G40" i="43"/>
  <c r="H40" i="43"/>
  <c r="I40" i="43"/>
  <c r="J40" i="43"/>
  <c r="K40" i="43"/>
  <c r="L40" i="43"/>
  <c r="M40" i="43"/>
  <c r="N40" i="43"/>
  <c r="O40" i="43"/>
  <c r="P40" i="43"/>
  <c r="Q40" i="43"/>
  <c r="R40" i="43"/>
  <c r="S40" i="43"/>
  <c r="T40" i="43"/>
  <c r="U40" i="43"/>
  <c r="V40" i="43"/>
  <c r="W40" i="43"/>
  <c r="X40" i="43"/>
  <c r="Y40" i="43"/>
  <c r="Z40" i="43"/>
  <c r="AA40" i="43"/>
  <c r="AB40" i="43"/>
  <c r="AC40" i="43"/>
  <c r="F41" i="43"/>
  <c r="G41" i="43"/>
  <c r="H41" i="43"/>
  <c r="I41" i="43"/>
  <c r="J41" i="43"/>
  <c r="K41" i="43"/>
  <c r="L41" i="43"/>
  <c r="M41" i="43"/>
  <c r="N41" i="43"/>
  <c r="O41" i="43"/>
  <c r="P41" i="43"/>
  <c r="Q41" i="43"/>
  <c r="R41" i="43"/>
  <c r="S41" i="43"/>
  <c r="T41" i="43"/>
  <c r="U41" i="43"/>
  <c r="V41" i="43"/>
  <c r="W41" i="43"/>
  <c r="X41" i="43"/>
  <c r="Y41" i="43"/>
  <c r="Z41" i="43"/>
  <c r="AA41" i="43"/>
  <c r="AB41" i="43"/>
  <c r="AC41" i="43"/>
  <c r="F42" i="43"/>
  <c r="G42" i="43"/>
  <c r="H42" i="43"/>
  <c r="I42" i="43"/>
  <c r="J42" i="43"/>
  <c r="K42" i="43"/>
  <c r="L42" i="43"/>
  <c r="M42" i="43"/>
  <c r="N42" i="43"/>
  <c r="O42" i="43"/>
  <c r="P42" i="43"/>
  <c r="Q42" i="43"/>
  <c r="R42" i="43"/>
  <c r="S42" i="43"/>
  <c r="T42" i="43"/>
  <c r="U42" i="43"/>
  <c r="V42" i="43"/>
  <c r="W42" i="43"/>
  <c r="X42" i="43"/>
  <c r="Y42" i="43"/>
  <c r="Z42" i="43"/>
  <c r="AA42" i="43"/>
  <c r="AB42" i="43"/>
  <c r="AC42" i="43"/>
  <c r="F43" i="43"/>
  <c r="G43" i="43"/>
  <c r="H43" i="43"/>
  <c r="I43" i="43"/>
  <c r="J43" i="43"/>
  <c r="K43" i="43"/>
  <c r="L43" i="43"/>
  <c r="M43" i="43"/>
  <c r="N43" i="43"/>
  <c r="O43" i="43"/>
  <c r="P43" i="43"/>
  <c r="Q43" i="43"/>
  <c r="R43" i="43"/>
  <c r="S43" i="43"/>
  <c r="T43" i="43"/>
  <c r="U43" i="43"/>
  <c r="V43" i="43"/>
  <c r="W43" i="43"/>
  <c r="X43" i="43"/>
  <c r="Y43" i="43"/>
  <c r="Z43" i="43"/>
  <c r="AA43" i="43"/>
  <c r="AB43" i="43"/>
  <c r="AC43" i="43"/>
  <c r="F44" i="43"/>
  <c r="G44" i="43"/>
  <c r="H44" i="43"/>
  <c r="I44" i="43"/>
  <c r="J44" i="43"/>
  <c r="K44" i="43"/>
  <c r="L44" i="43"/>
  <c r="M44" i="43"/>
  <c r="N44" i="43"/>
  <c r="O44" i="43"/>
  <c r="P44" i="43"/>
  <c r="Q44" i="43"/>
  <c r="R44" i="43"/>
  <c r="S44" i="43"/>
  <c r="T44" i="43"/>
  <c r="U44" i="43"/>
  <c r="V44" i="43"/>
  <c r="W44" i="43"/>
  <c r="X44" i="43"/>
  <c r="Y44" i="43"/>
  <c r="Z44" i="43"/>
  <c r="AA44" i="43"/>
  <c r="AB44" i="43"/>
  <c r="AC44" i="43"/>
  <c r="F45" i="43"/>
  <c r="G45" i="43"/>
  <c r="H45" i="43"/>
  <c r="I45" i="43"/>
  <c r="J45" i="43"/>
  <c r="K45" i="43"/>
  <c r="L45" i="43"/>
  <c r="M45" i="43"/>
  <c r="N45" i="43"/>
  <c r="O45" i="43"/>
  <c r="P45" i="43"/>
  <c r="Q45" i="43"/>
  <c r="R45" i="43"/>
  <c r="S45" i="43"/>
  <c r="T45" i="43"/>
  <c r="U45" i="43"/>
  <c r="V45" i="43"/>
  <c r="W45" i="43"/>
  <c r="X45" i="43"/>
  <c r="Y45" i="43"/>
  <c r="Z45" i="43"/>
  <c r="AA45" i="43"/>
  <c r="AB45" i="43"/>
  <c r="AC45" i="43"/>
  <c r="F46" i="43"/>
  <c r="G46" i="43"/>
  <c r="H46" i="43"/>
  <c r="I46" i="43"/>
  <c r="J46" i="43"/>
  <c r="K46" i="43"/>
  <c r="L46" i="43"/>
  <c r="M46" i="43"/>
  <c r="N46" i="43"/>
  <c r="O46" i="43"/>
  <c r="P46" i="43"/>
  <c r="Q46" i="43"/>
  <c r="R46" i="43"/>
  <c r="S46" i="43"/>
  <c r="T46" i="43"/>
  <c r="U46" i="43"/>
  <c r="V46" i="43"/>
  <c r="W46" i="43"/>
  <c r="X46" i="43"/>
  <c r="Y46" i="43"/>
  <c r="Z46" i="43"/>
  <c r="AA46" i="43"/>
  <c r="AB46" i="43"/>
  <c r="AC46" i="43"/>
  <c r="F47" i="43"/>
  <c r="G47" i="43"/>
  <c r="H47" i="43"/>
  <c r="I47" i="43"/>
  <c r="J47" i="43"/>
  <c r="K47" i="43"/>
  <c r="L47" i="43"/>
  <c r="M47" i="43"/>
  <c r="N47" i="43"/>
  <c r="O47" i="43"/>
  <c r="P47" i="43"/>
  <c r="Q47" i="43"/>
  <c r="R47" i="43"/>
  <c r="S47" i="43"/>
  <c r="T47" i="43"/>
  <c r="U47" i="43"/>
  <c r="V47" i="43"/>
  <c r="W47" i="43"/>
  <c r="X47" i="43"/>
  <c r="Y47" i="43"/>
  <c r="Z47" i="43"/>
  <c r="AA47" i="43"/>
  <c r="AB47" i="43"/>
  <c r="AC47" i="43"/>
  <c r="F48" i="43"/>
  <c r="G48" i="43"/>
  <c r="H48" i="43"/>
  <c r="I48" i="43"/>
  <c r="J48" i="43"/>
  <c r="K48" i="43"/>
  <c r="L48" i="43"/>
  <c r="M48" i="43"/>
  <c r="N48" i="43"/>
  <c r="O48" i="43"/>
  <c r="P48" i="43"/>
  <c r="Q48" i="43"/>
  <c r="R48" i="43"/>
  <c r="S48" i="43"/>
  <c r="T48" i="43"/>
  <c r="U48" i="43"/>
  <c r="V48" i="43"/>
  <c r="W48" i="43"/>
  <c r="X48" i="43"/>
  <c r="Y48" i="43"/>
  <c r="Z48" i="43"/>
  <c r="AA48" i="43"/>
  <c r="AB48" i="43"/>
  <c r="AC48" i="43"/>
  <c r="F49" i="43"/>
  <c r="G49" i="43"/>
  <c r="H49" i="43"/>
  <c r="I49" i="43"/>
  <c r="J49" i="43"/>
  <c r="K49" i="43"/>
  <c r="L49" i="43"/>
  <c r="M49" i="43"/>
  <c r="N49" i="43"/>
  <c r="O49" i="43"/>
  <c r="P49" i="43"/>
  <c r="Q49" i="43"/>
  <c r="R49" i="43"/>
  <c r="S49" i="43"/>
  <c r="T49" i="43"/>
  <c r="U49" i="43"/>
  <c r="V49" i="43"/>
  <c r="W49" i="43"/>
  <c r="X49" i="43"/>
  <c r="Y49" i="43"/>
  <c r="Z49" i="43"/>
  <c r="AA49" i="43"/>
  <c r="AB49" i="43"/>
  <c r="AC49" i="43"/>
  <c r="F50" i="43"/>
  <c r="G50" i="43"/>
  <c r="H50" i="43"/>
  <c r="I50" i="43"/>
  <c r="J50" i="43"/>
  <c r="K50" i="43"/>
  <c r="L50" i="43"/>
  <c r="M50" i="43"/>
  <c r="N50" i="43"/>
  <c r="O50" i="43"/>
  <c r="P50" i="43"/>
  <c r="Q50" i="43"/>
  <c r="R50" i="43"/>
  <c r="S50" i="43"/>
  <c r="T50" i="43"/>
  <c r="U50" i="43"/>
  <c r="V50" i="43"/>
  <c r="W50" i="43"/>
  <c r="X50" i="43"/>
  <c r="Y50" i="43"/>
  <c r="Z50" i="43"/>
  <c r="AA50" i="43"/>
  <c r="AB50" i="43"/>
  <c r="AC50" i="43"/>
  <c r="F51" i="43"/>
  <c r="G51" i="43"/>
  <c r="H51" i="43"/>
  <c r="I51" i="43"/>
  <c r="J51" i="43"/>
  <c r="K51" i="43"/>
  <c r="L51" i="43"/>
  <c r="M51" i="43"/>
  <c r="N51" i="43"/>
  <c r="O51" i="43"/>
  <c r="P51" i="43"/>
  <c r="Q51" i="43"/>
  <c r="R51" i="43"/>
  <c r="S51" i="43"/>
  <c r="T51" i="43"/>
  <c r="U51" i="43"/>
  <c r="V51" i="43"/>
  <c r="W51" i="43"/>
  <c r="X51" i="43"/>
  <c r="Y51" i="43"/>
  <c r="Z51" i="43"/>
  <c r="AA51" i="43"/>
  <c r="AB51" i="43"/>
  <c r="AC51" i="43"/>
  <c r="F52" i="43"/>
  <c r="G52" i="43"/>
  <c r="H52" i="43"/>
  <c r="I52" i="43"/>
  <c r="J52" i="43"/>
  <c r="K52" i="43"/>
  <c r="L52" i="43"/>
  <c r="M52" i="43"/>
  <c r="N52" i="43"/>
  <c r="O52" i="43"/>
  <c r="P52" i="43"/>
  <c r="Q52" i="43"/>
  <c r="R52" i="43"/>
  <c r="S52" i="43"/>
  <c r="T52" i="43"/>
  <c r="U52" i="43"/>
  <c r="V52" i="43"/>
  <c r="W52" i="43"/>
  <c r="X52" i="43"/>
  <c r="Y52" i="43"/>
  <c r="Z52" i="43"/>
  <c r="AA52" i="43"/>
  <c r="AB52" i="43"/>
  <c r="AC52" i="43"/>
  <c r="F53" i="43"/>
  <c r="G53" i="43"/>
  <c r="H53" i="43"/>
  <c r="I53" i="43"/>
  <c r="J53" i="43"/>
  <c r="K53" i="43"/>
  <c r="L53" i="43"/>
  <c r="M53" i="43"/>
  <c r="N53" i="43"/>
  <c r="O53" i="43"/>
  <c r="P53" i="43"/>
  <c r="Q53" i="43"/>
  <c r="R53" i="43"/>
  <c r="S53" i="43"/>
  <c r="T53" i="43"/>
  <c r="U53" i="43"/>
  <c r="V53" i="43"/>
  <c r="W53" i="43"/>
  <c r="X53" i="43"/>
  <c r="Y53" i="43"/>
  <c r="Z53" i="43"/>
  <c r="AA53" i="43"/>
  <c r="AB53" i="43"/>
  <c r="AC53" i="43"/>
  <c r="F54" i="43"/>
  <c r="G54" i="43"/>
  <c r="H54" i="43"/>
  <c r="I54" i="43"/>
  <c r="J54" i="43"/>
  <c r="K54" i="43"/>
  <c r="L54" i="43"/>
  <c r="M54" i="43"/>
  <c r="N54" i="43"/>
  <c r="O54" i="43"/>
  <c r="P54" i="43"/>
  <c r="Q54" i="43"/>
  <c r="R54" i="43"/>
  <c r="S54" i="43"/>
  <c r="T54" i="43"/>
  <c r="U54" i="43"/>
  <c r="V54" i="43"/>
  <c r="W54" i="43"/>
  <c r="X54" i="43"/>
  <c r="Y54" i="43"/>
  <c r="Z54" i="43"/>
  <c r="AA54" i="43"/>
  <c r="AB54" i="43"/>
  <c r="AC54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F7" i="43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F11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B24" i="42"/>
  <c r="AC24" i="42"/>
  <c r="F25" i="42"/>
  <c r="G25" i="42"/>
  <c r="H25" i="42"/>
  <c r="I25" i="42"/>
  <c r="J25" i="42"/>
  <c r="K25" i="42"/>
  <c r="L25" i="42"/>
  <c r="M25" i="42"/>
  <c r="N25" i="42"/>
  <c r="O25" i="42"/>
  <c r="P25" i="42"/>
  <c r="Q25" i="42"/>
  <c r="R25" i="42"/>
  <c r="S25" i="42"/>
  <c r="T25" i="42"/>
  <c r="U25" i="42"/>
  <c r="V25" i="42"/>
  <c r="W25" i="42"/>
  <c r="X25" i="42"/>
  <c r="Y25" i="42"/>
  <c r="Z25" i="42"/>
  <c r="AA25" i="42"/>
  <c r="AB25" i="42"/>
  <c r="AC25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F27" i="42"/>
  <c r="G27" i="42"/>
  <c r="H27" i="42"/>
  <c r="I27" i="42"/>
  <c r="J27" i="42"/>
  <c r="K27" i="42"/>
  <c r="L27" i="42"/>
  <c r="M27" i="42"/>
  <c r="N27" i="42"/>
  <c r="O27" i="42"/>
  <c r="P27" i="42"/>
  <c r="Q27" i="42"/>
  <c r="R27" i="42"/>
  <c r="S27" i="42"/>
  <c r="T27" i="42"/>
  <c r="U27" i="42"/>
  <c r="V27" i="42"/>
  <c r="W27" i="42"/>
  <c r="X27" i="42"/>
  <c r="Y27" i="42"/>
  <c r="Z27" i="42"/>
  <c r="AA27" i="42"/>
  <c r="AB27" i="42"/>
  <c r="AC27" i="42"/>
  <c r="F28" i="42"/>
  <c r="G28" i="42"/>
  <c r="H28" i="42"/>
  <c r="I28" i="42"/>
  <c r="J28" i="42"/>
  <c r="K28" i="42"/>
  <c r="L28" i="42"/>
  <c r="M28" i="42"/>
  <c r="N28" i="42"/>
  <c r="O28" i="42"/>
  <c r="P28" i="42"/>
  <c r="Q28" i="42"/>
  <c r="R28" i="42"/>
  <c r="S28" i="42"/>
  <c r="T28" i="42"/>
  <c r="U28" i="42"/>
  <c r="V28" i="42"/>
  <c r="W28" i="42"/>
  <c r="X28" i="42"/>
  <c r="Y28" i="42"/>
  <c r="Z28" i="42"/>
  <c r="AA28" i="42"/>
  <c r="AB28" i="42"/>
  <c r="AC28" i="42"/>
  <c r="F29" i="42"/>
  <c r="G29" i="42"/>
  <c r="H29" i="42"/>
  <c r="I29" i="42"/>
  <c r="J29" i="42"/>
  <c r="K29" i="42"/>
  <c r="L29" i="42"/>
  <c r="M29" i="42"/>
  <c r="N29" i="42"/>
  <c r="O29" i="42"/>
  <c r="P29" i="42"/>
  <c r="Q29" i="42"/>
  <c r="R29" i="42"/>
  <c r="S29" i="42"/>
  <c r="T29" i="42"/>
  <c r="U29" i="42"/>
  <c r="V29" i="42"/>
  <c r="W29" i="42"/>
  <c r="X29" i="42"/>
  <c r="Y29" i="42"/>
  <c r="Z29" i="42"/>
  <c r="AA29" i="42"/>
  <c r="AB29" i="42"/>
  <c r="AC29" i="42"/>
  <c r="F30" i="42"/>
  <c r="G30" i="42"/>
  <c r="H30" i="42"/>
  <c r="I30" i="42"/>
  <c r="J30" i="42"/>
  <c r="K30" i="42"/>
  <c r="L30" i="42"/>
  <c r="M30" i="42"/>
  <c r="N30" i="42"/>
  <c r="O30" i="42"/>
  <c r="P30" i="42"/>
  <c r="Q30" i="42"/>
  <c r="R30" i="42"/>
  <c r="S30" i="42"/>
  <c r="T30" i="42"/>
  <c r="U30" i="42"/>
  <c r="V30" i="42"/>
  <c r="W30" i="42"/>
  <c r="X30" i="42"/>
  <c r="Y30" i="42"/>
  <c r="Z30" i="42"/>
  <c r="AA30" i="42"/>
  <c r="AB30" i="42"/>
  <c r="AC30" i="42"/>
  <c r="F31" i="42"/>
  <c r="G31" i="42"/>
  <c r="H31" i="42"/>
  <c r="I31" i="42"/>
  <c r="J31" i="42"/>
  <c r="K31" i="42"/>
  <c r="L31" i="42"/>
  <c r="M31" i="42"/>
  <c r="N31" i="42"/>
  <c r="O31" i="42"/>
  <c r="P31" i="42"/>
  <c r="Q31" i="42"/>
  <c r="R31" i="42"/>
  <c r="S31" i="42"/>
  <c r="T31" i="42"/>
  <c r="U31" i="42"/>
  <c r="V31" i="42"/>
  <c r="W31" i="42"/>
  <c r="X31" i="42"/>
  <c r="Y31" i="42"/>
  <c r="Z31" i="42"/>
  <c r="AA31" i="42"/>
  <c r="AB31" i="42"/>
  <c r="AC31" i="42"/>
  <c r="F32" i="42"/>
  <c r="G32" i="42"/>
  <c r="H32" i="42"/>
  <c r="I32" i="42"/>
  <c r="J32" i="42"/>
  <c r="K32" i="42"/>
  <c r="L32" i="42"/>
  <c r="M32" i="42"/>
  <c r="N32" i="42"/>
  <c r="O32" i="42"/>
  <c r="P32" i="42"/>
  <c r="Q32" i="42"/>
  <c r="R32" i="42"/>
  <c r="S32" i="42"/>
  <c r="T32" i="42"/>
  <c r="U32" i="42"/>
  <c r="V32" i="42"/>
  <c r="W32" i="42"/>
  <c r="X32" i="42"/>
  <c r="Y32" i="42"/>
  <c r="Z32" i="42"/>
  <c r="AA32" i="42"/>
  <c r="AB32" i="42"/>
  <c r="AC32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R33" i="42"/>
  <c r="S33" i="42"/>
  <c r="T33" i="42"/>
  <c r="U33" i="42"/>
  <c r="V33" i="42"/>
  <c r="W33" i="42"/>
  <c r="X33" i="42"/>
  <c r="Y33" i="42"/>
  <c r="Z33" i="42"/>
  <c r="AA33" i="42"/>
  <c r="AB33" i="42"/>
  <c r="AC33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R34" i="42"/>
  <c r="S34" i="42"/>
  <c r="T34" i="42"/>
  <c r="U34" i="42"/>
  <c r="V34" i="42"/>
  <c r="W34" i="42"/>
  <c r="X34" i="42"/>
  <c r="Y34" i="42"/>
  <c r="Z34" i="42"/>
  <c r="AA34" i="42"/>
  <c r="AB34" i="42"/>
  <c r="AC34" i="42"/>
  <c r="F35" i="42"/>
  <c r="G35" i="42"/>
  <c r="H35" i="42"/>
  <c r="I35" i="42"/>
  <c r="J35" i="42"/>
  <c r="K35" i="42"/>
  <c r="L35" i="42"/>
  <c r="M35" i="42"/>
  <c r="N35" i="42"/>
  <c r="O35" i="42"/>
  <c r="P35" i="42"/>
  <c r="Q35" i="42"/>
  <c r="R35" i="42"/>
  <c r="S35" i="42"/>
  <c r="T35" i="42"/>
  <c r="U35" i="42"/>
  <c r="V35" i="42"/>
  <c r="W35" i="42"/>
  <c r="X35" i="42"/>
  <c r="Y35" i="42"/>
  <c r="Z35" i="42"/>
  <c r="AA35" i="42"/>
  <c r="AB35" i="42"/>
  <c r="AC35" i="42"/>
  <c r="F36" i="42"/>
  <c r="G36" i="42"/>
  <c r="H36" i="42"/>
  <c r="I36" i="42"/>
  <c r="J36" i="42"/>
  <c r="K36" i="42"/>
  <c r="L36" i="42"/>
  <c r="M36" i="42"/>
  <c r="N36" i="42"/>
  <c r="O36" i="42"/>
  <c r="P36" i="42"/>
  <c r="Q36" i="42"/>
  <c r="R36" i="42"/>
  <c r="S36" i="42"/>
  <c r="T36" i="42"/>
  <c r="U36" i="42"/>
  <c r="V36" i="42"/>
  <c r="W36" i="42"/>
  <c r="X36" i="42"/>
  <c r="Y36" i="42"/>
  <c r="Z36" i="42"/>
  <c r="AA36" i="42"/>
  <c r="AB36" i="42"/>
  <c r="AC36" i="42"/>
  <c r="F37" i="42"/>
  <c r="G37" i="42"/>
  <c r="H37" i="42"/>
  <c r="I37" i="42"/>
  <c r="J37" i="42"/>
  <c r="K37" i="42"/>
  <c r="L37" i="42"/>
  <c r="M37" i="42"/>
  <c r="N37" i="42"/>
  <c r="O37" i="42"/>
  <c r="P37" i="42"/>
  <c r="Q37" i="42"/>
  <c r="R37" i="42"/>
  <c r="S37" i="42"/>
  <c r="T37" i="42"/>
  <c r="U37" i="42"/>
  <c r="V37" i="42"/>
  <c r="W37" i="42"/>
  <c r="X37" i="42"/>
  <c r="Y37" i="42"/>
  <c r="Z37" i="42"/>
  <c r="AA37" i="42"/>
  <c r="AB37" i="42"/>
  <c r="AC37" i="42"/>
  <c r="F38" i="42"/>
  <c r="G38" i="42"/>
  <c r="H38" i="42"/>
  <c r="I38" i="42"/>
  <c r="J38" i="42"/>
  <c r="K38" i="42"/>
  <c r="L38" i="42"/>
  <c r="M38" i="42"/>
  <c r="N38" i="42"/>
  <c r="O38" i="42"/>
  <c r="P38" i="42"/>
  <c r="Q38" i="42"/>
  <c r="R38" i="42"/>
  <c r="S38" i="42"/>
  <c r="T38" i="42"/>
  <c r="U38" i="42"/>
  <c r="V38" i="42"/>
  <c r="W38" i="42"/>
  <c r="X38" i="42"/>
  <c r="Y38" i="42"/>
  <c r="Z38" i="42"/>
  <c r="AA38" i="42"/>
  <c r="AB38" i="42"/>
  <c r="AC38" i="42"/>
  <c r="F39" i="42"/>
  <c r="G39" i="42"/>
  <c r="H39" i="42"/>
  <c r="I39" i="42"/>
  <c r="J39" i="42"/>
  <c r="K39" i="42"/>
  <c r="L39" i="42"/>
  <c r="M39" i="42"/>
  <c r="N39" i="42"/>
  <c r="O39" i="42"/>
  <c r="P39" i="42"/>
  <c r="Q39" i="42"/>
  <c r="R39" i="42"/>
  <c r="S39" i="42"/>
  <c r="T39" i="42"/>
  <c r="U39" i="42"/>
  <c r="V39" i="42"/>
  <c r="W39" i="42"/>
  <c r="X39" i="42"/>
  <c r="Y39" i="42"/>
  <c r="Z39" i="42"/>
  <c r="AA39" i="42"/>
  <c r="AB39" i="42"/>
  <c r="AC39" i="42"/>
  <c r="F40" i="42"/>
  <c r="G40" i="42"/>
  <c r="H40" i="42"/>
  <c r="I40" i="42"/>
  <c r="J40" i="42"/>
  <c r="K40" i="42"/>
  <c r="L40" i="42"/>
  <c r="M40" i="42"/>
  <c r="N40" i="42"/>
  <c r="O40" i="42"/>
  <c r="P40" i="42"/>
  <c r="Q40" i="42"/>
  <c r="R40" i="42"/>
  <c r="S40" i="42"/>
  <c r="T40" i="42"/>
  <c r="U40" i="42"/>
  <c r="V40" i="42"/>
  <c r="W40" i="42"/>
  <c r="X40" i="42"/>
  <c r="Y40" i="42"/>
  <c r="Z40" i="42"/>
  <c r="AA40" i="42"/>
  <c r="AB40" i="42"/>
  <c r="AC40" i="42"/>
  <c r="F41" i="42"/>
  <c r="G41" i="42"/>
  <c r="H41" i="42"/>
  <c r="I41" i="42"/>
  <c r="J41" i="42"/>
  <c r="K41" i="42"/>
  <c r="L41" i="42"/>
  <c r="M41" i="42"/>
  <c r="N41" i="42"/>
  <c r="O41" i="42"/>
  <c r="P41" i="42"/>
  <c r="Q41" i="42"/>
  <c r="R41" i="42"/>
  <c r="S41" i="42"/>
  <c r="T41" i="42"/>
  <c r="U41" i="42"/>
  <c r="V41" i="42"/>
  <c r="W41" i="42"/>
  <c r="X41" i="42"/>
  <c r="Y41" i="42"/>
  <c r="Z41" i="42"/>
  <c r="AA41" i="42"/>
  <c r="AB41" i="42"/>
  <c r="AC41" i="42"/>
  <c r="F42" i="42"/>
  <c r="G42" i="42"/>
  <c r="H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F43" i="42"/>
  <c r="G43" i="42"/>
  <c r="H43" i="42"/>
  <c r="I43" i="42"/>
  <c r="J43" i="42"/>
  <c r="K43" i="42"/>
  <c r="L43" i="42"/>
  <c r="M43" i="42"/>
  <c r="N43" i="42"/>
  <c r="O43" i="42"/>
  <c r="P43" i="42"/>
  <c r="Q43" i="42"/>
  <c r="R43" i="42"/>
  <c r="S43" i="42"/>
  <c r="T43" i="42"/>
  <c r="U43" i="42"/>
  <c r="V43" i="42"/>
  <c r="W43" i="42"/>
  <c r="X43" i="42"/>
  <c r="Y43" i="42"/>
  <c r="Z43" i="42"/>
  <c r="AA43" i="42"/>
  <c r="AB43" i="42"/>
  <c r="AC43" i="42"/>
  <c r="F44" i="42"/>
  <c r="G44" i="42"/>
  <c r="H44" i="42"/>
  <c r="I44" i="42"/>
  <c r="J44" i="42"/>
  <c r="K44" i="42"/>
  <c r="L44" i="42"/>
  <c r="M44" i="42"/>
  <c r="N44" i="42"/>
  <c r="O44" i="42"/>
  <c r="P44" i="42"/>
  <c r="Q44" i="42"/>
  <c r="R44" i="42"/>
  <c r="S44" i="42"/>
  <c r="T44" i="42"/>
  <c r="U44" i="42"/>
  <c r="V44" i="42"/>
  <c r="W44" i="42"/>
  <c r="X44" i="42"/>
  <c r="Y44" i="42"/>
  <c r="Z44" i="42"/>
  <c r="AA44" i="42"/>
  <c r="AB44" i="42"/>
  <c r="AC44" i="42"/>
  <c r="F45" i="42"/>
  <c r="G45" i="42"/>
  <c r="H45" i="42"/>
  <c r="I45" i="42"/>
  <c r="J45" i="42"/>
  <c r="K45" i="42"/>
  <c r="L45" i="42"/>
  <c r="M45" i="42"/>
  <c r="N45" i="42"/>
  <c r="O45" i="42"/>
  <c r="P45" i="42"/>
  <c r="Q45" i="42"/>
  <c r="R45" i="42"/>
  <c r="S45" i="42"/>
  <c r="T45" i="42"/>
  <c r="U45" i="42"/>
  <c r="V45" i="42"/>
  <c r="W45" i="42"/>
  <c r="X45" i="42"/>
  <c r="Y45" i="42"/>
  <c r="Z45" i="42"/>
  <c r="AA45" i="42"/>
  <c r="AB45" i="42"/>
  <c r="AC45" i="42"/>
  <c r="F46" i="42"/>
  <c r="G46" i="42"/>
  <c r="H46" i="42"/>
  <c r="I46" i="42"/>
  <c r="J46" i="42"/>
  <c r="K46" i="42"/>
  <c r="L46" i="42"/>
  <c r="M46" i="42"/>
  <c r="N46" i="42"/>
  <c r="O46" i="42"/>
  <c r="P46" i="42"/>
  <c r="Q46" i="42"/>
  <c r="R46" i="42"/>
  <c r="S46" i="42"/>
  <c r="T46" i="42"/>
  <c r="U46" i="42"/>
  <c r="V46" i="42"/>
  <c r="W46" i="42"/>
  <c r="X46" i="42"/>
  <c r="Y46" i="42"/>
  <c r="Z46" i="42"/>
  <c r="AA46" i="42"/>
  <c r="AB46" i="42"/>
  <c r="AC46" i="42"/>
  <c r="F47" i="42"/>
  <c r="G47" i="42"/>
  <c r="H47" i="42"/>
  <c r="I47" i="42"/>
  <c r="J47" i="42"/>
  <c r="K47" i="42"/>
  <c r="L47" i="42"/>
  <c r="M47" i="42"/>
  <c r="N47" i="42"/>
  <c r="O47" i="42"/>
  <c r="P47" i="42"/>
  <c r="Q47" i="42"/>
  <c r="R47" i="42"/>
  <c r="S47" i="42"/>
  <c r="T47" i="42"/>
  <c r="U47" i="42"/>
  <c r="V47" i="42"/>
  <c r="W47" i="42"/>
  <c r="X47" i="42"/>
  <c r="Y47" i="42"/>
  <c r="Z47" i="42"/>
  <c r="AA47" i="42"/>
  <c r="AB47" i="42"/>
  <c r="AC47" i="42"/>
  <c r="F48" i="42"/>
  <c r="G48" i="42"/>
  <c r="H48" i="42"/>
  <c r="I48" i="42"/>
  <c r="J48" i="42"/>
  <c r="K48" i="42"/>
  <c r="L48" i="42"/>
  <c r="M48" i="42"/>
  <c r="N48" i="42"/>
  <c r="O48" i="42"/>
  <c r="P48" i="42"/>
  <c r="Q48" i="42"/>
  <c r="R48" i="42"/>
  <c r="S48" i="42"/>
  <c r="T48" i="42"/>
  <c r="U48" i="42"/>
  <c r="V48" i="42"/>
  <c r="W48" i="42"/>
  <c r="X48" i="42"/>
  <c r="Y48" i="42"/>
  <c r="Z48" i="42"/>
  <c r="AA48" i="42"/>
  <c r="AB48" i="42"/>
  <c r="AC48" i="42"/>
  <c r="F49" i="42"/>
  <c r="G49" i="42"/>
  <c r="H49" i="42"/>
  <c r="I49" i="42"/>
  <c r="J49" i="42"/>
  <c r="K49" i="42"/>
  <c r="L49" i="42"/>
  <c r="M49" i="42"/>
  <c r="N49" i="42"/>
  <c r="O49" i="42"/>
  <c r="P49" i="42"/>
  <c r="Q49" i="42"/>
  <c r="R49" i="42"/>
  <c r="S49" i="42"/>
  <c r="T49" i="42"/>
  <c r="U49" i="42"/>
  <c r="V49" i="42"/>
  <c r="W49" i="42"/>
  <c r="X49" i="42"/>
  <c r="Y49" i="42"/>
  <c r="Z49" i="42"/>
  <c r="AA49" i="42"/>
  <c r="AB49" i="42"/>
  <c r="AC49" i="42"/>
  <c r="F50" i="42"/>
  <c r="G50" i="42"/>
  <c r="H50" i="42"/>
  <c r="I50" i="42"/>
  <c r="J50" i="42"/>
  <c r="K50" i="42"/>
  <c r="L50" i="42"/>
  <c r="M50" i="42"/>
  <c r="N50" i="42"/>
  <c r="O50" i="42"/>
  <c r="P50" i="42"/>
  <c r="Q50" i="42"/>
  <c r="R50" i="42"/>
  <c r="S50" i="42"/>
  <c r="T50" i="42"/>
  <c r="U50" i="42"/>
  <c r="V50" i="42"/>
  <c r="W50" i="42"/>
  <c r="X50" i="42"/>
  <c r="Y50" i="42"/>
  <c r="Z50" i="42"/>
  <c r="AA50" i="42"/>
  <c r="AB50" i="42"/>
  <c r="AC50" i="42"/>
  <c r="F51" i="42"/>
  <c r="G51" i="42"/>
  <c r="H51" i="42"/>
  <c r="I51" i="42"/>
  <c r="J51" i="42"/>
  <c r="K51" i="42"/>
  <c r="L51" i="42"/>
  <c r="M51" i="42"/>
  <c r="N51" i="42"/>
  <c r="O51" i="42"/>
  <c r="P51" i="42"/>
  <c r="Q51" i="42"/>
  <c r="R51" i="42"/>
  <c r="S51" i="42"/>
  <c r="T51" i="42"/>
  <c r="U51" i="42"/>
  <c r="V51" i="42"/>
  <c r="W51" i="42"/>
  <c r="X51" i="42"/>
  <c r="Y51" i="42"/>
  <c r="Z51" i="42"/>
  <c r="AA51" i="42"/>
  <c r="AB51" i="42"/>
  <c r="AC51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R52" i="42"/>
  <c r="S52" i="42"/>
  <c r="T52" i="42"/>
  <c r="U52" i="42"/>
  <c r="V52" i="42"/>
  <c r="W52" i="42"/>
  <c r="X52" i="42"/>
  <c r="Y52" i="42"/>
  <c r="Z52" i="42"/>
  <c r="AA52" i="42"/>
  <c r="AB52" i="42"/>
  <c r="AC52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R53" i="42"/>
  <c r="S53" i="42"/>
  <c r="T53" i="42"/>
  <c r="U53" i="42"/>
  <c r="V53" i="42"/>
  <c r="W53" i="42"/>
  <c r="X53" i="42"/>
  <c r="Y53" i="42"/>
  <c r="Z53" i="42"/>
  <c r="AA53" i="42"/>
  <c r="AB53" i="42"/>
  <c r="AC53" i="42"/>
  <c r="F54" i="42"/>
  <c r="G54" i="42"/>
  <c r="H54" i="42"/>
  <c r="I54" i="42"/>
  <c r="J54" i="42"/>
  <c r="K54" i="42"/>
  <c r="L54" i="42"/>
  <c r="M54" i="42"/>
  <c r="N54" i="42"/>
  <c r="O54" i="42"/>
  <c r="P54" i="42"/>
  <c r="Q54" i="42"/>
  <c r="R54" i="42"/>
  <c r="S54" i="42"/>
  <c r="T54" i="42"/>
  <c r="U54" i="42"/>
  <c r="V54" i="42"/>
  <c r="W54" i="42"/>
  <c r="X54" i="42"/>
  <c r="Y54" i="42"/>
  <c r="Z54" i="42"/>
  <c r="AA54" i="42"/>
  <c r="AB54" i="42"/>
  <c r="AC54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F7" i="42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Z24" i="40"/>
  <c r="AA24" i="40"/>
  <c r="AB24" i="40"/>
  <c r="AC24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Z25" i="40"/>
  <c r="AA25" i="40"/>
  <c r="AB25" i="40"/>
  <c r="AC25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Z26" i="40"/>
  <c r="AA26" i="40"/>
  <c r="AB26" i="40"/>
  <c r="AC26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Z27" i="40"/>
  <c r="AA27" i="40"/>
  <c r="AB27" i="40"/>
  <c r="AC27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Z28" i="40"/>
  <c r="AA28" i="40"/>
  <c r="AB28" i="40"/>
  <c r="AC28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Z29" i="40"/>
  <c r="AA29" i="40"/>
  <c r="AB29" i="40"/>
  <c r="AC29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Z30" i="40"/>
  <c r="AA30" i="40"/>
  <c r="AB30" i="40"/>
  <c r="AC30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Z31" i="40"/>
  <c r="AA31" i="40"/>
  <c r="AB31" i="40"/>
  <c r="AC31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Z32" i="40"/>
  <c r="AA32" i="40"/>
  <c r="AB32" i="40"/>
  <c r="AC32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Z33" i="40"/>
  <c r="AA33" i="40"/>
  <c r="AB33" i="40"/>
  <c r="AC33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Z34" i="40"/>
  <c r="AA34" i="40"/>
  <c r="AB34" i="40"/>
  <c r="AC34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Z35" i="40"/>
  <c r="AA35" i="40"/>
  <c r="AB35" i="40"/>
  <c r="AC35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Z36" i="40"/>
  <c r="AA36" i="40"/>
  <c r="AB36" i="40"/>
  <c r="AC36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Z37" i="40"/>
  <c r="AA37" i="40"/>
  <c r="AB37" i="40"/>
  <c r="AC37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Z39" i="40"/>
  <c r="AA39" i="40"/>
  <c r="AB39" i="40"/>
  <c r="AC39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Z40" i="40"/>
  <c r="AA40" i="40"/>
  <c r="AB40" i="40"/>
  <c r="AC40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Z41" i="40"/>
  <c r="AA41" i="40"/>
  <c r="AB41" i="40"/>
  <c r="AC41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Z42" i="40"/>
  <c r="AA42" i="40"/>
  <c r="AB42" i="40"/>
  <c r="AC42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Z43" i="40"/>
  <c r="AA43" i="40"/>
  <c r="AB43" i="40"/>
  <c r="AC43" i="40"/>
  <c r="F44" i="40"/>
  <c r="G44" i="40"/>
  <c r="H44" i="40"/>
  <c r="I44" i="40"/>
  <c r="J44" i="40"/>
  <c r="K44" i="40"/>
  <c r="L44" i="40"/>
  <c r="M44" i="40"/>
  <c r="N44" i="40"/>
  <c r="O44" i="40"/>
  <c r="P44" i="40"/>
  <c r="Q44" i="40"/>
  <c r="R44" i="40"/>
  <c r="S44" i="40"/>
  <c r="T44" i="40"/>
  <c r="U44" i="40"/>
  <c r="V44" i="40"/>
  <c r="W44" i="40"/>
  <c r="X44" i="40"/>
  <c r="Y44" i="40"/>
  <c r="Z44" i="40"/>
  <c r="AA44" i="40"/>
  <c r="AB44" i="40"/>
  <c r="AC44" i="40"/>
  <c r="F45" i="40"/>
  <c r="G45" i="40"/>
  <c r="H45" i="40"/>
  <c r="I45" i="40"/>
  <c r="J45" i="40"/>
  <c r="K45" i="40"/>
  <c r="L45" i="40"/>
  <c r="M45" i="40"/>
  <c r="N45" i="40"/>
  <c r="O45" i="40"/>
  <c r="P45" i="40"/>
  <c r="Q45" i="40"/>
  <c r="R45" i="40"/>
  <c r="S45" i="40"/>
  <c r="T45" i="40"/>
  <c r="U45" i="40"/>
  <c r="V45" i="40"/>
  <c r="W45" i="40"/>
  <c r="X45" i="40"/>
  <c r="Y45" i="40"/>
  <c r="Z45" i="40"/>
  <c r="AA45" i="40"/>
  <c r="AB45" i="40"/>
  <c r="AC45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W46" i="40"/>
  <c r="X46" i="40"/>
  <c r="Y46" i="40"/>
  <c r="Z46" i="40"/>
  <c r="AA46" i="40"/>
  <c r="AB46" i="40"/>
  <c r="AC46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V47" i="40"/>
  <c r="W47" i="40"/>
  <c r="X47" i="40"/>
  <c r="Y47" i="40"/>
  <c r="Z47" i="40"/>
  <c r="AA47" i="40"/>
  <c r="AB47" i="40"/>
  <c r="AC47" i="40"/>
  <c r="F48" i="40"/>
  <c r="G48" i="40"/>
  <c r="H48" i="40"/>
  <c r="I48" i="40"/>
  <c r="J48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W48" i="40"/>
  <c r="X48" i="40"/>
  <c r="Y48" i="40"/>
  <c r="Z48" i="40"/>
  <c r="AA48" i="40"/>
  <c r="AB48" i="40"/>
  <c r="AC48" i="40"/>
  <c r="F49" i="40"/>
  <c r="G49" i="40"/>
  <c r="H49" i="40"/>
  <c r="I49" i="40"/>
  <c r="J49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W49" i="40"/>
  <c r="X49" i="40"/>
  <c r="Y49" i="40"/>
  <c r="Z49" i="40"/>
  <c r="AA49" i="40"/>
  <c r="AB49" i="40"/>
  <c r="AC49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Z50" i="40"/>
  <c r="AA50" i="40"/>
  <c r="AB50" i="40"/>
  <c r="AC50" i="40"/>
  <c r="F51" i="40"/>
  <c r="G51" i="40"/>
  <c r="H51" i="40"/>
  <c r="I51" i="40"/>
  <c r="J51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Z51" i="40"/>
  <c r="AA51" i="40"/>
  <c r="AB51" i="40"/>
  <c r="AC51" i="40"/>
  <c r="F52" i="40"/>
  <c r="G52" i="40"/>
  <c r="H52" i="40"/>
  <c r="I52" i="40"/>
  <c r="J52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W52" i="40"/>
  <c r="X52" i="40"/>
  <c r="Y52" i="40"/>
  <c r="Z52" i="40"/>
  <c r="AA52" i="40"/>
  <c r="AB52" i="40"/>
  <c r="AC52" i="40"/>
  <c r="F53" i="40"/>
  <c r="G53" i="40"/>
  <c r="H53" i="40"/>
  <c r="I53" i="40"/>
  <c r="J53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W53" i="40"/>
  <c r="X53" i="40"/>
  <c r="Y53" i="40"/>
  <c r="Z53" i="40"/>
  <c r="AA53" i="40"/>
  <c r="AB53" i="40"/>
  <c r="AC53" i="40"/>
  <c r="F54" i="40"/>
  <c r="G54" i="40"/>
  <c r="H54" i="40"/>
  <c r="I54" i="40"/>
  <c r="J54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W54" i="40"/>
  <c r="X54" i="40"/>
  <c r="Y54" i="40"/>
  <c r="Z54" i="40"/>
  <c r="AA54" i="40"/>
  <c r="AB54" i="40"/>
  <c r="AC54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F7" i="40"/>
  <c r="AD27" i="51" l="1"/>
  <c r="C14" i="61" s="1"/>
  <c r="AD11" i="48"/>
  <c r="C10" i="58" s="1"/>
  <c r="AD11" i="47"/>
  <c r="C10" i="57" s="1"/>
  <c r="AD11" i="46"/>
  <c r="C10" i="56" s="1"/>
  <c r="AD23" i="45"/>
  <c r="C13" i="55" s="1"/>
  <c r="AD11" i="44"/>
  <c r="C10" i="54" s="1"/>
  <c r="AD11" i="43"/>
  <c r="C10" i="53" s="1"/>
  <c r="AD7" i="42"/>
  <c r="C9" i="52" s="1"/>
  <c r="AD23" i="42"/>
  <c r="C13" i="52" s="1"/>
  <c r="AD47" i="48"/>
  <c r="C19" i="58" s="1"/>
  <c r="AD15" i="50"/>
  <c r="C11" i="60" s="1"/>
  <c r="AD27" i="42"/>
  <c r="C14" i="52" s="1"/>
  <c r="AD15" i="42"/>
  <c r="C11" i="52" s="1"/>
  <c r="AD27" i="43"/>
  <c r="C14" i="53" s="1"/>
  <c r="AD27" i="44"/>
  <c r="C14" i="54" s="1"/>
  <c r="AD15" i="44"/>
  <c r="C11" i="54" s="1"/>
  <c r="AD27" i="46"/>
  <c r="C14" i="56" s="1"/>
  <c r="AD39" i="50"/>
  <c r="C17" i="60" s="1"/>
  <c r="AD19" i="50"/>
  <c r="C12" i="60" s="1"/>
  <c r="AD31" i="51"/>
  <c r="C15" i="61" s="1"/>
  <c r="AD15" i="43"/>
  <c r="C11" i="53" s="1"/>
  <c r="AD19" i="43"/>
  <c r="C12" i="53" s="1"/>
  <c r="AD47" i="42"/>
  <c r="C19" i="52" s="1"/>
  <c r="AD43" i="42"/>
  <c r="C18" i="52" s="1"/>
  <c r="AD19" i="42"/>
  <c r="C12" i="52" s="1"/>
  <c r="AD31" i="43"/>
  <c r="C15" i="53" s="1"/>
  <c r="AD43" i="44"/>
  <c r="C18" i="54" s="1"/>
  <c r="AD27" i="45"/>
  <c r="C14" i="55" s="1"/>
  <c r="AD51" i="48"/>
  <c r="C20" i="58" s="1"/>
  <c r="AD43" i="48"/>
  <c r="C18" i="58" s="1"/>
  <c r="AD31" i="48"/>
  <c r="C15" i="58" s="1"/>
  <c r="AD23" i="48"/>
  <c r="C13" i="58" s="1"/>
  <c r="AD43" i="50"/>
  <c r="C18" i="60" s="1"/>
  <c r="AD35" i="51"/>
  <c r="C16" i="61" s="1"/>
  <c r="AD11" i="51"/>
  <c r="C10" i="61" s="1"/>
  <c r="AD51" i="49"/>
  <c r="C20" i="59" s="1"/>
  <c r="AD11" i="50"/>
  <c r="C10" i="60" s="1"/>
  <c r="AD23" i="43"/>
  <c r="C13" i="53" s="1"/>
  <c r="AD35" i="50"/>
  <c r="C16" i="60" s="1"/>
  <c r="AD35" i="43"/>
  <c r="C16" i="53" s="1"/>
  <c r="AD31" i="45"/>
  <c r="C15" i="55" s="1"/>
  <c r="AD11" i="45"/>
  <c r="C10" i="55" s="1"/>
  <c r="AD15" i="47"/>
  <c r="C11" i="57" s="1"/>
  <c r="AD51" i="50"/>
  <c r="C20" i="60" s="1"/>
  <c r="AD39" i="51"/>
  <c r="C17" i="61" s="1"/>
  <c r="AD23" i="51"/>
  <c r="C13" i="61" s="1"/>
  <c r="AD19" i="51"/>
  <c r="C12" i="61" s="1"/>
  <c r="AD15" i="51"/>
  <c r="C11" i="61" s="1"/>
  <c r="AD19" i="48"/>
  <c r="C12" i="58" s="1"/>
  <c r="AD47" i="45"/>
  <c r="C19" i="55" s="1"/>
  <c r="AD43" i="45"/>
  <c r="C18" i="55" s="1"/>
  <c r="AD39" i="45"/>
  <c r="C17" i="55" s="1"/>
  <c r="AD19" i="45"/>
  <c r="C12" i="55" s="1"/>
  <c r="AD31" i="46"/>
  <c r="C15" i="56" s="1"/>
  <c r="AD15" i="46"/>
  <c r="C11" i="56" s="1"/>
  <c r="AD35" i="48"/>
  <c r="C16" i="58" s="1"/>
  <c r="AD15" i="48"/>
  <c r="C11" i="58" s="1"/>
  <c r="AD47" i="49"/>
  <c r="C19" i="59" s="1"/>
  <c r="AD43" i="49"/>
  <c r="C18" i="59" s="1"/>
  <c r="AD11" i="42"/>
  <c r="C10" i="52" s="1"/>
  <c r="AD27" i="50"/>
  <c r="C14" i="60" s="1"/>
  <c r="AD43" i="43"/>
  <c r="C18" i="53" s="1"/>
  <c r="AD35" i="45"/>
  <c r="C16" i="55" s="1"/>
  <c r="AD15" i="45"/>
  <c r="C11" i="55" s="1"/>
  <c r="AD27" i="47"/>
  <c r="C14" i="57" s="1"/>
  <c r="AD51" i="51"/>
  <c r="C20" i="61" s="1"/>
  <c r="AD43" i="51"/>
  <c r="C18" i="61" s="1"/>
  <c r="AD51" i="43"/>
  <c r="C20" i="53" s="1"/>
  <c r="AD47" i="43"/>
  <c r="C19" i="53" s="1"/>
  <c r="AD39" i="43"/>
  <c r="C17" i="53" s="1"/>
  <c r="AD51" i="44"/>
  <c r="C20" i="54" s="1"/>
  <c r="AD35" i="44"/>
  <c r="C16" i="54" s="1"/>
  <c r="AD19" i="44"/>
  <c r="C12" i="54" s="1"/>
  <c r="AD51" i="46"/>
  <c r="C20" i="56" s="1"/>
  <c r="AD47" i="46"/>
  <c r="C19" i="56" s="1"/>
  <c r="AD43" i="46"/>
  <c r="C18" i="56" s="1"/>
  <c r="AD39" i="46"/>
  <c r="C17" i="56" s="1"/>
  <c r="AD35" i="46"/>
  <c r="C16" i="56" s="1"/>
  <c r="AD23" i="46"/>
  <c r="C13" i="56" s="1"/>
  <c r="AD19" i="46"/>
  <c r="C12" i="56" s="1"/>
  <c r="AD7" i="49"/>
  <c r="C9" i="59" s="1"/>
  <c r="AD15" i="49"/>
  <c r="C11" i="59" s="1"/>
  <c r="AD11" i="49"/>
  <c r="C10" i="59" s="1"/>
  <c r="AD47" i="50"/>
  <c r="C19" i="60" s="1"/>
  <c r="AD23" i="50"/>
  <c r="C13" i="60" s="1"/>
  <c r="AD47" i="51"/>
  <c r="C19" i="61" s="1"/>
  <c r="AD51" i="42"/>
  <c r="C20" i="52" s="1"/>
  <c r="AD39" i="42"/>
  <c r="C17" i="52" s="1"/>
  <c r="AD35" i="42"/>
  <c r="C16" i="52" s="1"/>
  <c r="AD31" i="42"/>
  <c r="C15" i="52" s="1"/>
  <c r="AD51" i="47"/>
  <c r="C20" i="57" s="1"/>
  <c r="AD47" i="47"/>
  <c r="C19" i="57" s="1"/>
  <c r="AD43" i="47"/>
  <c r="C18" i="57" s="1"/>
  <c r="AD39" i="47"/>
  <c r="C17" i="57" s="1"/>
  <c r="AD35" i="47"/>
  <c r="C16" i="57" s="1"/>
  <c r="AD31" i="47"/>
  <c r="C15" i="57" s="1"/>
  <c r="AD23" i="47"/>
  <c r="C13" i="57" s="1"/>
  <c r="AD19" i="47"/>
  <c r="C12" i="57" s="1"/>
  <c r="AD19" i="49"/>
  <c r="C12" i="59" s="1"/>
  <c r="AD23" i="44"/>
  <c r="C13" i="54" s="1"/>
  <c r="AD39" i="48"/>
  <c r="C17" i="58" s="1"/>
  <c r="AD27" i="48"/>
  <c r="C14" i="58" s="1"/>
  <c r="AD31" i="50"/>
  <c r="C15" i="60" s="1"/>
  <c r="AD47" i="44"/>
  <c r="C19" i="54" s="1"/>
  <c r="AD39" i="44"/>
  <c r="C17" i="54" s="1"/>
  <c r="AD31" i="44"/>
  <c r="C15" i="54" s="1"/>
  <c r="AD51" i="45"/>
  <c r="C20" i="55" s="1"/>
  <c r="AD39" i="49"/>
  <c r="C17" i="59" s="1"/>
  <c r="AD35" i="49"/>
  <c r="C16" i="59" s="1"/>
  <c r="AD31" i="49"/>
  <c r="C15" i="59" s="1"/>
  <c r="AD27" i="49"/>
  <c r="C14" i="59" s="1"/>
  <c r="AD23" i="49"/>
  <c r="C13" i="59" s="1"/>
  <c r="AD7" i="51"/>
  <c r="C9" i="61" s="1"/>
  <c r="AD7" i="50"/>
  <c r="C9" i="60" s="1"/>
  <c r="AD7" i="48"/>
  <c r="AD7" i="47"/>
  <c r="C9" i="57" s="1"/>
  <c r="AD7" i="46"/>
  <c r="AD7" i="45"/>
  <c r="C9" i="55" s="1"/>
  <c r="AD7" i="44"/>
  <c r="AD7" i="43"/>
  <c r="C21" i="60" l="1"/>
  <c r="C23" i="60" s="1"/>
  <c r="AD55" i="42"/>
  <c r="C21" i="52"/>
  <c r="C23" i="52" s="1"/>
  <c r="AD55" i="44"/>
  <c r="C9" i="54"/>
  <c r="C21" i="54" s="1"/>
  <c r="C23" i="54" s="1"/>
  <c r="AD55" i="45"/>
  <c r="AD55" i="43"/>
  <c r="C9" i="53"/>
  <c r="C21" i="53" s="1"/>
  <c r="C23" i="53" s="1"/>
  <c r="AD55" i="46"/>
  <c r="C9" i="56"/>
  <c r="C21" i="56" s="1"/>
  <c r="C23" i="56" s="1"/>
  <c r="AD55" i="47"/>
  <c r="C21" i="61"/>
  <c r="C23" i="61" s="1"/>
  <c r="AD55" i="51"/>
  <c r="C21" i="55"/>
  <c r="C23" i="55" s="1"/>
  <c r="C21" i="57"/>
  <c r="C23" i="57" s="1"/>
  <c r="AD55" i="49"/>
  <c r="C21" i="59"/>
  <c r="C23" i="59" s="1"/>
  <c r="AD55" i="48"/>
  <c r="C9" i="58"/>
  <c r="C21" i="58" s="1"/>
  <c r="C23" i="58" s="1"/>
  <c r="AD55" i="50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F7" i="16"/>
  <c r="F8" i="31" l="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V20" i="31"/>
  <c r="W20" i="31"/>
  <c r="X20" i="31"/>
  <c r="Y20" i="31"/>
  <c r="Z20" i="31"/>
  <c r="AA20" i="31"/>
  <c r="AB20" i="31"/>
  <c r="AC20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F23" i="31"/>
  <c r="G23" i="31"/>
  <c r="H23" i="31"/>
  <c r="I23" i="31"/>
  <c r="J23" i="31"/>
  <c r="K23" i="31"/>
  <c r="L23" i="31"/>
  <c r="M23" i="31"/>
  <c r="N23" i="3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F24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F25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F26" i="31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V26" i="31"/>
  <c r="W26" i="31"/>
  <c r="X26" i="31"/>
  <c r="Y26" i="31"/>
  <c r="Z26" i="31"/>
  <c r="AA26" i="31"/>
  <c r="AB26" i="31"/>
  <c r="AC26" i="31"/>
  <c r="F27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T27" i="31"/>
  <c r="U27" i="31"/>
  <c r="V27" i="31"/>
  <c r="W27" i="31"/>
  <c r="X27" i="31"/>
  <c r="Y27" i="31"/>
  <c r="Z27" i="31"/>
  <c r="AA27" i="31"/>
  <c r="AB27" i="31"/>
  <c r="AC27" i="31"/>
  <c r="F28" i="31"/>
  <c r="G28" i="31"/>
  <c r="H28" i="31"/>
  <c r="I28" i="31"/>
  <c r="J28" i="31"/>
  <c r="K28" i="31"/>
  <c r="L28" i="31"/>
  <c r="M28" i="31"/>
  <c r="N28" i="31"/>
  <c r="O28" i="31"/>
  <c r="P28" i="31"/>
  <c r="Q28" i="31"/>
  <c r="R28" i="31"/>
  <c r="S28" i="31"/>
  <c r="T28" i="31"/>
  <c r="U28" i="31"/>
  <c r="V28" i="31"/>
  <c r="W28" i="31"/>
  <c r="X28" i="31"/>
  <c r="Y28" i="31"/>
  <c r="Z28" i="31"/>
  <c r="AA28" i="31"/>
  <c r="AB28" i="31"/>
  <c r="AC28" i="31"/>
  <c r="F29" i="31"/>
  <c r="G29" i="31"/>
  <c r="H29" i="31"/>
  <c r="I29" i="31"/>
  <c r="J29" i="31"/>
  <c r="K29" i="31"/>
  <c r="L29" i="31"/>
  <c r="M29" i="31"/>
  <c r="N29" i="31"/>
  <c r="O29" i="31"/>
  <c r="P29" i="31"/>
  <c r="Q29" i="31"/>
  <c r="R29" i="31"/>
  <c r="S29" i="31"/>
  <c r="T29" i="31"/>
  <c r="U29" i="31"/>
  <c r="V29" i="31"/>
  <c r="W29" i="31"/>
  <c r="X29" i="31"/>
  <c r="Y29" i="31"/>
  <c r="Z29" i="31"/>
  <c r="AA29" i="31"/>
  <c r="AB29" i="31"/>
  <c r="AC29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U30" i="31"/>
  <c r="V30" i="31"/>
  <c r="W30" i="31"/>
  <c r="X30" i="31"/>
  <c r="Y30" i="31"/>
  <c r="Z30" i="31"/>
  <c r="AA30" i="31"/>
  <c r="AB30" i="31"/>
  <c r="AC30" i="31"/>
  <c r="F31" i="31"/>
  <c r="G31" i="31"/>
  <c r="H31" i="31"/>
  <c r="I31" i="31"/>
  <c r="J31" i="31"/>
  <c r="K31" i="31"/>
  <c r="L31" i="31"/>
  <c r="M31" i="31"/>
  <c r="N31" i="31"/>
  <c r="O31" i="31"/>
  <c r="P31" i="31"/>
  <c r="Q31" i="31"/>
  <c r="R31" i="31"/>
  <c r="S31" i="31"/>
  <c r="T31" i="31"/>
  <c r="U31" i="31"/>
  <c r="V31" i="31"/>
  <c r="W31" i="31"/>
  <c r="X31" i="31"/>
  <c r="Y31" i="31"/>
  <c r="Z31" i="31"/>
  <c r="AA31" i="31"/>
  <c r="AB31" i="31"/>
  <c r="AC31" i="31"/>
  <c r="F32" i="31"/>
  <c r="G32" i="31"/>
  <c r="H32" i="31"/>
  <c r="I32" i="31"/>
  <c r="J32" i="31"/>
  <c r="K32" i="31"/>
  <c r="L32" i="31"/>
  <c r="M32" i="31"/>
  <c r="N32" i="31"/>
  <c r="O32" i="31"/>
  <c r="P32" i="31"/>
  <c r="Q32" i="31"/>
  <c r="R32" i="31"/>
  <c r="S32" i="31"/>
  <c r="T32" i="31"/>
  <c r="U32" i="31"/>
  <c r="V32" i="31"/>
  <c r="W32" i="31"/>
  <c r="X32" i="31"/>
  <c r="Y32" i="31"/>
  <c r="Z32" i="31"/>
  <c r="AA32" i="31"/>
  <c r="AB32" i="31"/>
  <c r="AC32" i="31"/>
  <c r="F33" i="31"/>
  <c r="G33" i="31"/>
  <c r="H33" i="31"/>
  <c r="I33" i="31"/>
  <c r="J33" i="31"/>
  <c r="K33" i="31"/>
  <c r="L33" i="31"/>
  <c r="M33" i="31"/>
  <c r="N33" i="31"/>
  <c r="O33" i="31"/>
  <c r="P33" i="31"/>
  <c r="Q33" i="31"/>
  <c r="R33" i="31"/>
  <c r="S33" i="31"/>
  <c r="T33" i="31"/>
  <c r="U33" i="31"/>
  <c r="V33" i="31"/>
  <c r="W33" i="31"/>
  <c r="X33" i="31"/>
  <c r="Y33" i="31"/>
  <c r="Z33" i="31"/>
  <c r="AA33" i="31"/>
  <c r="AB33" i="31"/>
  <c r="AC33" i="31"/>
  <c r="F34" i="31"/>
  <c r="G34" i="31"/>
  <c r="H34" i="31"/>
  <c r="I34" i="31"/>
  <c r="J34" i="31"/>
  <c r="K34" i="31"/>
  <c r="L34" i="31"/>
  <c r="M34" i="31"/>
  <c r="N34" i="31"/>
  <c r="O34" i="31"/>
  <c r="P34" i="31"/>
  <c r="Q34" i="31"/>
  <c r="R34" i="31"/>
  <c r="S34" i="31"/>
  <c r="T34" i="31"/>
  <c r="U34" i="31"/>
  <c r="V34" i="31"/>
  <c r="W34" i="31"/>
  <c r="X34" i="31"/>
  <c r="Y34" i="31"/>
  <c r="Z34" i="31"/>
  <c r="AA34" i="31"/>
  <c r="AB34" i="31"/>
  <c r="AC34" i="31"/>
  <c r="F35" i="31"/>
  <c r="G35" i="31"/>
  <c r="H35" i="31"/>
  <c r="I35" i="31"/>
  <c r="J35" i="31"/>
  <c r="K35" i="31"/>
  <c r="L35" i="31"/>
  <c r="M35" i="31"/>
  <c r="N35" i="31"/>
  <c r="O35" i="31"/>
  <c r="P35" i="31"/>
  <c r="Q35" i="31"/>
  <c r="R35" i="31"/>
  <c r="S35" i="31"/>
  <c r="T35" i="31"/>
  <c r="U35" i="31"/>
  <c r="V35" i="31"/>
  <c r="W35" i="31"/>
  <c r="X35" i="31"/>
  <c r="Y35" i="31"/>
  <c r="Z35" i="31"/>
  <c r="AA35" i="31"/>
  <c r="AB35" i="31"/>
  <c r="AC35" i="31"/>
  <c r="F36" i="31"/>
  <c r="G36" i="31"/>
  <c r="H36" i="31"/>
  <c r="I36" i="31"/>
  <c r="J36" i="31"/>
  <c r="K36" i="31"/>
  <c r="L36" i="31"/>
  <c r="M36" i="31"/>
  <c r="N36" i="31"/>
  <c r="O36" i="31"/>
  <c r="P36" i="31"/>
  <c r="Q36" i="31"/>
  <c r="R36" i="31"/>
  <c r="S36" i="31"/>
  <c r="T36" i="31"/>
  <c r="U36" i="31"/>
  <c r="V36" i="31"/>
  <c r="W36" i="31"/>
  <c r="X36" i="31"/>
  <c r="Y36" i="31"/>
  <c r="Z36" i="31"/>
  <c r="AA36" i="31"/>
  <c r="AB36" i="31"/>
  <c r="AC36" i="31"/>
  <c r="F37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T37" i="31"/>
  <c r="U37" i="31"/>
  <c r="V37" i="31"/>
  <c r="W37" i="31"/>
  <c r="X37" i="31"/>
  <c r="Y37" i="31"/>
  <c r="Z37" i="31"/>
  <c r="AA37" i="31"/>
  <c r="AB37" i="31"/>
  <c r="AC37" i="31"/>
  <c r="F38" i="31"/>
  <c r="G38" i="31"/>
  <c r="H38" i="31"/>
  <c r="I38" i="31"/>
  <c r="J38" i="31"/>
  <c r="K38" i="31"/>
  <c r="L38" i="31"/>
  <c r="M38" i="31"/>
  <c r="N38" i="31"/>
  <c r="O38" i="31"/>
  <c r="P38" i="31"/>
  <c r="Q38" i="31"/>
  <c r="R38" i="31"/>
  <c r="S38" i="31"/>
  <c r="T38" i="31"/>
  <c r="U38" i="31"/>
  <c r="V38" i="31"/>
  <c r="W38" i="31"/>
  <c r="X38" i="31"/>
  <c r="Y38" i="31"/>
  <c r="Z38" i="31"/>
  <c r="AA38" i="31"/>
  <c r="AB38" i="31"/>
  <c r="AC38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U41" i="31"/>
  <c r="V41" i="31"/>
  <c r="W41" i="31"/>
  <c r="X41" i="31"/>
  <c r="Y41" i="31"/>
  <c r="Z41" i="31"/>
  <c r="AA41" i="31"/>
  <c r="AB41" i="31"/>
  <c r="AC41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U42" i="31"/>
  <c r="V42" i="31"/>
  <c r="W42" i="31"/>
  <c r="X42" i="31"/>
  <c r="Y42" i="31"/>
  <c r="Z42" i="31"/>
  <c r="AA42" i="31"/>
  <c r="AB42" i="31"/>
  <c r="AC42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U43" i="31"/>
  <c r="V43" i="31"/>
  <c r="W43" i="31"/>
  <c r="X43" i="31"/>
  <c r="Y43" i="31"/>
  <c r="Z43" i="31"/>
  <c r="AA43" i="31"/>
  <c r="AB43" i="31"/>
  <c r="AC43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U45" i="31"/>
  <c r="V45" i="31"/>
  <c r="W45" i="31"/>
  <c r="X45" i="31"/>
  <c r="Y45" i="31"/>
  <c r="Z45" i="31"/>
  <c r="AA45" i="31"/>
  <c r="AB45" i="31"/>
  <c r="AC45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U46" i="31"/>
  <c r="V46" i="31"/>
  <c r="W46" i="31"/>
  <c r="X46" i="31"/>
  <c r="Y46" i="31"/>
  <c r="Z46" i="31"/>
  <c r="AA46" i="31"/>
  <c r="AB46" i="31"/>
  <c r="AC46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U49" i="31"/>
  <c r="V49" i="31"/>
  <c r="W49" i="31"/>
  <c r="X49" i="31"/>
  <c r="Y49" i="31"/>
  <c r="Z49" i="31"/>
  <c r="AA49" i="31"/>
  <c r="AB49" i="31"/>
  <c r="AC49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U52" i="31"/>
  <c r="V52" i="31"/>
  <c r="W52" i="31"/>
  <c r="X52" i="31"/>
  <c r="Y52" i="31"/>
  <c r="Z52" i="31"/>
  <c r="AA52" i="31"/>
  <c r="AB52" i="31"/>
  <c r="AC52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F7" i="31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AB42" i="30"/>
  <c r="AC42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AB46" i="30"/>
  <c r="AC46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W14" i="29"/>
  <c r="X14" i="29"/>
  <c r="Y14" i="29"/>
  <c r="Z14" i="29"/>
  <c r="AA14" i="29"/>
  <c r="AB14" i="29"/>
  <c r="AC14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W18" i="29"/>
  <c r="X18" i="29"/>
  <c r="Y18" i="29"/>
  <c r="Z18" i="29"/>
  <c r="AA18" i="29"/>
  <c r="AB18" i="29"/>
  <c r="AC18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W19" i="29"/>
  <c r="X19" i="29"/>
  <c r="Y19" i="29"/>
  <c r="Z19" i="29"/>
  <c r="AA19" i="29"/>
  <c r="AB19" i="29"/>
  <c r="AC19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W40" i="29"/>
  <c r="X40" i="29"/>
  <c r="Y40" i="29"/>
  <c r="Z40" i="29"/>
  <c r="AA40" i="29"/>
  <c r="AB40" i="29"/>
  <c r="AC40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W41" i="29"/>
  <c r="X41" i="29"/>
  <c r="Y41" i="29"/>
  <c r="Z41" i="29"/>
  <c r="AA41" i="29"/>
  <c r="AB41" i="29"/>
  <c r="AC41" i="29"/>
  <c r="F42" i="29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W42" i="29"/>
  <c r="X42" i="29"/>
  <c r="Y42" i="29"/>
  <c r="Z42" i="29"/>
  <c r="AA42" i="29"/>
  <c r="AB42" i="29"/>
  <c r="AC42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W43" i="29"/>
  <c r="X43" i="29"/>
  <c r="Y43" i="29"/>
  <c r="Z43" i="29"/>
  <c r="AA43" i="29"/>
  <c r="AB43" i="29"/>
  <c r="AC43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W44" i="29"/>
  <c r="X44" i="29"/>
  <c r="Y44" i="29"/>
  <c r="Z44" i="29"/>
  <c r="AA44" i="29"/>
  <c r="AB44" i="29"/>
  <c r="AC44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W45" i="29"/>
  <c r="X45" i="29"/>
  <c r="Y45" i="29"/>
  <c r="Z45" i="29"/>
  <c r="AA45" i="29"/>
  <c r="AB45" i="29"/>
  <c r="AC45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W46" i="29"/>
  <c r="X46" i="29"/>
  <c r="Y46" i="29"/>
  <c r="Z46" i="29"/>
  <c r="AA46" i="29"/>
  <c r="AB46" i="29"/>
  <c r="AC46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W49" i="29"/>
  <c r="X49" i="29"/>
  <c r="Y49" i="29"/>
  <c r="Z49" i="29"/>
  <c r="AA49" i="29"/>
  <c r="AB49" i="29"/>
  <c r="AC49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W52" i="29"/>
  <c r="X52" i="29"/>
  <c r="Y52" i="29"/>
  <c r="Z52" i="29"/>
  <c r="AA52" i="29"/>
  <c r="AB52" i="29"/>
  <c r="AC52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F7" i="29"/>
  <c r="AD27" i="40" l="1"/>
  <c r="C14" i="41" s="1"/>
  <c r="AD31" i="40"/>
  <c r="C15" i="41" s="1"/>
  <c r="AD35" i="40"/>
  <c r="C16" i="41" s="1"/>
  <c r="AD11" i="16"/>
  <c r="AD15" i="16"/>
  <c r="AD19" i="16"/>
  <c r="AD23" i="16"/>
  <c r="AD27" i="16"/>
  <c r="AD31" i="16"/>
  <c r="AD35" i="16"/>
  <c r="AD39" i="16"/>
  <c r="AD43" i="16"/>
  <c r="AD47" i="16"/>
  <c r="AD51" i="16"/>
  <c r="AD31" i="30"/>
  <c r="AD35" i="30"/>
  <c r="AD51" i="40" l="1"/>
  <c r="C20" i="41" s="1"/>
  <c r="AD47" i="40"/>
  <c r="C19" i="41" s="1"/>
  <c r="AD43" i="40"/>
  <c r="C18" i="41" s="1"/>
  <c r="AD39" i="40"/>
  <c r="C17" i="41" s="1"/>
  <c r="AD23" i="40"/>
  <c r="C13" i="41" s="1"/>
  <c r="AD19" i="40"/>
  <c r="C12" i="41" s="1"/>
  <c r="AD15" i="40"/>
  <c r="C11" i="41" s="1"/>
  <c r="AD11" i="40"/>
  <c r="C10" i="41" s="1"/>
  <c r="AD7" i="40"/>
  <c r="C9" i="41" s="1"/>
  <c r="AD55" i="40" l="1"/>
  <c r="AD31" i="29"/>
  <c r="AD35" i="29"/>
  <c r="AD39" i="31"/>
  <c r="AD23" i="31"/>
  <c r="AD11" i="30"/>
  <c r="C10" i="33" s="1"/>
  <c r="AD15" i="30"/>
  <c r="C11" i="33" s="1"/>
  <c r="AD19" i="30"/>
  <c r="C12" i="33" s="1"/>
  <c r="AD27" i="30"/>
  <c r="C14" i="33" s="1"/>
  <c r="C15" i="33"/>
  <c r="C16" i="33"/>
  <c r="AD43" i="30"/>
  <c r="C18" i="33" s="1"/>
  <c r="AD47" i="30"/>
  <c r="C19" i="33" s="1"/>
  <c r="AD51" i="30"/>
  <c r="C20" i="33" s="1"/>
  <c r="AD39" i="30"/>
  <c r="C17" i="33" s="1"/>
  <c r="AD23" i="30"/>
  <c r="C13" i="33" s="1"/>
  <c r="AD7" i="30"/>
  <c r="C9" i="33" s="1"/>
  <c r="AD43" i="29"/>
  <c r="C18" i="32" s="1"/>
  <c r="AD23" i="29"/>
  <c r="C13" i="32" s="1"/>
  <c r="C17" i="34" l="1"/>
  <c r="C13" i="34"/>
  <c r="AD51" i="31"/>
  <c r="AD43" i="31"/>
  <c r="AD35" i="31"/>
  <c r="AD31" i="31"/>
  <c r="AD27" i="31"/>
  <c r="AD19" i="31"/>
  <c r="AD15" i="31"/>
  <c r="AD11" i="31"/>
  <c r="AD47" i="31"/>
  <c r="C21" i="33"/>
  <c r="C23" i="33" s="1"/>
  <c r="AD7" i="31"/>
  <c r="AD55" i="30"/>
  <c r="AD11" i="29"/>
  <c r="C10" i="32" s="1"/>
  <c r="AD15" i="29"/>
  <c r="C11" i="32" s="1"/>
  <c r="AD19" i="29"/>
  <c r="C12" i="32" s="1"/>
  <c r="AD27" i="29"/>
  <c r="C14" i="32" s="1"/>
  <c r="C15" i="32"/>
  <c r="C16" i="32"/>
  <c r="AD39" i="29"/>
  <c r="C17" i="32" s="1"/>
  <c r="AD47" i="29"/>
  <c r="C19" i="32" s="1"/>
  <c r="AD51" i="29"/>
  <c r="C20" i="32" s="1"/>
  <c r="AD7" i="29"/>
  <c r="C10" i="34" l="1"/>
  <c r="C15" i="34"/>
  <c r="C12" i="34"/>
  <c r="C16" i="34"/>
  <c r="C14" i="34"/>
  <c r="C18" i="34"/>
  <c r="C11" i="34"/>
  <c r="C19" i="34"/>
  <c r="C20" i="34"/>
  <c r="C9" i="32"/>
  <c r="AD55" i="29"/>
  <c r="AD55" i="31"/>
  <c r="C9" i="34"/>
  <c r="C21" i="32" l="1"/>
  <c r="C21" i="34"/>
  <c r="C23" i="34" s="1"/>
  <c r="C16" i="39" l="1"/>
  <c r="C15" i="39"/>
  <c r="C14" i="39"/>
  <c r="AD7" i="16"/>
  <c r="C11" i="39" l="1"/>
  <c r="C12" i="39"/>
  <c r="C17" i="39"/>
  <c r="C10" i="39"/>
  <c r="C18" i="39"/>
  <c r="C9" i="39"/>
  <c r="C19" i="39"/>
  <c r="C13" i="39"/>
  <c r="C20" i="39"/>
  <c r="AD55" i="16"/>
  <c r="AD7" i="14"/>
  <c r="AD11" i="14"/>
  <c r="AD15" i="14"/>
  <c r="AD19" i="14"/>
  <c r="AD23" i="14"/>
  <c r="AD27" i="14"/>
  <c r="AD31" i="14"/>
  <c r="AD35" i="14"/>
  <c r="AD39" i="14"/>
  <c r="AD43" i="14"/>
  <c r="AD47" i="14"/>
  <c r="AD51" i="14"/>
  <c r="C21" i="41" l="1"/>
  <c r="C23" i="41" s="1"/>
  <c r="C21" i="39"/>
  <c r="C23" i="39" s="1"/>
  <c r="AD55" i="14"/>
</calcChain>
</file>

<file path=xl/sharedStrings.xml><?xml version="1.0" encoding="utf-8"?>
<sst xmlns="http://schemas.openxmlformats.org/spreadsheetml/2006/main" count="1727" uniqueCount="79">
  <si>
    <t>CANTIDADES DE ENERGÍA SOLICITADAS (kWh)</t>
  </si>
  <si>
    <t>EMPRESAS PÚBLICAS DE MEDELLÍN E.S.P.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</si>
  <si>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</si>
  <si>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</si>
  <si>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</si>
  <si>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</si>
  <si>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</si>
  <si>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</si>
  <si>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</si>
  <si>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</si>
  <si>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</si>
  <si>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</si>
  <si>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</si>
  <si>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</si>
  <si>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</si>
  <si>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</si>
  <si>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</si>
  <si>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</si>
  <si>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</si>
  <si>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</si>
  <si>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</si>
  <si>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</si>
  <si>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</si>
  <si>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</si>
  <si>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</si>
  <si>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</si>
  <si>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</si>
  <si>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</si>
  <si>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</si>
  <si>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</si>
  <si>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</si>
  <si>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</si>
  <si>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</si>
  <si>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</si>
  <si>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</si>
  <si>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</si>
  <si>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</si>
  <si>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</si>
  <si>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</si>
  <si>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</si>
  <si>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</si>
  <si>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</si>
  <si>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</si>
  <si>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</si>
  <si>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</si>
  <si>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</si>
  <si>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</si>
  <si>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NOMBRE DEL OFERENTE</t>
  </si>
  <si>
    <t xml:space="preserve"> PRECIOS Y CANTIDADES DE ENERGIA OFERTADA</t>
  </si>
  <si>
    <t>MES</t>
  </si>
  <si>
    <t>Energia Solicitada kWh</t>
  </si>
  <si>
    <t>%</t>
  </si>
  <si>
    <t>Energia Ofertada kWh</t>
  </si>
  <si>
    <t>Precio $/KWh</t>
  </si>
  <si>
    <t>$/kWh</t>
  </si>
  <si>
    <t>Total año</t>
  </si>
  <si>
    <t xml:space="preserve">Notas: </t>
  </si>
  <si>
    <r>
      <t>2.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Tipo de Contrato: pague lo contratado.</t>
    </r>
  </si>
  <si>
    <t>AÑO 2026</t>
  </si>
  <si>
    <t>AÑO 2027</t>
  </si>
  <si>
    <t>AÑO 2028</t>
  </si>
  <si>
    <t>AÑO 2029</t>
  </si>
  <si>
    <t>AÑO 2030</t>
  </si>
  <si>
    <t>OFERTA - CURVA</t>
  </si>
  <si>
    <t>DISTRIBUCIÓN HORARIA PRODUCTOS 1 AÑOS 2026 A 2040</t>
  </si>
  <si>
    <t>AÑO 2031</t>
  </si>
  <si>
    <t>AÑO 2032</t>
  </si>
  <si>
    <t>AÑO 2033</t>
  </si>
  <si>
    <t>AÑO 2034</t>
  </si>
  <si>
    <t>AÑO 2036</t>
  </si>
  <si>
    <t>AÑO 2037</t>
  </si>
  <si>
    <t>AÑO 2038</t>
  </si>
  <si>
    <t>AÑO 2039</t>
  </si>
  <si>
    <t>AÑO 2040</t>
  </si>
  <si>
    <t>EN PESOS DE JULIO 2025</t>
  </si>
  <si>
    <r>
      <t>3.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Precio ofertado en $kWh, en pesos de julio 2025</t>
    </r>
  </si>
  <si>
    <t>4.       El % y el precio debe ser el mismo para todos los meses del año</t>
  </si>
  <si>
    <r>
      <t>1.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por año</t>
    </r>
  </si>
  <si>
    <t>AÑO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</si>
</sst>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_-* #,##0.00_-;\-* #,##0.00_-;_-* &quot;-&quot;_-;_-@_-"/>
    <numFmt numFmtId="169" formatCode="_-* #,##0.00\ _€_-;\-* #,##0.00\ _€_-;_-* &quot;-&quot;\ _€_-;_-@_-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DIN-Regular"/>
      <family val="2"/>
    </font>
    <font>
      <b/>
      <sz val="11"/>
      <color theme="1"/>
      <name val="Trebuchet MS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CC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Protection="1">
      <protection locked="0"/>
    </xf>
    <xf numFmtId="41" fontId="1" fillId="0" borderId="0" xfId="9" applyFont="1" applyProtection="1">
      <protection locked="0"/>
    </xf>
    <xf numFmtId="0" fontId="3" fillId="3" borderId="2" xfId="1" applyFont="1" applyFill="1" applyBorder="1" applyAlignment="1" applyProtection="1">
      <alignment horizontal="center"/>
      <protection locked="0"/>
    </xf>
    <xf numFmtId="3" fontId="4" fillId="3" borderId="7" xfId="1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67" fontId="1" fillId="0" borderId="1" xfId="10" applyNumberFormat="1" applyFont="1" applyBorder="1" applyAlignment="1" applyProtection="1">
      <alignment horizontal="center" vertical="center" wrapText="1"/>
      <protection locked="0"/>
    </xf>
    <xf numFmtId="168" fontId="1" fillId="0" borderId="0" xfId="2" applyNumberFormat="1" applyFont="1" applyProtection="1">
      <protection locked="0"/>
    </xf>
    <xf numFmtId="3" fontId="2" fillId="0" borderId="1" xfId="0" applyNumberFormat="1" applyFont="1" applyBorder="1" applyProtection="1">
      <protection locked="0"/>
    </xf>
    <xf numFmtId="4" fontId="1" fillId="0" borderId="0" xfId="0" applyNumberFormat="1" applyFont="1" applyProtection="1">
      <protection locked="0"/>
    </xf>
    <xf numFmtId="3" fontId="4" fillId="3" borderId="4" xfId="1" applyNumberFormat="1" applyFont="1" applyFill="1" applyBorder="1" applyAlignment="1" applyProtection="1">
      <alignment horizontal="center"/>
      <protection locked="0"/>
    </xf>
    <xf numFmtId="3" fontId="4" fillId="3" borderId="5" xfId="1" applyNumberFormat="1" applyFont="1" applyFill="1" applyBorder="1" applyAlignment="1" applyProtection="1">
      <alignment horizontal="center"/>
      <protection locked="0"/>
    </xf>
    <xf numFmtId="3" fontId="4" fillId="3" borderId="6" xfId="1" applyNumberFormat="1" applyFont="1" applyFill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/>
      <protection locked="0"/>
    </xf>
    <xf numFmtId="43" fontId="1" fillId="0" borderId="0" xfId="10" applyFont="1" applyProtection="1">
      <protection locked="0"/>
    </xf>
    <xf numFmtId="0" fontId="6" fillId="0" borderId="0" xfId="2" applyProtection="1">
      <protection locked="0"/>
    </xf>
    <xf numFmtId="0" fontId="7" fillId="0" borderId="0" xfId="2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1" fillId="0" borderId="0" xfId="2" applyFont="1" applyProtection="1">
      <protection locked="0"/>
    </xf>
    <xf numFmtId="17" fontId="2" fillId="0" borderId="18" xfId="0" applyNumberFormat="1" applyFont="1" applyBorder="1" applyAlignment="1" applyProtection="1">
      <alignment horizontal="center" vertical="center"/>
      <protection locked="0"/>
    </xf>
    <xf numFmtId="169" fontId="1" fillId="0" borderId="26" xfId="5" applyNumberFormat="1" applyFont="1" applyFill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17" fontId="2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10" fontId="1" fillId="0" borderId="0" xfId="2" applyNumberFormat="1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167" fontId="1" fillId="0" borderId="0" xfId="2" applyNumberFormat="1" applyFont="1" applyProtection="1">
      <protection locked="0"/>
    </xf>
    <xf numFmtId="0" fontId="12" fillId="0" borderId="0" xfId="0" applyFont="1" applyAlignment="1" applyProtection="1">
      <alignment horizontal="left" vertical="center" indent="13"/>
      <protection locked="0"/>
    </xf>
    <xf numFmtId="164" fontId="0" fillId="0" borderId="0" xfId="5" applyFont="1" applyProtection="1">
      <protection locked="0"/>
    </xf>
    <xf numFmtId="164" fontId="6" fillId="0" borderId="0" xfId="2" applyNumberFormat="1" applyProtection="1">
      <protection locked="0"/>
    </xf>
    <xf numFmtId="17" fontId="2" fillId="0" borderId="16" xfId="0" applyNumberFormat="1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23" xfId="0" applyNumberFormat="1" applyFont="1" applyBorder="1" applyAlignment="1" applyProtection="1">
      <alignment horizontal="center" vertical="center"/>
      <protection locked="0"/>
    </xf>
    <xf numFmtId="2" fontId="1" fillId="0" borderId="32" xfId="0" applyNumberFormat="1" applyFont="1" applyBorder="1" applyAlignment="1" applyProtection="1">
      <alignment horizontal="center" vertical="center"/>
      <protection locked="0"/>
    </xf>
    <xf numFmtId="169" fontId="1" fillId="0" borderId="34" xfId="5" applyNumberFormat="1" applyFont="1" applyFill="1" applyBorder="1" applyAlignment="1" applyProtection="1">
      <alignment horizontal="center" vertical="center"/>
      <protection locked="0"/>
    </xf>
    <xf numFmtId="169" fontId="1" fillId="0" borderId="18" xfId="5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7" fontId="1" fillId="0" borderId="0" xfId="10" applyNumberFormat="1" applyFont="1" applyProtection="1">
      <protection locked="0"/>
    </xf>
    <xf numFmtId="169" fontId="2" fillId="0" borderId="19" xfId="5" applyNumberFormat="1" applyFont="1" applyFill="1" applyBorder="1" applyAlignment="1" applyProtection="1">
      <alignment horizontal="center" vertical="center"/>
      <protection locked="0"/>
    </xf>
    <xf numFmtId="169" fontId="2" fillId="0" borderId="20" xfId="5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41" fontId="1" fillId="0" borderId="0" xfId="9" applyNumberFormat="1" applyFont="1" applyProtection="1">
      <protection locked="0"/>
    </xf>
    <xf numFmtId="0" fontId="2" fillId="0" borderId="27" xfId="0" applyFont="1" applyBorder="1" applyAlignment="1" applyProtection="1">
      <protection locked="0"/>
    </xf>
    <xf numFmtId="0" fontId="2" fillId="0" borderId="28" xfId="0" applyFont="1" applyBorder="1" applyAlignment="1" applyProtection="1">
      <protection locked="0"/>
    </xf>
    <xf numFmtId="0" fontId="2" fillId="0" borderId="23" xfId="0" applyFont="1" applyBorder="1" applyAlignment="1" applyProtection="1">
      <protection locked="0"/>
    </xf>
    <xf numFmtId="0" fontId="1" fillId="0" borderId="28" xfId="0" applyFont="1" applyBorder="1" applyProtection="1">
      <protection locked="0"/>
    </xf>
    <xf numFmtId="0" fontId="1" fillId="0" borderId="23" xfId="0" applyFont="1" applyBorder="1" applyProtection="1">
      <protection locked="0"/>
    </xf>
    <xf numFmtId="17" fontId="2" fillId="0" borderId="0" xfId="0" applyNumberFormat="1" applyFont="1" applyBorder="1" applyAlignment="1" applyProtection="1">
      <alignment horizontal="center" vertical="center"/>
      <protection locked="0"/>
    </xf>
    <xf numFmtId="4" fontId="1" fillId="0" borderId="24" xfId="0" applyNumberFormat="1" applyFont="1" applyBorder="1" applyAlignment="1" applyProtection="1">
      <alignment horizontal="center" vertical="center" wrapText="1"/>
      <protection locked="0"/>
    </xf>
    <xf numFmtId="4" fontId="1" fillId="0" borderId="25" xfId="0" applyNumberFormat="1" applyFont="1" applyBorder="1" applyAlignment="1" applyProtection="1">
      <alignment horizontal="center" vertical="center" wrapText="1"/>
      <protection locked="0"/>
    </xf>
    <xf numFmtId="4" fontId="1" fillId="0" borderId="26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0" borderId="38" xfId="0" applyFont="1" applyBorder="1" applyAlignment="1" applyProtection="1">
      <alignment horizontal="center"/>
      <protection locked="0"/>
    </xf>
    <xf numFmtId="166" fontId="1" fillId="5" borderId="7" xfId="4" applyNumberFormat="1" applyFont="1" applyFill="1" applyBorder="1" applyAlignment="1" applyProtection="1">
      <alignment horizontal="center" vertical="center"/>
      <protection locked="0"/>
    </xf>
    <xf numFmtId="166" fontId="1" fillId="5" borderId="21" xfId="4" applyNumberFormat="1" applyFont="1" applyFill="1" applyBorder="1" applyAlignment="1" applyProtection="1">
      <alignment horizontal="center" vertical="center"/>
      <protection locked="0"/>
    </xf>
    <xf numFmtId="166" fontId="1" fillId="5" borderId="22" xfId="4" applyNumberFormat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 applyProtection="1">
      <alignment horizontal="center"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9" fontId="1" fillId="5" borderId="11" xfId="3" applyFont="1" applyFill="1" applyBorder="1" applyAlignment="1" applyProtection="1">
      <alignment horizontal="center" vertical="center"/>
      <protection locked="0"/>
    </xf>
    <xf numFmtId="9" fontId="1" fillId="5" borderId="35" xfId="3" applyFont="1" applyFill="1" applyBorder="1" applyAlignment="1" applyProtection="1">
      <alignment horizontal="center" vertical="center"/>
      <protection locked="0"/>
    </xf>
    <xf numFmtId="9" fontId="1" fillId="5" borderId="12" xfId="3" applyFont="1" applyFill="1" applyBorder="1" applyAlignment="1" applyProtection="1">
      <alignment horizontal="center" vertical="center"/>
      <protection locked="0"/>
    </xf>
    <xf numFmtId="9" fontId="1" fillId="5" borderId="5" xfId="3" applyFont="1" applyFill="1" applyBorder="1" applyAlignment="1" applyProtection="1">
      <alignment horizontal="center" vertical="center"/>
      <protection locked="0"/>
    </xf>
    <xf numFmtId="9" fontId="1" fillId="5" borderId="25" xfId="3" applyFont="1" applyFill="1" applyBorder="1" applyAlignment="1" applyProtection="1">
      <alignment horizontal="center" vertical="center"/>
      <protection locked="0"/>
    </xf>
    <xf numFmtId="9" fontId="1" fillId="5" borderId="30" xfId="3" applyFont="1" applyFill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  <xf numFmtId="3" fontId="1" fillId="0" borderId="24" xfId="0" applyNumberFormat="1" applyFont="1" applyBorder="1" applyAlignment="1" applyProtection="1">
      <alignment horizontal="center" vertical="center" wrapText="1"/>
      <protection locked="0"/>
    </xf>
    <xf numFmtId="3" fontId="1" fillId="0" borderId="25" xfId="0" applyNumberFormat="1" applyFont="1" applyBorder="1" applyAlignment="1" applyProtection="1">
      <alignment horizontal="center" vertical="center" wrapText="1"/>
      <protection locked="0"/>
    </xf>
    <xf numFmtId="3" fontId="1" fillId="0" borderId="26" xfId="0" applyNumberFormat="1" applyFont="1" applyBorder="1" applyAlignment="1" applyProtection="1">
      <alignment horizontal="center" vertical="center" wrapText="1"/>
      <protection locked="0"/>
    </xf>
  </cellXfs>
  <cellStyles count="11">
    <cellStyle name="Millares" xfId="10" builtinId="3"/>
    <cellStyle name="Millares [0]" xfId="9" builtinId="6"/>
    <cellStyle name="Millares [0] 2" xfId="5" xr:uid="{6569F618-52BD-49C5-89D1-929E16557673}"/>
    <cellStyle name="Millares [0] 3" xfId="6" xr:uid="{00000000-0005-0000-0000-000034000000}"/>
    <cellStyle name="Millares 2" xfId="4" xr:uid="{1F92F91B-2AD6-48EE-8DE0-A5E6DFE3DBBC}"/>
    <cellStyle name="Normal" xfId="0" builtinId="0"/>
    <cellStyle name="Normal 2" xfId="1" xr:uid="{0C3ADCF0-D3C5-4B22-BBD6-E5AC07BE49AB}"/>
    <cellStyle name="Normal 3" xfId="2" xr:uid="{04A66F1E-99A6-4DDE-ACF0-1A9630326BF7}"/>
    <cellStyle name="Normal 3 2" xfId="7" xr:uid="{00000000-0005-0000-0000-000035000000}"/>
    <cellStyle name="Porcentaje 2" xfId="3" xr:uid="{68E02398-A5A2-4B9C-967C-E98F22BB8F7B}"/>
    <cellStyle name="Porcentaje 3" xfId="8" xr:uid="{00000000-0005-0000-0000-000036000000}"/>
  </cellStyles>
  <dxfs count="0"/>
  <tableStyles count="0" defaultTableStyle="TableStyleMedium2" defaultPivotStyle="PivotStyleLight16"/>
  <colors>
    <mruColors>
      <color rgb="FFCC33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53244-2025/Demanda/CalculoFaltanteEnergia_2026.xls" TargetMode="External"/><Relationship Id="rId1" Type="http://schemas.openxmlformats.org/officeDocument/2006/relationships/externalLinkPath" Target="CalculoFaltanteEnergia_202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53244-2025/Demanda/CalculoFaltanteEnergia_2027.xls" TargetMode="External"/><Relationship Id="rId1" Type="http://schemas.openxmlformats.org/officeDocument/2006/relationships/externalLinkPath" Target="CalculoFaltanteEnergia_202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2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0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53244-2025/Demanda/CalculoFaltanteEnergia_2031.xls" TargetMode="External"/><Relationship Id="rId1" Type="http://schemas.openxmlformats.org/officeDocument/2006/relationships/externalLinkPath" Target="CalculoFaltanteEnergia_20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3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FaltanteEnergia_204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N7">
            <v>217.8704992563398</v>
          </cell>
          <cell r="O7">
            <v>233.64759460627837</v>
          </cell>
          <cell r="P7">
            <v>260.47283106656141</v>
          </cell>
          <cell r="Q7">
            <v>284.4260435873602</v>
          </cell>
          <cell r="R7">
            <v>295.38771705201975</v>
          </cell>
          <cell r="S7">
            <v>295.19585898010831</v>
          </cell>
          <cell r="T7">
            <v>303.50321509541499</v>
          </cell>
          <cell r="U7">
            <v>305.25362906385601</v>
          </cell>
          <cell r="V7">
            <v>294.06299941603311</v>
          </cell>
        </row>
        <row r="8">
          <cell r="N8">
            <v>180.07469562454261</v>
          </cell>
          <cell r="O8">
            <v>206.02719452346582</v>
          </cell>
          <cell r="P8">
            <v>226.55775857519015</v>
          </cell>
          <cell r="Q8">
            <v>246.00036682106455</v>
          </cell>
          <cell r="R8">
            <v>248.77406799285455</v>
          </cell>
          <cell r="S8">
            <v>245.43858731234508</v>
          </cell>
          <cell r="T8">
            <v>239.044750072358</v>
          </cell>
          <cell r="U8">
            <v>236.73768466872423</v>
          </cell>
          <cell r="V8">
            <v>235.51464859397797</v>
          </cell>
        </row>
        <row r="9">
          <cell r="N9">
            <v>118.89601207747097</v>
          </cell>
          <cell r="O9">
            <v>143.18723276569438</v>
          </cell>
          <cell r="P9">
            <v>162.16422707356176</v>
          </cell>
          <cell r="Q9">
            <v>187.64274816547857</v>
          </cell>
          <cell r="R9">
            <v>204.37287989600534</v>
          </cell>
          <cell r="S9">
            <v>212.63414957930283</v>
          </cell>
          <cell r="T9">
            <v>209.71659742983545</v>
          </cell>
          <cell r="U9">
            <v>205.82769164821556</v>
          </cell>
          <cell r="V9">
            <v>202.05516096692659</v>
          </cell>
        </row>
        <row r="10">
          <cell r="N10">
            <v>70.305500135123182</v>
          </cell>
          <cell r="O10">
            <v>89.155645583629862</v>
          </cell>
          <cell r="P10">
            <v>111.75342879562299</v>
          </cell>
          <cell r="Q10">
            <v>137.50256457206547</v>
          </cell>
          <cell r="R10">
            <v>158.51442954686576</v>
          </cell>
          <cell r="S10">
            <v>165.71010068952322</v>
          </cell>
          <cell r="T10">
            <v>164.17677832084587</v>
          </cell>
          <cell r="U10">
            <v>158.17685660339359</v>
          </cell>
          <cell r="V10">
            <v>155.36509225854411</v>
          </cell>
        </row>
        <row r="11">
          <cell r="N11">
            <v>293.83972006703232</v>
          </cell>
          <cell r="O11">
            <v>307.35479569241642</v>
          </cell>
          <cell r="P11">
            <v>337.48721381490901</v>
          </cell>
          <cell r="Q11">
            <v>359.7170246364899</v>
          </cell>
          <cell r="R11">
            <v>358.99470425765531</v>
          </cell>
          <cell r="S11">
            <v>356.23026578694044</v>
          </cell>
          <cell r="T11">
            <v>364.4028917047907</v>
          </cell>
          <cell r="U11">
            <v>367.43352639077477</v>
          </cell>
          <cell r="V11">
            <v>357.16888300875587</v>
          </cell>
        </row>
        <row r="12">
          <cell r="N12">
            <v>279.23048196378073</v>
          </cell>
          <cell r="O12">
            <v>306.68541179214708</v>
          </cell>
          <cell r="P12">
            <v>330.83528877111485</v>
          </cell>
          <cell r="Q12">
            <v>342.37943380501616</v>
          </cell>
          <cell r="R12">
            <v>339.05507971946514</v>
          </cell>
          <cell r="S12">
            <v>330.33495153081395</v>
          </cell>
          <cell r="T12">
            <v>321.87058364396336</v>
          </cell>
          <cell r="U12">
            <v>321.16517076954273</v>
          </cell>
          <cell r="V12">
            <v>318.2328588512529</v>
          </cell>
        </row>
        <row r="13">
          <cell r="N13">
            <v>186.71501154247451</v>
          </cell>
          <cell r="O13">
            <v>214.15782132990398</v>
          </cell>
          <cell r="P13">
            <v>238.65494079320072</v>
          </cell>
          <cell r="Q13">
            <v>267.56502298382702</v>
          </cell>
          <cell r="R13">
            <v>284.57429411151344</v>
          </cell>
          <cell r="S13">
            <v>289.98771370746863</v>
          </cell>
          <cell r="T13">
            <v>285.95911995989053</v>
          </cell>
          <cell r="U13">
            <v>280.78943523870163</v>
          </cell>
          <cell r="V13">
            <v>275.19653306930934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N15">
            <v>208.8385331057531</v>
          </cell>
          <cell r="O15">
            <v>220.16943732573094</v>
          </cell>
          <cell r="P15">
            <v>245.47318761656541</v>
          </cell>
          <cell r="Q15">
            <v>264.40451179359559</v>
          </cell>
          <cell r="R15">
            <v>264.6429861353713</v>
          </cell>
          <cell r="S15">
            <v>264.43628314212503</v>
          </cell>
          <cell r="T15">
            <v>273.34311294498997</v>
          </cell>
          <cell r="U15">
            <v>274.04394650651949</v>
          </cell>
          <cell r="V15">
            <v>264.90180246622924</v>
          </cell>
        </row>
        <row r="16">
          <cell r="N16">
            <v>194.47848909945398</v>
          </cell>
          <cell r="O16">
            <v>215.76153644219619</v>
          </cell>
          <cell r="P16">
            <v>237.16160225980775</v>
          </cell>
          <cell r="Q16">
            <v>252.11588780484553</v>
          </cell>
          <cell r="R16">
            <v>250.93393308665512</v>
          </cell>
          <cell r="S16">
            <v>247.6023504989372</v>
          </cell>
          <cell r="T16">
            <v>244.14099548226486</v>
          </cell>
          <cell r="U16">
            <v>239.79185929370206</v>
          </cell>
          <cell r="V16">
            <v>236.14498533659972</v>
          </cell>
        </row>
        <row r="17">
          <cell r="N17">
            <v>115.82798597713666</v>
          </cell>
          <cell r="O17">
            <v>132.85829923678537</v>
          </cell>
          <cell r="P17">
            <v>150.90585387139993</v>
          </cell>
          <cell r="Q17">
            <v>171.10703854362666</v>
          </cell>
          <cell r="R17">
            <v>185.97356023251237</v>
          </cell>
          <cell r="S17">
            <v>192.54217773497209</v>
          </cell>
          <cell r="T17">
            <v>191.92505855455863</v>
          </cell>
          <cell r="U17">
            <v>192.00890539513856</v>
          </cell>
          <cell r="V17">
            <v>188.42134489364389</v>
          </cell>
        </row>
        <row r="18">
          <cell r="N18">
            <v>145.16405780331587</v>
          </cell>
          <cell r="O18">
            <v>169.50102431349865</v>
          </cell>
          <cell r="P18">
            <v>190.9215078113146</v>
          </cell>
          <cell r="Q18">
            <v>219.84674714915477</v>
          </cell>
          <cell r="R18">
            <v>232.84597831558418</v>
          </cell>
          <cell r="S18">
            <v>231.67369313825054</v>
          </cell>
          <cell r="T18">
            <v>226.99328529213597</v>
          </cell>
          <cell r="U18">
            <v>222.35580377368004</v>
          </cell>
          <cell r="V18">
            <v>222.98690688891375</v>
          </cell>
        </row>
        <row r="19">
          <cell r="N19">
            <v>239.92419575941986</v>
          </cell>
          <cell r="O19">
            <v>254.03436444866696</v>
          </cell>
          <cell r="P19">
            <v>282.81576227022009</v>
          </cell>
          <cell r="Q19">
            <v>305.09473447564807</v>
          </cell>
          <cell r="R19">
            <v>307.61216443056298</v>
          </cell>
          <cell r="S19">
            <v>306.77030884704703</v>
          </cell>
          <cell r="T19">
            <v>316.99958555223367</v>
          </cell>
          <cell r="U19">
            <v>320.4880758362026</v>
          </cell>
          <cell r="V19">
            <v>311.56531305212161</v>
          </cell>
        </row>
        <row r="20">
          <cell r="N20">
            <v>214.58342304845576</v>
          </cell>
          <cell r="O20">
            <v>238.20918631337213</v>
          </cell>
          <cell r="P20">
            <v>257.56610274756378</v>
          </cell>
          <cell r="Q20">
            <v>269.81299254382935</v>
          </cell>
          <cell r="R20">
            <v>269.46100990297481</v>
          </cell>
          <cell r="S20">
            <v>269.31035618569268</v>
          </cell>
          <cell r="T20">
            <v>269.59674300779977</v>
          </cell>
          <cell r="U20">
            <v>273.02607121840543</v>
          </cell>
          <cell r="V20">
            <v>275.81344409913686</v>
          </cell>
        </row>
        <row r="21">
          <cell r="N21">
            <v>156.49153700001568</v>
          </cell>
          <cell r="O21">
            <v>178.80775869893981</v>
          </cell>
          <cell r="P21">
            <v>194.56511758877349</v>
          </cell>
          <cell r="Q21">
            <v>211.01417979852536</v>
          </cell>
          <cell r="R21">
            <v>220.89557064484464</v>
          </cell>
          <cell r="S21">
            <v>228.31260993566823</v>
          </cell>
          <cell r="T21">
            <v>232.12854947551963</v>
          </cell>
          <cell r="U21">
            <v>232.93573852508334</v>
          </cell>
          <cell r="V21">
            <v>230.99177289587234</v>
          </cell>
        </row>
        <row r="22">
          <cell r="N22">
            <v>152.43176797149528</v>
          </cell>
          <cell r="O22">
            <v>160.67946055975418</v>
          </cell>
          <cell r="P22">
            <v>163.86061650355654</v>
          </cell>
          <cell r="Q22">
            <v>189.11584878508228</v>
          </cell>
          <cell r="R22">
            <v>213.97892536266357</v>
          </cell>
          <cell r="S22">
            <v>217.4035512623046</v>
          </cell>
          <cell r="T22">
            <v>219.41614981654004</v>
          </cell>
          <cell r="U22">
            <v>221.80429933479465</v>
          </cell>
          <cell r="V22">
            <v>228.47401179229794</v>
          </cell>
        </row>
        <row r="23">
          <cell r="N23">
            <v>116.96854711289227</v>
          </cell>
          <cell r="O23">
            <v>118.22420606129226</v>
          </cell>
          <cell r="P23">
            <v>138.23772405749747</v>
          </cell>
          <cell r="Q23">
            <v>151.10846954404931</v>
          </cell>
          <cell r="R23">
            <v>142.59827068272685</v>
          </cell>
          <cell r="S23">
            <v>143.60919184899188</v>
          </cell>
          <cell r="T23">
            <v>159.00879664990572</v>
          </cell>
          <cell r="U23">
            <v>169.47777767760326</v>
          </cell>
          <cell r="V23">
            <v>163.82667849665512</v>
          </cell>
        </row>
        <row r="24">
          <cell r="N24">
            <v>63.168177386265775</v>
          </cell>
          <cell r="O24">
            <v>78.452116691119031</v>
          </cell>
          <cell r="P24">
            <v>90.979990855647046</v>
          </cell>
          <cell r="Q24">
            <v>92.899602866300967</v>
          </cell>
          <cell r="R24">
            <v>82.407356279927541</v>
          </cell>
          <cell r="S24">
            <v>78.718804898682279</v>
          </cell>
          <cell r="T24">
            <v>72.569052604901515</v>
          </cell>
          <cell r="U24">
            <v>71.56628715704997</v>
          </cell>
          <cell r="V24">
            <v>75.247203196346661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2.711501992149735</v>
          </cell>
          <cell r="S25">
            <v>9.551983082650823</v>
          </cell>
          <cell r="T25">
            <v>1.0628263532906568</v>
          </cell>
          <cell r="U25">
            <v>6.8503493205535397</v>
          </cell>
          <cell r="V25">
            <v>10.52193642904323</v>
          </cell>
        </row>
        <row r="26">
          <cell r="N26">
            <v>25.076658001554506</v>
          </cell>
          <cell r="O26">
            <v>36.552472874920042</v>
          </cell>
          <cell r="P26">
            <v>55.851277450068437</v>
          </cell>
          <cell r="Q26">
            <v>70.867213414110765</v>
          </cell>
          <cell r="R26">
            <v>88.00854662719712</v>
          </cell>
          <cell r="S26">
            <v>89.510400411833814</v>
          </cell>
          <cell r="T26">
            <v>81.902174807808024</v>
          </cell>
          <cell r="U26">
            <v>67.80300025405559</v>
          </cell>
          <cell r="V26">
            <v>72.854474365200986</v>
          </cell>
        </row>
        <row r="27">
          <cell r="N27">
            <v>114.63721324321386</v>
          </cell>
          <cell r="O27">
            <v>124.2453307543414</v>
          </cell>
          <cell r="P27">
            <v>140.44180222803351</v>
          </cell>
          <cell r="Q27">
            <v>155.48151466582641</v>
          </cell>
          <cell r="R27">
            <v>156.81152121897441</v>
          </cell>
          <cell r="S27">
            <v>157.37090699595538</v>
          </cell>
          <cell r="T27">
            <v>163.21960731270931</v>
          </cell>
          <cell r="U27">
            <v>166.6650009639948</v>
          </cell>
          <cell r="V27">
            <v>160.97261227590488</v>
          </cell>
        </row>
        <row r="28">
          <cell r="N28">
            <v>94.91436807890841</v>
          </cell>
          <cell r="O28">
            <v>109.20532501345012</v>
          </cell>
          <cell r="P28">
            <v>124.88836468270657</v>
          </cell>
          <cell r="Q28">
            <v>136.21157679239425</v>
          </cell>
          <cell r="R28">
            <v>137.01974036515585</v>
          </cell>
          <cell r="S28">
            <v>135.39510611897489</v>
          </cell>
          <cell r="T28">
            <v>134.59310191127958</v>
          </cell>
          <cell r="U28">
            <v>136.66895932086564</v>
          </cell>
          <cell r="V28">
            <v>134.07531786731937</v>
          </cell>
        </row>
        <row r="29">
          <cell r="N29">
            <v>47.26817857670941</v>
          </cell>
          <cell r="O29">
            <v>62.020756742563819</v>
          </cell>
          <cell r="P29">
            <v>71.217767385034477</v>
          </cell>
          <cell r="Q29">
            <v>87.173711395262117</v>
          </cell>
          <cell r="R29">
            <v>97.530338413493809</v>
          </cell>
          <cell r="S29">
            <v>102.53178069288715</v>
          </cell>
          <cell r="T29">
            <v>104.12587357127394</v>
          </cell>
          <cell r="U29">
            <v>106.21983062044804</v>
          </cell>
          <cell r="V29">
            <v>105.14430708141397</v>
          </cell>
        </row>
        <row r="30">
          <cell r="N30">
            <v>35.60725160269552</v>
          </cell>
          <cell r="O30">
            <v>53.553247674143265</v>
          </cell>
          <cell r="P30">
            <v>71.789301587123163</v>
          </cell>
          <cell r="Q30">
            <v>90.704673860156802</v>
          </cell>
          <cell r="R30">
            <v>100.62475233129341</v>
          </cell>
          <cell r="S30">
            <v>103.76067336821103</v>
          </cell>
          <cell r="T30">
            <v>100.92744112883709</v>
          </cell>
          <cell r="U30">
            <v>103.05908289545981</v>
          </cell>
          <cell r="V30">
            <v>102.70516066959971</v>
          </cell>
        </row>
        <row r="31">
          <cell r="N31">
            <v>90.868365373232052</v>
          </cell>
          <cell r="O31">
            <v>101.95833528996376</v>
          </cell>
          <cell r="P31">
            <v>120.20844882888609</v>
          </cell>
          <cell r="Q31">
            <v>134.27049688721584</v>
          </cell>
          <cell r="R31">
            <v>136.01061686304229</v>
          </cell>
          <cell r="S31">
            <v>133.86199190088345</v>
          </cell>
          <cell r="T31">
            <v>139.6740955600699</v>
          </cell>
          <cell r="U31">
            <v>140.2580714903647</v>
          </cell>
          <cell r="V31">
            <v>131.53709177658919</v>
          </cell>
        </row>
        <row r="32">
          <cell r="N32">
            <v>68.726573865340498</v>
          </cell>
          <cell r="O32">
            <v>84.202125245958158</v>
          </cell>
          <cell r="P32">
            <v>101.8508822806582</v>
          </cell>
          <cell r="Q32">
            <v>114.06762808752097</v>
          </cell>
          <cell r="R32">
            <v>113.84963765568155</v>
          </cell>
          <cell r="S32">
            <v>108.58718400288743</v>
          </cell>
          <cell r="T32">
            <v>105.71918115426826</v>
          </cell>
          <cell r="U32">
            <v>105.43791294429768</v>
          </cell>
          <cell r="V32">
            <v>103.58512673312646</v>
          </cell>
        </row>
        <row r="33">
          <cell r="N33">
            <v>28.816830728117282</v>
          </cell>
          <cell r="O33">
            <v>44.685010882192913</v>
          </cell>
          <cell r="P33">
            <v>59.565024513604833</v>
          </cell>
          <cell r="Q33">
            <v>76.351848894634287</v>
          </cell>
          <cell r="R33">
            <v>85.935612787204747</v>
          </cell>
          <cell r="S33">
            <v>89.421434959117391</v>
          </cell>
          <cell r="T33">
            <v>87.566538857915802</v>
          </cell>
          <cell r="U33">
            <v>85.767985335776842</v>
          </cell>
          <cell r="V33">
            <v>84.65291318541081</v>
          </cell>
        </row>
        <row r="34">
          <cell r="N34">
            <v>31.220648308660341</v>
          </cell>
          <cell r="O34">
            <v>48.594192423163129</v>
          </cell>
          <cell r="P34">
            <v>63.438990759987099</v>
          </cell>
          <cell r="Q34">
            <v>79.285589482855016</v>
          </cell>
          <cell r="R34">
            <v>86.18773991514125</v>
          </cell>
          <cell r="S34">
            <v>87.591062781497726</v>
          </cell>
          <cell r="T34">
            <v>87.633099738470932</v>
          </cell>
          <cell r="U34">
            <v>89.585107549412101</v>
          </cell>
          <cell r="V34">
            <v>82.044247044114471</v>
          </cell>
        </row>
        <row r="35">
          <cell r="N35">
            <v>106.67120516609748</v>
          </cell>
          <cell r="O35">
            <v>118.56105993910383</v>
          </cell>
          <cell r="P35">
            <v>137.97980655871524</v>
          </cell>
          <cell r="Q35">
            <v>151.98767869635438</v>
          </cell>
          <cell r="R35">
            <v>152.32284844669775</v>
          </cell>
          <cell r="S35">
            <v>151.72416951592211</v>
          </cell>
          <cell r="T35">
            <v>157.40574383493248</v>
          </cell>
          <cell r="U35">
            <v>157.45210464725946</v>
          </cell>
          <cell r="V35">
            <v>147.70153644421467</v>
          </cell>
        </row>
        <row r="36">
          <cell r="N36">
            <v>88.632515854166641</v>
          </cell>
          <cell r="O36">
            <v>105.71164988761268</v>
          </cell>
          <cell r="P36">
            <v>120.99369691441179</v>
          </cell>
          <cell r="Q36">
            <v>131.58375535340483</v>
          </cell>
          <cell r="R36">
            <v>131.02044309946146</v>
          </cell>
          <cell r="S36">
            <v>128.38083821197961</v>
          </cell>
          <cell r="T36">
            <v>124.57045250821719</v>
          </cell>
          <cell r="U36">
            <v>121.48377800765907</v>
          </cell>
          <cell r="V36">
            <v>120.0733874827703</v>
          </cell>
        </row>
        <row r="37">
          <cell r="N37">
            <v>36.60513497316736</v>
          </cell>
          <cell r="O37">
            <v>52.131967089052786</v>
          </cell>
          <cell r="P37">
            <v>64.677619205899632</v>
          </cell>
          <cell r="Q37">
            <v>79.254849425865189</v>
          </cell>
          <cell r="R37">
            <v>89.756349251923467</v>
          </cell>
          <cell r="S37">
            <v>92.428491860546629</v>
          </cell>
          <cell r="T37">
            <v>87.175915899195218</v>
          </cell>
          <cell r="U37">
            <v>86.215546941147153</v>
          </cell>
          <cell r="V37">
            <v>82.172817876504482</v>
          </cell>
        </row>
        <row r="38">
          <cell r="N38">
            <v>44.931025952014458</v>
          </cell>
          <cell r="O38">
            <v>59.146972984489196</v>
          </cell>
          <cell r="P38">
            <v>77.600563182575513</v>
          </cell>
          <cell r="Q38">
            <v>97.433983614975901</v>
          </cell>
          <cell r="R38">
            <v>110.42081089876025</v>
          </cell>
          <cell r="S38">
            <v>109.69972996205118</v>
          </cell>
          <cell r="T38">
            <v>100.24208640179059</v>
          </cell>
          <cell r="U38">
            <v>95.560363422428352</v>
          </cell>
          <cell r="V38">
            <v>90.23012836973416</v>
          </cell>
        </row>
        <row r="39">
          <cell r="N39">
            <v>233.95301774561034</v>
          </cell>
          <cell r="O39">
            <v>250.96602612245368</v>
          </cell>
          <cell r="P39">
            <v>280.35122148691897</v>
          </cell>
          <cell r="Q39">
            <v>303.59059103456582</v>
          </cell>
          <cell r="R39">
            <v>309.10290108163144</v>
          </cell>
          <cell r="S39">
            <v>307.97219871453802</v>
          </cell>
          <cell r="T39">
            <v>313.05412904096517</v>
          </cell>
          <cell r="U39">
            <v>315.05241251172083</v>
          </cell>
          <cell r="V39">
            <v>302.34230250918682</v>
          </cell>
        </row>
        <row r="40">
          <cell r="N40">
            <v>204.21829970176086</v>
          </cell>
          <cell r="O40">
            <v>231.91176064024458</v>
          </cell>
          <cell r="P40">
            <v>257.54020692239266</v>
          </cell>
          <cell r="Q40">
            <v>274.9668862046563</v>
          </cell>
          <cell r="R40">
            <v>275.73406303476474</v>
          </cell>
          <cell r="S40">
            <v>265.81465632233733</v>
          </cell>
          <cell r="T40">
            <v>252.29722481077582</v>
          </cell>
          <cell r="U40">
            <v>246.35114786535473</v>
          </cell>
          <cell r="V40">
            <v>240.36039423507492</v>
          </cell>
        </row>
        <row r="41">
          <cell r="N41">
            <v>127.65961535441646</v>
          </cell>
          <cell r="O41">
            <v>149.98740833364184</v>
          </cell>
          <cell r="P41">
            <v>172.15995882130375</v>
          </cell>
          <cell r="Q41">
            <v>194.99790996393105</v>
          </cell>
          <cell r="R41">
            <v>209.3778796581405</v>
          </cell>
          <cell r="S41">
            <v>210.79948193050021</v>
          </cell>
          <cell r="T41">
            <v>204.58026410935116</v>
          </cell>
          <cell r="U41">
            <v>203.77652846723632</v>
          </cell>
          <cell r="V41">
            <v>202.06278684748489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N43">
            <v>209.96517653642039</v>
          </cell>
          <cell r="O43">
            <v>224.59506885463321</v>
          </cell>
          <cell r="P43">
            <v>249.60975474991395</v>
          </cell>
          <cell r="Q43">
            <v>272.1106438641437</v>
          </cell>
          <cell r="R43">
            <v>278.34399700235736</v>
          </cell>
          <cell r="S43">
            <v>276.13009790872024</v>
          </cell>
          <cell r="T43">
            <v>281.89115736739564</v>
          </cell>
          <cell r="U43">
            <v>282.61809490468232</v>
          </cell>
          <cell r="V43">
            <v>269.38350219387632</v>
          </cell>
        </row>
        <row r="44">
          <cell r="N44">
            <v>186.10363542595545</v>
          </cell>
          <cell r="O44">
            <v>213.28913324358004</v>
          </cell>
          <cell r="P44">
            <v>239.97180547526256</v>
          </cell>
          <cell r="Q44">
            <v>255.19912782073527</v>
          </cell>
          <cell r="R44">
            <v>256.10886887944423</v>
          </cell>
          <cell r="S44">
            <v>250.81119047067193</v>
          </cell>
          <cell r="T44">
            <v>243.72339809988219</v>
          </cell>
          <cell r="U44">
            <v>243.3683405071896</v>
          </cell>
          <cell r="V44">
            <v>242.04314034029915</v>
          </cell>
        </row>
        <row r="45">
          <cell r="N45">
            <v>126.32617431660016</v>
          </cell>
          <cell r="O45">
            <v>148.36678571693568</v>
          </cell>
          <cell r="P45">
            <v>169.15983711894302</v>
          </cell>
          <cell r="Q45">
            <v>194.84190109975572</v>
          </cell>
          <cell r="R45">
            <v>208.93654364756841</v>
          </cell>
          <cell r="S45">
            <v>208.02100275662343</v>
          </cell>
          <cell r="T45">
            <v>202.53327340148138</v>
          </cell>
          <cell r="U45">
            <v>200.10314369459519</v>
          </cell>
          <cell r="V45">
            <v>193.65742019036301</v>
          </cell>
        </row>
        <row r="46">
          <cell r="N46">
            <v>125.07364708837981</v>
          </cell>
          <cell r="O46">
            <v>141.13930538018772</v>
          </cell>
          <cell r="P46">
            <v>161.92754093454721</v>
          </cell>
          <cell r="Q46">
            <v>193.34444686159495</v>
          </cell>
          <cell r="R46">
            <v>216.36962945629128</v>
          </cell>
          <cell r="S46">
            <v>222.33633223250271</v>
          </cell>
          <cell r="T46">
            <v>212.85456212705159</v>
          </cell>
          <cell r="U46">
            <v>214.04032032413082</v>
          </cell>
          <cell r="V46">
            <v>216.14511066516502</v>
          </cell>
        </row>
        <row r="47">
          <cell r="N47">
            <v>256.33899827500113</v>
          </cell>
          <cell r="O47">
            <v>272.51621581949217</v>
          </cell>
          <cell r="P47">
            <v>298.61550818846695</v>
          </cell>
          <cell r="Q47">
            <v>323.73597242697531</v>
          </cell>
          <cell r="R47">
            <v>330.82661267623655</v>
          </cell>
          <cell r="S47">
            <v>325.66171541852469</v>
          </cell>
          <cell r="T47">
            <v>329.23188588470157</v>
          </cell>
          <cell r="U47">
            <v>329.69942994632385</v>
          </cell>
          <cell r="V47">
            <v>319.40660108268821</v>
          </cell>
        </row>
        <row r="48">
          <cell r="N48">
            <v>227.22566649857728</v>
          </cell>
          <cell r="O48">
            <v>252.84973215702991</v>
          </cell>
          <cell r="P48">
            <v>273.77757052483514</v>
          </cell>
          <cell r="Q48">
            <v>288.78976923972056</v>
          </cell>
          <cell r="R48">
            <v>291.04405900842374</v>
          </cell>
          <cell r="S48">
            <v>282.84880144504575</v>
          </cell>
          <cell r="T48">
            <v>274.58288621912521</v>
          </cell>
          <cell r="U48">
            <v>270.0650345192534</v>
          </cell>
          <cell r="V48">
            <v>266.30264644833483</v>
          </cell>
        </row>
        <row r="49">
          <cell r="N49">
            <v>146.42407845263071</v>
          </cell>
          <cell r="O49">
            <v>171.66686900595033</v>
          </cell>
          <cell r="P49">
            <v>190.02380164103008</v>
          </cell>
          <cell r="Q49">
            <v>212.27895952714644</v>
          </cell>
          <cell r="R49">
            <v>229.55538247051939</v>
          </cell>
          <cell r="S49">
            <v>236.35689209449501</v>
          </cell>
          <cell r="T49">
            <v>231.78177059931397</v>
          </cell>
          <cell r="U49">
            <v>223.27765541193565</v>
          </cell>
          <cell r="V49">
            <v>216.42088180738827</v>
          </cell>
        </row>
        <row r="50">
          <cell r="N50">
            <v>136.6550699999481</v>
          </cell>
          <cell r="O50">
            <v>160.17574560312661</v>
          </cell>
          <cell r="P50">
            <v>187.74284967454372</v>
          </cell>
          <cell r="Q50">
            <v>215.65086656019855</v>
          </cell>
          <cell r="R50">
            <v>237.28459087193798</v>
          </cell>
          <cell r="S50">
            <v>245.28016579365067</v>
          </cell>
          <cell r="T50">
            <v>234.75667769660299</v>
          </cell>
          <cell r="U50">
            <v>226.51629876302349</v>
          </cell>
          <cell r="V50">
            <v>225.03392598095436</v>
          </cell>
        </row>
        <row r="51">
          <cell r="N51">
            <v>218.84366947542426</v>
          </cell>
          <cell r="O51">
            <v>236.01869469926496</v>
          </cell>
          <cell r="P51">
            <v>259.53664542204552</v>
          </cell>
          <cell r="Q51">
            <v>283.43597532525206</v>
          </cell>
          <cell r="R51">
            <v>294.57390502926654</v>
          </cell>
          <cell r="S51">
            <v>292.25436005186549</v>
          </cell>
          <cell r="T51">
            <v>295.92730960055417</v>
          </cell>
          <cell r="U51">
            <v>296.12050172849382</v>
          </cell>
          <cell r="V51">
            <v>285.9374817603412</v>
          </cell>
        </row>
        <row r="52">
          <cell r="N52">
            <v>193.35809964775572</v>
          </cell>
          <cell r="O52">
            <v>220.69449717880946</v>
          </cell>
          <cell r="P52">
            <v>239.4470862322338</v>
          </cell>
          <cell r="Q52">
            <v>252.83538868937939</v>
          </cell>
          <cell r="R52">
            <v>256.33633016294482</v>
          </cell>
          <cell r="S52">
            <v>254.11308321572005</v>
          </cell>
          <cell r="T52">
            <v>250.20076995457018</v>
          </cell>
          <cell r="U52">
            <v>242.85001716398389</v>
          </cell>
          <cell r="V52">
            <v>235.36897156797835</v>
          </cell>
        </row>
        <row r="53">
          <cell r="N53">
            <v>135.03384185426461</v>
          </cell>
          <cell r="O53">
            <v>159.98815461822733</v>
          </cell>
          <cell r="P53">
            <v>182.06671565493906</v>
          </cell>
          <cell r="Q53">
            <v>202.09094394493081</v>
          </cell>
          <cell r="R53">
            <v>214.12209512024143</v>
          </cell>
          <cell r="S53">
            <v>219.40914838773966</v>
          </cell>
          <cell r="T53">
            <v>215.35858529195275</v>
          </cell>
          <cell r="U53">
            <v>215.29625365284869</v>
          </cell>
          <cell r="V53">
            <v>212.78946776198839</v>
          </cell>
        </row>
        <row r="54">
          <cell r="N54">
            <v>76.25614693204507</v>
          </cell>
          <cell r="O54">
            <v>100.04234699178356</v>
          </cell>
          <cell r="P54">
            <v>122.11267661895968</v>
          </cell>
          <cell r="Q54">
            <v>142.99066292142805</v>
          </cell>
          <cell r="R54">
            <v>163.33808284168038</v>
          </cell>
          <cell r="S54">
            <v>169.33407808217024</v>
          </cell>
          <cell r="T54">
            <v>166.10124402470871</v>
          </cell>
          <cell r="U54">
            <v>169.47852512743464</v>
          </cell>
          <cell r="V54">
            <v>170.53951597101275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M7">
            <v>171.48134571077858</v>
          </cell>
          <cell r="N7">
            <v>192.56560977450809</v>
          </cell>
          <cell r="O7">
            <v>203.24825199543346</v>
          </cell>
          <cell r="P7">
            <v>223.15104398122133</v>
          </cell>
          <cell r="Q7">
            <v>240.72625129885924</v>
          </cell>
          <cell r="R7">
            <v>249.04236898709462</v>
          </cell>
          <cell r="S7">
            <v>250.69238258948693</v>
          </cell>
          <cell r="T7">
            <v>259.21030808576211</v>
          </cell>
          <cell r="U7">
            <v>261.47296684554101</v>
          </cell>
          <cell r="V7">
            <v>253.42877485565521</v>
          </cell>
        </row>
        <row r="8">
          <cell r="M8">
            <v>137.70604839927518</v>
          </cell>
          <cell r="N8">
            <v>161.73091687784216</v>
          </cell>
          <cell r="O8">
            <v>180.5349774643019</v>
          </cell>
          <cell r="P8">
            <v>194.67574970914839</v>
          </cell>
          <cell r="Q8">
            <v>209.07477949854936</v>
          </cell>
          <cell r="R8">
            <v>209.94076027130365</v>
          </cell>
          <cell r="S8">
            <v>209.50504322327077</v>
          </cell>
          <cell r="T8">
            <v>206.22033062292948</v>
          </cell>
          <cell r="U8">
            <v>205.66432685239749</v>
          </cell>
          <cell r="V8">
            <v>206.74184604363714</v>
          </cell>
        </row>
        <row r="9">
          <cell r="M9">
            <v>100.75685594085688</v>
          </cell>
          <cell r="N9">
            <v>118.01462931576998</v>
          </cell>
          <cell r="O9">
            <v>134.87606107614499</v>
          </cell>
          <cell r="P9">
            <v>148.0945509051671</v>
          </cell>
          <cell r="Q9">
            <v>167.44278520935222</v>
          </cell>
          <cell r="R9">
            <v>179.84929610460989</v>
          </cell>
          <cell r="S9">
            <v>187.71056655632685</v>
          </cell>
          <cell r="T9">
            <v>187.32996640380762</v>
          </cell>
          <cell r="U9">
            <v>185.27740868496389</v>
          </cell>
          <cell r="V9">
            <v>183.42604026624448</v>
          </cell>
        </row>
        <row r="10">
          <cell r="M10">
            <v>66.624522757277475</v>
          </cell>
          <cell r="N10">
            <v>77.223387645477359</v>
          </cell>
          <cell r="O10">
            <v>90.097577638655608</v>
          </cell>
          <cell r="P10">
            <v>106.38671534959705</v>
          </cell>
          <cell r="Q10">
            <v>125.69030383593685</v>
          </cell>
          <cell r="R10">
            <v>141.98324841954141</v>
          </cell>
          <cell r="S10">
            <v>148.80583500800981</v>
          </cell>
          <cell r="T10">
            <v>149.19003296009396</v>
          </cell>
          <cell r="U10">
            <v>144.8687882071398</v>
          </cell>
          <cell r="V10">
            <v>143.34511573571538</v>
          </cell>
        </row>
        <row r="11">
          <cell r="M11">
            <v>236.16338773541591</v>
          </cell>
          <cell r="N11">
            <v>253.60674833049995</v>
          </cell>
          <cell r="O11">
            <v>262.5842948990358</v>
          </cell>
          <cell r="P11">
            <v>285.35591824732404</v>
          </cell>
          <cell r="Q11">
            <v>301.86987051848672</v>
          </cell>
          <cell r="R11">
            <v>301.10248513429298</v>
          </cell>
          <cell r="S11">
            <v>300.60517863608135</v>
          </cell>
          <cell r="T11">
            <v>308.10273158795889</v>
          </cell>
          <cell r="U11">
            <v>310.93088081010075</v>
          </cell>
          <cell r="V11">
            <v>303.2232442400462</v>
          </cell>
        </row>
        <row r="12">
          <cell r="M12">
            <v>209.58660786570698</v>
          </cell>
          <cell r="N12">
            <v>242.92290393925992</v>
          </cell>
          <cell r="O12">
            <v>263.11323241472968</v>
          </cell>
          <cell r="P12">
            <v>280.8446086253457</v>
          </cell>
          <cell r="Q12">
            <v>287.95958394165012</v>
          </cell>
          <cell r="R12">
            <v>283.87202193283258</v>
          </cell>
          <cell r="S12">
            <v>278.7602805069543</v>
          </cell>
          <cell r="T12">
            <v>274.51076524944176</v>
          </cell>
          <cell r="U12">
            <v>275.41555521604982</v>
          </cell>
          <cell r="V12">
            <v>274.46902903221309</v>
          </cell>
        </row>
        <row r="13">
          <cell r="M13">
            <v>148.91533704319329</v>
          </cell>
          <cell r="N13">
            <v>171.89482260799016</v>
          </cell>
          <cell r="O13">
            <v>191.36431930913264</v>
          </cell>
          <cell r="P13">
            <v>209.39772774423932</v>
          </cell>
          <cell r="Q13">
            <v>232.20958024117331</v>
          </cell>
          <cell r="R13">
            <v>245.10202928492785</v>
          </cell>
          <cell r="S13">
            <v>250.63814554326157</v>
          </cell>
          <cell r="T13">
            <v>249.54410086588487</v>
          </cell>
          <cell r="U13">
            <v>246.2417651456409</v>
          </cell>
          <cell r="V13">
            <v>242.90669206277013</v>
          </cell>
        </row>
        <row r="14"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M15">
            <v>162.00956776085047</v>
          </cell>
          <cell r="N15">
            <v>174.08956745636971</v>
          </cell>
          <cell r="O15">
            <v>181.10541598998893</v>
          </cell>
          <cell r="P15">
            <v>198.89742339908366</v>
          </cell>
          <cell r="Q15">
            <v>211.90493233788231</v>
          </cell>
          <cell r="R15">
            <v>211.99959018309346</v>
          </cell>
          <cell r="S15">
            <v>213.94496309359209</v>
          </cell>
          <cell r="T15">
            <v>222.53147327745674</v>
          </cell>
          <cell r="U15">
            <v>223.56787475938322</v>
          </cell>
          <cell r="V15">
            <v>217.1824513078769</v>
          </cell>
        </row>
        <row r="16">
          <cell r="M16">
            <v>141.97477224768514</v>
          </cell>
          <cell r="N16">
            <v>163.29730124095352</v>
          </cell>
          <cell r="O16">
            <v>178.1394091937199</v>
          </cell>
          <cell r="P16">
            <v>192.89076199910826</v>
          </cell>
          <cell r="Q16">
            <v>203.3704029530582</v>
          </cell>
          <cell r="R16">
            <v>201.50736128635586</v>
          </cell>
          <cell r="S16">
            <v>201.40069916075629</v>
          </cell>
          <cell r="T16">
            <v>201.57972671247117</v>
          </cell>
          <cell r="U16">
            <v>199.96487223609324</v>
          </cell>
          <cell r="V16">
            <v>198.32880555162683</v>
          </cell>
        </row>
        <row r="17">
          <cell r="M17">
            <v>88.89196632925065</v>
          </cell>
          <cell r="N17">
            <v>105.92234657573137</v>
          </cell>
          <cell r="O17">
            <v>116.12264844772477</v>
          </cell>
          <cell r="P17">
            <v>128.62577724848924</v>
          </cell>
          <cell r="Q17">
            <v>143.18899911101184</v>
          </cell>
          <cell r="R17">
            <v>154.66388899205879</v>
          </cell>
          <cell r="S17">
            <v>161.99042014960679</v>
          </cell>
          <cell r="T17">
            <v>164.35188337104455</v>
          </cell>
          <cell r="U17">
            <v>166.45171774421925</v>
          </cell>
          <cell r="V17">
            <v>164.32202947489705</v>
          </cell>
        </row>
        <row r="18">
          <cell r="M18">
            <v>119.45541301513626</v>
          </cell>
          <cell r="N18">
            <v>133.50031653307786</v>
          </cell>
          <cell r="O18">
            <v>149.30317635173782</v>
          </cell>
          <cell r="P18">
            <v>163.51038157353813</v>
          </cell>
          <cell r="Q18">
            <v>184.87573570642164</v>
          </cell>
          <cell r="R18">
            <v>193.39174469929662</v>
          </cell>
          <cell r="S18">
            <v>193.94375865820459</v>
          </cell>
          <cell r="T18">
            <v>192.29143654035292</v>
          </cell>
          <cell r="U18">
            <v>189.77144364220325</v>
          </cell>
          <cell r="V18">
            <v>192.05612476832616</v>
          </cell>
        </row>
        <row r="19">
          <cell r="M19">
            <v>179.33856537121784</v>
          </cell>
          <cell r="N19">
            <v>193.8511741212173</v>
          </cell>
          <cell r="O19">
            <v>203.2254891618667</v>
          </cell>
          <cell r="P19">
            <v>224.26923660144038</v>
          </cell>
          <cell r="Q19">
            <v>240.13235302927814</v>
          </cell>
          <cell r="R19">
            <v>241.84440907356199</v>
          </cell>
          <cell r="S19">
            <v>243.21596344328597</v>
          </cell>
          <cell r="T19">
            <v>253.01786781527565</v>
          </cell>
          <cell r="U19">
            <v>256.73493487132038</v>
          </cell>
          <cell r="V19">
            <v>250.70698286084476</v>
          </cell>
        </row>
        <row r="20">
          <cell r="M20">
            <v>150.642280834345</v>
          </cell>
          <cell r="N20">
            <v>174.18474798432632</v>
          </cell>
          <cell r="O20">
            <v>190.36267622978227</v>
          </cell>
          <cell r="P20">
            <v>202.47045651322514</v>
          </cell>
          <cell r="Q20">
            <v>210.4833310952761</v>
          </cell>
          <cell r="R20">
            <v>209.40027146693413</v>
          </cell>
          <cell r="S20">
            <v>212.15397324335771</v>
          </cell>
          <cell r="T20">
            <v>215.85686688562015</v>
          </cell>
          <cell r="U20">
            <v>220.72358335178433</v>
          </cell>
          <cell r="V20">
            <v>225.5327872931847</v>
          </cell>
        </row>
        <row r="21">
          <cell r="M21">
            <v>114.60097959349146</v>
          </cell>
          <cell r="N21">
            <v>133.83798700943288</v>
          </cell>
          <cell r="O21">
            <v>147.9973493372612</v>
          </cell>
          <cell r="P21">
            <v>158.00513844270566</v>
          </cell>
          <cell r="Q21">
            <v>168.95051585703871</v>
          </cell>
          <cell r="R21">
            <v>175.89007013257228</v>
          </cell>
          <cell r="S21">
            <v>183.49917229371985</v>
          </cell>
          <cell r="T21">
            <v>189.58306878072287</v>
          </cell>
          <cell r="U21">
            <v>192.75380169702751</v>
          </cell>
          <cell r="V21">
            <v>192.83459102672455</v>
          </cell>
        </row>
        <row r="22">
          <cell r="M22">
            <v>285.69016515169602</v>
          </cell>
          <cell r="N22">
            <v>308.40472025555408</v>
          </cell>
          <cell r="O22">
            <v>317.40567429970946</v>
          </cell>
          <cell r="P22">
            <v>319.15953625225472</v>
          </cell>
          <cell r="Q22">
            <v>342.95831830925306</v>
          </cell>
          <cell r="R22">
            <v>366.4606956926541</v>
          </cell>
          <cell r="S22">
            <v>368.96285639780297</v>
          </cell>
          <cell r="T22">
            <v>369.59565968640794</v>
          </cell>
          <cell r="U22">
            <v>370.62233055788892</v>
          </cell>
          <cell r="V22">
            <v>376.92780097209101</v>
          </cell>
        </row>
        <row r="23">
          <cell r="M23">
            <v>139.07153093777225</v>
          </cell>
          <cell r="N23">
            <v>148.57157731285312</v>
          </cell>
          <cell r="O23">
            <v>154.76474062780417</v>
          </cell>
          <cell r="P23">
            <v>174.98738831970439</v>
          </cell>
          <cell r="Q23">
            <v>190.45559179917507</v>
          </cell>
          <cell r="R23">
            <v>188.29096218831577</v>
          </cell>
          <cell r="S23">
            <v>187.82118364803412</v>
          </cell>
          <cell r="T23">
            <v>196.62129684722885</v>
          </cell>
          <cell r="U23">
            <v>202.89219179781574</v>
          </cell>
          <cell r="V23">
            <v>196.0078589543449</v>
          </cell>
        </row>
        <row r="24">
          <cell r="M24">
            <v>96.984428070683975</v>
          </cell>
          <cell r="N24">
            <v>124.44286048413323</v>
          </cell>
          <cell r="O24">
            <v>139.80151837152499</v>
          </cell>
          <cell r="P24">
            <v>154.64746804247082</v>
          </cell>
          <cell r="Q24">
            <v>163.08581509074273</v>
          </cell>
          <cell r="R24">
            <v>158.30641277721529</v>
          </cell>
          <cell r="S24">
            <v>154.28892510181191</v>
          </cell>
          <cell r="T24">
            <v>154.33908522262229</v>
          </cell>
          <cell r="U24">
            <v>154.65204151649397</v>
          </cell>
          <cell r="V24">
            <v>154.54285309095778</v>
          </cell>
        </row>
        <row r="25">
          <cell r="M25">
            <v>38.418645306375595</v>
          </cell>
          <cell r="N25">
            <v>60.353105123945106</v>
          </cell>
          <cell r="O25">
            <v>75.714655189195298</v>
          </cell>
          <cell r="P25">
            <v>90.96478671586182</v>
          </cell>
          <cell r="Q25">
            <v>109.02456449547927</v>
          </cell>
          <cell r="R25">
            <v>118.76899118822146</v>
          </cell>
          <cell r="S25">
            <v>120.66183448279676</v>
          </cell>
          <cell r="T25">
            <v>112.15765554272836</v>
          </cell>
          <cell r="U25">
            <v>118.22946063555203</v>
          </cell>
          <cell r="V25">
            <v>117.49922057180564</v>
          </cell>
        </row>
        <row r="26">
          <cell r="M26">
            <v>85.442242786153116</v>
          </cell>
          <cell r="N26">
            <v>104.53801261287974</v>
          </cell>
          <cell r="O26">
            <v>116.41114318910681</v>
          </cell>
          <cell r="P26">
            <v>138.36184972868244</v>
          </cell>
          <cell r="Q26">
            <v>155.07273143559357</v>
          </cell>
          <cell r="R26">
            <v>169.95149687157812</v>
          </cell>
          <cell r="S26">
            <v>167.76450515059022</v>
          </cell>
          <cell r="T26">
            <v>162.58887447045291</v>
          </cell>
          <cell r="U26">
            <v>150.93056650262881</v>
          </cell>
          <cell r="V26">
            <v>151.73913057578926</v>
          </cell>
        </row>
        <row r="27">
          <cell r="M27">
            <v>153.3034503420559</v>
          </cell>
          <cell r="N27">
            <v>169.53147772866859</v>
          </cell>
          <cell r="O27">
            <v>179.72117785230731</v>
          </cell>
          <cell r="P27">
            <v>197.2595447477662</v>
          </cell>
          <cell r="Q27">
            <v>213.26833285677642</v>
          </cell>
          <cell r="R27">
            <v>215.66931089377445</v>
          </cell>
          <cell r="S27">
            <v>217.06200778055415</v>
          </cell>
          <cell r="T27">
            <v>225.15141182792627</v>
          </cell>
          <cell r="U27">
            <v>229.12215424312325</v>
          </cell>
          <cell r="V27">
            <v>222.23525154282032</v>
          </cell>
        </row>
        <row r="28">
          <cell r="M28">
            <v>122.31842517640334</v>
          </cell>
          <cell r="N28">
            <v>144.99424077744033</v>
          </cell>
          <cell r="O28">
            <v>160.39895572609021</v>
          </cell>
          <cell r="P28">
            <v>177.27518811954215</v>
          </cell>
          <cell r="Q28">
            <v>188.25512357473224</v>
          </cell>
          <cell r="R28">
            <v>187.25002207788248</v>
          </cell>
          <cell r="S28">
            <v>185.3908831090132</v>
          </cell>
          <cell r="T28">
            <v>187.20543723969081</v>
          </cell>
          <cell r="U28">
            <v>191.86160838458611</v>
          </cell>
          <cell r="V28">
            <v>189.85429756874501</v>
          </cell>
        </row>
        <row r="29">
          <cell r="M29">
            <v>76.696802202138286</v>
          </cell>
          <cell r="N29">
            <v>92.703203393277377</v>
          </cell>
          <cell r="O29">
            <v>107.23204144252476</v>
          </cell>
          <cell r="P29">
            <v>117.0071147669118</v>
          </cell>
          <cell r="Q29">
            <v>134.98056277972981</v>
          </cell>
          <cell r="R29">
            <v>146.3576848532299</v>
          </cell>
          <cell r="S29">
            <v>154.0175569317243</v>
          </cell>
          <cell r="T29">
            <v>158.35483062220732</v>
          </cell>
          <cell r="U29">
            <v>160.99496214941158</v>
          </cell>
          <cell r="V29">
            <v>158.37355137587554</v>
          </cell>
        </row>
        <row r="30">
          <cell r="M30">
            <v>73.582440619936463</v>
          </cell>
          <cell r="N30">
            <v>91.782567428101345</v>
          </cell>
          <cell r="O30">
            <v>107.02683619663911</v>
          </cell>
          <cell r="P30">
            <v>127.35100630047478</v>
          </cell>
          <cell r="Q30">
            <v>147.25898155682219</v>
          </cell>
          <cell r="R30">
            <v>158.75859433173159</v>
          </cell>
          <cell r="S30">
            <v>160.00264024568943</v>
          </cell>
          <cell r="T30">
            <v>156.55003323611251</v>
          </cell>
          <cell r="U30">
            <v>159.35242291028001</v>
          </cell>
          <cell r="V30">
            <v>157.32855176278548</v>
          </cell>
        </row>
        <row r="31">
          <cell r="M31">
            <v>85.651629494002805</v>
          </cell>
          <cell r="N31">
            <v>104.00667075655656</v>
          </cell>
          <cell r="O31">
            <v>115.75996760199729</v>
          </cell>
          <cell r="P31">
            <v>135.74375799058035</v>
          </cell>
          <cell r="Q31">
            <v>151.11755625483357</v>
          </cell>
          <cell r="R31">
            <v>152.62641938180204</v>
          </cell>
          <cell r="S31">
            <v>151.86163869995679</v>
          </cell>
          <cell r="T31">
            <v>160.48383069258131</v>
          </cell>
          <cell r="U31">
            <v>161.40387428397906</v>
          </cell>
          <cell r="V31">
            <v>151.67121666438987</v>
          </cell>
        </row>
        <row r="32">
          <cell r="M32">
            <v>50.0895412169873</v>
          </cell>
          <cell r="N32">
            <v>75.975055733006386</v>
          </cell>
          <cell r="O32">
            <v>92.347456805306933</v>
          </cell>
          <cell r="P32">
            <v>112.78287993152352</v>
          </cell>
          <cell r="Q32">
            <v>126.43121533907065</v>
          </cell>
          <cell r="R32">
            <v>124.81033258836121</v>
          </cell>
          <cell r="S32">
            <v>120.33869458676678</v>
          </cell>
          <cell r="T32">
            <v>120.08552448760187</v>
          </cell>
          <cell r="U32">
            <v>121.35154921100822</v>
          </cell>
          <cell r="V32">
            <v>120.67564201865721</v>
          </cell>
        </row>
        <row r="33">
          <cell r="M33">
            <v>14.95972028188431</v>
          </cell>
          <cell r="N33">
            <v>35.341359353588338</v>
          </cell>
          <cell r="O33">
            <v>52.107793524967647</v>
          </cell>
          <cell r="P33">
            <v>68.139640654433776</v>
          </cell>
          <cell r="Q33">
            <v>86.995429409940456</v>
          </cell>
          <cell r="R33">
            <v>97.258174447263613</v>
          </cell>
          <cell r="S33">
            <v>102.47219617505834</v>
          </cell>
          <cell r="T33">
            <v>103.06113766993627</v>
          </cell>
          <cell r="U33">
            <v>102.27550194654538</v>
          </cell>
          <cell r="V33">
            <v>102.66515322194097</v>
          </cell>
        </row>
        <row r="34">
          <cell r="M34">
            <v>13.630999763154515</v>
          </cell>
          <cell r="N34">
            <v>35.113774574815956</v>
          </cell>
          <cell r="O34">
            <v>52.30678755756086</v>
          </cell>
          <cell r="P34">
            <v>68.198686381917767</v>
          </cell>
          <cell r="Q34">
            <v>85.196268286117999</v>
          </cell>
          <cell r="R34">
            <v>90.997341139527748</v>
          </cell>
          <cell r="S34">
            <v>94.70182896416398</v>
          </cell>
          <cell r="T34">
            <v>98.504563722197148</v>
          </cell>
          <cell r="U34">
            <v>103.98709628773737</v>
          </cell>
          <cell r="V34">
            <v>94.940041625428321</v>
          </cell>
        </row>
        <row r="35">
          <cell r="M35">
            <v>91.789702047577507</v>
          </cell>
          <cell r="N35">
            <v>107.51975215978851</v>
          </cell>
          <cell r="O35">
            <v>120.12897684651161</v>
          </cell>
          <cell r="P35">
            <v>141.85127973768024</v>
          </cell>
          <cell r="Q35">
            <v>156.14204450772874</v>
          </cell>
          <cell r="R35">
            <v>154.55091982799678</v>
          </cell>
          <cell r="S35">
            <v>156.36198069565856</v>
          </cell>
          <cell r="T35">
            <v>165.24219502560209</v>
          </cell>
          <cell r="U35">
            <v>165.90251756075796</v>
          </cell>
          <cell r="V35">
            <v>154.86312694326656</v>
          </cell>
        </row>
        <row r="36">
          <cell r="M36">
            <v>62.455727138429204</v>
          </cell>
          <cell r="N36">
            <v>87.631656270528495</v>
          </cell>
          <cell r="O36">
            <v>105.78178847408573</v>
          </cell>
          <cell r="P36">
            <v>121.78827677901575</v>
          </cell>
          <cell r="Q36">
            <v>132.32926326452991</v>
          </cell>
          <cell r="R36">
            <v>130.12749704460242</v>
          </cell>
          <cell r="S36">
            <v>129.86171286851265</v>
          </cell>
          <cell r="T36">
            <v>128.48667394715196</v>
          </cell>
          <cell r="U36">
            <v>126.0857307556703</v>
          </cell>
          <cell r="V36">
            <v>126.2277001007288</v>
          </cell>
        </row>
        <row r="37">
          <cell r="M37">
            <v>10.859535484762796</v>
          </cell>
          <cell r="N37">
            <v>29.413213613367002</v>
          </cell>
          <cell r="O37">
            <v>44.797596203216727</v>
          </cell>
          <cell r="P37">
            <v>56.960780857683218</v>
          </cell>
          <cell r="Q37">
            <v>72.485738971936769</v>
          </cell>
          <cell r="R37">
            <v>83.713687389869449</v>
          </cell>
          <cell r="S37">
            <v>87.950231403914373</v>
          </cell>
          <cell r="T37">
            <v>83.665522174871057</v>
          </cell>
          <cell r="U37">
            <v>84.617031267548299</v>
          </cell>
          <cell r="V37">
            <v>81.432133648840463</v>
          </cell>
        </row>
        <row r="38">
          <cell r="M38">
            <v>21.023850649728111</v>
          </cell>
          <cell r="N38">
            <v>37.727406086823059</v>
          </cell>
          <cell r="O38">
            <v>51.322053265027627</v>
          </cell>
          <cell r="P38">
            <v>71.399717474703564</v>
          </cell>
          <cell r="Q38">
            <v>94.100761229590304</v>
          </cell>
          <cell r="R38">
            <v>108.7441626252735</v>
          </cell>
          <cell r="S38">
            <v>110.03177414606927</v>
          </cell>
          <cell r="T38">
            <v>99.569555950302814</v>
          </cell>
          <cell r="U38">
            <v>94.25725244359478</v>
          </cell>
          <cell r="V38">
            <v>88.356573681649792</v>
          </cell>
        </row>
        <row r="39">
          <cell r="M39">
            <v>141.66540504199924</v>
          </cell>
          <cell r="N39">
            <v>159.32971234498777</v>
          </cell>
          <cell r="O39">
            <v>171.70849492059639</v>
          </cell>
          <cell r="P39">
            <v>194.41838072526127</v>
          </cell>
          <cell r="Q39">
            <v>211.52684977392059</v>
          </cell>
          <cell r="R39">
            <v>215.32062923424741</v>
          </cell>
          <cell r="S39">
            <v>216.92097926443756</v>
          </cell>
          <cell r="T39">
            <v>222.53096801746938</v>
          </cell>
          <cell r="U39">
            <v>225.09735772066188</v>
          </cell>
          <cell r="V39">
            <v>215.48850622072482</v>
          </cell>
        </row>
        <row r="40">
          <cell r="M40">
            <v>109.3218228842276</v>
          </cell>
          <cell r="N40">
            <v>134.19082399678669</v>
          </cell>
          <cell r="O40">
            <v>154.83624362738939</v>
          </cell>
          <cell r="P40">
            <v>173.46379425069179</v>
          </cell>
          <cell r="Q40">
            <v>186.61985833714229</v>
          </cell>
          <cell r="R40">
            <v>186.43704133552251</v>
          </cell>
          <cell r="S40">
            <v>180.9440812492094</v>
          </cell>
          <cell r="T40">
            <v>171.74288744525069</v>
          </cell>
          <cell r="U40">
            <v>167.76609933296402</v>
          </cell>
          <cell r="V40">
            <v>164.26114564642469</v>
          </cell>
        </row>
        <row r="41">
          <cell r="M41">
            <v>57.747496792081506</v>
          </cell>
          <cell r="N41">
            <v>79.158951543118661</v>
          </cell>
          <cell r="O41">
            <v>92.599198238300772</v>
          </cell>
          <cell r="P41">
            <v>108.66432283589745</v>
          </cell>
          <cell r="Q41">
            <v>125.81912770994589</v>
          </cell>
          <cell r="R41">
            <v>136.25106515198937</v>
          </cell>
          <cell r="S41">
            <v>138.44985208026745</v>
          </cell>
          <cell r="T41">
            <v>135.43105432670231</v>
          </cell>
          <cell r="U41">
            <v>136.56010132526976</v>
          </cell>
          <cell r="V41">
            <v>136.5843886501776</v>
          </cell>
        </row>
        <row r="42"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M43">
            <v>127.01899822052938</v>
          </cell>
          <cell r="N43">
            <v>145.36663481085512</v>
          </cell>
          <cell r="O43">
            <v>155.63810865002827</v>
          </cell>
          <cell r="P43">
            <v>174.23106638695725</v>
          </cell>
          <cell r="Q43">
            <v>190.97823969916467</v>
          </cell>
          <cell r="R43">
            <v>195.30916279428976</v>
          </cell>
          <cell r="S43">
            <v>195.71480816169787</v>
          </cell>
          <cell r="T43">
            <v>201.96875076857216</v>
          </cell>
          <cell r="U43">
            <v>203.34317989339644</v>
          </cell>
          <cell r="V43">
            <v>192.73497640681018</v>
          </cell>
        </row>
        <row r="44">
          <cell r="M44">
            <v>101.64059921557927</v>
          </cell>
          <cell r="N44">
            <v>126.29833196240483</v>
          </cell>
          <cell r="O44">
            <v>147.32190384800202</v>
          </cell>
          <cell r="P44">
            <v>168.25339645659923</v>
          </cell>
          <cell r="Q44">
            <v>178.96779165431411</v>
          </cell>
          <cell r="R44">
            <v>179.02456371185517</v>
          </cell>
          <cell r="S44">
            <v>177.56048578479752</v>
          </cell>
          <cell r="T44">
            <v>174.13015377155824</v>
          </cell>
          <cell r="U44">
            <v>176.09120716442203</v>
          </cell>
          <cell r="V44">
            <v>176.95735345337908</v>
          </cell>
        </row>
        <row r="45">
          <cell r="M45">
            <v>65.490998109856875</v>
          </cell>
          <cell r="N45">
            <v>84.499671568424034</v>
          </cell>
          <cell r="O45">
            <v>99.273543288764614</v>
          </cell>
          <cell r="P45">
            <v>114.19962893597562</v>
          </cell>
          <cell r="Q45">
            <v>134.33308952873432</v>
          </cell>
          <cell r="R45">
            <v>145.03852071736375</v>
          </cell>
          <cell r="S45">
            <v>144.899661334641</v>
          </cell>
          <cell r="T45">
            <v>142.58953427019105</v>
          </cell>
          <cell r="U45">
            <v>142.15775476550766</v>
          </cell>
          <cell r="V45">
            <v>137.81464445103316</v>
          </cell>
        </row>
        <row r="46">
          <cell r="M46">
            <v>62.661167591550331</v>
          </cell>
          <cell r="N46">
            <v>82.919627762896781</v>
          </cell>
          <cell r="O46">
            <v>92.500115012511031</v>
          </cell>
          <cell r="P46">
            <v>106.63544264542516</v>
          </cell>
          <cell r="Q46">
            <v>131.23061026761368</v>
          </cell>
          <cell r="R46">
            <v>150.04636152481456</v>
          </cell>
          <cell r="S46">
            <v>157.32300261430399</v>
          </cell>
          <cell r="T46">
            <v>151.11322669942498</v>
          </cell>
          <cell r="U46">
            <v>154.43486683573627</v>
          </cell>
          <cell r="V46">
            <v>158.31299857980866</v>
          </cell>
        </row>
        <row r="47">
          <cell r="M47">
            <v>161.00773303116009</v>
          </cell>
          <cell r="N47">
            <v>179.93579138761206</v>
          </cell>
          <cell r="O47">
            <v>191.68845230237906</v>
          </cell>
          <cell r="P47">
            <v>211.21479075209533</v>
          </cell>
          <cell r="Q47">
            <v>230.11118324554872</v>
          </cell>
          <cell r="R47">
            <v>235.24694194358304</v>
          </cell>
          <cell r="S47">
            <v>232.71062392101535</v>
          </cell>
          <cell r="T47">
            <v>236.92761960037834</v>
          </cell>
          <cell r="U47">
            <v>237.81229499266354</v>
          </cell>
          <cell r="V47">
            <v>230.04628347131506</v>
          </cell>
        </row>
        <row r="48">
          <cell r="M48">
            <v>126.904190955479</v>
          </cell>
          <cell r="N48">
            <v>155.49002391684732</v>
          </cell>
          <cell r="O48">
            <v>174.63298328411406</v>
          </cell>
          <cell r="P48">
            <v>189.23324593053482</v>
          </cell>
          <cell r="Q48">
            <v>199.37045128376656</v>
          </cell>
          <cell r="R48">
            <v>200.70283929309397</v>
          </cell>
          <cell r="S48">
            <v>196.20113832225391</v>
          </cell>
          <cell r="T48">
            <v>191.93872151230642</v>
          </cell>
          <cell r="U48">
            <v>189.70350359666654</v>
          </cell>
          <cell r="V48">
            <v>187.9635972734263</v>
          </cell>
        </row>
        <row r="49">
          <cell r="M49">
            <v>71.615254416192045</v>
          </cell>
          <cell r="N49">
            <v>94.841533350658636</v>
          </cell>
          <cell r="O49">
            <v>112.37890714890105</v>
          </cell>
          <cell r="P49">
            <v>124.39020019752351</v>
          </cell>
          <cell r="Q49">
            <v>140.99209384061754</v>
          </cell>
          <cell r="R49">
            <v>154.79449869878164</v>
          </cell>
          <cell r="S49">
            <v>161.8878523721803</v>
          </cell>
          <cell r="T49">
            <v>160.13074978661294</v>
          </cell>
          <cell r="U49">
            <v>153.79359608665411</v>
          </cell>
          <cell r="V49">
            <v>149.14798313321802</v>
          </cell>
        </row>
        <row r="50">
          <cell r="M50">
            <v>64.526282566476524</v>
          </cell>
          <cell r="N50">
            <v>86.587135783288474</v>
          </cell>
          <cell r="O50">
            <v>102.54950966449778</v>
          </cell>
          <cell r="P50">
            <v>122.526479043252</v>
          </cell>
          <cell r="Q50">
            <v>143.27667043019136</v>
          </cell>
          <cell r="R50">
            <v>160.47394327731215</v>
          </cell>
          <cell r="S50">
            <v>169.9057795541045</v>
          </cell>
          <cell r="T50">
            <v>162.81858482572369</v>
          </cell>
          <cell r="U50">
            <v>157.04640761676134</v>
          </cell>
          <cell r="V50">
            <v>156.57695139750609</v>
          </cell>
        </row>
        <row r="51">
          <cell r="M51">
            <v>124.18551763438337</v>
          </cell>
          <cell r="N51">
            <v>147.9924622535907</v>
          </cell>
          <cell r="O51">
            <v>160.06737450372034</v>
          </cell>
          <cell r="P51">
            <v>177.05999963321733</v>
          </cell>
          <cell r="Q51">
            <v>194.73639833038527</v>
          </cell>
          <cell r="R51">
            <v>203.25199788844296</v>
          </cell>
          <cell r="S51">
            <v>202.9695924010461</v>
          </cell>
          <cell r="T51">
            <v>207.13880616609072</v>
          </cell>
          <cell r="U51">
            <v>208.31724668410848</v>
          </cell>
          <cell r="V51">
            <v>201.11146395215147</v>
          </cell>
        </row>
        <row r="52">
          <cell r="M52">
            <v>98.910139398572497</v>
          </cell>
          <cell r="N52">
            <v>126.59042450335176</v>
          </cell>
          <cell r="O52">
            <v>147.07024081742</v>
          </cell>
          <cell r="P52">
            <v>159.83757703465864</v>
          </cell>
          <cell r="Q52">
            <v>168.55004504881114</v>
          </cell>
          <cell r="R52">
            <v>170.9819397702058</v>
          </cell>
          <cell r="S52">
            <v>172.34489600876626</v>
          </cell>
          <cell r="T52">
            <v>172.1451005292966</v>
          </cell>
          <cell r="U52">
            <v>166.86602222244457</v>
          </cell>
          <cell r="V52">
            <v>161.5192913455659</v>
          </cell>
        </row>
        <row r="53">
          <cell r="M53">
            <v>64.191974682450919</v>
          </cell>
          <cell r="N53">
            <v>87.342891476394627</v>
          </cell>
          <cell r="O53">
            <v>104.1783546156971</v>
          </cell>
          <cell r="P53">
            <v>120.30634923619905</v>
          </cell>
          <cell r="Q53">
            <v>134.70993507686504</v>
          </cell>
          <cell r="R53">
            <v>143.17965180124637</v>
          </cell>
          <cell r="S53">
            <v>148.71785879056208</v>
          </cell>
          <cell r="T53">
            <v>147.60464907918347</v>
          </cell>
          <cell r="U53">
            <v>149.24681372901409</v>
          </cell>
          <cell r="V53">
            <v>149.07163660685779</v>
          </cell>
        </row>
        <row r="54">
          <cell r="M54">
            <v>21.875170171470945</v>
          </cell>
          <cell r="N54">
            <v>34.726379546605116</v>
          </cell>
          <cell r="O54">
            <v>51.670351623874616</v>
          </cell>
          <cell r="P54">
            <v>66.854999713908327</v>
          </cell>
          <cell r="Q54">
            <v>81.387827574779735</v>
          </cell>
          <cell r="R54">
            <v>97.426469579937461</v>
          </cell>
          <cell r="S54">
            <v>103.11094062420391</v>
          </cell>
          <cell r="T54">
            <v>102.30121793762426</v>
          </cell>
          <cell r="U54">
            <v>106.69029819956602</v>
          </cell>
          <cell r="V54">
            <v>109.3160995081643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M7">
            <v>168.42518241703581</v>
          </cell>
          <cell r="N7">
            <v>200.1221797441911</v>
          </cell>
          <cell r="O7">
            <v>220.3843486763746</v>
          </cell>
          <cell r="P7">
            <v>247.89657718163406</v>
          </cell>
          <cell r="Q7">
            <v>271.81776851115336</v>
          </cell>
          <cell r="R7">
            <v>280.43408387345693</v>
          </cell>
          <cell r="S7">
            <v>276.7222277572622</v>
          </cell>
          <cell r="T7">
            <v>281.34108951487576</v>
          </cell>
          <cell r="U7">
            <v>281.23573177768554</v>
          </cell>
          <cell r="V7">
            <v>269.80843148784703</v>
          </cell>
        </row>
        <row r="8">
          <cell r="M8">
            <v>129.90507747304852</v>
          </cell>
          <cell r="N8">
            <v>166.34295260992675</v>
          </cell>
          <cell r="O8">
            <v>193.70645339256814</v>
          </cell>
          <cell r="P8">
            <v>216.50622506729462</v>
          </cell>
          <cell r="Q8">
            <v>236.29321214183418</v>
          </cell>
          <cell r="R8">
            <v>240.08626935406349</v>
          </cell>
          <cell r="S8">
            <v>232.57976583254563</v>
          </cell>
          <cell r="T8">
            <v>222.54670158345087</v>
          </cell>
          <cell r="U8">
            <v>217.52964832820794</v>
          </cell>
          <cell r="V8">
            <v>213.05560134616141</v>
          </cell>
        </row>
        <row r="9">
          <cell r="M9">
            <v>72.772191181938354</v>
          </cell>
          <cell r="N9">
            <v>100.71688073936606</v>
          </cell>
          <cell r="O9">
            <v>126.65648569996313</v>
          </cell>
          <cell r="P9">
            <v>147.14012624408304</v>
          </cell>
          <cell r="Q9">
            <v>171.57721313907174</v>
          </cell>
          <cell r="R9">
            <v>187.74856566904145</v>
          </cell>
          <cell r="S9">
            <v>192.49745995780677</v>
          </cell>
          <cell r="T9">
            <v>186.45287395387999</v>
          </cell>
          <cell r="U9">
            <v>180.32263788672353</v>
          </cell>
          <cell r="V9">
            <v>174.80622826534287</v>
          </cell>
        </row>
        <row r="10">
          <cell r="M10">
            <v>40.732414928483124</v>
          </cell>
          <cell r="N10">
            <v>60.730564160856403</v>
          </cell>
          <cell r="O10">
            <v>81.861466896178072</v>
          </cell>
          <cell r="P10">
            <v>105.22909831144381</v>
          </cell>
          <cell r="Q10">
            <v>130.77389465709797</v>
          </cell>
          <cell r="R10">
            <v>149.63592537117452</v>
          </cell>
          <cell r="S10">
            <v>153.867893744638</v>
          </cell>
          <cell r="T10">
            <v>149.04231284060643</v>
          </cell>
          <cell r="U10">
            <v>142.6605165640978</v>
          </cell>
          <cell r="V10">
            <v>138.70380049035069</v>
          </cell>
        </row>
        <row r="11">
          <cell r="M11">
            <v>208.50530847652246</v>
          </cell>
          <cell r="N11">
            <v>234.91400253246022</v>
          </cell>
          <cell r="O11">
            <v>251.43784190911541</v>
          </cell>
          <cell r="P11">
            <v>278.97547776919981</v>
          </cell>
          <cell r="Q11">
            <v>301.47802031830651</v>
          </cell>
          <cell r="R11">
            <v>302.7091871196908</v>
          </cell>
          <cell r="S11">
            <v>296.86195182122106</v>
          </cell>
          <cell r="T11">
            <v>301.83680837957348</v>
          </cell>
          <cell r="U11">
            <v>302.85500842197263</v>
          </cell>
          <cell r="V11">
            <v>292.1429972353871</v>
          </cell>
        </row>
        <row r="12">
          <cell r="M12">
            <v>167.64658933477804</v>
          </cell>
          <cell r="N12">
            <v>210.89586302623192</v>
          </cell>
          <cell r="O12">
            <v>237.82176291910216</v>
          </cell>
          <cell r="P12">
            <v>261.99497900876503</v>
          </cell>
          <cell r="Q12">
            <v>275.62566752559167</v>
          </cell>
          <cell r="R12">
            <v>275.64001499811235</v>
          </cell>
          <cell r="S12">
            <v>262.8652374914239</v>
          </cell>
          <cell r="T12">
            <v>249.34097875207553</v>
          </cell>
          <cell r="U12">
            <v>244.77265178248115</v>
          </cell>
          <cell r="V12">
            <v>240.03747960940191</v>
          </cell>
        </row>
        <row r="13">
          <cell r="M13">
            <v>90.89538364110274</v>
          </cell>
          <cell r="N13">
            <v>121.64277959273043</v>
          </cell>
          <cell r="O13">
            <v>148.72723424419183</v>
          </cell>
          <cell r="P13">
            <v>171.66876537966465</v>
          </cell>
          <cell r="Q13">
            <v>197.88483761897115</v>
          </cell>
          <cell r="R13">
            <v>214.55321780534194</v>
          </cell>
          <cell r="S13">
            <v>218.01350775640509</v>
          </cell>
          <cell r="T13">
            <v>211.79282722362004</v>
          </cell>
          <cell r="U13">
            <v>205.4451456513865</v>
          </cell>
          <cell r="V13">
            <v>198.96290515567415</v>
          </cell>
        </row>
        <row r="14"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M15">
            <v>172.03648710999806</v>
          </cell>
          <cell r="N15">
            <v>196.57649582841154</v>
          </cell>
          <cell r="O15">
            <v>212.15321738953966</v>
          </cell>
          <cell r="P15">
            <v>237.43487549073149</v>
          </cell>
          <cell r="Q15">
            <v>258.11574166894155</v>
          </cell>
          <cell r="R15">
            <v>260.85318463272142</v>
          </cell>
          <cell r="S15">
            <v>255.87837572060403</v>
          </cell>
          <cell r="T15">
            <v>260.30656320144283</v>
          </cell>
          <cell r="U15">
            <v>259.47401075802372</v>
          </cell>
          <cell r="V15">
            <v>249.96625816159445</v>
          </cell>
        </row>
        <row r="16">
          <cell r="M16">
            <v>141.34771389478439</v>
          </cell>
          <cell r="N16">
            <v>176.88813646036553</v>
          </cell>
          <cell r="O16">
            <v>200.40375708160656</v>
          </cell>
          <cell r="P16">
            <v>222.41821159915796</v>
          </cell>
          <cell r="Q16">
            <v>239.45277096900341</v>
          </cell>
          <cell r="R16">
            <v>239.96715376651093</v>
          </cell>
          <cell r="S16">
            <v>231.32912958837585</v>
          </cell>
          <cell r="T16">
            <v>222.71140866213912</v>
          </cell>
          <cell r="U16">
            <v>216.78257918619593</v>
          </cell>
          <cell r="V16">
            <v>211.20303830341243</v>
          </cell>
        </row>
        <row r="17">
          <cell r="M17">
            <v>71.190860287825842</v>
          </cell>
          <cell r="N17">
            <v>101.04220327631018</v>
          </cell>
          <cell r="O17">
            <v>123.36809740907643</v>
          </cell>
          <cell r="P17">
            <v>143.81252510177404</v>
          </cell>
          <cell r="Q17">
            <v>165.76259168847392</v>
          </cell>
          <cell r="R17">
            <v>180.12192216591811</v>
          </cell>
          <cell r="S17">
            <v>182.53521588129135</v>
          </cell>
          <cell r="T17">
            <v>177.36551004482047</v>
          </cell>
          <cell r="U17">
            <v>173.86369639993654</v>
          </cell>
          <cell r="V17">
            <v>168.51426300918698</v>
          </cell>
        </row>
        <row r="18">
          <cell r="M18">
            <v>88.873491834868418</v>
          </cell>
          <cell r="N18">
            <v>117.36290292995329</v>
          </cell>
          <cell r="O18">
            <v>143.14911083690018</v>
          </cell>
          <cell r="P18">
            <v>167.71073307867505</v>
          </cell>
          <cell r="Q18">
            <v>196.46897614330723</v>
          </cell>
          <cell r="R18">
            <v>210.52206044515393</v>
          </cell>
          <cell r="S18">
            <v>206.70276802476616</v>
          </cell>
          <cell r="T18">
            <v>197.85652384380987</v>
          </cell>
          <cell r="U18">
            <v>192.5671366207456</v>
          </cell>
          <cell r="V18">
            <v>190.27141594606616</v>
          </cell>
        </row>
        <row r="19">
          <cell r="M19">
            <v>188.81025481245601</v>
          </cell>
          <cell r="N19">
            <v>215.31079889795549</v>
          </cell>
          <cell r="O19">
            <v>233.13262296483259</v>
          </cell>
          <cell r="P19">
            <v>259.8577297117655</v>
          </cell>
          <cell r="Q19">
            <v>282.88927649675173</v>
          </cell>
          <cell r="R19">
            <v>287.63097620402885</v>
          </cell>
          <cell r="S19">
            <v>282.1513137414081</v>
          </cell>
          <cell r="T19">
            <v>286.49249919709854</v>
          </cell>
          <cell r="U19">
            <v>286.58310446877039</v>
          </cell>
          <cell r="V19">
            <v>275.57601419292041</v>
          </cell>
        </row>
        <row r="20">
          <cell r="M20">
            <v>140.10881053598854</v>
          </cell>
          <cell r="N20">
            <v>176.85794065892097</v>
          </cell>
          <cell r="O20">
            <v>201.88112984668257</v>
          </cell>
          <cell r="P20">
            <v>223.291185917213</v>
          </cell>
          <cell r="Q20">
            <v>239.93230054559305</v>
          </cell>
          <cell r="R20">
            <v>244.12508584653114</v>
          </cell>
          <cell r="S20">
            <v>238.7271068980746</v>
          </cell>
          <cell r="T20">
            <v>231.74840454500202</v>
          </cell>
          <cell r="U20">
            <v>230.4565900422154</v>
          </cell>
          <cell r="V20">
            <v>228.36855930599253</v>
          </cell>
        </row>
        <row r="21">
          <cell r="M21">
            <v>89.86405110517596</v>
          </cell>
          <cell r="N21">
            <v>121.39244031815062</v>
          </cell>
          <cell r="O21">
            <v>147.38752931942966</v>
          </cell>
          <cell r="P21">
            <v>166.55215531634531</v>
          </cell>
          <cell r="Q21">
            <v>185.39948121113849</v>
          </cell>
          <cell r="R21">
            <v>199.56633876643596</v>
          </cell>
          <cell r="S21">
            <v>203.30910537760056</v>
          </cell>
          <cell r="T21">
            <v>201.2151605524557</v>
          </cell>
          <cell r="U21">
            <v>197.71278110853086</v>
          </cell>
          <cell r="V21">
            <v>192.80111536937505</v>
          </cell>
        </row>
        <row r="22">
          <cell r="M22">
            <v>93.712848456600469</v>
          </cell>
          <cell r="N22">
            <v>121.07920205756372</v>
          </cell>
          <cell r="O22">
            <v>136.42451181097411</v>
          </cell>
          <cell r="P22">
            <v>145.15379044073316</v>
          </cell>
          <cell r="Q22">
            <v>168.49638971527472</v>
          </cell>
          <cell r="R22">
            <v>189.76509131805656</v>
          </cell>
          <cell r="S22">
            <v>188.04627125701151</v>
          </cell>
          <cell r="T22">
            <v>181.34156453420673</v>
          </cell>
          <cell r="U22">
            <v>177.5830210634708</v>
          </cell>
          <cell r="V22">
            <v>179.48614867313583</v>
          </cell>
        </row>
        <row r="23">
          <cell r="M23">
            <v>175.26663979013034</v>
          </cell>
          <cell r="N23">
            <v>198.50193974340456</v>
          </cell>
          <cell r="O23">
            <v>215.3462000505761</v>
          </cell>
          <cell r="P23">
            <v>241.643580589946</v>
          </cell>
          <cell r="Q23">
            <v>262.84318919616794</v>
          </cell>
          <cell r="R23">
            <v>263.09032426144256</v>
          </cell>
          <cell r="S23">
            <v>256.35947762294933</v>
          </cell>
          <cell r="T23">
            <v>260.06491936475442</v>
          </cell>
          <cell r="U23">
            <v>261.56473350652533</v>
          </cell>
          <cell r="V23">
            <v>251.56883927652632</v>
          </cell>
        </row>
        <row r="24">
          <cell r="M24">
            <v>130.78785500395912</v>
          </cell>
          <cell r="N24">
            <v>168.43044137022625</v>
          </cell>
          <cell r="O24">
            <v>193.78911365455019</v>
          </cell>
          <cell r="P24">
            <v>216.01863136542769</v>
          </cell>
          <cell r="Q24">
            <v>230.17049822403166</v>
          </cell>
          <cell r="R24">
            <v>229.00231378956579</v>
          </cell>
          <cell r="S24">
            <v>219.23751571097748</v>
          </cell>
          <cell r="T24">
            <v>208.63314332508386</v>
          </cell>
          <cell r="U24">
            <v>204.82581010968642</v>
          </cell>
          <cell r="V24">
            <v>201.04571267338284</v>
          </cell>
        </row>
        <row r="25">
          <cell r="M25">
            <v>59.975758461432847</v>
          </cell>
          <cell r="N25">
            <v>90.631858270980885</v>
          </cell>
          <cell r="O25">
            <v>117.51617491223651</v>
          </cell>
          <cell r="P25">
            <v>138.84068812356608</v>
          </cell>
          <cell r="Q25">
            <v>161.24662197538825</v>
          </cell>
          <cell r="R25">
            <v>172.52695149752503</v>
          </cell>
          <cell r="S25">
            <v>173.19587485832318</v>
          </cell>
          <cell r="T25">
            <v>163.86855855391852</v>
          </cell>
          <cell r="U25">
            <v>162.26273749500515</v>
          </cell>
          <cell r="V25">
            <v>158.03726092106328</v>
          </cell>
        </row>
        <row r="26">
          <cell r="M26">
            <v>89.908326369069243</v>
          </cell>
          <cell r="N26">
            <v>119.63612267014408</v>
          </cell>
          <cell r="O26">
            <v>142.85627112068164</v>
          </cell>
          <cell r="P26">
            <v>170.95056390029598</v>
          </cell>
          <cell r="Q26">
            <v>193.68095670105254</v>
          </cell>
          <cell r="R26">
            <v>212.92533653961394</v>
          </cell>
          <cell r="S26">
            <v>206.39296624888013</v>
          </cell>
          <cell r="T26">
            <v>194.9455116016278</v>
          </cell>
          <cell r="U26">
            <v>182.15065120687797</v>
          </cell>
          <cell r="V26">
            <v>179.71560698521768</v>
          </cell>
        </row>
        <row r="27">
          <cell r="M27">
            <v>185.74899612391451</v>
          </cell>
          <cell r="N27">
            <v>214.86361515916576</v>
          </cell>
          <cell r="O27">
            <v>234.32246856889492</v>
          </cell>
          <cell r="P27">
            <v>260.30691459242615</v>
          </cell>
          <cell r="Q27">
            <v>284.21354999714646</v>
          </cell>
          <cell r="R27">
            <v>289.87402396589255</v>
          </cell>
          <cell r="S27">
            <v>284.35621473635814</v>
          </cell>
          <cell r="T27">
            <v>288.31970848703696</v>
          </cell>
          <cell r="U27">
            <v>289.1199686946706</v>
          </cell>
          <cell r="V27">
            <v>278.56574992691594</v>
          </cell>
        </row>
        <row r="28">
          <cell r="M28">
            <v>149.35079243347062</v>
          </cell>
          <cell r="N28">
            <v>186.39239301430015</v>
          </cell>
          <cell r="O28">
            <v>211.28640730314044</v>
          </cell>
          <cell r="P28">
            <v>236.08291952778953</v>
          </cell>
          <cell r="Q28">
            <v>252.76452154437874</v>
          </cell>
          <cell r="R28">
            <v>254.61257010635944</v>
          </cell>
          <cell r="S28">
            <v>244.44772232697599</v>
          </cell>
          <cell r="T28">
            <v>236.80650503171555</v>
          </cell>
          <cell r="U28">
            <v>234.90218031039561</v>
          </cell>
          <cell r="V28">
            <v>228.55030586948016</v>
          </cell>
        </row>
        <row r="29">
          <cell r="M29">
            <v>85.964165078250204</v>
          </cell>
          <cell r="N29">
            <v>114.38310739173895</v>
          </cell>
          <cell r="O29">
            <v>139.03094549578435</v>
          </cell>
          <cell r="P29">
            <v>157.46967514637544</v>
          </cell>
          <cell r="Q29">
            <v>180.767451225321</v>
          </cell>
          <cell r="R29">
            <v>195.18957348474353</v>
          </cell>
          <cell r="S29">
            <v>197.51551378398509</v>
          </cell>
          <cell r="T29">
            <v>192.739574301066</v>
          </cell>
          <cell r="U29">
            <v>190.13131814776619</v>
          </cell>
          <cell r="V29">
            <v>184.35556411338675</v>
          </cell>
        </row>
        <row r="30">
          <cell r="M30">
            <v>81.695413811350448</v>
          </cell>
          <cell r="N30">
            <v>111.23427492322882</v>
          </cell>
          <cell r="O30">
            <v>137.33460254611052</v>
          </cell>
          <cell r="P30">
            <v>165.30736764752436</v>
          </cell>
          <cell r="Q30">
            <v>193.73950796811397</v>
          </cell>
          <cell r="R30">
            <v>209.46477262269943</v>
          </cell>
          <cell r="S30">
            <v>206.40055391180724</v>
          </cell>
          <cell r="T30">
            <v>195.88048558300392</v>
          </cell>
          <cell r="U30">
            <v>191.81972204352968</v>
          </cell>
          <cell r="V30">
            <v>187.41968157602955</v>
          </cell>
        </row>
        <row r="31">
          <cell r="M31">
            <v>148.06579729807135</v>
          </cell>
          <cell r="N31">
            <v>177.81024595828603</v>
          </cell>
          <cell r="O31">
            <v>198.58508837929566</v>
          </cell>
          <cell r="P31">
            <v>226.46639057680727</v>
          </cell>
          <cell r="Q31">
            <v>249.19639029612486</v>
          </cell>
          <cell r="R31">
            <v>252.3485282221896</v>
          </cell>
          <cell r="S31">
            <v>245.88139753875831</v>
          </cell>
          <cell r="T31">
            <v>250.97149247228847</v>
          </cell>
          <cell r="U31">
            <v>250.11868442320605</v>
          </cell>
          <cell r="V31">
            <v>237.50580882311903</v>
          </cell>
        </row>
        <row r="32">
          <cell r="M32">
            <v>107.24155616314397</v>
          </cell>
          <cell r="N32">
            <v>146.27387004516595</v>
          </cell>
          <cell r="O32">
            <v>171.99498723929477</v>
          </cell>
          <cell r="P32">
            <v>198.18119720080185</v>
          </cell>
          <cell r="Q32">
            <v>217.08961748045073</v>
          </cell>
          <cell r="R32">
            <v>216.91382074056133</v>
          </cell>
          <cell r="S32">
            <v>205.48276830971494</v>
          </cell>
          <cell r="T32">
            <v>196.26300742509079</v>
          </cell>
          <cell r="U32">
            <v>192.39165553716319</v>
          </cell>
          <cell r="V32">
            <v>187.39960464374758</v>
          </cell>
        </row>
        <row r="33">
          <cell r="M33">
            <v>48.696965530375493</v>
          </cell>
          <cell r="N33">
            <v>79.793947864131752</v>
          </cell>
          <cell r="O33">
            <v>106.81596808037747</v>
          </cell>
          <cell r="P33">
            <v>130.0747576275171</v>
          </cell>
          <cell r="Q33">
            <v>154.33332599144083</v>
          </cell>
          <cell r="R33">
            <v>167.83945533836373</v>
          </cell>
          <cell r="S33">
            <v>169.19845698830943</v>
          </cell>
          <cell r="T33">
            <v>163.28866813903647</v>
          </cell>
          <cell r="U33">
            <v>158.0801008421266</v>
          </cell>
          <cell r="V33">
            <v>153.73173271650671</v>
          </cell>
        </row>
        <row r="34">
          <cell r="M34">
            <v>52.316209277248127</v>
          </cell>
          <cell r="N34">
            <v>85.89058142403961</v>
          </cell>
          <cell r="O34">
            <v>113.03428416874962</v>
          </cell>
          <cell r="P34">
            <v>138.77259569794165</v>
          </cell>
          <cell r="Q34">
            <v>163.55125249601667</v>
          </cell>
          <cell r="R34">
            <v>174.96846965136879</v>
          </cell>
          <cell r="S34">
            <v>173.0311677796349</v>
          </cell>
          <cell r="T34">
            <v>167.07417937879433</v>
          </cell>
          <cell r="U34">
            <v>165.83597880196504</v>
          </cell>
          <cell r="V34">
            <v>155.29535707852952</v>
          </cell>
        </row>
        <row r="35">
          <cell r="M35">
            <v>153.47962457545177</v>
          </cell>
          <cell r="N35">
            <v>180.85963477852792</v>
          </cell>
          <cell r="O35">
            <v>201.40451860198797</v>
          </cell>
          <cell r="P35">
            <v>229.27395688697936</v>
          </cell>
          <cell r="Q35">
            <v>251.11122696804637</v>
          </cell>
          <cell r="R35">
            <v>252.960472641682</v>
          </cell>
          <cell r="S35">
            <v>247.93917291574286</v>
          </cell>
          <cell r="T35">
            <v>252.86584721893024</v>
          </cell>
          <cell r="U35">
            <v>252.31683752012123</v>
          </cell>
          <cell r="V35">
            <v>239.4414609439653</v>
          </cell>
        </row>
        <row r="36">
          <cell r="M36">
            <v>117.28773503842825</v>
          </cell>
          <cell r="N36">
            <v>154.83567215882616</v>
          </cell>
          <cell r="O36">
            <v>181.01565833088364</v>
          </cell>
          <cell r="P36">
            <v>204.55293416594168</v>
          </cell>
          <cell r="Q36">
            <v>221.32586805928673</v>
          </cell>
          <cell r="R36">
            <v>220.85743409967765</v>
          </cell>
          <cell r="S36">
            <v>210.88510688867589</v>
          </cell>
          <cell r="T36">
            <v>200.58586099185689</v>
          </cell>
          <cell r="U36">
            <v>194.63791941989086</v>
          </cell>
          <cell r="V36">
            <v>189.80988473475571</v>
          </cell>
        </row>
        <row r="37">
          <cell r="M37">
            <v>47.984154031343593</v>
          </cell>
          <cell r="N37">
            <v>78.526135152236932</v>
          </cell>
          <cell r="O37">
            <v>104.4945363061248</v>
          </cell>
          <cell r="P37">
            <v>124.78664494123962</v>
          </cell>
          <cell r="Q37">
            <v>146.79079000468832</v>
          </cell>
          <cell r="R37">
            <v>159.99453847682975</v>
          </cell>
          <cell r="S37">
            <v>161.89563516572699</v>
          </cell>
          <cell r="T37">
            <v>152.25119147680178</v>
          </cell>
          <cell r="U37">
            <v>147.80567863375347</v>
          </cell>
          <cell r="V37">
            <v>140.70897442387201</v>
          </cell>
        </row>
        <row r="38">
          <cell r="M38">
            <v>65.397828537471909</v>
          </cell>
          <cell r="N38">
            <v>95.732083985232379</v>
          </cell>
          <cell r="O38">
            <v>119.2662032572203</v>
          </cell>
          <cell r="P38">
            <v>146.48033309307075</v>
          </cell>
          <cell r="Q38">
            <v>173.35596620799382</v>
          </cell>
          <cell r="R38">
            <v>191.33329567442078</v>
          </cell>
          <cell r="S38">
            <v>183.20712904333709</v>
          </cell>
          <cell r="T38">
            <v>169.8534974273783</v>
          </cell>
          <cell r="U38">
            <v>163.0458271906931</v>
          </cell>
          <cell r="V38">
            <v>155.51422601487795</v>
          </cell>
        </row>
        <row r="39">
          <cell r="M39">
            <v>166.89695325185426</v>
          </cell>
          <cell r="N39">
            <v>195.20485601462659</v>
          </cell>
          <cell r="O39">
            <v>215.69865711836471</v>
          </cell>
          <cell r="P39">
            <v>244.59288849352623</v>
          </cell>
          <cell r="Q39">
            <v>268.77120868611576</v>
          </cell>
          <cell r="R39">
            <v>272.99144417420536</v>
          </cell>
          <cell r="S39">
            <v>267.68851350883642</v>
          </cell>
          <cell r="T39">
            <v>271.19368025750993</v>
          </cell>
          <cell r="U39">
            <v>271.76370194596325</v>
          </cell>
          <cell r="V39">
            <v>259.85344750639297</v>
          </cell>
        </row>
        <row r="40">
          <cell r="M40">
            <v>130.55066013446577</v>
          </cell>
          <cell r="N40">
            <v>170.51471996544126</v>
          </cell>
          <cell r="O40">
            <v>198.26477465280811</v>
          </cell>
          <cell r="P40">
            <v>223.94654201258894</v>
          </cell>
          <cell r="Q40">
            <v>241.98858697773312</v>
          </cell>
          <cell r="R40">
            <v>242.81442725779368</v>
          </cell>
          <cell r="S40">
            <v>228.51595293403</v>
          </cell>
          <cell r="T40">
            <v>213.06392156995196</v>
          </cell>
          <cell r="U40">
            <v>205.89243063842562</v>
          </cell>
          <cell r="V40">
            <v>198.14561737479988</v>
          </cell>
        </row>
        <row r="41">
          <cell r="M41">
            <v>55.984635850221196</v>
          </cell>
          <cell r="N41">
            <v>87.132742594155005</v>
          </cell>
          <cell r="O41">
            <v>113.09039356626627</v>
          </cell>
          <cell r="P41">
            <v>136.98546880321464</v>
          </cell>
          <cell r="Q41">
            <v>159.8178721931512</v>
          </cell>
          <cell r="R41">
            <v>173.3218157690425</v>
          </cell>
          <cell r="S41">
            <v>172.05408048227957</v>
          </cell>
          <cell r="T41">
            <v>163.78288466757132</v>
          </cell>
          <cell r="U41">
            <v>161.03803271424562</v>
          </cell>
          <cell r="V41">
            <v>156.72416641856034</v>
          </cell>
        </row>
        <row r="42"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M43">
            <v>154.28553086193534</v>
          </cell>
          <cell r="N43">
            <v>182.99818243543183</v>
          </cell>
          <cell r="O43">
            <v>202.26380058325384</v>
          </cell>
          <cell r="P43">
            <v>228.50420218131796</v>
          </cell>
          <cell r="Q43">
            <v>252.24636278274579</v>
          </cell>
          <cell r="R43">
            <v>257.30463003128187</v>
          </cell>
          <cell r="S43">
            <v>251.64442407260779</v>
          </cell>
          <cell r="T43">
            <v>255.46516970316367</v>
          </cell>
          <cell r="U43">
            <v>255.29458427022968</v>
          </cell>
          <cell r="V43">
            <v>243.45071890338184</v>
          </cell>
        </row>
        <row r="44">
          <cell r="M44">
            <v>121.58527654283942</v>
          </cell>
          <cell r="N44">
            <v>159.92648774166096</v>
          </cell>
          <cell r="O44">
            <v>186.71890670711983</v>
          </cell>
          <cell r="P44">
            <v>212.65628420622963</v>
          </cell>
          <cell r="Q44">
            <v>230.34641407950863</v>
          </cell>
          <cell r="R44">
            <v>231.82149386952429</v>
          </cell>
          <cell r="S44">
            <v>221.44583532329028</v>
          </cell>
          <cell r="T44">
            <v>210.92888186710147</v>
          </cell>
          <cell r="U44">
            <v>207.33571252234407</v>
          </cell>
          <cell r="V44">
            <v>203.16612498208187</v>
          </cell>
        </row>
        <row r="45">
          <cell r="M45">
            <v>61.153674639401778</v>
          </cell>
          <cell r="N45">
            <v>91.986607494450936</v>
          </cell>
          <cell r="O45">
            <v>116.92615967241251</v>
          </cell>
          <cell r="P45">
            <v>139.93189410957612</v>
          </cell>
          <cell r="Q45">
            <v>164.76868527015614</v>
          </cell>
          <cell r="R45">
            <v>177.95507264541175</v>
          </cell>
          <cell r="S45">
            <v>175.34029491369341</v>
          </cell>
          <cell r="T45">
            <v>166.71162726496061</v>
          </cell>
          <cell r="U45">
            <v>161.62555843828974</v>
          </cell>
          <cell r="V45">
            <v>154.04834194822138</v>
          </cell>
        </row>
        <row r="46">
          <cell r="M46">
            <v>56.834275424674708</v>
          </cell>
          <cell r="N46">
            <v>87.732840968465311</v>
          </cell>
          <cell r="O46">
            <v>109.99059502937214</v>
          </cell>
          <cell r="P46">
            <v>133.44288189271145</v>
          </cell>
          <cell r="Q46">
            <v>164.62671735713167</v>
          </cell>
          <cell r="R46">
            <v>185.28022268488084</v>
          </cell>
          <cell r="S46">
            <v>186.42752020106943</v>
          </cell>
          <cell r="T46">
            <v>173.8098382870246</v>
          </cell>
          <cell r="U46">
            <v>171.1565385742918</v>
          </cell>
          <cell r="V46">
            <v>169.59107387644133</v>
          </cell>
        </row>
        <row r="47">
          <cell r="M47">
            <v>181.5106371991788</v>
          </cell>
          <cell r="N47">
            <v>210.47521228456949</v>
          </cell>
          <cell r="O47">
            <v>229.57533719082539</v>
          </cell>
          <cell r="P47">
            <v>256.12922123643091</v>
          </cell>
          <cell r="Q47">
            <v>280.71240339955284</v>
          </cell>
          <cell r="R47">
            <v>287.02077682789405</v>
          </cell>
          <cell r="S47">
            <v>279.50372562109845</v>
          </cell>
          <cell r="T47">
            <v>280.64327466831668</v>
          </cell>
          <cell r="U47">
            <v>280.40986171872817</v>
          </cell>
          <cell r="V47">
            <v>270.92879696968993</v>
          </cell>
        </row>
        <row r="48">
          <cell r="M48">
            <v>143.72566005955136</v>
          </cell>
          <cell r="N48">
            <v>184.48358359110887</v>
          </cell>
          <cell r="O48">
            <v>210.00241273867655</v>
          </cell>
          <cell r="P48">
            <v>232.60117685940821</v>
          </cell>
          <cell r="Q48">
            <v>248.63960234944867</v>
          </cell>
          <cell r="R48">
            <v>250.7014991257625</v>
          </cell>
          <cell r="S48">
            <v>239.12154625469606</v>
          </cell>
          <cell r="T48">
            <v>227.42202515684437</v>
          </cell>
          <cell r="U48">
            <v>221.13272213407029</v>
          </cell>
          <cell r="V48">
            <v>215.91604306564804</v>
          </cell>
        </row>
        <row r="49">
          <cell r="M49">
            <v>70.091357901142757</v>
          </cell>
          <cell r="N49">
            <v>103.10258132888271</v>
          </cell>
          <cell r="O49">
            <v>130.77742047848955</v>
          </cell>
          <cell r="P49">
            <v>152.24846372984686</v>
          </cell>
          <cell r="Q49">
            <v>174.26046446629465</v>
          </cell>
          <cell r="R49">
            <v>189.63377233855928</v>
          </cell>
          <cell r="S49">
            <v>192.56532010803545</v>
          </cell>
          <cell r="T49">
            <v>185.12544984619447</v>
          </cell>
          <cell r="U49">
            <v>177.39843359321998</v>
          </cell>
          <cell r="V49">
            <v>170.48754374414113</v>
          </cell>
        </row>
        <row r="50">
          <cell r="M50">
            <v>62.048339905950144</v>
          </cell>
          <cell r="N50">
            <v>95.332445233214216</v>
          </cell>
          <cell r="O50">
            <v>120.93109969178028</v>
          </cell>
          <cell r="P50">
            <v>149.58829104771226</v>
          </cell>
          <cell r="Q50">
            <v>177.30154497430476</v>
          </cell>
          <cell r="R50">
            <v>196.31222598586746</v>
          </cell>
          <cell r="S50">
            <v>197.82511306337227</v>
          </cell>
          <cell r="T50">
            <v>185.97159337815333</v>
          </cell>
          <cell r="U50">
            <v>177.06092553166926</v>
          </cell>
          <cell r="V50">
            <v>173.8636547094809</v>
          </cell>
        </row>
        <row r="51">
          <cell r="M51">
            <v>153.28845001320931</v>
          </cell>
          <cell r="N51">
            <v>188.78241154386561</v>
          </cell>
          <cell r="O51">
            <v>209.75600427848602</v>
          </cell>
          <cell r="P51">
            <v>234.30190326270397</v>
          </cell>
          <cell r="Q51">
            <v>257.79208675022318</v>
          </cell>
          <cell r="R51">
            <v>267.27791612276337</v>
          </cell>
          <cell r="S51">
            <v>261.55417390968876</v>
          </cell>
          <cell r="T51">
            <v>262.6964745269795</v>
          </cell>
          <cell r="U51">
            <v>261.80060023721745</v>
          </cell>
          <cell r="V51">
            <v>251.68971777477466</v>
          </cell>
        </row>
        <row r="52">
          <cell r="M52">
            <v>125.11574939808852</v>
          </cell>
          <cell r="N52">
            <v>165.07884439280483</v>
          </cell>
          <cell r="O52">
            <v>192.16152422201171</v>
          </cell>
          <cell r="P52">
            <v>212.82283757652499</v>
          </cell>
          <cell r="Q52">
            <v>227.4069510792396</v>
          </cell>
          <cell r="R52">
            <v>230.00045476702107</v>
          </cell>
          <cell r="S52">
            <v>221.60262717118567</v>
          </cell>
          <cell r="T52">
            <v>211.24783172011152</v>
          </cell>
          <cell r="U52">
            <v>203.20344985144143</v>
          </cell>
          <cell r="V52">
            <v>195.52375822140155</v>
          </cell>
        </row>
        <row r="53">
          <cell r="M53">
            <v>55.425727646086543</v>
          </cell>
          <cell r="N53">
            <v>87.118454679428055</v>
          </cell>
          <cell r="O53">
            <v>114.6374013038255</v>
          </cell>
          <cell r="P53">
            <v>137.02112605434851</v>
          </cell>
          <cell r="Q53">
            <v>158.41287405907212</v>
          </cell>
          <cell r="R53">
            <v>172.89197525980043</v>
          </cell>
          <cell r="S53">
            <v>177.27157549247653</v>
          </cell>
          <cell r="T53">
            <v>171.06761283240448</v>
          </cell>
          <cell r="U53">
            <v>167.40725634048809</v>
          </cell>
          <cell r="V53">
            <v>162.22759244089781</v>
          </cell>
        </row>
        <row r="54">
          <cell r="M54">
            <v>30.878536257743647</v>
          </cell>
          <cell r="N54">
            <v>54.237400765765521</v>
          </cell>
          <cell r="O54">
            <v>78.730376694433886</v>
          </cell>
          <cell r="P54">
            <v>101.95015588665002</v>
          </cell>
          <cell r="Q54">
            <v>124.14057986169279</v>
          </cell>
          <cell r="R54">
            <v>142.23289160478419</v>
          </cell>
          <cell r="S54">
            <v>145.61511915554476</v>
          </cell>
          <cell r="T54">
            <v>140.11308678558169</v>
          </cell>
          <cell r="U54">
            <v>139.82023515780438</v>
          </cell>
          <cell r="V54">
            <v>138.37076521911254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M7">
            <v>114.553125552136</v>
          </cell>
          <cell r="N7">
            <v>130.89962455417492</v>
          </cell>
          <cell r="O7">
            <v>141.20622780202774</v>
          </cell>
          <cell r="P7">
            <v>155.3879987147215</v>
          </cell>
          <cell r="Q7">
            <v>167.66560062243119</v>
          </cell>
          <cell r="R7">
            <v>171.99116519705552</v>
          </cell>
          <cell r="S7">
            <v>169.7826140232782</v>
          </cell>
          <cell r="T7">
            <v>171.77445938587474</v>
          </cell>
          <cell r="U7">
            <v>171.55019266552495</v>
          </cell>
          <cell r="V7">
            <v>165.71137318432812</v>
          </cell>
        </row>
        <row r="8">
          <cell r="M8">
            <v>95.389725447911033</v>
          </cell>
          <cell r="N8">
            <v>114.36963285266604</v>
          </cell>
          <cell r="O8">
            <v>128.4790111475522</v>
          </cell>
          <cell r="P8">
            <v>140.3690471634514</v>
          </cell>
          <cell r="Q8">
            <v>150.50357180302623</v>
          </cell>
          <cell r="R8">
            <v>152.63923361686898</v>
          </cell>
          <cell r="S8">
            <v>148.36705372651164</v>
          </cell>
          <cell r="T8">
            <v>142.93793672273586</v>
          </cell>
          <cell r="U8">
            <v>140.12951316988668</v>
          </cell>
          <cell r="V8">
            <v>137.40894985156982</v>
          </cell>
        </row>
        <row r="9">
          <cell r="M9">
            <v>65.44818482912477</v>
          </cell>
          <cell r="N9">
            <v>80.187226308538158</v>
          </cell>
          <cell r="O9">
            <v>93.819356174472375</v>
          </cell>
          <cell r="P9">
            <v>104.59217523608314</v>
          </cell>
          <cell r="Q9">
            <v>117.14591911100739</v>
          </cell>
          <cell r="R9">
            <v>125.3812833333416</v>
          </cell>
          <cell r="S9">
            <v>127.49430907501527</v>
          </cell>
          <cell r="T9">
            <v>124.03691800548104</v>
          </cell>
          <cell r="U9">
            <v>120.75984432800897</v>
          </cell>
          <cell r="V9">
            <v>117.76966255648649</v>
          </cell>
        </row>
        <row r="10">
          <cell r="M10">
            <v>49.729781941146456</v>
          </cell>
          <cell r="N10">
            <v>60.284234810434043</v>
          </cell>
          <cell r="O10">
            <v>71.413808029829696</v>
          </cell>
          <cell r="P10">
            <v>83.552901217085449</v>
          </cell>
          <cell r="Q10">
            <v>96.664464545057356</v>
          </cell>
          <cell r="R10">
            <v>106.29006727011959</v>
          </cell>
          <cell r="S10">
            <v>108.07480135454983</v>
          </cell>
          <cell r="T10">
            <v>105.29976106817318</v>
          </cell>
          <cell r="U10">
            <v>101.9716848730979</v>
          </cell>
          <cell r="V10">
            <v>99.837746562325208</v>
          </cell>
        </row>
        <row r="11">
          <cell r="M11">
            <v>143.36184163389544</v>
          </cell>
          <cell r="N11">
            <v>157.6070967392925</v>
          </cell>
          <cell r="O11">
            <v>166.48771251787076</v>
          </cell>
          <cell r="P11">
            <v>181.12111807901763</v>
          </cell>
          <cell r="Q11">
            <v>193.10922361515108</v>
          </cell>
          <cell r="R11">
            <v>193.78500422896178</v>
          </cell>
          <cell r="S11">
            <v>190.43187411744231</v>
          </cell>
          <cell r="T11">
            <v>192.65619753985635</v>
          </cell>
          <cell r="U11">
            <v>193.10072136592945</v>
          </cell>
          <cell r="V11">
            <v>187.54725965339532</v>
          </cell>
        </row>
        <row r="12">
          <cell r="M12">
            <v>125.51052959700952</v>
          </cell>
          <cell r="N12">
            <v>147.880059820805</v>
          </cell>
          <cell r="O12">
            <v>161.92812751284706</v>
          </cell>
          <cell r="P12">
            <v>174.93837465795428</v>
          </cell>
          <cell r="Q12">
            <v>182.65919911420823</v>
          </cell>
          <cell r="R12">
            <v>182.74036019110665</v>
          </cell>
          <cell r="S12">
            <v>175.98200791110321</v>
          </cell>
          <cell r="T12">
            <v>169.46336526828952</v>
          </cell>
          <cell r="U12">
            <v>167.11455717110343</v>
          </cell>
          <cell r="V12">
            <v>164.2082671859614</v>
          </cell>
        </row>
        <row r="13">
          <cell r="M13">
            <v>86.402279923302714</v>
          </cell>
          <cell r="N13">
            <v>103.55192861157829</v>
          </cell>
          <cell r="O13">
            <v>118.11610314016718</v>
          </cell>
          <cell r="P13">
            <v>130.50610599013666</v>
          </cell>
          <cell r="Q13">
            <v>144.08397295367902</v>
          </cell>
          <cell r="R13">
            <v>152.31050833942641</v>
          </cell>
          <cell r="S13">
            <v>153.12725394000913</v>
          </cell>
          <cell r="T13">
            <v>149.10110136847737</v>
          </cell>
          <cell r="U13">
            <v>145.55394817328414</v>
          </cell>
          <cell r="V13">
            <v>141.86425743198899</v>
          </cell>
        </row>
        <row r="14"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M15">
            <v>120.81925578415802</v>
          </cell>
          <cell r="N15">
            <v>133.69205630385611</v>
          </cell>
          <cell r="O15">
            <v>141.76108326890386</v>
          </cell>
          <cell r="P15">
            <v>155.13773673787489</v>
          </cell>
          <cell r="Q15">
            <v>166.0631050322113</v>
          </cell>
          <cell r="R15">
            <v>167.28513183084252</v>
          </cell>
          <cell r="S15">
            <v>164.31370001628653</v>
          </cell>
          <cell r="T15">
            <v>166.26932711452613</v>
          </cell>
          <cell r="U15">
            <v>165.71945279107715</v>
          </cell>
          <cell r="V15">
            <v>160.76582229114024</v>
          </cell>
        </row>
        <row r="16">
          <cell r="M16">
            <v>105.20596462800289</v>
          </cell>
          <cell r="N16">
            <v>124.24956754669748</v>
          </cell>
          <cell r="O16">
            <v>136.58933631992304</v>
          </cell>
          <cell r="P16">
            <v>148.31757436846883</v>
          </cell>
          <cell r="Q16">
            <v>157.19926596425012</v>
          </cell>
          <cell r="R16">
            <v>157.47593760677125</v>
          </cell>
          <cell r="S16">
            <v>152.56238678650919</v>
          </cell>
          <cell r="T16">
            <v>147.51134268550007</v>
          </cell>
          <cell r="U16">
            <v>143.96432122302556</v>
          </cell>
          <cell r="V16">
            <v>140.91351770100067</v>
          </cell>
        </row>
        <row r="17">
          <cell r="M17">
            <v>68.265810461263854</v>
          </cell>
          <cell r="N17">
            <v>84.144732411451216</v>
          </cell>
          <cell r="O17">
            <v>96.131097977924711</v>
          </cell>
          <cell r="P17">
            <v>106.8846236851042</v>
          </cell>
          <cell r="Q17">
            <v>118.38439603289052</v>
          </cell>
          <cell r="R17">
            <v>125.69446140554193</v>
          </cell>
          <cell r="S17">
            <v>126.37238267603206</v>
          </cell>
          <cell r="T17">
            <v>123.06101732521452</v>
          </cell>
          <cell r="U17">
            <v>120.88453209072237</v>
          </cell>
          <cell r="V17">
            <v>118.09526741515408</v>
          </cell>
        </row>
        <row r="18">
          <cell r="M18">
            <v>76.411755611894051</v>
          </cell>
          <cell r="N18">
            <v>91.872409713511018</v>
          </cell>
          <cell r="O18">
            <v>106.12951527473084</v>
          </cell>
          <cell r="P18">
            <v>119.49086853730724</v>
          </cell>
          <cell r="Q18">
            <v>134.51350586027024</v>
          </cell>
          <cell r="R18">
            <v>141.97563744567861</v>
          </cell>
          <cell r="S18">
            <v>139.56203057303355</v>
          </cell>
          <cell r="T18">
            <v>134.60651739299141</v>
          </cell>
          <cell r="U18">
            <v>131.61096476874889</v>
          </cell>
          <cell r="V18">
            <v>130.12888386117845</v>
          </cell>
        </row>
        <row r="19">
          <cell r="M19">
            <v>124.68997198087848</v>
          </cell>
          <cell r="N19">
            <v>138.61332721032232</v>
          </cell>
          <cell r="O19">
            <v>147.69122096849981</v>
          </cell>
          <cell r="P19">
            <v>161.48385343005322</v>
          </cell>
          <cell r="Q19">
            <v>173.37924108765102</v>
          </cell>
          <cell r="R19">
            <v>175.75111887720544</v>
          </cell>
          <cell r="S19">
            <v>172.53517467008919</v>
          </cell>
          <cell r="T19">
            <v>174.25489591339255</v>
          </cell>
          <cell r="U19">
            <v>174.11658479201674</v>
          </cell>
          <cell r="V19">
            <v>168.53143312733212</v>
          </cell>
        </row>
        <row r="20">
          <cell r="M20">
            <v>100.76727732559733</v>
          </cell>
          <cell r="N20">
            <v>119.85518360426116</v>
          </cell>
          <cell r="O20">
            <v>132.85894840183403</v>
          </cell>
          <cell r="P20">
            <v>144.28546363584599</v>
          </cell>
          <cell r="Q20">
            <v>152.84543374373075</v>
          </cell>
          <cell r="R20">
            <v>154.99534739108159</v>
          </cell>
          <cell r="S20">
            <v>151.73082948836384</v>
          </cell>
          <cell r="T20">
            <v>147.74882933306117</v>
          </cell>
          <cell r="U20">
            <v>146.78311049418014</v>
          </cell>
          <cell r="V20">
            <v>145.19098336669722</v>
          </cell>
        </row>
        <row r="21">
          <cell r="M21">
            <v>75.307149320992721</v>
          </cell>
          <cell r="N21">
            <v>91.816335486236554</v>
          </cell>
          <cell r="O21">
            <v>105.6447882695591</v>
          </cell>
          <cell r="P21">
            <v>115.71534844089361</v>
          </cell>
          <cell r="Q21">
            <v>125.45131299550692</v>
          </cell>
          <cell r="R21">
            <v>132.50143129205313</v>
          </cell>
          <cell r="S21">
            <v>133.91767328457291</v>
          </cell>
          <cell r="T21">
            <v>132.37035174804947</v>
          </cell>
          <cell r="U21">
            <v>129.98722727763314</v>
          </cell>
          <cell r="V21">
            <v>127.1688826044043</v>
          </cell>
        </row>
        <row r="22">
          <cell r="M22">
            <v>136.02458443255202</v>
          </cell>
          <cell r="N22">
            <v>152.59170280529077</v>
          </cell>
          <cell r="O22">
            <v>162.26560203835888</v>
          </cell>
          <cell r="P22">
            <v>167.99923843250988</v>
          </cell>
          <cell r="Q22">
            <v>181.21269976285424</v>
          </cell>
          <cell r="R22">
            <v>192.97195537779857</v>
          </cell>
          <cell r="S22">
            <v>191.97480456334125</v>
          </cell>
          <cell r="T22">
            <v>187.47634353981013</v>
          </cell>
          <cell r="U22">
            <v>184.62858404826065</v>
          </cell>
          <cell r="V22">
            <v>184.66851278419529</v>
          </cell>
        </row>
        <row r="23">
          <cell r="M23">
            <v>119.45811923454364</v>
          </cell>
          <cell r="N23">
            <v>132.22931815048648</v>
          </cell>
          <cell r="O23">
            <v>141.12365883169787</v>
          </cell>
          <cell r="P23">
            <v>154.65034763401206</v>
          </cell>
          <cell r="Q23">
            <v>165.83087671567301</v>
          </cell>
          <cell r="R23">
            <v>166.61878657301114</v>
          </cell>
          <cell r="S23">
            <v>162.82250210680704</v>
          </cell>
          <cell r="T23">
            <v>164.06006513295398</v>
          </cell>
          <cell r="U23">
            <v>164.39006931554093</v>
          </cell>
          <cell r="V23">
            <v>159.11013138243652</v>
          </cell>
        </row>
        <row r="24">
          <cell r="M24">
            <v>99.842730450183964</v>
          </cell>
          <cell r="N24">
            <v>119.64036870648053</v>
          </cell>
          <cell r="O24">
            <v>132.71660296594698</v>
          </cell>
          <cell r="P24">
            <v>144.39182408406558</v>
          </cell>
          <cell r="Q24">
            <v>152.35186417981396</v>
          </cell>
          <cell r="R24">
            <v>152.30838963820011</v>
          </cell>
          <cell r="S24">
            <v>146.81421588239118</v>
          </cell>
          <cell r="T24">
            <v>141.19515127592749</v>
          </cell>
          <cell r="U24">
            <v>138.93953858838242</v>
          </cell>
          <cell r="V24">
            <v>136.43595826884203</v>
          </cell>
        </row>
        <row r="25">
          <cell r="M25">
            <v>64.231268162207755</v>
          </cell>
          <cell r="N25">
            <v>80.777759386738083</v>
          </cell>
          <cell r="O25">
            <v>94.876566130945861</v>
          </cell>
          <cell r="P25">
            <v>106.0158601272114</v>
          </cell>
          <cell r="Q25">
            <v>117.54002223898503</v>
          </cell>
          <cell r="R25">
            <v>123.16032458411851</v>
          </cell>
          <cell r="S25">
            <v>122.61300258209498</v>
          </cell>
          <cell r="T25">
            <v>117.32709002130966</v>
          </cell>
          <cell r="U25">
            <v>116.21082264036872</v>
          </cell>
          <cell r="V25">
            <v>113.68526216782122</v>
          </cell>
        </row>
        <row r="26">
          <cell r="M26">
            <v>75.667575528312341</v>
          </cell>
          <cell r="N26">
            <v>91.401714987316097</v>
          </cell>
          <cell r="O26">
            <v>103.94054836513864</v>
          </cell>
          <cell r="P26">
            <v>118.3793325565142</v>
          </cell>
          <cell r="Q26">
            <v>129.92299659952374</v>
          </cell>
          <cell r="R26">
            <v>139.62362385233664</v>
          </cell>
          <cell r="S26">
            <v>136.09045353635068</v>
          </cell>
          <cell r="T26">
            <v>129.72420918252243</v>
          </cell>
          <cell r="U26">
            <v>123.10263663103956</v>
          </cell>
          <cell r="V26">
            <v>121.53369446205389</v>
          </cell>
        </row>
        <row r="27">
          <cell r="M27">
            <v>127.69303611452048</v>
          </cell>
          <cell r="N27">
            <v>142.89525806629766</v>
          </cell>
          <cell r="O27">
            <v>152.85535486411044</v>
          </cell>
          <cell r="P27">
            <v>166.46440405994977</v>
          </cell>
          <cell r="Q27">
            <v>178.96118176731648</v>
          </cell>
          <cell r="R27">
            <v>181.84714923616212</v>
          </cell>
          <cell r="S27">
            <v>178.6812140623953</v>
          </cell>
          <cell r="T27">
            <v>180.31743048417948</v>
          </cell>
          <cell r="U27">
            <v>180.48759896803583</v>
          </cell>
          <cell r="V27">
            <v>174.9695239570716</v>
          </cell>
        </row>
        <row r="28">
          <cell r="M28">
            <v>108.87437779079085</v>
          </cell>
          <cell r="N28">
            <v>128.52770010928262</v>
          </cell>
          <cell r="O28">
            <v>141.59513572091026</v>
          </cell>
          <cell r="P28">
            <v>154.41755945341916</v>
          </cell>
          <cell r="Q28">
            <v>163.32713173023419</v>
          </cell>
          <cell r="R28">
            <v>164.46995148729494</v>
          </cell>
          <cell r="S28">
            <v>158.87672844915622</v>
          </cell>
          <cell r="T28">
            <v>154.19433287266105</v>
          </cell>
          <cell r="U28">
            <v>152.77426514243467</v>
          </cell>
          <cell r="V28">
            <v>149.23496925502758</v>
          </cell>
        </row>
        <row r="29">
          <cell r="M29">
            <v>75.410408561458723</v>
          </cell>
          <cell r="N29">
            <v>90.736796833937689</v>
          </cell>
          <cell r="O29">
            <v>103.95984720843319</v>
          </cell>
          <cell r="P29">
            <v>113.70366358196938</v>
          </cell>
          <cell r="Q29">
            <v>125.42651705563691</v>
          </cell>
          <cell r="R29">
            <v>132.87234946153356</v>
          </cell>
          <cell r="S29">
            <v>133.8213135452506</v>
          </cell>
          <cell r="T29">
            <v>130.51074407960877</v>
          </cell>
          <cell r="U29">
            <v>128.70609091033327</v>
          </cell>
          <cell r="V29">
            <v>125.87718017528933</v>
          </cell>
        </row>
        <row r="30">
          <cell r="M30">
            <v>72.955061627996471</v>
          </cell>
          <cell r="N30">
            <v>88.469421512382311</v>
          </cell>
          <cell r="O30">
            <v>102.57408761814209</v>
          </cell>
          <cell r="P30">
            <v>117.05753194560012</v>
          </cell>
          <cell r="Q30">
            <v>131.95918374413247</v>
          </cell>
          <cell r="R30">
            <v>140.40080023752958</v>
          </cell>
          <cell r="S30">
            <v>138.88974362070095</v>
          </cell>
          <cell r="T30">
            <v>133.17439063013759</v>
          </cell>
          <cell r="U30">
            <v>130.60065166014473</v>
          </cell>
          <cell r="V30">
            <v>128.2100486135086</v>
          </cell>
        </row>
        <row r="31">
          <cell r="M31">
            <v>119.35896840824316</v>
          </cell>
          <cell r="N31">
            <v>134.77098843676251</v>
          </cell>
          <cell r="O31">
            <v>145.31618982699069</v>
          </cell>
          <cell r="P31">
            <v>159.75986459554923</v>
          </cell>
          <cell r="Q31">
            <v>171.42450318526286</v>
          </cell>
          <cell r="R31">
            <v>173.00821039647332</v>
          </cell>
          <cell r="S31">
            <v>169.40975005176475</v>
          </cell>
          <cell r="T31">
            <v>171.81602929193025</v>
          </cell>
          <cell r="U31">
            <v>171.44640100532075</v>
          </cell>
          <cell r="V31">
            <v>164.96237113435441</v>
          </cell>
        </row>
        <row r="32">
          <cell r="M32">
            <v>98.926716012740286</v>
          </cell>
          <cell r="N32">
            <v>119.39559833734613</v>
          </cell>
          <cell r="O32">
            <v>132.8710650675259</v>
          </cell>
          <cell r="P32">
            <v>146.15951799244124</v>
          </cell>
          <cell r="Q32">
            <v>155.7792860558362</v>
          </cell>
          <cell r="R32">
            <v>155.85154968535676</v>
          </cell>
          <cell r="S32">
            <v>149.74274399711447</v>
          </cell>
          <cell r="T32">
            <v>144.45148253906223</v>
          </cell>
          <cell r="U32">
            <v>142.23827406479134</v>
          </cell>
          <cell r="V32">
            <v>139.48305406372086</v>
          </cell>
        </row>
        <row r="33">
          <cell r="M33">
            <v>67.826130557035867</v>
          </cell>
          <cell r="N33">
            <v>84.187723933096422</v>
          </cell>
          <cell r="O33">
            <v>98.23721598515975</v>
          </cell>
          <cell r="P33">
            <v>110.32822673007759</v>
          </cell>
          <cell r="Q33">
            <v>122.80043354096875</v>
          </cell>
          <cell r="R33">
            <v>129.83945335596158</v>
          </cell>
          <cell r="S33">
            <v>130.37063809994018</v>
          </cell>
          <cell r="T33">
            <v>126.89325659033808</v>
          </cell>
          <cell r="U33">
            <v>124.01292618408162</v>
          </cell>
          <cell r="V33">
            <v>121.54177955766617</v>
          </cell>
        </row>
        <row r="34">
          <cell r="M34">
            <v>70.539330565261821</v>
          </cell>
          <cell r="N34">
            <v>87.995562456506121</v>
          </cell>
          <cell r="O34">
            <v>102.50425555505485</v>
          </cell>
          <cell r="P34">
            <v>115.80481142350388</v>
          </cell>
          <cell r="Q34">
            <v>128.71370945256672</v>
          </cell>
          <cell r="R34">
            <v>134.93513563760004</v>
          </cell>
          <cell r="S34">
            <v>133.55103093958806</v>
          </cell>
          <cell r="T34">
            <v>129.93031874314002</v>
          </cell>
          <cell r="U34">
            <v>128.66786646644726</v>
          </cell>
          <cell r="V34">
            <v>123.27450391808124</v>
          </cell>
        </row>
        <row r="35">
          <cell r="M35">
            <v>121.70111302540663</v>
          </cell>
          <cell r="N35">
            <v>136.01808561842782</v>
          </cell>
          <cell r="O35">
            <v>146.42687777840686</v>
          </cell>
          <cell r="P35">
            <v>160.74402327062137</v>
          </cell>
          <cell r="Q35">
            <v>172.11966497531728</v>
          </cell>
          <cell r="R35">
            <v>173.12958837462853</v>
          </cell>
          <cell r="S35">
            <v>170.19623554908159</v>
          </cell>
          <cell r="T35">
            <v>172.42094044749368</v>
          </cell>
          <cell r="U35">
            <v>172.08128135439614</v>
          </cell>
          <cell r="V35">
            <v>165.57894063552581</v>
          </cell>
        </row>
        <row r="36">
          <cell r="M36">
            <v>103.09355912787994</v>
          </cell>
          <cell r="N36">
            <v>122.7523209098828</v>
          </cell>
          <cell r="O36">
            <v>136.29049515861158</v>
          </cell>
          <cell r="P36">
            <v>148.54041672879728</v>
          </cell>
          <cell r="Q36">
            <v>157.2433470252565</v>
          </cell>
          <cell r="R36">
            <v>157.18456404395303</v>
          </cell>
          <cell r="S36">
            <v>151.71695638642217</v>
          </cell>
          <cell r="T36">
            <v>145.9251737191083</v>
          </cell>
          <cell r="U36">
            <v>142.6417713822737</v>
          </cell>
          <cell r="V36">
            <v>139.94161565763406</v>
          </cell>
        </row>
        <row r="37">
          <cell r="M37">
            <v>67.117287775254567</v>
          </cell>
          <cell r="N37">
            <v>83.267444648883696</v>
          </cell>
          <cell r="O37">
            <v>97.046558040177075</v>
          </cell>
          <cell r="P37">
            <v>107.71700980160492</v>
          </cell>
          <cell r="Q37">
            <v>119.02725718917593</v>
          </cell>
          <cell r="R37">
            <v>125.88876716567465</v>
          </cell>
          <cell r="S37">
            <v>126.64032428150546</v>
          </cell>
          <cell r="T37">
            <v>121.31045141470592</v>
          </cell>
          <cell r="U37">
            <v>118.79700486341866</v>
          </cell>
          <cell r="V37">
            <v>114.89587761969213</v>
          </cell>
        </row>
        <row r="38">
          <cell r="M38">
            <v>75.698384517906263</v>
          </cell>
          <cell r="N38">
            <v>91.960140959756245</v>
          </cell>
          <cell r="O38">
            <v>104.61268986259432</v>
          </cell>
          <cell r="P38">
            <v>118.67848109416934</v>
          </cell>
          <cell r="Q38">
            <v>132.59944043479123</v>
          </cell>
          <cell r="R38">
            <v>141.53116850823835</v>
          </cell>
          <cell r="S38">
            <v>137.19521077099222</v>
          </cell>
          <cell r="T38">
            <v>130.32284656735612</v>
          </cell>
          <cell r="U38">
            <v>126.76220174621919</v>
          </cell>
          <cell r="V38">
            <v>122.83563911005042</v>
          </cell>
        </row>
        <row r="39">
          <cell r="M39">
            <v>130.32306063302408</v>
          </cell>
          <cell r="N39">
            <v>145.08050078215399</v>
          </cell>
          <cell r="O39">
            <v>155.45324483253782</v>
          </cell>
          <cell r="P39">
            <v>170.3737371542808</v>
          </cell>
          <cell r="Q39">
            <v>182.92321343800435</v>
          </cell>
          <cell r="R39">
            <v>185.05190165104918</v>
          </cell>
          <cell r="S39">
            <v>181.94624242939815</v>
          </cell>
          <cell r="T39">
            <v>183.48193032019842</v>
          </cell>
          <cell r="U39">
            <v>183.59993264743608</v>
          </cell>
          <cell r="V39">
            <v>177.5187935745596</v>
          </cell>
        </row>
        <row r="40">
          <cell r="M40">
            <v>111.89000318805047</v>
          </cell>
          <cell r="N40">
            <v>132.84858817239191</v>
          </cell>
          <cell r="O40">
            <v>147.26000763588212</v>
          </cell>
          <cell r="P40">
            <v>160.65562238305591</v>
          </cell>
          <cell r="Q40">
            <v>170.10179965633913</v>
          </cell>
          <cell r="R40">
            <v>170.67247128275827</v>
          </cell>
          <cell r="S40">
            <v>163.14494263579337</v>
          </cell>
          <cell r="T40">
            <v>154.86925996823163</v>
          </cell>
          <cell r="U40">
            <v>150.94671792441588</v>
          </cell>
          <cell r="V40">
            <v>146.81423783784433</v>
          </cell>
        </row>
        <row r="41">
          <cell r="M41">
            <v>72.899226166274715</v>
          </cell>
          <cell r="N41">
            <v>89.378130272799552</v>
          </cell>
          <cell r="O41">
            <v>103.2290050626233</v>
          </cell>
          <cell r="P41">
            <v>115.68445986278211</v>
          </cell>
          <cell r="Q41">
            <v>127.51461786915343</v>
          </cell>
          <cell r="R41">
            <v>134.63645639775535</v>
          </cell>
          <cell r="S41">
            <v>133.83316674550503</v>
          </cell>
          <cell r="T41">
            <v>129.13495226503522</v>
          </cell>
          <cell r="U41">
            <v>127.34610976643948</v>
          </cell>
          <cell r="V41">
            <v>124.94384837419537</v>
          </cell>
        </row>
        <row r="42"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M43">
            <v>120.83487160019129</v>
          </cell>
          <cell r="N43">
            <v>135.72689318809785</v>
          </cell>
          <cell r="O43">
            <v>145.46903820276512</v>
          </cell>
          <cell r="P43">
            <v>158.98339627371948</v>
          </cell>
          <cell r="Q43">
            <v>171.22605607778496</v>
          </cell>
          <cell r="R43">
            <v>173.81490314395759</v>
          </cell>
          <cell r="S43">
            <v>170.62964168257986</v>
          </cell>
          <cell r="T43">
            <v>172.35038111002177</v>
          </cell>
          <cell r="U43">
            <v>172.11386050239804</v>
          </cell>
          <cell r="V43">
            <v>166.14653575407618</v>
          </cell>
        </row>
        <row r="44">
          <cell r="M44">
            <v>104.25673433441675</v>
          </cell>
          <cell r="N44">
            <v>124.08482754862563</v>
          </cell>
          <cell r="O44">
            <v>137.79520939391952</v>
          </cell>
          <cell r="P44">
            <v>151.06036483864037</v>
          </cell>
          <cell r="Q44">
            <v>160.22131882041126</v>
          </cell>
          <cell r="R44">
            <v>161.13373530797455</v>
          </cell>
          <cell r="S44">
            <v>155.39584504478108</v>
          </cell>
          <cell r="T44">
            <v>149.59726442029424</v>
          </cell>
          <cell r="U44">
            <v>147.4978071486502</v>
          </cell>
          <cell r="V44">
            <v>144.96770189730634</v>
          </cell>
        </row>
        <row r="45">
          <cell r="M45">
            <v>72.388539582217462</v>
          </cell>
          <cell r="N45">
            <v>88.612488733790769</v>
          </cell>
          <cell r="O45">
            <v>101.91813003406925</v>
          </cell>
          <cell r="P45">
            <v>113.79250632302893</v>
          </cell>
          <cell r="Q45">
            <v>126.44759931399756</v>
          </cell>
          <cell r="R45">
            <v>133.18962771460448</v>
          </cell>
          <cell r="S45">
            <v>131.68518792246061</v>
          </cell>
          <cell r="T45">
            <v>126.85344860939564</v>
          </cell>
          <cell r="U45">
            <v>123.99642940549182</v>
          </cell>
          <cell r="V45">
            <v>120.09886717846599</v>
          </cell>
        </row>
        <row r="46">
          <cell r="M46">
            <v>70.196784330078714</v>
          </cell>
          <cell r="N46">
            <v>86.330002571623965</v>
          </cell>
          <cell r="O46">
            <v>98.268162196335695</v>
          </cell>
          <cell r="P46">
            <v>110.85227595179143</v>
          </cell>
          <cell r="Q46">
            <v>126.98827979145157</v>
          </cell>
          <cell r="R46">
            <v>137.39836457873324</v>
          </cell>
          <cell r="S46">
            <v>137.55573852228252</v>
          </cell>
          <cell r="T46">
            <v>130.7116309868149</v>
          </cell>
          <cell r="U46">
            <v>128.99212929804276</v>
          </cell>
          <cell r="V46">
            <v>127.69374143345203</v>
          </cell>
        </row>
        <row r="47">
          <cell r="M47">
            <v>133.64872721711919</v>
          </cell>
          <cell r="N47">
            <v>148.62258501210763</v>
          </cell>
          <cell r="O47">
            <v>158.25366836715554</v>
          </cell>
          <cell r="P47">
            <v>171.94022580138005</v>
          </cell>
          <cell r="Q47">
            <v>184.60335448819143</v>
          </cell>
          <cell r="R47">
            <v>187.76078466830501</v>
          </cell>
          <cell r="S47">
            <v>183.65099279810372</v>
          </cell>
          <cell r="T47">
            <v>184.04711582776861</v>
          </cell>
          <cell r="U47">
            <v>183.82630160242232</v>
          </cell>
          <cell r="V47">
            <v>178.99649436923212</v>
          </cell>
        </row>
        <row r="48">
          <cell r="M48">
            <v>114.7426505123513</v>
          </cell>
          <cell r="N48">
            <v>136.00245059137305</v>
          </cell>
          <cell r="O48">
            <v>149.18024528812015</v>
          </cell>
          <cell r="P48">
            <v>161.02329114547427</v>
          </cell>
          <cell r="Q48">
            <v>169.45661945531768</v>
          </cell>
          <cell r="R48">
            <v>170.45871024672755</v>
          </cell>
          <cell r="S48">
            <v>164.19792891197244</v>
          </cell>
          <cell r="T48">
            <v>157.7923376417173</v>
          </cell>
          <cell r="U48">
            <v>154.39618581980454</v>
          </cell>
          <cell r="V48">
            <v>151.48899566108454</v>
          </cell>
        </row>
        <row r="49">
          <cell r="M49">
            <v>76.597693599955505</v>
          </cell>
          <cell r="N49">
            <v>93.937062103092899</v>
          </cell>
          <cell r="O49">
            <v>108.42751296452857</v>
          </cell>
          <cell r="P49">
            <v>119.74387494579416</v>
          </cell>
          <cell r="Q49">
            <v>131.10508368449379</v>
          </cell>
          <cell r="R49">
            <v>138.93973344302887</v>
          </cell>
          <cell r="S49">
            <v>140.18911124738727</v>
          </cell>
          <cell r="T49">
            <v>135.84929758368654</v>
          </cell>
          <cell r="U49">
            <v>131.67017588138822</v>
          </cell>
          <cell r="V49">
            <v>127.87894116940225</v>
          </cell>
        </row>
        <row r="50">
          <cell r="M50">
            <v>72.485972394311105</v>
          </cell>
          <cell r="N50">
            <v>89.829860976360052</v>
          </cell>
          <cell r="O50">
            <v>103.45597504813875</v>
          </cell>
          <cell r="P50">
            <v>118.41069043243617</v>
          </cell>
          <cell r="Q50">
            <v>132.78438219416728</v>
          </cell>
          <cell r="R50">
            <v>142.32822281180194</v>
          </cell>
          <cell r="S50">
            <v>142.63439435002459</v>
          </cell>
          <cell r="T50">
            <v>136.28253905128639</v>
          </cell>
          <cell r="U50">
            <v>131.67063969033541</v>
          </cell>
          <cell r="V50">
            <v>129.85206127491711</v>
          </cell>
        </row>
        <row r="51">
          <cell r="M51">
            <v>117.02807596080488</v>
          </cell>
          <cell r="N51">
            <v>135.40494940123841</v>
          </cell>
          <cell r="O51">
            <v>146.08648043319815</v>
          </cell>
          <cell r="P51">
            <v>158.74801186079486</v>
          </cell>
          <cell r="Q51">
            <v>170.83603117522475</v>
          </cell>
          <cell r="R51">
            <v>175.72428382462664</v>
          </cell>
          <cell r="S51">
            <v>172.59399607343559</v>
          </cell>
          <cell r="T51">
            <v>172.86079325091498</v>
          </cell>
          <cell r="U51">
            <v>172.22127755679912</v>
          </cell>
          <cell r="V51">
            <v>167.0140011958031</v>
          </cell>
        </row>
        <row r="52">
          <cell r="M52">
            <v>104.62615953308487</v>
          </cell>
          <cell r="N52">
            <v>125.15080321975819</v>
          </cell>
          <cell r="O52">
            <v>138.89949184188728</v>
          </cell>
          <cell r="P52">
            <v>149.66442340696381</v>
          </cell>
          <cell r="Q52">
            <v>157.4693070599283</v>
          </cell>
          <cell r="R52">
            <v>158.94408229047229</v>
          </cell>
          <cell r="S52">
            <v>154.2742863996377</v>
          </cell>
          <cell r="T52">
            <v>148.79486396389538</v>
          </cell>
          <cell r="U52">
            <v>144.73273189355939</v>
          </cell>
          <cell r="V52">
            <v>140.75084425995396</v>
          </cell>
        </row>
        <row r="53">
          <cell r="M53">
            <v>70.657000816270994</v>
          </cell>
          <cell r="N53">
            <v>87.369003224164089</v>
          </cell>
          <cell r="O53">
            <v>101.51591162173125</v>
          </cell>
          <cell r="P53">
            <v>113.1098920744339</v>
          </cell>
          <cell r="Q53">
            <v>124.11583962616093</v>
          </cell>
          <cell r="R53">
            <v>131.20905373275463</v>
          </cell>
          <cell r="S53">
            <v>132.47937429496008</v>
          </cell>
          <cell r="T53">
            <v>128.64091340330799</v>
          </cell>
          <cell r="U53">
            <v>126.46067927519519</v>
          </cell>
          <cell r="V53">
            <v>123.55879410283586</v>
          </cell>
        </row>
        <row r="54">
          <cell r="M54">
            <v>55.886269384707155</v>
          </cell>
          <cell r="N54">
            <v>68.286352532091428</v>
          </cell>
          <cell r="O54">
            <v>81.05250443824778</v>
          </cell>
          <cell r="P54">
            <v>93.26919917456442</v>
          </cell>
          <cell r="Q54">
            <v>104.90529841965066</v>
          </cell>
          <cell r="R54">
            <v>114.00363270468499</v>
          </cell>
          <cell r="S54">
            <v>115.50378020574347</v>
          </cell>
          <cell r="T54">
            <v>112.33871776123829</v>
          </cell>
          <cell r="U54">
            <v>111.88819460759952</v>
          </cell>
          <cell r="V54">
            <v>110.83281244259848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M7">
            <v>126.58869917524059</v>
          </cell>
          <cell r="N7">
            <v>140.45472047111468</v>
          </cell>
          <cell r="O7">
            <v>149.3641482814717</v>
          </cell>
          <cell r="P7">
            <v>161.37585561828115</v>
          </cell>
          <cell r="Q7">
            <v>171.78192687439542</v>
          </cell>
          <cell r="R7">
            <v>175.39116822548928</v>
          </cell>
          <cell r="S7">
            <v>173.41572214024777</v>
          </cell>
          <cell r="T7">
            <v>174.98723707357405</v>
          </cell>
          <cell r="U7">
            <v>174.76597929413717</v>
          </cell>
          <cell r="V7">
            <v>169.82132615718186</v>
          </cell>
        </row>
        <row r="8">
          <cell r="M8">
            <v>110.76282651346396</v>
          </cell>
          <cell r="N8">
            <v>126.86028256752066</v>
          </cell>
          <cell r="O8">
            <v>138.77950558142555</v>
          </cell>
          <cell r="P8">
            <v>148.96839019139011</v>
          </cell>
          <cell r="Q8">
            <v>157.52049855439645</v>
          </cell>
          <cell r="R8">
            <v>159.34487541533031</v>
          </cell>
          <cell r="S8">
            <v>155.57662992810086</v>
          </cell>
          <cell r="T8">
            <v>150.9458194913343</v>
          </cell>
          <cell r="U8">
            <v>148.5601107488535</v>
          </cell>
          <cell r="V8">
            <v>146.09590283725134</v>
          </cell>
        </row>
        <row r="9">
          <cell r="M9">
            <v>85.315621765660083</v>
          </cell>
          <cell r="N9">
            <v>97.878683319984447</v>
          </cell>
          <cell r="O9">
            <v>109.45065488333152</v>
          </cell>
          <cell r="P9">
            <v>118.57539288203469</v>
          </cell>
          <cell r="Q9">
            <v>129.09383398652983</v>
          </cell>
          <cell r="R9">
            <v>135.9559683185453</v>
          </cell>
          <cell r="S9">
            <v>137.53853053791201</v>
          </cell>
          <cell r="T9">
            <v>134.52816664857463</v>
          </cell>
          <cell r="U9">
            <v>131.76995844889689</v>
          </cell>
          <cell r="V9">
            <v>129.20294569647055</v>
          </cell>
        </row>
        <row r="10">
          <cell r="M10">
            <v>72.073407720501578</v>
          </cell>
          <cell r="N10">
            <v>81.11201753783169</v>
          </cell>
          <cell r="O10">
            <v>90.650317392560055</v>
          </cell>
          <cell r="P10">
            <v>100.92425850887199</v>
          </cell>
          <cell r="Q10">
            <v>111.93278358286288</v>
          </cell>
          <cell r="R10">
            <v>119.98751565895745</v>
          </cell>
          <cell r="S10">
            <v>121.30768789747114</v>
          </cell>
          <cell r="T10">
            <v>118.80865260055212</v>
          </cell>
          <cell r="U10">
            <v>116.10553917288352</v>
          </cell>
          <cell r="V10">
            <v>114.26375888437769</v>
          </cell>
        </row>
        <row r="11">
          <cell r="M11">
            <v>150.23111284706241</v>
          </cell>
          <cell r="N11">
            <v>162.37273511801774</v>
          </cell>
          <cell r="O11">
            <v>170.1486551279522</v>
          </cell>
          <cell r="P11">
            <v>182.56016089287104</v>
          </cell>
          <cell r="Q11">
            <v>192.66250671800444</v>
          </cell>
          <cell r="R11">
            <v>193.24638278241886</v>
          </cell>
          <cell r="S11">
            <v>190.38892762088147</v>
          </cell>
          <cell r="T11">
            <v>192.23401121420778</v>
          </cell>
          <cell r="U11">
            <v>192.55517908008918</v>
          </cell>
          <cell r="V11">
            <v>187.80526489822876</v>
          </cell>
        </row>
        <row r="12">
          <cell r="M12">
            <v>135.12526003830561</v>
          </cell>
          <cell r="N12">
            <v>154.00490764002822</v>
          </cell>
          <cell r="O12">
            <v>165.91864909776734</v>
          </cell>
          <cell r="P12">
            <v>176.98561330893369</v>
          </cell>
          <cell r="Q12">
            <v>183.6359686423427</v>
          </cell>
          <cell r="R12">
            <v>183.76233596261051</v>
          </cell>
          <cell r="S12">
            <v>177.97440597356282</v>
          </cell>
          <cell r="T12">
            <v>172.38850109797417</v>
          </cell>
          <cell r="U12">
            <v>170.29578871811387</v>
          </cell>
          <cell r="V12">
            <v>167.7238015047925</v>
          </cell>
        </row>
        <row r="13">
          <cell r="M13">
            <v>102.32251315399709</v>
          </cell>
          <cell r="N13">
            <v>116.86952439118041</v>
          </cell>
          <cell r="O13">
            <v>129.20418571891403</v>
          </cell>
          <cell r="P13">
            <v>139.67203431831823</v>
          </cell>
          <cell r="Q13">
            <v>151.03269291798384</v>
          </cell>
          <cell r="R13">
            <v>157.94846027369755</v>
          </cell>
          <cell r="S13">
            <v>158.44107766652988</v>
          </cell>
          <cell r="T13">
            <v>154.85629801645288</v>
          </cell>
          <cell r="U13">
            <v>151.87261924585806</v>
          </cell>
          <cell r="V13">
            <v>148.7748460923583</v>
          </cell>
        </row>
        <row r="14"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M15">
            <v>132.61473810964597</v>
          </cell>
          <cell r="N15">
            <v>143.60242300512053</v>
          </cell>
          <cell r="O15">
            <v>150.67760920646259</v>
          </cell>
          <cell r="P15">
            <v>162.06003184242527</v>
          </cell>
          <cell r="Q15">
            <v>171.31435834552511</v>
          </cell>
          <cell r="R15">
            <v>172.30812547104924</v>
          </cell>
          <cell r="S15">
            <v>169.68279676248488</v>
          </cell>
          <cell r="T15">
            <v>171.24916478146378</v>
          </cell>
          <cell r="U15">
            <v>170.82904353519527</v>
          </cell>
          <cell r="V15">
            <v>166.59124219835823</v>
          </cell>
        </row>
        <row r="16">
          <cell r="M16">
            <v>119.0511303667041</v>
          </cell>
          <cell r="N16">
            <v>135.29136350823194</v>
          </cell>
          <cell r="O16">
            <v>145.77027787083213</v>
          </cell>
          <cell r="P16">
            <v>155.72357464067181</v>
          </cell>
          <cell r="Q16">
            <v>163.24224542504876</v>
          </cell>
          <cell r="R16">
            <v>163.67289659700046</v>
          </cell>
          <cell r="S16">
            <v>159.32666925799774</v>
          </cell>
          <cell r="T16">
            <v>154.87607678503002</v>
          </cell>
          <cell r="U16">
            <v>151.88810310226336</v>
          </cell>
          <cell r="V16">
            <v>149.17312323465538</v>
          </cell>
        </row>
        <row r="17">
          <cell r="M17">
            <v>88.012062887134405</v>
          </cell>
          <cell r="N17">
            <v>101.55874144949843</v>
          </cell>
          <cell r="O17">
            <v>111.91888054977132</v>
          </cell>
          <cell r="P17">
            <v>121.05891147427175</v>
          </cell>
          <cell r="Q17">
            <v>130.71537273915757</v>
          </cell>
          <cell r="R17">
            <v>136.86915862145</v>
          </cell>
          <cell r="S17">
            <v>137.33192308986048</v>
          </cell>
          <cell r="T17">
            <v>134.35906782642138</v>
          </cell>
          <cell r="U17">
            <v>132.29306930754569</v>
          </cell>
          <cell r="V17">
            <v>129.86586497958834</v>
          </cell>
        </row>
        <row r="18">
          <cell r="M18">
            <v>94.081024254033295</v>
          </cell>
          <cell r="N18">
            <v>107.30548585868044</v>
          </cell>
          <cell r="O18">
            <v>119.31349571134966</v>
          </cell>
          <cell r="P18">
            <v>130.54200158802271</v>
          </cell>
          <cell r="Q18">
            <v>143.17952402645793</v>
          </cell>
          <cell r="R18">
            <v>149.61453632324415</v>
          </cell>
          <cell r="S18">
            <v>147.55803506235452</v>
          </cell>
          <cell r="T18">
            <v>143.26167961937375</v>
          </cell>
          <cell r="U18">
            <v>140.6432634200267</v>
          </cell>
          <cell r="V18">
            <v>139.17884823969641</v>
          </cell>
        </row>
        <row r="19">
          <cell r="M19">
            <v>136.90136430368682</v>
          </cell>
          <cell r="N19">
            <v>148.82226668573537</v>
          </cell>
          <cell r="O19">
            <v>156.77422061023054</v>
          </cell>
          <cell r="P19">
            <v>168.52935621718839</v>
          </cell>
          <cell r="Q19">
            <v>178.61700859757337</v>
          </cell>
          <cell r="R19">
            <v>180.52581168854641</v>
          </cell>
          <cell r="S19">
            <v>177.68120430921326</v>
          </cell>
          <cell r="T19">
            <v>179.08625649458736</v>
          </cell>
          <cell r="U19">
            <v>178.92221630703804</v>
          </cell>
          <cell r="V19">
            <v>174.12741290211983</v>
          </cell>
        </row>
        <row r="20">
          <cell r="M20">
            <v>116.96082207009103</v>
          </cell>
          <cell r="N20">
            <v>133.29513267594092</v>
          </cell>
          <cell r="O20">
            <v>144.47779672953334</v>
          </cell>
          <cell r="P20">
            <v>154.33786187817466</v>
          </cell>
          <cell r="Q20">
            <v>161.69365858882333</v>
          </cell>
          <cell r="R20">
            <v>163.51363993973811</v>
          </cell>
          <cell r="S20">
            <v>160.42352043469756</v>
          </cell>
          <cell r="T20">
            <v>156.62920983994729</v>
          </cell>
          <cell r="U20">
            <v>155.57232885687714</v>
          </cell>
          <cell r="V20">
            <v>153.98830694221687</v>
          </cell>
        </row>
        <row r="21">
          <cell r="M21">
            <v>94.564791089326064</v>
          </cell>
          <cell r="N21">
            <v>108.70995704016131</v>
          </cell>
          <cell r="O21">
            <v>120.5209778307852</v>
          </cell>
          <cell r="P21">
            <v>129.1477646977352</v>
          </cell>
          <cell r="Q21">
            <v>137.51082301655879</v>
          </cell>
          <cell r="R21">
            <v>143.47140560068962</v>
          </cell>
          <cell r="S21">
            <v>144.50600518710547</v>
          </cell>
          <cell r="T21">
            <v>142.81016363269822</v>
          </cell>
          <cell r="U21">
            <v>140.67004503058189</v>
          </cell>
          <cell r="V21">
            <v>138.19355802256496</v>
          </cell>
        </row>
        <row r="22">
          <cell r="M22">
            <v>95.819878573694822</v>
          </cell>
          <cell r="N22">
            <v>108.36365203057449</v>
          </cell>
          <cell r="O22">
            <v>115.62821059981393</v>
          </cell>
          <cell r="P22">
            <v>119.80070956267322</v>
          </cell>
          <cell r="Q22">
            <v>129.81752052843055</v>
          </cell>
          <cell r="R22">
            <v>138.83181851500601</v>
          </cell>
          <cell r="S22">
            <v>138.04008882104466</v>
          </cell>
          <cell r="T22">
            <v>134.5984332183609</v>
          </cell>
          <cell r="U22">
            <v>132.40862338574416</v>
          </cell>
          <cell r="V22">
            <v>132.45024831130999</v>
          </cell>
        </row>
        <row r="23">
          <cell r="M23">
            <v>124.12495113951148</v>
          </cell>
          <cell r="N23">
            <v>135.06618446577011</v>
          </cell>
          <cell r="O23">
            <v>142.83967986228441</v>
          </cell>
          <cell r="P23">
            <v>154.32761732189482</v>
          </cell>
          <cell r="Q23">
            <v>163.75725713048638</v>
          </cell>
          <cell r="R23">
            <v>164.46106225294542</v>
          </cell>
          <cell r="S23">
            <v>161.22103963741824</v>
          </cell>
          <cell r="T23">
            <v>162.16152891123537</v>
          </cell>
          <cell r="U23">
            <v>162.30150978915677</v>
          </cell>
          <cell r="V23">
            <v>157.79091583285552</v>
          </cell>
        </row>
        <row r="24">
          <cell r="M24">
            <v>108.25008527311326</v>
          </cell>
          <cell r="N24">
            <v>124.9436656927398</v>
          </cell>
          <cell r="O24">
            <v>135.96824946797733</v>
          </cell>
          <cell r="P24">
            <v>145.91112306903287</v>
          </cell>
          <cell r="Q24">
            <v>152.74036190500192</v>
          </cell>
          <cell r="R24">
            <v>152.80315549185062</v>
          </cell>
          <cell r="S24">
            <v>147.96009796853534</v>
          </cell>
          <cell r="T24">
            <v>143.15587121425352</v>
          </cell>
          <cell r="U24">
            <v>141.17196053872308</v>
          </cell>
          <cell r="V24">
            <v>138.90432287363896</v>
          </cell>
        </row>
        <row r="25">
          <cell r="M25">
            <v>78.549767785519421</v>
          </cell>
          <cell r="N25">
            <v>92.672284849605362</v>
          </cell>
          <cell r="O25">
            <v>104.63630880682459</v>
          </cell>
          <cell r="P25">
            <v>114.07732233120578</v>
          </cell>
          <cell r="Q25">
            <v>123.74470154204272</v>
          </cell>
          <cell r="R25">
            <v>128.43024747279259</v>
          </cell>
          <cell r="S25">
            <v>127.71868194497524</v>
          </cell>
          <cell r="T25">
            <v>123.09501806139707</v>
          </cell>
          <cell r="U25">
            <v>121.77188331893313</v>
          </cell>
          <cell r="V25">
            <v>119.56034435131322</v>
          </cell>
        </row>
        <row r="26">
          <cell r="M26">
            <v>86.44315323274985</v>
          </cell>
          <cell r="N26">
            <v>99.877572809666702</v>
          </cell>
          <cell r="O26">
            <v>110.81828261651624</v>
          </cell>
          <cell r="P26">
            <v>122.99565613056916</v>
          </cell>
          <cell r="Q26">
            <v>132.96465027061234</v>
          </cell>
          <cell r="R26">
            <v>141.03304312375818</v>
          </cell>
          <cell r="S26">
            <v>138.10065077809853</v>
          </cell>
          <cell r="T26">
            <v>132.77903697737392</v>
          </cell>
          <cell r="U26">
            <v>127.41251958247047</v>
          </cell>
          <cell r="V26">
            <v>125.82121150944602</v>
          </cell>
        </row>
        <row r="27">
          <cell r="M27">
            <v>132.04802116374594</v>
          </cell>
          <cell r="N27">
            <v>145.17520259709778</v>
          </cell>
          <cell r="O27">
            <v>153.90239432765932</v>
          </cell>
          <cell r="P27">
            <v>165.56971006699672</v>
          </cell>
          <cell r="Q27">
            <v>176.24207614285066</v>
          </cell>
          <cell r="R27">
            <v>178.74891290547376</v>
          </cell>
          <cell r="S27">
            <v>175.8941020302066</v>
          </cell>
          <cell r="T27">
            <v>177.08784946396838</v>
          </cell>
          <cell r="U27">
            <v>177.10526315662679</v>
          </cell>
          <cell r="V27">
            <v>172.2946001931391</v>
          </cell>
        </row>
        <row r="28">
          <cell r="M28">
            <v>116.51579772408823</v>
          </cell>
          <cell r="N28">
            <v>133.3797991090031</v>
          </cell>
          <cell r="O28">
            <v>144.5888875481422</v>
          </cell>
          <cell r="P28">
            <v>155.50847591310657</v>
          </cell>
          <cell r="Q28">
            <v>163.13355047761803</v>
          </cell>
          <cell r="R28">
            <v>164.09190305488022</v>
          </cell>
          <cell r="S28">
            <v>159.10436238672537</v>
          </cell>
          <cell r="T28">
            <v>154.87574624924625</v>
          </cell>
          <cell r="U28">
            <v>153.53569669732545</v>
          </cell>
          <cell r="V28">
            <v>150.51480493532216</v>
          </cell>
        </row>
        <row r="29">
          <cell r="M29">
            <v>87.769205312783669</v>
          </cell>
          <cell r="N29">
            <v>100.97235454493766</v>
          </cell>
          <cell r="O29">
            <v>112.40558525280682</v>
          </cell>
          <cell r="P29">
            <v>120.84400162429723</v>
          </cell>
          <cell r="Q29">
            <v>130.93430650302156</v>
          </cell>
          <cell r="R29">
            <v>137.30784325005965</v>
          </cell>
          <cell r="S29">
            <v>137.74830989767747</v>
          </cell>
          <cell r="T29">
            <v>134.67438869905928</v>
          </cell>
          <cell r="U29">
            <v>132.90200860704314</v>
          </cell>
          <cell r="V29">
            <v>130.42055124416581</v>
          </cell>
        </row>
        <row r="30">
          <cell r="M30">
            <v>85.918094060692312</v>
          </cell>
          <cell r="N30">
            <v>99.363312508557442</v>
          </cell>
          <cell r="O30">
            <v>111.40593417972799</v>
          </cell>
          <cell r="P30">
            <v>123.76079925061791</v>
          </cell>
          <cell r="Q30">
            <v>136.45729461072412</v>
          </cell>
          <cell r="R30">
            <v>143.77591733729284</v>
          </cell>
          <cell r="S30">
            <v>142.36897432299412</v>
          </cell>
          <cell r="T30">
            <v>137.36128534314989</v>
          </cell>
          <cell r="U30">
            <v>134.97315198724894</v>
          </cell>
          <cell r="V30">
            <v>132.80835611730024</v>
          </cell>
        </row>
        <row r="31">
          <cell r="M31">
            <v>127.08080126073295</v>
          </cell>
          <cell r="N31">
            <v>140.05288544985311</v>
          </cell>
          <cell r="O31">
            <v>149.10200876872813</v>
          </cell>
          <cell r="P31">
            <v>161.33890746610317</v>
          </cell>
          <cell r="Q31">
            <v>171.18018955955324</v>
          </cell>
          <cell r="R31">
            <v>172.44628942866851</v>
          </cell>
          <cell r="S31">
            <v>169.31871057014462</v>
          </cell>
          <cell r="T31">
            <v>171.18177654191882</v>
          </cell>
          <cell r="U31">
            <v>170.85162467237399</v>
          </cell>
          <cell r="V31">
            <v>165.39269275715384</v>
          </cell>
        </row>
        <row r="32">
          <cell r="M32">
            <v>110.18077352840353</v>
          </cell>
          <cell r="N32">
            <v>127.51433692197789</v>
          </cell>
          <cell r="O32">
            <v>138.88831755084186</v>
          </cell>
          <cell r="P32">
            <v>150.08446992803317</v>
          </cell>
          <cell r="Q32">
            <v>158.14458090942895</v>
          </cell>
          <cell r="R32">
            <v>158.22768089029847</v>
          </cell>
          <cell r="S32">
            <v>152.89366686513895</v>
          </cell>
          <cell r="T32">
            <v>148.23910096530349</v>
          </cell>
          <cell r="U32">
            <v>146.24199760066398</v>
          </cell>
          <cell r="V32">
            <v>143.75467682040482</v>
          </cell>
        </row>
        <row r="33">
          <cell r="M33">
            <v>83.613937324043931</v>
          </cell>
          <cell r="N33">
            <v>97.413350526943503</v>
          </cell>
          <cell r="O33">
            <v>109.32647402647817</v>
          </cell>
          <cell r="P33">
            <v>119.52708136517177</v>
          </cell>
          <cell r="Q33">
            <v>129.94264166720296</v>
          </cell>
          <cell r="R33">
            <v>135.81413561902781</v>
          </cell>
          <cell r="S33">
            <v>136.11295639170157</v>
          </cell>
          <cell r="T33">
            <v>132.92400258127677</v>
          </cell>
          <cell r="U33">
            <v>130.4579223179056</v>
          </cell>
          <cell r="V33">
            <v>128.20118206859973</v>
          </cell>
        </row>
        <row r="34">
          <cell r="M34">
            <v>86.142084406142914</v>
          </cell>
          <cell r="N34">
            <v>100.88625921184125</v>
          </cell>
          <cell r="O34">
            <v>113.22584367503759</v>
          </cell>
          <cell r="P34">
            <v>124.60776742779872</v>
          </cell>
          <cell r="Q34">
            <v>135.46611428698606</v>
          </cell>
          <cell r="R34">
            <v>140.81548282846157</v>
          </cell>
          <cell r="S34">
            <v>139.46491977499588</v>
          </cell>
          <cell r="T34">
            <v>135.99361654961936</v>
          </cell>
          <cell r="U34">
            <v>134.6642919600244</v>
          </cell>
          <cell r="V34">
            <v>130.2366932807108</v>
          </cell>
        </row>
        <row r="35">
          <cell r="M35">
            <v>130.30441821509137</v>
          </cell>
          <cell r="N35">
            <v>142.43887545570269</v>
          </cell>
          <cell r="O35">
            <v>151.37750743701773</v>
          </cell>
          <cell r="P35">
            <v>163.57043255704656</v>
          </cell>
          <cell r="Q35">
            <v>173.2633081896148</v>
          </cell>
          <cell r="R35">
            <v>174.15574043469479</v>
          </cell>
          <cell r="S35">
            <v>171.53186526237218</v>
          </cell>
          <cell r="T35">
            <v>173.32536474325619</v>
          </cell>
          <cell r="U35">
            <v>173.0142751392541</v>
          </cell>
          <cell r="V35">
            <v>167.52439809441353</v>
          </cell>
        </row>
        <row r="36">
          <cell r="M36">
            <v>114.87626838094337</v>
          </cell>
          <cell r="N36">
            <v>131.60619952471635</v>
          </cell>
          <cell r="O36">
            <v>143.08838237686135</v>
          </cell>
          <cell r="P36">
            <v>153.56974598908917</v>
          </cell>
          <cell r="Q36">
            <v>160.90827271828977</v>
          </cell>
          <cell r="R36">
            <v>160.9613267911121</v>
          </cell>
          <cell r="S36">
            <v>156.05030618341058</v>
          </cell>
          <cell r="T36">
            <v>150.98627214402723</v>
          </cell>
          <cell r="U36">
            <v>148.19732206344085</v>
          </cell>
          <cell r="V36">
            <v>145.73498239757308</v>
          </cell>
        </row>
        <row r="37">
          <cell r="M37">
            <v>84.2171138040068</v>
          </cell>
          <cell r="N37">
            <v>98.016787740102274</v>
          </cell>
          <cell r="O37">
            <v>109.7482171564062</v>
          </cell>
          <cell r="P37">
            <v>118.90004061222356</v>
          </cell>
          <cell r="Q37">
            <v>128.48785308494806</v>
          </cell>
          <cell r="R37">
            <v>134.34958904559093</v>
          </cell>
          <cell r="S37">
            <v>134.80229783531229</v>
          </cell>
          <cell r="T37">
            <v>130.19484662927758</v>
          </cell>
          <cell r="U37">
            <v>127.91106814225519</v>
          </cell>
          <cell r="V37">
            <v>124.59436122489146</v>
          </cell>
        </row>
        <row r="38">
          <cell r="M38">
            <v>90.727077656036329</v>
          </cell>
          <cell r="N38">
            <v>104.61144060838417</v>
          </cell>
          <cell r="O38">
            <v>115.58198075646537</v>
          </cell>
          <cell r="P38">
            <v>127.60564691899228</v>
          </cell>
          <cell r="Q38">
            <v>139.45921854598006</v>
          </cell>
          <cell r="R38">
            <v>146.88963011703635</v>
          </cell>
          <cell r="S38">
            <v>143.35428096426392</v>
          </cell>
          <cell r="T38">
            <v>137.41609474575563</v>
          </cell>
          <cell r="U38">
            <v>134.35632499532122</v>
          </cell>
          <cell r="V38">
            <v>131.04546301818371</v>
          </cell>
        </row>
        <row r="39">
          <cell r="M39">
            <v>130.04418184937617</v>
          </cell>
          <cell r="N39">
            <v>142.5038349757929</v>
          </cell>
          <cell r="O39">
            <v>151.44010188118921</v>
          </cell>
          <cell r="P39">
            <v>164.08863465135366</v>
          </cell>
          <cell r="Q39">
            <v>174.63608899619879</v>
          </cell>
          <cell r="R39">
            <v>176.3496850441347</v>
          </cell>
          <cell r="S39">
            <v>173.60901577117011</v>
          </cell>
          <cell r="T39">
            <v>174.87514027649286</v>
          </cell>
          <cell r="U39">
            <v>174.95122099124595</v>
          </cell>
          <cell r="V39">
            <v>169.78396534852848</v>
          </cell>
        </row>
        <row r="40">
          <cell r="M40">
            <v>114.67157229198935</v>
          </cell>
          <cell r="N40">
            <v>132.40139060582956</v>
          </cell>
          <cell r="O40">
            <v>144.58447150795021</v>
          </cell>
          <cell r="P40">
            <v>155.91438822670716</v>
          </cell>
          <cell r="Q40">
            <v>163.79204140244013</v>
          </cell>
          <cell r="R40">
            <v>164.15494916285562</v>
          </cell>
          <cell r="S40">
            <v>157.68743144330818</v>
          </cell>
          <cell r="T40">
            <v>150.77338656910121</v>
          </cell>
          <cell r="U40">
            <v>147.4796077488383</v>
          </cell>
          <cell r="V40">
            <v>143.95575138685834</v>
          </cell>
        </row>
        <row r="41">
          <cell r="M41">
            <v>81.585162061663155</v>
          </cell>
          <cell r="N41">
            <v>95.62039509564147</v>
          </cell>
          <cell r="O41">
            <v>107.41451750094684</v>
          </cell>
          <cell r="P41">
            <v>117.92520230611828</v>
          </cell>
          <cell r="Q41">
            <v>127.94454053616026</v>
          </cell>
          <cell r="R41">
            <v>134.03353524578029</v>
          </cell>
          <cell r="S41">
            <v>133.35235026782848</v>
          </cell>
          <cell r="T41">
            <v>129.22748130610989</v>
          </cell>
          <cell r="U41">
            <v>127.43472501748504</v>
          </cell>
          <cell r="V41">
            <v>125.31231368949966</v>
          </cell>
        </row>
        <row r="42"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M43">
            <v>122.92831921645649</v>
          </cell>
          <cell r="N43">
            <v>135.51964876585438</v>
          </cell>
          <cell r="O43">
            <v>143.95021029319116</v>
          </cell>
          <cell r="P43">
            <v>155.50056563748606</v>
          </cell>
          <cell r="Q43">
            <v>165.82408096231285</v>
          </cell>
          <cell r="R43">
            <v>167.96560382825592</v>
          </cell>
          <cell r="S43">
            <v>165.06242386562346</v>
          </cell>
          <cell r="T43">
            <v>166.32703735022037</v>
          </cell>
          <cell r="U43">
            <v>166.04182397614832</v>
          </cell>
          <cell r="V43">
            <v>161.03492746097825</v>
          </cell>
        </row>
        <row r="44">
          <cell r="M44">
            <v>108.81787800007353</v>
          </cell>
          <cell r="N44">
            <v>125.72253118035857</v>
          </cell>
          <cell r="O44">
            <v>137.37169003477837</v>
          </cell>
          <cell r="P44">
            <v>148.58021389416254</v>
          </cell>
          <cell r="Q44">
            <v>156.31348041686857</v>
          </cell>
          <cell r="R44">
            <v>157.06714717026315</v>
          </cell>
          <cell r="S44">
            <v>152.02615414393165</v>
          </cell>
          <cell r="T44">
            <v>146.88200110478471</v>
          </cell>
          <cell r="U44">
            <v>144.86088359689765</v>
          </cell>
          <cell r="V44">
            <v>142.56392884490452</v>
          </cell>
        </row>
        <row r="45">
          <cell r="M45">
            <v>81.495455471152681</v>
          </cell>
          <cell r="N45">
            <v>95.28775291612321</v>
          </cell>
          <cell r="O45">
            <v>106.63276547101756</v>
          </cell>
          <cell r="P45">
            <v>116.6770909745028</v>
          </cell>
          <cell r="Q45">
            <v>127.26588692852771</v>
          </cell>
          <cell r="R45">
            <v>132.93717063417833</v>
          </cell>
          <cell r="S45">
            <v>131.69404813457888</v>
          </cell>
          <cell r="T45">
            <v>127.54573371540224</v>
          </cell>
          <cell r="U45">
            <v>125.04584231027306</v>
          </cell>
          <cell r="V45">
            <v>121.77264293533061</v>
          </cell>
        </row>
        <row r="46">
          <cell r="M46">
            <v>79.800915529707623</v>
          </cell>
          <cell r="N46">
            <v>93.586082845628098</v>
          </cell>
          <cell r="O46">
            <v>103.82938678491318</v>
          </cell>
          <cell r="P46">
            <v>114.58893218699293</v>
          </cell>
          <cell r="Q46">
            <v>128.07671584234302</v>
          </cell>
          <cell r="R46">
            <v>136.74370078784193</v>
          </cell>
          <cell r="S46">
            <v>136.67121080033002</v>
          </cell>
          <cell r="T46">
            <v>130.8963770085787</v>
          </cell>
          <cell r="U46">
            <v>129.27331902315592</v>
          </cell>
          <cell r="V46">
            <v>127.96084765249908</v>
          </cell>
        </row>
        <row r="47">
          <cell r="M47">
            <v>133.29300164399336</v>
          </cell>
          <cell r="N47">
            <v>146.05730200615446</v>
          </cell>
          <cell r="O47">
            <v>154.4131337041153</v>
          </cell>
          <cell r="P47">
            <v>166.05171336043691</v>
          </cell>
          <cell r="Q47">
            <v>176.75282989042765</v>
          </cell>
          <cell r="R47">
            <v>179.34665710168585</v>
          </cell>
          <cell r="S47">
            <v>175.81001660103763</v>
          </cell>
          <cell r="T47">
            <v>176.17172539935547</v>
          </cell>
          <cell r="U47">
            <v>175.87776411860844</v>
          </cell>
          <cell r="V47">
            <v>171.70011618838438</v>
          </cell>
        </row>
        <row r="48">
          <cell r="M48">
            <v>117.46302705367022</v>
          </cell>
          <cell r="N48">
            <v>135.43619361299363</v>
          </cell>
          <cell r="O48">
            <v>146.5303438791214</v>
          </cell>
          <cell r="P48">
            <v>156.62104909621738</v>
          </cell>
          <cell r="Q48">
            <v>163.80343770141994</v>
          </cell>
          <cell r="R48">
            <v>164.62615563836482</v>
          </cell>
          <cell r="S48">
            <v>159.18841496761769</v>
          </cell>
          <cell r="T48">
            <v>153.69155561097196</v>
          </cell>
          <cell r="U48">
            <v>150.81589223908472</v>
          </cell>
          <cell r="V48">
            <v>148.24528260036533</v>
          </cell>
        </row>
        <row r="49">
          <cell r="M49">
            <v>85.218912333171545</v>
          </cell>
          <cell r="N49">
            <v>99.917639495109029</v>
          </cell>
          <cell r="O49">
            <v>112.30268802620459</v>
          </cell>
          <cell r="P49">
            <v>121.92499734846216</v>
          </cell>
          <cell r="Q49">
            <v>131.5756957938134</v>
          </cell>
          <cell r="R49">
            <v>138.07047142392747</v>
          </cell>
          <cell r="S49">
            <v>138.92316341331431</v>
          </cell>
          <cell r="T49">
            <v>135.10357196364825</v>
          </cell>
          <cell r="U49">
            <v>131.51992147308107</v>
          </cell>
          <cell r="V49">
            <v>128.19473559430742</v>
          </cell>
        </row>
        <row r="50">
          <cell r="M50">
            <v>82.012234824477432</v>
          </cell>
          <cell r="N50">
            <v>96.902890360839052</v>
          </cell>
          <cell r="O50">
            <v>108.77691004004065</v>
          </cell>
          <cell r="P50">
            <v>121.47037719964328</v>
          </cell>
          <cell r="Q50">
            <v>133.67228221730096</v>
          </cell>
          <cell r="R50">
            <v>141.73377487933331</v>
          </cell>
          <cell r="S50">
            <v>141.60872559616604</v>
          </cell>
          <cell r="T50">
            <v>136.09552627490487</v>
          </cell>
          <cell r="U50">
            <v>132.10856669666148</v>
          </cell>
          <cell r="V50">
            <v>130.43122898709393</v>
          </cell>
        </row>
        <row r="51">
          <cell r="M51">
            <v>128.56672590321634</v>
          </cell>
          <cell r="N51">
            <v>144.12478656547557</v>
          </cell>
          <cell r="O51">
            <v>153.33430391319192</v>
          </cell>
          <cell r="P51">
            <v>164.07202574147311</v>
          </cell>
          <cell r="Q51">
            <v>174.28709453396129</v>
          </cell>
          <cell r="R51">
            <v>178.411320901268</v>
          </cell>
          <cell r="S51">
            <v>175.70048402255236</v>
          </cell>
          <cell r="T51">
            <v>175.86329445274464</v>
          </cell>
          <cell r="U51">
            <v>175.17869941307322</v>
          </cell>
          <cell r="V51">
            <v>170.64889948001888</v>
          </cell>
        </row>
        <row r="52">
          <cell r="M52">
            <v>117.87178690225281</v>
          </cell>
          <cell r="N52">
            <v>135.14712672546725</v>
          </cell>
          <cell r="O52">
            <v>146.74733138259393</v>
          </cell>
          <cell r="P52">
            <v>155.97137382764092</v>
          </cell>
          <cell r="Q52">
            <v>162.58923195035783</v>
          </cell>
          <cell r="R52">
            <v>163.84702531151555</v>
          </cell>
          <cell r="S52">
            <v>159.81034576052971</v>
          </cell>
          <cell r="T52">
            <v>155.16880625540273</v>
          </cell>
          <cell r="U52">
            <v>151.81463587852113</v>
          </cell>
          <cell r="V52">
            <v>148.47555928475958</v>
          </cell>
        </row>
        <row r="53">
          <cell r="M53">
            <v>90.170609372450699</v>
          </cell>
          <cell r="N53">
            <v>104.33382134526988</v>
          </cell>
          <cell r="O53">
            <v>116.32169931038797</v>
          </cell>
          <cell r="P53">
            <v>126.11137060217099</v>
          </cell>
          <cell r="Q53">
            <v>135.27191938147317</v>
          </cell>
          <cell r="R53">
            <v>141.06143429986918</v>
          </cell>
          <cell r="S53">
            <v>141.87192446583154</v>
          </cell>
          <cell r="T53">
            <v>138.55711658946157</v>
          </cell>
          <cell r="U53">
            <v>136.68679525458256</v>
          </cell>
          <cell r="V53">
            <v>134.19698621736725</v>
          </cell>
        </row>
        <row r="54">
          <cell r="M54">
            <v>77.936400127726273</v>
          </cell>
          <cell r="N54">
            <v>88.546502295192468</v>
          </cell>
          <cell r="O54">
            <v>99.314364470316221</v>
          </cell>
          <cell r="P54">
            <v>109.63544081060184</v>
          </cell>
          <cell r="Q54">
            <v>119.46676782321005</v>
          </cell>
          <cell r="R54">
            <v>127.0160039290087</v>
          </cell>
          <cell r="S54">
            <v>128.17714944819659</v>
          </cell>
          <cell r="T54">
            <v>125.43162068330525</v>
          </cell>
          <cell r="U54">
            <v>124.84485807658032</v>
          </cell>
          <cell r="V54">
            <v>123.76632186712946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E7">
            <v>21</v>
          </cell>
          <cell r="M7">
            <v>129.63202155015279</v>
          </cell>
          <cell r="N7">
            <v>141.47120227116469</v>
          </cell>
          <cell r="O7">
            <v>149.28727309031481</v>
          </cell>
          <cell r="P7">
            <v>159.56332531089049</v>
          </cell>
          <cell r="Q7">
            <v>168.45302654857136</v>
          </cell>
          <cell r="R7">
            <v>171.49252556787289</v>
          </cell>
          <cell r="S7">
            <v>169.71380610072529</v>
          </cell>
          <cell r="T7">
            <v>170.95237503850785</v>
          </cell>
          <cell r="U7">
            <v>170.72363791357236</v>
          </cell>
          <cell r="V7">
            <v>166.51146572896002</v>
          </cell>
        </row>
        <row r="8">
          <cell r="E8">
            <v>4</v>
          </cell>
          <cell r="M8">
            <v>116.38930323128284</v>
          </cell>
          <cell r="N8">
            <v>130.16951651431123</v>
          </cell>
          <cell r="O8">
            <v>140.32952180444505</v>
          </cell>
          <cell r="P8">
            <v>149.10173252486334</v>
          </cell>
          <cell r="Q8">
            <v>156.38056537003632</v>
          </cell>
          <cell r="R8">
            <v>157.97048271733286</v>
          </cell>
          <cell r="S8">
            <v>154.62871882678365</v>
          </cell>
          <cell r="T8">
            <v>150.62218320525565</v>
          </cell>
          <cell r="U8">
            <v>148.54930040300744</v>
          </cell>
          <cell r="V8">
            <v>146.30823656341767</v>
          </cell>
        </row>
        <row r="9">
          <cell r="E9">
            <v>4</v>
          </cell>
          <cell r="M9">
            <v>94.555507851744821</v>
          </cell>
          <cell r="N9">
            <v>105.37549248188421</v>
          </cell>
          <cell r="O9">
            <v>115.31471941090672</v>
          </cell>
          <cell r="P9">
            <v>123.14951085431211</v>
          </cell>
          <cell r="Q9">
            <v>132.08104914169076</v>
          </cell>
          <cell r="R9">
            <v>137.86918505857139</v>
          </cell>
          <cell r="S9">
            <v>139.07552076491228</v>
          </cell>
          <cell r="T9">
            <v>136.41585481990973</v>
          </cell>
          <cell r="U9">
            <v>134.05635816572598</v>
          </cell>
          <cell r="V9">
            <v>131.83006808884181</v>
          </cell>
        </row>
        <row r="10">
          <cell r="E10">
            <v>2</v>
          </cell>
          <cell r="M10">
            <v>83.368062162268458</v>
          </cell>
          <cell r="N10">
            <v>91.166733794330099</v>
          </cell>
          <cell r="O10">
            <v>99.404368451414385</v>
          </cell>
          <cell r="P10">
            <v>108.19085640412628</v>
          </cell>
          <cell r="Q10">
            <v>117.54080484746133</v>
          </cell>
          <cell r="R10">
            <v>124.37024118352331</v>
          </cell>
          <cell r="S10">
            <v>125.34207493580041</v>
          </cell>
          <cell r="T10">
            <v>123.09666605851594</v>
          </cell>
          <cell r="U10">
            <v>120.83613124679593</v>
          </cell>
          <cell r="V10">
            <v>119.2310387879304</v>
          </cell>
        </row>
        <row r="11">
          <cell r="E11">
            <v>20</v>
          </cell>
          <cell r="M11">
            <v>149.32463977994556</v>
          </cell>
          <cell r="N11">
            <v>159.7032104601852</v>
          </cell>
          <cell r="O11">
            <v>166.60607618829252</v>
          </cell>
          <cell r="P11">
            <v>177.22259598101527</v>
          </cell>
          <cell r="Q11">
            <v>185.8227898476824</v>
          </cell>
          <cell r="R11">
            <v>186.32141742646019</v>
          </cell>
          <cell r="S11">
            <v>183.84978263076476</v>
          </cell>
          <cell r="T11">
            <v>185.38158846990797</v>
          </cell>
          <cell r="U11">
            <v>185.60820145994995</v>
          </cell>
          <cell r="V11">
            <v>181.52023643721478</v>
          </cell>
        </row>
        <row r="12">
          <cell r="E12">
            <v>4</v>
          </cell>
          <cell r="M12">
            <v>136.46766372318504</v>
          </cell>
          <cell r="N12">
            <v>152.5373359042012</v>
          </cell>
          <cell r="O12">
            <v>162.71809711737171</v>
          </cell>
          <cell r="P12">
            <v>172.19727354927383</v>
          </cell>
          <cell r="Q12">
            <v>177.94933407286672</v>
          </cell>
          <cell r="R12">
            <v>178.07468024060913</v>
          </cell>
          <cell r="S12">
            <v>173.08248416050719</v>
          </cell>
          <cell r="T12">
            <v>168.24680461896298</v>
          </cell>
          <cell r="U12">
            <v>166.38379554507202</v>
          </cell>
          <cell r="V12">
            <v>164.10958314481474</v>
          </cell>
        </row>
        <row r="13">
          <cell r="E13">
            <v>4</v>
          </cell>
          <cell r="M13">
            <v>108.62131337142021</v>
          </cell>
          <cell r="N13">
            <v>121.06469387222558</v>
          </cell>
          <cell r="O13">
            <v>131.62180292865628</v>
          </cell>
          <cell r="P13">
            <v>140.54629460871845</v>
          </cell>
          <cell r="Q13">
            <v>150.16703297153029</v>
          </cell>
          <cell r="R13">
            <v>156.04181582484182</v>
          </cell>
          <cell r="S13">
            <v>156.34263076383212</v>
          </cell>
          <cell r="T13">
            <v>153.16451409619168</v>
          </cell>
          <cell r="U13">
            <v>150.60396069777153</v>
          </cell>
          <cell r="V13">
            <v>147.9540270661158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20</v>
          </cell>
          <cell r="M15">
            <v>135.36227756731498</v>
          </cell>
          <cell r="N15">
            <v>144.79526239366979</v>
          </cell>
          <cell r="O15">
            <v>151.09360472471829</v>
          </cell>
          <cell r="P15">
            <v>160.85152508084394</v>
          </cell>
          <cell r="Q15">
            <v>168.76024561942489</v>
          </cell>
          <cell r="R15">
            <v>169.58526500566745</v>
          </cell>
          <cell r="S15">
            <v>167.27785010853174</v>
          </cell>
          <cell r="T15">
            <v>168.56323091828676</v>
          </cell>
          <cell r="U15">
            <v>168.23149625322588</v>
          </cell>
          <cell r="V15">
            <v>164.58488965782041</v>
          </cell>
        </row>
        <row r="16">
          <cell r="E16">
            <v>5</v>
          </cell>
          <cell r="M16">
            <v>123.57806260427441</v>
          </cell>
          <cell r="N16">
            <v>137.50923382342083</v>
          </cell>
          <cell r="O16">
            <v>146.47294981967104</v>
          </cell>
          <cell r="P16">
            <v>154.98399347517844</v>
          </cell>
          <cell r="Q16">
            <v>161.40100181561505</v>
          </cell>
          <cell r="R16">
            <v>161.8827965375186</v>
          </cell>
          <cell r="S16">
            <v>158.06415246569313</v>
          </cell>
          <cell r="T16">
            <v>154.16484837684519</v>
          </cell>
          <cell r="U16">
            <v>151.62344550600821</v>
          </cell>
          <cell r="V16">
            <v>149.22928531817468</v>
          </cell>
        </row>
        <row r="17">
          <cell r="E17">
            <v>5</v>
          </cell>
          <cell r="M17">
            <v>97.228399272928712</v>
          </cell>
          <cell r="N17">
            <v>108.85115301596058</v>
          </cell>
          <cell r="O17">
            <v>117.81814801656091</v>
          </cell>
          <cell r="P17">
            <v>125.63912544454261</v>
          </cell>
          <cell r="Q17">
            <v>133.83424884929306</v>
          </cell>
          <cell r="R17">
            <v>139.06612634606307</v>
          </cell>
          <cell r="S17">
            <v>139.39571149448417</v>
          </cell>
          <cell r="T17">
            <v>136.75941420602803</v>
          </cell>
          <cell r="U17">
            <v>134.8655345832</v>
          </cell>
          <cell r="V17">
            <v>132.75611792987155</v>
          </cell>
        </row>
        <row r="18">
          <cell r="E18">
            <v>1</v>
          </cell>
          <cell r="M18">
            <v>101.92188075354665</v>
          </cell>
          <cell r="N18">
            <v>113.28817574560625</v>
          </cell>
          <cell r="O18">
            <v>123.49635241749881</v>
          </cell>
          <cell r="P18">
            <v>133.02548012611896</v>
          </cell>
          <cell r="Q18">
            <v>143.76153049396319</v>
          </cell>
          <cell r="R18">
            <v>149.32288685309172</v>
          </cell>
          <cell r="S18">
            <v>147.56169348176417</v>
          </cell>
          <cell r="T18">
            <v>143.83680323533355</v>
          </cell>
          <cell r="U18">
            <v>141.55509528812209</v>
          </cell>
          <cell r="V18">
            <v>140.18307547373183</v>
          </cell>
        </row>
        <row r="19">
          <cell r="E19">
            <v>20</v>
          </cell>
          <cell r="M19">
            <v>138.86585326324371</v>
          </cell>
          <cell r="N19">
            <v>149.07611599741026</v>
          </cell>
          <cell r="O19">
            <v>156.11000229991708</v>
          </cell>
          <cell r="P19">
            <v>166.15318810270611</v>
          </cell>
          <cell r="Q19">
            <v>174.74190148825002</v>
          </cell>
          <cell r="R19">
            <v>176.30537105590219</v>
          </cell>
          <cell r="S19">
            <v>173.81500453143755</v>
          </cell>
          <cell r="T19">
            <v>174.98121011051936</v>
          </cell>
          <cell r="U19">
            <v>174.81378735284844</v>
          </cell>
          <cell r="V19">
            <v>170.69373345735377</v>
          </cell>
        </row>
        <row r="20">
          <cell r="E20">
            <v>4</v>
          </cell>
          <cell r="M20">
            <v>122.1174208363193</v>
          </cell>
          <cell r="N20">
            <v>136.1027218021683</v>
          </cell>
          <cell r="O20">
            <v>145.70717460201055</v>
          </cell>
          <cell r="P20">
            <v>154.19614407003283</v>
          </cell>
          <cell r="Q20">
            <v>160.51158259357337</v>
          </cell>
          <cell r="R20">
            <v>162.05771166942534</v>
          </cell>
          <cell r="S20">
            <v>159.23637669136625</v>
          </cell>
          <cell r="T20">
            <v>155.75327137382834</v>
          </cell>
          <cell r="U20">
            <v>154.69865505599444</v>
          </cell>
          <cell r="V20">
            <v>153.21265216440838</v>
          </cell>
        </row>
        <row r="21">
          <cell r="E21">
            <v>4</v>
          </cell>
          <cell r="M21">
            <v>102.56071392616617</v>
          </cell>
          <cell r="N21">
            <v>114.67963639130299</v>
          </cell>
          <cell r="O21">
            <v>124.77578596682397</v>
          </cell>
          <cell r="P21">
            <v>132.16677440345919</v>
          </cell>
          <cell r="Q21">
            <v>139.34656450185207</v>
          </cell>
          <cell r="R21">
            <v>144.40862701136246</v>
          </cell>
          <cell r="S21">
            <v>145.191685611894</v>
          </cell>
          <cell r="T21">
            <v>143.52251058905804</v>
          </cell>
          <cell r="U21">
            <v>141.63187031160152</v>
          </cell>
          <cell r="V21">
            <v>139.47420613127545</v>
          </cell>
        </row>
        <row r="22">
          <cell r="E22">
            <v>2</v>
          </cell>
          <cell r="M22">
            <v>103.5542332079382</v>
          </cell>
          <cell r="N22">
            <v>114.34530168360553</v>
          </cell>
          <cell r="O22">
            <v>120.7716663702719</v>
          </cell>
          <cell r="P22">
            <v>124.50063038698362</v>
          </cell>
          <cell r="Q22">
            <v>133.00454177178077</v>
          </cell>
          <cell r="R22">
            <v>140.55092677741817</v>
          </cell>
          <cell r="S22">
            <v>139.86000867503233</v>
          </cell>
          <cell r="T22">
            <v>136.7860682123611</v>
          </cell>
          <cell r="U22">
            <v>134.81575146055121</v>
          </cell>
          <cell r="V22">
            <v>134.64200706169257</v>
          </cell>
        </row>
        <row r="23">
          <cell r="E23">
            <v>20</v>
          </cell>
          <cell r="M23">
            <v>134.32924525199078</v>
          </cell>
          <cell r="N23">
            <v>143.83618455526749</v>
          </cell>
          <cell r="O23">
            <v>150.79195694717751</v>
          </cell>
          <cell r="P23">
            <v>160.69819236508772</v>
          </cell>
          <cell r="Q23">
            <v>168.81276997067405</v>
          </cell>
          <cell r="R23">
            <v>169.43797631824887</v>
          </cell>
          <cell r="S23">
            <v>166.60091734835709</v>
          </cell>
          <cell r="T23">
            <v>167.30197069931225</v>
          </cell>
          <cell r="U23">
            <v>167.30848904903385</v>
          </cell>
          <cell r="V23">
            <v>163.4393257839169</v>
          </cell>
        </row>
        <row r="24">
          <cell r="E24">
            <v>5</v>
          </cell>
          <cell r="M24">
            <v>121.64052955052902</v>
          </cell>
          <cell r="N24">
            <v>135.84277940651637</v>
          </cell>
          <cell r="O24">
            <v>145.22373641203407</v>
          </cell>
          <cell r="P24">
            <v>153.80497645965181</v>
          </cell>
          <cell r="Q24">
            <v>159.79347746818215</v>
          </cell>
          <cell r="R24">
            <v>159.89854520699018</v>
          </cell>
          <cell r="S24">
            <v>155.66902777150017</v>
          </cell>
          <cell r="T24">
            <v>151.67717073112917</v>
          </cell>
          <cell r="U24">
            <v>149.97633991157994</v>
          </cell>
          <cell r="V24">
            <v>147.91960148633757</v>
          </cell>
        </row>
        <row r="25">
          <cell r="E25">
            <v>4</v>
          </cell>
          <cell r="M25">
            <v>96.722688600574173</v>
          </cell>
          <cell r="N25">
            <v>109.03482326398162</v>
          </cell>
          <cell r="O25">
            <v>119.30249474920089</v>
          </cell>
          <cell r="P25">
            <v>127.47302165542767</v>
          </cell>
          <cell r="Q25">
            <v>135.7203822804222</v>
          </cell>
          <cell r="R25">
            <v>139.63235820611033</v>
          </cell>
          <cell r="S25">
            <v>138.75645635033243</v>
          </cell>
          <cell r="T25">
            <v>134.65789603487625</v>
          </cell>
          <cell r="U25">
            <v>133.28254645264329</v>
          </cell>
          <cell r="V25">
            <v>131.33241612093747</v>
          </cell>
        </row>
        <row r="26">
          <cell r="E26">
            <v>2</v>
          </cell>
          <cell r="M26">
            <v>101.90217500026316</v>
          </cell>
          <cell r="N26">
            <v>113.58088121665376</v>
          </cell>
          <cell r="O26">
            <v>123.13668038155757</v>
          </cell>
          <cell r="P26">
            <v>133.53696197303842</v>
          </cell>
          <cell r="Q26">
            <v>142.21564889013766</v>
          </cell>
          <cell r="R26">
            <v>148.9948135049346</v>
          </cell>
          <cell r="S26">
            <v>146.52417018370406</v>
          </cell>
          <cell r="T26">
            <v>142.04193939118014</v>
          </cell>
          <cell r="U26">
            <v>137.57532471806721</v>
          </cell>
          <cell r="V26">
            <v>136.03073441058464</v>
          </cell>
        </row>
        <row r="27">
          <cell r="E27">
            <v>18</v>
          </cell>
          <cell r="M27">
            <v>140.60441246230843</v>
          </cell>
          <cell r="N27">
            <v>151.93643416506757</v>
          </cell>
          <cell r="O27">
            <v>159.63436405970617</v>
          </cell>
          <cell r="P27">
            <v>169.67389965010548</v>
          </cell>
          <cell r="Q27">
            <v>178.84859506703614</v>
          </cell>
          <cell r="R27">
            <v>181.01641829131873</v>
          </cell>
          <cell r="S27">
            <v>178.47296108539064</v>
          </cell>
          <cell r="T27">
            <v>179.36869718954264</v>
          </cell>
          <cell r="U27">
            <v>179.2916524850088</v>
          </cell>
          <cell r="V27">
            <v>175.13299929882868</v>
          </cell>
        </row>
        <row r="28">
          <cell r="E28">
            <v>4</v>
          </cell>
          <cell r="M28">
            <v>127.45027802438391</v>
          </cell>
          <cell r="N28">
            <v>141.97763156421132</v>
          </cell>
          <cell r="O28">
            <v>151.62454485289484</v>
          </cell>
          <cell r="P28">
            <v>160.95312186584545</v>
          </cell>
          <cell r="Q28">
            <v>167.52612641904059</v>
          </cell>
          <cell r="R28">
            <v>168.35606034591044</v>
          </cell>
          <cell r="S28">
            <v>163.95577928039287</v>
          </cell>
          <cell r="T28">
            <v>160.16799306663134</v>
          </cell>
          <cell r="U28">
            <v>158.94754193662945</v>
          </cell>
          <cell r="V28">
            <v>156.31047526398859</v>
          </cell>
        </row>
        <row r="29">
          <cell r="E29">
            <v>5</v>
          </cell>
          <cell r="M29">
            <v>102.70680967150867</v>
          </cell>
          <cell r="N29">
            <v>114.12842576598779</v>
          </cell>
          <cell r="O29">
            <v>124.02227965078114</v>
          </cell>
          <cell r="P29">
            <v>131.30191360732169</v>
          </cell>
          <cell r="Q29">
            <v>139.8909363328986</v>
          </cell>
          <cell r="R29">
            <v>145.35346727644975</v>
          </cell>
          <cell r="S29">
            <v>145.63077078657074</v>
          </cell>
          <cell r="T29">
            <v>142.79404177938082</v>
          </cell>
          <cell r="U29">
            <v>141.12025521051402</v>
          </cell>
          <cell r="V29">
            <v>138.99608383078964</v>
          </cell>
        </row>
        <row r="30">
          <cell r="E30">
            <v>3</v>
          </cell>
          <cell r="M30">
            <v>101.19884363757755</v>
          </cell>
          <cell r="N30">
            <v>112.88291492059227</v>
          </cell>
          <cell r="O30">
            <v>123.23883239225938</v>
          </cell>
          <cell r="P30">
            <v>133.80907967511851</v>
          </cell>
          <cell r="Q30">
            <v>144.7076509508795</v>
          </cell>
          <cell r="R30">
            <v>151.08047284372643</v>
          </cell>
          <cell r="S30">
            <v>149.82635758633532</v>
          </cell>
          <cell r="T30">
            <v>145.43572475712995</v>
          </cell>
          <cell r="U30">
            <v>143.23916463695858</v>
          </cell>
          <cell r="V30">
            <v>141.30193140509135</v>
          </cell>
        </row>
        <row r="31">
          <cell r="E31">
            <v>23</v>
          </cell>
          <cell r="M31">
            <v>132.60164303553185</v>
          </cell>
          <cell r="N31">
            <v>143.61856622157049</v>
          </cell>
          <cell r="O31">
            <v>151.51954374117085</v>
          </cell>
          <cell r="P31">
            <v>161.95952397022373</v>
          </cell>
          <cell r="Q31">
            <v>170.32015222444025</v>
          </cell>
          <cell r="R31">
            <v>171.35981234826696</v>
          </cell>
          <cell r="S31">
            <v>168.61736383770764</v>
          </cell>
          <cell r="T31">
            <v>170.09393423782504</v>
          </cell>
          <cell r="U31">
            <v>169.81671956381612</v>
          </cell>
          <cell r="V31">
            <v>165.18237279299927</v>
          </cell>
        </row>
        <row r="32">
          <cell r="E32">
            <v>4</v>
          </cell>
          <cell r="M32">
            <v>118.48906371650337</v>
          </cell>
          <cell r="N32">
            <v>133.29332417666583</v>
          </cell>
          <cell r="O32">
            <v>142.98952247122696</v>
          </cell>
          <cell r="P32">
            <v>152.45959954708064</v>
          </cell>
          <cell r="Q32">
            <v>159.26162994257541</v>
          </cell>
          <cell r="R32">
            <v>159.36725925252028</v>
          </cell>
          <cell r="S32">
            <v>154.72561681600141</v>
          </cell>
          <cell r="T32">
            <v>150.60600234198952</v>
          </cell>
          <cell r="U32">
            <v>148.81977146429637</v>
          </cell>
          <cell r="V32">
            <v>146.60865649898119</v>
          </cell>
        </row>
        <row r="33">
          <cell r="E33">
            <v>4</v>
          </cell>
          <cell r="M33">
            <v>95.639157714627416</v>
          </cell>
          <cell r="N33">
            <v>107.40951741690655</v>
          </cell>
          <cell r="O33">
            <v>117.57247333504775</v>
          </cell>
          <cell r="P33">
            <v>126.25196770895117</v>
          </cell>
          <cell r="Q33">
            <v>135.04716953243963</v>
          </cell>
          <cell r="R33">
            <v>140.01734694762646</v>
          </cell>
          <cell r="S33">
            <v>140.18045956750382</v>
          </cell>
          <cell r="T33">
            <v>137.29472158092727</v>
          </cell>
          <cell r="U33">
            <v>135.15409172508663</v>
          </cell>
          <cell r="V33">
            <v>133.12750998716669</v>
          </cell>
        </row>
        <row r="34">
          <cell r="E34">
            <v>0</v>
          </cell>
          <cell r="M34">
            <v>98.021710512606234</v>
          </cell>
          <cell r="N34">
            <v>110.57515419716323</v>
          </cell>
          <cell r="O34">
            <v>121.17918617070653</v>
          </cell>
          <cell r="P34">
            <v>130.9205528691673</v>
          </cell>
          <cell r="Q34">
            <v>140.15028225751249</v>
          </cell>
          <cell r="R34">
            <v>144.78950390997807</v>
          </cell>
          <cell r="S34">
            <v>143.50346634753748</v>
          </cell>
          <cell r="T34">
            <v>140.29012457511035</v>
          </cell>
          <cell r="U34">
            <v>138.94960033515986</v>
          </cell>
          <cell r="V34">
            <v>135.24790900484726</v>
          </cell>
        </row>
        <row r="35">
          <cell r="E35">
            <v>19</v>
          </cell>
          <cell r="M35">
            <v>136.79277216610251</v>
          </cell>
          <cell r="N35">
            <v>147.19229547791267</v>
          </cell>
          <cell r="O35">
            <v>155.03612123664163</v>
          </cell>
          <cell r="P35">
            <v>165.517968656216</v>
          </cell>
          <cell r="Q35">
            <v>173.86304741810562</v>
          </cell>
          <cell r="R35">
            <v>174.62215516828502</v>
          </cell>
          <cell r="S35">
            <v>172.26708445611226</v>
          </cell>
          <cell r="T35">
            <v>173.73125428680305</v>
          </cell>
          <cell r="U35">
            <v>173.44915204027231</v>
          </cell>
          <cell r="V35">
            <v>168.77652325059881</v>
          </cell>
        </row>
        <row r="36">
          <cell r="E36">
            <v>5</v>
          </cell>
          <cell r="M36">
            <v>123.72531956451012</v>
          </cell>
          <cell r="N36">
            <v>138.14041757224928</v>
          </cell>
          <cell r="O36">
            <v>147.97491624332054</v>
          </cell>
          <cell r="P36">
            <v>157.0147330604141</v>
          </cell>
          <cell r="Q36">
            <v>163.274385678306</v>
          </cell>
          <cell r="R36">
            <v>163.39537253112141</v>
          </cell>
          <cell r="S36">
            <v>159.03159676221952</v>
          </cell>
          <cell r="T36">
            <v>154.55600964178959</v>
          </cell>
          <cell r="U36">
            <v>152.13106298205352</v>
          </cell>
          <cell r="V36">
            <v>149.91726706978545</v>
          </cell>
        </row>
        <row r="37">
          <cell r="E37">
            <v>5</v>
          </cell>
          <cell r="M37">
            <v>97.342989925676576</v>
          </cell>
          <cell r="N37">
            <v>109.27199506048433</v>
          </cell>
          <cell r="O37">
            <v>119.40488312741512</v>
          </cell>
          <cell r="P37">
            <v>127.31690329301506</v>
          </cell>
          <cell r="Q37">
            <v>135.51386846073135</v>
          </cell>
          <cell r="R37">
            <v>140.57329285498574</v>
          </cell>
          <cell r="S37">
            <v>140.83715990315926</v>
          </cell>
          <cell r="T37">
            <v>136.78715962745198</v>
          </cell>
          <cell r="U37">
            <v>134.73925722264022</v>
          </cell>
          <cell r="V37">
            <v>131.86363703468243</v>
          </cell>
        </row>
        <row r="38">
          <cell r="E38">
            <v>2</v>
          </cell>
          <cell r="M38">
            <v>102.40803003129977</v>
          </cell>
          <cell r="N38">
            <v>114.45044398129329</v>
          </cell>
          <cell r="O38">
            <v>124.05520453480941</v>
          </cell>
          <cell r="P38">
            <v>134.41132347408777</v>
          </cell>
          <cell r="Q38">
            <v>144.62839644805837</v>
          </cell>
          <cell r="R38">
            <v>150.85728797579407</v>
          </cell>
          <cell r="S38">
            <v>147.92614204508718</v>
          </cell>
          <cell r="T38">
            <v>142.77755633515909</v>
          </cell>
          <cell r="U38">
            <v>140.11442578178662</v>
          </cell>
          <cell r="V38">
            <v>137.27175585960339</v>
          </cell>
        </row>
        <row r="39">
          <cell r="E39">
            <v>22</v>
          </cell>
          <cell r="M39">
            <v>140.45168573574512</v>
          </cell>
          <cell r="N39">
            <v>151.00939919500959</v>
          </cell>
          <cell r="O39">
            <v>158.79114120228925</v>
          </cell>
          <cell r="P39">
            <v>169.55308729679589</v>
          </cell>
          <cell r="Q39">
            <v>178.48048677316854</v>
          </cell>
          <cell r="R39">
            <v>179.87671125537392</v>
          </cell>
          <cell r="S39">
            <v>177.45246418002023</v>
          </cell>
          <cell r="T39">
            <v>178.47360514720299</v>
          </cell>
          <cell r="U39">
            <v>178.50196766233384</v>
          </cell>
          <cell r="V39">
            <v>174.12320714496022</v>
          </cell>
        </row>
        <row r="40">
          <cell r="E40">
            <v>4</v>
          </cell>
          <cell r="M40">
            <v>127.54912882170761</v>
          </cell>
          <cell r="N40">
            <v>142.62424265571261</v>
          </cell>
          <cell r="O40">
            <v>152.97198720507117</v>
          </cell>
          <cell r="P40">
            <v>162.5997880387909</v>
          </cell>
          <cell r="Q40">
            <v>169.25278316544984</v>
          </cell>
          <cell r="R40">
            <v>169.53105435464849</v>
          </cell>
          <cell r="S40">
            <v>164.00692984462353</v>
          </cell>
          <cell r="T40">
            <v>158.12984994327184</v>
          </cell>
          <cell r="U40">
            <v>155.30688260165385</v>
          </cell>
          <cell r="V40">
            <v>152.29703104838961</v>
          </cell>
        </row>
        <row r="41">
          <cell r="E41">
            <v>4</v>
          </cell>
          <cell r="M41">
            <v>99.38043505101281</v>
          </cell>
          <cell r="N41">
            <v>111.39599035434372</v>
          </cell>
          <cell r="O41">
            <v>121.49263487391755</v>
          </cell>
          <cell r="P41">
            <v>130.4042532495283</v>
          </cell>
          <cell r="Q41">
            <v>138.91374861851142</v>
          </cell>
          <cell r="R41">
            <v>144.1346278873379</v>
          </cell>
          <cell r="S41">
            <v>143.54473230794352</v>
          </cell>
          <cell r="T41">
            <v>139.90293079438442</v>
          </cell>
          <cell r="U41">
            <v>138.19330519974233</v>
          </cell>
          <cell r="V41">
            <v>136.33491719003712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22</v>
          </cell>
          <cell r="M43">
            <v>135.5656710185701</v>
          </cell>
          <cell r="N43">
            <v>146.30525579458657</v>
          </cell>
          <cell r="O43">
            <v>153.71453812486737</v>
          </cell>
          <cell r="P43">
            <v>163.62918917803509</v>
          </cell>
          <cell r="Q43">
            <v>172.43074278353507</v>
          </cell>
          <cell r="R43">
            <v>174.22639028910547</v>
          </cell>
          <cell r="S43">
            <v>171.62082077726348</v>
          </cell>
          <cell r="T43">
            <v>172.5826398442662</v>
          </cell>
          <cell r="U43">
            <v>172.27457048491161</v>
          </cell>
          <cell r="V43">
            <v>168.03876630813497</v>
          </cell>
        </row>
        <row r="44">
          <cell r="E44">
            <v>4</v>
          </cell>
          <cell r="M44">
            <v>123.54001378021188</v>
          </cell>
          <cell r="N44">
            <v>138.01237935303996</v>
          </cell>
          <cell r="O44">
            <v>147.96481113557493</v>
          </cell>
          <cell r="P44">
            <v>157.51405705085597</v>
          </cell>
          <cell r="Q44">
            <v>164.09760771963866</v>
          </cell>
          <cell r="R44">
            <v>164.75894815578954</v>
          </cell>
          <cell r="S44">
            <v>160.32401307477704</v>
          </cell>
          <cell r="T44">
            <v>155.76386032111279</v>
          </cell>
          <cell r="U44">
            <v>153.91003626666412</v>
          </cell>
          <cell r="V44">
            <v>151.82302376352266</v>
          </cell>
        </row>
        <row r="45">
          <cell r="E45">
            <v>4</v>
          </cell>
          <cell r="M45">
            <v>99.956248520288241</v>
          </cell>
          <cell r="N45">
            <v>111.81127855550525</v>
          </cell>
          <cell r="O45">
            <v>121.60452712976192</v>
          </cell>
          <cell r="P45">
            <v>130.15928291147497</v>
          </cell>
          <cell r="Q45">
            <v>139.11575876459315</v>
          </cell>
          <cell r="R45">
            <v>143.92610415061193</v>
          </cell>
          <cell r="S45">
            <v>142.84893932390898</v>
          </cell>
          <cell r="T45">
            <v>139.22099624382955</v>
          </cell>
          <cell r="U45">
            <v>137.01948509677058</v>
          </cell>
          <cell r="V45">
            <v>134.25377738844577</v>
          </cell>
        </row>
        <row r="46">
          <cell r="E46">
            <v>1</v>
          </cell>
          <cell r="M46">
            <v>98.579672682437192</v>
          </cell>
          <cell r="N46">
            <v>110.43088117847691</v>
          </cell>
          <cell r="O46">
            <v>119.29694725127526</v>
          </cell>
          <cell r="P46">
            <v>128.62539259641693</v>
          </cell>
          <cell r="Q46">
            <v>140.09459470613075</v>
          </cell>
          <cell r="R46">
            <v>147.38921341114303</v>
          </cell>
          <cell r="S46">
            <v>147.18121951837111</v>
          </cell>
          <cell r="T46">
            <v>142.19782931787606</v>
          </cell>
          <cell r="U46">
            <v>140.69974471505128</v>
          </cell>
          <cell r="V46">
            <v>139.40498535003849</v>
          </cell>
        </row>
        <row r="47">
          <cell r="E47">
            <v>18</v>
          </cell>
          <cell r="M47">
            <v>144.7179416626449</v>
          </cell>
          <cell r="N47">
            <v>155.67312057809102</v>
          </cell>
          <cell r="O47">
            <v>163.05335508609082</v>
          </cell>
          <cell r="P47">
            <v>173.05225132794581</v>
          </cell>
          <cell r="Q47">
            <v>182.2136451234563</v>
          </cell>
          <cell r="R47">
            <v>184.37283855399693</v>
          </cell>
          <cell r="S47">
            <v>181.28060737039843</v>
          </cell>
          <cell r="T47">
            <v>181.58662398102106</v>
          </cell>
          <cell r="U47">
            <v>181.26747548940656</v>
          </cell>
          <cell r="V47">
            <v>177.65936189862384</v>
          </cell>
        </row>
        <row r="48">
          <cell r="E48">
            <v>5</v>
          </cell>
          <cell r="M48">
            <v>131.32300742485597</v>
          </cell>
          <cell r="N48">
            <v>146.74187576715394</v>
          </cell>
          <cell r="O48">
            <v>156.21651997098246</v>
          </cell>
          <cell r="P48">
            <v>164.91046131760788</v>
          </cell>
          <cell r="Q48">
            <v>171.09689711557974</v>
          </cell>
          <cell r="R48">
            <v>171.76881539450102</v>
          </cell>
          <cell r="S48">
            <v>167.01046768849568</v>
          </cell>
          <cell r="T48">
            <v>162.21496110590743</v>
          </cell>
          <cell r="U48">
            <v>159.73873380049093</v>
          </cell>
          <cell r="V48">
            <v>157.45535224438282</v>
          </cell>
        </row>
        <row r="49">
          <cell r="E49">
            <v>5</v>
          </cell>
          <cell r="M49">
            <v>103.71084968712192</v>
          </cell>
          <cell r="N49">
            <v>116.36458934218255</v>
          </cell>
          <cell r="O49">
            <v>127.04631166843123</v>
          </cell>
          <cell r="P49">
            <v>135.32476969172046</v>
          </cell>
          <cell r="Q49">
            <v>143.60152872436674</v>
          </cell>
          <cell r="R49">
            <v>149.09485248525695</v>
          </cell>
          <cell r="S49">
            <v>149.70417937780297</v>
          </cell>
          <cell r="T49">
            <v>146.27305587668701</v>
          </cell>
          <cell r="U49">
            <v>143.13263903409748</v>
          </cell>
          <cell r="V49">
            <v>140.18449209244719</v>
          </cell>
        </row>
        <row r="50">
          <cell r="E50">
            <v>2</v>
          </cell>
          <cell r="M50">
            <v>101.09225933942814</v>
          </cell>
          <cell r="N50">
            <v>113.96419159019582</v>
          </cell>
          <cell r="O50">
            <v>124.36049300658505</v>
          </cell>
          <cell r="P50">
            <v>135.27232307206938</v>
          </cell>
          <cell r="Q50">
            <v>145.74967950890783</v>
          </cell>
          <cell r="R50">
            <v>152.60027787594726</v>
          </cell>
          <cell r="S50">
            <v>152.26872564218789</v>
          </cell>
          <cell r="T50">
            <v>147.43662809959019</v>
          </cell>
          <cell r="U50">
            <v>143.99167947853661</v>
          </cell>
          <cell r="V50">
            <v>142.45910584156786</v>
          </cell>
        </row>
        <row r="51">
          <cell r="E51">
            <v>21</v>
          </cell>
          <cell r="M51">
            <v>131.42925382850777</v>
          </cell>
          <cell r="N51">
            <v>144.73781874271594</v>
          </cell>
          <cell r="O51">
            <v>152.82992557103123</v>
          </cell>
          <cell r="P51">
            <v>162.02876061505216</v>
          </cell>
          <cell r="Q51">
            <v>170.76417732149056</v>
          </cell>
          <cell r="R51">
            <v>174.29688967581231</v>
          </cell>
          <cell r="S51">
            <v>171.93023536917198</v>
          </cell>
          <cell r="T51">
            <v>171.9861672198619</v>
          </cell>
          <cell r="U51">
            <v>171.30827629876444</v>
          </cell>
          <cell r="V51">
            <v>167.37931363936514</v>
          </cell>
        </row>
        <row r="52">
          <cell r="E52">
            <v>4</v>
          </cell>
          <cell r="M52">
            <v>122.65550433972008</v>
          </cell>
          <cell r="N52">
            <v>137.35477003359514</v>
          </cell>
          <cell r="O52">
            <v>147.21077021650061</v>
          </cell>
          <cell r="P52">
            <v>155.15801390052812</v>
          </cell>
          <cell r="Q52">
            <v>160.86907021297367</v>
          </cell>
          <cell r="R52">
            <v>161.985495842125</v>
          </cell>
          <cell r="S52">
            <v>158.48132843423568</v>
          </cell>
          <cell r="T52">
            <v>154.53999058715613</v>
          </cell>
          <cell r="U52">
            <v>151.73377678445513</v>
          </cell>
          <cell r="V52">
            <v>148.88840053357271</v>
          </cell>
        </row>
        <row r="53">
          <cell r="E53">
            <v>4</v>
          </cell>
          <cell r="M53">
            <v>100.08887131742296</v>
          </cell>
          <cell r="N53">
            <v>112.29341434462471</v>
          </cell>
          <cell r="O53">
            <v>122.50798721658481</v>
          </cell>
          <cell r="P53">
            <v>130.87850324734424</v>
          </cell>
          <cell r="Q53">
            <v>138.62437926074315</v>
          </cell>
          <cell r="R53">
            <v>143.36877652443849</v>
          </cell>
          <cell r="S53">
            <v>143.71648741243595</v>
          </cell>
          <cell r="T53">
            <v>140.72507252514021</v>
          </cell>
          <cell r="U53">
            <v>139.07573333703755</v>
          </cell>
          <cell r="V53">
            <v>136.91066244586935</v>
          </cell>
        </row>
        <row r="54">
          <cell r="E54">
            <v>2</v>
          </cell>
          <cell r="M54">
            <v>89.005478096902593</v>
          </cell>
          <cell r="N54">
            <v>98.178552254788386</v>
          </cell>
          <cell r="O54">
            <v>107.3893849330134</v>
          </cell>
          <cell r="P54">
            <v>116.24318844963064</v>
          </cell>
          <cell r="Q54">
            <v>124.67091176383153</v>
          </cell>
          <cell r="R54">
            <v>131.02468306972133</v>
          </cell>
          <cell r="S54">
            <v>131.93354629578781</v>
          </cell>
          <cell r="T54">
            <v>129.50645963756682</v>
          </cell>
          <cell r="U54">
            <v>128.87315016748579</v>
          </cell>
          <cell r="V54">
            <v>127.82626417775934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20</v>
          </cell>
          <cell r="M7">
            <v>132.66381404623812</v>
          </cell>
          <cell r="N7">
            <v>144.7194143239563</v>
          </cell>
          <cell r="O7">
            <v>152.67836259541849</v>
          </cell>
          <cell r="P7">
            <v>163.14225891690697</v>
          </cell>
          <cell r="Q7">
            <v>172.19446464832333</v>
          </cell>
          <cell r="R7">
            <v>175.28952449888175</v>
          </cell>
          <cell r="S7">
            <v>173.47829119891867</v>
          </cell>
          <cell r="T7">
            <v>174.73950105044054</v>
          </cell>
          <cell r="U7">
            <v>174.5065841514041</v>
          </cell>
          <cell r="V7">
            <v>170.21741192149122</v>
          </cell>
        </row>
        <row r="8">
          <cell r="E8">
            <v>5</v>
          </cell>
          <cell r="M8">
            <v>119.17901990252898</v>
          </cell>
          <cell r="N8">
            <v>133.21113373661055</v>
          </cell>
          <cell r="O8">
            <v>143.55686476247831</v>
          </cell>
          <cell r="P8">
            <v>152.48942998992413</v>
          </cell>
          <cell r="Q8">
            <v>159.9013194599504</v>
          </cell>
          <cell r="R8">
            <v>161.52029974977327</v>
          </cell>
          <cell r="S8">
            <v>158.1174510377044</v>
          </cell>
          <cell r="T8">
            <v>154.03767459277475</v>
          </cell>
          <cell r="U8">
            <v>151.92689968398358</v>
          </cell>
          <cell r="V8">
            <v>149.64486937157454</v>
          </cell>
        </row>
        <row r="9">
          <cell r="E9">
            <v>4</v>
          </cell>
          <cell r="M9">
            <v>96.946104266016164</v>
          </cell>
          <cell r="N9">
            <v>107.96387728648008</v>
          </cell>
          <cell r="O9">
            <v>118.0847916195022</v>
          </cell>
          <cell r="P9">
            <v>126.06280217592177</v>
          </cell>
          <cell r="Q9">
            <v>135.15761028008953</v>
          </cell>
          <cell r="R9">
            <v>141.05155146794098</v>
          </cell>
          <cell r="S9">
            <v>142.27993991011112</v>
          </cell>
          <cell r="T9">
            <v>139.57165502300776</v>
          </cell>
          <cell r="U9">
            <v>137.1690276138612</v>
          </cell>
          <cell r="V9">
            <v>134.90204031564298</v>
          </cell>
        </row>
        <row r="10">
          <cell r="E10">
            <v>2</v>
          </cell>
          <cell r="M10">
            <v>85.554151683720448</v>
          </cell>
          <cell r="N10">
            <v>93.49538164353433</v>
          </cell>
          <cell r="O10">
            <v>101.88360131448339</v>
          </cell>
          <cell r="P10">
            <v>110.83070517084286</v>
          </cell>
          <cell r="Q10">
            <v>120.35157020657128</v>
          </cell>
          <cell r="R10">
            <v>127.30584783288573</v>
          </cell>
          <cell r="S10">
            <v>128.2954470032314</v>
          </cell>
          <cell r="T10">
            <v>126.00899264691803</v>
          </cell>
          <cell r="U10">
            <v>123.7071363564831</v>
          </cell>
          <cell r="V10">
            <v>122.07270195475138</v>
          </cell>
        </row>
        <row r="11">
          <cell r="E11">
            <v>20</v>
          </cell>
          <cell r="M11">
            <v>146.68896926086904</v>
          </cell>
          <cell r="N11">
            <v>156.9097740147991</v>
          </cell>
          <cell r="O11">
            <v>163.70771276008097</v>
          </cell>
          <cell r="P11">
            <v>174.1628479567396</v>
          </cell>
          <cell r="Q11">
            <v>182.63231002364742</v>
          </cell>
          <cell r="R11">
            <v>183.12335834214298</v>
          </cell>
          <cell r="S11">
            <v>180.6892946067255</v>
          </cell>
          <cell r="T11">
            <v>182.19781610199618</v>
          </cell>
          <cell r="U11">
            <v>182.42098366053438</v>
          </cell>
          <cell r="V11">
            <v>178.3951606288098</v>
          </cell>
        </row>
        <row r="12">
          <cell r="E12">
            <v>4</v>
          </cell>
          <cell r="M12">
            <v>134.02743150161854</v>
          </cell>
          <cell r="N12">
            <v>149.8528294768347</v>
          </cell>
          <cell r="O12">
            <v>159.87883399591766</v>
          </cell>
          <cell r="P12">
            <v>169.21391448598501</v>
          </cell>
          <cell r="Q12">
            <v>174.87853904212315</v>
          </cell>
          <cell r="R12">
            <v>175.00197903769561</v>
          </cell>
          <cell r="S12">
            <v>170.08567091430413</v>
          </cell>
          <cell r="T12">
            <v>165.32349913686352</v>
          </cell>
          <cell r="U12">
            <v>163.48880954979509</v>
          </cell>
          <cell r="V12">
            <v>161.24916657440804</v>
          </cell>
        </row>
        <row r="13">
          <cell r="E13">
            <v>5</v>
          </cell>
          <cell r="M13">
            <v>106.60437397057042</v>
          </cell>
          <cell r="N13">
            <v>118.85860243534883</v>
          </cell>
          <cell r="O13">
            <v>129.25523526443757</v>
          </cell>
          <cell r="P13">
            <v>138.04406491819947</v>
          </cell>
          <cell r="Q13">
            <v>147.51855813133085</v>
          </cell>
          <cell r="R13">
            <v>153.30403592970779</v>
          </cell>
          <cell r="S13">
            <v>153.60028085106612</v>
          </cell>
          <cell r="T13">
            <v>150.4704737564613</v>
          </cell>
          <cell r="U13">
            <v>147.94884304480723</v>
          </cell>
          <cell r="V13">
            <v>145.33919314942665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20</v>
          </cell>
          <cell r="M15">
            <v>138.18508092236394</v>
          </cell>
          <cell r="N15">
            <v>147.77267660460367</v>
          </cell>
          <cell r="O15">
            <v>154.17425548501942</v>
          </cell>
          <cell r="P15">
            <v>164.09211442478681</v>
          </cell>
          <cell r="Q15">
            <v>172.13046463934694</v>
          </cell>
          <cell r="R15">
            <v>172.96900595319204</v>
          </cell>
          <cell r="S15">
            <v>170.62377094777653</v>
          </cell>
          <cell r="T15">
            <v>171.93022052202571</v>
          </cell>
          <cell r="U15">
            <v>171.59304924168958</v>
          </cell>
          <cell r="V15">
            <v>167.88667127292746</v>
          </cell>
        </row>
        <row r="16">
          <cell r="E16">
            <v>4</v>
          </cell>
          <cell r="M16">
            <v>126.20771412153739</v>
          </cell>
          <cell r="N16">
            <v>140.36722555730026</v>
          </cell>
          <cell r="O16">
            <v>149.47786566704846</v>
          </cell>
          <cell r="P16">
            <v>158.1284099541808</v>
          </cell>
          <cell r="Q16">
            <v>164.6505969993496</v>
          </cell>
          <cell r="R16">
            <v>165.14028869537555</v>
          </cell>
          <cell r="S16">
            <v>161.25905505567241</v>
          </cell>
          <cell r="T16">
            <v>157.295839044118</v>
          </cell>
          <cell r="U16">
            <v>154.71278084651553</v>
          </cell>
          <cell r="V16">
            <v>152.27937802973707</v>
          </cell>
        </row>
        <row r="17">
          <cell r="E17">
            <v>4</v>
          </cell>
          <cell r="M17">
            <v>99.426161930359072</v>
          </cell>
          <cell r="N17">
            <v>111.2394201032817</v>
          </cell>
          <cell r="O17">
            <v>120.35339010454621</v>
          </cell>
          <cell r="P17">
            <v>128.30256057489891</v>
          </cell>
          <cell r="Q17">
            <v>136.6320075024712</v>
          </cell>
          <cell r="R17">
            <v>141.94963870510179</v>
          </cell>
          <cell r="S17">
            <v>142.28462642409698</v>
          </cell>
          <cell r="T17">
            <v>139.60511995840278</v>
          </cell>
          <cell r="U17">
            <v>137.68019758451064</v>
          </cell>
          <cell r="V17">
            <v>135.53620439895525</v>
          </cell>
        </row>
        <row r="18">
          <cell r="E18">
            <v>3</v>
          </cell>
          <cell r="M18">
            <v>104.19657305475661</v>
          </cell>
          <cell r="N18">
            <v>115.74916997610904</v>
          </cell>
          <cell r="O18">
            <v>126.12466447676422</v>
          </cell>
          <cell r="P18">
            <v>135.8099812488766</v>
          </cell>
          <cell r="Q18">
            <v>146.72200412480518</v>
          </cell>
          <cell r="R18">
            <v>152.37451394742115</v>
          </cell>
          <cell r="S18">
            <v>150.58445376108318</v>
          </cell>
          <cell r="T18">
            <v>146.79851099128095</v>
          </cell>
          <cell r="U18">
            <v>144.47940282699315</v>
          </cell>
          <cell r="V18">
            <v>143.08489454039082</v>
          </cell>
        </row>
        <row r="19">
          <cell r="E19">
            <v>22</v>
          </cell>
          <cell r="M19">
            <v>140.18431395223035</v>
          </cell>
          <cell r="N19">
            <v>150.46788858427277</v>
          </cell>
          <cell r="O19">
            <v>157.55228021949785</v>
          </cell>
          <cell r="P19">
            <v>167.66758148752334</v>
          </cell>
          <cell r="Q19">
            <v>176.31796449785861</v>
          </cell>
          <cell r="R19">
            <v>177.89265849543108</v>
          </cell>
          <cell r="S19">
            <v>175.38441217678994</v>
          </cell>
          <cell r="T19">
            <v>176.55898950881124</v>
          </cell>
          <cell r="U19">
            <v>176.39036671173403</v>
          </cell>
          <cell r="V19">
            <v>172.24072895305557</v>
          </cell>
        </row>
        <row r="20">
          <cell r="E20">
            <v>4</v>
          </cell>
          <cell r="M20">
            <v>123.31562112010981</v>
          </cell>
          <cell r="N20">
            <v>137.40134209662619</v>
          </cell>
          <cell r="O20">
            <v>147.07475758980078</v>
          </cell>
          <cell r="P20">
            <v>155.62468096700309</v>
          </cell>
          <cell r="Q20">
            <v>161.98546630462687</v>
          </cell>
          <cell r="R20">
            <v>163.54269813605228</v>
          </cell>
          <cell r="S20">
            <v>160.70110374585298</v>
          </cell>
          <cell r="T20">
            <v>157.19298871964003</v>
          </cell>
          <cell r="U20">
            <v>156.13080076030067</v>
          </cell>
          <cell r="V20">
            <v>154.63412678503545</v>
          </cell>
        </row>
        <row r="21">
          <cell r="E21">
            <v>4</v>
          </cell>
          <cell r="M21">
            <v>103.61849060591285</v>
          </cell>
          <cell r="N21">
            <v>115.82443090027006</v>
          </cell>
          <cell r="O21">
            <v>125.99307367835877</v>
          </cell>
          <cell r="P21">
            <v>133.43713312596816</v>
          </cell>
          <cell r="Q21">
            <v>140.66847638394844</v>
          </cell>
          <cell r="R21">
            <v>145.7668849849891</v>
          </cell>
          <cell r="S21">
            <v>146.55556647021399</v>
          </cell>
          <cell r="T21">
            <v>144.87440765053475</v>
          </cell>
          <cell r="U21">
            <v>142.97019195247219</v>
          </cell>
          <cell r="V21">
            <v>140.79703454611069</v>
          </cell>
        </row>
        <row r="22">
          <cell r="E22">
            <v>0</v>
          </cell>
          <cell r="M22">
            <v>104.61914514258416</v>
          </cell>
          <cell r="N22">
            <v>115.48769601597311</v>
          </cell>
          <cell r="O22">
            <v>121.96020506420469</v>
          </cell>
          <cell r="P22">
            <v>125.71594480089018</v>
          </cell>
          <cell r="Q22">
            <v>134.2809159357185</v>
          </cell>
          <cell r="R22">
            <v>141.88148660917304</v>
          </cell>
          <cell r="S22">
            <v>141.18560727150975</v>
          </cell>
          <cell r="T22">
            <v>138.08959399047441</v>
          </cell>
          <cell r="U22">
            <v>136.10513043670178</v>
          </cell>
          <cell r="V22">
            <v>135.93013720613976</v>
          </cell>
        </row>
        <row r="23">
          <cell r="E23">
            <v>19</v>
          </cell>
          <cell r="M23">
            <v>138.1991799929483</v>
          </cell>
          <cell r="N23">
            <v>147.9232411438426</v>
          </cell>
          <cell r="O23">
            <v>155.03787059737593</v>
          </cell>
          <cell r="P23">
            <v>165.17034942543606</v>
          </cell>
          <cell r="Q23">
            <v>173.47025107624052</v>
          </cell>
          <cell r="R23">
            <v>174.10973571271154</v>
          </cell>
          <cell r="S23">
            <v>171.2078838839152</v>
          </cell>
          <cell r="T23">
            <v>171.92494582207402</v>
          </cell>
          <cell r="U23">
            <v>171.93161667312202</v>
          </cell>
          <cell r="V23">
            <v>167.97408645923736</v>
          </cell>
        </row>
        <row r="24">
          <cell r="E24">
            <v>4</v>
          </cell>
          <cell r="M24">
            <v>125.22067482505916</v>
          </cell>
          <cell r="N24">
            <v>139.74727913045251</v>
          </cell>
          <cell r="O24">
            <v>149.34248170162138</v>
          </cell>
          <cell r="P24">
            <v>158.11970416942836</v>
          </cell>
          <cell r="Q24">
            <v>164.24497320552152</v>
          </cell>
          <cell r="R24">
            <v>164.35244047360229</v>
          </cell>
          <cell r="S24">
            <v>160.02632637028665</v>
          </cell>
          <cell r="T24">
            <v>155.94330225338433</v>
          </cell>
          <cell r="U24">
            <v>154.20362841697471</v>
          </cell>
          <cell r="V24">
            <v>152.09991806435383</v>
          </cell>
        </row>
        <row r="25">
          <cell r="E25">
            <v>5</v>
          </cell>
          <cell r="M25">
            <v>99.733751567590716</v>
          </cell>
          <cell r="N25">
            <v>112.32707398510969</v>
          </cell>
          <cell r="O25">
            <v>122.82924192300435</v>
          </cell>
          <cell r="P25">
            <v>131.18636995730762</v>
          </cell>
          <cell r="Q25">
            <v>139.62208880728818</v>
          </cell>
          <cell r="R25">
            <v>143.62340725272637</v>
          </cell>
          <cell r="S25">
            <v>142.72750041461637</v>
          </cell>
          <cell r="T25">
            <v>138.53533617814981</v>
          </cell>
          <cell r="U25">
            <v>137.1285771795493</v>
          </cell>
          <cell r="V25">
            <v>135.13390891549838</v>
          </cell>
        </row>
        <row r="26">
          <cell r="E26">
            <v>3</v>
          </cell>
          <cell r="M26">
            <v>105.03152833158414</v>
          </cell>
          <cell r="N26">
            <v>116.9769560020077</v>
          </cell>
          <cell r="O26">
            <v>126.75099398625737</v>
          </cell>
          <cell r="P26">
            <v>137.38880203508035</v>
          </cell>
          <cell r="Q26">
            <v>146.26569514463063</v>
          </cell>
          <cell r="R26">
            <v>153.199686679704</v>
          </cell>
          <cell r="S26">
            <v>150.67261524786591</v>
          </cell>
          <cell r="T26">
            <v>146.08801871088573</v>
          </cell>
          <cell r="U26">
            <v>141.51939490139722</v>
          </cell>
          <cell r="V26">
            <v>139.93952897830258</v>
          </cell>
        </row>
        <row r="27">
          <cell r="E27">
            <v>21</v>
          </cell>
          <cell r="M27">
            <v>141.19540088406995</v>
          </cell>
          <cell r="N27">
            <v>152.55984154215713</v>
          </cell>
          <cell r="O27">
            <v>160.27979183064576</v>
          </cell>
          <cell r="P27">
            <v>170.34805087056483</v>
          </cell>
          <cell r="Q27">
            <v>179.54899333751982</v>
          </cell>
          <cell r="R27">
            <v>181.72301721137941</v>
          </cell>
          <cell r="S27">
            <v>179.17228394357693</v>
          </cell>
          <cell r="T27">
            <v>180.07058147303198</v>
          </cell>
          <cell r="U27">
            <v>179.9933172380679</v>
          </cell>
          <cell r="V27">
            <v>175.82276725470078</v>
          </cell>
        </row>
        <row r="28">
          <cell r="E28">
            <v>4</v>
          </cell>
          <cell r="M28">
            <v>128.00363403150277</v>
          </cell>
          <cell r="N28">
            <v>142.57254819780971</v>
          </cell>
          <cell r="O28">
            <v>152.24705784337235</v>
          </cell>
          <cell r="P28">
            <v>161.60232323139635</v>
          </cell>
          <cell r="Q28">
            <v>168.19413283740846</v>
          </cell>
          <cell r="R28">
            <v>169.02643969624469</v>
          </cell>
          <cell r="S28">
            <v>164.61357132525814</v>
          </cell>
          <cell r="T28">
            <v>160.81494777199885</v>
          </cell>
          <cell r="U28">
            <v>159.59100550976405</v>
          </cell>
          <cell r="V28">
            <v>156.94639333460768</v>
          </cell>
        </row>
        <row r="29">
          <cell r="E29">
            <v>4</v>
          </cell>
          <cell r="M29">
            <v>103.18937890207802</v>
          </cell>
          <cell r="N29">
            <v>114.6436697098821</v>
          </cell>
          <cell r="O29">
            <v>124.56582778309333</v>
          </cell>
          <cell r="P29">
            <v>131.86628763549476</v>
          </cell>
          <cell r="Q29">
            <v>140.47988214349897</v>
          </cell>
          <cell r="R29">
            <v>145.95803909930606</v>
          </cell>
          <cell r="S29">
            <v>146.23613721870223</v>
          </cell>
          <cell r="T29">
            <v>143.39129199424011</v>
          </cell>
          <cell r="U29">
            <v>141.71271834674945</v>
          </cell>
          <cell r="V29">
            <v>139.58247005528284</v>
          </cell>
        </row>
        <row r="30">
          <cell r="E30">
            <v>1</v>
          </cell>
          <cell r="M30">
            <v>101.67709744383217</v>
          </cell>
          <cell r="N30">
            <v>113.39459514676831</v>
          </cell>
          <cell r="O30">
            <v>123.78013940548496</v>
          </cell>
          <cell r="P30">
            <v>134.38062768723358</v>
          </cell>
          <cell r="Q30">
            <v>145.3103783616809</v>
          </cell>
          <cell r="R30">
            <v>151.70142997822424</v>
          </cell>
          <cell r="S30">
            <v>150.44372552532133</v>
          </cell>
          <cell r="T30">
            <v>146.04053218101478</v>
          </cell>
          <cell r="U30">
            <v>143.8376903571193</v>
          </cell>
          <cell r="V30">
            <v>141.89491369310284</v>
          </cell>
        </row>
        <row r="31">
          <cell r="E31">
            <v>20</v>
          </cell>
          <cell r="M31">
            <v>137.03685811636029</v>
          </cell>
          <cell r="N31">
            <v>148.34618954419668</v>
          </cell>
          <cell r="O31">
            <v>156.45686923995908</v>
          </cell>
          <cell r="P31">
            <v>167.17394167225896</v>
          </cell>
          <cell r="Q31">
            <v>175.7564745853737</v>
          </cell>
          <cell r="R31">
            <v>176.82373011466069</v>
          </cell>
          <cell r="S31">
            <v>174.0084918316241</v>
          </cell>
          <cell r="T31">
            <v>175.52425339016779</v>
          </cell>
          <cell r="U31">
            <v>175.23968206285727</v>
          </cell>
          <cell r="V31">
            <v>170.48233119673344</v>
          </cell>
        </row>
        <row r="32">
          <cell r="E32">
            <v>5</v>
          </cell>
          <cell r="M32">
            <v>122.54970970503017</v>
          </cell>
          <cell r="N32">
            <v>137.74689977041069</v>
          </cell>
          <cell r="O32">
            <v>147.70044831668582</v>
          </cell>
          <cell r="P32">
            <v>157.42187527989446</v>
          </cell>
          <cell r="Q32">
            <v>164.40444275379161</v>
          </cell>
          <cell r="R32">
            <v>164.51287610150985</v>
          </cell>
          <cell r="S32">
            <v>159.74803693233707</v>
          </cell>
          <cell r="T32">
            <v>155.51908261239441</v>
          </cell>
          <cell r="U32">
            <v>153.68544290565208</v>
          </cell>
          <cell r="V32">
            <v>151.4156411692102</v>
          </cell>
        </row>
        <row r="33">
          <cell r="E33">
            <v>4</v>
          </cell>
          <cell r="M33">
            <v>99.093334055528757</v>
          </cell>
          <cell r="N33">
            <v>111.17609840554015</v>
          </cell>
          <cell r="O33">
            <v>121.60879241022798</v>
          </cell>
          <cell r="P33">
            <v>130.51865239447642</v>
          </cell>
          <cell r="Q33">
            <v>139.54729432092265</v>
          </cell>
          <cell r="R33">
            <v>144.64938857112023</v>
          </cell>
          <cell r="S33">
            <v>144.81682867168547</v>
          </cell>
          <cell r="T33">
            <v>141.85449962512757</v>
          </cell>
          <cell r="U33">
            <v>139.65705424935416</v>
          </cell>
          <cell r="V33">
            <v>137.57668476024858</v>
          </cell>
        </row>
        <row r="34">
          <cell r="E34">
            <v>2</v>
          </cell>
          <cell r="M34">
            <v>101.53912198163626</v>
          </cell>
          <cell r="N34">
            <v>114.42575629640969</v>
          </cell>
          <cell r="O34">
            <v>125.3112317466221</v>
          </cell>
          <cell r="P34">
            <v>135.3111505343492</v>
          </cell>
          <cell r="Q34">
            <v>144.78585087748468</v>
          </cell>
          <cell r="R34">
            <v>149.54820606775334</v>
          </cell>
          <cell r="S34">
            <v>148.22803373544639</v>
          </cell>
          <cell r="T34">
            <v>144.92940620063072</v>
          </cell>
          <cell r="U34">
            <v>143.55330086149175</v>
          </cell>
          <cell r="V34">
            <v>139.75336179553469</v>
          </cell>
        </row>
        <row r="35">
          <cell r="E35">
            <v>21</v>
          </cell>
          <cell r="M35">
            <v>138.96940635292245</v>
          </cell>
          <cell r="N35">
            <v>149.49781023095457</v>
          </cell>
          <cell r="O35">
            <v>157.43884254763478</v>
          </cell>
          <cell r="P35">
            <v>168.05059016342298</v>
          </cell>
          <cell r="Q35">
            <v>176.49908782785494</v>
          </cell>
          <cell r="R35">
            <v>177.26760497000902</v>
          </cell>
          <cell r="S35">
            <v>174.88334730427937</v>
          </cell>
          <cell r="T35">
            <v>176.3656613200238</v>
          </cell>
          <cell r="U35">
            <v>176.08006382956322</v>
          </cell>
          <cell r="V35">
            <v>171.34952918381737</v>
          </cell>
        </row>
        <row r="36">
          <cell r="E36">
            <v>3</v>
          </cell>
          <cell r="M36">
            <v>125.74001140999236</v>
          </cell>
          <cell r="N36">
            <v>140.33375271617984</v>
          </cell>
          <cell r="O36">
            <v>150.29012993098425</v>
          </cell>
          <cell r="P36">
            <v>159.44197626238756</v>
          </cell>
          <cell r="Q36">
            <v>165.7792009573314</v>
          </cell>
          <cell r="R36">
            <v>165.90169068471707</v>
          </cell>
          <cell r="S36">
            <v>161.48383538218147</v>
          </cell>
          <cell r="T36">
            <v>156.95278116068829</v>
          </cell>
          <cell r="U36">
            <v>154.49778306455121</v>
          </cell>
          <cell r="V36">
            <v>152.25655261951439</v>
          </cell>
        </row>
        <row r="37">
          <cell r="E37">
            <v>5</v>
          </cell>
          <cell r="M37">
            <v>99.030730197648708</v>
          </cell>
          <cell r="N37">
            <v>111.10756999708484</v>
          </cell>
          <cell r="O37">
            <v>121.36603446427921</v>
          </cell>
          <cell r="P37">
            <v>129.37610589927212</v>
          </cell>
          <cell r="Q37">
            <v>137.67465408989713</v>
          </cell>
          <cell r="R37">
            <v>142.79677986697965</v>
          </cell>
          <cell r="S37">
            <v>143.06391748875436</v>
          </cell>
          <cell r="T37">
            <v>138.9637252986879</v>
          </cell>
          <cell r="U37">
            <v>136.89044250178361</v>
          </cell>
          <cell r="V37">
            <v>133.97918760325928</v>
          </cell>
        </row>
        <row r="38">
          <cell r="E38">
            <v>2</v>
          </cell>
          <cell r="M38">
            <v>104.1585401912559</v>
          </cell>
          <cell r="N38">
            <v>116.35019325876551</v>
          </cell>
          <cell r="O38">
            <v>126.07398561499802</v>
          </cell>
          <cell r="P38">
            <v>136.55844472811478</v>
          </cell>
          <cell r="Q38">
            <v>146.90213607684294</v>
          </cell>
          <cell r="R38">
            <v>153.20822328193401</v>
          </cell>
          <cell r="S38">
            <v>150.24075235161021</v>
          </cell>
          <cell r="T38">
            <v>145.02835900251247</v>
          </cell>
          <cell r="U38">
            <v>142.3322252152679</v>
          </cell>
          <cell r="V38">
            <v>139.45432615312879</v>
          </cell>
        </row>
        <row r="39">
          <cell r="E39">
            <v>22</v>
          </cell>
          <cell r="M39">
            <v>143.2707913473518</v>
          </cell>
          <cell r="N39">
            <v>153.99618060271703</v>
          </cell>
          <cell r="O39">
            <v>161.90150908258386</v>
          </cell>
          <cell r="P39">
            <v>172.83437461281801</v>
          </cell>
          <cell r="Q39">
            <v>181.90355393655497</v>
          </cell>
          <cell r="R39">
            <v>183.32195490630184</v>
          </cell>
          <cell r="S39">
            <v>180.85920603703428</v>
          </cell>
          <cell r="T39">
            <v>181.89656369420291</v>
          </cell>
          <cell r="U39">
            <v>181.92537531965851</v>
          </cell>
          <cell r="V39">
            <v>177.47707506881051</v>
          </cell>
        </row>
        <row r="40">
          <cell r="E40">
            <v>4</v>
          </cell>
          <cell r="M40">
            <v>130.16332008187251</v>
          </cell>
          <cell r="N40">
            <v>145.47785324743765</v>
          </cell>
          <cell r="O40">
            <v>155.98993654606286</v>
          </cell>
          <cell r="P40">
            <v>165.77064538136057</v>
          </cell>
          <cell r="Q40">
            <v>172.52930057739184</v>
          </cell>
          <cell r="R40">
            <v>172.81199034206969</v>
          </cell>
          <cell r="S40">
            <v>167.2001333403345</v>
          </cell>
          <cell r="T40">
            <v>161.22971690890864</v>
          </cell>
          <cell r="U40">
            <v>158.36191345803803</v>
          </cell>
          <cell r="V40">
            <v>155.30426349982292</v>
          </cell>
        </row>
        <row r="41">
          <cell r="E41">
            <v>4</v>
          </cell>
          <cell r="M41">
            <v>101.5472617164538</v>
          </cell>
          <cell r="N41">
            <v>113.75364473143048</v>
          </cell>
          <cell r="O41">
            <v>124.01064031485531</v>
          </cell>
          <cell r="P41">
            <v>133.0637899898781</v>
          </cell>
          <cell r="Q41">
            <v>141.70843028132109</v>
          </cell>
          <cell r="R41">
            <v>147.01222488344888</v>
          </cell>
          <cell r="S41">
            <v>146.41296299639976</v>
          </cell>
          <cell r="T41">
            <v>142.71332386792361</v>
          </cell>
          <cell r="U41">
            <v>140.97654510813615</v>
          </cell>
          <cell r="V41">
            <v>139.08864366490025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20</v>
          </cell>
          <cell r="M43">
            <v>139.22723577367327</v>
          </cell>
          <cell r="N43">
            <v>150.19681391127511</v>
          </cell>
          <cell r="O43">
            <v>157.76477030538197</v>
          </cell>
          <cell r="P43">
            <v>167.89174516745533</v>
          </cell>
          <cell r="Q43">
            <v>176.88178501817586</v>
          </cell>
          <cell r="R43">
            <v>178.71588800042355</v>
          </cell>
          <cell r="S43">
            <v>176.05452201211122</v>
          </cell>
          <cell r="T43">
            <v>177.03693645926128</v>
          </cell>
          <cell r="U43">
            <v>176.72227119784384</v>
          </cell>
          <cell r="V43">
            <v>172.39575232139038</v>
          </cell>
        </row>
        <row r="44">
          <cell r="E44">
            <v>5</v>
          </cell>
          <cell r="M44">
            <v>126.94404705580271</v>
          </cell>
          <cell r="N44">
            <v>141.72634307381296</v>
          </cell>
          <cell r="O44">
            <v>151.89190894359649</v>
          </cell>
          <cell r="P44">
            <v>161.64565609316983</v>
          </cell>
          <cell r="Q44">
            <v>168.37019334089237</v>
          </cell>
          <cell r="R44">
            <v>169.04569646204558</v>
          </cell>
          <cell r="S44">
            <v>164.51578857072775</v>
          </cell>
          <cell r="T44">
            <v>159.85797711130647</v>
          </cell>
          <cell r="U44">
            <v>157.96445469734863</v>
          </cell>
          <cell r="V44">
            <v>155.83274542783786</v>
          </cell>
        </row>
        <row r="45">
          <cell r="E45">
            <v>5</v>
          </cell>
          <cell r="M45">
            <v>102.85522918996963</v>
          </cell>
          <cell r="N45">
            <v>114.96413777370449</v>
          </cell>
          <cell r="O45">
            <v>124.96711133370574</v>
          </cell>
          <cell r="P45">
            <v>133.70507080714802</v>
          </cell>
          <cell r="Q45">
            <v>142.85335007527462</v>
          </cell>
          <cell r="R45">
            <v>147.7667109442566</v>
          </cell>
          <cell r="S45">
            <v>146.66648063454616</v>
          </cell>
          <cell r="T45">
            <v>142.96084264167652</v>
          </cell>
          <cell r="U45">
            <v>140.71218555824848</v>
          </cell>
          <cell r="V45">
            <v>137.88724853135588</v>
          </cell>
        </row>
        <row r="46">
          <cell r="E46">
            <v>1</v>
          </cell>
          <cell r="M46">
            <v>101.44917221977998</v>
          </cell>
          <cell r="N46">
            <v>113.55417853748339</v>
          </cell>
          <cell r="O46">
            <v>122.61011577126368</v>
          </cell>
          <cell r="P46">
            <v>132.13833155041996</v>
          </cell>
          <cell r="Q46">
            <v>143.85314921246336</v>
          </cell>
          <cell r="R46">
            <v>151.30398386669538</v>
          </cell>
          <cell r="S46">
            <v>151.09153805287318</v>
          </cell>
          <cell r="T46">
            <v>146.00142572001192</v>
          </cell>
          <cell r="U46">
            <v>144.47125834874041</v>
          </cell>
          <cell r="V46">
            <v>143.14877122005177</v>
          </cell>
        </row>
        <row r="47">
          <cell r="E47">
            <v>20</v>
          </cell>
          <cell r="M47">
            <v>146.38835721682889</v>
          </cell>
          <cell r="N47">
            <v>157.44155421142889</v>
          </cell>
          <cell r="O47">
            <v>164.88781935641018</v>
          </cell>
          <cell r="P47">
            <v>174.97617791245219</v>
          </cell>
          <cell r="Q47">
            <v>184.21953933933057</v>
          </cell>
          <cell r="R47">
            <v>186.39805366518738</v>
          </cell>
          <cell r="S47">
            <v>183.27815402558778</v>
          </cell>
          <cell r="T47">
            <v>183.58690896673562</v>
          </cell>
          <cell r="U47">
            <v>183.26490561105081</v>
          </cell>
          <cell r="V47">
            <v>179.62450882603704</v>
          </cell>
        </row>
        <row r="48">
          <cell r="E48">
            <v>4</v>
          </cell>
          <cell r="M48">
            <v>132.8735766568775</v>
          </cell>
          <cell r="N48">
            <v>148.43039974945083</v>
          </cell>
          <cell r="O48">
            <v>157.98981310197257</v>
          </cell>
          <cell r="P48">
            <v>166.76154267180826</v>
          </cell>
          <cell r="Q48">
            <v>173.0033278692147</v>
          </cell>
          <cell r="R48">
            <v>173.68125962919459</v>
          </cell>
          <cell r="S48">
            <v>168.88033714839179</v>
          </cell>
          <cell r="T48">
            <v>164.04192413684706</v>
          </cell>
          <cell r="U48">
            <v>161.54354100114918</v>
          </cell>
          <cell r="V48">
            <v>159.23973041540842</v>
          </cell>
        </row>
        <row r="49">
          <cell r="E49">
            <v>4</v>
          </cell>
          <cell r="M49">
            <v>105.01436658300028</v>
          </cell>
          <cell r="N49">
            <v>117.78132086517648</v>
          </cell>
          <cell r="O49">
            <v>128.55861436973672</v>
          </cell>
          <cell r="P49">
            <v>136.91114285303294</v>
          </cell>
          <cell r="Q49">
            <v>145.26195421278376</v>
          </cell>
          <cell r="R49">
            <v>150.80442898772614</v>
          </cell>
          <cell r="S49">
            <v>151.41920507019677</v>
          </cell>
          <cell r="T49">
            <v>147.95738439047241</v>
          </cell>
          <cell r="U49">
            <v>144.78886928342226</v>
          </cell>
          <cell r="V49">
            <v>141.81434486494368</v>
          </cell>
        </row>
        <row r="50">
          <cell r="E50">
            <v>2</v>
          </cell>
          <cell r="M50">
            <v>102.37234748575781</v>
          </cell>
          <cell r="N50">
            <v>115.35944775824449</v>
          </cell>
          <cell r="O50">
            <v>125.84876573015967</v>
          </cell>
          <cell r="P50">
            <v>136.85822667099347</v>
          </cell>
          <cell r="Q50">
            <v>147.42932462819104</v>
          </cell>
          <cell r="R50">
            <v>154.34121807977368</v>
          </cell>
          <cell r="S50">
            <v>154.00669837971904</v>
          </cell>
          <cell r="T50">
            <v>149.13136879309269</v>
          </cell>
          <cell r="U50">
            <v>145.65559608927546</v>
          </cell>
          <cell r="V50">
            <v>144.10931052516591</v>
          </cell>
        </row>
        <row r="51">
          <cell r="E51">
            <v>22</v>
          </cell>
          <cell r="M51">
            <v>133.85312923145187</v>
          </cell>
          <cell r="N51">
            <v>147.35237504109583</v>
          </cell>
          <cell r="O51">
            <v>155.56042481252547</v>
          </cell>
          <cell r="P51">
            <v>164.89105754151242</v>
          </cell>
          <cell r="Q51">
            <v>173.75163323394594</v>
          </cell>
          <cell r="R51">
            <v>177.33496174996785</v>
          </cell>
          <cell r="S51">
            <v>174.93439773513688</v>
          </cell>
          <cell r="T51">
            <v>174.99113080137403</v>
          </cell>
          <cell r="U51">
            <v>174.30352875814935</v>
          </cell>
          <cell r="V51">
            <v>170.31827316547179</v>
          </cell>
        </row>
        <row r="52">
          <cell r="E52">
            <v>3</v>
          </cell>
          <cell r="M52">
            <v>124.95367160061538</v>
          </cell>
          <cell r="N52">
            <v>139.8635454708448</v>
          </cell>
          <cell r="O52">
            <v>149.86076050050309</v>
          </cell>
          <cell r="P52">
            <v>157.92186971719298</v>
          </cell>
          <cell r="Q52">
            <v>163.71475201793021</v>
          </cell>
          <cell r="R52">
            <v>164.84717444125477</v>
          </cell>
          <cell r="S52">
            <v>161.29279985374473</v>
          </cell>
          <cell r="T52">
            <v>157.29499155036075</v>
          </cell>
          <cell r="U52">
            <v>154.44857150540946</v>
          </cell>
          <cell r="V52">
            <v>151.56242677173316</v>
          </cell>
        </row>
        <row r="53">
          <cell r="E53">
            <v>4</v>
          </cell>
          <cell r="M53">
            <v>102.06370954934511</v>
          </cell>
          <cell r="N53">
            <v>114.44311568812725</v>
          </cell>
          <cell r="O53">
            <v>124.80404151811247</v>
          </cell>
          <cell r="P53">
            <v>133.29448854238214</v>
          </cell>
          <cell r="Q53">
            <v>141.1513454389997</v>
          </cell>
          <cell r="R53">
            <v>145.96371857239555</v>
          </cell>
          <cell r="S53">
            <v>146.31641195387849</v>
          </cell>
          <cell r="T53">
            <v>143.28213606322515</v>
          </cell>
          <cell r="U53">
            <v>141.60916757500573</v>
          </cell>
          <cell r="V53">
            <v>139.41307407826667</v>
          </cell>
        </row>
        <row r="54">
          <cell r="E54">
            <v>2</v>
          </cell>
          <cell r="M54">
            <v>90.821516703447941</v>
          </cell>
          <cell r="N54">
            <v>100.12601942901711</v>
          </cell>
          <cell r="O54">
            <v>109.46882381274872</v>
          </cell>
          <cell r="P54">
            <v>118.44948114862713</v>
          </cell>
          <cell r="Q54">
            <v>126.99795619694581</v>
          </cell>
          <cell r="R54">
            <v>133.44276358356052</v>
          </cell>
          <cell r="S54">
            <v>134.36464705401659</v>
          </cell>
          <cell r="T54">
            <v>131.90278520713301</v>
          </cell>
          <cell r="U54">
            <v>131.26040233174967</v>
          </cell>
          <cell r="V54">
            <v>130.1985179522637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20</v>
          </cell>
          <cell r="M7">
            <v>205.99419527515363</v>
          </cell>
          <cell r="N7">
            <v>223.28731794386087</v>
          </cell>
          <cell r="O7">
            <v>234.70400912701768</v>
          </cell>
          <cell r="P7">
            <v>249.71391475567341</v>
          </cell>
          <cell r="Q7">
            <v>262.69882309027309</v>
          </cell>
          <cell r="R7">
            <v>267.13852461490575</v>
          </cell>
          <cell r="S7">
            <v>264.54040512075471</v>
          </cell>
          <cell r="T7">
            <v>266.34954375909786</v>
          </cell>
          <cell r="U7">
            <v>266.0154340887849</v>
          </cell>
          <cell r="V7">
            <v>259.86284309976344</v>
          </cell>
        </row>
        <row r="8">
          <cell r="E8">
            <v>4</v>
          </cell>
          <cell r="M8">
            <v>186.65097474600407</v>
          </cell>
          <cell r="N8">
            <v>206.77929828435057</v>
          </cell>
          <cell r="O8">
            <v>221.61970183921869</v>
          </cell>
          <cell r="P8">
            <v>234.43299492889534</v>
          </cell>
          <cell r="Q8">
            <v>245.06495601540851</v>
          </cell>
          <cell r="R8">
            <v>247.38729779751213</v>
          </cell>
          <cell r="S8">
            <v>242.5060900069291</v>
          </cell>
          <cell r="T8">
            <v>236.65387120073331</v>
          </cell>
          <cell r="U8">
            <v>233.62607431561182</v>
          </cell>
          <cell r="V8">
            <v>230.35261906627593</v>
          </cell>
        </row>
        <row r="9">
          <cell r="E9">
            <v>5</v>
          </cell>
          <cell r="M9">
            <v>154.75903370488524</v>
          </cell>
          <cell r="N9">
            <v>170.5634472861212</v>
          </cell>
          <cell r="O9">
            <v>185.08136361192146</v>
          </cell>
          <cell r="P9">
            <v>196.52539727621962</v>
          </cell>
          <cell r="Q9">
            <v>209.57141665549392</v>
          </cell>
          <cell r="R9">
            <v>218.0259657600887</v>
          </cell>
          <cell r="S9">
            <v>219.78801974914052</v>
          </cell>
          <cell r="T9">
            <v>215.90312997429152</v>
          </cell>
          <cell r="U9">
            <v>212.45668769456859</v>
          </cell>
          <cell r="V9">
            <v>209.20481253953824</v>
          </cell>
        </row>
        <row r="10">
          <cell r="E10">
            <v>2</v>
          </cell>
          <cell r="M10">
            <v>138.41788131439594</v>
          </cell>
          <cell r="N10">
            <v>149.80915673127021</v>
          </cell>
          <cell r="O10">
            <v>161.84161532865485</v>
          </cell>
          <cell r="P10">
            <v>174.67576044527104</v>
          </cell>
          <cell r="Q10">
            <v>188.33293688536105</v>
          </cell>
          <cell r="R10">
            <v>198.3084808696174</v>
          </cell>
          <cell r="S10">
            <v>199.72800801929586</v>
          </cell>
          <cell r="T10">
            <v>196.44821103683594</v>
          </cell>
          <cell r="U10">
            <v>193.14631676587453</v>
          </cell>
          <cell r="V10">
            <v>190.80180666430681</v>
          </cell>
        </row>
        <row r="11">
          <cell r="E11">
            <v>20</v>
          </cell>
          <cell r="M11">
            <v>233.6236947783668</v>
          </cell>
          <cell r="N11">
            <v>248.71791859898838</v>
          </cell>
          <cell r="O11">
            <v>258.75720399325081</v>
          </cell>
          <cell r="P11">
            <v>274.19749288306713</v>
          </cell>
          <cell r="Q11">
            <v>286.70531065920335</v>
          </cell>
          <cell r="R11">
            <v>287.43049683178327</v>
          </cell>
          <cell r="S11">
            <v>283.83583956985785</v>
          </cell>
          <cell r="T11">
            <v>286.06364358026076</v>
          </cell>
          <cell r="U11">
            <v>286.39322058727674</v>
          </cell>
          <cell r="V11">
            <v>280.44782913569139</v>
          </cell>
        </row>
        <row r="12">
          <cell r="E12">
            <v>4</v>
          </cell>
          <cell r="M12">
            <v>214.92496258920318</v>
          </cell>
          <cell r="N12">
            <v>238.29612481231484</v>
          </cell>
          <cell r="O12">
            <v>253.10266435579371</v>
          </cell>
          <cell r="P12">
            <v>266.88884190272006</v>
          </cell>
          <cell r="Q12">
            <v>275.25443804504351</v>
          </cell>
          <cell r="R12">
            <v>275.43673457095798</v>
          </cell>
          <cell r="S12">
            <v>268.1762625606687</v>
          </cell>
          <cell r="T12">
            <v>261.14342036841526</v>
          </cell>
          <cell r="U12">
            <v>258.43392654472473</v>
          </cell>
          <cell r="V12">
            <v>255.12639197139441</v>
          </cell>
        </row>
        <row r="13">
          <cell r="E13">
            <v>4</v>
          </cell>
          <cell r="M13">
            <v>174.4262175752929</v>
          </cell>
          <cell r="N13">
            <v>192.52342849765245</v>
          </cell>
          <cell r="O13">
            <v>207.87731710041356</v>
          </cell>
          <cell r="P13">
            <v>220.85678046779128</v>
          </cell>
          <cell r="Q13">
            <v>234.84884125962932</v>
          </cell>
          <cell r="R13">
            <v>243.39291601363087</v>
          </cell>
          <cell r="S13">
            <v>243.83041346963299</v>
          </cell>
          <cell r="T13">
            <v>239.20827113744321</v>
          </cell>
          <cell r="U13">
            <v>235.48429312935002</v>
          </cell>
          <cell r="V13">
            <v>231.63032624009773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22</v>
          </cell>
          <cell r="M15">
            <v>211.82778177198915</v>
          </cell>
          <cell r="N15">
            <v>225.46216837169285</v>
          </cell>
          <cell r="O15">
            <v>234.56576289646367</v>
          </cell>
          <cell r="P15">
            <v>248.66981065989305</v>
          </cell>
          <cell r="Q15">
            <v>260.10103211432374</v>
          </cell>
          <cell r="R15">
            <v>261.29351101197221</v>
          </cell>
          <cell r="S15">
            <v>257.95838534913167</v>
          </cell>
          <cell r="T15">
            <v>259.81626898551536</v>
          </cell>
          <cell r="U15">
            <v>259.33678335178399</v>
          </cell>
          <cell r="V15">
            <v>254.06599514858235</v>
          </cell>
        </row>
        <row r="16">
          <cell r="E16">
            <v>4</v>
          </cell>
          <cell r="M16">
            <v>194.7949365274734</v>
          </cell>
          <cell r="N16">
            <v>214.93098246327813</v>
          </cell>
          <cell r="O16">
            <v>227.88709218200444</v>
          </cell>
          <cell r="P16">
            <v>240.18890906819726</v>
          </cell>
          <cell r="Q16">
            <v>249.46401895060009</v>
          </cell>
          <cell r="R16">
            <v>250.16040428758913</v>
          </cell>
          <cell r="S16">
            <v>244.64095444228829</v>
          </cell>
          <cell r="T16">
            <v>239.00492281000703</v>
          </cell>
          <cell r="U16">
            <v>235.33159209791992</v>
          </cell>
          <cell r="V16">
            <v>231.87108346789719</v>
          </cell>
        </row>
        <row r="17">
          <cell r="E17">
            <v>4</v>
          </cell>
          <cell r="M17">
            <v>156.70927091087177</v>
          </cell>
          <cell r="N17">
            <v>173.50873948853911</v>
          </cell>
          <cell r="O17">
            <v>186.46958830429713</v>
          </cell>
          <cell r="P17">
            <v>197.77399063427185</v>
          </cell>
          <cell r="Q17">
            <v>209.6191783186469</v>
          </cell>
          <cell r="R17">
            <v>217.18130550852257</v>
          </cell>
          <cell r="S17">
            <v>217.65768575736067</v>
          </cell>
          <cell r="T17">
            <v>213.84719869605092</v>
          </cell>
          <cell r="U17">
            <v>211.10979414351877</v>
          </cell>
          <cell r="V17">
            <v>208.06085222873725</v>
          </cell>
        </row>
        <row r="18">
          <cell r="E18">
            <v>1</v>
          </cell>
          <cell r="M18">
            <v>163.49320507237474</v>
          </cell>
          <cell r="N18">
            <v>179.92198969317573</v>
          </cell>
          <cell r="O18">
            <v>194.67683423395121</v>
          </cell>
          <cell r="P18">
            <v>208.45018847242216</v>
          </cell>
          <cell r="Q18">
            <v>223.96801875643482</v>
          </cell>
          <cell r="R18">
            <v>232.00637525435315</v>
          </cell>
          <cell r="S18">
            <v>229.46075430066921</v>
          </cell>
          <cell r="T18">
            <v>224.0768204332999</v>
          </cell>
          <cell r="U18">
            <v>220.7788506230186</v>
          </cell>
          <cell r="V18">
            <v>218.79573717996564</v>
          </cell>
        </row>
        <row r="19">
          <cell r="E19">
            <v>19</v>
          </cell>
          <cell r="M19">
            <v>218.85786263557404</v>
          </cell>
          <cell r="N19">
            <v>233.73410353075931</v>
          </cell>
          <cell r="O19">
            <v>243.98239975200261</v>
          </cell>
          <cell r="P19">
            <v>258.61521531885825</v>
          </cell>
          <cell r="Q19">
            <v>271.12887983109817</v>
          </cell>
          <cell r="R19">
            <v>273.40683392076932</v>
          </cell>
          <cell r="S19">
            <v>269.77839921644028</v>
          </cell>
          <cell r="T19">
            <v>271.47754640929588</v>
          </cell>
          <cell r="U19">
            <v>271.23361720507569</v>
          </cell>
          <cell r="V19">
            <v>265.23073950762262</v>
          </cell>
        </row>
        <row r="20">
          <cell r="E20">
            <v>5</v>
          </cell>
          <cell r="M20">
            <v>194.45557500536799</v>
          </cell>
          <cell r="N20">
            <v>214.832009695854</v>
          </cell>
          <cell r="O20">
            <v>228.82559099423383</v>
          </cell>
          <cell r="P20">
            <v>241.19392837684202</v>
          </cell>
          <cell r="Q20">
            <v>250.39545684120986</v>
          </cell>
          <cell r="R20">
            <v>252.64814832511141</v>
          </cell>
          <cell r="S20">
            <v>248.53749329499323</v>
          </cell>
          <cell r="T20">
            <v>243.46264622166581</v>
          </cell>
          <cell r="U20">
            <v>241.92608446262079</v>
          </cell>
          <cell r="V20">
            <v>239.76099191326722</v>
          </cell>
        </row>
        <row r="21">
          <cell r="E21">
            <v>4</v>
          </cell>
          <cell r="M21">
            <v>165.9616642035684</v>
          </cell>
          <cell r="N21">
            <v>183.61880279753387</v>
          </cell>
          <cell r="O21">
            <v>198.3287846263149</v>
          </cell>
          <cell r="P21">
            <v>209.09737376926682</v>
          </cell>
          <cell r="Q21">
            <v>219.55825234307602</v>
          </cell>
          <cell r="R21">
            <v>226.93362137470294</v>
          </cell>
          <cell r="S21">
            <v>228.07452957383242</v>
          </cell>
          <cell r="T21">
            <v>225.64256037992428</v>
          </cell>
          <cell r="U21">
            <v>222.88791750067159</v>
          </cell>
          <cell r="V21">
            <v>219.74422472130172</v>
          </cell>
        </row>
        <row r="22">
          <cell r="E22">
            <v>2</v>
          </cell>
          <cell r="M22">
            <v>167.40921306796741</v>
          </cell>
          <cell r="N22">
            <v>183.13168133532977</v>
          </cell>
          <cell r="O22">
            <v>192.49482521692607</v>
          </cell>
          <cell r="P22">
            <v>197.92788587375964</v>
          </cell>
          <cell r="Q22">
            <v>210.31799424638518</v>
          </cell>
          <cell r="R22">
            <v>221.31299458242177</v>
          </cell>
          <cell r="S22">
            <v>220.30633490248604</v>
          </cell>
          <cell r="T22">
            <v>215.82763515970328</v>
          </cell>
          <cell r="U22">
            <v>212.95690771020796</v>
          </cell>
          <cell r="V22">
            <v>212.70376223859861</v>
          </cell>
        </row>
        <row r="23">
          <cell r="E23">
            <v>21</v>
          </cell>
          <cell r="M23">
            <v>211.38327888730683</v>
          </cell>
          <cell r="N23">
            <v>225.18496782067709</v>
          </cell>
          <cell r="O23">
            <v>235.28300248010987</v>
          </cell>
          <cell r="P23">
            <v>249.66437287902178</v>
          </cell>
          <cell r="Q23">
            <v>261.44470263544838</v>
          </cell>
          <cell r="R23">
            <v>262.3523451536085</v>
          </cell>
          <cell r="S23">
            <v>258.23364808670067</v>
          </cell>
          <cell r="T23">
            <v>259.25139969538003</v>
          </cell>
          <cell r="U23">
            <v>259.26086679085563</v>
          </cell>
          <cell r="V23">
            <v>253.6438115241595</v>
          </cell>
        </row>
        <row r="24">
          <cell r="E24">
            <v>4</v>
          </cell>
          <cell r="M24">
            <v>192.96244646019642</v>
          </cell>
          <cell r="N24">
            <v>213.58054846268934</v>
          </cell>
          <cell r="O24">
            <v>227.19934376611636</v>
          </cell>
          <cell r="P24">
            <v>239.65715352490938</v>
          </cell>
          <cell r="Q24">
            <v>248.35095488878486</v>
          </cell>
          <cell r="R24">
            <v>248.50348500196137</v>
          </cell>
          <cell r="S24">
            <v>242.36328669618487</v>
          </cell>
          <cell r="T24">
            <v>236.5681146317761</v>
          </cell>
          <cell r="U24">
            <v>234.09893409236921</v>
          </cell>
          <cell r="V24">
            <v>231.11306545260237</v>
          </cell>
        </row>
        <row r="25">
          <cell r="E25">
            <v>4</v>
          </cell>
          <cell r="M25">
            <v>156.78799541453785</v>
          </cell>
          <cell r="N25">
            <v>174.66212472018165</v>
          </cell>
          <cell r="O25">
            <v>189.56820749850255</v>
          </cell>
          <cell r="P25">
            <v>201.42976116058946</v>
          </cell>
          <cell r="Q25">
            <v>213.40286229018704</v>
          </cell>
          <cell r="R25">
            <v>219.08206742938492</v>
          </cell>
          <cell r="S25">
            <v>217.81047779721155</v>
          </cell>
          <cell r="T25">
            <v>211.86039830209882</v>
          </cell>
          <cell r="U25">
            <v>209.86373570294208</v>
          </cell>
          <cell r="V25">
            <v>207.03263465167169</v>
          </cell>
        </row>
        <row r="26">
          <cell r="E26">
            <v>2</v>
          </cell>
          <cell r="M26">
            <v>164.30730869174474</v>
          </cell>
          <cell r="N26">
            <v>181.26186005780477</v>
          </cell>
          <cell r="O26">
            <v>195.13448228613788</v>
          </cell>
          <cell r="P26">
            <v>210.23308338982571</v>
          </cell>
          <cell r="Q26">
            <v>222.83235796966267</v>
          </cell>
          <cell r="R26">
            <v>232.67400415010283</v>
          </cell>
          <cell r="S26">
            <v>229.0872490827596</v>
          </cell>
          <cell r="T26">
            <v>222.58017585548274</v>
          </cell>
          <cell r="U26">
            <v>216.0957726038429</v>
          </cell>
          <cell r="V26">
            <v>213.85341612499042</v>
          </cell>
        </row>
        <row r="27">
          <cell r="E27">
            <v>20</v>
          </cell>
          <cell r="M27">
            <v>218.63318504191875</v>
          </cell>
          <cell r="N27">
            <v>234.96139203948582</v>
          </cell>
          <cell r="O27">
            <v>246.05326750983411</v>
          </cell>
          <cell r="P27">
            <v>260.51914477670613</v>
          </cell>
          <cell r="Q27">
            <v>273.73887925373344</v>
          </cell>
          <cell r="R27">
            <v>276.8624747101407</v>
          </cell>
          <cell r="S27">
            <v>273.19763219807663</v>
          </cell>
          <cell r="T27">
            <v>274.48828920425586</v>
          </cell>
          <cell r="U27">
            <v>274.37727446896423</v>
          </cell>
          <cell r="V27">
            <v>268.38511134826632</v>
          </cell>
        </row>
        <row r="28">
          <cell r="E28">
            <v>4</v>
          </cell>
          <cell r="M28">
            <v>199.6795138493417</v>
          </cell>
          <cell r="N28">
            <v>220.61184573150769</v>
          </cell>
          <cell r="O28">
            <v>234.51199245782362</v>
          </cell>
          <cell r="P28">
            <v>247.95345452384345</v>
          </cell>
          <cell r="Q28">
            <v>257.42443672487548</v>
          </cell>
          <cell r="R28">
            <v>258.62027849465647</v>
          </cell>
          <cell r="S28">
            <v>252.27995711108653</v>
          </cell>
          <cell r="T28">
            <v>246.82216880042003</v>
          </cell>
          <cell r="U28">
            <v>245.06363306373129</v>
          </cell>
          <cell r="V28">
            <v>241.26390497352821</v>
          </cell>
        </row>
        <row r="29">
          <cell r="E29">
            <v>4</v>
          </cell>
          <cell r="M29">
            <v>164.02687401221598</v>
          </cell>
          <cell r="N29">
            <v>180.48417756447529</v>
          </cell>
          <cell r="O29">
            <v>194.74014057931171</v>
          </cell>
          <cell r="P29">
            <v>205.22929835508074</v>
          </cell>
          <cell r="Q29">
            <v>217.60514282254195</v>
          </cell>
          <cell r="R29">
            <v>225.47605270515112</v>
          </cell>
          <cell r="S29">
            <v>225.87561740744127</v>
          </cell>
          <cell r="T29">
            <v>221.78820060066045</v>
          </cell>
          <cell r="U29">
            <v>219.37645747333448</v>
          </cell>
          <cell r="V29">
            <v>216.31575771453564</v>
          </cell>
        </row>
        <row r="30">
          <cell r="E30">
            <v>2</v>
          </cell>
          <cell r="M30">
            <v>161.85405906540416</v>
          </cell>
          <cell r="N30">
            <v>178.68953146220713</v>
          </cell>
          <cell r="O30">
            <v>193.61127878748488</v>
          </cell>
          <cell r="P30">
            <v>208.84185098013012</v>
          </cell>
          <cell r="Q30">
            <v>224.54550492129067</v>
          </cell>
          <cell r="R30">
            <v>233.72804370176794</v>
          </cell>
          <cell r="S30">
            <v>231.92100047681961</v>
          </cell>
          <cell r="T30">
            <v>225.59457674501337</v>
          </cell>
          <cell r="U30">
            <v>222.42957467688259</v>
          </cell>
          <cell r="V30">
            <v>219.63823320689198</v>
          </cell>
        </row>
        <row r="31">
          <cell r="E31">
            <v>19</v>
          </cell>
          <cell r="M31">
            <v>212.67187821529009</v>
          </cell>
          <cell r="N31">
            <v>228.92182241044753</v>
          </cell>
          <cell r="O31">
            <v>240.57574812960553</v>
          </cell>
          <cell r="P31">
            <v>255.97469921894324</v>
          </cell>
          <cell r="Q31">
            <v>268.30660881635816</v>
          </cell>
          <cell r="R31">
            <v>269.84010736514375</v>
          </cell>
          <cell r="S31">
            <v>265.79500281485883</v>
          </cell>
          <cell r="T31">
            <v>267.97293865012591</v>
          </cell>
          <cell r="U31">
            <v>267.56404891428537</v>
          </cell>
          <cell r="V31">
            <v>260.72839533318552</v>
          </cell>
        </row>
        <row r="32">
          <cell r="E32">
            <v>5</v>
          </cell>
          <cell r="M32">
            <v>191.85585065540712</v>
          </cell>
          <cell r="N32">
            <v>213.69210924850549</v>
          </cell>
          <cell r="O32">
            <v>227.99398268203379</v>
          </cell>
          <cell r="P32">
            <v>241.96232801125498</v>
          </cell>
          <cell r="Q32">
            <v>251.99530940759232</v>
          </cell>
          <cell r="R32">
            <v>252.15111360419831</v>
          </cell>
          <cell r="S32">
            <v>245.30470105199183</v>
          </cell>
          <cell r="T32">
            <v>239.22827523226749</v>
          </cell>
          <cell r="U32">
            <v>236.59359033043327</v>
          </cell>
          <cell r="V32">
            <v>233.33219924614065</v>
          </cell>
        </row>
        <row r="33">
          <cell r="E33">
            <v>5</v>
          </cell>
          <cell r="M33">
            <v>158.15228267253877</v>
          </cell>
          <cell r="N33">
            <v>175.51354179205902</v>
          </cell>
          <cell r="O33">
            <v>190.5038828299711</v>
          </cell>
          <cell r="P33">
            <v>203.30611950638541</v>
          </cell>
          <cell r="Q33">
            <v>216.27902582803404</v>
          </cell>
          <cell r="R33">
            <v>223.61003158412183</v>
          </cell>
          <cell r="S33">
            <v>223.85062011338525</v>
          </cell>
          <cell r="T33">
            <v>219.59416071435572</v>
          </cell>
          <cell r="U33">
            <v>216.43673898175814</v>
          </cell>
          <cell r="V33">
            <v>213.4475341064697</v>
          </cell>
        </row>
        <row r="34">
          <cell r="E34">
            <v>2</v>
          </cell>
          <cell r="M34">
            <v>161.66654176374328</v>
          </cell>
          <cell r="N34">
            <v>180.18285090309053</v>
          </cell>
          <cell r="O34">
            <v>195.82377562546114</v>
          </cell>
          <cell r="P34">
            <v>210.19227388213096</v>
          </cell>
          <cell r="Q34">
            <v>223.80610811676831</v>
          </cell>
          <cell r="R34">
            <v>230.64895358282487</v>
          </cell>
          <cell r="S34">
            <v>228.75204953111532</v>
          </cell>
          <cell r="T34">
            <v>224.01237759253877</v>
          </cell>
          <cell r="U34">
            <v>222.03510644615443</v>
          </cell>
          <cell r="V34">
            <v>216.57511839536687</v>
          </cell>
        </row>
        <row r="35">
          <cell r="E35">
            <v>22</v>
          </cell>
          <cell r="M35">
            <v>212.48858059674743</v>
          </cell>
          <cell r="N35">
            <v>227.43264940200223</v>
          </cell>
          <cell r="O35">
            <v>238.70419325265107</v>
          </cell>
          <cell r="P35">
            <v>253.76656190629268</v>
          </cell>
          <cell r="Q35">
            <v>265.75840411141195</v>
          </cell>
          <cell r="R35">
            <v>266.84923992138846</v>
          </cell>
          <cell r="S35">
            <v>263.46501410569471</v>
          </cell>
          <cell r="T35">
            <v>265.56901558783176</v>
          </cell>
          <cell r="U35">
            <v>265.16363744520152</v>
          </cell>
          <cell r="V35">
            <v>258.44909387494386</v>
          </cell>
        </row>
        <row r="36">
          <cell r="E36">
            <v>4</v>
          </cell>
          <cell r="M36">
            <v>193.71070881673032</v>
          </cell>
          <cell r="N36">
            <v>214.42514212272812</v>
          </cell>
          <cell r="O36">
            <v>228.55727375297025</v>
          </cell>
          <cell r="P36">
            <v>241.54744947738553</v>
          </cell>
          <cell r="Q36">
            <v>250.54254198716447</v>
          </cell>
          <cell r="R36">
            <v>250.71640358627775</v>
          </cell>
          <cell r="S36">
            <v>244.44567700797032</v>
          </cell>
          <cell r="T36">
            <v>238.01427395297051</v>
          </cell>
          <cell r="U36">
            <v>234.52963921257876</v>
          </cell>
          <cell r="V36">
            <v>231.34842432724906</v>
          </cell>
        </row>
        <row r="37">
          <cell r="E37">
            <v>3</v>
          </cell>
          <cell r="M37">
            <v>155.7994197737203</v>
          </cell>
          <cell r="N37">
            <v>172.94134637951612</v>
          </cell>
          <cell r="O37">
            <v>187.50226529397943</v>
          </cell>
          <cell r="P37">
            <v>198.87180079688241</v>
          </cell>
          <cell r="Q37">
            <v>210.65080538191421</v>
          </cell>
          <cell r="R37">
            <v>217.92117511288933</v>
          </cell>
          <cell r="S37">
            <v>218.30034948949637</v>
          </cell>
          <cell r="T37">
            <v>212.48051636278197</v>
          </cell>
          <cell r="U37">
            <v>209.53769026659464</v>
          </cell>
          <cell r="V37">
            <v>205.40543960414786</v>
          </cell>
        </row>
        <row r="38">
          <cell r="E38">
            <v>2</v>
          </cell>
          <cell r="M38">
            <v>163.07786039781365</v>
          </cell>
          <cell r="N38">
            <v>180.38275422884368</v>
          </cell>
          <cell r="O38">
            <v>194.18475614239259</v>
          </cell>
          <cell r="P38">
            <v>209.06645088367014</v>
          </cell>
          <cell r="Q38">
            <v>223.74833996676801</v>
          </cell>
          <cell r="R38">
            <v>232.69923124039113</v>
          </cell>
          <cell r="S38">
            <v>228.48718617040507</v>
          </cell>
          <cell r="T38">
            <v>221.08868990131981</v>
          </cell>
          <cell r="U38">
            <v>217.26178358907626</v>
          </cell>
          <cell r="V38">
            <v>213.17688172231277</v>
          </cell>
        </row>
        <row r="39">
          <cell r="E39">
            <v>22</v>
          </cell>
          <cell r="M39">
            <v>220.49458915038321</v>
          </cell>
          <cell r="N39">
            <v>235.83550128417596</v>
          </cell>
          <cell r="O39">
            <v>247.14277814841577</v>
          </cell>
          <cell r="P39">
            <v>262.78045098453282</v>
          </cell>
          <cell r="Q39">
            <v>275.75242724451567</v>
          </cell>
          <cell r="R39">
            <v>277.78121803591466</v>
          </cell>
          <cell r="S39">
            <v>274.25865720096368</v>
          </cell>
          <cell r="T39">
            <v>275.7424296365387</v>
          </cell>
          <cell r="U39">
            <v>275.78364091311522</v>
          </cell>
          <cell r="V39">
            <v>269.42107351996594</v>
          </cell>
        </row>
        <row r="40">
          <cell r="E40">
            <v>4</v>
          </cell>
          <cell r="M40">
            <v>201.74649932112706</v>
          </cell>
          <cell r="N40">
            <v>223.65142931697503</v>
          </cell>
          <cell r="O40">
            <v>238.68724348921589</v>
          </cell>
          <cell r="P40">
            <v>252.67694472126715</v>
          </cell>
          <cell r="Q40">
            <v>262.34409224364879</v>
          </cell>
          <cell r="R40">
            <v>262.74843599788716</v>
          </cell>
          <cell r="S40">
            <v>254.72159317505236</v>
          </cell>
          <cell r="T40">
            <v>246.18189126468201</v>
          </cell>
          <cell r="U40">
            <v>242.07996860352068</v>
          </cell>
          <cell r="V40">
            <v>237.70649679230038</v>
          </cell>
        </row>
        <row r="41">
          <cell r="E41">
            <v>4</v>
          </cell>
          <cell r="M41">
            <v>160.81591491132417</v>
          </cell>
          <cell r="N41">
            <v>178.27514570564026</v>
          </cell>
          <cell r="O41">
            <v>192.94609602050758</v>
          </cell>
          <cell r="P41">
            <v>205.89514481761424</v>
          </cell>
          <cell r="Q41">
            <v>218.25988847746157</v>
          </cell>
          <cell r="R41">
            <v>225.84609960307225</v>
          </cell>
          <cell r="S41">
            <v>224.98894900068765</v>
          </cell>
          <cell r="T41">
            <v>219.69722220156086</v>
          </cell>
          <cell r="U41">
            <v>217.21304525018846</v>
          </cell>
          <cell r="V41">
            <v>214.51270998122999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20</v>
          </cell>
          <cell r="M43">
            <v>214.7131393800494</v>
          </cell>
          <cell r="N43">
            <v>230.40346391714647</v>
          </cell>
          <cell r="O43">
            <v>241.22828294581618</v>
          </cell>
          <cell r="P43">
            <v>255.71339406551255</v>
          </cell>
          <cell r="Q43">
            <v>268.57228903313757</v>
          </cell>
          <cell r="R43">
            <v>271.19569554995155</v>
          </cell>
          <cell r="S43">
            <v>267.3890130845727</v>
          </cell>
          <cell r="T43">
            <v>268.79420973755936</v>
          </cell>
          <cell r="U43">
            <v>268.34412648288287</v>
          </cell>
          <cell r="V43">
            <v>262.15569593382656</v>
          </cell>
        </row>
        <row r="44">
          <cell r="E44">
            <v>5</v>
          </cell>
          <cell r="M44">
            <v>197.14389050363476</v>
          </cell>
          <cell r="N44">
            <v>218.28773261477585</v>
          </cell>
          <cell r="O44">
            <v>232.82804145151565</v>
          </cell>
          <cell r="P44">
            <v>246.77930383424689</v>
          </cell>
          <cell r="Q44">
            <v>256.3977418740692</v>
          </cell>
          <cell r="R44">
            <v>257.36394720112298</v>
          </cell>
          <cell r="S44">
            <v>250.88459824641109</v>
          </cell>
          <cell r="T44">
            <v>244.22230016881645</v>
          </cell>
          <cell r="U44">
            <v>241.51390066589258</v>
          </cell>
          <cell r="V44">
            <v>238.46481446946839</v>
          </cell>
        </row>
        <row r="45">
          <cell r="E45">
            <v>5</v>
          </cell>
          <cell r="M45">
            <v>162.68847088090681</v>
          </cell>
          <cell r="N45">
            <v>180.00843659430004</v>
          </cell>
          <cell r="O45">
            <v>194.31618118082551</v>
          </cell>
          <cell r="P45">
            <v>206.81451410374555</v>
          </cell>
          <cell r="Q45">
            <v>219.89974701377511</v>
          </cell>
          <cell r="R45">
            <v>226.92756820486431</v>
          </cell>
          <cell r="S45">
            <v>225.35385503269521</v>
          </cell>
          <cell r="T45">
            <v>220.05349797162023</v>
          </cell>
          <cell r="U45">
            <v>216.83713607814047</v>
          </cell>
          <cell r="V45">
            <v>212.79648650103709</v>
          </cell>
        </row>
        <row r="46">
          <cell r="E46">
            <v>1</v>
          </cell>
          <cell r="M46">
            <v>160.67731796539263</v>
          </cell>
          <cell r="N46">
            <v>177.99170330879159</v>
          </cell>
          <cell r="O46">
            <v>190.9448541439848</v>
          </cell>
          <cell r="P46">
            <v>204.57352941035705</v>
          </cell>
          <cell r="Q46">
            <v>221.32980894308471</v>
          </cell>
          <cell r="R46">
            <v>231.98710366633003</v>
          </cell>
          <cell r="S46">
            <v>231.6832309888818</v>
          </cell>
          <cell r="T46">
            <v>224.40259284438505</v>
          </cell>
          <cell r="U46">
            <v>222.21392245490458</v>
          </cell>
          <cell r="V46">
            <v>220.32230133103363</v>
          </cell>
        </row>
        <row r="47">
          <cell r="E47">
            <v>20</v>
          </cell>
          <cell r="M47">
            <v>224.95219713672782</v>
          </cell>
          <cell r="N47">
            <v>240.7618869866497</v>
          </cell>
          <cell r="O47">
            <v>251.41248482195834</v>
          </cell>
          <cell r="P47">
            <v>265.84214073737201</v>
          </cell>
          <cell r="Q47">
            <v>279.06317596890079</v>
          </cell>
          <cell r="R47">
            <v>282.17916001372873</v>
          </cell>
          <cell r="S47">
            <v>277.71668640645038</v>
          </cell>
          <cell r="T47">
            <v>278.15830587799718</v>
          </cell>
          <cell r="U47">
            <v>277.69773445775866</v>
          </cell>
          <cell r="V47">
            <v>272.49077423354873</v>
          </cell>
        </row>
        <row r="48">
          <cell r="E48">
            <v>4</v>
          </cell>
          <cell r="M48">
            <v>205.6216356569328</v>
          </cell>
          <cell r="N48">
            <v>227.87298587678822</v>
          </cell>
          <cell r="O48">
            <v>241.54607769192157</v>
          </cell>
          <cell r="P48">
            <v>254.09252077365446</v>
          </cell>
          <cell r="Q48">
            <v>263.02032254501813</v>
          </cell>
          <cell r="R48">
            <v>263.98998175262517</v>
          </cell>
          <cell r="S48">
            <v>257.12309452546759</v>
          </cell>
          <cell r="T48">
            <v>250.20257892159512</v>
          </cell>
          <cell r="U48">
            <v>246.62907334848245</v>
          </cell>
          <cell r="V48">
            <v>243.3338693063049</v>
          </cell>
        </row>
        <row r="49">
          <cell r="E49">
            <v>4</v>
          </cell>
          <cell r="M49">
            <v>165.77384502031677</v>
          </cell>
          <cell r="N49">
            <v>184.0347712127348</v>
          </cell>
          <cell r="O49">
            <v>199.44982857282758</v>
          </cell>
          <cell r="P49">
            <v>211.39667710261526</v>
          </cell>
          <cell r="Q49">
            <v>223.34107506419542</v>
          </cell>
          <cell r="R49">
            <v>231.26862548027461</v>
          </cell>
          <cell r="S49">
            <v>232.14795994014636</v>
          </cell>
          <cell r="T49">
            <v>227.19642039806445</v>
          </cell>
          <cell r="U49">
            <v>222.66440747846298</v>
          </cell>
          <cell r="V49">
            <v>218.40986147598682</v>
          </cell>
        </row>
        <row r="50">
          <cell r="E50">
            <v>2</v>
          </cell>
          <cell r="M50">
            <v>161.99489348665557</v>
          </cell>
          <cell r="N50">
            <v>180.57069771627977</v>
          </cell>
          <cell r="O50">
            <v>195.57385762321209</v>
          </cell>
          <cell r="P50">
            <v>211.32098917259759</v>
          </cell>
          <cell r="Q50">
            <v>226.44112375652185</v>
          </cell>
          <cell r="R50">
            <v>236.32739069974036</v>
          </cell>
          <cell r="S50">
            <v>235.84892169666014</v>
          </cell>
          <cell r="T50">
            <v>228.87560123129455</v>
          </cell>
          <cell r="U50">
            <v>223.90410864789268</v>
          </cell>
          <cell r="V50">
            <v>221.69241312796257</v>
          </cell>
        </row>
        <row r="51">
          <cell r="E51">
            <v>21</v>
          </cell>
          <cell r="M51">
            <v>206.84559236957278</v>
          </cell>
          <cell r="N51">
            <v>226.13939532625525</v>
          </cell>
          <cell r="O51">
            <v>237.87075145373058</v>
          </cell>
          <cell r="P51">
            <v>251.20656606156544</v>
          </cell>
          <cell r="Q51">
            <v>263.87054318912027</v>
          </cell>
          <cell r="R51">
            <v>268.99201764991767</v>
          </cell>
          <cell r="S51">
            <v>265.5610135059585</v>
          </cell>
          <cell r="T51">
            <v>265.64209756941136</v>
          </cell>
          <cell r="U51">
            <v>264.65933980836911</v>
          </cell>
          <cell r="V51">
            <v>258.96341353664667</v>
          </cell>
        </row>
        <row r="52">
          <cell r="E52">
            <v>5</v>
          </cell>
          <cell r="M52">
            <v>194.12604239270354</v>
          </cell>
          <cell r="N52">
            <v>215.4359815308656</v>
          </cell>
          <cell r="O52">
            <v>229.72450336315464</v>
          </cell>
          <cell r="P52">
            <v>241.2458520104561</v>
          </cell>
          <cell r="Q52">
            <v>249.52532755013928</v>
          </cell>
          <cell r="R52">
            <v>251.14384350192825</v>
          </cell>
          <cell r="S52">
            <v>246.06375345567852</v>
          </cell>
          <cell r="T52">
            <v>240.34988298704533</v>
          </cell>
          <cell r="U52">
            <v>236.28163566127901</v>
          </cell>
          <cell r="V52">
            <v>232.1566146189879</v>
          </cell>
        </row>
        <row r="53">
          <cell r="E53">
            <v>3</v>
          </cell>
          <cell r="M53">
            <v>161.41055505363252</v>
          </cell>
          <cell r="N53">
            <v>179.10382621035328</v>
          </cell>
          <cell r="O53">
            <v>193.91218148281203</v>
          </cell>
          <cell r="P53">
            <v>206.04715773659481</v>
          </cell>
          <cell r="Q53">
            <v>217.27656912787177</v>
          </cell>
          <cell r="R53">
            <v>224.15465704993426</v>
          </cell>
          <cell r="S53">
            <v>224.65874381359669</v>
          </cell>
          <cell r="T53">
            <v>220.32200388887802</v>
          </cell>
          <cell r="U53">
            <v>217.93091301390956</v>
          </cell>
          <cell r="V53">
            <v>214.79214800756563</v>
          </cell>
        </row>
        <row r="54">
          <cell r="E54">
            <v>2</v>
          </cell>
          <cell r="M54">
            <v>145.34264545771518</v>
          </cell>
          <cell r="N54">
            <v>158.64110887784375</v>
          </cell>
          <cell r="O54">
            <v>171.99431497291209</v>
          </cell>
          <cell r="P54">
            <v>184.82992732284819</v>
          </cell>
          <cell r="Q54">
            <v>197.0478344451098</v>
          </cell>
          <cell r="R54">
            <v>206.25907639360452</v>
          </cell>
          <cell r="S54">
            <v>207.57668299091353</v>
          </cell>
          <cell r="T54">
            <v>204.05806437438335</v>
          </cell>
          <cell r="U54">
            <v>203.1399381300964</v>
          </cell>
          <cell r="V54">
            <v>201.62223953103998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21</v>
          </cell>
          <cell r="M7">
            <v>209.06724447050877</v>
          </cell>
          <cell r="N7">
            <v>226.58474456930671</v>
          </cell>
          <cell r="O7">
            <v>238.14956916151439</v>
          </cell>
          <cell r="P7">
            <v>253.3542267209435</v>
          </cell>
          <cell r="Q7">
            <v>266.50761814096546</v>
          </cell>
          <cell r="R7">
            <v>271.00492269495794</v>
          </cell>
          <cell r="S7">
            <v>268.37309422503068</v>
          </cell>
          <cell r="T7">
            <v>270.20570532042734</v>
          </cell>
          <cell r="U7">
            <v>269.86726067389861</v>
          </cell>
          <cell r="V7">
            <v>263.6348425694818</v>
          </cell>
        </row>
        <row r="8">
          <cell r="E8">
            <v>4</v>
          </cell>
          <cell r="M8">
            <v>189.473044668488</v>
          </cell>
          <cell r="N8">
            <v>209.86253329944302</v>
          </cell>
          <cell r="O8">
            <v>224.89549435000646</v>
          </cell>
          <cell r="P8">
            <v>237.87503654232862</v>
          </cell>
          <cell r="Q8">
            <v>248.64495141468612</v>
          </cell>
          <cell r="R8">
            <v>250.99742526391978</v>
          </cell>
          <cell r="S8">
            <v>246.05288284133059</v>
          </cell>
          <cell r="T8">
            <v>240.1247297065469</v>
          </cell>
          <cell r="U8">
            <v>237.05764631889664</v>
          </cell>
          <cell r="V8">
            <v>233.74172326630224</v>
          </cell>
        </row>
        <row r="9">
          <cell r="E9">
            <v>4</v>
          </cell>
          <cell r="M9">
            <v>157.16730397542622</v>
          </cell>
          <cell r="N9">
            <v>173.17677908217172</v>
          </cell>
          <cell r="O9">
            <v>187.88306782092238</v>
          </cell>
          <cell r="P9">
            <v>199.47558732937705</v>
          </cell>
          <cell r="Q9">
            <v>212.69087994668794</v>
          </cell>
          <cell r="R9">
            <v>221.25512486583557</v>
          </cell>
          <cell r="S9">
            <v>223.04004581206567</v>
          </cell>
          <cell r="T9">
            <v>219.1047471965835</v>
          </cell>
          <cell r="U9">
            <v>215.61358706665987</v>
          </cell>
          <cell r="V9">
            <v>212.31952153722267</v>
          </cell>
        </row>
        <row r="10">
          <cell r="E10">
            <v>2</v>
          </cell>
          <cell r="M10">
            <v>140.61412436577874</v>
          </cell>
          <cell r="N10">
            <v>152.15320057844005</v>
          </cell>
          <cell r="O10">
            <v>164.34178154961813</v>
          </cell>
          <cell r="P10">
            <v>177.34244965107558</v>
          </cell>
          <cell r="Q10">
            <v>191.1768296196899</v>
          </cell>
          <cell r="R10">
            <v>201.28180489468085</v>
          </cell>
          <cell r="S10">
            <v>202.71975234849666</v>
          </cell>
          <cell r="T10">
            <v>199.39739996055832</v>
          </cell>
          <cell r="U10">
            <v>196.05266240056218</v>
          </cell>
          <cell r="V10">
            <v>193.67773465189293</v>
          </cell>
        </row>
        <row r="11">
          <cell r="E11">
            <v>20</v>
          </cell>
          <cell r="M11">
            <v>238.28641867281598</v>
          </cell>
          <cell r="N11">
            <v>253.64747092299228</v>
          </cell>
          <cell r="O11">
            <v>263.86422351845567</v>
          </cell>
          <cell r="P11">
            <v>279.57745702267493</v>
          </cell>
          <cell r="Q11">
            <v>292.30637928926632</v>
          </cell>
          <cell r="R11">
            <v>293.0443849572984</v>
          </cell>
          <cell r="S11">
            <v>289.38618404410295</v>
          </cell>
          <cell r="T11">
            <v>291.65336943448108</v>
          </cell>
          <cell r="U11">
            <v>291.98877234028851</v>
          </cell>
          <cell r="V11">
            <v>285.93828225598304</v>
          </cell>
        </row>
        <row r="12">
          <cell r="E12">
            <v>4</v>
          </cell>
          <cell r="M12">
            <v>219.2571423973443</v>
          </cell>
          <cell r="N12">
            <v>243.04144645958803</v>
          </cell>
          <cell r="O12">
            <v>258.10972673131158</v>
          </cell>
          <cell r="P12">
            <v>272.1396050516372</v>
          </cell>
          <cell r="Q12">
            <v>280.65308260870188</v>
          </cell>
          <cell r="R12">
            <v>280.83860440556924</v>
          </cell>
          <cell r="S12">
            <v>273.44978609308384</v>
          </cell>
          <cell r="T12">
            <v>266.29262116706457</v>
          </cell>
          <cell r="U12">
            <v>263.53522999488251</v>
          </cell>
          <cell r="V12">
            <v>260.16922685398333</v>
          </cell>
        </row>
        <row r="13">
          <cell r="E13">
            <v>4</v>
          </cell>
          <cell r="M13">
            <v>178.04248455137125</v>
          </cell>
          <cell r="N13">
            <v>196.45960828966221</v>
          </cell>
          <cell r="O13">
            <v>212.08491287351055</v>
          </cell>
          <cell r="P13">
            <v>225.29381827870904</v>
          </cell>
          <cell r="Q13">
            <v>239.5332219868568</v>
          </cell>
          <cell r="R13">
            <v>248.22833491842397</v>
          </cell>
          <cell r="S13">
            <v>248.67356417397883</v>
          </cell>
          <cell r="T13">
            <v>243.96971389654439</v>
          </cell>
          <cell r="U13">
            <v>240.17990670587093</v>
          </cell>
          <cell r="V13">
            <v>236.25781039796576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22</v>
          </cell>
          <cell r="M15">
            <v>216.05030742943887</v>
          </cell>
          <cell r="N15">
            <v>229.92259608944826</v>
          </cell>
          <cell r="O15">
            <v>239.18503578877591</v>
          </cell>
          <cell r="P15">
            <v>253.53517925569227</v>
          </cell>
          <cell r="Q15">
            <v>265.16586019493144</v>
          </cell>
          <cell r="R15">
            <v>266.37914671872068</v>
          </cell>
          <cell r="S15">
            <v>262.98582998767074</v>
          </cell>
          <cell r="T15">
            <v>264.87612774018777</v>
          </cell>
          <cell r="U15">
            <v>264.3882742083149</v>
          </cell>
          <cell r="V15">
            <v>259.02552125770069</v>
          </cell>
        </row>
        <row r="16">
          <cell r="E16">
            <v>4</v>
          </cell>
          <cell r="M16">
            <v>198.7202623621358</v>
          </cell>
          <cell r="N16">
            <v>219.20765425129352</v>
          </cell>
          <cell r="O16">
            <v>232.38982914054665</v>
          </cell>
          <cell r="P16">
            <v>244.90629734621629</v>
          </cell>
          <cell r="Q16">
            <v>254.34324472586343</v>
          </cell>
          <cell r="R16">
            <v>255.05178186789837</v>
          </cell>
          <cell r="S16">
            <v>249.43602792046397</v>
          </cell>
          <cell r="T16">
            <v>243.7016527359342</v>
          </cell>
          <cell r="U16">
            <v>239.9642268922162</v>
          </cell>
          <cell r="V16">
            <v>236.44333884586956</v>
          </cell>
        </row>
        <row r="17">
          <cell r="E17">
            <v>4</v>
          </cell>
          <cell r="M17">
            <v>159.97005299995354</v>
          </cell>
          <cell r="N17">
            <v>177.06264941093224</v>
          </cell>
          <cell r="O17">
            <v>190.24964630169325</v>
          </cell>
          <cell r="P17">
            <v>201.75129491460416</v>
          </cell>
          <cell r="Q17">
            <v>213.80316604624844</v>
          </cell>
          <cell r="R17">
            <v>221.49724254982698</v>
          </cell>
          <cell r="S17">
            <v>221.98193683933258</v>
          </cell>
          <cell r="T17">
            <v>218.10495894645643</v>
          </cell>
          <cell r="U17">
            <v>215.31979082857643</v>
          </cell>
          <cell r="V17">
            <v>212.21765204421641</v>
          </cell>
        </row>
        <row r="18">
          <cell r="E18">
            <v>1</v>
          </cell>
          <cell r="M18">
            <v>166.87235685592736</v>
          </cell>
          <cell r="N18">
            <v>183.58780180459459</v>
          </cell>
          <cell r="O18">
            <v>198.6000980845578</v>
          </cell>
          <cell r="P18">
            <v>212.61377891384114</v>
          </cell>
          <cell r="Q18">
            <v>228.40237531335205</v>
          </cell>
          <cell r="R18">
            <v>236.58098869857093</v>
          </cell>
          <cell r="S18">
            <v>233.99095312539134</v>
          </cell>
          <cell r="T18">
            <v>228.51307294888923</v>
          </cell>
          <cell r="U18">
            <v>225.15755849264934</v>
          </cell>
          <cell r="V18">
            <v>223.13984461568876</v>
          </cell>
        </row>
        <row r="19">
          <cell r="E19">
            <v>18</v>
          </cell>
          <cell r="M19">
            <v>224.30019997349996</v>
          </cell>
          <cell r="N19">
            <v>239.50207518263375</v>
          </cell>
          <cell r="O19">
            <v>249.97470202271234</v>
          </cell>
          <cell r="P19">
            <v>264.9278218133652</v>
          </cell>
          <cell r="Q19">
            <v>277.71540400542733</v>
          </cell>
          <cell r="R19">
            <v>280.04322246212308</v>
          </cell>
          <cell r="S19">
            <v>276.33536269293847</v>
          </cell>
          <cell r="T19">
            <v>278.07170225110252</v>
          </cell>
          <cell r="U19">
            <v>277.82243470280622</v>
          </cell>
          <cell r="V19">
            <v>271.68815485988409</v>
          </cell>
        </row>
        <row r="20">
          <cell r="E20">
            <v>5</v>
          </cell>
          <cell r="M20">
            <v>199.36375901762426</v>
          </cell>
          <cell r="N20">
            <v>220.18622347777347</v>
          </cell>
          <cell r="O20">
            <v>234.48611836345879</v>
          </cell>
          <cell r="P20">
            <v>247.12519399413716</v>
          </cell>
          <cell r="Q20">
            <v>256.52813684085146</v>
          </cell>
          <cell r="R20">
            <v>258.83014040763527</v>
          </cell>
          <cell r="S20">
            <v>254.62950533952136</v>
          </cell>
          <cell r="T20">
            <v>249.44357241293824</v>
          </cell>
          <cell r="U20">
            <v>247.87337574811011</v>
          </cell>
          <cell r="V20">
            <v>245.66088848242345</v>
          </cell>
        </row>
        <row r="21">
          <cell r="E21">
            <v>5</v>
          </cell>
          <cell r="M21">
            <v>170.24612840753173</v>
          </cell>
          <cell r="N21">
            <v>188.28977427270615</v>
          </cell>
          <cell r="O21">
            <v>203.32175096985833</v>
          </cell>
          <cell r="P21">
            <v>214.32605945574576</v>
          </cell>
          <cell r="Q21">
            <v>225.01592245203477</v>
          </cell>
          <cell r="R21">
            <v>232.55273297907647</v>
          </cell>
          <cell r="S21">
            <v>233.71861756528344</v>
          </cell>
          <cell r="T21">
            <v>231.23341119638053</v>
          </cell>
          <cell r="U21">
            <v>228.41847303884597</v>
          </cell>
          <cell r="V21">
            <v>225.20596473675258</v>
          </cell>
        </row>
        <row r="22">
          <cell r="E22">
            <v>2</v>
          </cell>
          <cell r="M22">
            <v>171.7253632793165</v>
          </cell>
          <cell r="N22">
            <v>187.79199074324518</v>
          </cell>
          <cell r="O22">
            <v>197.36008991287184</v>
          </cell>
          <cell r="P22">
            <v>202.9120781557676</v>
          </cell>
          <cell r="Q22">
            <v>215.57339928673593</v>
          </cell>
          <cell r="R22">
            <v>226.80907516451728</v>
          </cell>
          <cell r="S22">
            <v>225.7803792924766</v>
          </cell>
          <cell r="T22">
            <v>221.20364362582822</v>
          </cell>
          <cell r="U22">
            <v>218.2700753631494</v>
          </cell>
          <cell r="V22">
            <v>218.01138773006818</v>
          </cell>
        </row>
        <row r="23">
          <cell r="E23">
            <v>21</v>
          </cell>
          <cell r="M23">
            <v>215.62046867249006</v>
          </cell>
          <cell r="N23">
            <v>229.66426982935363</v>
          </cell>
          <cell r="O23">
            <v>239.93944734699582</v>
          </cell>
          <cell r="P23">
            <v>254.57309789843322</v>
          </cell>
          <cell r="Q23">
            <v>266.56008151737194</v>
          </cell>
          <cell r="R23">
            <v>267.48364667147854</v>
          </cell>
          <cell r="S23">
            <v>263.29269772961203</v>
          </cell>
          <cell r="T23">
            <v>264.32830402864136</v>
          </cell>
          <cell r="U23">
            <v>264.33793694659636</v>
          </cell>
          <cell r="V23">
            <v>258.62234428931947</v>
          </cell>
        </row>
        <row r="24">
          <cell r="E24">
            <v>4</v>
          </cell>
          <cell r="M24">
            <v>196.87649526141126</v>
          </cell>
          <cell r="N24">
            <v>217.85628334041422</v>
          </cell>
          <cell r="O24">
            <v>231.71398184321725</v>
          </cell>
          <cell r="P24">
            <v>244.39032988279294</v>
          </cell>
          <cell r="Q24">
            <v>253.23663861152741</v>
          </cell>
          <cell r="R24">
            <v>253.39184720075423</v>
          </cell>
          <cell r="S24">
            <v>247.14393439815859</v>
          </cell>
          <cell r="T24">
            <v>241.24710099454865</v>
          </cell>
          <cell r="U24">
            <v>238.73460763964118</v>
          </cell>
          <cell r="V24">
            <v>235.6963587125023</v>
          </cell>
        </row>
        <row r="25">
          <cell r="E25">
            <v>4</v>
          </cell>
          <cell r="M25">
            <v>160.06746186443849</v>
          </cell>
          <cell r="N25">
            <v>178.25514257741432</v>
          </cell>
          <cell r="O25">
            <v>193.42271173995775</v>
          </cell>
          <cell r="P25">
            <v>205.4923455732488</v>
          </cell>
          <cell r="Q25">
            <v>217.67547934548202</v>
          </cell>
          <cell r="R25">
            <v>223.45431005839683</v>
          </cell>
          <cell r="S25">
            <v>222.16041518848004</v>
          </cell>
          <cell r="T25">
            <v>216.10595665235883</v>
          </cell>
          <cell r="U25">
            <v>214.07426894758001</v>
          </cell>
          <cell r="V25">
            <v>211.19350548118459</v>
          </cell>
        </row>
        <row r="26">
          <cell r="E26">
            <v>2</v>
          </cell>
          <cell r="M26">
            <v>167.71868130541921</v>
          </cell>
          <cell r="N26">
            <v>184.97065207152511</v>
          </cell>
          <cell r="O26">
            <v>199.08663027716688</v>
          </cell>
          <cell r="P26">
            <v>214.45009685361543</v>
          </cell>
          <cell r="Q26">
            <v>227.2703888434929</v>
          </cell>
          <cell r="R26">
            <v>237.28468166897602</v>
          </cell>
          <cell r="S26">
            <v>233.63500516764176</v>
          </cell>
          <cell r="T26">
            <v>227.01378298485579</v>
          </cell>
          <cell r="U26">
            <v>220.41563103089359</v>
          </cell>
          <cell r="V26">
            <v>218.13393751276001</v>
          </cell>
        </row>
        <row r="27">
          <cell r="E27">
            <v>20</v>
          </cell>
          <cell r="M27">
            <v>222.97714252526799</v>
          </cell>
          <cell r="N27">
            <v>239.59043198635675</v>
          </cell>
          <cell r="O27">
            <v>250.87596625122418</v>
          </cell>
          <cell r="P27">
            <v>265.59441086779924</v>
          </cell>
          <cell r="Q27">
            <v>279.04495508235664</v>
          </cell>
          <cell r="R27">
            <v>282.22308861048191</v>
          </cell>
          <cell r="S27">
            <v>278.49425590600299</v>
          </cell>
          <cell r="T27">
            <v>279.80744986701251</v>
          </cell>
          <cell r="U27">
            <v>279.69449753008064</v>
          </cell>
          <cell r="V27">
            <v>273.59771401428668</v>
          </cell>
        </row>
        <row r="28">
          <cell r="E28">
            <v>4</v>
          </cell>
          <cell r="M28">
            <v>203.69254847524016</v>
          </cell>
          <cell r="N28">
            <v>224.99034699943908</v>
          </cell>
          <cell r="O28">
            <v>239.13318652474535</v>
          </cell>
          <cell r="P28">
            <v>252.80932946548467</v>
          </cell>
          <cell r="Q28">
            <v>262.44567048725668</v>
          </cell>
          <cell r="R28">
            <v>263.66239337993665</v>
          </cell>
          <cell r="S28">
            <v>257.21136900577761</v>
          </cell>
          <cell r="T28">
            <v>251.65829220989772</v>
          </cell>
          <cell r="U28">
            <v>249.86905252392626</v>
          </cell>
          <cell r="V28">
            <v>246.0029845480251</v>
          </cell>
        </row>
        <row r="29">
          <cell r="E29">
            <v>4</v>
          </cell>
          <cell r="M29">
            <v>167.41743147236119</v>
          </cell>
          <cell r="N29">
            <v>184.16206782050207</v>
          </cell>
          <cell r="O29">
            <v>198.66693435097619</v>
          </cell>
          <cell r="P29">
            <v>209.33922752567884</v>
          </cell>
          <cell r="Q29">
            <v>221.93114952413993</v>
          </cell>
          <cell r="R29">
            <v>229.93948307128093</v>
          </cell>
          <cell r="S29">
            <v>230.34602324715064</v>
          </cell>
          <cell r="T29">
            <v>226.18724315212569</v>
          </cell>
          <cell r="U29">
            <v>223.73338976957925</v>
          </cell>
          <cell r="V29">
            <v>220.61925473227231</v>
          </cell>
        </row>
        <row r="30">
          <cell r="E30">
            <v>2</v>
          </cell>
          <cell r="M30">
            <v>165.20667791020523</v>
          </cell>
          <cell r="N30">
            <v>182.33609002557054</v>
          </cell>
          <cell r="O30">
            <v>197.51836241294188</v>
          </cell>
          <cell r="P30">
            <v>213.01485637168068</v>
          </cell>
          <cell r="Q30">
            <v>228.99268584646092</v>
          </cell>
          <cell r="R30">
            <v>238.33555209691667</v>
          </cell>
          <cell r="S30">
            <v>236.49695506861357</v>
          </cell>
          <cell r="T30">
            <v>230.06007744922331</v>
          </cell>
          <cell r="U30">
            <v>226.83981403849785</v>
          </cell>
          <cell r="V30">
            <v>223.99973717976852</v>
          </cell>
        </row>
        <row r="31">
          <cell r="E31">
            <v>19</v>
          </cell>
          <cell r="M31">
            <v>216.8998664997124</v>
          </cell>
          <cell r="N31">
            <v>233.43272054162432</v>
          </cell>
          <cell r="O31">
            <v>245.28954559204345</v>
          </cell>
          <cell r="P31">
            <v>260.95659429837139</v>
          </cell>
          <cell r="Q31">
            <v>273.50320721875534</v>
          </cell>
          <cell r="R31">
            <v>275.06340515861757</v>
          </cell>
          <cell r="S31">
            <v>270.94787232033548</v>
          </cell>
          <cell r="T31">
            <v>273.16372722753499</v>
          </cell>
          <cell r="U31">
            <v>272.74772040962438</v>
          </cell>
          <cell r="V31">
            <v>265.79305515980479</v>
          </cell>
        </row>
        <row r="32">
          <cell r="E32">
            <v>5</v>
          </cell>
          <cell r="M32">
            <v>195.72142747766739</v>
          </cell>
          <cell r="N32">
            <v>217.93785608684334</v>
          </cell>
          <cell r="O32">
            <v>232.48873005423374</v>
          </cell>
          <cell r="P32">
            <v>246.70026591918383</v>
          </cell>
          <cell r="Q32">
            <v>256.90792433065388</v>
          </cell>
          <cell r="R32">
            <v>257.06644070206448</v>
          </cell>
          <cell r="S32">
            <v>250.10083006307494</v>
          </cell>
          <cell r="T32">
            <v>243.9186139826333</v>
          </cell>
          <cell r="U32">
            <v>241.23806001884776</v>
          </cell>
          <cell r="V32">
            <v>237.919886698883</v>
          </cell>
        </row>
        <row r="33">
          <cell r="E33">
            <v>5</v>
          </cell>
          <cell r="M33">
            <v>161.43107511661748</v>
          </cell>
          <cell r="N33">
            <v>179.09459428912476</v>
          </cell>
          <cell r="O33">
            <v>194.34591995510209</v>
          </cell>
          <cell r="P33">
            <v>207.37104613501273</v>
          </cell>
          <cell r="Q33">
            <v>220.56981536048971</v>
          </cell>
          <cell r="R33">
            <v>228.02845182078576</v>
          </cell>
          <cell r="S33">
            <v>228.27322991940224</v>
          </cell>
          <cell r="T33">
            <v>223.9426646350241</v>
          </cell>
          <cell r="U33">
            <v>220.73027161756445</v>
          </cell>
          <cell r="V33">
            <v>217.68902528994801</v>
          </cell>
        </row>
        <row r="34">
          <cell r="E34">
            <v>2</v>
          </cell>
          <cell r="M34">
            <v>165.00651718186344</v>
          </cell>
          <cell r="N34">
            <v>183.84519691957047</v>
          </cell>
          <cell r="O34">
            <v>199.75843374426614</v>
          </cell>
          <cell r="P34">
            <v>214.37709064227906</v>
          </cell>
          <cell r="Q34">
            <v>228.22794301144694</v>
          </cell>
          <cell r="R34">
            <v>235.18992440148551</v>
          </cell>
          <cell r="S34">
            <v>233.25999533910354</v>
          </cell>
          <cell r="T34">
            <v>228.43780316810933</v>
          </cell>
          <cell r="U34">
            <v>226.42610847923794</v>
          </cell>
          <cell r="V34">
            <v>220.87105854251118</v>
          </cell>
        </row>
        <row r="35">
          <cell r="E35">
            <v>21</v>
          </cell>
          <cell r="M35">
            <v>217.85927852387962</v>
          </cell>
          <cell r="N35">
            <v>233.13467429117725</v>
          </cell>
          <cell r="O35">
            <v>244.6561230399353</v>
          </cell>
          <cell r="P35">
            <v>260.05243908596691</v>
          </cell>
          <cell r="Q35">
            <v>272.31015314818973</v>
          </cell>
          <cell r="R35">
            <v>273.42517282377753</v>
          </cell>
          <cell r="S35">
            <v>269.96591771624509</v>
          </cell>
          <cell r="T35">
            <v>272.11656807799625</v>
          </cell>
          <cell r="U35">
            <v>271.70220184910443</v>
          </cell>
          <cell r="V35">
            <v>264.83878660391269</v>
          </cell>
        </row>
        <row r="36">
          <cell r="E36">
            <v>4</v>
          </cell>
          <cell r="M36">
            <v>198.6650809287874</v>
          </cell>
          <cell r="N36">
            <v>219.83877554475103</v>
          </cell>
          <cell r="O36">
            <v>234.28423501664722</v>
          </cell>
          <cell r="P36">
            <v>247.56241540167056</v>
          </cell>
          <cell r="Q36">
            <v>256.75693914964438</v>
          </cell>
          <cell r="R36">
            <v>256.93465262958716</v>
          </cell>
          <cell r="S36">
            <v>250.52490015431167</v>
          </cell>
          <cell r="T36">
            <v>243.95090698215731</v>
          </cell>
          <cell r="U36">
            <v>240.38901307838955</v>
          </cell>
          <cell r="V36">
            <v>237.1372658775885</v>
          </cell>
        </row>
        <row r="37">
          <cell r="E37">
            <v>4</v>
          </cell>
          <cell r="M37">
            <v>159.91325536472041</v>
          </cell>
          <cell r="N37">
            <v>177.43523826216159</v>
          </cell>
          <cell r="O37">
            <v>192.31898774146561</v>
          </cell>
          <cell r="P37">
            <v>203.94060110085766</v>
          </cell>
          <cell r="Q37">
            <v>215.98075754010287</v>
          </cell>
          <cell r="R37">
            <v>223.41231763055225</v>
          </cell>
          <cell r="S37">
            <v>223.79990235221828</v>
          </cell>
          <cell r="T37">
            <v>217.85103788957844</v>
          </cell>
          <cell r="U37">
            <v>214.84296471532443</v>
          </cell>
          <cell r="V37">
            <v>210.6190953594849</v>
          </cell>
        </row>
        <row r="38">
          <cell r="E38">
            <v>2</v>
          </cell>
          <cell r="M38">
            <v>167.3530671745319</v>
          </cell>
          <cell r="N38">
            <v>185.04162971670988</v>
          </cell>
          <cell r="O38">
            <v>199.14963776353738</v>
          </cell>
          <cell r="P38">
            <v>214.36127669434518</v>
          </cell>
          <cell r="Q38">
            <v>229.36868002841041</v>
          </cell>
          <cell r="R38">
            <v>238.51802106800179</v>
          </cell>
          <cell r="S38">
            <v>234.21259226780617</v>
          </cell>
          <cell r="T38">
            <v>226.65006218237664</v>
          </cell>
          <cell r="U38">
            <v>222.73831045333856</v>
          </cell>
          <cell r="V38">
            <v>218.56283847355348</v>
          </cell>
        </row>
        <row r="39">
          <cell r="E39">
            <v>21</v>
          </cell>
          <cell r="M39">
            <v>225.29884202832608</v>
          </cell>
          <cell r="N39">
            <v>240.93398792927499</v>
          </cell>
          <cell r="O39">
            <v>252.45813699887742</v>
          </cell>
          <cell r="P39">
            <v>268.39573435349001</v>
          </cell>
          <cell r="Q39">
            <v>281.61651185895295</v>
          </cell>
          <cell r="R39">
            <v>283.68421049269426</v>
          </cell>
          <cell r="S39">
            <v>280.0940895897545</v>
          </cell>
          <cell r="T39">
            <v>281.6063202539267</v>
          </cell>
          <cell r="U39">
            <v>281.64832154982008</v>
          </cell>
          <cell r="V39">
            <v>275.1637205260804</v>
          </cell>
        </row>
        <row r="40">
          <cell r="E40">
            <v>5</v>
          </cell>
          <cell r="M40">
            <v>206.19116776787783</v>
          </cell>
          <cell r="N40">
            <v>228.51622997424431</v>
          </cell>
          <cell r="O40">
            <v>243.8404243968024</v>
          </cell>
          <cell r="P40">
            <v>258.09844435628901</v>
          </cell>
          <cell r="Q40">
            <v>267.95100835970175</v>
          </cell>
          <cell r="R40">
            <v>268.36310436811345</v>
          </cell>
          <cell r="S40">
            <v>260.18230944290212</v>
          </cell>
          <cell r="T40">
            <v>251.47881842227812</v>
          </cell>
          <cell r="U40">
            <v>247.29822292732757</v>
          </cell>
          <cell r="V40">
            <v>242.84086893295498</v>
          </cell>
        </row>
        <row r="41">
          <cell r="E41">
            <v>4</v>
          </cell>
          <cell r="M41">
            <v>164.47554719696686</v>
          </cell>
          <cell r="N41">
            <v>182.26964173628497</v>
          </cell>
          <cell r="O41">
            <v>197.22197670462336</v>
          </cell>
          <cell r="P41">
            <v>210.4193846846172</v>
          </cell>
          <cell r="Q41">
            <v>223.02128102091015</v>
          </cell>
          <cell r="R41">
            <v>230.75299130637254</v>
          </cell>
          <cell r="S41">
            <v>229.87940204099803</v>
          </cell>
          <cell r="T41">
            <v>224.48618069189013</v>
          </cell>
          <cell r="U41">
            <v>221.95435942473154</v>
          </cell>
          <cell r="V41">
            <v>219.20223143948274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21</v>
          </cell>
          <cell r="M43">
            <v>218.61072593680478</v>
          </cell>
          <cell r="N43">
            <v>234.55058686086088</v>
          </cell>
          <cell r="O43">
            <v>245.54756147043187</v>
          </cell>
          <cell r="P43">
            <v>260.26303750768778</v>
          </cell>
          <cell r="Q43">
            <v>273.32644040301665</v>
          </cell>
          <cell r="R43">
            <v>275.99157061301332</v>
          </cell>
          <cell r="S43">
            <v>272.12434313973807</v>
          </cell>
          <cell r="T43">
            <v>273.55188837236977</v>
          </cell>
          <cell r="U43">
            <v>273.09464956179494</v>
          </cell>
          <cell r="V43">
            <v>266.80780159116131</v>
          </cell>
        </row>
        <row r="44">
          <cell r="E44">
            <v>4</v>
          </cell>
          <cell r="M44">
            <v>200.76206185950207</v>
          </cell>
          <cell r="N44">
            <v>222.24216972990857</v>
          </cell>
          <cell r="O44">
            <v>237.01372509044882</v>
          </cell>
          <cell r="P44">
            <v>251.18686452132252</v>
          </cell>
          <cell r="Q44">
            <v>260.95827035958519</v>
          </cell>
          <cell r="R44">
            <v>261.93984363757926</v>
          </cell>
          <cell r="S44">
            <v>255.35744577222181</v>
          </cell>
          <cell r="T44">
            <v>248.589193558169</v>
          </cell>
          <cell r="U44">
            <v>245.8377240255399</v>
          </cell>
          <cell r="V44">
            <v>242.74014341823749</v>
          </cell>
        </row>
        <row r="45">
          <cell r="E45">
            <v>5</v>
          </cell>
          <cell r="M45">
            <v>165.75867182167647</v>
          </cell>
          <cell r="N45">
            <v>183.35409103081844</v>
          </cell>
          <cell r="O45">
            <v>197.88938383655469</v>
          </cell>
          <cell r="P45">
            <v>210.58648532721807</v>
          </cell>
          <cell r="Q45">
            <v>223.87982342456769</v>
          </cell>
          <cell r="R45">
            <v>231.01941409497618</v>
          </cell>
          <cell r="S45">
            <v>229.42066896420874</v>
          </cell>
          <cell r="T45">
            <v>224.03601858421797</v>
          </cell>
          <cell r="U45">
            <v>220.768503992739</v>
          </cell>
          <cell r="V45">
            <v>216.66359507685959</v>
          </cell>
        </row>
        <row r="46">
          <cell r="E46">
            <v>1</v>
          </cell>
          <cell r="M46">
            <v>163.7155354659611</v>
          </cell>
          <cell r="N46">
            <v>181.30528355792728</v>
          </cell>
          <cell r="O46">
            <v>194.46443920963691</v>
          </cell>
          <cell r="P46">
            <v>208.30985989894529</v>
          </cell>
          <cell r="Q46">
            <v>225.3326292940645</v>
          </cell>
          <cell r="R46">
            <v>236.15941496305734</v>
          </cell>
          <cell r="S46">
            <v>235.85070710100035</v>
          </cell>
          <cell r="T46">
            <v>228.45428000268726</v>
          </cell>
          <cell r="U46">
            <v>226.2308007905747</v>
          </cell>
          <cell r="V46">
            <v>224.30909906042083</v>
          </cell>
        </row>
        <row r="47">
          <cell r="E47">
            <v>20</v>
          </cell>
          <cell r="M47">
            <v>229.35264216224562</v>
          </cell>
          <cell r="N47">
            <v>245.43500154465721</v>
          </cell>
          <cell r="O47">
            <v>256.26929179990486</v>
          </cell>
          <cell r="P47">
            <v>270.94781024399418</v>
          </cell>
          <cell r="Q47">
            <v>284.39686684337374</v>
          </cell>
          <cell r="R47">
            <v>287.56659567829593</v>
          </cell>
          <cell r="S47">
            <v>283.02715459066673</v>
          </cell>
          <cell r="T47">
            <v>283.47639220425668</v>
          </cell>
          <cell r="U47">
            <v>283.00787545268366</v>
          </cell>
          <cell r="V47">
            <v>277.71111408684442</v>
          </cell>
        </row>
        <row r="48">
          <cell r="E48">
            <v>4</v>
          </cell>
          <cell r="M48">
            <v>209.68869072277977</v>
          </cell>
          <cell r="N48">
            <v>232.32380873461324</v>
          </cell>
          <cell r="O48">
            <v>246.23272021894894</v>
          </cell>
          <cell r="P48">
            <v>258.99554725292489</v>
          </cell>
          <cell r="Q48">
            <v>268.07732262908809</v>
          </cell>
          <cell r="R48">
            <v>269.06370904054137</v>
          </cell>
          <cell r="S48">
            <v>262.07838694619215</v>
          </cell>
          <cell r="T48">
            <v>255.03851526696798</v>
          </cell>
          <cell r="U48">
            <v>251.40337793155982</v>
          </cell>
          <cell r="V48">
            <v>248.0513419674422</v>
          </cell>
        </row>
        <row r="49">
          <cell r="E49">
            <v>4</v>
          </cell>
          <cell r="M49">
            <v>169.15364909485493</v>
          </cell>
          <cell r="N49">
            <v>187.72951977382405</v>
          </cell>
          <cell r="O49">
            <v>203.41044032540952</v>
          </cell>
          <cell r="P49">
            <v>215.56333405140441</v>
          </cell>
          <cell r="Q49">
            <v>227.7137336386883</v>
          </cell>
          <cell r="R49">
            <v>235.77801127137022</v>
          </cell>
          <cell r="S49">
            <v>236.6725113956978</v>
          </cell>
          <cell r="T49">
            <v>231.63557277317977</v>
          </cell>
          <cell r="U49">
            <v>227.02539569469425</v>
          </cell>
          <cell r="V49">
            <v>222.69747308884368</v>
          </cell>
        </row>
        <row r="50">
          <cell r="E50">
            <v>2</v>
          </cell>
          <cell r="M50">
            <v>165.30952288857404</v>
          </cell>
          <cell r="N50">
            <v>184.20570305437766</v>
          </cell>
          <cell r="O50">
            <v>199.46762160458712</v>
          </cell>
          <cell r="P50">
            <v>215.48634165215478</v>
          </cell>
          <cell r="Q50">
            <v>230.86724946348286</v>
          </cell>
          <cell r="R50">
            <v>240.92402689351621</v>
          </cell>
          <cell r="S50">
            <v>240.43730182084684</v>
          </cell>
          <cell r="T50">
            <v>233.3437141533303</v>
          </cell>
          <cell r="U50">
            <v>228.28647878423513</v>
          </cell>
          <cell r="V50">
            <v>226.03663929721247</v>
          </cell>
        </row>
        <row r="51">
          <cell r="E51">
            <v>19</v>
          </cell>
          <cell r="M51">
            <v>212.77463423310962</v>
          </cell>
          <cell r="N51">
            <v>232.55230287871206</v>
          </cell>
          <cell r="O51">
            <v>244.57786916075096</v>
          </cell>
          <cell r="P51">
            <v>258.2481281511445</v>
          </cell>
          <cell r="Q51">
            <v>271.2297033436426</v>
          </cell>
          <cell r="R51">
            <v>276.47961924195874</v>
          </cell>
          <cell r="S51">
            <v>272.96256884370871</v>
          </cell>
          <cell r="T51">
            <v>273.04568684763262</v>
          </cell>
          <cell r="U51">
            <v>272.0382831606413</v>
          </cell>
          <cell r="V51">
            <v>266.19950887219915</v>
          </cell>
        </row>
        <row r="52">
          <cell r="E52">
            <v>5</v>
          </cell>
          <cell r="M52">
            <v>199.73608847842769</v>
          </cell>
          <cell r="N52">
            <v>221.58045810228711</v>
          </cell>
          <cell r="O52">
            <v>236.22732204636236</v>
          </cell>
          <cell r="P52">
            <v>248.03760979395241</v>
          </cell>
          <cell r="Q52">
            <v>256.52472707610701</v>
          </cell>
          <cell r="R52">
            <v>258.18383258069304</v>
          </cell>
          <cell r="S52">
            <v>252.97633921058588</v>
          </cell>
          <cell r="T52">
            <v>247.11917258903574</v>
          </cell>
          <cell r="U52">
            <v>242.9488972858183</v>
          </cell>
          <cell r="V52">
            <v>238.72042541267737</v>
          </cell>
        </row>
        <row r="53">
          <cell r="E53">
            <v>5</v>
          </cell>
          <cell r="M53">
            <v>166.20013437352463</v>
          </cell>
          <cell r="N53">
            <v>184.33713418789287</v>
          </cell>
          <cell r="O53">
            <v>199.51686587929726</v>
          </cell>
          <cell r="P53">
            <v>211.956173192791</v>
          </cell>
          <cell r="Q53">
            <v>223.46720641829188</v>
          </cell>
          <cell r="R53">
            <v>230.51778848339416</v>
          </cell>
          <cell r="S53">
            <v>231.03451859901006</v>
          </cell>
          <cell r="T53">
            <v>226.58901675179214</v>
          </cell>
          <cell r="U53">
            <v>224.13795902161422</v>
          </cell>
          <cell r="V53">
            <v>220.92047574417194</v>
          </cell>
        </row>
        <row r="54">
          <cell r="E54">
            <v>2</v>
          </cell>
          <cell r="M54">
            <v>149.72926134134039</v>
          </cell>
          <cell r="N54">
            <v>163.3612347482669</v>
          </cell>
          <cell r="O54">
            <v>177.04932516768497</v>
          </cell>
          <cell r="P54">
            <v>190.20683579635147</v>
          </cell>
          <cell r="Q54">
            <v>202.73115665918945</v>
          </cell>
          <cell r="R54">
            <v>212.17340713198922</v>
          </cell>
          <cell r="S54">
            <v>213.52405751390759</v>
          </cell>
          <cell r="T54">
            <v>209.91719595193953</v>
          </cell>
          <cell r="U54">
            <v>208.97604324014907</v>
          </cell>
          <cell r="V54">
            <v>207.42028154167406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21</v>
          </cell>
          <cell r="M7">
            <v>213.09412304028635</v>
          </cell>
          <cell r="N7">
            <v>230.90553028134843</v>
          </cell>
          <cell r="O7">
            <v>242.6643899213245</v>
          </cell>
          <cell r="P7">
            <v>258.1241527229862</v>
          </cell>
          <cell r="Q7">
            <v>271.49822645952429</v>
          </cell>
          <cell r="R7">
            <v>276.07098782261914</v>
          </cell>
          <cell r="S7">
            <v>273.39500221651497</v>
          </cell>
          <cell r="T7">
            <v>275.25836091091554</v>
          </cell>
          <cell r="U7">
            <v>274.91423909191559</v>
          </cell>
          <cell r="V7">
            <v>268.57725027029818</v>
          </cell>
        </row>
        <row r="8">
          <cell r="E8">
            <v>4</v>
          </cell>
          <cell r="M8">
            <v>193.17117266679927</v>
          </cell>
          <cell r="N8">
            <v>213.90275486668227</v>
          </cell>
          <cell r="O8">
            <v>229.18793797375807</v>
          </cell>
          <cell r="P8">
            <v>242.38525187220438</v>
          </cell>
          <cell r="Q8">
            <v>253.3358625942378</v>
          </cell>
          <cell r="R8">
            <v>255.72780538166961</v>
          </cell>
          <cell r="S8">
            <v>250.70030592344108</v>
          </cell>
          <cell r="T8">
            <v>244.67268721200614</v>
          </cell>
          <cell r="U8">
            <v>241.55414796762076</v>
          </cell>
          <cell r="V8">
            <v>238.18258812931219</v>
          </cell>
        </row>
        <row r="9">
          <cell r="E9">
            <v>4</v>
          </cell>
          <cell r="M9">
            <v>160.32340862634746</v>
          </cell>
          <cell r="N9">
            <v>176.60148884626457</v>
          </cell>
          <cell r="O9">
            <v>191.55451989685778</v>
          </cell>
          <cell r="P9">
            <v>203.341537694886</v>
          </cell>
          <cell r="Q9">
            <v>216.77855671179233</v>
          </cell>
          <cell r="R9">
            <v>225.48649254287554</v>
          </cell>
          <cell r="S9">
            <v>227.30135909101253</v>
          </cell>
          <cell r="T9">
            <v>223.30003436756485</v>
          </cell>
          <cell r="U9">
            <v>219.75030036456528</v>
          </cell>
          <cell r="V9">
            <v>216.40096692329803</v>
          </cell>
        </row>
        <row r="10">
          <cell r="E10">
            <v>2</v>
          </cell>
          <cell r="M10">
            <v>143.49250156028279</v>
          </cell>
          <cell r="N10">
            <v>155.22517955809576</v>
          </cell>
          <cell r="O10">
            <v>167.61825954400001</v>
          </cell>
          <cell r="P10">
            <v>180.83705394267392</v>
          </cell>
          <cell r="Q10">
            <v>194.90354347001249</v>
          </cell>
          <cell r="R10">
            <v>205.17805959739985</v>
          </cell>
          <cell r="S10">
            <v>206.64013244607403</v>
          </cell>
          <cell r="T10">
            <v>203.26203660393523</v>
          </cell>
          <cell r="U10">
            <v>199.86118537562018</v>
          </cell>
          <cell r="V10">
            <v>197.44640973498406</v>
          </cell>
        </row>
        <row r="11">
          <cell r="E11">
            <v>20</v>
          </cell>
          <cell r="M11">
            <v>242.82836548643172</v>
          </cell>
          <cell r="N11">
            <v>258.4485735700618</v>
          </cell>
          <cell r="O11">
            <v>268.83769884554687</v>
          </cell>
          <cell r="P11">
            <v>284.81602814683129</v>
          </cell>
          <cell r="Q11">
            <v>297.75970392847296</v>
          </cell>
          <cell r="R11">
            <v>298.51015801674589</v>
          </cell>
          <cell r="S11">
            <v>294.79024001967059</v>
          </cell>
          <cell r="T11">
            <v>297.09567869680899</v>
          </cell>
          <cell r="U11">
            <v>297.43673946152614</v>
          </cell>
          <cell r="V11">
            <v>291.28416864706685</v>
          </cell>
        </row>
        <row r="12">
          <cell r="E12">
            <v>4</v>
          </cell>
          <cell r="M12">
            <v>223.47804253148132</v>
          </cell>
          <cell r="N12">
            <v>247.66361612763049</v>
          </cell>
          <cell r="O12">
            <v>262.98611620882667</v>
          </cell>
          <cell r="P12">
            <v>277.25269421644145</v>
          </cell>
          <cell r="Q12">
            <v>285.90980503704259</v>
          </cell>
          <cell r="R12">
            <v>286.09845274393632</v>
          </cell>
          <cell r="S12">
            <v>278.5849788061924</v>
          </cell>
          <cell r="T12">
            <v>271.30706660757562</v>
          </cell>
          <cell r="U12">
            <v>268.50315416456698</v>
          </cell>
          <cell r="V12">
            <v>265.08036206054283</v>
          </cell>
        </row>
        <row r="13">
          <cell r="E13">
            <v>4</v>
          </cell>
          <cell r="M13">
            <v>181.56804831348146</v>
          </cell>
          <cell r="N13">
            <v>200.29588828393668</v>
          </cell>
          <cell r="O13">
            <v>216.18481178138842</v>
          </cell>
          <cell r="P13">
            <v>229.61656525372581</v>
          </cell>
          <cell r="Q13">
            <v>244.09620414881246</v>
          </cell>
          <cell r="R13">
            <v>252.93801185787288</v>
          </cell>
          <cell r="S13">
            <v>253.39075351702459</v>
          </cell>
          <cell r="T13">
            <v>248.60754743866485</v>
          </cell>
          <cell r="U13">
            <v>244.75379961714188</v>
          </cell>
          <cell r="V13">
            <v>240.76553362129269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19</v>
          </cell>
          <cell r="M15">
            <v>222.00488747109773</v>
          </cell>
          <cell r="N15">
            <v>236.21276981817283</v>
          </cell>
          <cell r="O15">
            <v>245.6992846954262</v>
          </cell>
          <cell r="P15">
            <v>260.39658159276809</v>
          </cell>
          <cell r="Q15">
            <v>272.30862674750517</v>
          </cell>
          <cell r="R15">
            <v>273.55126649230812</v>
          </cell>
          <cell r="S15">
            <v>270.07585656943684</v>
          </cell>
          <cell r="T15">
            <v>272.01188597625099</v>
          </cell>
          <cell r="U15">
            <v>271.51223028486589</v>
          </cell>
          <cell r="V15">
            <v>266.01974273701074</v>
          </cell>
        </row>
        <row r="16">
          <cell r="E16">
            <v>5</v>
          </cell>
          <cell r="M16">
            <v>204.25559993321846</v>
          </cell>
          <cell r="N16">
            <v>225.23861575961993</v>
          </cell>
          <cell r="O16">
            <v>238.73969115541226</v>
          </cell>
          <cell r="P16">
            <v>251.55895267653909</v>
          </cell>
          <cell r="Q16">
            <v>261.22419726774234</v>
          </cell>
          <cell r="R16">
            <v>261.94987297373302</v>
          </cell>
          <cell r="S16">
            <v>256.198262643482</v>
          </cell>
          <cell r="T16">
            <v>250.32516409303551</v>
          </cell>
          <cell r="U16">
            <v>246.49732567240542</v>
          </cell>
          <cell r="V16">
            <v>242.89126207323949</v>
          </cell>
        </row>
        <row r="17">
          <cell r="E17">
            <v>4</v>
          </cell>
          <cell r="M17">
            <v>164.56795989801947</v>
          </cell>
          <cell r="N17">
            <v>182.0740540878293</v>
          </cell>
          <cell r="O17">
            <v>195.58006745332881</v>
          </cell>
          <cell r="P17">
            <v>207.35996049811305</v>
          </cell>
          <cell r="Q17">
            <v>219.7033841189882</v>
          </cell>
          <cell r="R17">
            <v>227.58359582125775</v>
          </cell>
          <cell r="S17">
            <v>228.08001339086718</v>
          </cell>
          <cell r="T17">
            <v>224.10924608999991</v>
          </cell>
          <cell r="U17">
            <v>221.25669984673343</v>
          </cell>
          <cell r="V17">
            <v>218.07951584871262</v>
          </cell>
        </row>
        <row r="18">
          <cell r="E18">
            <v>3</v>
          </cell>
          <cell r="M18">
            <v>171.63724232317321</v>
          </cell>
          <cell r="N18">
            <v>188.7570615639639</v>
          </cell>
          <cell r="O18">
            <v>204.13253138564934</v>
          </cell>
          <cell r="P18">
            <v>218.4852239550732</v>
          </cell>
          <cell r="Q18">
            <v>234.65577329991976</v>
          </cell>
          <cell r="R18">
            <v>243.03224099771151</v>
          </cell>
          <cell r="S18">
            <v>240.37954862029321</v>
          </cell>
          <cell r="T18">
            <v>234.76914961559842</v>
          </cell>
          <cell r="U18">
            <v>231.33245992672838</v>
          </cell>
          <cell r="V18">
            <v>229.26593399101952</v>
          </cell>
        </row>
        <row r="19">
          <cell r="E19">
            <v>21</v>
          </cell>
          <cell r="M19">
            <v>225.76056424835622</v>
          </cell>
          <cell r="N19">
            <v>241.0475689372648</v>
          </cell>
          <cell r="O19">
            <v>251.57883956933102</v>
          </cell>
          <cell r="P19">
            <v>266.61569437104447</v>
          </cell>
          <cell r="Q19">
            <v>279.47488461181143</v>
          </cell>
          <cell r="R19">
            <v>281.81573678752187</v>
          </cell>
          <cell r="S19">
            <v>278.08711592317252</v>
          </cell>
          <cell r="T19">
            <v>279.83317625692763</v>
          </cell>
          <cell r="U19">
            <v>279.58251287400304</v>
          </cell>
          <cell r="V19">
            <v>273.41388425128491</v>
          </cell>
        </row>
        <row r="20">
          <cell r="E20">
            <v>4</v>
          </cell>
          <cell r="M20">
            <v>200.6844828171123</v>
          </cell>
          <cell r="N20">
            <v>221.62355049178575</v>
          </cell>
          <cell r="O20">
            <v>236.00352252182847</v>
          </cell>
          <cell r="P20">
            <v>248.7133740391167</v>
          </cell>
          <cell r="Q20">
            <v>258.16897293211656</v>
          </cell>
          <cell r="R20">
            <v>260.4838670133737</v>
          </cell>
          <cell r="S20">
            <v>256.25970949019194</v>
          </cell>
          <cell r="T20">
            <v>251.04473318386624</v>
          </cell>
          <cell r="U20">
            <v>249.46574488299981</v>
          </cell>
          <cell r="V20">
            <v>247.24086970176941</v>
          </cell>
        </row>
        <row r="21">
          <cell r="E21">
            <v>5</v>
          </cell>
          <cell r="M21">
            <v>171.40380096727307</v>
          </cell>
          <cell r="N21">
            <v>189.54848907008477</v>
          </cell>
          <cell r="O21">
            <v>204.66463912178847</v>
          </cell>
          <cell r="P21">
            <v>215.73057168857841</v>
          </cell>
          <cell r="Q21">
            <v>226.48029491327409</v>
          </cell>
          <cell r="R21">
            <v>234.05931038350039</v>
          </cell>
          <cell r="S21">
            <v>235.23172294729122</v>
          </cell>
          <cell r="T21">
            <v>232.73260120643087</v>
          </cell>
          <cell r="U21">
            <v>229.90189845175243</v>
          </cell>
          <cell r="V21">
            <v>226.67140164497494</v>
          </cell>
        </row>
        <row r="22">
          <cell r="E22">
            <v>0</v>
          </cell>
          <cell r="M22">
            <v>172.8913184146713</v>
          </cell>
          <cell r="N22">
            <v>189.04791705442412</v>
          </cell>
          <cell r="O22">
            <v>198.66959418900896</v>
          </cell>
          <cell r="P22">
            <v>204.25267389289897</v>
          </cell>
          <cell r="Q22">
            <v>216.9848956745665</v>
          </cell>
          <cell r="R22">
            <v>228.2834882869443</v>
          </cell>
          <cell r="S22">
            <v>227.24903343352858</v>
          </cell>
          <cell r="T22">
            <v>222.64666638562741</v>
          </cell>
          <cell r="U22">
            <v>219.69667326100878</v>
          </cell>
          <cell r="V22">
            <v>219.4365389805599</v>
          </cell>
        </row>
        <row r="23">
          <cell r="E23">
            <v>20</v>
          </cell>
          <cell r="M23">
            <v>220.65974556802141</v>
          </cell>
          <cell r="N23">
            <v>234.99116126483446</v>
          </cell>
          <cell r="O23">
            <v>245.47677061717923</v>
          </cell>
          <cell r="P23">
            <v>260.41011397590995</v>
          </cell>
          <cell r="Q23">
            <v>272.64258931910223</v>
          </cell>
          <cell r="R23">
            <v>273.58506646335167</v>
          </cell>
          <cell r="S23">
            <v>269.30828890797892</v>
          </cell>
          <cell r="T23">
            <v>270.3651051723993</v>
          </cell>
          <cell r="U23">
            <v>270.37493463159672</v>
          </cell>
          <cell r="V23">
            <v>264.54228936323801</v>
          </cell>
        </row>
        <row r="24">
          <cell r="E24">
            <v>4</v>
          </cell>
          <cell r="M24">
            <v>201.53189906447568</v>
          </cell>
          <cell r="N24">
            <v>222.94134874727709</v>
          </cell>
          <cell r="O24">
            <v>237.08285070462242</v>
          </cell>
          <cell r="P24">
            <v>250.01880634357539</v>
          </cell>
          <cell r="Q24">
            <v>259.04628481230583</v>
          </cell>
          <cell r="R24">
            <v>259.20467168466968</v>
          </cell>
          <cell r="S24">
            <v>252.82880326830747</v>
          </cell>
          <cell r="T24">
            <v>246.81120657696843</v>
          </cell>
          <cell r="U24">
            <v>244.24725378694086</v>
          </cell>
          <cell r="V24">
            <v>241.14678649354556</v>
          </cell>
        </row>
        <row r="25">
          <cell r="E25">
            <v>4</v>
          </cell>
          <cell r="M25">
            <v>163.96902689007467</v>
          </cell>
          <cell r="N25">
            <v>182.52918837147826</v>
          </cell>
          <cell r="O25">
            <v>198.00738389914679</v>
          </cell>
          <cell r="P25">
            <v>210.32420091587599</v>
          </cell>
          <cell r="Q25">
            <v>222.75684220637262</v>
          </cell>
          <cell r="R25">
            <v>228.65402193584814</v>
          </cell>
          <cell r="S25">
            <v>227.33362742824269</v>
          </cell>
          <cell r="T25">
            <v>221.15517819970179</v>
          </cell>
          <cell r="U25">
            <v>219.08187943239105</v>
          </cell>
          <cell r="V25">
            <v>216.14211859551605</v>
          </cell>
        </row>
        <row r="26">
          <cell r="E26">
            <v>3</v>
          </cell>
          <cell r="M26">
            <v>171.77694193500929</v>
          </cell>
          <cell r="N26">
            <v>189.38222933431962</v>
          </cell>
          <cell r="O26">
            <v>203.78729846813167</v>
          </cell>
          <cell r="P26">
            <v>219.46540319523984</v>
          </cell>
          <cell r="Q26">
            <v>232.54825402627</v>
          </cell>
          <cell r="R26">
            <v>242.76763576306789</v>
          </cell>
          <cell r="S26">
            <v>239.04321582498662</v>
          </cell>
          <cell r="T26">
            <v>232.28639333776573</v>
          </cell>
          <cell r="U26">
            <v>225.55310976037703</v>
          </cell>
          <cell r="V26">
            <v>223.22468993600899</v>
          </cell>
        </row>
        <row r="27">
          <cell r="E27">
            <v>20</v>
          </cell>
          <cell r="M27">
            <v>226.553388374327</v>
          </cell>
          <cell r="N27">
            <v>243.40016511443923</v>
          </cell>
          <cell r="O27">
            <v>254.84430941929213</v>
          </cell>
          <cell r="P27">
            <v>269.76961391384702</v>
          </cell>
          <cell r="Q27">
            <v>283.40919592924223</v>
          </cell>
          <cell r="R27">
            <v>286.631992513424</v>
          </cell>
          <cell r="S27">
            <v>282.85075825691479</v>
          </cell>
          <cell r="T27">
            <v>284.1824076170351</v>
          </cell>
          <cell r="U27">
            <v>284.06786708259091</v>
          </cell>
          <cell r="V27">
            <v>277.88539620861837</v>
          </cell>
        </row>
        <row r="28">
          <cell r="E28">
            <v>5</v>
          </cell>
          <cell r="M28">
            <v>206.99776008809195</v>
          </cell>
          <cell r="N28">
            <v>228.59488803326363</v>
          </cell>
          <cell r="O28">
            <v>242.93649175094708</v>
          </cell>
          <cell r="P28">
            <v>256.80484496711824</v>
          </cell>
          <cell r="Q28">
            <v>266.57662000205744</v>
          </cell>
          <cell r="R28">
            <v>267.81043957237222</v>
          </cell>
          <cell r="S28">
            <v>261.26875408897706</v>
          </cell>
          <cell r="T28">
            <v>255.63763154758661</v>
          </cell>
          <cell r="U28">
            <v>253.82324529502398</v>
          </cell>
          <cell r="V28">
            <v>249.90284262915728</v>
          </cell>
        </row>
        <row r="29">
          <cell r="E29">
            <v>4</v>
          </cell>
          <cell r="M29">
            <v>170.21282066351219</v>
          </cell>
          <cell r="N29">
            <v>187.19279421178524</v>
          </cell>
          <cell r="O29">
            <v>201.90151638910399</v>
          </cell>
          <cell r="P29">
            <v>212.723801872374</v>
          </cell>
          <cell r="Q29">
            <v>225.49269433181297</v>
          </cell>
          <cell r="R29">
            <v>233.61357838372234</v>
          </cell>
          <cell r="S29">
            <v>234.02583356063144</v>
          </cell>
          <cell r="T29">
            <v>229.80860380310781</v>
          </cell>
          <cell r="U29">
            <v>227.32026325921905</v>
          </cell>
          <cell r="V29">
            <v>224.1623596978271</v>
          </cell>
        </row>
        <row r="30">
          <cell r="E30">
            <v>1</v>
          </cell>
          <cell r="M30">
            <v>167.97099790987133</v>
          </cell>
          <cell r="N30">
            <v>185.34115295872473</v>
          </cell>
          <cell r="O30">
            <v>200.73680183456531</v>
          </cell>
          <cell r="P30">
            <v>216.45108809049592</v>
          </cell>
          <cell r="Q30">
            <v>232.65347638390244</v>
          </cell>
          <cell r="R30">
            <v>242.1276452302161</v>
          </cell>
          <cell r="S30">
            <v>240.26321085079641</v>
          </cell>
          <cell r="T30">
            <v>233.7358678343229</v>
          </cell>
          <cell r="U30">
            <v>230.47034707745755</v>
          </cell>
          <cell r="V30">
            <v>227.59035315945403</v>
          </cell>
        </row>
        <row r="31">
          <cell r="E31">
            <v>20</v>
          </cell>
          <cell r="M31">
            <v>220.50650693301247</v>
          </cell>
          <cell r="N31">
            <v>237.27953284900465</v>
          </cell>
          <cell r="O31">
            <v>249.30859969642972</v>
          </cell>
          <cell r="P31">
            <v>265.20324468724453</v>
          </cell>
          <cell r="Q31">
            <v>277.93211767995331</v>
          </cell>
          <cell r="R31">
            <v>279.51497933222601</v>
          </cell>
          <cell r="S31">
            <v>275.33966145026244</v>
          </cell>
          <cell r="T31">
            <v>277.58770812627739</v>
          </cell>
          <cell r="U31">
            <v>277.16565447698218</v>
          </cell>
          <cell r="V31">
            <v>270.10995976856174</v>
          </cell>
        </row>
        <row r="32">
          <cell r="E32">
            <v>4</v>
          </cell>
          <cell r="M32">
            <v>199.02041137258274</v>
          </cell>
          <cell r="N32">
            <v>221.5595760066152</v>
          </cell>
          <cell r="O32">
            <v>236.32182790036939</v>
          </cell>
          <cell r="P32">
            <v>250.73981410778561</v>
          </cell>
          <cell r="Q32">
            <v>261.0957591484522</v>
          </cell>
          <cell r="R32">
            <v>261.25657627215554</v>
          </cell>
          <cell r="S32">
            <v>254.18977721858914</v>
          </cell>
          <cell r="T32">
            <v>247.91775446010243</v>
          </cell>
          <cell r="U32">
            <v>245.19825673097139</v>
          </cell>
          <cell r="V32">
            <v>241.83188054351635</v>
          </cell>
        </row>
        <row r="33">
          <cell r="E33">
            <v>5</v>
          </cell>
          <cell r="M33">
            <v>164.23192563675588</v>
          </cell>
          <cell r="N33">
            <v>182.1520412517161</v>
          </cell>
          <cell r="O33">
            <v>197.62492254125516</v>
          </cell>
          <cell r="P33">
            <v>210.83926369248363</v>
          </cell>
          <cell r="Q33">
            <v>224.22976707901549</v>
          </cell>
          <cell r="R33">
            <v>231.79675523978923</v>
          </cell>
          <cell r="S33">
            <v>232.0450901851826</v>
          </cell>
          <cell r="T33">
            <v>227.65161851198383</v>
          </cell>
          <cell r="U33">
            <v>224.39255407857692</v>
          </cell>
          <cell r="V33">
            <v>221.30712866870013</v>
          </cell>
        </row>
        <row r="34">
          <cell r="E34">
            <v>2</v>
          </cell>
          <cell r="M34">
            <v>167.85930816206215</v>
          </cell>
          <cell r="N34">
            <v>186.97165683329524</v>
          </cell>
          <cell r="O34">
            <v>203.11606216282092</v>
          </cell>
          <cell r="P34">
            <v>217.94708264411483</v>
          </cell>
          <cell r="Q34">
            <v>231.99914559747256</v>
          </cell>
          <cell r="R34">
            <v>239.06226164718746</v>
          </cell>
          <cell r="S34">
            <v>237.10429579135149</v>
          </cell>
          <cell r="T34">
            <v>232.21205597757555</v>
          </cell>
          <cell r="U34">
            <v>230.17113400133434</v>
          </cell>
          <cell r="V34">
            <v>224.53538778503662</v>
          </cell>
        </row>
        <row r="35">
          <cell r="E35">
            <v>21</v>
          </cell>
          <cell r="M35">
            <v>221.97532826650828</v>
          </cell>
          <cell r="N35">
            <v>237.50339264019738</v>
          </cell>
          <cell r="O35">
            <v>249.21541128828082</v>
          </cell>
          <cell r="P35">
            <v>264.86639812885738</v>
          </cell>
          <cell r="Q35">
            <v>277.32686336251345</v>
          </cell>
          <cell r="R35">
            <v>278.46032771790584</v>
          </cell>
          <cell r="S35">
            <v>274.94385141675281</v>
          </cell>
          <cell r="T35">
            <v>277.13007719097902</v>
          </cell>
          <cell r="U35">
            <v>276.70885575890031</v>
          </cell>
          <cell r="V35">
            <v>269.73191624461703</v>
          </cell>
        </row>
        <row r="36">
          <cell r="E36">
            <v>4</v>
          </cell>
          <cell r="M36">
            <v>202.46364370531396</v>
          </cell>
          <cell r="N36">
            <v>223.98756752224975</v>
          </cell>
          <cell r="O36">
            <v>238.67196283939307</v>
          </cell>
          <cell r="P36">
            <v>252.16977797997311</v>
          </cell>
          <cell r="Q36">
            <v>261.51638740442991</v>
          </cell>
          <cell r="R36">
            <v>261.69704051402101</v>
          </cell>
          <cell r="S36">
            <v>255.1812644315186</v>
          </cell>
          <cell r="T36">
            <v>248.49853140999795</v>
          </cell>
          <cell r="U36">
            <v>244.87772030202046</v>
          </cell>
          <cell r="V36">
            <v>241.57218893179959</v>
          </cell>
        </row>
        <row r="37">
          <cell r="E37">
            <v>4</v>
          </cell>
          <cell r="M37">
            <v>163.07083211244623</v>
          </cell>
          <cell r="N37">
            <v>180.88264218205461</v>
          </cell>
          <cell r="O37">
            <v>196.01257915142114</v>
          </cell>
          <cell r="P37">
            <v>207.82642267461773</v>
          </cell>
          <cell r="Q37">
            <v>220.06573282303449</v>
          </cell>
          <cell r="R37">
            <v>227.62022001881232</v>
          </cell>
          <cell r="S37">
            <v>228.01421289717652</v>
          </cell>
          <cell r="T37">
            <v>221.96695076075233</v>
          </cell>
          <cell r="U37">
            <v>218.90911910629421</v>
          </cell>
          <cell r="V37">
            <v>214.61538733848019</v>
          </cell>
        </row>
        <row r="38">
          <cell r="E38">
            <v>2</v>
          </cell>
          <cell r="M38">
            <v>170.63370345401094</v>
          </cell>
          <cell r="N38">
            <v>188.61484980707291</v>
          </cell>
          <cell r="O38">
            <v>202.95621227029736</v>
          </cell>
          <cell r="P38">
            <v>218.4194655149121</v>
          </cell>
          <cell r="Q38">
            <v>233.67510269746046</v>
          </cell>
          <cell r="R38">
            <v>242.97578302761286</v>
          </cell>
          <cell r="S38">
            <v>238.5991394062668</v>
          </cell>
          <cell r="T38">
            <v>230.91151958929447</v>
          </cell>
          <cell r="U38">
            <v>226.93506178187539</v>
          </cell>
          <cell r="V38">
            <v>222.69052600360899</v>
          </cell>
        </row>
        <row r="39">
          <cell r="E39">
            <v>20</v>
          </cell>
          <cell r="M39">
            <v>230.82335325791186</v>
          </cell>
          <cell r="N39">
            <v>246.79640816125263</v>
          </cell>
          <cell r="O39">
            <v>258.56961690818139</v>
          </cell>
          <cell r="P39">
            <v>274.8516612265949</v>
          </cell>
          <cell r="Q39">
            <v>288.35816816773081</v>
          </cell>
          <cell r="R39">
            <v>290.47055458409051</v>
          </cell>
          <cell r="S39">
            <v>286.80284493728516</v>
          </cell>
          <cell r="T39">
            <v>288.34775438580692</v>
          </cell>
          <cell r="U39">
            <v>288.39066447935801</v>
          </cell>
          <cell r="V39">
            <v>281.76591884840559</v>
          </cell>
        </row>
        <row r="40">
          <cell r="E40">
            <v>5</v>
          </cell>
          <cell r="M40">
            <v>211.30272236164069</v>
          </cell>
          <cell r="N40">
            <v>234.110274834633</v>
          </cell>
          <cell r="O40">
            <v>249.76565737571991</v>
          </cell>
          <cell r="P40">
            <v>264.33182472788013</v>
          </cell>
          <cell r="Q40">
            <v>274.3973237466638</v>
          </cell>
          <cell r="R40">
            <v>274.81832605772024</v>
          </cell>
          <cell r="S40">
            <v>266.46072711463648</v>
          </cell>
          <cell r="T40">
            <v>257.56913466661462</v>
          </cell>
          <cell r="U40">
            <v>253.29818484510074</v>
          </cell>
          <cell r="V40">
            <v>248.74450029101791</v>
          </cell>
        </row>
        <row r="41">
          <cell r="E41">
            <v>5</v>
          </cell>
          <cell r="M41">
            <v>168.68553607056114</v>
          </cell>
          <cell r="N41">
            <v>186.86419899856546</v>
          </cell>
          <cell r="O41">
            <v>202.13968544706344</v>
          </cell>
          <cell r="P41">
            <v>215.6223192634744</v>
          </cell>
          <cell r="Q41">
            <v>228.49656909450908</v>
          </cell>
          <cell r="R41">
            <v>236.3953773102163</v>
          </cell>
          <cell r="S41">
            <v>235.50291066598189</v>
          </cell>
          <cell r="T41">
            <v>229.99312805076158</v>
          </cell>
          <cell r="U41">
            <v>227.40658808867593</v>
          </cell>
          <cell r="V41">
            <v>224.59498206310252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22</v>
          </cell>
          <cell r="M43">
            <v>221.69997503504806</v>
          </cell>
          <cell r="N43">
            <v>237.83636584717809</v>
          </cell>
          <cell r="O43">
            <v>248.96892891153149</v>
          </cell>
          <cell r="P43">
            <v>263.86584284694976</v>
          </cell>
          <cell r="Q43">
            <v>277.09030783208254</v>
          </cell>
          <cell r="R43">
            <v>279.78829850086208</v>
          </cell>
          <cell r="S43">
            <v>275.87339156730496</v>
          </cell>
          <cell r="T43">
            <v>277.31853897700535</v>
          </cell>
          <cell r="U43">
            <v>276.8556602038874</v>
          </cell>
          <cell r="V43">
            <v>270.49129674787378</v>
          </cell>
        </row>
        <row r="44">
          <cell r="E44">
            <v>4</v>
          </cell>
          <cell r="M44">
            <v>203.63124445998625</v>
          </cell>
          <cell r="N44">
            <v>225.37619277488534</v>
          </cell>
          <cell r="O44">
            <v>240.32987454851477</v>
          </cell>
          <cell r="P44">
            <v>254.6777619488511</v>
          </cell>
          <cell r="Q44">
            <v>264.56964629088492</v>
          </cell>
          <cell r="R44">
            <v>265.56332250069488</v>
          </cell>
          <cell r="S44">
            <v>258.89976588865096</v>
          </cell>
          <cell r="T44">
            <v>252.04806621206808</v>
          </cell>
          <cell r="U44">
            <v>249.26266838878163</v>
          </cell>
          <cell r="V44">
            <v>246.12689605065361</v>
          </cell>
        </row>
        <row r="45">
          <cell r="E45">
            <v>4</v>
          </cell>
          <cell r="M45">
            <v>168.19627866769426</v>
          </cell>
          <cell r="N45">
            <v>186.00863985987414</v>
          </cell>
          <cell r="O45">
            <v>200.7231455041784</v>
          </cell>
          <cell r="P45">
            <v>213.57679795910616</v>
          </cell>
          <cell r="Q45">
            <v>227.03403587035353</v>
          </cell>
          <cell r="R45">
            <v>234.26165647431057</v>
          </cell>
          <cell r="S45">
            <v>232.64319982928552</v>
          </cell>
          <cell r="T45">
            <v>227.19215935482174</v>
          </cell>
          <cell r="U45">
            <v>223.88435709400494</v>
          </cell>
          <cell r="V45">
            <v>219.72883535774324</v>
          </cell>
        </row>
        <row r="46">
          <cell r="E46">
            <v>1</v>
          </cell>
          <cell r="M46">
            <v>166.1279488569019</v>
          </cell>
          <cell r="N46">
            <v>183.93457084896946</v>
          </cell>
          <cell r="O46">
            <v>197.25597364641243</v>
          </cell>
          <cell r="P46">
            <v>211.2721029654378</v>
          </cell>
          <cell r="Q46">
            <v>228.50475403936659</v>
          </cell>
          <cell r="R46">
            <v>239.46503043316656</v>
          </cell>
          <cell r="S46">
            <v>239.15251737498588</v>
          </cell>
          <cell r="T46">
            <v>231.66489750454326</v>
          </cell>
          <cell r="U46">
            <v>229.41400225523694</v>
          </cell>
          <cell r="V46">
            <v>227.46860376470673</v>
          </cell>
        </row>
        <row r="47">
          <cell r="E47">
            <v>20</v>
          </cell>
          <cell r="M47">
            <v>233.63787868377381</v>
          </cell>
          <cell r="N47">
            <v>249.98494661225311</v>
          </cell>
          <cell r="O47">
            <v>260.99756194359901</v>
          </cell>
          <cell r="P47">
            <v>275.9176850006441</v>
          </cell>
          <cell r="Q47">
            <v>289.58810774660827</v>
          </cell>
          <cell r="R47">
            <v>292.81000571326382</v>
          </cell>
          <cell r="S47">
            <v>288.19584818368179</v>
          </cell>
          <cell r="T47">
            <v>288.65248090098908</v>
          </cell>
          <cell r="U47">
            <v>288.17625345225309</v>
          </cell>
          <cell r="V47">
            <v>282.79230827752144</v>
          </cell>
        </row>
        <row r="48">
          <cell r="E48">
            <v>4</v>
          </cell>
          <cell r="M48">
            <v>213.65026768858132</v>
          </cell>
          <cell r="N48">
            <v>236.65794848203569</v>
          </cell>
          <cell r="O48">
            <v>250.79579178230981</v>
          </cell>
          <cell r="P48">
            <v>263.76869255364818</v>
          </cell>
          <cell r="Q48">
            <v>272.99995135988098</v>
          </cell>
          <cell r="R48">
            <v>274.00256947808026</v>
          </cell>
          <cell r="S48">
            <v>266.902273681552</v>
          </cell>
          <cell r="T48">
            <v>259.74652919963449</v>
          </cell>
          <cell r="U48">
            <v>256.05155779895961</v>
          </cell>
          <cell r="V48">
            <v>252.64434984765091</v>
          </cell>
        </row>
        <row r="49">
          <cell r="E49">
            <v>4</v>
          </cell>
          <cell r="M49">
            <v>172.44803879966935</v>
          </cell>
          <cell r="N49">
            <v>191.32965746098674</v>
          </cell>
          <cell r="O49">
            <v>207.26867777885604</v>
          </cell>
          <cell r="P49">
            <v>219.62160328406685</v>
          </cell>
          <cell r="Q49">
            <v>231.97199451078606</v>
          </cell>
          <cell r="R49">
            <v>240.1690043045636</v>
          </cell>
          <cell r="S49">
            <v>241.07822817365363</v>
          </cell>
          <cell r="T49">
            <v>235.95838580455464</v>
          </cell>
          <cell r="U49">
            <v>231.27232559280924</v>
          </cell>
          <cell r="V49">
            <v>226.87316783974597</v>
          </cell>
        </row>
        <row r="50">
          <cell r="E50">
            <v>2</v>
          </cell>
          <cell r="M50">
            <v>168.54063731446595</v>
          </cell>
          <cell r="N50">
            <v>187.74783882828081</v>
          </cell>
          <cell r="O50">
            <v>203.26096313225975</v>
          </cell>
          <cell r="P50">
            <v>219.54334387890975</v>
          </cell>
          <cell r="Q50">
            <v>235.17741634723086</v>
          </cell>
          <cell r="R50">
            <v>245.39971969766088</v>
          </cell>
          <cell r="S50">
            <v>244.9049864825773</v>
          </cell>
          <cell r="T50">
            <v>237.69464323923617</v>
          </cell>
          <cell r="U50">
            <v>232.55416586718783</v>
          </cell>
          <cell r="V50">
            <v>230.26729493001963</v>
          </cell>
        </row>
        <row r="51">
          <cell r="E51">
            <v>20</v>
          </cell>
          <cell r="M51">
            <v>216.41187428085826</v>
          </cell>
          <cell r="N51">
            <v>236.48428068503804</v>
          </cell>
          <cell r="O51">
            <v>248.68906045900329</v>
          </cell>
          <cell r="P51">
            <v>262.56304220810375</v>
          </cell>
          <cell r="Q51">
            <v>275.73807658926086</v>
          </cell>
          <cell r="R51">
            <v>281.06622779699211</v>
          </cell>
          <cell r="S51">
            <v>277.49676404860054</v>
          </cell>
          <cell r="T51">
            <v>277.58112121554302</v>
          </cell>
          <cell r="U51">
            <v>276.5587047382981</v>
          </cell>
          <cell r="V51">
            <v>270.63291975535094</v>
          </cell>
        </row>
        <row r="52">
          <cell r="E52">
            <v>4</v>
          </cell>
          <cell r="M52">
            <v>203.1790207232512</v>
          </cell>
          <cell r="N52">
            <v>225.34892880767211</v>
          </cell>
          <cell r="O52">
            <v>240.21406798149658</v>
          </cell>
          <cell r="P52">
            <v>252.20035974933378</v>
          </cell>
          <cell r="Q52">
            <v>260.81395623356451</v>
          </cell>
          <cell r="R52">
            <v>262.49778619695365</v>
          </cell>
          <cell r="S52">
            <v>257.2126889501115</v>
          </cell>
          <cell r="T52">
            <v>251.26823441338587</v>
          </cell>
          <cell r="U52">
            <v>247.03581226497479</v>
          </cell>
          <cell r="V52">
            <v>242.74432482763277</v>
          </cell>
        </row>
        <row r="53">
          <cell r="E53">
            <v>5</v>
          </cell>
          <cell r="M53">
            <v>169.1432931664481</v>
          </cell>
          <cell r="N53">
            <v>187.55057900120309</v>
          </cell>
          <cell r="O53">
            <v>202.95653099178449</v>
          </cell>
          <cell r="P53">
            <v>215.58121525835045</v>
          </cell>
          <cell r="Q53">
            <v>227.26379422240214</v>
          </cell>
          <cell r="R53">
            <v>234.41944795722964</v>
          </cell>
          <cell r="S53">
            <v>234.94387760420963</v>
          </cell>
          <cell r="T53">
            <v>230.4321248457799</v>
          </cell>
          <cell r="U53">
            <v>227.94454126542311</v>
          </cell>
          <cell r="V53">
            <v>224.67911125564791</v>
          </cell>
        </row>
        <row r="54">
          <cell r="E54">
            <v>2</v>
          </cell>
          <cell r="M54">
            <v>152.4269598349826</v>
          </cell>
          <cell r="N54">
            <v>166.26208633611847</v>
          </cell>
          <cell r="O54">
            <v>180.15416438298934</v>
          </cell>
          <cell r="P54">
            <v>193.50775805063441</v>
          </cell>
          <cell r="Q54">
            <v>206.21872066644036</v>
          </cell>
          <cell r="R54">
            <v>215.80168642039854</v>
          </cell>
          <cell r="S54">
            <v>217.17246326975376</v>
          </cell>
          <cell r="T54">
            <v>213.51185181606851</v>
          </cell>
          <cell r="U54">
            <v>212.5566745058938</v>
          </cell>
          <cell r="V54">
            <v>210.97772825855699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21</v>
          </cell>
          <cell r="M7">
            <v>217.27962927645402</v>
          </cell>
          <cell r="N7">
            <v>235.39832799263235</v>
          </cell>
          <cell r="O7">
            <v>247.36005497389351</v>
          </cell>
          <cell r="P7">
            <v>263.08653921205308</v>
          </cell>
          <cell r="Q7">
            <v>276.69134973245525</v>
          </cell>
          <cell r="R7">
            <v>281.34300504291565</v>
          </cell>
          <cell r="S7">
            <v>278.62084786766354</v>
          </cell>
          <cell r="T7">
            <v>280.51635591422087</v>
          </cell>
          <cell r="U7">
            <v>280.16629780733444</v>
          </cell>
          <cell r="V7">
            <v>273.71997908483712</v>
          </cell>
        </row>
        <row r="8">
          <cell r="E8">
            <v>4</v>
          </cell>
          <cell r="M8">
            <v>197.01295598862583</v>
          </cell>
          <cell r="N8">
            <v>218.1022115363765</v>
          </cell>
          <cell r="O8">
            <v>233.65110032565497</v>
          </cell>
          <cell r="P8">
            <v>247.07610172907334</v>
          </cell>
          <cell r="Q8">
            <v>258.21563787823834</v>
          </cell>
          <cell r="R8">
            <v>260.64885055101985</v>
          </cell>
          <cell r="S8">
            <v>255.53460937369118</v>
          </cell>
          <cell r="T8">
            <v>249.40300304650518</v>
          </cell>
          <cell r="U8">
            <v>246.23065964179975</v>
          </cell>
          <cell r="V8">
            <v>242.80093143242073</v>
          </cell>
        </row>
        <row r="9">
          <cell r="E9">
            <v>4</v>
          </cell>
          <cell r="M9">
            <v>163.59848517651557</v>
          </cell>
          <cell r="N9">
            <v>180.15740592541277</v>
          </cell>
          <cell r="O9">
            <v>195.36841067664176</v>
          </cell>
          <cell r="P9">
            <v>207.35878486729698</v>
          </cell>
          <cell r="Q9">
            <v>221.0276259034313</v>
          </cell>
          <cell r="R9">
            <v>229.88579683896504</v>
          </cell>
          <cell r="S9">
            <v>231.73197171066036</v>
          </cell>
          <cell r="T9">
            <v>227.66161768274608</v>
          </cell>
          <cell r="U9">
            <v>224.05064069810658</v>
          </cell>
          <cell r="V9">
            <v>220.64352242147763</v>
          </cell>
        </row>
        <row r="10">
          <cell r="E10">
            <v>2</v>
          </cell>
          <cell r="M10">
            <v>146.47720205978976</v>
          </cell>
          <cell r="N10">
            <v>158.4122986801182</v>
          </cell>
          <cell r="O10">
            <v>171.01918938895253</v>
          </cell>
          <cell r="P10">
            <v>184.46604219549133</v>
          </cell>
          <cell r="Q10">
            <v>198.77521492642697</v>
          </cell>
          <cell r="R10">
            <v>209.22699469301438</v>
          </cell>
          <cell r="S10">
            <v>210.71428774580517</v>
          </cell>
          <cell r="T10">
            <v>207.27791410920449</v>
          </cell>
          <cell r="U10">
            <v>203.81838652151885</v>
          </cell>
          <cell r="V10">
            <v>201.36195134249633</v>
          </cell>
        </row>
        <row r="11">
          <cell r="E11">
            <v>21</v>
          </cell>
          <cell r="M11">
            <v>237.82685680023732</v>
          </cell>
          <cell r="N11">
            <v>253.15734876551355</v>
          </cell>
          <cell r="O11">
            <v>263.35377384462851</v>
          </cell>
          <cell r="P11">
            <v>279.03574588341468</v>
          </cell>
          <cell r="Q11">
            <v>291.73934137992779</v>
          </cell>
          <cell r="R11">
            <v>292.47587807320588</v>
          </cell>
          <cell r="S11">
            <v>288.8249577586239</v>
          </cell>
          <cell r="T11">
            <v>291.08762952922547</v>
          </cell>
          <cell r="U11">
            <v>291.42236666446752</v>
          </cell>
          <cell r="V11">
            <v>285.38391352558665</v>
          </cell>
        </row>
        <row r="12">
          <cell r="E12">
            <v>4</v>
          </cell>
          <cell r="M12">
            <v>218.83544210196862</v>
          </cell>
          <cell r="N12">
            <v>242.57242825154566</v>
          </cell>
          <cell r="O12">
            <v>257.61072487308155</v>
          </cell>
          <cell r="P12">
            <v>271.61269310401951</v>
          </cell>
          <cell r="Q12">
            <v>280.10923116858095</v>
          </cell>
          <cell r="R12">
            <v>280.29438316482185</v>
          </cell>
          <cell r="S12">
            <v>272.92026770954897</v>
          </cell>
          <cell r="T12">
            <v>265.77734235497621</v>
          </cell>
          <cell r="U12">
            <v>263.02543666492039</v>
          </cell>
          <cell r="V12">
            <v>259.66613008098085</v>
          </cell>
        </row>
        <row r="13">
          <cell r="E13">
            <v>4</v>
          </cell>
          <cell r="M13">
            <v>177.70278635229673</v>
          </cell>
          <cell r="N13">
            <v>196.08326846041777</v>
          </cell>
          <cell r="O13">
            <v>211.67748326511543</v>
          </cell>
          <cell r="P13">
            <v>224.86011123157414</v>
          </cell>
          <cell r="Q13">
            <v>239.07118374568734</v>
          </cell>
          <cell r="R13">
            <v>247.74899491153235</v>
          </cell>
          <cell r="S13">
            <v>248.19334068398334</v>
          </cell>
          <cell r="T13">
            <v>243.49884945828734</v>
          </cell>
          <cell r="U13">
            <v>239.71658188766492</v>
          </cell>
          <cell r="V13">
            <v>235.80228814381164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20</v>
          </cell>
          <cell r="M15">
            <v>225.88399796708092</v>
          </cell>
          <cell r="N15">
            <v>240.31086220926713</v>
          </cell>
          <cell r="O15">
            <v>249.94359141219596</v>
          </cell>
          <cell r="P15">
            <v>264.86741861481465</v>
          </cell>
          <cell r="Q15">
            <v>276.96306477619578</v>
          </cell>
          <cell r="R15">
            <v>278.22485338332365</v>
          </cell>
          <cell r="S15">
            <v>274.69587942257942</v>
          </cell>
          <cell r="T15">
            <v>276.66174938524676</v>
          </cell>
          <cell r="U15">
            <v>276.15439036712081</v>
          </cell>
          <cell r="V15">
            <v>270.57724708462342</v>
          </cell>
        </row>
        <row r="16">
          <cell r="E16">
            <v>5</v>
          </cell>
          <cell r="M16">
            <v>207.861143781946</v>
          </cell>
          <cell r="N16">
            <v>229.16756437234704</v>
          </cell>
          <cell r="O16">
            <v>242.8767313204236</v>
          </cell>
          <cell r="P16">
            <v>255.89357743940488</v>
          </cell>
          <cell r="Q16">
            <v>265.70778983199864</v>
          </cell>
          <cell r="R16">
            <v>266.4446493979471</v>
          </cell>
          <cell r="S16">
            <v>260.60439142660596</v>
          </cell>
          <cell r="T16">
            <v>254.6407717691736</v>
          </cell>
          <cell r="U16">
            <v>250.75393104812542</v>
          </cell>
          <cell r="V16">
            <v>247.09228959172299</v>
          </cell>
        </row>
        <row r="17">
          <cell r="E17">
            <v>5</v>
          </cell>
          <cell r="M17">
            <v>167.56179806838702</v>
          </cell>
          <cell r="N17">
            <v>185.3377099471314</v>
          </cell>
          <cell r="O17">
            <v>199.0518924788814</v>
          </cell>
          <cell r="P17">
            <v>211.01334745097512</v>
          </cell>
          <cell r="Q17">
            <v>223.54702125316925</v>
          </cell>
          <cell r="R17">
            <v>231.54868839528544</v>
          </cell>
          <cell r="S17">
            <v>232.05275676592194</v>
          </cell>
          <cell r="T17">
            <v>228.02078920247126</v>
          </cell>
          <cell r="U17">
            <v>225.12427636232476</v>
          </cell>
          <cell r="V17">
            <v>221.89812158304895</v>
          </cell>
        </row>
        <row r="18">
          <cell r="E18">
            <v>1</v>
          </cell>
          <cell r="M18">
            <v>174.74004038559855</v>
          </cell>
          <cell r="N18">
            <v>192.12372389067133</v>
          </cell>
          <cell r="O18">
            <v>207.736174366873</v>
          </cell>
          <cell r="P18">
            <v>222.31008499583061</v>
          </cell>
          <cell r="Q18">
            <v>238.72986752692304</v>
          </cell>
          <cell r="R18">
            <v>247.23544381479721</v>
          </cell>
          <cell r="S18">
            <v>244.5418630823265</v>
          </cell>
          <cell r="T18">
            <v>238.84499374846408</v>
          </cell>
          <cell r="U18">
            <v>235.35533285251819</v>
          </cell>
          <cell r="V18">
            <v>233.25695683052786</v>
          </cell>
        </row>
        <row r="19">
          <cell r="E19">
            <v>20</v>
          </cell>
          <cell r="M19">
            <v>231.38738695897311</v>
          </cell>
          <cell r="N19">
            <v>247.01175939795405</v>
          </cell>
          <cell r="O19">
            <v>257.77544522136878</v>
          </cell>
          <cell r="P19">
            <v>273.14414673457696</v>
          </cell>
          <cell r="Q19">
            <v>286.28712549482714</v>
          </cell>
          <cell r="R19">
            <v>288.67964073094987</v>
          </cell>
          <cell r="S19">
            <v>284.86873037384669</v>
          </cell>
          <cell r="T19">
            <v>286.65332502377368</v>
          </cell>
          <cell r="U19">
            <v>286.39712998277582</v>
          </cell>
          <cell r="V19">
            <v>280.09236660019752</v>
          </cell>
        </row>
        <row r="20">
          <cell r="E20">
            <v>4</v>
          </cell>
          <cell r="M20">
            <v>205.75790476679083</v>
          </cell>
          <cell r="N20">
            <v>227.15907300573878</v>
          </cell>
          <cell r="O20">
            <v>241.85639618429053</v>
          </cell>
          <cell r="P20">
            <v>254.84674020682459</v>
          </cell>
          <cell r="Q20">
            <v>264.51101583881047</v>
          </cell>
          <cell r="R20">
            <v>266.87699580663616</v>
          </cell>
          <cell r="S20">
            <v>262.55961764843539</v>
          </cell>
          <cell r="T20">
            <v>257.229551571184</v>
          </cell>
          <cell r="U20">
            <v>255.6157167576448</v>
          </cell>
          <cell r="V20">
            <v>253.34174002066817</v>
          </cell>
        </row>
        <row r="21">
          <cell r="E21">
            <v>4</v>
          </cell>
          <cell r="M21">
            <v>175.83102713866228</v>
          </cell>
          <cell r="N21">
            <v>194.37614777117471</v>
          </cell>
          <cell r="O21">
            <v>209.82589917046366</v>
          </cell>
          <cell r="P21">
            <v>221.13604256550803</v>
          </cell>
          <cell r="Q21">
            <v>232.12300147482975</v>
          </cell>
          <cell r="R21">
            <v>239.86927854616715</v>
          </cell>
          <cell r="S21">
            <v>241.0675651757013</v>
          </cell>
          <cell r="T21">
            <v>238.51328852028391</v>
          </cell>
          <cell r="U21">
            <v>235.62011719112976</v>
          </cell>
          <cell r="V21">
            <v>232.31832617164284</v>
          </cell>
        </row>
        <row r="22">
          <cell r="E22">
            <v>2</v>
          </cell>
          <cell r="M22">
            <v>177.3513726224862</v>
          </cell>
          <cell r="N22">
            <v>193.86452948754831</v>
          </cell>
          <cell r="O22">
            <v>203.6985498973215</v>
          </cell>
          <cell r="P22">
            <v>209.40484003649644</v>
          </cell>
          <cell r="Q22">
            <v>222.41804830929485</v>
          </cell>
          <cell r="R22">
            <v>233.96598963749798</v>
          </cell>
          <cell r="S22">
            <v>232.90870548372129</v>
          </cell>
          <cell r="T22">
            <v>228.20476912668968</v>
          </cell>
          <cell r="U22">
            <v>225.18967355826425</v>
          </cell>
          <cell r="V22">
            <v>224.92379676006951</v>
          </cell>
        </row>
        <row r="23">
          <cell r="E23">
            <v>20</v>
          </cell>
          <cell r="M23">
            <v>224.42143563396382</v>
          </cell>
          <cell r="N23">
            <v>238.96816967219709</v>
          </cell>
          <cell r="O23">
            <v>249.61132005111435</v>
          </cell>
          <cell r="P23">
            <v>264.7690264857149</v>
          </cell>
          <cell r="Q23">
            <v>277.18528520873917</v>
          </cell>
          <cell r="R23">
            <v>278.14192375909363</v>
          </cell>
          <cell r="S23">
            <v>273.80088743769255</v>
          </cell>
          <cell r="T23">
            <v>274.87358102137955</v>
          </cell>
          <cell r="U23">
            <v>274.88355911376686</v>
          </cell>
          <cell r="V23">
            <v>268.96328400659877</v>
          </cell>
        </row>
        <row r="24">
          <cell r="E24">
            <v>5</v>
          </cell>
          <cell r="M24">
            <v>205.00620632674685</v>
          </cell>
          <cell r="N24">
            <v>226.73731947438466</v>
          </cell>
          <cell r="O24">
            <v>241.09128525968774</v>
          </cell>
          <cell r="P24">
            <v>254.22159458481224</v>
          </cell>
          <cell r="Q24">
            <v>263.38470770019467</v>
          </cell>
          <cell r="R24">
            <v>263.54547396399863</v>
          </cell>
          <cell r="S24">
            <v>257.07380973688004</v>
          </cell>
          <cell r="T24">
            <v>250.96580186356496</v>
          </cell>
          <cell r="U24">
            <v>248.36333093345831</v>
          </cell>
          <cell r="V24">
            <v>245.21627995841473</v>
          </cell>
        </row>
        <row r="25">
          <cell r="E25">
            <v>4</v>
          </cell>
          <cell r="M25">
            <v>166.87897986850018</v>
          </cell>
          <cell r="N25">
            <v>185.71799424345721</v>
          </cell>
          <cell r="O25">
            <v>201.4287395446662</v>
          </cell>
          <cell r="P25">
            <v>213.930605965919</v>
          </cell>
          <cell r="Q25">
            <v>226.55004005685015</v>
          </cell>
          <cell r="R25">
            <v>232.5358229327901</v>
          </cell>
          <cell r="S25">
            <v>231.19558732405389</v>
          </cell>
          <cell r="T25">
            <v>224.92430981801141</v>
          </cell>
          <cell r="U25">
            <v>222.81986555898405</v>
          </cell>
          <cell r="V25">
            <v>219.83593604907256</v>
          </cell>
        </row>
        <row r="26">
          <cell r="E26">
            <v>2</v>
          </cell>
          <cell r="M26">
            <v>174.80420358872948</v>
          </cell>
          <cell r="N26">
            <v>192.67399622501551</v>
          </cell>
          <cell r="O26">
            <v>207.29549297808461</v>
          </cell>
          <cell r="P26">
            <v>223.20914827240298</v>
          </cell>
          <cell r="Q26">
            <v>236.48856063897975</v>
          </cell>
          <cell r="R26">
            <v>246.86148207302267</v>
          </cell>
          <cell r="S26">
            <v>243.08110308637606</v>
          </cell>
          <cell r="T26">
            <v>236.2227634532243</v>
          </cell>
          <cell r="U26">
            <v>229.38832082059065</v>
          </cell>
          <cell r="V26">
            <v>227.02491719975774</v>
          </cell>
        </row>
        <row r="27">
          <cell r="E27">
            <v>18</v>
          </cell>
          <cell r="M27">
            <v>233.91590235591971</v>
          </cell>
          <cell r="N27">
            <v>251.24812968775021</v>
          </cell>
          <cell r="O27">
            <v>263.0220465018819</v>
          </cell>
          <cell r="P27">
            <v>278.37742841171035</v>
          </cell>
          <cell r="Q27">
            <v>292.41004964322036</v>
          </cell>
          <cell r="R27">
            <v>295.72571313024849</v>
          </cell>
          <cell r="S27">
            <v>291.83551762946809</v>
          </cell>
          <cell r="T27">
            <v>293.20553713631443</v>
          </cell>
          <cell r="U27">
            <v>293.08769745746855</v>
          </cell>
          <cell r="V27">
            <v>286.72707489146569</v>
          </cell>
        </row>
        <row r="28">
          <cell r="E28">
            <v>4</v>
          </cell>
          <cell r="M28">
            <v>213.79676860969496</v>
          </cell>
          <cell r="N28">
            <v>236.01622667121529</v>
          </cell>
          <cell r="O28">
            <v>250.77109637461274</v>
          </cell>
          <cell r="P28">
            <v>265.03907409114413</v>
          </cell>
          <cell r="Q28">
            <v>275.09243119399417</v>
          </cell>
          <cell r="R28">
            <v>276.36180509741831</v>
          </cell>
          <cell r="S28">
            <v>269.63161495399675</v>
          </cell>
          <cell r="T28">
            <v>263.83822659481382</v>
          </cell>
          <cell r="U28">
            <v>261.97155815437884</v>
          </cell>
          <cell r="V28">
            <v>257.9381841045012</v>
          </cell>
        </row>
        <row r="29">
          <cell r="E29">
            <v>5</v>
          </cell>
          <cell r="M29">
            <v>175.95184564961053</v>
          </cell>
          <cell r="N29">
            <v>193.42110589251877</v>
          </cell>
          <cell r="O29">
            <v>208.55367027650939</v>
          </cell>
          <cell r="P29">
            <v>219.68780604854459</v>
          </cell>
          <cell r="Q29">
            <v>232.82464580514508</v>
          </cell>
          <cell r="R29">
            <v>241.17953786006501</v>
          </cell>
          <cell r="S29">
            <v>241.60367091877035</v>
          </cell>
          <cell r="T29">
            <v>237.26491682062812</v>
          </cell>
          <cell r="U29">
            <v>234.70487710919087</v>
          </cell>
          <cell r="V29">
            <v>231.45597307539626</v>
          </cell>
        </row>
        <row r="30">
          <cell r="E30">
            <v>3</v>
          </cell>
          <cell r="M30">
            <v>173.64542242072184</v>
          </cell>
          <cell r="N30">
            <v>191.51610848549291</v>
          </cell>
          <cell r="O30">
            <v>207.35539470425843</v>
          </cell>
          <cell r="P30">
            <v>223.52249619896364</v>
          </cell>
          <cell r="Q30">
            <v>240.19176863450286</v>
          </cell>
          <cell r="R30">
            <v>249.93894514178243</v>
          </cell>
          <cell r="S30">
            <v>248.02078293334213</v>
          </cell>
          <cell r="T30">
            <v>241.30534762866355</v>
          </cell>
          <cell r="U30">
            <v>237.94573144079359</v>
          </cell>
          <cell r="V30">
            <v>234.98274884823422</v>
          </cell>
        </row>
        <row r="31">
          <cell r="E31">
            <v>23</v>
          </cell>
          <cell r="M31">
            <v>221.55462929094489</v>
          </cell>
          <cell r="N31">
            <v>238.39674917794599</v>
          </cell>
          <cell r="O31">
            <v>250.47536712315184</v>
          </cell>
          <cell r="P31">
            <v>266.4354851216055</v>
          </cell>
          <cell r="Q31">
            <v>279.21679341612037</v>
          </cell>
          <cell r="R31">
            <v>280.80617615352327</v>
          </cell>
          <cell r="S31">
            <v>276.61365683756327</v>
          </cell>
          <cell r="T31">
            <v>278.87096361434129</v>
          </cell>
          <cell r="U31">
            <v>278.44717111995948</v>
          </cell>
          <cell r="V31">
            <v>271.36241370954997</v>
          </cell>
        </row>
        <row r="32">
          <cell r="E32">
            <v>4</v>
          </cell>
          <cell r="M32">
            <v>199.98002756452388</v>
          </cell>
          <cell r="N32">
            <v>222.61203728629371</v>
          </cell>
          <cell r="O32">
            <v>237.43509946683136</v>
          </cell>
          <cell r="P32">
            <v>251.91247559027192</v>
          </cell>
          <cell r="Q32">
            <v>262.31108088180304</v>
          </cell>
          <cell r="R32">
            <v>262.47256144610378</v>
          </cell>
          <cell r="S32">
            <v>255.37665165982779</v>
          </cell>
          <cell r="T32">
            <v>249.07879244489874</v>
          </cell>
          <cell r="U32">
            <v>246.34809241262272</v>
          </cell>
          <cell r="V32">
            <v>242.96784996861425</v>
          </cell>
        </row>
        <row r="33">
          <cell r="E33">
            <v>3</v>
          </cell>
          <cell r="M33">
            <v>165.04824096419486</v>
          </cell>
          <cell r="N33">
            <v>183.04217371931162</v>
          </cell>
          <cell r="O33">
            <v>198.57879113566071</v>
          </cell>
          <cell r="P33">
            <v>211.84756418431292</v>
          </cell>
          <cell r="Q33">
            <v>225.29322943863275</v>
          </cell>
          <cell r="R33">
            <v>232.89138977818209</v>
          </cell>
          <cell r="S33">
            <v>233.14074478377347</v>
          </cell>
          <cell r="T33">
            <v>228.72917405264405</v>
          </cell>
          <cell r="U33">
            <v>225.45668704517507</v>
          </cell>
          <cell r="V33">
            <v>222.3585512796873</v>
          </cell>
        </row>
        <row r="34">
          <cell r="E34">
            <v>1</v>
          </cell>
          <cell r="M34">
            <v>168.69056534679333</v>
          </cell>
          <cell r="N34">
            <v>187.88164140835818</v>
          </cell>
          <cell r="O34">
            <v>204.09255185922328</v>
          </cell>
          <cell r="P34">
            <v>218.98466456207979</v>
          </cell>
          <cell r="Q34">
            <v>233.09461158667855</v>
          </cell>
          <cell r="R34">
            <v>240.18682160598556</v>
          </cell>
          <cell r="S34">
            <v>238.22079020698305</v>
          </cell>
          <cell r="T34">
            <v>233.30839752357357</v>
          </cell>
          <cell r="U34">
            <v>231.25906939853783</v>
          </cell>
          <cell r="V34">
            <v>225.60010885450342</v>
          </cell>
        </row>
        <row r="35">
          <cell r="E35">
            <v>19</v>
          </cell>
          <cell r="M35">
            <v>227.92440949891943</v>
          </cell>
          <cell r="N35">
            <v>243.8203554484156</v>
          </cell>
          <cell r="O35">
            <v>255.80984947932564</v>
          </cell>
          <cell r="P35">
            <v>271.8316339463567</v>
          </cell>
          <cell r="Q35">
            <v>284.58730482397294</v>
          </cell>
          <cell r="R35">
            <v>285.74762295434965</v>
          </cell>
          <cell r="S35">
            <v>282.14783594033963</v>
          </cell>
          <cell r="T35">
            <v>284.38585660370671</v>
          </cell>
          <cell r="U35">
            <v>283.95465351810367</v>
          </cell>
          <cell r="V35">
            <v>276.81242034946115</v>
          </cell>
        </row>
        <row r="36">
          <cell r="E36">
            <v>5</v>
          </cell>
          <cell r="M36">
            <v>207.95046230442671</v>
          </cell>
          <cell r="N36">
            <v>229.98431944400696</v>
          </cell>
          <cell r="O36">
            <v>245.01661196074858</v>
          </cell>
          <cell r="P36">
            <v>258.83421105109841</v>
          </cell>
          <cell r="Q36">
            <v>268.40225514712773</v>
          </cell>
          <cell r="R36">
            <v>268.58718820916067</v>
          </cell>
          <cell r="S36">
            <v>261.91704353659492</v>
          </cell>
          <cell r="T36">
            <v>255.07598864858937</v>
          </cell>
          <cell r="U36">
            <v>251.36939270148437</v>
          </cell>
          <cell r="V36">
            <v>247.98554779459928</v>
          </cell>
        </row>
        <row r="37">
          <cell r="E37">
            <v>5</v>
          </cell>
          <cell r="M37">
            <v>167.62437565710266</v>
          </cell>
          <cell r="N37">
            <v>185.85817405734232</v>
          </cell>
          <cell r="O37">
            <v>201.34656402715251</v>
          </cell>
          <cell r="P37">
            <v>213.4402950670781</v>
          </cell>
          <cell r="Q37">
            <v>225.96957249345971</v>
          </cell>
          <cell r="R37">
            <v>233.70303638498942</v>
          </cell>
          <cell r="S37">
            <v>234.10636405956797</v>
          </cell>
          <cell r="T37">
            <v>227.91583125858912</v>
          </cell>
          <cell r="U37">
            <v>224.78555639366303</v>
          </cell>
          <cell r="V37">
            <v>220.39009833565729</v>
          </cell>
        </row>
        <row r="38">
          <cell r="E38">
            <v>2</v>
          </cell>
          <cell r="M38">
            <v>175.36642221187608</v>
          </cell>
          <cell r="N38">
            <v>193.77357006423617</v>
          </cell>
          <cell r="O38">
            <v>208.45470095722496</v>
          </cell>
          <cell r="P38">
            <v>224.28430320733708</v>
          </cell>
          <cell r="Q38">
            <v>239.90136899355923</v>
          </cell>
          <cell r="R38">
            <v>249.42239530983514</v>
          </cell>
          <cell r="S38">
            <v>244.94206154575076</v>
          </cell>
          <cell r="T38">
            <v>237.07231000403311</v>
          </cell>
          <cell r="U38">
            <v>233.0016441607317</v>
          </cell>
          <cell r="V38">
            <v>228.65654981638502</v>
          </cell>
        </row>
        <row r="39">
          <cell r="E39">
            <v>22</v>
          </cell>
          <cell r="M39">
            <v>233.41597825503806</v>
          </cell>
          <cell r="N39">
            <v>249.54748414356706</v>
          </cell>
          <cell r="O39">
            <v>261.43748031705428</v>
          </cell>
          <cell r="P39">
            <v>277.8810404300059</v>
          </cell>
          <cell r="Q39">
            <v>291.5215261690235</v>
          </cell>
          <cell r="R39">
            <v>293.6548697435025</v>
          </cell>
          <cell r="S39">
            <v>289.95077495386425</v>
          </cell>
          <cell r="T39">
            <v>291.51101069267111</v>
          </cell>
          <cell r="U39">
            <v>291.55434860856542</v>
          </cell>
          <cell r="V39">
            <v>284.86388507233499</v>
          </cell>
        </row>
        <row r="40">
          <cell r="E40">
            <v>4</v>
          </cell>
          <cell r="M40">
            <v>213.70170693430427</v>
          </cell>
          <cell r="N40">
            <v>236.73550515682695</v>
          </cell>
          <cell r="O40">
            <v>252.54619060678803</v>
          </cell>
          <cell r="P40">
            <v>267.25684886891594</v>
          </cell>
          <cell r="Q40">
            <v>277.4221941363262</v>
          </cell>
          <cell r="R40">
            <v>277.8473732140252</v>
          </cell>
          <cell r="S40">
            <v>269.40686903796347</v>
          </cell>
          <cell r="T40">
            <v>260.4270724098057</v>
          </cell>
          <cell r="U40">
            <v>256.11375890892054</v>
          </cell>
          <cell r="V40">
            <v>251.51489991443003</v>
          </cell>
        </row>
        <row r="41">
          <cell r="E41">
            <v>4</v>
          </cell>
          <cell r="M41">
            <v>170.66176713143446</v>
          </cell>
          <cell r="N41">
            <v>189.0207583038684</v>
          </cell>
          <cell r="O41">
            <v>204.44777592883509</v>
          </cell>
          <cell r="P41">
            <v>218.06415457895318</v>
          </cell>
          <cell r="Q41">
            <v>231.06611096033606</v>
          </cell>
          <cell r="R41">
            <v>239.04327737426976</v>
          </cell>
          <cell r="S41">
            <v>238.14195620046166</v>
          </cell>
          <cell r="T41">
            <v>232.57751773639632</v>
          </cell>
          <cell r="U41">
            <v>229.96532081996</v>
          </cell>
          <cell r="V41">
            <v>227.12582375506415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22</v>
          </cell>
          <cell r="M43">
            <v>225.96125962792689</v>
          </cell>
          <cell r="N43">
            <v>242.37134934453928</v>
          </cell>
          <cell r="O43">
            <v>253.69273799662921</v>
          </cell>
          <cell r="P43">
            <v>268.84232396242516</v>
          </cell>
          <cell r="Q43">
            <v>282.29109852478939</v>
          </cell>
          <cell r="R43">
            <v>285.03485278564756</v>
          </cell>
          <cell r="S43">
            <v>281.05354084813325</v>
          </cell>
          <cell r="T43">
            <v>282.52319974562778</v>
          </cell>
          <cell r="U43">
            <v>282.05247129538833</v>
          </cell>
          <cell r="V43">
            <v>275.58015690001577</v>
          </cell>
        </row>
        <row r="44">
          <cell r="E44">
            <v>4</v>
          </cell>
          <cell r="M44">
            <v>207.58605626682012</v>
          </cell>
          <cell r="N44">
            <v>229.69983102667834</v>
          </cell>
          <cell r="O44">
            <v>244.9071514911349</v>
          </cell>
          <cell r="P44">
            <v>259.49839994019823</v>
          </cell>
          <cell r="Q44">
            <v>269.5580663288597</v>
          </cell>
          <cell r="R44">
            <v>270.5685958662238</v>
          </cell>
          <cell r="S44">
            <v>263.79201599673621</v>
          </cell>
          <cell r="T44">
            <v>256.82409868676854</v>
          </cell>
          <cell r="U44">
            <v>253.99145713747572</v>
          </cell>
          <cell r="V44">
            <v>250.80249905898779</v>
          </cell>
        </row>
        <row r="45">
          <cell r="E45">
            <v>4</v>
          </cell>
          <cell r="M45">
            <v>171.5500561912269</v>
          </cell>
          <cell r="N45">
            <v>189.66454429395097</v>
          </cell>
          <cell r="O45">
            <v>204.62863106481254</v>
          </cell>
          <cell r="P45">
            <v>217.70029919405152</v>
          </cell>
          <cell r="Q45">
            <v>231.38579471018789</v>
          </cell>
          <cell r="R45">
            <v>238.73600431911603</v>
          </cell>
          <cell r="S45">
            <v>237.09009896129459</v>
          </cell>
          <cell r="T45">
            <v>231.54659856875486</v>
          </cell>
          <cell r="U45">
            <v>228.18268994353471</v>
          </cell>
          <cell r="V45">
            <v>223.95668696249558</v>
          </cell>
        </row>
        <row r="46">
          <cell r="E46">
            <v>1</v>
          </cell>
          <cell r="M46">
            <v>169.44664689390993</v>
          </cell>
          <cell r="N46">
            <v>187.55529675108821</v>
          </cell>
          <cell r="O46">
            <v>201.10265141636722</v>
          </cell>
          <cell r="P46">
            <v>215.35651340512641</v>
          </cell>
          <cell r="Q46">
            <v>232.88145812638425</v>
          </cell>
          <cell r="R46">
            <v>244.02763749131432</v>
          </cell>
          <cell r="S46">
            <v>243.70982242232853</v>
          </cell>
          <cell r="T46">
            <v>236.09519999950533</v>
          </cell>
          <cell r="U46">
            <v>233.80612785946221</v>
          </cell>
          <cell r="V46">
            <v>231.82773441780787</v>
          </cell>
        </row>
        <row r="47">
          <cell r="E47">
            <v>18</v>
          </cell>
          <cell r="M47">
            <v>239.9259603914642</v>
          </cell>
          <cell r="N47">
            <v>256.66423027436286</v>
          </cell>
          <cell r="O47">
            <v>267.94039021512611</v>
          </cell>
          <cell r="P47">
            <v>283.21756617212071</v>
          </cell>
          <cell r="Q47">
            <v>297.21513360433289</v>
          </cell>
          <cell r="R47">
            <v>300.514135976989</v>
          </cell>
          <cell r="S47">
            <v>295.78955788362236</v>
          </cell>
          <cell r="T47">
            <v>296.25711731648784</v>
          </cell>
          <cell r="U47">
            <v>295.76949554892866</v>
          </cell>
          <cell r="V47">
            <v>290.2567056548337</v>
          </cell>
        </row>
        <row r="48">
          <cell r="E48">
            <v>5</v>
          </cell>
          <cell r="M48">
            <v>219.46002380253614</v>
          </cell>
          <cell r="N48">
            <v>243.01830435199579</v>
          </cell>
          <cell r="O48">
            <v>257.49448186593412</v>
          </cell>
          <cell r="P48">
            <v>270.77783725971102</v>
          </cell>
          <cell r="Q48">
            <v>280.23000766185288</v>
          </cell>
          <cell r="R48">
            <v>281.25662112340439</v>
          </cell>
          <cell r="S48">
            <v>273.98640653573671</v>
          </cell>
          <cell r="T48">
            <v>266.65941722159295</v>
          </cell>
          <cell r="U48">
            <v>262.87602180808102</v>
          </cell>
          <cell r="V48">
            <v>259.38727645518662</v>
          </cell>
        </row>
        <row r="49">
          <cell r="E49">
            <v>5</v>
          </cell>
          <cell r="M49">
            <v>177.27178229779184</v>
          </cell>
          <cell r="N49">
            <v>196.60526068717118</v>
          </cell>
          <cell r="O49">
            <v>212.92571785445918</v>
          </cell>
          <cell r="P49">
            <v>225.57426134922341</v>
          </cell>
          <cell r="Q49">
            <v>238.2202085938851</v>
          </cell>
          <cell r="R49">
            <v>246.61338317480622</v>
          </cell>
          <cell r="S49">
            <v>247.54436440515224</v>
          </cell>
          <cell r="T49">
            <v>242.30199806411653</v>
          </cell>
          <cell r="U49">
            <v>237.50379836754348</v>
          </cell>
          <cell r="V49">
            <v>232.99936414892954</v>
          </cell>
        </row>
        <row r="50">
          <cell r="E50">
            <v>2</v>
          </cell>
          <cell r="M50">
            <v>173.27087464293609</v>
          </cell>
          <cell r="N50">
            <v>192.93772569880682</v>
          </cell>
          <cell r="O50">
            <v>208.82209467276044</v>
          </cell>
          <cell r="P50">
            <v>225.49412921765074</v>
          </cell>
          <cell r="Q50">
            <v>241.50233755233123</v>
          </cell>
          <cell r="R50">
            <v>251.96927464277124</v>
          </cell>
          <cell r="S50">
            <v>251.46270069175463</v>
          </cell>
          <cell r="T50">
            <v>244.07980575359664</v>
          </cell>
          <cell r="U50">
            <v>238.81631336722037</v>
          </cell>
          <cell r="V50">
            <v>236.47471470891833</v>
          </cell>
        </row>
        <row r="51">
          <cell r="E51">
            <v>21</v>
          </cell>
          <cell r="M51">
            <v>219.63021308310934</v>
          </cell>
          <cell r="N51">
            <v>239.96483116493332</v>
          </cell>
          <cell r="O51">
            <v>252.32904546724751</v>
          </cell>
          <cell r="P51">
            <v>266.38426778568106</v>
          </cell>
          <cell r="Q51">
            <v>279.73141264641561</v>
          </cell>
          <cell r="R51">
            <v>285.12916698869185</v>
          </cell>
          <cell r="S51">
            <v>281.51307490482986</v>
          </cell>
          <cell r="T51">
            <v>281.59853443546308</v>
          </cell>
          <cell r="U51">
            <v>280.56275890902674</v>
          </cell>
          <cell r="V51">
            <v>274.5595652349117</v>
          </cell>
        </row>
        <row r="52">
          <cell r="E52">
            <v>4</v>
          </cell>
          <cell r="M52">
            <v>206.22449558164527</v>
          </cell>
          <cell r="N52">
            <v>228.68401610792998</v>
          </cell>
          <cell r="O52">
            <v>243.74334368217063</v>
          </cell>
          <cell r="P52">
            <v>255.88621550022995</v>
          </cell>
          <cell r="Q52">
            <v>264.61233593650974</v>
          </cell>
          <cell r="R52">
            <v>266.3181607121582</v>
          </cell>
          <cell r="S52">
            <v>260.9640229293135</v>
          </cell>
          <cell r="T52">
            <v>254.94191466650423</v>
          </cell>
          <cell r="U52">
            <v>250.65420098775476</v>
          </cell>
          <cell r="V52">
            <v>246.30665413798744</v>
          </cell>
        </row>
        <row r="53">
          <cell r="E53">
            <v>4</v>
          </cell>
          <cell r="M53">
            <v>171.74415131814473</v>
          </cell>
          <cell r="N53">
            <v>190.39189680777767</v>
          </cell>
          <cell r="O53">
            <v>205.99909949735803</v>
          </cell>
          <cell r="P53">
            <v>218.78870517720924</v>
          </cell>
          <cell r="Q53">
            <v>230.62389703209195</v>
          </cell>
          <cell r="R53">
            <v>237.87302759209527</v>
          </cell>
          <cell r="S53">
            <v>238.40430572530579</v>
          </cell>
          <cell r="T53">
            <v>233.83361847703034</v>
          </cell>
          <cell r="U53">
            <v>231.31353536427548</v>
          </cell>
          <cell r="V53">
            <v>228.00544832771706</v>
          </cell>
        </row>
        <row r="54">
          <cell r="E54">
            <v>2</v>
          </cell>
          <cell r="M54">
            <v>154.80944879865325</v>
          </cell>
          <cell r="N54">
            <v>168.82530497732895</v>
          </cell>
          <cell r="O54">
            <v>182.89886248281559</v>
          </cell>
          <cell r="P54">
            <v>196.42689565137729</v>
          </cell>
          <cell r="Q54">
            <v>209.30390694371027</v>
          </cell>
          <cell r="R54">
            <v>219.01205787555543</v>
          </cell>
          <cell r="S54">
            <v>220.40073986503847</v>
          </cell>
          <cell r="T54">
            <v>216.6923106203738</v>
          </cell>
          <cell r="U54">
            <v>215.72465238155164</v>
          </cell>
          <cell r="V54">
            <v>214.12508146337998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20</v>
          </cell>
          <cell r="M7">
            <v>222.57437203765264</v>
          </cell>
          <cell r="N7">
            <v>240.71879495988154</v>
          </cell>
          <cell r="O7">
            <v>252.69750228417016</v>
          </cell>
          <cell r="P7">
            <v>268.44631229614708</v>
          </cell>
          <cell r="Q7">
            <v>282.07044040143165</v>
          </cell>
          <cell r="R7">
            <v>286.72869689447202</v>
          </cell>
          <cell r="S7">
            <v>284.00267910316745</v>
          </cell>
          <cell r="T7">
            <v>285.90087472116335</v>
          </cell>
          <cell r="U7">
            <v>285.55032020854702</v>
          </cell>
          <cell r="V7">
            <v>279.09485295215359</v>
          </cell>
        </row>
        <row r="8">
          <cell r="E8">
            <v>5</v>
          </cell>
          <cell r="M8">
            <v>202.27892654369569</v>
          </cell>
          <cell r="N8">
            <v>223.39812259126288</v>
          </cell>
          <cell r="O8">
            <v>238.96908642634335</v>
          </cell>
          <cell r="P8">
            <v>252.4131468790238</v>
          </cell>
          <cell r="Q8">
            <v>263.56849886825432</v>
          </cell>
          <cell r="R8">
            <v>266.00516239118826</v>
          </cell>
          <cell r="S8">
            <v>260.88366415299271</v>
          </cell>
          <cell r="T8">
            <v>254.74335111890966</v>
          </cell>
          <cell r="U8">
            <v>251.56650405082121</v>
          </cell>
          <cell r="V8">
            <v>248.13190716934383</v>
          </cell>
        </row>
        <row r="9">
          <cell r="E9">
            <v>4</v>
          </cell>
          <cell r="M9">
            <v>168.81701602773987</v>
          </cell>
          <cell r="N9">
            <v>185.39944402794558</v>
          </cell>
          <cell r="O9">
            <v>200.6320464941999</v>
          </cell>
          <cell r="P9">
            <v>212.63944190800098</v>
          </cell>
          <cell r="Q9">
            <v>226.32768879453101</v>
          </cell>
          <cell r="R9">
            <v>235.1984365129675</v>
          </cell>
          <cell r="S9">
            <v>237.04723415501692</v>
          </cell>
          <cell r="T9">
            <v>232.97109767314262</v>
          </cell>
          <cell r="U9">
            <v>229.35499558586633</v>
          </cell>
          <cell r="V9">
            <v>225.94304125297319</v>
          </cell>
        </row>
        <row r="10">
          <cell r="E10">
            <v>2</v>
          </cell>
          <cell r="M10">
            <v>151.67142547768395</v>
          </cell>
          <cell r="N10">
            <v>163.62346640736106</v>
          </cell>
          <cell r="O10">
            <v>176.24825400233431</v>
          </cell>
          <cell r="P10">
            <v>189.71419696792202</v>
          </cell>
          <cell r="Q10">
            <v>204.04368595516971</v>
          </cell>
          <cell r="R10">
            <v>214.5103022999896</v>
          </cell>
          <cell r="S10">
            <v>215.99971164332499</v>
          </cell>
          <cell r="T10">
            <v>212.55845467778624</v>
          </cell>
          <cell r="U10">
            <v>209.09401879562833</v>
          </cell>
          <cell r="V10">
            <v>206.63409600944649</v>
          </cell>
        </row>
        <row r="11">
          <cell r="E11">
            <v>20</v>
          </cell>
          <cell r="M11">
            <v>252.36010290335798</v>
          </cell>
          <cell r="N11">
            <v>268.243276365383</v>
          </cell>
          <cell r="O11">
            <v>278.80729888257218</v>
          </cell>
          <cell r="P11">
            <v>295.0546271527715</v>
          </cell>
          <cell r="Q11">
            <v>308.2162084026628</v>
          </cell>
          <cell r="R11">
            <v>308.97929725159275</v>
          </cell>
          <cell r="S11">
            <v>305.19675386563648</v>
          </cell>
          <cell r="T11">
            <v>307.54100139330353</v>
          </cell>
          <cell r="U11">
            <v>307.88780567273631</v>
          </cell>
          <cell r="V11">
            <v>301.63165885841158</v>
          </cell>
        </row>
        <row r="12">
          <cell r="E12">
            <v>4</v>
          </cell>
          <cell r="M12">
            <v>232.68401916874203</v>
          </cell>
          <cell r="N12">
            <v>257.27675415434754</v>
          </cell>
          <cell r="O12">
            <v>272.85720540620798</v>
          </cell>
          <cell r="P12">
            <v>287.36396511476818</v>
          </cell>
          <cell r="Q12">
            <v>296.16681558887905</v>
          </cell>
          <cell r="R12">
            <v>296.35864207917211</v>
          </cell>
          <cell r="S12">
            <v>288.71867659235778</v>
          </cell>
          <cell r="T12">
            <v>281.31823960645789</v>
          </cell>
          <cell r="U12">
            <v>278.46712428577371</v>
          </cell>
          <cell r="V12">
            <v>274.98671028215392</v>
          </cell>
        </row>
        <row r="13">
          <cell r="E13">
            <v>4</v>
          </cell>
          <cell r="M13">
            <v>190.06846914076436</v>
          </cell>
          <cell r="N13">
            <v>209.11159299201194</v>
          </cell>
          <cell r="O13">
            <v>225.2680036229934</v>
          </cell>
          <cell r="P13">
            <v>238.92588382692992</v>
          </cell>
          <cell r="Q13">
            <v>253.64928627640379</v>
          </cell>
          <cell r="R13">
            <v>262.63994590937193</v>
          </cell>
          <cell r="S13">
            <v>263.10031037660696</v>
          </cell>
          <cell r="T13">
            <v>258.23657498098328</v>
          </cell>
          <cell r="U13">
            <v>254.31795046434902</v>
          </cell>
          <cell r="V13">
            <v>250.26254341268333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21</v>
          </cell>
          <cell r="M15">
            <v>230.29879268889957</v>
          </cell>
          <cell r="N15">
            <v>244.69546231540596</v>
          </cell>
          <cell r="O15">
            <v>254.30802874146789</v>
          </cell>
          <cell r="P15">
            <v>269.20061730418104</v>
          </cell>
          <cell r="Q15">
            <v>281.27094801510202</v>
          </cell>
          <cell r="R15">
            <v>282.53009912125219</v>
          </cell>
          <cell r="S15">
            <v>279.00850855618097</v>
          </cell>
          <cell r="T15">
            <v>280.97026487208245</v>
          </cell>
          <cell r="U15">
            <v>280.46396819158826</v>
          </cell>
          <cell r="V15">
            <v>274.89850054147678</v>
          </cell>
        </row>
        <row r="16">
          <cell r="E16">
            <v>4</v>
          </cell>
          <cell r="M16">
            <v>212.31366021539506</v>
          </cell>
          <cell r="N16">
            <v>233.57548672964589</v>
          </cell>
          <cell r="O16">
            <v>247.25595953696507</v>
          </cell>
          <cell r="P16">
            <v>260.24555991385597</v>
          </cell>
          <cell r="Q16">
            <v>270.03923198410371</v>
          </cell>
          <cell r="R16">
            <v>270.77455130092522</v>
          </cell>
          <cell r="S16">
            <v>264.94651521123234</v>
          </cell>
          <cell r="T16">
            <v>258.99537722869479</v>
          </cell>
          <cell r="U16">
            <v>255.11667412887962</v>
          </cell>
          <cell r="V16">
            <v>251.46269403499025</v>
          </cell>
        </row>
        <row r="17">
          <cell r="E17">
            <v>5</v>
          </cell>
          <cell r="M17">
            <v>172.09866332956997</v>
          </cell>
          <cell r="N17">
            <v>189.83737269280394</v>
          </cell>
          <cell r="O17">
            <v>203.522846534878</v>
          </cell>
          <cell r="P17">
            <v>215.45926764562674</v>
          </cell>
          <cell r="Q17">
            <v>227.96670573206521</v>
          </cell>
          <cell r="R17">
            <v>235.95162752585196</v>
          </cell>
          <cell r="S17">
            <v>236.4546408522213</v>
          </cell>
          <cell r="T17">
            <v>232.43111186838109</v>
          </cell>
          <cell r="U17">
            <v>229.54066144411442</v>
          </cell>
          <cell r="V17">
            <v>226.32125889270324</v>
          </cell>
        </row>
        <row r="18">
          <cell r="E18">
            <v>1</v>
          </cell>
          <cell r="M18">
            <v>179.26188015148293</v>
          </cell>
          <cell r="N18">
            <v>196.60917982716396</v>
          </cell>
          <cell r="O18">
            <v>212.18895138997604</v>
          </cell>
          <cell r="P18">
            <v>226.73236001888307</v>
          </cell>
          <cell r="Q18">
            <v>243.11777591394781</v>
          </cell>
          <cell r="R18">
            <v>251.60554816931597</v>
          </cell>
          <cell r="S18">
            <v>248.91760599390045</v>
          </cell>
          <cell r="T18">
            <v>243.23266073535851</v>
          </cell>
          <cell r="U18">
            <v>239.75030321193597</v>
          </cell>
          <cell r="V18">
            <v>237.6563202320043</v>
          </cell>
        </row>
        <row r="19">
          <cell r="E19">
            <v>20</v>
          </cell>
          <cell r="M19">
            <v>236.1781985042382</v>
          </cell>
          <cell r="N19">
            <v>251.79320097797682</v>
          </cell>
          <cell r="O19">
            <v>262.55043325039134</v>
          </cell>
          <cell r="P19">
            <v>277.90992258716204</v>
          </cell>
          <cell r="Q19">
            <v>291.04501985100421</v>
          </cell>
          <cell r="R19">
            <v>293.4361007770903</v>
          </cell>
          <cell r="S19">
            <v>289.62747513822859</v>
          </cell>
          <cell r="T19">
            <v>291.41100308786446</v>
          </cell>
          <cell r="U19">
            <v>291.15496009745311</v>
          </cell>
          <cell r="V19">
            <v>284.85397552124408</v>
          </cell>
        </row>
        <row r="20">
          <cell r="E20">
            <v>4</v>
          </cell>
          <cell r="M20">
            <v>210.56407980215678</v>
          </cell>
          <cell r="N20">
            <v>231.95241968367702</v>
          </cell>
          <cell r="O20">
            <v>246.64092998098329</v>
          </cell>
          <cell r="P20">
            <v>259.62348591291322</v>
          </cell>
          <cell r="Q20">
            <v>269.28196717999032</v>
          </cell>
          <cell r="R20">
            <v>271.64652720400881</v>
          </cell>
          <cell r="S20">
            <v>267.3317373480138</v>
          </cell>
          <cell r="T20">
            <v>262.00487095529081</v>
          </cell>
          <cell r="U20">
            <v>260.39199924504675</v>
          </cell>
          <cell r="V20">
            <v>258.11938616570592</v>
          </cell>
        </row>
        <row r="21">
          <cell r="E21">
            <v>4</v>
          </cell>
          <cell r="M21">
            <v>180.65514715320342</v>
          </cell>
          <cell r="N21">
            <v>199.18914916276879</v>
          </cell>
          <cell r="O21">
            <v>214.62963658740676</v>
          </cell>
          <cell r="P21">
            <v>225.93300009591425</v>
          </cell>
          <cell r="Q21">
            <v>236.91337015698534</v>
          </cell>
          <cell r="R21">
            <v>244.65500235902144</v>
          </cell>
          <cell r="S21">
            <v>245.85257103155695</v>
          </cell>
          <cell r="T21">
            <v>243.29982834543409</v>
          </cell>
          <cell r="U21">
            <v>240.40838987478733</v>
          </cell>
          <cell r="V21">
            <v>237.10857772027595</v>
          </cell>
        </row>
        <row r="22">
          <cell r="E22">
            <v>2</v>
          </cell>
          <cell r="M22">
            <v>182.17458007731233</v>
          </cell>
          <cell r="N22">
            <v>198.67783624680618</v>
          </cell>
          <cell r="O22">
            <v>208.50595964852886</v>
          </cell>
          <cell r="P22">
            <v>214.20883089139642</v>
          </cell>
          <cell r="Q22">
            <v>227.21423566730869</v>
          </cell>
          <cell r="R22">
            <v>238.75525364590422</v>
          </cell>
          <cell r="S22">
            <v>237.69860210248322</v>
          </cell>
          <cell r="T22">
            <v>232.99748828337988</v>
          </cell>
          <cell r="U22">
            <v>229.98419872145971</v>
          </cell>
          <cell r="V22">
            <v>229.71848156264488</v>
          </cell>
        </row>
        <row r="23">
          <cell r="E23">
            <v>19</v>
          </cell>
          <cell r="M23">
            <v>230.31069267607154</v>
          </cell>
          <cell r="N23">
            <v>244.91174458225569</v>
          </cell>
          <cell r="O23">
            <v>255.59463450780325</v>
          </cell>
          <cell r="P23">
            <v>270.80893748648492</v>
          </cell>
          <cell r="Q23">
            <v>283.27155735481369</v>
          </cell>
          <cell r="R23">
            <v>284.23176905694044</v>
          </cell>
          <cell r="S23">
            <v>279.87452577955662</v>
          </cell>
          <cell r="T23">
            <v>280.95122489260734</v>
          </cell>
          <cell r="U23">
            <v>280.96123781976974</v>
          </cell>
          <cell r="V23">
            <v>275.01885544823165</v>
          </cell>
        </row>
        <row r="24">
          <cell r="E24">
            <v>5</v>
          </cell>
          <cell r="M24">
            <v>210.82296966906125</v>
          </cell>
          <cell r="N24">
            <v>232.63522487827609</v>
          </cell>
          <cell r="O24">
            <v>247.04278907333023</v>
          </cell>
          <cell r="P24">
            <v>260.22212475663713</v>
          </cell>
          <cell r="Q24">
            <v>269.41944894784461</v>
          </cell>
          <cell r="R24">
            <v>269.58081537973248</v>
          </cell>
          <cell r="S24">
            <v>263.08499022888833</v>
          </cell>
          <cell r="T24">
            <v>256.95417546923778</v>
          </cell>
          <cell r="U24">
            <v>254.34198496398753</v>
          </cell>
          <cell r="V24">
            <v>251.18318114287192</v>
          </cell>
        </row>
        <row r="25">
          <cell r="E25">
            <v>5</v>
          </cell>
          <cell r="M25">
            <v>172.55337747442874</v>
          </cell>
          <cell r="N25">
            <v>191.46273504651751</v>
          </cell>
          <cell r="O25">
            <v>207.23214419687281</v>
          </cell>
          <cell r="P25">
            <v>219.78069152731706</v>
          </cell>
          <cell r="Q25">
            <v>232.44724416850886</v>
          </cell>
          <cell r="R25">
            <v>238.45537831223285</v>
          </cell>
          <cell r="S25">
            <v>237.11013905070971</v>
          </cell>
          <cell r="T25">
            <v>230.81544539837603</v>
          </cell>
          <cell r="U25">
            <v>228.70314121556672</v>
          </cell>
          <cell r="V25">
            <v>225.70806862305989</v>
          </cell>
        </row>
        <row r="26">
          <cell r="E26">
            <v>2</v>
          </cell>
          <cell r="M26">
            <v>180.50819316928269</v>
          </cell>
          <cell r="N26">
            <v>198.44471158935332</v>
          </cell>
          <cell r="O26">
            <v>213.12080290369676</v>
          </cell>
          <cell r="P26">
            <v>229.0938799001934</v>
          </cell>
          <cell r="Q26">
            <v>242.42287529443121</v>
          </cell>
          <cell r="R26">
            <v>252.83452803061817</v>
          </cell>
          <cell r="S26">
            <v>249.04003471228839</v>
          </cell>
          <cell r="T26">
            <v>242.15608757107705</v>
          </cell>
          <cell r="U26">
            <v>235.29612281277204</v>
          </cell>
          <cell r="V26">
            <v>232.92389294300696</v>
          </cell>
        </row>
        <row r="27">
          <cell r="E27">
            <v>19</v>
          </cell>
          <cell r="M27">
            <v>237.4971123014393</v>
          </cell>
          <cell r="N27">
            <v>254.73903628779456</v>
          </cell>
          <cell r="O27">
            <v>266.45160300481979</v>
          </cell>
          <cell r="P27">
            <v>281.72698245050833</v>
          </cell>
          <cell r="Q27">
            <v>295.68648389864296</v>
          </cell>
          <cell r="R27">
            <v>298.98487370067295</v>
          </cell>
          <cell r="S27">
            <v>295.11494792716235</v>
          </cell>
          <cell r="T27">
            <v>296.47782870251484</v>
          </cell>
          <cell r="U27">
            <v>296.36060297121884</v>
          </cell>
          <cell r="V27">
            <v>290.0331213797777</v>
          </cell>
        </row>
        <row r="28">
          <cell r="E28">
            <v>4</v>
          </cell>
          <cell r="M28">
            <v>217.48280617594943</v>
          </cell>
          <cell r="N28">
            <v>239.58649815129007</v>
          </cell>
          <cell r="O28">
            <v>254.26448738329557</v>
          </cell>
          <cell r="P28">
            <v>268.45812325056835</v>
          </cell>
          <cell r="Q28">
            <v>278.45909830902417</v>
          </cell>
          <cell r="R28">
            <v>279.72185849887506</v>
          </cell>
          <cell r="S28">
            <v>273.02673462126717</v>
          </cell>
          <cell r="T28">
            <v>267.26353391788683</v>
          </cell>
          <cell r="U28">
            <v>265.40658869337955</v>
          </cell>
          <cell r="V28">
            <v>261.39423223399177</v>
          </cell>
        </row>
        <row r="29">
          <cell r="E29">
            <v>4</v>
          </cell>
          <cell r="M29">
            <v>179.835070829209</v>
          </cell>
          <cell r="N29">
            <v>197.21331047153708</v>
          </cell>
          <cell r="O29">
            <v>212.26702876931296</v>
          </cell>
          <cell r="P29">
            <v>223.34315246803843</v>
          </cell>
          <cell r="Q29">
            <v>236.41154248627217</v>
          </cell>
          <cell r="R29">
            <v>244.72290177487758</v>
          </cell>
          <cell r="S29">
            <v>245.14482798062889</v>
          </cell>
          <cell r="T29">
            <v>240.82868091806776</v>
          </cell>
          <cell r="U29">
            <v>238.28197725828164</v>
          </cell>
          <cell r="V29">
            <v>235.05000371677232</v>
          </cell>
        </row>
        <row r="30">
          <cell r="E30">
            <v>3</v>
          </cell>
          <cell r="M30">
            <v>177.54066644124228</v>
          </cell>
          <cell r="N30">
            <v>195.31823968593898</v>
          </cell>
          <cell r="O30">
            <v>211.07499532803681</v>
          </cell>
          <cell r="P30">
            <v>227.15786273537751</v>
          </cell>
          <cell r="Q30">
            <v>243.74027987793067</v>
          </cell>
          <cell r="R30">
            <v>253.43666955304798</v>
          </cell>
          <cell r="S30">
            <v>251.52850443849977</v>
          </cell>
          <cell r="T30">
            <v>244.84806010711134</v>
          </cell>
          <cell r="U30">
            <v>241.50594436681604</v>
          </cell>
          <cell r="V30">
            <v>238.55840223402063</v>
          </cell>
        </row>
        <row r="31">
          <cell r="E31">
            <v>22</v>
          </cell>
          <cell r="M31">
            <v>227.4048048414389</v>
          </cell>
          <cell r="N31">
            <v>244.30789623684834</v>
          </cell>
          <cell r="O31">
            <v>256.43024161797524</v>
          </cell>
          <cell r="P31">
            <v>272.44813900411208</v>
          </cell>
          <cell r="Q31">
            <v>285.27571931843295</v>
          </cell>
          <cell r="R31">
            <v>286.87085396750535</v>
          </cell>
          <cell r="S31">
            <v>282.66315965299663</v>
          </cell>
          <cell r="T31">
            <v>284.9286370830954</v>
          </cell>
          <cell r="U31">
            <v>284.50331243210246</v>
          </cell>
          <cell r="V31">
            <v>277.39290506056062</v>
          </cell>
        </row>
        <row r="32">
          <cell r="E32">
            <v>4</v>
          </cell>
          <cell r="M32">
            <v>205.75209632154804</v>
          </cell>
          <cell r="N32">
            <v>228.4660404857577</v>
          </cell>
          <cell r="O32">
            <v>243.34276384659535</v>
          </cell>
          <cell r="P32">
            <v>257.87255480770028</v>
          </cell>
          <cell r="Q32">
            <v>268.30880446992677</v>
          </cell>
          <cell r="R32">
            <v>268.47086796310703</v>
          </cell>
          <cell r="S32">
            <v>261.34927069486866</v>
          </cell>
          <cell r="T32">
            <v>255.02860988074636</v>
          </cell>
          <cell r="U32">
            <v>252.28802546280869</v>
          </cell>
          <cell r="V32">
            <v>248.89554758702229</v>
          </cell>
        </row>
        <row r="33">
          <cell r="E33">
            <v>4</v>
          </cell>
          <cell r="M33">
            <v>170.69384812861952</v>
          </cell>
          <cell r="N33">
            <v>188.75292555890837</v>
          </cell>
          <cell r="O33">
            <v>204.34578710760957</v>
          </cell>
          <cell r="P33">
            <v>217.66259804417922</v>
          </cell>
          <cell r="Q33">
            <v>231.1569381141916</v>
          </cell>
          <cell r="R33">
            <v>238.78260407262513</v>
          </cell>
          <cell r="S33">
            <v>239.03286427729944</v>
          </cell>
          <cell r="T33">
            <v>234.60532204285045</v>
          </cell>
          <cell r="U33">
            <v>231.32098855778469</v>
          </cell>
          <cell r="V33">
            <v>228.21163700087826</v>
          </cell>
        </row>
        <row r="34">
          <cell r="E34">
            <v>1</v>
          </cell>
          <cell r="M34">
            <v>174.34935915151547</v>
          </cell>
          <cell r="N34">
            <v>193.60991183771984</v>
          </cell>
          <cell r="O34">
            <v>209.87950698172591</v>
          </cell>
          <cell r="P34">
            <v>224.82553473865696</v>
          </cell>
          <cell r="Q34">
            <v>238.98656507538476</v>
          </cell>
          <cell r="R34">
            <v>246.10444902645813</v>
          </cell>
          <cell r="S34">
            <v>244.13130086152313</v>
          </cell>
          <cell r="T34">
            <v>239.20112314701279</v>
          </cell>
          <cell r="U34">
            <v>237.144377572195</v>
          </cell>
          <cell r="V34">
            <v>231.46492845736327</v>
          </cell>
        </row>
        <row r="35">
          <cell r="E35">
            <v>19</v>
          </cell>
          <cell r="M35">
            <v>232.66652966204811</v>
          </cell>
          <cell r="N35">
            <v>248.5497943283543</v>
          </cell>
          <cell r="O35">
            <v>260.52972205278724</v>
          </cell>
          <cell r="P35">
            <v>276.53872267844173</v>
          </cell>
          <cell r="Q35">
            <v>289.28421913964229</v>
          </cell>
          <cell r="R35">
            <v>290.44361230588538</v>
          </cell>
          <cell r="S35">
            <v>286.84669569062811</v>
          </cell>
          <cell r="T35">
            <v>289.08293129093533</v>
          </cell>
          <cell r="U35">
            <v>288.65207575174406</v>
          </cell>
          <cell r="V35">
            <v>281.51553835362563</v>
          </cell>
        </row>
        <row r="36">
          <cell r="E36">
            <v>5</v>
          </cell>
          <cell r="M36">
            <v>212.70851829339128</v>
          </cell>
          <cell r="N36">
            <v>234.72479747975041</v>
          </cell>
          <cell r="O36">
            <v>249.74509592304173</v>
          </cell>
          <cell r="P36">
            <v>263.5516716783647</v>
          </cell>
          <cell r="Q36">
            <v>273.11208228473771</v>
          </cell>
          <cell r="R36">
            <v>273.29686867313086</v>
          </cell>
          <cell r="S36">
            <v>266.63204416067089</v>
          </cell>
          <cell r="T36">
            <v>259.79644614617172</v>
          </cell>
          <cell r="U36">
            <v>256.09281183573614</v>
          </cell>
          <cell r="V36">
            <v>252.71166283459863</v>
          </cell>
        </row>
        <row r="37">
          <cell r="E37">
            <v>5</v>
          </cell>
          <cell r="M37">
            <v>172.41460581745397</v>
          </cell>
          <cell r="N37">
            <v>190.63385533785251</v>
          </cell>
          <cell r="O37">
            <v>206.10988854534031</v>
          </cell>
          <cell r="P37">
            <v>218.19396938742412</v>
          </cell>
          <cell r="Q37">
            <v>230.71325317277191</v>
          </cell>
          <cell r="R37">
            <v>238.44054675887801</v>
          </cell>
          <cell r="S37">
            <v>238.84355241933213</v>
          </cell>
          <cell r="T37">
            <v>232.65795863114164</v>
          </cell>
          <cell r="U37">
            <v>229.53018380942379</v>
          </cell>
          <cell r="V37">
            <v>225.13823078843478</v>
          </cell>
        </row>
        <row r="38">
          <cell r="E38">
            <v>2</v>
          </cell>
          <cell r="M38">
            <v>180.15047477752762</v>
          </cell>
          <cell r="N38">
            <v>198.54293642872332</v>
          </cell>
          <cell r="O38">
            <v>213.21235462982236</v>
          </cell>
          <cell r="P38">
            <v>229.02932681284673</v>
          </cell>
          <cell r="Q38">
            <v>244.63393417005395</v>
          </cell>
          <cell r="R38">
            <v>254.14736588546393</v>
          </cell>
          <cell r="S38">
            <v>249.67060591210046</v>
          </cell>
          <cell r="T38">
            <v>241.80713347644348</v>
          </cell>
          <cell r="U38">
            <v>237.73971786108055</v>
          </cell>
          <cell r="V38">
            <v>233.39808571650298</v>
          </cell>
        </row>
        <row r="39">
          <cell r="E39">
            <v>22</v>
          </cell>
          <cell r="M39">
            <v>238.13618504318157</v>
          </cell>
          <cell r="N39">
            <v>254.25373830729174</v>
          </cell>
          <cell r="O39">
            <v>266.13345207041141</v>
          </cell>
          <cell r="P39">
            <v>282.56278934148685</v>
          </cell>
          <cell r="Q39">
            <v>296.19147766083364</v>
          </cell>
          <cell r="R39">
            <v>298.32297383025349</v>
          </cell>
          <cell r="S39">
            <v>294.62208650590776</v>
          </cell>
          <cell r="T39">
            <v>296.18097179624652</v>
          </cell>
          <cell r="U39">
            <v>296.22426994300213</v>
          </cell>
          <cell r="V39">
            <v>289.53959329865785</v>
          </cell>
        </row>
        <row r="40">
          <cell r="E40">
            <v>4</v>
          </cell>
          <cell r="M40">
            <v>218.43896363062183</v>
          </cell>
          <cell r="N40">
            <v>241.45284175982655</v>
          </cell>
          <cell r="O40">
            <v>257.24984889138034</v>
          </cell>
          <cell r="P40">
            <v>271.94778580261243</v>
          </cell>
          <cell r="Q40">
            <v>282.10433799262762</v>
          </cell>
          <cell r="R40">
            <v>282.52915233395169</v>
          </cell>
          <cell r="S40">
            <v>274.0959484686644</v>
          </cell>
          <cell r="T40">
            <v>265.12391622437531</v>
          </cell>
          <cell r="U40">
            <v>260.81433369853318</v>
          </cell>
          <cell r="V40">
            <v>256.21945332330534</v>
          </cell>
        </row>
        <row r="41">
          <cell r="E41">
            <v>4</v>
          </cell>
          <cell r="M41">
            <v>175.43624708569959</v>
          </cell>
          <cell r="N41">
            <v>193.77936070615041</v>
          </cell>
          <cell r="O41">
            <v>209.19303624363295</v>
          </cell>
          <cell r="P41">
            <v>222.79763794660909</v>
          </cell>
          <cell r="Q41">
            <v>235.7883501471189</v>
          </cell>
          <cell r="R41">
            <v>243.75861628152185</v>
          </cell>
          <cell r="S41">
            <v>242.8580760661647</v>
          </cell>
          <cell r="T41">
            <v>237.29844983311384</v>
          </cell>
          <cell r="U41">
            <v>234.68851120499812</v>
          </cell>
          <cell r="V41">
            <v>231.85146957352214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21</v>
          </cell>
          <cell r="M43">
            <v>231.02769296154588</v>
          </cell>
          <cell r="N43">
            <v>247.44553415012359</v>
          </cell>
          <cell r="O43">
            <v>258.77227201299587</v>
          </cell>
          <cell r="P43">
            <v>273.9290185756206</v>
          </cell>
          <cell r="Q43">
            <v>287.38414949081982</v>
          </cell>
          <cell r="R43">
            <v>290.12919640394699</v>
          </cell>
          <cell r="S43">
            <v>286.14600794231347</v>
          </cell>
          <cell r="T43">
            <v>287.61635993392974</v>
          </cell>
          <cell r="U43">
            <v>287.14540708394838</v>
          </cell>
          <cell r="V43">
            <v>280.67003775046908</v>
          </cell>
        </row>
        <row r="44">
          <cell r="E44">
            <v>5</v>
          </cell>
          <cell r="M44">
            <v>212.6438045127872</v>
          </cell>
          <cell r="N44">
            <v>234.76803048059091</v>
          </cell>
          <cell r="O44">
            <v>249.98253541160972</v>
          </cell>
          <cell r="P44">
            <v>264.5806796384465</v>
          </cell>
          <cell r="Q44">
            <v>274.64510030369104</v>
          </cell>
          <cell r="R44">
            <v>275.65610627587955</v>
          </cell>
          <cell r="S44">
            <v>268.8763252815022</v>
          </cell>
          <cell r="T44">
            <v>261.90511518691426</v>
          </cell>
          <cell r="U44">
            <v>259.07113541345154</v>
          </cell>
          <cell r="V44">
            <v>255.88067067756103</v>
          </cell>
        </row>
        <row r="45">
          <cell r="E45">
            <v>4</v>
          </cell>
          <cell r="M45">
            <v>176.59077819514016</v>
          </cell>
          <cell r="N45">
            <v>194.71382457106964</v>
          </cell>
          <cell r="O45">
            <v>209.68498127901407</v>
          </cell>
          <cell r="P45">
            <v>222.7628283126007</v>
          </cell>
          <cell r="Q45">
            <v>236.45479068782615</v>
          </cell>
          <cell r="R45">
            <v>243.80847245040511</v>
          </cell>
          <cell r="S45">
            <v>242.16179001018534</v>
          </cell>
          <cell r="T45">
            <v>236.61567069688076</v>
          </cell>
          <cell r="U45">
            <v>233.25017191609871</v>
          </cell>
          <cell r="V45">
            <v>229.02217161983</v>
          </cell>
        </row>
        <row r="46">
          <cell r="E46">
            <v>1</v>
          </cell>
          <cell r="M46">
            <v>174.48637404031103</v>
          </cell>
          <cell r="N46">
            <v>192.60357899917983</v>
          </cell>
          <cell r="O46">
            <v>206.1573364868926</v>
          </cell>
          <cell r="P46">
            <v>220.41793584037347</v>
          </cell>
          <cell r="Q46">
            <v>237.95116195796325</v>
          </cell>
          <cell r="R46">
            <v>249.10260519228322</v>
          </cell>
          <cell r="S46">
            <v>248.7846431810288</v>
          </cell>
          <cell r="T46">
            <v>241.1664212291692</v>
          </cell>
          <cell r="U46">
            <v>238.87626652640233</v>
          </cell>
          <cell r="V46">
            <v>236.89693818564777</v>
          </cell>
        </row>
        <row r="47">
          <cell r="E47">
            <v>19</v>
          </cell>
          <cell r="M47">
            <v>244.13166785017862</v>
          </cell>
          <cell r="N47">
            <v>260.82368213736083</v>
          </cell>
          <cell r="O47">
            <v>272.06867924893277</v>
          </cell>
          <cell r="P47">
            <v>287.30363782578587</v>
          </cell>
          <cell r="Q47">
            <v>301.26252473078739</v>
          </cell>
          <cell r="R47">
            <v>304.55241081935651</v>
          </cell>
          <cell r="S47">
            <v>299.84088885453878</v>
          </cell>
          <cell r="T47">
            <v>300.30715554168859</v>
          </cell>
          <cell r="U47">
            <v>299.82088037245813</v>
          </cell>
          <cell r="V47">
            <v>294.32332733891627</v>
          </cell>
        </row>
        <row r="48">
          <cell r="E48">
            <v>4</v>
          </cell>
          <cell r="M48">
            <v>223.72228866517247</v>
          </cell>
          <cell r="N48">
            <v>247.21546700762295</v>
          </cell>
          <cell r="O48">
            <v>261.65163894556082</v>
          </cell>
          <cell r="P48">
            <v>274.89828555995672</v>
          </cell>
          <cell r="Q48">
            <v>284.32433488781226</v>
          </cell>
          <cell r="R48">
            <v>285.3481138024361</v>
          </cell>
          <cell r="S48">
            <v>278.09799015814951</v>
          </cell>
          <cell r="T48">
            <v>270.79124819898448</v>
          </cell>
          <cell r="U48">
            <v>267.01830949245556</v>
          </cell>
          <cell r="V48">
            <v>263.53920275020022</v>
          </cell>
        </row>
        <row r="49">
          <cell r="E49">
            <v>5</v>
          </cell>
          <cell r="M49">
            <v>181.65063319686681</v>
          </cell>
          <cell r="N49">
            <v>200.930684055483</v>
          </cell>
          <cell r="O49">
            <v>217.206040269921</v>
          </cell>
          <cell r="P49">
            <v>229.81962928207571</v>
          </cell>
          <cell r="Q49">
            <v>242.43063200139801</v>
          </cell>
          <cell r="R49">
            <v>250.80061175600821</v>
          </cell>
          <cell r="S49">
            <v>251.72901922234664</v>
          </cell>
          <cell r="T49">
            <v>246.5011420477318</v>
          </cell>
          <cell r="U49">
            <v>241.71619846498155</v>
          </cell>
          <cell r="V49">
            <v>237.22421389124165</v>
          </cell>
        </row>
        <row r="50">
          <cell r="E50">
            <v>2</v>
          </cell>
          <cell r="M50">
            <v>177.66078247964148</v>
          </cell>
          <cell r="N50">
            <v>197.27328597257744</v>
          </cell>
          <cell r="O50">
            <v>213.11375628720535</v>
          </cell>
          <cell r="P50">
            <v>229.73971913099186</v>
          </cell>
          <cell r="Q50">
            <v>245.70369090007756</v>
          </cell>
          <cell r="R50">
            <v>256.14170167354428</v>
          </cell>
          <cell r="S50">
            <v>255.63652984585212</v>
          </cell>
          <cell r="T50">
            <v>248.27403601248062</v>
          </cell>
          <cell r="U50">
            <v>243.02508847736763</v>
          </cell>
          <cell r="V50">
            <v>240.68996137782514</v>
          </cell>
        </row>
        <row r="51">
          <cell r="E51">
            <v>21</v>
          </cell>
          <cell r="M51">
            <v>224.36230167962381</v>
          </cell>
          <cell r="N51">
            <v>244.6793300152782</v>
          </cell>
          <cell r="O51">
            <v>257.03285001946381</v>
          </cell>
          <cell r="P51">
            <v>271.07591196146268</v>
          </cell>
          <cell r="Q51">
            <v>284.41151315149915</v>
          </cell>
          <cell r="R51">
            <v>289.80459819546667</v>
          </cell>
          <cell r="S51">
            <v>286.19163179824085</v>
          </cell>
          <cell r="T51">
            <v>286.27701637772992</v>
          </cell>
          <cell r="U51">
            <v>285.24214094222128</v>
          </cell>
          <cell r="V51">
            <v>279.2441369883071</v>
          </cell>
        </row>
        <row r="52">
          <cell r="E52">
            <v>4</v>
          </cell>
          <cell r="M52">
            <v>210.9681820855163</v>
          </cell>
          <cell r="N52">
            <v>233.40827236610585</v>
          </cell>
          <cell r="O52">
            <v>248.45457271567389</v>
          </cell>
          <cell r="P52">
            <v>260.58694188161576</v>
          </cell>
          <cell r="Q52">
            <v>269.30551308526498</v>
          </cell>
          <cell r="R52">
            <v>271.00986268959741</v>
          </cell>
          <cell r="S52">
            <v>265.6603559198208</v>
          </cell>
          <cell r="T52">
            <v>259.64345747897534</v>
          </cell>
          <cell r="U52">
            <v>255.35945341096138</v>
          </cell>
          <cell r="V52">
            <v>251.01566710812205</v>
          </cell>
        </row>
        <row r="53">
          <cell r="E53">
            <v>4</v>
          </cell>
          <cell r="M53">
            <v>176.51766276300901</v>
          </cell>
          <cell r="N53">
            <v>195.14927941187224</v>
          </cell>
          <cell r="O53">
            <v>210.74298134287918</v>
          </cell>
          <cell r="P53">
            <v>223.5215219837869</v>
          </cell>
          <cell r="Q53">
            <v>235.34647626214112</v>
          </cell>
          <cell r="R53">
            <v>242.58933396535522</v>
          </cell>
          <cell r="S53">
            <v>243.12015591138217</v>
          </cell>
          <cell r="T53">
            <v>238.55342074304031</v>
          </cell>
          <cell r="U53">
            <v>236.03552026388346</v>
          </cell>
          <cell r="V53">
            <v>232.7302923122906</v>
          </cell>
        </row>
        <row r="54">
          <cell r="E54">
            <v>2</v>
          </cell>
          <cell r="M54">
            <v>159.59760954281859</v>
          </cell>
          <cell r="N54">
            <v>173.60134289582643</v>
          </cell>
          <cell r="O54">
            <v>187.6627238691724</v>
          </cell>
          <cell r="P54">
            <v>201.17905720014775</v>
          </cell>
          <cell r="Q54">
            <v>214.04493028340826</v>
          </cell>
          <cell r="R54">
            <v>223.74468148774852</v>
          </cell>
          <cell r="S54">
            <v>225.13216353220147</v>
          </cell>
          <cell r="T54">
            <v>221.42693966143565</v>
          </cell>
          <cell r="U54">
            <v>220.46012216351014</v>
          </cell>
          <cell r="V54">
            <v>218.86193217101595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19</v>
          </cell>
          <cell r="M7">
            <v>228.74640452313477</v>
          </cell>
          <cell r="N7">
            <v>246.84545406614848</v>
          </cell>
          <cell r="O7">
            <v>258.7942089888495</v>
          </cell>
          <cell r="P7">
            <v>274.5036380925859</v>
          </cell>
          <cell r="Q7">
            <v>288.0936966434457</v>
          </cell>
          <cell r="R7">
            <v>292.74030480654437</v>
          </cell>
          <cell r="S7">
            <v>290.02110420201478</v>
          </cell>
          <cell r="T7">
            <v>291.91455515756792</v>
          </cell>
          <cell r="U7">
            <v>291.56487610802418</v>
          </cell>
          <cell r="V7">
            <v>285.12555088509464</v>
          </cell>
        </row>
        <row r="8">
          <cell r="E8">
            <v>5</v>
          </cell>
          <cell r="M8">
            <v>208.50170795462415</v>
          </cell>
          <cell r="N8">
            <v>229.5680937058203</v>
          </cell>
          <cell r="O8">
            <v>245.10012112207835</v>
          </cell>
          <cell r="P8">
            <v>258.51056549756436</v>
          </cell>
          <cell r="Q8">
            <v>269.63802117797513</v>
          </cell>
          <cell r="R8">
            <v>272.06859171648972</v>
          </cell>
          <cell r="S8">
            <v>266.95990206564204</v>
          </cell>
          <cell r="T8">
            <v>260.83494297482156</v>
          </cell>
          <cell r="U8">
            <v>257.66603725161332</v>
          </cell>
          <cell r="V8">
            <v>254.24003153414134</v>
          </cell>
        </row>
        <row r="9">
          <cell r="E9">
            <v>5</v>
          </cell>
          <cell r="M9">
            <v>175.12347131464492</v>
          </cell>
          <cell r="N9">
            <v>191.66443347680854</v>
          </cell>
          <cell r="O9">
            <v>206.85894628846523</v>
          </cell>
          <cell r="P9">
            <v>218.83631732615871</v>
          </cell>
          <cell r="Q9">
            <v>232.49033457882351</v>
          </cell>
          <cell r="R9">
            <v>241.33890017679295</v>
          </cell>
          <cell r="S9">
            <v>243.18307453412305</v>
          </cell>
          <cell r="T9">
            <v>239.11713212379001</v>
          </cell>
          <cell r="U9">
            <v>235.51007114687442</v>
          </cell>
          <cell r="V9">
            <v>232.10665018371441</v>
          </cell>
        </row>
        <row r="10">
          <cell r="E10">
            <v>2</v>
          </cell>
          <cell r="M10">
            <v>158.02075550889091</v>
          </cell>
          <cell r="N10">
            <v>169.94290971505589</v>
          </cell>
          <cell r="O10">
            <v>182.53612802999024</v>
          </cell>
          <cell r="P10">
            <v>195.96839847141032</v>
          </cell>
          <cell r="Q10">
            <v>210.26205360391589</v>
          </cell>
          <cell r="R10">
            <v>220.70249788493157</v>
          </cell>
          <cell r="S10">
            <v>222.18818350672055</v>
          </cell>
          <cell r="T10">
            <v>218.75553396783843</v>
          </cell>
          <cell r="U10">
            <v>215.29975926811815</v>
          </cell>
          <cell r="V10">
            <v>212.84598727607931</v>
          </cell>
        </row>
        <row r="11">
          <cell r="E11">
            <v>20</v>
          </cell>
          <cell r="M11">
            <v>257.23388792769111</v>
          </cell>
          <cell r="N11">
            <v>273.00679466546211</v>
          </cell>
          <cell r="O11">
            <v>283.49747768024156</v>
          </cell>
          <cell r="P11">
            <v>299.63201174988819</v>
          </cell>
          <cell r="Q11">
            <v>312.70221617648792</v>
          </cell>
          <cell r="R11">
            <v>313.46001023460684</v>
          </cell>
          <cell r="S11">
            <v>309.70372500226057</v>
          </cell>
          <cell r="T11">
            <v>312.03169883196858</v>
          </cell>
          <cell r="U11">
            <v>312.37609461300326</v>
          </cell>
          <cell r="V11">
            <v>306.16338197929542</v>
          </cell>
        </row>
        <row r="12">
          <cell r="E12">
            <v>4</v>
          </cell>
          <cell r="M12">
            <v>237.69440280268097</v>
          </cell>
          <cell r="N12">
            <v>262.11640791074444</v>
          </cell>
          <cell r="O12">
            <v>277.58869179610167</v>
          </cell>
          <cell r="P12">
            <v>291.9947387706062</v>
          </cell>
          <cell r="Q12">
            <v>300.73647553493441</v>
          </cell>
          <cell r="R12">
            <v>300.92697201427677</v>
          </cell>
          <cell r="S12">
            <v>293.34004585006369</v>
          </cell>
          <cell r="T12">
            <v>285.99098544626463</v>
          </cell>
          <cell r="U12">
            <v>283.15966426261986</v>
          </cell>
          <cell r="V12">
            <v>279.7034127336118</v>
          </cell>
        </row>
        <row r="13">
          <cell r="E13">
            <v>4</v>
          </cell>
          <cell r="M13">
            <v>195.37470998098431</v>
          </cell>
          <cell r="N13">
            <v>214.28562814259601</v>
          </cell>
          <cell r="O13">
            <v>230.32987405678534</v>
          </cell>
          <cell r="P13">
            <v>243.89293559298997</v>
          </cell>
          <cell r="Q13">
            <v>258.51411946518954</v>
          </cell>
          <cell r="R13">
            <v>267.44236429677272</v>
          </cell>
          <cell r="S13">
            <v>267.89953126399536</v>
          </cell>
          <cell r="T13">
            <v>263.06956422618259</v>
          </cell>
          <cell r="U13">
            <v>259.1781455736708</v>
          </cell>
          <cell r="V13">
            <v>255.15089203213009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22</v>
          </cell>
          <cell r="M15">
            <v>234.20009817726429</v>
          </cell>
          <cell r="N15">
            <v>248.43288022326735</v>
          </cell>
          <cell r="O15">
            <v>257.93602011361298</v>
          </cell>
          <cell r="P15">
            <v>272.65907591410166</v>
          </cell>
          <cell r="Q15">
            <v>284.59200010444732</v>
          </cell>
          <cell r="R15">
            <v>285.83681488168844</v>
          </cell>
          <cell r="S15">
            <v>282.35531683132166</v>
          </cell>
          <cell r="T15">
            <v>284.29473836870233</v>
          </cell>
          <cell r="U15">
            <v>283.79420748642548</v>
          </cell>
          <cell r="V15">
            <v>278.29209340754977</v>
          </cell>
        </row>
        <row r="16">
          <cell r="E16">
            <v>4</v>
          </cell>
          <cell r="M16">
            <v>216.41970411070866</v>
          </cell>
          <cell r="N16">
            <v>237.4394919846587</v>
          </cell>
          <cell r="O16">
            <v>250.9642312808123</v>
          </cell>
          <cell r="P16">
            <v>263.80596030510588</v>
          </cell>
          <cell r="Q16">
            <v>273.48814217567997</v>
          </cell>
          <cell r="R16">
            <v>274.21509067698076</v>
          </cell>
          <cell r="S16">
            <v>268.45340133002725</v>
          </cell>
          <cell r="T16">
            <v>262.57000819489423</v>
          </cell>
          <cell r="U16">
            <v>258.73545938210867</v>
          </cell>
          <cell r="V16">
            <v>255.12307487109985</v>
          </cell>
        </row>
        <row r="17">
          <cell r="E17">
            <v>4</v>
          </cell>
          <cell r="M17">
            <v>176.66250459715417</v>
          </cell>
          <cell r="N17">
            <v>194.19927916322285</v>
          </cell>
          <cell r="O17">
            <v>207.72896264928076</v>
          </cell>
          <cell r="P17">
            <v>219.52950207539993</v>
          </cell>
          <cell r="Q17">
            <v>231.89455863573752</v>
          </cell>
          <cell r="R17">
            <v>239.78858193447218</v>
          </cell>
          <cell r="S17">
            <v>240.28587037759183</v>
          </cell>
          <cell r="T17">
            <v>236.30814350474506</v>
          </cell>
          <cell r="U17">
            <v>233.4505967102707</v>
          </cell>
          <cell r="V17">
            <v>230.26784386454437</v>
          </cell>
        </row>
        <row r="18">
          <cell r="E18">
            <v>1</v>
          </cell>
          <cell r="M18">
            <v>183.74417609027918</v>
          </cell>
          <cell r="N18">
            <v>200.89400051042762</v>
          </cell>
          <cell r="O18">
            <v>216.2964172492936</v>
          </cell>
          <cell r="P18">
            <v>230.67426559933756</v>
          </cell>
          <cell r="Q18">
            <v>246.8731546689084</v>
          </cell>
          <cell r="R18">
            <v>255.26430322918424</v>
          </cell>
          <cell r="S18">
            <v>252.60696115835205</v>
          </cell>
          <cell r="T18">
            <v>246.98672904754108</v>
          </cell>
          <cell r="U18">
            <v>243.5440152318242</v>
          </cell>
          <cell r="V18">
            <v>241.47386829613868</v>
          </cell>
        </row>
        <row r="19">
          <cell r="E19">
            <v>20</v>
          </cell>
          <cell r="M19">
            <v>241.13928884070899</v>
          </cell>
          <cell r="N19">
            <v>256.64437646182631</v>
          </cell>
          <cell r="O19">
            <v>267.32588867682887</v>
          </cell>
          <cell r="P19">
            <v>282.5772628512467</v>
          </cell>
          <cell r="Q19">
            <v>295.61990442576962</v>
          </cell>
          <cell r="R19">
            <v>297.99415400804929</v>
          </cell>
          <cell r="S19">
            <v>294.21233827601299</v>
          </cell>
          <cell r="T19">
            <v>295.98330980107841</v>
          </cell>
          <cell r="U19">
            <v>295.72906866330032</v>
          </cell>
          <cell r="V19">
            <v>289.47243899256443</v>
          </cell>
        </row>
        <row r="20">
          <cell r="E20">
            <v>4</v>
          </cell>
          <cell r="M20">
            <v>215.70546681860026</v>
          </cell>
          <cell r="N20">
            <v>236.94325256597222</v>
          </cell>
          <cell r="O20">
            <v>251.52837119008305</v>
          </cell>
          <cell r="P20">
            <v>264.41954423266066</v>
          </cell>
          <cell r="Q20">
            <v>274.01003924853319</v>
          </cell>
          <cell r="R20">
            <v>276.35795937716063</v>
          </cell>
          <cell r="S20">
            <v>272.07353802563529</v>
          </cell>
          <cell r="T20">
            <v>266.78416610180909</v>
          </cell>
          <cell r="U20">
            <v>265.18264910942514</v>
          </cell>
          <cell r="V20">
            <v>262.92603437206901</v>
          </cell>
        </row>
        <row r="21">
          <cell r="E21">
            <v>4</v>
          </cell>
          <cell r="M21">
            <v>186.00706166258036</v>
          </cell>
          <cell r="N21">
            <v>204.41060167334234</v>
          </cell>
          <cell r="O21">
            <v>219.74240529278674</v>
          </cell>
          <cell r="P21">
            <v>230.96620380098935</v>
          </cell>
          <cell r="Q21">
            <v>241.86928481096922</v>
          </cell>
          <cell r="R21">
            <v>249.55642565679113</v>
          </cell>
          <cell r="S21">
            <v>250.74556372714613</v>
          </cell>
          <cell r="T21">
            <v>248.21078797569407</v>
          </cell>
          <cell r="U21">
            <v>245.33970134868721</v>
          </cell>
          <cell r="V21">
            <v>242.06311909532616</v>
          </cell>
        </row>
        <row r="22">
          <cell r="E22">
            <v>2</v>
          </cell>
          <cell r="M22">
            <v>187.51580039100401</v>
          </cell>
          <cell r="N22">
            <v>203.90288868237053</v>
          </cell>
          <cell r="O22">
            <v>213.66183371055826</v>
          </cell>
          <cell r="P22">
            <v>219.32455872825764</v>
          </cell>
          <cell r="Q22">
            <v>232.23842248721121</v>
          </cell>
          <cell r="R22">
            <v>243.69820486957195</v>
          </cell>
          <cell r="S22">
            <v>242.64898970467334</v>
          </cell>
          <cell r="T22">
            <v>237.9809666084488</v>
          </cell>
          <cell r="U22">
            <v>234.98888613909097</v>
          </cell>
          <cell r="V22">
            <v>234.72504059983569</v>
          </cell>
        </row>
        <row r="23">
          <cell r="E23">
            <v>21</v>
          </cell>
          <cell r="M23">
            <v>234.00789358945102</v>
          </cell>
          <cell r="N23">
            <v>248.43097714459864</v>
          </cell>
          <cell r="O23">
            <v>258.98366068224112</v>
          </cell>
          <cell r="P23">
            <v>274.01252511855364</v>
          </cell>
          <cell r="Q23">
            <v>286.32324433249369</v>
          </cell>
          <cell r="R23">
            <v>287.27175103256536</v>
          </cell>
          <cell r="S23">
            <v>282.9676164986613</v>
          </cell>
          <cell r="T23">
            <v>284.03119164246738</v>
          </cell>
          <cell r="U23">
            <v>284.04108426075857</v>
          </cell>
          <cell r="V23">
            <v>278.17113135381794</v>
          </cell>
        </row>
        <row r="24">
          <cell r="E24">
            <v>4</v>
          </cell>
          <cell r="M24">
            <v>214.75769549525242</v>
          </cell>
          <cell r="N24">
            <v>236.304089396178</v>
          </cell>
          <cell r="O24">
            <v>250.5360470573234</v>
          </cell>
          <cell r="P24">
            <v>263.55474756311571</v>
          </cell>
          <cell r="Q24">
            <v>272.63997307321131</v>
          </cell>
          <cell r="R24">
            <v>272.7993718060232</v>
          </cell>
          <cell r="S24">
            <v>266.38271822629815</v>
          </cell>
          <cell r="T24">
            <v>260.32663023856776</v>
          </cell>
          <cell r="U24">
            <v>257.74628020340737</v>
          </cell>
          <cell r="V24">
            <v>254.62597715969531</v>
          </cell>
        </row>
        <row r="25">
          <cell r="E25">
            <v>5</v>
          </cell>
          <cell r="M25">
            <v>176.95455299935244</v>
          </cell>
          <cell r="N25">
            <v>195.6334311948265</v>
          </cell>
          <cell r="O25">
            <v>211.21063447743236</v>
          </cell>
          <cell r="P25">
            <v>223.60623566232647</v>
          </cell>
          <cell r="Q25">
            <v>236.11840359453942</v>
          </cell>
          <cell r="R25">
            <v>242.05330488896234</v>
          </cell>
          <cell r="S25">
            <v>240.72446219500267</v>
          </cell>
          <cell r="T25">
            <v>234.50649384292248</v>
          </cell>
          <cell r="U25">
            <v>232.41993338352984</v>
          </cell>
          <cell r="V25">
            <v>229.4613687150019</v>
          </cell>
        </row>
        <row r="26">
          <cell r="E26">
            <v>1</v>
          </cell>
          <cell r="M26">
            <v>184.81241144565823</v>
          </cell>
          <cell r="N26">
            <v>202.53030696765023</v>
          </cell>
          <cell r="O26">
            <v>217.02752158274282</v>
          </cell>
          <cell r="P26">
            <v>232.80591079770301</v>
          </cell>
          <cell r="Q26">
            <v>245.97244533664681</v>
          </cell>
          <cell r="R26">
            <v>256.25719531860665</v>
          </cell>
          <cell r="S26">
            <v>252.50895048767345</v>
          </cell>
          <cell r="T26">
            <v>245.70890920661836</v>
          </cell>
          <cell r="U26">
            <v>238.93255892382297</v>
          </cell>
          <cell r="V26">
            <v>236.58924178725388</v>
          </cell>
        </row>
        <row r="27">
          <cell r="E27">
            <v>20</v>
          </cell>
          <cell r="M27">
            <v>241.3166099970187</v>
          </cell>
          <cell r="N27">
            <v>258.3622609928488</v>
          </cell>
          <cell r="O27">
            <v>269.94150500611573</v>
          </cell>
          <cell r="P27">
            <v>285.04299796030637</v>
          </cell>
          <cell r="Q27">
            <v>298.8435967745267</v>
          </cell>
          <cell r="R27">
            <v>302.10444154214866</v>
          </cell>
          <cell r="S27">
            <v>298.27856678391873</v>
          </cell>
          <cell r="T27">
            <v>299.62593588514085</v>
          </cell>
          <cell r="U27">
            <v>299.5100430565488</v>
          </cell>
          <cell r="V27">
            <v>293.2545874454816</v>
          </cell>
        </row>
        <row r="28">
          <cell r="E28">
            <v>4</v>
          </cell>
          <cell r="M28">
            <v>221.5301315394052</v>
          </cell>
          <cell r="N28">
            <v>243.38220692167792</v>
          </cell>
          <cell r="O28">
            <v>257.89311607391642</v>
          </cell>
          <cell r="P28">
            <v>271.92518265912906</v>
          </cell>
          <cell r="Q28">
            <v>281.81231211532798</v>
          </cell>
          <cell r="R28">
            <v>283.06069993336575</v>
          </cell>
          <cell r="S28">
            <v>276.44179020444034</v>
          </cell>
          <cell r="T28">
            <v>270.74419095225107</v>
          </cell>
          <cell r="U28">
            <v>268.90838547873233</v>
          </cell>
          <cell r="V28">
            <v>264.9417019721912</v>
          </cell>
        </row>
        <row r="29">
          <cell r="E29">
            <v>4</v>
          </cell>
          <cell r="M29">
            <v>184.31094597797735</v>
          </cell>
          <cell r="N29">
            <v>201.49136588447303</v>
          </cell>
          <cell r="O29">
            <v>216.37372505191604</v>
          </cell>
          <cell r="P29">
            <v>227.32376632940074</v>
          </cell>
          <cell r="Q29">
            <v>240.24339442463364</v>
          </cell>
          <cell r="R29">
            <v>248.46014638156495</v>
          </cell>
          <cell r="S29">
            <v>248.8772681655766</v>
          </cell>
          <cell r="T29">
            <v>244.61025214267701</v>
          </cell>
          <cell r="U29">
            <v>242.09253840276341</v>
          </cell>
          <cell r="V29">
            <v>238.89735408769357</v>
          </cell>
        </row>
        <row r="30">
          <cell r="E30">
            <v>2</v>
          </cell>
          <cell r="M30">
            <v>182.04266057889689</v>
          </cell>
          <cell r="N30">
            <v>199.61786546632189</v>
          </cell>
          <cell r="O30">
            <v>215.19526159988413</v>
          </cell>
          <cell r="P30">
            <v>231.0950515515209</v>
          </cell>
          <cell r="Q30">
            <v>247.48870949085281</v>
          </cell>
          <cell r="R30">
            <v>257.07472231141998</v>
          </cell>
          <cell r="S30">
            <v>255.18827756753569</v>
          </cell>
          <cell r="T30">
            <v>248.58387828364863</v>
          </cell>
          <cell r="U30">
            <v>245.27980735165565</v>
          </cell>
          <cell r="V30">
            <v>242.36581668495219</v>
          </cell>
        </row>
        <row r="31">
          <cell r="E31">
            <v>20</v>
          </cell>
          <cell r="M31">
            <v>233.93487513117759</v>
          </cell>
          <cell r="N31">
            <v>250.82066751883823</v>
          </cell>
          <cell r="O31">
            <v>262.93060769474948</v>
          </cell>
          <cell r="P31">
            <v>278.93211275082075</v>
          </cell>
          <cell r="Q31">
            <v>291.74656502061026</v>
          </cell>
          <cell r="R31">
            <v>293.34006916171768</v>
          </cell>
          <cell r="S31">
            <v>289.13667911974233</v>
          </cell>
          <cell r="T31">
            <v>291.39983807416843</v>
          </cell>
          <cell r="U31">
            <v>290.97494715162736</v>
          </cell>
          <cell r="V31">
            <v>283.87181834055087</v>
          </cell>
        </row>
        <row r="32">
          <cell r="E32">
            <v>5</v>
          </cell>
          <cell r="M32">
            <v>212.30432615905664</v>
          </cell>
          <cell r="N32">
            <v>234.99502346183539</v>
          </cell>
          <cell r="O32">
            <v>249.85652505660892</v>
          </cell>
          <cell r="P32">
            <v>264.37144381334764</v>
          </cell>
          <cell r="Q32">
            <v>274.79701313982486</v>
          </cell>
          <cell r="R32">
            <v>274.95891257734621</v>
          </cell>
          <cell r="S32">
            <v>267.84460264928083</v>
          </cell>
          <cell r="T32">
            <v>261.53041014692047</v>
          </cell>
          <cell r="U32">
            <v>258.79263015409651</v>
          </cell>
          <cell r="V32">
            <v>255.40362427011738</v>
          </cell>
        </row>
        <row r="33">
          <cell r="E33">
            <v>4</v>
          </cell>
          <cell r="M33">
            <v>177.28195458456963</v>
          </cell>
          <cell r="N33">
            <v>195.32254909538037</v>
          </cell>
          <cell r="O33">
            <v>210.89945568420714</v>
          </cell>
          <cell r="P33">
            <v>224.2026367815898</v>
          </cell>
          <cell r="Q33">
            <v>237.68316870466015</v>
          </cell>
          <cell r="R33">
            <v>245.30103155306639</v>
          </cell>
          <cell r="S33">
            <v>245.55103420828618</v>
          </cell>
          <cell r="T33">
            <v>241.128022954069</v>
          </cell>
          <cell r="U33">
            <v>237.8470496327775</v>
          </cell>
          <cell r="V33">
            <v>234.74087980915613</v>
          </cell>
        </row>
        <row r="34">
          <cell r="E34">
            <v>2</v>
          </cell>
          <cell r="M34">
            <v>180.93372519475162</v>
          </cell>
          <cell r="N34">
            <v>200.17456683870273</v>
          </cell>
          <cell r="O34">
            <v>216.42751351482235</v>
          </cell>
          <cell r="P34">
            <v>231.35824436446214</v>
          </cell>
          <cell r="Q34">
            <v>245.50478176736857</v>
          </cell>
          <cell r="R34">
            <v>252.61538302319542</v>
          </cell>
          <cell r="S34">
            <v>250.64425339779598</v>
          </cell>
          <cell r="T34">
            <v>245.71912183034263</v>
          </cell>
          <cell r="U34">
            <v>243.66447926385544</v>
          </cell>
          <cell r="V34">
            <v>237.99084439205095</v>
          </cell>
        </row>
        <row r="35">
          <cell r="E35">
            <v>21</v>
          </cell>
          <cell r="M35">
            <v>236.70974820411067</v>
          </cell>
          <cell r="N35">
            <v>252.42268677140535</v>
          </cell>
          <cell r="O35">
            <v>264.27414520773885</v>
          </cell>
          <cell r="P35">
            <v>280.11147264191374</v>
          </cell>
          <cell r="Q35">
            <v>292.72029069190393</v>
          </cell>
          <cell r="R35">
            <v>293.86724950307996</v>
          </cell>
          <cell r="S35">
            <v>290.30890564468962</v>
          </cell>
          <cell r="T35">
            <v>292.5211604235904</v>
          </cell>
          <cell r="U35">
            <v>292.0949237828371</v>
          </cell>
          <cell r="V35">
            <v>285.03491729330887</v>
          </cell>
        </row>
        <row r="36">
          <cell r="E36">
            <v>3</v>
          </cell>
          <cell r="M36">
            <v>216.96575841490304</v>
          </cell>
          <cell r="N36">
            <v>238.74594277526282</v>
          </cell>
          <cell r="O36">
            <v>253.60517042414384</v>
          </cell>
          <cell r="P36">
            <v>267.26368894528559</v>
          </cell>
          <cell r="Q36">
            <v>276.72157667659735</v>
          </cell>
          <cell r="R36">
            <v>276.90438031009631</v>
          </cell>
          <cell r="S36">
            <v>270.31102651175621</v>
          </cell>
          <cell r="T36">
            <v>263.54873315636547</v>
          </cell>
          <cell r="U36">
            <v>259.88481293593003</v>
          </cell>
          <cell r="V36">
            <v>256.53992541690042</v>
          </cell>
        </row>
        <row r="37">
          <cell r="E37">
            <v>5</v>
          </cell>
          <cell r="M37">
            <v>177.10394255560288</v>
          </cell>
          <cell r="N37">
            <v>195.12781625272103</v>
          </cell>
          <cell r="O37">
            <v>210.43788917208894</v>
          </cell>
          <cell r="P37">
            <v>222.39238723865645</v>
          </cell>
          <cell r="Q37">
            <v>234.77741764805009</v>
          </cell>
          <cell r="R37">
            <v>242.42184518589056</v>
          </cell>
          <cell r="S37">
            <v>242.82052957077354</v>
          </cell>
          <cell r="T37">
            <v>236.70126911975274</v>
          </cell>
          <cell r="U37">
            <v>233.60703274377437</v>
          </cell>
          <cell r="V37">
            <v>229.26217910793255</v>
          </cell>
        </row>
        <row r="38">
          <cell r="E38">
            <v>2</v>
          </cell>
          <cell r="M38">
            <v>184.75685553552509</v>
          </cell>
          <cell r="N38">
            <v>202.95208260551092</v>
          </cell>
          <cell r="O38">
            <v>217.46419336755471</v>
          </cell>
          <cell r="P38">
            <v>233.11154989422451</v>
          </cell>
          <cell r="Q38">
            <v>248.54881755592629</v>
          </cell>
          <cell r="R38">
            <v>257.96023032598606</v>
          </cell>
          <cell r="S38">
            <v>253.53147592790239</v>
          </cell>
          <cell r="T38">
            <v>245.75233034118708</v>
          </cell>
          <cell r="U38">
            <v>241.72853116293129</v>
          </cell>
          <cell r="V38">
            <v>237.43346062397822</v>
          </cell>
        </row>
        <row r="39">
          <cell r="E39">
            <v>22</v>
          </cell>
          <cell r="M39">
            <v>243.0171739690667</v>
          </cell>
          <cell r="N39">
            <v>259.01718284079487</v>
          </cell>
          <cell r="O39">
            <v>270.81026041837015</v>
          </cell>
          <cell r="P39">
            <v>287.1197823596782</v>
          </cell>
          <cell r="Q39">
            <v>300.6490801438232</v>
          </cell>
          <cell r="R39">
            <v>302.76503447975779</v>
          </cell>
          <cell r="S39">
            <v>299.09113475213883</v>
          </cell>
          <cell r="T39">
            <v>300.63865347672976</v>
          </cell>
          <cell r="U39">
            <v>300.68163592835367</v>
          </cell>
          <cell r="V39">
            <v>294.04570869195658</v>
          </cell>
        </row>
        <row r="40">
          <cell r="E40">
            <v>4</v>
          </cell>
          <cell r="M40">
            <v>223.46360012803268</v>
          </cell>
          <cell r="N40">
            <v>246.30963993581503</v>
          </cell>
          <cell r="O40">
            <v>261.99144472947756</v>
          </cell>
          <cell r="P40">
            <v>276.58219205842585</v>
          </cell>
          <cell r="Q40">
            <v>286.66467529497885</v>
          </cell>
          <cell r="R40">
            <v>287.08639159408375</v>
          </cell>
          <cell r="S40">
            <v>278.71468707254422</v>
          </cell>
          <cell r="T40">
            <v>269.8080902906276</v>
          </cell>
          <cell r="U40">
            <v>265.52993553556473</v>
          </cell>
          <cell r="V40">
            <v>260.96856325671382</v>
          </cell>
        </row>
        <row r="41">
          <cell r="E41">
            <v>4</v>
          </cell>
          <cell r="M41">
            <v>180.77449388200077</v>
          </cell>
          <cell r="N41">
            <v>198.9838329796645</v>
          </cell>
          <cell r="O41">
            <v>214.28509833227622</v>
          </cell>
          <cell r="P41">
            <v>227.79048471706858</v>
          </cell>
          <cell r="Q41">
            <v>240.68645996038475</v>
          </cell>
          <cell r="R41">
            <v>248.59860065281498</v>
          </cell>
          <cell r="S41">
            <v>247.70462626933858</v>
          </cell>
          <cell r="T41">
            <v>242.18554766402312</v>
          </cell>
          <cell r="U41">
            <v>239.59464380729258</v>
          </cell>
          <cell r="V41">
            <v>236.77829082480253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20</v>
          </cell>
          <cell r="M43">
            <v>236.99672950041051</v>
          </cell>
          <cell r="N43">
            <v>253.36177132474992</v>
          </cell>
          <cell r="O43">
            <v>264.65208010125764</v>
          </cell>
          <cell r="P43">
            <v>279.76008124541647</v>
          </cell>
          <cell r="Q43">
            <v>293.17194127407697</v>
          </cell>
          <cell r="R43">
            <v>295.90815938607818</v>
          </cell>
          <cell r="S43">
            <v>291.93777992274619</v>
          </cell>
          <cell r="T43">
            <v>293.40340480658665</v>
          </cell>
          <cell r="U43">
            <v>292.9339653131164</v>
          </cell>
          <cell r="V43">
            <v>286.47941969931998</v>
          </cell>
        </row>
        <row r="44">
          <cell r="E44">
            <v>5</v>
          </cell>
          <cell r="M44">
            <v>218.67196380723612</v>
          </cell>
          <cell r="N44">
            <v>240.72503862863059</v>
          </cell>
          <cell r="O44">
            <v>255.89061108137906</v>
          </cell>
          <cell r="P44">
            <v>270.4418070103344</v>
          </cell>
          <cell r="Q44">
            <v>280.47386078140858</v>
          </cell>
          <cell r="R44">
            <v>281.48161510992173</v>
          </cell>
          <cell r="S44">
            <v>274.72363864901661</v>
          </cell>
          <cell r="T44">
            <v>267.77484782257739</v>
          </cell>
          <cell r="U44">
            <v>264.94998184786891</v>
          </cell>
          <cell r="V44">
            <v>261.76977633016014</v>
          </cell>
        </row>
        <row r="45">
          <cell r="E45">
            <v>5</v>
          </cell>
          <cell r="M45">
            <v>182.73488531183867</v>
          </cell>
          <cell r="N45">
            <v>200.79964976943822</v>
          </cell>
          <cell r="O45">
            <v>215.72265810385676</v>
          </cell>
          <cell r="P45">
            <v>228.75844393284166</v>
          </cell>
          <cell r="Q45">
            <v>242.40637260531145</v>
          </cell>
          <cell r="R45">
            <v>249.73640434166492</v>
          </cell>
          <cell r="S45">
            <v>248.09501806309621</v>
          </cell>
          <cell r="T45">
            <v>242.56673559290542</v>
          </cell>
          <cell r="U45">
            <v>239.21206141764864</v>
          </cell>
          <cell r="V45">
            <v>234.99765767874541</v>
          </cell>
        </row>
        <row r="46">
          <cell r="E46">
            <v>1</v>
          </cell>
          <cell r="M46">
            <v>180.63724969752118</v>
          </cell>
          <cell r="N46">
            <v>198.69619048008559</v>
          </cell>
          <cell r="O46">
            <v>212.20635575396241</v>
          </cell>
          <cell r="P46">
            <v>226.4210924604734</v>
          </cell>
          <cell r="Q46">
            <v>243.89793064468498</v>
          </cell>
          <cell r="R46">
            <v>255.0135122162086</v>
          </cell>
          <cell r="S46">
            <v>254.69657120594536</v>
          </cell>
          <cell r="T46">
            <v>247.10285075419128</v>
          </cell>
          <cell r="U46">
            <v>244.82006126779626</v>
          </cell>
          <cell r="V46">
            <v>242.8470984986904</v>
          </cell>
        </row>
        <row r="47">
          <cell r="E47">
            <v>20</v>
          </cell>
          <cell r="M47">
            <v>247.65714042999647</v>
          </cell>
          <cell r="N47">
            <v>264.14549878512878</v>
          </cell>
          <cell r="O47">
            <v>275.25329850267542</v>
          </cell>
          <cell r="P47">
            <v>290.30238050079112</v>
          </cell>
          <cell r="Q47">
            <v>304.09095897847612</v>
          </cell>
          <cell r="R47">
            <v>307.34070527951917</v>
          </cell>
          <cell r="S47">
            <v>302.68666705649576</v>
          </cell>
          <cell r="T47">
            <v>303.14724600217789</v>
          </cell>
          <cell r="U47">
            <v>302.66690301232632</v>
          </cell>
          <cell r="V47">
            <v>297.23642352716871</v>
          </cell>
        </row>
        <row r="48">
          <cell r="E48">
            <v>4</v>
          </cell>
          <cell r="M48">
            <v>227.49676847198353</v>
          </cell>
          <cell r="N48">
            <v>250.70331241376354</v>
          </cell>
          <cell r="O48">
            <v>264.96335426034045</v>
          </cell>
          <cell r="P48">
            <v>278.04838066044653</v>
          </cell>
          <cell r="Q48">
            <v>287.35942828276666</v>
          </cell>
          <cell r="R48">
            <v>288.37071538649218</v>
          </cell>
          <cell r="S48">
            <v>281.20904677356145</v>
          </cell>
          <cell r="T48">
            <v>273.99145350251496</v>
          </cell>
          <cell r="U48">
            <v>270.2645473120217</v>
          </cell>
          <cell r="V48">
            <v>266.82789028788073</v>
          </cell>
        </row>
        <row r="49">
          <cell r="E49">
            <v>4</v>
          </cell>
          <cell r="M49">
            <v>185.93841943754842</v>
          </cell>
          <cell r="N49">
            <v>204.98323974014249</v>
          </cell>
          <cell r="O49">
            <v>221.06002448493206</v>
          </cell>
          <cell r="P49">
            <v>233.51971788383176</v>
          </cell>
          <cell r="Q49">
            <v>245.97685759699007</v>
          </cell>
          <cell r="R49">
            <v>254.24471717660956</v>
          </cell>
          <cell r="S49">
            <v>255.16179764775262</v>
          </cell>
          <cell r="T49">
            <v>249.9977046721439</v>
          </cell>
          <cell r="U49">
            <v>245.27114177406517</v>
          </cell>
          <cell r="V49">
            <v>240.8339612726555</v>
          </cell>
        </row>
        <row r="50">
          <cell r="E50">
            <v>2</v>
          </cell>
          <cell r="M50">
            <v>181.99724523828453</v>
          </cell>
          <cell r="N50">
            <v>201.37046316949701</v>
          </cell>
          <cell r="O50">
            <v>217.01766923003603</v>
          </cell>
          <cell r="P50">
            <v>233.44078250390692</v>
          </cell>
          <cell r="Q50">
            <v>249.20998268868064</v>
          </cell>
          <cell r="R50">
            <v>259.52064251451947</v>
          </cell>
          <cell r="S50">
            <v>259.02163112823985</v>
          </cell>
          <cell r="T50">
            <v>251.7489672533132</v>
          </cell>
          <cell r="U50">
            <v>246.56406120910182</v>
          </cell>
          <cell r="V50">
            <v>244.25742390059247</v>
          </cell>
        </row>
        <row r="51">
          <cell r="E51">
            <v>22</v>
          </cell>
          <cell r="M51">
            <v>228.96774655929516</v>
          </cell>
          <cell r="N51">
            <v>249.10574356788271</v>
          </cell>
          <cell r="O51">
            <v>261.35040391191006</v>
          </cell>
          <cell r="P51">
            <v>275.26971838410628</v>
          </cell>
          <cell r="Q51">
            <v>288.48780558640698</v>
          </cell>
          <cell r="R51">
            <v>293.83336919275001</v>
          </cell>
          <cell r="S51">
            <v>290.25224349060881</v>
          </cell>
          <cell r="T51">
            <v>290.33687327185066</v>
          </cell>
          <cell r="U51">
            <v>289.31111810791236</v>
          </cell>
          <cell r="V51">
            <v>283.36596604342213</v>
          </cell>
        </row>
        <row r="52">
          <cell r="E52">
            <v>3</v>
          </cell>
          <cell r="M52">
            <v>215.69165360394268</v>
          </cell>
          <cell r="N52">
            <v>237.93400422170262</v>
          </cell>
          <cell r="O52">
            <v>252.84771756387082</v>
          </cell>
          <cell r="P52">
            <v>264.87317630542969</v>
          </cell>
          <cell r="Q52">
            <v>273.51492090848342</v>
          </cell>
          <cell r="R52">
            <v>275.20425290175183</v>
          </cell>
          <cell r="S52">
            <v>269.90188579040188</v>
          </cell>
          <cell r="T52">
            <v>263.93800599072773</v>
          </cell>
          <cell r="U52">
            <v>259.69175429388122</v>
          </cell>
          <cell r="V52">
            <v>255.38624225314575</v>
          </cell>
        </row>
        <row r="53">
          <cell r="E53">
            <v>4</v>
          </cell>
          <cell r="M53">
            <v>181.54470881325688</v>
          </cell>
          <cell r="N53">
            <v>200.01214394858548</v>
          </cell>
          <cell r="O53">
            <v>215.46843603925021</v>
          </cell>
          <cell r="P53">
            <v>228.13437399943763</v>
          </cell>
          <cell r="Q53">
            <v>239.855128229879</v>
          </cell>
          <cell r="R53">
            <v>247.03416190585119</v>
          </cell>
          <cell r="S53">
            <v>247.56030593822791</v>
          </cell>
          <cell r="T53">
            <v>243.0338121323494</v>
          </cell>
          <cell r="U53">
            <v>240.53810035539595</v>
          </cell>
          <cell r="V53">
            <v>237.26199705056405</v>
          </cell>
        </row>
        <row r="54">
          <cell r="E54">
            <v>2</v>
          </cell>
          <cell r="M54">
            <v>164.77375387203125</v>
          </cell>
          <cell r="N54">
            <v>178.65408702013872</v>
          </cell>
          <cell r="O54">
            <v>192.59156127085609</v>
          </cell>
          <cell r="P54">
            <v>205.98878793848402</v>
          </cell>
          <cell r="Q54">
            <v>218.74128842795994</v>
          </cell>
          <cell r="R54">
            <v>228.35556556946725</v>
          </cell>
          <cell r="S54">
            <v>229.73082388592303</v>
          </cell>
          <cell r="T54">
            <v>226.05824868410357</v>
          </cell>
          <cell r="U54">
            <v>225.09995108932216</v>
          </cell>
          <cell r="V54">
            <v>223.51584366404651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20</v>
          </cell>
          <cell r="M7">
            <v>232.42066293498792</v>
          </cell>
          <cell r="N7">
            <v>250.7908465354829</v>
          </cell>
          <cell r="O7">
            <v>262.91860186230076</v>
          </cell>
          <cell r="P7">
            <v>278.86336661868876</v>
          </cell>
          <cell r="Q7">
            <v>292.65701230846156</v>
          </cell>
          <cell r="R7">
            <v>297.37323011082123</v>
          </cell>
          <cell r="S7">
            <v>294.61329148739725</v>
          </cell>
          <cell r="T7">
            <v>296.53510838238884</v>
          </cell>
          <cell r="U7">
            <v>296.18019177908963</v>
          </cell>
          <cell r="V7">
            <v>289.64440183008759</v>
          </cell>
        </row>
        <row r="8">
          <cell r="E8">
            <v>4</v>
          </cell>
          <cell r="M8">
            <v>211.87269140992629</v>
          </cell>
          <cell r="N8">
            <v>233.25466122487165</v>
          </cell>
          <cell r="O8">
            <v>249.01936775201548</v>
          </cell>
          <cell r="P8">
            <v>262.63070914632527</v>
          </cell>
          <cell r="Q8">
            <v>273.92486030431286</v>
          </cell>
          <cell r="R8">
            <v>276.39184408704779</v>
          </cell>
          <cell r="S8">
            <v>271.20662011213176</v>
          </cell>
          <cell r="T8">
            <v>264.98990505879777</v>
          </cell>
          <cell r="U8">
            <v>261.77352975792041</v>
          </cell>
          <cell r="V8">
            <v>258.29619758424866</v>
          </cell>
        </row>
        <row r="9">
          <cell r="E9">
            <v>5</v>
          </cell>
          <cell r="M9">
            <v>177.99443129921531</v>
          </cell>
          <cell r="N9">
            <v>194.78318510229954</v>
          </cell>
          <cell r="O9">
            <v>210.2053177956949</v>
          </cell>
          <cell r="P9">
            <v>222.36211942036718</v>
          </cell>
          <cell r="Q9">
            <v>236.22068066172073</v>
          </cell>
          <cell r="R9">
            <v>245.20180316268178</v>
          </cell>
          <cell r="S9">
            <v>247.07360270569976</v>
          </cell>
          <cell r="T9">
            <v>242.94675056019241</v>
          </cell>
          <cell r="U9">
            <v>239.28565626694601</v>
          </cell>
          <cell r="V9">
            <v>235.8312466822872</v>
          </cell>
        </row>
        <row r="10">
          <cell r="E10">
            <v>2</v>
          </cell>
          <cell r="M10">
            <v>160.63550511079657</v>
          </cell>
          <cell r="N10">
            <v>172.73625890759112</v>
          </cell>
          <cell r="O10">
            <v>185.51813228520166</v>
          </cell>
          <cell r="P10">
            <v>199.15162497786065</v>
          </cell>
          <cell r="Q10">
            <v>213.65940742186407</v>
          </cell>
          <cell r="R10">
            <v>224.25625672760916</v>
          </cell>
          <cell r="S10">
            <v>225.76419566213065</v>
          </cell>
          <cell r="T10">
            <v>222.28012317087243</v>
          </cell>
          <cell r="U10">
            <v>218.77257928762904</v>
          </cell>
          <cell r="V10">
            <v>216.282049950345</v>
          </cell>
        </row>
        <row r="11">
          <cell r="E11">
            <v>20</v>
          </cell>
          <cell r="M11">
            <v>261.91593671297613</v>
          </cell>
          <cell r="N11">
            <v>277.95862783756843</v>
          </cell>
          <cell r="O11">
            <v>288.62874551851138</v>
          </cell>
          <cell r="P11">
            <v>305.03924693785632</v>
          </cell>
          <cell r="Q11">
            <v>318.333009401357</v>
          </cell>
          <cell r="R11">
            <v>319.10376397574163</v>
          </cell>
          <cell r="S11">
            <v>315.28323076492455</v>
          </cell>
          <cell r="T11">
            <v>317.65102317800944</v>
          </cell>
          <cell r="U11">
            <v>318.00130779946522</v>
          </cell>
          <cell r="V11">
            <v>311.68233104633885</v>
          </cell>
        </row>
        <row r="12">
          <cell r="E12">
            <v>4</v>
          </cell>
          <cell r="M12">
            <v>242.04224486141555</v>
          </cell>
          <cell r="N12">
            <v>266.88196793318292</v>
          </cell>
          <cell r="O12">
            <v>282.61889528284854</v>
          </cell>
          <cell r="P12">
            <v>297.27134558063915</v>
          </cell>
          <cell r="Q12">
            <v>306.16260424354886</v>
          </cell>
          <cell r="R12">
            <v>306.35635711993592</v>
          </cell>
          <cell r="S12">
            <v>298.63966395357437</v>
          </cell>
          <cell r="T12">
            <v>291.16490390292091</v>
          </cell>
          <cell r="U12">
            <v>288.28515247924292</v>
          </cell>
          <cell r="V12">
            <v>284.7697855049812</v>
          </cell>
        </row>
        <row r="13">
          <cell r="E13">
            <v>4</v>
          </cell>
          <cell r="M13">
            <v>198.99870389018497</v>
          </cell>
          <cell r="N13">
            <v>218.23307841976188</v>
          </cell>
          <cell r="O13">
            <v>234.551749633649</v>
          </cell>
          <cell r="P13">
            <v>248.34679593641286</v>
          </cell>
          <cell r="Q13">
            <v>263.21806817609354</v>
          </cell>
          <cell r="R13">
            <v>272.29902196368397</v>
          </cell>
          <cell r="S13">
            <v>272.76400852528104</v>
          </cell>
          <cell r="T13">
            <v>267.85142732428773</v>
          </cell>
          <cell r="U13">
            <v>263.89344757446958</v>
          </cell>
          <cell r="V13">
            <v>259.79731144396794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22</v>
          </cell>
          <cell r="M15">
            <v>238.44183673468146</v>
          </cell>
          <cell r="N15">
            <v>252.9154281178314</v>
          </cell>
          <cell r="O15">
            <v>262.57935474927245</v>
          </cell>
          <cell r="P15">
            <v>277.55151562184955</v>
          </cell>
          <cell r="Q15">
            <v>289.68633546260429</v>
          </cell>
          <cell r="R15">
            <v>290.95221202666357</v>
          </cell>
          <cell r="S15">
            <v>287.41180988978505</v>
          </cell>
          <cell r="T15">
            <v>289.38404673352534</v>
          </cell>
          <cell r="U15">
            <v>288.87504574976356</v>
          </cell>
          <cell r="V15">
            <v>283.27983840844342</v>
          </cell>
        </row>
        <row r="16">
          <cell r="E16">
            <v>4</v>
          </cell>
          <cell r="M16">
            <v>220.36060955322023</v>
          </cell>
          <cell r="N16">
            <v>241.73603823003623</v>
          </cell>
          <cell r="O16">
            <v>255.48960647031828</v>
          </cell>
          <cell r="P16">
            <v>268.54861051642808</v>
          </cell>
          <cell r="Q16">
            <v>278.39460836098863</v>
          </cell>
          <cell r="R16">
            <v>279.13385444039983</v>
          </cell>
          <cell r="S16">
            <v>273.27468134512441</v>
          </cell>
          <cell r="T16">
            <v>267.29174788226914</v>
          </cell>
          <cell r="U16">
            <v>263.39232053605559</v>
          </cell>
          <cell r="V16">
            <v>259.71881778641608</v>
          </cell>
        </row>
        <row r="17">
          <cell r="E17">
            <v>4</v>
          </cell>
          <cell r="M17">
            <v>179.93074591596942</v>
          </cell>
          <cell r="N17">
            <v>197.76423199350984</v>
          </cell>
          <cell r="O17">
            <v>211.52282845561913</v>
          </cell>
          <cell r="P17">
            <v>223.52302417265892</v>
          </cell>
          <cell r="Q17">
            <v>236.09729110695991</v>
          </cell>
          <cell r="R17">
            <v>244.12487374087374</v>
          </cell>
          <cell r="S17">
            <v>244.63057555001049</v>
          </cell>
          <cell r="T17">
            <v>240.58555013956635</v>
          </cell>
          <cell r="U17">
            <v>237.67965535267493</v>
          </cell>
          <cell r="V17">
            <v>234.44305062331668</v>
          </cell>
        </row>
        <row r="18">
          <cell r="E18">
            <v>1</v>
          </cell>
          <cell r="M18">
            <v>187.13223598930315</v>
          </cell>
          <cell r="N18">
            <v>204.57222185998205</v>
          </cell>
          <cell r="O18">
            <v>220.23523667960976</v>
          </cell>
          <cell r="P18">
            <v>234.85635011578887</v>
          </cell>
          <cell r="Q18">
            <v>251.32931124638694</v>
          </cell>
          <cell r="R18">
            <v>259.86243253179703</v>
          </cell>
          <cell r="S18">
            <v>257.160130934047</v>
          </cell>
          <cell r="T18">
            <v>251.4448099043567</v>
          </cell>
          <cell r="U18">
            <v>247.94384741892017</v>
          </cell>
          <cell r="V18">
            <v>245.83867523898965</v>
          </cell>
        </row>
        <row r="19">
          <cell r="E19">
            <v>19</v>
          </cell>
          <cell r="M19">
            <v>246.05917113589183</v>
          </cell>
          <cell r="N19">
            <v>261.86035716871572</v>
          </cell>
          <cell r="O19">
            <v>272.74585776751763</v>
          </cell>
          <cell r="P19">
            <v>288.2884834378238</v>
          </cell>
          <cell r="Q19">
            <v>301.58019901456294</v>
          </cell>
          <cell r="R19">
            <v>303.99978868115323</v>
          </cell>
          <cell r="S19">
            <v>300.14575094293065</v>
          </cell>
          <cell r="T19">
            <v>301.95054355006801</v>
          </cell>
          <cell r="U19">
            <v>301.69144921709085</v>
          </cell>
          <cell r="V19">
            <v>295.31533550586369</v>
          </cell>
        </row>
        <row r="20">
          <cell r="E20">
            <v>5</v>
          </cell>
          <cell r="M20">
            <v>220.13964113483996</v>
          </cell>
          <cell r="N20">
            <v>241.78300432224111</v>
          </cell>
          <cell r="O20">
            <v>256.64665476929105</v>
          </cell>
          <cell r="P20">
            <v>269.78400838568581</v>
          </cell>
          <cell r="Q20">
            <v>279.55765111404884</v>
          </cell>
          <cell r="R20">
            <v>281.95040876504748</v>
          </cell>
          <cell r="S20">
            <v>277.58416833923633</v>
          </cell>
          <cell r="T20">
            <v>272.19378528561703</v>
          </cell>
          <cell r="U20">
            <v>270.56168550567094</v>
          </cell>
          <cell r="V20">
            <v>268.26197644510728</v>
          </cell>
        </row>
        <row r="21">
          <cell r="E21">
            <v>4</v>
          </cell>
          <cell r="M21">
            <v>189.87408742287553</v>
          </cell>
          <cell r="N21">
            <v>208.62907937775182</v>
          </cell>
          <cell r="O21">
            <v>224.25367375145763</v>
          </cell>
          <cell r="P21">
            <v>235.69181258657562</v>
          </cell>
          <cell r="Q21">
            <v>246.80310852719751</v>
          </cell>
          <cell r="R21">
            <v>254.6370484691048</v>
          </cell>
          <cell r="S21">
            <v>255.84889442702234</v>
          </cell>
          <cell r="T21">
            <v>253.26571485821756</v>
          </cell>
          <cell r="U21">
            <v>250.33979829802399</v>
          </cell>
          <cell r="V21">
            <v>247.00064369433963</v>
          </cell>
        </row>
        <row r="22">
          <cell r="E22">
            <v>2</v>
          </cell>
          <cell r="M22">
            <v>191.41163840966701</v>
          </cell>
          <cell r="N22">
            <v>208.11167047818279</v>
          </cell>
          <cell r="O22">
            <v>218.05698047142585</v>
          </cell>
          <cell r="P22">
            <v>223.82784926142062</v>
          </cell>
          <cell r="Q22">
            <v>236.98832464628552</v>
          </cell>
          <cell r="R22">
            <v>248.6669536055127</v>
          </cell>
          <cell r="S22">
            <v>247.59770318745615</v>
          </cell>
          <cell r="T22">
            <v>242.84053281735262</v>
          </cell>
          <cell r="U22">
            <v>239.79131569747486</v>
          </cell>
          <cell r="V22">
            <v>239.52242978714244</v>
          </cell>
        </row>
        <row r="23">
          <cell r="E23">
            <v>21</v>
          </cell>
          <cell r="M23">
            <v>238.09660788114812</v>
          </cell>
          <cell r="N23">
            <v>252.75509501163407</v>
          </cell>
          <cell r="O23">
            <v>263.48000823259122</v>
          </cell>
          <cell r="P23">
            <v>278.7541611839921</v>
          </cell>
          <cell r="Q23">
            <v>291.26580524939976</v>
          </cell>
          <cell r="R23">
            <v>292.22979356222464</v>
          </cell>
          <cell r="S23">
            <v>287.85541008690558</v>
          </cell>
          <cell r="T23">
            <v>288.93634216822977</v>
          </cell>
          <cell r="U23">
            <v>288.94639861188432</v>
          </cell>
          <cell r="V23">
            <v>282.98064119881076</v>
          </cell>
        </row>
        <row r="24">
          <cell r="E24">
            <v>4</v>
          </cell>
          <cell r="M24">
            <v>218.53222477506506</v>
          </cell>
          <cell r="N24">
            <v>240.43028127701302</v>
          </cell>
          <cell r="O24">
            <v>254.89452182032986</v>
          </cell>
          <cell r="P24">
            <v>268.12570167461462</v>
          </cell>
          <cell r="Q24">
            <v>277.35920573706153</v>
          </cell>
          <cell r="R24">
            <v>277.52120856041017</v>
          </cell>
          <cell r="S24">
            <v>270.99982945702442</v>
          </cell>
          <cell r="T24">
            <v>264.84489605721694</v>
          </cell>
          <cell r="U24">
            <v>262.22243363781956</v>
          </cell>
          <cell r="V24">
            <v>259.05120426793775</v>
          </cell>
        </row>
        <row r="25">
          <cell r="E25">
            <v>4</v>
          </cell>
          <cell r="M25">
            <v>180.11209245489383</v>
          </cell>
          <cell r="N25">
            <v>199.09583354056068</v>
          </cell>
          <cell r="O25">
            <v>214.92727366156419</v>
          </cell>
          <cell r="P25">
            <v>227.52518362121251</v>
          </cell>
          <cell r="Q25">
            <v>240.24156297924443</v>
          </cell>
          <cell r="R25">
            <v>246.27332931198259</v>
          </cell>
          <cell r="S25">
            <v>244.92280147864369</v>
          </cell>
          <cell r="T25">
            <v>238.60334584724808</v>
          </cell>
          <cell r="U25">
            <v>236.4827330215293</v>
          </cell>
          <cell r="V25">
            <v>233.47587967703851</v>
          </cell>
        </row>
        <row r="26">
          <cell r="E26">
            <v>2</v>
          </cell>
          <cell r="M26">
            <v>188.09819914525619</v>
          </cell>
          <cell r="N26">
            <v>206.10527435754494</v>
          </cell>
          <cell r="O26">
            <v>220.83909793929416</v>
          </cell>
          <cell r="P26">
            <v>236.87500848662253</v>
          </cell>
          <cell r="Q26">
            <v>250.2564353384245</v>
          </cell>
          <cell r="R26">
            <v>260.70904481432211</v>
          </cell>
          <cell r="S26">
            <v>256.89962539342673</v>
          </cell>
          <cell r="T26">
            <v>249.98859829863758</v>
          </cell>
          <cell r="U26">
            <v>243.10165072885704</v>
          </cell>
          <cell r="V26">
            <v>240.72008950606551</v>
          </cell>
        </row>
        <row r="27">
          <cell r="E27">
            <v>20</v>
          </cell>
          <cell r="M27">
            <v>245.68095053610853</v>
          </cell>
          <cell r="N27">
            <v>263.01515092574823</v>
          </cell>
          <cell r="O27">
            <v>274.79040522991716</v>
          </cell>
          <cell r="P27">
            <v>290.14753337665519</v>
          </cell>
          <cell r="Q27">
            <v>304.18174759096178</v>
          </cell>
          <cell r="R27">
            <v>307.49778890189765</v>
          </cell>
          <cell r="S27">
            <v>303.6071508789625</v>
          </cell>
          <cell r="T27">
            <v>304.97732543492367</v>
          </cell>
          <cell r="U27">
            <v>304.859472645285</v>
          </cell>
          <cell r="V27">
            <v>298.49812787891091</v>
          </cell>
        </row>
        <row r="28">
          <cell r="E28">
            <v>4</v>
          </cell>
          <cell r="M28">
            <v>225.55952817527907</v>
          </cell>
          <cell r="N28">
            <v>247.78151616136029</v>
          </cell>
          <cell r="O28">
            <v>262.53806315266536</v>
          </cell>
          <cell r="P28">
            <v>276.80766086882932</v>
          </cell>
          <cell r="Q28">
            <v>286.86215934532589</v>
          </cell>
          <cell r="R28">
            <v>288.13167835073415</v>
          </cell>
          <cell r="S28">
            <v>281.40072219877158</v>
          </cell>
          <cell r="T28">
            <v>275.60667654811641</v>
          </cell>
          <cell r="U28">
            <v>273.73979504254527</v>
          </cell>
          <cell r="V28">
            <v>269.70596606030813</v>
          </cell>
        </row>
        <row r="29">
          <cell r="E29">
            <v>4</v>
          </cell>
          <cell r="M29">
            <v>187.71030350928942</v>
          </cell>
          <cell r="N29">
            <v>205.18155207901594</v>
          </cell>
          <cell r="O29">
            <v>220.31583655397415</v>
          </cell>
          <cell r="P29">
            <v>231.45123744676945</v>
          </cell>
          <cell r="Q29">
            <v>244.58957000900674</v>
          </cell>
          <cell r="R29">
            <v>252.94541098292044</v>
          </cell>
          <cell r="S29">
            <v>253.36959330190129</v>
          </cell>
          <cell r="T29">
            <v>249.03034593039186</v>
          </cell>
          <cell r="U29">
            <v>246.4700126691059</v>
          </cell>
          <cell r="V29">
            <v>243.22074309277679</v>
          </cell>
        </row>
        <row r="30">
          <cell r="E30">
            <v>2</v>
          </cell>
          <cell r="M30">
            <v>185.40361892986547</v>
          </cell>
          <cell r="N30">
            <v>203.27633700366903</v>
          </cell>
          <cell r="O30">
            <v>219.11742461476086</v>
          </cell>
          <cell r="P30">
            <v>235.2863637312168</v>
          </cell>
          <cell r="Q30">
            <v>251.95753172989211</v>
          </cell>
          <cell r="R30">
            <v>261.70581509928786</v>
          </cell>
          <cell r="S30">
            <v>259.78743510939688</v>
          </cell>
          <cell r="T30">
            <v>253.07123730763544</v>
          </cell>
          <cell r="U30">
            <v>249.7112366667252</v>
          </cell>
          <cell r="V30">
            <v>246.74791886612974</v>
          </cell>
        </row>
        <row r="31">
          <cell r="E31">
            <v>19</v>
          </cell>
          <cell r="M31">
            <v>239.28348436329114</v>
          </cell>
          <cell r="N31">
            <v>256.52995255885685</v>
          </cell>
          <cell r="O31">
            <v>268.89855399009025</v>
          </cell>
          <cell r="P31">
            <v>285.24184293730639</v>
          </cell>
          <cell r="Q31">
            <v>298.33000558458161</v>
          </cell>
          <cell r="R31">
            <v>299.95754542631772</v>
          </cell>
          <cell r="S31">
            <v>295.66437207731678</v>
          </cell>
          <cell r="T31">
            <v>297.97587086659814</v>
          </cell>
          <cell r="U31">
            <v>297.54190544598362</v>
          </cell>
          <cell r="V31">
            <v>290.28705858637375</v>
          </cell>
        </row>
        <row r="32">
          <cell r="E32">
            <v>5</v>
          </cell>
          <cell r="M32">
            <v>217.19091852680518</v>
          </cell>
          <cell r="N32">
            <v>240.36627898443248</v>
          </cell>
          <cell r="O32">
            <v>255.54521356067383</v>
          </cell>
          <cell r="P32">
            <v>270.37016386298978</v>
          </cell>
          <cell r="Q32">
            <v>281.0184184201172</v>
          </cell>
          <cell r="R32">
            <v>281.18377762921148</v>
          </cell>
          <cell r="S32">
            <v>273.91750761584223</v>
          </cell>
          <cell r="T32">
            <v>267.46844760683734</v>
          </cell>
          <cell r="U32">
            <v>264.67219051644327</v>
          </cell>
          <cell r="V32">
            <v>261.21079693720264</v>
          </cell>
        </row>
        <row r="33">
          <cell r="E33">
            <v>5</v>
          </cell>
          <cell r="M33">
            <v>181.42048535732843</v>
          </cell>
          <cell r="N33">
            <v>199.84642225437628</v>
          </cell>
          <cell r="O33">
            <v>215.75604243123311</v>
          </cell>
          <cell r="P33">
            <v>229.34337422523737</v>
          </cell>
          <cell r="Q33">
            <v>243.11184066512652</v>
          </cell>
          <cell r="R33">
            <v>250.89241746396647</v>
          </cell>
          <cell r="S33">
            <v>251.14775917121415</v>
          </cell>
          <cell r="T33">
            <v>246.63027585060021</v>
          </cell>
          <cell r="U33">
            <v>243.27922345274794</v>
          </cell>
          <cell r="V33">
            <v>240.10670789211639</v>
          </cell>
        </row>
        <row r="34">
          <cell r="E34">
            <v>2</v>
          </cell>
          <cell r="M34">
            <v>185.15025630360671</v>
          </cell>
          <cell r="N34">
            <v>204.80207495350845</v>
          </cell>
          <cell r="O34">
            <v>221.40217614566632</v>
          </cell>
          <cell r="P34">
            <v>236.65181942918835</v>
          </cell>
          <cell r="Q34">
            <v>251.10051973698839</v>
          </cell>
          <cell r="R34">
            <v>258.36300110281138</v>
          </cell>
          <cell r="S34">
            <v>256.34976719378886</v>
          </cell>
          <cell r="T34">
            <v>251.31943703074626</v>
          </cell>
          <cell r="U34">
            <v>249.22090981653449</v>
          </cell>
          <cell r="V34">
            <v>243.42608863735475</v>
          </cell>
        </row>
        <row r="35">
          <cell r="E35">
            <v>22</v>
          </cell>
          <cell r="M35">
            <v>238.98193937878085</v>
          </cell>
          <cell r="N35">
            <v>254.83580414015444</v>
          </cell>
          <cell r="O35">
            <v>266.79355980031301</v>
          </cell>
          <cell r="P35">
            <v>282.77293092791194</v>
          </cell>
          <cell r="Q35">
            <v>295.49483645641402</v>
          </cell>
          <cell r="R35">
            <v>296.65208181591356</v>
          </cell>
          <cell r="S35">
            <v>293.06182548470184</v>
          </cell>
          <cell r="T35">
            <v>295.29392159529198</v>
          </cell>
          <cell r="U35">
            <v>294.86386136339542</v>
          </cell>
          <cell r="V35">
            <v>287.74053651340228</v>
          </cell>
        </row>
        <row r="36">
          <cell r="E36">
            <v>4</v>
          </cell>
          <cell r="M36">
            <v>219.06086612465793</v>
          </cell>
          <cell r="N36">
            <v>241.03639707863772</v>
          </cell>
          <cell r="O36">
            <v>256.02889544514596</v>
          </cell>
          <cell r="P36">
            <v>269.80991654762533</v>
          </cell>
          <cell r="Q36">
            <v>279.35263188475164</v>
          </cell>
          <cell r="R36">
            <v>279.53707629991351</v>
          </cell>
          <cell r="S36">
            <v>272.88458625940763</v>
          </cell>
          <cell r="T36">
            <v>266.06164098220762</v>
          </cell>
          <cell r="U36">
            <v>262.36485966324886</v>
          </cell>
          <cell r="V36">
            <v>258.98997353631387</v>
          </cell>
        </row>
        <row r="37">
          <cell r="E37">
            <v>3</v>
          </cell>
          <cell r="M37">
            <v>178.8415309357313</v>
          </cell>
          <cell r="N37">
            <v>197.02706034695532</v>
          </cell>
          <cell r="O37">
            <v>212.47444857172852</v>
          </cell>
          <cell r="P37">
            <v>224.53616531385626</v>
          </cell>
          <cell r="Q37">
            <v>237.0322755005383</v>
          </cell>
          <cell r="R37">
            <v>244.7452668954999</v>
          </cell>
          <cell r="S37">
            <v>245.14752887954458</v>
          </cell>
          <cell r="T37">
            <v>238.97338313784587</v>
          </cell>
          <cell r="U37">
            <v>235.85139559141308</v>
          </cell>
          <cell r="V37">
            <v>231.4675722811844</v>
          </cell>
        </row>
        <row r="38">
          <cell r="E38">
            <v>2</v>
          </cell>
          <cell r="M38">
            <v>186.56308280948855</v>
          </cell>
          <cell r="N38">
            <v>204.92150210843059</v>
          </cell>
          <cell r="O38">
            <v>219.5637709456733</v>
          </cell>
          <cell r="P38">
            <v>235.35146786760274</v>
          </cell>
          <cell r="Q38">
            <v>250.92719334960898</v>
          </cell>
          <cell r="R38">
            <v>260.42301463816386</v>
          </cell>
          <cell r="S38">
            <v>255.95454217758589</v>
          </cell>
          <cell r="T38">
            <v>248.10562351671646</v>
          </cell>
          <cell r="U38">
            <v>244.04573380955145</v>
          </cell>
          <cell r="V38">
            <v>239.7121418632662</v>
          </cell>
        </row>
        <row r="39">
          <cell r="E39">
            <v>22</v>
          </cell>
          <cell r="M39">
            <v>247.3663202261846</v>
          </cell>
          <cell r="N39">
            <v>263.63446554480328</v>
          </cell>
          <cell r="O39">
            <v>275.62517269153432</v>
          </cell>
          <cell r="P39">
            <v>292.20801519562502</v>
          </cell>
          <cell r="Q39">
            <v>305.96404139516517</v>
          </cell>
          <cell r="R39">
            <v>308.1154549931054</v>
          </cell>
          <cell r="S39">
            <v>304.37998624299502</v>
          </cell>
          <cell r="T39">
            <v>305.9534382674687</v>
          </cell>
          <cell r="U39">
            <v>305.99714120686531</v>
          </cell>
          <cell r="V39">
            <v>299.25000702133701</v>
          </cell>
        </row>
        <row r="40">
          <cell r="E40">
            <v>4</v>
          </cell>
          <cell r="M40">
            <v>227.48506167418344</v>
          </cell>
          <cell r="N40">
            <v>250.71396538396164</v>
          </cell>
          <cell r="O40">
            <v>266.65856910163973</v>
          </cell>
          <cell r="P40">
            <v>281.49383223818802</v>
          </cell>
          <cell r="Q40">
            <v>291.74528317596815</v>
          </cell>
          <cell r="R40">
            <v>292.17406569283656</v>
          </cell>
          <cell r="S40">
            <v>283.66206590560364</v>
          </cell>
          <cell r="T40">
            <v>274.60620661068111</v>
          </cell>
          <cell r="U40">
            <v>270.25635823040551</v>
          </cell>
          <cell r="V40">
            <v>265.61854720945149</v>
          </cell>
        </row>
        <row r="41">
          <cell r="E41">
            <v>4</v>
          </cell>
          <cell r="M41">
            <v>184.08056091016718</v>
          </cell>
          <cell r="N41">
            <v>202.59505850307343</v>
          </cell>
          <cell r="O41">
            <v>218.15274764955757</v>
          </cell>
          <cell r="P41">
            <v>231.88445912281531</v>
          </cell>
          <cell r="Q41">
            <v>244.99654873211071</v>
          </cell>
          <cell r="R41">
            <v>253.04128410757193</v>
          </cell>
          <cell r="S41">
            <v>252.13232865496559</v>
          </cell>
          <cell r="T41">
            <v>246.52075893313537</v>
          </cell>
          <cell r="U41">
            <v>243.88643474138684</v>
          </cell>
          <cell r="V41">
            <v>241.0228867784393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20</v>
          </cell>
          <cell r="M43">
            <v>241.24661404419373</v>
          </cell>
          <cell r="N43">
            <v>257.88601291945702</v>
          </cell>
          <cell r="O43">
            <v>269.36560227096174</v>
          </cell>
          <cell r="P43">
            <v>284.72688352127392</v>
          </cell>
          <cell r="Q43">
            <v>298.36358851241175</v>
          </cell>
          <cell r="R43">
            <v>301.14568055311531</v>
          </cell>
          <cell r="S43">
            <v>297.1087367431976</v>
          </cell>
          <cell r="T43">
            <v>298.59893175459155</v>
          </cell>
          <cell r="U43">
            <v>298.12162573167797</v>
          </cell>
          <cell r="V43">
            <v>291.55887027446937</v>
          </cell>
        </row>
        <row r="44">
          <cell r="E44">
            <v>5</v>
          </cell>
          <cell r="M44">
            <v>222.6146387123288</v>
          </cell>
          <cell r="N44">
            <v>245.03742713729082</v>
          </cell>
          <cell r="O44">
            <v>260.45725019655566</v>
          </cell>
          <cell r="P44">
            <v>275.25239138607498</v>
          </cell>
          <cell r="Q44">
            <v>285.45262777620832</v>
          </cell>
          <cell r="R44">
            <v>286.47727894731128</v>
          </cell>
          <cell r="S44">
            <v>279.6060051056624</v>
          </cell>
          <cell r="T44">
            <v>272.54071987811835</v>
          </cell>
          <cell r="U44">
            <v>269.66849701413366</v>
          </cell>
          <cell r="V44">
            <v>266.43497744743041</v>
          </cell>
        </row>
        <row r="45">
          <cell r="E45">
            <v>5</v>
          </cell>
          <cell r="M45">
            <v>186.07508678273231</v>
          </cell>
          <cell r="N45">
            <v>204.4427001206582</v>
          </cell>
          <cell r="O45">
            <v>219.61589027659878</v>
          </cell>
          <cell r="P45">
            <v>232.87021732651829</v>
          </cell>
          <cell r="Q45">
            <v>246.74695051493921</v>
          </cell>
          <cell r="R45">
            <v>254.19986863108113</v>
          </cell>
          <cell r="S45">
            <v>252.53096303017415</v>
          </cell>
          <cell r="T45">
            <v>246.91000008990295</v>
          </cell>
          <cell r="U45">
            <v>243.4990879083924</v>
          </cell>
          <cell r="V45">
            <v>239.21403006280428</v>
          </cell>
        </row>
        <row r="46">
          <cell r="E46">
            <v>1</v>
          </cell>
          <cell r="M46">
            <v>183.94228375045125</v>
          </cell>
          <cell r="N46">
            <v>202.30397891578394</v>
          </cell>
          <cell r="O46">
            <v>216.04064021044437</v>
          </cell>
          <cell r="P46">
            <v>230.4936822066237</v>
          </cell>
          <cell r="Q46">
            <v>248.26351349616837</v>
          </cell>
          <cell r="R46">
            <v>259.56544536656634</v>
          </cell>
          <cell r="S46">
            <v>259.24318995637543</v>
          </cell>
          <cell r="T46">
            <v>251.52216357735603</v>
          </cell>
          <cell r="U46">
            <v>249.20110417413255</v>
          </cell>
          <cell r="V46">
            <v>247.19506403380109</v>
          </cell>
        </row>
        <row r="47">
          <cell r="E47">
            <v>20</v>
          </cell>
          <cell r="M47">
            <v>252.08218840502906</v>
          </cell>
          <cell r="N47">
            <v>268.84674826086325</v>
          </cell>
          <cell r="O47">
            <v>280.14061548217791</v>
          </cell>
          <cell r="P47">
            <v>295.44178903397562</v>
          </cell>
          <cell r="Q47">
            <v>309.46134448780964</v>
          </cell>
          <cell r="R47">
            <v>312.76552826425524</v>
          </cell>
          <cell r="S47">
            <v>308.03352866831375</v>
          </cell>
          <cell r="T47">
            <v>308.501820761327</v>
          </cell>
          <cell r="U47">
            <v>308.01343061351724</v>
          </cell>
          <cell r="V47">
            <v>302.49198747710739</v>
          </cell>
        </row>
        <row r="48">
          <cell r="E48">
            <v>4</v>
          </cell>
          <cell r="M48">
            <v>231.584104977187</v>
          </cell>
          <cell r="N48">
            <v>255.17938870370125</v>
          </cell>
          <cell r="O48">
            <v>269.67830130507127</v>
          </cell>
          <cell r="P48">
            <v>282.98252069007117</v>
          </cell>
          <cell r="Q48">
            <v>292.44953935776704</v>
          </cell>
          <cell r="R48">
            <v>293.47776516444628</v>
          </cell>
          <cell r="S48">
            <v>286.19613078678304</v>
          </cell>
          <cell r="T48">
            <v>278.85763279303995</v>
          </cell>
          <cell r="U48">
            <v>275.06829447549785</v>
          </cell>
          <cell r="V48">
            <v>271.57407018871726</v>
          </cell>
        </row>
        <row r="49">
          <cell r="E49">
            <v>4</v>
          </cell>
          <cell r="M49">
            <v>189.32960283071938</v>
          </cell>
          <cell r="N49">
            <v>208.69344612636027</v>
          </cell>
          <cell r="O49">
            <v>225.03953629955856</v>
          </cell>
          <cell r="P49">
            <v>237.70794731130877</v>
          </cell>
          <cell r="Q49">
            <v>250.37375839546442</v>
          </cell>
          <cell r="R49">
            <v>258.78011466999459</v>
          </cell>
          <cell r="S49">
            <v>259.71255846602929</v>
          </cell>
          <cell r="T49">
            <v>254.46195701270636</v>
          </cell>
          <cell r="U49">
            <v>249.65621863901944</v>
          </cell>
          <cell r="V49">
            <v>245.14471282104969</v>
          </cell>
        </row>
        <row r="50">
          <cell r="E50">
            <v>2</v>
          </cell>
          <cell r="M50">
            <v>185.32240880354729</v>
          </cell>
          <cell r="N50">
            <v>205.02015103189953</v>
          </cell>
          <cell r="O50">
            <v>220.9294660827795</v>
          </cell>
          <cell r="P50">
            <v>237.62768858473794</v>
          </cell>
          <cell r="Q50">
            <v>253.66104370200995</v>
          </cell>
          <cell r="R50">
            <v>264.14441792831235</v>
          </cell>
          <cell r="S50">
            <v>263.63704852095475</v>
          </cell>
          <cell r="T50">
            <v>256.24255567259382</v>
          </cell>
          <cell r="U50">
            <v>250.970796699277</v>
          </cell>
          <cell r="V50">
            <v>248.62552215949955</v>
          </cell>
        </row>
        <row r="51">
          <cell r="E51">
            <v>21</v>
          </cell>
          <cell r="M51">
            <v>232.89211859108093</v>
          </cell>
          <cell r="N51">
            <v>253.35205067716126</v>
          </cell>
          <cell r="O51">
            <v>265.79246054055034</v>
          </cell>
          <cell r="P51">
            <v>279.93429946747904</v>
          </cell>
          <cell r="Q51">
            <v>293.36369890342343</v>
          </cell>
          <cell r="R51">
            <v>298.79471880415775</v>
          </cell>
          <cell r="S51">
            <v>295.15634156367594</v>
          </cell>
          <cell r="T51">
            <v>295.24232352124369</v>
          </cell>
          <cell r="U51">
            <v>294.20016998507816</v>
          </cell>
          <cell r="V51">
            <v>288.15997666615914</v>
          </cell>
        </row>
        <row r="52">
          <cell r="E52">
            <v>5</v>
          </cell>
          <cell r="M52">
            <v>219.40378746299112</v>
          </cell>
          <cell r="N52">
            <v>242.00171396082027</v>
          </cell>
          <cell r="O52">
            <v>257.15384830542587</v>
          </cell>
          <cell r="P52">
            <v>269.37155010858044</v>
          </cell>
          <cell r="Q52">
            <v>278.15144838458173</v>
          </cell>
          <cell r="R52">
            <v>279.86778624238042</v>
          </cell>
          <cell r="S52">
            <v>274.48065150905666</v>
          </cell>
          <cell r="T52">
            <v>268.42143019519068</v>
          </cell>
          <cell r="U52">
            <v>264.10729638672262</v>
          </cell>
          <cell r="V52">
            <v>259.73295317108108</v>
          </cell>
        </row>
        <row r="53">
          <cell r="E53">
            <v>3</v>
          </cell>
          <cell r="M53">
            <v>184.71095117839684</v>
          </cell>
          <cell r="N53">
            <v>203.47361578023333</v>
          </cell>
          <cell r="O53">
            <v>219.17700046174627</v>
          </cell>
          <cell r="P53">
            <v>232.04542155133996</v>
          </cell>
          <cell r="Q53">
            <v>243.9535497427176</v>
          </cell>
          <cell r="R53">
            <v>251.24735525656968</v>
          </cell>
          <cell r="S53">
            <v>251.78190842196452</v>
          </cell>
          <cell r="T53">
            <v>247.18305181739194</v>
          </cell>
          <cell r="U53">
            <v>244.64744011702413</v>
          </cell>
          <cell r="V53">
            <v>241.31896492253057</v>
          </cell>
        </row>
        <row r="54">
          <cell r="E54">
            <v>2</v>
          </cell>
          <cell r="M54">
            <v>167.67188600882267</v>
          </cell>
          <cell r="N54">
            <v>181.77411788880829</v>
          </cell>
          <cell r="O54">
            <v>195.93440210482532</v>
          </cell>
          <cell r="P54">
            <v>209.5458049481166</v>
          </cell>
          <cell r="Q54">
            <v>222.50217224375416</v>
          </cell>
          <cell r="R54">
            <v>232.27015107117131</v>
          </cell>
          <cell r="S54">
            <v>233.66739284399804</v>
          </cell>
          <cell r="T54">
            <v>229.93610686248732</v>
          </cell>
          <cell r="U54">
            <v>228.96248801101723</v>
          </cell>
          <cell r="V54">
            <v>227.35305654843665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pto"/>
    </sheetNames>
    <sheetDataSet>
      <sheetData sheetId="0">
        <row r="7">
          <cell r="E7">
            <v>21</v>
          </cell>
          <cell r="M7">
            <v>231.07045486673982</v>
          </cell>
          <cell r="N7">
            <v>249.31833878894764</v>
          </cell>
          <cell r="O7">
            <v>261.36535442027565</v>
          </cell>
          <cell r="P7">
            <v>277.20396912261248</v>
          </cell>
          <cell r="Q7">
            <v>290.90578292880991</v>
          </cell>
          <cell r="R7">
            <v>295.5906041894612</v>
          </cell>
          <cell r="S7">
            <v>292.84903918167851</v>
          </cell>
          <cell r="T7">
            <v>294.75806197365443</v>
          </cell>
          <cell r="U7">
            <v>294.40550972461432</v>
          </cell>
          <cell r="V7">
            <v>287.9132286820273</v>
          </cell>
        </row>
        <row r="8">
          <cell r="E8">
            <v>4</v>
          </cell>
          <cell r="M8">
            <v>210.65927779102896</v>
          </cell>
          <cell r="N8">
            <v>231.89890087761714</v>
          </cell>
          <cell r="O8">
            <v>247.55865489567387</v>
          </cell>
          <cell r="P8">
            <v>261.07937901673614</v>
          </cell>
          <cell r="Q8">
            <v>272.29833954405319</v>
          </cell>
          <cell r="R8">
            <v>274.74889934132983</v>
          </cell>
          <cell r="S8">
            <v>269.5981961090622</v>
          </cell>
          <cell r="T8">
            <v>263.42286983917393</v>
          </cell>
          <cell r="U8">
            <v>260.22790900728836</v>
          </cell>
          <cell r="V8">
            <v>256.77372494070715</v>
          </cell>
        </row>
        <row r="9">
          <cell r="E9">
            <v>4</v>
          </cell>
          <cell r="M9">
            <v>177.0065610306381</v>
          </cell>
          <cell r="N9">
            <v>193.68354620381589</v>
          </cell>
          <cell r="O9">
            <v>209.00300747753514</v>
          </cell>
          <cell r="P9">
            <v>221.07887536246776</v>
          </cell>
          <cell r="Q9">
            <v>234.8451763258642</v>
          </cell>
          <cell r="R9">
            <v>243.76650481232679</v>
          </cell>
          <cell r="S9">
            <v>245.62584500502132</v>
          </cell>
          <cell r="T9">
            <v>241.52646707621398</v>
          </cell>
          <cell r="U9">
            <v>237.88974405808352</v>
          </cell>
          <cell r="V9">
            <v>234.45833239575984</v>
          </cell>
        </row>
        <row r="10">
          <cell r="E10">
            <v>2</v>
          </cell>
          <cell r="M10">
            <v>159.76320171110262</v>
          </cell>
          <cell r="N10">
            <v>171.78339655695595</v>
          </cell>
          <cell r="O10">
            <v>184.48017425468777</v>
          </cell>
          <cell r="P10">
            <v>198.02290560060962</v>
          </cell>
          <cell r="Q10">
            <v>212.43410308749876</v>
          </cell>
          <cell r="R10">
            <v>222.96040367841221</v>
          </cell>
          <cell r="S10">
            <v>224.45830264944047</v>
          </cell>
          <cell r="T10">
            <v>220.99742742171057</v>
          </cell>
          <cell r="U10">
            <v>217.51323501526036</v>
          </cell>
          <cell r="V10">
            <v>215.03928318475718</v>
          </cell>
        </row>
        <row r="11">
          <cell r="E11">
            <v>21</v>
          </cell>
          <cell r="M11">
            <v>251.85034652698144</v>
          </cell>
          <cell r="N11">
            <v>267.29511008570523</v>
          </cell>
          <cell r="O11">
            <v>277.56753953912528</v>
          </cell>
          <cell r="P11">
            <v>293.36640441931172</v>
          </cell>
          <cell r="Q11">
            <v>306.16469314478769</v>
          </cell>
          <cell r="R11">
            <v>306.90672170740459</v>
          </cell>
          <cell r="S11">
            <v>303.22858335435785</v>
          </cell>
          <cell r="T11">
            <v>305.50812555618381</v>
          </cell>
          <cell r="U11">
            <v>305.84535550363751</v>
          </cell>
          <cell r="V11">
            <v>299.76189234734488</v>
          </cell>
        </row>
        <row r="12">
          <cell r="E12">
            <v>4</v>
          </cell>
          <cell r="M12">
            <v>232.71736836694299</v>
          </cell>
          <cell r="N12">
            <v>256.63128929092159</v>
          </cell>
          <cell r="O12">
            <v>271.78168126564645</v>
          </cell>
          <cell r="P12">
            <v>285.88802129977563</v>
          </cell>
          <cell r="Q12">
            <v>294.44789193023723</v>
          </cell>
          <cell r="R12">
            <v>294.63442312212385</v>
          </cell>
          <cell r="S12">
            <v>287.20534001217021</v>
          </cell>
          <cell r="T12">
            <v>280.00917293652259</v>
          </cell>
          <cell r="U12">
            <v>277.23675331709103</v>
          </cell>
          <cell r="V12">
            <v>273.85240642561928</v>
          </cell>
        </row>
        <row r="13">
          <cell r="E13">
            <v>4</v>
          </cell>
          <cell r="M13">
            <v>191.27810703951857</v>
          </cell>
          <cell r="N13">
            <v>209.7955961005909</v>
          </cell>
          <cell r="O13">
            <v>225.50605157093187</v>
          </cell>
          <cell r="P13">
            <v>238.78694185372856</v>
          </cell>
          <cell r="Q13">
            <v>253.10394534086683</v>
          </cell>
          <cell r="R13">
            <v>261.84644017384329</v>
          </cell>
          <cell r="S13">
            <v>262.29409715246123</v>
          </cell>
          <cell r="T13">
            <v>257.56461478232768</v>
          </cell>
          <cell r="U13">
            <v>253.75415445501673</v>
          </cell>
          <cell r="V13">
            <v>249.81068390784162</v>
          </cell>
        </row>
        <row r="14">
          <cell r="E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E15">
            <v>19</v>
          </cell>
          <cell r="M15">
            <v>240.06189083625137</v>
          </cell>
          <cell r="N15">
            <v>254.61012405201146</v>
          </cell>
          <cell r="O15">
            <v>264.32388937322531</v>
          </cell>
          <cell r="P15">
            <v>279.37326103308078</v>
          </cell>
          <cell r="Q15">
            <v>291.57066144690771</v>
          </cell>
          <cell r="R15">
            <v>292.84306745550725</v>
          </cell>
          <cell r="S15">
            <v>289.2844052117228</v>
          </cell>
          <cell r="T15">
            <v>291.26681245069125</v>
          </cell>
          <cell r="U15">
            <v>290.75518605854302</v>
          </cell>
          <cell r="V15">
            <v>285.13112580048585</v>
          </cell>
        </row>
        <row r="16">
          <cell r="E16">
            <v>5</v>
          </cell>
          <cell r="M16">
            <v>221.88742047112186</v>
          </cell>
          <cell r="N16">
            <v>243.3730820028332</v>
          </cell>
          <cell r="O16">
            <v>257.19757818631371</v>
          </cell>
          <cell r="P16">
            <v>270.3239271822186</v>
          </cell>
          <cell r="Q16">
            <v>280.22070137493807</v>
          </cell>
          <cell r="R16">
            <v>280.96376126630878</v>
          </cell>
          <cell r="S16">
            <v>275.07437297270678</v>
          </cell>
          <cell r="T16">
            <v>269.0605827274681</v>
          </cell>
          <cell r="U16">
            <v>265.14104690869038</v>
          </cell>
          <cell r="V16">
            <v>261.44859886918459</v>
          </cell>
        </row>
        <row r="17">
          <cell r="E17">
            <v>4</v>
          </cell>
          <cell r="M17">
            <v>181.2490566169553</v>
          </cell>
          <cell r="N17">
            <v>199.17450891175153</v>
          </cell>
          <cell r="O17">
            <v>213.00406193299267</v>
          </cell>
          <cell r="P17">
            <v>225.06614203371862</v>
          </cell>
          <cell r="Q17">
            <v>237.70525473078612</v>
          </cell>
          <cell r="R17">
            <v>245.77423782593527</v>
          </cell>
          <cell r="S17">
            <v>246.28254774759495</v>
          </cell>
          <cell r="T17">
            <v>242.21666097249252</v>
          </cell>
          <cell r="U17">
            <v>239.29577991551622</v>
          </cell>
          <cell r="V17">
            <v>236.04248455099309</v>
          </cell>
        </row>
        <row r="18">
          <cell r="E18">
            <v>3</v>
          </cell>
          <cell r="M18">
            <v>188.48768491131582</v>
          </cell>
          <cell r="N18">
            <v>206.01761015327398</v>
          </cell>
          <cell r="O18">
            <v>221.76140083043171</v>
          </cell>
          <cell r="P18">
            <v>236.45791458534629</v>
          </cell>
          <cell r="Q18">
            <v>253.01582911117114</v>
          </cell>
          <cell r="R18">
            <v>261.59295786392443</v>
          </cell>
          <cell r="S18">
            <v>258.87671863078168</v>
          </cell>
          <cell r="T18">
            <v>253.13192429189763</v>
          </cell>
          <cell r="U18">
            <v>249.61290374708787</v>
          </cell>
          <cell r="V18">
            <v>247.49687497645363</v>
          </cell>
        </row>
        <row r="19">
          <cell r="E19">
            <v>21</v>
          </cell>
          <cell r="M19">
            <v>244.02693819487465</v>
          </cell>
          <cell r="N19">
            <v>259.68733263481886</v>
          </cell>
          <cell r="O19">
            <v>270.47583400634613</v>
          </cell>
          <cell r="P19">
            <v>285.87997028176198</v>
          </cell>
          <cell r="Q19">
            <v>299.05325305313266</v>
          </cell>
          <cell r="R19">
            <v>301.4512837005957</v>
          </cell>
          <cell r="S19">
            <v>297.63158715892092</v>
          </cell>
          <cell r="T19">
            <v>299.42029588702218</v>
          </cell>
          <cell r="U19">
            <v>299.16350958236586</v>
          </cell>
          <cell r="V19">
            <v>292.84421106602053</v>
          </cell>
        </row>
        <row r="20">
          <cell r="E20">
            <v>4</v>
          </cell>
          <cell r="M20">
            <v>218.33836455564912</v>
          </cell>
          <cell r="N20">
            <v>239.78887565876536</v>
          </cell>
          <cell r="O20">
            <v>254.52008447736156</v>
          </cell>
          <cell r="P20">
            <v>267.54037919284667</v>
          </cell>
          <cell r="Q20">
            <v>277.22693698030326</v>
          </cell>
          <cell r="R20">
            <v>279.59837140581055</v>
          </cell>
          <cell r="S20">
            <v>275.27103863303302</v>
          </cell>
          <cell r="T20">
            <v>269.92868291307116</v>
          </cell>
          <cell r="U20">
            <v>268.31112693439024</v>
          </cell>
          <cell r="V20">
            <v>266.03190910209179</v>
          </cell>
        </row>
        <row r="21">
          <cell r="E21">
            <v>5</v>
          </cell>
          <cell r="M21">
            <v>188.34249004125545</v>
          </cell>
          <cell r="N21">
            <v>206.93036728977546</v>
          </cell>
          <cell r="O21">
            <v>222.41573733888876</v>
          </cell>
          <cell r="P21">
            <v>233.75195745036402</v>
          </cell>
          <cell r="Q21">
            <v>244.76424884430116</v>
          </cell>
          <cell r="R21">
            <v>252.5283869624414</v>
          </cell>
          <cell r="S21">
            <v>253.72943375430287</v>
          </cell>
          <cell r="T21">
            <v>251.16927032543165</v>
          </cell>
          <cell r="U21">
            <v>248.26942754331637</v>
          </cell>
          <cell r="V21">
            <v>244.96002248842706</v>
          </cell>
        </row>
        <row r="22">
          <cell r="E22">
            <v>0</v>
          </cell>
          <cell r="M22">
            <v>189.8663406537683</v>
          </cell>
          <cell r="N22">
            <v>206.41756817702813</v>
          </cell>
          <cell r="O22">
            <v>216.27426194019415</v>
          </cell>
          <cell r="P22">
            <v>221.99370763222794</v>
          </cell>
          <cell r="Q22">
            <v>235.03692030239961</v>
          </cell>
          <cell r="R22">
            <v>246.61148755847316</v>
          </cell>
          <cell r="S22">
            <v>245.55176399526158</v>
          </cell>
          <cell r="T22">
            <v>240.83698221845361</v>
          </cell>
          <cell r="U22">
            <v>237.81493321688708</v>
          </cell>
          <cell r="V22">
            <v>237.54844493649432</v>
          </cell>
        </row>
        <row r="23">
          <cell r="E23">
            <v>21</v>
          </cell>
          <cell r="M23">
            <v>237.85083426983738</v>
          </cell>
          <cell r="N23">
            <v>252.47753372185272</v>
          </cell>
          <cell r="O23">
            <v>263.17918931100002</v>
          </cell>
          <cell r="P23">
            <v>278.42021761713352</v>
          </cell>
          <cell r="Q23">
            <v>290.90473080713764</v>
          </cell>
          <cell r="R23">
            <v>291.86662784774973</v>
          </cell>
          <cell r="S23">
            <v>287.50173058854807</v>
          </cell>
          <cell r="T23">
            <v>288.58031956664536</v>
          </cell>
          <cell r="U23">
            <v>288.59035214978479</v>
          </cell>
          <cell r="V23">
            <v>282.63753089994788</v>
          </cell>
        </row>
        <row r="24">
          <cell r="E24">
            <v>4</v>
          </cell>
          <cell r="M24">
            <v>218.32887882626429</v>
          </cell>
          <cell r="N24">
            <v>240.17944983843486</v>
          </cell>
          <cell r="O24">
            <v>254.61231978419698</v>
          </cell>
          <cell r="P24">
            <v>267.81480828878551</v>
          </cell>
          <cell r="Q24">
            <v>277.02828975485119</v>
          </cell>
          <cell r="R24">
            <v>277.18994014055204</v>
          </cell>
          <cell r="S24">
            <v>270.68270275174291</v>
          </cell>
          <cell r="T24">
            <v>264.54111715058065</v>
          </cell>
          <cell r="U24">
            <v>261.92434084271736</v>
          </cell>
          <cell r="V24">
            <v>258.7599871867514</v>
          </cell>
        </row>
        <row r="25">
          <cell r="E25">
            <v>4</v>
          </cell>
          <cell r="M25">
            <v>179.99206231949137</v>
          </cell>
          <cell r="N25">
            <v>198.9346376462328</v>
          </cell>
          <cell r="O25">
            <v>214.73174552481242</v>
          </cell>
          <cell r="P25">
            <v>227.30233515921492</v>
          </cell>
          <cell r="Q25">
            <v>239.99113877273123</v>
          </cell>
          <cell r="R25">
            <v>246.00982575025873</v>
          </cell>
          <cell r="S25">
            <v>244.66222631076377</v>
          </cell>
          <cell r="T25">
            <v>238.35647230147964</v>
          </cell>
          <cell r="U25">
            <v>236.24045808588824</v>
          </cell>
          <cell r="V25">
            <v>233.24012520832338</v>
          </cell>
        </row>
        <row r="26">
          <cell r="E26">
            <v>2</v>
          </cell>
          <cell r="M26">
            <v>187.96085057863252</v>
          </cell>
          <cell r="N26">
            <v>205.92887845319297</v>
          </cell>
          <cell r="O26">
            <v>220.63074846389347</v>
          </cell>
          <cell r="P26">
            <v>236.63188477521311</v>
          </cell>
          <cell r="Q26">
            <v>249.9842923009279</v>
          </cell>
          <cell r="R26">
            <v>260.41423434928254</v>
          </cell>
          <cell r="S26">
            <v>256.61307677367432</v>
          </cell>
          <cell r="T26">
            <v>249.71703468255345</v>
          </cell>
          <cell r="U26">
            <v>242.84502296725478</v>
          </cell>
          <cell r="V26">
            <v>240.46862527211974</v>
          </cell>
        </row>
        <row r="27">
          <cell r="E27">
            <v>19</v>
          </cell>
          <cell r="M27">
            <v>245.85224869727708</v>
          </cell>
          <cell r="N27">
            <v>263.17753627398537</v>
          </cell>
          <cell r="O27">
            <v>274.94673564296335</v>
          </cell>
          <cell r="P27">
            <v>290.29596821728154</v>
          </cell>
          <cell r="Q27">
            <v>304.32296455399796</v>
          </cell>
          <cell r="R27">
            <v>307.63730376842915</v>
          </cell>
          <cell r="S27">
            <v>303.74866622642901</v>
          </cell>
          <cell r="T27">
            <v>305.11813565752198</v>
          </cell>
          <cell r="U27">
            <v>305.00034377465204</v>
          </cell>
          <cell r="V27">
            <v>298.64227062403035</v>
          </cell>
        </row>
        <row r="28">
          <cell r="E28">
            <v>5</v>
          </cell>
          <cell r="M28">
            <v>225.7411716545908</v>
          </cell>
          <cell r="N28">
            <v>247.95173462201348</v>
          </cell>
          <cell r="O28">
            <v>262.70069227577613</v>
          </cell>
          <cell r="P28">
            <v>276.96295632587231</v>
          </cell>
          <cell r="Q28">
            <v>287.01228400248232</v>
          </cell>
          <cell r="R28">
            <v>288.28115105636613</v>
          </cell>
          <cell r="S28">
            <v>281.55365636198724</v>
          </cell>
          <cell r="T28">
            <v>275.76258946244326</v>
          </cell>
          <cell r="U28">
            <v>273.89666831106769</v>
          </cell>
          <cell r="V28">
            <v>269.86491103226581</v>
          </cell>
        </row>
        <row r="29">
          <cell r="E29">
            <v>4</v>
          </cell>
          <cell r="M29">
            <v>187.9114091772048</v>
          </cell>
          <cell r="N29">
            <v>205.37367426261247</v>
          </cell>
          <cell r="O29">
            <v>220.50017725336039</v>
          </cell>
          <cell r="P29">
            <v>231.62985506825819</v>
          </cell>
          <cell r="Q29">
            <v>244.76142932456295</v>
          </cell>
          <cell r="R29">
            <v>253.11297570533821</v>
          </cell>
          <cell r="S29">
            <v>253.53693915341242</v>
          </cell>
          <cell r="T29">
            <v>249.19992311852505</v>
          </cell>
          <cell r="U29">
            <v>246.64090745875075</v>
          </cell>
          <cell r="V29">
            <v>243.39330935387571</v>
          </cell>
        </row>
        <row r="30">
          <cell r="E30">
            <v>2</v>
          </cell>
          <cell r="M30">
            <v>185.60591117531069</v>
          </cell>
          <cell r="N30">
            <v>203.46944007974946</v>
          </cell>
          <cell r="O30">
            <v>219.30238039464851</v>
          </cell>
          <cell r="P30">
            <v>235.46300878673671</v>
          </cell>
          <cell r="Q30">
            <v>252.12560110178165</v>
          </cell>
          <cell r="R30">
            <v>261.8688736535305</v>
          </cell>
          <cell r="S30">
            <v>259.95148171188902</v>
          </cell>
          <cell r="T30">
            <v>253.23873543454803</v>
          </cell>
          <cell r="U30">
            <v>249.88046494207137</v>
          </cell>
          <cell r="V30">
            <v>246.91866965951289</v>
          </cell>
        </row>
        <row r="31">
          <cell r="E31">
            <v>20</v>
          </cell>
          <cell r="M31">
            <v>249.08124129874662</v>
          </cell>
          <cell r="N31">
            <v>266.25315407128664</v>
          </cell>
          <cell r="O31">
            <v>278.56828606852002</v>
          </cell>
          <cell r="P31">
            <v>294.84092383286446</v>
          </cell>
          <cell r="Q31">
            <v>307.87251118234548</v>
          </cell>
          <cell r="R31">
            <v>309.49301351756691</v>
          </cell>
          <cell r="S31">
            <v>305.21840118945255</v>
          </cell>
          <cell r="T31">
            <v>307.51990903030116</v>
          </cell>
          <cell r="U31">
            <v>307.08781970970705</v>
          </cell>
          <cell r="V31">
            <v>299.86433073925076</v>
          </cell>
        </row>
        <row r="32">
          <cell r="E32">
            <v>4</v>
          </cell>
          <cell r="M32">
            <v>227.08417793840596</v>
          </cell>
          <cell r="N32">
            <v>250.15935411901202</v>
          </cell>
          <cell r="O32">
            <v>265.27267232018755</v>
          </cell>
          <cell r="P32">
            <v>280.03353599903954</v>
          </cell>
          <cell r="Q32">
            <v>290.63575985228499</v>
          </cell>
          <cell r="R32">
            <v>290.80040233894704</v>
          </cell>
          <cell r="S32">
            <v>283.56554587998858</v>
          </cell>
          <cell r="T32">
            <v>277.14436414265936</v>
          </cell>
          <cell r="U32">
            <v>274.36019444502654</v>
          </cell>
          <cell r="V32">
            <v>270.91376197843368</v>
          </cell>
        </row>
        <row r="33">
          <cell r="E33">
            <v>5</v>
          </cell>
          <cell r="M33">
            <v>191.46837679813771</v>
          </cell>
          <cell r="N33">
            <v>209.81465904820169</v>
          </cell>
          <cell r="O33">
            <v>225.65550275139358</v>
          </cell>
          <cell r="P33">
            <v>239.18409699207916</v>
          </cell>
          <cell r="Q33">
            <v>252.89304692787957</v>
          </cell>
          <cell r="R33">
            <v>260.63998930248346</v>
          </cell>
          <cell r="S33">
            <v>260.89422847463294</v>
          </cell>
          <cell r="T33">
            <v>256.39627317185477</v>
          </cell>
          <cell r="U33">
            <v>253.05970632762867</v>
          </cell>
          <cell r="V33">
            <v>249.90090438088183</v>
          </cell>
        </row>
        <row r="34">
          <cell r="E34">
            <v>2</v>
          </cell>
          <cell r="M34">
            <v>195.18202529726824</v>
          </cell>
          <cell r="N34">
            <v>214.7488892860527</v>
          </cell>
          <cell r="O34">
            <v>231.27723004400363</v>
          </cell>
          <cell r="P34">
            <v>246.46095098766972</v>
          </cell>
          <cell r="Q34">
            <v>260.84719073457495</v>
          </cell>
          <cell r="R34">
            <v>268.07827743742325</v>
          </cell>
          <cell r="S34">
            <v>266.07374861254385</v>
          </cell>
          <cell r="T34">
            <v>261.06516289840994</v>
          </cell>
          <cell r="U34">
            <v>258.97570747752104</v>
          </cell>
          <cell r="V34">
            <v>253.20593668502661</v>
          </cell>
        </row>
        <row r="35">
          <cell r="E35">
            <v>21</v>
          </cell>
          <cell r="M35">
            <v>250.50076968094444</v>
          </cell>
          <cell r="N35">
            <v>266.39288040380166</v>
          </cell>
          <cell r="O35">
            <v>278.37948221064977</v>
          </cell>
          <cell r="P35">
            <v>294.39740048642909</v>
          </cell>
          <cell r="Q35">
            <v>307.14999469437737</v>
          </cell>
          <cell r="R35">
            <v>308.3100316132319</v>
          </cell>
          <cell r="S35">
            <v>304.71111427937933</v>
          </cell>
          <cell r="T35">
            <v>306.94859448652602</v>
          </cell>
          <cell r="U35">
            <v>306.51749698814064</v>
          </cell>
          <cell r="V35">
            <v>299.37698839652944</v>
          </cell>
        </row>
        <row r="36">
          <cell r="E36">
            <v>4</v>
          </cell>
          <cell r="M36">
            <v>230.53164173375262</v>
          </cell>
          <cell r="N36">
            <v>252.56018349329483</v>
          </cell>
          <cell r="O36">
            <v>267.58884956498406</v>
          </cell>
          <cell r="P36">
            <v>281.40311355330834</v>
          </cell>
          <cell r="Q36">
            <v>290.96884992968057</v>
          </cell>
          <cell r="R36">
            <v>291.15373848101171</v>
          </cell>
          <cell r="S36">
            <v>284.48520210682301</v>
          </cell>
          <cell r="T36">
            <v>277.64579784619627</v>
          </cell>
          <cell r="U36">
            <v>273.94009847977912</v>
          </cell>
          <cell r="V36">
            <v>270.55706985933546</v>
          </cell>
        </row>
        <row r="37">
          <cell r="E37">
            <v>4</v>
          </cell>
          <cell r="M37">
            <v>190.21528325217002</v>
          </cell>
          <cell r="N37">
            <v>208.44468226989926</v>
          </cell>
          <cell r="O37">
            <v>223.92933496332694</v>
          </cell>
          <cell r="P37">
            <v>236.02014879802246</v>
          </cell>
          <cell r="Q37">
            <v>248.5464037717621</v>
          </cell>
          <cell r="R37">
            <v>256.27800305186111</v>
          </cell>
          <cell r="S37">
            <v>256.68123180168328</v>
          </cell>
          <cell r="T37">
            <v>250.49219468138654</v>
          </cell>
          <cell r="U37">
            <v>247.36267540165559</v>
          </cell>
          <cell r="V37">
            <v>242.96827714979455</v>
          </cell>
        </row>
        <row r="38">
          <cell r="E38">
            <v>2</v>
          </cell>
          <cell r="M38">
            <v>197.95546376970256</v>
          </cell>
          <cell r="N38">
            <v>216.35816968320088</v>
          </cell>
          <cell r="O38">
            <v>231.03575980305808</v>
          </cell>
          <cell r="P38">
            <v>246.86154111614394</v>
          </cell>
          <cell r="Q38">
            <v>262.47483959585867</v>
          </cell>
          <cell r="R38">
            <v>271.9935694215506</v>
          </cell>
          <cell r="S38">
            <v>267.51431526960272</v>
          </cell>
          <cell r="T38">
            <v>259.64646415365718</v>
          </cell>
          <cell r="U38">
            <v>255.57678059165067</v>
          </cell>
          <cell r="V38">
            <v>251.23273447104427</v>
          </cell>
        </row>
        <row r="39">
          <cell r="E39">
            <v>20</v>
          </cell>
          <cell r="M39">
            <v>259.4704604163685</v>
          </cell>
          <cell r="N39">
            <v>275.81270455442791</v>
          </cell>
          <cell r="O39">
            <v>287.85803180077994</v>
          </cell>
          <cell r="P39">
            <v>304.51640939126042</v>
          </cell>
          <cell r="Q39">
            <v>318.3350939540415</v>
          </cell>
          <cell r="R39">
            <v>320.49630573641036</v>
          </cell>
          <cell r="S39">
            <v>316.74382230354001</v>
          </cell>
          <cell r="T39">
            <v>318.32444174193307</v>
          </cell>
          <cell r="U39">
            <v>318.36834183060091</v>
          </cell>
          <cell r="V39">
            <v>311.59047837063258</v>
          </cell>
        </row>
        <row r="40">
          <cell r="E40">
            <v>5</v>
          </cell>
          <cell r="M40">
            <v>239.4986418655327</v>
          </cell>
          <cell r="N40">
            <v>262.8333510953189</v>
          </cell>
          <cell r="O40">
            <v>278.85058528408217</v>
          </cell>
          <cell r="P40">
            <v>293.75342300993083</v>
          </cell>
          <cell r="Q40">
            <v>304.05156914485718</v>
          </cell>
          <cell r="R40">
            <v>304.48230276717015</v>
          </cell>
          <cell r="S40">
            <v>295.93153111781066</v>
          </cell>
          <cell r="T40">
            <v>286.8344234575784</v>
          </cell>
          <cell r="U40">
            <v>282.46476046147404</v>
          </cell>
          <cell r="V40">
            <v>277.80582430496827</v>
          </cell>
        </row>
        <row r="41">
          <cell r="E41">
            <v>5</v>
          </cell>
          <cell r="M41">
            <v>195.89643254705115</v>
          </cell>
          <cell r="N41">
            <v>214.49526350499676</v>
          </cell>
          <cell r="O41">
            <v>230.12381774895888</v>
          </cell>
          <cell r="P41">
            <v>243.91808102905142</v>
          </cell>
          <cell r="Q41">
            <v>257.08989582038146</v>
          </cell>
          <cell r="R41">
            <v>265.17127149491103</v>
          </cell>
          <cell r="S41">
            <v>264.2581775131311</v>
          </cell>
          <cell r="T41">
            <v>258.6210468265528</v>
          </cell>
          <cell r="U41">
            <v>255.97472170231768</v>
          </cell>
          <cell r="V41">
            <v>253.09812956158373</v>
          </cell>
        </row>
        <row r="42">
          <cell r="E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E43">
            <v>22</v>
          </cell>
          <cell r="M43">
            <v>250.14475956957051</v>
          </cell>
          <cell r="N43">
            <v>266.65466948463069</v>
          </cell>
          <cell r="O43">
            <v>278.04492207392161</v>
          </cell>
          <cell r="P43">
            <v>293.28666149786523</v>
          </cell>
          <cell r="Q43">
            <v>306.81724562084395</v>
          </cell>
          <cell r="R43">
            <v>309.57768436067983</v>
          </cell>
          <cell r="S43">
            <v>305.57215734846937</v>
          </cell>
          <cell r="T43">
            <v>307.05075633261686</v>
          </cell>
          <cell r="U43">
            <v>306.5771622675573</v>
          </cell>
          <cell r="V43">
            <v>300.06548143208101</v>
          </cell>
        </row>
        <row r="44">
          <cell r="E44">
            <v>4</v>
          </cell>
          <cell r="M44">
            <v>231.65778203699296</v>
          </cell>
          <cell r="N44">
            <v>253.90607375489537</v>
          </cell>
          <cell r="O44">
            <v>269.20589403787159</v>
          </cell>
          <cell r="P44">
            <v>283.88590029484971</v>
          </cell>
          <cell r="Q44">
            <v>294.00675976942063</v>
          </cell>
          <cell r="R44">
            <v>295.02343367432792</v>
          </cell>
          <cell r="S44">
            <v>288.20563533523517</v>
          </cell>
          <cell r="T44">
            <v>281.19533407808461</v>
          </cell>
          <cell r="U44">
            <v>278.34546083752497</v>
          </cell>
          <cell r="V44">
            <v>275.13710520759088</v>
          </cell>
        </row>
        <row r="45">
          <cell r="E45">
            <v>4</v>
          </cell>
          <cell r="M45">
            <v>195.40258410015508</v>
          </cell>
          <cell r="N45">
            <v>213.62725896681846</v>
          </cell>
          <cell r="O45">
            <v>228.68236947215885</v>
          </cell>
          <cell r="P45">
            <v>241.83354937124525</v>
          </cell>
          <cell r="Q45">
            <v>255.60229350255645</v>
          </cell>
          <cell r="R45">
            <v>262.99721176824823</v>
          </cell>
          <cell r="S45">
            <v>261.34129493436762</v>
          </cell>
          <cell r="T45">
            <v>255.76407488364339</v>
          </cell>
          <cell r="U45">
            <v>252.37970511996136</v>
          </cell>
          <cell r="V45">
            <v>248.12799411219879</v>
          </cell>
        </row>
        <row r="46">
          <cell r="E46">
            <v>1</v>
          </cell>
          <cell r="M46">
            <v>193.28637858971422</v>
          </cell>
          <cell r="N46">
            <v>211.50518153621476</v>
          </cell>
          <cell r="O46">
            <v>225.13493956290685</v>
          </cell>
          <cell r="P46">
            <v>239.47550766449461</v>
          </cell>
          <cell r="Q46">
            <v>257.1070541366646</v>
          </cell>
          <cell r="R46">
            <v>268.3210306014355</v>
          </cell>
          <cell r="S46">
            <v>268.00128541908418</v>
          </cell>
          <cell r="T46">
            <v>260.34034463437234</v>
          </cell>
          <cell r="U46">
            <v>258.03734802056454</v>
          </cell>
          <cell r="V46">
            <v>256.04691887366823</v>
          </cell>
        </row>
        <row r="47">
          <cell r="E47">
            <v>20</v>
          </cell>
          <cell r="M47">
            <v>262.34072943060988</v>
          </cell>
          <cell r="N47">
            <v>279.06504968257912</v>
          </cell>
          <cell r="O47">
            <v>290.33181105006014</v>
          </cell>
          <cell r="P47">
            <v>305.59625634092231</v>
          </cell>
          <cell r="Q47">
            <v>319.58215963295817</v>
          </cell>
          <cell r="R47">
            <v>322.87841316694448</v>
          </cell>
          <cell r="S47">
            <v>318.15777194572479</v>
          </cell>
          <cell r="T47">
            <v>318.62494099899146</v>
          </cell>
          <cell r="U47">
            <v>318.13772341378069</v>
          </cell>
          <cell r="V47">
            <v>312.62953169363919</v>
          </cell>
        </row>
        <row r="48">
          <cell r="E48">
            <v>4</v>
          </cell>
          <cell r="M48">
            <v>241.89184647662958</v>
          </cell>
          <cell r="N48">
            <v>265.43049472960661</v>
          </cell>
          <cell r="O48">
            <v>279.89460811459207</v>
          </cell>
          <cell r="P48">
            <v>293.16689428774504</v>
          </cell>
          <cell r="Q48">
            <v>302.61118754477229</v>
          </cell>
          <cell r="R48">
            <v>303.63694587573883</v>
          </cell>
          <cell r="S48">
            <v>296.37279011542967</v>
          </cell>
          <cell r="T48">
            <v>289.05190711507709</v>
          </cell>
          <cell r="U48">
            <v>285.27166513611121</v>
          </cell>
          <cell r="V48">
            <v>281.78582593052187</v>
          </cell>
        </row>
        <row r="49">
          <cell r="E49">
            <v>4</v>
          </cell>
          <cell r="M49">
            <v>199.73876425972185</v>
          </cell>
          <cell r="N49">
            <v>219.05612986175746</v>
          </cell>
          <cell r="O49">
            <v>235.36298861124351</v>
          </cell>
          <cell r="P49">
            <v>248.00099096646727</v>
          </cell>
          <cell r="Q49">
            <v>260.63639836547173</v>
          </cell>
          <cell r="R49">
            <v>269.02257951046522</v>
          </cell>
          <cell r="S49">
            <v>269.95278398481594</v>
          </cell>
          <cell r="T49">
            <v>264.71478584313041</v>
          </cell>
          <cell r="U49">
            <v>259.9205834351115</v>
          </cell>
          <cell r="V49">
            <v>255.41990426001985</v>
          </cell>
        </row>
        <row r="50">
          <cell r="E50">
            <v>2</v>
          </cell>
          <cell r="M50">
            <v>195.74119053880844</v>
          </cell>
          <cell r="N50">
            <v>215.39165245611514</v>
          </cell>
          <cell r="O50">
            <v>231.26278312428286</v>
          </cell>
          <cell r="P50">
            <v>247.92092367549336</v>
          </cell>
          <cell r="Q50">
            <v>263.9157930012002</v>
          </cell>
          <cell r="R50">
            <v>274.37400718073542</v>
          </cell>
          <cell r="S50">
            <v>273.8678555640081</v>
          </cell>
          <cell r="T50">
            <v>266.4911123883104</v>
          </cell>
          <cell r="U50">
            <v>261.23200527584117</v>
          </cell>
          <cell r="V50">
            <v>258.89236114331175</v>
          </cell>
        </row>
        <row r="51">
          <cell r="E51">
            <v>20</v>
          </cell>
          <cell r="M51">
            <v>244.72577570734194</v>
          </cell>
          <cell r="N51">
            <v>265.26211159692014</v>
          </cell>
          <cell r="O51">
            <v>277.74897646599806</v>
          </cell>
          <cell r="P51">
            <v>291.94362818325607</v>
          </cell>
          <cell r="Q51">
            <v>305.42317608796407</v>
          </cell>
          <cell r="R51">
            <v>310.87447838329848</v>
          </cell>
          <cell r="S51">
            <v>307.22251207667165</v>
          </cell>
          <cell r="T51">
            <v>307.30881932246444</v>
          </cell>
          <cell r="U51">
            <v>306.26277334099194</v>
          </cell>
          <cell r="V51">
            <v>300.20002201074107</v>
          </cell>
        </row>
        <row r="52">
          <cell r="E52">
            <v>4</v>
          </cell>
          <cell r="M52">
            <v>231.18707402901063</v>
          </cell>
          <cell r="N52">
            <v>253.86939088821239</v>
          </cell>
          <cell r="O52">
            <v>269.07810491982372</v>
          </cell>
          <cell r="P52">
            <v>281.34143551938826</v>
          </cell>
          <cell r="Q52">
            <v>290.15411684850369</v>
          </cell>
          <cell r="R52">
            <v>291.87686628078148</v>
          </cell>
          <cell r="S52">
            <v>286.46961378312756</v>
          </cell>
          <cell r="T52">
            <v>280.38776623659646</v>
          </cell>
          <cell r="U52">
            <v>276.05752245523962</v>
          </cell>
          <cell r="V52">
            <v>271.66684197719269</v>
          </cell>
        </row>
        <row r="53">
          <cell r="E53">
            <v>5</v>
          </cell>
          <cell r="M53">
            <v>196.36468283207586</v>
          </cell>
          <cell r="N53">
            <v>215.19741332936891</v>
          </cell>
          <cell r="O53">
            <v>230.95943939598416</v>
          </cell>
          <cell r="P53">
            <v>243.87591714907194</v>
          </cell>
          <cell r="Q53">
            <v>255.82851421713005</v>
          </cell>
          <cell r="R53">
            <v>263.14955524366263</v>
          </cell>
          <cell r="S53">
            <v>263.68610610712528</v>
          </cell>
          <cell r="T53">
            <v>259.07007613778666</v>
          </cell>
          <cell r="U53">
            <v>256.52499589193997</v>
          </cell>
          <cell r="V53">
            <v>253.18408956563889</v>
          </cell>
        </row>
        <row r="54">
          <cell r="E54">
            <v>2</v>
          </cell>
          <cell r="M54">
            <v>179.26198760567624</v>
          </cell>
          <cell r="N54">
            <v>193.41688118361645</v>
          </cell>
          <cell r="O54">
            <v>207.63004483614705</v>
          </cell>
          <cell r="P54">
            <v>221.29227932212507</v>
          </cell>
          <cell r="Q54">
            <v>234.29702925179666</v>
          </cell>
          <cell r="R54">
            <v>244.10148496600706</v>
          </cell>
          <cell r="S54">
            <v>245.50394444147091</v>
          </cell>
          <cell r="T54">
            <v>241.7587260542978</v>
          </cell>
          <cell r="U54">
            <v>240.78147136413804</v>
          </cell>
          <cell r="V54">
            <v>239.16603002526091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FA2D-742E-4BC4-8FC7-7973C2994D27}">
  <sheetPr codeName="Hoja1"/>
  <dimension ref="C1:BD57"/>
  <sheetViews>
    <sheetView showGridLines="0" topLeftCell="A46" zoomScale="69" zoomScaleNormal="69" workbookViewId="0">
      <selection activeCell="Q13" sqref="Q13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08984375" style="1" bestFit="1" customWidth="1"/>
    <col min="5" max="5" width="5.54296875" style="1" bestFit="1" customWidth="1"/>
    <col min="6" max="13" width="3.6328125" style="1" bestFit="1" customWidth="1"/>
    <col min="14" max="22" width="11.54296875" style="1" customWidth="1"/>
    <col min="23" max="24" width="4.36328125" style="1" bestFit="1" customWidth="1"/>
    <col min="25" max="25" width="5.08984375" style="1" customWidth="1"/>
    <col min="26" max="26" width="5.1796875" style="1" customWidth="1"/>
    <col min="27" max="27" width="4.36328125" style="1" bestFit="1" customWidth="1"/>
    <col min="28" max="28" width="5.36328125" style="1" customWidth="1"/>
    <col min="29" max="29" width="6.36328125" style="1" customWidth="1"/>
    <col min="30" max="30" width="13.8164062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+[1]Resumen!F7*1000</f>
        <v>0</v>
      </c>
      <c r="G7" s="7">
        <f>+[1]Resumen!G7*1000</f>
        <v>0</v>
      </c>
      <c r="H7" s="7">
        <f>+[1]Resumen!H7*1000</f>
        <v>0</v>
      </c>
      <c r="I7" s="7">
        <f>+[1]Resumen!I7*1000</f>
        <v>0</v>
      </c>
      <c r="J7" s="7">
        <f>+[1]Resumen!J7*1000</f>
        <v>0</v>
      </c>
      <c r="K7" s="7">
        <f>+[1]Resumen!K7*1000</f>
        <v>0</v>
      </c>
      <c r="L7" s="7">
        <f>+[1]Resumen!L7*1000</f>
        <v>0</v>
      </c>
      <c r="M7" s="7">
        <f>+[1]Resumen!M7*1000</f>
        <v>0</v>
      </c>
      <c r="N7" s="7">
        <f>+[1]Resumen!N7*1000</f>
        <v>217870.4992563398</v>
      </c>
      <c r="O7" s="7">
        <f>+[1]Resumen!O7*1000</f>
        <v>233647.59460627838</v>
      </c>
      <c r="P7" s="7">
        <f>+[1]Resumen!P7*1000</f>
        <v>260472.8310665614</v>
      </c>
      <c r="Q7" s="7">
        <f>+[1]Resumen!Q7*1000</f>
        <v>284426.04358736018</v>
      </c>
      <c r="R7" s="7">
        <f>+[1]Resumen!R7*1000</f>
        <v>295387.71705201973</v>
      </c>
      <c r="S7" s="7">
        <f>+[1]Resumen!S7*1000</f>
        <v>295195.85898010829</v>
      </c>
      <c r="T7" s="7">
        <f>+[1]Resumen!T7*1000</f>
        <v>303503.21509541501</v>
      </c>
      <c r="U7" s="7">
        <f>+[1]Resumen!U7*1000</f>
        <v>305253.62906385603</v>
      </c>
      <c r="V7" s="7">
        <f>+[1]Resumen!V7*1000</f>
        <v>294062.9994160331</v>
      </c>
      <c r="W7" s="7">
        <f>+[1]Resumen!W7*1000</f>
        <v>0</v>
      </c>
      <c r="X7" s="7">
        <f>+[1]Resumen!X7*1000</f>
        <v>0</v>
      </c>
      <c r="Y7" s="7">
        <f>+[1]Resumen!Y7*1000</f>
        <v>0</v>
      </c>
      <c r="Z7" s="7">
        <f>+[1]Resumen!Z7*1000</f>
        <v>0</v>
      </c>
      <c r="AA7" s="7">
        <f>+[1]Resumen!AA7*1000</f>
        <v>0</v>
      </c>
      <c r="AB7" s="7">
        <f>+[1]Resumen!AB7*1000</f>
        <v>0</v>
      </c>
      <c r="AC7" s="7">
        <f>+[1]Resumen!AC7*1000</f>
        <v>0</v>
      </c>
      <c r="AD7" s="60">
        <f>SUM(F7:AC7)*E7+SUM(F8:AC8)*E8+SUM(F9:AC9)*E9+SUM(F10:AC10)*E10</f>
        <v>69124564.124823257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+[1]Resumen!F8*1000</f>
        <v>0</v>
      </c>
      <c r="G8" s="7">
        <f>+[1]Resumen!G8*1000</f>
        <v>0</v>
      </c>
      <c r="H8" s="7">
        <f>+[1]Resumen!H8*1000</f>
        <v>0</v>
      </c>
      <c r="I8" s="7">
        <f>+[1]Resumen!I8*1000</f>
        <v>0</v>
      </c>
      <c r="J8" s="7">
        <f>+[1]Resumen!J8*1000</f>
        <v>0</v>
      </c>
      <c r="K8" s="7">
        <f>+[1]Resumen!K8*1000</f>
        <v>0</v>
      </c>
      <c r="L8" s="7">
        <f>+[1]Resumen!L8*1000</f>
        <v>0</v>
      </c>
      <c r="M8" s="7">
        <f>+[1]Resumen!M8*1000</f>
        <v>0</v>
      </c>
      <c r="N8" s="7">
        <f>+[1]Resumen!N8*1000</f>
        <v>180074.69562454263</v>
      </c>
      <c r="O8" s="7">
        <f>+[1]Resumen!O8*1000</f>
        <v>206027.19452346582</v>
      </c>
      <c r="P8" s="7">
        <f>+[1]Resumen!P8*1000</f>
        <v>226557.75857519015</v>
      </c>
      <c r="Q8" s="7">
        <f>+[1]Resumen!Q8*1000</f>
        <v>246000.36682106456</v>
      </c>
      <c r="R8" s="7">
        <f>+[1]Resumen!R8*1000</f>
        <v>248774.06799285454</v>
      </c>
      <c r="S8" s="7">
        <f>+[1]Resumen!S8*1000</f>
        <v>245438.58731234507</v>
      </c>
      <c r="T8" s="7">
        <f>+[1]Resumen!T8*1000</f>
        <v>239044.750072358</v>
      </c>
      <c r="U8" s="7">
        <f>+[1]Resumen!U8*1000</f>
        <v>236737.68466872422</v>
      </c>
      <c r="V8" s="7">
        <f>+[1]Resumen!V8*1000</f>
        <v>235514.64859397797</v>
      </c>
      <c r="W8" s="7">
        <f>+[1]Resumen!W8*1000</f>
        <v>0</v>
      </c>
      <c r="X8" s="7">
        <f>+[1]Resumen!X8*1000</f>
        <v>0</v>
      </c>
      <c r="Y8" s="7">
        <f>+[1]Resumen!Y8*1000</f>
        <v>0</v>
      </c>
      <c r="Z8" s="7">
        <f>+[1]Resumen!Z8*1000</f>
        <v>0</v>
      </c>
      <c r="AA8" s="7">
        <f>+[1]Resumen!AA8*1000</f>
        <v>0</v>
      </c>
      <c r="AB8" s="7">
        <f>+[1]Resumen!AB8*1000</f>
        <v>0</v>
      </c>
      <c r="AC8" s="7">
        <f>+[1]Resumen!AC8*1000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+[1]Resumen!F9*1000</f>
        <v>0</v>
      </c>
      <c r="G9" s="7">
        <f>+[1]Resumen!G9*1000</f>
        <v>0</v>
      </c>
      <c r="H9" s="7">
        <f>+[1]Resumen!H9*1000</f>
        <v>0</v>
      </c>
      <c r="I9" s="7">
        <f>+[1]Resumen!I9*1000</f>
        <v>0</v>
      </c>
      <c r="J9" s="7">
        <f>+[1]Resumen!J9*1000</f>
        <v>0</v>
      </c>
      <c r="K9" s="7">
        <f>+[1]Resumen!K9*1000</f>
        <v>0</v>
      </c>
      <c r="L9" s="7">
        <f>+[1]Resumen!L9*1000</f>
        <v>0</v>
      </c>
      <c r="M9" s="7">
        <f>+[1]Resumen!M9*1000</f>
        <v>0</v>
      </c>
      <c r="N9" s="7">
        <f>+[1]Resumen!N9*1000</f>
        <v>118896.01207747096</v>
      </c>
      <c r="O9" s="7">
        <f>+[1]Resumen!O9*1000</f>
        <v>143187.23276569438</v>
      </c>
      <c r="P9" s="7">
        <f>+[1]Resumen!P9*1000</f>
        <v>162164.22707356175</v>
      </c>
      <c r="Q9" s="7">
        <f>+[1]Resumen!Q9*1000</f>
        <v>187642.74816547855</v>
      </c>
      <c r="R9" s="7">
        <f>+[1]Resumen!R9*1000</f>
        <v>204372.87989600535</v>
      </c>
      <c r="S9" s="7">
        <f>+[1]Resumen!S9*1000</f>
        <v>212634.14957930282</v>
      </c>
      <c r="T9" s="7">
        <f>+[1]Resumen!T9*1000</f>
        <v>209716.59742983544</v>
      </c>
      <c r="U9" s="7">
        <f>+[1]Resumen!U9*1000</f>
        <v>205827.69164821555</v>
      </c>
      <c r="V9" s="7">
        <f>+[1]Resumen!V9*1000</f>
        <v>202055.1609669266</v>
      </c>
      <c r="W9" s="7">
        <f>+[1]Resumen!W9*1000</f>
        <v>0</v>
      </c>
      <c r="X9" s="7">
        <f>+[1]Resumen!X9*1000</f>
        <v>0</v>
      </c>
      <c r="Y9" s="7">
        <f>+[1]Resumen!Y9*1000</f>
        <v>0</v>
      </c>
      <c r="Z9" s="7">
        <f>+[1]Resumen!Z9*1000</f>
        <v>0</v>
      </c>
      <c r="AA9" s="7">
        <f>+[1]Resumen!AA9*1000</f>
        <v>0</v>
      </c>
      <c r="AB9" s="7">
        <f>+[1]Resumen!AB9*1000</f>
        <v>0</v>
      </c>
      <c r="AC9" s="7">
        <f>+[1]Resumen!AC9*1000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+[1]Resumen!F10*1000</f>
        <v>0</v>
      </c>
      <c r="G10" s="7">
        <f>+[1]Resumen!G10*1000</f>
        <v>0</v>
      </c>
      <c r="H10" s="7">
        <f>+[1]Resumen!H10*1000</f>
        <v>0</v>
      </c>
      <c r="I10" s="7">
        <f>+[1]Resumen!I10*1000</f>
        <v>0</v>
      </c>
      <c r="J10" s="7">
        <f>+[1]Resumen!J10*1000</f>
        <v>0</v>
      </c>
      <c r="K10" s="7">
        <f>+[1]Resumen!K10*1000</f>
        <v>0</v>
      </c>
      <c r="L10" s="7">
        <f>+[1]Resumen!L10*1000</f>
        <v>0</v>
      </c>
      <c r="M10" s="7">
        <f>+[1]Resumen!M10*1000</f>
        <v>0</v>
      </c>
      <c r="N10" s="7">
        <f>+[1]Resumen!N10*1000</f>
        <v>70305.500135123177</v>
      </c>
      <c r="O10" s="7">
        <f>+[1]Resumen!O10*1000</f>
        <v>89155.645583629856</v>
      </c>
      <c r="P10" s="7">
        <f>+[1]Resumen!P10*1000</f>
        <v>111753.428795623</v>
      </c>
      <c r="Q10" s="7">
        <f>+[1]Resumen!Q10*1000</f>
        <v>137502.56457206546</v>
      </c>
      <c r="R10" s="7">
        <f>+[1]Resumen!R10*1000</f>
        <v>158514.42954686575</v>
      </c>
      <c r="S10" s="7">
        <f>+[1]Resumen!S10*1000</f>
        <v>165710.10068952321</v>
      </c>
      <c r="T10" s="7">
        <f>+[1]Resumen!T10*1000</f>
        <v>164176.77832084586</v>
      </c>
      <c r="U10" s="7">
        <f>+[1]Resumen!U10*1000</f>
        <v>158176.85660339359</v>
      </c>
      <c r="V10" s="7">
        <f>+[1]Resumen!V10*1000</f>
        <v>155365.09225854411</v>
      </c>
      <c r="W10" s="7">
        <f>+[1]Resumen!W10*1000</f>
        <v>0</v>
      </c>
      <c r="X10" s="7">
        <f>+[1]Resumen!X10*1000</f>
        <v>0</v>
      </c>
      <c r="Y10" s="7">
        <f>+[1]Resumen!Y10*1000</f>
        <v>0</v>
      </c>
      <c r="Z10" s="7">
        <f>+[1]Resumen!Z10*1000</f>
        <v>0</v>
      </c>
      <c r="AA10" s="7">
        <f>+[1]Resumen!AA10*1000</f>
        <v>0</v>
      </c>
      <c r="AB10" s="7">
        <f>+[1]Resumen!AB10*1000</f>
        <v>0</v>
      </c>
      <c r="AC10" s="7">
        <f>+[1]Resumen!AC10*1000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+[1]Resumen!F11*1000</f>
        <v>0</v>
      </c>
      <c r="G11" s="7">
        <f>+[1]Resumen!G11*1000</f>
        <v>0</v>
      </c>
      <c r="H11" s="7">
        <f>+[1]Resumen!H11*1000</f>
        <v>0</v>
      </c>
      <c r="I11" s="7">
        <f>+[1]Resumen!I11*1000</f>
        <v>0</v>
      </c>
      <c r="J11" s="7">
        <f>+[1]Resumen!J11*1000</f>
        <v>0</v>
      </c>
      <c r="K11" s="7">
        <f>+[1]Resumen!K11*1000</f>
        <v>0</v>
      </c>
      <c r="L11" s="7">
        <f>+[1]Resumen!L11*1000</f>
        <v>0</v>
      </c>
      <c r="M11" s="7">
        <f>+[1]Resumen!M11*1000</f>
        <v>0</v>
      </c>
      <c r="N11" s="7">
        <f>+[1]Resumen!N11*1000</f>
        <v>293839.72006703232</v>
      </c>
      <c r="O11" s="7">
        <f>+[1]Resumen!O11*1000</f>
        <v>307354.79569241643</v>
      </c>
      <c r="P11" s="7">
        <f>+[1]Resumen!P11*1000</f>
        <v>337487.21381490899</v>
      </c>
      <c r="Q11" s="7">
        <f>+[1]Resumen!Q11*1000</f>
        <v>359717.02463648992</v>
      </c>
      <c r="R11" s="7">
        <f>+[1]Resumen!R11*1000</f>
        <v>358994.70425765531</v>
      </c>
      <c r="S11" s="7">
        <f>+[1]Resumen!S11*1000</f>
        <v>356230.26578694046</v>
      </c>
      <c r="T11" s="7">
        <f>+[1]Resumen!T11*1000</f>
        <v>364402.8917047907</v>
      </c>
      <c r="U11" s="7">
        <f>+[1]Resumen!U11*1000</f>
        <v>367433.52639077476</v>
      </c>
      <c r="V11" s="7">
        <f>+[1]Resumen!V11*1000</f>
        <v>357168.88300875586</v>
      </c>
      <c r="W11" s="7">
        <f>+[1]Resumen!W11*1000</f>
        <v>0</v>
      </c>
      <c r="X11" s="7">
        <f>+[1]Resumen!X11*1000</f>
        <v>0</v>
      </c>
      <c r="Y11" s="7">
        <f>+[1]Resumen!Y11*1000</f>
        <v>0</v>
      </c>
      <c r="Z11" s="7">
        <f>+[1]Resumen!Z11*1000</f>
        <v>0</v>
      </c>
      <c r="AA11" s="7">
        <f>+[1]Resumen!AA11*1000</f>
        <v>0</v>
      </c>
      <c r="AB11" s="7">
        <f>+[1]Resumen!AB11*1000</f>
        <v>0</v>
      </c>
      <c r="AC11" s="7">
        <f>+[1]Resumen!AC11*1000</f>
        <v>0</v>
      </c>
      <c r="AD11" s="60">
        <f>SUM(F11:AC11)*E11+SUM(F12:AC12)*E12+SUM(F13:AC13)*E13+SUM(F14:AC14)*E14</f>
        <v>82906137.121528834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+[1]Resumen!F12*1000</f>
        <v>0</v>
      </c>
      <c r="G12" s="7">
        <f>+[1]Resumen!G12*1000</f>
        <v>0</v>
      </c>
      <c r="H12" s="7">
        <f>+[1]Resumen!H12*1000</f>
        <v>0</v>
      </c>
      <c r="I12" s="7">
        <f>+[1]Resumen!I12*1000</f>
        <v>0</v>
      </c>
      <c r="J12" s="7">
        <f>+[1]Resumen!J12*1000</f>
        <v>0</v>
      </c>
      <c r="K12" s="7">
        <f>+[1]Resumen!K12*1000</f>
        <v>0</v>
      </c>
      <c r="L12" s="7">
        <f>+[1]Resumen!L12*1000</f>
        <v>0</v>
      </c>
      <c r="M12" s="7">
        <f>+[1]Resumen!M12*1000</f>
        <v>0</v>
      </c>
      <c r="N12" s="7">
        <f>+[1]Resumen!N12*1000</f>
        <v>279230.48196378071</v>
      </c>
      <c r="O12" s="7">
        <f>+[1]Resumen!O12*1000</f>
        <v>306685.41179214709</v>
      </c>
      <c r="P12" s="7">
        <f>+[1]Resumen!P12*1000</f>
        <v>330835.28877111484</v>
      </c>
      <c r="Q12" s="7">
        <f>+[1]Resumen!Q12*1000</f>
        <v>342379.43380501616</v>
      </c>
      <c r="R12" s="7">
        <f>+[1]Resumen!R12*1000</f>
        <v>339055.07971946517</v>
      </c>
      <c r="S12" s="7">
        <f>+[1]Resumen!S12*1000</f>
        <v>330334.95153081394</v>
      </c>
      <c r="T12" s="7">
        <f>+[1]Resumen!T12*1000</f>
        <v>321870.58364396339</v>
      </c>
      <c r="U12" s="7">
        <f>+[1]Resumen!U12*1000</f>
        <v>321165.17076954275</v>
      </c>
      <c r="V12" s="7">
        <f>+[1]Resumen!V12*1000</f>
        <v>318232.85885125288</v>
      </c>
      <c r="W12" s="7">
        <f>+[1]Resumen!W12*1000</f>
        <v>0</v>
      </c>
      <c r="X12" s="7">
        <f>+[1]Resumen!X12*1000</f>
        <v>0</v>
      </c>
      <c r="Y12" s="7">
        <f>+[1]Resumen!Y12*1000</f>
        <v>0</v>
      </c>
      <c r="Z12" s="7">
        <f>+[1]Resumen!Z12*1000</f>
        <v>0</v>
      </c>
      <c r="AA12" s="7">
        <f>+[1]Resumen!AA12*1000</f>
        <v>0</v>
      </c>
      <c r="AB12" s="7">
        <f>+[1]Resumen!AB12*1000</f>
        <v>0</v>
      </c>
      <c r="AC12" s="7">
        <f>+[1]Resumen!AC12*1000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+[1]Resumen!F13*1000</f>
        <v>0</v>
      </c>
      <c r="G13" s="7">
        <f>+[1]Resumen!G13*1000</f>
        <v>0</v>
      </c>
      <c r="H13" s="7">
        <f>+[1]Resumen!H13*1000</f>
        <v>0</v>
      </c>
      <c r="I13" s="7">
        <f>+[1]Resumen!I13*1000</f>
        <v>0</v>
      </c>
      <c r="J13" s="7">
        <f>+[1]Resumen!J13*1000</f>
        <v>0</v>
      </c>
      <c r="K13" s="7">
        <f>+[1]Resumen!K13*1000</f>
        <v>0</v>
      </c>
      <c r="L13" s="7">
        <f>+[1]Resumen!L13*1000</f>
        <v>0</v>
      </c>
      <c r="M13" s="7">
        <f>+[1]Resumen!M13*1000</f>
        <v>0</v>
      </c>
      <c r="N13" s="7">
        <f>+[1]Resumen!N13*1000</f>
        <v>186715.0115424745</v>
      </c>
      <c r="O13" s="7">
        <f>+[1]Resumen!O13*1000</f>
        <v>214157.82132990399</v>
      </c>
      <c r="P13" s="7">
        <f>+[1]Resumen!P13*1000</f>
        <v>238654.94079320072</v>
      </c>
      <c r="Q13" s="7">
        <f>+[1]Resumen!Q13*1000</f>
        <v>267565.02298382705</v>
      </c>
      <c r="R13" s="7">
        <f>+[1]Resumen!R13*1000</f>
        <v>284574.29411151342</v>
      </c>
      <c r="S13" s="7">
        <f>+[1]Resumen!S13*1000</f>
        <v>289987.71370746865</v>
      </c>
      <c r="T13" s="7">
        <f>+[1]Resumen!T13*1000</f>
        <v>285959.11995989055</v>
      </c>
      <c r="U13" s="7">
        <f>+[1]Resumen!U13*1000</f>
        <v>280789.43523870164</v>
      </c>
      <c r="V13" s="7">
        <f>+[1]Resumen!V13*1000</f>
        <v>275196.53306930931</v>
      </c>
      <c r="W13" s="7">
        <f>+[1]Resumen!W13*1000</f>
        <v>0</v>
      </c>
      <c r="X13" s="7">
        <f>+[1]Resumen!X13*1000</f>
        <v>0</v>
      </c>
      <c r="Y13" s="7">
        <f>+[1]Resumen!Y13*1000</f>
        <v>0</v>
      </c>
      <c r="Z13" s="7">
        <f>+[1]Resumen!Z13*1000</f>
        <v>0</v>
      </c>
      <c r="AA13" s="7">
        <f>+[1]Resumen!AA13*1000</f>
        <v>0</v>
      </c>
      <c r="AB13" s="7">
        <f>+[1]Resumen!AB13*1000</f>
        <v>0</v>
      </c>
      <c r="AC13" s="7">
        <f>+[1]Resumen!AC13*1000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+[1]Resumen!F14*1000</f>
        <v>0</v>
      </c>
      <c r="G14" s="7">
        <f>+[1]Resumen!G14*1000</f>
        <v>0</v>
      </c>
      <c r="H14" s="7">
        <f>+[1]Resumen!H14*1000</f>
        <v>0</v>
      </c>
      <c r="I14" s="7">
        <f>+[1]Resumen!I14*1000</f>
        <v>0</v>
      </c>
      <c r="J14" s="7">
        <f>+[1]Resumen!J14*1000</f>
        <v>0</v>
      </c>
      <c r="K14" s="7">
        <f>+[1]Resumen!K14*1000</f>
        <v>0</v>
      </c>
      <c r="L14" s="7">
        <f>+[1]Resumen!L14*1000</f>
        <v>0</v>
      </c>
      <c r="M14" s="7">
        <f>+[1]Resumen!M14*1000</f>
        <v>0</v>
      </c>
      <c r="N14" s="7">
        <f>+[1]Resumen!N14*1000</f>
        <v>0</v>
      </c>
      <c r="O14" s="7">
        <f>+[1]Resumen!O14*1000</f>
        <v>0</v>
      </c>
      <c r="P14" s="7">
        <f>+[1]Resumen!P14*1000</f>
        <v>0</v>
      </c>
      <c r="Q14" s="7">
        <f>+[1]Resumen!Q14*1000</f>
        <v>0</v>
      </c>
      <c r="R14" s="7">
        <f>+[1]Resumen!R14*1000</f>
        <v>0</v>
      </c>
      <c r="S14" s="7">
        <f>+[1]Resumen!S14*1000</f>
        <v>0</v>
      </c>
      <c r="T14" s="7">
        <f>+[1]Resumen!T14*1000</f>
        <v>0</v>
      </c>
      <c r="U14" s="7">
        <f>+[1]Resumen!U14*1000</f>
        <v>0</v>
      </c>
      <c r="V14" s="7">
        <f>+[1]Resumen!V14*1000</f>
        <v>0</v>
      </c>
      <c r="W14" s="7">
        <f>+[1]Resumen!W14*1000</f>
        <v>0</v>
      </c>
      <c r="X14" s="7">
        <f>+[1]Resumen!X14*1000</f>
        <v>0</v>
      </c>
      <c r="Y14" s="7">
        <f>+[1]Resumen!Y14*1000</f>
        <v>0</v>
      </c>
      <c r="Z14" s="7">
        <f>+[1]Resumen!Z14*1000</f>
        <v>0</v>
      </c>
      <c r="AA14" s="7">
        <f>+[1]Resumen!AA14*1000</f>
        <v>0</v>
      </c>
      <c r="AB14" s="7">
        <f>+[1]Resumen!AB14*1000</f>
        <v>0</v>
      </c>
      <c r="AC14" s="7">
        <f>+[1]Resumen!AC14*1000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21</v>
      </c>
      <c r="F15" s="7">
        <f>+[1]Resumen!F15*1000</f>
        <v>0</v>
      </c>
      <c r="G15" s="7">
        <f>+[1]Resumen!G15*1000</f>
        <v>0</v>
      </c>
      <c r="H15" s="7">
        <f>+[1]Resumen!H15*1000</f>
        <v>0</v>
      </c>
      <c r="I15" s="7">
        <f>+[1]Resumen!I15*1000</f>
        <v>0</v>
      </c>
      <c r="J15" s="7">
        <f>+[1]Resumen!J15*1000</f>
        <v>0</v>
      </c>
      <c r="K15" s="7">
        <f>+[1]Resumen!K15*1000</f>
        <v>0</v>
      </c>
      <c r="L15" s="7">
        <f>+[1]Resumen!L15*1000</f>
        <v>0</v>
      </c>
      <c r="M15" s="7">
        <f>+[1]Resumen!M15*1000</f>
        <v>0</v>
      </c>
      <c r="N15" s="7">
        <f>+[1]Resumen!N15*1000</f>
        <v>208838.5331057531</v>
      </c>
      <c r="O15" s="7">
        <f>+[1]Resumen!O15*1000</f>
        <v>220169.43732573095</v>
      </c>
      <c r="P15" s="7">
        <f>+[1]Resumen!P15*1000</f>
        <v>245473.18761656541</v>
      </c>
      <c r="Q15" s="7">
        <f>+[1]Resumen!Q15*1000</f>
        <v>264404.51179359556</v>
      </c>
      <c r="R15" s="7">
        <f>+[1]Resumen!R15*1000</f>
        <v>264642.98613537132</v>
      </c>
      <c r="S15" s="7">
        <f>+[1]Resumen!S15*1000</f>
        <v>264436.28314212506</v>
      </c>
      <c r="T15" s="7">
        <f>+[1]Resumen!T15*1000</f>
        <v>273343.11294498999</v>
      </c>
      <c r="U15" s="7">
        <f>+[1]Resumen!U15*1000</f>
        <v>274043.94650651951</v>
      </c>
      <c r="V15" s="7">
        <f>+[1]Resumen!V15*1000</f>
        <v>264901.80246622924</v>
      </c>
      <c r="W15" s="7">
        <f>+[1]Resumen!W15*1000</f>
        <v>0</v>
      </c>
      <c r="X15" s="7">
        <f>+[1]Resumen!X15*1000</f>
        <v>0</v>
      </c>
      <c r="Y15" s="7">
        <f>+[1]Resumen!Y15*1000</f>
        <v>0</v>
      </c>
      <c r="Z15" s="7">
        <f>+[1]Resumen!Z15*1000</f>
        <v>0</v>
      </c>
      <c r="AA15" s="7">
        <f>+[1]Resumen!AA15*1000</f>
        <v>0</v>
      </c>
      <c r="AB15" s="7">
        <f>+[1]Resumen!AB15*1000</f>
        <v>0</v>
      </c>
      <c r="AC15" s="7">
        <f>+[1]Resumen!AC15*1000</f>
        <v>0</v>
      </c>
      <c r="AD15" s="60">
        <f t="shared" ref="AD15" si="0">SUM(F15:AC15)*E15+SUM(F16:AC16)*E16+SUM(F17:AC17)*E17+SUM(F18:AC18)*E18</f>
        <v>65827996.505677044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+[1]Resumen!F16*1000</f>
        <v>0</v>
      </c>
      <c r="G16" s="7">
        <f>+[1]Resumen!G16*1000</f>
        <v>0</v>
      </c>
      <c r="H16" s="7">
        <f>+[1]Resumen!H16*1000</f>
        <v>0</v>
      </c>
      <c r="I16" s="7">
        <f>+[1]Resumen!I16*1000</f>
        <v>0</v>
      </c>
      <c r="J16" s="7">
        <f>+[1]Resumen!J16*1000</f>
        <v>0</v>
      </c>
      <c r="K16" s="7">
        <f>+[1]Resumen!K16*1000</f>
        <v>0</v>
      </c>
      <c r="L16" s="7">
        <f>+[1]Resumen!L16*1000</f>
        <v>0</v>
      </c>
      <c r="M16" s="7">
        <f>+[1]Resumen!M16*1000</f>
        <v>0</v>
      </c>
      <c r="N16" s="7">
        <f>+[1]Resumen!N16*1000</f>
        <v>194478.48909945399</v>
      </c>
      <c r="O16" s="7">
        <f>+[1]Resumen!O16*1000</f>
        <v>215761.5364421962</v>
      </c>
      <c r="P16" s="7">
        <f>+[1]Resumen!P16*1000</f>
        <v>237161.60225980775</v>
      </c>
      <c r="Q16" s="7">
        <f>+[1]Resumen!Q16*1000</f>
        <v>252115.88780484552</v>
      </c>
      <c r="R16" s="7">
        <f>+[1]Resumen!R16*1000</f>
        <v>250933.9330866551</v>
      </c>
      <c r="S16" s="7">
        <f>+[1]Resumen!S16*1000</f>
        <v>247602.35049893719</v>
      </c>
      <c r="T16" s="7">
        <f>+[1]Resumen!T16*1000</f>
        <v>244140.99548226484</v>
      </c>
      <c r="U16" s="7">
        <f>+[1]Resumen!U16*1000</f>
        <v>239791.85929370206</v>
      </c>
      <c r="V16" s="7">
        <f>+[1]Resumen!V16*1000</f>
        <v>236144.98533659973</v>
      </c>
      <c r="W16" s="7">
        <f>+[1]Resumen!W16*1000</f>
        <v>0</v>
      </c>
      <c r="X16" s="7">
        <f>+[1]Resumen!X16*1000</f>
        <v>0</v>
      </c>
      <c r="Y16" s="7">
        <f>+[1]Resumen!Y16*1000</f>
        <v>0</v>
      </c>
      <c r="Z16" s="7">
        <f>+[1]Resumen!Z16*1000</f>
        <v>0</v>
      </c>
      <c r="AA16" s="7">
        <f>+[1]Resumen!AA16*1000</f>
        <v>0</v>
      </c>
      <c r="AB16" s="7">
        <f>+[1]Resumen!AB16*1000</f>
        <v>0</v>
      </c>
      <c r="AC16" s="7">
        <f>+[1]Resumen!AC16*1000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+[1]Resumen!F17*1000</f>
        <v>0</v>
      </c>
      <c r="G17" s="7">
        <f>+[1]Resumen!G17*1000</f>
        <v>0</v>
      </c>
      <c r="H17" s="7">
        <f>+[1]Resumen!H17*1000</f>
        <v>0</v>
      </c>
      <c r="I17" s="7">
        <f>+[1]Resumen!I17*1000</f>
        <v>0</v>
      </c>
      <c r="J17" s="7">
        <f>+[1]Resumen!J17*1000</f>
        <v>0</v>
      </c>
      <c r="K17" s="7">
        <f>+[1]Resumen!K17*1000</f>
        <v>0</v>
      </c>
      <c r="L17" s="7">
        <f>+[1]Resumen!L17*1000</f>
        <v>0</v>
      </c>
      <c r="M17" s="7">
        <f>+[1]Resumen!M17*1000</f>
        <v>0</v>
      </c>
      <c r="N17" s="7">
        <f>+[1]Resumen!N17*1000</f>
        <v>115827.98597713666</v>
      </c>
      <c r="O17" s="7">
        <f>+[1]Resumen!O17*1000</f>
        <v>132858.29923678536</v>
      </c>
      <c r="P17" s="7">
        <f>+[1]Resumen!P17*1000</f>
        <v>150905.85387139992</v>
      </c>
      <c r="Q17" s="7">
        <f>+[1]Resumen!Q17*1000</f>
        <v>171107.03854362667</v>
      </c>
      <c r="R17" s="7">
        <f>+[1]Resumen!R17*1000</f>
        <v>185973.56023251236</v>
      </c>
      <c r="S17" s="7">
        <f>+[1]Resumen!S17*1000</f>
        <v>192542.17773497209</v>
      </c>
      <c r="T17" s="7">
        <f>+[1]Resumen!T17*1000</f>
        <v>191925.05855455864</v>
      </c>
      <c r="U17" s="7">
        <f>+[1]Resumen!U17*1000</f>
        <v>192008.90539513854</v>
      </c>
      <c r="V17" s="7">
        <f>+[1]Resumen!V17*1000</f>
        <v>188421.34489364389</v>
      </c>
      <c r="W17" s="7">
        <f>+[1]Resumen!W17*1000</f>
        <v>0</v>
      </c>
      <c r="X17" s="7">
        <f>+[1]Resumen!X17*1000</f>
        <v>0</v>
      </c>
      <c r="Y17" s="7">
        <f>+[1]Resumen!Y17*1000</f>
        <v>0</v>
      </c>
      <c r="Z17" s="7">
        <f>+[1]Resumen!Z17*1000</f>
        <v>0</v>
      </c>
      <c r="AA17" s="7">
        <f>+[1]Resumen!AA17*1000</f>
        <v>0</v>
      </c>
      <c r="AB17" s="7">
        <f>+[1]Resumen!AB17*1000</f>
        <v>0</v>
      </c>
      <c r="AC17" s="7">
        <f>+[1]Resumen!AC17*1000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+[1]Resumen!F18*1000</f>
        <v>0</v>
      </c>
      <c r="G18" s="7">
        <f>+[1]Resumen!G18*1000</f>
        <v>0</v>
      </c>
      <c r="H18" s="7">
        <f>+[1]Resumen!H18*1000</f>
        <v>0</v>
      </c>
      <c r="I18" s="7">
        <f>+[1]Resumen!I18*1000</f>
        <v>0</v>
      </c>
      <c r="J18" s="7">
        <f>+[1]Resumen!J18*1000</f>
        <v>0</v>
      </c>
      <c r="K18" s="7">
        <f>+[1]Resumen!K18*1000</f>
        <v>0</v>
      </c>
      <c r="L18" s="7">
        <f>+[1]Resumen!L18*1000</f>
        <v>0</v>
      </c>
      <c r="M18" s="7">
        <f>+[1]Resumen!M18*1000</f>
        <v>0</v>
      </c>
      <c r="N18" s="7">
        <f>+[1]Resumen!N18*1000</f>
        <v>145164.05780331587</v>
      </c>
      <c r="O18" s="7">
        <f>+[1]Resumen!O18*1000</f>
        <v>169501.02431349864</v>
      </c>
      <c r="P18" s="7">
        <f>+[1]Resumen!P18*1000</f>
        <v>190921.5078113146</v>
      </c>
      <c r="Q18" s="7">
        <f>+[1]Resumen!Q18*1000</f>
        <v>219846.74714915478</v>
      </c>
      <c r="R18" s="7">
        <f>+[1]Resumen!R18*1000</f>
        <v>232845.97831558419</v>
      </c>
      <c r="S18" s="7">
        <f>+[1]Resumen!S18*1000</f>
        <v>231673.69313825053</v>
      </c>
      <c r="T18" s="7">
        <f>+[1]Resumen!T18*1000</f>
        <v>226993.28529213596</v>
      </c>
      <c r="U18" s="7">
        <f>+[1]Resumen!U18*1000</f>
        <v>222355.80377368003</v>
      </c>
      <c r="V18" s="7">
        <f>+[1]Resumen!V18*1000</f>
        <v>222986.90688891374</v>
      </c>
      <c r="W18" s="7">
        <f>+[1]Resumen!W18*1000</f>
        <v>0</v>
      </c>
      <c r="X18" s="7">
        <f>+[1]Resumen!X18*1000</f>
        <v>0</v>
      </c>
      <c r="Y18" s="7">
        <f>+[1]Resumen!Y18*1000</f>
        <v>0</v>
      </c>
      <c r="Z18" s="7">
        <f>+[1]Resumen!Z18*1000</f>
        <v>0</v>
      </c>
      <c r="AA18" s="7">
        <f>+[1]Resumen!AA18*1000</f>
        <v>0</v>
      </c>
      <c r="AB18" s="7">
        <f>+[1]Resumen!AB18*1000</f>
        <v>0</v>
      </c>
      <c r="AC18" s="7">
        <f>+[1]Resumen!AC18*1000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+[1]Resumen!F19*1000</f>
        <v>0</v>
      </c>
      <c r="G19" s="7">
        <f>+[1]Resumen!G19*1000</f>
        <v>0</v>
      </c>
      <c r="H19" s="7">
        <f>+[1]Resumen!H19*1000</f>
        <v>0</v>
      </c>
      <c r="I19" s="7">
        <f>+[1]Resumen!I19*1000</f>
        <v>0</v>
      </c>
      <c r="J19" s="7">
        <f>+[1]Resumen!J19*1000</f>
        <v>0</v>
      </c>
      <c r="K19" s="7">
        <f>+[1]Resumen!K19*1000</f>
        <v>0</v>
      </c>
      <c r="L19" s="7">
        <f>+[1]Resumen!L19*1000</f>
        <v>0</v>
      </c>
      <c r="M19" s="7">
        <f>+[1]Resumen!M19*1000</f>
        <v>0</v>
      </c>
      <c r="N19" s="7">
        <f>+[1]Resumen!N19*1000</f>
        <v>239924.19575941985</v>
      </c>
      <c r="O19" s="7">
        <f>+[1]Resumen!O19*1000</f>
        <v>254034.36444866695</v>
      </c>
      <c r="P19" s="7">
        <f>+[1]Resumen!P19*1000</f>
        <v>282815.76227022009</v>
      </c>
      <c r="Q19" s="7">
        <f>+[1]Resumen!Q19*1000</f>
        <v>305094.73447564809</v>
      </c>
      <c r="R19" s="7">
        <f>+[1]Resumen!R19*1000</f>
        <v>307612.16443056299</v>
      </c>
      <c r="S19" s="7">
        <f>+[1]Resumen!S19*1000</f>
        <v>306770.30884704704</v>
      </c>
      <c r="T19" s="7">
        <f>+[1]Resumen!T19*1000</f>
        <v>316999.58555223368</v>
      </c>
      <c r="U19" s="7">
        <f>+[1]Resumen!U19*1000</f>
        <v>320488.0758362026</v>
      </c>
      <c r="V19" s="7">
        <f>+[1]Resumen!V19*1000</f>
        <v>311565.31305212161</v>
      </c>
      <c r="W19" s="7">
        <f>+[1]Resumen!W19*1000</f>
        <v>0</v>
      </c>
      <c r="X19" s="7">
        <f>+[1]Resumen!X19*1000</f>
        <v>0</v>
      </c>
      <c r="Y19" s="7">
        <f>+[1]Resumen!Y19*1000</f>
        <v>0</v>
      </c>
      <c r="Z19" s="7">
        <f>+[1]Resumen!Z19*1000</f>
        <v>0</v>
      </c>
      <c r="AA19" s="7">
        <f>+[1]Resumen!AA19*1000</f>
        <v>0</v>
      </c>
      <c r="AB19" s="7">
        <f>+[1]Resumen!AB19*1000</f>
        <v>0</v>
      </c>
      <c r="AC19" s="7">
        <f>+[1]Resumen!AC19*1000</f>
        <v>0</v>
      </c>
      <c r="AD19" s="60">
        <f t="shared" ref="AD19" si="1">SUM(F19:AC19)*E19+SUM(F20:AC20)*E20+SUM(F21:AC21)*E21+SUM(F22:AC22)*E22</f>
        <v>73334508.010741323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+[1]Resumen!F20*1000</f>
        <v>0</v>
      </c>
      <c r="G20" s="7">
        <f>+[1]Resumen!G20*1000</f>
        <v>0</v>
      </c>
      <c r="H20" s="7">
        <f>+[1]Resumen!H20*1000</f>
        <v>0</v>
      </c>
      <c r="I20" s="7">
        <f>+[1]Resumen!I20*1000</f>
        <v>0</v>
      </c>
      <c r="J20" s="7">
        <f>+[1]Resumen!J20*1000</f>
        <v>0</v>
      </c>
      <c r="K20" s="7">
        <f>+[1]Resumen!K20*1000</f>
        <v>0</v>
      </c>
      <c r="L20" s="7">
        <f>+[1]Resumen!L20*1000</f>
        <v>0</v>
      </c>
      <c r="M20" s="7">
        <f>+[1]Resumen!M20*1000</f>
        <v>0</v>
      </c>
      <c r="N20" s="7">
        <f>+[1]Resumen!N20*1000</f>
        <v>214583.42304845576</v>
      </c>
      <c r="O20" s="7">
        <f>+[1]Resumen!O20*1000</f>
        <v>238209.18631337213</v>
      </c>
      <c r="P20" s="7">
        <f>+[1]Resumen!P20*1000</f>
        <v>257566.10274756377</v>
      </c>
      <c r="Q20" s="7">
        <f>+[1]Resumen!Q20*1000</f>
        <v>269812.99254382937</v>
      </c>
      <c r="R20" s="7">
        <f>+[1]Resumen!R20*1000</f>
        <v>269461.00990297482</v>
      </c>
      <c r="S20" s="7">
        <f>+[1]Resumen!S20*1000</f>
        <v>269310.35618569271</v>
      </c>
      <c r="T20" s="7">
        <f>+[1]Resumen!T20*1000</f>
        <v>269596.74300779979</v>
      </c>
      <c r="U20" s="7">
        <f>+[1]Resumen!U20*1000</f>
        <v>273026.07121840544</v>
      </c>
      <c r="V20" s="7">
        <f>+[1]Resumen!V20*1000</f>
        <v>275813.44409913686</v>
      </c>
      <c r="W20" s="7">
        <f>+[1]Resumen!W20*1000</f>
        <v>0</v>
      </c>
      <c r="X20" s="7">
        <f>+[1]Resumen!X20*1000</f>
        <v>0</v>
      </c>
      <c r="Y20" s="7">
        <f>+[1]Resumen!Y20*1000</f>
        <v>0</v>
      </c>
      <c r="Z20" s="7">
        <f>+[1]Resumen!Z20*1000</f>
        <v>0</v>
      </c>
      <c r="AA20" s="7">
        <f>+[1]Resumen!AA20*1000</f>
        <v>0</v>
      </c>
      <c r="AB20" s="7">
        <f>+[1]Resumen!AB20*1000</f>
        <v>0</v>
      </c>
      <c r="AC20" s="7">
        <f>+[1]Resumen!AC20*1000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+[1]Resumen!F21*1000</f>
        <v>0</v>
      </c>
      <c r="G21" s="7">
        <f>+[1]Resumen!G21*1000</f>
        <v>0</v>
      </c>
      <c r="H21" s="7">
        <f>+[1]Resumen!H21*1000</f>
        <v>0</v>
      </c>
      <c r="I21" s="7">
        <f>+[1]Resumen!I21*1000</f>
        <v>0</v>
      </c>
      <c r="J21" s="7">
        <f>+[1]Resumen!J21*1000</f>
        <v>0</v>
      </c>
      <c r="K21" s="7">
        <f>+[1]Resumen!K21*1000</f>
        <v>0</v>
      </c>
      <c r="L21" s="7">
        <f>+[1]Resumen!L21*1000</f>
        <v>0</v>
      </c>
      <c r="M21" s="7">
        <f>+[1]Resumen!M21*1000</f>
        <v>0</v>
      </c>
      <c r="N21" s="7">
        <f>+[1]Resumen!N21*1000</f>
        <v>156491.53700001567</v>
      </c>
      <c r="O21" s="7">
        <f>+[1]Resumen!O21*1000</f>
        <v>178807.75869893981</v>
      </c>
      <c r="P21" s="7">
        <f>+[1]Resumen!P21*1000</f>
        <v>194565.11758877349</v>
      </c>
      <c r="Q21" s="7">
        <f>+[1]Resumen!Q21*1000</f>
        <v>211014.17979852535</v>
      </c>
      <c r="R21" s="7">
        <f>+[1]Resumen!R21*1000</f>
        <v>220895.57064484464</v>
      </c>
      <c r="S21" s="7">
        <f>+[1]Resumen!S21*1000</f>
        <v>228312.60993566824</v>
      </c>
      <c r="T21" s="7">
        <f>+[1]Resumen!T21*1000</f>
        <v>232128.54947551963</v>
      </c>
      <c r="U21" s="7">
        <f>+[1]Resumen!U21*1000</f>
        <v>232935.73852508335</v>
      </c>
      <c r="V21" s="7">
        <f>+[1]Resumen!V21*1000</f>
        <v>230991.77289587233</v>
      </c>
      <c r="W21" s="7">
        <f>+[1]Resumen!W21*1000</f>
        <v>0</v>
      </c>
      <c r="X21" s="7">
        <f>+[1]Resumen!X21*1000</f>
        <v>0</v>
      </c>
      <c r="Y21" s="7">
        <f>+[1]Resumen!Y21*1000</f>
        <v>0</v>
      </c>
      <c r="Z21" s="7">
        <f>+[1]Resumen!Z21*1000</f>
        <v>0</v>
      </c>
      <c r="AA21" s="7">
        <f>+[1]Resumen!AA21*1000</f>
        <v>0</v>
      </c>
      <c r="AB21" s="7">
        <f>+[1]Resumen!AB21*1000</f>
        <v>0</v>
      </c>
      <c r="AC21" s="7">
        <f>+[1]Resumen!AC21*1000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+[1]Resumen!F22*1000</f>
        <v>0</v>
      </c>
      <c r="G22" s="7">
        <f>+[1]Resumen!G22*1000</f>
        <v>0</v>
      </c>
      <c r="H22" s="7">
        <f>+[1]Resumen!H22*1000</f>
        <v>0</v>
      </c>
      <c r="I22" s="7">
        <f>+[1]Resumen!I22*1000</f>
        <v>0</v>
      </c>
      <c r="J22" s="7">
        <f>+[1]Resumen!J22*1000</f>
        <v>0</v>
      </c>
      <c r="K22" s="7">
        <f>+[1]Resumen!K22*1000</f>
        <v>0</v>
      </c>
      <c r="L22" s="7">
        <f>+[1]Resumen!L22*1000</f>
        <v>0</v>
      </c>
      <c r="M22" s="7">
        <f>+[1]Resumen!M22*1000</f>
        <v>0</v>
      </c>
      <c r="N22" s="7">
        <f>+[1]Resumen!N22*1000</f>
        <v>152431.76797149528</v>
      </c>
      <c r="O22" s="7">
        <f>+[1]Resumen!O22*1000</f>
        <v>160679.46055975417</v>
      </c>
      <c r="P22" s="7">
        <f>+[1]Resumen!P22*1000</f>
        <v>163860.61650355655</v>
      </c>
      <c r="Q22" s="7">
        <f>+[1]Resumen!Q22*1000</f>
        <v>189115.84878508229</v>
      </c>
      <c r="R22" s="7">
        <f>+[1]Resumen!R22*1000</f>
        <v>213978.92536266358</v>
      </c>
      <c r="S22" s="7">
        <f>+[1]Resumen!S22*1000</f>
        <v>217403.55126230459</v>
      </c>
      <c r="T22" s="7">
        <f>+[1]Resumen!T22*1000</f>
        <v>219416.14981654004</v>
      </c>
      <c r="U22" s="7">
        <f>+[1]Resumen!U22*1000</f>
        <v>221804.29933479466</v>
      </c>
      <c r="V22" s="7">
        <f>+[1]Resumen!V22*1000</f>
        <v>228474.01179229794</v>
      </c>
      <c r="W22" s="7">
        <f>+[1]Resumen!W22*1000</f>
        <v>0</v>
      </c>
      <c r="X22" s="7">
        <f>+[1]Resumen!X22*1000</f>
        <v>0</v>
      </c>
      <c r="Y22" s="7">
        <f>+[1]Resumen!Y22*1000</f>
        <v>0</v>
      </c>
      <c r="Z22" s="7">
        <f>+[1]Resumen!Z22*1000</f>
        <v>0</v>
      </c>
      <c r="AA22" s="7">
        <f>+[1]Resumen!AA22*1000</f>
        <v>0</v>
      </c>
      <c r="AB22" s="7">
        <f>+[1]Resumen!AB22*1000</f>
        <v>0</v>
      </c>
      <c r="AC22" s="7">
        <f>+[1]Resumen!AC22*1000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+[1]Resumen!F23*1000</f>
        <v>0</v>
      </c>
      <c r="G23" s="7">
        <f>+[1]Resumen!G23*1000</f>
        <v>0</v>
      </c>
      <c r="H23" s="7">
        <f>+[1]Resumen!H23*1000</f>
        <v>0</v>
      </c>
      <c r="I23" s="7">
        <f>+[1]Resumen!I23*1000</f>
        <v>0</v>
      </c>
      <c r="J23" s="7">
        <f>+[1]Resumen!J23*1000</f>
        <v>0</v>
      </c>
      <c r="K23" s="7">
        <f>+[1]Resumen!K23*1000</f>
        <v>0</v>
      </c>
      <c r="L23" s="7">
        <f>+[1]Resumen!L23*1000</f>
        <v>0</v>
      </c>
      <c r="M23" s="7">
        <f>+[1]Resumen!M23*1000</f>
        <v>0</v>
      </c>
      <c r="N23" s="7">
        <f>+[1]Resumen!N23*1000</f>
        <v>116968.54711289227</v>
      </c>
      <c r="O23" s="7">
        <f>+[1]Resumen!O23*1000</f>
        <v>118224.20606129227</v>
      </c>
      <c r="P23" s="7">
        <f>+[1]Resumen!P23*1000</f>
        <v>138237.72405749749</v>
      </c>
      <c r="Q23" s="7">
        <f>+[1]Resumen!Q23*1000</f>
        <v>151108.46954404932</v>
      </c>
      <c r="R23" s="7">
        <f>+[1]Resumen!R23*1000</f>
        <v>142598.27068272684</v>
      </c>
      <c r="S23" s="7">
        <f>+[1]Resumen!S23*1000</f>
        <v>143609.19184899188</v>
      </c>
      <c r="T23" s="7">
        <f>+[1]Resumen!T23*1000</f>
        <v>159008.79664990571</v>
      </c>
      <c r="U23" s="7">
        <f>+[1]Resumen!U23*1000</f>
        <v>169477.77767760327</v>
      </c>
      <c r="V23" s="7">
        <f>+[1]Resumen!V23*1000</f>
        <v>163826.67849665511</v>
      </c>
      <c r="W23" s="7">
        <f>+[1]Resumen!W23*1000</f>
        <v>0</v>
      </c>
      <c r="X23" s="7">
        <f>+[1]Resumen!X23*1000</f>
        <v>0</v>
      </c>
      <c r="Y23" s="7">
        <f>+[1]Resumen!Y23*1000</f>
        <v>0</v>
      </c>
      <c r="Z23" s="7">
        <f>+[1]Resumen!Z23*1000</f>
        <v>0</v>
      </c>
      <c r="AA23" s="7">
        <f>+[1]Resumen!AA23*1000</f>
        <v>0</v>
      </c>
      <c r="AB23" s="7">
        <f>+[1]Resumen!AB23*1000</f>
        <v>0</v>
      </c>
      <c r="AC23" s="7">
        <f>+[1]Resumen!AC23*1000</f>
        <v>0</v>
      </c>
      <c r="AD23" s="60">
        <f t="shared" ref="AD23" si="2">SUM(F23:AC23)*E23+SUM(F24:AC24)*E24+SUM(F25:AC25)*E25+SUM(F26:AC26)*E26</f>
        <v>29618521.962483816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5</v>
      </c>
      <c r="F24" s="7">
        <f>+[1]Resumen!F24*1000</f>
        <v>0</v>
      </c>
      <c r="G24" s="7">
        <f>+[1]Resumen!G24*1000</f>
        <v>0</v>
      </c>
      <c r="H24" s="7">
        <f>+[1]Resumen!H24*1000</f>
        <v>0</v>
      </c>
      <c r="I24" s="7">
        <f>+[1]Resumen!I24*1000</f>
        <v>0</v>
      </c>
      <c r="J24" s="7">
        <f>+[1]Resumen!J24*1000</f>
        <v>0</v>
      </c>
      <c r="K24" s="7">
        <f>+[1]Resumen!K24*1000</f>
        <v>0</v>
      </c>
      <c r="L24" s="7">
        <f>+[1]Resumen!L24*1000</f>
        <v>0</v>
      </c>
      <c r="M24" s="7">
        <f>+[1]Resumen!M24*1000</f>
        <v>0</v>
      </c>
      <c r="N24" s="7">
        <f>+[1]Resumen!N24*1000</f>
        <v>63168.177386265772</v>
      </c>
      <c r="O24" s="7">
        <f>+[1]Resumen!O24*1000</f>
        <v>78452.116691119038</v>
      </c>
      <c r="P24" s="7">
        <f>+[1]Resumen!P24*1000</f>
        <v>90979.990855647047</v>
      </c>
      <c r="Q24" s="7">
        <f>+[1]Resumen!Q24*1000</f>
        <v>92899.602866300964</v>
      </c>
      <c r="R24" s="7">
        <f>+[1]Resumen!R24*1000</f>
        <v>82407.356279927539</v>
      </c>
      <c r="S24" s="7">
        <f>+[1]Resumen!S24*1000</f>
        <v>78718.804898682283</v>
      </c>
      <c r="T24" s="7">
        <f>+[1]Resumen!T24*1000</f>
        <v>72569.052604901517</v>
      </c>
      <c r="U24" s="7">
        <f>+[1]Resumen!U24*1000</f>
        <v>71566.28715704997</v>
      </c>
      <c r="V24" s="7">
        <f>+[1]Resumen!V24*1000</f>
        <v>75247.203196346658</v>
      </c>
      <c r="W24" s="7">
        <f>+[1]Resumen!W24*1000</f>
        <v>0</v>
      </c>
      <c r="X24" s="7">
        <f>+[1]Resumen!X24*1000</f>
        <v>0</v>
      </c>
      <c r="Y24" s="7">
        <f>+[1]Resumen!Y24*1000</f>
        <v>0</v>
      </c>
      <c r="Z24" s="7">
        <f>+[1]Resumen!Z24*1000</f>
        <v>0</v>
      </c>
      <c r="AA24" s="7">
        <f>+[1]Resumen!AA24*1000</f>
        <v>0</v>
      </c>
      <c r="AB24" s="7">
        <f>+[1]Resumen!AB24*1000</f>
        <v>0</v>
      </c>
      <c r="AC24" s="7">
        <f>+[1]Resumen!AC24*1000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+[1]Resumen!F25*1000</f>
        <v>0</v>
      </c>
      <c r="G25" s="7">
        <f>+[1]Resumen!G25*1000</f>
        <v>0</v>
      </c>
      <c r="H25" s="7">
        <f>+[1]Resumen!H25*1000</f>
        <v>0</v>
      </c>
      <c r="I25" s="7">
        <f>+[1]Resumen!I25*1000</f>
        <v>0</v>
      </c>
      <c r="J25" s="7">
        <f>+[1]Resumen!J25*1000</f>
        <v>0</v>
      </c>
      <c r="K25" s="7">
        <f>+[1]Resumen!K25*1000</f>
        <v>0</v>
      </c>
      <c r="L25" s="7">
        <f>+[1]Resumen!L25*1000</f>
        <v>0</v>
      </c>
      <c r="M25" s="7">
        <f>+[1]Resumen!M25*1000</f>
        <v>0</v>
      </c>
      <c r="N25" s="7">
        <f>+[1]Resumen!N25*1000</f>
        <v>0</v>
      </c>
      <c r="O25" s="7">
        <f>+[1]Resumen!O25*1000</f>
        <v>0</v>
      </c>
      <c r="P25" s="7">
        <f>+[1]Resumen!P25*1000</f>
        <v>0</v>
      </c>
      <c r="Q25" s="7">
        <f>+[1]Resumen!Q25*1000</f>
        <v>0</v>
      </c>
      <c r="R25" s="7">
        <f>+[1]Resumen!R25*1000</f>
        <v>2711.5019921497351</v>
      </c>
      <c r="S25" s="7">
        <f>+[1]Resumen!S25*1000</f>
        <v>9551.9830826508223</v>
      </c>
      <c r="T25" s="7">
        <f>+[1]Resumen!T25*1000</f>
        <v>1062.8263532906567</v>
      </c>
      <c r="U25" s="7">
        <f>+[1]Resumen!U25*1000</f>
        <v>6850.3493205535397</v>
      </c>
      <c r="V25" s="7">
        <f>+[1]Resumen!V25*1000</f>
        <v>10521.93642904323</v>
      </c>
      <c r="W25" s="7">
        <f>+[1]Resumen!W25*1000</f>
        <v>0</v>
      </c>
      <c r="X25" s="7">
        <f>+[1]Resumen!X25*1000</f>
        <v>0</v>
      </c>
      <c r="Y25" s="7">
        <f>+[1]Resumen!Y25*1000</f>
        <v>0</v>
      </c>
      <c r="Z25" s="7">
        <f>+[1]Resumen!Z25*1000</f>
        <v>0</v>
      </c>
      <c r="AA25" s="7">
        <f>+[1]Resumen!AA25*1000</f>
        <v>0</v>
      </c>
      <c r="AB25" s="7">
        <f>+[1]Resumen!AB25*1000</f>
        <v>0</v>
      </c>
      <c r="AC25" s="7">
        <f>+[1]Resumen!AC25*1000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+[1]Resumen!F26*1000</f>
        <v>0</v>
      </c>
      <c r="G26" s="7">
        <f>+[1]Resumen!G26*1000</f>
        <v>0</v>
      </c>
      <c r="H26" s="7">
        <f>+[1]Resumen!H26*1000</f>
        <v>0</v>
      </c>
      <c r="I26" s="7">
        <f>+[1]Resumen!I26*1000</f>
        <v>0</v>
      </c>
      <c r="J26" s="7">
        <f>+[1]Resumen!J26*1000</f>
        <v>0</v>
      </c>
      <c r="K26" s="7">
        <f>+[1]Resumen!K26*1000</f>
        <v>0</v>
      </c>
      <c r="L26" s="7">
        <f>+[1]Resumen!L26*1000</f>
        <v>0</v>
      </c>
      <c r="M26" s="7">
        <f>+[1]Resumen!M26*1000</f>
        <v>0</v>
      </c>
      <c r="N26" s="7">
        <f>+[1]Resumen!N26*1000</f>
        <v>25076.658001554504</v>
      </c>
      <c r="O26" s="7">
        <f>+[1]Resumen!O26*1000</f>
        <v>36552.472874920044</v>
      </c>
      <c r="P26" s="7">
        <f>+[1]Resumen!P26*1000</f>
        <v>55851.277450068439</v>
      </c>
      <c r="Q26" s="7">
        <f>+[1]Resumen!Q26*1000</f>
        <v>70867.213414110767</v>
      </c>
      <c r="R26" s="7">
        <f>+[1]Resumen!R26*1000</f>
        <v>88008.546627197124</v>
      </c>
      <c r="S26" s="7">
        <f>+[1]Resumen!S26*1000</f>
        <v>89510.40041183382</v>
      </c>
      <c r="T26" s="7">
        <f>+[1]Resumen!T26*1000</f>
        <v>81902.174807808027</v>
      </c>
      <c r="U26" s="7">
        <f>+[1]Resumen!U26*1000</f>
        <v>67803.000254055587</v>
      </c>
      <c r="V26" s="7">
        <f>+[1]Resumen!V26*1000</f>
        <v>72854.474365200993</v>
      </c>
      <c r="W26" s="7">
        <f>+[1]Resumen!W26*1000</f>
        <v>0</v>
      </c>
      <c r="X26" s="7">
        <f>+[1]Resumen!X26*1000</f>
        <v>0</v>
      </c>
      <c r="Y26" s="7">
        <f>+[1]Resumen!Y26*1000</f>
        <v>0</v>
      </c>
      <c r="Z26" s="7">
        <f>+[1]Resumen!Z26*1000</f>
        <v>0</v>
      </c>
      <c r="AA26" s="7">
        <f>+[1]Resumen!AA26*1000</f>
        <v>0</v>
      </c>
      <c r="AB26" s="7">
        <f>+[1]Resumen!AB26*1000</f>
        <v>0</v>
      </c>
      <c r="AC26" s="7">
        <f>+[1]Resumen!AC26*1000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+[1]Resumen!F27*1000</f>
        <v>0</v>
      </c>
      <c r="G27" s="7">
        <f>+[1]Resumen!G27*1000</f>
        <v>0</v>
      </c>
      <c r="H27" s="7">
        <f>+[1]Resumen!H27*1000</f>
        <v>0</v>
      </c>
      <c r="I27" s="7">
        <f>+[1]Resumen!I27*1000</f>
        <v>0</v>
      </c>
      <c r="J27" s="7">
        <f>+[1]Resumen!J27*1000</f>
        <v>0</v>
      </c>
      <c r="K27" s="7">
        <f>+[1]Resumen!K27*1000</f>
        <v>0</v>
      </c>
      <c r="L27" s="7">
        <f>+[1]Resumen!L27*1000</f>
        <v>0</v>
      </c>
      <c r="M27" s="7">
        <f>+[1]Resumen!M27*1000</f>
        <v>0</v>
      </c>
      <c r="N27" s="7">
        <f>+[1]Resumen!N27*1000</f>
        <v>114637.21324321386</v>
      </c>
      <c r="O27" s="7">
        <f>+[1]Resumen!O27*1000</f>
        <v>124245.3307543414</v>
      </c>
      <c r="P27" s="7">
        <f>+[1]Resumen!P27*1000</f>
        <v>140441.80222803351</v>
      </c>
      <c r="Q27" s="7">
        <f>+[1]Resumen!Q27*1000</f>
        <v>155481.5146658264</v>
      </c>
      <c r="R27" s="7">
        <f>+[1]Resumen!R27*1000</f>
        <v>156811.52121897441</v>
      </c>
      <c r="S27" s="7">
        <f>+[1]Resumen!S27*1000</f>
        <v>157370.90699595539</v>
      </c>
      <c r="T27" s="7">
        <f>+[1]Resumen!T27*1000</f>
        <v>163219.60731270933</v>
      </c>
      <c r="U27" s="7">
        <f>+[1]Resumen!U27*1000</f>
        <v>166665.0009639948</v>
      </c>
      <c r="V27" s="7">
        <f>+[1]Resumen!V27*1000</f>
        <v>160972.61227590489</v>
      </c>
      <c r="W27" s="7">
        <f>+[1]Resumen!W27*1000</f>
        <v>0</v>
      </c>
      <c r="X27" s="7">
        <f>+[1]Resumen!X27*1000</f>
        <v>0</v>
      </c>
      <c r="Y27" s="7">
        <f>+[1]Resumen!Y27*1000</f>
        <v>0</v>
      </c>
      <c r="Z27" s="7">
        <f>+[1]Resumen!Z27*1000</f>
        <v>0</v>
      </c>
      <c r="AA27" s="7">
        <f>+[1]Resumen!AA27*1000</f>
        <v>0</v>
      </c>
      <c r="AB27" s="7">
        <f>+[1]Resumen!AB27*1000</f>
        <v>0</v>
      </c>
      <c r="AC27" s="7">
        <f>+[1]Resumen!AC27*1000</f>
        <v>0</v>
      </c>
      <c r="AD27" s="60">
        <f t="shared" ref="AD27" si="3">SUM(F27:AC27)*E27+SUM(F28:AC28)*E28+SUM(F29:AC29)*E29+SUM(F30:AC30)*E30</f>
        <v>35450077.057393253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+[1]Resumen!F28*1000</f>
        <v>0</v>
      </c>
      <c r="G28" s="7">
        <f>+[1]Resumen!G28*1000</f>
        <v>0</v>
      </c>
      <c r="H28" s="7">
        <f>+[1]Resumen!H28*1000</f>
        <v>0</v>
      </c>
      <c r="I28" s="7">
        <f>+[1]Resumen!I28*1000</f>
        <v>0</v>
      </c>
      <c r="J28" s="7">
        <f>+[1]Resumen!J28*1000</f>
        <v>0</v>
      </c>
      <c r="K28" s="7">
        <f>+[1]Resumen!K28*1000</f>
        <v>0</v>
      </c>
      <c r="L28" s="7">
        <f>+[1]Resumen!L28*1000</f>
        <v>0</v>
      </c>
      <c r="M28" s="7">
        <f>+[1]Resumen!M28*1000</f>
        <v>0</v>
      </c>
      <c r="N28" s="7">
        <f>+[1]Resumen!N28*1000</f>
        <v>94914.368078908417</v>
      </c>
      <c r="O28" s="7">
        <f>+[1]Resumen!O28*1000</f>
        <v>109205.32501345011</v>
      </c>
      <c r="P28" s="7">
        <f>+[1]Resumen!P28*1000</f>
        <v>124888.36468270657</v>
      </c>
      <c r="Q28" s="7">
        <f>+[1]Resumen!Q28*1000</f>
        <v>136211.57679239425</v>
      </c>
      <c r="R28" s="7">
        <f>+[1]Resumen!R28*1000</f>
        <v>137019.74036515586</v>
      </c>
      <c r="S28" s="7">
        <f>+[1]Resumen!S28*1000</f>
        <v>135395.10611897489</v>
      </c>
      <c r="T28" s="7">
        <f>+[1]Resumen!T28*1000</f>
        <v>134593.10191127958</v>
      </c>
      <c r="U28" s="7">
        <f>+[1]Resumen!U28*1000</f>
        <v>136668.95932086563</v>
      </c>
      <c r="V28" s="7">
        <f>+[1]Resumen!V28*1000</f>
        <v>134075.31786731936</v>
      </c>
      <c r="W28" s="7">
        <f>+[1]Resumen!W28*1000</f>
        <v>0</v>
      </c>
      <c r="X28" s="7">
        <f>+[1]Resumen!X28*1000</f>
        <v>0</v>
      </c>
      <c r="Y28" s="7">
        <f>+[1]Resumen!Y28*1000</f>
        <v>0</v>
      </c>
      <c r="Z28" s="7">
        <f>+[1]Resumen!Z28*1000</f>
        <v>0</v>
      </c>
      <c r="AA28" s="7">
        <f>+[1]Resumen!AA28*1000</f>
        <v>0</v>
      </c>
      <c r="AB28" s="7">
        <f>+[1]Resumen!AB28*1000</f>
        <v>0</v>
      </c>
      <c r="AC28" s="7">
        <f>+[1]Resumen!AC28*1000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+[1]Resumen!F29*1000</f>
        <v>0</v>
      </c>
      <c r="G29" s="7">
        <f>+[1]Resumen!G29*1000</f>
        <v>0</v>
      </c>
      <c r="H29" s="7">
        <f>+[1]Resumen!H29*1000</f>
        <v>0</v>
      </c>
      <c r="I29" s="7">
        <f>+[1]Resumen!I29*1000</f>
        <v>0</v>
      </c>
      <c r="J29" s="7">
        <f>+[1]Resumen!J29*1000</f>
        <v>0</v>
      </c>
      <c r="K29" s="7">
        <f>+[1]Resumen!K29*1000</f>
        <v>0</v>
      </c>
      <c r="L29" s="7">
        <f>+[1]Resumen!L29*1000</f>
        <v>0</v>
      </c>
      <c r="M29" s="7">
        <f>+[1]Resumen!M29*1000</f>
        <v>0</v>
      </c>
      <c r="N29" s="7">
        <f>+[1]Resumen!N29*1000</f>
        <v>47268.178576709412</v>
      </c>
      <c r="O29" s="7">
        <f>+[1]Resumen!O29*1000</f>
        <v>62020.756742563819</v>
      </c>
      <c r="P29" s="7">
        <f>+[1]Resumen!P29*1000</f>
        <v>71217.767385034473</v>
      </c>
      <c r="Q29" s="7">
        <f>+[1]Resumen!Q29*1000</f>
        <v>87173.711395262115</v>
      </c>
      <c r="R29" s="7">
        <f>+[1]Resumen!R29*1000</f>
        <v>97530.33841349381</v>
      </c>
      <c r="S29" s="7">
        <f>+[1]Resumen!S29*1000</f>
        <v>102531.78069288716</v>
      </c>
      <c r="T29" s="7">
        <f>+[1]Resumen!T29*1000</f>
        <v>104125.87357127394</v>
      </c>
      <c r="U29" s="7">
        <f>+[1]Resumen!U29*1000</f>
        <v>106219.83062044803</v>
      </c>
      <c r="V29" s="7">
        <f>+[1]Resumen!V29*1000</f>
        <v>105144.30708141396</v>
      </c>
      <c r="W29" s="7">
        <f>+[1]Resumen!W29*1000</f>
        <v>0</v>
      </c>
      <c r="X29" s="7">
        <f>+[1]Resumen!X29*1000</f>
        <v>0</v>
      </c>
      <c r="Y29" s="7">
        <f>+[1]Resumen!Y29*1000</f>
        <v>0</v>
      </c>
      <c r="Z29" s="7">
        <f>+[1]Resumen!Z29*1000</f>
        <v>0</v>
      </c>
      <c r="AA29" s="7">
        <f>+[1]Resumen!AA29*1000</f>
        <v>0</v>
      </c>
      <c r="AB29" s="7">
        <f>+[1]Resumen!AB29*1000</f>
        <v>0</v>
      </c>
      <c r="AC29" s="7">
        <f>+[1]Resumen!AC29*1000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3</v>
      </c>
      <c r="F30" s="7">
        <f>+[1]Resumen!F30*1000</f>
        <v>0</v>
      </c>
      <c r="G30" s="7">
        <f>+[1]Resumen!G30*1000</f>
        <v>0</v>
      </c>
      <c r="H30" s="7">
        <f>+[1]Resumen!H30*1000</f>
        <v>0</v>
      </c>
      <c r="I30" s="7">
        <f>+[1]Resumen!I30*1000</f>
        <v>0</v>
      </c>
      <c r="J30" s="7">
        <f>+[1]Resumen!J30*1000</f>
        <v>0</v>
      </c>
      <c r="K30" s="7">
        <f>+[1]Resumen!K30*1000</f>
        <v>0</v>
      </c>
      <c r="L30" s="7">
        <f>+[1]Resumen!L30*1000</f>
        <v>0</v>
      </c>
      <c r="M30" s="7">
        <f>+[1]Resumen!M30*1000</f>
        <v>0</v>
      </c>
      <c r="N30" s="7">
        <f>+[1]Resumen!N30*1000</f>
        <v>35607.25160269552</v>
      </c>
      <c r="O30" s="7">
        <f>+[1]Resumen!O30*1000</f>
        <v>53553.247674143262</v>
      </c>
      <c r="P30" s="7">
        <f>+[1]Resumen!P30*1000</f>
        <v>71789.301587123162</v>
      </c>
      <c r="Q30" s="7">
        <f>+[1]Resumen!Q30*1000</f>
        <v>90704.673860156807</v>
      </c>
      <c r="R30" s="7">
        <f>+[1]Resumen!R30*1000</f>
        <v>100624.75233129341</v>
      </c>
      <c r="S30" s="7">
        <f>+[1]Resumen!S30*1000</f>
        <v>103760.67336821104</v>
      </c>
      <c r="T30" s="7">
        <f>+[1]Resumen!T30*1000</f>
        <v>100927.44112883709</v>
      </c>
      <c r="U30" s="7">
        <f>+[1]Resumen!U30*1000</f>
        <v>103059.08289545981</v>
      </c>
      <c r="V30" s="7">
        <f>+[1]Resumen!V30*1000</f>
        <v>102705.1606695997</v>
      </c>
      <c r="W30" s="7">
        <f>+[1]Resumen!W30*1000</f>
        <v>0</v>
      </c>
      <c r="X30" s="7">
        <f>+[1]Resumen!X30*1000</f>
        <v>0</v>
      </c>
      <c r="Y30" s="7">
        <f>+[1]Resumen!Y30*1000</f>
        <v>0</v>
      </c>
      <c r="Z30" s="7">
        <f>+[1]Resumen!Z30*1000</f>
        <v>0</v>
      </c>
      <c r="AA30" s="7">
        <f>+[1]Resumen!AA30*1000</f>
        <v>0</v>
      </c>
      <c r="AB30" s="7">
        <f>+[1]Resumen!AB30*1000</f>
        <v>0</v>
      </c>
      <c r="AC30" s="7">
        <f>+[1]Resumen!AC30*1000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+[1]Resumen!F31*1000</f>
        <v>0</v>
      </c>
      <c r="G31" s="7">
        <f>+[1]Resumen!G31*1000</f>
        <v>0</v>
      </c>
      <c r="H31" s="7">
        <f>+[1]Resumen!H31*1000</f>
        <v>0</v>
      </c>
      <c r="I31" s="7">
        <f>+[1]Resumen!I31*1000</f>
        <v>0</v>
      </c>
      <c r="J31" s="7">
        <f>+[1]Resumen!J31*1000</f>
        <v>0</v>
      </c>
      <c r="K31" s="7">
        <f>+[1]Resumen!K31*1000</f>
        <v>0</v>
      </c>
      <c r="L31" s="7">
        <f>+[1]Resumen!L31*1000</f>
        <v>0</v>
      </c>
      <c r="M31" s="7">
        <f>+[1]Resumen!M31*1000</f>
        <v>0</v>
      </c>
      <c r="N31" s="7">
        <f>+[1]Resumen!N31*1000</f>
        <v>90868.365373232053</v>
      </c>
      <c r="O31" s="7">
        <f>+[1]Resumen!O31*1000</f>
        <v>101958.33528996375</v>
      </c>
      <c r="P31" s="7">
        <f>+[1]Resumen!P31*1000</f>
        <v>120208.44882888609</v>
      </c>
      <c r="Q31" s="7">
        <f>+[1]Resumen!Q31*1000</f>
        <v>134270.49688721585</v>
      </c>
      <c r="R31" s="7">
        <f>+[1]Resumen!R31*1000</f>
        <v>136010.61686304229</v>
      </c>
      <c r="S31" s="7">
        <f>+[1]Resumen!S31*1000</f>
        <v>133861.99190088344</v>
      </c>
      <c r="T31" s="7">
        <f>+[1]Resumen!T31*1000</f>
        <v>139674.09556006989</v>
      </c>
      <c r="U31" s="7">
        <f>+[1]Resumen!U31*1000</f>
        <v>140258.0714903647</v>
      </c>
      <c r="V31" s="7">
        <f>+[1]Resumen!V31*1000</f>
        <v>131537.09177658919</v>
      </c>
      <c r="W31" s="7">
        <f>+[1]Resumen!W31*1000</f>
        <v>0</v>
      </c>
      <c r="X31" s="7">
        <f>+[1]Resumen!X31*1000</f>
        <v>0</v>
      </c>
      <c r="Y31" s="7">
        <f>+[1]Resumen!Y31*1000</f>
        <v>0</v>
      </c>
      <c r="Z31" s="7">
        <f>+[1]Resumen!Z31*1000</f>
        <v>0</v>
      </c>
      <c r="AA31" s="7">
        <f>+[1]Resumen!AA31*1000</f>
        <v>0</v>
      </c>
      <c r="AB31" s="7">
        <f>+[1]Resumen!AB31*1000</f>
        <v>0</v>
      </c>
      <c r="AC31" s="7">
        <f>+[1]Resumen!AC31*1000</f>
        <v>0</v>
      </c>
      <c r="AD31" s="60">
        <f t="shared" ref="AD31" si="4">SUM(F31:AC31)*E31+SUM(F32:AC32)*E32+SUM(F33:AC33)*E33+SUM(F34:AC34)*E34</f>
        <v>31680983.793803599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+[1]Resumen!F32*1000</f>
        <v>0</v>
      </c>
      <c r="G32" s="7">
        <f>+[1]Resumen!G32*1000</f>
        <v>0</v>
      </c>
      <c r="H32" s="7">
        <f>+[1]Resumen!H32*1000</f>
        <v>0</v>
      </c>
      <c r="I32" s="7">
        <f>+[1]Resumen!I32*1000</f>
        <v>0</v>
      </c>
      <c r="J32" s="7">
        <f>+[1]Resumen!J32*1000</f>
        <v>0</v>
      </c>
      <c r="K32" s="7">
        <f>+[1]Resumen!K32*1000</f>
        <v>0</v>
      </c>
      <c r="L32" s="7">
        <f>+[1]Resumen!L32*1000</f>
        <v>0</v>
      </c>
      <c r="M32" s="7">
        <f>+[1]Resumen!M32*1000</f>
        <v>0</v>
      </c>
      <c r="N32" s="7">
        <f>+[1]Resumen!N32*1000</f>
        <v>68726.573865340499</v>
      </c>
      <c r="O32" s="7">
        <f>+[1]Resumen!O32*1000</f>
        <v>84202.125245958159</v>
      </c>
      <c r="P32" s="7">
        <f>+[1]Resumen!P32*1000</f>
        <v>101850.8822806582</v>
      </c>
      <c r="Q32" s="7">
        <f>+[1]Resumen!Q32*1000</f>
        <v>114067.62808752098</v>
      </c>
      <c r="R32" s="7">
        <f>+[1]Resumen!R32*1000</f>
        <v>113849.63765568155</v>
      </c>
      <c r="S32" s="7">
        <f>+[1]Resumen!S32*1000</f>
        <v>108587.18400288743</v>
      </c>
      <c r="T32" s="7">
        <f>+[1]Resumen!T32*1000</f>
        <v>105719.18115426826</v>
      </c>
      <c r="U32" s="7">
        <f>+[1]Resumen!U32*1000</f>
        <v>105437.91294429768</v>
      </c>
      <c r="V32" s="7">
        <f>+[1]Resumen!V32*1000</f>
        <v>103585.12673312645</v>
      </c>
      <c r="W32" s="7">
        <f>+[1]Resumen!W32*1000</f>
        <v>0</v>
      </c>
      <c r="X32" s="7">
        <f>+[1]Resumen!X32*1000</f>
        <v>0</v>
      </c>
      <c r="Y32" s="7">
        <f>+[1]Resumen!Y32*1000</f>
        <v>0</v>
      </c>
      <c r="Z32" s="7">
        <f>+[1]Resumen!Z32*1000</f>
        <v>0</v>
      </c>
      <c r="AA32" s="7">
        <f>+[1]Resumen!AA32*1000</f>
        <v>0</v>
      </c>
      <c r="AB32" s="7">
        <f>+[1]Resumen!AB32*1000</f>
        <v>0</v>
      </c>
      <c r="AC32" s="7">
        <f>+[1]Resumen!AC32*1000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+[1]Resumen!F33*1000</f>
        <v>0</v>
      </c>
      <c r="G33" s="7">
        <f>+[1]Resumen!G33*1000</f>
        <v>0</v>
      </c>
      <c r="H33" s="7">
        <f>+[1]Resumen!H33*1000</f>
        <v>0</v>
      </c>
      <c r="I33" s="7">
        <f>+[1]Resumen!I33*1000</f>
        <v>0</v>
      </c>
      <c r="J33" s="7">
        <f>+[1]Resumen!J33*1000</f>
        <v>0</v>
      </c>
      <c r="K33" s="7">
        <f>+[1]Resumen!K33*1000</f>
        <v>0</v>
      </c>
      <c r="L33" s="7">
        <f>+[1]Resumen!L33*1000</f>
        <v>0</v>
      </c>
      <c r="M33" s="7">
        <f>+[1]Resumen!M33*1000</f>
        <v>0</v>
      </c>
      <c r="N33" s="7">
        <f>+[1]Resumen!N33*1000</f>
        <v>28816.830728117282</v>
      </c>
      <c r="O33" s="7">
        <f>+[1]Resumen!O33*1000</f>
        <v>44685.01088219291</v>
      </c>
      <c r="P33" s="7">
        <f>+[1]Resumen!P33*1000</f>
        <v>59565.024513604832</v>
      </c>
      <c r="Q33" s="7">
        <f>+[1]Resumen!Q33*1000</f>
        <v>76351.848894634284</v>
      </c>
      <c r="R33" s="7">
        <f>+[1]Resumen!R33*1000</f>
        <v>85935.612787204751</v>
      </c>
      <c r="S33" s="7">
        <f>+[1]Resumen!S33*1000</f>
        <v>89421.434959117396</v>
      </c>
      <c r="T33" s="7">
        <f>+[1]Resumen!T33*1000</f>
        <v>87566.538857915803</v>
      </c>
      <c r="U33" s="7">
        <f>+[1]Resumen!U33*1000</f>
        <v>85767.985335776844</v>
      </c>
      <c r="V33" s="7">
        <f>+[1]Resumen!V33*1000</f>
        <v>84652.913185410813</v>
      </c>
      <c r="W33" s="7">
        <f>+[1]Resumen!W33*1000</f>
        <v>0</v>
      </c>
      <c r="X33" s="7">
        <f>+[1]Resumen!X33*1000</f>
        <v>0</v>
      </c>
      <c r="Y33" s="7">
        <f>+[1]Resumen!Y33*1000</f>
        <v>0</v>
      </c>
      <c r="Z33" s="7">
        <f>+[1]Resumen!Z33*1000</f>
        <v>0</v>
      </c>
      <c r="AA33" s="7">
        <f>+[1]Resumen!AA33*1000</f>
        <v>0</v>
      </c>
      <c r="AB33" s="7">
        <f>+[1]Resumen!AB33*1000</f>
        <v>0</v>
      </c>
      <c r="AC33" s="7">
        <f>+[1]Resumen!AC33*1000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1</v>
      </c>
      <c r="F34" s="7">
        <f>+[1]Resumen!F34*1000</f>
        <v>0</v>
      </c>
      <c r="G34" s="7">
        <f>+[1]Resumen!G34*1000</f>
        <v>0</v>
      </c>
      <c r="H34" s="7">
        <f>+[1]Resumen!H34*1000</f>
        <v>0</v>
      </c>
      <c r="I34" s="7">
        <f>+[1]Resumen!I34*1000</f>
        <v>0</v>
      </c>
      <c r="J34" s="7">
        <f>+[1]Resumen!J34*1000</f>
        <v>0</v>
      </c>
      <c r="K34" s="7">
        <f>+[1]Resumen!K34*1000</f>
        <v>0</v>
      </c>
      <c r="L34" s="7">
        <f>+[1]Resumen!L34*1000</f>
        <v>0</v>
      </c>
      <c r="M34" s="7">
        <f>+[1]Resumen!M34*1000</f>
        <v>0</v>
      </c>
      <c r="N34" s="7">
        <f>+[1]Resumen!N34*1000</f>
        <v>31220.64830866034</v>
      </c>
      <c r="O34" s="7">
        <f>+[1]Resumen!O34*1000</f>
        <v>48594.192423163127</v>
      </c>
      <c r="P34" s="7">
        <f>+[1]Resumen!P34*1000</f>
        <v>63438.9907599871</v>
      </c>
      <c r="Q34" s="7">
        <f>+[1]Resumen!Q34*1000</f>
        <v>79285.589482855023</v>
      </c>
      <c r="R34" s="7">
        <f>+[1]Resumen!R34*1000</f>
        <v>86187.739915141254</v>
      </c>
      <c r="S34" s="7">
        <f>+[1]Resumen!S34*1000</f>
        <v>87591.06278149772</v>
      </c>
      <c r="T34" s="7">
        <f>+[1]Resumen!T34*1000</f>
        <v>87633.099738470934</v>
      </c>
      <c r="U34" s="7">
        <f>+[1]Resumen!U34*1000</f>
        <v>89585.107549412103</v>
      </c>
      <c r="V34" s="7">
        <f>+[1]Resumen!V34*1000</f>
        <v>82044.247044114469</v>
      </c>
      <c r="W34" s="7">
        <f>+[1]Resumen!W34*1000</f>
        <v>0</v>
      </c>
      <c r="X34" s="7">
        <f>+[1]Resumen!X34*1000</f>
        <v>0</v>
      </c>
      <c r="Y34" s="7">
        <f>+[1]Resumen!Y34*1000</f>
        <v>0</v>
      </c>
      <c r="Z34" s="7">
        <f>+[1]Resumen!Z34*1000</f>
        <v>0</v>
      </c>
      <c r="AA34" s="7">
        <f>+[1]Resumen!AA34*1000</f>
        <v>0</v>
      </c>
      <c r="AB34" s="7">
        <f>+[1]Resumen!AB34*1000</f>
        <v>0</v>
      </c>
      <c r="AC34" s="7">
        <f>+[1]Resumen!AC34*1000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19</v>
      </c>
      <c r="F35" s="7">
        <f>+[1]Resumen!F35*1000</f>
        <v>0</v>
      </c>
      <c r="G35" s="7">
        <f>+[1]Resumen!G35*1000</f>
        <v>0</v>
      </c>
      <c r="H35" s="7">
        <f>+[1]Resumen!H35*1000</f>
        <v>0</v>
      </c>
      <c r="I35" s="7">
        <f>+[1]Resumen!I35*1000</f>
        <v>0</v>
      </c>
      <c r="J35" s="7">
        <f>+[1]Resumen!J35*1000</f>
        <v>0</v>
      </c>
      <c r="K35" s="7">
        <f>+[1]Resumen!K35*1000</f>
        <v>0</v>
      </c>
      <c r="L35" s="7">
        <f>+[1]Resumen!L35*1000</f>
        <v>0</v>
      </c>
      <c r="M35" s="7">
        <f>+[1]Resumen!M35*1000</f>
        <v>0</v>
      </c>
      <c r="N35" s="7">
        <f>+[1]Resumen!N35*1000</f>
        <v>106671.20516609748</v>
      </c>
      <c r="O35" s="7">
        <f>+[1]Resumen!O35*1000</f>
        <v>118561.05993910383</v>
      </c>
      <c r="P35" s="7">
        <f>+[1]Resumen!P35*1000</f>
        <v>137979.80655871524</v>
      </c>
      <c r="Q35" s="7">
        <f>+[1]Resumen!Q35*1000</f>
        <v>151987.67869635439</v>
      </c>
      <c r="R35" s="7">
        <f>+[1]Resumen!R35*1000</f>
        <v>152322.84844669775</v>
      </c>
      <c r="S35" s="7">
        <f>+[1]Resumen!S35*1000</f>
        <v>151724.16951592211</v>
      </c>
      <c r="T35" s="7">
        <f>+[1]Resumen!T35*1000</f>
        <v>157405.74383493248</v>
      </c>
      <c r="U35" s="7">
        <f>+[1]Resumen!U35*1000</f>
        <v>157452.10464725946</v>
      </c>
      <c r="V35" s="7">
        <f>+[1]Resumen!V35*1000</f>
        <v>147701.53644421467</v>
      </c>
      <c r="W35" s="7">
        <f>+[1]Resumen!W35*1000</f>
        <v>0</v>
      </c>
      <c r="X35" s="7">
        <f>+[1]Resumen!X35*1000</f>
        <v>0</v>
      </c>
      <c r="Y35" s="7">
        <f>+[1]Resumen!Y35*1000</f>
        <v>0</v>
      </c>
      <c r="Z35" s="7">
        <f>+[1]Resumen!Z35*1000</f>
        <v>0</v>
      </c>
      <c r="AA35" s="7">
        <f>+[1]Resumen!AA35*1000</f>
        <v>0</v>
      </c>
      <c r="AB35" s="7">
        <f>+[1]Resumen!AB35*1000</f>
        <v>0</v>
      </c>
      <c r="AC35" s="7">
        <f>+[1]Resumen!AC35*1000</f>
        <v>0</v>
      </c>
      <c r="AD35" s="60">
        <f t="shared" ref="AD35" si="5">SUM(F35:AC35)*E35+SUM(F36:AC36)*E36+SUM(F37:AC37)*E37+SUM(F38:AC38)*E38</f>
        <v>34639194.290529214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+[1]Resumen!F36*1000</f>
        <v>0</v>
      </c>
      <c r="G36" s="7">
        <f>+[1]Resumen!G36*1000</f>
        <v>0</v>
      </c>
      <c r="H36" s="7">
        <f>+[1]Resumen!H36*1000</f>
        <v>0</v>
      </c>
      <c r="I36" s="7">
        <f>+[1]Resumen!I36*1000</f>
        <v>0</v>
      </c>
      <c r="J36" s="7">
        <f>+[1]Resumen!J36*1000</f>
        <v>0</v>
      </c>
      <c r="K36" s="7">
        <f>+[1]Resumen!K36*1000</f>
        <v>0</v>
      </c>
      <c r="L36" s="7">
        <f>+[1]Resumen!L36*1000</f>
        <v>0</v>
      </c>
      <c r="M36" s="7">
        <f>+[1]Resumen!M36*1000</f>
        <v>0</v>
      </c>
      <c r="N36" s="7">
        <f>+[1]Resumen!N36*1000</f>
        <v>88632.515854166646</v>
      </c>
      <c r="O36" s="7">
        <f>+[1]Resumen!O36*1000</f>
        <v>105711.64988761269</v>
      </c>
      <c r="P36" s="7">
        <f>+[1]Resumen!P36*1000</f>
        <v>120993.69691441179</v>
      </c>
      <c r="Q36" s="7">
        <f>+[1]Resumen!Q36*1000</f>
        <v>131583.75535340482</v>
      </c>
      <c r="R36" s="7">
        <f>+[1]Resumen!R36*1000</f>
        <v>131020.44309946147</v>
      </c>
      <c r="S36" s="7">
        <f>+[1]Resumen!S36*1000</f>
        <v>128380.8382119796</v>
      </c>
      <c r="T36" s="7">
        <f>+[1]Resumen!T36*1000</f>
        <v>124570.45250821719</v>
      </c>
      <c r="U36" s="7">
        <f>+[1]Resumen!U36*1000</f>
        <v>121483.77800765907</v>
      </c>
      <c r="V36" s="7">
        <f>+[1]Resumen!V36*1000</f>
        <v>120073.3874827703</v>
      </c>
      <c r="W36" s="7">
        <f>+[1]Resumen!W36*1000</f>
        <v>0</v>
      </c>
      <c r="X36" s="7">
        <f>+[1]Resumen!X36*1000</f>
        <v>0</v>
      </c>
      <c r="Y36" s="7">
        <f>+[1]Resumen!Y36*1000</f>
        <v>0</v>
      </c>
      <c r="Z36" s="7">
        <f>+[1]Resumen!Z36*1000</f>
        <v>0</v>
      </c>
      <c r="AA36" s="7">
        <f>+[1]Resumen!AA36*1000</f>
        <v>0</v>
      </c>
      <c r="AB36" s="7">
        <f>+[1]Resumen!AB36*1000</f>
        <v>0</v>
      </c>
      <c r="AC36" s="7">
        <f>+[1]Resumen!AC36*1000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+[1]Resumen!F37*1000</f>
        <v>0</v>
      </c>
      <c r="G37" s="7">
        <f>+[1]Resumen!G37*1000</f>
        <v>0</v>
      </c>
      <c r="H37" s="7">
        <f>+[1]Resumen!H37*1000</f>
        <v>0</v>
      </c>
      <c r="I37" s="7">
        <f>+[1]Resumen!I37*1000</f>
        <v>0</v>
      </c>
      <c r="J37" s="7">
        <f>+[1]Resumen!J37*1000</f>
        <v>0</v>
      </c>
      <c r="K37" s="7">
        <f>+[1]Resumen!K37*1000</f>
        <v>0</v>
      </c>
      <c r="L37" s="7">
        <f>+[1]Resumen!L37*1000</f>
        <v>0</v>
      </c>
      <c r="M37" s="7">
        <f>+[1]Resumen!M37*1000</f>
        <v>0</v>
      </c>
      <c r="N37" s="7">
        <f>+[1]Resumen!N37*1000</f>
        <v>36605.134973167362</v>
      </c>
      <c r="O37" s="7">
        <f>+[1]Resumen!O37*1000</f>
        <v>52131.967089052785</v>
      </c>
      <c r="P37" s="7">
        <f>+[1]Resumen!P37*1000</f>
        <v>64677.619205899631</v>
      </c>
      <c r="Q37" s="7">
        <f>+[1]Resumen!Q37*1000</f>
        <v>79254.849425865192</v>
      </c>
      <c r="R37" s="7">
        <f>+[1]Resumen!R37*1000</f>
        <v>89756.349251923471</v>
      </c>
      <c r="S37" s="7">
        <f>+[1]Resumen!S37*1000</f>
        <v>92428.491860546623</v>
      </c>
      <c r="T37" s="7">
        <f>+[1]Resumen!T37*1000</f>
        <v>87175.915899195214</v>
      </c>
      <c r="U37" s="7">
        <f>+[1]Resumen!U37*1000</f>
        <v>86215.546941147157</v>
      </c>
      <c r="V37" s="7">
        <f>+[1]Resumen!V37*1000</f>
        <v>82172.817876504487</v>
      </c>
      <c r="W37" s="7">
        <f>+[1]Resumen!W37*1000</f>
        <v>0</v>
      </c>
      <c r="X37" s="7">
        <f>+[1]Resumen!X37*1000</f>
        <v>0</v>
      </c>
      <c r="Y37" s="7">
        <f>+[1]Resumen!Y37*1000</f>
        <v>0</v>
      </c>
      <c r="Z37" s="7">
        <f>+[1]Resumen!Z37*1000</f>
        <v>0</v>
      </c>
      <c r="AA37" s="7">
        <f>+[1]Resumen!AA37*1000</f>
        <v>0</v>
      </c>
      <c r="AB37" s="7">
        <f>+[1]Resumen!AB37*1000</f>
        <v>0</v>
      </c>
      <c r="AC37" s="7">
        <f>+[1]Resumen!AC37*1000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+[1]Resumen!F38*1000</f>
        <v>0</v>
      </c>
      <c r="G38" s="7">
        <f>+[1]Resumen!G38*1000</f>
        <v>0</v>
      </c>
      <c r="H38" s="7">
        <f>+[1]Resumen!H38*1000</f>
        <v>0</v>
      </c>
      <c r="I38" s="7">
        <f>+[1]Resumen!I38*1000</f>
        <v>0</v>
      </c>
      <c r="J38" s="7">
        <f>+[1]Resumen!J38*1000</f>
        <v>0</v>
      </c>
      <c r="K38" s="7">
        <f>+[1]Resumen!K38*1000</f>
        <v>0</v>
      </c>
      <c r="L38" s="7">
        <f>+[1]Resumen!L38*1000</f>
        <v>0</v>
      </c>
      <c r="M38" s="7">
        <f>+[1]Resumen!M38*1000</f>
        <v>0</v>
      </c>
      <c r="N38" s="7">
        <f>+[1]Resumen!N38*1000</f>
        <v>44931.025952014461</v>
      </c>
      <c r="O38" s="7">
        <f>+[1]Resumen!O38*1000</f>
        <v>59146.972984489199</v>
      </c>
      <c r="P38" s="7">
        <f>+[1]Resumen!P38*1000</f>
        <v>77600.563182575512</v>
      </c>
      <c r="Q38" s="7">
        <f>+[1]Resumen!Q38*1000</f>
        <v>97433.983614975907</v>
      </c>
      <c r="R38" s="7">
        <f>+[1]Resumen!R38*1000</f>
        <v>110420.81089876025</v>
      </c>
      <c r="S38" s="7">
        <f>+[1]Resumen!S38*1000</f>
        <v>109699.72996205118</v>
      </c>
      <c r="T38" s="7">
        <f>+[1]Resumen!T38*1000</f>
        <v>100242.08640179058</v>
      </c>
      <c r="U38" s="7">
        <f>+[1]Resumen!U38*1000</f>
        <v>95560.36342242836</v>
      </c>
      <c r="V38" s="7">
        <f>+[1]Resumen!V38*1000</f>
        <v>90230.128369734157</v>
      </c>
      <c r="W38" s="7">
        <f>+[1]Resumen!W38*1000</f>
        <v>0</v>
      </c>
      <c r="X38" s="7">
        <f>+[1]Resumen!X38*1000</f>
        <v>0</v>
      </c>
      <c r="Y38" s="7">
        <f>+[1]Resumen!Y38*1000</f>
        <v>0</v>
      </c>
      <c r="Z38" s="7">
        <f>+[1]Resumen!Z38*1000</f>
        <v>0</v>
      </c>
      <c r="AA38" s="7">
        <f>+[1]Resumen!AA38*1000</f>
        <v>0</v>
      </c>
      <c r="AB38" s="7">
        <f>+[1]Resumen!AB38*1000</f>
        <v>0</v>
      </c>
      <c r="AC38" s="7">
        <f>+[1]Resumen!AC38*1000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+[1]Resumen!F39*1000</f>
        <v>0</v>
      </c>
      <c r="G39" s="7">
        <f>+[1]Resumen!G39*1000</f>
        <v>0</v>
      </c>
      <c r="H39" s="7">
        <f>+[1]Resumen!H39*1000</f>
        <v>0</v>
      </c>
      <c r="I39" s="7">
        <f>+[1]Resumen!I39*1000</f>
        <v>0</v>
      </c>
      <c r="J39" s="7">
        <f>+[1]Resumen!J39*1000</f>
        <v>0</v>
      </c>
      <c r="K39" s="7">
        <f>+[1]Resumen!K39*1000</f>
        <v>0</v>
      </c>
      <c r="L39" s="7">
        <f>+[1]Resumen!L39*1000</f>
        <v>0</v>
      </c>
      <c r="M39" s="7">
        <f>+[1]Resumen!M39*1000</f>
        <v>0</v>
      </c>
      <c r="N39" s="7">
        <f>+[1]Resumen!N39*1000</f>
        <v>233953.01774561033</v>
      </c>
      <c r="O39" s="7">
        <f>+[1]Resumen!O39*1000</f>
        <v>250966.02612245368</v>
      </c>
      <c r="P39" s="7">
        <f>+[1]Resumen!P39*1000</f>
        <v>280351.22148691898</v>
      </c>
      <c r="Q39" s="7">
        <f>+[1]Resumen!Q39*1000</f>
        <v>303590.59103456582</v>
      </c>
      <c r="R39" s="7">
        <f>+[1]Resumen!R39*1000</f>
        <v>309102.90108163143</v>
      </c>
      <c r="S39" s="7">
        <f>+[1]Resumen!S39*1000</f>
        <v>307972.19871453801</v>
      </c>
      <c r="T39" s="7">
        <f>+[1]Resumen!T39*1000</f>
        <v>313054.12904096517</v>
      </c>
      <c r="U39" s="7">
        <f>+[1]Resumen!U39*1000</f>
        <v>315052.41251172085</v>
      </c>
      <c r="V39" s="7">
        <f>+[1]Resumen!V39*1000</f>
        <v>302342.30250918685</v>
      </c>
      <c r="W39" s="7">
        <f>+[1]Resumen!W39*1000</f>
        <v>0</v>
      </c>
      <c r="X39" s="7">
        <f>+[1]Resumen!X39*1000</f>
        <v>0</v>
      </c>
      <c r="Y39" s="7">
        <f>+[1]Resumen!Y39*1000</f>
        <v>0</v>
      </c>
      <c r="Z39" s="7">
        <f>+[1]Resumen!Z39*1000</f>
        <v>0</v>
      </c>
      <c r="AA39" s="7">
        <f>+[1]Resumen!AA39*1000</f>
        <v>0</v>
      </c>
      <c r="AB39" s="7">
        <f>+[1]Resumen!AB39*1000</f>
        <v>0</v>
      </c>
      <c r="AC39" s="7">
        <f>+[1]Resumen!AC39*1000</f>
        <v>0</v>
      </c>
      <c r="AD39" s="60">
        <f t="shared" ref="AD39" si="6">SUM(F39:AC39)*E39+SUM(F40:AC40)*E40+SUM(F41:AC41)*E41+SUM(F42:AC42)*E42</f>
        <v>73258851.498340473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+[1]Resumen!F40*1000</f>
        <v>0</v>
      </c>
      <c r="G40" s="7">
        <f>+[1]Resumen!G40*1000</f>
        <v>0</v>
      </c>
      <c r="H40" s="7">
        <f>+[1]Resumen!H40*1000</f>
        <v>0</v>
      </c>
      <c r="I40" s="7">
        <f>+[1]Resumen!I40*1000</f>
        <v>0</v>
      </c>
      <c r="J40" s="7">
        <f>+[1]Resumen!J40*1000</f>
        <v>0</v>
      </c>
      <c r="K40" s="7">
        <f>+[1]Resumen!K40*1000</f>
        <v>0</v>
      </c>
      <c r="L40" s="7">
        <f>+[1]Resumen!L40*1000</f>
        <v>0</v>
      </c>
      <c r="M40" s="7">
        <f>+[1]Resumen!M40*1000</f>
        <v>0</v>
      </c>
      <c r="N40" s="7">
        <f>+[1]Resumen!N40*1000</f>
        <v>204218.29970176084</v>
      </c>
      <c r="O40" s="7">
        <f>+[1]Resumen!O40*1000</f>
        <v>231911.76064024458</v>
      </c>
      <c r="P40" s="7">
        <f>+[1]Resumen!P40*1000</f>
        <v>257540.20692239265</v>
      </c>
      <c r="Q40" s="7">
        <f>+[1]Resumen!Q40*1000</f>
        <v>274966.88620465633</v>
      </c>
      <c r="R40" s="7">
        <f>+[1]Resumen!R40*1000</f>
        <v>275734.06303476472</v>
      </c>
      <c r="S40" s="7">
        <f>+[1]Resumen!S40*1000</f>
        <v>265814.65632233734</v>
      </c>
      <c r="T40" s="7">
        <f>+[1]Resumen!T40*1000</f>
        <v>252297.22481077581</v>
      </c>
      <c r="U40" s="7">
        <f>+[1]Resumen!U40*1000</f>
        <v>246351.14786535472</v>
      </c>
      <c r="V40" s="7">
        <f>+[1]Resumen!V40*1000</f>
        <v>240360.39423507493</v>
      </c>
      <c r="W40" s="7">
        <f>+[1]Resumen!W40*1000</f>
        <v>0</v>
      </c>
      <c r="X40" s="7">
        <f>+[1]Resumen!X40*1000</f>
        <v>0</v>
      </c>
      <c r="Y40" s="7">
        <f>+[1]Resumen!Y40*1000</f>
        <v>0</v>
      </c>
      <c r="Z40" s="7">
        <f>+[1]Resumen!Z40*1000</f>
        <v>0</v>
      </c>
      <c r="AA40" s="7">
        <f>+[1]Resumen!AA40*1000</f>
        <v>0</v>
      </c>
      <c r="AB40" s="7">
        <f>+[1]Resumen!AB40*1000</f>
        <v>0</v>
      </c>
      <c r="AC40" s="7">
        <f>+[1]Resumen!AC40*1000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+[1]Resumen!F41*1000</f>
        <v>0</v>
      </c>
      <c r="G41" s="7">
        <f>+[1]Resumen!G41*1000</f>
        <v>0</v>
      </c>
      <c r="H41" s="7">
        <f>+[1]Resumen!H41*1000</f>
        <v>0</v>
      </c>
      <c r="I41" s="7">
        <f>+[1]Resumen!I41*1000</f>
        <v>0</v>
      </c>
      <c r="J41" s="7">
        <f>+[1]Resumen!J41*1000</f>
        <v>0</v>
      </c>
      <c r="K41" s="7">
        <f>+[1]Resumen!K41*1000</f>
        <v>0</v>
      </c>
      <c r="L41" s="7">
        <f>+[1]Resumen!L41*1000</f>
        <v>0</v>
      </c>
      <c r="M41" s="7">
        <f>+[1]Resumen!M41*1000</f>
        <v>0</v>
      </c>
      <c r="N41" s="7">
        <f>+[1]Resumen!N41*1000</f>
        <v>127659.61535441646</v>
      </c>
      <c r="O41" s="7">
        <f>+[1]Resumen!O41*1000</f>
        <v>149987.40833364183</v>
      </c>
      <c r="P41" s="7">
        <f>+[1]Resumen!P41*1000</f>
        <v>172159.95882130374</v>
      </c>
      <c r="Q41" s="7">
        <f>+[1]Resumen!Q41*1000</f>
        <v>194997.90996393104</v>
      </c>
      <c r="R41" s="7">
        <f>+[1]Resumen!R41*1000</f>
        <v>209377.8796581405</v>
      </c>
      <c r="S41" s="7">
        <f>+[1]Resumen!S41*1000</f>
        <v>210799.48193050022</v>
      </c>
      <c r="T41" s="7">
        <f>+[1]Resumen!T41*1000</f>
        <v>204580.26410935115</v>
      </c>
      <c r="U41" s="7">
        <f>+[1]Resumen!U41*1000</f>
        <v>203776.52846723632</v>
      </c>
      <c r="V41" s="7">
        <f>+[1]Resumen!V41*1000</f>
        <v>202062.78684748488</v>
      </c>
      <c r="W41" s="7">
        <f>+[1]Resumen!W41*1000</f>
        <v>0</v>
      </c>
      <c r="X41" s="7">
        <f>+[1]Resumen!X41*1000</f>
        <v>0</v>
      </c>
      <c r="Y41" s="7">
        <f>+[1]Resumen!Y41*1000</f>
        <v>0</v>
      </c>
      <c r="Z41" s="7">
        <f>+[1]Resumen!Z41*1000</f>
        <v>0</v>
      </c>
      <c r="AA41" s="7">
        <f>+[1]Resumen!AA41*1000</f>
        <v>0</v>
      </c>
      <c r="AB41" s="7">
        <f>+[1]Resumen!AB41*1000</f>
        <v>0</v>
      </c>
      <c r="AC41" s="7">
        <f>+[1]Resumen!AC41*1000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+[1]Resumen!F42*1000</f>
        <v>0</v>
      </c>
      <c r="G42" s="7">
        <f>+[1]Resumen!G42*1000</f>
        <v>0</v>
      </c>
      <c r="H42" s="7">
        <f>+[1]Resumen!H42*1000</f>
        <v>0</v>
      </c>
      <c r="I42" s="7">
        <f>+[1]Resumen!I42*1000</f>
        <v>0</v>
      </c>
      <c r="J42" s="7">
        <f>+[1]Resumen!J42*1000</f>
        <v>0</v>
      </c>
      <c r="K42" s="7">
        <f>+[1]Resumen!K42*1000</f>
        <v>0</v>
      </c>
      <c r="L42" s="7">
        <f>+[1]Resumen!L42*1000</f>
        <v>0</v>
      </c>
      <c r="M42" s="7">
        <f>+[1]Resumen!M42*1000</f>
        <v>0</v>
      </c>
      <c r="N42" s="7">
        <f>+[1]Resumen!N42*1000</f>
        <v>0</v>
      </c>
      <c r="O42" s="7">
        <f>+[1]Resumen!O42*1000</f>
        <v>0</v>
      </c>
      <c r="P42" s="7">
        <f>+[1]Resumen!P42*1000</f>
        <v>0</v>
      </c>
      <c r="Q42" s="7">
        <f>+[1]Resumen!Q42*1000</f>
        <v>0</v>
      </c>
      <c r="R42" s="7">
        <f>+[1]Resumen!R42*1000</f>
        <v>0</v>
      </c>
      <c r="S42" s="7">
        <f>+[1]Resumen!S42*1000</f>
        <v>0</v>
      </c>
      <c r="T42" s="7">
        <f>+[1]Resumen!T42*1000</f>
        <v>0</v>
      </c>
      <c r="U42" s="7">
        <f>+[1]Resumen!U42*1000</f>
        <v>0</v>
      </c>
      <c r="V42" s="7">
        <f>+[1]Resumen!V42*1000</f>
        <v>0</v>
      </c>
      <c r="W42" s="7">
        <f>+[1]Resumen!W42*1000</f>
        <v>0</v>
      </c>
      <c r="X42" s="7">
        <f>+[1]Resumen!X42*1000</f>
        <v>0</v>
      </c>
      <c r="Y42" s="7">
        <f>+[1]Resumen!Y42*1000</f>
        <v>0</v>
      </c>
      <c r="Z42" s="7">
        <f>+[1]Resumen!Z42*1000</f>
        <v>0</v>
      </c>
      <c r="AA42" s="7">
        <f>+[1]Resumen!AA42*1000</f>
        <v>0</v>
      </c>
      <c r="AB42" s="7">
        <f>+[1]Resumen!AB42*1000</f>
        <v>0</v>
      </c>
      <c r="AC42" s="7">
        <f>+[1]Resumen!AC42*1000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+[1]Resumen!F43*1000</f>
        <v>0</v>
      </c>
      <c r="G43" s="7">
        <f>+[1]Resumen!G43*1000</f>
        <v>0</v>
      </c>
      <c r="H43" s="7">
        <f>+[1]Resumen!H43*1000</f>
        <v>0</v>
      </c>
      <c r="I43" s="7">
        <f>+[1]Resumen!I43*1000</f>
        <v>0</v>
      </c>
      <c r="J43" s="7">
        <f>+[1]Resumen!J43*1000</f>
        <v>0</v>
      </c>
      <c r="K43" s="7">
        <f>+[1]Resumen!K43*1000</f>
        <v>0</v>
      </c>
      <c r="L43" s="7">
        <f>+[1]Resumen!L43*1000</f>
        <v>0</v>
      </c>
      <c r="M43" s="7">
        <f>+[1]Resumen!M43*1000</f>
        <v>0</v>
      </c>
      <c r="N43" s="7">
        <f>+[1]Resumen!N43*1000</f>
        <v>209965.17653642039</v>
      </c>
      <c r="O43" s="7">
        <f>+[1]Resumen!O43*1000</f>
        <v>224595.06885463322</v>
      </c>
      <c r="P43" s="7">
        <f>+[1]Resumen!P43*1000</f>
        <v>249609.75474991393</v>
      </c>
      <c r="Q43" s="7">
        <f>+[1]Resumen!Q43*1000</f>
        <v>272110.6438641437</v>
      </c>
      <c r="R43" s="7">
        <f>+[1]Resumen!R43*1000</f>
        <v>278343.99700235738</v>
      </c>
      <c r="S43" s="7">
        <f>+[1]Resumen!S43*1000</f>
        <v>276130.09790872026</v>
      </c>
      <c r="T43" s="7">
        <f>+[1]Resumen!T43*1000</f>
        <v>281891.15736739564</v>
      </c>
      <c r="U43" s="7">
        <f>+[1]Resumen!U43*1000</f>
        <v>282618.09490468231</v>
      </c>
      <c r="V43" s="7">
        <f>+[1]Resumen!V43*1000</f>
        <v>269383.50219387631</v>
      </c>
      <c r="W43" s="7">
        <f>+[1]Resumen!W43*1000</f>
        <v>0</v>
      </c>
      <c r="X43" s="7">
        <f>+[1]Resumen!X43*1000</f>
        <v>0</v>
      </c>
      <c r="Y43" s="7">
        <f>+[1]Resumen!Y43*1000</f>
        <v>0</v>
      </c>
      <c r="Z43" s="7">
        <f>+[1]Resumen!Z43*1000</f>
        <v>0</v>
      </c>
      <c r="AA43" s="7">
        <f>+[1]Resumen!AA43*1000</f>
        <v>0</v>
      </c>
      <c r="AB43" s="7">
        <f>+[1]Resumen!AB43*1000</f>
        <v>0</v>
      </c>
      <c r="AC43" s="7">
        <f>+[1]Resumen!AC43*1000</f>
        <v>0</v>
      </c>
      <c r="AD43" s="60">
        <f t="shared" ref="AD43" si="7">SUM(F43:AC43)*E43+SUM(F44:AC44)*E44+SUM(F45:AC45)*E45+SUM(F46:AC46)*E46</f>
        <v>68201705.785181418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+[1]Resumen!F44*1000</f>
        <v>0</v>
      </c>
      <c r="G44" s="7">
        <f>+[1]Resumen!G44*1000</f>
        <v>0</v>
      </c>
      <c r="H44" s="7">
        <f>+[1]Resumen!H44*1000</f>
        <v>0</v>
      </c>
      <c r="I44" s="7">
        <f>+[1]Resumen!I44*1000</f>
        <v>0</v>
      </c>
      <c r="J44" s="7">
        <f>+[1]Resumen!J44*1000</f>
        <v>0</v>
      </c>
      <c r="K44" s="7">
        <f>+[1]Resumen!K44*1000</f>
        <v>0</v>
      </c>
      <c r="L44" s="7">
        <f>+[1]Resumen!L44*1000</f>
        <v>0</v>
      </c>
      <c r="M44" s="7">
        <f>+[1]Resumen!M44*1000</f>
        <v>0</v>
      </c>
      <c r="N44" s="7">
        <f>+[1]Resumen!N44*1000</f>
        <v>186103.63542595544</v>
      </c>
      <c r="O44" s="7">
        <f>+[1]Resumen!O44*1000</f>
        <v>213289.13324358003</v>
      </c>
      <c r="P44" s="7">
        <f>+[1]Resumen!P44*1000</f>
        <v>239971.80547526255</v>
      </c>
      <c r="Q44" s="7">
        <f>+[1]Resumen!Q44*1000</f>
        <v>255199.12782073527</v>
      </c>
      <c r="R44" s="7">
        <f>+[1]Resumen!R44*1000</f>
        <v>256108.86887944423</v>
      </c>
      <c r="S44" s="7">
        <f>+[1]Resumen!S44*1000</f>
        <v>250811.19047067192</v>
      </c>
      <c r="T44" s="7">
        <f>+[1]Resumen!T44*1000</f>
        <v>243723.39809988218</v>
      </c>
      <c r="U44" s="7">
        <f>+[1]Resumen!U44*1000</f>
        <v>243368.3405071896</v>
      </c>
      <c r="V44" s="7">
        <f>+[1]Resumen!V44*1000</f>
        <v>242043.14034029914</v>
      </c>
      <c r="W44" s="7">
        <f>+[1]Resumen!W44*1000</f>
        <v>0</v>
      </c>
      <c r="X44" s="7">
        <f>+[1]Resumen!X44*1000</f>
        <v>0</v>
      </c>
      <c r="Y44" s="7">
        <f>+[1]Resumen!Y44*1000</f>
        <v>0</v>
      </c>
      <c r="Z44" s="7">
        <f>+[1]Resumen!Z44*1000</f>
        <v>0</v>
      </c>
      <c r="AA44" s="7">
        <f>+[1]Resumen!AA44*1000</f>
        <v>0</v>
      </c>
      <c r="AB44" s="7">
        <f>+[1]Resumen!AB44*1000</f>
        <v>0</v>
      </c>
      <c r="AC44" s="7">
        <f>+[1]Resumen!AC44*1000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+[1]Resumen!F45*1000</f>
        <v>0</v>
      </c>
      <c r="G45" s="7">
        <f>+[1]Resumen!G45*1000</f>
        <v>0</v>
      </c>
      <c r="H45" s="7">
        <f>+[1]Resumen!H45*1000</f>
        <v>0</v>
      </c>
      <c r="I45" s="7">
        <f>+[1]Resumen!I45*1000</f>
        <v>0</v>
      </c>
      <c r="J45" s="7">
        <f>+[1]Resumen!J45*1000</f>
        <v>0</v>
      </c>
      <c r="K45" s="7">
        <f>+[1]Resumen!K45*1000</f>
        <v>0</v>
      </c>
      <c r="L45" s="7">
        <f>+[1]Resumen!L45*1000</f>
        <v>0</v>
      </c>
      <c r="M45" s="7">
        <f>+[1]Resumen!M45*1000</f>
        <v>0</v>
      </c>
      <c r="N45" s="7">
        <f>+[1]Resumen!N45*1000</f>
        <v>126326.17431660015</v>
      </c>
      <c r="O45" s="7">
        <f>+[1]Resumen!O45*1000</f>
        <v>148366.78571693567</v>
      </c>
      <c r="P45" s="7">
        <f>+[1]Resumen!P45*1000</f>
        <v>169159.83711894302</v>
      </c>
      <c r="Q45" s="7">
        <f>+[1]Resumen!Q45*1000</f>
        <v>194841.90109975572</v>
      </c>
      <c r="R45" s="7">
        <f>+[1]Resumen!R45*1000</f>
        <v>208936.54364756841</v>
      </c>
      <c r="S45" s="7">
        <f>+[1]Resumen!S45*1000</f>
        <v>208021.00275662343</v>
      </c>
      <c r="T45" s="7">
        <f>+[1]Resumen!T45*1000</f>
        <v>202533.27340148139</v>
      </c>
      <c r="U45" s="7">
        <f>+[1]Resumen!U45*1000</f>
        <v>200103.1436945952</v>
      </c>
      <c r="V45" s="7">
        <f>+[1]Resumen!V45*1000</f>
        <v>193657.42019036302</v>
      </c>
      <c r="W45" s="7">
        <f>+[1]Resumen!W45*1000</f>
        <v>0</v>
      </c>
      <c r="X45" s="7">
        <f>+[1]Resumen!X45*1000</f>
        <v>0</v>
      </c>
      <c r="Y45" s="7">
        <f>+[1]Resumen!Y45*1000</f>
        <v>0</v>
      </c>
      <c r="Z45" s="7">
        <f>+[1]Resumen!Z45*1000</f>
        <v>0</v>
      </c>
      <c r="AA45" s="7">
        <f>+[1]Resumen!AA45*1000</f>
        <v>0</v>
      </c>
      <c r="AB45" s="7">
        <f>+[1]Resumen!AB45*1000</f>
        <v>0</v>
      </c>
      <c r="AC45" s="7">
        <f>+[1]Resumen!AC45*1000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+[1]Resumen!F46*1000</f>
        <v>0</v>
      </c>
      <c r="G46" s="7">
        <f>+[1]Resumen!G46*1000</f>
        <v>0</v>
      </c>
      <c r="H46" s="7">
        <f>+[1]Resumen!H46*1000</f>
        <v>0</v>
      </c>
      <c r="I46" s="7">
        <f>+[1]Resumen!I46*1000</f>
        <v>0</v>
      </c>
      <c r="J46" s="7">
        <f>+[1]Resumen!J46*1000</f>
        <v>0</v>
      </c>
      <c r="K46" s="7">
        <f>+[1]Resumen!K46*1000</f>
        <v>0</v>
      </c>
      <c r="L46" s="7">
        <f>+[1]Resumen!L46*1000</f>
        <v>0</v>
      </c>
      <c r="M46" s="7">
        <f>+[1]Resumen!M46*1000</f>
        <v>0</v>
      </c>
      <c r="N46" s="7">
        <f>+[1]Resumen!N46*1000</f>
        <v>125073.64708837982</v>
      </c>
      <c r="O46" s="7">
        <f>+[1]Resumen!O46*1000</f>
        <v>141139.30538018772</v>
      </c>
      <c r="P46" s="7">
        <f>+[1]Resumen!P46*1000</f>
        <v>161927.5409345472</v>
      </c>
      <c r="Q46" s="7">
        <f>+[1]Resumen!Q46*1000</f>
        <v>193344.44686159494</v>
      </c>
      <c r="R46" s="7">
        <f>+[1]Resumen!R46*1000</f>
        <v>216369.62945629127</v>
      </c>
      <c r="S46" s="7">
        <f>+[1]Resumen!S46*1000</f>
        <v>222336.33223250273</v>
      </c>
      <c r="T46" s="7">
        <f>+[1]Resumen!T46*1000</f>
        <v>212854.56212705158</v>
      </c>
      <c r="U46" s="7">
        <f>+[1]Resumen!U46*1000</f>
        <v>214040.32032413082</v>
      </c>
      <c r="V46" s="7">
        <f>+[1]Resumen!V46*1000</f>
        <v>216145.11066516503</v>
      </c>
      <c r="W46" s="7">
        <f>+[1]Resumen!W46*1000</f>
        <v>0</v>
      </c>
      <c r="X46" s="7">
        <f>+[1]Resumen!X46*1000</f>
        <v>0</v>
      </c>
      <c r="Y46" s="7">
        <f>+[1]Resumen!Y46*1000</f>
        <v>0</v>
      </c>
      <c r="Z46" s="7">
        <f>+[1]Resumen!Z46*1000</f>
        <v>0</v>
      </c>
      <c r="AA46" s="7">
        <f>+[1]Resumen!AA46*1000</f>
        <v>0</v>
      </c>
      <c r="AB46" s="7">
        <f>+[1]Resumen!AB46*1000</f>
        <v>0</v>
      </c>
      <c r="AC46" s="7">
        <f>+[1]Resumen!AC46*1000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+[1]Resumen!F47*1000</f>
        <v>0</v>
      </c>
      <c r="G47" s="7">
        <f>+[1]Resumen!G47*1000</f>
        <v>0</v>
      </c>
      <c r="H47" s="7">
        <f>+[1]Resumen!H47*1000</f>
        <v>0</v>
      </c>
      <c r="I47" s="7">
        <f>+[1]Resumen!I47*1000</f>
        <v>0</v>
      </c>
      <c r="J47" s="7">
        <f>+[1]Resumen!J47*1000</f>
        <v>0</v>
      </c>
      <c r="K47" s="7">
        <f>+[1]Resumen!K47*1000</f>
        <v>0</v>
      </c>
      <c r="L47" s="7">
        <f>+[1]Resumen!L47*1000</f>
        <v>0</v>
      </c>
      <c r="M47" s="7">
        <f>+[1]Resumen!M47*1000</f>
        <v>0</v>
      </c>
      <c r="N47" s="7">
        <f>+[1]Resumen!N47*1000</f>
        <v>256338.99827500113</v>
      </c>
      <c r="O47" s="7">
        <f>+[1]Resumen!O47*1000</f>
        <v>272516.21581949218</v>
      </c>
      <c r="P47" s="7">
        <f>+[1]Resumen!P47*1000</f>
        <v>298615.50818846695</v>
      </c>
      <c r="Q47" s="7">
        <f>+[1]Resumen!Q47*1000</f>
        <v>323735.97242697532</v>
      </c>
      <c r="R47" s="7">
        <f>+[1]Resumen!R47*1000</f>
        <v>330826.61267623655</v>
      </c>
      <c r="S47" s="7">
        <f>+[1]Resumen!S47*1000</f>
        <v>325661.71541852469</v>
      </c>
      <c r="T47" s="7">
        <f>+[1]Resumen!T47*1000</f>
        <v>329231.88588470157</v>
      </c>
      <c r="U47" s="7">
        <f>+[1]Resumen!U47*1000</f>
        <v>329699.42994632386</v>
      </c>
      <c r="V47" s="7">
        <f>+[1]Resumen!V47*1000</f>
        <v>319406.6010826882</v>
      </c>
      <c r="W47" s="7">
        <f>+[1]Resumen!W47*1000</f>
        <v>0</v>
      </c>
      <c r="X47" s="7">
        <f>+[1]Resumen!X47*1000</f>
        <v>0</v>
      </c>
      <c r="Y47" s="7">
        <f>+[1]Resumen!Y47*1000</f>
        <v>0</v>
      </c>
      <c r="Z47" s="7">
        <f>+[1]Resumen!Z47*1000</f>
        <v>0</v>
      </c>
      <c r="AA47" s="7">
        <f>+[1]Resumen!AA47*1000</f>
        <v>0</v>
      </c>
      <c r="AB47" s="7">
        <f>+[1]Resumen!AB47*1000</f>
        <v>0</v>
      </c>
      <c r="AC47" s="7">
        <f>+[1]Resumen!AC47*1000</f>
        <v>0</v>
      </c>
      <c r="AD47" s="60">
        <f t="shared" ref="AD47" si="8">SUM(F47:AC47)*E47+SUM(F48:AC48)*E48+SUM(F49:AC49)*E49+SUM(F50:AC50)*E50</f>
        <v>75671694.355831206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+[1]Resumen!F48*1000</f>
        <v>0</v>
      </c>
      <c r="G48" s="7">
        <f>+[1]Resumen!G48*1000</f>
        <v>0</v>
      </c>
      <c r="H48" s="7">
        <f>+[1]Resumen!H48*1000</f>
        <v>0</v>
      </c>
      <c r="I48" s="7">
        <f>+[1]Resumen!I48*1000</f>
        <v>0</v>
      </c>
      <c r="J48" s="7">
        <f>+[1]Resumen!J48*1000</f>
        <v>0</v>
      </c>
      <c r="K48" s="7">
        <f>+[1]Resumen!K48*1000</f>
        <v>0</v>
      </c>
      <c r="L48" s="7">
        <f>+[1]Resumen!L48*1000</f>
        <v>0</v>
      </c>
      <c r="M48" s="7">
        <f>+[1]Resumen!M48*1000</f>
        <v>0</v>
      </c>
      <c r="N48" s="7">
        <f>+[1]Resumen!N48*1000</f>
        <v>227225.66649857728</v>
      </c>
      <c r="O48" s="7">
        <f>+[1]Resumen!O48*1000</f>
        <v>252849.73215702991</v>
      </c>
      <c r="P48" s="7">
        <f>+[1]Resumen!P48*1000</f>
        <v>273777.57052483514</v>
      </c>
      <c r="Q48" s="7">
        <f>+[1]Resumen!Q48*1000</f>
        <v>288789.76923972054</v>
      </c>
      <c r="R48" s="7">
        <f>+[1]Resumen!R48*1000</f>
        <v>291044.05900842376</v>
      </c>
      <c r="S48" s="7">
        <f>+[1]Resumen!S48*1000</f>
        <v>282848.80144504574</v>
      </c>
      <c r="T48" s="7">
        <f>+[1]Resumen!T48*1000</f>
        <v>274582.88621912524</v>
      </c>
      <c r="U48" s="7">
        <f>+[1]Resumen!U48*1000</f>
        <v>270065.03451925342</v>
      </c>
      <c r="V48" s="7">
        <f>+[1]Resumen!V48*1000</f>
        <v>266302.64644833485</v>
      </c>
      <c r="W48" s="7">
        <f>+[1]Resumen!W48*1000</f>
        <v>0</v>
      </c>
      <c r="X48" s="7">
        <f>+[1]Resumen!X48*1000</f>
        <v>0</v>
      </c>
      <c r="Y48" s="7">
        <f>+[1]Resumen!Y48*1000</f>
        <v>0</v>
      </c>
      <c r="Z48" s="7">
        <f>+[1]Resumen!Z48*1000</f>
        <v>0</v>
      </c>
      <c r="AA48" s="7">
        <f>+[1]Resumen!AA48*1000</f>
        <v>0</v>
      </c>
      <c r="AB48" s="7">
        <f>+[1]Resumen!AB48*1000</f>
        <v>0</v>
      </c>
      <c r="AC48" s="7">
        <f>+[1]Resumen!AC48*1000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5</v>
      </c>
      <c r="F49" s="7">
        <f>+[1]Resumen!F49*1000</f>
        <v>0</v>
      </c>
      <c r="G49" s="7">
        <f>+[1]Resumen!G49*1000</f>
        <v>0</v>
      </c>
      <c r="H49" s="7">
        <f>+[1]Resumen!H49*1000</f>
        <v>0</v>
      </c>
      <c r="I49" s="7">
        <f>+[1]Resumen!I49*1000</f>
        <v>0</v>
      </c>
      <c r="J49" s="7">
        <f>+[1]Resumen!J49*1000</f>
        <v>0</v>
      </c>
      <c r="K49" s="7">
        <f>+[1]Resumen!K49*1000</f>
        <v>0</v>
      </c>
      <c r="L49" s="7">
        <f>+[1]Resumen!L49*1000</f>
        <v>0</v>
      </c>
      <c r="M49" s="7">
        <f>+[1]Resumen!M49*1000</f>
        <v>0</v>
      </c>
      <c r="N49" s="7">
        <f>+[1]Resumen!N49*1000</f>
        <v>146424.0784526307</v>
      </c>
      <c r="O49" s="7">
        <f>+[1]Resumen!O49*1000</f>
        <v>171666.86900595034</v>
      </c>
      <c r="P49" s="7">
        <f>+[1]Resumen!P49*1000</f>
        <v>190023.80164103006</v>
      </c>
      <c r="Q49" s="7">
        <f>+[1]Resumen!Q49*1000</f>
        <v>212278.95952714645</v>
      </c>
      <c r="R49" s="7">
        <f>+[1]Resumen!R49*1000</f>
        <v>229555.3824705194</v>
      </c>
      <c r="S49" s="7">
        <f>+[1]Resumen!S49*1000</f>
        <v>236356.89209449501</v>
      </c>
      <c r="T49" s="7">
        <f>+[1]Resumen!T49*1000</f>
        <v>231781.77059931398</v>
      </c>
      <c r="U49" s="7">
        <f>+[1]Resumen!U49*1000</f>
        <v>223277.65541193564</v>
      </c>
      <c r="V49" s="7">
        <f>+[1]Resumen!V49*1000</f>
        <v>216420.88180738827</v>
      </c>
      <c r="W49" s="7">
        <f>+[1]Resumen!W49*1000</f>
        <v>0</v>
      </c>
      <c r="X49" s="7">
        <f>+[1]Resumen!X49*1000</f>
        <v>0</v>
      </c>
      <c r="Y49" s="7">
        <f>+[1]Resumen!Y49*1000</f>
        <v>0</v>
      </c>
      <c r="Z49" s="7">
        <f>+[1]Resumen!Z49*1000</f>
        <v>0</v>
      </c>
      <c r="AA49" s="7">
        <f>+[1]Resumen!AA49*1000</f>
        <v>0</v>
      </c>
      <c r="AB49" s="7">
        <f>+[1]Resumen!AB49*1000</f>
        <v>0</v>
      </c>
      <c r="AC49" s="7">
        <f>+[1]Resumen!AC49*1000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+[1]Resumen!F50*1000</f>
        <v>0</v>
      </c>
      <c r="G50" s="7">
        <f>+[1]Resumen!G50*1000</f>
        <v>0</v>
      </c>
      <c r="H50" s="7">
        <f>+[1]Resumen!H50*1000</f>
        <v>0</v>
      </c>
      <c r="I50" s="7">
        <f>+[1]Resumen!I50*1000</f>
        <v>0</v>
      </c>
      <c r="J50" s="7">
        <f>+[1]Resumen!J50*1000</f>
        <v>0</v>
      </c>
      <c r="K50" s="7">
        <f>+[1]Resumen!K50*1000</f>
        <v>0</v>
      </c>
      <c r="L50" s="7">
        <f>+[1]Resumen!L50*1000</f>
        <v>0</v>
      </c>
      <c r="M50" s="7">
        <f>+[1]Resumen!M50*1000</f>
        <v>0</v>
      </c>
      <c r="N50" s="7">
        <f>+[1]Resumen!N50*1000</f>
        <v>136655.06999994809</v>
      </c>
      <c r="O50" s="7">
        <f>+[1]Resumen!O50*1000</f>
        <v>160175.74560312662</v>
      </c>
      <c r="P50" s="7">
        <f>+[1]Resumen!P50*1000</f>
        <v>187742.84967454372</v>
      </c>
      <c r="Q50" s="7">
        <f>+[1]Resumen!Q50*1000</f>
        <v>215650.86656019854</v>
      </c>
      <c r="R50" s="7">
        <f>+[1]Resumen!R50*1000</f>
        <v>237284.59087193798</v>
      </c>
      <c r="S50" s="7">
        <f>+[1]Resumen!S50*1000</f>
        <v>245280.16579365067</v>
      </c>
      <c r="T50" s="7">
        <f>+[1]Resumen!T50*1000</f>
        <v>234756.677696603</v>
      </c>
      <c r="U50" s="7">
        <f>+[1]Resumen!U50*1000</f>
        <v>226516.29876302349</v>
      </c>
      <c r="V50" s="7">
        <f>+[1]Resumen!V50*1000</f>
        <v>225033.92598095437</v>
      </c>
      <c r="W50" s="7">
        <f>+[1]Resumen!W50*1000</f>
        <v>0</v>
      </c>
      <c r="X50" s="7">
        <f>+[1]Resumen!X50*1000</f>
        <v>0</v>
      </c>
      <c r="Y50" s="7">
        <f>+[1]Resumen!Y50*1000</f>
        <v>0</v>
      </c>
      <c r="Z50" s="7">
        <f>+[1]Resumen!Z50*1000</f>
        <v>0</v>
      </c>
      <c r="AA50" s="7">
        <f>+[1]Resumen!AA50*1000</f>
        <v>0</v>
      </c>
      <c r="AB50" s="7">
        <f>+[1]Resumen!AB50*1000</f>
        <v>0</v>
      </c>
      <c r="AC50" s="7">
        <f>+[1]Resumen!AC50*1000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+[1]Resumen!F51*1000</f>
        <v>0</v>
      </c>
      <c r="G51" s="7">
        <f>+[1]Resumen!G51*1000</f>
        <v>0</v>
      </c>
      <c r="H51" s="7">
        <f>+[1]Resumen!H51*1000</f>
        <v>0</v>
      </c>
      <c r="I51" s="7">
        <f>+[1]Resumen!I51*1000</f>
        <v>0</v>
      </c>
      <c r="J51" s="7">
        <f>+[1]Resumen!J51*1000</f>
        <v>0</v>
      </c>
      <c r="K51" s="7">
        <f>+[1]Resumen!K51*1000</f>
        <v>0</v>
      </c>
      <c r="L51" s="7">
        <f>+[1]Resumen!L51*1000</f>
        <v>0</v>
      </c>
      <c r="M51" s="7">
        <f>+[1]Resumen!M51*1000</f>
        <v>0</v>
      </c>
      <c r="N51" s="7">
        <f>+[1]Resumen!N51*1000</f>
        <v>218843.66947542428</v>
      </c>
      <c r="O51" s="7">
        <f>+[1]Resumen!O51*1000</f>
        <v>236018.69469926495</v>
      </c>
      <c r="P51" s="7">
        <f>+[1]Resumen!P51*1000</f>
        <v>259536.64542204552</v>
      </c>
      <c r="Q51" s="7">
        <f>+[1]Resumen!Q51*1000</f>
        <v>283435.97532525205</v>
      </c>
      <c r="R51" s="7">
        <f>+[1]Resumen!R51*1000</f>
        <v>294573.90502926655</v>
      </c>
      <c r="S51" s="7">
        <f>+[1]Resumen!S51*1000</f>
        <v>292254.36005186551</v>
      </c>
      <c r="T51" s="7">
        <f>+[1]Resumen!T51*1000</f>
        <v>295927.30960055417</v>
      </c>
      <c r="U51" s="7">
        <f>+[1]Resumen!U51*1000</f>
        <v>296120.50172849384</v>
      </c>
      <c r="V51" s="7">
        <f>+[1]Resumen!V51*1000</f>
        <v>285937.48176034121</v>
      </c>
      <c r="W51" s="7">
        <f>+[1]Resumen!W51*1000</f>
        <v>0</v>
      </c>
      <c r="X51" s="7">
        <f>+[1]Resumen!X51*1000</f>
        <v>0</v>
      </c>
      <c r="Y51" s="7">
        <f>+[1]Resumen!Y51*1000</f>
        <v>0</v>
      </c>
      <c r="Z51" s="7">
        <f>+[1]Resumen!Z51*1000</f>
        <v>0</v>
      </c>
      <c r="AA51" s="7">
        <f>+[1]Resumen!AA51*1000</f>
        <v>0</v>
      </c>
      <c r="AB51" s="7">
        <f>+[1]Resumen!AB51*1000</f>
        <v>0</v>
      </c>
      <c r="AC51" s="7">
        <f>+[1]Resumen!AC51*1000</f>
        <v>0</v>
      </c>
      <c r="AD51" s="60">
        <f t="shared" ref="AD51" si="9">SUM(F51:AC51)*E51+SUM(F52:AC52)*E52+SUM(F53:AC53)*E53+SUM(F54:AC54)*E54</f>
        <v>69881443.764367133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+[1]Resumen!F52*1000</f>
        <v>0</v>
      </c>
      <c r="G52" s="7">
        <f>+[1]Resumen!G52*1000</f>
        <v>0</v>
      </c>
      <c r="H52" s="7">
        <f>+[1]Resumen!H52*1000</f>
        <v>0</v>
      </c>
      <c r="I52" s="7">
        <f>+[1]Resumen!I52*1000</f>
        <v>0</v>
      </c>
      <c r="J52" s="7">
        <f>+[1]Resumen!J52*1000</f>
        <v>0</v>
      </c>
      <c r="K52" s="7">
        <f>+[1]Resumen!K52*1000</f>
        <v>0</v>
      </c>
      <c r="L52" s="7">
        <f>+[1]Resumen!L52*1000</f>
        <v>0</v>
      </c>
      <c r="M52" s="7">
        <f>+[1]Resumen!M52*1000</f>
        <v>0</v>
      </c>
      <c r="N52" s="7">
        <f>+[1]Resumen!N52*1000</f>
        <v>193358.09964775573</v>
      </c>
      <c r="O52" s="7">
        <f>+[1]Resumen!O52*1000</f>
        <v>220694.49717880946</v>
      </c>
      <c r="P52" s="7">
        <f>+[1]Resumen!P52*1000</f>
        <v>239447.08623223379</v>
      </c>
      <c r="Q52" s="7">
        <f>+[1]Resumen!Q52*1000</f>
        <v>252835.38868937938</v>
      </c>
      <c r="R52" s="7">
        <f>+[1]Resumen!R52*1000</f>
        <v>256336.33016294483</v>
      </c>
      <c r="S52" s="7">
        <f>+[1]Resumen!S52*1000</f>
        <v>254113.08321572005</v>
      </c>
      <c r="T52" s="7">
        <f>+[1]Resumen!T52*1000</f>
        <v>250200.76995457019</v>
      </c>
      <c r="U52" s="7">
        <f>+[1]Resumen!U52*1000</f>
        <v>242850.0171639839</v>
      </c>
      <c r="V52" s="7">
        <f>+[1]Resumen!V52*1000</f>
        <v>235368.97156797835</v>
      </c>
      <c r="W52" s="7">
        <f>+[1]Resumen!W52*1000</f>
        <v>0</v>
      </c>
      <c r="X52" s="7">
        <f>+[1]Resumen!X52*1000</f>
        <v>0</v>
      </c>
      <c r="Y52" s="7">
        <f>+[1]Resumen!Y52*1000</f>
        <v>0</v>
      </c>
      <c r="Z52" s="7">
        <f>+[1]Resumen!Z52*1000</f>
        <v>0</v>
      </c>
      <c r="AA52" s="7">
        <f>+[1]Resumen!AA52*1000</f>
        <v>0</v>
      </c>
      <c r="AB52" s="7">
        <f>+[1]Resumen!AB52*1000</f>
        <v>0</v>
      </c>
      <c r="AC52" s="7">
        <f>+[1]Resumen!AC52*1000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+[1]Resumen!F53*1000</f>
        <v>0</v>
      </c>
      <c r="G53" s="7">
        <f>+[1]Resumen!G53*1000</f>
        <v>0</v>
      </c>
      <c r="H53" s="7">
        <f>+[1]Resumen!H53*1000</f>
        <v>0</v>
      </c>
      <c r="I53" s="7">
        <f>+[1]Resumen!I53*1000</f>
        <v>0</v>
      </c>
      <c r="J53" s="7">
        <f>+[1]Resumen!J53*1000</f>
        <v>0</v>
      </c>
      <c r="K53" s="7">
        <f>+[1]Resumen!K53*1000</f>
        <v>0</v>
      </c>
      <c r="L53" s="7">
        <f>+[1]Resumen!L53*1000</f>
        <v>0</v>
      </c>
      <c r="M53" s="7">
        <f>+[1]Resumen!M53*1000</f>
        <v>0</v>
      </c>
      <c r="N53" s="7">
        <f>+[1]Resumen!N53*1000</f>
        <v>135033.84185426461</v>
      </c>
      <c r="O53" s="7">
        <f>+[1]Resumen!O53*1000</f>
        <v>159988.15461822733</v>
      </c>
      <c r="P53" s="7">
        <f>+[1]Resumen!P53*1000</f>
        <v>182066.71565493906</v>
      </c>
      <c r="Q53" s="7">
        <f>+[1]Resumen!Q53*1000</f>
        <v>202090.94394493083</v>
      </c>
      <c r="R53" s="7">
        <f>+[1]Resumen!R53*1000</f>
        <v>214122.09512024143</v>
      </c>
      <c r="S53" s="7">
        <f>+[1]Resumen!S53*1000</f>
        <v>219409.14838773967</v>
      </c>
      <c r="T53" s="7">
        <f>+[1]Resumen!T53*1000</f>
        <v>215358.58529195274</v>
      </c>
      <c r="U53" s="7">
        <f>+[1]Resumen!U53*1000</f>
        <v>215296.25365284868</v>
      </c>
      <c r="V53" s="7">
        <f>+[1]Resumen!V53*1000</f>
        <v>212789.4677619884</v>
      </c>
      <c r="W53" s="7">
        <f>+[1]Resumen!W53*1000</f>
        <v>0</v>
      </c>
      <c r="X53" s="7">
        <f>+[1]Resumen!X53*1000</f>
        <v>0</v>
      </c>
      <c r="Y53" s="7">
        <f>+[1]Resumen!Y53*1000</f>
        <v>0</v>
      </c>
      <c r="Z53" s="7">
        <f>+[1]Resumen!Z53*1000</f>
        <v>0</v>
      </c>
      <c r="AA53" s="7">
        <f>+[1]Resumen!AA53*1000</f>
        <v>0</v>
      </c>
      <c r="AB53" s="7">
        <f>+[1]Resumen!AB53*1000</f>
        <v>0</v>
      </c>
      <c r="AC53" s="7">
        <f>+[1]Resumen!AC53*1000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+[1]Resumen!F54*1000</f>
        <v>0</v>
      </c>
      <c r="G54" s="7">
        <f>+[1]Resumen!G54*1000</f>
        <v>0</v>
      </c>
      <c r="H54" s="7">
        <f>+[1]Resumen!H54*1000</f>
        <v>0</v>
      </c>
      <c r="I54" s="7">
        <f>+[1]Resumen!I54*1000</f>
        <v>0</v>
      </c>
      <c r="J54" s="7">
        <f>+[1]Resumen!J54*1000</f>
        <v>0</v>
      </c>
      <c r="K54" s="7">
        <f>+[1]Resumen!K54*1000</f>
        <v>0</v>
      </c>
      <c r="L54" s="7">
        <f>+[1]Resumen!L54*1000</f>
        <v>0</v>
      </c>
      <c r="M54" s="7">
        <f>+[1]Resumen!M54*1000</f>
        <v>0</v>
      </c>
      <c r="N54" s="7">
        <f>+[1]Resumen!N54*1000</f>
        <v>76256.146932045071</v>
      </c>
      <c r="O54" s="7">
        <f>+[1]Resumen!O54*1000</f>
        <v>100042.34699178356</v>
      </c>
      <c r="P54" s="7">
        <f>+[1]Resumen!P54*1000</f>
        <v>122112.67661895968</v>
      </c>
      <c r="Q54" s="7">
        <f>+[1]Resumen!Q54*1000</f>
        <v>142990.66292142804</v>
      </c>
      <c r="R54" s="7">
        <f>+[1]Resumen!R54*1000</f>
        <v>163338.08284168039</v>
      </c>
      <c r="S54" s="7">
        <f>+[1]Resumen!S54*1000</f>
        <v>169334.07808217025</v>
      </c>
      <c r="T54" s="7">
        <f>+[1]Resumen!T54*1000</f>
        <v>166101.24402470869</v>
      </c>
      <c r="U54" s="7">
        <f>+[1]Resumen!U54*1000</f>
        <v>169478.52512743464</v>
      </c>
      <c r="V54" s="7">
        <f>+[1]Resumen!V54*1000</f>
        <v>170539.51597101273</v>
      </c>
      <c r="W54" s="7">
        <f>+[1]Resumen!W54*1000</f>
        <v>0</v>
      </c>
      <c r="X54" s="7">
        <f>+[1]Resumen!X54*1000</f>
        <v>0</v>
      </c>
      <c r="Y54" s="7">
        <f>+[1]Resumen!Y54*1000</f>
        <v>0</v>
      </c>
      <c r="Z54" s="7">
        <f>+[1]Resumen!Z54*1000</f>
        <v>0</v>
      </c>
      <c r="AA54" s="7">
        <f>+[1]Resumen!AA54*1000</f>
        <v>0</v>
      </c>
      <c r="AB54" s="7">
        <f>+[1]Resumen!AB54*1000</f>
        <v>0</v>
      </c>
      <c r="AC54" s="7">
        <f>+[1]Resumen!AC54*1000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64" t="s">
        <v>46</v>
      </c>
      <c r="AB55" s="65"/>
      <c r="AC55" s="66"/>
      <c r="AD55" s="17">
        <f>SUM(AD7:AD54)</f>
        <v>709595678.27070045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>
      <c r="AD56" s="10"/>
    </row>
    <row r="57" spans="3:56">
      <c r="AD57" s="18"/>
    </row>
  </sheetData>
  <mergeCells count="16"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W7:AC23 F7:M18 F47:M54 W24:AC37 F38:M46 F24:M37 W47:AC54 AD7:AD54 F20 F19:M19 F21:M23 G20:M20 W38:AC46 N20 N21:N23 N19 N47:V54 N24:V37 N38:V46 N7:V18 O20:V20 O19:V19 O21:V23" unlockedFormula="1"/>
    <ignoredError sqref="AD55" unlockedFormula="1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2AA8-98C1-46E7-8643-504944318B04}">
  <sheetPr codeName="Hoja4"/>
  <dimension ref="C1:BD57"/>
  <sheetViews>
    <sheetView showGridLines="0" topLeftCell="A41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08984375" style="1" bestFit="1" customWidth="1"/>
    <col min="5" max="5" width="7.6328125" style="1" bestFit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2027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19</v>
      </c>
      <c r="F7" s="7">
        <f>+[2]Resumen!F7*1000</f>
        <v>0</v>
      </c>
      <c r="G7" s="7">
        <f>+[2]Resumen!G7*1000</f>
        <v>0</v>
      </c>
      <c r="H7" s="7">
        <f>+[2]Resumen!H7*1000</f>
        <v>0</v>
      </c>
      <c r="I7" s="7">
        <f>+[2]Resumen!I7*1000</f>
        <v>0</v>
      </c>
      <c r="J7" s="7">
        <f>+[2]Resumen!J7*1000</f>
        <v>0</v>
      </c>
      <c r="K7" s="7">
        <f>+[2]Resumen!K7*1000</f>
        <v>0</v>
      </c>
      <c r="L7" s="7">
        <f>+[2]Resumen!L7*1000</f>
        <v>0</v>
      </c>
      <c r="M7" s="7">
        <f>+[2]Resumen!M7*1000</f>
        <v>171481.34571077858</v>
      </c>
      <c r="N7" s="7">
        <f>+[2]Resumen!N7*1000</f>
        <v>192565.60977450808</v>
      </c>
      <c r="O7" s="7">
        <f>+[2]Resumen!O7*1000</f>
        <v>203248.25199543347</v>
      </c>
      <c r="P7" s="7">
        <f>+[2]Resumen!P7*1000</f>
        <v>223151.04398122133</v>
      </c>
      <c r="Q7" s="7">
        <f>+[2]Resumen!Q7*1000</f>
        <v>240726.25129885925</v>
      </c>
      <c r="R7" s="7">
        <f>+[2]Resumen!R7*1000</f>
        <v>249042.36898709461</v>
      </c>
      <c r="S7" s="7">
        <f>+[2]Resumen!S7*1000</f>
        <v>250692.38258948692</v>
      </c>
      <c r="T7" s="7">
        <f>+[2]Resumen!T7*1000</f>
        <v>259210.30808576211</v>
      </c>
      <c r="U7" s="7">
        <f>+[2]Resumen!U7*1000</f>
        <v>261472.966845541</v>
      </c>
      <c r="V7" s="7">
        <f>+[2]Resumen!V7*1000</f>
        <v>253428.77485565521</v>
      </c>
      <c r="W7" s="7">
        <f>+[2]Resumen!W7*1000</f>
        <v>0</v>
      </c>
      <c r="X7" s="7">
        <f>+[2]Resumen!X7*1000</f>
        <v>0</v>
      </c>
      <c r="Y7" s="7">
        <f>+[2]Resumen!Y7*1000</f>
        <v>0</v>
      </c>
      <c r="Z7" s="7">
        <f>+[2]Resumen!Z7*1000</f>
        <v>0</v>
      </c>
      <c r="AA7" s="7">
        <f>+[2]Resumen!AA7*1000</f>
        <v>0</v>
      </c>
      <c r="AB7" s="7">
        <f>+[2]Resumen!AB7*1000</f>
        <v>0</v>
      </c>
      <c r="AC7" s="7">
        <f>+[2]Resumen!AC7*1000</f>
        <v>0</v>
      </c>
      <c r="AD7" s="60">
        <f>SUM(F7:AC7)*E7+SUM(F8:AC8)*E8+SUM(F9:AC9)*E9+SUM(F10:AC10)*E10</f>
        <v>63756662.530606858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+[2]Resumen!F8*1000</f>
        <v>0</v>
      </c>
      <c r="G8" s="7">
        <f>+[2]Resumen!G8*1000</f>
        <v>0</v>
      </c>
      <c r="H8" s="7">
        <f>+[2]Resumen!H8*1000</f>
        <v>0</v>
      </c>
      <c r="I8" s="7">
        <f>+[2]Resumen!I8*1000</f>
        <v>0</v>
      </c>
      <c r="J8" s="7">
        <f>+[2]Resumen!J8*1000</f>
        <v>0</v>
      </c>
      <c r="K8" s="7">
        <f>+[2]Resumen!K8*1000</f>
        <v>0</v>
      </c>
      <c r="L8" s="7">
        <f>+[2]Resumen!L8*1000</f>
        <v>0</v>
      </c>
      <c r="M8" s="7">
        <f>+[2]Resumen!M8*1000</f>
        <v>137706.04839927517</v>
      </c>
      <c r="N8" s="7">
        <f>+[2]Resumen!N8*1000</f>
        <v>161730.91687784216</v>
      </c>
      <c r="O8" s="7">
        <f>+[2]Resumen!O8*1000</f>
        <v>180534.97746430189</v>
      </c>
      <c r="P8" s="7">
        <f>+[2]Resumen!P8*1000</f>
        <v>194675.7497091484</v>
      </c>
      <c r="Q8" s="7">
        <f>+[2]Resumen!Q8*1000</f>
        <v>209074.77949854935</v>
      </c>
      <c r="R8" s="7">
        <f>+[2]Resumen!R8*1000</f>
        <v>209940.76027130365</v>
      </c>
      <c r="S8" s="7">
        <f>+[2]Resumen!S8*1000</f>
        <v>209505.04322327077</v>
      </c>
      <c r="T8" s="7">
        <f>+[2]Resumen!T8*1000</f>
        <v>206220.33062292947</v>
      </c>
      <c r="U8" s="7">
        <f>+[2]Resumen!U8*1000</f>
        <v>205664.3268523975</v>
      </c>
      <c r="V8" s="7">
        <f>+[2]Resumen!V8*1000</f>
        <v>206741.84604363714</v>
      </c>
      <c r="W8" s="7">
        <f>+[2]Resumen!W8*1000</f>
        <v>0</v>
      </c>
      <c r="X8" s="7">
        <f>+[2]Resumen!X8*1000</f>
        <v>0</v>
      </c>
      <c r="Y8" s="7">
        <f>+[2]Resumen!Y8*1000</f>
        <v>0</v>
      </c>
      <c r="Z8" s="7">
        <f>+[2]Resumen!Z8*1000</f>
        <v>0</v>
      </c>
      <c r="AA8" s="7">
        <f>+[2]Resumen!AA8*1000</f>
        <v>0</v>
      </c>
      <c r="AB8" s="7">
        <f>+[2]Resumen!AB8*1000</f>
        <v>0</v>
      </c>
      <c r="AC8" s="7">
        <f>+[2]Resumen!AC8*1000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+[2]Resumen!F9*1000</f>
        <v>0</v>
      </c>
      <c r="G9" s="7">
        <f>+[2]Resumen!G9*1000</f>
        <v>0</v>
      </c>
      <c r="H9" s="7">
        <f>+[2]Resumen!H9*1000</f>
        <v>0</v>
      </c>
      <c r="I9" s="7">
        <f>+[2]Resumen!I9*1000</f>
        <v>0</v>
      </c>
      <c r="J9" s="7">
        <f>+[2]Resumen!J9*1000</f>
        <v>0</v>
      </c>
      <c r="K9" s="7">
        <f>+[2]Resumen!K9*1000</f>
        <v>0</v>
      </c>
      <c r="L9" s="7">
        <f>+[2]Resumen!L9*1000</f>
        <v>0</v>
      </c>
      <c r="M9" s="7">
        <f>+[2]Resumen!M9*1000</f>
        <v>100756.85594085688</v>
      </c>
      <c r="N9" s="7">
        <f>+[2]Resumen!N9*1000</f>
        <v>118014.62931576998</v>
      </c>
      <c r="O9" s="7">
        <f>+[2]Resumen!O9*1000</f>
        <v>134876.06107614498</v>
      </c>
      <c r="P9" s="7">
        <f>+[2]Resumen!P9*1000</f>
        <v>148094.5509051671</v>
      </c>
      <c r="Q9" s="7">
        <f>+[2]Resumen!Q9*1000</f>
        <v>167442.78520935221</v>
      </c>
      <c r="R9" s="7">
        <f>+[2]Resumen!R9*1000</f>
        <v>179849.29610460988</v>
      </c>
      <c r="S9" s="7">
        <f>+[2]Resumen!S9*1000</f>
        <v>187710.56655632684</v>
      </c>
      <c r="T9" s="7">
        <f>+[2]Resumen!T9*1000</f>
        <v>187329.96640380763</v>
      </c>
      <c r="U9" s="7">
        <f>+[2]Resumen!U9*1000</f>
        <v>185277.40868496388</v>
      </c>
      <c r="V9" s="7">
        <f>+[2]Resumen!V9*1000</f>
        <v>183426.0402662445</v>
      </c>
      <c r="W9" s="7">
        <f>+[2]Resumen!W9*1000</f>
        <v>0</v>
      </c>
      <c r="X9" s="7">
        <f>+[2]Resumen!X9*1000</f>
        <v>0</v>
      </c>
      <c r="Y9" s="7">
        <f>+[2]Resumen!Y9*1000</f>
        <v>0</v>
      </c>
      <c r="Z9" s="7">
        <f>+[2]Resumen!Z9*1000</f>
        <v>0</v>
      </c>
      <c r="AA9" s="7">
        <f>+[2]Resumen!AA9*1000</f>
        <v>0</v>
      </c>
      <c r="AB9" s="7">
        <f>+[2]Resumen!AB9*1000</f>
        <v>0</v>
      </c>
      <c r="AC9" s="7">
        <f>+[2]Resumen!AC9*1000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+[2]Resumen!F10*1000</f>
        <v>0</v>
      </c>
      <c r="G10" s="7">
        <f>+[2]Resumen!G10*1000</f>
        <v>0</v>
      </c>
      <c r="H10" s="7">
        <f>+[2]Resumen!H10*1000</f>
        <v>0</v>
      </c>
      <c r="I10" s="7">
        <f>+[2]Resumen!I10*1000</f>
        <v>0</v>
      </c>
      <c r="J10" s="7">
        <f>+[2]Resumen!J10*1000</f>
        <v>0</v>
      </c>
      <c r="K10" s="7">
        <f>+[2]Resumen!K10*1000</f>
        <v>0</v>
      </c>
      <c r="L10" s="7">
        <f>+[2]Resumen!L10*1000</f>
        <v>0</v>
      </c>
      <c r="M10" s="7">
        <f>+[2]Resumen!M10*1000</f>
        <v>66624.522757277475</v>
      </c>
      <c r="N10" s="7">
        <f>+[2]Resumen!N10*1000</f>
        <v>77223.387645477356</v>
      </c>
      <c r="O10" s="7">
        <f>+[2]Resumen!O10*1000</f>
        <v>90097.57763865561</v>
      </c>
      <c r="P10" s="7">
        <f>+[2]Resumen!P10*1000</f>
        <v>106386.71534959706</v>
      </c>
      <c r="Q10" s="7">
        <f>+[2]Resumen!Q10*1000</f>
        <v>125690.30383593685</v>
      </c>
      <c r="R10" s="7">
        <f>+[2]Resumen!R10*1000</f>
        <v>141983.2484195414</v>
      </c>
      <c r="S10" s="7">
        <f>+[2]Resumen!S10*1000</f>
        <v>148805.8350080098</v>
      </c>
      <c r="T10" s="7">
        <f>+[2]Resumen!T10*1000</f>
        <v>149190.03296009396</v>
      </c>
      <c r="U10" s="7">
        <f>+[2]Resumen!U10*1000</f>
        <v>144868.78820713979</v>
      </c>
      <c r="V10" s="7">
        <f>+[2]Resumen!V10*1000</f>
        <v>143345.11573571537</v>
      </c>
      <c r="W10" s="7">
        <f>+[2]Resumen!W10*1000</f>
        <v>0</v>
      </c>
      <c r="X10" s="7">
        <f>+[2]Resumen!X10*1000</f>
        <v>0</v>
      </c>
      <c r="Y10" s="7">
        <f>+[2]Resumen!Y10*1000</f>
        <v>0</v>
      </c>
      <c r="Z10" s="7">
        <f>+[2]Resumen!Z10*1000</f>
        <v>0</v>
      </c>
      <c r="AA10" s="7">
        <f>+[2]Resumen!AA10*1000</f>
        <v>0</v>
      </c>
      <c r="AB10" s="7">
        <f>+[2]Resumen!AB10*1000</f>
        <v>0</v>
      </c>
      <c r="AC10" s="7">
        <f>+[2]Resumen!AC10*1000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+[2]Resumen!F11*1000</f>
        <v>0</v>
      </c>
      <c r="G11" s="7">
        <f>+[2]Resumen!G11*1000</f>
        <v>0</v>
      </c>
      <c r="H11" s="7">
        <f>+[2]Resumen!H11*1000</f>
        <v>0</v>
      </c>
      <c r="I11" s="7">
        <f>+[2]Resumen!I11*1000</f>
        <v>0</v>
      </c>
      <c r="J11" s="7">
        <f>+[2]Resumen!J11*1000</f>
        <v>0</v>
      </c>
      <c r="K11" s="7">
        <f>+[2]Resumen!K11*1000</f>
        <v>0</v>
      </c>
      <c r="L11" s="7">
        <f>+[2]Resumen!L11*1000</f>
        <v>0</v>
      </c>
      <c r="M11" s="7">
        <f>+[2]Resumen!M11*1000</f>
        <v>236163.38773541592</v>
      </c>
      <c r="N11" s="7">
        <f>+[2]Resumen!N11*1000</f>
        <v>253606.74833049995</v>
      </c>
      <c r="O11" s="7">
        <f>+[2]Resumen!O11*1000</f>
        <v>262584.29489903577</v>
      </c>
      <c r="P11" s="7">
        <f>+[2]Resumen!P11*1000</f>
        <v>285355.91824732407</v>
      </c>
      <c r="Q11" s="7">
        <f>+[2]Resumen!Q11*1000</f>
        <v>301869.87051848671</v>
      </c>
      <c r="R11" s="7">
        <f>+[2]Resumen!R11*1000</f>
        <v>301102.48513429298</v>
      </c>
      <c r="S11" s="7">
        <f>+[2]Resumen!S11*1000</f>
        <v>300605.17863608134</v>
      </c>
      <c r="T11" s="7">
        <f>+[2]Resumen!T11*1000</f>
        <v>308102.73158795887</v>
      </c>
      <c r="U11" s="7">
        <f>+[2]Resumen!U11*1000</f>
        <v>310930.88081010076</v>
      </c>
      <c r="V11" s="7">
        <f>+[2]Resumen!V11*1000</f>
        <v>303223.24424004619</v>
      </c>
      <c r="W11" s="7">
        <f>+[2]Resumen!W11*1000</f>
        <v>0</v>
      </c>
      <c r="X11" s="7">
        <f>+[2]Resumen!X11*1000</f>
        <v>0</v>
      </c>
      <c r="Y11" s="7">
        <f>+[2]Resumen!Y11*1000</f>
        <v>0</v>
      </c>
      <c r="Z11" s="7">
        <f>+[2]Resumen!Z11*1000</f>
        <v>0</v>
      </c>
      <c r="AA11" s="7">
        <f>+[2]Resumen!AA11*1000</f>
        <v>0</v>
      </c>
      <c r="AB11" s="7">
        <f>+[2]Resumen!AB11*1000</f>
        <v>0</v>
      </c>
      <c r="AC11" s="7">
        <f>+[2]Resumen!AC11*1000</f>
        <v>0</v>
      </c>
      <c r="AD11" s="60">
        <f>SUM(F11:AC11)*E11+SUM(F12:AC12)*E12+SUM(F13:AC13)*E13+SUM(F14:AC14)*E14</f>
        <v>76709571.23707442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+[2]Resumen!F12*1000</f>
        <v>0</v>
      </c>
      <c r="G12" s="7">
        <f>+[2]Resumen!G12*1000</f>
        <v>0</v>
      </c>
      <c r="H12" s="7">
        <f>+[2]Resumen!H12*1000</f>
        <v>0</v>
      </c>
      <c r="I12" s="7">
        <f>+[2]Resumen!I12*1000</f>
        <v>0</v>
      </c>
      <c r="J12" s="7">
        <f>+[2]Resumen!J12*1000</f>
        <v>0</v>
      </c>
      <c r="K12" s="7">
        <f>+[2]Resumen!K12*1000</f>
        <v>0</v>
      </c>
      <c r="L12" s="7">
        <f>+[2]Resumen!L12*1000</f>
        <v>0</v>
      </c>
      <c r="M12" s="7">
        <f>+[2]Resumen!M12*1000</f>
        <v>209586.60786570699</v>
      </c>
      <c r="N12" s="7">
        <f>+[2]Resumen!N12*1000</f>
        <v>242922.90393925994</v>
      </c>
      <c r="O12" s="7">
        <f>+[2]Resumen!O12*1000</f>
        <v>263113.23241472966</v>
      </c>
      <c r="P12" s="7">
        <f>+[2]Resumen!P12*1000</f>
        <v>280844.60862534569</v>
      </c>
      <c r="Q12" s="7">
        <f>+[2]Resumen!Q12*1000</f>
        <v>287959.58394165011</v>
      </c>
      <c r="R12" s="7">
        <f>+[2]Resumen!R12*1000</f>
        <v>283872.02193283261</v>
      </c>
      <c r="S12" s="7">
        <f>+[2]Resumen!S12*1000</f>
        <v>278760.2805069543</v>
      </c>
      <c r="T12" s="7">
        <f>+[2]Resumen!T12*1000</f>
        <v>274510.76524944179</v>
      </c>
      <c r="U12" s="7">
        <f>+[2]Resumen!U12*1000</f>
        <v>275415.55521604983</v>
      </c>
      <c r="V12" s="7">
        <f>+[2]Resumen!V12*1000</f>
        <v>274469.02903221309</v>
      </c>
      <c r="W12" s="7">
        <f>+[2]Resumen!W12*1000</f>
        <v>0</v>
      </c>
      <c r="X12" s="7">
        <f>+[2]Resumen!X12*1000</f>
        <v>0</v>
      </c>
      <c r="Y12" s="7">
        <f>+[2]Resumen!Y12*1000</f>
        <v>0</v>
      </c>
      <c r="Z12" s="7">
        <f>+[2]Resumen!Z12*1000</f>
        <v>0</v>
      </c>
      <c r="AA12" s="7">
        <f>+[2]Resumen!AA12*1000</f>
        <v>0</v>
      </c>
      <c r="AB12" s="7">
        <f>+[2]Resumen!AB12*1000</f>
        <v>0</v>
      </c>
      <c r="AC12" s="7">
        <f>+[2]Resumen!AC12*1000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+[2]Resumen!F13*1000</f>
        <v>0</v>
      </c>
      <c r="G13" s="7">
        <f>+[2]Resumen!G13*1000</f>
        <v>0</v>
      </c>
      <c r="H13" s="7">
        <f>+[2]Resumen!H13*1000</f>
        <v>0</v>
      </c>
      <c r="I13" s="7">
        <f>+[2]Resumen!I13*1000</f>
        <v>0</v>
      </c>
      <c r="J13" s="7">
        <f>+[2]Resumen!J13*1000</f>
        <v>0</v>
      </c>
      <c r="K13" s="7">
        <f>+[2]Resumen!K13*1000</f>
        <v>0</v>
      </c>
      <c r="L13" s="7">
        <f>+[2]Resumen!L13*1000</f>
        <v>0</v>
      </c>
      <c r="M13" s="7">
        <f>+[2]Resumen!M13*1000</f>
        <v>148915.33704319329</v>
      </c>
      <c r="N13" s="7">
        <f>+[2]Resumen!N13*1000</f>
        <v>171894.82260799015</v>
      </c>
      <c r="O13" s="7">
        <f>+[2]Resumen!O13*1000</f>
        <v>191364.31930913264</v>
      </c>
      <c r="P13" s="7">
        <f>+[2]Resumen!P13*1000</f>
        <v>209397.72774423932</v>
      </c>
      <c r="Q13" s="7">
        <f>+[2]Resumen!Q13*1000</f>
        <v>232209.5802411733</v>
      </c>
      <c r="R13" s="7">
        <f>+[2]Resumen!R13*1000</f>
        <v>245102.02928492785</v>
      </c>
      <c r="S13" s="7">
        <f>+[2]Resumen!S13*1000</f>
        <v>250638.14554326158</v>
      </c>
      <c r="T13" s="7">
        <f>+[2]Resumen!T13*1000</f>
        <v>249544.10086588486</v>
      </c>
      <c r="U13" s="7">
        <f>+[2]Resumen!U13*1000</f>
        <v>246241.76514564091</v>
      </c>
      <c r="V13" s="7">
        <f>+[2]Resumen!V13*1000</f>
        <v>242906.69206277013</v>
      </c>
      <c r="W13" s="7">
        <f>+[2]Resumen!W13*1000</f>
        <v>0</v>
      </c>
      <c r="X13" s="7">
        <f>+[2]Resumen!X13*1000</f>
        <v>0</v>
      </c>
      <c r="Y13" s="7">
        <f>+[2]Resumen!Y13*1000</f>
        <v>0</v>
      </c>
      <c r="Z13" s="7">
        <f>+[2]Resumen!Z13*1000</f>
        <v>0</v>
      </c>
      <c r="AA13" s="7">
        <f>+[2]Resumen!AA13*1000</f>
        <v>0</v>
      </c>
      <c r="AB13" s="7">
        <f>+[2]Resumen!AB13*1000</f>
        <v>0</v>
      </c>
      <c r="AC13" s="7">
        <f>+[2]Resumen!AC13*1000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+[2]Resumen!F14*1000</f>
        <v>0</v>
      </c>
      <c r="G14" s="7">
        <f>+[2]Resumen!G14*1000</f>
        <v>0</v>
      </c>
      <c r="H14" s="7">
        <f>+[2]Resumen!H14*1000</f>
        <v>0</v>
      </c>
      <c r="I14" s="7">
        <f>+[2]Resumen!I14*1000</f>
        <v>0</v>
      </c>
      <c r="J14" s="7">
        <f>+[2]Resumen!J14*1000</f>
        <v>0</v>
      </c>
      <c r="K14" s="7">
        <f>+[2]Resumen!K14*1000</f>
        <v>0</v>
      </c>
      <c r="L14" s="7">
        <f>+[2]Resumen!L14*1000</f>
        <v>0</v>
      </c>
      <c r="M14" s="7">
        <f>+[2]Resumen!M14*1000</f>
        <v>0</v>
      </c>
      <c r="N14" s="7">
        <f>+[2]Resumen!N14*1000</f>
        <v>0</v>
      </c>
      <c r="O14" s="7">
        <f>+[2]Resumen!O14*1000</f>
        <v>0</v>
      </c>
      <c r="P14" s="7">
        <f>+[2]Resumen!P14*1000</f>
        <v>0</v>
      </c>
      <c r="Q14" s="7">
        <f>+[2]Resumen!Q14*1000</f>
        <v>0</v>
      </c>
      <c r="R14" s="7">
        <f>+[2]Resumen!R14*1000</f>
        <v>0</v>
      </c>
      <c r="S14" s="7">
        <f>+[2]Resumen!S14*1000</f>
        <v>0</v>
      </c>
      <c r="T14" s="7">
        <f>+[2]Resumen!T14*1000</f>
        <v>0</v>
      </c>
      <c r="U14" s="7">
        <f>+[2]Resumen!U14*1000</f>
        <v>0</v>
      </c>
      <c r="V14" s="7">
        <f>+[2]Resumen!V14*1000</f>
        <v>0</v>
      </c>
      <c r="W14" s="7">
        <f>+[2]Resumen!W14*1000</f>
        <v>0</v>
      </c>
      <c r="X14" s="7">
        <f>+[2]Resumen!X14*1000</f>
        <v>0</v>
      </c>
      <c r="Y14" s="7">
        <f>+[2]Resumen!Y14*1000</f>
        <v>0</v>
      </c>
      <c r="Z14" s="7">
        <f>+[2]Resumen!Z14*1000</f>
        <v>0</v>
      </c>
      <c r="AA14" s="7">
        <f>+[2]Resumen!AA14*1000</f>
        <v>0</v>
      </c>
      <c r="AB14" s="7">
        <f>+[2]Resumen!AB14*1000</f>
        <v>0</v>
      </c>
      <c r="AC14" s="7">
        <f>+[2]Resumen!AC14*1000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+[2]Resumen!F15*1000</f>
        <v>0</v>
      </c>
      <c r="G15" s="7">
        <f>+[2]Resumen!G15*1000</f>
        <v>0</v>
      </c>
      <c r="H15" s="7">
        <f>+[2]Resumen!H15*1000</f>
        <v>0</v>
      </c>
      <c r="I15" s="7">
        <f>+[2]Resumen!I15*1000</f>
        <v>0</v>
      </c>
      <c r="J15" s="7">
        <f>+[2]Resumen!J15*1000</f>
        <v>0</v>
      </c>
      <c r="K15" s="7">
        <f>+[2]Resumen!K15*1000</f>
        <v>0</v>
      </c>
      <c r="L15" s="7">
        <f>+[2]Resumen!L15*1000</f>
        <v>0</v>
      </c>
      <c r="M15" s="7">
        <f>+[2]Resumen!M15*1000</f>
        <v>162009.56776085048</v>
      </c>
      <c r="N15" s="7">
        <f>+[2]Resumen!N15*1000</f>
        <v>174089.5674563697</v>
      </c>
      <c r="O15" s="7">
        <f>+[2]Resumen!O15*1000</f>
        <v>181105.41598998892</v>
      </c>
      <c r="P15" s="7">
        <f>+[2]Resumen!P15*1000</f>
        <v>198897.42339908367</v>
      </c>
      <c r="Q15" s="7">
        <f>+[2]Resumen!Q15*1000</f>
        <v>211904.93233788232</v>
      </c>
      <c r="R15" s="7">
        <f>+[2]Resumen!R15*1000</f>
        <v>211999.59018309345</v>
      </c>
      <c r="S15" s="7">
        <f>+[2]Resumen!S15*1000</f>
        <v>213944.96309359209</v>
      </c>
      <c r="T15" s="7">
        <f>+[2]Resumen!T15*1000</f>
        <v>222531.47327745674</v>
      </c>
      <c r="U15" s="7">
        <f>+[2]Resumen!U15*1000</f>
        <v>223567.87475938321</v>
      </c>
      <c r="V15" s="7">
        <f>+[2]Resumen!V15*1000</f>
        <v>217182.45130787691</v>
      </c>
      <c r="W15" s="7">
        <f>+[2]Resumen!W15*1000</f>
        <v>0</v>
      </c>
      <c r="X15" s="7">
        <f>+[2]Resumen!X15*1000</f>
        <v>0</v>
      </c>
      <c r="Y15" s="7">
        <f>+[2]Resumen!Y15*1000</f>
        <v>0</v>
      </c>
      <c r="Z15" s="7">
        <f>+[2]Resumen!Z15*1000</f>
        <v>0</v>
      </c>
      <c r="AA15" s="7">
        <f>+[2]Resumen!AA15*1000</f>
        <v>0</v>
      </c>
      <c r="AB15" s="7">
        <f>+[2]Resumen!AB15*1000</f>
        <v>0</v>
      </c>
      <c r="AC15" s="7">
        <f>+[2]Resumen!AC15*1000</f>
        <v>0</v>
      </c>
      <c r="AD15" s="60">
        <f t="shared" ref="AD15" si="0">SUM(F15:AC15)*E15+SUM(F16:AC16)*E16+SUM(F17:AC17)*E17+SUM(F18:AC18)*E18</f>
        <v>58588906.945879892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+[2]Resumen!F16*1000</f>
        <v>0</v>
      </c>
      <c r="G16" s="7">
        <f>+[2]Resumen!G16*1000</f>
        <v>0</v>
      </c>
      <c r="H16" s="7">
        <f>+[2]Resumen!H16*1000</f>
        <v>0</v>
      </c>
      <c r="I16" s="7">
        <f>+[2]Resumen!I16*1000</f>
        <v>0</v>
      </c>
      <c r="J16" s="7">
        <f>+[2]Resumen!J16*1000</f>
        <v>0</v>
      </c>
      <c r="K16" s="7">
        <f>+[2]Resumen!K16*1000</f>
        <v>0</v>
      </c>
      <c r="L16" s="7">
        <f>+[2]Resumen!L16*1000</f>
        <v>0</v>
      </c>
      <c r="M16" s="7">
        <f>+[2]Resumen!M16*1000</f>
        <v>141974.77224768515</v>
      </c>
      <c r="N16" s="7">
        <f>+[2]Resumen!N16*1000</f>
        <v>163297.30124095353</v>
      </c>
      <c r="O16" s="7">
        <f>+[2]Resumen!O16*1000</f>
        <v>178139.40919371991</v>
      </c>
      <c r="P16" s="7">
        <f>+[2]Resumen!P16*1000</f>
        <v>192890.76199910828</v>
      </c>
      <c r="Q16" s="7">
        <f>+[2]Resumen!Q16*1000</f>
        <v>203370.40295305819</v>
      </c>
      <c r="R16" s="7">
        <f>+[2]Resumen!R16*1000</f>
        <v>201507.36128635585</v>
      </c>
      <c r="S16" s="7">
        <f>+[2]Resumen!S16*1000</f>
        <v>201400.69916075628</v>
      </c>
      <c r="T16" s="7">
        <f>+[2]Resumen!T16*1000</f>
        <v>201579.72671247117</v>
      </c>
      <c r="U16" s="7">
        <f>+[2]Resumen!U16*1000</f>
        <v>199964.87223609324</v>
      </c>
      <c r="V16" s="7">
        <f>+[2]Resumen!V16*1000</f>
        <v>198328.80555162684</v>
      </c>
      <c r="W16" s="7">
        <f>+[2]Resumen!W16*1000</f>
        <v>0</v>
      </c>
      <c r="X16" s="7">
        <f>+[2]Resumen!X16*1000</f>
        <v>0</v>
      </c>
      <c r="Y16" s="7">
        <f>+[2]Resumen!Y16*1000</f>
        <v>0</v>
      </c>
      <c r="Z16" s="7">
        <f>+[2]Resumen!Z16*1000</f>
        <v>0</v>
      </c>
      <c r="AA16" s="7">
        <f>+[2]Resumen!AA16*1000</f>
        <v>0</v>
      </c>
      <c r="AB16" s="7">
        <f>+[2]Resumen!AB16*1000</f>
        <v>0</v>
      </c>
      <c r="AC16" s="7">
        <f>+[2]Resumen!AC16*1000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+[2]Resumen!F17*1000</f>
        <v>0</v>
      </c>
      <c r="G17" s="7">
        <f>+[2]Resumen!G17*1000</f>
        <v>0</v>
      </c>
      <c r="H17" s="7">
        <f>+[2]Resumen!H17*1000</f>
        <v>0</v>
      </c>
      <c r="I17" s="7">
        <f>+[2]Resumen!I17*1000</f>
        <v>0</v>
      </c>
      <c r="J17" s="7">
        <f>+[2]Resumen!J17*1000</f>
        <v>0</v>
      </c>
      <c r="K17" s="7">
        <f>+[2]Resumen!K17*1000</f>
        <v>0</v>
      </c>
      <c r="L17" s="7">
        <f>+[2]Resumen!L17*1000</f>
        <v>0</v>
      </c>
      <c r="M17" s="7">
        <f>+[2]Resumen!M17*1000</f>
        <v>88891.966329250645</v>
      </c>
      <c r="N17" s="7">
        <f>+[2]Resumen!N17*1000</f>
        <v>105922.34657573137</v>
      </c>
      <c r="O17" s="7">
        <f>+[2]Resumen!O17*1000</f>
        <v>116122.64844772477</v>
      </c>
      <c r="P17" s="7">
        <f>+[2]Resumen!P17*1000</f>
        <v>128625.77724848925</v>
      </c>
      <c r="Q17" s="7">
        <f>+[2]Resumen!Q17*1000</f>
        <v>143188.99911101183</v>
      </c>
      <c r="R17" s="7">
        <f>+[2]Resumen!R17*1000</f>
        <v>154663.88899205878</v>
      </c>
      <c r="S17" s="7">
        <f>+[2]Resumen!S17*1000</f>
        <v>161990.4201496068</v>
      </c>
      <c r="T17" s="7">
        <f>+[2]Resumen!T17*1000</f>
        <v>164351.88337104456</v>
      </c>
      <c r="U17" s="7">
        <f>+[2]Resumen!U17*1000</f>
        <v>166451.71774421926</v>
      </c>
      <c r="V17" s="7">
        <f>+[2]Resumen!V17*1000</f>
        <v>164322.02947489705</v>
      </c>
      <c r="W17" s="7">
        <f>+[2]Resumen!W17*1000</f>
        <v>0</v>
      </c>
      <c r="X17" s="7">
        <f>+[2]Resumen!X17*1000</f>
        <v>0</v>
      </c>
      <c r="Y17" s="7">
        <f>+[2]Resumen!Y17*1000</f>
        <v>0</v>
      </c>
      <c r="Z17" s="7">
        <f>+[2]Resumen!Z17*1000</f>
        <v>0</v>
      </c>
      <c r="AA17" s="7">
        <f>+[2]Resumen!AA17*1000</f>
        <v>0</v>
      </c>
      <c r="AB17" s="7">
        <f>+[2]Resumen!AB17*1000</f>
        <v>0</v>
      </c>
      <c r="AC17" s="7">
        <f>+[2]Resumen!AC17*1000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+[2]Resumen!F18*1000</f>
        <v>0</v>
      </c>
      <c r="G18" s="7">
        <f>+[2]Resumen!G18*1000</f>
        <v>0</v>
      </c>
      <c r="H18" s="7">
        <f>+[2]Resumen!H18*1000</f>
        <v>0</v>
      </c>
      <c r="I18" s="7">
        <f>+[2]Resumen!I18*1000</f>
        <v>0</v>
      </c>
      <c r="J18" s="7">
        <f>+[2]Resumen!J18*1000</f>
        <v>0</v>
      </c>
      <c r="K18" s="7">
        <f>+[2]Resumen!K18*1000</f>
        <v>0</v>
      </c>
      <c r="L18" s="7">
        <f>+[2]Resumen!L18*1000</f>
        <v>0</v>
      </c>
      <c r="M18" s="7">
        <f>+[2]Resumen!M18*1000</f>
        <v>119455.41301513626</v>
      </c>
      <c r="N18" s="7">
        <f>+[2]Resumen!N18*1000</f>
        <v>133500.31653307786</v>
      </c>
      <c r="O18" s="7">
        <f>+[2]Resumen!O18*1000</f>
        <v>149303.17635173781</v>
      </c>
      <c r="P18" s="7">
        <f>+[2]Resumen!P18*1000</f>
        <v>163510.38157353812</v>
      </c>
      <c r="Q18" s="7">
        <f>+[2]Resumen!Q18*1000</f>
        <v>184875.73570642163</v>
      </c>
      <c r="R18" s="7">
        <f>+[2]Resumen!R18*1000</f>
        <v>193391.74469929663</v>
      </c>
      <c r="S18" s="7">
        <f>+[2]Resumen!S18*1000</f>
        <v>193943.75865820458</v>
      </c>
      <c r="T18" s="7">
        <f>+[2]Resumen!T18*1000</f>
        <v>192291.43654035291</v>
      </c>
      <c r="U18" s="7">
        <f>+[2]Resumen!U18*1000</f>
        <v>189771.44364220326</v>
      </c>
      <c r="V18" s="7">
        <f>+[2]Resumen!V18*1000</f>
        <v>192056.12476832615</v>
      </c>
      <c r="W18" s="7">
        <f>+[2]Resumen!W18*1000</f>
        <v>0</v>
      </c>
      <c r="X18" s="7">
        <f>+[2]Resumen!X18*1000</f>
        <v>0</v>
      </c>
      <c r="Y18" s="7">
        <f>+[2]Resumen!Y18*1000</f>
        <v>0</v>
      </c>
      <c r="Z18" s="7">
        <f>+[2]Resumen!Z18*1000</f>
        <v>0</v>
      </c>
      <c r="AA18" s="7">
        <f>+[2]Resumen!AA18*1000</f>
        <v>0</v>
      </c>
      <c r="AB18" s="7">
        <f>+[2]Resumen!AB18*1000</f>
        <v>0</v>
      </c>
      <c r="AC18" s="7">
        <f>+[2]Resumen!AC18*1000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22</v>
      </c>
      <c r="F19" s="7">
        <f>+[2]Resumen!F19*1000</f>
        <v>0</v>
      </c>
      <c r="G19" s="7">
        <f>+[2]Resumen!G19*1000</f>
        <v>0</v>
      </c>
      <c r="H19" s="7">
        <f>+[2]Resumen!H19*1000</f>
        <v>0</v>
      </c>
      <c r="I19" s="7">
        <f>+[2]Resumen!I19*1000</f>
        <v>0</v>
      </c>
      <c r="J19" s="7">
        <f>+[2]Resumen!J19*1000</f>
        <v>0</v>
      </c>
      <c r="K19" s="7">
        <f>+[2]Resumen!K19*1000</f>
        <v>0</v>
      </c>
      <c r="L19" s="7">
        <f>+[2]Resumen!L19*1000</f>
        <v>0</v>
      </c>
      <c r="M19" s="7">
        <f>+[2]Resumen!M19*1000</f>
        <v>179338.56537121785</v>
      </c>
      <c r="N19" s="7">
        <f>+[2]Resumen!N19*1000</f>
        <v>193851.17412121731</v>
      </c>
      <c r="O19" s="7">
        <f>+[2]Resumen!O19*1000</f>
        <v>203225.48916186672</v>
      </c>
      <c r="P19" s="7">
        <f>+[2]Resumen!P19*1000</f>
        <v>224269.23660144038</v>
      </c>
      <c r="Q19" s="7">
        <f>+[2]Resumen!Q19*1000</f>
        <v>240132.35302927814</v>
      </c>
      <c r="R19" s="7">
        <f>+[2]Resumen!R19*1000</f>
        <v>241844.40907356198</v>
      </c>
      <c r="S19" s="7">
        <f>+[2]Resumen!S19*1000</f>
        <v>243215.96344328596</v>
      </c>
      <c r="T19" s="7">
        <f>+[2]Resumen!T19*1000</f>
        <v>253017.86781527565</v>
      </c>
      <c r="U19" s="7">
        <f>+[2]Resumen!U19*1000</f>
        <v>256734.93487132038</v>
      </c>
      <c r="V19" s="7">
        <f>+[2]Resumen!V19*1000</f>
        <v>250706.98286084476</v>
      </c>
      <c r="W19" s="7">
        <f>+[2]Resumen!W19*1000</f>
        <v>0</v>
      </c>
      <c r="X19" s="7">
        <f>+[2]Resumen!X19*1000</f>
        <v>0</v>
      </c>
      <c r="Y19" s="7">
        <f>+[2]Resumen!Y19*1000</f>
        <v>0</v>
      </c>
      <c r="Z19" s="7">
        <f>+[2]Resumen!Z19*1000</f>
        <v>0</v>
      </c>
      <c r="AA19" s="7">
        <f>+[2]Resumen!AA19*1000</f>
        <v>0</v>
      </c>
      <c r="AB19" s="7">
        <f>+[2]Resumen!AB19*1000</f>
        <v>0</v>
      </c>
      <c r="AC19" s="7">
        <f>+[2]Resumen!AC19*1000</f>
        <v>0</v>
      </c>
      <c r="AD19" s="60">
        <f t="shared" ref="AD19" si="1">SUM(F19:AC19)*E19+SUM(F20:AC20)*E20+SUM(F21:AC21)*E21+SUM(F22:AC22)*E22</f>
        <v>64978468.07595893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+[2]Resumen!F20*1000</f>
        <v>0</v>
      </c>
      <c r="G20" s="7">
        <f>+[2]Resumen!G20*1000</f>
        <v>0</v>
      </c>
      <c r="H20" s="7">
        <f>+[2]Resumen!H20*1000</f>
        <v>0</v>
      </c>
      <c r="I20" s="7">
        <f>+[2]Resumen!I20*1000</f>
        <v>0</v>
      </c>
      <c r="J20" s="7">
        <f>+[2]Resumen!J20*1000</f>
        <v>0</v>
      </c>
      <c r="K20" s="7">
        <f>+[2]Resumen!K20*1000</f>
        <v>0</v>
      </c>
      <c r="L20" s="7">
        <f>+[2]Resumen!L20*1000</f>
        <v>0</v>
      </c>
      <c r="M20" s="7">
        <f>+[2]Resumen!M20*1000</f>
        <v>150642.280834345</v>
      </c>
      <c r="N20" s="7">
        <f>+[2]Resumen!N20*1000</f>
        <v>174184.74798432633</v>
      </c>
      <c r="O20" s="7">
        <f>+[2]Resumen!O20*1000</f>
        <v>190362.67622978226</v>
      </c>
      <c r="P20" s="7">
        <f>+[2]Resumen!P20*1000</f>
        <v>202470.45651322516</v>
      </c>
      <c r="Q20" s="7">
        <f>+[2]Resumen!Q20*1000</f>
        <v>210483.33109527611</v>
      </c>
      <c r="R20" s="7">
        <f>+[2]Resumen!R20*1000</f>
        <v>209400.27146693412</v>
      </c>
      <c r="S20" s="7">
        <f>+[2]Resumen!S20*1000</f>
        <v>212153.9732433577</v>
      </c>
      <c r="T20" s="7">
        <f>+[2]Resumen!T20*1000</f>
        <v>215856.86688562014</v>
      </c>
      <c r="U20" s="7">
        <f>+[2]Resumen!U20*1000</f>
        <v>220723.58335178433</v>
      </c>
      <c r="V20" s="7">
        <f>+[2]Resumen!V20*1000</f>
        <v>225532.78729318469</v>
      </c>
      <c r="W20" s="7">
        <f>+[2]Resumen!W20*1000</f>
        <v>0</v>
      </c>
      <c r="X20" s="7">
        <f>+[2]Resumen!X20*1000</f>
        <v>0</v>
      </c>
      <c r="Y20" s="7">
        <f>+[2]Resumen!Y20*1000</f>
        <v>0</v>
      </c>
      <c r="Z20" s="7">
        <f>+[2]Resumen!Z20*1000</f>
        <v>0</v>
      </c>
      <c r="AA20" s="7">
        <f>+[2]Resumen!AA20*1000</f>
        <v>0</v>
      </c>
      <c r="AB20" s="7">
        <f>+[2]Resumen!AB20*1000</f>
        <v>0</v>
      </c>
      <c r="AC20" s="7">
        <f>+[2]Resumen!AC20*1000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+[2]Resumen!F21*1000</f>
        <v>0</v>
      </c>
      <c r="G21" s="7">
        <f>+[2]Resumen!G21*1000</f>
        <v>0</v>
      </c>
      <c r="H21" s="7">
        <f>+[2]Resumen!H21*1000</f>
        <v>0</v>
      </c>
      <c r="I21" s="7">
        <f>+[2]Resumen!I21*1000</f>
        <v>0</v>
      </c>
      <c r="J21" s="7">
        <f>+[2]Resumen!J21*1000</f>
        <v>0</v>
      </c>
      <c r="K21" s="7">
        <f>+[2]Resumen!K21*1000</f>
        <v>0</v>
      </c>
      <c r="L21" s="7">
        <f>+[2]Resumen!L21*1000</f>
        <v>0</v>
      </c>
      <c r="M21" s="7">
        <f>+[2]Resumen!M21*1000</f>
        <v>114600.97959349146</v>
      </c>
      <c r="N21" s="7">
        <f>+[2]Resumen!N21*1000</f>
        <v>133837.98700943287</v>
      </c>
      <c r="O21" s="7">
        <f>+[2]Resumen!O21*1000</f>
        <v>147997.3493372612</v>
      </c>
      <c r="P21" s="7">
        <f>+[2]Resumen!P21*1000</f>
        <v>158005.13844270565</v>
      </c>
      <c r="Q21" s="7">
        <f>+[2]Resumen!Q21*1000</f>
        <v>168950.5158570387</v>
      </c>
      <c r="R21" s="7">
        <f>+[2]Resumen!R21*1000</f>
        <v>175890.07013257226</v>
      </c>
      <c r="S21" s="7">
        <f>+[2]Resumen!S21*1000</f>
        <v>183499.17229371986</v>
      </c>
      <c r="T21" s="7">
        <f>+[2]Resumen!T21*1000</f>
        <v>189583.06878072288</v>
      </c>
      <c r="U21" s="7">
        <f>+[2]Resumen!U21*1000</f>
        <v>192753.80169702752</v>
      </c>
      <c r="V21" s="7">
        <f>+[2]Resumen!V21*1000</f>
        <v>192834.59102672455</v>
      </c>
      <c r="W21" s="7">
        <f>+[2]Resumen!W21*1000</f>
        <v>0</v>
      </c>
      <c r="X21" s="7">
        <f>+[2]Resumen!X21*1000</f>
        <v>0</v>
      </c>
      <c r="Y21" s="7">
        <f>+[2]Resumen!Y21*1000</f>
        <v>0</v>
      </c>
      <c r="Z21" s="7">
        <f>+[2]Resumen!Z21*1000</f>
        <v>0</v>
      </c>
      <c r="AA21" s="7">
        <f>+[2]Resumen!AA21*1000</f>
        <v>0</v>
      </c>
      <c r="AB21" s="7">
        <f>+[2]Resumen!AB21*1000</f>
        <v>0</v>
      </c>
      <c r="AC21" s="7">
        <f>+[2]Resumen!AC21*1000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+[2]Resumen!F22*1000</f>
        <v>0</v>
      </c>
      <c r="G22" s="7">
        <f>+[2]Resumen!G22*1000</f>
        <v>0</v>
      </c>
      <c r="H22" s="7">
        <f>+[2]Resumen!H22*1000</f>
        <v>0</v>
      </c>
      <c r="I22" s="7">
        <f>+[2]Resumen!I22*1000</f>
        <v>0</v>
      </c>
      <c r="J22" s="7">
        <f>+[2]Resumen!J22*1000</f>
        <v>0</v>
      </c>
      <c r="K22" s="7">
        <f>+[2]Resumen!K22*1000</f>
        <v>0</v>
      </c>
      <c r="L22" s="7">
        <f>+[2]Resumen!L22*1000</f>
        <v>0</v>
      </c>
      <c r="M22" s="7">
        <f>+[2]Resumen!M22*1000</f>
        <v>285690.16515169601</v>
      </c>
      <c r="N22" s="7">
        <f>+[2]Resumen!N22*1000</f>
        <v>308404.72025555407</v>
      </c>
      <c r="O22" s="7">
        <f>+[2]Resumen!O22*1000</f>
        <v>317405.67429970944</v>
      </c>
      <c r="P22" s="7">
        <f>+[2]Resumen!P22*1000</f>
        <v>319159.53625225474</v>
      </c>
      <c r="Q22" s="7">
        <f>+[2]Resumen!Q22*1000</f>
        <v>342958.31830925308</v>
      </c>
      <c r="R22" s="7">
        <f>+[2]Resumen!R22*1000</f>
        <v>366460.69569265412</v>
      </c>
      <c r="S22" s="7">
        <f>+[2]Resumen!S22*1000</f>
        <v>368962.85639780294</v>
      </c>
      <c r="T22" s="7">
        <f>+[2]Resumen!T22*1000</f>
        <v>369595.65968640795</v>
      </c>
      <c r="U22" s="7">
        <f>+[2]Resumen!U22*1000</f>
        <v>370622.3305578889</v>
      </c>
      <c r="V22" s="7">
        <f>+[2]Resumen!V22*1000</f>
        <v>376927.80097209103</v>
      </c>
      <c r="W22" s="7">
        <f>+[2]Resumen!W22*1000</f>
        <v>0</v>
      </c>
      <c r="X22" s="7">
        <f>+[2]Resumen!X22*1000</f>
        <v>0</v>
      </c>
      <c r="Y22" s="7">
        <f>+[2]Resumen!Y22*1000</f>
        <v>0</v>
      </c>
      <c r="Z22" s="7">
        <f>+[2]Resumen!Z22*1000</f>
        <v>0</v>
      </c>
      <c r="AA22" s="7">
        <f>+[2]Resumen!AA22*1000</f>
        <v>0</v>
      </c>
      <c r="AB22" s="7">
        <f>+[2]Resumen!AB22*1000</f>
        <v>0</v>
      </c>
      <c r="AC22" s="7">
        <f>+[2]Resumen!AC22*1000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+[2]Resumen!F23*1000</f>
        <v>0</v>
      </c>
      <c r="G23" s="7">
        <f>+[2]Resumen!G23*1000</f>
        <v>0</v>
      </c>
      <c r="H23" s="7">
        <f>+[2]Resumen!H23*1000</f>
        <v>0</v>
      </c>
      <c r="I23" s="7">
        <f>+[2]Resumen!I23*1000</f>
        <v>0</v>
      </c>
      <c r="J23" s="7">
        <f>+[2]Resumen!J23*1000</f>
        <v>0</v>
      </c>
      <c r="K23" s="7">
        <f>+[2]Resumen!K23*1000</f>
        <v>0</v>
      </c>
      <c r="L23" s="7">
        <f>+[2]Resumen!L23*1000</f>
        <v>0</v>
      </c>
      <c r="M23" s="7">
        <f>+[2]Resumen!M23*1000</f>
        <v>139071.53093777224</v>
      </c>
      <c r="N23" s="7">
        <f>+[2]Resumen!N23*1000</f>
        <v>148571.57731285313</v>
      </c>
      <c r="O23" s="7">
        <f>+[2]Resumen!O23*1000</f>
        <v>154764.74062780416</v>
      </c>
      <c r="P23" s="7">
        <f>+[2]Resumen!P23*1000</f>
        <v>174987.38831970439</v>
      </c>
      <c r="Q23" s="7">
        <f>+[2]Resumen!Q23*1000</f>
        <v>190455.59179917508</v>
      </c>
      <c r="R23" s="7">
        <f>+[2]Resumen!R23*1000</f>
        <v>188290.96218831578</v>
      </c>
      <c r="S23" s="7">
        <f>+[2]Resumen!S23*1000</f>
        <v>187821.18364803412</v>
      </c>
      <c r="T23" s="7">
        <f>+[2]Resumen!T23*1000</f>
        <v>196621.29684722883</v>
      </c>
      <c r="U23" s="7">
        <f>+[2]Resumen!U23*1000</f>
        <v>202892.19179781573</v>
      </c>
      <c r="V23" s="7">
        <f>+[2]Resumen!V23*1000</f>
        <v>196007.85895434491</v>
      </c>
      <c r="W23" s="7">
        <f>+[2]Resumen!W23*1000</f>
        <v>0</v>
      </c>
      <c r="X23" s="7">
        <f>+[2]Resumen!X23*1000</f>
        <v>0</v>
      </c>
      <c r="Y23" s="7">
        <f>+[2]Resumen!Y23*1000</f>
        <v>0</v>
      </c>
      <c r="Z23" s="7">
        <f>+[2]Resumen!Z23*1000</f>
        <v>0</v>
      </c>
      <c r="AA23" s="7">
        <f>+[2]Resumen!AA23*1000</f>
        <v>0</v>
      </c>
      <c r="AB23" s="7">
        <f>+[2]Resumen!AB23*1000</f>
        <v>0</v>
      </c>
      <c r="AC23" s="7">
        <f>+[2]Resumen!AC23*1000</f>
        <v>0</v>
      </c>
      <c r="AD23" s="60">
        <f t="shared" ref="AD23" si="2">SUM(F23:AC23)*E23+SUM(F24:AC24)*E24+SUM(F25:AC25)*E25+SUM(F26:AC26)*E26</f>
        <v>48647934.013532721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+[2]Resumen!F24*1000</f>
        <v>0</v>
      </c>
      <c r="G24" s="7">
        <f>+[2]Resumen!G24*1000</f>
        <v>0</v>
      </c>
      <c r="H24" s="7">
        <f>+[2]Resumen!H24*1000</f>
        <v>0</v>
      </c>
      <c r="I24" s="7">
        <f>+[2]Resumen!I24*1000</f>
        <v>0</v>
      </c>
      <c r="J24" s="7">
        <f>+[2]Resumen!J24*1000</f>
        <v>0</v>
      </c>
      <c r="K24" s="7">
        <f>+[2]Resumen!K24*1000</f>
        <v>0</v>
      </c>
      <c r="L24" s="7">
        <f>+[2]Resumen!L24*1000</f>
        <v>0</v>
      </c>
      <c r="M24" s="7">
        <f>+[2]Resumen!M24*1000</f>
        <v>96984.428070683978</v>
      </c>
      <c r="N24" s="7">
        <f>+[2]Resumen!N24*1000</f>
        <v>124442.86048413324</v>
      </c>
      <c r="O24" s="7">
        <f>+[2]Resumen!O24*1000</f>
        <v>139801.51837152499</v>
      </c>
      <c r="P24" s="7">
        <f>+[2]Resumen!P24*1000</f>
        <v>154647.46804247081</v>
      </c>
      <c r="Q24" s="7">
        <f>+[2]Resumen!Q24*1000</f>
        <v>163085.81509074272</v>
      </c>
      <c r="R24" s="7">
        <f>+[2]Resumen!R24*1000</f>
        <v>158306.41277721527</v>
      </c>
      <c r="S24" s="7">
        <f>+[2]Resumen!S24*1000</f>
        <v>154288.92510181191</v>
      </c>
      <c r="T24" s="7">
        <f>+[2]Resumen!T24*1000</f>
        <v>154339.08522262229</v>
      </c>
      <c r="U24" s="7">
        <f>+[2]Resumen!U24*1000</f>
        <v>154652.04151649398</v>
      </c>
      <c r="V24" s="7">
        <f>+[2]Resumen!V24*1000</f>
        <v>154542.85309095777</v>
      </c>
      <c r="W24" s="7">
        <f>+[2]Resumen!W24*1000</f>
        <v>0</v>
      </c>
      <c r="X24" s="7">
        <f>+[2]Resumen!X24*1000</f>
        <v>0</v>
      </c>
      <c r="Y24" s="7">
        <f>+[2]Resumen!Y24*1000</f>
        <v>0</v>
      </c>
      <c r="Z24" s="7">
        <f>+[2]Resumen!Z24*1000</f>
        <v>0</v>
      </c>
      <c r="AA24" s="7">
        <f>+[2]Resumen!AA24*1000</f>
        <v>0</v>
      </c>
      <c r="AB24" s="7">
        <f>+[2]Resumen!AB24*1000</f>
        <v>0</v>
      </c>
      <c r="AC24" s="7">
        <f>+[2]Resumen!AC24*1000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+[2]Resumen!F25*1000</f>
        <v>0</v>
      </c>
      <c r="G25" s="7">
        <f>+[2]Resumen!G25*1000</f>
        <v>0</v>
      </c>
      <c r="H25" s="7">
        <f>+[2]Resumen!H25*1000</f>
        <v>0</v>
      </c>
      <c r="I25" s="7">
        <f>+[2]Resumen!I25*1000</f>
        <v>0</v>
      </c>
      <c r="J25" s="7">
        <f>+[2]Resumen!J25*1000</f>
        <v>0</v>
      </c>
      <c r="K25" s="7">
        <f>+[2]Resumen!K25*1000</f>
        <v>0</v>
      </c>
      <c r="L25" s="7">
        <f>+[2]Resumen!L25*1000</f>
        <v>0</v>
      </c>
      <c r="M25" s="7">
        <f>+[2]Resumen!M25*1000</f>
        <v>38418.645306375598</v>
      </c>
      <c r="N25" s="7">
        <f>+[2]Resumen!N25*1000</f>
        <v>60353.105123945104</v>
      </c>
      <c r="O25" s="7">
        <f>+[2]Resumen!O25*1000</f>
        <v>75714.655189195299</v>
      </c>
      <c r="P25" s="7">
        <f>+[2]Resumen!P25*1000</f>
        <v>90964.786715861817</v>
      </c>
      <c r="Q25" s="7">
        <f>+[2]Resumen!Q25*1000</f>
        <v>109024.56449547927</v>
      </c>
      <c r="R25" s="7">
        <f>+[2]Resumen!R25*1000</f>
        <v>118768.99118822147</v>
      </c>
      <c r="S25" s="7">
        <f>+[2]Resumen!S25*1000</f>
        <v>120661.83448279677</v>
      </c>
      <c r="T25" s="7">
        <f>+[2]Resumen!T25*1000</f>
        <v>112157.65554272836</v>
      </c>
      <c r="U25" s="7">
        <f>+[2]Resumen!U25*1000</f>
        <v>118229.46063555204</v>
      </c>
      <c r="V25" s="7">
        <f>+[2]Resumen!V25*1000</f>
        <v>117499.22057180564</v>
      </c>
      <c r="W25" s="7">
        <f>+[2]Resumen!W25*1000</f>
        <v>0</v>
      </c>
      <c r="X25" s="7">
        <f>+[2]Resumen!X25*1000</f>
        <v>0</v>
      </c>
      <c r="Y25" s="7">
        <f>+[2]Resumen!Y25*1000</f>
        <v>0</v>
      </c>
      <c r="Z25" s="7">
        <f>+[2]Resumen!Z25*1000</f>
        <v>0</v>
      </c>
      <c r="AA25" s="7">
        <f>+[2]Resumen!AA25*1000</f>
        <v>0</v>
      </c>
      <c r="AB25" s="7">
        <f>+[2]Resumen!AB25*1000</f>
        <v>0</v>
      </c>
      <c r="AC25" s="7">
        <f>+[2]Resumen!AC25*1000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3</v>
      </c>
      <c r="F26" s="7">
        <f>+[2]Resumen!F26*1000</f>
        <v>0</v>
      </c>
      <c r="G26" s="7">
        <f>+[2]Resumen!G26*1000</f>
        <v>0</v>
      </c>
      <c r="H26" s="7">
        <f>+[2]Resumen!H26*1000</f>
        <v>0</v>
      </c>
      <c r="I26" s="7">
        <f>+[2]Resumen!I26*1000</f>
        <v>0</v>
      </c>
      <c r="J26" s="7">
        <f>+[2]Resumen!J26*1000</f>
        <v>0</v>
      </c>
      <c r="K26" s="7">
        <f>+[2]Resumen!K26*1000</f>
        <v>0</v>
      </c>
      <c r="L26" s="7">
        <f>+[2]Resumen!L26*1000</f>
        <v>0</v>
      </c>
      <c r="M26" s="7">
        <f>+[2]Resumen!M26*1000</f>
        <v>85442.242786153118</v>
      </c>
      <c r="N26" s="7">
        <f>+[2]Resumen!N26*1000</f>
        <v>104538.01261287974</v>
      </c>
      <c r="O26" s="7">
        <f>+[2]Resumen!O26*1000</f>
        <v>116411.14318910681</v>
      </c>
      <c r="P26" s="7">
        <f>+[2]Resumen!P26*1000</f>
        <v>138361.84972868246</v>
      </c>
      <c r="Q26" s="7">
        <f>+[2]Resumen!Q26*1000</f>
        <v>155072.73143559357</v>
      </c>
      <c r="R26" s="7">
        <f>+[2]Resumen!R26*1000</f>
        <v>169951.49687157813</v>
      </c>
      <c r="S26" s="7">
        <f>+[2]Resumen!S26*1000</f>
        <v>167764.50515059024</v>
      </c>
      <c r="T26" s="7">
        <f>+[2]Resumen!T26*1000</f>
        <v>162588.87447045289</v>
      </c>
      <c r="U26" s="7">
        <f>+[2]Resumen!U26*1000</f>
        <v>150930.56650262882</v>
      </c>
      <c r="V26" s="7">
        <f>+[2]Resumen!V26*1000</f>
        <v>151739.13057578926</v>
      </c>
      <c r="W26" s="7">
        <f>+[2]Resumen!W26*1000</f>
        <v>0</v>
      </c>
      <c r="X26" s="7">
        <f>+[2]Resumen!X26*1000</f>
        <v>0</v>
      </c>
      <c r="Y26" s="7">
        <f>+[2]Resumen!Y26*1000</f>
        <v>0</v>
      </c>
      <c r="Z26" s="7">
        <f>+[2]Resumen!Z26*1000</f>
        <v>0</v>
      </c>
      <c r="AA26" s="7">
        <f>+[2]Resumen!AA26*1000</f>
        <v>0</v>
      </c>
      <c r="AB26" s="7">
        <f>+[2]Resumen!AB26*1000</f>
        <v>0</v>
      </c>
      <c r="AC26" s="7">
        <f>+[2]Resumen!AC26*1000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21</v>
      </c>
      <c r="F27" s="7">
        <f>+[2]Resumen!F27*1000</f>
        <v>0</v>
      </c>
      <c r="G27" s="7">
        <f>+[2]Resumen!G27*1000</f>
        <v>0</v>
      </c>
      <c r="H27" s="7">
        <f>+[2]Resumen!H27*1000</f>
        <v>0</v>
      </c>
      <c r="I27" s="7">
        <f>+[2]Resumen!I27*1000</f>
        <v>0</v>
      </c>
      <c r="J27" s="7">
        <f>+[2]Resumen!J27*1000</f>
        <v>0</v>
      </c>
      <c r="K27" s="7">
        <f>+[2]Resumen!K27*1000</f>
        <v>0</v>
      </c>
      <c r="L27" s="7">
        <f>+[2]Resumen!L27*1000</f>
        <v>0</v>
      </c>
      <c r="M27" s="7">
        <f>+[2]Resumen!M27*1000</f>
        <v>153303.4503420559</v>
      </c>
      <c r="N27" s="7">
        <f>+[2]Resumen!N27*1000</f>
        <v>169531.4777286686</v>
      </c>
      <c r="O27" s="7">
        <f>+[2]Resumen!O27*1000</f>
        <v>179721.1778523073</v>
      </c>
      <c r="P27" s="7">
        <f>+[2]Resumen!P27*1000</f>
        <v>197259.54474776619</v>
      </c>
      <c r="Q27" s="7">
        <f>+[2]Resumen!Q27*1000</f>
        <v>213268.33285677643</v>
      </c>
      <c r="R27" s="7">
        <f>+[2]Resumen!R27*1000</f>
        <v>215669.31089377444</v>
      </c>
      <c r="S27" s="7">
        <f>+[2]Resumen!S27*1000</f>
        <v>217062.00778055415</v>
      </c>
      <c r="T27" s="7">
        <f>+[2]Resumen!T27*1000</f>
        <v>225151.41182792626</v>
      </c>
      <c r="U27" s="7">
        <f>+[2]Resumen!U27*1000</f>
        <v>229122.15424312325</v>
      </c>
      <c r="V27" s="7">
        <f>+[2]Resumen!V27*1000</f>
        <v>222235.25154282033</v>
      </c>
      <c r="W27" s="7">
        <f>+[2]Resumen!W27*1000</f>
        <v>0</v>
      </c>
      <c r="X27" s="7">
        <f>+[2]Resumen!X27*1000</f>
        <v>0</v>
      </c>
      <c r="Y27" s="7">
        <f>+[2]Resumen!Y27*1000</f>
        <v>0</v>
      </c>
      <c r="Z27" s="7">
        <f>+[2]Resumen!Z27*1000</f>
        <v>0</v>
      </c>
      <c r="AA27" s="7">
        <f>+[2]Resumen!AA27*1000</f>
        <v>0</v>
      </c>
      <c r="AB27" s="7">
        <f>+[2]Resumen!AB27*1000</f>
        <v>0</v>
      </c>
      <c r="AC27" s="7">
        <f>+[2]Resumen!AC27*1000</f>
        <v>0</v>
      </c>
      <c r="AD27" s="60">
        <f t="shared" ref="AD27" si="3">SUM(F27:AC27)*E27+SUM(F28:AC28)*E28+SUM(F29:AC29)*E29+SUM(F30:AC30)*E30</f>
        <v>55973890.559804432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+[2]Resumen!F28*1000</f>
        <v>0</v>
      </c>
      <c r="G28" s="7">
        <f>+[2]Resumen!G28*1000</f>
        <v>0</v>
      </c>
      <c r="H28" s="7">
        <f>+[2]Resumen!H28*1000</f>
        <v>0</v>
      </c>
      <c r="I28" s="7">
        <f>+[2]Resumen!I28*1000</f>
        <v>0</v>
      </c>
      <c r="J28" s="7">
        <f>+[2]Resumen!J28*1000</f>
        <v>0</v>
      </c>
      <c r="K28" s="7">
        <f>+[2]Resumen!K28*1000</f>
        <v>0</v>
      </c>
      <c r="L28" s="7">
        <f>+[2]Resumen!L28*1000</f>
        <v>0</v>
      </c>
      <c r="M28" s="7">
        <f>+[2]Resumen!M28*1000</f>
        <v>122318.42517640334</v>
      </c>
      <c r="N28" s="7">
        <f>+[2]Resumen!N28*1000</f>
        <v>144994.24077744031</v>
      </c>
      <c r="O28" s="7">
        <f>+[2]Resumen!O28*1000</f>
        <v>160398.95572609021</v>
      </c>
      <c r="P28" s="7">
        <f>+[2]Resumen!P28*1000</f>
        <v>177275.18811954214</v>
      </c>
      <c r="Q28" s="7">
        <f>+[2]Resumen!Q28*1000</f>
        <v>188255.12357473225</v>
      </c>
      <c r="R28" s="7">
        <f>+[2]Resumen!R28*1000</f>
        <v>187250.02207788249</v>
      </c>
      <c r="S28" s="7">
        <f>+[2]Resumen!S28*1000</f>
        <v>185390.8831090132</v>
      </c>
      <c r="T28" s="7">
        <f>+[2]Resumen!T28*1000</f>
        <v>187205.4372396908</v>
      </c>
      <c r="U28" s="7">
        <f>+[2]Resumen!U28*1000</f>
        <v>191861.60838458611</v>
      </c>
      <c r="V28" s="7">
        <f>+[2]Resumen!V28*1000</f>
        <v>189854.29756874501</v>
      </c>
      <c r="W28" s="7">
        <f>+[2]Resumen!W28*1000</f>
        <v>0</v>
      </c>
      <c r="X28" s="7">
        <f>+[2]Resumen!X28*1000</f>
        <v>0</v>
      </c>
      <c r="Y28" s="7">
        <f>+[2]Resumen!Y28*1000</f>
        <v>0</v>
      </c>
      <c r="Z28" s="7">
        <f>+[2]Resumen!Z28*1000</f>
        <v>0</v>
      </c>
      <c r="AA28" s="7">
        <f>+[2]Resumen!AA28*1000</f>
        <v>0</v>
      </c>
      <c r="AB28" s="7">
        <f>+[2]Resumen!AB28*1000</f>
        <v>0</v>
      </c>
      <c r="AC28" s="7">
        <f>+[2]Resumen!AC28*1000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+[2]Resumen!F29*1000</f>
        <v>0</v>
      </c>
      <c r="G29" s="7">
        <f>+[2]Resumen!G29*1000</f>
        <v>0</v>
      </c>
      <c r="H29" s="7">
        <f>+[2]Resumen!H29*1000</f>
        <v>0</v>
      </c>
      <c r="I29" s="7">
        <f>+[2]Resumen!I29*1000</f>
        <v>0</v>
      </c>
      <c r="J29" s="7">
        <f>+[2]Resumen!J29*1000</f>
        <v>0</v>
      </c>
      <c r="K29" s="7">
        <f>+[2]Resumen!K29*1000</f>
        <v>0</v>
      </c>
      <c r="L29" s="7">
        <f>+[2]Resumen!L29*1000</f>
        <v>0</v>
      </c>
      <c r="M29" s="7">
        <f>+[2]Resumen!M29*1000</f>
        <v>76696.802202138293</v>
      </c>
      <c r="N29" s="7">
        <f>+[2]Resumen!N29*1000</f>
        <v>92703.203393277377</v>
      </c>
      <c r="O29" s="7">
        <f>+[2]Resumen!O29*1000</f>
        <v>107232.04144252476</v>
      </c>
      <c r="P29" s="7">
        <f>+[2]Resumen!P29*1000</f>
        <v>117007.11476691179</v>
      </c>
      <c r="Q29" s="7">
        <f>+[2]Resumen!Q29*1000</f>
        <v>134980.56277972981</v>
      </c>
      <c r="R29" s="7">
        <f>+[2]Resumen!R29*1000</f>
        <v>146357.6848532299</v>
      </c>
      <c r="S29" s="7">
        <f>+[2]Resumen!S29*1000</f>
        <v>154017.55693172431</v>
      </c>
      <c r="T29" s="7">
        <f>+[2]Resumen!T29*1000</f>
        <v>158354.83062220732</v>
      </c>
      <c r="U29" s="7">
        <f>+[2]Resumen!U29*1000</f>
        <v>160994.96214941159</v>
      </c>
      <c r="V29" s="7">
        <f>+[2]Resumen!V29*1000</f>
        <v>158373.55137587554</v>
      </c>
      <c r="W29" s="7">
        <f>+[2]Resumen!W29*1000</f>
        <v>0</v>
      </c>
      <c r="X29" s="7">
        <f>+[2]Resumen!X29*1000</f>
        <v>0</v>
      </c>
      <c r="Y29" s="7">
        <f>+[2]Resumen!Y29*1000</f>
        <v>0</v>
      </c>
      <c r="Z29" s="7">
        <f>+[2]Resumen!Z29*1000</f>
        <v>0</v>
      </c>
      <c r="AA29" s="7">
        <f>+[2]Resumen!AA29*1000</f>
        <v>0</v>
      </c>
      <c r="AB29" s="7">
        <f>+[2]Resumen!AB29*1000</f>
        <v>0</v>
      </c>
      <c r="AC29" s="7">
        <f>+[2]Resumen!AC29*1000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1</v>
      </c>
      <c r="F30" s="7">
        <f>+[2]Resumen!F30*1000</f>
        <v>0</v>
      </c>
      <c r="G30" s="7">
        <f>+[2]Resumen!G30*1000</f>
        <v>0</v>
      </c>
      <c r="H30" s="7">
        <f>+[2]Resumen!H30*1000</f>
        <v>0</v>
      </c>
      <c r="I30" s="7">
        <f>+[2]Resumen!I30*1000</f>
        <v>0</v>
      </c>
      <c r="J30" s="7">
        <f>+[2]Resumen!J30*1000</f>
        <v>0</v>
      </c>
      <c r="K30" s="7">
        <f>+[2]Resumen!K30*1000</f>
        <v>0</v>
      </c>
      <c r="L30" s="7">
        <f>+[2]Resumen!L30*1000</f>
        <v>0</v>
      </c>
      <c r="M30" s="7">
        <f>+[2]Resumen!M30*1000</f>
        <v>73582.44061993646</v>
      </c>
      <c r="N30" s="7">
        <f>+[2]Resumen!N30*1000</f>
        <v>91782.567428101349</v>
      </c>
      <c r="O30" s="7">
        <f>+[2]Resumen!O30*1000</f>
        <v>107026.83619663911</v>
      </c>
      <c r="P30" s="7">
        <f>+[2]Resumen!P30*1000</f>
        <v>127351.00630047478</v>
      </c>
      <c r="Q30" s="7">
        <f>+[2]Resumen!Q30*1000</f>
        <v>147258.9815568222</v>
      </c>
      <c r="R30" s="7">
        <f>+[2]Resumen!R30*1000</f>
        <v>158758.59433173158</v>
      </c>
      <c r="S30" s="7">
        <f>+[2]Resumen!S30*1000</f>
        <v>160002.64024568943</v>
      </c>
      <c r="T30" s="7">
        <f>+[2]Resumen!T30*1000</f>
        <v>156550.0332361125</v>
      </c>
      <c r="U30" s="7">
        <f>+[2]Resumen!U30*1000</f>
        <v>159352.42291028</v>
      </c>
      <c r="V30" s="7">
        <f>+[2]Resumen!V30*1000</f>
        <v>157328.55176278547</v>
      </c>
      <c r="W30" s="7">
        <f>+[2]Resumen!W30*1000</f>
        <v>0</v>
      </c>
      <c r="X30" s="7">
        <f>+[2]Resumen!X30*1000</f>
        <v>0</v>
      </c>
      <c r="Y30" s="7">
        <f>+[2]Resumen!Y30*1000</f>
        <v>0</v>
      </c>
      <c r="Z30" s="7">
        <f>+[2]Resumen!Z30*1000</f>
        <v>0</v>
      </c>
      <c r="AA30" s="7">
        <f>+[2]Resumen!AA30*1000</f>
        <v>0</v>
      </c>
      <c r="AB30" s="7">
        <f>+[2]Resumen!AB30*1000</f>
        <v>0</v>
      </c>
      <c r="AC30" s="7">
        <f>+[2]Resumen!AC30*1000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+[2]Resumen!F31*1000</f>
        <v>0</v>
      </c>
      <c r="G31" s="7">
        <f>+[2]Resumen!G31*1000</f>
        <v>0</v>
      </c>
      <c r="H31" s="7">
        <f>+[2]Resumen!H31*1000</f>
        <v>0</v>
      </c>
      <c r="I31" s="7">
        <f>+[2]Resumen!I31*1000</f>
        <v>0</v>
      </c>
      <c r="J31" s="7">
        <f>+[2]Resumen!J31*1000</f>
        <v>0</v>
      </c>
      <c r="K31" s="7">
        <f>+[2]Resumen!K31*1000</f>
        <v>0</v>
      </c>
      <c r="L31" s="7">
        <f>+[2]Resumen!L31*1000</f>
        <v>0</v>
      </c>
      <c r="M31" s="7">
        <f>+[2]Resumen!M31*1000</f>
        <v>85651.629494002802</v>
      </c>
      <c r="N31" s="7">
        <f>+[2]Resumen!N31*1000</f>
        <v>104006.67075655656</v>
      </c>
      <c r="O31" s="7">
        <f>+[2]Resumen!O31*1000</f>
        <v>115759.96760199728</v>
      </c>
      <c r="P31" s="7">
        <f>+[2]Resumen!P31*1000</f>
        <v>135743.75799058034</v>
      </c>
      <c r="Q31" s="7">
        <f>+[2]Resumen!Q31*1000</f>
        <v>151117.55625483359</v>
      </c>
      <c r="R31" s="7">
        <f>+[2]Resumen!R31*1000</f>
        <v>152626.41938180203</v>
      </c>
      <c r="S31" s="7">
        <f>+[2]Resumen!S31*1000</f>
        <v>151861.63869995679</v>
      </c>
      <c r="T31" s="7">
        <f>+[2]Resumen!T31*1000</f>
        <v>160483.83069258131</v>
      </c>
      <c r="U31" s="7">
        <f>+[2]Resumen!U31*1000</f>
        <v>161403.87428397906</v>
      </c>
      <c r="V31" s="7">
        <f>+[2]Resumen!V31*1000</f>
        <v>151671.21666438988</v>
      </c>
      <c r="W31" s="7">
        <f>+[2]Resumen!W31*1000</f>
        <v>0</v>
      </c>
      <c r="X31" s="7">
        <f>+[2]Resumen!X31*1000</f>
        <v>0</v>
      </c>
      <c r="Y31" s="7">
        <f>+[2]Resumen!Y31*1000</f>
        <v>0</v>
      </c>
      <c r="Z31" s="7">
        <f>+[2]Resumen!Z31*1000</f>
        <v>0</v>
      </c>
      <c r="AA31" s="7">
        <f>+[2]Resumen!AA31*1000</f>
        <v>0</v>
      </c>
      <c r="AB31" s="7">
        <f>+[2]Resumen!AB31*1000</f>
        <v>0</v>
      </c>
      <c r="AC31" s="7">
        <f>+[2]Resumen!AC31*1000</f>
        <v>0</v>
      </c>
      <c r="AD31" s="60">
        <f t="shared" ref="AD31:AD35" si="4">SUM(F31:AC31)*E31+SUM(F32:AC32)*E32+SUM(F33:AC33)*E33+SUM(F34:AC34)*E34</f>
        <v>37267229.899352521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+[2]Resumen!F32*1000</f>
        <v>0</v>
      </c>
      <c r="G32" s="7">
        <f>+[2]Resumen!G32*1000</f>
        <v>0</v>
      </c>
      <c r="H32" s="7">
        <f>+[2]Resumen!H32*1000</f>
        <v>0</v>
      </c>
      <c r="I32" s="7">
        <f>+[2]Resumen!I32*1000</f>
        <v>0</v>
      </c>
      <c r="J32" s="7">
        <f>+[2]Resumen!J32*1000</f>
        <v>0</v>
      </c>
      <c r="K32" s="7">
        <f>+[2]Resumen!K32*1000</f>
        <v>0</v>
      </c>
      <c r="L32" s="7">
        <f>+[2]Resumen!L32*1000</f>
        <v>0</v>
      </c>
      <c r="M32" s="7">
        <f>+[2]Resumen!M32*1000</f>
        <v>50089.541216987302</v>
      </c>
      <c r="N32" s="7">
        <f>+[2]Resumen!N32*1000</f>
        <v>75975.055733006389</v>
      </c>
      <c r="O32" s="7">
        <f>+[2]Resumen!O32*1000</f>
        <v>92347.456805306938</v>
      </c>
      <c r="P32" s="7">
        <f>+[2]Resumen!P32*1000</f>
        <v>112782.87993152352</v>
      </c>
      <c r="Q32" s="7">
        <f>+[2]Resumen!Q32*1000</f>
        <v>126431.21533907065</v>
      </c>
      <c r="R32" s="7">
        <f>+[2]Resumen!R32*1000</f>
        <v>124810.33258836121</v>
      </c>
      <c r="S32" s="7">
        <f>+[2]Resumen!S32*1000</f>
        <v>120338.69458676678</v>
      </c>
      <c r="T32" s="7">
        <f>+[2]Resumen!T32*1000</f>
        <v>120085.52448760187</v>
      </c>
      <c r="U32" s="7">
        <f>+[2]Resumen!U32*1000</f>
        <v>121351.54921100821</v>
      </c>
      <c r="V32" s="7">
        <f>+[2]Resumen!V32*1000</f>
        <v>120675.64201865722</v>
      </c>
      <c r="W32" s="7">
        <f>+[2]Resumen!W32*1000</f>
        <v>0</v>
      </c>
      <c r="X32" s="7">
        <f>+[2]Resumen!X32*1000</f>
        <v>0</v>
      </c>
      <c r="Y32" s="7">
        <f>+[2]Resumen!Y32*1000</f>
        <v>0</v>
      </c>
      <c r="Z32" s="7">
        <f>+[2]Resumen!Z32*1000</f>
        <v>0</v>
      </c>
      <c r="AA32" s="7">
        <f>+[2]Resumen!AA32*1000</f>
        <v>0</v>
      </c>
      <c r="AB32" s="7">
        <f>+[2]Resumen!AB32*1000</f>
        <v>0</v>
      </c>
      <c r="AC32" s="7">
        <f>+[2]Resumen!AC32*1000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+[2]Resumen!F33*1000</f>
        <v>0</v>
      </c>
      <c r="G33" s="7">
        <f>+[2]Resumen!G33*1000</f>
        <v>0</v>
      </c>
      <c r="H33" s="7">
        <f>+[2]Resumen!H33*1000</f>
        <v>0</v>
      </c>
      <c r="I33" s="7">
        <f>+[2]Resumen!I33*1000</f>
        <v>0</v>
      </c>
      <c r="J33" s="7">
        <f>+[2]Resumen!J33*1000</f>
        <v>0</v>
      </c>
      <c r="K33" s="7">
        <f>+[2]Resumen!K33*1000</f>
        <v>0</v>
      </c>
      <c r="L33" s="7">
        <f>+[2]Resumen!L33*1000</f>
        <v>0</v>
      </c>
      <c r="M33" s="7">
        <f>+[2]Resumen!M33*1000</f>
        <v>14959.720281884311</v>
      </c>
      <c r="N33" s="7">
        <f>+[2]Resumen!N33*1000</f>
        <v>35341.359353588341</v>
      </c>
      <c r="O33" s="7">
        <f>+[2]Resumen!O33*1000</f>
        <v>52107.793524967645</v>
      </c>
      <c r="P33" s="7">
        <f>+[2]Resumen!P33*1000</f>
        <v>68139.640654433781</v>
      </c>
      <c r="Q33" s="7">
        <f>+[2]Resumen!Q33*1000</f>
        <v>86995.429409940451</v>
      </c>
      <c r="R33" s="7">
        <f>+[2]Resumen!R33*1000</f>
        <v>97258.17444726362</v>
      </c>
      <c r="S33" s="7">
        <f>+[2]Resumen!S33*1000</f>
        <v>102472.19617505834</v>
      </c>
      <c r="T33" s="7">
        <f>+[2]Resumen!T33*1000</f>
        <v>103061.13766993627</v>
      </c>
      <c r="U33" s="7">
        <f>+[2]Resumen!U33*1000</f>
        <v>102275.50194654538</v>
      </c>
      <c r="V33" s="7">
        <f>+[2]Resumen!V33*1000</f>
        <v>102665.15322194097</v>
      </c>
      <c r="W33" s="7">
        <f>+[2]Resumen!W33*1000</f>
        <v>0</v>
      </c>
      <c r="X33" s="7">
        <f>+[2]Resumen!X33*1000</f>
        <v>0</v>
      </c>
      <c r="Y33" s="7">
        <f>+[2]Resumen!Y33*1000</f>
        <v>0</v>
      </c>
      <c r="Z33" s="7">
        <f>+[2]Resumen!Z33*1000</f>
        <v>0</v>
      </c>
      <c r="AA33" s="7">
        <f>+[2]Resumen!AA33*1000</f>
        <v>0</v>
      </c>
      <c r="AB33" s="7">
        <f>+[2]Resumen!AB33*1000</f>
        <v>0</v>
      </c>
      <c r="AC33" s="7">
        <f>+[2]Resumen!AC33*1000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+[2]Resumen!F34*1000</f>
        <v>0</v>
      </c>
      <c r="G34" s="7">
        <f>+[2]Resumen!G34*1000</f>
        <v>0</v>
      </c>
      <c r="H34" s="7">
        <f>+[2]Resumen!H34*1000</f>
        <v>0</v>
      </c>
      <c r="I34" s="7">
        <f>+[2]Resumen!I34*1000</f>
        <v>0</v>
      </c>
      <c r="J34" s="7">
        <f>+[2]Resumen!J34*1000</f>
        <v>0</v>
      </c>
      <c r="K34" s="7">
        <f>+[2]Resumen!K34*1000</f>
        <v>0</v>
      </c>
      <c r="L34" s="7">
        <f>+[2]Resumen!L34*1000</f>
        <v>0</v>
      </c>
      <c r="M34" s="7">
        <f>+[2]Resumen!M34*1000</f>
        <v>13630.999763154516</v>
      </c>
      <c r="N34" s="7">
        <f>+[2]Resumen!N34*1000</f>
        <v>35113.774574815958</v>
      </c>
      <c r="O34" s="7">
        <f>+[2]Resumen!O34*1000</f>
        <v>52306.787557560863</v>
      </c>
      <c r="P34" s="7">
        <f>+[2]Resumen!P34*1000</f>
        <v>68198.686381917767</v>
      </c>
      <c r="Q34" s="7">
        <f>+[2]Resumen!Q34*1000</f>
        <v>85196.268286117993</v>
      </c>
      <c r="R34" s="7">
        <f>+[2]Resumen!R34*1000</f>
        <v>90997.341139527751</v>
      </c>
      <c r="S34" s="7">
        <f>+[2]Resumen!S34*1000</f>
        <v>94701.828964163986</v>
      </c>
      <c r="T34" s="7">
        <f>+[2]Resumen!T34*1000</f>
        <v>98504.563722197141</v>
      </c>
      <c r="U34" s="7">
        <f>+[2]Resumen!U34*1000</f>
        <v>103987.09628773737</v>
      </c>
      <c r="V34" s="7">
        <f>+[2]Resumen!V34*1000</f>
        <v>94940.041625428319</v>
      </c>
      <c r="W34" s="7">
        <f>+[2]Resumen!W34*1000</f>
        <v>0</v>
      </c>
      <c r="X34" s="7">
        <f>+[2]Resumen!X34*1000</f>
        <v>0</v>
      </c>
      <c r="Y34" s="7">
        <f>+[2]Resumen!Y34*1000</f>
        <v>0</v>
      </c>
      <c r="Z34" s="7">
        <f>+[2]Resumen!Z34*1000</f>
        <v>0</v>
      </c>
      <c r="AA34" s="7">
        <f>+[2]Resumen!AA34*1000</f>
        <v>0</v>
      </c>
      <c r="AB34" s="7">
        <f>+[2]Resumen!AB34*1000</f>
        <v>0</v>
      </c>
      <c r="AC34" s="7">
        <f>+[2]Resumen!AC34*1000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+[2]Resumen!F35*1000</f>
        <v>0</v>
      </c>
      <c r="G35" s="7">
        <f>+[2]Resumen!G35*1000</f>
        <v>0</v>
      </c>
      <c r="H35" s="7">
        <f>+[2]Resumen!H35*1000</f>
        <v>0</v>
      </c>
      <c r="I35" s="7">
        <f>+[2]Resumen!I35*1000</f>
        <v>0</v>
      </c>
      <c r="J35" s="7">
        <f>+[2]Resumen!J35*1000</f>
        <v>0</v>
      </c>
      <c r="K35" s="7">
        <f>+[2]Resumen!K35*1000</f>
        <v>0</v>
      </c>
      <c r="L35" s="7">
        <f>+[2]Resumen!L35*1000</f>
        <v>0</v>
      </c>
      <c r="M35" s="7">
        <f>+[2]Resumen!M35*1000</f>
        <v>91789.702047577506</v>
      </c>
      <c r="N35" s="7">
        <f>+[2]Resumen!N35*1000</f>
        <v>107519.75215978851</v>
      </c>
      <c r="O35" s="7">
        <f>+[2]Resumen!O35*1000</f>
        <v>120128.97684651161</v>
      </c>
      <c r="P35" s="7">
        <f>+[2]Resumen!P35*1000</f>
        <v>141851.27973768025</v>
      </c>
      <c r="Q35" s="7">
        <f>+[2]Resumen!Q35*1000</f>
        <v>156142.04450772874</v>
      </c>
      <c r="R35" s="7">
        <f>+[2]Resumen!R35*1000</f>
        <v>154550.91982799678</v>
      </c>
      <c r="S35" s="7">
        <f>+[2]Resumen!S35*1000</f>
        <v>156361.98069565857</v>
      </c>
      <c r="T35" s="7">
        <f>+[2]Resumen!T35*1000</f>
        <v>165242.19502560209</v>
      </c>
      <c r="U35" s="7">
        <f>+[2]Resumen!U35*1000</f>
        <v>165902.51756075796</v>
      </c>
      <c r="V35" s="7">
        <f>+[2]Resumen!V35*1000</f>
        <v>154863.12694326657</v>
      </c>
      <c r="W35" s="7">
        <f>+[2]Resumen!W35*1000</f>
        <v>0</v>
      </c>
      <c r="X35" s="7">
        <f>+[2]Resumen!X35*1000</f>
        <v>0</v>
      </c>
      <c r="Y35" s="7">
        <f>+[2]Resumen!Y35*1000</f>
        <v>0</v>
      </c>
      <c r="Z35" s="7">
        <f>+[2]Resumen!Z35*1000</f>
        <v>0</v>
      </c>
      <c r="AA35" s="7">
        <f>+[2]Resumen!AA35*1000</f>
        <v>0</v>
      </c>
      <c r="AB35" s="7">
        <f>+[2]Resumen!AB35*1000</f>
        <v>0</v>
      </c>
      <c r="AC35" s="7">
        <f>+[2]Resumen!AC35*1000</f>
        <v>0</v>
      </c>
      <c r="AD35" s="60">
        <f t="shared" si="4"/>
        <v>37886274.052519284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3</v>
      </c>
      <c r="F36" s="7">
        <f>+[2]Resumen!F36*1000</f>
        <v>0</v>
      </c>
      <c r="G36" s="7">
        <f>+[2]Resumen!G36*1000</f>
        <v>0</v>
      </c>
      <c r="H36" s="7">
        <f>+[2]Resumen!H36*1000</f>
        <v>0</v>
      </c>
      <c r="I36" s="7">
        <f>+[2]Resumen!I36*1000</f>
        <v>0</v>
      </c>
      <c r="J36" s="7">
        <f>+[2]Resumen!J36*1000</f>
        <v>0</v>
      </c>
      <c r="K36" s="7">
        <f>+[2]Resumen!K36*1000</f>
        <v>0</v>
      </c>
      <c r="L36" s="7">
        <f>+[2]Resumen!L36*1000</f>
        <v>0</v>
      </c>
      <c r="M36" s="7">
        <f>+[2]Resumen!M36*1000</f>
        <v>62455.727138429203</v>
      </c>
      <c r="N36" s="7">
        <f>+[2]Resumen!N36*1000</f>
        <v>87631.656270528489</v>
      </c>
      <c r="O36" s="7">
        <f>+[2]Resumen!O36*1000</f>
        <v>105781.78847408573</v>
      </c>
      <c r="P36" s="7">
        <f>+[2]Resumen!P36*1000</f>
        <v>121788.27677901575</v>
      </c>
      <c r="Q36" s="7">
        <f>+[2]Resumen!Q36*1000</f>
        <v>132329.2632645299</v>
      </c>
      <c r="R36" s="7">
        <f>+[2]Resumen!R36*1000</f>
        <v>130127.49704460242</v>
      </c>
      <c r="S36" s="7">
        <f>+[2]Resumen!S36*1000</f>
        <v>129861.71286851265</v>
      </c>
      <c r="T36" s="7">
        <f>+[2]Resumen!T36*1000</f>
        <v>128486.67394715195</v>
      </c>
      <c r="U36" s="7">
        <f>+[2]Resumen!U36*1000</f>
        <v>126085.7307556703</v>
      </c>
      <c r="V36" s="7">
        <f>+[2]Resumen!V36*1000</f>
        <v>126227.70010072879</v>
      </c>
      <c r="W36" s="7">
        <f>+[2]Resumen!W36*1000</f>
        <v>0</v>
      </c>
      <c r="X36" s="7">
        <f>+[2]Resumen!X36*1000</f>
        <v>0</v>
      </c>
      <c r="Y36" s="7">
        <f>+[2]Resumen!Y36*1000</f>
        <v>0</v>
      </c>
      <c r="Z36" s="7">
        <f>+[2]Resumen!Z36*1000</f>
        <v>0</v>
      </c>
      <c r="AA36" s="7">
        <f>+[2]Resumen!AA36*1000</f>
        <v>0</v>
      </c>
      <c r="AB36" s="7">
        <f>+[2]Resumen!AB36*1000</f>
        <v>0</v>
      </c>
      <c r="AC36" s="7">
        <f>+[2]Resumen!AC36*1000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+[2]Resumen!F37*1000</f>
        <v>0</v>
      </c>
      <c r="G37" s="7">
        <f>+[2]Resumen!G37*1000</f>
        <v>0</v>
      </c>
      <c r="H37" s="7">
        <f>+[2]Resumen!H37*1000</f>
        <v>0</v>
      </c>
      <c r="I37" s="7">
        <f>+[2]Resumen!I37*1000</f>
        <v>0</v>
      </c>
      <c r="J37" s="7">
        <f>+[2]Resumen!J37*1000</f>
        <v>0</v>
      </c>
      <c r="K37" s="7">
        <f>+[2]Resumen!K37*1000</f>
        <v>0</v>
      </c>
      <c r="L37" s="7">
        <f>+[2]Resumen!L37*1000</f>
        <v>0</v>
      </c>
      <c r="M37" s="7">
        <f>+[2]Resumen!M37*1000</f>
        <v>10859.535484762797</v>
      </c>
      <c r="N37" s="7">
        <f>+[2]Resumen!N37*1000</f>
        <v>29413.213613367003</v>
      </c>
      <c r="O37" s="7">
        <f>+[2]Resumen!O37*1000</f>
        <v>44797.59620321673</v>
      </c>
      <c r="P37" s="7">
        <f>+[2]Resumen!P37*1000</f>
        <v>56960.780857683218</v>
      </c>
      <c r="Q37" s="7">
        <f>+[2]Resumen!Q37*1000</f>
        <v>72485.738971936764</v>
      </c>
      <c r="R37" s="7">
        <f>+[2]Resumen!R37*1000</f>
        <v>83713.687389869447</v>
      </c>
      <c r="S37" s="7">
        <f>+[2]Resumen!S37*1000</f>
        <v>87950.231403914368</v>
      </c>
      <c r="T37" s="7">
        <f>+[2]Resumen!T37*1000</f>
        <v>83665.522174871061</v>
      </c>
      <c r="U37" s="7">
        <f>+[2]Resumen!U37*1000</f>
        <v>84617.0312675483</v>
      </c>
      <c r="V37" s="7">
        <f>+[2]Resumen!V37*1000</f>
        <v>81432.133648840463</v>
      </c>
      <c r="W37" s="7">
        <f>+[2]Resumen!W37*1000</f>
        <v>0</v>
      </c>
      <c r="X37" s="7">
        <f>+[2]Resumen!X37*1000</f>
        <v>0</v>
      </c>
      <c r="Y37" s="7">
        <f>+[2]Resumen!Y37*1000</f>
        <v>0</v>
      </c>
      <c r="Z37" s="7">
        <f>+[2]Resumen!Z37*1000</f>
        <v>0</v>
      </c>
      <c r="AA37" s="7">
        <f>+[2]Resumen!AA37*1000</f>
        <v>0</v>
      </c>
      <c r="AB37" s="7">
        <f>+[2]Resumen!AB37*1000</f>
        <v>0</v>
      </c>
      <c r="AC37" s="7">
        <f>+[2]Resumen!AC37*1000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+[2]Resumen!F38*1000</f>
        <v>0</v>
      </c>
      <c r="G38" s="7">
        <f>+[2]Resumen!G38*1000</f>
        <v>0</v>
      </c>
      <c r="H38" s="7">
        <f>+[2]Resumen!H38*1000</f>
        <v>0</v>
      </c>
      <c r="I38" s="7">
        <f>+[2]Resumen!I38*1000</f>
        <v>0</v>
      </c>
      <c r="J38" s="7">
        <f>+[2]Resumen!J38*1000</f>
        <v>0</v>
      </c>
      <c r="K38" s="7">
        <f>+[2]Resumen!K38*1000</f>
        <v>0</v>
      </c>
      <c r="L38" s="7">
        <f>+[2]Resumen!L38*1000</f>
        <v>0</v>
      </c>
      <c r="M38" s="7">
        <f>+[2]Resumen!M38*1000</f>
        <v>21023.850649728112</v>
      </c>
      <c r="N38" s="7">
        <f>+[2]Resumen!N38*1000</f>
        <v>37727.406086823059</v>
      </c>
      <c r="O38" s="7">
        <f>+[2]Resumen!O38*1000</f>
        <v>51322.053265027629</v>
      </c>
      <c r="P38" s="7">
        <f>+[2]Resumen!P38*1000</f>
        <v>71399.717474703561</v>
      </c>
      <c r="Q38" s="7">
        <f>+[2]Resumen!Q38*1000</f>
        <v>94100.761229590309</v>
      </c>
      <c r="R38" s="7">
        <f>+[2]Resumen!R38*1000</f>
        <v>108744.1626252735</v>
      </c>
      <c r="S38" s="7">
        <f>+[2]Resumen!S38*1000</f>
        <v>110031.77414606926</v>
      </c>
      <c r="T38" s="7">
        <f>+[2]Resumen!T38*1000</f>
        <v>99569.55595030282</v>
      </c>
      <c r="U38" s="7">
        <f>+[2]Resumen!U38*1000</f>
        <v>94257.252443594785</v>
      </c>
      <c r="V38" s="7">
        <f>+[2]Resumen!V38*1000</f>
        <v>88356.573681649796</v>
      </c>
      <c r="W38" s="7">
        <f>+[2]Resumen!W38*1000</f>
        <v>0</v>
      </c>
      <c r="X38" s="7">
        <f>+[2]Resumen!X38*1000</f>
        <v>0</v>
      </c>
      <c r="Y38" s="7">
        <f>+[2]Resumen!Y38*1000</f>
        <v>0</v>
      </c>
      <c r="Z38" s="7">
        <f>+[2]Resumen!Z38*1000</f>
        <v>0</v>
      </c>
      <c r="AA38" s="7">
        <f>+[2]Resumen!AA38*1000</f>
        <v>0</v>
      </c>
      <c r="AB38" s="7">
        <f>+[2]Resumen!AB38*1000</f>
        <v>0</v>
      </c>
      <c r="AC38" s="7">
        <f>+[2]Resumen!AC38*1000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+[2]Resumen!F39*1000</f>
        <v>0</v>
      </c>
      <c r="G39" s="7">
        <f>+[2]Resumen!G39*1000</f>
        <v>0</v>
      </c>
      <c r="H39" s="7">
        <f>+[2]Resumen!H39*1000</f>
        <v>0</v>
      </c>
      <c r="I39" s="7">
        <f>+[2]Resumen!I39*1000</f>
        <v>0</v>
      </c>
      <c r="J39" s="7">
        <f>+[2]Resumen!J39*1000</f>
        <v>0</v>
      </c>
      <c r="K39" s="7">
        <f>+[2]Resumen!K39*1000</f>
        <v>0</v>
      </c>
      <c r="L39" s="7">
        <f>+[2]Resumen!L39*1000</f>
        <v>0</v>
      </c>
      <c r="M39" s="7">
        <f>+[2]Resumen!M39*1000</f>
        <v>141665.40504199924</v>
      </c>
      <c r="N39" s="7">
        <f>+[2]Resumen!N39*1000</f>
        <v>159329.71234498775</v>
      </c>
      <c r="O39" s="7">
        <f>+[2]Resumen!O39*1000</f>
        <v>171708.49492059639</v>
      </c>
      <c r="P39" s="7">
        <f>+[2]Resumen!P39*1000</f>
        <v>194418.38072526126</v>
      </c>
      <c r="Q39" s="7">
        <f>+[2]Resumen!Q39*1000</f>
        <v>211526.84977392058</v>
      </c>
      <c r="R39" s="7">
        <f>+[2]Resumen!R39*1000</f>
        <v>215320.6292342474</v>
      </c>
      <c r="S39" s="7">
        <f>+[2]Resumen!S39*1000</f>
        <v>216920.97926443757</v>
      </c>
      <c r="T39" s="7">
        <f>+[2]Resumen!T39*1000</f>
        <v>222530.96801746936</v>
      </c>
      <c r="U39" s="7">
        <f>+[2]Resumen!U39*1000</f>
        <v>225097.35772066188</v>
      </c>
      <c r="V39" s="7">
        <f>+[2]Resumen!V39*1000</f>
        <v>215488.50622072481</v>
      </c>
      <c r="W39" s="7">
        <f>+[2]Resumen!W39*1000</f>
        <v>0</v>
      </c>
      <c r="X39" s="7">
        <f>+[2]Resumen!X39*1000</f>
        <v>0</v>
      </c>
      <c r="Y39" s="7">
        <f>+[2]Resumen!Y39*1000</f>
        <v>0</v>
      </c>
      <c r="Z39" s="7">
        <f>+[2]Resumen!Z39*1000</f>
        <v>0</v>
      </c>
      <c r="AA39" s="7">
        <f>+[2]Resumen!AA39*1000</f>
        <v>0</v>
      </c>
      <c r="AB39" s="7">
        <f>+[2]Resumen!AB39*1000</f>
        <v>0</v>
      </c>
      <c r="AC39" s="7">
        <f>+[2]Resumen!AC39*1000</f>
        <v>0</v>
      </c>
      <c r="AD39" s="60">
        <f t="shared" ref="AD39" si="5">SUM(F39:AC39)*E39+SUM(F40:AC40)*E40+SUM(F41:AC41)*E41+SUM(F42:AC42)*E42</f>
        <v>54535557.658852182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+[2]Resumen!F40*1000</f>
        <v>0</v>
      </c>
      <c r="G40" s="7">
        <f>+[2]Resumen!G40*1000</f>
        <v>0</v>
      </c>
      <c r="H40" s="7">
        <f>+[2]Resumen!H40*1000</f>
        <v>0</v>
      </c>
      <c r="I40" s="7">
        <f>+[2]Resumen!I40*1000</f>
        <v>0</v>
      </c>
      <c r="J40" s="7">
        <f>+[2]Resumen!J40*1000</f>
        <v>0</v>
      </c>
      <c r="K40" s="7">
        <f>+[2]Resumen!K40*1000</f>
        <v>0</v>
      </c>
      <c r="L40" s="7">
        <f>+[2]Resumen!L40*1000</f>
        <v>0</v>
      </c>
      <c r="M40" s="7">
        <f>+[2]Resumen!M40*1000</f>
        <v>109321.8228842276</v>
      </c>
      <c r="N40" s="7">
        <f>+[2]Resumen!N40*1000</f>
        <v>134190.8239967867</v>
      </c>
      <c r="O40" s="7">
        <f>+[2]Resumen!O40*1000</f>
        <v>154836.2436273894</v>
      </c>
      <c r="P40" s="7">
        <f>+[2]Resumen!P40*1000</f>
        <v>173463.7942506918</v>
      </c>
      <c r="Q40" s="7">
        <f>+[2]Resumen!Q40*1000</f>
        <v>186619.8583371423</v>
      </c>
      <c r="R40" s="7">
        <f>+[2]Resumen!R40*1000</f>
        <v>186437.04133552252</v>
      </c>
      <c r="S40" s="7">
        <f>+[2]Resumen!S40*1000</f>
        <v>180944.08124920941</v>
      </c>
      <c r="T40" s="7">
        <f>+[2]Resumen!T40*1000</f>
        <v>171742.8874452507</v>
      </c>
      <c r="U40" s="7">
        <f>+[2]Resumen!U40*1000</f>
        <v>167766.09933296402</v>
      </c>
      <c r="V40" s="7">
        <f>+[2]Resumen!V40*1000</f>
        <v>164261.1456464247</v>
      </c>
      <c r="W40" s="7">
        <f>+[2]Resumen!W40*1000</f>
        <v>0</v>
      </c>
      <c r="X40" s="7">
        <f>+[2]Resumen!X40*1000</f>
        <v>0</v>
      </c>
      <c r="Y40" s="7">
        <f>+[2]Resumen!Y40*1000</f>
        <v>0</v>
      </c>
      <c r="Z40" s="7">
        <f>+[2]Resumen!Z40*1000</f>
        <v>0</v>
      </c>
      <c r="AA40" s="7">
        <f>+[2]Resumen!AA40*1000</f>
        <v>0</v>
      </c>
      <c r="AB40" s="7">
        <f>+[2]Resumen!AB40*1000</f>
        <v>0</v>
      </c>
      <c r="AC40" s="7">
        <f>+[2]Resumen!AC40*1000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+[2]Resumen!F41*1000</f>
        <v>0</v>
      </c>
      <c r="G41" s="7">
        <f>+[2]Resumen!G41*1000</f>
        <v>0</v>
      </c>
      <c r="H41" s="7">
        <f>+[2]Resumen!H41*1000</f>
        <v>0</v>
      </c>
      <c r="I41" s="7">
        <f>+[2]Resumen!I41*1000</f>
        <v>0</v>
      </c>
      <c r="J41" s="7">
        <f>+[2]Resumen!J41*1000</f>
        <v>0</v>
      </c>
      <c r="K41" s="7">
        <f>+[2]Resumen!K41*1000</f>
        <v>0</v>
      </c>
      <c r="L41" s="7">
        <f>+[2]Resumen!L41*1000</f>
        <v>0</v>
      </c>
      <c r="M41" s="7">
        <f>+[2]Resumen!M41*1000</f>
        <v>57747.496792081503</v>
      </c>
      <c r="N41" s="7">
        <f>+[2]Resumen!N41*1000</f>
        <v>79158.951543118659</v>
      </c>
      <c r="O41" s="7">
        <f>+[2]Resumen!O41*1000</f>
        <v>92599.198238300771</v>
      </c>
      <c r="P41" s="7">
        <f>+[2]Resumen!P41*1000</f>
        <v>108664.32283589744</v>
      </c>
      <c r="Q41" s="7">
        <f>+[2]Resumen!Q41*1000</f>
        <v>125819.12770994588</v>
      </c>
      <c r="R41" s="7">
        <f>+[2]Resumen!R41*1000</f>
        <v>136251.06515198937</v>
      </c>
      <c r="S41" s="7">
        <f>+[2]Resumen!S41*1000</f>
        <v>138449.85208026745</v>
      </c>
      <c r="T41" s="7">
        <f>+[2]Resumen!T41*1000</f>
        <v>135431.05432670232</v>
      </c>
      <c r="U41" s="7">
        <f>+[2]Resumen!U41*1000</f>
        <v>136560.10132526976</v>
      </c>
      <c r="V41" s="7">
        <f>+[2]Resumen!V41*1000</f>
        <v>136584.3886501776</v>
      </c>
      <c r="W41" s="7">
        <f>+[2]Resumen!W41*1000</f>
        <v>0</v>
      </c>
      <c r="X41" s="7">
        <f>+[2]Resumen!X41*1000</f>
        <v>0</v>
      </c>
      <c r="Y41" s="7">
        <f>+[2]Resumen!Y41*1000</f>
        <v>0</v>
      </c>
      <c r="Z41" s="7">
        <f>+[2]Resumen!Z41*1000</f>
        <v>0</v>
      </c>
      <c r="AA41" s="7">
        <f>+[2]Resumen!AA41*1000</f>
        <v>0</v>
      </c>
      <c r="AB41" s="7">
        <f>+[2]Resumen!AB41*1000</f>
        <v>0</v>
      </c>
      <c r="AC41" s="7">
        <f>+[2]Resumen!AC41*1000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+[2]Resumen!F42*1000</f>
        <v>0</v>
      </c>
      <c r="G42" s="7">
        <f>+[2]Resumen!G42*1000</f>
        <v>0</v>
      </c>
      <c r="H42" s="7">
        <f>+[2]Resumen!H42*1000</f>
        <v>0</v>
      </c>
      <c r="I42" s="7">
        <f>+[2]Resumen!I42*1000</f>
        <v>0</v>
      </c>
      <c r="J42" s="7">
        <f>+[2]Resumen!J42*1000</f>
        <v>0</v>
      </c>
      <c r="K42" s="7">
        <f>+[2]Resumen!K42*1000</f>
        <v>0</v>
      </c>
      <c r="L42" s="7">
        <f>+[2]Resumen!L42*1000</f>
        <v>0</v>
      </c>
      <c r="M42" s="7">
        <f>+[2]Resumen!M42*1000</f>
        <v>0</v>
      </c>
      <c r="N42" s="7">
        <f>+[2]Resumen!N42*1000</f>
        <v>0</v>
      </c>
      <c r="O42" s="7">
        <f>+[2]Resumen!O42*1000</f>
        <v>0</v>
      </c>
      <c r="P42" s="7">
        <f>+[2]Resumen!P42*1000</f>
        <v>0</v>
      </c>
      <c r="Q42" s="7">
        <f>+[2]Resumen!Q42*1000</f>
        <v>0</v>
      </c>
      <c r="R42" s="7">
        <f>+[2]Resumen!R42*1000</f>
        <v>0</v>
      </c>
      <c r="S42" s="7">
        <f>+[2]Resumen!S42*1000</f>
        <v>0</v>
      </c>
      <c r="T42" s="7">
        <f>+[2]Resumen!T42*1000</f>
        <v>0</v>
      </c>
      <c r="U42" s="7">
        <f>+[2]Resumen!U42*1000</f>
        <v>0</v>
      </c>
      <c r="V42" s="7">
        <f>+[2]Resumen!V42*1000</f>
        <v>0</v>
      </c>
      <c r="W42" s="7">
        <f>+[2]Resumen!W42*1000</f>
        <v>0</v>
      </c>
      <c r="X42" s="7">
        <f>+[2]Resumen!X42*1000</f>
        <v>0</v>
      </c>
      <c r="Y42" s="7">
        <f>+[2]Resumen!Y42*1000</f>
        <v>0</v>
      </c>
      <c r="Z42" s="7">
        <f>+[2]Resumen!Z42*1000</f>
        <v>0</v>
      </c>
      <c r="AA42" s="7">
        <f>+[2]Resumen!AA42*1000</f>
        <v>0</v>
      </c>
      <c r="AB42" s="7">
        <f>+[2]Resumen!AB42*1000</f>
        <v>0</v>
      </c>
      <c r="AC42" s="7">
        <f>+[2]Resumen!AC42*1000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20</v>
      </c>
      <c r="F43" s="7">
        <f>+[2]Resumen!F43*1000</f>
        <v>0</v>
      </c>
      <c r="G43" s="7">
        <f>+[2]Resumen!G43*1000</f>
        <v>0</v>
      </c>
      <c r="H43" s="7">
        <f>+[2]Resumen!H43*1000</f>
        <v>0</v>
      </c>
      <c r="I43" s="7">
        <f>+[2]Resumen!I43*1000</f>
        <v>0</v>
      </c>
      <c r="J43" s="7">
        <f>+[2]Resumen!J43*1000</f>
        <v>0</v>
      </c>
      <c r="K43" s="7">
        <f>+[2]Resumen!K43*1000</f>
        <v>0</v>
      </c>
      <c r="L43" s="7">
        <f>+[2]Resumen!L43*1000</f>
        <v>0</v>
      </c>
      <c r="M43" s="7">
        <f>+[2]Resumen!M43*1000</f>
        <v>127018.99822052938</v>
      </c>
      <c r="N43" s="7">
        <f>+[2]Resumen!N43*1000</f>
        <v>145366.63481085512</v>
      </c>
      <c r="O43" s="7">
        <f>+[2]Resumen!O43*1000</f>
        <v>155638.10865002827</v>
      </c>
      <c r="P43" s="7">
        <f>+[2]Resumen!P43*1000</f>
        <v>174231.06638695725</v>
      </c>
      <c r="Q43" s="7">
        <f>+[2]Resumen!Q43*1000</f>
        <v>190978.23969916467</v>
      </c>
      <c r="R43" s="7">
        <f>+[2]Resumen!R43*1000</f>
        <v>195309.16279428976</v>
      </c>
      <c r="S43" s="7">
        <f>+[2]Resumen!S43*1000</f>
        <v>195714.80816169787</v>
      </c>
      <c r="T43" s="7">
        <f>+[2]Resumen!T43*1000</f>
        <v>201968.75076857215</v>
      </c>
      <c r="U43" s="7">
        <f>+[2]Resumen!U43*1000</f>
        <v>203343.17989339645</v>
      </c>
      <c r="V43" s="7">
        <f>+[2]Resumen!V43*1000</f>
        <v>192734.97640681016</v>
      </c>
      <c r="W43" s="7">
        <f>+[2]Resumen!W43*1000</f>
        <v>0</v>
      </c>
      <c r="X43" s="7">
        <f>+[2]Resumen!X43*1000</f>
        <v>0</v>
      </c>
      <c r="Y43" s="7">
        <f>+[2]Resumen!Y43*1000</f>
        <v>0</v>
      </c>
      <c r="Z43" s="7">
        <f>+[2]Resumen!Z43*1000</f>
        <v>0</v>
      </c>
      <c r="AA43" s="7">
        <f>+[2]Resumen!AA43*1000</f>
        <v>0</v>
      </c>
      <c r="AB43" s="7">
        <f>+[2]Resumen!AB43*1000</f>
        <v>0</v>
      </c>
      <c r="AC43" s="7">
        <f>+[2]Resumen!AC43*1000</f>
        <v>0</v>
      </c>
      <c r="AD43" s="60">
        <f t="shared" ref="AD43" si="6">SUM(F43:AC43)*E43+SUM(F44:AC44)*E44+SUM(F45:AC45)*E45+SUM(F46:AC46)*E46</f>
        <v>50975970.105347119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+[2]Resumen!F44*1000</f>
        <v>0</v>
      </c>
      <c r="G44" s="7">
        <f>+[2]Resumen!G44*1000</f>
        <v>0</v>
      </c>
      <c r="H44" s="7">
        <f>+[2]Resumen!H44*1000</f>
        <v>0</v>
      </c>
      <c r="I44" s="7">
        <f>+[2]Resumen!I44*1000</f>
        <v>0</v>
      </c>
      <c r="J44" s="7">
        <f>+[2]Resumen!J44*1000</f>
        <v>0</v>
      </c>
      <c r="K44" s="7">
        <f>+[2]Resumen!K44*1000</f>
        <v>0</v>
      </c>
      <c r="L44" s="7">
        <f>+[2]Resumen!L44*1000</f>
        <v>0</v>
      </c>
      <c r="M44" s="7">
        <f>+[2]Resumen!M44*1000</f>
        <v>101640.59921557928</v>
      </c>
      <c r="N44" s="7">
        <f>+[2]Resumen!N44*1000</f>
        <v>126298.33196240483</v>
      </c>
      <c r="O44" s="7">
        <f>+[2]Resumen!O44*1000</f>
        <v>147321.90384800202</v>
      </c>
      <c r="P44" s="7">
        <f>+[2]Resumen!P44*1000</f>
        <v>168253.39645659924</v>
      </c>
      <c r="Q44" s="7">
        <f>+[2]Resumen!Q44*1000</f>
        <v>178967.79165431412</v>
      </c>
      <c r="R44" s="7">
        <f>+[2]Resumen!R44*1000</f>
        <v>179024.56371185515</v>
      </c>
      <c r="S44" s="7">
        <f>+[2]Resumen!S44*1000</f>
        <v>177560.48578479752</v>
      </c>
      <c r="T44" s="7">
        <f>+[2]Resumen!T44*1000</f>
        <v>174130.15377155825</v>
      </c>
      <c r="U44" s="7">
        <f>+[2]Resumen!U44*1000</f>
        <v>176091.20716442203</v>
      </c>
      <c r="V44" s="7">
        <f>+[2]Resumen!V44*1000</f>
        <v>176957.3534533791</v>
      </c>
      <c r="W44" s="7">
        <f>+[2]Resumen!W44*1000</f>
        <v>0</v>
      </c>
      <c r="X44" s="7">
        <f>+[2]Resumen!X44*1000</f>
        <v>0</v>
      </c>
      <c r="Y44" s="7">
        <f>+[2]Resumen!Y44*1000</f>
        <v>0</v>
      </c>
      <c r="Z44" s="7">
        <f>+[2]Resumen!Z44*1000</f>
        <v>0</v>
      </c>
      <c r="AA44" s="7">
        <f>+[2]Resumen!AA44*1000</f>
        <v>0</v>
      </c>
      <c r="AB44" s="7">
        <f>+[2]Resumen!AB44*1000</f>
        <v>0</v>
      </c>
      <c r="AC44" s="7">
        <f>+[2]Resumen!AC44*1000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+[2]Resumen!F45*1000</f>
        <v>0</v>
      </c>
      <c r="G45" s="7">
        <f>+[2]Resumen!G45*1000</f>
        <v>0</v>
      </c>
      <c r="H45" s="7">
        <f>+[2]Resumen!H45*1000</f>
        <v>0</v>
      </c>
      <c r="I45" s="7">
        <f>+[2]Resumen!I45*1000</f>
        <v>0</v>
      </c>
      <c r="J45" s="7">
        <f>+[2]Resumen!J45*1000</f>
        <v>0</v>
      </c>
      <c r="K45" s="7">
        <f>+[2]Resumen!K45*1000</f>
        <v>0</v>
      </c>
      <c r="L45" s="7">
        <f>+[2]Resumen!L45*1000</f>
        <v>0</v>
      </c>
      <c r="M45" s="7">
        <f>+[2]Resumen!M45*1000</f>
        <v>65490.998109856875</v>
      </c>
      <c r="N45" s="7">
        <f>+[2]Resumen!N45*1000</f>
        <v>84499.671568424033</v>
      </c>
      <c r="O45" s="7">
        <f>+[2]Resumen!O45*1000</f>
        <v>99273.543288764617</v>
      </c>
      <c r="P45" s="7">
        <f>+[2]Resumen!P45*1000</f>
        <v>114199.62893597562</v>
      </c>
      <c r="Q45" s="7">
        <f>+[2]Resumen!Q45*1000</f>
        <v>134333.08952873433</v>
      </c>
      <c r="R45" s="7">
        <f>+[2]Resumen!R45*1000</f>
        <v>145038.52071736375</v>
      </c>
      <c r="S45" s="7">
        <f>+[2]Resumen!S45*1000</f>
        <v>144899.66133464099</v>
      </c>
      <c r="T45" s="7">
        <f>+[2]Resumen!T45*1000</f>
        <v>142589.53427019104</v>
      </c>
      <c r="U45" s="7">
        <f>+[2]Resumen!U45*1000</f>
        <v>142157.75476550765</v>
      </c>
      <c r="V45" s="7">
        <f>+[2]Resumen!V45*1000</f>
        <v>137814.64445103315</v>
      </c>
      <c r="W45" s="7">
        <f>+[2]Resumen!W45*1000</f>
        <v>0</v>
      </c>
      <c r="X45" s="7">
        <f>+[2]Resumen!X45*1000</f>
        <v>0</v>
      </c>
      <c r="Y45" s="7">
        <f>+[2]Resumen!Y45*1000</f>
        <v>0</v>
      </c>
      <c r="Z45" s="7">
        <f>+[2]Resumen!Z45*1000</f>
        <v>0</v>
      </c>
      <c r="AA45" s="7">
        <f>+[2]Resumen!AA45*1000</f>
        <v>0</v>
      </c>
      <c r="AB45" s="7">
        <f>+[2]Resumen!AB45*1000</f>
        <v>0</v>
      </c>
      <c r="AC45" s="7">
        <f>+[2]Resumen!AC45*1000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+[2]Resumen!F46*1000</f>
        <v>0</v>
      </c>
      <c r="G46" s="7">
        <f>+[2]Resumen!G46*1000</f>
        <v>0</v>
      </c>
      <c r="H46" s="7">
        <f>+[2]Resumen!H46*1000</f>
        <v>0</v>
      </c>
      <c r="I46" s="7">
        <f>+[2]Resumen!I46*1000</f>
        <v>0</v>
      </c>
      <c r="J46" s="7">
        <f>+[2]Resumen!J46*1000</f>
        <v>0</v>
      </c>
      <c r="K46" s="7">
        <f>+[2]Resumen!K46*1000</f>
        <v>0</v>
      </c>
      <c r="L46" s="7">
        <f>+[2]Resumen!L46*1000</f>
        <v>0</v>
      </c>
      <c r="M46" s="7">
        <f>+[2]Resumen!M46*1000</f>
        <v>62661.167591550329</v>
      </c>
      <c r="N46" s="7">
        <f>+[2]Resumen!N46*1000</f>
        <v>82919.62776289678</v>
      </c>
      <c r="O46" s="7">
        <f>+[2]Resumen!O46*1000</f>
        <v>92500.115012511029</v>
      </c>
      <c r="P46" s="7">
        <f>+[2]Resumen!P46*1000</f>
        <v>106635.44264542515</v>
      </c>
      <c r="Q46" s="7">
        <f>+[2]Resumen!Q46*1000</f>
        <v>131230.61026761369</v>
      </c>
      <c r="R46" s="7">
        <f>+[2]Resumen!R46*1000</f>
        <v>150046.36152481457</v>
      </c>
      <c r="S46" s="7">
        <f>+[2]Resumen!S46*1000</f>
        <v>157323.00261430399</v>
      </c>
      <c r="T46" s="7">
        <f>+[2]Resumen!T46*1000</f>
        <v>151113.22669942499</v>
      </c>
      <c r="U46" s="7">
        <f>+[2]Resumen!U46*1000</f>
        <v>154434.86683573626</v>
      </c>
      <c r="V46" s="7">
        <f>+[2]Resumen!V46*1000</f>
        <v>158312.99857980866</v>
      </c>
      <c r="W46" s="7">
        <f>+[2]Resumen!W46*1000</f>
        <v>0</v>
      </c>
      <c r="X46" s="7">
        <f>+[2]Resumen!X46*1000</f>
        <v>0</v>
      </c>
      <c r="Y46" s="7">
        <f>+[2]Resumen!Y46*1000</f>
        <v>0</v>
      </c>
      <c r="Z46" s="7">
        <f>+[2]Resumen!Z46*1000</f>
        <v>0</v>
      </c>
      <c r="AA46" s="7">
        <f>+[2]Resumen!AA46*1000</f>
        <v>0</v>
      </c>
      <c r="AB46" s="7">
        <f>+[2]Resumen!AB46*1000</f>
        <v>0</v>
      </c>
      <c r="AC46" s="7">
        <f>+[2]Resumen!AC46*1000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+[2]Resumen!F47*1000</f>
        <v>0</v>
      </c>
      <c r="G47" s="7">
        <f>+[2]Resumen!G47*1000</f>
        <v>0</v>
      </c>
      <c r="H47" s="7">
        <f>+[2]Resumen!H47*1000</f>
        <v>0</v>
      </c>
      <c r="I47" s="7">
        <f>+[2]Resumen!I47*1000</f>
        <v>0</v>
      </c>
      <c r="J47" s="7">
        <f>+[2]Resumen!J47*1000</f>
        <v>0</v>
      </c>
      <c r="K47" s="7">
        <f>+[2]Resumen!K47*1000</f>
        <v>0</v>
      </c>
      <c r="L47" s="7">
        <f>+[2]Resumen!L47*1000</f>
        <v>0</v>
      </c>
      <c r="M47" s="7">
        <f>+[2]Resumen!M47*1000</f>
        <v>161007.73303116008</v>
      </c>
      <c r="N47" s="7">
        <f>+[2]Resumen!N47*1000</f>
        <v>179935.79138761206</v>
      </c>
      <c r="O47" s="7">
        <f>+[2]Resumen!O47*1000</f>
        <v>191688.45230237907</v>
      </c>
      <c r="P47" s="7">
        <f>+[2]Resumen!P47*1000</f>
        <v>211214.79075209532</v>
      </c>
      <c r="Q47" s="7">
        <f>+[2]Resumen!Q47*1000</f>
        <v>230111.18324554872</v>
      </c>
      <c r="R47" s="7">
        <f>+[2]Resumen!R47*1000</f>
        <v>235246.94194358305</v>
      </c>
      <c r="S47" s="7">
        <f>+[2]Resumen!S47*1000</f>
        <v>232710.62392101536</v>
      </c>
      <c r="T47" s="7">
        <f>+[2]Resumen!T47*1000</f>
        <v>236927.61960037833</v>
      </c>
      <c r="U47" s="7">
        <f>+[2]Resumen!U47*1000</f>
        <v>237812.29499266355</v>
      </c>
      <c r="V47" s="7">
        <f>+[2]Resumen!V47*1000</f>
        <v>230046.28347131505</v>
      </c>
      <c r="W47" s="7">
        <f>+[2]Resumen!W47*1000</f>
        <v>0</v>
      </c>
      <c r="X47" s="7">
        <f>+[2]Resumen!X47*1000</f>
        <v>0</v>
      </c>
      <c r="Y47" s="7">
        <f>+[2]Resumen!Y47*1000</f>
        <v>0</v>
      </c>
      <c r="Z47" s="7">
        <f>+[2]Resumen!Z47*1000</f>
        <v>0</v>
      </c>
      <c r="AA47" s="7">
        <f>+[2]Resumen!AA47*1000</f>
        <v>0</v>
      </c>
      <c r="AB47" s="7">
        <f>+[2]Resumen!AB47*1000</f>
        <v>0</v>
      </c>
      <c r="AC47" s="7">
        <f>+[2]Resumen!AC47*1000</f>
        <v>0</v>
      </c>
      <c r="AD47" s="60">
        <f t="shared" ref="AD47" si="7">SUM(F47:AC47)*E47+SUM(F48:AC48)*E48+SUM(F49:AC49)*E49+SUM(F50:AC50)*E50</f>
        <v>58131063.23887255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+[2]Resumen!F48*1000</f>
        <v>0</v>
      </c>
      <c r="G48" s="7">
        <f>+[2]Resumen!G48*1000</f>
        <v>0</v>
      </c>
      <c r="H48" s="7">
        <f>+[2]Resumen!H48*1000</f>
        <v>0</v>
      </c>
      <c r="I48" s="7">
        <f>+[2]Resumen!I48*1000</f>
        <v>0</v>
      </c>
      <c r="J48" s="7">
        <f>+[2]Resumen!J48*1000</f>
        <v>0</v>
      </c>
      <c r="K48" s="7">
        <f>+[2]Resumen!K48*1000</f>
        <v>0</v>
      </c>
      <c r="L48" s="7">
        <f>+[2]Resumen!L48*1000</f>
        <v>0</v>
      </c>
      <c r="M48" s="7">
        <f>+[2]Resumen!M48*1000</f>
        <v>126904.19095547899</v>
      </c>
      <c r="N48" s="7">
        <f>+[2]Resumen!N48*1000</f>
        <v>155490.02391684733</v>
      </c>
      <c r="O48" s="7">
        <f>+[2]Resumen!O48*1000</f>
        <v>174632.98328411407</v>
      </c>
      <c r="P48" s="7">
        <f>+[2]Resumen!P48*1000</f>
        <v>189233.24593053482</v>
      </c>
      <c r="Q48" s="7">
        <f>+[2]Resumen!Q48*1000</f>
        <v>199370.45128376657</v>
      </c>
      <c r="R48" s="7">
        <f>+[2]Resumen!R48*1000</f>
        <v>200702.83929309397</v>
      </c>
      <c r="S48" s="7">
        <f>+[2]Resumen!S48*1000</f>
        <v>196201.13832225392</v>
      </c>
      <c r="T48" s="7">
        <f>+[2]Resumen!T48*1000</f>
        <v>191938.72151230642</v>
      </c>
      <c r="U48" s="7">
        <f>+[2]Resumen!U48*1000</f>
        <v>189703.50359666653</v>
      </c>
      <c r="V48" s="7">
        <f>+[2]Resumen!V48*1000</f>
        <v>187963.59727342631</v>
      </c>
      <c r="W48" s="7">
        <f>+[2]Resumen!W48*1000</f>
        <v>0</v>
      </c>
      <c r="X48" s="7">
        <f>+[2]Resumen!X48*1000</f>
        <v>0</v>
      </c>
      <c r="Y48" s="7">
        <f>+[2]Resumen!Y48*1000</f>
        <v>0</v>
      </c>
      <c r="Z48" s="7">
        <f>+[2]Resumen!Z48*1000</f>
        <v>0</v>
      </c>
      <c r="AA48" s="7">
        <f>+[2]Resumen!AA48*1000</f>
        <v>0</v>
      </c>
      <c r="AB48" s="7">
        <f>+[2]Resumen!AB48*1000</f>
        <v>0</v>
      </c>
      <c r="AC48" s="7">
        <f>+[2]Resumen!AC48*1000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+[2]Resumen!F49*1000</f>
        <v>0</v>
      </c>
      <c r="G49" s="7">
        <f>+[2]Resumen!G49*1000</f>
        <v>0</v>
      </c>
      <c r="H49" s="7">
        <f>+[2]Resumen!H49*1000</f>
        <v>0</v>
      </c>
      <c r="I49" s="7">
        <f>+[2]Resumen!I49*1000</f>
        <v>0</v>
      </c>
      <c r="J49" s="7">
        <f>+[2]Resumen!J49*1000</f>
        <v>0</v>
      </c>
      <c r="K49" s="7">
        <f>+[2]Resumen!K49*1000</f>
        <v>0</v>
      </c>
      <c r="L49" s="7">
        <f>+[2]Resumen!L49*1000</f>
        <v>0</v>
      </c>
      <c r="M49" s="7">
        <f>+[2]Resumen!M49*1000</f>
        <v>71615.254416192038</v>
      </c>
      <c r="N49" s="7">
        <f>+[2]Resumen!N49*1000</f>
        <v>94841.533350658632</v>
      </c>
      <c r="O49" s="7">
        <f>+[2]Resumen!O49*1000</f>
        <v>112378.90714890105</v>
      </c>
      <c r="P49" s="7">
        <f>+[2]Resumen!P49*1000</f>
        <v>124390.20019752352</v>
      </c>
      <c r="Q49" s="7">
        <f>+[2]Resumen!Q49*1000</f>
        <v>140992.09384061754</v>
      </c>
      <c r="R49" s="7">
        <f>+[2]Resumen!R49*1000</f>
        <v>154794.49869878165</v>
      </c>
      <c r="S49" s="7">
        <f>+[2]Resumen!S49*1000</f>
        <v>161887.85237218029</v>
      </c>
      <c r="T49" s="7">
        <f>+[2]Resumen!T49*1000</f>
        <v>160130.74978661293</v>
      </c>
      <c r="U49" s="7">
        <f>+[2]Resumen!U49*1000</f>
        <v>153793.59608665411</v>
      </c>
      <c r="V49" s="7">
        <f>+[2]Resumen!V49*1000</f>
        <v>149147.98313321802</v>
      </c>
      <c r="W49" s="7">
        <f>+[2]Resumen!W49*1000</f>
        <v>0</v>
      </c>
      <c r="X49" s="7">
        <f>+[2]Resumen!X49*1000</f>
        <v>0</v>
      </c>
      <c r="Y49" s="7">
        <f>+[2]Resumen!Y49*1000</f>
        <v>0</v>
      </c>
      <c r="Z49" s="7">
        <f>+[2]Resumen!Z49*1000</f>
        <v>0</v>
      </c>
      <c r="AA49" s="7">
        <f>+[2]Resumen!AA49*1000</f>
        <v>0</v>
      </c>
      <c r="AB49" s="7">
        <f>+[2]Resumen!AB49*1000</f>
        <v>0</v>
      </c>
      <c r="AC49" s="7">
        <f>+[2]Resumen!AC49*1000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+[2]Resumen!F50*1000</f>
        <v>0</v>
      </c>
      <c r="G50" s="7">
        <f>+[2]Resumen!G50*1000</f>
        <v>0</v>
      </c>
      <c r="H50" s="7">
        <f>+[2]Resumen!H50*1000</f>
        <v>0</v>
      </c>
      <c r="I50" s="7">
        <f>+[2]Resumen!I50*1000</f>
        <v>0</v>
      </c>
      <c r="J50" s="7">
        <f>+[2]Resumen!J50*1000</f>
        <v>0</v>
      </c>
      <c r="K50" s="7">
        <f>+[2]Resumen!K50*1000</f>
        <v>0</v>
      </c>
      <c r="L50" s="7">
        <f>+[2]Resumen!L50*1000</f>
        <v>0</v>
      </c>
      <c r="M50" s="7">
        <f>+[2]Resumen!M50*1000</f>
        <v>64526.282566476526</v>
      </c>
      <c r="N50" s="7">
        <f>+[2]Resumen!N50*1000</f>
        <v>86587.135783288468</v>
      </c>
      <c r="O50" s="7">
        <f>+[2]Resumen!O50*1000</f>
        <v>102549.50966449777</v>
      </c>
      <c r="P50" s="7">
        <f>+[2]Resumen!P50*1000</f>
        <v>122526.47904325199</v>
      </c>
      <c r="Q50" s="7">
        <f>+[2]Resumen!Q50*1000</f>
        <v>143276.67043019136</v>
      </c>
      <c r="R50" s="7">
        <f>+[2]Resumen!R50*1000</f>
        <v>160473.94327731215</v>
      </c>
      <c r="S50" s="7">
        <f>+[2]Resumen!S50*1000</f>
        <v>169905.77955410449</v>
      </c>
      <c r="T50" s="7">
        <f>+[2]Resumen!T50*1000</f>
        <v>162818.58482572369</v>
      </c>
      <c r="U50" s="7">
        <f>+[2]Resumen!U50*1000</f>
        <v>157046.40761676134</v>
      </c>
      <c r="V50" s="7">
        <f>+[2]Resumen!V50*1000</f>
        <v>156576.95139750608</v>
      </c>
      <c r="W50" s="7">
        <f>+[2]Resumen!W50*1000</f>
        <v>0</v>
      </c>
      <c r="X50" s="7">
        <f>+[2]Resumen!X50*1000</f>
        <v>0</v>
      </c>
      <c r="Y50" s="7">
        <f>+[2]Resumen!Y50*1000</f>
        <v>0</v>
      </c>
      <c r="Z50" s="7">
        <f>+[2]Resumen!Z50*1000</f>
        <v>0</v>
      </c>
      <c r="AA50" s="7">
        <f>+[2]Resumen!AA50*1000</f>
        <v>0</v>
      </c>
      <c r="AB50" s="7">
        <f>+[2]Resumen!AB50*1000</f>
        <v>0</v>
      </c>
      <c r="AC50" s="7">
        <f>+[2]Resumen!AC50*1000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22</v>
      </c>
      <c r="F51" s="7">
        <f>+[2]Resumen!F51*1000</f>
        <v>0</v>
      </c>
      <c r="G51" s="7">
        <f>+[2]Resumen!G51*1000</f>
        <v>0</v>
      </c>
      <c r="H51" s="7">
        <f>+[2]Resumen!H51*1000</f>
        <v>0</v>
      </c>
      <c r="I51" s="7">
        <f>+[2]Resumen!I51*1000</f>
        <v>0</v>
      </c>
      <c r="J51" s="7">
        <f>+[2]Resumen!J51*1000</f>
        <v>0</v>
      </c>
      <c r="K51" s="7">
        <f>+[2]Resumen!K51*1000</f>
        <v>0</v>
      </c>
      <c r="L51" s="7">
        <f>+[2]Resumen!L51*1000</f>
        <v>0</v>
      </c>
      <c r="M51" s="7">
        <f>+[2]Resumen!M51*1000</f>
        <v>124185.51763438337</v>
      </c>
      <c r="N51" s="7">
        <f>+[2]Resumen!N51*1000</f>
        <v>147992.4622535907</v>
      </c>
      <c r="O51" s="7">
        <f>+[2]Resumen!O51*1000</f>
        <v>160067.37450372035</v>
      </c>
      <c r="P51" s="7">
        <f>+[2]Resumen!P51*1000</f>
        <v>177059.99963321732</v>
      </c>
      <c r="Q51" s="7">
        <f>+[2]Resumen!Q51*1000</f>
        <v>194736.39833038527</v>
      </c>
      <c r="R51" s="7">
        <f>+[2]Resumen!R51*1000</f>
        <v>203251.99788844294</v>
      </c>
      <c r="S51" s="7">
        <f>+[2]Resumen!S51*1000</f>
        <v>202969.5924010461</v>
      </c>
      <c r="T51" s="7">
        <f>+[2]Resumen!T51*1000</f>
        <v>207138.80616609071</v>
      </c>
      <c r="U51" s="7">
        <f>+[2]Resumen!U51*1000</f>
        <v>208317.24668410848</v>
      </c>
      <c r="V51" s="7">
        <f>+[2]Resumen!V51*1000</f>
        <v>201111.46395215148</v>
      </c>
      <c r="W51" s="7">
        <f>+[2]Resumen!W51*1000</f>
        <v>0</v>
      </c>
      <c r="X51" s="7">
        <f>+[2]Resumen!X51*1000</f>
        <v>0</v>
      </c>
      <c r="Y51" s="7">
        <f>+[2]Resumen!Y51*1000</f>
        <v>0</v>
      </c>
      <c r="Z51" s="7">
        <f>+[2]Resumen!Z51*1000</f>
        <v>0</v>
      </c>
      <c r="AA51" s="7">
        <f>+[2]Resumen!AA51*1000</f>
        <v>0</v>
      </c>
      <c r="AB51" s="7">
        <f>+[2]Resumen!AB51*1000</f>
        <v>0</v>
      </c>
      <c r="AC51" s="7">
        <f>+[2]Resumen!AC51*1000</f>
        <v>0</v>
      </c>
      <c r="AD51" s="60">
        <f t="shared" ref="AD51" si="8">SUM(F51:AC51)*E51+SUM(F52:AC52)*E52+SUM(F53:AC53)*E53+SUM(F54:AC54)*E54</f>
        <v>51369645.907212436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3</v>
      </c>
      <c r="F52" s="7">
        <f>+[2]Resumen!F52*1000</f>
        <v>0</v>
      </c>
      <c r="G52" s="7">
        <f>+[2]Resumen!G52*1000</f>
        <v>0</v>
      </c>
      <c r="H52" s="7">
        <f>+[2]Resumen!H52*1000</f>
        <v>0</v>
      </c>
      <c r="I52" s="7">
        <f>+[2]Resumen!I52*1000</f>
        <v>0</v>
      </c>
      <c r="J52" s="7">
        <f>+[2]Resumen!J52*1000</f>
        <v>0</v>
      </c>
      <c r="K52" s="7">
        <f>+[2]Resumen!K52*1000</f>
        <v>0</v>
      </c>
      <c r="L52" s="7">
        <f>+[2]Resumen!L52*1000</f>
        <v>0</v>
      </c>
      <c r="M52" s="7">
        <f>+[2]Resumen!M52*1000</f>
        <v>98910.139398572501</v>
      </c>
      <c r="N52" s="7">
        <f>+[2]Resumen!N52*1000</f>
        <v>126590.42450335175</v>
      </c>
      <c r="O52" s="7">
        <f>+[2]Resumen!O52*1000</f>
        <v>147070.24081742001</v>
      </c>
      <c r="P52" s="7">
        <f>+[2]Resumen!P52*1000</f>
        <v>159837.57703465864</v>
      </c>
      <c r="Q52" s="7">
        <f>+[2]Resumen!Q52*1000</f>
        <v>168550.04504881115</v>
      </c>
      <c r="R52" s="7">
        <f>+[2]Resumen!R52*1000</f>
        <v>170981.93977020579</v>
      </c>
      <c r="S52" s="7">
        <f>+[2]Resumen!S52*1000</f>
        <v>172344.89600876626</v>
      </c>
      <c r="T52" s="7">
        <f>+[2]Resumen!T52*1000</f>
        <v>172145.10052929659</v>
      </c>
      <c r="U52" s="7">
        <f>+[2]Resumen!U52*1000</f>
        <v>166866.02222244456</v>
      </c>
      <c r="V52" s="7">
        <f>+[2]Resumen!V52*1000</f>
        <v>161519.2913455659</v>
      </c>
      <c r="W52" s="7">
        <f>+[2]Resumen!W52*1000</f>
        <v>0</v>
      </c>
      <c r="X52" s="7">
        <f>+[2]Resumen!X52*1000</f>
        <v>0</v>
      </c>
      <c r="Y52" s="7">
        <f>+[2]Resumen!Y52*1000</f>
        <v>0</v>
      </c>
      <c r="Z52" s="7">
        <f>+[2]Resumen!Z52*1000</f>
        <v>0</v>
      </c>
      <c r="AA52" s="7">
        <f>+[2]Resumen!AA52*1000</f>
        <v>0</v>
      </c>
      <c r="AB52" s="7">
        <f>+[2]Resumen!AB52*1000</f>
        <v>0</v>
      </c>
      <c r="AC52" s="7">
        <f>+[2]Resumen!AC52*1000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+[2]Resumen!F53*1000</f>
        <v>0</v>
      </c>
      <c r="G53" s="7">
        <f>+[2]Resumen!G53*1000</f>
        <v>0</v>
      </c>
      <c r="H53" s="7">
        <f>+[2]Resumen!H53*1000</f>
        <v>0</v>
      </c>
      <c r="I53" s="7">
        <f>+[2]Resumen!I53*1000</f>
        <v>0</v>
      </c>
      <c r="J53" s="7">
        <f>+[2]Resumen!J53*1000</f>
        <v>0</v>
      </c>
      <c r="K53" s="7">
        <f>+[2]Resumen!K53*1000</f>
        <v>0</v>
      </c>
      <c r="L53" s="7">
        <f>+[2]Resumen!L53*1000</f>
        <v>0</v>
      </c>
      <c r="M53" s="7">
        <f>+[2]Resumen!M53*1000</f>
        <v>64191.97468245092</v>
      </c>
      <c r="N53" s="7">
        <f>+[2]Resumen!N53*1000</f>
        <v>87342.891476394623</v>
      </c>
      <c r="O53" s="7">
        <f>+[2]Resumen!O53*1000</f>
        <v>104178.3546156971</v>
      </c>
      <c r="P53" s="7">
        <f>+[2]Resumen!P53*1000</f>
        <v>120306.34923619905</v>
      </c>
      <c r="Q53" s="7">
        <f>+[2]Resumen!Q53*1000</f>
        <v>134709.93507686505</v>
      </c>
      <c r="R53" s="7">
        <f>+[2]Resumen!R53*1000</f>
        <v>143179.65180124636</v>
      </c>
      <c r="S53" s="7">
        <f>+[2]Resumen!S53*1000</f>
        <v>148717.85879056208</v>
      </c>
      <c r="T53" s="7">
        <f>+[2]Resumen!T53*1000</f>
        <v>147604.64907918347</v>
      </c>
      <c r="U53" s="7">
        <f>+[2]Resumen!U53*1000</f>
        <v>149246.8137290141</v>
      </c>
      <c r="V53" s="7">
        <f>+[2]Resumen!V53*1000</f>
        <v>149071.63660685779</v>
      </c>
      <c r="W53" s="7">
        <f>+[2]Resumen!W53*1000</f>
        <v>0</v>
      </c>
      <c r="X53" s="7">
        <f>+[2]Resumen!X53*1000</f>
        <v>0</v>
      </c>
      <c r="Y53" s="7">
        <f>+[2]Resumen!Y53*1000</f>
        <v>0</v>
      </c>
      <c r="Z53" s="7">
        <f>+[2]Resumen!Z53*1000</f>
        <v>0</v>
      </c>
      <c r="AA53" s="7">
        <f>+[2]Resumen!AA53*1000</f>
        <v>0</v>
      </c>
      <c r="AB53" s="7">
        <f>+[2]Resumen!AB53*1000</f>
        <v>0</v>
      </c>
      <c r="AC53" s="7">
        <f>+[2]Resumen!AC53*1000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+[2]Resumen!F54*1000</f>
        <v>0</v>
      </c>
      <c r="G54" s="7">
        <f>+[2]Resumen!G54*1000</f>
        <v>0</v>
      </c>
      <c r="H54" s="7">
        <f>+[2]Resumen!H54*1000</f>
        <v>0</v>
      </c>
      <c r="I54" s="7">
        <f>+[2]Resumen!I54*1000</f>
        <v>0</v>
      </c>
      <c r="J54" s="7">
        <f>+[2]Resumen!J54*1000</f>
        <v>0</v>
      </c>
      <c r="K54" s="7">
        <f>+[2]Resumen!K54*1000</f>
        <v>0</v>
      </c>
      <c r="L54" s="7">
        <f>+[2]Resumen!L54*1000</f>
        <v>0</v>
      </c>
      <c r="M54" s="7">
        <f>+[2]Resumen!M54*1000</f>
        <v>21875.170171470945</v>
      </c>
      <c r="N54" s="7">
        <f>+[2]Resumen!N54*1000</f>
        <v>34726.379546605116</v>
      </c>
      <c r="O54" s="7">
        <f>+[2]Resumen!O54*1000</f>
        <v>51670.351623874616</v>
      </c>
      <c r="P54" s="7">
        <f>+[2]Resumen!P54*1000</f>
        <v>66854.999713908328</v>
      </c>
      <c r="Q54" s="7">
        <f>+[2]Resumen!Q54*1000</f>
        <v>81387.827574779731</v>
      </c>
      <c r="R54" s="7">
        <f>+[2]Resumen!R54*1000</f>
        <v>97426.46957993746</v>
      </c>
      <c r="S54" s="7">
        <f>+[2]Resumen!S54*1000</f>
        <v>103110.94062420391</v>
      </c>
      <c r="T54" s="7">
        <f>+[2]Resumen!T54*1000</f>
        <v>102301.21793762426</v>
      </c>
      <c r="U54" s="7">
        <f>+[2]Resumen!U54*1000</f>
        <v>106690.29819956601</v>
      </c>
      <c r="V54" s="7">
        <f>+[2]Resumen!V54*1000</f>
        <v>109316.09950816431</v>
      </c>
      <c r="W54" s="7">
        <f>+[2]Resumen!W54*1000</f>
        <v>0</v>
      </c>
      <c r="X54" s="7">
        <f>+[2]Resumen!X54*1000</f>
        <v>0</v>
      </c>
      <c r="Y54" s="7">
        <f>+[2]Resumen!Y54*1000</f>
        <v>0</v>
      </c>
      <c r="Z54" s="7">
        <f>+[2]Resumen!Z54*1000</f>
        <v>0</v>
      </c>
      <c r="AA54" s="7">
        <f>+[2]Resumen!AA54*1000</f>
        <v>0</v>
      </c>
      <c r="AB54" s="7">
        <f>+[2]Resumen!AB54*1000</f>
        <v>0</v>
      </c>
      <c r="AC54" s="7">
        <f>+[2]Resumen!AC54*1000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Y55" s="64" t="s">
        <v>46</v>
      </c>
      <c r="Z55" s="65"/>
      <c r="AA55" s="65"/>
      <c r="AB55" s="65"/>
      <c r="AC55" s="66"/>
      <c r="AD55" s="17">
        <f>SUM(AD7:AD54)</f>
        <v>658821174.22501326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Y55:AC55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F7:AD54 F55:X55 AD5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5C97-6CFB-4CD7-93B5-29463B5EEB7F}">
  <sheetPr codeName="Hoja5"/>
  <dimension ref="C1:BD57"/>
  <sheetViews>
    <sheetView showGridLines="0" topLeftCell="A43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08984375" style="1" bestFit="1" customWidth="1"/>
    <col min="5" max="5" width="7.6328125" style="1" bestFit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+[3]Resumen!F7*1000</f>
        <v>0</v>
      </c>
      <c r="G7" s="7">
        <f>+[3]Resumen!G7*1000</f>
        <v>0</v>
      </c>
      <c r="H7" s="7">
        <f>+[3]Resumen!H7*1000</f>
        <v>0</v>
      </c>
      <c r="I7" s="7">
        <f>+[3]Resumen!I7*1000</f>
        <v>0</v>
      </c>
      <c r="J7" s="7">
        <f>+[3]Resumen!J7*1000</f>
        <v>0</v>
      </c>
      <c r="K7" s="7">
        <f>+[3]Resumen!K7*1000</f>
        <v>0</v>
      </c>
      <c r="L7" s="7">
        <f>+[3]Resumen!L7*1000</f>
        <v>0</v>
      </c>
      <c r="M7" s="7">
        <f>+[3]Resumen!M7*1000</f>
        <v>168425.1824170358</v>
      </c>
      <c r="N7" s="7">
        <f>+[3]Resumen!N7*1000</f>
        <v>200122.17974419109</v>
      </c>
      <c r="O7" s="7">
        <f>+[3]Resumen!O7*1000</f>
        <v>220384.34867637459</v>
      </c>
      <c r="P7" s="7">
        <f>+[3]Resumen!P7*1000</f>
        <v>247896.57718163406</v>
      </c>
      <c r="Q7" s="7">
        <f>+[3]Resumen!Q7*1000</f>
        <v>271817.76851115335</v>
      </c>
      <c r="R7" s="7">
        <f>+[3]Resumen!R7*1000</f>
        <v>280434.08387345693</v>
      </c>
      <c r="S7" s="7">
        <f>+[3]Resumen!S7*1000</f>
        <v>276722.22775726218</v>
      </c>
      <c r="T7" s="7">
        <f>+[3]Resumen!T7*1000</f>
        <v>281341.08951487578</v>
      </c>
      <c r="U7" s="7">
        <f>+[3]Resumen!U7*1000</f>
        <v>281235.73177768552</v>
      </c>
      <c r="V7" s="7">
        <f>+[3]Resumen!V7*1000</f>
        <v>269808.431487847</v>
      </c>
      <c r="W7" s="7">
        <f>+[3]Resumen!W7*1000</f>
        <v>0</v>
      </c>
      <c r="X7" s="7">
        <f>+[3]Resumen!X7*1000</f>
        <v>0</v>
      </c>
      <c r="Y7" s="7">
        <f>+[3]Resumen!Y7*1000</f>
        <v>0</v>
      </c>
      <c r="Z7" s="7">
        <f>+[3]Resumen!Z7*1000</f>
        <v>0</v>
      </c>
      <c r="AA7" s="7">
        <f>+[3]Resumen!AA7*1000</f>
        <v>0</v>
      </c>
      <c r="AB7" s="7">
        <f>+[3]Resumen!AB7*1000</f>
        <v>0</v>
      </c>
      <c r="AC7" s="7">
        <f>+[3]Resumen!AC7*1000</f>
        <v>0</v>
      </c>
      <c r="AD7" s="60">
        <f>SUM(F7:AC7)*E7+SUM(F8:AC8)*E8+SUM(F9:AC9)*E9+SUM(F10:AC10)*E10</f>
        <v>68247889.136962667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+[3]Resumen!F8*1000</f>
        <v>0</v>
      </c>
      <c r="G8" s="7">
        <f>+[3]Resumen!G8*1000</f>
        <v>0</v>
      </c>
      <c r="H8" s="7">
        <f>+[3]Resumen!H8*1000</f>
        <v>0</v>
      </c>
      <c r="I8" s="7">
        <f>+[3]Resumen!I8*1000</f>
        <v>0</v>
      </c>
      <c r="J8" s="7">
        <f>+[3]Resumen!J8*1000</f>
        <v>0</v>
      </c>
      <c r="K8" s="7">
        <f>+[3]Resumen!K8*1000</f>
        <v>0</v>
      </c>
      <c r="L8" s="7">
        <f>+[3]Resumen!L8*1000</f>
        <v>0</v>
      </c>
      <c r="M8" s="7">
        <f>+[3]Resumen!M8*1000</f>
        <v>129905.07747304853</v>
      </c>
      <c r="N8" s="7">
        <f>+[3]Resumen!N8*1000</f>
        <v>166342.95260992675</v>
      </c>
      <c r="O8" s="7">
        <f>+[3]Resumen!O8*1000</f>
        <v>193706.45339256813</v>
      </c>
      <c r="P8" s="7">
        <f>+[3]Resumen!P8*1000</f>
        <v>216506.22506729461</v>
      </c>
      <c r="Q8" s="7">
        <f>+[3]Resumen!Q8*1000</f>
        <v>236293.21214183417</v>
      </c>
      <c r="R8" s="7">
        <f>+[3]Resumen!R8*1000</f>
        <v>240086.26935406349</v>
      </c>
      <c r="S8" s="7">
        <f>+[3]Resumen!S8*1000</f>
        <v>232579.76583254564</v>
      </c>
      <c r="T8" s="7">
        <f>+[3]Resumen!T8*1000</f>
        <v>222546.70158345086</v>
      </c>
      <c r="U8" s="7">
        <f>+[3]Resumen!U8*1000</f>
        <v>217529.64832820793</v>
      </c>
      <c r="V8" s="7">
        <f>+[3]Resumen!V8*1000</f>
        <v>213055.60134616142</v>
      </c>
      <c r="W8" s="7">
        <f>+[3]Resumen!W8*1000</f>
        <v>0</v>
      </c>
      <c r="X8" s="7">
        <f>+[3]Resumen!X8*1000</f>
        <v>0</v>
      </c>
      <c r="Y8" s="7">
        <f>+[3]Resumen!Y8*1000</f>
        <v>0</v>
      </c>
      <c r="Z8" s="7">
        <f>+[3]Resumen!Z8*1000</f>
        <v>0</v>
      </c>
      <c r="AA8" s="7">
        <f>+[3]Resumen!AA8*1000</f>
        <v>0</v>
      </c>
      <c r="AB8" s="7">
        <f>+[3]Resumen!AB8*1000</f>
        <v>0</v>
      </c>
      <c r="AC8" s="7">
        <f>+[3]Resumen!AC8*1000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+[3]Resumen!F9*1000</f>
        <v>0</v>
      </c>
      <c r="G9" s="7">
        <f>+[3]Resumen!G9*1000</f>
        <v>0</v>
      </c>
      <c r="H9" s="7">
        <f>+[3]Resumen!H9*1000</f>
        <v>0</v>
      </c>
      <c r="I9" s="7">
        <f>+[3]Resumen!I9*1000</f>
        <v>0</v>
      </c>
      <c r="J9" s="7">
        <f>+[3]Resumen!J9*1000</f>
        <v>0</v>
      </c>
      <c r="K9" s="7">
        <f>+[3]Resumen!K9*1000</f>
        <v>0</v>
      </c>
      <c r="L9" s="7">
        <f>+[3]Resumen!L9*1000</f>
        <v>0</v>
      </c>
      <c r="M9" s="7">
        <f>+[3]Resumen!M9*1000</f>
        <v>72772.191181938353</v>
      </c>
      <c r="N9" s="7">
        <f>+[3]Resumen!N9*1000</f>
        <v>100716.88073936607</v>
      </c>
      <c r="O9" s="7">
        <f>+[3]Resumen!O9*1000</f>
        <v>126656.48569996313</v>
      </c>
      <c r="P9" s="7">
        <f>+[3]Resumen!P9*1000</f>
        <v>147140.12624408305</v>
      </c>
      <c r="Q9" s="7">
        <f>+[3]Resumen!Q9*1000</f>
        <v>171577.21313907174</v>
      </c>
      <c r="R9" s="7">
        <f>+[3]Resumen!R9*1000</f>
        <v>187748.56566904145</v>
      </c>
      <c r="S9" s="7">
        <f>+[3]Resumen!S9*1000</f>
        <v>192497.45995780677</v>
      </c>
      <c r="T9" s="7">
        <f>+[3]Resumen!T9*1000</f>
        <v>186452.87395387999</v>
      </c>
      <c r="U9" s="7">
        <f>+[3]Resumen!U9*1000</f>
        <v>180322.63788672353</v>
      </c>
      <c r="V9" s="7">
        <f>+[3]Resumen!V9*1000</f>
        <v>174806.22826534286</v>
      </c>
      <c r="W9" s="7">
        <f>+[3]Resumen!W9*1000</f>
        <v>0</v>
      </c>
      <c r="X9" s="7">
        <f>+[3]Resumen!X9*1000</f>
        <v>0</v>
      </c>
      <c r="Y9" s="7">
        <f>+[3]Resumen!Y9*1000</f>
        <v>0</v>
      </c>
      <c r="Z9" s="7">
        <f>+[3]Resumen!Z9*1000</f>
        <v>0</v>
      </c>
      <c r="AA9" s="7">
        <f>+[3]Resumen!AA9*1000</f>
        <v>0</v>
      </c>
      <c r="AB9" s="7">
        <f>+[3]Resumen!AB9*1000</f>
        <v>0</v>
      </c>
      <c r="AC9" s="7">
        <f>+[3]Resumen!AC9*1000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+[3]Resumen!F10*1000</f>
        <v>0</v>
      </c>
      <c r="G10" s="7">
        <f>+[3]Resumen!G10*1000</f>
        <v>0</v>
      </c>
      <c r="H10" s="7">
        <f>+[3]Resumen!H10*1000</f>
        <v>0</v>
      </c>
      <c r="I10" s="7">
        <f>+[3]Resumen!I10*1000</f>
        <v>0</v>
      </c>
      <c r="J10" s="7">
        <f>+[3]Resumen!J10*1000</f>
        <v>0</v>
      </c>
      <c r="K10" s="7">
        <f>+[3]Resumen!K10*1000</f>
        <v>0</v>
      </c>
      <c r="L10" s="7">
        <f>+[3]Resumen!L10*1000</f>
        <v>0</v>
      </c>
      <c r="M10" s="7">
        <f>+[3]Resumen!M10*1000</f>
        <v>40732.414928483122</v>
      </c>
      <c r="N10" s="7">
        <f>+[3]Resumen!N10*1000</f>
        <v>60730.564160856404</v>
      </c>
      <c r="O10" s="7">
        <f>+[3]Resumen!O10*1000</f>
        <v>81861.46689617807</v>
      </c>
      <c r="P10" s="7">
        <f>+[3]Resumen!P10*1000</f>
        <v>105229.09831144381</v>
      </c>
      <c r="Q10" s="7">
        <f>+[3]Resumen!Q10*1000</f>
        <v>130773.89465709798</v>
      </c>
      <c r="R10" s="7">
        <f>+[3]Resumen!R10*1000</f>
        <v>149635.92537117453</v>
      </c>
      <c r="S10" s="7">
        <f>+[3]Resumen!S10*1000</f>
        <v>153867.89374463799</v>
      </c>
      <c r="T10" s="7">
        <f>+[3]Resumen!T10*1000</f>
        <v>149042.31284060644</v>
      </c>
      <c r="U10" s="7">
        <f>+[3]Resumen!U10*1000</f>
        <v>142660.51656409781</v>
      </c>
      <c r="V10" s="7">
        <f>+[3]Resumen!V10*1000</f>
        <v>138703.8004903507</v>
      </c>
      <c r="W10" s="7">
        <f>+[3]Resumen!W10*1000</f>
        <v>0</v>
      </c>
      <c r="X10" s="7">
        <f>+[3]Resumen!X10*1000</f>
        <v>0</v>
      </c>
      <c r="Y10" s="7">
        <f>+[3]Resumen!Y10*1000</f>
        <v>0</v>
      </c>
      <c r="Z10" s="7">
        <f>+[3]Resumen!Z10*1000</f>
        <v>0</v>
      </c>
      <c r="AA10" s="7">
        <f>+[3]Resumen!AA10*1000</f>
        <v>0</v>
      </c>
      <c r="AB10" s="7">
        <f>+[3]Resumen!AB10*1000</f>
        <v>0</v>
      </c>
      <c r="AC10" s="7">
        <f>+[3]Resumen!AC10*1000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21</v>
      </c>
      <c r="F11" s="7">
        <f>+[3]Resumen!F11*1000</f>
        <v>0</v>
      </c>
      <c r="G11" s="7">
        <f>+[3]Resumen!G11*1000</f>
        <v>0</v>
      </c>
      <c r="H11" s="7">
        <f>+[3]Resumen!H11*1000</f>
        <v>0</v>
      </c>
      <c r="I11" s="7">
        <f>+[3]Resumen!I11*1000</f>
        <v>0</v>
      </c>
      <c r="J11" s="7">
        <f>+[3]Resumen!J11*1000</f>
        <v>0</v>
      </c>
      <c r="K11" s="7">
        <f>+[3]Resumen!K11*1000</f>
        <v>0</v>
      </c>
      <c r="L11" s="7">
        <f>+[3]Resumen!L11*1000</f>
        <v>0</v>
      </c>
      <c r="M11" s="7">
        <f>+[3]Resumen!M11*1000</f>
        <v>208505.30847652245</v>
      </c>
      <c r="N11" s="7">
        <f>+[3]Resumen!N11*1000</f>
        <v>234914.0025324602</v>
      </c>
      <c r="O11" s="7">
        <f>+[3]Resumen!O11*1000</f>
        <v>251437.84190911541</v>
      </c>
      <c r="P11" s="7">
        <f>+[3]Resumen!P11*1000</f>
        <v>278975.47776919982</v>
      </c>
      <c r="Q11" s="7">
        <f>+[3]Resumen!Q11*1000</f>
        <v>301478.02031830652</v>
      </c>
      <c r="R11" s="7">
        <f>+[3]Resumen!R11*1000</f>
        <v>302709.18711969082</v>
      </c>
      <c r="S11" s="7">
        <f>+[3]Resumen!S11*1000</f>
        <v>296861.95182122104</v>
      </c>
      <c r="T11" s="7">
        <f>+[3]Resumen!T11*1000</f>
        <v>301836.80837957346</v>
      </c>
      <c r="U11" s="7">
        <f>+[3]Resumen!U11*1000</f>
        <v>302855.00842197263</v>
      </c>
      <c r="V11" s="7">
        <f>+[3]Resumen!V11*1000</f>
        <v>292142.9972353871</v>
      </c>
      <c r="W11" s="7">
        <f>+[3]Resumen!W11*1000</f>
        <v>0</v>
      </c>
      <c r="X11" s="7">
        <f>+[3]Resumen!X11*1000</f>
        <v>0</v>
      </c>
      <c r="Y11" s="7">
        <f>+[3]Resumen!Y11*1000</f>
        <v>0</v>
      </c>
      <c r="Z11" s="7">
        <f>+[3]Resumen!Z11*1000</f>
        <v>0</v>
      </c>
      <c r="AA11" s="7">
        <f>+[3]Resumen!AA11*1000</f>
        <v>0</v>
      </c>
      <c r="AB11" s="7">
        <f>+[3]Resumen!AB11*1000</f>
        <v>0</v>
      </c>
      <c r="AC11" s="7">
        <f>+[3]Resumen!AC11*1000</f>
        <v>0</v>
      </c>
      <c r="AD11" s="60">
        <f>SUM(F11:AC11)*E11+SUM(F12:AC12)*E12+SUM(F13:AC13)*E13+SUM(F14:AC14)*E14</f>
        <v>75030959.997720644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+[3]Resumen!F12*1000</f>
        <v>0</v>
      </c>
      <c r="G12" s="7">
        <f>+[3]Resumen!G12*1000</f>
        <v>0</v>
      </c>
      <c r="H12" s="7">
        <f>+[3]Resumen!H12*1000</f>
        <v>0</v>
      </c>
      <c r="I12" s="7">
        <f>+[3]Resumen!I12*1000</f>
        <v>0</v>
      </c>
      <c r="J12" s="7">
        <f>+[3]Resumen!J12*1000</f>
        <v>0</v>
      </c>
      <c r="K12" s="7">
        <f>+[3]Resumen!K12*1000</f>
        <v>0</v>
      </c>
      <c r="L12" s="7">
        <f>+[3]Resumen!L12*1000</f>
        <v>0</v>
      </c>
      <c r="M12" s="7">
        <f>+[3]Resumen!M12*1000</f>
        <v>167646.58933477805</v>
      </c>
      <c r="N12" s="7">
        <f>+[3]Resumen!N12*1000</f>
        <v>210895.86302623193</v>
      </c>
      <c r="O12" s="7">
        <f>+[3]Resumen!O12*1000</f>
        <v>237821.76291910216</v>
      </c>
      <c r="P12" s="7">
        <f>+[3]Resumen!P12*1000</f>
        <v>261994.97900876502</v>
      </c>
      <c r="Q12" s="7">
        <f>+[3]Resumen!Q12*1000</f>
        <v>275625.66752559168</v>
      </c>
      <c r="R12" s="7">
        <f>+[3]Resumen!R12*1000</f>
        <v>275640.01499811234</v>
      </c>
      <c r="S12" s="7">
        <f>+[3]Resumen!S12*1000</f>
        <v>262865.2374914239</v>
      </c>
      <c r="T12" s="7">
        <f>+[3]Resumen!T12*1000</f>
        <v>249340.97875207552</v>
      </c>
      <c r="U12" s="7">
        <f>+[3]Resumen!U12*1000</f>
        <v>244772.65178248115</v>
      </c>
      <c r="V12" s="7">
        <f>+[3]Resumen!V12*1000</f>
        <v>240037.47960940193</v>
      </c>
      <c r="W12" s="7">
        <f>+[3]Resumen!W12*1000</f>
        <v>0</v>
      </c>
      <c r="X12" s="7">
        <f>+[3]Resumen!X12*1000</f>
        <v>0</v>
      </c>
      <c r="Y12" s="7">
        <f>+[3]Resumen!Y12*1000</f>
        <v>0</v>
      </c>
      <c r="Z12" s="7">
        <f>+[3]Resumen!Z12*1000</f>
        <v>0</v>
      </c>
      <c r="AA12" s="7">
        <f>+[3]Resumen!AA12*1000</f>
        <v>0</v>
      </c>
      <c r="AB12" s="7">
        <f>+[3]Resumen!AB12*1000</f>
        <v>0</v>
      </c>
      <c r="AC12" s="7">
        <f>+[3]Resumen!AC12*1000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+[3]Resumen!F13*1000</f>
        <v>0</v>
      </c>
      <c r="G13" s="7">
        <f>+[3]Resumen!G13*1000</f>
        <v>0</v>
      </c>
      <c r="H13" s="7">
        <f>+[3]Resumen!H13*1000</f>
        <v>0</v>
      </c>
      <c r="I13" s="7">
        <f>+[3]Resumen!I13*1000</f>
        <v>0</v>
      </c>
      <c r="J13" s="7">
        <f>+[3]Resumen!J13*1000</f>
        <v>0</v>
      </c>
      <c r="K13" s="7">
        <f>+[3]Resumen!K13*1000</f>
        <v>0</v>
      </c>
      <c r="L13" s="7">
        <f>+[3]Resumen!L13*1000</f>
        <v>0</v>
      </c>
      <c r="M13" s="7">
        <f>+[3]Resumen!M13*1000</f>
        <v>90895.383641102744</v>
      </c>
      <c r="N13" s="7">
        <f>+[3]Resumen!N13*1000</f>
        <v>121642.77959273044</v>
      </c>
      <c r="O13" s="7">
        <f>+[3]Resumen!O13*1000</f>
        <v>148727.23424419184</v>
      </c>
      <c r="P13" s="7">
        <f>+[3]Resumen!P13*1000</f>
        <v>171668.76537966466</v>
      </c>
      <c r="Q13" s="7">
        <f>+[3]Resumen!Q13*1000</f>
        <v>197884.83761897116</v>
      </c>
      <c r="R13" s="7">
        <f>+[3]Resumen!R13*1000</f>
        <v>214553.21780534193</v>
      </c>
      <c r="S13" s="7">
        <f>+[3]Resumen!S13*1000</f>
        <v>218013.5077564051</v>
      </c>
      <c r="T13" s="7">
        <f>+[3]Resumen!T13*1000</f>
        <v>211792.82722362003</v>
      </c>
      <c r="U13" s="7">
        <f>+[3]Resumen!U13*1000</f>
        <v>205445.1456513865</v>
      </c>
      <c r="V13" s="7">
        <f>+[3]Resumen!V13*1000</f>
        <v>198962.90515567415</v>
      </c>
      <c r="W13" s="7">
        <f>+[3]Resumen!W13*1000</f>
        <v>0</v>
      </c>
      <c r="X13" s="7">
        <f>+[3]Resumen!X13*1000</f>
        <v>0</v>
      </c>
      <c r="Y13" s="7">
        <f>+[3]Resumen!Y13*1000</f>
        <v>0</v>
      </c>
      <c r="Z13" s="7">
        <f>+[3]Resumen!Z13*1000</f>
        <v>0</v>
      </c>
      <c r="AA13" s="7">
        <f>+[3]Resumen!AA13*1000</f>
        <v>0</v>
      </c>
      <c r="AB13" s="7">
        <f>+[3]Resumen!AB13*1000</f>
        <v>0</v>
      </c>
      <c r="AC13" s="7">
        <f>+[3]Resumen!AC13*1000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+[3]Resumen!F14*1000</f>
        <v>0</v>
      </c>
      <c r="G14" s="7">
        <f>+[3]Resumen!G14*1000</f>
        <v>0</v>
      </c>
      <c r="H14" s="7">
        <f>+[3]Resumen!H14*1000</f>
        <v>0</v>
      </c>
      <c r="I14" s="7">
        <f>+[3]Resumen!I14*1000</f>
        <v>0</v>
      </c>
      <c r="J14" s="7">
        <f>+[3]Resumen!J14*1000</f>
        <v>0</v>
      </c>
      <c r="K14" s="7">
        <f>+[3]Resumen!K14*1000</f>
        <v>0</v>
      </c>
      <c r="L14" s="7">
        <f>+[3]Resumen!L14*1000</f>
        <v>0</v>
      </c>
      <c r="M14" s="7">
        <f>+[3]Resumen!M14*1000</f>
        <v>0</v>
      </c>
      <c r="N14" s="7">
        <f>+[3]Resumen!N14*1000</f>
        <v>0</v>
      </c>
      <c r="O14" s="7">
        <f>+[3]Resumen!O14*1000</f>
        <v>0</v>
      </c>
      <c r="P14" s="7">
        <f>+[3]Resumen!P14*1000</f>
        <v>0</v>
      </c>
      <c r="Q14" s="7">
        <f>+[3]Resumen!Q14*1000</f>
        <v>0</v>
      </c>
      <c r="R14" s="7">
        <f>+[3]Resumen!R14*1000</f>
        <v>0</v>
      </c>
      <c r="S14" s="7">
        <f>+[3]Resumen!S14*1000</f>
        <v>0</v>
      </c>
      <c r="T14" s="7">
        <f>+[3]Resumen!T14*1000</f>
        <v>0</v>
      </c>
      <c r="U14" s="7">
        <f>+[3]Resumen!U14*1000</f>
        <v>0</v>
      </c>
      <c r="V14" s="7">
        <f>+[3]Resumen!V14*1000</f>
        <v>0</v>
      </c>
      <c r="W14" s="7">
        <f>+[3]Resumen!W14*1000</f>
        <v>0</v>
      </c>
      <c r="X14" s="7">
        <f>+[3]Resumen!X14*1000</f>
        <v>0</v>
      </c>
      <c r="Y14" s="7">
        <f>+[3]Resumen!Y14*1000</f>
        <v>0</v>
      </c>
      <c r="Z14" s="7">
        <f>+[3]Resumen!Z14*1000</f>
        <v>0</v>
      </c>
      <c r="AA14" s="7">
        <f>+[3]Resumen!AA14*1000</f>
        <v>0</v>
      </c>
      <c r="AB14" s="7">
        <f>+[3]Resumen!AB14*1000</f>
        <v>0</v>
      </c>
      <c r="AC14" s="7">
        <f>+[3]Resumen!AC14*1000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22</v>
      </c>
      <c r="F15" s="7">
        <f>+[3]Resumen!F15*1000</f>
        <v>0</v>
      </c>
      <c r="G15" s="7">
        <f>+[3]Resumen!G15*1000</f>
        <v>0</v>
      </c>
      <c r="H15" s="7">
        <f>+[3]Resumen!H15*1000</f>
        <v>0</v>
      </c>
      <c r="I15" s="7">
        <f>+[3]Resumen!I15*1000</f>
        <v>0</v>
      </c>
      <c r="J15" s="7">
        <f>+[3]Resumen!J15*1000</f>
        <v>0</v>
      </c>
      <c r="K15" s="7">
        <f>+[3]Resumen!K15*1000</f>
        <v>0</v>
      </c>
      <c r="L15" s="7">
        <f>+[3]Resumen!L15*1000</f>
        <v>0</v>
      </c>
      <c r="M15" s="7">
        <f>+[3]Resumen!M15*1000</f>
        <v>172036.48710999807</v>
      </c>
      <c r="N15" s="7">
        <f>+[3]Resumen!N15*1000</f>
        <v>196576.49582841154</v>
      </c>
      <c r="O15" s="7">
        <f>+[3]Resumen!O15*1000</f>
        <v>212153.21738953967</v>
      </c>
      <c r="P15" s="7">
        <f>+[3]Resumen!P15*1000</f>
        <v>237434.87549073147</v>
      </c>
      <c r="Q15" s="7">
        <f>+[3]Resumen!Q15*1000</f>
        <v>258115.74166894154</v>
      </c>
      <c r="R15" s="7">
        <f>+[3]Resumen!R15*1000</f>
        <v>260853.18463272142</v>
      </c>
      <c r="S15" s="7">
        <f>+[3]Resumen!S15*1000</f>
        <v>255878.37572060403</v>
      </c>
      <c r="T15" s="7">
        <f>+[3]Resumen!T15*1000</f>
        <v>260306.56320144283</v>
      </c>
      <c r="U15" s="7">
        <f>+[3]Resumen!U15*1000</f>
        <v>259474.01075802371</v>
      </c>
      <c r="V15" s="7">
        <f>+[3]Resumen!V15*1000</f>
        <v>249966.25816159445</v>
      </c>
      <c r="W15" s="7">
        <f>+[3]Resumen!W15*1000</f>
        <v>0</v>
      </c>
      <c r="X15" s="7">
        <f>+[3]Resumen!X15*1000</f>
        <v>0</v>
      </c>
      <c r="Y15" s="7">
        <f>+[3]Resumen!Y15*1000</f>
        <v>0</v>
      </c>
      <c r="Z15" s="7">
        <f>+[3]Resumen!Z15*1000</f>
        <v>0</v>
      </c>
      <c r="AA15" s="7">
        <f>+[3]Resumen!AA15*1000</f>
        <v>0</v>
      </c>
      <c r="AB15" s="7">
        <f>+[3]Resumen!AB15*1000</f>
        <v>0</v>
      </c>
      <c r="AC15" s="7">
        <f>+[3]Resumen!AC15*1000</f>
        <v>0</v>
      </c>
      <c r="AD15" s="60">
        <f t="shared" ref="AD15" si="0">SUM(F15:AC15)*E15+SUM(F16:AC16)*E16+SUM(F17:AC17)*E17+SUM(F18:AC18)*E18</f>
        <v>68053302.877973109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+[3]Resumen!F16*1000</f>
        <v>0</v>
      </c>
      <c r="G16" s="7">
        <f>+[3]Resumen!G16*1000</f>
        <v>0</v>
      </c>
      <c r="H16" s="7">
        <f>+[3]Resumen!H16*1000</f>
        <v>0</v>
      </c>
      <c r="I16" s="7">
        <f>+[3]Resumen!I16*1000</f>
        <v>0</v>
      </c>
      <c r="J16" s="7">
        <f>+[3]Resumen!J16*1000</f>
        <v>0</v>
      </c>
      <c r="K16" s="7">
        <f>+[3]Resumen!K16*1000</f>
        <v>0</v>
      </c>
      <c r="L16" s="7">
        <f>+[3]Resumen!L16*1000</f>
        <v>0</v>
      </c>
      <c r="M16" s="7">
        <f>+[3]Resumen!M16*1000</f>
        <v>141347.71389478439</v>
      </c>
      <c r="N16" s="7">
        <f>+[3]Resumen!N16*1000</f>
        <v>176888.13646036552</v>
      </c>
      <c r="O16" s="7">
        <f>+[3]Resumen!O16*1000</f>
        <v>200403.75708160657</v>
      </c>
      <c r="P16" s="7">
        <f>+[3]Resumen!P16*1000</f>
        <v>222418.21159915795</v>
      </c>
      <c r="Q16" s="7">
        <f>+[3]Resumen!Q16*1000</f>
        <v>239452.77096900341</v>
      </c>
      <c r="R16" s="7">
        <f>+[3]Resumen!R16*1000</f>
        <v>239967.15376651092</v>
      </c>
      <c r="S16" s="7">
        <f>+[3]Resumen!S16*1000</f>
        <v>231329.12958837586</v>
      </c>
      <c r="T16" s="7">
        <f>+[3]Resumen!T16*1000</f>
        <v>222711.40866213912</v>
      </c>
      <c r="U16" s="7">
        <f>+[3]Resumen!U16*1000</f>
        <v>216782.57918619594</v>
      </c>
      <c r="V16" s="7">
        <f>+[3]Resumen!V16*1000</f>
        <v>211203.03830341244</v>
      </c>
      <c r="W16" s="7">
        <f>+[3]Resumen!W16*1000</f>
        <v>0</v>
      </c>
      <c r="X16" s="7">
        <f>+[3]Resumen!X16*1000</f>
        <v>0</v>
      </c>
      <c r="Y16" s="7">
        <f>+[3]Resumen!Y16*1000</f>
        <v>0</v>
      </c>
      <c r="Z16" s="7">
        <f>+[3]Resumen!Z16*1000</f>
        <v>0</v>
      </c>
      <c r="AA16" s="7">
        <f>+[3]Resumen!AA16*1000</f>
        <v>0</v>
      </c>
      <c r="AB16" s="7">
        <f>+[3]Resumen!AB16*1000</f>
        <v>0</v>
      </c>
      <c r="AC16" s="7">
        <f>+[3]Resumen!AC16*1000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+[3]Resumen!F17*1000</f>
        <v>0</v>
      </c>
      <c r="G17" s="7">
        <f>+[3]Resumen!G17*1000</f>
        <v>0</v>
      </c>
      <c r="H17" s="7">
        <f>+[3]Resumen!H17*1000</f>
        <v>0</v>
      </c>
      <c r="I17" s="7">
        <f>+[3]Resumen!I17*1000</f>
        <v>0</v>
      </c>
      <c r="J17" s="7">
        <f>+[3]Resumen!J17*1000</f>
        <v>0</v>
      </c>
      <c r="K17" s="7">
        <f>+[3]Resumen!K17*1000</f>
        <v>0</v>
      </c>
      <c r="L17" s="7">
        <f>+[3]Resumen!L17*1000</f>
        <v>0</v>
      </c>
      <c r="M17" s="7">
        <f>+[3]Resumen!M17*1000</f>
        <v>71190.860287825839</v>
      </c>
      <c r="N17" s="7">
        <f>+[3]Resumen!N17*1000</f>
        <v>101042.20327631017</v>
      </c>
      <c r="O17" s="7">
        <f>+[3]Resumen!O17*1000</f>
        <v>123368.09740907642</v>
      </c>
      <c r="P17" s="7">
        <f>+[3]Resumen!P17*1000</f>
        <v>143812.52510177405</v>
      </c>
      <c r="Q17" s="7">
        <f>+[3]Resumen!Q17*1000</f>
        <v>165762.59168847391</v>
      </c>
      <c r="R17" s="7">
        <f>+[3]Resumen!R17*1000</f>
        <v>180121.92216591811</v>
      </c>
      <c r="S17" s="7">
        <f>+[3]Resumen!S17*1000</f>
        <v>182535.21588129134</v>
      </c>
      <c r="T17" s="7">
        <f>+[3]Resumen!T17*1000</f>
        <v>177365.51004482046</v>
      </c>
      <c r="U17" s="7">
        <f>+[3]Resumen!U17*1000</f>
        <v>173863.69639993654</v>
      </c>
      <c r="V17" s="7">
        <f>+[3]Resumen!V17*1000</f>
        <v>168514.26300918698</v>
      </c>
      <c r="W17" s="7">
        <f>+[3]Resumen!W17*1000</f>
        <v>0</v>
      </c>
      <c r="X17" s="7">
        <f>+[3]Resumen!X17*1000</f>
        <v>0</v>
      </c>
      <c r="Y17" s="7">
        <f>+[3]Resumen!Y17*1000</f>
        <v>0</v>
      </c>
      <c r="Z17" s="7">
        <f>+[3]Resumen!Z17*1000</f>
        <v>0</v>
      </c>
      <c r="AA17" s="7">
        <f>+[3]Resumen!AA17*1000</f>
        <v>0</v>
      </c>
      <c r="AB17" s="7">
        <f>+[3]Resumen!AB17*1000</f>
        <v>0</v>
      </c>
      <c r="AC17" s="7">
        <f>+[3]Resumen!AC17*1000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+[3]Resumen!F18*1000</f>
        <v>0</v>
      </c>
      <c r="G18" s="7">
        <f>+[3]Resumen!G18*1000</f>
        <v>0</v>
      </c>
      <c r="H18" s="7">
        <f>+[3]Resumen!H18*1000</f>
        <v>0</v>
      </c>
      <c r="I18" s="7">
        <f>+[3]Resumen!I18*1000</f>
        <v>0</v>
      </c>
      <c r="J18" s="7">
        <f>+[3]Resumen!J18*1000</f>
        <v>0</v>
      </c>
      <c r="K18" s="7">
        <f>+[3]Resumen!K18*1000</f>
        <v>0</v>
      </c>
      <c r="L18" s="7">
        <f>+[3]Resumen!L18*1000</f>
        <v>0</v>
      </c>
      <c r="M18" s="7">
        <f>+[3]Resumen!M18*1000</f>
        <v>88873.491834868415</v>
      </c>
      <c r="N18" s="7">
        <f>+[3]Resumen!N18*1000</f>
        <v>117362.9029299533</v>
      </c>
      <c r="O18" s="7">
        <f>+[3]Resumen!O18*1000</f>
        <v>143149.11083690019</v>
      </c>
      <c r="P18" s="7">
        <f>+[3]Resumen!P18*1000</f>
        <v>167710.73307867505</v>
      </c>
      <c r="Q18" s="7">
        <f>+[3]Resumen!Q18*1000</f>
        <v>196468.97614330723</v>
      </c>
      <c r="R18" s="7">
        <f>+[3]Resumen!R18*1000</f>
        <v>210522.06044515394</v>
      </c>
      <c r="S18" s="7">
        <f>+[3]Resumen!S18*1000</f>
        <v>206702.76802476615</v>
      </c>
      <c r="T18" s="7">
        <f>+[3]Resumen!T18*1000</f>
        <v>197856.52384380987</v>
      </c>
      <c r="U18" s="7">
        <f>+[3]Resumen!U18*1000</f>
        <v>192567.13662074559</v>
      </c>
      <c r="V18" s="7">
        <f>+[3]Resumen!V18*1000</f>
        <v>190271.41594606615</v>
      </c>
      <c r="W18" s="7">
        <f>+[3]Resumen!W18*1000</f>
        <v>0</v>
      </c>
      <c r="X18" s="7">
        <f>+[3]Resumen!X18*1000</f>
        <v>0</v>
      </c>
      <c r="Y18" s="7">
        <f>+[3]Resumen!Y18*1000</f>
        <v>0</v>
      </c>
      <c r="Z18" s="7">
        <f>+[3]Resumen!Z18*1000</f>
        <v>0</v>
      </c>
      <c r="AA18" s="7">
        <f>+[3]Resumen!AA18*1000</f>
        <v>0</v>
      </c>
      <c r="AB18" s="7">
        <f>+[3]Resumen!AB18*1000</f>
        <v>0</v>
      </c>
      <c r="AC18" s="7">
        <f>+[3]Resumen!AC18*1000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18</v>
      </c>
      <c r="F19" s="7">
        <f>+[3]Resumen!F19*1000</f>
        <v>0</v>
      </c>
      <c r="G19" s="7">
        <f>+[3]Resumen!G19*1000</f>
        <v>0</v>
      </c>
      <c r="H19" s="7">
        <f>+[3]Resumen!H19*1000</f>
        <v>0</v>
      </c>
      <c r="I19" s="7">
        <f>+[3]Resumen!I19*1000</f>
        <v>0</v>
      </c>
      <c r="J19" s="7">
        <f>+[3]Resumen!J19*1000</f>
        <v>0</v>
      </c>
      <c r="K19" s="7">
        <f>+[3]Resumen!K19*1000</f>
        <v>0</v>
      </c>
      <c r="L19" s="7">
        <f>+[3]Resumen!L19*1000</f>
        <v>0</v>
      </c>
      <c r="M19" s="7">
        <f>+[3]Resumen!M19*1000</f>
        <v>188810.254812456</v>
      </c>
      <c r="N19" s="7">
        <f>+[3]Resumen!N19*1000</f>
        <v>215310.79889795548</v>
      </c>
      <c r="O19" s="7">
        <f>+[3]Resumen!O19*1000</f>
        <v>233132.62296483258</v>
      </c>
      <c r="P19" s="7">
        <f>+[3]Resumen!P19*1000</f>
        <v>259857.72971176551</v>
      </c>
      <c r="Q19" s="7">
        <f>+[3]Resumen!Q19*1000</f>
        <v>282889.27649675176</v>
      </c>
      <c r="R19" s="7">
        <f>+[3]Resumen!R19*1000</f>
        <v>287630.97620402888</v>
      </c>
      <c r="S19" s="7">
        <f>+[3]Resumen!S19*1000</f>
        <v>282151.31374140811</v>
      </c>
      <c r="T19" s="7">
        <f>+[3]Resumen!T19*1000</f>
        <v>286492.49919709854</v>
      </c>
      <c r="U19" s="7">
        <f>+[3]Resumen!U19*1000</f>
        <v>286583.10446877038</v>
      </c>
      <c r="V19" s="7">
        <f>+[3]Resumen!V19*1000</f>
        <v>275576.01419292041</v>
      </c>
      <c r="W19" s="7">
        <f>+[3]Resumen!W19*1000</f>
        <v>0</v>
      </c>
      <c r="X19" s="7">
        <f>+[3]Resumen!X19*1000</f>
        <v>0</v>
      </c>
      <c r="Y19" s="7">
        <f>+[3]Resumen!Y19*1000</f>
        <v>0</v>
      </c>
      <c r="Z19" s="7">
        <f>+[3]Resumen!Z19*1000</f>
        <v>0</v>
      </c>
      <c r="AA19" s="7">
        <f>+[3]Resumen!AA19*1000</f>
        <v>0</v>
      </c>
      <c r="AB19" s="7">
        <f>+[3]Resumen!AB19*1000</f>
        <v>0</v>
      </c>
      <c r="AC19" s="7">
        <f>+[3]Resumen!AC19*1000</f>
        <v>0</v>
      </c>
      <c r="AD19" s="60">
        <f t="shared" ref="AD19" si="1">SUM(F19:AC19)*E19+SUM(F20:AC20)*E20+SUM(F21:AC21)*E21+SUM(F22:AC22)*E22</f>
        <v>69237486.673972085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5</v>
      </c>
      <c r="F20" s="7">
        <f>+[3]Resumen!F20*1000</f>
        <v>0</v>
      </c>
      <c r="G20" s="7">
        <f>+[3]Resumen!G20*1000</f>
        <v>0</v>
      </c>
      <c r="H20" s="7">
        <f>+[3]Resumen!H20*1000</f>
        <v>0</v>
      </c>
      <c r="I20" s="7">
        <f>+[3]Resumen!I20*1000</f>
        <v>0</v>
      </c>
      <c r="J20" s="7">
        <f>+[3]Resumen!J20*1000</f>
        <v>0</v>
      </c>
      <c r="K20" s="7">
        <f>+[3]Resumen!K20*1000</f>
        <v>0</v>
      </c>
      <c r="L20" s="7">
        <f>+[3]Resumen!L20*1000</f>
        <v>0</v>
      </c>
      <c r="M20" s="7">
        <f>+[3]Resumen!M20*1000</f>
        <v>140108.81053598854</v>
      </c>
      <c r="N20" s="7">
        <f>+[3]Resumen!N20*1000</f>
        <v>176857.94065892097</v>
      </c>
      <c r="O20" s="7">
        <f>+[3]Resumen!O20*1000</f>
        <v>201881.12984668257</v>
      </c>
      <c r="P20" s="7">
        <f>+[3]Resumen!P20*1000</f>
        <v>223291.18591721301</v>
      </c>
      <c r="Q20" s="7">
        <f>+[3]Resumen!Q20*1000</f>
        <v>239932.30054559305</v>
      </c>
      <c r="R20" s="7">
        <f>+[3]Resumen!R20*1000</f>
        <v>244125.08584653115</v>
      </c>
      <c r="S20" s="7">
        <f>+[3]Resumen!S20*1000</f>
        <v>238727.10689807459</v>
      </c>
      <c r="T20" s="7">
        <f>+[3]Resumen!T20*1000</f>
        <v>231748.40454500201</v>
      </c>
      <c r="U20" s="7">
        <f>+[3]Resumen!U20*1000</f>
        <v>230456.59004221539</v>
      </c>
      <c r="V20" s="7">
        <f>+[3]Resumen!V20*1000</f>
        <v>228368.55930599253</v>
      </c>
      <c r="W20" s="7">
        <f>+[3]Resumen!W20*1000</f>
        <v>0</v>
      </c>
      <c r="X20" s="7">
        <f>+[3]Resumen!X20*1000</f>
        <v>0</v>
      </c>
      <c r="Y20" s="7">
        <f>+[3]Resumen!Y20*1000</f>
        <v>0</v>
      </c>
      <c r="Z20" s="7">
        <f>+[3]Resumen!Z20*1000</f>
        <v>0</v>
      </c>
      <c r="AA20" s="7">
        <f>+[3]Resumen!AA20*1000</f>
        <v>0</v>
      </c>
      <c r="AB20" s="7">
        <f>+[3]Resumen!AB20*1000</f>
        <v>0</v>
      </c>
      <c r="AC20" s="7">
        <f>+[3]Resumen!AC20*1000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+[3]Resumen!F21*1000</f>
        <v>0</v>
      </c>
      <c r="G21" s="7">
        <f>+[3]Resumen!G21*1000</f>
        <v>0</v>
      </c>
      <c r="H21" s="7">
        <f>+[3]Resumen!H21*1000</f>
        <v>0</v>
      </c>
      <c r="I21" s="7">
        <f>+[3]Resumen!I21*1000</f>
        <v>0</v>
      </c>
      <c r="J21" s="7">
        <f>+[3]Resumen!J21*1000</f>
        <v>0</v>
      </c>
      <c r="K21" s="7">
        <f>+[3]Resumen!K21*1000</f>
        <v>0</v>
      </c>
      <c r="L21" s="7">
        <f>+[3]Resumen!L21*1000</f>
        <v>0</v>
      </c>
      <c r="M21" s="7">
        <f>+[3]Resumen!M21*1000</f>
        <v>89864.051105175953</v>
      </c>
      <c r="N21" s="7">
        <f>+[3]Resumen!N21*1000</f>
        <v>121392.44031815062</v>
      </c>
      <c r="O21" s="7">
        <f>+[3]Resumen!O21*1000</f>
        <v>147387.52931942965</v>
      </c>
      <c r="P21" s="7">
        <f>+[3]Resumen!P21*1000</f>
        <v>166552.15531634531</v>
      </c>
      <c r="Q21" s="7">
        <f>+[3]Resumen!Q21*1000</f>
        <v>185399.48121113848</v>
      </c>
      <c r="R21" s="7">
        <f>+[3]Resumen!R21*1000</f>
        <v>199566.33876643598</v>
      </c>
      <c r="S21" s="7">
        <f>+[3]Resumen!S21*1000</f>
        <v>203309.10537760056</v>
      </c>
      <c r="T21" s="7">
        <f>+[3]Resumen!T21*1000</f>
        <v>201215.16055245569</v>
      </c>
      <c r="U21" s="7">
        <f>+[3]Resumen!U21*1000</f>
        <v>197712.78110853085</v>
      </c>
      <c r="V21" s="7">
        <f>+[3]Resumen!V21*1000</f>
        <v>192801.11536937507</v>
      </c>
      <c r="W21" s="7">
        <f>+[3]Resumen!W21*1000</f>
        <v>0</v>
      </c>
      <c r="X21" s="7">
        <f>+[3]Resumen!X21*1000</f>
        <v>0</v>
      </c>
      <c r="Y21" s="7">
        <f>+[3]Resumen!Y21*1000</f>
        <v>0</v>
      </c>
      <c r="Z21" s="7">
        <f>+[3]Resumen!Z21*1000</f>
        <v>0</v>
      </c>
      <c r="AA21" s="7">
        <f>+[3]Resumen!AA21*1000</f>
        <v>0</v>
      </c>
      <c r="AB21" s="7">
        <f>+[3]Resumen!AB21*1000</f>
        <v>0</v>
      </c>
      <c r="AC21" s="7">
        <f>+[3]Resumen!AC21*1000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+[3]Resumen!F22*1000</f>
        <v>0</v>
      </c>
      <c r="G22" s="7">
        <f>+[3]Resumen!G22*1000</f>
        <v>0</v>
      </c>
      <c r="H22" s="7">
        <f>+[3]Resumen!H22*1000</f>
        <v>0</v>
      </c>
      <c r="I22" s="7">
        <f>+[3]Resumen!I22*1000</f>
        <v>0</v>
      </c>
      <c r="J22" s="7">
        <f>+[3]Resumen!J22*1000</f>
        <v>0</v>
      </c>
      <c r="K22" s="7">
        <f>+[3]Resumen!K22*1000</f>
        <v>0</v>
      </c>
      <c r="L22" s="7">
        <f>+[3]Resumen!L22*1000</f>
        <v>0</v>
      </c>
      <c r="M22" s="7">
        <f>+[3]Resumen!M22*1000</f>
        <v>93712.848456600463</v>
      </c>
      <c r="N22" s="7">
        <f>+[3]Resumen!N22*1000</f>
        <v>121079.20205756371</v>
      </c>
      <c r="O22" s="7">
        <f>+[3]Resumen!O22*1000</f>
        <v>136424.5118109741</v>
      </c>
      <c r="P22" s="7">
        <f>+[3]Resumen!P22*1000</f>
        <v>145153.79044073317</v>
      </c>
      <c r="Q22" s="7">
        <f>+[3]Resumen!Q22*1000</f>
        <v>168496.38971527471</v>
      </c>
      <c r="R22" s="7">
        <f>+[3]Resumen!R22*1000</f>
        <v>189765.09131805657</v>
      </c>
      <c r="S22" s="7">
        <f>+[3]Resumen!S22*1000</f>
        <v>188046.27125701151</v>
      </c>
      <c r="T22" s="7">
        <f>+[3]Resumen!T22*1000</f>
        <v>181341.56453420673</v>
      </c>
      <c r="U22" s="7">
        <f>+[3]Resumen!U22*1000</f>
        <v>177583.02106347081</v>
      </c>
      <c r="V22" s="7">
        <f>+[3]Resumen!V22*1000</f>
        <v>179486.14867313582</v>
      </c>
      <c r="W22" s="7">
        <f>+[3]Resumen!W22*1000</f>
        <v>0</v>
      </c>
      <c r="X22" s="7">
        <f>+[3]Resumen!X22*1000</f>
        <v>0</v>
      </c>
      <c r="Y22" s="7">
        <f>+[3]Resumen!Y22*1000</f>
        <v>0</v>
      </c>
      <c r="Z22" s="7">
        <f>+[3]Resumen!Z22*1000</f>
        <v>0</v>
      </c>
      <c r="AA22" s="7">
        <f>+[3]Resumen!AA22*1000</f>
        <v>0</v>
      </c>
      <c r="AB22" s="7">
        <f>+[3]Resumen!AB22*1000</f>
        <v>0</v>
      </c>
      <c r="AC22" s="7">
        <f>+[3]Resumen!AC22*1000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+[3]Resumen!F23*1000</f>
        <v>0</v>
      </c>
      <c r="G23" s="7">
        <f>+[3]Resumen!G23*1000</f>
        <v>0</v>
      </c>
      <c r="H23" s="7">
        <f>+[3]Resumen!H23*1000</f>
        <v>0</v>
      </c>
      <c r="I23" s="7">
        <f>+[3]Resumen!I23*1000</f>
        <v>0</v>
      </c>
      <c r="J23" s="7">
        <f>+[3]Resumen!J23*1000</f>
        <v>0</v>
      </c>
      <c r="K23" s="7">
        <f>+[3]Resumen!K23*1000</f>
        <v>0</v>
      </c>
      <c r="L23" s="7">
        <f>+[3]Resumen!L23*1000</f>
        <v>0</v>
      </c>
      <c r="M23" s="7">
        <f>+[3]Resumen!M23*1000</f>
        <v>175266.63979013034</v>
      </c>
      <c r="N23" s="7">
        <f>+[3]Resumen!N23*1000</f>
        <v>198501.93974340457</v>
      </c>
      <c r="O23" s="7">
        <f>+[3]Resumen!O23*1000</f>
        <v>215346.2000505761</v>
      </c>
      <c r="P23" s="7">
        <f>+[3]Resumen!P23*1000</f>
        <v>241643.58058994601</v>
      </c>
      <c r="Q23" s="7">
        <f>+[3]Resumen!Q23*1000</f>
        <v>262843.18919616792</v>
      </c>
      <c r="R23" s="7">
        <f>+[3]Resumen!R23*1000</f>
        <v>263090.32426144258</v>
      </c>
      <c r="S23" s="7">
        <f>+[3]Resumen!S23*1000</f>
        <v>256359.47762294931</v>
      </c>
      <c r="T23" s="7">
        <f>+[3]Resumen!T23*1000</f>
        <v>260064.91936475443</v>
      </c>
      <c r="U23" s="7">
        <f>+[3]Resumen!U23*1000</f>
        <v>261564.73350652534</v>
      </c>
      <c r="V23" s="7">
        <f>+[3]Resumen!V23*1000</f>
        <v>251568.83927652633</v>
      </c>
      <c r="W23" s="7">
        <f>+[3]Resumen!W23*1000</f>
        <v>0</v>
      </c>
      <c r="X23" s="7">
        <f>+[3]Resumen!X23*1000</f>
        <v>0</v>
      </c>
      <c r="Y23" s="7">
        <f>+[3]Resumen!Y23*1000</f>
        <v>0</v>
      </c>
      <c r="Z23" s="7">
        <f>+[3]Resumen!Z23*1000</f>
        <v>0</v>
      </c>
      <c r="AA23" s="7">
        <f>+[3]Resumen!AA23*1000</f>
        <v>0</v>
      </c>
      <c r="AB23" s="7">
        <f>+[3]Resumen!AB23*1000</f>
        <v>0</v>
      </c>
      <c r="AC23" s="7">
        <f>+[3]Resumen!AC23*1000</f>
        <v>0</v>
      </c>
      <c r="AD23" s="60">
        <f t="shared" ref="AD23" si="2">SUM(F23:AC23)*E23+SUM(F24:AC24)*E24+SUM(F25:AC25)*E25+SUM(F26:AC26)*E26</f>
        <v>67097745.419323124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+[3]Resumen!F24*1000</f>
        <v>0</v>
      </c>
      <c r="G24" s="7">
        <f>+[3]Resumen!G24*1000</f>
        <v>0</v>
      </c>
      <c r="H24" s="7">
        <f>+[3]Resumen!H24*1000</f>
        <v>0</v>
      </c>
      <c r="I24" s="7">
        <f>+[3]Resumen!I24*1000</f>
        <v>0</v>
      </c>
      <c r="J24" s="7">
        <f>+[3]Resumen!J24*1000</f>
        <v>0</v>
      </c>
      <c r="K24" s="7">
        <f>+[3]Resumen!K24*1000</f>
        <v>0</v>
      </c>
      <c r="L24" s="7">
        <f>+[3]Resumen!L24*1000</f>
        <v>0</v>
      </c>
      <c r="M24" s="7">
        <f>+[3]Resumen!M24*1000</f>
        <v>130787.85500395912</v>
      </c>
      <c r="N24" s="7">
        <f>+[3]Resumen!N24*1000</f>
        <v>168430.44137022624</v>
      </c>
      <c r="O24" s="7">
        <f>+[3]Resumen!O24*1000</f>
        <v>193789.11365455019</v>
      </c>
      <c r="P24" s="7">
        <f>+[3]Resumen!P24*1000</f>
        <v>216018.63136542769</v>
      </c>
      <c r="Q24" s="7">
        <f>+[3]Resumen!Q24*1000</f>
        <v>230170.49822403167</v>
      </c>
      <c r="R24" s="7">
        <f>+[3]Resumen!R24*1000</f>
        <v>229002.31378956579</v>
      </c>
      <c r="S24" s="7">
        <f>+[3]Resumen!S24*1000</f>
        <v>219237.51571097749</v>
      </c>
      <c r="T24" s="7">
        <f>+[3]Resumen!T24*1000</f>
        <v>208633.14332508386</v>
      </c>
      <c r="U24" s="7">
        <f>+[3]Resumen!U24*1000</f>
        <v>204825.81010968643</v>
      </c>
      <c r="V24" s="7">
        <f>+[3]Resumen!V24*1000</f>
        <v>201045.71267338283</v>
      </c>
      <c r="W24" s="7">
        <f>+[3]Resumen!W24*1000</f>
        <v>0</v>
      </c>
      <c r="X24" s="7">
        <f>+[3]Resumen!X24*1000</f>
        <v>0</v>
      </c>
      <c r="Y24" s="7">
        <f>+[3]Resumen!Y24*1000</f>
        <v>0</v>
      </c>
      <c r="Z24" s="7">
        <f>+[3]Resumen!Z24*1000</f>
        <v>0</v>
      </c>
      <c r="AA24" s="7">
        <f>+[3]Resumen!AA24*1000</f>
        <v>0</v>
      </c>
      <c r="AB24" s="7">
        <f>+[3]Resumen!AB24*1000</f>
        <v>0</v>
      </c>
      <c r="AC24" s="7">
        <f>+[3]Resumen!AC24*1000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+[3]Resumen!F25*1000</f>
        <v>0</v>
      </c>
      <c r="G25" s="7">
        <f>+[3]Resumen!G25*1000</f>
        <v>0</v>
      </c>
      <c r="H25" s="7">
        <f>+[3]Resumen!H25*1000</f>
        <v>0</v>
      </c>
      <c r="I25" s="7">
        <f>+[3]Resumen!I25*1000</f>
        <v>0</v>
      </c>
      <c r="J25" s="7">
        <f>+[3]Resumen!J25*1000</f>
        <v>0</v>
      </c>
      <c r="K25" s="7">
        <f>+[3]Resumen!K25*1000</f>
        <v>0</v>
      </c>
      <c r="L25" s="7">
        <f>+[3]Resumen!L25*1000</f>
        <v>0</v>
      </c>
      <c r="M25" s="7">
        <f>+[3]Resumen!M25*1000</f>
        <v>59975.758461432844</v>
      </c>
      <c r="N25" s="7">
        <f>+[3]Resumen!N25*1000</f>
        <v>90631.858270980883</v>
      </c>
      <c r="O25" s="7">
        <f>+[3]Resumen!O25*1000</f>
        <v>117516.17491223651</v>
      </c>
      <c r="P25" s="7">
        <f>+[3]Resumen!P25*1000</f>
        <v>138840.68812356607</v>
      </c>
      <c r="Q25" s="7">
        <f>+[3]Resumen!Q25*1000</f>
        <v>161246.62197538826</v>
      </c>
      <c r="R25" s="7">
        <f>+[3]Resumen!R25*1000</f>
        <v>172526.95149752503</v>
      </c>
      <c r="S25" s="7">
        <f>+[3]Resumen!S25*1000</f>
        <v>173195.87485832319</v>
      </c>
      <c r="T25" s="7">
        <f>+[3]Resumen!T25*1000</f>
        <v>163868.55855391853</v>
      </c>
      <c r="U25" s="7">
        <f>+[3]Resumen!U25*1000</f>
        <v>162262.73749500516</v>
      </c>
      <c r="V25" s="7">
        <f>+[3]Resumen!V25*1000</f>
        <v>158037.26092106328</v>
      </c>
      <c r="W25" s="7">
        <f>+[3]Resumen!W25*1000</f>
        <v>0</v>
      </c>
      <c r="X25" s="7">
        <f>+[3]Resumen!X25*1000</f>
        <v>0</v>
      </c>
      <c r="Y25" s="7">
        <f>+[3]Resumen!Y25*1000</f>
        <v>0</v>
      </c>
      <c r="Z25" s="7">
        <f>+[3]Resumen!Z25*1000</f>
        <v>0</v>
      </c>
      <c r="AA25" s="7">
        <f>+[3]Resumen!AA25*1000</f>
        <v>0</v>
      </c>
      <c r="AB25" s="7">
        <f>+[3]Resumen!AB25*1000</f>
        <v>0</v>
      </c>
      <c r="AC25" s="7">
        <f>+[3]Resumen!AC25*1000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+[3]Resumen!F26*1000</f>
        <v>0</v>
      </c>
      <c r="G26" s="7">
        <f>+[3]Resumen!G26*1000</f>
        <v>0</v>
      </c>
      <c r="H26" s="7">
        <f>+[3]Resumen!H26*1000</f>
        <v>0</v>
      </c>
      <c r="I26" s="7">
        <f>+[3]Resumen!I26*1000</f>
        <v>0</v>
      </c>
      <c r="J26" s="7">
        <f>+[3]Resumen!J26*1000</f>
        <v>0</v>
      </c>
      <c r="K26" s="7">
        <f>+[3]Resumen!K26*1000</f>
        <v>0</v>
      </c>
      <c r="L26" s="7">
        <f>+[3]Resumen!L26*1000</f>
        <v>0</v>
      </c>
      <c r="M26" s="7">
        <f>+[3]Resumen!M26*1000</f>
        <v>89908.32636906924</v>
      </c>
      <c r="N26" s="7">
        <f>+[3]Resumen!N26*1000</f>
        <v>119636.12267014408</v>
      </c>
      <c r="O26" s="7">
        <f>+[3]Resumen!O26*1000</f>
        <v>142856.27112068163</v>
      </c>
      <c r="P26" s="7">
        <f>+[3]Resumen!P26*1000</f>
        <v>170950.56390029597</v>
      </c>
      <c r="Q26" s="7">
        <f>+[3]Resumen!Q26*1000</f>
        <v>193680.95670105255</v>
      </c>
      <c r="R26" s="7">
        <f>+[3]Resumen!R26*1000</f>
        <v>212925.33653961393</v>
      </c>
      <c r="S26" s="7">
        <f>+[3]Resumen!S26*1000</f>
        <v>206392.96624888014</v>
      </c>
      <c r="T26" s="7">
        <f>+[3]Resumen!T26*1000</f>
        <v>194945.5116016278</v>
      </c>
      <c r="U26" s="7">
        <f>+[3]Resumen!U26*1000</f>
        <v>182150.65120687796</v>
      </c>
      <c r="V26" s="7">
        <f>+[3]Resumen!V26*1000</f>
        <v>179715.60698521769</v>
      </c>
      <c r="W26" s="7">
        <f>+[3]Resumen!W26*1000</f>
        <v>0</v>
      </c>
      <c r="X26" s="7">
        <f>+[3]Resumen!X26*1000</f>
        <v>0</v>
      </c>
      <c r="Y26" s="7">
        <f>+[3]Resumen!Y26*1000</f>
        <v>0</v>
      </c>
      <c r="Z26" s="7">
        <f>+[3]Resumen!Z26*1000</f>
        <v>0</v>
      </c>
      <c r="AA26" s="7">
        <f>+[3]Resumen!AA26*1000</f>
        <v>0</v>
      </c>
      <c r="AB26" s="7">
        <f>+[3]Resumen!AB26*1000</f>
        <v>0</v>
      </c>
      <c r="AC26" s="7">
        <f>+[3]Resumen!AC26*1000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20</v>
      </c>
      <c r="F27" s="7">
        <f>+[3]Resumen!F27*1000</f>
        <v>0</v>
      </c>
      <c r="G27" s="7">
        <f>+[3]Resumen!G27*1000</f>
        <v>0</v>
      </c>
      <c r="H27" s="7">
        <f>+[3]Resumen!H27*1000</f>
        <v>0</v>
      </c>
      <c r="I27" s="7">
        <f>+[3]Resumen!I27*1000</f>
        <v>0</v>
      </c>
      <c r="J27" s="7">
        <f>+[3]Resumen!J27*1000</f>
        <v>0</v>
      </c>
      <c r="K27" s="7">
        <f>+[3]Resumen!K27*1000</f>
        <v>0</v>
      </c>
      <c r="L27" s="7">
        <f>+[3]Resumen!L27*1000</f>
        <v>0</v>
      </c>
      <c r="M27" s="7">
        <f>+[3]Resumen!M27*1000</f>
        <v>185748.99612391452</v>
      </c>
      <c r="N27" s="7">
        <f>+[3]Resumen!N27*1000</f>
        <v>214863.61515916575</v>
      </c>
      <c r="O27" s="7">
        <f>+[3]Resumen!O27*1000</f>
        <v>234322.46856889492</v>
      </c>
      <c r="P27" s="7">
        <f>+[3]Resumen!P27*1000</f>
        <v>260306.91459242615</v>
      </c>
      <c r="Q27" s="7">
        <f>+[3]Resumen!Q27*1000</f>
        <v>284213.54999714647</v>
      </c>
      <c r="R27" s="7">
        <f>+[3]Resumen!R27*1000</f>
        <v>289874.02396589256</v>
      </c>
      <c r="S27" s="7">
        <f>+[3]Resumen!S27*1000</f>
        <v>284356.21473635815</v>
      </c>
      <c r="T27" s="7">
        <f>+[3]Resumen!T27*1000</f>
        <v>288319.70848703699</v>
      </c>
      <c r="U27" s="7">
        <f>+[3]Resumen!U27*1000</f>
        <v>289119.96869467059</v>
      </c>
      <c r="V27" s="7">
        <f>+[3]Resumen!V27*1000</f>
        <v>278565.74992691592</v>
      </c>
      <c r="W27" s="7">
        <f>+[3]Resumen!W27*1000</f>
        <v>0</v>
      </c>
      <c r="X27" s="7">
        <f>+[3]Resumen!X27*1000</f>
        <v>0</v>
      </c>
      <c r="Y27" s="7">
        <f>+[3]Resumen!Y27*1000</f>
        <v>0</v>
      </c>
      <c r="Z27" s="7">
        <f>+[3]Resumen!Z27*1000</f>
        <v>0</v>
      </c>
      <c r="AA27" s="7">
        <f>+[3]Resumen!AA27*1000</f>
        <v>0</v>
      </c>
      <c r="AB27" s="7">
        <f>+[3]Resumen!AB27*1000</f>
        <v>0</v>
      </c>
      <c r="AC27" s="7">
        <f>+[3]Resumen!AC27*1000</f>
        <v>0</v>
      </c>
      <c r="AD27" s="60">
        <f t="shared" ref="AD27" si="3">SUM(F27:AC27)*E27+SUM(F28:AC28)*E28+SUM(F29:AC29)*E29+SUM(F30:AC30)*E30</f>
        <v>71045389.792860925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+[3]Resumen!F28*1000</f>
        <v>0</v>
      </c>
      <c r="G28" s="7">
        <f>+[3]Resumen!G28*1000</f>
        <v>0</v>
      </c>
      <c r="H28" s="7">
        <f>+[3]Resumen!H28*1000</f>
        <v>0</v>
      </c>
      <c r="I28" s="7">
        <f>+[3]Resumen!I28*1000</f>
        <v>0</v>
      </c>
      <c r="J28" s="7">
        <f>+[3]Resumen!J28*1000</f>
        <v>0</v>
      </c>
      <c r="K28" s="7">
        <f>+[3]Resumen!K28*1000</f>
        <v>0</v>
      </c>
      <c r="L28" s="7">
        <f>+[3]Resumen!L28*1000</f>
        <v>0</v>
      </c>
      <c r="M28" s="7">
        <f>+[3]Resumen!M28*1000</f>
        <v>149350.7924334706</v>
      </c>
      <c r="N28" s="7">
        <f>+[3]Resumen!N28*1000</f>
        <v>186392.39301430015</v>
      </c>
      <c r="O28" s="7">
        <f>+[3]Resumen!O28*1000</f>
        <v>211286.40730314044</v>
      </c>
      <c r="P28" s="7">
        <f>+[3]Resumen!P28*1000</f>
        <v>236082.91952778952</v>
      </c>
      <c r="Q28" s="7">
        <f>+[3]Resumen!Q28*1000</f>
        <v>252764.52154437875</v>
      </c>
      <c r="R28" s="7">
        <f>+[3]Resumen!R28*1000</f>
        <v>254612.57010635943</v>
      </c>
      <c r="S28" s="7">
        <f>+[3]Resumen!S28*1000</f>
        <v>244447.72232697599</v>
      </c>
      <c r="T28" s="7">
        <f>+[3]Resumen!T28*1000</f>
        <v>236806.50503171555</v>
      </c>
      <c r="U28" s="7">
        <f>+[3]Resumen!U28*1000</f>
        <v>234902.1803103956</v>
      </c>
      <c r="V28" s="7">
        <f>+[3]Resumen!V28*1000</f>
        <v>228550.30586948016</v>
      </c>
      <c r="W28" s="7">
        <f>+[3]Resumen!W28*1000</f>
        <v>0</v>
      </c>
      <c r="X28" s="7">
        <f>+[3]Resumen!X28*1000</f>
        <v>0</v>
      </c>
      <c r="Y28" s="7">
        <f>+[3]Resumen!Y28*1000</f>
        <v>0</v>
      </c>
      <c r="Z28" s="7">
        <f>+[3]Resumen!Z28*1000</f>
        <v>0</v>
      </c>
      <c r="AA28" s="7">
        <f>+[3]Resumen!AA28*1000</f>
        <v>0</v>
      </c>
      <c r="AB28" s="7">
        <f>+[3]Resumen!AB28*1000</f>
        <v>0</v>
      </c>
      <c r="AC28" s="7">
        <f>+[3]Resumen!AC28*1000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+[3]Resumen!F29*1000</f>
        <v>0</v>
      </c>
      <c r="G29" s="7">
        <f>+[3]Resumen!G29*1000</f>
        <v>0</v>
      </c>
      <c r="H29" s="7">
        <f>+[3]Resumen!H29*1000</f>
        <v>0</v>
      </c>
      <c r="I29" s="7">
        <f>+[3]Resumen!I29*1000</f>
        <v>0</v>
      </c>
      <c r="J29" s="7">
        <f>+[3]Resumen!J29*1000</f>
        <v>0</v>
      </c>
      <c r="K29" s="7">
        <f>+[3]Resumen!K29*1000</f>
        <v>0</v>
      </c>
      <c r="L29" s="7">
        <f>+[3]Resumen!L29*1000</f>
        <v>0</v>
      </c>
      <c r="M29" s="7">
        <f>+[3]Resumen!M29*1000</f>
        <v>85964.165078250211</v>
      </c>
      <c r="N29" s="7">
        <f>+[3]Resumen!N29*1000</f>
        <v>114383.10739173894</v>
      </c>
      <c r="O29" s="7">
        <f>+[3]Resumen!O29*1000</f>
        <v>139030.94549578434</v>
      </c>
      <c r="P29" s="7">
        <f>+[3]Resumen!P29*1000</f>
        <v>157469.67514637543</v>
      </c>
      <c r="Q29" s="7">
        <f>+[3]Resumen!Q29*1000</f>
        <v>180767.45122532098</v>
      </c>
      <c r="R29" s="7">
        <f>+[3]Resumen!R29*1000</f>
        <v>195189.57348474354</v>
      </c>
      <c r="S29" s="7">
        <f>+[3]Resumen!S29*1000</f>
        <v>197515.51378398508</v>
      </c>
      <c r="T29" s="7">
        <f>+[3]Resumen!T29*1000</f>
        <v>192739.57430106599</v>
      </c>
      <c r="U29" s="7">
        <f>+[3]Resumen!U29*1000</f>
        <v>190131.3181477662</v>
      </c>
      <c r="V29" s="7">
        <f>+[3]Resumen!V29*1000</f>
        <v>184355.56411338676</v>
      </c>
      <c r="W29" s="7">
        <f>+[3]Resumen!W29*1000</f>
        <v>0</v>
      </c>
      <c r="X29" s="7">
        <f>+[3]Resumen!X29*1000</f>
        <v>0</v>
      </c>
      <c r="Y29" s="7">
        <f>+[3]Resumen!Y29*1000</f>
        <v>0</v>
      </c>
      <c r="Z29" s="7">
        <f>+[3]Resumen!Z29*1000</f>
        <v>0</v>
      </c>
      <c r="AA29" s="7">
        <f>+[3]Resumen!AA29*1000</f>
        <v>0</v>
      </c>
      <c r="AB29" s="7">
        <f>+[3]Resumen!AB29*1000</f>
        <v>0</v>
      </c>
      <c r="AC29" s="7">
        <f>+[3]Resumen!AC29*1000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+[3]Resumen!F30*1000</f>
        <v>0</v>
      </c>
      <c r="G30" s="7">
        <f>+[3]Resumen!G30*1000</f>
        <v>0</v>
      </c>
      <c r="H30" s="7">
        <f>+[3]Resumen!H30*1000</f>
        <v>0</v>
      </c>
      <c r="I30" s="7">
        <f>+[3]Resumen!I30*1000</f>
        <v>0</v>
      </c>
      <c r="J30" s="7">
        <f>+[3]Resumen!J30*1000</f>
        <v>0</v>
      </c>
      <c r="K30" s="7">
        <f>+[3]Resumen!K30*1000</f>
        <v>0</v>
      </c>
      <c r="L30" s="7">
        <f>+[3]Resumen!L30*1000</f>
        <v>0</v>
      </c>
      <c r="M30" s="7">
        <f>+[3]Resumen!M30*1000</f>
        <v>81695.413811350445</v>
      </c>
      <c r="N30" s="7">
        <f>+[3]Resumen!N30*1000</f>
        <v>111234.27492322882</v>
      </c>
      <c r="O30" s="7">
        <f>+[3]Resumen!O30*1000</f>
        <v>137334.60254611052</v>
      </c>
      <c r="P30" s="7">
        <f>+[3]Resumen!P30*1000</f>
        <v>165307.36764752437</v>
      </c>
      <c r="Q30" s="7">
        <f>+[3]Resumen!Q30*1000</f>
        <v>193739.50796811396</v>
      </c>
      <c r="R30" s="7">
        <f>+[3]Resumen!R30*1000</f>
        <v>209464.77262269944</v>
      </c>
      <c r="S30" s="7">
        <f>+[3]Resumen!S30*1000</f>
        <v>206400.55391180725</v>
      </c>
      <c r="T30" s="7">
        <f>+[3]Resumen!T30*1000</f>
        <v>195880.48558300393</v>
      </c>
      <c r="U30" s="7">
        <f>+[3]Resumen!U30*1000</f>
        <v>191819.72204352968</v>
      </c>
      <c r="V30" s="7">
        <f>+[3]Resumen!V30*1000</f>
        <v>187419.68157602954</v>
      </c>
      <c r="W30" s="7">
        <f>+[3]Resumen!W30*1000</f>
        <v>0</v>
      </c>
      <c r="X30" s="7">
        <f>+[3]Resumen!X30*1000</f>
        <v>0</v>
      </c>
      <c r="Y30" s="7">
        <f>+[3]Resumen!Y30*1000</f>
        <v>0</v>
      </c>
      <c r="Z30" s="7">
        <f>+[3]Resumen!Z30*1000</f>
        <v>0</v>
      </c>
      <c r="AA30" s="7">
        <f>+[3]Resumen!AA30*1000</f>
        <v>0</v>
      </c>
      <c r="AB30" s="7">
        <f>+[3]Resumen!AB30*1000</f>
        <v>0</v>
      </c>
      <c r="AC30" s="7">
        <f>+[3]Resumen!AC30*1000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19</v>
      </c>
      <c r="F31" s="7">
        <f>+[3]Resumen!F31*1000</f>
        <v>0</v>
      </c>
      <c r="G31" s="7">
        <f>+[3]Resumen!G31*1000</f>
        <v>0</v>
      </c>
      <c r="H31" s="7">
        <f>+[3]Resumen!H31*1000</f>
        <v>0</v>
      </c>
      <c r="I31" s="7">
        <f>+[3]Resumen!I31*1000</f>
        <v>0</v>
      </c>
      <c r="J31" s="7">
        <f>+[3]Resumen!J31*1000</f>
        <v>0</v>
      </c>
      <c r="K31" s="7">
        <f>+[3]Resumen!K31*1000</f>
        <v>0</v>
      </c>
      <c r="L31" s="7">
        <f>+[3]Resumen!L31*1000</f>
        <v>0</v>
      </c>
      <c r="M31" s="7">
        <f>+[3]Resumen!M31*1000</f>
        <v>148065.79729807135</v>
      </c>
      <c r="N31" s="7">
        <f>+[3]Resumen!N31*1000</f>
        <v>177810.24595828605</v>
      </c>
      <c r="O31" s="7">
        <f>+[3]Resumen!O31*1000</f>
        <v>198585.08837929566</v>
      </c>
      <c r="P31" s="7">
        <f>+[3]Resumen!P31*1000</f>
        <v>226466.39057680726</v>
      </c>
      <c r="Q31" s="7">
        <f>+[3]Resumen!Q31*1000</f>
        <v>249196.39029612485</v>
      </c>
      <c r="R31" s="7">
        <f>+[3]Resumen!R31*1000</f>
        <v>252348.52822218961</v>
      </c>
      <c r="S31" s="7">
        <f>+[3]Resumen!S31*1000</f>
        <v>245881.39753875832</v>
      </c>
      <c r="T31" s="7">
        <f>+[3]Resumen!T31*1000</f>
        <v>250971.49247228846</v>
      </c>
      <c r="U31" s="7">
        <f>+[3]Resumen!U31*1000</f>
        <v>250118.68442320605</v>
      </c>
      <c r="V31" s="7">
        <f>+[3]Resumen!V31*1000</f>
        <v>237505.80882311903</v>
      </c>
      <c r="W31" s="7">
        <f>+[3]Resumen!W31*1000</f>
        <v>0</v>
      </c>
      <c r="X31" s="7">
        <f>+[3]Resumen!X31*1000</f>
        <v>0</v>
      </c>
      <c r="Y31" s="7">
        <f>+[3]Resumen!Y31*1000</f>
        <v>0</v>
      </c>
      <c r="Z31" s="7">
        <f>+[3]Resumen!Z31*1000</f>
        <v>0</v>
      </c>
      <c r="AA31" s="7">
        <f>+[3]Resumen!AA31*1000</f>
        <v>0</v>
      </c>
      <c r="AB31" s="7">
        <f>+[3]Resumen!AB31*1000</f>
        <v>0</v>
      </c>
      <c r="AC31" s="7">
        <f>+[3]Resumen!AC31*1000</f>
        <v>0</v>
      </c>
      <c r="AD31" s="60">
        <f t="shared" ref="AD31" si="4">SUM(F31:AC31)*E31+SUM(F32:AC32)*E32+SUM(F33:AC33)*E33+SUM(F34:AC34)*E34</f>
        <v>61137014.126799971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+[3]Resumen!F32*1000</f>
        <v>0</v>
      </c>
      <c r="G32" s="7">
        <f>+[3]Resumen!G32*1000</f>
        <v>0</v>
      </c>
      <c r="H32" s="7">
        <f>+[3]Resumen!H32*1000</f>
        <v>0</v>
      </c>
      <c r="I32" s="7">
        <f>+[3]Resumen!I32*1000</f>
        <v>0</v>
      </c>
      <c r="J32" s="7">
        <f>+[3]Resumen!J32*1000</f>
        <v>0</v>
      </c>
      <c r="K32" s="7">
        <f>+[3]Resumen!K32*1000</f>
        <v>0</v>
      </c>
      <c r="L32" s="7">
        <f>+[3]Resumen!L32*1000</f>
        <v>0</v>
      </c>
      <c r="M32" s="7">
        <f>+[3]Resumen!M32*1000</f>
        <v>107241.55616314396</v>
      </c>
      <c r="N32" s="7">
        <f>+[3]Resumen!N32*1000</f>
        <v>146273.87004516594</v>
      </c>
      <c r="O32" s="7">
        <f>+[3]Resumen!O32*1000</f>
        <v>171994.98723929477</v>
      </c>
      <c r="P32" s="7">
        <f>+[3]Resumen!P32*1000</f>
        <v>198181.19720080183</v>
      </c>
      <c r="Q32" s="7">
        <f>+[3]Resumen!Q32*1000</f>
        <v>217089.61748045072</v>
      </c>
      <c r="R32" s="7">
        <f>+[3]Resumen!R32*1000</f>
        <v>216913.82074056132</v>
      </c>
      <c r="S32" s="7">
        <f>+[3]Resumen!S32*1000</f>
        <v>205482.76830971494</v>
      </c>
      <c r="T32" s="7">
        <f>+[3]Resumen!T32*1000</f>
        <v>196263.00742509079</v>
      </c>
      <c r="U32" s="7">
        <f>+[3]Resumen!U32*1000</f>
        <v>192391.6555371632</v>
      </c>
      <c r="V32" s="7">
        <f>+[3]Resumen!V32*1000</f>
        <v>187399.60464374759</v>
      </c>
      <c r="W32" s="7">
        <f>+[3]Resumen!W32*1000</f>
        <v>0</v>
      </c>
      <c r="X32" s="7">
        <f>+[3]Resumen!X32*1000</f>
        <v>0</v>
      </c>
      <c r="Y32" s="7">
        <f>+[3]Resumen!Y32*1000</f>
        <v>0</v>
      </c>
      <c r="Z32" s="7">
        <f>+[3]Resumen!Z32*1000</f>
        <v>0</v>
      </c>
      <c r="AA32" s="7">
        <f>+[3]Resumen!AA32*1000</f>
        <v>0</v>
      </c>
      <c r="AB32" s="7">
        <f>+[3]Resumen!AB32*1000</f>
        <v>0</v>
      </c>
      <c r="AC32" s="7">
        <f>+[3]Resumen!AC32*1000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+[3]Resumen!F33*1000</f>
        <v>0</v>
      </c>
      <c r="G33" s="7">
        <f>+[3]Resumen!G33*1000</f>
        <v>0</v>
      </c>
      <c r="H33" s="7">
        <f>+[3]Resumen!H33*1000</f>
        <v>0</v>
      </c>
      <c r="I33" s="7">
        <f>+[3]Resumen!I33*1000</f>
        <v>0</v>
      </c>
      <c r="J33" s="7">
        <f>+[3]Resumen!J33*1000</f>
        <v>0</v>
      </c>
      <c r="K33" s="7">
        <f>+[3]Resumen!K33*1000</f>
        <v>0</v>
      </c>
      <c r="L33" s="7">
        <f>+[3]Resumen!L33*1000</f>
        <v>0</v>
      </c>
      <c r="M33" s="7">
        <f>+[3]Resumen!M33*1000</f>
        <v>48696.965530375492</v>
      </c>
      <c r="N33" s="7">
        <f>+[3]Resumen!N33*1000</f>
        <v>79793.947864131755</v>
      </c>
      <c r="O33" s="7">
        <f>+[3]Resumen!O33*1000</f>
        <v>106815.96808037747</v>
      </c>
      <c r="P33" s="7">
        <f>+[3]Resumen!P33*1000</f>
        <v>130074.7576275171</v>
      </c>
      <c r="Q33" s="7">
        <f>+[3]Resumen!Q33*1000</f>
        <v>154333.32599144083</v>
      </c>
      <c r="R33" s="7">
        <f>+[3]Resumen!R33*1000</f>
        <v>167839.45533836374</v>
      </c>
      <c r="S33" s="7">
        <f>+[3]Resumen!S33*1000</f>
        <v>169198.45698830942</v>
      </c>
      <c r="T33" s="7">
        <f>+[3]Resumen!T33*1000</f>
        <v>163288.66813903648</v>
      </c>
      <c r="U33" s="7">
        <f>+[3]Resumen!U33*1000</f>
        <v>158080.10084212659</v>
      </c>
      <c r="V33" s="7">
        <f>+[3]Resumen!V33*1000</f>
        <v>153731.73271650673</v>
      </c>
      <c r="W33" s="7">
        <f>+[3]Resumen!W33*1000</f>
        <v>0</v>
      </c>
      <c r="X33" s="7">
        <f>+[3]Resumen!X33*1000</f>
        <v>0</v>
      </c>
      <c r="Y33" s="7">
        <f>+[3]Resumen!Y33*1000</f>
        <v>0</v>
      </c>
      <c r="Z33" s="7">
        <f>+[3]Resumen!Z33*1000</f>
        <v>0</v>
      </c>
      <c r="AA33" s="7">
        <f>+[3]Resumen!AA33*1000</f>
        <v>0</v>
      </c>
      <c r="AB33" s="7">
        <f>+[3]Resumen!AB33*1000</f>
        <v>0</v>
      </c>
      <c r="AC33" s="7">
        <f>+[3]Resumen!AC33*1000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+[3]Resumen!F34*1000</f>
        <v>0</v>
      </c>
      <c r="G34" s="7">
        <f>+[3]Resumen!G34*1000</f>
        <v>0</v>
      </c>
      <c r="H34" s="7">
        <f>+[3]Resumen!H34*1000</f>
        <v>0</v>
      </c>
      <c r="I34" s="7">
        <f>+[3]Resumen!I34*1000</f>
        <v>0</v>
      </c>
      <c r="J34" s="7">
        <f>+[3]Resumen!J34*1000</f>
        <v>0</v>
      </c>
      <c r="K34" s="7">
        <f>+[3]Resumen!K34*1000</f>
        <v>0</v>
      </c>
      <c r="L34" s="7">
        <f>+[3]Resumen!L34*1000</f>
        <v>0</v>
      </c>
      <c r="M34" s="7">
        <f>+[3]Resumen!M34*1000</f>
        <v>52316.209277248126</v>
      </c>
      <c r="N34" s="7">
        <f>+[3]Resumen!N34*1000</f>
        <v>85890.581424039614</v>
      </c>
      <c r="O34" s="7">
        <f>+[3]Resumen!O34*1000</f>
        <v>113034.28416874963</v>
      </c>
      <c r="P34" s="7">
        <f>+[3]Resumen!P34*1000</f>
        <v>138772.59569794167</v>
      </c>
      <c r="Q34" s="7">
        <f>+[3]Resumen!Q34*1000</f>
        <v>163551.25249601668</v>
      </c>
      <c r="R34" s="7">
        <f>+[3]Resumen!R34*1000</f>
        <v>174968.4696513688</v>
      </c>
      <c r="S34" s="7">
        <f>+[3]Resumen!S34*1000</f>
        <v>173031.16777963491</v>
      </c>
      <c r="T34" s="7">
        <f>+[3]Resumen!T34*1000</f>
        <v>167074.17937879433</v>
      </c>
      <c r="U34" s="7">
        <f>+[3]Resumen!U34*1000</f>
        <v>165835.97880196504</v>
      </c>
      <c r="V34" s="7">
        <f>+[3]Resumen!V34*1000</f>
        <v>155295.35707852952</v>
      </c>
      <c r="W34" s="7">
        <f>+[3]Resumen!W34*1000</f>
        <v>0</v>
      </c>
      <c r="X34" s="7">
        <f>+[3]Resumen!X34*1000</f>
        <v>0</v>
      </c>
      <c r="Y34" s="7">
        <f>+[3]Resumen!Y34*1000</f>
        <v>0</v>
      </c>
      <c r="Z34" s="7">
        <f>+[3]Resumen!Z34*1000</f>
        <v>0</v>
      </c>
      <c r="AA34" s="7">
        <f>+[3]Resumen!AA34*1000</f>
        <v>0</v>
      </c>
      <c r="AB34" s="7">
        <f>+[3]Resumen!AB34*1000</f>
        <v>0</v>
      </c>
      <c r="AC34" s="7">
        <f>+[3]Resumen!AC34*1000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+[3]Resumen!F35*1000</f>
        <v>0</v>
      </c>
      <c r="G35" s="7">
        <f>+[3]Resumen!G35*1000</f>
        <v>0</v>
      </c>
      <c r="H35" s="7">
        <f>+[3]Resumen!H35*1000</f>
        <v>0</v>
      </c>
      <c r="I35" s="7">
        <f>+[3]Resumen!I35*1000</f>
        <v>0</v>
      </c>
      <c r="J35" s="7">
        <f>+[3]Resumen!J35*1000</f>
        <v>0</v>
      </c>
      <c r="K35" s="7">
        <f>+[3]Resumen!K35*1000</f>
        <v>0</v>
      </c>
      <c r="L35" s="7">
        <f>+[3]Resumen!L35*1000</f>
        <v>0</v>
      </c>
      <c r="M35" s="7">
        <f>+[3]Resumen!M35*1000</f>
        <v>153479.62457545177</v>
      </c>
      <c r="N35" s="7">
        <f>+[3]Resumen!N35*1000</f>
        <v>180859.63477852792</v>
      </c>
      <c r="O35" s="7">
        <f>+[3]Resumen!O35*1000</f>
        <v>201404.51860198798</v>
      </c>
      <c r="P35" s="7">
        <f>+[3]Resumen!P35*1000</f>
        <v>229273.95688697937</v>
      </c>
      <c r="Q35" s="7">
        <f>+[3]Resumen!Q35*1000</f>
        <v>251111.22696804637</v>
      </c>
      <c r="R35" s="7">
        <f>+[3]Resumen!R35*1000</f>
        <v>252960.47264168199</v>
      </c>
      <c r="S35" s="7">
        <f>+[3]Resumen!S35*1000</f>
        <v>247939.17291574285</v>
      </c>
      <c r="T35" s="7">
        <f>+[3]Resumen!T35*1000</f>
        <v>252865.84721893026</v>
      </c>
      <c r="U35" s="7">
        <f>+[3]Resumen!U35*1000</f>
        <v>252316.83752012122</v>
      </c>
      <c r="V35" s="7">
        <f>+[3]Resumen!V35*1000</f>
        <v>239441.4609439653</v>
      </c>
      <c r="W35" s="7">
        <f>+[3]Resumen!W35*1000</f>
        <v>0</v>
      </c>
      <c r="X35" s="7">
        <f>+[3]Resumen!X35*1000</f>
        <v>0</v>
      </c>
      <c r="Y35" s="7">
        <f>+[3]Resumen!Y35*1000</f>
        <v>0</v>
      </c>
      <c r="Z35" s="7">
        <f>+[3]Resumen!Z35*1000</f>
        <v>0</v>
      </c>
      <c r="AA35" s="7">
        <f>+[3]Resumen!AA35*1000</f>
        <v>0</v>
      </c>
      <c r="AB35" s="7">
        <f>+[3]Resumen!AB35*1000</f>
        <v>0</v>
      </c>
      <c r="AC35" s="7">
        <f>+[3]Resumen!AC35*1000</f>
        <v>0</v>
      </c>
      <c r="AD35" s="60">
        <f t="shared" ref="AD35" si="5">SUM(F35:AC35)*E35+SUM(F36:AC36)*E36+SUM(F37:AC37)*E37+SUM(F38:AC38)*E38</f>
        <v>63065210.004946887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+[3]Resumen!F36*1000</f>
        <v>0</v>
      </c>
      <c r="G36" s="7">
        <f>+[3]Resumen!G36*1000</f>
        <v>0</v>
      </c>
      <c r="H36" s="7">
        <f>+[3]Resumen!H36*1000</f>
        <v>0</v>
      </c>
      <c r="I36" s="7">
        <f>+[3]Resumen!I36*1000</f>
        <v>0</v>
      </c>
      <c r="J36" s="7">
        <f>+[3]Resumen!J36*1000</f>
        <v>0</v>
      </c>
      <c r="K36" s="7">
        <f>+[3]Resumen!K36*1000</f>
        <v>0</v>
      </c>
      <c r="L36" s="7">
        <f>+[3]Resumen!L36*1000</f>
        <v>0</v>
      </c>
      <c r="M36" s="7">
        <f>+[3]Resumen!M36*1000</f>
        <v>117287.73503842825</v>
      </c>
      <c r="N36" s="7">
        <f>+[3]Resumen!N36*1000</f>
        <v>154835.67215882614</v>
      </c>
      <c r="O36" s="7">
        <f>+[3]Resumen!O36*1000</f>
        <v>181015.65833088363</v>
      </c>
      <c r="P36" s="7">
        <f>+[3]Resumen!P36*1000</f>
        <v>204552.93416594167</v>
      </c>
      <c r="Q36" s="7">
        <f>+[3]Resumen!Q36*1000</f>
        <v>221325.86805928673</v>
      </c>
      <c r="R36" s="7">
        <f>+[3]Resumen!R36*1000</f>
        <v>220857.43409967766</v>
      </c>
      <c r="S36" s="7">
        <f>+[3]Resumen!S36*1000</f>
        <v>210885.10688867589</v>
      </c>
      <c r="T36" s="7">
        <f>+[3]Resumen!T36*1000</f>
        <v>200585.8609918569</v>
      </c>
      <c r="U36" s="7">
        <f>+[3]Resumen!U36*1000</f>
        <v>194637.91941989085</v>
      </c>
      <c r="V36" s="7">
        <f>+[3]Resumen!V36*1000</f>
        <v>189809.8847347557</v>
      </c>
      <c r="W36" s="7">
        <f>+[3]Resumen!W36*1000</f>
        <v>0</v>
      </c>
      <c r="X36" s="7">
        <f>+[3]Resumen!X36*1000</f>
        <v>0</v>
      </c>
      <c r="Y36" s="7">
        <f>+[3]Resumen!Y36*1000</f>
        <v>0</v>
      </c>
      <c r="Z36" s="7">
        <f>+[3]Resumen!Z36*1000</f>
        <v>0</v>
      </c>
      <c r="AA36" s="7">
        <f>+[3]Resumen!AA36*1000</f>
        <v>0</v>
      </c>
      <c r="AB36" s="7">
        <f>+[3]Resumen!AB36*1000</f>
        <v>0</v>
      </c>
      <c r="AC36" s="7">
        <f>+[3]Resumen!AC36*1000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+[3]Resumen!F37*1000</f>
        <v>0</v>
      </c>
      <c r="G37" s="7">
        <f>+[3]Resumen!G37*1000</f>
        <v>0</v>
      </c>
      <c r="H37" s="7">
        <f>+[3]Resumen!H37*1000</f>
        <v>0</v>
      </c>
      <c r="I37" s="7">
        <f>+[3]Resumen!I37*1000</f>
        <v>0</v>
      </c>
      <c r="J37" s="7">
        <f>+[3]Resumen!J37*1000</f>
        <v>0</v>
      </c>
      <c r="K37" s="7">
        <f>+[3]Resumen!K37*1000</f>
        <v>0</v>
      </c>
      <c r="L37" s="7">
        <f>+[3]Resumen!L37*1000</f>
        <v>0</v>
      </c>
      <c r="M37" s="7">
        <f>+[3]Resumen!M37*1000</f>
        <v>47984.154031343591</v>
      </c>
      <c r="N37" s="7">
        <f>+[3]Resumen!N37*1000</f>
        <v>78526.135152236937</v>
      </c>
      <c r="O37" s="7">
        <f>+[3]Resumen!O37*1000</f>
        <v>104494.53630612481</v>
      </c>
      <c r="P37" s="7">
        <f>+[3]Resumen!P37*1000</f>
        <v>124786.64494123962</v>
      </c>
      <c r="Q37" s="7">
        <f>+[3]Resumen!Q37*1000</f>
        <v>146790.79000468832</v>
      </c>
      <c r="R37" s="7">
        <f>+[3]Resumen!R37*1000</f>
        <v>159994.53847682974</v>
      </c>
      <c r="S37" s="7">
        <f>+[3]Resumen!S37*1000</f>
        <v>161895.635165727</v>
      </c>
      <c r="T37" s="7">
        <f>+[3]Resumen!T37*1000</f>
        <v>152251.19147680179</v>
      </c>
      <c r="U37" s="7">
        <f>+[3]Resumen!U37*1000</f>
        <v>147805.67863375347</v>
      </c>
      <c r="V37" s="7">
        <f>+[3]Resumen!V37*1000</f>
        <v>140708.97442387202</v>
      </c>
      <c r="W37" s="7">
        <f>+[3]Resumen!W37*1000</f>
        <v>0</v>
      </c>
      <c r="X37" s="7">
        <f>+[3]Resumen!X37*1000</f>
        <v>0</v>
      </c>
      <c r="Y37" s="7">
        <f>+[3]Resumen!Y37*1000</f>
        <v>0</v>
      </c>
      <c r="Z37" s="7">
        <f>+[3]Resumen!Z37*1000</f>
        <v>0</v>
      </c>
      <c r="AA37" s="7">
        <f>+[3]Resumen!AA37*1000</f>
        <v>0</v>
      </c>
      <c r="AB37" s="7">
        <f>+[3]Resumen!AB37*1000</f>
        <v>0</v>
      </c>
      <c r="AC37" s="7">
        <f>+[3]Resumen!AC37*1000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+[3]Resumen!F38*1000</f>
        <v>0</v>
      </c>
      <c r="G38" s="7">
        <f>+[3]Resumen!G38*1000</f>
        <v>0</v>
      </c>
      <c r="H38" s="7">
        <f>+[3]Resumen!H38*1000</f>
        <v>0</v>
      </c>
      <c r="I38" s="7">
        <f>+[3]Resumen!I38*1000</f>
        <v>0</v>
      </c>
      <c r="J38" s="7">
        <f>+[3]Resumen!J38*1000</f>
        <v>0</v>
      </c>
      <c r="K38" s="7">
        <f>+[3]Resumen!K38*1000</f>
        <v>0</v>
      </c>
      <c r="L38" s="7">
        <f>+[3]Resumen!L38*1000</f>
        <v>0</v>
      </c>
      <c r="M38" s="7">
        <f>+[3]Resumen!M38*1000</f>
        <v>65397.828537471913</v>
      </c>
      <c r="N38" s="7">
        <f>+[3]Resumen!N38*1000</f>
        <v>95732.083985232384</v>
      </c>
      <c r="O38" s="7">
        <f>+[3]Resumen!O38*1000</f>
        <v>119266.2032572203</v>
      </c>
      <c r="P38" s="7">
        <f>+[3]Resumen!P38*1000</f>
        <v>146480.33309307075</v>
      </c>
      <c r="Q38" s="7">
        <f>+[3]Resumen!Q38*1000</f>
        <v>173355.96620799383</v>
      </c>
      <c r="R38" s="7">
        <f>+[3]Resumen!R38*1000</f>
        <v>191333.29567442078</v>
      </c>
      <c r="S38" s="7">
        <f>+[3]Resumen!S38*1000</f>
        <v>183207.1290433371</v>
      </c>
      <c r="T38" s="7">
        <f>+[3]Resumen!T38*1000</f>
        <v>169853.49742737829</v>
      </c>
      <c r="U38" s="7">
        <f>+[3]Resumen!U38*1000</f>
        <v>163045.82719069309</v>
      </c>
      <c r="V38" s="7">
        <f>+[3]Resumen!V38*1000</f>
        <v>155514.22601487796</v>
      </c>
      <c r="W38" s="7">
        <f>+[3]Resumen!W38*1000</f>
        <v>0</v>
      </c>
      <c r="X38" s="7">
        <f>+[3]Resumen!X38*1000</f>
        <v>0</v>
      </c>
      <c r="Y38" s="7">
        <f>+[3]Resumen!Y38*1000</f>
        <v>0</v>
      </c>
      <c r="Z38" s="7">
        <f>+[3]Resumen!Z38*1000</f>
        <v>0</v>
      </c>
      <c r="AA38" s="7">
        <f>+[3]Resumen!AA38*1000</f>
        <v>0</v>
      </c>
      <c r="AB38" s="7">
        <f>+[3]Resumen!AB38*1000</f>
        <v>0</v>
      </c>
      <c r="AC38" s="7">
        <f>+[3]Resumen!AC38*1000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+[3]Resumen!F39*1000</f>
        <v>0</v>
      </c>
      <c r="G39" s="7">
        <f>+[3]Resumen!G39*1000</f>
        <v>0</v>
      </c>
      <c r="H39" s="7">
        <f>+[3]Resumen!H39*1000</f>
        <v>0</v>
      </c>
      <c r="I39" s="7">
        <f>+[3]Resumen!I39*1000</f>
        <v>0</v>
      </c>
      <c r="J39" s="7">
        <f>+[3]Resumen!J39*1000</f>
        <v>0</v>
      </c>
      <c r="K39" s="7">
        <f>+[3]Resumen!K39*1000</f>
        <v>0</v>
      </c>
      <c r="L39" s="7">
        <f>+[3]Resumen!L39*1000</f>
        <v>0</v>
      </c>
      <c r="M39" s="7">
        <f>+[3]Resumen!M39*1000</f>
        <v>166896.95325185425</v>
      </c>
      <c r="N39" s="7">
        <f>+[3]Resumen!N39*1000</f>
        <v>195204.8560146266</v>
      </c>
      <c r="O39" s="7">
        <f>+[3]Resumen!O39*1000</f>
        <v>215698.6571183647</v>
      </c>
      <c r="P39" s="7">
        <f>+[3]Resumen!P39*1000</f>
        <v>244592.88849352623</v>
      </c>
      <c r="Q39" s="7">
        <f>+[3]Resumen!Q39*1000</f>
        <v>268771.20868611574</v>
      </c>
      <c r="R39" s="7">
        <f>+[3]Resumen!R39*1000</f>
        <v>272991.44417420536</v>
      </c>
      <c r="S39" s="7">
        <f>+[3]Resumen!S39*1000</f>
        <v>267688.51350883645</v>
      </c>
      <c r="T39" s="7">
        <f>+[3]Resumen!T39*1000</f>
        <v>271193.68025750993</v>
      </c>
      <c r="U39" s="7">
        <f>+[3]Resumen!U39*1000</f>
        <v>271763.70194596326</v>
      </c>
      <c r="V39" s="7">
        <f>+[3]Resumen!V39*1000</f>
        <v>259853.44750639296</v>
      </c>
      <c r="W39" s="7">
        <f>+[3]Resumen!W39*1000</f>
        <v>0</v>
      </c>
      <c r="X39" s="7">
        <f>+[3]Resumen!X39*1000</f>
        <v>0</v>
      </c>
      <c r="Y39" s="7">
        <f>+[3]Resumen!Y39*1000</f>
        <v>0</v>
      </c>
      <c r="Z39" s="7">
        <f>+[3]Resumen!Z39*1000</f>
        <v>0</v>
      </c>
      <c r="AA39" s="7">
        <f>+[3]Resumen!AA39*1000</f>
        <v>0</v>
      </c>
      <c r="AB39" s="7">
        <f>+[3]Resumen!AB39*1000</f>
        <v>0</v>
      </c>
      <c r="AC39" s="7">
        <f>+[3]Resumen!AC39*1000</f>
        <v>0</v>
      </c>
      <c r="AD39" s="60">
        <f t="shared" ref="AD39" si="6">SUM(F39:AC39)*E39+SUM(F40:AC40)*E40+SUM(F41:AC41)*E41+SUM(F42:AC42)*E42</f>
        <v>66915978.909930326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+[3]Resumen!F40*1000</f>
        <v>0</v>
      </c>
      <c r="G40" s="7">
        <f>+[3]Resumen!G40*1000</f>
        <v>0</v>
      </c>
      <c r="H40" s="7">
        <f>+[3]Resumen!H40*1000</f>
        <v>0</v>
      </c>
      <c r="I40" s="7">
        <f>+[3]Resumen!I40*1000</f>
        <v>0</v>
      </c>
      <c r="J40" s="7">
        <f>+[3]Resumen!J40*1000</f>
        <v>0</v>
      </c>
      <c r="K40" s="7">
        <f>+[3]Resumen!K40*1000</f>
        <v>0</v>
      </c>
      <c r="L40" s="7">
        <f>+[3]Resumen!L40*1000</f>
        <v>0</v>
      </c>
      <c r="M40" s="7">
        <f>+[3]Resumen!M40*1000</f>
        <v>130550.66013446577</v>
      </c>
      <c r="N40" s="7">
        <f>+[3]Resumen!N40*1000</f>
        <v>170514.71996544127</v>
      </c>
      <c r="O40" s="7">
        <f>+[3]Resumen!O40*1000</f>
        <v>198264.77465280812</v>
      </c>
      <c r="P40" s="7">
        <f>+[3]Resumen!P40*1000</f>
        <v>223946.54201258894</v>
      </c>
      <c r="Q40" s="7">
        <f>+[3]Resumen!Q40*1000</f>
        <v>241988.58697773312</v>
      </c>
      <c r="R40" s="7">
        <f>+[3]Resumen!R40*1000</f>
        <v>242814.42725779369</v>
      </c>
      <c r="S40" s="7">
        <f>+[3]Resumen!S40*1000</f>
        <v>228515.95293403001</v>
      </c>
      <c r="T40" s="7">
        <f>+[3]Resumen!T40*1000</f>
        <v>213063.92156995196</v>
      </c>
      <c r="U40" s="7">
        <f>+[3]Resumen!U40*1000</f>
        <v>205892.43063842563</v>
      </c>
      <c r="V40" s="7">
        <f>+[3]Resumen!V40*1000</f>
        <v>198145.61737479988</v>
      </c>
      <c r="W40" s="7">
        <f>+[3]Resumen!W40*1000</f>
        <v>0</v>
      </c>
      <c r="X40" s="7">
        <f>+[3]Resumen!X40*1000</f>
        <v>0</v>
      </c>
      <c r="Y40" s="7">
        <f>+[3]Resumen!Y40*1000</f>
        <v>0</v>
      </c>
      <c r="Z40" s="7">
        <f>+[3]Resumen!Z40*1000</f>
        <v>0</v>
      </c>
      <c r="AA40" s="7">
        <f>+[3]Resumen!AA40*1000</f>
        <v>0</v>
      </c>
      <c r="AB40" s="7">
        <f>+[3]Resumen!AB40*1000</f>
        <v>0</v>
      </c>
      <c r="AC40" s="7">
        <f>+[3]Resumen!AC40*1000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+[3]Resumen!F41*1000</f>
        <v>0</v>
      </c>
      <c r="G41" s="7">
        <f>+[3]Resumen!G41*1000</f>
        <v>0</v>
      </c>
      <c r="H41" s="7">
        <f>+[3]Resumen!H41*1000</f>
        <v>0</v>
      </c>
      <c r="I41" s="7">
        <f>+[3]Resumen!I41*1000</f>
        <v>0</v>
      </c>
      <c r="J41" s="7">
        <f>+[3]Resumen!J41*1000</f>
        <v>0</v>
      </c>
      <c r="K41" s="7">
        <f>+[3]Resumen!K41*1000</f>
        <v>0</v>
      </c>
      <c r="L41" s="7">
        <f>+[3]Resumen!L41*1000</f>
        <v>0</v>
      </c>
      <c r="M41" s="7">
        <f>+[3]Resumen!M41*1000</f>
        <v>55984.635850221195</v>
      </c>
      <c r="N41" s="7">
        <f>+[3]Resumen!N41*1000</f>
        <v>87132.742594155003</v>
      </c>
      <c r="O41" s="7">
        <f>+[3]Resumen!O41*1000</f>
        <v>113090.39356626627</v>
      </c>
      <c r="P41" s="7">
        <f>+[3]Resumen!P41*1000</f>
        <v>136985.46880321464</v>
      </c>
      <c r="Q41" s="7">
        <f>+[3]Resumen!Q41*1000</f>
        <v>159817.87219315121</v>
      </c>
      <c r="R41" s="7">
        <f>+[3]Resumen!R41*1000</f>
        <v>173321.8157690425</v>
      </c>
      <c r="S41" s="7">
        <f>+[3]Resumen!S41*1000</f>
        <v>172054.08048227956</v>
      </c>
      <c r="T41" s="7">
        <f>+[3]Resumen!T41*1000</f>
        <v>163782.88466757131</v>
      </c>
      <c r="U41" s="7">
        <f>+[3]Resumen!U41*1000</f>
        <v>161038.03271424561</v>
      </c>
      <c r="V41" s="7">
        <f>+[3]Resumen!V41*1000</f>
        <v>156724.16641856034</v>
      </c>
      <c r="W41" s="7">
        <f>+[3]Resumen!W41*1000</f>
        <v>0</v>
      </c>
      <c r="X41" s="7">
        <f>+[3]Resumen!X41*1000</f>
        <v>0</v>
      </c>
      <c r="Y41" s="7">
        <f>+[3]Resumen!Y41*1000</f>
        <v>0</v>
      </c>
      <c r="Z41" s="7">
        <f>+[3]Resumen!Z41*1000</f>
        <v>0</v>
      </c>
      <c r="AA41" s="7">
        <f>+[3]Resumen!AA41*1000</f>
        <v>0</v>
      </c>
      <c r="AB41" s="7">
        <f>+[3]Resumen!AB41*1000</f>
        <v>0</v>
      </c>
      <c r="AC41" s="7">
        <f>+[3]Resumen!AC41*1000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+[3]Resumen!F42*1000</f>
        <v>0</v>
      </c>
      <c r="G42" s="7">
        <f>+[3]Resumen!G42*1000</f>
        <v>0</v>
      </c>
      <c r="H42" s="7">
        <f>+[3]Resumen!H42*1000</f>
        <v>0</v>
      </c>
      <c r="I42" s="7">
        <f>+[3]Resumen!I42*1000</f>
        <v>0</v>
      </c>
      <c r="J42" s="7">
        <f>+[3]Resumen!J42*1000</f>
        <v>0</v>
      </c>
      <c r="K42" s="7">
        <f>+[3]Resumen!K42*1000</f>
        <v>0</v>
      </c>
      <c r="L42" s="7">
        <f>+[3]Resumen!L42*1000</f>
        <v>0</v>
      </c>
      <c r="M42" s="7">
        <f>+[3]Resumen!M42*1000</f>
        <v>0</v>
      </c>
      <c r="N42" s="7">
        <f>+[3]Resumen!N42*1000</f>
        <v>0</v>
      </c>
      <c r="O42" s="7">
        <f>+[3]Resumen!O42*1000</f>
        <v>0</v>
      </c>
      <c r="P42" s="7">
        <f>+[3]Resumen!P42*1000</f>
        <v>0</v>
      </c>
      <c r="Q42" s="7">
        <f>+[3]Resumen!Q42*1000</f>
        <v>0</v>
      </c>
      <c r="R42" s="7">
        <f>+[3]Resumen!R42*1000</f>
        <v>0</v>
      </c>
      <c r="S42" s="7">
        <f>+[3]Resumen!S42*1000</f>
        <v>0</v>
      </c>
      <c r="T42" s="7">
        <f>+[3]Resumen!T42*1000</f>
        <v>0</v>
      </c>
      <c r="U42" s="7">
        <f>+[3]Resumen!U42*1000</f>
        <v>0</v>
      </c>
      <c r="V42" s="7">
        <f>+[3]Resumen!V42*1000</f>
        <v>0</v>
      </c>
      <c r="W42" s="7">
        <f>+[3]Resumen!W42*1000</f>
        <v>0</v>
      </c>
      <c r="X42" s="7">
        <f>+[3]Resumen!X42*1000</f>
        <v>0</v>
      </c>
      <c r="Y42" s="7">
        <f>+[3]Resumen!Y42*1000</f>
        <v>0</v>
      </c>
      <c r="Z42" s="7">
        <f>+[3]Resumen!Z42*1000</f>
        <v>0</v>
      </c>
      <c r="AA42" s="7">
        <f>+[3]Resumen!AA42*1000</f>
        <v>0</v>
      </c>
      <c r="AB42" s="7">
        <f>+[3]Resumen!AB42*1000</f>
        <v>0</v>
      </c>
      <c r="AC42" s="7">
        <f>+[3]Resumen!AC42*1000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+[3]Resumen!F43*1000</f>
        <v>0</v>
      </c>
      <c r="G43" s="7">
        <f>+[3]Resumen!G43*1000</f>
        <v>0</v>
      </c>
      <c r="H43" s="7">
        <f>+[3]Resumen!H43*1000</f>
        <v>0</v>
      </c>
      <c r="I43" s="7">
        <f>+[3]Resumen!I43*1000</f>
        <v>0</v>
      </c>
      <c r="J43" s="7">
        <f>+[3]Resumen!J43*1000</f>
        <v>0</v>
      </c>
      <c r="K43" s="7">
        <f>+[3]Resumen!K43*1000</f>
        <v>0</v>
      </c>
      <c r="L43" s="7">
        <f>+[3]Resumen!L43*1000</f>
        <v>0</v>
      </c>
      <c r="M43" s="7">
        <f>+[3]Resumen!M43*1000</f>
        <v>154285.53086193535</v>
      </c>
      <c r="N43" s="7">
        <f>+[3]Resumen!N43*1000</f>
        <v>182998.18243543184</v>
      </c>
      <c r="O43" s="7">
        <f>+[3]Resumen!O43*1000</f>
        <v>202263.80058325385</v>
      </c>
      <c r="P43" s="7">
        <f>+[3]Resumen!P43*1000</f>
        <v>228504.20218131796</v>
      </c>
      <c r="Q43" s="7">
        <f>+[3]Resumen!Q43*1000</f>
        <v>252246.3627827458</v>
      </c>
      <c r="R43" s="7">
        <f>+[3]Resumen!R43*1000</f>
        <v>257304.63003128188</v>
      </c>
      <c r="S43" s="7">
        <f>+[3]Resumen!S43*1000</f>
        <v>251644.4240726078</v>
      </c>
      <c r="T43" s="7">
        <f>+[3]Resumen!T43*1000</f>
        <v>255465.16970316367</v>
      </c>
      <c r="U43" s="7">
        <f>+[3]Resumen!U43*1000</f>
        <v>255294.58427022968</v>
      </c>
      <c r="V43" s="7">
        <f>+[3]Resumen!V43*1000</f>
        <v>243450.71890338184</v>
      </c>
      <c r="W43" s="7">
        <f>+[3]Resumen!W43*1000</f>
        <v>0</v>
      </c>
      <c r="X43" s="7">
        <f>+[3]Resumen!X43*1000</f>
        <v>0</v>
      </c>
      <c r="Y43" s="7">
        <f>+[3]Resumen!Y43*1000</f>
        <v>0</v>
      </c>
      <c r="Z43" s="7">
        <f>+[3]Resumen!Z43*1000</f>
        <v>0</v>
      </c>
      <c r="AA43" s="7">
        <f>+[3]Resumen!AA43*1000</f>
        <v>0</v>
      </c>
      <c r="AB43" s="7">
        <f>+[3]Resumen!AB43*1000</f>
        <v>0</v>
      </c>
      <c r="AC43" s="7">
        <f>+[3]Resumen!AC43*1000</f>
        <v>0</v>
      </c>
      <c r="AD43" s="60">
        <f t="shared" ref="AD43" si="7">SUM(F43:AC43)*E43+SUM(F44:AC44)*E44+SUM(F45:AC45)*E45+SUM(F46:AC46)*E46</f>
        <v>64387467.479978085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+[3]Resumen!F44*1000</f>
        <v>0</v>
      </c>
      <c r="G44" s="7">
        <f>+[3]Resumen!G44*1000</f>
        <v>0</v>
      </c>
      <c r="H44" s="7">
        <f>+[3]Resumen!H44*1000</f>
        <v>0</v>
      </c>
      <c r="I44" s="7">
        <f>+[3]Resumen!I44*1000</f>
        <v>0</v>
      </c>
      <c r="J44" s="7">
        <f>+[3]Resumen!J44*1000</f>
        <v>0</v>
      </c>
      <c r="K44" s="7">
        <f>+[3]Resumen!K44*1000</f>
        <v>0</v>
      </c>
      <c r="L44" s="7">
        <f>+[3]Resumen!L44*1000</f>
        <v>0</v>
      </c>
      <c r="M44" s="7">
        <f>+[3]Resumen!M44*1000</f>
        <v>121585.27654283942</v>
      </c>
      <c r="N44" s="7">
        <f>+[3]Resumen!N44*1000</f>
        <v>159926.48774166097</v>
      </c>
      <c r="O44" s="7">
        <f>+[3]Resumen!O44*1000</f>
        <v>186718.90670711984</v>
      </c>
      <c r="P44" s="7">
        <f>+[3]Resumen!P44*1000</f>
        <v>212656.28420622964</v>
      </c>
      <c r="Q44" s="7">
        <f>+[3]Resumen!Q44*1000</f>
        <v>230346.41407950863</v>
      </c>
      <c r="R44" s="7">
        <f>+[3]Resumen!R44*1000</f>
        <v>231821.4938695243</v>
      </c>
      <c r="S44" s="7">
        <f>+[3]Resumen!S44*1000</f>
        <v>221445.83532329029</v>
      </c>
      <c r="T44" s="7">
        <f>+[3]Resumen!T44*1000</f>
        <v>210928.88186710147</v>
      </c>
      <c r="U44" s="7">
        <f>+[3]Resumen!U44*1000</f>
        <v>207335.71252234408</v>
      </c>
      <c r="V44" s="7">
        <f>+[3]Resumen!V44*1000</f>
        <v>203166.12498208188</v>
      </c>
      <c r="W44" s="7">
        <f>+[3]Resumen!W44*1000</f>
        <v>0</v>
      </c>
      <c r="X44" s="7">
        <f>+[3]Resumen!X44*1000</f>
        <v>0</v>
      </c>
      <c r="Y44" s="7">
        <f>+[3]Resumen!Y44*1000</f>
        <v>0</v>
      </c>
      <c r="Z44" s="7">
        <f>+[3]Resumen!Z44*1000</f>
        <v>0</v>
      </c>
      <c r="AA44" s="7">
        <f>+[3]Resumen!AA44*1000</f>
        <v>0</v>
      </c>
      <c r="AB44" s="7">
        <f>+[3]Resumen!AB44*1000</f>
        <v>0</v>
      </c>
      <c r="AC44" s="7">
        <f>+[3]Resumen!AC44*1000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+[3]Resumen!F45*1000</f>
        <v>0</v>
      </c>
      <c r="G45" s="7">
        <f>+[3]Resumen!G45*1000</f>
        <v>0</v>
      </c>
      <c r="H45" s="7">
        <f>+[3]Resumen!H45*1000</f>
        <v>0</v>
      </c>
      <c r="I45" s="7">
        <f>+[3]Resumen!I45*1000</f>
        <v>0</v>
      </c>
      <c r="J45" s="7">
        <f>+[3]Resumen!J45*1000</f>
        <v>0</v>
      </c>
      <c r="K45" s="7">
        <f>+[3]Resumen!K45*1000</f>
        <v>0</v>
      </c>
      <c r="L45" s="7">
        <f>+[3]Resumen!L45*1000</f>
        <v>0</v>
      </c>
      <c r="M45" s="7">
        <f>+[3]Resumen!M45*1000</f>
        <v>61153.674639401775</v>
      </c>
      <c r="N45" s="7">
        <f>+[3]Resumen!N45*1000</f>
        <v>91986.607494450931</v>
      </c>
      <c r="O45" s="7">
        <f>+[3]Resumen!O45*1000</f>
        <v>116926.15967241251</v>
      </c>
      <c r="P45" s="7">
        <f>+[3]Resumen!P45*1000</f>
        <v>139931.89410957613</v>
      </c>
      <c r="Q45" s="7">
        <f>+[3]Resumen!Q45*1000</f>
        <v>164768.68527015613</v>
      </c>
      <c r="R45" s="7">
        <f>+[3]Resumen!R45*1000</f>
        <v>177955.07264541174</v>
      </c>
      <c r="S45" s="7">
        <f>+[3]Resumen!S45*1000</f>
        <v>175340.29491369342</v>
      </c>
      <c r="T45" s="7">
        <f>+[3]Resumen!T45*1000</f>
        <v>166711.62726496061</v>
      </c>
      <c r="U45" s="7">
        <f>+[3]Resumen!U45*1000</f>
        <v>161625.55843828974</v>
      </c>
      <c r="V45" s="7">
        <f>+[3]Resumen!V45*1000</f>
        <v>154048.34194822138</v>
      </c>
      <c r="W45" s="7">
        <f>+[3]Resumen!W45*1000</f>
        <v>0</v>
      </c>
      <c r="X45" s="7">
        <f>+[3]Resumen!X45*1000</f>
        <v>0</v>
      </c>
      <c r="Y45" s="7">
        <f>+[3]Resumen!Y45*1000</f>
        <v>0</v>
      </c>
      <c r="Z45" s="7">
        <f>+[3]Resumen!Z45*1000</f>
        <v>0</v>
      </c>
      <c r="AA45" s="7">
        <f>+[3]Resumen!AA45*1000</f>
        <v>0</v>
      </c>
      <c r="AB45" s="7">
        <f>+[3]Resumen!AB45*1000</f>
        <v>0</v>
      </c>
      <c r="AC45" s="7">
        <f>+[3]Resumen!AC45*1000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+[3]Resumen!F46*1000</f>
        <v>0</v>
      </c>
      <c r="G46" s="7">
        <f>+[3]Resumen!G46*1000</f>
        <v>0</v>
      </c>
      <c r="H46" s="7">
        <f>+[3]Resumen!H46*1000</f>
        <v>0</v>
      </c>
      <c r="I46" s="7">
        <f>+[3]Resumen!I46*1000</f>
        <v>0</v>
      </c>
      <c r="J46" s="7">
        <f>+[3]Resumen!J46*1000</f>
        <v>0</v>
      </c>
      <c r="K46" s="7">
        <f>+[3]Resumen!K46*1000</f>
        <v>0</v>
      </c>
      <c r="L46" s="7">
        <f>+[3]Resumen!L46*1000</f>
        <v>0</v>
      </c>
      <c r="M46" s="7">
        <f>+[3]Resumen!M46*1000</f>
        <v>56834.275424674706</v>
      </c>
      <c r="N46" s="7">
        <f>+[3]Resumen!N46*1000</f>
        <v>87732.840968465316</v>
      </c>
      <c r="O46" s="7">
        <f>+[3]Resumen!O46*1000</f>
        <v>109990.59502937214</v>
      </c>
      <c r="P46" s="7">
        <f>+[3]Resumen!P46*1000</f>
        <v>133442.88189271145</v>
      </c>
      <c r="Q46" s="7">
        <f>+[3]Resumen!Q46*1000</f>
        <v>164626.71735713168</v>
      </c>
      <c r="R46" s="7">
        <f>+[3]Resumen!R46*1000</f>
        <v>185280.22268488084</v>
      </c>
      <c r="S46" s="7">
        <f>+[3]Resumen!S46*1000</f>
        <v>186427.52020106942</v>
      </c>
      <c r="T46" s="7">
        <f>+[3]Resumen!T46*1000</f>
        <v>173809.83828702461</v>
      </c>
      <c r="U46" s="7">
        <f>+[3]Resumen!U46*1000</f>
        <v>171156.5385742918</v>
      </c>
      <c r="V46" s="7">
        <f>+[3]Resumen!V46*1000</f>
        <v>169591.07387644134</v>
      </c>
      <c r="W46" s="7">
        <f>+[3]Resumen!W46*1000</f>
        <v>0</v>
      </c>
      <c r="X46" s="7">
        <f>+[3]Resumen!X46*1000</f>
        <v>0</v>
      </c>
      <c r="Y46" s="7">
        <f>+[3]Resumen!Y46*1000</f>
        <v>0</v>
      </c>
      <c r="Z46" s="7">
        <f>+[3]Resumen!Z46*1000</f>
        <v>0</v>
      </c>
      <c r="AA46" s="7">
        <f>+[3]Resumen!AA46*1000</f>
        <v>0</v>
      </c>
      <c r="AB46" s="7">
        <f>+[3]Resumen!AB46*1000</f>
        <v>0</v>
      </c>
      <c r="AC46" s="7">
        <f>+[3]Resumen!AC46*1000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+[3]Resumen!F47*1000</f>
        <v>0</v>
      </c>
      <c r="G47" s="7">
        <f>+[3]Resumen!G47*1000</f>
        <v>0</v>
      </c>
      <c r="H47" s="7">
        <f>+[3]Resumen!H47*1000</f>
        <v>0</v>
      </c>
      <c r="I47" s="7">
        <f>+[3]Resumen!I47*1000</f>
        <v>0</v>
      </c>
      <c r="J47" s="7">
        <f>+[3]Resumen!J47*1000</f>
        <v>0</v>
      </c>
      <c r="K47" s="7">
        <f>+[3]Resumen!K47*1000</f>
        <v>0</v>
      </c>
      <c r="L47" s="7">
        <f>+[3]Resumen!L47*1000</f>
        <v>0</v>
      </c>
      <c r="M47" s="7">
        <f>+[3]Resumen!M47*1000</f>
        <v>181510.6371991788</v>
      </c>
      <c r="N47" s="7">
        <f>+[3]Resumen!N47*1000</f>
        <v>210475.21228456948</v>
      </c>
      <c r="O47" s="7">
        <f>+[3]Resumen!O47*1000</f>
        <v>229575.3371908254</v>
      </c>
      <c r="P47" s="7">
        <f>+[3]Resumen!P47*1000</f>
        <v>256129.22123643089</v>
      </c>
      <c r="Q47" s="7">
        <f>+[3]Resumen!Q47*1000</f>
        <v>280712.40339955286</v>
      </c>
      <c r="R47" s="7">
        <f>+[3]Resumen!R47*1000</f>
        <v>287020.77682789403</v>
      </c>
      <c r="S47" s="7">
        <f>+[3]Resumen!S47*1000</f>
        <v>279503.72562109848</v>
      </c>
      <c r="T47" s="7">
        <f>+[3]Resumen!T47*1000</f>
        <v>280643.27466831671</v>
      </c>
      <c r="U47" s="7">
        <f>+[3]Resumen!U47*1000</f>
        <v>280409.86171872815</v>
      </c>
      <c r="V47" s="7">
        <f>+[3]Resumen!V47*1000</f>
        <v>270928.79696968995</v>
      </c>
      <c r="W47" s="7">
        <f>+[3]Resumen!W47*1000</f>
        <v>0</v>
      </c>
      <c r="X47" s="7">
        <f>+[3]Resumen!X47*1000</f>
        <v>0</v>
      </c>
      <c r="Y47" s="7">
        <f>+[3]Resumen!Y47*1000</f>
        <v>0</v>
      </c>
      <c r="Z47" s="7">
        <f>+[3]Resumen!Z47*1000</f>
        <v>0</v>
      </c>
      <c r="AA47" s="7">
        <f>+[3]Resumen!AA47*1000</f>
        <v>0</v>
      </c>
      <c r="AB47" s="7">
        <f>+[3]Resumen!AB47*1000</f>
        <v>0</v>
      </c>
      <c r="AC47" s="7">
        <f>+[3]Resumen!AC47*1000</f>
        <v>0</v>
      </c>
      <c r="AD47" s="60">
        <f t="shared" ref="AD47" si="8">SUM(F47:AC47)*E47+SUM(F48:AC48)*E48+SUM(F49:AC49)*E49+SUM(F50:AC50)*E50</f>
        <v>69088403.724848777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+[3]Resumen!F48*1000</f>
        <v>0</v>
      </c>
      <c r="G48" s="7">
        <f>+[3]Resumen!G48*1000</f>
        <v>0</v>
      </c>
      <c r="H48" s="7">
        <f>+[3]Resumen!H48*1000</f>
        <v>0</v>
      </c>
      <c r="I48" s="7">
        <f>+[3]Resumen!I48*1000</f>
        <v>0</v>
      </c>
      <c r="J48" s="7">
        <f>+[3]Resumen!J48*1000</f>
        <v>0</v>
      </c>
      <c r="K48" s="7">
        <f>+[3]Resumen!K48*1000</f>
        <v>0</v>
      </c>
      <c r="L48" s="7">
        <f>+[3]Resumen!L48*1000</f>
        <v>0</v>
      </c>
      <c r="M48" s="7">
        <f>+[3]Resumen!M48*1000</f>
        <v>143725.66005955136</v>
      </c>
      <c r="N48" s="7">
        <f>+[3]Resumen!N48*1000</f>
        <v>184483.58359110888</v>
      </c>
      <c r="O48" s="7">
        <f>+[3]Resumen!O48*1000</f>
        <v>210002.41273867656</v>
      </c>
      <c r="P48" s="7">
        <f>+[3]Resumen!P48*1000</f>
        <v>232601.17685940821</v>
      </c>
      <c r="Q48" s="7">
        <f>+[3]Resumen!Q48*1000</f>
        <v>248639.60234944866</v>
      </c>
      <c r="R48" s="7">
        <f>+[3]Resumen!R48*1000</f>
        <v>250701.49912576249</v>
      </c>
      <c r="S48" s="7">
        <f>+[3]Resumen!S48*1000</f>
        <v>239121.54625469606</v>
      </c>
      <c r="T48" s="7">
        <f>+[3]Resumen!T48*1000</f>
        <v>227422.02515684438</v>
      </c>
      <c r="U48" s="7">
        <f>+[3]Resumen!U48*1000</f>
        <v>221132.7221340703</v>
      </c>
      <c r="V48" s="7">
        <f>+[3]Resumen!V48*1000</f>
        <v>215916.04306564803</v>
      </c>
      <c r="W48" s="7">
        <f>+[3]Resumen!W48*1000</f>
        <v>0</v>
      </c>
      <c r="X48" s="7">
        <f>+[3]Resumen!X48*1000</f>
        <v>0</v>
      </c>
      <c r="Y48" s="7">
        <f>+[3]Resumen!Y48*1000</f>
        <v>0</v>
      </c>
      <c r="Z48" s="7">
        <f>+[3]Resumen!Z48*1000</f>
        <v>0</v>
      </c>
      <c r="AA48" s="7">
        <f>+[3]Resumen!AA48*1000</f>
        <v>0</v>
      </c>
      <c r="AB48" s="7">
        <f>+[3]Resumen!AB48*1000</f>
        <v>0</v>
      </c>
      <c r="AC48" s="7">
        <f>+[3]Resumen!AC48*1000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+[3]Resumen!F49*1000</f>
        <v>0</v>
      </c>
      <c r="G49" s="7">
        <f>+[3]Resumen!G49*1000</f>
        <v>0</v>
      </c>
      <c r="H49" s="7">
        <f>+[3]Resumen!H49*1000</f>
        <v>0</v>
      </c>
      <c r="I49" s="7">
        <f>+[3]Resumen!I49*1000</f>
        <v>0</v>
      </c>
      <c r="J49" s="7">
        <f>+[3]Resumen!J49*1000</f>
        <v>0</v>
      </c>
      <c r="K49" s="7">
        <f>+[3]Resumen!K49*1000</f>
        <v>0</v>
      </c>
      <c r="L49" s="7">
        <f>+[3]Resumen!L49*1000</f>
        <v>0</v>
      </c>
      <c r="M49" s="7">
        <f>+[3]Resumen!M49*1000</f>
        <v>70091.35790114275</v>
      </c>
      <c r="N49" s="7">
        <f>+[3]Resumen!N49*1000</f>
        <v>103102.5813288827</v>
      </c>
      <c r="O49" s="7">
        <f>+[3]Resumen!O49*1000</f>
        <v>130777.42047848954</v>
      </c>
      <c r="P49" s="7">
        <f>+[3]Resumen!P49*1000</f>
        <v>152248.46372984687</v>
      </c>
      <c r="Q49" s="7">
        <f>+[3]Resumen!Q49*1000</f>
        <v>174260.46446629465</v>
      </c>
      <c r="R49" s="7">
        <f>+[3]Resumen!R49*1000</f>
        <v>189633.77233855927</v>
      </c>
      <c r="S49" s="7">
        <f>+[3]Resumen!S49*1000</f>
        <v>192565.32010803546</v>
      </c>
      <c r="T49" s="7">
        <f>+[3]Resumen!T49*1000</f>
        <v>185125.44984619447</v>
      </c>
      <c r="U49" s="7">
        <f>+[3]Resumen!U49*1000</f>
        <v>177398.43359321999</v>
      </c>
      <c r="V49" s="7">
        <f>+[3]Resumen!V49*1000</f>
        <v>170487.54374414115</v>
      </c>
      <c r="W49" s="7">
        <f>+[3]Resumen!W49*1000</f>
        <v>0</v>
      </c>
      <c r="X49" s="7">
        <f>+[3]Resumen!X49*1000</f>
        <v>0</v>
      </c>
      <c r="Y49" s="7">
        <f>+[3]Resumen!Y49*1000</f>
        <v>0</v>
      </c>
      <c r="Z49" s="7">
        <f>+[3]Resumen!Z49*1000</f>
        <v>0</v>
      </c>
      <c r="AA49" s="7">
        <f>+[3]Resumen!AA49*1000</f>
        <v>0</v>
      </c>
      <c r="AB49" s="7">
        <f>+[3]Resumen!AB49*1000</f>
        <v>0</v>
      </c>
      <c r="AC49" s="7">
        <f>+[3]Resumen!AC49*1000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+[3]Resumen!F50*1000</f>
        <v>0</v>
      </c>
      <c r="G50" s="7">
        <f>+[3]Resumen!G50*1000</f>
        <v>0</v>
      </c>
      <c r="H50" s="7">
        <f>+[3]Resumen!H50*1000</f>
        <v>0</v>
      </c>
      <c r="I50" s="7">
        <f>+[3]Resumen!I50*1000</f>
        <v>0</v>
      </c>
      <c r="J50" s="7">
        <f>+[3]Resumen!J50*1000</f>
        <v>0</v>
      </c>
      <c r="K50" s="7">
        <f>+[3]Resumen!K50*1000</f>
        <v>0</v>
      </c>
      <c r="L50" s="7">
        <f>+[3]Resumen!L50*1000</f>
        <v>0</v>
      </c>
      <c r="M50" s="7">
        <f>+[3]Resumen!M50*1000</f>
        <v>62048.339905950146</v>
      </c>
      <c r="N50" s="7">
        <f>+[3]Resumen!N50*1000</f>
        <v>95332.44523321421</v>
      </c>
      <c r="O50" s="7">
        <f>+[3]Resumen!O50*1000</f>
        <v>120931.09969178027</v>
      </c>
      <c r="P50" s="7">
        <f>+[3]Resumen!P50*1000</f>
        <v>149588.29104771226</v>
      </c>
      <c r="Q50" s="7">
        <f>+[3]Resumen!Q50*1000</f>
        <v>177301.54497430476</v>
      </c>
      <c r="R50" s="7">
        <f>+[3]Resumen!R50*1000</f>
        <v>196312.22598586747</v>
      </c>
      <c r="S50" s="7">
        <f>+[3]Resumen!S50*1000</f>
        <v>197825.11306337226</v>
      </c>
      <c r="T50" s="7">
        <f>+[3]Resumen!T50*1000</f>
        <v>185971.59337815334</v>
      </c>
      <c r="U50" s="7">
        <f>+[3]Resumen!U50*1000</f>
        <v>177060.92553166926</v>
      </c>
      <c r="V50" s="7">
        <f>+[3]Resumen!V50*1000</f>
        <v>173863.65470948091</v>
      </c>
      <c r="W50" s="7">
        <f>+[3]Resumen!W50*1000</f>
        <v>0</v>
      </c>
      <c r="X50" s="7">
        <f>+[3]Resumen!X50*1000</f>
        <v>0</v>
      </c>
      <c r="Y50" s="7">
        <f>+[3]Resumen!Y50*1000</f>
        <v>0</v>
      </c>
      <c r="Z50" s="7">
        <f>+[3]Resumen!Z50*1000</f>
        <v>0</v>
      </c>
      <c r="AA50" s="7">
        <f>+[3]Resumen!AA50*1000</f>
        <v>0</v>
      </c>
      <c r="AB50" s="7">
        <f>+[3]Resumen!AB50*1000</f>
        <v>0</v>
      </c>
      <c r="AC50" s="7">
        <f>+[3]Resumen!AC50*1000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19</v>
      </c>
      <c r="F51" s="7">
        <f>+[3]Resumen!F51*1000</f>
        <v>0</v>
      </c>
      <c r="G51" s="7">
        <f>+[3]Resumen!G51*1000</f>
        <v>0</v>
      </c>
      <c r="H51" s="7">
        <f>+[3]Resumen!H51*1000</f>
        <v>0</v>
      </c>
      <c r="I51" s="7">
        <f>+[3]Resumen!I51*1000</f>
        <v>0</v>
      </c>
      <c r="J51" s="7">
        <f>+[3]Resumen!J51*1000</f>
        <v>0</v>
      </c>
      <c r="K51" s="7">
        <f>+[3]Resumen!K51*1000</f>
        <v>0</v>
      </c>
      <c r="L51" s="7">
        <f>+[3]Resumen!L51*1000</f>
        <v>0</v>
      </c>
      <c r="M51" s="7">
        <f>+[3]Resumen!M51*1000</f>
        <v>153288.45001320931</v>
      </c>
      <c r="N51" s="7">
        <f>+[3]Resumen!N51*1000</f>
        <v>188782.4115438656</v>
      </c>
      <c r="O51" s="7">
        <f>+[3]Resumen!O51*1000</f>
        <v>209756.00427848601</v>
      </c>
      <c r="P51" s="7">
        <f>+[3]Resumen!P51*1000</f>
        <v>234301.90326270397</v>
      </c>
      <c r="Q51" s="7">
        <f>+[3]Resumen!Q51*1000</f>
        <v>257792.08675022318</v>
      </c>
      <c r="R51" s="7">
        <f>+[3]Resumen!R51*1000</f>
        <v>267277.91612276336</v>
      </c>
      <c r="S51" s="7">
        <f>+[3]Resumen!S51*1000</f>
        <v>261554.17390968875</v>
      </c>
      <c r="T51" s="7">
        <f>+[3]Resumen!T51*1000</f>
        <v>262696.47452697949</v>
      </c>
      <c r="U51" s="7">
        <f>+[3]Resumen!U51*1000</f>
        <v>261800.60023721744</v>
      </c>
      <c r="V51" s="7">
        <f>+[3]Resumen!V51*1000</f>
        <v>251689.71777477468</v>
      </c>
      <c r="W51" s="7">
        <f>+[3]Resumen!W51*1000</f>
        <v>0</v>
      </c>
      <c r="X51" s="7">
        <f>+[3]Resumen!X51*1000</f>
        <v>0</v>
      </c>
      <c r="Y51" s="7">
        <f>+[3]Resumen!Y51*1000</f>
        <v>0</v>
      </c>
      <c r="Z51" s="7">
        <f>+[3]Resumen!Z51*1000</f>
        <v>0</v>
      </c>
      <c r="AA51" s="7">
        <f>+[3]Resumen!AA51*1000</f>
        <v>0</v>
      </c>
      <c r="AB51" s="7">
        <f>+[3]Resumen!AB51*1000</f>
        <v>0</v>
      </c>
      <c r="AC51" s="7">
        <f>+[3]Resumen!AC51*1000</f>
        <v>0</v>
      </c>
      <c r="AD51" s="60">
        <f t="shared" ref="AD51" si="9">SUM(F51:AC51)*E51+SUM(F52:AC52)*E52+SUM(F53:AC53)*E53+SUM(F54:AC54)*E54</f>
        <v>63760261.447299853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5</v>
      </c>
      <c r="F52" s="7">
        <f>+[3]Resumen!F52*1000</f>
        <v>0</v>
      </c>
      <c r="G52" s="7">
        <f>+[3]Resumen!G52*1000</f>
        <v>0</v>
      </c>
      <c r="H52" s="7">
        <f>+[3]Resumen!H52*1000</f>
        <v>0</v>
      </c>
      <c r="I52" s="7">
        <f>+[3]Resumen!I52*1000</f>
        <v>0</v>
      </c>
      <c r="J52" s="7">
        <f>+[3]Resumen!J52*1000</f>
        <v>0</v>
      </c>
      <c r="K52" s="7">
        <f>+[3]Resumen!K52*1000</f>
        <v>0</v>
      </c>
      <c r="L52" s="7">
        <f>+[3]Resumen!L52*1000</f>
        <v>0</v>
      </c>
      <c r="M52" s="7">
        <f>+[3]Resumen!M52*1000</f>
        <v>125115.74939808852</v>
      </c>
      <c r="N52" s="7">
        <f>+[3]Resumen!N52*1000</f>
        <v>165078.84439280484</v>
      </c>
      <c r="O52" s="7">
        <f>+[3]Resumen!O52*1000</f>
        <v>192161.52422201171</v>
      </c>
      <c r="P52" s="7">
        <f>+[3]Resumen!P52*1000</f>
        <v>212822.83757652499</v>
      </c>
      <c r="Q52" s="7">
        <f>+[3]Resumen!Q52*1000</f>
        <v>227406.9510792396</v>
      </c>
      <c r="R52" s="7">
        <f>+[3]Resumen!R52*1000</f>
        <v>230000.45476702106</v>
      </c>
      <c r="S52" s="7">
        <f>+[3]Resumen!S52*1000</f>
        <v>221602.62717118568</v>
      </c>
      <c r="T52" s="7">
        <f>+[3]Resumen!T52*1000</f>
        <v>211247.83172011151</v>
      </c>
      <c r="U52" s="7">
        <f>+[3]Resumen!U52*1000</f>
        <v>203203.44985144143</v>
      </c>
      <c r="V52" s="7">
        <f>+[3]Resumen!V52*1000</f>
        <v>195523.75822140154</v>
      </c>
      <c r="W52" s="7">
        <f>+[3]Resumen!W52*1000</f>
        <v>0</v>
      </c>
      <c r="X52" s="7">
        <f>+[3]Resumen!X52*1000</f>
        <v>0</v>
      </c>
      <c r="Y52" s="7">
        <f>+[3]Resumen!Y52*1000</f>
        <v>0</v>
      </c>
      <c r="Z52" s="7">
        <f>+[3]Resumen!Z52*1000</f>
        <v>0</v>
      </c>
      <c r="AA52" s="7">
        <f>+[3]Resumen!AA52*1000</f>
        <v>0</v>
      </c>
      <c r="AB52" s="7">
        <f>+[3]Resumen!AB52*1000</f>
        <v>0</v>
      </c>
      <c r="AC52" s="7">
        <f>+[3]Resumen!AC52*1000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+[3]Resumen!F53*1000</f>
        <v>0</v>
      </c>
      <c r="G53" s="7">
        <f>+[3]Resumen!G53*1000</f>
        <v>0</v>
      </c>
      <c r="H53" s="7">
        <f>+[3]Resumen!H53*1000</f>
        <v>0</v>
      </c>
      <c r="I53" s="7">
        <f>+[3]Resumen!I53*1000</f>
        <v>0</v>
      </c>
      <c r="J53" s="7">
        <f>+[3]Resumen!J53*1000</f>
        <v>0</v>
      </c>
      <c r="K53" s="7">
        <f>+[3]Resumen!K53*1000</f>
        <v>0</v>
      </c>
      <c r="L53" s="7">
        <f>+[3]Resumen!L53*1000</f>
        <v>0</v>
      </c>
      <c r="M53" s="7">
        <f>+[3]Resumen!M53*1000</f>
        <v>55425.72764608654</v>
      </c>
      <c r="N53" s="7">
        <f>+[3]Resumen!N53*1000</f>
        <v>87118.454679428061</v>
      </c>
      <c r="O53" s="7">
        <f>+[3]Resumen!O53*1000</f>
        <v>114637.40130382549</v>
      </c>
      <c r="P53" s="7">
        <f>+[3]Resumen!P53*1000</f>
        <v>137021.12605434851</v>
      </c>
      <c r="Q53" s="7">
        <f>+[3]Resumen!Q53*1000</f>
        <v>158412.87405907211</v>
      </c>
      <c r="R53" s="7">
        <f>+[3]Resumen!R53*1000</f>
        <v>172891.97525980044</v>
      </c>
      <c r="S53" s="7">
        <f>+[3]Resumen!S53*1000</f>
        <v>177271.57549247652</v>
      </c>
      <c r="T53" s="7">
        <f>+[3]Resumen!T53*1000</f>
        <v>171067.61283240447</v>
      </c>
      <c r="U53" s="7">
        <f>+[3]Resumen!U53*1000</f>
        <v>167407.25634048809</v>
      </c>
      <c r="V53" s="7">
        <f>+[3]Resumen!V53*1000</f>
        <v>162227.5924408978</v>
      </c>
      <c r="W53" s="7">
        <f>+[3]Resumen!W53*1000</f>
        <v>0</v>
      </c>
      <c r="X53" s="7">
        <f>+[3]Resumen!X53*1000</f>
        <v>0</v>
      </c>
      <c r="Y53" s="7">
        <f>+[3]Resumen!Y53*1000</f>
        <v>0</v>
      </c>
      <c r="Z53" s="7">
        <f>+[3]Resumen!Z53*1000</f>
        <v>0</v>
      </c>
      <c r="AA53" s="7">
        <f>+[3]Resumen!AA53*1000</f>
        <v>0</v>
      </c>
      <c r="AB53" s="7">
        <f>+[3]Resumen!AB53*1000</f>
        <v>0</v>
      </c>
      <c r="AC53" s="7">
        <f>+[3]Resumen!AC53*1000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+[3]Resumen!F54*1000</f>
        <v>0</v>
      </c>
      <c r="G54" s="7">
        <f>+[3]Resumen!G54*1000</f>
        <v>0</v>
      </c>
      <c r="H54" s="7">
        <f>+[3]Resumen!H54*1000</f>
        <v>0</v>
      </c>
      <c r="I54" s="7">
        <f>+[3]Resumen!I54*1000</f>
        <v>0</v>
      </c>
      <c r="J54" s="7">
        <f>+[3]Resumen!J54*1000</f>
        <v>0</v>
      </c>
      <c r="K54" s="7">
        <f>+[3]Resumen!K54*1000</f>
        <v>0</v>
      </c>
      <c r="L54" s="7">
        <f>+[3]Resumen!L54*1000</f>
        <v>0</v>
      </c>
      <c r="M54" s="7">
        <f>+[3]Resumen!M54*1000</f>
        <v>30878.536257743646</v>
      </c>
      <c r="N54" s="7">
        <f>+[3]Resumen!N54*1000</f>
        <v>54237.400765765524</v>
      </c>
      <c r="O54" s="7">
        <f>+[3]Resumen!O54*1000</f>
        <v>78730.376694433886</v>
      </c>
      <c r="P54" s="7">
        <f>+[3]Resumen!P54*1000</f>
        <v>101950.15588665003</v>
      </c>
      <c r="Q54" s="7">
        <f>+[3]Resumen!Q54*1000</f>
        <v>124140.57986169278</v>
      </c>
      <c r="R54" s="7">
        <f>+[3]Resumen!R54*1000</f>
        <v>142232.89160478418</v>
      </c>
      <c r="S54" s="7">
        <f>+[3]Resumen!S54*1000</f>
        <v>145615.11915554476</v>
      </c>
      <c r="T54" s="7">
        <f>+[3]Resumen!T54*1000</f>
        <v>140113.08678558169</v>
      </c>
      <c r="U54" s="7">
        <f>+[3]Resumen!U54*1000</f>
        <v>139820.23515780439</v>
      </c>
      <c r="V54" s="7">
        <f>+[3]Resumen!V54*1000</f>
        <v>138370.76521911254</v>
      </c>
      <c r="W54" s="7">
        <f>+[3]Resumen!W54*1000</f>
        <v>0</v>
      </c>
      <c r="X54" s="7">
        <f>+[3]Resumen!X54*1000</f>
        <v>0</v>
      </c>
      <c r="Y54" s="7">
        <f>+[3]Resumen!Y54*1000</f>
        <v>0</v>
      </c>
      <c r="Z54" s="7">
        <f>+[3]Resumen!Z54*1000</f>
        <v>0</v>
      </c>
      <c r="AA54" s="7">
        <f>+[3]Resumen!AA54*1000</f>
        <v>0</v>
      </c>
      <c r="AB54" s="7">
        <f>+[3]Resumen!AB54*1000</f>
        <v>0</v>
      </c>
      <c r="AC54" s="7">
        <f>+[3]Resumen!AC54*1000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7"/>
      <c r="AB55" s="55"/>
      <c r="AC55" s="56"/>
      <c r="AD55" s="17">
        <f>SUM(AD7:AD54)</f>
        <v>807067109.59261656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F7:AD5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1CF5-E50B-48A4-9B8E-84DE2A4E3E69}">
  <sheetPr codeName="Hoja3"/>
  <dimension ref="C1:BD57"/>
  <sheetViews>
    <sheetView showGridLines="0" topLeftCell="A43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2029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+[4]Resumen!F7*1000</f>
        <v>0</v>
      </c>
      <c r="G7" s="7">
        <f>+[4]Resumen!G7*1000</f>
        <v>0</v>
      </c>
      <c r="H7" s="7">
        <f>+[4]Resumen!H7*1000</f>
        <v>0</v>
      </c>
      <c r="I7" s="7">
        <f>+[4]Resumen!I7*1000</f>
        <v>0</v>
      </c>
      <c r="J7" s="7">
        <f>+[4]Resumen!J7*1000</f>
        <v>0</v>
      </c>
      <c r="K7" s="7">
        <f>+[4]Resumen!K7*1000</f>
        <v>0</v>
      </c>
      <c r="L7" s="7">
        <f>+[4]Resumen!L7*1000</f>
        <v>0</v>
      </c>
      <c r="M7" s="7">
        <f>+[4]Resumen!M7*1000</f>
        <v>114553.125552136</v>
      </c>
      <c r="N7" s="7">
        <f>+[4]Resumen!N7*1000</f>
        <v>130899.62455417492</v>
      </c>
      <c r="O7" s="7">
        <f>+[4]Resumen!O7*1000</f>
        <v>141206.22780202774</v>
      </c>
      <c r="P7" s="7">
        <f>+[4]Resumen!P7*1000</f>
        <v>155387.9987147215</v>
      </c>
      <c r="Q7" s="7">
        <f>+[4]Resumen!Q7*1000</f>
        <v>167665.60062243117</v>
      </c>
      <c r="R7" s="7">
        <f>+[4]Resumen!R7*1000</f>
        <v>171991.16519705552</v>
      </c>
      <c r="S7" s="7">
        <f>+[4]Resumen!S7*1000</f>
        <v>169782.61402327821</v>
      </c>
      <c r="T7" s="7">
        <f>+[4]Resumen!T7*1000</f>
        <v>171774.45938587474</v>
      </c>
      <c r="U7" s="7">
        <f>+[4]Resumen!U7*1000</f>
        <v>171550.19266552496</v>
      </c>
      <c r="V7" s="7">
        <f>+[4]Resumen!V7*1000</f>
        <v>165711.37318432811</v>
      </c>
      <c r="W7" s="7">
        <f>+[4]Resumen!W7*1000</f>
        <v>0</v>
      </c>
      <c r="X7" s="7">
        <f>+[4]Resumen!X7*1000</f>
        <v>0</v>
      </c>
      <c r="Y7" s="7">
        <f>+[4]Resumen!Y7*1000</f>
        <v>0</v>
      </c>
      <c r="Z7" s="7">
        <f>+[4]Resumen!Z7*1000</f>
        <v>0</v>
      </c>
      <c r="AA7" s="7">
        <f>+[4]Resumen!AA7*1000</f>
        <v>0</v>
      </c>
      <c r="AB7" s="7">
        <f>+[4]Resumen!AB7*1000</f>
        <v>0</v>
      </c>
      <c r="AC7" s="7">
        <f>+[4]Resumen!AC7*1000</f>
        <v>0</v>
      </c>
      <c r="AD7" s="60">
        <f>SUM(F7:AC7)*E7+SUM(F8:AC8)*E8+SUM(F9:AC9)*E9+SUM(F10:AC10)*E10</f>
        <v>44246122.736915201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+[4]Resumen!F8*1000</f>
        <v>0</v>
      </c>
      <c r="G8" s="7">
        <f>+[4]Resumen!G8*1000</f>
        <v>0</v>
      </c>
      <c r="H8" s="7">
        <f>+[4]Resumen!H8*1000</f>
        <v>0</v>
      </c>
      <c r="I8" s="7">
        <f>+[4]Resumen!I8*1000</f>
        <v>0</v>
      </c>
      <c r="J8" s="7">
        <f>+[4]Resumen!J8*1000</f>
        <v>0</v>
      </c>
      <c r="K8" s="7">
        <f>+[4]Resumen!K8*1000</f>
        <v>0</v>
      </c>
      <c r="L8" s="7">
        <f>+[4]Resumen!L8*1000</f>
        <v>0</v>
      </c>
      <c r="M8" s="7">
        <f>+[4]Resumen!M8*1000</f>
        <v>95389.725447911027</v>
      </c>
      <c r="N8" s="7">
        <f>+[4]Resumen!N8*1000</f>
        <v>114369.63285266605</v>
      </c>
      <c r="O8" s="7">
        <f>+[4]Resumen!O8*1000</f>
        <v>128479.0111475522</v>
      </c>
      <c r="P8" s="7">
        <f>+[4]Resumen!P8*1000</f>
        <v>140369.04716345141</v>
      </c>
      <c r="Q8" s="7">
        <f>+[4]Resumen!Q8*1000</f>
        <v>150503.57180302622</v>
      </c>
      <c r="R8" s="7">
        <f>+[4]Resumen!R8*1000</f>
        <v>152639.23361686897</v>
      </c>
      <c r="S8" s="7">
        <f>+[4]Resumen!S8*1000</f>
        <v>148367.05372651163</v>
      </c>
      <c r="T8" s="7">
        <f>+[4]Resumen!T8*1000</f>
        <v>142937.93672273585</v>
      </c>
      <c r="U8" s="7">
        <f>+[4]Resumen!U8*1000</f>
        <v>140129.51316988669</v>
      </c>
      <c r="V8" s="7">
        <f>+[4]Resumen!V8*1000</f>
        <v>137408.94985156981</v>
      </c>
      <c r="W8" s="7">
        <f>+[4]Resumen!W8*1000</f>
        <v>0</v>
      </c>
      <c r="X8" s="7">
        <f>+[4]Resumen!X8*1000</f>
        <v>0</v>
      </c>
      <c r="Y8" s="7">
        <f>+[4]Resumen!Y8*1000</f>
        <v>0</v>
      </c>
      <c r="Z8" s="7">
        <f>+[4]Resumen!Z8*1000</f>
        <v>0</v>
      </c>
      <c r="AA8" s="7">
        <f>+[4]Resumen!AA8*1000</f>
        <v>0</v>
      </c>
      <c r="AB8" s="7">
        <f>+[4]Resumen!AB8*1000</f>
        <v>0</v>
      </c>
      <c r="AC8" s="7">
        <f>+[4]Resumen!AC8*1000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+[4]Resumen!F9*1000</f>
        <v>0</v>
      </c>
      <c r="G9" s="7">
        <f>+[4]Resumen!G9*1000</f>
        <v>0</v>
      </c>
      <c r="H9" s="7">
        <f>+[4]Resumen!H9*1000</f>
        <v>0</v>
      </c>
      <c r="I9" s="7">
        <f>+[4]Resumen!I9*1000</f>
        <v>0</v>
      </c>
      <c r="J9" s="7">
        <f>+[4]Resumen!J9*1000</f>
        <v>0</v>
      </c>
      <c r="K9" s="7">
        <f>+[4]Resumen!K9*1000</f>
        <v>0</v>
      </c>
      <c r="L9" s="7">
        <f>+[4]Resumen!L9*1000</f>
        <v>0</v>
      </c>
      <c r="M9" s="7">
        <f>+[4]Resumen!M9*1000</f>
        <v>65448.184829124773</v>
      </c>
      <c r="N9" s="7">
        <f>+[4]Resumen!N9*1000</f>
        <v>80187.226308538156</v>
      </c>
      <c r="O9" s="7">
        <f>+[4]Resumen!O9*1000</f>
        <v>93819.35617447237</v>
      </c>
      <c r="P9" s="7">
        <f>+[4]Resumen!P9*1000</f>
        <v>104592.17523608313</v>
      </c>
      <c r="Q9" s="7">
        <f>+[4]Resumen!Q9*1000</f>
        <v>117145.91911100739</v>
      </c>
      <c r="R9" s="7">
        <f>+[4]Resumen!R9*1000</f>
        <v>125381.28333334161</v>
      </c>
      <c r="S9" s="7">
        <f>+[4]Resumen!S9*1000</f>
        <v>127494.30907501526</v>
      </c>
      <c r="T9" s="7">
        <f>+[4]Resumen!T9*1000</f>
        <v>124036.91800548104</v>
      </c>
      <c r="U9" s="7">
        <f>+[4]Resumen!U9*1000</f>
        <v>120759.84432800897</v>
      </c>
      <c r="V9" s="7">
        <f>+[4]Resumen!V9*1000</f>
        <v>117769.6625564865</v>
      </c>
      <c r="W9" s="7">
        <f>+[4]Resumen!W9*1000</f>
        <v>0</v>
      </c>
      <c r="X9" s="7">
        <f>+[4]Resumen!X9*1000</f>
        <v>0</v>
      </c>
      <c r="Y9" s="7">
        <f>+[4]Resumen!Y9*1000</f>
        <v>0</v>
      </c>
      <c r="Z9" s="7">
        <f>+[4]Resumen!Z9*1000</f>
        <v>0</v>
      </c>
      <c r="AA9" s="7">
        <f>+[4]Resumen!AA9*1000</f>
        <v>0</v>
      </c>
      <c r="AB9" s="7">
        <f>+[4]Resumen!AB9*1000</f>
        <v>0</v>
      </c>
      <c r="AC9" s="7">
        <f>+[4]Resumen!AC9*1000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+[4]Resumen!F10*1000</f>
        <v>0</v>
      </c>
      <c r="G10" s="7">
        <f>+[4]Resumen!G10*1000</f>
        <v>0</v>
      </c>
      <c r="H10" s="7">
        <f>+[4]Resumen!H10*1000</f>
        <v>0</v>
      </c>
      <c r="I10" s="7">
        <f>+[4]Resumen!I10*1000</f>
        <v>0</v>
      </c>
      <c r="J10" s="7">
        <f>+[4]Resumen!J10*1000</f>
        <v>0</v>
      </c>
      <c r="K10" s="7">
        <f>+[4]Resumen!K10*1000</f>
        <v>0</v>
      </c>
      <c r="L10" s="7">
        <f>+[4]Resumen!L10*1000</f>
        <v>0</v>
      </c>
      <c r="M10" s="7">
        <f>+[4]Resumen!M10*1000</f>
        <v>49729.781941146459</v>
      </c>
      <c r="N10" s="7">
        <f>+[4]Resumen!N10*1000</f>
        <v>60284.234810434042</v>
      </c>
      <c r="O10" s="7">
        <f>+[4]Resumen!O10*1000</f>
        <v>71413.808029829699</v>
      </c>
      <c r="P10" s="7">
        <f>+[4]Resumen!P10*1000</f>
        <v>83552.901217085455</v>
      </c>
      <c r="Q10" s="7">
        <f>+[4]Resumen!Q10*1000</f>
        <v>96664.464545057359</v>
      </c>
      <c r="R10" s="7">
        <f>+[4]Resumen!R10*1000</f>
        <v>106290.06727011959</v>
      </c>
      <c r="S10" s="7">
        <f>+[4]Resumen!S10*1000</f>
        <v>108074.80135454984</v>
      </c>
      <c r="T10" s="7">
        <f>+[4]Resumen!T10*1000</f>
        <v>105299.76106817319</v>
      </c>
      <c r="U10" s="7">
        <f>+[4]Resumen!U10*1000</f>
        <v>101971.6848730979</v>
      </c>
      <c r="V10" s="7">
        <f>+[4]Resumen!V10*1000</f>
        <v>99837.746562325206</v>
      </c>
      <c r="W10" s="7">
        <f>+[4]Resumen!W10*1000</f>
        <v>0</v>
      </c>
      <c r="X10" s="7">
        <f>+[4]Resumen!X10*1000</f>
        <v>0</v>
      </c>
      <c r="Y10" s="7">
        <f>+[4]Resumen!Y10*1000</f>
        <v>0</v>
      </c>
      <c r="Z10" s="7">
        <f>+[4]Resumen!Z10*1000</f>
        <v>0</v>
      </c>
      <c r="AA10" s="7">
        <f>+[4]Resumen!AA10*1000</f>
        <v>0</v>
      </c>
      <c r="AB10" s="7">
        <f>+[4]Resumen!AB10*1000</f>
        <v>0</v>
      </c>
      <c r="AC10" s="7">
        <f>+[4]Resumen!AC10*1000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+[4]Resumen!F11*1000</f>
        <v>0</v>
      </c>
      <c r="G11" s="7">
        <f>+[4]Resumen!G11*1000</f>
        <v>0</v>
      </c>
      <c r="H11" s="7">
        <f>+[4]Resumen!H11*1000</f>
        <v>0</v>
      </c>
      <c r="I11" s="7">
        <f>+[4]Resumen!I11*1000</f>
        <v>0</v>
      </c>
      <c r="J11" s="7">
        <f>+[4]Resumen!J11*1000</f>
        <v>0</v>
      </c>
      <c r="K11" s="7">
        <f>+[4]Resumen!K11*1000</f>
        <v>0</v>
      </c>
      <c r="L11" s="7">
        <f>+[4]Resumen!L11*1000</f>
        <v>0</v>
      </c>
      <c r="M11" s="7">
        <f>+[4]Resumen!M11*1000</f>
        <v>143361.84163389544</v>
      </c>
      <c r="N11" s="7">
        <f>+[4]Resumen!N11*1000</f>
        <v>157607.09673929249</v>
      </c>
      <c r="O11" s="7">
        <f>+[4]Resumen!O11*1000</f>
        <v>166487.71251787076</v>
      </c>
      <c r="P11" s="7">
        <f>+[4]Resumen!P11*1000</f>
        <v>181121.11807901764</v>
      </c>
      <c r="Q11" s="7">
        <f>+[4]Resumen!Q11*1000</f>
        <v>193109.22361515107</v>
      </c>
      <c r="R11" s="7">
        <f>+[4]Resumen!R11*1000</f>
        <v>193785.00422896177</v>
      </c>
      <c r="S11" s="7">
        <f>+[4]Resumen!S11*1000</f>
        <v>190431.87411744232</v>
      </c>
      <c r="T11" s="7">
        <f>+[4]Resumen!T11*1000</f>
        <v>192656.19753985634</v>
      </c>
      <c r="U11" s="7">
        <f>+[4]Resumen!U11*1000</f>
        <v>193100.72136592944</v>
      </c>
      <c r="V11" s="7">
        <f>+[4]Resumen!V11*1000</f>
        <v>187547.2596533953</v>
      </c>
      <c r="W11" s="7">
        <f>+[4]Resumen!W11*1000</f>
        <v>0</v>
      </c>
      <c r="X11" s="7">
        <f>+[4]Resumen!X11*1000</f>
        <v>0</v>
      </c>
      <c r="Y11" s="7">
        <f>+[4]Resumen!Y11*1000</f>
        <v>0</v>
      </c>
      <c r="Z11" s="7">
        <f>+[4]Resumen!Z11*1000</f>
        <v>0</v>
      </c>
      <c r="AA11" s="7">
        <f>+[4]Resumen!AA11*1000</f>
        <v>0</v>
      </c>
      <c r="AB11" s="7">
        <f>+[4]Resumen!AB11*1000</f>
        <v>0</v>
      </c>
      <c r="AC11" s="7">
        <f>+[4]Resumen!AC11*1000</f>
        <v>0</v>
      </c>
      <c r="AD11" s="60">
        <f t="shared" ref="AD11" si="0">SUM(F11:AC11)*E11+SUM(F12:AC12)*E12+SUM(F13:AC13)*E13+SUM(F14:AC14)*E14</f>
        <v>47892330.223026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+[4]Resumen!F12*1000</f>
        <v>0</v>
      </c>
      <c r="G12" s="7">
        <f>+[4]Resumen!G12*1000</f>
        <v>0</v>
      </c>
      <c r="H12" s="7">
        <f>+[4]Resumen!H12*1000</f>
        <v>0</v>
      </c>
      <c r="I12" s="7">
        <f>+[4]Resumen!I12*1000</f>
        <v>0</v>
      </c>
      <c r="J12" s="7">
        <f>+[4]Resumen!J12*1000</f>
        <v>0</v>
      </c>
      <c r="K12" s="7">
        <f>+[4]Resumen!K12*1000</f>
        <v>0</v>
      </c>
      <c r="L12" s="7">
        <f>+[4]Resumen!L12*1000</f>
        <v>0</v>
      </c>
      <c r="M12" s="7">
        <f>+[4]Resumen!M12*1000</f>
        <v>125510.52959700952</v>
      </c>
      <c r="N12" s="7">
        <f>+[4]Resumen!N12*1000</f>
        <v>147880.05982080501</v>
      </c>
      <c r="O12" s="7">
        <f>+[4]Resumen!O12*1000</f>
        <v>161928.12751284704</v>
      </c>
      <c r="P12" s="7">
        <f>+[4]Resumen!P12*1000</f>
        <v>174938.37465795429</v>
      </c>
      <c r="Q12" s="7">
        <f>+[4]Resumen!Q12*1000</f>
        <v>182659.19911420823</v>
      </c>
      <c r="R12" s="7">
        <f>+[4]Resumen!R12*1000</f>
        <v>182740.36019110665</v>
      </c>
      <c r="S12" s="7">
        <f>+[4]Resumen!S12*1000</f>
        <v>175982.0079111032</v>
      </c>
      <c r="T12" s="7">
        <f>+[4]Resumen!T12*1000</f>
        <v>169463.36526828952</v>
      </c>
      <c r="U12" s="7">
        <f>+[4]Resumen!U12*1000</f>
        <v>167114.55717110343</v>
      </c>
      <c r="V12" s="7">
        <f>+[4]Resumen!V12*1000</f>
        <v>164208.26718596139</v>
      </c>
      <c r="W12" s="7">
        <f>+[4]Resumen!W12*1000</f>
        <v>0</v>
      </c>
      <c r="X12" s="7">
        <f>+[4]Resumen!X12*1000</f>
        <v>0</v>
      </c>
      <c r="Y12" s="7">
        <f>+[4]Resumen!Y12*1000</f>
        <v>0</v>
      </c>
      <c r="Z12" s="7">
        <f>+[4]Resumen!Z12*1000</f>
        <v>0</v>
      </c>
      <c r="AA12" s="7">
        <f>+[4]Resumen!AA12*1000</f>
        <v>0</v>
      </c>
      <c r="AB12" s="7">
        <f>+[4]Resumen!AB12*1000</f>
        <v>0</v>
      </c>
      <c r="AC12" s="7">
        <f>+[4]Resumen!AC12*1000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+[4]Resumen!F13*1000</f>
        <v>0</v>
      </c>
      <c r="G13" s="7">
        <f>+[4]Resumen!G13*1000</f>
        <v>0</v>
      </c>
      <c r="H13" s="7">
        <f>+[4]Resumen!H13*1000</f>
        <v>0</v>
      </c>
      <c r="I13" s="7">
        <f>+[4]Resumen!I13*1000</f>
        <v>0</v>
      </c>
      <c r="J13" s="7">
        <f>+[4]Resumen!J13*1000</f>
        <v>0</v>
      </c>
      <c r="K13" s="7">
        <f>+[4]Resumen!K13*1000</f>
        <v>0</v>
      </c>
      <c r="L13" s="7">
        <f>+[4]Resumen!L13*1000</f>
        <v>0</v>
      </c>
      <c r="M13" s="7">
        <f>+[4]Resumen!M13*1000</f>
        <v>86402.279923302718</v>
      </c>
      <c r="N13" s="7">
        <f>+[4]Resumen!N13*1000</f>
        <v>103551.92861157829</v>
      </c>
      <c r="O13" s="7">
        <f>+[4]Resumen!O13*1000</f>
        <v>118116.10314016718</v>
      </c>
      <c r="P13" s="7">
        <f>+[4]Resumen!P13*1000</f>
        <v>130506.10599013665</v>
      </c>
      <c r="Q13" s="7">
        <f>+[4]Resumen!Q13*1000</f>
        <v>144083.97295367901</v>
      </c>
      <c r="R13" s="7">
        <f>+[4]Resumen!R13*1000</f>
        <v>152310.50833942639</v>
      </c>
      <c r="S13" s="7">
        <f>+[4]Resumen!S13*1000</f>
        <v>153127.25394000913</v>
      </c>
      <c r="T13" s="7">
        <f>+[4]Resumen!T13*1000</f>
        <v>149101.10136847736</v>
      </c>
      <c r="U13" s="7">
        <f>+[4]Resumen!U13*1000</f>
        <v>145553.94817328415</v>
      </c>
      <c r="V13" s="7">
        <f>+[4]Resumen!V13*1000</f>
        <v>141864.25743198898</v>
      </c>
      <c r="W13" s="7">
        <f>+[4]Resumen!W13*1000</f>
        <v>0</v>
      </c>
      <c r="X13" s="7">
        <f>+[4]Resumen!X13*1000</f>
        <v>0</v>
      </c>
      <c r="Y13" s="7">
        <f>+[4]Resumen!Y13*1000</f>
        <v>0</v>
      </c>
      <c r="Z13" s="7">
        <f>+[4]Resumen!Z13*1000</f>
        <v>0</v>
      </c>
      <c r="AA13" s="7">
        <f>+[4]Resumen!AA13*1000</f>
        <v>0</v>
      </c>
      <c r="AB13" s="7">
        <f>+[4]Resumen!AB13*1000</f>
        <v>0</v>
      </c>
      <c r="AC13" s="7">
        <f>+[4]Resumen!AC13*1000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+[4]Resumen!F14*1000</f>
        <v>0</v>
      </c>
      <c r="G14" s="7">
        <f>+[4]Resumen!G14*1000</f>
        <v>0</v>
      </c>
      <c r="H14" s="7">
        <f>+[4]Resumen!H14*1000</f>
        <v>0</v>
      </c>
      <c r="I14" s="7">
        <f>+[4]Resumen!I14*1000</f>
        <v>0</v>
      </c>
      <c r="J14" s="7">
        <f>+[4]Resumen!J14*1000</f>
        <v>0</v>
      </c>
      <c r="K14" s="7">
        <f>+[4]Resumen!K14*1000</f>
        <v>0</v>
      </c>
      <c r="L14" s="7">
        <f>+[4]Resumen!L14*1000</f>
        <v>0</v>
      </c>
      <c r="M14" s="7">
        <f>+[4]Resumen!M14*1000</f>
        <v>0</v>
      </c>
      <c r="N14" s="7">
        <f>+[4]Resumen!N14*1000</f>
        <v>0</v>
      </c>
      <c r="O14" s="7">
        <f>+[4]Resumen!O14*1000</f>
        <v>0</v>
      </c>
      <c r="P14" s="7">
        <f>+[4]Resumen!P14*1000</f>
        <v>0</v>
      </c>
      <c r="Q14" s="7">
        <f>+[4]Resumen!Q14*1000</f>
        <v>0</v>
      </c>
      <c r="R14" s="7">
        <f>+[4]Resumen!R14*1000</f>
        <v>0</v>
      </c>
      <c r="S14" s="7">
        <f>+[4]Resumen!S14*1000</f>
        <v>0</v>
      </c>
      <c r="T14" s="7">
        <f>+[4]Resumen!T14*1000</f>
        <v>0</v>
      </c>
      <c r="U14" s="7">
        <f>+[4]Resumen!U14*1000</f>
        <v>0</v>
      </c>
      <c r="V14" s="7">
        <f>+[4]Resumen!V14*1000</f>
        <v>0</v>
      </c>
      <c r="W14" s="7">
        <f>+[4]Resumen!W14*1000</f>
        <v>0</v>
      </c>
      <c r="X14" s="7">
        <f>+[4]Resumen!X14*1000</f>
        <v>0</v>
      </c>
      <c r="Y14" s="7">
        <f>+[4]Resumen!Y14*1000</f>
        <v>0</v>
      </c>
      <c r="Z14" s="7">
        <f>+[4]Resumen!Z14*1000</f>
        <v>0</v>
      </c>
      <c r="AA14" s="7">
        <f>+[4]Resumen!AA14*1000</f>
        <v>0</v>
      </c>
      <c r="AB14" s="7">
        <f>+[4]Resumen!AB14*1000</f>
        <v>0</v>
      </c>
      <c r="AC14" s="7">
        <f>+[4]Resumen!AC14*1000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19</v>
      </c>
      <c r="F15" s="7">
        <f>+[4]Resumen!F15*1000</f>
        <v>0</v>
      </c>
      <c r="G15" s="7">
        <f>+[4]Resumen!G15*1000</f>
        <v>0</v>
      </c>
      <c r="H15" s="7">
        <f>+[4]Resumen!H15*1000</f>
        <v>0</v>
      </c>
      <c r="I15" s="7">
        <f>+[4]Resumen!I15*1000</f>
        <v>0</v>
      </c>
      <c r="J15" s="7">
        <f>+[4]Resumen!J15*1000</f>
        <v>0</v>
      </c>
      <c r="K15" s="7">
        <f>+[4]Resumen!K15*1000</f>
        <v>0</v>
      </c>
      <c r="L15" s="7">
        <f>+[4]Resumen!L15*1000</f>
        <v>0</v>
      </c>
      <c r="M15" s="7">
        <f>+[4]Resumen!M15*1000</f>
        <v>120819.25578415801</v>
      </c>
      <c r="N15" s="7">
        <f>+[4]Resumen!N15*1000</f>
        <v>133692.05630385611</v>
      </c>
      <c r="O15" s="7">
        <f>+[4]Resumen!O15*1000</f>
        <v>141761.08326890387</v>
      </c>
      <c r="P15" s="7">
        <f>+[4]Resumen!P15*1000</f>
        <v>155137.73673787489</v>
      </c>
      <c r="Q15" s="7">
        <f>+[4]Resumen!Q15*1000</f>
        <v>166063.10503221129</v>
      </c>
      <c r="R15" s="7">
        <f>+[4]Resumen!R15*1000</f>
        <v>167285.13183084253</v>
      </c>
      <c r="S15" s="7">
        <f>+[4]Resumen!S15*1000</f>
        <v>164313.70001628654</v>
      </c>
      <c r="T15" s="7">
        <f>+[4]Resumen!T15*1000</f>
        <v>166269.32711452612</v>
      </c>
      <c r="U15" s="7">
        <f>+[4]Resumen!U15*1000</f>
        <v>165719.45279107714</v>
      </c>
      <c r="V15" s="7">
        <f>+[4]Resumen!V15*1000</f>
        <v>160765.82229114024</v>
      </c>
      <c r="W15" s="7">
        <f>+[4]Resumen!W15*1000</f>
        <v>0</v>
      </c>
      <c r="X15" s="7">
        <f>+[4]Resumen!X15*1000</f>
        <v>0</v>
      </c>
      <c r="Y15" s="7">
        <f>+[4]Resumen!Y15*1000</f>
        <v>0</v>
      </c>
      <c r="Z15" s="7">
        <f>+[4]Resumen!Z15*1000</f>
        <v>0</v>
      </c>
      <c r="AA15" s="7">
        <f>+[4]Resumen!AA15*1000</f>
        <v>0</v>
      </c>
      <c r="AB15" s="7">
        <f>+[4]Resumen!AB15*1000</f>
        <v>0</v>
      </c>
      <c r="AC15" s="7">
        <f>+[4]Resumen!AC15*1000</f>
        <v>0</v>
      </c>
      <c r="AD15" s="60">
        <f t="shared" ref="AD15" si="1">SUM(F15:AC15)*E15+SUM(F16:AC16)*E16+SUM(F17:AC17)*E17+SUM(F18:AC18)*E18</f>
        <v>44335232.379440635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+[4]Resumen!F16*1000</f>
        <v>0</v>
      </c>
      <c r="G16" s="7">
        <f>+[4]Resumen!G16*1000</f>
        <v>0</v>
      </c>
      <c r="H16" s="7">
        <f>+[4]Resumen!H16*1000</f>
        <v>0</v>
      </c>
      <c r="I16" s="7">
        <f>+[4]Resumen!I16*1000</f>
        <v>0</v>
      </c>
      <c r="J16" s="7">
        <f>+[4]Resumen!J16*1000</f>
        <v>0</v>
      </c>
      <c r="K16" s="7">
        <f>+[4]Resumen!K16*1000</f>
        <v>0</v>
      </c>
      <c r="L16" s="7">
        <f>+[4]Resumen!L16*1000</f>
        <v>0</v>
      </c>
      <c r="M16" s="7">
        <f>+[4]Resumen!M16*1000</f>
        <v>105205.96462800288</v>
      </c>
      <c r="N16" s="7">
        <f>+[4]Resumen!N16*1000</f>
        <v>124249.56754669748</v>
      </c>
      <c r="O16" s="7">
        <f>+[4]Resumen!O16*1000</f>
        <v>136589.33631992302</v>
      </c>
      <c r="P16" s="7">
        <f>+[4]Resumen!P16*1000</f>
        <v>148317.57436846884</v>
      </c>
      <c r="Q16" s="7">
        <f>+[4]Resumen!Q16*1000</f>
        <v>157199.26596425011</v>
      </c>
      <c r="R16" s="7">
        <f>+[4]Resumen!R16*1000</f>
        <v>157475.93760677124</v>
      </c>
      <c r="S16" s="7">
        <f>+[4]Resumen!S16*1000</f>
        <v>152562.38678650919</v>
      </c>
      <c r="T16" s="7">
        <f>+[4]Resumen!T16*1000</f>
        <v>147511.34268550007</v>
      </c>
      <c r="U16" s="7">
        <f>+[4]Resumen!U16*1000</f>
        <v>143964.32122302556</v>
      </c>
      <c r="V16" s="7">
        <f>+[4]Resumen!V16*1000</f>
        <v>140913.51770100067</v>
      </c>
      <c r="W16" s="7">
        <f>+[4]Resumen!W16*1000</f>
        <v>0</v>
      </c>
      <c r="X16" s="7">
        <f>+[4]Resumen!X16*1000</f>
        <v>0</v>
      </c>
      <c r="Y16" s="7">
        <f>+[4]Resumen!Y16*1000</f>
        <v>0</v>
      </c>
      <c r="Z16" s="7">
        <f>+[4]Resumen!Z16*1000</f>
        <v>0</v>
      </c>
      <c r="AA16" s="7">
        <f>+[4]Resumen!AA16*1000</f>
        <v>0</v>
      </c>
      <c r="AB16" s="7">
        <f>+[4]Resumen!AB16*1000</f>
        <v>0</v>
      </c>
      <c r="AC16" s="7">
        <f>+[4]Resumen!AC16*1000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+[4]Resumen!F17*1000</f>
        <v>0</v>
      </c>
      <c r="G17" s="7">
        <f>+[4]Resumen!G17*1000</f>
        <v>0</v>
      </c>
      <c r="H17" s="7">
        <f>+[4]Resumen!H17*1000</f>
        <v>0</v>
      </c>
      <c r="I17" s="7">
        <f>+[4]Resumen!I17*1000</f>
        <v>0</v>
      </c>
      <c r="J17" s="7">
        <f>+[4]Resumen!J17*1000</f>
        <v>0</v>
      </c>
      <c r="K17" s="7">
        <f>+[4]Resumen!K17*1000</f>
        <v>0</v>
      </c>
      <c r="L17" s="7">
        <f>+[4]Resumen!L17*1000</f>
        <v>0</v>
      </c>
      <c r="M17" s="7">
        <f>+[4]Resumen!M17*1000</f>
        <v>68265.810461263856</v>
      </c>
      <c r="N17" s="7">
        <f>+[4]Resumen!N17*1000</f>
        <v>84144.732411451216</v>
      </c>
      <c r="O17" s="7">
        <f>+[4]Resumen!O17*1000</f>
        <v>96131.097977924714</v>
      </c>
      <c r="P17" s="7">
        <f>+[4]Resumen!P17*1000</f>
        <v>106884.6236851042</v>
      </c>
      <c r="Q17" s="7">
        <f>+[4]Resumen!Q17*1000</f>
        <v>118384.39603289052</v>
      </c>
      <c r="R17" s="7">
        <f>+[4]Resumen!R17*1000</f>
        <v>125694.46140554192</v>
      </c>
      <c r="S17" s="7">
        <f>+[4]Resumen!S17*1000</f>
        <v>126372.38267603207</v>
      </c>
      <c r="T17" s="7">
        <f>+[4]Resumen!T17*1000</f>
        <v>123061.01732521452</v>
      </c>
      <c r="U17" s="7">
        <f>+[4]Resumen!U17*1000</f>
        <v>120884.53209072238</v>
      </c>
      <c r="V17" s="7">
        <f>+[4]Resumen!V17*1000</f>
        <v>118095.26741515409</v>
      </c>
      <c r="W17" s="7">
        <f>+[4]Resumen!W17*1000</f>
        <v>0</v>
      </c>
      <c r="X17" s="7">
        <f>+[4]Resumen!X17*1000</f>
        <v>0</v>
      </c>
      <c r="Y17" s="7">
        <f>+[4]Resumen!Y17*1000</f>
        <v>0</v>
      </c>
      <c r="Z17" s="7">
        <f>+[4]Resumen!Z17*1000</f>
        <v>0</v>
      </c>
      <c r="AA17" s="7">
        <f>+[4]Resumen!AA17*1000</f>
        <v>0</v>
      </c>
      <c r="AB17" s="7">
        <f>+[4]Resumen!AB17*1000</f>
        <v>0</v>
      </c>
      <c r="AC17" s="7">
        <f>+[4]Resumen!AC17*1000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+[4]Resumen!F18*1000</f>
        <v>0</v>
      </c>
      <c r="G18" s="7">
        <f>+[4]Resumen!G18*1000</f>
        <v>0</v>
      </c>
      <c r="H18" s="7">
        <f>+[4]Resumen!H18*1000</f>
        <v>0</v>
      </c>
      <c r="I18" s="7">
        <f>+[4]Resumen!I18*1000</f>
        <v>0</v>
      </c>
      <c r="J18" s="7">
        <f>+[4]Resumen!J18*1000</f>
        <v>0</v>
      </c>
      <c r="K18" s="7">
        <f>+[4]Resumen!K18*1000</f>
        <v>0</v>
      </c>
      <c r="L18" s="7">
        <f>+[4]Resumen!L18*1000</f>
        <v>0</v>
      </c>
      <c r="M18" s="7">
        <f>+[4]Resumen!M18*1000</f>
        <v>76411.755611894056</v>
      </c>
      <c r="N18" s="7">
        <f>+[4]Resumen!N18*1000</f>
        <v>91872.409713511021</v>
      </c>
      <c r="O18" s="7">
        <f>+[4]Resumen!O18*1000</f>
        <v>106129.51527473083</v>
      </c>
      <c r="P18" s="7">
        <f>+[4]Resumen!P18*1000</f>
        <v>119490.86853730724</v>
      </c>
      <c r="Q18" s="7">
        <f>+[4]Resumen!Q18*1000</f>
        <v>134513.50586027023</v>
      </c>
      <c r="R18" s="7">
        <f>+[4]Resumen!R18*1000</f>
        <v>141975.63744567861</v>
      </c>
      <c r="S18" s="7">
        <f>+[4]Resumen!S18*1000</f>
        <v>139562.03057303355</v>
      </c>
      <c r="T18" s="7">
        <f>+[4]Resumen!T18*1000</f>
        <v>134606.5173929914</v>
      </c>
      <c r="U18" s="7">
        <f>+[4]Resumen!U18*1000</f>
        <v>131610.96476874888</v>
      </c>
      <c r="V18" s="7">
        <f>+[4]Resumen!V18*1000</f>
        <v>130128.88386117844</v>
      </c>
      <c r="W18" s="7">
        <f>+[4]Resumen!W18*1000</f>
        <v>0</v>
      </c>
      <c r="X18" s="7">
        <f>+[4]Resumen!X18*1000</f>
        <v>0</v>
      </c>
      <c r="Y18" s="7">
        <f>+[4]Resumen!Y18*1000</f>
        <v>0</v>
      </c>
      <c r="Z18" s="7">
        <f>+[4]Resumen!Z18*1000</f>
        <v>0</v>
      </c>
      <c r="AA18" s="7">
        <f>+[4]Resumen!AA18*1000</f>
        <v>0</v>
      </c>
      <c r="AB18" s="7">
        <f>+[4]Resumen!AB18*1000</f>
        <v>0</v>
      </c>
      <c r="AC18" s="7">
        <f>+[4]Resumen!AC18*1000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21</v>
      </c>
      <c r="F19" s="7">
        <f>+[4]Resumen!F19*1000</f>
        <v>0</v>
      </c>
      <c r="G19" s="7">
        <f>+[4]Resumen!G19*1000</f>
        <v>0</v>
      </c>
      <c r="H19" s="7">
        <f>+[4]Resumen!H19*1000</f>
        <v>0</v>
      </c>
      <c r="I19" s="7">
        <f>+[4]Resumen!I19*1000</f>
        <v>0</v>
      </c>
      <c r="J19" s="7">
        <f>+[4]Resumen!J19*1000</f>
        <v>0</v>
      </c>
      <c r="K19" s="7">
        <f>+[4]Resumen!K19*1000</f>
        <v>0</v>
      </c>
      <c r="L19" s="7">
        <f>+[4]Resumen!L19*1000</f>
        <v>0</v>
      </c>
      <c r="M19" s="7">
        <f>+[4]Resumen!M19*1000</f>
        <v>124689.97198087849</v>
      </c>
      <c r="N19" s="7">
        <f>+[4]Resumen!N19*1000</f>
        <v>138613.32721032231</v>
      </c>
      <c r="O19" s="7">
        <f>+[4]Resumen!O19*1000</f>
        <v>147691.22096849981</v>
      </c>
      <c r="P19" s="7">
        <f>+[4]Resumen!P19*1000</f>
        <v>161483.85343005322</v>
      </c>
      <c r="Q19" s="7">
        <f>+[4]Resumen!Q19*1000</f>
        <v>173379.24108765103</v>
      </c>
      <c r="R19" s="7">
        <f>+[4]Resumen!R19*1000</f>
        <v>175751.11887720544</v>
      </c>
      <c r="S19" s="7">
        <f>+[4]Resumen!S19*1000</f>
        <v>172535.17467008918</v>
      </c>
      <c r="T19" s="7">
        <f>+[4]Resumen!T19*1000</f>
        <v>174254.89591339254</v>
      </c>
      <c r="U19" s="7">
        <f>+[4]Resumen!U19*1000</f>
        <v>174116.58479201674</v>
      </c>
      <c r="V19" s="7">
        <f>+[4]Resumen!V19*1000</f>
        <v>168531.43312733213</v>
      </c>
      <c r="W19" s="7">
        <f>+[4]Resumen!W19*1000</f>
        <v>0</v>
      </c>
      <c r="X19" s="7">
        <f>+[4]Resumen!X19*1000</f>
        <v>0</v>
      </c>
      <c r="Y19" s="7">
        <f>+[4]Resumen!Y19*1000</f>
        <v>0</v>
      </c>
      <c r="Z19" s="7">
        <f>+[4]Resumen!Z19*1000</f>
        <v>0</v>
      </c>
      <c r="AA19" s="7">
        <f>+[4]Resumen!AA19*1000</f>
        <v>0</v>
      </c>
      <c r="AB19" s="7">
        <f>+[4]Resumen!AB19*1000</f>
        <v>0</v>
      </c>
      <c r="AC19" s="7">
        <f>+[4]Resumen!AC19*1000</f>
        <v>0</v>
      </c>
      <c r="AD19" s="60">
        <f t="shared" ref="AD19" si="2">SUM(F19:AC19)*E19+SUM(F20:AC20)*E20+SUM(F21:AC21)*E21+SUM(F22:AC22)*E22</f>
        <v>45269631.393944383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+[4]Resumen!F20*1000</f>
        <v>0</v>
      </c>
      <c r="G20" s="7">
        <f>+[4]Resumen!G20*1000</f>
        <v>0</v>
      </c>
      <c r="H20" s="7">
        <f>+[4]Resumen!H20*1000</f>
        <v>0</v>
      </c>
      <c r="I20" s="7">
        <f>+[4]Resumen!I20*1000</f>
        <v>0</v>
      </c>
      <c r="J20" s="7">
        <f>+[4]Resumen!J20*1000</f>
        <v>0</v>
      </c>
      <c r="K20" s="7">
        <f>+[4]Resumen!K20*1000</f>
        <v>0</v>
      </c>
      <c r="L20" s="7">
        <f>+[4]Resumen!L20*1000</f>
        <v>0</v>
      </c>
      <c r="M20" s="7">
        <f>+[4]Resumen!M20*1000</f>
        <v>100767.27732559733</v>
      </c>
      <c r="N20" s="7">
        <f>+[4]Resumen!N20*1000</f>
        <v>119855.18360426115</v>
      </c>
      <c r="O20" s="7">
        <f>+[4]Resumen!O20*1000</f>
        <v>132858.94840183403</v>
      </c>
      <c r="P20" s="7">
        <f>+[4]Resumen!P20*1000</f>
        <v>144285.46363584598</v>
      </c>
      <c r="Q20" s="7">
        <f>+[4]Resumen!Q20*1000</f>
        <v>152845.43374373074</v>
      </c>
      <c r="R20" s="7">
        <f>+[4]Resumen!R20*1000</f>
        <v>154995.3473910816</v>
      </c>
      <c r="S20" s="7">
        <f>+[4]Resumen!S20*1000</f>
        <v>151730.82948836384</v>
      </c>
      <c r="T20" s="7">
        <f>+[4]Resumen!T20*1000</f>
        <v>147748.82933306118</v>
      </c>
      <c r="U20" s="7">
        <f>+[4]Resumen!U20*1000</f>
        <v>146783.11049418015</v>
      </c>
      <c r="V20" s="7">
        <f>+[4]Resumen!V20*1000</f>
        <v>145190.98336669721</v>
      </c>
      <c r="W20" s="7">
        <f>+[4]Resumen!W20*1000</f>
        <v>0</v>
      </c>
      <c r="X20" s="7">
        <f>+[4]Resumen!X20*1000</f>
        <v>0</v>
      </c>
      <c r="Y20" s="7">
        <f>+[4]Resumen!Y20*1000</f>
        <v>0</v>
      </c>
      <c r="Z20" s="7">
        <f>+[4]Resumen!Z20*1000</f>
        <v>0</v>
      </c>
      <c r="AA20" s="7">
        <f>+[4]Resumen!AA20*1000</f>
        <v>0</v>
      </c>
      <c r="AB20" s="7">
        <f>+[4]Resumen!AB20*1000</f>
        <v>0</v>
      </c>
      <c r="AC20" s="7">
        <f>+[4]Resumen!AC20*1000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+[4]Resumen!F21*1000</f>
        <v>0</v>
      </c>
      <c r="G21" s="7">
        <f>+[4]Resumen!G21*1000</f>
        <v>0</v>
      </c>
      <c r="H21" s="7">
        <f>+[4]Resumen!H21*1000</f>
        <v>0</v>
      </c>
      <c r="I21" s="7">
        <f>+[4]Resumen!I21*1000</f>
        <v>0</v>
      </c>
      <c r="J21" s="7">
        <f>+[4]Resumen!J21*1000</f>
        <v>0</v>
      </c>
      <c r="K21" s="7">
        <f>+[4]Resumen!K21*1000</f>
        <v>0</v>
      </c>
      <c r="L21" s="7">
        <f>+[4]Resumen!L21*1000</f>
        <v>0</v>
      </c>
      <c r="M21" s="7">
        <f>+[4]Resumen!M21*1000</f>
        <v>75307.149320992728</v>
      </c>
      <c r="N21" s="7">
        <f>+[4]Resumen!N21*1000</f>
        <v>91816.335486236552</v>
      </c>
      <c r="O21" s="7">
        <f>+[4]Resumen!O21*1000</f>
        <v>105644.7882695591</v>
      </c>
      <c r="P21" s="7">
        <f>+[4]Resumen!P21*1000</f>
        <v>115715.34844089361</v>
      </c>
      <c r="Q21" s="7">
        <f>+[4]Resumen!Q21*1000</f>
        <v>125451.31299550693</v>
      </c>
      <c r="R21" s="7">
        <f>+[4]Resumen!R21*1000</f>
        <v>132501.43129205314</v>
      </c>
      <c r="S21" s="7">
        <f>+[4]Resumen!S21*1000</f>
        <v>133917.67328457293</v>
      </c>
      <c r="T21" s="7">
        <f>+[4]Resumen!T21*1000</f>
        <v>132370.35174804946</v>
      </c>
      <c r="U21" s="7">
        <f>+[4]Resumen!U21*1000</f>
        <v>129987.22727763314</v>
      </c>
      <c r="V21" s="7">
        <f>+[4]Resumen!V21*1000</f>
        <v>127168.88260440431</v>
      </c>
      <c r="W21" s="7">
        <f>+[4]Resumen!W21*1000</f>
        <v>0</v>
      </c>
      <c r="X21" s="7">
        <f>+[4]Resumen!X21*1000</f>
        <v>0</v>
      </c>
      <c r="Y21" s="7">
        <f>+[4]Resumen!Y21*1000</f>
        <v>0</v>
      </c>
      <c r="Z21" s="7">
        <f>+[4]Resumen!Z21*1000</f>
        <v>0</v>
      </c>
      <c r="AA21" s="7">
        <f>+[4]Resumen!AA21*1000</f>
        <v>0</v>
      </c>
      <c r="AB21" s="7">
        <f>+[4]Resumen!AB21*1000</f>
        <v>0</v>
      </c>
      <c r="AC21" s="7">
        <f>+[4]Resumen!AC21*1000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+[4]Resumen!F22*1000</f>
        <v>0</v>
      </c>
      <c r="G22" s="7">
        <f>+[4]Resumen!G22*1000</f>
        <v>0</v>
      </c>
      <c r="H22" s="7">
        <f>+[4]Resumen!H22*1000</f>
        <v>0</v>
      </c>
      <c r="I22" s="7">
        <f>+[4]Resumen!I22*1000</f>
        <v>0</v>
      </c>
      <c r="J22" s="7">
        <f>+[4]Resumen!J22*1000</f>
        <v>0</v>
      </c>
      <c r="K22" s="7">
        <f>+[4]Resumen!K22*1000</f>
        <v>0</v>
      </c>
      <c r="L22" s="7">
        <f>+[4]Resumen!L22*1000</f>
        <v>0</v>
      </c>
      <c r="M22" s="7">
        <f>+[4]Resumen!M22*1000</f>
        <v>136024.58443255202</v>
      </c>
      <c r="N22" s="7">
        <f>+[4]Resumen!N22*1000</f>
        <v>152591.70280529076</v>
      </c>
      <c r="O22" s="7">
        <f>+[4]Resumen!O22*1000</f>
        <v>162265.60203835889</v>
      </c>
      <c r="P22" s="7">
        <f>+[4]Resumen!P22*1000</f>
        <v>167999.23843250988</v>
      </c>
      <c r="Q22" s="7">
        <f>+[4]Resumen!Q22*1000</f>
        <v>181212.69976285423</v>
      </c>
      <c r="R22" s="7">
        <f>+[4]Resumen!R22*1000</f>
        <v>192971.95537779856</v>
      </c>
      <c r="S22" s="7">
        <f>+[4]Resumen!S22*1000</f>
        <v>191974.80456334125</v>
      </c>
      <c r="T22" s="7">
        <f>+[4]Resumen!T22*1000</f>
        <v>187476.34353981013</v>
      </c>
      <c r="U22" s="7">
        <f>+[4]Resumen!U22*1000</f>
        <v>184628.58404826064</v>
      </c>
      <c r="V22" s="7">
        <f>+[4]Resumen!V22*1000</f>
        <v>184668.51278419528</v>
      </c>
      <c r="W22" s="7">
        <f>+[4]Resumen!W22*1000</f>
        <v>0</v>
      </c>
      <c r="X22" s="7">
        <f>+[4]Resumen!X22*1000</f>
        <v>0</v>
      </c>
      <c r="Y22" s="7">
        <f>+[4]Resumen!Y22*1000</f>
        <v>0</v>
      </c>
      <c r="Z22" s="7">
        <f>+[4]Resumen!Z22*1000</f>
        <v>0</v>
      </c>
      <c r="AA22" s="7">
        <f>+[4]Resumen!AA22*1000</f>
        <v>0</v>
      </c>
      <c r="AB22" s="7">
        <f>+[4]Resumen!AB22*1000</f>
        <v>0</v>
      </c>
      <c r="AC22" s="7">
        <f>+[4]Resumen!AC22*1000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+[4]Resumen!F23*1000</f>
        <v>0</v>
      </c>
      <c r="G23" s="7">
        <f>+[4]Resumen!G23*1000</f>
        <v>0</v>
      </c>
      <c r="H23" s="7">
        <f>+[4]Resumen!H23*1000</f>
        <v>0</v>
      </c>
      <c r="I23" s="7">
        <f>+[4]Resumen!I23*1000</f>
        <v>0</v>
      </c>
      <c r="J23" s="7">
        <f>+[4]Resumen!J23*1000</f>
        <v>0</v>
      </c>
      <c r="K23" s="7">
        <f>+[4]Resumen!K23*1000</f>
        <v>0</v>
      </c>
      <c r="L23" s="7">
        <f>+[4]Resumen!L23*1000</f>
        <v>0</v>
      </c>
      <c r="M23" s="7">
        <f>+[4]Resumen!M23*1000</f>
        <v>119458.11923454364</v>
      </c>
      <c r="N23" s="7">
        <f>+[4]Resumen!N23*1000</f>
        <v>132229.31815048648</v>
      </c>
      <c r="O23" s="7">
        <f>+[4]Resumen!O23*1000</f>
        <v>141123.65883169786</v>
      </c>
      <c r="P23" s="7">
        <f>+[4]Resumen!P23*1000</f>
        <v>154650.34763401205</v>
      </c>
      <c r="Q23" s="7">
        <f>+[4]Resumen!Q23*1000</f>
        <v>165830.87671567302</v>
      </c>
      <c r="R23" s="7">
        <f>+[4]Resumen!R23*1000</f>
        <v>166618.78657301114</v>
      </c>
      <c r="S23" s="7">
        <f>+[4]Resumen!S23*1000</f>
        <v>162822.50210680705</v>
      </c>
      <c r="T23" s="7">
        <f>+[4]Resumen!T23*1000</f>
        <v>164060.06513295398</v>
      </c>
      <c r="U23" s="7">
        <f>+[4]Resumen!U23*1000</f>
        <v>164390.06931554092</v>
      </c>
      <c r="V23" s="7">
        <f>+[4]Resumen!V23*1000</f>
        <v>159110.13138243652</v>
      </c>
      <c r="W23" s="7">
        <f>+[4]Resumen!W23*1000</f>
        <v>0</v>
      </c>
      <c r="X23" s="7">
        <f>+[4]Resumen!X23*1000</f>
        <v>0</v>
      </c>
      <c r="Y23" s="7">
        <f>+[4]Resumen!Y23*1000</f>
        <v>0</v>
      </c>
      <c r="Z23" s="7">
        <f>+[4]Resumen!Z23*1000</f>
        <v>0</v>
      </c>
      <c r="AA23" s="7">
        <f>+[4]Resumen!AA23*1000</f>
        <v>0</v>
      </c>
      <c r="AB23" s="7">
        <f>+[4]Resumen!AB23*1000</f>
        <v>0</v>
      </c>
      <c r="AC23" s="7">
        <f>+[4]Resumen!AC23*1000</f>
        <v>0</v>
      </c>
      <c r="AD23" s="60">
        <f t="shared" ref="AD23" si="3">SUM(F23:AC23)*E23+SUM(F24:AC24)*E24+SUM(F25:AC25)*E25+SUM(F26:AC26)*E26</f>
        <v>44159243.43635077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+[4]Resumen!F24*1000</f>
        <v>0</v>
      </c>
      <c r="G24" s="7">
        <f>+[4]Resumen!G24*1000</f>
        <v>0</v>
      </c>
      <c r="H24" s="7">
        <f>+[4]Resumen!H24*1000</f>
        <v>0</v>
      </c>
      <c r="I24" s="7">
        <f>+[4]Resumen!I24*1000</f>
        <v>0</v>
      </c>
      <c r="J24" s="7">
        <f>+[4]Resumen!J24*1000</f>
        <v>0</v>
      </c>
      <c r="K24" s="7">
        <f>+[4]Resumen!K24*1000</f>
        <v>0</v>
      </c>
      <c r="L24" s="7">
        <f>+[4]Resumen!L24*1000</f>
        <v>0</v>
      </c>
      <c r="M24" s="7">
        <f>+[4]Resumen!M24*1000</f>
        <v>99842.730450183968</v>
      </c>
      <c r="N24" s="7">
        <f>+[4]Resumen!N24*1000</f>
        <v>119640.36870648053</v>
      </c>
      <c r="O24" s="7">
        <f>+[4]Resumen!O24*1000</f>
        <v>132716.60296594698</v>
      </c>
      <c r="P24" s="7">
        <f>+[4]Resumen!P24*1000</f>
        <v>144391.82408406556</v>
      </c>
      <c r="Q24" s="7">
        <f>+[4]Resumen!Q24*1000</f>
        <v>152351.86417981397</v>
      </c>
      <c r="R24" s="7">
        <f>+[4]Resumen!R24*1000</f>
        <v>152308.38963820011</v>
      </c>
      <c r="S24" s="7">
        <f>+[4]Resumen!S24*1000</f>
        <v>146814.21588239117</v>
      </c>
      <c r="T24" s="7">
        <f>+[4]Resumen!T24*1000</f>
        <v>141195.15127592749</v>
      </c>
      <c r="U24" s="7">
        <f>+[4]Resumen!U24*1000</f>
        <v>138939.53858838242</v>
      </c>
      <c r="V24" s="7">
        <f>+[4]Resumen!V24*1000</f>
        <v>136435.95826884202</v>
      </c>
      <c r="W24" s="7">
        <f>+[4]Resumen!W24*1000</f>
        <v>0</v>
      </c>
      <c r="X24" s="7">
        <f>+[4]Resumen!X24*1000</f>
        <v>0</v>
      </c>
      <c r="Y24" s="7">
        <f>+[4]Resumen!Y24*1000</f>
        <v>0</v>
      </c>
      <c r="Z24" s="7">
        <f>+[4]Resumen!Z24*1000</f>
        <v>0</v>
      </c>
      <c r="AA24" s="7">
        <f>+[4]Resumen!AA24*1000</f>
        <v>0</v>
      </c>
      <c r="AB24" s="7">
        <f>+[4]Resumen!AB24*1000</f>
        <v>0</v>
      </c>
      <c r="AC24" s="7">
        <f>+[4]Resumen!AC24*1000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+[4]Resumen!F25*1000</f>
        <v>0</v>
      </c>
      <c r="G25" s="7">
        <f>+[4]Resumen!G25*1000</f>
        <v>0</v>
      </c>
      <c r="H25" s="7">
        <f>+[4]Resumen!H25*1000</f>
        <v>0</v>
      </c>
      <c r="I25" s="7">
        <f>+[4]Resumen!I25*1000</f>
        <v>0</v>
      </c>
      <c r="J25" s="7">
        <f>+[4]Resumen!J25*1000</f>
        <v>0</v>
      </c>
      <c r="K25" s="7">
        <f>+[4]Resumen!K25*1000</f>
        <v>0</v>
      </c>
      <c r="L25" s="7">
        <f>+[4]Resumen!L25*1000</f>
        <v>0</v>
      </c>
      <c r="M25" s="7">
        <f>+[4]Resumen!M25*1000</f>
        <v>64231.268162207758</v>
      </c>
      <c r="N25" s="7">
        <f>+[4]Resumen!N25*1000</f>
        <v>80777.759386738078</v>
      </c>
      <c r="O25" s="7">
        <f>+[4]Resumen!O25*1000</f>
        <v>94876.566130945866</v>
      </c>
      <c r="P25" s="7">
        <f>+[4]Resumen!P25*1000</f>
        <v>106015.8601272114</v>
      </c>
      <c r="Q25" s="7">
        <f>+[4]Resumen!Q25*1000</f>
        <v>117540.02223898502</v>
      </c>
      <c r="R25" s="7">
        <f>+[4]Resumen!R25*1000</f>
        <v>123160.32458411851</v>
      </c>
      <c r="S25" s="7">
        <f>+[4]Resumen!S25*1000</f>
        <v>122613.00258209498</v>
      </c>
      <c r="T25" s="7">
        <f>+[4]Resumen!T25*1000</f>
        <v>117327.09002130966</v>
      </c>
      <c r="U25" s="7">
        <f>+[4]Resumen!U25*1000</f>
        <v>116210.82264036871</v>
      </c>
      <c r="V25" s="7">
        <f>+[4]Resumen!V25*1000</f>
        <v>113685.26216782122</v>
      </c>
      <c r="W25" s="7">
        <f>+[4]Resumen!W25*1000</f>
        <v>0</v>
      </c>
      <c r="X25" s="7">
        <f>+[4]Resumen!X25*1000</f>
        <v>0</v>
      </c>
      <c r="Y25" s="7">
        <f>+[4]Resumen!Y25*1000</f>
        <v>0</v>
      </c>
      <c r="Z25" s="7">
        <f>+[4]Resumen!Z25*1000</f>
        <v>0</v>
      </c>
      <c r="AA25" s="7">
        <f>+[4]Resumen!AA25*1000</f>
        <v>0</v>
      </c>
      <c r="AB25" s="7">
        <f>+[4]Resumen!AB25*1000</f>
        <v>0</v>
      </c>
      <c r="AC25" s="7">
        <f>+[4]Resumen!AC25*1000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+[4]Resumen!F26*1000</f>
        <v>0</v>
      </c>
      <c r="G26" s="7">
        <f>+[4]Resumen!G26*1000</f>
        <v>0</v>
      </c>
      <c r="H26" s="7">
        <f>+[4]Resumen!H26*1000</f>
        <v>0</v>
      </c>
      <c r="I26" s="7">
        <f>+[4]Resumen!I26*1000</f>
        <v>0</v>
      </c>
      <c r="J26" s="7">
        <f>+[4]Resumen!J26*1000</f>
        <v>0</v>
      </c>
      <c r="K26" s="7">
        <f>+[4]Resumen!K26*1000</f>
        <v>0</v>
      </c>
      <c r="L26" s="7">
        <f>+[4]Resumen!L26*1000</f>
        <v>0</v>
      </c>
      <c r="M26" s="7">
        <f>+[4]Resumen!M26*1000</f>
        <v>75667.575528312344</v>
      </c>
      <c r="N26" s="7">
        <f>+[4]Resumen!N26*1000</f>
        <v>91401.714987316096</v>
      </c>
      <c r="O26" s="7">
        <f>+[4]Resumen!O26*1000</f>
        <v>103940.54836513865</v>
      </c>
      <c r="P26" s="7">
        <f>+[4]Resumen!P26*1000</f>
        <v>118379.3325565142</v>
      </c>
      <c r="Q26" s="7">
        <f>+[4]Resumen!Q26*1000</f>
        <v>129922.99659952374</v>
      </c>
      <c r="R26" s="7">
        <f>+[4]Resumen!R26*1000</f>
        <v>139623.62385233663</v>
      </c>
      <c r="S26" s="7">
        <f>+[4]Resumen!S26*1000</f>
        <v>136090.45353635069</v>
      </c>
      <c r="T26" s="7">
        <f>+[4]Resumen!T26*1000</f>
        <v>129724.20918252243</v>
      </c>
      <c r="U26" s="7">
        <f>+[4]Resumen!U26*1000</f>
        <v>123102.63663103955</v>
      </c>
      <c r="V26" s="7">
        <f>+[4]Resumen!V26*1000</f>
        <v>121533.69446205389</v>
      </c>
      <c r="W26" s="7">
        <f>+[4]Resumen!W26*1000</f>
        <v>0</v>
      </c>
      <c r="X26" s="7">
        <f>+[4]Resumen!X26*1000</f>
        <v>0</v>
      </c>
      <c r="Y26" s="7">
        <f>+[4]Resumen!Y26*1000</f>
        <v>0</v>
      </c>
      <c r="Z26" s="7">
        <f>+[4]Resumen!Z26*1000</f>
        <v>0</v>
      </c>
      <c r="AA26" s="7">
        <f>+[4]Resumen!AA26*1000</f>
        <v>0</v>
      </c>
      <c r="AB26" s="7">
        <f>+[4]Resumen!AB26*1000</f>
        <v>0</v>
      </c>
      <c r="AC26" s="7">
        <f>+[4]Resumen!AC26*1000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+[4]Resumen!F27*1000</f>
        <v>0</v>
      </c>
      <c r="G27" s="7">
        <f>+[4]Resumen!G27*1000</f>
        <v>0</v>
      </c>
      <c r="H27" s="7">
        <f>+[4]Resumen!H27*1000</f>
        <v>0</v>
      </c>
      <c r="I27" s="7">
        <f>+[4]Resumen!I27*1000</f>
        <v>0</v>
      </c>
      <c r="J27" s="7">
        <f>+[4]Resumen!J27*1000</f>
        <v>0</v>
      </c>
      <c r="K27" s="7">
        <f>+[4]Resumen!K27*1000</f>
        <v>0</v>
      </c>
      <c r="L27" s="7">
        <f>+[4]Resumen!L27*1000</f>
        <v>0</v>
      </c>
      <c r="M27" s="7">
        <f>+[4]Resumen!M27*1000</f>
        <v>127693.03611452048</v>
      </c>
      <c r="N27" s="7">
        <f>+[4]Resumen!N27*1000</f>
        <v>142895.25806629765</v>
      </c>
      <c r="O27" s="7">
        <f>+[4]Resumen!O27*1000</f>
        <v>152855.35486411044</v>
      </c>
      <c r="P27" s="7">
        <f>+[4]Resumen!P27*1000</f>
        <v>166464.40405994977</v>
      </c>
      <c r="Q27" s="7">
        <f>+[4]Resumen!Q27*1000</f>
        <v>178961.18176731648</v>
      </c>
      <c r="R27" s="7">
        <f>+[4]Resumen!R27*1000</f>
        <v>181847.14923616213</v>
      </c>
      <c r="S27" s="7">
        <f>+[4]Resumen!S27*1000</f>
        <v>178681.2140623953</v>
      </c>
      <c r="T27" s="7">
        <f>+[4]Resumen!T27*1000</f>
        <v>180317.43048417949</v>
      </c>
      <c r="U27" s="7">
        <f>+[4]Resumen!U27*1000</f>
        <v>180487.59896803583</v>
      </c>
      <c r="V27" s="7">
        <f>+[4]Resumen!V27*1000</f>
        <v>174969.52395707159</v>
      </c>
      <c r="W27" s="7">
        <f>+[4]Resumen!W27*1000</f>
        <v>0</v>
      </c>
      <c r="X27" s="7">
        <f>+[4]Resumen!X27*1000</f>
        <v>0</v>
      </c>
      <c r="Y27" s="7">
        <f>+[4]Resumen!Y27*1000</f>
        <v>0</v>
      </c>
      <c r="Z27" s="7">
        <f>+[4]Resumen!Z27*1000</f>
        <v>0</v>
      </c>
      <c r="AA27" s="7">
        <f>+[4]Resumen!AA27*1000</f>
        <v>0</v>
      </c>
      <c r="AB27" s="7">
        <f>+[4]Resumen!AB27*1000</f>
        <v>0</v>
      </c>
      <c r="AC27" s="7">
        <f>+[4]Resumen!AC27*1000</f>
        <v>0</v>
      </c>
      <c r="AD27" s="60">
        <f t="shared" ref="AD27" si="4">SUM(F27:AC27)*E27+SUM(F28:AC28)*E28+SUM(F29:AC29)*E29+SUM(F30:AC30)*E30</f>
        <v>46032413.128151156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+[4]Resumen!F28*1000</f>
        <v>0</v>
      </c>
      <c r="G28" s="7">
        <f>+[4]Resumen!G28*1000</f>
        <v>0</v>
      </c>
      <c r="H28" s="7">
        <f>+[4]Resumen!H28*1000</f>
        <v>0</v>
      </c>
      <c r="I28" s="7">
        <f>+[4]Resumen!I28*1000</f>
        <v>0</v>
      </c>
      <c r="J28" s="7">
        <f>+[4]Resumen!J28*1000</f>
        <v>0</v>
      </c>
      <c r="K28" s="7">
        <f>+[4]Resumen!K28*1000</f>
        <v>0</v>
      </c>
      <c r="L28" s="7">
        <f>+[4]Resumen!L28*1000</f>
        <v>0</v>
      </c>
      <c r="M28" s="7">
        <f>+[4]Resumen!M28*1000</f>
        <v>108874.37779079085</v>
      </c>
      <c r="N28" s="7">
        <f>+[4]Resumen!N28*1000</f>
        <v>128527.70010928262</v>
      </c>
      <c r="O28" s="7">
        <f>+[4]Resumen!O28*1000</f>
        <v>141595.13572091027</v>
      </c>
      <c r="P28" s="7">
        <f>+[4]Resumen!P28*1000</f>
        <v>154417.55945341915</v>
      </c>
      <c r="Q28" s="7">
        <f>+[4]Resumen!Q28*1000</f>
        <v>163327.13173023419</v>
      </c>
      <c r="R28" s="7">
        <f>+[4]Resumen!R28*1000</f>
        <v>164469.95148729492</v>
      </c>
      <c r="S28" s="7">
        <f>+[4]Resumen!S28*1000</f>
        <v>158876.72844915622</v>
      </c>
      <c r="T28" s="7">
        <f>+[4]Resumen!T28*1000</f>
        <v>154194.33287266106</v>
      </c>
      <c r="U28" s="7">
        <f>+[4]Resumen!U28*1000</f>
        <v>152774.26514243468</v>
      </c>
      <c r="V28" s="7">
        <f>+[4]Resumen!V28*1000</f>
        <v>149234.96925502756</v>
      </c>
      <c r="W28" s="7">
        <f>+[4]Resumen!W28*1000</f>
        <v>0</v>
      </c>
      <c r="X28" s="7">
        <f>+[4]Resumen!X28*1000</f>
        <v>0</v>
      </c>
      <c r="Y28" s="7">
        <f>+[4]Resumen!Y28*1000</f>
        <v>0</v>
      </c>
      <c r="Z28" s="7">
        <f>+[4]Resumen!Z28*1000</f>
        <v>0</v>
      </c>
      <c r="AA28" s="7">
        <f>+[4]Resumen!AA28*1000</f>
        <v>0</v>
      </c>
      <c r="AB28" s="7">
        <f>+[4]Resumen!AB28*1000</f>
        <v>0</v>
      </c>
      <c r="AC28" s="7">
        <f>+[4]Resumen!AC28*1000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+[4]Resumen!F29*1000</f>
        <v>0</v>
      </c>
      <c r="G29" s="7">
        <f>+[4]Resumen!G29*1000</f>
        <v>0</v>
      </c>
      <c r="H29" s="7">
        <f>+[4]Resumen!H29*1000</f>
        <v>0</v>
      </c>
      <c r="I29" s="7">
        <f>+[4]Resumen!I29*1000</f>
        <v>0</v>
      </c>
      <c r="J29" s="7">
        <f>+[4]Resumen!J29*1000</f>
        <v>0</v>
      </c>
      <c r="K29" s="7">
        <f>+[4]Resumen!K29*1000</f>
        <v>0</v>
      </c>
      <c r="L29" s="7">
        <f>+[4]Resumen!L29*1000</f>
        <v>0</v>
      </c>
      <c r="M29" s="7">
        <f>+[4]Resumen!M29*1000</f>
        <v>75410.408561458724</v>
      </c>
      <c r="N29" s="7">
        <f>+[4]Resumen!N29*1000</f>
        <v>90736.796833937682</v>
      </c>
      <c r="O29" s="7">
        <f>+[4]Resumen!O29*1000</f>
        <v>103959.84720843319</v>
      </c>
      <c r="P29" s="7">
        <f>+[4]Resumen!P29*1000</f>
        <v>113703.66358196938</v>
      </c>
      <c r="Q29" s="7">
        <f>+[4]Resumen!Q29*1000</f>
        <v>125426.51705563691</v>
      </c>
      <c r="R29" s="7">
        <f>+[4]Resumen!R29*1000</f>
        <v>132872.34946153357</v>
      </c>
      <c r="S29" s="7">
        <f>+[4]Resumen!S29*1000</f>
        <v>133821.3135452506</v>
      </c>
      <c r="T29" s="7">
        <f>+[4]Resumen!T29*1000</f>
        <v>130510.74407960878</v>
      </c>
      <c r="U29" s="7">
        <f>+[4]Resumen!U29*1000</f>
        <v>128706.09091033327</v>
      </c>
      <c r="V29" s="7">
        <f>+[4]Resumen!V29*1000</f>
        <v>125877.18017528932</v>
      </c>
      <c r="W29" s="7">
        <f>+[4]Resumen!W29*1000</f>
        <v>0</v>
      </c>
      <c r="X29" s="7">
        <f>+[4]Resumen!X29*1000</f>
        <v>0</v>
      </c>
      <c r="Y29" s="7">
        <f>+[4]Resumen!Y29*1000</f>
        <v>0</v>
      </c>
      <c r="Z29" s="7">
        <f>+[4]Resumen!Z29*1000</f>
        <v>0</v>
      </c>
      <c r="AA29" s="7">
        <f>+[4]Resumen!AA29*1000</f>
        <v>0</v>
      </c>
      <c r="AB29" s="7">
        <f>+[4]Resumen!AB29*1000</f>
        <v>0</v>
      </c>
      <c r="AC29" s="7">
        <f>+[4]Resumen!AC29*1000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+[4]Resumen!F30*1000</f>
        <v>0</v>
      </c>
      <c r="G30" s="7">
        <f>+[4]Resumen!G30*1000</f>
        <v>0</v>
      </c>
      <c r="H30" s="7">
        <f>+[4]Resumen!H30*1000</f>
        <v>0</v>
      </c>
      <c r="I30" s="7">
        <f>+[4]Resumen!I30*1000</f>
        <v>0</v>
      </c>
      <c r="J30" s="7">
        <f>+[4]Resumen!J30*1000</f>
        <v>0</v>
      </c>
      <c r="K30" s="7">
        <f>+[4]Resumen!K30*1000</f>
        <v>0</v>
      </c>
      <c r="L30" s="7">
        <f>+[4]Resumen!L30*1000</f>
        <v>0</v>
      </c>
      <c r="M30" s="7">
        <f>+[4]Resumen!M30*1000</f>
        <v>72955.061627996474</v>
      </c>
      <c r="N30" s="7">
        <f>+[4]Resumen!N30*1000</f>
        <v>88469.421512382309</v>
      </c>
      <c r="O30" s="7">
        <f>+[4]Resumen!O30*1000</f>
        <v>102574.08761814209</v>
      </c>
      <c r="P30" s="7">
        <f>+[4]Resumen!P30*1000</f>
        <v>117057.53194560012</v>
      </c>
      <c r="Q30" s="7">
        <f>+[4]Resumen!Q30*1000</f>
        <v>131959.18374413246</v>
      </c>
      <c r="R30" s="7">
        <f>+[4]Resumen!R30*1000</f>
        <v>140400.80023752959</v>
      </c>
      <c r="S30" s="7">
        <f>+[4]Resumen!S30*1000</f>
        <v>138889.74362070096</v>
      </c>
      <c r="T30" s="7">
        <f>+[4]Resumen!T30*1000</f>
        <v>133174.39063013758</v>
      </c>
      <c r="U30" s="7">
        <f>+[4]Resumen!U30*1000</f>
        <v>130600.65166014474</v>
      </c>
      <c r="V30" s="7">
        <f>+[4]Resumen!V30*1000</f>
        <v>128210.04861350861</v>
      </c>
      <c r="W30" s="7">
        <f>+[4]Resumen!W30*1000</f>
        <v>0</v>
      </c>
      <c r="X30" s="7">
        <f>+[4]Resumen!X30*1000</f>
        <v>0</v>
      </c>
      <c r="Y30" s="7">
        <f>+[4]Resumen!Y30*1000</f>
        <v>0</v>
      </c>
      <c r="Z30" s="7">
        <f>+[4]Resumen!Z30*1000</f>
        <v>0</v>
      </c>
      <c r="AA30" s="7">
        <f>+[4]Resumen!AA30*1000</f>
        <v>0</v>
      </c>
      <c r="AB30" s="7">
        <f>+[4]Resumen!AB30*1000</f>
        <v>0</v>
      </c>
      <c r="AC30" s="7">
        <f>+[4]Resumen!AC30*1000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+[4]Resumen!F31*1000</f>
        <v>0</v>
      </c>
      <c r="G31" s="7">
        <f>+[4]Resumen!G31*1000</f>
        <v>0</v>
      </c>
      <c r="H31" s="7">
        <f>+[4]Resumen!H31*1000</f>
        <v>0</v>
      </c>
      <c r="I31" s="7">
        <f>+[4]Resumen!I31*1000</f>
        <v>0</v>
      </c>
      <c r="J31" s="7">
        <f>+[4]Resumen!J31*1000</f>
        <v>0</v>
      </c>
      <c r="K31" s="7">
        <f>+[4]Resumen!K31*1000</f>
        <v>0</v>
      </c>
      <c r="L31" s="7">
        <f>+[4]Resumen!L31*1000</f>
        <v>0</v>
      </c>
      <c r="M31" s="7">
        <f>+[4]Resumen!M31*1000</f>
        <v>119358.96840824316</v>
      </c>
      <c r="N31" s="7">
        <f>+[4]Resumen!N31*1000</f>
        <v>134770.98843676251</v>
      </c>
      <c r="O31" s="7">
        <f>+[4]Resumen!O31*1000</f>
        <v>145316.18982699068</v>
      </c>
      <c r="P31" s="7">
        <f>+[4]Resumen!P31*1000</f>
        <v>159759.86459554924</v>
      </c>
      <c r="Q31" s="7">
        <f>+[4]Resumen!Q31*1000</f>
        <v>171424.50318526287</v>
      </c>
      <c r="R31" s="7">
        <f>+[4]Resumen!R31*1000</f>
        <v>173008.21039647333</v>
      </c>
      <c r="S31" s="7">
        <f>+[4]Resumen!S31*1000</f>
        <v>169409.75005176474</v>
      </c>
      <c r="T31" s="7">
        <f>+[4]Resumen!T31*1000</f>
        <v>171816.02929193026</v>
      </c>
      <c r="U31" s="7">
        <f>+[4]Resumen!U31*1000</f>
        <v>171446.40100532075</v>
      </c>
      <c r="V31" s="7">
        <f>+[4]Resumen!V31*1000</f>
        <v>164962.37113435441</v>
      </c>
      <c r="W31" s="7">
        <f>+[4]Resumen!W31*1000</f>
        <v>0</v>
      </c>
      <c r="X31" s="7">
        <f>+[4]Resumen!X31*1000</f>
        <v>0</v>
      </c>
      <c r="Y31" s="7">
        <f>+[4]Resumen!Y31*1000</f>
        <v>0</v>
      </c>
      <c r="Z31" s="7">
        <f>+[4]Resumen!Z31*1000</f>
        <v>0</v>
      </c>
      <c r="AA31" s="7">
        <f>+[4]Resumen!AA31*1000</f>
        <v>0</v>
      </c>
      <c r="AB31" s="7">
        <f>+[4]Resumen!AB31*1000</f>
        <v>0</v>
      </c>
      <c r="AC31" s="7">
        <f>+[4]Resumen!AC31*1000</f>
        <v>0</v>
      </c>
      <c r="AD31" s="60">
        <f t="shared" ref="AD31" si="5">SUM(F31:AC31)*E31+SUM(F32:AC32)*E32+SUM(F33:AC33)*E33+SUM(F34:AC34)*E34</f>
        <v>45057084.65090391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+[4]Resumen!F32*1000</f>
        <v>0</v>
      </c>
      <c r="G32" s="7">
        <f>+[4]Resumen!G32*1000</f>
        <v>0</v>
      </c>
      <c r="H32" s="7">
        <f>+[4]Resumen!H32*1000</f>
        <v>0</v>
      </c>
      <c r="I32" s="7">
        <f>+[4]Resumen!I32*1000</f>
        <v>0</v>
      </c>
      <c r="J32" s="7">
        <f>+[4]Resumen!J32*1000</f>
        <v>0</v>
      </c>
      <c r="K32" s="7">
        <f>+[4]Resumen!K32*1000</f>
        <v>0</v>
      </c>
      <c r="L32" s="7">
        <f>+[4]Resumen!L32*1000</f>
        <v>0</v>
      </c>
      <c r="M32" s="7">
        <f>+[4]Resumen!M32*1000</f>
        <v>98926.716012740289</v>
      </c>
      <c r="N32" s="7">
        <f>+[4]Resumen!N32*1000</f>
        <v>119395.59833734613</v>
      </c>
      <c r="O32" s="7">
        <f>+[4]Resumen!O32*1000</f>
        <v>132871.06506752589</v>
      </c>
      <c r="P32" s="7">
        <f>+[4]Resumen!P32*1000</f>
        <v>146159.51799244125</v>
      </c>
      <c r="Q32" s="7">
        <f>+[4]Resumen!Q32*1000</f>
        <v>155779.28605583619</v>
      </c>
      <c r="R32" s="7">
        <f>+[4]Resumen!R32*1000</f>
        <v>155851.54968535676</v>
      </c>
      <c r="S32" s="7">
        <f>+[4]Resumen!S32*1000</f>
        <v>149742.74399711448</v>
      </c>
      <c r="T32" s="7">
        <f>+[4]Resumen!T32*1000</f>
        <v>144451.48253906221</v>
      </c>
      <c r="U32" s="7">
        <f>+[4]Resumen!U32*1000</f>
        <v>142238.27406479133</v>
      </c>
      <c r="V32" s="7">
        <f>+[4]Resumen!V32*1000</f>
        <v>139483.05406372086</v>
      </c>
      <c r="W32" s="7">
        <f>+[4]Resumen!W32*1000</f>
        <v>0</v>
      </c>
      <c r="X32" s="7">
        <f>+[4]Resumen!X32*1000</f>
        <v>0</v>
      </c>
      <c r="Y32" s="7">
        <f>+[4]Resumen!Y32*1000</f>
        <v>0</v>
      </c>
      <c r="Z32" s="7">
        <f>+[4]Resumen!Z32*1000</f>
        <v>0</v>
      </c>
      <c r="AA32" s="7">
        <f>+[4]Resumen!AA32*1000</f>
        <v>0</v>
      </c>
      <c r="AB32" s="7">
        <f>+[4]Resumen!AB32*1000</f>
        <v>0</v>
      </c>
      <c r="AC32" s="7">
        <f>+[4]Resumen!AC32*1000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+[4]Resumen!F33*1000</f>
        <v>0</v>
      </c>
      <c r="G33" s="7">
        <f>+[4]Resumen!G33*1000</f>
        <v>0</v>
      </c>
      <c r="H33" s="7">
        <f>+[4]Resumen!H33*1000</f>
        <v>0</v>
      </c>
      <c r="I33" s="7">
        <f>+[4]Resumen!I33*1000</f>
        <v>0</v>
      </c>
      <c r="J33" s="7">
        <f>+[4]Resumen!J33*1000</f>
        <v>0</v>
      </c>
      <c r="K33" s="7">
        <f>+[4]Resumen!K33*1000</f>
        <v>0</v>
      </c>
      <c r="L33" s="7">
        <f>+[4]Resumen!L33*1000</f>
        <v>0</v>
      </c>
      <c r="M33" s="7">
        <f>+[4]Resumen!M33*1000</f>
        <v>67826.130557035867</v>
      </c>
      <c r="N33" s="7">
        <f>+[4]Resumen!N33*1000</f>
        <v>84187.723933096422</v>
      </c>
      <c r="O33" s="7">
        <f>+[4]Resumen!O33*1000</f>
        <v>98237.215985159753</v>
      </c>
      <c r="P33" s="7">
        <f>+[4]Resumen!P33*1000</f>
        <v>110328.22673007759</v>
      </c>
      <c r="Q33" s="7">
        <f>+[4]Resumen!Q33*1000</f>
        <v>122800.43354096875</v>
      </c>
      <c r="R33" s="7">
        <f>+[4]Resumen!R33*1000</f>
        <v>129839.45335596158</v>
      </c>
      <c r="S33" s="7">
        <f>+[4]Resumen!S33*1000</f>
        <v>130370.63809994017</v>
      </c>
      <c r="T33" s="7">
        <f>+[4]Resumen!T33*1000</f>
        <v>126893.25659033809</v>
      </c>
      <c r="U33" s="7">
        <f>+[4]Resumen!U33*1000</f>
        <v>124012.92618408162</v>
      </c>
      <c r="V33" s="7">
        <f>+[4]Resumen!V33*1000</f>
        <v>121541.77955766617</v>
      </c>
      <c r="W33" s="7">
        <f>+[4]Resumen!W33*1000</f>
        <v>0</v>
      </c>
      <c r="X33" s="7">
        <f>+[4]Resumen!X33*1000</f>
        <v>0</v>
      </c>
      <c r="Y33" s="7">
        <f>+[4]Resumen!Y33*1000</f>
        <v>0</v>
      </c>
      <c r="Z33" s="7">
        <f>+[4]Resumen!Z33*1000</f>
        <v>0</v>
      </c>
      <c r="AA33" s="7">
        <f>+[4]Resumen!AA33*1000</f>
        <v>0</v>
      </c>
      <c r="AB33" s="7">
        <f>+[4]Resumen!AB33*1000</f>
        <v>0</v>
      </c>
      <c r="AC33" s="7">
        <f>+[4]Resumen!AC33*1000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+[4]Resumen!F34*1000</f>
        <v>0</v>
      </c>
      <c r="G34" s="7">
        <f>+[4]Resumen!G34*1000</f>
        <v>0</v>
      </c>
      <c r="H34" s="7">
        <f>+[4]Resumen!H34*1000</f>
        <v>0</v>
      </c>
      <c r="I34" s="7">
        <f>+[4]Resumen!I34*1000</f>
        <v>0</v>
      </c>
      <c r="J34" s="7">
        <f>+[4]Resumen!J34*1000</f>
        <v>0</v>
      </c>
      <c r="K34" s="7">
        <f>+[4]Resumen!K34*1000</f>
        <v>0</v>
      </c>
      <c r="L34" s="7">
        <f>+[4]Resumen!L34*1000</f>
        <v>0</v>
      </c>
      <c r="M34" s="7">
        <f>+[4]Resumen!M34*1000</f>
        <v>70539.330565261815</v>
      </c>
      <c r="N34" s="7">
        <f>+[4]Resumen!N34*1000</f>
        <v>87995.562456506115</v>
      </c>
      <c r="O34" s="7">
        <f>+[4]Resumen!O34*1000</f>
        <v>102504.25555505486</v>
      </c>
      <c r="P34" s="7">
        <f>+[4]Resumen!P34*1000</f>
        <v>115804.81142350388</v>
      </c>
      <c r="Q34" s="7">
        <f>+[4]Resumen!Q34*1000</f>
        <v>128713.70945256672</v>
      </c>
      <c r="R34" s="7">
        <f>+[4]Resumen!R34*1000</f>
        <v>134935.13563760003</v>
      </c>
      <c r="S34" s="7">
        <f>+[4]Resumen!S34*1000</f>
        <v>133551.03093958806</v>
      </c>
      <c r="T34" s="7">
        <f>+[4]Resumen!T34*1000</f>
        <v>129930.31874314001</v>
      </c>
      <c r="U34" s="7">
        <f>+[4]Resumen!U34*1000</f>
        <v>128667.86646644726</v>
      </c>
      <c r="V34" s="7">
        <f>+[4]Resumen!V34*1000</f>
        <v>123274.50391808123</v>
      </c>
      <c r="W34" s="7">
        <f>+[4]Resumen!W34*1000</f>
        <v>0</v>
      </c>
      <c r="X34" s="7">
        <f>+[4]Resumen!X34*1000</f>
        <v>0</v>
      </c>
      <c r="Y34" s="7">
        <f>+[4]Resumen!Y34*1000</f>
        <v>0</v>
      </c>
      <c r="Z34" s="7">
        <f>+[4]Resumen!Z34*1000</f>
        <v>0</v>
      </c>
      <c r="AA34" s="7">
        <f>+[4]Resumen!AA34*1000</f>
        <v>0</v>
      </c>
      <c r="AB34" s="7">
        <f>+[4]Resumen!AB34*1000</f>
        <v>0</v>
      </c>
      <c r="AC34" s="7">
        <f>+[4]Resumen!AC34*1000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+[4]Resumen!F35*1000</f>
        <v>0</v>
      </c>
      <c r="G35" s="7">
        <f>+[4]Resumen!G35*1000</f>
        <v>0</v>
      </c>
      <c r="H35" s="7">
        <f>+[4]Resumen!H35*1000</f>
        <v>0</v>
      </c>
      <c r="I35" s="7">
        <f>+[4]Resumen!I35*1000</f>
        <v>0</v>
      </c>
      <c r="J35" s="7">
        <f>+[4]Resumen!J35*1000</f>
        <v>0</v>
      </c>
      <c r="K35" s="7">
        <f>+[4]Resumen!K35*1000</f>
        <v>0</v>
      </c>
      <c r="L35" s="7">
        <f>+[4]Resumen!L35*1000</f>
        <v>0</v>
      </c>
      <c r="M35" s="7">
        <f>+[4]Resumen!M35*1000</f>
        <v>121701.11302540662</v>
      </c>
      <c r="N35" s="7">
        <f>+[4]Resumen!N35*1000</f>
        <v>136018.08561842781</v>
      </c>
      <c r="O35" s="7">
        <f>+[4]Resumen!O35*1000</f>
        <v>146426.87777840687</v>
      </c>
      <c r="P35" s="7">
        <f>+[4]Resumen!P35*1000</f>
        <v>160744.02327062137</v>
      </c>
      <c r="Q35" s="7">
        <f>+[4]Resumen!Q35*1000</f>
        <v>172119.66497531728</v>
      </c>
      <c r="R35" s="7">
        <f>+[4]Resumen!R35*1000</f>
        <v>173129.58837462854</v>
      </c>
      <c r="S35" s="7">
        <f>+[4]Resumen!S35*1000</f>
        <v>170196.23554908158</v>
      </c>
      <c r="T35" s="7">
        <f>+[4]Resumen!T35*1000</f>
        <v>172420.94044749369</v>
      </c>
      <c r="U35" s="7">
        <f>+[4]Resumen!U35*1000</f>
        <v>172081.28135439614</v>
      </c>
      <c r="V35" s="7">
        <f>+[4]Resumen!V35*1000</f>
        <v>165578.94063552583</v>
      </c>
      <c r="W35" s="7">
        <f>+[4]Resumen!W35*1000</f>
        <v>0</v>
      </c>
      <c r="X35" s="7">
        <f>+[4]Resumen!X35*1000</f>
        <v>0</v>
      </c>
      <c r="Y35" s="7">
        <f>+[4]Resumen!Y35*1000</f>
        <v>0</v>
      </c>
      <c r="Z35" s="7">
        <f>+[4]Resumen!Z35*1000</f>
        <v>0</v>
      </c>
      <c r="AA35" s="7">
        <f>+[4]Resumen!AA35*1000</f>
        <v>0</v>
      </c>
      <c r="AB35" s="7">
        <f>+[4]Resumen!AB35*1000</f>
        <v>0</v>
      </c>
      <c r="AC35" s="7">
        <f>+[4]Resumen!AC35*1000</f>
        <v>0</v>
      </c>
      <c r="AD35" s="60">
        <f t="shared" ref="AD35" si="6">SUM(F35:AC35)*E35+SUM(F36:AC36)*E36+SUM(F37:AC37)*E37+SUM(F38:AC38)*E38</f>
        <v>45711296.990519211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+[4]Resumen!F36*1000</f>
        <v>0</v>
      </c>
      <c r="G36" s="7">
        <f>+[4]Resumen!G36*1000</f>
        <v>0</v>
      </c>
      <c r="H36" s="7">
        <f>+[4]Resumen!H36*1000</f>
        <v>0</v>
      </c>
      <c r="I36" s="7">
        <f>+[4]Resumen!I36*1000</f>
        <v>0</v>
      </c>
      <c r="J36" s="7">
        <f>+[4]Resumen!J36*1000</f>
        <v>0</v>
      </c>
      <c r="K36" s="7">
        <f>+[4]Resumen!K36*1000</f>
        <v>0</v>
      </c>
      <c r="L36" s="7">
        <f>+[4]Resumen!L36*1000</f>
        <v>0</v>
      </c>
      <c r="M36" s="7">
        <f>+[4]Resumen!M36*1000</f>
        <v>103093.55912787994</v>
      </c>
      <c r="N36" s="7">
        <f>+[4]Resumen!N36*1000</f>
        <v>122752.32090988279</v>
      </c>
      <c r="O36" s="7">
        <f>+[4]Resumen!O36*1000</f>
        <v>136290.49515861156</v>
      </c>
      <c r="P36" s="7">
        <f>+[4]Resumen!P36*1000</f>
        <v>148540.41672879728</v>
      </c>
      <c r="Q36" s="7">
        <f>+[4]Resumen!Q36*1000</f>
        <v>157243.34702525649</v>
      </c>
      <c r="R36" s="7">
        <f>+[4]Resumen!R36*1000</f>
        <v>157184.56404395303</v>
      </c>
      <c r="S36" s="7">
        <f>+[4]Resumen!S36*1000</f>
        <v>151716.95638642216</v>
      </c>
      <c r="T36" s="7">
        <f>+[4]Resumen!T36*1000</f>
        <v>145925.17371910831</v>
      </c>
      <c r="U36" s="7">
        <f>+[4]Resumen!U36*1000</f>
        <v>142641.7713822737</v>
      </c>
      <c r="V36" s="7">
        <f>+[4]Resumen!V36*1000</f>
        <v>139941.61565763407</v>
      </c>
      <c r="W36" s="7">
        <f>+[4]Resumen!W36*1000</f>
        <v>0</v>
      </c>
      <c r="X36" s="7">
        <f>+[4]Resumen!X36*1000</f>
        <v>0</v>
      </c>
      <c r="Y36" s="7">
        <f>+[4]Resumen!Y36*1000</f>
        <v>0</v>
      </c>
      <c r="Z36" s="7">
        <f>+[4]Resumen!Z36*1000</f>
        <v>0</v>
      </c>
      <c r="AA36" s="7">
        <f>+[4]Resumen!AA36*1000</f>
        <v>0</v>
      </c>
      <c r="AB36" s="7">
        <f>+[4]Resumen!AB36*1000</f>
        <v>0</v>
      </c>
      <c r="AC36" s="7">
        <f>+[4]Resumen!AC36*1000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+[4]Resumen!F37*1000</f>
        <v>0</v>
      </c>
      <c r="G37" s="7">
        <f>+[4]Resumen!G37*1000</f>
        <v>0</v>
      </c>
      <c r="H37" s="7">
        <f>+[4]Resumen!H37*1000</f>
        <v>0</v>
      </c>
      <c r="I37" s="7">
        <f>+[4]Resumen!I37*1000</f>
        <v>0</v>
      </c>
      <c r="J37" s="7">
        <f>+[4]Resumen!J37*1000</f>
        <v>0</v>
      </c>
      <c r="K37" s="7">
        <f>+[4]Resumen!K37*1000</f>
        <v>0</v>
      </c>
      <c r="L37" s="7">
        <f>+[4]Resumen!L37*1000</f>
        <v>0</v>
      </c>
      <c r="M37" s="7">
        <f>+[4]Resumen!M37*1000</f>
        <v>67117.287775254561</v>
      </c>
      <c r="N37" s="7">
        <f>+[4]Resumen!N37*1000</f>
        <v>83267.444648883698</v>
      </c>
      <c r="O37" s="7">
        <f>+[4]Resumen!O37*1000</f>
        <v>97046.558040177071</v>
      </c>
      <c r="P37" s="7">
        <f>+[4]Resumen!P37*1000</f>
        <v>107717.00980160492</v>
      </c>
      <c r="Q37" s="7">
        <f>+[4]Resumen!Q37*1000</f>
        <v>119027.25718917593</v>
      </c>
      <c r="R37" s="7">
        <f>+[4]Resumen!R37*1000</f>
        <v>125888.76716567465</v>
      </c>
      <c r="S37" s="7">
        <f>+[4]Resumen!S37*1000</f>
        <v>126640.32428150545</v>
      </c>
      <c r="T37" s="7">
        <f>+[4]Resumen!T37*1000</f>
        <v>121310.45141470592</v>
      </c>
      <c r="U37" s="7">
        <f>+[4]Resumen!U37*1000</f>
        <v>118797.00486341867</v>
      </c>
      <c r="V37" s="7">
        <f>+[4]Resumen!V37*1000</f>
        <v>114895.87761969212</v>
      </c>
      <c r="W37" s="7">
        <f>+[4]Resumen!W37*1000</f>
        <v>0</v>
      </c>
      <c r="X37" s="7">
        <f>+[4]Resumen!X37*1000</f>
        <v>0</v>
      </c>
      <c r="Y37" s="7">
        <f>+[4]Resumen!Y37*1000</f>
        <v>0</v>
      </c>
      <c r="Z37" s="7">
        <f>+[4]Resumen!Z37*1000</f>
        <v>0</v>
      </c>
      <c r="AA37" s="7">
        <f>+[4]Resumen!AA37*1000</f>
        <v>0</v>
      </c>
      <c r="AB37" s="7">
        <f>+[4]Resumen!AB37*1000</f>
        <v>0</v>
      </c>
      <c r="AC37" s="7">
        <f>+[4]Resumen!AC37*1000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+[4]Resumen!F38*1000</f>
        <v>0</v>
      </c>
      <c r="G38" s="7">
        <f>+[4]Resumen!G38*1000</f>
        <v>0</v>
      </c>
      <c r="H38" s="7">
        <f>+[4]Resumen!H38*1000</f>
        <v>0</v>
      </c>
      <c r="I38" s="7">
        <f>+[4]Resumen!I38*1000</f>
        <v>0</v>
      </c>
      <c r="J38" s="7">
        <f>+[4]Resumen!J38*1000</f>
        <v>0</v>
      </c>
      <c r="K38" s="7">
        <f>+[4]Resumen!K38*1000</f>
        <v>0</v>
      </c>
      <c r="L38" s="7">
        <f>+[4]Resumen!L38*1000</f>
        <v>0</v>
      </c>
      <c r="M38" s="7">
        <f>+[4]Resumen!M38*1000</f>
        <v>75698.384517906263</v>
      </c>
      <c r="N38" s="7">
        <f>+[4]Resumen!N38*1000</f>
        <v>91960.140959756245</v>
      </c>
      <c r="O38" s="7">
        <f>+[4]Resumen!O38*1000</f>
        <v>104612.68986259433</v>
      </c>
      <c r="P38" s="7">
        <f>+[4]Resumen!P38*1000</f>
        <v>118678.48109416934</v>
      </c>
      <c r="Q38" s="7">
        <f>+[4]Resumen!Q38*1000</f>
        <v>132599.44043479124</v>
      </c>
      <c r="R38" s="7">
        <f>+[4]Resumen!R38*1000</f>
        <v>141531.16850823836</v>
      </c>
      <c r="S38" s="7">
        <f>+[4]Resumen!S38*1000</f>
        <v>137195.21077099221</v>
      </c>
      <c r="T38" s="7">
        <f>+[4]Resumen!T38*1000</f>
        <v>130322.84656735613</v>
      </c>
      <c r="U38" s="7">
        <f>+[4]Resumen!U38*1000</f>
        <v>126762.20174621919</v>
      </c>
      <c r="V38" s="7">
        <f>+[4]Resumen!V38*1000</f>
        <v>122835.63911005043</v>
      </c>
      <c r="W38" s="7">
        <f>+[4]Resumen!W38*1000</f>
        <v>0</v>
      </c>
      <c r="X38" s="7">
        <f>+[4]Resumen!X38*1000</f>
        <v>0</v>
      </c>
      <c r="Y38" s="7">
        <f>+[4]Resumen!Y38*1000</f>
        <v>0</v>
      </c>
      <c r="Z38" s="7">
        <f>+[4]Resumen!Z38*1000</f>
        <v>0</v>
      </c>
      <c r="AA38" s="7">
        <f>+[4]Resumen!AA38*1000</f>
        <v>0</v>
      </c>
      <c r="AB38" s="7">
        <f>+[4]Resumen!AB38*1000</f>
        <v>0</v>
      </c>
      <c r="AC38" s="7">
        <f>+[4]Resumen!AC38*1000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20</v>
      </c>
      <c r="F39" s="7">
        <f>+[4]Resumen!F39*1000</f>
        <v>0</v>
      </c>
      <c r="G39" s="7">
        <f>+[4]Resumen!G39*1000</f>
        <v>0</v>
      </c>
      <c r="H39" s="7">
        <f>+[4]Resumen!H39*1000</f>
        <v>0</v>
      </c>
      <c r="I39" s="7">
        <f>+[4]Resumen!I39*1000</f>
        <v>0</v>
      </c>
      <c r="J39" s="7">
        <f>+[4]Resumen!J39*1000</f>
        <v>0</v>
      </c>
      <c r="K39" s="7">
        <f>+[4]Resumen!K39*1000</f>
        <v>0</v>
      </c>
      <c r="L39" s="7">
        <f>+[4]Resumen!L39*1000</f>
        <v>0</v>
      </c>
      <c r="M39" s="7">
        <f>+[4]Resumen!M39*1000</f>
        <v>130323.06063302408</v>
      </c>
      <c r="N39" s="7">
        <f>+[4]Resumen!N39*1000</f>
        <v>145080.50078215398</v>
      </c>
      <c r="O39" s="7">
        <f>+[4]Resumen!O39*1000</f>
        <v>155453.24483253781</v>
      </c>
      <c r="P39" s="7">
        <f>+[4]Resumen!P39*1000</f>
        <v>170373.7371542808</v>
      </c>
      <c r="Q39" s="7">
        <f>+[4]Resumen!Q39*1000</f>
        <v>182923.21343800434</v>
      </c>
      <c r="R39" s="7">
        <f>+[4]Resumen!R39*1000</f>
        <v>185051.90165104918</v>
      </c>
      <c r="S39" s="7">
        <f>+[4]Resumen!S39*1000</f>
        <v>181946.24242939815</v>
      </c>
      <c r="T39" s="7">
        <f>+[4]Resumen!T39*1000</f>
        <v>183481.93032019841</v>
      </c>
      <c r="U39" s="7">
        <f>+[4]Resumen!U39*1000</f>
        <v>183599.93264743607</v>
      </c>
      <c r="V39" s="7">
        <f>+[4]Resumen!V39*1000</f>
        <v>177518.79357455959</v>
      </c>
      <c r="W39" s="7">
        <f>+[4]Resumen!W39*1000</f>
        <v>0</v>
      </c>
      <c r="X39" s="7">
        <f>+[4]Resumen!X39*1000</f>
        <v>0</v>
      </c>
      <c r="Y39" s="7">
        <f>+[4]Resumen!Y39*1000</f>
        <v>0</v>
      </c>
      <c r="Z39" s="7">
        <f>+[4]Resumen!Z39*1000</f>
        <v>0</v>
      </c>
      <c r="AA39" s="7">
        <f>+[4]Resumen!AA39*1000</f>
        <v>0</v>
      </c>
      <c r="AB39" s="7">
        <f>+[4]Resumen!AB39*1000</f>
        <v>0</v>
      </c>
      <c r="AC39" s="7">
        <f>+[4]Resumen!AC39*1000</f>
        <v>0</v>
      </c>
      <c r="AD39" s="60">
        <f t="shared" ref="AD39" si="7">SUM(F39:AC39)*E39+SUM(F40:AC40)*E40+SUM(F41:AC41)*E41+SUM(F42:AC42)*E42</f>
        <v>47254069.266589485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+[4]Resumen!F40*1000</f>
        <v>0</v>
      </c>
      <c r="G40" s="7">
        <f>+[4]Resumen!G40*1000</f>
        <v>0</v>
      </c>
      <c r="H40" s="7">
        <f>+[4]Resumen!H40*1000</f>
        <v>0</v>
      </c>
      <c r="I40" s="7">
        <f>+[4]Resumen!I40*1000</f>
        <v>0</v>
      </c>
      <c r="J40" s="7">
        <f>+[4]Resumen!J40*1000</f>
        <v>0</v>
      </c>
      <c r="K40" s="7">
        <f>+[4]Resumen!K40*1000</f>
        <v>0</v>
      </c>
      <c r="L40" s="7">
        <f>+[4]Resumen!L40*1000</f>
        <v>0</v>
      </c>
      <c r="M40" s="7">
        <f>+[4]Resumen!M40*1000</f>
        <v>111890.00318805047</v>
      </c>
      <c r="N40" s="7">
        <f>+[4]Resumen!N40*1000</f>
        <v>132848.5881723919</v>
      </c>
      <c r="O40" s="7">
        <f>+[4]Resumen!O40*1000</f>
        <v>147260.00763588212</v>
      </c>
      <c r="P40" s="7">
        <f>+[4]Resumen!P40*1000</f>
        <v>160655.62238305592</v>
      </c>
      <c r="Q40" s="7">
        <f>+[4]Resumen!Q40*1000</f>
        <v>170101.79965633914</v>
      </c>
      <c r="R40" s="7">
        <f>+[4]Resumen!R40*1000</f>
        <v>170672.47128275826</v>
      </c>
      <c r="S40" s="7">
        <f>+[4]Resumen!S40*1000</f>
        <v>163144.94263579338</v>
      </c>
      <c r="T40" s="7">
        <f>+[4]Resumen!T40*1000</f>
        <v>154869.25996823164</v>
      </c>
      <c r="U40" s="7">
        <f>+[4]Resumen!U40*1000</f>
        <v>150946.71792441589</v>
      </c>
      <c r="V40" s="7">
        <f>+[4]Resumen!V40*1000</f>
        <v>146814.23783784432</v>
      </c>
      <c r="W40" s="7">
        <f>+[4]Resumen!W40*1000</f>
        <v>0</v>
      </c>
      <c r="X40" s="7">
        <f>+[4]Resumen!X40*1000</f>
        <v>0</v>
      </c>
      <c r="Y40" s="7">
        <f>+[4]Resumen!Y40*1000</f>
        <v>0</v>
      </c>
      <c r="Z40" s="7">
        <f>+[4]Resumen!Z40*1000</f>
        <v>0</v>
      </c>
      <c r="AA40" s="7">
        <f>+[4]Resumen!AA40*1000</f>
        <v>0</v>
      </c>
      <c r="AB40" s="7">
        <f>+[4]Resumen!AB40*1000</f>
        <v>0</v>
      </c>
      <c r="AC40" s="7">
        <f>+[4]Resumen!AC40*1000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+[4]Resumen!F41*1000</f>
        <v>0</v>
      </c>
      <c r="G41" s="7">
        <f>+[4]Resumen!G41*1000</f>
        <v>0</v>
      </c>
      <c r="H41" s="7">
        <f>+[4]Resumen!H41*1000</f>
        <v>0</v>
      </c>
      <c r="I41" s="7">
        <f>+[4]Resumen!I41*1000</f>
        <v>0</v>
      </c>
      <c r="J41" s="7">
        <f>+[4]Resumen!J41*1000</f>
        <v>0</v>
      </c>
      <c r="K41" s="7">
        <f>+[4]Resumen!K41*1000</f>
        <v>0</v>
      </c>
      <c r="L41" s="7">
        <f>+[4]Resumen!L41*1000</f>
        <v>0</v>
      </c>
      <c r="M41" s="7">
        <f>+[4]Resumen!M41*1000</f>
        <v>72899.226166274719</v>
      </c>
      <c r="N41" s="7">
        <f>+[4]Resumen!N41*1000</f>
        <v>89378.13027279955</v>
      </c>
      <c r="O41" s="7">
        <f>+[4]Resumen!O41*1000</f>
        <v>103229.0050626233</v>
      </c>
      <c r="P41" s="7">
        <f>+[4]Resumen!P41*1000</f>
        <v>115684.45986278211</v>
      </c>
      <c r="Q41" s="7">
        <f>+[4]Resumen!Q41*1000</f>
        <v>127514.61786915343</v>
      </c>
      <c r="R41" s="7">
        <f>+[4]Resumen!R41*1000</f>
        <v>134636.45639775536</v>
      </c>
      <c r="S41" s="7">
        <f>+[4]Resumen!S41*1000</f>
        <v>133833.16674550503</v>
      </c>
      <c r="T41" s="7">
        <f>+[4]Resumen!T41*1000</f>
        <v>129134.95226503523</v>
      </c>
      <c r="U41" s="7">
        <f>+[4]Resumen!U41*1000</f>
        <v>127346.10976643948</v>
      </c>
      <c r="V41" s="7">
        <f>+[4]Resumen!V41*1000</f>
        <v>124943.84837419537</v>
      </c>
      <c r="W41" s="7">
        <f>+[4]Resumen!W41*1000</f>
        <v>0</v>
      </c>
      <c r="X41" s="7">
        <f>+[4]Resumen!X41*1000</f>
        <v>0</v>
      </c>
      <c r="Y41" s="7">
        <f>+[4]Resumen!Y41*1000</f>
        <v>0</v>
      </c>
      <c r="Z41" s="7">
        <f>+[4]Resumen!Z41*1000</f>
        <v>0</v>
      </c>
      <c r="AA41" s="7">
        <f>+[4]Resumen!AA41*1000</f>
        <v>0</v>
      </c>
      <c r="AB41" s="7">
        <f>+[4]Resumen!AB41*1000</f>
        <v>0</v>
      </c>
      <c r="AC41" s="7">
        <f>+[4]Resumen!AC41*1000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+[4]Resumen!F42*1000</f>
        <v>0</v>
      </c>
      <c r="G42" s="7">
        <f>+[4]Resumen!G42*1000</f>
        <v>0</v>
      </c>
      <c r="H42" s="7">
        <f>+[4]Resumen!H42*1000</f>
        <v>0</v>
      </c>
      <c r="I42" s="7">
        <f>+[4]Resumen!I42*1000</f>
        <v>0</v>
      </c>
      <c r="J42" s="7">
        <f>+[4]Resumen!J42*1000</f>
        <v>0</v>
      </c>
      <c r="K42" s="7">
        <f>+[4]Resumen!K42*1000</f>
        <v>0</v>
      </c>
      <c r="L42" s="7">
        <f>+[4]Resumen!L42*1000</f>
        <v>0</v>
      </c>
      <c r="M42" s="7">
        <f>+[4]Resumen!M42*1000</f>
        <v>0</v>
      </c>
      <c r="N42" s="7">
        <f>+[4]Resumen!N42*1000</f>
        <v>0</v>
      </c>
      <c r="O42" s="7">
        <f>+[4]Resumen!O42*1000</f>
        <v>0</v>
      </c>
      <c r="P42" s="7">
        <f>+[4]Resumen!P42*1000</f>
        <v>0</v>
      </c>
      <c r="Q42" s="7">
        <f>+[4]Resumen!Q42*1000</f>
        <v>0</v>
      </c>
      <c r="R42" s="7">
        <f>+[4]Resumen!R42*1000</f>
        <v>0</v>
      </c>
      <c r="S42" s="7">
        <f>+[4]Resumen!S42*1000</f>
        <v>0</v>
      </c>
      <c r="T42" s="7">
        <f>+[4]Resumen!T42*1000</f>
        <v>0</v>
      </c>
      <c r="U42" s="7">
        <f>+[4]Resumen!U42*1000</f>
        <v>0</v>
      </c>
      <c r="V42" s="7">
        <f>+[4]Resumen!V42*1000</f>
        <v>0</v>
      </c>
      <c r="W42" s="7">
        <f>+[4]Resumen!W42*1000</f>
        <v>0</v>
      </c>
      <c r="X42" s="7">
        <f>+[4]Resumen!X42*1000</f>
        <v>0</v>
      </c>
      <c r="Y42" s="7">
        <f>+[4]Resumen!Y42*1000</f>
        <v>0</v>
      </c>
      <c r="Z42" s="7">
        <f>+[4]Resumen!Z42*1000</f>
        <v>0</v>
      </c>
      <c r="AA42" s="7">
        <f>+[4]Resumen!AA42*1000</f>
        <v>0</v>
      </c>
      <c r="AB42" s="7">
        <f>+[4]Resumen!AB42*1000</f>
        <v>0</v>
      </c>
      <c r="AC42" s="7">
        <f>+[4]Resumen!AC42*1000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+[4]Resumen!F43*1000</f>
        <v>0</v>
      </c>
      <c r="G43" s="7">
        <f>+[4]Resumen!G43*1000</f>
        <v>0</v>
      </c>
      <c r="H43" s="7">
        <f>+[4]Resumen!H43*1000</f>
        <v>0</v>
      </c>
      <c r="I43" s="7">
        <f>+[4]Resumen!I43*1000</f>
        <v>0</v>
      </c>
      <c r="J43" s="7">
        <f>+[4]Resumen!J43*1000</f>
        <v>0</v>
      </c>
      <c r="K43" s="7">
        <f>+[4]Resumen!K43*1000</f>
        <v>0</v>
      </c>
      <c r="L43" s="7">
        <f>+[4]Resumen!L43*1000</f>
        <v>0</v>
      </c>
      <c r="M43" s="7">
        <f>+[4]Resumen!M43*1000</f>
        <v>120834.8716001913</v>
      </c>
      <c r="N43" s="7">
        <f>+[4]Resumen!N43*1000</f>
        <v>135726.89318809783</v>
      </c>
      <c r="O43" s="7">
        <f>+[4]Resumen!O43*1000</f>
        <v>145469.03820276511</v>
      </c>
      <c r="P43" s="7">
        <f>+[4]Resumen!P43*1000</f>
        <v>158983.39627371947</v>
      </c>
      <c r="Q43" s="7">
        <f>+[4]Resumen!Q43*1000</f>
        <v>171226.05607778498</v>
      </c>
      <c r="R43" s="7">
        <f>+[4]Resumen!R43*1000</f>
        <v>173814.90314395761</v>
      </c>
      <c r="S43" s="7">
        <f>+[4]Resumen!S43*1000</f>
        <v>170629.64168257985</v>
      </c>
      <c r="T43" s="7">
        <f>+[4]Resumen!T43*1000</f>
        <v>172350.38111002179</v>
      </c>
      <c r="U43" s="7">
        <f>+[4]Resumen!U43*1000</f>
        <v>172113.86050239805</v>
      </c>
      <c r="V43" s="7">
        <f>+[4]Resumen!V43*1000</f>
        <v>166146.53575407618</v>
      </c>
      <c r="W43" s="7">
        <f>+[4]Resumen!W43*1000</f>
        <v>0</v>
      </c>
      <c r="X43" s="7">
        <f>+[4]Resumen!X43*1000</f>
        <v>0</v>
      </c>
      <c r="Y43" s="7">
        <f>+[4]Resumen!Y43*1000</f>
        <v>0</v>
      </c>
      <c r="Z43" s="7">
        <f>+[4]Resumen!Z43*1000</f>
        <v>0</v>
      </c>
      <c r="AA43" s="7">
        <f>+[4]Resumen!AA43*1000</f>
        <v>0</v>
      </c>
      <c r="AB43" s="7">
        <f>+[4]Resumen!AB43*1000</f>
        <v>0</v>
      </c>
      <c r="AC43" s="7">
        <f>+[4]Resumen!AC43*1000</f>
        <v>0</v>
      </c>
      <c r="AD43" s="60">
        <f t="shared" ref="AD43" si="8">SUM(F43:AC43)*E43+SUM(F44:AC44)*E44+SUM(F45:AC45)*E45+SUM(F46:AC46)*E46</f>
        <v>46375464.349733815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+[4]Resumen!F44*1000</f>
        <v>0</v>
      </c>
      <c r="G44" s="7">
        <f>+[4]Resumen!G44*1000</f>
        <v>0</v>
      </c>
      <c r="H44" s="7">
        <f>+[4]Resumen!H44*1000</f>
        <v>0</v>
      </c>
      <c r="I44" s="7">
        <f>+[4]Resumen!I44*1000</f>
        <v>0</v>
      </c>
      <c r="J44" s="7">
        <f>+[4]Resumen!J44*1000</f>
        <v>0</v>
      </c>
      <c r="K44" s="7">
        <f>+[4]Resumen!K44*1000</f>
        <v>0</v>
      </c>
      <c r="L44" s="7">
        <f>+[4]Resumen!L44*1000</f>
        <v>0</v>
      </c>
      <c r="M44" s="7">
        <f>+[4]Resumen!M44*1000</f>
        <v>104256.73433441675</v>
      </c>
      <c r="N44" s="7">
        <f>+[4]Resumen!N44*1000</f>
        <v>124084.82754862563</v>
      </c>
      <c r="O44" s="7">
        <f>+[4]Resumen!O44*1000</f>
        <v>137795.20939391953</v>
      </c>
      <c r="P44" s="7">
        <f>+[4]Resumen!P44*1000</f>
        <v>151060.36483864038</v>
      </c>
      <c r="Q44" s="7">
        <f>+[4]Resumen!Q44*1000</f>
        <v>160221.31882041125</v>
      </c>
      <c r="R44" s="7">
        <f>+[4]Resumen!R44*1000</f>
        <v>161133.73530797454</v>
      </c>
      <c r="S44" s="7">
        <f>+[4]Resumen!S44*1000</f>
        <v>155395.84504478108</v>
      </c>
      <c r="T44" s="7">
        <f>+[4]Resumen!T44*1000</f>
        <v>149597.26442029423</v>
      </c>
      <c r="U44" s="7">
        <f>+[4]Resumen!U44*1000</f>
        <v>147497.8071486502</v>
      </c>
      <c r="V44" s="7">
        <f>+[4]Resumen!V44*1000</f>
        <v>144967.70189730634</v>
      </c>
      <c r="W44" s="7">
        <f>+[4]Resumen!W44*1000</f>
        <v>0</v>
      </c>
      <c r="X44" s="7">
        <f>+[4]Resumen!X44*1000</f>
        <v>0</v>
      </c>
      <c r="Y44" s="7">
        <f>+[4]Resumen!Y44*1000</f>
        <v>0</v>
      </c>
      <c r="Z44" s="7">
        <f>+[4]Resumen!Z44*1000</f>
        <v>0</v>
      </c>
      <c r="AA44" s="7">
        <f>+[4]Resumen!AA44*1000</f>
        <v>0</v>
      </c>
      <c r="AB44" s="7">
        <f>+[4]Resumen!AB44*1000</f>
        <v>0</v>
      </c>
      <c r="AC44" s="7">
        <f>+[4]Resumen!AC44*1000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+[4]Resumen!F45*1000</f>
        <v>0</v>
      </c>
      <c r="G45" s="7">
        <f>+[4]Resumen!G45*1000</f>
        <v>0</v>
      </c>
      <c r="H45" s="7">
        <f>+[4]Resumen!H45*1000</f>
        <v>0</v>
      </c>
      <c r="I45" s="7">
        <f>+[4]Resumen!I45*1000</f>
        <v>0</v>
      </c>
      <c r="J45" s="7">
        <f>+[4]Resumen!J45*1000</f>
        <v>0</v>
      </c>
      <c r="K45" s="7">
        <f>+[4]Resumen!K45*1000</f>
        <v>0</v>
      </c>
      <c r="L45" s="7">
        <f>+[4]Resumen!L45*1000</f>
        <v>0</v>
      </c>
      <c r="M45" s="7">
        <f>+[4]Resumen!M45*1000</f>
        <v>72388.539582217461</v>
      </c>
      <c r="N45" s="7">
        <f>+[4]Resumen!N45*1000</f>
        <v>88612.488733790771</v>
      </c>
      <c r="O45" s="7">
        <f>+[4]Resumen!O45*1000</f>
        <v>101918.13003406925</v>
      </c>
      <c r="P45" s="7">
        <f>+[4]Resumen!P45*1000</f>
        <v>113792.50632302894</v>
      </c>
      <c r="Q45" s="7">
        <f>+[4]Resumen!Q45*1000</f>
        <v>126447.59931399756</v>
      </c>
      <c r="R45" s="7">
        <f>+[4]Resumen!R45*1000</f>
        <v>133189.62771460449</v>
      </c>
      <c r="S45" s="7">
        <f>+[4]Resumen!S45*1000</f>
        <v>131685.18792246061</v>
      </c>
      <c r="T45" s="7">
        <f>+[4]Resumen!T45*1000</f>
        <v>126853.44860939564</v>
      </c>
      <c r="U45" s="7">
        <f>+[4]Resumen!U45*1000</f>
        <v>123996.42940549183</v>
      </c>
      <c r="V45" s="7">
        <f>+[4]Resumen!V45*1000</f>
        <v>120098.867178466</v>
      </c>
      <c r="W45" s="7">
        <f>+[4]Resumen!W45*1000</f>
        <v>0</v>
      </c>
      <c r="X45" s="7">
        <f>+[4]Resumen!X45*1000</f>
        <v>0</v>
      </c>
      <c r="Y45" s="7">
        <f>+[4]Resumen!Y45*1000</f>
        <v>0</v>
      </c>
      <c r="Z45" s="7">
        <f>+[4]Resumen!Z45*1000</f>
        <v>0</v>
      </c>
      <c r="AA45" s="7">
        <f>+[4]Resumen!AA45*1000</f>
        <v>0</v>
      </c>
      <c r="AB45" s="7">
        <f>+[4]Resumen!AB45*1000</f>
        <v>0</v>
      </c>
      <c r="AC45" s="7">
        <f>+[4]Resumen!AC45*1000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+[4]Resumen!F46*1000</f>
        <v>0</v>
      </c>
      <c r="G46" s="7">
        <f>+[4]Resumen!G46*1000</f>
        <v>0</v>
      </c>
      <c r="H46" s="7">
        <f>+[4]Resumen!H46*1000</f>
        <v>0</v>
      </c>
      <c r="I46" s="7">
        <f>+[4]Resumen!I46*1000</f>
        <v>0</v>
      </c>
      <c r="J46" s="7">
        <f>+[4]Resumen!J46*1000</f>
        <v>0</v>
      </c>
      <c r="K46" s="7">
        <f>+[4]Resumen!K46*1000</f>
        <v>0</v>
      </c>
      <c r="L46" s="7">
        <f>+[4]Resumen!L46*1000</f>
        <v>0</v>
      </c>
      <c r="M46" s="7">
        <f>+[4]Resumen!M46*1000</f>
        <v>70196.784330078721</v>
      </c>
      <c r="N46" s="7">
        <f>+[4]Resumen!N46*1000</f>
        <v>86330.002571623962</v>
      </c>
      <c r="O46" s="7">
        <f>+[4]Resumen!O46*1000</f>
        <v>98268.162196335688</v>
      </c>
      <c r="P46" s="7">
        <f>+[4]Resumen!P46*1000</f>
        <v>110852.27595179142</v>
      </c>
      <c r="Q46" s="7">
        <f>+[4]Resumen!Q46*1000</f>
        <v>126988.27979145157</v>
      </c>
      <c r="R46" s="7">
        <f>+[4]Resumen!R46*1000</f>
        <v>137398.36457873325</v>
      </c>
      <c r="S46" s="7">
        <f>+[4]Resumen!S46*1000</f>
        <v>137555.73852228251</v>
      </c>
      <c r="T46" s="7">
        <f>+[4]Resumen!T46*1000</f>
        <v>130711.6309868149</v>
      </c>
      <c r="U46" s="7">
        <f>+[4]Resumen!U46*1000</f>
        <v>128992.12929804275</v>
      </c>
      <c r="V46" s="7">
        <f>+[4]Resumen!V46*1000</f>
        <v>127693.74143345203</v>
      </c>
      <c r="W46" s="7">
        <f>+[4]Resumen!W46*1000</f>
        <v>0</v>
      </c>
      <c r="X46" s="7">
        <f>+[4]Resumen!X46*1000</f>
        <v>0</v>
      </c>
      <c r="Y46" s="7">
        <f>+[4]Resumen!Y46*1000</f>
        <v>0</v>
      </c>
      <c r="Z46" s="7">
        <f>+[4]Resumen!Z46*1000</f>
        <v>0</v>
      </c>
      <c r="AA46" s="7">
        <f>+[4]Resumen!AA46*1000</f>
        <v>0</v>
      </c>
      <c r="AB46" s="7">
        <f>+[4]Resumen!AB46*1000</f>
        <v>0</v>
      </c>
      <c r="AC46" s="7">
        <f>+[4]Resumen!AC46*1000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+[4]Resumen!F47*1000</f>
        <v>0</v>
      </c>
      <c r="G47" s="7">
        <f>+[4]Resumen!G47*1000</f>
        <v>0</v>
      </c>
      <c r="H47" s="7">
        <f>+[4]Resumen!H47*1000</f>
        <v>0</v>
      </c>
      <c r="I47" s="7">
        <f>+[4]Resumen!I47*1000</f>
        <v>0</v>
      </c>
      <c r="J47" s="7">
        <f>+[4]Resumen!J47*1000</f>
        <v>0</v>
      </c>
      <c r="K47" s="7">
        <f>+[4]Resumen!K47*1000</f>
        <v>0</v>
      </c>
      <c r="L47" s="7">
        <f>+[4]Resumen!L47*1000</f>
        <v>0</v>
      </c>
      <c r="M47" s="7">
        <f>+[4]Resumen!M47*1000</f>
        <v>133648.72721711919</v>
      </c>
      <c r="N47" s="7">
        <f>+[4]Resumen!N47*1000</f>
        <v>148622.58501210762</v>
      </c>
      <c r="O47" s="7">
        <f>+[4]Resumen!O47*1000</f>
        <v>158253.66836715554</v>
      </c>
      <c r="P47" s="7">
        <f>+[4]Resumen!P47*1000</f>
        <v>171940.22580138006</v>
      </c>
      <c r="Q47" s="7">
        <f>+[4]Resumen!Q47*1000</f>
        <v>184603.35448819143</v>
      </c>
      <c r="R47" s="7">
        <f>+[4]Resumen!R47*1000</f>
        <v>187760.78466830502</v>
      </c>
      <c r="S47" s="7">
        <f>+[4]Resumen!S47*1000</f>
        <v>183650.99279810372</v>
      </c>
      <c r="T47" s="7">
        <f>+[4]Resumen!T47*1000</f>
        <v>184047.1158277686</v>
      </c>
      <c r="U47" s="7">
        <f>+[4]Resumen!U47*1000</f>
        <v>183826.30160242232</v>
      </c>
      <c r="V47" s="7">
        <f>+[4]Resumen!V47*1000</f>
        <v>178996.49436923212</v>
      </c>
      <c r="W47" s="7">
        <f>+[4]Resumen!W47*1000</f>
        <v>0</v>
      </c>
      <c r="X47" s="7">
        <f>+[4]Resumen!X47*1000</f>
        <v>0</v>
      </c>
      <c r="Y47" s="7">
        <f>+[4]Resumen!Y47*1000</f>
        <v>0</v>
      </c>
      <c r="Z47" s="7">
        <f>+[4]Resumen!Z47*1000</f>
        <v>0</v>
      </c>
      <c r="AA47" s="7">
        <f>+[4]Resumen!AA47*1000</f>
        <v>0</v>
      </c>
      <c r="AB47" s="7">
        <f>+[4]Resumen!AB47*1000</f>
        <v>0</v>
      </c>
      <c r="AC47" s="7">
        <f>+[4]Resumen!AC47*1000</f>
        <v>0</v>
      </c>
      <c r="AD47" s="60">
        <f t="shared" ref="AD47" si="9">SUM(F47:AC47)*E47+SUM(F48:AC48)*E48+SUM(F49:AC49)*E49+SUM(F50:AC50)*E50</f>
        <v>47638786.08707007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+[4]Resumen!F48*1000</f>
        <v>0</v>
      </c>
      <c r="G48" s="7">
        <f>+[4]Resumen!G48*1000</f>
        <v>0</v>
      </c>
      <c r="H48" s="7">
        <f>+[4]Resumen!H48*1000</f>
        <v>0</v>
      </c>
      <c r="I48" s="7">
        <f>+[4]Resumen!I48*1000</f>
        <v>0</v>
      </c>
      <c r="J48" s="7">
        <f>+[4]Resumen!J48*1000</f>
        <v>0</v>
      </c>
      <c r="K48" s="7">
        <f>+[4]Resumen!K48*1000</f>
        <v>0</v>
      </c>
      <c r="L48" s="7">
        <f>+[4]Resumen!L48*1000</f>
        <v>0</v>
      </c>
      <c r="M48" s="7">
        <f>+[4]Resumen!M48*1000</f>
        <v>114742.65051235131</v>
      </c>
      <c r="N48" s="7">
        <f>+[4]Resumen!N48*1000</f>
        <v>136002.45059137305</v>
      </c>
      <c r="O48" s="7">
        <f>+[4]Resumen!O48*1000</f>
        <v>149180.24528812015</v>
      </c>
      <c r="P48" s="7">
        <f>+[4]Resumen!P48*1000</f>
        <v>161023.29114547427</v>
      </c>
      <c r="Q48" s="7">
        <f>+[4]Resumen!Q48*1000</f>
        <v>169456.61945531768</v>
      </c>
      <c r="R48" s="7">
        <f>+[4]Resumen!R48*1000</f>
        <v>170458.71024672754</v>
      </c>
      <c r="S48" s="7">
        <f>+[4]Resumen!S48*1000</f>
        <v>164197.92891197244</v>
      </c>
      <c r="T48" s="7">
        <f>+[4]Resumen!T48*1000</f>
        <v>157792.33764171728</v>
      </c>
      <c r="U48" s="7">
        <f>+[4]Resumen!U48*1000</f>
        <v>154396.18581980455</v>
      </c>
      <c r="V48" s="7">
        <f>+[4]Resumen!V48*1000</f>
        <v>151488.99566108454</v>
      </c>
      <c r="W48" s="7">
        <f>+[4]Resumen!W48*1000</f>
        <v>0</v>
      </c>
      <c r="X48" s="7">
        <f>+[4]Resumen!X48*1000</f>
        <v>0</v>
      </c>
      <c r="Y48" s="7">
        <f>+[4]Resumen!Y48*1000</f>
        <v>0</v>
      </c>
      <c r="Z48" s="7">
        <f>+[4]Resumen!Z48*1000</f>
        <v>0</v>
      </c>
      <c r="AA48" s="7">
        <f>+[4]Resumen!AA48*1000</f>
        <v>0</v>
      </c>
      <c r="AB48" s="7">
        <f>+[4]Resumen!AB48*1000</f>
        <v>0</v>
      </c>
      <c r="AC48" s="7">
        <f>+[4]Resumen!AC48*1000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+[4]Resumen!F49*1000</f>
        <v>0</v>
      </c>
      <c r="G49" s="7">
        <f>+[4]Resumen!G49*1000</f>
        <v>0</v>
      </c>
      <c r="H49" s="7">
        <f>+[4]Resumen!H49*1000</f>
        <v>0</v>
      </c>
      <c r="I49" s="7">
        <f>+[4]Resumen!I49*1000</f>
        <v>0</v>
      </c>
      <c r="J49" s="7">
        <f>+[4]Resumen!J49*1000</f>
        <v>0</v>
      </c>
      <c r="K49" s="7">
        <f>+[4]Resumen!K49*1000</f>
        <v>0</v>
      </c>
      <c r="L49" s="7">
        <f>+[4]Resumen!L49*1000</f>
        <v>0</v>
      </c>
      <c r="M49" s="7">
        <f>+[4]Resumen!M49*1000</f>
        <v>76597.693599955499</v>
      </c>
      <c r="N49" s="7">
        <f>+[4]Resumen!N49*1000</f>
        <v>93937.062103092903</v>
      </c>
      <c r="O49" s="7">
        <f>+[4]Resumen!O49*1000</f>
        <v>108427.51296452858</v>
      </c>
      <c r="P49" s="7">
        <f>+[4]Resumen!P49*1000</f>
        <v>119743.87494579416</v>
      </c>
      <c r="Q49" s="7">
        <f>+[4]Resumen!Q49*1000</f>
        <v>131105.08368449379</v>
      </c>
      <c r="R49" s="7">
        <f>+[4]Resumen!R49*1000</f>
        <v>138939.73344302888</v>
      </c>
      <c r="S49" s="7">
        <f>+[4]Resumen!S49*1000</f>
        <v>140189.11124738728</v>
      </c>
      <c r="T49" s="7">
        <f>+[4]Resumen!T49*1000</f>
        <v>135849.29758368654</v>
      </c>
      <c r="U49" s="7">
        <f>+[4]Resumen!U49*1000</f>
        <v>131670.17588138822</v>
      </c>
      <c r="V49" s="7">
        <f>+[4]Resumen!V49*1000</f>
        <v>127878.94116940226</v>
      </c>
      <c r="W49" s="7">
        <f>+[4]Resumen!W49*1000</f>
        <v>0</v>
      </c>
      <c r="X49" s="7">
        <f>+[4]Resumen!X49*1000</f>
        <v>0</v>
      </c>
      <c r="Y49" s="7">
        <f>+[4]Resumen!Y49*1000</f>
        <v>0</v>
      </c>
      <c r="Z49" s="7">
        <f>+[4]Resumen!Z49*1000</f>
        <v>0</v>
      </c>
      <c r="AA49" s="7">
        <f>+[4]Resumen!AA49*1000</f>
        <v>0</v>
      </c>
      <c r="AB49" s="7">
        <f>+[4]Resumen!AB49*1000</f>
        <v>0</v>
      </c>
      <c r="AC49" s="7">
        <f>+[4]Resumen!AC49*1000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+[4]Resumen!F50*1000</f>
        <v>0</v>
      </c>
      <c r="G50" s="7">
        <f>+[4]Resumen!G50*1000</f>
        <v>0</v>
      </c>
      <c r="H50" s="7">
        <f>+[4]Resumen!H50*1000</f>
        <v>0</v>
      </c>
      <c r="I50" s="7">
        <f>+[4]Resumen!I50*1000</f>
        <v>0</v>
      </c>
      <c r="J50" s="7">
        <f>+[4]Resumen!J50*1000</f>
        <v>0</v>
      </c>
      <c r="K50" s="7">
        <f>+[4]Resumen!K50*1000</f>
        <v>0</v>
      </c>
      <c r="L50" s="7">
        <f>+[4]Resumen!L50*1000</f>
        <v>0</v>
      </c>
      <c r="M50" s="7">
        <f>+[4]Resumen!M50*1000</f>
        <v>72485.972394311102</v>
      </c>
      <c r="N50" s="7">
        <f>+[4]Resumen!N50*1000</f>
        <v>89829.860976360054</v>
      </c>
      <c r="O50" s="7">
        <f>+[4]Resumen!O50*1000</f>
        <v>103455.97504813876</v>
      </c>
      <c r="P50" s="7">
        <f>+[4]Resumen!P50*1000</f>
        <v>118410.69043243617</v>
      </c>
      <c r="Q50" s="7">
        <f>+[4]Resumen!Q50*1000</f>
        <v>132784.38219416726</v>
      </c>
      <c r="R50" s="7">
        <f>+[4]Resumen!R50*1000</f>
        <v>142328.22281180194</v>
      </c>
      <c r="S50" s="7">
        <f>+[4]Resumen!S50*1000</f>
        <v>142634.39435002458</v>
      </c>
      <c r="T50" s="7">
        <f>+[4]Resumen!T50*1000</f>
        <v>136282.53905128638</v>
      </c>
      <c r="U50" s="7">
        <f>+[4]Resumen!U50*1000</f>
        <v>131670.6396903354</v>
      </c>
      <c r="V50" s="7">
        <f>+[4]Resumen!V50*1000</f>
        <v>129852.0612749171</v>
      </c>
      <c r="W50" s="7">
        <f>+[4]Resumen!W50*1000</f>
        <v>0</v>
      </c>
      <c r="X50" s="7">
        <f>+[4]Resumen!X50*1000</f>
        <v>0</v>
      </c>
      <c r="Y50" s="7">
        <f>+[4]Resumen!Y50*1000</f>
        <v>0</v>
      </c>
      <c r="Z50" s="7">
        <f>+[4]Resumen!Z50*1000</f>
        <v>0</v>
      </c>
      <c r="AA50" s="7">
        <f>+[4]Resumen!AA50*1000</f>
        <v>0</v>
      </c>
      <c r="AB50" s="7">
        <f>+[4]Resumen!AB50*1000</f>
        <v>0</v>
      </c>
      <c r="AC50" s="7">
        <f>+[4]Resumen!AC50*1000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20</v>
      </c>
      <c r="F51" s="7">
        <f>+[4]Resumen!F51*1000</f>
        <v>0</v>
      </c>
      <c r="G51" s="7">
        <f>+[4]Resumen!G51*1000</f>
        <v>0</v>
      </c>
      <c r="H51" s="7">
        <f>+[4]Resumen!H51*1000</f>
        <v>0</v>
      </c>
      <c r="I51" s="7">
        <f>+[4]Resumen!I51*1000</f>
        <v>0</v>
      </c>
      <c r="J51" s="7">
        <f>+[4]Resumen!J51*1000</f>
        <v>0</v>
      </c>
      <c r="K51" s="7">
        <f>+[4]Resumen!K51*1000</f>
        <v>0</v>
      </c>
      <c r="L51" s="7">
        <f>+[4]Resumen!L51*1000</f>
        <v>0</v>
      </c>
      <c r="M51" s="7">
        <f>+[4]Resumen!M51*1000</f>
        <v>117028.07596080488</v>
      </c>
      <c r="N51" s="7">
        <f>+[4]Resumen!N51*1000</f>
        <v>135404.94940123841</v>
      </c>
      <c r="O51" s="7">
        <f>+[4]Resumen!O51*1000</f>
        <v>146086.48043319816</v>
      </c>
      <c r="P51" s="7">
        <f>+[4]Resumen!P51*1000</f>
        <v>158748.01186079485</v>
      </c>
      <c r="Q51" s="7">
        <f>+[4]Resumen!Q51*1000</f>
        <v>170836.03117522475</v>
      </c>
      <c r="R51" s="7">
        <f>+[4]Resumen!R51*1000</f>
        <v>175724.28382462665</v>
      </c>
      <c r="S51" s="7">
        <f>+[4]Resumen!S51*1000</f>
        <v>172593.99607343558</v>
      </c>
      <c r="T51" s="7">
        <f>+[4]Resumen!T51*1000</f>
        <v>172860.79325091498</v>
      </c>
      <c r="U51" s="7">
        <f>+[4]Resumen!U51*1000</f>
        <v>172221.27755679912</v>
      </c>
      <c r="V51" s="7">
        <f>+[4]Resumen!V51*1000</f>
        <v>167014.00119580311</v>
      </c>
      <c r="W51" s="7">
        <f>+[4]Resumen!W51*1000</f>
        <v>0</v>
      </c>
      <c r="X51" s="7">
        <f>+[4]Resumen!X51*1000</f>
        <v>0</v>
      </c>
      <c r="Y51" s="7">
        <f>+[4]Resumen!Y51*1000</f>
        <v>0</v>
      </c>
      <c r="Z51" s="7">
        <f>+[4]Resumen!Z51*1000</f>
        <v>0</v>
      </c>
      <c r="AA51" s="7">
        <f>+[4]Resumen!AA51*1000</f>
        <v>0</v>
      </c>
      <c r="AB51" s="7">
        <f>+[4]Resumen!AB51*1000</f>
        <v>0</v>
      </c>
      <c r="AC51" s="7">
        <f>+[4]Resumen!AC51*1000</f>
        <v>0</v>
      </c>
      <c r="AD51" s="60">
        <f t="shared" ref="AD51" si="10">SUM(F51:AC51)*E51+SUM(F52:AC52)*E52+SUM(F53:AC53)*E53+SUM(F54:AC54)*E54</f>
        <v>45095101.824334696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+[4]Resumen!F52*1000</f>
        <v>0</v>
      </c>
      <c r="G52" s="7">
        <f>+[4]Resumen!G52*1000</f>
        <v>0</v>
      </c>
      <c r="H52" s="7">
        <f>+[4]Resumen!H52*1000</f>
        <v>0</v>
      </c>
      <c r="I52" s="7">
        <f>+[4]Resumen!I52*1000</f>
        <v>0</v>
      </c>
      <c r="J52" s="7">
        <f>+[4]Resumen!J52*1000</f>
        <v>0</v>
      </c>
      <c r="K52" s="7">
        <f>+[4]Resumen!K52*1000</f>
        <v>0</v>
      </c>
      <c r="L52" s="7">
        <f>+[4]Resumen!L52*1000</f>
        <v>0</v>
      </c>
      <c r="M52" s="7">
        <f>+[4]Resumen!M52*1000</f>
        <v>104626.15953308488</v>
      </c>
      <c r="N52" s="7">
        <f>+[4]Resumen!N52*1000</f>
        <v>125150.80321975819</v>
      </c>
      <c r="O52" s="7">
        <f>+[4]Resumen!O52*1000</f>
        <v>138899.49184188727</v>
      </c>
      <c r="P52" s="7">
        <f>+[4]Resumen!P52*1000</f>
        <v>149664.42340696382</v>
      </c>
      <c r="Q52" s="7">
        <f>+[4]Resumen!Q52*1000</f>
        <v>157469.30705992831</v>
      </c>
      <c r="R52" s="7">
        <f>+[4]Resumen!R52*1000</f>
        <v>158944.08229047229</v>
      </c>
      <c r="S52" s="7">
        <f>+[4]Resumen!S52*1000</f>
        <v>154274.2863996377</v>
      </c>
      <c r="T52" s="7">
        <f>+[4]Resumen!T52*1000</f>
        <v>148794.86396389539</v>
      </c>
      <c r="U52" s="7">
        <f>+[4]Resumen!U52*1000</f>
        <v>144732.73189355939</v>
      </c>
      <c r="V52" s="7">
        <f>+[4]Resumen!V52*1000</f>
        <v>140750.84425995397</v>
      </c>
      <c r="W52" s="7">
        <f>+[4]Resumen!W52*1000</f>
        <v>0</v>
      </c>
      <c r="X52" s="7">
        <f>+[4]Resumen!X52*1000</f>
        <v>0</v>
      </c>
      <c r="Y52" s="7">
        <f>+[4]Resumen!Y52*1000</f>
        <v>0</v>
      </c>
      <c r="Z52" s="7">
        <f>+[4]Resumen!Z52*1000</f>
        <v>0</v>
      </c>
      <c r="AA52" s="7">
        <f>+[4]Resumen!AA52*1000</f>
        <v>0</v>
      </c>
      <c r="AB52" s="7">
        <f>+[4]Resumen!AB52*1000</f>
        <v>0</v>
      </c>
      <c r="AC52" s="7">
        <f>+[4]Resumen!AC52*1000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+[4]Resumen!F53*1000</f>
        <v>0</v>
      </c>
      <c r="G53" s="7">
        <f>+[4]Resumen!G53*1000</f>
        <v>0</v>
      </c>
      <c r="H53" s="7">
        <f>+[4]Resumen!H53*1000</f>
        <v>0</v>
      </c>
      <c r="I53" s="7">
        <f>+[4]Resumen!I53*1000</f>
        <v>0</v>
      </c>
      <c r="J53" s="7">
        <f>+[4]Resumen!J53*1000</f>
        <v>0</v>
      </c>
      <c r="K53" s="7">
        <f>+[4]Resumen!K53*1000</f>
        <v>0</v>
      </c>
      <c r="L53" s="7">
        <f>+[4]Resumen!L53*1000</f>
        <v>0</v>
      </c>
      <c r="M53" s="7">
        <f>+[4]Resumen!M53*1000</f>
        <v>70657.000816271</v>
      </c>
      <c r="N53" s="7">
        <f>+[4]Resumen!N53*1000</f>
        <v>87369.003224164087</v>
      </c>
      <c r="O53" s="7">
        <f>+[4]Resumen!O53*1000</f>
        <v>101515.91162173125</v>
      </c>
      <c r="P53" s="7">
        <f>+[4]Resumen!P53*1000</f>
        <v>113109.8920744339</v>
      </c>
      <c r="Q53" s="7">
        <f>+[4]Resumen!Q53*1000</f>
        <v>124115.83962616093</v>
      </c>
      <c r="R53" s="7">
        <f>+[4]Resumen!R53*1000</f>
        <v>131209.05373275463</v>
      </c>
      <c r="S53" s="7">
        <f>+[4]Resumen!S53*1000</f>
        <v>132479.37429496009</v>
      </c>
      <c r="T53" s="7">
        <f>+[4]Resumen!T53*1000</f>
        <v>128640.91340330799</v>
      </c>
      <c r="U53" s="7">
        <f>+[4]Resumen!U53*1000</f>
        <v>126460.67927519519</v>
      </c>
      <c r="V53" s="7">
        <f>+[4]Resumen!V53*1000</f>
        <v>123558.79410283586</v>
      </c>
      <c r="W53" s="7">
        <f>+[4]Resumen!W53*1000</f>
        <v>0</v>
      </c>
      <c r="X53" s="7">
        <f>+[4]Resumen!X53*1000</f>
        <v>0</v>
      </c>
      <c r="Y53" s="7">
        <f>+[4]Resumen!Y53*1000</f>
        <v>0</v>
      </c>
      <c r="Z53" s="7">
        <f>+[4]Resumen!Z53*1000</f>
        <v>0</v>
      </c>
      <c r="AA53" s="7">
        <f>+[4]Resumen!AA53*1000</f>
        <v>0</v>
      </c>
      <c r="AB53" s="7">
        <f>+[4]Resumen!AB53*1000</f>
        <v>0</v>
      </c>
      <c r="AC53" s="7">
        <f>+[4]Resumen!AC53*1000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+[4]Resumen!F54*1000</f>
        <v>0</v>
      </c>
      <c r="G54" s="7">
        <f>+[4]Resumen!G54*1000</f>
        <v>0</v>
      </c>
      <c r="H54" s="7">
        <f>+[4]Resumen!H54*1000</f>
        <v>0</v>
      </c>
      <c r="I54" s="7">
        <f>+[4]Resumen!I54*1000</f>
        <v>0</v>
      </c>
      <c r="J54" s="7">
        <f>+[4]Resumen!J54*1000</f>
        <v>0</v>
      </c>
      <c r="K54" s="7">
        <f>+[4]Resumen!K54*1000</f>
        <v>0</v>
      </c>
      <c r="L54" s="7">
        <f>+[4]Resumen!L54*1000</f>
        <v>0</v>
      </c>
      <c r="M54" s="7">
        <f>+[4]Resumen!M54*1000</f>
        <v>55886.269384707157</v>
      </c>
      <c r="N54" s="7">
        <f>+[4]Resumen!N54*1000</f>
        <v>68286.352532091434</v>
      </c>
      <c r="O54" s="7">
        <f>+[4]Resumen!O54*1000</f>
        <v>81052.504438247779</v>
      </c>
      <c r="P54" s="7">
        <f>+[4]Resumen!P54*1000</f>
        <v>93269.199174564419</v>
      </c>
      <c r="Q54" s="7">
        <f>+[4]Resumen!Q54*1000</f>
        <v>104905.29841965066</v>
      </c>
      <c r="R54" s="7">
        <f>+[4]Resumen!R54*1000</f>
        <v>114003.63270468499</v>
      </c>
      <c r="S54" s="7">
        <f>+[4]Resumen!S54*1000</f>
        <v>115503.78020574347</v>
      </c>
      <c r="T54" s="7">
        <f>+[4]Resumen!T54*1000</f>
        <v>112338.71776123828</v>
      </c>
      <c r="U54" s="7">
        <f>+[4]Resumen!U54*1000</f>
        <v>111888.19460759952</v>
      </c>
      <c r="V54" s="7">
        <f>+[4]Resumen!V54*1000</f>
        <v>110832.81244259849</v>
      </c>
      <c r="W54" s="7">
        <f>+[4]Resumen!W54*1000</f>
        <v>0</v>
      </c>
      <c r="X54" s="7">
        <f>+[4]Resumen!X54*1000</f>
        <v>0</v>
      </c>
      <c r="Y54" s="7">
        <f>+[4]Resumen!Y54*1000</f>
        <v>0</v>
      </c>
      <c r="Z54" s="7">
        <f>+[4]Resumen!Z54*1000</f>
        <v>0</v>
      </c>
      <c r="AA54" s="7">
        <f>+[4]Resumen!AA54*1000</f>
        <v>0</v>
      </c>
      <c r="AB54" s="7">
        <f>+[4]Resumen!AB54*1000</f>
        <v>0</v>
      </c>
      <c r="AC54" s="7">
        <f>+[4]Resumen!AC54*1000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7"/>
      <c r="AB55" s="55"/>
      <c r="AC55" s="56"/>
      <c r="AD55" s="17">
        <f>SUM(AD7:AD54)</f>
        <v>549066776.46697927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8FC-5452-48EB-BFE9-0A227EE50D8E}">
  <dimension ref="C1:BD57"/>
  <sheetViews>
    <sheetView showGridLines="0" topLeftCell="A3" zoomScale="66" zoomScaleNormal="66" workbookViewId="0">
      <selection activeCell="AD55" sqref="AC55:AD57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+[5]Resumen!F7*1000</f>
        <v>0</v>
      </c>
      <c r="G7" s="7">
        <f>+[5]Resumen!G7*1000</f>
        <v>0</v>
      </c>
      <c r="H7" s="7">
        <f>+[5]Resumen!H7*1000</f>
        <v>0</v>
      </c>
      <c r="I7" s="7">
        <f>+[5]Resumen!I7*1000</f>
        <v>0</v>
      </c>
      <c r="J7" s="7">
        <f>+[5]Resumen!J7*1000</f>
        <v>0</v>
      </c>
      <c r="K7" s="7">
        <f>+[5]Resumen!K7*1000</f>
        <v>0</v>
      </c>
      <c r="L7" s="7">
        <f>+[5]Resumen!L7*1000</f>
        <v>0</v>
      </c>
      <c r="M7" s="7">
        <f>+[5]Resumen!M7*1000</f>
        <v>126588.69917524059</v>
      </c>
      <c r="N7" s="7">
        <f>+[5]Resumen!N7*1000</f>
        <v>140454.72047111468</v>
      </c>
      <c r="O7" s="7">
        <f>+[5]Resumen!O7*1000</f>
        <v>149364.14828147169</v>
      </c>
      <c r="P7" s="7">
        <f>+[5]Resumen!P7*1000</f>
        <v>161375.85561828114</v>
      </c>
      <c r="Q7" s="7">
        <f>+[5]Resumen!Q7*1000</f>
        <v>171781.92687439543</v>
      </c>
      <c r="R7" s="7">
        <f>+[5]Resumen!R7*1000</f>
        <v>175391.16822548929</v>
      </c>
      <c r="S7" s="7">
        <f>+[5]Resumen!S7*1000</f>
        <v>173415.72214024776</v>
      </c>
      <c r="T7" s="7">
        <f>+[5]Resumen!T7*1000</f>
        <v>174987.23707357404</v>
      </c>
      <c r="U7" s="7">
        <f>+[5]Resumen!U7*1000</f>
        <v>174765.97929413716</v>
      </c>
      <c r="V7" s="7">
        <f>+[5]Resumen!V7*1000</f>
        <v>169821.32615718184</v>
      </c>
      <c r="W7" s="7">
        <f>+[5]Resumen!W7*1000</f>
        <v>0</v>
      </c>
      <c r="X7" s="7">
        <f>+[5]Resumen!X7*1000</f>
        <v>0</v>
      </c>
      <c r="Y7" s="7">
        <f>+[5]Resumen!Y7*1000</f>
        <v>0</v>
      </c>
      <c r="Z7" s="7">
        <f>+[5]Resumen!Z7*1000</f>
        <v>0</v>
      </c>
      <c r="AA7" s="7">
        <f>+[5]Resumen!AA7*1000</f>
        <v>0</v>
      </c>
      <c r="AB7" s="7">
        <f>+[5]Resumen!AB7*1000</f>
        <v>0</v>
      </c>
      <c r="AC7" s="7">
        <f>+[5]Resumen!AC7*1000</f>
        <v>0</v>
      </c>
      <c r="AD7" s="60">
        <f>SUM(F7:AC7)*E7+SUM(F8:AC8)*E8+SUM(F9:AC9)*E9+SUM(F10:AC10)*E10</f>
        <v>46682112.720715575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+[5]Resumen!F8*1000</f>
        <v>0</v>
      </c>
      <c r="G8" s="7">
        <f>+[5]Resumen!G8*1000</f>
        <v>0</v>
      </c>
      <c r="H8" s="7">
        <f>+[5]Resumen!H8*1000</f>
        <v>0</v>
      </c>
      <c r="I8" s="7">
        <f>+[5]Resumen!I8*1000</f>
        <v>0</v>
      </c>
      <c r="J8" s="7">
        <f>+[5]Resumen!J8*1000</f>
        <v>0</v>
      </c>
      <c r="K8" s="7">
        <f>+[5]Resumen!K8*1000</f>
        <v>0</v>
      </c>
      <c r="L8" s="7">
        <f>+[5]Resumen!L8*1000</f>
        <v>0</v>
      </c>
      <c r="M8" s="7">
        <f>+[5]Resumen!M8*1000</f>
        <v>110762.82651346397</v>
      </c>
      <c r="N8" s="7">
        <f>+[5]Resumen!N8*1000</f>
        <v>126860.28256752065</v>
      </c>
      <c r="O8" s="7">
        <f>+[5]Resumen!O8*1000</f>
        <v>138779.50558142556</v>
      </c>
      <c r="P8" s="7">
        <f>+[5]Resumen!P8*1000</f>
        <v>148968.39019139012</v>
      </c>
      <c r="Q8" s="7">
        <f>+[5]Resumen!Q8*1000</f>
        <v>157520.49855439644</v>
      </c>
      <c r="R8" s="7">
        <f>+[5]Resumen!R8*1000</f>
        <v>159344.87541533032</v>
      </c>
      <c r="S8" s="7">
        <f>+[5]Resumen!S8*1000</f>
        <v>155576.62992810085</v>
      </c>
      <c r="T8" s="7">
        <f>+[5]Resumen!T8*1000</f>
        <v>150945.81949133432</v>
      </c>
      <c r="U8" s="7">
        <f>+[5]Resumen!U8*1000</f>
        <v>148560.11074885351</v>
      </c>
      <c r="V8" s="7">
        <f>+[5]Resumen!V8*1000</f>
        <v>146095.90283725134</v>
      </c>
      <c r="W8" s="7">
        <f>+[5]Resumen!W8*1000</f>
        <v>0</v>
      </c>
      <c r="X8" s="7">
        <f>+[5]Resumen!X8*1000</f>
        <v>0</v>
      </c>
      <c r="Y8" s="7">
        <f>+[5]Resumen!Y8*1000</f>
        <v>0</v>
      </c>
      <c r="Z8" s="7">
        <f>+[5]Resumen!Z8*1000</f>
        <v>0</v>
      </c>
      <c r="AA8" s="7">
        <f>+[5]Resumen!AA8*1000</f>
        <v>0</v>
      </c>
      <c r="AB8" s="7">
        <f>+[5]Resumen!AB8*1000</f>
        <v>0</v>
      </c>
      <c r="AC8" s="7">
        <f>+[5]Resumen!AC8*1000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+[5]Resumen!F9*1000</f>
        <v>0</v>
      </c>
      <c r="G9" s="7">
        <f>+[5]Resumen!G9*1000</f>
        <v>0</v>
      </c>
      <c r="H9" s="7">
        <f>+[5]Resumen!H9*1000</f>
        <v>0</v>
      </c>
      <c r="I9" s="7">
        <f>+[5]Resumen!I9*1000</f>
        <v>0</v>
      </c>
      <c r="J9" s="7">
        <f>+[5]Resumen!J9*1000</f>
        <v>0</v>
      </c>
      <c r="K9" s="7">
        <f>+[5]Resumen!K9*1000</f>
        <v>0</v>
      </c>
      <c r="L9" s="7">
        <f>+[5]Resumen!L9*1000</f>
        <v>0</v>
      </c>
      <c r="M9" s="7">
        <f>+[5]Resumen!M9*1000</f>
        <v>85315.621765660078</v>
      </c>
      <c r="N9" s="7">
        <f>+[5]Resumen!N9*1000</f>
        <v>97878.68331998444</v>
      </c>
      <c r="O9" s="7">
        <f>+[5]Resumen!O9*1000</f>
        <v>109450.65488333152</v>
      </c>
      <c r="P9" s="7">
        <f>+[5]Resumen!P9*1000</f>
        <v>118575.39288203469</v>
      </c>
      <c r="Q9" s="7">
        <f>+[5]Resumen!Q9*1000</f>
        <v>129093.83398652983</v>
      </c>
      <c r="R9" s="7">
        <f>+[5]Resumen!R9*1000</f>
        <v>135955.96831854529</v>
      </c>
      <c r="S9" s="7">
        <f>+[5]Resumen!S9*1000</f>
        <v>137538.53053791201</v>
      </c>
      <c r="T9" s="7">
        <f>+[5]Resumen!T9*1000</f>
        <v>134528.16664857464</v>
      </c>
      <c r="U9" s="7">
        <f>+[5]Resumen!U9*1000</f>
        <v>131769.95844889688</v>
      </c>
      <c r="V9" s="7">
        <f>+[5]Resumen!V9*1000</f>
        <v>129202.94569647055</v>
      </c>
      <c r="W9" s="7">
        <f>+[5]Resumen!W9*1000</f>
        <v>0</v>
      </c>
      <c r="X9" s="7">
        <f>+[5]Resumen!X9*1000</f>
        <v>0</v>
      </c>
      <c r="Y9" s="7">
        <f>+[5]Resumen!Y9*1000</f>
        <v>0</v>
      </c>
      <c r="Z9" s="7">
        <f>+[5]Resumen!Z9*1000</f>
        <v>0</v>
      </c>
      <c r="AA9" s="7">
        <f>+[5]Resumen!AA9*1000</f>
        <v>0</v>
      </c>
      <c r="AB9" s="7">
        <f>+[5]Resumen!AB9*1000</f>
        <v>0</v>
      </c>
      <c r="AC9" s="7">
        <f>+[5]Resumen!AC9*1000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+[5]Resumen!F10*1000</f>
        <v>0</v>
      </c>
      <c r="G10" s="7">
        <f>+[5]Resumen!G10*1000</f>
        <v>0</v>
      </c>
      <c r="H10" s="7">
        <f>+[5]Resumen!H10*1000</f>
        <v>0</v>
      </c>
      <c r="I10" s="7">
        <f>+[5]Resumen!I10*1000</f>
        <v>0</v>
      </c>
      <c r="J10" s="7">
        <f>+[5]Resumen!J10*1000</f>
        <v>0</v>
      </c>
      <c r="K10" s="7">
        <f>+[5]Resumen!K10*1000</f>
        <v>0</v>
      </c>
      <c r="L10" s="7">
        <f>+[5]Resumen!L10*1000</f>
        <v>0</v>
      </c>
      <c r="M10" s="7">
        <f>+[5]Resumen!M10*1000</f>
        <v>72073.407720501578</v>
      </c>
      <c r="N10" s="7">
        <f>+[5]Resumen!N10*1000</f>
        <v>81112.017537831693</v>
      </c>
      <c r="O10" s="7">
        <f>+[5]Resumen!O10*1000</f>
        <v>90650.317392560057</v>
      </c>
      <c r="P10" s="7">
        <f>+[5]Resumen!P10*1000</f>
        <v>100924.25850887199</v>
      </c>
      <c r="Q10" s="7">
        <f>+[5]Resumen!Q10*1000</f>
        <v>111932.78358286289</v>
      </c>
      <c r="R10" s="7">
        <f>+[5]Resumen!R10*1000</f>
        <v>119987.51565895745</v>
      </c>
      <c r="S10" s="7">
        <f>+[5]Resumen!S10*1000</f>
        <v>121307.68789747114</v>
      </c>
      <c r="T10" s="7">
        <f>+[5]Resumen!T10*1000</f>
        <v>118808.65260055212</v>
      </c>
      <c r="U10" s="7">
        <f>+[5]Resumen!U10*1000</f>
        <v>116105.53917288352</v>
      </c>
      <c r="V10" s="7">
        <f>+[5]Resumen!V10*1000</f>
        <v>114263.75888437769</v>
      </c>
      <c r="W10" s="7">
        <f>+[5]Resumen!W10*1000</f>
        <v>0</v>
      </c>
      <c r="X10" s="7">
        <f>+[5]Resumen!X10*1000</f>
        <v>0</v>
      </c>
      <c r="Y10" s="7">
        <f>+[5]Resumen!Y10*1000</f>
        <v>0</v>
      </c>
      <c r="Z10" s="7">
        <f>+[5]Resumen!Z10*1000</f>
        <v>0</v>
      </c>
      <c r="AA10" s="7">
        <f>+[5]Resumen!AA10*1000</f>
        <v>0</v>
      </c>
      <c r="AB10" s="7">
        <f>+[5]Resumen!AB10*1000</f>
        <v>0</v>
      </c>
      <c r="AC10" s="7">
        <f>+[5]Resumen!AC10*1000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+[5]Resumen!F11*1000</f>
        <v>0</v>
      </c>
      <c r="G11" s="7">
        <f>+[5]Resumen!G11*1000</f>
        <v>0</v>
      </c>
      <c r="H11" s="7">
        <f>+[5]Resumen!H11*1000</f>
        <v>0</v>
      </c>
      <c r="I11" s="7">
        <f>+[5]Resumen!I11*1000</f>
        <v>0</v>
      </c>
      <c r="J11" s="7">
        <f>+[5]Resumen!J11*1000</f>
        <v>0</v>
      </c>
      <c r="K11" s="7">
        <f>+[5]Resumen!K11*1000</f>
        <v>0</v>
      </c>
      <c r="L11" s="7">
        <f>+[5]Resumen!L11*1000</f>
        <v>0</v>
      </c>
      <c r="M11" s="7">
        <f>+[5]Resumen!M11*1000</f>
        <v>150231.11284706241</v>
      </c>
      <c r="N11" s="7">
        <f>+[5]Resumen!N11*1000</f>
        <v>162372.73511801774</v>
      </c>
      <c r="O11" s="7">
        <f>+[5]Resumen!O11*1000</f>
        <v>170148.6551279522</v>
      </c>
      <c r="P11" s="7">
        <f>+[5]Resumen!P11*1000</f>
        <v>182560.16089287103</v>
      </c>
      <c r="Q11" s="7">
        <f>+[5]Resumen!Q11*1000</f>
        <v>192662.50671800444</v>
      </c>
      <c r="R11" s="7">
        <f>+[5]Resumen!R11*1000</f>
        <v>193246.38278241886</v>
      </c>
      <c r="S11" s="7">
        <f>+[5]Resumen!S11*1000</f>
        <v>190388.92762088147</v>
      </c>
      <c r="T11" s="7">
        <f>+[5]Resumen!T11*1000</f>
        <v>192234.01121420777</v>
      </c>
      <c r="U11" s="7">
        <f>+[5]Resumen!U11*1000</f>
        <v>192555.17908008918</v>
      </c>
      <c r="V11" s="7">
        <f>+[5]Resumen!V11*1000</f>
        <v>187805.26489822875</v>
      </c>
      <c r="W11" s="7">
        <f>+[5]Resumen!W11*1000</f>
        <v>0</v>
      </c>
      <c r="X11" s="7">
        <f>+[5]Resumen!X11*1000</f>
        <v>0</v>
      </c>
      <c r="Y11" s="7">
        <f>+[5]Resumen!Y11*1000</f>
        <v>0</v>
      </c>
      <c r="Z11" s="7">
        <f>+[5]Resumen!Z11*1000</f>
        <v>0</v>
      </c>
      <c r="AA11" s="7">
        <f>+[5]Resumen!AA11*1000</f>
        <v>0</v>
      </c>
      <c r="AB11" s="7">
        <f>+[5]Resumen!AB11*1000</f>
        <v>0</v>
      </c>
      <c r="AC11" s="7">
        <f>+[5]Resumen!AC11*1000</f>
        <v>0</v>
      </c>
      <c r="AD11" s="60">
        <f>SUM(F11:AC11)*E11+SUM(F12:AC12)*E12+SUM(F13:AC13)*E13+SUM(F14:AC14)*E14</f>
        <v>48679336.66111356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+[5]Resumen!F12*1000</f>
        <v>0</v>
      </c>
      <c r="G12" s="7">
        <f>+[5]Resumen!G12*1000</f>
        <v>0</v>
      </c>
      <c r="H12" s="7">
        <f>+[5]Resumen!H12*1000</f>
        <v>0</v>
      </c>
      <c r="I12" s="7">
        <f>+[5]Resumen!I12*1000</f>
        <v>0</v>
      </c>
      <c r="J12" s="7">
        <f>+[5]Resumen!J12*1000</f>
        <v>0</v>
      </c>
      <c r="K12" s="7">
        <f>+[5]Resumen!K12*1000</f>
        <v>0</v>
      </c>
      <c r="L12" s="7">
        <f>+[5]Resumen!L12*1000</f>
        <v>0</v>
      </c>
      <c r="M12" s="7">
        <f>+[5]Resumen!M12*1000</f>
        <v>135125.2600383056</v>
      </c>
      <c r="N12" s="7">
        <f>+[5]Resumen!N12*1000</f>
        <v>154004.90764002822</v>
      </c>
      <c r="O12" s="7">
        <f>+[5]Resumen!O12*1000</f>
        <v>165918.64909776734</v>
      </c>
      <c r="P12" s="7">
        <f>+[5]Resumen!P12*1000</f>
        <v>176985.61330893368</v>
      </c>
      <c r="Q12" s="7">
        <f>+[5]Resumen!Q12*1000</f>
        <v>183635.96864234269</v>
      </c>
      <c r="R12" s="7">
        <f>+[5]Resumen!R12*1000</f>
        <v>183762.33596261049</v>
      </c>
      <c r="S12" s="7">
        <f>+[5]Resumen!S12*1000</f>
        <v>177974.40597356283</v>
      </c>
      <c r="T12" s="7">
        <f>+[5]Resumen!T12*1000</f>
        <v>172388.50109797416</v>
      </c>
      <c r="U12" s="7">
        <f>+[5]Resumen!U12*1000</f>
        <v>170295.78871811388</v>
      </c>
      <c r="V12" s="7">
        <f>+[5]Resumen!V12*1000</f>
        <v>167723.8015047925</v>
      </c>
      <c r="W12" s="7">
        <f>+[5]Resumen!W12*1000</f>
        <v>0</v>
      </c>
      <c r="X12" s="7">
        <f>+[5]Resumen!X12*1000</f>
        <v>0</v>
      </c>
      <c r="Y12" s="7">
        <f>+[5]Resumen!Y12*1000</f>
        <v>0</v>
      </c>
      <c r="Z12" s="7">
        <f>+[5]Resumen!Z12*1000</f>
        <v>0</v>
      </c>
      <c r="AA12" s="7">
        <f>+[5]Resumen!AA12*1000</f>
        <v>0</v>
      </c>
      <c r="AB12" s="7">
        <f>+[5]Resumen!AB12*1000</f>
        <v>0</v>
      </c>
      <c r="AC12" s="7">
        <f>+[5]Resumen!AC12*1000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+[5]Resumen!F13*1000</f>
        <v>0</v>
      </c>
      <c r="G13" s="7">
        <f>+[5]Resumen!G13*1000</f>
        <v>0</v>
      </c>
      <c r="H13" s="7">
        <f>+[5]Resumen!H13*1000</f>
        <v>0</v>
      </c>
      <c r="I13" s="7">
        <f>+[5]Resumen!I13*1000</f>
        <v>0</v>
      </c>
      <c r="J13" s="7">
        <f>+[5]Resumen!J13*1000</f>
        <v>0</v>
      </c>
      <c r="K13" s="7">
        <f>+[5]Resumen!K13*1000</f>
        <v>0</v>
      </c>
      <c r="L13" s="7">
        <f>+[5]Resumen!L13*1000</f>
        <v>0</v>
      </c>
      <c r="M13" s="7">
        <f>+[5]Resumen!M13*1000</f>
        <v>102322.51315399709</v>
      </c>
      <c r="N13" s="7">
        <f>+[5]Resumen!N13*1000</f>
        <v>116869.5243911804</v>
      </c>
      <c r="O13" s="7">
        <f>+[5]Resumen!O13*1000</f>
        <v>129204.18571891403</v>
      </c>
      <c r="P13" s="7">
        <f>+[5]Resumen!P13*1000</f>
        <v>139672.03431831821</v>
      </c>
      <c r="Q13" s="7">
        <f>+[5]Resumen!Q13*1000</f>
        <v>151032.69291798383</v>
      </c>
      <c r="R13" s="7">
        <f>+[5]Resumen!R13*1000</f>
        <v>157948.46027369754</v>
      </c>
      <c r="S13" s="7">
        <f>+[5]Resumen!S13*1000</f>
        <v>158441.07766652989</v>
      </c>
      <c r="T13" s="7">
        <f>+[5]Resumen!T13*1000</f>
        <v>154856.29801645287</v>
      </c>
      <c r="U13" s="7">
        <f>+[5]Resumen!U13*1000</f>
        <v>151872.61924585805</v>
      </c>
      <c r="V13" s="7">
        <f>+[5]Resumen!V13*1000</f>
        <v>148774.84609235829</v>
      </c>
      <c r="W13" s="7">
        <f>+[5]Resumen!W13*1000</f>
        <v>0</v>
      </c>
      <c r="X13" s="7">
        <f>+[5]Resumen!X13*1000</f>
        <v>0</v>
      </c>
      <c r="Y13" s="7">
        <f>+[5]Resumen!Y13*1000</f>
        <v>0</v>
      </c>
      <c r="Z13" s="7">
        <f>+[5]Resumen!Z13*1000</f>
        <v>0</v>
      </c>
      <c r="AA13" s="7">
        <f>+[5]Resumen!AA13*1000</f>
        <v>0</v>
      </c>
      <c r="AB13" s="7">
        <f>+[5]Resumen!AB13*1000</f>
        <v>0</v>
      </c>
      <c r="AC13" s="7">
        <f>+[5]Resumen!AC13*1000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+[5]Resumen!F14*1000</f>
        <v>0</v>
      </c>
      <c r="G14" s="7">
        <f>+[5]Resumen!G14*1000</f>
        <v>0</v>
      </c>
      <c r="H14" s="7">
        <f>+[5]Resumen!H14*1000</f>
        <v>0</v>
      </c>
      <c r="I14" s="7">
        <f>+[5]Resumen!I14*1000</f>
        <v>0</v>
      </c>
      <c r="J14" s="7">
        <f>+[5]Resumen!J14*1000</f>
        <v>0</v>
      </c>
      <c r="K14" s="7">
        <f>+[5]Resumen!K14*1000</f>
        <v>0</v>
      </c>
      <c r="L14" s="7">
        <f>+[5]Resumen!L14*1000</f>
        <v>0</v>
      </c>
      <c r="M14" s="7">
        <f>+[5]Resumen!M14*1000</f>
        <v>0</v>
      </c>
      <c r="N14" s="7">
        <f>+[5]Resumen!N14*1000</f>
        <v>0</v>
      </c>
      <c r="O14" s="7">
        <f>+[5]Resumen!O14*1000</f>
        <v>0</v>
      </c>
      <c r="P14" s="7">
        <f>+[5]Resumen!P14*1000</f>
        <v>0</v>
      </c>
      <c r="Q14" s="7">
        <f>+[5]Resumen!Q14*1000</f>
        <v>0</v>
      </c>
      <c r="R14" s="7">
        <f>+[5]Resumen!R14*1000</f>
        <v>0</v>
      </c>
      <c r="S14" s="7">
        <f>+[5]Resumen!S14*1000</f>
        <v>0</v>
      </c>
      <c r="T14" s="7">
        <f>+[5]Resumen!T14*1000</f>
        <v>0</v>
      </c>
      <c r="U14" s="7">
        <f>+[5]Resumen!U14*1000</f>
        <v>0</v>
      </c>
      <c r="V14" s="7">
        <f>+[5]Resumen!V14*1000</f>
        <v>0</v>
      </c>
      <c r="W14" s="7">
        <f>+[5]Resumen!W14*1000</f>
        <v>0</v>
      </c>
      <c r="X14" s="7">
        <f>+[5]Resumen!X14*1000</f>
        <v>0</v>
      </c>
      <c r="Y14" s="7">
        <f>+[5]Resumen!Y14*1000</f>
        <v>0</v>
      </c>
      <c r="Z14" s="7">
        <f>+[5]Resumen!Z14*1000</f>
        <v>0</v>
      </c>
      <c r="AA14" s="7">
        <f>+[5]Resumen!AA14*1000</f>
        <v>0</v>
      </c>
      <c r="AB14" s="7">
        <f>+[5]Resumen!AB14*1000</f>
        <v>0</v>
      </c>
      <c r="AC14" s="7">
        <f>+[5]Resumen!AC14*1000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+[5]Resumen!F15*1000</f>
        <v>0</v>
      </c>
      <c r="G15" s="7">
        <f>+[5]Resumen!G15*1000</f>
        <v>0</v>
      </c>
      <c r="H15" s="7">
        <f>+[5]Resumen!H15*1000</f>
        <v>0</v>
      </c>
      <c r="I15" s="7">
        <f>+[5]Resumen!I15*1000</f>
        <v>0</v>
      </c>
      <c r="J15" s="7">
        <f>+[5]Resumen!J15*1000</f>
        <v>0</v>
      </c>
      <c r="K15" s="7">
        <f>+[5]Resumen!K15*1000</f>
        <v>0</v>
      </c>
      <c r="L15" s="7">
        <f>+[5]Resumen!L15*1000</f>
        <v>0</v>
      </c>
      <c r="M15" s="7">
        <f>+[5]Resumen!M15*1000</f>
        <v>132614.73810964596</v>
      </c>
      <c r="N15" s="7">
        <f>+[5]Resumen!N15*1000</f>
        <v>143602.42300512054</v>
      </c>
      <c r="O15" s="7">
        <f>+[5]Resumen!O15*1000</f>
        <v>150677.6092064626</v>
      </c>
      <c r="P15" s="7">
        <f>+[5]Resumen!P15*1000</f>
        <v>162060.03184242526</v>
      </c>
      <c r="Q15" s="7">
        <f>+[5]Resumen!Q15*1000</f>
        <v>171314.35834552511</v>
      </c>
      <c r="R15" s="7">
        <f>+[5]Resumen!R15*1000</f>
        <v>172308.12547104925</v>
      </c>
      <c r="S15" s="7">
        <f>+[5]Resumen!S15*1000</f>
        <v>169682.79676248488</v>
      </c>
      <c r="T15" s="7">
        <f>+[5]Resumen!T15*1000</f>
        <v>171249.16478146377</v>
      </c>
      <c r="U15" s="7">
        <f>+[5]Resumen!U15*1000</f>
        <v>170829.04353519526</v>
      </c>
      <c r="V15" s="7">
        <f>+[5]Resumen!V15*1000</f>
        <v>166591.24219835823</v>
      </c>
      <c r="W15" s="7">
        <f>+[5]Resumen!W15*1000</f>
        <v>0</v>
      </c>
      <c r="X15" s="7">
        <f>+[5]Resumen!X15*1000</f>
        <v>0</v>
      </c>
      <c r="Y15" s="7">
        <f>+[5]Resumen!Y15*1000</f>
        <v>0</v>
      </c>
      <c r="Z15" s="7">
        <f>+[5]Resumen!Z15*1000</f>
        <v>0</v>
      </c>
      <c r="AA15" s="7">
        <f>+[5]Resumen!AA15*1000</f>
        <v>0</v>
      </c>
      <c r="AB15" s="7">
        <f>+[5]Resumen!AB15*1000</f>
        <v>0</v>
      </c>
      <c r="AC15" s="7">
        <f>+[5]Resumen!AC15*1000</f>
        <v>0</v>
      </c>
      <c r="AD15" s="60">
        <f t="shared" ref="AD15" si="0">SUM(F15:AC15)*E15+SUM(F16:AC16)*E16+SUM(F17:AC17)*E17+SUM(F18:AC18)*E18</f>
        <v>47143261.127823539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+[5]Resumen!F16*1000</f>
        <v>0</v>
      </c>
      <c r="G16" s="7">
        <f>+[5]Resumen!G16*1000</f>
        <v>0</v>
      </c>
      <c r="H16" s="7">
        <f>+[5]Resumen!H16*1000</f>
        <v>0</v>
      </c>
      <c r="I16" s="7">
        <f>+[5]Resumen!I16*1000</f>
        <v>0</v>
      </c>
      <c r="J16" s="7">
        <f>+[5]Resumen!J16*1000</f>
        <v>0</v>
      </c>
      <c r="K16" s="7">
        <f>+[5]Resumen!K16*1000</f>
        <v>0</v>
      </c>
      <c r="L16" s="7">
        <f>+[5]Resumen!L16*1000</f>
        <v>0</v>
      </c>
      <c r="M16" s="7">
        <f>+[5]Resumen!M16*1000</f>
        <v>119051.13036670411</v>
      </c>
      <c r="N16" s="7">
        <f>+[5]Resumen!N16*1000</f>
        <v>135291.36350823194</v>
      </c>
      <c r="O16" s="7">
        <f>+[5]Resumen!O16*1000</f>
        <v>145770.27787083213</v>
      </c>
      <c r="P16" s="7">
        <f>+[5]Resumen!P16*1000</f>
        <v>155723.57464067181</v>
      </c>
      <c r="Q16" s="7">
        <f>+[5]Resumen!Q16*1000</f>
        <v>163242.24542504878</v>
      </c>
      <c r="R16" s="7">
        <f>+[5]Resumen!R16*1000</f>
        <v>163672.89659700045</v>
      </c>
      <c r="S16" s="7">
        <f>+[5]Resumen!S16*1000</f>
        <v>159326.66925799774</v>
      </c>
      <c r="T16" s="7">
        <f>+[5]Resumen!T16*1000</f>
        <v>154876.07678503002</v>
      </c>
      <c r="U16" s="7">
        <f>+[5]Resumen!U16*1000</f>
        <v>151888.10310226335</v>
      </c>
      <c r="V16" s="7">
        <f>+[5]Resumen!V16*1000</f>
        <v>149173.12323465539</v>
      </c>
      <c r="W16" s="7">
        <f>+[5]Resumen!W16*1000</f>
        <v>0</v>
      </c>
      <c r="X16" s="7">
        <f>+[5]Resumen!X16*1000</f>
        <v>0</v>
      </c>
      <c r="Y16" s="7">
        <f>+[5]Resumen!Y16*1000</f>
        <v>0</v>
      </c>
      <c r="Z16" s="7">
        <f>+[5]Resumen!Z16*1000</f>
        <v>0</v>
      </c>
      <c r="AA16" s="7">
        <f>+[5]Resumen!AA16*1000</f>
        <v>0</v>
      </c>
      <c r="AB16" s="7">
        <f>+[5]Resumen!AB16*1000</f>
        <v>0</v>
      </c>
      <c r="AC16" s="7">
        <f>+[5]Resumen!AC16*1000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+[5]Resumen!F17*1000</f>
        <v>0</v>
      </c>
      <c r="G17" s="7">
        <f>+[5]Resumen!G17*1000</f>
        <v>0</v>
      </c>
      <c r="H17" s="7">
        <f>+[5]Resumen!H17*1000</f>
        <v>0</v>
      </c>
      <c r="I17" s="7">
        <f>+[5]Resumen!I17*1000</f>
        <v>0</v>
      </c>
      <c r="J17" s="7">
        <f>+[5]Resumen!J17*1000</f>
        <v>0</v>
      </c>
      <c r="K17" s="7">
        <f>+[5]Resumen!K17*1000</f>
        <v>0</v>
      </c>
      <c r="L17" s="7">
        <f>+[5]Resumen!L17*1000</f>
        <v>0</v>
      </c>
      <c r="M17" s="7">
        <f>+[5]Resumen!M17*1000</f>
        <v>88012.062887134409</v>
      </c>
      <c r="N17" s="7">
        <f>+[5]Resumen!N17*1000</f>
        <v>101558.74144949843</v>
      </c>
      <c r="O17" s="7">
        <f>+[5]Resumen!O17*1000</f>
        <v>111918.88054977132</v>
      </c>
      <c r="P17" s="7">
        <f>+[5]Resumen!P17*1000</f>
        <v>121058.91147427175</v>
      </c>
      <c r="Q17" s="7">
        <f>+[5]Resumen!Q17*1000</f>
        <v>130715.37273915757</v>
      </c>
      <c r="R17" s="7">
        <f>+[5]Resumen!R17*1000</f>
        <v>136869.15862144998</v>
      </c>
      <c r="S17" s="7">
        <f>+[5]Resumen!S17*1000</f>
        <v>137331.92308986047</v>
      </c>
      <c r="T17" s="7">
        <f>+[5]Resumen!T17*1000</f>
        <v>134359.06782642138</v>
      </c>
      <c r="U17" s="7">
        <f>+[5]Resumen!U17*1000</f>
        <v>132293.06930754569</v>
      </c>
      <c r="V17" s="7">
        <f>+[5]Resumen!V17*1000</f>
        <v>129865.86497958834</v>
      </c>
      <c r="W17" s="7">
        <f>+[5]Resumen!W17*1000</f>
        <v>0</v>
      </c>
      <c r="X17" s="7">
        <f>+[5]Resumen!X17*1000</f>
        <v>0</v>
      </c>
      <c r="Y17" s="7">
        <f>+[5]Resumen!Y17*1000</f>
        <v>0</v>
      </c>
      <c r="Z17" s="7">
        <f>+[5]Resumen!Z17*1000</f>
        <v>0</v>
      </c>
      <c r="AA17" s="7">
        <f>+[5]Resumen!AA17*1000</f>
        <v>0</v>
      </c>
      <c r="AB17" s="7">
        <f>+[5]Resumen!AB17*1000</f>
        <v>0</v>
      </c>
      <c r="AC17" s="7">
        <f>+[5]Resumen!AC17*1000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+[5]Resumen!F18*1000</f>
        <v>0</v>
      </c>
      <c r="G18" s="7">
        <f>+[5]Resumen!G18*1000</f>
        <v>0</v>
      </c>
      <c r="H18" s="7">
        <f>+[5]Resumen!H18*1000</f>
        <v>0</v>
      </c>
      <c r="I18" s="7">
        <f>+[5]Resumen!I18*1000</f>
        <v>0</v>
      </c>
      <c r="J18" s="7">
        <f>+[5]Resumen!J18*1000</f>
        <v>0</v>
      </c>
      <c r="K18" s="7">
        <f>+[5]Resumen!K18*1000</f>
        <v>0</v>
      </c>
      <c r="L18" s="7">
        <f>+[5]Resumen!L18*1000</f>
        <v>0</v>
      </c>
      <c r="M18" s="7">
        <f>+[5]Resumen!M18*1000</f>
        <v>94081.024254033298</v>
      </c>
      <c r="N18" s="7">
        <f>+[5]Resumen!N18*1000</f>
        <v>107305.48585868045</v>
      </c>
      <c r="O18" s="7">
        <f>+[5]Resumen!O18*1000</f>
        <v>119313.49571134966</v>
      </c>
      <c r="P18" s="7">
        <f>+[5]Resumen!P18*1000</f>
        <v>130542.00158802271</v>
      </c>
      <c r="Q18" s="7">
        <f>+[5]Resumen!Q18*1000</f>
        <v>143179.52402645792</v>
      </c>
      <c r="R18" s="7">
        <f>+[5]Resumen!R18*1000</f>
        <v>149614.53632324416</v>
      </c>
      <c r="S18" s="7">
        <f>+[5]Resumen!S18*1000</f>
        <v>147558.03506235452</v>
      </c>
      <c r="T18" s="7">
        <f>+[5]Resumen!T18*1000</f>
        <v>143261.67961937375</v>
      </c>
      <c r="U18" s="7">
        <f>+[5]Resumen!U18*1000</f>
        <v>140643.26342002669</v>
      </c>
      <c r="V18" s="7">
        <f>+[5]Resumen!V18*1000</f>
        <v>139178.84823969641</v>
      </c>
      <c r="W18" s="7">
        <f>+[5]Resumen!W18*1000</f>
        <v>0</v>
      </c>
      <c r="X18" s="7">
        <f>+[5]Resumen!X18*1000</f>
        <v>0</v>
      </c>
      <c r="Y18" s="7">
        <f>+[5]Resumen!Y18*1000</f>
        <v>0</v>
      </c>
      <c r="Z18" s="7">
        <f>+[5]Resumen!Z18*1000</f>
        <v>0</v>
      </c>
      <c r="AA18" s="7">
        <f>+[5]Resumen!AA18*1000</f>
        <v>0</v>
      </c>
      <c r="AB18" s="7">
        <f>+[5]Resumen!AB18*1000</f>
        <v>0</v>
      </c>
      <c r="AC18" s="7">
        <f>+[5]Resumen!AC18*1000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+[5]Resumen!F19*1000</f>
        <v>0</v>
      </c>
      <c r="G19" s="7">
        <f>+[5]Resumen!G19*1000</f>
        <v>0</v>
      </c>
      <c r="H19" s="7">
        <f>+[5]Resumen!H19*1000</f>
        <v>0</v>
      </c>
      <c r="I19" s="7">
        <f>+[5]Resumen!I19*1000</f>
        <v>0</v>
      </c>
      <c r="J19" s="7">
        <f>+[5]Resumen!J19*1000</f>
        <v>0</v>
      </c>
      <c r="K19" s="7">
        <f>+[5]Resumen!K19*1000</f>
        <v>0</v>
      </c>
      <c r="L19" s="7">
        <f>+[5]Resumen!L19*1000</f>
        <v>0</v>
      </c>
      <c r="M19" s="7">
        <f>+[5]Resumen!M19*1000</f>
        <v>136901.36430368683</v>
      </c>
      <c r="N19" s="7">
        <f>+[5]Resumen!N19*1000</f>
        <v>148822.26668573538</v>
      </c>
      <c r="O19" s="7">
        <f>+[5]Resumen!O19*1000</f>
        <v>156774.22061023055</v>
      </c>
      <c r="P19" s="7">
        <f>+[5]Resumen!P19*1000</f>
        <v>168529.35621718838</v>
      </c>
      <c r="Q19" s="7">
        <f>+[5]Resumen!Q19*1000</f>
        <v>178617.00859757338</v>
      </c>
      <c r="R19" s="7">
        <f>+[5]Resumen!R19*1000</f>
        <v>180525.81168854641</v>
      </c>
      <c r="S19" s="7">
        <f>+[5]Resumen!S19*1000</f>
        <v>177681.20430921327</v>
      </c>
      <c r="T19" s="7">
        <f>+[5]Resumen!T19*1000</f>
        <v>179086.25649458735</v>
      </c>
      <c r="U19" s="7">
        <f>+[5]Resumen!U19*1000</f>
        <v>178922.21630703803</v>
      </c>
      <c r="V19" s="7">
        <f>+[5]Resumen!V19*1000</f>
        <v>174127.41290211983</v>
      </c>
      <c r="W19" s="7">
        <f>+[5]Resumen!W19*1000</f>
        <v>0</v>
      </c>
      <c r="X19" s="7">
        <f>+[5]Resumen!X19*1000</f>
        <v>0</v>
      </c>
      <c r="Y19" s="7">
        <f>+[5]Resumen!Y19*1000</f>
        <v>0</v>
      </c>
      <c r="Z19" s="7">
        <f>+[5]Resumen!Z19*1000</f>
        <v>0</v>
      </c>
      <c r="AA19" s="7">
        <f>+[5]Resumen!AA19*1000</f>
        <v>0</v>
      </c>
      <c r="AB19" s="7">
        <f>+[5]Resumen!AB19*1000</f>
        <v>0</v>
      </c>
      <c r="AC19" s="7">
        <f>+[5]Resumen!AC19*1000</f>
        <v>0</v>
      </c>
      <c r="AD19" s="60">
        <f t="shared" ref="AD19" si="1">SUM(F19:AC19)*E19+SUM(F20:AC20)*E20+SUM(F21:AC21)*E21+SUM(F22:AC22)*E22</f>
        <v>47295251.805828683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+[5]Resumen!F20*1000</f>
        <v>0</v>
      </c>
      <c r="G20" s="7">
        <f>+[5]Resumen!G20*1000</f>
        <v>0</v>
      </c>
      <c r="H20" s="7">
        <f>+[5]Resumen!H20*1000</f>
        <v>0</v>
      </c>
      <c r="I20" s="7">
        <f>+[5]Resumen!I20*1000</f>
        <v>0</v>
      </c>
      <c r="J20" s="7">
        <f>+[5]Resumen!J20*1000</f>
        <v>0</v>
      </c>
      <c r="K20" s="7">
        <f>+[5]Resumen!K20*1000</f>
        <v>0</v>
      </c>
      <c r="L20" s="7">
        <f>+[5]Resumen!L20*1000</f>
        <v>0</v>
      </c>
      <c r="M20" s="7">
        <f>+[5]Resumen!M20*1000</f>
        <v>116960.82207009103</v>
      </c>
      <c r="N20" s="7">
        <f>+[5]Resumen!N20*1000</f>
        <v>133295.13267594093</v>
      </c>
      <c r="O20" s="7">
        <f>+[5]Resumen!O20*1000</f>
        <v>144477.79672953335</v>
      </c>
      <c r="P20" s="7">
        <f>+[5]Resumen!P20*1000</f>
        <v>154337.86187817468</v>
      </c>
      <c r="Q20" s="7">
        <f>+[5]Resumen!Q20*1000</f>
        <v>161693.65858882334</v>
      </c>
      <c r="R20" s="7">
        <f>+[5]Resumen!R20*1000</f>
        <v>163513.63993973812</v>
      </c>
      <c r="S20" s="7">
        <f>+[5]Resumen!S20*1000</f>
        <v>160423.52043469757</v>
      </c>
      <c r="T20" s="7">
        <f>+[5]Resumen!T20*1000</f>
        <v>156629.20983994729</v>
      </c>
      <c r="U20" s="7">
        <f>+[5]Resumen!U20*1000</f>
        <v>155572.32885687714</v>
      </c>
      <c r="V20" s="7">
        <f>+[5]Resumen!V20*1000</f>
        <v>153988.30694221688</v>
      </c>
      <c r="W20" s="7">
        <f>+[5]Resumen!W20*1000</f>
        <v>0</v>
      </c>
      <c r="X20" s="7">
        <f>+[5]Resumen!X20*1000</f>
        <v>0</v>
      </c>
      <c r="Y20" s="7">
        <f>+[5]Resumen!Y20*1000</f>
        <v>0</v>
      </c>
      <c r="Z20" s="7">
        <f>+[5]Resumen!Z20*1000</f>
        <v>0</v>
      </c>
      <c r="AA20" s="7">
        <f>+[5]Resumen!AA20*1000</f>
        <v>0</v>
      </c>
      <c r="AB20" s="7">
        <f>+[5]Resumen!AB20*1000</f>
        <v>0</v>
      </c>
      <c r="AC20" s="7">
        <f>+[5]Resumen!AC20*1000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+[5]Resumen!F21*1000</f>
        <v>0</v>
      </c>
      <c r="G21" s="7">
        <f>+[5]Resumen!G21*1000</f>
        <v>0</v>
      </c>
      <c r="H21" s="7">
        <f>+[5]Resumen!H21*1000</f>
        <v>0</v>
      </c>
      <c r="I21" s="7">
        <f>+[5]Resumen!I21*1000</f>
        <v>0</v>
      </c>
      <c r="J21" s="7">
        <f>+[5]Resumen!J21*1000</f>
        <v>0</v>
      </c>
      <c r="K21" s="7">
        <f>+[5]Resumen!K21*1000</f>
        <v>0</v>
      </c>
      <c r="L21" s="7">
        <f>+[5]Resumen!L21*1000</f>
        <v>0</v>
      </c>
      <c r="M21" s="7">
        <f>+[5]Resumen!M21*1000</f>
        <v>94564.791089326071</v>
      </c>
      <c r="N21" s="7">
        <f>+[5]Resumen!N21*1000</f>
        <v>108709.95704016132</v>
      </c>
      <c r="O21" s="7">
        <f>+[5]Resumen!O21*1000</f>
        <v>120520.9778307852</v>
      </c>
      <c r="P21" s="7">
        <f>+[5]Resumen!P21*1000</f>
        <v>129147.7646977352</v>
      </c>
      <c r="Q21" s="7">
        <f>+[5]Resumen!Q21*1000</f>
        <v>137510.82301655877</v>
      </c>
      <c r="R21" s="7">
        <f>+[5]Resumen!R21*1000</f>
        <v>143471.40560068961</v>
      </c>
      <c r="S21" s="7">
        <f>+[5]Resumen!S21*1000</f>
        <v>144506.00518710547</v>
      </c>
      <c r="T21" s="7">
        <f>+[5]Resumen!T21*1000</f>
        <v>142810.16363269821</v>
      </c>
      <c r="U21" s="7">
        <f>+[5]Resumen!U21*1000</f>
        <v>140670.04503058188</v>
      </c>
      <c r="V21" s="7">
        <f>+[5]Resumen!V21*1000</f>
        <v>138193.55802256495</v>
      </c>
      <c r="W21" s="7">
        <f>+[5]Resumen!W21*1000</f>
        <v>0</v>
      </c>
      <c r="X21" s="7">
        <f>+[5]Resumen!X21*1000</f>
        <v>0</v>
      </c>
      <c r="Y21" s="7">
        <f>+[5]Resumen!Y21*1000</f>
        <v>0</v>
      </c>
      <c r="Z21" s="7">
        <f>+[5]Resumen!Z21*1000</f>
        <v>0</v>
      </c>
      <c r="AA21" s="7">
        <f>+[5]Resumen!AA21*1000</f>
        <v>0</v>
      </c>
      <c r="AB21" s="7">
        <f>+[5]Resumen!AB21*1000</f>
        <v>0</v>
      </c>
      <c r="AC21" s="7">
        <f>+[5]Resumen!AC21*1000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+[5]Resumen!F22*1000</f>
        <v>0</v>
      </c>
      <c r="G22" s="7">
        <f>+[5]Resumen!G22*1000</f>
        <v>0</v>
      </c>
      <c r="H22" s="7">
        <f>+[5]Resumen!H22*1000</f>
        <v>0</v>
      </c>
      <c r="I22" s="7">
        <f>+[5]Resumen!I22*1000</f>
        <v>0</v>
      </c>
      <c r="J22" s="7">
        <f>+[5]Resumen!J22*1000</f>
        <v>0</v>
      </c>
      <c r="K22" s="7">
        <f>+[5]Resumen!K22*1000</f>
        <v>0</v>
      </c>
      <c r="L22" s="7">
        <f>+[5]Resumen!L22*1000</f>
        <v>0</v>
      </c>
      <c r="M22" s="7">
        <f>+[5]Resumen!M22*1000</f>
        <v>95819.878573694819</v>
      </c>
      <c r="N22" s="7">
        <f>+[5]Resumen!N22*1000</f>
        <v>108363.65203057448</v>
      </c>
      <c r="O22" s="7">
        <f>+[5]Resumen!O22*1000</f>
        <v>115628.21059981393</v>
      </c>
      <c r="P22" s="7">
        <f>+[5]Resumen!P22*1000</f>
        <v>119800.70956267322</v>
      </c>
      <c r="Q22" s="7">
        <f>+[5]Resumen!Q22*1000</f>
        <v>129817.52052843056</v>
      </c>
      <c r="R22" s="7">
        <f>+[5]Resumen!R22*1000</f>
        <v>138831.81851500602</v>
      </c>
      <c r="S22" s="7">
        <f>+[5]Resumen!S22*1000</f>
        <v>138040.08882104466</v>
      </c>
      <c r="T22" s="7">
        <f>+[5]Resumen!T22*1000</f>
        <v>134598.43321836091</v>
      </c>
      <c r="U22" s="7">
        <f>+[5]Resumen!U22*1000</f>
        <v>132408.62338574417</v>
      </c>
      <c r="V22" s="7">
        <f>+[5]Resumen!V22*1000</f>
        <v>132450.24831130999</v>
      </c>
      <c r="W22" s="7">
        <f>+[5]Resumen!W22*1000</f>
        <v>0</v>
      </c>
      <c r="X22" s="7">
        <f>+[5]Resumen!X22*1000</f>
        <v>0</v>
      </c>
      <c r="Y22" s="7">
        <f>+[5]Resumen!Y22*1000</f>
        <v>0</v>
      </c>
      <c r="Z22" s="7">
        <f>+[5]Resumen!Z22*1000</f>
        <v>0</v>
      </c>
      <c r="AA22" s="7">
        <f>+[5]Resumen!AA22*1000</f>
        <v>0</v>
      </c>
      <c r="AB22" s="7">
        <f>+[5]Resumen!AB22*1000</f>
        <v>0</v>
      </c>
      <c r="AC22" s="7">
        <f>+[5]Resumen!AC22*1000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22</v>
      </c>
      <c r="F23" s="7">
        <f>+[5]Resumen!F23*1000</f>
        <v>0</v>
      </c>
      <c r="G23" s="7">
        <f>+[5]Resumen!G23*1000</f>
        <v>0</v>
      </c>
      <c r="H23" s="7">
        <f>+[5]Resumen!H23*1000</f>
        <v>0</v>
      </c>
      <c r="I23" s="7">
        <f>+[5]Resumen!I23*1000</f>
        <v>0</v>
      </c>
      <c r="J23" s="7">
        <f>+[5]Resumen!J23*1000</f>
        <v>0</v>
      </c>
      <c r="K23" s="7">
        <f>+[5]Resumen!K23*1000</f>
        <v>0</v>
      </c>
      <c r="L23" s="7">
        <f>+[5]Resumen!L23*1000</f>
        <v>0</v>
      </c>
      <c r="M23" s="7">
        <f>+[5]Resumen!M23*1000</f>
        <v>124124.95113951148</v>
      </c>
      <c r="N23" s="7">
        <f>+[5]Resumen!N23*1000</f>
        <v>135066.18446577011</v>
      </c>
      <c r="O23" s="7">
        <f>+[5]Resumen!O23*1000</f>
        <v>142839.67986228442</v>
      </c>
      <c r="P23" s="7">
        <f>+[5]Resumen!P23*1000</f>
        <v>154327.61732189482</v>
      </c>
      <c r="Q23" s="7">
        <f>+[5]Resumen!Q23*1000</f>
        <v>163757.25713048637</v>
      </c>
      <c r="R23" s="7">
        <f>+[5]Resumen!R23*1000</f>
        <v>164461.06225294541</v>
      </c>
      <c r="S23" s="7">
        <f>+[5]Resumen!S23*1000</f>
        <v>161221.03963741823</v>
      </c>
      <c r="T23" s="7">
        <f>+[5]Resumen!T23*1000</f>
        <v>162161.52891123536</v>
      </c>
      <c r="U23" s="7">
        <f>+[5]Resumen!U23*1000</f>
        <v>162301.50978915676</v>
      </c>
      <c r="V23" s="7">
        <f>+[5]Resumen!V23*1000</f>
        <v>157790.91583285551</v>
      </c>
      <c r="W23" s="7">
        <f>+[5]Resumen!W23*1000</f>
        <v>0</v>
      </c>
      <c r="X23" s="7">
        <f>+[5]Resumen!X23*1000</f>
        <v>0</v>
      </c>
      <c r="Y23" s="7">
        <f>+[5]Resumen!Y23*1000</f>
        <v>0</v>
      </c>
      <c r="Z23" s="7">
        <f>+[5]Resumen!Z23*1000</f>
        <v>0</v>
      </c>
      <c r="AA23" s="7">
        <f>+[5]Resumen!AA23*1000</f>
        <v>0</v>
      </c>
      <c r="AB23" s="7">
        <f>+[5]Resumen!AB23*1000</f>
        <v>0</v>
      </c>
      <c r="AC23" s="7">
        <f>+[5]Resumen!AC23*1000</f>
        <v>0</v>
      </c>
      <c r="AD23" s="60">
        <f t="shared" ref="AD23" si="2">SUM(F23:AC23)*E23+SUM(F24:AC24)*E24+SUM(F25:AC25)*E25+SUM(F26:AC26)*E26</f>
        <v>44939646.012427449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+[5]Resumen!F24*1000</f>
        <v>0</v>
      </c>
      <c r="G24" s="7">
        <f>+[5]Resumen!G24*1000</f>
        <v>0</v>
      </c>
      <c r="H24" s="7">
        <f>+[5]Resumen!H24*1000</f>
        <v>0</v>
      </c>
      <c r="I24" s="7">
        <f>+[5]Resumen!I24*1000</f>
        <v>0</v>
      </c>
      <c r="J24" s="7">
        <f>+[5]Resumen!J24*1000</f>
        <v>0</v>
      </c>
      <c r="K24" s="7">
        <f>+[5]Resumen!K24*1000</f>
        <v>0</v>
      </c>
      <c r="L24" s="7">
        <f>+[5]Resumen!L24*1000</f>
        <v>0</v>
      </c>
      <c r="M24" s="7">
        <f>+[5]Resumen!M24*1000</f>
        <v>108250.08527311326</v>
      </c>
      <c r="N24" s="7">
        <f>+[5]Resumen!N24*1000</f>
        <v>124943.6656927398</v>
      </c>
      <c r="O24" s="7">
        <f>+[5]Resumen!O24*1000</f>
        <v>135968.24946797732</v>
      </c>
      <c r="P24" s="7">
        <f>+[5]Resumen!P24*1000</f>
        <v>145911.12306903288</v>
      </c>
      <c r="Q24" s="7">
        <f>+[5]Resumen!Q24*1000</f>
        <v>152740.36190500192</v>
      </c>
      <c r="R24" s="7">
        <f>+[5]Resumen!R24*1000</f>
        <v>152803.15549185063</v>
      </c>
      <c r="S24" s="7">
        <f>+[5]Resumen!S24*1000</f>
        <v>147960.09796853532</v>
      </c>
      <c r="T24" s="7">
        <f>+[5]Resumen!T24*1000</f>
        <v>143155.87121425354</v>
      </c>
      <c r="U24" s="7">
        <f>+[5]Resumen!U24*1000</f>
        <v>141171.9605387231</v>
      </c>
      <c r="V24" s="7">
        <f>+[5]Resumen!V24*1000</f>
        <v>138904.32287363897</v>
      </c>
      <c r="W24" s="7">
        <f>+[5]Resumen!W24*1000</f>
        <v>0</v>
      </c>
      <c r="X24" s="7">
        <f>+[5]Resumen!X24*1000</f>
        <v>0</v>
      </c>
      <c r="Y24" s="7">
        <f>+[5]Resumen!Y24*1000</f>
        <v>0</v>
      </c>
      <c r="Z24" s="7">
        <f>+[5]Resumen!Z24*1000</f>
        <v>0</v>
      </c>
      <c r="AA24" s="7">
        <f>+[5]Resumen!AA24*1000</f>
        <v>0</v>
      </c>
      <c r="AB24" s="7">
        <f>+[5]Resumen!AB24*1000</f>
        <v>0</v>
      </c>
      <c r="AC24" s="7">
        <f>+[5]Resumen!AC24*1000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+[5]Resumen!F25*1000</f>
        <v>0</v>
      </c>
      <c r="G25" s="7">
        <f>+[5]Resumen!G25*1000</f>
        <v>0</v>
      </c>
      <c r="H25" s="7">
        <f>+[5]Resumen!H25*1000</f>
        <v>0</v>
      </c>
      <c r="I25" s="7">
        <f>+[5]Resumen!I25*1000</f>
        <v>0</v>
      </c>
      <c r="J25" s="7">
        <f>+[5]Resumen!J25*1000</f>
        <v>0</v>
      </c>
      <c r="K25" s="7">
        <f>+[5]Resumen!K25*1000</f>
        <v>0</v>
      </c>
      <c r="L25" s="7">
        <f>+[5]Resumen!L25*1000</f>
        <v>0</v>
      </c>
      <c r="M25" s="7">
        <f>+[5]Resumen!M25*1000</f>
        <v>78549.76778551942</v>
      </c>
      <c r="N25" s="7">
        <f>+[5]Resumen!N25*1000</f>
        <v>92672.284849605363</v>
      </c>
      <c r="O25" s="7">
        <f>+[5]Resumen!O25*1000</f>
        <v>104636.30880682459</v>
      </c>
      <c r="P25" s="7">
        <f>+[5]Resumen!P25*1000</f>
        <v>114077.32233120578</v>
      </c>
      <c r="Q25" s="7">
        <f>+[5]Resumen!Q25*1000</f>
        <v>123744.70154204272</v>
      </c>
      <c r="R25" s="7">
        <f>+[5]Resumen!R25*1000</f>
        <v>128430.24747279259</v>
      </c>
      <c r="S25" s="7">
        <f>+[5]Resumen!S25*1000</f>
        <v>127718.68194497525</v>
      </c>
      <c r="T25" s="7">
        <f>+[5]Resumen!T25*1000</f>
        <v>123095.01806139707</v>
      </c>
      <c r="U25" s="7">
        <f>+[5]Resumen!U25*1000</f>
        <v>121771.88331893313</v>
      </c>
      <c r="V25" s="7">
        <f>+[5]Resumen!V25*1000</f>
        <v>119560.34435131322</v>
      </c>
      <c r="W25" s="7">
        <f>+[5]Resumen!W25*1000</f>
        <v>0</v>
      </c>
      <c r="X25" s="7">
        <f>+[5]Resumen!X25*1000</f>
        <v>0</v>
      </c>
      <c r="Y25" s="7">
        <f>+[5]Resumen!Y25*1000</f>
        <v>0</v>
      </c>
      <c r="Z25" s="7">
        <f>+[5]Resumen!Z25*1000</f>
        <v>0</v>
      </c>
      <c r="AA25" s="7">
        <f>+[5]Resumen!AA25*1000</f>
        <v>0</v>
      </c>
      <c r="AB25" s="7">
        <f>+[5]Resumen!AB25*1000</f>
        <v>0</v>
      </c>
      <c r="AC25" s="7">
        <f>+[5]Resumen!AC25*1000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1</v>
      </c>
      <c r="F26" s="7">
        <f>+[5]Resumen!F26*1000</f>
        <v>0</v>
      </c>
      <c r="G26" s="7">
        <f>+[5]Resumen!G26*1000</f>
        <v>0</v>
      </c>
      <c r="H26" s="7">
        <f>+[5]Resumen!H26*1000</f>
        <v>0</v>
      </c>
      <c r="I26" s="7">
        <f>+[5]Resumen!I26*1000</f>
        <v>0</v>
      </c>
      <c r="J26" s="7">
        <f>+[5]Resumen!J26*1000</f>
        <v>0</v>
      </c>
      <c r="K26" s="7">
        <f>+[5]Resumen!K26*1000</f>
        <v>0</v>
      </c>
      <c r="L26" s="7">
        <f>+[5]Resumen!L26*1000</f>
        <v>0</v>
      </c>
      <c r="M26" s="7">
        <f>+[5]Resumen!M26*1000</f>
        <v>86443.153232749857</v>
      </c>
      <c r="N26" s="7">
        <f>+[5]Resumen!N26*1000</f>
        <v>99877.572809666701</v>
      </c>
      <c r="O26" s="7">
        <f>+[5]Resumen!O26*1000</f>
        <v>110818.28261651624</v>
      </c>
      <c r="P26" s="7">
        <f>+[5]Resumen!P26*1000</f>
        <v>122995.65613056916</v>
      </c>
      <c r="Q26" s="7">
        <f>+[5]Resumen!Q26*1000</f>
        <v>132964.65027061233</v>
      </c>
      <c r="R26" s="7">
        <f>+[5]Resumen!R26*1000</f>
        <v>141033.04312375817</v>
      </c>
      <c r="S26" s="7">
        <f>+[5]Resumen!S26*1000</f>
        <v>138100.65077809853</v>
      </c>
      <c r="T26" s="7">
        <f>+[5]Resumen!T26*1000</f>
        <v>132779.03697737391</v>
      </c>
      <c r="U26" s="7">
        <f>+[5]Resumen!U26*1000</f>
        <v>127412.51958247047</v>
      </c>
      <c r="V26" s="7">
        <f>+[5]Resumen!V26*1000</f>
        <v>125821.21150944602</v>
      </c>
      <c r="W26" s="7">
        <f>+[5]Resumen!W26*1000</f>
        <v>0</v>
      </c>
      <c r="X26" s="7">
        <f>+[5]Resumen!X26*1000</f>
        <v>0</v>
      </c>
      <c r="Y26" s="7">
        <f>+[5]Resumen!Y26*1000</f>
        <v>0</v>
      </c>
      <c r="Z26" s="7">
        <f>+[5]Resumen!Z26*1000</f>
        <v>0</v>
      </c>
      <c r="AA26" s="7">
        <f>+[5]Resumen!AA26*1000</f>
        <v>0</v>
      </c>
      <c r="AB26" s="7">
        <f>+[5]Resumen!AB26*1000</f>
        <v>0</v>
      </c>
      <c r="AC26" s="7">
        <f>+[5]Resumen!AC26*1000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18</v>
      </c>
      <c r="F27" s="7">
        <f>+[5]Resumen!F27*1000</f>
        <v>0</v>
      </c>
      <c r="G27" s="7">
        <f>+[5]Resumen!G27*1000</f>
        <v>0</v>
      </c>
      <c r="H27" s="7">
        <f>+[5]Resumen!H27*1000</f>
        <v>0</v>
      </c>
      <c r="I27" s="7">
        <f>+[5]Resumen!I27*1000</f>
        <v>0</v>
      </c>
      <c r="J27" s="7">
        <f>+[5]Resumen!J27*1000</f>
        <v>0</v>
      </c>
      <c r="K27" s="7">
        <f>+[5]Resumen!K27*1000</f>
        <v>0</v>
      </c>
      <c r="L27" s="7">
        <f>+[5]Resumen!L27*1000</f>
        <v>0</v>
      </c>
      <c r="M27" s="7">
        <f>+[5]Resumen!M27*1000</f>
        <v>132048.02116374596</v>
      </c>
      <c r="N27" s="7">
        <f>+[5]Resumen!N27*1000</f>
        <v>145175.20259709778</v>
      </c>
      <c r="O27" s="7">
        <f>+[5]Resumen!O27*1000</f>
        <v>153902.39432765933</v>
      </c>
      <c r="P27" s="7">
        <f>+[5]Resumen!P27*1000</f>
        <v>165569.71006699672</v>
      </c>
      <c r="Q27" s="7">
        <f>+[5]Resumen!Q27*1000</f>
        <v>176242.07614285065</v>
      </c>
      <c r="R27" s="7">
        <f>+[5]Resumen!R27*1000</f>
        <v>178748.91290547376</v>
      </c>
      <c r="S27" s="7">
        <f>+[5]Resumen!S27*1000</f>
        <v>175894.10203020659</v>
      </c>
      <c r="T27" s="7">
        <f>+[5]Resumen!T27*1000</f>
        <v>177087.84946396839</v>
      </c>
      <c r="U27" s="7">
        <f>+[5]Resumen!U27*1000</f>
        <v>177105.26315662678</v>
      </c>
      <c r="V27" s="7">
        <f>+[5]Resumen!V27*1000</f>
        <v>172294.60019313911</v>
      </c>
      <c r="W27" s="7">
        <f>+[5]Resumen!W27*1000</f>
        <v>0</v>
      </c>
      <c r="X27" s="7">
        <f>+[5]Resumen!X27*1000</f>
        <v>0</v>
      </c>
      <c r="Y27" s="7">
        <f>+[5]Resumen!Y27*1000</f>
        <v>0</v>
      </c>
      <c r="Z27" s="7">
        <f>+[5]Resumen!Z27*1000</f>
        <v>0</v>
      </c>
      <c r="AA27" s="7">
        <f>+[5]Resumen!AA27*1000</f>
        <v>0</v>
      </c>
      <c r="AB27" s="7">
        <f>+[5]Resumen!AB27*1000</f>
        <v>0</v>
      </c>
      <c r="AC27" s="7">
        <f>+[5]Resumen!AC27*1000</f>
        <v>0</v>
      </c>
      <c r="AD27" s="60">
        <f t="shared" ref="AD27:AD35" si="3">SUM(F27:AC27)*E27+SUM(F28:AC28)*E28+SUM(F29:AC29)*E29+SUM(F30:AC30)*E30</f>
        <v>45875750.511452928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+[5]Resumen!F28*1000</f>
        <v>0</v>
      </c>
      <c r="G28" s="7">
        <f>+[5]Resumen!G28*1000</f>
        <v>0</v>
      </c>
      <c r="H28" s="7">
        <f>+[5]Resumen!H28*1000</f>
        <v>0</v>
      </c>
      <c r="I28" s="7">
        <f>+[5]Resumen!I28*1000</f>
        <v>0</v>
      </c>
      <c r="J28" s="7">
        <f>+[5]Resumen!J28*1000</f>
        <v>0</v>
      </c>
      <c r="K28" s="7">
        <f>+[5]Resumen!K28*1000</f>
        <v>0</v>
      </c>
      <c r="L28" s="7">
        <f>+[5]Resumen!L28*1000</f>
        <v>0</v>
      </c>
      <c r="M28" s="7">
        <f>+[5]Resumen!M28*1000</f>
        <v>116515.79772408823</v>
      </c>
      <c r="N28" s="7">
        <f>+[5]Resumen!N28*1000</f>
        <v>133379.7991090031</v>
      </c>
      <c r="O28" s="7">
        <f>+[5]Resumen!O28*1000</f>
        <v>144588.8875481422</v>
      </c>
      <c r="P28" s="7">
        <f>+[5]Resumen!P28*1000</f>
        <v>155508.47591310655</v>
      </c>
      <c r="Q28" s="7">
        <f>+[5]Resumen!Q28*1000</f>
        <v>163133.55047761803</v>
      </c>
      <c r="R28" s="7">
        <f>+[5]Resumen!R28*1000</f>
        <v>164091.90305488021</v>
      </c>
      <c r="S28" s="7">
        <f>+[5]Resumen!S28*1000</f>
        <v>159104.36238672538</v>
      </c>
      <c r="T28" s="7">
        <f>+[5]Resumen!T28*1000</f>
        <v>154875.74624924624</v>
      </c>
      <c r="U28" s="7">
        <f>+[5]Resumen!U28*1000</f>
        <v>153535.69669732545</v>
      </c>
      <c r="V28" s="7">
        <f>+[5]Resumen!V28*1000</f>
        <v>150514.80493532217</v>
      </c>
      <c r="W28" s="7">
        <f>+[5]Resumen!W28*1000</f>
        <v>0</v>
      </c>
      <c r="X28" s="7">
        <f>+[5]Resumen!X28*1000</f>
        <v>0</v>
      </c>
      <c r="Y28" s="7">
        <f>+[5]Resumen!Y28*1000</f>
        <v>0</v>
      </c>
      <c r="Z28" s="7">
        <f>+[5]Resumen!Z28*1000</f>
        <v>0</v>
      </c>
      <c r="AA28" s="7">
        <f>+[5]Resumen!AA28*1000</f>
        <v>0</v>
      </c>
      <c r="AB28" s="7">
        <f>+[5]Resumen!AB28*1000</f>
        <v>0</v>
      </c>
      <c r="AC28" s="7">
        <f>+[5]Resumen!AC28*1000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5</v>
      </c>
      <c r="F29" s="7">
        <f>+[5]Resumen!F29*1000</f>
        <v>0</v>
      </c>
      <c r="G29" s="7">
        <f>+[5]Resumen!G29*1000</f>
        <v>0</v>
      </c>
      <c r="H29" s="7">
        <f>+[5]Resumen!H29*1000</f>
        <v>0</v>
      </c>
      <c r="I29" s="7">
        <f>+[5]Resumen!I29*1000</f>
        <v>0</v>
      </c>
      <c r="J29" s="7">
        <f>+[5]Resumen!J29*1000</f>
        <v>0</v>
      </c>
      <c r="K29" s="7">
        <f>+[5]Resumen!K29*1000</f>
        <v>0</v>
      </c>
      <c r="L29" s="7">
        <f>+[5]Resumen!L29*1000</f>
        <v>0</v>
      </c>
      <c r="M29" s="7">
        <f>+[5]Resumen!M29*1000</f>
        <v>87769.20531278367</v>
      </c>
      <c r="N29" s="7">
        <f>+[5]Resumen!N29*1000</f>
        <v>100972.35454493765</v>
      </c>
      <c r="O29" s="7">
        <f>+[5]Resumen!O29*1000</f>
        <v>112405.58525280682</v>
      </c>
      <c r="P29" s="7">
        <f>+[5]Resumen!P29*1000</f>
        <v>120844.00162429723</v>
      </c>
      <c r="Q29" s="7">
        <f>+[5]Resumen!Q29*1000</f>
        <v>130934.30650302157</v>
      </c>
      <c r="R29" s="7">
        <f>+[5]Resumen!R29*1000</f>
        <v>137307.84325005964</v>
      </c>
      <c r="S29" s="7">
        <f>+[5]Resumen!S29*1000</f>
        <v>137748.30989767748</v>
      </c>
      <c r="T29" s="7">
        <f>+[5]Resumen!T29*1000</f>
        <v>134674.38869905929</v>
      </c>
      <c r="U29" s="7">
        <f>+[5]Resumen!U29*1000</f>
        <v>132902.00860704316</v>
      </c>
      <c r="V29" s="7">
        <f>+[5]Resumen!V29*1000</f>
        <v>130420.55124416581</v>
      </c>
      <c r="W29" s="7">
        <f>+[5]Resumen!W29*1000</f>
        <v>0</v>
      </c>
      <c r="X29" s="7">
        <f>+[5]Resumen!X29*1000</f>
        <v>0</v>
      </c>
      <c r="Y29" s="7">
        <f>+[5]Resumen!Y29*1000</f>
        <v>0</v>
      </c>
      <c r="Z29" s="7">
        <f>+[5]Resumen!Z29*1000</f>
        <v>0</v>
      </c>
      <c r="AA29" s="7">
        <f>+[5]Resumen!AA29*1000</f>
        <v>0</v>
      </c>
      <c r="AB29" s="7">
        <f>+[5]Resumen!AB29*1000</f>
        <v>0</v>
      </c>
      <c r="AC29" s="7">
        <f>+[5]Resumen!AC29*1000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+[5]Resumen!F30*1000</f>
        <v>0</v>
      </c>
      <c r="G30" s="7">
        <f>+[5]Resumen!G30*1000</f>
        <v>0</v>
      </c>
      <c r="H30" s="7">
        <f>+[5]Resumen!H30*1000</f>
        <v>0</v>
      </c>
      <c r="I30" s="7">
        <f>+[5]Resumen!I30*1000</f>
        <v>0</v>
      </c>
      <c r="J30" s="7">
        <f>+[5]Resumen!J30*1000</f>
        <v>0</v>
      </c>
      <c r="K30" s="7">
        <f>+[5]Resumen!K30*1000</f>
        <v>0</v>
      </c>
      <c r="L30" s="7">
        <f>+[5]Resumen!L30*1000</f>
        <v>0</v>
      </c>
      <c r="M30" s="7">
        <f>+[5]Resumen!M30*1000</f>
        <v>85918.09406069231</v>
      </c>
      <c r="N30" s="7">
        <f>+[5]Resumen!N30*1000</f>
        <v>99363.312508557443</v>
      </c>
      <c r="O30" s="7">
        <f>+[5]Resumen!O30*1000</f>
        <v>111405.93417972799</v>
      </c>
      <c r="P30" s="7">
        <f>+[5]Resumen!P30*1000</f>
        <v>123760.79925061791</v>
      </c>
      <c r="Q30" s="7">
        <f>+[5]Resumen!Q30*1000</f>
        <v>136457.29461072412</v>
      </c>
      <c r="R30" s="7">
        <f>+[5]Resumen!R30*1000</f>
        <v>143775.91733729283</v>
      </c>
      <c r="S30" s="7">
        <f>+[5]Resumen!S30*1000</f>
        <v>142368.97432299412</v>
      </c>
      <c r="T30" s="7">
        <f>+[5]Resumen!T30*1000</f>
        <v>137361.28534314988</v>
      </c>
      <c r="U30" s="7">
        <f>+[5]Resumen!U30*1000</f>
        <v>134973.15198724894</v>
      </c>
      <c r="V30" s="7">
        <f>+[5]Resumen!V30*1000</f>
        <v>132808.35611730022</v>
      </c>
      <c r="W30" s="7">
        <f>+[5]Resumen!W30*1000</f>
        <v>0</v>
      </c>
      <c r="X30" s="7">
        <f>+[5]Resumen!X30*1000</f>
        <v>0</v>
      </c>
      <c r="Y30" s="7">
        <f>+[5]Resumen!Y30*1000</f>
        <v>0</v>
      </c>
      <c r="Z30" s="7">
        <f>+[5]Resumen!Z30*1000</f>
        <v>0</v>
      </c>
      <c r="AA30" s="7">
        <f>+[5]Resumen!AA30*1000</f>
        <v>0</v>
      </c>
      <c r="AB30" s="7">
        <f>+[5]Resumen!AB30*1000</f>
        <v>0</v>
      </c>
      <c r="AC30" s="7">
        <f>+[5]Resumen!AC30*1000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+[5]Resumen!F31*1000</f>
        <v>0</v>
      </c>
      <c r="G31" s="7">
        <f>+[5]Resumen!G31*1000</f>
        <v>0</v>
      </c>
      <c r="H31" s="7">
        <f>+[5]Resumen!H31*1000</f>
        <v>0</v>
      </c>
      <c r="I31" s="7">
        <f>+[5]Resumen!I31*1000</f>
        <v>0</v>
      </c>
      <c r="J31" s="7">
        <f>+[5]Resumen!J31*1000</f>
        <v>0</v>
      </c>
      <c r="K31" s="7">
        <f>+[5]Resumen!K31*1000</f>
        <v>0</v>
      </c>
      <c r="L31" s="7">
        <f>+[5]Resumen!L31*1000</f>
        <v>0</v>
      </c>
      <c r="M31" s="7">
        <f>+[5]Resumen!M31*1000</f>
        <v>127080.80126073296</v>
      </c>
      <c r="N31" s="7">
        <f>+[5]Resumen!N31*1000</f>
        <v>140052.88544985311</v>
      </c>
      <c r="O31" s="7">
        <f>+[5]Resumen!O31*1000</f>
        <v>149102.00876872812</v>
      </c>
      <c r="P31" s="7">
        <f>+[5]Resumen!P31*1000</f>
        <v>161338.90746610318</v>
      </c>
      <c r="Q31" s="7">
        <f>+[5]Resumen!Q31*1000</f>
        <v>171180.18955955326</v>
      </c>
      <c r="R31" s="7">
        <f>+[5]Resumen!R31*1000</f>
        <v>172446.2894286685</v>
      </c>
      <c r="S31" s="7">
        <f>+[5]Resumen!S31*1000</f>
        <v>169318.71057014461</v>
      </c>
      <c r="T31" s="7">
        <f>+[5]Resumen!T31*1000</f>
        <v>171181.77654191884</v>
      </c>
      <c r="U31" s="7">
        <f>+[5]Resumen!U31*1000</f>
        <v>170851.62467237399</v>
      </c>
      <c r="V31" s="7">
        <f>+[5]Resumen!V31*1000</f>
        <v>165392.69275715383</v>
      </c>
      <c r="W31" s="7">
        <f>+[5]Resumen!W31*1000</f>
        <v>0</v>
      </c>
      <c r="X31" s="7">
        <f>+[5]Resumen!X31*1000</f>
        <v>0</v>
      </c>
      <c r="Y31" s="7">
        <f>+[5]Resumen!Y31*1000</f>
        <v>0</v>
      </c>
      <c r="Z31" s="7">
        <f>+[5]Resumen!Z31*1000</f>
        <v>0</v>
      </c>
      <c r="AA31" s="7">
        <f>+[5]Resumen!AA31*1000</f>
        <v>0</v>
      </c>
      <c r="AB31" s="7">
        <f>+[5]Resumen!AB31*1000</f>
        <v>0</v>
      </c>
      <c r="AC31" s="7">
        <f>+[5]Resumen!AC31*1000</f>
        <v>0</v>
      </c>
      <c r="AD31" s="60">
        <f t="shared" si="3"/>
        <v>46753659.190753199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3</v>
      </c>
      <c r="F32" s="7">
        <f>+[5]Resumen!F32*1000</f>
        <v>0</v>
      </c>
      <c r="G32" s="7">
        <f>+[5]Resumen!G32*1000</f>
        <v>0</v>
      </c>
      <c r="H32" s="7">
        <f>+[5]Resumen!H32*1000</f>
        <v>0</v>
      </c>
      <c r="I32" s="7">
        <f>+[5]Resumen!I32*1000</f>
        <v>0</v>
      </c>
      <c r="J32" s="7">
        <f>+[5]Resumen!J32*1000</f>
        <v>0</v>
      </c>
      <c r="K32" s="7">
        <f>+[5]Resumen!K32*1000</f>
        <v>0</v>
      </c>
      <c r="L32" s="7">
        <f>+[5]Resumen!L32*1000</f>
        <v>0</v>
      </c>
      <c r="M32" s="7">
        <f>+[5]Resumen!M32*1000</f>
        <v>110180.77352840353</v>
      </c>
      <c r="N32" s="7">
        <f>+[5]Resumen!N32*1000</f>
        <v>127514.33692197788</v>
      </c>
      <c r="O32" s="7">
        <f>+[5]Resumen!O32*1000</f>
        <v>138888.31755084186</v>
      </c>
      <c r="P32" s="7">
        <f>+[5]Resumen!P32*1000</f>
        <v>150084.46992803318</v>
      </c>
      <c r="Q32" s="7">
        <f>+[5]Resumen!Q32*1000</f>
        <v>158144.58090942894</v>
      </c>
      <c r="R32" s="7">
        <f>+[5]Resumen!R32*1000</f>
        <v>158227.68089029848</v>
      </c>
      <c r="S32" s="7">
        <f>+[5]Resumen!S32*1000</f>
        <v>152893.66686513895</v>
      </c>
      <c r="T32" s="7">
        <f>+[5]Resumen!T32*1000</f>
        <v>148239.10096530349</v>
      </c>
      <c r="U32" s="7">
        <f>+[5]Resumen!U32*1000</f>
        <v>146241.99760066398</v>
      </c>
      <c r="V32" s="7">
        <f>+[5]Resumen!V32*1000</f>
        <v>143754.67682040483</v>
      </c>
      <c r="W32" s="7">
        <f>+[5]Resumen!W32*1000</f>
        <v>0</v>
      </c>
      <c r="X32" s="7">
        <f>+[5]Resumen!X32*1000</f>
        <v>0</v>
      </c>
      <c r="Y32" s="7">
        <f>+[5]Resumen!Y32*1000</f>
        <v>0</v>
      </c>
      <c r="Z32" s="7">
        <f>+[5]Resumen!Z32*1000</f>
        <v>0</v>
      </c>
      <c r="AA32" s="7">
        <f>+[5]Resumen!AA32*1000</f>
        <v>0</v>
      </c>
      <c r="AB32" s="7">
        <f>+[5]Resumen!AB32*1000</f>
        <v>0</v>
      </c>
      <c r="AC32" s="7">
        <f>+[5]Resumen!AC32*1000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+[5]Resumen!F33*1000</f>
        <v>0</v>
      </c>
      <c r="G33" s="7">
        <f>+[5]Resumen!G33*1000</f>
        <v>0</v>
      </c>
      <c r="H33" s="7">
        <f>+[5]Resumen!H33*1000</f>
        <v>0</v>
      </c>
      <c r="I33" s="7">
        <f>+[5]Resumen!I33*1000</f>
        <v>0</v>
      </c>
      <c r="J33" s="7">
        <f>+[5]Resumen!J33*1000</f>
        <v>0</v>
      </c>
      <c r="K33" s="7">
        <f>+[5]Resumen!K33*1000</f>
        <v>0</v>
      </c>
      <c r="L33" s="7">
        <f>+[5]Resumen!L33*1000</f>
        <v>0</v>
      </c>
      <c r="M33" s="7">
        <f>+[5]Resumen!M33*1000</f>
        <v>83613.937324043931</v>
      </c>
      <c r="N33" s="7">
        <f>+[5]Resumen!N33*1000</f>
        <v>97413.350526943497</v>
      </c>
      <c r="O33" s="7">
        <f>+[5]Resumen!O33*1000</f>
        <v>109326.47402647817</v>
      </c>
      <c r="P33" s="7">
        <f>+[5]Resumen!P33*1000</f>
        <v>119527.08136517176</v>
      </c>
      <c r="Q33" s="7">
        <f>+[5]Resumen!Q33*1000</f>
        <v>129942.64166720296</v>
      </c>
      <c r="R33" s="7">
        <f>+[5]Resumen!R33*1000</f>
        <v>135814.1356190278</v>
      </c>
      <c r="S33" s="7">
        <f>+[5]Resumen!S33*1000</f>
        <v>136112.95639170156</v>
      </c>
      <c r="T33" s="7">
        <f>+[5]Resumen!T33*1000</f>
        <v>132924.00258127676</v>
      </c>
      <c r="U33" s="7">
        <f>+[5]Resumen!U33*1000</f>
        <v>130457.9223179056</v>
      </c>
      <c r="V33" s="7">
        <f>+[5]Resumen!V33*1000</f>
        <v>128201.18206859974</v>
      </c>
      <c r="W33" s="7">
        <f>+[5]Resumen!W33*1000</f>
        <v>0</v>
      </c>
      <c r="X33" s="7">
        <f>+[5]Resumen!X33*1000</f>
        <v>0</v>
      </c>
      <c r="Y33" s="7">
        <f>+[5]Resumen!Y33*1000</f>
        <v>0</v>
      </c>
      <c r="Z33" s="7">
        <f>+[5]Resumen!Z33*1000</f>
        <v>0</v>
      </c>
      <c r="AA33" s="7">
        <f>+[5]Resumen!AA33*1000</f>
        <v>0</v>
      </c>
      <c r="AB33" s="7">
        <f>+[5]Resumen!AB33*1000</f>
        <v>0</v>
      </c>
      <c r="AC33" s="7">
        <f>+[5]Resumen!AC33*1000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+[5]Resumen!F34*1000</f>
        <v>0</v>
      </c>
      <c r="G34" s="7">
        <f>+[5]Resumen!G34*1000</f>
        <v>0</v>
      </c>
      <c r="H34" s="7">
        <f>+[5]Resumen!H34*1000</f>
        <v>0</v>
      </c>
      <c r="I34" s="7">
        <f>+[5]Resumen!I34*1000</f>
        <v>0</v>
      </c>
      <c r="J34" s="7">
        <f>+[5]Resumen!J34*1000</f>
        <v>0</v>
      </c>
      <c r="K34" s="7">
        <f>+[5]Resumen!K34*1000</f>
        <v>0</v>
      </c>
      <c r="L34" s="7">
        <f>+[5]Resumen!L34*1000</f>
        <v>0</v>
      </c>
      <c r="M34" s="7">
        <f>+[5]Resumen!M34*1000</f>
        <v>86142.084406142909</v>
      </c>
      <c r="N34" s="7">
        <f>+[5]Resumen!N34*1000</f>
        <v>100886.25921184124</v>
      </c>
      <c r="O34" s="7">
        <f>+[5]Resumen!O34*1000</f>
        <v>113225.8436750376</v>
      </c>
      <c r="P34" s="7">
        <f>+[5]Resumen!P34*1000</f>
        <v>124607.76742779872</v>
      </c>
      <c r="Q34" s="7">
        <f>+[5]Resumen!Q34*1000</f>
        <v>135466.11428698606</v>
      </c>
      <c r="R34" s="7">
        <f>+[5]Resumen!R34*1000</f>
        <v>140815.48282846157</v>
      </c>
      <c r="S34" s="7">
        <f>+[5]Resumen!S34*1000</f>
        <v>139464.91977499588</v>
      </c>
      <c r="T34" s="7">
        <f>+[5]Resumen!T34*1000</f>
        <v>135993.61654961936</v>
      </c>
      <c r="U34" s="7">
        <f>+[5]Resumen!U34*1000</f>
        <v>134664.29196002439</v>
      </c>
      <c r="V34" s="7">
        <f>+[5]Resumen!V34*1000</f>
        <v>130236.6932807108</v>
      </c>
      <c r="W34" s="7">
        <f>+[5]Resumen!W34*1000</f>
        <v>0</v>
      </c>
      <c r="X34" s="7">
        <f>+[5]Resumen!X34*1000</f>
        <v>0</v>
      </c>
      <c r="Y34" s="7">
        <f>+[5]Resumen!Y34*1000</f>
        <v>0</v>
      </c>
      <c r="Z34" s="7">
        <f>+[5]Resumen!Z34*1000</f>
        <v>0</v>
      </c>
      <c r="AA34" s="7">
        <f>+[5]Resumen!AA34*1000</f>
        <v>0</v>
      </c>
      <c r="AB34" s="7">
        <f>+[5]Resumen!AB34*1000</f>
        <v>0</v>
      </c>
      <c r="AC34" s="7">
        <f>+[5]Resumen!AC34*1000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20</v>
      </c>
      <c r="F35" s="7">
        <f>+[5]Resumen!F35*1000</f>
        <v>0</v>
      </c>
      <c r="G35" s="7">
        <f>+[5]Resumen!G35*1000</f>
        <v>0</v>
      </c>
      <c r="H35" s="7">
        <f>+[5]Resumen!H35*1000</f>
        <v>0</v>
      </c>
      <c r="I35" s="7">
        <f>+[5]Resumen!I35*1000</f>
        <v>0</v>
      </c>
      <c r="J35" s="7">
        <f>+[5]Resumen!J35*1000</f>
        <v>0</v>
      </c>
      <c r="K35" s="7">
        <f>+[5]Resumen!K35*1000</f>
        <v>0</v>
      </c>
      <c r="L35" s="7">
        <f>+[5]Resumen!L35*1000</f>
        <v>0</v>
      </c>
      <c r="M35" s="7">
        <f>+[5]Resumen!M35*1000</f>
        <v>130304.41821509137</v>
      </c>
      <c r="N35" s="7">
        <f>+[5]Resumen!N35*1000</f>
        <v>142438.87545570268</v>
      </c>
      <c r="O35" s="7">
        <f>+[5]Resumen!O35*1000</f>
        <v>151377.50743701772</v>
      </c>
      <c r="P35" s="7">
        <f>+[5]Resumen!P35*1000</f>
        <v>163570.43255704656</v>
      </c>
      <c r="Q35" s="7">
        <f>+[5]Resumen!Q35*1000</f>
        <v>173263.30818961479</v>
      </c>
      <c r="R35" s="7">
        <f>+[5]Resumen!R35*1000</f>
        <v>174155.7404346948</v>
      </c>
      <c r="S35" s="7">
        <f>+[5]Resumen!S35*1000</f>
        <v>171531.86526237219</v>
      </c>
      <c r="T35" s="7">
        <f>+[5]Resumen!T35*1000</f>
        <v>173325.36474325618</v>
      </c>
      <c r="U35" s="7">
        <f>+[5]Resumen!U35*1000</f>
        <v>173014.27513925411</v>
      </c>
      <c r="V35" s="7">
        <f>+[5]Resumen!V35*1000</f>
        <v>167524.39809441354</v>
      </c>
      <c r="W35" s="7">
        <f>+[5]Resumen!W35*1000</f>
        <v>0</v>
      </c>
      <c r="X35" s="7">
        <f>+[5]Resumen!X35*1000</f>
        <v>0</v>
      </c>
      <c r="Y35" s="7">
        <f>+[5]Resumen!Y35*1000</f>
        <v>0</v>
      </c>
      <c r="Z35" s="7">
        <f>+[5]Resumen!Z35*1000</f>
        <v>0</v>
      </c>
      <c r="AA35" s="7">
        <f>+[5]Resumen!AA35*1000</f>
        <v>0</v>
      </c>
      <c r="AB35" s="7">
        <f>+[5]Resumen!AB35*1000</f>
        <v>0</v>
      </c>
      <c r="AC35" s="7">
        <f>+[5]Resumen!AC35*1000</f>
        <v>0</v>
      </c>
      <c r="AD35" s="60">
        <f t="shared" si="3"/>
        <v>47047002.121169493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+[5]Resumen!F36*1000</f>
        <v>0</v>
      </c>
      <c r="G36" s="7">
        <f>+[5]Resumen!G36*1000</f>
        <v>0</v>
      </c>
      <c r="H36" s="7">
        <f>+[5]Resumen!H36*1000</f>
        <v>0</v>
      </c>
      <c r="I36" s="7">
        <f>+[5]Resumen!I36*1000</f>
        <v>0</v>
      </c>
      <c r="J36" s="7">
        <f>+[5]Resumen!J36*1000</f>
        <v>0</v>
      </c>
      <c r="K36" s="7">
        <f>+[5]Resumen!K36*1000</f>
        <v>0</v>
      </c>
      <c r="L36" s="7">
        <f>+[5]Resumen!L36*1000</f>
        <v>0</v>
      </c>
      <c r="M36" s="7">
        <f>+[5]Resumen!M36*1000</f>
        <v>114876.26838094337</v>
      </c>
      <c r="N36" s="7">
        <f>+[5]Resumen!N36*1000</f>
        <v>131606.19952471636</v>
      </c>
      <c r="O36" s="7">
        <f>+[5]Resumen!O36*1000</f>
        <v>143088.38237686135</v>
      </c>
      <c r="P36" s="7">
        <f>+[5]Resumen!P36*1000</f>
        <v>153569.74598908916</v>
      </c>
      <c r="Q36" s="7">
        <f>+[5]Resumen!Q36*1000</f>
        <v>160908.27271828978</v>
      </c>
      <c r="R36" s="7">
        <f>+[5]Resumen!R36*1000</f>
        <v>160961.32679111211</v>
      </c>
      <c r="S36" s="7">
        <f>+[5]Resumen!S36*1000</f>
        <v>156050.30618341058</v>
      </c>
      <c r="T36" s="7">
        <f>+[5]Resumen!T36*1000</f>
        <v>150986.27214402723</v>
      </c>
      <c r="U36" s="7">
        <f>+[5]Resumen!U36*1000</f>
        <v>148197.32206344086</v>
      </c>
      <c r="V36" s="7">
        <f>+[5]Resumen!V36*1000</f>
        <v>145734.98239757307</v>
      </c>
      <c r="W36" s="7">
        <f>+[5]Resumen!W36*1000</f>
        <v>0</v>
      </c>
      <c r="X36" s="7">
        <f>+[5]Resumen!X36*1000</f>
        <v>0</v>
      </c>
      <c r="Y36" s="7">
        <f>+[5]Resumen!Y36*1000</f>
        <v>0</v>
      </c>
      <c r="Z36" s="7">
        <f>+[5]Resumen!Z36*1000</f>
        <v>0</v>
      </c>
      <c r="AA36" s="7">
        <f>+[5]Resumen!AA36*1000</f>
        <v>0</v>
      </c>
      <c r="AB36" s="7">
        <f>+[5]Resumen!AB36*1000</f>
        <v>0</v>
      </c>
      <c r="AC36" s="7">
        <f>+[5]Resumen!AC36*1000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+[5]Resumen!F37*1000</f>
        <v>0</v>
      </c>
      <c r="G37" s="7">
        <f>+[5]Resumen!G37*1000</f>
        <v>0</v>
      </c>
      <c r="H37" s="7">
        <f>+[5]Resumen!H37*1000</f>
        <v>0</v>
      </c>
      <c r="I37" s="7">
        <f>+[5]Resumen!I37*1000</f>
        <v>0</v>
      </c>
      <c r="J37" s="7">
        <f>+[5]Resumen!J37*1000</f>
        <v>0</v>
      </c>
      <c r="K37" s="7">
        <f>+[5]Resumen!K37*1000</f>
        <v>0</v>
      </c>
      <c r="L37" s="7">
        <f>+[5]Resumen!L37*1000</f>
        <v>0</v>
      </c>
      <c r="M37" s="7">
        <f>+[5]Resumen!M37*1000</f>
        <v>84217.113804006804</v>
      </c>
      <c r="N37" s="7">
        <f>+[5]Resumen!N37*1000</f>
        <v>98016.787740102271</v>
      </c>
      <c r="O37" s="7">
        <f>+[5]Resumen!O37*1000</f>
        <v>109748.2171564062</v>
      </c>
      <c r="P37" s="7">
        <f>+[5]Resumen!P37*1000</f>
        <v>118900.04061222356</v>
      </c>
      <c r="Q37" s="7">
        <f>+[5]Resumen!Q37*1000</f>
        <v>128487.85308494806</v>
      </c>
      <c r="R37" s="7">
        <f>+[5]Resumen!R37*1000</f>
        <v>134349.58904559092</v>
      </c>
      <c r="S37" s="7">
        <f>+[5]Resumen!S37*1000</f>
        <v>134802.29783531229</v>
      </c>
      <c r="T37" s="7">
        <f>+[5]Resumen!T37*1000</f>
        <v>130194.84662927758</v>
      </c>
      <c r="U37" s="7">
        <f>+[5]Resumen!U37*1000</f>
        <v>127911.06814225519</v>
      </c>
      <c r="V37" s="7">
        <f>+[5]Resumen!V37*1000</f>
        <v>124594.36122489146</v>
      </c>
      <c r="W37" s="7">
        <f>+[5]Resumen!W37*1000</f>
        <v>0</v>
      </c>
      <c r="X37" s="7">
        <f>+[5]Resumen!X37*1000</f>
        <v>0</v>
      </c>
      <c r="Y37" s="7">
        <f>+[5]Resumen!Y37*1000</f>
        <v>0</v>
      </c>
      <c r="Z37" s="7">
        <f>+[5]Resumen!Z37*1000</f>
        <v>0</v>
      </c>
      <c r="AA37" s="7">
        <f>+[5]Resumen!AA37*1000</f>
        <v>0</v>
      </c>
      <c r="AB37" s="7">
        <f>+[5]Resumen!AB37*1000</f>
        <v>0</v>
      </c>
      <c r="AC37" s="7">
        <f>+[5]Resumen!AC37*1000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+[5]Resumen!F38*1000</f>
        <v>0</v>
      </c>
      <c r="G38" s="7">
        <f>+[5]Resumen!G38*1000</f>
        <v>0</v>
      </c>
      <c r="H38" s="7">
        <f>+[5]Resumen!H38*1000</f>
        <v>0</v>
      </c>
      <c r="I38" s="7">
        <f>+[5]Resumen!I38*1000</f>
        <v>0</v>
      </c>
      <c r="J38" s="7">
        <f>+[5]Resumen!J38*1000</f>
        <v>0</v>
      </c>
      <c r="K38" s="7">
        <f>+[5]Resumen!K38*1000</f>
        <v>0</v>
      </c>
      <c r="L38" s="7">
        <f>+[5]Resumen!L38*1000</f>
        <v>0</v>
      </c>
      <c r="M38" s="7">
        <f>+[5]Resumen!M38*1000</f>
        <v>90727.07765603633</v>
      </c>
      <c r="N38" s="7">
        <f>+[5]Resumen!N38*1000</f>
        <v>104611.44060838417</v>
      </c>
      <c r="O38" s="7">
        <f>+[5]Resumen!O38*1000</f>
        <v>115581.98075646537</v>
      </c>
      <c r="P38" s="7">
        <f>+[5]Resumen!P38*1000</f>
        <v>127605.64691899228</v>
      </c>
      <c r="Q38" s="7">
        <f>+[5]Resumen!Q38*1000</f>
        <v>139459.21854598005</v>
      </c>
      <c r="R38" s="7">
        <f>+[5]Resumen!R38*1000</f>
        <v>146889.63011703634</v>
      </c>
      <c r="S38" s="7">
        <f>+[5]Resumen!S38*1000</f>
        <v>143354.28096426392</v>
      </c>
      <c r="T38" s="7">
        <f>+[5]Resumen!T38*1000</f>
        <v>137416.09474575563</v>
      </c>
      <c r="U38" s="7">
        <f>+[5]Resumen!U38*1000</f>
        <v>134356.32499532122</v>
      </c>
      <c r="V38" s="7">
        <f>+[5]Resumen!V38*1000</f>
        <v>131045.46301818371</v>
      </c>
      <c r="W38" s="7">
        <f>+[5]Resumen!W38*1000</f>
        <v>0</v>
      </c>
      <c r="X38" s="7">
        <f>+[5]Resumen!X38*1000</f>
        <v>0</v>
      </c>
      <c r="Y38" s="7">
        <f>+[5]Resumen!Y38*1000</f>
        <v>0</v>
      </c>
      <c r="Z38" s="7">
        <f>+[5]Resumen!Z38*1000</f>
        <v>0</v>
      </c>
      <c r="AA38" s="7">
        <f>+[5]Resumen!AA38*1000</f>
        <v>0</v>
      </c>
      <c r="AB38" s="7">
        <f>+[5]Resumen!AB38*1000</f>
        <v>0</v>
      </c>
      <c r="AC38" s="7">
        <f>+[5]Resumen!AC38*1000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+[5]Resumen!F39*1000</f>
        <v>0</v>
      </c>
      <c r="G39" s="7">
        <f>+[5]Resumen!G39*1000</f>
        <v>0</v>
      </c>
      <c r="H39" s="7">
        <f>+[5]Resumen!H39*1000</f>
        <v>0</v>
      </c>
      <c r="I39" s="7">
        <f>+[5]Resumen!I39*1000</f>
        <v>0</v>
      </c>
      <c r="J39" s="7">
        <f>+[5]Resumen!J39*1000</f>
        <v>0</v>
      </c>
      <c r="K39" s="7">
        <f>+[5]Resumen!K39*1000</f>
        <v>0</v>
      </c>
      <c r="L39" s="7">
        <f>+[5]Resumen!L39*1000</f>
        <v>0</v>
      </c>
      <c r="M39" s="7">
        <f>+[5]Resumen!M39*1000</f>
        <v>130044.18184937617</v>
      </c>
      <c r="N39" s="7">
        <f>+[5]Resumen!N39*1000</f>
        <v>142503.83497579291</v>
      </c>
      <c r="O39" s="7">
        <f>+[5]Resumen!O39*1000</f>
        <v>151440.10188118921</v>
      </c>
      <c r="P39" s="7">
        <f>+[5]Resumen!P39*1000</f>
        <v>164088.63465135367</v>
      </c>
      <c r="Q39" s="7">
        <f>+[5]Resumen!Q39*1000</f>
        <v>174636.08899619879</v>
      </c>
      <c r="R39" s="7">
        <f>+[5]Resumen!R39*1000</f>
        <v>176349.68504413471</v>
      </c>
      <c r="S39" s="7">
        <f>+[5]Resumen!S39*1000</f>
        <v>173609.01577117012</v>
      </c>
      <c r="T39" s="7">
        <f>+[5]Resumen!T39*1000</f>
        <v>174875.14027649286</v>
      </c>
      <c r="U39" s="7">
        <f>+[5]Resumen!U39*1000</f>
        <v>174951.22099124594</v>
      </c>
      <c r="V39" s="7">
        <f>+[5]Resumen!V39*1000</f>
        <v>169783.96534852849</v>
      </c>
      <c r="W39" s="7">
        <f>+[5]Resumen!W39*1000</f>
        <v>0</v>
      </c>
      <c r="X39" s="7">
        <f>+[5]Resumen!X39*1000</f>
        <v>0</v>
      </c>
      <c r="Y39" s="7">
        <f>+[5]Resumen!Y39*1000</f>
        <v>0</v>
      </c>
      <c r="Z39" s="7">
        <f>+[5]Resumen!Z39*1000</f>
        <v>0</v>
      </c>
      <c r="AA39" s="7">
        <f>+[5]Resumen!AA39*1000</f>
        <v>0</v>
      </c>
      <c r="AB39" s="7">
        <f>+[5]Resumen!AB39*1000</f>
        <v>0</v>
      </c>
      <c r="AC39" s="7">
        <f>+[5]Resumen!AC39*1000</f>
        <v>0</v>
      </c>
      <c r="AD39" s="60">
        <f t="shared" ref="AD39" si="4">SUM(F39:AC39)*E39+SUM(F40:AC40)*E40+SUM(F41:AC41)*E41+SUM(F42:AC42)*E42</f>
        <v>46078830.342014819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+[5]Resumen!F40*1000</f>
        <v>0</v>
      </c>
      <c r="G40" s="7">
        <f>+[5]Resumen!G40*1000</f>
        <v>0</v>
      </c>
      <c r="H40" s="7">
        <f>+[5]Resumen!H40*1000</f>
        <v>0</v>
      </c>
      <c r="I40" s="7">
        <f>+[5]Resumen!I40*1000</f>
        <v>0</v>
      </c>
      <c r="J40" s="7">
        <f>+[5]Resumen!J40*1000</f>
        <v>0</v>
      </c>
      <c r="K40" s="7">
        <f>+[5]Resumen!K40*1000</f>
        <v>0</v>
      </c>
      <c r="L40" s="7">
        <f>+[5]Resumen!L40*1000</f>
        <v>0</v>
      </c>
      <c r="M40" s="7">
        <f>+[5]Resumen!M40*1000</f>
        <v>114671.57229198935</v>
      </c>
      <c r="N40" s="7">
        <f>+[5]Resumen!N40*1000</f>
        <v>132401.39060582957</v>
      </c>
      <c r="O40" s="7">
        <f>+[5]Resumen!O40*1000</f>
        <v>144584.47150795022</v>
      </c>
      <c r="P40" s="7">
        <f>+[5]Resumen!P40*1000</f>
        <v>155914.38822670717</v>
      </c>
      <c r="Q40" s="7">
        <f>+[5]Resumen!Q40*1000</f>
        <v>163792.04140244014</v>
      </c>
      <c r="R40" s="7">
        <f>+[5]Resumen!R40*1000</f>
        <v>164154.94916285563</v>
      </c>
      <c r="S40" s="7">
        <f>+[5]Resumen!S40*1000</f>
        <v>157687.43144330819</v>
      </c>
      <c r="T40" s="7">
        <f>+[5]Resumen!T40*1000</f>
        <v>150773.38656910122</v>
      </c>
      <c r="U40" s="7">
        <f>+[5]Resumen!U40*1000</f>
        <v>147479.60774883832</v>
      </c>
      <c r="V40" s="7">
        <f>+[5]Resumen!V40*1000</f>
        <v>143955.75138685835</v>
      </c>
      <c r="W40" s="7">
        <f>+[5]Resumen!W40*1000</f>
        <v>0</v>
      </c>
      <c r="X40" s="7">
        <f>+[5]Resumen!X40*1000</f>
        <v>0</v>
      </c>
      <c r="Y40" s="7">
        <f>+[5]Resumen!Y40*1000</f>
        <v>0</v>
      </c>
      <c r="Z40" s="7">
        <f>+[5]Resumen!Z40*1000</f>
        <v>0</v>
      </c>
      <c r="AA40" s="7">
        <f>+[5]Resumen!AA40*1000</f>
        <v>0</v>
      </c>
      <c r="AB40" s="7">
        <f>+[5]Resumen!AB40*1000</f>
        <v>0</v>
      </c>
      <c r="AC40" s="7">
        <f>+[5]Resumen!AC40*1000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+[5]Resumen!F41*1000</f>
        <v>0</v>
      </c>
      <c r="G41" s="7">
        <f>+[5]Resumen!G41*1000</f>
        <v>0</v>
      </c>
      <c r="H41" s="7">
        <f>+[5]Resumen!H41*1000</f>
        <v>0</v>
      </c>
      <c r="I41" s="7">
        <f>+[5]Resumen!I41*1000</f>
        <v>0</v>
      </c>
      <c r="J41" s="7">
        <f>+[5]Resumen!J41*1000</f>
        <v>0</v>
      </c>
      <c r="K41" s="7">
        <f>+[5]Resumen!K41*1000</f>
        <v>0</v>
      </c>
      <c r="L41" s="7">
        <f>+[5]Resumen!L41*1000</f>
        <v>0</v>
      </c>
      <c r="M41" s="7">
        <f>+[5]Resumen!M41*1000</f>
        <v>81585.162061663155</v>
      </c>
      <c r="N41" s="7">
        <f>+[5]Resumen!N41*1000</f>
        <v>95620.395095641463</v>
      </c>
      <c r="O41" s="7">
        <f>+[5]Resumen!O41*1000</f>
        <v>107414.51750094684</v>
      </c>
      <c r="P41" s="7">
        <f>+[5]Resumen!P41*1000</f>
        <v>117925.20230611828</v>
      </c>
      <c r="Q41" s="7">
        <f>+[5]Resumen!Q41*1000</f>
        <v>127944.54053616026</v>
      </c>
      <c r="R41" s="7">
        <f>+[5]Resumen!R41*1000</f>
        <v>134033.53524578028</v>
      </c>
      <c r="S41" s="7">
        <f>+[5]Resumen!S41*1000</f>
        <v>133352.35026782847</v>
      </c>
      <c r="T41" s="7">
        <f>+[5]Resumen!T41*1000</f>
        <v>129227.4813061099</v>
      </c>
      <c r="U41" s="7">
        <f>+[5]Resumen!U41*1000</f>
        <v>127434.72501748503</v>
      </c>
      <c r="V41" s="7">
        <f>+[5]Resumen!V41*1000</f>
        <v>125312.31368949966</v>
      </c>
      <c r="W41" s="7">
        <f>+[5]Resumen!W41*1000</f>
        <v>0</v>
      </c>
      <c r="X41" s="7">
        <f>+[5]Resumen!X41*1000</f>
        <v>0</v>
      </c>
      <c r="Y41" s="7">
        <f>+[5]Resumen!Y41*1000</f>
        <v>0</v>
      </c>
      <c r="Z41" s="7">
        <f>+[5]Resumen!Z41*1000</f>
        <v>0</v>
      </c>
      <c r="AA41" s="7">
        <f>+[5]Resumen!AA41*1000</f>
        <v>0</v>
      </c>
      <c r="AB41" s="7">
        <f>+[5]Resumen!AB41*1000</f>
        <v>0</v>
      </c>
      <c r="AC41" s="7">
        <f>+[5]Resumen!AC41*1000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+[5]Resumen!F42*1000</f>
        <v>0</v>
      </c>
      <c r="G42" s="7">
        <f>+[5]Resumen!G42*1000</f>
        <v>0</v>
      </c>
      <c r="H42" s="7">
        <f>+[5]Resumen!H42*1000</f>
        <v>0</v>
      </c>
      <c r="I42" s="7">
        <f>+[5]Resumen!I42*1000</f>
        <v>0</v>
      </c>
      <c r="J42" s="7">
        <f>+[5]Resumen!J42*1000</f>
        <v>0</v>
      </c>
      <c r="K42" s="7">
        <f>+[5]Resumen!K42*1000</f>
        <v>0</v>
      </c>
      <c r="L42" s="7">
        <f>+[5]Resumen!L42*1000</f>
        <v>0</v>
      </c>
      <c r="M42" s="7">
        <f>+[5]Resumen!M42*1000</f>
        <v>0</v>
      </c>
      <c r="N42" s="7">
        <f>+[5]Resumen!N42*1000</f>
        <v>0</v>
      </c>
      <c r="O42" s="7">
        <f>+[5]Resumen!O42*1000</f>
        <v>0</v>
      </c>
      <c r="P42" s="7">
        <f>+[5]Resumen!P42*1000</f>
        <v>0</v>
      </c>
      <c r="Q42" s="7">
        <f>+[5]Resumen!Q42*1000</f>
        <v>0</v>
      </c>
      <c r="R42" s="7">
        <f>+[5]Resumen!R42*1000</f>
        <v>0</v>
      </c>
      <c r="S42" s="7">
        <f>+[5]Resumen!S42*1000</f>
        <v>0</v>
      </c>
      <c r="T42" s="7">
        <f>+[5]Resumen!T42*1000</f>
        <v>0</v>
      </c>
      <c r="U42" s="7">
        <f>+[5]Resumen!U42*1000</f>
        <v>0</v>
      </c>
      <c r="V42" s="7">
        <f>+[5]Resumen!V42*1000</f>
        <v>0</v>
      </c>
      <c r="W42" s="7">
        <f>+[5]Resumen!W42*1000</f>
        <v>0</v>
      </c>
      <c r="X42" s="7">
        <f>+[5]Resumen!X42*1000</f>
        <v>0</v>
      </c>
      <c r="Y42" s="7">
        <f>+[5]Resumen!Y42*1000</f>
        <v>0</v>
      </c>
      <c r="Z42" s="7">
        <f>+[5]Resumen!Z42*1000</f>
        <v>0</v>
      </c>
      <c r="AA42" s="7">
        <f>+[5]Resumen!AA42*1000</f>
        <v>0</v>
      </c>
      <c r="AB42" s="7">
        <f>+[5]Resumen!AB42*1000</f>
        <v>0</v>
      </c>
      <c r="AC42" s="7">
        <f>+[5]Resumen!AC42*1000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+[5]Resumen!F43*1000</f>
        <v>0</v>
      </c>
      <c r="G43" s="7">
        <f>+[5]Resumen!G43*1000</f>
        <v>0</v>
      </c>
      <c r="H43" s="7">
        <f>+[5]Resumen!H43*1000</f>
        <v>0</v>
      </c>
      <c r="I43" s="7">
        <f>+[5]Resumen!I43*1000</f>
        <v>0</v>
      </c>
      <c r="J43" s="7">
        <f>+[5]Resumen!J43*1000</f>
        <v>0</v>
      </c>
      <c r="K43" s="7">
        <f>+[5]Resumen!K43*1000</f>
        <v>0</v>
      </c>
      <c r="L43" s="7">
        <f>+[5]Resumen!L43*1000</f>
        <v>0</v>
      </c>
      <c r="M43" s="7">
        <f>+[5]Resumen!M43*1000</f>
        <v>122928.31921645648</v>
      </c>
      <c r="N43" s="7">
        <f>+[5]Resumen!N43*1000</f>
        <v>135519.64876585439</v>
      </c>
      <c r="O43" s="7">
        <f>+[5]Resumen!O43*1000</f>
        <v>143950.21029319116</v>
      </c>
      <c r="P43" s="7">
        <f>+[5]Resumen!P43*1000</f>
        <v>155500.56563748606</v>
      </c>
      <c r="Q43" s="7">
        <f>+[5]Resumen!Q43*1000</f>
        <v>165824.08096231284</v>
      </c>
      <c r="R43" s="7">
        <f>+[5]Resumen!R43*1000</f>
        <v>167965.60382825593</v>
      </c>
      <c r="S43" s="7">
        <f>+[5]Resumen!S43*1000</f>
        <v>165062.42386562345</v>
      </c>
      <c r="T43" s="7">
        <f>+[5]Resumen!T43*1000</f>
        <v>166327.03735022037</v>
      </c>
      <c r="U43" s="7">
        <f>+[5]Resumen!U43*1000</f>
        <v>166041.82397614833</v>
      </c>
      <c r="V43" s="7">
        <f>+[5]Resumen!V43*1000</f>
        <v>161034.92746097824</v>
      </c>
      <c r="W43" s="7">
        <f>+[5]Resumen!W43*1000</f>
        <v>0</v>
      </c>
      <c r="X43" s="7">
        <f>+[5]Resumen!X43*1000</f>
        <v>0</v>
      </c>
      <c r="Y43" s="7">
        <f>+[5]Resumen!Y43*1000</f>
        <v>0</v>
      </c>
      <c r="Z43" s="7">
        <f>+[5]Resumen!Z43*1000</f>
        <v>0</v>
      </c>
      <c r="AA43" s="7">
        <f>+[5]Resumen!AA43*1000</f>
        <v>0</v>
      </c>
      <c r="AB43" s="7">
        <f>+[5]Resumen!AB43*1000</f>
        <v>0</v>
      </c>
      <c r="AC43" s="7">
        <f>+[5]Resumen!AC43*1000</f>
        <v>0</v>
      </c>
      <c r="AD43" s="60">
        <f t="shared" ref="AD43" si="5">SUM(F43:AC43)*E43+SUM(F44:AC44)*E44+SUM(F45:AC45)*E45+SUM(F46:AC46)*E46</f>
        <v>45631070.789818034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+[5]Resumen!F44*1000</f>
        <v>0</v>
      </c>
      <c r="G44" s="7">
        <f>+[5]Resumen!G44*1000</f>
        <v>0</v>
      </c>
      <c r="H44" s="7">
        <f>+[5]Resumen!H44*1000</f>
        <v>0</v>
      </c>
      <c r="I44" s="7">
        <f>+[5]Resumen!I44*1000</f>
        <v>0</v>
      </c>
      <c r="J44" s="7">
        <f>+[5]Resumen!J44*1000</f>
        <v>0</v>
      </c>
      <c r="K44" s="7">
        <f>+[5]Resumen!K44*1000</f>
        <v>0</v>
      </c>
      <c r="L44" s="7">
        <f>+[5]Resumen!L44*1000</f>
        <v>0</v>
      </c>
      <c r="M44" s="7">
        <f>+[5]Resumen!M44*1000</f>
        <v>108817.87800007353</v>
      </c>
      <c r="N44" s="7">
        <f>+[5]Resumen!N44*1000</f>
        <v>125722.53118035858</v>
      </c>
      <c r="O44" s="7">
        <f>+[5]Resumen!O44*1000</f>
        <v>137371.69003477838</v>
      </c>
      <c r="P44" s="7">
        <f>+[5]Resumen!P44*1000</f>
        <v>148580.21389416253</v>
      </c>
      <c r="Q44" s="7">
        <f>+[5]Resumen!Q44*1000</f>
        <v>156313.48041686858</v>
      </c>
      <c r="R44" s="7">
        <f>+[5]Resumen!R44*1000</f>
        <v>157067.14717026317</v>
      </c>
      <c r="S44" s="7">
        <f>+[5]Resumen!S44*1000</f>
        <v>152026.15414393164</v>
      </c>
      <c r="T44" s="7">
        <f>+[5]Resumen!T44*1000</f>
        <v>146882.00110478469</v>
      </c>
      <c r="U44" s="7">
        <f>+[5]Resumen!U44*1000</f>
        <v>144860.88359689765</v>
      </c>
      <c r="V44" s="7">
        <f>+[5]Resumen!V44*1000</f>
        <v>142563.92884490453</v>
      </c>
      <c r="W44" s="7">
        <f>+[5]Resumen!W44*1000</f>
        <v>0</v>
      </c>
      <c r="X44" s="7">
        <f>+[5]Resumen!X44*1000</f>
        <v>0</v>
      </c>
      <c r="Y44" s="7">
        <f>+[5]Resumen!Y44*1000</f>
        <v>0</v>
      </c>
      <c r="Z44" s="7">
        <f>+[5]Resumen!Z44*1000</f>
        <v>0</v>
      </c>
      <c r="AA44" s="7">
        <f>+[5]Resumen!AA44*1000</f>
        <v>0</v>
      </c>
      <c r="AB44" s="7">
        <f>+[5]Resumen!AB44*1000</f>
        <v>0</v>
      </c>
      <c r="AC44" s="7">
        <f>+[5]Resumen!AC44*1000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+[5]Resumen!F45*1000</f>
        <v>0</v>
      </c>
      <c r="G45" s="7">
        <f>+[5]Resumen!G45*1000</f>
        <v>0</v>
      </c>
      <c r="H45" s="7">
        <f>+[5]Resumen!H45*1000</f>
        <v>0</v>
      </c>
      <c r="I45" s="7">
        <f>+[5]Resumen!I45*1000</f>
        <v>0</v>
      </c>
      <c r="J45" s="7">
        <f>+[5]Resumen!J45*1000</f>
        <v>0</v>
      </c>
      <c r="K45" s="7">
        <f>+[5]Resumen!K45*1000</f>
        <v>0</v>
      </c>
      <c r="L45" s="7">
        <f>+[5]Resumen!L45*1000</f>
        <v>0</v>
      </c>
      <c r="M45" s="7">
        <f>+[5]Resumen!M45*1000</f>
        <v>81495.455471152687</v>
      </c>
      <c r="N45" s="7">
        <f>+[5]Resumen!N45*1000</f>
        <v>95287.752916123209</v>
      </c>
      <c r="O45" s="7">
        <f>+[5]Resumen!O45*1000</f>
        <v>106632.76547101757</v>
      </c>
      <c r="P45" s="7">
        <f>+[5]Resumen!P45*1000</f>
        <v>116677.0909745028</v>
      </c>
      <c r="Q45" s="7">
        <f>+[5]Resumen!Q45*1000</f>
        <v>127265.8869285277</v>
      </c>
      <c r="R45" s="7">
        <f>+[5]Resumen!R45*1000</f>
        <v>132937.17063417833</v>
      </c>
      <c r="S45" s="7">
        <f>+[5]Resumen!S45*1000</f>
        <v>131694.04813457889</v>
      </c>
      <c r="T45" s="7">
        <f>+[5]Resumen!T45*1000</f>
        <v>127545.73371540224</v>
      </c>
      <c r="U45" s="7">
        <f>+[5]Resumen!U45*1000</f>
        <v>125045.84231027306</v>
      </c>
      <c r="V45" s="7">
        <f>+[5]Resumen!V45*1000</f>
        <v>121772.64293533062</v>
      </c>
      <c r="W45" s="7">
        <f>+[5]Resumen!W45*1000</f>
        <v>0</v>
      </c>
      <c r="X45" s="7">
        <f>+[5]Resumen!X45*1000</f>
        <v>0</v>
      </c>
      <c r="Y45" s="7">
        <f>+[5]Resumen!Y45*1000</f>
        <v>0</v>
      </c>
      <c r="Z45" s="7">
        <f>+[5]Resumen!Z45*1000</f>
        <v>0</v>
      </c>
      <c r="AA45" s="7">
        <f>+[5]Resumen!AA45*1000</f>
        <v>0</v>
      </c>
      <c r="AB45" s="7">
        <f>+[5]Resumen!AB45*1000</f>
        <v>0</v>
      </c>
      <c r="AC45" s="7">
        <f>+[5]Resumen!AC45*1000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+[5]Resumen!F46*1000</f>
        <v>0</v>
      </c>
      <c r="G46" s="7">
        <f>+[5]Resumen!G46*1000</f>
        <v>0</v>
      </c>
      <c r="H46" s="7">
        <f>+[5]Resumen!H46*1000</f>
        <v>0</v>
      </c>
      <c r="I46" s="7">
        <f>+[5]Resumen!I46*1000</f>
        <v>0</v>
      </c>
      <c r="J46" s="7">
        <f>+[5]Resumen!J46*1000</f>
        <v>0</v>
      </c>
      <c r="K46" s="7">
        <f>+[5]Resumen!K46*1000</f>
        <v>0</v>
      </c>
      <c r="L46" s="7">
        <f>+[5]Resumen!L46*1000</f>
        <v>0</v>
      </c>
      <c r="M46" s="7">
        <f>+[5]Resumen!M46*1000</f>
        <v>79800.915529707621</v>
      </c>
      <c r="N46" s="7">
        <f>+[5]Resumen!N46*1000</f>
        <v>93586.082845628101</v>
      </c>
      <c r="O46" s="7">
        <f>+[5]Resumen!O46*1000</f>
        <v>103829.38678491318</v>
      </c>
      <c r="P46" s="7">
        <f>+[5]Resumen!P46*1000</f>
        <v>114588.93218699294</v>
      </c>
      <c r="Q46" s="7">
        <f>+[5]Resumen!Q46*1000</f>
        <v>128076.71584234302</v>
      </c>
      <c r="R46" s="7">
        <f>+[5]Resumen!R46*1000</f>
        <v>136743.70078784192</v>
      </c>
      <c r="S46" s="7">
        <f>+[5]Resumen!S46*1000</f>
        <v>136671.21080033001</v>
      </c>
      <c r="T46" s="7">
        <f>+[5]Resumen!T46*1000</f>
        <v>130896.3770085787</v>
      </c>
      <c r="U46" s="7">
        <f>+[5]Resumen!U46*1000</f>
        <v>129273.31902315593</v>
      </c>
      <c r="V46" s="7">
        <f>+[5]Resumen!V46*1000</f>
        <v>127960.84765249908</v>
      </c>
      <c r="W46" s="7">
        <f>+[5]Resumen!W46*1000</f>
        <v>0</v>
      </c>
      <c r="X46" s="7">
        <f>+[5]Resumen!X46*1000</f>
        <v>0</v>
      </c>
      <c r="Y46" s="7">
        <f>+[5]Resumen!Y46*1000</f>
        <v>0</v>
      </c>
      <c r="Z46" s="7">
        <f>+[5]Resumen!Z46*1000</f>
        <v>0</v>
      </c>
      <c r="AA46" s="7">
        <f>+[5]Resumen!AA46*1000</f>
        <v>0</v>
      </c>
      <c r="AB46" s="7">
        <f>+[5]Resumen!AB46*1000</f>
        <v>0</v>
      </c>
      <c r="AC46" s="7">
        <f>+[5]Resumen!AC46*1000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+[5]Resumen!F47*1000</f>
        <v>0</v>
      </c>
      <c r="G47" s="7">
        <f>+[5]Resumen!G47*1000</f>
        <v>0</v>
      </c>
      <c r="H47" s="7">
        <f>+[5]Resumen!H47*1000</f>
        <v>0</v>
      </c>
      <c r="I47" s="7">
        <f>+[5]Resumen!I47*1000</f>
        <v>0</v>
      </c>
      <c r="J47" s="7">
        <f>+[5]Resumen!J47*1000</f>
        <v>0</v>
      </c>
      <c r="K47" s="7">
        <f>+[5]Resumen!K47*1000</f>
        <v>0</v>
      </c>
      <c r="L47" s="7">
        <f>+[5]Resumen!L47*1000</f>
        <v>0</v>
      </c>
      <c r="M47" s="7">
        <f>+[5]Resumen!M47*1000</f>
        <v>133293.00164399337</v>
      </c>
      <c r="N47" s="7">
        <f>+[5]Resumen!N47*1000</f>
        <v>146057.30200615447</v>
      </c>
      <c r="O47" s="7">
        <f>+[5]Resumen!O47*1000</f>
        <v>154413.13370411529</v>
      </c>
      <c r="P47" s="7">
        <f>+[5]Resumen!P47*1000</f>
        <v>166051.7133604369</v>
      </c>
      <c r="Q47" s="7">
        <f>+[5]Resumen!Q47*1000</f>
        <v>176752.82989042765</v>
      </c>
      <c r="R47" s="7">
        <f>+[5]Resumen!R47*1000</f>
        <v>179346.65710168585</v>
      </c>
      <c r="S47" s="7">
        <f>+[5]Resumen!S47*1000</f>
        <v>175810.01660103764</v>
      </c>
      <c r="T47" s="7">
        <f>+[5]Resumen!T47*1000</f>
        <v>176171.72539935546</v>
      </c>
      <c r="U47" s="7">
        <f>+[5]Resumen!U47*1000</f>
        <v>175877.76411860844</v>
      </c>
      <c r="V47" s="7">
        <f>+[5]Resumen!V47*1000</f>
        <v>171700.11618838439</v>
      </c>
      <c r="W47" s="7">
        <f>+[5]Resumen!W47*1000</f>
        <v>0</v>
      </c>
      <c r="X47" s="7">
        <f>+[5]Resumen!X47*1000</f>
        <v>0</v>
      </c>
      <c r="Y47" s="7">
        <f>+[5]Resumen!Y47*1000</f>
        <v>0</v>
      </c>
      <c r="Z47" s="7">
        <f>+[5]Resumen!Z47*1000</f>
        <v>0</v>
      </c>
      <c r="AA47" s="7">
        <f>+[5]Resumen!AA47*1000</f>
        <v>0</v>
      </c>
      <c r="AB47" s="7">
        <f>+[5]Resumen!AB47*1000</f>
        <v>0</v>
      </c>
      <c r="AC47" s="7">
        <f>+[5]Resumen!AC47*1000</f>
        <v>0</v>
      </c>
      <c r="AD47" s="60">
        <f t="shared" ref="AD47" si="6">SUM(F47:AC47)*E47+SUM(F48:AC48)*E48+SUM(F49:AC49)*E49+SUM(F50:AC50)*E50</f>
        <v>46276749.923882008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5</v>
      </c>
      <c r="F48" s="7">
        <f>+[5]Resumen!F48*1000</f>
        <v>0</v>
      </c>
      <c r="G48" s="7">
        <f>+[5]Resumen!G48*1000</f>
        <v>0</v>
      </c>
      <c r="H48" s="7">
        <f>+[5]Resumen!H48*1000</f>
        <v>0</v>
      </c>
      <c r="I48" s="7">
        <f>+[5]Resumen!I48*1000</f>
        <v>0</v>
      </c>
      <c r="J48" s="7">
        <f>+[5]Resumen!J48*1000</f>
        <v>0</v>
      </c>
      <c r="K48" s="7">
        <f>+[5]Resumen!K48*1000</f>
        <v>0</v>
      </c>
      <c r="L48" s="7">
        <f>+[5]Resumen!L48*1000</f>
        <v>0</v>
      </c>
      <c r="M48" s="7">
        <f>+[5]Resumen!M48*1000</f>
        <v>117463.02705367022</v>
      </c>
      <c r="N48" s="7">
        <f>+[5]Resumen!N48*1000</f>
        <v>135436.19361299364</v>
      </c>
      <c r="O48" s="7">
        <f>+[5]Resumen!O48*1000</f>
        <v>146530.34387912141</v>
      </c>
      <c r="P48" s="7">
        <f>+[5]Resumen!P48*1000</f>
        <v>156621.04909621738</v>
      </c>
      <c r="Q48" s="7">
        <f>+[5]Resumen!Q48*1000</f>
        <v>163803.43770141993</v>
      </c>
      <c r="R48" s="7">
        <f>+[5]Resumen!R48*1000</f>
        <v>164626.15563836481</v>
      </c>
      <c r="S48" s="7">
        <f>+[5]Resumen!S48*1000</f>
        <v>159188.41496761769</v>
      </c>
      <c r="T48" s="7">
        <f>+[5]Resumen!T48*1000</f>
        <v>153691.55561097196</v>
      </c>
      <c r="U48" s="7">
        <f>+[5]Resumen!U48*1000</f>
        <v>150815.89223908473</v>
      </c>
      <c r="V48" s="7">
        <f>+[5]Resumen!V48*1000</f>
        <v>148245.28260036532</v>
      </c>
      <c r="W48" s="7">
        <f>+[5]Resumen!W48*1000</f>
        <v>0</v>
      </c>
      <c r="X48" s="7">
        <f>+[5]Resumen!X48*1000</f>
        <v>0</v>
      </c>
      <c r="Y48" s="7">
        <f>+[5]Resumen!Y48*1000</f>
        <v>0</v>
      </c>
      <c r="Z48" s="7">
        <f>+[5]Resumen!Z48*1000</f>
        <v>0</v>
      </c>
      <c r="AA48" s="7">
        <f>+[5]Resumen!AA48*1000</f>
        <v>0</v>
      </c>
      <c r="AB48" s="7">
        <f>+[5]Resumen!AB48*1000</f>
        <v>0</v>
      </c>
      <c r="AC48" s="7">
        <f>+[5]Resumen!AC48*1000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+[5]Resumen!F49*1000</f>
        <v>0</v>
      </c>
      <c r="G49" s="7">
        <f>+[5]Resumen!G49*1000</f>
        <v>0</v>
      </c>
      <c r="H49" s="7">
        <f>+[5]Resumen!H49*1000</f>
        <v>0</v>
      </c>
      <c r="I49" s="7">
        <f>+[5]Resumen!I49*1000</f>
        <v>0</v>
      </c>
      <c r="J49" s="7">
        <f>+[5]Resumen!J49*1000</f>
        <v>0</v>
      </c>
      <c r="K49" s="7">
        <f>+[5]Resumen!K49*1000</f>
        <v>0</v>
      </c>
      <c r="L49" s="7">
        <f>+[5]Resumen!L49*1000</f>
        <v>0</v>
      </c>
      <c r="M49" s="7">
        <f>+[5]Resumen!M49*1000</f>
        <v>85218.912333171538</v>
      </c>
      <c r="N49" s="7">
        <f>+[5]Resumen!N49*1000</f>
        <v>99917.639495109033</v>
      </c>
      <c r="O49" s="7">
        <f>+[5]Resumen!O49*1000</f>
        <v>112302.68802620459</v>
      </c>
      <c r="P49" s="7">
        <f>+[5]Resumen!P49*1000</f>
        <v>121924.99734846216</v>
      </c>
      <c r="Q49" s="7">
        <f>+[5]Resumen!Q49*1000</f>
        <v>131575.69579381339</v>
      </c>
      <c r="R49" s="7">
        <f>+[5]Resumen!R49*1000</f>
        <v>138070.47142392746</v>
      </c>
      <c r="S49" s="7">
        <f>+[5]Resumen!S49*1000</f>
        <v>138923.16341331432</v>
      </c>
      <c r="T49" s="7">
        <f>+[5]Resumen!T49*1000</f>
        <v>135103.57196364825</v>
      </c>
      <c r="U49" s="7">
        <f>+[5]Resumen!U49*1000</f>
        <v>131519.92147308108</v>
      </c>
      <c r="V49" s="7">
        <f>+[5]Resumen!V49*1000</f>
        <v>128194.73559430742</v>
      </c>
      <c r="W49" s="7">
        <f>+[5]Resumen!W49*1000</f>
        <v>0</v>
      </c>
      <c r="X49" s="7">
        <f>+[5]Resumen!X49*1000</f>
        <v>0</v>
      </c>
      <c r="Y49" s="7">
        <f>+[5]Resumen!Y49*1000</f>
        <v>0</v>
      </c>
      <c r="Z49" s="7">
        <f>+[5]Resumen!Z49*1000</f>
        <v>0</v>
      </c>
      <c r="AA49" s="7">
        <f>+[5]Resumen!AA49*1000</f>
        <v>0</v>
      </c>
      <c r="AB49" s="7">
        <f>+[5]Resumen!AB49*1000</f>
        <v>0</v>
      </c>
      <c r="AC49" s="7">
        <f>+[5]Resumen!AC49*1000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+[5]Resumen!F50*1000</f>
        <v>0</v>
      </c>
      <c r="G50" s="7">
        <f>+[5]Resumen!G50*1000</f>
        <v>0</v>
      </c>
      <c r="H50" s="7">
        <f>+[5]Resumen!H50*1000</f>
        <v>0</v>
      </c>
      <c r="I50" s="7">
        <f>+[5]Resumen!I50*1000</f>
        <v>0</v>
      </c>
      <c r="J50" s="7">
        <f>+[5]Resumen!J50*1000</f>
        <v>0</v>
      </c>
      <c r="K50" s="7">
        <f>+[5]Resumen!K50*1000</f>
        <v>0</v>
      </c>
      <c r="L50" s="7">
        <f>+[5]Resumen!L50*1000</f>
        <v>0</v>
      </c>
      <c r="M50" s="7">
        <f>+[5]Resumen!M50*1000</f>
        <v>82012.234824477433</v>
      </c>
      <c r="N50" s="7">
        <f>+[5]Resumen!N50*1000</f>
        <v>96902.890360839054</v>
      </c>
      <c r="O50" s="7">
        <f>+[5]Resumen!O50*1000</f>
        <v>108776.91004004065</v>
      </c>
      <c r="P50" s="7">
        <f>+[5]Resumen!P50*1000</f>
        <v>121470.37719964328</v>
      </c>
      <c r="Q50" s="7">
        <f>+[5]Resumen!Q50*1000</f>
        <v>133672.28221730096</v>
      </c>
      <c r="R50" s="7">
        <f>+[5]Resumen!R50*1000</f>
        <v>141733.7748793333</v>
      </c>
      <c r="S50" s="7">
        <f>+[5]Resumen!S50*1000</f>
        <v>141608.72559616604</v>
      </c>
      <c r="T50" s="7">
        <f>+[5]Resumen!T50*1000</f>
        <v>136095.52627490487</v>
      </c>
      <c r="U50" s="7">
        <f>+[5]Resumen!U50*1000</f>
        <v>132108.5666966615</v>
      </c>
      <c r="V50" s="7">
        <f>+[5]Resumen!V50*1000</f>
        <v>130431.22898709393</v>
      </c>
      <c r="W50" s="7">
        <f>+[5]Resumen!W50*1000</f>
        <v>0</v>
      </c>
      <c r="X50" s="7">
        <f>+[5]Resumen!X50*1000</f>
        <v>0</v>
      </c>
      <c r="Y50" s="7">
        <f>+[5]Resumen!Y50*1000</f>
        <v>0</v>
      </c>
      <c r="Z50" s="7">
        <f>+[5]Resumen!Z50*1000</f>
        <v>0</v>
      </c>
      <c r="AA50" s="7">
        <f>+[5]Resumen!AA50*1000</f>
        <v>0</v>
      </c>
      <c r="AB50" s="7">
        <f>+[5]Resumen!AB50*1000</f>
        <v>0</v>
      </c>
      <c r="AC50" s="7">
        <f>+[5]Resumen!AC50*1000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+[5]Resumen!F51*1000</f>
        <v>0</v>
      </c>
      <c r="G51" s="7">
        <f>+[5]Resumen!G51*1000</f>
        <v>0</v>
      </c>
      <c r="H51" s="7">
        <f>+[5]Resumen!H51*1000</f>
        <v>0</v>
      </c>
      <c r="I51" s="7">
        <f>+[5]Resumen!I51*1000</f>
        <v>0</v>
      </c>
      <c r="J51" s="7">
        <f>+[5]Resumen!J51*1000</f>
        <v>0</v>
      </c>
      <c r="K51" s="7">
        <f>+[5]Resumen!K51*1000</f>
        <v>0</v>
      </c>
      <c r="L51" s="7">
        <f>+[5]Resumen!L51*1000</f>
        <v>0</v>
      </c>
      <c r="M51" s="7">
        <f>+[5]Resumen!M51*1000</f>
        <v>128566.72590321634</v>
      </c>
      <c r="N51" s="7">
        <f>+[5]Resumen!N51*1000</f>
        <v>144124.78656547557</v>
      </c>
      <c r="O51" s="7">
        <f>+[5]Resumen!O51*1000</f>
        <v>153334.30391319192</v>
      </c>
      <c r="P51" s="7">
        <f>+[5]Resumen!P51*1000</f>
        <v>164072.0257414731</v>
      </c>
      <c r="Q51" s="7">
        <f>+[5]Resumen!Q51*1000</f>
        <v>174287.0945339613</v>
      </c>
      <c r="R51" s="7">
        <f>+[5]Resumen!R51*1000</f>
        <v>178411.32090126799</v>
      </c>
      <c r="S51" s="7">
        <f>+[5]Resumen!S51*1000</f>
        <v>175700.48402255235</v>
      </c>
      <c r="T51" s="7">
        <f>+[5]Resumen!T51*1000</f>
        <v>175863.29445274465</v>
      </c>
      <c r="U51" s="7">
        <f>+[5]Resumen!U51*1000</f>
        <v>175178.69941307322</v>
      </c>
      <c r="V51" s="7">
        <f>+[5]Resumen!V51*1000</f>
        <v>170648.89948001888</v>
      </c>
      <c r="W51" s="7">
        <f>+[5]Resumen!W51*1000</f>
        <v>0</v>
      </c>
      <c r="X51" s="7">
        <f>+[5]Resumen!X51*1000</f>
        <v>0</v>
      </c>
      <c r="Y51" s="7">
        <f>+[5]Resumen!Y51*1000</f>
        <v>0</v>
      </c>
      <c r="Z51" s="7">
        <f>+[5]Resumen!Z51*1000</f>
        <v>0</v>
      </c>
      <c r="AA51" s="7">
        <f>+[5]Resumen!AA51*1000</f>
        <v>0</v>
      </c>
      <c r="AB51" s="7">
        <f>+[5]Resumen!AB51*1000</f>
        <v>0</v>
      </c>
      <c r="AC51" s="7">
        <f>+[5]Resumen!AC51*1000</f>
        <v>0</v>
      </c>
      <c r="AD51" s="60">
        <f t="shared" ref="AD51" si="7">SUM(F51:AC51)*E51+SUM(F52:AC52)*E52+SUM(F53:AC53)*E53+SUM(F54:AC54)*E54</f>
        <v>47740318.793000646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+[5]Resumen!F52*1000</f>
        <v>0</v>
      </c>
      <c r="G52" s="7">
        <f>+[5]Resumen!G52*1000</f>
        <v>0</v>
      </c>
      <c r="H52" s="7">
        <f>+[5]Resumen!H52*1000</f>
        <v>0</v>
      </c>
      <c r="I52" s="7">
        <f>+[5]Resumen!I52*1000</f>
        <v>0</v>
      </c>
      <c r="J52" s="7">
        <f>+[5]Resumen!J52*1000</f>
        <v>0</v>
      </c>
      <c r="K52" s="7">
        <f>+[5]Resumen!K52*1000</f>
        <v>0</v>
      </c>
      <c r="L52" s="7">
        <f>+[5]Resumen!L52*1000</f>
        <v>0</v>
      </c>
      <c r="M52" s="7">
        <f>+[5]Resumen!M52*1000</f>
        <v>117871.7869022528</v>
      </c>
      <c r="N52" s="7">
        <f>+[5]Resumen!N52*1000</f>
        <v>135147.12672546724</v>
      </c>
      <c r="O52" s="7">
        <f>+[5]Resumen!O52*1000</f>
        <v>146747.33138259393</v>
      </c>
      <c r="P52" s="7">
        <f>+[5]Resumen!P52*1000</f>
        <v>155971.37382764093</v>
      </c>
      <c r="Q52" s="7">
        <f>+[5]Resumen!Q52*1000</f>
        <v>162589.23195035782</v>
      </c>
      <c r="R52" s="7">
        <f>+[5]Resumen!R52*1000</f>
        <v>163847.02531151555</v>
      </c>
      <c r="S52" s="7">
        <f>+[5]Resumen!S52*1000</f>
        <v>159810.34576052972</v>
      </c>
      <c r="T52" s="7">
        <f>+[5]Resumen!T52*1000</f>
        <v>155168.80625540274</v>
      </c>
      <c r="U52" s="7">
        <f>+[5]Resumen!U52*1000</f>
        <v>151814.63587852113</v>
      </c>
      <c r="V52" s="7">
        <f>+[5]Resumen!V52*1000</f>
        <v>148475.55928475957</v>
      </c>
      <c r="W52" s="7">
        <f>+[5]Resumen!W52*1000</f>
        <v>0</v>
      </c>
      <c r="X52" s="7">
        <f>+[5]Resumen!X52*1000</f>
        <v>0</v>
      </c>
      <c r="Y52" s="7">
        <f>+[5]Resumen!Y52*1000</f>
        <v>0</v>
      </c>
      <c r="Z52" s="7">
        <f>+[5]Resumen!Z52*1000</f>
        <v>0</v>
      </c>
      <c r="AA52" s="7">
        <f>+[5]Resumen!AA52*1000</f>
        <v>0</v>
      </c>
      <c r="AB52" s="7">
        <f>+[5]Resumen!AB52*1000</f>
        <v>0</v>
      </c>
      <c r="AC52" s="7">
        <f>+[5]Resumen!AC52*1000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+[5]Resumen!F53*1000</f>
        <v>0</v>
      </c>
      <c r="G53" s="7">
        <f>+[5]Resumen!G53*1000</f>
        <v>0</v>
      </c>
      <c r="H53" s="7">
        <f>+[5]Resumen!H53*1000</f>
        <v>0</v>
      </c>
      <c r="I53" s="7">
        <f>+[5]Resumen!I53*1000</f>
        <v>0</v>
      </c>
      <c r="J53" s="7">
        <f>+[5]Resumen!J53*1000</f>
        <v>0</v>
      </c>
      <c r="K53" s="7">
        <f>+[5]Resumen!K53*1000</f>
        <v>0</v>
      </c>
      <c r="L53" s="7">
        <f>+[5]Resumen!L53*1000</f>
        <v>0</v>
      </c>
      <c r="M53" s="7">
        <f>+[5]Resumen!M53*1000</f>
        <v>90170.609372450694</v>
      </c>
      <c r="N53" s="7">
        <f>+[5]Resumen!N53*1000</f>
        <v>104333.82134526988</v>
      </c>
      <c r="O53" s="7">
        <f>+[5]Resumen!O53*1000</f>
        <v>116321.69931038796</v>
      </c>
      <c r="P53" s="7">
        <f>+[5]Resumen!P53*1000</f>
        <v>126111.37060217099</v>
      </c>
      <c r="Q53" s="7">
        <f>+[5]Resumen!Q53*1000</f>
        <v>135271.91938147316</v>
      </c>
      <c r="R53" s="7">
        <f>+[5]Resumen!R53*1000</f>
        <v>141061.43429986917</v>
      </c>
      <c r="S53" s="7">
        <f>+[5]Resumen!S53*1000</f>
        <v>141871.92446583154</v>
      </c>
      <c r="T53" s="7">
        <f>+[5]Resumen!T53*1000</f>
        <v>138557.11658946157</v>
      </c>
      <c r="U53" s="7">
        <f>+[5]Resumen!U53*1000</f>
        <v>136686.79525458257</v>
      </c>
      <c r="V53" s="7">
        <f>+[5]Resumen!V53*1000</f>
        <v>134196.98621736726</v>
      </c>
      <c r="W53" s="7">
        <f>+[5]Resumen!W53*1000</f>
        <v>0</v>
      </c>
      <c r="X53" s="7">
        <f>+[5]Resumen!X53*1000</f>
        <v>0</v>
      </c>
      <c r="Y53" s="7">
        <f>+[5]Resumen!Y53*1000</f>
        <v>0</v>
      </c>
      <c r="Z53" s="7">
        <f>+[5]Resumen!Z53*1000</f>
        <v>0</v>
      </c>
      <c r="AA53" s="7">
        <f>+[5]Resumen!AA53*1000</f>
        <v>0</v>
      </c>
      <c r="AB53" s="7">
        <f>+[5]Resumen!AB53*1000</f>
        <v>0</v>
      </c>
      <c r="AC53" s="7">
        <f>+[5]Resumen!AC53*1000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+[5]Resumen!F54*1000</f>
        <v>0</v>
      </c>
      <c r="G54" s="7">
        <f>+[5]Resumen!G54*1000</f>
        <v>0</v>
      </c>
      <c r="H54" s="7">
        <f>+[5]Resumen!H54*1000</f>
        <v>0</v>
      </c>
      <c r="I54" s="7">
        <f>+[5]Resumen!I54*1000</f>
        <v>0</v>
      </c>
      <c r="J54" s="7">
        <f>+[5]Resumen!J54*1000</f>
        <v>0</v>
      </c>
      <c r="K54" s="7">
        <f>+[5]Resumen!K54*1000</f>
        <v>0</v>
      </c>
      <c r="L54" s="7">
        <f>+[5]Resumen!L54*1000</f>
        <v>0</v>
      </c>
      <c r="M54" s="7">
        <f>+[5]Resumen!M54*1000</f>
        <v>77936.400127726272</v>
      </c>
      <c r="N54" s="7">
        <f>+[5]Resumen!N54*1000</f>
        <v>88546.502295192462</v>
      </c>
      <c r="O54" s="7">
        <f>+[5]Resumen!O54*1000</f>
        <v>99314.364470316228</v>
      </c>
      <c r="P54" s="7">
        <f>+[5]Resumen!P54*1000</f>
        <v>109635.44081060184</v>
      </c>
      <c r="Q54" s="7">
        <f>+[5]Resumen!Q54*1000</f>
        <v>119466.76782321004</v>
      </c>
      <c r="R54" s="7">
        <f>+[5]Resumen!R54*1000</f>
        <v>127016.0039290087</v>
      </c>
      <c r="S54" s="7">
        <f>+[5]Resumen!S54*1000</f>
        <v>128177.14944819659</v>
      </c>
      <c r="T54" s="7">
        <f>+[5]Resumen!T54*1000</f>
        <v>125431.62068330526</v>
      </c>
      <c r="U54" s="7">
        <f>+[5]Resumen!U54*1000</f>
        <v>124844.85807658032</v>
      </c>
      <c r="V54" s="7">
        <f>+[5]Resumen!V54*1000</f>
        <v>123766.32186712946</v>
      </c>
      <c r="W54" s="7">
        <f>+[5]Resumen!W54*1000</f>
        <v>0</v>
      </c>
      <c r="X54" s="7">
        <f>+[5]Resumen!X54*1000</f>
        <v>0</v>
      </c>
      <c r="Y54" s="7">
        <f>+[5]Resumen!Y54*1000</f>
        <v>0</v>
      </c>
      <c r="Z54" s="7">
        <f>+[5]Resumen!Z54*1000</f>
        <v>0</v>
      </c>
      <c r="AA54" s="7">
        <f>+[5]Resumen!AA54*1000</f>
        <v>0</v>
      </c>
      <c r="AB54" s="7">
        <f>+[5]Resumen!AB54*1000</f>
        <v>0</v>
      </c>
      <c r="AC54" s="7">
        <f>+[5]Resumen!AC54*1000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7"/>
      <c r="AB55" s="55"/>
      <c r="AC55" s="56"/>
      <c r="AD55" s="17">
        <f>SUM(AD7:AD54)</f>
        <v>560142990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B55:AD55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2A7F-7095-4F92-BB01-7AAD2014E6C0}">
  <dimension ref="C1:BD57"/>
  <sheetViews>
    <sheetView showGridLines="0" zoomScale="66" zoomScaleNormal="66" workbookViewId="0">
      <selection activeCell="C4" sqref="C4:AD4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2031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+[6]Resumen!E7</f>
        <v>21</v>
      </c>
      <c r="F7" s="7">
        <f>+[6]Resumen!F7*1000</f>
        <v>0</v>
      </c>
      <c r="G7" s="7">
        <f>+[6]Resumen!G7*1000</f>
        <v>0</v>
      </c>
      <c r="H7" s="7">
        <f>+[6]Resumen!H7*1000</f>
        <v>0</v>
      </c>
      <c r="I7" s="7">
        <f>+[6]Resumen!I7*1000</f>
        <v>0</v>
      </c>
      <c r="J7" s="7">
        <f>+[6]Resumen!J7*1000</f>
        <v>0</v>
      </c>
      <c r="K7" s="7">
        <f>+[6]Resumen!K7*1000</f>
        <v>0</v>
      </c>
      <c r="L7" s="7">
        <f>+[6]Resumen!L7*1000</f>
        <v>0</v>
      </c>
      <c r="M7" s="7">
        <f>+[6]Resumen!M7*1000</f>
        <v>129632.02155015279</v>
      </c>
      <c r="N7" s="7">
        <f>+[6]Resumen!N7*1000</f>
        <v>141471.20227116469</v>
      </c>
      <c r="O7" s="7">
        <f>+[6]Resumen!O7*1000</f>
        <v>149287.27309031482</v>
      </c>
      <c r="P7" s="7">
        <f>+[6]Resumen!P7*1000</f>
        <v>159563.3253108905</v>
      </c>
      <c r="Q7" s="7">
        <f>+[6]Resumen!Q7*1000</f>
        <v>168453.02654857136</v>
      </c>
      <c r="R7" s="7">
        <f>+[6]Resumen!R7*1000</f>
        <v>171492.52556787289</v>
      </c>
      <c r="S7" s="7">
        <f>+[6]Resumen!S7*1000</f>
        <v>169713.80610072528</v>
      </c>
      <c r="T7" s="7">
        <f>+[6]Resumen!T7*1000</f>
        <v>170952.37503850786</v>
      </c>
      <c r="U7" s="7">
        <f>+[6]Resumen!U7*1000</f>
        <v>170723.63791357237</v>
      </c>
      <c r="V7" s="7">
        <f>+[6]Resumen!V7*1000</f>
        <v>166511.46572896003</v>
      </c>
      <c r="W7" s="7">
        <f>+[6]Resumen!W7*1000</f>
        <v>0</v>
      </c>
      <c r="X7" s="7">
        <f>+[6]Resumen!X7*1000</f>
        <v>0</v>
      </c>
      <c r="Y7" s="7">
        <f>+[6]Resumen!Y7*1000</f>
        <v>0</v>
      </c>
      <c r="Z7" s="7">
        <f>+[6]Resumen!Z7*1000</f>
        <v>0</v>
      </c>
      <c r="AA7" s="7">
        <f>+[6]Resumen!AA7*1000</f>
        <v>0</v>
      </c>
      <c r="AB7" s="7">
        <f>+[6]Resumen!AB7*1000</f>
        <v>0</v>
      </c>
      <c r="AC7" s="7">
        <f>+[6]Resumen!AC7*1000</f>
        <v>0</v>
      </c>
      <c r="AD7" s="60">
        <f>SUM(F7:AC7)*E7+SUM(F8:AC8)*E8+SUM(F9:AC9)*E9+SUM(F10:AC10)*E10</f>
        <v>46579599.108476661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+[6]Resumen!E8</f>
        <v>4</v>
      </c>
      <c r="F8" s="7">
        <f>+[6]Resumen!F8*1000</f>
        <v>0</v>
      </c>
      <c r="G8" s="7">
        <f>+[6]Resumen!G8*1000</f>
        <v>0</v>
      </c>
      <c r="H8" s="7">
        <f>+[6]Resumen!H8*1000</f>
        <v>0</v>
      </c>
      <c r="I8" s="7">
        <f>+[6]Resumen!I8*1000</f>
        <v>0</v>
      </c>
      <c r="J8" s="7">
        <f>+[6]Resumen!J8*1000</f>
        <v>0</v>
      </c>
      <c r="K8" s="7">
        <f>+[6]Resumen!K8*1000</f>
        <v>0</v>
      </c>
      <c r="L8" s="7">
        <f>+[6]Resumen!L8*1000</f>
        <v>0</v>
      </c>
      <c r="M8" s="7">
        <f>+[6]Resumen!M8*1000</f>
        <v>116389.30323128284</v>
      </c>
      <c r="N8" s="7">
        <f>+[6]Resumen!N8*1000</f>
        <v>130169.51651431122</v>
      </c>
      <c r="O8" s="7">
        <f>+[6]Resumen!O8*1000</f>
        <v>140329.52180444504</v>
      </c>
      <c r="P8" s="7">
        <f>+[6]Resumen!P8*1000</f>
        <v>149101.73252486333</v>
      </c>
      <c r="Q8" s="7">
        <f>+[6]Resumen!Q8*1000</f>
        <v>156380.56537003632</v>
      </c>
      <c r="R8" s="7">
        <f>+[6]Resumen!R8*1000</f>
        <v>157970.48271733287</v>
      </c>
      <c r="S8" s="7">
        <f>+[6]Resumen!S8*1000</f>
        <v>154628.71882678365</v>
      </c>
      <c r="T8" s="7">
        <f>+[6]Resumen!T8*1000</f>
        <v>150622.18320525566</v>
      </c>
      <c r="U8" s="7">
        <f>+[6]Resumen!U8*1000</f>
        <v>148549.30040300742</v>
      </c>
      <c r="V8" s="7">
        <f>+[6]Resumen!V8*1000</f>
        <v>146308.23656341765</v>
      </c>
      <c r="W8" s="7">
        <f>+[6]Resumen!W8*1000</f>
        <v>0</v>
      </c>
      <c r="X8" s="7">
        <f>+[6]Resumen!X8*1000</f>
        <v>0</v>
      </c>
      <c r="Y8" s="7">
        <f>+[6]Resumen!Y8*1000</f>
        <v>0</v>
      </c>
      <c r="Z8" s="7">
        <f>+[6]Resumen!Z8*1000</f>
        <v>0</v>
      </c>
      <c r="AA8" s="7">
        <f>+[6]Resumen!AA8*1000</f>
        <v>0</v>
      </c>
      <c r="AB8" s="7">
        <f>+[6]Resumen!AB8*1000</f>
        <v>0</v>
      </c>
      <c r="AC8" s="7">
        <f>+[6]Resumen!AC8*1000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+[6]Resumen!E9</f>
        <v>4</v>
      </c>
      <c r="F9" s="7">
        <f>+[6]Resumen!F9*1000</f>
        <v>0</v>
      </c>
      <c r="G9" s="7">
        <f>+[6]Resumen!G9*1000</f>
        <v>0</v>
      </c>
      <c r="H9" s="7">
        <f>+[6]Resumen!H9*1000</f>
        <v>0</v>
      </c>
      <c r="I9" s="7">
        <f>+[6]Resumen!I9*1000</f>
        <v>0</v>
      </c>
      <c r="J9" s="7">
        <f>+[6]Resumen!J9*1000</f>
        <v>0</v>
      </c>
      <c r="K9" s="7">
        <f>+[6]Resumen!K9*1000</f>
        <v>0</v>
      </c>
      <c r="L9" s="7">
        <f>+[6]Resumen!L9*1000</f>
        <v>0</v>
      </c>
      <c r="M9" s="7">
        <f>+[6]Resumen!M9*1000</f>
        <v>94555.507851744827</v>
      </c>
      <c r="N9" s="7">
        <f>+[6]Resumen!N9*1000</f>
        <v>105375.49248188421</v>
      </c>
      <c r="O9" s="7">
        <f>+[6]Resumen!O9*1000</f>
        <v>115314.71941090672</v>
      </c>
      <c r="P9" s="7">
        <f>+[6]Resumen!P9*1000</f>
        <v>123149.51085431212</v>
      </c>
      <c r="Q9" s="7">
        <f>+[6]Resumen!Q9*1000</f>
        <v>132081.04914169075</v>
      </c>
      <c r="R9" s="7">
        <f>+[6]Resumen!R9*1000</f>
        <v>137869.1850585714</v>
      </c>
      <c r="S9" s="7">
        <f>+[6]Resumen!S9*1000</f>
        <v>139075.52076491227</v>
      </c>
      <c r="T9" s="7">
        <f>+[6]Resumen!T9*1000</f>
        <v>136415.85481990973</v>
      </c>
      <c r="U9" s="7">
        <f>+[6]Resumen!U9*1000</f>
        <v>134056.35816572598</v>
      </c>
      <c r="V9" s="7">
        <f>+[6]Resumen!V9*1000</f>
        <v>131830.0680888418</v>
      </c>
      <c r="W9" s="7">
        <f>+[6]Resumen!W9*1000</f>
        <v>0</v>
      </c>
      <c r="X9" s="7">
        <f>+[6]Resumen!X9*1000</f>
        <v>0</v>
      </c>
      <c r="Y9" s="7">
        <f>+[6]Resumen!Y9*1000</f>
        <v>0</v>
      </c>
      <c r="Z9" s="7">
        <f>+[6]Resumen!Z9*1000</f>
        <v>0</v>
      </c>
      <c r="AA9" s="7">
        <f>+[6]Resumen!AA9*1000</f>
        <v>0</v>
      </c>
      <c r="AB9" s="7">
        <f>+[6]Resumen!AB9*1000</f>
        <v>0</v>
      </c>
      <c r="AC9" s="7">
        <f>+[6]Resumen!AC9*1000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+[6]Resumen!E10</f>
        <v>2</v>
      </c>
      <c r="F10" s="7">
        <f>+[6]Resumen!F10*1000</f>
        <v>0</v>
      </c>
      <c r="G10" s="7">
        <f>+[6]Resumen!G10*1000</f>
        <v>0</v>
      </c>
      <c r="H10" s="7">
        <f>+[6]Resumen!H10*1000</f>
        <v>0</v>
      </c>
      <c r="I10" s="7">
        <f>+[6]Resumen!I10*1000</f>
        <v>0</v>
      </c>
      <c r="J10" s="7">
        <f>+[6]Resumen!J10*1000</f>
        <v>0</v>
      </c>
      <c r="K10" s="7">
        <f>+[6]Resumen!K10*1000</f>
        <v>0</v>
      </c>
      <c r="L10" s="7">
        <f>+[6]Resumen!L10*1000</f>
        <v>0</v>
      </c>
      <c r="M10" s="7">
        <f>+[6]Resumen!M10*1000</f>
        <v>83368.062162268456</v>
      </c>
      <c r="N10" s="7">
        <f>+[6]Resumen!N10*1000</f>
        <v>91166.733794330095</v>
      </c>
      <c r="O10" s="7">
        <f>+[6]Resumen!O10*1000</f>
        <v>99404.368451414382</v>
      </c>
      <c r="P10" s="7">
        <f>+[6]Resumen!P10*1000</f>
        <v>108190.85640412627</v>
      </c>
      <c r="Q10" s="7">
        <f>+[6]Resumen!Q10*1000</f>
        <v>117540.80484746133</v>
      </c>
      <c r="R10" s="7">
        <f>+[6]Resumen!R10*1000</f>
        <v>124370.24118352331</v>
      </c>
      <c r="S10" s="7">
        <f>+[6]Resumen!S10*1000</f>
        <v>125342.07493580041</v>
      </c>
      <c r="T10" s="7">
        <f>+[6]Resumen!T10*1000</f>
        <v>123096.66605851594</v>
      </c>
      <c r="U10" s="7">
        <f>+[6]Resumen!U10*1000</f>
        <v>120836.13124679594</v>
      </c>
      <c r="V10" s="7">
        <f>+[6]Resumen!V10*1000</f>
        <v>119231.0387879304</v>
      </c>
      <c r="W10" s="7">
        <f>+[6]Resumen!W10*1000</f>
        <v>0</v>
      </c>
      <c r="X10" s="7">
        <f>+[6]Resumen!X10*1000</f>
        <v>0</v>
      </c>
      <c r="Y10" s="7">
        <f>+[6]Resumen!Y10*1000</f>
        <v>0</v>
      </c>
      <c r="Z10" s="7">
        <f>+[6]Resumen!Z10*1000</f>
        <v>0</v>
      </c>
      <c r="AA10" s="7">
        <f>+[6]Resumen!AA10*1000</f>
        <v>0</v>
      </c>
      <c r="AB10" s="7">
        <f>+[6]Resumen!AB10*1000</f>
        <v>0</v>
      </c>
      <c r="AC10" s="7">
        <f>+[6]Resumen!AC10*1000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+[6]Resumen!E11</f>
        <v>20</v>
      </c>
      <c r="F11" s="7">
        <f>+[6]Resumen!F11*1000</f>
        <v>0</v>
      </c>
      <c r="G11" s="7">
        <f>+[6]Resumen!G11*1000</f>
        <v>0</v>
      </c>
      <c r="H11" s="7">
        <f>+[6]Resumen!H11*1000</f>
        <v>0</v>
      </c>
      <c r="I11" s="7">
        <f>+[6]Resumen!I11*1000</f>
        <v>0</v>
      </c>
      <c r="J11" s="7">
        <f>+[6]Resumen!J11*1000</f>
        <v>0</v>
      </c>
      <c r="K11" s="7">
        <f>+[6]Resumen!K11*1000</f>
        <v>0</v>
      </c>
      <c r="L11" s="7">
        <f>+[6]Resumen!L11*1000</f>
        <v>0</v>
      </c>
      <c r="M11" s="7">
        <f>+[6]Resumen!M11*1000</f>
        <v>149324.63977994554</v>
      </c>
      <c r="N11" s="7">
        <f>+[6]Resumen!N11*1000</f>
        <v>159703.21046018519</v>
      </c>
      <c r="O11" s="7">
        <f>+[6]Resumen!O11*1000</f>
        <v>166606.07618829253</v>
      </c>
      <c r="P11" s="7">
        <f>+[6]Resumen!P11*1000</f>
        <v>177222.59598101527</v>
      </c>
      <c r="Q11" s="7">
        <f>+[6]Resumen!Q11*1000</f>
        <v>185822.7898476824</v>
      </c>
      <c r="R11" s="7">
        <f>+[6]Resumen!R11*1000</f>
        <v>186321.41742646019</v>
      </c>
      <c r="S11" s="7">
        <f>+[6]Resumen!S11*1000</f>
        <v>183849.78263076476</v>
      </c>
      <c r="T11" s="7">
        <f>+[6]Resumen!T11*1000</f>
        <v>185381.58846990796</v>
      </c>
      <c r="U11" s="7">
        <f>+[6]Resumen!U11*1000</f>
        <v>185608.20145994995</v>
      </c>
      <c r="V11" s="7">
        <f>+[6]Resumen!V11*1000</f>
        <v>181520.23643721477</v>
      </c>
      <c r="W11" s="7">
        <f>+[6]Resumen!W11*1000</f>
        <v>0</v>
      </c>
      <c r="X11" s="7">
        <f>+[6]Resumen!X11*1000</f>
        <v>0</v>
      </c>
      <c r="Y11" s="7">
        <f>+[6]Resumen!Y11*1000</f>
        <v>0</v>
      </c>
      <c r="Z11" s="7">
        <f>+[6]Resumen!Z11*1000</f>
        <v>0</v>
      </c>
      <c r="AA11" s="7">
        <f>+[6]Resumen!AA11*1000</f>
        <v>0</v>
      </c>
      <c r="AB11" s="7">
        <f>+[6]Resumen!AB11*1000</f>
        <v>0</v>
      </c>
      <c r="AC11" s="7">
        <f>+[6]Resumen!AC11*1000</f>
        <v>0</v>
      </c>
      <c r="AD11" s="60">
        <f>SUM(F11:AC11)*E11+SUM(F12:AC12)*E12+SUM(F13:AC13)*E13+SUM(F14:AC14)*E14</f>
        <v>47498791.326741047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+[6]Resumen!E12</f>
        <v>4</v>
      </c>
      <c r="F12" s="7">
        <f>+[6]Resumen!F12*1000</f>
        <v>0</v>
      </c>
      <c r="G12" s="7">
        <f>+[6]Resumen!G12*1000</f>
        <v>0</v>
      </c>
      <c r="H12" s="7">
        <f>+[6]Resumen!H12*1000</f>
        <v>0</v>
      </c>
      <c r="I12" s="7">
        <f>+[6]Resumen!I12*1000</f>
        <v>0</v>
      </c>
      <c r="J12" s="7">
        <f>+[6]Resumen!J12*1000</f>
        <v>0</v>
      </c>
      <c r="K12" s="7">
        <f>+[6]Resumen!K12*1000</f>
        <v>0</v>
      </c>
      <c r="L12" s="7">
        <f>+[6]Resumen!L12*1000</f>
        <v>0</v>
      </c>
      <c r="M12" s="7">
        <f>+[6]Resumen!M12*1000</f>
        <v>136467.66372318505</v>
      </c>
      <c r="N12" s="7">
        <f>+[6]Resumen!N12*1000</f>
        <v>152537.3359042012</v>
      </c>
      <c r="O12" s="7">
        <f>+[6]Resumen!O12*1000</f>
        <v>162718.09711737171</v>
      </c>
      <c r="P12" s="7">
        <f>+[6]Resumen!P12*1000</f>
        <v>172197.27354927384</v>
      </c>
      <c r="Q12" s="7">
        <f>+[6]Resumen!Q12*1000</f>
        <v>177949.33407286671</v>
      </c>
      <c r="R12" s="7">
        <f>+[6]Resumen!R12*1000</f>
        <v>178074.68024060913</v>
      </c>
      <c r="S12" s="7">
        <f>+[6]Resumen!S12*1000</f>
        <v>173082.48416050719</v>
      </c>
      <c r="T12" s="7">
        <f>+[6]Resumen!T12*1000</f>
        <v>168246.80461896298</v>
      </c>
      <c r="U12" s="7">
        <f>+[6]Resumen!U12*1000</f>
        <v>166383.79554507203</v>
      </c>
      <c r="V12" s="7">
        <f>+[6]Resumen!V12*1000</f>
        <v>164109.58314481474</v>
      </c>
      <c r="W12" s="7">
        <f>+[6]Resumen!W12*1000</f>
        <v>0</v>
      </c>
      <c r="X12" s="7">
        <f>+[6]Resumen!X12*1000</f>
        <v>0</v>
      </c>
      <c r="Y12" s="7">
        <f>+[6]Resumen!Y12*1000</f>
        <v>0</v>
      </c>
      <c r="Z12" s="7">
        <f>+[6]Resumen!Z12*1000</f>
        <v>0</v>
      </c>
      <c r="AA12" s="7">
        <f>+[6]Resumen!AA12*1000</f>
        <v>0</v>
      </c>
      <c r="AB12" s="7">
        <f>+[6]Resumen!AB12*1000</f>
        <v>0</v>
      </c>
      <c r="AC12" s="7">
        <f>+[6]Resumen!AC12*1000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+[6]Resumen!E13</f>
        <v>4</v>
      </c>
      <c r="F13" s="7">
        <f>+[6]Resumen!F13*1000</f>
        <v>0</v>
      </c>
      <c r="G13" s="7">
        <f>+[6]Resumen!G13*1000</f>
        <v>0</v>
      </c>
      <c r="H13" s="7">
        <f>+[6]Resumen!H13*1000</f>
        <v>0</v>
      </c>
      <c r="I13" s="7">
        <f>+[6]Resumen!I13*1000</f>
        <v>0</v>
      </c>
      <c r="J13" s="7">
        <f>+[6]Resumen!J13*1000</f>
        <v>0</v>
      </c>
      <c r="K13" s="7">
        <f>+[6]Resumen!K13*1000</f>
        <v>0</v>
      </c>
      <c r="L13" s="7">
        <f>+[6]Resumen!L13*1000</f>
        <v>0</v>
      </c>
      <c r="M13" s="7">
        <f>+[6]Resumen!M13*1000</f>
        <v>108621.31337142021</v>
      </c>
      <c r="N13" s="7">
        <f>+[6]Resumen!N13*1000</f>
        <v>121064.69387222557</v>
      </c>
      <c r="O13" s="7">
        <f>+[6]Resumen!O13*1000</f>
        <v>131621.80292865628</v>
      </c>
      <c r="P13" s="7">
        <f>+[6]Resumen!P13*1000</f>
        <v>140546.29460871845</v>
      </c>
      <c r="Q13" s="7">
        <f>+[6]Resumen!Q13*1000</f>
        <v>150167.03297153028</v>
      </c>
      <c r="R13" s="7">
        <f>+[6]Resumen!R13*1000</f>
        <v>156041.81582484182</v>
      </c>
      <c r="S13" s="7">
        <f>+[6]Resumen!S13*1000</f>
        <v>156342.63076383213</v>
      </c>
      <c r="T13" s="7">
        <f>+[6]Resumen!T13*1000</f>
        <v>153164.51409619168</v>
      </c>
      <c r="U13" s="7">
        <f>+[6]Resumen!U13*1000</f>
        <v>150603.96069777152</v>
      </c>
      <c r="V13" s="7">
        <f>+[6]Resumen!V13*1000</f>
        <v>147954.02706611578</v>
      </c>
      <c r="W13" s="7">
        <f>+[6]Resumen!W13*1000</f>
        <v>0</v>
      </c>
      <c r="X13" s="7">
        <f>+[6]Resumen!X13*1000</f>
        <v>0</v>
      </c>
      <c r="Y13" s="7">
        <f>+[6]Resumen!Y13*1000</f>
        <v>0</v>
      </c>
      <c r="Z13" s="7">
        <f>+[6]Resumen!Z13*1000</f>
        <v>0</v>
      </c>
      <c r="AA13" s="7">
        <f>+[6]Resumen!AA13*1000</f>
        <v>0</v>
      </c>
      <c r="AB13" s="7">
        <f>+[6]Resumen!AB13*1000</f>
        <v>0</v>
      </c>
      <c r="AC13" s="7">
        <f>+[6]Resumen!AC13*1000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+[6]Resumen!E14</f>
        <v>0</v>
      </c>
      <c r="F14" s="7">
        <f>+[6]Resumen!F14*1000</f>
        <v>0</v>
      </c>
      <c r="G14" s="7">
        <f>+[6]Resumen!G14*1000</f>
        <v>0</v>
      </c>
      <c r="H14" s="7">
        <f>+[6]Resumen!H14*1000</f>
        <v>0</v>
      </c>
      <c r="I14" s="7">
        <f>+[6]Resumen!I14*1000</f>
        <v>0</v>
      </c>
      <c r="J14" s="7">
        <f>+[6]Resumen!J14*1000</f>
        <v>0</v>
      </c>
      <c r="K14" s="7">
        <f>+[6]Resumen!K14*1000</f>
        <v>0</v>
      </c>
      <c r="L14" s="7">
        <f>+[6]Resumen!L14*1000</f>
        <v>0</v>
      </c>
      <c r="M14" s="7">
        <f>+[6]Resumen!M14*1000</f>
        <v>0</v>
      </c>
      <c r="N14" s="7">
        <f>+[6]Resumen!N14*1000</f>
        <v>0</v>
      </c>
      <c r="O14" s="7">
        <f>+[6]Resumen!O14*1000</f>
        <v>0</v>
      </c>
      <c r="P14" s="7">
        <f>+[6]Resumen!P14*1000</f>
        <v>0</v>
      </c>
      <c r="Q14" s="7">
        <f>+[6]Resumen!Q14*1000</f>
        <v>0</v>
      </c>
      <c r="R14" s="7">
        <f>+[6]Resumen!R14*1000</f>
        <v>0</v>
      </c>
      <c r="S14" s="7">
        <f>+[6]Resumen!S14*1000</f>
        <v>0</v>
      </c>
      <c r="T14" s="7">
        <f>+[6]Resumen!T14*1000</f>
        <v>0</v>
      </c>
      <c r="U14" s="7">
        <f>+[6]Resumen!U14*1000</f>
        <v>0</v>
      </c>
      <c r="V14" s="7">
        <f>+[6]Resumen!V14*1000</f>
        <v>0</v>
      </c>
      <c r="W14" s="7">
        <f>+[6]Resumen!W14*1000</f>
        <v>0</v>
      </c>
      <c r="X14" s="7">
        <f>+[6]Resumen!X14*1000</f>
        <v>0</v>
      </c>
      <c r="Y14" s="7">
        <f>+[6]Resumen!Y14*1000</f>
        <v>0</v>
      </c>
      <c r="Z14" s="7">
        <f>+[6]Resumen!Z14*1000</f>
        <v>0</v>
      </c>
      <c r="AA14" s="7">
        <f>+[6]Resumen!AA14*1000</f>
        <v>0</v>
      </c>
      <c r="AB14" s="7">
        <f>+[6]Resumen!AB14*1000</f>
        <v>0</v>
      </c>
      <c r="AC14" s="7">
        <f>+[6]Resumen!AC14*1000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+[6]Resumen!E15</f>
        <v>20</v>
      </c>
      <c r="F15" s="7">
        <f>+[6]Resumen!F15*1000</f>
        <v>0</v>
      </c>
      <c r="G15" s="7">
        <f>+[6]Resumen!G15*1000</f>
        <v>0</v>
      </c>
      <c r="H15" s="7">
        <f>+[6]Resumen!H15*1000</f>
        <v>0</v>
      </c>
      <c r="I15" s="7">
        <f>+[6]Resumen!I15*1000</f>
        <v>0</v>
      </c>
      <c r="J15" s="7">
        <f>+[6]Resumen!J15*1000</f>
        <v>0</v>
      </c>
      <c r="K15" s="7">
        <f>+[6]Resumen!K15*1000</f>
        <v>0</v>
      </c>
      <c r="L15" s="7">
        <f>+[6]Resumen!L15*1000</f>
        <v>0</v>
      </c>
      <c r="M15" s="7">
        <f>+[6]Resumen!M15*1000</f>
        <v>135362.27756731497</v>
      </c>
      <c r="N15" s="7">
        <f>+[6]Resumen!N15*1000</f>
        <v>144795.26239366978</v>
      </c>
      <c r="O15" s="7">
        <f>+[6]Resumen!O15*1000</f>
        <v>151093.60472471829</v>
      </c>
      <c r="P15" s="7">
        <f>+[6]Resumen!P15*1000</f>
        <v>160851.52508084395</v>
      </c>
      <c r="Q15" s="7">
        <f>+[6]Resumen!Q15*1000</f>
        <v>168760.24561942488</v>
      </c>
      <c r="R15" s="7">
        <f>+[6]Resumen!R15*1000</f>
        <v>169585.26500566746</v>
      </c>
      <c r="S15" s="7">
        <f>+[6]Resumen!S15*1000</f>
        <v>167277.85010853174</v>
      </c>
      <c r="T15" s="7">
        <f>+[6]Resumen!T15*1000</f>
        <v>168563.23091828678</v>
      </c>
      <c r="U15" s="7">
        <f>+[6]Resumen!U15*1000</f>
        <v>168231.49625322589</v>
      </c>
      <c r="V15" s="7">
        <f>+[6]Resumen!V15*1000</f>
        <v>164584.8896578204</v>
      </c>
      <c r="W15" s="7">
        <f>+[6]Resumen!W15*1000</f>
        <v>0</v>
      </c>
      <c r="X15" s="7">
        <f>+[6]Resumen!X15*1000</f>
        <v>0</v>
      </c>
      <c r="Y15" s="7">
        <f>+[6]Resumen!Y15*1000</f>
        <v>0</v>
      </c>
      <c r="Z15" s="7">
        <f>+[6]Resumen!Z15*1000</f>
        <v>0</v>
      </c>
      <c r="AA15" s="7">
        <f>+[6]Resumen!AA15*1000</f>
        <v>0</v>
      </c>
      <c r="AB15" s="7">
        <f>+[6]Resumen!AB15*1000</f>
        <v>0</v>
      </c>
      <c r="AC15" s="7">
        <f>+[6]Resumen!AC15*1000</f>
        <v>0</v>
      </c>
      <c r="AD15" s="60">
        <f t="shared" ref="AD15" si="0">SUM(F15:AC15)*E15+SUM(F16:AC16)*E16+SUM(F17:AC17)*E17+SUM(F18:AC18)*E18</f>
        <v>47145684.664965518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+[6]Resumen!E16</f>
        <v>5</v>
      </c>
      <c r="F16" s="7">
        <f>+[6]Resumen!F16*1000</f>
        <v>0</v>
      </c>
      <c r="G16" s="7">
        <f>+[6]Resumen!G16*1000</f>
        <v>0</v>
      </c>
      <c r="H16" s="7">
        <f>+[6]Resumen!H16*1000</f>
        <v>0</v>
      </c>
      <c r="I16" s="7">
        <f>+[6]Resumen!I16*1000</f>
        <v>0</v>
      </c>
      <c r="J16" s="7">
        <f>+[6]Resumen!J16*1000</f>
        <v>0</v>
      </c>
      <c r="K16" s="7">
        <f>+[6]Resumen!K16*1000</f>
        <v>0</v>
      </c>
      <c r="L16" s="7">
        <f>+[6]Resumen!L16*1000</f>
        <v>0</v>
      </c>
      <c r="M16" s="7">
        <f>+[6]Resumen!M16*1000</f>
        <v>123578.06260427441</v>
      </c>
      <c r="N16" s="7">
        <f>+[6]Resumen!N16*1000</f>
        <v>137509.23382342083</v>
      </c>
      <c r="O16" s="7">
        <f>+[6]Resumen!O16*1000</f>
        <v>146472.94981967105</v>
      </c>
      <c r="P16" s="7">
        <f>+[6]Resumen!P16*1000</f>
        <v>154983.99347517843</v>
      </c>
      <c r="Q16" s="7">
        <f>+[6]Resumen!Q16*1000</f>
        <v>161401.00181561505</v>
      </c>
      <c r="R16" s="7">
        <f>+[6]Resumen!R16*1000</f>
        <v>161882.79653751859</v>
      </c>
      <c r="S16" s="7">
        <f>+[6]Resumen!S16*1000</f>
        <v>158064.15246569313</v>
      </c>
      <c r="T16" s="7">
        <f>+[6]Resumen!T16*1000</f>
        <v>154164.84837684518</v>
      </c>
      <c r="U16" s="7">
        <f>+[6]Resumen!U16*1000</f>
        <v>151623.4455060082</v>
      </c>
      <c r="V16" s="7">
        <f>+[6]Resumen!V16*1000</f>
        <v>149229.28531817466</v>
      </c>
      <c r="W16" s="7">
        <f>+[6]Resumen!W16*1000</f>
        <v>0</v>
      </c>
      <c r="X16" s="7">
        <f>+[6]Resumen!X16*1000</f>
        <v>0</v>
      </c>
      <c r="Y16" s="7">
        <f>+[6]Resumen!Y16*1000</f>
        <v>0</v>
      </c>
      <c r="Z16" s="7">
        <f>+[6]Resumen!Z16*1000</f>
        <v>0</v>
      </c>
      <c r="AA16" s="7">
        <f>+[6]Resumen!AA16*1000</f>
        <v>0</v>
      </c>
      <c r="AB16" s="7">
        <f>+[6]Resumen!AB16*1000</f>
        <v>0</v>
      </c>
      <c r="AC16" s="7">
        <f>+[6]Resumen!AC16*1000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+[6]Resumen!E17</f>
        <v>5</v>
      </c>
      <c r="F17" s="7">
        <f>+[6]Resumen!F17*1000</f>
        <v>0</v>
      </c>
      <c r="G17" s="7">
        <f>+[6]Resumen!G17*1000</f>
        <v>0</v>
      </c>
      <c r="H17" s="7">
        <f>+[6]Resumen!H17*1000</f>
        <v>0</v>
      </c>
      <c r="I17" s="7">
        <f>+[6]Resumen!I17*1000</f>
        <v>0</v>
      </c>
      <c r="J17" s="7">
        <f>+[6]Resumen!J17*1000</f>
        <v>0</v>
      </c>
      <c r="K17" s="7">
        <f>+[6]Resumen!K17*1000</f>
        <v>0</v>
      </c>
      <c r="L17" s="7">
        <f>+[6]Resumen!L17*1000</f>
        <v>0</v>
      </c>
      <c r="M17" s="7">
        <f>+[6]Resumen!M17*1000</f>
        <v>97228.399272928713</v>
      </c>
      <c r="N17" s="7">
        <f>+[6]Resumen!N17*1000</f>
        <v>108851.15301596058</v>
      </c>
      <c r="O17" s="7">
        <f>+[6]Resumen!O17*1000</f>
        <v>117818.14801656091</v>
      </c>
      <c r="P17" s="7">
        <f>+[6]Resumen!P17*1000</f>
        <v>125639.12544454262</v>
      </c>
      <c r="Q17" s="7">
        <f>+[6]Resumen!Q17*1000</f>
        <v>133834.24884929307</v>
      </c>
      <c r="R17" s="7">
        <f>+[6]Resumen!R17*1000</f>
        <v>139066.12634606307</v>
      </c>
      <c r="S17" s="7">
        <f>+[6]Resumen!S17*1000</f>
        <v>139395.71149448419</v>
      </c>
      <c r="T17" s="7">
        <f>+[6]Resumen!T17*1000</f>
        <v>136759.41420602801</v>
      </c>
      <c r="U17" s="7">
        <f>+[6]Resumen!U17*1000</f>
        <v>134865.5345832</v>
      </c>
      <c r="V17" s="7">
        <f>+[6]Resumen!V17*1000</f>
        <v>132756.11792987154</v>
      </c>
      <c r="W17" s="7">
        <f>+[6]Resumen!W17*1000</f>
        <v>0</v>
      </c>
      <c r="X17" s="7">
        <f>+[6]Resumen!X17*1000</f>
        <v>0</v>
      </c>
      <c r="Y17" s="7">
        <f>+[6]Resumen!Y17*1000</f>
        <v>0</v>
      </c>
      <c r="Z17" s="7">
        <f>+[6]Resumen!Z17*1000</f>
        <v>0</v>
      </c>
      <c r="AA17" s="7">
        <f>+[6]Resumen!AA17*1000</f>
        <v>0</v>
      </c>
      <c r="AB17" s="7">
        <f>+[6]Resumen!AB17*1000</f>
        <v>0</v>
      </c>
      <c r="AC17" s="7">
        <f>+[6]Resumen!AC17*1000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+[6]Resumen!E18</f>
        <v>1</v>
      </c>
      <c r="F18" s="7">
        <f>+[6]Resumen!F18*1000</f>
        <v>0</v>
      </c>
      <c r="G18" s="7">
        <f>+[6]Resumen!G18*1000</f>
        <v>0</v>
      </c>
      <c r="H18" s="7">
        <f>+[6]Resumen!H18*1000</f>
        <v>0</v>
      </c>
      <c r="I18" s="7">
        <f>+[6]Resumen!I18*1000</f>
        <v>0</v>
      </c>
      <c r="J18" s="7">
        <f>+[6]Resumen!J18*1000</f>
        <v>0</v>
      </c>
      <c r="K18" s="7">
        <f>+[6]Resumen!K18*1000</f>
        <v>0</v>
      </c>
      <c r="L18" s="7">
        <f>+[6]Resumen!L18*1000</f>
        <v>0</v>
      </c>
      <c r="M18" s="7">
        <f>+[6]Resumen!M18*1000</f>
        <v>101921.88075354665</v>
      </c>
      <c r="N18" s="7">
        <f>+[6]Resumen!N18*1000</f>
        <v>113288.17574560625</v>
      </c>
      <c r="O18" s="7">
        <f>+[6]Resumen!O18*1000</f>
        <v>123496.35241749881</v>
      </c>
      <c r="P18" s="7">
        <f>+[6]Resumen!P18*1000</f>
        <v>133025.48012611896</v>
      </c>
      <c r="Q18" s="7">
        <f>+[6]Resumen!Q18*1000</f>
        <v>143761.53049396319</v>
      </c>
      <c r="R18" s="7">
        <f>+[6]Resumen!R18*1000</f>
        <v>149322.88685309171</v>
      </c>
      <c r="S18" s="7">
        <f>+[6]Resumen!S18*1000</f>
        <v>147561.69348176417</v>
      </c>
      <c r="T18" s="7">
        <f>+[6]Resumen!T18*1000</f>
        <v>143836.80323533356</v>
      </c>
      <c r="U18" s="7">
        <f>+[6]Resumen!U18*1000</f>
        <v>141555.0952881221</v>
      </c>
      <c r="V18" s="7">
        <f>+[6]Resumen!V18*1000</f>
        <v>140183.07547373182</v>
      </c>
      <c r="W18" s="7">
        <f>+[6]Resumen!W18*1000</f>
        <v>0</v>
      </c>
      <c r="X18" s="7">
        <f>+[6]Resumen!X18*1000</f>
        <v>0</v>
      </c>
      <c r="Y18" s="7">
        <f>+[6]Resumen!Y18*1000</f>
        <v>0</v>
      </c>
      <c r="Z18" s="7">
        <f>+[6]Resumen!Z18*1000</f>
        <v>0</v>
      </c>
      <c r="AA18" s="7">
        <f>+[6]Resumen!AA18*1000</f>
        <v>0</v>
      </c>
      <c r="AB18" s="7">
        <f>+[6]Resumen!AB18*1000</f>
        <v>0</v>
      </c>
      <c r="AC18" s="7">
        <f>+[6]Resumen!AC18*1000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+[6]Resumen!E19</f>
        <v>20</v>
      </c>
      <c r="F19" s="7">
        <f>+[6]Resumen!F19*1000</f>
        <v>0</v>
      </c>
      <c r="G19" s="7">
        <f>+[6]Resumen!G19*1000</f>
        <v>0</v>
      </c>
      <c r="H19" s="7">
        <f>+[6]Resumen!H19*1000</f>
        <v>0</v>
      </c>
      <c r="I19" s="7">
        <f>+[6]Resumen!I19*1000</f>
        <v>0</v>
      </c>
      <c r="J19" s="7">
        <f>+[6]Resumen!J19*1000</f>
        <v>0</v>
      </c>
      <c r="K19" s="7">
        <f>+[6]Resumen!K19*1000</f>
        <v>0</v>
      </c>
      <c r="L19" s="7">
        <f>+[6]Resumen!L19*1000</f>
        <v>0</v>
      </c>
      <c r="M19" s="7">
        <f>+[6]Resumen!M19*1000</f>
        <v>138865.85326324371</v>
      </c>
      <c r="N19" s="7">
        <f>+[6]Resumen!N19*1000</f>
        <v>149076.11599741026</v>
      </c>
      <c r="O19" s="7">
        <f>+[6]Resumen!O19*1000</f>
        <v>156110.00229991708</v>
      </c>
      <c r="P19" s="7">
        <f>+[6]Resumen!P19*1000</f>
        <v>166153.1881027061</v>
      </c>
      <c r="Q19" s="7">
        <f>+[6]Resumen!Q19*1000</f>
        <v>174741.90148825003</v>
      </c>
      <c r="R19" s="7">
        <f>+[6]Resumen!R19*1000</f>
        <v>176305.37105590219</v>
      </c>
      <c r="S19" s="7">
        <f>+[6]Resumen!S19*1000</f>
        <v>173815.00453143756</v>
      </c>
      <c r="T19" s="7">
        <f>+[6]Resumen!T19*1000</f>
        <v>174981.21011051934</v>
      </c>
      <c r="U19" s="7">
        <f>+[6]Resumen!U19*1000</f>
        <v>174813.78735284845</v>
      </c>
      <c r="V19" s="7">
        <f>+[6]Resumen!V19*1000</f>
        <v>170693.73345735378</v>
      </c>
      <c r="W19" s="7">
        <f>+[6]Resumen!W19*1000</f>
        <v>0</v>
      </c>
      <c r="X19" s="7">
        <f>+[6]Resumen!X19*1000</f>
        <v>0</v>
      </c>
      <c r="Y19" s="7">
        <f>+[6]Resumen!Y19*1000</f>
        <v>0</v>
      </c>
      <c r="Z19" s="7">
        <f>+[6]Resumen!Z19*1000</f>
        <v>0</v>
      </c>
      <c r="AA19" s="7">
        <f>+[6]Resumen!AA19*1000</f>
        <v>0</v>
      </c>
      <c r="AB19" s="7">
        <f>+[6]Resumen!AB19*1000</f>
        <v>0</v>
      </c>
      <c r="AC19" s="7">
        <f>+[6]Resumen!AC19*1000</f>
        <v>0</v>
      </c>
      <c r="AD19" s="60">
        <f t="shared" ref="AD19" si="1">SUM(F19:AC19)*E19+SUM(F20:AC20)*E20+SUM(F21:AC21)*E21+SUM(F22:AC22)*E22</f>
        <v>47002193.967222735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+[6]Resumen!E20</f>
        <v>4</v>
      </c>
      <c r="F20" s="7">
        <f>+[6]Resumen!F20*1000</f>
        <v>0</v>
      </c>
      <c r="G20" s="7">
        <f>+[6]Resumen!G20*1000</f>
        <v>0</v>
      </c>
      <c r="H20" s="7">
        <f>+[6]Resumen!H20*1000</f>
        <v>0</v>
      </c>
      <c r="I20" s="7">
        <f>+[6]Resumen!I20*1000</f>
        <v>0</v>
      </c>
      <c r="J20" s="7">
        <f>+[6]Resumen!J20*1000</f>
        <v>0</v>
      </c>
      <c r="K20" s="7">
        <f>+[6]Resumen!K20*1000</f>
        <v>0</v>
      </c>
      <c r="L20" s="7">
        <f>+[6]Resumen!L20*1000</f>
        <v>0</v>
      </c>
      <c r="M20" s="7">
        <f>+[6]Resumen!M20*1000</f>
        <v>122117.4208363193</v>
      </c>
      <c r="N20" s="7">
        <f>+[6]Resumen!N20*1000</f>
        <v>136102.72180216829</v>
      </c>
      <c r="O20" s="7">
        <f>+[6]Resumen!O20*1000</f>
        <v>145707.17460201055</v>
      </c>
      <c r="P20" s="7">
        <f>+[6]Resumen!P20*1000</f>
        <v>154196.14407003284</v>
      </c>
      <c r="Q20" s="7">
        <f>+[6]Resumen!Q20*1000</f>
        <v>160511.58259357337</v>
      </c>
      <c r="R20" s="7">
        <f>+[6]Resumen!R20*1000</f>
        <v>162057.71166942533</v>
      </c>
      <c r="S20" s="7">
        <f>+[6]Resumen!S20*1000</f>
        <v>159236.37669136625</v>
      </c>
      <c r="T20" s="7">
        <f>+[6]Resumen!T20*1000</f>
        <v>155753.27137382835</v>
      </c>
      <c r="U20" s="7">
        <f>+[6]Resumen!U20*1000</f>
        <v>154698.65505599443</v>
      </c>
      <c r="V20" s="7">
        <f>+[6]Resumen!V20*1000</f>
        <v>153212.65216440838</v>
      </c>
      <c r="W20" s="7">
        <f>+[6]Resumen!W20*1000</f>
        <v>0</v>
      </c>
      <c r="X20" s="7">
        <f>+[6]Resumen!X20*1000</f>
        <v>0</v>
      </c>
      <c r="Y20" s="7">
        <f>+[6]Resumen!Y20*1000</f>
        <v>0</v>
      </c>
      <c r="Z20" s="7">
        <f>+[6]Resumen!Z20*1000</f>
        <v>0</v>
      </c>
      <c r="AA20" s="7">
        <f>+[6]Resumen!AA20*1000</f>
        <v>0</v>
      </c>
      <c r="AB20" s="7">
        <f>+[6]Resumen!AB20*1000</f>
        <v>0</v>
      </c>
      <c r="AC20" s="7">
        <f>+[6]Resumen!AC20*1000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+[6]Resumen!E21</f>
        <v>4</v>
      </c>
      <c r="F21" s="7">
        <f>+[6]Resumen!F21*1000</f>
        <v>0</v>
      </c>
      <c r="G21" s="7">
        <f>+[6]Resumen!G21*1000</f>
        <v>0</v>
      </c>
      <c r="H21" s="7">
        <f>+[6]Resumen!H21*1000</f>
        <v>0</v>
      </c>
      <c r="I21" s="7">
        <f>+[6]Resumen!I21*1000</f>
        <v>0</v>
      </c>
      <c r="J21" s="7">
        <f>+[6]Resumen!J21*1000</f>
        <v>0</v>
      </c>
      <c r="K21" s="7">
        <f>+[6]Resumen!K21*1000</f>
        <v>0</v>
      </c>
      <c r="L21" s="7">
        <f>+[6]Resumen!L21*1000</f>
        <v>0</v>
      </c>
      <c r="M21" s="7">
        <f>+[6]Resumen!M21*1000</f>
        <v>102560.71392616618</v>
      </c>
      <c r="N21" s="7">
        <f>+[6]Resumen!N21*1000</f>
        <v>114679.63639130299</v>
      </c>
      <c r="O21" s="7">
        <f>+[6]Resumen!O21*1000</f>
        <v>124775.78596682397</v>
      </c>
      <c r="P21" s="7">
        <f>+[6]Resumen!P21*1000</f>
        <v>132166.77440345919</v>
      </c>
      <c r="Q21" s="7">
        <f>+[6]Resumen!Q21*1000</f>
        <v>139346.56450185206</v>
      </c>
      <c r="R21" s="7">
        <f>+[6]Resumen!R21*1000</f>
        <v>144408.62701136246</v>
      </c>
      <c r="S21" s="7">
        <f>+[6]Resumen!S21*1000</f>
        <v>145191.685611894</v>
      </c>
      <c r="T21" s="7">
        <f>+[6]Resumen!T21*1000</f>
        <v>143522.51058905805</v>
      </c>
      <c r="U21" s="7">
        <f>+[6]Resumen!U21*1000</f>
        <v>141631.87031160152</v>
      </c>
      <c r="V21" s="7">
        <f>+[6]Resumen!V21*1000</f>
        <v>139474.20613127545</v>
      </c>
      <c r="W21" s="7">
        <f>+[6]Resumen!W21*1000</f>
        <v>0</v>
      </c>
      <c r="X21" s="7">
        <f>+[6]Resumen!X21*1000</f>
        <v>0</v>
      </c>
      <c r="Y21" s="7">
        <f>+[6]Resumen!Y21*1000</f>
        <v>0</v>
      </c>
      <c r="Z21" s="7">
        <f>+[6]Resumen!Z21*1000</f>
        <v>0</v>
      </c>
      <c r="AA21" s="7">
        <f>+[6]Resumen!AA21*1000</f>
        <v>0</v>
      </c>
      <c r="AB21" s="7">
        <f>+[6]Resumen!AB21*1000</f>
        <v>0</v>
      </c>
      <c r="AC21" s="7">
        <f>+[6]Resumen!AC21*1000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+[6]Resumen!E22</f>
        <v>2</v>
      </c>
      <c r="F22" s="7">
        <f>+[6]Resumen!F22*1000</f>
        <v>0</v>
      </c>
      <c r="G22" s="7">
        <f>+[6]Resumen!G22*1000</f>
        <v>0</v>
      </c>
      <c r="H22" s="7">
        <f>+[6]Resumen!H22*1000</f>
        <v>0</v>
      </c>
      <c r="I22" s="7">
        <f>+[6]Resumen!I22*1000</f>
        <v>0</v>
      </c>
      <c r="J22" s="7">
        <f>+[6]Resumen!J22*1000</f>
        <v>0</v>
      </c>
      <c r="K22" s="7">
        <f>+[6]Resumen!K22*1000</f>
        <v>0</v>
      </c>
      <c r="L22" s="7">
        <f>+[6]Resumen!L22*1000</f>
        <v>0</v>
      </c>
      <c r="M22" s="7">
        <f>+[6]Resumen!M22*1000</f>
        <v>103554.2332079382</v>
      </c>
      <c r="N22" s="7">
        <f>+[6]Resumen!N22*1000</f>
        <v>114345.30168360553</v>
      </c>
      <c r="O22" s="7">
        <f>+[6]Resumen!O22*1000</f>
        <v>120771.66637027191</v>
      </c>
      <c r="P22" s="7">
        <f>+[6]Resumen!P22*1000</f>
        <v>124500.63038698361</v>
      </c>
      <c r="Q22" s="7">
        <f>+[6]Resumen!Q22*1000</f>
        <v>133004.54177178076</v>
      </c>
      <c r="R22" s="7">
        <f>+[6]Resumen!R22*1000</f>
        <v>140550.92677741818</v>
      </c>
      <c r="S22" s="7">
        <f>+[6]Resumen!S22*1000</f>
        <v>139860.00867503232</v>
      </c>
      <c r="T22" s="7">
        <f>+[6]Resumen!T22*1000</f>
        <v>136786.0682123611</v>
      </c>
      <c r="U22" s="7">
        <f>+[6]Resumen!U22*1000</f>
        <v>134815.75146055123</v>
      </c>
      <c r="V22" s="7">
        <f>+[6]Resumen!V22*1000</f>
        <v>134642.00706169257</v>
      </c>
      <c r="W22" s="7">
        <f>+[6]Resumen!W22*1000</f>
        <v>0</v>
      </c>
      <c r="X22" s="7">
        <f>+[6]Resumen!X22*1000</f>
        <v>0</v>
      </c>
      <c r="Y22" s="7">
        <f>+[6]Resumen!Y22*1000</f>
        <v>0</v>
      </c>
      <c r="Z22" s="7">
        <f>+[6]Resumen!Z22*1000</f>
        <v>0</v>
      </c>
      <c r="AA22" s="7">
        <f>+[6]Resumen!AA22*1000</f>
        <v>0</v>
      </c>
      <c r="AB22" s="7">
        <f>+[6]Resumen!AB22*1000</f>
        <v>0</v>
      </c>
      <c r="AC22" s="7">
        <f>+[6]Resumen!AC22*1000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+[6]Resumen!E23</f>
        <v>20</v>
      </c>
      <c r="F23" s="7">
        <f>+[6]Resumen!F23*1000</f>
        <v>0</v>
      </c>
      <c r="G23" s="7">
        <f>+[6]Resumen!G23*1000</f>
        <v>0</v>
      </c>
      <c r="H23" s="7">
        <f>+[6]Resumen!H23*1000</f>
        <v>0</v>
      </c>
      <c r="I23" s="7">
        <f>+[6]Resumen!I23*1000</f>
        <v>0</v>
      </c>
      <c r="J23" s="7">
        <f>+[6]Resumen!J23*1000</f>
        <v>0</v>
      </c>
      <c r="K23" s="7">
        <f>+[6]Resumen!K23*1000</f>
        <v>0</v>
      </c>
      <c r="L23" s="7">
        <f>+[6]Resumen!L23*1000</f>
        <v>0</v>
      </c>
      <c r="M23" s="7">
        <f>+[6]Resumen!M23*1000</f>
        <v>134329.2452519908</v>
      </c>
      <c r="N23" s="7">
        <f>+[6]Resumen!N23*1000</f>
        <v>143836.18455526751</v>
      </c>
      <c r="O23" s="7">
        <f>+[6]Resumen!O23*1000</f>
        <v>150791.9569471775</v>
      </c>
      <c r="P23" s="7">
        <f>+[6]Resumen!P23*1000</f>
        <v>160698.19236508771</v>
      </c>
      <c r="Q23" s="7">
        <f>+[6]Resumen!Q23*1000</f>
        <v>168812.76997067407</v>
      </c>
      <c r="R23" s="7">
        <f>+[6]Resumen!R23*1000</f>
        <v>169437.97631824887</v>
      </c>
      <c r="S23" s="7">
        <f>+[6]Resumen!S23*1000</f>
        <v>166600.91734835709</v>
      </c>
      <c r="T23" s="7">
        <f>+[6]Resumen!T23*1000</f>
        <v>167301.97069931225</v>
      </c>
      <c r="U23" s="7">
        <f>+[6]Resumen!U23*1000</f>
        <v>167308.48904903384</v>
      </c>
      <c r="V23" s="7">
        <f>+[6]Resumen!V23*1000</f>
        <v>163439.32578391689</v>
      </c>
      <c r="W23" s="7">
        <f>+[6]Resumen!W23*1000</f>
        <v>0</v>
      </c>
      <c r="X23" s="7">
        <f>+[6]Resumen!X23*1000</f>
        <v>0</v>
      </c>
      <c r="Y23" s="7">
        <f>+[6]Resumen!Y23*1000</f>
        <v>0</v>
      </c>
      <c r="Z23" s="7">
        <f>+[6]Resumen!Z23*1000</f>
        <v>0</v>
      </c>
      <c r="AA23" s="7">
        <f>+[6]Resumen!AA23*1000</f>
        <v>0</v>
      </c>
      <c r="AB23" s="7">
        <f>+[6]Resumen!AB23*1000</f>
        <v>0</v>
      </c>
      <c r="AC23" s="7">
        <f>+[6]Resumen!AC23*1000</f>
        <v>0</v>
      </c>
      <c r="AD23" s="60">
        <f t="shared" ref="AD23" si="2">SUM(F23:AC23)*E23+SUM(F24:AC24)*E24+SUM(F25:AC25)*E25+SUM(F26:AC26)*E26</f>
        <v>46973110.482001841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+[6]Resumen!E24</f>
        <v>5</v>
      </c>
      <c r="F24" s="7">
        <f>+[6]Resumen!F24*1000</f>
        <v>0</v>
      </c>
      <c r="G24" s="7">
        <f>+[6]Resumen!G24*1000</f>
        <v>0</v>
      </c>
      <c r="H24" s="7">
        <f>+[6]Resumen!H24*1000</f>
        <v>0</v>
      </c>
      <c r="I24" s="7">
        <f>+[6]Resumen!I24*1000</f>
        <v>0</v>
      </c>
      <c r="J24" s="7">
        <f>+[6]Resumen!J24*1000</f>
        <v>0</v>
      </c>
      <c r="K24" s="7">
        <f>+[6]Resumen!K24*1000</f>
        <v>0</v>
      </c>
      <c r="L24" s="7">
        <f>+[6]Resumen!L24*1000</f>
        <v>0</v>
      </c>
      <c r="M24" s="7">
        <f>+[6]Resumen!M24*1000</f>
        <v>121640.52955052903</v>
      </c>
      <c r="N24" s="7">
        <f>+[6]Resumen!N24*1000</f>
        <v>135842.77940651638</v>
      </c>
      <c r="O24" s="7">
        <f>+[6]Resumen!O24*1000</f>
        <v>145223.73641203408</v>
      </c>
      <c r="P24" s="7">
        <f>+[6]Resumen!P24*1000</f>
        <v>153804.97645965181</v>
      </c>
      <c r="Q24" s="7">
        <f>+[6]Resumen!Q24*1000</f>
        <v>159793.47746818216</v>
      </c>
      <c r="R24" s="7">
        <f>+[6]Resumen!R24*1000</f>
        <v>159898.54520699018</v>
      </c>
      <c r="S24" s="7">
        <f>+[6]Resumen!S24*1000</f>
        <v>155669.02777150017</v>
      </c>
      <c r="T24" s="7">
        <f>+[6]Resumen!T24*1000</f>
        <v>151677.17073112915</v>
      </c>
      <c r="U24" s="7">
        <f>+[6]Resumen!U24*1000</f>
        <v>149976.33991157994</v>
      </c>
      <c r="V24" s="7">
        <f>+[6]Resumen!V24*1000</f>
        <v>147919.60148633757</v>
      </c>
      <c r="W24" s="7">
        <f>+[6]Resumen!W24*1000</f>
        <v>0</v>
      </c>
      <c r="X24" s="7">
        <f>+[6]Resumen!X24*1000</f>
        <v>0</v>
      </c>
      <c r="Y24" s="7">
        <f>+[6]Resumen!Y24*1000</f>
        <v>0</v>
      </c>
      <c r="Z24" s="7">
        <f>+[6]Resumen!Z24*1000</f>
        <v>0</v>
      </c>
      <c r="AA24" s="7">
        <f>+[6]Resumen!AA24*1000</f>
        <v>0</v>
      </c>
      <c r="AB24" s="7">
        <f>+[6]Resumen!AB24*1000</f>
        <v>0</v>
      </c>
      <c r="AC24" s="7">
        <f>+[6]Resumen!AC24*1000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+[6]Resumen!E25</f>
        <v>4</v>
      </c>
      <c r="F25" s="7">
        <f>+[6]Resumen!F25*1000</f>
        <v>0</v>
      </c>
      <c r="G25" s="7">
        <f>+[6]Resumen!G25*1000</f>
        <v>0</v>
      </c>
      <c r="H25" s="7">
        <f>+[6]Resumen!H25*1000</f>
        <v>0</v>
      </c>
      <c r="I25" s="7">
        <f>+[6]Resumen!I25*1000</f>
        <v>0</v>
      </c>
      <c r="J25" s="7">
        <f>+[6]Resumen!J25*1000</f>
        <v>0</v>
      </c>
      <c r="K25" s="7">
        <f>+[6]Resumen!K25*1000</f>
        <v>0</v>
      </c>
      <c r="L25" s="7">
        <f>+[6]Resumen!L25*1000</f>
        <v>0</v>
      </c>
      <c r="M25" s="7">
        <f>+[6]Resumen!M25*1000</f>
        <v>96722.688600574169</v>
      </c>
      <c r="N25" s="7">
        <f>+[6]Resumen!N25*1000</f>
        <v>109034.82326398163</v>
      </c>
      <c r="O25" s="7">
        <f>+[6]Resumen!O25*1000</f>
        <v>119302.49474920089</v>
      </c>
      <c r="P25" s="7">
        <f>+[6]Resumen!P25*1000</f>
        <v>127473.02165542767</v>
      </c>
      <c r="Q25" s="7">
        <f>+[6]Resumen!Q25*1000</f>
        <v>135720.3822804222</v>
      </c>
      <c r="R25" s="7">
        <f>+[6]Resumen!R25*1000</f>
        <v>139632.35820611034</v>
      </c>
      <c r="S25" s="7">
        <f>+[6]Resumen!S25*1000</f>
        <v>138756.45635033242</v>
      </c>
      <c r="T25" s="7">
        <f>+[6]Resumen!T25*1000</f>
        <v>134657.89603487623</v>
      </c>
      <c r="U25" s="7">
        <f>+[6]Resumen!U25*1000</f>
        <v>133282.54645264329</v>
      </c>
      <c r="V25" s="7">
        <f>+[6]Resumen!V25*1000</f>
        <v>131332.41612093747</v>
      </c>
      <c r="W25" s="7">
        <f>+[6]Resumen!W25*1000</f>
        <v>0</v>
      </c>
      <c r="X25" s="7">
        <f>+[6]Resumen!X25*1000</f>
        <v>0</v>
      </c>
      <c r="Y25" s="7">
        <f>+[6]Resumen!Y25*1000</f>
        <v>0</v>
      </c>
      <c r="Z25" s="7">
        <f>+[6]Resumen!Z25*1000</f>
        <v>0</v>
      </c>
      <c r="AA25" s="7">
        <f>+[6]Resumen!AA25*1000</f>
        <v>0</v>
      </c>
      <c r="AB25" s="7">
        <f>+[6]Resumen!AB25*1000</f>
        <v>0</v>
      </c>
      <c r="AC25" s="7">
        <f>+[6]Resumen!AC25*1000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+[6]Resumen!E26</f>
        <v>2</v>
      </c>
      <c r="F26" s="7">
        <f>+[6]Resumen!F26*1000</f>
        <v>0</v>
      </c>
      <c r="G26" s="7">
        <f>+[6]Resumen!G26*1000</f>
        <v>0</v>
      </c>
      <c r="H26" s="7">
        <f>+[6]Resumen!H26*1000</f>
        <v>0</v>
      </c>
      <c r="I26" s="7">
        <f>+[6]Resumen!I26*1000</f>
        <v>0</v>
      </c>
      <c r="J26" s="7">
        <f>+[6]Resumen!J26*1000</f>
        <v>0</v>
      </c>
      <c r="K26" s="7">
        <f>+[6]Resumen!K26*1000</f>
        <v>0</v>
      </c>
      <c r="L26" s="7">
        <f>+[6]Resumen!L26*1000</f>
        <v>0</v>
      </c>
      <c r="M26" s="7">
        <f>+[6]Resumen!M26*1000</f>
        <v>101902.17500026316</v>
      </c>
      <c r="N26" s="7">
        <f>+[6]Resumen!N26*1000</f>
        <v>113580.88121665377</v>
      </c>
      <c r="O26" s="7">
        <f>+[6]Resumen!O26*1000</f>
        <v>123136.68038155757</v>
      </c>
      <c r="P26" s="7">
        <f>+[6]Resumen!P26*1000</f>
        <v>133536.96197303841</v>
      </c>
      <c r="Q26" s="7">
        <f>+[6]Resumen!Q26*1000</f>
        <v>142215.64889013764</v>
      </c>
      <c r="R26" s="7">
        <f>+[6]Resumen!R26*1000</f>
        <v>148994.8135049346</v>
      </c>
      <c r="S26" s="7">
        <f>+[6]Resumen!S26*1000</f>
        <v>146524.17018370406</v>
      </c>
      <c r="T26" s="7">
        <f>+[6]Resumen!T26*1000</f>
        <v>142041.93939118015</v>
      </c>
      <c r="U26" s="7">
        <f>+[6]Resumen!U26*1000</f>
        <v>137575.32471806722</v>
      </c>
      <c r="V26" s="7">
        <f>+[6]Resumen!V26*1000</f>
        <v>136030.73441058464</v>
      </c>
      <c r="W26" s="7">
        <f>+[6]Resumen!W26*1000</f>
        <v>0</v>
      </c>
      <c r="X26" s="7">
        <f>+[6]Resumen!X26*1000</f>
        <v>0</v>
      </c>
      <c r="Y26" s="7">
        <f>+[6]Resumen!Y26*1000</f>
        <v>0</v>
      </c>
      <c r="Z26" s="7">
        <f>+[6]Resumen!Z26*1000</f>
        <v>0</v>
      </c>
      <c r="AA26" s="7">
        <f>+[6]Resumen!AA26*1000</f>
        <v>0</v>
      </c>
      <c r="AB26" s="7">
        <f>+[6]Resumen!AB26*1000</f>
        <v>0</v>
      </c>
      <c r="AC26" s="7">
        <f>+[6]Resumen!AC26*1000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+[6]Resumen!E27</f>
        <v>18</v>
      </c>
      <c r="F27" s="7">
        <f>+[6]Resumen!F27*1000</f>
        <v>0</v>
      </c>
      <c r="G27" s="7">
        <f>+[6]Resumen!G27*1000</f>
        <v>0</v>
      </c>
      <c r="H27" s="7">
        <f>+[6]Resumen!H27*1000</f>
        <v>0</v>
      </c>
      <c r="I27" s="7">
        <f>+[6]Resumen!I27*1000</f>
        <v>0</v>
      </c>
      <c r="J27" s="7">
        <f>+[6]Resumen!J27*1000</f>
        <v>0</v>
      </c>
      <c r="K27" s="7">
        <f>+[6]Resumen!K27*1000</f>
        <v>0</v>
      </c>
      <c r="L27" s="7">
        <f>+[6]Resumen!L27*1000</f>
        <v>0</v>
      </c>
      <c r="M27" s="7">
        <f>+[6]Resumen!M27*1000</f>
        <v>140604.41246230842</v>
      </c>
      <c r="N27" s="7">
        <f>+[6]Resumen!N27*1000</f>
        <v>151936.43416506756</v>
      </c>
      <c r="O27" s="7">
        <f>+[6]Resumen!O27*1000</f>
        <v>159634.36405970616</v>
      </c>
      <c r="P27" s="7">
        <f>+[6]Resumen!P27*1000</f>
        <v>169673.89965010548</v>
      </c>
      <c r="Q27" s="7">
        <f>+[6]Resumen!Q27*1000</f>
        <v>178848.59506703613</v>
      </c>
      <c r="R27" s="7">
        <f>+[6]Resumen!R27*1000</f>
        <v>181016.41829131873</v>
      </c>
      <c r="S27" s="7">
        <f>+[6]Resumen!S27*1000</f>
        <v>178472.96108539065</v>
      </c>
      <c r="T27" s="7">
        <f>+[6]Resumen!T27*1000</f>
        <v>179368.69718954264</v>
      </c>
      <c r="U27" s="7">
        <f>+[6]Resumen!U27*1000</f>
        <v>179291.65248500879</v>
      </c>
      <c r="V27" s="7">
        <f>+[6]Resumen!V27*1000</f>
        <v>175132.99929882868</v>
      </c>
      <c r="W27" s="7">
        <f>+[6]Resumen!W27*1000</f>
        <v>0</v>
      </c>
      <c r="X27" s="7">
        <f>+[6]Resumen!X27*1000</f>
        <v>0</v>
      </c>
      <c r="Y27" s="7">
        <f>+[6]Resumen!Y27*1000</f>
        <v>0</v>
      </c>
      <c r="Z27" s="7">
        <f>+[6]Resumen!Z27*1000</f>
        <v>0</v>
      </c>
      <c r="AA27" s="7">
        <f>+[6]Resumen!AA27*1000</f>
        <v>0</v>
      </c>
      <c r="AB27" s="7">
        <f>+[6]Resumen!AB27*1000</f>
        <v>0</v>
      </c>
      <c r="AC27" s="7">
        <f>+[6]Resumen!AC27*1000</f>
        <v>0</v>
      </c>
      <c r="AD27" s="60">
        <f t="shared" ref="AD27:AD35" si="3">SUM(F27:AC27)*E27+SUM(F28:AC28)*E28+SUM(F29:AC29)*E29+SUM(F30:AC30)*E30</f>
        <v>47390613.856035374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+[6]Resumen!E28</f>
        <v>4</v>
      </c>
      <c r="F28" s="7">
        <f>+[6]Resumen!F28*1000</f>
        <v>0</v>
      </c>
      <c r="G28" s="7">
        <f>+[6]Resumen!G28*1000</f>
        <v>0</v>
      </c>
      <c r="H28" s="7">
        <f>+[6]Resumen!H28*1000</f>
        <v>0</v>
      </c>
      <c r="I28" s="7">
        <f>+[6]Resumen!I28*1000</f>
        <v>0</v>
      </c>
      <c r="J28" s="7">
        <f>+[6]Resumen!J28*1000</f>
        <v>0</v>
      </c>
      <c r="K28" s="7">
        <f>+[6]Resumen!K28*1000</f>
        <v>0</v>
      </c>
      <c r="L28" s="7">
        <f>+[6]Resumen!L28*1000</f>
        <v>0</v>
      </c>
      <c r="M28" s="7">
        <f>+[6]Resumen!M28*1000</f>
        <v>127450.27802438391</v>
      </c>
      <c r="N28" s="7">
        <f>+[6]Resumen!N28*1000</f>
        <v>141977.63156421133</v>
      </c>
      <c r="O28" s="7">
        <f>+[6]Resumen!O28*1000</f>
        <v>151624.54485289485</v>
      </c>
      <c r="P28" s="7">
        <f>+[6]Resumen!P28*1000</f>
        <v>160953.12186584546</v>
      </c>
      <c r="Q28" s="7">
        <f>+[6]Resumen!Q28*1000</f>
        <v>167526.12641904061</v>
      </c>
      <c r="R28" s="7">
        <f>+[6]Resumen!R28*1000</f>
        <v>168356.06034591043</v>
      </c>
      <c r="S28" s="7">
        <f>+[6]Resumen!S28*1000</f>
        <v>163955.77928039286</v>
      </c>
      <c r="T28" s="7">
        <f>+[6]Resumen!T28*1000</f>
        <v>160167.99306663134</v>
      </c>
      <c r="U28" s="7">
        <f>+[6]Resumen!U28*1000</f>
        <v>158947.54193662945</v>
      </c>
      <c r="V28" s="7">
        <f>+[6]Resumen!V28*1000</f>
        <v>156310.4752639886</v>
      </c>
      <c r="W28" s="7">
        <f>+[6]Resumen!W28*1000</f>
        <v>0</v>
      </c>
      <c r="X28" s="7">
        <f>+[6]Resumen!X28*1000</f>
        <v>0</v>
      </c>
      <c r="Y28" s="7">
        <f>+[6]Resumen!Y28*1000</f>
        <v>0</v>
      </c>
      <c r="Z28" s="7">
        <f>+[6]Resumen!Z28*1000</f>
        <v>0</v>
      </c>
      <c r="AA28" s="7">
        <f>+[6]Resumen!AA28*1000</f>
        <v>0</v>
      </c>
      <c r="AB28" s="7">
        <f>+[6]Resumen!AB28*1000</f>
        <v>0</v>
      </c>
      <c r="AC28" s="7">
        <f>+[6]Resumen!AC28*1000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+[6]Resumen!E29</f>
        <v>5</v>
      </c>
      <c r="F29" s="7">
        <f>+[6]Resumen!F29*1000</f>
        <v>0</v>
      </c>
      <c r="G29" s="7">
        <f>+[6]Resumen!G29*1000</f>
        <v>0</v>
      </c>
      <c r="H29" s="7">
        <f>+[6]Resumen!H29*1000</f>
        <v>0</v>
      </c>
      <c r="I29" s="7">
        <f>+[6]Resumen!I29*1000</f>
        <v>0</v>
      </c>
      <c r="J29" s="7">
        <f>+[6]Resumen!J29*1000</f>
        <v>0</v>
      </c>
      <c r="K29" s="7">
        <f>+[6]Resumen!K29*1000</f>
        <v>0</v>
      </c>
      <c r="L29" s="7">
        <f>+[6]Resumen!L29*1000</f>
        <v>0</v>
      </c>
      <c r="M29" s="7">
        <f>+[6]Resumen!M29*1000</f>
        <v>102706.80967150867</v>
      </c>
      <c r="N29" s="7">
        <f>+[6]Resumen!N29*1000</f>
        <v>114128.42576598779</v>
      </c>
      <c r="O29" s="7">
        <f>+[6]Resumen!O29*1000</f>
        <v>124022.27965078114</v>
      </c>
      <c r="P29" s="7">
        <f>+[6]Resumen!P29*1000</f>
        <v>131301.91360732168</v>
      </c>
      <c r="Q29" s="7">
        <f>+[6]Resumen!Q29*1000</f>
        <v>139890.93633289859</v>
      </c>
      <c r="R29" s="7">
        <f>+[6]Resumen!R29*1000</f>
        <v>145353.46727644975</v>
      </c>
      <c r="S29" s="7">
        <f>+[6]Resumen!S29*1000</f>
        <v>145630.77078657073</v>
      </c>
      <c r="T29" s="7">
        <f>+[6]Resumen!T29*1000</f>
        <v>142794.04177938082</v>
      </c>
      <c r="U29" s="7">
        <f>+[6]Resumen!U29*1000</f>
        <v>141120.25521051401</v>
      </c>
      <c r="V29" s="7">
        <f>+[6]Resumen!V29*1000</f>
        <v>138996.08383078963</v>
      </c>
      <c r="W29" s="7">
        <f>+[6]Resumen!W29*1000</f>
        <v>0</v>
      </c>
      <c r="X29" s="7">
        <f>+[6]Resumen!X29*1000</f>
        <v>0</v>
      </c>
      <c r="Y29" s="7">
        <f>+[6]Resumen!Y29*1000</f>
        <v>0</v>
      </c>
      <c r="Z29" s="7">
        <f>+[6]Resumen!Z29*1000</f>
        <v>0</v>
      </c>
      <c r="AA29" s="7">
        <f>+[6]Resumen!AA29*1000</f>
        <v>0</v>
      </c>
      <c r="AB29" s="7">
        <f>+[6]Resumen!AB29*1000</f>
        <v>0</v>
      </c>
      <c r="AC29" s="7">
        <f>+[6]Resumen!AC29*1000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+[6]Resumen!E30</f>
        <v>3</v>
      </c>
      <c r="F30" s="7">
        <f>+[6]Resumen!F30*1000</f>
        <v>0</v>
      </c>
      <c r="G30" s="7">
        <f>+[6]Resumen!G30*1000</f>
        <v>0</v>
      </c>
      <c r="H30" s="7">
        <f>+[6]Resumen!H30*1000</f>
        <v>0</v>
      </c>
      <c r="I30" s="7">
        <f>+[6]Resumen!I30*1000</f>
        <v>0</v>
      </c>
      <c r="J30" s="7">
        <f>+[6]Resumen!J30*1000</f>
        <v>0</v>
      </c>
      <c r="K30" s="7">
        <f>+[6]Resumen!K30*1000</f>
        <v>0</v>
      </c>
      <c r="L30" s="7">
        <f>+[6]Resumen!L30*1000</f>
        <v>0</v>
      </c>
      <c r="M30" s="7">
        <f>+[6]Resumen!M30*1000</f>
        <v>101198.84363757755</v>
      </c>
      <c r="N30" s="7">
        <f>+[6]Resumen!N30*1000</f>
        <v>112882.91492059227</v>
      </c>
      <c r="O30" s="7">
        <f>+[6]Resumen!O30*1000</f>
        <v>123238.83239225938</v>
      </c>
      <c r="P30" s="7">
        <f>+[6]Resumen!P30*1000</f>
        <v>133809.0796751185</v>
      </c>
      <c r="Q30" s="7">
        <f>+[6]Resumen!Q30*1000</f>
        <v>144707.6509508795</v>
      </c>
      <c r="R30" s="7">
        <f>+[6]Resumen!R30*1000</f>
        <v>151080.47284372643</v>
      </c>
      <c r="S30" s="7">
        <f>+[6]Resumen!S30*1000</f>
        <v>149826.35758633533</v>
      </c>
      <c r="T30" s="7">
        <f>+[6]Resumen!T30*1000</f>
        <v>145435.72475712994</v>
      </c>
      <c r="U30" s="7">
        <f>+[6]Resumen!U30*1000</f>
        <v>143239.16463695857</v>
      </c>
      <c r="V30" s="7">
        <f>+[6]Resumen!V30*1000</f>
        <v>141301.93140509134</v>
      </c>
      <c r="W30" s="7">
        <f>+[6]Resumen!W30*1000</f>
        <v>0</v>
      </c>
      <c r="X30" s="7">
        <f>+[6]Resumen!X30*1000</f>
        <v>0</v>
      </c>
      <c r="Y30" s="7">
        <f>+[6]Resumen!Y30*1000</f>
        <v>0</v>
      </c>
      <c r="Z30" s="7">
        <f>+[6]Resumen!Z30*1000</f>
        <v>0</v>
      </c>
      <c r="AA30" s="7">
        <f>+[6]Resumen!AA30*1000</f>
        <v>0</v>
      </c>
      <c r="AB30" s="7">
        <f>+[6]Resumen!AB30*1000</f>
        <v>0</v>
      </c>
      <c r="AC30" s="7">
        <f>+[6]Resumen!AC30*1000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+[6]Resumen!E31</f>
        <v>23</v>
      </c>
      <c r="F31" s="7">
        <f>+[6]Resumen!F31*1000</f>
        <v>0</v>
      </c>
      <c r="G31" s="7">
        <f>+[6]Resumen!G31*1000</f>
        <v>0</v>
      </c>
      <c r="H31" s="7">
        <f>+[6]Resumen!H31*1000</f>
        <v>0</v>
      </c>
      <c r="I31" s="7">
        <f>+[6]Resumen!I31*1000</f>
        <v>0</v>
      </c>
      <c r="J31" s="7">
        <f>+[6]Resumen!J31*1000</f>
        <v>0</v>
      </c>
      <c r="K31" s="7">
        <f>+[6]Resumen!K31*1000</f>
        <v>0</v>
      </c>
      <c r="L31" s="7">
        <f>+[6]Resumen!L31*1000</f>
        <v>0</v>
      </c>
      <c r="M31" s="7">
        <f>+[6]Resumen!M31*1000</f>
        <v>132601.64303553186</v>
      </c>
      <c r="N31" s="7">
        <f>+[6]Resumen!N31*1000</f>
        <v>143618.56622157048</v>
      </c>
      <c r="O31" s="7">
        <f>+[6]Resumen!O31*1000</f>
        <v>151519.54374117084</v>
      </c>
      <c r="P31" s="7">
        <f>+[6]Resumen!P31*1000</f>
        <v>161959.52397022373</v>
      </c>
      <c r="Q31" s="7">
        <f>+[6]Resumen!Q31*1000</f>
        <v>170320.15222444024</v>
      </c>
      <c r="R31" s="7">
        <f>+[6]Resumen!R31*1000</f>
        <v>171359.81234826695</v>
      </c>
      <c r="S31" s="7">
        <f>+[6]Resumen!S31*1000</f>
        <v>168617.36383770764</v>
      </c>
      <c r="T31" s="7">
        <f>+[6]Resumen!T31*1000</f>
        <v>170093.93423782504</v>
      </c>
      <c r="U31" s="7">
        <f>+[6]Resumen!U31*1000</f>
        <v>169816.71956381612</v>
      </c>
      <c r="V31" s="7">
        <f>+[6]Resumen!V31*1000</f>
        <v>165182.37279299926</v>
      </c>
      <c r="W31" s="7">
        <f>+[6]Resumen!W31*1000</f>
        <v>0</v>
      </c>
      <c r="X31" s="7">
        <f>+[6]Resumen!X31*1000</f>
        <v>0</v>
      </c>
      <c r="Y31" s="7">
        <f>+[6]Resumen!Y31*1000</f>
        <v>0</v>
      </c>
      <c r="Z31" s="7">
        <f>+[6]Resumen!Z31*1000</f>
        <v>0</v>
      </c>
      <c r="AA31" s="7">
        <f>+[6]Resumen!AA31*1000</f>
        <v>0</v>
      </c>
      <c r="AB31" s="7">
        <f>+[6]Resumen!AB31*1000</f>
        <v>0</v>
      </c>
      <c r="AC31" s="7">
        <f>+[6]Resumen!AC31*1000</f>
        <v>0</v>
      </c>
      <c r="AD31" s="60">
        <f t="shared" si="3"/>
        <v>47854320.982368194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+[6]Resumen!E32</f>
        <v>4</v>
      </c>
      <c r="F32" s="7">
        <f>+[6]Resumen!F32*1000</f>
        <v>0</v>
      </c>
      <c r="G32" s="7">
        <f>+[6]Resumen!G32*1000</f>
        <v>0</v>
      </c>
      <c r="H32" s="7">
        <f>+[6]Resumen!H32*1000</f>
        <v>0</v>
      </c>
      <c r="I32" s="7">
        <f>+[6]Resumen!I32*1000</f>
        <v>0</v>
      </c>
      <c r="J32" s="7">
        <f>+[6]Resumen!J32*1000</f>
        <v>0</v>
      </c>
      <c r="K32" s="7">
        <f>+[6]Resumen!K32*1000</f>
        <v>0</v>
      </c>
      <c r="L32" s="7">
        <f>+[6]Resumen!L32*1000</f>
        <v>0</v>
      </c>
      <c r="M32" s="7">
        <f>+[6]Resumen!M32*1000</f>
        <v>118489.06371650337</v>
      </c>
      <c r="N32" s="7">
        <f>+[6]Resumen!N32*1000</f>
        <v>133293.32417666583</v>
      </c>
      <c r="O32" s="7">
        <f>+[6]Resumen!O32*1000</f>
        <v>142989.52247122696</v>
      </c>
      <c r="P32" s="7">
        <f>+[6]Resumen!P32*1000</f>
        <v>152459.59954708064</v>
      </c>
      <c r="Q32" s="7">
        <f>+[6]Resumen!Q32*1000</f>
        <v>159261.62994257541</v>
      </c>
      <c r="R32" s="7">
        <f>+[6]Resumen!R32*1000</f>
        <v>159367.25925252028</v>
      </c>
      <c r="S32" s="7">
        <f>+[6]Resumen!S32*1000</f>
        <v>154725.61681600139</v>
      </c>
      <c r="T32" s="7">
        <f>+[6]Resumen!T32*1000</f>
        <v>150606.00234198952</v>
      </c>
      <c r="U32" s="7">
        <f>+[6]Resumen!U32*1000</f>
        <v>148819.77146429635</v>
      </c>
      <c r="V32" s="7">
        <f>+[6]Resumen!V32*1000</f>
        <v>146608.6564989812</v>
      </c>
      <c r="W32" s="7">
        <f>+[6]Resumen!W32*1000</f>
        <v>0</v>
      </c>
      <c r="X32" s="7">
        <f>+[6]Resumen!X32*1000</f>
        <v>0</v>
      </c>
      <c r="Y32" s="7">
        <f>+[6]Resumen!Y32*1000</f>
        <v>0</v>
      </c>
      <c r="Z32" s="7">
        <f>+[6]Resumen!Z32*1000</f>
        <v>0</v>
      </c>
      <c r="AA32" s="7">
        <f>+[6]Resumen!AA32*1000</f>
        <v>0</v>
      </c>
      <c r="AB32" s="7">
        <f>+[6]Resumen!AB32*1000</f>
        <v>0</v>
      </c>
      <c r="AC32" s="7">
        <f>+[6]Resumen!AC32*1000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+[6]Resumen!E33</f>
        <v>4</v>
      </c>
      <c r="F33" s="7">
        <f>+[6]Resumen!F33*1000</f>
        <v>0</v>
      </c>
      <c r="G33" s="7">
        <f>+[6]Resumen!G33*1000</f>
        <v>0</v>
      </c>
      <c r="H33" s="7">
        <f>+[6]Resumen!H33*1000</f>
        <v>0</v>
      </c>
      <c r="I33" s="7">
        <f>+[6]Resumen!I33*1000</f>
        <v>0</v>
      </c>
      <c r="J33" s="7">
        <f>+[6]Resumen!J33*1000</f>
        <v>0</v>
      </c>
      <c r="K33" s="7">
        <f>+[6]Resumen!K33*1000</f>
        <v>0</v>
      </c>
      <c r="L33" s="7">
        <f>+[6]Resumen!L33*1000</f>
        <v>0</v>
      </c>
      <c r="M33" s="7">
        <f>+[6]Resumen!M33*1000</f>
        <v>95639.157714627421</v>
      </c>
      <c r="N33" s="7">
        <f>+[6]Resumen!N33*1000</f>
        <v>107409.51741690656</v>
      </c>
      <c r="O33" s="7">
        <f>+[6]Resumen!O33*1000</f>
        <v>117572.47333504775</v>
      </c>
      <c r="P33" s="7">
        <f>+[6]Resumen!P33*1000</f>
        <v>126251.96770895117</v>
      </c>
      <c r="Q33" s="7">
        <f>+[6]Resumen!Q33*1000</f>
        <v>135047.16953243961</v>
      </c>
      <c r="R33" s="7">
        <f>+[6]Resumen!R33*1000</f>
        <v>140017.34694762647</v>
      </c>
      <c r="S33" s="7">
        <f>+[6]Resumen!S33*1000</f>
        <v>140180.45956750383</v>
      </c>
      <c r="T33" s="7">
        <f>+[6]Resumen!T33*1000</f>
        <v>137294.72158092726</v>
      </c>
      <c r="U33" s="7">
        <f>+[6]Resumen!U33*1000</f>
        <v>135154.09172508662</v>
      </c>
      <c r="V33" s="7">
        <f>+[6]Resumen!V33*1000</f>
        <v>133127.50998716668</v>
      </c>
      <c r="W33" s="7">
        <f>+[6]Resumen!W33*1000</f>
        <v>0</v>
      </c>
      <c r="X33" s="7">
        <f>+[6]Resumen!X33*1000</f>
        <v>0</v>
      </c>
      <c r="Y33" s="7">
        <f>+[6]Resumen!Y33*1000</f>
        <v>0</v>
      </c>
      <c r="Z33" s="7">
        <f>+[6]Resumen!Z33*1000</f>
        <v>0</v>
      </c>
      <c r="AA33" s="7">
        <f>+[6]Resumen!AA33*1000</f>
        <v>0</v>
      </c>
      <c r="AB33" s="7">
        <f>+[6]Resumen!AB33*1000</f>
        <v>0</v>
      </c>
      <c r="AC33" s="7">
        <f>+[6]Resumen!AC33*1000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+[6]Resumen!E34</f>
        <v>0</v>
      </c>
      <c r="F34" s="7">
        <f>+[6]Resumen!F34*1000</f>
        <v>0</v>
      </c>
      <c r="G34" s="7">
        <f>+[6]Resumen!G34*1000</f>
        <v>0</v>
      </c>
      <c r="H34" s="7">
        <f>+[6]Resumen!H34*1000</f>
        <v>0</v>
      </c>
      <c r="I34" s="7">
        <f>+[6]Resumen!I34*1000</f>
        <v>0</v>
      </c>
      <c r="J34" s="7">
        <f>+[6]Resumen!J34*1000</f>
        <v>0</v>
      </c>
      <c r="K34" s="7">
        <f>+[6]Resumen!K34*1000</f>
        <v>0</v>
      </c>
      <c r="L34" s="7">
        <f>+[6]Resumen!L34*1000</f>
        <v>0</v>
      </c>
      <c r="M34" s="7">
        <f>+[6]Resumen!M34*1000</f>
        <v>98021.710512606238</v>
      </c>
      <c r="N34" s="7">
        <f>+[6]Resumen!N34*1000</f>
        <v>110575.15419716323</v>
      </c>
      <c r="O34" s="7">
        <f>+[6]Resumen!O34*1000</f>
        <v>121179.18617070653</v>
      </c>
      <c r="P34" s="7">
        <f>+[6]Resumen!P34*1000</f>
        <v>130920.5528691673</v>
      </c>
      <c r="Q34" s="7">
        <f>+[6]Resumen!Q34*1000</f>
        <v>140150.28225751247</v>
      </c>
      <c r="R34" s="7">
        <f>+[6]Resumen!R34*1000</f>
        <v>144789.50390997806</v>
      </c>
      <c r="S34" s="7">
        <f>+[6]Resumen!S34*1000</f>
        <v>143503.46634753747</v>
      </c>
      <c r="T34" s="7">
        <f>+[6]Resumen!T34*1000</f>
        <v>140290.12457511036</v>
      </c>
      <c r="U34" s="7">
        <f>+[6]Resumen!U34*1000</f>
        <v>138949.60033515986</v>
      </c>
      <c r="V34" s="7">
        <f>+[6]Resumen!V34*1000</f>
        <v>135247.90900484726</v>
      </c>
      <c r="W34" s="7">
        <f>+[6]Resumen!W34*1000</f>
        <v>0</v>
      </c>
      <c r="X34" s="7">
        <f>+[6]Resumen!X34*1000</f>
        <v>0</v>
      </c>
      <c r="Y34" s="7">
        <f>+[6]Resumen!Y34*1000</f>
        <v>0</v>
      </c>
      <c r="Z34" s="7">
        <f>+[6]Resumen!Z34*1000</f>
        <v>0</v>
      </c>
      <c r="AA34" s="7">
        <f>+[6]Resumen!AA34*1000</f>
        <v>0</v>
      </c>
      <c r="AB34" s="7">
        <f>+[6]Resumen!AB34*1000</f>
        <v>0</v>
      </c>
      <c r="AC34" s="7">
        <f>+[6]Resumen!AC34*1000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+[6]Resumen!E35</f>
        <v>19</v>
      </c>
      <c r="F35" s="7">
        <f>+[6]Resumen!F35*1000</f>
        <v>0</v>
      </c>
      <c r="G35" s="7">
        <f>+[6]Resumen!G35*1000</f>
        <v>0</v>
      </c>
      <c r="H35" s="7">
        <f>+[6]Resumen!H35*1000</f>
        <v>0</v>
      </c>
      <c r="I35" s="7">
        <f>+[6]Resumen!I35*1000</f>
        <v>0</v>
      </c>
      <c r="J35" s="7">
        <f>+[6]Resumen!J35*1000</f>
        <v>0</v>
      </c>
      <c r="K35" s="7">
        <f>+[6]Resumen!K35*1000</f>
        <v>0</v>
      </c>
      <c r="L35" s="7">
        <f>+[6]Resumen!L35*1000</f>
        <v>0</v>
      </c>
      <c r="M35" s="7">
        <f>+[6]Resumen!M35*1000</f>
        <v>136792.77216610251</v>
      </c>
      <c r="N35" s="7">
        <f>+[6]Resumen!N35*1000</f>
        <v>147192.29547791267</v>
      </c>
      <c r="O35" s="7">
        <f>+[6]Resumen!O35*1000</f>
        <v>155036.12123664163</v>
      </c>
      <c r="P35" s="7">
        <f>+[6]Resumen!P35*1000</f>
        <v>165517.96865621599</v>
      </c>
      <c r="Q35" s="7">
        <f>+[6]Resumen!Q35*1000</f>
        <v>173863.04741810562</v>
      </c>
      <c r="R35" s="7">
        <f>+[6]Resumen!R35*1000</f>
        <v>174622.15516828501</v>
      </c>
      <c r="S35" s="7">
        <f>+[6]Resumen!S35*1000</f>
        <v>172267.08445611226</v>
      </c>
      <c r="T35" s="7">
        <f>+[6]Resumen!T35*1000</f>
        <v>173731.25428680304</v>
      </c>
      <c r="U35" s="7">
        <f>+[6]Resumen!U35*1000</f>
        <v>173449.15204027231</v>
      </c>
      <c r="V35" s="7">
        <f>+[6]Resumen!V35*1000</f>
        <v>168776.52325059881</v>
      </c>
      <c r="W35" s="7">
        <f>+[6]Resumen!W35*1000</f>
        <v>0</v>
      </c>
      <c r="X35" s="7">
        <f>+[6]Resumen!X35*1000</f>
        <v>0</v>
      </c>
      <c r="Y35" s="7">
        <f>+[6]Resumen!Y35*1000</f>
        <v>0</v>
      </c>
      <c r="Z35" s="7">
        <f>+[6]Resumen!Z35*1000</f>
        <v>0</v>
      </c>
      <c r="AA35" s="7">
        <f>+[6]Resumen!AA35*1000</f>
        <v>0</v>
      </c>
      <c r="AB35" s="7">
        <f>+[6]Resumen!AB35*1000</f>
        <v>0</v>
      </c>
      <c r="AC35" s="7">
        <f>+[6]Resumen!AC35*1000</f>
        <v>0</v>
      </c>
      <c r="AD35" s="60">
        <f t="shared" si="3"/>
        <v>47775581.379997969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+[6]Resumen!E36</f>
        <v>5</v>
      </c>
      <c r="F36" s="7">
        <f>+[6]Resumen!F36*1000</f>
        <v>0</v>
      </c>
      <c r="G36" s="7">
        <f>+[6]Resumen!G36*1000</f>
        <v>0</v>
      </c>
      <c r="H36" s="7">
        <f>+[6]Resumen!H36*1000</f>
        <v>0</v>
      </c>
      <c r="I36" s="7">
        <f>+[6]Resumen!I36*1000</f>
        <v>0</v>
      </c>
      <c r="J36" s="7">
        <f>+[6]Resumen!J36*1000</f>
        <v>0</v>
      </c>
      <c r="K36" s="7">
        <f>+[6]Resumen!K36*1000</f>
        <v>0</v>
      </c>
      <c r="L36" s="7">
        <f>+[6]Resumen!L36*1000</f>
        <v>0</v>
      </c>
      <c r="M36" s="7">
        <f>+[6]Resumen!M36*1000</f>
        <v>123725.31956451012</v>
      </c>
      <c r="N36" s="7">
        <f>+[6]Resumen!N36*1000</f>
        <v>138140.41757224928</v>
      </c>
      <c r="O36" s="7">
        <f>+[6]Resumen!O36*1000</f>
        <v>147974.91624332053</v>
      </c>
      <c r="P36" s="7">
        <f>+[6]Resumen!P36*1000</f>
        <v>157014.73306041409</v>
      </c>
      <c r="Q36" s="7">
        <f>+[6]Resumen!Q36*1000</f>
        <v>163274.38567830602</v>
      </c>
      <c r="R36" s="7">
        <f>+[6]Resumen!R36*1000</f>
        <v>163395.37253112142</v>
      </c>
      <c r="S36" s="7">
        <f>+[6]Resumen!S36*1000</f>
        <v>159031.59676221953</v>
      </c>
      <c r="T36" s="7">
        <f>+[6]Resumen!T36*1000</f>
        <v>154556.0096417896</v>
      </c>
      <c r="U36" s="7">
        <f>+[6]Resumen!U36*1000</f>
        <v>152131.06298205353</v>
      </c>
      <c r="V36" s="7">
        <f>+[6]Resumen!V36*1000</f>
        <v>149917.26706978545</v>
      </c>
      <c r="W36" s="7">
        <f>+[6]Resumen!W36*1000</f>
        <v>0</v>
      </c>
      <c r="X36" s="7">
        <f>+[6]Resumen!X36*1000</f>
        <v>0</v>
      </c>
      <c r="Y36" s="7">
        <f>+[6]Resumen!Y36*1000</f>
        <v>0</v>
      </c>
      <c r="Z36" s="7">
        <f>+[6]Resumen!Z36*1000</f>
        <v>0</v>
      </c>
      <c r="AA36" s="7">
        <f>+[6]Resumen!AA36*1000</f>
        <v>0</v>
      </c>
      <c r="AB36" s="7">
        <f>+[6]Resumen!AB36*1000</f>
        <v>0</v>
      </c>
      <c r="AC36" s="7">
        <f>+[6]Resumen!AC36*1000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+[6]Resumen!E37</f>
        <v>5</v>
      </c>
      <c r="F37" s="7">
        <f>+[6]Resumen!F37*1000</f>
        <v>0</v>
      </c>
      <c r="G37" s="7">
        <f>+[6]Resumen!G37*1000</f>
        <v>0</v>
      </c>
      <c r="H37" s="7">
        <f>+[6]Resumen!H37*1000</f>
        <v>0</v>
      </c>
      <c r="I37" s="7">
        <f>+[6]Resumen!I37*1000</f>
        <v>0</v>
      </c>
      <c r="J37" s="7">
        <f>+[6]Resumen!J37*1000</f>
        <v>0</v>
      </c>
      <c r="K37" s="7">
        <f>+[6]Resumen!K37*1000</f>
        <v>0</v>
      </c>
      <c r="L37" s="7">
        <f>+[6]Resumen!L37*1000</f>
        <v>0</v>
      </c>
      <c r="M37" s="7">
        <f>+[6]Resumen!M37*1000</f>
        <v>97342.989925676578</v>
      </c>
      <c r="N37" s="7">
        <f>+[6]Resumen!N37*1000</f>
        <v>109271.99506048433</v>
      </c>
      <c r="O37" s="7">
        <f>+[6]Resumen!O37*1000</f>
        <v>119404.88312741512</v>
      </c>
      <c r="P37" s="7">
        <f>+[6]Resumen!P37*1000</f>
        <v>127316.90329301506</v>
      </c>
      <c r="Q37" s="7">
        <f>+[6]Resumen!Q37*1000</f>
        <v>135513.86846073135</v>
      </c>
      <c r="R37" s="7">
        <f>+[6]Resumen!R37*1000</f>
        <v>140573.29285498575</v>
      </c>
      <c r="S37" s="7">
        <f>+[6]Resumen!S37*1000</f>
        <v>140837.15990315925</v>
      </c>
      <c r="T37" s="7">
        <f>+[6]Resumen!T37*1000</f>
        <v>136787.159627452</v>
      </c>
      <c r="U37" s="7">
        <f>+[6]Resumen!U37*1000</f>
        <v>134739.25722264021</v>
      </c>
      <c r="V37" s="7">
        <f>+[6]Resumen!V37*1000</f>
        <v>131863.63703468244</v>
      </c>
      <c r="W37" s="7">
        <f>+[6]Resumen!W37*1000</f>
        <v>0</v>
      </c>
      <c r="X37" s="7">
        <f>+[6]Resumen!X37*1000</f>
        <v>0</v>
      </c>
      <c r="Y37" s="7">
        <f>+[6]Resumen!Y37*1000</f>
        <v>0</v>
      </c>
      <c r="Z37" s="7">
        <f>+[6]Resumen!Z37*1000</f>
        <v>0</v>
      </c>
      <c r="AA37" s="7">
        <f>+[6]Resumen!AA37*1000</f>
        <v>0</v>
      </c>
      <c r="AB37" s="7">
        <f>+[6]Resumen!AB37*1000</f>
        <v>0</v>
      </c>
      <c r="AC37" s="7">
        <f>+[6]Resumen!AC37*1000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+[6]Resumen!E38</f>
        <v>2</v>
      </c>
      <c r="F38" s="7">
        <f>+[6]Resumen!F38*1000</f>
        <v>0</v>
      </c>
      <c r="G38" s="7">
        <f>+[6]Resumen!G38*1000</f>
        <v>0</v>
      </c>
      <c r="H38" s="7">
        <f>+[6]Resumen!H38*1000</f>
        <v>0</v>
      </c>
      <c r="I38" s="7">
        <f>+[6]Resumen!I38*1000</f>
        <v>0</v>
      </c>
      <c r="J38" s="7">
        <f>+[6]Resumen!J38*1000</f>
        <v>0</v>
      </c>
      <c r="K38" s="7">
        <f>+[6]Resumen!K38*1000</f>
        <v>0</v>
      </c>
      <c r="L38" s="7">
        <f>+[6]Resumen!L38*1000</f>
        <v>0</v>
      </c>
      <c r="M38" s="7">
        <f>+[6]Resumen!M38*1000</f>
        <v>102408.03003129977</v>
      </c>
      <c r="N38" s="7">
        <f>+[6]Resumen!N38*1000</f>
        <v>114450.44398129328</v>
      </c>
      <c r="O38" s="7">
        <f>+[6]Resumen!O38*1000</f>
        <v>124055.20453480941</v>
      </c>
      <c r="P38" s="7">
        <f>+[6]Resumen!P38*1000</f>
        <v>134411.32347408775</v>
      </c>
      <c r="Q38" s="7">
        <f>+[6]Resumen!Q38*1000</f>
        <v>144628.39644805837</v>
      </c>
      <c r="R38" s="7">
        <f>+[6]Resumen!R38*1000</f>
        <v>150857.28797579405</v>
      </c>
      <c r="S38" s="7">
        <f>+[6]Resumen!S38*1000</f>
        <v>147926.14204508718</v>
      </c>
      <c r="T38" s="7">
        <f>+[6]Resumen!T38*1000</f>
        <v>142777.55633515908</v>
      </c>
      <c r="U38" s="7">
        <f>+[6]Resumen!U38*1000</f>
        <v>140114.42578178662</v>
      </c>
      <c r="V38" s="7">
        <f>+[6]Resumen!V38*1000</f>
        <v>137271.75585960338</v>
      </c>
      <c r="W38" s="7">
        <f>+[6]Resumen!W38*1000</f>
        <v>0</v>
      </c>
      <c r="X38" s="7">
        <f>+[6]Resumen!X38*1000</f>
        <v>0</v>
      </c>
      <c r="Y38" s="7">
        <f>+[6]Resumen!Y38*1000</f>
        <v>0</v>
      </c>
      <c r="Z38" s="7">
        <f>+[6]Resumen!Z38*1000</f>
        <v>0</v>
      </c>
      <c r="AA38" s="7">
        <f>+[6]Resumen!AA38*1000</f>
        <v>0</v>
      </c>
      <c r="AB38" s="7">
        <f>+[6]Resumen!AB38*1000</f>
        <v>0</v>
      </c>
      <c r="AC38" s="7">
        <f>+[6]Resumen!AC38*1000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+[6]Resumen!E39</f>
        <v>22</v>
      </c>
      <c r="F39" s="7">
        <f>+[6]Resumen!F39*1000</f>
        <v>0</v>
      </c>
      <c r="G39" s="7">
        <f>+[6]Resumen!G39*1000</f>
        <v>0</v>
      </c>
      <c r="H39" s="7">
        <f>+[6]Resumen!H39*1000</f>
        <v>0</v>
      </c>
      <c r="I39" s="7">
        <f>+[6]Resumen!I39*1000</f>
        <v>0</v>
      </c>
      <c r="J39" s="7">
        <f>+[6]Resumen!J39*1000</f>
        <v>0</v>
      </c>
      <c r="K39" s="7">
        <f>+[6]Resumen!K39*1000</f>
        <v>0</v>
      </c>
      <c r="L39" s="7">
        <f>+[6]Resumen!L39*1000</f>
        <v>0</v>
      </c>
      <c r="M39" s="7">
        <f>+[6]Resumen!M39*1000</f>
        <v>140451.68573574512</v>
      </c>
      <c r="N39" s="7">
        <f>+[6]Resumen!N39*1000</f>
        <v>151009.39919500958</v>
      </c>
      <c r="O39" s="7">
        <f>+[6]Resumen!O39*1000</f>
        <v>158791.14120228926</v>
      </c>
      <c r="P39" s="7">
        <f>+[6]Resumen!P39*1000</f>
        <v>169553.08729679589</v>
      </c>
      <c r="Q39" s="7">
        <f>+[6]Resumen!Q39*1000</f>
        <v>178480.48677316852</v>
      </c>
      <c r="R39" s="7">
        <f>+[6]Resumen!R39*1000</f>
        <v>179876.71125537393</v>
      </c>
      <c r="S39" s="7">
        <f>+[6]Resumen!S39*1000</f>
        <v>177452.46418002024</v>
      </c>
      <c r="T39" s="7">
        <f>+[6]Resumen!T39*1000</f>
        <v>178473.60514720299</v>
      </c>
      <c r="U39" s="7">
        <f>+[6]Resumen!U39*1000</f>
        <v>178501.96766233383</v>
      </c>
      <c r="V39" s="7">
        <f>+[6]Resumen!V39*1000</f>
        <v>174123.20714496021</v>
      </c>
      <c r="W39" s="7">
        <f>+[6]Resumen!W39*1000</f>
        <v>0</v>
      </c>
      <c r="X39" s="7">
        <f>+[6]Resumen!X39*1000</f>
        <v>0</v>
      </c>
      <c r="Y39" s="7">
        <f>+[6]Resumen!Y39*1000</f>
        <v>0</v>
      </c>
      <c r="Z39" s="7">
        <f>+[6]Resumen!Z39*1000</f>
        <v>0</v>
      </c>
      <c r="AA39" s="7">
        <f>+[6]Resumen!AA39*1000</f>
        <v>0</v>
      </c>
      <c r="AB39" s="7">
        <f>+[6]Resumen!AB39*1000</f>
        <v>0</v>
      </c>
      <c r="AC39" s="7">
        <f>+[6]Resumen!AC39*1000</f>
        <v>0</v>
      </c>
      <c r="AD39" s="60">
        <f t="shared" ref="AD39" si="4">SUM(F39:AC39)*E39+SUM(F40:AC40)*E40+SUM(F41:AC41)*E41+SUM(F42:AC42)*E42</f>
        <v>48539571.635868102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+[6]Resumen!E40</f>
        <v>4</v>
      </c>
      <c r="F40" s="7">
        <f>+[6]Resumen!F40*1000</f>
        <v>0</v>
      </c>
      <c r="G40" s="7">
        <f>+[6]Resumen!G40*1000</f>
        <v>0</v>
      </c>
      <c r="H40" s="7">
        <f>+[6]Resumen!H40*1000</f>
        <v>0</v>
      </c>
      <c r="I40" s="7">
        <f>+[6]Resumen!I40*1000</f>
        <v>0</v>
      </c>
      <c r="J40" s="7">
        <f>+[6]Resumen!J40*1000</f>
        <v>0</v>
      </c>
      <c r="K40" s="7">
        <f>+[6]Resumen!K40*1000</f>
        <v>0</v>
      </c>
      <c r="L40" s="7">
        <f>+[6]Resumen!L40*1000</f>
        <v>0</v>
      </c>
      <c r="M40" s="7">
        <f>+[6]Resumen!M40*1000</f>
        <v>127549.12882170761</v>
      </c>
      <c r="N40" s="7">
        <f>+[6]Resumen!N40*1000</f>
        <v>142624.24265571262</v>
      </c>
      <c r="O40" s="7">
        <f>+[6]Resumen!O40*1000</f>
        <v>152971.98720507117</v>
      </c>
      <c r="P40" s="7">
        <f>+[6]Resumen!P40*1000</f>
        <v>162599.7880387909</v>
      </c>
      <c r="Q40" s="7">
        <f>+[6]Resumen!Q40*1000</f>
        <v>169252.78316544983</v>
      </c>
      <c r="R40" s="7">
        <f>+[6]Resumen!R40*1000</f>
        <v>169531.05435464848</v>
      </c>
      <c r="S40" s="7">
        <f>+[6]Resumen!S40*1000</f>
        <v>164006.92984462352</v>
      </c>
      <c r="T40" s="7">
        <f>+[6]Resumen!T40*1000</f>
        <v>158129.84994327184</v>
      </c>
      <c r="U40" s="7">
        <f>+[6]Resumen!U40*1000</f>
        <v>155306.88260165387</v>
      </c>
      <c r="V40" s="7">
        <f>+[6]Resumen!V40*1000</f>
        <v>152297.03104838962</v>
      </c>
      <c r="W40" s="7">
        <f>+[6]Resumen!W40*1000</f>
        <v>0</v>
      </c>
      <c r="X40" s="7">
        <f>+[6]Resumen!X40*1000</f>
        <v>0</v>
      </c>
      <c r="Y40" s="7">
        <f>+[6]Resumen!Y40*1000</f>
        <v>0</v>
      </c>
      <c r="Z40" s="7">
        <f>+[6]Resumen!Z40*1000</f>
        <v>0</v>
      </c>
      <c r="AA40" s="7">
        <f>+[6]Resumen!AA40*1000</f>
        <v>0</v>
      </c>
      <c r="AB40" s="7">
        <f>+[6]Resumen!AB40*1000</f>
        <v>0</v>
      </c>
      <c r="AC40" s="7">
        <f>+[6]Resumen!AC40*1000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+[6]Resumen!E41</f>
        <v>4</v>
      </c>
      <c r="F41" s="7">
        <f>+[6]Resumen!F41*1000</f>
        <v>0</v>
      </c>
      <c r="G41" s="7">
        <f>+[6]Resumen!G41*1000</f>
        <v>0</v>
      </c>
      <c r="H41" s="7">
        <f>+[6]Resumen!H41*1000</f>
        <v>0</v>
      </c>
      <c r="I41" s="7">
        <f>+[6]Resumen!I41*1000</f>
        <v>0</v>
      </c>
      <c r="J41" s="7">
        <f>+[6]Resumen!J41*1000</f>
        <v>0</v>
      </c>
      <c r="K41" s="7">
        <f>+[6]Resumen!K41*1000</f>
        <v>0</v>
      </c>
      <c r="L41" s="7">
        <f>+[6]Resumen!L41*1000</f>
        <v>0</v>
      </c>
      <c r="M41" s="7">
        <f>+[6]Resumen!M41*1000</f>
        <v>99380.435051012813</v>
      </c>
      <c r="N41" s="7">
        <f>+[6]Resumen!N41*1000</f>
        <v>111395.99035434372</v>
      </c>
      <c r="O41" s="7">
        <f>+[6]Resumen!O41*1000</f>
        <v>121492.63487391756</v>
      </c>
      <c r="P41" s="7">
        <f>+[6]Resumen!P41*1000</f>
        <v>130404.25324952829</v>
      </c>
      <c r="Q41" s="7">
        <f>+[6]Resumen!Q41*1000</f>
        <v>138913.74861851142</v>
      </c>
      <c r="R41" s="7">
        <f>+[6]Resumen!R41*1000</f>
        <v>144134.62788733791</v>
      </c>
      <c r="S41" s="7">
        <f>+[6]Resumen!S41*1000</f>
        <v>143544.73230794352</v>
      </c>
      <c r="T41" s="7">
        <f>+[6]Resumen!T41*1000</f>
        <v>139902.93079438442</v>
      </c>
      <c r="U41" s="7">
        <f>+[6]Resumen!U41*1000</f>
        <v>138193.30519974232</v>
      </c>
      <c r="V41" s="7">
        <f>+[6]Resumen!V41*1000</f>
        <v>136334.91719003711</v>
      </c>
      <c r="W41" s="7">
        <f>+[6]Resumen!W41*1000</f>
        <v>0</v>
      </c>
      <c r="X41" s="7">
        <f>+[6]Resumen!X41*1000</f>
        <v>0</v>
      </c>
      <c r="Y41" s="7">
        <f>+[6]Resumen!Y41*1000</f>
        <v>0</v>
      </c>
      <c r="Z41" s="7">
        <f>+[6]Resumen!Z41*1000</f>
        <v>0</v>
      </c>
      <c r="AA41" s="7">
        <f>+[6]Resumen!AA41*1000</f>
        <v>0</v>
      </c>
      <c r="AB41" s="7">
        <f>+[6]Resumen!AB41*1000</f>
        <v>0</v>
      </c>
      <c r="AC41" s="7">
        <f>+[6]Resumen!AC41*1000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+[6]Resumen!E42</f>
        <v>0</v>
      </c>
      <c r="F42" s="7">
        <f>+[6]Resumen!F42*1000</f>
        <v>0</v>
      </c>
      <c r="G42" s="7">
        <f>+[6]Resumen!G42*1000</f>
        <v>0</v>
      </c>
      <c r="H42" s="7">
        <f>+[6]Resumen!H42*1000</f>
        <v>0</v>
      </c>
      <c r="I42" s="7">
        <f>+[6]Resumen!I42*1000</f>
        <v>0</v>
      </c>
      <c r="J42" s="7">
        <f>+[6]Resumen!J42*1000</f>
        <v>0</v>
      </c>
      <c r="K42" s="7">
        <f>+[6]Resumen!K42*1000</f>
        <v>0</v>
      </c>
      <c r="L42" s="7">
        <f>+[6]Resumen!L42*1000</f>
        <v>0</v>
      </c>
      <c r="M42" s="7">
        <f>+[6]Resumen!M42*1000</f>
        <v>0</v>
      </c>
      <c r="N42" s="7">
        <f>+[6]Resumen!N42*1000</f>
        <v>0</v>
      </c>
      <c r="O42" s="7">
        <f>+[6]Resumen!O42*1000</f>
        <v>0</v>
      </c>
      <c r="P42" s="7">
        <f>+[6]Resumen!P42*1000</f>
        <v>0</v>
      </c>
      <c r="Q42" s="7">
        <f>+[6]Resumen!Q42*1000</f>
        <v>0</v>
      </c>
      <c r="R42" s="7">
        <f>+[6]Resumen!R42*1000</f>
        <v>0</v>
      </c>
      <c r="S42" s="7">
        <f>+[6]Resumen!S42*1000</f>
        <v>0</v>
      </c>
      <c r="T42" s="7">
        <f>+[6]Resumen!T42*1000</f>
        <v>0</v>
      </c>
      <c r="U42" s="7">
        <f>+[6]Resumen!U42*1000</f>
        <v>0</v>
      </c>
      <c r="V42" s="7">
        <f>+[6]Resumen!V42*1000</f>
        <v>0</v>
      </c>
      <c r="W42" s="7">
        <f>+[6]Resumen!W42*1000</f>
        <v>0</v>
      </c>
      <c r="X42" s="7">
        <f>+[6]Resumen!X42*1000</f>
        <v>0</v>
      </c>
      <c r="Y42" s="7">
        <f>+[6]Resumen!Y42*1000</f>
        <v>0</v>
      </c>
      <c r="Z42" s="7">
        <f>+[6]Resumen!Z42*1000</f>
        <v>0</v>
      </c>
      <c r="AA42" s="7">
        <f>+[6]Resumen!AA42*1000</f>
        <v>0</v>
      </c>
      <c r="AB42" s="7">
        <f>+[6]Resumen!AB42*1000</f>
        <v>0</v>
      </c>
      <c r="AC42" s="7">
        <f>+[6]Resumen!AC42*1000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+[6]Resumen!E43</f>
        <v>22</v>
      </c>
      <c r="F43" s="7">
        <f>+[6]Resumen!F43*1000</f>
        <v>0</v>
      </c>
      <c r="G43" s="7">
        <f>+[6]Resumen!G43*1000</f>
        <v>0</v>
      </c>
      <c r="H43" s="7">
        <f>+[6]Resumen!H43*1000</f>
        <v>0</v>
      </c>
      <c r="I43" s="7">
        <f>+[6]Resumen!I43*1000</f>
        <v>0</v>
      </c>
      <c r="J43" s="7">
        <f>+[6]Resumen!J43*1000</f>
        <v>0</v>
      </c>
      <c r="K43" s="7">
        <f>+[6]Resumen!K43*1000</f>
        <v>0</v>
      </c>
      <c r="L43" s="7">
        <f>+[6]Resumen!L43*1000</f>
        <v>0</v>
      </c>
      <c r="M43" s="7">
        <f>+[6]Resumen!M43*1000</f>
        <v>135565.67101857011</v>
      </c>
      <c r="N43" s="7">
        <f>+[6]Resumen!N43*1000</f>
        <v>146305.25579458658</v>
      </c>
      <c r="O43" s="7">
        <f>+[6]Resumen!O43*1000</f>
        <v>153714.53812486737</v>
      </c>
      <c r="P43" s="7">
        <f>+[6]Resumen!P43*1000</f>
        <v>163629.1891780351</v>
      </c>
      <c r="Q43" s="7">
        <f>+[6]Resumen!Q43*1000</f>
        <v>172430.74278353507</v>
      </c>
      <c r="R43" s="7">
        <f>+[6]Resumen!R43*1000</f>
        <v>174226.39028910547</v>
      </c>
      <c r="S43" s="7">
        <f>+[6]Resumen!S43*1000</f>
        <v>171620.82077726346</v>
      </c>
      <c r="T43" s="7">
        <f>+[6]Resumen!T43*1000</f>
        <v>172582.6398442662</v>
      </c>
      <c r="U43" s="7">
        <f>+[6]Resumen!U43*1000</f>
        <v>172274.57048491162</v>
      </c>
      <c r="V43" s="7">
        <f>+[6]Resumen!V43*1000</f>
        <v>168038.76630813497</v>
      </c>
      <c r="W43" s="7">
        <f>+[6]Resumen!W43*1000</f>
        <v>0</v>
      </c>
      <c r="X43" s="7">
        <f>+[6]Resumen!X43*1000</f>
        <v>0</v>
      </c>
      <c r="Y43" s="7">
        <f>+[6]Resumen!Y43*1000</f>
        <v>0</v>
      </c>
      <c r="Z43" s="7">
        <f>+[6]Resumen!Z43*1000</f>
        <v>0</v>
      </c>
      <c r="AA43" s="7">
        <f>+[6]Resumen!AA43*1000</f>
        <v>0</v>
      </c>
      <c r="AB43" s="7">
        <f>+[6]Resumen!AB43*1000</f>
        <v>0</v>
      </c>
      <c r="AC43" s="7">
        <f>+[6]Resumen!AC43*1000</f>
        <v>0</v>
      </c>
      <c r="AD43" s="60">
        <f t="shared" ref="AD43" si="5">SUM(F43:AC43)*E43+SUM(F44:AC44)*E44+SUM(F45:AC45)*E45+SUM(F46:AC46)*E46</f>
        <v>48452949.936824791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+[6]Resumen!E44</f>
        <v>4</v>
      </c>
      <c r="F44" s="7">
        <f>+[6]Resumen!F44*1000</f>
        <v>0</v>
      </c>
      <c r="G44" s="7">
        <f>+[6]Resumen!G44*1000</f>
        <v>0</v>
      </c>
      <c r="H44" s="7">
        <f>+[6]Resumen!H44*1000</f>
        <v>0</v>
      </c>
      <c r="I44" s="7">
        <f>+[6]Resumen!I44*1000</f>
        <v>0</v>
      </c>
      <c r="J44" s="7">
        <f>+[6]Resumen!J44*1000</f>
        <v>0</v>
      </c>
      <c r="K44" s="7">
        <f>+[6]Resumen!K44*1000</f>
        <v>0</v>
      </c>
      <c r="L44" s="7">
        <f>+[6]Resumen!L44*1000</f>
        <v>0</v>
      </c>
      <c r="M44" s="7">
        <f>+[6]Resumen!M44*1000</f>
        <v>123540.01378021188</v>
      </c>
      <c r="N44" s="7">
        <f>+[6]Resumen!N44*1000</f>
        <v>138012.37935303996</v>
      </c>
      <c r="O44" s="7">
        <f>+[6]Resumen!O44*1000</f>
        <v>147964.81113557494</v>
      </c>
      <c r="P44" s="7">
        <f>+[6]Resumen!P44*1000</f>
        <v>157514.05705085598</v>
      </c>
      <c r="Q44" s="7">
        <f>+[6]Resumen!Q44*1000</f>
        <v>164097.60771963865</v>
      </c>
      <c r="R44" s="7">
        <f>+[6]Resumen!R44*1000</f>
        <v>164758.94815578955</v>
      </c>
      <c r="S44" s="7">
        <f>+[6]Resumen!S44*1000</f>
        <v>160324.01307477703</v>
      </c>
      <c r="T44" s="7">
        <f>+[6]Resumen!T44*1000</f>
        <v>155763.86032111279</v>
      </c>
      <c r="U44" s="7">
        <f>+[6]Resumen!U44*1000</f>
        <v>153910.03626666413</v>
      </c>
      <c r="V44" s="7">
        <f>+[6]Resumen!V44*1000</f>
        <v>151823.02376352265</v>
      </c>
      <c r="W44" s="7">
        <f>+[6]Resumen!W44*1000</f>
        <v>0</v>
      </c>
      <c r="X44" s="7">
        <f>+[6]Resumen!X44*1000</f>
        <v>0</v>
      </c>
      <c r="Y44" s="7">
        <f>+[6]Resumen!Y44*1000</f>
        <v>0</v>
      </c>
      <c r="Z44" s="7">
        <f>+[6]Resumen!Z44*1000</f>
        <v>0</v>
      </c>
      <c r="AA44" s="7">
        <f>+[6]Resumen!AA44*1000</f>
        <v>0</v>
      </c>
      <c r="AB44" s="7">
        <f>+[6]Resumen!AB44*1000</f>
        <v>0</v>
      </c>
      <c r="AC44" s="7">
        <f>+[6]Resumen!AC44*1000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+[6]Resumen!E45</f>
        <v>4</v>
      </c>
      <c r="F45" s="7">
        <f>+[6]Resumen!F45*1000</f>
        <v>0</v>
      </c>
      <c r="G45" s="7">
        <f>+[6]Resumen!G45*1000</f>
        <v>0</v>
      </c>
      <c r="H45" s="7">
        <f>+[6]Resumen!H45*1000</f>
        <v>0</v>
      </c>
      <c r="I45" s="7">
        <f>+[6]Resumen!I45*1000</f>
        <v>0</v>
      </c>
      <c r="J45" s="7">
        <f>+[6]Resumen!J45*1000</f>
        <v>0</v>
      </c>
      <c r="K45" s="7">
        <f>+[6]Resumen!K45*1000</f>
        <v>0</v>
      </c>
      <c r="L45" s="7">
        <f>+[6]Resumen!L45*1000</f>
        <v>0</v>
      </c>
      <c r="M45" s="7">
        <f>+[6]Resumen!M45*1000</f>
        <v>99956.248520288238</v>
      </c>
      <c r="N45" s="7">
        <f>+[6]Resumen!N45*1000</f>
        <v>111811.27855550525</v>
      </c>
      <c r="O45" s="7">
        <f>+[6]Resumen!O45*1000</f>
        <v>121604.52712976192</v>
      </c>
      <c r="P45" s="7">
        <f>+[6]Resumen!P45*1000</f>
        <v>130159.28291147498</v>
      </c>
      <c r="Q45" s="7">
        <f>+[6]Resumen!Q45*1000</f>
        <v>139115.75876459316</v>
      </c>
      <c r="R45" s="7">
        <f>+[6]Resumen!R45*1000</f>
        <v>143926.10415061194</v>
      </c>
      <c r="S45" s="7">
        <f>+[6]Resumen!S45*1000</f>
        <v>142848.93932390897</v>
      </c>
      <c r="T45" s="7">
        <f>+[6]Resumen!T45*1000</f>
        <v>139220.99624382955</v>
      </c>
      <c r="U45" s="7">
        <f>+[6]Resumen!U45*1000</f>
        <v>137019.48509677057</v>
      </c>
      <c r="V45" s="7">
        <f>+[6]Resumen!V45*1000</f>
        <v>134253.77738844577</v>
      </c>
      <c r="W45" s="7">
        <f>+[6]Resumen!W45*1000</f>
        <v>0</v>
      </c>
      <c r="X45" s="7">
        <f>+[6]Resumen!X45*1000</f>
        <v>0</v>
      </c>
      <c r="Y45" s="7">
        <f>+[6]Resumen!Y45*1000</f>
        <v>0</v>
      </c>
      <c r="Z45" s="7">
        <f>+[6]Resumen!Z45*1000</f>
        <v>0</v>
      </c>
      <c r="AA45" s="7">
        <f>+[6]Resumen!AA45*1000</f>
        <v>0</v>
      </c>
      <c r="AB45" s="7">
        <f>+[6]Resumen!AB45*1000</f>
        <v>0</v>
      </c>
      <c r="AC45" s="7">
        <f>+[6]Resumen!AC45*1000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+[6]Resumen!E46</f>
        <v>1</v>
      </c>
      <c r="F46" s="7">
        <f>+[6]Resumen!F46*1000</f>
        <v>0</v>
      </c>
      <c r="G46" s="7">
        <f>+[6]Resumen!G46*1000</f>
        <v>0</v>
      </c>
      <c r="H46" s="7">
        <f>+[6]Resumen!H46*1000</f>
        <v>0</v>
      </c>
      <c r="I46" s="7">
        <f>+[6]Resumen!I46*1000</f>
        <v>0</v>
      </c>
      <c r="J46" s="7">
        <f>+[6]Resumen!J46*1000</f>
        <v>0</v>
      </c>
      <c r="K46" s="7">
        <f>+[6]Resumen!K46*1000</f>
        <v>0</v>
      </c>
      <c r="L46" s="7">
        <f>+[6]Resumen!L46*1000</f>
        <v>0</v>
      </c>
      <c r="M46" s="7">
        <f>+[6]Resumen!M46*1000</f>
        <v>98579.672682437187</v>
      </c>
      <c r="N46" s="7">
        <f>+[6]Resumen!N46*1000</f>
        <v>110430.88117847691</v>
      </c>
      <c r="O46" s="7">
        <f>+[6]Resumen!O46*1000</f>
        <v>119296.94725127525</v>
      </c>
      <c r="P46" s="7">
        <f>+[6]Resumen!P46*1000</f>
        <v>128625.39259641693</v>
      </c>
      <c r="Q46" s="7">
        <f>+[6]Resumen!Q46*1000</f>
        <v>140094.59470613074</v>
      </c>
      <c r="R46" s="7">
        <f>+[6]Resumen!R46*1000</f>
        <v>147389.21341114302</v>
      </c>
      <c r="S46" s="7">
        <f>+[6]Resumen!S46*1000</f>
        <v>147181.2195183711</v>
      </c>
      <c r="T46" s="7">
        <f>+[6]Resumen!T46*1000</f>
        <v>142197.82931787605</v>
      </c>
      <c r="U46" s="7">
        <f>+[6]Resumen!U46*1000</f>
        <v>140699.74471505129</v>
      </c>
      <c r="V46" s="7">
        <f>+[6]Resumen!V46*1000</f>
        <v>139404.98535003848</v>
      </c>
      <c r="W46" s="7">
        <f>+[6]Resumen!W46*1000</f>
        <v>0</v>
      </c>
      <c r="X46" s="7">
        <f>+[6]Resumen!X46*1000</f>
        <v>0</v>
      </c>
      <c r="Y46" s="7">
        <f>+[6]Resumen!Y46*1000</f>
        <v>0</v>
      </c>
      <c r="Z46" s="7">
        <f>+[6]Resumen!Z46*1000</f>
        <v>0</v>
      </c>
      <c r="AA46" s="7">
        <f>+[6]Resumen!AA46*1000</f>
        <v>0</v>
      </c>
      <c r="AB46" s="7">
        <f>+[6]Resumen!AB46*1000</f>
        <v>0</v>
      </c>
      <c r="AC46" s="7">
        <f>+[6]Resumen!AC46*1000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+[6]Resumen!E47</f>
        <v>18</v>
      </c>
      <c r="F47" s="7">
        <f>+[6]Resumen!F47*1000</f>
        <v>0</v>
      </c>
      <c r="G47" s="7">
        <f>+[6]Resumen!G47*1000</f>
        <v>0</v>
      </c>
      <c r="H47" s="7">
        <f>+[6]Resumen!H47*1000</f>
        <v>0</v>
      </c>
      <c r="I47" s="7">
        <f>+[6]Resumen!I47*1000</f>
        <v>0</v>
      </c>
      <c r="J47" s="7">
        <f>+[6]Resumen!J47*1000</f>
        <v>0</v>
      </c>
      <c r="K47" s="7">
        <f>+[6]Resumen!K47*1000</f>
        <v>0</v>
      </c>
      <c r="L47" s="7">
        <f>+[6]Resumen!L47*1000</f>
        <v>0</v>
      </c>
      <c r="M47" s="7">
        <f>+[6]Resumen!M47*1000</f>
        <v>144717.94166264491</v>
      </c>
      <c r="N47" s="7">
        <f>+[6]Resumen!N47*1000</f>
        <v>155673.12057809101</v>
      </c>
      <c r="O47" s="7">
        <f>+[6]Resumen!O47*1000</f>
        <v>163053.35508609083</v>
      </c>
      <c r="P47" s="7">
        <f>+[6]Resumen!P47*1000</f>
        <v>173052.25132794582</v>
      </c>
      <c r="Q47" s="7">
        <f>+[6]Resumen!Q47*1000</f>
        <v>182213.64512345631</v>
      </c>
      <c r="R47" s="7">
        <f>+[6]Resumen!R47*1000</f>
        <v>184372.83855399693</v>
      </c>
      <c r="S47" s="7">
        <f>+[6]Resumen!S47*1000</f>
        <v>181280.60737039841</v>
      </c>
      <c r="T47" s="7">
        <f>+[6]Resumen!T47*1000</f>
        <v>181586.62398102105</v>
      </c>
      <c r="U47" s="7">
        <f>+[6]Resumen!U47*1000</f>
        <v>181267.47548940656</v>
      </c>
      <c r="V47" s="7">
        <f>+[6]Resumen!V47*1000</f>
        <v>177659.36189862384</v>
      </c>
      <c r="W47" s="7">
        <f>+[6]Resumen!W47*1000</f>
        <v>0</v>
      </c>
      <c r="X47" s="7">
        <f>+[6]Resumen!X47*1000</f>
        <v>0</v>
      </c>
      <c r="Y47" s="7">
        <f>+[6]Resumen!Y47*1000</f>
        <v>0</v>
      </c>
      <c r="Z47" s="7">
        <f>+[6]Resumen!Z47*1000</f>
        <v>0</v>
      </c>
      <c r="AA47" s="7">
        <f>+[6]Resumen!AA47*1000</f>
        <v>0</v>
      </c>
      <c r="AB47" s="7">
        <f>+[6]Resumen!AB47*1000</f>
        <v>0</v>
      </c>
      <c r="AC47" s="7">
        <f>+[6]Resumen!AC47*1000</f>
        <v>0</v>
      </c>
      <c r="AD47" s="60">
        <f t="shared" ref="AD47" si="6">SUM(F47:AC47)*E47+SUM(F48:AC48)*E48+SUM(F49:AC49)*E49+SUM(F50:AC50)*E50</f>
        <v>48480752.505250558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+[6]Resumen!E48</f>
        <v>5</v>
      </c>
      <c r="F48" s="7">
        <f>+[6]Resumen!F48*1000</f>
        <v>0</v>
      </c>
      <c r="G48" s="7">
        <f>+[6]Resumen!G48*1000</f>
        <v>0</v>
      </c>
      <c r="H48" s="7">
        <f>+[6]Resumen!H48*1000</f>
        <v>0</v>
      </c>
      <c r="I48" s="7">
        <f>+[6]Resumen!I48*1000</f>
        <v>0</v>
      </c>
      <c r="J48" s="7">
        <f>+[6]Resumen!J48*1000</f>
        <v>0</v>
      </c>
      <c r="K48" s="7">
        <f>+[6]Resumen!K48*1000</f>
        <v>0</v>
      </c>
      <c r="L48" s="7">
        <f>+[6]Resumen!L48*1000</f>
        <v>0</v>
      </c>
      <c r="M48" s="7">
        <f>+[6]Resumen!M48*1000</f>
        <v>131323.00742485598</v>
      </c>
      <c r="N48" s="7">
        <f>+[6]Resumen!N48*1000</f>
        <v>146741.87576715395</v>
      </c>
      <c r="O48" s="7">
        <f>+[6]Resumen!O48*1000</f>
        <v>156216.51997098245</v>
      </c>
      <c r="P48" s="7">
        <f>+[6]Resumen!P48*1000</f>
        <v>164910.46131760787</v>
      </c>
      <c r="Q48" s="7">
        <f>+[6]Resumen!Q48*1000</f>
        <v>171096.89711557975</v>
      </c>
      <c r="R48" s="7">
        <f>+[6]Resumen!R48*1000</f>
        <v>171768.81539450103</v>
      </c>
      <c r="S48" s="7">
        <f>+[6]Resumen!S48*1000</f>
        <v>167010.46768849567</v>
      </c>
      <c r="T48" s="7">
        <f>+[6]Resumen!T48*1000</f>
        <v>162214.96110590742</v>
      </c>
      <c r="U48" s="7">
        <f>+[6]Resumen!U48*1000</f>
        <v>159738.73380049094</v>
      </c>
      <c r="V48" s="7">
        <f>+[6]Resumen!V48*1000</f>
        <v>157455.35224438281</v>
      </c>
      <c r="W48" s="7">
        <f>+[6]Resumen!W48*1000</f>
        <v>0</v>
      </c>
      <c r="X48" s="7">
        <f>+[6]Resumen!X48*1000</f>
        <v>0</v>
      </c>
      <c r="Y48" s="7">
        <f>+[6]Resumen!Y48*1000</f>
        <v>0</v>
      </c>
      <c r="Z48" s="7">
        <f>+[6]Resumen!Z48*1000</f>
        <v>0</v>
      </c>
      <c r="AA48" s="7">
        <f>+[6]Resumen!AA48*1000</f>
        <v>0</v>
      </c>
      <c r="AB48" s="7">
        <f>+[6]Resumen!AB48*1000</f>
        <v>0</v>
      </c>
      <c r="AC48" s="7">
        <f>+[6]Resumen!AC48*1000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+[6]Resumen!E49</f>
        <v>5</v>
      </c>
      <c r="F49" s="7">
        <f>+[6]Resumen!F49*1000</f>
        <v>0</v>
      </c>
      <c r="G49" s="7">
        <f>+[6]Resumen!G49*1000</f>
        <v>0</v>
      </c>
      <c r="H49" s="7">
        <f>+[6]Resumen!H49*1000</f>
        <v>0</v>
      </c>
      <c r="I49" s="7">
        <f>+[6]Resumen!I49*1000</f>
        <v>0</v>
      </c>
      <c r="J49" s="7">
        <f>+[6]Resumen!J49*1000</f>
        <v>0</v>
      </c>
      <c r="K49" s="7">
        <f>+[6]Resumen!K49*1000</f>
        <v>0</v>
      </c>
      <c r="L49" s="7">
        <f>+[6]Resumen!L49*1000</f>
        <v>0</v>
      </c>
      <c r="M49" s="7">
        <f>+[6]Resumen!M49*1000</f>
        <v>103710.84968712192</v>
      </c>
      <c r="N49" s="7">
        <f>+[6]Resumen!N49*1000</f>
        <v>116364.58934218256</v>
      </c>
      <c r="O49" s="7">
        <f>+[6]Resumen!O49*1000</f>
        <v>127046.31166843123</v>
      </c>
      <c r="P49" s="7">
        <f>+[6]Resumen!P49*1000</f>
        <v>135324.76969172046</v>
      </c>
      <c r="Q49" s="7">
        <f>+[6]Resumen!Q49*1000</f>
        <v>143601.52872436674</v>
      </c>
      <c r="R49" s="7">
        <f>+[6]Resumen!R49*1000</f>
        <v>149094.85248525694</v>
      </c>
      <c r="S49" s="7">
        <f>+[6]Resumen!S49*1000</f>
        <v>149704.17937780297</v>
      </c>
      <c r="T49" s="7">
        <f>+[6]Resumen!T49*1000</f>
        <v>146273.05587668702</v>
      </c>
      <c r="U49" s="7">
        <f>+[6]Resumen!U49*1000</f>
        <v>143132.63903409749</v>
      </c>
      <c r="V49" s="7">
        <f>+[6]Resumen!V49*1000</f>
        <v>140184.49209244718</v>
      </c>
      <c r="W49" s="7">
        <f>+[6]Resumen!W49*1000</f>
        <v>0</v>
      </c>
      <c r="X49" s="7">
        <f>+[6]Resumen!X49*1000</f>
        <v>0</v>
      </c>
      <c r="Y49" s="7">
        <f>+[6]Resumen!Y49*1000</f>
        <v>0</v>
      </c>
      <c r="Z49" s="7">
        <f>+[6]Resumen!Z49*1000</f>
        <v>0</v>
      </c>
      <c r="AA49" s="7">
        <f>+[6]Resumen!AA49*1000</f>
        <v>0</v>
      </c>
      <c r="AB49" s="7">
        <f>+[6]Resumen!AB49*1000</f>
        <v>0</v>
      </c>
      <c r="AC49" s="7">
        <f>+[6]Resumen!AC49*1000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+[6]Resumen!E50</f>
        <v>2</v>
      </c>
      <c r="F50" s="7">
        <f>+[6]Resumen!F50*1000</f>
        <v>0</v>
      </c>
      <c r="G50" s="7">
        <f>+[6]Resumen!G50*1000</f>
        <v>0</v>
      </c>
      <c r="H50" s="7">
        <f>+[6]Resumen!H50*1000</f>
        <v>0</v>
      </c>
      <c r="I50" s="7">
        <f>+[6]Resumen!I50*1000</f>
        <v>0</v>
      </c>
      <c r="J50" s="7">
        <f>+[6]Resumen!J50*1000</f>
        <v>0</v>
      </c>
      <c r="K50" s="7">
        <f>+[6]Resumen!K50*1000</f>
        <v>0</v>
      </c>
      <c r="L50" s="7">
        <f>+[6]Resumen!L50*1000</f>
        <v>0</v>
      </c>
      <c r="M50" s="7">
        <f>+[6]Resumen!M50*1000</f>
        <v>101092.25933942814</v>
      </c>
      <c r="N50" s="7">
        <f>+[6]Resumen!N50*1000</f>
        <v>113964.19159019583</v>
      </c>
      <c r="O50" s="7">
        <f>+[6]Resumen!O50*1000</f>
        <v>124360.49300658505</v>
      </c>
      <c r="P50" s="7">
        <f>+[6]Resumen!P50*1000</f>
        <v>135272.32307206938</v>
      </c>
      <c r="Q50" s="7">
        <f>+[6]Resumen!Q50*1000</f>
        <v>145749.67950890784</v>
      </c>
      <c r="R50" s="7">
        <f>+[6]Resumen!R50*1000</f>
        <v>152600.27787594724</v>
      </c>
      <c r="S50" s="7">
        <f>+[6]Resumen!S50*1000</f>
        <v>152268.7256421879</v>
      </c>
      <c r="T50" s="7">
        <f>+[6]Resumen!T50*1000</f>
        <v>147436.62809959019</v>
      </c>
      <c r="U50" s="7">
        <f>+[6]Resumen!U50*1000</f>
        <v>143991.67947853662</v>
      </c>
      <c r="V50" s="7">
        <f>+[6]Resumen!V50*1000</f>
        <v>142459.10584156786</v>
      </c>
      <c r="W50" s="7">
        <f>+[6]Resumen!W50*1000</f>
        <v>0</v>
      </c>
      <c r="X50" s="7">
        <f>+[6]Resumen!X50*1000</f>
        <v>0</v>
      </c>
      <c r="Y50" s="7">
        <f>+[6]Resumen!Y50*1000</f>
        <v>0</v>
      </c>
      <c r="Z50" s="7">
        <f>+[6]Resumen!Z50*1000</f>
        <v>0</v>
      </c>
      <c r="AA50" s="7">
        <f>+[6]Resumen!AA50*1000</f>
        <v>0</v>
      </c>
      <c r="AB50" s="7">
        <f>+[6]Resumen!AB50*1000</f>
        <v>0</v>
      </c>
      <c r="AC50" s="7">
        <f>+[6]Resumen!AC50*1000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+[6]Resumen!E51</f>
        <v>21</v>
      </c>
      <c r="F51" s="7">
        <f>+[6]Resumen!F51*1000</f>
        <v>0</v>
      </c>
      <c r="G51" s="7">
        <f>+[6]Resumen!G51*1000</f>
        <v>0</v>
      </c>
      <c r="H51" s="7">
        <f>+[6]Resumen!H51*1000</f>
        <v>0</v>
      </c>
      <c r="I51" s="7">
        <f>+[6]Resumen!I51*1000</f>
        <v>0</v>
      </c>
      <c r="J51" s="7">
        <f>+[6]Resumen!J51*1000</f>
        <v>0</v>
      </c>
      <c r="K51" s="7">
        <f>+[6]Resumen!K51*1000</f>
        <v>0</v>
      </c>
      <c r="L51" s="7">
        <f>+[6]Resumen!L51*1000</f>
        <v>0</v>
      </c>
      <c r="M51" s="7">
        <f>+[6]Resumen!M51*1000</f>
        <v>131429.25382850776</v>
      </c>
      <c r="N51" s="7">
        <f>+[6]Resumen!N51*1000</f>
        <v>144737.81874271596</v>
      </c>
      <c r="O51" s="7">
        <f>+[6]Resumen!O51*1000</f>
        <v>152829.92557103123</v>
      </c>
      <c r="P51" s="7">
        <f>+[6]Resumen!P51*1000</f>
        <v>162028.76061505216</v>
      </c>
      <c r="Q51" s="7">
        <f>+[6]Resumen!Q51*1000</f>
        <v>170764.17732149057</v>
      </c>
      <c r="R51" s="7">
        <f>+[6]Resumen!R51*1000</f>
        <v>174296.8896758123</v>
      </c>
      <c r="S51" s="7">
        <f>+[6]Resumen!S51*1000</f>
        <v>171930.23536917198</v>
      </c>
      <c r="T51" s="7">
        <f>+[6]Resumen!T51*1000</f>
        <v>171986.16721986191</v>
      </c>
      <c r="U51" s="7">
        <f>+[6]Resumen!U51*1000</f>
        <v>171308.27629876445</v>
      </c>
      <c r="V51" s="7">
        <f>+[6]Resumen!V51*1000</f>
        <v>167379.31363936514</v>
      </c>
      <c r="W51" s="7">
        <f>+[6]Resumen!W51*1000</f>
        <v>0</v>
      </c>
      <c r="X51" s="7">
        <f>+[6]Resumen!X51*1000</f>
        <v>0</v>
      </c>
      <c r="Y51" s="7">
        <f>+[6]Resumen!Y51*1000</f>
        <v>0</v>
      </c>
      <c r="Z51" s="7">
        <f>+[6]Resumen!Z51*1000</f>
        <v>0</v>
      </c>
      <c r="AA51" s="7">
        <f>+[6]Resumen!AA51*1000</f>
        <v>0</v>
      </c>
      <c r="AB51" s="7">
        <f>+[6]Resumen!AB51*1000</f>
        <v>0</v>
      </c>
      <c r="AC51" s="7">
        <f>+[6]Resumen!AC51*1000</f>
        <v>0</v>
      </c>
      <c r="AD51" s="60">
        <f t="shared" ref="AD51" si="7">SUM(F51:AC51)*E51+SUM(F52:AC52)*E52+SUM(F53:AC53)*E53+SUM(F54:AC54)*E54</f>
        <v>47590078.455676228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+[6]Resumen!E52</f>
        <v>4</v>
      </c>
      <c r="F52" s="7">
        <f>+[6]Resumen!F52*1000</f>
        <v>0</v>
      </c>
      <c r="G52" s="7">
        <f>+[6]Resumen!G52*1000</f>
        <v>0</v>
      </c>
      <c r="H52" s="7">
        <f>+[6]Resumen!H52*1000</f>
        <v>0</v>
      </c>
      <c r="I52" s="7">
        <f>+[6]Resumen!I52*1000</f>
        <v>0</v>
      </c>
      <c r="J52" s="7">
        <f>+[6]Resumen!J52*1000</f>
        <v>0</v>
      </c>
      <c r="K52" s="7">
        <f>+[6]Resumen!K52*1000</f>
        <v>0</v>
      </c>
      <c r="L52" s="7">
        <f>+[6]Resumen!L52*1000</f>
        <v>0</v>
      </c>
      <c r="M52" s="7">
        <f>+[6]Resumen!M52*1000</f>
        <v>122655.50433972008</v>
      </c>
      <c r="N52" s="7">
        <f>+[6]Resumen!N52*1000</f>
        <v>137354.77003359515</v>
      </c>
      <c r="O52" s="7">
        <f>+[6]Resumen!O52*1000</f>
        <v>147210.77021650062</v>
      </c>
      <c r="P52" s="7">
        <f>+[6]Resumen!P52*1000</f>
        <v>155158.01390052811</v>
      </c>
      <c r="Q52" s="7">
        <f>+[6]Resumen!Q52*1000</f>
        <v>160869.07021297366</v>
      </c>
      <c r="R52" s="7">
        <f>+[6]Resumen!R52*1000</f>
        <v>161985.495842125</v>
      </c>
      <c r="S52" s="7">
        <f>+[6]Resumen!S52*1000</f>
        <v>158481.32843423568</v>
      </c>
      <c r="T52" s="7">
        <f>+[6]Resumen!T52*1000</f>
        <v>154539.99058715612</v>
      </c>
      <c r="U52" s="7">
        <f>+[6]Resumen!U52*1000</f>
        <v>151733.77678445514</v>
      </c>
      <c r="V52" s="7">
        <f>+[6]Resumen!V52*1000</f>
        <v>148888.40053357271</v>
      </c>
      <c r="W52" s="7">
        <f>+[6]Resumen!W52*1000</f>
        <v>0</v>
      </c>
      <c r="X52" s="7">
        <f>+[6]Resumen!X52*1000</f>
        <v>0</v>
      </c>
      <c r="Y52" s="7">
        <f>+[6]Resumen!Y52*1000</f>
        <v>0</v>
      </c>
      <c r="Z52" s="7">
        <f>+[6]Resumen!Z52*1000</f>
        <v>0</v>
      </c>
      <c r="AA52" s="7">
        <f>+[6]Resumen!AA52*1000</f>
        <v>0</v>
      </c>
      <c r="AB52" s="7">
        <f>+[6]Resumen!AB52*1000</f>
        <v>0</v>
      </c>
      <c r="AC52" s="7">
        <f>+[6]Resumen!AC52*1000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+[6]Resumen!E53</f>
        <v>4</v>
      </c>
      <c r="F53" s="7">
        <f>+[6]Resumen!F53*1000</f>
        <v>0</v>
      </c>
      <c r="G53" s="7">
        <f>+[6]Resumen!G53*1000</f>
        <v>0</v>
      </c>
      <c r="H53" s="7">
        <f>+[6]Resumen!H53*1000</f>
        <v>0</v>
      </c>
      <c r="I53" s="7">
        <f>+[6]Resumen!I53*1000</f>
        <v>0</v>
      </c>
      <c r="J53" s="7">
        <f>+[6]Resumen!J53*1000</f>
        <v>0</v>
      </c>
      <c r="K53" s="7">
        <f>+[6]Resumen!K53*1000</f>
        <v>0</v>
      </c>
      <c r="L53" s="7">
        <f>+[6]Resumen!L53*1000</f>
        <v>0</v>
      </c>
      <c r="M53" s="7">
        <f>+[6]Resumen!M53*1000</f>
        <v>100088.87131742296</v>
      </c>
      <c r="N53" s="7">
        <f>+[6]Resumen!N53*1000</f>
        <v>112293.4143446247</v>
      </c>
      <c r="O53" s="7">
        <f>+[6]Resumen!O53*1000</f>
        <v>122507.98721658481</v>
      </c>
      <c r="P53" s="7">
        <f>+[6]Resumen!P53*1000</f>
        <v>130878.50324734424</v>
      </c>
      <c r="Q53" s="7">
        <f>+[6]Resumen!Q53*1000</f>
        <v>138624.37926074315</v>
      </c>
      <c r="R53" s="7">
        <f>+[6]Resumen!R53*1000</f>
        <v>143368.77652443849</v>
      </c>
      <c r="S53" s="7">
        <f>+[6]Resumen!S53*1000</f>
        <v>143716.48741243596</v>
      </c>
      <c r="T53" s="7">
        <f>+[6]Resumen!T53*1000</f>
        <v>140725.07252514022</v>
      </c>
      <c r="U53" s="7">
        <f>+[6]Resumen!U53*1000</f>
        <v>139075.73333703756</v>
      </c>
      <c r="V53" s="7">
        <f>+[6]Resumen!V53*1000</f>
        <v>136910.66244586935</v>
      </c>
      <c r="W53" s="7">
        <f>+[6]Resumen!W53*1000</f>
        <v>0</v>
      </c>
      <c r="X53" s="7">
        <f>+[6]Resumen!X53*1000</f>
        <v>0</v>
      </c>
      <c r="Y53" s="7">
        <f>+[6]Resumen!Y53*1000</f>
        <v>0</v>
      </c>
      <c r="Z53" s="7">
        <f>+[6]Resumen!Z53*1000</f>
        <v>0</v>
      </c>
      <c r="AA53" s="7">
        <f>+[6]Resumen!AA53*1000</f>
        <v>0</v>
      </c>
      <c r="AB53" s="7">
        <f>+[6]Resumen!AB53*1000</f>
        <v>0</v>
      </c>
      <c r="AC53" s="7">
        <f>+[6]Resumen!AC53*1000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+[6]Resumen!E54</f>
        <v>2</v>
      </c>
      <c r="F54" s="7">
        <f>+[6]Resumen!F54*1000</f>
        <v>0</v>
      </c>
      <c r="G54" s="7">
        <f>+[6]Resumen!G54*1000</f>
        <v>0</v>
      </c>
      <c r="H54" s="7">
        <f>+[6]Resumen!H54*1000</f>
        <v>0</v>
      </c>
      <c r="I54" s="7">
        <f>+[6]Resumen!I54*1000</f>
        <v>0</v>
      </c>
      <c r="J54" s="7">
        <f>+[6]Resumen!J54*1000</f>
        <v>0</v>
      </c>
      <c r="K54" s="7">
        <f>+[6]Resumen!K54*1000</f>
        <v>0</v>
      </c>
      <c r="L54" s="7">
        <f>+[6]Resumen!L54*1000</f>
        <v>0</v>
      </c>
      <c r="M54" s="7">
        <f>+[6]Resumen!M54*1000</f>
        <v>89005.478096902589</v>
      </c>
      <c r="N54" s="7">
        <f>+[6]Resumen!N54*1000</f>
        <v>98178.552254788388</v>
      </c>
      <c r="O54" s="7">
        <f>+[6]Resumen!O54*1000</f>
        <v>107389.3849330134</v>
      </c>
      <c r="P54" s="7">
        <f>+[6]Resumen!P54*1000</f>
        <v>116243.18844963063</v>
      </c>
      <c r="Q54" s="7">
        <f>+[6]Resumen!Q54*1000</f>
        <v>124670.91176383152</v>
      </c>
      <c r="R54" s="7">
        <f>+[6]Resumen!R54*1000</f>
        <v>131024.68306972133</v>
      </c>
      <c r="S54" s="7">
        <f>+[6]Resumen!S54*1000</f>
        <v>131933.54629578782</v>
      </c>
      <c r="T54" s="7">
        <f>+[6]Resumen!T54*1000</f>
        <v>129506.45963756682</v>
      </c>
      <c r="U54" s="7">
        <f>+[6]Resumen!U54*1000</f>
        <v>128873.15016748579</v>
      </c>
      <c r="V54" s="7">
        <f>+[6]Resumen!V54*1000</f>
        <v>127826.26417775934</v>
      </c>
      <c r="W54" s="7">
        <f>+[6]Resumen!W54*1000</f>
        <v>0</v>
      </c>
      <c r="X54" s="7">
        <f>+[6]Resumen!X54*1000</f>
        <v>0</v>
      </c>
      <c r="Y54" s="7">
        <f>+[6]Resumen!Y54*1000</f>
        <v>0</v>
      </c>
      <c r="Z54" s="7">
        <f>+[6]Resumen!Z54*1000</f>
        <v>0</v>
      </c>
      <c r="AA54" s="7">
        <f>+[6]Resumen!AA54*1000</f>
        <v>0</v>
      </c>
      <c r="AB54" s="7">
        <f>+[6]Resumen!AB54*1000</f>
        <v>0</v>
      </c>
      <c r="AC54" s="7">
        <f>+[6]Resumen!AC54*1000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64" t="s">
        <v>46</v>
      </c>
      <c r="AA55" s="65"/>
      <c r="AB55" s="65"/>
      <c r="AC55" s="66"/>
      <c r="AD55" s="17">
        <f>SUM(AD7:AD54)</f>
        <v>571283248.30142891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15:AD18"/>
    <mergeCell ref="Z55:AC55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B5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DE3C-C4B4-49E8-A988-F82EE9BDFFD7}">
  <dimension ref="C1:BD57"/>
  <sheetViews>
    <sheetView showGridLines="0" topLeftCell="A45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2032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+[7]Resumen!E7</f>
        <v>20</v>
      </c>
      <c r="F7" s="7">
        <f>+[7]Resumen!F7*1000</f>
        <v>0</v>
      </c>
      <c r="G7" s="7">
        <f>+[7]Resumen!G7*1000</f>
        <v>0</v>
      </c>
      <c r="H7" s="7">
        <f>+[7]Resumen!H7*1000</f>
        <v>0</v>
      </c>
      <c r="I7" s="7">
        <f>+[7]Resumen!I7*1000</f>
        <v>0</v>
      </c>
      <c r="J7" s="7">
        <f>+[7]Resumen!J7*1000</f>
        <v>0</v>
      </c>
      <c r="K7" s="7">
        <f>+[7]Resumen!K7*1000</f>
        <v>0</v>
      </c>
      <c r="L7" s="7">
        <f>+[7]Resumen!L7*1000</f>
        <v>0</v>
      </c>
      <c r="M7" s="7">
        <f>+[7]Resumen!M7*1000</f>
        <v>132663.81404623811</v>
      </c>
      <c r="N7" s="7">
        <f>+[7]Resumen!N7*1000</f>
        <v>144719.4143239563</v>
      </c>
      <c r="O7" s="7">
        <f>+[7]Resumen!O7*1000</f>
        <v>152678.3625954185</v>
      </c>
      <c r="P7" s="7">
        <f>+[7]Resumen!P7*1000</f>
        <v>163142.25891690695</v>
      </c>
      <c r="Q7" s="7">
        <f>+[7]Resumen!Q7*1000</f>
        <v>172194.46464832334</v>
      </c>
      <c r="R7" s="7">
        <f>+[7]Resumen!R7*1000</f>
        <v>175289.52449888174</v>
      </c>
      <c r="S7" s="7">
        <f>+[7]Resumen!S7*1000</f>
        <v>173478.29119891865</v>
      </c>
      <c r="T7" s="7">
        <f>+[7]Resumen!T7*1000</f>
        <v>174739.50105044054</v>
      </c>
      <c r="U7" s="7">
        <f>+[7]Resumen!U7*1000</f>
        <v>174506.58415140409</v>
      </c>
      <c r="V7" s="7">
        <f>+[7]Resumen!V7*1000</f>
        <v>170217.41192149121</v>
      </c>
      <c r="W7" s="7">
        <f>+[7]Resumen!W7*1000</f>
        <v>0</v>
      </c>
      <c r="X7" s="7">
        <f>+[7]Resumen!X7*1000</f>
        <v>0</v>
      </c>
      <c r="Y7" s="7">
        <f>+[7]Resumen!Y7*1000</f>
        <v>0</v>
      </c>
      <c r="Z7" s="7">
        <f>+[7]Resumen!Z7*1000</f>
        <v>0</v>
      </c>
      <c r="AA7" s="7">
        <f>+[7]Resumen!AA7*1000</f>
        <v>0</v>
      </c>
      <c r="AB7" s="7">
        <f>+[7]Resumen!AB7*1000</f>
        <v>0</v>
      </c>
      <c r="AC7" s="7">
        <f>+[7]Resumen!AC7*1000</f>
        <v>0</v>
      </c>
      <c r="AD7" s="60">
        <f>SUM(F7:AC7)*E7+SUM(F8:AC8)*E8+SUM(F9:AC9)*E9+SUM(F10:AC10)*E10</f>
        <v>47486286.029937238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+[7]Resumen!E8</f>
        <v>5</v>
      </c>
      <c r="F8" s="7">
        <f>+[7]Resumen!F8*1000</f>
        <v>0</v>
      </c>
      <c r="G8" s="7">
        <f>+[7]Resumen!G8*1000</f>
        <v>0</v>
      </c>
      <c r="H8" s="7">
        <f>+[7]Resumen!H8*1000</f>
        <v>0</v>
      </c>
      <c r="I8" s="7">
        <f>+[7]Resumen!I8*1000</f>
        <v>0</v>
      </c>
      <c r="J8" s="7">
        <f>+[7]Resumen!J8*1000</f>
        <v>0</v>
      </c>
      <c r="K8" s="7">
        <f>+[7]Resumen!K8*1000</f>
        <v>0</v>
      </c>
      <c r="L8" s="7">
        <f>+[7]Resumen!L8*1000</f>
        <v>0</v>
      </c>
      <c r="M8" s="7">
        <f>+[7]Resumen!M8*1000</f>
        <v>119179.01990252898</v>
      </c>
      <c r="N8" s="7">
        <f>+[7]Resumen!N8*1000</f>
        <v>133211.13373661056</v>
      </c>
      <c r="O8" s="7">
        <f>+[7]Resumen!O8*1000</f>
        <v>143556.8647624783</v>
      </c>
      <c r="P8" s="7">
        <f>+[7]Resumen!P8*1000</f>
        <v>152489.42998992413</v>
      </c>
      <c r="Q8" s="7">
        <f>+[7]Resumen!Q8*1000</f>
        <v>159901.31945995041</v>
      </c>
      <c r="R8" s="7">
        <f>+[7]Resumen!R8*1000</f>
        <v>161520.29974977329</v>
      </c>
      <c r="S8" s="7">
        <f>+[7]Resumen!S8*1000</f>
        <v>158117.45103770439</v>
      </c>
      <c r="T8" s="7">
        <f>+[7]Resumen!T8*1000</f>
        <v>154037.67459277474</v>
      </c>
      <c r="U8" s="7">
        <f>+[7]Resumen!U8*1000</f>
        <v>151926.89968398359</v>
      </c>
      <c r="V8" s="7">
        <f>+[7]Resumen!V8*1000</f>
        <v>149644.86937157455</v>
      </c>
      <c r="W8" s="7">
        <f>+[7]Resumen!W8*1000</f>
        <v>0</v>
      </c>
      <c r="X8" s="7">
        <f>+[7]Resumen!X8*1000</f>
        <v>0</v>
      </c>
      <c r="Y8" s="7">
        <f>+[7]Resumen!Y8*1000</f>
        <v>0</v>
      </c>
      <c r="Z8" s="7">
        <f>+[7]Resumen!Z8*1000</f>
        <v>0</v>
      </c>
      <c r="AA8" s="7">
        <f>+[7]Resumen!AA8*1000</f>
        <v>0</v>
      </c>
      <c r="AB8" s="7">
        <f>+[7]Resumen!AB8*1000</f>
        <v>0</v>
      </c>
      <c r="AC8" s="7">
        <f>+[7]Resumen!AC8*1000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+[7]Resumen!E9</f>
        <v>4</v>
      </c>
      <c r="F9" s="7">
        <f>+[7]Resumen!F9*1000</f>
        <v>0</v>
      </c>
      <c r="G9" s="7">
        <f>+[7]Resumen!G9*1000</f>
        <v>0</v>
      </c>
      <c r="H9" s="7">
        <f>+[7]Resumen!H9*1000</f>
        <v>0</v>
      </c>
      <c r="I9" s="7">
        <f>+[7]Resumen!I9*1000</f>
        <v>0</v>
      </c>
      <c r="J9" s="7">
        <f>+[7]Resumen!J9*1000</f>
        <v>0</v>
      </c>
      <c r="K9" s="7">
        <f>+[7]Resumen!K9*1000</f>
        <v>0</v>
      </c>
      <c r="L9" s="7">
        <f>+[7]Resumen!L9*1000</f>
        <v>0</v>
      </c>
      <c r="M9" s="7">
        <f>+[7]Resumen!M9*1000</f>
        <v>96946.104266016162</v>
      </c>
      <c r="N9" s="7">
        <f>+[7]Resumen!N9*1000</f>
        <v>107963.87728648008</v>
      </c>
      <c r="O9" s="7">
        <f>+[7]Resumen!O9*1000</f>
        <v>118084.7916195022</v>
      </c>
      <c r="P9" s="7">
        <f>+[7]Resumen!P9*1000</f>
        <v>126062.80217592178</v>
      </c>
      <c r="Q9" s="7">
        <f>+[7]Resumen!Q9*1000</f>
        <v>135157.61028008952</v>
      </c>
      <c r="R9" s="7">
        <f>+[7]Resumen!R9*1000</f>
        <v>141051.55146794097</v>
      </c>
      <c r="S9" s="7">
        <f>+[7]Resumen!S9*1000</f>
        <v>142279.93991011113</v>
      </c>
      <c r="T9" s="7">
        <f>+[7]Resumen!T9*1000</f>
        <v>139571.65502300777</v>
      </c>
      <c r="U9" s="7">
        <f>+[7]Resumen!U9*1000</f>
        <v>137169.0276138612</v>
      </c>
      <c r="V9" s="7">
        <f>+[7]Resumen!V9*1000</f>
        <v>134902.04031564298</v>
      </c>
      <c r="W9" s="7">
        <f>+[7]Resumen!W9*1000</f>
        <v>0</v>
      </c>
      <c r="X9" s="7">
        <f>+[7]Resumen!X9*1000</f>
        <v>0</v>
      </c>
      <c r="Y9" s="7">
        <f>+[7]Resumen!Y9*1000</f>
        <v>0</v>
      </c>
      <c r="Z9" s="7">
        <f>+[7]Resumen!Z9*1000</f>
        <v>0</v>
      </c>
      <c r="AA9" s="7">
        <f>+[7]Resumen!AA9*1000</f>
        <v>0</v>
      </c>
      <c r="AB9" s="7">
        <f>+[7]Resumen!AB9*1000</f>
        <v>0</v>
      </c>
      <c r="AC9" s="7">
        <f>+[7]Resumen!AC9*1000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+[7]Resumen!E10</f>
        <v>2</v>
      </c>
      <c r="F10" s="7">
        <f>+[7]Resumen!F10*1000</f>
        <v>0</v>
      </c>
      <c r="G10" s="7">
        <f>+[7]Resumen!G10*1000</f>
        <v>0</v>
      </c>
      <c r="H10" s="7">
        <f>+[7]Resumen!H10*1000</f>
        <v>0</v>
      </c>
      <c r="I10" s="7">
        <f>+[7]Resumen!I10*1000</f>
        <v>0</v>
      </c>
      <c r="J10" s="7">
        <f>+[7]Resumen!J10*1000</f>
        <v>0</v>
      </c>
      <c r="K10" s="7">
        <f>+[7]Resumen!K10*1000</f>
        <v>0</v>
      </c>
      <c r="L10" s="7">
        <f>+[7]Resumen!L10*1000</f>
        <v>0</v>
      </c>
      <c r="M10" s="7">
        <f>+[7]Resumen!M10*1000</f>
        <v>85554.151683720454</v>
      </c>
      <c r="N10" s="7">
        <f>+[7]Resumen!N10*1000</f>
        <v>93495.381643534332</v>
      </c>
      <c r="O10" s="7">
        <f>+[7]Resumen!O10*1000</f>
        <v>101883.60131448339</v>
      </c>
      <c r="P10" s="7">
        <f>+[7]Resumen!P10*1000</f>
        <v>110830.70517084286</v>
      </c>
      <c r="Q10" s="7">
        <f>+[7]Resumen!Q10*1000</f>
        <v>120351.57020657128</v>
      </c>
      <c r="R10" s="7">
        <f>+[7]Resumen!R10*1000</f>
        <v>127305.84783288573</v>
      </c>
      <c r="S10" s="7">
        <f>+[7]Resumen!S10*1000</f>
        <v>128295.4470032314</v>
      </c>
      <c r="T10" s="7">
        <f>+[7]Resumen!T10*1000</f>
        <v>126008.99264691804</v>
      </c>
      <c r="U10" s="7">
        <f>+[7]Resumen!U10*1000</f>
        <v>123707.13635648311</v>
      </c>
      <c r="V10" s="7">
        <f>+[7]Resumen!V10*1000</f>
        <v>122072.70195475138</v>
      </c>
      <c r="W10" s="7">
        <f>+[7]Resumen!W10*1000</f>
        <v>0</v>
      </c>
      <c r="X10" s="7">
        <f>+[7]Resumen!X10*1000</f>
        <v>0</v>
      </c>
      <c r="Y10" s="7">
        <f>+[7]Resumen!Y10*1000</f>
        <v>0</v>
      </c>
      <c r="Z10" s="7">
        <f>+[7]Resumen!Z10*1000</f>
        <v>0</v>
      </c>
      <c r="AA10" s="7">
        <f>+[7]Resumen!AA10*1000</f>
        <v>0</v>
      </c>
      <c r="AB10" s="7">
        <f>+[7]Resumen!AB10*1000</f>
        <v>0</v>
      </c>
      <c r="AC10" s="7">
        <f>+[7]Resumen!AC10*1000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+[7]Resumen!E11</f>
        <v>20</v>
      </c>
      <c r="F11" s="7">
        <f>+[7]Resumen!F11*1000</f>
        <v>0</v>
      </c>
      <c r="G11" s="7">
        <f>+[7]Resumen!G11*1000</f>
        <v>0</v>
      </c>
      <c r="H11" s="7">
        <f>+[7]Resumen!H11*1000</f>
        <v>0</v>
      </c>
      <c r="I11" s="7">
        <f>+[7]Resumen!I11*1000</f>
        <v>0</v>
      </c>
      <c r="J11" s="7">
        <f>+[7]Resumen!J11*1000</f>
        <v>0</v>
      </c>
      <c r="K11" s="7">
        <f>+[7]Resumen!K11*1000</f>
        <v>0</v>
      </c>
      <c r="L11" s="7">
        <f>+[7]Resumen!L11*1000</f>
        <v>0</v>
      </c>
      <c r="M11" s="7">
        <f>+[7]Resumen!M11*1000</f>
        <v>146688.96926086905</v>
      </c>
      <c r="N11" s="7">
        <f>+[7]Resumen!N11*1000</f>
        <v>156909.7740147991</v>
      </c>
      <c r="O11" s="7">
        <f>+[7]Resumen!O11*1000</f>
        <v>163707.71276008096</v>
      </c>
      <c r="P11" s="7">
        <f>+[7]Resumen!P11*1000</f>
        <v>174162.8479567396</v>
      </c>
      <c r="Q11" s="7">
        <f>+[7]Resumen!Q11*1000</f>
        <v>182632.31002364741</v>
      </c>
      <c r="R11" s="7">
        <f>+[7]Resumen!R11*1000</f>
        <v>183123.35834214298</v>
      </c>
      <c r="S11" s="7">
        <f>+[7]Resumen!S11*1000</f>
        <v>180689.29460672551</v>
      </c>
      <c r="T11" s="7">
        <f>+[7]Resumen!T11*1000</f>
        <v>182197.81610199617</v>
      </c>
      <c r="U11" s="7">
        <f>+[7]Resumen!U11*1000</f>
        <v>182420.98366053437</v>
      </c>
      <c r="V11" s="7">
        <f>+[7]Resumen!V11*1000</f>
        <v>178395.1606288098</v>
      </c>
      <c r="W11" s="7">
        <f>+[7]Resumen!W11*1000</f>
        <v>0</v>
      </c>
      <c r="X11" s="7">
        <f>+[7]Resumen!X11*1000</f>
        <v>0</v>
      </c>
      <c r="Y11" s="7">
        <f>+[7]Resumen!Y11*1000</f>
        <v>0</v>
      </c>
      <c r="Z11" s="7">
        <f>+[7]Resumen!Z11*1000</f>
        <v>0</v>
      </c>
      <c r="AA11" s="7">
        <f>+[7]Resumen!AA11*1000</f>
        <v>0</v>
      </c>
      <c r="AB11" s="7">
        <f>+[7]Resumen!AB11*1000</f>
        <v>0</v>
      </c>
      <c r="AC11" s="7">
        <f>+[7]Resumen!AC11*1000</f>
        <v>0</v>
      </c>
      <c r="AD11" s="60">
        <f>SUM(F11:AC11)*E11+SUM(F12:AC12)*E12+SUM(F13:AC13)*E13+SUM(F14:AC14)*E14</f>
        <v>48065285.549245864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+[7]Resumen!E12</f>
        <v>4</v>
      </c>
      <c r="F12" s="7">
        <f>+[7]Resumen!F12*1000</f>
        <v>0</v>
      </c>
      <c r="G12" s="7">
        <f>+[7]Resumen!G12*1000</f>
        <v>0</v>
      </c>
      <c r="H12" s="7">
        <f>+[7]Resumen!H12*1000</f>
        <v>0</v>
      </c>
      <c r="I12" s="7">
        <f>+[7]Resumen!I12*1000</f>
        <v>0</v>
      </c>
      <c r="J12" s="7">
        <f>+[7]Resumen!J12*1000</f>
        <v>0</v>
      </c>
      <c r="K12" s="7">
        <f>+[7]Resumen!K12*1000</f>
        <v>0</v>
      </c>
      <c r="L12" s="7">
        <f>+[7]Resumen!L12*1000</f>
        <v>0</v>
      </c>
      <c r="M12" s="7">
        <f>+[7]Resumen!M12*1000</f>
        <v>134027.43150161853</v>
      </c>
      <c r="N12" s="7">
        <f>+[7]Resumen!N12*1000</f>
        <v>149852.82947683471</v>
      </c>
      <c r="O12" s="7">
        <f>+[7]Resumen!O12*1000</f>
        <v>159878.83399591767</v>
      </c>
      <c r="P12" s="7">
        <f>+[7]Resumen!P12*1000</f>
        <v>169213.91448598501</v>
      </c>
      <c r="Q12" s="7">
        <f>+[7]Resumen!Q12*1000</f>
        <v>174878.53904212316</v>
      </c>
      <c r="R12" s="7">
        <f>+[7]Resumen!R12*1000</f>
        <v>175001.97903769559</v>
      </c>
      <c r="S12" s="7">
        <f>+[7]Resumen!S12*1000</f>
        <v>170085.67091430412</v>
      </c>
      <c r="T12" s="7">
        <f>+[7]Resumen!T12*1000</f>
        <v>165323.49913686351</v>
      </c>
      <c r="U12" s="7">
        <f>+[7]Resumen!U12*1000</f>
        <v>163488.80954979509</v>
      </c>
      <c r="V12" s="7">
        <f>+[7]Resumen!V12*1000</f>
        <v>161249.16657440804</v>
      </c>
      <c r="W12" s="7">
        <f>+[7]Resumen!W12*1000</f>
        <v>0</v>
      </c>
      <c r="X12" s="7">
        <f>+[7]Resumen!X12*1000</f>
        <v>0</v>
      </c>
      <c r="Y12" s="7">
        <f>+[7]Resumen!Y12*1000</f>
        <v>0</v>
      </c>
      <c r="Z12" s="7">
        <f>+[7]Resumen!Z12*1000</f>
        <v>0</v>
      </c>
      <c r="AA12" s="7">
        <f>+[7]Resumen!AA12*1000</f>
        <v>0</v>
      </c>
      <c r="AB12" s="7">
        <f>+[7]Resumen!AB12*1000</f>
        <v>0</v>
      </c>
      <c r="AC12" s="7">
        <f>+[7]Resumen!AC12*1000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+[7]Resumen!E13</f>
        <v>5</v>
      </c>
      <c r="F13" s="7">
        <f>+[7]Resumen!F13*1000</f>
        <v>0</v>
      </c>
      <c r="G13" s="7">
        <f>+[7]Resumen!G13*1000</f>
        <v>0</v>
      </c>
      <c r="H13" s="7">
        <f>+[7]Resumen!H13*1000</f>
        <v>0</v>
      </c>
      <c r="I13" s="7">
        <f>+[7]Resumen!I13*1000</f>
        <v>0</v>
      </c>
      <c r="J13" s="7">
        <f>+[7]Resumen!J13*1000</f>
        <v>0</v>
      </c>
      <c r="K13" s="7">
        <f>+[7]Resumen!K13*1000</f>
        <v>0</v>
      </c>
      <c r="L13" s="7">
        <f>+[7]Resumen!L13*1000</f>
        <v>0</v>
      </c>
      <c r="M13" s="7">
        <f>+[7]Resumen!M13*1000</f>
        <v>106604.37397057042</v>
      </c>
      <c r="N13" s="7">
        <f>+[7]Resumen!N13*1000</f>
        <v>118858.60243534883</v>
      </c>
      <c r="O13" s="7">
        <f>+[7]Resumen!O13*1000</f>
        <v>129255.23526443758</v>
      </c>
      <c r="P13" s="7">
        <f>+[7]Resumen!P13*1000</f>
        <v>138044.06491819947</v>
      </c>
      <c r="Q13" s="7">
        <f>+[7]Resumen!Q13*1000</f>
        <v>147518.55813133085</v>
      </c>
      <c r="R13" s="7">
        <f>+[7]Resumen!R13*1000</f>
        <v>153304.03592970778</v>
      </c>
      <c r="S13" s="7">
        <f>+[7]Resumen!S13*1000</f>
        <v>153600.28085106611</v>
      </c>
      <c r="T13" s="7">
        <f>+[7]Resumen!T13*1000</f>
        <v>150470.47375646132</v>
      </c>
      <c r="U13" s="7">
        <f>+[7]Resumen!U13*1000</f>
        <v>147948.84304480723</v>
      </c>
      <c r="V13" s="7">
        <f>+[7]Resumen!V13*1000</f>
        <v>145339.19314942666</v>
      </c>
      <c r="W13" s="7">
        <f>+[7]Resumen!W13*1000</f>
        <v>0</v>
      </c>
      <c r="X13" s="7">
        <f>+[7]Resumen!X13*1000</f>
        <v>0</v>
      </c>
      <c r="Y13" s="7">
        <f>+[7]Resumen!Y13*1000</f>
        <v>0</v>
      </c>
      <c r="Z13" s="7">
        <f>+[7]Resumen!Z13*1000</f>
        <v>0</v>
      </c>
      <c r="AA13" s="7">
        <f>+[7]Resumen!AA13*1000</f>
        <v>0</v>
      </c>
      <c r="AB13" s="7">
        <f>+[7]Resumen!AB13*1000</f>
        <v>0</v>
      </c>
      <c r="AC13" s="7">
        <f>+[7]Resumen!AC13*1000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+[7]Resumen!E14</f>
        <v>0</v>
      </c>
      <c r="F14" s="7">
        <f>+[7]Resumen!F14*1000</f>
        <v>0</v>
      </c>
      <c r="G14" s="7">
        <f>+[7]Resumen!G14*1000</f>
        <v>0</v>
      </c>
      <c r="H14" s="7">
        <f>+[7]Resumen!H14*1000</f>
        <v>0</v>
      </c>
      <c r="I14" s="7">
        <f>+[7]Resumen!I14*1000</f>
        <v>0</v>
      </c>
      <c r="J14" s="7">
        <f>+[7]Resumen!J14*1000</f>
        <v>0</v>
      </c>
      <c r="K14" s="7">
        <f>+[7]Resumen!K14*1000</f>
        <v>0</v>
      </c>
      <c r="L14" s="7">
        <f>+[7]Resumen!L14*1000</f>
        <v>0</v>
      </c>
      <c r="M14" s="7">
        <f>+[7]Resumen!M14*1000</f>
        <v>0</v>
      </c>
      <c r="N14" s="7">
        <f>+[7]Resumen!N14*1000</f>
        <v>0</v>
      </c>
      <c r="O14" s="7">
        <f>+[7]Resumen!O14*1000</f>
        <v>0</v>
      </c>
      <c r="P14" s="7">
        <f>+[7]Resumen!P14*1000</f>
        <v>0</v>
      </c>
      <c r="Q14" s="7">
        <f>+[7]Resumen!Q14*1000</f>
        <v>0</v>
      </c>
      <c r="R14" s="7">
        <f>+[7]Resumen!R14*1000</f>
        <v>0</v>
      </c>
      <c r="S14" s="7">
        <f>+[7]Resumen!S14*1000</f>
        <v>0</v>
      </c>
      <c r="T14" s="7">
        <f>+[7]Resumen!T14*1000</f>
        <v>0</v>
      </c>
      <c r="U14" s="7">
        <f>+[7]Resumen!U14*1000</f>
        <v>0</v>
      </c>
      <c r="V14" s="7">
        <f>+[7]Resumen!V14*1000</f>
        <v>0</v>
      </c>
      <c r="W14" s="7">
        <f>+[7]Resumen!W14*1000</f>
        <v>0</v>
      </c>
      <c r="X14" s="7">
        <f>+[7]Resumen!X14*1000</f>
        <v>0</v>
      </c>
      <c r="Y14" s="7">
        <f>+[7]Resumen!Y14*1000</f>
        <v>0</v>
      </c>
      <c r="Z14" s="7">
        <f>+[7]Resumen!Z14*1000</f>
        <v>0</v>
      </c>
      <c r="AA14" s="7">
        <f>+[7]Resumen!AA14*1000</f>
        <v>0</v>
      </c>
      <c r="AB14" s="7">
        <f>+[7]Resumen!AB14*1000</f>
        <v>0</v>
      </c>
      <c r="AC14" s="7">
        <f>+[7]Resumen!AC14*1000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+[7]Resumen!E15</f>
        <v>20</v>
      </c>
      <c r="F15" s="7">
        <f>+[7]Resumen!F15*1000</f>
        <v>0</v>
      </c>
      <c r="G15" s="7">
        <f>+[7]Resumen!G15*1000</f>
        <v>0</v>
      </c>
      <c r="H15" s="7">
        <f>+[7]Resumen!H15*1000</f>
        <v>0</v>
      </c>
      <c r="I15" s="7">
        <f>+[7]Resumen!I15*1000</f>
        <v>0</v>
      </c>
      <c r="J15" s="7">
        <f>+[7]Resumen!J15*1000</f>
        <v>0</v>
      </c>
      <c r="K15" s="7">
        <f>+[7]Resumen!K15*1000</f>
        <v>0</v>
      </c>
      <c r="L15" s="7">
        <f>+[7]Resumen!L15*1000</f>
        <v>0</v>
      </c>
      <c r="M15" s="7">
        <f>+[7]Resumen!M15*1000</f>
        <v>138185.08092236394</v>
      </c>
      <c r="N15" s="7">
        <f>+[7]Resumen!N15*1000</f>
        <v>147772.67660460368</v>
      </c>
      <c r="O15" s="7">
        <f>+[7]Resumen!O15*1000</f>
        <v>154174.25548501941</v>
      </c>
      <c r="P15" s="7">
        <f>+[7]Resumen!P15*1000</f>
        <v>164092.11442478682</v>
      </c>
      <c r="Q15" s="7">
        <f>+[7]Resumen!Q15*1000</f>
        <v>172130.46463934693</v>
      </c>
      <c r="R15" s="7">
        <f>+[7]Resumen!R15*1000</f>
        <v>172969.00595319204</v>
      </c>
      <c r="S15" s="7">
        <f>+[7]Resumen!S15*1000</f>
        <v>170623.77094777653</v>
      </c>
      <c r="T15" s="7">
        <f>+[7]Resumen!T15*1000</f>
        <v>171930.22052202572</v>
      </c>
      <c r="U15" s="7">
        <f>+[7]Resumen!U15*1000</f>
        <v>171593.04924168959</v>
      </c>
      <c r="V15" s="7">
        <f>+[7]Resumen!V15*1000</f>
        <v>167886.67127292746</v>
      </c>
      <c r="W15" s="7">
        <f>+[7]Resumen!W15*1000</f>
        <v>0</v>
      </c>
      <c r="X15" s="7">
        <f>+[7]Resumen!X15*1000</f>
        <v>0</v>
      </c>
      <c r="Y15" s="7">
        <f>+[7]Resumen!Y15*1000</f>
        <v>0</v>
      </c>
      <c r="Z15" s="7">
        <f>+[7]Resumen!Z15*1000</f>
        <v>0</v>
      </c>
      <c r="AA15" s="7">
        <f>+[7]Resumen!AA15*1000</f>
        <v>0</v>
      </c>
      <c r="AB15" s="7">
        <f>+[7]Resumen!AB15*1000</f>
        <v>0</v>
      </c>
      <c r="AC15" s="7">
        <f>+[7]Resumen!AC15*1000</f>
        <v>0</v>
      </c>
      <c r="AD15" s="60">
        <f t="shared" ref="AD15" si="0">SUM(F15:AC15)*E15+SUM(F16:AC16)*E16+SUM(F17:AC17)*E17+SUM(F18:AC18)*E18</f>
        <v>48015032.632149927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+[7]Resumen!E16</f>
        <v>4</v>
      </c>
      <c r="F16" s="7">
        <f>+[7]Resumen!F16*1000</f>
        <v>0</v>
      </c>
      <c r="G16" s="7">
        <f>+[7]Resumen!G16*1000</f>
        <v>0</v>
      </c>
      <c r="H16" s="7">
        <f>+[7]Resumen!H16*1000</f>
        <v>0</v>
      </c>
      <c r="I16" s="7">
        <f>+[7]Resumen!I16*1000</f>
        <v>0</v>
      </c>
      <c r="J16" s="7">
        <f>+[7]Resumen!J16*1000</f>
        <v>0</v>
      </c>
      <c r="K16" s="7">
        <f>+[7]Resumen!K16*1000</f>
        <v>0</v>
      </c>
      <c r="L16" s="7">
        <f>+[7]Resumen!L16*1000</f>
        <v>0</v>
      </c>
      <c r="M16" s="7">
        <f>+[7]Resumen!M16*1000</f>
        <v>126207.7141215374</v>
      </c>
      <c r="N16" s="7">
        <f>+[7]Resumen!N16*1000</f>
        <v>140367.22555730026</v>
      </c>
      <c r="O16" s="7">
        <f>+[7]Resumen!O16*1000</f>
        <v>149477.86566704846</v>
      </c>
      <c r="P16" s="7">
        <f>+[7]Resumen!P16*1000</f>
        <v>158128.4099541808</v>
      </c>
      <c r="Q16" s="7">
        <f>+[7]Resumen!Q16*1000</f>
        <v>164650.5969993496</v>
      </c>
      <c r="R16" s="7">
        <f>+[7]Resumen!R16*1000</f>
        <v>165140.28869537555</v>
      </c>
      <c r="S16" s="7">
        <f>+[7]Resumen!S16*1000</f>
        <v>161259.05505567242</v>
      </c>
      <c r="T16" s="7">
        <f>+[7]Resumen!T16*1000</f>
        <v>157295.83904411801</v>
      </c>
      <c r="U16" s="7">
        <f>+[7]Resumen!U16*1000</f>
        <v>154712.78084651552</v>
      </c>
      <c r="V16" s="7">
        <f>+[7]Resumen!V16*1000</f>
        <v>152279.37802973707</v>
      </c>
      <c r="W16" s="7">
        <f>+[7]Resumen!W16*1000</f>
        <v>0</v>
      </c>
      <c r="X16" s="7">
        <f>+[7]Resumen!X16*1000</f>
        <v>0</v>
      </c>
      <c r="Y16" s="7">
        <f>+[7]Resumen!Y16*1000</f>
        <v>0</v>
      </c>
      <c r="Z16" s="7">
        <f>+[7]Resumen!Z16*1000</f>
        <v>0</v>
      </c>
      <c r="AA16" s="7">
        <f>+[7]Resumen!AA16*1000</f>
        <v>0</v>
      </c>
      <c r="AB16" s="7">
        <f>+[7]Resumen!AB16*1000</f>
        <v>0</v>
      </c>
      <c r="AC16" s="7">
        <f>+[7]Resumen!AC16*1000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+[7]Resumen!E17</f>
        <v>4</v>
      </c>
      <c r="F17" s="7">
        <f>+[7]Resumen!F17*1000</f>
        <v>0</v>
      </c>
      <c r="G17" s="7">
        <f>+[7]Resumen!G17*1000</f>
        <v>0</v>
      </c>
      <c r="H17" s="7">
        <f>+[7]Resumen!H17*1000</f>
        <v>0</v>
      </c>
      <c r="I17" s="7">
        <f>+[7]Resumen!I17*1000</f>
        <v>0</v>
      </c>
      <c r="J17" s="7">
        <f>+[7]Resumen!J17*1000</f>
        <v>0</v>
      </c>
      <c r="K17" s="7">
        <f>+[7]Resumen!K17*1000</f>
        <v>0</v>
      </c>
      <c r="L17" s="7">
        <f>+[7]Resumen!L17*1000</f>
        <v>0</v>
      </c>
      <c r="M17" s="7">
        <f>+[7]Resumen!M17*1000</f>
        <v>99426.161930359071</v>
      </c>
      <c r="N17" s="7">
        <f>+[7]Resumen!N17*1000</f>
        <v>111239.42010328171</v>
      </c>
      <c r="O17" s="7">
        <f>+[7]Resumen!O17*1000</f>
        <v>120353.39010454621</v>
      </c>
      <c r="P17" s="7">
        <f>+[7]Resumen!P17*1000</f>
        <v>128302.5605748989</v>
      </c>
      <c r="Q17" s="7">
        <f>+[7]Resumen!Q17*1000</f>
        <v>136632.00750247118</v>
      </c>
      <c r="R17" s="7">
        <f>+[7]Resumen!R17*1000</f>
        <v>141949.6387051018</v>
      </c>
      <c r="S17" s="7">
        <f>+[7]Resumen!S17*1000</f>
        <v>142284.62642409699</v>
      </c>
      <c r="T17" s="7">
        <f>+[7]Resumen!T17*1000</f>
        <v>139605.11995840279</v>
      </c>
      <c r="U17" s="7">
        <f>+[7]Resumen!U17*1000</f>
        <v>137680.19758451064</v>
      </c>
      <c r="V17" s="7">
        <f>+[7]Resumen!V17*1000</f>
        <v>135536.20439895525</v>
      </c>
      <c r="W17" s="7">
        <f>+[7]Resumen!W17*1000</f>
        <v>0</v>
      </c>
      <c r="X17" s="7">
        <f>+[7]Resumen!X17*1000</f>
        <v>0</v>
      </c>
      <c r="Y17" s="7">
        <f>+[7]Resumen!Y17*1000</f>
        <v>0</v>
      </c>
      <c r="Z17" s="7">
        <f>+[7]Resumen!Z17*1000</f>
        <v>0</v>
      </c>
      <c r="AA17" s="7">
        <f>+[7]Resumen!AA17*1000</f>
        <v>0</v>
      </c>
      <c r="AB17" s="7">
        <f>+[7]Resumen!AB17*1000</f>
        <v>0</v>
      </c>
      <c r="AC17" s="7">
        <f>+[7]Resumen!AC17*1000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+[7]Resumen!E18</f>
        <v>3</v>
      </c>
      <c r="F18" s="7">
        <f>+[7]Resumen!F18*1000</f>
        <v>0</v>
      </c>
      <c r="G18" s="7">
        <f>+[7]Resumen!G18*1000</f>
        <v>0</v>
      </c>
      <c r="H18" s="7">
        <f>+[7]Resumen!H18*1000</f>
        <v>0</v>
      </c>
      <c r="I18" s="7">
        <f>+[7]Resumen!I18*1000</f>
        <v>0</v>
      </c>
      <c r="J18" s="7">
        <f>+[7]Resumen!J18*1000</f>
        <v>0</v>
      </c>
      <c r="K18" s="7">
        <f>+[7]Resumen!K18*1000</f>
        <v>0</v>
      </c>
      <c r="L18" s="7">
        <f>+[7]Resumen!L18*1000</f>
        <v>0</v>
      </c>
      <c r="M18" s="7">
        <f>+[7]Resumen!M18*1000</f>
        <v>104196.57305475661</v>
      </c>
      <c r="N18" s="7">
        <f>+[7]Resumen!N18*1000</f>
        <v>115749.16997610904</v>
      </c>
      <c r="O18" s="7">
        <f>+[7]Resumen!O18*1000</f>
        <v>126124.66447676423</v>
      </c>
      <c r="P18" s="7">
        <f>+[7]Resumen!P18*1000</f>
        <v>135809.9812488766</v>
      </c>
      <c r="Q18" s="7">
        <f>+[7]Resumen!Q18*1000</f>
        <v>146722.00412480519</v>
      </c>
      <c r="R18" s="7">
        <f>+[7]Resumen!R18*1000</f>
        <v>152374.51394742116</v>
      </c>
      <c r="S18" s="7">
        <f>+[7]Resumen!S18*1000</f>
        <v>150584.45376108319</v>
      </c>
      <c r="T18" s="7">
        <f>+[7]Resumen!T18*1000</f>
        <v>146798.51099128096</v>
      </c>
      <c r="U18" s="7">
        <f>+[7]Resumen!U18*1000</f>
        <v>144479.40282699314</v>
      </c>
      <c r="V18" s="7">
        <f>+[7]Resumen!V18*1000</f>
        <v>143084.89454039081</v>
      </c>
      <c r="W18" s="7">
        <f>+[7]Resumen!W18*1000</f>
        <v>0</v>
      </c>
      <c r="X18" s="7">
        <f>+[7]Resumen!X18*1000</f>
        <v>0</v>
      </c>
      <c r="Y18" s="7">
        <f>+[7]Resumen!Y18*1000</f>
        <v>0</v>
      </c>
      <c r="Z18" s="7">
        <f>+[7]Resumen!Z18*1000</f>
        <v>0</v>
      </c>
      <c r="AA18" s="7">
        <f>+[7]Resumen!AA18*1000</f>
        <v>0</v>
      </c>
      <c r="AB18" s="7">
        <f>+[7]Resumen!AB18*1000</f>
        <v>0</v>
      </c>
      <c r="AC18" s="7">
        <f>+[7]Resumen!AC18*1000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+[7]Resumen!E19</f>
        <v>22</v>
      </c>
      <c r="F19" s="7">
        <f>+[7]Resumen!F19*1000</f>
        <v>0</v>
      </c>
      <c r="G19" s="7">
        <f>+[7]Resumen!G19*1000</f>
        <v>0</v>
      </c>
      <c r="H19" s="7">
        <f>+[7]Resumen!H19*1000</f>
        <v>0</v>
      </c>
      <c r="I19" s="7">
        <f>+[7]Resumen!I19*1000</f>
        <v>0</v>
      </c>
      <c r="J19" s="7">
        <f>+[7]Resumen!J19*1000</f>
        <v>0</v>
      </c>
      <c r="K19" s="7">
        <f>+[7]Resumen!K19*1000</f>
        <v>0</v>
      </c>
      <c r="L19" s="7">
        <f>+[7]Resumen!L19*1000</f>
        <v>0</v>
      </c>
      <c r="M19" s="7">
        <f>+[7]Resumen!M19*1000</f>
        <v>140184.31395223035</v>
      </c>
      <c r="N19" s="7">
        <f>+[7]Resumen!N19*1000</f>
        <v>150467.88858427276</v>
      </c>
      <c r="O19" s="7">
        <f>+[7]Resumen!O19*1000</f>
        <v>157552.28021949786</v>
      </c>
      <c r="P19" s="7">
        <f>+[7]Resumen!P19*1000</f>
        <v>167667.58148752333</v>
      </c>
      <c r="Q19" s="7">
        <f>+[7]Resumen!Q19*1000</f>
        <v>176317.9644978586</v>
      </c>
      <c r="R19" s="7">
        <f>+[7]Resumen!R19*1000</f>
        <v>177892.65849543107</v>
      </c>
      <c r="S19" s="7">
        <f>+[7]Resumen!S19*1000</f>
        <v>175384.41217678995</v>
      </c>
      <c r="T19" s="7">
        <f>+[7]Resumen!T19*1000</f>
        <v>176558.98950881124</v>
      </c>
      <c r="U19" s="7">
        <f>+[7]Resumen!U19*1000</f>
        <v>176390.36671173404</v>
      </c>
      <c r="V19" s="7">
        <f>+[7]Resumen!V19*1000</f>
        <v>172240.72895305557</v>
      </c>
      <c r="W19" s="7">
        <f>+[7]Resumen!W19*1000</f>
        <v>0</v>
      </c>
      <c r="X19" s="7">
        <f>+[7]Resumen!X19*1000</f>
        <v>0</v>
      </c>
      <c r="Y19" s="7">
        <f>+[7]Resumen!Y19*1000</f>
        <v>0</v>
      </c>
      <c r="Z19" s="7">
        <f>+[7]Resumen!Z19*1000</f>
        <v>0</v>
      </c>
      <c r="AA19" s="7">
        <f>+[7]Resumen!AA19*1000</f>
        <v>0</v>
      </c>
      <c r="AB19" s="7">
        <f>+[7]Resumen!AB19*1000</f>
        <v>0</v>
      </c>
      <c r="AC19" s="7">
        <f>+[7]Resumen!AC19*1000</f>
        <v>0</v>
      </c>
      <c r="AD19" s="60">
        <f t="shared" ref="AD19" si="1">SUM(F19:AC19)*E19+SUM(F20:AC20)*E20+SUM(F21:AC21)*E21+SUM(F22:AC22)*E22</f>
        <v>48186895.167013817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+[7]Resumen!E20</f>
        <v>4</v>
      </c>
      <c r="F20" s="7">
        <f>+[7]Resumen!F20*1000</f>
        <v>0</v>
      </c>
      <c r="G20" s="7">
        <f>+[7]Resumen!G20*1000</f>
        <v>0</v>
      </c>
      <c r="H20" s="7">
        <f>+[7]Resumen!H20*1000</f>
        <v>0</v>
      </c>
      <c r="I20" s="7">
        <f>+[7]Resumen!I20*1000</f>
        <v>0</v>
      </c>
      <c r="J20" s="7">
        <f>+[7]Resumen!J20*1000</f>
        <v>0</v>
      </c>
      <c r="K20" s="7">
        <f>+[7]Resumen!K20*1000</f>
        <v>0</v>
      </c>
      <c r="L20" s="7">
        <f>+[7]Resumen!L20*1000</f>
        <v>0</v>
      </c>
      <c r="M20" s="7">
        <f>+[7]Resumen!M20*1000</f>
        <v>123315.6211201098</v>
      </c>
      <c r="N20" s="7">
        <f>+[7]Resumen!N20*1000</f>
        <v>137401.34209662621</v>
      </c>
      <c r="O20" s="7">
        <f>+[7]Resumen!O20*1000</f>
        <v>147074.75758980078</v>
      </c>
      <c r="P20" s="7">
        <f>+[7]Resumen!P20*1000</f>
        <v>155624.68096700308</v>
      </c>
      <c r="Q20" s="7">
        <f>+[7]Resumen!Q20*1000</f>
        <v>161985.46630462687</v>
      </c>
      <c r="R20" s="7">
        <f>+[7]Resumen!R20*1000</f>
        <v>163542.69813605229</v>
      </c>
      <c r="S20" s="7">
        <f>+[7]Resumen!S20*1000</f>
        <v>160701.10374585298</v>
      </c>
      <c r="T20" s="7">
        <f>+[7]Resumen!T20*1000</f>
        <v>157192.98871964004</v>
      </c>
      <c r="U20" s="7">
        <f>+[7]Resumen!U20*1000</f>
        <v>156130.80076030068</v>
      </c>
      <c r="V20" s="7">
        <f>+[7]Resumen!V20*1000</f>
        <v>154634.12678503545</v>
      </c>
      <c r="W20" s="7">
        <f>+[7]Resumen!W20*1000</f>
        <v>0</v>
      </c>
      <c r="X20" s="7">
        <f>+[7]Resumen!X20*1000</f>
        <v>0</v>
      </c>
      <c r="Y20" s="7">
        <f>+[7]Resumen!Y20*1000</f>
        <v>0</v>
      </c>
      <c r="Z20" s="7">
        <f>+[7]Resumen!Z20*1000</f>
        <v>0</v>
      </c>
      <c r="AA20" s="7">
        <f>+[7]Resumen!AA20*1000</f>
        <v>0</v>
      </c>
      <c r="AB20" s="7">
        <f>+[7]Resumen!AB20*1000</f>
        <v>0</v>
      </c>
      <c r="AC20" s="7">
        <f>+[7]Resumen!AC20*1000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+[7]Resumen!E21</f>
        <v>4</v>
      </c>
      <c r="F21" s="7">
        <f>+[7]Resumen!F21*1000</f>
        <v>0</v>
      </c>
      <c r="G21" s="7">
        <f>+[7]Resumen!G21*1000</f>
        <v>0</v>
      </c>
      <c r="H21" s="7">
        <f>+[7]Resumen!H21*1000</f>
        <v>0</v>
      </c>
      <c r="I21" s="7">
        <f>+[7]Resumen!I21*1000</f>
        <v>0</v>
      </c>
      <c r="J21" s="7">
        <f>+[7]Resumen!J21*1000</f>
        <v>0</v>
      </c>
      <c r="K21" s="7">
        <f>+[7]Resumen!K21*1000</f>
        <v>0</v>
      </c>
      <c r="L21" s="7">
        <f>+[7]Resumen!L21*1000</f>
        <v>0</v>
      </c>
      <c r="M21" s="7">
        <f>+[7]Resumen!M21*1000</f>
        <v>103618.49060591286</v>
      </c>
      <c r="N21" s="7">
        <f>+[7]Resumen!N21*1000</f>
        <v>115824.43090027006</v>
      </c>
      <c r="O21" s="7">
        <f>+[7]Resumen!O21*1000</f>
        <v>125993.07367835876</v>
      </c>
      <c r="P21" s="7">
        <f>+[7]Resumen!P21*1000</f>
        <v>133437.13312596816</v>
      </c>
      <c r="Q21" s="7">
        <f>+[7]Resumen!Q21*1000</f>
        <v>140668.47638394844</v>
      </c>
      <c r="R21" s="7">
        <f>+[7]Resumen!R21*1000</f>
        <v>145766.8849849891</v>
      </c>
      <c r="S21" s="7">
        <f>+[7]Resumen!S21*1000</f>
        <v>146555.56647021399</v>
      </c>
      <c r="T21" s="7">
        <f>+[7]Resumen!T21*1000</f>
        <v>144874.40765053476</v>
      </c>
      <c r="U21" s="7">
        <f>+[7]Resumen!U21*1000</f>
        <v>142970.1919524722</v>
      </c>
      <c r="V21" s="7">
        <f>+[7]Resumen!V21*1000</f>
        <v>140797.03454611069</v>
      </c>
      <c r="W21" s="7">
        <f>+[7]Resumen!W21*1000</f>
        <v>0</v>
      </c>
      <c r="X21" s="7">
        <f>+[7]Resumen!X21*1000</f>
        <v>0</v>
      </c>
      <c r="Y21" s="7">
        <f>+[7]Resumen!Y21*1000</f>
        <v>0</v>
      </c>
      <c r="Z21" s="7">
        <f>+[7]Resumen!Z21*1000</f>
        <v>0</v>
      </c>
      <c r="AA21" s="7">
        <f>+[7]Resumen!AA21*1000</f>
        <v>0</v>
      </c>
      <c r="AB21" s="7">
        <f>+[7]Resumen!AB21*1000</f>
        <v>0</v>
      </c>
      <c r="AC21" s="7">
        <f>+[7]Resumen!AC21*1000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+[7]Resumen!E22</f>
        <v>0</v>
      </c>
      <c r="F22" s="7">
        <f>+[7]Resumen!F22*1000</f>
        <v>0</v>
      </c>
      <c r="G22" s="7">
        <f>+[7]Resumen!G22*1000</f>
        <v>0</v>
      </c>
      <c r="H22" s="7">
        <f>+[7]Resumen!H22*1000</f>
        <v>0</v>
      </c>
      <c r="I22" s="7">
        <f>+[7]Resumen!I22*1000</f>
        <v>0</v>
      </c>
      <c r="J22" s="7">
        <f>+[7]Resumen!J22*1000</f>
        <v>0</v>
      </c>
      <c r="K22" s="7">
        <f>+[7]Resumen!K22*1000</f>
        <v>0</v>
      </c>
      <c r="L22" s="7">
        <f>+[7]Resumen!L22*1000</f>
        <v>0</v>
      </c>
      <c r="M22" s="7">
        <f>+[7]Resumen!M22*1000</f>
        <v>104619.14514258417</v>
      </c>
      <c r="N22" s="7">
        <f>+[7]Resumen!N22*1000</f>
        <v>115487.69601597311</v>
      </c>
      <c r="O22" s="7">
        <f>+[7]Resumen!O22*1000</f>
        <v>121960.20506420468</v>
      </c>
      <c r="P22" s="7">
        <f>+[7]Resumen!P22*1000</f>
        <v>125715.94480089018</v>
      </c>
      <c r="Q22" s="7">
        <f>+[7]Resumen!Q22*1000</f>
        <v>134280.91593571848</v>
      </c>
      <c r="R22" s="7">
        <f>+[7]Resumen!R22*1000</f>
        <v>141881.48660917304</v>
      </c>
      <c r="S22" s="7">
        <f>+[7]Resumen!S22*1000</f>
        <v>141185.60727150974</v>
      </c>
      <c r="T22" s="7">
        <f>+[7]Resumen!T22*1000</f>
        <v>138089.59399047442</v>
      </c>
      <c r="U22" s="7">
        <f>+[7]Resumen!U22*1000</f>
        <v>136105.13043670179</v>
      </c>
      <c r="V22" s="7">
        <f>+[7]Resumen!V22*1000</f>
        <v>135930.13720613977</v>
      </c>
      <c r="W22" s="7">
        <f>+[7]Resumen!W22*1000</f>
        <v>0</v>
      </c>
      <c r="X22" s="7">
        <f>+[7]Resumen!X22*1000</f>
        <v>0</v>
      </c>
      <c r="Y22" s="7">
        <f>+[7]Resumen!Y22*1000</f>
        <v>0</v>
      </c>
      <c r="Z22" s="7">
        <f>+[7]Resumen!Z22*1000</f>
        <v>0</v>
      </c>
      <c r="AA22" s="7">
        <f>+[7]Resumen!AA22*1000</f>
        <v>0</v>
      </c>
      <c r="AB22" s="7">
        <f>+[7]Resumen!AB22*1000</f>
        <v>0</v>
      </c>
      <c r="AC22" s="7">
        <f>+[7]Resumen!AC22*1000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+[7]Resumen!E23</f>
        <v>19</v>
      </c>
      <c r="F23" s="7">
        <f>+[7]Resumen!F23*1000</f>
        <v>0</v>
      </c>
      <c r="G23" s="7">
        <f>+[7]Resumen!G23*1000</f>
        <v>0</v>
      </c>
      <c r="H23" s="7">
        <f>+[7]Resumen!H23*1000</f>
        <v>0</v>
      </c>
      <c r="I23" s="7">
        <f>+[7]Resumen!I23*1000</f>
        <v>0</v>
      </c>
      <c r="J23" s="7">
        <f>+[7]Resumen!J23*1000</f>
        <v>0</v>
      </c>
      <c r="K23" s="7">
        <f>+[7]Resumen!K23*1000</f>
        <v>0</v>
      </c>
      <c r="L23" s="7">
        <f>+[7]Resumen!L23*1000</f>
        <v>0</v>
      </c>
      <c r="M23" s="7">
        <f>+[7]Resumen!M23*1000</f>
        <v>138199.17999294831</v>
      </c>
      <c r="N23" s="7">
        <f>+[7]Resumen!N23*1000</f>
        <v>147923.24114384261</v>
      </c>
      <c r="O23" s="7">
        <f>+[7]Resumen!O23*1000</f>
        <v>155037.87059737594</v>
      </c>
      <c r="P23" s="7">
        <f>+[7]Resumen!P23*1000</f>
        <v>165170.34942543606</v>
      </c>
      <c r="Q23" s="7">
        <f>+[7]Resumen!Q23*1000</f>
        <v>173470.25107624053</v>
      </c>
      <c r="R23" s="7">
        <f>+[7]Resumen!R23*1000</f>
        <v>174109.73571271155</v>
      </c>
      <c r="S23" s="7">
        <f>+[7]Resumen!S23*1000</f>
        <v>171207.8838839152</v>
      </c>
      <c r="T23" s="7">
        <f>+[7]Resumen!T23*1000</f>
        <v>171924.94582207402</v>
      </c>
      <c r="U23" s="7">
        <f>+[7]Resumen!U23*1000</f>
        <v>171931.61667312201</v>
      </c>
      <c r="V23" s="7">
        <f>+[7]Resumen!V23*1000</f>
        <v>167974.08645923735</v>
      </c>
      <c r="W23" s="7">
        <f>+[7]Resumen!W23*1000</f>
        <v>0</v>
      </c>
      <c r="X23" s="7">
        <f>+[7]Resumen!X23*1000</f>
        <v>0</v>
      </c>
      <c r="Y23" s="7">
        <f>+[7]Resumen!Y23*1000</f>
        <v>0</v>
      </c>
      <c r="Z23" s="7">
        <f>+[7]Resumen!Z23*1000</f>
        <v>0</v>
      </c>
      <c r="AA23" s="7">
        <f>+[7]Resumen!AA23*1000</f>
        <v>0</v>
      </c>
      <c r="AB23" s="7">
        <f>+[7]Resumen!AB23*1000</f>
        <v>0</v>
      </c>
      <c r="AC23" s="7">
        <f>+[7]Resumen!AC23*1000</f>
        <v>0</v>
      </c>
      <c r="AD23" s="60">
        <f t="shared" ref="AD23" si="2">SUM(F23:AC23)*E23+SUM(F24:AC24)*E24+SUM(F25:AC25)*E25+SUM(F26:AC26)*E26</f>
        <v>47800972.910351261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+[7]Resumen!E24</f>
        <v>4</v>
      </c>
      <c r="F24" s="7">
        <f>+[7]Resumen!F24*1000</f>
        <v>0</v>
      </c>
      <c r="G24" s="7">
        <f>+[7]Resumen!G24*1000</f>
        <v>0</v>
      </c>
      <c r="H24" s="7">
        <f>+[7]Resumen!H24*1000</f>
        <v>0</v>
      </c>
      <c r="I24" s="7">
        <f>+[7]Resumen!I24*1000</f>
        <v>0</v>
      </c>
      <c r="J24" s="7">
        <f>+[7]Resumen!J24*1000</f>
        <v>0</v>
      </c>
      <c r="K24" s="7">
        <f>+[7]Resumen!K24*1000</f>
        <v>0</v>
      </c>
      <c r="L24" s="7">
        <f>+[7]Resumen!L24*1000</f>
        <v>0</v>
      </c>
      <c r="M24" s="7">
        <f>+[7]Resumen!M24*1000</f>
        <v>125220.67482505916</v>
      </c>
      <c r="N24" s="7">
        <f>+[7]Resumen!N24*1000</f>
        <v>139747.27913045252</v>
      </c>
      <c r="O24" s="7">
        <f>+[7]Resumen!O24*1000</f>
        <v>149342.48170162138</v>
      </c>
      <c r="P24" s="7">
        <f>+[7]Resumen!P24*1000</f>
        <v>158119.70416942835</v>
      </c>
      <c r="Q24" s="7">
        <f>+[7]Resumen!Q24*1000</f>
        <v>164244.97320552153</v>
      </c>
      <c r="R24" s="7">
        <f>+[7]Resumen!R24*1000</f>
        <v>164352.4404736023</v>
      </c>
      <c r="S24" s="7">
        <f>+[7]Resumen!S24*1000</f>
        <v>160026.32637028667</v>
      </c>
      <c r="T24" s="7">
        <f>+[7]Resumen!T24*1000</f>
        <v>155943.30225338432</v>
      </c>
      <c r="U24" s="7">
        <f>+[7]Resumen!U24*1000</f>
        <v>154203.62841697471</v>
      </c>
      <c r="V24" s="7">
        <f>+[7]Resumen!V24*1000</f>
        <v>152099.91806435384</v>
      </c>
      <c r="W24" s="7">
        <f>+[7]Resumen!W24*1000</f>
        <v>0</v>
      </c>
      <c r="X24" s="7">
        <f>+[7]Resumen!X24*1000</f>
        <v>0</v>
      </c>
      <c r="Y24" s="7">
        <f>+[7]Resumen!Y24*1000</f>
        <v>0</v>
      </c>
      <c r="Z24" s="7">
        <f>+[7]Resumen!Z24*1000</f>
        <v>0</v>
      </c>
      <c r="AA24" s="7">
        <f>+[7]Resumen!AA24*1000</f>
        <v>0</v>
      </c>
      <c r="AB24" s="7">
        <f>+[7]Resumen!AB24*1000</f>
        <v>0</v>
      </c>
      <c r="AC24" s="7">
        <f>+[7]Resumen!AC24*1000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+[7]Resumen!E25</f>
        <v>5</v>
      </c>
      <c r="F25" s="7">
        <f>+[7]Resumen!F25*1000</f>
        <v>0</v>
      </c>
      <c r="G25" s="7">
        <f>+[7]Resumen!G25*1000</f>
        <v>0</v>
      </c>
      <c r="H25" s="7">
        <f>+[7]Resumen!H25*1000</f>
        <v>0</v>
      </c>
      <c r="I25" s="7">
        <f>+[7]Resumen!I25*1000</f>
        <v>0</v>
      </c>
      <c r="J25" s="7">
        <f>+[7]Resumen!J25*1000</f>
        <v>0</v>
      </c>
      <c r="K25" s="7">
        <f>+[7]Resumen!K25*1000</f>
        <v>0</v>
      </c>
      <c r="L25" s="7">
        <f>+[7]Resumen!L25*1000</f>
        <v>0</v>
      </c>
      <c r="M25" s="7">
        <f>+[7]Resumen!M25*1000</f>
        <v>99733.75156759072</v>
      </c>
      <c r="N25" s="7">
        <f>+[7]Resumen!N25*1000</f>
        <v>112327.07398510969</v>
      </c>
      <c r="O25" s="7">
        <f>+[7]Resumen!O25*1000</f>
        <v>122829.24192300435</v>
      </c>
      <c r="P25" s="7">
        <f>+[7]Resumen!P25*1000</f>
        <v>131186.36995730762</v>
      </c>
      <c r="Q25" s="7">
        <f>+[7]Resumen!Q25*1000</f>
        <v>139622.08880728818</v>
      </c>
      <c r="R25" s="7">
        <f>+[7]Resumen!R25*1000</f>
        <v>143623.40725272638</v>
      </c>
      <c r="S25" s="7">
        <f>+[7]Resumen!S25*1000</f>
        <v>142727.50041461637</v>
      </c>
      <c r="T25" s="7">
        <f>+[7]Resumen!T25*1000</f>
        <v>138535.3361781498</v>
      </c>
      <c r="U25" s="7">
        <f>+[7]Resumen!U25*1000</f>
        <v>137128.57717954929</v>
      </c>
      <c r="V25" s="7">
        <f>+[7]Resumen!V25*1000</f>
        <v>135133.90891549838</v>
      </c>
      <c r="W25" s="7">
        <f>+[7]Resumen!W25*1000</f>
        <v>0</v>
      </c>
      <c r="X25" s="7">
        <f>+[7]Resumen!X25*1000</f>
        <v>0</v>
      </c>
      <c r="Y25" s="7">
        <f>+[7]Resumen!Y25*1000</f>
        <v>0</v>
      </c>
      <c r="Z25" s="7">
        <f>+[7]Resumen!Z25*1000</f>
        <v>0</v>
      </c>
      <c r="AA25" s="7">
        <f>+[7]Resumen!AA25*1000</f>
        <v>0</v>
      </c>
      <c r="AB25" s="7">
        <f>+[7]Resumen!AB25*1000</f>
        <v>0</v>
      </c>
      <c r="AC25" s="7">
        <f>+[7]Resumen!AC25*1000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+[7]Resumen!E26</f>
        <v>3</v>
      </c>
      <c r="F26" s="7">
        <f>+[7]Resumen!F26*1000</f>
        <v>0</v>
      </c>
      <c r="G26" s="7">
        <f>+[7]Resumen!G26*1000</f>
        <v>0</v>
      </c>
      <c r="H26" s="7">
        <f>+[7]Resumen!H26*1000</f>
        <v>0</v>
      </c>
      <c r="I26" s="7">
        <f>+[7]Resumen!I26*1000</f>
        <v>0</v>
      </c>
      <c r="J26" s="7">
        <f>+[7]Resumen!J26*1000</f>
        <v>0</v>
      </c>
      <c r="K26" s="7">
        <f>+[7]Resumen!K26*1000</f>
        <v>0</v>
      </c>
      <c r="L26" s="7">
        <f>+[7]Resumen!L26*1000</f>
        <v>0</v>
      </c>
      <c r="M26" s="7">
        <f>+[7]Resumen!M26*1000</f>
        <v>105031.52833158414</v>
      </c>
      <c r="N26" s="7">
        <f>+[7]Resumen!N26*1000</f>
        <v>116976.95600200769</v>
      </c>
      <c r="O26" s="7">
        <f>+[7]Resumen!O26*1000</f>
        <v>126750.99398625737</v>
      </c>
      <c r="P26" s="7">
        <f>+[7]Resumen!P26*1000</f>
        <v>137388.80203508036</v>
      </c>
      <c r="Q26" s="7">
        <f>+[7]Resumen!Q26*1000</f>
        <v>146265.69514463062</v>
      </c>
      <c r="R26" s="7">
        <f>+[7]Resumen!R26*1000</f>
        <v>153199.686679704</v>
      </c>
      <c r="S26" s="7">
        <f>+[7]Resumen!S26*1000</f>
        <v>150672.61524786591</v>
      </c>
      <c r="T26" s="7">
        <f>+[7]Resumen!T26*1000</f>
        <v>146088.01871088572</v>
      </c>
      <c r="U26" s="7">
        <f>+[7]Resumen!U26*1000</f>
        <v>141519.39490139723</v>
      </c>
      <c r="V26" s="7">
        <f>+[7]Resumen!V26*1000</f>
        <v>139939.52897830258</v>
      </c>
      <c r="W26" s="7">
        <f>+[7]Resumen!W26*1000</f>
        <v>0</v>
      </c>
      <c r="X26" s="7">
        <f>+[7]Resumen!X26*1000</f>
        <v>0</v>
      </c>
      <c r="Y26" s="7">
        <f>+[7]Resumen!Y26*1000</f>
        <v>0</v>
      </c>
      <c r="Z26" s="7">
        <f>+[7]Resumen!Z26*1000</f>
        <v>0</v>
      </c>
      <c r="AA26" s="7">
        <f>+[7]Resumen!AA26*1000</f>
        <v>0</v>
      </c>
      <c r="AB26" s="7">
        <f>+[7]Resumen!AB26*1000</f>
        <v>0</v>
      </c>
      <c r="AC26" s="7">
        <f>+[7]Resumen!AC26*1000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+[7]Resumen!E27</f>
        <v>21</v>
      </c>
      <c r="F27" s="7">
        <f>+[7]Resumen!F27*1000</f>
        <v>0</v>
      </c>
      <c r="G27" s="7">
        <f>+[7]Resumen!G27*1000</f>
        <v>0</v>
      </c>
      <c r="H27" s="7">
        <f>+[7]Resumen!H27*1000</f>
        <v>0</v>
      </c>
      <c r="I27" s="7">
        <f>+[7]Resumen!I27*1000</f>
        <v>0</v>
      </c>
      <c r="J27" s="7">
        <f>+[7]Resumen!J27*1000</f>
        <v>0</v>
      </c>
      <c r="K27" s="7">
        <f>+[7]Resumen!K27*1000</f>
        <v>0</v>
      </c>
      <c r="L27" s="7">
        <f>+[7]Resumen!L27*1000</f>
        <v>0</v>
      </c>
      <c r="M27" s="7">
        <f>+[7]Resumen!M27*1000</f>
        <v>141195.40088406997</v>
      </c>
      <c r="N27" s="7">
        <f>+[7]Resumen!N27*1000</f>
        <v>152559.84154215714</v>
      </c>
      <c r="O27" s="7">
        <f>+[7]Resumen!O27*1000</f>
        <v>160279.79183064576</v>
      </c>
      <c r="P27" s="7">
        <f>+[7]Resumen!P27*1000</f>
        <v>170348.05087056482</v>
      </c>
      <c r="Q27" s="7">
        <f>+[7]Resumen!Q27*1000</f>
        <v>179548.99333751982</v>
      </c>
      <c r="R27" s="7">
        <f>+[7]Resumen!R27*1000</f>
        <v>181723.01721137943</v>
      </c>
      <c r="S27" s="7">
        <f>+[7]Resumen!S27*1000</f>
        <v>179172.28394357694</v>
      </c>
      <c r="T27" s="7">
        <f>+[7]Resumen!T27*1000</f>
        <v>180070.58147303198</v>
      </c>
      <c r="U27" s="7">
        <f>+[7]Resumen!U27*1000</f>
        <v>179993.31723806792</v>
      </c>
      <c r="V27" s="7">
        <f>+[7]Resumen!V27*1000</f>
        <v>175822.76725470077</v>
      </c>
      <c r="W27" s="7">
        <f>+[7]Resumen!W27*1000</f>
        <v>0</v>
      </c>
      <c r="X27" s="7">
        <f>+[7]Resumen!X27*1000</f>
        <v>0</v>
      </c>
      <c r="Y27" s="7">
        <f>+[7]Resumen!Y27*1000</f>
        <v>0</v>
      </c>
      <c r="Z27" s="7">
        <f>+[7]Resumen!Z27*1000</f>
        <v>0</v>
      </c>
      <c r="AA27" s="7">
        <f>+[7]Resumen!AA27*1000</f>
        <v>0</v>
      </c>
      <c r="AB27" s="7">
        <f>+[7]Resumen!AB27*1000</f>
        <v>0</v>
      </c>
      <c r="AC27" s="7">
        <f>+[7]Resumen!AC27*1000</f>
        <v>0</v>
      </c>
      <c r="AD27" s="60">
        <f t="shared" ref="AD27:AD35" si="3">SUM(F27:AC27)*E27+SUM(F28:AC28)*E28+SUM(F29:AC29)*E29+SUM(F30:AC30)*E30</f>
        <v>48648407.113750562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+[7]Resumen!E28</f>
        <v>4</v>
      </c>
      <c r="F28" s="7">
        <f>+[7]Resumen!F28*1000</f>
        <v>0</v>
      </c>
      <c r="G28" s="7">
        <f>+[7]Resumen!G28*1000</f>
        <v>0</v>
      </c>
      <c r="H28" s="7">
        <f>+[7]Resumen!H28*1000</f>
        <v>0</v>
      </c>
      <c r="I28" s="7">
        <f>+[7]Resumen!I28*1000</f>
        <v>0</v>
      </c>
      <c r="J28" s="7">
        <f>+[7]Resumen!J28*1000</f>
        <v>0</v>
      </c>
      <c r="K28" s="7">
        <f>+[7]Resumen!K28*1000</f>
        <v>0</v>
      </c>
      <c r="L28" s="7">
        <f>+[7]Resumen!L28*1000</f>
        <v>0</v>
      </c>
      <c r="M28" s="7">
        <f>+[7]Resumen!M28*1000</f>
        <v>128003.63403150276</v>
      </c>
      <c r="N28" s="7">
        <f>+[7]Resumen!N28*1000</f>
        <v>142572.54819780972</v>
      </c>
      <c r="O28" s="7">
        <f>+[7]Resumen!O28*1000</f>
        <v>152247.05784337234</v>
      </c>
      <c r="P28" s="7">
        <f>+[7]Resumen!P28*1000</f>
        <v>161602.32323139635</v>
      </c>
      <c r="Q28" s="7">
        <f>+[7]Resumen!Q28*1000</f>
        <v>168194.13283740846</v>
      </c>
      <c r="R28" s="7">
        <f>+[7]Resumen!R28*1000</f>
        <v>169026.43969624469</v>
      </c>
      <c r="S28" s="7">
        <f>+[7]Resumen!S28*1000</f>
        <v>164613.57132525815</v>
      </c>
      <c r="T28" s="7">
        <f>+[7]Resumen!T28*1000</f>
        <v>160814.94777199885</v>
      </c>
      <c r="U28" s="7">
        <f>+[7]Resumen!U28*1000</f>
        <v>159591.00550976404</v>
      </c>
      <c r="V28" s="7">
        <f>+[7]Resumen!V28*1000</f>
        <v>156946.39333460768</v>
      </c>
      <c r="W28" s="7">
        <f>+[7]Resumen!W28*1000</f>
        <v>0</v>
      </c>
      <c r="X28" s="7">
        <f>+[7]Resumen!X28*1000</f>
        <v>0</v>
      </c>
      <c r="Y28" s="7">
        <f>+[7]Resumen!Y28*1000</f>
        <v>0</v>
      </c>
      <c r="Z28" s="7">
        <f>+[7]Resumen!Z28*1000</f>
        <v>0</v>
      </c>
      <c r="AA28" s="7">
        <f>+[7]Resumen!AA28*1000</f>
        <v>0</v>
      </c>
      <c r="AB28" s="7">
        <f>+[7]Resumen!AB28*1000</f>
        <v>0</v>
      </c>
      <c r="AC28" s="7">
        <f>+[7]Resumen!AC28*1000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+[7]Resumen!E29</f>
        <v>4</v>
      </c>
      <c r="F29" s="7">
        <f>+[7]Resumen!F29*1000</f>
        <v>0</v>
      </c>
      <c r="G29" s="7">
        <f>+[7]Resumen!G29*1000</f>
        <v>0</v>
      </c>
      <c r="H29" s="7">
        <f>+[7]Resumen!H29*1000</f>
        <v>0</v>
      </c>
      <c r="I29" s="7">
        <f>+[7]Resumen!I29*1000</f>
        <v>0</v>
      </c>
      <c r="J29" s="7">
        <f>+[7]Resumen!J29*1000</f>
        <v>0</v>
      </c>
      <c r="K29" s="7">
        <f>+[7]Resumen!K29*1000</f>
        <v>0</v>
      </c>
      <c r="L29" s="7">
        <f>+[7]Resumen!L29*1000</f>
        <v>0</v>
      </c>
      <c r="M29" s="7">
        <f>+[7]Resumen!M29*1000</f>
        <v>103189.37890207802</v>
      </c>
      <c r="N29" s="7">
        <f>+[7]Resumen!N29*1000</f>
        <v>114643.6697098821</v>
      </c>
      <c r="O29" s="7">
        <f>+[7]Resumen!O29*1000</f>
        <v>124565.82778309332</v>
      </c>
      <c r="P29" s="7">
        <f>+[7]Resumen!P29*1000</f>
        <v>131866.28763549475</v>
      </c>
      <c r="Q29" s="7">
        <f>+[7]Resumen!Q29*1000</f>
        <v>140479.88214349898</v>
      </c>
      <c r="R29" s="7">
        <f>+[7]Resumen!R29*1000</f>
        <v>145958.03909930607</v>
      </c>
      <c r="S29" s="7">
        <f>+[7]Resumen!S29*1000</f>
        <v>146236.13721870224</v>
      </c>
      <c r="T29" s="7">
        <f>+[7]Resumen!T29*1000</f>
        <v>143391.29199424011</v>
      </c>
      <c r="U29" s="7">
        <f>+[7]Resumen!U29*1000</f>
        <v>141712.71834674946</v>
      </c>
      <c r="V29" s="7">
        <f>+[7]Resumen!V29*1000</f>
        <v>139582.47005528284</v>
      </c>
      <c r="W29" s="7">
        <f>+[7]Resumen!W29*1000</f>
        <v>0</v>
      </c>
      <c r="X29" s="7">
        <f>+[7]Resumen!X29*1000</f>
        <v>0</v>
      </c>
      <c r="Y29" s="7">
        <f>+[7]Resumen!Y29*1000</f>
        <v>0</v>
      </c>
      <c r="Z29" s="7">
        <f>+[7]Resumen!Z29*1000</f>
        <v>0</v>
      </c>
      <c r="AA29" s="7">
        <f>+[7]Resumen!AA29*1000</f>
        <v>0</v>
      </c>
      <c r="AB29" s="7">
        <f>+[7]Resumen!AB29*1000</f>
        <v>0</v>
      </c>
      <c r="AC29" s="7">
        <f>+[7]Resumen!AC29*1000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+[7]Resumen!E30</f>
        <v>1</v>
      </c>
      <c r="F30" s="7">
        <f>+[7]Resumen!F30*1000</f>
        <v>0</v>
      </c>
      <c r="G30" s="7">
        <f>+[7]Resumen!G30*1000</f>
        <v>0</v>
      </c>
      <c r="H30" s="7">
        <f>+[7]Resumen!H30*1000</f>
        <v>0</v>
      </c>
      <c r="I30" s="7">
        <f>+[7]Resumen!I30*1000</f>
        <v>0</v>
      </c>
      <c r="J30" s="7">
        <f>+[7]Resumen!J30*1000</f>
        <v>0</v>
      </c>
      <c r="K30" s="7">
        <f>+[7]Resumen!K30*1000</f>
        <v>0</v>
      </c>
      <c r="L30" s="7">
        <f>+[7]Resumen!L30*1000</f>
        <v>0</v>
      </c>
      <c r="M30" s="7">
        <f>+[7]Resumen!M30*1000</f>
        <v>101677.09744383217</v>
      </c>
      <c r="N30" s="7">
        <f>+[7]Resumen!N30*1000</f>
        <v>113394.5951467683</v>
      </c>
      <c r="O30" s="7">
        <f>+[7]Resumen!O30*1000</f>
        <v>123780.13940548497</v>
      </c>
      <c r="P30" s="7">
        <f>+[7]Resumen!P30*1000</f>
        <v>134380.62768723359</v>
      </c>
      <c r="Q30" s="7">
        <f>+[7]Resumen!Q30*1000</f>
        <v>145310.37836168089</v>
      </c>
      <c r="R30" s="7">
        <f>+[7]Resumen!R30*1000</f>
        <v>151701.42997822425</v>
      </c>
      <c r="S30" s="7">
        <f>+[7]Resumen!S30*1000</f>
        <v>150443.72552532132</v>
      </c>
      <c r="T30" s="7">
        <f>+[7]Resumen!T30*1000</f>
        <v>146040.53218101477</v>
      </c>
      <c r="U30" s="7">
        <f>+[7]Resumen!U30*1000</f>
        <v>143837.69035711931</v>
      </c>
      <c r="V30" s="7">
        <f>+[7]Resumen!V30*1000</f>
        <v>141894.91369310283</v>
      </c>
      <c r="W30" s="7">
        <f>+[7]Resumen!W30*1000</f>
        <v>0</v>
      </c>
      <c r="X30" s="7">
        <f>+[7]Resumen!X30*1000</f>
        <v>0</v>
      </c>
      <c r="Y30" s="7">
        <f>+[7]Resumen!Y30*1000</f>
        <v>0</v>
      </c>
      <c r="Z30" s="7">
        <f>+[7]Resumen!Z30*1000</f>
        <v>0</v>
      </c>
      <c r="AA30" s="7">
        <f>+[7]Resumen!AA30*1000</f>
        <v>0</v>
      </c>
      <c r="AB30" s="7">
        <f>+[7]Resumen!AB30*1000</f>
        <v>0</v>
      </c>
      <c r="AC30" s="7">
        <f>+[7]Resumen!AC30*1000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+[7]Resumen!E31</f>
        <v>20</v>
      </c>
      <c r="F31" s="7">
        <f>+[7]Resumen!F31*1000</f>
        <v>0</v>
      </c>
      <c r="G31" s="7">
        <f>+[7]Resumen!G31*1000</f>
        <v>0</v>
      </c>
      <c r="H31" s="7">
        <f>+[7]Resumen!H31*1000</f>
        <v>0</v>
      </c>
      <c r="I31" s="7">
        <f>+[7]Resumen!I31*1000</f>
        <v>0</v>
      </c>
      <c r="J31" s="7">
        <f>+[7]Resumen!J31*1000</f>
        <v>0</v>
      </c>
      <c r="K31" s="7">
        <f>+[7]Resumen!K31*1000</f>
        <v>0</v>
      </c>
      <c r="L31" s="7">
        <f>+[7]Resumen!L31*1000</f>
        <v>0</v>
      </c>
      <c r="M31" s="7">
        <f>+[7]Resumen!M31*1000</f>
        <v>137036.85811636029</v>
      </c>
      <c r="N31" s="7">
        <f>+[7]Resumen!N31*1000</f>
        <v>148346.18954419668</v>
      </c>
      <c r="O31" s="7">
        <f>+[7]Resumen!O31*1000</f>
        <v>156456.86923995908</v>
      </c>
      <c r="P31" s="7">
        <f>+[7]Resumen!P31*1000</f>
        <v>167173.94167225895</v>
      </c>
      <c r="Q31" s="7">
        <f>+[7]Resumen!Q31*1000</f>
        <v>175756.47458537368</v>
      </c>
      <c r="R31" s="7">
        <f>+[7]Resumen!R31*1000</f>
        <v>176823.73011466069</v>
      </c>
      <c r="S31" s="7">
        <f>+[7]Resumen!S31*1000</f>
        <v>174008.49183162409</v>
      </c>
      <c r="T31" s="7">
        <f>+[7]Resumen!T31*1000</f>
        <v>175524.25339016778</v>
      </c>
      <c r="U31" s="7">
        <f>+[7]Resumen!U31*1000</f>
        <v>175239.68206285726</v>
      </c>
      <c r="V31" s="7">
        <f>+[7]Resumen!V31*1000</f>
        <v>170482.33119673343</v>
      </c>
      <c r="W31" s="7">
        <f>+[7]Resumen!W31*1000</f>
        <v>0</v>
      </c>
      <c r="X31" s="7">
        <f>+[7]Resumen!X31*1000</f>
        <v>0</v>
      </c>
      <c r="Y31" s="7">
        <f>+[7]Resumen!Y31*1000</f>
        <v>0</v>
      </c>
      <c r="Z31" s="7">
        <f>+[7]Resumen!Z31*1000</f>
        <v>0</v>
      </c>
      <c r="AA31" s="7">
        <f>+[7]Resumen!AA31*1000</f>
        <v>0</v>
      </c>
      <c r="AB31" s="7">
        <f>+[7]Resumen!AB31*1000</f>
        <v>0</v>
      </c>
      <c r="AC31" s="7">
        <f>+[7]Resumen!AC31*1000</f>
        <v>0</v>
      </c>
      <c r="AD31" s="60">
        <f t="shared" si="3"/>
        <v>48647264.06287007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+[7]Resumen!E32</f>
        <v>5</v>
      </c>
      <c r="F32" s="7">
        <f>+[7]Resumen!F32*1000</f>
        <v>0</v>
      </c>
      <c r="G32" s="7">
        <f>+[7]Resumen!G32*1000</f>
        <v>0</v>
      </c>
      <c r="H32" s="7">
        <f>+[7]Resumen!H32*1000</f>
        <v>0</v>
      </c>
      <c r="I32" s="7">
        <f>+[7]Resumen!I32*1000</f>
        <v>0</v>
      </c>
      <c r="J32" s="7">
        <f>+[7]Resumen!J32*1000</f>
        <v>0</v>
      </c>
      <c r="K32" s="7">
        <f>+[7]Resumen!K32*1000</f>
        <v>0</v>
      </c>
      <c r="L32" s="7">
        <f>+[7]Resumen!L32*1000</f>
        <v>0</v>
      </c>
      <c r="M32" s="7">
        <f>+[7]Resumen!M32*1000</f>
        <v>122549.70970503017</v>
      </c>
      <c r="N32" s="7">
        <f>+[7]Resumen!N32*1000</f>
        <v>137746.8997704107</v>
      </c>
      <c r="O32" s="7">
        <f>+[7]Resumen!O32*1000</f>
        <v>147700.44831668583</v>
      </c>
      <c r="P32" s="7">
        <f>+[7]Resumen!P32*1000</f>
        <v>157421.87527989448</v>
      </c>
      <c r="Q32" s="7">
        <f>+[7]Resumen!Q32*1000</f>
        <v>164404.44275379161</v>
      </c>
      <c r="R32" s="7">
        <f>+[7]Resumen!R32*1000</f>
        <v>164512.87610150984</v>
      </c>
      <c r="S32" s="7">
        <f>+[7]Resumen!S32*1000</f>
        <v>159748.03693233707</v>
      </c>
      <c r="T32" s="7">
        <f>+[7]Resumen!T32*1000</f>
        <v>155519.08261239441</v>
      </c>
      <c r="U32" s="7">
        <f>+[7]Resumen!U32*1000</f>
        <v>153685.44290565207</v>
      </c>
      <c r="V32" s="7">
        <f>+[7]Resumen!V32*1000</f>
        <v>151415.6411692102</v>
      </c>
      <c r="W32" s="7">
        <f>+[7]Resumen!W32*1000</f>
        <v>0</v>
      </c>
      <c r="X32" s="7">
        <f>+[7]Resumen!X32*1000</f>
        <v>0</v>
      </c>
      <c r="Y32" s="7">
        <f>+[7]Resumen!Y32*1000</f>
        <v>0</v>
      </c>
      <c r="Z32" s="7">
        <f>+[7]Resumen!Z32*1000</f>
        <v>0</v>
      </c>
      <c r="AA32" s="7">
        <f>+[7]Resumen!AA32*1000</f>
        <v>0</v>
      </c>
      <c r="AB32" s="7">
        <f>+[7]Resumen!AB32*1000</f>
        <v>0</v>
      </c>
      <c r="AC32" s="7">
        <f>+[7]Resumen!AC32*1000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+[7]Resumen!E33</f>
        <v>4</v>
      </c>
      <c r="F33" s="7">
        <f>+[7]Resumen!F33*1000</f>
        <v>0</v>
      </c>
      <c r="G33" s="7">
        <f>+[7]Resumen!G33*1000</f>
        <v>0</v>
      </c>
      <c r="H33" s="7">
        <f>+[7]Resumen!H33*1000</f>
        <v>0</v>
      </c>
      <c r="I33" s="7">
        <f>+[7]Resumen!I33*1000</f>
        <v>0</v>
      </c>
      <c r="J33" s="7">
        <f>+[7]Resumen!J33*1000</f>
        <v>0</v>
      </c>
      <c r="K33" s="7">
        <f>+[7]Resumen!K33*1000</f>
        <v>0</v>
      </c>
      <c r="L33" s="7">
        <f>+[7]Resumen!L33*1000</f>
        <v>0</v>
      </c>
      <c r="M33" s="7">
        <f>+[7]Resumen!M33*1000</f>
        <v>99093.334055528758</v>
      </c>
      <c r="N33" s="7">
        <f>+[7]Resumen!N33*1000</f>
        <v>111176.09840554015</v>
      </c>
      <c r="O33" s="7">
        <f>+[7]Resumen!O33*1000</f>
        <v>121608.79241022798</v>
      </c>
      <c r="P33" s="7">
        <f>+[7]Resumen!P33*1000</f>
        <v>130518.65239447642</v>
      </c>
      <c r="Q33" s="7">
        <f>+[7]Resumen!Q33*1000</f>
        <v>139547.29432092264</v>
      </c>
      <c r="R33" s="7">
        <f>+[7]Resumen!R33*1000</f>
        <v>144649.38857112022</v>
      </c>
      <c r="S33" s="7">
        <f>+[7]Resumen!S33*1000</f>
        <v>144816.82867168548</v>
      </c>
      <c r="T33" s="7">
        <f>+[7]Resumen!T33*1000</f>
        <v>141854.49962512759</v>
      </c>
      <c r="U33" s="7">
        <f>+[7]Resumen!U33*1000</f>
        <v>139657.05424935417</v>
      </c>
      <c r="V33" s="7">
        <f>+[7]Resumen!V33*1000</f>
        <v>137576.68476024858</v>
      </c>
      <c r="W33" s="7">
        <f>+[7]Resumen!W33*1000</f>
        <v>0</v>
      </c>
      <c r="X33" s="7">
        <f>+[7]Resumen!X33*1000</f>
        <v>0</v>
      </c>
      <c r="Y33" s="7">
        <f>+[7]Resumen!Y33*1000</f>
        <v>0</v>
      </c>
      <c r="Z33" s="7">
        <f>+[7]Resumen!Z33*1000</f>
        <v>0</v>
      </c>
      <c r="AA33" s="7">
        <f>+[7]Resumen!AA33*1000</f>
        <v>0</v>
      </c>
      <c r="AB33" s="7">
        <f>+[7]Resumen!AB33*1000</f>
        <v>0</v>
      </c>
      <c r="AC33" s="7">
        <f>+[7]Resumen!AC33*1000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+[7]Resumen!E34</f>
        <v>2</v>
      </c>
      <c r="F34" s="7">
        <f>+[7]Resumen!F34*1000</f>
        <v>0</v>
      </c>
      <c r="G34" s="7">
        <f>+[7]Resumen!G34*1000</f>
        <v>0</v>
      </c>
      <c r="H34" s="7">
        <f>+[7]Resumen!H34*1000</f>
        <v>0</v>
      </c>
      <c r="I34" s="7">
        <f>+[7]Resumen!I34*1000</f>
        <v>0</v>
      </c>
      <c r="J34" s="7">
        <f>+[7]Resumen!J34*1000</f>
        <v>0</v>
      </c>
      <c r="K34" s="7">
        <f>+[7]Resumen!K34*1000</f>
        <v>0</v>
      </c>
      <c r="L34" s="7">
        <f>+[7]Resumen!L34*1000</f>
        <v>0</v>
      </c>
      <c r="M34" s="7">
        <f>+[7]Resumen!M34*1000</f>
        <v>101539.12198163626</v>
      </c>
      <c r="N34" s="7">
        <f>+[7]Resumen!N34*1000</f>
        <v>114425.75629640969</v>
      </c>
      <c r="O34" s="7">
        <f>+[7]Resumen!O34*1000</f>
        <v>125311.2317466221</v>
      </c>
      <c r="P34" s="7">
        <f>+[7]Resumen!P34*1000</f>
        <v>135311.1505343492</v>
      </c>
      <c r="Q34" s="7">
        <f>+[7]Resumen!Q34*1000</f>
        <v>144785.85087748469</v>
      </c>
      <c r="R34" s="7">
        <f>+[7]Resumen!R34*1000</f>
        <v>149548.20606775334</v>
      </c>
      <c r="S34" s="7">
        <f>+[7]Resumen!S34*1000</f>
        <v>148228.0337354464</v>
      </c>
      <c r="T34" s="7">
        <f>+[7]Resumen!T34*1000</f>
        <v>144929.40620063074</v>
      </c>
      <c r="U34" s="7">
        <f>+[7]Resumen!U34*1000</f>
        <v>143553.30086149176</v>
      </c>
      <c r="V34" s="7">
        <f>+[7]Resumen!V34*1000</f>
        <v>139753.3617955347</v>
      </c>
      <c r="W34" s="7">
        <f>+[7]Resumen!W34*1000</f>
        <v>0</v>
      </c>
      <c r="X34" s="7">
        <f>+[7]Resumen!X34*1000</f>
        <v>0</v>
      </c>
      <c r="Y34" s="7">
        <f>+[7]Resumen!Y34*1000</f>
        <v>0</v>
      </c>
      <c r="Z34" s="7">
        <f>+[7]Resumen!Z34*1000</f>
        <v>0</v>
      </c>
      <c r="AA34" s="7">
        <f>+[7]Resumen!AA34*1000</f>
        <v>0</v>
      </c>
      <c r="AB34" s="7">
        <f>+[7]Resumen!AB34*1000</f>
        <v>0</v>
      </c>
      <c r="AC34" s="7">
        <f>+[7]Resumen!AC34*1000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+[7]Resumen!E35</f>
        <v>21</v>
      </c>
      <c r="F35" s="7">
        <f>+[7]Resumen!F35*1000</f>
        <v>0</v>
      </c>
      <c r="G35" s="7">
        <f>+[7]Resumen!G35*1000</f>
        <v>0</v>
      </c>
      <c r="H35" s="7">
        <f>+[7]Resumen!H35*1000</f>
        <v>0</v>
      </c>
      <c r="I35" s="7">
        <f>+[7]Resumen!I35*1000</f>
        <v>0</v>
      </c>
      <c r="J35" s="7">
        <f>+[7]Resumen!J35*1000</f>
        <v>0</v>
      </c>
      <c r="K35" s="7">
        <f>+[7]Resumen!K35*1000</f>
        <v>0</v>
      </c>
      <c r="L35" s="7">
        <f>+[7]Resumen!L35*1000</f>
        <v>0</v>
      </c>
      <c r="M35" s="7">
        <f>+[7]Resumen!M35*1000</f>
        <v>138969.40635292244</v>
      </c>
      <c r="N35" s="7">
        <f>+[7]Resumen!N35*1000</f>
        <v>149497.81023095458</v>
      </c>
      <c r="O35" s="7">
        <f>+[7]Resumen!O35*1000</f>
        <v>157438.84254763479</v>
      </c>
      <c r="P35" s="7">
        <f>+[7]Resumen!P35*1000</f>
        <v>168050.59016342298</v>
      </c>
      <c r="Q35" s="7">
        <f>+[7]Resumen!Q35*1000</f>
        <v>176499.08782785494</v>
      </c>
      <c r="R35" s="7">
        <f>+[7]Resumen!R35*1000</f>
        <v>177267.60497000901</v>
      </c>
      <c r="S35" s="7">
        <f>+[7]Resumen!S35*1000</f>
        <v>174883.34730427936</v>
      </c>
      <c r="T35" s="7">
        <f>+[7]Resumen!T35*1000</f>
        <v>176365.66132002379</v>
      </c>
      <c r="U35" s="7">
        <f>+[7]Resumen!U35*1000</f>
        <v>176080.06382956321</v>
      </c>
      <c r="V35" s="7">
        <f>+[7]Resumen!V35*1000</f>
        <v>171349.52918381736</v>
      </c>
      <c r="W35" s="7">
        <f>+[7]Resumen!W35*1000</f>
        <v>0</v>
      </c>
      <c r="X35" s="7">
        <f>+[7]Resumen!X35*1000</f>
        <v>0</v>
      </c>
      <c r="Y35" s="7">
        <f>+[7]Resumen!Y35*1000</f>
        <v>0</v>
      </c>
      <c r="Z35" s="7">
        <f>+[7]Resumen!Z35*1000</f>
        <v>0</v>
      </c>
      <c r="AA35" s="7">
        <f>+[7]Resumen!AA35*1000</f>
        <v>0</v>
      </c>
      <c r="AB35" s="7">
        <f>+[7]Resumen!AB35*1000</f>
        <v>0</v>
      </c>
      <c r="AC35" s="7">
        <f>+[7]Resumen!AC35*1000</f>
        <v>0</v>
      </c>
      <c r="AD35" s="60">
        <f t="shared" si="3"/>
        <v>48784334.069692805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+[7]Resumen!E36</f>
        <v>3</v>
      </c>
      <c r="F36" s="7">
        <f>+[7]Resumen!F36*1000</f>
        <v>0</v>
      </c>
      <c r="G36" s="7">
        <f>+[7]Resumen!G36*1000</f>
        <v>0</v>
      </c>
      <c r="H36" s="7">
        <f>+[7]Resumen!H36*1000</f>
        <v>0</v>
      </c>
      <c r="I36" s="7">
        <f>+[7]Resumen!I36*1000</f>
        <v>0</v>
      </c>
      <c r="J36" s="7">
        <f>+[7]Resumen!J36*1000</f>
        <v>0</v>
      </c>
      <c r="K36" s="7">
        <f>+[7]Resumen!K36*1000</f>
        <v>0</v>
      </c>
      <c r="L36" s="7">
        <f>+[7]Resumen!L36*1000</f>
        <v>0</v>
      </c>
      <c r="M36" s="7">
        <f>+[7]Resumen!M36*1000</f>
        <v>125740.01140999237</v>
      </c>
      <c r="N36" s="7">
        <f>+[7]Resumen!N36*1000</f>
        <v>140333.75271617985</v>
      </c>
      <c r="O36" s="7">
        <f>+[7]Resumen!O36*1000</f>
        <v>150290.12993098426</v>
      </c>
      <c r="P36" s="7">
        <f>+[7]Resumen!P36*1000</f>
        <v>159441.97626238756</v>
      </c>
      <c r="Q36" s="7">
        <f>+[7]Resumen!Q36*1000</f>
        <v>165779.2009573314</v>
      </c>
      <c r="R36" s="7">
        <f>+[7]Resumen!R36*1000</f>
        <v>165901.69068471706</v>
      </c>
      <c r="S36" s="7">
        <f>+[7]Resumen!S36*1000</f>
        <v>161483.83538218148</v>
      </c>
      <c r="T36" s="7">
        <f>+[7]Resumen!T36*1000</f>
        <v>156952.78116068829</v>
      </c>
      <c r="U36" s="7">
        <f>+[7]Resumen!U36*1000</f>
        <v>154497.78306455121</v>
      </c>
      <c r="V36" s="7">
        <f>+[7]Resumen!V36*1000</f>
        <v>152256.5526195144</v>
      </c>
      <c r="W36" s="7">
        <f>+[7]Resumen!W36*1000</f>
        <v>0</v>
      </c>
      <c r="X36" s="7">
        <f>+[7]Resumen!X36*1000</f>
        <v>0</v>
      </c>
      <c r="Y36" s="7">
        <f>+[7]Resumen!Y36*1000</f>
        <v>0</v>
      </c>
      <c r="Z36" s="7">
        <f>+[7]Resumen!Z36*1000</f>
        <v>0</v>
      </c>
      <c r="AA36" s="7">
        <f>+[7]Resumen!AA36*1000</f>
        <v>0</v>
      </c>
      <c r="AB36" s="7">
        <f>+[7]Resumen!AB36*1000</f>
        <v>0</v>
      </c>
      <c r="AC36" s="7">
        <f>+[7]Resumen!AC36*1000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+[7]Resumen!E37</f>
        <v>5</v>
      </c>
      <c r="F37" s="7">
        <f>+[7]Resumen!F37*1000</f>
        <v>0</v>
      </c>
      <c r="G37" s="7">
        <f>+[7]Resumen!G37*1000</f>
        <v>0</v>
      </c>
      <c r="H37" s="7">
        <f>+[7]Resumen!H37*1000</f>
        <v>0</v>
      </c>
      <c r="I37" s="7">
        <f>+[7]Resumen!I37*1000</f>
        <v>0</v>
      </c>
      <c r="J37" s="7">
        <f>+[7]Resumen!J37*1000</f>
        <v>0</v>
      </c>
      <c r="K37" s="7">
        <f>+[7]Resumen!K37*1000</f>
        <v>0</v>
      </c>
      <c r="L37" s="7">
        <f>+[7]Resumen!L37*1000</f>
        <v>0</v>
      </c>
      <c r="M37" s="7">
        <f>+[7]Resumen!M37*1000</f>
        <v>99030.730197648707</v>
      </c>
      <c r="N37" s="7">
        <f>+[7]Resumen!N37*1000</f>
        <v>111107.56999708484</v>
      </c>
      <c r="O37" s="7">
        <f>+[7]Resumen!O37*1000</f>
        <v>121366.0344642792</v>
      </c>
      <c r="P37" s="7">
        <f>+[7]Resumen!P37*1000</f>
        <v>129376.10589927212</v>
      </c>
      <c r="Q37" s="7">
        <f>+[7]Resumen!Q37*1000</f>
        <v>137674.65408989714</v>
      </c>
      <c r="R37" s="7">
        <f>+[7]Resumen!R37*1000</f>
        <v>142796.77986697966</v>
      </c>
      <c r="S37" s="7">
        <f>+[7]Resumen!S37*1000</f>
        <v>143063.91748875435</v>
      </c>
      <c r="T37" s="7">
        <f>+[7]Resumen!T37*1000</f>
        <v>138963.7252986879</v>
      </c>
      <c r="U37" s="7">
        <f>+[7]Resumen!U37*1000</f>
        <v>136890.4425017836</v>
      </c>
      <c r="V37" s="7">
        <f>+[7]Resumen!V37*1000</f>
        <v>133979.18760325928</v>
      </c>
      <c r="W37" s="7">
        <f>+[7]Resumen!W37*1000</f>
        <v>0</v>
      </c>
      <c r="X37" s="7">
        <f>+[7]Resumen!X37*1000</f>
        <v>0</v>
      </c>
      <c r="Y37" s="7">
        <f>+[7]Resumen!Y37*1000</f>
        <v>0</v>
      </c>
      <c r="Z37" s="7">
        <f>+[7]Resumen!Z37*1000</f>
        <v>0</v>
      </c>
      <c r="AA37" s="7">
        <f>+[7]Resumen!AA37*1000</f>
        <v>0</v>
      </c>
      <c r="AB37" s="7">
        <f>+[7]Resumen!AB37*1000</f>
        <v>0</v>
      </c>
      <c r="AC37" s="7">
        <f>+[7]Resumen!AC37*1000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+[7]Resumen!E38</f>
        <v>2</v>
      </c>
      <c r="F38" s="7">
        <f>+[7]Resumen!F38*1000</f>
        <v>0</v>
      </c>
      <c r="G38" s="7">
        <f>+[7]Resumen!G38*1000</f>
        <v>0</v>
      </c>
      <c r="H38" s="7">
        <f>+[7]Resumen!H38*1000</f>
        <v>0</v>
      </c>
      <c r="I38" s="7">
        <f>+[7]Resumen!I38*1000</f>
        <v>0</v>
      </c>
      <c r="J38" s="7">
        <f>+[7]Resumen!J38*1000</f>
        <v>0</v>
      </c>
      <c r="K38" s="7">
        <f>+[7]Resumen!K38*1000</f>
        <v>0</v>
      </c>
      <c r="L38" s="7">
        <f>+[7]Resumen!L38*1000</f>
        <v>0</v>
      </c>
      <c r="M38" s="7">
        <f>+[7]Resumen!M38*1000</f>
        <v>104158.54019125589</v>
      </c>
      <c r="N38" s="7">
        <f>+[7]Resumen!N38*1000</f>
        <v>116350.19325876552</v>
      </c>
      <c r="O38" s="7">
        <f>+[7]Resumen!O38*1000</f>
        <v>126073.98561499802</v>
      </c>
      <c r="P38" s="7">
        <f>+[7]Resumen!P38*1000</f>
        <v>136558.44472811479</v>
      </c>
      <c r="Q38" s="7">
        <f>+[7]Resumen!Q38*1000</f>
        <v>146902.13607684293</v>
      </c>
      <c r="R38" s="7">
        <f>+[7]Resumen!R38*1000</f>
        <v>153208.22328193401</v>
      </c>
      <c r="S38" s="7">
        <f>+[7]Resumen!S38*1000</f>
        <v>150240.75235161022</v>
      </c>
      <c r="T38" s="7">
        <f>+[7]Resumen!T38*1000</f>
        <v>145028.35900251247</v>
      </c>
      <c r="U38" s="7">
        <f>+[7]Resumen!U38*1000</f>
        <v>142332.22521526788</v>
      </c>
      <c r="V38" s="7">
        <f>+[7]Resumen!V38*1000</f>
        <v>139454.32615312879</v>
      </c>
      <c r="W38" s="7">
        <f>+[7]Resumen!W38*1000</f>
        <v>0</v>
      </c>
      <c r="X38" s="7">
        <f>+[7]Resumen!X38*1000</f>
        <v>0</v>
      </c>
      <c r="Y38" s="7">
        <f>+[7]Resumen!Y38*1000</f>
        <v>0</v>
      </c>
      <c r="Z38" s="7">
        <f>+[7]Resumen!Z38*1000</f>
        <v>0</v>
      </c>
      <c r="AA38" s="7">
        <f>+[7]Resumen!AA38*1000</f>
        <v>0</v>
      </c>
      <c r="AB38" s="7">
        <f>+[7]Resumen!AB38*1000</f>
        <v>0</v>
      </c>
      <c r="AC38" s="7">
        <f>+[7]Resumen!AC38*1000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+[7]Resumen!E39</f>
        <v>22</v>
      </c>
      <c r="F39" s="7">
        <f>+[7]Resumen!F39*1000</f>
        <v>0</v>
      </c>
      <c r="G39" s="7">
        <f>+[7]Resumen!G39*1000</f>
        <v>0</v>
      </c>
      <c r="H39" s="7">
        <f>+[7]Resumen!H39*1000</f>
        <v>0</v>
      </c>
      <c r="I39" s="7">
        <f>+[7]Resumen!I39*1000</f>
        <v>0</v>
      </c>
      <c r="J39" s="7">
        <f>+[7]Resumen!J39*1000</f>
        <v>0</v>
      </c>
      <c r="K39" s="7">
        <f>+[7]Resumen!K39*1000</f>
        <v>0</v>
      </c>
      <c r="L39" s="7">
        <f>+[7]Resumen!L39*1000</f>
        <v>0</v>
      </c>
      <c r="M39" s="7">
        <f>+[7]Resumen!M39*1000</f>
        <v>143270.7913473518</v>
      </c>
      <c r="N39" s="7">
        <f>+[7]Resumen!N39*1000</f>
        <v>153996.18060271704</v>
      </c>
      <c r="O39" s="7">
        <f>+[7]Resumen!O39*1000</f>
        <v>161901.50908258386</v>
      </c>
      <c r="P39" s="7">
        <f>+[7]Resumen!P39*1000</f>
        <v>172834.37461281801</v>
      </c>
      <c r="Q39" s="7">
        <f>+[7]Resumen!Q39*1000</f>
        <v>181903.55393655496</v>
      </c>
      <c r="R39" s="7">
        <f>+[7]Resumen!R39*1000</f>
        <v>183321.95490630183</v>
      </c>
      <c r="S39" s="7">
        <f>+[7]Resumen!S39*1000</f>
        <v>180859.20603703428</v>
      </c>
      <c r="T39" s="7">
        <f>+[7]Resumen!T39*1000</f>
        <v>181896.56369420292</v>
      </c>
      <c r="U39" s="7">
        <f>+[7]Resumen!U39*1000</f>
        <v>181925.37531965852</v>
      </c>
      <c r="V39" s="7">
        <f>+[7]Resumen!V39*1000</f>
        <v>177477.07506881052</v>
      </c>
      <c r="W39" s="7">
        <f>+[7]Resumen!W39*1000</f>
        <v>0</v>
      </c>
      <c r="X39" s="7">
        <f>+[7]Resumen!X39*1000</f>
        <v>0</v>
      </c>
      <c r="Y39" s="7">
        <f>+[7]Resumen!Y39*1000</f>
        <v>0</v>
      </c>
      <c r="Z39" s="7">
        <f>+[7]Resumen!Z39*1000</f>
        <v>0</v>
      </c>
      <c r="AA39" s="7">
        <f>+[7]Resumen!AA39*1000</f>
        <v>0</v>
      </c>
      <c r="AB39" s="7">
        <f>+[7]Resumen!AB39*1000</f>
        <v>0</v>
      </c>
      <c r="AC39" s="7">
        <f>+[7]Resumen!AC39*1000</f>
        <v>0</v>
      </c>
      <c r="AD39" s="60">
        <f t="shared" ref="AD39" si="4">SUM(F39:AC39)*E39+SUM(F40:AC40)*E40+SUM(F41:AC41)*E41+SUM(F42:AC42)*E42</f>
        <v>49487011.025128931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+[7]Resumen!E40</f>
        <v>4</v>
      </c>
      <c r="F40" s="7">
        <f>+[7]Resumen!F40*1000</f>
        <v>0</v>
      </c>
      <c r="G40" s="7">
        <f>+[7]Resumen!G40*1000</f>
        <v>0</v>
      </c>
      <c r="H40" s="7">
        <f>+[7]Resumen!H40*1000</f>
        <v>0</v>
      </c>
      <c r="I40" s="7">
        <f>+[7]Resumen!I40*1000</f>
        <v>0</v>
      </c>
      <c r="J40" s="7">
        <f>+[7]Resumen!J40*1000</f>
        <v>0</v>
      </c>
      <c r="K40" s="7">
        <f>+[7]Resumen!K40*1000</f>
        <v>0</v>
      </c>
      <c r="L40" s="7">
        <f>+[7]Resumen!L40*1000</f>
        <v>0</v>
      </c>
      <c r="M40" s="7">
        <f>+[7]Resumen!M40*1000</f>
        <v>130163.32008187252</v>
      </c>
      <c r="N40" s="7">
        <f>+[7]Resumen!N40*1000</f>
        <v>145477.85324743766</v>
      </c>
      <c r="O40" s="7">
        <f>+[7]Resumen!O40*1000</f>
        <v>155989.93654606288</v>
      </c>
      <c r="P40" s="7">
        <f>+[7]Resumen!P40*1000</f>
        <v>165770.64538136058</v>
      </c>
      <c r="Q40" s="7">
        <f>+[7]Resumen!Q40*1000</f>
        <v>172529.30057739184</v>
      </c>
      <c r="R40" s="7">
        <f>+[7]Resumen!R40*1000</f>
        <v>172811.99034206968</v>
      </c>
      <c r="S40" s="7">
        <f>+[7]Resumen!S40*1000</f>
        <v>167200.13334033449</v>
      </c>
      <c r="T40" s="7">
        <f>+[7]Resumen!T40*1000</f>
        <v>161229.71690890865</v>
      </c>
      <c r="U40" s="7">
        <f>+[7]Resumen!U40*1000</f>
        <v>158361.91345803803</v>
      </c>
      <c r="V40" s="7">
        <f>+[7]Resumen!V40*1000</f>
        <v>155304.26349982293</v>
      </c>
      <c r="W40" s="7">
        <f>+[7]Resumen!W40*1000</f>
        <v>0</v>
      </c>
      <c r="X40" s="7">
        <f>+[7]Resumen!X40*1000</f>
        <v>0</v>
      </c>
      <c r="Y40" s="7">
        <f>+[7]Resumen!Y40*1000</f>
        <v>0</v>
      </c>
      <c r="Z40" s="7">
        <f>+[7]Resumen!Z40*1000</f>
        <v>0</v>
      </c>
      <c r="AA40" s="7">
        <f>+[7]Resumen!AA40*1000</f>
        <v>0</v>
      </c>
      <c r="AB40" s="7">
        <f>+[7]Resumen!AB40*1000</f>
        <v>0</v>
      </c>
      <c r="AC40" s="7">
        <f>+[7]Resumen!AC40*1000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+[7]Resumen!E41</f>
        <v>4</v>
      </c>
      <c r="F41" s="7">
        <f>+[7]Resumen!F41*1000</f>
        <v>0</v>
      </c>
      <c r="G41" s="7">
        <f>+[7]Resumen!G41*1000</f>
        <v>0</v>
      </c>
      <c r="H41" s="7">
        <f>+[7]Resumen!H41*1000</f>
        <v>0</v>
      </c>
      <c r="I41" s="7">
        <f>+[7]Resumen!I41*1000</f>
        <v>0</v>
      </c>
      <c r="J41" s="7">
        <f>+[7]Resumen!J41*1000</f>
        <v>0</v>
      </c>
      <c r="K41" s="7">
        <f>+[7]Resumen!K41*1000</f>
        <v>0</v>
      </c>
      <c r="L41" s="7">
        <f>+[7]Resumen!L41*1000</f>
        <v>0</v>
      </c>
      <c r="M41" s="7">
        <f>+[7]Resumen!M41*1000</f>
        <v>101547.26171645381</v>
      </c>
      <c r="N41" s="7">
        <f>+[7]Resumen!N41*1000</f>
        <v>113753.64473143048</v>
      </c>
      <c r="O41" s="7">
        <f>+[7]Resumen!O41*1000</f>
        <v>124010.64031485531</v>
      </c>
      <c r="P41" s="7">
        <f>+[7]Resumen!P41*1000</f>
        <v>133063.7899898781</v>
      </c>
      <c r="Q41" s="7">
        <f>+[7]Resumen!Q41*1000</f>
        <v>141708.43028132108</v>
      </c>
      <c r="R41" s="7">
        <f>+[7]Resumen!R41*1000</f>
        <v>147012.22488344889</v>
      </c>
      <c r="S41" s="7">
        <f>+[7]Resumen!S41*1000</f>
        <v>146412.96299639976</v>
      </c>
      <c r="T41" s="7">
        <f>+[7]Resumen!T41*1000</f>
        <v>142713.32386792361</v>
      </c>
      <c r="U41" s="7">
        <f>+[7]Resumen!U41*1000</f>
        <v>140976.54510813614</v>
      </c>
      <c r="V41" s="7">
        <f>+[7]Resumen!V41*1000</f>
        <v>139088.64366490024</v>
      </c>
      <c r="W41" s="7">
        <f>+[7]Resumen!W41*1000</f>
        <v>0</v>
      </c>
      <c r="X41" s="7">
        <f>+[7]Resumen!X41*1000</f>
        <v>0</v>
      </c>
      <c r="Y41" s="7">
        <f>+[7]Resumen!Y41*1000</f>
        <v>0</v>
      </c>
      <c r="Z41" s="7">
        <f>+[7]Resumen!Z41*1000</f>
        <v>0</v>
      </c>
      <c r="AA41" s="7">
        <f>+[7]Resumen!AA41*1000</f>
        <v>0</v>
      </c>
      <c r="AB41" s="7">
        <f>+[7]Resumen!AB41*1000</f>
        <v>0</v>
      </c>
      <c r="AC41" s="7">
        <f>+[7]Resumen!AC41*1000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+[7]Resumen!E42</f>
        <v>0</v>
      </c>
      <c r="F42" s="7">
        <f>+[7]Resumen!F42*1000</f>
        <v>0</v>
      </c>
      <c r="G42" s="7">
        <f>+[7]Resumen!G42*1000</f>
        <v>0</v>
      </c>
      <c r="H42" s="7">
        <f>+[7]Resumen!H42*1000</f>
        <v>0</v>
      </c>
      <c r="I42" s="7">
        <f>+[7]Resumen!I42*1000</f>
        <v>0</v>
      </c>
      <c r="J42" s="7">
        <f>+[7]Resumen!J42*1000</f>
        <v>0</v>
      </c>
      <c r="K42" s="7">
        <f>+[7]Resumen!K42*1000</f>
        <v>0</v>
      </c>
      <c r="L42" s="7">
        <f>+[7]Resumen!L42*1000</f>
        <v>0</v>
      </c>
      <c r="M42" s="7">
        <f>+[7]Resumen!M42*1000</f>
        <v>0</v>
      </c>
      <c r="N42" s="7">
        <f>+[7]Resumen!N42*1000</f>
        <v>0</v>
      </c>
      <c r="O42" s="7">
        <f>+[7]Resumen!O42*1000</f>
        <v>0</v>
      </c>
      <c r="P42" s="7">
        <f>+[7]Resumen!P42*1000</f>
        <v>0</v>
      </c>
      <c r="Q42" s="7">
        <f>+[7]Resumen!Q42*1000</f>
        <v>0</v>
      </c>
      <c r="R42" s="7">
        <f>+[7]Resumen!R42*1000</f>
        <v>0</v>
      </c>
      <c r="S42" s="7">
        <f>+[7]Resumen!S42*1000</f>
        <v>0</v>
      </c>
      <c r="T42" s="7">
        <f>+[7]Resumen!T42*1000</f>
        <v>0</v>
      </c>
      <c r="U42" s="7">
        <f>+[7]Resumen!U42*1000</f>
        <v>0</v>
      </c>
      <c r="V42" s="7">
        <f>+[7]Resumen!V42*1000</f>
        <v>0</v>
      </c>
      <c r="W42" s="7">
        <f>+[7]Resumen!W42*1000</f>
        <v>0</v>
      </c>
      <c r="X42" s="7">
        <f>+[7]Resumen!X42*1000</f>
        <v>0</v>
      </c>
      <c r="Y42" s="7">
        <f>+[7]Resumen!Y42*1000</f>
        <v>0</v>
      </c>
      <c r="Z42" s="7">
        <f>+[7]Resumen!Z42*1000</f>
        <v>0</v>
      </c>
      <c r="AA42" s="7">
        <f>+[7]Resumen!AA42*1000</f>
        <v>0</v>
      </c>
      <c r="AB42" s="7">
        <f>+[7]Resumen!AB42*1000</f>
        <v>0</v>
      </c>
      <c r="AC42" s="7">
        <f>+[7]Resumen!AC42*1000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+[7]Resumen!E43</f>
        <v>20</v>
      </c>
      <c r="F43" s="7">
        <f>+[7]Resumen!F43*1000</f>
        <v>0</v>
      </c>
      <c r="G43" s="7">
        <f>+[7]Resumen!G43*1000</f>
        <v>0</v>
      </c>
      <c r="H43" s="7">
        <f>+[7]Resumen!H43*1000</f>
        <v>0</v>
      </c>
      <c r="I43" s="7">
        <f>+[7]Resumen!I43*1000</f>
        <v>0</v>
      </c>
      <c r="J43" s="7">
        <f>+[7]Resumen!J43*1000</f>
        <v>0</v>
      </c>
      <c r="K43" s="7">
        <f>+[7]Resumen!K43*1000</f>
        <v>0</v>
      </c>
      <c r="L43" s="7">
        <f>+[7]Resumen!L43*1000</f>
        <v>0</v>
      </c>
      <c r="M43" s="7">
        <f>+[7]Resumen!M43*1000</f>
        <v>139227.23577367328</v>
      </c>
      <c r="N43" s="7">
        <f>+[7]Resumen!N43*1000</f>
        <v>150196.81391127512</v>
      </c>
      <c r="O43" s="7">
        <f>+[7]Resumen!O43*1000</f>
        <v>157764.77030538197</v>
      </c>
      <c r="P43" s="7">
        <f>+[7]Resumen!P43*1000</f>
        <v>167891.74516745532</v>
      </c>
      <c r="Q43" s="7">
        <f>+[7]Resumen!Q43*1000</f>
        <v>176881.78501817587</v>
      </c>
      <c r="R43" s="7">
        <f>+[7]Resumen!R43*1000</f>
        <v>178715.88800042355</v>
      </c>
      <c r="S43" s="7">
        <f>+[7]Resumen!S43*1000</f>
        <v>176054.52201211121</v>
      </c>
      <c r="T43" s="7">
        <f>+[7]Resumen!T43*1000</f>
        <v>177036.93645926128</v>
      </c>
      <c r="U43" s="7">
        <f>+[7]Resumen!U43*1000</f>
        <v>176722.27119784383</v>
      </c>
      <c r="V43" s="7">
        <f>+[7]Resumen!V43*1000</f>
        <v>172395.75232139038</v>
      </c>
      <c r="W43" s="7">
        <f>+[7]Resumen!W43*1000</f>
        <v>0</v>
      </c>
      <c r="X43" s="7">
        <f>+[7]Resumen!X43*1000</f>
        <v>0</v>
      </c>
      <c r="Y43" s="7">
        <f>+[7]Resumen!Y43*1000</f>
        <v>0</v>
      </c>
      <c r="Z43" s="7">
        <f>+[7]Resumen!Z43*1000</f>
        <v>0</v>
      </c>
      <c r="AA43" s="7">
        <f>+[7]Resumen!AA43*1000</f>
        <v>0</v>
      </c>
      <c r="AB43" s="7">
        <f>+[7]Resumen!AB43*1000</f>
        <v>0</v>
      </c>
      <c r="AC43" s="7">
        <f>+[7]Resumen!AC43*1000</f>
        <v>0</v>
      </c>
      <c r="AD43" s="60">
        <f t="shared" ref="AD43" si="5">SUM(F43:AC43)*E43+SUM(F44:AC44)*E44+SUM(F45:AC45)*E45+SUM(F46:AC46)*E46</f>
        <v>49273042.219171748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+[7]Resumen!E44</f>
        <v>5</v>
      </c>
      <c r="F44" s="7">
        <f>+[7]Resumen!F44*1000</f>
        <v>0</v>
      </c>
      <c r="G44" s="7">
        <f>+[7]Resumen!G44*1000</f>
        <v>0</v>
      </c>
      <c r="H44" s="7">
        <f>+[7]Resumen!H44*1000</f>
        <v>0</v>
      </c>
      <c r="I44" s="7">
        <f>+[7]Resumen!I44*1000</f>
        <v>0</v>
      </c>
      <c r="J44" s="7">
        <f>+[7]Resumen!J44*1000</f>
        <v>0</v>
      </c>
      <c r="K44" s="7">
        <f>+[7]Resumen!K44*1000</f>
        <v>0</v>
      </c>
      <c r="L44" s="7">
        <f>+[7]Resumen!L44*1000</f>
        <v>0</v>
      </c>
      <c r="M44" s="7">
        <f>+[7]Resumen!M44*1000</f>
        <v>126944.04705580272</v>
      </c>
      <c r="N44" s="7">
        <f>+[7]Resumen!N44*1000</f>
        <v>141726.34307381295</v>
      </c>
      <c r="O44" s="7">
        <f>+[7]Resumen!O44*1000</f>
        <v>151891.9089435965</v>
      </c>
      <c r="P44" s="7">
        <f>+[7]Resumen!P44*1000</f>
        <v>161645.65609316985</v>
      </c>
      <c r="Q44" s="7">
        <f>+[7]Resumen!Q44*1000</f>
        <v>168370.19334089238</v>
      </c>
      <c r="R44" s="7">
        <f>+[7]Resumen!R44*1000</f>
        <v>169045.69646204557</v>
      </c>
      <c r="S44" s="7">
        <f>+[7]Resumen!S44*1000</f>
        <v>164515.78857072775</v>
      </c>
      <c r="T44" s="7">
        <f>+[7]Resumen!T44*1000</f>
        <v>159857.97711130648</v>
      </c>
      <c r="U44" s="7">
        <f>+[7]Resumen!U44*1000</f>
        <v>157964.45469734864</v>
      </c>
      <c r="V44" s="7">
        <f>+[7]Resumen!V44*1000</f>
        <v>155832.74542783786</v>
      </c>
      <c r="W44" s="7">
        <f>+[7]Resumen!W44*1000</f>
        <v>0</v>
      </c>
      <c r="X44" s="7">
        <f>+[7]Resumen!X44*1000</f>
        <v>0</v>
      </c>
      <c r="Y44" s="7">
        <f>+[7]Resumen!Y44*1000</f>
        <v>0</v>
      </c>
      <c r="Z44" s="7">
        <f>+[7]Resumen!Z44*1000</f>
        <v>0</v>
      </c>
      <c r="AA44" s="7">
        <f>+[7]Resumen!AA44*1000</f>
        <v>0</v>
      </c>
      <c r="AB44" s="7">
        <f>+[7]Resumen!AB44*1000</f>
        <v>0</v>
      </c>
      <c r="AC44" s="7">
        <f>+[7]Resumen!AC44*1000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+[7]Resumen!E45</f>
        <v>5</v>
      </c>
      <c r="F45" s="7">
        <f>+[7]Resumen!F45*1000</f>
        <v>0</v>
      </c>
      <c r="G45" s="7">
        <f>+[7]Resumen!G45*1000</f>
        <v>0</v>
      </c>
      <c r="H45" s="7">
        <f>+[7]Resumen!H45*1000</f>
        <v>0</v>
      </c>
      <c r="I45" s="7">
        <f>+[7]Resumen!I45*1000</f>
        <v>0</v>
      </c>
      <c r="J45" s="7">
        <f>+[7]Resumen!J45*1000</f>
        <v>0</v>
      </c>
      <c r="K45" s="7">
        <f>+[7]Resumen!K45*1000</f>
        <v>0</v>
      </c>
      <c r="L45" s="7">
        <f>+[7]Resumen!L45*1000</f>
        <v>0</v>
      </c>
      <c r="M45" s="7">
        <f>+[7]Resumen!M45*1000</f>
        <v>102855.22918996963</v>
      </c>
      <c r="N45" s="7">
        <f>+[7]Resumen!N45*1000</f>
        <v>114964.1377737045</v>
      </c>
      <c r="O45" s="7">
        <f>+[7]Resumen!O45*1000</f>
        <v>124967.11133370575</v>
      </c>
      <c r="P45" s="7">
        <f>+[7]Resumen!P45*1000</f>
        <v>133705.07080714803</v>
      </c>
      <c r="Q45" s="7">
        <f>+[7]Resumen!Q45*1000</f>
        <v>142853.35007527462</v>
      </c>
      <c r="R45" s="7">
        <f>+[7]Resumen!R45*1000</f>
        <v>147766.7109442566</v>
      </c>
      <c r="S45" s="7">
        <f>+[7]Resumen!S45*1000</f>
        <v>146666.48063454617</v>
      </c>
      <c r="T45" s="7">
        <f>+[7]Resumen!T45*1000</f>
        <v>142960.84264167651</v>
      </c>
      <c r="U45" s="7">
        <f>+[7]Resumen!U45*1000</f>
        <v>140712.18555824849</v>
      </c>
      <c r="V45" s="7">
        <f>+[7]Resumen!V45*1000</f>
        <v>137887.24853135587</v>
      </c>
      <c r="W45" s="7">
        <f>+[7]Resumen!W45*1000</f>
        <v>0</v>
      </c>
      <c r="X45" s="7">
        <f>+[7]Resumen!X45*1000</f>
        <v>0</v>
      </c>
      <c r="Y45" s="7">
        <f>+[7]Resumen!Y45*1000</f>
        <v>0</v>
      </c>
      <c r="Z45" s="7">
        <f>+[7]Resumen!Z45*1000</f>
        <v>0</v>
      </c>
      <c r="AA45" s="7">
        <f>+[7]Resumen!AA45*1000</f>
        <v>0</v>
      </c>
      <c r="AB45" s="7">
        <f>+[7]Resumen!AB45*1000</f>
        <v>0</v>
      </c>
      <c r="AC45" s="7">
        <f>+[7]Resumen!AC45*1000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+[7]Resumen!E46</f>
        <v>1</v>
      </c>
      <c r="F46" s="7">
        <f>+[7]Resumen!F46*1000</f>
        <v>0</v>
      </c>
      <c r="G46" s="7">
        <f>+[7]Resumen!G46*1000</f>
        <v>0</v>
      </c>
      <c r="H46" s="7">
        <f>+[7]Resumen!H46*1000</f>
        <v>0</v>
      </c>
      <c r="I46" s="7">
        <f>+[7]Resumen!I46*1000</f>
        <v>0</v>
      </c>
      <c r="J46" s="7">
        <f>+[7]Resumen!J46*1000</f>
        <v>0</v>
      </c>
      <c r="K46" s="7">
        <f>+[7]Resumen!K46*1000</f>
        <v>0</v>
      </c>
      <c r="L46" s="7">
        <f>+[7]Resumen!L46*1000</f>
        <v>0</v>
      </c>
      <c r="M46" s="7">
        <f>+[7]Resumen!M46*1000</f>
        <v>101449.17221977998</v>
      </c>
      <c r="N46" s="7">
        <f>+[7]Resumen!N46*1000</f>
        <v>113554.1785374834</v>
      </c>
      <c r="O46" s="7">
        <f>+[7]Resumen!O46*1000</f>
        <v>122610.11577126368</v>
      </c>
      <c r="P46" s="7">
        <f>+[7]Resumen!P46*1000</f>
        <v>132138.33155041997</v>
      </c>
      <c r="Q46" s="7">
        <f>+[7]Resumen!Q46*1000</f>
        <v>143853.14921246335</v>
      </c>
      <c r="R46" s="7">
        <f>+[7]Resumen!R46*1000</f>
        <v>151303.98386669537</v>
      </c>
      <c r="S46" s="7">
        <f>+[7]Resumen!S46*1000</f>
        <v>151091.53805287316</v>
      </c>
      <c r="T46" s="7">
        <f>+[7]Resumen!T46*1000</f>
        <v>146001.42572001193</v>
      </c>
      <c r="U46" s="7">
        <f>+[7]Resumen!U46*1000</f>
        <v>144471.2583487404</v>
      </c>
      <c r="V46" s="7">
        <f>+[7]Resumen!V46*1000</f>
        <v>143148.77122005177</v>
      </c>
      <c r="W46" s="7">
        <f>+[7]Resumen!W46*1000</f>
        <v>0</v>
      </c>
      <c r="X46" s="7">
        <f>+[7]Resumen!X46*1000</f>
        <v>0</v>
      </c>
      <c r="Y46" s="7">
        <f>+[7]Resumen!Y46*1000</f>
        <v>0</v>
      </c>
      <c r="Z46" s="7">
        <f>+[7]Resumen!Z46*1000</f>
        <v>0</v>
      </c>
      <c r="AA46" s="7">
        <f>+[7]Resumen!AA46*1000</f>
        <v>0</v>
      </c>
      <c r="AB46" s="7">
        <f>+[7]Resumen!AB46*1000</f>
        <v>0</v>
      </c>
      <c r="AC46" s="7">
        <f>+[7]Resumen!AC46*1000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+[7]Resumen!E47</f>
        <v>20</v>
      </c>
      <c r="F47" s="7">
        <f>+[7]Resumen!F47*1000</f>
        <v>0</v>
      </c>
      <c r="G47" s="7">
        <f>+[7]Resumen!G47*1000</f>
        <v>0</v>
      </c>
      <c r="H47" s="7">
        <f>+[7]Resumen!H47*1000</f>
        <v>0</v>
      </c>
      <c r="I47" s="7">
        <f>+[7]Resumen!I47*1000</f>
        <v>0</v>
      </c>
      <c r="J47" s="7">
        <f>+[7]Resumen!J47*1000</f>
        <v>0</v>
      </c>
      <c r="K47" s="7">
        <f>+[7]Resumen!K47*1000</f>
        <v>0</v>
      </c>
      <c r="L47" s="7">
        <f>+[7]Resumen!L47*1000</f>
        <v>0</v>
      </c>
      <c r="M47" s="7">
        <f>+[7]Resumen!M47*1000</f>
        <v>146388.35721682888</v>
      </c>
      <c r="N47" s="7">
        <f>+[7]Resumen!N47*1000</f>
        <v>157441.55421142888</v>
      </c>
      <c r="O47" s="7">
        <f>+[7]Resumen!O47*1000</f>
        <v>164887.81935641018</v>
      </c>
      <c r="P47" s="7">
        <f>+[7]Resumen!P47*1000</f>
        <v>174976.1779124522</v>
      </c>
      <c r="Q47" s="7">
        <f>+[7]Resumen!Q47*1000</f>
        <v>184219.53933933057</v>
      </c>
      <c r="R47" s="7">
        <f>+[7]Resumen!R47*1000</f>
        <v>186398.05366518738</v>
      </c>
      <c r="S47" s="7">
        <f>+[7]Resumen!S47*1000</f>
        <v>183278.15402558778</v>
      </c>
      <c r="T47" s="7">
        <f>+[7]Resumen!T47*1000</f>
        <v>183586.90896673562</v>
      </c>
      <c r="U47" s="7">
        <f>+[7]Resumen!U47*1000</f>
        <v>183264.90561105081</v>
      </c>
      <c r="V47" s="7">
        <f>+[7]Resumen!V47*1000</f>
        <v>179624.50882603705</v>
      </c>
      <c r="W47" s="7">
        <f>+[7]Resumen!W47*1000</f>
        <v>0</v>
      </c>
      <c r="X47" s="7">
        <f>+[7]Resumen!X47*1000</f>
        <v>0</v>
      </c>
      <c r="Y47" s="7">
        <f>+[7]Resumen!Y47*1000</f>
        <v>0</v>
      </c>
      <c r="Z47" s="7">
        <f>+[7]Resumen!Z47*1000</f>
        <v>0</v>
      </c>
      <c r="AA47" s="7">
        <f>+[7]Resumen!AA47*1000</f>
        <v>0</v>
      </c>
      <c r="AB47" s="7">
        <f>+[7]Resumen!AB47*1000</f>
        <v>0</v>
      </c>
      <c r="AC47" s="7">
        <f>+[7]Resumen!AC47*1000</f>
        <v>0</v>
      </c>
      <c r="AD47" s="60">
        <f t="shared" ref="AD47" si="6">SUM(F47:AC47)*E47+SUM(F48:AC48)*E48+SUM(F49:AC49)*E49+SUM(F50:AC50)*E50</f>
        <v>49538572.526344962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+[7]Resumen!E48</f>
        <v>4</v>
      </c>
      <c r="F48" s="7">
        <f>+[7]Resumen!F48*1000</f>
        <v>0</v>
      </c>
      <c r="G48" s="7">
        <f>+[7]Resumen!G48*1000</f>
        <v>0</v>
      </c>
      <c r="H48" s="7">
        <f>+[7]Resumen!H48*1000</f>
        <v>0</v>
      </c>
      <c r="I48" s="7">
        <f>+[7]Resumen!I48*1000</f>
        <v>0</v>
      </c>
      <c r="J48" s="7">
        <f>+[7]Resumen!J48*1000</f>
        <v>0</v>
      </c>
      <c r="K48" s="7">
        <f>+[7]Resumen!K48*1000</f>
        <v>0</v>
      </c>
      <c r="L48" s="7">
        <f>+[7]Resumen!L48*1000</f>
        <v>0</v>
      </c>
      <c r="M48" s="7">
        <f>+[7]Resumen!M48*1000</f>
        <v>132873.5766568775</v>
      </c>
      <c r="N48" s="7">
        <f>+[7]Resumen!N48*1000</f>
        <v>148430.39974945082</v>
      </c>
      <c r="O48" s="7">
        <f>+[7]Resumen!O48*1000</f>
        <v>157989.81310197257</v>
      </c>
      <c r="P48" s="7">
        <f>+[7]Resumen!P48*1000</f>
        <v>166761.54267180825</v>
      </c>
      <c r="Q48" s="7">
        <f>+[7]Resumen!Q48*1000</f>
        <v>173003.3278692147</v>
      </c>
      <c r="R48" s="7">
        <f>+[7]Resumen!R48*1000</f>
        <v>173681.2596291946</v>
      </c>
      <c r="S48" s="7">
        <f>+[7]Resumen!S48*1000</f>
        <v>168880.33714839179</v>
      </c>
      <c r="T48" s="7">
        <f>+[7]Resumen!T48*1000</f>
        <v>164041.92413684705</v>
      </c>
      <c r="U48" s="7">
        <f>+[7]Resumen!U48*1000</f>
        <v>161543.54100114919</v>
      </c>
      <c r="V48" s="7">
        <f>+[7]Resumen!V48*1000</f>
        <v>159239.73041540841</v>
      </c>
      <c r="W48" s="7">
        <f>+[7]Resumen!W48*1000</f>
        <v>0</v>
      </c>
      <c r="X48" s="7">
        <f>+[7]Resumen!X48*1000</f>
        <v>0</v>
      </c>
      <c r="Y48" s="7">
        <f>+[7]Resumen!Y48*1000</f>
        <v>0</v>
      </c>
      <c r="Z48" s="7">
        <f>+[7]Resumen!Z48*1000</f>
        <v>0</v>
      </c>
      <c r="AA48" s="7">
        <f>+[7]Resumen!AA48*1000</f>
        <v>0</v>
      </c>
      <c r="AB48" s="7">
        <f>+[7]Resumen!AB48*1000</f>
        <v>0</v>
      </c>
      <c r="AC48" s="7">
        <f>+[7]Resumen!AC48*1000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+[7]Resumen!E49</f>
        <v>4</v>
      </c>
      <c r="F49" s="7">
        <f>+[7]Resumen!F49*1000</f>
        <v>0</v>
      </c>
      <c r="G49" s="7">
        <f>+[7]Resumen!G49*1000</f>
        <v>0</v>
      </c>
      <c r="H49" s="7">
        <f>+[7]Resumen!H49*1000</f>
        <v>0</v>
      </c>
      <c r="I49" s="7">
        <f>+[7]Resumen!I49*1000</f>
        <v>0</v>
      </c>
      <c r="J49" s="7">
        <f>+[7]Resumen!J49*1000</f>
        <v>0</v>
      </c>
      <c r="K49" s="7">
        <f>+[7]Resumen!K49*1000</f>
        <v>0</v>
      </c>
      <c r="L49" s="7">
        <f>+[7]Resumen!L49*1000</f>
        <v>0</v>
      </c>
      <c r="M49" s="7">
        <f>+[7]Resumen!M49*1000</f>
        <v>105014.36658300029</v>
      </c>
      <c r="N49" s="7">
        <f>+[7]Resumen!N49*1000</f>
        <v>117781.32086517649</v>
      </c>
      <c r="O49" s="7">
        <f>+[7]Resumen!O49*1000</f>
        <v>128558.61436973672</v>
      </c>
      <c r="P49" s="7">
        <f>+[7]Resumen!P49*1000</f>
        <v>136911.14285303294</v>
      </c>
      <c r="Q49" s="7">
        <f>+[7]Resumen!Q49*1000</f>
        <v>145261.95421278378</v>
      </c>
      <c r="R49" s="7">
        <f>+[7]Resumen!R49*1000</f>
        <v>150804.42898772613</v>
      </c>
      <c r="S49" s="7">
        <f>+[7]Resumen!S49*1000</f>
        <v>151419.20507019677</v>
      </c>
      <c r="T49" s="7">
        <f>+[7]Resumen!T49*1000</f>
        <v>147957.38439047241</v>
      </c>
      <c r="U49" s="7">
        <f>+[7]Resumen!U49*1000</f>
        <v>144788.86928342225</v>
      </c>
      <c r="V49" s="7">
        <f>+[7]Resumen!V49*1000</f>
        <v>141814.34486494368</v>
      </c>
      <c r="W49" s="7">
        <f>+[7]Resumen!W49*1000</f>
        <v>0</v>
      </c>
      <c r="X49" s="7">
        <f>+[7]Resumen!X49*1000</f>
        <v>0</v>
      </c>
      <c r="Y49" s="7">
        <f>+[7]Resumen!Y49*1000</f>
        <v>0</v>
      </c>
      <c r="Z49" s="7">
        <f>+[7]Resumen!Z49*1000</f>
        <v>0</v>
      </c>
      <c r="AA49" s="7">
        <f>+[7]Resumen!AA49*1000</f>
        <v>0</v>
      </c>
      <c r="AB49" s="7">
        <f>+[7]Resumen!AB49*1000</f>
        <v>0</v>
      </c>
      <c r="AC49" s="7">
        <f>+[7]Resumen!AC49*1000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+[7]Resumen!E50</f>
        <v>2</v>
      </c>
      <c r="F50" s="7">
        <f>+[7]Resumen!F50*1000</f>
        <v>0</v>
      </c>
      <c r="G50" s="7">
        <f>+[7]Resumen!G50*1000</f>
        <v>0</v>
      </c>
      <c r="H50" s="7">
        <f>+[7]Resumen!H50*1000</f>
        <v>0</v>
      </c>
      <c r="I50" s="7">
        <f>+[7]Resumen!I50*1000</f>
        <v>0</v>
      </c>
      <c r="J50" s="7">
        <f>+[7]Resumen!J50*1000</f>
        <v>0</v>
      </c>
      <c r="K50" s="7">
        <f>+[7]Resumen!K50*1000</f>
        <v>0</v>
      </c>
      <c r="L50" s="7">
        <f>+[7]Resumen!L50*1000</f>
        <v>0</v>
      </c>
      <c r="M50" s="7">
        <f>+[7]Resumen!M50*1000</f>
        <v>102372.34748575781</v>
      </c>
      <c r="N50" s="7">
        <f>+[7]Resumen!N50*1000</f>
        <v>115359.44775824448</v>
      </c>
      <c r="O50" s="7">
        <f>+[7]Resumen!O50*1000</f>
        <v>125848.76573015966</v>
      </c>
      <c r="P50" s="7">
        <f>+[7]Resumen!P50*1000</f>
        <v>136858.22667099346</v>
      </c>
      <c r="Q50" s="7">
        <f>+[7]Resumen!Q50*1000</f>
        <v>147429.32462819104</v>
      </c>
      <c r="R50" s="7">
        <f>+[7]Resumen!R50*1000</f>
        <v>154341.21807977368</v>
      </c>
      <c r="S50" s="7">
        <f>+[7]Resumen!S50*1000</f>
        <v>154006.69837971905</v>
      </c>
      <c r="T50" s="7">
        <f>+[7]Resumen!T50*1000</f>
        <v>149131.3687930927</v>
      </c>
      <c r="U50" s="7">
        <f>+[7]Resumen!U50*1000</f>
        <v>145655.59608927547</v>
      </c>
      <c r="V50" s="7">
        <f>+[7]Resumen!V50*1000</f>
        <v>144109.3105251659</v>
      </c>
      <c r="W50" s="7">
        <f>+[7]Resumen!W50*1000</f>
        <v>0</v>
      </c>
      <c r="X50" s="7">
        <f>+[7]Resumen!X50*1000</f>
        <v>0</v>
      </c>
      <c r="Y50" s="7">
        <f>+[7]Resumen!Y50*1000</f>
        <v>0</v>
      </c>
      <c r="Z50" s="7">
        <f>+[7]Resumen!Z50*1000</f>
        <v>0</v>
      </c>
      <c r="AA50" s="7">
        <f>+[7]Resumen!AA50*1000</f>
        <v>0</v>
      </c>
      <c r="AB50" s="7">
        <f>+[7]Resumen!AB50*1000</f>
        <v>0</v>
      </c>
      <c r="AC50" s="7">
        <f>+[7]Resumen!AC50*1000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+[7]Resumen!E51</f>
        <v>22</v>
      </c>
      <c r="F51" s="7">
        <f>+[7]Resumen!F51*1000</f>
        <v>0</v>
      </c>
      <c r="G51" s="7">
        <f>+[7]Resumen!G51*1000</f>
        <v>0</v>
      </c>
      <c r="H51" s="7">
        <f>+[7]Resumen!H51*1000</f>
        <v>0</v>
      </c>
      <c r="I51" s="7">
        <f>+[7]Resumen!I51*1000</f>
        <v>0</v>
      </c>
      <c r="J51" s="7">
        <f>+[7]Resumen!J51*1000</f>
        <v>0</v>
      </c>
      <c r="K51" s="7">
        <f>+[7]Resumen!K51*1000</f>
        <v>0</v>
      </c>
      <c r="L51" s="7">
        <f>+[7]Resumen!L51*1000</f>
        <v>0</v>
      </c>
      <c r="M51" s="7">
        <f>+[7]Resumen!M51*1000</f>
        <v>133853.12923145187</v>
      </c>
      <c r="N51" s="7">
        <f>+[7]Resumen!N51*1000</f>
        <v>147352.37504109583</v>
      </c>
      <c r="O51" s="7">
        <f>+[7]Resumen!O51*1000</f>
        <v>155560.42481252548</v>
      </c>
      <c r="P51" s="7">
        <f>+[7]Resumen!P51*1000</f>
        <v>164891.05754151242</v>
      </c>
      <c r="Q51" s="7">
        <f>+[7]Resumen!Q51*1000</f>
        <v>173751.63323394593</v>
      </c>
      <c r="R51" s="7">
        <f>+[7]Resumen!R51*1000</f>
        <v>177334.96174996786</v>
      </c>
      <c r="S51" s="7">
        <f>+[7]Resumen!S51*1000</f>
        <v>174934.39773513688</v>
      </c>
      <c r="T51" s="7">
        <f>+[7]Resumen!T51*1000</f>
        <v>174991.13080137403</v>
      </c>
      <c r="U51" s="7">
        <f>+[7]Resumen!U51*1000</f>
        <v>174303.52875814936</v>
      </c>
      <c r="V51" s="7">
        <f>+[7]Resumen!V51*1000</f>
        <v>170318.27316547179</v>
      </c>
      <c r="W51" s="7">
        <f>+[7]Resumen!W51*1000</f>
        <v>0</v>
      </c>
      <c r="X51" s="7">
        <f>+[7]Resumen!X51*1000</f>
        <v>0</v>
      </c>
      <c r="Y51" s="7">
        <f>+[7]Resumen!Y51*1000</f>
        <v>0</v>
      </c>
      <c r="Z51" s="7">
        <f>+[7]Resumen!Z51*1000</f>
        <v>0</v>
      </c>
      <c r="AA51" s="7">
        <f>+[7]Resumen!AA51*1000</f>
        <v>0</v>
      </c>
      <c r="AB51" s="7">
        <f>+[7]Resumen!AB51*1000</f>
        <v>0</v>
      </c>
      <c r="AC51" s="7">
        <f>+[7]Resumen!AC51*1000</f>
        <v>0</v>
      </c>
      <c r="AD51" s="60">
        <f t="shared" ref="AD51" si="7">SUM(F51:AC51)*E51+SUM(F52:AC52)*E52+SUM(F53:AC53)*E53+SUM(F54:AC54)*E54</f>
        <v>48561112.418600641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+[7]Resumen!E52</f>
        <v>3</v>
      </c>
      <c r="F52" s="7">
        <f>+[7]Resumen!F52*1000</f>
        <v>0</v>
      </c>
      <c r="G52" s="7">
        <f>+[7]Resumen!G52*1000</f>
        <v>0</v>
      </c>
      <c r="H52" s="7">
        <f>+[7]Resumen!H52*1000</f>
        <v>0</v>
      </c>
      <c r="I52" s="7">
        <f>+[7]Resumen!I52*1000</f>
        <v>0</v>
      </c>
      <c r="J52" s="7">
        <f>+[7]Resumen!J52*1000</f>
        <v>0</v>
      </c>
      <c r="K52" s="7">
        <f>+[7]Resumen!K52*1000</f>
        <v>0</v>
      </c>
      <c r="L52" s="7">
        <f>+[7]Resumen!L52*1000</f>
        <v>0</v>
      </c>
      <c r="M52" s="7">
        <f>+[7]Resumen!M52*1000</f>
        <v>124953.67160061537</v>
      </c>
      <c r="N52" s="7">
        <f>+[7]Resumen!N52*1000</f>
        <v>139863.54547084481</v>
      </c>
      <c r="O52" s="7">
        <f>+[7]Resumen!O52*1000</f>
        <v>149860.76050050309</v>
      </c>
      <c r="P52" s="7">
        <f>+[7]Resumen!P52*1000</f>
        <v>157921.86971719298</v>
      </c>
      <c r="Q52" s="7">
        <f>+[7]Resumen!Q52*1000</f>
        <v>163714.75201793021</v>
      </c>
      <c r="R52" s="7">
        <f>+[7]Resumen!R52*1000</f>
        <v>164847.17444125476</v>
      </c>
      <c r="S52" s="7">
        <f>+[7]Resumen!S52*1000</f>
        <v>161292.79985374471</v>
      </c>
      <c r="T52" s="7">
        <f>+[7]Resumen!T52*1000</f>
        <v>157294.99155036075</v>
      </c>
      <c r="U52" s="7">
        <f>+[7]Resumen!U52*1000</f>
        <v>154448.57150540946</v>
      </c>
      <c r="V52" s="7">
        <f>+[7]Resumen!V52*1000</f>
        <v>151562.42677173315</v>
      </c>
      <c r="W52" s="7">
        <f>+[7]Resumen!W52*1000</f>
        <v>0</v>
      </c>
      <c r="X52" s="7">
        <f>+[7]Resumen!X52*1000</f>
        <v>0</v>
      </c>
      <c r="Y52" s="7">
        <f>+[7]Resumen!Y52*1000</f>
        <v>0</v>
      </c>
      <c r="Z52" s="7">
        <f>+[7]Resumen!Z52*1000</f>
        <v>0</v>
      </c>
      <c r="AA52" s="7">
        <f>+[7]Resumen!AA52*1000</f>
        <v>0</v>
      </c>
      <c r="AB52" s="7">
        <f>+[7]Resumen!AB52*1000</f>
        <v>0</v>
      </c>
      <c r="AC52" s="7">
        <f>+[7]Resumen!AC52*1000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+[7]Resumen!E53</f>
        <v>4</v>
      </c>
      <c r="F53" s="7">
        <f>+[7]Resumen!F53*1000</f>
        <v>0</v>
      </c>
      <c r="G53" s="7">
        <f>+[7]Resumen!G53*1000</f>
        <v>0</v>
      </c>
      <c r="H53" s="7">
        <f>+[7]Resumen!H53*1000</f>
        <v>0</v>
      </c>
      <c r="I53" s="7">
        <f>+[7]Resumen!I53*1000</f>
        <v>0</v>
      </c>
      <c r="J53" s="7">
        <f>+[7]Resumen!J53*1000</f>
        <v>0</v>
      </c>
      <c r="K53" s="7">
        <f>+[7]Resumen!K53*1000</f>
        <v>0</v>
      </c>
      <c r="L53" s="7">
        <f>+[7]Resumen!L53*1000</f>
        <v>0</v>
      </c>
      <c r="M53" s="7">
        <f>+[7]Resumen!M53*1000</f>
        <v>102063.70954934511</v>
      </c>
      <c r="N53" s="7">
        <f>+[7]Resumen!N53*1000</f>
        <v>114443.11568812725</v>
      </c>
      <c r="O53" s="7">
        <f>+[7]Resumen!O53*1000</f>
        <v>124804.04151811247</v>
      </c>
      <c r="P53" s="7">
        <f>+[7]Resumen!P53*1000</f>
        <v>133294.48854238214</v>
      </c>
      <c r="Q53" s="7">
        <f>+[7]Resumen!Q53*1000</f>
        <v>141151.34543899971</v>
      </c>
      <c r="R53" s="7">
        <f>+[7]Resumen!R53*1000</f>
        <v>145963.71857239556</v>
      </c>
      <c r="S53" s="7">
        <f>+[7]Resumen!S53*1000</f>
        <v>146316.41195387847</v>
      </c>
      <c r="T53" s="7">
        <f>+[7]Resumen!T53*1000</f>
        <v>143282.13606322516</v>
      </c>
      <c r="U53" s="7">
        <f>+[7]Resumen!U53*1000</f>
        <v>141609.16757500573</v>
      </c>
      <c r="V53" s="7">
        <f>+[7]Resumen!V53*1000</f>
        <v>139413.07407826668</v>
      </c>
      <c r="W53" s="7">
        <f>+[7]Resumen!W53*1000</f>
        <v>0</v>
      </c>
      <c r="X53" s="7">
        <f>+[7]Resumen!X53*1000</f>
        <v>0</v>
      </c>
      <c r="Y53" s="7">
        <f>+[7]Resumen!Y53*1000</f>
        <v>0</v>
      </c>
      <c r="Z53" s="7">
        <f>+[7]Resumen!Z53*1000</f>
        <v>0</v>
      </c>
      <c r="AA53" s="7">
        <f>+[7]Resumen!AA53*1000</f>
        <v>0</v>
      </c>
      <c r="AB53" s="7">
        <f>+[7]Resumen!AB53*1000</f>
        <v>0</v>
      </c>
      <c r="AC53" s="7">
        <f>+[7]Resumen!AC53*1000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+[7]Resumen!E54</f>
        <v>2</v>
      </c>
      <c r="F54" s="7">
        <f>+[7]Resumen!F54*1000</f>
        <v>0</v>
      </c>
      <c r="G54" s="7">
        <f>+[7]Resumen!G54*1000</f>
        <v>0</v>
      </c>
      <c r="H54" s="7">
        <f>+[7]Resumen!H54*1000</f>
        <v>0</v>
      </c>
      <c r="I54" s="7">
        <f>+[7]Resumen!I54*1000</f>
        <v>0</v>
      </c>
      <c r="J54" s="7">
        <f>+[7]Resumen!J54*1000</f>
        <v>0</v>
      </c>
      <c r="K54" s="7">
        <f>+[7]Resumen!K54*1000</f>
        <v>0</v>
      </c>
      <c r="L54" s="7">
        <f>+[7]Resumen!L54*1000</f>
        <v>0</v>
      </c>
      <c r="M54" s="7">
        <f>+[7]Resumen!M54*1000</f>
        <v>90821.516703447938</v>
      </c>
      <c r="N54" s="7">
        <f>+[7]Resumen!N54*1000</f>
        <v>100126.01942901711</v>
      </c>
      <c r="O54" s="7">
        <f>+[7]Resumen!O54*1000</f>
        <v>109468.82381274873</v>
      </c>
      <c r="P54" s="7">
        <f>+[7]Resumen!P54*1000</f>
        <v>118449.48114862714</v>
      </c>
      <c r="Q54" s="7">
        <f>+[7]Resumen!Q54*1000</f>
        <v>126997.9561969458</v>
      </c>
      <c r="R54" s="7">
        <f>+[7]Resumen!R54*1000</f>
        <v>133442.76358356053</v>
      </c>
      <c r="S54" s="7">
        <f>+[7]Resumen!S54*1000</f>
        <v>134364.64705401659</v>
      </c>
      <c r="T54" s="7">
        <f>+[7]Resumen!T54*1000</f>
        <v>131902.78520713301</v>
      </c>
      <c r="U54" s="7">
        <f>+[7]Resumen!U54*1000</f>
        <v>131260.40233174968</v>
      </c>
      <c r="V54" s="7">
        <f>+[7]Resumen!V54*1000</f>
        <v>130198.5179522637</v>
      </c>
      <c r="W54" s="7">
        <f>+[7]Resumen!W54*1000</f>
        <v>0</v>
      </c>
      <c r="X54" s="7">
        <f>+[7]Resumen!X54*1000</f>
        <v>0</v>
      </c>
      <c r="Y54" s="7">
        <f>+[7]Resumen!Y54*1000</f>
        <v>0</v>
      </c>
      <c r="Z54" s="7">
        <f>+[7]Resumen!Z54*1000</f>
        <v>0</v>
      </c>
      <c r="AA54" s="7">
        <f>+[7]Resumen!AA54*1000</f>
        <v>0</v>
      </c>
      <c r="AB54" s="7">
        <f>+[7]Resumen!AB54*1000</f>
        <v>0</v>
      </c>
      <c r="AC54" s="7">
        <f>+[7]Resumen!AC54*1000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582494215.72425783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C54 F55:Y55 AD51:AD5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08F1-5DB3-4878-8FC7-D3EB42CE5B20}">
  <dimension ref="C1:BD57"/>
  <sheetViews>
    <sheetView showGridLines="0" topLeftCell="A45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2033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+[8]Resumen!E7</f>
        <v>20</v>
      </c>
      <c r="F7" s="7">
        <f>+[8]Resumen!F7*1000</f>
        <v>0</v>
      </c>
      <c r="G7" s="7">
        <f>+[8]Resumen!G7*1000</f>
        <v>0</v>
      </c>
      <c r="H7" s="7">
        <f>+[8]Resumen!H7*1000</f>
        <v>0</v>
      </c>
      <c r="I7" s="7">
        <f>+[8]Resumen!I7*1000</f>
        <v>0</v>
      </c>
      <c r="J7" s="7">
        <f>+[8]Resumen!J7*1000</f>
        <v>0</v>
      </c>
      <c r="K7" s="7">
        <f>+[8]Resumen!K7*1000</f>
        <v>0</v>
      </c>
      <c r="L7" s="7">
        <f>+[8]Resumen!L7*1000</f>
        <v>0</v>
      </c>
      <c r="M7" s="7">
        <f>+[8]Resumen!M7*1000</f>
        <v>205994.19527515362</v>
      </c>
      <c r="N7" s="7">
        <f>+[8]Resumen!N7*1000</f>
        <v>223287.31794386086</v>
      </c>
      <c r="O7" s="7">
        <f>+[8]Resumen!O7*1000</f>
        <v>234704.00912701769</v>
      </c>
      <c r="P7" s="7">
        <f>+[8]Resumen!P7*1000</f>
        <v>249713.91475567341</v>
      </c>
      <c r="Q7" s="7">
        <f>+[8]Resumen!Q7*1000</f>
        <v>262698.82309027307</v>
      </c>
      <c r="R7" s="7">
        <f>+[8]Resumen!R7*1000</f>
        <v>267138.52461490576</v>
      </c>
      <c r="S7" s="7">
        <f>+[8]Resumen!S7*1000</f>
        <v>264540.40512075473</v>
      </c>
      <c r="T7" s="7">
        <f>+[8]Resumen!T7*1000</f>
        <v>266349.54375909787</v>
      </c>
      <c r="U7" s="7">
        <f>+[8]Resumen!U7*1000</f>
        <v>266015.43408878491</v>
      </c>
      <c r="V7" s="7">
        <f>+[8]Resumen!V7*1000</f>
        <v>259862.84309976344</v>
      </c>
      <c r="W7" s="7">
        <f>+[8]Resumen!W7*1000</f>
        <v>0</v>
      </c>
      <c r="X7" s="7">
        <f>+[8]Resumen!X7*1000</f>
        <v>0</v>
      </c>
      <c r="Y7" s="7">
        <f>+[8]Resumen!Y7*1000</f>
        <v>0</v>
      </c>
      <c r="Z7" s="7">
        <f>+[8]Resumen!Z7*1000</f>
        <v>0</v>
      </c>
      <c r="AA7" s="7">
        <f>+[8]Resumen!AA7*1000</f>
        <v>0</v>
      </c>
      <c r="AB7" s="7">
        <f>+[8]Resumen!AB7*1000</f>
        <v>0</v>
      </c>
      <c r="AC7" s="7">
        <f>+[8]Resumen!AC7*1000</f>
        <v>0</v>
      </c>
      <c r="AD7" s="60">
        <f>SUM(F7:AC7)*E7+SUM(F8:AC8)*E8+SUM(F9:AC9)*E9+SUM(F10:AC10)*E10</f>
        <v>72688812.449692562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+[8]Resumen!E8</f>
        <v>4</v>
      </c>
      <c r="F8" s="7">
        <f>+[8]Resumen!F8*1000</f>
        <v>0</v>
      </c>
      <c r="G8" s="7">
        <f>+[8]Resumen!G8*1000</f>
        <v>0</v>
      </c>
      <c r="H8" s="7">
        <f>+[8]Resumen!H8*1000</f>
        <v>0</v>
      </c>
      <c r="I8" s="7">
        <f>+[8]Resumen!I8*1000</f>
        <v>0</v>
      </c>
      <c r="J8" s="7">
        <f>+[8]Resumen!J8*1000</f>
        <v>0</v>
      </c>
      <c r="K8" s="7">
        <f>+[8]Resumen!K8*1000</f>
        <v>0</v>
      </c>
      <c r="L8" s="7">
        <f>+[8]Resumen!L8*1000</f>
        <v>0</v>
      </c>
      <c r="M8" s="7">
        <f>+[8]Resumen!M8*1000</f>
        <v>186650.97474600407</v>
      </c>
      <c r="N8" s="7">
        <f>+[8]Resumen!N8*1000</f>
        <v>206779.29828435057</v>
      </c>
      <c r="O8" s="7">
        <f>+[8]Resumen!O8*1000</f>
        <v>221619.7018392187</v>
      </c>
      <c r="P8" s="7">
        <f>+[8]Resumen!P8*1000</f>
        <v>234432.99492889535</v>
      </c>
      <c r="Q8" s="7">
        <f>+[8]Resumen!Q8*1000</f>
        <v>245064.9560154085</v>
      </c>
      <c r="R8" s="7">
        <f>+[8]Resumen!R8*1000</f>
        <v>247387.29779751215</v>
      </c>
      <c r="S8" s="7">
        <f>+[8]Resumen!S8*1000</f>
        <v>242506.09000692909</v>
      </c>
      <c r="T8" s="7">
        <f>+[8]Resumen!T8*1000</f>
        <v>236653.87120073329</v>
      </c>
      <c r="U8" s="7">
        <f>+[8]Resumen!U8*1000</f>
        <v>233626.07431561183</v>
      </c>
      <c r="V8" s="7">
        <f>+[8]Resumen!V8*1000</f>
        <v>230352.61906627595</v>
      </c>
      <c r="W8" s="7">
        <f>+[8]Resumen!W8*1000</f>
        <v>0</v>
      </c>
      <c r="X8" s="7">
        <f>+[8]Resumen!X8*1000</f>
        <v>0</v>
      </c>
      <c r="Y8" s="7">
        <f>+[8]Resumen!Y8*1000</f>
        <v>0</v>
      </c>
      <c r="Z8" s="7">
        <f>+[8]Resumen!Z8*1000</f>
        <v>0</v>
      </c>
      <c r="AA8" s="7">
        <f>+[8]Resumen!AA8*1000</f>
        <v>0</v>
      </c>
      <c r="AB8" s="7">
        <f>+[8]Resumen!AB8*1000</f>
        <v>0</v>
      </c>
      <c r="AC8" s="7">
        <f>+[8]Resumen!AC8*1000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+[8]Resumen!E9</f>
        <v>5</v>
      </c>
      <c r="F9" s="7">
        <f>+[8]Resumen!F9*1000</f>
        <v>0</v>
      </c>
      <c r="G9" s="7">
        <f>+[8]Resumen!G9*1000</f>
        <v>0</v>
      </c>
      <c r="H9" s="7">
        <f>+[8]Resumen!H9*1000</f>
        <v>0</v>
      </c>
      <c r="I9" s="7">
        <f>+[8]Resumen!I9*1000</f>
        <v>0</v>
      </c>
      <c r="J9" s="7">
        <f>+[8]Resumen!J9*1000</f>
        <v>0</v>
      </c>
      <c r="K9" s="7">
        <f>+[8]Resumen!K9*1000</f>
        <v>0</v>
      </c>
      <c r="L9" s="7">
        <f>+[8]Resumen!L9*1000</f>
        <v>0</v>
      </c>
      <c r="M9" s="7">
        <f>+[8]Resumen!M9*1000</f>
        <v>154759.03370488525</v>
      </c>
      <c r="N9" s="7">
        <f>+[8]Resumen!N9*1000</f>
        <v>170563.4472861212</v>
      </c>
      <c r="O9" s="7">
        <f>+[8]Resumen!O9*1000</f>
        <v>185081.36361192146</v>
      </c>
      <c r="P9" s="7">
        <f>+[8]Resumen!P9*1000</f>
        <v>196525.39727621962</v>
      </c>
      <c r="Q9" s="7">
        <f>+[8]Resumen!Q9*1000</f>
        <v>209571.41665549393</v>
      </c>
      <c r="R9" s="7">
        <f>+[8]Resumen!R9*1000</f>
        <v>218025.9657600887</v>
      </c>
      <c r="S9" s="7">
        <f>+[8]Resumen!S9*1000</f>
        <v>219788.01974914051</v>
      </c>
      <c r="T9" s="7">
        <f>+[8]Resumen!T9*1000</f>
        <v>215903.12997429151</v>
      </c>
      <c r="U9" s="7">
        <f>+[8]Resumen!U9*1000</f>
        <v>212456.68769456859</v>
      </c>
      <c r="V9" s="7">
        <f>+[8]Resumen!V9*1000</f>
        <v>209204.81253953825</v>
      </c>
      <c r="W9" s="7">
        <f>+[8]Resumen!W9*1000</f>
        <v>0</v>
      </c>
      <c r="X9" s="7">
        <f>+[8]Resumen!X9*1000</f>
        <v>0</v>
      </c>
      <c r="Y9" s="7">
        <f>+[8]Resumen!Y9*1000</f>
        <v>0</v>
      </c>
      <c r="Z9" s="7">
        <f>+[8]Resumen!Z9*1000</f>
        <v>0</v>
      </c>
      <c r="AA9" s="7">
        <f>+[8]Resumen!AA9*1000</f>
        <v>0</v>
      </c>
      <c r="AB9" s="7">
        <f>+[8]Resumen!AB9*1000</f>
        <v>0</v>
      </c>
      <c r="AC9" s="7">
        <f>+[8]Resumen!AC9*1000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+[8]Resumen!E10</f>
        <v>2</v>
      </c>
      <c r="F10" s="7">
        <f>+[8]Resumen!F10*1000</f>
        <v>0</v>
      </c>
      <c r="G10" s="7">
        <f>+[8]Resumen!G10*1000</f>
        <v>0</v>
      </c>
      <c r="H10" s="7">
        <f>+[8]Resumen!H10*1000</f>
        <v>0</v>
      </c>
      <c r="I10" s="7">
        <f>+[8]Resumen!I10*1000</f>
        <v>0</v>
      </c>
      <c r="J10" s="7">
        <f>+[8]Resumen!J10*1000</f>
        <v>0</v>
      </c>
      <c r="K10" s="7">
        <f>+[8]Resumen!K10*1000</f>
        <v>0</v>
      </c>
      <c r="L10" s="7">
        <f>+[8]Resumen!L10*1000</f>
        <v>0</v>
      </c>
      <c r="M10" s="7">
        <f>+[8]Resumen!M10*1000</f>
        <v>138417.88131439596</v>
      </c>
      <c r="N10" s="7">
        <f>+[8]Resumen!N10*1000</f>
        <v>149809.1567312702</v>
      </c>
      <c r="O10" s="7">
        <f>+[8]Resumen!O10*1000</f>
        <v>161841.61532865485</v>
      </c>
      <c r="P10" s="7">
        <f>+[8]Resumen!P10*1000</f>
        <v>174675.76044527104</v>
      </c>
      <c r="Q10" s="7">
        <f>+[8]Resumen!Q10*1000</f>
        <v>188332.93688536104</v>
      </c>
      <c r="R10" s="7">
        <f>+[8]Resumen!R10*1000</f>
        <v>198308.4808696174</v>
      </c>
      <c r="S10" s="7">
        <f>+[8]Resumen!S10*1000</f>
        <v>199728.00801929587</v>
      </c>
      <c r="T10" s="7">
        <f>+[8]Resumen!T10*1000</f>
        <v>196448.21103683594</v>
      </c>
      <c r="U10" s="7">
        <f>+[8]Resumen!U10*1000</f>
        <v>193146.31676587454</v>
      </c>
      <c r="V10" s="7">
        <f>+[8]Resumen!V10*1000</f>
        <v>190801.80666430682</v>
      </c>
      <c r="W10" s="7">
        <f>+[8]Resumen!W10*1000</f>
        <v>0</v>
      </c>
      <c r="X10" s="7">
        <f>+[8]Resumen!X10*1000</f>
        <v>0</v>
      </c>
      <c r="Y10" s="7">
        <f>+[8]Resumen!Y10*1000</f>
        <v>0</v>
      </c>
      <c r="Z10" s="7">
        <f>+[8]Resumen!Z10*1000</f>
        <v>0</v>
      </c>
      <c r="AA10" s="7">
        <f>+[8]Resumen!AA10*1000</f>
        <v>0</v>
      </c>
      <c r="AB10" s="7">
        <f>+[8]Resumen!AB10*1000</f>
        <v>0</v>
      </c>
      <c r="AC10" s="7">
        <f>+[8]Resumen!AC10*1000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+[8]Resumen!E11</f>
        <v>20</v>
      </c>
      <c r="F11" s="7">
        <f>+[8]Resumen!F11*1000</f>
        <v>0</v>
      </c>
      <c r="G11" s="7">
        <f>+[8]Resumen!G11*1000</f>
        <v>0</v>
      </c>
      <c r="H11" s="7">
        <f>+[8]Resumen!H11*1000</f>
        <v>0</v>
      </c>
      <c r="I11" s="7">
        <f>+[8]Resumen!I11*1000</f>
        <v>0</v>
      </c>
      <c r="J11" s="7">
        <f>+[8]Resumen!J11*1000</f>
        <v>0</v>
      </c>
      <c r="K11" s="7">
        <f>+[8]Resumen!K11*1000</f>
        <v>0</v>
      </c>
      <c r="L11" s="7">
        <f>+[8]Resumen!L11*1000</f>
        <v>0</v>
      </c>
      <c r="M11" s="7">
        <f>+[8]Resumen!M11*1000</f>
        <v>233623.6947783668</v>
      </c>
      <c r="N11" s="7">
        <f>+[8]Resumen!N11*1000</f>
        <v>248717.91859898838</v>
      </c>
      <c r="O11" s="7">
        <f>+[8]Resumen!O11*1000</f>
        <v>258757.20399325082</v>
      </c>
      <c r="P11" s="7">
        <f>+[8]Resumen!P11*1000</f>
        <v>274197.49288306711</v>
      </c>
      <c r="Q11" s="7">
        <f>+[8]Resumen!Q11*1000</f>
        <v>286705.31065920333</v>
      </c>
      <c r="R11" s="7">
        <f>+[8]Resumen!R11*1000</f>
        <v>287430.49683178327</v>
      </c>
      <c r="S11" s="7">
        <f>+[8]Resumen!S11*1000</f>
        <v>283835.83956985787</v>
      </c>
      <c r="T11" s="7">
        <f>+[8]Resumen!T11*1000</f>
        <v>286063.64358026074</v>
      </c>
      <c r="U11" s="7">
        <f>+[8]Resumen!U11*1000</f>
        <v>286393.22058727674</v>
      </c>
      <c r="V11" s="7">
        <f>+[8]Resumen!V11*1000</f>
        <v>280447.8291356914</v>
      </c>
      <c r="W11" s="7">
        <f>+[8]Resumen!W11*1000</f>
        <v>0</v>
      </c>
      <c r="X11" s="7">
        <f>+[8]Resumen!X11*1000</f>
        <v>0</v>
      </c>
      <c r="Y11" s="7">
        <f>+[8]Resumen!Y11*1000</f>
        <v>0</v>
      </c>
      <c r="Z11" s="7">
        <f>+[8]Resumen!Z11*1000</f>
        <v>0</v>
      </c>
      <c r="AA11" s="7">
        <f>+[8]Resumen!AA11*1000</f>
        <v>0</v>
      </c>
      <c r="AB11" s="7">
        <f>+[8]Resumen!AB11*1000</f>
        <v>0</v>
      </c>
      <c r="AC11" s="7">
        <f>+[8]Resumen!AC11*1000</f>
        <v>0</v>
      </c>
      <c r="AD11" s="60">
        <f>SUM(F11:AC11)*E11+SUM(F12:AC12)*E12+SUM(F13:AC13)*E13+SUM(F14:AC14)*E14</f>
        <v>73686903.302803621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+[8]Resumen!E12</f>
        <v>4</v>
      </c>
      <c r="F12" s="7">
        <f>+[8]Resumen!F12*1000</f>
        <v>0</v>
      </c>
      <c r="G12" s="7">
        <f>+[8]Resumen!G12*1000</f>
        <v>0</v>
      </c>
      <c r="H12" s="7">
        <f>+[8]Resumen!H12*1000</f>
        <v>0</v>
      </c>
      <c r="I12" s="7">
        <f>+[8]Resumen!I12*1000</f>
        <v>0</v>
      </c>
      <c r="J12" s="7">
        <f>+[8]Resumen!J12*1000</f>
        <v>0</v>
      </c>
      <c r="K12" s="7">
        <f>+[8]Resumen!K12*1000</f>
        <v>0</v>
      </c>
      <c r="L12" s="7">
        <f>+[8]Resumen!L12*1000</f>
        <v>0</v>
      </c>
      <c r="M12" s="7">
        <f>+[8]Resumen!M12*1000</f>
        <v>214924.96258920318</v>
      </c>
      <c r="N12" s="7">
        <f>+[8]Resumen!N12*1000</f>
        <v>238296.12481231484</v>
      </c>
      <c r="O12" s="7">
        <f>+[8]Resumen!O12*1000</f>
        <v>253102.66435579371</v>
      </c>
      <c r="P12" s="7">
        <f>+[8]Resumen!P12*1000</f>
        <v>266888.84190272004</v>
      </c>
      <c r="Q12" s="7">
        <f>+[8]Resumen!Q12*1000</f>
        <v>275254.4380450435</v>
      </c>
      <c r="R12" s="7">
        <f>+[8]Resumen!R12*1000</f>
        <v>275436.73457095795</v>
      </c>
      <c r="S12" s="7">
        <f>+[8]Resumen!S12*1000</f>
        <v>268176.26256066869</v>
      </c>
      <c r="T12" s="7">
        <f>+[8]Resumen!T12*1000</f>
        <v>261143.42036841527</v>
      </c>
      <c r="U12" s="7">
        <f>+[8]Resumen!U12*1000</f>
        <v>258433.92654472473</v>
      </c>
      <c r="V12" s="7">
        <f>+[8]Resumen!V12*1000</f>
        <v>255126.39197139442</v>
      </c>
      <c r="W12" s="7">
        <f>+[8]Resumen!W12*1000</f>
        <v>0</v>
      </c>
      <c r="X12" s="7">
        <f>+[8]Resumen!X12*1000</f>
        <v>0</v>
      </c>
      <c r="Y12" s="7">
        <f>+[8]Resumen!Y12*1000</f>
        <v>0</v>
      </c>
      <c r="Z12" s="7">
        <f>+[8]Resumen!Z12*1000</f>
        <v>0</v>
      </c>
      <c r="AA12" s="7">
        <f>+[8]Resumen!AA12*1000</f>
        <v>0</v>
      </c>
      <c r="AB12" s="7">
        <f>+[8]Resumen!AB12*1000</f>
        <v>0</v>
      </c>
      <c r="AC12" s="7">
        <f>+[8]Resumen!AC12*1000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+[8]Resumen!E13</f>
        <v>4</v>
      </c>
      <c r="F13" s="7">
        <f>+[8]Resumen!F13*1000</f>
        <v>0</v>
      </c>
      <c r="G13" s="7">
        <f>+[8]Resumen!G13*1000</f>
        <v>0</v>
      </c>
      <c r="H13" s="7">
        <f>+[8]Resumen!H13*1000</f>
        <v>0</v>
      </c>
      <c r="I13" s="7">
        <f>+[8]Resumen!I13*1000</f>
        <v>0</v>
      </c>
      <c r="J13" s="7">
        <f>+[8]Resumen!J13*1000</f>
        <v>0</v>
      </c>
      <c r="K13" s="7">
        <f>+[8]Resumen!K13*1000</f>
        <v>0</v>
      </c>
      <c r="L13" s="7">
        <f>+[8]Resumen!L13*1000</f>
        <v>0</v>
      </c>
      <c r="M13" s="7">
        <f>+[8]Resumen!M13*1000</f>
        <v>174426.21757529289</v>
      </c>
      <c r="N13" s="7">
        <f>+[8]Resumen!N13*1000</f>
        <v>192523.42849765244</v>
      </c>
      <c r="O13" s="7">
        <f>+[8]Resumen!O13*1000</f>
        <v>207877.31710041355</v>
      </c>
      <c r="P13" s="7">
        <f>+[8]Resumen!P13*1000</f>
        <v>220856.78046779128</v>
      </c>
      <c r="Q13" s="7">
        <f>+[8]Resumen!Q13*1000</f>
        <v>234848.84125962932</v>
      </c>
      <c r="R13" s="7">
        <f>+[8]Resumen!R13*1000</f>
        <v>243392.91601363086</v>
      </c>
      <c r="S13" s="7">
        <f>+[8]Resumen!S13*1000</f>
        <v>243830.413469633</v>
      </c>
      <c r="T13" s="7">
        <f>+[8]Resumen!T13*1000</f>
        <v>239208.2711374432</v>
      </c>
      <c r="U13" s="7">
        <f>+[8]Resumen!U13*1000</f>
        <v>235484.29312935003</v>
      </c>
      <c r="V13" s="7">
        <f>+[8]Resumen!V13*1000</f>
        <v>231630.32624009773</v>
      </c>
      <c r="W13" s="7">
        <f>+[8]Resumen!W13*1000</f>
        <v>0</v>
      </c>
      <c r="X13" s="7">
        <f>+[8]Resumen!X13*1000</f>
        <v>0</v>
      </c>
      <c r="Y13" s="7">
        <f>+[8]Resumen!Y13*1000</f>
        <v>0</v>
      </c>
      <c r="Z13" s="7">
        <f>+[8]Resumen!Z13*1000</f>
        <v>0</v>
      </c>
      <c r="AA13" s="7">
        <f>+[8]Resumen!AA13*1000</f>
        <v>0</v>
      </c>
      <c r="AB13" s="7">
        <f>+[8]Resumen!AB13*1000</f>
        <v>0</v>
      </c>
      <c r="AC13" s="7">
        <f>+[8]Resumen!AC13*1000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+[8]Resumen!E14</f>
        <v>0</v>
      </c>
      <c r="F14" s="7">
        <f>+[8]Resumen!F14*1000</f>
        <v>0</v>
      </c>
      <c r="G14" s="7">
        <f>+[8]Resumen!G14*1000</f>
        <v>0</v>
      </c>
      <c r="H14" s="7">
        <f>+[8]Resumen!H14*1000</f>
        <v>0</v>
      </c>
      <c r="I14" s="7">
        <f>+[8]Resumen!I14*1000</f>
        <v>0</v>
      </c>
      <c r="J14" s="7">
        <f>+[8]Resumen!J14*1000</f>
        <v>0</v>
      </c>
      <c r="K14" s="7">
        <f>+[8]Resumen!K14*1000</f>
        <v>0</v>
      </c>
      <c r="L14" s="7">
        <f>+[8]Resumen!L14*1000</f>
        <v>0</v>
      </c>
      <c r="M14" s="7">
        <f>+[8]Resumen!M14*1000</f>
        <v>0</v>
      </c>
      <c r="N14" s="7">
        <f>+[8]Resumen!N14*1000</f>
        <v>0</v>
      </c>
      <c r="O14" s="7">
        <f>+[8]Resumen!O14*1000</f>
        <v>0</v>
      </c>
      <c r="P14" s="7">
        <f>+[8]Resumen!P14*1000</f>
        <v>0</v>
      </c>
      <c r="Q14" s="7">
        <f>+[8]Resumen!Q14*1000</f>
        <v>0</v>
      </c>
      <c r="R14" s="7">
        <f>+[8]Resumen!R14*1000</f>
        <v>0</v>
      </c>
      <c r="S14" s="7">
        <f>+[8]Resumen!S14*1000</f>
        <v>0</v>
      </c>
      <c r="T14" s="7">
        <f>+[8]Resumen!T14*1000</f>
        <v>0</v>
      </c>
      <c r="U14" s="7">
        <f>+[8]Resumen!U14*1000</f>
        <v>0</v>
      </c>
      <c r="V14" s="7">
        <f>+[8]Resumen!V14*1000</f>
        <v>0</v>
      </c>
      <c r="W14" s="7">
        <f>+[8]Resumen!W14*1000</f>
        <v>0</v>
      </c>
      <c r="X14" s="7">
        <f>+[8]Resumen!X14*1000</f>
        <v>0</v>
      </c>
      <c r="Y14" s="7">
        <f>+[8]Resumen!Y14*1000</f>
        <v>0</v>
      </c>
      <c r="Z14" s="7">
        <f>+[8]Resumen!Z14*1000</f>
        <v>0</v>
      </c>
      <c r="AA14" s="7">
        <f>+[8]Resumen!AA14*1000</f>
        <v>0</v>
      </c>
      <c r="AB14" s="7">
        <f>+[8]Resumen!AB14*1000</f>
        <v>0</v>
      </c>
      <c r="AC14" s="7">
        <f>+[8]Resumen!AC14*1000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+[8]Resumen!E15</f>
        <v>22</v>
      </c>
      <c r="F15" s="7">
        <f>+[8]Resumen!F15*1000</f>
        <v>0</v>
      </c>
      <c r="G15" s="7">
        <f>+[8]Resumen!G15*1000</f>
        <v>0</v>
      </c>
      <c r="H15" s="7">
        <f>+[8]Resumen!H15*1000</f>
        <v>0</v>
      </c>
      <c r="I15" s="7">
        <f>+[8]Resumen!I15*1000</f>
        <v>0</v>
      </c>
      <c r="J15" s="7">
        <f>+[8]Resumen!J15*1000</f>
        <v>0</v>
      </c>
      <c r="K15" s="7">
        <f>+[8]Resumen!K15*1000</f>
        <v>0</v>
      </c>
      <c r="L15" s="7">
        <f>+[8]Resumen!L15*1000</f>
        <v>0</v>
      </c>
      <c r="M15" s="7">
        <f>+[8]Resumen!M15*1000</f>
        <v>211827.78177198916</v>
      </c>
      <c r="N15" s="7">
        <f>+[8]Resumen!N15*1000</f>
        <v>225462.16837169285</v>
      </c>
      <c r="O15" s="7">
        <f>+[8]Resumen!O15*1000</f>
        <v>234565.76289646365</v>
      </c>
      <c r="P15" s="7">
        <f>+[8]Resumen!P15*1000</f>
        <v>248669.81065989303</v>
      </c>
      <c r="Q15" s="7">
        <f>+[8]Resumen!Q15*1000</f>
        <v>260101.03211432375</v>
      </c>
      <c r="R15" s="7">
        <f>+[8]Resumen!R15*1000</f>
        <v>261293.51101197221</v>
      </c>
      <c r="S15" s="7">
        <f>+[8]Resumen!S15*1000</f>
        <v>257958.38534913168</v>
      </c>
      <c r="T15" s="7">
        <f>+[8]Resumen!T15*1000</f>
        <v>259816.26898551537</v>
      </c>
      <c r="U15" s="7">
        <f>+[8]Resumen!U15*1000</f>
        <v>259336.78335178399</v>
      </c>
      <c r="V15" s="7">
        <f>+[8]Resumen!V15*1000</f>
        <v>254065.99514858235</v>
      </c>
      <c r="W15" s="7">
        <f>+[8]Resumen!W15*1000</f>
        <v>0</v>
      </c>
      <c r="X15" s="7">
        <f>+[8]Resumen!X15*1000</f>
        <v>0</v>
      </c>
      <c r="Y15" s="7">
        <f>+[8]Resumen!Y15*1000</f>
        <v>0</v>
      </c>
      <c r="Z15" s="7">
        <f>+[8]Resumen!Z15*1000</f>
        <v>0</v>
      </c>
      <c r="AA15" s="7">
        <f>+[8]Resumen!AA15*1000</f>
        <v>0</v>
      </c>
      <c r="AB15" s="7">
        <f>+[8]Resumen!AB15*1000</f>
        <v>0</v>
      </c>
      <c r="AC15" s="7">
        <f>+[8]Resumen!AC15*1000</f>
        <v>0</v>
      </c>
      <c r="AD15" s="60">
        <f t="shared" ref="AD15" si="0">SUM(F15:AC15)*E15+SUM(F16:AC16)*E16+SUM(F17:AC17)*E17+SUM(F18:AC18)*E18</f>
        <v>73784623.767721608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+[8]Resumen!E16</f>
        <v>4</v>
      </c>
      <c r="F16" s="7">
        <f>+[8]Resumen!F16*1000</f>
        <v>0</v>
      </c>
      <c r="G16" s="7">
        <f>+[8]Resumen!G16*1000</f>
        <v>0</v>
      </c>
      <c r="H16" s="7">
        <f>+[8]Resumen!H16*1000</f>
        <v>0</v>
      </c>
      <c r="I16" s="7">
        <f>+[8]Resumen!I16*1000</f>
        <v>0</v>
      </c>
      <c r="J16" s="7">
        <f>+[8]Resumen!J16*1000</f>
        <v>0</v>
      </c>
      <c r="K16" s="7">
        <f>+[8]Resumen!K16*1000</f>
        <v>0</v>
      </c>
      <c r="L16" s="7">
        <f>+[8]Resumen!L16*1000</f>
        <v>0</v>
      </c>
      <c r="M16" s="7">
        <f>+[8]Resumen!M16*1000</f>
        <v>194794.93652747339</v>
      </c>
      <c r="N16" s="7">
        <f>+[8]Resumen!N16*1000</f>
        <v>214930.98246327814</v>
      </c>
      <c r="O16" s="7">
        <f>+[8]Resumen!O16*1000</f>
        <v>227887.09218200445</v>
      </c>
      <c r="P16" s="7">
        <f>+[8]Resumen!P16*1000</f>
        <v>240188.90906819727</v>
      </c>
      <c r="Q16" s="7">
        <f>+[8]Resumen!Q16*1000</f>
        <v>249464.01895060009</v>
      </c>
      <c r="R16" s="7">
        <f>+[8]Resumen!R16*1000</f>
        <v>250160.40428758913</v>
      </c>
      <c r="S16" s="7">
        <f>+[8]Resumen!S16*1000</f>
        <v>244640.95444228829</v>
      </c>
      <c r="T16" s="7">
        <f>+[8]Resumen!T16*1000</f>
        <v>239004.92281000703</v>
      </c>
      <c r="U16" s="7">
        <f>+[8]Resumen!U16*1000</f>
        <v>235331.59209791993</v>
      </c>
      <c r="V16" s="7">
        <f>+[8]Resumen!V16*1000</f>
        <v>231871.0834678972</v>
      </c>
      <c r="W16" s="7">
        <f>+[8]Resumen!W16*1000</f>
        <v>0</v>
      </c>
      <c r="X16" s="7">
        <f>+[8]Resumen!X16*1000</f>
        <v>0</v>
      </c>
      <c r="Y16" s="7">
        <f>+[8]Resumen!Y16*1000</f>
        <v>0</v>
      </c>
      <c r="Z16" s="7">
        <f>+[8]Resumen!Z16*1000</f>
        <v>0</v>
      </c>
      <c r="AA16" s="7">
        <f>+[8]Resumen!AA16*1000</f>
        <v>0</v>
      </c>
      <c r="AB16" s="7">
        <f>+[8]Resumen!AB16*1000</f>
        <v>0</v>
      </c>
      <c r="AC16" s="7">
        <f>+[8]Resumen!AC16*1000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+[8]Resumen!E17</f>
        <v>4</v>
      </c>
      <c r="F17" s="7">
        <f>+[8]Resumen!F17*1000</f>
        <v>0</v>
      </c>
      <c r="G17" s="7">
        <f>+[8]Resumen!G17*1000</f>
        <v>0</v>
      </c>
      <c r="H17" s="7">
        <f>+[8]Resumen!H17*1000</f>
        <v>0</v>
      </c>
      <c r="I17" s="7">
        <f>+[8]Resumen!I17*1000</f>
        <v>0</v>
      </c>
      <c r="J17" s="7">
        <f>+[8]Resumen!J17*1000</f>
        <v>0</v>
      </c>
      <c r="K17" s="7">
        <f>+[8]Resumen!K17*1000</f>
        <v>0</v>
      </c>
      <c r="L17" s="7">
        <f>+[8]Resumen!L17*1000</f>
        <v>0</v>
      </c>
      <c r="M17" s="7">
        <f>+[8]Resumen!M17*1000</f>
        <v>156709.27091087177</v>
      </c>
      <c r="N17" s="7">
        <f>+[8]Resumen!N17*1000</f>
        <v>173508.73948853911</v>
      </c>
      <c r="O17" s="7">
        <f>+[8]Resumen!O17*1000</f>
        <v>186469.58830429713</v>
      </c>
      <c r="P17" s="7">
        <f>+[8]Resumen!P17*1000</f>
        <v>197773.99063427185</v>
      </c>
      <c r="Q17" s="7">
        <f>+[8]Resumen!Q17*1000</f>
        <v>209619.17831864691</v>
      </c>
      <c r="R17" s="7">
        <f>+[8]Resumen!R17*1000</f>
        <v>217181.30550852258</v>
      </c>
      <c r="S17" s="7">
        <f>+[8]Resumen!S17*1000</f>
        <v>217657.68575736065</v>
      </c>
      <c r="T17" s="7">
        <f>+[8]Resumen!T17*1000</f>
        <v>213847.19869605094</v>
      </c>
      <c r="U17" s="7">
        <f>+[8]Resumen!U17*1000</f>
        <v>211109.79414351878</v>
      </c>
      <c r="V17" s="7">
        <f>+[8]Resumen!V17*1000</f>
        <v>208060.85222873723</v>
      </c>
      <c r="W17" s="7">
        <f>+[8]Resumen!W17*1000</f>
        <v>0</v>
      </c>
      <c r="X17" s="7">
        <f>+[8]Resumen!X17*1000</f>
        <v>0</v>
      </c>
      <c r="Y17" s="7">
        <f>+[8]Resumen!Y17*1000</f>
        <v>0</v>
      </c>
      <c r="Z17" s="7">
        <f>+[8]Resumen!Z17*1000</f>
        <v>0</v>
      </c>
      <c r="AA17" s="7">
        <f>+[8]Resumen!AA17*1000</f>
        <v>0</v>
      </c>
      <c r="AB17" s="7">
        <f>+[8]Resumen!AB17*1000</f>
        <v>0</v>
      </c>
      <c r="AC17" s="7">
        <f>+[8]Resumen!AC17*1000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+[8]Resumen!E18</f>
        <v>1</v>
      </c>
      <c r="F18" s="7">
        <f>+[8]Resumen!F18*1000</f>
        <v>0</v>
      </c>
      <c r="G18" s="7">
        <f>+[8]Resumen!G18*1000</f>
        <v>0</v>
      </c>
      <c r="H18" s="7">
        <f>+[8]Resumen!H18*1000</f>
        <v>0</v>
      </c>
      <c r="I18" s="7">
        <f>+[8]Resumen!I18*1000</f>
        <v>0</v>
      </c>
      <c r="J18" s="7">
        <f>+[8]Resumen!J18*1000</f>
        <v>0</v>
      </c>
      <c r="K18" s="7">
        <f>+[8]Resumen!K18*1000</f>
        <v>0</v>
      </c>
      <c r="L18" s="7">
        <f>+[8]Resumen!L18*1000</f>
        <v>0</v>
      </c>
      <c r="M18" s="7">
        <f>+[8]Resumen!M18*1000</f>
        <v>163493.20507237472</v>
      </c>
      <c r="N18" s="7">
        <f>+[8]Resumen!N18*1000</f>
        <v>179921.98969317574</v>
      </c>
      <c r="O18" s="7">
        <f>+[8]Resumen!O18*1000</f>
        <v>194676.8342339512</v>
      </c>
      <c r="P18" s="7">
        <f>+[8]Resumen!P18*1000</f>
        <v>208450.18847242216</v>
      </c>
      <c r="Q18" s="7">
        <f>+[8]Resumen!Q18*1000</f>
        <v>223968.01875643482</v>
      </c>
      <c r="R18" s="7">
        <f>+[8]Resumen!R18*1000</f>
        <v>232006.37525435316</v>
      </c>
      <c r="S18" s="7">
        <f>+[8]Resumen!S18*1000</f>
        <v>229460.75430066921</v>
      </c>
      <c r="T18" s="7">
        <f>+[8]Resumen!T18*1000</f>
        <v>224076.8204332999</v>
      </c>
      <c r="U18" s="7">
        <f>+[8]Resumen!U18*1000</f>
        <v>220778.8506230186</v>
      </c>
      <c r="V18" s="7">
        <f>+[8]Resumen!V18*1000</f>
        <v>218795.73717996565</v>
      </c>
      <c r="W18" s="7">
        <f>+[8]Resumen!W18*1000</f>
        <v>0</v>
      </c>
      <c r="X18" s="7">
        <f>+[8]Resumen!X18*1000</f>
        <v>0</v>
      </c>
      <c r="Y18" s="7">
        <f>+[8]Resumen!Y18*1000</f>
        <v>0</v>
      </c>
      <c r="Z18" s="7">
        <f>+[8]Resumen!Z18*1000</f>
        <v>0</v>
      </c>
      <c r="AA18" s="7">
        <f>+[8]Resumen!AA18*1000</f>
        <v>0</v>
      </c>
      <c r="AB18" s="7">
        <f>+[8]Resumen!AB18*1000</f>
        <v>0</v>
      </c>
      <c r="AC18" s="7">
        <f>+[8]Resumen!AC18*1000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+[8]Resumen!E19</f>
        <v>19</v>
      </c>
      <c r="F19" s="7">
        <f>+[8]Resumen!F19*1000</f>
        <v>0</v>
      </c>
      <c r="G19" s="7">
        <f>+[8]Resumen!G19*1000</f>
        <v>0</v>
      </c>
      <c r="H19" s="7">
        <f>+[8]Resumen!H19*1000</f>
        <v>0</v>
      </c>
      <c r="I19" s="7">
        <f>+[8]Resumen!I19*1000</f>
        <v>0</v>
      </c>
      <c r="J19" s="7">
        <f>+[8]Resumen!J19*1000</f>
        <v>0</v>
      </c>
      <c r="K19" s="7">
        <f>+[8]Resumen!K19*1000</f>
        <v>0</v>
      </c>
      <c r="L19" s="7">
        <f>+[8]Resumen!L19*1000</f>
        <v>0</v>
      </c>
      <c r="M19" s="7">
        <f>+[8]Resumen!M19*1000</f>
        <v>218857.86263557404</v>
      </c>
      <c r="N19" s="7">
        <f>+[8]Resumen!N19*1000</f>
        <v>233734.10353075931</v>
      </c>
      <c r="O19" s="7">
        <f>+[8]Resumen!O19*1000</f>
        <v>243982.39975200262</v>
      </c>
      <c r="P19" s="7">
        <f>+[8]Resumen!P19*1000</f>
        <v>258615.21531885825</v>
      </c>
      <c r="Q19" s="7">
        <f>+[8]Resumen!Q19*1000</f>
        <v>271128.87983109819</v>
      </c>
      <c r="R19" s="7">
        <f>+[8]Resumen!R19*1000</f>
        <v>273406.83392076934</v>
      </c>
      <c r="S19" s="7">
        <f>+[8]Resumen!S19*1000</f>
        <v>269778.39921644027</v>
      </c>
      <c r="T19" s="7">
        <f>+[8]Resumen!T19*1000</f>
        <v>271477.54640929587</v>
      </c>
      <c r="U19" s="7">
        <f>+[8]Resumen!U19*1000</f>
        <v>271233.61720507569</v>
      </c>
      <c r="V19" s="7">
        <f>+[8]Resumen!V19*1000</f>
        <v>265230.73950762261</v>
      </c>
      <c r="W19" s="7">
        <f>+[8]Resumen!W19*1000</f>
        <v>0</v>
      </c>
      <c r="X19" s="7">
        <f>+[8]Resumen!X19*1000</f>
        <v>0</v>
      </c>
      <c r="Y19" s="7">
        <f>+[8]Resumen!Y19*1000</f>
        <v>0</v>
      </c>
      <c r="Z19" s="7">
        <f>+[8]Resumen!Z19*1000</f>
        <v>0</v>
      </c>
      <c r="AA19" s="7">
        <f>+[8]Resumen!AA19*1000</f>
        <v>0</v>
      </c>
      <c r="AB19" s="7">
        <f>+[8]Resumen!AB19*1000</f>
        <v>0</v>
      </c>
      <c r="AC19" s="7">
        <f>+[8]Resumen!AC19*1000</f>
        <v>0</v>
      </c>
      <c r="AD19" s="60">
        <f t="shared" ref="AD19" si="1">SUM(F19:AC19)*E19+SUM(F20:AC20)*E20+SUM(F21:AC21)*E21+SUM(F22:AC22)*E22</f>
        <v>73219825.368706599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+[8]Resumen!E20</f>
        <v>5</v>
      </c>
      <c r="F20" s="7">
        <f>+[8]Resumen!F20*1000</f>
        <v>0</v>
      </c>
      <c r="G20" s="7">
        <f>+[8]Resumen!G20*1000</f>
        <v>0</v>
      </c>
      <c r="H20" s="7">
        <f>+[8]Resumen!H20*1000</f>
        <v>0</v>
      </c>
      <c r="I20" s="7">
        <f>+[8]Resumen!I20*1000</f>
        <v>0</v>
      </c>
      <c r="J20" s="7">
        <f>+[8]Resumen!J20*1000</f>
        <v>0</v>
      </c>
      <c r="K20" s="7">
        <f>+[8]Resumen!K20*1000</f>
        <v>0</v>
      </c>
      <c r="L20" s="7">
        <f>+[8]Resumen!L20*1000</f>
        <v>0</v>
      </c>
      <c r="M20" s="7">
        <f>+[8]Resumen!M20*1000</f>
        <v>194455.57500536798</v>
      </c>
      <c r="N20" s="7">
        <f>+[8]Resumen!N20*1000</f>
        <v>214832.00969585401</v>
      </c>
      <c r="O20" s="7">
        <f>+[8]Resumen!O20*1000</f>
        <v>228825.59099423385</v>
      </c>
      <c r="P20" s="7">
        <f>+[8]Resumen!P20*1000</f>
        <v>241193.92837684203</v>
      </c>
      <c r="Q20" s="7">
        <f>+[8]Resumen!Q20*1000</f>
        <v>250395.45684120987</v>
      </c>
      <c r="R20" s="7">
        <f>+[8]Resumen!R20*1000</f>
        <v>252648.1483251114</v>
      </c>
      <c r="S20" s="7">
        <f>+[8]Resumen!S20*1000</f>
        <v>248537.49329499321</v>
      </c>
      <c r="T20" s="7">
        <f>+[8]Resumen!T20*1000</f>
        <v>243462.64622166581</v>
      </c>
      <c r="U20" s="7">
        <f>+[8]Resumen!U20*1000</f>
        <v>241926.08446262078</v>
      </c>
      <c r="V20" s="7">
        <f>+[8]Resumen!V20*1000</f>
        <v>239760.99191326721</v>
      </c>
      <c r="W20" s="7">
        <f>+[8]Resumen!W20*1000</f>
        <v>0</v>
      </c>
      <c r="X20" s="7">
        <f>+[8]Resumen!X20*1000</f>
        <v>0</v>
      </c>
      <c r="Y20" s="7">
        <f>+[8]Resumen!Y20*1000</f>
        <v>0</v>
      </c>
      <c r="Z20" s="7">
        <f>+[8]Resumen!Z20*1000</f>
        <v>0</v>
      </c>
      <c r="AA20" s="7">
        <f>+[8]Resumen!AA20*1000</f>
        <v>0</v>
      </c>
      <c r="AB20" s="7">
        <f>+[8]Resumen!AB20*1000</f>
        <v>0</v>
      </c>
      <c r="AC20" s="7">
        <f>+[8]Resumen!AC20*1000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+[8]Resumen!E21</f>
        <v>4</v>
      </c>
      <c r="F21" s="7">
        <f>+[8]Resumen!F21*1000</f>
        <v>0</v>
      </c>
      <c r="G21" s="7">
        <f>+[8]Resumen!G21*1000</f>
        <v>0</v>
      </c>
      <c r="H21" s="7">
        <f>+[8]Resumen!H21*1000</f>
        <v>0</v>
      </c>
      <c r="I21" s="7">
        <f>+[8]Resumen!I21*1000</f>
        <v>0</v>
      </c>
      <c r="J21" s="7">
        <f>+[8]Resumen!J21*1000</f>
        <v>0</v>
      </c>
      <c r="K21" s="7">
        <f>+[8]Resumen!K21*1000</f>
        <v>0</v>
      </c>
      <c r="L21" s="7">
        <f>+[8]Resumen!L21*1000</f>
        <v>0</v>
      </c>
      <c r="M21" s="7">
        <f>+[8]Resumen!M21*1000</f>
        <v>165961.66420356839</v>
      </c>
      <c r="N21" s="7">
        <f>+[8]Resumen!N21*1000</f>
        <v>183618.80279753386</v>
      </c>
      <c r="O21" s="7">
        <f>+[8]Resumen!O21*1000</f>
        <v>198328.78462631491</v>
      </c>
      <c r="P21" s="7">
        <f>+[8]Resumen!P21*1000</f>
        <v>209097.37376926682</v>
      </c>
      <c r="Q21" s="7">
        <f>+[8]Resumen!Q21*1000</f>
        <v>219558.25234307602</v>
      </c>
      <c r="R21" s="7">
        <f>+[8]Resumen!R21*1000</f>
        <v>226933.62137470293</v>
      </c>
      <c r="S21" s="7">
        <f>+[8]Resumen!S21*1000</f>
        <v>228074.52957383243</v>
      </c>
      <c r="T21" s="7">
        <f>+[8]Resumen!T21*1000</f>
        <v>225642.56037992428</v>
      </c>
      <c r="U21" s="7">
        <f>+[8]Resumen!U21*1000</f>
        <v>222887.91750067158</v>
      </c>
      <c r="V21" s="7">
        <f>+[8]Resumen!V21*1000</f>
        <v>219744.22472130173</v>
      </c>
      <c r="W21" s="7">
        <f>+[8]Resumen!W21*1000</f>
        <v>0</v>
      </c>
      <c r="X21" s="7">
        <f>+[8]Resumen!X21*1000</f>
        <v>0</v>
      </c>
      <c r="Y21" s="7">
        <f>+[8]Resumen!Y21*1000</f>
        <v>0</v>
      </c>
      <c r="Z21" s="7">
        <f>+[8]Resumen!Z21*1000</f>
        <v>0</v>
      </c>
      <c r="AA21" s="7">
        <f>+[8]Resumen!AA21*1000</f>
        <v>0</v>
      </c>
      <c r="AB21" s="7">
        <f>+[8]Resumen!AB21*1000</f>
        <v>0</v>
      </c>
      <c r="AC21" s="7">
        <f>+[8]Resumen!AC21*1000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+[8]Resumen!E22</f>
        <v>2</v>
      </c>
      <c r="F22" s="7">
        <f>+[8]Resumen!F22*1000</f>
        <v>0</v>
      </c>
      <c r="G22" s="7">
        <f>+[8]Resumen!G22*1000</f>
        <v>0</v>
      </c>
      <c r="H22" s="7">
        <f>+[8]Resumen!H22*1000</f>
        <v>0</v>
      </c>
      <c r="I22" s="7">
        <f>+[8]Resumen!I22*1000</f>
        <v>0</v>
      </c>
      <c r="J22" s="7">
        <f>+[8]Resumen!J22*1000</f>
        <v>0</v>
      </c>
      <c r="K22" s="7">
        <f>+[8]Resumen!K22*1000</f>
        <v>0</v>
      </c>
      <c r="L22" s="7">
        <f>+[8]Resumen!L22*1000</f>
        <v>0</v>
      </c>
      <c r="M22" s="7">
        <f>+[8]Resumen!M22*1000</f>
        <v>167409.21306796742</v>
      </c>
      <c r="N22" s="7">
        <f>+[8]Resumen!N22*1000</f>
        <v>183131.68133532978</v>
      </c>
      <c r="O22" s="7">
        <f>+[8]Resumen!O22*1000</f>
        <v>192494.82521692608</v>
      </c>
      <c r="P22" s="7">
        <f>+[8]Resumen!P22*1000</f>
        <v>197927.88587375963</v>
      </c>
      <c r="Q22" s="7">
        <f>+[8]Resumen!Q22*1000</f>
        <v>210317.99424638518</v>
      </c>
      <c r="R22" s="7">
        <f>+[8]Resumen!R22*1000</f>
        <v>221312.99458242176</v>
      </c>
      <c r="S22" s="7">
        <f>+[8]Resumen!S22*1000</f>
        <v>220306.33490248604</v>
      </c>
      <c r="T22" s="7">
        <f>+[8]Resumen!T22*1000</f>
        <v>215827.63515970326</v>
      </c>
      <c r="U22" s="7">
        <f>+[8]Resumen!U22*1000</f>
        <v>212956.90771020795</v>
      </c>
      <c r="V22" s="7">
        <f>+[8]Resumen!V22*1000</f>
        <v>212703.7622385986</v>
      </c>
      <c r="W22" s="7">
        <f>+[8]Resumen!W22*1000</f>
        <v>0</v>
      </c>
      <c r="X22" s="7">
        <f>+[8]Resumen!X22*1000</f>
        <v>0</v>
      </c>
      <c r="Y22" s="7">
        <f>+[8]Resumen!Y22*1000</f>
        <v>0</v>
      </c>
      <c r="Z22" s="7">
        <f>+[8]Resumen!Z22*1000</f>
        <v>0</v>
      </c>
      <c r="AA22" s="7">
        <f>+[8]Resumen!AA22*1000</f>
        <v>0</v>
      </c>
      <c r="AB22" s="7">
        <f>+[8]Resumen!AB22*1000</f>
        <v>0</v>
      </c>
      <c r="AC22" s="7">
        <f>+[8]Resumen!AC22*1000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+[8]Resumen!E23</f>
        <v>21</v>
      </c>
      <c r="F23" s="7">
        <f>+[8]Resumen!F23*1000</f>
        <v>0</v>
      </c>
      <c r="G23" s="7">
        <f>+[8]Resumen!G23*1000</f>
        <v>0</v>
      </c>
      <c r="H23" s="7">
        <f>+[8]Resumen!H23*1000</f>
        <v>0</v>
      </c>
      <c r="I23" s="7">
        <f>+[8]Resumen!I23*1000</f>
        <v>0</v>
      </c>
      <c r="J23" s="7">
        <f>+[8]Resumen!J23*1000</f>
        <v>0</v>
      </c>
      <c r="K23" s="7">
        <f>+[8]Resumen!K23*1000</f>
        <v>0</v>
      </c>
      <c r="L23" s="7">
        <f>+[8]Resumen!L23*1000</f>
        <v>0</v>
      </c>
      <c r="M23" s="7">
        <f>+[8]Resumen!M23*1000</f>
        <v>211383.27888730683</v>
      </c>
      <c r="N23" s="7">
        <f>+[8]Resumen!N23*1000</f>
        <v>225184.96782067709</v>
      </c>
      <c r="O23" s="7">
        <f>+[8]Resumen!O23*1000</f>
        <v>235283.00248010986</v>
      </c>
      <c r="P23" s="7">
        <f>+[8]Resumen!P23*1000</f>
        <v>249664.37287902177</v>
      </c>
      <c r="Q23" s="7">
        <f>+[8]Resumen!Q23*1000</f>
        <v>261444.70263544837</v>
      </c>
      <c r="R23" s="7">
        <f>+[8]Resumen!R23*1000</f>
        <v>262352.34515360848</v>
      </c>
      <c r="S23" s="7">
        <f>+[8]Resumen!S23*1000</f>
        <v>258233.64808670068</v>
      </c>
      <c r="T23" s="7">
        <f>+[8]Resumen!T23*1000</f>
        <v>259251.39969538004</v>
      </c>
      <c r="U23" s="7">
        <f>+[8]Resumen!U23*1000</f>
        <v>259260.86679085562</v>
      </c>
      <c r="V23" s="7">
        <f>+[8]Resumen!V23*1000</f>
        <v>253643.81152415951</v>
      </c>
      <c r="W23" s="7">
        <f>+[8]Resumen!W23*1000</f>
        <v>0</v>
      </c>
      <c r="X23" s="7">
        <f>+[8]Resumen!X23*1000</f>
        <v>0</v>
      </c>
      <c r="Y23" s="7">
        <f>+[8]Resumen!Y23*1000</f>
        <v>0</v>
      </c>
      <c r="Z23" s="7">
        <f>+[8]Resumen!Z23*1000</f>
        <v>0</v>
      </c>
      <c r="AA23" s="7">
        <f>+[8]Resumen!AA23*1000</f>
        <v>0</v>
      </c>
      <c r="AB23" s="7">
        <f>+[8]Resumen!AB23*1000</f>
        <v>0</v>
      </c>
      <c r="AC23" s="7">
        <f>+[8]Resumen!AC23*1000</f>
        <v>0</v>
      </c>
      <c r="AD23" s="60">
        <f t="shared" ref="AD23" si="2">SUM(F23:AC23)*E23+SUM(F24:AC24)*E24+SUM(F25:AC25)*E25+SUM(F26:AC26)*E26</f>
        <v>73429460.127222955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+[8]Resumen!E24</f>
        <v>4</v>
      </c>
      <c r="F24" s="7">
        <f>+[8]Resumen!F24*1000</f>
        <v>0</v>
      </c>
      <c r="G24" s="7">
        <f>+[8]Resumen!G24*1000</f>
        <v>0</v>
      </c>
      <c r="H24" s="7">
        <f>+[8]Resumen!H24*1000</f>
        <v>0</v>
      </c>
      <c r="I24" s="7">
        <f>+[8]Resumen!I24*1000</f>
        <v>0</v>
      </c>
      <c r="J24" s="7">
        <f>+[8]Resumen!J24*1000</f>
        <v>0</v>
      </c>
      <c r="K24" s="7">
        <f>+[8]Resumen!K24*1000</f>
        <v>0</v>
      </c>
      <c r="L24" s="7">
        <f>+[8]Resumen!L24*1000</f>
        <v>0</v>
      </c>
      <c r="M24" s="7">
        <f>+[8]Resumen!M24*1000</f>
        <v>192962.44646019643</v>
      </c>
      <c r="N24" s="7">
        <f>+[8]Resumen!N24*1000</f>
        <v>213580.54846268933</v>
      </c>
      <c r="O24" s="7">
        <f>+[8]Resumen!O24*1000</f>
        <v>227199.34376611636</v>
      </c>
      <c r="P24" s="7">
        <f>+[8]Resumen!P24*1000</f>
        <v>239657.15352490937</v>
      </c>
      <c r="Q24" s="7">
        <f>+[8]Resumen!Q24*1000</f>
        <v>248350.95488878485</v>
      </c>
      <c r="R24" s="7">
        <f>+[8]Resumen!R24*1000</f>
        <v>248503.48500196135</v>
      </c>
      <c r="S24" s="7">
        <f>+[8]Resumen!S24*1000</f>
        <v>242363.28669618486</v>
      </c>
      <c r="T24" s="7">
        <f>+[8]Resumen!T24*1000</f>
        <v>236568.11463177609</v>
      </c>
      <c r="U24" s="7">
        <f>+[8]Resumen!U24*1000</f>
        <v>234098.93409236919</v>
      </c>
      <c r="V24" s="7">
        <f>+[8]Resumen!V24*1000</f>
        <v>231113.06545260237</v>
      </c>
      <c r="W24" s="7">
        <f>+[8]Resumen!W24*1000</f>
        <v>0</v>
      </c>
      <c r="X24" s="7">
        <f>+[8]Resumen!X24*1000</f>
        <v>0</v>
      </c>
      <c r="Y24" s="7">
        <f>+[8]Resumen!Y24*1000</f>
        <v>0</v>
      </c>
      <c r="Z24" s="7">
        <f>+[8]Resumen!Z24*1000</f>
        <v>0</v>
      </c>
      <c r="AA24" s="7">
        <f>+[8]Resumen!AA24*1000</f>
        <v>0</v>
      </c>
      <c r="AB24" s="7">
        <f>+[8]Resumen!AB24*1000</f>
        <v>0</v>
      </c>
      <c r="AC24" s="7">
        <f>+[8]Resumen!AC24*1000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+[8]Resumen!E25</f>
        <v>4</v>
      </c>
      <c r="F25" s="7">
        <f>+[8]Resumen!F25*1000</f>
        <v>0</v>
      </c>
      <c r="G25" s="7">
        <f>+[8]Resumen!G25*1000</f>
        <v>0</v>
      </c>
      <c r="H25" s="7">
        <f>+[8]Resumen!H25*1000</f>
        <v>0</v>
      </c>
      <c r="I25" s="7">
        <f>+[8]Resumen!I25*1000</f>
        <v>0</v>
      </c>
      <c r="J25" s="7">
        <f>+[8]Resumen!J25*1000</f>
        <v>0</v>
      </c>
      <c r="K25" s="7">
        <f>+[8]Resumen!K25*1000</f>
        <v>0</v>
      </c>
      <c r="L25" s="7">
        <f>+[8]Resumen!L25*1000</f>
        <v>0</v>
      </c>
      <c r="M25" s="7">
        <f>+[8]Resumen!M25*1000</f>
        <v>156787.99541453784</v>
      </c>
      <c r="N25" s="7">
        <f>+[8]Resumen!N25*1000</f>
        <v>174662.12472018166</v>
      </c>
      <c r="O25" s="7">
        <f>+[8]Resumen!O25*1000</f>
        <v>189568.20749850254</v>
      </c>
      <c r="P25" s="7">
        <f>+[8]Resumen!P25*1000</f>
        <v>201429.76116058946</v>
      </c>
      <c r="Q25" s="7">
        <f>+[8]Resumen!Q25*1000</f>
        <v>213402.86229018704</v>
      </c>
      <c r="R25" s="7">
        <f>+[8]Resumen!R25*1000</f>
        <v>219082.06742938492</v>
      </c>
      <c r="S25" s="7">
        <f>+[8]Resumen!S25*1000</f>
        <v>217810.47779721156</v>
      </c>
      <c r="T25" s="7">
        <f>+[8]Resumen!T25*1000</f>
        <v>211860.39830209882</v>
      </c>
      <c r="U25" s="7">
        <f>+[8]Resumen!U25*1000</f>
        <v>209863.73570294207</v>
      </c>
      <c r="V25" s="7">
        <f>+[8]Resumen!V25*1000</f>
        <v>207032.63465167169</v>
      </c>
      <c r="W25" s="7">
        <f>+[8]Resumen!W25*1000</f>
        <v>0</v>
      </c>
      <c r="X25" s="7">
        <f>+[8]Resumen!X25*1000</f>
        <v>0</v>
      </c>
      <c r="Y25" s="7">
        <f>+[8]Resumen!Y25*1000</f>
        <v>0</v>
      </c>
      <c r="Z25" s="7">
        <f>+[8]Resumen!Z25*1000</f>
        <v>0</v>
      </c>
      <c r="AA25" s="7">
        <f>+[8]Resumen!AA25*1000</f>
        <v>0</v>
      </c>
      <c r="AB25" s="7">
        <f>+[8]Resumen!AB25*1000</f>
        <v>0</v>
      </c>
      <c r="AC25" s="7">
        <f>+[8]Resumen!AC25*1000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+[8]Resumen!E26</f>
        <v>2</v>
      </c>
      <c r="F26" s="7">
        <f>+[8]Resumen!F26*1000</f>
        <v>0</v>
      </c>
      <c r="G26" s="7">
        <f>+[8]Resumen!G26*1000</f>
        <v>0</v>
      </c>
      <c r="H26" s="7">
        <f>+[8]Resumen!H26*1000</f>
        <v>0</v>
      </c>
      <c r="I26" s="7">
        <f>+[8]Resumen!I26*1000</f>
        <v>0</v>
      </c>
      <c r="J26" s="7">
        <f>+[8]Resumen!J26*1000</f>
        <v>0</v>
      </c>
      <c r="K26" s="7">
        <f>+[8]Resumen!K26*1000</f>
        <v>0</v>
      </c>
      <c r="L26" s="7">
        <f>+[8]Resumen!L26*1000</f>
        <v>0</v>
      </c>
      <c r="M26" s="7">
        <f>+[8]Resumen!M26*1000</f>
        <v>164307.30869174475</v>
      </c>
      <c r="N26" s="7">
        <f>+[8]Resumen!N26*1000</f>
        <v>181261.86005780476</v>
      </c>
      <c r="O26" s="7">
        <f>+[8]Resumen!O26*1000</f>
        <v>195134.48228613788</v>
      </c>
      <c r="P26" s="7">
        <f>+[8]Resumen!P26*1000</f>
        <v>210233.08338982571</v>
      </c>
      <c r="Q26" s="7">
        <f>+[8]Resumen!Q26*1000</f>
        <v>222832.35796966267</v>
      </c>
      <c r="R26" s="7">
        <f>+[8]Resumen!R26*1000</f>
        <v>232674.00415010282</v>
      </c>
      <c r="S26" s="7">
        <f>+[8]Resumen!S26*1000</f>
        <v>229087.2490827596</v>
      </c>
      <c r="T26" s="7">
        <f>+[8]Resumen!T26*1000</f>
        <v>222580.17585548272</v>
      </c>
      <c r="U26" s="7">
        <f>+[8]Resumen!U26*1000</f>
        <v>216095.7726038429</v>
      </c>
      <c r="V26" s="7">
        <f>+[8]Resumen!V26*1000</f>
        <v>213853.41612499041</v>
      </c>
      <c r="W26" s="7">
        <f>+[8]Resumen!W26*1000</f>
        <v>0</v>
      </c>
      <c r="X26" s="7">
        <f>+[8]Resumen!X26*1000</f>
        <v>0</v>
      </c>
      <c r="Y26" s="7">
        <f>+[8]Resumen!Y26*1000</f>
        <v>0</v>
      </c>
      <c r="Z26" s="7">
        <f>+[8]Resumen!Z26*1000</f>
        <v>0</v>
      </c>
      <c r="AA26" s="7">
        <f>+[8]Resumen!AA26*1000</f>
        <v>0</v>
      </c>
      <c r="AB26" s="7">
        <f>+[8]Resumen!AB26*1000</f>
        <v>0</v>
      </c>
      <c r="AC26" s="7">
        <f>+[8]Resumen!AC26*1000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+[8]Resumen!E27</f>
        <v>20</v>
      </c>
      <c r="F27" s="7">
        <f>+[8]Resumen!F27*1000</f>
        <v>0</v>
      </c>
      <c r="G27" s="7">
        <f>+[8]Resumen!G27*1000</f>
        <v>0</v>
      </c>
      <c r="H27" s="7">
        <f>+[8]Resumen!H27*1000</f>
        <v>0</v>
      </c>
      <c r="I27" s="7">
        <f>+[8]Resumen!I27*1000</f>
        <v>0</v>
      </c>
      <c r="J27" s="7">
        <f>+[8]Resumen!J27*1000</f>
        <v>0</v>
      </c>
      <c r="K27" s="7">
        <f>+[8]Resumen!K27*1000</f>
        <v>0</v>
      </c>
      <c r="L27" s="7">
        <f>+[8]Resumen!L27*1000</f>
        <v>0</v>
      </c>
      <c r="M27" s="7">
        <f>+[8]Resumen!M27*1000</f>
        <v>218633.18504191874</v>
      </c>
      <c r="N27" s="7">
        <f>+[8]Resumen!N27*1000</f>
        <v>234961.39203948583</v>
      </c>
      <c r="O27" s="7">
        <f>+[8]Resumen!O27*1000</f>
        <v>246053.26750983411</v>
      </c>
      <c r="P27" s="7">
        <f>+[8]Resumen!P27*1000</f>
        <v>260519.14477670612</v>
      </c>
      <c r="Q27" s="7">
        <f>+[8]Resumen!Q27*1000</f>
        <v>273738.87925373344</v>
      </c>
      <c r="R27" s="7">
        <f>+[8]Resumen!R27*1000</f>
        <v>276862.47471014073</v>
      </c>
      <c r="S27" s="7">
        <f>+[8]Resumen!S27*1000</f>
        <v>273197.63219807664</v>
      </c>
      <c r="T27" s="7">
        <f>+[8]Resumen!T27*1000</f>
        <v>274488.28920425585</v>
      </c>
      <c r="U27" s="7">
        <f>+[8]Resumen!U27*1000</f>
        <v>274377.27446896426</v>
      </c>
      <c r="V27" s="7">
        <f>+[8]Resumen!V27*1000</f>
        <v>268385.11134826631</v>
      </c>
      <c r="W27" s="7">
        <f>+[8]Resumen!W27*1000</f>
        <v>0</v>
      </c>
      <c r="X27" s="7">
        <f>+[8]Resumen!X27*1000</f>
        <v>0</v>
      </c>
      <c r="Y27" s="7">
        <f>+[8]Resumen!Y27*1000</f>
        <v>0</v>
      </c>
      <c r="Z27" s="7">
        <f>+[8]Resumen!Z27*1000</f>
        <v>0</v>
      </c>
      <c r="AA27" s="7">
        <f>+[8]Resumen!AA27*1000</f>
        <v>0</v>
      </c>
      <c r="AB27" s="7">
        <f>+[8]Resumen!AB27*1000</f>
        <v>0</v>
      </c>
      <c r="AC27" s="7">
        <f>+[8]Resumen!AC27*1000</f>
        <v>0</v>
      </c>
      <c r="AD27" s="60">
        <f t="shared" ref="AD27:AD35" si="3">SUM(F27:AC27)*E27+SUM(F28:AC28)*E28+SUM(F29:AC29)*E29+SUM(F30:AC30)*E30</f>
        <v>74126635.938937679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+[8]Resumen!E28</f>
        <v>4</v>
      </c>
      <c r="F28" s="7">
        <f>+[8]Resumen!F28*1000</f>
        <v>0</v>
      </c>
      <c r="G28" s="7">
        <f>+[8]Resumen!G28*1000</f>
        <v>0</v>
      </c>
      <c r="H28" s="7">
        <f>+[8]Resumen!H28*1000</f>
        <v>0</v>
      </c>
      <c r="I28" s="7">
        <f>+[8]Resumen!I28*1000</f>
        <v>0</v>
      </c>
      <c r="J28" s="7">
        <f>+[8]Resumen!J28*1000</f>
        <v>0</v>
      </c>
      <c r="K28" s="7">
        <f>+[8]Resumen!K28*1000</f>
        <v>0</v>
      </c>
      <c r="L28" s="7">
        <f>+[8]Resumen!L28*1000</f>
        <v>0</v>
      </c>
      <c r="M28" s="7">
        <f>+[8]Resumen!M28*1000</f>
        <v>199679.51384934169</v>
      </c>
      <c r="N28" s="7">
        <f>+[8]Resumen!N28*1000</f>
        <v>220611.8457315077</v>
      </c>
      <c r="O28" s="7">
        <f>+[8]Resumen!O28*1000</f>
        <v>234511.99245782362</v>
      </c>
      <c r="P28" s="7">
        <f>+[8]Resumen!P28*1000</f>
        <v>247953.45452384345</v>
      </c>
      <c r="Q28" s="7">
        <f>+[8]Resumen!Q28*1000</f>
        <v>257424.43672487547</v>
      </c>
      <c r="R28" s="7">
        <f>+[8]Resumen!R28*1000</f>
        <v>258620.27849465646</v>
      </c>
      <c r="S28" s="7">
        <f>+[8]Resumen!S28*1000</f>
        <v>252279.95711108652</v>
      </c>
      <c r="T28" s="7">
        <f>+[8]Resumen!T28*1000</f>
        <v>246822.16880042004</v>
      </c>
      <c r="U28" s="7">
        <f>+[8]Resumen!U28*1000</f>
        <v>245063.63306373128</v>
      </c>
      <c r="V28" s="7">
        <f>+[8]Resumen!V28*1000</f>
        <v>241263.9049735282</v>
      </c>
      <c r="W28" s="7">
        <f>+[8]Resumen!W28*1000</f>
        <v>0</v>
      </c>
      <c r="X28" s="7">
        <f>+[8]Resumen!X28*1000</f>
        <v>0</v>
      </c>
      <c r="Y28" s="7">
        <f>+[8]Resumen!Y28*1000</f>
        <v>0</v>
      </c>
      <c r="Z28" s="7">
        <f>+[8]Resumen!Z28*1000</f>
        <v>0</v>
      </c>
      <c r="AA28" s="7">
        <f>+[8]Resumen!AA28*1000</f>
        <v>0</v>
      </c>
      <c r="AB28" s="7">
        <f>+[8]Resumen!AB28*1000</f>
        <v>0</v>
      </c>
      <c r="AC28" s="7">
        <f>+[8]Resumen!AC28*1000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+[8]Resumen!E29</f>
        <v>4</v>
      </c>
      <c r="F29" s="7">
        <f>+[8]Resumen!F29*1000</f>
        <v>0</v>
      </c>
      <c r="G29" s="7">
        <f>+[8]Resumen!G29*1000</f>
        <v>0</v>
      </c>
      <c r="H29" s="7">
        <f>+[8]Resumen!H29*1000</f>
        <v>0</v>
      </c>
      <c r="I29" s="7">
        <f>+[8]Resumen!I29*1000</f>
        <v>0</v>
      </c>
      <c r="J29" s="7">
        <f>+[8]Resumen!J29*1000</f>
        <v>0</v>
      </c>
      <c r="K29" s="7">
        <f>+[8]Resumen!K29*1000</f>
        <v>0</v>
      </c>
      <c r="L29" s="7">
        <f>+[8]Resumen!L29*1000</f>
        <v>0</v>
      </c>
      <c r="M29" s="7">
        <f>+[8]Resumen!M29*1000</f>
        <v>164026.87401221599</v>
      </c>
      <c r="N29" s="7">
        <f>+[8]Resumen!N29*1000</f>
        <v>180484.17756447528</v>
      </c>
      <c r="O29" s="7">
        <f>+[8]Resumen!O29*1000</f>
        <v>194740.1405793117</v>
      </c>
      <c r="P29" s="7">
        <f>+[8]Resumen!P29*1000</f>
        <v>205229.29835508074</v>
      </c>
      <c r="Q29" s="7">
        <f>+[8]Resumen!Q29*1000</f>
        <v>217605.14282254194</v>
      </c>
      <c r="R29" s="7">
        <f>+[8]Resumen!R29*1000</f>
        <v>225476.05270515112</v>
      </c>
      <c r="S29" s="7">
        <f>+[8]Resumen!S29*1000</f>
        <v>225875.61740744126</v>
      </c>
      <c r="T29" s="7">
        <f>+[8]Resumen!T29*1000</f>
        <v>221788.20060066044</v>
      </c>
      <c r="U29" s="7">
        <f>+[8]Resumen!U29*1000</f>
        <v>219376.45747333448</v>
      </c>
      <c r="V29" s="7">
        <f>+[8]Resumen!V29*1000</f>
        <v>216315.75771453563</v>
      </c>
      <c r="W29" s="7">
        <f>+[8]Resumen!W29*1000</f>
        <v>0</v>
      </c>
      <c r="X29" s="7">
        <f>+[8]Resumen!X29*1000</f>
        <v>0</v>
      </c>
      <c r="Y29" s="7">
        <f>+[8]Resumen!Y29*1000</f>
        <v>0</v>
      </c>
      <c r="Z29" s="7">
        <f>+[8]Resumen!Z29*1000</f>
        <v>0</v>
      </c>
      <c r="AA29" s="7">
        <f>+[8]Resumen!AA29*1000</f>
        <v>0</v>
      </c>
      <c r="AB29" s="7">
        <f>+[8]Resumen!AB29*1000</f>
        <v>0</v>
      </c>
      <c r="AC29" s="7">
        <f>+[8]Resumen!AC29*1000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+[8]Resumen!E30</f>
        <v>2</v>
      </c>
      <c r="F30" s="7">
        <f>+[8]Resumen!F30*1000</f>
        <v>0</v>
      </c>
      <c r="G30" s="7">
        <f>+[8]Resumen!G30*1000</f>
        <v>0</v>
      </c>
      <c r="H30" s="7">
        <f>+[8]Resumen!H30*1000</f>
        <v>0</v>
      </c>
      <c r="I30" s="7">
        <f>+[8]Resumen!I30*1000</f>
        <v>0</v>
      </c>
      <c r="J30" s="7">
        <f>+[8]Resumen!J30*1000</f>
        <v>0</v>
      </c>
      <c r="K30" s="7">
        <f>+[8]Resumen!K30*1000</f>
        <v>0</v>
      </c>
      <c r="L30" s="7">
        <f>+[8]Resumen!L30*1000</f>
        <v>0</v>
      </c>
      <c r="M30" s="7">
        <f>+[8]Resumen!M30*1000</f>
        <v>161854.05906540414</v>
      </c>
      <c r="N30" s="7">
        <f>+[8]Resumen!N30*1000</f>
        <v>178689.53146220712</v>
      </c>
      <c r="O30" s="7">
        <f>+[8]Resumen!O30*1000</f>
        <v>193611.27878748489</v>
      </c>
      <c r="P30" s="7">
        <f>+[8]Resumen!P30*1000</f>
        <v>208841.85098013011</v>
      </c>
      <c r="Q30" s="7">
        <f>+[8]Resumen!Q30*1000</f>
        <v>224545.50492129067</v>
      </c>
      <c r="R30" s="7">
        <f>+[8]Resumen!R30*1000</f>
        <v>233728.04370176795</v>
      </c>
      <c r="S30" s="7">
        <f>+[8]Resumen!S30*1000</f>
        <v>231921.00047681961</v>
      </c>
      <c r="T30" s="7">
        <f>+[8]Resumen!T30*1000</f>
        <v>225594.57674501336</v>
      </c>
      <c r="U30" s="7">
        <f>+[8]Resumen!U30*1000</f>
        <v>222429.57467688259</v>
      </c>
      <c r="V30" s="7">
        <f>+[8]Resumen!V30*1000</f>
        <v>219638.23320689198</v>
      </c>
      <c r="W30" s="7">
        <f>+[8]Resumen!W30*1000</f>
        <v>0</v>
      </c>
      <c r="X30" s="7">
        <f>+[8]Resumen!X30*1000</f>
        <v>0</v>
      </c>
      <c r="Y30" s="7">
        <f>+[8]Resumen!Y30*1000</f>
        <v>0</v>
      </c>
      <c r="Z30" s="7">
        <f>+[8]Resumen!Z30*1000</f>
        <v>0</v>
      </c>
      <c r="AA30" s="7">
        <f>+[8]Resumen!AA30*1000</f>
        <v>0</v>
      </c>
      <c r="AB30" s="7">
        <f>+[8]Resumen!AB30*1000</f>
        <v>0</v>
      </c>
      <c r="AC30" s="7">
        <f>+[8]Resumen!AC30*1000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+[8]Resumen!E31</f>
        <v>19</v>
      </c>
      <c r="F31" s="7">
        <f>+[8]Resumen!F31*1000</f>
        <v>0</v>
      </c>
      <c r="G31" s="7">
        <f>+[8]Resumen!G31*1000</f>
        <v>0</v>
      </c>
      <c r="H31" s="7">
        <f>+[8]Resumen!H31*1000</f>
        <v>0</v>
      </c>
      <c r="I31" s="7">
        <f>+[8]Resumen!I31*1000</f>
        <v>0</v>
      </c>
      <c r="J31" s="7">
        <f>+[8]Resumen!J31*1000</f>
        <v>0</v>
      </c>
      <c r="K31" s="7">
        <f>+[8]Resumen!K31*1000</f>
        <v>0</v>
      </c>
      <c r="L31" s="7">
        <f>+[8]Resumen!L31*1000</f>
        <v>0</v>
      </c>
      <c r="M31" s="7">
        <f>+[8]Resumen!M31*1000</f>
        <v>212671.87821529008</v>
      </c>
      <c r="N31" s="7">
        <f>+[8]Resumen!N31*1000</f>
        <v>228921.82241044752</v>
      </c>
      <c r="O31" s="7">
        <f>+[8]Resumen!O31*1000</f>
        <v>240575.74812960552</v>
      </c>
      <c r="P31" s="7">
        <f>+[8]Resumen!P31*1000</f>
        <v>255974.69921894325</v>
      </c>
      <c r="Q31" s="7">
        <f>+[8]Resumen!Q31*1000</f>
        <v>268306.60881635814</v>
      </c>
      <c r="R31" s="7">
        <f>+[8]Resumen!R31*1000</f>
        <v>269840.10736514378</v>
      </c>
      <c r="S31" s="7">
        <f>+[8]Resumen!S31*1000</f>
        <v>265795.00281485886</v>
      </c>
      <c r="T31" s="7">
        <f>+[8]Resumen!T31*1000</f>
        <v>267972.93865012593</v>
      </c>
      <c r="U31" s="7">
        <f>+[8]Resumen!U31*1000</f>
        <v>267564.04891428538</v>
      </c>
      <c r="V31" s="7">
        <f>+[8]Resumen!V31*1000</f>
        <v>260728.39533318553</v>
      </c>
      <c r="W31" s="7">
        <f>+[8]Resumen!W31*1000</f>
        <v>0</v>
      </c>
      <c r="X31" s="7">
        <f>+[8]Resumen!X31*1000</f>
        <v>0</v>
      </c>
      <c r="Y31" s="7">
        <f>+[8]Resumen!Y31*1000</f>
        <v>0</v>
      </c>
      <c r="Z31" s="7">
        <f>+[8]Resumen!Z31*1000</f>
        <v>0</v>
      </c>
      <c r="AA31" s="7">
        <f>+[8]Resumen!AA31*1000</f>
        <v>0</v>
      </c>
      <c r="AB31" s="7">
        <f>+[8]Resumen!AB31*1000</f>
        <v>0</v>
      </c>
      <c r="AC31" s="7">
        <f>+[8]Resumen!AC31*1000</f>
        <v>0</v>
      </c>
      <c r="AD31" s="60">
        <f t="shared" si="3"/>
        <v>74290081.047169536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+[8]Resumen!E32</f>
        <v>5</v>
      </c>
      <c r="F32" s="7">
        <f>+[8]Resumen!F32*1000</f>
        <v>0</v>
      </c>
      <c r="G32" s="7">
        <f>+[8]Resumen!G32*1000</f>
        <v>0</v>
      </c>
      <c r="H32" s="7">
        <f>+[8]Resumen!H32*1000</f>
        <v>0</v>
      </c>
      <c r="I32" s="7">
        <f>+[8]Resumen!I32*1000</f>
        <v>0</v>
      </c>
      <c r="J32" s="7">
        <f>+[8]Resumen!J32*1000</f>
        <v>0</v>
      </c>
      <c r="K32" s="7">
        <f>+[8]Resumen!K32*1000</f>
        <v>0</v>
      </c>
      <c r="L32" s="7">
        <f>+[8]Resumen!L32*1000</f>
        <v>0</v>
      </c>
      <c r="M32" s="7">
        <f>+[8]Resumen!M32*1000</f>
        <v>191855.85065540712</v>
      </c>
      <c r="N32" s="7">
        <f>+[8]Resumen!N32*1000</f>
        <v>213692.1092485055</v>
      </c>
      <c r="O32" s="7">
        <f>+[8]Resumen!O32*1000</f>
        <v>227993.98268203379</v>
      </c>
      <c r="P32" s="7">
        <f>+[8]Resumen!P32*1000</f>
        <v>241962.32801125498</v>
      </c>
      <c r="Q32" s="7">
        <f>+[8]Resumen!Q32*1000</f>
        <v>251995.30940759231</v>
      </c>
      <c r="R32" s="7">
        <f>+[8]Resumen!R32*1000</f>
        <v>252151.11360419833</v>
      </c>
      <c r="S32" s="7">
        <f>+[8]Resumen!S32*1000</f>
        <v>245304.70105199184</v>
      </c>
      <c r="T32" s="7">
        <f>+[8]Resumen!T32*1000</f>
        <v>239228.27523226748</v>
      </c>
      <c r="U32" s="7">
        <f>+[8]Resumen!U32*1000</f>
        <v>236593.59033043328</v>
      </c>
      <c r="V32" s="7">
        <f>+[8]Resumen!V32*1000</f>
        <v>233332.19924614063</v>
      </c>
      <c r="W32" s="7">
        <f>+[8]Resumen!W32*1000</f>
        <v>0</v>
      </c>
      <c r="X32" s="7">
        <f>+[8]Resumen!X32*1000</f>
        <v>0</v>
      </c>
      <c r="Y32" s="7">
        <f>+[8]Resumen!Y32*1000</f>
        <v>0</v>
      </c>
      <c r="Z32" s="7">
        <f>+[8]Resumen!Z32*1000</f>
        <v>0</v>
      </c>
      <c r="AA32" s="7">
        <f>+[8]Resumen!AA32*1000</f>
        <v>0</v>
      </c>
      <c r="AB32" s="7">
        <f>+[8]Resumen!AB32*1000</f>
        <v>0</v>
      </c>
      <c r="AC32" s="7">
        <f>+[8]Resumen!AC32*1000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+[8]Resumen!E33</f>
        <v>5</v>
      </c>
      <c r="F33" s="7">
        <f>+[8]Resumen!F33*1000</f>
        <v>0</v>
      </c>
      <c r="G33" s="7">
        <f>+[8]Resumen!G33*1000</f>
        <v>0</v>
      </c>
      <c r="H33" s="7">
        <f>+[8]Resumen!H33*1000</f>
        <v>0</v>
      </c>
      <c r="I33" s="7">
        <f>+[8]Resumen!I33*1000</f>
        <v>0</v>
      </c>
      <c r="J33" s="7">
        <f>+[8]Resumen!J33*1000</f>
        <v>0</v>
      </c>
      <c r="K33" s="7">
        <f>+[8]Resumen!K33*1000</f>
        <v>0</v>
      </c>
      <c r="L33" s="7">
        <f>+[8]Resumen!L33*1000</f>
        <v>0</v>
      </c>
      <c r="M33" s="7">
        <f>+[8]Resumen!M33*1000</f>
        <v>158152.28267253877</v>
      </c>
      <c r="N33" s="7">
        <f>+[8]Resumen!N33*1000</f>
        <v>175513.54179205903</v>
      </c>
      <c r="O33" s="7">
        <f>+[8]Resumen!O33*1000</f>
        <v>190503.88282997112</v>
      </c>
      <c r="P33" s="7">
        <f>+[8]Resumen!P33*1000</f>
        <v>203306.11950638541</v>
      </c>
      <c r="Q33" s="7">
        <f>+[8]Resumen!Q33*1000</f>
        <v>216279.02582803403</v>
      </c>
      <c r="R33" s="7">
        <f>+[8]Resumen!R33*1000</f>
        <v>223610.03158412184</v>
      </c>
      <c r="S33" s="7">
        <f>+[8]Resumen!S33*1000</f>
        <v>223850.62011338526</v>
      </c>
      <c r="T33" s="7">
        <f>+[8]Resumen!T33*1000</f>
        <v>219594.16071435573</v>
      </c>
      <c r="U33" s="7">
        <f>+[8]Resumen!U33*1000</f>
        <v>216436.73898175813</v>
      </c>
      <c r="V33" s="7">
        <f>+[8]Resumen!V33*1000</f>
        <v>213447.53410646971</v>
      </c>
      <c r="W33" s="7">
        <f>+[8]Resumen!W33*1000</f>
        <v>0</v>
      </c>
      <c r="X33" s="7">
        <f>+[8]Resumen!X33*1000</f>
        <v>0</v>
      </c>
      <c r="Y33" s="7">
        <f>+[8]Resumen!Y33*1000</f>
        <v>0</v>
      </c>
      <c r="Z33" s="7">
        <f>+[8]Resumen!Z33*1000</f>
        <v>0</v>
      </c>
      <c r="AA33" s="7">
        <f>+[8]Resumen!AA33*1000</f>
        <v>0</v>
      </c>
      <c r="AB33" s="7">
        <f>+[8]Resumen!AB33*1000</f>
        <v>0</v>
      </c>
      <c r="AC33" s="7">
        <f>+[8]Resumen!AC33*1000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+[8]Resumen!E34</f>
        <v>2</v>
      </c>
      <c r="F34" s="7">
        <f>+[8]Resumen!F34*1000</f>
        <v>0</v>
      </c>
      <c r="G34" s="7">
        <f>+[8]Resumen!G34*1000</f>
        <v>0</v>
      </c>
      <c r="H34" s="7">
        <f>+[8]Resumen!H34*1000</f>
        <v>0</v>
      </c>
      <c r="I34" s="7">
        <f>+[8]Resumen!I34*1000</f>
        <v>0</v>
      </c>
      <c r="J34" s="7">
        <f>+[8]Resumen!J34*1000</f>
        <v>0</v>
      </c>
      <c r="K34" s="7">
        <f>+[8]Resumen!K34*1000</f>
        <v>0</v>
      </c>
      <c r="L34" s="7">
        <f>+[8]Resumen!L34*1000</f>
        <v>0</v>
      </c>
      <c r="M34" s="7">
        <f>+[8]Resumen!M34*1000</f>
        <v>161666.54176374327</v>
      </c>
      <c r="N34" s="7">
        <f>+[8]Resumen!N34*1000</f>
        <v>180182.85090309053</v>
      </c>
      <c r="O34" s="7">
        <f>+[8]Resumen!O34*1000</f>
        <v>195823.77562546113</v>
      </c>
      <c r="P34" s="7">
        <f>+[8]Resumen!P34*1000</f>
        <v>210192.27388213098</v>
      </c>
      <c r="Q34" s="7">
        <f>+[8]Resumen!Q34*1000</f>
        <v>223806.1081167683</v>
      </c>
      <c r="R34" s="7">
        <f>+[8]Resumen!R34*1000</f>
        <v>230648.95358282488</v>
      </c>
      <c r="S34" s="7">
        <f>+[8]Resumen!S34*1000</f>
        <v>228752.04953111531</v>
      </c>
      <c r="T34" s="7">
        <f>+[8]Resumen!T34*1000</f>
        <v>224012.37759253877</v>
      </c>
      <c r="U34" s="7">
        <f>+[8]Resumen!U34*1000</f>
        <v>222035.10644615442</v>
      </c>
      <c r="V34" s="7">
        <f>+[8]Resumen!V34*1000</f>
        <v>216575.11839536688</v>
      </c>
      <c r="W34" s="7">
        <f>+[8]Resumen!W34*1000</f>
        <v>0</v>
      </c>
      <c r="X34" s="7">
        <f>+[8]Resumen!X34*1000</f>
        <v>0</v>
      </c>
      <c r="Y34" s="7">
        <f>+[8]Resumen!Y34*1000</f>
        <v>0</v>
      </c>
      <c r="Z34" s="7">
        <f>+[8]Resumen!Z34*1000</f>
        <v>0</v>
      </c>
      <c r="AA34" s="7">
        <f>+[8]Resumen!AA34*1000</f>
        <v>0</v>
      </c>
      <c r="AB34" s="7">
        <f>+[8]Resumen!AB34*1000</f>
        <v>0</v>
      </c>
      <c r="AC34" s="7">
        <f>+[8]Resumen!AC34*1000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+[8]Resumen!E35</f>
        <v>22</v>
      </c>
      <c r="F35" s="7">
        <f>+[8]Resumen!F35*1000</f>
        <v>0</v>
      </c>
      <c r="G35" s="7">
        <f>+[8]Resumen!G35*1000</f>
        <v>0</v>
      </c>
      <c r="H35" s="7">
        <f>+[8]Resumen!H35*1000</f>
        <v>0</v>
      </c>
      <c r="I35" s="7">
        <f>+[8]Resumen!I35*1000</f>
        <v>0</v>
      </c>
      <c r="J35" s="7">
        <f>+[8]Resumen!J35*1000</f>
        <v>0</v>
      </c>
      <c r="K35" s="7">
        <f>+[8]Resumen!K35*1000</f>
        <v>0</v>
      </c>
      <c r="L35" s="7">
        <f>+[8]Resumen!L35*1000</f>
        <v>0</v>
      </c>
      <c r="M35" s="7">
        <f>+[8]Resumen!M35*1000</f>
        <v>212488.58059674743</v>
      </c>
      <c r="N35" s="7">
        <f>+[8]Resumen!N35*1000</f>
        <v>227432.64940200222</v>
      </c>
      <c r="O35" s="7">
        <f>+[8]Resumen!O35*1000</f>
        <v>238704.19325265108</v>
      </c>
      <c r="P35" s="7">
        <f>+[8]Resumen!P35*1000</f>
        <v>253766.56190629269</v>
      </c>
      <c r="Q35" s="7">
        <f>+[8]Resumen!Q35*1000</f>
        <v>265758.40411141195</v>
      </c>
      <c r="R35" s="7">
        <f>+[8]Resumen!R35*1000</f>
        <v>266849.23992138845</v>
      </c>
      <c r="S35" s="7">
        <f>+[8]Resumen!S35*1000</f>
        <v>263465.01410569472</v>
      </c>
      <c r="T35" s="7">
        <f>+[8]Resumen!T35*1000</f>
        <v>265569.01558783173</v>
      </c>
      <c r="U35" s="7">
        <f>+[8]Resumen!U35*1000</f>
        <v>265163.63744520152</v>
      </c>
      <c r="V35" s="7">
        <f>+[8]Resumen!V35*1000</f>
        <v>258449.09387494385</v>
      </c>
      <c r="W35" s="7">
        <f>+[8]Resumen!W35*1000</f>
        <v>0</v>
      </c>
      <c r="X35" s="7">
        <f>+[8]Resumen!X35*1000</f>
        <v>0</v>
      </c>
      <c r="Y35" s="7">
        <f>+[8]Resumen!Y35*1000</f>
        <v>0</v>
      </c>
      <c r="Z35" s="7">
        <f>+[8]Resumen!Z35*1000</f>
        <v>0</v>
      </c>
      <c r="AA35" s="7">
        <f>+[8]Resumen!AA35*1000</f>
        <v>0</v>
      </c>
      <c r="AB35" s="7">
        <f>+[8]Resumen!AB35*1000</f>
        <v>0</v>
      </c>
      <c r="AC35" s="7">
        <f>+[8]Resumen!AC35*1000</f>
        <v>0</v>
      </c>
      <c r="AD35" s="60">
        <f t="shared" si="3"/>
        <v>74834151.015339509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+[8]Resumen!E36</f>
        <v>4</v>
      </c>
      <c r="F36" s="7">
        <f>+[8]Resumen!F36*1000</f>
        <v>0</v>
      </c>
      <c r="G36" s="7">
        <f>+[8]Resumen!G36*1000</f>
        <v>0</v>
      </c>
      <c r="H36" s="7">
        <f>+[8]Resumen!H36*1000</f>
        <v>0</v>
      </c>
      <c r="I36" s="7">
        <f>+[8]Resumen!I36*1000</f>
        <v>0</v>
      </c>
      <c r="J36" s="7">
        <f>+[8]Resumen!J36*1000</f>
        <v>0</v>
      </c>
      <c r="K36" s="7">
        <f>+[8]Resumen!K36*1000</f>
        <v>0</v>
      </c>
      <c r="L36" s="7">
        <f>+[8]Resumen!L36*1000</f>
        <v>0</v>
      </c>
      <c r="M36" s="7">
        <f>+[8]Resumen!M36*1000</f>
        <v>193710.70881673033</v>
      </c>
      <c r="N36" s="7">
        <f>+[8]Resumen!N36*1000</f>
        <v>214425.14212272811</v>
      </c>
      <c r="O36" s="7">
        <f>+[8]Resumen!O36*1000</f>
        <v>228557.27375297024</v>
      </c>
      <c r="P36" s="7">
        <f>+[8]Resumen!P36*1000</f>
        <v>241547.44947738553</v>
      </c>
      <c r="Q36" s="7">
        <f>+[8]Resumen!Q36*1000</f>
        <v>250542.54198716447</v>
      </c>
      <c r="R36" s="7">
        <f>+[8]Resumen!R36*1000</f>
        <v>250716.40358627774</v>
      </c>
      <c r="S36" s="7">
        <f>+[8]Resumen!S36*1000</f>
        <v>244445.67700797031</v>
      </c>
      <c r="T36" s="7">
        <f>+[8]Resumen!T36*1000</f>
        <v>238014.27395297051</v>
      </c>
      <c r="U36" s="7">
        <f>+[8]Resumen!U36*1000</f>
        <v>234529.63921257877</v>
      </c>
      <c r="V36" s="7">
        <f>+[8]Resumen!V36*1000</f>
        <v>231348.42432724906</v>
      </c>
      <c r="W36" s="7">
        <f>+[8]Resumen!W36*1000</f>
        <v>0</v>
      </c>
      <c r="X36" s="7">
        <f>+[8]Resumen!X36*1000</f>
        <v>0</v>
      </c>
      <c r="Y36" s="7">
        <f>+[8]Resumen!Y36*1000</f>
        <v>0</v>
      </c>
      <c r="Z36" s="7">
        <f>+[8]Resumen!Z36*1000</f>
        <v>0</v>
      </c>
      <c r="AA36" s="7">
        <f>+[8]Resumen!AA36*1000</f>
        <v>0</v>
      </c>
      <c r="AB36" s="7">
        <f>+[8]Resumen!AB36*1000</f>
        <v>0</v>
      </c>
      <c r="AC36" s="7">
        <f>+[8]Resumen!AC36*1000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+[8]Resumen!E37</f>
        <v>3</v>
      </c>
      <c r="F37" s="7">
        <f>+[8]Resumen!F37*1000</f>
        <v>0</v>
      </c>
      <c r="G37" s="7">
        <f>+[8]Resumen!G37*1000</f>
        <v>0</v>
      </c>
      <c r="H37" s="7">
        <f>+[8]Resumen!H37*1000</f>
        <v>0</v>
      </c>
      <c r="I37" s="7">
        <f>+[8]Resumen!I37*1000</f>
        <v>0</v>
      </c>
      <c r="J37" s="7">
        <f>+[8]Resumen!J37*1000</f>
        <v>0</v>
      </c>
      <c r="K37" s="7">
        <f>+[8]Resumen!K37*1000</f>
        <v>0</v>
      </c>
      <c r="L37" s="7">
        <f>+[8]Resumen!L37*1000</f>
        <v>0</v>
      </c>
      <c r="M37" s="7">
        <f>+[8]Resumen!M37*1000</f>
        <v>155799.41977372029</v>
      </c>
      <c r="N37" s="7">
        <f>+[8]Resumen!N37*1000</f>
        <v>172941.34637951612</v>
      </c>
      <c r="O37" s="7">
        <f>+[8]Resumen!O37*1000</f>
        <v>187502.26529397944</v>
      </c>
      <c r="P37" s="7">
        <f>+[8]Resumen!P37*1000</f>
        <v>198871.80079688242</v>
      </c>
      <c r="Q37" s="7">
        <f>+[8]Resumen!Q37*1000</f>
        <v>210650.80538191422</v>
      </c>
      <c r="R37" s="7">
        <f>+[8]Resumen!R37*1000</f>
        <v>217921.17511288932</v>
      </c>
      <c r="S37" s="7">
        <f>+[8]Resumen!S37*1000</f>
        <v>218300.34948949638</v>
      </c>
      <c r="T37" s="7">
        <f>+[8]Resumen!T37*1000</f>
        <v>212480.51636278196</v>
      </c>
      <c r="U37" s="7">
        <f>+[8]Resumen!U37*1000</f>
        <v>209537.69026659464</v>
      </c>
      <c r="V37" s="7">
        <f>+[8]Resumen!V37*1000</f>
        <v>205405.43960414786</v>
      </c>
      <c r="W37" s="7">
        <f>+[8]Resumen!W37*1000</f>
        <v>0</v>
      </c>
      <c r="X37" s="7">
        <f>+[8]Resumen!X37*1000</f>
        <v>0</v>
      </c>
      <c r="Y37" s="7">
        <f>+[8]Resumen!Y37*1000</f>
        <v>0</v>
      </c>
      <c r="Z37" s="7">
        <f>+[8]Resumen!Z37*1000</f>
        <v>0</v>
      </c>
      <c r="AA37" s="7">
        <f>+[8]Resumen!AA37*1000</f>
        <v>0</v>
      </c>
      <c r="AB37" s="7">
        <f>+[8]Resumen!AB37*1000</f>
        <v>0</v>
      </c>
      <c r="AC37" s="7">
        <f>+[8]Resumen!AC37*1000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+[8]Resumen!E38</f>
        <v>2</v>
      </c>
      <c r="F38" s="7">
        <f>+[8]Resumen!F38*1000</f>
        <v>0</v>
      </c>
      <c r="G38" s="7">
        <f>+[8]Resumen!G38*1000</f>
        <v>0</v>
      </c>
      <c r="H38" s="7">
        <f>+[8]Resumen!H38*1000</f>
        <v>0</v>
      </c>
      <c r="I38" s="7">
        <f>+[8]Resumen!I38*1000</f>
        <v>0</v>
      </c>
      <c r="J38" s="7">
        <f>+[8]Resumen!J38*1000</f>
        <v>0</v>
      </c>
      <c r="K38" s="7">
        <f>+[8]Resumen!K38*1000</f>
        <v>0</v>
      </c>
      <c r="L38" s="7">
        <f>+[8]Resumen!L38*1000</f>
        <v>0</v>
      </c>
      <c r="M38" s="7">
        <f>+[8]Resumen!M38*1000</f>
        <v>163077.86039781364</v>
      </c>
      <c r="N38" s="7">
        <f>+[8]Resumen!N38*1000</f>
        <v>180382.75422884367</v>
      </c>
      <c r="O38" s="7">
        <f>+[8]Resumen!O38*1000</f>
        <v>194184.75614239258</v>
      </c>
      <c r="P38" s="7">
        <f>+[8]Resumen!P38*1000</f>
        <v>209066.45088367016</v>
      </c>
      <c r="Q38" s="7">
        <f>+[8]Resumen!Q38*1000</f>
        <v>223748.33996676802</v>
      </c>
      <c r="R38" s="7">
        <f>+[8]Resumen!R38*1000</f>
        <v>232699.23124039112</v>
      </c>
      <c r="S38" s="7">
        <f>+[8]Resumen!S38*1000</f>
        <v>228487.18617040507</v>
      </c>
      <c r="T38" s="7">
        <f>+[8]Resumen!T38*1000</f>
        <v>221088.6899013198</v>
      </c>
      <c r="U38" s="7">
        <f>+[8]Resumen!U38*1000</f>
        <v>217261.78358907625</v>
      </c>
      <c r="V38" s="7">
        <f>+[8]Resumen!V38*1000</f>
        <v>213176.88172231277</v>
      </c>
      <c r="W38" s="7">
        <f>+[8]Resumen!W38*1000</f>
        <v>0</v>
      </c>
      <c r="X38" s="7">
        <f>+[8]Resumen!X38*1000</f>
        <v>0</v>
      </c>
      <c r="Y38" s="7">
        <f>+[8]Resumen!Y38*1000</f>
        <v>0</v>
      </c>
      <c r="Z38" s="7">
        <f>+[8]Resumen!Z38*1000</f>
        <v>0</v>
      </c>
      <c r="AA38" s="7">
        <f>+[8]Resumen!AA38*1000</f>
        <v>0</v>
      </c>
      <c r="AB38" s="7">
        <f>+[8]Resumen!AB38*1000</f>
        <v>0</v>
      </c>
      <c r="AC38" s="7">
        <f>+[8]Resumen!AC38*1000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+[8]Resumen!E39</f>
        <v>22</v>
      </c>
      <c r="F39" s="7">
        <f>+[8]Resumen!F39*1000</f>
        <v>0</v>
      </c>
      <c r="G39" s="7">
        <f>+[8]Resumen!G39*1000</f>
        <v>0</v>
      </c>
      <c r="H39" s="7">
        <f>+[8]Resumen!H39*1000</f>
        <v>0</v>
      </c>
      <c r="I39" s="7">
        <f>+[8]Resumen!I39*1000</f>
        <v>0</v>
      </c>
      <c r="J39" s="7">
        <f>+[8]Resumen!J39*1000</f>
        <v>0</v>
      </c>
      <c r="K39" s="7">
        <f>+[8]Resumen!K39*1000</f>
        <v>0</v>
      </c>
      <c r="L39" s="7">
        <f>+[8]Resumen!L39*1000</f>
        <v>0</v>
      </c>
      <c r="M39" s="7">
        <f>+[8]Resumen!M39*1000</f>
        <v>220494.5891503832</v>
      </c>
      <c r="N39" s="7">
        <f>+[8]Resumen!N39*1000</f>
        <v>235835.50128417596</v>
      </c>
      <c r="O39" s="7">
        <f>+[8]Resumen!O39*1000</f>
        <v>247142.77814841576</v>
      </c>
      <c r="P39" s="7">
        <f>+[8]Resumen!P39*1000</f>
        <v>262780.45098453283</v>
      </c>
      <c r="Q39" s="7">
        <f>+[8]Resumen!Q39*1000</f>
        <v>275752.42724451568</v>
      </c>
      <c r="R39" s="7">
        <f>+[8]Resumen!R39*1000</f>
        <v>277781.21803591464</v>
      </c>
      <c r="S39" s="7">
        <f>+[8]Resumen!S39*1000</f>
        <v>274258.6572009637</v>
      </c>
      <c r="T39" s="7">
        <f>+[8]Resumen!T39*1000</f>
        <v>275742.42963653873</v>
      </c>
      <c r="U39" s="7">
        <f>+[8]Resumen!U39*1000</f>
        <v>275783.64091311523</v>
      </c>
      <c r="V39" s="7">
        <f>+[8]Resumen!V39*1000</f>
        <v>269421.07351996592</v>
      </c>
      <c r="W39" s="7">
        <f>+[8]Resumen!W39*1000</f>
        <v>0</v>
      </c>
      <c r="X39" s="7">
        <f>+[8]Resumen!X39*1000</f>
        <v>0</v>
      </c>
      <c r="Y39" s="7">
        <f>+[8]Resumen!Y39*1000</f>
        <v>0</v>
      </c>
      <c r="Z39" s="7">
        <f>+[8]Resumen!Z39*1000</f>
        <v>0</v>
      </c>
      <c r="AA39" s="7">
        <f>+[8]Resumen!AA39*1000</f>
        <v>0</v>
      </c>
      <c r="AB39" s="7">
        <f>+[8]Resumen!AB39*1000</f>
        <v>0</v>
      </c>
      <c r="AC39" s="7">
        <f>+[8]Resumen!AC39*1000</f>
        <v>0</v>
      </c>
      <c r="AD39" s="60">
        <f t="shared" ref="AD39" si="4">SUM(F39:AC39)*E39+SUM(F40:AC40)*E40+SUM(F41:AC41)*E41+SUM(F42:AC42)*E42</f>
        <v>75453820.098187327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+[8]Resumen!E40</f>
        <v>4</v>
      </c>
      <c r="F40" s="7">
        <f>+[8]Resumen!F40*1000</f>
        <v>0</v>
      </c>
      <c r="G40" s="7">
        <f>+[8]Resumen!G40*1000</f>
        <v>0</v>
      </c>
      <c r="H40" s="7">
        <f>+[8]Resumen!H40*1000</f>
        <v>0</v>
      </c>
      <c r="I40" s="7">
        <f>+[8]Resumen!I40*1000</f>
        <v>0</v>
      </c>
      <c r="J40" s="7">
        <f>+[8]Resumen!J40*1000</f>
        <v>0</v>
      </c>
      <c r="K40" s="7">
        <f>+[8]Resumen!K40*1000</f>
        <v>0</v>
      </c>
      <c r="L40" s="7">
        <f>+[8]Resumen!L40*1000</f>
        <v>0</v>
      </c>
      <c r="M40" s="7">
        <f>+[8]Resumen!M40*1000</f>
        <v>201746.49932112705</v>
      </c>
      <c r="N40" s="7">
        <f>+[8]Resumen!N40*1000</f>
        <v>223651.42931697503</v>
      </c>
      <c r="O40" s="7">
        <f>+[8]Resumen!O40*1000</f>
        <v>238687.24348921588</v>
      </c>
      <c r="P40" s="7">
        <f>+[8]Resumen!P40*1000</f>
        <v>252676.94472126715</v>
      </c>
      <c r="Q40" s="7">
        <f>+[8]Resumen!Q40*1000</f>
        <v>262344.09224364877</v>
      </c>
      <c r="R40" s="7">
        <f>+[8]Resumen!R40*1000</f>
        <v>262748.43599788717</v>
      </c>
      <c r="S40" s="7">
        <f>+[8]Resumen!S40*1000</f>
        <v>254721.59317505237</v>
      </c>
      <c r="T40" s="7">
        <f>+[8]Resumen!T40*1000</f>
        <v>246181.891264682</v>
      </c>
      <c r="U40" s="7">
        <f>+[8]Resumen!U40*1000</f>
        <v>242079.96860352068</v>
      </c>
      <c r="V40" s="7">
        <f>+[8]Resumen!V40*1000</f>
        <v>237706.49679230037</v>
      </c>
      <c r="W40" s="7">
        <f>+[8]Resumen!W40*1000</f>
        <v>0</v>
      </c>
      <c r="X40" s="7">
        <f>+[8]Resumen!X40*1000</f>
        <v>0</v>
      </c>
      <c r="Y40" s="7">
        <f>+[8]Resumen!Y40*1000</f>
        <v>0</v>
      </c>
      <c r="Z40" s="7">
        <f>+[8]Resumen!Z40*1000</f>
        <v>0</v>
      </c>
      <c r="AA40" s="7">
        <f>+[8]Resumen!AA40*1000</f>
        <v>0</v>
      </c>
      <c r="AB40" s="7">
        <f>+[8]Resumen!AB40*1000</f>
        <v>0</v>
      </c>
      <c r="AC40" s="7">
        <f>+[8]Resumen!AC40*1000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+[8]Resumen!E41</f>
        <v>4</v>
      </c>
      <c r="F41" s="7">
        <f>+[8]Resumen!F41*1000</f>
        <v>0</v>
      </c>
      <c r="G41" s="7">
        <f>+[8]Resumen!G41*1000</f>
        <v>0</v>
      </c>
      <c r="H41" s="7">
        <f>+[8]Resumen!H41*1000</f>
        <v>0</v>
      </c>
      <c r="I41" s="7">
        <f>+[8]Resumen!I41*1000</f>
        <v>0</v>
      </c>
      <c r="J41" s="7">
        <f>+[8]Resumen!J41*1000</f>
        <v>0</v>
      </c>
      <c r="K41" s="7">
        <f>+[8]Resumen!K41*1000</f>
        <v>0</v>
      </c>
      <c r="L41" s="7">
        <f>+[8]Resumen!L41*1000</f>
        <v>0</v>
      </c>
      <c r="M41" s="7">
        <f>+[8]Resumen!M41*1000</f>
        <v>160815.91491132416</v>
      </c>
      <c r="N41" s="7">
        <f>+[8]Resumen!N41*1000</f>
        <v>178275.14570564026</v>
      </c>
      <c r="O41" s="7">
        <f>+[8]Resumen!O41*1000</f>
        <v>192946.09602050757</v>
      </c>
      <c r="P41" s="7">
        <f>+[8]Resumen!P41*1000</f>
        <v>205895.14481761423</v>
      </c>
      <c r="Q41" s="7">
        <f>+[8]Resumen!Q41*1000</f>
        <v>218259.88847746159</v>
      </c>
      <c r="R41" s="7">
        <f>+[8]Resumen!R41*1000</f>
        <v>225846.09960307225</v>
      </c>
      <c r="S41" s="7">
        <f>+[8]Resumen!S41*1000</f>
        <v>224988.94900068766</v>
      </c>
      <c r="T41" s="7">
        <f>+[8]Resumen!T41*1000</f>
        <v>219697.22220156086</v>
      </c>
      <c r="U41" s="7">
        <f>+[8]Resumen!U41*1000</f>
        <v>217213.04525018847</v>
      </c>
      <c r="V41" s="7">
        <f>+[8]Resumen!V41*1000</f>
        <v>214512.70998123</v>
      </c>
      <c r="W41" s="7">
        <f>+[8]Resumen!W41*1000</f>
        <v>0</v>
      </c>
      <c r="X41" s="7">
        <f>+[8]Resumen!X41*1000</f>
        <v>0</v>
      </c>
      <c r="Y41" s="7">
        <f>+[8]Resumen!Y41*1000</f>
        <v>0</v>
      </c>
      <c r="Z41" s="7">
        <f>+[8]Resumen!Z41*1000</f>
        <v>0</v>
      </c>
      <c r="AA41" s="7">
        <f>+[8]Resumen!AA41*1000</f>
        <v>0</v>
      </c>
      <c r="AB41" s="7">
        <f>+[8]Resumen!AB41*1000</f>
        <v>0</v>
      </c>
      <c r="AC41" s="7">
        <f>+[8]Resumen!AC41*1000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+[8]Resumen!E42</f>
        <v>0</v>
      </c>
      <c r="F42" s="7">
        <f>+[8]Resumen!F42*1000</f>
        <v>0</v>
      </c>
      <c r="G42" s="7">
        <f>+[8]Resumen!G42*1000</f>
        <v>0</v>
      </c>
      <c r="H42" s="7">
        <f>+[8]Resumen!H42*1000</f>
        <v>0</v>
      </c>
      <c r="I42" s="7">
        <f>+[8]Resumen!I42*1000</f>
        <v>0</v>
      </c>
      <c r="J42" s="7">
        <f>+[8]Resumen!J42*1000</f>
        <v>0</v>
      </c>
      <c r="K42" s="7">
        <f>+[8]Resumen!K42*1000</f>
        <v>0</v>
      </c>
      <c r="L42" s="7">
        <f>+[8]Resumen!L42*1000</f>
        <v>0</v>
      </c>
      <c r="M42" s="7">
        <f>+[8]Resumen!M42*1000</f>
        <v>0</v>
      </c>
      <c r="N42" s="7">
        <f>+[8]Resumen!N42*1000</f>
        <v>0</v>
      </c>
      <c r="O42" s="7">
        <f>+[8]Resumen!O42*1000</f>
        <v>0</v>
      </c>
      <c r="P42" s="7">
        <f>+[8]Resumen!P42*1000</f>
        <v>0</v>
      </c>
      <c r="Q42" s="7">
        <f>+[8]Resumen!Q42*1000</f>
        <v>0</v>
      </c>
      <c r="R42" s="7">
        <f>+[8]Resumen!R42*1000</f>
        <v>0</v>
      </c>
      <c r="S42" s="7">
        <f>+[8]Resumen!S42*1000</f>
        <v>0</v>
      </c>
      <c r="T42" s="7">
        <f>+[8]Resumen!T42*1000</f>
        <v>0</v>
      </c>
      <c r="U42" s="7">
        <f>+[8]Resumen!U42*1000</f>
        <v>0</v>
      </c>
      <c r="V42" s="7">
        <f>+[8]Resumen!V42*1000</f>
        <v>0</v>
      </c>
      <c r="W42" s="7">
        <f>+[8]Resumen!W42*1000</f>
        <v>0</v>
      </c>
      <c r="X42" s="7">
        <f>+[8]Resumen!X42*1000</f>
        <v>0</v>
      </c>
      <c r="Y42" s="7">
        <f>+[8]Resumen!Y42*1000</f>
        <v>0</v>
      </c>
      <c r="Z42" s="7">
        <f>+[8]Resumen!Z42*1000</f>
        <v>0</v>
      </c>
      <c r="AA42" s="7">
        <f>+[8]Resumen!AA42*1000</f>
        <v>0</v>
      </c>
      <c r="AB42" s="7">
        <f>+[8]Resumen!AB42*1000</f>
        <v>0</v>
      </c>
      <c r="AC42" s="7">
        <f>+[8]Resumen!AC42*1000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+[8]Resumen!E43</f>
        <v>20</v>
      </c>
      <c r="F43" s="7">
        <f>+[8]Resumen!F43*1000</f>
        <v>0</v>
      </c>
      <c r="G43" s="7">
        <f>+[8]Resumen!G43*1000</f>
        <v>0</v>
      </c>
      <c r="H43" s="7">
        <f>+[8]Resumen!H43*1000</f>
        <v>0</v>
      </c>
      <c r="I43" s="7">
        <f>+[8]Resumen!I43*1000</f>
        <v>0</v>
      </c>
      <c r="J43" s="7">
        <f>+[8]Resumen!J43*1000</f>
        <v>0</v>
      </c>
      <c r="K43" s="7">
        <f>+[8]Resumen!K43*1000</f>
        <v>0</v>
      </c>
      <c r="L43" s="7">
        <f>+[8]Resumen!L43*1000</f>
        <v>0</v>
      </c>
      <c r="M43" s="7">
        <f>+[8]Resumen!M43*1000</f>
        <v>214713.1393800494</v>
      </c>
      <c r="N43" s="7">
        <f>+[8]Resumen!N43*1000</f>
        <v>230403.46391714647</v>
      </c>
      <c r="O43" s="7">
        <f>+[8]Resumen!O43*1000</f>
        <v>241228.28294581617</v>
      </c>
      <c r="P43" s="7">
        <f>+[8]Resumen!P43*1000</f>
        <v>255713.39406551255</v>
      </c>
      <c r="Q43" s="7">
        <f>+[8]Resumen!Q43*1000</f>
        <v>268572.28903313755</v>
      </c>
      <c r="R43" s="7">
        <f>+[8]Resumen!R43*1000</f>
        <v>271195.69554995158</v>
      </c>
      <c r="S43" s="7">
        <f>+[8]Resumen!S43*1000</f>
        <v>267389.01308457268</v>
      </c>
      <c r="T43" s="7">
        <f>+[8]Resumen!T43*1000</f>
        <v>268794.20973755937</v>
      </c>
      <c r="U43" s="7">
        <f>+[8]Resumen!U43*1000</f>
        <v>268344.12648288289</v>
      </c>
      <c r="V43" s="7">
        <f>+[8]Resumen!V43*1000</f>
        <v>262155.69593382656</v>
      </c>
      <c r="W43" s="7">
        <f>+[8]Resumen!W43*1000</f>
        <v>0</v>
      </c>
      <c r="X43" s="7">
        <f>+[8]Resumen!X43*1000</f>
        <v>0</v>
      </c>
      <c r="Y43" s="7">
        <f>+[8]Resumen!Y43*1000</f>
        <v>0</v>
      </c>
      <c r="Z43" s="7">
        <f>+[8]Resumen!Z43*1000</f>
        <v>0</v>
      </c>
      <c r="AA43" s="7">
        <f>+[8]Resumen!AA43*1000</f>
        <v>0</v>
      </c>
      <c r="AB43" s="7">
        <f>+[8]Resumen!AB43*1000</f>
        <v>0</v>
      </c>
      <c r="AC43" s="7">
        <f>+[8]Resumen!AC43*1000</f>
        <v>0</v>
      </c>
      <c r="AD43" s="60">
        <f t="shared" ref="AD43" si="5">SUM(F43:AC43)*E43+SUM(F44:AC44)*E44+SUM(F45:AC45)*E45+SUM(F46:AC46)*E46</f>
        <v>75304223.390625566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+[8]Resumen!E44</f>
        <v>5</v>
      </c>
      <c r="F44" s="7">
        <f>+[8]Resumen!F44*1000</f>
        <v>0</v>
      </c>
      <c r="G44" s="7">
        <f>+[8]Resumen!G44*1000</f>
        <v>0</v>
      </c>
      <c r="H44" s="7">
        <f>+[8]Resumen!H44*1000</f>
        <v>0</v>
      </c>
      <c r="I44" s="7">
        <f>+[8]Resumen!I44*1000</f>
        <v>0</v>
      </c>
      <c r="J44" s="7">
        <f>+[8]Resumen!J44*1000</f>
        <v>0</v>
      </c>
      <c r="K44" s="7">
        <f>+[8]Resumen!K44*1000</f>
        <v>0</v>
      </c>
      <c r="L44" s="7">
        <f>+[8]Resumen!L44*1000</f>
        <v>0</v>
      </c>
      <c r="M44" s="7">
        <f>+[8]Resumen!M44*1000</f>
        <v>197143.89050363476</v>
      </c>
      <c r="N44" s="7">
        <f>+[8]Resumen!N44*1000</f>
        <v>218287.73261477586</v>
      </c>
      <c r="O44" s="7">
        <f>+[8]Resumen!O44*1000</f>
        <v>232828.04145151566</v>
      </c>
      <c r="P44" s="7">
        <f>+[8]Resumen!P44*1000</f>
        <v>246779.30383424688</v>
      </c>
      <c r="Q44" s="7">
        <f>+[8]Resumen!Q44*1000</f>
        <v>256397.74187406921</v>
      </c>
      <c r="R44" s="7">
        <f>+[8]Resumen!R44*1000</f>
        <v>257363.947201123</v>
      </c>
      <c r="S44" s="7">
        <f>+[8]Resumen!S44*1000</f>
        <v>250884.5982464111</v>
      </c>
      <c r="T44" s="7">
        <f>+[8]Resumen!T44*1000</f>
        <v>244222.30016881644</v>
      </c>
      <c r="U44" s="7">
        <f>+[8]Resumen!U44*1000</f>
        <v>241513.90066589258</v>
      </c>
      <c r="V44" s="7">
        <f>+[8]Resumen!V44*1000</f>
        <v>238464.8144694684</v>
      </c>
      <c r="W44" s="7">
        <f>+[8]Resumen!W44*1000</f>
        <v>0</v>
      </c>
      <c r="X44" s="7">
        <f>+[8]Resumen!X44*1000</f>
        <v>0</v>
      </c>
      <c r="Y44" s="7">
        <f>+[8]Resumen!Y44*1000</f>
        <v>0</v>
      </c>
      <c r="Z44" s="7">
        <f>+[8]Resumen!Z44*1000</f>
        <v>0</v>
      </c>
      <c r="AA44" s="7">
        <f>+[8]Resumen!AA44*1000</f>
        <v>0</v>
      </c>
      <c r="AB44" s="7">
        <f>+[8]Resumen!AB44*1000</f>
        <v>0</v>
      </c>
      <c r="AC44" s="7">
        <f>+[8]Resumen!AC44*1000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+[8]Resumen!E45</f>
        <v>5</v>
      </c>
      <c r="F45" s="7">
        <f>+[8]Resumen!F45*1000</f>
        <v>0</v>
      </c>
      <c r="G45" s="7">
        <f>+[8]Resumen!G45*1000</f>
        <v>0</v>
      </c>
      <c r="H45" s="7">
        <f>+[8]Resumen!H45*1000</f>
        <v>0</v>
      </c>
      <c r="I45" s="7">
        <f>+[8]Resumen!I45*1000</f>
        <v>0</v>
      </c>
      <c r="J45" s="7">
        <f>+[8]Resumen!J45*1000</f>
        <v>0</v>
      </c>
      <c r="K45" s="7">
        <f>+[8]Resumen!K45*1000</f>
        <v>0</v>
      </c>
      <c r="L45" s="7">
        <f>+[8]Resumen!L45*1000</f>
        <v>0</v>
      </c>
      <c r="M45" s="7">
        <f>+[8]Resumen!M45*1000</f>
        <v>162688.4708809068</v>
      </c>
      <c r="N45" s="7">
        <f>+[8]Resumen!N45*1000</f>
        <v>180008.43659430003</v>
      </c>
      <c r="O45" s="7">
        <f>+[8]Resumen!O45*1000</f>
        <v>194316.18118082552</v>
      </c>
      <c r="P45" s="7">
        <f>+[8]Resumen!P45*1000</f>
        <v>206814.51410374555</v>
      </c>
      <c r="Q45" s="7">
        <f>+[8]Resumen!Q45*1000</f>
        <v>219899.74701377511</v>
      </c>
      <c r="R45" s="7">
        <f>+[8]Resumen!R45*1000</f>
        <v>226927.56820486431</v>
      </c>
      <c r="S45" s="7">
        <f>+[8]Resumen!S45*1000</f>
        <v>225353.8550326952</v>
      </c>
      <c r="T45" s="7">
        <f>+[8]Resumen!T45*1000</f>
        <v>220053.49797162024</v>
      </c>
      <c r="U45" s="7">
        <f>+[8]Resumen!U45*1000</f>
        <v>216837.13607814047</v>
      </c>
      <c r="V45" s="7">
        <f>+[8]Resumen!V45*1000</f>
        <v>212796.48650103708</v>
      </c>
      <c r="W45" s="7">
        <f>+[8]Resumen!W45*1000</f>
        <v>0</v>
      </c>
      <c r="X45" s="7">
        <f>+[8]Resumen!X45*1000</f>
        <v>0</v>
      </c>
      <c r="Y45" s="7">
        <f>+[8]Resumen!Y45*1000</f>
        <v>0</v>
      </c>
      <c r="Z45" s="7">
        <f>+[8]Resumen!Z45*1000</f>
        <v>0</v>
      </c>
      <c r="AA45" s="7">
        <f>+[8]Resumen!AA45*1000</f>
        <v>0</v>
      </c>
      <c r="AB45" s="7">
        <f>+[8]Resumen!AB45*1000</f>
        <v>0</v>
      </c>
      <c r="AC45" s="7">
        <f>+[8]Resumen!AC45*1000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+[8]Resumen!E46</f>
        <v>1</v>
      </c>
      <c r="F46" s="7">
        <f>+[8]Resumen!F46*1000</f>
        <v>0</v>
      </c>
      <c r="G46" s="7">
        <f>+[8]Resumen!G46*1000</f>
        <v>0</v>
      </c>
      <c r="H46" s="7">
        <f>+[8]Resumen!H46*1000</f>
        <v>0</v>
      </c>
      <c r="I46" s="7">
        <f>+[8]Resumen!I46*1000</f>
        <v>0</v>
      </c>
      <c r="J46" s="7">
        <f>+[8]Resumen!J46*1000</f>
        <v>0</v>
      </c>
      <c r="K46" s="7">
        <f>+[8]Resumen!K46*1000</f>
        <v>0</v>
      </c>
      <c r="L46" s="7">
        <f>+[8]Resumen!L46*1000</f>
        <v>0</v>
      </c>
      <c r="M46" s="7">
        <f>+[8]Resumen!M46*1000</f>
        <v>160677.31796539263</v>
      </c>
      <c r="N46" s="7">
        <f>+[8]Resumen!N46*1000</f>
        <v>177991.70330879159</v>
      </c>
      <c r="O46" s="7">
        <f>+[8]Resumen!O46*1000</f>
        <v>190944.85414398479</v>
      </c>
      <c r="P46" s="7">
        <f>+[8]Resumen!P46*1000</f>
        <v>204573.52941035706</v>
      </c>
      <c r="Q46" s="7">
        <f>+[8]Resumen!Q46*1000</f>
        <v>221329.8089430847</v>
      </c>
      <c r="R46" s="7">
        <f>+[8]Resumen!R46*1000</f>
        <v>231987.10366633002</v>
      </c>
      <c r="S46" s="7">
        <f>+[8]Resumen!S46*1000</f>
        <v>231683.23098888181</v>
      </c>
      <c r="T46" s="7">
        <f>+[8]Resumen!T46*1000</f>
        <v>224402.59284438504</v>
      </c>
      <c r="U46" s="7">
        <f>+[8]Resumen!U46*1000</f>
        <v>222213.92245490459</v>
      </c>
      <c r="V46" s="7">
        <f>+[8]Resumen!V46*1000</f>
        <v>220322.30133103364</v>
      </c>
      <c r="W46" s="7">
        <f>+[8]Resumen!W46*1000</f>
        <v>0</v>
      </c>
      <c r="X46" s="7">
        <f>+[8]Resumen!X46*1000</f>
        <v>0</v>
      </c>
      <c r="Y46" s="7">
        <f>+[8]Resumen!Y46*1000</f>
        <v>0</v>
      </c>
      <c r="Z46" s="7">
        <f>+[8]Resumen!Z46*1000</f>
        <v>0</v>
      </c>
      <c r="AA46" s="7">
        <f>+[8]Resumen!AA46*1000</f>
        <v>0</v>
      </c>
      <c r="AB46" s="7">
        <f>+[8]Resumen!AB46*1000</f>
        <v>0</v>
      </c>
      <c r="AC46" s="7">
        <f>+[8]Resumen!AC46*1000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+[8]Resumen!E47</f>
        <v>20</v>
      </c>
      <c r="F47" s="7">
        <f>+[8]Resumen!F47*1000</f>
        <v>0</v>
      </c>
      <c r="G47" s="7">
        <f>+[8]Resumen!G47*1000</f>
        <v>0</v>
      </c>
      <c r="H47" s="7">
        <f>+[8]Resumen!H47*1000</f>
        <v>0</v>
      </c>
      <c r="I47" s="7">
        <f>+[8]Resumen!I47*1000</f>
        <v>0</v>
      </c>
      <c r="J47" s="7">
        <f>+[8]Resumen!J47*1000</f>
        <v>0</v>
      </c>
      <c r="K47" s="7">
        <f>+[8]Resumen!K47*1000</f>
        <v>0</v>
      </c>
      <c r="L47" s="7">
        <f>+[8]Resumen!L47*1000</f>
        <v>0</v>
      </c>
      <c r="M47" s="7">
        <f>+[8]Resumen!M47*1000</f>
        <v>224952.19713672783</v>
      </c>
      <c r="N47" s="7">
        <f>+[8]Resumen!N47*1000</f>
        <v>240761.88698664971</v>
      </c>
      <c r="O47" s="7">
        <f>+[8]Resumen!O47*1000</f>
        <v>251412.48482195835</v>
      </c>
      <c r="P47" s="7">
        <f>+[8]Resumen!P47*1000</f>
        <v>265842.14073737198</v>
      </c>
      <c r="Q47" s="7">
        <f>+[8]Resumen!Q47*1000</f>
        <v>279063.17596890079</v>
      </c>
      <c r="R47" s="7">
        <f>+[8]Resumen!R47*1000</f>
        <v>282179.16001372872</v>
      </c>
      <c r="S47" s="7">
        <f>+[8]Resumen!S47*1000</f>
        <v>277716.6864064504</v>
      </c>
      <c r="T47" s="7">
        <f>+[8]Resumen!T47*1000</f>
        <v>278158.30587799719</v>
      </c>
      <c r="U47" s="7">
        <f>+[8]Resumen!U47*1000</f>
        <v>277697.73445775866</v>
      </c>
      <c r="V47" s="7">
        <f>+[8]Resumen!V47*1000</f>
        <v>272490.77423354873</v>
      </c>
      <c r="W47" s="7">
        <f>+[8]Resumen!W47*1000</f>
        <v>0</v>
      </c>
      <c r="X47" s="7">
        <f>+[8]Resumen!X47*1000</f>
        <v>0</v>
      </c>
      <c r="Y47" s="7">
        <f>+[8]Resumen!Y47*1000</f>
        <v>0</v>
      </c>
      <c r="Z47" s="7">
        <f>+[8]Resumen!Z47*1000</f>
        <v>0</v>
      </c>
      <c r="AA47" s="7">
        <f>+[8]Resumen!AA47*1000</f>
        <v>0</v>
      </c>
      <c r="AB47" s="7">
        <f>+[8]Resumen!AB47*1000</f>
        <v>0</v>
      </c>
      <c r="AC47" s="7">
        <f>+[8]Resumen!AC47*1000</f>
        <v>0</v>
      </c>
      <c r="AD47" s="60">
        <f t="shared" ref="AD47" si="6">SUM(F47:AC47)*E47+SUM(F48:AC48)*E48+SUM(F49:AC49)*E49+SUM(F50:AC50)*E50</f>
        <v>75527053.375717148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+[8]Resumen!E48</f>
        <v>4</v>
      </c>
      <c r="F48" s="7">
        <f>+[8]Resumen!F48*1000</f>
        <v>0</v>
      </c>
      <c r="G48" s="7">
        <f>+[8]Resumen!G48*1000</f>
        <v>0</v>
      </c>
      <c r="H48" s="7">
        <f>+[8]Resumen!H48*1000</f>
        <v>0</v>
      </c>
      <c r="I48" s="7">
        <f>+[8]Resumen!I48*1000</f>
        <v>0</v>
      </c>
      <c r="J48" s="7">
        <f>+[8]Resumen!J48*1000</f>
        <v>0</v>
      </c>
      <c r="K48" s="7">
        <f>+[8]Resumen!K48*1000</f>
        <v>0</v>
      </c>
      <c r="L48" s="7">
        <f>+[8]Resumen!L48*1000</f>
        <v>0</v>
      </c>
      <c r="M48" s="7">
        <f>+[8]Resumen!M48*1000</f>
        <v>205621.63565693281</v>
      </c>
      <c r="N48" s="7">
        <f>+[8]Resumen!N48*1000</f>
        <v>227872.98587678821</v>
      </c>
      <c r="O48" s="7">
        <f>+[8]Resumen!O48*1000</f>
        <v>241546.07769192156</v>
      </c>
      <c r="P48" s="7">
        <f>+[8]Resumen!P48*1000</f>
        <v>254092.52077365445</v>
      </c>
      <c r="Q48" s="7">
        <f>+[8]Resumen!Q48*1000</f>
        <v>263020.32254501811</v>
      </c>
      <c r="R48" s="7">
        <f>+[8]Resumen!R48*1000</f>
        <v>263989.98175262514</v>
      </c>
      <c r="S48" s="7">
        <f>+[8]Resumen!S48*1000</f>
        <v>257123.0945254676</v>
      </c>
      <c r="T48" s="7">
        <f>+[8]Resumen!T48*1000</f>
        <v>250202.57892159512</v>
      </c>
      <c r="U48" s="7">
        <f>+[8]Resumen!U48*1000</f>
        <v>246629.07334848246</v>
      </c>
      <c r="V48" s="7">
        <f>+[8]Resumen!V48*1000</f>
        <v>243333.8693063049</v>
      </c>
      <c r="W48" s="7">
        <f>+[8]Resumen!W48*1000</f>
        <v>0</v>
      </c>
      <c r="X48" s="7">
        <f>+[8]Resumen!X48*1000</f>
        <v>0</v>
      </c>
      <c r="Y48" s="7">
        <f>+[8]Resumen!Y48*1000</f>
        <v>0</v>
      </c>
      <c r="Z48" s="7">
        <f>+[8]Resumen!Z48*1000</f>
        <v>0</v>
      </c>
      <c r="AA48" s="7">
        <f>+[8]Resumen!AA48*1000</f>
        <v>0</v>
      </c>
      <c r="AB48" s="7">
        <f>+[8]Resumen!AB48*1000</f>
        <v>0</v>
      </c>
      <c r="AC48" s="7">
        <f>+[8]Resumen!AC48*1000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+[8]Resumen!E49</f>
        <v>4</v>
      </c>
      <c r="F49" s="7">
        <f>+[8]Resumen!F49*1000</f>
        <v>0</v>
      </c>
      <c r="G49" s="7">
        <f>+[8]Resumen!G49*1000</f>
        <v>0</v>
      </c>
      <c r="H49" s="7">
        <f>+[8]Resumen!H49*1000</f>
        <v>0</v>
      </c>
      <c r="I49" s="7">
        <f>+[8]Resumen!I49*1000</f>
        <v>0</v>
      </c>
      <c r="J49" s="7">
        <f>+[8]Resumen!J49*1000</f>
        <v>0</v>
      </c>
      <c r="K49" s="7">
        <f>+[8]Resumen!K49*1000</f>
        <v>0</v>
      </c>
      <c r="L49" s="7">
        <f>+[8]Resumen!L49*1000</f>
        <v>0</v>
      </c>
      <c r="M49" s="7">
        <f>+[8]Resumen!M49*1000</f>
        <v>165773.84502031677</v>
      </c>
      <c r="N49" s="7">
        <f>+[8]Resumen!N49*1000</f>
        <v>184034.77121273481</v>
      </c>
      <c r="O49" s="7">
        <f>+[8]Resumen!O49*1000</f>
        <v>199449.8285728276</v>
      </c>
      <c r="P49" s="7">
        <f>+[8]Resumen!P49*1000</f>
        <v>211396.67710261527</v>
      </c>
      <c r="Q49" s="7">
        <f>+[8]Resumen!Q49*1000</f>
        <v>223341.07506419544</v>
      </c>
      <c r="R49" s="7">
        <f>+[8]Resumen!R49*1000</f>
        <v>231268.62548027461</v>
      </c>
      <c r="S49" s="7">
        <f>+[8]Resumen!S49*1000</f>
        <v>232147.95994014636</v>
      </c>
      <c r="T49" s="7">
        <f>+[8]Resumen!T49*1000</f>
        <v>227196.42039806445</v>
      </c>
      <c r="U49" s="7">
        <f>+[8]Resumen!U49*1000</f>
        <v>222664.40747846296</v>
      </c>
      <c r="V49" s="7">
        <f>+[8]Resumen!V49*1000</f>
        <v>218409.86147598681</v>
      </c>
      <c r="W49" s="7">
        <f>+[8]Resumen!W49*1000</f>
        <v>0</v>
      </c>
      <c r="X49" s="7">
        <f>+[8]Resumen!X49*1000</f>
        <v>0</v>
      </c>
      <c r="Y49" s="7">
        <f>+[8]Resumen!Y49*1000</f>
        <v>0</v>
      </c>
      <c r="Z49" s="7">
        <f>+[8]Resumen!Z49*1000</f>
        <v>0</v>
      </c>
      <c r="AA49" s="7">
        <f>+[8]Resumen!AA49*1000</f>
        <v>0</v>
      </c>
      <c r="AB49" s="7">
        <f>+[8]Resumen!AB49*1000</f>
        <v>0</v>
      </c>
      <c r="AC49" s="7">
        <f>+[8]Resumen!AC49*1000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+[8]Resumen!E50</f>
        <v>2</v>
      </c>
      <c r="F50" s="7">
        <f>+[8]Resumen!F50*1000</f>
        <v>0</v>
      </c>
      <c r="G50" s="7">
        <f>+[8]Resumen!G50*1000</f>
        <v>0</v>
      </c>
      <c r="H50" s="7">
        <f>+[8]Resumen!H50*1000</f>
        <v>0</v>
      </c>
      <c r="I50" s="7">
        <f>+[8]Resumen!I50*1000</f>
        <v>0</v>
      </c>
      <c r="J50" s="7">
        <f>+[8]Resumen!J50*1000</f>
        <v>0</v>
      </c>
      <c r="K50" s="7">
        <f>+[8]Resumen!K50*1000</f>
        <v>0</v>
      </c>
      <c r="L50" s="7">
        <f>+[8]Resumen!L50*1000</f>
        <v>0</v>
      </c>
      <c r="M50" s="7">
        <f>+[8]Resumen!M50*1000</f>
        <v>161994.89348665558</v>
      </c>
      <c r="N50" s="7">
        <f>+[8]Resumen!N50*1000</f>
        <v>180570.69771627977</v>
      </c>
      <c r="O50" s="7">
        <f>+[8]Resumen!O50*1000</f>
        <v>195573.8576232121</v>
      </c>
      <c r="P50" s="7">
        <f>+[8]Resumen!P50*1000</f>
        <v>211320.98917259759</v>
      </c>
      <c r="Q50" s="7">
        <f>+[8]Resumen!Q50*1000</f>
        <v>226441.12375652185</v>
      </c>
      <c r="R50" s="7">
        <f>+[8]Resumen!R50*1000</f>
        <v>236327.39069974035</v>
      </c>
      <c r="S50" s="7">
        <f>+[8]Resumen!S50*1000</f>
        <v>235848.92169666014</v>
      </c>
      <c r="T50" s="7">
        <f>+[8]Resumen!T50*1000</f>
        <v>228875.60123129454</v>
      </c>
      <c r="U50" s="7">
        <f>+[8]Resumen!U50*1000</f>
        <v>223904.10864789269</v>
      </c>
      <c r="V50" s="7">
        <f>+[8]Resumen!V50*1000</f>
        <v>221692.41312796256</v>
      </c>
      <c r="W50" s="7">
        <f>+[8]Resumen!W50*1000</f>
        <v>0</v>
      </c>
      <c r="X50" s="7">
        <f>+[8]Resumen!X50*1000</f>
        <v>0</v>
      </c>
      <c r="Y50" s="7">
        <f>+[8]Resumen!Y50*1000</f>
        <v>0</v>
      </c>
      <c r="Z50" s="7">
        <f>+[8]Resumen!Z50*1000</f>
        <v>0</v>
      </c>
      <c r="AA50" s="7">
        <f>+[8]Resumen!AA50*1000</f>
        <v>0</v>
      </c>
      <c r="AB50" s="7">
        <f>+[8]Resumen!AB50*1000</f>
        <v>0</v>
      </c>
      <c r="AC50" s="7">
        <f>+[8]Resumen!AC50*1000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+[8]Resumen!E51</f>
        <v>21</v>
      </c>
      <c r="F51" s="7">
        <f>+[8]Resumen!F51*1000</f>
        <v>0</v>
      </c>
      <c r="G51" s="7">
        <f>+[8]Resumen!G51*1000</f>
        <v>0</v>
      </c>
      <c r="H51" s="7">
        <f>+[8]Resumen!H51*1000</f>
        <v>0</v>
      </c>
      <c r="I51" s="7">
        <f>+[8]Resumen!I51*1000</f>
        <v>0</v>
      </c>
      <c r="J51" s="7">
        <f>+[8]Resumen!J51*1000</f>
        <v>0</v>
      </c>
      <c r="K51" s="7">
        <f>+[8]Resumen!K51*1000</f>
        <v>0</v>
      </c>
      <c r="L51" s="7">
        <f>+[8]Resumen!L51*1000</f>
        <v>0</v>
      </c>
      <c r="M51" s="7">
        <f>+[8]Resumen!M51*1000</f>
        <v>206845.59236957278</v>
      </c>
      <c r="N51" s="7">
        <f>+[8]Resumen!N51*1000</f>
        <v>226139.39532625527</v>
      </c>
      <c r="O51" s="7">
        <f>+[8]Resumen!O51*1000</f>
        <v>237870.75145373057</v>
      </c>
      <c r="P51" s="7">
        <f>+[8]Resumen!P51*1000</f>
        <v>251206.56606156545</v>
      </c>
      <c r="Q51" s="7">
        <f>+[8]Resumen!Q51*1000</f>
        <v>263870.54318912025</v>
      </c>
      <c r="R51" s="7">
        <f>+[8]Resumen!R51*1000</f>
        <v>268992.01764991769</v>
      </c>
      <c r="S51" s="7">
        <f>+[8]Resumen!S51*1000</f>
        <v>265561.01350595849</v>
      </c>
      <c r="T51" s="7">
        <f>+[8]Resumen!T51*1000</f>
        <v>265642.09756941139</v>
      </c>
      <c r="U51" s="7">
        <f>+[8]Resumen!U51*1000</f>
        <v>264659.33980836911</v>
      </c>
      <c r="V51" s="7">
        <f>+[8]Resumen!V51*1000</f>
        <v>258963.41353664667</v>
      </c>
      <c r="W51" s="7">
        <f>+[8]Resumen!W51*1000</f>
        <v>0</v>
      </c>
      <c r="X51" s="7">
        <f>+[8]Resumen!X51*1000</f>
        <v>0</v>
      </c>
      <c r="Y51" s="7">
        <f>+[8]Resumen!Y51*1000</f>
        <v>0</v>
      </c>
      <c r="Z51" s="7">
        <f>+[8]Resumen!Z51*1000</f>
        <v>0</v>
      </c>
      <c r="AA51" s="7">
        <f>+[8]Resumen!AA51*1000</f>
        <v>0</v>
      </c>
      <c r="AB51" s="7">
        <f>+[8]Resumen!AB51*1000</f>
        <v>0</v>
      </c>
      <c r="AC51" s="7">
        <f>+[8]Resumen!AC51*1000</f>
        <v>0</v>
      </c>
      <c r="AD51" s="60">
        <f t="shared" ref="AD51" si="7">SUM(F51:AC51)*E51+SUM(F52:AC52)*E52+SUM(F53:AC53)*E53+SUM(F54:AC54)*E54</f>
        <v>74324882.456391081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+[8]Resumen!E52</f>
        <v>5</v>
      </c>
      <c r="F52" s="7">
        <f>+[8]Resumen!F52*1000</f>
        <v>0</v>
      </c>
      <c r="G52" s="7">
        <f>+[8]Resumen!G52*1000</f>
        <v>0</v>
      </c>
      <c r="H52" s="7">
        <f>+[8]Resumen!H52*1000</f>
        <v>0</v>
      </c>
      <c r="I52" s="7">
        <f>+[8]Resumen!I52*1000</f>
        <v>0</v>
      </c>
      <c r="J52" s="7">
        <f>+[8]Resumen!J52*1000</f>
        <v>0</v>
      </c>
      <c r="K52" s="7">
        <f>+[8]Resumen!K52*1000</f>
        <v>0</v>
      </c>
      <c r="L52" s="7">
        <f>+[8]Resumen!L52*1000</f>
        <v>0</v>
      </c>
      <c r="M52" s="7">
        <f>+[8]Resumen!M52*1000</f>
        <v>194126.04239270353</v>
      </c>
      <c r="N52" s="7">
        <f>+[8]Resumen!N52*1000</f>
        <v>215435.9815308656</v>
      </c>
      <c r="O52" s="7">
        <f>+[8]Resumen!O52*1000</f>
        <v>229724.50336315462</v>
      </c>
      <c r="P52" s="7">
        <f>+[8]Resumen!P52*1000</f>
        <v>241245.85201045612</v>
      </c>
      <c r="Q52" s="7">
        <f>+[8]Resumen!Q52*1000</f>
        <v>249525.32755013928</v>
      </c>
      <c r="R52" s="7">
        <f>+[8]Resumen!R52*1000</f>
        <v>251143.84350192823</v>
      </c>
      <c r="S52" s="7">
        <f>+[8]Resumen!S52*1000</f>
        <v>246063.75345567852</v>
      </c>
      <c r="T52" s="7">
        <f>+[8]Resumen!T52*1000</f>
        <v>240349.88298704533</v>
      </c>
      <c r="U52" s="7">
        <f>+[8]Resumen!U52*1000</f>
        <v>236281.63566127903</v>
      </c>
      <c r="V52" s="7">
        <f>+[8]Resumen!V52*1000</f>
        <v>232156.61461898789</v>
      </c>
      <c r="W52" s="7">
        <f>+[8]Resumen!W52*1000</f>
        <v>0</v>
      </c>
      <c r="X52" s="7">
        <f>+[8]Resumen!X52*1000</f>
        <v>0</v>
      </c>
      <c r="Y52" s="7">
        <f>+[8]Resumen!Y52*1000</f>
        <v>0</v>
      </c>
      <c r="Z52" s="7">
        <f>+[8]Resumen!Z52*1000</f>
        <v>0</v>
      </c>
      <c r="AA52" s="7">
        <f>+[8]Resumen!AA52*1000</f>
        <v>0</v>
      </c>
      <c r="AB52" s="7">
        <f>+[8]Resumen!AB52*1000</f>
        <v>0</v>
      </c>
      <c r="AC52" s="7">
        <f>+[8]Resumen!AC52*1000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+[8]Resumen!E53</f>
        <v>3</v>
      </c>
      <c r="F53" s="7">
        <f>+[8]Resumen!F53*1000</f>
        <v>0</v>
      </c>
      <c r="G53" s="7">
        <f>+[8]Resumen!G53*1000</f>
        <v>0</v>
      </c>
      <c r="H53" s="7">
        <f>+[8]Resumen!H53*1000</f>
        <v>0</v>
      </c>
      <c r="I53" s="7">
        <f>+[8]Resumen!I53*1000</f>
        <v>0</v>
      </c>
      <c r="J53" s="7">
        <f>+[8]Resumen!J53*1000</f>
        <v>0</v>
      </c>
      <c r="K53" s="7">
        <f>+[8]Resumen!K53*1000</f>
        <v>0</v>
      </c>
      <c r="L53" s="7">
        <f>+[8]Resumen!L53*1000</f>
        <v>0</v>
      </c>
      <c r="M53" s="7">
        <f>+[8]Resumen!M53*1000</f>
        <v>161410.55505363253</v>
      </c>
      <c r="N53" s="7">
        <f>+[8]Resumen!N53*1000</f>
        <v>179103.82621035326</v>
      </c>
      <c r="O53" s="7">
        <f>+[8]Resumen!O53*1000</f>
        <v>193912.18148281204</v>
      </c>
      <c r="P53" s="7">
        <f>+[8]Resumen!P53*1000</f>
        <v>206047.15773659482</v>
      </c>
      <c r="Q53" s="7">
        <f>+[8]Resumen!Q53*1000</f>
        <v>217276.56912787177</v>
      </c>
      <c r="R53" s="7">
        <f>+[8]Resumen!R53*1000</f>
        <v>224154.65704993426</v>
      </c>
      <c r="S53" s="7">
        <f>+[8]Resumen!S53*1000</f>
        <v>224658.74381359669</v>
      </c>
      <c r="T53" s="7">
        <f>+[8]Resumen!T53*1000</f>
        <v>220322.00388887801</v>
      </c>
      <c r="U53" s="7">
        <f>+[8]Resumen!U53*1000</f>
        <v>217930.91301390957</v>
      </c>
      <c r="V53" s="7">
        <f>+[8]Resumen!V53*1000</f>
        <v>214792.14800756564</v>
      </c>
      <c r="W53" s="7">
        <f>+[8]Resumen!W53*1000</f>
        <v>0</v>
      </c>
      <c r="X53" s="7">
        <f>+[8]Resumen!X53*1000</f>
        <v>0</v>
      </c>
      <c r="Y53" s="7">
        <f>+[8]Resumen!Y53*1000</f>
        <v>0</v>
      </c>
      <c r="Z53" s="7">
        <f>+[8]Resumen!Z53*1000</f>
        <v>0</v>
      </c>
      <c r="AA53" s="7">
        <f>+[8]Resumen!AA53*1000</f>
        <v>0</v>
      </c>
      <c r="AB53" s="7">
        <f>+[8]Resumen!AB53*1000</f>
        <v>0</v>
      </c>
      <c r="AC53" s="7">
        <f>+[8]Resumen!AC53*1000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+[8]Resumen!E54</f>
        <v>2</v>
      </c>
      <c r="F54" s="7">
        <f>+[8]Resumen!F54*1000</f>
        <v>0</v>
      </c>
      <c r="G54" s="7">
        <f>+[8]Resumen!G54*1000</f>
        <v>0</v>
      </c>
      <c r="H54" s="7">
        <f>+[8]Resumen!H54*1000</f>
        <v>0</v>
      </c>
      <c r="I54" s="7">
        <f>+[8]Resumen!I54*1000</f>
        <v>0</v>
      </c>
      <c r="J54" s="7">
        <f>+[8]Resumen!J54*1000</f>
        <v>0</v>
      </c>
      <c r="K54" s="7">
        <f>+[8]Resumen!K54*1000</f>
        <v>0</v>
      </c>
      <c r="L54" s="7">
        <f>+[8]Resumen!L54*1000</f>
        <v>0</v>
      </c>
      <c r="M54" s="7">
        <f>+[8]Resumen!M54*1000</f>
        <v>145342.64545771517</v>
      </c>
      <c r="N54" s="7">
        <f>+[8]Resumen!N54*1000</f>
        <v>158641.10887784374</v>
      </c>
      <c r="O54" s="7">
        <f>+[8]Resumen!O54*1000</f>
        <v>171994.31497291211</v>
      </c>
      <c r="P54" s="7">
        <f>+[8]Resumen!P54*1000</f>
        <v>184829.92732284821</v>
      </c>
      <c r="Q54" s="7">
        <f>+[8]Resumen!Q54*1000</f>
        <v>197047.83444510979</v>
      </c>
      <c r="R54" s="7">
        <f>+[8]Resumen!R54*1000</f>
        <v>206259.07639360451</v>
      </c>
      <c r="S54" s="7">
        <f>+[8]Resumen!S54*1000</f>
        <v>207576.68299091351</v>
      </c>
      <c r="T54" s="7">
        <f>+[8]Resumen!T54*1000</f>
        <v>204058.06437438334</v>
      </c>
      <c r="U54" s="7">
        <f>+[8]Resumen!U54*1000</f>
        <v>203139.93813009639</v>
      </c>
      <c r="V54" s="7">
        <f>+[8]Resumen!V54*1000</f>
        <v>201622.23953103999</v>
      </c>
      <c r="W54" s="7">
        <f>+[8]Resumen!W54*1000</f>
        <v>0</v>
      </c>
      <c r="X54" s="7">
        <f>+[8]Resumen!X54*1000</f>
        <v>0</v>
      </c>
      <c r="Y54" s="7">
        <f>+[8]Resumen!Y54*1000</f>
        <v>0</v>
      </c>
      <c r="Z54" s="7">
        <f>+[8]Resumen!Z54*1000</f>
        <v>0</v>
      </c>
      <c r="AA54" s="7">
        <f>+[8]Resumen!AA54*1000</f>
        <v>0</v>
      </c>
      <c r="AB54" s="7">
        <f>+[8]Resumen!AB54*1000</f>
        <v>0</v>
      </c>
      <c r="AC54" s="7">
        <f>+[8]Resumen!AC54*1000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890670472.33851516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6E44-5057-414D-BDE2-026C577B9B52}">
  <dimension ref="C1:BD57"/>
  <sheetViews>
    <sheetView showGridLines="0" topLeftCell="A37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2034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+[9]Resumen!E7</f>
        <v>21</v>
      </c>
      <c r="F7" s="7">
        <f>+[9]Resumen!F7*1000</f>
        <v>0</v>
      </c>
      <c r="G7" s="7">
        <f>+[9]Resumen!G7*1000</f>
        <v>0</v>
      </c>
      <c r="H7" s="7">
        <f>+[9]Resumen!H7*1000</f>
        <v>0</v>
      </c>
      <c r="I7" s="7">
        <f>+[9]Resumen!I7*1000</f>
        <v>0</v>
      </c>
      <c r="J7" s="7">
        <f>+[9]Resumen!J7*1000</f>
        <v>0</v>
      </c>
      <c r="K7" s="7">
        <f>+[9]Resumen!K7*1000</f>
        <v>0</v>
      </c>
      <c r="L7" s="7">
        <f>+[9]Resumen!L7*1000</f>
        <v>0</v>
      </c>
      <c r="M7" s="7">
        <f>+[9]Resumen!M7*1000</f>
        <v>209067.24447050877</v>
      </c>
      <c r="N7" s="7">
        <f>+[9]Resumen!N7*1000</f>
        <v>226584.7445693067</v>
      </c>
      <c r="O7" s="7">
        <f>+[9]Resumen!O7*1000</f>
        <v>238149.5691615144</v>
      </c>
      <c r="P7" s="7">
        <f>+[9]Resumen!P7*1000</f>
        <v>253354.22672094349</v>
      </c>
      <c r="Q7" s="7">
        <f>+[9]Resumen!Q7*1000</f>
        <v>266507.61814096547</v>
      </c>
      <c r="R7" s="7">
        <f>+[9]Resumen!R7*1000</f>
        <v>271004.92269495793</v>
      </c>
      <c r="S7" s="7">
        <f>+[9]Resumen!S7*1000</f>
        <v>268373.09422503068</v>
      </c>
      <c r="T7" s="7">
        <f>+[9]Resumen!T7*1000</f>
        <v>270205.70532042737</v>
      </c>
      <c r="U7" s="7">
        <f>+[9]Resumen!U7*1000</f>
        <v>269867.26067389862</v>
      </c>
      <c r="V7" s="7">
        <f>+[9]Resumen!V7*1000</f>
        <v>263634.84256948181</v>
      </c>
      <c r="W7" s="7">
        <f>+[9]Resumen!W7*1000</f>
        <v>0</v>
      </c>
      <c r="X7" s="7">
        <f>+[9]Resumen!X7*1000</f>
        <v>0</v>
      </c>
      <c r="Y7" s="7">
        <f>+[9]Resumen!Y7*1000</f>
        <v>0</v>
      </c>
      <c r="Z7" s="7">
        <f>+[9]Resumen!Z7*1000</f>
        <v>0</v>
      </c>
      <c r="AA7" s="7">
        <f>+[9]Resumen!AA7*1000</f>
        <v>0</v>
      </c>
      <c r="AB7" s="7">
        <f>+[9]Resumen!AB7*1000</f>
        <v>0</v>
      </c>
      <c r="AC7" s="7">
        <f>+[9]Resumen!AC7*1000</f>
        <v>0</v>
      </c>
      <c r="AD7" s="60">
        <f>SUM(F7:AC7)*E7+SUM(F8:AC8)*E8+SUM(F9:AC9)*E9+SUM(F10:AC10)*E10</f>
        <v>74271057.728748947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+[9]Resumen!E8</f>
        <v>4</v>
      </c>
      <c r="F8" s="7">
        <f>+[9]Resumen!F8*1000</f>
        <v>0</v>
      </c>
      <c r="G8" s="7">
        <f>+[9]Resumen!G8*1000</f>
        <v>0</v>
      </c>
      <c r="H8" s="7">
        <f>+[9]Resumen!H8*1000</f>
        <v>0</v>
      </c>
      <c r="I8" s="7">
        <f>+[9]Resumen!I8*1000</f>
        <v>0</v>
      </c>
      <c r="J8" s="7">
        <f>+[9]Resumen!J8*1000</f>
        <v>0</v>
      </c>
      <c r="K8" s="7">
        <f>+[9]Resumen!K8*1000</f>
        <v>0</v>
      </c>
      <c r="L8" s="7">
        <f>+[9]Resumen!L8*1000</f>
        <v>0</v>
      </c>
      <c r="M8" s="7">
        <f>+[9]Resumen!M8*1000</f>
        <v>189473.044668488</v>
      </c>
      <c r="N8" s="7">
        <f>+[9]Resumen!N8*1000</f>
        <v>209862.53329944302</v>
      </c>
      <c r="O8" s="7">
        <f>+[9]Resumen!O8*1000</f>
        <v>224895.49435000645</v>
      </c>
      <c r="P8" s="7">
        <f>+[9]Resumen!P8*1000</f>
        <v>237875.03654232863</v>
      </c>
      <c r="Q8" s="7">
        <f>+[9]Resumen!Q8*1000</f>
        <v>248644.95141468613</v>
      </c>
      <c r="R8" s="7">
        <f>+[9]Resumen!R8*1000</f>
        <v>250997.42526391978</v>
      </c>
      <c r="S8" s="7">
        <f>+[9]Resumen!S8*1000</f>
        <v>246052.88284133057</v>
      </c>
      <c r="T8" s="7">
        <f>+[9]Resumen!T8*1000</f>
        <v>240124.7297065469</v>
      </c>
      <c r="U8" s="7">
        <f>+[9]Resumen!U8*1000</f>
        <v>237057.64631889664</v>
      </c>
      <c r="V8" s="7">
        <f>+[9]Resumen!V8*1000</f>
        <v>233741.72326630226</v>
      </c>
      <c r="W8" s="7">
        <f>+[9]Resumen!W8*1000</f>
        <v>0</v>
      </c>
      <c r="X8" s="7">
        <f>+[9]Resumen!X8*1000</f>
        <v>0</v>
      </c>
      <c r="Y8" s="7">
        <f>+[9]Resumen!Y8*1000</f>
        <v>0</v>
      </c>
      <c r="Z8" s="7">
        <f>+[9]Resumen!Z8*1000</f>
        <v>0</v>
      </c>
      <c r="AA8" s="7">
        <f>+[9]Resumen!AA8*1000</f>
        <v>0</v>
      </c>
      <c r="AB8" s="7">
        <f>+[9]Resumen!AB8*1000</f>
        <v>0</v>
      </c>
      <c r="AC8" s="7">
        <f>+[9]Resumen!AC8*1000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+[9]Resumen!E9</f>
        <v>4</v>
      </c>
      <c r="F9" s="7">
        <f>+[9]Resumen!F9*1000</f>
        <v>0</v>
      </c>
      <c r="G9" s="7">
        <f>+[9]Resumen!G9*1000</f>
        <v>0</v>
      </c>
      <c r="H9" s="7">
        <f>+[9]Resumen!H9*1000</f>
        <v>0</v>
      </c>
      <c r="I9" s="7">
        <f>+[9]Resumen!I9*1000</f>
        <v>0</v>
      </c>
      <c r="J9" s="7">
        <f>+[9]Resumen!J9*1000</f>
        <v>0</v>
      </c>
      <c r="K9" s="7">
        <f>+[9]Resumen!K9*1000</f>
        <v>0</v>
      </c>
      <c r="L9" s="7">
        <f>+[9]Resumen!L9*1000</f>
        <v>0</v>
      </c>
      <c r="M9" s="7">
        <f>+[9]Resumen!M9*1000</f>
        <v>157167.30397542621</v>
      </c>
      <c r="N9" s="7">
        <f>+[9]Resumen!N9*1000</f>
        <v>173176.77908217171</v>
      </c>
      <c r="O9" s="7">
        <f>+[9]Resumen!O9*1000</f>
        <v>187883.06782092238</v>
      </c>
      <c r="P9" s="7">
        <f>+[9]Resumen!P9*1000</f>
        <v>199475.58732937704</v>
      </c>
      <c r="Q9" s="7">
        <f>+[9]Resumen!Q9*1000</f>
        <v>212690.87994668796</v>
      </c>
      <c r="R9" s="7">
        <f>+[9]Resumen!R9*1000</f>
        <v>221255.12486583556</v>
      </c>
      <c r="S9" s="7">
        <f>+[9]Resumen!S9*1000</f>
        <v>223040.04581206568</v>
      </c>
      <c r="T9" s="7">
        <f>+[9]Resumen!T9*1000</f>
        <v>219104.74719658351</v>
      </c>
      <c r="U9" s="7">
        <f>+[9]Resumen!U9*1000</f>
        <v>215613.58706665988</v>
      </c>
      <c r="V9" s="7">
        <f>+[9]Resumen!V9*1000</f>
        <v>212319.52153722267</v>
      </c>
      <c r="W9" s="7">
        <f>+[9]Resumen!W9*1000</f>
        <v>0</v>
      </c>
      <c r="X9" s="7">
        <f>+[9]Resumen!X9*1000</f>
        <v>0</v>
      </c>
      <c r="Y9" s="7">
        <f>+[9]Resumen!Y9*1000</f>
        <v>0</v>
      </c>
      <c r="Z9" s="7">
        <f>+[9]Resumen!Z9*1000</f>
        <v>0</v>
      </c>
      <c r="AA9" s="7">
        <f>+[9]Resumen!AA9*1000</f>
        <v>0</v>
      </c>
      <c r="AB9" s="7">
        <f>+[9]Resumen!AB9*1000</f>
        <v>0</v>
      </c>
      <c r="AC9" s="7">
        <f>+[9]Resumen!AC9*1000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+[9]Resumen!E10</f>
        <v>2</v>
      </c>
      <c r="F10" s="7">
        <f>+[9]Resumen!F10*1000</f>
        <v>0</v>
      </c>
      <c r="G10" s="7">
        <f>+[9]Resumen!G10*1000</f>
        <v>0</v>
      </c>
      <c r="H10" s="7">
        <f>+[9]Resumen!H10*1000</f>
        <v>0</v>
      </c>
      <c r="I10" s="7">
        <f>+[9]Resumen!I10*1000</f>
        <v>0</v>
      </c>
      <c r="J10" s="7">
        <f>+[9]Resumen!J10*1000</f>
        <v>0</v>
      </c>
      <c r="K10" s="7">
        <f>+[9]Resumen!K10*1000</f>
        <v>0</v>
      </c>
      <c r="L10" s="7">
        <f>+[9]Resumen!L10*1000</f>
        <v>0</v>
      </c>
      <c r="M10" s="7">
        <f>+[9]Resumen!M10*1000</f>
        <v>140614.12436577873</v>
      </c>
      <c r="N10" s="7">
        <f>+[9]Resumen!N10*1000</f>
        <v>152153.20057844004</v>
      </c>
      <c r="O10" s="7">
        <f>+[9]Resumen!O10*1000</f>
        <v>164341.78154961814</v>
      </c>
      <c r="P10" s="7">
        <f>+[9]Resumen!P10*1000</f>
        <v>177342.44965107559</v>
      </c>
      <c r="Q10" s="7">
        <f>+[9]Resumen!Q10*1000</f>
        <v>191176.8296196899</v>
      </c>
      <c r="R10" s="7">
        <f>+[9]Resumen!R10*1000</f>
        <v>201281.80489468086</v>
      </c>
      <c r="S10" s="7">
        <f>+[9]Resumen!S10*1000</f>
        <v>202719.75234849667</v>
      </c>
      <c r="T10" s="7">
        <f>+[9]Resumen!T10*1000</f>
        <v>199397.39996055831</v>
      </c>
      <c r="U10" s="7">
        <f>+[9]Resumen!U10*1000</f>
        <v>196052.66240056217</v>
      </c>
      <c r="V10" s="7">
        <f>+[9]Resumen!V10*1000</f>
        <v>193677.73465189294</v>
      </c>
      <c r="W10" s="7">
        <f>+[9]Resumen!W10*1000</f>
        <v>0</v>
      </c>
      <c r="X10" s="7">
        <f>+[9]Resumen!X10*1000</f>
        <v>0</v>
      </c>
      <c r="Y10" s="7">
        <f>+[9]Resumen!Y10*1000</f>
        <v>0</v>
      </c>
      <c r="Z10" s="7">
        <f>+[9]Resumen!Z10*1000</f>
        <v>0</v>
      </c>
      <c r="AA10" s="7">
        <f>+[9]Resumen!AA10*1000</f>
        <v>0</v>
      </c>
      <c r="AB10" s="7">
        <f>+[9]Resumen!AB10*1000</f>
        <v>0</v>
      </c>
      <c r="AC10" s="7">
        <f>+[9]Resumen!AC10*1000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+[9]Resumen!E11</f>
        <v>20</v>
      </c>
      <c r="F11" s="7">
        <f>+[9]Resumen!F11*1000</f>
        <v>0</v>
      </c>
      <c r="G11" s="7">
        <f>+[9]Resumen!G11*1000</f>
        <v>0</v>
      </c>
      <c r="H11" s="7">
        <f>+[9]Resumen!H11*1000</f>
        <v>0</v>
      </c>
      <c r="I11" s="7">
        <f>+[9]Resumen!I11*1000</f>
        <v>0</v>
      </c>
      <c r="J11" s="7">
        <f>+[9]Resumen!J11*1000</f>
        <v>0</v>
      </c>
      <c r="K11" s="7">
        <f>+[9]Resumen!K11*1000</f>
        <v>0</v>
      </c>
      <c r="L11" s="7">
        <f>+[9]Resumen!L11*1000</f>
        <v>0</v>
      </c>
      <c r="M11" s="7">
        <f>+[9]Resumen!M11*1000</f>
        <v>238286.41867281598</v>
      </c>
      <c r="N11" s="7">
        <f>+[9]Resumen!N11*1000</f>
        <v>253647.47092299227</v>
      </c>
      <c r="O11" s="7">
        <f>+[9]Resumen!O11*1000</f>
        <v>263864.22351845569</v>
      </c>
      <c r="P11" s="7">
        <f>+[9]Resumen!P11*1000</f>
        <v>279577.45702267496</v>
      </c>
      <c r="Q11" s="7">
        <f>+[9]Resumen!Q11*1000</f>
        <v>292306.3792892663</v>
      </c>
      <c r="R11" s="7">
        <f>+[9]Resumen!R11*1000</f>
        <v>293044.3849572984</v>
      </c>
      <c r="S11" s="7">
        <f>+[9]Resumen!S11*1000</f>
        <v>289386.18404410296</v>
      </c>
      <c r="T11" s="7">
        <f>+[9]Resumen!T11*1000</f>
        <v>291653.36943448108</v>
      </c>
      <c r="U11" s="7">
        <f>+[9]Resumen!U11*1000</f>
        <v>291988.7723402885</v>
      </c>
      <c r="V11" s="7">
        <f>+[9]Resumen!V11*1000</f>
        <v>285938.28225598304</v>
      </c>
      <c r="W11" s="7">
        <f>+[9]Resumen!W11*1000</f>
        <v>0</v>
      </c>
      <c r="X11" s="7">
        <f>+[9]Resumen!X11*1000</f>
        <v>0</v>
      </c>
      <c r="Y11" s="7">
        <f>+[9]Resumen!Y11*1000</f>
        <v>0</v>
      </c>
      <c r="Z11" s="7">
        <f>+[9]Resumen!Z11*1000</f>
        <v>0</v>
      </c>
      <c r="AA11" s="7">
        <f>+[9]Resumen!AA11*1000</f>
        <v>0</v>
      </c>
      <c r="AB11" s="7">
        <f>+[9]Resumen!AB11*1000</f>
        <v>0</v>
      </c>
      <c r="AC11" s="7">
        <f>+[9]Resumen!AC11*1000</f>
        <v>0</v>
      </c>
      <c r="AD11" s="60">
        <f>SUM(F11:AC11)*E11+SUM(F12:AC12)*E12+SUM(F13:AC13)*E13+SUM(F14:AC14)*E14</f>
        <v>75138698.240511432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+[9]Resumen!E12</f>
        <v>4</v>
      </c>
      <c r="F12" s="7">
        <f>+[9]Resumen!F12*1000</f>
        <v>0</v>
      </c>
      <c r="G12" s="7">
        <f>+[9]Resumen!G12*1000</f>
        <v>0</v>
      </c>
      <c r="H12" s="7">
        <f>+[9]Resumen!H12*1000</f>
        <v>0</v>
      </c>
      <c r="I12" s="7">
        <f>+[9]Resumen!I12*1000</f>
        <v>0</v>
      </c>
      <c r="J12" s="7">
        <f>+[9]Resumen!J12*1000</f>
        <v>0</v>
      </c>
      <c r="K12" s="7">
        <f>+[9]Resumen!K12*1000</f>
        <v>0</v>
      </c>
      <c r="L12" s="7">
        <f>+[9]Resumen!L12*1000</f>
        <v>0</v>
      </c>
      <c r="M12" s="7">
        <f>+[9]Resumen!M12*1000</f>
        <v>219257.14239734429</v>
      </c>
      <c r="N12" s="7">
        <f>+[9]Resumen!N12*1000</f>
        <v>243041.44645958804</v>
      </c>
      <c r="O12" s="7">
        <f>+[9]Resumen!O12*1000</f>
        <v>258109.72673131159</v>
      </c>
      <c r="P12" s="7">
        <f>+[9]Resumen!P12*1000</f>
        <v>272139.60505163722</v>
      </c>
      <c r="Q12" s="7">
        <f>+[9]Resumen!Q12*1000</f>
        <v>280653.08260870189</v>
      </c>
      <c r="R12" s="7">
        <f>+[9]Resumen!R12*1000</f>
        <v>280838.60440556926</v>
      </c>
      <c r="S12" s="7">
        <f>+[9]Resumen!S12*1000</f>
        <v>273449.78609308385</v>
      </c>
      <c r="T12" s="7">
        <f>+[9]Resumen!T12*1000</f>
        <v>266292.62116706459</v>
      </c>
      <c r="U12" s="7">
        <f>+[9]Resumen!U12*1000</f>
        <v>263535.22999488254</v>
      </c>
      <c r="V12" s="7">
        <f>+[9]Resumen!V12*1000</f>
        <v>260169.22685398333</v>
      </c>
      <c r="W12" s="7">
        <f>+[9]Resumen!W12*1000</f>
        <v>0</v>
      </c>
      <c r="X12" s="7">
        <f>+[9]Resumen!X12*1000</f>
        <v>0</v>
      </c>
      <c r="Y12" s="7">
        <f>+[9]Resumen!Y12*1000</f>
        <v>0</v>
      </c>
      <c r="Z12" s="7">
        <f>+[9]Resumen!Z12*1000</f>
        <v>0</v>
      </c>
      <c r="AA12" s="7">
        <f>+[9]Resumen!AA12*1000</f>
        <v>0</v>
      </c>
      <c r="AB12" s="7">
        <f>+[9]Resumen!AB12*1000</f>
        <v>0</v>
      </c>
      <c r="AC12" s="7">
        <f>+[9]Resumen!AC12*1000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+[9]Resumen!E13</f>
        <v>4</v>
      </c>
      <c r="F13" s="7">
        <f>+[9]Resumen!F13*1000</f>
        <v>0</v>
      </c>
      <c r="G13" s="7">
        <f>+[9]Resumen!G13*1000</f>
        <v>0</v>
      </c>
      <c r="H13" s="7">
        <f>+[9]Resumen!H13*1000</f>
        <v>0</v>
      </c>
      <c r="I13" s="7">
        <f>+[9]Resumen!I13*1000</f>
        <v>0</v>
      </c>
      <c r="J13" s="7">
        <f>+[9]Resumen!J13*1000</f>
        <v>0</v>
      </c>
      <c r="K13" s="7">
        <f>+[9]Resumen!K13*1000</f>
        <v>0</v>
      </c>
      <c r="L13" s="7">
        <f>+[9]Resumen!L13*1000</f>
        <v>0</v>
      </c>
      <c r="M13" s="7">
        <f>+[9]Resumen!M13*1000</f>
        <v>178042.48455137125</v>
      </c>
      <c r="N13" s="7">
        <f>+[9]Resumen!N13*1000</f>
        <v>196459.60828966222</v>
      </c>
      <c r="O13" s="7">
        <f>+[9]Resumen!O13*1000</f>
        <v>212084.91287351053</v>
      </c>
      <c r="P13" s="7">
        <f>+[9]Resumen!P13*1000</f>
        <v>225293.81827870905</v>
      </c>
      <c r="Q13" s="7">
        <f>+[9]Resumen!Q13*1000</f>
        <v>239533.22198685681</v>
      </c>
      <c r="R13" s="7">
        <f>+[9]Resumen!R13*1000</f>
        <v>248228.33491842396</v>
      </c>
      <c r="S13" s="7">
        <f>+[9]Resumen!S13*1000</f>
        <v>248673.56417397884</v>
      </c>
      <c r="T13" s="7">
        <f>+[9]Resumen!T13*1000</f>
        <v>243969.71389654439</v>
      </c>
      <c r="U13" s="7">
        <f>+[9]Resumen!U13*1000</f>
        <v>240179.90670587093</v>
      </c>
      <c r="V13" s="7">
        <f>+[9]Resumen!V13*1000</f>
        <v>236257.81039796575</v>
      </c>
      <c r="W13" s="7">
        <f>+[9]Resumen!W13*1000</f>
        <v>0</v>
      </c>
      <c r="X13" s="7">
        <f>+[9]Resumen!X13*1000</f>
        <v>0</v>
      </c>
      <c r="Y13" s="7">
        <f>+[9]Resumen!Y13*1000</f>
        <v>0</v>
      </c>
      <c r="Z13" s="7">
        <f>+[9]Resumen!Z13*1000</f>
        <v>0</v>
      </c>
      <c r="AA13" s="7">
        <f>+[9]Resumen!AA13*1000</f>
        <v>0</v>
      </c>
      <c r="AB13" s="7">
        <f>+[9]Resumen!AB13*1000</f>
        <v>0</v>
      </c>
      <c r="AC13" s="7">
        <f>+[9]Resumen!AC13*1000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+[9]Resumen!E14</f>
        <v>0</v>
      </c>
      <c r="F14" s="7">
        <f>+[9]Resumen!F14*1000</f>
        <v>0</v>
      </c>
      <c r="G14" s="7">
        <f>+[9]Resumen!G14*1000</f>
        <v>0</v>
      </c>
      <c r="H14" s="7">
        <f>+[9]Resumen!H14*1000</f>
        <v>0</v>
      </c>
      <c r="I14" s="7">
        <f>+[9]Resumen!I14*1000</f>
        <v>0</v>
      </c>
      <c r="J14" s="7">
        <f>+[9]Resumen!J14*1000</f>
        <v>0</v>
      </c>
      <c r="K14" s="7">
        <f>+[9]Resumen!K14*1000</f>
        <v>0</v>
      </c>
      <c r="L14" s="7">
        <f>+[9]Resumen!L14*1000</f>
        <v>0</v>
      </c>
      <c r="M14" s="7">
        <f>+[9]Resumen!M14*1000</f>
        <v>0</v>
      </c>
      <c r="N14" s="7">
        <f>+[9]Resumen!N14*1000</f>
        <v>0</v>
      </c>
      <c r="O14" s="7">
        <f>+[9]Resumen!O14*1000</f>
        <v>0</v>
      </c>
      <c r="P14" s="7">
        <f>+[9]Resumen!P14*1000</f>
        <v>0</v>
      </c>
      <c r="Q14" s="7">
        <f>+[9]Resumen!Q14*1000</f>
        <v>0</v>
      </c>
      <c r="R14" s="7">
        <f>+[9]Resumen!R14*1000</f>
        <v>0</v>
      </c>
      <c r="S14" s="7">
        <f>+[9]Resumen!S14*1000</f>
        <v>0</v>
      </c>
      <c r="T14" s="7">
        <f>+[9]Resumen!T14*1000</f>
        <v>0</v>
      </c>
      <c r="U14" s="7">
        <f>+[9]Resumen!U14*1000</f>
        <v>0</v>
      </c>
      <c r="V14" s="7">
        <f>+[9]Resumen!V14*1000</f>
        <v>0</v>
      </c>
      <c r="W14" s="7">
        <f>+[9]Resumen!W14*1000</f>
        <v>0</v>
      </c>
      <c r="X14" s="7">
        <f>+[9]Resumen!X14*1000</f>
        <v>0</v>
      </c>
      <c r="Y14" s="7">
        <f>+[9]Resumen!Y14*1000</f>
        <v>0</v>
      </c>
      <c r="Z14" s="7">
        <f>+[9]Resumen!Z14*1000</f>
        <v>0</v>
      </c>
      <c r="AA14" s="7">
        <f>+[9]Resumen!AA14*1000</f>
        <v>0</v>
      </c>
      <c r="AB14" s="7">
        <f>+[9]Resumen!AB14*1000</f>
        <v>0</v>
      </c>
      <c r="AC14" s="7">
        <f>+[9]Resumen!AC14*1000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+[9]Resumen!E15</f>
        <v>22</v>
      </c>
      <c r="F15" s="7">
        <f>+[9]Resumen!F15*1000</f>
        <v>0</v>
      </c>
      <c r="G15" s="7">
        <f>+[9]Resumen!G15*1000</f>
        <v>0</v>
      </c>
      <c r="H15" s="7">
        <f>+[9]Resumen!H15*1000</f>
        <v>0</v>
      </c>
      <c r="I15" s="7">
        <f>+[9]Resumen!I15*1000</f>
        <v>0</v>
      </c>
      <c r="J15" s="7">
        <f>+[9]Resumen!J15*1000</f>
        <v>0</v>
      </c>
      <c r="K15" s="7">
        <f>+[9]Resumen!K15*1000</f>
        <v>0</v>
      </c>
      <c r="L15" s="7">
        <f>+[9]Resumen!L15*1000</f>
        <v>0</v>
      </c>
      <c r="M15" s="7">
        <f>+[9]Resumen!M15*1000</f>
        <v>216050.30742943886</v>
      </c>
      <c r="N15" s="7">
        <f>+[9]Resumen!N15*1000</f>
        <v>229922.59608944826</v>
      </c>
      <c r="O15" s="7">
        <f>+[9]Resumen!O15*1000</f>
        <v>239185.03578877592</v>
      </c>
      <c r="P15" s="7">
        <f>+[9]Resumen!P15*1000</f>
        <v>253535.17925569226</v>
      </c>
      <c r="Q15" s="7">
        <f>+[9]Resumen!Q15*1000</f>
        <v>265165.86019493145</v>
      </c>
      <c r="R15" s="7">
        <f>+[9]Resumen!R15*1000</f>
        <v>266379.14671872067</v>
      </c>
      <c r="S15" s="7">
        <f>+[9]Resumen!S15*1000</f>
        <v>262985.82998767076</v>
      </c>
      <c r="T15" s="7">
        <f>+[9]Resumen!T15*1000</f>
        <v>264876.12774018775</v>
      </c>
      <c r="U15" s="7">
        <f>+[9]Resumen!U15*1000</f>
        <v>264388.27420831489</v>
      </c>
      <c r="V15" s="7">
        <f>+[9]Resumen!V15*1000</f>
        <v>259025.52125770069</v>
      </c>
      <c r="W15" s="7">
        <f>+[9]Resumen!W15*1000</f>
        <v>0</v>
      </c>
      <c r="X15" s="7">
        <f>+[9]Resumen!X15*1000</f>
        <v>0</v>
      </c>
      <c r="Y15" s="7">
        <f>+[9]Resumen!Y15*1000</f>
        <v>0</v>
      </c>
      <c r="Z15" s="7">
        <f>+[9]Resumen!Z15*1000</f>
        <v>0</v>
      </c>
      <c r="AA15" s="7">
        <f>+[9]Resumen!AA15*1000</f>
        <v>0</v>
      </c>
      <c r="AB15" s="7">
        <f>+[9]Resumen!AB15*1000</f>
        <v>0</v>
      </c>
      <c r="AC15" s="7">
        <f>+[9]Resumen!AC15*1000</f>
        <v>0</v>
      </c>
      <c r="AD15" s="60">
        <f t="shared" ref="AD15" si="0">SUM(F15:AC15)*E15+SUM(F16:AC16)*E16+SUM(F17:AC17)*E17+SUM(F18:AC18)*E18</f>
        <v>75235254.987493962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+[9]Resumen!E16</f>
        <v>4</v>
      </c>
      <c r="F16" s="7">
        <f>+[9]Resumen!F16*1000</f>
        <v>0</v>
      </c>
      <c r="G16" s="7">
        <f>+[9]Resumen!G16*1000</f>
        <v>0</v>
      </c>
      <c r="H16" s="7">
        <f>+[9]Resumen!H16*1000</f>
        <v>0</v>
      </c>
      <c r="I16" s="7">
        <f>+[9]Resumen!I16*1000</f>
        <v>0</v>
      </c>
      <c r="J16" s="7">
        <f>+[9]Resumen!J16*1000</f>
        <v>0</v>
      </c>
      <c r="K16" s="7">
        <f>+[9]Resumen!K16*1000</f>
        <v>0</v>
      </c>
      <c r="L16" s="7">
        <f>+[9]Resumen!L16*1000</f>
        <v>0</v>
      </c>
      <c r="M16" s="7">
        <f>+[9]Resumen!M16*1000</f>
        <v>198720.26236213581</v>
      </c>
      <c r="N16" s="7">
        <f>+[9]Resumen!N16*1000</f>
        <v>219207.65425129351</v>
      </c>
      <c r="O16" s="7">
        <f>+[9]Resumen!O16*1000</f>
        <v>232389.82914054664</v>
      </c>
      <c r="P16" s="7">
        <f>+[9]Resumen!P16*1000</f>
        <v>244906.29734621628</v>
      </c>
      <c r="Q16" s="7">
        <f>+[9]Resumen!Q16*1000</f>
        <v>254343.24472586342</v>
      </c>
      <c r="R16" s="7">
        <f>+[9]Resumen!R16*1000</f>
        <v>255051.78186789836</v>
      </c>
      <c r="S16" s="7">
        <f>+[9]Resumen!S16*1000</f>
        <v>249436.02792046397</v>
      </c>
      <c r="T16" s="7">
        <f>+[9]Resumen!T16*1000</f>
        <v>243701.65273593421</v>
      </c>
      <c r="U16" s="7">
        <f>+[9]Resumen!U16*1000</f>
        <v>239964.22689221619</v>
      </c>
      <c r="V16" s="7">
        <f>+[9]Resumen!V16*1000</f>
        <v>236443.33884586956</v>
      </c>
      <c r="W16" s="7">
        <f>+[9]Resumen!W16*1000</f>
        <v>0</v>
      </c>
      <c r="X16" s="7">
        <f>+[9]Resumen!X16*1000</f>
        <v>0</v>
      </c>
      <c r="Y16" s="7">
        <f>+[9]Resumen!Y16*1000</f>
        <v>0</v>
      </c>
      <c r="Z16" s="7">
        <f>+[9]Resumen!Z16*1000</f>
        <v>0</v>
      </c>
      <c r="AA16" s="7">
        <f>+[9]Resumen!AA16*1000</f>
        <v>0</v>
      </c>
      <c r="AB16" s="7">
        <f>+[9]Resumen!AB16*1000</f>
        <v>0</v>
      </c>
      <c r="AC16" s="7">
        <f>+[9]Resumen!AC16*1000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+[9]Resumen!E17</f>
        <v>4</v>
      </c>
      <c r="F17" s="7">
        <f>+[9]Resumen!F17*1000</f>
        <v>0</v>
      </c>
      <c r="G17" s="7">
        <f>+[9]Resumen!G17*1000</f>
        <v>0</v>
      </c>
      <c r="H17" s="7">
        <f>+[9]Resumen!H17*1000</f>
        <v>0</v>
      </c>
      <c r="I17" s="7">
        <f>+[9]Resumen!I17*1000</f>
        <v>0</v>
      </c>
      <c r="J17" s="7">
        <f>+[9]Resumen!J17*1000</f>
        <v>0</v>
      </c>
      <c r="K17" s="7">
        <f>+[9]Resumen!K17*1000</f>
        <v>0</v>
      </c>
      <c r="L17" s="7">
        <f>+[9]Resumen!L17*1000</f>
        <v>0</v>
      </c>
      <c r="M17" s="7">
        <f>+[9]Resumen!M17*1000</f>
        <v>159970.05299995354</v>
      </c>
      <c r="N17" s="7">
        <f>+[9]Resumen!N17*1000</f>
        <v>177062.64941093224</v>
      </c>
      <c r="O17" s="7">
        <f>+[9]Resumen!O17*1000</f>
        <v>190249.64630169325</v>
      </c>
      <c r="P17" s="7">
        <f>+[9]Resumen!P17*1000</f>
        <v>201751.29491460416</v>
      </c>
      <c r="Q17" s="7">
        <f>+[9]Resumen!Q17*1000</f>
        <v>213803.16604624843</v>
      </c>
      <c r="R17" s="7">
        <f>+[9]Resumen!R17*1000</f>
        <v>221497.24254982697</v>
      </c>
      <c r="S17" s="7">
        <f>+[9]Resumen!S17*1000</f>
        <v>221981.93683933257</v>
      </c>
      <c r="T17" s="7">
        <f>+[9]Resumen!T17*1000</f>
        <v>218104.95894645643</v>
      </c>
      <c r="U17" s="7">
        <f>+[9]Resumen!U17*1000</f>
        <v>215319.79082857643</v>
      </c>
      <c r="V17" s="7">
        <f>+[9]Resumen!V17*1000</f>
        <v>212217.6520442164</v>
      </c>
      <c r="W17" s="7">
        <f>+[9]Resumen!W17*1000</f>
        <v>0</v>
      </c>
      <c r="X17" s="7">
        <f>+[9]Resumen!X17*1000</f>
        <v>0</v>
      </c>
      <c r="Y17" s="7">
        <f>+[9]Resumen!Y17*1000</f>
        <v>0</v>
      </c>
      <c r="Z17" s="7">
        <f>+[9]Resumen!Z17*1000</f>
        <v>0</v>
      </c>
      <c r="AA17" s="7">
        <f>+[9]Resumen!AA17*1000</f>
        <v>0</v>
      </c>
      <c r="AB17" s="7">
        <f>+[9]Resumen!AB17*1000</f>
        <v>0</v>
      </c>
      <c r="AC17" s="7">
        <f>+[9]Resumen!AC17*1000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+[9]Resumen!E18</f>
        <v>1</v>
      </c>
      <c r="F18" s="7">
        <f>+[9]Resumen!F18*1000</f>
        <v>0</v>
      </c>
      <c r="G18" s="7">
        <f>+[9]Resumen!G18*1000</f>
        <v>0</v>
      </c>
      <c r="H18" s="7">
        <f>+[9]Resumen!H18*1000</f>
        <v>0</v>
      </c>
      <c r="I18" s="7">
        <f>+[9]Resumen!I18*1000</f>
        <v>0</v>
      </c>
      <c r="J18" s="7">
        <f>+[9]Resumen!J18*1000</f>
        <v>0</v>
      </c>
      <c r="K18" s="7">
        <f>+[9]Resumen!K18*1000</f>
        <v>0</v>
      </c>
      <c r="L18" s="7">
        <f>+[9]Resumen!L18*1000</f>
        <v>0</v>
      </c>
      <c r="M18" s="7">
        <f>+[9]Resumen!M18*1000</f>
        <v>166872.35685592736</v>
      </c>
      <c r="N18" s="7">
        <f>+[9]Resumen!N18*1000</f>
        <v>183587.80180459458</v>
      </c>
      <c r="O18" s="7">
        <f>+[9]Resumen!O18*1000</f>
        <v>198600.0980845578</v>
      </c>
      <c r="P18" s="7">
        <f>+[9]Resumen!P18*1000</f>
        <v>212613.77891384115</v>
      </c>
      <c r="Q18" s="7">
        <f>+[9]Resumen!Q18*1000</f>
        <v>228402.37531335207</v>
      </c>
      <c r="R18" s="7">
        <f>+[9]Resumen!R18*1000</f>
        <v>236580.98869857093</v>
      </c>
      <c r="S18" s="7">
        <f>+[9]Resumen!S18*1000</f>
        <v>233990.95312539133</v>
      </c>
      <c r="T18" s="7">
        <f>+[9]Resumen!T18*1000</f>
        <v>228513.07294888922</v>
      </c>
      <c r="U18" s="7">
        <f>+[9]Resumen!U18*1000</f>
        <v>225157.55849264935</v>
      </c>
      <c r="V18" s="7">
        <f>+[9]Resumen!V18*1000</f>
        <v>223139.84461568875</v>
      </c>
      <c r="W18" s="7">
        <f>+[9]Resumen!W18*1000</f>
        <v>0</v>
      </c>
      <c r="X18" s="7">
        <f>+[9]Resumen!X18*1000</f>
        <v>0</v>
      </c>
      <c r="Y18" s="7">
        <f>+[9]Resumen!Y18*1000</f>
        <v>0</v>
      </c>
      <c r="Z18" s="7">
        <f>+[9]Resumen!Z18*1000</f>
        <v>0</v>
      </c>
      <c r="AA18" s="7">
        <f>+[9]Resumen!AA18*1000</f>
        <v>0</v>
      </c>
      <c r="AB18" s="7">
        <f>+[9]Resumen!AB18*1000</f>
        <v>0</v>
      </c>
      <c r="AC18" s="7">
        <f>+[9]Resumen!AC18*1000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+[9]Resumen!E19</f>
        <v>18</v>
      </c>
      <c r="F19" s="7">
        <f>+[9]Resumen!F19*1000</f>
        <v>0</v>
      </c>
      <c r="G19" s="7">
        <f>+[9]Resumen!G19*1000</f>
        <v>0</v>
      </c>
      <c r="H19" s="7">
        <f>+[9]Resumen!H19*1000</f>
        <v>0</v>
      </c>
      <c r="I19" s="7">
        <f>+[9]Resumen!I19*1000</f>
        <v>0</v>
      </c>
      <c r="J19" s="7">
        <f>+[9]Resumen!J19*1000</f>
        <v>0</v>
      </c>
      <c r="K19" s="7">
        <f>+[9]Resumen!K19*1000</f>
        <v>0</v>
      </c>
      <c r="L19" s="7">
        <f>+[9]Resumen!L19*1000</f>
        <v>0</v>
      </c>
      <c r="M19" s="7">
        <f>+[9]Resumen!M19*1000</f>
        <v>224300.19997349996</v>
      </c>
      <c r="N19" s="7">
        <f>+[9]Resumen!N19*1000</f>
        <v>239502.07518263374</v>
      </c>
      <c r="O19" s="7">
        <f>+[9]Resumen!O19*1000</f>
        <v>249974.70202271233</v>
      </c>
      <c r="P19" s="7">
        <f>+[9]Resumen!P19*1000</f>
        <v>264927.82181336521</v>
      </c>
      <c r="Q19" s="7">
        <f>+[9]Resumen!Q19*1000</f>
        <v>277715.40400542732</v>
      </c>
      <c r="R19" s="7">
        <f>+[9]Resumen!R19*1000</f>
        <v>280043.22246212309</v>
      </c>
      <c r="S19" s="7">
        <f>+[9]Resumen!S19*1000</f>
        <v>276335.36269293848</v>
      </c>
      <c r="T19" s="7">
        <f>+[9]Resumen!T19*1000</f>
        <v>278071.70225110254</v>
      </c>
      <c r="U19" s="7">
        <f>+[9]Resumen!U19*1000</f>
        <v>277822.43470280623</v>
      </c>
      <c r="V19" s="7">
        <f>+[9]Resumen!V19*1000</f>
        <v>271688.15485988412</v>
      </c>
      <c r="W19" s="7">
        <f>+[9]Resumen!W19*1000</f>
        <v>0</v>
      </c>
      <c r="X19" s="7">
        <f>+[9]Resumen!X19*1000</f>
        <v>0</v>
      </c>
      <c r="Y19" s="7">
        <f>+[9]Resumen!Y19*1000</f>
        <v>0</v>
      </c>
      <c r="Z19" s="7">
        <f>+[9]Resumen!Z19*1000</f>
        <v>0</v>
      </c>
      <c r="AA19" s="7">
        <f>+[9]Resumen!AA19*1000</f>
        <v>0</v>
      </c>
      <c r="AB19" s="7">
        <f>+[9]Resumen!AB19*1000</f>
        <v>0</v>
      </c>
      <c r="AC19" s="7">
        <f>+[9]Resumen!AC19*1000</f>
        <v>0</v>
      </c>
      <c r="AD19" s="60">
        <f t="shared" ref="AD19" si="1">SUM(F19:AC19)*E19+SUM(F20:AC20)*E20+SUM(F21:AC21)*E21+SUM(F22:AC22)*E22</f>
        <v>74530013.150298268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+[9]Resumen!E20</f>
        <v>5</v>
      </c>
      <c r="F20" s="7">
        <f>+[9]Resumen!F20*1000</f>
        <v>0</v>
      </c>
      <c r="G20" s="7">
        <f>+[9]Resumen!G20*1000</f>
        <v>0</v>
      </c>
      <c r="H20" s="7">
        <f>+[9]Resumen!H20*1000</f>
        <v>0</v>
      </c>
      <c r="I20" s="7">
        <f>+[9]Resumen!I20*1000</f>
        <v>0</v>
      </c>
      <c r="J20" s="7">
        <f>+[9]Resumen!J20*1000</f>
        <v>0</v>
      </c>
      <c r="K20" s="7">
        <f>+[9]Resumen!K20*1000</f>
        <v>0</v>
      </c>
      <c r="L20" s="7">
        <f>+[9]Resumen!L20*1000</f>
        <v>0</v>
      </c>
      <c r="M20" s="7">
        <f>+[9]Resumen!M20*1000</f>
        <v>199363.75901762425</v>
      </c>
      <c r="N20" s="7">
        <f>+[9]Resumen!N20*1000</f>
        <v>220186.22347777346</v>
      </c>
      <c r="O20" s="7">
        <f>+[9]Resumen!O20*1000</f>
        <v>234486.11836345878</v>
      </c>
      <c r="P20" s="7">
        <f>+[9]Resumen!P20*1000</f>
        <v>247125.19399413717</v>
      </c>
      <c r="Q20" s="7">
        <f>+[9]Resumen!Q20*1000</f>
        <v>256528.13684085145</v>
      </c>
      <c r="R20" s="7">
        <f>+[9]Resumen!R20*1000</f>
        <v>258830.14040763528</v>
      </c>
      <c r="S20" s="7">
        <f>+[9]Resumen!S20*1000</f>
        <v>254629.50533952136</v>
      </c>
      <c r="T20" s="7">
        <f>+[9]Resumen!T20*1000</f>
        <v>249443.57241293823</v>
      </c>
      <c r="U20" s="7">
        <f>+[9]Resumen!U20*1000</f>
        <v>247873.37574811012</v>
      </c>
      <c r="V20" s="7">
        <f>+[9]Resumen!V20*1000</f>
        <v>245660.88848242344</v>
      </c>
      <c r="W20" s="7">
        <f>+[9]Resumen!W20*1000</f>
        <v>0</v>
      </c>
      <c r="X20" s="7">
        <f>+[9]Resumen!X20*1000</f>
        <v>0</v>
      </c>
      <c r="Y20" s="7">
        <f>+[9]Resumen!Y20*1000</f>
        <v>0</v>
      </c>
      <c r="Z20" s="7">
        <f>+[9]Resumen!Z20*1000</f>
        <v>0</v>
      </c>
      <c r="AA20" s="7">
        <f>+[9]Resumen!AA20*1000</f>
        <v>0</v>
      </c>
      <c r="AB20" s="7">
        <f>+[9]Resumen!AB20*1000</f>
        <v>0</v>
      </c>
      <c r="AC20" s="7">
        <f>+[9]Resumen!AC20*1000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+[9]Resumen!E21</f>
        <v>5</v>
      </c>
      <c r="F21" s="7">
        <f>+[9]Resumen!F21*1000</f>
        <v>0</v>
      </c>
      <c r="G21" s="7">
        <f>+[9]Resumen!G21*1000</f>
        <v>0</v>
      </c>
      <c r="H21" s="7">
        <f>+[9]Resumen!H21*1000</f>
        <v>0</v>
      </c>
      <c r="I21" s="7">
        <f>+[9]Resumen!I21*1000</f>
        <v>0</v>
      </c>
      <c r="J21" s="7">
        <f>+[9]Resumen!J21*1000</f>
        <v>0</v>
      </c>
      <c r="K21" s="7">
        <f>+[9]Resumen!K21*1000</f>
        <v>0</v>
      </c>
      <c r="L21" s="7">
        <f>+[9]Resumen!L21*1000</f>
        <v>0</v>
      </c>
      <c r="M21" s="7">
        <f>+[9]Resumen!M21*1000</f>
        <v>170246.12840753174</v>
      </c>
      <c r="N21" s="7">
        <f>+[9]Resumen!N21*1000</f>
        <v>188289.77427270616</v>
      </c>
      <c r="O21" s="7">
        <f>+[9]Resumen!O21*1000</f>
        <v>203321.75096985832</v>
      </c>
      <c r="P21" s="7">
        <f>+[9]Resumen!P21*1000</f>
        <v>214326.05945574577</v>
      </c>
      <c r="Q21" s="7">
        <f>+[9]Resumen!Q21*1000</f>
        <v>225015.92245203478</v>
      </c>
      <c r="R21" s="7">
        <f>+[9]Resumen!R21*1000</f>
        <v>232552.73297907648</v>
      </c>
      <c r="S21" s="7">
        <f>+[9]Resumen!S21*1000</f>
        <v>233718.61756528344</v>
      </c>
      <c r="T21" s="7">
        <f>+[9]Resumen!T21*1000</f>
        <v>231233.41119638053</v>
      </c>
      <c r="U21" s="7">
        <f>+[9]Resumen!U21*1000</f>
        <v>228418.47303884599</v>
      </c>
      <c r="V21" s="7">
        <f>+[9]Resumen!V21*1000</f>
        <v>225205.96473675259</v>
      </c>
      <c r="W21" s="7">
        <f>+[9]Resumen!W21*1000</f>
        <v>0</v>
      </c>
      <c r="X21" s="7">
        <f>+[9]Resumen!X21*1000</f>
        <v>0</v>
      </c>
      <c r="Y21" s="7">
        <f>+[9]Resumen!Y21*1000</f>
        <v>0</v>
      </c>
      <c r="Z21" s="7">
        <f>+[9]Resumen!Z21*1000</f>
        <v>0</v>
      </c>
      <c r="AA21" s="7">
        <f>+[9]Resumen!AA21*1000</f>
        <v>0</v>
      </c>
      <c r="AB21" s="7">
        <f>+[9]Resumen!AB21*1000</f>
        <v>0</v>
      </c>
      <c r="AC21" s="7">
        <f>+[9]Resumen!AC21*1000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+[9]Resumen!E22</f>
        <v>2</v>
      </c>
      <c r="F22" s="7">
        <f>+[9]Resumen!F22*1000</f>
        <v>0</v>
      </c>
      <c r="G22" s="7">
        <f>+[9]Resumen!G22*1000</f>
        <v>0</v>
      </c>
      <c r="H22" s="7">
        <f>+[9]Resumen!H22*1000</f>
        <v>0</v>
      </c>
      <c r="I22" s="7">
        <f>+[9]Resumen!I22*1000</f>
        <v>0</v>
      </c>
      <c r="J22" s="7">
        <f>+[9]Resumen!J22*1000</f>
        <v>0</v>
      </c>
      <c r="K22" s="7">
        <f>+[9]Resumen!K22*1000</f>
        <v>0</v>
      </c>
      <c r="L22" s="7">
        <f>+[9]Resumen!L22*1000</f>
        <v>0</v>
      </c>
      <c r="M22" s="7">
        <f>+[9]Resumen!M22*1000</f>
        <v>171725.36327931649</v>
      </c>
      <c r="N22" s="7">
        <f>+[9]Resumen!N22*1000</f>
        <v>187791.99074324517</v>
      </c>
      <c r="O22" s="7">
        <f>+[9]Resumen!O22*1000</f>
        <v>197360.08991287183</v>
      </c>
      <c r="P22" s="7">
        <f>+[9]Resumen!P22*1000</f>
        <v>202912.07815576761</v>
      </c>
      <c r="Q22" s="7">
        <f>+[9]Resumen!Q22*1000</f>
        <v>215573.39928673595</v>
      </c>
      <c r="R22" s="7">
        <f>+[9]Resumen!R22*1000</f>
        <v>226809.07516451727</v>
      </c>
      <c r="S22" s="7">
        <f>+[9]Resumen!S22*1000</f>
        <v>225780.3792924766</v>
      </c>
      <c r="T22" s="7">
        <f>+[9]Resumen!T22*1000</f>
        <v>221203.64362582823</v>
      </c>
      <c r="U22" s="7">
        <f>+[9]Resumen!U22*1000</f>
        <v>218270.0753631494</v>
      </c>
      <c r="V22" s="7">
        <f>+[9]Resumen!V22*1000</f>
        <v>218011.38773006818</v>
      </c>
      <c r="W22" s="7">
        <f>+[9]Resumen!W22*1000</f>
        <v>0</v>
      </c>
      <c r="X22" s="7">
        <f>+[9]Resumen!X22*1000</f>
        <v>0</v>
      </c>
      <c r="Y22" s="7">
        <f>+[9]Resumen!Y22*1000</f>
        <v>0</v>
      </c>
      <c r="Z22" s="7">
        <f>+[9]Resumen!Z22*1000</f>
        <v>0</v>
      </c>
      <c r="AA22" s="7">
        <f>+[9]Resumen!AA22*1000</f>
        <v>0</v>
      </c>
      <c r="AB22" s="7">
        <f>+[9]Resumen!AB22*1000</f>
        <v>0</v>
      </c>
      <c r="AC22" s="7">
        <f>+[9]Resumen!AC22*1000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+[9]Resumen!E23</f>
        <v>21</v>
      </c>
      <c r="F23" s="7">
        <f>+[9]Resumen!F23*1000</f>
        <v>0</v>
      </c>
      <c r="G23" s="7">
        <f>+[9]Resumen!G23*1000</f>
        <v>0</v>
      </c>
      <c r="H23" s="7">
        <f>+[9]Resumen!H23*1000</f>
        <v>0</v>
      </c>
      <c r="I23" s="7">
        <f>+[9]Resumen!I23*1000</f>
        <v>0</v>
      </c>
      <c r="J23" s="7">
        <f>+[9]Resumen!J23*1000</f>
        <v>0</v>
      </c>
      <c r="K23" s="7">
        <f>+[9]Resumen!K23*1000</f>
        <v>0</v>
      </c>
      <c r="L23" s="7">
        <f>+[9]Resumen!L23*1000</f>
        <v>0</v>
      </c>
      <c r="M23" s="7">
        <f>+[9]Resumen!M23*1000</f>
        <v>215620.46867249007</v>
      </c>
      <c r="N23" s="7">
        <f>+[9]Resumen!N23*1000</f>
        <v>229664.26982935364</v>
      </c>
      <c r="O23" s="7">
        <f>+[9]Resumen!O23*1000</f>
        <v>239939.44734699582</v>
      </c>
      <c r="P23" s="7">
        <f>+[9]Resumen!P23*1000</f>
        <v>254573.09789843322</v>
      </c>
      <c r="Q23" s="7">
        <f>+[9]Resumen!Q23*1000</f>
        <v>266560.08151737193</v>
      </c>
      <c r="R23" s="7">
        <f>+[9]Resumen!R23*1000</f>
        <v>267483.64667147852</v>
      </c>
      <c r="S23" s="7">
        <f>+[9]Resumen!S23*1000</f>
        <v>263292.697729612</v>
      </c>
      <c r="T23" s="7">
        <f>+[9]Resumen!T23*1000</f>
        <v>264328.30402864137</v>
      </c>
      <c r="U23" s="7">
        <f>+[9]Resumen!U23*1000</f>
        <v>264337.93694659637</v>
      </c>
      <c r="V23" s="7">
        <f>+[9]Resumen!V23*1000</f>
        <v>258622.34428931947</v>
      </c>
      <c r="W23" s="7">
        <f>+[9]Resumen!W23*1000</f>
        <v>0</v>
      </c>
      <c r="X23" s="7">
        <f>+[9]Resumen!X23*1000</f>
        <v>0</v>
      </c>
      <c r="Y23" s="7">
        <f>+[9]Resumen!Y23*1000</f>
        <v>0</v>
      </c>
      <c r="Z23" s="7">
        <f>+[9]Resumen!Z23*1000</f>
        <v>0</v>
      </c>
      <c r="AA23" s="7">
        <f>+[9]Resumen!AA23*1000</f>
        <v>0</v>
      </c>
      <c r="AB23" s="7">
        <f>+[9]Resumen!AB23*1000</f>
        <v>0</v>
      </c>
      <c r="AC23" s="7">
        <f>+[9]Resumen!AC23*1000</f>
        <v>0</v>
      </c>
      <c r="AD23" s="60">
        <f t="shared" ref="AD23" si="2">SUM(F23:AC23)*E23+SUM(F24:AC24)*E24+SUM(F25:AC25)*E25+SUM(F26:AC26)*E26</f>
        <v>74881583.870222881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+[9]Resumen!E24</f>
        <v>4</v>
      </c>
      <c r="F24" s="7">
        <f>+[9]Resumen!F24*1000</f>
        <v>0</v>
      </c>
      <c r="G24" s="7">
        <f>+[9]Resumen!G24*1000</f>
        <v>0</v>
      </c>
      <c r="H24" s="7">
        <f>+[9]Resumen!H24*1000</f>
        <v>0</v>
      </c>
      <c r="I24" s="7">
        <f>+[9]Resumen!I24*1000</f>
        <v>0</v>
      </c>
      <c r="J24" s="7">
        <f>+[9]Resumen!J24*1000</f>
        <v>0</v>
      </c>
      <c r="K24" s="7">
        <f>+[9]Resumen!K24*1000</f>
        <v>0</v>
      </c>
      <c r="L24" s="7">
        <f>+[9]Resumen!L24*1000</f>
        <v>0</v>
      </c>
      <c r="M24" s="7">
        <f>+[9]Resumen!M24*1000</f>
        <v>196876.49526141127</v>
      </c>
      <c r="N24" s="7">
        <f>+[9]Resumen!N24*1000</f>
        <v>217856.28334041423</v>
      </c>
      <c r="O24" s="7">
        <f>+[9]Resumen!O24*1000</f>
        <v>231713.98184321725</v>
      </c>
      <c r="P24" s="7">
        <f>+[9]Resumen!P24*1000</f>
        <v>244390.32988279295</v>
      </c>
      <c r="Q24" s="7">
        <f>+[9]Resumen!Q24*1000</f>
        <v>253236.63861152742</v>
      </c>
      <c r="R24" s="7">
        <f>+[9]Resumen!R24*1000</f>
        <v>253391.84720075422</v>
      </c>
      <c r="S24" s="7">
        <f>+[9]Resumen!S24*1000</f>
        <v>247143.9343981586</v>
      </c>
      <c r="T24" s="7">
        <f>+[9]Resumen!T24*1000</f>
        <v>241247.10099454864</v>
      </c>
      <c r="U24" s="7">
        <f>+[9]Resumen!U24*1000</f>
        <v>238734.60763964118</v>
      </c>
      <c r="V24" s="7">
        <f>+[9]Resumen!V24*1000</f>
        <v>235696.35871250229</v>
      </c>
      <c r="W24" s="7">
        <f>+[9]Resumen!W24*1000</f>
        <v>0</v>
      </c>
      <c r="X24" s="7">
        <f>+[9]Resumen!X24*1000</f>
        <v>0</v>
      </c>
      <c r="Y24" s="7">
        <f>+[9]Resumen!Y24*1000</f>
        <v>0</v>
      </c>
      <c r="Z24" s="7">
        <f>+[9]Resumen!Z24*1000</f>
        <v>0</v>
      </c>
      <c r="AA24" s="7">
        <f>+[9]Resumen!AA24*1000</f>
        <v>0</v>
      </c>
      <c r="AB24" s="7">
        <f>+[9]Resumen!AB24*1000</f>
        <v>0</v>
      </c>
      <c r="AC24" s="7">
        <f>+[9]Resumen!AC24*1000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+[9]Resumen!E25</f>
        <v>4</v>
      </c>
      <c r="F25" s="7">
        <f>+[9]Resumen!F25*1000</f>
        <v>0</v>
      </c>
      <c r="G25" s="7">
        <f>+[9]Resumen!G25*1000</f>
        <v>0</v>
      </c>
      <c r="H25" s="7">
        <f>+[9]Resumen!H25*1000</f>
        <v>0</v>
      </c>
      <c r="I25" s="7">
        <f>+[9]Resumen!I25*1000</f>
        <v>0</v>
      </c>
      <c r="J25" s="7">
        <f>+[9]Resumen!J25*1000</f>
        <v>0</v>
      </c>
      <c r="K25" s="7">
        <f>+[9]Resumen!K25*1000</f>
        <v>0</v>
      </c>
      <c r="L25" s="7">
        <f>+[9]Resumen!L25*1000</f>
        <v>0</v>
      </c>
      <c r="M25" s="7">
        <f>+[9]Resumen!M25*1000</f>
        <v>160067.46186443849</v>
      </c>
      <c r="N25" s="7">
        <f>+[9]Resumen!N25*1000</f>
        <v>178255.14257741431</v>
      </c>
      <c r="O25" s="7">
        <f>+[9]Resumen!O25*1000</f>
        <v>193422.71173995774</v>
      </c>
      <c r="P25" s="7">
        <f>+[9]Resumen!P25*1000</f>
        <v>205492.34557324881</v>
      </c>
      <c r="Q25" s="7">
        <f>+[9]Resumen!Q25*1000</f>
        <v>217675.47934548202</v>
      </c>
      <c r="R25" s="7">
        <f>+[9]Resumen!R25*1000</f>
        <v>223454.31005839683</v>
      </c>
      <c r="S25" s="7">
        <f>+[9]Resumen!S25*1000</f>
        <v>222160.41518848005</v>
      </c>
      <c r="T25" s="7">
        <f>+[9]Resumen!T25*1000</f>
        <v>216105.95665235881</v>
      </c>
      <c r="U25" s="7">
        <f>+[9]Resumen!U25*1000</f>
        <v>214074.26894758001</v>
      </c>
      <c r="V25" s="7">
        <f>+[9]Resumen!V25*1000</f>
        <v>211193.50548118458</v>
      </c>
      <c r="W25" s="7">
        <f>+[9]Resumen!W25*1000</f>
        <v>0</v>
      </c>
      <c r="X25" s="7">
        <f>+[9]Resumen!X25*1000</f>
        <v>0</v>
      </c>
      <c r="Y25" s="7">
        <f>+[9]Resumen!Y25*1000</f>
        <v>0</v>
      </c>
      <c r="Z25" s="7">
        <f>+[9]Resumen!Z25*1000</f>
        <v>0</v>
      </c>
      <c r="AA25" s="7">
        <f>+[9]Resumen!AA25*1000</f>
        <v>0</v>
      </c>
      <c r="AB25" s="7">
        <f>+[9]Resumen!AB25*1000</f>
        <v>0</v>
      </c>
      <c r="AC25" s="7">
        <f>+[9]Resumen!AC25*1000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+[9]Resumen!E26</f>
        <v>2</v>
      </c>
      <c r="F26" s="7">
        <f>+[9]Resumen!F26*1000</f>
        <v>0</v>
      </c>
      <c r="G26" s="7">
        <f>+[9]Resumen!G26*1000</f>
        <v>0</v>
      </c>
      <c r="H26" s="7">
        <f>+[9]Resumen!H26*1000</f>
        <v>0</v>
      </c>
      <c r="I26" s="7">
        <f>+[9]Resumen!I26*1000</f>
        <v>0</v>
      </c>
      <c r="J26" s="7">
        <f>+[9]Resumen!J26*1000</f>
        <v>0</v>
      </c>
      <c r="K26" s="7">
        <f>+[9]Resumen!K26*1000</f>
        <v>0</v>
      </c>
      <c r="L26" s="7">
        <f>+[9]Resumen!L26*1000</f>
        <v>0</v>
      </c>
      <c r="M26" s="7">
        <f>+[9]Resumen!M26*1000</f>
        <v>167718.68130541922</v>
      </c>
      <c r="N26" s="7">
        <f>+[9]Resumen!N26*1000</f>
        <v>184970.65207152511</v>
      </c>
      <c r="O26" s="7">
        <f>+[9]Resumen!O26*1000</f>
        <v>199086.63027716687</v>
      </c>
      <c r="P26" s="7">
        <f>+[9]Resumen!P26*1000</f>
        <v>214450.09685361543</v>
      </c>
      <c r="Q26" s="7">
        <f>+[9]Resumen!Q26*1000</f>
        <v>227270.3888434929</v>
      </c>
      <c r="R26" s="7">
        <f>+[9]Resumen!R26*1000</f>
        <v>237284.68166897603</v>
      </c>
      <c r="S26" s="7">
        <f>+[9]Resumen!S26*1000</f>
        <v>233635.00516764176</v>
      </c>
      <c r="T26" s="7">
        <f>+[9]Resumen!T26*1000</f>
        <v>227013.78298485579</v>
      </c>
      <c r="U26" s="7">
        <f>+[9]Resumen!U26*1000</f>
        <v>220415.63103089359</v>
      </c>
      <c r="V26" s="7">
        <f>+[9]Resumen!V26*1000</f>
        <v>218133.93751276002</v>
      </c>
      <c r="W26" s="7">
        <f>+[9]Resumen!W26*1000</f>
        <v>0</v>
      </c>
      <c r="X26" s="7">
        <f>+[9]Resumen!X26*1000</f>
        <v>0</v>
      </c>
      <c r="Y26" s="7">
        <f>+[9]Resumen!Y26*1000</f>
        <v>0</v>
      </c>
      <c r="Z26" s="7">
        <f>+[9]Resumen!Z26*1000</f>
        <v>0</v>
      </c>
      <c r="AA26" s="7">
        <f>+[9]Resumen!AA26*1000</f>
        <v>0</v>
      </c>
      <c r="AB26" s="7">
        <f>+[9]Resumen!AB26*1000</f>
        <v>0</v>
      </c>
      <c r="AC26" s="7">
        <f>+[9]Resumen!AC26*1000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+[9]Resumen!E27</f>
        <v>20</v>
      </c>
      <c r="F27" s="7">
        <f>+[9]Resumen!F27*1000</f>
        <v>0</v>
      </c>
      <c r="G27" s="7">
        <f>+[9]Resumen!G27*1000</f>
        <v>0</v>
      </c>
      <c r="H27" s="7">
        <f>+[9]Resumen!H27*1000</f>
        <v>0</v>
      </c>
      <c r="I27" s="7">
        <f>+[9]Resumen!I27*1000</f>
        <v>0</v>
      </c>
      <c r="J27" s="7">
        <f>+[9]Resumen!J27*1000</f>
        <v>0</v>
      </c>
      <c r="K27" s="7">
        <f>+[9]Resumen!K27*1000</f>
        <v>0</v>
      </c>
      <c r="L27" s="7">
        <f>+[9]Resumen!L27*1000</f>
        <v>0</v>
      </c>
      <c r="M27" s="7">
        <f>+[9]Resumen!M27*1000</f>
        <v>222977.14252526799</v>
      </c>
      <c r="N27" s="7">
        <f>+[9]Resumen!N27*1000</f>
        <v>239590.43198635674</v>
      </c>
      <c r="O27" s="7">
        <f>+[9]Resumen!O27*1000</f>
        <v>250875.96625122419</v>
      </c>
      <c r="P27" s="7">
        <f>+[9]Resumen!P27*1000</f>
        <v>265594.41086779925</v>
      </c>
      <c r="Q27" s="7">
        <f>+[9]Resumen!Q27*1000</f>
        <v>279044.95508235664</v>
      </c>
      <c r="R27" s="7">
        <f>+[9]Resumen!R27*1000</f>
        <v>282223.08861048194</v>
      </c>
      <c r="S27" s="7">
        <f>+[9]Resumen!S27*1000</f>
        <v>278494.255906003</v>
      </c>
      <c r="T27" s="7">
        <f>+[9]Resumen!T27*1000</f>
        <v>279807.4498670125</v>
      </c>
      <c r="U27" s="7">
        <f>+[9]Resumen!U27*1000</f>
        <v>279694.49753008061</v>
      </c>
      <c r="V27" s="7">
        <f>+[9]Resumen!V27*1000</f>
        <v>273597.7140142867</v>
      </c>
      <c r="W27" s="7">
        <f>+[9]Resumen!W27*1000</f>
        <v>0</v>
      </c>
      <c r="X27" s="7">
        <f>+[9]Resumen!X27*1000</f>
        <v>0</v>
      </c>
      <c r="Y27" s="7">
        <f>+[9]Resumen!Y27*1000</f>
        <v>0</v>
      </c>
      <c r="Z27" s="7">
        <f>+[9]Resumen!Z27*1000</f>
        <v>0</v>
      </c>
      <c r="AA27" s="7">
        <f>+[9]Resumen!AA27*1000</f>
        <v>0</v>
      </c>
      <c r="AB27" s="7">
        <f>+[9]Resumen!AB27*1000</f>
        <v>0</v>
      </c>
      <c r="AC27" s="7">
        <f>+[9]Resumen!AC27*1000</f>
        <v>0</v>
      </c>
      <c r="AD27" s="60">
        <f t="shared" ref="AD27:AD35" si="3">SUM(F27:AC27)*E27+SUM(F28:AC28)*E28+SUM(F29:AC29)*E29+SUM(F30:AC30)*E30</f>
        <v>75578869.382760346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+[9]Resumen!E28</f>
        <v>4</v>
      </c>
      <c r="F28" s="7">
        <f>+[9]Resumen!F28*1000</f>
        <v>0</v>
      </c>
      <c r="G28" s="7">
        <f>+[9]Resumen!G28*1000</f>
        <v>0</v>
      </c>
      <c r="H28" s="7">
        <f>+[9]Resumen!H28*1000</f>
        <v>0</v>
      </c>
      <c r="I28" s="7">
        <f>+[9]Resumen!I28*1000</f>
        <v>0</v>
      </c>
      <c r="J28" s="7">
        <f>+[9]Resumen!J28*1000</f>
        <v>0</v>
      </c>
      <c r="K28" s="7">
        <f>+[9]Resumen!K28*1000</f>
        <v>0</v>
      </c>
      <c r="L28" s="7">
        <f>+[9]Resumen!L28*1000</f>
        <v>0</v>
      </c>
      <c r="M28" s="7">
        <f>+[9]Resumen!M28*1000</f>
        <v>203692.54847524015</v>
      </c>
      <c r="N28" s="7">
        <f>+[9]Resumen!N28*1000</f>
        <v>224990.34699943909</v>
      </c>
      <c r="O28" s="7">
        <f>+[9]Resumen!O28*1000</f>
        <v>239133.18652474537</v>
      </c>
      <c r="P28" s="7">
        <f>+[9]Resumen!P28*1000</f>
        <v>252809.32946548465</v>
      </c>
      <c r="Q28" s="7">
        <f>+[9]Resumen!Q28*1000</f>
        <v>262445.67048725666</v>
      </c>
      <c r="R28" s="7">
        <f>+[9]Resumen!R28*1000</f>
        <v>263662.39337993664</v>
      </c>
      <c r="S28" s="7">
        <f>+[9]Resumen!S28*1000</f>
        <v>257211.36900577761</v>
      </c>
      <c r="T28" s="7">
        <f>+[9]Resumen!T28*1000</f>
        <v>251658.29220989771</v>
      </c>
      <c r="U28" s="7">
        <f>+[9]Resumen!U28*1000</f>
        <v>249869.05252392625</v>
      </c>
      <c r="V28" s="7">
        <f>+[9]Resumen!V28*1000</f>
        <v>246002.9845480251</v>
      </c>
      <c r="W28" s="7">
        <f>+[9]Resumen!W28*1000</f>
        <v>0</v>
      </c>
      <c r="X28" s="7">
        <f>+[9]Resumen!X28*1000</f>
        <v>0</v>
      </c>
      <c r="Y28" s="7">
        <f>+[9]Resumen!Y28*1000</f>
        <v>0</v>
      </c>
      <c r="Z28" s="7">
        <f>+[9]Resumen!Z28*1000</f>
        <v>0</v>
      </c>
      <c r="AA28" s="7">
        <f>+[9]Resumen!AA28*1000</f>
        <v>0</v>
      </c>
      <c r="AB28" s="7">
        <f>+[9]Resumen!AB28*1000</f>
        <v>0</v>
      </c>
      <c r="AC28" s="7">
        <f>+[9]Resumen!AC28*1000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+[9]Resumen!E29</f>
        <v>4</v>
      </c>
      <c r="F29" s="7">
        <f>+[9]Resumen!F29*1000</f>
        <v>0</v>
      </c>
      <c r="G29" s="7">
        <f>+[9]Resumen!G29*1000</f>
        <v>0</v>
      </c>
      <c r="H29" s="7">
        <f>+[9]Resumen!H29*1000</f>
        <v>0</v>
      </c>
      <c r="I29" s="7">
        <f>+[9]Resumen!I29*1000</f>
        <v>0</v>
      </c>
      <c r="J29" s="7">
        <f>+[9]Resumen!J29*1000</f>
        <v>0</v>
      </c>
      <c r="K29" s="7">
        <f>+[9]Resumen!K29*1000</f>
        <v>0</v>
      </c>
      <c r="L29" s="7">
        <f>+[9]Resumen!L29*1000</f>
        <v>0</v>
      </c>
      <c r="M29" s="7">
        <f>+[9]Resumen!M29*1000</f>
        <v>167417.43147236118</v>
      </c>
      <c r="N29" s="7">
        <f>+[9]Resumen!N29*1000</f>
        <v>184162.06782050207</v>
      </c>
      <c r="O29" s="7">
        <f>+[9]Resumen!O29*1000</f>
        <v>198666.9343509762</v>
      </c>
      <c r="P29" s="7">
        <f>+[9]Resumen!P29*1000</f>
        <v>209339.22752567884</v>
      </c>
      <c r="Q29" s="7">
        <f>+[9]Resumen!Q29*1000</f>
        <v>221931.14952413994</v>
      </c>
      <c r="R29" s="7">
        <f>+[9]Resumen!R29*1000</f>
        <v>229939.48307128093</v>
      </c>
      <c r="S29" s="7">
        <f>+[9]Resumen!S29*1000</f>
        <v>230346.02324715065</v>
      </c>
      <c r="T29" s="7">
        <f>+[9]Resumen!T29*1000</f>
        <v>226187.24315212568</v>
      </c>
      <c r="U29" s="7">
        <f>+[9]Resumen!U29*1000</f>
        <v>223733.38976957925</v>
      </c>
      <c r="V29" s="7">
        <f>+[9]Resumen!V29*1000</f>
        <v>220619.2547322723</v>
      </c>
      <c r="W29" s="7">
        <f>+[9]Resumen!W29*1000</f>
        <v>0</v>
      </c>
      <c r="X29" s="7">
        <f>+[9]Resumen!X29*1000</f>
        <v>0</v>
      </c>
      <c r="Y29" s="7">
        <f>+[9]Resumen!Y29*1000</f>
        <v>0</v>
      </c>
      <c r="Z29" s="7">
        <f>+[9]Resumen!Z29*1000</f>
        <v>0</v>
      </c>
      <c r="AA29" s="7">
        <f>+[9]Resumen!AA29*1000</f>
        <v>0</v>
      </c>
      <c r="AB29" s="7">
        <f>+[9]Resumen!AB29*1000</f>
        <v>0</v>
      </c>
      <c r="AC29" s="7">
        <f>+[9]Resumen!AC29*1000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+[9]Resumen!E30</f>
        <v>2</v>
      </c>
      <c r="F30" s="7">
        <f>+[9]Resumen!F30*1000</f>
        <v>0</v>
      </c>
      <c r="G30" s="7">
        <f>+[9]Resumen!G30*1000</f>
        <v>0</v>
      </c>
      <c r="H30" s="7">
        <f>+[9]Resumen!H30*1000</f>
        <v>0</v>
      </c>
      <c r="I30" s="7">
        <f>+[9]Resumen!I30*1000</f>
        <v>0</v>
      </c>
      <c r="J30" s="7">
        <f>+[9]Resumen!J30*1000</f>
        <v>0</v>
      </c>
      <c r="K30" s="7">
        <f>+[9]Resumen!K30*1000</f>
        <v>0</v>
      </c>
      <c r="L30" s="7">
        <f>+[9]Resumen!L30*1000</f>
        <v>0</v>
      </c>
      <c r="M30" s="7">
        <f>+[9]Resumen!M30*1000</f>
        <v>165206.67791020524</v>
      </c>
      <c r="N30" s="7">
        <f>+[9]Resumen!N30*1000</f>
        <v>182336.09002557053</v>
      </c>
      <c r="O30" s="7">
        <f>+[9]Resumen!O30*1000</f>
        <v>197518.36241294187</v>
      </c>
      <c r="P30" s="7">
        <f>+[9]Resumen!P30*1000</f>
        <v>213014.85637168068</v>
      </c>
      <c r="Q30" s="7">
        <f>+[9]Resumen!Q30*1000</f>
        <v>228992.68584646092</v>
      </c>
      <c r="R30" s="7">
        <f>+[9]Resumen!R30*1000</f>
        <v>238335.55209691668</v>
      </c>
      <c r="S30" s="7">
        <f>+[9]Resumen!S30*1000</f>
        <v>236496.95506861358</v>
      </c>
      <c r="T30" s="7">
        <f>+[9]Resumen!T30*1000</f>
        <v>230060.07744922332</v>
      </c>
      <c r="U30" s="7">
        <f>+[9]Resumen!U30*1000</f>
        <v>226839.81403849786</v>
      </c>
      <c r="V30" s="7">
        <f>+[9]Resumen!V30*1000</f>
        <v>223999.7371797685</v>
      </c>
      <c r="W30" s="7">
        <f>+[9]Resumen!W30*1000</f>
        <v>0</v>
      </c>
      <c r="X30" s="7">
        <f>+[9]Resumen!X30*1000</f>
        <v>0</v>
      </c>
      <c r="Y30" s="7">
        <f>+[9]Resumen!Y30*1000</f>
        <v>0</v>
      </c>
      <c r="Z30" s="7">
        <f>+[9]Resumen!Z30*1000</f>
        <v>0</v>
      </c>
      <c r="AA30" s="7">
        <f>+[9]Resumen!AA30*1000</f>
        <v>0</v>
      </c>
      <c r="AB30" s="7">
        <f>+[9]Resumen!AB30*1000</f>
        <v>0</v>
      </c>
      <c r="AC30" s="7">
        <f>+[9]Resumen!AC30*1000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+[9]Resumen!E31</f>
        <v>19</v>
      </c>
      <c r="F31" s="7">
        <f>+[9]Resumen!F31*1000</f>
        <v>0</v>
      </c>
      <c r="G31" s="7">
        <f>+[9]Resumen!G31*1000</f>
        <v>0</v>
      </c>
      <c r="H31" s="7">
        <f>+[9]Resumen!H31*1000</f>
        <v>0</v>
      </c>
      <c r="I31" s="7">
        <f>+[9]Resumen!I31*1000</f>
        <v>0</v>
      </c>
      <c r="J31" s="7">
        <f>+[9]Resumen!J31*1000</f>
        <v>0</v>
      </c>
      <c r="K31" s="7">
        <f>+[9]Resumen!K31*1000</f>
        <v>0</v>
      </c>
      <c r="L31" s="7">
        <f>+[9]Resumen!L31*1000</f>
        <v>0</v>
      </c>
      <c r="M31" s="7">
        <f>+[9]Resumen!M31*1000</f>
        <v>216899.8664997124</v>
      </c>
      <c r="N31" s="7">
        <f>+[9]Resumen!N31*1000</f>
        <v>233432.72054162432</v>
      </c>
      <c r="O31" s="7">
        <f>+[9]Resumen!O31*1000</f>
        <v>245289.54559204346</v>
      </c>
      <c r="P31" s="7">
        <f>+[9]Resumen!P31*1000</f>
        <v>260956.59429837138</v>
      </c>
      <c r="Q31" s="7">
        <f>+[9]Resumen!Q31*1000</f>
        <v>273503.20721875533</v>
      </c>
      <c r="R31" s="7">
        <f>+[9]Resumen!R31*1000</f>
        <v>275063.40515861759</v>
      </c>
      <c r="S31" s="7">
        <f>+[9]Resumen!S31*1000</f>
        <v>270947.87232033547</v>
      </c>
      <c r="T31" s="7">
        <f>+[9]Resumen!T31*1000</f>
        <v>273163.72722753498</v>
      </c>
      <c r="U31" s="7">
        <f>+[9]Resumen!U31*1000</f>
        <v>272747.72040962439</v>
      </c>
      <c r="V31" s="7">
        <f>+[9]Resumen!V31*1000</f>
        <v>265793.05515980482</v>
      </c>
      <c r="W31" s="7">
        <f>+[9]Resumen!W31*1000</f>
        <v>0</v>
      </c>
      <c r="X31" s="7">
        <f>+[9]Resumen!X31*1000</f>
        <v>0</v>
      </c>
      <c r="Y31" s="7">
        <f>+[9]Resumen!Y31*1000</f>
        <v>0</v>
      </c>
      <c r="Z31" s="7">
        <f>+[9]Resumen!Z31*1000</f>
        <v>0</v>
      </c>
      <c r="AA31" s="7">
        <f>+[9]Resumen!AA31*1000</f>
        <v>0</v>
      </c>
      <c r="AB31" s="7">
        <f>+[9]Resumen!AB31*1000</f>
        <v>0</v>
      </c>
      <c r="AC31" s="7">
        <f>+[9]Resumen!AC31*1000</f>
        <v>0</v>
      </c>
      <c r="AD31" s="60">
        <f t="shared" si="3"/>
        <v>75746337.36432758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+[9]Resumen!E32</f>
        <v>5</v>
      </c>
      <c r="F32" s="7">
        <f>+[9]Resumen!F32*1000</f>
        <v>0</v>
      </c>
      <c r="G32" s="7">
        <f>+[9]Resumen!G32*1000</f>
        <v>0</v>
      </c>
      <c r="H32" s="7">
        <f>+[9]Resumen!H32*1000</f>
        <v>0</v>
      </c>
      <c r="I32" s="7">
        <f>+[9]Resumen!I32*1000</f>
        <v>0</v>
      </c>
      <c r="J32" s="7">
        <f>+[9]Resumen!J32*1000</f>
        <v>0</v>
      </c>
      <c r="K32" s="7">
        <f>+[9]Resumen!K32*1000</f>
        <v>0</v>
      </c>
      <c r="L32" s="7">
        <f>+[9]Resumen!L32*1000</f>
        <v>0</v>
      </c>
      <c r="M32" s="7">
        <f>+[9]Resumen!M32*1000</f>
        <v>195721.4274776674</v>
      </c>
      <c r="N32" s="7">
        <f>+[9]Resumen!N32*1000</f>
        <v>217937.85608684333</v>
      </c>
      <c r="O32" s="7">
        <f>+[9]Resumen!O32*1000</f>
        <v>232488.73005423375</v>
      </c>
      <c r="P32" s="7">
        <f>+[9]Resumen!P32*1000</f>
        <v>246700.26591918385</v>
      </c>
      <c r="Q32" s="7">
        <f>+[9]Resumen!Q32*1000</f>
        <v>256907.92433065388</v>
      </c>
      <c r="R32" s="7">
        <f>+[9]Resumen!R32*1000</f>
        <v>257066.44070206449</v>
      </c>
      <c r="S32" s="7">
        <f>+[9]Resumen!S32*1000</f>
        <v>250100.83006307494</v>
      </c>
      <c r="T32" s="7">
        <f>+[9]Resumen!T32*1000</f>
        <v>243918.61398263331</v>
      </c>
      <c r="U32" s="7">
        <f>+[9]Resumen!U32*1000</f>
        <v>241238.06001884775</v>
      </c>
      <c r="V32" s="7">
        <f>+[9]Resumen!V32*1000</f>
        <v>237919.886698883</v>
      </c>
      <c r="W32" s="7">
        <f>+[9]Resumen!W32*1000</f>
        <v>0</v>
      </c>
      <c r="X32" s="7">
        <f>+[9]Resumen!X32*1000</f>
        <v>0</v>
      </c>
      <c r="Y32" s="7">
        <f>+[9]Resumen!Y32*1000</f>
        <v>0</v>
      </c>
      <c r="Z32" s="7">
        <f>+[9]Resumen!Z32*1000</f>
        <v>0</v>
      </c>
      <c r="AA32" s="7">
        <f>+[9]Resumen!AA32*1000</f>
        <v>0</v>
      </c>
      <c r="AB32" s="7">
        <f>+[9]Resumen!AB32*1000</f>
        <v>0</v>
      </c>
      <c r="AC32" s="7">
        <f>+[9]Resumen!AC32*1000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+[9]Resumen!E33</f>
        <v>5</v>
      </c>
      <c r="F33" s="7">
        <f>+[9]Resumen!F33*1000</f>
        <v>0</v>
      </c>
      <c r="G33" s="7">
        <f>+[9]Resumen!G33*1000</f>
        <v>0</v>
      </c>
      <c r="H33" s="7">
        <f>+[9]Resumen!H33*1000</f>
        <v>0</v>
      </c>
      <c r="I33" s="7">
        <f>+[9]Resumen!I33*1000</f>
        <v>0</v>
      </c>
      <c r="J33" s="7">
        <f>+[9]Resumen!J33*1000</f>
        <v>0</v>
      </c>
      <c r="K33" s="7">
        <f>+[9]Resumen!K33*1000</f>
        <v>0</v>
      </c>
      <c r="L33" s="7">
        <f>+[9]Resumen!L33*1000</f>
        <v>0</v>
      </c>
      <c r="M33" s="7">
        <f>+[9]Resumen!M33*1000</f>
        <v>161431.07511661749</v>
      </c>
      <c r="N33" s="7">
        <f>+[9]Resumen!N33*1000</f>
        <v>179094.59428912477</v>
      </c>
      <c r="O33" s="7">
        <f>+[9]Resumen!O33*1000</f>
        <v>194345.91995510209</v>
      </c>
      <c r="P33" s="7">
        <f>+[9]Resumen!P33*1000</f>
        <v>207371.04613501273</v>
      </c>
      <c r="Q33" s="7">
        <f>+[9]Resumen!Q33*1000</f>
        <v>220569.81536048971</v>
      </c>
      <c r="R33" s="7">
        <f>+[9]Resumen!R33*1000</f>
        <v>228028.45182078576</v>
      </c>
      <c r="S33" s="7">
        <f>+[9]Resumen!S33*1000</f>
        <v>228273.22991940225</v>
      </c>
      <c r="T33" s="7">
        <f>+[9]Resumen!T33*1000</f>
        <v>223942.66463502409</v>
      </c>
      <c r="U33" s="7">
        <f>+[9]Resumen!U33*1000</f>
        <v>220730.27161756446</v>
      </c>
      <c r="V33" s="7">
        <f>+[9]Resumen!V33*1000</f>
        <v>217689.02528994801</v>
      </c>
      <c r="W33" s="7">
        <f>+[9]Resumen!W33*1000</f>
        <v>0</v>
      </c>
      <c r="X33" s="7">
        <f>+[9]Resumen!X33*1000</f>
        <v>0</v>
      </c>
      <c r="Y33" s="7">
        <f>+[9]Resumen!Y33*1000</f>
        <v>0</v>
      </c>
      <c r="Z33" s="7">
        <f>+[9]Resumen!Z33*1000</f>
        <v>0</v>
      </c>
      <c r="AA33" s="7">
        <f>+[9]Resumen!AA33*1000</f>
        <v>0</v>
      </c>
      <c r="AB33" s="7">
        <f>+[9]Resumen!AB33*1000</f>
        <v>0</v>
      </c>
      <c r="AC33" s="7">
        <f>+[9]Resumen!AC33*1000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+[9]Resumen!E34</f>
        <v>2</v>
      </c>
      <c r="F34" s="7">
        <f>+[9]Resumen!F34*1000</f>
        <v>0</v>
      </c>
      <c r="G34" s="7">
        <f>+[9]Resumen!G34*1000</f>
        <v>0</v>
      </c>
      <c r="H34" s="7">
        <f>+[9]Resumen!H34*1000</f>
        <v>0</v>
      </c>
      <c r="I34" s="7">
        <f>+[9]Resumen!I34*1000</f>
        <v>0</v>
      </c>
      <c r="J34" s="7">
        <f>+[9]Resumen!J34*1000</f>
        <v>0</v>
      </c>
      <c r="K34" s="7">
        <f>+[9]Resumen!K34*1000</f>
        <v>0</v>
      </c>
      <c r="L34" s="7">
        <f>+[9]Resumen!L34*1000</f>
        <v>0</v>
      </c>
      <c r="M34" s="7">
        <f>+[9]Resumen!M34*1000</f>
        <v>165006.51718186346</v>
      </c>
      <c r="N34" s="7">
        <f>+[9]Resumen!N34*1000</f>
        <v>183845.19691957047</v>
      </c>
      <c r="O34" s="7">
        <f>+[9]Resumen!O34*1000</f>
        <v>199758.43374426613</v>
      </c>
      <c r="P34" s="7">
        <f>+[9]Resumen!P34*1000</f>
        <v>214377.09064227904</v>
      </c>
      <c r="Q34" s="7">
        <f>+[9]Resumen!Q34*1000</f>
        <v>228227.94301144694</v>
      </c>
      <c r="R34" s="7">
        <f>+[9]Resumen!R34*1000</f>
        <v>235189.92440148551</v>
      </c>
      <c r="S34" s="7">
        <f>+[9]Resumen!S34*1000</f>
        <v>233259.99533910354</v>
      </c>
      <c r="T34" s="7">
        <f>+[9]Resumen!T34*1000</f>
        <v>228437.80316810933</v>
      </c>
      <c r="U34" s="7">
        <f>+[9]Resumen!U34*1000</f>
        <v>226426.10847923794</v>
      </c>
      <c r="V34" s="7">
        <f>+[9]Resumen!V34*1000</f>
        <v>220871.05854251119</v>
      </c>
      <c r="W34" s="7">
        <f>+[9]Resumen!W34*1000</f>
        <v>0</v>
      </c>
      <c r="X34" s="7">
        <f>+[9]Resumen!X34*1000</f>
        <v>0</v>
      </c>
      <c r="Y34" s="7">
        <f>+[9]Resumen!Y34*1000</f>
        <v>0</v>
      </c>
      <c r="Z34" s="7">
        <f>+[9]Resumen!Z34*1000</f>
        <v>0</v>
      </c>
      <c r="AA34" s="7">
        <f>+[9]Resumen!AA34*1000</f>
        <v>0</v>
      </c>
      <c r="AB34" s="7">
        <f>+[9]Resumen!AB34*1000</f>
        <v>0</v>
      </c>
      <c r="AC34" s="7">
        <f>+[9]Resumen!AC34*1000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+[9]Resumen!E35</f>
        <v>21</v>
      </c>
      <c r="F35" s="7">
        <f>+[9]Resumen!F35*1000</f>
        <v>0</v>
      </c>
      <c r="G35" s="7">
        <f>+[9]Resumen!G35*1000</f>
        <v>0</v>
      </c>
      <c r="H35" s="7">
        <f>+[9]Resumen!H35*1000</f>
        <v>0</v>
      </c>
      <c r="I35" s="7">
        <f>+[9]Resumen!I35*1000</f>
        <v>0</v>
      </c>
      <c r="J35" s="7">
        <f>+[9]Resumen!J35*1000</f>
        <v>0</v>
      </c>
      <c r="K35" s="7">
        <f>+[9]Resumen!K35*1000</f>
        <v>0</v>
      </c>
      <c r="L35" s="7">
        <f>+[9]Resumen!L35*1000</f>
        <v>0</v>
      </c>
      <c r="M35" s="7">
        <f>+[9]Resumen!M35*1000</f>
        <v>217859.27852387962</v>
      </c>
      <c r="N35" s="7">
        <f>+[9]Resumen!N35*1000</f>
        <v>233134.67429117725</v>
      </c>
      <c r="O35" s="7">
        <f>+[9]Resumen!O35*1000</f>
        <v>244656.12303993531</v>
      </c>
      <c r="P35" s="7">
        <f>+[9]Resumen!P35*1000</f>
        <v>260052.43908596691</v>
      </c>
      <c r="Q35" s="7">
        <f>+[9]Resumen!Q35*1000</f>
        <v>272310.15314818971</v>
      </c>
      <c r="R35" s="7">
        <f>+[9]Resumen!R35*1000</f>
        <v>273425.17282377754</v>
      </c>
      <c r="S35" s="7">
        <f>+[9]Resumen!S35*1000</f>
        <v>269965.91771624511</v>
      </c>
      <c r="T35" s="7">
        <f>+[9]Resumen!T35*1000</f>
        <v>272116.56807799626</v>
      </c>
      <c r="U35" s="7">
        <f>+[9]Resumen!U35*1000</f>
        <v>271702.20184910443</v>
      </c>
      <c r="V35" s="7">
        <f>+[9]Resumen!V35*1000</f>
        <v>264838.78660391271</v>
      </c>
      <c r="W35" s="7">
        <f>+[9]Resumen!W35*1000</f>
        <v>0</v>
      </c>
      <c r="X35" s="7">
        <f>+[9]Resumen!X35*1000</f>
        <v>0</v>
      </c>
      <c r="Y35" s="7">
        <f>+[9]Resumen!Y35*1000</f>
        <v>0</v>
      </c>
      <c r="Z35" s="7">
        <f>+[9]Resumen!Z35*1000</f>
        <v>0</v>
      </c>
      <c r="AA35" s="7">
        <f>+[9]Resumen!AA35*1000</f>
        <v>0</v>
      </c>
      <c r="AB35" s="7">
        <f>+[9]Resumen!AB35*1000</f>
        <v>0</v>
      </c>
      <c r="AC35" s="7">
        <f>+[9]Resumen!AC35*1000</f>
        <v>0</v>
      </c>
      <c r="AD35" s="60">
        <f t="shared" si="3"/>
        <v>76157833.220889121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+[9]Resumen!E36</f>
        <v>4</v>
      </c>
      <c r="F36" s="7">
        <f>+[9]Resumen!F36*1000</f>
        <v>0</v>
      </c>
      <c r="G36" s="7">
        <f>+[9]Resumen!G36*1000</f>
        <v>0</v>
      </c>
      <c r="H36" s="7">
        <f>+[9]Resumen!H36*1000</f>
        <v>0</v>
      </c>
      <c r="I36" s="7">
        <f>+[9]Resumen!I36*1000</f>
        <v>0</v>
      </c>
      <c r="J36" s="7">
        <f>+[9]Resumen!J36*1000</f>
        <v>0</v>
      </c>
      <c r="K36" s="7">
        <f>+[9]Resumen!K36*1000</f>
        <v>0</v>
      </c>
      <c r="L36" s="7">
        <f>+[9]Resumen!L36*1000</f>
        <v>0</v>
      </c>
      <c r="M36" s="7">
        <f>+[9]Resumen!M36*1000</f>
        <v>198665.08092878741</v>
      </c>
      <c r="N36" s="7">
        <f>+[9]Resumen!N36*1000</f>
        <v>219838.77554475103</v>
      </c>
      <c r="O36" s="7">
        <f>+[9]Resumen!O36*1000</f>
        <v>234284.2350166472</v>
      </c>
      <c r="P36" s="7">
        <f>+[9]Resumen!P36*1000</f>
        <v>247562.41540167056</v>
      </c>
      <c r="Q36" s="7">
        <f>+[9]Resumen!Q36*1000</f>
        <v>256756.93914964437</v>
      </c>
      <c r="R36" s="7">
        <f>+[9]Resumen!R36*1000</f>
        <v>256934.65262958716</v>
      </c>
      <c r="S36" s="7">
        <f>+[9]Resumen!S36*1000</f>
        <v>250524.90015431168</v>
      </c>
      <c r="T36" s="7">
        <f>+[9]Resumen!T36*1000</f>
        <v>243950.90698215729</v>
      </c>
      <c r="U36" s="7">
        <f>+[9]Resumen!U36*1000</f>
        <v>240389.01307838954</v>
      </c>
      <c r="V36" s="7">
        <f>+[9]Resumen!V36*1000</f>
        <v>237137.26587758851</v>
      </c>
      <c r="W36" s="7">
        <f>+[9]Resumen!W36*1000</f>
        <v>0</v>
      </c>
      <c r="X36" s="7">
        <f>+[9]Resumen!X36*1000</f>
        <v>0</v>
      </c>
      <c r="Y36" s="7">
        <f>+[9]Resumen!Y36*1000</f>
        <v>0</v>
      </c>
      <c r="Z36" s="7">
        <f>+[9]Resumen!Z36*1000</f>
        <v>0</v>
      </c>
      <c r="AA36" s="7">
        <f>+[9]Resumen!AA36*1000</f>
        <v>0</v>
      </c>
      <c r="AB36" s="7">
        <f>+[9]Resumen!AB36*1000</f>
        <v>0</v>
      </c>
      <c r="AC36" s="7">
        <f>+[9]Resumen!AC36*1000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+[9]Resumen!E37</f>
        <v>4</v>
      </c>
      <c r="F37" s="7">
        <f>+[9]Resumen!F37*1000</f>
        <v>0</v>
      </c>
      <c r="G37" s="7">
        <f>+[9]Resumen!G37*1000</f>
        <v>0</v>
      </c>
      <c r="H37" s="7">
        <f>+[9]Resumen!H37*1000</f>
        <v>0</v>
      </c>
      <c r="I37" s="7">
        <f>+[9]Resumen!I37*1000</f>
        <v>0</v>
      </c>
      <c r="J37" s="7">
        <f>+[9]Resumen!J37*1000</f>
        <v>0</v>
      </c>
      <c r="K37" s="7">
        <f>+[9]Resumen!K37*1000</f>
        <v>0</v>
      </c>
      <c r="L37" s="7">
        <f>+[9]Resumen!L37*1000</f>
        <v>0</v>
      </c>
      <c r="M37" s="7">
        <f>+[9]Resumen!M37*1000</f>
        <v>159913.25536472042</v>
      </c>
      <c r="N37" s="7">
        <f>+[9]Resumen!N37*1000</f>
        <v>177435.23826216158</v>
      </c>
      <c r="O37" s="7">
        <f>+[9]Resumen!O37*1000</f>
        <v>192318.98774146559</v>
      </c>
      <c r="P37" s="7">
        <f>+[9]Resumen!P37*1000</f>
        <v>203940.60110085766</v>
      </c>
      <c r="Q37" s="7">
        <f>+[9]Resumen!Q37*1000</f>
        <v>215980.75754010287</v>
      </c>
      <c r="R37" s="7">
        <f>+[9]Resumen!R37*1000</f>
        <v>223412.31763055225</v>
      </c>
      <c r="S37" s="7">
        <f>+[9]Resumen!S37*1000</f>
        <v>223799.90235221828</v>
      </c>
      <c r="T37" s="7">
        <f>+[9]Resumen!T37*1000</f>
        <v>217851.03788957844</v>
      </c>
      <c r="U37" s="7">
        <f>+[9]Resumen!U37*1000</f>
        <v>214842.96471532443</v>
      </c>
      <c r="V37" s="7">
        <f>+[9]Resumen!V37*1000</f>
        <v>210619.0953594849</v>
      </c>
      <c r="W37" s="7">
        <f>+[9]Resumen!W37*1000</f>
        <v>0</v>
      </c>
      <c r="X37" s="7">
        <f>+[9]Resumen!X37*1000</f>
        <v>0</v>
      </c>
      <c r="Y37" s="7">
        <f>+[9]Resumen!Y37*1000</f>
        <v>0</v>
      </c>
      <c r="Z37" s="7">
        <f>+[9]Resumen!Z37*1000</f>
        <v>0</v>
      </c>
      <c r="AA37" s="7">
        <f>+[9]Resumen!AA37*1000</f>
        <v>0</v>
      </c>
      <c r="AB37" s="7">
        <f>+[9]Resumen!AB37*1000</f>
        <v>0</v>
      </c>
      <c r="AC37" s="7">
        <f>+[9]Resumen!AC37*1000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+[9]Resumen!E38</f>
        <v>2</v>
      </c>
      <c r="F38" s="7">
        <f>+[9]Resumen!F38*1000</f>
        <v>0</v>
      </c>
      <c r="G38" s="7">
        <f>+[9]Resumen!G38*1000</f>
        <v>0</v>
      </c>
      <c r="H38" s="7">
        <f>+[9]Resumen!H38*1000</f>
        <v>0</v>
      </c>
      <c r="I38" s="7">
        <f>+[9]Resumen!I38*1000</f>
        <v>0</v>
      </c>
      <c r="J38" s="7">
        <f>+[9]Resumen!J38*1000</f>
        <v>0</v>
      </c>
      <c r="K38" s="7">
        <f>+[9]Resumen!K38*1000</f>
        <v>0</v>
      </c>
      <c r="L38" s="7">
        <f>+[9]Resumen!L38*1000</f>
        <v>0</v>
      </c>
      <c r="M38" s="7">
        <f>+[9]Resumen!M38*1000</f>
        <v>167353.0671745319</v>
      </c>
      <c r="N38" s="7">
        <f>+[9]Resumen!N38*1000</f>
        <v>185041.62971670987</v>
      </c>
      <c r="O38" s="7">
        <f>+[9]Resumen!O38*1000</f>
        <v>199149.63776353738</v>
      </c>
      <c r="P38" s="7">
        <f>+[9]Resumen!P38*1000</f>
        <v>214361.27669434517</v>
      </c>
      <c r="Q38" s="7">
        <f>+[9]Resumen!Q38*1000</f>
        <v>229368.6800284104</v>
      </c>
      <c r="R38" s="7">
        <f>+[9]Resumen!R38*1000</f>
        <v>238518.02106800178</v>
      </c>
      <c r="S38" s="7">
        <f>+[9]Resumen!S38*1000</f>
        <v>234212.59226780618</v>
      </c>
      <c r="T38" s="7">
        <f>+[9]Resumen!T38*1000</f>
        <v>226650.06218237666</v>
      </c>
      <c r="U38" s="7">
        <f>+[9]Resumen!U38*1000</f>
        <v>222738.31045333855</v>
      </c>
      <c r="V38" s="7">
        <f>+[9]Resumen!V38*1000</f>
        <v>218562.83847355348</v>
      </c>
      <c r="W38" s="7">
        <f>+[9]Resumen!W38*1000</f>
        <v>0</v>
      </c>
      <c r="X38" s="7">
        <f>+[9]Resumen!X38*1000</f>
        <v>0</v>
      </c>
      <c r="Y38" s="7">
        <f>+[9]Resumen!Y38*1000</f>
        <v>0</v>
      </c>
      <c r="Z38" s="7">
        <f>+[9]Resumen!Z38*1000</f>
        <v>0</v>
      </c>
      <c r="AA38" s="7">
        <f>+[9]Resumen!AA38*1000</f>
        <v>0</v>
      </c>
      <c r="AB38" s="7">
        <f>+[9]Resumen!AB38*1000</f>
        <v>0</v>
      </c>
      <c r="AC38" s="7">
        <f>+[9]Resumen!AC38*1000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+[9]Resumen!E39</f>
        <v>21</v>
      </c>
      <c r="F39" s="7">
        <f>+[9]Resumen!F39*1000</f>
        <v>0</v>
      </c>
      <c r="G39" s="7">
        <f>+[9]Resumen!G39*1000</f>
        <v>0</v>
      </c>
      <c r="H39" s="7">
        <f>+[9]Resumen!H39*1000</f>
        <v>0</v>
      </c>
      <c r="I39" s="7">
        <f>+[9]Resumen!I39*1000</f>
        <v>0</v>
      </c>
      <c r="J39" s="7">
        <f>+[9]Resumen!J39*1000</f>
        <v>0</v>
      </c>
      <c r="K39" s="7">
        <f>+[9]Resumen!K39*1000</f>
        <v>0</v>
      </c>
      <c r="L39" s="7">
        <f>+[9]Resumen!L39*1000</f>
        <v>0</v>
      </c>
      <c r="M39" s="7">
        <f>+[9]Resumen!M39*1000</f>
        <v>225298.84202832606</v>
      </c>
      <c r="N39" s="7">
        <f>+[9]Resumen!N39*1000</f>
        <v>240933.987929275</v>
      </c>
      <c r="O39" s="7">
        <f>+[9]Resumen!O39*1000</f>
        <v>252458.13699887742</v>
      </c>
      <c r="P39" s="7">
        <f>+[9]Resumen!P39*1000</f>
        <v>268395.73435349</v>
      </c>
      <c r="Q39" s="7">
        <f>+[9]Resumen!Q39*1000</f>
        <v>281616.51185895293</v>
      </c>
      <c r="R39" s="7">
        <f>+[9]Resumen!R39*1000</f>
        <v>283684.21049269428</v>
      </c>
      <c r="S39" s="7">
        <f>+[9]Resumen!S39*1000</f>
        <v>280094.08958975453</v>
      </c>
      <c r="T39" s="7">
        <f>+[9]Resumen!T39*1000</f>
        <v>281606.32025392668</v>
      </c>
      <c r="U39" s="7">
        <f>+[9]Resumen!U39*1000</f>
        <v>281648.32154982007</v>
      </c>
      <c r="V39" s="7">
        <f>+[9]Resumen!V39*1000</f>
        <v>275163.7205260804</v>
      </c>
      <c r="W39" s="7">
        <f>+[9]Resumen!W39*1000</f>
        <v>0</v>
      </c>
      <c r="X39" s="7">
        <f>+[9]Resumen!X39*1000</f>
        <v>0</v>
      </c>
      <c r="Y39" s="7">
        <f>+[9]Resumen!Y39*1000</f>
        <v>0</v>
      </c>
      <c r="Z39" s="7">
        <f>+[9]Resumen!Z39*1000</f>
        <v>0</v>
      </c>
      <c r="AA39" s="7">
        <f>+[9]Resumen!AA39*1000</f>
        <v>0</v>
      </c>
      <c r="AB39" s="7">
        <f>+[9]Resumen!AB39*1000</f>
        <v>0</v>
      </c>
      <c r="AC39" s="7">
        <f>+[9]Resumen!AC39*1000</f>
        <v>0</v>
      </c>
      <c r="AD39" s="60">
        <f t="shared" ref="AD39" si="4">SUM(F39:AC39)*E39+SUM(F40:AC40)*E40+SUM(F41:AC41)*E41+SUM(F42:AC42)*E42</f>
        <v>76877432.366935119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+[9]Resumen!E40</f>
        <v>5</v>
      </c>
      <c r="F40" s="7">
        <f>+[9]Resumen!F40*1000</f>
        <v>0</v>
      </c>
      <c r="G40" s="7">
        <f>+[9]Resumen!G40*1000</f>
        <v>0</v>
      </c>
      <c r="H40" s="7">
        <f>+[9]Resumen!H40*1000</f>
        <v>0</v>
      </c>
      <c r="I40" s="7">
        <f>+[9]Resumen!I40*1000</f>
        <v>0</v>
      </c>
      <c r="J40" s="7">
        <f>+[9]Resumen!J40*1000</f>
        <v>0</v>
      </c>
      <c r="K40" s="7">
        <f>+[9]Resumen!K40*1000</f>
        <v>0</v>
      </c>
      <c r="L40" s="7">
        <f>+[9]Resumen!L40*1000</f>
        <v>0</v>
      </c>
      <c r="M40" s="7">
        <f>+[9]Resumen!M40*1000</f>
        <v>206191.16776787784</v>
      </c>
      <c r="N40" s="7">
        <f>+[9]Resumen!N40*1000</f>
        <v>228516.22997424431</v>
      </c>
      <c r="O40" s="7">
        <f>+[9]Resumen!O40*1000</f>
        <v>243840.42439680241</v>
      </c>
      <c r="P40" s="7">
        <f>+[9]Resumen!P40*1000</f>
        <v>258098.44435628899</v>
      </c>
      <c r="Q40" s="7">
        <f>+[9]Resumen!Q40*1000</f>
        <v>267951.00835970172</v>
      </c>
      <c r="R40" s="7">
        <f>+[9]Resumen!R40*1000</f>
        <v>268363.10436811345</v>
      </c>
      <c r="S40" s="7">
        <f>+[9]Resumen!S40*1000</f>
        <v>260182.30944290213</v>
      </c>
      <c r="T40" s="7">
        <f>+[9]Resumen!T40*1000</f>
        <v>251478.81842227813</v>
      </c>
      <c r="U40" s="7">
        <f>+[9]Resumen!U40*1000</f>
        <v>247298.22292732756</v>
      </c>
      <c r="V40" s="7">
        <f>+[9]Resumen!V40*1000</f>
        <v>242840.86893295497</v>
      </c>
      <c r="W40" s="7">
        <f>+[9]Resumen!W40*1000</f>
        <v>0</v>
      </c>
      <c r="X40" s="7">
        <f>+[9]Resumen!X40*1000</f>
        <v>0</v>
      </c>
      <c r="Y40" s="7">
        <f>+[9]Resumen!Y40*1000</f>
        <v>0</v>
      </c>
      <c r="Z40" s="7">
        <f>+[9]Resumen!Z40*1000</f>
        <v>0</v>
      </c>
      <c r="AA40" s="7">
        <f>+[9]Resumen!AA40*1000</f>
        <v>0</v>
      </c>
      <c r="AB40" s="7">
        <f>+[9]Resumen!AB40*1000</f>
        <v>0</v>
      </c>
      <c r="AC40" s="7">
        <f>+[9]Resumen!AC40*1000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+[9]Resumen!E41</f>
        <v>4</v>
      </c>
      <c r="F41" s="7">
        <f>+[9]Resumen!F41*1000</f>
        <v>0</v>
      </c>
      <c r="G41" s="7">
        <f>+[9]Resumen!G41*1000</f>
        <v>0</v>
      </c>
      <c r="H41" s="7">
        <f>+[9]Resumen!H41*1000</f>
        <v>0</v>
      </c>
      <c r="I41" s="7">
        <f>+[9]Resumen!I41*1000</f>
        <v>0</v>
      </c>
      <c r="J41" s="7">
        <f>+[9]Resumen!J41*1000</f>
        <v>0</v>
      </c>
      <c r="K41" s="7">
        <f>+[9]Resumen!K41*1000</f>
        <v>0</v>
      </c>
      <c r="L41" s="7">
        <f>+[9]Resumen!L41*1000</f>
        <v>0</v>
      </c>
      <c r="M41" s="7">
        <f>+[9]Resumen!M41*1000</f>
        <v>164475.54719696686</v>
      </c>
      <c r="N41" s="7">
        <f>+[9]Resumen!N41*1000</f>
        <v>182269.64173628498</v>
      </c>
      <c r="O41" s="7">
        <f>+[9]Resumen!O41*1000</f>
        <v>197221.97670462335</v>
      </c>
      <c r="P41" s="7">
        <f>+[9]Resumen!P41*1000</f>
        <v>210419.38468461719</v>
      </c>
      <c r="Q41" s="7">
        <f>+[9]Resumen!Q41*1000</f>
        <v>223021.28102091016</v>
      </c>
      <c r="R41" s="7">
        <f>+[9]Resumen!R41*1000</f>
        <v>230752.99130637254</v>
      </c>
      <c r="S41" s="7">
        <f>+[9]Resumen!S41*1000</f>
        <v>229879.40204099804</v>
      </c>
      <c r="T41" s="7">
        <f>+[9]Resumen!T41*1000</f>
        <v>224486.18069189013</v>
      </c>
      <c r="U41" s="7">
        <f>+[9]Resumen!U41*1000</f>
        <v>221954.35942473155</v>
      </c>
      <c r="V41" s="7">
        <f>+[9]Resumen!V41*1000</f>
        <v>219202.23143948274</v>
      </c>
      <c r="W41" s="7">
        <f>+[9]Resumen!W41*1000</f>
        <v>0</v>
      </c>
      <c r="X41" s="7">
        <f>+[9]Resumen!X41*1000</f>
        <v>0</v>
      </c>
      <c r="Y41" s="7">
        <f>+[9]Resumen!Y41*1000</f>
        <v>0</v>
      </c>
      <c r="Z41" s="7">
        <f>+[9]Resumen!Z41*1000</f>
        <v>0</v>
      </c>
      <c r="AA41" s="7">
        <f>+[9]Resumen!AA41*1000</f>
        <v>0</v>
      </c>
      <c r="AB41" s="7">
        <f>+[9]Resumen!AB41*1000</f>
        <v>0</v>
      </c>
      <c r="AC41" s="7">
        <f>+[9]Resumen!AC41*1000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+[9]Resumen!E42</f>
        <v>0</v>
      </c>
      <c r="F42" s="7">
        <f>+[9]Resumen!F42*1000</f>
        <v>0</v>
      </c>
      <c r="G42" s="7">
        <f>+[9]Resumen!G42*1000</f>
        <v>0</v>
      </c>
      <c r="H42" s="7">
        <f>+[9]Resumen!H42*1000</f>
        <v>0</v>
      </c>
      <c r="I42" s="7">
        <f>+[9]Resumen!I42*1000</f>
        <v>0</v>
      </c>
      <c r="J42" s="7">
        <f>+[9]Resumen!J42*1000</f>
        <v>0</v>
      </c>
      <c r="K42" s="7">
        <f>+[9]Resumen!K42*1000</f>
        <v>0</v>
      </c>
      <c r="L42" s="7">
        <f>+[9]Resumen!L42*1000</f>
        <v>0</v>
      </c>
      <c r="M42" s="7">
        <f>+[9]Resumen!M42*1000</f>
        <v>0</v>
      </c>
      <c r="N42" s="7">
        <f>+[9]Resumen!N42*1000</f>
        <v>0</v>
      </c>
      <c r="O42" s="7">
        <f>+[9]Resumen!O42*1000</f>
        <v>0</v>
      </c>
      <c r="P42" s="7">
        <f>+[9]Resumen!P42*1000</f>
        <v>0</v>
      </c>
      <c r="Q42" s="7">
        <f>+[9]Resumen!Q42*1000</f>
        <v>0</v>
      </c>
      <c r="R42" s="7">
        <f>+[9]Resumen!R42*1000</f>
        <v>0</v>
      </c>
      <c r="S42" s="7">
        <f>+[9]Resumen!S42*1000</f>
        <v>0</v>
      </c>
      <c r="T42" s="7">
        <f>+[9]Resumen!T42*1000</f>
        <v>0</v>
      </c>
      <c r="U42" s="7">
        <f>+[9]Resumen!U42*1000</f>
        <v>0</v>
      </c>
      <c r="V42" s="7">
        <f>+[9]Resumen!V42*1000</f>
        <v>0</v>
      </c>
      <c r="W42" s="7">
        <f>+[9]Resumen!W42*1000</f>
        <v>0</v>
      </c>
      <c r="X42" s="7">
        <f>+[9]Resumen!X42*1000</f>
        <v>0</v>
      </c>
      <c r="Y42" s="7">
        <f>+[9]Resumen!Y42*1000</f>
        <v>0</v>
      </c>
      <c r="Z42" s="7">
        <f>+[9]Resumen!Z42*1000</f>
        <v>0</v>
      </c>
      <c r="AA42" s="7">
        <f>+[9]Resumen!AA42*1000</f>
        <v>0</v>
      </c>
      <c r="AB42" s="7">
        <f>+[9]Resumen!AB42*1000</f>
        <v>0</v>
      </c>
      <c r="AC42" s="7">
        <f>+[9]Resumen!AC42*1000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+[9]Resumen!E43</f>
        <v>21</v>
      </c>
      <c r="F43" s="7">
        <f>+[9]Resumen!F43*1000</f>
        <v>0</v>
      </c>
      <c r="G43" s="7">
        <f>+[9]Resumen!G43*1000</f>
        <v>0</v>
      </c>
      <c r="H43" s="7">
        <f>+[9]Resumen!H43*1000</f>
        <v>0</v>
      </c>
      <c r="I43" s="7">
        <f>+[9]Resumen!I43*1000</f>
        <v>0</v>
      </c>
      <c r="J43" s="7">
        <f>+[9]Resumen!J43*1000</f>
        <v>0</v>
      </c>
      <c r="K43" s="7">
        <f>+[9]Resumen!K43*1000</f>
        <v>0</v>
      </c>
      <c r="L43" s="7">
        <f>+[9]Resumen!L43*1000</f>
        <v>0</v>
      </c>
      <c r="M43" s="7">
        <f>+[9]Resumen!M43*1000</f>
        <v>218610.72593680478</v>
      </c>
      <c r="N43" s="7">
        <f>+[9]Resumen!N43*1000</f>
        <v>234550.58686086087</v>
      </c>
      <c r="O43" s="7">
        <f>+[9]Resumen!O43*1000</f>
        <v>245547.56147043189</v>
      </c>
      <c r="P43" s="7">
        <f>+[9]Resumen!P43*1000</f>
        <v>260263.03750768778</v>
      </c>
      <c r="Q43" s="7">
        <f>+[9]Resumen!Q43*1000</f>
        <v>273326.44040301663</v>
      </c>
      <c r="R43" s="7">
        <f>+[9]Resumen!R43*1000</f>
        <v>275991.57061301335</v>
      </c>
      <c r="S43" s="7">
        <f>+[9]Resumen!S43*1000</f>
        <v>272124.34313973808</v>
      </c>
      <c r="T43" s="7">
        <f>+[9]Resumen!T43*1000</f>
        <v>273551.88837236975</v>
      </c>
      <c r="U43" s="7">
        <f>+[9]Resumen!U43*1000</f>
        <v>273094.64956179494</v>
      </c>
      <c r="V43" s="7">
        <f>+[9]Resumen!V43*1000</f>
        <v>266807.80159116129</v>
      </c>
      <c r="W43" s="7">
        <f>+[9]Resumen!W43*1000</f>
        <v>0</v>
      </c>
      <c r="X43" s="7">
        <f>+[9]Resumen!X43*1000</f>
        <v>0</v>
      </c>
      <c r="Y43" s="7">
        <f>+[9]Resumen!Y43*1000</f>
        <v>0</v>
      </c>
      <c r="Z43" s="7">
        <f>+[9]Resumen!Z43*1000</f>
        <v>0</v>
      </c>
      <c r="AA43" s="7">
        <f>+[9]Resumen!AA43*1000</f>
        <v>0</v>
      </c>
      <c r="AB43" s="7">
        <f>+[9]Resumen!AB43*1000</f>
        <v>0</v>
      </c>
      <c r="AC43" s="7">
        <f>+[9]Resumen!AC43*1000</f>
        <v>0</v>
      </c>
      <c r="AD43" s="60">
        <f t="shared" ref="AD43" si="5">SUM(F43:AC43)*E43+SUM(F44:AC44)*E44+SUM(F45:AC45)*E45+SUM(F46:AC46)*E46</f>
        <v>76818765.81259799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+[9]Resumen!E44</f>
        <v>4</v>
      </c>
      <c r="F44" s="7">
        <f>+[9]Resumen!F44*1000</f>
        <v>0</v>
      </c>
      <c r="G44" s="7">
        <f>+[9]Resumen!G44*1000</f>
        <v>0</v>
      </c>
      <c r="H44" s="7">
        <f>+[9]Resumen!H44*1000</f>
        <v>0</v>
      </c>
      <c r="I44" s="7">
        <f>+[9]Resumen!I44*1000</f>
        <v>0</v>
      </c>
      <c r="J44" s="7">
        <f>+[9]Resumen!J44*1000</f>
        <v>0</v>
      </c>
      <c r="K44" s="7">
        <f>+[9]Resumen!K44*1000</f>
        <v>0</v>
      </c>
      <c r="L44" s="7">
        <f>+[9]Resumen!L44*1000</f>
        <v>0</v>
      </c>
      <c r="M44" s="7">
        <f>+[9]Resumen!M44*1000</f>
        <v>200762.06185950208</v>
      </c>
      <c r="N44" s="7">
        <f>+[9]Resumen!N44*1000</f>
        <v>222242.16972990858</v>
      </c>
      <c r="O44" s="7">
        <f>+[9]Resumen!O44*1000</f>
        <v>237013.7250904488</v>
      </c>
      <c r="P44" s="7">
        <f>+[9]Resumen!P44*1000</f>
        <v>251186.86452132251</v>
      </c>
      <c r="Q44" s="7">
        <f>+[9]Resumen!Q44*1000</f>
        <v>260958.27035958518</v>
      </c>
      <c r="R44" s="7">
        <f>+[9]Resumen!R44*1000</f>
        <v>261939.84363757927</v>
      </c>
      <c r="S44" s="7">
        <f>+[9]Resumen!S44*1000</f>
        <v>255357.44577222181</v>
      </c>
      <c r="T44" s="7">
        <f>+[9]Resumen!T44*1000</f>
        <v>248589.193558169</v>
      </c>
      <c r="U44" s="7">
        <f>+[9]Resumen!U44*1000</f>
        <v>245837.72402553991</v>
      </c>
      <c r="V44" s="7">
        <f>+[9]Resumen!V44*1000</f>
        <v>242740.14341823751</v>
      </c>
      <c r="W44" s="7">
        <f>+[9]Resumen!W44*1000</f>
        <v>0</v>
      </c>
      <c r="X44" s="7">
        <f>+[9]Resumen!X44*1000</f>
        <v>0</v>
      </c>
      <c r="Y44" s="7">
        <f>+[9]Resumen!Y44*1000</f>
        <v>0</v>
      </c>
      <c r="Z44" s="7">
        <f>+[9]Resumen!Z44*1000</f>
        <v>0</v>
      </c>
      <c r="AA44" s="7">
        <f>+[9]Resumen!AA44*1000</f>
        <v>0</v>
      </c>
      <c r="AB44" s="7">
        <f>+[9]Resumen!AB44*1000</f>
        <v>0</v>
      </c>
      <c r="AC44" s="7">
        <f>+[9]Resumen!AC44*1000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+[9]Resumen!E45</f>
        <v>5</v>
      </c>
      <c r="F45" s="7">
        <f>+[9]Resumen!F45*1000</f>
        <v>0</v>
      </c>
      <c r="G45" s="7">
        <f>+[9]Resumen!G45*1000</f>
        <v>0</v>
      </c>
      <c r="H45" s="7">
        <f>+[9]Resumen!H45*1000</f>
        <v>0</v>
      </c>
      <c r="I45" s="7">
        <f>+[9]Resumen!I45*1000</f>
        <v>0</v>
      </c>
      <c r="J45" s="7">
        <f>+[9]Resumen!J45*1000</f>
        <v>0</v>
      </c>
      <c r="K45" s="7">
        <f>+[9]Resumen!K45*1000</f>
        <v>0</v>
      </c>
      <c r="L45" s="7">
        <f>+[9]Resumen!L45*1000</f>
        <v>0</v>
      </c>
      <c r="M45" s="7">
        <f>+[9]Resumen!M45*1000</f>
        <v>165758.67182167649</v>
      </c>
      <c r="N45" s="7">
        <f>+[9]Resumen!N45*1000</f>
        <v>183354.09103081844</v>
      </c>
      <c r="O45" s="7">
        <f>+[9]Resumen!O45*1000</f>
        <v>197889.38383655468</v>
      </c>
      <c r="P45" s="7">
        <f>+[9]Resumen!P45*1000</f>
        <v>210586.48532721808</v>
      </c>
      <c r="Q45" s="7">
        <f>+[9]Resumen!Q45*1000</f>
        <v>223879.8234245677</v>
      </c>
      <c r="R45" s="7">
        <f>+[9]Resumen!R45*1000</f>
        <v>231019.41409497618</v>
      </c>
      <c r="S45" s="7">
        <f>+[9]Resumen!S45*1000</f>
        <v>229420.66896420874</v>
      </c>
      <c r="T45" s="7">
        <f>+[9]Resumen!T45*1000</f>
        <v>224036.01858421796</v>
      </c>
      <c r="U45" s="7">
        <f>+[9]Resumen!U45*1000</f>
        <v>220768.50399273899</v>
      </c>
      <c r="V45" s="7">
        <f>+[9]Resumen!V45*1000</f>
        <v>216663.59507685958</v>
      </c>
      <c r="W45" s="7">
        <f>+[9]Resumen!W45*1000</f>
        <v>0</v>
      </c>
      <c r="X45" s="7">
        <f>+[9]Resumen!X45*1000</f>
        <v>0</v>
      </c>
      <c r="Y45" s="7">
        <f>+[9]Resumen!Y45*1000</f>
        <v>0</v>
      </c>
      <c r="Z45" s="7">
        <f>+[9]Resumen!Z45*1000</f>
        <v>0</v>
      </c>
      <c r="AA45" s="7">
        <f>+[9]Resumen!AA45*1000</f>
        <v>0</v>
      </c>
      <c r="AB45" s="7">
        <f>+[9]Resumen!AB45*1000</f>
        <v>0</v>
      </c>
      <c r="AC45" s="7">
        <f>+[9]Resumen!AC45*1000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+[9]Resumen!E46</f>
        <v>1</v>
      </c>
      <c r="F46" s="7">
        <f>+[9]Resumen!F46*1000</f>
        <v>0</v>
      </c>
      <c r="G46" s="7">
        <f>+[9]Resumen!G46*1000</f>
        <v>0</v>
      </c>
      <c r="H46" s="7">
        <f>+[9]Resumen!H46*1000</f>
        <v>0</v>
      </c>
      <c r="I46" s="7">
        <f>+[9]Resumen!I46*1000</f>
        <v>0</v>
      </c>
      <c r="J46" s="7">
        <f>+[9]Resumen!J46*1000</f>
        <v>0</v>
      </c>
      <c r="K46" s="7">
        <f>+[9]Resumen!K46*1000</f>
        <v>0</v>
      </c>
      <c r="L46" s="7">
        <f>+[9]Resumen!L46*1000</f>
        <v>0</v>
      </c>
      <c r="M46" s="7">
        <f>+[9]Resumen!M46*1000</f>
        <v>163715.53546596109</v>
      </c>
      <c r="N46" s="7">
        <f>+[9]Resumen!N46*1000</f>
        <v>181305.28355792729</v>
      </c>
      <c r="O46" s="7">
        <f>+[9]Resumen!O46*1000</f>
        <v>194464.43920963691</v>
      </c>
      <c r="P46" s="7">
        <f>+[9]Resumen!P46*1000</f>
        <v>208309.85989894529</v>
      </c>
      <c r="Q46" s="7">
        <f>+[9]Resumen!Q46*1000</f>
        <v>225332.62929406451</v>
      </c>
      <c r="R46" s="7">
        <f>+[9]Resumen!R46*1000</f>
        <v>236159.41496305735</v>
      </c>
      <c r="S46" s="7">
        <f>+[9]Resumen!S46*1000</f>
        <v>235850.70710100036</v>
      </c>
      <c r="T46" s="7">
        <f>+[9]Resumen!T46*1000</f>
        <v>228454.28000268724</v>
      </c>
      <c r="U46" s="7">
        <f>+[9]Resumen!U46*1000</f>
        <v>226230.80079057469</v>
      </c>
      <c r="V46" s="7">
        <f>+[9]Resumen!V46*1000</f>
        <v>224309.09906042082</v>
      </c>
      <c r="W46" s="7">
        <f>+[9]Resumen!W46*1000</f>
        <v>0</v>
      </c>
      <c r="X46" s="7">
        <f>+[9]Resumen!X46*1000</f>
        <v>0</v>
      </c>
      <c r="Y46" s="7">
        <f>+[9]Resumen!Y46*1000</f>
        <v>0</v>
      </c>
      <c r="Z46" s="7">
        <f>+[9]Resumen!Z46*1000</f>
        <v>0</v>
      </c>
      <c r="AA46" s="7">
        <f>+[9]Resumen!AA46*1000</f>
        <v>0</v>
      </c>
      <c r="AB46" s="7">
        <f>+[9]Resumen!AB46*1000</f>
        <v>0</v>
      </c>
      <c r="AC46" s="7">
        <f>+[9]Resumen!AC46*1000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+[9]Resumen!E47</f>
        <v>20</v>
      </c>
      <c r="F47" s="7">
        <f>+[9]Resumen!F47*1000</f>
        <v>0</v>
      </c>
      <c r="G47" s="7">
        <f>+[9]Resumen!G47*1000</f>
        <v>0</v>
      </c>
      <c r="H47" s="7">
        <f>+[9]Resumen!H47*1000</f>
        <v>0</v>
      </c>
      <c r="I47" s="7">
        <f>+[9]Resumen!I47*1000</f>
        <v>0</v>
      </c>
      <c r="J47" s="7">
        <f>+[9]Resumen!J47*1000</f>
        <v>0</v>
      </c>
      <c r="K47" s="7">
        <f>+[9]Resumen!K47*1000</f>
        <v>0</v>
      </c>
      <c r="L47" s="7">
        <f>+[9]Resumen!L47*1000</f>
        <v>0</v>
      </c>
      <c r="M47" s="7">
        <f>+[9]Resumen!M47*1000</f>
        <v>229352.64216224561</v>
      </c>
      <c r="N47" s="7">
        <f>+[9]Resumen!N47*1000</f>
        <v>245435.00154465722</v>
      </c>
      <c r="O47" s="7">
        <f>+[9]Resumen!O47*1000</f>
        <v>256269.29179990487</v>
      </c>
      <c r="P47" s="7">
        <f>+[9]Resumen!P47*1000</f>
        <v>270947.81024399417</v>
      </c>
      <c r="Q47" s="7">
        <f>+[9]Resumen!Q47*1000</f>
        <v>284396.86684337375</v>
      </c>
      <c r="R47" s="7">
        <f>+[9]Resumen!R47*1000</f>
        <v>287566.59567829594</v>
      </c>
      <c r="S47" s="7">
        <f>+[9]Resumen!S47*1000</f>
        <v>283027.1545906667</v>
      </c>
      <c r="T47" s="7">
        <f>+[9]Resumen!T47*1000</f>
        <v>283476.39220425667</v>
      </c>
      <c r="U47" s="7">
        <f>+[9]Resumen!U47*1000</f>
        <v>283007.87545268366</v>
      </c>
      <c r="V47" s="7">
        <f>+[9]Resumen!V47*1000</f>
        <v>277711.11408684443</v>
      </c>
      <c r="W47" s="7">
        <f>+[9]Resumen!W47*1000</f>
        <v>0</v>
      </c>
      <c r="X47" s="7">
        <f>+[9]Resumen!X47*1000</f>
        <v>0</v>
      </c>
      <c r="Y47" s="7">
        <f>+[9]Resumen!Y47*1000</f>
        <v>0</v>
      </c>
      <c r="Z47" s="7">
        <f>+[9]Resumen!Z47*1000</f>
        <v>0</v>
      </c>
      <c r="AA47" s="7">
        <f>+[9]Resumen!AA47*1000</f>
        <v>0</v>
      </c>
      <c r="AB47" s="7">
        <f>+[9]Resumen!AB47*1000</f>
        <v>0</v>
      </c>
      <c r="AC47" s="7">
        <f>+[9]Resumen!AC47*1000</f>
        <v>0</v>
      </c>
      <c r="AD47" s="60">
        <f t="shared" ref="AD47" si="6">SUM(F47:AC47)*E47+SUM(F48:AC48)*E48+SUM(F49:AC49)*E49+SUM(F50:AC50)*E50</f>
        <v>76985876.3386392</v>
      </c>
      <c r="AF47" s="8"/>
      <c r="AG47" s="8">
        <f>130*3000</f>
        <v>390000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+[9]Resumen!E48</f>
        <v>4</v>
      </c>
      <c r="F48" s="7">
        <f>+[9]Resumen!F48*1000</f>
        <v>0</v>
      </c>
      <c r="G48" s="7">
        <f>+[9]Resumen!G48*1000</f>
        <v>0</v>
      </c>
      <c r="H48" s="7">
        <f>+[9]Resumen!H48*1000</f>
        <v>0</v>
      </c>
      <c r="I48" s="7">
        <f>+[9]Resumen!I48*1000</f>
        <v>0</v>
      </c>
      <c r="J48" s="7">
        <f>+[9]Resumen!J48*1000</f>
        <v>0</v>
      </c>
      <c r="K48" s="7">
        <f>+[9]Resumen!K48*1000</f>
        <v>0</v>
      </c>
      <c r="L48" s="7">
        <f>+[9]Resumen!L48*1000</f>
        <v>0</v>
      </c>
      <c r="M48" s="7">
        <f>+[9]Resumen!M48*1000</f>
        <v>209688.69072277978</v>
      </c>
      <c r="N48" s="7">
        <f>+[9]Resumen!N48*1000</f>
        <v>232323.80873461324</v>
      </c>
      <c r="O48" s="7">
        <f>+[9]Resumen!O48*1000</f>
        <v>246232.72021894893</v>
      </c>
      <c r="P48" s="7">
        <f>+[9]Resumen!P48*1000</f>
        <v>258995.54725292488</v>
      </c>
      <c r="Q48" s="7">
        <f>+[9]Resumen!Q48*1000</f>
        <v>268077.32262908807</v>
      </c>
      <c r="R48" s="7">
        <f>+[9]Resumen!R48*1000</f>
        <v>269063.70904054138</v>
      </c>
      <c r="S48" s="7">
        <f>+[9]Resumen!S48*1000</f>
        <v>262078.38694619216</v>
      </c>
      <c r="T48" s="7">
        <f>+[9]Resumen!T48*1000</f>
        <v>255038.51526696797</v>
      </c>
      <c r="U48" s="7">
        <f>+[9]Resumen!U48*1000</f>
        <v>251403.37793155981</v>
      </c>
      <c r="V48" s="7">
        <f>+[9]Resumen!V48*1000</f>
        <v>248051.34196744219</v>
      </c>
      <c r="W48" s="7">
        <f>+[9]Resumen!W48*1000</f>
        <v>0</v>
      </c>
      <c r="X48" s="7">
        <f>+[9]Resumen!X48*1000</f>
        <v>0</v>
      </c>
      <c r="Y48" s="7">
        <f>+[9]Resumen!Y48*1000</f>
        <v>0</v>
      </c>
      <c r="Z48" s="7">
        <f>+[9]Resumen!Z48*1000</f>
        <v>0</v>
      </c>
      <c r="AA48" s="7">
        <f>+[9]Resumen!AA48*1000</f>
        <v>0</v>
      </c>
      <c r="AB48" s="7">
        <f>+[9]Resumen!AB48*1000</f>
        <v>0</v>
      </c>
      <c r="AC48" s="7">
        <f>+[9]Resumen!AC48*1000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+[9]Resumen!E49</f>
        <v>4</v>
      </c>
      <c r="F49" s="7">
        <f>+[9]Resumen!F49*1000</f>
        <v>0</v>
      </c>
      <c r="G49" s="7">
        <f>+[9]Resumen!G49*1000</f>
        <v>0</v>
      </c>
      <c r="H49" s="7">
        <f>+[9]Resumen!H49*1000</f>
        <v>0</v>
      </c>
      <c r="I49" s="7">
        <f>+[9]Resumen!I49*1000</f>
        <v>0</v>
      </c>
      <c r="J49" s="7">
        <f>+[9]Resumen!J49*1000</f>
        <v>0</v>
      </c>
      <c r="K49" s="7">
        <f>+[9]Resumen!K49*1000</f>
        <v>0</v>
      </c>
      <c r="L49" s="7">
        <f>+[9]Resumen!L49*1000</f>
        <v>0</v>
      </c>
      <c r="M49" s="7">
        <f>+[9]Resumen!M49*1000</f>
        <v>169153.64909485492</v>
      </c>
      <c r="N49" s="7">
        <f>+[9]Resumen!N49*1000</f>
        <v>187729.51977382405</v>
      </c>
      <c r="O49" s="7">
        <f>+[9]Resumen!O49*1000</f>
        <v>203410.44032540952</v>
      </c>
      <c r="P49" s="7">
        <f>+[9]Resumen!P49*1000</f>
        <v>215563.33405140441</v>
      </c>
      <c r="Q49" s="7">
        <f>+[9]Resumen!Q49*1000</f>
        <v>227713.73363868831</v>
      </c>
      <c r="R49" s="7">
        <f>+[9]Resumen!R49*1000</f>
        <v>235778.01127137023</v>
      </c>
      <c r="S49" s="7">
        <f>+[9]Resumen!S49*1000</f>
        <v>236672.5113956978</v>
      </c>
      <c r="T49" s="7">
        <f>+[9]Resumen!T49*1000</f>
        <v>231635.57277317977</v>
      </c>
      <c r="U49" s="7">
        <f>+[9]Resumen!U49*1000</f>
        <v>227025.39569469425</v>
      </c>
      <c r="V49" s="7">
        <f>+[9]Resumen!V49*1000</f>
        <v>222697.47308884369</v>
      </c>
      <c r="W49" s="7">
        <f>+[9]Resumen!W49*1000</f>
        <v>0</v>
      </c>
      <c r="X49" s="7">
        <f>+[9]Resumen!X49*1000</f>
        <v>0</v>
      </c>
      <c r="Y49" s="7">
        <f>+[9]Resumen!Y49*1000</f>
        <v>0</v>
      </c>
      <c r="Z49" s="7">
        <f>+[9]Resumen!Z49*1000</f>
        <v>0</v>
      </c>
      <c r="AA49" s="7">
        <f>+[9]Resumen!AA49*1000</f>
        <v>0</v>
      </c>
      <c r="AB49" s="7">
        <f>+[9]Resumen!AB49*1000</f>
        <v>0</v>
      </c>
      <c r="AC49" s="7">
        <f>+[9]Resumen!AC49*1000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+[9]Resumen!E50</f>
        <v>2</v>
      </c>
      <c r="F50" s="7">
        <f>+[9]Resumen!F50*1000</f>
        <v>0</v>
      </c>
      <c r="G50" s="7">
        <f>+[9]Resumen!G50*1000</f>
        <v>0</v>
      </c>
      <c r="H50" s="7">
        <f>+[9]Resumen!H50*1000</f>
        <v>0</v>
      </c>
      <c r="I50" s="7">
        <f>+[9]Resumen!I50*1000</f>
        <v>0</v>
      </c>
      <c r="J50" s="7">
        <f>+[9]Resumen!J50*1000</f>
        <v>0</v>
      </c>
      <c r="K50" s="7">
        <f>+[9]Resumen!K50*1000</f>
        <v>0</v>
      </c>
      <c r="L50" s="7">
        <f>+[9]Resumen!L50*1000</f>
        <v>0</v>
      </c>
      <c r="M50" s="7">
        <f>+[9]Resumen!M50*1000</f>
        <v>165309.52288857405</v>
      </c>
      <c r="N50" s="7">
        <f>+[9]Resumen!N50*1000</f>
        <v>184205.70305437766</v>
      </c>
      <c r="O50" s="7">
        <f>+[9]Resumen!O50*1000</f>
        <v>199467.62160458713</v>
      </c>
      <c r="P50" s="7">
        <f>+[9]Resumen!P50*1000</f>
        <v>215486.34165215478</v>
      </c>
      <c r="Q50" s="7">
        <f>+[9]Resumen!Q50*1000</f>
        <v>230867.24946348288</v>
      </c>
      <c r="R50" s="7">
        <f>+[9]Resumen!R50*1000</f>
        <v>240924.02689351622</v>
      </c>
      <c r="S50" s="7">
        <f>+[9]Resumen!S50*1000</f>
        <v>240437.30182084683</v>
      </c>
      <c r="T50" s="7">
        <f>+[9]Resumen!T50*1000</f>
        <v>233343.71415333031</v>
      </c>
      <c r="U50" s="7">
        <f>+[9]Resumen!U50*1000</f>
        <v>228286.47878423514</v>
      </c>
      <c r="V50" s="7">
        <f>+[9]Resumen!V50*1000</f>
        <v>226036.63929721247</v>
      </c>
      <c r="W50" s="7">
        <f>+[9]Resumen!W50*1000</f>
        <v>0</v>
      </c>
      <c r="X50" s="7">
        <f>+[9]Resumen!X50*1000</f>
        <v>0</v>
      </c>
      <c r="Y50" s="7">
        <f>+[9]Resumen!Y50*1000</f>
        <v>0</v>
      </c>
      <c r="Z50" s="7">
        <f>+[9]Resumen!Z50*1000</f>
        <v>0</v>
      </c>
      <c r="AA50" s="7">
        <f>+[9]Resumen!AA50*1000</f>
        <v>0</v>
      </c>
      <c r="AB50" s="7">
        <f>+[9]Resumen!AB50*1000</f>
        <v>0</v>
      </c>
      <c r="AC50" s="7">
        <f>+[9]Resumen!AC50*1000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+[9]Resumen!E51</f>
        <v>19</v>
      </c>
      <c r="F51" s="7">
        <f>+[9]Resumen!F51*1000</f>
        <v>0</v>
      </c>
      <c r="G51" s="7">
        <f>+[9]Resumen!G51*1000</f>
        <v>0</v>
      </c>
      <c r="H51" s="7">
        <f>+[9]Resumen!H51*1000</f>
        <v>0</v>
      </c>
      <c r="I51" s="7">
        <f>+[9]Resumen!I51*1000</f>
        <v>0</v>
      </c>
      <c r="J51" s="7">
        <f>+[9]Resumen!J51*1000</f>
        <v>0</v>
      </c>
      <c r="K51" s="7">
        <f>+[9]Resumen!K51*1000</f>
        <v>0</v>
      </c>
      <c r="L51" s="7">
        <f>+[9]Resumen!L51*1000</f>
        <v>0</v>
      </c>
      <c r="M51" s="7">
        <f>+[9]Resumen!M51*1000</f>
        <v>212774.63423310962</v>
      </c>
      <c r="N51" s="7">
        <f>+[9]Resumen!N51*1000</f>
        <v>232552.30287871204</v>
      </c>
      <c r="O51" s="7">
        <f>+[9]Resumen!O51*1000</f>
        <v>244577.86916075097</v>
      </c>
      <c r="P51" s="7">
        <f>+[9]Resumen!P51*1000</f>
        <v>258248.12815114451</v>
      </c>
      <c r="Q51" s="7">
        <f>+[9]Resumen!Q51*1000</f>
        <v>271229.70334364258</v>
      </c>
      <c r="R51" s="7">
        <f>+[9]Resumen!R51*1000</f>
        <v>276479.61924195872</v>
      </c>
      <c r="S51" s="7">
        <f>+[9]Resumen!S51*1000</f>
        <v>272962.56884370872</v>
      </c>
      <c r="T51" s="7">
        <f>+[9]Resumen!T51*1000</f>
        <v>273045.68684763263</v>
      </c>
      <c r="U51" s="7">
        <f>+[9]Resumen!U51*1000</f>
        <v>272038.28316064132</v>
      </c>
      <c r="V51" s="7">
        <f>+[9]Resumen!V51*1000</f>
        <v>266199.50887219916</v>
      </c>
      <c r="W51" s="7">
        <f>+[9]Resumen!W51*1000</f>
        <v>0</v>
      </c>
      <c r="X51" s="7">
        <f>+[9]Resumen!X51*1000</f>
        <v>0</v>
      </c>
      <c r="Y51" s="7">
        <f>+[9]Resumen!Y51*1000</f>
        <v>0</v>
      </c>
      <c r="Z51" s="7">
        <f>+[9]Resumen!Z51*1000</f>
        <v>0</v>
      </c>
      <c r="AA51" s="7">
        <f>+[9]Resumen!AA51*1000</f>
        <v>0</v>
      </c>
      <c r="AB51" s="7">
        <f>+[9]Resumen!AB51*1000</f>
        <v>0</v>
      </c>
      <c r="AC51" s="7">
        <f>+[9]Resumen!AC51*1000</f>
        <v>0</v>
      </c>
      <c r="AD51" s="60">
        <f t="shared" ref="AD51" si="7">SUM(F51:AC51)*E51+SUM(F52:AC52)*E52+SUM(F53:AC53)*E53+SUM(F54:AC54)*E54</f>
        <v>75495896.114260122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+[9]Resumen!E52</f>
        <v>5</v>
      </c>
      <c r="F52" s="7">
        <f>+[9]Resumen!F52*1000</f>
        <v>0</v>
      </c>
      <c r="G52" s="7">
        <f>+[9]Resumen!G52*1000</f>
        <v>0</v>
      </c>
      <c r="H52" s="7">
        <f>+[9]Resumen!H52*1000</f>
        <v>0</v>
      </c>
      <c r="I52" s="7">
        <f>+[9]Resumen!I52*1000</f>
        <v>0</v>
      </c>
      <c r="J52" s="7">
        <f>+[9]Resumen!J52*1000</f>
        <v>0</v>
      </c>
      <c r="K52" s="7">
        <f>+[9]Resumen!K52*1000</f>
        <v>0</v>
      </c>
      <c r="L52" s="7">
        <f>+[9]Resumen!L52*1000</f>
        <v>0</v>
      </c>
      <c r="M52" s="7">
        <f>+[9]Resumen!M52*1000</f>
        <v>199736.0884784277</v>
      </c>
      <c r="N52" s="7">
        <f>+[9]Resumen!N52*1000</f>
        <v>221580.45810228711</v>
      </c>
      <c r="O52" s="7">
        <f>+[9]Resumen!O52*1000</f>
        <v>236227.32204636236</v>
      </c>
      <c r="P52" s="7">
        <f>+[9]Resumen!P52*1000</f>
        <v>248037.6097939524</v>
      </c>
      <c r="Q52" s="7">
        <f>+[9]Resumen!Q52*1000</f>
        <v>256524.72707610702</v>
      </c>
      <c r="R52" s="7">
        <f>+[9]Resumen!R52*1000</f>
        <v>258183.83258069304</v>
      </c>
      <c r="S52" s="7">
        <f>+[9]Resumen!S52*1000</f>
        <v>252976.33921058587</v>
      </c>
      <c r="T52" s="7">
        <f>+[9]Resumen!T52*1000</f>
        <v>247119.17258903573</v>
      </c>
      <c r="U52" s="7">
        <f>+[9]Resumen!U52*1000</f>
        <v>242948.8972858183</v>
      </c>
      <c r="V52" s="7">
        <f>+[9]Resumen!V52*1000</f>
        <v>238720.42541267737</v>
      </c>
      <c r="W52" s="7">
        <f>+[9]Resumen!W52*1000</f>
        <v>0</v>
      </c>
      <c r="X52" s="7">
        <f>+[9]Resumen!X52*1000</f>
        <v>0</v>
      </c>
      <c r="Y52" s="7">
        <f>+[9]Resumen!Y52*1000</f>
        <v>0</v>
      </c>
      <c r="Z52" s="7">
        <f>+[9]Resumen!Z52*1000</f>
        <v>0</v>
      </c>
      <c r="AA52" s="7">
        <f>+[9]Resumen!AA52*1000</f>
        <v>0</v>
      </c>
      <c r="AB52" s="7">
        <f>+[9]Resumen!AB52*1000</f>
        <v>0</v>
      </c>
      <c r="AC52" s="7">
        <f>+[9]Resumen!AC52*1000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+[9]Resumen!E53</f>
        <v>5</v>
      </c>
      <c r="F53" s="7">
        <f>+[9]Resumen!F53*1000</f>
        <v>0</v>
      </c>
      <c r="G53" s="7">
        <f>+[9]Resumen!G53*1000</f>
        <v>0</v>
      </c>
      <c r="H53" s="7">
        <f>+[9]Resumen!H53*1000</f>
        <v>0</v>
      </c>
      <c r="I53" s="7">
        <f>+[9]Resumen!I53*1000</f>
        <v>0</v>
      </c>
      <c r="J53" s="7">
        <f>+[9]Resumen!J53*1000</f>
        <v>0</v>
      </c>
      <c r="K53" s="7">
        <f>+[9]Resumen!K53*1000</f>
        <v>0</v>
      </c>
      <c r="L53" s="7">
        <f>+[9]Resumen!L53*1000</f>
        <v>0</v>
      </c>
      <c r="M53" s="7">
        <f>+[9]Resumen!M53*1000</f>
        <v>166200.13437352463</v>
      </c>
      <c r="N53" s="7">
        <f>+[9]Resumen!N53*1000</f>
        <v>184337.13418789287</v>
      </c>
      <c r="O53" s="7">
        <f>+[9]Resumen!O53*1000</f>
        <v>199516.86587929726</v>
      </c>
      <c r="P53" s="7">
        <f>+[9]Resumen!P53*1000</f>
        <v>211956.173192791</v>
      </c>
      <c r="Q53" s="7">
        <f>+[9]Resumen!Q53*1000</f>
        <v>223467.20641829187</v>
      </c>
      <c r="R53" s="7">
        <f>+[9]Resumen!R53*1000</f>
        <v>230517.78848339416</v>
      </c>
      <c r="S53" s="7">
        <f>+[9]Resumen!S53*1000</f>
        <v>231034.51859901004</v>
      </c>
      <c r="T53" s="7">
        <f>+[9]Resumen!T53*1000</f>
        <v>226589.01675179214</v>
      </c>
      <c r="U53" s="7">
        <f>+[9]Resumen!U53*1000</f>
        <v>224137.95902161422</v>
      </c>
      <c r="V53" s="7">
        <f>+[9]Resumen!V53*1000</f>
        <v>220920.47574417194</v>
      </c>
      <c r="W53" s="7">
        <f>+[9]Resumen!W53*1000</f>
        <v>0</v>
      </c>
      <c r="X53" s="7">
        <f>+[9]Resumen!X53*1000</f>
        <v>0</v>
      </c>
      <c r="Y53" s="7">
        <f>+[9]Resumen!Y53*1000</f>
        <v>0</v>
      </c>
      <c r="Z53" s="7">
        <f>+[9]Resumen!Z53*1000</f>
        <v>0</v>
      </c>
      <c r="AA53" s="7">
        <f>+[9]Resumen!AA53*1000</f>
        <v>0</v>
      </c>
      <c r="AB53" s="7">
        <f>+[9]Resumen!AB53*1000</f>
        <v>0</v>
      </c>
      <c r="AC53" s="7">
        <f>+[9]Resumen!AC53*1000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+[9]Resumen!E54</f>
        <v>2</v>
      </c>
      <c r="F54" s="7">
        <f>+[9]Resumen!F54*1000</f>
        <v>0</v>
      </c>
      <c r="G54" s="7">
        <f>+[9]Resumen!G54*1000</f>
        <v>0</v>
      </c>
      <c r="H54" s="7">
        <f>+[9]Resumen!H54*1000</f>
        <v>0</v>
      </c>
      <c r="I54" s="7">
        <f>+[9]Resumen!I54*1000</f>
        <v>0</v>
      </c>
      <c r="J54" s="7">
        <f>+[9]Resumen!J54*1000</f>
        <v>0</v>
      </c>
      <c r="K54" s="7">
        <f>+[9]Resumen!K54*1000</f>
        <v>0</v>
      </c>
      <c r="L54" s="7">
        <f>+[9]Resumen!L54*1000</f>
        <v>0</v>
      </c>
      <c r="M54" s="7">
        <f>+[9]Resumen!M54*1000</f>
        <v>149729.2613413404</v>
      </c>
      <c r="N54" s="7">
        <f>+[9]Resumen!N54*1000</f>
        <v>163361.2347482669</v>
      </c>
      <c r="O54" s="7">
        <f>+[9]Resumen!O54*1000</f>
        <v>177049.32516768496</v>
      </c>
      <c r="P54" s="7">
        <f>+[9]Resumen!P54*1000</f>
        <v>190206.83579635146</v>
      </c>
      <c r="Q54" s="7">
        <f>+[9]Resumen!Q54*1000</f>
        <v>202731.15665918947</v>
      </c>
      <c r="R54" s="7">
        <f>+[9]Resumen!R54*1000</f>
        <v>212173.40713198922</v>
      </c>
      <c r="S54" s="7">
        <f>+[9]Resumen!S54*1000</f>
        <v>213524.05751390758</v>
      </c>
      <c r="T54" s="7">
        <f>+[9]Resumen!T54*1000</f>
        <v>209917.19595193953</v>
      </c>
      <c r="U54" s="7">
        <f>+[9]Resumen!U54*1000</f>
        <v>208976.04324014907</v>
      </c>
      <c r="V54" s="7">
        <f>+[9]Resumen!V54*1000</f>
        <v>207420.28154167405</v>
      </c>
      <c r="W54" s="7">
        <f>+[9]Resumen!W54*1000</f>
        <v>0</v>
      </c>
      <c r="X54" s="7">
        <f>+[9]Resumen!X54*1000</f>
        <v>0</v>
      </c>
      <c r="Y54" s="7">
        <f>+[9]Resumen!Y54*1000</f>
        <v>0</v>
      </c>
      <c r="Z54" s="7">
        <f>+[9]Resumen!Z54*1000</f>
        <v>0</v>
      </c>
      <c r="AA54" s="7">
        <f>+[9]Resumen!AA54*1000</f>
        <v>0</v>
      </c>
      <c r="AB54" s="7">
        <f>+[9]Resumen!AB54*1000</f>
        <v>0</v>
      </c>
      <c r="AC54" s="7">
        <f>+[9]Resumen!AC54*1000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907717618.577685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C40A-7B68-432E-9CCF-8575D476A9DF}">
  <dimension ref="C1:BD57"/>
  <sheetViews>
    <sheetView showGridLines="0" topLeftCell="H41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2035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+[10]Resumen!E7</f>
        <v>21</v>
      </c>
      <c r="F7" s="7">
        <f>+[10]Resumen!F7*1000</f>
        <v>0</v>
      </c>
      <c r="G7" s="7">
        <f>+[10]Resumen!G7*1000</f>
        <v>0</v>
      </c>
      <c r="H7" s="7">
        <f>+[10]Resumen!H7*1000</f>
        <v>0</v>
      </c>
      <c r="I7" s="7">
        <f>+[10]Resumen!I7*1000</f>
        <v>0</v>
      </c>
      <c r="J7" s="7">
        <f>+[10]Resumen!J7*1000</f>
        <v>0</v>
      </c>
      <c r="K7" s="7">
        <f>+[10]Resumen!K7*1000</f>
        <v>0</v>
      </c>
      <c r="L7" s="7">
        <f>+[10]Resumen!L7*1000</f>
        <v>0</v>
      </c>
      <c r="M7" s="7">
        <f>+[10]Resumen!M7*1000</f>
        <v>213094.12304028636</v>
      </c>
      <c r="N7" s="7">
        <f>+[10]Resumen!N7*1000</f>
        <v>230905.53028134844</v>
      </c>
      <c r="O7" s="7">
        <f>+[10]Resumen!O7*1000</f>
        <v>242664.3899213245</v>
      </c>
      <c r="P7" s="7">
        <f>+[10]Resumen!P7*1000</f>
        <v>258124.15272298618</v>
      </c>
      <c r="Q7" s="7">
        <f>+[10]Resumen!Q7*1000</f>
        <v>271498.2264595243</v>
      </c>
      <c r="R7" s="7">
        <f>+[10]Resumen!R7*1000</f>
        <v>276070.98782261915</v>
      </c>
      <c r="S7" s="7">
        <f>+[10]Resumen!S7*1000</f>
        <v>273395.00221651496</v>
      </c>
      <c r="T7" s="7">
        <f>+[10]Resumen!T7*1000</f>
        <v>275258.36091091554</v>
      </c>
      <c r="U7" s="7">
        <f>+[10]Resumen!U7*1000</f>
        <v>274914.2390919156</v>
      </c>
      <c r="V7" s="7">
        <f>+[10]Resumen!V7*1000</f>
        <v>268577.25027029816</v>
      </c>
      <c r="W7" s="7">
        <f>+[10]Resumen!W7*1000</f>
        <v>0</v>
      </c>
      <c r="X7" s="7">
        <f>+[10]Resumen!X7*1000</f>
        <v>0</v>
      </c>
      <c r="Y7" s="7">
        <f>+[10]Resumen!Y7*1000</f>
        <v>0</v>
      </c>
      <c r="Z7" s="7">
        <f>+[10]Resumen!Z7*1000</f>
        <v>0</v>
      </c>
      <c r="AA7" s="7">
        <f>+[10]Resumen!AA7*1000</f>
        <v>0</v>
      </c>
      <c r="AB7" s="7">
        <f>+[10]Resumen!AB7*1000</f>
        <v>0</v>
      </c>
      <c r="AC7" s="7">
        <f>+[10]Resumen!AC7*1000</f>
        <v>0</v>
      </c>
      <c r="AD7" s="60">
        <f>SUM(F7:AC7)*E7+SUM(F8:AC8)*E8+SUM(F9:AC9)*E9+SUM(F10:AC10)*E10</f>
        <v>75678112.95977135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+[10]Resumen!E8</f>
        <v>4</v>
      </c>
      <c r="F8" s="7">
        <f>+[10]Resumen!F8*1000</f>
        <v>0</v>
      </c>
      <c r="G8" s="7">
        <f>+[10]Resumen!G8*1000</f>
        <v>0</v>
      </c>
      <c r="H8" s="7">
        <f>+[10]Resumen!H8*1000</f>
        <v>0</v>
      </c>
      <c r="I8" s="7">
        <f>+[10]Resumen!I8*1000</f>
        <v>0</v>
      </c>
      <c r="J8" s="7">
        <f>+[10]Resumen!J8*1000</f>
        <v>0</v>
      </c>
      <c r="K8" s="7">
        <f>+[10]Resumen!K8*1000</f>
        <v>0</v>
      </c>
      <c r="L8" s="7">
        <f>+[10]Resumen!L8*1000</f>
        <v>0</v>
      </c>
      <c r="M8" s="7">
        <f>+[10]Resumen!M8*1000</f>
        <v>193171.17266679928</v>
      </c>
      <c r="N8" s="7">
        <f>+[10]Resumen!N8*1000</f>
        <v>213902.75486668228</v>
      </c>
      <c r="O8" s="7">
        <f>+[10]Resumen!O8*1000</f>
        <v>229187.93797375806</v>
      </c>
      <c r="P8" s="7">
        <f>+[10]Resumen!P8*1000</f>
        <v>242385.25187220439</v>
      </c>
      <c r="Q8" s="7">
        <f>+[10]Resumen!Q8*1000</f>
        <v>253335.86259423778</v>
      </c>
      <c r="R8" s="7">
        <f>+[10]Resumen!R8*1000</f>
        <v>255727.8053816696</v>
      </c>
      <c r="S8" s="7">
        <f>+[10]Resumen!S8*1000</f>
        <v>250700.30592344108</v>
      </c>
      <c r="T8" s="7">
        <f>+[10]Resumen!T8*1000</f>
        <v>244672.68721200613</v>
      </c>
      <c r="U8" s="7">
        <f>+[10]Resumen!U8*1000</f>
        <v>241554.14796762075</v>
      </c>
      <c r="V8" s="7">
        <f>+[10]Resumen!V8*1000</f>
        <v>238182.58812931221</v>
      </c>
      <c r="W8" s="7">
        <f>+[10]Resumen!W8*1000</f>
        <v>0</v>
      </c>
      <c r="X8" s="7">
        <f>+[10]Resumen!X8*1000</f>
        <v>0</v>
      </c>
      <c r="Y8" s="7">
        <f>+[10]Resumen!Y8*1000</f>
        <v>0</v>
      </c>
      <c r="Z8" s="7">
        <f>+[10]Resumen!Z8*1000</f>
        <v>0</v>
      </c>
      <c r="AA8" s="7">
        <f>+[10]Resumen!AA8*1000</f>
        <v>0</v>
      </c>
      <c r="AB8" s="7">
        <f>+[10]Resumen!AB8*1000</f>
        <v>0</v>
      </c>
      <c r="AC8" s="7">
        <f>+[10]Resumen!AC8*1000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+[10]Resumen!E9</f>
        <v>4</v>
      </c>
      <c r="F9" s="7">
        <f>+[10]Resumen!F9*1000</f>
        <v>0</v>
      </c>
      <c r="G9" s="7">
        <f>+[10]Resumen!G9*1000</f>
        <v>0</v>
      </c>
      <c r="H9" s="7">
        <f>+[10]Resumen!H9*1000</f>
        <v>0</v>
      </c>
      <c r="I9" s="7">
        <f>+[10]Resumen!I9*1000</f>
        <v>0</v>
      </c>
      <c r="J9" s="7">
        <f>+[10]Resumen!J9*1000</f>
        <v>0</v>
      </c>
      <c r="K9" s="7">
        <f>+[10]Resumen!K9*1000</f>
        <v>0</v>
      </c>
      <c r="L9" s="7">
        <f>+[10]Resumen!L9*1000</f>
        <v>0</v>
      </c>
      <c r="M9" s="7">
        <f>+[10]Resumen!M9*1000</f>
        <v>160323.40862634746</v>
      </c>
      <c r="N9" s="7">
        <f>+[10]Resumen!N9*1000</f>
        <v>176601.48884626458</v>
      </c>
      <c r="O9" s="7">
        <f>+[10]Resumen!O9*1000</f>
        <v>191554.51989685779</v>
      </c>
      <c r="P9" s="7">
        <f>+[10]Resumen!P9*1000</f>
        <v>203341.53769488601</v>
      </c>
      <c r="Q9" s="7">
        <f>+[10]Resumen!Q9*1000</f>
        <v>216778.55671179233</v>
      </c>
      <c r="R9" s="7">
        <f>+[10]Resumen!R9*1000</f>
        <v>225486.49254287555</v>
      </c>
      <c r="S9" s="7">
        <f>+[10]Resumen!S9*1000</f>
        <v>227301.35909101253</v>
      </c>
      <c r="T9" s="7">
        <f>+[10]Resumen!T9*1000</f>
        <v>223300.03436756486</v>
      </c>
      <c r="U9" s="7">
        <f>+[10]Resumen!U9*1000</f>
        <v>219750.30036456528</v>
      </c>
      <c r="V9" s="7">
        <f>+[10]Resumen!V9*1000</f>
        <v>216400.96692329802</v>
      </c>
      <c r="W9" s="7">
        <f>+[10]Resumen!W9*1000</f>
        <v>0</v>
      </c>
      <c r="X9" s="7">
        <f>+[10]Resumen!X9*1000</f>
        <v>0</v>
      </c>
      <c r="Y9" s="7">
        <f>+[10]Resumen!Y9*1000</f>
        <v>0</v>
      </c>
      <c r="Z9" s="7">
        <f>+[10]Resumen!Z9*1000</f>
        <v>0</v>
      </c>
      <c r="AA9" s="7">
        <f>+[10]Resumen!AA9*1000</f>
        <v>0</v>
      </c>
      <c r="AB9" s="7">
        <f>+[10]Resumen!AB9*1000</f>
        <v>0</v>
      </c>
      <c r="AC9" s="7">
        <f>+[10]Resumen!AC9*1000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+[10]Resumen!E10</f>
        <v>2</v>
      </c>
      <c r="F10" s="7">
        <f>+[10]Resumen!F10*1000</f>
        <v>0</v>
      </c>
      <c r="G10" s="7">
        <f>+[10]Resumen!G10*1000</f>
        <v>0</v>
      </c>
      <c r="H10" s="7">
        <f>+[10]Resumen!H10*1000</f>
        <v>0</v>
      </c>
      <c r="I10" s="7">
        <f>+[10]Resumen!I10*1000</f>
        <v>0</v>
      </c>
      <c r="J10" s="7">
        <f>+[10]Resumen!J10*1000</f>
        <v>0</v>
      </c>
      <c r="K10" s="7">
        <f>+[10]Resumen!K10*1000</f>
        <v>0</v>
      </c>
      <c r="L10" s="7">
        <f>+[10]Resumen!L10*1000</f>
        <v>0</v>
      </c>
      <c r="M10" s="7">
        <f>+[10]Resumen!M10*1000</f>
        <v>143492.50156028278</v>
      </c>
      <c r="N10" s="7">
        <f>+[10]Resumen!N10*1000</f>
        <v>155225.17955809576</v>
      </c>
      <c r="O10" s="7">
        <f>+[10]Resumen!O10*1000</f>
        <v>167618.259544</v>
      </c>
      <c r="P10" s="7">
        <f>+[10]Resumen!P10*1000</f>
        <v>180837.05394267393</v>
      </c>
      <c r="Q10" s="7">
        <f>+[10]Resumen!Q10*1000</f>
        <v>194903.54347001249</v>
      </c>
      <c r="R10" s="7">
        <f>+[10]Resumen!R10*1000</f>
        <v>205178.05959739984</v>
      </c>
      <c r="S10" s="7">
        <f>+[10]Resumen!S10*1000</f>
        <v>206640.13244607404</v>
      </c>
      <c r="T10" s="7">
        <f>+[10]Resumen!T10*1000</f>
        <v>203262.03660393524</v>
      </c>
      <c r="U10" s="7">
        <f>+[10]Resumen!U10*1000</f>
        <v>199861.18537562017</v>
      </c>
      <c r="V10" s="7">
        <f>+[10]Resumen!V10*1000</f>
        <v>197446.40973498404</v>
      </c>
      <c r="W10" s="7">
        <f>+[10]Resumen!W10*1000</f>
        <v>0</v>
      </c>
      <c r="X10" s="7">
        <f>+[10]Resumen!X10*1000</f>
        <v>0</v>
      </c>
      <c r="Y10" s="7">
        <f>+[10]Resumen!Y10*1000</f>
        <v>0</v>
      </c>
      <c r="Z10" s="7">
        <f>+[10]Resumen!Z10*1000</f>
        <v>0</v>
      </c>
      <c r="AA10" s="7">
        <f>+[10]Resumen!AA10*1000</f>
        <v>0</v>
      </c>
      <c r="AB10" s="7">
        <f>+[10]Resumen!AB10*1000</f>
        <v>0</v>
      </c>
      <c r="AC10" s="7">
        <f>+[10]Resumen!AC10*1000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+[10]Resumen!E11</f>
        <v>20</v>
      </c>
      <c r="F11" s="7">
        <f>+[10]Resumen!F11*1000</f>
        <v>0</v>
      </c>
      <c r="G11" s="7">
        <f>+[10]Resumen!G11*1000</f>
        <v>0</v>
      </c>
      <c r="H11" s="7">
        <f>+[10]Resumen!H11*1000</f>
        <v>0</v>
      </c>
      <c r="I11" s="7">
        <f>+[10]Resumen!I11*1000</f>
        <v>0</v>
      </c>
      <c r="J11" s="7">
        <f>+[10]Resumen!J11*1000</f>
        <v>0</v>
      </c>
      <c r="K11" s="7">
        <f>+[10]Resumen!K11*1000</f>
        <v>0</v>
      </c>
      <c r="L11" s="7">
        <f>+[10]Resumen!L11*1000</f>
        <v>0</v>
      </c>
      <c r="M11" s="7">
        <f>+[10]Resumen!M11*1000</f>
        <v>242828.36548643172</v>
      </c>
      <c r="N11" s="7">
        <f>+[10]Resumen!N11*1000</f>
        <v>258448.5735700618</v>
      </c>
      <c r="O11" s="7">
        <f>+[10]Resumen!O11*1000</f>
        <v>268837.69884554687</v>
      </c>
      <c r="P11" s="7">
        <f>+[10]Resumen!P11*1000</f>
        <v>284816.02814683126</v>
      </c>
      <c r="Q11" s="7">
        <f>+[10]Resumen!Q11*1000</f>
        <v>297759.70392847294</v>
      </c>
      <c r="R11" s="7">
        <f>+[10]Resumen!R11*1000</f>
        <v>298510.15801674587</v>
      </c>
      <c r="S11" s="7">
        <f>+[10]Resumen!S11*1000</f>
        <v>294790.24001967057</v>
      </c>
      <c r="T11" s="7">
        <f>+[10]Resumen!T11*1000</f>
        <v>297095.67869680899</v>
      </c>
      <c r="U11" s="7">
        <f>+[10]Resumen!U11*1000</f>
        <v>297436.73946152616</v>
      </c>
      <c r="V11" s="7">
        <f>+[10]Resumen!V11*1000</f>
        <v>291284.16864706686</v>
      </c>
      <c r="W11" s="7">
        <f>+[10]Resumen!W11*1000</f>
        <v>0</v>
      </c>
      <c r="X11" s="7">
        <f>+[10]Resumen!X11*1000</f>
        <v>0</v>
      </c>
      <c r="Y11" s="7">
        <f>+[10]Resumen!Y11*1000</f>
        <v>0</v>
      </c>
      <c r="Z11" s="7">
        <f>+[10]Resumen!Z11*1000</f>
        <v>0</v>
      </c>
      <c r="AA11" s="7">
        <f>+[10]Resumen!AA11*1000</f>
        <v>0</v>
      </c>
      <c r="AB11" s="7">
        <f>+[10]Resumen!AB11*1000</f>
        <v>0</v>
      </c>
      <c r="AC11" s="7">
        <f>+[10]Resumen!AC11*1000</f>
        <v>0</v>
      </c>
      <c r="AD11" s="60">
        <f>SUM(F11:AC11)*E11+SUM(F12:AC12)*E12+SUM(F13:AC13)*E13+SUM(F14:AC14)*E14</f>
        <v>76552472.90573357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+[10]Resumen!E12</f>
        <v>4</v>
      </c>
      <c r="F12" s="7">
        <f>+[10]Resumen!F12*1000</f>
        <v>0</v>
      </c>
      <c r="G12" s="7">
        <f>+[10]Resumen!G12*1000</f>
        <v>0</v>
      </c>
      <c r="H12" s="7">
        <f>+[10]Resumen!H12*1000</f>
        <v>0</v>
      </c>
      <c r="I12" s="7">
        <f>+[10]Resumen!I12*1000</f>
        <v>0</v>
      </c>
      <c r="J12" s="7">
        <f>+[10]Resumen!J12*1000</f>
        <v>0</v>
      </c>
      <c r="K12" s="7">
        <f>+[10]Resumen!K12*1000</f>
        <v>0</v>
      </c>
      <c r="L12" s="7">
        <f>+[10]Resumen!L12*1000</f>
        <v>0</v>
      </c>
      <c r="M12" s="7">
        <f>+[10]Resumen!M12*1000</f>
        <v>223478.04253148133</v>
      </c>
      <c r="N12" s="7">
        <f>+[10]Resumen!N12*1000</f>
        <v>247663.61612763049</v>
      </c>
      <c r="O12" s="7">
        <f>+[10]Resumen!O12*1000</f>
        <v>262986.11620882666</v>
      </c>
      <c r="P12" s="7">
        <f>+[10]Resumen!P12*1000</f>
        <v>277252.69421644148</v>
      </c>
      <c r="Q12" s="7">
        <f>+[10]Resumen!Q12*1000</f>
        <v>285909.80503704259</v>
      </c>
      <c r="R12" s="7">
        <f>+[10]Resumen!R12*1000</f>
        <v>286098.45274393633</v>
      </c>
      <c r="S12" s="7">
        <f>+[10]Resumen!S12*1000</f>
        <v>278584.9788061924</v>
      </c>
      <c r="T12" s="7">
        <f>+[10]Resumen!T12*1000</f>
        <v>271307.06660757563</v>
      </c>
      <c r="U12" s="7">
        <f>+[10]Resumen!U12*1000</f>
        <v>268503.15416456701</v>
      </c>
      <c r="V12" s="7">
        <f>+[10]Resumen!V12*1000</f>
        <v>265080.3620605428</v>
      </c>
      <c r="W12" s="7">
        <f>+[10]Resumen!W12*1000</f>
        <v>0</v>
      </c>
      <c r="X12" s="7">
        <f>+[10]Resumen!X12*1000</f>
        <v>0</v>
      </c>
      <c r="Y12" s="7">
        <f>+[10]Resumen!Y12*1000</f>
        <v>0</v>
      </c>
      <c r="Z12" s="7">
        <f>+[10]Resumen!Z12*1000</f>
        <v>0</v>
      </c>
      <c r="AA12" s="7">
        <f>+[10]Resumen!AA12*1000</f>
        <v>0</v>
      </c>
      <c r="AB12" s="7">
        <f>+[10]Resumen!AB12*1000</f>
        <v>0</v>
      </c>
      <c r="AC12" s="7">
        <f>+[10]Resumen!AC12*1000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+[10]Resumen!E13</f>
        <v>4</v>
      </c>
      <c r="F13" s="7">
        <f>+[10]Resumen!F13*1000</f>
        <v>0</v>
      </c>
      <c r="G13" s="7">
        <f>+[10]Resumen!G13*1000</f>
        <v>0</v>
      </c>
      <c r="H13" s="7">
        <f>+[10]Resumen!H13*1000</f>
        <v>0</v>
      </c>
      <c r="I13" s="7">
        <f>+[10]Resumen!I13*1000</f>
        <v>0</v>
      </c>
      <c r="J13" s="7">
        <f>+[10]Resumen!J13*1000</f>
        <v>0</v>
      </c>
      <c r="K13" s="7">
        <f>+[10]Resumen!K13*1000</f>
        <v>0</v>
      </c>
      <c r="L13" s="7">
        <f>+[10]Resumen!L13*1000</f>
        <v>0</v>
      </c>
      <c r="M13" s="7">
        <f>+[10]Resumen!M13*1000</f>
        <v>181568.04831348144</v>
      </c>
      <c r="N13" s="7">
        <f>+[10]Resumen!N13*1000</f>
        <v>200295.88828393669</v>
      </c>
      <c r="O13" s="7">
        <f>+[10]Resumen!O13*1000</f>
        <v>216184.81178138842</v>
      </c>
      <c r="P13" s="7">
        <f>+[10]Resumen!P13*1000</f>
        <v>229616.5652537258</v>
      </c>
      <c r="Q13" s="7">
        <f>+[10]Resumen!Q13*1000</f>
        <v>244096.20414881245</v>
      </c>
      <c r="R13" s="7">
        <f>+[10]Resumen!R13*1000</f>
        <v>252938.01185787289</v>
      </c>
      <c r="S13" s="7">
        <f>+[10]Resumen!S13*1000</f>
        <v>253390.7535170246</v>
      </c>
      <c r="T13" s="7">
        <f>+[10]Resumen!T13*1000</f>
        <v>248607.54743866486</v>
      </c>
      <c r="U13" s="7">
        <f>+[10]Resumen!U13*1000</f>
        <v>244753.79961714189</v>
      </c>
      <c r="V13" s="7">
        <f>+[10]Resumen!V13*1000</f>
        <v>240765.53362129268</v>
      </c>
      <c r="W13" s="7">
        <f>+[10]Resumen!W13*1000</f>
        <v>0</v>
      </c>
      <c r="X13" s="7">
        <f>+[10]Resumen!X13*1000</f>
        <v>0</v>
      </c>
      <c r="Y13" s="7">
        <f>+[10]Resumen!Y13*1000</f>
        <v>0</v>
      </c>
      <c r="Z13" s="7">
        <f>+[10]Resumen!Z13*1000</f>
        <v>0</v>
      </c>
      <c r="AA13" s="7">
        <f>+[10]Resumen!AA13*1000</f>
        <v>0</v>
      </c>
      <c r="AB13" s="7">
        <f>+[10]Resumen!AB13*1000</f>
        <v>0</v>
      </c>
      <c r="AC13" s="7">
        <f>+[10]Resumen!AC13*1000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+[10]Resumen!E14</f>
        <v>0</v>
      </c>
      <c r="F14" s="7">
        <f>+[10]Resumen!F14*1000</f>
        <v>0</v>
      </c>
      <c r="G14" s="7">
        <f>+[10]Resumen!G14*1000</f>
        <v>0</v>
      </c>
      <c r="H14" s="7">
        <f>+[10]Resumen!H14*1000</f>
        <v>0</v>
      </c>
      <c r="I14" s="7">
        <f>+[10]Resumen!I14*1000</f>
        <v>0</v>
      </c>
      <c r="J14" s="7">
        <f>+[10]Resumen!J14*1000</f>
        <v>0</v>
      </c>
      <c r="K14" s="7">
        <f>+[10]Resumen!K14*1000</f>
        <v>0</v>
      </c>
      <c r="L14" s="7">
        <f>+[10]Resumen!L14*1000</f>
        <v>0</v>
      </c>
      <c r="M14" s="7">
        <f>+[10]Resumen!M14*1000</f>
        <v>0</v>
      </c>
      <c r="N14" s="7">
        <f>+[10]Resumen!N14*1000</f>
        <v>0</v>
      </c>
      <c r="O14" s="7">
        <f>+[10]Resumen!O14*1000</f>
        <v>0</v>
      </c>
      <c r="P14" s="7">
        <f>+[10]Resumen!P14*1000</f>
        <v>0</v>
      </c>
      <c r="Q14" s="7">
        <f>+[10]Resumen!Q14*1000</f>
        <v>0</v>
      </c>
      <c r="R14" s="7">
        <f>+[10]Resumen!R14*1000</f>
        <v>0</v>
      </c>
      <c r="S14" s="7">
        <f>+[10]Resumen!S14*1000</f>
        <v>0</v>
      </c>
      <c r="T14" s="7">
        <f>+[10]Resumen!T14*1000</f>
        <v>0</v>
      </c>
      <c r="U14" s="7">
        <f>+[10]Resumen!U14*1000</f>
        <v>0</v>
      </c>
      <c r="V14" s="7">
        <f>+[10]Resumen!V14*1000</f>
        <v>0</v>
      </c>
      <c r="W14" s="7">
        <f>+[10]Resumen!W14*1000</f>
        <v>0</v>
      </c>
      <c r="X14" s="7">
        <f>+[10]Resumen!X14*1000</f>
        <v>0</v>
      </c>
      <c r="Y14" s="7">
        <f>+[10]Resumen!Y14*1000</f>
        <v>0</v>
      </c>
      <c r="Z14" s="7">
        <f>+[10]Resumen!Z14*1000</f>
        <v>0</v>
      </c>
      <c r="AA14" s="7">
        <f>+[10]Resumen!AA14*1000</f>
        <v>0</v>
      </c>
      <c r="AB14" s="7">
        <f>+[10]Resumen!AB14*1000</f>
        <v>0</v>
      </c>
      <c r="AC14" s="7">
        <f>+[10]Resumen!AC14*1000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+[10]Resumen!E15</f>
        <v>19</v>
      </c>
      <c r="F15" s="7">
        <f>+[10]Resumen!F15*1000</f>
        <v>0</v>
      </c>
      <c r="G15" s="7">
        <f>+[10]Resumen!G15*1000</f>
        <v>0</v>
      </c>
      <c r="H15" s="7">
        <f>+[10]Resumen!H15*1000</f>
        <v>0</v>
      </c>
      <c r="I15" s="7">
        <f>+[10]Resumen!I15*1000</f>
        <v>0</v>
      </c>
      <c r="J15" s="7">
        <f>+[10]Resumen!J15*1000</f>
        <v>0</v>
      </c>
      <c r="K15" s="7">
        <f>+[10]Resumen!K15*1000</f>
        <v>0</v>
      </c>
      <c r="L15" s="7">
        <f>+[10]Resumen!L15*1000</f>
        <v>0</v>
      </c>
      <c r="M15" s="7">
        <f>+[10]Resumen!M15*1000</f>
        <v>222004.88747109773</v>
      </c>
      <c r="N15" s="7">
        <f>+[10]Resumen!N15*1000</f>
        <v>236212.76981817282</v>
      </c>
      <c r="O15" s="7">
        <f>+[10]Resumen!O15*1000</f>
        <v>245699.28469542621</v>
      </c>
      <c r="P15" s="7">
        <f>+[10]Resumen!P15*1000</f>
        <v>260396.58159276808</v>
      </c>
      <c r="Q15" s="7">
        <f>+[10]Resumen!Q15*1000</f>
        <v>272308.62674750516</v>
      </c>
      <c r="R15" s="7">
        <f>+[10]Resumen!R15*1000</f>
        <v>273551.26649230812</v>
      </c>
      <c r="S15" s="7">
        <f>+[10]Resumen!S15*1000</f>
        <v>270075.85656943684</v>
      </c>
      <c r="T15" s="7">
        <f>+[10]Resumen!T15*1000</f>
        <v>272011.88597625098</v>
      </c>
      <c r="U15" s="7">
        <f>+[10]Resumen!U15*1000</f>
        <v>271512.23028486589</v>
      </c>
      <c r="V15" s="7">
        <f>+[10]Resumen!V15*1000</f>
        <v>266019.74273701076</v>
      </c>
      <c r="W15" s="7">
        <f>+[10]Resumen!W15*1000</f>
        <v>0</v>
      </c>
      <c r="X15" s="7">
        <f>+[10]Resumen!X15*1000</f>
        <v>0</v>
      </c>
      <c r="Y15" s="7">
        <f>+[10]Resumen!Y15*1000</f>
        <v>0</v>
      </c>
      <c r="Z15" s="7">
        <f>+[10]Resumen!Z15*1000</f>
        <v>0</v>
      </c>
      <c r="AA15" s="7">
        <f>+[10]Resumen!AA15*1000</f>
        <v>0</v>
      </c>
      <c r="AB15" s="7">
        <f>+[10]Resumen!AB15*1000</f>
        <v>0</v>
      </c>
      <c r="AC15" s="7">
        <f>+[10]Resumen!AC15*1000</f>
        <v>0</v>
      </c>
      <c r="AD15" s="60">
        <f t="shared" ref="AD15" si="0">SUM(F15:AC15)*E15+SUM(F16:AC16)*E16+SUM(F17:AC17)*E17+SUM(F18:AC18)*E18</f>
        <v>76343383.721806929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+[10]Resumen!E16</f>
        <v>5</v>
      </c>
      <c r="F16" s="7">
        <f>+[10]Resumen!F16*1000</f>
        <v>0</v>
      </c>
      <c r="G16" s="7">
        <f>+[10]Resumen!G16*1000</f>
        <v>0</v>
      </c>
      <c r="H16" s="7">
        <f>+[10]Resumen!H16*1000</f>
        <v>0</v>
      </c>
      <c r="I16" s="7">
        <f>+[10]Resumen!I16*1000</f>
        <v>0</v>
      </c>
      <c r="J16" s="7">
        <f>+[10]Resumen!J16*1000</f>
        <v>0</v>
      </c>
      <c r="K16" s="7">
        <f>+[10]Resumen!K16*1000</f>
        <v>0</v>
      </c>
      <c r="L16" s="7">
        <f>+[10]Resumen!L16*1000</f>
        <v>0</v>
      </c>
      <c r="M16" s="7">
        <f>+[10]Resumen!M16*1000</f>
        <v>204255.59993321847</v>
      </c>
      <c r="N16" s="7">
        <f>+[10]Resumen!N16*1000</f>
        <v>225238.61575961992</v>
      </c>
      <c r="O16" s="7">
        <f>+[10]Resumen!O16*1000</f>
        <v>238739.69115541226</v>
      </c>
      <c r="P16" s="7">
        <f>+[10]Resumen!P16*1000</f>
        <v>251558.95267653911</v>
      </c>
      <c r="Q16" s="7">
        <f>+[10]Resumen!Q16*1000</f>
        <v>261224.19726774233</v>
      </c>
      <c r="R16" s="7">
        <f>+[10]Resumen!R16*1000</f>
        <v>261949.87297373303</v>
      </c>
      <c r="S16" s="7">
        <f>+[10]Resumen!S16*1000</f>
        <v>256198.26264348198</v>
      </c>
      <c r="T16" s="7">
        <f>+[10]Resumen!T16*1000</f>
        <v>250325.16409303551</v>
      </c>
      <c r="U16" s="7">
        <f>+[10]Resumen!U16*1000</f>
        <v>246497.32567240542</v>
      </c>
      <c r="V16" s="7">
        <f>+[10]Resumen!V16*1000</f>
        <v>242891.26207323949</v>
      </c>
      <c r="W16" s="7">
        <f>+[10]Resumen!W16*1000</f>
        <v>0</v>
      </c>
      <c r="X16" s="7">
        <f>+[10]Resumen!X16*1000</f>
        <v>0</v>
      </c>
      <c r="Y16" s="7">
        <f>+[10]Resumen!Y16*1000</f>
        <v>0</v>
      </c>
      <c r="Z16" s="7">
        <f>+[10]Resumen!Z16*1000</f>
        <v>0</v>
      </c>
      <c r="AA16" s="7">
        <f>+[10]Resumen!AA16*1000</f>
        <v>0</v>
      </c>
      <c r="AB16" s="7">
        <f>+[10]Resumen!AB16*1000</f>
        <v>0</v>
      </c>
      <c r="AC16" s="7">
        <f>+[10]Resumen!AC16*1000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+[10]Resumen!E17</f>
        <v>4</v>
      </c>
      <c r="F17" s="7">
        <f>+[10]Resumen!F17*1000</f>
        <v>0</v>
      </c>
      <c r="G17" s="7">
        <f>+[10]Resumen!G17*1000</f>
        <v>0</v>
      </c>
      <c r="H17" s="7">
        <f>+[10]Resumen!H17*1000</f>
        <v>0</v>
      </c>
      <c r="I17" s="7">
        <f>+[10]Resumen!I17*1000</f>
        <v>0</v>
      </c>
      <c r="J17" s="7">
        <f>+[10]Resumen!J17*1000</f>
        <v>0</v>
      </c>
      <c r="K17" s="7">
        <f>+[10]Resumen!K17*1000</f>
        <v>0</v>
      </c>
      <c r="L17" s="7">
        <f>+[10]Resumen!L17*1000</f>
        <v>0</v>
      </c>
      <c r="M17" s="7">
        <f>+[10]Resumen!M17*1000</f>
        <v>164567.95989801947</v>
      </c>
      <c r="N17" s="7">
        <f>+[10]Resumen!N17*1000</f>
        <v>182074.05408782931</v>
      </c>
      <c r="O17" s="7">
        <f>+[10]Resumen!O17*1000</f>
        <v>195580.06745332881</v>
      </c>
      <c r="P17" s="7">
        <f>+[10]Resumen!P17*1000</f>
        <v>207359.96049811304</v>
      </c>
      <c r="Q17" s="7">
        <f>+[10]Resumen!Q17*1000</f>
        <v>219703.38411898821</v>
      </c>
      <c r="R17" s="7">
        <f>+[10]Resumen!R17*1000</f>
        <v>227583.59582125774</v>
      </c>
      <c r="S17" s="7">
        <f>+[10]Resumen!S17*1000</f>
        <v>228080.01339086719</v>
      </c>
      <c r="T17" s="7">
        <f>+[10]Resumen!T17*1000</f>
        <v>224109.24608999991</v>
      </c>
      <c r="U17" s="7">
        <f>+[10]Resumen!U17*1000</f>
        <v>221256.69984673342</v>
      </c>
      <c r="V17" s="7">
        <f>+[10]Resumen!V17*1000</f>
        <v>218079.51584871262</v>
      </c>
      <c r="W17" s="7">
        <f>+[10]Resumen!W17*1000</f>
        <v>0</v>
      </c>
      <c r="X17" s="7">
        <f>+[10]Resumen!X17*1000</f>
        <v>0</v>
      </c>
      <c r="Y17" s="7">
        <f>+[10]Resumen!Y17*1000</f>
        <v>0</v>
      </c>
      <c r="Z17" s="7">
        <f>+[10]Resumen!Z17*1000</f>
        <v>0</v>
      </c>
      <c r="AA17" s="7">
        <f>+[10]Resumen!AA17*1000</f>
        <v>0</v>
      </c>
      <c r="AB17" s="7">
        <f>+[10]Resumen!AB17*1000</f>
        <v>0</v>
      </c>
      <c r="AC17" s="7">
        <f>+[10]Resumen!AC17*1000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+[10]Resumen!E18</f>
        <v>3</v>
      </c>
      <c r="F18" s="7">
        <f>+[10]Resumen!F18*1000</f>
        <v>0</v>
      </c>
      <c r="G18" s="7">
        <f>+[10]Resumen!G18*1000</f>
        <v>0</v>
      </c>
      <c r="H18" s="7">
        <f>+[10]Resumen!H18*1000</f>
        <v>0</v>
      </c>
      <c r="I18" s="7">
        <f>+[10]Resumen!I18*1000</f>
        <v>0</v>
      </c>
      <c r="J18" s="7">
        <f>+[10]Resumen!J18*1000</f>
        <v>0</v>
      </c>
      <c r="K18" s="7">
        <f>+[10]Resumen!K18*1000</f>
        <v>0</v>
      </c>
      <c r="L18" s="7">
        <f>+[10]Resumen!L18*1000</f>
        <v>0</v>
      </c>
      <c r="M18" s="7">
        <f>+[10]Resumen!M18*1000</f>
        <v>171637.24232317321</v>
      </c>
      <c r="N18" s="7">
        <f>+[10]Resumen!N18*1000</f>
        <v>188757.06156396391</v>
      </c>
      <c r="O18" s="7">
        <f>+[10]Resumen!O18*1000</f>
        <v>204132.53138564934</v>
      </c>
      <c r="P18" s="7">
        <f>+[10]Resumen!P18*1000</f>
        <v>218485.22395507319</v>
      </c>
      <c r="Q18" s="7">
        <f>+[10]Resumen!Q18*1000</f>
        <v>234655.77329991976</v>
      </c>
      <c r="R18" s="7">
        <f>+[10]Resumen!R18*1000</f>
        <v>243032.24099771152</v>
      </c>
      <c r="S18" s="7">
        <f>+[10]Resumen!S18*1000</f>
        <v>240379.54862029321</v>
      </c>
      <c r="T18" s="7">
        <f>+[10]Resumen!T18*1000</f>
        <v>234769.14961559844</v>
      </c>
      <c r="U18" s="7">
        <f>+[10]Resumen!U18*1000</f>
        <v>231332.45992672836</v>
      </c>
      <c r="V18" s="7">
        <f>+[10]Resumen!V18*1000</f>
        <v>229265.93399101953</v>
      </c>
      <c r="W18" s="7">
        <f>+[10]Resumen!W18*1000</f>
        <v>0</v>
      </c>
      <c r="X18" s="7">
        <f>+[10]Resumen!X18*1000</f>
        <v>0</v>
      </c>
      <c r="Y18" s="7">
        <f>+[10]Resumen!Y18*1000</f>
        <v>0</v>
      </c>
      <c r="Z18" s="7">
        <f>+[10]Resumen!Z18*1000</f>
        <v>0</v>
      </c>
      <c r="AA18" s="7">
        <f>+[10]Resumen!AA18*1000</f>
        <v>0</v>
      </c>
      <c r="AB18" s="7">
        <f>+[10]Resumen!AB18*1000</f>
        <v>0</v>
      </c>
      <c r="AC18" s="7">
        <f>+[10]Resumen!AC18*1000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+[10]Resumen!E19</f>
        <v>21</v>
      </c>
      <c r="F19" s="7">
        <f>+[10]Resumen!F19*1000</f>
        <v>0</v>
      </c>
      <c r="G19" s="7">
        <f>+[10]Resumen!G19*1000</f>
        <v>0</v>
      </c>
      <c r="H19" s="7">
        <f>+[10]Resumen!H19*1000</f>
        <v>0</v>
      </c>
      <c r="I19" s="7">
        <f>+[10]Resumen!I19*1000</f>
        <v>0</v>
      </c>
      <c r="J19" s="7">
        <f>+[10]Resumen!J19*1000</f>
        <v>0</v>
      </c>
      <c r="K19" s="7">
        <f>+[10]Resumen!K19*1000</f>
        <v>0</v>
      </c>
      <c r="L19" s="7">
        <f>+[10]Resumen!L19*1000</f>
        <v>0</v>
      </c>
      <c r="M19" s="7">
        <f>+[10]Resumen!M19*1000</f>
        <v>225760.56424835621</v>
      </c>
      <c r="N19" s="7">
        <f>+[10]Resumen!N19*1000</f>
        <v>241047.56893726479</v>
      </c>
      <c r="O19" s="7">
        <f>+[10]Resumen!O19*1000</f>
        <v>251578.83956933103</v>
      </c>
      <c r="P19" s="7">
        <f>+[10]Resumen!P19*1000</f>
        <v>266615.69437104446</v>
      </c>
      <c r="Q19" s="7">
        <f>+[10]Resumen!Q19*1000</f>
        <v>279474.88461181143</v>
      </c>
      <c r="R19" s="7">
        <f>+[10]Resumen!R19*1000</f>
        <v>281815.73678752186</v>
      </c>
      <c r="S19" s="7">
        <f>+[10]Resumen!S19*1000</f>
        <v>278087.1159231725</v>
      </c>
      <c r="T19" s="7">
        <f>+[10]Resumen!T19*1000</f>
        <v>279833.1762569276</v>
      </c>
      <c r="U19" s="7">
        <f>+[10]Resumen!U19*1000</f>
        <v>279582.51287400303</v>
      </c>
      <c r="V19" s="7">
        <f>+[10]Resumen!V19*1000</f>
        <v>273413.88425128494</v>
      </c>
      <c r="W19" s="7">
        <f>+[10]Resumen!W19*1000</f>
        <v>0</v>
      </c>
      <c r="X19" s="7">
        <f>+[10]Resumen!X19*1000</f>
        <v>0</v>
      </c>
      <c r="Y19" s="7">
        <f>+[10]Resumen!Y19*1000</f>
        <v>0</v>
      </c>
      <c r="Z19" s="7">
        <f>+[10]Resumen!Z19*1000</f>
        <v>0</v>
      </c>
      <c r="AA19" s="7">
        <f>+[10]Resumen!AA19*1000</f>
        <v>0</v>
      </c>
      <c r="AB19" s="7">
        <f>+[10]Resumen!AB19*1000</f>
        <v>0</v>
      </c>
      <c r="AC19" s="7">
        <f>+[10]Resumen!AC19*1000</f>
        <v>0</v>
      </c>
      <c r="AD19" s="60">
        <f t="shared" ref="AD19" si="1">SUM(F19:AC19)*E19+SUM(F20:AC20)*E20+SUM(F21:AC21)*E21+SUM(F22:AC22)*E22</f>
        <v>76352288.494716465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+[10]Resumen!E20</f>
        <v>4</v>
      </c>
      <c r="F20" s="7">
        <f>+[10]Resumen!F20*1000</f>
        <v>0</v>
      </c>
      <c r="G20" s="7">
        <f>+[10]Resumen!G20*1000</f>
        <v>0</v>
      </c>
      <c r="H20" s="7">
        <f>+[10]Resumen!H20*1000</f>
        <v>0</v>
      </c>
      <c r="I20" s="7">
        <f>+[10]Resumen!I20*1000</f>
        <v>0</v>
      </c>
      <c r="J20" s="7">
        <f>+[10]Resumen!J20*1000</f>
        <v>0</v>
      </c>
      <c r="K20" s="7">
        <f>+[10]Resumen!K20*1000</f>
        <v>0</v>
      </c>
      <c r="L20" s="7">
        <f>+[10]Resumen!L20*1000</f>
        <v>0</v>
      </c>
      <c r="M20" s="7">
        <f>+[10]Resumen!M20*1000</f>
        <v>200684.48281711229</v>
      </c>
      <c r="N20" s="7">
        <f>+[10]Resumen!N20*1000</f>
        <v>221623.55049178575</v>
      </c>
      <c r="O20" s="7">
        <f>+[10]Resumen!O20*1000</f>
        <v>236003.52252182848</v>
      </c>
      <c r="P20" s="7">
        <f>+[10]Resumen!P20*1000</f>
        <v>248713.37403911669</v>
      </c>
      <c r="Q20" s="7">
        <f>+[10]Resumen!Q20*1000</f>
        <v>258168.97293211657</v>
      </c>
      <c r="R20" s="7">
        <f>+[10]Resumen!R20*1000</f>
        <v>260483.8670133737</v>
      </c>
      <c r="S20" s="7">
        <f>+[10]Resumen!S20*1000</f>
        <v>256259.70949019195</v>
      </c>
      <c r="T20" s="7">
        <f>+[10]Resumen!T20*1000</f>
        <v>251044.73318386625</v>
      </c>
      <c r="U20" s="7">
        <f>+[10]Resumen!U20*1000</f>
        <v>249465.7448829998</v>
      </c>
      <c r="V20" s="7">
        <f>+[10]Resumen!V20*1000</f>
        <v>247240.86970176941</v>
      </c>
      <c r="W20" s="7">
        <f>+[10]Resumen!W20*1000</f>
        <v>0</v>
      </c>
      <c r="X20" s="7">
        <f>+[10]Resumen!X20*1000</f>
        <v>0</v>
      </c>
      <c r="Y20" s="7">
        <f>+[10]Resumen!Y20*1000</f>
        <v>0</v>
      </c>
      <c r="Z20" s="7">
        <f>+[10]Resumen!Z20*1000</f>
        <v>0</v>
      </c>
      <c r="AA20" s="7">
        <f>+[10]Resumen!AA20*1000</f>
        <v>0</v>
      </c>
      <c r="AB20" s="7">
        <f>+[10]Resumen!AB20*1000</f>
        <v>0</v>
      </c>
      <c r="AC20" s="7">
        <f>+[10]Resumen!AC20*1000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+[10]Resumen!E21</f>
        <v>5</v>
      </c>
      <c r="F21" s="7">
        <f>+[10]Resumen!F21*1000</f>
        <v>0</v>
      </c>
      <c r="G21" s="7">
        <f>+[10]Resumen!G21*1000</f>
        <v>0</v>
      </c>
      <c r="H21" s="7">
        <f>+[10]Resumen!H21*1000</f>
        <v>0</v>
      </c>
      <c r="I21" s="7">
        <f>+[10]Resumen!I21*1000</f>
        <v>0</v>
      </c>
      <c r="J21" s="7">
        <f>+[10]Resumen!J21*1000</f>
        <v>0</v>
      </c>
      <c r="K21" s="7">
        <f>+[10]Resumen!K21*1000</f>
        <v>0</v>
      </c>
      <c r="L21" s="7">
        <f>+[10]Resumen!L21*1000</f>
        <v>0</v>
      </c>
      <c r="M21" s="7">
        <f>+[10]Resumen!M21*1000</f>
        <v>171403.80096727307</v>
      </c>
      <c r="N21" s="7">
        <f>+[10]Resumen!N21*1000</f>
        <v>189548.48907008476</v>
      </c>
      <c r="O21" s="7">
        <f>+[10]Resumen!O21*1000</f>
        <v>204664.63912178847</v>
      </c>
      <c r="P21" s="7">
        <f>+[10]Resumen!P21*1000</f>
        <v>215730.57168857841</v>
      </c>
      <c r="Q21" s="7">
        <f>+[10]Resumen!Q21*1000</f>
        <v>226480.29491327409</v>
      </c>
      <c r="R21" s="7">
        <f>+[10]Resumen!R21*1000</f>
        <v>234059.31038350039</v>
      </c>
      <c r="S21" s="7">
        <f>+[10]Resumen!S21*1000</f>
        <v>235231.72294729121</v>
      </c>
      <c r="T21" s="7">
        <f>+[10]Resumen!T21*1000</f>
        <v>232732.60120643087</v>
      </c>
      <c r="U21" s="7">
        <f>+[10]Resumen!U21*1000</f>
        <v>229901.89845175244</v>
      </c>
      <c r="V21" s="7">
        <f>+[10]Resumen!V21*1000</f>
        <v>226671.40164497495</v>
      </c>
      <c r="W21" s="7">
        <f>+[10]Resumen!W21*1000</f>
        <v>0</v>
      </c>
      <c r="X21" s="7">
        <f>+[10]Resumen!X21*1000</f>
        <v>0</v>
      </c>
      <c r="Y21" s="7">
        <f>+[10]Resumen!Y21*1000</f>
        <v>0</v>
      </c>
      <c r="Z21" s="7">
        <f>+[10]Resumen!Z21*1000</f>
        <v>0</v>
      </c>
      <c r="AA21" s="7">
        <f>+[10]Resumen!AA21*1000</f>
        <v>0</v>
      </c>
      <c r="AB21" s="7">
        <f>+[10]Resumen!AB21*1000</f>
        <v>0</v>
      </c>
      <c r="AC21" s="7">
        <f>+[10]Resumen!AC21*1000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+[10]Resumen!E22</f>
        <v>0</v>
      </c>
      <c r="F22" s="7">
        <f>+[10]Resumen!F22*1000</f>
        <v>0</v>
      </c>
      <c r="G22" s="7">
        <f>+[10]Resumen!G22*1000</f>
        <v>0</v>
      </c>
      <c r="H22" s="7">
        <f>+[10]Resumen!H22*1000</f>
        <v>0</v>
      </c>
      <c r="I22" s="7">
        <f>+[10]Resumen!I22*1000</f>
        <v>0</v>
      </c>
      <c r="J22" s="7">
        <f>+[10]Resumen!J22*1000</f>
        <v>0</v>
      </c>
      <c r="K22" s="7">
        <f>+[10]Resumen!K22*1000</f>
        <v>0</v>
      </c>
      <c r="L22" s="7">
        <f>+[10]Resumen!L22*1000</f>
        <v>0</v>
      </c>
      <c r="M22" s="7">
        <f>+[10]Resumen!M22*1000</f>
        <v>172891.31841467132</v>
      </c>
      <c r="N22" s="7">
        <f>+[10]Resumen!N22*1000</f>
        <v>189047.91705442412</v>
      </c>
      <c r="O22" s="7">
        <f>+[10]Resumen!O22*1000</f>
        <v>198669.59418900896</v>
      </c>
      <c r="P22" s="7">
        <f>+[10]Resumen!P22*1000</f>
        <v>204252.67389289898</v>
      </c>
      <c r="Q22" s="7">
        <f>+[10]Resumen!Q22*1000</f>
        <v>216984.89567456651</v>
      </c>
      <c r="R22" s="7">
        <f>+[10]Resumen!R22*1000</f>
        <v>228283.48828694431</v>
      </c>
      <c r="S22" s="7">
        <f>+[10]Resumen!S22*1000</f>
        <v>227249.03343352859</v>
      </c>
      <c r="T22" s="7">
        <f>+[10]Resumen!T22*1000</f>
        <v>222646.66638562741</v>
      </c>
      <c r="U22" s="7">
        <f>+[10]Resumen!U22*1000</f>
        <v>219696.67326100878</v>
      </c>
      <c r="V22" s="7">
        <f>+[10]Resumen!V22*1000</f>
        <v>219436.53898055991</v>
      </c>
      <c r="W22" s="7">
        <f>+[10]Resumen!W22*1000</f>
        <v>0</v>
      </c>
      <c r="X22" s="7">
        <f>+[10]Resumen!X22*1000</f>
        <v>0</v>
      </c>
      <c r="Y22" s="7">
        <f>+[10]Resumen!Y22*1000</f>
        <v>0</v>
      </c>
      <c r="Z22" s="7">
        <f>+[10]Resumen!Z22*1000</f>
        <v>0</v>
      </c>
      <c r="AA22" s="7">
        <f>+[10]Resumen!AA22*1000</f>
        <v>0</v>
      </c>
      <c r="AB22" s="7">
        <f>+[10]Resumen!AB22*1000</f>
        <v>0</v>
      </c>
      <c r="AC22" s="7">
        <f>+[10]Resumen!AC22*1000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+[10]Resumen!E23</f>
        <v>20</v>
      </c>
      <c r="F23" s="7">
        <f>+[10]Resumen!F23*1000</f>
        <v>0</v>
      </c>
      <c r="G23" s="7">
        <f>+[10]Resumen!G23*1000</f>
        <v>0</v>
      </c>
      <c r="H23" s="7">
        <f>+[10]Resumen!H23*1000</f>
        <v>0</v>
      </c>
      <c r="I23" s="7">
        <f>+[10]Resumen!I23*1000</f>
        <v>0</v>
      </c>
      <c r="J23" s="7">
        <f>+[10]Resumen!J23*1000</f>
        <v>0</v>
      </c>
      <c r="K23" s="7">
        <f>+[10]Resumen!K23*1000</f>
        <v>0</v>
      </c>
      <c r="L23" s="7">
        <f>+[10]Resumen!L23*1000</f>
        <v>0</v>
      </c>
      <c r="M23" s="7">
        <f>+[10]Resumen!M23*1000</f>
        <v>220659.7455680214</v>
      </c>
      <c r="N23" s="7">
        <f>+[10]Resumen!N23*1000</f>
        <v>234991.16126483446</v>
      </c>
      <c r="O23" s="7">
        <f>+[10]Resumen!O23*1000</f>
        <v>245476.77061717922</v>
      </c>
      <c r="P23" s="7">
        <f>+[10]Resumen!P23*1000</f>
        <v>260410.11397590995</v>
      </c>
      <c r="Q23" s="7">
        <f>+[10]Resumen!Q23*1000</f>
        <v>272642.58931910223</v>
      </c>
      <c r="R23" s="7">
        <f>+[10]Resumen!R23*1000</f>
        <v>273585.06646335166</v>
      </c>
      <c r="S23" s="7">
        <f>+[10]Resumen!S23*1000</f>
        <v>269308.28890797892</v>
      </c>
      <c r="T23" s="7">
        <f>+[10]Resumen!T23*1000</f>
        <v>270365.10517239932</v>
      </c>
      <c r="U23" s="7">
        <f>+[10]Resumen!U23*1000</f>
        <v>270374.93463159673</v>
      </c>
      <c r="V23" s="7">
        <f>+[10]Resumen!V23*1000</f>
        <v>264542.28936323803</v>
      </c>
      <c r="W23" s="7">
        <f>+[10]Resumen!W23*1000</f>
        <v>0</v>
      </c>
      <c r="X23" s="7">
        <f>+[10]Resumen!X23*1000</f>
        <v>0</v>
      </c>
      <c r="Y23" s="7">
        <f>+[10]Resumen!Y23*1000</f>
        <v>0</v>
      </c>
      <c r="Z23" s="7">
        <f>+[10]Resumen!Z23*1000</f>
        <v>0</v>
      </c>
      <c r="AA23" s="7">
        <f>+[10]Resumen!AA23*1000</f>
        <v>0</v>
      </c>
      <c r="AB23" s="7">
        <f>+[10]Resumen!AB23*1000</f>
        <v>0</v>
      </c>
      <c r="AC23" s="7">
        <f>+[10]Resumen!AC23*1000</f>
        <v>0</v>
      </c>
      <c r="AD23" s="60">
        <f t="shared" ref="AD23" si="2">SUM(F23:AC23)*E23+SUM(F24:AC24)*E24+SUM(F25:AC25)*E25+SUM(F26:AC26)*E26</f>
        <v>76205880.337845117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+[10]Resumen!E24</f>
        <v>4</v>
      </c>
      <c r="F24" s="7">
        <f>+[10]Resumen!F24*1000</f>
        <v>0</v>
      </c>
      <c r="G24" s="7">
        <f>+[10]Resumen!G24*1000</f>
        <v>0</v>
      </c>
      <c r="H24" s="7">
        <f>+[10]Resumen!H24*1000</f>
        <v>0</v>
      </c>
      <c r="I24" s="7">
        <f>+[10]Resumen!I24*1000</f>
        <v>0</v>
      </c>
      <c r="J24" s="7">
        <f>+[10]Resumen!J24*1000</f>
        <v>0</v>
      </c>
      <c r="K24" s="7">
        <f>+[10]Resumen!K24*1000</f>
        <v>0</v>
      </c>
      <c r="L24" s="7">
        <f>+[10]Resumen!L24*1000</f>
        <v>0</v>
      </c>
      <c r="M24" s="7">
        <f>+[10]Resumen!M24*1000</f>
        <v>201531.89906447567</v>
      </c>
      <c r="N24" s="7">
        <f>+[10]Resumen!N24*1000</f>
        <v>222941.34874727708</v>
      </c>
      <c r="O24" s="7">
        <f>+[10]Resumen!O24*1000</f>
        <v>237082.85070462243</v>
      </c>
      <c r="P24" s="7">
        <f>+[10]Resumen!P24*1000</f>
        <v>250018.80634357539</v>
      </c>
      <c r="Q24" s="7">
        <f>+[10]Resumen!Q24*1000</f>
        <v>259046.28481230582</v>
      </c>
      <c r="R24" s="7">
        <f>+[10]Resumen!R24*1000</f>
        <v>259204.67168466968</v>
      </c>
      <c r="S24" s="7">
        <f>+[10]Resumen!S24*1000</f>
        <v>252828.80326830747</v>
      </c>
      <c r="T24" s="7">
        <f>+[10]Resumen!T24*1000</f>
        <v>246811.20657696843</v>
      </c>
      <c r="U24" s="7">
        <f>+[10]Resumen!U24*1000</f>
        <v>244247.25378694086</v>
      </c>
      <c r="V24" s="7">
        <f>+[10]Resumen!V24*1000</f>
        <v>241146.78649354557</v>
      </c>
      <c r="W24" s="7">
        <f>+[10]Resumen!W24*1000</f>
        <v>0</v>
      </c>
      <c r="X24" s="7">
        <f>+[10]Resumen!X24*1000</f>
        <v>0</v>
      </c>
      <c r="Y24" s="7">
        <f>+[10]Resumen!Y24*1000</f>
        <v>0</v>
      </c>
      <c r="Z24" s="7">
        <f>+[10]Resumen!Z24*1000</f>
        <v>0</v>
      </c>
      <c r="AA24" s="7">
        <f>+[10]Resumen!AA24*1000</f>
        <v>0</v>
      </c>
      <c r="AB24" s="7">
        <f>+[10]Resumen!AB24*1000</f>
        <v>0</v>
      </c>
      <c r="AC24" s="7">
        <f>+[10]Resumen!AC24*1000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+[10]Resumen!E25</f>
        <v>4</v>
      </c>
      <c r="F25" s="7">
        <f>+[10]Resumen!F25*1000</f>
        <v>0</v>
      </c>
      <c r="G25" s="7">
        <f>+[10]Resumen!G25*1000</f>
        <v>0</v>
      </c>
      <c r="H25" s="7">
        <f>+[10]Resumen!H25*1000</f>
        <v>0</v>
      </c>
      <c r="I25" s="7">
        <f>+[10]Resumen!I25*1000</f>
        <v>0</v>
      </c>
      <c r="J25" s="7">
        <f>+[10]Resumen!J25*1000</f>
        <v>0</v>
      </c>
      <c r="K25" s="7">
        <f>+[10]Resumen!K25*1000</f>
        <v>0</v>
      </c>
      <c r="L25" s="7">
        <f>+[10]Resumen!L25*1000</f>
        <v>0</v>
      </c>
      <c r="M25" s="7">
        <f>+[10]Resumen!M25*1000</f>
        <v>163969.02689007466</v>
      </c>
      <c r="N25" s="7">
        <f>+[10]Resumen!N25*1000</f>
        <v>182529.18837147826</v>
      </c>
      <c r="O25" s="7">
        <f>+[10]Resumen!O25*1000</f>
        <v>198007.38389914678</v>
      </c>
      <c r="P25" s="7">
        <f>+[10]Resumen!P25*1000</f>
        <v>210324.20091587599</v>
      </c>
      <c r="Q25" s="7">
        <f>+[10]Resumen!Q25*1000</f>
        <v>222756.84220637262</v>
      </c>
      <c r="R25" s="7">
        <f>+[10]Resumen!R25*1000</f>
        <v>228654.02193584814</v>
      </c>
      <c r="S25" s="7">
        <f>+[10]Resumen!S25*1000</f>
        <v>227333.6274282427</v>
      </c>
      <c r="T25" s="7">
        <f>+[10]Resumen!T25*1000</f>
        <v>221155.1781997018</v>
      </c>
      <c r="U25" s="7">
        <f>+[10]Resumen!U25*1000</f>
        <v>219081.87943239106</v>
      </c>
      <c r="V25" s="7">
        <f>+[10]Resumen!V25*1000</f>
        <v>216142.11859551605</v>
      </c>
      <c r="W25" s="7">
        <f>+[10]Resumen!W25*1000</f>
        <v>0</v>
      </c>
      <c r="X25" s="7">
        <f>+[10]Resumen!X25*1000</f>
        <v>0</v>
      </c>
      <c r="Y25" s="7">
        <f>+[10]Resumen!Y25*1000</f>
        <v>0</v>
      </c>
      <c r="Z25" s="7">
        <f>+[10]Resumen!Z25*1000</f>
        <v>0</v>
      </c>
      <c r="AA25" s="7">
        <f>+[10]Resumen!AA25*1000</f>
        <v>0</v>
      </c>
      <c r="AB25" s="7">
        <f>+[10]Resumen!AB25*1000</f>
        <v>0</v>
      </c>
      <c r="AC25" s="7">
        <f>+[10]Resumen!AC25*1000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+[10]Resumen!E26</f>
        <v>3</v>
      </c>
      <c r="F26" s="7">
        <f>+[10]Resumen!F26*1000</f>
        <v>0</v>
      </c>
      <c r="G26" s="7">
        <f>+[10]Resumen!G26*1000</f>
        <v>0</v>
      </c>
      <c r="H26" s="7">
        <f>+[10]Resumen!H26*1000</f>
        <v>0</v>
      </c>
      <c r="I26" s="7">
        <f>+[10]Resumen!I26*1000</f>
        <v>0</v>
      </c>
      <c r="J26" s="7">
        <f>+[10]Resumen!J26*1000</f>
        <v>0</v>
      </c>
      <c r="K26" s="7">
        <f>+[10]Resumen!K26*1000</f>
        <v>0</v>
      </c>
      <c r="L26" s="7">
        <f>+[10]Resumen!L26*1000</f>
        <v>0</v>
      </c>
      <c r="M26" s="7">
        <f>+[10]Resumen!M26*1000</f>
        <v>171776.94193500929</v>
      </c>
      <c r="N26" s="7">
        <f>+[10]Resumen!N26*1000</f>
        <v>189382.22933431962</v>
      </c>
      <c r="O26" s="7">
        <f>+[10]Resumen!O26*1000</f>
        <v>203787.29846813166</v>
      </c>
      <c r="P26" s="7">
        <f>+[10]Resumen!P26*1000</f>
        <v>219465.40319523984</v>
      </c>
      <c r="Q26" s="7">
        <f>+[10]Resumen!Q26*1000</f>
        <v>232548.25402627001</v>
      </c>
      <c r="R26" s="7">
        <f>+[10]Resumen!R26*1000</f>
        <v>242767.6357630679</v>
      </c>
      <c r="S26" s="7">
        <f>+[10]Resumen!S26*1000</f>
        <v>239043.2158249866</v>
      </c>
      <c r="T26" s="7">
        <f>+[10]Resumen!T26*1000</f>
        <v>232286.39333776574</v>
      </c>
      <c r="U26" s="7">
        <f>+[10]Resumen!U26*1000</f>
        <v>225553.10976037703</v>
      </c>
      <c r="V26" s="7">
        <f>+[10]Resumen!V26*1000</f>
        <v>223224.68993600897</v>
      </c>
      <c r="W26" s="7">
        <f>+[10]Resumen!W26*1000</f>
        <v>0</v>
      </c>
      <c r="X26" s="7">
        <f>+[10]Resumen!X26*1000</f>
        <v>0</v>
      </c>
      <c r="Y26" s="7">
        <f>+[10]Resumen!Y26*1000</f>
        <v>0</v>
      </c>
      <c r="Z26" s="7">
        <f>+[10]Resumen!Z26*1000</f>
        <v>0</v>
      </c>
      <c r="AA26" s="7">
        <f>+[10]Resumen!AA26*1000</f>
        <v>0</v>
      </c>
      <c r="AB26" s="7">
        <f>+[10]Resumen!AB26*1000</f>
        <v>0</v>
      </c>
      <c r="AC26" s="7">
        <f>+[10]Resumen!AC26*1000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+[10]Resumen!E27</f>
        <v>20</v>
      </c>
      <c r="F27" s="7">
        <f>+[10]Resumen!F27*1000</f>
        <v>0</v>
      </c>
      <c r="G27" s="7">
        <f>+[10]Resumen!G27*1000</f>
        <v>0</v>
      </c>
      <c r="H27" s="7">
        <f>+[10]Resumen!H27*1000</f>
        <v>0</v>
      </c>
      <c r="I27" s="7">
        <f>+[10]Resumen!I27*1000</f>
        <v>0</v>
      </c>
      <c r="J27" s="7">
        <f>+[10]Resumen!J27*1000</f>
        <v>0</v>
      </c>
      <c r="K27" s="7">
        <f>+[10]Resumen!K27*1000</f>
        <v>0</v>
      </c>
      <c r="L27" s="7">
        <f>+[10]Resumen!L27*1000</f>
        <v>0</v>
      </c>
      <c r="M27" s="7">
        <f>+[10]Resumen!M27*1000</f>
        <v>226553.38837432701</v>
      </c>
      <c r="N27" s="7">
        <f>+[10]Resumen!N27*1000</f>
        <v>243400.16511443924</v>
      </c>
      <c r="O27" s="7">
        <f>+[10]Resumen!O27*1000</f>
        <v>254844.30941929214</v>
      </c>
      <c r="P27" s="7">
        <f>+[10]Resumen!P27*1000</f>
        <v>269769.61391384702</v>
      </c>
      <c r="Q27" s="7">
        <f>+[10]Resumen!Q27*1000</f>
        <v>283409.19592924224</v>
      </c>
      <c r="R27" s="7">
        <f>+[10]Resumen!R27*1000</f>
        <v>286631.99251342402</v>
      </c>
      <c r="S27" s="7">
        <f>+[10]Resumen!S27*1000</f>
        <v>282850.75825691479</v>
      </c>
      <c r="T27" s="7">
        <f>+[10]Resumen!T27*1000</f>
        <v>284182.40761703509</v>
      </c>
      <c r="U27" s="7">
        <f>+[10]Resumen!U27*1000</f>
        <v>284067.86708259094</v>
      </c>
      <c r="V27" s="7">
        <f>+[10]Resumen!V27*1000</f>
        <v>277885.39620861836</v>
      </c>
      <c r="W27" s="7">
        <f>+[10]Resumen!W27*1000</f>
        <v>0</v>
      </c>
      <c r="X27" s="7">
        <f>+[10]Resumen!X27*1000</f>
        <v>0</v>
      </c>
      <c r="Y27" s="7">
        <f>+[10]Resumen!Y27*1000</f>
        <v>0</v>
      </c>
      <c r="Z27" s="7">
        <f>+[10]Resumen!Z27*1000</f>
        <v>0</v>
      </c>
      <c r="AA27" s="7">
        <f>+[10]Resumen!AA27*1000</f>
        <v>0</v>
      </c>
      <c r="AB27" s="7">
        <f>+[10]Resumen!AB27*1000</f>
        <v>0</v>
      </c>
      <c r="AC27" s="7">
        <f>+[10]Resumen!AC27*1000</f>
        <v>0</v>
      </c>
      <c r="AD27" s="60">
        <f t="shared" ref="AD27:AD35" si="3">SUM(F27:AC27)*E27+SUM(F28:AC28)*E28+SUM(F29:AC29)*E29+SUM(F30:AC30)*E30</f>
        <v>77086827.484489784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+[10]Resumen!E28</f>
        <v>5</v>
      </c>
      <c r="F28" s="7">
        <f>+[10]Resumen!F28*1000</f>
        <v>0</v>
      </c>
      <c r="G28" s="7">
        <f>+[10]Resumen!G28*1000</f>
        <v>0</v>
      </c>
      <c r="H28" s="7">
        <f>+[10]Resumen!H28*1000</f>
        <v>0</v>
      </c>
      <c r="I28" s="7">
        <f>+[10]Resumen!I28*1000</f>
        <v>0</v>
      </c>
      <c r="J28" s="7">
        <f>+[10]Resumen!J28*1000</f>
        <v>0</v>
      </c>
      <c r="K28" s="7">
        <f>+[10]Resumen!K28*1000</f>
        <v>0</v>
      </c>
      <c r="L28" s="7">
        <f>+[10]Resumen!L28*1000</f>
        <v>0</v>
      </c>
      <c r="M28" s="7">
        <f>+[10]Resumen!M28*1000</f>
        <v>206997.76008809195</v>
      </c>
      <c r="N28" s="7">
        <f>+[10]Resumen!N28*1000</f>
        <v>228594.88803326362</v>
      </c>
      <c r="O28" s="7">
        <f>+[10]Resumen!O28*1000</f>
        <v>242936.49175094708</v>
      </c>
      <c r="P28" s="7">
        <f>+[10]Resumen!P28*1000</f>
        <v>256804.84496711823</v>
      </c>
      <c r="Q28" s="7">
        <f>+[10]Resumen!Q28*1000</f>
        <v>266576.62000205746</v>
      </c>
      <c r="R28" s="7">
        <f>+[10]Resumen!R28*1000</f>
        <v>267810.43957237224</v>
      </c>
      <c r="S28" s="7">
        <f>+[10]Resumen!S28*1000</f>
        <v>261268.75408897706</v>
      </c>
      <c r="T28" s="7">
        <f>+[10]Resumen!T28*1000</f>
        <v>255637.63154758661</v>
      </c>
      <c r="U28" s="7">
        <f>+[10]Resumen!U28*1000</f>
        <v>253823.24529502398</v>
      </c>
      <c r="V28" s="7">
        <f>+[10]Resumen!V28*1000</f>
        <v>249902.84262915727</v>
      </c>
      <c r="W28" s="7">
        <f>+[10]Resumen!W28*1000</f>
        <v>0</v>
      </c>
      <c r="X28" s="7">
        <f>+[10]Resumen!X28*1000</f>
        <v>0</v>
      </c>
      <c r="Y28" s="7">
        <f>+[10]Resumen!Y28*1000</f>
        <v>0</v>
      </c>
      <c r="Z28" s="7">
        <f>+[10]Resumen!Z28*1000</f>
        <v>0</v>
      </c>
      <c r="AA28" s="7">
        <f>+[10]Resumen!AA28*1000</f>
        <v>0</v>
      </c>
      <c r="AB28" s="7">
        <f>+[10]Resumen!AB28*1000</f>
        <v>0</v>
      </c>
      <c r="AC28" s="7">
        <f>+[10]Resumen!AC28*1000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+[10]Resumen!E29</f>
        <v>4</v>
      </c>
      <c r="F29" s="7">
        <f>+[10]Resumen!F29*1000</f>
        <v>0</v>
      </c>
      <c r="G29" s="7">
        <f>+[10]Resumen!G29*1000</f>
        <v>0</v>
      </c>
      <c r="H29" s="7">
        <f>+[10]Resumen!H29*1000</f>
        <v>0</v>
      </c>
      <c r="I29" s="7">
        <f>+[10]Resumen!I29*1000</f>
        <v>0</v>
      </c>
      <c r="J29" s="7">
        <f>+[10]Resumen!J29*1000</f>
        <v>0</v>
      </c>
      <c r="K29" s="7">
        <f>+[10]Resumen!K29*1000</f>
        <v>0</v>
      </c>
      <c r="L29" s="7">
        <f>+[10]Resumen!L29*1000</f>
        <v>0</v>
      </c>
      <c r="M29" s="7">
        <f>+[10]Resumen!M29*1000</f>
        <v>170212.82066351219</v>
      </c>
      <c r="N29" s="7">
        <f>+[10]Resumen!N29*1000</f>
        <v>187192.79421178525</v>
      </c>
      <c r="O29" s="7">
        <f>+[10]Resumen!O29*1000</f>
        <v>201901.51638910398</v>
      </c>
      <c r="P29" s="7">
        <f>+[10]Resumen!P29*1000</f>
        <v>212723.801872374</v>
      </c>
      <c r="Q29" s="7">
        <f>+[10]Resumen!Q29*1000</f>
        <v>225492.69433181296</v>
      </c>
      <c r="R29" s="7">
        <f>+[10]Resumen!R29*1000</f>
        <v>233613.57838372234</v>
      </c>
      <c r="S29" s="7">
        <f>+[10]Resumen!S29*1000</f>
        <v>234025.83356063144</v>
      </c>
      <c r="T29" s="7">
        <f>+[10]Resumen!T29*1000</f>
        <v>229808.60380310781</v>
      </c>
      <c r="U29" s="7">
        <f>+[10]Resumen!U29*1000</f>
        <v>227320.26325921903</v>
      </c>
      <c r="V29" s="7">
        <f>+[10]Resumen!V29*1000</f>
        <v>224162.35969782711</v>
      </c>
      <c r="W29" s="7">
        <f>+[10]Resumen!W29*1000</f>
        <v>0</v>
      </c>
      <c r="X29" s="7">
        <f>+[10]Resumen!X29*1000</f>
        <v>0</v>
      </c>
      <c r="Y29" s="7">
        <f>+[10]Resumen!Y29*1000</f>
        <v>0</v>
      </c>
      <c r="Z29" s="7">
        <f>+[10]Resumen!Z29*1000</f>
        <v>0</v>
      </c>
      <c r="AA29" s="7">
        <f>+[10]Resumen!AA29*1000</f>
        <v>0</v>
      </c>
      <c r="AB29" s="7">
        <f>+[10]Resumen!AB29*1000</f>
        <v>0</v>
      </c>
      <c r="AC29" s="7">
        <f>+[10]Resumen!AC29*1000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+[10]Resumen!E30</f>
        <v>1</v>
      </c>
      <c r="F30" s="7">
        <f>+[10]Resumen!F30*1000</f>
        <v>0</v>
      </c>
      <c r="G30" s="7">
        <f>+[10]Resumen!G30*1000</f>
        <v>0</v>
      </c>
      <c r="H30" s="7">
        <f>+[10]Resumen!H30*1000</f>
        <v>0</v>
      </c>
      <c r="I30" s="7">
        <f>+[10]Resumen!I30*1000</f>
        <v>0</v>
      </c>
      <c r="J30" s="7">
        <f>+[10]Resumen!J30*1000</f>
        <v>0</v>
      </c>
      <c r="K30" s="7">
        <f>+[10]Resumen!K30*1000</f>
        <v>0</v>
      </c>
      <c r="L30" s="7">
        <f>+[10]Resumen!L30*1000</f>
        <v>0</v>
      </c>
      <c r="M30" s="7">
        <f>+[10]Resumen!M30*1000</f>
        <v>167970.99790987134</v>
      </c>
      <c r="N30" s="7">
        <f>+[10]Resumen!N30*1000</f>
        <v>185341.15295872474</v>
      </c>
      <c r="O30" s="7">
        <f>+[10]Resumen!O30*1000</f>
        <v>200736.80183456533</v>
      </c>
      <c r="P30" s="7">
        <f>+[10]Resumen!P30*1000</f>
        <v>216451.0880904959</v>
      </c>
      <c r="Q30" s="7">
        <f>+[10]Resumen!Q30*1000</f>
        <v>232653.47638390245</v>
      </c>
      <c r="R30" s="7">
        <f>+[10]Resumen!R30*1000</f>
        <v>242127.64523021609</v>
      </c>
      <c r="S30" s="7">
        <f>+[10]Resumen!S30*1000</f>
        <v>240263.2108507964</v>
      </c>
      <c r="T30" s="7">
        <f>+[10]Resumen!T30*1000</f>
        <v>233735.86783432291</v>
      </c>
      <c r="U30" s="7">
        <f>+[10]Resumen!U30*1000</f>
        <v>230470.34707745755</v>
      </c>
      <c r="V30" s="7">
        <f>+[10]Resumen!V30*1000</f>
        <v>227590.35315945401</v>
      </c>
      <c r="W30" s="7">
        <f>+[10]Resumen!W30*1000</f>
        <v>0</v>
      </c>
      <c r="X30" s="7">
        <f>+[10]Resumen!X30*1000</f>
        <v>0</v>
      </c>
      <c r="Y30" s="7">
        <f>+[10]Resumen!Y30*1000</f>
        <v>0</v>
      </c>
      <c r="Z30" s="7">
        <f>+[10]Resumen!Z30*1000</f>
        <v>0</v>
      </c>
      <c r="AA30" s="7">
        <f>+[10]Resumen!AA30*1000</f>
        <v>0</v>
      </c>
      <c r="AB30" s="7">
        <f>+[10]Resumen!AB30*1000</f>
        <v>0</v>
      </c>
      <c r="AC30" s="7">
        <f>+[10]Resumen!AC30*1000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+[10]Resumen!E31</f>
        <v>20</v>
      </c>
      <c r="F31" s="7">
        <f>+[10]Resumen!F31*1000</f>
        <v>0</v>
      </c>
      <c r="G31" s="7">
        <f>+[10]Resumen!G31*1000</f>
        <v>0</v>
      </c>
      <c r="H31" s="7">
        <f>+[10]Resumen!H31*1000</f>
        <v>0</v>
      </c>
      <c r="I31" s="7">
        <f>+[10]Resumen!I31*1000</f>
        <v>0</v>
      </c>
      <c r="J31" s="7">
        <f>+[10]Resumen!J31*1000</f>
        <v>0</v>
      </c>
      <c r="K31" s="7">
        <f>+[10]Resumen!K31*1000</f>
        <v>0</v>
      </c>
      <c r="L31" s="7">
        <f>+[10]Resumen!L31*1000</f>
        <v>0</v>
      </c>
      <c r="M31" s="7">
        <f>+[10]Resumen!M31*1000</f>
        <v>220506.50693301248</v>
      </c>
      <c r="N31" s="7">
        <f>+[10]Resumen!N31*1000</f>
        <v>237279.53284900467</v>
      </c>
      <c r="O31" s="7">
        <f>+[10]Resumen!O31*1000</f>
        <v>249308.59969642974</v>
      </c>
      <c r="P31" s="7">
        <f>+[10]Resumen!P31*1000</f>
        <v>265203.24468724453</v>
      </c>
      <c r="Q31" s="7">
        <f>+[10]Resumen!Q31*1000</f>
        <v>277932.11767995328</v>
      </c>
      <c r="R31" s="7">
        <f>+[10]Resumen!R31*1000</f>
        <v>279514.97933222598</v>
      </c>
      <c r="S31" s="7">
        <f>+[10]Resumen!S31*1000</f>
        <v>275339.66145026241</v>
      </c>
      <c r="T31" s="7">
        <f>+[10]Resumen!T31*1000</f>
        <v>277587.70812627737</v>
      </c>
      <c r="U31" s="7">
        <f>+[10]Resumen!U31*1000</f>
        <v>277165.65447698219</v>
      </c>
      <c r="V31" s="7">
        <f>+[10]Resumen!V31*1000</f>
        <v>270109.95976856176</v>
      </c>
      <c r="W31" s="7">
        <f>+[10]Resumen!W31*1000</f>
        <v>0</v>
      </c>
      <c r="X31" s="7">
        <f>+[10]Resumen!X31*1000</f>
        <v>0</v>
      </c>
      <c r="Y31" s="7">
        <f>+[10]Resumen!Y31*1000</f>
        <v>0</v>
      </c>
      <c r="Z31" s="7">
        <f>+[10]Resumen!Z31*1000</f>
        <v>0</v>
      </c>
      <c r="AA31" s="7">
        <f>+[10]Resumen!AA31*1000</f>
        <v>0</v>
      </c>
      <c r="AB31" s="7">
        <f>+[10]Resumen!AB31*1000</f>
        <v>0</v>
      </c>
      <c r="AC31" s="7">
        <f>+[10]Resumen!AC31*1000</f>
        <v>0</v>
      </c>
      <c r="AD31" s="60">
        <f t="shared" si="3"/>
        <v>77198797.950675443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+[10]Resumen!E32</f>
        <v>4</v>
      </c>
      <c r="F32" s="7">
        <f>+[10]Resumen!F32*1000</f>
        <v>0</v>
      </c>
      <c r="G32" s="7">
        <f>+[10]Resumen!G32*1000</f>
        <v>0</v>
      </c>
      <c r="H32" s="7">
        <f>+[10]Resumen!H32*1000</f>
        <v>0</v>
      </c>
      <c r="I32" s="7">
        <f>+[10]Resumen!I32*1000</f>
        <v>0</v>
      </c>
      <c r="J32" s="7">
        <f>+[10]Resumen!J32*1000</f>
        <v>0</v>
      </c>
      <c r="K32" s="7">
        <f>+[10]Resumen!K32*1000</f>
        <v>0</v>
      </c>
      <c r="L32" s="7">
        <f>+[10]Resumen!L32*1000</f>
        <v>0</v>
      </c>
      <c r="M32" s="7">
        <f>+[10]Resumen!M32*1000</f>
        <v>199020.41137258275</v>
      </c>
      <c r="N32" s="7">
        <f>+[10]Resumen!N32*1000</f>
        <v>221559.57600661521</v>
      </c>
      <c r="O32" s="7">
        <f>+[10]Resumen!O32*1000</f>
        <v>236321.82790036939</v>
      </c>
      <c r="P32" s="7">
        <f>+[10]Resumen!P32*1000</f>
        <v>250739.81410778561</v>
      </c>
      <c r="Q32" s="7">
        <f>+[10]Resumen!Q32*1000</f>
        <v>261095.7591484522</v>
      </c>
      <c r="R32" s="7">
        <f>+[10]Resumen!R32*1000</f>
        <v>261256.57627215554</v>
      </c>
      <c r="S32" s="7">
        <f>+[10]Resumen!S32*1000</f>
        <v>254189.77721858915</v>
      </c>
      <c r="T32" s="7">
        <f>+[10]Resumen!T32*1000</f>
        <v>247917.75446010244</v>
      </c>
      <c r="U32" s="7">
        <f>+[10]Resumen!U32*1000</f>
        <v>245198.25673097139</v>
      </c>
      <c r="V32" s="7">
        <f>+[10]Resumen!V32*1000</f>
        <v>241831.88054351634</v>
      </c>
      <c r="W32" s="7">
        <f>+[10]Resumen!W32*1000</f>
        <v>0</v>
      </c>
      <c r="X32" s="7">
        <f>+[10]Resumen!X32*1000</f>
        <v>0</v>
      </c>
      <c r="Y32" s="7">
        <f>+[10]Resumen!Y32*1000</f>
        <v>0</v>
      </c>
      <c r="Z32" s="7">
        <f>+[10]Resumen!Z32*1000</f>
        <v>0</v>
      </c>
      <c r="AA32" s="7">
        <f>+[10]Resumen!AA32*1000</f>
        <v>0</v>
      </c>
      <c r="AB32" s="7">
        <f>+[10]Resumen!AB32*1000</f>
        <v>0</v>
      </c>
      <c r="AC32" s="7">
        <f>+[10]Resumen!AC32*1000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+[10]Resumen!E33</f>
        <v>5</v>
      </c>
      <c r="F33" s="7">
        <f>+[10]Resumen!F33*1000</f>
        <v>0</v>
      </c>
      <c r="G33" s="7">
        <f>+[10]Resumen!G33*1000</f>
        <v>0</v>
      </c>
      <c r="H33" s="7">
        <f>+[10]Resumen!H33*1000</f>
        <v>0</v>
      </c>
      <c r="I33" s="7">
        <f>+[10]Resumen!I33*1000</f>
        <v>0</v>
      </c>
      <c r="J33" s="7">
        <f>+[10]Resumen!J33*1000</f>
        <v>0</v>
      </c>
      <c r="K33" s="7">
        <f>+[10]Resumen!K33*1000</f>
        <v>0</v>
      </c>
      <c r="L33" s="7">
        <f>+[10]Resumen!L33*1000</f>
        <v>0</v>
      </c>
      <c r="M33" s="7">
        <f>+[10]Resumen!M33*1000</f>
        <v>164231.92563675588</v>
      </c>
      <c r="N33" s="7">
        <f>+[10]Resumen!N33*1000</f>
        <v>182152.04125171609</v>
      </c>
      <c r="O33" s="7">
        <f>+[10]Resumen!O33*1000</f>
        <v>197624.92254125516</v>
      </c>
      <c r="P33" s="7">
        <f>+[10]Resumen!P33*1000</f>
        <v>210839.26369248363</v>
      </c>
      <c r="Q33" s="7">
        <f>+[10]Resumen!Q33*1000</f>
        <v>224229.7670790155</v>
      </c>
      <c r="R33" s="7">
        <f>+[10]Resumen!R33*1000</f>
        <v>231796.75523978923</v>
      </c>
      <c r="S33" s="7">
        <f>+[10]Resumen!S33*1000</f>
        <v>232045.09018518261</v>
      </c>
      <c r="T33" s="7">
        <f>+[10]Resumen!T33*1000</f>
        <v>227651.61851198383</v>
      </c>
      <c r="U33" s="7">
        <f>+[10]Resumen!U33*1000</f>
        <v>224392.55407857691</v>
      </c>
      <c r="V33" s="7">
        <f>+[10]Resumen!V33*1000</f>
        <v>221307.12866870014</v>
      </c>
      <c r="W33" s="7">
        <f>+[10]Resumen!W33*1000</f>
        <v>0</v>
      </c>
      <c r="X33" s="7">
        <f>+[10]Resumen!X33*1000</f>
        <v>0</v>
      </c>
      <c r="Y33" s="7">
        <f>+[10]Resumen!Y33*1000</f>
        <v>0</v>
      </c>
      <c r="Z33" s="7">
        <f>+[10]Resumen!Z33*1000</f>
        <v>0</v>
      </c>
      <c r="AA33" s="7">
        <f>+[10]Resumen!AA33*1000</f>
        <v>0</v>
      </c>
      <c r="AB33" s="7">
        <f>+[10]Resumen!AB33*1000</f>
        <v>0</v>
      </c>
      <c r="AC33" s="7">
        <f>+[10]Resumen!AC33*1000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+[10]Resumen!E34</f>
        <v>2</v>
      </c>
      <c r="F34" s="7">
        <f>+[10]Resumen!F34*1000</f>
        <v>0</v>
      </c>
      <c r="G34" s="7">
        <f>+[10]Resumen!G34*1000</f>
        <v>0</v>
      </c>
      <c r="H34" s="7">
        <f>+[10]Resumen!H34*1000</f>
        <v>0</v>
      </c>
      <c r="I34" s="7">
        <f>+[10]Resumen!I34*1000</f>
        <v>0</v>
      </c>
      <c r="J34" s="7">
        <f>+[10]Resumen!J34*1000</f>
        <v>0</v>
      </c>
      <c r="K34" s="7">
        <f>+[10]Resumen!K34*1000</f>
        <v>0</v>
      </c>
      <c r="L34" s="7">
        <f>+[10]Resumen!L34*1000</f>
        <v>0</v>
      </c>
      <c r="M34" s="7">
        <f>+[10]Resumen!M34*1000</f>
        <v>167859.30816206214</v>
      </c>
      <c r="N34" s="7">
        <f>+[10]Resumen!N34*1000</f>
        <v>186971.65683329524</v>
      </c>
      <c r="O34" s="7">
        <f>+[10]Resumen!O34*1000</f>
        <v>203116.06216282092</v>
      </c>
      <c r="P34" s="7">
        <f>+[10]Resumen!P34*1000</f>
        <v>217947.08264411482</v>
      </c>
      <c r="Q34" s="7">
        <f>+[10]Resumen!Q34*1000</f>
        <v>231999.14559747255</v>
      </c>
      <c r="R34" s="7">
        <f>+[10]Resumen!R34*1000</f>
        <v>239062.26164718746</v>
      </c>
      <c r="S34" s="7">
        <f>+[10]Resumen!S34*1000</f>
        <v>237104.2957913515</v>
      </c>
      <c r="T34" s="7">
        <f>+[10]Resumen!T34*1000</f>
        <v>232212.05597757554</v>
      </c>
      <c r="U34" s="7">
        <f>+[10]Resumen!U34*1000</f>
        <v>230171.13400133434</v>
      </c>
      <c r="V34" s="7">
        <f>+[10]Resumen!V34*1000</f>
        <v>224535.38778503661</v>
      </c>
      <c r="W34" s="7">
        <f>+[10]Resumen!W34*1000</f>
        <v>0</v>
      </c>
      <c r="X34" s="7">
        <f>+[10]Resumen!X34*1000</f>
        <v>0</v>
      </c>
      <c r="Y34" s="7">
        <f>+[10]Resumen!Y34*1000</f>
        <v>0</v>
      </c>
      <c r="Z34" s="7">
        <f>+[10]Resumen!Z34*1000</f>
        <v>0</v>
      </c>
      <c r="AA34" s="7">
        <f>+[10]Resumen!AA34*1000</f>
        <v>0</v>
      </c>
      <c r="AB34" s="7">
        <f>+[10]Resumen!AB34*1000</f>
        <v>0</v>
      </c>
      <c r="AC34" s="7">
        <f>+[10]Resumen!AC34*1000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+[10]Resumen!E35</f>
        <v>21</v>
      </c>
      <c r="F35" s="7">
        <f>+[10]Resumen!F35*1000</f>
        <v>0</v>
      </c>
      <c r="G35" s="7">
        <f>+[10]Resumen!G35*1000</f>
        <v>0</v>
      </c>
      <c r="H35" s="7">
        <f>+[10]Resumen!H35*1000</f>
        <v>0</v>
      </c>
      <c r="I35" s="7">
        <f>+[10]Resumen!I35*1000</f>
        <v>0</v>
      </c>
      <c r="J35" s="7">
        <f>+[10]Resumen!J35*1000</f>
        <v>0</v>
      </c>
      <c r="K35" s="7">
        <f>+[10]Resumen!K35*1000</f>
        <v>0</v>
      </c>
      <c r="L35" s="7">
        <f>+[10]Resumen!L35*1000</f>
        <v>0</v>
      </c>
      <c r="M35" s="7">
        <f>+[10]Resumen!M35*1000</f>
        <v>221975.3282665083</v>
      </c>
      <c r="N35" s="7">
        <f>+[10]Resumen!N35*1000</f>
        <v>237503.39264019739</v>
      </c>
      <c r="O35" s="7">
        <f>+[10]Resumen!O35*1000</f>
        <v>249215.41128828083</v>
      </c>
      <c r="P35" s="7">
        <f>+[10]Resumen!P35*1000</f>
        <v>264866.39812885737</v>
      </c>
      <c r="Q35" s="7">
        <f>+[10]Resumen!Q35*1000</f>
        <v>277326.86336251342</v>
      </c>
      <c r="R35" s="7">
        <f>+[10]Resumen!R35*1000</f>
        <v>278460.32771790586</v>
      </c>
      <c r="S35" s="7">
        <f>+[10]Resumen!S35*1000</f>
        <v>274943.85141675279</v>
      </c>
      <c r="T35" s="7">
        <f>+[10]Resumen!T35*1000</f>
        <v>277130.07719097903</v>
      </c>
      <c r="U35" s="7">
        <f>+[10]Resumen!U35*1000</f>
        <v>276708.85575890029</v>
      </c>
      <c r="V35" s="7">
        <f>+[10]Resumen!V35*1000</f>
        <v>269731.91624461702</v>
      </c>
      <c r="W35" s="7">
        <f>+[10]Resumen!W35*1000</f>
        <v>0</v>
      </c>
      <c r="X35" s="7">
        <f>+[10]Resumen!X35*1000</f>
        <v>0</v>
      </c>
      <c r="Y35" s="7">
        <f>+[10]Resumen!Y35*1000</f>
        <v>0</v>
      </c>
      <c r="Z35" s="7">
        <f>+[10]Resumen!Z35*1000</f>
        <v>0</v>
      </c>
      <c r="AA35" s="7">
        <f>+[10]Resumen!AA35*1000</f>
        <v>0</v>
      </c>
      <c r="AB35" s="7">
        <f>+[10]Resumen!AB35*1000</f>
        <v>0</v>
      </c>
      <c r="AC35" s="7">
        <f>+[10]Resumen!AC35*1000</f>
        <v>0</v>
      </c>
      <c r="AD35" s="60">
        <f t="shared" si="3"/>
        <v>77576414.325853825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+[10]Resumen!E36</f>
        <v>4</v>
      </c>
      <c r="F36" s="7">
        <f>+[10]Resumen!F36*1000</f>
        <v>0</v>
      </c>
      <c r="G36" s="7">
        <f>+[10]Resumen!G36*1000</f>
        <v>0</v>
      </c>
      <c r="H36" s="7">
        <f>+[10]Resumen!H36*1000</f>
        <v>0</v>
      </c>
      <c r="I36" s="7">
        <f>+[10]Resumen!I36*1000</f>
        <v>0</v>
      </c>
      <c r="J36" s="7">
        <f>+[10]Resumen!J36*1000</f>
        <v>0</v>
      </c>
      <c r="K36" s="7">
        <f>+[10]Resumen!K36*1000</f>
        <v>0</v>
      </c>
      <c r="L36" s="7">
        <f>+[10]Resumen!L36*1000</f>
        <v>0</v>
      </c>
      <c r="M36" s="7">
        <f>+[10]Resumen!M36*1000</f>
        <v>202463.64370531397</v>
      </c>
      <c r="N36" s="7">
        <f>+[10]Resumen!N36*1000</f>
        <v>223987.56752224974</v>
      </c>
      <c r="O36" s="7">
        <f>+[10]Resumen!O36*1000</f>
        <v>238671.96283939306</v>
      </c>
      <c r="P36" s="7">
        <f>+[10]Resumen!P36*1000</f>
        <v>252169.77797997309</v>
      </c>
      <c r="Q36" s="7">
        <f>+[10]Resumen!Q36*1000</f>
        <v>261516.3874044299</v>
      </c>
      <c r="R36" s="7">
        <f>+[10]Resumen!R36*1000</f>
        <v>261697.04051402101</v>
      </c>
      <c r="S36" s="7">
        <f>+[10]Resumen!S36*1000</f>
        <v>255181.26443151859</v>
      </c>
      <c r="T36" s="7">
        <f>+[10]Resumen!T36*1000</f>
        <v>248498.53140999796</v>
      </c>
      <c r="U36" s="7">
        <f>+[10]Resumen!U36*1000</f>
        <v>244877.72030202046</v>
      </c>
      <c r="V36" s="7">
        <f>+[10]Resumen!V36*1000</f>
        <v>241572.18893179958</v>
      </c>
      <c r="W36" s="7">
        <f>+[10]Resumen!W36*1000</f>
        <v>0</v>
      </c>
      <c r="X36" s="7">
        <f>+[10]Resumen!X36*1000</f>
        <v>0</v>
      </c>
      <c r="Y36" s="7">
        <f>+[10]Resumen!Y36*1000</f>
        <v>0</v>
      </c>
      <c r="Z36" s="7">
        <f>+[10]Resumen!Z36*1000</f>
        <v>0</v>
      </c>
      <c r="AA36" s="7">
        <f>+[10]Resumen!AA36*1000</f>
        <v>0</v>
      </c>
      <c r="AB36" s="7">
        <f>+[10]Resumen!AB36*1000</f>
        <v>0</v>
      </c>
      <c r="AC36" s="7">
        <f>+[10]Resumen!AC36*1000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+[10]Resumen!E37</f>
        <v>4</v>
      </c>
      <c r="F37" s="7">
        <f>+[10]Resumen!F37*1000</f>
        <v>0</v>
      </c>
      <c r="G37" s="7">
        <f>+[10]Resumen!G37*1000</f>
        <v>0</v>
      </c>
      <c r="H37" s="7">
        <f>+[10]Resumen!H37*1000</f>
        <v>0</v>
      </c>
      <c r="I37" s="7">
        <f>+[10]Resumen!I37*1000</f>
        <v>0</v>
      </c>
      <c r="J37" s="7">
        <f>+[10]Resumen!J37*1000</f>
        <v>0</v>
      </c>
      <c r="K37" s="7">
        <f>+[10]Resumen!K37*1000</f>
        <v>0</v>
      </c>
      <c r="L37" s="7">
        <f>+[10]Resumen!L37*1000</f>
        <v>0</v>
      </c>
      <c r="M37" s="7">
        <f>+[10]Resumen!M37*1000</f>
        <v>163070.83211244622</v>
      </c>
      <c r="N37" s="7">
        <f>+[10]Resumen!N37*1000</f>
        <v>180882.64218205461</v>
      </c>
      <c r="O37" s="7">
        <f>+[10]Resumen!O37*1000</f>
        <v>196012.57915142115</v>
      </c>
      <c r="P37" s="7">
        <f>+[10]Resumen!P37*1000</f>
        <v>207826.42267461773</v>
      </c>
      <c r="Q37" s="7">
        <f>+[10]Resumen!Q37*1000</f>
        <v>220065.73282303449</v>
      </c>
      <c r="R37" s="7">
        <f>+[10]Resumen!R37*1000</f>
        <v>227620.22001881231</v>
      </c>
      <c r="S37" s="7">
        <f>+[10]Resumen!S37*1000</f>
        <v>228014.21289717653</v>
      </c>
      <c r="T37" s="7">
        <f>+[10]Resumen!T37*1000</f>
        <v>221966.95076075231</v>
      </c>
      <c r="U37" s="7">
        <f>+[10]Resumen!U37*1000</f>
        <v>218909.11910629421</v>
      </c>
      <c r="V37" s="7">
        <f>+[10]Resumen!V37*1000</f>
        <v>214615.38733848018</v>
      </c>
      <c r="W37" s="7">
        <f>+[10]Resumen!W37*1000</f>
        <v>0</v>
      </c>
      <c r="X37" s="7">
        <f>+[10]Resumen!X37*1000</f>
        <v>0</v>
      </c>
      <c r="Y37" s="7">
        <f>+[10]Resumen!Y37*1000</f>
        <v>0</v>
      </c>
      <c r="Z37" s="7">
        <f>+[10]Resumen!Z37*1000</f>
        <v>0</v>
      </c>
      <c r="AA37" s="7">
        <f>+[10]Resumen!AA37*1000</f>
        <v>0</v>
      </c>
      <c r="AB37" s="7">
        <f>+[10]Resumen!AB37*1000</f>
        <v>0</v>
      </c>
      <c r="AC37" s="7">
        <f>+[10]Resumen!AC37*1000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+[10]Resumen!E38</f>
        <v>2</v>
      </c>
      <c r="F38" s="7">
        <f>+[10]Resumen!F38*1000</f>
        <v>0</v>
      </c>
      <c r="G38" s="7">
        <f>+[10]Resumen!G38*1000</f>
        <v>0</v>
      </c>
      <c r="H38" s="7">
        <f>+[10]Resumen!H38*1000</f>
        <v>0</v>
      </c>
      <c r="I38" s="7">
        <f>+[10]Resumen!I38*1000</f>
        <v>0</v>
      </c>
      <c r="J38" s="7">
        <f>+[10]Resumen!J38*1000</f>
        <v>0</v>
      </c>
      <c r="K38" s="7">
        <f>+[10]Resumen!K38*1000</f>
        <v>0</v>
      </c>
      <c r="L38" s="7">
        <f>+[10]Resumen!L38*1000</f>
        <v>0</v>
      </c>
      <c r="M38" s="7">
        <f>+[10]Resumen!M38*1000</f>
        <v>170633.70345401095</v>
      </c>
      <c r="N38" s="7">
        <f>+[10]Resumen!N38*1000</f>
        <v>188614.84980707293</v>
      </c>
      <c r="O38" s="7">
        <f>+[10]Resumen!O38*1000</f>
        <v>202956.21227029734</v>
      </c>
      <c r="P38" s="7">
        <f>+[10]Resumen!P38*1000</f>
        <v>218419.4655149121</v>
      </c>
      <c r="Q38" s="7">
        <f>+[10]Resumen!Q38*1000</f>
        <v>233675.10269746045</v>
      </c>
      <c r="R38" s="7">
        <f>+[10]Resumen!R38*1000</f>
        <v>242975.78302761287</v>
      </c>
      <c r="S38" s="7">
        <f>+[10]Resumen!S38*1000</f>
        <v>238599.1394062668</v>
      </c>
      <c r="T38" s="7">
        <f>+[10]Resumen!T38*1000</f>
        <v>230911.51958929448</v>
      </c>
      <c r="U38" s="7">
        <f>+[10]Resumen!U38*1000</f>
        <v>226935.06178187538</v>
      </c>
      <c r="V38" s="7">
        <f>+[10]Resumen!V38*1000</f>
        <v>222690.526003609</v>
      </c>
      <c r="W38" s="7">
        <f>+[10]Resumen!W38*1000</f>
        <v>0</v>
      </c>
      <c r="X38" s="7">
        <f>+[10]Resumen!X38*1000</f>
        <v>0</v>
      </c>
      <c r="Y38" s="7">
        <f>+[10]Resumen!Y38*1000</f>
        <v>0</v>
      </c>
      <c r="Z38" s="7">
        <f>+[10]Resumen!Z38*1000</f>
        <v>0</v>
      </c>
      <c r="AA38" s="7">
        <f>+[10]Resumen!AA38*1000</f>
        <v>0</v>
      </c>
      <c r="AB38" s="7">
        <f>+[10]Resumen!AB38*1000</f>
        <v>0</v>
      </c>
      <c r="AC38" s="7">
        <f>+[10]Resumen!AC38*1000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+[10]Resumen!E39</f>
        <v>20</v>
      </c>
      <c r="F39" s="7">
        <f>+[10]Resumen!F39*1000</f>
        <v>0</v>
      </c>
      <c r="G39" s="7">
        <f>+[10]Resumen!G39*1000</f>
        <v>0</v>
      </c>
      <c r="H39" s="7">
        <f>+[10]Resumen!H39*1000</f>
        <v>0</v>
      </c>
      <c r="I39" s="7">
        <f>+[10]Resumen!I39*1000</f>
        <v>0</v>
      </c>
      <c r="J39" s="7">
        <f>+[10]Resumen!J39*1000</f>
        <v>0</v>
      </c>
      <c r="K39" s="7">
        <f>+[10]Resumen!K39*1000</f>
        <v>0</v>
      </c>
      <c r="L39" s="7">
        <f>+[10]Resumen!L39*1000</f>
        <v>0</v>
      </c>
      <c r="M39" s="7">
        <f>+[10]Resumen!M39*1000</f>
        <v>230823.35325791186</v>
      </c>
      <c r="N39" s="7">
        <f>+[10]Resumen!N39*1000</f>
        <v>246796.40816125262</v>
      </c>
      <c r="O39" s="7">
        <f>+[10]Resumen!O39*1000</f>
        <v>258569.6169081814</v>
      </c>
      <c r="P39" s="7">
        <f>+[10]Resumen!P39*1000</f>
        <v>274851.66122659488</v>
      </c>
      <c r="Q39" s="7">
        <f>+[10]Resumen!Q39*1000</f>
        <v>288358.16816773079</v>
      </c>
      <c r="R39" s="7">
        <f>+[10]Resumen!R39*1000</f>
        <v>290470.55458409048</v>
      </c>
      <c r="S39" s="7">
        <f>+[10]Resumen!S39*1000</f>
        <v>286802.84493728518</v>
      </c>
      <c r="T39" s="7">
        <f>+[10]Resumen!T39*1000</f>
        <v>288347.75438580691</v>
      </c>
      <c r="U39" s="7">
        <f>+[10]Resumen!U39*1000</f>
        <v>288390.66447935801</v>
      </c>
      <c r="V39" s="7">
        <f>+[10]Resumen!V39*1000</f>
        <v>281765.91884840559</v>
      </c>
      <c r="W39" s="7">
        <f>+[10]Resumen!W39*1000</f>
        <v>0</v>
      </c>
      <c r="X39" s="7">
        <f>+[10]Resumen!X39*1000</f>
        <v>0</v>
      </c>
      <c r="Y39" s="7">
        <f>+[10]Resumen!Y39*1000</f>
        <v>0</v>
      </c>
      <c r="Z39" s="7">
        <f>+[10]Resumen!Z39*1000</f>
        <v>0</v>
      </c>
      <c r="AA39" s="7">
        <f>+[10]Resumen!AA39*1000</f>
        <v>0</v>
      </c>
      <c r="AB39" s="7">
        <f>+[10]Resumen!AB39*1000</f>
        <v>0</v>
      </c>
      <c r="AC39" s="7">
        <f>+[10]Resumen!AC39*1000</f>
        <v>0</v>
      </c>
      <c r="AD39" s="60">
        <f t="shared" ref="AD39" si="4">SUM(F39:AC39)*E39+SUM(F40:AC40)*E40+SUM(F41:AC41)*E41+SUM(F42:AC42)*E42</f>
        <v>78156038.754505053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+[10]Resumen!E40</f>
        <v>5</v>
      </c>
      <c r="F40" s="7">
        <f>+[10]Resumen!F40*1000</f>
        <v>0</v>
      </c>
      <c r="G40" s="7">
        <f>+[10]Resumen!G40*1000</f>
        <v>0</v>
      </c>
      <c r="H40" s="7">
        <f>+[10]Resumen!H40*1000</f>
        <v>0</v>
      </c>
      <c r="I40" s="7">
        <f>+[10]Resumen!I40*1000</f>
        <v>0</v>
      </c>
      <c r="J40" s="7">
        <f>+[10]Resumen!J40*1000</f>
        <v>0</v>
      </c>
      <c r="K40" s="7">
        <f>+[10]Resumen!K40*1000</f>
        <v>0</v>
      </c>
      <c r="L40" s="7">
        <f>+[10]Resumen!L40*1000</f>
        <v>0</v>
      </c>
      <c r="M40" s="7">
        <f>+[10]Resumen!M40*1000</f>
        <v>211302.72236164068</v>
      </c>
      <c r="N40" s="7">
        <f>+[10]Resumen!N40*1000</f>
        <v>234110.27483463299</v>
      </c>
      <c r="O40" s="7">
        <f>+[10]Resumen!O40*1000</f>
        <v>249765.65737571992</v>
      </c>
      <c r="P40" s="7">
        <f>+[10]Resumen!P40*1000</f>
        <v>264331.82472788013</v>
      </c>
      <c r="Q40" s="7">
        <f>+[10]Resumen!Q40*1000</f>
        <v>274397.32374666381</v>
      </c>
      <c r="R40" s="7">
        <f>+[10]Resumen!R40*1000</f>
        <v>274818.32605772023</v>
      </c>
      <c r="S40" s="7">
        <f>+[10]Resumen!S40*1000</f>
        <v>266460.72711463651</v>
      </c>
      <c r="T40" s="7">
        <f>+[10]Resumen!T40*1000</f>
        <v>257569.13466661461</v>
      </c>
      <c r="U40" s="7">
        <f>+[10]Resumen!U40*1000</f>
        <v>253298.18484510074</v>
      </c>
      <c r="V40" s="7">
        <f>+[10]Resumen!V40*1000</f>
        <v>248744.5002910179</v>
      </c>
      <c r="W40" s="7">
        <f>+[10]Resumen!W40*1000</f>
        <v>0</v>
      </c>
      <c r="X40" s="7">
        <f>+[10]Resumen!X40*1000</f>
        <v>0</v>
      </c>
      <c r="Y40" s="7">
        <f>+[10]Resumen!Y40*1000</f>
        <v>0</v>
      </c>
      <c r="Z40" s="7">
        <f>+[10]Resumen!Z40*1000</f>
        <v>0</v>
      </c>
      <c r="AA40" s="7">
        <f>+[10]Resumen!AA40*1000</f>
        <v>0</v>
      </c>
      <c r="AB40" s="7">
        <f>+[10]Resumen!AB40*1000</f>
        <v>0</v>
      </c>
      <c r="AC40" s="7">
        <f>+[10]Resumen!AC40*1000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+[10]Resumen!E41</f>
        <v>5</v>
      </c>
      <c r="F41" s="7">
        <f>+[10]Resumen!F41*1000</f>
        <v>0</v>
      </c>
      <c r="G41" s="7">
        <f>+[10]Resumen!G41*1000</f>
        <v>0</v>
      </c>
      <c r="H41" s="7">
        <f>+[10]Resumen!H41*1000</f>
        <v>0</v>
      </c>
      <c r="I41" s="7">
        <f>+[10]Resumen!I41*1000</f>
        <v>0</v>
      </c>
      <c r="J41" s="7">
        <f>+[10]Resumen!J41*1000</f>
        <v>0</v>
      </c>
      <c r="K41" s="7">
        <f>+[10]Resumen!K41*1000</f>
        <v>0</v>
      </c>
      <c r="L41" s="7">
        <f>+[10]Resumen!L41*1000</f>
        <v>0</v>
      </c>
      <c r="M41" s="7">
        <f>+[10]Resumen!M41*1000</f>
        <v>168685.53607056115</v>
      </c>
      <c r="N41" s="7">
        <f>+[10]Resumen!N41*1000</f>
        <v>186864.19899856547</v>
      </c>
      <c r="O41" s="7">
        <f>+[10]Resumen!O41*1000</f>
        <v>202139.68544706344</v>
      </c>
      <c r="P41" s="7">
        <f>+[10]Resumen!P41*1000</f>
        <v>215622.3192634744</v>
      </c>
      <c r="Q41" s="7">
        <f>+[10]Resumen!Q41*1000</f>
        <v>228496.56909450909</v>
      </c>
      <c r="R41" s="7">
        <f>+[10]Resumen!R41*1000</f>
        <v>236395.37731021631</v>
      </c>
      <c r="S41" s="7">
        <f>+[10]Resumen!S41*1000</f>
        <v>235502.91066598188</v>
      </c>
      <c r="T41" s="7">
        <f>+[10]Resumen!T41*1000</f>
        <v>229993.12805076159</v>
      </c>
      <c r="U41" s="7">
        <f>+[10]Resumen!U41*1000</f>
        <v>227406.58808867593</v>
      </c>
      <c r="V41" s="7">
        <f>+[10]Resumen!V41*1000</f>
        <v>224594.98206310251</v>
      </c>
      <c r="W41" s="7">
        <f>+[10]Resumen!W41*1000</f>
        <v>0</v>
      </c>
      <c r="X41" s="7">
        <f>+[10]Resumen!X41*1000</f>
        <v>0</v>
      </c>
      <c r="Y41" s="7">
        <f>+[10]Resumen!Y41*1000</f>
        <v>0</v>
      </c>
      <c r="Z41" s="7">
        <f>+[10]Resumen!Z41*1000</f>
        <v>0</v>
      </c>
      <c r="AA41" s="7">
        <f>+[10]Resumen!AA41*1000</f>
        <v>0</v>
      </c>
      <c r="AB41" s="7">
        <f>+[10]Resumen!AB41*1000</f>
        <v>0</v>
      </c>
      <c r="AC41" s="7">
        <f>+[10]Resumen!AC41*1000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+[10]Resumen!E42</f>
        <v>0</v>
      </c>
      <c r="F42" s="7">
        <f>+[10]Resumen!F42*1000</f>
        <v>0</v>
      </c>
      <c r="G42" s="7">
        <f>+[10]Resumen!G42*1000</f>
        <v>0</v>
      </c>
      <c r="H42" s="7">
        <f>+[10]Resumen!H42*1000</f>
        <v>0</v>
      </c>
      <c r="I42" s="7">
        <f>+[10]Resumen!I42*1000</f>
        <v>0</v>
      </c>
      <c r="J42" s="7">
        <f>+[10]Resumen!J42*1000</f>
        <v>0</v>
      </c>
      <c r="K42" s="7">
        <f>+[10]Resumen!K42*1000</f>
        <v>0</v>
      </c>
      <c r="L42" s="7">
        <f>+[10]Resumen!L42*1000</f>
        <v>0</v>
      </c>
      <c r="M42" s="7">
        <f>+[10]Resumen!M42*1000</f>
        <v>0</v>
      </c>
      <c r="N42" s="7">
        <f>+[10]Resumen!N42*1000</f>
        <v>0</v>
      </c>
      <c r="O42" s="7">
        <f>+[10]Resumen!O42*1000</f>
        <v>0</v>
      </c>
      <c r="P42" s="7">
        <f>+[10]Resumen!P42*1000</f>
        <v>0</v>
      </c>
      <c r="Q42" s="7">
        <f>+[10]Resumen!Q42*1000</f>
        <v>0</v>
      </c>
      <c r="R42" s="7">
        <f>+[10]Resumen!R42*1000</f>
        <v>0</v>
      </c>
      <c r="S42" s="7">
        <f>+[10]Resumen!S42*1000</f>
        <v>0</v>
      </c>
      <c r="T42" s="7">
        <f>+[10]Resumen!T42*1000</f>
        <v>0</v>
      </c>
      <c r="U42" s="7">
        <f>+[10]Resumen!U42*1000</f>
        <v>0</v>
      </c>
      <c r="V42" s="7">
        <f>+[10]Resumen!V42*1000</f>
        <v>0</v>
      </c>
      <c r="W42" s="7">
        <f>+[10]Resumen!W42*1000</f>
        <v>0</v>
      </c>
      <c r="X42" s="7">
        <f>+[10]Resumen!X42*1000</f>
        <v>0</v>
      </c>
      <c r="Y42" s="7">
        <f>+[10]Resumen!Y42*1000</f>
        <v>0</v>
      </c>
      <c r="Z42" s="7">
        <f>+[10]Resumen!Z42*1000</f>
        <v>0</v>
      </c>
      <c r="AA42" s="7">
        <f>+[10]Resumen!AA42*1000</f>
        <v>0</v>
      </c>
      <c r="AB42" s="7">
        <f>+[10]Resumen!AB42*1000</f>
        <v>0</v>
      </c>
      <c r="AC42" s="7">
        <f>+[10]Resumen!AC42*1000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+[10]Resumen!E43</f>
        <v>22</v>
      </c>
      <c r="F43" s="7">
        <f>+[10]Resumen!F43*1000</f>
        <v>0</v>
      </c>
      <c r="G43" s="7">
        <f>+[10]Resumen!G43*1000</f>
        <v>0</v>
      </c>
      <c r="H43" s="7">
        <f>+[10]Resumen!H43*1000</f>
        <v>0</v>
      </c>
      <c r="I43" s="7">
        <f>+[10]Resumen!I43*1000</f>
        <v>0</v>
      </c>
      <c r="J43" s="7">
        <f>+[10]Resumen!J43*1000</f>
        <v>0</v>
      </c>
      <c r="K43" s="7">
        <f>+[10]Resumen!K43*1000</f>
        <v>0</v>
      </c>
      <c r="L43" s="7">
        <f>+[10]Resumen!L43*1000</f>
        <v>0</v>
      </c>
      <c r="M43" s="7">
        <f>+[10]Resumen!M43*1000</f>
        <v>221699.97503504806</v>
      </c>
      <c r="N43" s="7">
        <f>+[10]Resumen!N43*1000</f>
        <v>237836.36584717809</v>
      </c>
      <c r="O43" s="7">
        <f>+[10]Resumen!O43*1000</f>
        <v>248968.92891153149</v>
      </c>
      <c r="P43" s="7">
        <f>+[10]Resumen!P43*1000</f>
        <v>263865.84284694976</v>
      </c>
      <c r="Q43" s="7">
        <f>+[10]Resumen!Q43*1000</f>
        <v>277090.30783208256</v>
      </c>
      <c r="R43" s="7">
        <f>+[10]Resumen!R43*1000</f>
        <v>279788.29850086209</v>
      </c>
      <c r="S43" s="7">
        <f>+[10]Resumen!S43*1000</f>
        <v>275873.39156730496</v>
      </c>
      <c r="T43" s="7">
        <f>+[10]Resumen!T43*1000</f>
        <v>277318.53897700534</v>
      </c>
      <c r="U43" s="7">
        <f>+[10]Resumen!U43*1000</f>
        <v>276855.66020388738</v>
      </c>
      <c r="V43" s="7">
        <f>+[10]Resumen!V43*1000</f>
        <v>270491.29674787377</v>
      </c>
      <c r="W43" s="7">
        <f>+[10]Resumen!W43*1000</f>
        <v>0</v>
      </c>
      <c r="X43" s="7">
        <f>+[10]Resumen!X43*1000</f>
        <v>0</v>
      </c>
      <c r="Y43" s="7">
        <f>+[10]Resumen!Y43*1000</f>
        <v>0</v>
      </c>
      <c r="Z43" s="7">
        <f>+[10]Resumen!Z43*1000</f>
        <v>0</v>
      </c>
      <c r="AA43" s="7">
        <f>+[10]Resumen!AA43*1000</f>
        <v>0</v>
      </c>
      <c r="AB43" s="7">
        <f>+[10]Resumen!AB43*1000</f>
        <v>0</v>
      </c>
      <c r="AC43" s="7">
        <f>+[10]Resumen!AC43*1000</f>
        <v>0</v>
      </c>
      <c r="AD43" s="60">
        <f t="shared" ref="AD43" si="5">SUM(F43:AC43)*E43+SUM(F44:AC44)*E44+SUM(F45:AC45)*E45+SUM(F46:AC46)*E46</f>
        <v>78384547.92416501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+[10]Resumen!E44</f>
        <v>4</v>
      </c>
      <c r="F44" s="7">
        <f>+[10]Resumen!F44*1000</f>
        <v>0</v>
      </c>
      <c r="G44" s="7">
        <f>+[10]Resumen!G44*1000</f>
        <v>0</v>
      </c>
      <c r="H44" s="7">
        <f>+[10]Resumen!H44*1000</f>
        <v>0</v>
      </c>
      <c r="I44" s="7">
        <f>+[10]Resumen!I44*1000</f>
        <v>0</v>
      </c>
      <c r="J44" s="7">
        <f>+[10]Resumen!J44*1000</f>
        <v>0</v>
      </c>
      <c r="K44" s="7">
        <f>+[10]Resumen!K44*1000</f>
        <v>0</v>
      </c>
      <c r="L44" s="7">
        <f>+[10]Resumen!L44*1000</f>
        <v>0</v>
      </c>
      <c r="M44" s="7">
        <f>+[10]Resumen!M44*1000</f>
        <v>203631.24445998625</v>
      </c>
      <c r="N44" s="7">
        <f>+[10]Resumen!N44*1000</f>
        <v>225376.19277488533</v>
      </c>
      <c r="O44" s="7">
        <f>+[10]Resumen!O44*1000</f>
        <v>240329.87454851475</v>
      </c>
      <c r="P44" s="7">
        <f>+[10]Resumen!P44*1000</f>
        <v>254677.76194885111</v>
      </c>
      <c r="Q44" s="7">
        <f>+[10]Resumen!Q44*1000</f>
        <v>264569.64629088494</v>
      </c>
      <c r="R44" s="7">
        <f>+[10]Resumen!R44*1000</f>
        <v>265563.32250069489</v>
      </c>
      <c r="S44" s="7">
        <f>+[10]Resumen!S44*1000</f>
        <v>258899.76588865096</v>
      </c>
      <c r="T44" s="7">
        <f>+[10]Resumen!T44*1000</f>
        <v>252048.06621206808</v>
      </c>
      <c r="U44" s="7">
        <f>+[10]Resumen!U44*1000</f>
        <v>249262.66838878163</v>
      </c>
      <c r="V44" s="7">
        <f>+[10]Resumen!V44*1000</f>
        <v>246126.89605065362</v>
      </c>
      <c r="W44" s="7">
        <f>+[10]Resumen!W44*1000</f>
        <v>0</v>
      </c>
      <c r="X44" s="7">
        <f>+[10]Resumen!X44*1000</f>
        <v>0</v>
      </c>
      <c r="Y44" s="7">
        <f>+[10]Resumen!Y44*1000</f>
        <v>0</v>
      </c>
      <c r="Z44" s="7">
        <f>+[10]Resumen!Z44*1000</f>
        <v>0</v>
      </c>
      <c r="AA44" s="7">
        <f>+[10]Resumen!AA44*1000</f>
        <v>0</v>
      </c>
      <c r="AB44" s="7">
        <f>+[10]Resumen!AB44*1000</f>
        <v>0</v>
      </c>
      <c r="AC44" s="7">
        <f>+[10]Resumen!AC44*1000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+[10]Resumen!E45</f>
        <v>4</v>
      </c>
      <c r="F45" s="7">
        <f>+[10]Resumen!F45*1000</f>
        <v>0</v>
      </c>
      <c r="G45" s="7">
        <f>+[10]Resumen!G45*1000</f>
        <v>0</v>
      </c>
      <c r="H45" s="7">
        <f>+[10]Resumen!H45*1000</f>
        <v>0</v>
      </c>
      <c r="I45" s="7">
        <f>+[10]Resumen!I45*1000</f>
        <v>0</v>
      </c>
      <c r="J45" s="7">
        <f>+[10]Resumen!J45*1000</f>
        <v>0</v>
      </c>
      <c r="K45" s="7">
        <f>+[10]Resumen!K45*1000</f>
        <v>0</v>
      </c>
      <c r="L45" s="7">
        <f>+[10]Resumen!L45*1000</f>
        <v>0</v>
      </c>
      <c r="M45" s="7">
        <f>+[10]Resumen!M45*1000</f>
        <v>168196.27866769425</v>
      </c>
      <c r="N45" s="7">
        <f>+[10]Resumen!N45*1000</f>
        <v>186008.63985987415</v>
      </c>
      <c r="O45" s="7">
        <f>+[10]Resumen!O45*1000</f>
        <v>200723.14550417839</v>
      </c>
      <c r="P45" s="7">
        <f>+[10]Resumen!P45*1000</f>
        <v>213576.79795910616</v>
      </c>
      <c r="Q45" s="7">
        <f>+[10]Resumen!Q45*1000</f>
        <v>227034.03587035355</v>
      </c>
      <c r="R45" s="7">
        <f>+[10]Resumen!R45*1000</f>
        <v>234261.65647431056</v>
      </c>
      <c r="S45" s="7">
        <f>+[10]Resumen!S45*1000</f>
        <v>232643.19982928553</v>
      </c>
      <c r="T45" s="7">
        <f>+[10]Resumen!T45*1000</f>
        <v>227192.15935482175</v>
      </c>
      <c r="U45" s="7">
        <f>+[10]Resumen!U45*1000</f>
        <v>223884.35709400495</v>
      </c>
      <c r="V45" s="7">
        <f>+[10]Resumen!V45*1000</f>
        <v>219728.83535774323</v>
      </c>
      <c r="W45" s="7">
        <f>+[10]Resumen!W45*1000</f>
        <v>0</v>
      </c>
      <c r="X45" s="7">
        <f>+[10]Resumen!X45*1000</f>
        <v>0</v>
      </c>
      <c r="Y45" s="7">
        <f>+[10]Resumen!Y45*1000</f>
        <v>0</v>
      </c>
      <c r="Z45" s="7">
        <f>+[10]Resumen!Z45*1000</f>
        <v>0</v>
      </c>
      <c r="AA45" s="7">
        <f>+[10]Resumen!AA45*1000</f>
        <v>0</v>
      </c>
      <c r="AB45" s="7">
        <f>+[10]Resumen!AB45*1000</f>
        <v>0</v>
      </c>
      <c r="AC45" s="7">
        <f>+[10]Resumen!AC45*1000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+[10]Resumen!E46</f>
        <v>1</v>
      </c>
      <c r="F46" s="7">
        <f>+[10]Resumen!F46*1000</f>
        <v>0</v>
      </c>
      <c r="G46" s="7">
        <f>+[10]Resumen!G46*1000</f>
        <v>0</v>
      </c>
      <c r="H46" s="7">
        <f>+[10]Resumen!H46*1000</f>
        <v>0</v>
      </c>
      <c r="I46" s="7">
        <f>+[10]Resumen!I46*1000</f>
        <v>0</v>
      </c>
      <c r="J46" s="7">
        <f>+[10]Resumen!J46*1000</f>
        <v>0</v>
      </c>
      <c r="K46" s="7">
        <f>+[10]Resumen!K46*1000</f>
        <v>0</v>
      </c>
      <c r="L46" s="7">
        <f>+[10]Resumen!L46*1000</f>
        <v>0</v>
      </c>
      <c r="M46" s="7">
        <f>+[10]Resumen!M46*1000</f>
        <v>166127.9488569019</v>
      </c>
      <c r="N46" s="7">
        <f>+[10]Resumen!N46*1000</f>
        <v>183934.57084896945</v>
      </c>
      <c r="O46" s="7">
        <f>+[10]Resumen!O46*1000</f>
        <v>197255.97364641243</v>
      </c>
      <c r="P46" s="7">
        <f>+[10]Resumen!P46*1000</f>
        <v>211272.10296543781</v>
      </c>
      <c r="Q46" s="7">
        <f>+[10]Resumen!Q46*1000</f>
        <v>228504.75403936658</v>
      </c>
      <c r="R46" s="7">
        <f>+[10]Resumen!R46*1000</f>
        <v>239465.03043316657</v>
      </c>
      <c r="S46" s="7">
        <f>+[10]Resumen!S46*1000</f>
        <v>239152.51737498588</v>
      </c>
      <c r="T46" s="7">
        <f>+[10]Resumen!T46*1000</f>
        <v>231664.89750454327</v>
      </c>
      <c r="U46" s="7">
        <f>+[10]Resumen!U46*1000</f>
        <v>229414.00225523693</v>
      </c>
      <c r="V46" s="7">
        <f>+[10]Resumen!V46*1000</f>
        <v>227468.60376470673</v>
      </c>
      <c r="W46" s="7">
        <f>+[10]Resumen!W46*1000</f>
        <v>0</v>
      </c>
      <c r="X46" s="7">
        <f>+[10]Resumen!X46*1000</f>
        <v>0</v>
      </c>
      <c r="Y46" s="7">
        <f>+[10]Resumen!Y46*1000</f>
        <v>0</v>
      </c>
      <c r="Z46" s="7">
        <f>+[10]Resumen!Z46*1000</f>
        <v>0</v>
      </c>
      <c r="AA46" s="7">
        <f>+[10]Resumen!AA46*1000</f>
        <v>0</v>
      </c>
      <c r="AB46" s="7">
        <f>+[10]Resumen!AB46*1000</f>
        <v>0</v>
      </c>
      <c r="AC46" s="7">
        <f>+[10]Resumen!AC46*1000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+[10]Resumen!E47</f>
        <v>20</v>
      </c>
      <c r="F47" s="7">
        <f>+[10]Resumen!F47*1000</f>
        <v>0</v>
      </c>
      <c r="G47" s="7">
        <f>+[10]Resumen!G47*1000</f>
        <v>0</v>
      </c>
      <c r="H47" s="7">
        <f>+[10]Resumen!H47*1000</f>
        <v>0</v>
      </c>
      <c r="I47" s="7">
        <f>+[10]Resumen!I47*1000</f>
        <v>0</v>
      </c>
      <c r="J47" s="7">
        <f>+[10]Resumen!J47*1000</f>
        <v>0</v>
      </c>
      <c r="K47" s="7">
        <f>+[10]Resumen!K47*1000</f>
        <v>0</v>
      </c>
      <c r="L47" s="7">
        <f>+[10]Resumen!L47*1000</f>
        <v>0</v>
      </c>
      <c r="M47" s="7">
        <f>+[10]Resumen!M47*1000</f>
        <v>233637.8786837738</v>
      </c>
      <c r="N47" s="7">
        <f>+[10]Resumen!N47*1000</f>
        <v>249984.94661225312</v>
      </c>
      <c r="O47" s="7">
        <f>+[10]Resumen!O47*1000</f>
        <v>260997.56194359902</v>
      </c>
      <c r="P47" s="7">
        <f>+[10]Resumen!P47*1000</f>
        <v>275917.68500064412</v>
      </c>
      <c r="Q47" s="7">
        <f>+[10]Resumen!Q47*1000</f>
        <v>289588.10774660826</v>
      </c>
      <c r="R47" s="7">
        <f>+[10]Resumen!R47*1000</f>
        <v>292810.00571326382</v>
      </c>
      <c r="S47" s="7">
        <f>+[10]Resumen!S47*1000</f>
        <v>288195.84818368178</v>
      </c>
      <c r="T47" s="7">
        <f>+[10]Resumen!T47*1000</f>
        <v>288652.48090098909</v>
      </c>
      <c r="U47" s="7">
        <f>+[10]Resumen!U47*1000</f>
        <v>288176.25345225312</v>
      </c>
      <c r="V47" s="7">
        <f>+[10]Resumen!V47*1000</f>
        <v>282792.30827752146</v>
      </c>
      <c r="W47" s="7">
        <f>+[10]Resumen!W47*1000</f>
        <v>0</v>
      </c>
      <c r="X47" s="7">
        <f>+[10]Resumen!X47*1000</f>
        <v>0</v>
      </c>
      <c r="Y47" s="7">
        <f>+[10]Resumen!Y47*1000</f>
        <v>0</v>
      </c>
      <c r="Z47" s="7">
        <f>+[10]Resumen!Z47*1000</f>
        <v>0</v>
      </c>
      <c r="AA47" s="7">
        <f>+[10]Resumen!AA47*1000</f>
        <v>0</v>
      </c>
      <c r="AB47" s="7">
        <f>+[10]Resumen!AB47*1000</f>
        <v>0</v>
      </c>
      <c r="AC47" s="7">
        <f>+[10]Resumen!AC47*1000</f>
        <v>0</v>
      </c>
      <c r="AD47" s="60">
        <f t="shared" ref="AD47" si="6">SUM(F47:AC47)*E47+SUM(F48:AC48)*E48+SUM(F49:AC49)*E49+SUM(F50:AC50)*E50</f>
        <v>78406087.611415505</v>
      </c>
      <c r="AF47" s="8"/>
      <c r="AG47" s="8">
        <f>130*3000</f>
        <v>390000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+[10]Resumen!E48</f>
        <v>4</v>
      </c>
      <c r="F48" s="7">
        <f>+[10]Resumen!F48*1000</f>
        <v>0</v>
      </c>
      <c r="G48" s="7">
        <f>+[10]Resumen!G48*1000</f>
        <v>0</v>
      </c>
      <c r="H48" s="7">
        <f>+[10]Resumen!H48*1000</f>
        <v>0</v>
      </c>
      <c r="I48" s="7">
        <f>+[10]Resumen!I48*1000</f>
        <v>0</v>
      </c>
      <c r="J48" s="7">
        <f>+[10]Resumen!J48*1000</f>
        <v>0</v>
      </c>
      <c r="K48" s="7">
        <f>+[10]Resumen!K48*1000</f>
        <v>0</v>
      </c>
      <c r="L48" s="7">
        <f>+[10]Resumen!L48*1000</f>
        <v>0</v>
      </c>
      <c r="M48" s="7">
        <f>+[10]Resumen!M48*1000</f>
        <v>213650.26768858131</v>
      </c>
      <c r="N48" s="7">
        <f>+[10]Resumen!N48*1000</f>
        <v>236657.94848203569</v>
      </c>
      <c r="O48" s="7">
        <f>+[10]Resumen!O48*1000</f>
        <v>250795.7917823098</v>
      </c>
      <c r="P48" s="7">
        <f>+[10]Resumen!P48*1000</f>
        <v>263768.6925536482</v>
      </c>
      <c r="Q48" s="7">
        <f>+[10]Resumen!Q48*1000</f>
        <v>272999.95135988097</v>
      </c>
      <c r="R48" s="7">
        <f>+[10]Resumen!R48*1000</f>
        <v>274002.56947808026</v>
      </c>
      <c r="S48" s="7">
        <f>+[10]Resumen!S48*1000</f>
        <v>266902.27368155197</v>
      </c>
      <c r="T48" s="7">
        <f>+[10]Resumen!T48*1000</f>
        <v>259746.5291996345</v>
      </c>
      <c r="U48" s="7">
        <f>+[10]Resumen!U48*1000</f>
        <v>256051.55779895961</v>
      </c>
      <c r="V48" s="7">
        <f>+[10]Resumen!V48*1000</f>
        <v>252644.34984765091</v>
      </c>
      <c r="W48" s="7">
        <f>+[10]Resumen!W48*1000</f>
        <v>0</v>
      </c>
      <c r="X48" s="7">
        <f>+[10]Resumen!X48*1000</f>
        <v>0</v>
      </c>
      <c r="Y48" s="7">
        <f>+[10]Resumen!Y48*1000</f>
        <v>0</v>
      </c>
      <c r="Z48" s="7">
        <f>+[10]Resumen!Z48*1000</f>
        <v>0</v>
      </c>
      <c r="AA48" s="7">
        <f>+[10]Resumen!AA48*1000</f>
        <v>0</v>
      </c>
      <c r="AB48" s="7">
        <f>+[10]Resumen!AB48*1000</f>
        <v>0</v>
      </c>
      <c r="AC48" s="7">
        <f>+[10]Resumen!AC48*1000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+[10]Resumen!E49</f>
        <v>4</v>
      </c>
      <c r="F49" s="7">
        <f>+[10]Resumen!F49*1000</f>
        <v>0</v>
      </c>
      <c r="G49" s="7">
        <f>+[10]Resumen!G49*1000</f>
        <v>0</v>
      </c>
      <c r="H49" s="7">
        <f>+[10]Resumen!H49*1000</f>
        <v>0</v>
      </c>
      <c r="I49" s="7">
        <f>+[10]Resumen!I49*1000</f>
        <v>0</v>
      </c>
      <c r="J49" s="7">
        <f>+[10]Resumen!J49*1000</f>
        <v>0</v>
      </c>
      <c r="K49" s="7">
        <f>+[10]Resumen!K49*1000</f>
        <v>0</v>
      </c>
      <c r="L49" s="7">
        <f>+[10]Resumen!L49*1000</f>
        <v>0</v>
      </c>
      <c r="M49" s="7">
        <f>+[10]Resumen!M49*1000</f>
        <v>172448.03879966936</v>
      </c>
      <c r="N49" s="7">
        <f>+[10]Resumen!N49*1000</f>
        <v>191329.65746098672</v>
      </c>
      <c r="O49" s="7">
        <f>+[10]Resumen!O49*1000</f>
        <v>207268.67777885604</v>
      </c>
      <c r="P49" s="7">
        <f>+[10]Resumen!P49*1000</f>
        <v>219621.60328406686</v>
      </c>
      <c r="Q49" s="7">
        <f>+[10]Resumen!Q49*1000</f>
        <v>231971.99451078605</v>
      </c>
      <c r="R49" s="7">
        <f>+[10]Resumen!R49*1000</f>
        <v>240169.0043045636</v>
      </c>
      <c r="S49" s="7">
        <f>+[10]Resumen!S49*1000</f>
        <v>241078.22817365362</v>
      </c>
      <c r="T49" s="7">
        <f>+[10]Resumen!T49*1000</f>
        <v>235958.38580455465</v>
      </c>
      <c r="U49" s="7">
        <f>+[10]Resumen!U49*1000</f>
        <v>231272.32559280924</v>
      </c>
      <c r="V49" s="7">
        <f>+[10]Resumen!V49*1000</f>
        <v>226873.16783974596</v>
      </c>
      <c r="W49" s="7">
        <f>+[10]Resumen!W49*1000</f>
        <v>0</v>
      </c>
      <c r="X49" s="7">
        <f>+[10]Resumen!X49*1000</f>
        <v>0</v>
      </c>
      <c r="Y49" s="7">
        <f>+[10]Resumen!Y49*1000</f>
        <v>0</v>
      </c>
      <c r="Z49" s="7">
        <f>+[10]Resumen!Z49*1000</f>
        <v>0</v>
      </c>
      <c r="AA49" s="7">
        <f>+[10]Resumen!AA49*1000</f>
        <v>0</v>
      </c>
      <c r="AB49" s="7">
        <f>+[10]Resumen!AB49*1000</f>
        <v>0</v>
      </c>
      <c r="AC49" s="7">
        <f>+[10]Resumen!AC49*1000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+[10]Resumen!E50</f>
        <v>2</v>
      </c>
      <c r="F50" s="7">
        <f>+[10]Resumen!F50*1000</f>
        <v>0</v>
      </c>
      <c r="G50" s="7">
        <f>+[10]Resumen!G50*1000</f>
        <v>0</v>
      </c>
      <c r="H50" s="7">
        <f>+[10]Resumen!H50*1000</f>
        <v>0</v>
      </c>
      <c r="I50" s="7">
        <f>+[10]Resumen!I50*1000</f>
        <v>0</v>
      </c>
      <c r="J50" s="7">
        <f>+[10]Resumen!J50*1000</f>
        <v>0</v>
      </c>
      <c r="K50" s="7">
        <f>+[10]Resumen!K50*1000</f>
        <v>0</v>
      </c>
      <c r="L50" s="7">
        <f>+[10]Resumen!L50*1000</f>
        <v>0</v>
      </c>
      <c r="M50" s="7">
        <f>+[10]Resumen!M50*1000</f>
        <v>168540.63731446594</v>
      </c>
      <c r="N50" s="7">
        <f>+[10]Resumen!N50*1000</f>
        <v>187747.8388282808</v>
      </c>
      <c r="O50" s="7">
        <f>+[10]Resumen!O50*1000</f>
        <v>203260.96313225976</v>
      </c>
      <c r="P50" s="7">
        <f>+[10]Resumen!P50*1000</f>
        <v>219543.34387890974</v>
      </c>
      <c r="Q50" s="7">
        <f>+[10]Resumen!Q50*1000</f>
        <v>235177.41634723087</v>
      </c>
      <c r="R50" s="7">
        <f>+[10]Resumen!R50*1000</f>
        <v>245399.71969766088</v>
      </c>
      <c r="S50" s="7">
        <f>+[10]Resumen!S50*1000</f>
        <v>244904.98648257731</v>
      </c>
      <c r="T50" s="7">
        <f>+[10]Resumen!T50*1000</f>
        <v>237694.64323923617</v>
      </c>
      <c r="U50" s="7">
        <f>+[10]Resumen!U50*1000</f>
        <v>232554.16586718784</v>
      </c>
      <c r="V50" s="7">
        <f>+[10]Resumen!V50*1000</f>
        <v>230267.29493001962</v>
      </c>
      <c r="W50" s="7">
        <f>+[10]Resumen!W50*1000</f>
        <v>0</v>
      </c>
      <c r="X50" s="7">
        <f>+[10]Resumen!X50*1000</f>
        <v>0</v>
      </c>
      <c r="Y50" s="7">
        <f>+[10]Resumen!Y50*1000</f>
        <v>0</v>
      </c>
      <c r="Z50" s="7">
        <f>+[10]Resumen!Z50*1000</f>
        <v>0</v>
      </c>
      <c r="AA50" s="7">
        <f>+[10]Resumen!AA50*1000</f>
        <v>0</v>
      </c>
      <c r="AB50" s="7">
        <f>+[10]Resumen!AB50*1000</f>
        <v>0</v>
      </c>
      <c r="AC50" s="7">
        <f>+[10]Resumen!AC50*1000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+[10]Resumen!E51</f>
        <v>20</v>
      </c>
      <c r="F51" s="7">
        <f>+[10]Resumen!F51*1000</f>
        <v>0</v>
      </c>
      <c r="G51" s="7">
        <f>+[10]Resumen!G51*1000</f>
        <v>0</v>
      </c>
      <c r="H51" s="7">
        <f>+[10]Resumen!H51*1000</f>
        <v>0</v>
      </c>
      <c r="I51" s="7">
        <f>+[10]Resumen!I51*1000</f>
        <v>0</v>
      </c>
      <c r="J51" s="7">
        <f>+[10]Resumen!J51*1000</f>
        <v>0</v>
      </c>
      <c r="K51" s="7">
        <f>+[10]Resumen!K51*1000</f>
        <v>0</v>
      </c>
      <c r="L51" s="7">
        <f>+[10]Resumen!L51*1000</f>
        <v>0</v>
      </c>
      <c r="M51" s="7">
        <f>+[10]Resumen!M51*1000</f>
        <v>216411.87428085826</v>
      </c>
      <c r="N51" s="7">
        <f>+[10]Resumen!N51*1000</f>
        <v>236484.28068503804</v>
      </c>
      <c r="O51" s="7">
        <f>+[10]Resumen!O51*1000</f>
        <v>248689.06045900329</v>
      </c>
      <c r="P51" s="7">
        <f>+[10]Resumen!P51*1000</f>
        <v>262563.04220810375</v>
      </c>
      <c r="Q51" s="7">
        <f>+[10]Resumen!Q51*1000</f>
        <v>275738.07658926083</v>
      </c>
      <c r="R51" s="7">
        <f>+[10]Resumen!R51*1000</f>
        <v>281066.22779699211</v>
      </c>
      <c r="S51" s="7">
        <f>+[10]Resumen!S51*1000</f>
        <v>277496.76404860051</v>
      </c>
      <c r="T51" s="7">
        <f>+[10]Resumen!T51*1000</f>
        <v>277581.12121554301</v>
      </c>
      <c r="U51" s="7">
        <f>+[10]Resumen!U51*1000</f>
        <v>276558.70473829808</v>
      </c>
      <c r="V51" s="7">
        <f>+[10]Resumen!V51*1000</f>
        <v>270632.91975535091</v>
      </c>
      <c r="W51" s="7">
        <f>+[10]Resumen!W51*1000</f>
        <v>0</v>
      </c>
      <c r="X51" s="7">
        <f>+[10]Resumen!X51*1000</f>
        <v>0</v>
      </c>
      <c r="Y51" s="7">
        <f>+[10]Resumen!Y51*1000</f>
        <v>0</v>
      </c>
      <c r="Z51" s="7">
        <f>+[10]Resumen!Z51*1000</f>
        <v>0</v>
      </c>
      <c r="AA51" s="7">
        <f>+[10]Resumen!AA51*1000</f>
        <v>0</v>
      </c>
      <c r="AB51" s="7">
        <f>+[10]Resumen!AB51*1000</f>
        <v>0</v>
      </c>
      <c r="AC51" s="7">
        <f>+[10]Resumen!AC51*1000</f>
        <v>0</v>
      </c>
      <c r="AD51" s="60">
        <f t="shared" ref="AD51" si="7">SUM(F51:AC51)*E51+SUM(F52:AC52)*E52+SUM(F53:AC53)*E53+SUM(F54:AC54)*E54</f>
        <v>76946254.921060547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+[10]Resumen!E52</f>
        <v>4</v>
      </c>
      <c r="F52" s="7">
        <f>+[10]Resumen!F52*1000</f>
        <v>0</v>
      </c>
      <c r="G52" s="7">
        <f>+[10]Resumen!G52*1000</f>
        <v>0</v>
      </c>
      <c r="H52" s="7">
        <f>+[10]Resumen!H52*1000</f>
        <v>0</v>
      </c>
      <c r="I52" s="7">
        <f>+[10]Resumen!I52*1000</f>
        <v>0</v>
      </c>
      <c r="J52" s="7">
        <f>+[10]Resumen!J52*1000</f>
        <v>0</v>
      </c>
      <c r="K52" s="7">
        <f>+[10]Resumen!K52*1000</f>
        <v>0</v>
      </c>
      <c r="L52" s="7">
        <f>+[10]Resumen!L52*1000</f>
        <v>0</v>
      </c>
      <c r="M52" s="7">
        <f>+[10]Resumen!M52*1000</f>
        <v>203179.02072325119</v>
      </c>
      <c r="N52" s="7">
        <f>+[10]Resumen!N52*1000</f>
        <v>225348.92880767211</v>
      </c>
      <c r="O52" s="7">
        <f>+[10]Resumen!O52*1000</f>
        <v>240214.06798149657</v>
      </c>
      <c r="P52" s="7">
        <f>+[10]Resumen!P52*1000</f>
        <v>252200.35974933379</v>
      </c>
      <c r="Q52" s="7">
        <f>+[10]Resumen!Q52*1000</f>
        <v>260813.9562335645</v>
      </c>
      <c r="R52" s="7">
        <f>+[10]Resumen!R52*1000</f>
        <v>262497.78619695368</v>
      </c>
      <c r="S52" s="7">
        <f>+[10]Resumen!S52*1000</f>
        <v>257212.68895011151</v>
      </c>
      <c r="T52" s="7">
        <f>+[10]Resumen!T52*1000</f>
        <v>251268.23441338586</v>
      </c>
      <c r="U52" s="7">
        <f>+[10]Resumen!U52*1000</f>
        <v>247035.81226497478</v>
      </c>
      <c r="V52" s="7">
        <f>+[10]Resumen!V52*1000</f>
        <v>242744.32482763278</v>
      </c>
      <c r="W52" s="7">
        <f>+[10]Resumen!W52*1000</f>
        <v>0</v>
      </c>
      <c r="X52" s="7">
        <f>+[10]Resumen!X52*1000</f>
        <v>0</v>
      </c>
      <c r="Y52" s="7">
        <f>+[10]Resumen!Y52*1000</f>
        <v>0</v>
      </c>
      <c r="Z52" s="7">
        <f>+[10]Resumen!Z52*1000</f>
        <v>0</v>
      </c>
      <c r="AA52" s="7">
        <f>+[10]Resumen!AA52*1000</f>
        <v>0</v>
      </c>
      <c r="AB52" s="7">
        <f>+[10]Resumen!AB52*1000</f>
        <v>0</v>
      </c>
      <c r="AC52" s="7">
        <f>+[10]Resumen!AC52*1000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+[10]Resumen!E53</f>
        <v>5</v>
      </c>
      <c r="F53" s="7">
        <f>+[10]Resumen!F53*1000</f>
        <v>0</v>
      </c>
      <c r="G53" s="7">
        <f>+[10]Resumen!G53*1000</f>
        <v>0</v>
      </c>
      <c r="H53" s="7">
        <f>+[10]Resumen!H53*1000</f>
        <v>0</v>
      </c>
      <c r="I53" s="7">
        <f>+[10]Resumen!I53*1000</f>
        <v>0</v>
      </c>
      <c r="J53" s="7">
        <f>+[10]Resumen!J53*1000</f>
        <v>0</v>
      </c>
      <c r="K53" s="7">
        <f>+[10]Resumen!K53*1000</f>
        <v>0</v>
      </c>
      <c r="L53" s="7">
        <f>+[10]Resumen!L53*1000</f>
        <v>0</v>
      </c>
      <c r="M53" s="7">
        <f>+[10]Resumen!M53*1000</f>
        <v>169143.2931664481</v>
      </c>
      <c r="N53" s="7">
        <f>+[10]Resumen!N53*1000</f>
        <v>187550.57900120309</v>
      </c>
      <c r="O53" s="7">
        <f>+[10]Resumen!O53*1000</f>
        <v>202956.5309917845</v>
      </c>
      <c r="P53" s="7">
        <f>+[10]Resumen!P53*1000</f>
        <v>215581.21525835045</v>
      </c>
      <c r="Q53" s="7">
        <f>+[10]Resumen!Q53*1000</f>
        <v>227263.79422240215</v>
      </c>
      <c r="R53" s="7">
        <f>+[10]Resumen!R53*1000</f>
        <v>234419.44795722963</v>
      </c>
      <c r="S53" s="7">
        <f>+[10]Resumen!S53*1000</f>
        <v>234943.87760420964</v>
      </c>
      <c r="T53" s="7">
        <f>+[10]Resumen!T53*1000</f>
        <v>230432.12484577991</v>
      </c>
      <c r="U53" s="7">
        <f>+[10]Resumen!U53*1000</f>
        <v>227944.54126542312</v>
      </c>
      <c r="V53" s="7">
        <f>+[10]Resumen!V53*1000</f>
        <v>224679.11125564791</v>
      </c>
      <c r="W53" s="7">
        <f>+[10]Resumen!W53*1000</f>
        <v>0</v>
      </c>
      <c r="X53" s="7">
        <f>+[10]Resumen!X53*1000</f>
        <v>0</v>
      </c>
      <c r="Y53" s="7">
        <f>+[10]Resumen!Y53*1000</f>
        <v>0</v>
      </c>
      <c r="Z53" s="7">
        <f>+[10]Resumen!Z53*1000</f>
        <v>0</v>
      </c>
      <c r="AA53" s="7">
        <f>+[10]Resumen!AA53*1000</f>
        <v>0</v>
      </c>
      <c r="AB53" s="7">
        <f>+[10]Resumen!AB53*1000</f>
        <v>0</v>
      </c>
      <c r="AC53" s="7">
        <f>+[10]Resumen!AC53*1000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+[10]Resumen!E54</f>
        <v>2</v>
      </c>
      <c r="F54" s="7">
        <f>+[10]Resumen!F54*1000</f>
        <v>0</v>
      </c>
      <c r="G54" s="7">
        <f>+[10]Resumen!G54*1000</f>
        <v>0</v>
      </c>
      <c r="H54" s="7">
        <f>+[10]Resumen!H54*1000</f>
        <v>0</v>
      </c>
      <c r="I54" s="7">
        <f>+[10]Resumen!I54*1000</f>
        <v>0</v>
      </c>
      <c r="J54" s="7">
        <f>+[10]Resumen!J54*1000</f>
        <v>0</v>
      </c>
      <c r="K54" s="7">
        <f>+[10]Resumen!K54*1000</f>
        <v>0</v>
      </c>
      <c r="L54" s="7">
        <f>+[10]Resumen!L54*1000</f>
        <v>0</v>
      </c>
      <c r="M54" s="7">
        <f>+[10]Resumen!M54*1000</f>
        <v>152426.95983498258</v>
      </c>
      <c r="N54" s="7">
        <f>+[10]Resumen!N54*1000</f>
        <v>166262.08633611846</v>
      </c>
      <c r="O54" s="7">
        <f>+[10]Resumen!O54*1000</f>
        <v>180154.16438298934</v>
      </c>
      <c r="P54" s="7">
        <f>+[10]Resumen!P54*1000</f>
        <v>193507.75805063441</v>
      </c>
      <c r="Q54" s="7">
        <f>+[10]Resumen!Q54*1000</f>
        <v>206218.72066644035</v>
      </c>
      <c r="R54" s="7">
        <f>+[10]Resumen!R54*1000</f>
        <v>215801.68642039853</v>
      </c>
      <c r="S54" s="7">
        <f>+[10]Resumen!S54*1000</f>
        <v>217172.46326975376</v>
      </c>
      <c r="T54" s="7">
        <f>+[10]Resumen!T54*1000</f>
        <v>213511.85181606852</v>
      </c>
      <c r="U54" s="7">
        <f>+[10]Resumen!U54*1000</f>
        <v>212556.67450589378</v>
      </c>
      <c r="V54" s="7">
        <f>+[10]Resumen!V54*1000</f>
        <v>210977.72825855701</v>
      </c>
      <c r="W54" s="7">
        <f>+[10]Resumen!W54*1000</f>
        <v>0</v>
      </c>
      <c r="X54" s="7">
        <f>+[10]Resumen!X54*1000</f>
        <v>0</v>
      </c>
      <c r="Y54" s="7">
        <f>+[10]Resumen!Y54*1000</f>
        <v>0</v>
      </c>
      <c r="Z54" s="7">
        <f>+[10]Resumen!Z54*1000</f>
        <v>0</v>
      </c>
      <c r="AA54" s="7">
        <f>+[10]Resumen!AA54*1000</f>
        <v>0</v>
      </c>
      <c r="AB54" s="7">
        <f>+[10]Resumen!AB54*1000</f>
        <v>0</v>
      </c>
      <c r="AC54" s="7">
        <f>+[10]Resumen!AC54*1000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924887107.39203858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C93B-4CEF-4649-A52A-AE50C4C6F8DA}">
  <dimension ref="C1:BD57"/>
  <sheetViews>
    <sheetView showGridLines="0" topLeftCell="A39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+[11]Resumen!E7</f>
        <v>21</v>
      </c>
      <c r="F7" s="7">
        <f>+[11]Resumen!F7*1000</f>
        <v>0</v>
      </c>
      <c r="G7" s="7">
        <f>+[11]Resumen!G7*1000</f>
        <v>0</v>
      </c>
      <c r="H7" s="7">
        <f>+[11]Resumen!H7*1000</f>
        <v>0</v>
      </c>
      <c r="I7" s="7">
        <f>+[11]Resumen!I7*1000</f>
        <v>0</v>
      </c>
      <c r="J7" s="7">
        <f>+[11]Resumen!J7*1000</f>
        <v>0</v>
      </c>
      <c r="K7" s="7">
        <f>+[11]Resumen!K7*1000</f>
        <v>0</v>
      </c>
      <c r="L7" s="7">
        <f>+[11]Resumen!L7*1000</f>
        <v>0</v>
      </c>
      <c r="M7" s="7">
        <f>+[11]Resumen!M7*1000</f>
        <v>217279.62927645401</v>
      </c>
      <c r="N7" s="7">
        <f>+[11]Resumen!N7*1000</f>
        <v>235398.32799263234</v>
      </c>
      <c r="O7" s="7">
        <f>+[11]Resumen!O7*1000</f>
        <v>247360.05497389351</v>
      </c>
      <c r="P7" s="7">
        <f>+[11]Resumen!P7*1000</f>
        <v>263086.53921205306</v>
      </c>
      <c r="Q7" s="7">
        <f>+[11]Resumen!Q7*1000</f>
        <v>276691.34973245527</v>
      </c>
      <c r="R7" s="7">
        <f>+[11]Resumen!R7*1000</f>
        <v>281343.00504291564</v>
      </c>
      <c r="S7" s="7">
        <f>+[11]Resumen!S7*1000</f>
        <v>278620.84786766354</v>
      </c>
      <c r="T7" s="7">
        <f>+[11]Resumen!T7*1000</f>
        <v>280516.35591422085</v>
      </c>
      <c r="U7" s="7">
        <f>+[11]Resumen!U7*1000</f>
        <v>280166.29780733446</v>
      </c>
      <c r="V7" s="7">
        <f>+[11]Resumen!V7*1000</f>
        <v>273719.97908483713</v>
      </c>
      <c r="W7" s="7">
        <f>+[11]Resumen!W7*1000</f>
        <v>0</v>
      </c>
      <c r="X7" s="7">
        <f>+[11]Resumen!X7*1000</f>
        <v>0</v>
      </c>
      <c r="Y7" s="7">
        <f>+[11]Resumen!Y7*1000</f>
        <v>0</v>
      </c>
      <c r="Z7" s="7">
        <f>+[11]Resumen!Z7*1000</f>
        <v>0</v>
      </c>
      <c r="AA7" s="7">
        <f>+[11]Resumen!AA7*1000</f>
        <v>0</v>
      </c>
      <c r="AB7" s="7">
        <f>+[11]Resumen!AB7*1000</f>
        <v>0</v>
      </c>
      <c r="AC7" s="7">
        <f>+[11]Resumen!AC7*1000</f>
        <v>0</v>
      </c>
      <c r="AD7" s="60">
        <f>SUM(F7:AC7)*E7+SUM(F8:AC8)*E8+SUM(F9:AC9)*E9+SUM(F10:AC10)*E10</f>
        <v>77141570.381937936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+[11]Resumen!E8</f>
        <v>4</v>
      </c>
      <c r="F8" s="7">
        <f>+[11]Resumen!F8*1000</f>
        <v>0</v>
      </c>
      <c r="G8" s="7">
        <f>+[11]Resumen!G8*1000</f>
        <v>0</v>
      </c>
      <c r="H8" s="7">
        <f>+[11]Resumen!H8*1000</f>
        <v>0</v>
      </c>
      <c r="I8" s="7">
        <f>+[11]Resumen!I8*1000</f>
        <v>0</v>
      </c>
      <c r="J8" s="7">
        <f>+[11]Resumen!J8*1000</f>
        <v>0</v>
      </c>
      <c r="K8" s="7">
        <f>+[11]Resumen!K8*1000</f>
        <v>0</v>
      </c>
      <c r="L8" s="7">
        <f>+[11]Resumen!L8*1000</f>
        <v>0</v>
      </c>
      <c r="M8" s="7">
        <f>+[11]Resumen!M8*1000</f>
        <v>197012.95598862582</v>
      </c>
      <c r="N8" s="7">
        <f>+[11]Resumen!N8*1000</f>
        <v>218102.2115363765</v>
      </c>
      <c r="O8" s="7">
        <f>+[11]Resumen!O8*1000</f>
        <v>233651.10032565496</v>
      </c>
      <c r="P8" s="7">
        <f>+[11]Resumen!P8*1000</f>
        <v>247076.10172907333</v>
      </c>
      <c r="Q8" s="7">
        <f>+[11]Resumen!Q8*1000</f>
        <v>258215.63787823834</v>
      </c>
      <c r="R8" s="7">
        <f>+[11]Resumen!R8*1000</f>
        <v>260648.85055101986</v>
      </c>
      <c r="S8" s="7">
        <f>+[11]Resumen!S8*1000</f>
        <v>255534.60937369117</v>
      </c>
      <c r="T8" s="7">
        <f>+[11]Resumen!T8*1000</f>
        <v>249403.00304650518</v>
      </c>
      <c r="U8" s="7">
        <f>+[11]Resumen!U8*1000</f>
        <v>246230.65964179975</v>
      </c>
      <c r="V8" s="7">
        <f>+[11]Resumen!V8*1000</f>
        <v>242800.93143242074</v>
      </c>
      <c r="W8" s="7">
        <f>+[11]Resumen!W8*1000</f>
        <v>0</v>
      </c>
      <c r="X8" s="7">
        <f>+[11]Resumen!X8*1000</f>
        <v>0</v>
      </c>
      <c r="Y8" s="7">
        <f>+[11]Resumen!Y8*1000</f>
        <v>0</v>
      </c>
      <c r="Z8" s="7">
        <f>+[11]Resumen!Z8*1000</f>
        <v>0</v>
      </c>
      <c r="AA8" s="7">
        <f>+[11]Resumen!AA8*1000</f>
        <v>0</v>
      </c>
      <c r="AB8" s="7">
        <f>+[11]Resumen!AB8*1000</f>
        <v>0</v>
      </c>
      <c r="AC8" s="7">
        <f>+[11]Resumen!AC8*1000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+[11]Resumen!E9</f>
        <v>4</v>
      </c>
      <c r="F9" s="7">
        <f>+[11]Resumen!F9*1000</f>
        <v>0</v>
      </c>
      <c r="G9" s="7">
        <f>+[11]Resumen!G9*1000</f>
        <v>0</v>
      </c>
      <c r="H9" s="7">
        <f>+[11]Resumen!H9*1000</f>
        <v>0</v>
      </c>
      <c r="I9" s="7">
        <f>+[11]Resumen!I9*1000</f>
        <v>0</v>
      </c>
      <c r="J9" s="7">
        <f>+[11]Resumen!J9*1000</f>
        <v>0</v>
      </c>
      <c r="K9" s="7">
        <f>+[11]Resumen!K9*1000</f>
        <v>0</v>
      </c>
      <c r="L9" s="7">
        <f>+[11]Resumen!L9*1000</f>
        <v>0</v>
      </c>
      <c r="M9" s="7">
        <f>+[11]Resumen!M9*1000</f>
        <v>163598.48517651556</v>
      </c>
      <c r="N9" s="7">
        <f>+[11]Resumen!N9*1000</f>
        <v>180157.40592541278</v>
      </c>
      <c r="O9" s="7">
        <f>+[11]Resumen!O9*1000</f>
        <v>195368.41067664177</v>
      </c>
      <c r="P9" s="7">
        <f>+[11]Resumen!P9*1000</f>
        <v>207358.78486729698</v>
      </c>
      <c r="Q9" s="7">
        <f>+[11]Resumen!Q9*1000</f>
        <v>221027.6259034313</v>
      </c>
      <c r="R9" s="7">
        <f>+[11]Resumen!R9*1000</f>
        <v>229885.79683896503</v>
      </c>
      <c r="S9" s="7">
        <f>+[11]Resumen!S9*1000</f>
        <v>231731.97171066035</v>
      </c>
      <c r="T9" s="7">
        <f>+[11]Resumen!T9*1000</f>
        <v>227661.61768274609</v>
      </c>
      <c r="U9" s="7">
        <f>+[11]Resumen!U9*1000</f>
        <v>224050.64069810658</v>
      </c>
      <c r="V9" s="7">
        <f>+[11]Resumen!V9*1000</f>
        <v>220643.52242147762</v>
      </c>
      <c r="W9" s="7">
        <f>+[11]Resumen!W9*1000</f>
        <v>0</v>
      </c>
      <c r="X9" s="7">
        <f>+[11]Resumen!X9*1000</f>
        <v>0</v>
      </c>
      <c r="Y9" s="7">
        <f>+[11]Resumen!Y9*1000</f>
        <v>0</v>
      </c>
      <c r="Z9" s="7">
        <f>+[11]Resumen!Z9*1000</f>
        <v>0</v>
      </c>
      <c r="AA9" s="7">
        <f>+[11]Resumen!AA9*1000</f>
        <v>0</v>
      </c>
      <c r="AB9" s="7">
        <f>+[11]Resumen!AB9*1000</f>
        <v>0</v>
      </c>
      <c r="AC9" s="7">
        <f>+[11]Resumen!AC9*1000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+[11]Resumen!E10</f>
        <v>2</v>
      </c>
      <c r="F10" s="7">
        <f>+[11]Resumen!F10*1000</f>
        <v>0</v>
      </c>
      <c r="G10" s="7">
        <f>+[11]Resumen!G10*1000</f>
        <v>0</v>
      </c>
      <c r="H10" s="7">
        <f>+[11]Resumen!H10*1000</f>
        <v>0</v>
      </c>
      <c r="I10" s="7">
        <f>+[11]Resumen!I10*1000</f>
        <v>0</v>
      </c>
      <c r="J10" s="7">
        <f>+[11]Resumen!J10*1000</f>
        <v>0</v>
      </c>
      <c r="K10" s="7">
        <f>+[11]Resumen!K10*1000</f>
        <v>0</v>
      </c>
      <c r="L10" s="7">
        <f>+[11]Resumen!L10*1000</f>
        <v>0</v>
      </c>
      <c r="M10" s="7">
        <f>+[11]Resumen!M10*1000</f>
        <v>146477.20205978976</v>
      </c>
      <c r="N10" s="7">
        <f>+[11]Resumen!N10*1000</f>
        <v>158412.2986801182</v>
      </c>
      <c r="O10" s="7">
        <f>+[11]Resumen!O10*1000</f>
        <v>171019.18938895254</v>
      </c>
      <c r="P10" s="7">
        <f>+[11]Resumen!P10*1000</f>
        <v>184466.04219549132</v>
      </c>
      <c r="Q10" s="7">
        <f>+[11]Resumen!Q10*1000</f>
        <v>198775.21492642697</v>
      </c>
      <c r="R10" s="7">
        <f>+[11]Resumen!R10*1000</f>
        <v>209226.99469301436</v>
      </c>
      <c r="S10" s="7">
        <f>+[11]Resumen!S10*1000</f>
        <v>210714.28774580517</v>
      </c>
      <c r="T10" s="7">
        <f>+[11]Resumen!T10*1000</f>
        <v>207277.91410920449</v>
      </c>
      <c r="U10" s="7">
        <f>+[11]Resumen!U10*1000</f>
        <v>203818.38652151884</v>
      </c>
      <c r="V10" s="7">
        <f>+[11]Resumen!V10*1000</f>
        <v>201361.95134249632</v>
      </c>
      <c r="W10" s="7">
        <f>+[11]Resumen!W10*1000</f>
        <v>0</v>
      </c>
      <c r="X10" s="7">
        <f>+[11]Resumen!X10*1000</f>
        <v>0</v>
      </c>
      <c r="Y10" s="7">
        <f>+[11]Resumen!Y10*1000</f>
        <v>0</v>
      </c>
      <c r="Z10" s="7">
        <f>+[11]Resumen!Z10*1000</f>
        <v>0</v>
      </c>
      <c r="AA10" s="7">
        <f>+[11]Resumen!AA10*1000</f>
        <v>0</v>
      </c>
      <c r="AB10" s="7">
        <f>+[11]Resumen!AB10*1000</f>
        <v>0</v>
      </c>
      <c r="AC10" s="7">
        <f>+[11]Resumen!AC10*1000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+[11]Resumen!E11</f>
        <v>21</v>
      </c>
      <c r="F11" s="7">
        <f>+[11]Resumen!F11*1000</f>
        <v>0</v>
      </c>
      <c r="G11" s="7">
        <f>+[11]Resumen!G11*1000</f>
        <v>0</v>
      </c>
      <c r="H11" s="7">
        <f>+[11]Resumen!H11*1000</f>
        <v>0</v>
      </c>
      <c r="I11" s="7">
        <f>+[11]Resumen!I11*1000</f>
        <v>0</v>
      </c>
      <c r="J11" s="7">
        <f>+[11]Resumen!J11*1000</f>
        <v>0</v>
      </c>
      <c r="K11" s="7">
        <f>+[11]Resumen!K11*1000</f>
        <v>0</v>
      </c>
      <c r="L11" s="7">
        <f>+[11]Resumen!L11*1000</f>
        <v>0</v>
      </c>
      <c r="M11" s="7">
        <f>+[11]Resumen!M11*1000</f>
        <v>237826.85680023732</v>
      </c>
      <c r="N11" s="7">
        <f>+[11]Resumen!N11*1000</f>
        <v>253157.34876551354</v>
      </c>
      <c r="O11" s="7">
        <f>+[11]Resumen!O11*1000</f>
        <v>263353.77384462848</v>
      </c>
      <c r="P11" s="7">
        <f>+[11]Resumen!P11*1000</f>
        <v>279035.7458834147</v>
      </c>
      <c r="Q11" s="7">
        <f>+[11]Resumen!Q11*1000</f>
        <v>291739.34137992782</v>
      </c>
      <c r="R11" s="7">
        <f>+[11]Resumen!R11*1000</f>
        <v>292475.87807320588</v>
      </c>
      <c r="S11" s="7">
        <f>+[11]Resumen!S11*1000</f>
        <v>288824.95775862387</v>
      </c>
      <c r="T11" s="7">
        <f>+[11]Resumen!T11*1000</f>
        <v>291087.62952922547</v>
      </c>
      <c r="U11" s="7">
        <f>+[11]Resumen!U11*1000</f>
        <v>291422.3666644675</v>
      </c>
      <c r="V11" s="7">
        <f>+[11]Resumen!V11*1000</f>
        <v>285383.91352558666</v>
      </c>
      <c r="W11" s="7">
        <f>+[11]Resumen!W11*1000</f>
        <v>0</v>
      </c>
      <c r="X11" s="7">
        <f>+[11]Resumen!X11*1000</f>
        <v>0</v>
      </c>
      <c r="Y11" s="7">
        <f>+[11]Resumen!Y11*1000</f>
        <v>0</v>
      </c>
      <c r="Z11" s="7">
        <f>+[11]Resumen!Z11*1000</f>
        <v>0</v>
      </c>
      <c r="AA11" s="7">
        <f>+[11]Resumen!AA11*1000</f>
        <v>0</v>
      </c>
      <c r="AB11" s="7">
        <f>+[11]Resumen!AB11*1000</f>
        <v>0</v>
      </c>
      <c r="AC11" s="7">
        <f>+[11]Resumen!AC11*1000</f>
        <v>0</v>
      </c>
      <c r="AD11" s="60">
        <f>SUM(F11:AC11)*E11+SUM(F12:AC12)*E12+SUM(F13:AC13)*E13+SUM(F14:AC14)*E14</f>
        <v>77767579.927180707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+[11]Resumen!E12</f>
        <v>4</v>
      </c>
      <c r="F12" s="7">
        <f>+[11]Resumen!F12*1000</f>
        <v>0</v>
      </c>
      <c r="G12" s="7">
        <f>+[11]Resumen!G12*1000</f>
        <v>0</v>
      </c>
      <c r="H12" s="7">
        <f>+[11]Resumen!H12*1000</f>
        <v>0</v>
      </c>
      <c r="I12" s="7">
        <f>+[11]Resumen!I12*1000</f>
        <v>0</v>
      </c>
      <c r="J12" s="7">
        <f>+[11]Resumen!J12*1000</f>
        <v>0</v>
      </c>
      <c r="K12" s="7">
        <f>+[11]Resumen!K12*1000</f>
        <v>0</v>
      </c>
      <c r="L12" s="7">
        <f>+[11]Resumen!L12*1000</f>
        <v>0</v>
      </c>
      <c r="M12" s="7">
        <f>+[11]Resumen!M12*1000</f>
        <v>218835.44210196863</v>
      </c>
      <c r="N12" s="7">
        <f>+[11]Resumen!N12*1000</f>
        <v>242572.42825154567</v>
      </c>
      <c r="O12" s="7">
        <f>+[11]Resumen!O12*1000</f>
        <v>257610.72487308155</v>
      </c>
      <c r="P12" s="7">
        <f>+[11]Resumen!P12*1000</f>
        <v>271612.6931040195</v>
      </c>
      <c r="Q12" s="7">
        <f>+[11]Resumen!Q12*1000</f>
        <v>280109.23116858094</v>
      </c>
      <c r="R12" s="7">
        <f>+[11]Resumen!R12*1000</f>
        <v>280294.38316482183</v>
      </c>
      <c r="S12" s="7">
        <f>+[11]Resumen!S12*1000</f>
        <v>272920.26770954899</v>
      </c>
      <c r="T12" s="7">
        <f>+[11]Resumen!T12*1000</f>
        <v>265777.34235497622</v>
      </c>
      <c r="U12" s="7">
        <f>+[11]Resumen!U12*1000</f>
        <v>263025.43666492042</v>
      </c>
      <c r="V12" s="7">
        <f>+[11]Resumen!V12*1000</f>
        <v>259666.13008098086</v>
      </c>
      <c r="W12" s="7">
        <f>+[11]Resumen!W12*1000</f>
        <v>0</v>
      </c>
      <c r="X12" s="7">
        <f>+[11]Resumen!X12*1000</f>
        <v>0</v>
      </c>
      <c r="Y12" s="7">
        <f>+[11]Resumen!Y12*1000</f>
        <v>0</v>
      </c>
      <c r="Z12" s="7">
        <f>+[11]Resumen!Z12*1000</f>
        <v>0</v>
      </c>
      <c r="AA12" s="7">
        <f>+[11]Resumen!AA12*1000</f>
        <v>0</v>
      </c>
      <c r="AB12" s="7">
        <f>+[11]Resumen!AB12*1000</f>
        <v>0</v>
      </c>
      <c r="AC12" s="7">
        <f>+[11]Resumen!AC12*1000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+[11]Resumen!E13</f>
        <v>4</v>
      </c>
      <c r="F13" s="7">
        <f>+[11]Resumen!F13*1000</f>
        <v>0</v>
      </c>
      <c r="G13" s="7">
        <f>+[11]Resumen!G13*1000</f>
        <v>0</v>
      </c>
      <c r="H13" s="7">
        <f>+[11]Resumen!H13*1000</f>
        <v>0</v>
      </c>
      <c r="I13" s="7">
        <f>+[11]Resumen!I13*1000</f>
        <v>0</v>
      </c>
      <c r="J13" s="7">
        <f>+[11]Resumen!J13*1000</f>
        <v>0</v>
      </c>
      <c r="K13" s="7">
        <f>+[11]Resumen!K13*1000</f>
        <v>0</v>
      </c>
      <c r="L13" s="7">
        <f>+[11]Resumen!L13*1000</f>
        <v>0</v>
      </c>
      <c r="M13" s="7">
        <f>+[11]Resumen!M13*1000</f>
        <v>177702.78635229674</v>
      </c>
      <c r="N13" s="7">
        <f>+[11]Resumen!N13*1000</f>
        <v>196083.26846041778</v>
      </c>
      <c r="O13" s="7">
        <f>+[11]Resumen!O13*1000</f>
        <v>211677.48326511541</v>
      </c>
      <c r="P13" s="7">
        <f>+[11]Resumen!P13*1000</f>
        <v>224860.11123157415</v>
      </c>
      <c r="Q13" s="7">
        <f>+[11]Resumen!Q13*1000</f>
        <v>239071.18374568733</v>
      </c>
      <c r="R13" s="7">
        <f>+[11]Resumen!R13*1000</f>
        <v>247748.99491153235</v>
      </c>
      <c r="S13" s="7">
        <f>+[11]Resumen!S13*1000</f>
        <v>248193.34068398335</v>
      </c>
      <c r="T13" s="7">
        <f>+[11]Resumen!T13*1000</f>
        <v>243498.84945828732</v>
      </c>
      <c r="U13" s="7">
        <f>+[11]Resumen!U13*1000</f>
        <v>239716.58188766491</v>
      </c>
      <c r="V13" s="7">
        <f>+[11]Resumen!V13*1000</f>
        <v>235802.28814381163</v>
      </c>
      <c r="W13" s="7">
        <f>+[11]Resumen!W13*1000</f>
        <v>0</v>
      </c>
      <c r="X13" s="7">
        <f>+[11]Resumen!X13*1000</f>
        <v>0</v>
      </c>
      <c r="Y13" s="7">
        <f>+[11]Resumen!Y13*1000</f>
        <v>0</v>
      </c>
      <c r="Z13" s="7">
        <f>+[11]Resumen!Z13*1000</f>
        <v>0</v>
      </c>
      <c r="AA13" s="7">
        <f>+[11]Resumen!AA13*1000</f>
        <v>0</v>
      </c>
      <c r="AB13" s="7">
        <f>+[11]Resumen!AB13*1000</f>
        <v>0</v>
      </c>
      <c r="AC13" s="7">
        <f>+[11]Resumen!AC13*1000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+[11]Resumen!E14</f>
        <v>0</v>
      </c>
      <c r="F14" s="7">
        <f>+[11]Resumen!F14*1000</f>
        <v>0</v>
      </c>
      <c r="G14" s="7">
        <f>+[11]Resumen!G14*1000</f>
        <v>0</v>
      </c>
      <c r="H14" s="7">
        <f>+[11]Resumen!H14*1000</f>
        <v>0</v>
      </c>
      <c r="I14" s="7">
        <f>+[11]Resumen!I14*1000</f>
        <v>0</v>
      </c>
      <c r="J14" s="7">
        <f>+[11]Resumen!J14*1000</f>
        <v>0</v>
      </c>
      <c r="K14" s="7">
        <f>+[11]Resumen!K14*1000</f>
        <v>0</v>
      </c>
      <c r="L14" s="7">
        <f>+[11]Resumen!L14*1000</f>
        <v>0</v>
      </c>
      <c r="M14" s="7">
        <f>+[11]Resumen!M14*1000</f>
        <v>0</v>
      </c>
      <c r="N14" s="7">
        <f>+[11]Resumen!N14*1000</f>
        <v>0</v>
      </c>
      <c r="O14" s="7">
        <f>+[11]Resumen!O14*1000</f>
        <v>0</v>
      </c>
      <c r="P14" s="7">
        <f>+[11]Resumen!P14*1000</f>
        <v>0</v>
      </c>
      <c r="Q14" s="7">
        <f>+[11]Resumen!Q14*1000</f>
        <v>0</v>
      </c>
      <c r="R14" s="7">
        <f>+[11]Resumen!R14*1000</f>
        <v>0</v>
      </c>
      <c r="S14" s="7">
        <f>+[11]Resumen!S14*1000</f>
        <v>0</v>
      </c>
      <c r="T14" s="7">
        <f>+[11]Resumen!T14*1000</f>
        <v>0</v>
      </c>
      <c r="U14" s="7">
        <f>+[11]Resumen!U14*1000</f>
        <v>0</v>
      </c>
      <c r="V14" s="7">
        <f>+[11]Resumen!V14*1000</f>
        <v>0</v>
      </c>
      <c r="W14" s="7">
        <f>+[11]Resumen!W14*1000</f>
        <v>0</v>
      </c>
      <c r="X14" s="7">
        <f>+[11]Resumen!X14*1000</f>
        <v>0</v>
      </c>
      <c r="Y14" s="7">
        <f>+[11]Resumen!Y14*1000</f>
        <v>0</v>
      </c>
      <c r="Z14" s="7">
        <f>+[11]Resumen!Z14*1000</f>
        <v>0</v>
      </c>
      <c r="AA14" s="7">
        <f>+[11]Resumen!AA14*1000</f>
        <v>0</v>
      </c>
      <c r="AB14" s="7">
        <f>+[11]Resumen!AB14*1000</f>
        <v>0</v>
      </c>
      <c r="AC14" s="7">
        <f>+[11]Resumen!AC14*1000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+[11]Resumen!E15</f>
        <v>20</v>
      </c>
      <c r="F15" s="7">
        <f>+[11]Resumen!F15*1000</f>
        <v>0</v>
      </c>
      <c r="G15" s="7">
        <f>+[11]Resumen!G15*1000</f>
        <v>0</v>
      </c>
      <c r="H15" s="7">
        <f>+[11]Resumen!H15*1000</f>
        <v>0</v>
      </c>
      <c r="I15" s="7">
        <f>+[11]Resumen!I15*1000</f>
        <v>0</v>
      </c>
      <c r="J15" s="7">
        <f>+[11]Resumen!J15*1000</f>
        <v>0</v>
      </c>
      <c r="K15" s="7">
        <f>+[11]Resumen!K15*1000</f>
        <v>0</v>
      </c>
      <c r="L15" s="7">
        <f>+[11]Resumen!L15*1000</f>
        <v>0</v>
      </c>
      <c r="M15" s="7">
        <f>+[11]Resumen!M15*1000</f>
        <v>225883.99796708091</v>
      </c>
      <c r="N15" s="7">
        <f>+[11]Resumen!N15*1000</f>
        <v>240310.86220926713</v>
      </c>
      <c r="O15" s="7">
        <f>+[11]Resumen!O15*1000</f>
        <v>249943.59141219596</v>
      </c>
      <c r="P15" s="7">
        <f>+[11]Resumen!P15*1000</f>
        <v>264867.41861481464</v>
      </c>
      <c r="Q15" s="7">
        <f>+[11]Resumen!Q15*1000</f>
        <v>276963.0647761958</v>
      </c>
      <c r="R15" s="7">
        <f>+[11]Resumen!R15*1000</f>
        <v>278224.85338332364</v>
      </c>
      <c r="S15" s="7">
        <f>+[11]Resumen!S15*1000</f>
        <v>274695.87942257943</v>
      </c>
      <c r="T15" s="7">
        <f>+[11]Resumen!T15*1000</f>
        <v>276661.74938524677</v>
      </c>
      <c r="U15" s="7">
        <f>+[11]Resumen!U15*1000</f>
        <v>276154.3903671208</v>
      </c>
      <c r="V15" s="7">
        <f>+[11]Resumen!V15*1000</f>
        <v>270577.24708462344</v>
      </c>
      <c r="W15" s="7">
        <f>+[11]Resumen!W15*1000</f>
        <v>0</v>
      </c>
      <c r="X15" s="7">
        <f>+[11]Resumen!X15*1000</f>
        <v>0</v>
      </c>
      <c r="Y15" s="7">
        <f>+[11]Resumen!Y15*1000</f>
        <v>0</v>
      </c>
      <c r="Z15" s="7">
        <f>+[11]Resumen!Z15*1000</f>
        <v>0</v>
      </c>
      <c r="AA15" s="7">
        <f>+[11]Resumen!AA15*1000</f>
        <v>0</v>
      </c>
      <c r="AB15" s="7">
        <f>+[11]Resumen!AB15*1000</f>
        <v>0</v>
      </c>
      <c r="AC15" s="7">
        <f>+[11]Resumen!AC15*1000</f>
        <v>0</v>
      </c>
      <c r="AD15" s="60">
        <f t="shared" ref="AD15" si="0">SUM(F15:AC15)*E15+SUM(F16:AC16)*E16+SUM(F17:AC17)*E17+SUM(F18:AC18)*E18</f>
        <v>77951531.781379953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+[11]Resumen!E16</f>
        <v>5</v>
      </c>
      <c r="F16" s="7">
        <f>+[11]Resumen!F16*1000</f>
        <v>0</v>
      </c>
      <c r="G16" s="7">
        <f>+[11]Resumen!G16*1000</f>
        <v>0</v>
      </c>
      <c r="H16" s="7">
        <f>+[11]Resumen!H16*1000</f>
        <v>0</v>
      </c>
      <c r="I16" s="7">
        <f>+[11]Resumen!I16*1000</f>
        <v>0</v>
      </c>
      <c r="J16" s="7">
        <f>+[11]Resumen!J16*1000</f>
        <v>0</v>
      </c>
      <c r="K16" s="7">
        <f>+[11]Resumen!K16*1000</f>
        <v>0</v>
      </c>
      <c r="L16" s="7">
        <f>+[11]Resumen!L16*1000</f>
        <v>0</v>
      </c>
      <c r="M16" s="7">
        <f>+[11]Resumen!M16*1000</f>
        <v>207861.14378194601</v>
      </c>
      <c r="N16" s="7">
        <f>+[11]Resumen!N16*1000</f>
        <v>229167.56437234706</v>
      </c>
      <c r="O16" s="7">
        <f>+[11]Resumen!O16*1000</f>
        <v>242876.7313204236</v>
      </c>
      <c r="P16" s="7">
        <f>+[11]Resumen!P16*1000</f>
        <v>255893.57743940488</v>
      </c>
      <c r="Q16" s="7">
        <f>+[11]Resumen!Q16*1000</f>
        <v>265707.78983199864</v>
      </c>
      <c r="R16" s="7">
        <f>+[11]Resumen!R16*1000</f>
        <v>266444.64939794713</v>
      </c>
      <c r="S16" s="7">
        <f>+[11]Resumen!S16*1000</f>
        <v>260604.39142660596</v>
      </c>
      <c r="T16" s="7">
        <f>+[11]Resumen!T16*1000</f>
        <v>254640.77176917359</v>
      </c>
      <c r="U16" s="7">
        <f>+[11]Resumen!U16*1000</f>
        <v>250753.93104812544</v>
      </c>
      <c r="V16" s="7">
        <f>+[11]Resumen!V16*1000</f>
        <v>247092.28959172298</v>
      </c>
      <c r="W16" s="7">
        <f>+[11]Resumen!W16*1000</f>
        <v>0</v>
      </c>
      <c r="X16" s="7">
        <f>+[11]Resumen!X16*1000</f>
        <v>0</v>
      </c>
      <c r="Y16" s="7">
        <f>+[11]Resumen!Y16*1000</f>
        <v>0</v>
      </c>
      <c r="Z16" s="7">
        <f>+[11]Resumen!Z16*1000</f>
        <v>0</v>
      </c>
      <c r="AA16" s="7">
        <f>+[11]Resumen!AA16*1000</f>
        <v>0</v>
      </c>
      <c r="AB16" s="7">
        <f>+[11]Resumen!AB16*1000</f>
        <v>0</v>
      </c>
      <c r="AC16" s="7">
        <f>+[11]Resumen!AC16*1000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+[11]Resumen!E17</f>
        <v>5</v>
      </c>
      <c r="F17" s="7">
        <f>+[11]Resumen!F17*1000</f>
        <v>0</v>
      </c>
      <c r="G17" s="7">
        <f>+[11]Resumen!G17*1000</f>
        <v>0</v>
      </c>
      <c r="H17" s="7">
        <f>+[11]Resumen!H17*1000</f>
        <v>0</v>
      </c>
      <c r="I17" s="7">
        <f>+[11]Resumen!I17*1000</f>
        <v>0</v>
      </c>
      <c r="J17" s="7">
        <f>+[11]Resumen!J17*1000</f>
        <v>0</v>
      </c>
      <c r="K17" s="7">
        <f>+[11]Resumen!K17*1000</f>
        <v>0</v>
      </c>
      <c r="L17" s="7">
        <f>+[11]Resumen!L17*1000</f>
        <v>0</v>
      </c>
      <c r="M17" s="7">
        <f>+[11]Resumen!M17*1000</f>
        <v>167561.79806838703</v>
      </c>
      <c r="N17" s="7">
        <f>+[11]Resumen!N17*1000</f>
        <v>185337.7099471314</v>
      </c>
      <c r="O17" s="7">
        <f>+[11]Resumen!O17*1000</f>
        <v>199051.8924788814</v>
      </c>
      <c r="P17" s="7">
        <f>+[11]Resumen!P17*1000</f>
        <v>211013.34745097512</v>
      </c>
      <c r="Q17" s="7">
        <f>+[11]Resumen!Q17*1000</f>
        <v>223547.02125316925</v>
      </c>
      <c r="R17" s="7">
        <f>+[11]Resumen!R17*1000</f>
        <v>231548.68839528543</v>
      </c>
      <c r="S17" s="7">
        <f>+[11]Resumen!S17*1000</f>
        <v>232052.75676592195</v>
      </c>
      <c r="T17" s="7">
        <f>+[11]Resumen!T17*1000</f>
        <v>228020.78920247126</v>
      </c>
      <c r="U17" s="7">
        <f>+[11]Resumen!U17*1000</f>
        <v>225124.27636232477</v>
      </c>
      <c r="V17" s="7">
        <f>+[11]Resumen!V17*1000</f>
        <v>221898.12158304895</v>
      </c>
      <c r="W17" s="7">
        <f>+[11]Resumen!W17*1000</f>
        <v>0</v>
      </c>
      <c r="X17" s="7">
        <f>+[11]Resumen!X17*1000</f>
        <v>0</v>
      </c>
      <c r="Y17" s="7">
        <f>+[11]Resumen!Y17*1000</f>
        <v>0</v>
      </c>
      <c r="Z17" s="7">
        <f>+[11]Resumen!Z17*1000</f>
        <v>0</v>
      </c>
      <c r="AA17" s="7">
        <f>+[11]Resumen!AA17*1000</f>
        <v>0</v>
      </c>
      <c r="AB17" s="7">
        <f>+[11]Resumen!AB17*1000</f>
        <v>0</v>
      </c>
      <c r="AC17" s="7">
        <f>+[11]Resumen!AC17*1000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+[11]Resumen!E18</f>
        <v>1</v>
      </c>
      <c r="F18" s="7">
        <f>+[11]Resumen!F18*1000</f>
        <v>0</v>
      </c>
      <c r="G18" s="7">
        <f>+[11]Resumen!G18*1000</f>
        <v>0</v>
      </c>
      <c r="H18" s="7">
        <f>+[11]Resumen!H18*1000</f>
        <v>0</v>
      </c>
      <c r="I18" s="7">
        <f>+[11]Resumen!I18*1000</f>
        <v>0</v>
      </c>
      <c r="J18" s="7">
        <f>+[11]Resumen!J18*1000</f>
        <v>0</v>
      </c>
      <c r="K18" s="7">
        <f>+[11]Resumen!K18*1000</f>
        <v>0</v>
      </c>
      <c r="L18" s="7">
        <f>+[11]Resumen!L18*1000</f>
        <v>0</v>
      </c>
      <c r="M18" s="7">
        <f>+[11]Resumen!M18*1000</f>
        <v>174740.04038559855</v>
      </c>
      <c r="N18" s="7">
        <f>+[11]Resumen!N18*1000</f>
        <v>192123.72389067133</v>
      </c>
      <c r="O18" s="7">
        <f>+[11]Resumen!O18*1000</f>
        <v>207736.17436687299</v>
      </c>
      <c r="P18" s="7">
        <f>+[11]Resumen!P18*1000</f>
        <v>222310.08499583061</v>
      </c>
      <c r="Q18" s="7">
        <f>+[11]Resumen!Q18*1000</f>
        <v>238729.86752692304</v>
      </c>
      <c r="R18" s="7">
        <f>+[11]Resumen!R18*1000</f>
        <v>247235.44381479721</v>
      </c>
      <c r="S18" s="7">
        <f>+[11]Resumen!S18*1000</f>
        <v>244541.86308232651</v>
      </c>
      <c r="T18" s="7">
        <f>+[11]Resumen!T18*1000</f>
        <v>238844.99374846407</v>
      </c>
      <c r="U18" s="7">
        <f>+[11]Resumen!U18*1000</f>
        <v>235355.33285251819</v>
      </c>
      <c r="V18" s="7">
        <f>+[11]Resumen!V18*1000</f>
        <v>233256.95683052787</v>
      </c>
      <c r="W18" s="7">
        <f>+[11]Resumen!W18*1000</f>
        <v>0</v>
      </c>
      <c r="X18" s="7">
        <f>+[11]Resumen!X18*1000</f>
        <v>0</v>
      </c>
      <c r="Y18" s="7">
        <f>+[11]Resumen!Y18*1000</f>
        <v>0</v>
      </c>
      <c r="Z18" s="7">
        <f>+[11]Resumen!Z18*1000</f>
        <v>0</v>
      </c>
      <c r="AA18" s="7">
        <f>+[11]Resumen!AA18*1000</f>
        <v>0</v>
      </c>
      <c r="AB18" s="7">
        <f>+[11]Resumen!AB18*1000</f>
        <v>0</v>
      </c>
      <c r="AC18" s="7">
        <f>+[11]Resumen!AC18*1000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+[11]Resumen!E19</f>
        <v>20</v>
      </c>
      <c r="F19" s="7">
        <f>+[11]Resumen!F19*1000</f>
        <v>0</v>
      </c>
      <c r="G19" s="7">
        <f>+[11]Resumen!G19*1000</f>
        <v>0</v>
      </c>
      <c r="H19" s="7">
        <f>+[11]Resumen!H19*1000</f>
        <v>0</v>
      </c>
      <c r="I19" s="7">
        <f>+[11]Resumen!I19*1000</f>
        <v>0</v>
      </c>
      <c r="J19" s="7">
        <f>+[11]Resumen!J19*1000</f>
        <v>0</v>
      </c>
      <c r="K19" s="7">
        <f>+[11]Resumen!K19*1000</f>
        <v>0</v>
      </c>
      <c r="L19" s="7">
        <f>+[11]Resumen!L19*1000</f>
        <v>0</v>
      </c>
      <c r="M19" s="7">
        <f>+[11]Resumen!M19*1000</f>
        <v>231387.3869589731</v>
      </c>
      <c r="N19" s="7">
        <f>+[11]Resumen!N19*1000</f>
        <v>247011.75939795404</v>
      </c>
      <c r="O19" s="7">
        <f>+[11]Resumen!O19*1000</f>
        <v>257775.44522136878</v>
      </c>
      <c r="P19" s="7">
        <f>+[11]Resumen!P19*1000</f>
        <v>273144.14673457696</v>
      </c>
      <c r="Q19" s="7">
        <f>+[11]Resumen!Q19*1000</f>
        <v>286287.12549482711</v>
      </c>
      <c r="R19" s="7">
        <f>+[11]Resumen!R19*1000</f>
        <v>288679.64073094988</v>
      </c>
      <c r="S19" s="7">
        <f>+[11]Resumen!S19*1000</f>
        <v>284868.73037384672</v>
      </c>
      <c r="T19" s="7">
        <f>+[11]Resumen!T19*1000</f>
        <v>286653.32502377365</v>
      </c>
      <c r="U19" s="7">
        <f>+[11]Resumen!U19*1000</f>
        <v>286397.12998277583</v>
      </c>
      <c r="V19" s="7">
        <f>+[11]Resumen!V19*1000</f>
        <v>280092.36660019751</v>
      </c>
      <c r="W19" s="7">
        <f>+[11]Resumen!W19*1000</f>
        <v>0</v>
      </c>
      <c r="X19" s="7">
        <f>+[11]Resumen!X19*1000</f>
        <v>0</v>
      </c>
      <c r="Y19" s="7">
        <f>+[11]Resumen!Y19*1000</f>
        <v>0</v>
      </c>
      <c r="Z19" s="7">
        <f>+[11]Resumen!Z19*1000</f>
        <v>0</v>
      </c>
      <c r="AA19" s="7">
        <f>+[11]Resumen!AA19*1000</f>
        <v>0</v>
      </c>
      <c r="AB19" s="7">
        <f>+[11]Resumen!AB19*1000</f>
        <v>0</v>
      </c>
      <c r="AC19" s="7">
        <f>+[11]Resumen!AC19*1000</f>
        <v>0</v>
      </c>
      <c r="AD19" s="60">
        <f t="shared" ref="AD19" si="1">SUM(F19:AC19)*E19+SUM(F20:AC20)*E20+SUM(F21:AC21)*E21+SUM(F22:AC22)*E22</f>
        <v>77591543.462354004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+[11]Resumen!E20</f>
        <v>4</v>
      </c>
      <c r="F20" s="7">
        <f>+[11]Resumen!F20*1000</f>
        <v>0</v>
      </c>
      <c r="G20" s="7">
        <f>+[11]Resumen!G20*1000</f>
        <v>0</v>
      </c>
      <c r="H20" s="7">
        <f>+[11]Resumen!H20*1000</f>
        <v>0</v>
      </c>
      <c r="I20" s="7">
        <f>+[11]Resumen!I20*1000</f>
        <v>0</v>
      </c>
      <c r="J20" s="7">
        <f>+[11]Resumen!J20*1000</f>
        <v>0</v>
      </c>
      <c r="K20" s="7">
        <f>+[11]Resumen!K20*1000</f>
        <v>0</v>
      </c>
      <c r="L20" s="7">
        <f>+[11]Resumen!L20*1000</f>
        <v>0</v>
      </c>
      <c r="M20" s="7">
        <f>+[11]Resumen!M20*1000</f>
        <v>205757.90476679083</v>
      </c>
      <c r="N20" s="7">
        <f>+[11]Resumen!N20*1000</f>
        <v>227159.07300573878</v>
      </c>
      <c r="O20" s="7">
        <f>+[11]Resumen!O20*1000</f>
        <v>241856.39618429053</v>
      </c>
      <c r="P20" s="7">
        <f>+[11]Resumen!P20*1000</f>
        <v>254846.74020682459</v>
      </c>
      <c r="Q20" s="7">
        <f>+[11]Resumen!Q20*1000</f>
        <v>264511.01583881048</v>
      </c>
      <c r="R20" s="7">
        <f>+[11]Resumen!R20*1000</f>
        <v>266876.99580663617</v>
      </c>
      <c r="S20" s="7">
        <f>+[11]Resumen!S20*1000</f>
        <v>262559.61764843541</v>
      </c>
      <c r="T20" s="7">
        <f>+[11]Resumen!T20*1000</f>
        <v>257229.55157118401</v>
      </c>
      <c r="U20" s="7">
        <f>+[11]Resumen!U20*1000</f>
        <v>255615.71675764481</v>
      </c>
      <c r="V20" s="7">
        <f>+[11]Resumen!V20*1000</f>
        <v>253341.74002066816</v>
      </c>
      <c r="W20" s="7">
        <f>+[11]Resumen!W20*1000</f>
        <v>0</v>
      </c>
      <c r="X20" s="7">
        <f>+[11]Resumen!X20*1000</f>
        <v>0</v>
      </c>
      <c r="Y20" s="7">
        <f>+[11]Resumen!Y20*1000</f>
        <v>0</v>
      </c>
      <c r="Z20" s="7">
        <f>+[11]Resumen!Z20*1000</f>
        <v>0</v>
      </c>
      <c r="AA20" s="7">
        <f>+[11]Resumen!AA20*1000</f>
        <v>0</v>
      </c>
      <c r="AB20" s="7">
        <f>+[11]Resumen!AB20*1000</f>
        <v>0</v>
      </c>
      <c r="AC20" s="7">
        <f>+[11]Resumen!AC20*1000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+[11]Resumen!E21</f>
        <v>4</v>
      </c>
      <c r="F21" s="7">
        <f>+[11]Resumen!F21*1000</f>
        <v>0</v>
      </c>
      <c r="G21" s="7">
        <f>+[11]Resumen!G21*1000</f>
        <v>0</v>
      </c>
      <c r="H21" s="7">
        <f>+[11]Resumen!H21*1000</f>
        <v>0</v>
      </c>
      <c r="I21" s="7">
        <f>+[11]Resumen!I21*1000</f>
        <v>0</v>
      </c>
      <c r="J21" s="7">
        <f>+[11]Resumen!J21*1000</f>
        <v>0</v>
      </c>
      <c r="K21" s="7">
        <f>+[11]Resumen!K21*1000</f>
        <v>0</v>
      </c>
      <c r="L21" s="7">
        <f>+[11]Resumen!L21*1000</f>
        <v>0</v>
      </c>
      <c r="M21" s="7">
        <f>+[11]Resumen!M21*1000</f>
        <v>175831.02713866229</v>
      </c>
      <c r="N21" s="7">
        <f>+[11]Resumen!N21*1000</f>
        <v>194376.14777117473</v>
      </c>
      <c r="O21" s="7">
        <f>+[11]Resumen!O21*1000</f>
        <v>209825.89917046364</v>
      </c>
      <c r="P21" s="7">
        <f>+[11]Resumen!P21*1000</f>
        <v>221136.04256550805</v>
      </c>
      <c r="Q21" s="7">
        <f>+[11]Resumen!Q21*1000</f>
        <v>232123.00147482974</v>
      </c>
      <c r="R21" s="7">
        <f>+[11]Resumen!R21*1000</f>
        <v>239869.27854616716</v>
      </c>
      <c r="S21" s="7">
        <f>+[11]Resumen!S21*1000</f>
        <v>241067.56517570131</v>
      </c>
      <c r="T21" s="7">
        <f>+[11]Resumen!T21*1000</f>
        <v>238513.28852028391</v>
      </c>
      <c r="U21" s="7">
        <f>+[11]Resumen!U21*1000</f>
        <v>235620.11719112977</v>
      </c>
      <c r="V21" s="7">
        <f>+[11]Resumen!V21*1000</f>
        <v>232318.32617164284</v>
      </c>
      <c r="W21" s="7">
        <f>+[11]Resumen!W21*1000</f>
        <v>0</v>
      </c>
      <c r="X21" s="7">
        <f>+[11]Resumen!X21*1000</f>
        <v>0</v>
      </c>
      <c r="Y21" s="7">
        <f>+[11]Resumen!Y21*1000</f>
        <v>0</v>
      </c>
      <c r="Z21" s="7">
        <f>+[11]Resumen!Z21*1000</f>
        <v>0</v>
      </c>
      <c r="AA21" s="7">
        <f>+[11]Resumen!AA21*1000</f>
        <v>0</v>
      </c>
      <c r="AB21" s="7">
        <f>+[11]Resumen!AB21*1000</f>
        <v>0</v>
      </c>
      <c r="AC21" s="7">
        <f>+[11]Resumen!AC21*1000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+[11]Resumen!E22</f>
        <v>2</v>
      </c>
      <c r="F22" s="7">
        <f>+[11]Resumen!F22*1000</f>
        <v>0</v>
      </c>
      <c r="G22" s="7">
        <f>+[11]Resumen!G22*1000</f>
        <v>0</v>
      </c>
      <c r="H22" s="7">
        <f>+[11]Resumen!H22*1000</f>
        <v>0</v>
      </c>
      <c r="I22" s="7">
        <f>+[11]Resumen!I22*1000</f>
        <v>0</v>
      </c>
      <c r="J22" s="7">
        <f>+[11]Resumen!J22*1000</f>
        <v>0</v>
      </c>
      <c r="K22" s="7">
        <f>+[11]Resumen!K22*1000</f>
        <v>0</v>
      </c>
      <c r="L22" s="7">
        <f>+[11]Resumen!L22*1000</f>
        <v>0</v>
      </c>
      <c r="M22" s="7">
        <f>+[11]Resumen!M22*1000</f>
        <v>177351.3726224862</v>
      </c>
      <c r="N22" s="7">
        <f>+[11]Resumen!N22*1000</f>
        <v>193864.52948754831</v>
      </c>
      <c r="O22" s="7">
        <f>+[11]Resumen!O22*1000</f>
        <v>203698.5498973215</v>
      </c>
      <c r="P22" s="7">
        <f>+[11]Resumen!P22*1000</f>
        <v>209404.84003649643</v>
      </c>
      <c r="Q22" s="7">
        <f>+[11]Resumen!Q22*1000</f>
        <v>222418.04830929486</v>
      </c>
      <c r="R22" s="7">
        <f>+[11]Resumen!R22*1000</f>
        <v>233965.98963749799</v>
      </c>
      <c r="S22" s="7">
        <f>+[11]Resumen!S22*1000</f>
        <v>232908.70548372128</v>
      </c>
      <c r="T22" s="7">
        <f>+[11]Resumen!T22*1000</f>
        <v>228204.76912668967</v>
      </c>
      <c r="U22" s="7">
        <f>+[11]Resumen!U22*1000</f>
        <v>225189.67355826424</v>
      </c>
      <c r="V22" s="7">
        <f>+[11]Resumen!V22*1000</f>
        <v>224923.7967600695</v>
      </c>
      <c r="W22" s="7">
        <f>+[11]Resumen!W22*1000</f>
        <v>0</v>
      </c>
      <c r="X22" s="7">
        <f>+[11]Resumen!X22*1000</f>
        <v>0</v>
      </c>
      <c r="Y22" s="7">
        <f>+[11]Resumen!Y22*1000</f>
        <v>0</v>
      </c>
      <c r="Z22" s="7">
        <f>+[11]Resumen!Z22*1000</f>
        <v>0</v>
      </c>
      <c r="AA22" s="7">
        <f>+[11]Resumen!AA22*1000</f>
        <v>0</v>
      </c>
      <c r="AB22" s="7">
        <f>+[11]Resumen!AB22*1000</f>
        <v>0</v>
      </c>
      <c r="AC22" s="7">
        <f>+[11]Resumen!AC22*1000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+[11]Resumen!E23</f>
        <v>20</v>
      </c>
      <c r="F23" s="7">
        <f>+[11]Resumen!F23*1000</f>
        <v>0</v>
      </c>
      <c r="G23" s="7">
        <f>+[11]Resumen!G23*1000</f>
        <v>0</v>
      </c>
      <c r="H23" s="7">
        <f>+[11]Resumen!H23*1000</f>
        <v>0</v>
      </c>
      <c r="I23" s="7">
        <f>+[11]Resumen!I23*1000</f>
        <v>0</v>
      </c>
      <c r="J23" s="7">
        <f>+[11]Resumen!J23*1000</f>
        <v>0</v>
      </c>
      <c r="K23" s="7">
        <f>+[11]Resumen!K23*1000</f>
        <v>0</v>
      </c>
      <c r="L23" s="7">
        <f>+[11]Resumen!L23*1000</f>
        <v>0</v>
      </c>
      <c r="M23" s="7">
        <f>+[11]Resumen!M23*1000</f>
        <v>224421.43563396382</v>
      </c>
      <c r="N23" s="7">
        <f>+[11]Resumen!N23*1000</f>
        <v>238968.16967219708</v>
      </c>
      <c r="O23" s="7">
        <f>+[11]Resumen!O23*1000</f>
        <v>249611.32005111434</v>
      </c>
      <c r="P23" s="7">
        <f>+[11]Resumen!P23*1000</f>
        <v>264769.02648571489</v>
      </c>
      <c r="Q23" s="7">
        <f>+[11]Resumen!Q23*1000</f>
        <v>277185.28520873917</v>
      </c>
      <c r="R23" s="7">
        <f>+[11]Resumen!R23*1000</f>
        <v>278141.92375909362</v>
      </c>
      <c r="S23" s="7">
        <f>+[11]Resumen!S23*1000</f>
        <v>273800.88743769255</v>
      </c>
      <c r="T23" s="7">
        <f>+[11]Resumen!T23*1000</f>
        <v>274873.58102137956</v>
      </c>
      <c r="U23" s="7">
        <f>+[11]Resumen!U23*1000</f>
        <v>274883.55911376688</v>
      </c>
      <c r="V23" s="7">
        <f>+[11]Resumen!V23*1000</f>
        <v>268963.28400659875</v>
      </c>
      <c r="W23" s="7">
        <f>+[11]Resumen!W23*1000</f>
        <v>0</v>
      </c>
      <c r="X23" s="7">
        <f>+[11]Resumen!X23*1000</f>
        <v>0</v>
      </c>
      <c r="Y23" s="7">
        <f>+[11]Resumen!Y23*1000</f>
        <v>0</v>
      </c>
      <c r="Z23" s="7">
        <f>+[11]Resumen!Z23*1000</f>
        <v>0</v>
      </c>
      <c r="AA23" s="7">
        <f>+[11]Resumen!AA23*1000</f>
        <v>0</v>
      </c>
      <c r="AB23" s="7">
        <f>+[11]Resumen!AB23*1000</f>
        <v>0</v>
      </c>
      <c r="AC23" s="7">
        <f>+[11]Resumen!AC23*1000</f>
        <v>0</v>
      </c>
      <c r="AD23" s="60">
        <f t="shared" ref="AD23" si="2">SUM(F23:AC23)*E23+SUM(F24:AC24)*E24+SUM(F25:AC25)*E25+SUM(F26:AC26)*E26</f>
        <v>77727769.998937517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+[11]Resumen!E24</f>
        <v>5</v>
      </c>
      <c r="F24" s="7">
        <f>+[11]Resumen!F24*1000</f>
        <v>0</v>
      </c>
      <c r="G24" s="7">
        <f>+[11]Resumen!G24*1000</f>
        <v>0</v>
      </c>
      <c r="H24" s="7">
        <f>+[11]Resumen!H24*1000</f>
        <v>0</v>
      </c>
      <c r="I24" s="7">
        <f>+[11]Resumen!I24*1000</f>
        <v>0</v>
      </c>
      <c r="J24" s="7">
        <f>+[11]Resumen!J24*1000</f>
        <v>0</v>
      </c>
      <c r="K24" s="7">
        <f>+[11]Resumen!K24*1000</f>
        <v>0</v>
      </c>
      <c r="L24" s="7">
        <f>+[11]Resumen!L24*1000</f>
        <v>0</v>
      </c>
      <c r="M24" s="7">
        <f>+[11]Resumen!M24*1000</f>
        <v>205006.20632674685</v>
      </c>
      <c r="N24" s="7">
        <f>+[11]Resumen!N24*1000</f>
        <v>226737.31947438465</v>
      </c>
      <c r="O24" s="7">
        <f>+[11]Resumen!O24*1000</f>
        <v>241091.28525968775</v>
      </c>
      <c r="P24" s="7">
        <f>+[11]Resumen!P24*1000</f>
        <v>254221.59458481224</v>
      </c>
      <c r="Q24" s="7">
        <f>+[11]Resumen!Q24*1000</f>
        <v>263384.70770019467</v>
      </c>
      <c r="R24" s="7">
        <f>+[11]Resumen!R24*1000</f>
        <v>263545.47396399861</v>
      </c>
      <c r="S24" s="7">
        <f>+[11]Resumen!S24*1000</f>
        <v>257073.80973688004</v>
      </c>
      <c r="T24" s="7">
        <f>+[11]Resumen!T24*1000</f>
        <v>250965.80186356496</v>
      </c>
      <c r="U24" s="7">
        <f>+[11]Resumen!U24*1000</f>
        <v>248363.33093345832</v>
      </c>
      <c r="V24" s="7">
        <f>+[11]Resumen!V24*1000</f>
        <v>245216.27995841473</v>
      </c>
      <c r="W24" s="7">
        <f>+[11]Resumen!W24*1000</f>
        <v>0</v>
      </c>
      <c r="X24" s="7">
        <f>+[11]Resumen!X24*1000</f>
        <v>0</v>
      </c>
      <c r="Y24" s="7">
        <f>+[11]Resumen!Y24*1000</f>
        <v>0</v>
      </c>
      <c r="Z24" s="7">
        <f>+[11]Resumen!Z24*1000</f>
        <v>0</v>
      </c>
      <c r="AA24" s="7">
        <f>+[11]Resumen!AA24*1000</f>
        <v>0</v>
      </c>
      <c r="AB24" s="7">
        <f>+[11]Resumen!AB24*1000</f>
        <v>0</v>
      </c>
      <c r="AC24" s="7">
        <f>+[11]Resumen!AC24*1000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+[11]Resumen!E25</f>
        <v>4</v>
      </c>
      <c r="F25" s="7">
        <f>+[11]Resumen!F25*1000</f>
        <v>0</v>
      </c>
      <c r="G25" s="7">
        <f>+[11]Resumen!G25*1000</f>
        <v>0</v>
      </c>
      <c r="H25" s="7">
        <f>+[11]Resumen!H25*1000</f>
        <v>0</v>
      </c>
      <c r="I25" s="7">
        <f>+[11]Resumen!I25*1000</f>
        <v>0</v>
      </c>
      <c r="J25" s="7">
        <f>+[11]Resumen!J25*1000</f>
        <v>0</v>
      </c>
      <c r="K25" s="7">
        <f>+[11]Resumen!K25*1000</f>
        <v>0</v>
      </c>
      <c r="L25" s="7">
        <f>+[11]Resumen!L25*1000</f>
        <v>0</v>
      </c>
      <c r="M25" s="7">
        <f>+[11]Resumen!M25*1000</f>
        <v>166878.97986850017</v>
      </c>
      <c r="N25" s="7">
        <f>+[11]Resumen!N25*1000</f>
        <v>185717.99424345721</v>
      </c>
      <c r="O25" s="7">
        <f>+[11]Resumen!O25*1000</f>
        <v>201428.7395446662</v>
      </c>
      <c r="P25" s="7">
        <f>+[11]Resumen!P25*1000</f>
        <v>213930.60596591901</v>
      </c>
      <c r="Q25" s="7">
        <f>+[11]Resumen!Q25*1000</f>
        <v>226550.04005685015</v>
      </c>
      <c r="R25" s="7">
        <f>+[11]Resumen!R25*1000</f>
        <v>232535.82293279009</v>
      </c>
      <c r="S25" s="7">
        <f>+[11]Resumen!S25*1000</f>
        <v>231195.58732405389</v>
      </c>
      <c r="T25" s="7">
        <f>+[11]Resumen!T25*1000</f>
        <v>224924.30981801142</v>
      </c>
      <c r="U25" s="7">
        <f>+[11]Resumen!U25*1000</f>
        <v>222819.86555898405</v>
      </c>
      <c r="V25" s="7">
        <f>+[11]Resumen!V25*1000</f>
        <v>219835.93604907257</v>
      </c>
      <c r="W25" s="7">
        <f>+[11]Resumen!W25*1000</f>
        <v>0</v>
      </c>
      <c r="X25" s="7">
        <f>+[11]Resumen!X25*1000</f>
        <v>0</v>
      </c>
      <c r="Y25" s="7">
        <f>+[11]Resumen!Y25*1000</f>
        <v>0</v>
      </c>
      <c r="Z25" s="7">
        <f>+[11]Resumen!Z25*1000</f>
        <v>0</v>
      </c>
      <c r="AA25" s="7">
        <f>+[11]Resumen!AA25*1000</f>
        <v>0</v>
      </c>
      <c r="AB25" s="7">
        <f>+[11]Resumen!AB25*1000</f>
        <v>0</v>
      </c>
      <c r="AC25" s="7">
        <f>+[11]Resumen!AC25*1000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+[11]Resumen!E26</f>
        <v>2</v>
      </c>
      <c r="F26" s="7">
        <f>+[11]Resumen!F26*1000</f>
        <v>0</v>
      </c>
      <c r="G26" s="7">
        <f>+[11]Resumen!G26*1000</f>
        <v>0</v>
      </c>
      <c r="H26" s="7">
        <f>+[11]Resumen!H26*1000</f>
        <v>0</v>
      </c>
      <c r="I26" s="7">
        <f>+[11]Resumen!I26*1000</f>
        <v>0</v>
      </c>
      <c r="J26" s="7">
        <f>+[11]Resumen!J26*1000</f>
        <v>0</v>
      </c>
      <c r="K26" s="7">
        <f>+[11]Resumen!K26*1000</f>
        <v>0</v>
      </c>
      <c r="L26" s="7">
        <f>+[11]Resumen!L26*1000</f>
        <v>0</v>
      </c>
      <c r="M26" s="7">
        <f>+[11]Resumen!M26*1000</f>
        <v>174804.20358872949</v>
      </c>
      <c r="N26" s="7">
        <f>+[11]Resumen!N26*1000</f>
        <v>192673.99622501552</v>
      </c>
      <c r="O26" s="7">
        <f>+[11]Resumen!O26*1000</f>
        <v>207295.4929780846</v>
      </c>
      <c r="P26" s="7">
        <f>+[11]Resumen!P26*1000</f>
        <v>223209.14827240299</v>
      </c>
      <c r="Q26" s="7">
        <f>+[11]Resumen!Q26*1000</f>
        <v>236488.56063897975</v>
      </c>
      <c r="R26" s="7">
        <f>+[11]Resumen!R26*1000</f>
        <v>246861.48207302266</v>
      </c>
      <c r="S26" s="7">
        <f>+[11]Resumen!S26*1000</f>
        <v>243081.10308637607</v>
      </c>
      <c r="T26" s="7">
        <f>+[11]Resumen!T26*1000</f>
        <v>236222.7634532243</v>
      </c>
      <c r="U26" s="7">
        <f>+[11]Resumen!U26*1000</f>
        <v>229388.32082059066</v>
      </c>
      <c r="V26" s="7">
        <f>+[11]Resumen!V26*1000</f>
        <v>227024.91719975774</v>
      </c>
      <c r="W26" s="7">
        <f>+[11]Resumen!W26*1000</f>
        <v>0</v>
      </c>
      <c r="X26" s="7">
        <f>+[11]Resumen!X26*1000</f>
        <v>0</v>
      </c>
      <c r="Y26" s="7">
        <f>+[11]Resumen!Y26*1000</f>
        <v>0</v>
      </c>
      <c r="Z26" s="7">
        <f>+[11]Resumen!Z26*1000</f>
        <v>0</v>
      </c>
      <c r="AA26" s="7">
        <f>+[11]Resumen!AA26*1000</f>
        <v>0</v>
      </c>
      <c r="AB26" s="7">
        <f>+[11]Resumen!AB26*1000</f>
        <v>0</v>
      </c>
      <c r="AC26" s="7">
        <f>+[11]Resumen!AC26*1000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+[11]Resumen!E27</f>
        <v>18</v>
      </c>
      <c r="F27" s="7">
        <f>+[11]Resumen!F27*1000</f>
        <v>0</v>
      </c>
      <c r="G27" s="7">
        <f>+[11]Resumen!G27*1000</f>
        <v>0</v>
      </c>
      <c r="H27" s="7">
        <f>+[11]Resumen!H27*1000</f>
        <v>0</v>
      </c>
      <c r="I27" s="7">
        <f>+[11]Resumen!I27*1000</f>
        <v>0</v>
      </c>
      <c r="J27" s="7">
        <f>+[11]Resumen!J27*1000</f>
        <v>0</v>
      </c>
      <c r="K27" s="7">
        <f>+[11]Resumen!K27*1000</f>
        <v>0</v>
      </c>
      <c r="L27" s="7">
        <f>+[11]Resumen!L27*1000</f>
        <v>0</v>
      </c>
      <c r="M27" s="7">
        <f>+[11]Resumen!M27*1000</f>
        <v>233915.90235591971</v>
      </c>
      <c r="N27" s="7">
        <f>+[11]Resumen!N27*1000</f>
        <v>251248.12968775022</v>
      </c>
      <c r="O27" s="7">
        <f>+[11]Resumen!O27*1000</f>
        <v>263022.04650188191</v>
      </c>
      <c r="P27" s="7">
        <f>+[11]Resumen!P27*1000</f>
        <v>278377.42841171037</v>
      </c>
      <c r="Q27" s="7">
        <f>+[11]Resumen!Q27*1000</f>
        <v>292410.04964322038</v>
      </c>
      <c r="R27" s="7">
        <f>+[11]Resumen!R27*1000</f>
        <v>295725.71313024848</v>
      </c>
      <c r="S27" s="7">
        <f>+[11]Resumen!S27*1000</f>
        <v>291835.51762946812</v>
      </c>
      <c r="T27" s="7">
        <f>+[11]Resumen!T27*1000</f>
        <v>293205.53713631444</v>
      </c>
      <c r="U27" s="7">
        <f>+[11]Resumen!U27*1000</f>
        <v>293087.69745746854</v>
      </c>
      <c r="V27" s="7">
        <f>+[11]Resumen!V27*1000</f>
        <v>286727.07489146572</v>
      </c>
      <c r="W27" s="7">
        <f>+[11]Resumen!W27*1000</f>
        <v>0</v>
      </c>
      <c r="X27" s="7">
        <f>+[11]Resumen!X27*1000</f>
        <v>0</v>
      </c>
      <c r="Y27" s="7">
        <f>+[11]Resumen!Y27*1000</f>
        <v>0</v>
      </c>
      <c r="Z27" s="7">
        <f>+[11]Resumen!Z27*1000</f>
        <v>0</v>
      </c>
      <c r="AA27" s="7">
        <f>+[11]Resumen!AA27*1000</f>
        <v>0</v>
      </c>
      <c r="AB27" s="7">
        <f>+[11]Resumen!AB27*1000</f>
        <v>0</v>
      </c>
      <c r="AC27" s="7">
        <f>+[11]Resumen!AC27*1000</f>
        <v>0</v>
      </c>
      <c r="AD27" s="60">
        <f t="shared" ref="AD27:AD35" si="3">SUM(F27:AC27)*E27+SUM(F28:AC28)*E28+SUM(F29:AC29)*E29+SUM(F30:AC30)*E30</f>
        <v>78142334.173193306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+[11]Resumen!E28</f>
        <v>4</v>
      </c>
      <c r="F28" s="7">
        <f>+[11]Resumen!F28*1000</f>
        <v>0</v>
      </c>
      <c r="G28" s="7">
        <f>+[11]Resumen!G28*1000</f>
        <v>0</v>
      </c>
      <c r="H28" s="7">
        <f>+[11]Resumen!H28*1000</f>
        <v>0</v>
      </c>
      <c r="I28" s="7">
        <f>+[11]Resumen!I28*1000</f>
        <v>0</v>
      </c>
      <c r="J28" s="7">
        <f>+[11]Resumen!J28*1000</f>
        <v>0</v>
      </c>
      <c r="K28" s="7">
        <f>+[11]Resumen!K28*1000</f>
        <v>0</v>
      </c>
      <c r="L28" s="7">
        <f>+[11]Resumen!L28*1000</f>
        <v>0</v>
      </c>
      <c r="M28" s="7">
        <f>+[11]Resumen!M28*1000</f>
        <v>213796.76860969496</v>
      </c>
      <c r="N28" s="7">
        <f>+[11]Resumen!N28*1000</f>
        <v>236016.22667121529</v>
      </c>
      <c r="O28" s="7">
        <f>+[11]Resumen!O28*1000</f>
        <v>250771.09637461274</v>
      </c>
      <c r="P28" s="7">
        <f>+[11]Resumen!P28*1000</f>
        <v>265039.07409114414</v>
      </c>
      <c r="Q28" s="7">
        <f>+[11]Resumen!Q28*1000</f>
        <v>275092.43119399418</v>
      </c>
      <c r="R28" s="7">
        <f>+[11]Resumen!R28*1000</f>
        <v>276361.80509741831</v>
      </c>
      <c r="S28" s="7">
        <f>+[11]Resumen!S28*1000</f>
        <v>269631.61495399673</v>
      </c>
      <c r="T28" s="7">
        <f>+[11]Resumen!T28*1000</f>
        <v>263838.22659481381</v>
      </c>
      <c r="U28" s="7">
        <f>+[11]Resumen!U28*1000</f>
        <v>261971.55815437884</v>
      </c>
      <c r="V28" s="7">
        <f>+[11]Resumen!V28*1000</f>
        <v>257938.18410450121</v>
      </c>
      <c r="W28" s="7">
        <f>+[11]Resumen!W28*1000</f>
        <v>0</v>
      </c>
      <c r="X28" s="7">
        <f>+[11]Resumen!X28*1000</f>
        <v>0</v>
      </c>
      <c r="Y28" s="7">
        <f>+[11]Resumen!Y28*1000</f>
        <v>0</v>
      </c>
      <c r="Z28" s="7">
        <f>+[11]Resumen!Z28*1000</f>
        <v>0</v>
      </c>
      <c r="AA28" s="7">
        <f>+[11]Resumen!AA28*1000</f>
        <v>0</v>
      </c>
      <c r="AB28" s="7">
        <f>+[11]Resumen!AB28*1000</f>
        <v>0</v>
      </c>
      <c r="AC28" s="7">
        <f>+[11]Resumen!AC28*1000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+[11]Resumen!E29</f>
        <v>5</v>
      </c>
      <c r="F29" s="7">
        <f>+[11]Resumen!F29*1000</f>
        <v>0</v>
      </c>
      <c r="G29" s="7">
        <f>+[11]Resumen!G29*1000</f>
        <v>0</v>
      </c>
      <c r="H29" s="7">
        <f>+[11]Resumen!H29*1000</f>
        <v>0</v>
      </c>
      <c r="I29" s="7">
        <f>+[11]Resumen!I29*1000</f>
        <v>0</v>
      </c>
      <c r="J29" s="7">
        <f>+[11]Resumen!J29*1000</f>
        <v>0</v>
      </c>
      <c r="K29" s="7">
        <f>+[11]Resumen!K29*1000</f>
        <v>0</v>
      </c>
      <c r="L29" s="7">
        <f>+[11]Resumen!L29*1000</f>
        <v>0</v>
      </c>
      <c r="M29" s="7">
        <f>+[11]Resumen!M29*1000</f>
        <v>175951.84564961054</v>
      </c>
      <c r="N29" s="7">
        <f>+[11]Resumen!N29*1000</f>
        <v>193421.10589251877</v>
      </c>
      <c r="O29" s="7">
        <f>+[11]Resumen!O29*1000</f>
        <v>208553.67027650939</v>
      </c>
      <c r="P29" s="7">
        <f>+[11]Resumen!P29*1000</f>
        <v>219687.80604854459</v>
      </c>
      <c r="Q29" s="7">
        <f>+[11]Resumen!Q29*1000</f>
        <v>232824.64580514509</v>
      </c>
      <c r="R29" s="7">
        <f>+[11]Resumen!R29*1000</f>
        <v>241179.537860065</v>
      </c>
      <c r="S29" s="7">
        <f>+[11]Resumen!S29*1000</f>
        <v>241603.67091877034</v>
      </c>
      <c r="T29" s="7">
        <f>+[11]Resumen!T29*1000</f>
        <v>237264.9168206281</v>
      </c>
      <c r="U29" s="7">
        <f>+[11]Resumen!U29*1000</f>
        <v>234704.87710919089</v>
      </c>
      <c r="V29" s="7">
        <f>+[11]Resumen!V29*1000</f>
        <v>231455.97307539626</v>
      </c>
      <c r="W29" s="7">
        <f>+[11]Resumen!W29*1000</f>
        <v>0</v>
      </c>
      <c r="X29" s="7">
        <f>+[11]Resumen!X29*1000</f>
        <v>0</v>
      </c>
      <c r="Y29" s="7">
        <f>+[11]Resumen!Y29*1000</f>
        <v>0</v>
      </c>
      <c r="Z29" s="7">
        <f>+[11]Resumen!Z29*1000</f>
        <v>0</v>
      </c>
      <c r="AA29" s="7">
        <f>+[11]Resumen!AA29*1000</f>
        <v>0</v>
      </c>
      <c r="AB29" s="7">
        <f>+[11]Resumen!AB29*1000</f>
        <v>0</v>
      </c>
      <c r="AC29" s="7">
        <f>+[11]Resumen!AC29*1000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+[11]Resumen!E30</f>
        <v>3</v>
      </c>
      <c r="F30" s="7">
        <f>+[11]Resumen!F30*1000</f>
        <v>0</v>
      </c>
      <c r="G30" s="7">
        <f>+[11]Resumen!G30*1000</f>
        <v>0</v>
      </c>
      <c r="H30" s="7">
        <f>+[11]Resumen!H30*1000</f>
        <v>0</v>
      </c>
      <c r="I30" s="7">
        <f>+[11]Resumen!I30*1000</f>
        <v>0</v>
      </c>
      <c r="J30" s="7">
        <f>+[11]Resumen!J30*1000</f>
        <v>0</v>
      </c>
      <c r="K30" s="7">
        <f>+[11]Resumen!K30*1000</f>
        <v>0</v>
      </c>
      <c r="L30" s="7">
        <f>+[11]Resumen!L30*1000</f>
        <v>0</v>
      </c>
      <c r="M30" s="7">
        <f>+[11]Resumen!M30*1000</f>
        <v>173645.42242072185</v>
      </c>
      <c r="N30" s="7">
        <f>+[11]Resumen!N30*1000</f>
        <v>191516.10848549291</v>
      </c>
      <c r="O30" s="7">
        <f>+[11]Resumen!O30*1000</f>
        <v>207355.39470425842</v>
      </c>
      <c r="P30" s="7">
        <f>+[11]Resumen!P30*1000</f>
        <v>223522.49619896364</v>
      </c>
      <c r="Q30" s="7">
        <f>+[11]Resumen!Q30*1000</f>
        <v>240191.76863450286</v>
      </c>
      <c r="R30" s="7">
        <f>+[11]Resumen!R30*1000</f>
        <v>249938.94514178243</v>
      </c>
      <c r="S30" s="7">
        <f>+[11]Resumen!S30*1000</f>
        <v>248020.78293334213</v>
      </c>
      <c r="T30" s="7">
        <f>+[11]Resumen!T30*1000</f>
        <v>241305.34762866356</v>
      </c>
      <c r="U30" s="7">
        <f>+[11]Resumen!U30*1000</f>
        <v>237945.73144079361</v>
      </c>
      <c r="V30" s="7">
        <f>+[11]Resumen!V30*1000</f>
        <v>234982.74884823422</v>
      </c>
      <c r="W30" s="7">
        <f>+[11]Resumen!W30*1000</f>
        <v>0</v>
      </c>
      <c r="X30" s="7">
        <f>+[11]Resumen!X30*1000</f>
        <v>0</v>
      </c>
      <c r="Y30" s="7">
        <f>+[11]Resumen!Y30*1000</f>
        <v>0</v>
      </c>
      <c r="Z30" s="7">
        <f>+[11]Resumen!Z30*1000</f>
        <v>0</v>
      </c>
      <c r="AA30" s="7">
        <f>+[11]Resumen!AA30*1000</f>
        <v>0</v>
      </c>
      <c r="AB30" s="7">
        <f>+[11]Resumen!AB30*1000</f>
        <v>0</v>
      </c>
      <c r="AC30" s="7">
        <f>+[11]Resumen!AC30*1000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+[11]Resumen!E31</f>
        <v>23</v>
      </c>
      <c r="F31" s="7">
        <f>+[11]Resumen!F31*1000</f>
        <v>0</v>
      </c>
      <c r="G31" s="7">
        <f>+[11]Resumen!G31*1000</f>
        <v>0</v>
      </c>
      <c r="H31" s="7">
        <f>+[11]Resumen!H31*1000</f>
        <v>0</v>
      </c>
      <c r="I31" s="7">
        <f>+[11]Resumen!I31*1000</f>
        <v>0</v>
      </c>
      <c r="J31" s="7">
        <f>+[11]Resumen!J31*1000</f>
        <v>0</v>
      </c>
      <c r="K31" s="7">
        <f>+[11]Resumen!K31*1000</f>
        <v>0</v>
      </c>
      <c r="L31" s="7">
        <f>+[11]Resumen!L31*1000</f>
        <v>0</v>
      </c>
      <c r="M31" s="7">
        <f>+[11]Resumen!M31*1000</f>
        <v>221554.6292909449</v>
      </c>
      <c r="N31" s="7">
        <f>+[11]Resumen!N31*1000</f>
        <v>238396.74917794598</v>
      </c>
      <c r="O31" s="7">
        <f>+[11]Resumen!O31*1000</f>
        <v>250475.36712315184</v>
      </c>
      <c r="P31" s="7">
        <f>+[11]Resumen!P31*1000</f>
        <v>266435.48512160551</v>
      </c>
      <c r="Q31" s="7">
        <f>+[11]Resumen!Q31*1000</f>
        <v>279216.79341612034</v>
      </c>
      <c r="R31" s="7">
        <f>+[11]Resumen!R31*1000</f>
        <v>280806.17615352327</v>
      </c>
      <c r="S31" s="7">
        <f>+[11]Resumen!S31*1000</f>
        <v>276613.65683756326</v>
      </c>
      <c r="T31" s="7">
        <f>+[11]Resumen!T31*1000</f>
        <v>278870.96361434128</v>
      </c>
      <c r="U31" s="7">
        <f>+[11]Resumen!U31*1000</f>
        <v>278447.1711199595</v>
      </c>
      <c r="V31" s="7">
        <f>+[11]Resumen!V31*1000</f>
        <v>271362.41370954999</v>
      </c>
      <c r="W31" s="7">
        <f>+[11]Resumen!W31*1000</f>
        <v>0</v>
      </c>
      <c r="X31" s="7">
        <f>+[11]Resumen!X31*1000</f>
        <v>0</v>
      </c>
      <c r="Y31" s="7">
        <f>+[11]Resumen!Y31*1000</f>
        <v>0</v>
      </c>
      <c r="Z31" s="7">
        <f>+[11]Resumen!Z31*1000</f>
        <v>0</v>
      </c>
      <c r="AA31" s="7">
        <f>+[11]Resumen!AA31*1000</f>
        <v>0</v>
      </c>
      <c r="AB31" s="7">
        <f>+[11]Resumen!AB31*1000</f>
        <v>0</v>
      </c>
      <c r="AC31" s="7">
        <f>+[11]Resumen!AC31*1000</f>
        <v>0</v>
      </c>
      <c r="AD31" s="60">
        <f t="shared" si="3"/>
        <v>79052583.864372835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+[11]Resumen!E32</f>
        <v>4</v>
      </c>
      <c r="F32" s="7">
        <f>+[11]Resumen!F32*1000</f>
        <v>0</v>
      </c>
      <c r="G32" s="7">
        <f>+[11]Resumen!G32*1000</f>
        <v>0</v>
      </c>
      <c r="H32" s="7">
        <f>+[11]Resumen!H32*1000</f>
        <v>0</v>
      </c>
      <c r="I32" s="7">
        <f>+[11]Resumen!I32*1000</f>
        <v>0</v>
      </c>
      <c r="J32" s="7">
        <f>+[11]Resumen!J32*1000</f>
        <v>0</v>
      </c>
      <c r="K32" s="7">
        <f>+[11]Resumen!K32*1000</f>
        <v>0</v>
      </c>
      <c r="L32" s="7">
        <f>+[11]Resumen!L32*1000</f>
        <v>0</v>
      </c>
      <c r="M32" s="7">
        <f>+[11]Resumen!M32*1000</f>
        <v>199980.02756452389</v>
      </c>
      <c r="N32" s="7">
        <f>+[11]Resumen!N32*1000</f>
        <v>222612.03728629372</v>
      </c>
      <c r="O32" s="7">
        <f>+[11]Resumen!O32*1000</f>
        <v>237435.09946683137</v>
      </c>
      <c r="P32" s="7">
        <f>+[11]Resumen!P32*1000</f>
        <v>251912.47559027193</v>
      </c>
      <c r="Q32" s="7">
        <f>+[11]Resumen!Q32*1000</f>
        <v>262311.08088180306</v>
      </c>
      <c r="R32" s="7">
        <f>+[11]Resumen!R32*1000</f>
        <v>262472.56144610379</v>
      </c>
      <c r="S32" s="7">
        <f>+[11]Resumen!S32*1000</f>
        <v>255376.6516598278</v>
      </c>
      <c r="T32" s="7">
        <f>+[11]Resumen!T32*1000</f>
        <v>249078.79244489875</v>
      </c>
      <c r="U32" s="7">
        <f>+[11]Resumen!U32*1000</f>
        <v>246348.09241262273</v>
      </c>
      <c r="V32" s="7">
        <f>+[11]Resumen!V32*1000</f>
        <v>242967.84996861423</v>
      </c>
      <c r="W32" s="7">
        <f>+[11]Resumen!W32*1000</f>
        <v>0</v>
      </c>
      <c r="X32" s="7">
        <f>+[11]Resumen!X32*1000</f>
        <v>0</v>
      </c>
      <c r="Y32" s="7">
        <f>+[11]Resumen!Y32*1000</f>
        <v>0</v>
      </c>
      <c r="Z32" s="7">
        <f>+[11]Resumen!Z32*1000</f>
        <v>0</v>
      </c>
      <c r="AA32" s="7">
        <f>+[11]Resumen!AA32*1000</f>
        <v>0</v>
      </c>
      <c r="AB32" s="7">
        <f>+[11]Resumen!AB32*1000</f>
        <v>0</v>
      </c>
      <c r="AC32" s="7">
        <f>+[11]Resumen!AC32*1000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+[11]Resumen!E33</f>
        <v>3</v>
      </c>
      <c r="F33" s="7">
        <f>+[11]Resumen!F33*1000</f>
        <v>0</v>
      </c>
      <c r="G33" s="7">
        <f>+[11]Resumen!G33*1000</f>
        <v>0</v>
      </c>
      <c r="H33" s="7">
        <f>+[11]Resumen!H33*1000</f>
        <v>0</v>
      </c>
      <c r="I33" s="7">
        <f>+[11]Resumen!I33*1000</f>
        <v>0</v>
      </c>
      <c r="J33" s="7">
        <f>+[11]Resumen!J33*1000</f>
        <v>0</v>
      </c>
      <c r="K33" s="7">
        <f>+[11]Resumen!K33*1000</f>
        <v>0</v>
      </c>
      <c r="L33" s="7">
        <f>+[11]Resumen!L33*1000</f>
        <v>0</v>
      </c>
      <c r="M33" s="7">
        <f>+[11]Resumen!M33*1000</f>
        <v>165048.24096419485</v>
      </c>
      <c r="N33" s="7">
        <f>+[11]Resumen!N33*1000</f>
        <v>183042.17371931163</v>
      </c>
      <c r="O33" s="7">
        <f>+[11]Resumen!O33*1000</f>
        <v>198578.79113566072</v>
      </c>
      <c r="P33" s="7">
        <f>+[11]Resumen!P33*1000</f>
        <v>211847.56418431291</v>
      </c>
      <c r="Q33" s="7">
        <f>+[11]Resumen!Q33*1000</f>
        <v>225293.22943863276</v>
      </c>
      <c r="R33" s="7">
        <f>+[11]Resumen!R33*1000</f>
        <v>232891.38977818209</v>
      </c>
      <c r="S33" s="7">
        <f>+[11]Resumen!S33*1000</f>
        <v>233140.74478377347</v>
      </c>
      <c r="T33" s="7">
        <f>+[11]Resumen!T33*1000</f>
        <v>228729.17405264406</v>
      </c>
      <c r="U33" s="7">
        <f>+[11]Resumen!U33*1000</f>
        <v>225456.68704517509</v>
      </c>
      <c r="V33" s="7">
        <f>+[11]Resumen!V33*1000</f>
        <v>222358.55127968729</v>
      </c>
      <c r="W33" s="7">
        <f>+[11]Resumen!W33*1000</f>
        <v>0</v>
      </c>
      <c r="X33" s="7">
        <f>+[11]Resumen!X33*1000</f>
        <v>0</v>
      </c>
      <c r="Y33" s="7">
        <f>+[11]Resumen!Y33*1000</f>
        <v>0</v>
      </c>
      <c r="Z33" s="7">
        <f>+[11]Resumen!Z33*1000</f>
        <v>0</v>
      </c>
      <c r="AA33" s="7">
        <f>+[11]Resumen!AA33*1000</f>
        <v>0</v>
      </c>
      <c r="AB33" s="7">
        <f>+[11]Resumen!AB33*1000</f>
        <v>0</v>
      </c>
      <c r="AC33" s="7">
        <f>+[11]Resumen!AC33*1000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+[11]Resumen!E34</f>
        <v>1</v>
      </c>
      <c r="F34" s="7">
        <f>+[11]Resumen!F34*1000</f>
        <v>0</v>
      </c>
      <c r="G34" s="7">
        <f>+[11]Resumen!G34*1000</f>
        <v>0</v>
      </c>
      <c r="H34" s="7">
        <f>+[11]Resumen!H34*1000</f>
        <v>0</v>
      </c>
      <c r="I34" s="7">
        <f>+[11]Resumen!I34*1000</f>
        <v>0</v>
      </c>
      <c r="J34" s="7">
        <f>+[11]Resumen!J34*1000</f>
        <v>0</v>
      </c>
      <c r="K34" s="7">
        <f>+[11]Resumen!K34*1000</f>
        <v>0</v>
      </c>
      <c r="L34" s="7">
        <f>+[11]Resumen!L34*1000</f>
        <v>0</v>
      </c>
      <c r="M34" s="7">
        <f>+[11]Resumen!M34*1000</f>
        <v>168690.56534679333</v>
      </c>
      <c r="N34" s="7">
        <f>+[11]Resumen!N34*1000</f>
        <v>187881.64140835818</v>
      </c>
      <c r="O34" s="7">
        <f>+[11]Resumen!O34*1000</f>
        <v>204092.55185922328</v>
      </c>
      <c r="P34" s="7">
        <f>+[11]Resumen!P34*1000</f>
        <v>218984.66456207979</v>
      </c>
      <c r="Q34" s="7">
        <f>+[11]Resumen!Q34*1000</f>
        <v>233094.61158667854</v>
      </c>
      <c r="R34" s="7">
        <f>+[11]Resumen!R34*1000</f>
        <v>240186.82160598555</v>
      </c>
      <c r="S34" s="7">
        <f>+[11]Resumen!S34*1000</f>
        <v>238220.79020698305</v>
      </c>
      <c r="T34" s="7">
        <f>+[11]Resumen!T34*1000</f>
        <v>233308.39752357357</v>
      </c>
      <c r="U34" s="7">
        <f>+[11]Resumen!U34*1000</f>
        <v>231259.06939853783</v>
      </c>
      <c r="V34" s="7">
        <f>+[11]Resumen!V34*1000</f>
        <v>225600.10885450343</v>
      </c>
      <c r="W34" s="7">
        <f>+[11]Resumen!W34*1000</f>
        <v>0</v>
      </c>
      <c r="X34" s="7">
        <f>+[11]Resumen!X34*1000</f>
        <v>0</v>
      </c>
      <c r="Y34" s="7">
        <f>+[11]Resumen!Y34*1000</f>
        <v>0</v>
      </c>
      <c r="Z34" s="7">
        <f>+[11]Resumen!Z34*1000</f>
        <v>0</v>
      </c>
      <c r="AA34" s="7">
        <f>+[11]Resumen!AA34*1000</f>
        <v>0</v>
      </c>
      <c r="AB34" s="7">
        <f>+[11]Resumen!AB34*1000</f>
        <v>0</v>
      </c>
      <c r="AC34" s="7">
        <f>+[11]Resumen!AC34*1000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+[11]Resumen!E35</f>
        <v>19</v>
      </c>
      <c r="F35" s="7">
        <f>+[11]Resumen!F35*1000</f>
        <v>0</v>
      </c>
      <c r="G35" s="7">
        <f>+[11]Resumen!G35*1000</f>
        <v>0</v>
      </c>
      <c r="H35" s="7">
        <f>+[11]Resumen!H35*1000</f>
        <v>0</v>
      </c>
      <c r="I35" s="7">
        <f>+[11]Resumen!I35*1000</f>
        <v>0</v>
      </c>
      <c r="J35" s="7">
        <f>+[11]Resumen!J35*1000</f>
        <v>0</v>
      </c>
      <c r="K35" s="7">
        <f>+[11]Resumen!K35*1000</f>
        <v>0</v>
      </c>
      <c r="L35" s="7">
        <f>+[11]Resumen!L35*1000</f>
        <v>0</v>
      </c>
      <c r="M35" s="7">
        <f>+[11]Resumen!M35*1000</f>
        <v>227924.40949891944</v>
      </c>
      <c r="N35" s="7">
        <f>+[11]Resumen!N35*1000</f>
        <v>243820.35544841559</v>
      </c>
      <c r="O35" s="7">
        <f>+[11]Resumen!O35*1000</f>
        <v>255809.84947932564</v>
      </c>
      <c r="P35" s="7">
        <f>+[11]Resumen!P35*1000</f>
        <v>271831.63394635671</v>
      </c>
      <c r="Q35" s="7">
        <f>+[11]Resumen!Q35*1000</f>
        <v>284587.30482397293</v>
      </c>
      <c r="R35" s="7">
        <f>+[11]Resumen!R35*1000</f>
        <v>285747.62295434967</v>
      </c>
      <c r="S35" s="7">
        <f>+[11]Resumen!S35*1000</f>
        <v>282147.83594033966</v>
      </c>
      <c r="T35" s="7">
        <f>+[11]Resumen!T35*1000</f>
        <v>284385.85660370672</v>
      </c>
      <c r="U35" s="7">
        <f>+[11]Resumen!U35*1000</f>
        <v>283954.65351810365</v>
      </c>
      <c r="V35" s="7">
        <f>+[11]Resumen!V35*1000</f>
        <v>276812.42034946114</v>
      </c>
      <c r="W35" s="7">
        <f>+[11]Resumen!W35*1000</f>
        <v>0</v>
      </c>
      <c r="X35" s="7">
        <f>+[11]Resumen!X35*1000</f>
        <v>0</v>
      </c>
      <c r="Y35" s="7">
        <f>+[11]Resumen!Y35*1000</f>
        <v>0</v>
      </c>
      <c r="Z35" s="7">
        <f>+[11]Resumen!Z35*1000</f>
        <v>0</v>
      </c>
      <c r="AA35" s="7">
        <f>+[11]Resumen!AA35*1000</f>
        <v>0</v>
      </c>
      <c r="AB35" s="7">
        <f>+[11]Resumen!AB35*1000</f>
        <v>0</v>
      </c>
      <c r="AC35" s="7">
        <f>+[11]Resumen!AC35*1000</f>
        <v>0</v>
      </c>
      <c r="AD35" s="60">
        <f t="shared" si="3"/>
        <v>78864482.0039002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+[11]Resumen!E36</f>
        <v>5</v>
      </c>
      <c r="F36" s="7">
        <f>+[11]Resumen!F36*1000</f>
        <v>0</v>
      </c>
      <c r="G36" s="7">
        <f>+[11]Resumen!G36*1000</f>
        <v>0</v>
      </c>
      <c r="H36" s="7">
        <f>+[11]Resumen!H36*1000</f>
        <v>0</v>
      </c>
      <c r="I36" s="7">
        <f>+[11]Resumen!I36*1000</f>
        <v>0</v>
      </c>
      <c r="J36" s="7">
        <f>+[11]Resumen!J36*1000</f>
        <v>0</v>
      </c>
      <c r="K36" s="7">
        <f>+[11]Resumen!K36*1000</f>
        <v>0</v>
      </c>
      <c r="L36" s="7">
        <f>+[11]Resumen!L36*1000</f>
        <v>0</v>
      </c>
      <c r="M36" s="7">
        <f>+[11]Resumen!M36*1000</f>
        <v>207950.46230442671</v>
      </c>
      <c r="N36" s="7">
        <f>+[11]Resumen!N36*1000</f>
        <v>229984.31944400695</v>
      </c>
      <c r="O36" s="7">
        <f>+[11]Resumen!O36*1000</f>
        <v>245016.61196074859</v>
      </c>
      <c r="P36" s="7">
        <f>+[11]Resumen!P36*1000</f>
        <v>258834.21105109842</v>
      </c>
      <c r="Q36" s="7">
        <f>+[11]Resumen!Q36*1000</f>
        <v>268402.25514712773</v>
      </c>
      <c r="R36" s="7">
        <f>+[11]Resumen!R36*1000</f>
        <v>268587.1882091607</v>
      </c>
      <c r="S36" s="7">
        <f>+[11]Resumen!S36*1000</f>
        <v>261917.04353659492</v>
      </c>
      <c r="T36" s="7">
        <f>+[11]Resumen!T36*1000</f>
        <v>255075.98864858938</v>
      </c>
      <c r="U36" s="7">
        <f>+[11]Resumen!U36*1000</f>
        <v>251369.39270148438</v>
      </c>
      <c r="V36" s="7">
        <f>+[11]Resumen!V36*1000</f>
        <v>247985.54779459929</v>
      </c>
      <c r="W36" s="7">
        <f>+[11]Resumen!W36*1000</f>
        <v>0</v>
      </c>
      <c r="X36" s="7">
        <f>+[11]Resumen!X36*1000</f>
        <v>0</v>
      </c>
      <c r="Y36" s="7">
        <f>+[11]Resumen!Y36*1000</f>
        <v>0</v>
      </c>
      <c r="Z36" s="7">
        <f>+[11]Resumen!Z36*1000</f>
        <v>0</v>
      </c>
      <c r="AA36" s="7">
        <f>+[11]Resumen!AA36*1000</f>
        <v>0</v>
      </c>
      <c r="AB36" s="7">
        <f>+[11]Resumen!AB36*1000</f>
        <v>0</v>
      </c>
      <c r="AC36" s="7">
        <f>+[11]Resumen!AC36*1000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+[11]Resumen!E37</f>
        <v>5</v>
      </c>
      <c r="F37" s="7">
        <f>+[11]Resumen!F37*1000</f>
        <v>0</v>
      </c>
      <c r="G37" s="7">
        <f>+[11]Resumen!G37*1000</f>
        <v>0</v>
      </c>
      <c r="H37" s="7">
        <f>+[11]Resumen!H37*1000</f>
        <v>0</v>
      </c>
      <c r="I37" s="7">
        <f>+[11]Resumen!I37*1000</f>
        <v>0</v>
      </c>
      <c r="J37" s="7">
        <f>+[11]Resumen!J37*1000</f>
        <v>0</v>
      </c>
      <c r="K37" s="7">
        <f>+[11]Resumen!K37*1000</f>
        <v>0</v>
      </c>
      <c r="L37" s="7">
        <f>+[11]Resumen!L37*1000</f>
        <v>0</v>
      </c>
      <c r="M37" s="7">
        <f>+[11]Resumen!M37*1000</f>
        <v>167624.37565710268</v>
      </c>
      <c r="N37" s="7">
        <f>+[11]Resumen!N37*1000</f>
        <v>185858.17405734232</v>
      </c>
      <c r="O37" s="7">
        <f>+[11]Resumen!O37*1000</f>
        <v>201346.56402715252</v>
      </c>
      <c r="P37" s="7">
        <f>+[11]Resumen!P37*1000</f>
        <v>213440.29506707808</v>
      </c>
      <c r="Q37" s="7">
        <f>+[11]Resumen!Q37*1000</f>
        <v>225969.57249345971</v>
      </c>
      <c r="R37" s="7">
        <f>+[11]Resumen!R37*1000</f>
        <v>233703.03638498942</v>
      </c>
      <c r="S37" s="7">
        <f>+[11]Resumen!S37*1000</f>
        <v>234106.36405956798</v>
      </c>
      <c r="T37" s="7">
        <f>+[11]Resumen!T37*1000</f>
        <v>227915.83125858911</v>
      </c>
      <c r="U37" s="7">
        <f>+[11]Resumen!U37*1000</f>
        <v>224785.55639366302</v>
      </c>
      <c r="V37" s="7">
        <f>+[11]Resumen!V37*1000</f>
        <v>220390.0983356573</v>
      </c>
      <c r="W37" s="7">
        <f>+[11]Resumen!W37*1000</f>
        <v>0</v>
      </c>
      <c r="X37" s="7">
        <f>+[11]Resumen!X37*1000</f>
        <v>0</v>
      </c>
      <c r="Y37" s="7">
        <f>+[11]Resumen!Y37*1000</f>
        <v>0</v>
      </c>
      <c r="Z37" s="7">
        <f>+[11]Resumen!Z37*1000</f>
        <v>0</v>
      </c>
      <c r="AA37" s="7">
        <f>+[11]Resumen!AA37*1000</f>
        <v>0</v>
      </c>
      <c r="AB37" s="7">
        <f>+[11]Resumen!AB37*1000</f>
        <v>0</v>
      </c>
      <c r="AC37" s="7">
        <f>+[11]Resumen!AC37*1000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+[11]Resumen!E38</f>
        <v>2</v>
      </c>
      <c r="F38" s="7">
        <f>+[11]Resumen!F38*1000</f>
        <v>0</v>
      </c>
      <c r="G38" s="7">
        <f>+[11]Resumen!G38*1000</f>
        <v>0</v>
      </c>
      <c r="H38" s="7">
        <f>+[11]Resumen!H38*1000</f>
        <v>0</v>
      </c>
      <c r="I38" s="7">
        <f>+[11]Resumen!I38*1000</f>
        <v>0</v>
      </c>
      <c r="J38" s="7">
        <f>+[11]Resumen!J38*1000</f>
        <v>0</v>
      </c>
      <c r="K38" s="7">
        <f>+[11]Resumen!K38*1000</f>
        <v>0</v>
      </c>
      <c r="L38" s="7">
        <f>+[11]Resumen!L38*1000</f>
        <v>0</v>
      </c>
      <c r="M38" s="7">
        <f>+[11]Resumen!M38*1000</f>
        <v>175366.42221187608</v>
      </c>
      <c r="N38" s="7">
        <f>+[11]Resumen!N38*1000</f>
        <v>193773.57006423618</v>
      </c>
      <c r="O38" s="7">
        <f>+[11]Resumen!O38*1000</f>
        <v>208454.70095722497</v>
      </c>
      <c r="P38" s="7">
        <f>+[11]Resumen!P38*1000</f>
        <v>224284.30320733707</v>
      </c>
      <c r="Q38" s="7">
        <f>+[11]Resumen!Q38*1000</f>
        <v>239901.36899355924</v>
      </c>
      <c r="R38" s="7">
        <f>+[11]Resumen!R38*1000</f>
        <v>249422.39530983515</v>
      </c>
      <c r="S38" s="7">
        <f>+[11]Resumen!S38*1000</f>
        <v>244942.06154575077</v>
      </c>
      <c r="T38" s="7">
        <f>+[11]Resumen!T38*1000</f>
        <v>237072.31000403312</v>
      </c>
      <c r="U38" s="7">
        <f>+[11]Resumen!U38*1000</f>
        <v>233001.6441607317</v>
      </c>
      <c r="V38" s="7">
        <f>+[11]Resumen!V38*1000</f>
        <v>228656.54981638503</v>
      </c>
      <c r="W38" s="7">
        <f>+[11]Resumen!W38*1000</f>
        <v>0</v>
      </c>
      <c r="X38" s="7">
        <f>+[11]Resumen!X38*1000</f>
        <v>0</v>
      </c>
      <c r="Y38" s="7">
        <f>+[11]Resumen!Y38*1000</f>
        <v>0</v>
      </c>
      <c r="Z38" s="7">
        <f>+[11]Resumen!Z38*1000</f>
        <v>0</v>
      </c>
      <c r="AA38" s="7">
        <f>+[11]Resumen!AA38*1000</f>
        <v>0</v>
      </c>
      <c r="AB38" s="7">
        <f>+[11]Resumen!AB38*1000</f>
        <v>0</v>
      </c>
      <c r="AC38" s="7">
        <f>+[11]Resumen!AC38*1000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+[11]Resumen!E39</f>
        <v>22</v>
      </c>
      <c r="F39" s="7">
        <f>+[11]Resumen!F39*1000</f>
        <v>0</v>
      </c>
      <c r="G39" s="7">
        <f>+[11]Resumen!G39*1000</f>
        <v>0</v>
      </c>
      <c r="H39" s="7">
        <f>+[11]Resumen!H39*1000</f>
        <v>0</v>
      </c>
      <c r="I39" s="7">
        <f>+[11]Resumen!I39*1000</f>
        <v>0</v>
      </c>
      <c r="J39" s="7">
        <f>+[11]Resumen!J39*1000</f>
        <v>0</v>
      </c>
      <c r="K39" s="7">
        <f>+[11]Resumen!K39*1000</f>
        <v>0</v>
      </c>
      <c r="L39" s="7">
        <f>+[11]Resumen!L39*1000</f>
        <v>0</v>
      </c>
      <c r="M39" s="7">
        <f>+[11]Resumen!M39*1000</f>
        <v>233415.97825503806</v>
      </c>
      <c r="N39" s="7">
        <f>+[11]Resumen!N39*1000</f>
        <v>249547.48414356707</v>
      </c>
      <c r="O39" s="7">
        <f>+[11]Resumen!O39*1000</f>
        <v>261437.48031705429</v>
      </c>
      <c r="P39" s="7">
        <f>+[11]Resumen!P39*1000</f>
        <v>277881.04043000587</v>
      </c>
      <c r="Q39" s="7">
        <f>+[11]Resumen!Q39*1000</f>
        <v>291521.52616902348</v>
      </c>
      <c r="R39" s="7">
        <f>+[11]Resumen!R39*1000</f>
        <v>293654.86974350252</v>
      </c>
      <c r="S39" s="7">
        <f>+[11]Resumen!S39*1000</f>
        <v>289950.77495386428</v>
      </c>
      <c r="T39" s="7">
        <f>+[11]Resumen!T39*1000</f>
        <v>291511.01069267112</v>
      </c>
      <c r="U39" s="7">
        <f>+[11]Resumen!U39*1000</f>
        <v>291554.3486085654</v>
      </c>
      <c r="V39" s="7">
        <f>+[11]Resumen!V39*1000</f>
        <v>284863.88507233502</v>
      </c>
      <c r="W39" s="7">
        <f>+[11]Resumen!W39*1000</f>
        <v>0</v>
      </c>
      <c r="X39" s="7">
        <f>+[11]Resumen!X39*1000</f>
        <v>0</v>
      </c>
      <c r="Y39" s="7">
        <f>+[11]Resumen!Y39*1000</f>
        <v>0</v>
      </c>
      <c r="Z39" s="7">
        <f>+[11]Resumen!Z39*1000</f>
        <v>0</v>
      </c>
      <c r="AA39" s="7">
        <f>+[11]Resumen!AA39*1000</f>
        <v>0</v>
      </c>
      <c r="AB39" s="7">
        <f>+[11]Resumen!AB39*1000</f>
        <v>0</v>
      </c>
      <c r="AC39" s="7">
        <f>+[11]Resumen!AC39*1000</f>
        <v>0</v>
      </c>
      <c r="AD39" s="60">
        <f t="shared" ref="AD39" si="4">SUM(F39:AC39)*E39+SUM(F40:AC40)*E40+SUM(F41:AC41)*E41+SUM(F42:AC42)*E42</f>
        <v>79809792.292395338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+[11]Resumen!E40</f>
        <v>4</v>
      </c>
      <c r="F40" s="7">
        <f>+[11]Resumen!F40*1000</f>
        <v>0</v>
      </c>
      <c r="G40" s="7">
        <f>+[11]Resumen!G40*1000</f>
        <v>0</v>
      </c>
      <c r="H40" s="7">
        <f>+[11]Resumen!H40*1000</f>
        <v>0</v>
      </c>
      <c r="I40" s="7">
        <f>+[11]Resumen!I40*1000</f>
        <v>0</v>
      </c>
      <c r="J40" s="7">
        <f>+[11]Resumen!J40*1000</f>
        <v>0</v>
      </c>
      <c r="K40" s="7">
        <f>+[11]Resumen!K40*1000</f>
        <v>0</v>
      </c>
      <c r="L40" s="7">
        <f>+[11]Resumen!L40*1000</f>
        <v>0</v>
      </c>
      <c r="M40" s="7">
        <f>+[11]Resumen!M40*1000</f>
        <v>213701.70693430427</v>
      </c>
      <c r="N40" s="7">
        <f>+[11]Resumen!N40*1000</f>
        <v>236735.50515682696</v>
      </c>
      <c r="O40" s="7">
        <f>+[11]Resumen!O40*1000</f>
        <v>252546.19060678803</v>
      </c>
      <c r="P40" s="7">
        <f>+[11]Resumen!P40*1000</f>
        <v>267256.84886891593</v>
      </c>
      <c r="Q40" s="7">
        <f>+[11]Resumen!Q40*1000</f>
        <v>277422.1941363262</v>
      </c>
      <c r="R40" s="7">
        <f>+[11]Resumen!R40*1000</f>
        <v>277847.37321402523</v>
      </c>
      <c r="S40" s="7">
        <f>+[11]Resumen!S40*1000</f>
        <v>269406.86903796345</v>
      </c>
      <c r="T40" s="7">
        <f>+[11]Resumen!T40*1000</f>
        <v>260427.0724098057</v>
      </c>
      <c r="U40" s="7">
        <f>+[11]Resumen!U40*1000</f>
        <v>256113.75890892054</v>
      </c>
      <c r="V40" s="7">
        <f>+[11]Resumen!V40*1000</f>
        <v>251514.89991443002</v>
      </c>
      <c r="W40" s="7">
        <f>+[11]Resumen!W40*1000</f>
        <v>0</v>
      </c>
      <c r="X40" s="7">
        <f>+[11]Resumen!X40*1000</f>
        <v>0</v>
      </c>
      <c r="Y40" s="7">
        <f>+[11]Resumen!Y40*1000</f>
        <v>0</v>
      </c>
      <c r="Z40" s="7">
        <f>+[11]Resumen!Z40*1000</f>
        <v>0</v>
      </c>
      <c r="AA40" s="7">
        <f>+[11]Resumen!AA40*1000</f>
        <v>0</v>
      </c>
      <c r="AB40" s="7">
        <f>+[11]Resumen!AB40*1000</f>
        <v>0</v>
      </c>
      <c r="AC40" s="7">
        <f>+[11]Resumen!AC40*1000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+[11]Resumen!E41</f>
        <v>4</v>
      </c>
      <c r="F41" s="7">
        <f>+[11]Resumen!F41*1000</f>
        <v>0</v>
      </c>
      <c r="G41" s="7">
        <f>+[11]Resumen!G41*1000</f>
        <v>0</v>
      </c>
      <c r="H41" s="7">
        <f>+[11]Resumen!H41*1000</f>
        <v>0</v>
      </c>
      <c r="I41" s="7">
        <f>+[11]Resumen!I41*1000</f>
        <v>0</v>
      </c>
      <c r="J41" s="7">
        <f>+[11]Resumen!J41*1000</f>
        <v>0</v>
      </c>
      <c r="K41" s="7">
        <f>+[11]Resumen!K41*1000</f>
        <v>0</v>
      </c>
      <c r="L41" s="7">
        <f>+[11]Resumen!L41*1000</f>
        <v>0</v>
      </c>
      <c r="M41" s="7">
        <f>+[11]Resumen!M41*1000</f>
        <v>170661.76713143446</v>
      </c>
      <c r="N41" s="7">
        <f>+[11]Resumen!N41*1000</f>
        <v>189020.75830386841</v>
      </c>
      <c r="O41" s="7">
        <f>+[11]Resumen!O41*1000</f>
        <v>204447.77592883509</v>
      </c>
      <c r="P41" s="7">
        <f>+[11]Resumen!P41*1000</f>
        <v>218064.15457895317</v>
      </c>
      <c r="Q41" s="7">
        <f>+[11]Resumen!Q41*1000</f>
        <v>231066.11096033605</v>
      </c>
      <c r="R41" s="7">
        <f>+[11]Resumen!R41*1000</f>
        <v>239043.27737426976</v>
      </c>
      <c r="S41" s="7">
        <f>+[11]Resumen!S41*1000</f>
        <v>238141.95620046166</v>
      </c>
      <c r="T41" s="7">
        <f>+[11]Resumen!T41*1000</f>
        <v>232577.51773639632</v>
      </c>
      <c r="U41" s="7">
        <f>+[11]Resumen!U41*1000</f>
        <v>229965.32081996</v>
      </c>
      <c r="V41" s="7">
        <f>+[11]Resumen!V41*1000</f>
        <v>227125.82375506414</v>
      </c>
      <c r="W41" s="7">
        <f>+[11]Resumen!W41*1000</f>
        <v>0</v>
      </c>
      <c r="X41" s="7">
        <f>+[11]Resumen!X41*1000</f>
        <v>0</v>
      </c>
      <c r="Y41" s="7">
        <f>+[11]Resumen!Y41*1000</f>
        <v>0</v>
      </c>
      <c r="Z41" s="7">
        <f>+[11]Resumen!Z41*1000</f>
        <v>0</v>
      </c>
      <c r="AA41" s="7">
        <f>+[11]Resumen!AA41*1000</f>
        <v>0</v>
      </c>
      <c r="AB41" s="7">
        <f>+[11]Resumen!AB41*1000</f>
        <v>0</v>
      </c>
      <c r="AC41" s="7">
        <f>+[11]Resumen!AC41*1000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+[11]Resumen!E42</f>
        <v>0</v>
      </c>
      <c r="F42" s="7">
        <f>+[11]Resumen!F42*1000</f>
        <v>0</v>
      </c>
      <c r="G42" s="7">
        <f>+[11]Resumen!G42*1000</f>
        <v>0</v>
      </c>
      <c r="H42" s="7">
        <f>+[11]Resumen!H42*1000</f>
        <v>0</v>
      </c>
      <c r="I42" s="7">
        <f>+[11]Resumen!I42*1000</f>
        <v>0</v>
      </c>
      <c r="J42" s="7">
        <f>+[11]Resumen!J42*1000</f>
        <v>0</v>
      </c>
      <c r="K42" s="7">
        <f>+[11]Resumen!K42*1000</f>
        <v>0</v>
      </c>
      <c r="L42" s="7">
        <f>+[11]Resumen!L42*1000</f>
        <v>0</v>
      </c>
      <c r="M42" s="7">
        <f>+[11]Resumen!M42*1000</f>
        <v>0</v>
      </c>
      <c r="N42" s="7">
        <f>+[11]Resumen!N42*1000</f>
        <v>0</v>
      </c>
      <c r="O42" s="7">
        <f>+[11]Resumen!O42*1000</f>
        <v>0</v>
      </c>
      <c r="P42" s="7">
        <f>+[11]Resumen!P42*1000</f>
        <v>0</v>
      </c>
      <c r="Q42" s="7">
        <f>+[11]Resumen!Q42*1000</f>
        <v>0</v>
      </c>
      <c r="R42" s="7">
        <f>+[11]Resumen!R42*1000</f>
        <v>0</v>
      </c>
      <c r="S42" s="7">
        <f>+[11]Resumen!S42*1000</f>
        <v>0</v>
      </c>
      <c r="T42" s="7">
        <f>+[11]Resumen!T42*1000</f>
        <v>0</v>
      </c>
      <c r="U42" s="7">
        <f>+[11]Resumen!U42*1000</f>
        <v>0</v>
      </c>
      <c r="V42" s="7">
        <f>+[11]Resumen!V42*1000</f>
        <v>0</v>
      </c>
      <c r="W42" s="7">
        <f>+[11]Resumen!W42*1000</f>
        <v>0</v>
      </c>
      <c r="X42" s="7">
        <f>+[11]Resumen!X42*1000</f>
        <v>0</v>
      </c>
      <c r="Y42" s="7">
        <f>+[11]Resumen!Y42*1000</f>
        <v>0</v>
      </c>
      <c r="Z42" s="7">
        <f>+[11]Resumen!Z42*1000</f>
        <v>0</v>
      </c>
      <c r="AA42" s="7">
        <f>+[11]Resumen!AA42*1000</f>
        <v>0</v>
      </c>
      <c r="AB42" s="7">
        <f>+[11]Resumen!AB42*1000</f>
        <v>0</v>
      </c>
      <c r="AC42" s="7">
        <f>+[11]Resumen!AC42*1000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+[11]Resumen!E43</f>
        <v>22</v>
      </c>
      <c r="F43" s="7">
        <f>+[11]Resumen!F43*1000</f>
        <v>0</v>
      </c>
      <c r="G43" s="7">
        <f>+[11]Resumen!G43*1000</f>
        <v>0</v>
      </c>
      <c r="H43" s="7">
        <f>+[11]Resumen!H43*1000</f>
        <v>0</v>
      </c>
      <c r="I43" s="7">
        <f>+[11]Resumen!I43*1000</f>
        <v>0</v>
      </c>
      <c r="J43" s="7">
        <f>+[11]Resumen!J43*1000</f>
        <v>0</v>
      </c>
      <c r="K43" s="7">
        <f>+[11]Resumen!K43*1000</f>
        <v>0</v>
      </c>
      <c r="L43" s="7">
        <f>+[11]Resumen!L43*1000</f>
        <v>0</v>
      </c>
      <c r="M43" s="7">
        <f>+[11]Resumen!M43*1000</f>
        <v>225961.25962792689</v>
      </c>
      <c r="N43" s="7">
        <f>+[11]Resumen!N43*1000</f>
        <v>242371.34934453928</v>
      </c>
      <c r="O43" s="7">
        <f>+[11]Resumen!O43*1000</f>
        <v>253692.73799662921</v>
      </c>
      <c r="P43" s="7">
        <f>+[11]Resumen!P43*1000</f>
        <v>268842.32396242517</v>
      </c>
      <c r="Q43" s="7">
        <f>+[11]Resumen!Q43*1000</f>
        <v>282291.09852478938</v>
      </c>
      <c r="R43" s="7">
        <f>+[11]Resumen!R43*1000</f>
        <v>285034.85278564756</v>
      </c>
      <c r="S43" s="7">
        <f>+[11]Resumen!S43*1000</f>
        <v>281053.54084813327</v>
      </c>
      <c r="T43" s="7">
        <f>+[11]Resumen!T43*1000</f>
        <v>282523.19974562776</v>
      </c>
      <c r="U43" s="7">
        <f>+[11]Resumen!U43*1000</f>
        <v>282052.47129538836</v>
      </c>
      <c r="V43" s="7">
        <f>+[11]Resumen!V43*1000</f>
        <v>275580.15690001578</v>
      </c>
      <c r="W43" s="7">
        <f>+[11]Resumen!W43*1000</f>
        <v>0</v>
      </c>
      <c r="X43" s="7">
        <f>+[11]Resumen!X43*1000</f>
        <v>0</v>
      </c>
      <c r="Y43" s="7">
        <f>+[11]Resumen!Y43*1000</f>
        <v>0</v>
      </c>
      <c r="Z43" s="7">
        <f>+[11]Resumen!Z43*1000</f>
        <v>0</v>
      </c>
      <c r="AA43" s="7">
        <f>+[11]Resumen!AA43*1000</f>
        <v>0</v>
      </c>
      <c r="AB43" s="7">
        <f>+[11]Resumen!AB43*1000</f>
        <v>0</v>
      </c>
      <c r="AC43" s="7">
        <f>+[11]Resumen!AC43*1000</f>
        <v>0</v>
      </c>
      <c r="AD43" s="60">
        <f t="shared" ref="AD43" si="5">SUM(F43:AC43)*E43+SUM(F44:AC44)*E44+SUM(F45:AC45)*E45+SUM(F46:AC46)*E46</f>
        <v>79869353.195505232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+[11]Resumen!E44</f>
        <v>4</v>
      </c>
      <c r="F44" s="7">
        <f>+[11]Resumen!F44*1000</f>
        <v>0</v>
      </c>
      <c r="G44" s="7">
        <f>+[11]Resumen!G44*1000</f>
        <v>0</v>
      </c>
      <c r="H44" s="7">
        <f>+[11]Resumen!H44*1000</f>
        <v>0</v>
      </c>
      <c r="I44" s="7">
        <f>+[11]Resumen!I44*1000</f>
        <v>0</v>
      </c>
      <c r="J44" s="7">
        <f>+[11]Resumen!J44*1000</f>
        <v>0</v>
      </c>
      <c r="K44" s="7">
        <f>+[11]Resumen!K44*1000</f>
        <v>0</v>
      </c>
      <c r="L44" s="7">
        <f>+[11]Resumen!L44*1000</f>
        <v>0</v>
      </c>
      <c r="M44" s="7">
        <f>+[11]Resumen!M44*1000</f>
        <v>207586.05626682012</v>
      </c>
      <c r="N44" s="7">
        <f>+[11]Resumen!N44*1000</f>
        <v>229699.83102667835</v>
      </c>
      <c r="O44" s="7">
        <f>+[11]Resumen!O44*1000</f>
        <v>244907.15149113489</v>
      </c>
      <c r="P44" s="7">
        <f>+[11]Resumen!P44*1000</f>
        <v>259498.39994019823</v>
      </c>
      <c r="Q44" s="7">
        <f>+[11]Resumen!Q44*1000</f>
        <v>269558.06632885971</v>
      </c>
      <c r="R44" s="7">
        <f>+[11]Resumen!R44*1000</f>
        <v>270568.5958662238</v>
      </c>
      <c r="S44" s="7">
        <f>+[11]Resumen!S44*1000</f>
        <v>263792.01599673618</v>
      </c>
      <c r="T44" s="7">
        <f>+[11]Resumen!T44*1000</f>
        <v>256824.09868676853</v>
      </c>
      <c r="U44" s="7">
        <f>+[11]Resumen!U44*1000</f>
        <v>253991.45713747572</v>
      </c>
      <c r="V44" s="7">
        <f>+[11]Resumen!V44*1000</f>
        <v>250802.4990589878</v>
      </c>
      <c r="W44" s="7">
        <f>+[11]Resumen!W44*1000</f>
        <v>0</v>
      </c>
      <c r="X44" s="7">
        <f>+[11]Resumen!X44*1000</f>
        <v>0</v>
      </c>
      <c r="Y44" s="7">
        <f>+[11]Resumen!Y44*1000</f>
        <v>0</v>
      </c>
      <c r="Z44" s="7">
        <f>+[11]Resumen!Z44*1000</f>
        <v>0</v>
      </c>
      <c r="AA44" s="7">
        <f>+[11]Resumen!AA44*1000</f>
        <v>0</v>
      </c>
      <c r="AB44" s="7">
        <f>+[11]Resumen!AB44*1000</f>
        <v>0</v>
      </c>
      <c r="AC44" s="7">
        <f>+[11]Resumen!AC44*1000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+[11]Resumen!E45</f>
        <v>4</v>
      </c>
      <c r="F45" s="7">
        <f>+[11]Resumen!F45*1000</f>
        <v>0</v>
      </c>
      <c r="G45" s="7">
        <f>+[11]Resumen!G45*1000</f>
        <v>0</v>
      </c>
      <c r="H45" s="7">
        <f>+[11]Resumen!H45*1000</f>
        <v>0</v>
      </c>
      <c r="I45" s="7">
        <f>+[11]Resumen!I45*1000</f>
        <v>0</v>
      </c>
      <c r="J45" s="7">
        <f>+[11]Resumen!J45*1000</f>
        <v>0</v>
      </c>
      <c r="K45" s="7">
        <f>+[11]Resumen!K45*1000</f>
        <v>0</v>
      </c>
      <c r="L45" s="7">
        <f>+[11]Resumen!L45*1000</f>
        <v>0</v>
      </c>
      <c r="M45" s="7">
        <f>+[11]Resumen!M45*1000</f>
        <v>171550.0561912269</v>
      </c>
      <c r="N45" s="7">
        <f>+[11]Resumen!N45*1000</f>
        <v>189664.54429395098</v>
      </c>
      <c r="O45" s="7">
        <f>+[11]Resumen!O45*1000</f>
        <v>204628.63106481254</v>
      </c>
      <c r="P45" s="7">
        <f>+[11]Resumen!P45*1000</f>
        <v>217700.29919405153</v>
      </c>
      <c r="Q45" s="7">
        <f>+[11]Resumen!Q45*1000</f>
        <v>231385.79471018788</v>
      </c>
      <c r="R45" s="7">
        <f>+[11]Resumen!R45*1000</f>
        <v>238736.00431911604</v>
      </c>
      <c r="S45" s="7">
        <f>+[11]Resumen!S45*1000</f>
        <v>237090.0989612946</v>
      </c>
      <c r="T45" s="7">
        <f>+[11]Resumen!T45*1000</f>
        <v>231546.59856875485</v>
      </c>
      <c r="U45" s="7">
        <f>+[11]Resumen!U45*1000</f>
        <v>228182.6899435347</v>
      </c>
      <c r="V45" s="7">
        <f>+[11]Resumen!V45*1000</f>
        <v>223956.68696249559</v>
      </c>
      <c r="W45" s="7">
        <f>+[11]Resumen!W45*1000</f>
        <v>0</v>
      </c>
      <c r="X45" s="7">
        <f>+[11]Resumen!X45*1000</f>
        <v>0</v>
      </c>
      <c r="Y45" s="7">
        <f>+[11]Resumen!Y45*1000</f>
        <v>0</v>
      </c>
      <c r="Z45" s="7">
        <f>+[11]Resumen!Z45*1000</f>
        <v>0</v>
      </c>
      <c r="AA45" s="7">
        <f>+[11]Resumen!AA45*1000</f>
        <v>0</v>
      </c>
      <c r="AB45" s="7">
        <f>+[11]Resumen!AB45*1000</f>
        <v>0</v>
      </c>
      <c r="AC45" s="7">
        <f>+[11]Resumen!AC45*1000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+[11]Resumen!E46</f>
        <v>1</v>
      </c>
      <c r="F46" s="7">
        <f>+[11]Resumen!F46*1000</f>
        <v>0</v>
      </c>
      <c r="G46" s="7">
        <f>+[11]Resumen!G46*1000</f>
        <v>0</v>
      </c>
      <c r="H46" s="7">
        <f>+[11]Resumen!H46*1000</f>
        <v>0</v>
      </c>
      <c r="I46" s="7">
        <f>+[11]Resumen!I46*1000</f>
        <v>0</v>
      </c>
      <c r="J46" s="7">
        <f>+[11]Resumen!J46*1000</f>
        <v>0</v>
      </c>
      <c r="K46" s="7">
        <f>+[11]Resumen!K46*1000</f>
        <v>0</v>
      </c>
      <c r="L46" s="7">
        <f>+[11]Resumen!L46*1000</f>
        <v>0</v>
      </c>
      <c r="M46" s="7">
        <f>+[11]Resumen!M46*1000</f>
        <v>169446.64689390993</v>
      </c>
      <c r="N46" s="7">
        <f>+[11]Resumen!N46*1000</f>
        <v>187555.2967510882</v>
      </c>
      <c r="O46" s="7">
        <f>+[11]Resumen!O46*1000</f>
        <v>201102.65141636721</v>
      </c>
      <c r="P46" s="7">
        <f>+[11]Resumen!P46*1000</f>
        <v>215356.5134051264</v>
      </c>
      <c r="Q46" s="7">
        <f>+[11]Resumen!Q46*1000</f>
        <v>232881.45812638424</v>
      </c>
      <c r="R46" s="7">
        <f>+[11]Resumen!R46*1000</f>
        <v>244027.63749131432</v>
      </c>
      <c r="S46" s="7">
        <f>+[11]Resumen!S46*1000</f>
        <v>243709.82242232852</v>
      </c>
      <c r="T46" s="7">
        <f>+[11]Resumen!T46*1000</f>
        <v>236095.19999950533</v>
      </c>
      <c r="U46" s="7">
        <f>+[11]Resumen!U46*1000</f>
        <v>233806.1278594622</v>
      </c>
      <c r="V46" s="7">
        <f>+[11]Resumen!V46*1000</f>
        <v>231827.73441780786</v>
      </c>
      <c r="W46" s="7">
        <f>+[11]Resumen!W46*1000</f>
        <v>0</v>
      </c>
      <c r="X46" s="7">
        <f>+[11]Resumen!X46*1000</f>
        <v>0</v>
      </c>
      <c r="Y46" s="7">
        <f>+[11]Resumen!Y46*1000</f>
        <v>0</v>
      </c>
      <c r="Z46" s="7">
        <f>+[11]Resumen!Z46*1000</f>
        <v>0</v>
      </c>
      <c r="AA46" s="7">
        <f>+[11]Resumen!AA46*1000</f>
        <v>0</v>
      </c>
      <c r="AB46" s="7">
        <f>+[11]Resumen!AB46*1000</f>
        <v>0</v>
      </c>
      <c r="AC46" s="7">
        <f>+[11]Resumen!AC46*1000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+[11]Resumen!E47</f>
        <v>18</v>
      </c>
      <c r="F47" s="7">
        <f>+[11]Resumen!F47*1000</f>
        <v>0</v>
      </c>
      <c r="G47" s="7">
        <f>+[11]Resumen!G47*1000</f>
        <v>0</v>
      </c>
      <c r="H47" s="7">
        <f>+[11]Resumen!H47*1000</f>
        <v>0</v>
      </c>
      <c r="I47" s="7">
        <f>+[11]Resumen!I47*1000</f>
        <v>0</v>
      </c>
      <c r="J47" s="7">
        <f>+[11]Resumen!J47*1000</f>
        <v>0</v>
      </c>
      <c r="K47" s="7">
        <f>+[11]Resumen!K47*1000</f>
        <v>0</v>
      </c>
      <c r="L47" s="7">
        <f>+[11]Resumen!L47*1000</f>
        <v>0</v>
      </c>
      <c r="M47" s="7">
        <f>+[11]Resumen!M47*1000</f>
        <v>239925.96039146421</v>
      </c>
      <c r="N47" s="7">
        <f>+[11]Resumen!N47*1000</f>
        <v>256664.23027436287</v>
      </c>
      <c r="O47" s="7">
        <f>+[11]Resumen!O47*1000</f>
        <v>267940.3902151261</v>
      </c>
      <c r="P47" s="7">
        <f>+[11]Resumen!P47*1000</f>
        <v>283217.56617212069</v>
      </c>
      <c r="Q47" s="7">
        <f>+[11]Resumen!Q47*1000</f>
        <v>297215.13360433286</v>
      </c>
      <c r="R47" s="7">
        <f>+[11]Resumen!R47*1000</f>
        <v>300514.135976989</v>
      </c>
      <c r="S47" s="7">
        <f>+[11]Resumen!S47*1000</f>
        <v>295789.55788362236</v>
      </c>
      <c r="T47" s="7">
        <f>+[11]Resumen!T47*1000</f>
        <v>296257.11731648783</v>
      </c>
      <c r="U47" s="7">
        <f>+[11]Resumen!U47*1000</f>
        <v>295769.49554892868</v>
      </c>
      <c r="V47" s="7">
        <f>+[11]Resumen!V47*1000</f>
        <v>290256.7056548337</v>
      </c>
      <c r="W47" s="7">
        <f>+[11]Resumen!W47*1000</f>
        <v>0</v>
      </c>
      <c r="X47" s="7">
        <f>+[11]Resumen!X47*1000</f>
        <v>0</v>
      </c>
      <c r="Y47" s="7">
        <f>+[11]Resumen!Y47*1000</f>
        <v>0</v>
      </c>
      <c r="Z47" s="7">
        <f>+[11]Resumen!Z47*1000</f>
        <v>0</v>
      </c>
      <c r="AA47" s="7">
        <f>+[11]Resumen!AA47*1000</f>
        <v>0</v>
      </c>
      <c r="AB47" s="7">
        <f>+[11]Resumen!AB47*1000</f>
        <v>0</v>
      </c>
      <c r="AC47" s="7">
        <f>+[11]Resumen!AC47*1000</f>
        <v>0</v>
      </c>
      <c r="AD47" s="60">
        <f t="shared" ref="AD47" si="6">SUM(F47:AC47)*E47+SUM(F48:AC48)*E48+SUM(F49:AC49)*E49+SUM(F50:AC50)*E50</f>
        <v>79717097.901731893</v>
      </c>
      <c r="AF47" s="8"/>
      <c r="AG47" s="8">
        <f>130*3000</f>
        <v>390000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+[11]Resumen!E48</f>
        <v>5</v>
      </c>
      <c r="F48" s="7">
        <f>+[11]Resumen!F48*1000</f>
        <v>0</v>
      </c>
      <c r="G48" s="7">
        <f>+[11]Resumen!G48*1000</f>
        <v>0</v>
      </c>
      <c r="H48" s="7">
        <f>+[11]Resumen!H48*1000</f>
        <v>0</v>
      </c>
      <c r="I48" s="7">
        <f>+[11]Resumen!I48*1000</f>
        <v>0</v>
      </c>
      <c r="J48" s="7">
        <f>+[11]Resumen!J48*1000</f>
        <v>0</v>
      </c>
      <c r="K48" s="7">
        <f>+[11]Resumen!K48*1000</f>
        <v>0</v>
      </c>
      <c r="L48" s="7">
        <f>+[11]Resumen!L48*1000</f>
        <v>0</v>
      </c>
      <c r="M48" s="7">
        <f>+[11]Resumen!M48*1000</f>
        <v>219460.02380253613</v>
      </c>
      <c r="N48" s="7">
        <f>+[11]Resumen!N48*1000</f>
        <v>243018.30435199579</v>
      </c>
      <c r="O48" s="7">
        <f>+[11]Resumen!O48*1000</f>
        <v>257494.48186593413</v>
      </c>
      <c r="P48" s="7">
        <f>+[11]Resumen!P48*1000</f>
        <v>270777.837259711</v>
      </c>
      <c r="Q48" s="7">
        <f>+[11]Resumen!Q48*1000</f>
        <v>280230.00766185287</v>
      </c>
      <c r="R48" s="7">
        <f>+[11]Resumen!R48*1000</f>
        <v>281256.62112340436</v>
      </c>
      <c r="S48" s="7">
        <f>+[11]Resumen!S48*1000</f>
        <v>273986.40653573669</v>
      </c>
      <c r="T48" s="7">
        <f>+[11]Resumen!T48*1000</f>
        <v>266659.41722159297</v>
      </c>
      <c r="U48" s="7">
        <f>+[11]Resumen!U48*1000</f>
        <v>262876.02180808102</v>
      </c>
      <c r="V48" s="7">
        <f>+[11]Resumen!V48*1000</f>
        <v>259387.27645518663</v>
      </c>
      <c r="W48" s="7">
        <f>+[11]Resumen!W48*1000</f>
        <v>0</v>
      </c>
      <c r="X48" s="7">
        <f>+[11]Resumen!X48*1000</f>
        <v>0</v>
      </c>
      <c r="Y48" s="7">
        <f>+[11]Resumen!Y48*1000</f>
        <v>0</v>
      </c>
      <c r="Z48" s="7">
        <f>+[11]Resumen!Z48*1000</f>
        <v>0</v>
      </c>
      <c r="AA48" s="7">
        <f>+[11]Resumen!AA48*1000</f>
        <v>0</v>
      </c>
      <c r="AB48" s="7">
        <f>+[11]Resumen!AB48*1000</f>
        <v>0</v>
      </c>
      <c r="AC48" s="7">
        <f>+[11]Resumen!AC48*1000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+[11]Resumen!E49</f>
        <v>5</v>
      </c>
      <c r="F49" s="7">
        <f>+[11]Resumen!F49*1000</f>
        <v>0</v>
      </c>
      <c r="G49" s="7">
        <f>+[11]Resumen!G49*1000</f>
        <v>0</v>
      </c>
      <c r="H49" s="7">
        <f>+[11]Resumen!H49*1000</f>
        <v>0</v>
      </c>
      <c r="I49" s="7">
        <f>+[11]Resumen!I49*1000</f>
        <v>0</v>
      </c>
      <c r="J49" s="7">
        <f>+[11]Resumen!J49*1000</f>
        <v>0</v>
      </c>
      <c r="K49" s="7">
        <f>+[11]Resumen!K49*1000</f>
        <v>0</v>
      </c>
      <c r="L49" s="7">
        <f>+[11]Resumen!L49*1000</f>
        <v>0</v>
      </c>
      <c r="M49" s="7">
        <f>+[11]Resumen!M49*1000</f>
        <v>177271.78229779185</v>
      </c>
      <c r="N49" s="7">
        <f>+[11]Resumen!N49*1000</f>
        <v>196605.26068717119</v>
      </c>
      <c r="O49" s="7">
        <f>+[11]Resumen!O49*1000</f>
        <v>212925.71785445919</v>
      </c>
      <c r="P49" s="7">
        <f>+[11]Resumen!P49*1000</f>
        <v>225574.26134922341</v>
      </c>
      <c r="Q49" s="7">
        <f>+[11]Resumen!Q49*1000</f>
        <v>238220.20859388509</v>
      </c>
      <c r="R49" s="7">
        <f>+[11]Resumen!R49*1000</f>
        <v>246613.38317480622</v>
      </c>
      <c r="S49" s="7">
        <f>+[11]Resumen!S49*1000</f>
        <v>247544.36440515224</v>
      </c>
      <c r="T49" s="7">
        <f>+[11]Resumen!T49*1000</f>
        <v>242301.99806411655</v>
      </c>
      <c r="U49" s="7">
        <f>+[11]Resumen!U49*1000</f>
        <v>237503.7983675435</v>
      </c>
      <c r="V49" s="7">
        <f>+[11]Resumen!V49*1000</f>
        <v>232999.36414892954</v>
      </c>
      <c r="W49" s="7">
        <f>+[11]Resumen!W49*1000</f>
        <v>0</v>
      </c>
      <c r="X49" s="7">
        <f>+[11]Resumen!X49*1000</f>
        <v>0</v>
      </c>
      <c r="Y49" s="7">
        <f>+[11]Resumen!Y49*1000</f>
        <v>0</v>
      </c>
      <c r="Z49" s="7">
        <f>+[11]Resumen!Z49*1000</f>
        <v>0</v>
      </c>
      <c r="AA49" s="7">
        <f>+[11]Resumen!AA49*1000</f>
        <v>0</v>
      </c>
      <c r="AB49" s="7">
        <f>+[11]Resumen!AB49*1000</f>
        <v>0</v>
      </c>
      <c r="AC49" s="7">
        <f>+[11]Resumen!AC49*1000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+[11]Resumen!E50</f>
        <v>2</v>
      </c>
      <c r="F50" s="7">
        <f>+[11]Resumen!F50*1000</f>
        <v>0</v>
      </c>
      <c r="G50" s="7">
        <f>+[11]Resumen!G50*1000</f>
        <v>0</v>
      </c>
      <c r="H50" s="7">
        <f>+[11]Resumen!H50*1000</f>
        <v>0</v>
      </c>
      <c r="I50" s="7">
        <f>+[11]Resumen!I50*1000</f>
        <v>0</v>
      </c>
      <c r="J50" s="7">
        <f>+[11]Resumen!J50*1000</f>
        <v>0</v>
      </c>
      <c r="K50" s="7">
        <f>+[11]Resumen!K50*1000</f>
        <v>0</v>
      </c>
      <c r="L50" s="7">
        <f>+[11]Resumen!L50*1000</f>
        <v>0</v>
      </c>
      <c r="M50" s="7">
        <f>+[11]Resumen!M50*1000</f>
        <v>173270.87464293611</v>
      </c>
      <c r="N50" s="7">
        <f>+[11]Resumen!N50*1000</f>
        <v>192937.72569880681</v>
      </c>
      <c r="O50" s="7">
        <f>+[11]Resumen!O50*1000</f>
        <v>208822.09467276043</v>
      </c>
      <c r="P50" s="7">
        <f>+[11]Resumen!P50*1000</f>
        <v>225494.12921765074</v>
      </c>
      <c r="Q50" s="7">
        <f>+[11]Resumen!Q50*1000</f>
        <v>241502.33755233121</v>
      </c>
      <c r="R50" s="7">
        <f>+[11]Resumen!R50*1000</f>
        <v>251969.27464277123</v>
      </c>
      <c r="S50" s="7">
        <f>+[11]Resumen!S50*1000</f>
        <v>251462.70069175464</v>
      </c>
      <c r="T50" s="7">
        <f>+[11]Resumen!T50*1000</f>
        <v>244079.80575359665</v>
      </c>
      <c r="U50" s="7">
        <f>+[11]Resumen!U50*1000</f>
        <v>238816.31336722037</v>
      </c>
      <c r="V50" s="7">
        <f>+[11]Resumen!V50*1000</f>
        <v>236474.71470891833</v>
      </c>
      <c r="W50" s="7">
        <f>+[11]Resumen!W50*1000</f>
        <v>0</v>
      </c>
      <c r="X50" s="7">
        <f>+[11]Resumen!X50*1000</f>
        <v>0</v>
      </c>
      <c r="Y50" s="7">
        <f>+[11]Resumen!Y50*1000</f>
        <v>0</v>
      </c>
      <c r="Z50" s="7">
        <f>+[11]Resumen!Z50*1000</f>
        <v>0</v>
      </c>
      <c r="AA50" s="7">
        <f>+[11]Resumen!AA50*1000</f>
        <v>0</v>
      </c>
      <c r="AB50" s="7">
        <f>+[11]Resumen!AB50*1000</f>
        <v>0</v>
      </c>
      <c r="AC50" s="7">
        <f>+[11]Resumen!AC50*1000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+[11]Resumen!E51</f>
        <v>21</v>
      </c>
      <c r="F51" s="7">
        <f>+[11]Resumen!F51*1000</f>
        <v>0</v>
      </c>
      <c r="G51" s="7">
        <f>+[11]Resumen!G51*1000</f>
        <v>0</v>
      </c>
      <c r="H51" s="7">
        <f>+[11]Resumen!H51*1000</f>
        <v>0</v>
      </c>
      <c r="I51" s="7">
        <f>+[11]Resumen!I51*1000</f>
        <v>0</v>
      </c>
      <c r="J51" s="7">
        <f>+[11]Resumen!J51*1000</f>
        <v>0</v>
      </c>
      <c r="K51" s="7">
        <f>+[11]Resumen!K51*1000</f>
        <v>0</v>
      </c>
      <c r="L51" s="7">
        <f>+[11]Resumen!L51*1000</f>
        <v>0</v>
      </c>
      <c r="M51" s="7">
        <f>+[11]Resumen!M51*1000</f>
        <v>219630.21308310935</v>
      </c>
      <c r="N51" s="7">
        <f>+[11]Resumen!N51*1000</f>
        <v>239964.8311649333</v>
      </c>
      <c r="O51" s="7">
        <f>+[11]Resumen!O51*1000</f>
        <v>252329.04546724752</v>
      </c>
      <c r="P51" s="7">
        <f>+[11]Resumen!P51*1000</f>
        <v>266384.26778568106</v>
      </c>
      <c r="Q51" s="7">
        <f>+[11]Resumen!Q51*1000</f>
        <v>279731.41264641559</v>
      </c>
      <c r="R51" s="7">
        <f>+[11]Resumen!R51*1000</f>
        <v>285129.16698869184</v>
      </c>
      <c r="S51" s="7">
        <f>+[11]Resumen!S51*1000</f>
        <v>281513.07490482985</v>
      </c>
      <c r="T51" s="7">
        <f>+[11]Resumen!T51*1000</f>
        <v>281598.53443546308</v>
      </c>
      <c r="U51" s="7">
        <f>+[11]Resumen!U51*1000</f>
        <v>280562.75890902674</v>
      </c>
      <c r="V51" s="7">
        <f>+[11]Resumen!V51*1000</f>
        <v>274559.56523491169</v>
      </c>
      <c r="W51" s="7">
        <f>+[11]Resumen!W51*1000</f>
        <v>0</v>
      </c>
      <c r="X51" s="7">
        <f>+[11]Resumen!X51*1000</f>
        <v>0</v>
      </c>
      <c r="Y51" s="7">
        <f>+[11]Resumen!Y51*1000</f>
        <v>0</v>
      </c>
      <c r="Z51" s="7">
        <f>+[11]Resumen!Z51*1000</f>
        <v>0</v>
      </c>
      <c r="AA51" s="7">
        <f>+[11]Resumen!AA51*1000</f>
        <v>0</v>
      </c>
      <c r="AB51" s="7">
        <f>+[11]Resumen!AB51*1000</f>
        <v>0</v>
      </c>
      <c r="AC51" s="7">
        <f>+[11]Resumen!AC51*1000</f>
        <v>0</v>
      </c>
      <c r="AD51" s="60">
        <f t="shared" ref="AD51" si="7">SUM(F51:AC51)*E51+SUM(F52:AC52)*E52+SUM(F53:AC53)*E53+SUM(F54:AC54)*E54</f>
        <v>78547150.987390921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+[11]Resumen!E52</f>
        <v>4</v>
      </c>
      <c r="F52" s="7">
        <f>+[11]Resumen!F52*1000</f>
        <v>0</v>
      </c>
      <c r="G52" s="7">
        <f>+[11]Resumen!G52*1000</f>
        <v>0</v>
      </c>
      <c r="H52" s="7">
        <f>+[11]Resumen!H52*1000</f>
        <v>0</v>
      </c>
      <c r="I52" s="7">
        <f>+[11]Resumen!I52*1000</f>
        <v>0</v>
      </c>
      <c r="J52" s="7">
        <f>+[11]Resumen!J52*1000</f>
        <v>0</v>
      </c>
      <c r="K52" s="7">
        <f>+[11]Resumen!K52*1000</f>
        <v>0</v>
      </c>
      <c r="L52" s="7">
        <f>+[11]Resumen!L52*1000</f>
        <v>0</v>
      </c>
      <c r="M52" s="7">
        <f>+[11]Resumen!M52*1000</f>
        <v>206224.49558164529</v>
      </c>
      <c r="N52" s="7">
        <f>+[11]Resumen!N52*1000</f>
        <v>228684.01610792999</v>
      </c>
      <c r="O52" s="7">
        <f>+[11]Resumen!O52*1000</f>
        <v>243743.34368217064</v>
      </c>
      <c r="P52" s="7">
        <f>+[11]Resumen!P52*1000</f>
        <v>255886.21550022994</v>
      </c>
      <c r="Q52" s="7">
        <f>+[11]Resumen!Q52*1000</f>
        <v>264612.33593650971</v>
      </c>
      <c r="R52" s="7">
        <f>+[11]Resumen!R52*1000</f>
        <v>266318.16071215819</v>
      </c>
      <c r="S52" s="7">
        <f>+[11]Resumen!S52*1000</f>
        <v>260964.02292931351</v>
      </c>
      <c r="T52" s="7">
        <f>+[11]Resumen!T52*1000</f>
        <v>254941.91466650422</v>
      </c>
      <c r="U52" s="7">
        <f>+[11]Resumen!U52*1000</f>
        <v>250654.20098775477</v>
      </c>
      <c r="V52" s="7">
        <f>+[11]Resumen!V52*1000</f>
        <v>246306.65413798744</v>
      </c>
      <c r="W52" s="7">
        <f>+[11]Resumen!W52*1000</f>
        <v>0</v>
      </c>
      <c r="X52" s="7">
        <f>+[11]Resumen!X52*1000</f>
        <v>0</v>
      </c>
      <c r="Y52" s="7">
        <f>+[11]Resumen!Y52*1000</f>
        <v>0</v>
      </c>
      <c r="Z52" s="7">
        <f>+[11]Resumen!Z52*1000</f>
        <v>0</v>
      </c>
      <c r="AA52" s="7">
        <f>+[11]Resumen!AA52*1000</f>
        <v>0</v>
      </c>
      <c r="AB52" s="7">
        <f>+[11]Resumen!AB52*1000</f>
        <v>0</v>
      </c>
      <c r="AC52" s="7">
        <f>+[11]Resumen!AC52*1000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+[11]Resumen!E53</f>
        <v>4</v>
      </c>
      <c r="F53" s="7">
        <f>+[11]Resumen!F53*1000</f>
        <v>0</v>
      </c>
      <c r="G53" s="7">
        <f>+[11]Resumen!G53*1000</f>
        <v>0</v>
      </c>
      <c r="H53" s="7">
        <f>+[11]Resumen!H53*1000</f>
        <v>0</v>
      </c>
      <c r="I53" s="7">
        <f>+[11]Resumen!I53*1000</f>
        <v>0</v>
      </c>
      <c r="J53" s="7">
        <f>+[11]Resumen!J53*1000</f>
        <v>0</v>
      </c>
      <c r="K53" s="7">
        <f>+[11]Resumen!K53*1000</f>
        <v>0</v>
      </c>
      <c r="L53" s="7">
        <f>+[11]Resumen!L53*1000</f>
        <v>0</v>
      </c>
      <c r="M53" s="7">
        <f>+[11]Resumen!M53*1000</f>
        <v>171744.15131814472</v>
      </c>
      <c r="N53" s="7">
        <f>+[11]Resumen!N53*1000</f>
        <v>190391.89680777767</v>
      </c>
      <c r="O53" s="7">
        <f>+[11]Resumen!O53*1000</f>
        <v>205999.09949735802</v>
      </c>
      <c r="P53" s="7">
        <f>+[11]Resumen!P53*1000</f>
        <v>218788.70517720922</v>
      </c>
      <c r="Q53" s="7">
        <f>+[11]Resumen!Q53*1000</f>
        <v>230623.89703209195</v>
      </c>
      <c r="R53" s="7">
        <f>+[11]Resumen!R53*1000</f>
        <v>237873.02759209526</v>
      </c>
      <c r="S53" s="7">
        <f>+[11]Resumen!S53*1000</f>
        <v>238404.30572530578</v>
      </c>
      <c r="T53" s="7">
        <f>+[11]Resumen!T53*1000</f>
        <v>233833.61847703034</v>
      </c>
      <c r="U53" s="7">
        <f>+[11]Resumen!U53*1000</f>
        <v>231313.53536427548</v>
      </c>
      <c r="V53" s="7">
        <f>+[11]Resumen!V53*1000</f>
        <v>228005.44832771705</v>
      </c>
      <c r="W53" s="7">
        <f>+[11]Resumen!W53*1000</f>
        <v>0</v>
      </c>
      <c r="X53" s="7">
        <f>+[11]Resumen!X53*1000</f>
        <v>0</v>
      </c>
      <c r="Y53" s="7">
        <f>+[11]Resumen!Y53*1000</f>
        <v>0</v>
      </c>
      <c r="Z53" s="7">
        <f>+[11]Resumen!Z53*1000</f>
        <v>0</v>
      </c>
      <c r="AA53" s="7">
        <f>+[11]Resumen!AA53*1000</f>
        <v>0</v>
      </c>
      <c r="AB53" s="7">
        <f>+[11]Resumen!AB53*1000</f>
        <v>0</v>
      </c>
      <c r="AC53" s="7">
        <f>+[11]Resumen!AC53*1000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+[11]Resumen!E54</f>
        <v>2</v>
      </c>
      <c r="F54" s="7">
        <f>+[11]Resumen!F54*1000</f>
        <v>0</v>
      </c>
      <c r="G54" s="7">
        <f>+[11]Resumen!G54*1000</f>
        <v>0</v>
      </c>
      <c r="H54" s="7">
        <f>+[11]Resumen!H54*1000</f>
        <v>0</v>
      </c>
      <c r="I54" s="7">
        <f>+[11]Resumen!I54*1000</f>
        <v>0</v>
      </c>
      <c r="J54" s="7">
        <f>+[11]Resumen!J54*1000</f>
        <v>0</v>
      </c>
      <c r="K54" s="7">
        <f>+[11]Resumen!K54*1000</f>
        <v>0</v>
      </c>
      <c r="L54" s="7">
        <f>+[11]Resumen!L54*1000</f>
        <v>0</v>
      </c>
      <c r="M54" s="7">
        <f>+[11]Resumen!M54*1000</f>
        <v>154809.44879865326</v>
      </c>
      <c r="N54" s="7">
        <f>+[11]Resumen!N54*1000</f>
        <v>168825.30497732895</v>
      </c>
      <c r="O54" s="7">
        <f>+[11]Resumen!O54*1000</f>
        <v>182898.86248281557</v>
      </c>
      <c r="P54" s="7">
        <f>+[11]Resumen!P54*1000</f>
        <v>196426.8956513773</v>
      </c>
      <c r="Q54" s="7">
        <f>+[11]Resumen!Q54*1000</f>
        <v>209303.90694371029</v>
      </c>
      <c r="R54" s="7">
        <f>+[11]Resumen!R54*1000</f>
        <v>219012.05787555542</v>
      </c>
      <c r="S54" s="7">
        <f>+[11]Resumen!S54*1000</f>
        <v>220400.73986503849</v>
      </c>
      <c r="T54" s="7">
        <f>+[11]Resumen!T54*1000</f>
        <v>216692.31062037381</v>
      </c>
      <c r="U54" s="7">
        <f>+[11]Resumen!U54*1000</f>
        <v>215724.65238155163</v>
      </c>
      <c r="V54" s="7">
        <f>+[11]Resumen!V54*1000</f>
        <v>214125.08146337999</v>
      </c>
      <c r="W54" s="7">
        <f>+[11]Resumen!W54*1000</f>
        <v>0</v>
      </c>
      <c r="X54" s="7">
        <f>+[11]Resumen!X54*1000</f>
        <v>0</v>
      </c>
      <c r="Y54" s="7">
        <f>+[11]Resumen!Y54*1000</f>
        <v>0</v>
      </c>
      <c r="Z54" s="7">
        <f>+[11]Resumen!Z54*1000</f>
        <v>0</v>
      </c>
      <c r="AA54" s="7">
        <f>+[11]Resumen!AA54*1000</f>
        <v>0</v>
      </c>
      <c r="AB54" s="7">
        <f>+[11]Resumen!AB54*1000</f>
        <v>0</v>
      </c>
      <c r="AC54" s="7">
        <f>+[11]Resumen!AC54*1000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942182789.97027981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F4A7-25E7-453F-A4F6-57543FC2649E}">
  <dimension ref="C1:BD57"/>
  <sheetViews>
    <sheetView showGridLines="0" topLeftCell="A45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2037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+[12]Resumen!E7</f>
        <v>20</v>
      </c>
      <c r="F7" s="7">
        <f>+[12]Resumen!F7*1000</f>
        <v>0</v>
      </c>
      <c r="G7" s="7">
        <f>+[12]Resumen!G7*1000</f>
        <v>0</v>
      </c>
      <c r="H7" s="7">
        <f>+[12]Resumen!H7*1000</f>
        <v>0</v>
      </c>
      <c r="I7" s="7">
        <f>+[12]Resumen!I7*1000</f>
        <v>0</v>
      </c>
      <c r="J7" s="7">
        <f>+[12]Resumen!J7*1000</f>
        <v>0</v>
      </c>
      <c r="K7" s="7">
        <f>+[12]Resumen!K7*1000</f>
        <v>0</v>
      </c>
      <c r="L7" s="7">
        <f>+[12]Resumen!L7*1000</f>
        <v>0</v>
      </c>
      <c r="M7" s="7">
        <f>+[12]Resumen!M7*1000</f>
        <v>222574.37203765265</v>
      </c>
      <c r="N7" s="7">
        <f>+[12]Resumen!N7*1000</f>
        <v>240718.79495988155</v>
      </c>
      <c r="O7" s="7">
        <f>+[12]Resumen!O7*1000</f>
        <v>252697.50228417016</v>
      </c>
      <c r="P7" s="7">
        <f>+[12]Resumen!P7*1000</f>
        <v>268446.31229614711</v>
      </c>
      <c r="Q7" s="7">
        <f>+[12]Resumen!Q7*1000</f>
        <v>282070.44040143164</v>
      </c>
      <c r="R7" s="7">
        <f>+[12]Resumen!R7*1000</f>
        <v>286728.696894472</v>
      </c>
      <c r="S7" s="7">
        <f>+[12]Resumen!S7*1000</f>
        <v>284002.67910316744</v>
      </c>
      <c r="T7" s="7">
        <f>+[12]Resumen!T7*1000</f>
        <v>285900.87472116336</v>
      </c>
      <c r="U7" s="7">
        <f>+[12]Resumen!U7*1000</f>
        <v>285550.320208547</v>
      </c>
      <c r="V7" s="7">
        <f>+[12]Resumen!V7*1000</f>
        <v>279094.8529521536</v>
      </c>
      <c r="W7" s="7">
        <f>+[12]Resumen!W7*1000</f>
        <v>0</v>
      </c>
      <c r="X7" s="7">
        <f>+[12]Resumen!X7*1000</f>
        <v>0</v>
      </c>
      <c r="Y7" s="7">
        <f>+[12]Resumen!Y7*1000</f>
        <v>0</v>
      </c>
      <c r="Z7" s="7">
        <f>+[12]Resumen!Z7*1000</f>
        <v>0</v>
      </c>
      <c r="AA7" s="7">
        <f>+[12]Resumen!AA7*1000</f>
        <v>0</v>
      </c>
      <c r="AB7" s="7">
        <f>+[12]Resumen!AB7*1000</f>
        <v>0</v>
      </c>
      <c r="AC7" s="7">
        <f>+[12]Resumen!AC7*1000</f>
        <v>0</v>
      </c>
      <c r="AD7" s="60">
        <f>SUM(F7:AC7)*E7+SUM(F8:AC8)*E8+SUM(F9:AC9)*E9+SUM(F10:AC10)*E10</f>
        <v>78571005.762337744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+[12]Resumen!E8</f>
        <v>5</v>
      </c>
      <c r="F8" s="7">
        <f>+[12]Resumen!F8*1000</f>
        <v>0</v>
      </c>
      <c r="G8" s="7">
        <f>+[12]Resumen!G8*1000</f>
        <v>0</v>
      </c>
      <c r="H8" s="7">
        <f>+[12]Resumen!H8*1000</f>
        <v>0</v>
      </c>
      <c r="I8" s="7">
        <f>+[12]Resumen!I8*1000</f>
        <v>0</v>
      </c>
      <c r="J8" s="7">
        <f>+[12]Resumen!J8*1000</f>
        <v>0</v>
      </c>
      <c r="K8" s="7">
        <f>+[12]Resumen!K8*1000</f>
        <v>0</v>
      </c>
      <c r="L8" s="7">
        <f>+[12]Resumen!L8*1000</f>
        <v>0</v>
      </c>
      <c r="M8" s="7">
        <f>+[12]Resumen!M8*1000</f>
        <v>202278.92654369568</v>
      </c>
      <c r="N8" s="7">
        <f>+[12]Resumen!N8*1000</f>
        <v>223398.12259126289</v>
      </c>
      <c r="O8" s="7">
        <f>+[12]Resumen!O8*1000</f>
        <v>238969.08642634336</v>
      </c>
      <c r="P8" s="7">
        <f>+[12]Resumen!P8*1000</f>
        <v>252413.14687902379</v>
      </c>
      <c r="Q8" s="7">
        <f>+[12]Resumen!Q8*1000</f>
        <v>263568.4988682543</v>
      </c>
      <c r="R8" s="7">
        <f>+[12]Resumen!R8*1000</f>
        <v>266005.16239118826</v>
      </c>
      <c r="S8" s="7">
        <f>+[12]Resumen!S8*1000</f>
        <v>260883.66415299271</v>
      </c>
      <c r="T8" s="7">
        <f>+[12]Resumen!T8*1000</f>
        <v>254743.35111890966</v>
      </c>
      <c r="U8" s="7">
        <f>+[12]Resumen!U8*1000</f>
        <v>251566.50405082121</v>
      </c>
      <c r="V8" s="7">
        <f>+[12]Resumen!V8*1000</f>
        <v>248131.90716934385</v>
      </c>
      <c r="W8" s="7">
        <f>+[12]Resumen!W8*1000</f>
        <v>0</v>
      </c>
      <c r="X8" s="7">
        <f>+[12]Resumen!X8*1000</f>
        <v>0</v>
      </c>
      <c r="Y8" s="7">
        <f>+[12]Resumen!Y8*1000</f>
        <v>0</v>
      </c>
      <c r="Z8" s="7">
        <f>+[12]Resumen!Z8*1000</f>
        <v>0</v>
      </c>
      <c r="AA8" s="7">
        <f>+[12]Resumen!AA8*1000</f>
        <v>0</v>
      </c>
      <c r="AB8" s="7">
        <f>+[12]Resumen!AB8*1000</f>
        <v>0</v>
      </c>
      <c r="AC8" s="7">
        <f>+[12]Resumen!AC8*1000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+[12]Resumen!E9</f>
        <v>4</v>
      </c>
      <c r="F9" s="7">
        <f>+[12]Resumen!F9*1000</f>
        <v>0</v>
      </c>
      <c r="G9" s="7">
        <f>+[12]Resumen!G9*1000</f>
        <v>0</v>
      </c>
      <c r="H9" s="7">
        <f>+[12]Resumen!H9*1000</f>
        <v>0</v>
      </c>
      <c r="I9" s="7">
        <f>+[12]Resumen!I9*1000</f>
        <v>0</v>
      </c>
      <c r="J9" s="7">
        <f>+[12]Resumen!J9*1000</f>
        <v>0</v>
      </c>
      <c r="K9" s="7">
        <f>+[12]Resumen!K9*1000</f>
        <v>0</v>
      </c>
      <c r="L9" s="7">
        <f>+[12]Resumen!L9*1000</f>
        <v>0</v>
      </c>
      <c r="M9" s="7">
        <f>+[12]Resumen!M9*1000</f>
        <v>168817.01602773985</v>
      </c>
      <c r="N9" s="7">
        <f>+[12]Resumen!N9*1000</f>
        <v>185399.44402794557</v>
      </c>
      <c r="O9" s="7">
        <f>+[12]Resumen!O9*1000</f>
        <v>200632.04649419989</v>
      </c>
      <c r="P9" s="7">
        <f>+[12]Resumen!P9*1000</f>
        <v>212639.44190800097</v>
      </c>
      <c r="Q9" s="7">
        <f>+[12]Resumen!Q9*1000</f>
        <v>226327.68879453102</v>
      </c>
      <c r="R9" s="7">
        <f>+[12]Resumen!R9*1000</f>
        <v>235198.43651296751</v>
      </c>
      <c r="S9" s="7">
        <f>+[12]Resumen!S9*1000</f>
        <v>237047.23415501692</v>
      </c>
      <c r="T9" s="7">
        <f>+[12]Resumen!T9*1000</f>
        <v>232971.09767314262</v>
      </c>
      <c r="U9" s="7">
        <f>+[12]Resumen!U9*1000</f>
        <v>229354.99558586633</v>
      </c>
      <c r="V9" s="7">
        <f>+[12]Resumen!V9*1000</f>
        <v>225943.0412529732</v>
      </c>
      <c r="W9" s="7">
        <f>+[12]Resumen!W9*1000</f>
        <v>0</v>
      </c>
      <c r="X9" s="7">
        <f>+[12]Resumen!X9*1000</f>
        <v>0</v>
      </c>
      <c r="Y9" s="7">
        <f>+[12]Resumen!Y9*1000</f>
        <v>0</v>
      </c>
      <c r="Z9" s="7">
        <f>+[12]Resumen!Z9*1000</f>
        <v>0</v>
      </c>
      <c r="AA9" s="7">
        <f>+[12]Resumen!AA9*1000</f>
        <v>0</v>
      </c>
      <c r="AB9" s="7">
        <f>+[12]Resumen!AB9*1000</f>
        <v>0</v>
      </c>
      <c r="AC9" s="7">
        <f>+[12]Resumen!AC9*1000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+[12]Resumen!E10</f>
        <v>2</v>
      </c>
      <c r="F10" s="7">
        <f>+[12]Resumen!F10*1000</f>
        <v>0</v>
      </c>
      <c r="G10" s="7">
        <f>+[12]Resumen!G10*1000</f>
        <v>0</v>
      </c>
      <c r="H10" s="7">
        <f>+[12]Resumen!H10*1000</f>
        <v>0</v>
      </c>
      <c r="I10" s="7">
        <f>+[12]Resumen!I10*1000</f>
        <v>0</v>
      </c>
      <c r="J10" s="7">
        <f>+[12]Resumen!J10*1000</f>
        <v>0</v>
      </c>
      <c r="K10" s="7">
        <f>+[12]Resumen!K10*1000</f>
        <v>0</v>
      </c>
      <c r="L10" s="7">
        <f>+[12]Resumen!L10*1000</f>
        <v>0</v>
      </c>
      <c r="M10" s="7">
        <f>+[12]Resumen!M10*1000</f>
        <v>151671.42547768395</v>
      </c>
      <c r="N10" s="7">
        <f>+[12]Resumen!N10*1000</f>
        <v>163623.46640736106</v>
      </c>
      <c r="O10" s="7">
        <f>+[12]Resumen!O10*1000</f>
        <v>176248.25400233432</v>
      </c>
      <c r="P10" s="7">
        <f>+[12]Resumen!P10*1000</f>
        <v>189714.19696792203</v>
      </c>
      <c r="Q10" s="7">
        <f>+[12]Resumen!Q10*1000</f>
        <v>204043.6859551697</v>
      </c>
      <c r="R10" s="7">
        <f>+[12]Resumen!R10*1000</f>
        <v>214510.30229998959</v>
      </c>
      <c r="S10" s="7">
        <f>+[12]Resumen!S10*1000</f>
        <v>215999.71164332499</v>
      </c>
      <c r="T10" s="7">
        <f>+[12]Resumen!T10*1000</f>
        <v>212558.45467778624</v>
      </c>
      <c r="U10" s="7">
        <f>+[12]Resumen!U10*1000</f>
        <v>209094.01879562833</v>
      </c>
      <c r="V10" s="7">
        <f>+[12]Resumen!V10*1000</f>
        <v>206634.09600944648</v>
      </c>
      <c r="W10" s="7">
        <f>+[12]Resumen!W10*1000</f>
        <v>0</v>
      </c>
      <c r="X10" s="7">
        <f>+[12]Resumen!X10*1000</f>
        <v>0</v>
      </c>
      <c r="Y10" s="7">
        <f>+[12]Resumen!Y10*1000</f>
        <v>0</v>
      </c>
      <c r="Z10" s="7">
        <f>+[12]Resumen!Z10*1000</f>
        <v>0</v>
      </c>
      <c r="AA10" s="7">
        <f>+[12]Resumen!AA10*1000</f>
        <v>0</v>
      </c>
      <c r="AB10" s="7">
        <f>+[12]Resumen!AB10*1000</f>
        <v>0</v>
      </c>
      <c r="AC10" s="7">
        <f>+[12]Resumen!AC10*1000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+[12]Resumen!E11</f>
        <v>20</v>
      </c>
      <c r="F11" s="7">
        <f>+[12]Resumen!F11*1000</f>
        <v>0</v>
      </c>
      <c r="G11" s="7">
        <f>+[12]Resumen!G11*1000</f>
        <v>0</v>
      </c>
      <c r="H11" s="7">
        <f>+[12]Resumen!H11*1000</f>
        <v>0</v>
      </c>
      <c r="I11" s="7">
        <f>+[12]Resumen!I11*1000</f>
        <v>0</v>
      </c>
      <c r="J11" s="7">
        <f>+[12]Resumen!J11*1000</f>
        <v>0</v>
      </c>
      <c r="K11" s="7">
        <f>+[12]Resumen!K11*1000</f>
        <v>0</v>
      </c>
      <c r="L11" s="7">
        <f>+[12]Resumen!L11*1000</f>
        <v>0</v>
      </c>
      <c r="M11" s="7">
        <f>+[12]Resumen!M11*1000</f>
        <v>252360.102903358</v>
      </c>
      <c r="N11" s="7">
        <f>+[12]Resumen!N11*1000</f>
        <v>268243.276365383</v>
      </c>
      <c r="O11" s="7">
        <f>+[12]Resumen!O11*1000</f>
        <v>278807.29888257215</v>
      </c>
      <c r="P11" s="7">
        <f>+[12]Resumen!P11*1000</f>
        <v>295054.62715277151</v>
      </c>
      <c r="Q11" s="7">
        <f>+[12]Resumen!Q11*1000</f>
        <v>308216.20840266283</v>
      </c>
      <c r="R11" s="7">
        <f>+[12]Resumen!R11*1000</f>
        <v>308979.29725159274</v>
      </c>
      <c r="S11" s="7">
        <f>+[12]Resumen!S11*1000</f>
        <v>305196.75386563648</v>
      </c>
      <c r="T11" s="7">
        <f>+[12]Resumen!T11*1000</f>
        <v>307541.00139330351</v>
      </c>
      <c r="U11" s="7">
        <f>+[12]Resumen!U11*1000</f>
        <v>307887.80567273631</v>
      </c>
      <c r="V11" s="7">
        <f>+[12]Resumen!V11*1000</f>
        <v>301631.6588584116</v>
      </c>
      <c r="W11" s="7">
        <f>+[12]Resumen!W11*1000</f>
        <v>0</v>
      </c>
      <c r="X11" s="7">
        <f>+[12]Resumen!X11*1000</f>
        <v>0</v>
      </c>
      <c r="Y11" s="7">
        <f>+[12]Resumen!Y11*1000</f>
        <v>0</v>
      </c>
      <c r="Z11" s="7">
        <f>+[12]Resumen!Z11*1000</f>
        <v>0</v>
      </c>
      <c r="AA11" s="7">
        <f>+[12]Resumen!AA11*1000</f>
        <v>0</v>
      </c>
      <c r="AB11" s="7">
        <f>+[12]Resumen!AB11*1000</f>
        <v>0</v>
      </c>
      <c r="AC11" s="7">
        <f>+[12]Resumen!AC11*1000</f>
        <v>0</v>
      </c>
      <c r="AD11" s="60">
        <f>SUM(F11:AC11)*E11+SUM(F12:AC12)*E12+SUM(F13:AC13)*E13+SUM(F14:AC14)*E14</f>
        <v>79365475.468096375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+[12]Resumen!E12</f>
        <v>4</v>
      </c>
      <c r="F12" s="7">
        <f>+[12]Resumen!F12*1000</f>
        <v>0</v>
      </c>
      <c r="G12" s="7">
        <f>+[12]Resumen!G12*1000</f>
        <v>0</v>
      </c>
      <c r="H12" s="7">
        <f>+[12]Resumen!H12*1000</f>
        <v>0</v>
      </c>
      <c r="I12" s="7">
        <f>+[12]Resumen!I12*1000</f>
        <v>0</v>
      </c>
      <c r="J12" s="7">
        <f>+[12]Resumen!J12*1000</f>
        <v>0</v>
      </c>
      <c r="K12" s="7">
        <f>+[12]Resumen!K12*1000</f>
        <v>0</v>
      </c>
      <c r="L12" s="7">
        <f>+[12]Resumen!L12*1000</f>
        <v>0</v>
      </c>
      <c r="M12" s="7">
        <f>+[12]Resumen!M12*1000</f>
        <v>232684.01916874203</v>
      </c>
      <c r="N12" s="7">
        <f>+[12]Resumen!N12*1000</f>
        <v>257276.75415434755</v>
      </c>
      <c r="O12" s="7">
        <f>+[12]Resumen!O12*1000</f>
        <v>272857.205406208</v>
      </c>
      <c r="P12" s="7">
        <f>+[12]Resumen!P12*1000</f>
        <v>287363.96511476819</v>
      </c>
      <c r="Q12" s="7">
        <f>+[12]Resumen!Q12*1000</f>
        <v>296166.81558887905</v>
      </c>
      <c r="R12" s="7">
        <f>+[12]Resumen!R12*1000</f>
        <v>296358.64207917213</v>
      </c>
      <c r="S12" s="7">
        <f>+[12]Resumen!S12*1000</f>
        <v>288718.67659235781</v>
      </c>
      <c r="T12" s="7">
        <f>+[12]Resumen!T12*1000</f>
        <v>281318.23960645788</v>
      </c>
      <c r="U12" s="7">
        <f>+[12]Resumen!U12*1000</f>
        <v>278467.12428577372</v>
      </c>
      <c r="V12" s="7">
        <f>+[12]Resumen!V12*1000</f>
        <v>274986.71028215392</v>
      </c>
      <c r="W12" s="7">
        <f>+[12]Resumen!W12*1000</f>
        <v>0</v>
      </c>
      <c r="X12" s="7">
        <f>+[12]Resumen!X12*1000</f>
        <v>0</v>
      </c>
      <c r="Y12" s="7">
        <f>+[12]Resumen!Y12*1000</f>
        <v>0</v>
      </c>
      <c r="Z12" s="7">
        <f>+[12]Resumen!Z12*1000</f>
        <v>0</v>
      </c>
      <c r="AA12" s="7">
        <f>+[12]Resumen!AA12*1000</f>
        <v>0</v>
      </c>
      <c r="AB12" s="7">
        <f>+[12]Resumen!AB12*1000</f>
        <v>0</v>
      </c>
      <c r="AC12" s="7">
        <f>+[12]Resumen!AC12*1000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+[12]Resumen!E13</f>
        <v>4</v>
      </c>
      <c r="F13" s="7">
        <f>+[12]Resumen!F13*1000</f>
        <v>0</v>
      </c>
      <c r="G13" s="7">
        <f>+[12]Resumen!G13*1000</f>
        <v>0</v>
      </c>
      <c r="H13" s="7">
        <f>+[12]Resumen!H13*1000</f>
        <v>0</v>
      </c>
      <c r="I13" s="7">
        <f>+[12]Resumen!I13*1000</f>
        <v>0</v>
      </c>
      <c r="J13" s="7">
        <f>+[12]Resumen!J13*1000</f>
        <v>0</v>
      </c>
      <c r="K13" s="7">
        <f>+[12]Resumen!K13*1000</f>
        <v>0</v>
      </c>
      <c r="L13" s="7">
        <f>+[12]Resumen!L13*1000</f>
        <v>0</v>
      </c>
      <c r="M13" s="7">
        <f>+[12]Resumen!M13*1000</f>
        <v>190068.46914076435</v>
      </c>
      <c r="N13" s="7">
        <f>+[12]Resumen!N13*1000</f>
        <v>209111.59299201192</v>
      </c>
      <c r="O13" s="7">
        <f>+[12]Resumen!O13*1000</f>
        <v>225268.00362299339</v>
      </c>
      <c r="P13" s="7">
        <f>+[12]Resumen!P13*1000</f>
        <v>238925.88382692993</v>
      </c>
      <c r="Q13" s="7">
        <f>+[12]Resumen!Q13*1000</f>
        <v>253649.28627640379</v>
      </c>
      <c r="R13" s="7">
        <f>+[12]Resumen!R13*1000</f>
        <v>262639.94590937195</v>
      </c>
      <c r="S13" s="7">
        <f>+[12]Resumen!S13*1000</f>
        <v>263100.31037660694</v>
      </c>
      <c r="T13" s="7">
        <f>+[12]Resumen!T13*1000</f>
        <v>258236.57498098328</v>
      </c>
      <c r="U13" s="7">
        <f>+[12]Resumen!U13*1000</f>
        <v>254317.95046434904</v>
      </c>
      <c r="V13" s="7">
        <f>+[12]Resumen!V13*1000</f>
        <v>250262.54341268333</v>
      </c>
      <c r="W13" s="7">
        <f>+[12]Resumen!W13*1000</f>
        <v>0</v>
      </c>
      <c r="X13" s="7">
        <f>+[12]Resumen!X13*1000</f>
        <v>0</v>
      </c>
      <c r="Y13" s="7">
        <f>+[12]Resumen!Y13*1000</f>
        <v>0</v>
      </c>
      <c r="Z13" s="7">
        <f>+[12]Resumen!Z13*1000</f>
        <v>0</v>
      </c>
      <c r="AA13" s="7">
        <f>+[12]Resumen!AA13*1000</f>
        <v>0</v>
      </c>
      <c r="AB13" s="7">
        <f>+[12]Resumen!AB13*1000</f>
        <v>0</v>
      </c>
      <c r="AC13" s="7">
        <f>+[12]Resumen!AC13*1000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+[12]Resumen!E14</f>
        <v>0</v>
      </c>
      <c r="F14" s="7">
        <f>+[12]Resumen!F14*1000</f>
        <v>0</v>
      </c>
      <c r="G14" s="7">
        <f>+[12]Resumen!G14*1000</f>
        <v>0</v>
      </c>
      <c r="H14" s="7">
        <f>+[12]Resumen!H14*1000</f>
        <v>0</v>
      </c>
      <c r="I14" s="7">
        <f>+[12]Resumen!I14*1000</f>
        <v>0</v>
      </c>
      <c r="J14" s="7">
        <f>+[12]Resumen!J14*1000</f>
        <v>0</v>
      </c>
      <c r="K14" s="7">
        <f>+[12]Resumen!K14*1000</f>
        <v>0</v>
      </c>
      <c r="L14" s="7">
        <f>+[12]Resumen!L14*1000</f>
        <v>0</v>
      </c>
      <c r="M14" s="7">
        <f>+[12]Resumen!M14*1000</f>
        <v>0</v>
      </c>
      <c r="N14" s="7">
        <f>+[12]Resumen!N14*1000</f>
        <v>0</v>
      </c>
      <c r="O14" s="7">
        <f>+[12]Resumen!O14*1000</f>
        <v>0</v>
      </c>
      <c r="P14" s="7">
        <f>+[12]Resumen!P14*1000</f>
        <v>0</v>
      </c>
      <c r="Q14" s="7">
        <f>+[12]Resumen!Q14*1000</f>
        <v>0</v>
      </c>
      <c r="R14" s="7">
        <f>+[12]Resumen!R14*1000</f>
        <v>0</v>
      </c>
      <c r="S14" s="7">
        <f>+[12]Resumen!S14*1000</f>
        <v>0</v>
      </c>
      <c r="T14" s="7">
        <f>+[12]Resumen!T14*1000</f>
        <v>0</v>
      </c>
      <c r="U14" s="7">
        <f>+[12]Resumen!U14*1000</f>
        <v>0</v>
      </c>
      <c r="V14" s="7">
        <f>+[12]Resumen!V14*1000</f>
        <v>0</v>
      </c>
      <c r="W14" s="7">
        <f>+[12]Resumen!W14*1000</f>
        <v>0</v>
      </c>
      <c r="X14" s="7">
        <f>+[12]Resumen!X14*1000</f>
        <v>0</v>
      </c>
      <c r="Y14" s="7">
        <f>+[12]Resumen!Y14*1000</f>
        <v>0</v>
      </c>
      <c r="Z14" s="7">
        <f>+[12]Resumen!Z14*1000</f>
        <v>0</v>
      </c>
      <c r="AA14" s="7">
        <f>+[12]Resumen!AA14*1000</f>
        <v>0</v>
      </c>
      <c r="AB14" s="7">
        <f>+[12]Resumen!AB14*1000</f>
        <v>0</v>
      </c>
      <c r="AC14" s="7">
        <f>+[12]Resumen!AC14*1000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+[12]Resumen!E15</f>
        <v>21</v>
      </c>
      <c r="F15" s="7">
        <f>+[12]Resumen!F15*1000</f>
        <v>0</v>
      </c>
      <c r="G15" s="7">
        <f>+[12]Resumen!G15*1000</f>
        <v>0</v>
      </c>
      <c r="H15" s="7">
        <f>+[12]Resumen!H15*1000</f>
        <v>0</v>
      </c>
      <c r="I15" s="7">
        <f>+[12]Resumen!I15*1000</f>
        <v>0</v>
      </c>
      <c r="J15" s="7">
        <f>+[12]Resumen!J15*1000</f>
        <v>0</v>
      </c>
      <c r="K15" s="7">
        <f>+[12]Resumen!K15*1000</f>
        <v>0</v>
      </c>
      <c r="L15" s="7">
        <f>+[12]Resumen!L15*1000</f>
        <v>0</v>
      </c>
      <c r="M15" s="7">
        <f>+[12]Resumen!M15*1000</f>
        <v>230298.79268889956</v>
      </c>
      <c r="N15" s="7">
        <f>+[12]Resumen!N15*1000</f>
        <v>244695.46231540595</v>
      </c>
      <c r="O15" s="7">
        <f>+[12]Resumen!O15*1000</f>
        <v>254308.02874146789</v>
      </c>
      <c r="P15" s="7">
        <f>+[12]Resumen!P15*1000</f>
        <v>269200.61730418104</v>
      </c>
      <c r="Q15" s="7">
        <f>+[12]Resumen!Q15*1000</f>
        <v>281270.94801510201</v>
      </c>
      <c r="R15" s="7">
        <f>+[12]Resumen!R15*1000</f>
        <v>282530.09912125219</v>
      </c>
      <c r="S15" s="7">
        <f>+[12]Resumen!S15*1000</f>
        <v>279008.50855618098</v>
      </c>
      <c r="T15" s="7">
        <f>+[12]Resumen!T15*1000</f>
        <v>280970.26487208245</v>
      </c>
      <c r="U15" s="7">
        <f>+[12]Resumen!U15*1000</f>
        <v>280463.96819158824</v>
      </c>
      <c r="V15" s="7">
        <f>+[12]Resumen!V15*1000</f>
        <v>274898.50054147677</v>
      </c>
      <c r="W15" s="7">
        <f>+[12]Resumen!W15*1000</f>
        <v>0</v>
      </c>
      <c r="X15" s="7">
        <f>+[12]Resumen!X15*1000</f>
        <v>0</v>
      </c>
      <c r="Y15" s="7">
        <f>+[12]Resumen!Y15*1000</f>
        <v>0</v>
      </c>
      <c r="Z15" s="7">
        <f>+[12]Resumen!Z15*1000</f>
        <v>0</v>
      </c>
      <c r="AA15" s="7">
        <f>+[12]Resumen!AA15*1000</f>
        <v>0</v>
      </c>
      <c r="AB15" s="7">
        <f>+[12]Resumen!AB15*1000</f>
        <v>0</v>
      </c>
      <c r="AC15" s="7">
        <f>+[12]Resumen!AC15*1000</f>
        <v>0</v>
      </c>
      <c r="AD15" s="60">
        <f t="shared" ref="AD15" si="0">SUM(F15:AC15)*E15+SUM(F16:AC16)*E16+SUM(F17:AC17)*E17+SUM(F18:AC18)*E18</f>
        <v>79456445.206674173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+[12]Resumen!E16</f>
        <v>4</v>
      </c>
      <c r="F16" s="7">
        <f>+[12]Resumen!F16*1000</f>
        <v>0</v>
      </c>
      <c r="G16" s="7">
        <f>+[12]Resumen!G16*1000</f>
        <v>0</v>
      </c>
      <c r="H16" s="7">
        <f>+[12]Resumen!H16*1000</f>
        <v>0</v>
      </c>
      <c r="I16" s="7">
        <f>+[12]Resumen!I16*1000</f>
        <v>0</v>
      </c>
      <c r="J16" s="7">
        <f>+[12]Resumen!J16*1000</f>
        <v>0</v>
      </c>
      <c r="K16" s="7">
        <f>+[12]Resumen!K16*1000</f>
        <v>0</v>
      </c>
      <c r="L16" s="7">
        <f>+[12]Resumen!L16*1000</f>
        <v>0</v>
      </c>
      <c r="M16" s="7">
        <f>+[12]Resumen!M16*1000</f>
        <v>212313.66021539507</v>
      </c>
      <c r="N16" s="7">
        <f>+[12]Resumen!N16*1000</f>
        <v>233575.4867296459</v>
      </c>
      <c r="O16" s="7">
        <f>+[12]Resumen!O16*1000</f>
        <v>247255.95953696506</v>
      </c>
      <c r="P16" s="7">
        <f>+[12]Resumen!P16*1000</f>
        <v>260245.55991385598</v>
      </c>
      <c r="Q16" s="7">
        <f>+[12]Resumen!Q16*1000</f>
        <v>270039.23198410368</v>
      </c>
      <c r="R16" s="7">
        <f>+[12]Resumen!R16*1000</f>
        <v>270774.5513009252</v>
      </c>
      <c r="S16" s="7">
        <f>+[12]Resumen!S16*1000</f>
        <v>264946.51521123236</v>
      </c>
      <c r="T16" s="7">
        <f>+[12]Resumen!T16*1000</f>
        <v>258995.37722869479</v>
      </c>
      <c r="U16" s="7">
        <f>+[12]Resumen!U16*1000</f>
        <v>255116.67412887962</v>
      </c>
      <c r="V16" s="7">
        <f>+[12]Resumen!V16*1000</f>
        <v>251462.69403499024</v>
      </c>
      <c r="W16" s="7">
        <f>+[12]Resumen!W16*1000</f>
        <v>0</v>
      </c>
      <c r="X16" s="7">
        <f>+[12]Resumen!X16*1000</f>
        <v>0</v>
      </c>
      <c r="Y16" s="7">
        <f>+[12]Resumen!Y16*1000</f>
        <v>0</v>
      </c>
      <c r="Z16" s="7">
        <f>+[12]Resumen!Z16*1000</f>
        <v>0</v>
      </c>
      <c r="AA16" s="7">
        <f>+[12]Resumen!AA16*1000</f>
        <v>0</v>
      </c>
      <c r="AB16" s="7">
        <f>+[12]Resumen!AB16*1000</f>
        <v>0</v>
      </c>
      <c r="AC16" s="7">
        <f>+[12]Resumen!AC16*1000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+[12]Resumen!E17</f>
        <v>5</v>
      </c>
      <c r="F17" s="7">
        <f>+[12]Resumen!F17*1000</f>
        <v>0</v>
      </c>
      <c r="G17" s="7">
        <f>+[12]Resumen!G17*1000</f>
        <v>0</v>
      </c>
      <c r="H17" s="7">
        <f>+[12]Resumen!H17*1000</f>
        <v>0</v>
      </c>
      <c r="I17" s="7">
        <f>+[12]Resumen!I17*1000</f>
        <v>0</v>
      </c>
      <c r="J17" s="7">
        <f>+[12]Resumen!J17*1000</f>
        <v>0</v>
      </c>
      <c r="K17" s="7">
        <f>+[12]Resumen!K17*1000</f>
        <v>0</v>
      </c>
      <c r="L17" s="7">
        <f>+[12]Resumen!L17*1000</f>
        <v>0</v>
      </c>
      <c r="M17" s="7">
        <f>+[12]Resumen!M17*1000</f>
        <v>172098.66332956997</v>
      </c>
      <c r="N17" s="7">
        <f>+[12]Resumen!N17*1000</f>
        <v>189837.37269280394</v>
      </c>
      <c r="O17" s="7">
        <f>+[12]Resumen!O17*1000</f>
        <v>203522.84653487799</v>
      </c>
      <c r="P17" s="7">
        <f>+[12]Resumen!P17*1000</f>
        <v>215459.26764562674</v>
      </c>
      <c r="Q17" s="7">
        <f>+[12]Resumen!Q17*1000</f>
        <v>227966.70573206519</v>
      </c>
      <c r="R17" s="7">
        <f>+[12]Resumen!R17*1000</f>
        <v>235951.62752585197</v>
      </c>
      <c r="S17" s="7">
        <f>+[12]Resumen!S17*1000</f>
        <v>236454.64085222132</v>
      </c>
      <c r="T17" s="7">
        <f>+[12]Resumen!T17*1000</f>
        <v>232431.11186838109</v>
      </c>
      <c r="U17" s="7">
        <f>+[12]Resumen!U17*1000</f>
        <v>229540.66144411443</v>
      </c>
      <c r="V17" s="7">
        <f>+[12]Resumen!V17*1000</f>
        <v>226321.25889270325</v>
      </c>
      <c r="W17" s="7">
        <f>+[12]Resumen!W17*1000</f>
        <v>0</v>
      </c>
      <c r="X17" s="7">
        <f>+[12]Resumen!X17*1000</f>
        <v>0</v>
      </c>
      <c r="Y17" s="7">
        <f>+[12]Resumen!Y17*1000</f>
        <v>0</v>
      </c>
      <c r="Z17" s="7">
        <f>+[12]Resumen!Z17*1000</f>
        <v>0</v>
      </c>
      <c r="AA17" s="7">
        <f>+[12]Resumen!AA17*1000</f>
        <v>0</v>
      </c>
      <c r="AB17" s="7">
        <f>+[12]Resumen!AB17*1000</f>
        <v>0</v>
      </c>
      <c r="AC17" s="7">
        <f>+[12]Resumen!AC17*1000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+[12]Resumen!E18</f>
        <v>1</v>
      </c>
      <c r="F18" s="7">
        <f>+[12]Resumen!F18*1000</f>
        <v>0</v>
      </c>
      <c r="G18" s="7">
        <f>+[12]Resumen!G18*1000</f>
        <v>0</v>
      </c>
      <c r="H18" s="7">
        <f>+[12]Resumen!H18*1000</f>
        <v>0</v>
      </c>
      <c r="I18" s="7">
        <f>+[12]Resumen!I18*1000</f>
        <v>0</v>
      </c>
      <c r="J18" s="7">
        <f>+[12]Resumen!J18*1000</f>
        <v>0</v>
      </c>
      <c r="K18" s="7">
        <f>+[12]Resumen!K18*1000</f>
        <v>0</v>
      </c>
      <c r="L18" s="7">
        <f>+[12]Resumen!L18*1000</f>
        <v>0</v>
      </c>
      <c r="M18" s="7">
        <f>+[12]Resumen!M18*1000</f>
        <v>179261.88015148294</v>
      </c>
      <c r="N18" s="7">
        <f>+[12]Resumen!N18*1000</f>
        <v>196609.17982716396</v>
      </c>
      <c r="O18" s="7">
        <f>+[12]Resumen!O18*1000</f>
        <v>212188.95138997605</v>
      </c>
      <c r="P18" s="7">
        <f>+[12]Resumen!P18*1000</f>
        <v>226732.36001888308</v>
      </c>
      <c r="Q18" s="7">
        <f>+[12]Resumen!Q18*1000</f>
        <v>243117.77591394781</v>
      </c>
      <c r="R18" s="7">
        <f>+[12]Resumen!R18*1000</f>
        <v>251605.54816931597</v>
      </c>
      <c r="S18" s="7">
        <f>+[12]Resumen!S18*1000</f>
        <v>248917.60599390045</v>
      </c>
      <c r="T18" s="7">
        <f>+[12]Resumen!T18*1000</f>
        <v>243232.66073535851</v>
      </c>
      <c r="U18" s="7">
        <f>+[12]Resumen!U18*1000</f>
        <v>239750.30321193597</v>
      </c>
      <c r="V18" s="7">
        <f>+[12]Resumen!V18*1000</f>
        <v>237656.32023200431</v>
      </c>
      <c r="W18" s="7">
        <f>+[12]Resumen!W18*1000</f>
        <v>0</v>
      </c>
      <c r="X18" s="7">
        <f>+[12]Resumen!X18*1000</f>
        <v>0</v>
      </c>
      <c r="Y18" s="7">
        <f>+[12]Resumen!Y18*1000</f>
        <v>0</v>
      </c>
      <c r="Z18" s="7">
        <f>+[12]Resumen!Z18*1000</f>
        <v>0</v>
      </c>
      <c r="AA18" s="7">
        <f>+[12]Resumen!AA18*1000</f>
        <v>0</v>
      </c>
      <c r="AB18" s="7">
        <f>+[12]Resumen!AB18*1000</f>
        <v>0</v>
      </c>
      <c r="AC18" s="7">
        <f>+[12]Resumen!AC18*1000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+[12]Resumen!E19</f>
        <v>20</v>
      </c>
      <c r="F19" s="7">
        <f>+[12]Resumen!F19*1000</f>
        <v>0</v>
      </c>
      <c r="G19" s="7">
        <f>+[12]Resumen!G19*1000</f>
        <v>0</v>
      </c>
      <c r="H19" s="7">
        <f>+[12]Resumen!H19*1000</f>
        <v>0</v>
      </c>
      <c r="I19" s="7">
        <f>+[12]Resumen!I19*1000</f>
        <v>0</v>
      </c>
      <c r="J19" s="7">
        <f>+[12]Resumen!J19*1000</f>
        <v>0</v>
      </c>
      <c r="K19" s="7">
        <f>+[12]Resumen!K19*1000</f>
        <v>0</v>
      </c>
      <c r="L19" s="7">
        <f>+[12]Resumen!L19*1000</f>
        <v>0</v>
      </c>
      <c r="M19" s="7">
        <f>+[12]Resumen!M19*1000</f>
        <v>236178.19850423819</v>
      </c>
      <c r="N19" s="7">
        <f>+[12]Resumen!N19*1000</f>
        <v>251793.20097797681</v>
      </c>
      <c r="O19" s="7">
        <f>+[12]Resumen!O19*1000</f>
        <v>262550.43325039133</v>
      </c>
      <c r="P19" s="7">
        <f>+[12]Resumen!P19*1000</f>
        <v>277909.92258716206</v>
      </c>
      <c r="Q19" s="7">
        <f>+[12]Resumen!Q19*1000</f>
        <v>291045.01985100424</v>
      </c>
      <c r="R19" s="7">
        <f>+[12]Resumen!R19*1000</f>
        <v>293436.10077709029</v>
      </c>
      <c r="S19" s="7">
        <f>+[12]Resumen!S19*1000</f>
        <v>289627.47513822856</v>
      </c>
      <c r="T19" s="7">
        <f>+[12]Resumen!T19*1000</f>
        <v>291411.00308786443</v>
      </c>
      <c r="U19" s="7">
        <f>+[12]Resumen!U19*1000</f>
        <v>291154.96009745309</v>
      </c>
      <c r="V19" s="7">
        <f>+[12]Resumen!V19*1000</f>
        <v>284853.97552124411</v>
      </c>
      <c r="W19" s="7">
        <f>+[12]Resumen!W19*1000</f>
        <v>0</v>
      </c>
      <c r="X19" s="7">
        <f>+[12]Resumen!X19*1000</f>
        <v>0</v>
      </c>
      <c r="Y19" s="7">
        <f>+[12]Resumen!Y19*1000</f>
        <v>0</v>
      </c>
      <c r="Z19" s="7">
        <f>+[12]Resumen!Z19*1000</f>
        <v>0</v>
      </c>
      <c r="AA19" s="7">
        <f>+[12]Resumen!AA19*1000</f>
        <v>0</v>
      </c>
      <c r="AB19" s="7">
        <f>+[12]Resumen!AB19*1000</f>
        <v>0</v>
      </c>
      <c r="AC19" s="7">
        <f>+[12]Resumen!AC19*1000</f>
        <v>0</v>
      </c>
      <c r="AD19" s="60">
        <f t="shared" ref="AD19" si="1">SUM(F19:AC19)*E19+SUM(F20:AC20)*E20+SUM(F21:AC21)*E21+SUM(F22:AC22)*E22</f>
        <v>79023885.033408076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+[12]Resumen!E20</f>
        <v>4</v>
      </c>
      <c r="F20" s="7">
        <f>+[12]Resumen!F20*1000</f>
        <v>0</v>
      </c>
      <c r="G20" s="7">
        <f>+[12]Resumen!G20*1000</f>
        <v>0</v>
      </c>
      <c r="H20" s="7">
        <f>+[12]Resumen!H20*1000</f>
        <v>0</v>
      </c>
      <c r="I20" s="7">
        <f>+[12]Resumen!I20*1000</f>
        <v>0</v>
      </c>
      <c r="J20" s="7">
        <f>+[12]Resumen!J20*1000</f>
        <v>0</v>
      </c>
      <c r="K20" s="7">
        <f>+[12]Resumen!K20*1000</f>
        <v>0</v>
      </c>
      <c r="L20" s="7">
        <f>+[12]Resumen!L20*1000</f>
        <v>0</v>
      </c>
      <c r="M20" s="7">
        <f>+[12]Resumen!M20*1000</f>
        <v>210564.07980215678</v>
      </c>
      <c r="N20" s="7">
        <f>+[12]Resumen!N20*1000</f>
        <v>231952.41968367703</v>
      </c>
      <c r="O20" s="7">
        <f>+[12]Resumen!O20*1000</f>
        <v>246640.92998098329</v>
      </c>
      <c r="P20" s="7">
        <f>+[12]Resumen!P20*1000</f>
        <v>259623.48591291322</v>
      </c>
      <c r="Q20" s="7">
        <f>+[12]Resumen!Q20*1000</f>
        <v>269281.96717999032</v>
      </c>
      <c r="R20" s="7">
        <f>+[12]Resumen!R20*1000</f>
        <v>271646.52720400883</v>
      </c>
      <c r="S20" s="7">
        <f>+[12]Resumen!S20*1000</f>
        <v>267331.73734801379</v>
      </c>
      <c r="T20" s="7">
        <f>+[12]Resumen!T20*1000</f>
        <v>262004.87095529083</v>
      </c>
      <c r="U20" s="7">
        <f>+[12]Resumen!U20*1000</f>
        <v>260391.99924504675</v>
      </c>
      <c r="V20" s="7">
        <f>+[12]Resumen!V20*1000</f>
        <v>258119.38616570592</v>
      </c>
      <c r="W20" s="7">
        <f>+[12]Resumen!W20*1000</f>
        <v>0</v>
      </c>
      <c r="X20" s="7">
        <f>+[12]Resumen!X20*1000</f>
        <v>0</v>
      </c>
      <c r="Y20" s="7">
        <f>+[12]Resumen!Y20*1000</f>
        <v>0</v>
      </c>
      <c r="Z20" s="7">
        <f>+[12]Resumen!Z20*1000</f>
        <v>0</v>
      </c>
      <c r="AA20" s="7">
        <f>+[12]Resumen!AA20*1000</f>
        <v>0</v>
      </c>
      <c r="AB20" s="7">
        <f>+[12]Resumen!AB20*1000</f>
        <v>0</v>
      </c>
      <c r="AC20" s="7">
        <f>+[12]Resumen!AC20*1000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+[12]Resumen!E21</f>
        <v>4</v>
      </c>
      <c r="F21" s="7">
        <f>+[12]Resumen!F21*1000</f>
        <v>0</v>
      </c>
      <c r="G21" s="7">
        <f>+[12]Resumen!G21*1000</f>
        <v>0</v>
      </c>
      <c r="H21" s="7">
        <f>+[12]Resumen!H21*1000</f>
        <v>0</v>
      </c>
      <c r="I21" s="7">
        <f>+[12]Resumen!I21*1000</f>
        <v>0</v>
      </c>
      <c r="J21" s="7">
        <f>+[12]Resumen!J21*1000</f>
        <v>0</v>
      </c>
      <c r="K21" s="7">
        <f>+[12]Resumen!K21*1000</f>
        <v>0</v>
      </c>
      <c r="L21" s="7">
        <f>+[12]Resumen!L21*1000</f>
        <v>0</v>
      </c>
      <c r="M21" s="7">
        <f>+[12]Resumen!M21*1000</f>
        <v>180655.1471532034</v>
      </c>
      <c r="N21" s="7">
        <f>+[12]Resumen!N21*1000</f>
        <v>199189.14916276879</v>
      </c>
      <c r="O21" s="7">
        <f>+[12]Resumen!O21*1000</f>
        <v>214629.63658740677</v>
      </c>
      <c r="P21" s="7">
        <f>+[12]Resumen!P21*1000</f>
        <v>225933.00009591426</v>
      </c>
      <c r="Q21" s="7">
        <f>+[12]Resumen!Q21*1000</f>
        <v>236913.37015698533</v>
      </c>
      <c r="R21" s="7">
        <f>+[12]Resumen!R21*1000</f>
        <v>244655.00235902143</v>
      </c>
      <c r="S21" s="7">
        <f>+[12]Resumen!S21*1000</f>
        <v>245852.57103155696</v>
      </c>
      <c r="T21" s="7">
        <f>+[12]Resumen!T21*1000</f>
        <v>243299.8283454341</v>
      </c>
      <c r="U21" s="7">
        <f>+[12]Resumen!U21*1000</f>
        <v>240408.38987478733</v>
      </c>
      <c r="V21" s="7">
        <f>+[12]Resumen!V21*1000</f>
        <v>237108.57772027593</v>
      </c>
      <c r="W21" s="7">
        <f>+[12]Resumen!W21*1000</f>
        <v>0</v>
      </c>
      <c r="X21" s="7">
        <f>+[12]Resumen!X21*1000</f>
        <v>0</v>
      </c>
      <c r="Y21" s="7">
        <f>+[12]Resumen!Y21*1000</f>
        <v>0</v>
      </c>
      <c r="Z21" s="7">
        <f>+[12]Resumen!Z21*1000</f>
        <v>0</v>
      </c>
      <c r="AA21" s="7">
        <f>+[12]Resumen!AA21*1000</f>
        <v>0</v>
      </c>
      <c r="AB21" s="7">
        <f>+[12]Resumen!AB21*1000</f>
        <v>0</v>
      </c>
      <c r="AC21" s="7">
        <f>+[12]Resumen!AC21*1000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+[12]Resumen!E22</f>
        <v>2</v>
      </c>
      <c r="F22" s="7">
        <f>+[12]Resumen!F22*1000</f>
        <v>0</v>
      </c>
      <c r="G22" s="7">
        <f>+[12]Resumen!G22*1000</f>
        <v>0</v>
      </c>
      <c r="H22" s="7">
        <f>+[12]Resumen!H22*1000</f>
        <v>0</v>
      </c>
      <c r="I22" s="7">
        <f>+[12]Resumen!I22*1000</f>
        <v>0</v>
      </c>
      <c r="J22" s="7">
        <f>+[12]Resumen!J22*1000</f>
        <v>0</v>
      </c>
      <c r="K22" s="7">
        <f>+[12]Resumen!K22*1000</f>
        <v>0</v>
      </c>
      <c r="L22" s="7">
        <f>+[12]Resumen!L22*1000</f>
        <v>0</v>
      </c>
      <c r="M22" s="7">
        <f>+[12]Resumen!M22*1000</f>
        <v>182174.58007731233</v>
      </c>
      <c r="N22" s="7">
        <f>+[12]Resumen!N22*1000</f>
        <v>198677.83624680617</v>
      </c>
      <c r="O22" s="7">
        <f>+[12]Resumen!O22*1000</f>
        <v>208505.95964852886</v>
      </c>
      <c r="P22" s="7">
        <f>+[12]Resumen!P22*1000</f>
        <v>214208.83089139641</v>
      </c>
      <c r="Q22" s="7">
        <f>+[12]Resumen!Q22*1000</f>
        <v>227214.23566730868</v>
      </c>
      <c r="R22" s="7">
        <f>+[12]Resumen!R22*1000</f>
        <v>238755.25364590422</v>
      </c>
      <c r="S22" s="7">
        <f>+[12]Resumen!S22*1000</f>
        <v>237698.60210248322</v>
      </c>
      <c r="T22" s="7">
        <f>+[12]Resumen!T22*1000</f>
        <v>232997.48828337988</v>
      </c>
      <c r="U22" s="7">
        <f>+[12]Resumen!U22*1000</f>
        <v>229984.19872145972</v>
      </c>
      <c r="V22" s="7">
        <f>+[12]Resumen!V22*1000</f>
        <v>229718.48156264488</v>
      </c>
      <c r="W22" s="7">
        <f>+[12]Resumen!W22*1000</f>
        <v>0</v>
      </c>
      <c r="X22" s="7">
        <f>+[12]Resumen!X22*1000</f>
        <v>0</v>
      </c>
      <c r="Y22" s="7">
        <f>+[12]Resumen!Y22*1000</f>
        <v>0</v>
      </c>
      <c r="Z22" s="7">
        <f>+[12]Resumen!Z22*1000</f>
        <v>0</v>
      </c>
      <c r="AA22" s="7">
        <f>+[12]Resumen!AA22*1000</f>
        <v>0</v>
      </c>
      <c r="AB22" s="7">
        <f>+[12]Resumen!AB22*1000</f>
        <v>0</v>
      </c>
      <c r="AC22" s="7">
        <f>+[12]Resumen!AC22*1000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+[12]Resumen!E23</f>
        <v>19</v>
      </c>
      <c r="F23" s="7">
        <f>+[12]Resumen!F23*1000</f>
        <v>0</v>
      </c>
      <c r="G23" s="7">
        <f>+[12]Resumen!G23*1000</f>
        <v>0</v>
      </c>
      <c r="H23" s="7">
        <f>+[12]Resumen!H23*1000</f>
        <v>0</v>
      </c>
      <c r="I23" s="7">
        <f>+[12]Resumen!I23*1000</f>
        <v>0</v>
      </c>
      <c r="J23" s="7">
        <f>+[12]Resumen!J23*1000</f>
        <v>0</v>
      </c>
      <c r="K23" s="7">
        <f>+[12]Resumen!K23*1000</f>
        <v>0</v>
      </c>
      <c r="L23" s="7">
        <f>+[12]Resumen!L23*1000</f>
        <v>0</v>
      </c>
      <c r="M23" s="7">
        <f>+[12]Resumen!M23*1000</f>
        <v>230310.69267607154</v>
      </c>
      <c r="N23" s="7">
        <f>+[12]Resumen!N23*1000</f>
        <v>244911.74458225569</v>
      </c>
      <c r="O23" s="7">
        <f>+[12]Resumen!O23*1000</f>
        <v>255594.63450780325</v>
      </c>
      <c r="P23" s="7">
        <f>+[12]Resumen!P23*1000</f>
        <v>270808.93748648494</v>
      </c>
      <c r="Q23" s="7">
        <f>+[12]Resumen!Q23*1000</f>
        <v>283271.55735481367</v>
      </c>
      <c r="R23" s="7">
        <f>+[12]Resumen!R23*1000</f>
        <v>284231.76905694045</v>
      </c>
      <c r="S23" s="7">
        <f>+[12]Resumen!S23*1000</f>
        <v>279874.5257795566</v>
      </c>
      <c r="T23" s="7">
        <f>+[12]Resumen!T23*1000</f>
        <v>280951.22489260737</v>
      </c>
      <c r="U23" s="7">
        <f>+[12]Resumen!U23*1000</f>
        <v>280961.23781976971</v>
      </c>
      <c r="V23" s="7">
        <f>+[12]Resumen!V23*1000</f>
        <v>275018.85544823162</v>
      </c>
      <c r="W23" s="7">
        <f>+[12]Resumen!W23*1000</f>
        <v>0</v>
      </c>
      <c r="X23" s="7">
        <f>+[12]Resumen!X23*1000</f>
        <v>0</v>
      </c>
      <c r="Y23" s="7">
        <f>+[12]Resumen!Y23*1000</f>
        <v>0</v>
      </c>
      <c r="Z23" s="7">
        <f>+[12]Resumen!Z23*1000</f>
        <v>0</v>
      </c>
      <c r="AA23" s="7">
        <f>+[12]Resumen!AA23*1000</f>
        <v>0</v>
      </c>
      <c r="AB23" s="7">
        <f>+[12]Resumen!AB23*1000</f>
        <v>0</v>
      </c>
      <c r="AC23" s="7">
        <f>+[12]Resumen!AC23*1000</f>
        <v>0</v>
      </c>
      <c r="AD23" s="60">
        <f t="shared" ref="AD23" si="2">SUM(F23:AC23)*E23+SUM(F24:AC24)*E24+SUM(F25:AC25)*E25+SUM(F26:AC26)*E26</f>
        <v>79082231.017956883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+[12]Resumen!E24</f>
        <v>5</v>
      </c>
      <c r="F24" s="7">
        <f>+[12]Resumen!F24*1000</f>
        <v>0</v>
      </c>
      <c r="G24" s="7">
        <f>+[12]Resumen!G24*1000</f>
        <v>0</v>
      </c>
      <c r="H24" s="7">
        <f>+[12]Resumen!H24*1000</f>
        <v>0</v>
      </c>
      <c r="I24" s="7">
        <f>+[12]Resumen!I24*1000</f>
        <v>0</v>
      </c>
      <c r="J24" s="7">
        <f>+[12]Resumen!J24*1000</f>
        <v>0</v>
      </c>
      <c r="K24" s="7">
        <f>+[12]Resumen!K24*1000</f>
        <v>0</v>
      </c>
      <c r="L24" s="7">
        <f>+[12]Resumen!L24*1000</f>
        <v>0</v>
      </c>
      <c r="M24" s="7">
        <f>+[12]Resumen!M24*1000</f>
        <v>210822.96966906125</v>
      </c>
      <c r="N24" s="7">
        <f>+[12]Resumen!N24*1000</f>
        <v>232635.22487827609</v>
      </c>
      <c r="O24" s="7">
        <f>+[12]Resumen!O24*1000</f>
        <v>247042.78907333023</v>
      </c>
      <c r="P24" s="7">
        <f>+[12]Resumen!P24*1000</f>
        <v>260222.12475663712</v>
      </c>
      <c r="Q24" s="7">
        <f>+[12]Resumen!Q24*1000</f>
        <v>269419.44894784462</v>
      </c>
      <c r="R24" s="7">
        <f>+[12]Resumen!R24*1000</f>
        <v>269580.81537973246</v>
      </c>
      <c r="S24" s="7">
        <f>+[12]Resumen!S24*1000</f>
        <v>263084.99022888835</v>
      </c>
      <c r="T24" s="7">
        <f>+[12]Resumen!T24*1000</f>
        <v>256954.17546923779</v>
      </c>
      <c r="U24" s="7">
        <f>+[12]Resumen!U24*1000</f>
        <v>254341.98496398752</v>
      </c>
      <c r="V24" s="7">
        <f>+[12]Resumen!V24*1000</f>
        <v>251183.18114287191</v>
      </c>
      <c r="W24" s="7">
        <f>+[12]Resumen!W24*1000</f>
        <v>0</v>
      </c>
      <c r="X24" s="7">
        <f>+[12]Resumen!X24*1000</f>
        <v>0</v>
      </c>
      <c r="Y24" s="7">
        <f>+[12]Resumen!Y24*1000</f>
        <v>0</v>
      </c>
      <c r="Z24" s="7">
        <f>+[12]Resumen!Z24*1000</f>
        <v>0</v>
      </c>
      <c r="AA24" s="7">
        <f>+[12]Resumen!AA24*1000</f>
        <v>0</v>
      </c>
      <c r="AB24" s="7">
        <f>+[12]Resumen!AB24*1000</f>
        <v>0</v>
      </c>
      <c r="AC24" s="7">
        <f>+[12]Resumen!AC24*1000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+[12]Resumen!E25</f>
        <v>5</v>
      </c>
      <c r="F25" s="7">
        <f>+[12]Resumen!F25*1000</f>
        <v>0</v>
      </c>
      <c r="G25" s="7">
        <f>+[12]Resumen!G25*1000</f>
        <v>0</v>
      </c>
      <c r="H25" s="7">
        <f>+[12]Resumen!H25*1000</f>
        <v>0</v>
      </c>
      <c r="I25" s="7">
        <f>+[12]Resumen!I25*1000</f>
        <v>0</v>
      </c>
      <c r="J25" s="7">
        <f>+[12]Resumen!J25*1000</f>
        <v>0</v>
      </c>
      <c r="K25" s="7">
        <f>+[12]Resumen!K25*1000</f>
        <v>0</v>
      </c>
      <c r="L25" s="7">
        <f>+[12]Resumen!L25*1000</f>
        <v>0</v>
      </c>
      <c r="M25" s="7">
        <f>+[12]Resumen!M25*1000</f>
        <v>172553.37747442874</v>
      </c>
      <c r="N25" s="7">
        <f>+[12]Resumen!N25*1000</f>
        <v>191462.73504651751</v>
      </c>
      <c r="O25" s="7">
        <f>+[12]Resumen!O25*1000</f>
        <v>207232.1441968728</v>
      </c>
      <c r="P25" s="7">
        <f>+[12]Resumen!P25*1000</f>
        <v>219780.69152731707</v>
      </c>
      <c r="Q25" s="7">
        <f>+[12]Resumen!Q25*1000</f>
        <v>232447.24416850886</v>
      </c>
      <c r="R25" s="7">
        <f>+[12]Resumen!R25*1000</f>
        <v>238455.37831223285</v>
      </c>
      <c r="S25" s="7">
        <f>+[12]Resumen!S25*1000</f>
        <v>237110.13905070969</v>
      </c>
      <c r="T25" s="7">
        <f>+[12]Resumen!T25*1000</f>
        <v>230815.44539837603</v>
      </c>
      <c r="U25" s="7">
        <f>+[12]Resumen!U25*1000</f>
        <v>228703.14121556672</v>
      </c>
      <c r="V25" s="7">
        <f>+[12]Resumen!V25*1000</f>
        <v>225708.06862305989</v>
      </c>
      <c r="W25" s="7">
        <f>+[12]Resumen!W25*1000</f>
        <v>0</v>
      </c>
      <c r="X25" s="7">
        <f>+[12]Resumen!X25*1000</f>
        <v>0</v>
      </c>
      <c r="Y25" s="7">
        <f>+[12]Resumen!Y25*1000</f>
        <v>0</v>
      </c>
      <c r="Z25" s="7">
        <f>+[12]Resumen!Z25*1000</f>
        <v>0</v>
      </c>
      <c r="AA25" s="7">
        <f>+[12]Resumen!AA25*1000</f>
        <v>0</v>
      </c>
      <c r="AB25" s="7">
        <f>+[12]Resumen!AB25*1000</f>
        <v>0</v>
      </c>
      <c r="AC25" s="7">
        <f>+[12]Resumen!AC25*1000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+[12]Resumen!E26</f>
        <v>2</v>
      </c>
      <c r="F26" s="7">
        <f>+[12]Resumen!F26*1000</f>
        <v>0</v>
      </c>
      <c r="G26" s="7">
        <f>+[12]Resumen!G26*1000</f>
        <v>0</v>
      </c>
      <c r="H26" s="7">
        <f>+[12]Resumen!H26*1000</f>
        <v>0</v>
      </c>
      <c r="I26" s="7">
        <f>+[12]Resumen!I26*1000</f>
        <v>0</v>
      </c>
      <c r="J26" s="7">
        <f>+[12]Resumen!J26*1000</f>
        <v>0</v>
      </c>
      <c r="K26" s="7">
        <f>+[12]Resumen!K26*1000</f>
        <v>0</v>
      </c>
      <c r="L26" s="7">
        <f>+[12]Resumen!L26*1000</f>
        <v>0</v>
      </c>
      <c r="M26" s="7">
        <f>+[12]Resumen!M26*1000</f>
        <v>180508.19316928269</v>
      </c>
      <c r="N26" s="7">
        <f>+[12]Resumen!N26*1000</f>
        <v>198444.7115893533</v>
      </c>
      <c r="O26" s="7">
        <f>+[12]Resumen!O26*1000</f>
        <v>213120.80290369675</v>
      </c>
      <c r="P26" s="7">
        <f>+[12]Resumen!P26*1000</f>
        <v>229093.87990019339</v>
      </c>
      <c r="Q26" s="7">
        <f>+[12]Resumen!Q26*1000</f>
        <v>242422.8752944312</v>
      </c>
      <c r="R26" s="7">
        <f>+[12]Resumen!R26*1000</f>
        <v>252834.52803061818</v>
      </c>
      <c r="S26" s="7">
        <f>+[12]Resumen!S26*1000</f>
        <v>249040.03471228838</v>
      </c>
      <c r="T26" s="7">
        <f>+[12]Resumen!T26*1000</f>
        <v>242156.08757107705</v>
      </c>
      <c r="U26" s="7">
        <f>+[12]Resumen!U26*1000</f>
        <v>235296.12281277205</v>
      </c>
      <c r="V26" s="7">
        <f>+[12]Resumen!V26*1000</f>
        <v>232923.89294300697</v>
      </c>
      <c r="W26" s="7">
        <f>+[12]Resumen!W26*1000</f>
        <v>0</v>
      </c>
      <c r="X26" s="7">
        <f>+[12]Resumen!X26*1000</f>
        <v>0</v>
      </c>
      <c r="Y26" s="7">
        <f>+[12]Resumen!Y26*1000</f>
        <v>0</v>
      </c>
      <c r="Z26" s="7">
        <f>+[12]Resumen!Z26*1000</f>
        <v>0</v>
      </c>
      <c r="AA26" s="7">
        <f>+[12]Resumen!AA26*1000</f>
        <v>0</v>
      </c>
      <c r="AB26" s="7">
        <f>+[12]Resumen!AB26*1000</f>
        <v>0</v>
      </c>
      <c r="AC26" s="7">
        <f>+[12]Resumen!AC26*1000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+[12]Resumen!E27</f>
        <v>19</v>
      </c>
      <c r="F27" s="7">
        <f>+[12]Resumen!F27*1000</f>
        <v>0</v>
      </c>
      <c r="G27" s="7">
        <f>+[12]Resumen!G27*1000</f>
        <v>0</v>
      </c>
      <c r="H27" s="7">
        <f>+[12]Resumen!H27*1000</f>
        <v>0</v>
      </c>
      <c r="I27" s="7">
        <f>+[12]Resumen!I27*1000</f>
        <v>0</v>
      </c>
      <c r="J27" s="7">
        <f>+[12]Resumen!J27*1000</f>
        <v>0</v>
      </c>
      <c r="K27" s="7">
        <f>+[12]Resumen!K27*1000</f>
        <v>0</v>
      </c>
      <c r="L27" s="7">
        <f>+[12]Resumen!L27*1000</f>
        <v>0</v>
      </c>
      <c r="M27" s="7">
        <f>+[12]Resumen!M27*1000</f>
        <v>237497.11230143931</v>
      </c>
      <c r="N27" s="7">
        <f>+[12]Resumen!N27*1000</f>
        <v>254739.03628779456</v>
      </c>
      <c r="O27" s="7">
        <f>+[12]Resumen!O27*1000</f>
        <v>266451.60300481977</v>
      </c>
      <c r="P27" s="7">
        <f>+[12]Resumen!P27*1000</f>
        <v>281726.98245050834</v>
      </c>
      <c r="Q27" s="7">
        <f>+[12]Resumen!Q27*1000</f>
        <v>295686.48389864294</v>
      </c>
      <c r="R27" s="7">
        <f>+[12]Resumen!R27*1000</f>
        <v>298984.87370067294</v>
      </c>
      <c r="S27" s="7">
        <f>+[12]Resumen!S27*1000</f>
        <v>295114.94792716234</v>
      </c>
      <c r="T27" s="7">
        <f>+[12]Resumen!T27*1000</f>
        <v>296477.82870251482</v>
      </c>
      <c r="U27" s="7">
        <f>+[12]Resumen!U27*1000</f>
        <v>296360.60297121882</v>
      </c>
      <c r="V27" s="7">
        <f>+[12]Resumen!V27*1000</f>
        <v>290033.12137977767</v>
      </c>
      <c r="W27" s="7">
        <f>+[12]Resumen!W27*1000</f>
        <v>0</v>
      </c>
      <c r="X27" s="7">
        <f>+[12]Resumen!X27*1000</f>
        <v>0</v>
      </c>
      <c r="Y27" s="7">
        <f>+[12]Resumen!Y27*1000</f>
        <v>0</v>
      </c>
      <c r="Z27" s="7">
        <f>+[12]Resumen!Z27*1000</f>
        <v>0</v>
      </c>
      <c r="AA27" s="7">
        <f>+[12]Resumen!AA27*1000</f>
        <v>0</v>
      </c>
      <c r="AB27" s="7">
        <f>+[12]Resumen!AB27*1000</f>
        <v>0</v>
      </c>
      <c r="AC27" s="7">
        <f>+[12]Resumen!AC27*1000</f>
        <v>0</v>
      </c>
      <c r="AD27" s="60">
        <f t="shared" ref="AD27:AD35" si="3">SUM(F27:AC27)*E27+SUM(F28:AC28)*E28+SUM(F29:AC29)*E29+SUM(F30:AC30)*E30</f>
        <v>79735157.965804666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+[12]Resumen!E28</f>
        <v>4</v>
      </c>
      <c r="F28" s="7">
        <f>+[12]Resumen!F28*1000</f>
        <v>0</v>
      </c>
      <c r="G28" s="7">
        <f>+[12]Resumen!G28*1000</f>
        <v>0</v>
      </c>
      <c r="H28" s="7">
        <f>+[12]Resumen!H28*1000</f>
        <v>0</v>
      </c>
      <c r="I28" s="7">
        <f>+[12]Resumen!I28*1000</f>
        <v>0</v>
      </c>
      <c r="J28" s="7">
        <f>+[12]Resumen!J28*1000</f>
        <v>0</v>
      </c>
      <c r="K28" s="7">
        <f>+[12]Resumen!K28*1000</f>
        <v>0</v>
      </c>
      <c r="L28" s="7">
        <f>+[12]Resumen!L28*1000</f>
        <v>0</v>
      </c>
      <c r="M28" s="7">
        <f>+[12]Resumen!M28*1000</f>
        <v>217482.80617594943</v>
      </c>
      <c r="N28" s="7">
        <f>+[12]Resumen!N28*1000</f>
        <v>239586.49815129008</v>
      </c>
      <c r="O28" s="7">
        <f>+[12]Resumen!O28*1000</f>
        <v>254264.48738329558</v>
      </c>
      <c r="P28" s="7">
        <f>+[12]Resumen!P28*1000</f>
        <v>268458.12325056834</v>
      </c>
      <c r="Q28" s="7">
        <f>+[12]Resumen!Q28*1000</f>
        <v>278459.09830902418</v>
      </c>
      <c r="R28" s="7">
        <f>+[12]Resumen!R28*1000</f>
        <v>279721.85849887505</v>
      </c>
      <c r="S28" s="7">
        <f>+[12]Resumen!S28*1000</f>
        <v>273026.73462126718</v>
      </c>
      <c r="T28" s="7">
        <f>+[12]Resumen!T28*1000</f>
        <v>267263.53391788685</v>
      </c>
      <c r="U28" s="7">
        <f>+[12]Resumen!U28*1000</f>
        <v>265406.58869337954</v>
      </c>
      <c r="V28" s="7">
        <f>+[12]Resumen!V28*1000</f>
        <v>261394.23223399176</v>
      </c>
      <c r="W28" s="7">
        <f>+[12]Resumen!W28*1000</f>
        <v>0</v>
      </c>
      <c r="X28" s="7">
        <f>+[12]Resumen!X28*1000</f>
        <v>0</v>
      </c>
      <c r="Y28" s="7">
        <f>+[12]Resumen!Y28*1000</f>
        <v>0</v>
      </c>
      <c r="Z28" s="7">
        <f>+[12]Resumen!Z28*1000</f>
        <v>0</v>
      </c>
      <c r="AA28" s="7">
        <f>+[12]Resumen!AA28*1000</f>
        <v>0</v>
      </c>
      <c r="AB28" s="7">
        <f>+[12]Resumen!AB28*1000</f>
        <v>0</v>
      </c>
      <c r="AC28" s="7">
        <f>+[12]Resumen!AC28*1000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+[12]Resumen!E29</f>
        <v>4</v>
      </c>
      <c r="F29" s="7">
        <f>+[12]Resumen!F29*1000</f>
        <v>0</v>
      </c>
      <c r="G29" s="7">
        <f>+[12]Resumen!G29*1000</f>
        <v>0</v>
      </c>
      <c r="H29" s="7">
        <f>+[12]Resumen!H29*1000</f>
        <v>0</v>
      </c>
      <c r="I29" s="7">
        <f>+[12]Resumen!I29*1000</f>
        <v>0</v>
      </c>
      <c r="J29" s="7">
        <f>+[12]Resumen!J29*1000</f>
        <v>0</v>
      </c>
      <c r="K29" s="7">
        <f>+[12]Resumen!K29*1000</f>
        <v>0</v>
      </c>
      <c r="L29" s="7">
        <f>+[12]Resumen!L29*1000</f>
        <v>0</v>
      </c>
      <c r="M29" s="7">
        <f>+[12]Resumen!M29*1000</f>
        <v>179835.070829209</v>
      </c>
      <c r="N29" s="7">
        <f>+[12]Resumen!N29*1000</f>
        <v>197213.31047153709</v>
      </c>
      <c r="O29" s="7">
        <f>+[12]Resumen!O29*1000</f>
        <v>212267.02876931295</v>
      </c>
      <c r="P29" s="7">
        <f>+[12]Resumen!P29*1000</f>
        <v>223343.15246803843</v>
      </c>
      <c r="Q29" s="7">
        <f>+[12]Resumen!Q29*1000</f>
        <v>236411.54248627217</v>
      </c>
      <c r="R29" s="7">
        <f>+[12]Resumen!R29*1000</f>
        <v>244722.9017748776</v>
      </c>
      <c r="S29" s="7">
        <f>+[12]Resumen!S29*1000</f>
        <v>245144.82798062888</v>
      </c>
      <c r="T29" s="7">
        <f>+[12]Resumen!T29*1000</f>
        <v>240828.68091806775</v>
      </c>
      <c r="U29" s="7">
        <f>+[12]Resumen!U29*1000</f>
        <v>238281.97725828164</v>
      </c>
      <c r="V29" s="7">
        <f>+[12]Resumen!V29*1000</f>
        <v>235050.00371677233</v>
      </c>
      <c r="W29" s="7">
        <f>+[12]Resumen!W29*1000</f>
        <v>0</v>
      </c>
      <c r="X29" s="7">
        <f>+[12]Resumen!X29*1000</f>
        <v>0</v>
      </c>
      <c r="Y29" s="7">
        <f>+[12]Resumen!Y29*1000</f>
        <v>0</v>
      </c>
      <c r="Z29" s="7">
        <f>+[12]Resumen!Z29*1000</f>
        <v>0</v>
      </c>
      <c r="AA29" s="7">
        <f>+[12]Resumen!AA29*1000</f>
        <v>0</v>
      </c>
      <c r="AB29" s="7">
        <f>+[12]Resumen!AB29*1000</f>
        <v>0</v>
      </c>
      <c r="AC29" s="7">
        <f>+[12]Resumen!AC29*1000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+[12]Resumen!E30</f>
        <v>3</v>
      </c>
      <c r="F30" s="7">
        <f>+[12]Resumen!F30*1000</f>
        <v>0</v>
      </c>
      <c r="G30" s="7">
        <f>+[12]Resumen!G30*1000</f>
        <v>0</v>
      </c>
      <c r="H30" s="7">
        <f>+[12]Resumen!H30*1000</f>
        <v>0</v>
      </c>
      <c r="I30" s="7">
        <f>+[12]Resumen!I30*1000</f>
        <v>0</v>
      </c>
      <c r="J30" s="7">
        <f>+[12]Resumen!J30*1000</f>
        <v>0</v>
      </c>
      <c r="K30" s="7">
        <f>+[12]Resumen!K30*1000</f>
        <v>0</v>
      </c>
      <c r="L30" s="7">
        <f>+[12]Resumen!L30*1000</f>
        <v>0</v>
      </c>
      <c r="M30" s="7">
        <f>+[12]Resumen!M30*1000</f>
        <v>177540.66644124227</v>
      </c>
      <c r="N30" s="7">
        <f>+[12]Resumen!N30*1000</f>
        <v>195318.23968593898</v>
      </c>
      <c r="O30" s="7">
        <f>+[12]Resumen!O30*1000</f>
        <v>211074.99532803681</v>
      </c>
      <c r="P30" s="7">
        <f>+[12]Resumen!P30*1000</f>
        <v>227157.86273537751</v>
      </c>
      <c r="Q30" s="7">
        <f>+[12]Resumen!Q30*1000</f>
        <v>243740.27987793068</v>
      </c>
      <c r="R30" s="7">
        <f>+[12]Resumen!R30*1000</f>
        <v>253436.66955304798</v>
      </c>
      <c r="S30" s="7">
        <f>+[12]Resumen!S30*1000</f>
        <v>251528.50443849977</v>
      </c>
      <c r="T30" s="7">
        <f>+[12]Resumen!T30*1000</f>
        <v>244848.06010711135</v>
      </c>
      <c r="U30" s="7">
        <f>+[12]Resumen!U30*1000</f>
        <v>241505.94436681602</v>
      </c>
      <c r="V30" s="7">
        <f>+[12]Resumen!V30*1000</f>
        <v>238558.40223402064</v>
      </c>
      <c r="W30" s="7">
        <f>+[12]Resumen!W30*1000</f>
        <v>0</v>
      </c>
      <c r="X30" s="7">
        <f>+[12]Resumen!X30*1000</f>
        <v>0</v>
      </c>
      <c r="Y30" s="7">
        <f>+[12]Resumen!Y30*1000</f>
        <v>0</v>
      </c>
      <c r="Z30" s="7">
        <f>+[12]Resumen!Z30*1000</f>
        <v>0</v>
      </c>
      <c r="AA30" s="7">
        <f>+[12]Resumen!AA30*1000</f>
        <v>0</v>
      </c>
      <c r="AB30" s="7">
        <f>+[12]Resumen!AB30*1000</f>
        <v>0</v>
      </c>
      <c r="AC30" s="7">
        <f>+[12]Resumen!AC30*1000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+[12]Resumen!E31</f>
        <v>22</v>
      </c>
      <c r="F31" s="7">
        <f>+[12]Resumen!F31*1000</f>
        <v>0</v>
      </c>
      <c r="G31" s="7">
        <f>+[12]Resumen!G31*1000</f>
        <v>0</v>
      </c>
      <c r="H31" s="7">
        <f>+[12]Resumen!H31*1000</f>
        <v>0</v>
      </c>
      <c r="I31" s="7">
        <f>+[12]Resumen!I31*1000</f>
        <v>0</v>
      </c>
      <c r="J31" s="7">
        <f>+[12]Resumen!J31*1000</f>
        <v>0</v>
      </c>
      <c r="K31" s="7">
        <f>+[12]Resumen!K31*1000</f>
        <v>0</v>
      </c>
      <c r="L31" s="7">
        <f>+[12]Resumen!L31*1000</f>
        <v>0</v>
      </c>
      <c r="M31" s="7">
        <f>+[12]Resumen!M31*1000</f>
        <v>227404.80484143889</v>
      </c>
      <c r="N31" s="7">
        <f>+[12]Resumen!N31*1000</f>
        <v>244307.89623684835</v>
      </c>
      <c r="O31" s="7">
        <f>+[12]Resumen!O31*1000</f>
        <v>256430.24161797523</v>
      </c>
      <c r="P31" s="7">
        <f>+[12]Resumen!P31*1000</f>
        <v>272448.1390041121</v>
      </c>
      <c r="Q31" s="7">
        <f>+[12]Resumen!Q31*1000</f>
        <v>285275.71931843297</v>
      </c>
      <c r="R31" s="7">
        <f>+[12]Resumen!R31*1000</f>
        <v>286870.85396750533</v>
      </c>
      <c r="S31" s="7">
        <f>+[12]Resumen!S31*1000</f>
        <v>282663.15965299663</v>
      </c>
      <c r="T31" s="7">
        <f>+[12]Resumen!T31*1000</f>
        <v>284928.63708309538</v>
      </c>
      <c r="U31" s="7">
        <f>+[12]Resumen!U31*1000</f>
        <v>284503.31243210245</v>
      </c>
      <c r="V31" s="7">
        <f>+[12]Resumen!V31*1000</f>
        <v>277392.90506056062</v>
      </c>
      <c r="W31" s="7">
        <f>+[12]Resumen!W31*1000</f>
        <v>0</v>
      </c>
      <c r="X31" s="7">
        <f>+[12]Resumen!X31*1000</f>
        <v>0</v>
      </c>
      <c r="Y31" s="7">
        <f>+[12]Resumen!Y31*1000</f>
        <v>0</v>
      </c>
      <c r="Z31" s="7">
        <f>+[12]Resumen!Z31*1000</f>
        <v>0</v>
      </c>
      <c r="AA31" s="7">
        <f>+[12]Resumen!AA31*1000</f>
        <v>0</v>
      </c>
      <c r="AB31" s="7">
        <f>+[12]Resumen!AB31*1000</f>
        <v>0</v>
      </c>
      <c r="AC31" s="7">
        <f>+[12]Resumen!AC31*1000</f>
        <v>0</v>
      </c>
      <c r="AD31" s="60">
        <f t="shared" si="3"/>
        <v>80386022.15728116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+[12]Resumen!E32</f>
        <v>4</v>
      </c>
      <c r="F32" s="7">
        <f>+[12]Resumen!F32*1000</f>
        <v>0</v>
      </c>
      <c r="G32" s="7">
        <f>+[12]Resumen!G32*1000</f>
        <v>0</v>
      </c>
      <c r="H32" s="7">
        <f>+[12]Resumen!H32*1000</f>
        <v>0</v>
      </c>
      <c r="I32" s="7">
        <f>+[12]Resumen!I32*1000</f>
        <v>0</v>
      </c>
      <c r="J32" s="7">
        <f>+[12]Resumen!J32*1000</f>
        <v>0</v>
      </c>
      <c r="K32" s="7">
        <f>+[12]Resumen!K32*1000</f>
        <v>0</v>
      </c>
      <c r="L32" s="7">
        <f>+[12]Resumen!L32*1000</f>
        <v>0</v>
      </c>
      <c r="M32" s="7">
        <f>+[12]Resumen!M32*1000</f>
        <v>205752.09632154804</v>
      </c>
      <c r="N32" s="7">
        <f>+[12]Resumen!N32*1000</f>
        <v>228466.04048575769</v>
      </c>
      <c r="O32" s="7">
        <f>+[12]Resumen!O32*1000</f>
        <v>243342.76384659534</v>
      </c>
      <c r="P32" s="7">
        <f>+[12]Resumen!P32*1000</f>
        <v>257872.55480770027</v>
      </c>
      <c r="Q32" s="7">
        <f>+[12]Resumen!Q32*1000</f>
        <v>268308.80446992675</v>
      </c>
      <c r="R32" s="7">
        <f>+[12]Resumen!R32*1000</f>
        <v>268470.86796310701</v>
      </c>
      <c r="S32" s="7">
        <f>+[12]Resumen!S32*1000</f>
        <v>261349.27069486867</v>
      </c>
      <c r="T32" s="7">
        <f>+[12]Resumen!T32*1000</f>
        <v>255028.60988074637</v>
      </c>
      <c r="U32" s="7">
        <f>+[12]Resumen!U32*1000</f>
        <v>252288.0254628087</v>
      </c>
      <c r="V32" s="7">
        <f>+[12]Resumen!V32*1000</f>
        <v>248895.5475870223</v>
      </c>
      <c r="W32" s="7">
        <f>+[12]Resumen!W32*1000</f>
        <v>0</v>
      </c>
      <c r="X32" s="7">
        <f>+[12]Resumen!X32*1000</f>
        <v>0</v>
      </c>
      <c r="Y32" s="7">
        <f>+[12]Resumen!Y32*1000</f>
        <v>0</v>
      </c>
      <c r="Z32" s="7">
        <f>+[12]Resumen!Z32*1000</f>
        <v>0</v>
      </c>
      <c r="AA32" s="7">
        <f>+[12]Resumen!AA32*1000</f>
        <v>0</v>
      </c>
      <c r="AB32" s="7">
        <f>+[12]Resumen!AB32*1000</f>
        <v>0</v>
      </c>
      <c r="AC32" s="7">
        <f>+[12]Resumen!AC32*1000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+[12]Resumen!E33</f>
        <v>4</v>
      </c>
      <c r="F33" s="7">
        <f>+[12]Resumen!F33*1000</f>
        <v>0</v>
      </c>
      <c r="G33" s="7">
        <f>+[12]Resumen!G33*1000</f>
        <v>0</v>
      </c>
      <c r="H33" s="7">
        <f>+[12]Resumen!H33*1000</f>
        <v>0</v>
      </c>
      <c r="I33" s="7">
        <f>+[12]Resumen!I33*1000</f>
        <v>0</v>
      </c>
      <c r="J33" s="7">
        <f>+[12]Resumen!J33*1000</f>
        <v>0</v>
      </c>
      <c r="K33" s="7">
        <f>+[12]Resumen!K33*1000</f>
        <v>0</v>
      </c>
      <c r="L33" s="7">
        <f>+[12]Resumen!L33*1000</f>
        <v>0</v>
      </c>
      <c r="M33" s="7">
        <f>+[12]Resumen!M33*1000</f>
        <v>170693.84812861952</v>
      </c>
      <c r="N33" s="7">
        <f>+[12]Resumen!N33*1000</f>
        <v>188752.92555890838</v>
      </c>
      <c r="O33" s="7">
        <f>+[12]Resumen!O33*1000</f>
        <v>204345.78710760956</v>
      </c>
      <c r="P33" s="7">
        <f>+[12]Resumen!P33*1000</f>
        <v>217662.59804417921</v>
      </c>
      <c r="Q33" s="7">
        <f>+[12]Resumen!Q33*1000</f>
        <v>231156.93811419161</v>
      </c>
      <c r="R33" s="7">
        <f>+[12]Resumen!R33*1000</f>
        <v>238782.60407262514</v>
      </c>
      <c r="S33" s="7">
        <f>+[12]Resumen!S33*1000</f>
        <v>239032.86427729944</v>
      </c>
      <c r="T33" s="7">
        <f>+[12]Resumen!T33*1000</f>
        <v>234605.32204285046</v>
      </c>
      <c r="U33" s="7">
        <f>+[12]Resumen!U33*1000</f>
        <v>231320.9885577847</v>
      </c>
      <c r="V33" s="7">
        <f>+[12]Resumen!V33*1000</f>
        <v>228211.63700087825</v>
      </c>
      <c r="W33" s="7">
        <f>+[12]Resumen!W33*1000</f>
        <v>0</v>
      </c>
      <c r="X33" s="7">
        <f>+[12]Resumen!X33*1000</f>
        <v>0</v>
      </c>
      <c r="Y33" s="7">
        <f>+[12]Resumen!Y33*1000</f>
        <v>0</v>
      </c>
      <c r="Z33" s="7">
        <f>+[12]Resumen!Z33*1000</f>
        <v>0</v>
      </c>
      <c r="AA33" s="7">
        <f>+[12]Resumen!AA33*1000</f>
        <v>0</v>
      </c>
      <c r="AB33" s="7">
        <f>+[12]Resumen!AB33*1000</f>
        <v>0</v>
      </c>
      <c r="AC33" s="7">
        <f>+[12]Resumen!AC33*1000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+[12]Resumen!E34</f>
        <v>1</v>
      </c>
      <c r="F34" s="7">
        <f>+[12]Resumen!F34*1000</f>
        <v>0</v>
      </c>
      <c r="G34" s="7">
        <f>+[12]Resumen!G34*1000</f>
        <v>0</v>
      </c>
      <c r="H34" s="7">
        <f>+[12]Resumen!H34*1000</f>
        <v>0</v>
      </c>
      <c r="I34" s="7">
        <f>+[12]Resumen!I34*1000</f>
        <v>0</v>
      </c>
      <c r="J34" s="7">
        <f>+[12]Resumen!J34*1000</f>
        <v>0</v>
      </c>
      <c r="K34" s="7">
        <f>+[12]Resumen!K34*1000</f>
        <v>0</v>
      </c>
      <c r="L34" s="7">
        <f>+[12]Resumen!L34*1000</f>
        <v>0</v>
      </c>
      <c r="M34" s="7">
        <f>+[12]Resumen!M34*1000</f>
        <v>174349.35915151547</v>
      </c>
      <c r="N34" s="7">
        <f>+[12]Resumen!N34*1000</f>
        <v>193609.91183771985</v>
      </c>
      <c r="O34" s="7">
        <f>+[12]Resumen!O34*1000</f>
        <v>209879.50698172592</v>
      </c>
      <c r="P34" s="7">
        <f>+[12]Resumen!P34*1000</f>
        <v>224825.53473865695</v>
      </c>
      <c r="Q34" s="7">
        <f>+[12]Resumen!Q34*1000</f>
        <v>238986.56507538477</v>
      </c>
      <c r="R34" s="7">
        <f>+[12]Resumen!R34*1000</f>
        <v>246104.44902645814</v>
      </c>
      <c r="S34" s="7">
        <f>+[12]Resumen!S34*1000</f>
        <v>244131.30086152314</v>
      </c>
      <c r="T34" s="7">
        <f>+[12]Resumen!T34*1000</f>
        <v>239201.12314701278</v>
      </c>
      <c r="U34" s="7">
        <f>+[12]Resumen!U34*1000</f>
        <v>237144.37757219499</v>
      </c>
      <c r="V34" s="7">
        <f>+[12]Resumen!V34*1000</f>
        <v>231464.92845736328</v>
      </c>
      <c r="W34" s="7">
        <f>+[12]Resumen!W34*1000</f>
        <v>0</v>
      </c>
      <c r="X34" s="7">
        <f>+[12]Resumen!X34*1000</f>
        <v>0</v>
      </c>
      <c r="Y34" s="7">
        <f>+[12]Resumen!Y34*1000</f>
        <v>0</v>
      </c>
      <c r="Z34" s="7">
        <f>+[12]Resumen!Z34*1000</f>
        <v>0</v>
      </c>
      <c r="AA34" s="7">
        <f>+[12]Resumen!AA34*1000</f>
        <v>0</v>
      </c>
      <c r="AB34" s="7">
        <f>+[12]Resumen!AB34*1000</f>
        <v>0</v>
      </c>
      <c r="AC34" s="7">
        <f>+[12]Resumen!AC34*1000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+[12]Resumen!E35</f>
        <v>19</v>
      </c>
      <c r="F35" s="7">
        <f>+[12]Resumen!F35*1000</f>
        <v>0</v>
      </c>
      <c r="G35" s="7">
        <f>+[12]Resumen!G35*1000</f>
        <v>0</v>
      </c>
      <c r="H35" s="7">
        <f>+[12]Resumen!H35*1000</f>
        <v>0</v>
      </c>
      <c r="I35" s="7">
        <f>+[12]Resumen!I35*1000</f>
        <v>0</v>
      </c>
      <c r="J35" s="7">
        <f>+[12]Resumen!J35*1000</f>
        <v>0</v>
      </c>
      <c r="K35" s="7">
        <f>+[12]Resumen!K35*1000</f>
        <v>0</v>
      </c>
      <c r="L35" s="7">
        <f>+[12]Resumen!L35*1000</f>
        <v>0</v>
      </c>
      <c r="M35" s="7">
        <f>+[12]Resumen!M35*1000</f>
        <v>232666.52966204809</v>
      </c>
      <c r="N35" s="7">
        <f>+[12]Resumen!N35*1000</f>
        <v>248549.7943283543</v>
      </c>
      <c r="O35" s="7">
        <f>+[12]Resumen!O35*1000</f>
        <v>260529.72205278723</v>
      </c>
      <c r="P35" s="7">
        <f>+[12]Resumen!P35*1000</f>
        <v>276538.72267844173</v>
      </c>
      <c r="Q35" s="7">
        <f>+[12]Resumen!Q35*1000</f>
        <v>289284.21913964231</v>
      </c>
      <c r="R35" s="7">
        <f>+[12]Resumen!R35*1000</f>
        <v>290443.61230588536</v>
      </c>
      <c r="S35" s="7">
        <f>+[12]Resumen!S35*1000</f>
        <v>286846.69569062808</v>
      </c>
      <c r="T35" s="7">
        <f>+[12]Resumen!T35*1000</f>
        <v>289082.93129093532</v>
      </c>
      <c r="U35" s="7">
        <f>+[12]Resumen!U35*1000</f>
        <v>288652.07575174404</v>
      </c>
      <c r="V35" s="7">
        <f>+[12]Resumen!V35*1000</f>
        <v>281515.53835362563</v>
      </c>
      <c r="W35" s="7">
        <f>+[12]Resumen!W35*1000</f>
        <v>0</v>
      </c>
      <c r="X35" s="7">
        <f>+[12]Resumen!X35*1000</f>
        <v>0</v>
      </c>
      <c r="Y35" s="7">
        <f>+[12]Resumen!Y35*1000</f>
        <v>0</v>
      </c>
      <c r="Z35" s="7">
        <f>+[12]Resumen!Z35*1000</f>
        <v>0</v>
      </c>
      <c r="AA35" s="7">
        <f>+[12]Resumen!AA35*1000</f>
        <v>0</v>
      </c>
      <c r="AB35" s="7">
        <f>+[12]Resumen!AB35*1000</f>
        <v>0</v>
      </c>
      <c r="AC35" s="7">
        <f>+[12]Resumen!AC35*1000</f>
        <v>0</v>
      </c>
      <c r="AD35" s="60">
        <f t="shared" si="3"/>
        <v>80327991.075057119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+[12]Resumen!E36</f>
        <v>5</v>
      </c>
      <c r="F36" s="7">
        <f>+[12]Resumen!F36*1000</f>
        <v>0</v>
      </c>
      <c r="G36" s="7">
        <f>+[12]Resumen!G36*1000</f>
        <v>0</v>
      </c>
      <c r="H36" s="7">
        <f>+[12]Resumen!H36*1000</f>
        <v>0</v>
      </c>
      <c r="I36" s="7">
        <f>+[12]Resumen!I36*1000</f>
        <v>0</v>
      </c>
      <c r="J36" s="7">
        <f>+[12]Resumen!J36*1000</f>
        <v>0</v>
      </c>
      <c r="K36" s="7">
        <f>+[12]Resumen!K36*1000</f>
        <v>0</v>
      </c>
      <c r="L36" s="7">
        <f>+[12]Resumen!L36*1000</f>
        <v>0</v>
      </c>
      <c r="M36" s="7">
        <f>+[12]Resumen!M36*1000</f>
        <v>212708.51829339127</v>
      </c>
      <c r="N36" s="7">
        <f>+[12]Resumen!N36*1000</f>
        <v>234724.79747975041</v>
      </c>
      <c r="O36" s="7">
        <f>+[12]Resumen!O36*1000</f>
        <v>249745.09592304172</v>
      </c>
      <c r="P36" s="7">
        <f>+[12]Resumen!P36*1000</f>
        <v>263551.67167836468</v>
      </c>
      <c r="Q36" s="7">
        <f>+[12]Resumen!Q36*1000</f>
        <v>273112.08228473773</v>
      </c>
      <c r="R36" s="7">
        <f>+[12]Resumen!R36*1000</f>
        <v>273296.86867313087</v>
      </c>
      <c r="S36" s="7">
        <f>+[12]Resumen!S36*1000</f>
        <v>266632.04416067089</v>
      </c>
      <c r="T36" s="7">
        <f>+[12]Resumen!T36*1000</f>
        <v>259796.44614617171</v>
      </c>
      <c r="U36" s="7">
        <f>+[12]Resumen!U36*1000</f>
        <v>256092.81183573615</v>
      </c>
      <c r="V36" s="7">
        <f>+[12]Resumen!V36*1000</f>
        <v>252711.66283459862</v>
      </c>
      <c r="W36" s="7">
        <f>+[12]Resumen!W36*1000</f>
        <v>0</v>
      </c>
      <c r="X36" s="7">
        <f>+[12]Resumen!X36*1000</f>
        <v>0</v>
      </c>
      <c r="Y36" s="7">
        <f>+[12]Resumen!Y36*1000</f>
        <v>0</v>
      </c>
      <c r="Z36" s="7">
        <f>+[12]Resumen!Z36*1000</f>
        <v>0</v>
      </c>
      <c r="AA36" s="7">
        <f>+[12]Resumen!AA36*1000</f>
        <v>0</v>
      </c>
      <c r="AB36" s="7">
        <f>+[12]Resumen!AB36*1000</f>
        <v>0</v>
      </c>
      <c r="AC36" s="7">
        <f>+[12]Resumen!AC36*1000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+[12]Resumen!E37</f>
        <v>5</v>
      </c>
      <c r="F37" s="7">
        <f>+[12]Resumen!F37*1000</f>
        <v>0</v>
      </c>
      <c r="G37" s="7">
        <f>+[12]Resumen!G37*1000</f>
        <v>0</v>
      </c>
      <c r="H37" s="7">
        <f>+[12]Resumen!H37*1000</f>
        <v>0</v>
      </c>
      <c r="I37" s="7">
        <f>+[12]Resumen!I37*1000</f>
        <v>0</v>
      </c>
      <c r="J37" s="7">
        <f>+[12]Resumen!J37*1000</f>
        <v>0</v>
      </c>
      <c r="K37" s="7">
        <f>+[12]Resumen!K37*1000</f>
        <v>0</v>
      </c>
      <c r="L37" s="7">
        <f>+[12]Resumen!L37*1000</f>
        <v>0</v>
      </c>
      <c r="M37" s="7">
        <f>+[12]Resumen!M37*1000</f>
        <v>172414.60581745396</v>
      </c>
      <c r="N37" s="7">
        <f>+[12]Resumen!N37*1000</f>
        <v>190633.8553378525</v>
      </c>
      <c r="O37" s="7">
        <f>+[12]Resumen!O37*1000</f>
        <v>206109.88854534031</v>
      </c>
      <c r="P37" s="7">
        <f>+[12]Resumen!P37*1000</f>
        <v>218193.96938742412</v>
      </c>
      <c r="Q37" s="7">
        <f>+[12]Resumen!Q37*1000</f>
        <v>230713.25317277192</v>
      </c>
      <c r="R37" s="7">
        <f>+[12]Resumen!R37*1000</f>
        <v>238440.54675887802</v>
      </c>
      <c r="S37" s="7">
        <f>+[12]Resumen!S37*1000</f>
        <v>238843.55241933212</v>
      </c>
      <c r="T37" s="7">
        <f>+[12]Resumen!T37*1000</f>
        <v>232657.95863114164</v>
      </c>
      <c r="U37" s="7">
        <f>+[12]Resumen!U37*1000</f>
        <v>229530.18380942379</v>
      </c>
      <c r="V37" s="7">
        <f>+[12]Resumen!V37*1000</f>
        <v>225138.23078843477</v>
      </c>
      <c r="W37" s="7">
        <f>+[12]Resumen!W37*1000</f>
        <v>0</v>
      </c>
      <c r="X37" s="7">
        <f>+[12]Resumen!X37*1000</f>
        <v>0</v>
      </c>
      <c r="Y37" s="7">
        <f>+[12]Resumen!Y37*1000</f>
        <v>0</v>
      </c>
      <c r="Z37" s="7">
        <f>+[12]Resumen!Z37*1000</f>
        <v>0</v>
      </c>
      <c r="AA37" s="7">
        <f>+[12]Resumen!AA37*1000</f>
        <v>0</v>
      </c>
      <c r="AB37" s="7">
        <f>+[12]Resumen!AB37*1000</f>
        <v>0</v>
      </c>
      <c r="AC37" s="7">
        <f>+[12]Resumen!AC37*1000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+[12]Resumen!E38</f>
        <v>2</v>
      </c>
      <c r="F38" s="7">
        <f>+[12]Resumen!F38*1000</f>
        <v>0</v>
      </c>
      <c r="G38" s="7">
        <f>+[12]Resumen!G38*1000</f>
        <v>0</v>
      </c>
      <c r="H38" s="7">
        <f>+[12]Resumen!H38*1000</f>
        <v>0</v>
      </c>
      <c r="I38" s="7">
        <f>+[12]Resumen!I38*1000</f>
        <v>0</v>
      </c>
      <c r="J38" s="7">
        <f>+[12]Resumen!J38*1000</f>
        <v>0</v>
      </c>
      <c r="K38" s="7">
        <f>+[12]Resumen!K38*1000</f>
        <v>0</v>
      </c>
      <c r="L38" s="7">
        <f>+[12]Resumen!L38*1000</f>
        <v>0</v>
      </c>
      <c r="M38" s="7">
        <f>+[12]Resumen!M38*1000</f>
        <v>180150.47477752762</v>
      </c>
      <c r="N38" s="7">
        <f>+[12]Resumen!N38*1000</f>
        <v>198542.93642872333</v>
      </c>
      <c r="O38" s="7">
        <f>+[12]Resumen!O38*1000</f>
        <v>213212.35462982237</v>
      </c>
      <c r="P38" s="7">
        <f>+[12]Resumen!P38*1000</f>
        <v>229029.32681284673</v>
      </c>
      <c r="Q38" s="7">
        <f>+[12]Resumen!Q38*1000</f>
        <v>244633.93417005395</v>
      </c>
      <c r="R38" s="7">
        <f>+[12]Resumen!R38*1000</f>
        <v>254147.36588546392</v>
      </c>
      <c r="S38" s="7">
        <f>+[12]Resumen!S38*1000</f>
        <v>249670.60591210047</v>
      </c>
      <c r="T38" s="7">
        <f>+[12]Resumen!T38*1000</f>
        <v>241807.13347644347</v>
      </c>
      <c r="U38" s="7">
        <f>+[12]Resumen!U38*1000</f>
        <v>237739.71786108054</v>
      </c>
      <c r="V38" s="7">
        <f>+[12]Resumen!V38*1000</f>
        <v>233398.08571650297</v>
      </c>
      <c r="W38" s="7">
        <f>+[12]Resumen!W38*1000</f>
        <v>0</v>
      </c>
      <c r="X38" s="7">
        <f>+[12]Resumen!X38*1000</f>
        <v>0</v>
      </c>
      <c r="Y38" s="7">
        <f>+[12]Resumen!Y38*1000</f>
        <v>0</v>
      </c>
      <c r="Z38" s="7">
        <f>+[12]Resumen!Z38*1000</f>
        <v>0</v>
      </c>
      <c r="AA38" s="7">
        <f>+[12]Resumen!AA38*1000</f>
        <v>0</v>
      </c>
      <c r="AB38" s="7">
        <f>+[12]Resumen!AB38*1000</f>
        <v>0</v>
      </c>
      <c r="AC38" s="7">
        <f>+[12]Resumen!AC38*1000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+[12]Resumen!E39</f>
        <v>22</v>
      </c>
      <c r="F39" s="7">
        <f>+[12]Resumen!F39*1000</f>
        <v>0</v>
      </c>
      <c r="G39" s="7">
        <f>+[12]Resumen!G39*1000</f>
        <v>0</v>
      </c>
      <c r="H39" s="7">
        <f>+[12]Resumen!H39*1000</f>
        <v>0</v>
      </c>
      <c r="I39" s="7">
        <f>+[12]Resumen!I39*1000</f>
        <v>0</v>
      </c>
      <c r="J39" s="7">
        <f>+[12]Resumen!J39*1000</f>
        <v>0</v>
      </c>
      <c r="K39" s="7">
        <f>+[12]Resumen!K39*1000</f>
        <v>0</v>
      </c>
      <c r="L39" s="7">
        <f>+[12]Resumen!L39*1000</f>
        <v>0</v>
      </c>
      <c r="M39" s="7">
        <f>+[12]Resumen!M39*1000</f>
        <v>238136.18504318158</v>
      </c>
      <c r="N39" s="7">
        <f>+[12]Resumen!N39*1000</f>
        <v>254253.73830729173</v>
      </c>
      <c r="O39" s="7">
        <f>+[12]Resumen!O39*1000</f>
        <v>266133.45207041141</v>
      </c>
      <c r="P39" s="7">
        <f>+[12]Resumen!P39*1000</f>
        <v>282562.78934148687</v>
      </c>
      <c r="Q39" s="7">
        <f>+[12]Resumen!Q39*1000</f>
        <v>296191.47766083363</v>
      </c>
      <c r="R39" s="7">
        <f>+[12]Resumen!R39*1000</f>
        <v>298322.97383025347</v>
      </c>
      <c r="S39" s="7">
        <f>+[12]Resumen!S39*1000</f>
        <v>294622.08650590776</v>
      </c>
      <c r="T39" s="7">
        <f>+[12]Resumen!T39*1000</f>
        <v>296180.97179624654</v>
      </c>
      <c r="U39" s="7">
        <f>+[12]Resumen!U39*1000</f>
        <v>296224.26994300215</v>
      </c>
      <c r="V39" s="7">
        <f>+[12]Resumen!V39*1000</f>
        <v>289539.59329865786</v>
      </c>
      <c r="W39" s="7">
        <f>+[12]Resumen!W39*1000</f>
        <v>0</v>
      </c>
      <c r="X39" s="7">
        <f>+[12]Resumen!X39*1000</f>
        <v>0</v>
      </c>
      <c r="Y39" s="7">
        <f>+[12]Resumen!Y39*1000</f>
        <v>0</v>
      </c>
      <c r="Z39" s="7">
        <f>+[12]Resumen!Z39*1000</f>
        <v>0</v>
      </c>
      <c r="AA39" s="7">
        <f>+[12]Resumen!AA39*1000</f>
        <v>0</v>
      </c>
      <c r="AB39" s="7">
        <f>+[12]Resumen!AB39*1000</f>
        <v>0</v>
      </c>
      <c r="AC39" s="7">
        <f>+[12]Resumen!AC39*1000</f>
        <v>0</v>
      </c>
      <c r="AD39" s="60">
        <f t="shared" ref="AD39" si="4">SUM(F39:AC39)*E39+SUM(F40:AC40)*E40+SUM(F41:AC41)*E41+SUM(F42:AC42)*E42</f>
        <v>81217391.180397719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+[12]Resumen!E40</f>
        <v>4</v>
      </c>
      <c r="F40" s="7">
        <f>+[12]Resumen!F40*1000</f>
        <v>0</v>
      </c>
      <c r="G40" s="7">
        <f>+[12]Resumen!G40*1000</f>
        <v>0</v>
      </c>
      <c r="H40" s="7">
        <f>+[12]Resumen!H40*1000</f>
        <v>0</v>
      </c>
      <c r="I40" s="7">
        <f>+[12]Resumen!I40*1000</f>
        <v>0</v>
      </c>
      <c r="J40" s="7">
        <f>+[12]Resumen!J40*1000</f>
        <v>0</v>
      </c>
      <c r="K40" s="7">
        <f>+[12]Resumen!K40*1000</f>
        <v>0</v>
      </c>
      <c r="L40" s="7">
        <f>+[12]Resumen!L40*1000</f>
        <v>0</v>
      </c>
      <c r="M40" s="7">
        <f>+[12]Resumen!M40*1000</f>
        <v>218438.96363062182</v>
      </c>
      <c r="N40" s="7">
        <f>+[12]Resumen!N40*1000</f>
        <v>241452.84175982655</v>
      </c>
      <c r="O40" s="7">
        <f>+[12]Resumen!O40*1000</f>
        <v>257249.84889138033</v>
      </c>
      <c r="P40" s="7">
        <f>+[12]Resumen!P40*1000</f>
        <v>271947.78580261243</v>
      </c>
      <c r="Q40" s="7">
        <f>+[12]Resumen!Q40*1000</f>
        <v>282104.33799262764</v>
      </c>
      <c r="R40" s="7">
        <f>+[12]Resumen!R40*1000</f>
        <v>282529.15233395167</v>
      </c>
      <c r="S40" s="7">
        <f>+[12]Resumen!S40*1000</f>
        <v>274095.94846866443</v>
      </c>
      <c r="T40" s="7">
        <f>+[12]Resumen!T40*1000</f>
        <v>265123.91622437531</v>
      </c>
      <c r="U40" s="7">
        <f>+[12]Resumen!U40*1000</f>
        <v>260814.33369853318</v>
      </c>
      <c r="V40" s="7">
        <f>+[12]Resumen!V40*1000</f>
        <v>256219.45332330535</v>
      </c>
      <c r="W40" s="7">
        <f>+[12]Resumen!W40*1000</f>
        <v>0</v>
      </c>
      <c r="X40" s="7">
        <f>+[12]Resumen!X40*1000</f>
        <v>0</v>
      </c>
      <c r="Y40" s="7">
        <f>+[12]Resumen!Y40*1000</f>
        <v>0</v>
      </c>
      <c r="Z40" s="7">
        <f>+[12]Resumen!Z40*1000</f>
        <v>0</v>
      </c>
      <c r="AA40" s="7">
        <f>+[12]Resumen!AA40*1000</f>
        <v>0</v>
      </c>
      <c r="AB40" s="7">
        <f>+[12]Resumen!AB40*1000</f>
        <v>0</v>
      </c>
      <c r="AC40" s="7">
        <f>+[12]Resumen!AC40*1000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+[12]Resumen!E41</f>
        <v>4</v>
      </c>
      <c r="F41" s="7">
        <f>+[12]Resumen!F41*1000</f>
        <v>0</v>
      </c>
      <c r="G41" s="7">
        <f>+[12]Resumen!G41*1000</f>
        <v>0</v>
      </c>
      <c r="H41" s="7">
        <f>+[12]Resumen!H41*1000</f>
        <v>0</v>
      </c>
      <c r="I41" s="7">
        <f>+[12]Resumen!I41*1000</f>
        <v>0</v>
      </c>
      <c r="J41" s="7">
        <f>+[12]Resumen!J41*1000</f>
        <v>0</v>
      </c>
      <c r="K41" s="7">
        <f>+[12]Resumen!K41*1000</f>
        <v>0</v>
      </c>
      <c r="L41" s="7">
        <f>+[12]Resumen!L41*1000</f>
        <v>0</v>
      </c>
      <c r="M41" s="7">
        <f>+[12]Resumen!M41*1000</f>
        <v>175436.24708569958</v>
      </c>
      <c r="N41" s="7">
        <f>+[12]Resumen!N41*1000</f>
        <v>193779.36070615042</v>
      </c>
      <c r="O41" s="7">
        <f>+[12]Resumen!O41*1000</f>
        <v>209193.03624363296</v>
      </c>
      <c r="P41" s="7">
        <f>+[12]Resumen!P41*1000</f>
        <v>222797.63794660909</v>
      </c>
      <c r="Q41" s="7">
        <f>+[12]Resumen!Q41*1000</f>
        <v>235788.35014711891</v>
      </c>
      <c r="R41" s="7">
        <f>+[12]Resumen!R41*1000</f>
        <v>243758.61628152186</v>
      </c>
      <c r="S41" s="7">
        <f>+[12]Resumen!S41*1000</f>
        <v>242858.07606616471</v>
      </c>
      <c r="T41" s="7">
        <f>+[12]Resumen!T41*1000</f>
        <v>237298.44983311385</v>
      </c>
      <c r="U41" s="7">
        <f>+[12]Resumen!U41*1000</f>
        <v>234688.51120499813</v>
      </c>
      <c r="V41" s="7">
        <f>+[12]Resumen!V41*1000</f>
        <v>231851.46957352213</v>
      </c>
      <c r="W41" s="7">
        <f>+[12]Resumen!W41*1000</f>
        <v>0</v>
      </c>
      <c r="X41" s="7">
        <f>+[12]Resumen!X41*1000</f>
        <v>0</v>
      </c>
      <c r="Y41" s="7">
        <f>+[12]Resumen!Y41*1000</f>
        <v>0</v>
      </c>
      <c r="Z41" s="7">
        <f>+[12]Resumen!Z41*1000</f>
        <v>0</v>
      </c>
      <c r="AA41" s="7">
        <f>+[12]Resumen!AA41*1000</f>
        <v>0</v>
      </c>
      <c r="AB41" s="7">
        <f>+[12]Resumen!AB41*1000</f>
        <v>0</v>
      </c>
      <c r="AC41" s="7">
        <f>+[12]Resumen!AC41*1000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+[12]Resumen!E42</f>
        <v>0</v>
      </c>
      <c r="F42" s="7">
        <f>+[12]Resumen!F42*1000</f>
        <v>0</v>
      </c>
      <c r="G42" s="7">
        <f>+[12]Resumen!G42*1000</f>
        <v>0</v>
      </c>
      <c r="H42" s="7">
        <f>+[12]Resumen!H42*1000</f>
        <v>0</v>
      </c>
      <c r="I42" s="7">
        <f>+[12]Resumen!I42*1000</f>
        <v>0</v>
      </c>
      <c r="J42" s="7">
        <f>+[12]Resumen!J42*1000</f>
        <v>0</v>
      </c>
      <c r="K42" s="7">
        <f>+[12]Resumen!K42*1000</f>
        <v>0</v>
      </c>
      <c r="L42" s="7">
        <f>+[12]Resumen!L42*1000</f>
        <v>0</v>
      </c>
      <c r="M42" s="7">
        <f>+[12]Resumen!M42*1000</f>
        <v>0</v>
      </c>
      <c r="N42" s="7">
        <f>+[12]Resumen!N42*1000</f>
        <v>0</v>
      </c>
      <c r="O42" s="7">
        <f>+[12]Resumen!O42*1000</f>
        <v>0</v>
      </c>
      <c r="P42" s="7">
        <f>+[12]Resumen!P42*1000</f>
        <v>0</v>
      </c>
      <c r="Q42" s="7">
        <f>+[12]Resumen!Q42*1000</f>
        <v>0</v>
      </c>
      <c r="R42" s="7">
        <f>+[12]Resumen!R42*1000</f>
        <v>0</v>
      </c>
      <c r="S42" s="7">
        <f>+[12]Resumen!S42*1000</f>
        <v>0</v>
      </c>
      <c r="T42" s="7">
        <f>+[12]Resumen!T42*1000</f>
        <v>0</v>
      </c>
      <c r="U42" s="7">
        <f>+[12]Resumen!U42*1000</f>
        <v>0</v>
      </c>
      <c r="V42" s="7">
        <f>+[12]Resumen!V42*1000</f>
        <v>0</v>
      </c>
      <c r="W42" s="7">
        <f>+[12]Resumen!W42*1000</f>
        <v>0</v>
      </c>
      <c r="X42" s="7">
        <f>+[12]Resumen!X42*1000</f>
        <v>0</v>
      </c>
      <c r="Y42" s="7">
        <f>+[12]Resumen!Y42*1000</f>
        <v>0</v>
      </c>
      <c r="Z42" s="7">
        <f>+[12]Resumen!Z42*1000</f>
        <v>0</v>
      </c>
      <c r="AA42" s="7">
        <f>+[12]Resumen!AA42*1000</f>
        <v>0</v>
      </c>
      <c r="AB42" s="7">
        <f>+[12]Resumen!AB42*1000</f>
        <v>0</v>
      </c>
      <c r="AC42" s="7">
        <f>+[12]Resumen!AC42*1000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+[12]Resumen!E43</f>
        <v>21</v>
      </c>
      <c r="F43" s="7">
        <f>+[12]Resumen!F43*1000</f>
        <v>0</v>
      </c>
      <c r="G43" s="7">
        <f>+[12]Resumen!G43*1000</f>
        <v>0</v>
      </c>
      <c r="H43" s="7">
        <f>+[12]Resumen!H43*1000</f>
        <v>0</v>
      </c>
      <c r="I43" s="7">
        <f>+[12]Resumen!I43*1000</f>
        <v>0</v>
      </c>
      <c r="J43" s="7">
        <f>+[12]Resumen!J43*1000</f>
        <v>0</v>
      </c>
      <c r="K43" s="7">
        <f>+[12]Resumen!K43*1000</f>
        <v>0</v>
      </c>
      <c r="L43" s="7">
        <f>+[12]Resumen!L43*1000</f>
        <v>0</v>
      </c>
      <c r="M43" s="7">
        <f>+[12]Resumen!M43*1000</f>
        <v>231027.69296154589</v>
      </c>
      <c r="N43" s="7">
        <f>+[12]Resumen!N43*1000</f>
        <v>247445.5341501236</v>
      </c>
      <c r="O43" s="7">
        <f>+[12]Resumen!O43*1000</f>
        <v>258772.27201299588</v>
      </c>
      <c r="P43" s="7">
        <f>+[12]Resumen!P43*1000</f>
        <v>273929.0185756206</v>
      </c>
      <c r="Q43" s="7">
        <f>+[12]Resumen!Q43*1000</f>
        <v>287384.14949081984</v>
      </c>
      <c r="R43" s="7">
        <f>+[12]Resumen!R43*1000</f>
        <v>290129.19640394702</v>
      </c>
      <c r="S43" s="7">
        <f>+[12]Resumen!S43*1000</f>
        <v>286146.0079423135</v>
      </c>
      <c r="T43" s="7">
        <f>+[12]Resumen!T43*1000</f>
        <v>287616.35993392975</v>
      </c>
      <c r="U43" s="7">
        <f>+[12]Resumen!U43*1000</f>
        <v>287145.40708394838</v>
      </c>
      <c r="V43" s="7">
        <f>+[12]Resumen!V43*1000</f>
        <v>280670.03775046906</v>
      </c>
      <c r="W43" s="7">
        <f>+[12]Resumen!W43*1000</f>
        <v>0</v>
      </c>
      <c r="X43" s="7">
        <f>+[12]Resumen!X43*1000</f>
        <v>0</v>
      </c>
      <c r="Y43" s="7">
        <f>+[12]Resumen!Y43*1000</f>
        <v>0</v>
      </c>
      <c r="Z43" s="7">
        <f>+[12]Resumen!Z43*1000</f>
        <v>0</v>
      </c>
      <c r="AA43" s="7">
        <f>+[12]Resumen!AA43*1000</f>
        <v>0</v>
      </c>
      <c r="AB43" s="7">
        <f>+[12]Resumen!AB43*1000</f>
        <v>0</v>
      </c>
      <c r="AC43" s="7">
        <f>+[12]Resumen!AC43*1000</f>
        <v>0</v>
      </c>
      <c r="AD43" s="60">
        <f t="shared" ref="AD43" si="5">SUM(F43:AC43)*E43+SUM(F44:AC44)*E44+SUM(F45:AC45)*E45+SUM(F46:AC46)*E46</f>
        <v>81272331.898927614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+[12]Resumen!E44</f>
        <v>5</v>
      </c>
      <c r="F44" s="7">
        <f>+[12]Resumen!F44*1000</f>
        <v>0</v>
      </c>
      <c r="G44" s="7">
        <f>+[12]Resumen!G44*1000</f>
        <v>0</v>
      </c>
      <c r="H44" s="7">
        <f>+[12]Resumen!H44*1000</f>
        <v>0</v>
      </c>
      <c r="I44" s="7">
        <f>+[12]Resumen!I44*1000</f>
        <v>0</v>
      </c>
      <c r="J44" s="7">
        <f>+[12]Resumen!J44*1000</f>
        <v>0</v>
      </c>
      <c r="K44" s="7">
        <f>+[12]Resumen!K44*1000</f>
        <v>0</v>
      </c>
      <c r="L44" s="7">
        <f>+[12]Resumen!L44*1000</f>
        <v>0</v>
      </c>
      <c r="M44" s="7">
        <f>+[12]Resumen!M44*1000</f>
        <v>212643.8045127872</v>
      </c>
      <c r="N44" s="7">
        <f>+[12]Resumen!N44*1000</f>
        <v>234768.03048059091</v>
      </c>
      <c r="O44" s="7">
        <f>+[12]Resumen!O44*1000</f>
        <v>249982.53541160972</v>
      </c>
      <c r="P44" s="7">
        <f>+[12]Resumen!P44*1000</f>
        <v>264580.67963844648</v>
      </c>
      <c r="Q44" s="7">
        <f>+[12]Resumen!Q44*1000</f>
        <v>274645.10030369106</v>
      </c>
      <c r="R44" s="7">
        <f>+[12]Resumen!R44*1000</f>
        <v>275656.10627587955</v>
      </c>
      <c r="S44" s="7">
        <f>+[12]Resumen!S44*1000</f>
        <v>268876.32528150221</v>
      </c>
      <c r="T44" s="7">
        <f>+[12]Resumen!T44*1000</f>
        <v>261905.11518691425</v>
      </c>
      <c r="U44" s="7">
        <f>+[12]Resumen!U44*1000</f>
        <v>259071.13541345156</v>
      </c>
      <c r="V44" s="7">
        <f>+[12]Resumen!V44*1000</f>
        <v>255880.67067756102</v>
      </c>
      <c r="W44" s="7">
        <f>+[12]Resumen!W44*1000</f>
        <v>0</v>
      </c>
      <c r="X44" s="7">
        <f>+[12]Resumen!X44*1000</f>
        <v>0</v>
      </c>
      <c r="Y44" s="7">
        <f>+[12]Resumen!Y44*1000</f>
        <v>0</v>
      </c>
      <c r="Z44" s="7">
        <f>+[12]Resumen!Z44*1000</f>
        <v>0</v>
      </c>
      <c r="AA44" s="7">
        <f>+[12]Resumen!AA44*1000</f>
        <v>0</v>
      </c>
      <c r="AB44" s="7">
        <f>+[12]Resumen!AB44*1000</f>
        <v>0</v>
      </c>
      <c r="AC44" s="7">
        <f>+[12]Resumen!AC44*1000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+[12]Resumen!E45</f>
        <v>4</v>
      </c>
      <c r="F45" s="7">
        <f>+[12]Resumen!F45*1000</f>
        <v>0</v>
      </c>
      <c r="G45" s="7">
        <f>+[12]Resumen!G45*1000</f>
        <v>0</v>
      </c>
      <c r="H45" s="7">
        <f>+[12]Resumen!H45*1000</f>
        <v>0</v>
      </c>
      <c r="I45" s="7">
        <f>+[12]Resumen!I45*1000</f>
        <v>0</v>
      </c>
      <c r="J45" s="7">
        <f>+[12]Resumen!J45*1000</f>
        <v>0</v>
      </c>
      <c r="K45" s="7">
        <f>+[12]Resumen!K45*1000</f>
        <v>0</v>
      </c>
      <c r="L45" s="7">
        <f>+[12]Resumen!L45*1000</f>
        <v>0</v>
      </c>
      <c r="M45" s="7">
        <f>+[12]Resumen!M45*1000</f>
        <v>176590.77819514016</v>
      </c>
      <c r="N45" s="7">
        <f>+[12]Resumen!N45*1000</f>
        <v>194713.82457106965</v>
      </c>
      <c r="O45" s="7">
        <f>+[12]Resumen!O45*1000</f>
        <v>209684.98127901406</v>
      </c>
      <c r="P45" s="7">
        <f>+[12]Resumen!P45*1000</f>
        <v>222762.8283126007</v>
      </c>
      <c r="Q45" s="7">
        <f>+[12]Resumen!Q45*1000</f>
        <v>236454.79068782614</v>
      </c>
      <c r="R45" s="7">
        <f>+[12]Resumen!R45*1000</f>
        <v>243808.4724504051</v>
      </c>
      <c r="S45" s="7">
        <f>+[12]Resumen!S45*1000</f>
        <v>242161.79001018533</v>
      </c>
      <c r="T45" s="7">
        <f>+[12]Resumen!T45*1000</f>
        <v>236615.67069688076</v>
      </c>
      <c r="U45" s="7">
        <f>+[12]Resumen!U45*1000</f>
        <v>233250.17191609871</v>
      </c>
      <c r="V45" s="7">
        <f>+[12]Resumen!V45*1000</f>
        <v>229022.17161983001</v>
      </c>
      <c r="W45" s="7">
        <f>+[12]Resumen!W45*1000</f>
        <v>0</v>
      </c>
      <c r="X45" s="7">
        <f>+[12]Resumen!X45*1000</f>
        <v>0</v>
      </c>
      <c r="Y45" s="7">
        <f>+[12]Resumen!Y45*1000</f>
        <v>0</v>
      </c>
      <c r="Z45" s="7">
        <f>+[12]Resumen!Z45*1000</f>
        <v>0</v>
      </c>
      <c r="AA45" s="7">
        <f>+[12]Resumen!AA45*1000</f>
        <v>0</v>
      </c>
      <c r="AB45" s="7">
        <f>+[12]Resumen!AB45*1000</f>
        <v>0</v>
      </c>
      <c r="AC45" s="7">
        <f>+[12]Resumen!AC45*1000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+[12]Resumen!E46</f>
        <v>1</v>
      </c>
      <c r="F46" s="7">
        <f>+[12]Resumen!F46*1000</f>
        <v>0</v>
      </c>
      <c r="G46" s="7">
        <f>+[12]Resumen!G46*1000</f>
        <v>0</v>
      </c>
      <c r="H46" s="7">
        <f>+[12]Resumen!H46*1000</f>
        <v>0</v>
      </c>
      <c r="I46" s="7">
        <f>+[12]Resumen!I46*1000</f>
        <v>0</v>
      </c>
      <c r="J46" s="7">
        <f>+[12]Resumen!J46*1000</f>
        <v>0</v>
      </c>
      <c r="K46" s="7">
        <f>+[12]Resumen!K46*1000</f>
        <v>0</v>
      </c>
      <c r="L46" s="7">
        <f>+[12]Resumen!L46*1000</f>
        <v>0</v>
      </c>
      <c r="M46" s="7">
        <f>+[12]Resumen!M46*1000</f>
        <v>174486.37404031103</v>
      </c>
      <c r="N46" s="7">
        <f>+[12]Resumen!N46*1000</f>
        <v>192603.57899917982</v>
      </c>
      <c r="O46" s="7">
        <f>+[12]Resumen!O46*1000</f>
        <v>206157.3364868926</v>
      </c>
      <c r="P46" s="7">
        <f>+[12]Resumen!P46*1000</f>
        <v>220417.93584037348</v>
      </c>
      <c r="Q46" s="7">
        <f>+[12]Resumen!Q46*1000</f>
        <v>237951.16195796325</v>
      </c>
      <c r="R46" s="7">
        <f>+[12]Resumen!R46*1000</f>
        <v>249102.60519228323</v>
      </c>
      <c r="S46" s="7">
        <f>+[12]Resumen!S46*1000</f>
        <v>248784.6431810288</v>
      </c>
      <c r="T46" s="7">
        <f>+[12]Resumen!T46*1000</f>
        <v>241166.42122916921</v>
      </c>
      <c r="U46" s="7">
        <f>+[12]Resumen!U46*1000</f>
        <v>238876.26652640232</v>
      </c>
      <c r="V46" s="7">
        <f>+[12]Resumen!V46*1000</f>
        <v>236896.93818564777</v>
      </c>
      <c r="W46" s="7">
        <f>+[12]Resumen!W46*1000</f>
        <v>0</v>
      </c>
      <c r="X46" s="7">
        <f>+[12]Resumen!X46*1000</f>
        <v>0</v>
      </c>
      <c r="Y46" s="7">
        <f>+[12]Resumen!Y46*1000</f>
        <v>0</v>
      </c>
      <c r="Z46" s="7">
        <f>+[12]Resumen!Z46*1000</f>
        <v>0</v>
      </c>
      <c r="AA46" s="7">
        <f>+[12]Resumen!AA46*1000</f>
        <v>0</v>
      </c>
      <c r="AB46" s="7">
        <f>+[12]Resumen!AB46*1000</f>
        <v>0</v>
      </c>
      <c r="AC46" s="7">
        <f>+[12]Resumen!AC46*1000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+[12]Resumen!E47</f>
        <v>19</v>
      </c>
      <c r="F47" s="7">
        <f>+[12]Resumen!F47*1000</f>
        <v>0</v>
      </c>
      <c r="G47" s="7">
        <f>+[12]Resumen!G47*1000</f>
        <v>0</v>
      </c>
      <c r="H47" s="7">
        <f>+[12]Resumen!H47*1000</f>
        <v>0</v>
      </c>
      <c r="I47" s="7">
        <f>+[12]Resumen!I47*1000</f>
        <v>0</v>
      </c>
      <c r="J47" s="7">
        <f>+[12]Resumen!J47*1000</f>
        <v>0</v>
      </c>
      <c r="K47" s="7">
        <f>+[12]Resumen!K47*1000</f>
        <v>0</v>
      </c>
      <c r="L47" s="7">
        <f>+[12]Resumen!L47*1000</f>
        <v>0</v>
      </c>
      <c r="M47" s="7">
        <f>+[12]Resumen!M47*1000</f>
        <v>244131.66785017861</v>
      </c>
      <c r="N47" s="7">
        <f>+[12]Resumen!N47*1000</f>
        <v>260823.68213736083</v>
      </c>
      <c r="O47" s="7">
        <f>+[12]Resumen!O47*1000</f>
        <v>272068.67924893275</v>
      </c>
      <c r="P47" s="7">
        <f>+[12]Resumen!P47*1000</f>
        <v>287303.63782578585</v>
      </c>
      <c r="Q47" s="7">
        <f>+[12]Resumen!Q47*1000</f>
        <v>301262.52473078738</v>
      </c>
      <c r="R47" s="7">
        <f>+[12]Resumen!R47*1000</f>
        <v>304552.4108193565</v>
      </c>
      <c r="S47" s="7">
        <f>+[12]Resumen!S47*1000</f>
        <v>299840.88885453879</v>
      </c>
      <c r="T47" s="7">
        <f>+[12]Resumen!T47*1000</f>
        <v>300307.15554168861</v>
      </c>
      <c r="U47" s="7">
        <f>+[12]Resumen!U47*1000</f>
        <v>299820.88037245814</v>
      </c>
      <c r="V47" s="7">
        <f>+[12]Resumen!V47*1000</f>
        <v>294323.32733891625</v>
      </c>
      <c r="W47" s="7">
        <f>+[12]Resumen!W47*1000</f>
        <v>0</v>
      </c>
      <c r="X47" s="7">
        <f>+[12]Resumen!X47*1000</f>
        <v>0</v>
      </c>
      <c r="Y47" s="7">
        <f>+[12]Resumen!Y47*1000</f>
        <v>0</v>
      </c>
      <c r="Z47" s="7">
        <f>+[12]Resumen!Z47*1000</f>
        <v>0</v>
      </c>
      <c r="AA47" s="7">
        <f>+[12]Resumen!AA47*1000</f>
        <v>0</v>
      </c>
      <c r="AB47" s="7">
        <f>+[12]Resumen!AB47*1000</f>
        <v>0</v>
      </c>
      <c r="AC47" s="7">
        <f>+[12]Resumen!AC47*1000</f>
        <v>0</v>
      </c>
      <c r="AD47" s="60">
        <f t="shared" ref="AD47" si="6">SUM(F47:AC47)*E47+SUM(F48:AC48)*E48+SUM(F49:AC49)*E49+SUM(F50:AC50)*E50</f>
        <v>81165250.882808879</v>
      </c>
      <c r="AF47" s="8"/>
      <c r="AG47" s="8">
        <f>130*3000</f>
        <v>390000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+[12]Resumen!E48</f>
        <v>4</v>
      </c>
      <c r="F48" s="7">
        <f>+[12]Resumen!F48*1000</f>
        <v>0</v>
      </c>
      <c r="G48" s="7">
        <f>+[12]Resumen!G48*1000</f>
        <v>0</v>
      </c>
      <c r="H48" s="7">
        <f>+[12]Resumen!H48*1000</f>
        <v>0</v>
      </c>
      <c r="I48" s="7">
        <f>+[12]Resumen!I48*1000</f>
        <v>0</v>
      </c>
      <c r="J48" s="7">
        <f>+[12]Resumen!J48*1000</f>
        <v>0</v>
      </c>
      <c r="K48" s="7">
        <f>+[12]Resumen!K48*1000</f>
        <v>0</v>
      </c>
      <c r="L48" s="7">
        <f>+[12]Resumen!L48*1000</f>
        <v>0</v>
      </c>
      <c r="M48" s="7">
        <f>+[12]Resumen!M48*1000</f>
        <v>223722.28866517247</v>
      </c>
      <c r="N48" s="7">
        <f>+[12]Resumen!N48*1000</f>
        <v>247215.46700762294</v>
      </c>
      <c r="O48" s="7">
        <f>+[12]Resumen!O48*1000</f>
        <v>261651.63894556082</v>
      </c>
      <c r="P48" s="7">
        <f>+[12]Resumen!P48*1000</f>
        <v>274898.28555995674</v>
      </c>
      <c r="Q48" s="7">
        <f>+[12]Resumen!Q48*1000</f>
        <v>284324.33488781226</v>
      </c>
      <c r="R48" s="7">
        <f>+[12]Resumen!R48*1000</f>
        <v>285348.1138024361</v>
      </c>
      <c r="S48" s="7">
        <f>+[12]Resumen!S48*1000</f>
        <v>278097.99015814951</v>
      </c>
      <c r="T48" s="7">
        <f>+[12]Resumen!T48*1000</f>
        <v>270791.24819898448</v>
      </c>
      <c r="U48" s="7">
        <f>+[12]Resumen!U48*1000</f>
        <v>267018.30949245556</v>
      </c>
      <c r="V48" s="7">
        <f>+[12]Resumen!V48*1000</f>
        <v>263539.20275020023</v>
      </c>
      <c r="W48" s="7">
        <f>+[12]Resumen!W48*1000</f>
        <v>0</v>
      </c>
      <c r="X48" s="7">
        <f>+[12]Resumen!X48*1000</f>
        <v>0</v>
      </c>
      <c r="Y48" s="7">
        <f>+[12]Resumen!Y48*1000</f>
        <v>0</v>
      </c>
      <c r="Z48" s="7">
        <f>+[12]Resumen!Z48*1000</f>
        <v>0</v>
      </c>
      <c r="AA48" s="7">
        <f>+[12]Resumen!AA48*1000</f>
        <v>0</v>
      </c>
      <c r="AB48" s="7">
        <f>+[12]Resumen!AB48*1000</f>
        <v>0</v>
      </c>
      <c r="AC48" s="7">
        <f>+[12]Resumen!AC48*1000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+[12]Resumen!E49</f>
        <v>5</v>
      </c>
      <c r="F49" s="7">
        <f>+[12]Resumen!F49*1000</f>
        <v>0</v>
      </c>
      <c r="G49" s="7">
        <f>+[12]Resumen!G49*1000</f>
        <v>0</v>
      </c>
      <c r="H49" s="7">
        <f>+[12]Resumen!H49*1000</f>
        <v>0</v>
      </c>
      <c r="I49" s="7">
        <f>+[12]Resumen!I49*1000</f>
        <v>0</v>
      </c>
      <c r="J49" s="7">
        <f>+[12]Resumen!J49*1000</f>
        <v>0</v>
      </c>
      <c r="K49" s="7">
        <f>+[12]Resumen!K49*1000</f>
        <v>0</v>
      </c>
      <c r="L49" s="7">
        <f>+[12]Resumen!L49*1000</f>
        <v>0</v>
      </c>
      <c r="M49" s="7">
        <f>+[12]Resumen!M49*1000</f>
        <v>181650.63319686681</v>
      </c>
      <c r="N49" s="7">
        <f>+[12]Resumen!N49*1000</f>
        <v>200930.684055483</v>
      </c>
      <c r="O49" s="7">
        <f>+[12]Resumen!O49*1000</f>
        <v>217206.04026992101</v>
      </c>
      <c r="P49" s="7">
        <f>+[12]Resumen!P49*1000</f>
        <v>229819.62928207571</v>
      </c>
      <c r="Q49" s="7">
        <f>+[12]Resumen!Q49*1000</f>
        <v>242430.63200139801</v>
      </c>
      <c r="R49" s="7">
        <f>+[12]Resumen!R49*1000</f>
        <v>250800.61175600821</v>
      </c>
      <c r="S49" s="7">
        <f>+[12]Resumen!S49*1000</f>
        <v>251729.01922234663</v>
      </c>
      <c r="T49" s="7">
        <f>+[12]Resumen!T49*1000</f>
        <v>246501.14204773182</v>
      </c>
      <c r="U49" s="7">
        <f>+[12]Resumen!U49*1000</f>
        <v>241716.19846498154</v>
      </c>
      <c r="V49" s="7">
        <f>+[12]Resumen!V49*1000</f>
        <v>237224.21389124164</v>
      </c>
      <c r="W49" s="7">
        <f>+[12]Resumen!W49*1000</f>
        <v>0</v>
      </c>
      <c r="X49" s="7">
        <f>+[12]Resumen!X49*1000</f>
        <v>0</v>
      </c>
      <c r="Y49" s="7">
        <f>+[12]Resumen!Y49*1000</f>
        <v>0</v>
      </c>
      <c r="Z49" s="7">
        <f>+[12]Resumen!Z49*1000</f>
        <v>0</v>
      </c>
      <c r="AA49" s="7">
        <f>+[12]Resumen!AA49*1000</f>
        <v>0</v>
      </c>
      <c r="AB49" s="7">
        <f>+[12]Resumen!AB49*1000</f>
        <v>0</v>
      </c>
      <c r="AC49" s="7">
        <f>+[12]Resumen!AC49*1000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+[12]Resumen!E50</f>
        <v>2</v>
      </c>
      <c r="F50" s="7">
        <f>+[12]Resumen!F50*1000</f>
        <v>0</v>
      </c>
      <c r="G50" s="7">
        <f>+[12]Resumen!G50*1000</f>
        <v>0</v>
      </c>
      <c r="H50" s="7">
        <f>+[12]Resumen!H50*1000</f>
        <v>0</v>
      </c>
      <c r="I50" s="7">
        <f>+[12]Resumen!I50*1000</f>
        <v>0</v>
      </c>
      <c r="J50" s="7">
        <f>+[12]Resumen!J50*1000</f>
        <v>0</v>
      </c>
      <c r="K50" s="7">
        <f>+[12]Resumen!K50*1000</f>
        <v>0</v>
      </c>
      <c r="L50" s="7">
        <f>+[12]Resumen!L50*1000</f>
        <v>0</v>
      </c>
      <c r="M50" s="7">
        <f>+[12]Resumen!M50*1000</f>
        <v>177660.78247964149</v>
      </c>
      <c r="N50" s="7">
        <f>+[12]Resumen!N50*1000</f>
        <v>197273.28597257743</v>
      </c>
      <c r="O50" s="7">
        <f>+[12]Resumen!O50*1000</f>
        <v>213113.75628720535</v>
      </c>
      <c r="P50" s="7">
        <f>+[12]Resumen!P50*1000</f>
        <v>229739.71913099187</v>
      </c>
      <c r="Q50" s="7">
        <f>+[12]Resumen!Q50*1000</f>
        <v>245703.69090007755</v>
      </c>
      <c r="R50" s="7">
        <f>+[12]Resumen!R50*1000</f>
        <v>256141.70167354427</v>
      </c>
      <c r="S50" s="7">
        <f>+[12]Resumen!S50*1000</f>
        <v>255636.52984585211</v>
      </c>
      <c r="T50" s="7">
        <f>+[12]Resumen!T50*1000</f>
        <v>248274.03601248062</v>
      </c>
      <c r="U50" s="7">
        <f>+[12]Resumen!U50*1000</f>
        <v>243025.08847736762</v>
      </c>
      <c r="V50" s="7">
        <f>+[12]Resumen!V50*1000</f>
        <v>240689.96137782515</v>
      </c>
      <c r="W50" s="7">
        <f>+[12]Resumen!W50*1000</f>
        <v>0</v>
      </c>
      <c r="X50" s="7">
        <f>+[12]Resumen!X50*1000</f>
        <v>0</v>
      </c>
      <c r="Y50" s="7">
        <f>+[12]Resumen!Y50*1000</f>
        <v>0</v>
      </c>
      <c r="Z50" s="7">
        <f>+[12]Resumen!Z50*1000</f>
        <v>0</v>
      </c>
      <c r="AA50" s="7">
        <f>+[12]Resumen!AA50*1000</f>
        <v>0</v>
      </c>
      <c r="AB50" s="7">
        <f>+[12]Resumen!AB50*1000</f>
        <v>0</v>
      </c>
      <c r="AC50" s="7">
        <f>+[12]Resumen!AC50*1000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+[12]Resumen!E51</f>
        <v>21</v>
      </c>
      <c r="F51" s="7">
        <f>+[12]Resumen!F51*1000</f>
        <v>0</v>
      </c>
      <c r="G51" s="7">
        <f>+[12]Resumen!G51*1000</f>
        <v>0</v>
      </c>
      <c r="H51" s="7">
        <f>+[12]Resumen!H51*1000</f>
        <v>0</v>
      </c>
      <c r="I51" s="7">
        <f>+[12]Resumen!I51*1000</f>
        <v>0</v>
      </c>
      <c r="J51" s="7">
        <f>+[12]Resumen!J51*1000</f>
        <v>0</v>
      </c>
      <c r="K51" s="7">
        <f>+[12]Resumen!K51*1000</f>
        <v>0</v>
      </c>
      <c r="L51" s="7">
        <f>+[12]Resumen!L51*1000</f>
        <v>0</v>
      </c>
      <c r="M51" s="7">
        <f>+[12]Resumen!M51*1000</f>
        <v>224362.30167962381</v>
      </c>
      <c r="N51" s="7">
        <f>+[12]Resumen!N51*1000</f>
        <v>244679.33001527819</v>
      </c>
      <c r="O51" s="7">
        <f>+[12]Resumen!O51*1000</f>
        <v>257032.8500194638</v>
      </c>
      <c r="P51" s="7">
        <f>+[12]Resumen!P51*1000</f>
        <v>271075.9119614627</v>
      </c>
      <c r="Q51" s="7">
        <f>+[12]Resumen!Q51*1000</f>
        <v>284411.51315149915</v>
      </c>
      <c r="R51" s="7">
        <f>+[12]Resumen!R51*1000</f>
        <v>289804.59819546668</v>
      </c>
      <c r="S51" s="7">
        <f>+[12]Resumen!S51*1000</f>
        <v>286191.63179824082</v>
      </c>
      <c r="T51" s="7">
        <f>+[12]Resumen!T51*1000</f>
        <v>286277.01637772995</v>
      </c>
      <c r="U51" s="7">
        <f>+[12]Resumen!U51*1000</f>
        <v>285242.14094222127</v>
      </c>
      <c r="V51" s="7">
        <f>+[12]Resumen!V51*1000</f>
        <v>279244.13698830712</v>
      </c>
      <c r="W51" s="7">
        <f>+[12]Resumen!W51*1000</f>
        <v>0</v>
      </c>
      <c r="X51" s="7">
        <f>+[12]Resumen!X51*1000</f>
        <v>0</v>
      </c>
      <c r="Y51" s="7">
        <f>+[12]Resumen!Y51*1000</f>
        <v>0</v>
      </c>
      <c r="Z51" s="7">
        <f>+[12]Resumen!Z51*1000</f>
        <v>0</v>
      </c>
      <c r="AA51" s="7">
        <f>+[12]Resumen!AA51*1000</f>
        <v>0</v>
      </c>
      <c r="AB51" s="7">
        <f>+[12]Resumen!AB51*1000</f>
        <v>0</v>
      </c>
      <c r="AC51" s="7">
        <f>+[12]Resumen!AC51*1000</f>
        <v>0</v>
      </c>
      <c r="AD51" s="60">
        <f t="shared" ref="AD51" si="7">SUM(F51:AC51)*E51+SUM(F52:AC52)*E52+SUM(F53:AC53)*E53+SUM(F54:AC54)*E54</f>
        <v>80005048.754134908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+[12]Resumen!E52</f>
        <v>4</v>
      </c>
      <c r="F52" s="7">
        <f>+[12]Resumen!F52*1000</f>
        <v>0</v>
      </c>
      <c r="G52" s="7">
        <f>+[12]Resumen!G52*1000</f>
        <v>0</v>
      </c>
      <c r="H52" s="7">
        <f>+[12]Resumen!H52*1000</f>
        <v>0</v>
      </c>
      <c r="I52" s="7">
        <f>+[12]Resumen!I52*1000</f>
        <v>0</v>
      </c>
      <c r="J52" s="7">
        <f>+[12]Resumen!J52*1000</f>
        <v>0</v>
      </c>
      <c r="K52" s="7">
        <f>+[12]Resumen!K52*1000</f>
        <v>0</v>
      </c>
      <c r="L52" s="7">
        <f>+[12]Resumen!L52*1000</f>
        <v>0</v>
      </c>
      <c r="M52" s="7">
        <f>+[12]Resumen!M52*1000</f>
        <v>210968.18208551631</v>
      </c>
      <c r="N52" s="7">
        <f>+[12]Resumen!N52*1000</f>
        <v>233408.27236610584</v>
      </c>
      <c r="O52" s="7">
        <f>+[12]Resumen!O52*1000</f>
        <v>248454.57271567389</v>
      </c>
      <c r="P52" s="7">
        <f>+[12]Resumen!P52*1000</f>
        <v>260586.94188161576</v>
      </c>
      <c r="Q52" s="7">
        <f>+[12]Resumen!Q52*1000</f>
        <v>269305.513085265</v>
      </c>
      <c r="R52" s="7">
        <f>+[12]Resumen!R52*1000</f>
        <v>271009.86268959742</v>
      </c>
      <c r="S52" s="7">
        <f>+[12]Resumen!S52*1000</f>
        <v>265660.35591982078</v>
      </c>
      <c r="T52" s="7">
        <f>+[12]Resumen!T52*1000</f>
        <v>259643.45747897532</v>
      </c>
      <c r="U52" s="7">
        <f>+[12]Resumen!U52*1000</f>
        <v>255359.45341096137</v>
      </c>
      <c r="V52" s="7">
        <f>+[12]Resumen!V52*1000</f>
        <v>251015.66710812206</v>
      </c>
      <c r="W52" s="7">
        <f>+[12]Resumen!W52*1000</f>
        <v>0</v>
      </c>
      <c r="X52" s="7">
        <f>+[12]Resumen!X52*1000</f>
        <v>0</v>
      </c>
      <c r="Y52" s="7">
        <f>+[12]Resumen!Y52*1000</f>
        <v>0</v>
      </c>
      <c r="Z52" s="7">
        <f>+[12]Resumen!Z52*1000</f>
        <v>0</v>
      </c>
      <c r="AA52" s="7">
        <f>+[12]Resumen!AA52*1000</f>
        <v>0</v>
      </c>
      <c r="AB52" s="7">
        <f>+[12]Resumen!AB52*1000</f>
        <v>0</v>
      </c>
      <c r="AC52" s="7">
        <f>+[12]Resumen!AC52*1000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+[12]Resumen!E53</f>
        <v>4</v>
      </c>
      <c r="F53" s="7">
        <f>+[12]Resumen!F53*1000</f>
        <v>0</v>
      </c>
      <c r="G53" s="7">
        <f>+[12]Resumen!G53*1000</f>
        <v>0</v>
      </c>
      <c r="H53" s="7">
        <f>+[12]Resumen!H53*1000</f>
        <v>0</v>
      </c>
      <c r="I53" s="7">
        <f>+[12]Resumen!I53*1000</f>
        <v>0</v>
      </c>
      <c r="J53" s="7">
        <f>+[12]Resumen!J53*1000</f>
        <v>0</v>
      </c>
      <c r="K53" s="7">
        <f>+[12]Resumen!K53*1000</f>
        <v>0</v>
      </c>
      <c r="L53" s="7">
        <f>+[12]Resumen!L53*1000</f>
        <v>0</v>
      </c>
      <c r="M53" s="7">
        <f>+[12]Resumen!M53*1000</f>
        <v>176517.66276300902</v>
      </c>
      <c r="N53" s="7">
        <f>+[12]Resumen!N53*1000</f>
        <v>195149.27941187224</v>
      </c>
      <c r="O53" s="7">
        <f>+[12]Resumen!O53*1000</f>
        <v>210742.98134287918</v>
      </c>
      <c r="P53" s="7">
        <f>+[12]Resumen!P53*1000</f>
        <v>223521.52198378689</v>
      </c>
      <c r="Q53" s="7">
        <f>+[12]Resumen!Q53*1000</f>
        <v>235346.47626214114</v>
      </c>
      <c r="R53" s="7">
        <f>+[12]Resumen!R53*1000</f>
        <v>242589.33396535521</v>
      </c>
      <c r="S53" s="7">
        <f>+[12]Resumen!S53*1000</f>
        <v>243120.15591138217</v>
      </c>
      <c r="T53" s="7">
        <f>+[12]Resumen!T53*1000</f>
        <v>238553.4207430403</v>
      </c>
      <c r="U53" s="7">
        <f>+[12]Resumen!U53*1000</f>
        <v>236035.52026388346</v>
      </c>
      <c r="V53" s="7">
        <f>+[12]Resumen!V53*1000</f>
        <v>232730.29231229061</v>
      </c>
      <c r="W53" s="7">
        <f>+[12]Resumen!W53*1000</f>
        <v>0</v>
      </c>
      <c r="X53" s="7">
        <f>+[12]Resumen!X53*1000</f>
        <v>0</v>
      </c>
      <c r="Y53" s="7">
        <f>+[12]Resumen!Y53*1000</f>
        <v>0</v>
      </c>
      <c r="Z53" s="7">
        <f>+[12]Resumen!Z53*1000</f>
        <v>0</v>
      </c>
      <c r="AA53" s="7">
        <f>+[12]Resumen!AA53*1000</f>
        <v>0</v>
      </c>
      <c r="AB53" s="7">
        <f>+[12]Resumen!AB53*1000</f>
        <v>0</v>
      </c>
      <c r="AC53" s="7">
        <f>+[12]Resumen!AC53*1000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+[12]Resumen!E54</f>
        <v>2</v>
      </c>
      <c r="F54" s="7">
        <f>+[12]Resumen!F54*1000</f>
        <v>0</v>
      </c>
      <c r="G54" s="7">
        <f>+[12]Resumen!G54*1000</f>
        <v>0</v>
      </c>
      <c r="H54" s="7">
        <f>+[12]Resumen!H54*1000</f>
        <v>0</v>
      </c>
      <c r="I54" s="7">
        <f>+[12]Resumen!I54*1000</f>
        <v>0</v>
      </c>
      <c r="J54" s="7">
        <f>+[12]Resumen!J54*1000</f>
        <v>0</v>
      </c>
      <c r="K54" s="7">
        <f>+[12]Resumen!K54*1000</f>
        <v>0</v>
      </c>
      <c r="L54" s="7">
        <f>+[12]Resumen!L54*1000</f>
        <v>0</v>
      </c>
      <c r="M54" s="7">
        <f>+[12]Resumen!M54*1000</f>
        <v>159597.60954281859</v>
      </c>
      <c r="N54" s="7">
        <f>+[12]Resumen!N54*1000</f>
        <v>173601.34289582644</v>
      </c>
      <c r="O54" s="7">
        <f>+[12]Resumen!O54*1000</f>
        <v>187662.72386917239</v>
      </c>
      <c r="P54" s="7">
        <f>+[12]Resumen!P54*1000</f>
        <v>201179.05720014774</v>
      </c>
      <c r="Q54" s="7">
        <f>+[12]Resumen!Q54*1000</f>
        <v>214044.93028340826</v>
      </c>
      <c r="R54" s="7">
        <f>+[12]Resumen!R54*1000</f>
        <v>223744.68148774852</v>
      </c>
      <c r="S54" s="7">
        <f>+[12]Resumen!S54*1000</f>
        <v>225132.16353220146</v>
      </c>
      <c r="T54" s="7">
        <f>+[12]Resumen!T54*1000</f>
        <v>221426.93966143567</v>
      </c>
      <c r="U54" s="7">
        <f>+[12]Resumen!U54*1000</f>
        <v>220460.12216351012</v>
      </c>
      <c r="V54" s="7">
        <f>+[12]Resumen!V54*1000</f>
        <v>218861.93217101594</v>
      </c>
      <c r="W54" s="7">
        <f>+[12]Resumen!W54*1000</f>
        <v>0</v>
      </c>
      <c r="X54" s="7">
        <f>+[12]Resumen!X54*1000</f>
        <v>0</v>
      </c>
      <c r="Y54" s="7">
        <f>+[12]Resumen!Y54*1000</f>
        <v>0</v>
      </c>
      <c r="Z54" s="7">
        <f>+[12]Resumen!Z54*1000</f>
        <v>0</v>
      </c>
      <c r="AA54" s="7">
        <f>+[12]Resumen!AA54*1000</f>
        <v>0</v>
      </c>
      <c r="AB54" s="7">
        <f>+[12]Resumen!AB54*1000</f>
        <v>0</v>
      </c>
      <c r="AC54" s="7">
        <f>+[12]Resumen!AC54*1000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67" t="s">
        <v>46</v>
      </c>
      <c r="AA55" s="68"/>
      <c r="AB55" s="68"/>
      <c r="AC55" s="69"/>
      <c r="AD55" s="17">
        <f>SUM(AD7:AD54)</f>
        <v>959608236.40288532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15:AD18"/>
    <mergeCell ref="Z55:AC55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853B-895A-4E85-A116-6F46B002EDCD}">
  <dimension ref="C1:BD57"/>
  <sheetViews>
    <sheetView showGridLines="0" topLeftCell="F39" zoomScale="66" zoomScaleNormal="66" workbookViewId="0">
      <selection activeCell="AF51" sqref="AF51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+[13]Resumen!E7</f>
        <v>19</v>
      </c>
      <c r="F7" s="7">
        <f>+[13]Resumen!F7*1000</f>
        <v>0</v>
      </c>
      <c r="G7" s="7">
        <f>+[13]Resumen!G7*1000</f>
        <v>0</v>
      </c>
      <c r="H7" s="7">
        <f>+[13]Resumen!H7*1000</f>
        <v>0</v>
      </c>
      <c r="I7" s="7">
        <f>+[13]Resumen!I7*1000</f>
        <v>0</v>
      </c>
      <c r="J7" s="7">
        <f>+[13]Resumen!J7*1000</f>
        <v>0</v>
      </c>
      <c r="K7" s="7">
        <f>+[13]Resumen!K7*1000</f>
        <v>0</v>
      </c>
      <c r="L7" s="7">
        <f>+[13]Resumen!L7*1000</f>
        <v>0</v>
      </c>
      <c r="M7" s="7">
        <f>+[13]Resumen!M7*1000</f>
        <v>228746.40452313478</v>
      </c>
      <c r="N7" s="7">
        <f>+[13]Resumen!N7*1000</f>
        <v>246845.45406614846</v>
      </c>
      <c r="O7" s="7">
        <f>+[13]Resumen!O7*1000</f>
        <v>258794.20898884951</v>
      </c>
      <c r="P7" s="7">
        <f>+[13]Resumen!P7*1000</f>
        <v>274503.6380925859</v>
      </c>
      <c r="Q7" s="7">
        <f>+[13]Resumen!Q7*1000</f>
        <v>288093.6966434457</v>
      </c>
      <c r="R7" s="7">
        <f>+[13]Resumen!R7*1000</f>
        <v>292740.30480654439</v>
      </c>
      <c r="S7" s="7">
        <f>+[13]Resumen!S7*1000</f>
        <v>290021.1042020148</v>
      </c>
      <c r="T7" s="7">
        <f>+[13]Resumen!T7*1000</f>
        <v>291914.5551575679</v>
      </c>
      <c r="U7" s="7">
        <f>+[13]Resumen!U7*1000</f>
        <v>291564.87610802415</v>
      </c>
      <c r="V7" s="7">
        <f>+[13]Resumen!V7*1000</f>
        <v>285125.55088509462</v>
      </c>
      <c r="W7" s="7">
        <f>+[13]Resumen!W7*1000</f>
        <v>0</v>
      </c>
      <c r="X7" s="7">
        <f>+[13]Resumen!X7*1000</f>
        <v>0</v>
      </c>
      <c r="Y7" s="7">
        <f>+[13]Resumen!Y7*1000</f>
        <v>0</v>
      </c>
      <c r="Z7" s="7">
        <f>+[13]Resumen!Z7*1000</f>
        <v>0</v>
      </c>
      <c r="AA7" s="7">
        <f>+[13]Resumen!AA7*1000</f>
        <v>0</v>
      </c>
      <c r="AB7" s="7">
        <f>+[13]Resumen!AB7*1000</f>
        <v>0</v>
      </c>
      <c r="AC7" s="7">
        <f>+[13]Resumen!AC7*1000</f>
        <v>0</v>
      </c>
      <c r="AD7" s="60">
        <f>SUM(F7:AC7)*E7+SUM(F8:AC8)*E8+SUM(F9:AC9)*E9+SUM(F10:AC10)*E10</f>
        <v>79928277.221215531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+[13]Resumen!E8</f>
        <v>5</v>
      </c>
      <c r="F8" s="7">
        <f>+[13]Resumen!F8*1000</f>
        <v>0</v>
      </c>
      <c r="G8" s="7">
        <f>+[13]Resumen!G8*1000</f>
        <v>0</v>
      </c>
      <c r="H8" s="7">
        <f>+[13]Resumen!H8*1000</f>
        <v>0</v>
      </c>
      <c r="I8" s="7">
        <f>+[13]Resumen!I8*1000</f>
        <v>0</v>
      </c>
      <c r="J8" s="7">
        <f>+[13]Resumen!J8*1000</f>
        <v>0</v>
      </c>
      <c r="K8" s="7">
        <f>+[13]Resumen!K8*1000</f>
        <v>0</v>
      </c>
      <c r="L8" s="7">
        <f>+[13]Resumen!L8*1000</f>
        <v>0</v>
      </c>
      <c r="M8" s="7">
        <f>+[13]Resumen!M8*1000</f>
        <v>208501.70795462414</v>
      </c>
      <c r="N8" s="7">
        <f>+[13]Resumen!N8*1000</f>
        <v>229568.0937058203</v>
      </c>
      <c r="O8" s="7">
        <f>+[13]Resumen!O8*1000</f>
        <v>245100.12112207836</v>
      </c>
      <c r="P8" s="7">
        <f>+[13]Resumen!P8*1000</f>
        <v>258510.56549756436</v>
      </c>
      <c r="Q8" s="7">
        <f>+[13]Resumen!Q8*1000</f>
        <v>269638.02117797511</v>
      </c>
      <c r="R8" s="7">
        <f>+[13]Resumen!R8*1000</f>
        <v>272068.5917164897</v>
      </c>
      <c r="S8" s="7">
        <f>+[13]Resumen!S8*1000</f>
        <v>266959.90206564206</v>
      </c>
      <c r="T8" s="7">
        <f>+[13]Resumen!T8*1000</f>
        <v>260834.94297482155</v>
      </c>
      <c r="U8" s="7">
        <f>+[13]Resumen!U8*1000</f>
        <v>257666.03725161331</v>
      </c>
      <c r="V8" s="7">
        <f>+[13]Resumen!V8*1000</f>
        <v>254240.03153414134</v>
      </c>
      <c r="W8" s="7">
        <f>+[13]Resumen!W8*1000</f>
        <v>0</v>
      </c>
      <c r="X8" s="7">
        <f>+[13]Resumen!X8*1000</f>
        <v>0</v>
      </c>
      <c r="Y8" s="7">
        <f>+[13]Resumen!Y8*1000</f>
        <v>0</v>
      </c>
      <c r="Z8" s="7">
        <f>+[13]Resumen!Z8*1000</f>
        <v>0</v>
      </c>
      <c r="AA8" s="7">
        <f>+[13]Resumen!AA8*1000</f>
        <v>0</v>
      </c>
      <c r="AB8" s="7">
        <f>+[13]Resumen!AB8*1000</f>
        <v>0</v>
      </c>
      <c r="AC8" s="7">
        <f>+[13]Resumen!AC8*1000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+[13]Resumen!E9</f>
        <v>5</v>
      </c>
      <c r="F9" s="7">
        <f>+[13]Resumen!F9*1000</f>
        <v>0</v>
      </c>
      <c r="G9" s="7">
        <f>+[13]Resumen!G9*1000</f>
        <v>0</v>
      </c>
      <c r="H9" s="7">
        <f>+[13]Resumen!H9*1000</f>
        <v>0</v>
      </c>
      <c r="I9" s="7">
        <f>+[13]Resumen!I9*1000</f>
        <v>0</v>
      </c>
      <c r="J9" s="7">
        <f>+[13]Resumen!J9*1000</f>
        <v>0</v>
      </c>
      <c r="K9" s="7">
        <f>+[13]Resumen!K9*1000</f>
        <v>0</v>
      </c>
      <c r="L9" s="7">
        <f>+[13]Resumen!L9*1000</f>
        <v>0</v>
      </c>
      <c r="M9" s="7">
        <f>+[13]Resumen!M9*1000</f>
        <v>175123.47131464491</v>
      </c>
      <c r="N9" s="7">
        <f>+[13]Resumen!N9*1000</f>
        <v>191664.43347680854</v>
      </c>
      <c r="O9" s="7">
        <f>+[13]Resumen!O9*1000</f>
        <v>206858.94628846523</v>
      </c>
      <c r="P9" s="7">
        <f>+[13]Resumen!P9*1000</f>
        <v>218836.31732615869</v>
      </c>
      <c r="Q9" s="7">
        <f>+[13]Resumen!Q9*1000</f>
        <v>232490.3345788235</v>
      </c>
      <c r="R9" s="7">
        <f>+[13]Resumen!R9*1000</f>
        <v>241338.90017679296</v>
      </c>
      <c r="S9" s="7">
        <f>+[13]Resumen!S9*1000</f>
        <v>243183.07453412306</v>
      </c>
      <c r="T9" s="7">
        <f>+[13]Resumen!T9*1000</f>
        <v>239117.13212379001</v>
      </c>
      <c r="U9" s="7">
        <f>+[13]Resumen!U9*1000</f>
        <v>235510.07114687443</v>
      </c>
      <c r="V9" s="7">
        <f>+[13]Resumen!V9*1000</f>
        <v>232106.6501837144</v>
      </c>
      <c r="W9" s="7">
        <f>+[13]Resumen!W9*1000</f>
        <v>0</v>
      </c>
      <c r="X9" s="7">
        <f>+[13]Resumen!X9*1000</f>
        <v>0</v>
      </c>
      <c r="Y9" s="7">
        <f>+[13]Resumen!Y9*1000</f>
        <v>0</v>
      </c>
      <c r="Z9" s="7">
        <f>+[13]Resumen!Z9*1000</f>
        <v>0</v>
      </c>
      <c r="AA9" s="7">
        <f>+[13]Resumen!AA9*1000</f>
        <v>0</v>
      </c>
      <c r="AB9" s="7">
        <f>+[13]Resumen!AB9*1000</f>
        <v>0</v>
      </c>
      <c r="AC9" s="7">
        <f>+[13]Resumen!AC9*1000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+[13]Resumen!E10</f>
        <v>2</v>
      </c>
      <c r="F10" s="7">
        <f>+[13]Resumen!F10*1000</f>
        <v>0</v>
      </c>
      <c r="G10" s="7">
        <f>+[13]Resumen!G10*1000</f>
        <v>0</v>
      </c>
      <c r="H10" s="7">
        <f>+[13]Resumen!H10*1000</f>
        <v>0</v>
      </c>
      <c r="I10" s="7">
        <f>+[13]Resumen!I10*1000</f>
        <v>0</v>
      </c>
      <c r="J10" s="7">
        <f>+[13]Resumen!J10*1000</f>
        <v>0</v>
      </c>
      <c r="K10" s="7">
        <f>+[13]Resumen!K10*1000</f>
        <v>0</v>
      </c>
      <c r="L10" s="7">
        <f>+[13]Resumen!L10*1000</f>
        <v>0</v>
      </c>
      <c r="M10" s="7">
        <f>+[13]Resumen!M10*1000</f>
        <v>158020.75550889093</v>
      </c>
      <c r="N10" s="7">
        <f>+[13]Resumen!N10*1000</f>
        <v>169942.9097150559</v>
      </c>
      <c r="O10" s="7">
        <f>+[13]Resumen!O10*1000</f>
        <v>182536.12802999024</v>
      </c>
      <c r="P10" s="7">
        <f>+[13]Resumen!P10*1000</f>
        <v>195968.39847141033</v>
      </c>
      <c r="Q10" s="7">
        <f>+[13]Resumen!Q10*1000</f>
        <v>210262.05360391588</v>
      </c>
      <c r="R10" s="7">
        <f>+[13]Resumen!R10*1000</f>
        <v>220702.49788493157</v>
      </c>
      <c r="S10" s="7">
        <f>+[13]Resumen!S10*1000</f>
        <v>222188.18350672055</v>
      </c>
      <c r="T10" s="7">
        <f>+[13]Resumen!T10*1000</f>
        <v>218755.53396783842</v>
      </c>
      <c r="U10" s="7">
        <f>+[13]Resumen!U10*1000</f>
        <v>215299.75926811816</v>
      </c>
      <c r="V10" s="7">
        <f>+[13]Resumen!V10*1000</f>
        <v>212845.98727607931</v>
      </c>
      <c r="W10" s="7">
        <f>+[13]Resumen!W10*1000</f>
        <v>0</v>
      </c>
      <c r="X10" s="7">
        <f>+[13]Resumen!X10*1000</f>
        <v>0</v>
      </c>
      <c r="Y10" s="7">
        <f>+[13]Resumen!Y10*1000</f>
        <v>0</v>
      </c>
      <c r="Z10" s="7">
        <f>+[13]Resumen!Z10*1000</f>
        <v>0</v>
      </c>
      <c r="AA10" s="7">
        <f>+[13]Resumen!AA10*1000</f>
        <v>0</v>
      </c>
      <c r="AB10" s="7">
        <f>+[13]Resumen!AB10*1000</f>
        <v>0</v>
      </c>
      <c r="AC10" s="7">
        <f>+[13]Resumen!AC10*1000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+[13]Resumen!E11</f>
        <v>20</v>
      </c>
      <c r="F11" s="7">
        <f>+[13]Resumen!F11*1000</f>
        <v>0</v>
      </c>
      <c r="G11" s="7">
        <f>+[13]Resumen!G11*1000</f>
        <v>0</v>
      </c>
      <c r="H11" s="7">
        <f>+[13]Resumen!H11*1000</f>
        <v>0</v>
      </c>
      <c r="I11" s="7">
        <f>+[13]Resumen!I11*1000</f>
        <v>0</v>
      </c>
      <c r="J11" s="7">
        <f>+[13]Resumen!J11*1000</f>
        <v>0</v>
      </c>
      <c r="K11" s="7">
        <f>+[13]Resumen!K11*1000</f>
        <v>0</v>
      </c>
      <c r="L11" s="7">
        <f>+[13]Resumen!L11*1000</f>
        <v>0</v>
      </c>
      <c r="M11" s="7">
        <f>+[13]Resumen!M11*1000</f>
        <v>257233.8879276911</v>
      </c>
      <c r="N11" s="7">
        <f>+[13]Resumen!N11*1000</f>
        <v>273006.7946654621</v>
      </c>
      <c r="O11" s="7">
        <f>+[13]Resumen!O11*1000</f>
        <v>283497.47768024157</v>
      </c>
      <c r="P11" s="7">
        <f>+[13]Resumen!P11*1000</f>
        <v>299632.01174988819</v>
      </c>
      <c r="Q11" s="7">
        <f>+[13]Resumen!Q11*1000</f>
        <v>312702.21617648791</v>
      </c>
      <c r="R11" s="7">
        <f>+[13]Resumen!R11*1000</f>
        <v>313460.01023460686</v>
      </c>
      <c r="S11" s="7">
        <f>+[13]Resumen!S11*1000</f>
        <v>309703.72500226059</v>
      </c>
      <c r="T11" s="7">
        <f>+[13]Resumen!T11*1000</f>
        <v>312031.69883196859</v>
      </c>
      <c r="U11" s="7">
        <f>+[13]Resumen!U11*1000</f>
        <v>312376.09461300325</v>
      </c>
      <c r="V11" s="7">
        <f>+[13]Resumen!V11*1000</f>
        <v>306163.3819792954</v>
      </c>
      <c r="W11" s="7">
        <f>+[13]Resumen!W11*1000</f>
        <v>0</v>
      </c>
      <c r="X11" s="7">
        <f>+[13]Resumen!X11*1000</f>
        <v>0</v>
      </c>
      <c r="Y11" s="7">
        <f>+[13]Resumen!Y11*1000</f>
        <v>0</v>
      </c>
      <c r="Z11" s="7">
        <f>+[13]Resumen!Z11*1000</f>
        <v>0</v>
      </c>
      <c r="AA11" s="7">
        <f>+[13]Resumen!AA11*1000</f>
        <v>0</v>
      </c>
      <c r="AB11" s="7">
        <f>+[13]Resumen!AB11*1000</f>
        <v>0</v>
      </c>
      <c r="AC11" s="7">
        <f>+[13]Resumen!AC11*1000</f>
        <v>0</v>
      </c>
      <c r="AD11" s="60">
        <f>SUM(F11:AC11)*E11+SUM(F12:AC12)*E12+SUM(F13:AC13)*E13+SUM(F14:AC14)*E14</f>
        <v>80669704.224230915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+[13]Resumen!E12</f>
        <v>4</v>
      </c>
      <c r="F12" s="7">
        <f>+[13]Resumen!F12*1000</f>
        <v>0</v>
      </c>
      <c r="G12" s="7">
        <f>+[13]Resumen!G12*1000</f>
        <v>0</v>
      </c>
      <c r="H12" s="7">
        <f>+[13]Resumen!H12*1000</f>
        <v>0</v>
      </c>
      <c r="I12" s="7">
        <f>+[13]Resumen!I12*1000</f>
        <v>0</v>
      </c>
      <c r="J12" s="7">
        <f>+[13]Resumen!J12*1000</f>
        <v>0</v>
      </c>
      <c r="K12" s="7">
        <f>+[13]Resumen!K12*1000</f>
        <v>0</v>
      </c>
      <c r="L12" s="7">
        <f>+[13]Resumen!L12*1000</f>
        <v>0</v>
      </c>
      <c r="M12" s="7">
        <f>+[13]Resumen!M12*1000</f>
        <v>237694.40280268097</v>
      </c>
      <c r="N12" s="7">
        <f>+[13]Resumen!N12*1000</f>
        <v>262116.40791074446</v>
      </c>
      <c r="O12" s="7">
        <f>+[13]Resumen!O12*1000</f>
        <v>277588.69179610169</v>
      </c>
      <c r="P12" s="7">
        <f>+[13]Resumen!P12*1000</f>
        <v>291994.73877060623</v>
      </c>
      <c r="Q12" s="7">
        <f>+[13]Resumen!Q12*1000</f>
        <v>300736.47553493443</v>
      </c>
      <c r="R12" s="7">
        <f>+[13]Resumen!R12*1000</f>
        <v>300926.97201427678</v>
      </c>
      <c r="S12" s="7">
        <f>+[13]Resumen!S12*1000</f>
        <v>293340.04585006367</v>
      </c>
      <c r="T12" s="7">
        <f>+[13]Resumen!T12*1000</f>
        <v>285990.98544626462</v>
      </c>
      <c r="U12" s="7">
        <f>+[13]Resumen!U12*1000</f>
        <v>283159.66426261986</v>
      </c>
      <c r="V12" s="7">
        <f>+[13]Resumen!V12*1000</f>
        <v>279703.41273361183</v>
      </c>
      <c r="W12" s="7">
        <f>+[13]Resumen!W12*1000</f>
        <v>0</v>
      </c>
      <c r="X12" s="7">
        <f>+[13]Resumen!X12*1000</f>
        <v>0</v>
      </c>
      <c r="Y12" s="7">
        <f>+[13]Resumen!Y12*1000</f>
        <v>0</v>
      </c>
      <c r="Z12" s="7">
        <f>+[13]Resumen!Z12*1000</f>
        <v>0</v>
      </c>
      <c r="AA12" s="7">
        <f>+[13]Resumen!AA12*1000</f>
        <v>0</v>
      </c>
      <c r="AB12" s="7">
        <f>+[13]Resumen!AB12*1000</f>
        <v>0</v>
      </c>
      <c r="AC12" s="7">
        <f>+[13]Resumen!AC12*1000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+[13]Resumen!E13</f>
        <v>4</v>
      </c>
      <c r="F13" s="7">
        <f>+[13]Resumen!F13*1000</f>
        <v>0</v>
      </c>
      <c r="G13" s="7">
        <f>+[13]Resumen!G13*1000</f>
        <v>0</v>
      </c>
      <c r="H13" s="7">
        <f>+[13]Resumen!H13*1000</f>
        <v>0</v>
      </c>
      <c r="I13" s="7">
        <f>+[13]Resumen!I13*1000</f>
        <v>0</v>
      </c>
      <c r="J13" s="7">
        <f>+[13]Resumen!J13*1000</f>
        <v>0</v>
      </c>
      <c r="K13" s="7">
        <f>+[13]Resumen!K13*1000</f>
        <v>0</v>
      </c>
      <c r="L13" s="7">
        <f>+[13]Resumen!L13*1000</f>
        <v>0</v>
      </c>
      <c r="M13" s="7">
        <f>+[13]Resumen!M13*1000</f>
        <v>195374.70998098431</v>
      </c>
      <c r="N13" s="7">
        <f>+[13]Resumen!N13*1000</f>
        <v>214285.62814259602</v>
      </c>
      <c r="O13" s="7">
        <f>+[13]Resumen!O13*1000</f>
        <v>230329.87405678534</v>
      </c>
      <c r="P13" s="7">
        <f>+[13]Resumen!P13*1000</f>
        <v>243892.93559298996</v>
      </c>
      <c r="Q13" s="7">
        <f>+[13]Resumen!Q13*1000</f>
        <v>258514.11946518955</v>
      </c>
      <c r="R13" s="7">
        <f>+[13]Resumen!R13*1000</f>
        <v>267442.36429677275</v>
      </c>
      <c r="S13" s="7">
        <f>+[13]Resumen!S13*1000</f>
        <v>267899.53126399533</v>
      </c>
      <c r="T13" s="7">
        <f>+[13]Resumen!T13*1000</f>
        <v>263069.56422618259</v>
      </c>
      <c r="U13" s="7">
        <f>+[13]Resumen!U13*1000</f>
        <v>259178.1455736708</v>
      </c>
      <c r="V13" s="7">
        <f>+[13]Resumen!V13*1000</f>
        <v>255150.8920321301</v>
      </c>
      <c r="W13" s="7">
        <f>+[13]Resumen!W13*1000</f>
        <v>0</v>
      </c>
      <c r="X13" s="7">
        <f>+[13]Resumen!X13*1000</f>
        <v>0</v>
      </c>
      <c r="Y13" s="7">
        <f>+[13]Resumen!Y13*1000</f>
        <v>0</v>
      </c>
      <c r="Z13" s="7">
        <f>+[13]Resumen!Z13*1000</f>
        <v>0</v>
      </c>
      <c r="AA13" s="7">
        <f>+[13]Resumen!AA13*1000</f>
        <v>0</v>
      </c>
      <c r="AB13" s="7">
        <f>+[13]Resumen!AB13*1000</f>
        <v>0</v>
      </c>
      <c r="AC13" s="7">
        <f>+[13]Resumen!AC13*1000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+[13]Resumen!E14</f>
        <v>0</v>
      </c>
      <c r="F14" s="7">
        <f>+[13]Resumen!F14*1000</f>
        <v>0</v>
      </c>
      <c r="G14" s="7">
        <f>+[13]Resumen!G14*1000</f>
        <v>0</v>
      </c>
      <c r="H14" s="7">
        <f>+[13]Resumen!H14*1000</f>
        <v>0</v>
      </c>
      <c r="I14" s="7">
        <f>+[13]Resumen!I14*1000</f>
        <v>0</v>
      </c>
      <c r="J14" s="7">
        <f>+[13]Resumen!J14*1000</f>
        <v>0</v>
      </c>
      <c r="K14" s="7">
        <f>+[13]Resumen!K14*1000</f>
        <v>0</v>
      </c>
      <c r="L14" s="7">
        <f>+[13]Resumen!L14*1000</f>
        <v>0</v>
      </c>
      <c r="M14" s="7">
        <f>+[13]Resumen!M14*1000</f>
        <v>0</v>
      </c>
      <c r="N14" s="7">
        <f>+[13]Resumen!N14*1000</f>
        <v>0</v>
      </c>
      <c r="O14" s="7">
        <f>+[13]Resumen!O14*1000</f>
        <v>0</v>
      </c>
      <c r="P14" s="7">
        <f>+[13]Resumen!P14*1000</f>
        <v>0</v>
      </c>
      <c r="Q14" s="7">
        <f>+[13]Resumen!Q14*1000</f>
        <v>0</v>
      </c>
      <c r="R14" s="7">
        <f>+[13]Resumen!R14*1000</f>
        <v>0</v>
      </c>
      <c r="S14" s="7">
        <f>+[13]Resumen!S14*1000</f>
        <v>0</v>
      </c>
      <c r="T14" s="7">
        <f>+[13]Resumen!T14*1000</f>
        <v>0</v>
      </c>
      <c r="U14" s="7">
        <f>+[13]Resumen!U14*1000</f>
        <v>0</v>
      </c>
      <c r="V14" s="7">
        <f>+[13]Resumen!V14*1000</f>
        <v>0</v>
      </c>
      <c r="W14" s="7">
        <f>+[13]Resumen!W14*1000</f>
        <v>0</v>
      </c>
      <c r="X14" s="7">
        <f>+[13]Resumen!X14*1000</f>
        <v>0</v>
      </c>
      <c r="Y14" s="7">
        <f>+[13]Resumen!Y14*1000</f>
        <v>0</v>
      </c>
      <c r="Z14" s="7">
        <f>+[13]Resumen!Z14*1000</f>
        <v>0</v>
      </c>
      <c r="AA14" s="7">
        <f>+[13]Resumen!AA14*1000</f>
        <v>0</v>
      </c>
      <c r="AB14" s="7">
        <f>+[13]Resumen!AB14*1000</f>
        <v>0</v>
      </c>
      <c r="AC14" s="7">
        <f>+[13]Resumen!AC14*1000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+[13]Resumen!E15</f>
        <v>22</v>
      </c>
      <c r="F15" s="7">
        <f>+[13]Resumen!F15*1000</f>
        <v>0</v>
      </c>
      <c r="G15" s="7">
        <f>+[13]Resumen!G15*1000</f>
        <v>0</v>
      </c>
      <c r="H15" s="7">
        <f>+[13]Resumen!H15*1000</f>
        <v>0</v>
      </c>
      <c r="I15" s="7">
        <f>+[13]Resumen!I15*1000</f>
        <v>0</v>
      </c>
      <c r="J15" s="7">
        <f>+[13]Resumen!J15*1000</f>
        <v>0</v>
      </c>
      <c r="K15" s="7">
        <f>+[13]Resumen!K15*1000</f>
        <v>0</v>
      </c>
      <c r="L15" s="7">
        <f>+[13]Resumen!L15*1000</f>
        <v>0</v>
      </c>
      <c r="M15" s="7">
        <f>+[13]Resumen!M15*1000</f>
        <v>234200.0981772643</v>
      </c>
      <c r="N15" s="7">
        <f>+[13]Resumen!N15*1000</f>
        <v>248432.88022326733</v>
      </c>
      <c r="O15" s="7">
        <f>+[13]Resumen!O15*1000</f>
        <v>257936.02011361299</v>
      </c>
      <c r="P15" s="7">
        <f>+[13]Resumen!P15*1000</f>
        <v>272659.07591410168</v>
      </c>
      <c r="Q15" s="7">
        <f>+[13]Resumen!Q15*1000</f>
        <v>284592.0001044473</v>
      </c>
      <c r="R15" s="7">
        <f>+[13]Resumen!R15*1000</f>
        <v>285836.81488168845</v>
      </c>
      <c r="S15" s="7">
        <f>+[13]Resumen!S15*1000</f>
        <v>282355.31683132163</v>
      </c>
      <c r="T15" s="7">
        <f>+[13]Resumen!T15*1000</f>
        <v>284294.73836870235</v>
      </c>
      <c r="U15" s="7">
        <f>+[13]Resumen!U15*1000</f>
        <v>283794.20748642547</v>
      </c>
      <c r="V15" s="7">
        <f>+[13]Resumen!V15*1000</f>
        <v>278292.09340754978</v>
      </c>
      <c r="W15" s="7">
        <f>+[13]Resumen!W15*1000</f>
        <v>0</v>
      </c>
      <c r="X15" s="7">
        <f>+[13]Resumen!X15*1000</f>
        <v>0</v>
      </c>
      <c r="Y15" s="7">
        <f>+[13]Resumen!Y15*1000</f>
        <v>0</v>
      </c>
      <c r="Z15" s="7">
        <f>+[13]Resumen!Z15*1000</f>
        <v>0</v>
      </c>
      <c r="AA15" s="7">
        <f>+[13]Resumen!AA15*1000</f>
        <v>0</v>
      </c>
      <c r="AB15" s="7">
        <f>+[13]Resumen!AB15*1000</f>
        <v>0</v>
      </c>
      <c r="AC15" s="7">
        <f>+[13]Resumen!AC15*1000</f>
        <v>0</v>
      </c>
      <c r="AD15" s="60">
        <f t="shared" ref="AD15" si="0">SUM(F15:AC15)*E15+SUM(F16:AC16)*E16+SUM(F17:AC17)*E17+SUM(F18:AC18)*E18</f>
        <v>81076330.923563674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+[13]Resumen!E16</f>
        <v>4</v>
      </c>
      <c r="F16" s="7">
        <f>+[13]Resumen!F16*1000</f>
        <v>0</v>
      </c>
      <c r="G16" s="7">
        <f>+[13]Resumen!G16*1000</f>
        <v>0</v>
      </c>
      <c r="H16" s="7">
        <f>+[13]Resumen!H16*1000</f>
        <v>0</v>
      </c>
      <c r="I16" s="7">
        <f>+[13]Resumen!I16*1000</f>
        <v>0</v>
      </c>
      <c r="J16" s="7">
        <f>+[13]Resumen!J16*1000</f>
        <v>0</v>
      </c>
      <c r="K16" s="7">
        <f>+[13]Resumen!K16*1000</f>
        <v>0</v>
      </c>
      <c r="L16" s="7">
        <f>+[13]Resumen!L16*1000</f>
        <v>0</v>
      </c>
      <c r="M16" s="7">
        <f>+[13]Resumen!M16*1000</f>
        <v>216419.70411070867</v>
      </c>
      <c r="N16" s="7">
        <f>+[13]Resumen!N16*1000</f>
        <v>237439.4919846587</v>
      </c>
      <c r="O16" s="7">
        <f>+[13]Resumen!O16*1000</f>
        <v>250964.2312808123</v>
      </c>
      <c r="P16" s="7">
        <f>+[13]Resumen!P16*1000</f>
        <v>263805.96030510589</v>
      </c>
      <c r="Q16" s="7">
        <f>+[13]Resumen!Q16*1000</f>
        <v>273488.14217567997</v>
      </c>
      <c r="R16" s="7">
        <f>+[13]Resumen!R16*1000</f>
        <v>274215.09067698079</v>
      </c>
      <c r="S16" s="7">
        <f>+[13]Resumen!S16*1000</f>
        <v>268453.40133002726</v>
      </c>
      <c r="T16" s="7">
        <f>+[13]Resumen!T16*1000</f>
        <v>262570.00819489424</v>
      </c>
      <c r="U16" s="7">
        <f>+[13]Resumen!U16*1000</f>
        <v>258735.45938210867</v>
      </c>
      <c r="V16" s="7">
        <f>+[13]Resumen!V16*1000</f>
        <v>255123.07487109985</v>
      </c>
      <c r="W16" s="7">
        <f>+[13]Resumen!W16*1000</f>
        <v>0</v>
      </c>
      <c r="X16" s="7">
        <f>+[13]Resumen!X16*1000</f>
        <v>0</v>
      </c>
      <c r="Y16" s="7">
        <f>+[13]Resumen!Y16*1000</f>
        <v>0</v>
      </c>
      <c r="Z16" s="7">
        <f>+[13]Resumen!Z16*1000</f>
        <v>0</v>
      </c>
      <c r="AA16" s="7">
        <f>+[13]Resumen!AA16*1000</f>
        <v>0</v>
      </c>
      <c r="AB16" s="7">
        <f>+[13]Resumen!AB16*1000</f>
        <v>0</v>
      </c>
      <c r="AC16" s="7">
        <f>+[13]Resumen!AC16*1000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+[13]Resumen!E17</f>
        <v>4</v>
      </c>
      <c r="F17" s="7">
        <f>+[13]Resumen!F17*1000</f>
        <v>0</v>
      </c>
      <c r="G17" s="7">
        <f>+[13]Resumen!G17*1000</f>
        <v>0</v>
      </c>
      <c r="H17" s="7">
        <f>+[13]Resumen!H17*1000</f>
        <v>0</v>
      </c>
      <c r="I17" s="7">
        <f>+[13]Resumen!I17*1000</f>
        <v>0</v>
      </c>
      <c r="J17" s="7">
        <f>+[13]Resumen!J17*1000</f>
        <v>0</v>
      </c>
      <c r="K17" s="7">
        <f>+[13]Resumen!K17*1000</f>
        <v>0</v>
      </c>
      <c r="L17" s="7">
        <f>+[13]Resumen!L17*1000</f>
        <v>0</v>
      </c>
      <c r="M17" s="7">
        <f>+[13]Resumen!M17*1000</f>
        <v>176662.50459715415</v>
      </c>
      <c r="N17" s="7">
        <f>+[13]Resumen!N17*1000</f>
        <v>194199.27916322285</v>
      </c>
      <c r="O17" s="7">
        <f>+[13]Resumen!O17*1000</f>
        <v>207728.96264928076</v>
      </c>
      <c r="P17" s="7">
        <f>+[13]Resumen!P17*1000</f>
        <v>219529.50207539994</v>
      </c>
      <c r="Q17" s="7">
        <f>+[13]Resumen!Q17*1000</f>
        <v>231894.55863573751</v>
      </c>
      <c r="R17" s="7">
        <f>+[13]Resumen!R17*1000</f>
        <v>239788.58193447217</v>
      </c>
      <c r="S17" s="7">
        <f>+[13]Resumen!S17*1000</f>
        <v>240285.87037759184</v>
      </c>
      <c r="T17" s="7">
        <f>+[13]Resumen!T17*1000</f>
        <v>236308.14350474507</v>
      </c>
      <c r="U17" s="7">
        <f>+[13]Resumen!U17*1000</f>
        <v>233450.59671027071</v>
      </c>
      <c r="V17" s="7">
        <f>+[13]Resumen!V17*1000</f>
        <v>230267.84386454438</v>
      </c>
      <c r="W17" s="7">
        <f>+[13]Resumen!W17*1000</f>
        <v>0</v>
      </c>
      <c r="X17" s="7">
        <f>+[13]Resumen!X17*1000</f>
        <v>0</v>
      </c>
      <c r="Y17" s="7">
        <f>+[13]Resumen!Y17*1000</f>
        <v>0</v>
      </c>
      <c r="Z17" s="7">
        <f>+[13]Resumen!Z17*1000</f>
        <v>0</v>
      </c>
      <c r="AA17" s="7">
        <f>+[13]Resumen!AA17*1000</f>
        <v>0</v>
      </c>
      <c r="AB17" s="7">
        <f>+[13]Resumen!AB17*1000</f>
        <v>0</v>
      </c>
      <c r="AC17" s="7">
        <f>+[13]Resumen!AC17*1000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+[13]Resumen!E18</f>
        <v>1</v>
      </c>
      <c r="F18" s="7">
        <f>+[13]Resumen!F18*1000</f>
        <v>0</v>
      </c>
      <c r="G18" s="7">
        <f>+[13]Resumen!G18*1000</f>
        <v>0</v>
      </c>
      <c r="H18" s="7">
        <f>+[13]Resumen!H18*1000</f>
        <v>0</v>
      </c>
      <c r="I18" s="7">
        <f>+[13]Resumen!I18*1000</f>
        <v>0</v>
      </c>
      <c r="J18" s="7">
        <f>+[13]Resumen!J18*1000</f>
        <v>0</v>
      </c>
      <c r="K18" s="7">
        <f>+[13]Resumen!K18*1000</f>
        <v>0</v>
      </c>
      <c r="L18" s="7">
        <f>+[13]Resumen!L18*1000</f>
        <v>0</v>
      </c>
      <c r="M18" s="7">
        <f>+[13]Resumen!M18*1000</f>
        <v>183744.17609027919</v>
      </c>
      <c r="N18" s="7">
        <f>+[13]Resumen!N18*1000</f>
        <v>200894.00051042761</v>
      </c>
      <c r="O18" s="7">
        <f>+[13]Resumen!O18*1000</f>
        <v>216296.41724929359</v>
      </c>
      <c r="P18" s="7">
        <f>+[13]Resumen!P18*1000</f>
        <v>230674.26559933755</v>
      </c>
      <c r="Q18" s="7">
        <f>+[13]Resumen!Q18*1000</f>
        <v>246873.15466890839</v>
      </c>
      <c r="R18" s="7">
        <f>+[13]Resumen!R18*1000</f>
        <v>255264.30322918424</v>
      </c>
      <c r="S18" s="7">
        <f>+[13]Resumen!S18*1000</f>
        <v>252606.96115835206</v>
      </c>
      <c r="T18" s="7">
        <f>+[13]Resumen!T18*1000</f>
        <v>246986.72904754107</v>
      </c>
      <c r="U18" s="7">
        <f>+[13]Resumen!U18*1000</f>
        <v>243544.01523182422</v>
      </c>
      <c r="V18" s="7">
        <f>+[13]Resumen!V18*1000</f>
        <v>241473.86829613868</v>
      </c>
      <c r="W18" s="7">
        <f>+[13]Resumen!W18*1000</f>
        <v>0</v>
      </c>
      <c r="X18" s="7">
        <f>+[13]Resumen!X18*1000</f>
        <v>0</v>
      </c>
      <c r="Y18" s="7">
        <f>+[13]Resumen!Y18*1000</f>
        <v>0</v>
      </c>
      <c r="Z18" s="7">
        <f>+[13]Resumen!Z18*1000</f>
        <v>0</v>
      </c>
      <c r="AA18" s="7">
        <f>+[13]Resumen!AA18*1000</f>
        <v>0</v>
      </c>
      <c r="AB18" s="7">
        <f>+[13]Resumen!AB18*1000</f>
        <v>0</v>
      </c>
      <c r="AC18" s="7">
        <f>+[13]Resumen!AC18*1000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+[13]Resumen!E19</f>
        <v>20</v>
      </c>
      <c r="F19" s="7">
        <f>+[13]Resumen!F19*1000</f>
        <v>0</v>
      </c>
      <c r="G19" s="7">
        <f>+[13]Resumen!G19*1000</f>
        <v>0</v>
      </c>
      <c r="H19" s="7">
        <f>+[13]Resumen!H19*1000</f>
        <v>0</v>
      </c>
      <c r="I19" s="7">
        <f>+[13]Resumen!I19*1000</f>
        <v>0</v>
      </c>
      <c r="J19" s="7">
        <f>+[13]Resumen!J19*1000</f>
        <v>0</v>
      </c>
      <c r="K19" s="7">
        <f>+[13]Resumen!K19*1000</f>
        <v>0</v>
      </c>
      <c r="L19" s="7">
        <f>+[13]Resumen!L19*1000</f>
        <v>0</v>
      </c>
      <c r="M19" s="7">
        <f>+[13]Resumen!M19*1000</f>
        <v>241139.28884070899</v>
      </c>
      <c r="N19" s="7">
        <f>+[13]Resumen!N19*1000</f>
        <v>256644.37646182632</v>
      </c>
      <c r="O19" s="7">
        <f>+[13]Resumen!O19*1000</f>
        <v>267325.88867682888</v>
      </c>
      <c r="P19" s="7">
        <f>+[13]Resumen!P19*1000</f>
        <v>282577.26285124669</v>
      </c>
      <c r="Q19" s="7">
        <f>+[13]Resumen!Q19*1000</f>
        <v>295619.90442576964</v>
      </c>
      <c r="R19" s="7">
        <f>+[13]Resumen!R19*1000</f>
        <v>297994.15400804929</v>
      </c>
      <c r="S19" s="7">
        <f>+[13]Resumen!S19*1000</f>
        <v>294212.33827601298</v>
      </c>
      <c r="T19" s="7">
        <f>+[13]Resumen!T19*1000</f>
        <v>295983.3098010784</v>
      </c>
      <c r="U19" s="7">
        <f>+[13]Resumen!U19*1000</f>
        <v>295729.06866330031</v>
      </c>
      <c r="V19" s="7">
        <f>+[13]Resumen!V19*1000</f>
        <v>289472.43899256445</v>
      </c>
      <c r="W19" s="7">
        <f>+[13]Resumen!W19*1000</f>
        <v>0</v>
      </c>
      <c r="X19" s="7">
        <f>+[13]Resumen!X19*1000</f>
        <v>0</v>
      </c>
      <c r="Y19" s="7">
        <f>+[13]Resumen!Y19*1000</f>
        <v>0</v>
      </c>
      <c r="Z19" s="7">
        <f>+[13]Resumen!Z19*1000</f>
        <v>0</v>
      </c>
      <c r="AA19" s="7">
        <f>+[13]Resumen!AA19*1000</f>
        <v>0</v>
      </c>
      <c r="AB19" s="7">
        <f>+[13]Resumen!AB19*1000</f>
        <v>0</v>
      </c>
      <c r="AC19" s="7">
        <f>+[13]Resumen!AC19*1000</f>
        <v>0</v>
      </c>
      <c r="AD19" s="60">
        <f t="shared" ref="AD19" si="1">SUM(F19:AC19)*E19+SUM(F20:AC20)*E20+SUM(F21:AC21)*E21+SUM(F22:AC22)*E22</f>
        <v>80454700.508134812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+[13]Resumen!E20</f>
        <v>4</v>
      </c>
      <c r="F20" s="7">
        <f>+[13]Resumen!F20*1000</f>
        <v>0</v>
      </c>
      <c r="G20" s="7">
        <f>+[13]Resumen!G20*1000</f>
        <v>0</v>
      </c>
      <c r="H20" s="7">
        <f>+[13]Resumen!H20*1000</f>
        <v>0</v>
      </c>
      <c r="I20" s="7">
        <f>+[13]Resumen!I20*1000</f>
        <v>0</v>
      </c>
      <c r="J20" s="7">
        <f>+[13]Resumen!J20*1000</f>
        <v>0</v>
      </c>
      <c r="K20" s="7">
        <f>+[13]Resumen!K20*1000</f>
        <v>0</v>
      </c>
      <c r="L20" s="7">
        <f>+[13]Resumen!L20*1000</f>
        <v>0</v>
      </c>
      <c r="M20" s="7">
        <f>+[13]Resumen!M20*1000</f>
        <v>215705.46681860025</v>
      </c>
      <c r="N20" s="7">
        <f>+[13]Resumen!N20*1000</f>
        <v>236943.25256597222</v>
      </c>
      <c r="O20" s="7">
        <f>+[13]Resumen!O20*1000</f>
        <v>251528.37119008304</v>
      </c>
      <c r="P20" s="7">
        <f>+[13]Resumen!P20*1000</f>
        <v>264419.54423266067</v>
      </c>
      <c r="Q20" s="7">
        <f>+[13]Resumen!Q20*1000</f>
        <v>274010.0392485332</v>
      </c>
      <c r="R20" s="7">
        <f>+[13]Resumen!R20*1000</f>
        <v>276357.95937716065</v>
      </c>
      <c r="S20" s="7">
        <f>+[13]Resumen!S20*1000</f>
        <v>272073.53802563529</v>
      </c>
      <c r="T20" s="7">
        <f>+[13]Resumen!T20*1000</f>
        <v>266784.16610180907</v>
      </c>
      <c r="U20" s="7">
        <f>+[13]Resumen!U20*1000</f>
        <v>265182.64910942514</v>
      </c>
      <c r="V20" s="7">
        <f>+[13]Resumen!V20*1000</f>
        <v>262926.034372069</v>
      </c>
      <c r="W20" s="7">
        <f>+[13]Resumen!W20*1000</f>
        <v>0</v>
      </c>
      <c r="X20" s="7">
        <f>+[13]Resumen!X20*1000</f>
        <v>0</v>
      </c>
      <c r="Y20" s="7">
        <f>+[13]Resumen!Y20*1000</f>
        <v>0</v>
      </c>
      <c r="Z20" s="7">
        <f>+[13]Resumen!Z20*1000</f>
        <v>0</v>
      </c>
      <c r="AA20" s="7">
        <f>+[13]Resumen!AA20*1000</f>
        <v>0</v>
      </c>
      <c r="AB20" s="7">
        <f>+[13]Resumen!AB20*1000</f>
        <v>0</v>
      </c>
      <c r="AC20" s="7">
        <f>+[13]Resumen!AC20*1000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+[13]Resumen!E21</f>
        <v>4</v>
      </c>
      <c r="F21" s="7">
        <f>+[13]Resumen!F21*1000</f>
        <v>0</v>
      </c>
      <c r="G21" s="7">
        <f>+[13]Resumen!G21*1000</f>
        <v>0</v>
      </c>
      <c r="H21" s="7">
        <f>+[13]Resumen!H21*1000</f>
        <v>0</v>
      </c>
      <c r="I21" s="7">
        <f>+[13]Resumen!I21*1000</f>
        <v>0</v>
      </c>
      <c r="J21" s="7">
        <f>+[13]Resumen!J21*1000</f>
        <v>0</v>
      </c>
      <c r="K21" s="7">
        <f>+[13]Resumen!K21*1000</f>
        <v>0</v>
      </c>
      <c r="L21" s="7">
        <f>+[13]Resumen!L21*1000</f>
        <v>0</v>
      </c>
      <c r="M21" s="7">
        <f>+[13]Resumen!M21*1000</f>
        <v>186007.06166258035</v>
      </c>
      <c r="N21" s="7">
        <f>+[13]Resumen!N21*1000</f>
        <v>204410.60167334235</v>
      </c>
      <c r="O21" s="7">
        <f>+[13]Resumen!O21*1000</f>
        <v>219742.40529278675</v>
      </c>
      <c r="P21" s="7">
        <f>+[13]Resumen!P21*1000</f>
        <v>230966.20380098934</v>
      </c>
      <c r="Q21" s="7">
        <f>+[13]Resumen!Q21*1000</f>
        <v>241869.28481096923</v>
      </c>
      <c r="R21" s="7">
        <f>+[13]Resumen!R21*1000</f>
        <v>249556.42565679114</v>
      </c>
      <c r="S21" s="7">
        <f>+[13]Resumen!S21*1000</f>
        <v>250745.56372714613</v>
      </c>
      <c r="T21" s="7">
        <f>+[13]Resumen!T21*1000</f>
        <v>248210.78797569408</v>
      </c>
      <c r="U21" s="7">
        <f>+[13]Resumen!U21*1000</f>
        <v>245339.7013486872</v>
      </c>
      <c r="V21" s="7">
        <f>+[13]Resumen!V21*1000</f>
        <v>242063.11909532617</v>
      </c>
      <c r="W21" s="7">
        <f>+[13]Resumen!W21*1000</f>
        <v>0</v>
      </c>
      <c r="X21" s="7">
        <f>+[13]Resumen!X21*1000</f>
        <v>0</v>
      </c>
      <c r="Y21" s="7">
        <f>+[13]Resumen!Y21*1000</f>
        <v>0</v>
      </c>
      <c r="Z21" s="7">
        <f>+[13]Resumen!Z21*1000</f>
        <v>0</v>
      </c>
      <c r="AA21" s="7">
        <f>+[13]Resumen!AA21*1000</f>
        <v>0</v>
      </c>
      <c r="AB21" s="7">
        <f>+[13]Resumen!AB21*1000</f>
        <v>0</v>
      </c>
      <c r="AC21" s="7">
        <f>+[13]Resumen!AC21*1000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+[13]Resumen!E22</f>
        <v>2</v>
      </c>
      <c r="F22" s="7">
        <f>+[13]Resumen!F22*1000</f>
        <v>0</v>
      </c>
      <c r="G22" s="7">
        <f>+[13]Resumen!G22*1000</f>
        <v>0</v>
      </c>
      <c r="H22" s="7">
        <f>+[13]Resumen!H22*1000</f>
        <v>0</v>
      </c>
      <c r="I22" s="7">
        <f>+[13]Resumen!I22*1000</f>
        <v>0</v>
      </c>
      <c r="J22" s="7">
        <f>+[13]Resumen!J22*1000</f>
        <v>0</v>
      </c>
      <c r="K22" s="7">
        <f>+[13]Resumen!K22*1000</f>
        <v>0</v>
      </c>
      <c r="L22" s="7">
        <f>+[13]Resumen!L22*1000</f>
        <v>0</v>
      </c>
      <c r="M22" s="7">
        <f>+[13]Resumen!M22*1000</f>
        <v>187515.80039100401</v>
      </c>
      <c r="N22" s="7">
        <f>+[13]Resumen!N22*1000</f>
        <v>203902.88868237054</v>
      </c>
      <c r="O22" s="7">
        <f>+[13]Resumen!O22*1000</f>
        <v>213661.83371055825</v>
      </c>
      <c r="P22" s="7">
        <f>+[13]Resumen!P22*1000</f>
        <v>219324.55872825763</v>
      </c>
      <c r="Q22" s="7">
        <f>+[13]Resumen!Q22*1000</f>
        <v>232238.42248721121</v>
      </c>
      <c r="R22" s="7">
        <f>+[13]Resumen!R22*1000</f>
        <v>243698.20486957196</v>
      </c>
      <c r="S22" s="7">
        <f>+[13]Resumen!S22*1000</f>
        <v>242648.98970467335</v>
      </c>
      <c r="T22" s="7">
        <f>+[13]Resumen!T22*1000</f>
        <v>237980.9666084488</v>
      </c>
      <c r="U22" s="7">
        <f>+[13]Resumen!U22*1000</f>
        <v>234988.88613909096</v>
      </c>
      <c r="V22" s="7">
        <f>+[13]Resumen!V22*1000</f>
        <v>234725.04059983569</v>
      </c>
      <c r="W22" s="7">
        <f>+[13]Resumen!W22*1000</f>
        <v>0</v>
      </c>
      <c r="X22" s="7">
        <f>+[13]Resumen!X22*1000</f>
        <v>0</v>
      </c>
      <c r="Y22" s="7">
        <f>+[13]Resumen!Y22*1000</f>
        <v>0</v>
      </c>
      <c r="Z22" s="7">
        <f>+[13]Resumen!Z22*1000</f>
        <v>0</v>
      </c>
      <c r="AA22" s="7">
        <f>+[13]Resumen!AA22*1000</f>
        <v>0</v>
      </c>
      <c r="AB22" s="7">
        <f>+[13]Resumen!AB22*1000</f>
        <v>0</v>
      </c>
      <c r="AC22" s="7">
        <f>+[13]Resumen!AC22*1000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+[13]Resumen!E23</f>
        <v>21</v>
      </c>
      <c r="F23" s="7">
        <f>+[13]Resumen!F23*1000</f>
        <v>0</v>
      </c>
      <c r="G23" s="7">
        <f>+[13]Resumen!G23*1000</f>
        <v>0</v>
      </c>
      <c r="H23" s="7">
        <f>+[13]Resumen!H23*1000</f>
        <v>0</v>
      </c>
      <c r="I23" s="7">
        <f>+[13]Resumen!I23*1000</f>
        <v>0</v>
      </c>
      <c r="J23" s="7">
        <f>+[13]Resumen!J23*1000</f>
        <v>0</v>
      </c>
      <c r="K23" s="7">
        <f>+[13]Resumen!K23*1000</f>
        <v>0</v>
      </c>
      <c r="L23" s="7">
        <f>+[13]Resumen!L23*1000</f>
        <v>0</v>
      </c>
      <c r="M23" s="7">
        <f>+[13]Resumen!M23*1000</f>
        <v>234007.89358945101</v>
      </c>
      <c r="N23" s="7">
        <f>+[13]Resumen!N23*1000</f>
        <v>248430.97714459864</v>
      </c>
      <c r="O23" s="7">
        <f>+[13]Resumen!O23*1000</f>
        <v>258983.66068224111</v>
      </c>
      <c r="P23" s="7">
        <f>+[13]Resumen!P23*1000</f>
        <v>274012.52511855366</v>
      </c>
      <c r="Q23" s="7">
        <f>+[13]Resumen!Q23*1000</f>
        <v>286323.24433249369</v>
      </c>
      <c r="R23" s="7">
        <f>+[13]Resumen!R23*1000</f>
        <v>287271.75103256537</v>
      </c>
      <c r="S23" s="7">
        <f>+[13]Resumen!S23*1000</f>
        <v>282967.61649866129</v>
      </c>
      <c r="T23" s="7">
        <f>+[13]Resumen!T23*1000</f>
        <v>284031.1916424674</v>
      </c>
      <c r="U23" s="7">
        <f>+[13]Resumen!U23*1000</f>
        <v>284041.08426075859</v>
      </c>
      <c r="V23" s="7">
        <f>+[13]Resumen!V23*1000</f>
        <v>278171.13135381794</v>
      </c>
      <c r="W23" s="7">
        <f>+[13]Resumen!W23*1000</f>
        <v>0</v>
      </c>
      <c r="X23" s="7">
        <f>+[13]Resumen!X23*1000</f>
        <v>0</v>
      </c>
      <c r="Y23" s="7">
        <f>+[13]Resumen!Y23*1000</f>
        <v>0</v>
      </c>
      <c r="Z23" s="7">
        <f>+[13]Resumen!Z23*1000</f>
        <v>0</v>
      </c>
      <c r="AA23" s="7">
        <f>+[13]Resumen!AA23*1000</f>
        <v>0</v>
      </c>
      <c r="AB23" s="7">
        <f>+[13]Resumen!AB23*1000</f>
        <v>0</v>
      </c>
      <c r="AC23" s="7">
        <f>+[13]Resumen!AC23*1000</f>
        <v>0</v>
      </c>
      <c r="AD23" s="60">
        <f t="shared" ref="AD23" si="2">SUM(F23:AC23)*E23+SUM(F24:AC24)*E24+SUM(F25:AC25)*E25+SUM(F26:AC26)*E26</f>
        <v>80708346.266267926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+[13]Resumen!E24</f>
        <v>4</v>
      </c>
      <c r="F24" s="7">
        <f>+[13]Resumen!F24*1000</f>
        <v>0</v>
      </c>
      <c r="G24" s="7">
        <f>+[13]Resumen!G24*1000</f>
        <v>0</v>
      </c>
      <c r="H24" s="7">
        <f>+[13]Resumen!H24*1000</f>
        <v>0</v>
      </c>
      <c r="I24" s="7">
        <f>+[13]Resumen!I24*1000</f>
        <v>0</v>
      </c>
      <c r="J24" s="7">
        <f>+[13]Resumen!J24*1000</f>
        <v>0</v>
      </c>
      <c r="K24" s="7">
        <f>+[13]Resumen!K24*1000</f>
        <v>0</v>
      </c>
      <c r="L24" s="7">
        <f>+[13]Resumen!L24*1000</f>
        <v>0</v>
      </c>
      <c r="M24" s="7">
        <f>+[13]Resumen!M24*1000</f>
        <v>214757.69549525241</v>
      </c>
      <c r="N24" s="7">
        <f>+[13]Resumen!N24*1000</f>
        <v>236304.08939617799</v>
      </c>
      <c r="O24" s="7">
        <f>+[13]Resumen!O24*1000</f>
        <v>250536.04705732339</v>
      </c>
      <c r="P24" s="7">
        <f>+[13]Resumen!P24*1000</f>
        <v>263554.74756311573</v>
      </c>
      <c r="Q24" s="7">
        <f>+[13]Resumen!Q24*1000</f>
        <v>272639.97307321132</v>
      </c>
      <c r="R24" s="7">
        <f>+[13]Resumen!R24*1000</f>
        <v>272799.37180602318</v>
      </c>
      <c r="S24" s="7">
        <f>+[13]Resumen!S24*1000</f>
        <v>266382.71822629817</v>
      </c>
      <c r="T24" s="7">
        <f>+[13]Resumen!T24*1000</f>
        <v>260326.63023856777</v>
      </c>
      <c r="U24" s="7">
        <f>+[13]Resumen!U24*1000</f>
        <v>257746.28020340737</v>
      </c>
      <c r="V24" s="7">
        <f>+[13]Resumen!V24*1000</f>
        <v>254625.97715969532</v>
      </c>
      <c r="W24" s="7">
        <f>+[13]Resumen!W24*1000</f>
        <v>0</v>
      </c>
      <c r="X24" s="7">
        <f>+[13]Resumen!X24*1000</f>
        <v>0</v>
      </c>
      <c r="Y24" s="7">
        <f>+[13]Resumen!Y24*1000</f>
        <v>0</v>
      </c>
      <c r="Z24" s="7">
        <f>+[13]Resumen!Z24*1000</f>
        <v>0</v>
      </c>
      <c r="AA24" s="7">
        <f>+[13]Resumen!AA24*1000</f>
        <v>0</v>
      </c>
      <c r="AB24" s="7">
        <f>+[13]Resumen!AB24*1000</f>
        <v>0</v>
      </c>
      <c r="AC24" s="7">
        <f>+[13]Resumen!AC24*1000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+[13]Resumen!E25</f>
        <v>5</v>
      </c>
      <c r="F25" s="7">
        <f>+[13]Resumen!F25*1000</f>
        <v>0</v>
      </c>
      <c r="G25" s="7">
        <f>+[13]Resumen!G25*1000</f>
        <v>0</v>
      </c>
      <c r="H25" s="7">
        <f>+[13]Resumen!H25*1000</f>
        <v>0</v>
      </c>
      <c r="I25" s="7">
        <f>+[13]Resumen!I25*1000</f>
        <v>0</v>
      </c>
      <c r="J25" s="7">
        <f>+[13]Resumen!J25*1000</f>
        <v>0</v>
      </c>
      <c r="K25" s="7">
        <f>+[13]Resumen!K25*1000</f>
        <v>0</v>
      </c>
      <c r="L25" s="7">
        <f>+[13]Resumen!L25*1000</f>
        <v>0</v>
      </c>
      <c r="M25" s="7">
        <f>+[13]Resumen!M25*1000</f>
        <v>176954.55299935245</v>
      </c>
      <c r="N25" s="7">
        <f>+[13]Resumen!N25*1000</f>
        <v>195633.43119482649</v>
      </c>
      <c r="O25" s="7">
        <f>+[13]Resumen!O25*1000</f>
        <v>211210.63447743235</v>
      </c>
      <c r="P25" s="7">
        <f>+[13]Resumen!P25*1000</f>
        <v>223606.23566232648</v>
      </c>
      <c r="Q25" s="7">
        <f>+[13]Resumen!Q25*1000</f>
        <v>236118.40359453941</v>
      </c>
      <c r="R25" s="7">
        <f>+[13]Resumen!R25*1000</f>
        <v>242053.30488896233</v>
      </c>
      <c r="S25" s="7">
        <f>+[13]Resumen!S25*1000</f>
        <v>240724.46219500268</v>
      </c>
      <c r="T25" s="7">
        <f>+[13]Resumen!T25*1000</f>
        <v>234506.49384292247</v>
      </c>
      <c r="U25" s="7">
        <f>+[13]Resumen!U25*1000</f>
        <v>232419.93338352983</v>
      </c>
      <c r="V25" s="7">
        <f>+[13]Resumen!V25*1000</f>
        <v>229461.36871500191</v>
      </c>
      <c r="W25" s="7">
        <f>+[13]Resumen!W25*1000</f>
        <v>0</v>
      </c>
      <c r="X25" s="7">
        <f>+[13]Resumen!X25*1000</f>
        <v>0</v>
      </c>
      <c r="Y25" s="7">
        <f>+[13]Resumen!Y25*1000</f>
        <v>0</v>
      </c>
      <c r="Z25" s="7">
        <f>+[13]Resumen!Z25*1000</f>
        <v>0</v>
      </c>
      <c r="AA25" s="7">
        <f>+[13]Resumen!AA25*1000</f>
        <v>0</v>
      </c>
      <c r="AB25" s="7">
        <f>+[13]Resumen!AB25*1000</f>
        <v>0</v>
      </c>
      <c r="AC25" s="7">
        <f>+[13]Resumen!AC25*1000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+[13]Resumen!E26</f>
        <v>1</v>
      </c>
      <c r="F26" s="7">
        <f>+[13]Resumen!F26*1000</f>
        <v>0</v>
      </c>
      <c r="G26" s="7">
        <f>+[13]Resumen!G26*1000</f>
        <v>0</v>
      </c>
      <c r="H26" s="7">
        <f>+[13]Resumen!H26*1000</f>
        <v>0</v>
      </c>
      <c r="I26" s="7">
        <f>+[13]Resumen!I26*1000</f>
        <v>0</v>
      </c>
      <c r="J26" s="7">
        <f>+[13]Resumen!J26*1000</f>
        <v>0</v>
      </c>
      <c r="K26" s="7">
        <f>+[13]Resumen!K26*1000</f>
        <v>0</v>
      </c>
      <c r="L26" s="7">
        <f>+[13]Resumen!L26*1000</f>
        <v>0</v>
      </c>
      <c r="M26" s="7">
        <f>+[13]Resumen!M26*1000</f>
        <v>184812.41144565822</v>
      </c>
      <c r="N26" s="7">
        <f>+[13]Resumen!N26*1000</f>
        <v>202530.30696765022</v>
      </c>
      <c r="O26" s="7">
        <f>+[13]Resumen!O26*1000</f>
        <v>217027.52158274283</v>
      </c>
      <c r="P26" s="7">
        <f>+[13]Resumen!P26*1000</f>
        <v>232805.91079770299</v>
      </c>
      <c r="Q26" s="7">
        <f>+[13]Resumen!Q26*1000</f>
        <v>245972.44533664681</v>
      </c>
      <c r="R26" s="7">
        <f>+[13]Resumen!R26*1000</f>
        <v>256257.19531860665</v>
      </c>
      <c r="S26" s="7">
        <f>+[13]Resumen!S26*1000</f>
        <v>252508.95048767346</v>
      </c>
      <c r="T26" s="7">
        <f>+[13]Resumen!T26*1000</f>
        <v>245708.90920661835</v>
      </c>
      <c r="U26" s="7">
        <f>+[13]Resumen!U26*1000</f>
        <v>238932.55892382297</v>
      </c>
      <c r="V26" s="7">
        <f>+[13]Resumen!V26*1000</f>
        <v>236589.24178725388</v>
      </c>
      <c r="W26" s="7">
        <f>+[13]Resumen!W26*1000</f>
        <v>0</v>
      </c>
      <c r="X26" s="7">
        <f>+[13]Resumen!X26*1000</f>
        <v>0</v>
      </c>
      <c r="Y26" s="7">
        <f>+[13]Resumen!Y26*1000</f>
        <v>0</v>
      </c>
      <c r="Z26" s="7">
        <f>+[13]Resumen!Z26*1000</f>
        <v>0</v>
      </c>
      <c r="AA26" s="7">
        <f>+[13]Resumen!AA26*1000</f>
        <v>0</v>
      </c>
      <c r="AB26" s="7">
        <f>+[13]Resumen!AB26*1000</f>
        <v>0</v>
      </c>
      <c r="AC26" s="7">
        <f>+[13]Resumen!AC26*1000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+[13]Resumen!E27</f>
        <v>20</v>
      </c>
      <c r="F27" s="7">
        <f>+[13]Resumen!F27*1000</f>
        <v>0</v>
      </c>
      <c r="G27" s="7">
        <f>+[13]Resumen!G27*1000</f>
        <v>0</v>
      </c>
      <c r="H27" s="7">
        <f>+[13]Resumen!H27*1000</f>
        <v>0</v>
      </c>
      <c r="I27" s="7">
        <f>+[13]Resumen!I27*1000</f>
        <v>0</v>
      </c>
      <c r="J27" s="7">
        <f>+[13]Resumen!J27*1000</f>
        <v>0</v>
      </c>
      <c r="K27" s="7">
        <f>+[13]Resumen!K27*1000</f>
        <v>0</v>
      </c>
      <c r="L27" s="7">
        <f>+[13]Resumen!L27*1000</f>
        <v>0</v>
      </c>
      <c r="M27" s="7">
        <f>+[13]Resumen!M27*1000</f>
        <v>241316.60999701871</v>
      </c>
      <c r="N27" s="7">
        <f>+[13]Resumen!N27*1000</f>
        <v>258362.26099284881</v>
      </c>
      <c r="O27" s="7">
        <f>+[13]Resumen!O27*1000</f>
        <v>269941.50500611571</v>
      </c>
      <c r="P27" s="7">
        <f>+[13]Resumen!P27*1000</f>
        <v>285042.99796030635</v>
      </c>
      <c r="Q27" s="7">
        <f>+[13]Resumen!Q27*1000</f>
        <v>298843.5967745267</v>
      </c>
      <c r="R27" s="7">
        <f>+[13]Resumen!R27*1000</f>
        <v>302104.44154214865</v>
      </c>
      <c r="S27" s="7">
        <f>+[13]Resumen!S27*1000</f>
        <v>298278.56678391871</v>
      </c>
      <c r="T27" s="7">
        <f>+[13]Resumen!T27*1000</f>
        <v>299625.93588514085</v>
      </c>
      <c r="U27" s="7">
        <f>+[13]Resumen!U27*1000</f>
        <v>299510.04305654881</v>
      </c>
      <c r="V27" s="7">
        <f>+[13]Resumen!V27*1000</f>
        <v>293254.58744548162</v>
      </c>
      <c r="W27" s="7">
        <f>+[13]Resumen!W27*1000</f>
        <v>0</v>
      </c>
      <c r="X27" s="7">
        <f>+[13]Resumen!X27*1000</f>
        <v>0</v>
      </c>
      <c r="Y27" s="7">
        <f>+[13]Resumen!Y27*1000</f>
        <v>0</v>
      </c>
      <c r="Z27" s="7">
        <f>+[13]Resumen!Z27*1000</f>
        <v>0</v>
      </c>
      <c r="AA27" s="7">
        <f>+[13]Resumen!AA27*1000</f>
        <v>0</v>
      </c>
      <c r="AB27" s="7">
        <f>+[13]Resumen!AB27*1000</f>
        <v>0</v>
      </c>
      <c r="AC27" s="7">
        <f>+[13]Resumen!AC27*1000</f>
        <v>0</v>
      </c>
      <c r="AD27" s="60">
        <f t="shared" ref="AD27:AD35" si="3">SUM(F27:AC27)*E27+SUM(F28:AC28)*E28+SUM(F29:AC29)*E29+SUM(F30:AC30)*E30</f>
        <v>81306756.909450918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+[13]Resumen!E28</f>
        <v>4</v>
      </c>
      <c r="F28" s="7">
        <f>+[13]Resumen!F28*1000</f>
        <v>0</v>
      </c>
      <c r="G28" s="7">
        <f>+[13]Resumen!G28*1000</f>
        <v>0</v>
      </c>
      <c r="H28" s="7">
        <f>+[13]Resumen!H28*1000</f>
        <v>0</v>
      </c>
      <c r="I28" s="7">
        <f>+[13]Resumen!I28*1000</f>
        <v>0</v>
      </c>
      <c r="J28" s="7">
        <f>+[13]Resumen!J28*1000</f>
        <v>0</v>
      </c>
      <c r="K28" s="7">
        <f>+[13]Resumen!K28*1000</f>
        <v>0</v>
      </c>
      <c r="L28" s="7">
        <f>+[13]Resumen!L28*1000</f>
        <v>0</v>
      </c>
      <c r="M28" s="7">
        <f>+[13]Resumen!M28*1000</f>
        <v>221530.13153940521</v>
      </c>
      <c r="N28" s="7">
        <f>+[13]Resumen!N28*1000</f>
        <v>243382.20692167792</v>
      </c>
      <c r="O28" s="7">
        <f>+[13]Resumen!O28*1000</f>
        <v>257893.1160739164</v>
      </c>
      <c r="P28" s="7">
        <f>+[13]Resumen!P28*1000</f>
        <v>271925.18265912909</v>
      </c>
      <c r="Q28" s="7">
        <f>+[13]Resumen!Q28*1000</f>
        <v>281812.31211532798</v>
      </c>
      <c r="R28" s="7">
        <f>+[13]Resumen!R28*1000</f>
        <v>283060.69993336574</v>
      </c>
      <c r="S28" s="7">
        <f>+[13]Resumen!S28*1000</f>
        <v>276441.79020444036</v>
      </c>
      <c r="T28" s="7">
        <f>+[13]Resumen!T28*1000</f>
        <v>270744.19095225108</v>
      </c>
      <c r="U28" s="7">
        <f>+[13]Resumen!U28*1000</f>
        <v>268908.38547873235</v>
      </c>
      <c r="V28" s="7">
        <f>+[13]Resumen!V28*1000</f>
        <v>264941.70197219122</v>
      </c>
      <c r="W28" s="7">
        <f>+[13]Resumen!W28*1000</f>
        <v>0</v>
      </c>
      <c r="X28" s="7">
        <f>+[13]Resumen!X28*1000</f>
        <v>0</v>
      </c>
      <c r="Y28" s="7">
        <f>+[13]Resumen!Y28*1000</f>
        <v>0</v>
      </c>
      <c r="Z28" s="7">
        <f>+[13]Resumen!Z28*1000</f>
        <v>0</v>
      </c>
      <c r="AA28" s="7">
        <f>+[13]Resumen!AA28*1000</f>
        <v>0</v>
      </c>
      <c r="AB28" s="7">
        <f>+[13]Resumen!AB28*1000</f>
        <v>0</v>
      </c>
      <c r="AC28" s="7">
        <f>+[13]Resumen!AC28*1000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+[13]Resumen!E29</f>
        <v>4</v>
      </c>
      <c r="F29" s="7">
        <f>+[13]Resumen!F29*1000</f>
        <v>0</v>
      </c>
      <c r="G29" s="7">
        <f>+[13]Resumen!G29*1000</f>
        <v>0</v>
      </c>
      <c r="H29" s="7">
        <f>+[13]Resumen!H29*1000</f>
        <v>0</v>
      </c>
      <c r="I29" s="7">
        <f>+[13]Resumen!I29*1000</f>
        <v>0</v>
      </c>
      <c r="J29" s="7">
        <f>+[13]Resumen!J29*1000</f>
        <v>0</v>
      </c>
      <c r="K29" s="7">
        <f>+[13]Resumen!K29*1000</f>
        <v>0</v>
      </c>
      <c r="L29" s="7">
        <f>+[13]Resumen!L29*1000</f>
        <v>0</v>
      </c>
      <c r="M29" s="7">
        <f>+[13]Resumen!M29*1000</f>
        <v>184310.94597797736</v>
      </c>
      <c r="N29" s="7">
        <f>+[13]Resumen!N29*1000</f>
        <v>201491.36588447302</v>
      </c>
      <c r="O29" s="7">
        <f>+[13]Resumen!O29*1000</f>
        <v>216373.72505191603</v>
      </c>
      <c r="P29" s="7">
        <f>+[13]Resumen!P29*1000</f>
        <v>227323.76632940074</v>
      </c>
      <c r="Q29" s="7">
        <f>+[13]Resumen!Q29*1000</f>
        <v>240243.39442463365</v>
      </c>
      <c r="R29" s="7">
        <f>+[13]Resumen!R29*1000</f>
        <v>248460.14638156496</v>
      </c>
      <c r="S29" s="7">
        <f>+[13]Resumen!S29*1000</f>
        <v>248877.26816557659</v>
      </c>
      <c r="T29" s="7">
        <f>+[13]Resumen!T29*1000</f>
        <v>244610.25214267703</v>
      </c>
      <c r="U29" s="7">
        <f>+[13]Resumen!U29*1000</f>
        <v>242092.5384027634</v>
      </c>
      <c r="V29" s="7">
        <f>+[13]Resumen!V29*1000</f>
        <v>238897.35408769356</v>
      </c>
      <c r="W29" s="7">
        <f>+[13]Resumen!W29*1000</f>
        <v>0</v>
      </c>
      <c r="X29" s="7">
        <f>+[13]Resumen!X29*1000</f>
        <v>0</v>
      </c>
      <c r="Y29" s="7">
        <f>+[13]Resumen!Y29*1000</f>
        <v>0</v>
      </c>
      <c r="Z29" s="7">
        <f>+[13]Resumen!Z29*1000</f>
        <v>0</v>
      </c>
      <c r="AA29" s="7">
        <f>+[13]Resumen!AA29*1000</f>
        <v>0</v>
      </c>
      <c r="AB29" s="7">
        <f>+[13]Resumen!AB29*1000</f>
        <v>0</v>
      </c>
      <c r="AC29" s="7">
        <f>+[13]Resumen!AC29*1000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+[13]Resumen!E30</f>
        <v>2</v>
      </c>
      <c r="F30" s="7">
        <f>+[13]Resumen!F30*1000</f>
        <v>0</v>
      </c>
      <c r="G30" s="7">
        <f>+[13]Resumen!G30*1000</f>
        <v>0</v>
      </c>
      <c r="H30" s="7">
        <f>+[13]Resumen!H30*1000</f>
        <v>0</v>
      </c>
      <c r="I30" s="7">
        <f>+[13]Resumen!I30*1000</f>
        <v>0</v>
      </c>
      <c r="J30" s="7">
        <f>+[13]Resumen!J30*1000</f>
        <v>0</v>
      </c>
      <c r="K30" s="7">
        <f>+[13]Resumen!K30*1000</f>
        <v>0</v>
      </c>
      <c r="L30" s="7">
        <f>+[13]Resumen!L30*1000</f>
        <v>0</v>
      </c>
      <c r="M30" s="7">
        <f>+[13]Resumen!M30*1000</f>
        <v>182042.66057889687</v>
      </c>
      <c r="N30" s="7">
        <f>+[13]Resumen!N30*1000</f>
        <v>199617.86546632188</v>
      </c>
      <c r="O30" s="7">
        <f>+[13]Resumen!O30*1000</f>
        <v>215195.26159988414</v>
      </c>
      <c r="P30" s="7">
        <f>+[13]Resumen!P30*1000</f>
        <v>231095.05155152088</v>
      </c>
      <c r="Q30" s="7">
        <f>+[13]Resumen!Q30*1000</f>
        <v>247488.70949085281</v>
      </c>
      <c r="R30" s="7">
        <f>+[13]Resumen!R30*1000</f>
        <v>257074.72231141999</v>
      </c>
      <c r="S30" s="7">
        <f>+[13]Resumen!S30*1000</f>
        <v>255188.2775675357</v>
      </c>
      <c r="T30" s="7">
        <f>+[13]Resumen!T30*1000</f>
        <v>248583.87828364864</v>
      </c>
      <c r="U30" s="7">
        <f>+[13]Resumen!U30*1000</f>
        <v>245279.80735165565</v>
      </c>
      <c r="V30" s="7">
        <f>+[13]Resumen!V30*1000</f>
        <v>242365.81668495218</v>
      </c>
      <c r="W30" s="7">
        <f>+[13]Resumen!W30*1000</f>
        <v>0</v>
      </c>
      <c r="X30" s="7">
        <f>+[13]Resumen!X30*1000</f>
        <v>0</v>
      </c>
      <c r="Y30" s="7">
        <f>+[13]Resumen!Y30*1000</f>
        <v>0</v>
      </c>
      <c r="Z30" s="7">
        <f>+[13]Resumen!Z30*1000</f>
        <v>0</v>
      </c>
      <c r="AA30" s="7">
        <f>+[13]Resumen!AA30*1000</f>
        <v>0</v>
      </c>
      <c r="AB30" s="7">
        <f>+[13]Resumen!AB30*1000</f>
        <v>0</v>
      </c>
      <c r="AC30" s="7">
        <f>+[13]Resumen!AC30*1000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+[13]Resumen!E31</f>
        <v>20</v>
      </c>
      <c r="F31" s="7">
        <f>+[13]Resumen!F31*1000</f>
        <v>0</v>
      </c>
      <c r="G31" s="7">
        <f>+[13]Resumen!G31*1000</f>
        <v>0</v>
      </c>
      <c r="H31" s="7">
        <f>+[13]Resumen!H31*1000</f>
        <v>0</v>
      </c>
      <c r="I31" s="7">
        <f>+[13]Resumen!I31*1000</f>
        <v>0</v>
      </c>
      <c r="J31" s="7">
        <f>+[13]Resumen!J31*1000</f>
        <v>0</v>
      </c>
      <c r="K31" s="7">
        <f>+[13]Resumen!K31*1000</f>
        <v>0</v>
      </c>
      <c r="L31" s="7">
        <f>+[13]Resumen!L31*1000</f>
        <v>0</v>
      </c>
      <c r="M31" s="7">
        <f>+[13]Resumen!M31*1000</f>
        <v>233934.8751311776</v>
      </c>
      <c r="N31" s="7">
        <f>+[13]Resumen!N31*1000</f>
        <v>250820.66751883822</v>
      </c>
      <c r="O31" s="7">
        <f>+[13]Resumen!O31*1000</f>
        <v>262930.60769474949</v>
      </c>
      <c r="P31" s="7">
        <f>+[13]Resumen!P31*1000</f>
        <v>278932.11275082076</v>
      </c>
      <c r="Q31" s="7">
        <f>+[13]Resumen!Q31*1000</f>
        <v>291746.56502061029</v>
      </c>
      <c r="R31" s="7">
        <f>+[13]Resumen!R31*1000</f>
        <v>293340.06916171766</v>
      </c>
      <c r="S31" s="7">
        <f>+[13]Resumen!S31*1000</f>
        <v>289136.6791197423</v>
      </c>
      <c r="T31" s="7">
        <f>+[13]Resumen!T31*1000</f>
        <v>291399.83807416842</v>
      </c>
      <c r="U31" s="7">
        <f>+[13]Resumen!U31*1000</f>
        <v>290974.94715162733</v>
      </c>
      <c r="V31" s="7">
        <f>+[13]Resumen!V31*1000</f>
        <v>283871.81834055088</v>
      </c>
      <c r="W31" s="7">
        <f>+[13]Resumen!W31*1000</f>
        <v>0</v>
      </c>
      <c r="X31" s="7">
        <f>+[13]Resumen!X31*1000</f>
        <v>0</v>
      </c>
      <c r="Y31" s="7">
        <f>+[13]Resumen!Y31*1000</f>
        <v>0</v>
      </c>
      <c r="Z31" s="7">
        <f>+[13]Resumen!Z31*1000</f>
        <v>0</v>
      </c>
      <c r="AA31" s="7">
        <f>+[13]Resumen!AA31*1000</f>
        <v>0</v>
      </c>
      <c r="AB31" s="7">
        <f>+[13]Resumen!AB31*1000</f>
        <v>0</v>
      </c>
      <c r="AC31" s="7">
        <f>+[13]Resumen!AC31*1000</f>
        <v>0</v>
      </c>
      <c r="AD31" s="60">
        <f t="shared" si="3"/>
        <v>81725933.115627974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+[13]Resumen!E32</f>
        <v>5</v>
      </c>
      <c r="F32" s="7">
        <f>+[13]Resumen!F32*1000</f>
        <v>0</v>
      </c>
      <c r="G32" s="7">
        <f>+[13]Resumen!G32*1000</f>
        <v>0</v>
      </c>
      <c r="H32" s="7">
        <f>+[13]Resumen!H32*1000</f>
        <v>0</v>
      </c>
      <c r="I32" s="7">
        <f>+[13]Resumen!I32*1000</f>
        <v>0</v>
      </c>
      <c r="J32" s="7">
        <f>+[13]Resumen!J32*1000</f>
        <v>0</v>
      </c>
      <c r="K32" s="7">
        <f>+[13]Resumen!K32*1000</f>
        <v>0</v>
      </c>
      <c r="L32" s="7">
        <f>+[13]Resumen!L32*1000</f>
        <v>0</v>
      </c>
      <c r="M32" s="7">
        <f>+[13]Resumen!M32*1000</f>
        <v>212304.32615905665</v>
      </c>
      <c r="N32" s="7">
        <f>+[13]Resumen!N32*1000</f>
        <v>234995.0234618354</v>
      </c>
      <c r="O32" s="7">
        <f>+[13]Resumen!O32*1000</f>
        <v>249856.52505660892</v>
      </c>
      <c r="P32" s="7">
        <f>+[13]Resumen!P32*1000</f>
        <v>264371.44381334767</v>
      </c>
      <c r="Q32" s="7">
        <f>+[13]Resumen!Q32*1000</f>
        <v>274797.01313982485</v>
      </c>
      <c r="R32" s="7">
        <f>+[13]Resumen!R32*1000</f>
        <v>274958.9125773462</v>
      </c>
      <c r="S32" s="7">
        <f>+[13]Resumen!S32*1000</f>
        <v>267844.6026492808</v>
      </c>
      <c r="T32" s="7">
        <f>+[13]Resumen!T32*1000</f>
        <v>261530.41014692048</v>
      </c>
      <c r="U32" s="7">
        <f>+[13]Resumen!U32*1000</f>
        <v>258792.63015409652</v>
      </c>
      <c r="V32" s="7">
        <f>+[13]Resumen!V32*1000</f>
        <v>255403.62427011738</v>
      </c>
      <c r="W32" s="7">
        <f>+[13]Resumen!W32*1000</f>
        <v>0</v>
      </c>
      <c r="X32" s="7">
        <f>+[13]Resumen!X32*1000</f>
        <v>0</v>
      </c>
      <c r="Y32" s="7">
        <f>+[13]Resumen!Y32*1000</f>
        <v>0</v>
      </c>
      <c r="Z32" s="7">
        <f>+[13]Resumen!Z32*1000</f>
        <v>0</v>
      </c>
      <c r="AA32" s="7">
        <f>+[13]Resumen!AA32*1000</f>
        <v>0</v>
      </c>
      <c r="AB32" s="7">
        <f>+[13]Resumen!AB32*1000</f>
        <v>0</v>
      </c>
      <c r="AC32" s="7">
        <f>+[13]Resumen!AC32*1000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+[13]Resumen!E33</f>
        <v>4</v>
      </c>
      <c r="F33" s="7">
        <f>+[13]Resumen!F33*1000</f>
        <v>0</v>
      </c>
      <c r="G33" s="7">
        <f>+[13]Resumen!G33*1000</f>
        <v>0</v>
      </c>
      <c r="H33" s="7">
        <f>+[13]Resumen!H33*1000</f>
        <v>0</v>
      </c>
      <c r="I33" s="7">
        <f>+[13]Resumen!I33*1000</f>
        <v>0</v>
      </c>
      <c r="J33" s="7">
        <f>+[13]Resumen!J33*1000</f>
        <v>0</v>
      </c>
      <c r="K33" s="7">
        <f>+[13]Resumen!K33*1000</f>
        <v>0</v>
      </c>
      <c r="L33" s="7">
        <f>+[13]Resumen!L33*1000</f>
        <v>0</v>
      </c>
      <c r="M33" s="7">
        <f>+[13]Resumen!M33*1000</f>
        <v>177281.95458456964</v>
      </c>
      <c r="N33" s="7">
        <f>+[13]Resumen!N33*1000</f>
        <v>195322.54909538035</v>
      </c>
      <c r="O33" s="7">
        <f>+[13]Resumen!O33*1000</f>
        <v>210899.45568420715</v>
      </c>
      <c r="P33" s="7">
        <f>+[13]Resumen!P33*1000</f>
        <v>224202.6367815898</v>
      </c>
      <c r="Q33" s="7">
        <f>+[13]Resumen!Q33*1000</f>
        <v>237683.16870466014</v>
      </c>
      <c r="R33" s="7">
        <f>+[13]Resumen!R33*1000</f>
        <v>245301.03155306639</v>
      </c>
      <c r="S33" s="7">
        <f>+[13]Resumen!S33*1000</f>
        <v>245551.03420828618</v>
      </c>
      <c r="T33" s="7">
        <f>+[13]Resumen!T33*1000</f>
        <v>241128.02295406899</v>
      </c>
      <c r="U33" s="7">
        <f>+[13]Resumen!U33*1000</f>
        <v>237847.04963277749</v>
      </c>
      <c r="V33" s="7">
        <f>+[13]Resumen!V33*1000</f>
        <v>234740.87980915612</v>
      </c>
      <c r="W33" s="7">
        <f>+[13]Resumen!W33*1000</f>
        <v>0</v>
      </c>
      <c r="X33" s="7">
        <f>+[13]Resumen!X33*1000</f>
        <v>0</v>
      </c>
      <c r="Y33" s="7">
        <f>+[13]Resumen!Y33*1000</f>
        <v>0</v>
      </c>
      <c r="Z33" s="7">
        <f>+[13]Resumen!Z33*1000</f>
        <v>0</v>
      </c>
      <c r="AA33" s="7">
        <f>+[13]Resumen!AA33*1000</f>
        <v>0</v>
      </c>
      <c r="AB33" s="7">
        <f>+[13]Resumen!AB33*1000</f>
        <v>0</v>
      </c>
      <c r="AC33" s="7">
        <f>+[13]Resumen!AC33*1000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+[13]Resumen!E34</f>
        <v>2</v>
      </c>
      <c r="F34" s="7">
        <f>+[13]Resumen!F34*1000</f>
        <v>0</v>
      </c>
      <c r="G34" s="7">
        <f>+[13]Resumen!G34*1000</f>
        <v>0</v>
      </c>
      <c r="H34" s="7">
        <f>+[13]Resumen!H34*1000</f>
        <v>0</v>
      </c>
      <c r="I34" s="7">
        <f>+[13]Resumen!I34*1000</f>
        <v>0</v>
      </c>
      <c r="J34" s="7">
        <f>+[13]Resumen!J34*1000</f>
        <v>0</v>
      </c>
      <c r="K34" s="7">
        <f>+[13]Resumen!K34*1000</f>
        <v>0</v>
      </c>
      <c r="L34" s="7">
        <f>+[13]Resumen!L34*1000</f>
        <v>0</v>
      </c>
      <c r="M34" s="7">
        <f>+[13]Resumen!M34*1000</f>
        <v>180933.72519475161</v>
      </c>
      <c r="N34" s="7">
        <f>+[13]Resumen!N34*1000</f>
        <v>200174.56683870274</v>
      </c>
      <c r="O34" s="7">
        <f>+[13]Resumen!O34*1000</f>
        <v>216427.51351482235</v>
      </c>
      <c r="P34" s="7">
        <f>+[13]Resumen!P34*1000</f>
        <v>231358.24436446212</v>
      </c>
      <c r="Q34" s="7">
        <f>+[13]Resumen!Q34*1000</f>
        <v>245504.78176736858</v>
      </c>
      <c r="R34" s="7">
        <f>+[13]Resumen!R34*1000</f>
        <v>252615.38302319543</v>
      </c>
      <c r="S34" s="7">
        <f>+[13]Resumen!S34*1000</f>
        <v>250644.25339779598</v>
      </c>
      <c r="T34" s="7">
        <f>+[13]Resumen!T34*1000</f>
        <v>245719.12183034263</v>
      </c>
      <c r="U34" s="7">
        <f>+[13]Resumen!U34*1000</f>
        <v>243664.47926385544</v>
      </c>
      <c r="V34" s="7">
        <f>+[13]Resumen!V34*1000</f>
        <v>237990.84439205096</v>
      </c>
      <c r="W34" s="7">
        <f>+[13]Resumen!W34*1000</f>
        <v>0</v>
      </c>
      <c r="X34" s="7">
        <f>+[13]Resumen!X34*1000</f>
        <v>0</v>
      </c>
      <c r="Y34" s="7">
        <f>+[13]Resumen!Y34*1000</f>
        <v>0</v>
      </c>
      <c r="Z34" s="7">
        <f>+[13]Resumen!Z34*1000</f>
        <v>0</v>
      </c>
      <c r="AA34" s="7">
        <f>+[13]Resumen!AA34*1000</f>
        <v>0</v>
      </c>
      <c r="AB34" s="7">
        <f>+[13]Resumen!AB34*1000</f>
        <v>0</v>
      </c>
      <c r="AC34" s="7">
        <f>+[13]Resumen!AC34*1000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+[13]Resumen!E35</f>
        <v>21</v>
      </c>
      <c r="F35" s="7">
        <f>+[13]Resumen!F35*1000</f>
        <v>0</v>
      </c>
      <c r="G35" s="7">
        <f>+[13]Resumen!G35*1000</f>
        <v>0</v>
      </c>
      <c r="H35" s="7">
        <f>+[13]Resumen!H35*1000</f>
        <v>0</v>
      </c>
      <c r="I35" s="7">
        <f>+[13]Resumen!I35*1000</f>
        <v>0</v>
      </c>
      <c r="J35" s="7">
        <f>+[13]Resumen!J35*1000</f>
        <v>0</v>
      </c>
      <c r="K35" s="7">
        <f>+[13]Resumen!K35*1000</f>
        <v>0</v>
      </c>
      <c r="L35" s="7">
        <f>+[13]Resumen!L35*1000</f>
        <v>0</v>
      </c>
      <c r="M35" s="7">
        <f>+[13]Resumen!M35*1000</f>
        <v>236709.74820411066</v>
      </c>
      <c r="N35" s="7">
        <f>+[13]Resumen!N35*1000</f>
        <v>252422.68677140537</v>
      </c>
      <c r="O35" s="7">
        <f>+[13]Resumen!O35*1000</f>
        <v>264274.14520773885</v>
      </c>
      <c r="P35" s="7">
        <f>+[13]Resumen!P35*1000</f>
        <v>280111.47264191374</v>
      </c>
      <c r="Q35" s="7">
        <f>+[13]Resumen!Q35*1000</f>
        <v>292720.29069190391</v>
      </c>
      <c r="R35" s="7">
        <f>+[13]Resumen!R35*1000</f>
        <v>293867.24950307998</v>
      </c>
      <c r="S35" s="7">
        <f>+[13]Resumen!S35*1000</f>
        <v>290308.90564468963</v>
      </c>
      <c r="T35" s="7">
        <f>+[13]Resumen!T35*1000</f>
        <v>292521.16042359039</v>
      </c>
      <c r="U35" s="7">
        <f>+[13]Resumen!U35*1000</f>
        <v>292094.92378283711</v>
      </c>
      <c r="V35" s="7">
        <f>+[13]Resumen!V35*1000</f>
        <v>285034.91729330888</v>
      </c>
      <c r="W35" s="7">
        <f>+[13]Resumen!W35*1000</f>
        <v>0</v>
      </c>
      <c r="X35" s="7">
        <f>+[13]Resumen!X35*1000</f>
        <v>0</v>
      </c>
      <c r="Y35" s="7">
        <f>+[13]Resumen!Y35*1000</f>
        <v>0</v>
      </c>
      <c r="Z35" s="7">
        <f>+[13]Resumen!Z35*1000</f>
        <v>0</v>
      </c>
      <c r="AA35" s="7">
        <f>+[13]Resumen!AA35*1000</f>
        <v>0</v>
      </c>
      <c r="AB35" s="7">
        <f>+[13]Resumen!AB35*1000</f>
        <v>0</v>
      </c>
      <c r="AC35" s="7">
        <f>+[13]Resumen!AC35*1000</f>
        <v>0</v>
      </c>
      <c r="AD35" s="60">
        <f t="shared" si="3"/>
        <v>81892589.14781554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+[13]Resumen!E36</f>
        <v>3</v>
      </c>
      <c r="F36" s="7">
        <f>+[13]Resumen!F36*1000</f>
        <v>0</v>
      </c>
      <c r="G36" s="7">
        <f>+[13]Resumen!G36*1000</f>
        <v>0</v>
      </c>
      <c r="H36" s="7">
        <f>+[13]Resumen!H36*1000</f>
        <v>0</v>
      </c>
      <c r="I36" s="7">
        <f>+[13]Resumen!I36*1000</f>
        <v>0</v>
      </c>
      <c r="J36" s="7">
        <f>+[13]Resumen!J36*1000</f>
        <v>0</v>
      </c>
      <c r="K36" s="7">
        <f>+[13]Resumen!K36*1000</f>
        <v>0</v>
      </c>
      <c r="L36" s="7">
        <f>+[13]Resumen!L36*1000</f>
        <v>0</v>
      </c>
      <c r="M36" s="7">
        <f>+[13]Resumen!M36*1000</f>
        <v>216965.75841490304</v>
      </c>
      <c r="N36" s="7">
        <f>+[13]Resumen!N36*1000</f>
        <v>238745.94277526281</v>
      </c>
      <c r="O36" s="7">
        <f>+[13]Resumen!O36*1000</f>
        <v>253605.17042414384</v>
      </c>
      <c r="P36" s="7">
        <f>+[13]Resumen!P36*1000</f>
        <v>267263.68894528557</v>
      </c>
      <c r="Q36" s="7">
        <f>+[13]Resumen!Q36*1000</f>
        <v>276721.57667659735</v>
      </c>
      <c r="R36" s="7">
        <f>+[13]Resumen!R36*1000</f>
        <v>276904.38031009631</v>
      </c>
      <c r="S36" s="7">
        <f>+[13]Resumen!S36*1000</f>
        <v>270311.02651175624</v>
      </c>
      <c r="T36" s="7">
        <f>+[13]Resumen!T36*1000</f>
        <v>263548.73315636546</v>
      </c>
      <c r="U36" s="7">
        <f>+[13]Resumen!U36*1000</f>
        <v>259884.81293593004</v>
      </c>
      <c r="V36" s="7">
        <f>+[13]Resumen!V36*1000</f>
        <v>256539.92541690043</v>
      </c>
      <c r="W36" s="7">
        <f>+[13]Resumen!W36*1000</f>
        <v>0</v>
      </c>
      <c r="X36" s="7">
        <f>+[13]Resumen!X36*1000</f>
        <v>0</v>
      </c>
      <c r="Y36" s="7">
        <f>+[13]Resumen!Y36*1000</f>
        <v>0</v>
      </c>
      <c r="Z36" s="7">
        <f>+[13]Resumen!Z36*1000</f>
        <v>0</v>
      </c>
      <c r="AA36" s="7">
        <f>+[13]Resumen!AA36*1000</f>
        <v>0</v>
      </c>
      <c r="AB36" s="7">
        <f>+[13]Resumen!AB36*1000</f>
        <v>0</v>
      </c>
      <c r="AC36" s="7">
        <f>+[13]Resumen!AC36*1000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+[13]Resumen!E37</f>
        <v>5</v>
      </c>
      <c r="F37" s="7">
        <f>+[13]Resumen!F37*1000</f>
        <v>0</v>
      </c>
      <c r="G37" s="7">
        <f>+[13]Resumen!G37*1000</f>
        <v>0</v>
      </c>
      <c r="H37" s="7">
        <f>+[13]Resumen!H37*1000</f>
        <v>0</v>
      </c>
      <c r="I37" s="7">
        <f>+[13]Resumen!I37*1000</f>
        <v>0</v>
      </c>
      <c r="J37" s="7">
        <f>+[13]Resumen!J37*1000</f>
        <v>0</v>
      </c>
      <c r="K37" s="7">
        <f>+[13]Resumen!K37*1000</f>
        <v>0</v>
      </c>
      <c r="L37" s="7">
        <f>+[13]Resumen!L37*1000</f>
        <v>0</v>
      </c>
      <c r="M37" s="7">
        <f>+[13]Resumen!M37*1000</f>
        <v>177103.94255560287</v>
      </c>
      <c r="N37" s="7">
        <f>+[13]Resumen!N37*1000</f>
        <v>195127.81625272104</v>
      </c>
      <c r="O37" s="7">
        <f>+[13]Resumen!O37*1000</f>
        <v>210437.88917208894</v>
      </c>
      <c r="P37" s="7">
        <f>+[13]Resumen!P37*1000</f>
        <v>222392.38723865646</v>
      </c>
      <c r="Q37" s="7">
        <f>+[13]Resumen!Q37*1000</f>
        <v>234777.41764805009</v>
      </c>
      <c r="R37" s="7">
        <f>+[13]Resumen!R37*1000</f>
        <v>242421.84518589056</v>
      </c>
      <c r="S37" s="7">
        <f>+[13]Resumen!S37*1000</f>
        <v>242820.52957077353</v>
      </c>
      <c r="T37" s="7">
        <f>+[13]Resumen!T37*1000</f>
        <v>236701.26911975275</v>
      </c>
      <c r="U37" s="7">
        <f>+[13]Resumen!U37*1000</f>
        <v>233607.03274377435</v>
      </c>
      <c r="V37" s="7">
        <f>+[13]Resumen!V37*1000</f>
        <v>229262.17910793255</v>
      </c>
      <c r="W37" s="7">
        <f>+[13]Resumen!W37*1000</f>
        <v>0</v>
      </c>
      <c r="X37" s="7">
        <f>+[13]Resumen!X37*1000</f>
        <v>0</v>
      </c>
      <c r="Y37" s="7">
        <f>+[13]Resumen!Y37*1000</f>
        <v>0</v>
      </c>
      <c r="Z37" s="7">
        <f>+[13]Resumen!Z37*1000</f>
        <v>0</v>
      </c>
      <c r="AA37" s="7">
        <f>+[13]Resumen!AA37*1000</f>
        <v>0</v>
      </c>
      <c r="AB37" s="7">
        <f>+[13]Resumen!AB37*1000</f>
        <v>0</v>
      </c>
      <c r="AC37" s="7">
        <f>+[13]Resumen!AC37*1000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+[13]Resumen!E38</f>
        <v>2</v>
      </c>
      <c r="F38" s="7">
        <f>+[13]Resumen!F38*1000</f>
        <v>0</v>
      </c>
      <c r="G38" s="7">
        <f>+[13]Resumen!G38*1000</f>
        <v>0</v>
      </c>
      <c r="H38" s="7">
        <f>+[13]Resumen!H38*1000</f>
        <v>0</v>
      </c>
      <c r="I38" s="7">
        <f>+[13]Resumen!I38*1000</f>
        <v>0</v>
      </c>
      <c r="J38" s="7">
        <f>+[13]Resumen!J38*1000</f>
        <v>0</v>
      </c>
      <c r="K38" s="7">
        <f>+[13]Resumen!K38*1000</f>
        <v>0</v>
      </c>
      <c r="L38" s="7">
        <f>+[13]Resumen!L38*1000</f>
        <v>0</v>
      </c>
      <c r="M38" s="7">
        <f>+[13]Resumen!M38*1000</f>
        <v>184756.8555355251</v>
      </c>
      <c r="N38" s="7">
        <f>+[13]Resumen!N38*1000</f>
        <v>202952.08260551092</v>
      </c>
      <c r="O38" s="7">
        <f>+[13]Resumen!O38*1000</f>
        <v>217464.19336755472</v>
      </c>
      <c r="P38" s="7">
        <f>+[13]Resumen!P38*1000</f>
        <v>233111.5498942245</v>
      </c>
      <c r="Q38" s="7">
        <f>+[13]Resumen!Q38*1000</f>
        <v>248548.8175559263</v>
      </c>
      <c r="R38" s="7">
        <f>+[13]Resumen!R38*1000</f>
        <v>257960.23032598605</v>
      </c>
      <c r="S38" s="7">
        <f>+[13]Resumen!S38*1000</f>
        <v>253531.47592790239</v>
      </c>
      <c r="T38" s="7">
        <f>+[13]Resumen!T38*1000</f>
        <v>245752.33034118707</v>
      </c>
      <c r="U38" s="7">
        <f>+[13]Resumen!U38*1000</f>
        <v>241728.53116293129</v>
      </c>
      <c r="V38" s="7">
        <f>+[13]Resumen!V38*1000</f>
        <v>237433.46062397823</v>
      </c>
      <c r="W38" s="7">
        <f>+[13]Resumen!W38*1000</f>
        <v>0</v>
      </c>
      <c r="X38" s="7">
        <f>+[13]Resumen!X38*1000</f>
        <v>0</v>
      </c>
      <c r="Y38" s="7">
        <f>+[13]Resumen!Y38*1000</f>
        <v>0</v>
      </c>
      <c r="Z38" s="7">
        <f>+[13]Resumen!Z38*1000</f>
        <v>0</v>
      </c>
      <c r="AA38" s="7">
        <f>+[13]Resumen!AA38*1000</f>
        <v>0</v>
      </c>
      <c r="AB38" s="7">
        <f>+[13]Resumen!AB38*1000</f>
        <v>0</v>
      </c>
      <c r="AC38" s="7">
        <f>+[13]Resumen!AC38*1000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+[13]Resumen!E39</f>
        <v>22</v>
      </c>
      <c r="F39" s="7">
        <f>+[13]Resumen!F39*1000</f>
        <v>0</v>
      </c>
      <c r="G39" s="7">
        <f>+[13]Resumen!G39*1000</f>
        <v>0</v>
      </c>
      <c r="H39" s="7">
        <f>+[13]Resumen!H39*1000</f>
        <v>0</v>
      </c>
      <c r="I39" s="7">
        <f>+[13]Resumen!I39*1000</f>
        <v>0</v>
      </c>
      <c r="J39" s="7">
        <f>+[13]Resumen!J39*1000</f>
        <v>0</v>
      </c>
      <c r="K39" s="7">
        <f>+[13]Resumen!K39*1000</f>
        <v>0</v>
      </c>
      <c r="L39" s="7">
        <f>+[13]Resumen!L39*1000</f>
        <v>0</v>
      </c>
      <c r="M39" s="7">
        <f>+[13]Resumen!M39*1000</f>
        <v>243017.1739690667</v>
      </c>
      <c r="N39" s="7">
        <f>+[13]Resumen!N39*1000</f>
        <v>259017.18284079488</v>
      </c>
      <c r="O39" s="7">
        <f>+[13]Resumen!O39*1000</f>
        <v>270810.26041837013</v>
      </c>
      <c r="P39" s="7">
        <f>+[13]Resumen!P39*1000</f>
        <v>287119.78235967818</v>
      </c>
      <c r="Q39" s="7">
        <f>+[13]Resumen!Q39*1000</f>
        <v>300649.08014382317</v>
      </c>
      <c r="R39" s="7">
        <f>+[13]Resumen!R39*1000</f>
        <v>302765.03447975777</v>
      </c>
      <c r="S39" s="7">
        <f>+[13]Resumen!S39*1000</f>
        <v>299091.13475213881</v>
      </c>
      <c r="T39" s="7">
        <f>+[13]Resumen!T39*1000</f>
        <v>300638.65347672976</v>
      </c>
      <c r="U39" s="7">
        <f>+[13]Resumen!U39*1000</f>
        <v>300681.63592835364</v>
      </c>
      <c r="V39" s="7">
        <f>+[13]Resumen!V39*1000</f>
        <v>294045.70869195659</v>
      </c>
      <c r="W39" s="7">
        <f>+[13]Resumen!W39*1000</f>
        <v>0</v>
      </c>
      <c r="X39" s="7">
        <f>+[13]Resumen!X39*1000</f>
        <v>0</v>
      </c>
      <c r="Y39" s="7">
        <f>+[13]Resumen!Y39*1000</f>
        <v>0</v>
      </c>
      <c r="Z39" s="7">
        <f>+[13]Resumen!Z39*1000</f>
        <v>0</v>
      </c>
      <c r="AA39" s="7">
        <f>+[13]Resumen!AA39*1000</f>
        <v>0</v>
      </c>
      <c r="AB39" s="7">
        <f>+[13]Resumen!AB39*1000</f>
        <v>0</v>
      </c>
      <c r="AC39" s="7">
        <f>+[13]Resumen!AC39*1000</f>
        <v>0</v>
      </c>
      <c r="AD39" s="60">
        <f t="shared" ref="AD39" si="4">SUM(F39:AC39)*E39+SUM(F40:AC40)*E40+SUM(F41:AC41)*E41+SUM(F42:AC42)*E42</f>
        <v>82610389.431278452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+[13]Resumen!E40</f>
        <v>4</v>
      </c>
      <c r="F40" s="7">
        <f>+[13]Resumen!F40*1000</f>
        <v>0</v>
      </c>
      <c r="G40" s="7">
        <f>+[13]Resumen!G40*1000</f>
        <v>0</v>
      </c>
      <c r="H40" s="7">
        <f>+[13]Resumen!H40*1000</f>
        <v>0</v>
      </c>
      <c r="I40" s="7">
        <f>+[13]Resumen!I40*1000</f>
        <v>0</v>
      </c>
      <c r="J40" s="7">
        <f>+[13]Resumen!J40*1000</f>
        <v>0</v>
      </c>
      <c r="K40" s="7">
        <f>+[13]Resumen!K40*1000</f>
        <v>0</v>
      </c>
      <c r="L40" s="7">
        <f>+[13]Resumen!L40*1000</f>
        <v>0</v>
      </c>
      <c r="M40" s="7">
        <f>+[13]Resumen!M40*1000</f>
        <v>223463.60012803267</v>
      </c>
      <c r="N40" s="7">
        <f>+[13]Resumen!N40*1000</f>
        <v>246309.63993581504</v>
      </c>
      <c r="O40" s="7">
        <f>+[13]Resumen!O40*1000</f>
        <v>261991.44472947757</v>
      </c>
      <c r="P40" s="7">
        <f>+[13]Resumen!P40*1000</f>
        <v>276582.19205842586</v>
      </c>
      <c r="Q40" s="7">
        <f>+[13]Resumen!Q40*1000</f>
        <v>286664.67529497884</v>
      </c>
      <c r="R40" s="7">
        <f>+[13]Resumen!R40*1000</f>
        <v>287086.39159408375</v>
      </c>
      <c r="S40" s="7">
        <f>+[13]Resumen!S40*1000</f>
        <v>278714.68707254424</v>
      </c>
      <c r="T40" s="7">
        <f>+[13]Resumen!T40*1000</f>
        <v>269808.09029062762</v>
      </c>
      <c r="U40" s="7">
        <f>+[13]Resumen!U40*1000</f>
        <v>265529.93553556473</v>
      </c>
      <c r="V40" s="7">
        <f>+[13]Resumen!V40*1000</f>
        <v>260968.56325671382</v>
      </c>
      <c r="W40" s="7">
        <f>+[13]Resumen!W40*1000</f>
        <v>0</v>
      </c>
      <c r="X40" s="7">
        <f>+[13]Resumen!X40*1000</f>
        <v>0</v>
      </c>
      <c r="Y40" s="7">
        <f>+[13]Resumen!Y40*1000</f>
        <v>0</v>
      </c>
      <c r="Z40" s="7">
        <f>+[13]Resumen!Z40*1000</f>
        <v>0</v>
      </c>
      <c r="AA40" s="7">
        <f>+[13]Resumen!AA40*1000</f>
        <v>0</v>
      </c>
      <c r="AB40" s="7">
        <f>+[13]Resumen!AB40*1000</f>
        <v>0</v>
      </c>
      <c r="AC40" s="7">
        <f>+[13]Resumen!AC40*1000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+[13]Resumen!E41</f>
        <v>4</v>
      </c>
      <c r="F41" s="7">
        <f>+[13]Resumen!F41*1000</f>
        <v>0</v>
      </c>
      <c r="G41" s="7">
        <f>+[13]Resumen!G41*1000</f>
        <v>0</v>
      </c>
      <c r="H41" s="7">
        <f>+[13]Resumen!H41*1000</f>
        <v>0</v>
      </c>
      <c r="I41" s="7">
        <f>+[13]Resumen!I41*1000</f>
        <v>0</v>
      </c>
      <c r="J41" s="7">
        <f>+[13]Resumen!J41*1000</f>
        <v>0</v>
      </c>
      <c r="K41" s="7">
        <f>+[13]Resumen!K41*1000</f>
        <v>0</v>
      </c>
      <c r="L41" s="7">
        <f>+[13]Resumen!L41*1000</f>
        <v>0</v>
      </c>
      <c r="M41" s="7">
        <f>+[13]Resumen!M41*1000</f>
        <v>180774.49388200077</v>
      </c>
      <c r="N41" s="7">
        <f>+[13]Resumen!N41*1000</f>
        <v>198983.8329796645</v>
      </c>
      <c r="O41" s="7">
        <f>+[13]Resumen!O41*1000</f>
        <v>214285.09833227622</v>
      </c>
      <c r="P41" s="7">
        <f>+[13]Resumen!P41*1000</f>
        <v>227790.48471706858</v>
      </c>
      <c r="Q41" s="7">
        <f>+[13]Resumen!Q41*1000</f>
        <v>240686.45996038476</v>
      </c>
      <c r="R41" s="7">
        <f>+[13]Resumen!R41*1000</f>
        <v>248598.60065281499</v>
      </c>
      <c r="S41" s="7">
        <f>+[13]Resumen!S41*1000</f>
        <v>247704.62626933857</v>
      </c>
      <c r="T41" s="7">
        <f>+[13]Resumen!T41*1000</f>
        <v>242185.54766402312</v>
      </c>
      <c r="U41" s="7">
        <f>+[13]Resumen!U41*1000</f>
        <v>239594.6438072926</v>
      </c>
      <c r="V41" s="7">
        <f>+[13]Resumen!V41*1000</f>
        <v>236778.29082480253</v>
      </c>
      <c r="W41" s="7">
        <f>+[13]Resumen!W41*1000</f>
        <v>0</v>
      </c>
      <c r="X41" s="7">
        <f>+[13]Resumen!X41*1000</f>
        <v>0</v>
      </c>
      <c r="Y41" s="7">
        <f>+[13]Resumen!Y41*1000</f>
        <v>0</v>
      </c>
      <c r="Z41" s="7">
        <f>+[13]Resumen!Z41*1000</f>
        <v>0</v>
      </c>
      <c r="AA41" s="7">
        <f>+[13]Resumen!AA41*1000</f>
        <v>0</v>
      </c>
      <c r="AB41" s="7">
        <f>+[13]Resumen!AB41*1000</f>
        <v>0</v>
      </c>
      <c r="AC41" s="7">
        <f>+[13]Resumen!AC41*1000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+[13]Resumen!E42</f>
        <v>0</v>
      </c>
      <c r="F42" s="7">
        <f>+[13]Resumen!F42*1000</f>
        <v>0</v>
      </c>
      <c r="G42" s="7">
        <f>+[13]Resumen!G42*1000</f>
        <v>0</v>
      </c>
      <c r="H42" s="7">
        <f>+[13]Resumen!H42*1000</f>
        <v>0</v>
      </c>
      <c r="I42" s="7">
        <f>+[13]Resumen!I42*1000</f>
        <v>0</v>
      </c>
      <c r="J42" s="7">
        <f>+[13]Resumen!J42*1000</f>
        <v>0</v>
      </c>
      <c r="K42" s="7">
        <f>+[13]Resumen!K42*1000</f>
        <v>0</v>
      </c>
      <c r="L42" s="7">
        <f>+[13]Resumen!L42*1000</f>
        <v>0</v>
      </c>
      <c r="M42" s="7">
        <f>+[13]Resumen!M42*1000</f>
        <v>0</v>
      </c>
      <c r="N42" s="7">
        <f>+[13]Resumen!N42*1000</f>
        <v>0</v>
      </c>
      <c r="O42" s="7">
        <f>+[13]Resumen!O42*1000</f>
        <v>0</v>
      </c>
      <c r="P42" s="7">
        <f>+[13]Resumen!P42*1000</f>
        <v>0</v>
      </c>
      <c r="Q42" s="7">
        <f>+[13]Resumen!Q42*1000</f>
        <v>0</v>
      </c>
      <c r="R42" s="7">
        <f>+[13]Resumen!R42*1000</f>
        <v>0</v>
      </c>
      <c r="S42" s="7">
        <f>+[13]Resumen!S42*1000</f>
        <v>0</v>
      </c>
      <c r="T42" s="7">
        <f>+[13]Resumen!T42*1000</f>
        <v>0</v>
      </c>
      <c r="U42" s="7">
        <f>+[13]Resumen!U42*1000</f>
        <v>0</v>
      </c>
      <c r="V42" s="7">
        <f>+[13]Resumen!V42*1000</f>
        <v>0</v>
      </c>
      <c r="W42" s="7">
        <f>+[13]Resumen!W42*1000</f>
        <v>0</v>
      </c>
      <c r="X42" s="7">
        <f>+[13]Resumen!X42*1000</f>
        <v>0</v>
      </c>
      <c r="Y42" s="7">
        <f>+[13]Resumen!Y42*1000</f>
        <v>0</v>
      </c>
      <c r="Z42" s="7">
        <f>+[13]Resumen!Z42*1000</f>
        <v>0</v>
      </c>
      <c r="AA42" s="7">
        <f>+[13]Resumen!AA42*1000</f>
        <v>0</v>
      </c>
      <c r="AB42" s="7">
        <f>+[13]Resumen!AB42*1000</f>
        <v>0</v>
      </c>
      <c r="AC42" s="7">
        <f>+[13]Resumen!AC42*1000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+[13]Resumen!E43</f>
        <v>20</v>
      </c>
      <c r="F43" s="7">
        <f>+[13]Resumen!F43*1000</f>
        <v>0</v>
      </c>
      <c r="G43" s="7">
        <f>+[13]Resumen!G43*1000</f>
        <v>0</v>
      </c>
      <c r="H43" s="7">
        <f>+[13]Resumen!H43*1000</f>
        <v>0</v>
      </c>
      <c r="I43" s="7">
        <f>+[13]Resumen!I43*1000</f>
        <v>0</v>
      </c>
      <c r="J43" s="7">
        <f>+[13]Resumen!J43*1000</f>
        <v>0</v>
      </c>
      <c r="K43" s="7">
        <f>+[13]Resumen!K43*1000</f>
        <v>0</v>
      </c>
      <c r="L43" s="7">
        <f>+[13]Resumen!L43*1000</f>
        <v>0</v>
      </c>
      <c r="M43" s="7">
        <f>+[13]Resumen!M43*1000</f>
        <v>236996.7295004105</v>
      </c>
      <c r="N43" s="7">
        <f>+[13]Resumen!N43*1000</f>
        <v>253361.77132474992</v>
      </c>
      <c r="O43" s="7">
        <f>+[13]Resumen!O43*1000</f>
        <v>264652.08010125766</v>
      </c>
      <c r="P43" s="7">
        <f>+[13]Resumen!P43*1000</f>
        <v>279760.08124541648</v>
      </c>
      <c r="Q43" s="7">
        <f>+[13]Resumen!Q43*1000</f>
        <v>293171.94127407699</v>
      </c>
      <c r="R43" s="7">
        <f>+[13]Resumen!R43*1000</f>
        <v>295908.15938607819</v>
      </c>
      <c r="S43" s="7">
        <f>+[13]Resumen!S43*1000</f>
        <v>291937.77992274618</v>
      </c>
      <c r="T43" s="7">
        <f>+[13]Resumen!T43*1000</f>
        <v>293403.40480658662</v>
      </c>
      <c r="U43" s="7">
        <f>+[13]Resumen!U43*1000</f>
        <v>292933.96531311638</v>
      </c>
      <c r="V43" s="7">
        <f>+[13]Resumen!V43*1000</f>
        <v>286479.41969931999</v>
      </c>
      <c r="W43" s="7">
        <f>+[13]Resumen!W43*1000</f>
        <v>0</v>
      </c>
      <c r="X43" s="7">
        <f>+[13]Resumen!X43*1000</f>
        <v>0</v>
      </c>
      <c r="Y43" s="7">
        <f>+[13]Resumen!Y43*1000</f>
        <v>0</v>
      </c>
      <c r="Z43" s="7">
        <f>+[13]Resumen!Z43*1000</f>
        <v>0</v>
      </c>
      <c r="AA43" s="7">
        <f>+[13]Resumen!AA43*1000</f>
        <v>0</v>
      </c>
      <c r="AB43" s="7">
        <f>+[13]Resumen!AB43*1000</f>
        <v>0</v>
      </c>
      <c r="AC43" s="7">
        <f>+[13]Resumen!AC43*1000</f>
        <v>0</v>
      </c>
      <c r="AD43" s="60">
        <f t="shared" ref="AD43" si="5">SUM(F43:AC43)*E43+SUM(F44:AC44)*E44+SUM(F45:AC45)*E45+SUM(F46:AC46)*E46</f>
        <v>82588110.70388414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+[13]Resumen!E44</f>
        <v>5</v>
      </c>
      <c r="F44" s="7">
        <f>+[13]Resumen!F44*1000</f>
        <v>0</v>
      </c>
      <c r="G44" s="7">
        <f>+[13]Resumen!G44*1000</f>
        <v>0</v>
      </c>
      <c r="H44" s="7">
        <f>+[13]Resumen!H44*1000</f>
        <v>0</v>
      </c>
      <c r="I44" s="7">
        <f>+[13]Resumen!I44*1000</f>
        <v>0</v>
      </c>
      <c r="J44" s="7">
        <f>+[13]Resumen!J44*1000</f>
        <v>0</v>
      </c>
      <c r="K44" s="7">
        <f>+[13]Resumen!K44*1000</f>
        <v>0</v>
      </c>
      <c r="L44" s="7">
        <f>+[13]Resumen!L44*1000</f>
        <v>0</v>
      </c>
      <c r="M44" s="7">
        <f>+[13]Resumen!M44*1000</f>
        <v>218671.96380723611</v>
      </c>
      <c r="N44" s="7">
        <f>+[13]Resumen!N44*1000</f>
        <v>240725.03862863057</v>
      </c>
      <c r="O44" s="7">
        <f>+[13]Resumen!O44*1000</f>
        <v>255890.61108137906</v>
      </c>
      <c r="P44" s="7">
        <f>+[13]Resumen!P44*1000</f>
        <v>270441.80701033439</v>
      </c>
      <c r="Q44" s="7">
        <f>+[13]Resumen!Q44*1000</f>
        <v>280473.86078140856</v>
      </c>
      <c r="R44" s="7">
        <f>+[13]Resumen!R44*1000</f>
        <v>281481.61510992172</v>
      </c>
      <c r="S44" s="7">
        <f>+[13]Resumen!S44*1000</f>
        <v>274723.63864901662</v>
      </c>
      <c r="T44" s="7">
        <f>+[13]Resumen!T44*1000</f>
        <v>267774.8478225774</v>
      </c>
      <c r="U44" s="7">
        <f>+[13]Resumen!U44*1000</f>
        <v>264949.98184786888</v>
      </c>
      <c r="V44" s="7">
        <f>+[13]Resumen!V44*1000</f>
        <v>261769.77633016015</v>
      </c>
      <c r="W44" s="7">
        <f>+[13]Resumen!W44*1000</f>
        <v>0</v>
      </c>
      <c r="X44" s="7">
        <f>+[13]Resumen!X44*1000</f>
        <v>0</v>
      </c>
      <c r="Y44" s="7">
        <f>+[13]Resumen!Y44*1000</f>
        <v>0</v>
      </c>
      <c r="Z44" s="7">
        <f>+[13]Resumen!Z44*1000</f>
        <v>0</v>
      </c>
      <c r="AA44" s="7">
        <f>+[13]Resumen!AA44*1000</f>
        <v>0</v>
      </c>
      <c r="AB44" s="7">
        <f>+[13]Resumen!AB44*1000</f>
        <v>0</v>
      </c>
      <c r="AC44" s="7">
        <f>+[13]Resumen!AC44*1000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+[13]Resumen!E45</f>
        <v>5</v>
      </c>
      <c r="F45" s="7">
        <f>+[13]Resumen!F45*1000</f>
        <v>0</v>
      </c>
      <c r="G45" s="7">
        <f>+[13]Resumen!G45*1000</f>
        <v>0</v>
      </c>
      <c r="H45" s="7">
        <f>+[13]Resumen!H45*1000</f>
        <v>0</v>
      </c>
      <c r="I45" s="7">
        <f>+[13]Resumen!I45*1000</f>
        <v>0</v>
      </c>
      <c r="J45" s="7">
        <f>+[13]Resumen!J45*1000</f>
        <v>0</v>
      </c>
      <c r="K45" s="7">
        <f>+[13]Resumen!K45*1000</f>
        <v>0</v>
      </c>
      <c r="L45" s="7">
        <f>+[13]Resumen!L45*1000</f>
        <v>0</v>
      </c>
      <c r="M45" s="7">
        <f>+[13]Resumen!M45*1000</f>
        <v>182734.88531183868</v>
      </c>
      <c r="N45" s="7">
        <f>+[13]Resumen!N45*1000</f>
        <v>200799.64976943823</v>
      </c>
      <c r="O45" s="7">
        <f>+[13]Resumen!O45*1000</f>
        <v>215722.65810385675</v>
      </c>
      <c r="P45" s="7">
        <f>+[13]Resumen!P45*1000</f>
        <v>228758.44393284165</v>
      </c>
      <c r="Q45" s="7">
        <f>+[13]Resumen!Q45*1000</f>
        <v>242406.37260531145</v>
      </c>
      <c r="R45" s="7">
        <f>+[13]Resumen!R45*1000</f>
        <v>249736.40434166492</v>
      </c>
      <c r="S45" s="7">
        <f>+[13]Resumen!S45*1000</f>
        <v>248095.01806309621</v>
      </c>
      <c r="T45" s="7">
        <f>+[13]Resumen!T45*1000</f>
        <v>242566.7355929054</v>
      </c>
      <c r="U45" s="7">
        <f>+[13]Resumen!U45*1000</f>
        <v>239212.06141764863</v>
      </c>
      <c r="V45" s="7">
        <f>+[13]Resumen!V45*1000</f>
        <v>234997.65767874543</v>
      </c>
      <c r="W45" s="7">
        <f>+[13]Resumen!W45*1000</f>
        <v>0</v>
      </c>
      <c r="X45" s="7">
        <f>+[13]Resumen!X45*1000</f>
        <v>0</v>
      </c>
      <c r="Y45" s="7">
        <f>+[13]Resumen!Y45*1000</f>
        <v>0</v>
      </c>
      <c r="Z45" s="7">
        <f>+[13]Resumen!Z45*1000</f>
        <v>0</v>
      </c>
      <c r="AA45" s="7">
        <f>+[13]Resumen!AA45*1000</f>
        <v>0</v>
      </c>
      <c r="AB45" s="7">
        <f>+[13]Resumen!AB45*1000</f>
        <v>0</v>
      </c>
      <c r="AC45" s="7">
        <f>+[13]Resumen!AC45*1000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+[13]Resumen!E46</f>
        <v>1</v>
      </c>
      <c r="F46" s="7">
        <f>+[13]Resumen!F46*1000</f>
        <v>0</v>
      </c>
      <c r="G46" s="7">
        <f>+[13]Resumen!G46*1000</f>
        <v>0</v>
      </c>
      <c r="H46" s="7">
        <f>+[13]Resumen!H46*1000</f>
        <v>0</v>
      </c>
      <c r="I46" s="7">
        <f>+[13]Resumen!I46*1000</f>
        <v>0</v>
      </c>
      <c r="J46" s="7">
        <f>+[13]Resumen!J46*1000</f>
        <v>0</v>
      </c>
      <c r="K46" s="7">
        <f>+[13]Resumen!K46*1000</f>
        <v>0</v>
      </c>
      <c r="L46" s="7">
        <f>+[13]Resumen!L46*1000</f>
        <v>0</v>
      </c>
      <c r="M46" s="7">
        <f>+[13]Resumen!M46*1000</f>
        <v>180637.24969752118</v>
      </c>
      <c r="N46" s="7">
        <f>+[13]Resumen!N46*1000</f>
        <v>198696.19048008558</v>
      </c>
      <c r="O46" s="7">
        <f>+[13]Resumen!O46*1000</f>
        <v>212206.35575396242</v>
      </c>
      <c r="P46" s="7">
        <f>+[13]Resumen!P46*1000</f>
        <v>226421.09246047342</v>
      </c>
      <c r="Q46" s="7">
        <f>+[13]Resumen!Q46*1000</f>
        <v>243897.93064468497</v>
      </c>
      <c r="R46" s="7">
        <f>+[13]Resumen!R46*1000</f>
        <v>255013.51221620859</v>
      </c>
      <c r="S46" s="7">
        <f>+[13]Resumen!S46*1000</f>
        <v>254696.57120594537</v>
      </c>
      <c r="T46" s="7">
        <f>+[13]Resumen!T46*1000</f>
        <v>247102.85075419128</v>
      </c>
      <c r="U46" s="7">
        <f>+[13]Resumen!U46*1000</f>
        <v>244820.06126779626</v>
      </c>
      <c r="V46" s="7">
        <f>+[13]Resumen!V46*1000</f>
        <v>242847.09849869041</v>
      </c>
      <c r="W46" s="7">
        <f>+[13]Resumen!W46*1000</f>
        <v>0</v>
      </c>
      <c r="X46" s="7">
        <f>+[13]Resumen!X46*1000</f>
        <v>0</v>
      </c>
      <c r="Y46" s="7">
        <f>+[13]Resumen!Y46*1000</f>
        <v>0</v>
      </c>
      <c r="Z46" s="7">
        <f>+[13]Resumen!Z46*1000</f>
        <v>0</v>
      </c>
      <c r="AA46" s="7">
        <f>+[13]Resumen!AA46*1000</f>
        <v>0</v>
      </c>
      <c r="AB46" s="7">
        <f>+[13]Resumen!AB46*1000</f>
        <v>0</v>
      </c>
      <c r="AC46" s="7">
        <f>+[13]Resumen!AC46*1000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+[13]Resumen!E47</f>
        <v>20</v>
      </c>
      <c r="F47" s="7">
        <f>+[13]Resumen!F47*1000</f>
        <v>0</v>
      </c>
      <c r="G47" s="7">
        <f>+[13]Resumen!G47*1000</f>
        <v>0</v>
      </c>
      <c r="H47" s="7">
        <f>+[13]Resumen!H47*1000</f>
        <v>0</v>
      </c>
      <c r="I47" s="7">
        <f>+[13]Resumen!I47*1000</f>
        <v>0</v>
      </c>
      <c r="J47" s="7">
        <f>+[13]Resumen!J47*1000</f>
        <v>0</v>
      </c>
      <c r="K47" s="7">
        <f>+[13]Resumen!K47*1000</f>
        <v>0</v>
      </c>
      <c r="L47" s="7">
        <f>+[13]Resumen!L47*1000</f>
        <v>0</v>
      </c>
      <c r="M47" s="7">
        <f>+[13]Resumen!M47*1000</f>
        <v>247657.14042999648</v>
      </c>
      <c r="N47" s="7">
        <f>+[13]Resumen!N47*1000</f>
        <v>264145.49878512876</v>
      </c>
      <c r="O47" s="7">
        <f>+[13]Resumen!O47*1000</f>
        <v>275253.29850267543</v>
      </c>
      <c r="P47" s="7">
        <f>+[13]Resumen!P47*1000</f>
        <v>290302.38050079113</v>
      </c>
      <c r="Q47" s="7">
        <f>+[13]Resumen!Q47*1000</f>
        <v>304090.95897847612</v>
      </c>
      <c r="R47" s="7">
        <f>+[13]Resumen!R47*1000</f>
        <v>307340.7052795192</v>
      </c>
      <c r="S47" s="7">
        <f>+[13]Resumen!S47*1000</f>
        <v>302686.66705649579</v>
      </c>
      <c r="T47" s="7">
        <f>+[13]Resumen!T47*1000</f>
        <v>303147.24600217788</v>
      </c>
      <c r="U47" s="7">
        <f>+[13]Resumen!U47*1000</f>
        <v>302666.90301232634</v>
      </c>
      <c r="V47" s="7">
        <f>+[13]Resumen!V47*1000</f>
        <v>297236.42352716869</v>
      </c>
      <c r="W47" s="7">
        <f>+[13]Resumen!W47*1000</f>
        <v>0</v>
      </c>
      <c r="X47" s="7">
        <f>+[13]Resumen!X47*1000</f>
        <v>0</v>
      </c>
      <c r="Y47" s="7">
        <f>+[13]Resumen!Y47*1000</f>
        <v>0</v>
      </c>
      <c r="Z47" s="7">
        <f>+[13]Resumen!Z47*1000</f>
        <v>0</v>
      </c>
      <c r="AA47" s="7">
        <f>+[13]Resumen!AA47*1000</f>
        <v>0</v>
      </c>
      <c r="AB47" s="7">
        <f>+[13]Resumen!AB47*1000</f>
        <v>0</v>
      </c>
      <c r="AC47" s="7">
        <f>+[13]Resumen!AC47*1000</f>
        <v>0</v>
      </c>
      <c r="AD47" s="60">
        <f t="shared" ref="AD47" si="6">SUM(F47:AC47)*E47+SUM(F48:AC48)*E48+SUM(F49:AC49)*E49+SUM(F50:AC50)*E50</f>
        <v>82683732.095321238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+[13]Resumen!E48</f>
        <v>4</v>
      </c>
      <c r="F48" s="7">
        <f>+[13]Resumen!F48*1000</f>
        <v>0</v>
      </c>
      <c r="G48" s="7">
        <f>+[13]Resumen!G48*1000</f>
        <v>0</v>
      </c>
      <c r="H48" s="7">
        <f>+[13]Resumen!H48*1000</f>
        <v>0</v>
      </c>
      <c r="I48" s="7">
        <f>+[13]Resumen!I48*1000</f>
        <v>0</v>
      </c>
      <c r="J48" s="7">
        <f>+[13]Resumen!J48*1000</f>
        <v>0</v>
      </c>
      <c r="K48" s="7">
        <f>+[13]Resumen!K48*1000</f>
        <v>0</v>
      </c>
      <c r="L48" s="7">
        <f>+[13]Resumen!L48*1000</f>
        <v>0</v>
      </c>
      <c r="M48" s="7">
        <f>+[13]Resumen!M48*1000</f>
        <v>227496.76847198352</v>
      </c>
      <c r="N48" s="7">
        <f>+[13]Resumen!N48*1000</f>
        <v>250703.31241376355</v>
      </c>
      <c r="O48" s="7">
        <f>+[13]Resumen!O48*1000</f>
        <v>264963.35426034045</v>
      </c>
      <c r="P48" s="7">
        <f>+[13]Resumen!P48*1000</f>
        <v>278048.38066044654</v>
      </c>
      <c r="Q48" s="7">
        <f>+[13]Resumen!Q48*1000</f>
        <v>287359.42828276666</v>
      </c>
      <c r="R48" s="7">
        <f>+[13]Resumen!R48*1000</f>
        <v>288370.7153864922</v>
      </c>
      <c r="S48" s="7">
        <f>+[13]Resumen!S48*1000</f>
        <v>281209.04677356145</v>
      </c>
      <c r="T48" s="7">
        <f>+[13]Resumen!T48*1000</f>
        <v>273991.45350251498</v>
      </c>
      <c r="U48" s="7">
        <f>+[13]Resumen!U48*1000</f>
        <v>270264.54731202172</v>
      </c>
      <c r="V48" s="7">
        <f>+[13]Resumen!V48*1000</f>
        <v>266827.89028788073</v>
      </c>
      <c r="W48" s="7">
        <f>+[13]Resumen!W48*1000</f>
        <v>0</v>
      </c>
      <c r="X48" s="7">
        <f>+[13]Resumen!X48*1000</f>
        <v>0</v>
      </c>
      <c r="Y48" s="7">
        <f>+[13]Resumen!Y48*1000</f>
        <v>0</v>
      </c>
      <c r="Z48" s="7">
        <f>+[13]Resumen!Z48*1000</f>
        <v>0</v>
      </c>
      <c r="AA48" s="7">
        <f>+[13]Resumen!AA48*1000</f>
        <v>0</v>
      </c>
      <c r="AB48" s="7">
        <f>+[13]Resumen!AB48*1000</f>
        <v>0</v>
      </c>
      <c r="AC48" s="7">
        <f>+[13]Resumen!AC48*1000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+[13]Resumen!E49</f>
        <v>4</v>
      </c>
      <c r="F49" s="7">
        <f>+[13]Resumen!F49*1000</f>
        <v>0</v>
      </c>
      <c r="G49" s="7">
        <f>+[13]Resumen!G49*1000</f>
        <v>0</v>
      </c>
      <c r="H49" s="7">
        <f>+[13]Resumen!H49*1000</f>
        <v>0</v>
      </c>
      <c r="I49" s="7">
        <f>+[13]Resumen!I49*1000</f>
        <v>0</v>
      </c>
      <c r="J49" s="7">
        <f>+[13]Resumen!J49*1000</f>
        <v>0</v>
      </c>
      <c r="K49" s="7">
        <f>+[13]Resumen!K49*1000</f>
        <v>0</v>
      </c>
      <c r="L49" s="7">
        <f>+[13]Resumen!L49*1000</f>
        <v>0</v>
      </c>
      <c r="M49" s="7">
        <f>+[13]Resumen!M49*1000</f>
        <v>185938.41943754841</v>
      </c>
      <c r="N49" s="7">
        <f>+[13]Resumen!N49*1000</f>
        <v>204983.23974014248</v>
      </c>
      <c r="O49" s="7">
        <f>+[13]Resumen!O49*1000</f>
        <v>221060.02448493204</v>
      </c>
      <c r="P49" s="7">
        <f>+[13]Resumen!P49*1000</f>
        <v>233519.71788383176</v>
      </c>
      <c r="Q49" s="7">
        <f>+[13]Resumen!Q49*1000</f>
        <v>245976.85759699007</v>
      </c>
      <c r="R49" s="7">
        <f>+[13]Resumen!R49*1000</f>
        <v>254244.71717660956</v>
      </c>
      <c r="S49" s="7">
        <f>+[13]Resumen!S49*1000</f>
        <v>255161.79764775262</v>
      </c>
      <c r="T49" s="7">
        <f>+[13]Resumen!T49*1000</f>
        <v>249997.70467214391</v>
      </c>
      <c r="U49" s="7">
        <f>+[13]Resumen!U49*1000</f>
        <v>245271.14177406518</v>
      </c>
      <c r="V49" s="7">
        <f>+[13]Resumen!V49*1000</f>
        <v>240833.96127265549</v>
      </c>
      <c r="W49" s="7">
        <f>+[13]Resumen!W49*1000</f>
        <v>0</v>
      </c>
      <c r="X49" s="7">
        <f>+[13]Resumen!X49*1000</f>
        <v>0</v>
      </c>
      <c r="Y49" s="7">
        <f>+[13]Resumen!Y49*1000</f>
        <v>0</v>
      </c>
      <c r="Z49" s="7">
        <f>+[13]Resumen!Z49*1000</f>
        <v>0</v>
      </c>
      <c r="AA49" s="7">
        <f>+[13]Resumen!AA49*1000</f>
        <v>0</v>
      </c>
      <c r="AB49" s="7">
        <f>+[13]Resumen!AB49*1000</f>
        <v>0</v>
      </c>
      <c r="AC49" s="7">
        <f>+[13]Resumen!AC49*1000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+[13]Resumen!E50</f>
        <v>2</v>
      </c>
      <c r="F50" s="7">
        <f>+[13]Resumen!F50*1000</f>
        <v>0</v>
      </c>
      <c r="G50" s="7">
        <f>+[13]Resumen!G50*1000</f>
        <v>0</v>
      </c>
      <c r="H50" s="7">
        <f>+[13]Resumen!H50*1000</f>
        <v>0</v>
      </c>
      <c r="I50" s="7">
        <f>+[13]Resumen!I50*1000</f>
        <v>0</v>
      </c>
      <c r="J50" s="7">
        <f>+[13]Resumen!J50*1000</f>
        <v>0</v>
      </c>
      <c r="K50" s="7">
        <f>+[13]Resumen!K50*1000</f>
        <v>0</v>
      </c>
      <c r="L50" s="7">
        <f>+[13]Resumen!L50*1000</f>
        <v>0</v>
      </c>
      <c r="M50" s="7">
        <f>+[13]Resumen!M50*1000</f>
        <v>181997.24523828452</v>
      </c>
      <c r="N50" s="7">
        <f>+[13]Resumen!N50*1000</f>
        <v>201370.463169497</v>
      </c>
      <c r="O50" s="7">
        <f>+[13]Resumen!O50*1000</f>
        <v>217017.66923003603</v>
      </c>
      <c r="P50" s="7">
        <f>+[13]Resumen!P50*1000</f>
        <v>233440.78250390693</v>
      </c>
      <c r="Q50" s="7">
        <f>+[13]Resumen!Q50*1000</f>
        <v>249209.98268868064</v>
      </c>
      <c r="R50" s="7">
        <f>+[13]Resumen!R50*1000</f>
        <v>259520.64251451945</v>
      </c>
      <c r="S50" s="7">
        <f>+[13]Resumen!S50*1000</f>
        <v>259021.63112823985</v>
      </c>
      <c r="T50" s="7">
        <f>+[13]Resumen!T50*1000</f>
        <v>251748.9672533132</v>
      </c>
      <c r="U50" s="7">
        <f>+[13]Resumen!U50*1000</f>
        <v>246564.06120910181</v>
      </c>
      <c r="V50" s="7">
        <f>+[13]Resumen!V50*1000</f>
        <v>244257.42390059246</v>
      </c>
      <c r="W50" s="7">
        <f>+[13]Resumen!W50*1000</f>
        <v>0</v>
      </c>
      <c r="X50" s="7">
        <f>+[13]Resumen!X50*1000</f>
        <v>0</v>
      </c>
      <c r="Y50" s="7">
        <f>+[13]Resumen!Y50*1000</f>
        <v>0</v>
      </c>
      <c r="Z50" s="7">
        <f>+[13]Resumen!Z50*1000</f>
        <v>0</v>
      </c>
      <c r="AA50" s="7">
        <f>+[13]Resumen!AA50*1000</f>
        <v>0</v>
      </c>
      <c r="AB50" s="7">
        <f>+[13]Resumen!AB50*1000</f>
        <v>0</v>
      </c>
      <c r="AC50" s="7">
        <f>+[13]Resumen!AC50*1000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+[13]Resumen!E51</f>
        <v>22</v>
      </c>
      <c r="F51" s="7">
        <f>+[13]Resumen!F51*1000</f>
        <v>0</v>
      </c>
      <c r="G51" s="7">
        <f>+[13]Resumen!G51*1000</f>
        <v>0</v>
      </c>
      <c r="H51" s="7">
        <f>+[13]Resumen!H51*1000</f>
        <v>0</v>
      </c>
      <c r="I51" s="7">
        <f>+[13]Resumen!I51*1000</f>
        <v>0</v>
      </c>
      <c r="J51" s="7">
        <f>+[13]Resumen!J51*1000</f>
        <v>0</v>
      </c>
      <c r="K51" s="7">
        <f>+[13]Resumen!K51*1000</f>
        <v>0</v>
      </c>
      <c r="L51" s="7">
        <f>+[13]Resumen!L51*1000</f>
        <v>0</v>
      </c>
      <c r="M51" s="7">
        <f>+[13]Resumen!M51*1000</f>
        <v>228967.74655929516</v>
      </c>
      <c r="N51" s="7">
        <f>+[13]Resumen!N51*1000</f>
        <v>249105.74356788272</v>
      </c>
      <c r="O51" s="7">
        <f>+[13]Resumen!O51*1000</f>
        <v>261350.40391191008</v>
      </c>
      <c r="P51" s="7">
        <f>+[13]Resumen!P51*1000</f>
        <v>275269.71838410629</v>
      </c>
      <c r="Q51" s="7">
        <f>+[13]Resumen!Q51*1000</f>
        <v>288487.80558640696</v>
      </c>
      <c r="R51" s="7">
        <f>+[13]Resumen!R51*1000</f>
        <v>293833.36919275002</v>
      </c>
      <c r="S51" s="7">
        <f>+[13]Resumen!S51*1000</f>
        <v>290252.24349060882</v>
      </c>
      <c r="T51" s="7">
        <f>+[13]Resumen!T51*1000</f>
        <v>290336.87327185064</v>
      </c>
      <c r="U51" s="7">
        <f>+[13]Resumen!U51*1000</f>
        <v>289311.11810791236</v>
      </c>
      <c r="V51" s="7">
        <f>+[13]Resumen!V51*1000</f>
        <v>283365.96604342212</v>
      </c>
      <c r="W51" s="7">
        <f>+[13]Resumen!W51*1000</f>
        <v>0</v>
      </c>
      <c r="X51" s="7">
        <f>+[13]Resumen!X51*1000</f>
        <v>0</v>
      </c>
      <c r="Y51" s="7">
        <f>+[13]Resumen!Y51*1000</f>
        <v>0</v>
      </c>
      <c r="Z51" s="7">
        <f>+[13]Resumen!Z51*1000</f>
        <v>0</v>
      </c>
      <c r="AA51" s="7">
        <f>+[13]Resumen!AA51*1000</f>
        <v>0</v>
      </c>
      <c r="AB51" s="7">
        <f>+[13]Resumen!AB51*1000</f>
        <v>0</v>
      </c>
      <c r="AC51" s="7">
        <f>+[13]Resumen!AC51*1000</f>
        <v>0</v>
      </c>
      <c r="AD51" s="60">
        <f t="shared" ref="AD51" si="7">SUM(F51:AC51)*E51+SUM(F52:AC52)*E52+SUM(F53:AC53)*E53+SUM(F54:AC54)*E54</f>
        <v>81521925.076551065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+[13]Resumen!E52</f>
        <v>3</v>
      </c>
      <c r="F52" s="7">
        <f>+[13]Resumen!F52*1000</f>
        <v>0</v>
      </c>
      <c r="G52" s="7">
        <f>+[13]Resumen!G52*1000</f>
        <v>0</v>
      </c>
      <c r="H52" s="7">
        <f>+[13]Resumen!H52*1000</f>
        <v>0</v>
      </c>
      <c r="I52" s="7">
        <f>+[13]Resumen!I52*1000</f>
        <v>0</v>
      </c>
      <c r="J52" s="7">
        <f>+[13]Resumen!J52*1000</f>
        <v>0</v>
      </c>
      <c r="K52" s="7">
        <f>+[13]Resumen!K52*1000</f>
        <v>0</v>
      </c>
      <c r="L52" s="7">
        <f>+[13]Resumen!L52*1000</f>
        <v>0</v>
      </c>
      <c r="M52" s="7">
        <f>+[13]Resumen!M52*1000</f>
        <v>215691.65360394269</v>
      </c>
      <c r="N52" s="7">
        <f>+[13]Resumen!N52*1000</f>
        <v>237934.00422170263</v>
      </c>
      <c r="O52" s="7">
        <f>+[13]Resumen!O52*1000</f>
        <v>252847.71756387083</v>
      </c>
      <c r="P52" s="7">
        <f>+[13]Resumen!P52*1000</f>
        <v>264873.17630542972</v>
      </c>
      <c r="Q52" s="7">
        <f>+[13]Resumen!Q52*1000</f>
        <v>273514.92090848344</v>
      </c>
      <c r="R52" s="7">
        <f>+[13]Resumen!R52*1000</f>
        <v>275204.25290175184</v>
      </c>
      <c r="S52" s="7">
        <f>+[13]Resumen!S52*1000</f>
        <v>269901.8857904019</v>
      </c>
      <c r="T52" s="7">
        <f>+[13]Resumen!T52*1000</f>
        <v>263938.00599072775</v>
      </c>
      <c r="U52" s="7">
        <f>+[13]Resumen!U52*1000</f>
        <v>259691.75429388121</v>
      </c>
      <c r="V52" s="7">
        <f>+[13]Resumen!V52*1000</f>
        <v>255386.24225314576</v>
      </c>
      <c r="W52" s="7">
        <f>+[13]Resumen!W52*1000</f>
        <v>0</v>
      </c>
      <c r="X52" s="7">
        <f>+[13]Resumen!X52*1000</f>
        <v>0</v>
      </c>
      <c r="Y52" s="7">
        <f>+[13]Resumen!Y52*1000</f>
        <v>0</v>
      </c>
      <c r="Z52" s="7">
        <f>+[13]Resumen!Z52*1000</f>
        <v>0</v>
      </c>
      <c r="AA52" s="7">
        <f>+[13]Resumen!AA52*1000</f>
        <v>0</v>
      </c>
      <c r="AB52" s="7">
        <f>+[13]Resumen!AB52*1000</f>
        <v>0</v>
      </c>
      <c r="AC52" s="7">
        <f>+[13]Resumen!AC52*1000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+[13]Resumen!E53</f>
        <v>4</v>
      </c>
      <c r="F53" s="7">
        <f>+[13]Resumen!F53*1000</f>
        <v>0</v>
      </c>
      <c r="G53" s="7">
        <f>+[13]Resumen!G53*1000</f>
        <v>0</v>
      </c>
      <c r="H53" s="7">
        <f>+[13]Resumen!H53*1000</f>
        <v>0</v>
      </c>
      <c r="I53" s="7">
        <f>+[13]Resumen!I53*1000</f>
        <v>0</v>
      </c>
      <c r="J53" s="7">
        <f>+[13]Resumen!J53*1000</f>
        <v>0</v>
      </c>
      <c r="K53" s="7">
        <f>+[13]Resumen!K53*1000</f>
        <v>0</v>
      </c>
      <c r="L53" s="7">
        <f>+[13]Resumen!L53*1000</f>
        <v>0</v>
      </c>
      <c r="M53" s="7">
        <f>+[13]Resumen!M53*1000</f>
        <v>181544.70881325688</v>
      </c>
      <c r="N53" s="7">
        <f>+[13]Resumen!N53*1000</f>
        <v>200012.14394858546</v>
      </c>
      <c r="O53" s="7">
        <f>+[13]Resumen!O53*1000</f>
        <v>215468.4360392502</v>
      </c>
      <c r="P53" s="7">
        <f>+[13]Resumen!P53*1000</f>
        <v>228134.37399943764</v>
      </c>
      <c r="Q53" s="7">
        <f>+[13]Resumen!Q53*1000</f>
        <v>239855.12822987899</v>
      </c>
      <c r="R53" s="7">
        <f>+[13]Resumen!R53*1000</f>
        <v>247034.16190585119</v>
      </c>
      <c r="S53" s="7">
        <f>+[13]Resumen!S53*1000</f>
        <v>247560.30593822792</v>
      </c>
      <c r="T53" s="7">
        <f>+[13]Resumen!T53*1000</f>
        <v>243033.81213234938</v>
      </c>
      <c r="U53" s="7">
        <f>+[13]Resumen!U53*1000</f>
        <v>240538.10035539596</v>
      </c>
      <c r="V53" s="7">
        <f>+[13]Resumen!V53*1000</f>
        <v>237261.99705056404</v>
      </c>
      <c r="W53" s="7">
        <f>+[13]Resumen!W53*1000</f>
        <v>0</v>
      </c>
      <c r="X53" s="7">
        <f>+[13]Resumen!X53*1000</f>
        <v>0</v>
      </c>
      <c r="Y53" s="7">
        <f>+[13]Resumen!Y53*1000</f>
        <v>0</v>
      </c>
      <c r="Z53" s="7">
        <f>+[13]Resumen!Z53*1000</f>
        <v>0</v>
      </c>
      <c r="AA53" s="7">
        <f>+[13]Resumen!AA53*1000</f>
        <v>0</v>
      </c>
      <c r="AB53" s="7">
        <f>+[13]Resumen!AB53*1000</f>
        <v>0</v>
      </c>
      <c r="AC53" s="7">
        <f>+[13]Resumen!AC53*1000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+[13]Resumen!E54</f>
        <v>2</v>
      </c>
      <c r="F54" s="7">
        <f>+[13]Resumen!F54*1000</f>
        <v>0</v>
      </c>
      <c r="G54" s="7">
        <f>+[13]Resumen!G54*1000</f>
        <v>0</v>
      </c>
      <c r="H54" s="7">
        <f>+[13]Resumen!H54*1000</f>
        <v>0</v>
      </c>
      <c r="I54" s="7">
        <f>+[13]Resumen!I54*1000</f>
        <v>0</v>
      </c>
      <c r="J54" s="7">
        <f>+[13]Resumen!J54*1000</f>
        <v>0</v>
      </c>
      <c r="K54" s="7">
        <f>+[13]Resumen!K54*1000</f>
        <v>0</v>
      </c>
      <c r="L54" s="7">
        <f>+[13]Resumen!L54*1000</f>
        <v>0</v>
      </c>
      <c r="M54" s="7">
        <f>+[13]Resumen!M54*1000</f>
        <v>164773.75387203126</v>
      </c>
      <c r="N54" s="7">
        <f>+[13]Resumen!N54*1000</f>
        <v>178654.08702013872</v>
      </c>
      <c r="O54" s="7">
        <f>+[13]Resumen!O54*1000</f>
        <v>192591.56127085609</v>
      </c>
      <c r="P54" s="7">
        <f>+[13]Resumen!P54*1000</f>
        <v>205988.78793848402</v>
      </c>
      <c r="Q54" s="7">
        <f>+[13]Resumen!Q54*1000</f>
        <v>218741.28842795995</v>
      </c>
      <c r="R54" s="7">
        <f>+[13]Resumen!R54*1000</f>
        <v>228355.56556946723</v>
      </c>
      <c r="S54" s="7">
        <f>+[13]Resumen!S54*1000</f>
        <v>229730.82388592302</v>
      </c>
      <c r="T54" s="7">
        <f>+[13]Resumen!T54*1000</f>
        <v>226058.24868410357</v>
      </c>
      <c r="U54" s="7">
        <f>+[13]Resumen!U54*1000</f>
        <v>225099.95108932216</v>
      </c>
      <c r="V54" s="7">
        <f>+[13]Resumen!V54*1000</f>
        <v>223515.84366404652</v>
      </c>
      <c r="W54" s="7">
        <f>+[13]Resumen!W54*1000</f>
        <v>0</v>
      </c>
      <c r="X54" s="7">
        <f>+[13]Resumen!X54*1000</f>
        <v>0</v>
      </c>
      <c r="Y54" s="7">
        <f>+[13]Resumen!Y54*1000</f>
        <v>0</v>
      </c>
      <c r="Z54" s="7">
        <f>+[13]Resumen!Z54*1000</f>
        <v>0</v>
      </c>
      <c r="AA54" s="7">
        <f>+[13]Resumen!AA54*1000</f>
        <v>0</v>
      </c>
      <c r="AB54" s="7">
        <f>+[13]Resumen!AB54*1000</f>
        <v>0</v>
      </c>
      <c r="AC54" s="7">
        <f>+[13]Resumen!AC54*1000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7"/>
      <c r="AB55" s="55"/>
      <c r="AC55" s="56"/>
      <c r="AD55" s="17">
        <f>SUM(AD7:AD54)</f>
        <v>977166795.62334216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B55:AD55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2E2F-4D01-405E-9C6E-0665DD7B0A60}">
  <dimension ref="C1:BD57"/>
  <sheetViews>
    <sheetView showGridLines="0" topLeftCell="A41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2039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+[14]Resumen!E7</f>
        <v>20</v>
      </c>
      <c r="F7" s="7">
        <f>+[14]Resumen!F7*1000</f>
        <v>0</v>
      </c>
      <c r="G7" s="7">
        <f>+[14]Resumen!G7*1000</f>
        <v>0</v>
      </c>
      <c r="H7" s="7">
        <f>+[14]Resumen!H7*1000</f>
        <v>0</v>
      </c>
      <c r="I7" s="7">
        <f>+[14]Resumen!I7*1000</f>
        <v>0</v>
      </c>
      <c r="J7" s="7">
        <f>+[14]Resumen!J7*1000</f>
        <v>0</v>
      </c>
      <c r="K7" s="7">
        <f>+[14]Resumen!K7*1000</f>
        <v>0</v>
      </c>
      <c r="L7" s="7">
        <f>+[14]Resumen!L7*1000</f>
        <v>0</v>
      </c>
      <c r="M7" s="7">
        <f>+[14]Resumen!M7*1000</f>
        <v>232420.66293498792</v>
      </c>
      <c r="N7" s="7">
        <f>+[14]Resumen!N7*1000</f>
        <v>250790.84653548291</v>
      </c>
      <c r="O7" s="7">
        <f>+[14]Resumen!O7*1000</f>
        <v>262918.60186230077</v>
      </c>
      <c r="P7" s="7">
        <f>+[14]Resumen!P7*1000</f>
        <v>278863.36661868874</v>
      </c>
      <c r="Q7" s="7">
        <f>+[14]Resumen!Q7*1000</f>
        <v>292657.01230846153</v>
      </c>
      <c r="R7" s="7">
        <f>+[14]Resumen!R7*1000</f>
        <v>297373.2301108212</v>
      </c>
      <c r="S7" s="7">
        <f>+[14]Resumen!S7*1000</f>
        <v>294613.29148739728</v>
      </c>
      <c r="T7" s="7">
        <f>+[14]Resumen!T7*1000</f>
        <v>296535.10838238883</v>
      </c>
      <c r="U7" s="7">
        <f>+[14]Resumen!U7*1000</f>
        <v>296180.19177908963</v>
      </c>
      <c r="V7" s="7">
        <f>+[14]Resumen!V7*1000</f>
        <v>289644.40183008759</v>
      </c>
      <c r="W7" s="7">
        <f>+[14]Resumen!W7*1000</f>
        <v>0</v>
      </c>
      <c r="X7" s="7">
        <f>+[14]Resumen!X7*1000</f>
        <v>0</v>
      </c>
      <c r="Y7" s="7">
        <f>+[14]Resumen!Y7*1000</f>
        <v>0</v>
      </c>
      <c r="Z7" s="7">
        <f>+[14]Resumen!Z7*1000</f>
        <v>0</v>
      </c>
      <c r="AA7" s="7">
        <f>+[14]Resumen!AA7*1000</f>
        <v>0</v>
      </c>
      <c r="AB7" s="7">
        <f>+[14]Resumen!AB7*1000</f>
        <v>0</v>
      </c>
      <c r="AC7" s="7">
        <f>+[14]Resumen!AC7*1000</f>
        <v>0</v>
      </c>
      <c r="AD7" s="60">
        <f>SUM(F7:AC7)*E7+SUM(F8:AC8)*E8+SUM(F9:AC9)*E9+SUM(F10:AC10)*E10</f>
        <v>81431012.058033854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+[14]Resumen!E8</f>
        <v>4</v>
      </c>
      <c r="F8" s="7">
        <f>+[14]Resumen!F8*1000</f>
        <v>0</v>
      </c>
      <c r="G8" s="7">
        <f>+[14]Resumen!G8*1000</f>
        <v>0</v>
      </c>
      <c r="H8" s="7">
        <f>+[14]Resumen!H8*1000</f>
        <v>0</v>
      </c>
      <c r="I8" s="7">
        <f>+[14]Resumen!I8*1000</f>
        <v>0</v>
      </c>
      <c r="J8" s="7">
        <f>+[14]Resumen!J8*1000</f>
        <v>0</v>
      </c>
      <c r="K8" s="7">
        <f>+[14]Resumen!K8*1000</f>
        <v>0</v>
      </c>
      <c r="L8" s="7">
        <f>+[14]Resumen!L8*1000</f>
        <v>0</v>
      </c>
      <c r="M8" s="7">
        <f>+[14]Resumen!M8*1000</f>
        <v>211872.69140992628</v>
      </c>
      <c r="N8" s="7">
        <f>+[14]Resumen!N8*1000</f>
        <v>233254.66122487164</v>
      </c>
      <c r="O8" s="7">
        <f>+[14]Resumen!O8*1000</f>
        <v>249019.36775201547</v>
      </c>
      <c r="P8" s="7">
        <f>+[14]Resumen!P8*1000</f>
        <v>262630.7091463253</v>
      </c>
      <c r="Q8" s="7">
        <f>+[14]Resumen!Q8*1000</f>
        <v>273924.86030431284</v>
      </c>
      <c r="R8" s="7">
        <f>+[14]Resumen!R8*1000</f>
        <v>276391.84408704779</v>
      </c>
      <c r="S8" s="7">
        <f>+[14]Resumen!S8*1000</f>
        <v>271206.62011213176</v>
      </c>
      <c r="T8" s="7">
        <f>+[14]Resumen!T8*1000</f>
        <v>264989.9050587978</v>
      </c>
      <c r="U8" s="7">
        <f>+[14]Resumen!U8*1000</f>
        <v>261773.52975792042</v>
      </c>
      <c r="V8" s="7">
        <f>+[14]Resumen!V8*1000</f>
        <v>258296.19758424867</v>
      </c>
      <c r="W8" s="7">
        <f>+[14]Resumen!W8*1000</f>
        <v>0</v>
      </c>
      <c r="X8" s="7">
        <f>+[14]Resumen!X8*1000</f>
        <v>0</v>
      </c>
      <c r="Y8" s="7">
        <f>+[14]Resumen!Y8*1000</f>
        <v>0</v>
      </c>
      <c r="Z8" s="7">
        <f>+[14]Resumen!Z8*1000</f>
        <v>0</v>
      </c>
      <c r="AA8" s="7">
        <f>+[14]Resumen!AA8*1000</f>
        <v>0</v>
      </c>
      <c r="AB8" s="7">
        <f>+[14]Resumen!AB8*1000</f>
        <v>0</v>
      </c>
      <c r="AC8" s="7">
        <f>+[14]Resumen!AC8*1000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+[14]Resumen!E9</f>
        <v>5</v>
      </c>
      <c r="F9" s="7">
        <f>+[14]Resumen!F9*1000</f>
        <v>0</v>
      </c>
      <c r="G9" s="7">
        <f>+[14]Resumen!G9*1000</f>
        <v>0</v>
      </c>
      <c r="H9" s="7">
        <f>+[14]Resumen!H9*1000</f>
        <v>0</v>
      </c>
      <c r="I9" s="7">
        <f>+[14]Resumen!I9*1000</f>
        <v>0</v>
      </c>
      <c r="J9" s="7">
        <f>+[14]Resumen!J9*1000</f>
        <v>0</v>
      </c>
      <c r="K9" s="7">
        <f>+[14]Resumen!K9*1000</f>
        <v>0</v>
      </c>
      <c r="L9" s="7">
        <f>+[14]Resumen!L9*1000</f>
        <v>0</v>
      </c>
      <c r="M9" s="7">
        <f>+[14]Resumen!M9*1000</f>
        <v>177994.4312992153</v>
      </c>
      <c r="N9" s="7">
        <f>+[14]Resumen!N9*1000</f>
        <v>194783.18510229955</v>
      </c>
      <c r="O9" s="7">
        <f>+[14]Resumen!O9*1000</f>
        <v>210205.31779569489</v>
      </c>
      <c r="P9" s="7">
        <f>+[14]Resumen!P9*1000</f>
        <v>222362.11942036718</v>
      </c>
      <c r="Q9" s="7">
        <f>+[14]Resumen!Q9*1000</f>
        <v>236220.68066172075</v>
      </c>
      <c r="R9" s="7">
        <f>+[14]Resumen!R9*1000</f>
        <v>245201.80316268178</v>
      </c>
      <c r="S9" s="7">
        <f>+[14]Resumen!S9*1000</f>
        <v>247073.60270569977</v>
      </c>
      <c r="T9" s="7">
        <f>+[14]Resumen!T9*1000</f>
        <v>242946.75056019242</v>
      </c>
      <c r="U9" s="7">
        <f>+[14]Resumen!U9*1000</f>
        <v>239285.656266946</v>
      </c>
      <c r="V9" s="7">
        <f>+[14]Resumen!V9*1000</f>
        <v>235831.24668228719</v>
      </c>
      <c r="W9" s="7">
        <f>+[14]Resumen!W9*1000</f>
        <v>0</v>
      </c>
      <c r="X9" s="7">
        <f>+[14]Resumen!X9*1000</f>
        <v>0</v>
      </c>
      <c r="Y9" s="7">
        <f>+[14]Resumen!Y9*1000</f>
        <v>0</v>
      </c>
      <c r="Z9" s="7">
        <f>+[14]Resumen!Z9*1000</f>
        <v>0</v>
      </c>
      <c r="AA9" s="7">
        <f>+[14]Resumen!AA9*1000</f>
        <v>0</v>
      </c>
      <c r="AB9" s="7">
        <f>+[14]Resumen!AB9*1000</f>
        <v>0</v>
      </c>
      <c r="AC9" s="7">
        <f>+[14]Resumen!AC9*1000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+[14]Resumen!E10</f>
        <v>2</v>
      </c>
      <c r="F10" s="7">
        <f>+[14]Resumen!F10*1000</f>
        <v>0</v>
      </c>
      <c r="G10" s="7">
        <f>+[14]Resumen!G10*1000</f>
        <v>0</v>
      </c>
      <c r="H10" s="7">
        <f>+[14]Resumen!H10*1000</f>
        <v>0</v>
      </c>
      <c r="I10" s="7">
        <f>+[14]Resumen!I10*1000</f>
        <v>0</v>
      </c>
      <c r="J10" s="7">
        <f>+[14]Resumen!J10*1000</f>
        <v>0</v>
      </c>
      <c r="K10" s="7">
        <f>+[14]Resumen!K10*1000</f>
        <v>0</v>
      </c>
      <c r="L10" s="7">
        <f>+[14]Resumen!L10*1000</f>
        <v>0</v>
      </c>
      <c r="M10" s="7">
        <f>+[14]Resumen!M10*1000</f>
        <v>160635.50511079657</v>
      </c>
      <c r="N10" s="7">
        <f>+[14]Resumen!N10*1000</f>
        <v>172736.25890759111</v>
      </c>
      <c r="O10" s="7">
        <f>+[14]Resumen!O10*1000</f>
        <v>185518.13228520166</v>
      </c>
      <c r="P10" s="7">
        <f>+[14]Resumen!P10*1000</f>
        <v>199151.62497786066</v>
      </c>
      <c r="Q10" s="7">
        <f>+[14]Resumen!Q10*1000</f>
        <v>213659.40742186407</v>
      </c>
      <c r="R10" s="7">
        <f>+[14]Resumen!R10*1000</f>
        <v>224256.25672760914</v>
      </c>
      <c r="S10" s="7">
        <f>+[14]Resumen!S10*1000</f>
        <v>225764.19566213066</v>
      </c>
      <c r="T10" s="7">
        <f>+[14]Resumen!T10*1000</f>
        <v>222280.12317087242</v>
      </c>
      <c r="U10" s="7">
        <f>+[14]Resumen!U10*1000</f>
        <v>218772.57928762905</v>
      </c>
      <c r="V10" s="7">
        <f>+[14]Resumen!V10*1000</f>
        <v>216282.04995034501</v>
      </c>
      <c r="W10" s="7">
        <f>+[14]Resumen!W10*1000</f>
        <v>0</v>
      </c>
      <c r="X10" s="7">
        <f>+[14]Resumen!X10*1000</f>
        <v>0</v>
      </c>
      <c r="Y10" s="7">
        <f>+[14]Resumen!Y10*1000</f>
        <v>0</v>
      </c>
      <c r="Z10" s="7">
        <f>+[14]Resumen!Z10*1000</f>
        <v>0</v>
      </c>
      <c r="AA10" s="7">
        <f>+[14]Resumen!AA10*1000</f>
        <v>0</v>
      </c>
      <c r="AB10" s="7">
        <f>+[14]Resumen!AB10*1000</f>
        <v>0</v>
      </c>
      <c r="AC10" s="7">
        <f>+[14]Resumen!AC10*1000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+[14]Resumen!E11</f>
        <v>20</v>
      </c>
      <c r="F11" s="7">
        <f>+[14]Resumen!F11*1000</f>
        <v>0</v>
      </c>
      <c r="G11" s="7">
        <f>+[14]Resumen!G11*1000</f>
        <v>0</v>
      </c>
      <c r="H11" s="7">
        <f>+[14]Resumen!H11*1000</f>
        <v>0</v>
      </c>
      <c r="I11" s="7">
        <f>+[14]Resumen!I11*1000</f>
        <v>0</v>
      </c>
      <c r="J11" s="7">
        <f>+[14]Resumen!J11*1000</f>
        <v>0</v>
      </c>
      <c r="K11" s="7">
        <f>+[14]Resumen!K11*1000</f>
        <v>0</v>
      </c>
      <c r="L11" s="7">
        <f>+[14]Resumen!L11*1000</f>
        <v>0</v>
      </c>
      <c r="M11" s="7">
        <f>+[14]Resumen!M11*1000</f>
        <v>261915.93671297614</v>
      </c>
      <c r="N11" s="7">
        <f>+[14]Resumen!N11*1000</f>
        <v>277958.62783756841</v>
      </c>
      <c r="O11" s="7">
        <f>+[14]Resumen!O11*1000</f>
        <v>288628.74551851139</v>
      </c>
      <c r="P11" s="7">
        <f>+[14]Resumen!P11*1000</f>
        <v>305039.24693785631</v>
      </c>
      <c r="Q11" s="7">
        <f>+[14]Resumen!Q11*1000</f>
        <v>318333.00940135698</v>
      </c>
      <c r="R11" s="7">
        <f>+[14]Resumen!R11*1000</f>
        <v>319103.76397574163</v>
      </c>
      <c r="S11" s="7">
        <f>+[14]Resumen!S11*1000</f>
        <v>315283.23076492455</v>
      </c>
      <c r="T11" s="7">
        <f>+[14]Resumen!T11*1000</f>
        <v>317651.02317800943</v>
      </c>
      <c r="U11" s="7">
        <f>+[14]Resumen!U11*1000</f>
        <v>318001.3077994652</v>
      </c>
      <c r="V11" s="7">
        <f>+[14]Resumen!V11*1000</f>
        <v>311682.33104633883</v>
      </c>
      <c r="W11" s="7">
        <f>+[14]Resumen!W11*1000</f>
        <v>0</v>
      </c>
      <c r="X11" s="7">
        <f>+[14]Resumen!X11*1000</f>
        <v>0</v>
      </c>
      <c r="Y11" s="7">
        <f>+[14]Resumen!Y11*1000</f>
        <v>0</v>
      </c>
      <c r="Z11" s="7">
        <f>+[14]Resumen!Z11*1000</f>
        <v>0</v>
      </c>
      <c r="AA11" s="7">
        <f>+[14]Resumen!AA11*1000</f>
        <v>0</v>
      </c>
      <c r="AB11" s="7">
        <f>+[14]Resumen!AB11*1000</f>
        <v>0</v>
      </c>
      <c r="AC11" s="7">
        <f>+[14]Resumen!AC11*1000</f>
        <v>0</v>
      </c>
      <c r="AD11" s="60">
        <f>SUM(F11:AC11)*E11+SUM(F12:AC12)*E12+SUM(F13:AC13)*E13+SUM(F14:AC14)*E14</f>
        <v>82128530.598455295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+[14]Resumen!E12</f>
        <v>4</v>
      </c>
      <c r="F12" s="7">
        <f>+[14]Resumen!F12*1000</f>
        <v>0</v>
      </c>
      <c r="G12" s="7">
        <f>+[14]Resumen!G12*1000</f>
        <v>0</v>
      </c>
      <c r="H12" s="7">
        <f>+[14]Resumen!H12*1000</f>
        <v>0</v>
      </c>
      <c r="I12" s="7">
        <f>+[14]Resumen!I12*1000</f>
        <v>0</v>
      </c>
      <c r="J12" s="7">
        <f>+[14]Resumen!J12*1000</f>
        <v>0</v>
      </c>
      <c r="K12" s="7">
        <f>+[14]Resumen!K12*1000</f>
        <v>0</v>
      </c>
      <c r="L12" s="7">
        <f>+[14]Resumen!L12*1000</f>
        <v>0</v>
      </c>
      <c r="M12" s="7">
        <f>+[14]Resumen!M12*1000</f>
        <v>242042.24486141556</v>
      </c>
      <c r="N12" s="7">
        <f>+[14]Resumen!N12*1000</f>
        <v>266881.9679331829</v>
      </c>
      <c r="O12" s="7">
        <f>+[14]Resumen!O12*1000</f>
        <v>282618.89528284856</v>
      </c>
      <c r="P12" s="7">
        <f>+[14]Resumen!P12*1000</f>
        <v>297271.34558063914</v>
      </c>
      <c r="Q12" s="7">
        <f>+[14]Resumen!Q12*1000</f>
        <v>306162.60424354888</v>
      </c>
      <c r="R12" s="7">
        <f>+[14]Resumen!R12*1000</f>
        <v>306356.35711993591</v>
      </c>
      <c r="S12" s="7">
        <f>+[14]Resumen!S12*1000</f>
        <v>298639.66395357437</v>
      </c>
      <c r="T12" s="7">
        <f>+[14]Resumen!T12*1000</f>
        <v>291164.90390292089</v>
      </c>
      <c r="U12" s="7">
        <f>+[14]Resumen!U12*1000</f>
        <v>288285.15247924294</v>
      </c>
      <c r="V12" s="7">
        <f>+[14]Resumen!V12*1000</f>
        <v>284769.78550498118</v>
      </c>
      <c r="W12" s="7">
        <f>+[14]Resumen!W12*1000</f>
        <v>0</v>
      </c>
      <c r="X12" s="7">
        <f>+[14]Resumen!X12*1000</f>
        <v>0</v>
      </c>
      <c r="Y12" s="7">
        <f>+[14]Resumen!Y12*1000</f>
        <v>0</v>
      </c>
      <c r="Z12" s="7">
        <f>+[14]Resumen!Z12*1000</f>
        <v>0</v>
      </c>
      <c r="AA12" s="7">
        <f>+[14]Resumen!AA12*1000</f>
        <v>0</v>
      </c>
      <c r="AB12" s="7">
        <f>+[14]Resumen!AB12*1000</f>
        <v>0</v>
      </c>
      <c r="AC12" s="7">
        <f>+[14]Resumen!AC12*1000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+[14]Resumen!E13</f>
        <v>4</v>
      </c>
      <c r="F13" s="7">
        <f>+[14]Resumen!F13*1000</f>
        <v>0</v>
      </c>
      <c r="G13" s="7">
        <f>+[14]Resumen!G13*1000</f>
        <v>0</v>
      </c>
      <c r="H13" s="7">
        <f>+[14]Resumen!H13*1000</f>
        <v>0</v>
      </c>
      <c r="I13" s="7">
        <f>+[14]Resumen!I13*1000</f>
        <v>0</v>
      </c>
      <c r="J13" s="7">
        <f>+[14]Resumen!J13*1000</f>
        <v>0</v>
      </c>
      <c r="K13" s="7">
        <f>+[14]Resumen!K13*1000</f>
        <v>0</v>
      </c>
      <c r="L13" s="7">
        <f>+[14]Resumen!L13*1000</f>
        <v>0</v>
      </c>
      <c r="M13" s="7">
        <f>+[14]Resumen!M13*1000</f>
        <v>198998.70389018496</v>
      </c>
      <c r="N13" s="7">
        <f>+[14]Resumen!N13*1000</f>
        <v>218233.07841976188</v>
      </c>
      <c r="O13" s="7">
        <f>+[14]Resumen!O13*1000</f>
        <v>234551.74963364899</v>
      </c>
      <c r="P13" s="7">
        <f>+[14]Resumen!P13*1000</f>
        <v>248346.79593641285</v>
      </c>
      <c r="Q13" s="7">
        <f>+[14]Resumen!Q13*1000</f>
        <v>263218.06817609351</v>
      </c>
      <c r="R13" s="7">
        <f>+[14]Resumen!R13*1000</f>
        <v>272299.02196368395</v>
      </c>
      <c r="S13" s="7">
        <f>+[14]Resumen!S13*1000</f>
        <v>272764.00852528104</v>
      </c>
      <c r="T13" s="7">
        <f>+[14]Resumen!T13*1000</f>
        <v>267851.42732428771</v>
      </c>
      <c r="U13" s="7">
        <f>+[14]Resumen!U13*1000</f>
        <v>263893.44757446955</v>
      </c>
      <c r="V13" s="7">
        <f>+[14]Resumen!V13*1000</f>
        <v>259797.31144396795</v>
      </c>
      <c r="W13" s="7">
        <f>+[14]Resumen!W13*1000</f>
        <v>0</v>
      </c>
      <c r="X13" s="7">
        <f>+[14]Resumen!X13*1000</f>
        <v>0</v>
      </c>
      <c r="Y13" s="7">
        <f>+[14]Resumen!Y13*1000</f>
        <v>0</v>
      </c>
      <c r="Z13" s="7">
        <f>+[14]Resumen!Z13*1000</f>
        <v>0</v>
      </c>
      <c r="AA13" s="7">
        <f>+[14]Resumen!AA13*1000</f>
        <v>0</v>
      </c>
      <c r="AB13" s="7">
        <f>+[14]Resumen!AB13*1000</f>
        <v>0</v>
      </c>
      <c r="AC13" s="7">
        <f>+[14]Resumen!AC13*1000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+[14]Resumen!E14</f>
        <v>0</v>
      </c>
      <c r="F14" s="7">
        <f>+[14]Resumen!F14*1000</f>
        <v>0</v>
      </c>
      <c r="G14" s="7">
        <f>+[14]Resumen!G14*1000</f>
        <v>0</v>
      </c>
      <c r="H14" s="7">
        <f>+[14]Resumen!H14*1000</f>
        <v>0</v>
      </c>
      <c r="I14" s="7">
        <f>+[14]Resumen!I14*1000</f>
        <v>0</v>
      </c>
      <c r="J14" s="7">
        <f>+[14]Resumen!J14*1000</f>
        <v>0</v>
      </c>
      <c r="K14" s="7">
        <f>+[14]Resumen!K14*1000</f>
        <v>0</v>
      </c>
      <c r="L14" s="7">
        <f>+[14]Resumen!L14*1000</f>
        <v>0</v>
      </c>
      <c r="M14" s="7">
        <f>+[14]Resumen!M14*1000</f>
        <v>0</v>
      </c>
      <c r="N14" s="7">
        <f>+[14]Resumen!N14*1000</f>
        <v>0</v>
      </c>
      <c r="O14" s="7">
        <f>+[14]Resumen!O14*1000</f>
        <v>0</v>
      </c>
      <c r="P14" s="7">
        <f>+[14]Resumen!P14*1000</f>
        <v>0</v>
      </c>
      <c r="Q14" s="7">
        <f>+[14]Resumen!Q14*1000</f>
        <v>0</v>
      </c>
      <c r="R14" s="7">
        <f>+[14]Resumen!R14*1000</f>
        <v>0</v>
      </c>
      <c r="S14" s="7">
        <f>+[14]Resumen!S14*1000</f>
        <v>0</v>
      </c>
      <c r="T14" s="7">
        <f>+[14]Resumen!T14*1000</f>
        <v>0</v>
      </c>
      <c r="U14" s="7">
        <f>+[14]Resumen!U14*1000</f>
        <v>0</v>
      </c>
      <c r="V14" s="7">
        <f>+[14]Resumen!V14*1000</f>
        <v>0</v>
      </c>
      <c r="W14" s="7">
        <f>+[14]Resumen!W14*1000</f>
        <v>0</v>
      </c>
      <c r="X14" s="7">
        <f>+[14]Resumen!X14*1000</f>
        <v>0</v>
      </c>
      <c r="Y14" s="7">
        <f>+[14]Resumen!Y14*1000</f>
        <v>0</v>
      </c>
      <c r="Z14" s="7">
        <f>+[14]Resumen!Z14*1000</f>
        <v>0</v>
      </c>
      <c r="AA14" s="7">
        <f>+[14]Resumen!AA14*1000</f>
        <v>0</v>
      </c>
      <c r="AB14" s="7">
        <f>+[14]Resumen!AB14*1000</f>
        <v>0</v>
      </c>
      <c r="AC14" s="7">
        <f>+[14]Resumen!AC14*1000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+[14]Resumen!E15</f>
        <v>22</v>
      </c>
      <c r="F15" s="7">
        <f>+[14]Resumen!F15*1000</f>
        <v>0</v>
      </c>
      <c r="G15" s="7">
        <f>+[14]Resumen!G15*1000</f>
        <v>0</v>
      </c>
      <c r="H15" s="7">
        <f>+[14]Resumen!H15*1000</f>
        <v>0</v>
      </c>
      <c r="I15" s="7">
        <f>+[14]Resumen!I15*1000</f>
        <v>0</v>
      </c>
      <c r="J15" s="7">
        <f>+[14]Resumen!J15*1000</f>
        <v>0</v>
      </c>
      <c r="K15" s="7">
        <f>+[14]Resumen!K15*1000</f>
        <v>0</v>
      </c>
      <c r="L15" s="7">
        <f>+[14]Resumen!L15*1000</f>
        <v>0</v>
      </c>
      <c r="M15" s="7">
        <f>+[14]Resumen!M15*1000</f>
        <v>238441.83673468145</v>
      </c>
      <c r="N15" s="7">
        <f>+[14]Resumen!N15*1000</f>
        <v>252915.42811783138</v>
      </c>
      <c r="O15" s="7">
        <f>+[14]Resumen!O15*1000</f>
        <v>262579.35474927246</v>
      </c>
      <c r="P15" s="7">
        <f>+[14]Resumen!P15*1000</f>
        <v>277551.51562184957</v>
      </c>
      <c r="Q15" s="7">
        <f>+[14]Resumen!Q15*1000</f>
        <v>289686.3354626043</v>
      </c>
      <c r="R15" s="7">
        <f>+[14]Resumen!R15*1000</f>
        <v>290952.21202666359</v>
      </c>
      <c r="S15" s="7">
        <f>+[14]Resumen!S15*1000</f>
        <v>287411.80988978507</v>
      </c>
      <c r="T15" s="7">
        <f>+[14]Resumen!T15*1000</f>
        <v>289384.04673352535</v>
      </c>
      <c r="U15" s="7">
        <f>+[14]Resumen!U15*1000</f>
        <v>288875.04574976355</v>
      </c>
      <c r="V15" s="7">
        <f>+[14]Resumen!V15*1000</f>
        <v>283279.83840844344</v>
      </c>
      <c r="W15" s="7">
        <f>+[14]Resumen!W15*1000</f>
        <v>0</v>
      </c>
      <c r="X15" s="7">
        <f>+[14]Resumen!X15*1000</f>
        <v>0</v>
      </c>
      <c r="Y15" s="7">
        <f>+[14]Resumen!Y15*1000</f>
        <v>0</v>
      </c>
      <c r="Z15" s="7">
        <f>+[14]Resumen!Z15*1000</f>
        <v>0</v>
      </c>
      <c r="AA15" s="7">
        <f>+[14]Resumen!AA15*1000</f>
        <v>0</v>
      </c>
      <c r="AB15" s="7">
        <f>+[14]Resumen!AB15*1000</f>
        <v>0</v>
      </c>
      <c r="AC15" s="7">
        <f>+[14]Resumen!AC15*1000</f>
        <v>0</v>
      </c>
      <c r="AD15" s="60">
        <f t="shared" ref="AD15" si="0">SUM(F15:AC15)*E15+SUM(F16:AC16)*E16+SUM(F17:AC17)*E17+SUM(F18:AC18)*E18</f>
        <v>82534649.457486078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+[14]Resumen!E16</f>
        <v>4</v>
      </c>
      <c r="F16" s="7">
        <f>+[14]Resumen!F16*1000</f>
        <v>0</v>
      </c>
      <c r="G16" s="7">
        <f>+[14]Resumen!G16*1000</f>
        <v>0</v>
      </c>
      <c r="H16" s="7">
        <f>+[14]Resumen!H16*1000</f>
        <v>0</v>
      </c>
      <c r="I16" s="7">
        <f>+[14]Resumen!I16*1000</f>
        <v>0</v>
      </c>
      <c r="J16" s="7">
        <f>+[14]Resumen!J16*1000</f>
        <v>0</v>
      </c>
      <c r="K16" s="7">
        <f>+[14]Resumen!K16*1000</f>
        <v>0</v>
      </c>
      <c r="L16" s="7">
        <f>+[14]Resumen!L16*1000</f>
        <v>0</v>
      </c>
      <c r="M16" s="7">
        <f>+[14]Resumen!M16*1000</f>
        <v>220360.60955322022</v>
      </c>
      <c r="N16" s="7">
        <f>+[14]Resumen!N16*1000</f>
        <v>241736.03823003624</v>
      </c>
      <c r="O16" s="7">
        <f>+[14]Resumen!O16*1000</f>
        <v>255489.60647031828</v>
      </c>
      <c r="P16" s="7">
        <f>+[14]Resumen!P16*1000</f>
        <v>268548.61051642807</v>
      </c>
      <c r="Q16" s="7">
        <f>+[14]Resumen!Q16*1000</f>
        <v>278394.60836098861</v>
      </c>
      <c r="R16" s="7">
        <f>+[14]Resumen!R16*1000</f>
        <v>279133.85444039985</v>
      </c>
      <c r="S16" s="7">
        <f>+[14]Resumen!S16*1000</f>
        <v>273274.68134512438</v>
      </c>
      <c r="T16" s="7">
        <f>+[14]Resumen!T16*1000</f>
        <v>267291.74788226915</v>
      </c>
      <c r="U16" s="7">
        <f>+[14]Resumen!U16*1000</f>
        <v>263392.3205360556</v>
      </c>
      <c r="V16" s="7">
        <f>+[14]Resumen!V16*1000</f>
        <v>259718.81778641607</v>
      </c>
      <c r="W16" s="7">
        <f>+[14]Resumen!W16*1000</f>
        <v>0</v>
      </c>
      <c r="X16" s="7">
        <f>+[14]Resumen!X16*1000</f>
        <v>0</v>
      </c>
      <c r="Y16" s="7">
        <f>+[14]Resumen!Y16*1000</f>
        <v>0</v>
      </c>
      <c r="Z16" s="7">
        <f>+[14]Resumen!Z16*1000</f>
        <v>0</v>
      </c>
      <c r="AA16" s="7">
        <f>+[14]Resumen!AA16*1000</f>
        <v>0</v>
      </c>
      <c r="AB16" s="7">
        <f>+[14]Resumen!AB16*1000</f>
        <v>0</v>
      </c>
      <c r="AC16" s="7">
        <f>+[14]Resumen!AC16*1000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+[14]Resumen!E17</f>
        <v>4</v>
      </c>
      <c r="F17" s="7">
        <f>+[14]Resumen!F17*1000</f>
        <v>0</v>
      </c>
      <c r="G17" s="7">
        <f>+[14]Resumen!G17*1000</f>
        <v>0</v>
      </c>
      <c r="H17" s="7">
        <f>+[14]Resumen!H17*1000</f>
        <v>0</v>
      </c>
      <c r="I17" s="7">
        <f>+[14]Resumen!I17*1000</f>
        <v>0</v>
      </c>
      <c r="J17" s="7">
        <f>+[14]Resumen!J17*1000</f>
        <v>0</v>
      </c>
      <c r="K17" s="7">
        <f>+[14]Resumen!K17*1000</f>
        <v>0</v>
      </c>
      <c r="L17" s="7">
        <f>+[14]Resumen!L17*1000</f>
        <v>0</v>
      </c>
      <c r="M17" s="7">
        <f>+[14]Resumen!M17*1000</f>
        <v>179930.74591596943</v>
      </c>
      <c r="N17" s="7">
        <f>+[14]Resumen!N17*1000</f>
        <v>197764.23199350983</v>
      </c>
      <c r="O17" s="7">
        <f>+[14]Resumen!O17*1000</f>
        <v>211522.82845561914</v>
      </c>
      <c r="P17" s="7">
        <f>+[14]Resumen!P17*1000</f>
        <v>223523.02417265892</v>
      </c>
      <c r="Q17" s="7">
        <f>+[14]Resumen!Q17*1000</f>
        <v>236097.29110695992</v>
      </c>
      <c r="R17" s="7">
        <f>+[14]Resumen!R17*1000</f>
        <v>244124.87374087374</v>
      </c>
      <c r="S17" s="7">
        <f>+[14]Resumen!S17*1000</f>
        <v>244630.57555001049</v>
      </c>
      <c r="T17" s="7">
        <f>+[14]Resumen!T17*1000</f>
        <v>240585.55013956636</v>
      </c>
      <c r="U17" s="7">
        <f>+[14]Resumen!U17*1000</f>
        <v>237679.65535267492</v>
      </c>
      <c r="V17" s="7">
        <f>+[14]Resumen!V17*1000</f>
        <v>234443.05062331667</v>
      </c>
      <c r="W17" s="7">
        <f>+[14]Resumen!W17*1000</f>
        <v>0</v>
      </c>
      <c r="X17" s="7">
        <f>+[14]Resumen!X17*1000</f>
        <v>0</v>
      </c>
      <c r="Y17" s="7">
        <f>+[14]Resumen!Y17*1000</f>
        <v>0</v>
      </c>
      <c r="Z17" s="7">
        <f>+[14]Resumen!Z17*1000</f>
        <v>0</v>
      </c>
      <c r="AA17" s="7">
        <f>+[14]Resumen!AA17*1000</f>
        <v>0</v>
      </c>
      <c r="AB17" s="7">
        <f>+[14]Resumen!AB17*1000</f>
        <v>0</v>
      </c>
      <c r="AC17" s="7">
        <f>+[14]Resumen!AC17*1000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+[14]Resumen!E18</f>
        <v>1</v>
      </c>
      <c r="F18" s="7">
        <f>+[14]Resumen!F18*1000</f>
        <v>0</v>
      </c>
      <c r="G18" s="7">
        <f>+[14]Resumen!G18*1000</f>
        <v>0</v>
      </c>
      <c r="H18" s="7">
        <f>+[14]Resumen!H18*1000</f>
        <v>0</v>
      </c>
      <c r="I18" s="7">
        <f>+[14]Resumen!I18*1000</f>
        <v>0</v>
      </c>
      <c r="J18" s="7">
        <f>+[14]Resumen!J18*1000</f>
        <v>0</v>
      </c>
      <c r="K18" s="7">
        <f>+[14]Resumen!K18*1000</f>
        <v>0</v>
      </c>
      <c r="L18" s="7">
        <f>+[14]Resumen!L18*1000</f>
        <v>0</v>
      </c>
      <c r="M18" s="7">
        <f>+[14]Resumen!M18*1000</f>
        <v>187132.23598930315</v>
      </c>
      <c r="N18" s="7">
        <f>+[14]Resumen!N18*1000</f>
        <v>204572.22185998206</v>
      </c>
      <c r="O18" s="7">
        <f>+[14]Resumen!O18*1000</f>
        <v>220235.23667960975</v>
      </c>
      <c r="P18" s="7">
        <f>+[14]Resumen!P18*1000</f>
        <v>234856.35011578887</v>
      </c>
      <c r="Q18" s="7">
        <f>+[14]Resumen!Q18*1000</f>
        <v>251329.31124638693</v>
      </c>
      <c r="R18" s="7">
        <f>+[14]Resumen!R18*1000</f>
        <v>259862.43253179704</v>
      </c>
      <c r="S18" s="7">
        <f>+[14]Resumen!S18*1000</f>
        <v>257160.13093404702</v>
      </c>
      <c r="T18" s="7">
        <f>+[14]Resumen!T18*1000</f>
        <v>251444.80990435669</v>
      </c>
      <c r="U18" s="7">
        <f>+[14]Resumen!U18*1000</f>
        <v>247943.84741892017</v>
      </c>
      <c r="V18" s="7">
        <f>+[14]Resumen!V18*1000</f>
        <v>245838.67523898964</v>
      </c>
      <c r="W18" s="7">
        <f>+[14]Resumen!W18*1000</f>
        <v>0</v>
      </c>
      <c r="X18" s="7">
        <f>+[14]Resumen!X18*1000</f>
        <v>0</v>
      </c>
      <c r="Y18" s="7">
        <f>+[14]Resumen!Y18*1000</f>
        <v>0</v>
      </c>
      <c r="Z18" s="7">
        <f>+[14]Resumen!Z18*1000</f>
        <v>0</v>
      </c>
      <c r="AA18" s="7">
        <f>+[14]Resumen!AA18*1000</f>
        <v>0</v>
      </c>
      <c r="AB18" s="7">
        <f>+[14]Resumen!AB18*1000</f>
        <v>0</v>
      </c>
      <c r="AC18" s="7">
        <f>+[14]Resumen!AC18*1000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+[14]Resumen!E19</f>
        <v>19</v>
      </c>
      <c r="F19" s="7">
        <f>+[14]Resumen!F19*1000</f>
        <v>0</v>
      </c>
      <c r="G19" s="7">
        <f>+[14]Resumen!G19*1000</f>
        <v>0</v>
      </c>
      <c r="H19" s="7">
        <f>+[14]Resumen!H19*1000</f>
        <v>0</v>
      </c>
      <c r="I19" s="7">
        <f>+[14]Resumen!I19*1000</f>
        <v>0</v>
      </c>
      <c r="J19" s="7">
        <f>+[14]Resumen!J19*1000</f>
        <v>0</v>
      </c>
      <c r="K19" s="7">
        <f>+[14]Resumen!K19*1000</f>
        <v>0</v>
      </c>
      <c r="L19" s="7">
        <f>+[14]Resumen!L19*1000</f>
        <v>0</v>
      </c>
      <c r="M19" s="7">
        <f>+[14]Resumen!M19*1000</f>
        <v>246059.17113589184</v>
      </c>
      <c r="N19" s="7">
        <f>+[14]Resumen!N19*1000</f>
        <v>261860.35716871571</v>
      </c>
      <c r="O19" s="7">
        <f>+[14]Resumen!O19*1000</f>
        <v>272745.85776751762</v>
      </c>
      <c r="P19" s="7">
        <f>+[14]Resumen!P19*1000</f>
        <v>288288.48343782377</v>
      </c>
      <c r="Q19" s="7">
        <f>+[14]Resumen!Q19*1000</f>
        <v>301580.19901456294</v>
      </c>
      <c r="R19" s="7">
        <f>+[14]Resumen!R19*1000</f>
        <v>303999.78868115321</v>
      </c>
      <c r="S19" s="7">
        <f>+[14]Resumen!S19*1000</f>
        <v>300145.75094293064</v>
      </c>
      <c r="T19" s="7">
        <f>+[14]Resumen!T19*1000</f>
        <v>301950.54355006799</v>
      </c>
      <c r="U19" s="7">
        <f>+[14]Resumen!U19*1000</f>
        <v>301691.44921709085</v>
      </c>
      <c r="V19" s="7">
        <f>+[14]Resumen!V19*1000</f>
        <v>295315.33550586371</v>
      </c>
      <c r="W19" s="7">
        <f>+[14]Resumen!W19*1000</f>
        <v>0</v>
      </c>
      <c r="X19" s="7">
        <f>+[14]Resumen!X19*1000</f>
        <v>0</v>
      </c>
      <c r="Y19" s="7">
        <f>+[14]Resumen!Y19*1000</f>
        <v>0</v>
      </c>
      <c r="Z19" s="7">
        <f>+[14]Resumen!Z19*1000</f>
        <v>0</v>
      </c>
      <c r="AA19" s="7">
        <f>+[14]Resumen!AA19*1000</f>
        <v>0</v>
      </c>
      <c r="AB19" s="7">
        <f>+[14]Resumen!AB19*1000</f>
        <v>0</v>
      </c>
      <c r="AC19" s="7">
        <f>+[14]Resumen!AC19*1000</f>
        <v>0</v>
      </c>
      <c r="AD19" s="60">
        <f t="shared" ref="AD19" si="1">SUM(F19:AC19)*E19+SUM(F20:AC20)*E20+SUM(F21:AC21)*E21+SUM(F22:AC22)*E22</f>
        <v>81850422.954718783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+[14]Resumen!E20</f>
        <v>5</v>
      </c>
      <c r="F20" s="7">
        <f>+[14]Resumen!F20*1000</f>
        <v>0</v>
      </c>
      <c r="G20" s="7">
        <f>+[14]Resumen!G20*1000</f>
        <v>0</v>
      </c>
      <c r="H20" s="7">
        <f>+[14]Resumen!H20*1000</f>
        <v>0</v>
      </c>
      <c r="I20" s="7">
        <f>+[14]Resumen!I20*1000</f>
        <v>0</v>
      </c>
      <c r="J20" s="7">
        <f>+[14]Resumen!J20*1000</f>
        <v>0</v>
      </c>
      <c r="K20" s="7">
        <f>+[14]Resumen!K20*1000</f>
        <v>0</v>
      </c>
      <c r="L20" s="7">
        <f>+[14]Resumen!L20*1000</f>
        <v>0</v>
      </c>
      <c r="M20" s="7">
        <f>+[14]Resumen!M20*1000</f>
        <v>220139.64113483997</v>
      </c>
      <c r="N20" s="7">
        <f>+[14]Resumen!N20*1000</f>
        <v>241783.00432224112</v>
      </c>
      <c r="O20" s="7">
        <f>+[14]Resumen!O20*1000</f>
        <v>256646.65476929105</v>
      </c>
      <c r="P20" s="7">
        <f>+[14]Resumen!P20*1000</f>
        <v>269784.0083856858</v>
      </c>
      <c r="Q20" s="7">
        <f>+[14]Resumen!Q20*1000</f>
        <v>279557.65111404884</v>
      </c>
      <c r="R20" s="7">
        <f>+[14]Resumen!R20*1000</f>
        <v>281950.4087650475</v>
      </c>
      <c r="S20" s="7">
        <f>+[14]Resumen!S20*1000</f>
        <v>277584.16833923635</v>
      </c>
      <c r="T20" s="7">
        <f>+[14]Resumen!T20*1000</f>
        <v>272193.78528561705</v>
      </c>
      <c r="U20" s="7">
        <f>+[14]Resumen!U20*1000</f>
        <v>270561.68550567096</v>
      </c>
      <c r="V20" s="7">
        <f>+[14]Resumen!V20*1000</f>
        <v>268261.97644510726</v>
      </c>
      <c r="W20" s="7">
        <f>+[14]Resumen!W20*1000</f>
        <v>0</v>
      </c>
      <c r="X20" s="7">
        <f>+[14]Resumen!X20*1000</f>
        <v>0</v>
      </c>
      <c r="Y20" s="7">
        <f>+[14]Resumen!Y20*1000</f>
        <v>0</v>
      </c>
      <c r="Z20" s="7">
        <f>+[14]Resumen!Z20*1000</f>
        <v>0</v>
      </c>
      <c r="AA20" s="7">
        <f>+[14]Resumen!AA20*1000</f>
        <v>0</v>
      </c>
      <c r="AB20" s="7">
        <f>+[14]Resumen!AB20*1000</f>
        <v>0</v>
      </c>
      <c r="AC20" s="7">
        <f>+[14]Resumen!AC20*1000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+[14]Resumen!E21</f>
        <v>4</v>
      </c>
      <c r="F21" s="7">
        <f>+[14]Resumen!F21*1000</f>
        <v>0</v>
      </c>
      <c r="G21" s="7">
        <f>+[14]Resumen!G21*1000</f>
        <v>0</v>
      </c>
      <c r="H21" s="7">
        <f>+[14]Resumen!H21*1000</f>
        <v>0</v>
      </c>
      <c r="I21" s="7">
        <f>+[14]Resumen!I21*1000</f>
        <v>0</v>
      </c>
      <c r="J21" s="7">
        <f>+[14]Resumen!J21*1000</f>
        <v>0</v>
      </c>
      <c r="K21" s="7">
        <f>+[14]Resumen!K21*1000</f>
        <v>0</v>
      </c>
      <c r="L21" s="7">
        <f>+[14]Resumen!L21*1000</f>
        <v>0</v>
      </c>
      <c r="M21" s="7">
        <f>+[14]Resumen!M21*1000</f>
        <v>189874.08742287554</v>
      </c>
      <c r="N21" s="7">
        <f>+[14]Resumen!N21*1000</f>
        <v>208629.07937775183</v>
      </c>
      <c r="O21" s="7">
        <f>+[14]Resumen!O21*1000</f>
        <v>224253.67375145762</v>
      </c>
      <c r="P21" s="7">
        <f>+[14]Resumen!P21*1000</f>
        <v>235691.81258657563</v>
      </c>
      <c r="Q21" s="7">
        <f>+[14]Resumen!Q21*1000</f>
        <v>246803.1085271975</v>
      </c>
      <c r="R21" s="7">
        <f>+[14]Resumen!R21*1000</f>
        <v>254637.0484691048</v>
      </c>
      <c r="S21" s="7">
        <f>+[14]Resumen!S21*1000</f>
        <v>255848.89442702234</v>
      </c>
      <c r="T21" s="7">
        <f>+[14]Resumen!T21*1000</f>
        <v>253265.71485821757</v>
      </c>
      <c r="U21" s="7">
        <f>+[14]Resumen!U21*1000</f>
        <v>250339.79829802399</v>
      </c>
      <c r="V21" s="7">
        <f>+[14]Resumen!V21*1000</f>
        <v>247000.64369433964</v>
      </c>
      <c r="W21" s="7">
        <f>+[14]Resumen!W21*1000</f>
        <v>0</v>
      </c>
      <c r="X21" s="7">
        <f>+[14]Resumen!X21*1000</f>
        <v>0</v>
      </c>
      <c r="Y21" s="7">
        <f>+[14]Resumen!Y21*1000</f>
        <v>0</v>
      </c>
      <c r="Z21" s="7">
        <f>+[14]Resumen!Z21*1000</f>
        <v>0</v>
      </c>
      <c r="AA21" s="7">
        <f>+[14]Resumen!AA21*1000</f>
        <v>0</v>
      </c>
      <c r="AB21" s="7">
        <f>+[14]Resumen!AB21*1000</f>
        <v>0</v>
      </c>
      <c r="AC21" s="7">
        <f>+[14]Resumen!AC21*1000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+[14]Resumen!E22</f>
        <v>2</v>
      </c>
      <c r="F22" s="7">
        <f>+[14]Resumen!F22*1000</f>
        <v>0</v>
      </c>
      <c r="G22" s="7">
        <f>+[14]Resumen!G22*1000</f>
        <v>0</v>
      </c>
      <c r="H22" s="7">
        <f>+[14]Resumen!H22*1000</f>
        <v>0</v>
      </c>
      <c r="I22" s="7">
        <f>+[14]Resumen!I22*1000</f>
        <v>0</v>
      </c>
      <c r="J22" s="7">
        <f>+[14]Resumen!J22*1000</f>
        <v>0</v>
      </c>
      <c r="K22" s="7">
        <f>+[14]Resumen!K22*1000</f>
        <v>0</v>
      </c>
      <c r="L22" s="7">
        <f>+[14]Resumen!L22*1000</f>
        <v>0</v>
      </c>
      <c r="M22" s="7">
        <f>+[14]Resumen!M22*1000</f>
        <v>191411.63840966701</v>
      </c>
      <c r="N22" s="7">
        <f>+[14]Resumen!N22*1000</f>
        <v>208111.67047818279</v>
      </c>
      <c r="O22" s="7">
        <f>+[14]Resumen!O22*1000</f>
        <v>218056.98047142584</v>
      </c>
      <c r="P22" s="7">
        <f>+[14]Resumen!P22*1000</f>
        <v>223827.84926142063</v>
      </c>
      <c r="Q22" s="7">
        <f>+[14]Resumen!Q22*1000</f>
        <v>236988.32464628553</v>
      </c>
      <c r="R22" s="7">
        <f>+[14]Resumen!R22*1000</f>
        <v>248666.95360551271</v>
      </c>
      <c r="S22" s="7">
        <f>+[14]Resumen!S22*1000</f>
        <v>247597.70318745615</v>
      </c>
      <c r="T22" s="7">
        <f>+[14]Resumen!T22*1000</f>
        <v>242840.53281735262</v>
      </c>
      <c r="U22" s="7">
        <f>+[14]Resumen!U22*1000</f>
        <v>239791.31569747487</v>
      </c>
      <c r="V22" s="7">
        <f>+[14]Resumen!V22*1000</f>
        <v>239522.42978714244</v>
      </c>
      <c r="W22" s="7">
        <f>+[14]Resumen!W22*1000</f>
        <v>0</v>
      </c>
      <c r="X22" s="7">
        <f>+[14]Resumen!X22*1000</f>
        <v>0</v>
      </c>
      <c r="Y22" s="7">
        <f>+[14]Resumen!Y22*1000</f>
        <v>0</v>
      </c>
      <c r="Z22" s="7">
        <f>+[14]Resumen!Z22*1000</f>
        <v>0</v>
      </c>
      <c r="AA22" s="7">
        <f>+[14]Resumen!AA22*1000</f>
        <v>0</v>
      </c>
      <c r="AB22" s="7">
        <f>+[14]Resumen!AB22*1000</f>
        <v>0</v>
      </c>
      <c r="AC22" s="7">
        <f>+[14]Resumen!AC22*1000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+[14]Resumen!E23</f>
        <v>21</v>
      </c>
      <c r="F23" s="7">
        <f>+[14]Resumen!F23*1000</f>
        <v>0</v>
      </c>
      <c r="G23" s="7">
        <f>+[14]Resumen!G23*1000</f>
        <v>0</v>
      </c>
      <c r="H23" s="7">
        <f>+[14]Resumen!H23*1000</f>
        <v>0</v>
      </c>
      <c r="I23" s="7">
        <f>+[14]Resumen!I23*1000</f>
        <v>0</v>
      </c>
      <c r="J23" s="7">
        <f>+[14]Resumen!J23*1000</f>
        <v>0</v>
      </c>
      <c r="K23" s="7">
        <f>+[14]Resumen!K23*1000</f>
        <v>0</v>
      </c>
      <c r="L23" s="7">
        <f>+[14]Resumen!L23*1000</f>
        <v>0</v>
      </c>
      <c r="M23" s="7">
        <f>+[14]Resumen!M23*1000</f>
        <v>238096.60788114811</v>
      </c>
      <c r="N23" s="7">
        <f>+[14]Resumen!N23*1000</f>
        <v>252755.09501163408</v>
      </c>
      <c r="O23" s="7">
        <f>+[14]Resumen!O23*1000</f>
        <v>263480.00823259121</v>
      </c>
      <c r="P23" s="7">
        <f>+[14]Resumen!P23*1000</f>
        <v>278754.16118399211</v>
      </c>
      <c r="Q23" s="7">
        <f>+[14]Resumen!Q23*1000</f>
        <v>291265.80524939974</v>
      </c>
      <c r="R23" s="7">
        <f>+[14]Resumen!R23*1000</f>
        <v>292229.79356222466</v>
      </c>
      <c r="S23" s="7">
        <f>+[14]Resumen!S23*1000</f>
        <v>287855.41008690558</v>
      </c>
      <c r="T23" s="7">
        <f>+[14]Resumen!T23*1000</f>
        <v>288936.34216822975</v>
      </c>
      <c r="U23" s="7">
        <f>+[14]Resumen!U23*1000</f>
        <v>288946.39861188433</v>
      </c>
      <c r="V23" s="7">
        <f>+[14]Resumen!V23*1000</f>
        <v>282980.64119881077</v>
      </c>
      <c r="W23" s="7">
        <f>+[14]Resumen!W23*1000</f>
        <v>0</v>
      </c>
      <c r="X23" s="7">
        <f>+[14]Resumen!X23*1000</f>
        <v>0</v>
      </c>
      <c r="Y23" s="7">
        <f>+[14]Resumen!Y23*1000</f>
        <v>0</v>
      </c>
      <c r="Z23" s="7">
        <f>+[14]Resumen!Z23*1000</f>
        <v>0</v>
      </c>
      <c r="AA23" s="7">
        <f>+[14]Resumen!AA23*1000</f>
        <v>0</v>
      </c>
      <c r="AB23" s="7">
        <f>+[14]Resumen!AB23*1000</f>
        <v>0</v>
      </c>
      <c r="AC23" s="7">
        <f>+[14]Resumen!AC23*1000</f>
        <v>0</v>
      </c>
      <c r="AD23" s="60">
        <f t="shared" ref="AD23" si="2">SUM(F23:AC23)*E23+SUM(F24:AC24)*E24+SUM(F25:AC25)*E25+SUM(F26:AC26)*E26</f>
        <v>82201057.746373773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+[14]Resumen!E24</f>
        <v>4</v>
      </c>
      <c r="F24" s="7">
        <f>+[14]Resumen!F24*1000</f>
        <v>0</v>
      </c>
      <c r="G24" s="7">
        <f>+[14]Resumen!G24*1000</f>
        <v>0</v>
      </c>
      <c r="H24" s="7">
        <f>+[14]Resumen!H24*1000</f>
        <v>0</v>
      </c>
      <c r="I24" s="7">
        <f>+[14]Resumen!I24*1000</f>
        <v>0</v>
      </c>
      <c r="J24" s="7">
        <f>+[14]Resumen!J24*1000</f>
        <v>0</v>
      </c>
      <c r="K24" s="7">
        <f>+[14]Resumen!K24*1000</f>
        <v>0</v>
      </c>
      <c r="L24" s="7">
        <f>+[14]Resumen!L24*1000</f>
        <v>0</v>
      </c>
      <c r="M24" s="7">
        <f>+[14]Resumen!M24*1000</f>
        <v>218532.22477506506</v>
      </c>
      <c r="N24" s="7">
        <f>+[14]Resumen!N24*1000</f>
        <v>240430.28127701301</v>
      </c>
      <c r="O24" s="7">
        <f>+[14]Resumen!O24*1000</f>
        <v>254894.52182032986</v>
      </c>
      <c r="P24" s="7">
        <f>+[14]Resumen!P24*1000</f>
        <v>268125.70167461463</v>
      </c>
      <c r="Q24" s="7">
        <f>+[14]Resumen!Q24*1000</f>
        <v>277359.20573706151</v>
      </c>
      <c r="R24" s="7">
        <f>+[14]Resumen!R24*1000</f>
        <v>277521.20856041019</v>
      </c>
      <c r="S24" s="7">
        <f>+[14]Resumen!S24*1000</f>
        <v>270999.8294570244</v>
      </c>
      <c r="T24" s="7">
        <f>+[14]Resumen!T24*1000</f>
        <v>264844.89605721692</v>
      </c>
      <c r="U24" s="7">
        <f>+[14]Resumen!U24*1000</f>
        <v>262222.43363781954</v>
      </c>
      <c r="V24" s="7">
        <f>+[14]Resumen!V24*1000</f>
        <v>259051.20426793775</v>
      </c>
      <c r="W24" s="7">
        <f>+[14]Resumen!W24*1000</f>
        <v>0</v>
      </c>
      <c r="X24" s="7">
        <f>+[14]Resumen!X24*1000</f>
        <v>0</v>
      </c>
      <c r="Y24" s="7">
        <f>+[14]Resumen!Y24*1000</f>
        <v>0</v>
      </c>
      <c r="Z24" s="7">
        <f>+[14]Resumen!Z24*1000</f>
        <v>0</v>
      </c>
      <c r="AA24" s="7">
        <f>+[14]Resumen!AA24*1000</f>
        <v>0</v>
      </c>
      <c r="AB24" s="7">
        <f>+[14]Resumen!AB24*1000</f>
        <v>0</v>
      </c>
      <c r="AC24" s="7">
        <f>+[14]Resumen!AC24*1000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+[14]Resumen!E25</f>
        <v>4</v>
      </c>
      <c r="F25" s="7">
        <f>+[14]Resumen!F25*1000</f>
        <v>0</v>
      </c>
      <c r="G25" s="7">
        <f>+[14]Resumen!G25*1000</f>
        <v>0</v>
      </c>
      <c r="H25" s="7">
        <f>+[14]Resumen!H25*1000</f>
        <v>0</v>
      </c>
      <c r="I25" s="7">
        <f>+[14]Resumen!I25*1000</f>
        <v>0</v>
      </c>
      <c r="J25" s="7">
        <f>+[14]Resumen!J25*1000</f>
        <v>0</v>
      </c>
      <c r="K25" s="7">
        <f>+[14]Resumen!K25*1000</f>
        <v>0</v>
      </c>
      <c r="L25" s="7">
        <f>+[14]Resumen!L25*1000</f>
        <v>0</v>
      </c>
      <c r="M25" s="7">
        <f>+[14]Resumen!M25*1000</f>
        <v>180112.09245489383</v>
      </c>
      <c r="N25" s="7">
        <f>+[14]Resumen!N25*1000</f>
        <v>199095.83354056068</v>
      </c>
      <c r="O25" s="7">
        <f>+[14]Resumen!O25*1000</f>
        <v>214927.27366156419</v>
      </c>
      <c r="P25" s="7">
        <f>+[14]Resumen!P25*1000</f>
        <v>227525.18362121252</v>
      </c>
      <c r="Q25" s="7">
        <f>+[14]Resumen!Q25*1000</f>
        <v>240241.56297924442</v>
      </c>
      <c r="R25" s="7">
        <f>+[14]Resumen!R25*1000</f>
        <v>246273.32931198258</v>
      </c>
      <c r="S25" s="7">
        <f>+[14]Resumen!S25*1000</f>
        <v>244922.8014786437</v>
      </c>
      <c r="T25" s="7">
        <f>+[14]Resumen!T25*1000</f>
        <v>238603.34584724807</v>
      </c>
      <c r="U25" s="7">
        <f>+[14]Resumen!U25*1000</f>
        <v>236482.7330215293</v>
      </c>
      <c r="V25" s="7">
        <f>+[14]Resumen!V25*1000</f>
        <v>233475.87967703849</v>
      </c>
      <c r="W25" s="7">
        <f>+[14]Resumen!W25*1000</f>
        <v>0</v>
      </c>
      <c r="X25" s="7">
        <f>+[14]Resumen!X25*1000</f>
        <v>0</v>
      </c>
      <c r="Y25" s="7">
        <f>+[14]Resumen!Y25*1000</f>
        <v>0</v>
      </c>
      <c r="Z25" s="7">
        <f>+[14]Resumen!Z25*1000</f>
        <v>0</v>
      </c>
      <c r="AA25" s="7">
        <f>+[14]Resumen!AA25*1000</f>
        <v>0</v>
      </c>
      <c r="AB25" s="7">
        <f>+[14]Resumen!AB25*1000</f>
        <v>0</v>
      </c>
      <c r="AC25" s="7">
        <f>+[14]Resumen!AC25*1000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+[14]Resumen!E26</f>
        <v>2</v>
      </c>
      <c r="F26" s="7">
        <f>+[14]Resumen!F26*1000</f>
        <v>0</v>
      </c>
      <c r="G26" s="7">
        <f>+[14]Resumen!G26*1000</f>
        <v>0</v>
      </c>
      <c r="H26" s="7">
        <f>+[14]Resumen!H26*1000</f>
        <v>0</v>
      </c>
      <c r="I26" s="7">
        <f>+[14]Resumen!I26*1000</f>
        <v>0</v>
      </c>
      <c r="J26" s="7">
        <f>+[14]Resumen!J26*1000</f>
        <v>0</v>
      </c>
      <c r="K26" s="7">
        <f>+[14]Resumen!K26*1000</f>
        <v>0</v>
      </c>
      <c r="L26" s="7">
        <f>+[14]Resumen!L26*1000</f>
        <v>0</v>
      </c>
      <c r="M26" s="7">
        <f>+[14]Resumen!M26*1000</f>
        <v>188098.19914525619</v>
      </c>
      <c r="N26" s="7">
        <f>+[14]Resumen!N26*1000</f>
        <v>206105.27435754496</v>
      </c>
      <c r="O26" s="7">
        <f>+[14]Resumen!O26*1000</f>
        <v>220839.09793929415</v>
      </c>
      <c r="P26" s="7">
        <f>+[14]Resumen!P26*1000</f>
        <v>236875.00848662254</v>
      </c>
      <c r="Q26" s="7">
        <f>+[14]Resumen!Q26*1000</f>
        <v>250256.43533842449</v>
      </c>
      <c r="R26" s="7">
        <f>+[14]Resumen!R26*1000</f>
        <v>260709.04481432211</v>
      </c>
      <c r="S26" s="7">
        <f>+[14]Resumen!S26*1000</f>
        <v>256899.62539342674</v>
      </c>
      <c r="T26" s="7">
        <f>+[14]Resumen!T26*1000</f>
        <v>249988.59829863757</v>
      </c>
      <c r="U26" s="7">
        <f>+[14]Resumen!U26*1000</f>
        <v>243101.65072885703</v>
      </c>
      <c r="V26" s="7">
        <f>+[14]Resumen!V26*1000</f>
        <v>240720.0895060655</v>
      </c>
      <c r="W26" s="7">
        <f>+[14]Resumen!W26*1000</f>
        <v>0</v>
      </c>
      <c r="X26" s="7">
        <f>+[14]Resumen!X26*1000</f>
        <v>0</v>
      </c>
      <c r="Y26" s="7">
        <f>+[14]Resumen!Y26*1000</f>
        <v>0</v>
      </c>
      <c r="Z26" s="7">
        <f>+[14]Resumen!Z26*1000</f>
        <v>0</v>
      </c>
      <c r="AA26" s="7">
        <f>+[14]Resumen!AA26*1000</f>
        <v>0</v>
      </c>
      <c r="AB26" s="7">
        <f>+[14]Resumen!AB26*1000</f>
        <v>0</v>
      </c>
      <c r="AC26" s="7">
        <f>+[14]Resumen!AC26*1000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+[14]Resumen!E27</f>
        <v>20</v>
      </c>
      <c r="F27" s="7">
        <f>+[14]Resumen!F27*1000</f>
        <v>0</v>
      </c>
      <c r="G27" s="7">
        <f>+[14]Resumen!G27*1000</f>
        <v>0</v>
      </c>
      <c r="H27" s="7">
        <f>+[14]Resumen!H27*1000</f>
        <v>0</v>
      </c>
      <c r="I27" s="7">
        <f>+[14]Resumen!I27*1000</f>
        <v>0</v>
      </c>
      <c r="J27" s="7">
        <f>+[14]Resumen!J27*1000</f>
        <v>0</v>
      </c>
      <c r="K27" s="7">
        <f>+[14]Resumen!K27*1000</f>
        <v>0</v>
      </c>
      <c r="L27" s="7">
        <f>+[14]Resumen!L27*1000</f>
        <v>0</v>
      </c>
      <c r="M27" s="7">
        <f>+[14]Resumen!M27*1000</f>
        <v>245680.95053610852</v>
      </c>
      <c r="N27" s="7">
        <f>+[14]Resumen!N27*1000</f>
        <v>263015.15092574822</v>
      </c>
      <c r="O27" s="7">
        <f>+[14]Resumen!O27*1000</f>
        <v>274790.40522991715</v>
      </c>
      <c r="P27" s="7">
        <f>+[14]Resumen!P27*1000</f>
        <v>290147.53337665519</v>
      </c>
      <c r="Q27" s="7">
        <f>+[14]Resumen!Q27*1000</f>
        <v>304181.74759096175</v>
      </c>
      <c r="R27" s="7">
        <f>+[14]Resumen!R27*1000</f>
        <v>307497.78890189767</v>
      </c>
      <c r="S27" s="7">
        <f>+[14]Resumen!S27*1000</f>
        <v>303607.15087896248</v>
      </c>
      <c r="T27" s="7">
        <f>+[14]Resumen!T27*1000</f>
        <v>304977.3254349237</v>
      </c>
      <c r="U27" s="7">
        <f>+[14]Resumen!U27*1000</f>
        <v>304859.47264528502</v>
      </c>
      <c r="V27" s="7">
        <f>+[14]Resumen!V27*1000</f>
        <v>298498.12787891092</v>
      </c>
      <c r="W27" s="7">
        <f>+[14]Resumen!W27*1000</f>
        <v>0</v>
      </c>
      <c r="X27" s="7">
        <f>+[14]Resumen!X27*1000</f>
        <v>0</v>
      </c>
      <c r="Y27" s="7">
        <f>+[14]Resumen!Y27*1000</f>
        <v>0</v>
      </c>
      <c r="Z27" s="7">
        <f>+[14]Resumen!Z27*1000</f>
        <v>0</v>
      </c>
      <c r="AA27" s="7">
        <f>+[14]Resumen!AA27*1000</f>
        <v>0</v>
      </c>
      <c r="AB27" s="7">
        <f>+[14]Resumen!AB27*1000</f>
        <v>0</v>
      </c>
      <c r="AC27" s="7">
        <f>+[14]Resumen!AC27*1000</f>
        <v>0</v>
      </c>
      <c r="AD27" s="60">
        <f t="shared" ref="AD27:AD35" si="3">SUM(F27:AC27)*E27+SUM(F28:AC28)*E28+SUM(F29:AC29)*E29+SUM(F30:AC30)*E30</f>
        <v>82766916.392020911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+[14]Resumen!E28</f>
        <v>4</v>
      </c>
      <c r="F28" s="7">
        <f>+[14]Resumen!F28*1000</f>
        <v>0</v>
      </c>
      <c r="G28" s="7">
        <f>+[14]Resumen!G28*1000</f>
        <v>0</v>
      </c>
      <c r="H28" s="7">
        <f>+[14]Resumen!H28*1000</f>
        <v>0</v>
      </c>
      <c r="I28" s="7">
        <f>+[14]Resumen!I28*1000</f>
        <v>0</v>
      </c>
      <c r="J28" s="7">
        <f>+[14]Resumen!J28*1000</f>
        <v>0</v>
      </c>
      <c r="K28" s="7">
        <f>+[14]Resumen!K28*1000</f>
        <v>0</v>
      </c>
      <c r="L28" s="7">
        <f>+[14]Resumen!L28*1000</f>
        <v>0</v>
      </c>
      <c r="M28" s="7">
        <f>+[14]Resumen!M28*1000</f>
        <v>225559.52817527906</v>
      </c>
      <c r="N28" s="7">
        <f>+[14]Resumen!N28*1000</f>
        <v>247781.51616136028</v>
      </c>
      <c r="O28" s="7">
        <f>+[14]Resumen!O28*1000</f>
        <v>262538.06315266533</v>
      </c>
      <c r="P28" s="7">
        <f>+[14]Resumen!P28*1000</f>
        <v>276807.66086882929</v>
      </c>
      <c r="Q28" s="7">
        <f>+[14]Resumen!Q28*1000</f>
        <v>286862.1593453259</v>
      </c>
      <c r="R28" s="7">
        <f>+[14]Resumen!R28*1000</f>
        <v>288131.67835073418</v>
      </c>
      <c r="S28" s="7">
        <f>+[14]Resumen!S28*1000</f>
        <v>281400.7221987716</v>
      </c>
      <c r="T28" s="7">
        <f>+[14]Resumen!T28*1000</f>
        <v>275606.67654811643</v>
      </c>
      <c r="U28" s="7">
        <f>+[14]Resumen!U28*1000</f>
        <v>273739.79504254524</v>
      </c>
      <c r="V28" s="7">
        <f>+[14]Resumen!V28*1000</f>
        <v>269705.96606030816</v>
      </c>
      <c r="W28" s="7">
        <f>+[14]Resumen!W28*1000</f>
        <v>0</v>
      </c>
      <c r="X28" s="7">
        <f>+[14]Resumen!X28*1000</f>
        <v>0</v>
      </c>
      <c r="Y28" s="7">
        <f>+[14]Resumen!Y28*1000</f>
        <v>0</v>
      </c>
      <c r="Z28" s="7">
        <f>+[14]Resumen!Z28*1000</f>
        <v>0</v>
      </c>
      <c r="AA28" s="7">
        <f>+[14]Resumen!AA28*1000</f>
        <v>0</v>
      </c>
      <c r="AB28" s="7">
        <f>+[14]Resumen!AB28*1000</f>
        <v>0</v>
      </c>
      <c r="AC28" s="7">
        <f>+[14]Resumen!AC28*1000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+[14]Resumen!E29</f>
        <v>4</v>
      </c>
      <c r="F29" s="7">
        <f>+[14]Resumen!F29*1000</f>
        <v>0</v>
      </c>
      <c r="G29" s="7">
        <f>+[14]Resumen!G29*1000</f>
        <v>0</v>
      </c>
      <c r="H29" s="7">
        <f>+[14]Resumen!H29*1000</f>
        <v>0</v>
      </c>
      <c r="I29" s="7">
        <f>+[14]Resumen!I29*1000</f>
        <v>0</v>
      </c>
      <c r="J29" s="7">
        <f>+[14]Resumen!J29*1000</f>
        <v>0</v>
      </c>
      <c r="K29" s="7">
        <f>+[14]Resumen!K29*1000</f>
        <v>0</v>
      </c>
      <c r="L29" s="7">
        <f>+[14]Resumen!L29*1000</f>
        <v>0</v>
      </c>
      <c r="M29" s="7">
        <f>+[14]Resumen!M29*1000</f>
        <v>187710.30350928943</v>
      </c>
      <c r="N29" s="7">
        <f>+[14]Resumen!N29*1000</f>
        <v>205181.55207901594</v>
      </c>
      <c r="O29" s="7">
        <f>+[14]Resumen!O29*1000</f>
        <v>220315.83655397416</v>
      </c>
      <c r="P29" s="7">
        <f>+[14]Resumen!P29*1000</f>
        <v>231451.23744676946</v>
      </c>
      <c r="Q29" s="7">
        <f>+[14]Resumen!Q29*1000</f>
        <v>244589.57000900674</v>
      </c>
      <c r="R29" s="7">
        <f>+[14]Resumen!R29*1000</f>
        <v>252945.41098292044</v>
      </c>
      <c r="S29" s="7">
        <f>+[14]Resumen!S29*1000</f>
        <v>253369.5933019013</v>
      </c>
      <c r="T29" s="7">
        <f>+[14]Resumen!T29*1000</f>
        <v>249030.34593039186</v>
      </c>
      <c r="U29" s="7">
        <f>+[14]Resumen!U29*1000</f>
        <v>246470.0126691059</v>
      </c>
      <c r="V29" s="7">
        <f>+[14]Resumen!V29*1000</f>
        <v>243220.7430927768</v>
      </c>
      <c r="W29" s="7">
        <f>+[14]Resumen!W29*1000</f>
        <v>0</v>
      </c>
      <c r="X29" s="7">
        <f>+[14]Resumen!X29*1000</f>
        <v>0</v>
      </c>
      <c r="Y29" s="7">
        <f>+[14]Resumen!Y29*1000</f>
        <v>0</v>
      </c>
      <c r="Z29" s="7">
        <f>+[14]Resumen!Z29*1000</f>
        <v>0</v>
      </c>
      <c r="AA29" s="7">
        <f>+[14]Resumen!AA29*1000</f>
        <v>0</v>
      </c>
      <c r="AB29" s="7">
        <f>+[14]Resumen!AB29*1000</f>
        <v>0</v>
      </c>
      <c r="AC29" s="7">
        <f>+[14]Resumen!AC29*1000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+[14]Resumen!E30</f>
        <v>2</v>
      </c>
      <c r="F30" s="7">
        <f>+[14]Resumen!F30*1000</f>
        <v>0</v>
      </c>
      <c r="G30" s="7">
        <f>+[14]Resumen!G30*1000</f>
        <v>0</v>
      </c>
      <c r="H30" s="7">
        <f>+[14]Resumen!H30*1000</f>
        <v>0</v>
      </c>
      <c r="I30" s="7">
        <f>+[14]Resumen!I30*1000</f>
        <v>0</v>
      </c>
      <c r="J30" s="7">
        <f>+[14]Resumen!J30*1000</f>
        <v>0</v>
      </c>
      <c r="K30" s="7">
        <f>+[14]Resumen!K30*1000</f>
        <v>0</v>
      </c>
      <c r="L30" s="7">
        <f>+[14]Resumen!L30*1000</f>
        <v>0</v>
      </c>
      <c r="M30" s="7">
        <f>+[14]Resumen!M30*1000</f>
        <v>185403.61892986548</v>
      </c>
      <c r="N30" s="7">
        <f>+[14]Resumen!N30*1000</f>
        <v>203276.33700366903</v>
      </c>
      <c r="O30" s="7">
        <f>+[14]Resumen!O30*1000</f>
        <v>219117.42461476085</v>
      </c>
      <c r="P30" s="7">
        <f>+[14]Resumen!P30*1000</f>
        <v>235286.36373121678</v>
      </c>
      <c r="Q30" s="7">
        <f>+[14]Resumen!Q30*1000</f>
        <v>251957.5317298921</v>
      </c>
      <c r="R30" s="7">
        <f>+[14]Resumen!R30*1000</f>
        <v>261705.81509928787</v>
      </c>
      <c r="S30" s="7">
        <f>+[14]Resumen!S30*1000</f>
        <v>259787.43510939687</v>
      </c>
      <c r="T30" s="7">
        <f>+[14]Resumen!T30*1000</f>
        <v>253071.23730763546</v>
      </c>
      <c r="U30" s="7">
        <f>+[14]Resumen!U30*1000</f>
        <v>249711.23666672519</v>
      </c>
      <c r="V30" s="7">
        <f>+[14]Resumen!V30*1000</f>
        <v>246747.91886612974</v>
      </c>
      <c r="W30" s="7">
        <f>+[14]Resumen!W30*1000</f>
        <v>0</v>
      </c>
      <c r="X30" s="7">
        <f>+[14]Resumen!X30*1000</f>
        <v>0</v>
      </c>
      <c r="Y30" s="7">
        <f>+[14]Resumen!Y30*1000</f>
        <v>0</v>
      </c>
      <c r="Z30" s="7">
        <f>+[14]Resumen!Z30*1000</f>
        <v>0</v>
      </c>
      <c r="AA30" s="7">
        <f>+[14]Resumen!AA30*1000</f>
        <v>0</v>
      </c>
      <c r="AB30" s="7">
        <f>+[14]Resumen!AB30*1000</f>
        <v>0</v>
      </c>
      <c r="AC30" s="7">
        <f>+[14]Resumen!AC30*1000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+[14]Resumen!E31</f>
        <v>19</v>
      </c>
      <c r="F31" s="7">
        <f>+[14]Resumen!F31*1000</f>
        <v>0</v>
      </c>
      <c r="G31" s="7">
        <f>+[14]Resumen!G31*1000</f>
        <v>0</v>
      </c>
      <c r="H31" s="7">
        <f>+[14]Resumen!H31*1000</f>
        <v>0</v>
      </c>
      <c r="I31" s="7">
        <f>+[14]Resumen!I31*1000</f>
        <v>0</v>
      </c>
      <c r="J31" s="7">
        <f>+[14]Resumen!J31*1000</f>
        <v>0</v>
      </c>
      <c r="K31" s="7">
        <f>+[14]Resumen!K31*1000</f>
        <v>0</v>
      </c>
      <c r="L31" s="7">
        <f>+[14]Resumen!L31*1000</f>
        <v>0</v>
      </c>
      <c r="M31" s="7">
        <f>+[14]Resumen!M31*1000</f>
        <v>239283.48436329115</v>
      </c>
      <c r="N31" s="7">
        <f>+[14]Resumen!N31*1000</f>
        <v>256529.95255885684</v>
      </c>
      <c r="O31" s="7">
        <f>+[14]Resumen!O31*1000</f>
        <v>268898.55399009027</v>
      </c>
      <c r="P31" s="7">
        <f>+[14]Resumen!P31*1000</f>
        <v>285241.84293730638</v>
      </c>
      <c r="Q31" s="7">
        <f>+[14]Resumen!Q31*1000</f>
        <v>298330.00558458164</v>
      </c>
      <c r="R31" s="7">
        <f>+[14]Resumen!R31*1000</f>
        <v>299957.54542631772</v>
      </c>
      <c r="S31" s="7">
        <f>+[14]Resumen!S31*1000</f>
        <v>295664.3720773168</v>
      </c>
      <c r="T31" s="7">
        <f>+[14]Resumen!T31*1000</f>
        <v>297975.87086659815</v>
      </c>
      <c r="U31" s="7">
        <f>+[14]Resumen!U31*1000</f>
        <v>297541.90544598363</v>
      </c>
      <c r="V31" s="7">
        <f>+[14]Resumen!V31*1000</f>
        <v>290287.05858637375</v>
      </c>
      <c r="W31" s="7">
        <f>+[14]Resumen!W31*1000</f>
        <v>0</v>
      </c>
      <c r="X31" s="7">
        <f>+[14]Resumen!X31*1000</f>
        <v>0</v>
      </c>
      <c r="Y31" s="7">
        <f>+[14]Resumen!Y31*1000</f>
        <v>0</v>
      </c>
      <c r="Z31" s="7">
        <f>+[14]Resumen!Z31*1000</f>
        <v>0</v>
      </c>
      <c r="AA31" s="7">
        <f>+[14]Resumen!AA31*1000</f>
        <v>0</v>
      </c>
      <c r="AB31" s="7">
        <f>+[14]Resumen!AB31*1000</f>
        <v>0</v>
      </c>
      <c r="AC31" s="7">
        <f>+[14]Resumen!AC31*1000</f>
        <v>0</v>
      </c>
      <c r="AD31" s="60">
        <f t="shared" si="3"/>
        <v>83052464.657720521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+[14]Resumen!E32</f>
        <v>5</v>
      </c>
      <c r="F32" s="7">
        <f>+[14]Resumen!F32*1000</f>
        <v>0</v>
      </c>
      <c r="G32" s="7">
        <f>+[14]Resumen!G32*1000</f>
        <v>0</v>
      </c>
      <c r="H32" s="7">
        <f>+[14]Resumen!H32*1000</f>
        <v>0</v>
      </c>
      <c r="I32" s="7">
        <f>+[14]Resumen!I32*1000</f>
        <v>0</v>
      </c>
      <c r="J32" s="7">
        <f>+[14]Resumen!J32*1000</f>
        <v>0</v>
      </c>
      <c r="K32" s="7">
        <f>+[14]Resumen!K32*1000</f>
        <v>0</v>
      </c>
      <c r="L32" s="7">
        <f>+[14]Resumen!L32*1000</f>
        <v>0</v>
      </c>
      <c r="M32" s="7">
        <f>+[14]Resumen!M32*1000</f>
        <v>217190.91852680518</v>
      </c>
      <c r="N32" s="7">
        <f>+[14]Resumen!N32*1000</f>
        <v>240366.27898443249</v>
      </c>
      <c r="O32" s="7">
        <f>+[14]Resumen!O32*1000</f>
        <v>255545.21356067382</v>
      </c>
      <c r="P32" s="7">
        <f>+[14]Resumen!P32*1000</f>
        <v>270370.16386298981</v>
      </c>
      <c r="Q32" s="7">
        <f>+[14]Resumen!Q32*1000</f>
        <v>281018.41842011717</v>
      </c>
      <c r="R32" s="7">
        <f>+[14]Resumen!R32*1000</f>
        <v>281183.77762921149</v>
      </c>
      <c r="S32" s="7">
        <f>+[14]Resumen!S32*1000</f>
        <v>273917.50761584222</v>
      </c>
      <c r="T32" s="7">
        <f>+[14]Resumen!T32*1000</f>
        <v>267468.44760683732</v>
      </c>
      <c r="U32" s="7">
        <f>+[14]Resumen!U32*1000</f>
        <v>264672.19051644328</v>
      </c>
      <c r="V32" s="7">
        <f>+[14]Resumen!V32*1000</f>
        <v>261210.79693720266</v>
      </c>
      <c r="W32" s="7">
        <f>+[14]Resumen!W32*1000</f>
        <v>0</v>
      </c>
      <c r="X32" s="7">
        <f>+[14]Resumen!X32*1000</f>
        <v>0</v>
      </c>
      <c r="Y32" s="7">
        <f>+[14]Resumen!Y32*1000</f>
        <v>0</v>
      </c>
      <c r="Z32" s="7">
        <f>+[14]Resumen!Z32*1000</f>
        <v>0</v>
      </c>
      <c r="AA32" s="7">
        <f>+[14]Resumen!AA32*1000</f>
        <v>0</v>
      </c>
      <c r="AB32" s="7">
        <f>+[14]Resumen!AB32*1000</f>
        <v>0</v>
      </c>
      <c r="AC32" s="7">
        <f>+[14]Resumen!AC32*1000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+[14]Resumen!E33</f>
        <v>5</v>
      </c>
      <c r="F33" s="7">
        <f>+[14]Resumen!F33*1000</f>
        <v>0</v>
      </c>
      <c r="G33" s="7">
        <f>+[14]Resumen!G33*1000</f>
        <v>0</v>
      </c>
      <c r="H33" s="7">
        <f>+[14]Resumen!H33*1000</f>
        <v>0</v>
      </c>
      <c r="I33" s="7">
        <f>+[14]Resumen!I33*1000</f>
        <v>0</v>
      </c>
      <c r="J33" s="7">
        <f>+[14]Resumen!J33*1000</f>
        <v>0</v>
      </c>
      <c r="K33" s="7">
        <f>+[14]Resumen!K33*1000</f>
        <v>0</v>
      </c>
      <c r="L33" s="7">
        <f>+[14]Resumen!L33*1000</f>
        <v>0</v>
      </c>
      <c r="M33" s="7">
        <f>+[14]Resumen!M33*1000</f>
        <v>181420.48535732843</v>
      </c>
      <c r="N33" s="7">
        <f>+[14]Resumen!N33*1000</f>
        <v>199846.42225437629</v>
      </c>
      <c r="O33" s="7">
        <f>+[14]Resumen!O33*1000</f>
        <v>215756.0424312331</v>
      </c>
      <c r="P33" s="7">
        <f>+[14]Resumen!P33*1000</f>
        <v>229343.37422523738</v>
      </c>
      <c r="Q33" s="7">
        <f>+[14]Resumen!Q33*1000</f>
        <v>243111.84066512651</v>
      </c>
      <c r="R33" s="7">
        <f>+[14]Resumen!R33*1000</f>
        <v>250892.41746396647</v>
      </c>
      <c r="S33" s="7">
        <f>+[14]Resumen!S33*1000</f>
        <v>251147.75917121416</v>
      </c>
      <c r="T33" s="7">
        <f>+[14]Resumen!T33*1000</f>
        <v>246630.27585060021</v>
      </c>
      <c r="U33" s="7">
        <f>+[14]Resumen!U33*1000</f>
        <v>243279.22345274794</v>
      </c>
      <c r="V33" s="7">
        <f>+[14]Resumen!V33*1000</f>
        <v>240106.70789211639</v>
      </c>
      <c r="W33" s="7">
        <f>+[14]Resumen!W33*1000</f>
        <v>0</v>
      </c>
      <c r="X33" s="7">
        <f>+[14]Resumen!X33*1000</f>
        <v>0</v>
      </c>
      <c r="Y33" s="7">
        <f>+[14]Resumen!Y33*1000</f>
        <v>0</v>
      </c>
      <c r="Z33" s="7">
        <f>+[14]Resumen!Z33*1000</f>
        <v>0</v>
      </c>
      <c r="AA33" s="7">
        <f>+[14]Resumen!AA33*1000</f>
        <v>0</v>
      </c>
      <c r="AB33" s="7">
        <f>+[14]Resumen!AB33*1000</f>
        <v>0</v>
      </c>
      <c r="AC33" s="7">
        <f>+[14]Resumen!AC33*1000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+[14]Resumen!E34</f>
        <v>2</v>
      </c>
      <c r="F34" s="7">
        <f>+[14]Resumen!F34*1000</f>
        <v>0</v>
      </c>
      <c r="G34" s="7">
        <f>+[14]Resumen!G34*1000</f>
        <v>0</v>
      </c>
      <c r="H34" s="7">
        <f>+[14]Resumen!H34*1000</f>
        <v>0</v>
      </c>
      <c r="I34" s="7">
        <f>+[14]Resumen!I34*1000</f>
        <v>0</v>
      </c>
      <c r="J34" s="7">
        <f>+[14]Resumen!J34*1000</f>
        <v>0</v>
      </c>
      <c r="K34" s="7">
        <f>+[14]Resumen!K34*1000</f>
        <v>0</v>
      </c>
      <c r="L34" s="7">
        <f>+[14]Resumen!L34*1000</f>
        <v>0</v>
      </c>
      <c r="M34" s="7">
        <f>+[14]Resumen!M34*1000</f>
        <v>185150.2563036067</v>
      </c>
      <c r="N34" s="7">
        <f>+[14]Resumen!N34*1000</f>
        <v>204802.07495350845</v>
      </c>
      <c r="O34" s="7">
        <f>+[14]Resumen!O34*1000</f>
        <v>221402.17614566631</v>
      </c>
      <c r="P34" s="7">
        <f>+[14]Resumen!P34*1000</f>
        <v>236651.81942918836</v>
      </c>
      <c r="Q34" s="7">
        <f>+[14]Resumen!Q34*1000</f>
        <v>251100.51973698838</v>
      </c>
      <c r="R34" s="7">
        <f>+[14]Resumen!R34*1000</f>
        <v>258363.00110281139</v>
      </c>
      <c r="S34" s="7">
        <f>+[14]Resumen!S34*1000</f>
        <v>256349.76719378887</v>
      </c>
      <c r="T34" s="7">
        <f>+[14]Resumen!T34*1000</f>
        <v>251319.43703074625</v>
      </c>
      <c r="U34" s="7">
        <f>+[14]Resumen!U34*1000</f>
        <v>249220.90981653449</v>
      </c>
      <c r="V34" s="7">
        <f>+[14]Resumen!V34*1000</f>
        <v>243426.08863735475</v>
      </c>
      <c r="W34" s="7">
        <f>+[14]Resumen!W34*1000</f>
        <v>0</v>
      </c>
      <c r="X34" s="7">
        <f>+[14]Resumen!X34*1000</f>
        <v>0</v>
      </c>
      <c r="Y34" s="7">
        <f>+[14]Resumen!Y34*1000</f>
        <v>0</v>
      </c>
      <c r="Z34" s="7">
        <f>+[14]Resumen!Z34*1000</f>
        <v>0</v>
      </c>
      <c r="AA34" s="7">
        <f>+[14]Resumen!AA34*1000</f>
        <v>0</v>
      </c>
      <c r="AB34" s="7">
        <f>+[14]Resumen!AB34*1000</f>
        <v>0</v>
      </c>
      <c r="AC34" s="7">
        <f>+[14]Resumen!AC34*1000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+[14]Resumen!E35</f>
        <v>22</v>
      </c>
      <c r="F35" s="7">
        <f>+[14]Resumen!F35*1000</f>
        <v>0</v>
      </c>
      <c r="G35" s="7">
        <f>+[14]Resumen!G35*1000</f>
        <v>0</v>
      </c>
      <c r="H35" s="7">
        <f>+[14]Resumen!H35*1000</f>
        <v>0</v>
      </c>
      <c r="I35" s="7">
        <f>+[14]Resumen!I35*1000</f>
        <v>0</v>
      </c>
      <c r="J35" s="7">
        <f>+[14]Resumen!J35*1000</f>
        <v>0</v>
      </c>
      <c r="K35" s="7">
        <f>+[14]Resumen!K35*1000</f>
        <v>0</v>
      </c>
      <c r="L35" s="7">
        <f>+[14]Resumen!L35*1000</f>
        <v>0</v>
      </c>
      <c r="M35" s="7">
        <f>+[14]Resumen!M35*1000</f>
        <v>238981.93937878084</v>
      </c>
      <c r="N35" s="7">
        <f>+[14]Resumen!N35*1000</f>
        <v>254835.80414015445</v>
      </c>
      <c r="O35" s="7">
        <f>+[14]Resumen!O35*1000</f>
        <v>266793.55980031303</v>
      </c>
      <c r="P35" s="7">
        <f>+[14]Resumen!P35*1000</f>
        <v>282772.93092791195</v>
      </c>
      <c r="Q35" s="7">
        <f>+[14]Resumen!Q35*1000</f>
        <v>295494.83645641402</v>
      </c>
      <c r="R35" s="7">
        <f>+[14]Resumen!R35*1000</f>
        <v>296652.08181591355</v>
      </c>
      <c r="S35" s="7">
        <f>+[14]Resumen!S35*1000</f>
        <v>293061.82548470184</v>
      </c>
      <c r="T35" s="7">
        <f>+[14]Resumen!T35*1000</f>
        <v>295293.92159529199</v>
      </c>
      <c r="U35" s="7">
        <f>+[14]Resumen!U35*1000</f>
        <v>294863.86136339541</v>
      </c>
      <c r="V35" s="7">
        <f>+[14]Resumen!V35*1000</f>
        <v>287740.5365134023</v>
      </c>
      <c r="W35" s="7">
        <f>+[14]Resumen!W35*1000</f>
        <v>0</v>
      </c>
      <c r="X35" s="7">
        <f>+[14]Resumen!X35*1000</f>
        <v>0</v>
      </c>
      <c r="Y35" s="7">
        <f>+[14]Resumen!Y35*1000</f>
        <v>0</v>
      </c>
      <c r="Z35" s="7">
        <f>+[14]Resumen!Z35*1000</f>
        <v>0</v>
      </c>
      <c r="AA35" s="7">
        <f>+[14]Resumen!AA35*1000</f>
        <v>0</v>
      </c>
      <c r="AB35" s="7">
        <f>+[14]Resumen!AB35*1000</f>
        <v>0</v>
      </c>
      <c r="AC35" s="7">
        <f>+[14]Resumen!AC35*1000</f>
        <v>0</v>
      </c>
      <c r="AD35" s="60">
        <f t="shared" si="3"/>
        <v>83592741.948300853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+[14]Resumen!E36</f>
        <v>4</v>
      </c>
      <c r="F36" s="7">
        <f>+[14]Resumen!F36*1000</f>
        <v>0</v>
      </c>
      <c r="G36" s="7">
        <f>+[14]Resumen!G36*1000</f>
        <v>0</v>
      </c>
      <c r="H36" s="7">
        <f>+[14]Resumen!H36*1000</f>
        <v>0</v>
      </c>
      <c r="I36" s="7">
        <f>+[14]Resumen!I36*1000</f>
        <v>0</v>
      </c>
      <c r="J36" s="7">
        <f>+[14]Resumen!J36*1000</f>
        <v>0</v>
      </c>
      <c r="K36" s="7">
        <f>+[14]Resumen!K36*1000</f>
        <v>0</v>
      </c>
      <c r="L36" s="7">
        <f>+[14]Resumen!L36*1000</f>
        <v>0</v>
      </c>
      <c r="M36" s="7">
        <f>+[14]Resumen!M36*1000</f>
        <v>219060.86612465794</v>
      </c>
      <c r="N36" s="7">
        <f>+[14]Resumen!N36*1000</f>
        <v>241036.39707863773</v>
      </c>
      <c r="O36" s="7">
        <f>+[14]Resumen!O36*1000</f>
        <v>256028.89544514596</v>
      </c>
      <c r="P36" s="7">
        <f>+[14]Resumen!P36*1000</f>
        <v>269809.91654762533</v>
      </c>
      <c r="Q36" s="7">
        <f>+[14]Resumen!Q36*1000</f>
        <v>279352.63188475167</v>
      </c>
      <c r="R36" s="7">
        <f>+[14]Resumen!R36*1000</f>
        <v>279537.07629991352</v>
      </c>
      <c r="S36" s="7">
        <f>+[14]Resumen!S36*1000</f>
        <v>272884.58625940763</v>
      </c>
      <c r="T36" s="7">
        <f>+[14]Resumen!T36*1000</f>
        <v>266061.64098220761</v>
      </c>
      <c r="U36" s="7">
        <f>+[14]Resumen!U36*1000</f>
        <v>262364.85966324888</v>
      </c>
      <c r="V36" s="7">
        <f>+[14]Resumen!V36*1000</f>
        <v>258989.97353631386</v>
      </c>
      <c r="W36" s="7">
        <f>+[14]Resumen!W36*1000</f>
        <v>0</v>
      </c>
      <c r="X36" s="7">
        <f>+[14]Resumen!X36*1000</f>
        <v>0</v>
      </c>
      <c r="Y36" s="7">
        <f>+[14]Resumen!Y36*1000</f>
        <v>0</v>
      </c>
      <c r="Z36" s="7">
        <f>+[14]Resumen!Z36*1000</f>
        <v>0</v>
      </c>
      <c r="AA36" s="7">
        <f>+[14]Resumen!AA36*1000</f>
        <v>0</v>
      </c>
      <c r="AB36" s="7">
        <f>+[14]Resumen!AB36*1000</f>
        <v>0</v>
      </c>
      <c r="AC36" s="7">
        <f>+[14]Resumen!AC36*1000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+[14]Resumen!E37</f>
        <v>3</v>
      </c>
      <c r="F37" s="7">
        <f>+[14]Resumen!F37*1000</f>
        <v>0</v>
      </c>
      <c r="G37" s="7">
        <f>+[14]Resumen!G37*1000</f>
        <v>0</v>
      </c>
      <c r="H37" s="7">
        <f>+[14]Resumen!H37*1000</f>
        <v>0</v>
      </c>
      <c r="I37" s="7">
        <f>+[14]Resumen!I37*1000</f>
        <v>0</v>
      </c>
      <c r="J37" s="7">
        <f>+[14]Resumen!J37*1000</f>
        <v>0</v>
      </c>
      <c r="K37" s="7">
        <f>+[14]Resumen!K37*1000</f>
        <v>0</v>
      </c>
      <c r="L37" s="7">
        <f>+[14]Resumen!L37*1000</f>
        <v>0</v>
      </c>
      <c r="M37" s="7">
        <f>+[14]Resumen!M37*1000</f>
        <v>178841.53093573131</v>
      </c>
      <c r="N37" s="7">
        <f>+[14]Resumen!N37*1000</f>
        <v>197027.06034695532</v>
      </c>
      <c r="O37" s="7">
        <f>+[14]Resumen!O37*1000</f>
        <v>212474.44857172851</v>
      </c>
      <c r="P37" s="7">
        <f>+[14]Resumen!P37*1000</f>
        <v>224536.16531385627</v>
      </c>
      <c r="Q37" s="7">
        <f>+[14]Resumen!Q37*1000</f>
        <v>237032.27550053829</v>
      </c>
      <c r="R37" s="7">
        <f>+[14]Resumen!R37*1000</f>
        <v>244745.2668954999</v>
      </c>
      <c r="S37" s="7">
        <f>+[14]Resumen!S37*1000</f>
        <v>245147.52887954458</v>
      </c>
      <c r="T37" s="7">
        <f>+[14]Resumen!T37*1000</f>
        <v>238973.38313784587</v>
      </c>
      <c r="U37" s="7">
        <f>+[14]Resumen!U37*1000</f>
        <v>235851.39559141308</v>
      </c>
      <c r="V37" s="7">
        <f>+[14]Resumen!V37*1000</f>
        <v>231467.5722811844</v>
      </c>
      <c r="W37" s="7">
        <f>+[14]Resumen!W37*1000</f>
        <v>0</v>
      </c>
      <c r="X37" s="7">
        <f>+[14]Resumen!X37*1000</f>
        <v>0</v>
      </c>
      <c r="Y37" s="7">
        <f>+[14]Resumen!Y37*1000</f>
        <v>0</v>
      </c>
      <c r="Z37" s="7">
        <f>+[14]Resumen!Z37*1000</f>
        <v>0</v>
      </c>
      <c r="AA37" s="7">
        <f>+[14]Resumen!AA37*1000</f>
        <v>0</v>
      </c>
      <c r="AB37" s="7">
        <f>+[14]Resumen!AB37*1000</f>
        <v>0</v>
      </c>
      <c r="AC37" s="7">
        <f>+[14]Resumen!AC37*1000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+[14]Resumen!E38</f>
        <v>2</v>
      </c>
      <c r="F38" s="7">
        <f>+[14]Resumen!F38*1000</f>
        <v>0</v>
      </c>
      <c r="G38" s="7">
        <f>+[14]Resumen!G38*1000</f>
        <v>0</v>
      </c>
      <c r="H38" s="7">
        <f>+[14]Resumen!H38*1000</f>
        <v>0</v>
      </c>
      <c r="I38" s="7">
        <f>+[14]Resumen!I38*1000</f>
        <v>0</v>
      </c>
      <c r="J38" s="7">
        <f>+[14]Resumen!J38*1000</f>
        <v>0</v>
      </c>
      <c r="K38" s="7">
        <f>+[14]Resumen!K38*1000</f>
        <v>0</v>
      </c>
      <c r="L38" s="7">
        <f>+[14]Resumen!L38*1000</f>
        <v>0</v>
      </c>
      <c r="M38" s="7">
        <f>+[14]Resumen!M38*1000</f>
        <v>186563.08280948855</v>
      </c>
      <c r="N38" s="7">
        <f>+[14]Resumen!N38*1000</f>
        <v>204921.50210843058</v>
      </c>
      <c r="O38" s="7">
        <f>+[14]Resumen!O38*1000</f>
        <v>219563.77094567328</v>
      </c>
      <c r="P38" s="7">
        <f>+[14]Resumen!P38*1000</f>
        <v>235351.46786760274</v>
      </c>
      <c r="Q38" s="7">
        <f>+[14]Resumen!Q38*1000</f>
        <v>250927.19334960898</v>
      </c>
      <c r="R38" s="7">
        <f>+[14]Resumen!R38*1000</f>
        <v>260423.01463816388</v>
      </c>
      <c r="S38" s="7">
        <f>+[14]Resumen!S38*1000</f>
        <v>255954.54217758588</v>
      </c>
      <c r="T38" s="7">
        <f>+[14]Resumen!T38*1000</f>
        <v>248105.62351671647</v>
      </c>
      <c r="U38" s="7">
        <f>+[14]Resumen!U38*1000</f>
        <v>244045.73380955146</v>
      </c>
      <c r="V38" s="7">
        <f>+[14]Resumen!V38*1000</f>
        <v>239712.14186326621</v>
      </c>
      <c r="W38" s="7">
        <f>+[14]Resumen!W38*1000</f>
        <v>0</v>
      </c>
      <c r="X38" s="7">
        <f>+[14]Resumen!X38*1000</f>
        <v>0</v>
      </c>
      <c r="Y38" s="7">
        <f>+[14]Resumen!Y38*1000</f>
        <v>0</v>
      </c>
      <c r="Z38" s="7">
        <f>+[14]Resumen!Z38*1000</f>
        <v>0</v>
      </c>
      <c r="AA38" s="7">
        <f>+[14]Resumen!AA38*1000</f>
        <v>0</v>
      </c>
      <c r="AB38" s="7">
        <f>+[14]Resumen!AB38*1000</f>
        <v>0</v>
      </c>
      <c r="AC38" s="7">
        <f>+[14]Resumen!AC38*1000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+[14]Resumen!E39</f>
        <v>22</v>
      </c>
      <c r="F39" s="7">
        <f>+[14]Resumen!F39*1000</f>
        <v>0</v>
      </c>
      <c r="G39" s="7">
        <f>+[14]Resumen!G39*1000</f>
        <v>0</v>
      </c>
      <c r="H39" s="7">
        <f>+[14]Resumen!H39*1000</f>
        <v>0</v>
      </c>
      <c r="I39" s="7">
        <f>+[14]Resumen!I39*1000</f>
        <v>0</v>
      </c>
      <c r="J39" s="7">
        <f>+[14]Resumen!J39*1000</f>
        <v>0</v>
      </c>
      <c r="K39" s="7">
        <f>+[14]Resumen!K39*1000</f>
        <v>0</v>
      </c>
      <c r="L39" s="7">
        <f>+[14]Resumen!L39*1000</f>
        <v>0</v>
      </c>
      <c r="M39" s="7">
        <f>+[14]Resumen!M39*1000</f>
        <v>247366.32022618459</v>
      </c>
      <c r="N39" s="7">
        <f>+[14]Resumen!N39*1000</f>
        <v>263634.4655448033</v>
      </c>
      <c r="O39" s="7">
        <f>+[14]Resumen!O39*1000</f>
        <v>275625.17269153433</v>
      </c>
      <c r="P39" s="7">
        <f>+[14]Resumen!P39*1000</f>
        <v>292208.01519562502</v>
      </c>
      <c r="Q39" s="7">
        <f>+[14]Resumen!Q39*1000</f>
        <v>305964.04139516514</v>
      </c>
      <c r="R39" s="7">
        <f>+[14]Resumen!R39*1000</f>
        <v>308115.45499310538</v>
      </c>
      <c r="S39" s="7">
        <f>+[14]Resumen!S39*1000</f>
        <v>304379.98624299502</v>
      </c>
      <c r="T39" s="7">
        <f>+[14]Resumen!T39*1000</f>
        <v>305953.43826746871</v>
      </c>
      <c r="U39" s="7">
        <f>+[14]Resumen!U39*1000</f>
        <v>305997.14120686532</v>
      </c>
      <c r="V39" s="7">
        <f>+[14]Resumen!V39*1000</f>
        <v>299250.00702133699</v>
      </c>
      <c r="W39" s="7">
        <f>+[14]Resumen!W39*1000</f>
        <v>0</v>
      </c>
      <c r="X39" s="7">
        <f>+[14]Resumen!X39*1000</f>
        <v>0</v>
      </c>
      <c r="Y39" s="7">
        <f>+[14]Resumen!Y39*1000</f>
        <v>0</v>
      </c>
      <c r="Z39" s="7">
        <f>+[14]Resumen!Z39*1000</f>
        <v>0</v>
      </c>
      <c r="AA39" s="7">
        <f>+[14]Resumen!AA39*1000</f>
        <v>0</v>
      </c>
      <c r="AB39" s="7">
        <f>+[14]Resumen!AB39*1000</f>
        <v>0</v>
      </c>
      <c r="AC39" s="7">
        <f>+[14]Resumen!AC39*1000</f>
        <v>0</v>
      </c>
      <c r="AD39" s="60">
        <f t="shared" ref="AD39" si="4">SUM(F39:AC39)*E39+SUM(F40:AC40)*E40+SUM(F41:AC41)*E41+SUM(F42:AC42)*E42</f>
        <v>84077777.034696415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+[14]Resumen!E40</f>
        <v>4</v>
      </c>
      <c r="F40" s="7">
        <f>+[14]Resumen!F40*1000</f>
        <v>0</v>
      </c>
      <c r="G40" s="7">
        <f>+[14]Resumen!G40*1000</f>
        <v>0</v>
      </c>
      <c r="H40" s="7">
        <f>+[14]Resumen!H40*1000</f>
        <v>0</v>
      </c>
      <c r="I40" s="7">
        <f>+[14]Resumen!I40*1000</f>
        <v>0</v>
      </c>
      <c r="J40" s="7">
        <f>+[14]Resumen!J40*1000</f>
        <v>0</v>
      </c>
      <c r="K40" s="7">
        <f>+[14]Resumen!K40*1000</f>
        <v>0</v>
      </c>
      <c r="L40" s="7">
        <f>+[14]Resumen!L40*1000</f>
        <v>0</v>
      </c>
      <c r="M40" s="7">
        <f>+[14]Resumen!M40*1000</f>
        <v>227485.06167418344</v>
      </c>
      <c r="N40" s="7">
        <f>+[14]Resumen!N40*1000</f>
        <v>250713.96538396162</v>
      </c>
      <c r="O40" s="7">
        <f>+[14]Resumen!O40*1000</f>
        <v>266658.56910163973</v>
      </c>
      <c r="P40" s="7">
        <f>+[14]Resumen!P40*1000</f>
        <v>281493.83223818801</v>
      </c>
      <c r="Q40" s="7">
        <f>+[14]Resumen!Q40*1000</f>
        <v>291745.28317596816</v>
      </c>
      <c r="R40" s="7">
        <f>+[14]Resumen!R40*1000</f>
        <v>292174.06569283654</v>
      </c>
      <c r="S40" s="7">
        <f>+[14]Resumen!S40*1000</f>
        <v>283662.06590560364</v>
      </c>
      <c r="T40" s="7">
        <f>+[14]Resumen!T40*1000</f>
        <v>274606.20661068114</v>
      </c>
      <c r="U40" s="7">
        <f>+[14]Resumen!U40*1000</f>
        <v>270256.35823040549</v>
      </c>
      <c r="V40" s="7">
        <f>+[14]Resumen!V40*1000</f>
        <v>265618.5472094515</v>
      </c>
      <c r="W40" s="7">
        <f>+[14]Resumen!W40*1000</f>
        <v>0</v>
      </c>
      <c r="X40" s="7">
        <f>+[14]Resumen!X40*1000</f>
        <v>0</v>
      </c>
      <c r="Y40" s="7">
        <f>+[14]Resumen!Y40*1000</f>
        <v>0</v>
      </c>
      <c r="Z40" s="7">
        <f>+[14]Resumen!Z40*1000</f>
        <v>0</v>
      </c>
      <c r="AA40" s="7">
        <f>+[14]Resumen!AA40*1000</f>
        <v>0</v>
      </c>
      <c r="AB40" s="7">
        <f>+[14]Resumen!AB40*1000</f>
        <v>0</v>
      </c>
      <c r="AC40" s="7">
        <f>+[14]Resumen!AC40*1000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+[14]Resumen!E41</f>
        <v>4</v>
      </c>
      <c r="F41" s="7">
        <f>+[14]Resumen!F41*1000</f>
        <v>0</v>
      </c>
      <c r="G41" s="7">
        <f>+[14]Resumen!G41*1000</f>
        <v>0</v>
      </c>
      <c r="H41" s="7">
        <f>+[14]Resumen!H41*1000</f>
        <v>0</v>
      </c>
      <c r="I41" s="7">
        <f>+[14]Resumen!I41*1000</f>
        <v>0</v>
      </c>
      <c r="J41" s="7">
        <f>+[14]Resumen!J41*1000</f>
        <v>0</v>
      </c>
      <c r="K41" s="7">
        <f>+[14]Resumen!K41*1000</f>
        <v>0</v>
      </c>
      <c r="L41" s="7">
        <f>+[14]Resumen!L41*1000</f>
        <v>0</v>
      </c>
      <c r="M41" s="7">
        <f>+[14]Resumen!M41*1000</f>
        <v>184080.56091016717</v>
      </c>
      <c r="N41" s="7">
        <f>+[14]Resumen!N41*1000</f>
        <v>202595.05850307344</v>
      </c>
      <c r="O41" s="7">
        <f>+[14]Resumen!O41*1000</f>
        <v>218152.74764955757</v>
      </c>
      <c r="P41" s="7">
        <f>+[14]Resumen!P41*1000</f>
        <v>231884.45912281531</v>
      </c>
      <c r="Q41" s="7">
        <f>+[14]Resumen!Q41*1000</f>
        <v>244996.54873211071</v>
      </c>
      <c r="R41" s="7">
        <f>+[14]Resumen!R41*1000</f>
        <v>253041.28410757193</v>
      </c>
      <c r="S41" s="7">
        <f>+[14]Resumen!S41*1000</f>
        <v>252132.32865496559</v>
      </c>
      <c r="T41" s="7">
        <f>+[14]Resumen!T41*1000</f>
        <v>246520.75893313537</v>
      </c>
      <c r="U41" s="7">
        <f>+[14]Resumen!U41*1000</f>
        <v>243886.43474138682</v>
      </c>
      <c r="V41" s="7">
        <f>+[14]Resumen!V41*1000</f>
        <v>241022.88677843931</v>
      </c>
      <c r="W41" s="7">
        <f>+[14]Resumen!W41*1000</f>
        <v>0</v>
      </c>
      <c r="X41" s="7">
        <f>+[14]Resumen!X41*1000</f>
        <v>0</v>
      </c>
      <c r="Y41" s="7">
        <f>+[14]Resumen!Y41*1000</f>
        <v>0</v>
      </c>
      <c r="Z41" s="7">
        <f>+[14]Resumen!Z41*1000</f>
        <v>0</v>
      </c>
      <c r="AA41" s="7">
        <f>+[14]Resumen!AA41*1000</f>
        <v>0</v>
      </c>
      <c r="AB41" s="7">
        <f>+[14]Resumen!AB41*1000</f>
        <v>0</v>
      </c>
      <c r="AC41" s="7">
        <f>+[14]Resumen!AC41*1000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+[14]Resumen!E42</f>
        <v>0</v>
      </c>
      <c r="F42" s="7">
        <f>+[14]Resumen!F42*1000</f>
        <v>0</v>
      </c>
      <c r="G42" s="7">
        <f>+[14]Resumen!G42*1000</f>
        <v>0</v>
      </c>
      <c r="H42" s="7">
        <f>+[14]Resumen!H42*1000</f>
        <v>0</v>
      </c>
      <c r="I42" s="7">
        <f>+[14]Resumen!I42*1000</f>
        <v>0</v>
      </c>
      <c r="J42" s="7">
        <f>+[14]Resumen!J42*1000</f>
        <v>0</v>
      </c>
      <c r="K42" s="7">
        <f>+[14]Resumen!K42*1000</f>
        <v>0</v>
      </c>
      <c r="L42" s="7">
        <f>+[14]Resumen!L42*1000</f>
        <v>0</v>
      </c>
      <c r="M42" s="7">
        <f>+[14]Resumen!M42*1000</f>
        <v>0</v>
      </c>
      <c r="N42" s="7">
        <f>+[14]Resumen!N42*1000</f>
        <v>0</v>
      </c>
      <c r="O42" s="7">
        <f>+[14]Resumen!O42*1000</f>
        <v>0</v>
      </c>
      <c r="P42" s="7">
        <f>+[14]Resumen!P42*1000</f>
        <v>0</v>
      </c>
      <c r="Q42" s="7">
        <f>+[14]Resumen!Q42*1000</f>
        <v>0</v>
      </c>
      <c r="R42" s="7">
        <f>+[14]Resumen!R42*1000</f>
        <v>0</v>
      </c>
      <c r="S42" s="7">
        <f>+[14]Resumen!S42*1000</f>
        <v>0</v>
      </c>
      <c r="T42" s="7">
        <f>+[14]Resumen!T42*1000</f>
        <v>0</v>
      </c>
      <c r="U42" s="7">
        <f>+[14]Resumen!U42*1000</f>
        <v>0</v>
      </c>
      <c r="V42" s="7">
        <f>+[14]Resumen!V42*1000</f>
        <v>0</v>
      </c>
      <c r="W42" s="7">
        <f>+[14]Resumen!W42*1000</f>
        <v>0</v>
      </c>
      <c r="X42" s="7">
        <f>+[14]Resumen!X42*1000</f>
        <v>0</v>
      </c>
      <c r="Y42" s="7">
        <f>+[14]Resumen!Y42*1000</f>
        <v>0</v>
      </c>
      <c r="Z42" s="7">
        <f>+[14]Resumen!Z42*1000</f>
        <v>0</v>
      </c>
      <c r="AA42" s="7">
        <f>+[14]Resumen!AA42*1000</f>
        <v>0</v>
      </c>
      <c r="AB42" s="7">
        <f>+[14]Resumen!AB42*1000</f>
        <v>0</v>
      </c>
      <c r="AC42" s="7">
        <f>+[14]Resumen!AC42*1000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+[14]Resumen!E43</f>
        <v>20</v>
      </c>
      <c r="F43" s="7">
        <f>+[14]Resumen!F43*1000</f>
        <v>0</v>
      </c>
      <c r="G43" s="7">
        <f>+[14]Resumen!G43*1000</f>
        <v>0</v>
      </c>
      <c r="H43" s="7">
        <f>+[14]Resumen!H43*1000</f>
        <v>0</v>
      </c>
      <c r="I43" s="7">
        <f>+[14]Resumen!I43*1000</f>
        <v>0</v>
      </c>
      <c r="J43" s="7">
        <f>+[14]Resumen!J43*1000</f>
        <v>0</v>
      </c>
      <c r="K43" s="7">
        <f>+[14]Resumen!K43*1000</f>
        <v>0</v>
      </c>
      <c r="L43" s="7">
        <f>+[14]Resumen!L43*1000</f>
        <v>0</v>
      </c>
      <c r="M43" s="7">
        <f>+[14]Resumen!M43*1000</f>
        <v>241246.61404419373</v>
      </c>
      <c r="N43" s="7">
        <f>+[14]Resumen!N43*1000</f>
        <v>257886.01291945702</v>
      </c>
      <c r="O43" s="7">
        <f>+[14]Resumen!O43*1000</f>
        <v>269365.60227096174</v>
      </c>
      <c r="P43" s="7">
        <f>+[14]Resumen!P43*1000</f>
        <v>284726.88352127391</v>
      </c>
      <c r="Q43" s="7">
        <f>+[14]Resumen!Q43*1000</f>
        <v>298363.58851241175</v>
      </c>
      <c r="R43" s="7">
        <f>+[14]Resumen!R43*1000</f>
        <v>301145.68055311532</v>
      </c>
      <c r="S43" s="7">
        <f>+[14]Resumen!S43*1000</f>
        <v>297108.7367431976</v>
      </c>
      <c r="T43" s="7">
        <f>+[14]Resumen!T43*1000</f>
        <v>298598.93175459153</v>
      </c>
      <c r="U43" s="7">
        <f>+[14]Resumen!U43*1000</f>
        <v>298121.62573167798</v>
      </c>
      <c r="V43" s="7">
        <f>+[14]Resumen!V43*1000</f>
        <v>291558.87027446937</v>
      </c>
      <c r="W43" s="7">
        <f>+[14]Resumen!W43*1000</f>
        <v>0</v>
      </c>
      <c r="X43" s="7">
        <f>+[14]Resumen!X43*1000</f>
        <v>0</v>
      </c>
      <c r="Y43" s="7">
        <f>+[14]Resumen!Y43*1000</f>
        <v>0</v>
      </c>
      <c r="Z43" s="7">
        <f>+[14]Resumen!Z43*1000</f>
        <v>0</v>
      </c>
      <c r="AA43" s="7">
        <f>+[14]Resumen!AA43*1000</f>
        <v>0</v>
      </c>
      <c r="AB43" s="7">
        <f>+[14]Resumen!AB43*1000</f>
        <v>0</v>
      </c>
      <c r="AC43" s="7">
        <f>+[14]Resumen!AC43*1000</f>
        <v>0</v>
      </c>
      <c r="AD43" s="60">
        <f t="shared" ref="AD43" si="5">SUM(F43:AC43)*E43+SUM(F44:AC44)*E44+SUM(F45:AC45)*E45+SUM(F46:AC46)*E46</f>
        <v>84058455.03391929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+[14]Resumen!E44</f>
        <v>5</v>
      </c>
      <c r="F44" s="7">
        <f>+[14]Resumen!F44*1000</f>
        <v>0</v>
      </c>
      <c r="G44" s="7">
        <f>+[14]Resumen!G44*1000</f>
        <v>0</v>
      </c>
      <c r="H44" s="7">
        <f>+[14]Resumen!H44*1000</f>
        <v>0</v>
      </c>
      <c r="I44" s="7">
        <f>+[14]Resumen!I44*1000</f>
        <v>0</v>
      </c>
      <c r="J44" s="7">
        <f>+[14]Resumen!J44*1000</f>
        <v>0</v>
      </c>
      <c r="K44" s="7">
        <f>+[14]Resumen!K44*1000</f>
        <v>0</v>
      </c>
      <c r="L44" s="7">
        <f>+[14]Resumen!L44*1000</f>
        <v>0</v>
      </c>
      <c r="M44" s="7">
        <f>+[14]Resumen!M44*1000</f>
        <v>222614.6387123288</v>
      </c>
      <c r="N44" s="7">
        <f>+[14]Resumen!N44*1000</f>
        <v>245037.42713729083</v>
      </c>
      <c r="O44" s="7">
        <f>+[14]Resumen!O44*1000</f>
        <v>260457.25019655566</v>
      </c>
      <c r="P44" s="7">
        <f>+[14]Resumen!P44*1000</f>
        <v>275252.391386075</v>
      </c>
      <c r="Q44" s="7">
        <f>+[14]Resumen!Q44*1000</f>
        <v>285452.62777620833</v>
      </c>
      <c r="R44" s="7">
        <f>+[14]Resumen!R44*1000</f>
        <v>286477.27894731128</v>
      </c>
      <c r="S44" s="7">
        <f>+[14]Resumen!S44*1000</f>
        <v>279606.00510566239</v>
      </c>
      <c r="T44" s="7">
        <f>+[14]Resumen!T44*1000</f>
        <v>272540.71987811837</v>
      </c>
      <c r="U44" s="7">
        <f>+[14]Resumen!U44*1000</f>
        <v>269668.49701413367</v>
      </c>
      <c r="V44" s="7">
        <f>+[14]Resumen!V44*1000</f>
        <v>266434.97744743043</v>
      </c>
      <c r="W44" s="7">
        <f>+[14]Resumen!W44*1000</f>
        <v>0</v>
      </c>
      <c r="X44" s="7">
        <f>+[14]Resumen!X44*1000</f>
        <v>0</v>
      </c>
      <c r="Y44" s="7">
        <f>+[14]Resumen!Y44*1000</f>
        <v>0</v>
      </c>
      <c r="Z44" s="7">
        <f>+[14]Resumen!Z44*1000</f>
        <v>0</v>
      </c>
      <c r="AA44" s="7">
        <f>+[14]Resumen!AA44*1000</f>
        <v>0</v>
      </c>
      <c r="AB44" s="7">
        <f>+[14]Resumen!AB44*1000</f>
        <v>0</v>
      </c>
      <c r="AC44" s="7">
        <f>+[14]Resumen!AC44*1000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+[14]Resumen!E45</f>
        <v>5</v>
      </c>
      <c r="F45" s="7">
        <f>+[14]Resumen!F45*1000</f>
        <v>0</v>
      </c>
      <c r="G45" s="7">
        <f>+[14]Resumen!G45*1000</f>
        <v>0</v>
      </c>
      <c r="H45" s="7">
        <f>+[14]Resumen!H45*1000</f>
        <v>0</v>
      </c>
      <c r="I45" s="7">
        <f>+[14]Resumen!I45*1000</f>
        <v>0</v>
      </c>
      <c r="J45" s="7">
        <f>+[14]Resumen!J45*1000</f>
        <v>0</v>
      </c>
      <c r="K45" s="7">
        <f>+[14]Resumen!K45*1000</f>
        <v>0</v>
      </c>
      <c r="L45" s="7">
        <f>+[14]Resumen!L45*1000</f>
        <v>0</v>
      </c>
      <c r="M45" s="7">
        <f>+[14]Resumen!M45*1000</f>
        <v>186075.08678273231</v>
      </c>
      <c r="N45" s="7">
        <f>+[14]Resumen!N45*1000</f>
        <v>204442.70012065821</v>
      </c>
      <c r="O45" s="7">
        <f>+[14]Resumen!O45*1000</f>
        <v>219615.89027659877</v>
      </c>
      <c r="P45" s="7">
        <f>+[14]Resumen!P45*1000</f>
        <v>232870.21732651829</v>
      </c>
      <c r="Q45" s="7">
        <f>+[14]Resumen!Q45*1000</f>
        <v>246746.95051493921</v>
      </c>
      <c r="R45" s="7">
        <f>+[14]Resumen!R45*1000</f>
        <v>254199.86863108113</v>
      </c>
      <c r="S45" s="7">
        <f>+[14]Resumen!S45*1000</f>
        <v>252530.96303017414</v>
      </c>
      <c r="T45" s="7">
        <f>+[14]Resumen!T45*1000</f>
        <v>246910.00008990295</v>
      </c>
      <c r="U45" s="7">
        <f>+[14]Resumen!U45*1000</f>
        <v>243499.08790839239</v>
      </c>
      <c r="V45" s="7">
        <f>+[14]Resumen!V45*1000</f>
        <v>239214.03006280429</v>
      </c>
      <c r="W45" s="7">
        <f>+[14]Resumen!W45*1000</f>
        <v>0</v>
      </c>
      <c r="X45" s="7">
        <f>+[14]Resumen!X45*1000</f>
        <v>0</v>
      </c>
      <c r="Y45" s="7">
        <f>+[14]Resumen!Y45*1000</f>
        <v>0</v>
      </c>
      <c r="Z45" s="7">
        <f>+[14]Resumen!Z45*1000</f>
        <v>0</v>
      </c>
      <c r="AA45" s="7">
        <f>+[14]Resumen!AA45*1000</f>
        <v>0</v>
      </c>
      <c r="AB45" s="7">
        <f>+[14]Resumen!AB45*1000</f>
        <v>0</v>
      </c>
      <c r="AC45" s="7">
        <f>+[14]Resumen!AC45*1000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+[14]Resumen!E46</f>
        <v>1</v>
      </c>
      <c r="F46" s="7">
        <f>+[14]Resumen!F46*1000</f>
        <v>0</v>
      </c>
      <c r="G46" s="7">
        <f>+[14]Resumen!G46*1000</f>
        <v>0</v>
      </c>
      <c r="H46" s="7">
        <f>+[14]Resumen!H46*1000</f>
        <v>0</v>
      </c>
      <c r="I46" s="7">
        <f>+[14]Resumen!I46*1000</f>
        <v>0</v>
      </c>
      <c r="J46" s="7">
        <f>+[14]Resumen!J46*1000</f>
        <v>0</v>
      </c>
      <c r="K46" s="7">
        <f>+[14]Resumen!K46*1000</f>
        <v>0</v>
      </c>
      <c r="L46" s="7">
        <f>+[14]Resumen!L46*1000</f>
        <v>0</v>
      </c>
      <c r="M46" s="7">
        <f>+[14]Resumen!M46*1000</f>
        <v>183942.28375045126</v>
      </c>
      <c r="N46" s="7">
        <f>+[14]Resumen!N46*1000</f>
        <v>202303.97891578396</v>
      </c>
      <c r="O46" s="7">
        <f>+[14]Resumen!O46*1000</f>
        <v>216040.64021044437</v>
      </c>
      <c r="P46" s="7">
        <f>+[14]Resumen!P46*1000</f>
        <v>230493.68220662369</v>
      </c>
      <c r="Q46" s="7">
        <f>+[14]Resumen!Q46*1000</f>
        <v>248263.51349616837</v>
      </c>
      <c r="R46" s="7">
        <f>+[14]Resumen!R46*1000</f>
        <v>259565.44536656633</v>
      </c>
      <c r="S46" s="7">
        <f>+[14]Resumen!S46*1000</f>
        <v>259243.18995637543</v>
      </c>
      <c r="T46" s="7">
        <f>+[14]Resumen!T46*1000</f>
        <v>251522.16357735603</v>
      </c>
      <c r="U46" s="7">
        <f>+[14]Resumen!U46*1000</f>
        <v>249201.10417413255</v>
      </c>
      <c r="V46" s="7">
        <f>+[14]Resumen!V46*1000</f>
        <v>247195.06403380109</v>
      </c>
      <c r="W46" s="7">
        <f>+[14]Resumen!W46*1000</f>
        <v>0</v>
      </c>
      <c r="X46" s="7">
        <f>+[14]Resumen!X46*1000</f>
        <v>0</v>
      </c>
      <c r="Y46" s="7">
        <f>+[14]Resumen!Y46*1000</f>
        <v>0</v>
      </c>
      <c r="Z46" s="7">
        <f>+[14]Resumen!Z46*1000</f>
        <v>0</v>
      </c>
      <c r="AA46" s="7">
        <f>+[14]Resumen!AA46*1000</f>
        <v>0</v>
      </c>
      <c r="AB46" s="7">
        <f>+[14]Resumen!AB46*1000</f>
        <v>0</v>
      </c>
      <c r="AC46" s="7">
        <f>+[14]Resumen!AC46*1000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+[14]Resumen!E47</f>
        <v>20</v>
      </c>
      <c r="F47" s="7">
        <f>+[14]Resumen!F47*1000</f>
        <v>0</v>
      </c>
      <c r="G47" s="7">
        <f>+[14]Resumen!G47*1000</f>
        <v>0</v>
      </c>
      <c r="H47" s="7">
        <f>+[14]Resumen!H47*1000</f>
        <v>0</v>
      </c>
      <c r="I47" s="7">
        <f>+[14]Resumen!I47*1000</f>
        <v>0</v>
      </c>
      <c r="J47" s="7">
        <f>+[14]Resumen!J47*1000</f>
        <v>0</v>
      </c>
      <c r="K47" s="7">
        <f>+[14]Resumen!K47*1000</f>
        <v>0</v>
      </c>
      <c r="L47" s="7">
        <f>+[14]Resumen!L47*1000</f>
        <v>0</v>
      </c>
      <c r="M47" s="7">
        <f>+[14]Resumen!M47*1000</f>
        <v>252082.18840502907</v>
      </c>
      <c r="N47" s="7">
        <f>+[14]Resumen!N47*1000</f>
        <v>268846.74826086324</v>
      </c>
      <c r="O47" s="7">
        <f>+[14]Resumen!O47*1000</f>
        <v>280140.61548217793</v>
      </c>
      <c r="P47" s="7">
        <f>+[14]Resumen!P47*1000</f>
        <v>295441.78903397563</v>
      </c>
      <c r="Q47" s="7">
        <f>+[14]Resumen!Q47*1000</f>
        <v>309461.34448780963</v>
      </c>
      <c r="R47" s="7">
        <f>+[14]Resumen!R47*1000</f>
        <v>312765.52826425526</v>
      </c>
      <c r="S47" s="7">
        <f>+[14]Resumen!S47*1000</f>
        <v>308033.52866831375</v>
      </c>
      <c r="T47" s="7">
        <f>+[14]Resumen!T47*1000</f>
        <v>308501.82076132699</v>
      </c>
      <c r="U47" s="7">
        <f>+[14]Resumen!U47*1000</f>
        <v>308013.43061351724</v>
      </c>
      <c r="V47" s="7">
        <f>+[14]Resumen!V47*1000</f>
        <v>302491.98747710738</v>
      </c>
      <c r="W47" s="7">
        <f>+[14]Resumen!W47*1000</f>
        <v>0</v>
      </c>
      <c r="X47" s="7">
        <f>+[14]Resumen!X47*1000</f>
        <v>0</v>
      </c>
      <c r="Y47" s="7">
        <f>+[14]Resumen!Y47*1000</f>
        <v>0</v>
      </c>
      <c r="Z47" s="7">
        <f>+[14]Resumen!Z47*1000</f>
        <v>0</v>
      </c>
      <c r="AA47" s="7">
        <f>+[14]Resumen!AA47*1000</f>
        <v>0</v>
      </c>
      <c r="AB47" s="7">
        <f>+[14]Resumen!AB47*1000</f>
        <v>0</v>
      </c>
      <c r="AC47" s="7">
        <f>+[14]Resumen!AC47*1000</f>
        <v>0</v>
      </c>
      <c r="AD47" s="60">
        <f t="shared" ref="AD47" si="6">SUM(F47:AC47)*E47+SUM(F48:AC48)*E48+SUM(F49:AC49)*E49+SUM(F50:AC50)*E50</f>
        <v>84151732.231516719</v>
      </c>
      <c r="AF47" s="8"/>
      <c r="AG47" s="8">
        <f>130*3000</f>
        <v>390000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+[14]Resumen!E48</f>
        <v>4</v>
      </c>
      <c r="F48" s="7">
        <f>+[14]Resumen!F48*1000</f>
        <v>0</v>
      </c>
      <c r="G48" s="7">
        <f>+[14]Resumen!G48*1000</f>
        <v>0</v>
      </c>
      <c r="H48" s="7">
        <f>+[14]Resumen!H48*1000</f>
        <v>0</v>
      </c>
      <c r="I48" s="7">
        <f>+[14]Resumen!I48*1000</f>
        <v>0</v>
      </c>
      <c r="J48" s="7">
        <f>+[14]Resumen!J48*1000</f>
        <v>0</v>
      </c>
      <c r="K48" s="7">
        <f>+[14]Resumen!K48*1000</f>
        <v>0</v>
      </c>
      <c r="L48" s="7">
        <f>+[14]Resumen!L48*1000</f>
        <v>0</v>
      </c>
      <c r="M48" s="7">
        <f>+[14]Resumen!M48*1000</f>
        <v>231584.104977187</v>
      </c>
      <c r="N48" s="7">
        <f>+[14]Resumen!N48*1000</f>
        <v>255179.38870370126</v>
      </c>
      <c r="O48" s="7">
        <f>+[14]Resumen!O48*1000</f>
        <v>269678.30130507128</v>
      </c>
      <c r="P48" s="7">
        <f>+[14]Resumen!P48*1000</f>
        <v>282982.52069007116</v>
      </c>
      <c r="Q48" s="7">
        <f>+[14]Resumen!Q48*1000</f>
        <v>292449.53935776703</v>
      </c>
      <c r="R48" s="7">
        <f>+[14]Resumen!R48*1000</f>
        <v>293477.76516444626</v>
      </c>
      <c r="S48" s="7">
        <f>+[14]Resumen!S48*1000</f>
        <v>286196.13078678306</v>
      </c>
      <c r="T48" s="7">
        <f>+[14]Resumen!T48*1000</f>
        <v>278857.63279303996</v>
      </c>
      <c r="U48" s="7">
        <f>+[14]Resumen!U48*1000</f>
        <v>275068.29447549785</v>
      </c>
      <c r="V48" s="7">
        <f>+[14]Resumen!V48*1000</f>
        <v>271574.07018871728</v>
      </c>
      <c r="W48" s="7">
        <f>+[14]Resumen!W48*1000</f>
        <v>0</v>
      </c>
      <c r="X48" s="7">
        <f>+[14]Resumen!X48*1000</f>
        <v>0</v>
      </c>
      <c r="Y48" s="7">
        <f>+[14]Resumen!Y48*1000</f>
        <v>0</v>
      </c>
      <c r="Z48" s="7">
        <f>+[14]Resumen!Z48*1000</f>
        <v>0</v>
      </c>
      <c r="AA48" s="7">
        <f>+[14]Resumen!AA48*1000</f>
        <v>0</v>
      </c>
      <c r="AB48" s="7">
        <f>+[14]Resumen!AB48*1000</f>
        <v>0</v>
      </c>
      <c r="AC48" s="7">
        <f>+[14]Resumen!AC48*1000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+[14]Resumen!E49</f>
        <v>4</v>
      </c>
      <c r="F49" s="7">
        <f>+[14]Resumen!F49*1000</f>
        <v>0</v>
      </c>
      <c r="G49" s="7">
        <f>+[14]Resumen!G49*1000</f>
        <v>0</v>
      </c>
      <c r="H49" s="7">
        <f>+[14]Resumen!H49*1000</f>
        <v>0</v>
      </c>
      <c r="I49" s="7">
        <f>+[14]Resumen!I49*1000</f>
        <v>0</v>
      </c>
      <c r="J49" s="7">
        <f>+[14]Resumen!J49*1000</f>
        <v>0</v>
      </c>
      <c r="K49" s="7">
        <f>+[14]Resumen!K49*1000</f>
        <v>0</v>
      </c>
      <c r="L49" s="7">
        <f>+[14]Resumen!L49*1000</f>
        <v>0</v>
      </c>
      <c r="M49" s="7">
        <f>+[14]Resumen!M49*1000</f>
        <v>189329.60283071938</v>
      </c>
      <c r="N49" s="7">
        <f>+[14]Resumen!N49*1000</f>
        <v>208693.44612636027</v>
      </c>
      <c r="O49" s="7">
        <f>+[14]Resumen!O49*1000</f>
        <v>225039.53629955856</v>
      </c>
      <c r="P49" s="7">
        <f>+[14]Resumen!P49*1000</f>
        <v>237707.94731130876</v>
      </c>
      <c r="Q49" s="7">
        <f>+[14]Resumen!Q49*1000</f>
        <v>250373.75839546442</v>
      </c>
      <c r="R49" s="7">
        <f>+[14]Resumen!R49*1000</f>
        <v>258780.1146699946</v>
      </c>
      <c r="S49" s="7">
        <f>+[14]Resumen!S49*1000</f>
        <v>259712.5584660293</v>
      </c>
      <c r="T49" s="7">
        <f>+[14]Resumen!T49*1000</f>
        <v>254461.95701270638</v>
      </c>
      <c r="U49" s="7">
        <f>+[14]Resumen!U49*1000</f>
        <v>249656.21863901944</v>
      </c>
      <c r="V49" s="7">
        <f>+[14]Resumen!V49*1000</f>
        <v>245144.7128210497</v>
      </c>
      <c r="W49" s="7">
        <f>+[14]Resumen!W49*1000</f>
        <v>0</v>
      </c>
      <c r="X49" s="7">
        <f>+[14]Resumen!X49*1000</f>
        <v>0</v>
      </c>
      <c r="Y49" s="7">
        <f>+[14]Resumen!Y49*1000</f>
        <v>0</v>
      </c>
      <c r="Z49" s="7">
        <f>+[14]Resumen!Z49*1000</f>
        <v>0</v>
      </c>
      <c r="AA49" s="7">
        <f>+[14]Resumen!AA49*1000</f>
        <v>0</v>
      </c>
      <c r="AB49" s="7">
        <f>+[14]Resumen!AB49*1000</f>
        <v>0</v>
      </c>
      <c r="AC49" s="7">
        <f>+[14]Resumen!AC49*1000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+[14]Resumen!E50</f>
        <v>2</v>
      </c>
      <c r="F50" s="7">
        <f>+[14]Resumen!F50*1000</f>
        <v>0</v>
      </c>
      <c r="G50" s="7">
        <f>+[14]Resumen!G50*1000</f>
        <v>0</v>
      </c>
      <c r="H50" s="7">
        <f>+[14]Resumen!H50*1000</f>
        <v>0</v>
      </c>
      <c r="I50" s="7">
        <f>+[14]Resumen!I50*1000</f>
        <v>0</v>
      </c>
      <c r="J50" s="7">
        <f>+[14]Resumen!J50*1000</f>
        <v>0</v>
      </c>
      <c r="K50" s="7">
        <f>+[14]Resumen!K50*1000</f>
        <v>0</v>
      </c>
      <c r="L50" s="7">
        <f>+[14]Resumen!L50*1000</f>
        <v>0</v>
      </c>
      <c r="M50" s="7">
        <f>+[14]Resumen!M50*1000</f>
        <v>185322.4088035473</v>
      </c>
      <c r="N50" s="7">
        <f>+[14]Resumen!N50*1000</f>
        <v>205020.15103189953</v>
      </c>
      <c r="O50" s="7">
        <f>+[14]Resumen!O50*1000</f>
        <v>220929.46608277949</v>
      </c>
      <c r="P50" s="7">
        <f>+[14]Resumen!P50*1000</f>
        <v>237627.68858473795</v>
      </c>
      <c r="Q50" s="7">
        <f>+[14]Resumen!Q50*1000</f>
        <v>253661.04370200995</v>
      </c>
      <c r="R50" s="7">
        <f>+[14]Resumen!R50*1000</f>
        <v>264144.41792831232</v>
      </c>
      <c r="S50" s="7">
        <f>+[14]Resumen!S50*1000</f>
        <v>263637.04852095473</v>
      </c>
      <c r="T50" s="7">
        <f>+[14]Resumen!T50*1000</f>
        <v>256242.55567259382</v>
      </c>
      <c r="U50" s="7">
        <f>+[14]Resumen!U50*1000</f>
        <v>250970.79669927701</v>
      </c>
      <c r="V50" s="7">
        <f>+[14]Resumen!V50*1000</f>
        <v>248625.52215949955</v>
      </c>
      <c r="W50" s="7">
        <f>+[14]Resumen!W50*1000</f>
        <v>0</v>
      </c>
      <c r="X50" s="7">
        <f>+[14]Resumen!X50*1000</f>
        <v>0</v>
      </c>
      <c r="Y50" s="7">
        <f>+[14]Resumen!Y50*1000</f>
        <v>0</v>
      </c>
      <c r="Z50" s="7">
        <f>+[14]Resumen!Z50*1000</f>
        <v>0</v>
      </c>
      <c r="AA50" s="7">
        <f>+[14]Resumen!AA50*1000</f>
        <v>0</v>
      </c>
      <c r="AB50" s="7">
        <f>+[14]Resumen!AB50*1000</f>
        <v>0</v>
      </c>
      <c r="AC50" s="7">
        <f>+[14]Resumen!AC50*1000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+[14]Resumen!E51</f>
        <v>21</v>
      </c>
      <c r="F51" s="7">
        <f>+[14]Resumen!F51*1000</f>
        <v>0</v>
      </c>
      <c r="G51" s="7">
        <f>+[14]Resumen!G51*1000</f>
        <v>0</v>
      </c>
      <c r="H51" s="7">
        <f>+[14]Resumen!H51*1000</f>
        <v>0</v>
      </c>
      <c r="I51" s="7">
        <f>+[14]Resumen!I51*1000</f>
        <v>0</v>
      </c>
      <c r="J51" s="7">
        <f>+[14]Resumen!J51*1000</f>
        <v>0</v>
      </c>
      <c r="K51" s="7">
        <f>+[14]Resumen!K51*1000</f>
        <v>0</v>
      </c>
      <c r="L51" s="7">
        <f>+[14]Resumen!L51*1000</f>
        <v>0</v>
      </c>
      <c r="M51" s="7">
        <f>+[14]Resumen!M51*1000</f>
        <v>232892.11859108094</v>
      </c>
      <c r="N51" s="7">
        <f>+[14]Resumen!N51*1000</f>
        <v>253352.05067716126</v>
      </c>
      <c r="O51" s="7">
        <f>+[14]Resumen!O51*1000</f>
        <v>265792.46054055035</v>
      </c>
      <c r="P51" s="7">
        <f>+[14]Resumen!P51*1000</f>
        <v>279934.29946747905</v>
      </c>
      <c r="Q51" s="7">
        <f>+[14]Resumen!Q51*1000</f>
        <v>293363.69890342344</v>
      </c>
      <c r="R51" s="7">
        <f>+[14]Resumen!R51*1000</f>
        <v>298794.71880415775</v>
      </c>
      <c r="S51" s="7">
        <f>+[14]Resumen!S51*1000</f>
        <v>295156.34156367596</v>
      </c>
      <c r="T51" s="7">
        <f>+[14]Resumen!T51*1000</f>
        <v>295242.3235212437</v>
      </c>
      <c r="U51" s="7">
        <f>+[14]Resumen!U51*1000</f>
        <v>294200.16998507816</v>
      </c>
      <c r="V51" s="7">
        <f>+[14]Resumen!V51*1000</f>
        <v>288159.97666615911</v>
      </c>
      <c r="W51" s="7">
        <f>+[14]Resumen!W51*1000</f>
        <v>0</v>
      </c>
      <c r="X51" s="7">
        <f>+[14]Resumen!X51*1000</f>
        <v>0</v>
      </c>
      <c r="Y51" s="7">
        <f>+[14]Resumen!Y51*1000</f>
        <v>0</v>
      </c>
      <c r="Z51" s="7">
        <f>+[14]Resumen!Z51*1000</f>
        <v>0</v>
      </c>
      <c r="AA51" s="7">
        <f>+[14]Resumen!AA51*1000</f>
        <v>0</v>
      </c>
      <c r="AB51" s="7">
        <f>+[14]Resumen!AB51*1000</f>
        <v>0</v>
      </c>
      <c r="AC51" s="7">
        <f>+[14]Resumen!AC51*1000</f>
        <v>0</v>
      </c>
      <c r="AD51" s="60">
        <f t="shared" ref="AD51" si="7">SUM(F51:AC51)*E51+SUM(F52:AC52)*E52+SUM(F53:AC53)*E53+SUM(F54:AC54)*E54</f>
        <v>83015966.59656699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+[14]Resumen!E52</f>
        <v>5</v>
      </c>
      <c r="F52" s="7">
        <f>+[14]Resumen!F52*1000</f>
        <v>0</v>
      </c>
      <c r="G52" s="7">
        <f>+[14]Resumen!G52*1000</f>
        <v>0</v>
      </c>
      <c r="H52" s="7">
        <f>+[14]Resumen!H52*1000</f>
        <v>0</v>
      </c>
      <c r="I52" s="7">
        <f>+[14]Resumen!I52*1000</f>
        <v>0</v>
      </c>
      <c r="J52" s="7">
        <f>+[14]Resumen!J52*1000</f>
        <v>0</v>
      </c>
      <c r="K52" s="7">
        <f>+[14]Resumen!K52*1000</f>
        <v>0</v>
      </c>
      <c r="L52" s="7">
        <f>+[14]Resumen!L52*1000</f>
        <v>0</v>
      </c>
      <c r="M52" s="7">
        <f>+[14]Resumen!M52*1000</f>
        <v>219403.78746299111</v>
      </c>
      <c r="N52" s="7">
        <f>+[14]Resumen!N52*1000</f>
        <v>242001.71396082026</v>
      </c>
      <c r="O52" s="7">
        <f>+[14]Resumen!O52*1000</f>
        <v>257153.84830542587</v>
      </c>
      <c r="P52" s="7">
        <f>+[14]Resumen!P52*1000</f>
        <v>269371.55010858044</v>
      </c>
      <c r="Q52" s="7">
        <f>+[14]Resumen!Q52*1000</f>
        <v>278151.44838458172</v>
      </c>
      <c r="R52" s="7">
        <f>+[14]Resumen!R52*1000</f>
        <v>279867.78624238045</v>
      </c>
      <c r="S52" s="7">
        <f>+[14]Resumen!S52*1000</f>
        <v>274480.65150905668</v>
      </c>
      <c r="T52" s="7">
        <f>+[14]Resumen!T52*1000</f>
        <v>268421.43019519065</v>
      </c>
      <c r="U52" s="7">
        <f>+[14]Resumen!U52*1000</f>
        <v>264107.29638672265</v>
      </c>
      <c r="V52" s="7">
        <f>+[14]Resumen!V52*1000</f>
        <v>259732.95317108108</v>
      </c>
      <c r="W52" s="7">
        <f>+[14]Resumen!W52*1000</f>
        <v>0</v>
      </c>
      <c r="X52" s="7">
        <f>+[14]Resumen!X52*1000</f>
        <v>0</v>
      </c>
      <c r="Y52" s="7">
        <f>+[14]Resumen!Y52*1000</f>
        <v>0</v>
      </c>
      <c r="Z52" s="7">
        <f>+[14]Resumen!Z52*1000</f>
        <v>0</v>
      </c>
      <c r="AA52" s="7">
        <f>+[14]Resumen!AA52*1000</f>
        <v>0</v>
      </c>
      <c r="AB52" s="7">
        <f>+[14]Resumen!AB52*1000</f>
        <v>0</v>
      </c>
      <c r="AC52" s="7">
        <f>+[14]Resumen!AC52*1000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+[14]Resumen!E53</f>
        <v>3</v>
      </c>
      <c r="F53" s="7">
        <f>+[14]Resumen!F53*1000</f>
        <v>0</v>
      </c>
      <c r="G53" s="7">
        <f>+[14]Resumen!G53*1000</f>
        <v>0</v>
      </c>
      <c r="H53" s="7">
        <f>+[14]Resumen!H53*1000</f>
        <v>0</v>
      </c>
      <c r="I53" s="7">
        <f>+[14]Resumen!I53*1000</f>
        <v>0</v>
      </c>
      <c r="J53" s="7">
        <f>+[14]Resumen!J53*1000</f>
        <v>0</v>
      </c>
      <c r="K53" s="7">
        <f>+[14]Resumen!K53*1000</f>
        <v>0</v>
      </c>
      <c r="L53" s="7">
        <f>+[14]Resumen!L53*1000</f>
        <v>0</v>
      </c>
      <c r="M53" s="7">
        <f>+[14]Resumen!M53*1000</f>
        <v>184710.95117839685</v>
      </c>
      <c r="N53" s="7">
        <f>+[14]Resumen!N53*1000</f>
        <v>203473.61578023332</v>
      </c>
      <c r="O53" s="7">
        <f>+[14]Resumen!O53*1000</f>
        <v>219177.00046174627</v>
      </c>
      <c r="P53" s="7">
        <f>+[14]Resumen!P53*1000</f>
        <v>232045.42155133997</v>
      </c>
      <c r="Q53" s="7">
        <f>+[14]Resumen!Q53*1000</f>
        <v>243953.54974271759</v>
      </c>
      <c r="R53" s="7">
        <f>+[14]Resumen!R53*1000</f>
        <v>251247.35525656969</v>
      </c>
      <c r="S53" s="7">
        <f>+[14]Resumen!S53*1000</f>
        <v>251781.90842196453</v>
      </c>
      <c r="T53" s="7">
        <f>+[14]Resumen!T53*1000</f>
        <v>247183.05181739194</v>
      </c>
      <c r="U53" s="7">
        <f>+[14]Resumen!U53*1000</f>
        <v>244647.44011702412</v>
      </c>
      <c r="V53" s="7">
        <f>+[14]Resumen!V53*1000</f>
        <v>241318.96492253058</v>
      </c>
      <c r="W53" s="7">
        <f>+[14]Resumen!W53*1000</f>
        <v>0</v>
      </c>
      <c r="X53" s="7">
        <f>+[14]Resumen!X53*1000</f>
        <v>0</v>
      </c>
      <c r="Y53" s="7">
        <f>+[14]Resumen!Y53*1000</f>
        <v>0</v>
      </c>
      <c r="Z53" s="7">
        <f>+[14]Resumen!Z53*1000</f>
        <v>0</v>
      </c>
      <c r="AA53" s="7">
        <f>+[14]Resumen!AA53*1000</f>
        <v>0</v>
      </c>
      <c r="AB53" s="7">
        <f>+[14]Resumen!AB53*1000</f>
        <v>0</v>
      </c>
      <c r="AC53" s="7">
        <f>+[14]Resumen!AC53*1000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+[14]Resumen!E54</f>
        <v>2</v>
      </c>
      <c r="F54" s="7">
        <f>+[14]Resumen!F54*1000</f>
        <v>0</v>
      </c>
      <c r="G54" s="7">
        <f>+[14]Resumen!G54*1000</f>
        <v>0</v>
      </c>
      <c r="H54" s="7">
        <f>+[14]Resumen!H54*1000</f>
        <v>0</v>
      </c>
      <c r="I54" s="7">
        <f>+[14]Resumen!I54*1000</f>
        <v>0</v>
      </c>
      <c r="J54" s="7">
        <f>+[14]Resumen!J54*1000</f>
        <v>0</v>
      </c>
      <c r="K54" s="7">
        <f>+[14]Resumen!K54*1000</f>
        <v>0</v>
      </c>
      <c r="L54" s="7">
        <f>+[14]Resumen!L54*1000</f>
        <v>0</v>
      </c>
      <c r="M54" s="7">
        <f>+[14]Resumen!M54*1000</f>
        <v>167671.88600882268</v>
      </c>
      <c r="N54" s="7">
        <f>+[14]Resumen!N54*1000</f>
        <v>181774.11788880828</v>
      </c>
      <c r="O54" s="7">
        <f>+[14]Resumen!O54*1000</f>
        <v>195934.40210482533</v>
      </c>
      <c r="P54" s="7">
        <f>+[14]Resumen!P54*1000</f>
        <v>209545.80494811659</v>
      </c>
      <c r="Q54" s="7">
        <f>+[14]Resumen!Q54*1000</f>
        <v>222502.17224375415</v>
      </c>
      <c r="R54" s="7">
        <f>+[14]Resumen!R54*1000</f>
        <v>232270.15107117131</v>
      </c>
      <c r="S54" s="7">
        <f>+[14]Resumen!S54*1000</f>
        <v>233667.39284399804</v>
      </c>
      <c r="T54" s="7">
        <f>+[14]Resumen!T54*1000</f>
        <v>229936.10686248733</v>
      </c>
      <c r="U54" s="7">
        <f>+[14]Resumen!U54*1000</f>
        <v>228962.48801101724</v>
      </c>
      <c r="V54" s="7">
        <f>+[14]Resumen!V54*1000</f>
        <v>227353.05654843667</v>
      </c>
      <c r="W54" s="7">
        <f>+[14]Resumen!W54*1000</f>
        <v>0</v>
      </c>
      <c r="X54" s="7">
        <f>+[14]Resumen!X54*1000</f>
        <v>0</v>
      </c>
      <c r="Y54" s="7">
        <f>+[14]Resumen!Y54*1000</f>
        <v>0</v>
      </c>
      <c r="Z54" s="7">
        <f>+[14]Resumen!Z54*1000</f>
        <v>0</v>
      </c>
      <c r="AA54" s="7">
        <f>+[14]Resumen!AA54*1000</f>
        <v>0</v>
      </c>
      <c r="AB54" s="7">
        <f>+[14]Resumen!AB54*1000</f>
        <v>0</v>
      </c>
      <c r="AC54" s="7">
        <f>+[14]Resumen!AC54*1000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994861726.70980966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D089-3023-4627-A7E3-195526C1721A}">
  <dimension ref="C1:BD57"/>
  <sheetViews>
    <sheetView showGridLines="0" topLeftCell="A49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12" width="3.6328125" style="1" bestFit="1" customWidth="1"/>
    <col min="13" max="22" width="11.54296875" style="1" customWidth="1"/>
    <col min="23" max="29" width="4.0898437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36328125" style="1" bestFit="1" customWidth="1"/>
    <col min="57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f>+[15]Resumen!E7</f>
        <v>21</v>
      </c>
      <c r="F7" s="7">
        <f>+[15]Resumen!F7*1000</f>
        <v>0</v>
      </c>
      <c r="G7" s="7">
        <f>+[15]Resumen!G7*1000</f>
        <v>0</v>
      </c>
      <c r="H7" s="7">
        <f>+[15]Resumen!H7*1000</f>
        <v>0</v>
      </c>
      <c r="I7" s="7">
        <f>+[15]Resumen!I7*1000</f>
        <v>0</v>
      </c>
      <c r="J7" s="7">
        <f>+[15]Resumen!J7*1000</f>
        <v>0</v>
      </c>
      <c r="K7" s="7">
        <f>+[15]Resumen!K7*1000</f>
        <v>0</v>
      </c>
      <c r="L7" s="7">
        <f>+[15]Resumen!L7*1000</f>
        <v>0</v>
      </c>
      <c r="M7" s="7">
        <f>+[15]Resumen!M7*1000</f>
        <v>231070.45486673983</v>
      </c>
      <c r="N7" s="7">
        <f>+[15]Resumen!N7*1000</f>
        <v>249318.33878894764</v>
      </c>
      <c r="O7" s="7">
        <f>+[15]Resumen!O7*1000</f>
        <v>261365.35442027566</v>
      </c>
      <c r="P7" s="7">
        <f>+[15]Resumen!P7*1000</f>
        <v>277203.9691226125</v>
      </c>
      <c r="Q7" s="7">
        <f>+[15]Resumen!Q7*1000</f>
        <v>290905.78292880993</v>
      </c>
      <c r="R7" s="7">
        <f>+[15]Resumen!R7*1000</f>
        <v>295590.60418946121</v>
      </c>
      <c r="S7" s="7">
        <f>+[15]Resumen!S7*1000</f>
        <v>292849.0391816785</v>
      </c>
      <c r="T7" s="7">
        <f>+[15]Resumen!T7*1000</f>
        <v>294758.06197365443</v>
      </c>
      <c r="U7" s="7">
        <f>+[15]Resumen!U7*1000</f>
        <v>294405.50972461433</v>
      </c>
      <c r="V7" s="7">
        <f>+[15]Resumen!V7*1000</f>
        <v>287913.22868202731</v>
      </c>
      <c r="W7" s="7">
        <f>+[15]Resumen!W7*1000</f>
        <v>0</v>
      </c>
      <c r="X7" s="7">
        <f>+[15]Resumen!X7*1000</f>
        <v>0</v>
      </c>
      <c r="Y7" s="7">
        <f>+[15]Resumen!Y7*1000</f>
        <v>0</v>
      </c>
      <c r="Z7" s="7">
        <f>+[15]Resumen!Z7*1000</f>
        <v>0</v>
      </c>
      <c r="AA7" s="7">
        <f>+[15]Resumen!AA7*1000</f>
        <v>0</v>
      </c>
      <c r="AB7" s="7">
        <f>+[15]Resumen!AB7*1000</f>
        <v>0</v>
      </c>
      <c r="AC7" s="7">
        <f>+[15]Resumen!AC7*1000</f>
        <v>0</v>
      </c>
      <c r="AD7" s="60">
        <f>SUM(F7:AC7)*E7+SUM(F8:AC8)*E8+SUM(F9:AC9)*E9+SUM(F10:AC10)*E10</f>
        <v>81486492.932217717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f>+[15]Resumen!E8</f>
        <v>4</v>
      </c>
      <c r="F8" s="7">
        <f>+[15]Resumen!F8*1000</f>
        <v>0</v>
      </c>
      <c r="G8" s="7">
        <f>+[15]Resumen!G8*1000</f>
        <v>0</v>
      </c>
      <c r="H8" s="7">
        <f>+[15]Resumen!H8*1000</f>
        <v>0</v>
      </c>
      <c r="I8" s="7">
        <f>+[15]Resumen!I8*1000</f>
        <v>0</v>
      </c>
      <c r="J8" s="7">
        <f>+[15]Resumen!J8*1000</f>
        <v>0</v>
      </c>
      <c r="K8" s="7">
        <f>+[15]Resumen!K8*1000</f>
        <v>0</v>
      </c>
      <c r="L8" s="7">
        <f>+[15]Resumen!L8*1000</f>
        <v>0</v>
      </c>
      <c r="M8" s="7">
        <f>+[15]Resumen!M8*1000</f>
        <v>210659.27779102896</v>
      </c>
      <c r="N8" s="7">
        <f>+[15]Resumen!N8*1000</f>
        <v>231898.90087761712</v>
      </c>
      <c r="O8" s="7">
        <f>+[15]Resumen!O8*1000</f>
        <v>247558.65489567386</v>
      </c>
      <c r="P8" s="7">
        <f>+[15]Resumen!P8*1000</f>
        <v>261079.37901673614</v>
      </c>
      <c r="Q8" s="7">
        <f>+[15]Resumen!Q8*1000</f>
        <v>272298.33954405319</v>
      </c>
      <c r="R8" s="7">
        <f>+[15]Resumen!R8*1000</f>
        <v>274748.89934132982</v>
      </c>
      <c r="S8" s="7">
        <f>+[15]Resumen!S8*1000</f>
        <v>269598.19610906218</v>
      </c>
      <c r="T8" s="7">
        <f>+[15]Resumen!T8*1000</f>
        <v>263422.86983917392</v>
      </c>
      <c r="U8" s="7">
        <f>+[15]Resumen!U8*1000</f>
        <v>260227.90900728837</v>
      </c>
      <c r="V8" s="7">
        <f>+[15]Resumen!V8*1000</f>
        <v>256773.72494070715</v>
      </c>
      <c r="W8" s="7">
        <f>+[15]Resumen!W8*1000</f>
        <v>0</v>
      </c>
      <c r="X8" s="7">
        <f>+[15]Resumen!X8*1000</f>
        <v>0</v>
      </c>
      <c r="Y8" s="7">
        <f>+[15]Resumen!Y8*1000</f>
        <v>0</v>
      </c>
      <c r="Z8" s="7">
        <f>+[15]Resumen!Z8*1000</f>
        <v>0</v>
      </c>
      <c r="AA8" s="7">
        <f>+[15]Resumen!AA8*1000</f>
        <v>0</v>
      </c>
      <c r="AB8" s="7">
        <f>+[15]Resumen!AB8*1000</f>
        <v>0</v>
      </c>
      <c r="AC8" s="7">
        <f>+[15]Resumen!AC8*1000</f>
        <v>0</v>
      </c>
      <c r="AD8" s="6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f>+[15]Resumen!E9</f>
        <v>4</v>
      </c>
      <c r="F9" s="7">
        <f>+[15]Resumen!F9*1000</f>
        <v>0</v>
      </c>
      <c r="G9" s="7">
        <f>+[15]Resumen!G9*1000</f>
        <v>0</v>
      </c>
      <c r="H9" s="7">
        <f>+[15]Resumen!H9*1000</f>
        <v>0</v>
      </c>
      <c r="I9" s="7">
        <f>+[15]Resumen!I9*1000</f>
        <v>0</v>
      </c>
      <c r="J9" s="7">
        <f>+[15]Resumen!J9*1000</f>
        <v>0</v>
      </c>
      <c r="K9" s="7">
        <f>+[15]Resumen!K9*1000</f>
        <v>0</v>
      </c>
      <c r="L9" s="7">
        <f>+[15]Resumen!L9*1000</f>
        <v>0</v>
      </c>
      <c r="M9" s="7">
        <f>+[15]Resumen!M9*1000</f>
        <v>177006.56103063808</v>
      </c>
      <c r="N9" s="7">
        <f>+[15]Resumen!N9*1000</f>
        <v>193683.5462038159</v>
      </c>
      <c r="O9" s="7">
        <f>+[15]Resumen!O9*1000</f>
        <v>209003.00747753514</v>
      </c>
      <c r="P9" s="7">
        <f>+[15]Resumen!P9*1000</f>
        <v>221078.87536246775</v>
      </c>
      <c r="Q9" s="7">
        <f>+[15]Resumen!Q9*1000</f>
        <v>234845.17632586419</v>
      </c>
      <c r="R9" s="7">
        <f>+[15]Resumen!R9*1000</f>
        <v>243766.50481232678</v>
      </c>
      <c r="S9" s="7">
        <f>+[15]Resumen!S9*1000</f>
        <v>245625.84500502131</v>
      </c>
      <c r="T9" s="7">
        <f>+[15]Resumen!T9*1000</f>
        <v>241526.46707621397</v>
      </c>
      <c r="U9" s="7">
        <f>+[15]Resumen!U9*1000</f>
        <v>237889.74405808351</v>
      </c>
      <c r="V9" s="7">
        <f>+[15]Resumen!V9*1000</f>
        <v>234458.33239575985</v>
      </c>
      <c r="W9" s="7">
        <f>+[15]Resumen!W9*1000</f>
        <v>0</v>
      </c>
      <c r="X9" s="7">
        <f>+[15]Resumen!X9*1000</f>
        <v>0</v>
      </c>
      <c r="Y9" s="7">
        <f>+[15]Resumen!Y9*1000</f>
        <v>0</v>
      </c>
      <c r="Z9" s="7">
        <f>+[15]Resumen!Z9*1000</f>
        <v>0</v>
      </c>
      <c r="AA9" s="7">
        <f>+[15]Resumen!AA9*1000</f>
        <v>0</v>
      </c>
      <c r="AB9" s="7">
        <f>+[15]Resumen!AB9*1000</f>
        <v>0</v>
      </c>
      <c r="AC9" s="7">
        <f>+[15]Resumen!AC9*1000</f>
        <v>0</v>
      </c>
      <c r="AD9" s="6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f>+[15]Resumen!E10</f>
        <v>2</v>
      </c>
      <c r="F10" s="7">
        <f>+[15]Resumen!F10*1000</f>
        <v>0</v>
      </c>
      <c r="G10" s="7">
        <f>+[15]Resumen!G10*1000</f>
        <v>0</v>
      </c>
      <c r="H10" s="7">
        <f>+[15]Resumen!H10*1000</f>
        <v>0</v>
      </c>
      <c r="I10" s="7">
        <f>+[15]Resumen!I10*1000</f>
        <v>0</v>
      </c>
      <c r="J10" s="7">
        <f>+[15]Resumen!J10*1000</f>
        <v>0</v>
      </c>
      <c r="K10" s="7">
        <f>+[15]Resumen!K10*1000</f>
        <v>0</v>
      </c>
      <c r="L10" s="7">
        <f>+[15]Resumen!L10*1000</f>
        <v>0</v>
      </c>
      <c r="M10" s="7">
        <f>+[15]Resumen!M10*1000</f>
        <v>159763.20171110262</v>
      </c>
      <c r="N10" s="7">
        <f>+[15]Resumen!N10*1000</f>
        <v>171783.39655695594</v>
      </c>
      <c r="O10" s="7">
        <f>+[15]Resumen!O10*1000</f>
        <v>184480.17425468776</v>
      </c>
      <c r="P10" s="7">
        <f>+[15]Resumen!P10*1000</f>
        <v>198022.90560060961</v>
      </c>
      <c r="Q10" s="7">
        <f>+[15]Resumen!Q10*1000</f>
        <v>212434.10308749875</v>
      </c>
      <c r="R10" s="7">
        <f>+[15]Resumen!R10*1000</f>
        <v>222960.4036784122</v>
      </c>
      <c r="S10" s="7">
        <f>+[15]Resumen!S10*1000</f>
        <v>224458.30264944048</v>
      </c>
      <c r="T10" s="7">
        <f>+[15]Resumen!T10*1000</f>
        <v>220997.42742171057</v>
      </c>
      <c r="U10" s="7">
        <f>+[15]Resumen!U10*1000</f>
        <v>217513.23501526038</v>
      </c>
      <c r="V10" s="7">
        <f>+[15]Resumen!V10*1000</f>
        <v>215039.28318475719</v>
      </c>
      <c r="W10" s="7">
        <f>+[15]Resumen!W10*1000</f>
        <v>0</v>
      </c>
      <c r="X10" s="7">
        <f>+[15]Resumen!X10*1000</f>
        <v>0</v>
      </c>
      <c r="Y10" s="7">
        <f>+[15]Resumen!Y10*1000</f>
        <v>0</v>
      </c>
      <c r="Z10" s="7">
        <f>+[15]Resumen!Z10*1000</f>
        <v>0</v>
      </c>
      <c r="AA10" s="7">
        <f>+[15]Resumen!AA10*1000</f>
        <v>0</v>
      </c>
      <c r="AB10" s="7">
        <f>+[15]Resumen!AB10*1000</f>
        <v>0</v>
      </c>
      <c r="AC10" s="7">
        <f>+[15]Resumen!AC10*1000</f>
        <v>0</v>
      </c>
      <c r="AD10" s="6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f>+[15]Resumen!E11</f>
        <v>21</v>
      </c>
      <c r="F11" s="7">
        <f>+[15]Resumen!F11*1000</f>
        <v>0</v>
      </c>
      <c r="G11" s="7">
        <f>+[15]Resumen!G11*1000</f>
        <v>0</v>
      </c>
      <c r="H11" s="7">
        <f>+[15]Resumen!H11*1000</f>
        <v>0</v>
      </c>
      <c r="I11" s="7">
        <f>+[15]Resumen!I11*1000</f>
        <v>0</v>
      </c>
      <c r="J11" s="7">
        <f>+[15]Resumen!J11*1000</f>
        <v>0</v>
      </c>
      <c r="K11" s="7">
        <f>+[15]Resumen!K11*1000</f>
        <v>0</v>
      </c>
      <c r="L11" s="7">
        <f>+[15]Resumen!L11*1000</f>
        <v>0</v>
      </c>
      <c r="M11" s="7">
        <f>+[15]Resumen!M11*1000</f>
        <v>251850.34652698145</v>
      </c>
      <c r="N11" s="7">
        <f>+[15]Resumen!N11*1000</f>
        <v>267295.11008570524</v>
      </c>
      <c r="O11" s="7">
        <f>+[15]Resumen!O11*1000</f>
        <v>277567.53953912528</v>
      </c>
      <c r="P11" s="7">
        <f>+[15]Resumen!P11*1000</f>
        <v>293366.40441931173</v>
      </c>
      <c r="Q11" s="7">
        <f>+[15]Resumen!Q11*1000</f>
        <v>306164.69314478769</v>
      </c>
      <c r="R11" s="7">
        <f>+[15]Resumen!R11*1000</f>
        <v>306906.72170740459</v>
      </c>
      <c r="S11" s="7">
        <f>+[15]Resumen!S11*1000</f>
        <v>303228.58335435786</v>
      </c>
      <c r="T11" s="7">
        <f>+[15]Resumen!T11*1000</f>
        <v>305508.1255561838</v>
      </c>
      <c r="U11" s="7">
        <f>+[15]Resumen!U11*1000</f>
        <v>305845.35550363752</v>
      </c>
      <c r="V11" s="7">
        <f>+[15]Resumen!V11*1000</f>
        <v>299761.8923473449</v>
      </c>
      <c r="W11" s="7">
        <f>+[15]Resumen!W11*1000</f>
        <v>0</v>
      </c>
      <c r="X11" s="7">
        <f>+[15]Resumen!X11*1000</f>
        <v>0</v>
      </c>
      <c r="Y11" s="7">
        <f>+[15]Resumen!Y11*1000</f>
        <v>0</v>
      </c>
      <c r="Z11" s="7">
        <f>+[15]Resumen!Z11*1000</f>
        <v>0</v>
      </c>
      <c r="AA11" s="7">
        <f>+[15]Resumen!AA11*1000</f>
        <v>0</v>
      </c>
      <c r="AB11" s="7">
        <f>+[15]Resumen!AB11*1000</f>
        <v>0</v>
      </c>
      <c r="AC11" s="7">
        <f>+[15]Resumen!AC11*1000</f>
        <v>0</v>
      </c>
      <c r="AD11" s="60">
        <f>SUM(F11:AC11)*E11+SUM(F12:AC12)*E12+SUM(F13:AC13)*E13+SUM(F14:AC14)*E14</f>
        <v>81899970.137258351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f>+[15]Resumen!E12</f>
        <v>4</v>
      </c>
      <c r="F12" s="7">
        <f>+[15]Resumen!F12*1000</f>
        <v>0</v>
      </c>
      <c r="G12" s="7">
        <f>+[15]Resumen!G12*1000</f>
        <v>0</v>
      </c>
      <c r="H12" s="7">
        <f>+[15]Resumen!H12*1000</f>
        <v>0</v>
      </c>
      <c r="I12" s="7">
        <f>+[15]Resumen!I12*1000</f>
        <v>0</v>
      </c>
      <c r="J12" s="7">
        <f>+[15]Resumen!J12*1000</f>
        <v>0</v>
      </c>
      <c r="K12" s="7">
        <f>+[15]Resumen!K12*1000</f>
        <v>0</v>
      </c>
      <c r="L12" s="7">
        <f>+[15]Resumen!L12*1000</f>
        <v>0</v>
      </c>
      <c r="M12" s="7">
        <f>+[15]Resumen!M12*1000</f>
        <v>232717.368366943</v>
      </c>
      <c r="N12" s="7">
        <f>+[15]Resumen!N12*1000</f>
        <v>256631.28929092159</v>
      </c>
      <c r="O12" s="7">
        <f>+[15]Resumen!O12*1000</f>
        <v>271781.68126564648</v>
      </c>
      <c r="P12" s="7">
        <f>+[15]Resumen!P12*1000</f>
        <v>285888.02129977563</v>
      </c>
      <c r="Q12" s="7">
        <f>+[15]Resumen!Q12*1000</f>
        <v>294447.89193023724</v>
      </c>
      <c r="R12" s="7">
        <f>+[15]Resumen!R12*1000</f>
        <v>294634.42312212387</v>
      </c>
      <c r="S12" s="7">
        <f>+[15]Resumen!S12*1000</f>
        <v>287205.3400121702</v>
      </c>
      <c r="T12" s="7">
        <f>+[15]Resumen!T12*1000</f>
        <v>280009.17293652258</v>
      </c>
      <c r="U12" s="7">
        <f>+[15]Resumen!U12*1000</f>
        <v>277236.75331709103</v>
      </c>
      <c r="V12" s="7">
        <f>+[15]Resumen!V12*1000</f>
        <v>273852.40642561927</v>
      </c>
      <c r="W12" s="7">
        <f>+[15]Resumen!W12*1000</f>
        <v>0</v>
      </c>
      <c r="X12" s="7">
        <f>+[15]Resumen!X12*1000</f>
        <v>0</v>
      </c>
      <c r="Y12" s="7">
        <f>+[15]Resumen!Y12*1000</f>
        <v>0</v>
      </c>
      <c r="Z12" s="7">
        <f>+[15]Resumen!Z12*1000</f>
        <v>0</v>
      </c>
      <c r="AA12" s="7">
        <f>+[15]Resumen!AA12*1000</f>
        <v>0</v>
      </c>
      <c r="AB12" s="7">
        <f>+[15]Resumen!AB12*1000</f>
        <v>0</v>
      </c>
      <c r="AC12" s="7">
        <f>+[15]Resumen!AC12*1000</f>
        <v>0</v>
      </c>
      <c r="AD12" s="6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f>+[15]Resumen!E13</f>
        <v>4</v>
      </c>
      <c r="F13" s="7">
        <f>+[15]Resumen!F13*1000</f>
        <v>0</v>
      </c>
      <c r="G13" s="7">
        <f>+[15]Resumen!G13*1000</f>
        <v>0</v>
      </c>
      <c r="H13" s="7">
        <f>+[15]Resumen!H13*1000</f>
        <v>0</v>
      </c>
      <c r="I13" s="7">
        <f>+[15]Resumen!I13*1000</f>
        <v>0</v>
      </c>
      <c r="J13" s="7">
        <f>+[15]Resumen!J13*1000</f>
        <v>0</v>
      </c>
      <c r="K13" s="7">
        <f>+[15]Resumen!K13*1000</f>
        <v>0</v>
      </c>
      <c r="L13" s="7">
        <f>+[15]Resumen!L13*1000</f>
        <v>0</v>
      </c>
      <c r="M13" s="7">
        <f>+[15]Resumen!M13*1000</f>
        <v>191278.10703951857</v>
      </c>
      <c r="N13" s="7">
        <f>+[15]Resumen!N13*1000</f>
        <v>209795.59610059089</v>
      </c>
      <c r="O13" s="7">
        <f>+[15]Resumen!O13*1000</f>
        <v>225506.05157093189</v>
      </c>
      <c r="P13" s="7">
        <f>+[15]Resumen!P13*1000</f>
        <v>238786.94185372855</v>
      </c>
      <c r="Q13" s="7">
        <f>+[15]Resumen!Q13*1000</f>
        <v>253103.94534086683</v>
      </c>
      <c r="R13" s="7">
        <f>+[15]Resumen!R13*1000</f>
        <v>261846.44017384329</v>
      </c>
      <c r="S13" s="7">
        <f>+[15]Resumen!S13*1000</f>
        <v>262294.09715246124</v>
      </c>
      <c r="T13" s="7">
        <f>+[15]Resumen!T13*1000</f>
        <v>257564.61478232767</v>
      </c>
      <c r="U13" s="7">
        <f>+[15]Resumen!U13*1000</f>
        <v>253754.15445501675</v>
      </c>
      <c r="V13" s="7">
        <f>+[15]Resumen!V13*1000</f>
        <v>249810.68390784162</v>
      </c>
      <c r="W13" s="7">
        <f>+[15]Resumen!W13*1000</f>
        <v>0</v>
      </c>
      <c r="X13" s="7">
        <f>+[15]Resumen!X13*1000</f>
        <v>0</v>
      </c>
      <c r="Y13" s="7">
        <f>+[15]Resumen!Y13*1000</f>
        <v>0</v>
      </c>
      <c r="Z13" s="7">
        <f>+[15]Resumen!Z13*1000</f>
        <v>0</v>
      </c>
      <c r="AA13" s="7">
        <f>+[15]Resumen!AA13*1000</f>
        <v>0</v>
      </c>
      <c r="AB13" s="7">
        <f>+[15]Resumen!AB13*1000</f>
        <v>0</v>
      </c>
      <c r="AC13" s="7">
        <f>+[15]Resumen!AC13*1000</f>
        <v>0</v>
      </c>
      <c r="AD13" s="6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f>+[15]Resumen!E14</f>
        <v>0</v>
      </c>
      <c r="F14" s="7">
        <f>+[15]Resumen!F14*1000</f>
        <v>0</v>
      </c>
      <c r="G14" s="7">
        <f>+[15]Resumen!G14*1000</f>
        <v>0</v>
      </c>
      <c r="H14" s="7">
        <f>+[15]Resumen!H14*1000</f>
        <v>0</v>
      </c>
      <c r="I14" s="7">
        <f>+[15]Resumen!I14*1000</f>
        <v>0</v>
      </c>
      <c r="J14" s="7">
        <f>+[15]Resumen!J14*1000</f>
        <v>0</v>
      </c>
      <c r="K14" s="7">
        <f>+[15]Resumen!K14*1000</f>
        <v>0</v>
      </c>
      <c r="L14" s="7">
        <f>+[15]Resumen!L14*1000</f>
        <v>0</v>
      </c>
      <c r="M14" s="7">
        <f>+[15]Resumen!M14*1000</f>
        <v>0</v>
      </c>
      <c r="N14" s="7">
        <f>+[15]Resumen!N14*1000</f>
        <v>0</v>
      </c>
      <c r="O14" s="7">
        <f>+[15]Resumen!O14*1000</f>
        <v>0</v>
      </c>
      <c r="P14" s="7">
        <f>+[15]Resumen!P14*1000</f>
        <v>0</v>
      </c>
      <c r="Q14" s="7">
        <f>+[15]Resumen!Q14*1000</f>
        <v>0</v>
      </c>
      <c r="R14" s="7">
        <f>+[15]Resumen!R14*1000</f>
        <v>0</v>
      </c>
      <c r="S14" s="7">
        <f>+[15]Resumen!S14*1000</f>
        <v>0</v>
      </c>
      <c r="T14" s="7">
        <f>+[15]Resumen!T14*1000</f>
        <v>0</v>
      </c>
      <c r="U14" s="7">
        <f>+[15]Resumen!U14*1000</f>
        <v>0</v>
      </c>
      <c r="V14" s="7">
        <f>+[15]Resumen!V14*1000</f>
        <v>0</v>
      </c>
      <c r="W14" s="7">
        <f>+[15]Resumen!W14*1000</f>
        <v>0</v>
      </c>
      <c r="X14" s="7">
        <f>+[15]Resumen!X14*1000</f>
        <v>0</v>
      </c>
      <c r="Y14" s="7">
        <f>+[15]Resumen!Y14*1000</f>
        <v>0</v>
      </c>
      <c r="Z14" s="7">
        <f>+[15]Resumen!Z14*1000</f>
        <v>0</v>
      </c>
      <c r="AA14" s="7">
        <f>+[15]Resumen!AA14*1000</f>
        <v>0</v>
      </c>
      <c r="AB14" s="7">
        <f>+[15]Resumen!AB14*1000</f>
        <v>0</v>
      </c>
      <c r="AC14" s="7">
        <f>+[15]Resumen!AC14*1000</f>
        <v>0</v>
      </c>
      <c r="AD14" s="6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f>+[15]Resumen!E15</f>
        <v>19</v>
      </c>
      <c r="F15" s="7">
        <f>+[15]Resumen!F15*1000</f>
        <v>0</v>
      </c>
      <c r="G15" s="7">
        <f>+[15]Resumen!G15*1000</f>
        <v>0</v>
      </c>
      <c r="H15" s="7">
        <f>+[15]Resumen!H15*1000</f>
        <v>0</v>
      </c>
      <c r="I15" s="7">
        <f>+[15]Resumen!I15*1000</f>
        <v>0</v>
      </c>
      <c r="J15" s="7">
        <f>+[15]Resumen!J15*1000</f>
        <v>0</v>
      </c>
      <c r="K15" s="7">
        <f>+[15]Resumen!K15*1000</f>
        <v>0</v>
      </c>
      <c r="L15" s="7">
        <f>+[15]Resumen!L15*1000</f>
        <v>0</v>
      </c>
      <c r="M15" s="7">
        <f>+[15]Resumen!M15*1000</f>
        <v>240061.89083625138</v>
      </c>
      <c r="N15" s="7">
        <f>+[15]Resumen!N15*1000</f>
        <v>254610.12405201147</v>
      </c>
      <c r="O15" s="7">
        <f>+[15]Resumen!O15*1000</f>
        <v>264323.88937322533</v>
      </c>
      <c r="P15" s="7">
        <f>+[15]Resumen!P15*1000</f>
        <v>279373.26103308075</v>
      </c>
      <c r="Q15" s="7">
        <f>+[15]Resumen!Q15*1000</f>
        <v>291570.66144690773</v>
      </c>
      <c r="R15" s="7">
        <f>+[15]Resumen!R15*1000</f>
        <v>292843.06745550723</v>
      </c>
      <c r="S15" s="7">
        <f>+[15]Resumen!S15*1000</f>
        <v>289284.40521172283</v>
      </c>
      <c r="T15" s="7">
        <f>+[15]Resumen!T15*1000</f>
        <v>291266.81245069124</v>
      </c>
      <c r="U15" s="7">
        <f>+[15]Resumen!U15*1000</f>
        <v>290755.18605854304</v>
      </c>
      <c r="V15" s="7">
        <f>+[15]Resumen!V15*1000</f>
        <v>285131.12580048584</v>
      </c>
      <c r="W15" s="7">
        <f>+[15]Resumen!W15*1000</f>
        <v>0</v>
      </c>
      <c r="X15" s="7">
        <f>+[15]Resumen!X15*1000</f>
        <v>0</v>
      </c>
      <c r="Y15" s="7">
        <f>+[15]Resumen!Y15*1000</f>
        <v>0</v>
      </c>
      <c r="Z15" s="7">
        <f>+[15]Resumen!Z15*1000</f>
        <v>0</v>
      </c>
      <c r="AA15" s="7">
        <f>+[15]Resumen!AA15*1000</f>
        <v>0</v>
      </c>
      <c r="AB15" s="7">
        <f>+[15]Resumen!AB15*1000</f>
        <v>0</v>
      </c>
      <c r="AC15" s="7">
        <f>+[15]Resumen!AC15*1000</f>
        <v>0</v>
      </c>
      <c r="AD15" s="60">
        <f t="shared" ref="AD15" si="0">SUM(F15:AC15)*E15+SUM(F16:AC16)*E16+SUM(F17:AC17)*E17+SUM(F18:AC18)*E18</f>
        <v>82121241.808719039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f>+[15]Resumen!E16</f>
        <v>5</v>
      </c>
      <c r="F16" s="7">
        <f>+[15]Resumen!F16*1000</f>
        <v>0</v>
      </c>
      <c r="G16" s="7">
        <f>+[15]Resumen!G16*1000</f>
        <v>0</v>
      </c>
      <c r="H16" s="7">
        <f>+[15]Resumen!H16*1000</f>
        <v>0</v>
      </c>
      <c r="I16" s="7">
        <f>+[15]Resumen!I16*1000</f>
        <v>0</v>
      </c>
      <c r="J16" s="7">
        <f>+[15]Resumen!J16*1000</f>
        <v>0</v>
      </c>
      <c r="K16" s="7">
        <f>+[15]Resumen!K16*1000</f>
        <v>0</v>
      </c>
      <c r="L16" s="7">
        <f>+[15]Resumen!L16*1000</f>
        <v>0</v>
      </c>
      <c r="M16" s="7">
        <f>+[15]Resumen!M16*1000</f>
        <v>221887.42047112185</v>
      </c>
      <c r="N16" s="7">
        <f>+[15]Resumen!N16*1000</f>
        <v>243373.08200283319</v>
      </c>
      <c r="O16" s="7">
        <f>+[15]Resumen!O16*1000</f>
        <v>257197.57818631371</v>
      </c>
      <c r="P16" s="7">
        <f>+[15]Resumen!P16*1000</f>
        <v>270323.92718221858</v>
      </c>
      <c r="Q16" s="7">
        <f>+[15]Resumen!Q16*1000</f>
        <v>280220.70137493807</v>
      </c>
      <c r="R16" s="7">
        <f>+[15]Resumen!R16*1000</f>
        <v>280963.76126630878</v>
      </c>
      <c r="S16" s="7">
        <f>+[15]Resumen!S16*1000</f>
        <v>275074.3729727068</v>
      </c>
      <c r="T16" s="7">
        <f>+[15]Resumen!T16*1000</f>
        <v>269060.58272746811</v>
      </c>
      <c r="U16" s="7">
        <f>+[15]Resumen!U16*1000</f>
        <v>265141.04690869036</v>
      </c>
      <c r="V16" s="7">
        <f>+[15]Resumen!V16*1000</f>
        <v>261448.59886918459</v>
      </c>
      <c r="W16" s="7">
        <f>+[15]Resumen!W16*1000</f>
        <v>0</v>
      </c>
      <c r="X16" s="7">
        <f>+[15]Resumen!X16*1000</f>
        <v>0</v>
      </c>
      <c r="Y16" s="7">
        <f>+[15]Resumen!Y16*1000</f>
        <v>0</v>
      </c>
      <c r="Z16" s="7">
        <f>+[15]Resumen!Z16*1000</f>
        <v>0</v>
      </c>
      <c r="AA16" s="7">
        <f>+[15]Resumen!AA16*1000</f>
        <v>0</v>
      </c>
      <c r="AB16" s="7">
        <f>+[15]Resumen!AB16*1000</f>
        <v>0</v>
      </c>
      <c r="AC16" s="7">
        <f>+[15]Resumen!AC16*1000</f>
        <v>0</v>
      </c>
      <c r="AD16" s="6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f>+[15]Resumen!E17</f>
        <v>4</v>
      </c>
      <c r="F17" s="7">
        <f>+[15]Resumen!F17*1000</f>
        <v>0</v>
      </c>
      <c r="G17" s="7">
        <f>+[15]Resumen!G17*1000</f>
        <v>0</v>
      </c>
      <c r="H17" s="7">
        <f>+[15]Resumen!H17*1000</f>
        <v>0</v>
      </c>
      <c r="I17" s="7">
        <f>+[15]Resumen!I17*1000</f>
        <v>0</v>
      </c>
      <c r="J17" s="7">
        <f>+[15]Resumen!J17*1000</f>
        <v>0</v>
      </c>
      <c r="K17" s="7">
        <f>+[15]Resumen!K17*1000</f>
        <v>0</v>
      </c>
      <c r="L17" s="7">
        <f>+[15]Resumen!L17*1000</f>
        <v>0</v>
      </c>
      <c r="M17" s="7">
        <f>+[15]Resumen!M17*1000</f>
        <v>181249.05661695529</v>
      </c>
      <c r="N17" s="7">
        <f>+[15]Resumen!N17*1000</f>
        <v>199174.50891175153</v>
      </c>
      <c r="O17" s="7">
        <f>+[15]Resumen!O17*1000</f>
        <v>213004.06193299266</v>
      </c>
      <c r="P17" s="7">
        <f>+[15]Resumen!P17*1000</f>
        <v>225066.14203371861</v>
      </c>
      <c r="Q17" s="7">
        <f>+[15]Resumen!Q17*1000</f>
        <v>237705.25473078611</v>
      </c>
      <c r="R17" s="7">
        <f>+[15]Resumen!R17*1000</f>
        <v>245774.23782593527</v>
      </c>
      <c r="S17" s="7">
        <f>+[15]Resumen!S17*1000</f>
        <v>246282.54774759494</v>
      </c>
      <c r="T17" s="7">
        <f>+[15]Resumen!T17*1000</f>
        <v>242216.66097249251</v>
      </c>
      <c r="U17" s="7">
        <f>+[15]Resumen!U17*1000</f>
        <v>239295.77991551621</v>
      </c>
      <c r="V17" s="7">
        <f>+[15]Resumen!V17*1000</f>
        <v>236042.4845509931</v>
      </c>
      <c r="W17" s="7">
        <f>+[15]Resumen!W17*1000</f>
        <v>0</v>
      </c>
      <c r="X17" s="7">
        <f>+[15]Resumen!X17*1000</f>
        <v>0</v>
      </c>
      <c r="Y17" s="7">
        <f>+[15]Resumen!Y17*1000</f>
        <v>0</v>
      </c>
      <c r="Z17" s="7">
        <f>+[15]Resumen!Z17*1000</f>
        <v>0</v>
      </c>
      <c r="AA17" s="7">
        <f>+[15]Resumen!AA17*1000</f>
        <v>0</v>
      </c>
      <c r="AB17" s="7">
        <f>+[15]Resumen!AB17*1000</f>
        <v>0</v>
      </c>
      <c r="AC17" s="7">
        <f>+[15]Resumen!AC17*1000</f>
        <v>0</v>
      </c>
      <c r="AD17" s="6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f>+[15]Resumen!E18</f>
        <v>3</v>
      </c>
      <c r="F18" s="7">
        <f>+[15]Resumen!F18*1000</f>
        <v>0</v>
      </c>
      <c r="G18" s="7">
        <f>+[15]Resumen!G18*1000</f>
        <v>0</v>
      </c>
      <c r="H18" s="7">
        <f>+[15]Resumen!H18*1000</f>
        <v>0</v>
      </c>
      <c r="I18" s="7">
        <f>+[15]Resumen!I18*1000</f>
        <v>0</v>
      </c>
      <c r="J18" s="7">
        <f>+[15]Resumen!J18*1000</f>
        <v>0</v>
      </c>
      <c r="K18" s="7">
        <f>+[15]Resumen!K18*1000</f>
        <v>0</v>
      </c>
      <c r="L18" s="7">
        <f>+[15]Resumen!L18*1000</f>
        <v>0</v>
      </c>
      <c r="M18" s="7">
        <f>+[15]Resumen!M18*1000</f>
        <v>188487.68491131582</v>
      </c>
      <c r="N18" s="7">
        <f>+[15]Resumen!N18*1000</f>
        <v>206017.61015327397</v>
      </c>
      <c r="O18" s="7">
        <f>+[15]Resumen!O18*1000</f>
        <v>221761.40083043172</v>
      </c>
      <c r="P18" s="7">
        <f>+[15]Resumen!P18*1000</f>
        <v>236457.9145853463</v>
      </c>
      <c r="Q18" s="7">
        <f>+[15]Resumen!Q18*1000</f>
        <v>253015.82911117113</v>
      </c>
      <c r="R18" s="7">
        <f>+[15]Resumen!R18*1000</f>
        <v>261592.95786392441</v>
      </c>
      <c r="S18" s="7">
        <f>+[15]Resumen!S18*1000</f>
        <v>258876.71863078169</v>
      </c>
      <c r="T18" s="7">
        <f>+[15]Resumen!T18*1000</f>
        <v>253131.92429189762</v>
      </c>
      <c r="U18" s="7">
        <f>+[15]Resumen!U18*1000</f>
        <v>249612.90374708787</v>
      </c>
      <c r="V18" s="7">
        <f>+[15]Resumen!V18*1000</f>
        <v>247496.87497645363</v>
      </c>
      <c r="W18" s="7">
        <f>+[15]Resumen!W18*1000</f>
        <v>0</v>
      </c>
      <c r="X18" s="7">
        <f>+[15]Resumen!X18*1000</f>
        <v>0</v>
      </c>
      <c r="Y18" s="7">
        <f>+[15]Resumen!Y18*1000</f>
        <v>0</v>
      </c>
      <c r="Z18" s="7">
        <f>+[15]Resumen!Z18*1000</f>
        <v>0</v>
      </c>
      <c r="AA18" s="7">
        <f>+[15]Resumen!AA18*1000</f>
        <v>0</v>
      </c>
      <c r="AB18" s="7">
        <f>+[15]Resumen!AB18*1000</f>
        <v>0</v>
      </c>
      <c r="AC18" s="7">
        <f>+[15]Resumen!AC18*1000</f>
        <v>0</v>
      </c>
      <c r="AD18" s="6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f>+[15]Resumen!E19</f>
        <v>21</v>
      </c>
      <c r="F19" s="7">
        <f>+[15]Resumen!F19*1000</f>
        <v>0</v>
      </c>
      <c r="G19" s="7">
        <f>+[15]Resumen!G19*1000</f>
        <v>0</v>
      </c>
      <c r="H19" s="7">
        <f>+[15]Resumen!H19*1000</f>
        <v>0</v>
      </c>
      <c r="I19" s="7">
        <f>+[15]Resumen!I19*1000</f>
        <v>0</v>
      </c>
      <c r="J19" s="7">
        <f>+[15]Resumen!J19*1000</f>
        <v>0</v>
      </c>
      <c r="K19" s="7">
        <f>+[15]Resumen!K19*1000</f>
        <v>0</v>
      </c>
      <c r="L19" s="7">
        <f>+[15]Resumen!L19*1000</f>
        <v>0</v>
      </c>
      <c r="M19" s="7">
        <f>+[15]Resumen!M19*1000</f>
        <v>244026.93819487464</v>
      </c>
      <c r="N19" s="7">
        <f>+[15]Resumen!N19*1000</f>
        <v>259687.33263481886</v>
      </c>
      <c r="O19" s="7">
        <f>+[15]Resumen!O19*1000</f>
        <v>270475.83400634612</v>
      </c>
      <c r="P19" s="7">
        <f>+[15]Resumen!P19*1000</f>
        <v>285879.97028176201</v>
      </c>
      <c r="Q19" s="7">
        <f>+[15]Resumen!Q19*1000</f>
        <v>299053.25305313268</v>
      </c>
      <c r="R19" s="7">
        <f>+[15]Resumen!R19*1000</f>
        <v>301451.28370059567</v>
      </c>
      <c r="S19" s="7">
        <f>+[15]Resumen!S19*1000</f>
        <v>297631.58715892094</v>
      </c>
      <c r="T19" s="7">
        <f>+[15]Resumen!T19*1000</f>
        <v>299420.29588702216</v>
      </c>
      <c r="U19" s="7">
        <f>+[15]Resumen!U19*1000</f>
        <v>299163.50958236586</v>
      </c>
      <c r="V19" s="7">
        <f>+[15]Resumen!V19*1000</f>
        <v>292844.21106602054</v>
      </c>
      <c r="W19" s="7">
        <f>+[15]Resumen!W19*1000</f>
        <v>0</v>
      </c>
      <c r="X19" s="7">
        <f>+[15]Resumen!X19*1000</f>
        <v>0</v>
      </c>
      <c r="Y19" s="7">
        <f>+[15]Resumen!Y19*1000</f>
        <v>0</v>
      </c>
      <c r="Z19" s="7">
        <f>+[15]Resumen!Z19*1000</f>
        <v>0</v>
      </c>
      <c r="AA19" s="7">
        <f>+[15]Resumen!AA19*1000</f>
        <v>0</v>
      </c>
      <c r="AB19" s="7">
        <f>+[15]Resumen!AB19*1000</f>
        <v>0</v>
      </c>
      <c r="AC19" s="7">
        <f>+[15]Resumen!AC19*1000</f>
        <v>0</v>
      </c>
      <c r="AD19" s="60">
        <f t="shared" ref="AD19" si="1">SUM(F19:AC19)*E19+SUM(F20:AC20)*E20+SUM(F21:AC21)*E21+SUM(F22:AC22)*E22</f>
        <v>82042848.316488862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f>+[15]Resumen!E20</f>
        <v>4</v>
      </c>
      <c r="F20" s="7">
        <f>+[15]Resumen!F20*1000</f>
        <v>0</v>
      </c>
      <c r="G20" s="7">
        <f>+[15]Resumen!G20*1000</f>
        <v>0</v>
      </c>
      <c r="H20" s="7">
        <f>+[15]Resumen!H20*1000</f>
        <v>0</v>
      </c>
      <c r="I20" s="7">
        <f>+[15]Resumen!I20*1000</f>
        <v>0</v>
      </c>
      <c r="J20" s="7">
        <f>+[15]Resumen!J20*1000</f>
        <v>0</v>
      </c>
      <c r="K20" s="7">
        <f>+[15]Resumen!K20*1000</f>
        <v>0</v>
      </c>
      <c r="L20" s="7">
        <f>+[15]Resumen!L20*1000</f>
        <v>0</v>
      </c>
      <c r="M20" s="7">
        <f>+[15]Resumen!M20*1000</f>
        <v>218338.36455564911</v>
      </c>
      <c r="N20" s="7">
        <f>+[15]Resumen!N20*1000</f>
        <v>239788.87565876538</v>
      </c>
      <c r="O20" s="7">
        <f>+[15]Resumen!O20*1000</f>
        <v>254520.08447736155</v>
      </c>
      <c r="P20" s="7">
        <f>+[15]Resumen!P20*1000</f>
        <v>267540.37919284665</v>
      </c>
      <c r="Q20" s="7">
        <f>+[15]Resumen!Q20*1000</f>
        <v>277226.93698030326</v>
      </c>
      <c r="R20" s="7">
        <f>+[15]Resumen!R20*1000</f>
        <v>279598.37140581053</v>
      </c>
      <c r="S20" s="7">
        <f>+[15]Resumen!S20*1000</f>
        <v>275271.03863303299</v>
      </c>
      <c r="T20" s="7">
        <f>+[15]Resumen!T20*1000</f>
        <v>269928.68291307118</v>
      </c>
      <c r="U20" s="7">
        <f>+[15]Resumen!U20*1000</f>
        <v>268311.12693439022</v>
      </c>
      <c r="V20" s="7">
        <f>+[15]Resumen!V20*1000</f>
        <v>266031.9091020918</v>
      </c>
      <c r="W20" s="7">
        <f>+[15]Resumen!W20*1000</f>
        <v>0</v>
      </c>
      <c r="X20" s="7">
        <f>+[15]Resumen!X20*1000</f>
        <v>0</v>
      </c>
      <c r="Y20" s="7">
        <f>+[15]Resumen!Y20*1000</f>
        <v>0</v>
      </c>
      <c r="Z20" s="7">
        <f>+[15]Resumen!Z20*1000</f>
        <v>0</v>
      </c>
      <c r="AA20" s="7">
        <f>+[15]Resumen!AA20*1000</f>
        <v>0</v>
      </c>
      <c r="AB20" s="7">
        <f>+[15]Resumen!AB20*1000</f>
        <v>0</v>
      </c>
      <c r="AC20" s="7">
        <f>+[15]Resumen!AC20*1000</f>
        <v>0</v>
      </c>
      <c r="AD20" s="6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f>+[15]Resumen!E21</f>
        <v>5</v>
      </c>
      <c r="F21" s="7">
        <f>+[15]Resumen!F21*1000</f>
        <v>0</v>
      </c>
      <c r="G21" s="7">
        <f>+[15]Resumen!G21*1000</f>
        <v>0</v>
      </c>
      <c r="H21" s="7">
        <f>+[15]Resumen!H21*1000</f>
        <v>0</v>
      </c>
      <c r="I21" s="7">
        <f>+[15]Resumen!I21*1000</f>
        <v>0</v>
      </c>
      <c r="J21" s="7">
        <f>+[15]Resumen!J21*1000</f>
        <v>0</v>
      </c>
      <c r="K21" s="7">
        <f>+[15]Resumen!K21*1000</f>
        <v>0</v>
      </c>
      <c r="L21" s="7">
        <f>+[15]Resumen!L21*1000</f>
        <v>0</v>
      </c>
      <c r="M21" s="7">
        <f>+[15]Resumen!M21*1000</f>
        <v>188342.49004125546</v>
      </c>
      <c r="N21" s="7">
        <f>+[15]Resumen!N21*1000</f>
        <v>206930.36728977546</v>
      </c>
      <c r="O21" s="7">
        <f>+[15]Resumen!O21*1000</f>
        <v>222415.73733888875</v>
      </c>
      <c r="P21" s="7">
        <f>+[15]Resumen!P21*1000</f>
        <v>233751.95745036402</v>
      </c>
      <c r="Q21" s="7">
        <f>+[15]Resumen!Q21*1000</f>
        <v>244764.24884430115</v>
      </c>
      <c r="R21" s="7">
        <f>+[15]Resumen!R21*1000</f>
        <v>252528.38696244141</v>
      </c>
      <c r="S21" s="7">
        <f>+[15]Resumen!S21*1000</f>
        <v>253729.43375430288</v>
      </c>
      <c r="T21" s="7">
        <f>+[15]Resumen!T21*1000</f>
        <v>251169.27032543166</v>
      </c>
      <c r="U21" s="7">
        <f>+[15]Resumen!U21*1000</f>
        <v>248269.42754331636</v>
      </c>
      <c r="V21" s="7">
        <f>+[15]Resumen!V21*1000</f>
        <v>244960.02248842706</v>
      </c>
      <c r="W21" s="7">
        <f>+[15]Resumen!W21*1000</f>
        <v>0</v>
      </c>
      <c r="X21" s="7">
        <f>+[15]Resumen!X21*1000</f>
        <v>0</v>
      </c>
      <c r="Y21" s="7">
        <f>+[15]Resumen!Y21*1000</f>
        <v>0</v>
      </c>
      <c r="Z21" s="7">
        <f>+[15]Resumen!Z21*1000</f>
        <v>0</v>
      </c>
      <c r="AA21" s="7">
        <f>+[15]Resumen!AA21*1000</f>
        <v>0</v>
      </c>
      <c r="AB21" s="7">
        <f>+[15]Resumen!AB21*1000</f>
        <v>0</v>
      </c>
      <c r="AC21" s="7">
        <f>+[15]Resumen!AC21*1000</f>
        <v>0</v>
      </c>
      <c r="AD21" s="6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f>+[15]Resumen!E22</f>
        <v>0</v>
      </c>
      <c r="F22" s="7">
        <f>+[15]Resumen!F22*1000</f>
        <v>0</v>
      </c>
      <c r="G22" s="7">
        <f>+[15]Resumen!G22*1000</f>
        <v>0</v>
      </c>
      <c r="H22" s="7">
        <f>+[15]Resumen!H22*1000</f>
        <v>0</v>
      </c>
      <c r="I22" s="7">
        <f>+[15]Resumen!I22*1000</f>
        <v>0</v>
      </c>
      <c r="J22" s="7">
        <f>+[15]Resumen!J22*1000</f>
        <v>0</v>
      </c>
      <c r="K22" s="7">
        <f>+[15]Resumen!K22*1000</f>
        <v>0</v>
      </c>
      <c r="L22" s="7">
        <f>+[15]Resumen!L22*1000</f>
        <v>0</v>
      </c>
      <c r="M22" s="7">
        <f>+[15]Resumen!M22*1000</f>
        <v>189866.3406537683</v>
      </c>
      <c r="N22" s="7">
        <f>+[15]Resumen!N22*1000</f>
        <v>206417.56817702812</v>
      </c>
      <c r="O22" s="7">
        <f>+[15]Resumen!O22*1000</f>
        <v>216274.26194019415</v>
      </c>
      <c r="P22" s="7">
        <f>+[15]Resumen!P22*1000</f>
        <v>221993.70763222795</v>
      </c>
      <c r="Q22" s="7">
        <f>+[15]Resumen!Q22*1000</f>
        <v>235036.92030239961</v>
      </c>
      <c r="R22" s="7">
        <f>+[15]Resumen!R22*1000</f>
        <v>246611.48755847316</v>
      </c>
      <c r="S22" s="7">
        <f>+[15]Resumen!S22*1000</f>
        <v>245551.76399526157</v>
      </c>
      <c r="T22" s="7">
        <f>+[15]Resumen!T22*1000</f>
        <v>240836.9822184536</v>
      </c>
      <c r="U22" s="7">
        <f>+[15]Resumen!U22*1000</f>
        <v>237814.93321688709</v>
      </c>
      <c r="V22" s="7">
        <f>+[15]Resumen!V22*1000</f>
        <v>237548.44493649431</v>
      </c>
      <c r="W22" s="7">
        <f>+[15]Resumen!W22*1000</f>
        <v>0</v>
      </c>
      <c r="X22" s="7">
        <f>+[15]Resumen!X22*1000</f>
        <v>0</v>
      </c>
      <c r="Y22" s="7">
        <f>+[15]Resumen!Y22*1000</f>
        <v>0</v>
      </c>
      <c r="Z22" s="7">
        <f>+[15]Resumen!Z22*1000</f>
        <v>0</v>
      </c>
      <c r="AA22" s="7">
        <f>+[15]Resumen!AA22*1000</f>
        <v>0</v>
      </c>
      <c r="AB22" s="7">
        <f>+[15]Resumen!AB22*1000</f>
        <v>0</v>
      </c>
      <c r="AC22" s="7">
        <f>+[15]Resumen!AC22*1000</f>
        <v>0</v>
      </c>
      <c r="AD22" s="6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f>+[15]Resumen!E23</f>
        <v>21</v>
      </c>
      <c r="F23" s="7">
        <f>+[15]Resumen!F23*1000</f>
        <v>0</v>
      </c>
      <c r="G23" s="7">
        <f>+[15]Resumen!G23*1000</f>
        <v>0</v>
      </c>
      <c r="H23" s="7">
        <f>+[15]Resumen!H23*1000</f>
        <v>0</v>
      </c>
      <c r="I23" s="7">
        <f>+[15]Resumen!I23*1000</f>
        <v>0</v>
      </c>
      <c r="J23" s="7">
        <f>+[15]Resumen!J23*1000</f>
        <v>0</v>
      </c>
      <c r="K23" s="7">
        <f>+[15]Resumen!K23*1000</f>
        <v>0</v>
      </c>
      <c r="L23" s="7">
        <f>+[15]Resumen!L23*1000</f>
        <v>0</v>
      </c>
      <c r="M23" s="7">
        <f>+[15]Resumen!M23*1000</f>
        <v>237850.83426983739</v>
      </c>
      <c r="N23" s="7">
        <f>+[15]Resumen!N23*1000</f>
        <v>252477.53372185273</v>
      </c>
      <c r="O23" s="7">
        <f>+[15]Resumen!O23*1000</f>
        <v>263179.18931099999</v>
      </c>
      <c r="P23" s="7">
        <f>+[15]Resumen!P23*1000</f>
        <v>278420.21761713352</v>
      </c>
      <c r="Q23" s="7">
        <f>+[15]Resumen!Q23*1000</f>
        <v>290904.73080713762</v>
      </c>
      <c r="R23" s="7">
        <f>+[15]Resumen!R23*1000</f>
        <v>291866.62784774974</v>
      </c>
      <c r="S23" s="7">
        <f>+[15]Resumen!S23*1000</f>
        <v>287501.73058854806</v>
      </c>
      <c r="T23" s="7">
        <f>+[15]Resumen!T23*1000</f>
        <v>288580.31956664537</v>
      </c>
      <c r="U23" s="7">
        <f>+[15]Resumen!U23*1000</f>
        <v>288590.3521497848</v>
      </c>
      <c r="V23" s="7">
        <f>+[15]Resumen!V23*1000</f>
        <v>282637.53089994786</v>
      </c>
      <c r="W23" s="7">
        <f>+[15]Resumen!W23*1000</f>
        <v>0</v>
      </c>
      <c r="X23" s="7">
        <f>+[15]Resumen!X23*1000</f>
        <v>0</v>
      </c>
      <c r="Y23" s="7">
        <f>+[15]Resumen!Y23*1000</f>
        <v>0</v>
      </c>
      <c r="Z23" s="7">
        <f>+[15]Resumen!Z23*1000</f>
        <v>0</v>
      </c>
      <c r="AA23" s="7">
        <f>+[15]Resumen!AA23*1000</f>
        <v>0</v>
      </c>
      <c r="AB23" s="7">
        <f>+[15]Resumen!AB23*1000</f>
        <v>0</v>
      </c>
      <c r="AC23" s="7">
        <f>+[15]Resumen!AC23*1000</f>
        <v>0</v>
      </c>
      <c r="AD23" s="60">
        <f t="shared" ref="AD23" si="2">SUM(F23:AC23)*E23+SUM(F24:AC24)*E24+SUM(F25:AC25)*E25+SUM(F26:AC26)*E26</f>
        <v>82106671.146182179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f>+[15]Resumen!E24</f>
        <v>4</v>
      </c>
      <c r="F24" s="7">
        <f>+[15]Resumen!F24*1000</f>
        <v>0</v>
      </c>
      <c r="G24" s="7">
        <f>+[15]Resumen!G24*1000</f>
        <v>0</v>
      </c>
      <c r="H24" s="7">
        <f>+[15]Resumen!H24*1000</f>
        <v>0</v>
      </c>
      <c r="I24" s="7">
        <f>+[15]Resumen!I24*1000</f>
        <v>0</v>
      </c>
      <c r="J24" s="7">
        <f>+[15]Resumen!J24*1000</f>
        <v>0</v>
      </c>
      <c r="K24" s="7">
        <f>+[15]Resumen!K24*1000</f>
        <v>0</v>
      </c>
      <c r="L24" s="7">
        <f>+[15]Resumen!L24*1000</f>
        <v>0</v>
      </c>
      <c r="M24" s="7">
        <f>+[15]Resumen!M24*1000</f>
        <v>218328.87882626429</v>
      </c>
      <c r="N24" s="7">
        <f>+[15]Resumen!N24*1000</f>
        <v>240179.44983843487</v>
      </c>
      <c r="O24" s="7">
        <f>+[15]Resumen!O24*1000</f>
        <v>254612.319784197</v>
      </c>
      <c r="P24" s="7">
        <f>+[15]Resumen!P24*1000</f>
        <v>267814.80828878551</v>
      </c>
      <c r="Q24" s="7">
        <f>+[15]Resumen!Q24*1000</f>
        <v>277028.2897548512</v>
      </c>
      <c r="R24" s="7">
        <f>+[15]Resumen!R24*1000</f>
        <v>277189.94014055206</v>
      </c>
      <c r="S24" s="7">
        <f>+[15]Resumen!S24*1000</f>
        <v>270682.70275174291</v>
      </c>
      <c r="T24" s="7">
        <f>+[15]Resumen!T24*1000</f>
        <v>264541.11715058063</v>
      </c>
      <c r="U24" s="7">
        <f>+[15]Resumen!U24*1000</f>
        <v>261924.34084271736</v>
      </c>
      <c r="V24" s="7">
        <f>+[15]Resumen!V24*1000</f>
        <v>258759.98718675142</v>
      </c>
      <c r="W24" s="7">
        <f>+[15]Resumen!W24*1000</f>
        <v>0</v>
      </c>
      <c r="X24" s="7">
        <f>+[15]Resumen!X24*1000</f>
        <v>0</v>
      </c>
      <c r="Y24" s="7">
        <f>+[15]Resumen!Y24*1000</f>
        <v>0</v>
      </c>
      <c r="Z24" s="7">
        <f>+[15]Resumen!Z24*1000</f>
        <v>0</v>
      </c>
      <c r="AA24" s="7">
        <f>+[15]Resumen!AA24*1000</f>
        <v>0</v>
      </c>
      <c r="AB24" s="7">
        <f>+[15]Resumen!AB24*1000</f>
        <v>0</v>
      </c>
      <c r="AC24" s="7">
        <f>+[15]Resumen!AC24*1000</f>
        <v>0</v>
      </c>
      <c r="AD24" s="6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f>+[15]Resumen!E25</f>
        <v>4</v>
      </c>
      <c r="F25" s="7">
        <f>+[15]Resumen!F25*1000</f>
        <v>0</v>
      </c>
      <c r="G25" s="7">
        <f>+[15]Resumen!G25*1000</f>
        <v>0</v>
      </c>
      <c r="H25" s="7">
        <f>+[15]Resumen!H25*1000</f>
        <v>0</v>
      </c>
      <c r="I25" s="7">
        <f>+[15]Resumen!I25*1000</f>
        <v>0</v>
      </c>
      <c r="J25" s="7">
        <f>+[15]Resumen!J25*1000</f>
        <v>0</v>
      </c>
      <c r="K25" s="7">
        <f>+[15]Resumen!K25*1000</f>
        <v>0</v>
      </c>
      <c r="L25" s="7">
        <f>+[15]Resumen!L25*1000</f>
        <v>0</v>
      </c>
      <c r="M25" s="7">
        <f>+[15]Resumen!M25*1000</f>
        <v>179992.06231949138</v>
      </c>
      <c r="N25" s="7">
        <f>+[15]Resumen!N25*1000</f>
        <v>198934.63764623279</v>
      </c>
      <c r="O25" s="7">
        <f>+[15]Resumen!O25*1000</f>
        <v>214731.74552481243</v>
      </c>
      <c r="P25" s="7">
        <f>+[15]Resumen!P25*1000</f>
        <v>227302.33515921491</v>
      </c>
      <c r="Q25" s="7">
        <f>+[15]Resumen!Q25*1000</f>
        <v>239991.13877273124</v>
      </c>
      <c r="R25" s="7">
        <f>+[15]Resumen!R25*1000</f>
        <v>246009.82575025872</v>
      </c>
      <c r="S25" s="7">
        <f>+[15]Resumen!S25*1000</f>
        <v>244662.22631076377</v>
      </c>
      <c r="T25" s="7">
        <f>+[15]Resumen!T25*1000</f>
        <v>238356.47230147963</v>
      </c>
      <c r="U25" s="7">
        <f>+[15]Resumen!U25*1000</f>
        <v>236240.45808588824</v>
      </c>
      <c r="V25" s="7">
        <f>+[15]Resumen!V25*1000</f>
        <v>233240.12520832338</v>
      </c>
      <c r="W25" s="7">
        <f>+[15]Resumen!W25*1000</f>
        <v>0</v>
      </c>
      <c r="X25" s="7">
        <f>+[15]Resumen!X25*1000</f>
        <v>0</v>
      </c>
      <c r="Y25" s="7">
        <f>+[15]Resumen!Y25*1000</f>
        <v>0</v>
      </c>
      <c r="Z25" s="7">
        <f>+[15]Resumen!Z25*1000</f>
        <v>0</v>
      </c>
      <c r="AA25" s="7">
        <f>+[15]Resumen!AA25*1000</f>
        <v>0</v>
      </c>
      <c r="AB25" s="7">
        <f>+[15]Resumen!AB25*1000</f>
        <v>0</v>
      </c>
      <c r="AC25" s="7">
        <f>+[15]Resumen!AC25*1000</f>
        <v>0</v>
      </c>
      <c r="AD25" s="6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f>+[15]Resumen!E26</f>
        <v>2</v>
      </c>
      <c r="F26" s="7">
        <f>+[15]Resumen!F26*1000</f>
        <v>0</v>
      </c>
      <c r="G26" s="7">
        <f>+[15]Resumen!G26*1000</f>
        <v>0</v>
      </c>
      <c r="H26" s="7">
        <f>+[15]Resumen!H26*1000</f>
        <v>0</v>
      </c>
      <c r="I26" s="7">
        <f>+[15]Resumen!I26*1000</f>
        <v>0</v>
      </c>
      <c r="J26" s="7">
        <f>+[15]Resumen!J26*1000</f>
        <v>0</v>
      </c>
      <c r="K26" s="7">
        <f>+[15]Resumen!K26*1000</f>
        <v>0</v>
      </c>
      <c r="L26" s="7">
        <f>+[15]Resumen!L26*1000</f>
        <v>0</v>
      </c>
      <c r="M26" s="7">
        <f>+[15]Resumen!M26*1000</f>
        <v>187960.85057863253</v>
      </c>
      <c r="N26" s="7">
        <f>+[15]Resumen!N26*1000</f>
        <v>205928.87845319297</v>
      </c>
      <c r="O26" s="7">
        <f>+[15]Resumen!O26*1000</f>
        <v>220630.74846389345</v>
      </c>
      <c r="P26" s="7">
        <f>+[15]Resumen!P26*1000</f>
        <v>236631.88477521311</v>
      </c>
      <c r="Q26" s="7">
        <f>+[15]Resumen!Q26*1000</f>
        <v>249984.29230092792</v>
      </c>
      <c r="R26" s="7">
        <f>+[15]Resumen!R26*1000</f>
        <v>260414.23434928255</v>
      </c>
      <c r="S26" s="7">
        <f>+[15]Resumen!S26*1000</f>
        <v>256613.07677367431</v>
      </c>
      <c r="T26" s="7">
        <f>+[15]Resumen!T26*1000</f>
        <v>249717.03468255344</v>
      </c>
      <c r="U26" s="7">
        <f>+[15]Resumen!U26*1000</f>
        <v>242845.02296725477</v>
      </c>
      <c r="V26" s="7">
        <f>+[15]Resumen!V26*1000</f>
        <v>240468.62527211974</v>
      </c>
      <c r="W26" s="7">
        <f>+[15]Resumen!W26*1000</f>
        <v>0</v>
      </c>
      <c r="X26" s="7">
        <f>+[15]Resumen!X26*1000</f>
        <v>0</v>
      </c>
      <c r="Y26" s="7">
        <f>+[15]Resumen!Y26*1000</f>
        <v>0</v>
      </c>
      <c r="Z26" s="7">
        <f>+[15]Resumen!Z26*1000</f>
        <v>0</v>
      </c>
      <c r="AA26" s="7">
        <f>+[15]Resumen!AA26*1000</f>
        <v>0</v>
      </c>
      <c r="AB26" s="7">
        <f>+[15]Resumen!AB26*1000</f>
        <v>0</v>
      </c>
      <c r="AC26" s="7">
        <f>+[15]Resumen!AC26*1000</f>
        <v>0</v>
      </c>
      <c r="AD26" s="6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f>+[15]Resumen!E27</f>
        <v>19</v>
      </c>
      <c r="F27" s="7">
        <f>+[15]Resumen!F27*1000</f>
        <v>0</v>
      </c>
      <c r="G27" s="7">
        <f>+[15]Resumen!G27*1000</f>
        <v>0</v>
      </c>
      <c r="H27" s="7">
        <f>+[15]Resumen!H27*1000</f>
        <v>0</v>
      </c>
      <c r="I27" s="7">
        <f>+[15]Resumen!I27*1000</f>
        <v>0</v>
      </c>
      <c r="J27" s="7">
        <f>+[15]Resumen!J27*1000</f>
        <v>0</v>
      </c>
      <c r="K27" s="7">
        <f>+[15]Resumen!K27*1000</f>
        <v>0</v>
      </c>
      <c r="L27" s="7">
        <f>+[15]Resumen!L27*1000</f>
        <v>0</v>
      </c>
      <c r="M27" s="7">
        <f>+[15]Resumen!M27*1000</f>
        <v>245852.24869727707</v>
      </c>
      <c r="N27" s="7">
        <f>+[15]Resumen!N27*1000</f>
        <v>263177.53627398534</v>
      </c>
      <c r="O27" s="7">
        <f>+[15]Resumen!O27*1000</f>
        <v>274946.73564296332</v>
      </c>
      <c r="P27" s="7">
        <f>+[15]Resumen!P27*1000</f>
        <v>290295.96821728157</v>
      </c>
      <c r="Q27" s="7">
        <f>+[15]Resumen!Q27*1000</f>
        <v>304322.96455399797</v>
      </c>
      <c r="R27" s="7">
        <f>+[15]Resumen!R27*1000</f>
        <v>307637.30376842915</v>
      </c>
      <c r="S27" s="7">
        <f>+[15]Resumen!S27*1000</f>
        <v>303748.66622642899</v>
      </c>
      <c r="T27" s="7">
        <f>+[15]Resumen!T27*1000</f>
        <v>305118.13565752195</v>
      </c>
      <c r="U27" s="7">
        <f>+[15]Resumen!U27*1000</f>
        <v>305000.34377465205</v>
      </c>
      <c r="V27" s="7">
        <f>+[15]Resumen!V27*1000</f>
        <v>298642.27062403032</v>
      </c>
      <c r="W27" s="7">
        <f>+[15]Resumen!W27*1000</f>
        <v>0</v>
      </c>
      <c r="X27" s="7">
        <f>+[15]Resumen!X27*1000</f>
        <v>0</v>
      </c>
      <c r="Y27" s="7">
        <f>+[15]Resumen!Y27*1000</f>
        <v>0</v>
      </c>
      <c r="Z27" s="7">
        <f>+[15]Resumen!Z27*1000</f>
        <v>0</v>
      </c>
      <c r="AA27" s="7">
        <f>+[15]Resumen!AA27*1000</f>
        <v>0</v>
      </c>
      <c r="AB27" s="7">
        <f>+[15]Resumen!AB27*1000</f>
        <v>0</v>
      </c>
      <c r="AC27" s="7">
        <f>+[15]Resumen!AC27*1000</f>
        <v>0</v>
      </c>
      <c r="AD27" s="60">
        <f t="shared" ref="AD27:AD35" si="3">SUM(F27:AC27)*E27+SUM(F28:AC28)*E28+SUM(F29:AC29)*E29+SUM(F30:AC30)*E30</f>
        <v>82604631.904202282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f>+[15]Resumen!E28</f>
        <v>5</v>
      </c>
      <c r="F28" s="7">
        <f>+[15]Resumen!F28*1000</f>
        <v>0</v>
      </c>
      <c r="G28" s="7">
        <f>+[15]Resumen!G28*1000</f>
        <v>0</v>
      </c>
      <c r="H28" s="7">
        <f>+[15]Resumen!H28*1000</f>
        <v>0</v>
      </c>
      <c r="I28" s="7">
        <f>+[15]Resumen!I28*1000</f>
        <v>0</v>
      </c>
      <c r="J28" s="7">
        <f>+[15]Resumen!J28*1000</f>
        <v>0</v>
      </c>
      <c r="K28" s="7">
        <f>+[15]Resumen!K28*1000</f>
        <v>0</v>
      </c>
      <c r="L28" s="7">
        <f>+[15]Resumen!L28*1000</f>
        <v>0</v>
      </c>
      <c r="M28" s="7">
        <f>+[15]Resumen!M28*1000</f>
        <v>225741.17165459081</v>
      </c>
      <c r="N28" s="7">
        <f>+[15]Resumen!N28*1000</f>
        <v>247951.73462201346</v>
      </c>
      <c r="O28" s="7">
        <f>+[15]Resumen!O28*1000</f>
        <v>262700.69227577612</v>
      </c>
      <c r="P28" s="7">
        <f>+[15]Resumen!P28*1000</f>
        <v>276962.95632587234</v>
      </c>
      <c r="Q28" s="7">
        <f>+[15]Resumen!Q28*1000</f>
        <v>287012.28400248231</v>
      </c>
      <c r="R28" s="7">
        <f>+[15]Resumen!R28*1000</f>
        <v>288281.1510563661</v>
      </c>
      <c r="S28" s="7">
        <f>+[15]Resumen!S28*1000</f>
        <v>281553.65636198723</v>
      </c>
      <c r="T28" s="7">
        <f>+[15]Resumen!T28*1000</f>
        <v>275762.58946244325</v>
      </c>
      <c r="U28" s="7">
        <f>+[15]Resumen!U28*1000</f>
        <v>273896.66831106768</v>
      </c>
      <c r="V28" s="7">
        <f>+[15]Resumen!V28*1000</f>
        <v>269864.91103226581</v>
      </c>
      <c r="W28" s="7">
        <f>+[15]Resumen!W28*1000</f>
        <v>0</v>
      </c>
      <c r="X28" s="7">
        <f>+[15]Resumen!X28*1000</f>
        <v>0</v>
      </c>
      <c r="Y28" s="7">
        <f>+[15]Resumen!Y28*1000</f>
        <v>0</v>
      </c>
      <c r="Z28" s="7">
        <f>+[15]Resumen!Z28*1000</f>
        <v>0</v>
      </c>
      <c r="AA28" s="7">
        <f>+[15]Resumen!AA28*1000</f>
        <v>0</v>
      </c>
      <c r="AB28" s="7">
        <f>+[15]Resumen!AB28*1000</f>
        <v>0</v>
      </c>
      <c r="AC28" s="7">
        <f>+[15]Resumen!AC28*1000</f>
        <v>0</v>
      </c>
      <c r="AD28" s="6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f>+[15]Resumen!E29</f>
        <v>4</v>
      </c>
      <c r="F29" s="7">
        <f>+[15]Resumen!F29*1000</f>
        <v>0</v>
      </c>
      <c r="G29" s="7">
        <f>+[15]Resumen!G29*1000</f>
        <v>0</v>
      </c>
      <c r="H29" s="7">
        <f>+[15]Resumen!H29*1000</f>
        <v>0</v>
      </c>
      <c r="I29" s="7">
        <f>+[15]Resumen!I29*1000</f>
        <v>0</v>
      </c>
      <c r="J29" s="7">
        <f>+[15]Resumen!J29*1000</f>
        <v>0</v>
      </c>
      <c r="K29" s="7">
        <f>+[15]Resumen!K29*1000</f>
        <v>0</v>
      </c>
      <c r="L29" s="7">
        <f>+[15]Resumen!L29*1000</f>
        <v>0</v>
      </c>
      <c r="M29" s="7">
        <f>+[15]Resumen!M29*1000</f>
        <v>187911.4091772048</v>
      </c>
      <c r="N29" s="7">
        <f>+[15]Resumen!N29*1000</f>
        <v>205373.67426261248</v>
      </c>
      <c r="O29" s="7">
        <f>+[15]Resumen!O29*1000</f>
        <v>220500.17725336039</v>
      </c>
      <c r="P29" s="7">
        <f>+[15]Resumen!P29*1000</f>
        <v>231629.85506825818</v>
      </c>
      <c r="Q29" s="7">
        <f>+[15]Resumen!Q29*1000</f>
        <v>244761.42932456295</v>
      </c>
      <c r="R29" s="7">
        <f>+[15]Resumen!R29*1000</f>
        <v>253112.97570533821</v>
      </c>
      <c r="S29" s="7">
        <f>+[15]Resumen!S29*1000</f>
        <v>253536.93915341242</v>
      </c>
      <c r="T29" s="7">
        <f>+[15]Resumen!T29*1000</f>
        <v>249199.92311852504</v>
      </c>
      <c r="U29" s="7">
        <f>+[15]Resumen!U29*1000</f>
        <v>246640.90745875073</v>
      </c>
      <c r="V29" s="7">
        <f>+[15]Resumen!V29*1000</f>
        <v>243393.30935387569</v>
      </c>
      <c r="W29" s="7">
        <f>+[15]Resumen!W29*1000</f>
        <v>0</v>
      </c>
      <c r="X29" s="7">
        <f>+[15]Resumen!X29*1000</f>
        <v>0</v>
      </c>
      <c r="Y29" s="7">
        <f>+[15]Resumen!Y29*1000</f>
        <v>0</v>
      </c>
      <c r="Z29" s="7">
        <f>+[15]Resumen!Z29*1000</f>
        <v>0</v>
      </c>
      <c r="AA29" s="7">
        <f>+[15]Resumen!AA29*1000</f>
        <v>0</v>
      </c>
      <c r="AB29" s="7">
        <f>+[15]Resumen!AB29*1000</f>
        <v>0</v>
      </c>
      <c r="AC29" s="7">
        <f>+[15]Resumen!AC29*1000</f>
        <v>0</v>
      </c>
      <c r="AD29" s="6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f>+[15]Resumen!E30</f>
        <v>2</v>
      </c>
      <c r="F30" s="7">
        <f>+[15]Resumen!F30*1000</f>
        <v>0</v>
      </c>
      <c r="G30" s="7">
        <f>+[15]Resumen!G30*1000</f>
        <v>0</v>
      </c>
      <c r="H30" s="7">
        <f>+[15]Resumen!H30*1000</f>
        <v>0</v>
      </c>
      <c r="I30" s="7">
        <f>+[15]Resumen!I30*1000</f>
        <v>0</v>
      </c>
      <c r="J30" s="7">
        <f>+[15]Resumen!J30*1000</f>
        <v>0</v>
      </c>
      <c r="K30" s="7">
        <f>+[15]Resumen!K30*1000</f>
        <v>0</v>
      </c>
      <c r="L30" s="7">
        <f>+[15]Resumen!L30*1000</f>
        <v>0</v>
      </c>
      <c r="M30" s="7">
        <f>+[15]Resumen!M30*1000</f>
        <v>185605.9111753107</v>
      </c>
      <c r="N30" s="7">
        <f>+[15]Resumen!N30*1000</f>
        <v>203469.44007974947</v>
      </c>
      <c r="O30" s="7">
        <f>+[15]Resumen!O30*1000</f>
        <v>219302.3803946485</v>
      </c>
      <c r="P30" s="7">
        <f>+[15]Resumen!P30*1000</f>
        <v>235463.0087867367</v>
      </c>
      <c r="Q30" s="7">
        <f>+[15]Resumen!Q30*1000</f>
        <v>252125.60110178165</v>
      </c>
      <c r="R30" s="7">
        <f>+[15]Resumen!R30*1000</f>
        <v>261868.87365353049</v>
      </c>
      <c r="S30" s="7">
        <f>+[15]Resumen!S30*1000</f>
        <v>259951.48171188901</v>
      </c>
      <c r="T30" s="7">
        <f>+[15]Resumen!T30*1000</f>
        <v>253238.73543454803</v>
      </c>
      <c r="U30" s="7">
        <f>+[15]Resumen!U30*1000</f>
        <v>249880.46494207138</v>
      </c>
      <c r="V30" s="7">
        <f>+[15]Resumen!V30*1000</f>
        <v>246918.66965951287</v>
      </c>
      <c r="W30" s="7">
        <f>+[15]Resumen!W30*1000</f>
        <v>0</v>
      </c>
      <c r="X30" s="7">
        <f>+[15]Resumen!X30*1000</f>
        <v>0</v>
      </c>
      <c r="Y30" s="7">
        <f>+[15]Resumen!Y30*1000</f>
        <v>0</v>
      </c>
      <c r="Z30" s="7">
        <f>+[15]Resumen!Z30*1000</f>
        <v>0</v>
      </c>
      <c r="AA30" s="7">
        <f>+[15]Resumen!AA30*1000</f>
        <v>0</v>
      </c>
      <c r="AB30" s="7">
        <f>+[15]Resumen!AB30*1000</f>
        <v>0</v>
      </c>
      <c r="AC30" s="7">
        <f>+[15]Resumen!AC30*1000</f>
        <v>0</v>
      </c>
      <c r="AD30" s="6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f>+[15]Resumen!E31</f>
        <v>20</v>
      </c>
      <c r="F31" s="7">
        <f>+[15]Resumen!F31*1000</f>
        <v>0</v>
      </c>
      <c r="G31" s="7">
        <f>+[15]Resumen!G31*1000</f>
        <v>0</v>
      </c>
      <c r="H31" s="7">
        <f>+[15]Resumen!H31*1000</f>
        <v>0</v>
      </c>
      <c r="I31" s="7">
        <f>+[15]Resumen!I31*1000</f>
        <v>0</v>
      </c>
      <c r="J31" s="7">
        <f>+[15]Resumen!J31*1000</f>
        <v>0</v>
      </c>
      <c r="K31" s="7">
        <f>+[15]Resumen!K31*1000</f>
        <v>0</v>
      </c>
      <c r="L31" s="7">
        <f>+[15]Resumen!L31*1000</f>
        <v>0</v>
      </c>
      <c r="M31" s="7">
        <f>+[15]Resumen!M31*1000</f>
        <v>249081.24129874661</v>
      </c>
      <c r="N31" s="7">
        <f>+[15]Resumen!N31*1000</f>
        <v>266253.15407128667</v>
      </c>
      <c r="O31" s="7">
        <f>+[15]Resumen!O31*1000</f>
        <v>278568.28606852004</v>
      </c>
      <c r="P31" s="7">
        <f>+[15]Resumen!P31*1000</f>
        <v>294840.92383286444</v>
      </c>
      <c r="Q31" s="7">
        <f>+[15]Resumen!Q31*1000</f>
        <v>307872.51118234545</v>
      </c>
      <c r="R31" s="7">
        <f>+[15]Resumen!R31*1000</f>
        <v>309493.0135175669</v>
      </c>
      <c r="S31" s="7">
        <f>+[15]Resumen!S31*1000</f>
        <v>305218.40118945256</v>
      </c>
      <c r="T31" s="7">
        <f>+[15]Resumen!T31*1000</f>
        <v>307519.90903030115</v>
      </c>
      <c r="U31" s="7">
        <f>+[15]Resumen!U31*1000</f>
        <v>307087.81970970705</v>
      </c>
      <c r="V31" s="7">
        <f>+[15]Resumen!V31*1000</f>
        <v>299864.33073925076</v>
      </c>
      <c r="W31" s="7">
        <f>+[15]Resumen!W31*1000</f>
        <v>0</v>
      </c>
      <c r="X31" s="7">
        <f>+[15]Resumen!X31*1000</f>
        <v>0</v>
      </c>
      <c r="Y31" s="7">
        <f>+[15]Resumen!Y31*1000</f>
        <v>0</v>
      </c>
      <c r="Z31" s="7">
        <f>+[15]Resumen!Z31*1000</f>
        <v>0</v>
      </c>
      <c r="AA31" s="7">
        <f>+[15]Resumen!AA31*1000</f>
        <v>0</v>
      </c>
      <c r="AB31" s="7">
        <f>+[15]Resumen!AB31*1000</f>
        <v>0</v>
      </c>
      <c r="AC31" s="7">
        <f>+[15]Resumen!AC31*1000</f>
        <v>0</v>
      </c>
      <c r="AD31" s="60">
        <f t="shared" si="3"/>
        <v>86267235.048653632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f>+[15]Resumen!E32</f>
        <v>4</v>
      </c>
      <c r="F32" s="7">
        <f>+[15]Resumen!F32*1000</f>
        <v>0</v>
      </c>
      <c r="G32" s="7">
        <f>+[15]Resumen!G32*1000</f>
        <v>0</v>
      </c>
      <c r="H32" s="7">
        <f>+[15]Resumen!H32*1000</f>
        <v>0</v>
      </c>
      <c r="I32" s="7">
        <f>+[15]Resumen!I32*1000</f>
        <v>0</v>
      </c>
      <c r="J32" s="7">
        <f>+[15]Resumen!J32*1000</f>
        <v>0</v>
      </c>
      <c r="K32" s="7">
        <f>+[15]Resumen!K32*1000</f>
        <v>0</v>
      </c>
      <c r="L32" s="7">
        <f>+[15]Resumen!L32*1000</f>
        <v>0</v>
      </c>
      <c r="M32" s="7">
        <f>+[15]Resumen!M32*1000</f>
        <v>227084.17793840595</v>
      </c>
      <c r="N32" s="7">
        <f>+[15]Resumen!N32*1000</f>
        <v>250159.35411901202</v>
      </c>
      <c r="O32" s="7">
        <f>+[15]Resumen!O32*1000</f>
        <v>265272.67232018756</v>
      </c>
      <c r="P32" s="7">
        <f>+[15]Resumen!P32*1000</f>
        <v>280033.53599903954</v>
      </c>
      <c r="Q32" s="7">
        <f>+[15]Resumen!Q32*1000</f>
        <v>290635.75985228497</v>
      </c>
      <c r="R32" s="7">
        <f>+[15]Resumen!R32*1000</f>
        <v>290800.40233894705</v>
      </c>
      <c r="S32" s="7">
        <f>+[15]Resumen!S32*1000</f>
        <v>283565.54587998858</v>
      </c>
      <c r="T32" s="7">
        <f>+[15]Resumen!T32*1000</f>
        <v>277144.36414265935</v>
      </c>
      <c r="U32" s="7">
        <f>+[15]Resumen!U32*1000</f>
        <v>274360.19444502651</v>
      </c>
      <c r="V32" s="7">
        <f>+[15]Resumen!V32*1000</f>
        <v>270913.7619784337</v>
      </c>
      <c r="W32" s="7">
        <f>+[15]Resumen!W32*1000</f>
        <v>0</v>
      </c>
      <c r="X32" s="7">
        <f>+[15]Resumen!X32*1000</f>
        <v>0</v>
      </c>
      <c r="Y32" s="7">
        <f>+[15]Resumen!Y32*1000</f>
        <v>0</v>
      </c>
      <c r="Z32" s="7">
        <f>+[15]Resumen!Z32*1000</f>
        <v>0</v>
      </c>
      <c r="AA32" s="7">
        <f>+[15]Resumen!AA32*1000</f>
        <v>0</v>
      </c>
      <c r="AB32" s="7">
        <f>+[15]Resumen!AB32*1000</f>
        <v>0</v>
      </c>
      <c r="AC32" s="7">
        <f>+[15]Resumen!AC32*1000</f>
        <v>0</v>
      </c>
      <c r="AD32" s="6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f>+[15]Resumen!E33</f>
        <v>5</v>
      </c>
      <c r="F33" s="7">
        <f>+[15]Resumen!F33*1000</f>
        <v>0</v>
      </c>
      <c r="G33" s="7">
        <f>+[15]Resumen!G33*1000</f>
        <v>0</v>
      </c>
      <c r="H33" s="7">
        <f>+[15]Resumen!H33*1000</f>
        <v>0</v>
      </c>
      <c r="I33" s="7">
        <f>+[15]Resumen!I33*1000</f>
        <v>0</v>
      </c>
      <c r="J33" s="7">
        <f>+[15]Resumen!J33*1000</f>
        <v>0</v>
      </c>
      <c r="K33" s="7">
        <f>+[15]Resumen!K33*1000</f>
        <v>0</v>
      </c>
      <c r="L33" s="7">
        <f>+[15]Resumen!L33*1000</f>
        <v>0</v>
      </c>
      <c r="M33" s="7">
        <f>+[15]Resumen!M33*1000</f>
        <v>191468.3767981377</v>
      </c>
      <c r="N33" s="7">
        <f>+[15]Resumen!N33*1000</f>
        <v>209814.65904820169</v>
      </c>
      <c r="O33" s="7">
        <f>+[15]Resumen!O33*1000</f>
        <v>225655.50275139359</v>
      </c>
      <c r="P33" s="7">
        <f>+[15]Resumen!P33*1000</f>
        <v>239184.09699207917</v>
      </c>
      <c r="Q33" s="7">
        <f>+[15]Resumen!Q33*1000</f>
        <v>252893.04692787956</v>
      </c>
      <c r="R33" s="7">
        <f>+[15]Resumen!R33*1000</f>
        <v>260639.98930248345</v>
      </c>
      <c r="S33" s="7">
        <f>+[15]Resumen!S33*1000</f>
        <v>260894.22847463295</v>
      </c>
      <c r="T33" s="7">
        <f>+[15]Resumen!T33*1000</f>
        <v>256396.27317185479</v>
      </c>
      <c r="U33" s="7">
        <f>+[15]Resumen!U33*1000</f>
        <v>253059.70632762866</v>
      </c>
      <c r="V33" s="7">
        <f>+[15]Resumen!V33*1000</f>
        <v>249900.90438088184</v>
      </c>
      <c r="W33" s="7">
        <f>+[15]Resumen!W33*1000</f>
        <v>0</v>
      </c>
      <c r="X33" s="7">
        <f>+[15]Resumen!X33*1000</f>
        <v>0</v>
      </c>
      <c r="Y33" s="7">
        <f>+[15]Resumen!Y33*1000</f>
        <v>0</v>
      </c>
      <c r="Z33" s="7">
        <f>+[15]Resumen!Z33*1000</f>
        <v>0</v>
      </c>
      <c r="AA33" s="7">
        <f>+[15]Resumen!AA33*1000</f>
        <v>0</v>
      </c>
      <c r="AB33" s="7">
        <f>+[15]Resumen!AB33*1000</f>
        <v>0</v>
      </c>
      <c r="AC33" s="7">
        <f>+[15]Resumen!AC33*1000</f>
        <v>0</v>
      </c>
      <c r="AD33" s="6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f>+[15]Resumen!E34</f>
        <v>2</v>
      </c>
      <c r="F34" s="7">
        <f>+[15]Resumen!F34*1000</f>
        <v>0</v>
      </c>
      <c r="G34" s="7">
        <f>+[15]Resumen!G34*1000</f>
        <v>0</v>
      </c>
      <c r="H34" s="7">
        <f>+[15]Resumen!H34*1000</f>
        <v>0</v>
      </c>
      <c r="I34" s="7">
        <f>+[15]Resumen!I34*1000</f>
        <v>0</v>
      </c>
      <c r="J34" s="7">
        <f>+[15]Resumen!J34*1000</f>
        <v>0</v>
      </c>
      <c r="K34" s="7">
        <f>+[15]Resumen!K34*1000</f>
        <v>0</v>
      </c>
      <c r="L34" s="7">
        <f>+[15]Resumen!L34*1000</f>
        <v>0</v>
      </c>
      <c r="M34" s="7">
        <f>+[15]Resumen!M34*1000</f>
        <v>195182.02529726824</v>
      </c>
      <c r="N34" s="7">
        <f>+[15]Resumen!N34*1000</f>
        <v>214748.8892860527</v>
      </c>
      <c r="O34" s="7">
        <f>+[15]Resumen!O34*1000</f>
        <v>231277.23004400363</v>
      </c>
      <c r="P34" s="7">
        <f>+[15]Resumen!P34*1000</f>
        <v>246460.95098766973</v>
      </c>
      <c r="Q34" s="7">
        <f>+[15]Resumen!Q34*1000</f>
        <v>260847.19073457495</v>
      </c>
      <c r="R34" s="7">
        <f>+[15]Resumen!R34*1000</f>
        <v>268078.27743742324</v>
      </c>
      <c r="S34" s="7">
        <f>+[15]Resumen!S34*1000</f>
        <v>266073.74861254386</v>
      </c>
      <c r="T34" s="7">
        <f>+[15]Resumen!T34*1000</f>
        <v>261065.16289840994</v>
      </c>
      <c r="U34" s="7">
        <f>+[15]Resumen!U34*1000</f>
        <v>258975.70747752103</v>
      </c>
      <c r="V34" s="7">
        <f>+[15]Resumen!V34*1000</f>
        <v>253205.93668502662</v>
      </c>
      <c r="W34" s="7">
        <f>+[15]Resumen!W34*1000</f>
        <v>0</v>
      </c>
      <c r="X34" s="7">
        <f>+[15]Resumen!X34*1000</f>
        <v>0</v>
      </c>
      <c r="Y34" s="7">
        <f>+[15]Resumen!Y34*1000</f>
        <v>0</v>
      </c>
      <c r="Z34" s="7">
        <f>+[15]Resumen!Z34*1000</f>
        <v>0</v>
      </c>
      <c r="AA34" s="7">
        <f>+[15]Resumen!AA34*1000</f>
        <v>0</v>
      </c>
      <c r="AB34" s="7">
        <f>+[15]Resumen!AB34*1000</f>
        <v>0</v>
      </c>
      <c r="AC34" s="7">
        <f>+[15]Resumen!AC34*1000</f>
        <v>0</v>
      </c>
      <c r="AD34" s="6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f>+[15]Resumen!E35</f>
        <v>21</v>
      </c>
      <c r="F35" s="7">
        <f>+[15]Resumen!F35*1000</f>
        <v>0</v>
      </c>
      <c r="G35" s="7">
        <f>+[15]Resumen!G35*1000</f>
        <v>0</v>
      </c>
      <c r="H35" s="7">
        <f>+[15]Resumen!H35*1000</f>
        <v>0</v>
      </c>
      <c r="I35" s="7">
        <f>+[15]Resumen!I35*1000</f>
        <v>0</v>
      </c>
      <c r="J35" s="7">
        <f>+[15]Resumen!J35*1000</f>
        <v>0</v>
      </c>
      <c r="K35" s="7">
        <f>+[15]Resumen!K35*1000</f>
        <v>0</v>
      </c>
      <c r="L35" s="7">
        <f>+[15]Resumen!L35*1000</f>
        <v>0</v>
      </c>
      <c r="M35" s="7">
        <f>+[15]Resumen!M35*1000</f>
        <v>250500.76968094445</v>
      </c>
      <c r="N35" s="7">
        <f>+[15]Resumen!N35*1000</f>
        <v>266392.88040380168</v>
      </c>
      <c r="O35" s="7">
        <f>+[15]Resumen!O35*1000</f>
        <v>278379.48221064976</v>
      </c>
      <c r="P35" s="7">
        <f>+[15]Resumen!P35*1000</f>
        <v>294397.40048642911</v>
      </c>
      <c r="Q35" s="7">
        <f>+[15]Resumen!Q35*1000</f>
        <v>307149.99469437735</v>
      </c>
      <c r="R35" s="7">
        <f>+[15]Resumen!R35*1000</f>
        <v>308310.03161323193</v>
      </c>
      <c r="S35" s="7">
        <f>+[15]Resumen!S35*1000</f>
        <v>304711.11427937931</v>
      </c>
      <c r="T35" s="7">
        <f>+[15]Resumen!T35*1000</f>
        <v>306948.59448652604</v>
      </c>
      <c r="U35" s="7">
        <f>+[15]Resumen!U35*1000</f>
        <v>306517.49698814063</v>
      </c>
      <c r="V35" s="7">
        <f>+[15]Resumen!V35*1000</f>
        <v>299376.98839652946</v>
      </c>
      <c r="W35" s="7">
        <f>+[15]Resumen!W35*1000</f>
        <v>0</v>
      </c>
      <c r="X35" s="7">
        <f>+[15]Resumen!X35*1000</f>
        <v>0</v>
      </c>
      <c r="Y35" s="7">
        <f>+[15]Resumen!Y35*1000</f>
        <v>0</v>
      </c>
      <c r="Z35" s="7">
        <f>+[15]Resumen!Z35*1000</f>
        <v>0</v>
      </c>
      <c r="AA35" s="7">
        <f>+[15]Resumen!AA35*1000</f>
        <v>0</v>
      </c>
      <c r="AB35" s="7">
        <f>+[15]Resumen!AB35*1000</f>
        <v>0</v>
      </c>
      <c r="AC35" s="7">
        <f>+[15]Resumen!AC35*1000</f>
        <v>0</v>
      </c>
      <c r="AD35" s="60">
        <f t="shared" si="3"/>
        <v>86624770.214550048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f>+[15]Resumen!E36</f>
        <v>4</v>
      </c>
      <c r="F36" s="7">
        <f>+[15]Resumen!F36*1000</f>
        <v>0</v>
      </c>
      <c r="G36" s="7">
        <f>+[15]Resumen!G36*1000</f>
        <v>0</v>
      </c>
      <c r="H36" s="7">
        <f>+[15]Resumen!H36*1000</f>
        <v>0</v>
      </c>
      <c r="I36" s="7">
        <f>+[15]Resumen!I36*1000</f>
        <v>0</v>
      </c>
      <c r="J36" s="7">
        <f>+[15]Resumen!J36*1000</f>
        <v>0</v>
      </c>
      <c r="K36" s="7">
        <f>+[15]Resumen!K36*1000</f>
        <v>0</v>
      </c>
      <c r="L36" s="7">
        <f>+[15]Resumen!L36*1000</f>
        <v>0</v>
      </c>
      <c r="M36" s="7">
        <f>+[15]Resumen!M36*1000</f>
        <v>230531.64173375262</v>
      </c>
      <c r="N36" s="7">
        <f>+[15]Resumen!N36*1000</f>
        <v>252560.18349329484</v>
      </c>
      <c r="O36" s="7">
        <f>+[15]Resumen!O36*1000</f>
        <v>267588.84956498403</v>
      </c>
      <c r="P36" s="7">
        <f>+[15]Resumen!P36*1000</f>
        <v>281403.11355330836</v>
      </c>
      <c r="Q36" s="7">
        <f>+[15]Resumen!Q36*1000</f>
        <v>290968.84992968058</v>
      </c>
      <c r="R36" s="7">
        <f>+[15]Resumen!R36*1000</f>
        <v>291153.73848101171</v>
      </c>
      <c r="S36" s="7">
        <f>+[15]Resumen!S36*1000</f>
        <v>284485.20210682304</v>
      </c>
      <c r="T36" s="7">
        <f>+[15]Resumen!T36*1000</f>
        <v>277645.79784619628</v>
      </c>
      <c r="U36" s="7">
        <f>+[15]Resumen!U36*1000</f>
        <v>273940.09847977915</v>
      </c>
      <c r="V36" s="7">
        <f>+[15]Resumen!V36*1000</f>
        <v>270557.06985933543</v>
      </c>
      <c r="W36" s="7">
        <f>+[15]Resumen!W36*1000</f>
        <v>0</v>
      </c>
      <c r="X36" s="7">
        <f>+[15]Resumen!X36*1000</f>
        <v>0</v>
      </c>
      <c r="Y36" s="7">
        <f>+[15]Resumen!Y36*1000</f>
        <v>0</v>
      </c>
      <c r="Z36" s="7">
        <f>+[15]Resumen!Z36*1000</f>
        <v>0</v>
      </c>
      <c r="AA36" s="7">
        <f>+[15]Resumen!AA36*1000</f>
        <v>0</v>
      </c>
      <c r="AB36" s="7">
        <f>+[15]Resumen!AB36*1000</f>
        <v>0</v>
      </c>
      <c r="AC36" s="7">
        <f>+[15]Resumen!AC36*1000</f>
        <v>0</v>
      </c>
      <c r="AD36" s="6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f>+[15]Resumen!E37</f>
        <v>4</v>
      </c>
      <c r="F37" s="7">
        <f>+[15]Resumen!F37*1000</f>
        <v>0</v>
      </c>
      <c r="G37" s="7">
        <f>+[15]Resumen!G37*1000</f>
        <v>0</v>
      </c>
      <c r="H37" s="7">
        <f>+[15]Resumen!H37*1000</f>
        <v>0</v>
      </c>
      <c r="I37" s="7">
        <f>+[15]Resumen!I37*1000</f>
        <v>0</v>
      </c>
      <c r="J37" s="7">
        <f>+[15]Resumen!J37*1000</f>
        <v>0</v>
      </c>
      <c r="K37" s="7">
        <f>+[15]Resumen!K37*1000</f>
        <v>0</v>
      </c>
      <c r="L37" s="7">
        <f>+[15]Resumen!L37*1000</f>
        <v>0</v>
      </c>
      <c r="M37" s="7">
        <f>+[15]Resumen!M37*1000</f>
        <v>190215.28325217002</v>
      </c>
      <c r="N37" s="7">
        <f>+[15]Resumen!N37*1000</f>
        <v>208444.68226989926</v>
      </c>
      <c r="O37" s="7">
        <f>+[15]Resumen!O37*1000</f>
        <v>223929.33496332692</v>
      </c>
      <c r="P37" s="7">
        <f>+[15]Resumen!P37*1000</f>
        <v>236020.14879802245</v>
      </c>
      <c r="Q37" s="7">
        <f>+[15]Resumen!Q37*1000</f>
        <v>248546.4037717621</v>
      </c>
      <c r="R37" s="7">
        <f>+[15]Resumen!R37*1000</f>
        <v>256278.0030518611</v>
      </c>
      <c r="S37" s="7">
        <f>+[15]Resumen!S37*1000</f>
        <v>256681.23180168329</v>
      </c>
      <c r="T37" s="7">
        <f>+[15]Resumen!T37*1000</f>
        <v>250492.19468138652</v>
      </c>
      <c r="U37" s="7">
        <f>+[15]Resumen!U37*1000</f>
        <v>247362.67540165561</v>
      </c>
      <c r="V37" s="7">
        <f>+[15]Resumen!V37*1000</f>
        <v>242968.27714979454</v>
      </c>
      <c r="W37" s="7">
        <f>+[15]Resumen!W37*1000</f>
        <v>0</v>
      </c>
      <c r="X37" s="7">
        <f>+[15]Resumen!X37*1000</f>
        <v>0</v>
      </c>
      <c r="Y37" s="7">
        <f>+[15]Resumen!Y37*1000</f>
        <v>0</v>
      </c>
      <c r="Z37" s="7">
        <f>+[15]Resumen!Z37*1000</f>
        <v>0</v>
      </c>
      <c r="AA37" s="7">
        <f>+[15]Resumen!AA37*1000</f>
        <v>0</v>
      </c>
      <c r="AB37" s="7">
        <f>+[15]Resumen!AB37*1000</f>
        <v>0</v>
      </c>
      <c r="AC37" s="7">
        <f>+[15]Resumen!AC37*1000</f>
        <v>0</v>
      </c>
      <c r="AD37" s="6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f>+[15]Resumen!E38</f>
        <v>2</v>
      </c>
      <c r="F38" s="7">
        <f>+[15]Resumen!F38*1000</f>
        <v>0</v>
      </c>
      <c r="G38" s="7">
        <f>+[15]Resumen!G38*1000</f>
        <v>0</v>
      </c>
      <c r="H38" s="7">
        <f>+[15]Resumen!H38*1000</f>
        <v>0</v>
      </c>
      <c r="I38" s="7">
        <f>+[15]Resumen!I38*1000</f>
        <v>0</v>
      </c>
      <c r="J38" s="7">
        <f>+[15]Resumen!J38*1000</f>
        <v>0</v>
      </c>
      <c r="K38" s="7">
        <f>+[15]Resumen!K38*1000</f>
        <v>0</v>
      </c>
      <c r="L38" s="7">
        <f>+[15]Resumen!L38*1000</f>
        <v>0</v>
      </c>
      <c r="M38" s="7">
        <f>+[15]Resumen!M38*1000</f>
        <v>197955.46376970256</v>
      </c>
      <c r="N38" s="7">
        <f>+[15]Resumen!N38*1000</f>
        <v>216358.16968320089</v>
      </c>
      <c r="O38" s="7">
        <f>+[15]Resumen!O38*1000</f>
        <v>231035.75980305808</v>
      </c>
      <c r="P38" s="7">
        <f>+[15]Resumen!P38*1000</f>
        <v>246861.54111614393</v>
      </c>
      <c r="Q38" s="7">
        <f>+[15]Resumen!Q38*1000</f>
        <v>262474.83959585865</v>
      </c>
      <c r="R38" s="7">
        <f>+[15]Resumen!R38*1000</f>
        <v>271993.56942155061</v>
      </c>
      <c r="S38" s="7">
        <f>+[15]Resumen!S38*1000</f>
        <v>267514.3152696027</v>
      </c>
      <c r="T38" s="7">
        <f>+[15]Resumen!T38*1000</f>
        <v>259646.46415365717</v>
      </c>
      <c r="U38" s="7">
        <f>+[15]Resumen!U38*1000</f>
        <v>255576.78059165066</v>
      </c>
      <c r="V38" s="7">
        <f>+[15]Resumen!V38*1000</f>
        <v>251232.73447104427</v>
      </c>
      <c r="W38" s="7">
        <f>+[15]Resumen!W38*1000</f>
        <v>0</v>
      </c>
      <c r="X38" s="7">
        <f>+[15]Resumen!X38*1000</f>
        <v>0</v>
      </c>
      <c r="Y38" s="7">
        <f>+[15]Resumen!Y38*1000</f>
        <v>0</v>
      </c>
      <c r="Z38" s="7">
        <f>+[15]Resumen!Z38*1000</f>
        <v>0</v>
      </c>
      <c r="AA38" s="7">
        <f>+[15]Resumen!AA38*1000</f>
        <v>0</v>
      </c>
      <c r="AB38" s="7">
        <f>+[15]Resumen!AB38*1000</f>
        <v>0</v>
      </c>
      <c r="AC38" s="7">
        <f>+[15]Resumen!AC38*1000</f>
        <v>0</v>
      </c>
      <c r="AD38" s="6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f>+[15]Resumen!E39</f>
        <v>20</v>
      </c>
      <c r="F39" s="7">
        <f>+[15]Resumen!F39*1000</f>
        <v>0</v>
      </c>
      <c r="G39" s="7">
        <f>+[15]Resumen!G39*1000</f>
        <v>0</v>
      </c>
      <c r="H39" s="7">
        <f>+[15]Resumen!H39*1000</f>
        <v>0</v>
      </c>
      <c r="I39" s="7">
        <f>+[15]Resumen!I39*1000</f>
        <v>0</v>
      </c>
      <c r="J39" s="7">
        <f>+[15]Resumen!J39*1000</f>
        <v>0</v>
      </c>
      <c r="K39" s="7">
        <f>+[15]Resumen!K39*1000</f>
        <v>0</v>
      </c>
      <c r="L39" s="7">
        <f>+[15]Resumen!L39*1000</f>
        <v>0</v>
      </c>
      <c r="M39" s="7">
        <f>+[15]Resumen!M39*1000</f>
        <v>259470.4604163685</v>
      </c>
      <c r="N39" s="7">
        <f>+[15]Resumen!N39*1000</f>
        <v>275812.70455442788</v>
      </c>
      <c r="O39" s="7">
        <f>+[15]Resumen!O39*1000</f>
        <v>287858.03180077992</v>
      </c>
      <c r="P39" s="7">
        <f>+[15]Resumen!P39*1000</f>
        <v>304516.40939126041</v>
      </c>
      <c r="Q39" s="7">
        <f>+[15]Resumen!Q39*1000</f>
        <v>318335.09395404148</v>
      </c>
      <c r="R39" s="7">
        <f>+[15]Resumen!R39*1000</f>
        <v>320496.30573641037</v>
      </c>
      <c r="S39" s="7">
        <f>+[15]Resumen!S39*1000</f>
        <v>316743.82230354002</v>
      </c>
      <c r="T39" s="7">
        <f>+[15]Resumen!T39*1000</f>
        <v>318324.44174193306</v>
      </c>
      <c r="U39" s="7">
        <f>+[15]Resumen!U39*1000</f>
        <v>318368.34183060093</v>
      </c>
      <c r="V39" s="7">
        <f>+[15]Resumen!V39*1000</f>
        <v>311590.47837063257</v>
      </c>
      <c r="W39" s="7">
        <f>+[15]Resumen!W39*1000</f>
        <v>0</v>
      </c>
      <c r="X39" s="7">
        <f>+[15]Resumen!X39*1000</f>
        <v>0</v>
      </c>
      <c r="Y39" s="7">
        <f>+[15]Resumen!Y39*1000</f>
        <v>0</v>
      </c>
      <c r="Z39" s="7">
        <f>+[15]Resumen!Z39*1000</f>
        <v>0</v>
      </c>
      <c r="AA39" s="7">
        <f>+[15]Resumen!AA39*1000</f>
        <v>0</v>
      </c>
      <c r="AB39" s="7">
        <f>+[15]Resumen!AB39*1000</f>
        <v>0</v>
      </c>
      <c r="AC39" s="7">
        <f>+[15]Resumen!AC39*1000</f>
        <v>0</v>
      </c>
      <c r="AD39" s="60">
        <f t="shared" ref="AD39" si="4">SUM(F39:AC39)*E39+SUM(F40:AC40)*E40+SUM(F41:AC41)*E41+SUM(F42:AC42)*E42</f>
        <v>86956088.053288206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f>+[15]Resumen!E40</f>
        <v>5</v>
      </c>
      <c r="F40" s="7">
        <f>+[15]Resumen!F40*1000</f>
        <v>0</v>
      </c>
      <c r="G40" s="7">
        <f>+[15]Resumen!G40*1000</f>
        <v>0</v>
      </c>
      <c r="H40" s="7">
        <f>+[15]Resumen!H40*1000</f>
        <v>0</v>
      </c>
      <c r="I40" s="7">
        <f>+[15]Resumen!I40*1000</f>
        <v>0</v>
      </c>
      <c r="J40" s="7">
        <f>+[15]Resumen!J40*1000</f>
        <v>0</v>
      </c>
      <c r="K40" s="7">
        <f>+[15]Resumen!K40*1000</f>
        <v>0</v>
      </c>
      <c r="L40" s="7">
        <f>+[15]Resumen!L40*1000</f>
        <v>0</v>
      </c>
      <c r="M40" s="7">
        <f>+[15]Resumen!M40*1000</f>
        <v>239498.6418655327</v>
      </c>
      <c r="N40" s="7">
        <f>+[15]Resumen!N40*1000</f>
        <v>262833.35109531891</v>
      </c>
      <c r="O40" s="7">
        <f>+[15]Resumen!O40*1000</f>
        <v>278850.58528408216</v>
      </c>
      <c r="P40" s="7">
        <f>+[15]Resumen!P40*1000</f>
        <v>293753.42300993082</v>
      </c>
      <c r="Q40" s="7">
        <f>+[15]Resumen!Q40*1000</f>
        <v>304051.56914485717</v>
      </c>
      <c r="R40" s="7">
        <f>+[15]Resumen!R40*1000</f>
        <v>304482.30276717013</v>
      </c>
      <c r="S40" s="7">
        <f>+[15]Resumen!S40*1000</f>
        <v>295931.53111781063</v>
      </c>
      <c r="T40" s="7">
        <f>+[15]Resumen!T40*1000</f>
        <v>286834.42345757841</v>
      </c>
      <c r="U40" s="7">
        <f>+[15]Resumen!U40*1000</f>
        <v>282464.76046147407</v>
      </c>
      <c r="V40" s="7">
        <f>+[15]Resumen!V40*1000</f>
        <v>277805.82430496829</v>
      </c>
      <c r="W40" s="7">
        <f>+[15]Resumen!W40*1000</f>
        <v>0</v>
      </c>
      <c r="X40" s="7">
        <f>+[15]Resumen!X40*1000</f>
        <v>0</v>
      </c>
      <c r="Y40" s="7">
        <f>+[15]Resumen!Y40*1000</f>
        <v>0</v>
      </c>
      <c r="Z40" s="7">
        <f>+[15]Resumen!Z40*1000</f>
        <v>0</v>
      </c>
      <c r="AA40" s="7">
        <f>+[15]Resumen!AA40*1000</f>
        <v>0</v>
      </c>
      <c r="AB40" s="7">
        <f>+[15]Resumen!AB40*1000</f>
        <v>0</v>
      </c>
      <c r="AC40" s="7">
        <f>+[15]Resumen!AC40*1000</f>
        <v>0</v>
      </c>
      <c r="AD40" s="6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f>+[15]Resumen!E41</f>
        <v>5</v>
      </c>
      <c r="F41" s="7">
        <f>+[15]Resumen!F41*1000</f>
        <v>0</v>
      </c>
      <c r="G41" s="7">
        <f>+[15]Resumen!G41*1000</f>
        <v>0</v>
      </c>
      <c r="H41" s="7">
        <f>+[15]Resumen!H41*1000</f>
        <v>0</v>
      </c>
      <c r="I41" s="7">
        <f>+[15]Resumen!I41*1000</f>
        <v>0</v>
      </c>
      <c r="J41" s="7">
        <f>+[15]Resumen!J41*1000</f>
        <v>0</v>
      </c>
      <c r="K41" s="7">
        <f>+[15]Resumen!K41*1000</f>
        <v>0</v>
      </c>
      <c r="L41" s="7">
        <f>+[15]Resumen!L41*1000</f>
        <v>0</v>
      </c>
      <c r="M41" s="7">
        <f>+[15]Resumen!M41*1000</f>
        <v>195896.43254705114</v>
      </c>
      <c r="N41" s="7">
        <f>+[15]Resumen!N41*1000</f>
        <v>214495.26350499675</v>
      </c>
      <c r="O41" s="7">
        <f>+[15]Resumen!O41*1000</f>
        <v>230123.81774895889</v>
      </c>
      <c r="P41" s="7">
        <f>+[15]Resumen!P41*1000</f>
        <v>243918.08102905142</v>
      </c>
      <c r="Q41" s="7">
        <f>+[15]Resumen!Q41*1000</f>
        <v>257089.89582038147</v>
      </c>
      <c r="R41" s="7">
        <f>+[15]Resumen!R41*1000</f>
        <v>265171.27149491105</v>
      </c>
      <c r="S41" s="7">
        <f>+[15]Resumen!S41*1000</f>
        <v>264258.17751313112</v>
      </c>
      <c r="T41" s="7">
        <f>+[15]Resumen!T41*1000</f>
        <v>258621.0468265528</v>
      </c>
      <c r="U41" s="7">
        <f>+[15]Resumen!U41*1000</f>
        <v>255974.72170231768</v>
      </c>
      <c r="V41" s="7">
        <f>+[15]Resumen!V41*1000</f>
        <v>253098.12956158374</v>
      </c>
      <c r="W41" s="7">
        <f>+[15]Resumen!W41*1000</f>
        <v>0</v>
      </c>
      <c r="X41" s="7">
        <f>+[15]Resumen!X41*1000</f>
        <v>0</v>
      </c>
      <c r="Y41" s="7">
        <f>+[15]Resumen!Y41*1000</f>
        <v>0</v>
      </c>
      <c r="Z41" s="7">
        <f>+[15]Resumen!Z41*1000</f>
        <v>0</v>
      </c>
      <c r="AA41" s="7">
        <f>+[15]Resumen!AA41*1000</f>
        <v>0</v>
      </c>
      <c r="AB41" s="7">
        <f>+[15]Resumen!AB41*1000</f>
        <v>0</v>
      </c>
      <c r="AC41" s="7">
        <f>+[15]Resumen!AC41*1000</f>
        <v>0</v>
      </c>
      <c r="AD41" s="6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f>+[15]Resumen!E42</f>
        <v>0</v>
      </c>
      <c r="F42" s="7">
        <f>+[15]Resumen!F42*1000</f>
        <v>0</v>
      </c>
      <c r="G42" s="7">
        <f>+[15]Resumen!G42*1000</f>
        <v>0</v>
      </c>
      <c r="H42" s="7">
        <f>+[15]Resumen!H42*1000</f>
        <v>0</v>
      </c>
      <c r="I42" s="7">
        <f>+[15]Resumen!I42*1000</f>
        <v>0</v>
      </c>
      <c r="J42" s="7">
        <f>+[15]Resumen!J42*1000</f>
        <v>0</v>
      </c>
      <c r="K42" s="7">
        <f>+[15]Resumen!K42*1000</f>
        <v>0</v>
      </c>
      <c r="L42" s="7">
        <f>+[15]Resumen!L42*1000</f>
        <v>0</v>
      </c>
      <c r="M42" s="7">
        <f>+[15]Resumen!M42*1000</f>
        <v>0</v>
      </c>
      <c r="N42" s="7">
        <f>+[15]Resumen!N42*1000</f>
        <v>0</v>
      </c>
      <c r="O42" s="7">
        <f>+[15]Resumen!O42*1000</f>
        <v>0</v>
      </c>
      <c r="P42" s="7">
        <f>+[15]Resumen!P42*1000</f>
        <v>0</v>
      </c>
      <c r="Q42" s="7">
        <f>+[15]Resumen!Q42*1000</f>
        <v>0</v>
      </c>
      <c r="R42" s="7">
        <f>+[15]Resumen!R42*1000</f>
        <v>0</v>
      </c>
      <c r="S42" s="7">
        <f>+[15]Resumen!S42*1000</f>
        <v>0</v>
      </c>
      <c r="T42" s="7">
        <f>+[15]Resumen!T42*1000</f>
        <v>0</v>
      </c>
      <c r="U42" s="7">
        <f>+[15]Resumen!U42*1000</f>
        <v>0</v>
      </c>
      <c r="V42" s="7">
        <f>+[15]Resumen!V42*1000</f>
        <v>0</v>
      </c>
      <c r="W42" s="7">
        <f>+[15]Resumen!W42*1000</f>
        <v>0</v>
      </c>
      <c r="X42" s="7">
        <f>+[15]Resumen!X42*1000</f>
        <v>0</v>
      </c>
      <c r="Y42" s="7">
        <f>+[15]Resumen!Y42*1000</f>
        <v>0</v>
      </c>
      <c r="Z42" s="7">
        <f>+[15]Resumen!Z42*1000</f>
        <v>0</v>
      </c>
      <c r="AA42" s="7">
        <f>+[15]Resumen!AA42*1000</f>
        <v>0</v>
      </c>
      <c r="AB42" s="7">
        <f>+[15]Resumen!AB42*1000</f>
        <v>0</v>
      </c>
      <c r="AC42" s="7">
        <f>+[15]Resumen!AC42*1000</f>
        <v>0</v>
      </c>
      <c r="AD42" s="6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f>+[15]Resumen!E43</f>
        <v>22</v>
      </c>
      <c r="F43" s="7">
        <f>+[15]Resumen!F43*1000</f>
        <v>0</v>
      </c>
      <c r="G43" s="7">
        <f>+[15]Resumen!G43*1000</f>
        <v>0</v>
      </c>
      <c r="H43" s="7">
        <f>+[15]Resumen!H43*1000</f>
        <v>0</v>
      </c>
      <c r="I43" s="7">
        <f>+[15]Resumen!I43*1000</f>
        <v>0</v>
      </c>
      <c r="J43" s="7">
        <f>+[15]Resumen!J43*1000</f>
        <v>0</v>
      </c>
      <c r="K43" s="7">
        <f>+[15]Resumen!K43*1000</f>
        <v>0</v>
      </c>
      <c r="L43" s="7">
        <f>+[15]Resumen!L43*1000</f>
        <v>0</v>
      </c>
      <c r="M43" s="7">
        <f>+[15]Resumen!M43*1000</f>
        <v>250144.75956957051</v>
      </c>
      <c r="N43" s="7">
        <f>+[15]Resumen!N43*1000</f>
        <v>266654.66948463069</v>
      </c>
      <c r="O43" s="7">
        <f>+[15]Resumen!O43*1000</f>
        <v>278044.9220739216</v>
      </c>
      <c r="P43" s="7">
        <f>+[15]Resumen!P43*1000</f>
        <v>293286.66149786522</v>
      </c>
      <c r="Q43" s="7">
        <f>+[15]Resumen!Q43*1000</f>
        <v>306817.24562084395</v>
      </c>
      <c r="R43" s="7">
        <f>+[15]Resumen!R43*1000</f>
        <v>309577.68436067982</v>
      </c>
      <c r="S43" s="7">
        <f>+[15]Resumen!S43*1000</f>
        <v>305572.15734846937</v>
      </c>
      <c r="T43" s="7">
        <f>+[15]Resumen!T43*1000</f>
        <v>307050.75633261685</v>
      </c>
      <c r="U43" s="7">
        <f>+[15]Resumen!U43*1000</f>
        <v>306577.16226755729</v>
      </c>
      <c r="V43" s="7">
        <f>+[15]Resumen!V43*1000</f>
        <v>300065.48143208103</v>
      </c>
      <c r="W43" s="7">
        <f>+[15]Resumen!W43*1000</f>
        <v>0</v>
      </c>
      <c r="X43" s="7">
        <f>+[15]Resumen!X43*1000</f>
        <v>0</v>
      </c>
      <c r="Y43" s="7">
        <f>+[15]Resumen!Y43*1000</f>
        <v>0</v>
      </c>
      <c r="Z43" s="7">
        <f>+[15]Resumen!Z43*1000</f>
        <v>0</v>
      </c>
      <c r="AA43" s="7">
        <f>+[15]Resumen!AA43*1000</f>
        <v>0</v>
      </c>
      <c r="AB43" s="7">
        <f>+[15]Resumen!AB43*1000</f>
        <v>0</v>
      </c>
      <c r="AC43" s="7">
        <f>+[15]Resumen!AC43*1000</f>
        <v>0</v>
      </c>
      <c r="AD43" s="60">
        <f t="shared" ref="AD43" si="5">SUM(F43:AC43)*E43+SUM(F44:AC44)*E44+SUM(F45:AC45)*E45+SUM(F46:AC46)*E46</f>
        <v>87425979.849812925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f>+[15]Resumen!E44</f>
        <v>4</v>
      </c>
      <c r="F44" s="7">
        <f>+[15]Resumen!F44*1000</f>
        <v>0</v>
      </c>
      <c r="G44" s="7">
        <f>+[15]Resumen!G44*1000</f>
        <v>0</v>
      </c>
      <c r="H44" s="7">
        <f>+[15]Resumen!H44*1000</f>
        <v>0</v>
      </c>
      <c r="I44" s="7">
        <f>+[15]Resumen!I44*1000</f>
        <v>0</v>
      </c>
      <c r="J44" s="7">
        <f>+[15]Resumen!J44*1000</f>
        <v>0</v>
      </c>
      <c r="K44" s="7">
        <f>+[15]Resumen!K44*1000</f>
        <v>0</v>
      </c>
      <c r="L44" s="7">
        <f>+[15]Resumen!L44*1000</f>
        <v>0</v>
      </c>
      <c r="M44" s="7">
        <f>+[15]Resumen!M44*1000</f>
        <v>231657.78203699295</v>
      </c>
      <c r="N44" s="7">
        <f>+[15]Resumen!N44*1000</f>
        <v>253906.07375489536</v>
      </c>
      <c r="O44" s="7">
        <f>+[15]Resumen!O44*1000</f>
        <v>269205.89403787156</v>
      </c>
      <c r="P44" s="7">
        <f>+[15]Resumen!P44*1000</f>
        <v>283885.90029484971</v>
      </c>
      <c r="Q44" s="7">
        <f>+[15]Resumen!Q44*1000</f>
        <v>294006.75976942061</v>
      </c>
      <c r="R44" s="7">
        <f>+[15]Resumen!R44*1000</f>
        <v>295023.43367432791</v>
      </c>
      <c r="S44" s="7">
        <f>+[15]Resumen!S44*1000</f>
        <v>288205.63533523516</v>
      </c>
      <c r="T44" s="7">
        <f>+[15]Resumen!T44*1000</f>
        <v>281195.33407808462</v>
      </c>
      <c r="U44" s="7">
        <f>+[15]Resumen!U44*1000</f>
        <v>278345.46083752497</v>
      </c>
      <c r="V44" s="7">
        <f>+[15]Resumen!V44*1000</f>
        <v>275137.10520759085</v>
      </c>
      <c r="W44" s="7">
        <f>+[15]Resumen!W44*1000</f>
        <v>0</v>
      </c>
      <c r="X44" s="7">
        <f>+[15]Resumen!X44*1000</f>
        <v>0</v>
      </c>
      <c r="Y44" s="7">
        <f>+[15]Resumen!Y44*1000</f>
        <v>0</v>
      </c>
      <c r="Z44" s="7">
        <f>+[15]Resumen!Z44*1000</f>
        <v>0</v>
      </c>
      <c r="AA44" s="7">
        <f>+[15]Resumen!AA44*1000</f>
        <v>0</v>
      </c>
      <c r="AB44" s="7">
        <f>+[15]Resumen!AB44*1000</f>
        <v>0</v>
      </c>
      <c r="AC44" s="7">
        <f>+[15]Resumen!AC44*1000</f>
        <v>0</v>
      </c>
      <c r="AD44" s="6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f>+[15]Resumen!E45</f>
        <v>4</v>
      </c>
      <c r="F45" s="7">
        <f>+[15]Resumen!F45*1000</f>
        <v>0</v>
      </c>
      <c r="G45" s="7">
        <f>+[15]Resumen!G45*1000</f>
        <v>0</v>
      </c>
      <c r="H45" s="7">
        <f>+[15]Resumen!H45*1000</f>
        <v>0</v>
      </c>
      <c r="I45" s="7">
        <f>+[15]Resumen!I45*1000</f>
        <v>0</v>
      </c>
      <c r="J45" s="7">
        <f>+[15]Resumen!J45*1000</f>
        <v>0</v>
      </c>
      <c r="K45" s="7">
        <f>+[15]Resumen!K45*1000</f>
        <v>0</v>
      </c>
      <c r="L45" s="7">
        <f>+[15]Resumen!L45*1000</f>
        <v>0</v>
      </c>
      <c r="M45" s="7">
        <f>+[15]Resumen!M45*1000</f>
        <v>195402.58410015507</v>
      </c>
      <c r="N45" s="7">
        <f>+[15]Resumen!N45*1000</f>
        <v>213627.25896681845</v>
      </c>
      <c r="O45" s="7">
        <f>+[15]Resumen!O45*1000</f>
        <v>228682.36947215884</v>
      </c>
      <c r="P45" s="7">
        <f>+[15]Resumen!P45*1000</f>
        <v>241833.54937124526</v>
      </c>
      <c r="Q45" s="7">
        <f>+[15]Resumen!Q45*1000</f>
        <v>255602.29350255645</v>
      </c>
      <c r="R45" s="7">
        <f>+[15]Resumen!R45*1000</f>
        <v>262997.21176824823</v>
      </c>
      <c r="S45" s="7">
        <f>+[15]Resumen!S45*1000</f>
        <v>261341.29493436762</v>
      </c>
      <c r="T45" s="7">
        <f>+[15]Resumen!T45*1000</f>
        <v>255764.07488364339</v>
      </c>
      <c r="U45" s="7">
        <f>+[15]Resumen!U45*1000</f>
        <v>252379.70511996135</v>
      </c>
      <c r="V45" s="7">
        <f>+[15]Resumen!V45*1000</f>
        <v>248127.99411219879</v>
      </c>
      <c r="W45" s="7">
        <f>+[15]Resumen!W45*1000</f>
        <v>0</v>
      </c>
      <c r="X45" s="7">
        <f>+[15]Resumen!X45*1000</f>
        <v>0</v>
      </c>
      <c r="Y45" s="7">
        <f>+[15]Resumen!Y45*1000</f>
        <v>0</v>
      </c>
      <c r="Z45" s="7">
        <f>+[15]Resumen!Z45*1000</f>
        <v>0</v>
      </c>
      <c r="AA45" s="7">
        <f>+[15]Resumen!AA45*1000</f>
        <v>0</v>
      </c>
      <c r="AB45" s="7">
        <f>+[15]Resumen!AB45*1000</f>
        <v>0</v>
      </c>
      <c r="AC45" s="7">
        <f>+[15]Resumen!AC45*1000</f>
        <v>0</v>
      </c>
      <c r="AD45" s="6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f>+[15]Resumen!E46</f>
        <v>1</v>
      </c>
      <c r="F46" s="7">
        <f>+[15]Resumen!F46*1000</f>
        <v>0</v>
      </c>
      <c r="G46" s="7">
        <f>+[15]Resumen!G46*1000</f>
        <v>0</v>
      </c>
      <c r="H46" s="7">
        <f>+[15]Resumen!H46*1000</f>
        <v>0</v>
      </c>
      <c r="I46" s="7">
        <f>+[15]Resumen!I46*1000</f>
        <v>0</v>
      </c>
      <c r="J46" s="7">
        <f>+[15]Resumen!J46*1000</f>
        <v>0</v>
      </c>
      <c r="K46" s="7">
        <f>+[15]Resumen!K46*1000</f>
        <v>0</v>
      </c>
      <c r="L46" s="7">
        <f>+[15]Resumen!L46*1000</f>
        <v>0</v>
      </c>
      <c r="M46" s="7">
        <f>+[15]Resumen!M46*1000</f>
        <v>193286.37858971421</v>
      </c>
      <c r="N46" s="7">
        <f>+[15]Resumen!N46*1000</f>
        <v>211505.18153621478</v>
      </c>
      <c r="O46" s="7">
        <f>+[15]Resumen!O46*1000</f>
        <v>225134.93956290686</v>
      </c>
      <c r="P46" s="7">
        <f>+[15]Resumen!P46*1000</f>
        <v>239475.50766449462</v>
      </c>
      <c r="Q46" s="7">
        <f>+[15]Resumen!Q46*1000</f>
        <v>257107.05413666461</v>
      </c>
      <c r="R46" s="7">
        <f>+[15]Resumen!R46*1000</f>
        <v>268321.03060143552</v>
      </c>
      <c r="S46" s="7">
        <f>+[15]Resumen!S46*1000</f>
        <v>268001.28541908419</v>
      </c>
      <c r="T46" s="7">
        <f>+[15]Resumen!T46*1000</f>
        <v>260340.34463437233</v>
      </c>
      <c r="U46" s="7">
        <f>+[15]Resumen!U46*1000</f>
        <v>258037.34802056453</v>
      </c>
      <c r="V46" s="7">
        <f>+[15]Resumen!V46*1000</f>
        <v>256046.91887366824</v>
      </c>
      <c r="W46" s="7">
        <f>+[15]Resumen!W46*1000</f>
        <v>0</v>
      </c>
      <c r="X46" s="7">
        <f>+[15]Resumen!X46*1000</f>
        <v>0</v>
      </c>
      <c r="Y46" s="7">
        <f>+[15]Resumen!Y46*1000</f>
        <v>0</v>
      </c>
      <c r="Z46" s="7">
        <f>+[15]Resumen!Z46*1000</f>
        <v>0</v>
      </c>
      <c r="AA46" s="7">
        <f>+[15]Resumen!AA46*1000</f>
        <v>0</v>
      </c>
      <c r="AB46" s="7">
        <f>+[15]Resumen!AB46*1000</f>
        <v>0</v>
      </c>
      <c r="AC46" s="7">
        <f>+[15]Resumen!AC46*1000</f>
        <v>0</v>
      </c>
      <c r="AD46" s="6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f>+[15]Resumen!E47</f>
        <v>20</v>
      </c>
      <c r="F47" s="7">
        <f>+[15]Resumen!F47*1000</f>
        <v>0</v>
      </c>
      <c r="G47" s="7">
        <f>+[15]Resumen!G47*1000</f>
        <v>0</v>
      </c>
      <c r="H47" s="7">
        <f>+[15]Resumen!H47*1000</f>
        <v>0</v>
      </c>
      <c r="I47" s="7">
        <f>+[15]Resumen!I47*1000</f>
        <v>0</v>
      </c>
      <c r="J47" s="7">
        <f>+[15]Resumen!J47*1000</f>
        <v>0</v>
      </c>
      <c r="K47" s="7">
        <f>+[15]Resumen!K47*1000</f>
        <v>0</v>
      </c>
      <c r="L47" s="7">
        <f>+[15]Resumen!L47*1000</f>
        <v>0</v>
      </c>
      <c r="M47" s="7">
        <f>+[15]Resumen!M47*1000</f>
        <v>262340.72943060991</v>
      </c>
      <c r="N47" s="7">
        <f>+[15]Resumen!N47*1000</f>
        <v>279065.04968257912</v>
      </c>
      <c r="O47" s="7">
        <f>+[15]Resumen!O47*1000</f>
        <v>290331.81105006015</v>
      </c>
      <c r="P47" s="7">
        <f>+[15]Resumen!P47*1000</f>
        <v>305596.25634092232</v>
      </c>
      <c r="Q47" s="7">
        <f>+[15]Resumen!Q47*1000</f>
        <v>319582.15963295818</v>
      </c>
      <c r="R47" s="7">
        <f>+[15]Resumen!R47*1000</f>
        <v>322878.41316694446</v>
      </c>
      <c r="S47" s="7">
        <f>+[15]Resumen!S47*1000</f>
        <v>318157.77194572479</v>
      </c>
      <c r="T47" s="7">
        <f>+[15]Resumen!T47*1000</f>
        <v>318624.94099899149</v>
      </c>
      <c r="U47" s="7">
        <f>+[15]Resumen!U47*1000</f>
        <v>318137.72341378068</v>
      </c>
      <c r="V47" s="7">
        <f>+[15]Resumen!V47*1000</f>
        <v>312629.53169363918</v>
      </c>
      <c r="W47" s="7">
        <f>+[15]Resumen!W47*1000</f>
        <v>0</v>
      </c>
      <c r="X47" s="7">
        <f>+[15]Resumen!X47*1000</f>
        <v>0</v>
      </c>
      <c r="Y47" s="7">
        <f>+[15]Resumen!Y47*1000</f>
        <v>0</v>
      </c>
      <c r="Z47" s="7">
        <f>+[15]Resumen!Z47*1000</f>
        <v>0</v>
      </c>
      <c r="AA47" s="7">
        <f>+[15]Resumen!AA47*1000</f>
        <v>0</v>
      </c>
      <c r="AB47" s="7">
        <f>+[15]Resumen!AB47*1000</f>
        <v>0</v>
      </c>
      <c r="AC47" s="7">
        <f>+[15]Resumen!AC47*1000</f>
        <v>0</v>
      </c>
      <c r="AD47" s="60">
        <f t="shared" ref="AD47" si="6">SUM(F47:AC47)*E47+SUM(F48:AC48)*E48+SUM(F49:AC49)*E49+SUM(F50:AC50)*E50</f>
        <v>87208827.413518131</v>
      </c>
      <c r="AF47" s="8"/>
      <c r="AG47" s="8">
        <f>130*3000</f>
        <v>390000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f>+[15]Resumen!E48</f>
        <v>4</v>
      </c>
      <c r="F48" s="7">
        <f>+[15]Resumen!F48*1000</f>
        <v>0</v>
      </c>
      <c r="G48" s="7">
        <f>+[15]Resumen!G48*1000</f>
        <v>0</v>
      </c>
      <c r="H48" s="7">
        <f>+[15]Resumen!H48*1000</f>
        <v>0</v>
      </c>
      <c r="I48" s="7">
        <f>+[15]Resumen!I48*1000</f>
        <v>0</v>
      </c>
      <c r="J48" s="7">
        <f>+[15]Resumen!J48*1000</f>
        <v>0</v>
      </c>
      <c r="K48" s="7">
        <f>+[15]Resumen!K48*1000</f>
        <v>0</v>
      </c>
      <c r="L48" s="7">
        <f>+[15]Resumen!L48*1000</f>
        <v>0</v>
      </c>
      <c r="M48" s="7">
        <f>+[15]Resumen!M48*1000</f>
        <v>241891.84647662958</v>
      </c>
      <c r="N48" s="7">
        <f>+[15]Resumen!N48*1000</f>
        <v>265430.49472960661</v>
      </c>
      <c r="O48" s="7">
        <f>+[15]Resumen!O48*1000</f>
        <v>279894.60811459209</v>
      </c>
      <c r="P48" s="7">
        <f>+[15]Resumen!P48*1000</f>
        <v>293166.89428774506</v>
      </c>
      <c r="Q48" s="7">
        <f>+[15]Resumen!Q48*1000</f>
        <v>302611.18754477229</v>
      </c>
      <c r="R48" s="7">
        <f>+[15]Resumen!R48*1000</f>
        <v>303636.94587573881</v>
      </c>
      <c r="S48" s="7">
        <f>+[15]Resumen!S48*1000</f>
        <v>296372.79011542967</v>
      </c>
      <c r="T48" s="7">
        <f>+[15]Resumen!T48*1000</f>
        <v>289051.90711507708</v>
      </c>
      <c r="U48" s="7">
        <f>+[15]Resumen!U48*1000</f>
        <v>285271.6651361112</v>
      </c>
      <c r="V48" s="7">
        <f>+[15]Resumen!V48*1000</f>
        <v>281785.82593052188</v>
      </c>
      <c r="W48" s="7">
        <f>+[15]Resumen!W48*1000</f>
        <v>0</v>
      </c>
      <c r="X48" s="7">
        <f>+[15]Resumen!X48*1000</f>
        <v>0</v>
      </c>
      <c r="Y48" s="7">
        <f>+[15]Resumen!Y48*1000</f>
        <v>0</v>
      </c>
      <c r="Z48" s="7">
        <f>+[15]Resumen!Z48*1000</f>
        <v>0</v>
      </c>
      <c r="AA48" s="7">
        <f>+[15]Resumen!AA48*1000</f>
        <v>0</v>
      </c>
      <c r="AB48" s="7">
        <f>+[15]Resumen!AB48*1000</f>
        <v>0</v>
      </c>
      <c r="AC48" s="7">
        <f>+[15]Resumen!AC48*1000</f>
        <v>0</v>
      </c>
      <c r="AD48" s="6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f>+[15]Resumen!E49</f>
        <v>4</v>
      </c>
      <c r="F49" s="7">
        <f>+[15]Resumen!F49*1000</f>
        <v>0</v>
      </c>
      <c r="G49" s="7">
        <f>+[15]Resumen!G49*1000</f>
        <v>0</v>
      </c>
      <c r="H49" s="7">
        <f>+[15]Resumen!H49*1000</f>
        <v>0</v>
      </c>
      <c r="I49" s="7">
        <f>+[15]Resumen!I49*1000</f>
        <v>0</v>
      </c>
      <c r="J49" s="7">
        <f>+[15]Resumen!J49*1000</f>
        <v>0</v>
      </c>
      <c r="K49" s="7">
        <f>+[15]Resumen!K49*1000</f>
        <v>0</v>
      </c>
      <c r="L49" s="7">
        <f>+[15]Resumen!L49*1000</f>
        <v>0</v>
      </c>
      <c r="M49" s="7">
        <f>+[15]Resumen!M49*1000</f>
        <v>199738.76425972185</v>
      </c>
      <c r="N49" s="7">
        <f>+[15]Resumen!N49*1000</f>
        <v>219056.12986175745</v>
      </c>
      <c r="O49" s="7">
        <f>+[15]Resumen!O49*1000</f>
        <v>235362.98861124352</v>
      </c>
      <c r="P49" s="7">
        <f>+[15]Resumen!P49*1000</f>
        <v>248000.99096646727</v>
      </c>
      <c r="Q49" s="7">
        <f>+[15]Resumen!Q49*1000</f>
        <v>260636.39836547174</v>
      </c>
      <c r="R49" s="7">
        <f>+[15]Resumen!R49*1000</f>
        <v>269022.57951046521</v>
      </c>
      <c r="S49" s="7">
        <f>+[15]Resumen!S49*1000</f>
        <v>269952.78398481593</v>
      </c>
      <c r="T49" s="7">
        <f>+[15]Resumen!T49*1000</f>
        <v>264714.78584313043</v>
      </c>
      <c r="U49" s="7">
        <f>+[15]Resumen!U49*1000</f>
        <v>259920.5834351115</v>
      </c>
      <c r="V49" s="7">
        <f>+[15]Resumen!V49*1000</f>
        <v>255419.90426001986</v>
      </c>
      <c r="W49" s="7">
        <f>+[15]Resumen!W49*1000</f>
        <v>0</v>
      </c>
      <c r="X49" s="7">
        <f>+[15]Resumen!X49*1000</f>
        <v>0</v>
      </c>
      <c r="Y49" s="7">
        <f>+[15]Resumen!Y49*1000</f>
        <v>0</v>
      </c>
      <c r="Z49" s="7">
        <f>+[15]Resumen!Z49*1000</f>
        <v>0</v>
      </c>
      <c r="AA49" s="7">
        <f>+[15]Resumen!AA49*1000</f>
        <v>0</v>
      </c>
      <c r="AB49" s="7">
        <f>+[15]Resumen!AB49*1000</f>
        <v>0</v>
      </c>
      <c r="AC49" s="7">
        <f>+[15]Resumen!AC49*1000</f>
        <v>0</v>
      </c>
      <c r="AD49" s="6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f>+[15]Resumen!E50</f>
        <v>2</v>
      </c>
      <c r="F50" s="7">
        <f>+[15]Resumen!F50*1000</f>
        <v>0</v>
      </c>
      <c r="G50" s="7">
        <f>+[15]Resumen!G50*1000</f>
        <v>0</v>
      </c>
      <c r="H50" s="7">
        <f>+[15]Resumen!H50*1000</f>
        <v>0</v>
      </c>
      <c r="I50" s="7">
        <f>+[15]Resumen!I50*1000</f>
        <v>0</v>
      </c>
      <c r="J50" s="7">
        <f>+[15]Resumen!J50*1000</f>
        <v>0</v>
      </c>
      <c r="K50" s="7">
        <f>+[15]Resumen!K50*1000</f>
        <v>0</v>
      </c>
      <c r="L50" s="7">
        <f>+[15]Resumen!L50*1000</f>
        <v>0</v>
      </c>
      <c r="M50" s="7">
        <f>+[15]Resumen!M50*1000</f>
        <v>195741.19053880844</v>
      </c>
      <c r="N50" s="7">
        <f>+[15]Resumen!N50*1000</f>
        <v>215391.65245611515</v>
      </c>
      <c r="O50" s="7">
        <f>+[15]Resumen!O50*1000</f>
        <v>231262.78312428287</v>
      </c>
      <c r="P50" s="7">
        <f>+[15]Resumen!P50*1000</f>
        <v>247920.92367549337</v>
      </c>
      <c r="Q50" s="7">
        <f>+[15]Resumen!Q50*1000</f>
        <v>263915.79300120019</v>
      </c>
      <c r="R50" s="7">
        <f>+[15]Resumen!R50*1000</f>
        <v>274374.00718073541</v>
      </c>
      <c r="S50" s="7">
        <f>+[15]Resumen!S50*1000</f>
        <v>273867.85556400812</v>
      </c>
      <c r="T50" s="7">
        <f>+[15]Resumen!T50*1000</f>
        <v>266491.11238831037</v>
      </c>
      <c r="U50" s="7">
        <f>+[15]Resumen!U50*1000</f>
        <v>261232.00527584116</v>
      </c>
      <c r="V50" s="7">
        <f>+[15]Resumen!V50*1000</f>
        <v>258892.36114331175</v>
      </c>
      <c r="W50" s="7">
        <f>+[15]Resumen!W50*1000</f>
        <v>0</v>
      </c>
      <c r="X50" s="7">
        <f>+[15]Resumen!X50*1000</f>
        <v>0</v>
      </c>
      <c r="Y50" s="7">
        <f>+[15]Resumen!Y50*1000</f>
        <v>0</v>
      </c>
      <c r="Z50" s="7">
        <f>+[15]Resumen!Z50*1000</f>
        <v>0</v>
      </c>
      <c r="AA50" s="7">
        <f>+[15]Resumen!AA50*1000</f>
        <v>0</v>
      </c>
      <c r="AB50" s="7">
        <f>+[15]Resumen!AB50*1000</f>
        <v>0</v>
      </c>
      <c r="AC50" s="7">
        <f>+[15]Resumen!AC50*1000</f>
        <v>0</v>
      </c>
      <c r="AD50" s="6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f>+[15]Resumen!E51</f>
        <v>20</v>
      </c>
      <c r="F51" s="7">
        <f>+[15]Resumen!F51*1000</f>
        <v>0</v>
      </c>
      <c r="G51" s="7">
        <f>+[15]Resumen!G51*1000</f>
        <v>0</v>
      </c>
      <c r="H51" s="7">
        <f>+[15]Resumen!H51*1000</f>
        <v>0</v>
      </c>
      <c r="I51" s="7">
        <f>+[15]Resumen!I51*1000</f>
        <v>0</v>
      </c>
      <c r="J51" s="7">
        <f>+[15]Resumen!J51*1000</f>
        <v>0</v>
      </c>
      <c r="K51" s="7">
        <f>+[15]Resumen!K51*1000</f>
        <v>0</v>
      </c>
      <c r="L51" s="7">
        <f>+[15]Resumen!L51*1000</f>
        <v>0</v>
      </c>
      <c r="M51" s="7">
        <f>+[15]Resumen!M51*1000</f>
        <v>244725.77570734193</v>
      </c>
      <c r="N51" s="7">
        <f>+[15]Resumen!N51*1000</f>
        <v>265262.11159692012</v>
      </c>
      <c r="O51" s="7">
        <f>+[15]Resumen!O51*1000</f>
        <v>277748.97646599804</v>
      </c>
      <c r="P51" s="7">
        <f>+[15]Resumen!P51*1000</f>
        <v>291943.62818325608</v>
      </c>
      <c r="Q51" s="7">
        <f>+[15]Resumen!Q51*1000</f>
        <v>305423.17608796409</v>
      </c>
      <c r="R51" s="7">
        <f>+[15]Resumen!R51*1000</f>
        <v>310874.4783832985</v>
      </c>
      <c r="S51" s="7">
        <f>+[15]Resumen!S51*1000</f>
        <v>307222.51207667164</v>
      </c>
      <c r="T51" s="7">
        <f>+[15]Resumen!T51*1000</f>
        <v>307308.81932246446</v>
      </c>
      <c r="U51" s="7">
        <f>+[15]Resumen!U51*1000</f>
        <v>306262.77334099193</v>
      </c>
      <c r="V51" s="7">
        <f>+[15]Resumen!V51*1000</f>
        <v>300200.02201074106</v>
      </c>
      <c r="W51" s="7">
        <f>+[15]Resumen!W51*1000</f>
        <v>0</v>
      </c>
      <c r="X51" s="7">
        <f>+[15]Resumen!X51*1000</f>
        <v>0</v>
      </c>
      <c r="Y51" s="7">
        <f>+[15]Resumen!Y51*1000</f>
        <v>0</v>
      </c>
      <c r="Z51" s="7">
        <f>+[15]Resumen!Z51*1000</f>
        <v>0</v>
      </c>
      <c r="AA51" s="7">
        <f>+[15]Resumen!AA51*1000</f>
        <v>0</v>
      </c>
      <c r="AB51" s="7">
        <f>+[15]Resumen!AB51*1000</f>
        <v>0</v>
      </c>
      <c r="AC51" s="7">
        <f>+[15]Resumen!AC51*1000</f>
        <v>0</v>
      </c>
      <c r="AD51" s="60">
        <f t="shared" ref="AD51" si="7">SUM(F51:AC51)*E51+SUM(F52:AC52)*E52+SUM(F53:AC53)*E53+SUM(F54:AC54)*E54</f>
        <v>85951424.102714464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f>+[15]Resumen!E52</f>
        <v>4</v>
      </c>
      <c r="F52" s="7">
        <f>+[15]Resumen!F52*1000</f>
        <v>0</v>
      </c>
      <c r="G52" s="7">
        <f>+[15]Resumen!G52*1000</f>
        <v>0</v>
      </c>
      <c r="H52" s="7">
        <f>+[15]Resumen!H52*1000</f>
        <v>0</v>
      </c>
      <c r="I52" s="7">
        <f>+[15]Resumen!I52*1000</f>
        <v>0</v>
      </c>
      <c r="J52" s="7">
        <f>+[15]Resumen!J52*1000</f>
        <v>0</v>
      </c>
      <c r="K52" s="7">
        <f>+[15]Resumen!K52*1000</f>
        <v>0</v>
      </c>
      <c r="L52" s="7">
        <f>+[15]Resumen!L52*1000</f>
        <v>0</v>
      </c>
      <c r="M52" s="7">
        <f>+[15]Resumen!M52*1000</f>
        <v>231187.07402901063</v>
      </c>
      <c r="N52" s="7">
        <f>+[15]Resumen!N52*1000</f>
        <v>253869.39088821239</v>
      </c>
      <c r="O52" s="7">
        <f>+[15]Resumen!O52*1000</f>
        <v>269078.1049198237</v>
      </c>
      <c r="P52" s="7">
        <f>+[15]Resumen!P52*1000</f>
        <v>281341.43551938824</v>
      </c>
      <c r="Q52" s="7">
        <f>+[15]Resumen!Q52*1000</f>
        <v>290154.11684850371</v>
      </c>
      <c r="R52" s="7">
        <f>+[15]Resumen!R52*1000</f>
        <v>291876.86628078151</v>
      </c>
      <c r="S52" s="7">
        <f>+[15]Resumen!S52*1000</f>
        <v>286469.61378312757</v>
      </c>
      <c r="T52" s="7">
        <f>+[15]Resumen!T52*1000</f>
        <v>280387.76623659645</v>
      </c>
      <c r="U52" s="7">
        <f>+[15]Resumen!U52*1000</f>
        <v>276057.52245523961</v>
      </c>
      <c r="V52" s="7">
        <f>+[15]Resumen!V52*1000</f>
        <v>271666.84197719267</v>
      </c>
      <c r="W52" s="7">
        <f>+[15]Resumen!W52*1000</f>
        <v>0</v>
      </c>
      <c r="X52" s="7">
        <f>+[15]Resumen!X52*1000</f>
        <v>0</v>
      </c>
      <c r="Y52" s="7">
        <f>+[15]Resumen!Y52*1000</f>
        <v>0</v>
      </c>
      <c r="Z52" s="7">
        <f>+[15]Resumen!Z52*1000</f>
        <v>0</v>
      </c>
      <c r="AA52" s="7">
        <f>+[15]Resumen!AA52*1000</f>
        <v>0</v>
      </c>
      <c r="AB52" s="7">
        <f>+[15]Resumen!AB52*1000</f>
        <v>0</v>
      </c>
      <c r="AC52" s="7">
        <f>+[15]Resumen!AC52*1000</f>
        <v>0</v>
      </c>
      <c r="AD52" s="6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f>+[15]Resumen!E53</f>
        <v>5</v>
      </c>
      <c r="F53" s="7">
        <f>+[15]Resumen!F53*1000</f>
        <v>0</v>
      </c>
      <c r="G53" s="7">
        <f>+[15]Resumen!G53*1000</f>
        <v>0</v>
      </c>
      <c r="H53" s="7">
        <f>+[15]Resumen!H53*1000</f>
        <v>0</v>
      </c>
      <c r="I53" s="7">
        <f>+[15]Resumen!I53*1000</f>
        <v>0</v>
      </c>
      <c r="J53" s="7">
        <f>+[15]Resumen!J53*1000</f>
        <v>0</v>
      </c>
      <c r="K53" s="7">
        <f>+[15]Resumen!K53*1000</f>
        <v>0</v>
      </c>
      <c r="L53" s="7">
        <f>+[15]Resumen!L53*1000</f>
        <v>0</v>
      </c>
      <c r="M53" s="7">
        <f>+[15]Resumen!M53*1000</f>
        <v>196364.68283207587</v>
      </c>
      <c r="N53" s="7">
        <f>+[15]Resumen!N53*1000</f>
        <v>215197.41332936892</v>
      </c>
      <c r="O53" s="7">
        <f>+[15]Resumen!O53*1000</f>
        <v>230959.43939598417</v>
      </c>
      <c r="P53" s="7">
        <f>+[15]Resumen!P53*1000</f>
        <v>243875.91714907193</v>
      </c>
      <c r="Q53" s="7">
        <f>+[15]Resumen!Q53*1000</f>
        <v>255828.51421713005</v>
      </c>
      <c r="R53" s="7">
        <f>+[15]Resumen!R53*1000</f>
        <v>263149.55524366262</v>
      </c>
      <c r="S53" s="7">
        <f>+[15]Resumen!S53*1000</f>
        <v>263686.10610712529</v>
      </c>
      <c r="T53" s="7">
        <f>+[15]Resumen!T53*1000</f>
        <v>259070.07613778664</v>
      </c>
      <c r="U53" s="7">
        <f>+[15]Resumen!U53*1000</f>
        <v>256524.99589193997</v>
      </c>
      <c r="V53" s="7">
        <f>+[15]Resumen!V53*1000</f>
        <v>253184.08956563889</v>
      </c>
      <c r="W53" s="7">
        <f>+[15]Resumen!W53*1000</f>
        <v>0</v>
      </c>
      <c r="X53" s="7">
        <f>+[15]Resumen!X53*1000</f>
        <v>0</v>
      </c>
      <c r="Y53" s="7">
        <f>+[15]Resumen!Y53*1000</f>
        <v>0</v>
      </c>
      <c r="Z53" s="7">
        <f>+[15]Resumen!Z53*1000</f>
        <v>0</v>
      </c>
      <c r="AA53" s="7">
        <f>+[15]Resumen!AA53*1000</f>
        <v>0</v>
      </c>
      <c r="AB53" s="7">
        <f>+[15]Resumen!AB53*1000</f>
        <v>0</v>
      </c>
      <c r="AC53" s="7">
        <f>+[15]Resumen!AC53*1000</f>
        <v>0</v>
      </c>
      <c r="AD53" s="6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f>+[15]Resumen!E54</f>
        <v>2</v>
      </c>
      <c r="F54" s="7">
        <f>+[15]Resumen!F54*1000</f>
        <v>0</v>
      </c>
      <c r="G54" s="7">
        <f>+[15]Resumen!G54*1000</f>
        <v>0</v>
      </c>
      <c r="H54" s="7">
        <f>+[15]Resumen!H54*1000</f>
        <v>0</v>
      </c>
      <c r="I54" s="7">
        <f>+[15]Resumen!I54*1000</f>
        <v>0</v>
      </c>
      <c r="J54" s="7">
        <f>+[15]Resumen!J54*1000</f>
        <v>0</v>
      </c>
      <c r="K54" s="7">
        <f>+[15]Resumen!K54*1000</f>
        <v>0</v>
      </c>
      <c r="L54" s="7">
        <f>+[15]Resumen!L54*1000</f>
        <v>0</v>
      </c>
      <c r="M54" s="7">
        <f>+[15]Resumen!M54*1000</f>
        <v>179261.98760567623</v>
      </c>
      <c r="N54" s="7">
        <f>+[15]Resumen!N54*1000</f>
        <v>193416.88118361647</v>
      </c>
      <c r="O54" s="7">
        <f>+[15]Resumen!O54*1000</f>
        <v>207630.04483614705</v>
      </c>
      <c r="P54" s="7">
        <f>+[15]Resumen!P54*1000</f>
        <v>221292.27932212508</v>
      </c>
      <c r="Q54" s="7">
        <f>+[15]Resumen!Q54*1000</f>
        <v>234297.02925179666</v>
      </c>
      <c r="R54" s="7">
        <f>+[15]Resumen!R54*1000</f>
        <v>244101.48496600706</v>
      </c>
      <c r="S54" s="7">
        <f>+[15]Resumen!S54*1000</f>
        <v>245503.9444414709</v>
      </c>
      <c r="T54" s="7">
        <f>+[15]Resumen!T54*1000</f>
        <v>241758.72605429779</v>
      </c>
      <c r="U54" s="7">
        <f>+[15]Resumen!U54*1000</f>
        <v>240781.47136413804</v>
      </c>
      <c r="V54" s="7">
        <f>+[15]Resumen!V54*1000</f>
        <v>239166.0300252609</v>
      </c>
      <c r="W54" s="7">
        <f>+[15]Resumen!W54*1000</f>
        <v>0</v>
      </c>
      <c r="X54" s="7">
        <f>+[15]Resumen!X54*1000</f>
        <v>0</v>
      </c>
      <c r="Y54" s="7">
        <f>+[15]Resumen!Y54*1000</f>
        <v>0</v>
      </c>
      <c r="Z54" s="7">
        <f>+[15]Resumen!Z54*1000</f>
        <v>0</v>
      </c>
      <c r="AA54" s="7">
        <f>+[15]Resumen!AA54*1000</f>
        <v>0</v>
      </c>
      <c r="AB54" s="7">
        <f>+[15]Resumen!AB54*1000</f>
        <v>0</v>
      </c>
      <c r="AC54" s="7">
        <f>+[15]Resumen!AC54*1000</f>
        <v>0</v>
      </c>
      <c r="AD54" s="6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4" t="s">
        <v>46</v>
      </c>
      <c r="AA55" s="55"/>
      <c r="AB55" s="56"/>
      <c r="AC55" s="58"/>
      <c r="AD55" s="17">
        <f>SUM(AD7:AD54)</f>
        <v>1012696180.9276057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Y55 AD55" unlocked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EEA0-0EA2-408B-AC87-BAB683AF2B22}">
  <sheetPr codeName="Hoja8"/>
  <dimension ref="A1:Y31"/>
  <sheetViews>
    <sheetView showGridLines="0" topLeftCell="A12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2.453125" style="19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58</v>
      </c>
      <c r="D7" s="80"/>
      <c r="E7" s="80"/>
      <c r="F7" s="81"/>
      <c r="G7" s="22"/>
      <c r="H7" s="22"/>
      <c r="I7" s="22"/>
      <c r="Y7" s="22"/>
    </row>
    <row r="8" spans="2:25" ht="26.5" thickBot="1">
      <c r="B8" s="79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46023</v>
      </c>
      <c r="C9" s="29">
        <f>+'Cantidades 2026'!AD7</f>
        <v>69124564.124823257</v>
      </c>
      <c r="D9" s="82" t="s">
        <v>51</v>
      </c>
      <c r="E9" s="40"/>
      <c r="F9" s="70" t="s">
        <v>54</v>
      </c>
      <c r="G9" s="8"/>
    </row>
    <row r="10" spans="2:25" s="27" customFormat="1" ht="18" customHeight="1">
      <c r="B10" s="28">
        <v>46054</v>
      </c>
      <c r="C10" s="29">
        <f>+'Cantidades 2026'!AD11</f>
        <v>82906137.121528834</v>
      </c>
      <c r="D10" s="83"/>
      <c r="E10" s="30"/>
      <c r="F10" s="71"/>
      <c r="G10" s="8"/>
    </row>
    <row r="11" spans="2:25" s="27" customFormat="1" ht="18" customHeight="1">
      <c r="B11" s="28">
        <v>46082</v>
      </c>
      <c r="C11" s="29">
        <f>+'Cantidades 2026'!AD15</f>
        <v>65827996.505677044</v>
      </c>
      <c r="D11" s="83"/>
      <c r="E11" s="30"/>
      <c r="F11" s="71"/>
      <c r="G11" s="8"/>
    </row>
    <row r="12" spans="2:25" s="27" customFormat="1" ht="18" customHeight="1">
      <c r="B12" s="28">
        <v>46113</v>
      </c>
      <c r="C12" s="29">
        <f>+'Cantidades 2026'!AD19</f>
        <v>73334508.010741323</v>
      </c>
      <c r="D12" s="83"/>
      <c r="E12" s="30"/>
      <c r="F12" s="71"/>
      <c r="G12" s="8"/>
    </row>
    <row r="13" spans="2:25" s="27" customFormat="1" ht="18" customHeight="1">
      <c r="B13" s="28">
        <v>46143</v>
      </c>
      <c r="C13" s="29">
        <f>+'Cantidades 2026'!AD23</f>
        <v>29618521.962483816</v>
      </c>
      <c r="D13" s="83"/>
      <c r="E13" s="30"/>
      <c r="F13" s="71"/>
      <c r="G13" s="8"/>
    </row>
    <row r="14" spans="2:25" s="27" customFormat="1" ht="18" customHeight="1">
      <c r="B14" s="28">
        <v>46174</v>
      </c>
      <c r="C14" s="29">
        <f>+'Cantidades 2026'!AD27</f>
        <v>35450077.057393253</v>
      </c>
      <c r="D14" s="83"/>
      <c r="E14" s="30"/>
      <c r="F14" s="71"/>
      <c r="G14" s="8"/>
    </row>
    <row r="15" spans="2:25" s="27" customFormat="1" ht="18" customHeight="1">
      <c r="B15" s="28">
        <v>46204</v>
      </c>
      <c r="C15" s="29">
        <f>+'Cantidades 2026'!AD31</f>
        <v>31680983.793803599</v>
      </c>
      <c r="D15" s="83"/>
      <c r="E15" s="30"/>
      <c r="F15" s="71"/>
      <c r="G15" s="8"/>
    </row>
    <row r="16" spans="2:25" s="27" customFormat="1" ht="18" customHeight="1">
      <c r="B16" s="28">
        <v>46235</v>
      </c>
      <c r="C16" s="29">
        <f>+'Cantidades 2026'!AD35</f>
        <v>34639194.290529214</v>
      </c>
      <c r="D16" s="83"/>
      <c r="E16" s="30"/>
      <c r="F16" s="71"/>
      <c r="G16" s="8"/>
    </row>
    <row r="17" spans="1:7" s="27" customFormat="1" ht="18" customHeight="1">
      <c r="B17" s="28">
        <v>46266</v>
      </c>
      <c r="C17" s="29">
        <f>+'Cantidades 2026'!AD39</f>
        <v>73258851.498340473</v>
      </c>
      <c r="D17" s="83"/>
      <c r="E17" s="30"/>
      <c r="F17" s="71"/>
      <c r="G17" s="8"/>
    </row>
    <row r="18" spans="1:7" s="27" customFormat="1" ht="18" customHeight="1">
      <c r="B18" s="28">
        <v>46296</v>
      </c>
      <c r="C18" s="29">
        <f>+'Cantidades 2026'!AD43</f>
        <v>68201705.785181418</v>
      </c>
      <c r="D18" s="83"/>
      <c r="E18" s="30"/>
      <c r="F18" s="71"/>
      <c r="G18" s="8"/>
    </row>
    <row r="19" spans="1:7" s="27" customFormat="1" ht="18" customHeight="1">
      <c r="B19" s="28">
        <v>46327</v>
      </c>
      <c r="C19" s="29">
        <f>+'Cantidades 2026'!AD47</f>
        <v>75671694.355831206</v>
      </c>
      <c r="D19" s="83"/>
      <c r="E19" s="30"/>
      <c r="F19" s="71"/>
      <c r="G19" s="8"/>
    </row>
    <row r="20" spans="1:7" s="27" customFormat="1" ht="18" customHeight="1">
      <c r="B20" s="28">
        <v>46357</v>
      </c>
      <c r="C20" s="29">
        <f>+'Cantidades 2026'!AD51</f>
        <v>69881443.764367133</v>
      </c>
      <c r="D20" s="83"/>
      <c r="E20" s="30"/>
      <c r="F20" s="71"/>
      <c r="G20" s="8"/>
    </row>
    <row r="21" spans="1:7" s="27" customFormat="1" ht="18" customHeight="1" thickBot="1">
      <c r="B21" s="31" t="s">
        <v>55</v>
      </c>
      <c r="C21" s="50">
        <f>SUM(C9:C20)</f>
        <v>709595678.27070045</v>
      </c>
      <c r="D21" s="84"/>
      <c r="E21" s="32"/>
      <c r="F21" s="72"/>
      <c r="G21" s="8"/>
    </row>
    <row r="22" spans="1:7">
      <c r="B22" s="27"/>
      <c r="C22" s="2">
        <f>+C21/1000</f>
        <v>709595.6782707005</v>
      </c>
      <c r="D22" s="27"/>
      <c r="E22" s="27"/>
      <c r="F22" s="27"/>
    </row>
    <row r="23" spans="1:7">
      <c r="B23" s="27"/>
      <c r="C23" s="53"/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29" spans="1:7" ht="14.5">
      <c r="A29" s="36"/>
      <c r="C29" s="37"/>
    </row>
    <row r="31" spans="1:7">
      <c r="C31" s="38"/>
    </row>
  </sheetData>
  <mergeCells count="8">
    <mergeCell ref="F9:F21"/>
    <mergeCell ref="B2:F2"/>
    <mergeCell ref="B3:F3"/>
    <mergeCell ref="B4:F4"/>
    <mergeCell ref="B6:F6"/>
    <mergeCell ref="B7:B8"/>
    <mergeCell ref="C7:F7"/>
    <mergeCell ref="D9:D21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0B4-37FE-479A-A93F-66F6F3BB6B0E}">
  <sheetPr codeName="Hoja9"/>
  <dimension ref="A1:Y30"/>
  <sheetViews>
    <sheetView showGridLines="0" topLeftCell="A14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2.453125" style="19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59</v>
      </c>
      <c r="D7" s="80"/>
      <c r="E7" s="80"/>
      <c r="F7" s="81"/>
      <c r="G7" s="22"/>
      <c r="H7" s="22"/>
      <c r="I7" s="22"/>
      <c r="Y7" s="22"/>
    </row>
    <row r="8" spans="2:25" ht="26.5" thickBot="1">
      <c r="B8" s="79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46388</v>
      </c>
      <c r="C9" s="29">
        <f>+'Cantidades 2027'!AD7</f>
        <v>63756662.530606858</v>
      </c>
      <c r="D9" s="85" t="s">
        <v>51</v>
      </c>
      <c r="E9" s="40"/>
      <c r="F9" s="70" t="s">
        <v>54</v>
      </c>
      <c r="G9" s="8"/>
    </row>
    <row r="10" spans="2:25" s="27" customFormat="1" ht="18" customHeight="1">
      <c r="B10" s="28">
        <v>46419</v>
      </c>
      <c r="C10" s="29">
        <f>+'Cantidades 2027'!AD11</f>
        <v>76709571.23707442</v>
      </c>
      <c r="D10" s="86"/>
      <c r="E10" s="30"/>
      <c r="F10" s="71"/>
      <c r="G10" s="8"/>
    </row>
    <row r="11" spans="2:25" s="27" customFormat="1" ht="18" customHeight="1">
      <c r="B11" s="28">
        <v>46447</v>
      </c>
      <c r="C11" s="29">
        <f>+'Cantidades 2027'!AD15</f>
        <v>58588906.945879892</v>
      </c>
      <c r="D11" s="86"/>
      <c r="E11" s="30"/>
      <c r="F11" s="71"/>
      <c r="G11" s="8"/>
    </row>
    <row r="12" spans="2:25" s="27" customFormat="1" ht="18" customHeight="1">
      <c r="B12" s="28">
        <v>46478</v>
      </c>
      <c r="C12" s="29">
        <f>+'Cantidades 2027'!AD19</f>
        <v>64978468.07595893</v>
      </c>
      <c r="D12" s="86"/>
      <c r="E12" s="30"/>
      <c r="F12" s="71"/>
      <c r="G12" s="8"/>
    </row>
    <row r="13" spans="2:25" s="27" customFormat="1" ht="18" customHeight="1">
      <c r="B13" s="28">
        <v>46508</v>
      </c>
      <c r="C13" s="29">
        <f>+'Cantidades 2027'!AD23</f>
        <v>48647934.013532721</v>
      </c>
      <c r="D13" s="86"/>
      <c r="E13" s="30"/>
      <c r="F13" s="71"/>
      <c r="G13" s="8"/>
    </row>
    <row r="14" spans="2:25" s="27" customFormat="1" ht="18" customHeight="1">
      <c r="B14" s="28">
        <v>46539</v>
      </c>
      <c r="C14" s="29">
        <f>+'Cantidades 2027'!AD27</f>
        <v>55973890.559804432</v>
      </c>
      <c r="D14" s="86"/>
      <c r="E14" s="30"/>
      <c r="F14" s="71"/>
      <c r="G14" s="8"/>
    </row>
    <row r="15" spans="2:25" s="27" customFormat="1" ht="18" customHeight="1">
      <c r="B15" s="28">
        <v>46569</v>
      </c>
      <c r="C15" s="29">
        <f>+'Cantidades 2027'!AD31</f>
        <v>37267229.899352521</v>
      </c>
      <c r="D15" s="86"/>
      <c r="E15" s="30"/>
      <c r="F15" s="71"/>
      <c r="G15" s="8"/>
    </row>
    <row r="16" spans="2:25" s="27" customFormat="1" ht="18" customHeight="1">
      <c r="B16" s="28">
        <v>46600</v>
      </c>
      <c r="C16" s="29">
        <f>+'Cantidades 2027'!AD35</f>
        <v>37886274.052519284</v>
      </c>
      <c r="D16" s="86"/>
      <c r="E16" s="30"/>
      <c r="F16" s="71"/>
      <c r="G16" s="8"/>
    </row>
    <row r="17" spans="1:7" s="27" customFormat="1" ht="18" customHeight="1">
      <c r="B17" s="28">
        <v>46631</v>
      </c>
      <c r="C17" s="29">
        <f>+'Cantidades 2027'!AD39</f>
        <v>54535557.658852182</v>
      </c>
      <c r="D17" s="86"/>
      <c r="E17" s="30"/>
      <c r="F17" s="71"/>
      <c r="G17" s="8"/>
    </row>
    <row r="18" spans="1:7" s="27" customFormat="1" ht="18" customHeight="1">
      <c r="B18" s="28">
        <v>46661</v>
      </c>
      <c r="C18" s="29">
        <f>+'Cantidades 2027'!AD43</f>
        <v>50975970.105347119</v>
      </c>
      <c r="D18" s="86"/>
      <c r="E18" s="30"/>
      <c r="F18" s="71"/>
      <c r="G18" s="8"/>
    </row>
    <row r="19" spans="1:7" s="27" customFormat="1" ht="18" customHeight="1">
      <c r="B19" s="28">
        <v>46692</v>
      </c>
      <c r="C19" s="29">
        <f>+'Cantidades 2027'!AD47</f>
        <v>58131063.23887255</v>
      </c>
      <c r="D19" s="86"/>
      <c r="E19" s="30"/>
      <c r="F19" s="71"/>
      <c r="G19" s="8"/>
    </row>
    <row r="20" spans="1:7" s="27" customFormat="1" ht="18" customHeight="1">
      <c r="B20" s="28">
        <v>46722</v>
      </c>
      <c r="C20" s="29">
        <f>+'Cantidades 2027'!AD51</f>
        <v>51369645.907212436</v>
      </c>
      <c r="D20" s="86"/>
      <c r="E20" s="30"/>
      <c r="F20" s="71"/>
      <c r="G20" s="8"/>
    </row>
    <row r="21" spans="1:7" s="27" customFormat="1" ht="18" customHeight="1" thickBot="1">
      <c r="B21" s="31" t="s">
        <v>55</v>
      </c>
      <c r="C21" s="50">
        <f>SUM(C9:C20)</f>
        <v>658821174.22501326</v>
      </c>
      <c r="D21" s="87"/>
      <c r="E21" s="32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658821.17422501324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145D-97BE-414C-88E3-AD6C05BAF144}">
  <sheetPr codeName="Hoja11"/>
  <dimension ref="A1:Y30"/>
  <sheetViews>
    <sheetView showGridLines="0" topLeftCell="A15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2.453125" style="19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60</v>
      </c>
      <c r="D7" s="80"/>
      <c r="E7" s="80"/>
      <c r="F7" s="81"/>
      <c r="G7" s="22"/>
      <c r="H7" s="22"/>
      <c r="I7" s="22"/>
      <c r="Y7" s="22"/>
    </row>
    <row r="8" spans="2:25" ht="26.5" thickBot="1">
      <c r="B8" s="79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46753</v>
      </c>
      <c r="C9" s="29">
        <f>+'Cantidades 2028'!AD7</f>
        <v>68247889.136962667</v>
      </c>
      <c r="D9" s="85" t="s">
        <v>51</v>
      </c>
      <c r="E9" s="40"/>
      <c r="F9" s="70" t="s">
        <v>54</v>
      </c>
      <c r="G9" s="8"/>
    </row>
    <row r="10" spans="2:25" s="27" customFormat="1" ht="18" customHeight="1">
      <c r="B10" s="28">
        <v>46784</v>
      </c>
      <c r="C10" s="29">
        <f>+'Cantidades 2028'!AD11</f>
        <v>75030959.997720644</v>
      </c>
      <c r="D10" s="86"/>
      <c r="E10" s="30"/>
      <c r="F10" s="71"/>
      <c r="G10" s="8"/>
    </row>
    <row r="11" spans="2:25" s="27" customFormat="1" ht="18" customHeight="1">
      <c r="B11" s="28">
        <v>46813</v>
      </c>
      <c r="C11" s="29">
        <f>+'Cantidades 2028'!AD15</f>
        <v>68053302.877973109</v>
      </c>
      <c r="D11" s="86"/>
      <c r="E11" s="30"/>
      <c r="F11" s="71"/>
      <c r="G11" s="8"/>
    </row>
    <row r="12" spans="2:25" s="27" customFormat="1" ht="18" customHeight="1">
      <c r="B12" s="28">
        <v>46844</v>
      </c>
      <c r="C12" s="29">
        <f>+'Cantidades 2028'!AD19</f>
        <v>69237486.673972085</v>
      </c>
      <c r="D12" s="86"/>
      <c r="E12" s="30"/>
      <c r="F12" s="71"/>
      <c r="G12" s="8"/>
    </row>
    <row r="13" spans="2:25" s="27" customFormat="1" ht="18" customHeight="1">
      <c r="B13" s="28">
        <v>46874</v>
      </c>
      <c r="C13" s="29">
        <f>+'Cantidades 2028'!AD23</f>
        <v>67097745.419323124</v>
      </c>
      <c r="D13" s="86"/>
      <c r="E13" s="30"/>
      <c r="F13" s="71"/>
      <c r="G13" s="8"/>
    </row>
    <row r="14" spans="2:25" s="27" customFormat="1" ht="18" customHeight="1">
      <c r="B14" s="28">
        <v>46905</v>
      </c>
      <c r="C14" s="29">
        <f>+'Cantidades 2028'!AD27</f>
        <v>71045389.792860925</v>
      </c>
      <c r="D14" s="86"/>
      <c r="E14" s="30"/>
      <c r="F14" s="71"/>
      <c r="G14" s="8"/>
    </row>
    <row r="15" spans="2:25" s="27" customFormat="1" ht="18" customHeight="1">
      <c r="B15" s="28">
        <v>46935</v>
      </c>
      <c r="C15" s="29">
        <f>+'Cantidades 2028'!AD31</f>
        <v>61137014.126799971</v>
      </c>
      <c r="D15" s="86"/>
      <c r="E15" s="30"/>
      <c r="F15" s="71"/>
      <c r="G15" s="8"/>
    </row>
    <row r="16" spans="2:25" s="27" customFormat="1" ht="18" customHeight="1">
      <c r="B16" s="28">
        <v>46966</v>
      </c>
      <c r="C16" s="29">
        <f>+'Cantidades 2028'!AD35</f>
        <v>63065210.004946887</v>
      </c>
      <c r="D16" s="86"/>
      <c r="E16" s="30"/>
      <c r="F16" s="71"/>
      <c r="G16" s="8"/>
    </row>
    <row r="17" spans="1:7" s="27" customFormat="1" ht="18" customHeight="1">
      <c r="B17" s="28">
        <v>46997</v>
      </c>
      <c r="C17" s="29">
        <f>+'Cantidades 2028'!AD39</f>
        <v>66915978.909930326</v>
      </c>
      <c r="D17" s="86"/>
      <c r="E17" s="30"/>
      <c r="F17" s="71"/>
      <c r="G17" s="8"/>
    </row>
    <row r="18" spans="1:7" s="27" customFormat="1" ht="18" customHeight="1">
      <c r="B18" s="28">
        <v>47027</v>
      </c>
      <c r="C18" s="29">
        <f>+'Cantidades 2028'!AD43</f>
        <v>64387467.479978085</v>
      </c>
      <c r="D18" s="86"/>
      <c r="E18" s="30"/>
      <c r="F18" s="71"/>
      <c r="G18" s="8"/>
    </row>
    <row r="19" spans="1:7" s="27" customFormat="1" ht="18" customHeight="1">
      <c r="B19" s="28">
        <v>47058</v>
      </c>
      <c r="C19" s="29">
        <f>+'Cantidades 2028'!AD47</f>
        <v>69088403.724848777</v>
      </c>
      <c r="D19" s="86"/>
      <c r="E19" s="30"/>
      <c r="F19" s="71"/>
      <c r="G19" s="8"/>
    </row>
    <row r="20" spans="1:7" s="27" customFormat="1" ht="18" customHeight="1">
      <c r="B20" s="28">
        <v>47088</v>
      </c>
      <c r="C20" s="29">
        <f>+'Cantidades 2028'!AD51</f>
        <v>63760261.447299853</v>
      </c>
      <c r="D20" s="86"/>
      <c r="E20" s="30"/>
      <c r="F20" s="71"/>
      <c r="G20" s="8"/>
    </row>
    <row r="21" spans="1:7" s="27" customFormat="1" ht="18" customHeight="1" thickBot="1">
      <c r="B21" s="31" t="s">
        <v>55</v>
      </c>
      <c r="C21" s="50">
        <f>SUM(C9:C20)</f>
        <v>807067109.59261656</v>
      </c>
      <c r="D21" s="87"/>
      <c r="E21" s="32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807067.10959261656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ADC6-57AF-448D-8F62-AAA7AF0E5263}">
  <dimension ref="A1:Y30"/>
  <sheetViews>
    <sheetView showGridLines="0" topLeftCell="A16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61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47119</v>
      </c>
      <c r="C9" s="45">
        <f>+'Cantidades 2029'!AD7</f>
        <v>44246122.736915201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47150</v>
      </c>
      <c r="C10" s="45">
        <f>+'Cantidades 2029'!AD11</f>
        <v>47892330.223026</v>
      </c>
      <c r="D10" s="86"/>
      <c r="E10" s="43"/>
      <c r="F10" s="71"/>
      <c r="G10" s="8"/>
    </row>
    <row r="11" spans="2:25" s="27" customFormat="1" ht="18" customHeight="1">
      <c r="B11" s="28">
        <v>47178</v>
      </c>
      <c r="C11" s="45">
        <f>+'Cantidades 2029'!AD15</f>
        <v>44335232.379440635</v>
      </c>
      <c r="D11" s="86"/>
      <c r="E11" s="43"/>
      <c r="F11" s="71"/>
      <c r="G11" s="8"/>
    </row>
    <row r="12" spans="2:25" s="27" customFormat="1" ht="18" customHeight="1">
      <c r="B12" s="28">
        <v>47209</v>
      </c>
      <c r="C12" s="46">
        <f>+'Cantidades 2029'!AD19</f>
        <v>45269631.393944383</v>
      </c>
      <c r="D12" s="86"/>
      <c r="E12" s="43"/>
      <c r="F12" s="71"/>
      <c r="G12" s="8"/>
    </row>
    <row r="13" spans="2:25" s="27" customFormat="1" ht="18" customHeight="1">
      <c r="B13" s="28">
        <v>47239</v>
      </c>
      <c r="C13" s="45">
        <f>+'Cantidades 2029'!AD23</f>
        <v>44159243.43635077</v>
      </c>
      <c r="D13" s="86"/>
      <c r="E13" s="43"/>
      <c r="F13" s="71"/>
      <c r="G13" s="8"/>
    </row>
    <row r="14" spans="2:25" s="27" customFormat="1" ht="18" customHeight="1">
      <c r="B14" s="28">
        <v>47270</v>
      </c>
      <c r="C14" s="45">
        <f>+'Cantidades 2029'!AD27</f>
        <v>46032413.128151156</v>
      </c>
      <c r="D14" s="86"/>
      <c r="E14" s="43"/>
      <c r="F14" s="71"/>
      <c r="G14" s="8"/>
    </row>
    <row r="15" spans="2:25" s="27" customFormat="1" ht="18" customHeight="1">
      <c r="B15" s="28">
        <v>47300</v>
      </c>
      <c r="C15" s="45">
        <f>+'Cantidades 2029'!AD31</f>
        <v>45057084.65090391</v>
      </c>
      <c r="D15" s="86"/>
      <c r="E15" s="43"/>
      <c r="F15" s="71"/>
      <c r="G15" s="8"/>
      <c r="H15" s="48"/>
    </row>
    <row r="16" spans="2:25" s="27" customFormat="1" ht="18" customHeight="1">
      <c r="B16" s="28">
        <v>47331</v>
      </c>
      <c r="C16" s="45">
        <f>+'Cantidades 2029'!AD35</f>
        <v>45711296.990519211</v>
      </c>
      <c r="D16" s="86"/>
      <c r="E16" s="43"/>
      <c r="F16" s="71"/>
      <c r="G16" s="8"/>
      <c r="H16" s="18"/>
    </row>
    <row r="17" spans="1:7" s="27" customFormat="1" ht="18" customHeight="1">
      <c r="B17" s="28">
        <v>47362</v>
      </c>
      <c r="C17" s="45">
        <f>+'Cantidades 2029'!AD39</f>
        <v>47254069.266589485</v>
      </c>
      <c r="D17" s="86"/>
      <c r="E17" s="43"/>
      <c r="F17" s="71"/>
      <c r="G17" s="8"/>
    </row>
    <row r="18" spans="1:7" s="27" customFormat="1" ht="18" customHeight="1">
      <c r="B18" s="28">
        <v>47392</v>
      </c>
      <c r="C18" s="45">
        <f>+'Cantidades 2029'!AD43</f>
        <v>46375464.349733815</v>
      </c>
      <c r="D18" s="86"/>
      <c r="E18" s="43"/>
      <c r="F18" s="71"/>
      <c r="G18" s="8"/>
    </row>
    <row r="19" spans="1:7" s="27" customFormat="1" ht="18" customHeight="1">
      <c r="B19" s="28">
        <v>47423</v>
      </c>
      <c r="C19" s="45">
        <f>+'Cantidades 2029'!AD47</f>
        <v>47638786.08707007</v>
      </c>
      <c r="D19" s="86"/>
      <c r="E19" s="43"/>
      <c r="F19" s="71"/>
      <c r="G19" s="8"/>
    </row>
    <row r="20" spans="1:7" s="27" customFormat="1" ht="18" customHeight="1">
      <c r="B20" s="28">
        <v>47453</v>
      </c>
      <c r="C20" s="45">
        <f>+'Cantidades 2029'!AD51</f>
        <v>45095101.824334696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549066776.46697927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549066.7764669793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F9:F21"/>
    <mergeCell ref="B2:F2"/>
    <mergeCell ref="B3:F3"/>
    <mergeCell ref="B4:F4"/>
    <mergeCell ref="B6:F6"/>
    <mergeCell ref="B7:B8"/>
    <mergeCell ref="C7:F7"/>
    <mergeCell ref="D9:D21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9DD6-90C1-45E7-8D8C-D18A7F715AFB}">
  <dimension ref="A1:Y30"/>
  <sheetViews>
    <sheetView showGridLines="0" topLeftCell="A14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1"/>
      <c r="C5" s="51"/>
      <c r="D5" s="51"/>
      <c r="E5" s="51"/>
      <c r="F5" s="51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62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47484</v>
      </c>
      <c r="C9" s="45">
        <f>+'Cantidades 2030'!AD7</f>
        <v>46682112.720715575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47515</v>
      </c>
      <c r="C10" s="45">
        <f>+'Cantidades 2030'!AD11</f>
        <v>48679336.66111356</v>
      </c>
      <c r="D10" s="86"/>
      <c r="E10" s="43"/>
      <c r="F10" s="71"/>
      <c r="G10" s="8"/>
    </row>
    <row r="11" spans="2:25" s="27" customFormat="1" ht="18" customHeight="1">
      <c r="B11" s="28">
        <v>47543</v>
      </c>
      <c r="C11" s="45">
        <f>+'Cantidades 2030'!AD15</f>
        <v>47143261.127823539</v>
      </c>
      <c r="D11" s="86"/>
      <c r="E11" s="43"/>
      <c r="F11" s="71"/>
      <c r="G11" s="8"/>
    </row>
    <row r="12" spans="2:25" s="27" customFormat="1" ht="18" customHeight="1">
      <c r="B12" s="28">
        <v>47574</v>
      </c>
      <c r="C12" s="46">
        <f>+'Cantidades 2030'!AD19</f>
        <v>47295251.805828683</v>
      </c>
      <c r="D12" s="86"/>
      <c r="E12" s="43"/>
      <c r="F12" s="71"/>
      <c r="G12" s="8"/>
    </row>
    <row r="13" spans="2:25" s="27" customFormat="1" ht="18" customHeight="1">
      <c r="B13" s="28">
        <v>47604</v>
      </c>
      <c r="C13" s="45">
        <f>+'Cantidades 2030'!AD23</f>
        <v>44939646.012427449</v>
      </c>
      <c r="D13" s="86"/>
      <c r="E13" s="43"/>
      <c r="F13" s="71"/>
      <c r="G13" s="8"/>
    </row>
    <row r="14" spans="2:25" s="27" customFormat="1" ht="18" customHeight="1">
      <c r="B14" s="28">
        <v>47635</v>
      </c>
      <c r="C14" s="45">
        <f>+'Cantidades 2030'!AD27</f>
        <v>45875750.511452928</v>
      </c>
      <c r="D14" s="86"/>
      <c r="E14" s="43"/>
      <c r="F14" s="71"/>
      <c r="G14" s="8"/>
    </row>
    <row r="15" spans="2:25" s="27" customFormat="1" ht="18" customHeight="1">
      <c r="B15" s="28">
        <v>47665</v>
      </c>
      <c r="C15" s="45">
        <f>+'Cantidades 2030'!AD31</f>
        <v>46753659.190753199</v>
      </c>
      <c r="D15" s="86"/>
      <c r="E15" s="43"/>
      <c r="F15" s="71"/>
      <c r="G15" s="8"/>
      <c r="H15" s="48"/>
    </row>
    <row r="16" spans="2:25" s="27" customFormat="1" ht="18" customHeight="1">
      <c r="B16" s="28">
        <v>47696</v>
      </c>
      <c r="C16" s="45">
        <f>+'Cantidades 2030'!AD35</f>
        <v>47047002.121169493</v>
      </c>
      <c r="D16" s="86"/>
      <c r="E16" s="43"/>
      <c r="F16" s="71"/>
      <c r="G16" s="8"/>
      <c r="H16" s="18"/>
    </row>
    <row r="17" spans="1:7" s="27" customFormat="1" ht="18" customHeight="1">
      <c r="B17" s="28">
        <v>47727</v>
      </c>
      <c r="C17" s="45">
        <f>+'Cantidades 2030'!AD39</f>
        <v>46078830.342014819</v>
      </c>
      <c r="D17" s="86"/>
      <c r="E17" s="43"/>
      <c r="F17" s="71"/>
      <c r="G17" s="8"/>
    </row>
    <row r="18" spans="1:7" s="27" customFormat="1" ht="18" customHeight="1">
      <c r="B18" s="28">
        <v>47757</v>
      </c>
      <c r="C18" s="45">
        <f>+'Cantidades 2030'!AD43</f>
        <v>45631070.789818034</v>
      </c>
      <c r="D18" s="86"/>
      <c r="E18" s="43"/>
      <c r="F18" s="71"/>
      <c r="G18" s="8"/>
    </row>
    <row r="19" spans="1:7" s="27" customFormat="1" ht="18" customHeight="1">
      <c r="B19" s="28">
        <v>47788</v>
      </c>
      <c r="C19" s="45">
        <f>+'Cantidades 2030'!AD47</f>
        <v>46276749.923882008</v>
      </c>
      <c r="D19" s="86"/>
      <c r="E19" s="43"/>
      <c r="F19" s="71"/>
      <c r="G19" s="8"/>
    </row>
    <row r="20" spans="1:7" s="27" customFormat="1" ht="18" customHeight="1">
      <c r="B20" s="28">
        <v>47818</v>
      </c>
      <c r="C20" s="45">
        <f>+'Cantidades 2030'!AD51</f>
        <v>47740318.793000646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560142990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560142.99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A482-8FFB-4268-90C9-FC59880DCA66}">
  <dimension ref="A1:Y30"/>
  <sheetViews>
    <sheetView showGridLines="0" topLeftCell="A14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65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47849</v>
      </c>
      <c r="C9" s="45">
        <f>+'Cantidades 2031'!AD7</f>
        <v>46579599.108476661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47880</v>
      </c>
      <c r="C10" s="45">
        <f>+'Cantidades 2031'!AD11</f>
        <v>47498791.326741047</v>
      </c>
      <c r="D10" s="86"/>
      <c r="E10" s="43"/>
      <c r="F10" s="71"/>
      <c r="G10" s="8"/>
    </row>
    <row r="11" spans="2:25" s="27" customFormat="1" ht="18" customHeight="1">
      <c r="B11" s="28">
        <v>47908</v>
      </c>
      <c r="C11" s="45">
        <f>+'Cantidades 2031'!AD15</f>
        <v>47145684.664965518</v>
      </c>
      <c r="D11" s="86"/>
      <c r="E11" s="43"/>
      <c r="F11" s="71"/>
      <c r="G11" s="8"/>
    </row>
    <row r="12" spans="2:25" s="27" customFormat="1" ht="18" customHeight="1">
      <c r="B12" s="28">
        <v>47939</v>
      </c>
      <c r="C12" s="46">
        <f>+'Cantidades 2031'!AD19</f>
        <v>47002193.967222735</v>
      </c>
      <c r="D12" s="86"/>
      <c r="E12" s="43"/>
      <c r="F12" s="71"/>
      <c r="G12" s="8"/>
    </row>
    <row r="13" spans="2:25" s="27" customFormat="1" ht="18" customHeight="1">
      <c r="B13" s="28">
        <v>47969</v>
      </c>
      <c r="C13" s="45">
        <f>+'Cantidades 2031'!AD23</f>
        <v>46973110.482001841</v>
      </c>
      <c r="D13" s="86"/>
      <c r="E13" s="43"/>
      <c r="F13" s="71"/>
      <c r="G13" s="8"/>
    </row>
    <row r="14" spans="2:25" s="27" customFormat="1" ht="18" customHeight="1">
      <c r="B14" s="28">
        <v>48000</v>
      </c>
      <c r="C14" s="45">
        <f>+'Cantidades 2031'!AD27</f>
        <v>47390613.856035374</v>
      </c>
      <c r="D14" s="86"/>
      <c r="E14" s="43"/>
      <c r="F14" s="71"/>
      <c r="G14" s="8"/>
    </row>
    <row r="15" spans="2:25" s="27" customFormat="1" ht="18" customHeight="1">
      <c r="B15" s="28">
        <v>48030</v>
      </c>
      <c r="C15" s="45">
        <f>+'Cantidades 2031'!AD31</f>
        <v>47854320.982368194</v>
      </c>
      <c r="D15" s="86"/>
      <c r="E15" s="43"/>
      <c r="F15" s="71"/>
      <c r="G15" s="8"/>
      <c r="H15" s="48"/>
    </row>
    <row r="16" spans="2:25" s="27" customFormat="1" ht="18" customHeight="1">
      <c r="B16" s="28">
        <v>48061</v>
      </c>
      <c r="C16" s="45">
        <f>+'Cantidades 2031'!AD35</f>
        <v>47775581.379997969</v>
      </c>
      <c r="D16" s="86"/>
      <c r="E16" s="43"/>
      <c r="F16" s="71"/>
      <c r="G16" s="8"/>
      <c r="H16" s="18"/>
    </row>
    <row r="17" spans="1:7" s="27" customFormat="1" ht="18" customHeight="1">
      <c r="B17" s="28">
        <v>48092</v>
      </c>
      <c r="C17" s="45">
        <f>+'Cantidades 2031'!AD39</f>
        <v>48539571.635868102</v>
      </c>
      <c r="D17" s="86"/>
      <c r="E17" s="43"/>
      <c r="F17" s="71"/>
      <c r="G17" s="8"/>
    </row>
    <row r="18" spans="1:7" s="27" customFormat="1" ht="18" customHeight="1">
      <c r="B18" s="28">
        <v>48122</v>
      </c>
      <c r="C18" s="45">
        <f>+'Cantidades 2031'!AD43</f>
        <v>48452949.936824791</v>
      </c>
      <c r="D18" s="86"/>
      <c r="E18" s="43"/>
      <c r="F18" s="71"/>
      <c r="G18" s="8"/>
    </row>
    <row r="19" spans="1:7" s="27" customFormat="1" ht="18" customHeight="1">
      <c r="B19" s="28">
        <v>48153</v>
      </c>
      <c r="C19" s="45">
        <f>+'Cantidades 2031'!AD47</f>
        <v>48480752.505250558</v>
      </c>
      <c r="D19" s="86"/>
      <c r="E19" s="43"/>
      <c r="F19" s="71"/>
      <c r="G19" s="8"/>
    </row>
    <row r="20" spans="1:7" s="27" customFormat="1" ht="18" customHeight="1">
      <c r="B20" s="28">
        <v>48183</v>
      </c>
      <c r="C20" s="45">
        <f>+'Cantidades 2031'!AD51</f>
        <v>47590078.455676228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571283248.30142891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571283.24830142886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34BF-932D-41F6-BBD0-210F5B8F0D49}">
  <dimension ref="A1:Y30"/>
  <sheetViews>
    <sheetView showGridLines="0" topLeftCell="A16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66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48214</v>
      </c>
      <c r="C9" s="45">
        <f>+'Cantidades 2032'!AD7</f>
        <v>47486286.029937238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48245</v>
      </c>
      <c r="C10" s="45">
        <f>+'Cantidades 2032'!AD11</f>
        <v>48065285.549245864</v>
      </c>
      <c r="D10" s="86"/>
      <c r="E10" s="43"/>
      <c r="F10" s="71"/>
      <c r="G10" s="8"/>
    </row>
    <row r="11" spans="2:25" s="27" customFormat="1" ht="18" customHeight="1">
      <c r="B11" s="28">
        <v>48274</v>
      </c>
      <c r="C11" s="45">
        <f>+'Cantidades 2032'!AD15</f>
        <v>48015032.632149927</v>
      </c>
      <c r="D11" s="86"/>
      <c r="E11" s="43"/>
      <c r="F11" s="71"/>
      <c r="G11" s="8"/>
    </row>
    <row r="12" spans="2:25" s="27" customFormat="1" ht="18" customHeight="1">
      <c r="B12" s="28">
        <v>48305</v>
      </c>
      <c r="C12" s="46">
        <f>+'Cantidades 2032'!AD19</f>
        <v>48186895.167013817</v>
      </c>
      <c r="D12" s="86"/>
      <c r="E12" s="43"/>
      <c r="F12" s="71"/>
      <c r="G12" s="8"/>
    </row>
    <row r="13" spans="2:25" s="27" customFormat="1" ht="18" customHeight="1">
      <c r="B13" s="28">
        <v>48335</v>
      </c>
      <c r="C13" s="45">
        <f>+'Cantidades 2032'!AD23</f>
        <v>47800972.910351261</v>
      </c>
      <c r="D13" s="86"/>
      <c r="E13" s="43"/>
      <c r="F13" s="71"/>
      <c r="G13" s="8"/>
    </row>
    <row r="14" spans="2:25" s="27" customFormat="1" ht="18" customHeight="1">
      <c r="B14" s="28">
        <v>48366</v>
      </c>
      <c r="C14" s="45">
        <f>+'Cantidades 2032'!AD27</f>
        <v>48648407.113750562</v>
      </c>
      <c r="D14" s="86"/>
      <c r="E14" s="43"/>
      <c r="F14" s="71"/>
      <c r="G14" s="8"/>
    </row>
    <row r="15" spans="2:25" s="27" customFormat="1" ht="18" customHeight="1">
      <c r="B15" s="28">
        <v>48396</v>
      </c>
      <c r="C15" s="45">
        <f>+'Cantidades 2032'!AD31</f>
        <v>48647264.06287007</v>
      </c>
      <c r="D15" s="86"/>
      <c r="E15" s="43"/>
      <c r="F15" s="71"/>
      <c r="G15" s="8"/>
      <c r="H15" s="48"/>
    </row>
    <row r="16" spans="2:25" s="27" customFormat="1" ht="18" customHeight="1">
      <c r="B16" s="28">
        <v>48427</v>
      </c>
      <c r="C16" s="45">
        <f>+'Cantidades 2032'!AD35</f>
        <v>48784334.069692805</v>
      </c>
      <c r="D16" s="86"/>
      <c r="E16" s="43"/>
      <c r="F16" s="71"/>
      <c r="G16" s="8"/>
      <c r="H16" s="18"/>
    </row>
    <row r="17" spans="1:7" s="27" customFormat="1" ht="18" customHeight="1">
      <c r="B17" s="28">
        <v>48458</v>
      </c>
      <c r="C17" s="45">
        <f>+'Cantidades 2032'!AD39</f>
        <v>49487011.025128931</v>
      </c>
      <c r="D17" s="86"/>
      <c r="E17" s="43"/>
      <c r="F17" s="71"/>
      <c r="G17" s="8"/>
    </row>
    <row r="18" spans="1:7" s="27" customFormat="1" ht="18" customHeight="1">
      <c r="B18" s="28">
        <v>48488</v>
      </c>
      <c r="C18" s="45">
        <f>+'Cantidades 2032'!AD43</f>
        <v>49273042.219171748</v>
      </c>
      <c r="D18" s="86"/>
      <c r="E18" s="43"/>
      <c r="F18" s="71"/>
      <c r="G18" s="8"/>
    </row>
    <row r="19" spans="1:7" s="27" customFormat="1" ht="18" customHeight="1">
      <c r="B19" s="28">
        <v>48519</v>
      </c>
      <c r="C19" s="45">
        <f>+'Cantidades 2032'!AD47</f>
        <v>49538572.526344962</v>
      </c>
      <c r="D19" s="86"/>
      <c r="E19" s="43"/>
      <c r="F19" s="71"/>
      <c r="G19" s="8"/>
    </row>
    <row r="20" spans="1:7" s="27" customFormat="1" ht="18" customHeight="1">
      <c r="B20" s="28">
        <v>48549</v>
      </c>
      <c r="C20" s="45">
        <f>+'Cantidades 2032'!AD51</f>
        <v>48561112.418600641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582494215.72425783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582494.21572425787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933E-2667-4CDE-884B-FA832568AC9D}">
  <dimension ref="A1:Y35"/>
  <sheetViews>
    <sheetView showGridLines="0" topLeftCell="A22" zoomScale="91" zoomScaleNormal="91" workbookViewId="0">
      <selection activeCell="I31" sqref="I31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67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48580</v>
      </c>
      <c r="C9" s="45">
        <f>+'Cantidades 2033'!AD7</f>
        <v>72688812.449692562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48611</v>
      </c>
      <c r="C10" s="45">
        <f>+'Cantidades 2033'!AD11</f>
        <v>73686903.302803621</v>
      </c>
      <c r="D10" s="86"/>
      <c r="E10" s="43"/>
      <c r="F10" s="71"/>
      <c r="G10" s="8"/>
    </row>
    <row r="11" spans="2:25" s="27" customFormat="1" ht="18" customHeight="1">
      <c r="B11" s="28">
        <v>48639</v>
      </c>
      <c r="C11" s="45">
        <f>+'Cantidades 2033'!AD15</f>
        <v>73784623.767721608</v>
      </c>
      <c r="D11" s="86"/>
      <c r="E11" s="43"/>
      <c r="F11" s="71"/>
      <c r="G11" s="8"/>
    </row>
    <row r="12" spans="2:25" s="27" customFormat="1" ht="18" customHeight="1">
      <c r="B12" s="28">
        <v>48670</v>
      </c>
      <c r="C12" s="46">
        <f>+'Cantidades 2033'!AD19</f>
        <v>73219825.368706599</v>
      </c>
      <c r="D12" s="86"/>
      <c r="E12" s="43"/>
      <c r="F12" s="71"/>
      <c r="G12" s="8"/>
    </row>
    <row r="13" spans="2:25" s="27" customFormat="1" ht="18" customHeight="1">
      <c r="B13" s="28">
        <v>48700</v>
      </c>
      <c r="C13" s="45">
        <f>+'Cantidades 2033'!AD23</f>
        <v>73429460.127222955</v>
      </c>
      <c r="D13" s="86"/>
      <c r="E13" s="43"/>
      <c r="F13" s="71"/>
      <c r="G13" s="8"/>
    </row>
    <row r="14" spans="2:25" s="27" customFormat="1" ht="18" customHeight="1">
      <c r="B14" s="28">
        <v>48731</v>
      </c>
      <c r="C14" s="45">
        <f>+'Cantidades 2033'!AD27</f>
        <v>74126635.938937679</v>
      </c>
      <c r="D14" s="86"/>
      <c r="E14" s="43"/>
      <c r="F14" s="71"/>
      <c r="G14" s="8"/>
    </row>
    <row r="15" spans="2:25" s="27" customFormat="1" ht="18" customHeight="1">
      <c r="B15" s="28">
        <v>48761</v>
      </c>
      <c r="C15" s="45">
        <f>+'Cantidades 2033'!AD31</f>
        <v>74290081.047169536</v>
      </c>
      <c r="D15" s="86"/>
      <c r="E15" s="43"/>
      <c r="F15" s="71"/>
      <c r="G15" s="8"/>
      <c r="H15" s="48"/>
    </row>
    <row r="16" spans="2:25" s="27" customFormat="1" ht="18" customHeight="1">
      <c r="B16" s="28">
        <v>48792</v>
      </c>
      <c r="C16" s="45">
        <f>+'Cantidades 2033'!AD35</f>
        <v>74834151.015339509</v>
      </c>
      <c r="D16" s="86"/>
      <c r="E16" s="43"/>
      <c r="F16" s="71"/>
      <c r="G16" s="8"/>
      <c r="H16" s="18"/>
    </row>
    <row r="17" spans="1:7" s="27" customFormat="1" ht="18" customHeight="1">
      <c r="B17" s="28">
        <v>48823</v>
      </c>
      <c r="C17" s="45">
        <f>+'Cantidades 2033'!AD39</f>
        <v>75453820.098187327</v>
      </c>
      <c r="D17" s="86"/>
      <c r="E17" s="43"/>
      <c r="F17" s="71"/>
      <c r="G17" s="8"/>
    </row>
    <row r="18" spans="1:7" s="27" customFormat="1" ht="18" customHeight="1">
      <c r="B18" s="28">
        <v>48853</v>
      </c>
      <c r="C18" s="45">
        <f>+'Cantidades 2033'!AD43</f>
        <v>75304223.390625566</v>
      </c>
      <c r="D18" s="86"/>
      <c r="E18" s="43"/>
      <c r="F18" s="71"/>
      <c r="G18" s="8"/>
    </row>
    <row r="19" spans="1:7" s="27" customFormat="1" ht="18" customHeight="1">
      <c r="B19" s="28">
        <v>48884</v>
      </c>
      <c r="C19" s="45">
        <f>+'Cantidades 2033'!AD47</f>
        <v>75527053.375717148</v>
      </c>
      <c r="D19" s="86"/>
      <c r="E19" s="43"/>
      <c r="F19" s="71"/>
      <c r="G19" s="8"/>
    </row>
    <row r="20" spans="1:7" s="27" customFormat="1" ht="18" customHeight="1">
      <c r="B20" s="28">
        <v>48914</v>
      </c>
      <c r="C20" s="45">
        <f>+'Cantidades 2033'!AD51</f>
        <v>74324882.456391081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890670472.33851516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890670.47233851522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  <c r="G26" s="59"/>
    </row>
    <row r="27" spans="1:7" ht="14.5">
      <c r="A27" s="36" t="s">
        <v>75</v>
      </c>
      <c r="B27" s="27"/>
      <c r="C27" s="27"/>
      <c r="D27" s="27"/>
      <c r="E27" s="27"/>
      <c r="F27" s="27"/>
      <c r="G27" s="59"/>
    </row>
    <row r="28" spans="1:7" ht="14.5">
      <c r="A28" s="36" t="s">
        <v>76</v>
      </c>
      <c r="B28" s="27"/>
      <c r="C28" s="27"/>
      <c r="D28" s="27"/>
      <c r="E28" s="27"/>
      <c r="F28" s="27"/>
      <c r="G28" s="59"/>
    </row>
    <row r="29" spans="1:7" ht="13">
      <c r="G29" s="59"/>
    </row>
    <row r="30" spans="1:7" ht="13">
      <c r="C30" s="38"/>
      <c r="G30" s="59"/>
    </row>
    <row r="31" spans="1:7" ht="13">
      <c r="G31" s="59"/>
    </row>
    <row r="32" spans="1:7" ht="13">
      <c r="G32" s="59"/>
    </row>
    <row r="33" spans="7:7" ht="13">
      <c r="G33" s="59"/>
    </row>
    <row r="34" spans="7:7" ht="13">
      <c r="G34" s="59"/>
    </row>
    <row r="35" spans="7:7" ht="13">
      <c r="G35" s="59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36B7-E951-4F80-A5C8-9BB7750768D6}">
  <dimension ref="A1:Y30"/>
  <sheetViews>
    <sheetView showGridLines="0" topLeftCell="A14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68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48945</v>
      </c>
      <c r="C9" s="45">
        <f>+'Cantidades 2034'!AD7</f>
        <v>74271057.728748947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48976</v>
      </c>
      <c r="C10" s="45">
        <f>+'Cantidades 2034'!AD11</f>
        <v>75138698.240511432</v>
      </c>
      <c r="D10" s="86"/>
      <c r="E10" s="43"/>
      <c r="F10" s="71"/>
      <c r="G10" s="8"/>
    </row>
    <row r="11" spans="2:25" s="27" customFormat="1" ht="18" customHeight="1">
      <c r="B11" s="28">
        <v>49004</v>
      </c>
      <c r="C11" s="45">
        <f>+'Cantidades 2034'!AD15</f>
        <v>75235254.987493962</v>
      </c>
      <c r="D11" s="86"/>
      <c r="E11" s="43"/>
      <c r="F11" s="71"/>
      <c r="G11" s="8"/>
    </row>
    <row r="12" spans="2:25" s="27" customFormat="1" ht="18" customHeight="1">
      <c r="B12" s="28">
        <v>49035</v>
      </c>
      <c r="C12" s="46">
        <f>+'Cantidades 2034'!AD19</f>
        <v>74530013.150298268</v>
      </c>
      <c r="D12" s="86"/>
      <c r="E12" s="43"/>
      <c r="F12" s="71"/>
      <c r="G12" s="8"/>
    </row>
    <row r="13" spans="2:25" s="27" customFormat="1" ht="18" customHeight="1">
      <c r="B13" s="28">
        <v>49065</v>
      </c>
      <c r="C13" s="45">
        <f>+'Cantidades 2034'!AD23</f>
        <v>74881583.870222881</v>
      </c>
      <c r="D13" s="86"/>
      <c r="E13" s="43"/>
      <c r="F13" s="71"/>
      <c r="G13" s="8"/>
    </row>
    <row r="14" spans="2:25" s="27" customFormat="1" ht="18" customHeight="1">
      <c r="B14" s="28">
        <v>49096</v>
      </c>
      <c r="C14" s="45">
        <f>+'Cantidades 2034'!AD27</f>
        <v>75578869.382760346</v>
      </c>
      <c r="D14" s="86"/>
      <c r="E14" s="43"/>
      <c r="F14" s="71"/>
      <c r="G14" s="8"/>
    </row>
    <row r="15" spans="2:25" s="27" customFormat="1" ht="18" customHeight="1">
      <c r="B15" s="28">
        <v>49126</v>
      </c>
      <c r="C15" s="45">
        <f>+'Cantidades 2034'!AD31</f>
        <v>75746337.36432758</v>
      </c>
      <c r="D15" s="86"/>
      <c r="E15" s="43"/>
      <c r="F15" s="71"/>
      <c r="G15" s="8"/>
      <c r="H15" s="48"/>
    </row>
    <row r="16" spans="2:25" s="27" customFormat="1" ht="18" customHeight="1">
      <c r="B16" s="28">
        <v>49157</v>
      </c>
      <c r="C16" s="45">
        <f>+'Cantidades 2034'!AD35</f>
        <v>76157833.220889121</v>
      </c>
      <c r="D16" s="86"/>
      <c r="E16" s="43"/>
      <c r="F16" s="71"/>
      <c r="G16" s="8"/>
      <c r="H16" s="18"/>
    </row>
    <row r="17" spans="1:7" s="27" customFormat="1" ht="18" customHeight="1">
      <c r="B17" s="28">
        <v>49188</v>
      </c>
      <c r="C17" s="45">
        <f>+'Cantidades 2034'!AD39</f>
        <v>76877432.366935119</v>
      </c>
      <c r="D17" s="86"/>
      <c r="E17" s="43"/>
      <c r="F17" s="71"/>
      <c r="G17" s="8"/>
    </row>
    <row r="18" spans="1:7" s="27" customFormat="1" ht="18" customHeight="1">
      <c r="B18" s="28">
        <v>49218</v>
      </c>
      <c r="C18" s="45">
        <f>+'Cantidades 2034'!AD43</f>
        <v>76818765.81259799</v>
      </c>
      <c r="D18" s="86"/>
      <c r="E18" s="43"/>
      <c r="F18" s="71"/>
      <c r="G18" s="8"/>
    </row>
    <row r="19" spans="1:7" s="27" customFormat="1" ht="18" customHeight="1">
      <c r="B19" s="28">
        <v>49249</v>
      </c>
      <c r="C19" s="45">
        <f>+'Cantidades 2034'!AD47</f>
        <v>76985876.3386392</v>
      </c>
      <c r="D19" s="86"/>
      <c r="E19" s="43"/>
      <c r="F19" s="71"/>
      <c r="G19" s="8"/>
    </row>
    <row r="20" spans="1:7" s="27" customFormat="1" ht="18" customHeight="1">
      <c r="B20" s="28">
        <v>49279</v>
      </c>
      <c r="C20" s="45">
        <f>+'Cantidades 2034'!AD51</f>
        <v>75495896.114260122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907717618.577685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907717.61857768497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91DB-F0CB-4DE3-A40C-1AF0F2F231E6}">
  <dimension ref="A1:Y30"/>
  <sheetViews>
    <sheetView showGridLines="0" topLeftCell="A12" zoomScale="91" zoomScaleNormal="91" workbookViewId="0">
      <selection activeCell="E9" sqref="E9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78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49310</v>
      </c>
      <c r="C9" s="45">
        <f>+'Cantidades 2035'!AD7</f>
        <v>75678112.95977135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49341</v>
      </c>
      <c r="C10" s="45">
        <f>+'Cantidades 2035'!AD11</f>
        <v>76552472.90573357</v>
      </c>
      <c r="D10" s="86"/>
      <c r="E10" s="43"/>
      <c r="F10" s="71"/>
      <c r="G10" s="8"/>
    </row>
    <row r="11" spans="2:25" s="27" customFormat="1" ht="18" customHeight="1">
      <c r="B11" s="28">
        <v>49369</v>
      </c>
      <c r="C11" s="45">
        <f>+'Cantidades 2035'!AD15</f>
        <v>76343383.721806929</v>
      </c>
      <c r="D11" s="86"/>
      <c r="E11" s="43"/>
      <c r="F11" s="71"/>
      <c r="G11" s="8"/>
    </row>
    <row r="12" spans="2:25" s="27" customFormat="1" ht="18" customHeight="1">
      <c r="B12" s="28">
        <v>49400</v>
      </c>
      <c r="C12" s="46">
        <f>+'Cantidades 2035'!AD19</f>
        <v>76352288.494716465</v>
      </c>
      <c r="D12" s="86"/>
      <c r="E12" s="43"/>
      <c r="F12" s="71"/>
      <c r="G12" s="8"/>
    </row>
    <row r="13" spans="2:25" s="27" customFormat="1" ht="18" customHeight="1">
      <c r="B13" s="28">
        <v>49430</v>
      </c>
      <c r="C13" s="45">
        <f>+'Cantidades 2035'!AD23</f>
        <v>76205880.337845117</v>
      </c>
      <c r="D13" s="86"/>
      <c r="E13" s="43"/>
      <c r="F13" s="71"/>
      <c r="G13" s="8"/>
    </row>
    <row r="14" spans="2:25" s="27" customFormat="1" ht="18" customHeight="1">
      <c r="B14" s="28">
        <v>49461</v>
      </c>
      <c r="C14" s="45">
        <f>+'Cantidades 2035'!AD27</f>
        <v>77086827.484489784</v>
      </c>
      <c r="D14" s="86"/>
      <c r="E14" s="43"/>
      <c r="F14" s="71"/>
      <c r="G14" s="8"/>
    </row>
    <row r="15" spans="2:25" s="27" customFormat="1" ht="18" customHeight="1">
      <c r="B15" s="28">
        <v>49491</v>
      </c>
      <c r="C15" s="45">
        <f>+'Cantidades 2035'!AD31</f>
        <v>77198797.950675443</v>
      </c>
      <c r="D15" s="86"/>
      <c r="E15" s="43"/>
      <c r="F15" s="71"/>
      <c r="G15" s="8"/>
      <c r="H15" s="48"/>
    </row>
    <row r="16" spans="2:25" s="27" customFormat="1" ht="18" customHeight="1">
      <c r="B16" s="28">
        <v>49522</v>
      </c>
      <c r="C16" s="45">
        <f>+'Cantidades 2035'!AD35</f>
        <v>77576414.325853825</v>
      </c>
      <c r="D16" s="86"/>
      <c r="E16" s="43"/>
      <c r="F16" s="71"/>
      <c r="G16" s="8"/>
      <c r="H16" s="18"/>
    </row>
    <row r="17" spans="1:7" s="27" customFormat="1" ht="18" customHeight="1">
      <c r="B17" s="28">
        <v>49553</v>
      </c>
      <c r="C17" s="45">
        <f>+'Cantidades 2035'!AD39</f>
        <v>78156038.754505053</v>
      </c>
      <c r="D17" s="86"/>
      <c r="E17" s="43"/>
      <c r="F17" s="71"/>
      <c r="G17" s="8"/>
    </row>
    <row r="18" spans="1:7" s="27" customFormat="1" ht="18" customHeight="1">
      <c r="B18" s="28">
        <v>49583</v>
      </c>
      <c r="C18" s="45">
        <f>+'Cantidades 2035'!AD43</f>
        <v>78384547.92416501</v>
      </c>
      <c r="D18" s="86"/>
      <c r="E18" s="43"/>
      <c r="F18" s="71"/>
      <c r="G18" s="8"/>
    </row>
    <row r="19" spans="1:7" s="27" customFormat="1" ht="18" customHeight="1">
      <c r="B19" s="28">
        <v>49614</v>
      </c>
      <c r="C19" s="45">
        <f>+'Cantidades 2035'!AD47</f>
        <v>78406087.611415505</v>
      </c>
      <c r="D19" s="86"/>
      <c r="E19" s="43"/>
      <c r="F19" s="71"/>
      <c r="G19" s="8"/>
    </row>
    <row r="20" spans="1:7" s="27" customFormat="1" ht="18" customHeight="1">
      <c r="B20" s="28">
        <v>49644</v>
      </c>
      <c r="C20" s="45">
        <f>+'Cantidades 2035'!AD51</f>
        <v>76946254.921060547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924887107.39203858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924887.10739203857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44BC-E5F5-4A03-A4E3-A0FA99E7ED3A}">
  <dimension ref="A1:Y30"/>
  <sheetViews>
    <sheetView showGridLines="0" topLeftCell="A14" zoomScale="91" zoomScaleNormal="91" workbookViewId="0">
      <selection activeCell="C13" sqref="C13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69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49675</v>
      </c>
      <c r="C9" s="45">
        <f>+'Cantidades 2036'!AD7</f>
        <v>77141570.381937936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49706</v>
      </c>
      <c r="C10" s="45">
        <f>+'Cantidades 2036'!AD11</f>
        <v>77767579.927180707</v>
      </c>
      <c r="D10" s="86"/>
      <c r="E10" s="43"/>
      <c r="F10" s="71"/>
      <c r="G10" s="8"/>
    </row>
    <row r="11" spans="2:25" s="27" customFormat="1" ht="18" customHeight="1">
      <c r="B11" s="28">
        <v>49735</v>
      </c>
      <c r="C11" s="45">
        <f>+'Cantidades 2036'!AD15</f>
        <v>77951531.781379953</v>
      </c>
      <c r="D11" s="86"/>
      <c r="E11" s="43"/>
      <c r="F11" s="71"/>
      <c r="G11" s="8"/>
    </row>
    <row r="12" spans="2:25" s="27" customFormat="1" ht="18" customHeight="1">
      <c r="B12" s="28">
        <v>49766</v>
      </c>
      <c r="C12" s="46">
        <f>+'Cantidades 2036'!AD19</f>
        <v>77591543.462354004</v>
      </c>
      <c r="D12" s="86"/>
      <c r="E12" s="43"/>
      <c r="F12" s="71"/>
      <c r="G12" s="8"/>
    </row>
    <row r="13" spans="2:25" s="27" customFormat="1" ht="18" customHeight="1">
      <c r="B13" s="28">
        <v>49796</v>
      </c>
      <c r="C13" s="45">
        <f>+'Cantidades 2036'!AD23</f>
        <v>77727769.998937517</v>
      </c>
      <c r="D13" s="86"/>
      <c r="E13" s="43"/>
      <c r="F13" s="71"/>
      <c r="G13" s="8"/>
    </row>
    <row r="14" spans="2:25" s="27" customFormat="1" ht="18" customHeight="1">
      <c r="B14" s="28">
        <v>49827</v>
      </c>
      <c r="C14" s="45">
        <f>+'Cantidades 2036'!AD27</f>
        <v>78142334.173193306</v>
      </c>
      <c r="D14" s="86"/>
      <c r="E14" s="43"/>
      <c r="F14" s="71"/>
      <c r="G14" s="8"/>
    </row>
    <row r="15" spans="2:25" s="27" customFormat="1" ht="18" customHeight="1">
      <c r="B15" s="28">
        <v>49857</v>
      </c>
      <c r="C15" s="45">
        <f>+'Cantidades 2036'!AD31</f>
        <v>79052583.864372835</v>
      </c>
      <c r="D15" s="86"/>
      <c r="E15" s="43"/>
      <c r="F15" s="71"/>
      <c r="G15" s="8"/>
      <c r="H15" s="48"/>
    </row>
    <row r="16" spans="2:25" s="27" customFormat="1" ht="18" customHeight="1">
      <c r="B16" s="28">
        <v>49888</v>
      </c>
      <c r="C16" s="45">
        <f>+'Cantidades 2036'!AD35</f>
        <v>78864482.0039002</v>
      </c>
      <c r="D16" s="86"/>
      <c r="E16" s="43"/>
      <c r="F16" s="71"/>
      <c r="G16" s="8"/>
      <c r="H16" s="18"/>
    </row>
    <row r="17" spans="1:7" s="27" customFormat="1" ht="18" customHeight="1">
      <c r="B17" s="28">
        <v>49919</v>
      </c>
      <c r="C17" s="45">
        <f>+'Cantidades 2036'!AD39</f>
        <v>79809792.292395338</v>
      </c>
      <c r="D17" s="86"/>
      <c r="E17" s="43"/>
      <c r="F17" s="71"/>
      <c r="G17" s="8"/>
    </row>
    <row r="18" spans="1:7" s="27" customFormat="1" ht="18" customHeight="1">
      <c r="B18" s="28">
        <v>49949</v>
      </c>
      <c r="C18" s="45">
        <f>+'Cantidades 2036'!AD43</f>
        <v>79869353.195505232</v>
      </c>
      <c r="D18" s="86"/>
      <c r="E18" s="43"/>
      <c r="F18" s="71"/>
      <c r="G18" s="8"/>
    </row>
    <row r="19" spans="1:7" s="27" customFormat="1" ht="18" customHeight="1">
      <c r="B19" s="28">
        <v>49980</v>
      </c>
      <c r="C19" s="45">
        <f>+'Cantidades 2036'!AD47</f>
        <v>79717097.901731893</v>
      </c>
      <c r="D19" s="86"/>
      <c r="E19" s="43"/>
      <c r="F19" s="71"/>
      <c r="G19" s="8"/>
    </row>
    <row r="20" spans="1:7" s="27" customFormat="1" ht="18" customHeight="1">
      <c r="B20" s="28">
        <v>50010</v>
      </c>
      <c r="C20" s="45">
        <f>+'Cantidades 2036'!AD51</f>
        <v>78547150.987390921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942182789.97027981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942182.78997027979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0B05-05F7-4F4F-96D9-F879BEBDFFAB}">
  <dimension ref="A1:Y30"/>
  <sheetViews>
    <sheetView showGridLines="0" topLeftCell="A12" zoomScale="91" zoomScaleNormal="91" workbookViewId="0">
      <selection activeCell="E32" sqref="E32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70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50041</v>
      </c>
      <c r="C9" s="45">
        <f>+'Cantidades 2037'!AD7</f>
        <v>78571005.762337744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50072</v>
      </c>
      <c r="C10" s="45">
        <f>+'Cantidades 2037'!AD11</f>
        <v>79365475.468096375</v>
      </c>
      <c r="D10" s="86"/>
      <c r="E10" s="43"/>
      <c r="F10" s="71"/>
      <c r="G10" s="8"/>
    </row>
    <row r="11" spans="2:25" s="27" customFormat="1" ht="18" customHeight="1">
      <c r="B11" s="28">
        <v>50100</v>
      </c>
      <c r="C11" s="45">
        <f>+'Cantidades 2037'!AD15</f>
        <v>79456445.206674173</v>
      </c>
      <c r="D11" s="86"/>
      <c r="E11" s="43"/>
      <c r="F11" s="71"/>
      <c r="G11" s="8"/>
    </row>
    <row r="12" spans="2:25" s="27" customFormat="1" ht="18" customHeight="1">
      <c r="B12" s="28">
        <v>50131</v>
      </c>
      <c r="C12" s="46">
        <f>+'Cantidades 2037'!AD19</f>
        <v>79023885.033408076</v>
      </c>
      <c r="D12" s="86"/>
      <c r="E12" s="43"/>
      <c r="F12" s="71"/>
      <c r="G12" s="8"/>
    </row>
    <row r="13" spans="2:25" s="27" customFormat="1" ht="18" customHeight="1">
      <c r="B13" s="28">
        <v>50161</v>
      </c>
      <c r="C13" s="45">
        <f>+'Cantidades 2037'!AD23</f>
        <v>79082231.017956883</v>
      </c>
      <c r="D13" s="86"/>
      <c r="E13" s="43"/>
      <c r="F13" s="71"/>
      <c r="G13" s="8"/>
    </row>
    <row r="14" spans="2:25" s="27" customFormat="1" ht="18" customHeight="1">
      <c r="B14" s="28">
        <v>50192</v>
      </c>
      <c r="C14" s="45">
        <f>+'Cantidades 2037'!AD27</f>
        <v>79735157.965804666</v>
      </c>
      <c r="D14" s="86"/>
      <c r="E14" s="43"/>
      <c r="F14" s="71"/>
      <c r="G14" s="8"/>
    </row>
    <row r="15" spans="2:25" s="27" customFormat="1" ht="18" customHeight="1">
      <c r="B15" s="28">
        <v>50222</v>
      </c>
      <c r="C15" s="45">
        <f>+'Cantidades 2037'!AD31</f>
        <v>80386022.15728116</v>
      </c>
      <c r="D15" s="86"/>
      <c r="E15" s="43"/>
      <c r="F15" s="71"/>
      <c r="G15" s="8"/>
      <c r="H15" s="48"/>
    </row>
    <row r="16" spans="2:25" s="27" customFormat="1" ht="18" customHeight="1">
      <c r="B16" s="28">
        <v>50253</v>
      </c>
      <c r="C16" s="45">
        <f>+'Cantidades 2037'!AD35</f>
        <v>80327991.075057119</v>
      </c>
      <c r="D16" s="86"/>
      <c r="E16" s="43"/>
      <c r="F16" s="71"/>
      <c r="G16" s="8"/>
      <c r="H16" s="18"/>
    </row>
    <row r="17" spans="1:7" s="27" customFormat="1" ht="18" customHeight="1">
      <c r="B17" s="28">
        <v>50284</v>
      </c>
      <c r="C17" s="45">
        <f>+'Cantidades 2037'!AD39</f>
        <v>81217391.180397719</v>
      </c>
      <c r="D17" s="86"/>
      <c r="E17" s="43"/>
      <c r="F17" s="71"/>
      <c r="G17" s="8"/>
    </row>
    <row r="18" spans="1:7" s="27" customFormat="1" ht="18" customHeight="1">
      <c r="B18" s="28">
        <v>50314</v>
      </c>
      <c r="C18" s="45">
        <f>+'Cantidades 2037'!AD43</f>
        <v>81272331.898927614</v>
      </c>
      <c r="D18" s="86"/>
      <c r="E18" s="43"/>
      <c r="F18" s="71"/>
      <c r="G18" s="8"/>
    </row>
    <row r="19" spans="1:7" s="27" customFormat="1" ht="18" customHeight="1">
      <c r="B19" s="28">
        <v>50345</v>
      </c>
      <c r="C19" s="45">
        <f>+'Cantidades 2037'!AD47</f>
        <v>81165250.882808879</v>
      </c>
      <c r="D19" s="86"/>
      <c r="E19" s="43"/>
      <c r="F19" s="71"/>
      <c r="G19" s="8"/>
    </row>
    <row r="20" spans="1:7" s="27" customFormat="1" ht="18" customHeight="1">
      <c r="B20" s="28">
        <v>50375</v>
      </c>
      <c r="C20" s="45">
        <f>+'Cantidades 2037'!AD51</f>
        <v>80005048.754134908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959608236.40288532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959608.23640288529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E41C-93D4-42BB-AC0E-13BA331AA9CD}">
  <dimension ref="A1:Y30"/>
  <sheetViews>
    <sheetView showGridLines="0" topLeftCell="A14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71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50406</v>
      </c>
      <c r="C9" s="45">
        <f>+'Cantidades 2038'!AD7</f>
        <v>79928277.221215531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50437</v>
      </c>
      <c r="C10" s="45">
        <f>+'Cantidades 2038'!AD11</f>
        <v>80669704.224230915</v>
      </c>
      <c r="D10" s="86"/>
      <c r="E10" s="43"/>
      <c r="F10" s="71"/>
      <c r="G10" s="8"/>
    </row>
    <row r="11" spans="2:25" s="27" customFormat="1" ht="18" customHeight="1">
      <c r="B11" s="28">
        <v>50465</v>
      </c>
      <c r="C11" s="45">
        <f>+'Cantidades 2038'!AD15</f>
        <v>81076330.923563674</v>
      </c>
      <c r="D11" s="86"/>
      <c r="E11" s="43"/>
      <c r="F11" s="71"/>
      <c r="G11" s="8"/>
    </row>
    <row r="12" spans="2:25" s="27" customFormat="1" ht="18" customHeight="1">
      <c r="B12" s="28">
        <v>50496</v>
      </c>
      <c r="C12" s="46">
        <f>+'Cantidades 2038'!AD19</f>
        <v>80454700.508134812</v>
      </c>
      <c r="D12" s="86"/>
      <c r="E12" s="43"/>
      <c r="F12" s="71"/>
      <c r="G12" s="8"/>
    </row>
    <row r="13" spans="2:25" s="27" customFormat="1" ht="18" customHeight="1">
      <c r="B13" s="28">
        <v>50526</v>
      </c>
      <c r="C13" s="45">
        <f>+'Cantidades 2038'!AD23</f>
        <v>80708346.266267926</v>
      </c>
      <c r="D13" s="86"/>
      <c r="E13" s="43"/>
      <c r="F13" s="71"/>
      <c r="G13" s="8"/>
    </row>
    <row r="14" spans="2:25" s="27" customFormat="1" ht="18" customHeight="1">
      <c r="B14" s="28">
        <v>50557</v>
      </c>
      <c r="C14" s="45">
        <f>+'Cantidades 2038'!AD27</f>
        <v>81306756.909450918</v>
      </c>
      <c r="D14" s="86"/>
      <c r="E14" s="43"/>
      <c r="F14" s="71"/>
      <c r="G14" s="8"/>
    </row>
    <row r="15" spans="2:25" s="27" customFormat="1" ht="18" customHeight="1">
      <c r="B15" s="28">
        <v>50587</v>
      </c>
      <c r="C15" s="45">
        <f>+'Cantidades 2038'!AD31</f>
        <v>81725933.115627974</v>
      </c>
      <c r="D15" s="86"/>
      <c r="E15" s="43"/>
      <c r="F15" s="71"/>
      <c r="G15" s="8"/>
      <c r="H15" s="48"/>
    </row>
    <row r="16" spans="2:25" s="27" customFormat="1" ht="18" customHeight="1">
      <c r="B16" s="28">
        <v>50618</v>
      </c>
      <c r="C16" s="45">
        <f>+'Cantidades 2038'!AD35</f>
        <v>81892589.14781554</v>
      </c>
      <c r="D16" s="86"/>
      <c r="E16" s="43"/>
      <c r="F16" s="71"/>
      <c r="G16" s="8"/>
      <c r="H16" s="18"/>
    </row>
    <row r="17" spans="1:7" s="27" customFormat="1" ht="18" customHeight="1">
      <c r="B17" s="28">
        <v>50649</v>
      </c>
      <c r="C17" s="45">
        <f>+'Cantidades 2038'!AD39</f>
        <v>82610389.431278452</v>
      </c>
      <c r="D17" s="86"/>
      <c r="E17" s="43"/>
      <c r="F17" s="71"/>
      <c r="G17" s="8"/>
    </row>
    <row r="18" spans="1:7" s="27" customFormat="1" ht="18" customHeight="1">
      <c r="B18" s="28">
        <v>50679</v>
      </c>
      <c r="C18" s="45">
        <f>+'Cantidades 2038'!AD43</f>
        <v>82588110.70388414</v>
      </c>
      <c r="D18" s="86"/>
      <c r="E18" s="43"/>
      <c r="F18" s="71"/>
      <c r="G18" s="8"/>
    </row>
    <row r="19" spans="1:7" s="27" customFormat="1" ht="18" customHeight="1">
      <c r="B19" s="28">
        <v>50710</v>
      </c>
      <c r="C19" s="45">
        <f>+'Cantidades 2038'!AD47</f>
        <v>82683732.095321238</v>
      </c>
      <c r="D19" s="86"/>
      <c r="E19" s="43"/>
      <c r="F19" s="71"/>
      <c r="G19" s="8"/>
    </row>
    <row r="20" spans="1:7" s="27" customFormat="1" ht="18" customHeight="1">
      <c r="B20" s="28">
        <v>50740</v>
      </c>
      <c r="C20" s="45">
        <f>+'Cantidades 2038'!AD51</f>
        <v>81521925.076551065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977166795.62334216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977166.79562334216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CFB1-3801-4913-A6BD-C0C1BBB7D462}">
  <dimension ref="A1:Y30"/>
  <sheetViews>
    <sheetView showGridLines="0" topLeftCell="A14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72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50771</v>
      </c>
      <c r="C9" s="45">
        <f>+'Cantidades 2039'!AD7</f>
        <v>81431012.058033854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50802</v>
      </c>
      <c r="C10" s="45">
        <f>+'Cantidades 2039'!AD11</f>
        <v>82128530.598455295</v>
      </c>
      <c r="D10" s="86"/>
      <c r="E10" s="43"/>
      <c r="F10" s="71"/>
      <c r="G10" s="8"/>
    </row>
    <row r="11" spans="2:25" s="27" customFormat="1" ht="18" customHeight="1">
      <c r="B11" s="28">
        <v>50830</v>
      </c>
      <c r="C11" s="45">
        <f>+'Cantidades 2039'!AD15</f>
        <v>82534649.457486078</v>
      </c>
      <c r="D11" s="86"/>
      <c r="E11" s="43"/>
      <c r="F11" s="71"/>
      <c r="G11" s="8"/>
    </row>
    <row r="12" spans="2:25" s="27" customFormat="1" ht="18" customHeight="1">
      <c r="B12" s="28">
        <v>50861</v>
      </c>
      <c r="C12" s="46">
        <f>+'Cantidades 2039'!AD19</f>
        <v>81850422.954718783</v>
      </c>
      <c r="D12" s="86"/>
      <c r="E12" s="43"/>
      <c r="F12" s="71"/>
      <c r="G12" s="8"/>
    </row>
    <row r="13" spans="2:25" s="27" customFormat="1" ht="18" customHeight="1">
      <c r="B13" s="28">
        <v>50891</v>
      </c>
      <c r="C13" s="45">
        <f>+'Cantidades 2039'!AD23</f>
        <v>82201057.746373773</v>
      </c>
      <c r="D13" s="86"/>
      <c r="E13" s="43"/>
      <c r="F13" s="71"/>
      <c r="G13" s="8"/>
    </row>
    <row r="14" spans="2:25" s="27" customFormat="1" ht="18" customHeight="1">
      <c r="B14" s="28">
        <v>50922</v>
      </c>
      <c r="C14" s="45">
        <f>+'Cantidades 2039'!AD27</f>
        <v>82766916.392020911</v>
      </c>
      <c r="D14" s="86"/>
      <c r="E14" s="43"/>
      <c r="F14" s="71"/>
      <c r="G14" s="8"/>
    </row>
    <row r="15" spans="2:25" s="27" customFormat="1" ht="18" customHeight="1">
      <c r="B15" s="28">
        <v>50952</v>
      </c>
      <c r="C15" s="45">
        <f>+'Cantidades 2039'!AD31</f>
        <v>83052464.657720521</v>
      </c>
      <c r="D15" s="86"/>
      <c r="E15" s="43"/>
      <c r="F15" s="71"/>
      <c r="G15" s="8"/>
      <c r="H15" s="48"/>
    </row>
    <row r="16" spans="2:25" s="27" customFormat="1" ht="18" customHeight="1">
      <c r="B16" s="28">
        <v>50983</v>
      </c>
      <c r="C16" s="45">
        <f>+'Cantidades 2039'!AD35</f>
        <v>83592741.948300853</v>
      </c>
      <c r="D16" s="86"/>
      <c r="E16" s="43"/>
      <c r="F16" s="71"/>
      <c r="G16" s="8"/>
      <c r="H16" s="18"/>
    </row>
    <row r="17" spans="1:7" s="27" customFormat="1" ht="18" customHeight="1">
      <c r="B17" s="28">
        <v>51014</v>
      </c>
      <c r="C17" s="45">
        <f>+'Cantidades 2039'!AD39</f>
        <v>84077777.034696415</v>
      </c>
      <c r="D17" s="86"/>
      <c r="E17" s="43"/>
      <c r="F17" s="71"/>
      <c r="G17" s="8"/>
    </row>
    <row r="18" spans="1:7" s="27" customFormat="1" ht="18" customHeight="1">
      <c r="B18" s="28">
        <v>51044</v>
      </c>
      <c r="C18" s="45">
        <f>+'Cantidades 2039'!AD43</f>
        <v>84058455.03391929</v>
      </c>
      <c r="D18" s="86"/>
      <c r="E18" s="43"/>
      <c r="F18" s="71"/>
      <c r="G18" s="8"/>
    </row>
    <row r="19" spans="1:7" s="27" customFormat="1" ht="18" customHeight="1">
      <c r="B19" s="28">
        <v>51075</v>
      </c>
      <c r="C19" s="45">
        <f>+'Cantidades 2039'!AD47</f>
        <v>84151732.231516719</v>
      </c>
      <c r="D19" s="86"/>
      <c r="E19" s="43"/>
      <c r="F19" s="71"/>
      <c r="G19" s="8"/>
    </row>
    <row r="20" spans="1:7" s="27" customFormat="1" ht="18" customHeight="1">
      <c r="B20" s="28">
        <v>51105</v>
      </c>
      <c r="C20" s="45">
        <f>+'Cantidades 2039'!AD51</f>
        <v>83015966.59656699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994861726.70980966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994861.72670980962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26D1-15BD-4A17-AFB6-38D4A4ADADC4}">
  <dimension ref="A1:Y30"/>
  <sheetViews>
    <sheetView showGridLines="0" zoomScale="91" zoomScaleNormal="91" workbookViewId="0">
      <selection activeCell="B30" sqref="B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6328125" style="19" customWidth="1"/>
    <col min="6" max="6" width="12.453125" style="19" customWidth="1"/>
    <col min="7" max="7" width="16.6328125" style="19" bestFit="1" customWidth="1"/>
    <col min="8" max="8" width="18.54296875" style="19" bestFit="1" customWidth="1"/>
    <col min="9" max="20" width="14.63281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73" t="s">
        <v>47</v>
      </c>
      <c r="C2" s="73"/>
      <c r="D2" s="73"/>
      <c r="E2" s="73"/>
      <c r="F2" s="73"/>
      <c r="G2" s="20"/>
      <c r="H2" s="20"/>
      <c r="I2" s="20"/>
    </row>
    <row r="3" spans="2:25" ht="13">
      <c r="B3" s="74" t="s">
        <v>48</v>
      </c>
      <c r="C3" s="74"/>
      <c r="D3" s="74"/>
      <c r="E3" s="74"/>
      <c r="F3" s="74"/>
      <c r="G3" s="20"/>
      <c r="H3" s="20"/>
      <c r="I3" s="20"/>
    </row>
    <row r="4" spans="2:25" ht="13">
      <c r="B4" s="74" t="s">
        <v>74</v>
      </c>
      <c r="C4" s="74"/>
      <c r="D4" s="74"/>
      <c r="E4" s="74"/>
      <c r="F4" s="74"/>
      <c r="G4" s="20"/>
      <c r="H4" s="20"/>
      <c r="I4" s="20"/>
    </row>
    <row r="5" spans="2:25" ht="13.5" thickBot="1">
      <c r="B5" s="52"/>
      <c r="C5" s="52"/>
      <c r="D5" s="52"/>
      <c r="E5" s="52"/>
      <c r="F5" s="52"/>
      <c r="G5" s="20"/>
      <c r="H5" s="22"/>
      <c r="I5" s="22"/>
      <c r="Y5" s="22"/>
    </row>
    <row r="6" spans="2:25" ht="18" customHeight="1" thickBot="1">
      <c r="B6" s="75" t="s">
        <v>63</v>
      </c>
      <c r="C6" s="76"/>
      <c r="D6" s="76"/>
      <c r="E6" s="76"/>
      <c r="F6" s="77"/>
      <c r="G6" s="20"/>
      <c r="H6" s="22"/>
      <c r="I6" s="22"/>
      <c r="Y6" s="22"/>
    </row>
    <row r="7" spans="2:25" ht="18.75" customHeight="1" thickBot="1">
      <c r="B7" s="78" t="s">
        <v>49</v>
      </c>
      <c r="C7" s="80" t="s">
        <v>73</v>
      </c>
      <c r="D7" s="80"/>
      <c r="E7" s="80"/>
      <c r="F7" s="81"/>
      <c r="G7" s="22"/>
      <c r="H7" s="22"/>
      <c r="I7" s="22"/>
      <c r="Y7" s="22"/>
    </row>
    <row r="8" spans="2:25" ht="26.5" thickBot="1">
      <c r="B8" s="88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51136</v>
      </c>
      <c r="C9" s="45">
        <f>+'Cantidades 2040'!AD7</f>
        <v>81486492.932217717</v>
      </c>
      <c r="D9" s="85" t="s">
        <v>51</v>
      </c>
      <c r="E9" s="42"/>
      <c r="F9" s="70" t="s">
        <v>54</v>
      </c>
      <c r="G9" s="8"/>
    </row>
    <row r="10" spans="2:25" s="27" customFormat="1" ht="18" customHeight="1">
      <c r="B10" s="28">
        <v>51167</v>
      </c>
      <c r="C10" s="45">
        <f>+'Cantidades 2040'!AD11</f>
        <v>81899970.137258351</v>
      </c>
      <c r="D10" s="86"/>
      <c r="E10" s="43"/>
      <c r="F10" s="71"/>
      <c r="G10" s="8"/>
    </row>
    <row r="11" spans="2:25" s="27" customFormat="1" ht="18" customHeight="1">
      <c r="B11" s="28">
        <v>51196</v>
      </c>
      <c r="C11" s="45">
        <f>+'Cantidades 2040'!AD15</f>
        <v>82121241.808719039</v>
      </c>
      <c r="D11" s="86"/>
      <c r="E11" s="43"/>
      <c r="F11" s="71"/>
      <c r="G11" s="8"/>
    </row>
    <row r="12" spans="2:25" s="27" customFormat="1" ht="18" customHeight="1">
      <c r="B12" s="28">
        <v>51227</v>
      </c>
      <c r="C12" s="46">
        <f>+'Cantidades 2040'!AD19</f>
        <v>82042848.316488862</v>
      </c>
      <c r="D12" s="86"/>
      <c r="E12" s="43"/>
      <c r="F12" s="71"/>
      <c r="G12" s="8"/>
    </row>
    <row r="13" spans="2:25" s="27" customFormat="1" ht="18" customHeight="1">
      <c r="B13" s="28">
        <v>51257</v>
      </c>
      <c r="C13" s="45">
        <f>+'Cantidades 2040'!AD23</f>
        <v>82106671.146182179</v>
      </c>
      <c r="D13" s="86"/>
      <c r="E13" s="43"/>
      <c r="F13" s="71"/>
      <c r="G13" s="8"/>
    </row>
    <row r="14" spans="2:25" s="27" customFormat="1" ht="18" customHeight="1">
      <c r="B14" s="28">
        <v>51288</v>
      </c>
      <c r="C14" s="45">
        <f>+'Cantidades 2040'!AD27</f>
        <v>82604631.904202282</v>
      </c>
      <c r="D14" s="86"/>
      <c r="E14" s="43"/>
      <c r="F14" s="71"/>
      <c r="G14" s="8"/>
    </row>
    <row r="15" spans="2:25" s="27" customFormat="1" ht="18" customHeight="1">
      <c r="B15" s="28">
        <v>51318</v>
      </c>
      <c r="C15" s="45">
        <f>+'Cantidades 2040'!AD31</f>
        <v>86267235.048653632</v>
      </c>
      <c r="D15" s="86"/>
      <c r="E15" s="43"/>
      <c r="F15" s="71"/>
      <c r="G15" s="8"/>
      <c r="H15" s="48"/>
    </row>
    <row r="16" spans="2:25" s="27" customFormat="1" ht="18" customHeight="1">
      <c r="B16" s="28">
        <v>51349</v>
      </c>
      <c r="C16" s="45">
        <f>+'Cantidades 2040'!AD35</f>
        <v>86624770.214550048</v>
      </c>
      <c r="D16" s="86"/>
      <c r="E16" s="43"/>
      <c r="F16" s="71"/>
      <c r="G16" s="8"/>
      <c r="H16" s="18"/>
    </row>
    <row r="17" spans="1:7" s="27" customFormat="1" ht="18" customHeight="1">
      <c r="B17" s="28">
        <v>51380</v>
      </c>
      <c r="C17" s="45">
        <f>+'Cantidades 2040'!AD39</f>
        <v>86956088.053288206</v>
      </c>
      <c r="D17" s="86"/>
      <c r="E17" s="43"/>
      <c r="F17" s="71"/>
      <c r="G17" s="8"/>
    </row>
    <row r="18" spans="1:7" s="27" customFormat="1" ht="18" customHeight="1">
      <c r="B18" s="28">
        <v>51410</v>
      </c>
      <c r="C18" s="45">
        <f>+'Cantidades 2040'!AD43</f>
        <v>87425979.849812925</v>
      </c>
      <c r="D18" s="86"/>
      <c r="E18" s="43"/>
      <c r="F18" s="71"/>
      <c r="G18" s="8"/>
    </row>
    <row r="19" spans="1:7" s="27" customFormat="1" ht="18" customHeight="1">
      <c r="B19" s="28">
        <v>51441</v>
      </c>
      <c r="C19" s="45">
        <f>+'Cantidades 2040'!AD47</f>
        <v>87208827.413518131</v>
      </c>
      <c r="D19" s="86"/>
      <c r="E19" s="43"/>
      <c r="F19" s="71"/>
      <c r="G19" s="8"/>
    </row>
    <row r="20" spans="1:7" s="27" customFormat="1" ht="18" customHeight="1">
      <c r="B20" s="28">
        <v>51471</v>
      </c>
      <c r="C20" s="45">
        <f>+'Cantidades 2040'!AD51</f>
        <v>85951424.102714464</v>
      </c>
      <c r="D20" s="86"/>
      <c r="E20" s="43"/>
      <c r="F20" s="71"/>
      <c r="G20" s="8"/>
    </row>
    <row r="21" spans="1:7" s="27" customFormat="1" ht="18" customHeight="1" thickBot="1">
      <c r="B21" s="31" t="s">
        <v>55</v>
      </c>
      <c r="C21" s="49">
        <f>SUM(C9:C20)</f>
        <v>1012696180.9276057</v>
      </c>
      <c r="D21" s="87"/>
      <c r="E21" s="44"/>
      <c r="F21" s="72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3">
        <f>+C21/1000</f>
        <v>1012696.1809276057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77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75</v>
      </c>
      <c r="B27" s="27"/>
      <c r="C27" s="27"/>
      <c r="D27" s="27"/>
      <c r="E27" s="27"/>
      <c r="F27" s="27"/>
    </row>
    <row r="28" spans="1:7" ht="14.5">
      <c r="A28" s="36" t="s">
        <v>76</v>
      </c>
      <c r="B28" s="27"/>
      <c r="C28" s="27"/>
      <c r="D28" s="27"/>
      <c r="E28" s="27"/>
      <c r="F28" s="27"/>
    </row>
    <row r="30" spans="1:7">
      <c r="C30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A101-19D7-4454-8824-90C5A134004E}">
  <sheetPr codeName="Hoja13"/>
  <dimension ref="C1:AD56"/>
  <sheetViews>
    <sheetView showGridLines="0" tabSelected="1" zoomScale="57" zoomScaleNormal="57" workbookViewId="0">
      <selection activeCell="G17" sqref="G17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6328125" style="1" customWidth="1"/>
    <col min="5" max="5" width="9.36328125" style="1" customWidth="1"/>
    <col min="6" max="7" width="10.90625" style="1" bestFit="1" customWidth="1"/>
    <col min="8" max="8" width="10.54296875" style="1" bestFit="1" customWidth="1"/>
    <col min="9" max="12" width="10.90625" style="1" bestFit="1" customWidth="1"/>
    <col min="13" max="28" width="11.36328125" style="1" bestFit="1" customWidth="1"/>
    <col min="29" max="29" width="10.90625" style="1" bestFit="1" customWidth="1"/>
    <col min="30" max="30" width="19.54296875" style="1" bestFit="1" customWidth="1"/>
    <col min="31" max="258" width="11.453125" style="1"/>
    <col min="259" max="259" width="7" style="1" customWidth="1"/>
    <col min="260" max="260" width="10.6328125" style="1" customWidth="1"/>
    <col min="261" max="261" width="9.36328125" style="1" customWidth="1"/>
    <col min="262" max="285" width="7.36328125" style="1" customWidth="1"/>
    <col min="286" max="286" width="14.36328125" style="1" bestFit="1" customWidth="1"/>
    <col min="287" max="514" width="11.453125" style="1"/>
    <col min="515" max="515" width="7" style="1" customWidth="1"/>
    <col min="516" max="516" width="10.6328125" style="1" customWidth="1"/>
    <col min="517" max="517" width="9.36328125" style="1" customWidth="1"/>
    <col min="518" max="541" width="7.36328125" style="1" customWidth="1"/>
    <col min="542" max="542" width="14.36328125" style="1" bestFit="1" customWidth="1"/>
    <col min="543" max="770" width="11.453125" style="1"/>
    <col min="771" max="771" width="7" style="1" customWidth="1"/>
    <col min="772" max="772" width="10.6328125" style="1" customWidth="1"/>
    <col min="773" max="773" width="9.36328125" style="1" customWidth="1"/>
    <col min="774" max="797" width="7.36328125" style="1" customWidth="1"/>
    <col min="798" max="798" width="14.36328125" style="1" bestFit="1" customWidth="1"/>
    <col min="799" max="1026" width="11.453125" style="1"/>
    <col min="1027" max="1027" width="7" style="1" customWidth="1"/>
    <col min="1028" max="1028" width="10.6328125" style="1" customWidth="1"/>
    <col min="1029" max="1029" width="9.36328125" style="1" customWidth="1"/>
    <col min="1030" max="1053" width="7.36328125" style="1" customWidth="1"/>
    <col min="1054" max="1054" width="14.36328125" style="1" bestFit="1" customWidth="1"/>
    <col min="1055" max="1282" width="11.453125" style="1"/>
    <col min="1283" max="1283" width="7" style="1" customWidth="1"/>
    <col min="1284" max="1284" width="10.6328125" style="1" customWidth="1"/>
    <col min="1285" max="1285" width="9.36328125" style="1" customWidth="1"/>
    <col min="1286" max="1309" width="7.36328125" style="1" customWidth="1"/>
    <col min="1310" max="1310" width="14.36328125" style="1" bestFit="1" customWidth="1"/>
    <col min="1311" max="1538" width="11.453125" style="1"/>
    <col min="1539" max="1539" width="7" style="1" customWidth="1"/>
    <col min="1540" max="1540" width="10.6328125" style="1" customWidth="1"/>
    <col min="1541" max="1541" width="9.36328125" style="1" customWidth="1"/>
    <col min="1542" max="1565" width="7.36328125" style="1" customWidth="1"/>
    <col min="1566" max="1566" width="14.36328125" style="1" bestFit="1" customWidth="1"/>
    <col min="1567" max="1794" width="11.453125" style="1"/>
    <col min="1795" max="1795" width="7" style="1" customWidth="1"/>
    <col min="1796" max="1796" width="10.6328125" style="1" customWidth="1"/>
    <col min="1797" max="1797" width="9.36328125" style="1" customWidth="1"/>
    <col min="1798" max="1821" width="7.36328125" style="1" customWidth="1"/>
    <col min="1822" max="1822" width="14.36328125" style="1" bestFit="1" customWidth="1"/>
    <col min="1823" max="2050" width="11.453125" style="1"/>
    <col min="2051" max="2051" width="7" style="1" customWidth="1"/>
    <col min="2052" max="2052" width="10.6328125" style="1" customWidth="1"/>
    <col min="2053" max="2053" width="9.36328125" style="1" customWidth="1"/>
    <col min="2054" max="2077" width="7.36328125" style="1" customWidth="1"/>
    <col min="2078" max="2078" width="14.36328125" style="1" bestFit="1" customWidth="1"/>
    <col min="2079" max="2306" width="11.453125" style="1"/>
    <col min="2307" max="2307" width="7" style="1" customWidth="1"/>
    <col min="2308" max="2308" width="10.6328125" style="1" customWidth="1"/>
    <col min="2309" max="2309" width="9.36328125" style="1" customWidth="1"/>
    <col min="2310" max="2333" width="7.36328125" style="1" customWidth="1"/>
    <col min="2334" max="2334" width="14.36328125" style="1" bestFit="1" customWidth="1"/>
    <col min="2335" max="2562" width="11.453125" style="1"/>
    <col min="2563" max="2563" width="7" style="1" customWidth="1"/>
    <col min="2564" max="2564" width="10.6328125" style="1" customWidth="1"/>
    <col min="2565" max="2565" width="9.36328125" style="1" customWidth="1"/>
    <col min="2566" max="2589" width="7.36328125" style="1" customWidth="1"/>
    <col min="2590" max="2590" width="14.36328125" style="1" bestFit="1" customWidth="1"/>
    <col min="2591" max="2818" width="11.453125" style="1"/>
    <col min="2819" max="2819" width="7" style="1" customWidth="1"/>
    <col min="2820" max="2820" width="10.6328125" style="1" customWidth="1"/>
    <col min="2821" max="2821" width="9.36328125" style="1" customWidth="1"/>
    <col min="2822" max="2845" width="7.36328125" style="1" customWidth="1"/>
    <col min="2846" max="2846" width="14.36328125" style="1" bestFit="1" customWidth="1"/>
    <col min="2847" max="3074" width="11.453125" style="1"/>
    <col min="3075" max="3075" width="7" style="1" customWidth="1"/>
    <col min="3076" max="3076" width="10.6328125" style="1" customWidth="1"/>
    <col min="3077" max="3077" width="9.36328125" style="1" customWidth="1"/>
    <col min="3078" max="3101" width="7.36328125" style="1" customWidth="1"/>
    <col min="3102" max="3102" width="14.36328125" style="1" bestFit="1" customWidth="1"/>
    <col min="3103" max="3330" width="11.453125" style="1"/>
    <col min="3331" max="3331" width="7" style="1" customWidth="1"/>
    <col min="3332" max="3332" width="10.6328125" style="1" customWidth="1"/>
    <col min="3333" max="3333" width="9.36328125" style="1" customWidth="1"/>
    <col min="3334" max="3357" width="7.36328125" style="1" customWidth="1"/>
    <col min="3358" max="3358" width="14.36328125" style="1" bestFit="1" customWidth="1"/>
    <col min="3359" max="3586" width="11.453125" style="1"/>
    <col min="3587" max="3587" width="7" style="1" customWidth="1"/>
    <col min="3588" max="3588" width="10.6328125" style="1" customWidth="1"/>
    <col min="3589" max="3589" width="9.36328125" style="1" customWidth="1"/>
    <col min="3590" max="3613" width="7.36328125" style="1" customWidth="1"/>
    <col min="3614" max="3614" width="14.36328125" style="1" bestFit="1" customWidth="1"/>
    <col min="3615" max="3842" width="11.453125" style="1"/>
    <col min="3843" max="3843" width="7" style="1" customWidth="1"/>
    <col min="3844" max="3844" width="10.6328125" style="1" customWidth="1"/>
    <col min="3845" max="3845" width="9.36328125" style="1" customWidth="1"/>
    <col min="3846" max="3869" width="7.36328125" style="1" customWidth="1"/>
    <col min="3870" max="3870" width="14.36328125" style="1" bestFit="1" customWidth="1"/>
    <col min="3871" max="4098" width="11.453125" style="1"/>
    <col min="4099" max="4099" width="7" style="1" customWidth="1"/>
    <col min="4100" max="4100" width="10.6328125" style="1" customWidth="1"/>
    <col min="4101" max="4101" width="9.36328125" style="1" customWidth="1"/>
    <col min="4102" max="4125" width="7.36328125" style="1" customWidth="1"/>
    <col min="4126" max="4126" width="14.36328125" style="1" bestFit="1" customWidth="1"/>
    <col min="4127" max="4354" width="11.453125" style="1"/>
    <col min="4355" max="4355" width="7" style="1" customWidth="1"/>
    <col min="4356" max="4356" width="10.6328125" style="1" customWidth="1"/>
    <col min="4357" max="4357" width="9.36328125" style="1" customWidth="1"/>
    <col min="4358" max="4381" width="7.36328125" style="1" customWidth="1"/>
    <col min="4382" max="4382" width="14.36328125" style="1" bestFit="1" customWidth="1"/>
    <col min="4383" max="4610" width="11.453125" style="1"/>
    <col min="4611" max="4611" width="7" style="1" customWidth="1"/>
    <col min="4612" max="4612" width="10.6328125" style="1" customWidth="1"/>
    <col min="4613" max="4613" width="9.36328125" style="1" customWidth="1"/>
    <col min="4614" max="4637" width="7.36328125" style="1" customWidth="1"/>
    <col min="4638" max="4638" width="14.36328125" style="1" bestFit="1" customWidth="1"/>
    <col min="4639" max="4866" width="11.453125" style="1"/>
    <col min="4867" max="4867" width="7" style="1" customWidth="1"/>
    <col min="4868" max="4868" width="10.6328125" style="1" customWidth="1"/>
    <col min="4869" max="4869" width="9.36328125" style="1" customWidth="1"/>
    <col min="4870" max="4893" width="7.36328125" style="1" customWidth="1"/>
    <col min="4894" max="4894" width="14.36328125" style="1" bestFit="1" customWidth="1"/>
    <col min="4895" max="5122" width="11.453125" style="1"/>
    <col min="5123" max="5123" width="7" style="1" customWidth="1"/>
    <col min="5124" max="5124" width="10.6328125" style="1" customWidth="1"/>
    <col min="5125" max="5125" width="9.36328125" style="1" customWidth="1"/>
    <col min="5126" max="5149" width="7.36328125" style="1" customWidth="1"/>
    <col min="5150" max="5150" width="14.36328125" style="1" bestFit="1" customWidth="1"/>
    <col min="5151" max="5378" width="11.453125" style="1"/>
    <col min="5379" max="5379" width="7" style="1" customWidth="1"/>
    <col min="5380" max="5380" width="10.6328125" style="1" customWidth="1"/>
    <col min="5381" max="5381" width="9.36328125" style="1" customWidth="1"/>
    <col min="5382" max="5405" width="7.36328125" style="1" customWidth="1"/>
    <col min="5406" max="5406" width="14.36328125" style="1" bestFit="1" customWidth="1"/>
    <col min="5407" max="5634" width="11.453125" style="1"/>
    <col min="5635" max="5635" width="7" style="1" customWidth="1"/>
    <col min="5636" max="5636" width="10.6328125" style="1" customWidth="1"/>
    <col min="5637" max="5637" width="9.36328125" style="1" customWidth="1"/>
    <col min="5638" max="5661" width="7.36328125" style="1" customWidth="1"/>
    <col min="5662" max="5662" width="14.36328125" style="1" bestFit="1" customWidth="1"/>
    <col min="5663" max="5890" width="11.453125" style="1"/>
    <col min="5891" max="5891" width="7" style="1" customWidth="1"/>
    <col min="5892" max="5892" width="10.6328125" style="1" customWidth="1"/>
    <col min="5893" max="5893" width="9.36328125" style="1" customWidth="1"/>
    <col min="5894" max="5917" width="7.36328125" style="1" customWidth="1"/>
    <col min="5918" max="5918" width="14.36328125" style="1" bestFit="1" customWidth="1"/>
    <col min="5919" max="6146" width="11.453125" style="1"/>
    <col min="6147" max="6147" width="7" style="1" customWidth="1"/>
    <col min="6148" max="6148" width="10.6328125" style="1" customWidth="1"/>
    <col min="6149" max="6149" width="9.36328125" style="1" customWidth="1"/>
    <col min="6150" max="6173" width="7.36328125" style="1" customWidth="1"/>
    <col min="6174" max="6174" width="14.36328125" style="1" bestFit="1" customWidth="1"/>
    <col min="6175" max="6402" width="11.453125" style="1"/>
    <col min="6403" max="6403" width="7" style="1" customWidth="1"/>
    <col min="6404" max="6404" width="10.6328125" style="1" customWidth="1"/>
    <col min="6405" max="6405" width="9.36328125" style="1" customWidth="1"/>
    <col min="6406" max="6429" width="7.36328125" style="1" customWidth="1"/>
    <col min="6430" max="6430" width="14.36328125" style="1" bestFit="1" customWidth="1"/>
    <col min="6431" max="6658" width="11.453125" style="1"/>
    <col min="6659" max="6659" width="7" style="1" customWidth="1"/>
    <col min="6660" max="6660" width="10.6328125" style="1" customWidth="1"/>
    <col min="6661" max="6661" width="9.36328125" style="1" customWidth="1"/>
    <col min="6662" max="6685" width="7.36328125" style="1" customWidth="1"/>
    <col min="6686" max="6686" width="14.36328125" style="1" bestFit="1" customWidth="1"/>
    <col min="6687" max="6914" width="11.453125" style="1"/>
    <col min="6915" max="6915" width="7" style="1" customWidth="1"/>
    <col min="6916" max="6916" width="10.6328125" style="1" customWidth="1"/>
    <col min="6917" max="6917" width="9.36328125" style="1" customWidth="1"/>
    <col min="6918" max="6941" width="7.36328125" style="1" customWidth="1"/>
    <col min="6942" max="6942" width="14.36328125" style="1" bestFit="1" customWidth="1"/>
    <col min="6943" max="7170" width="11.453125" style="1"/>
    <col min="7171" max="7171" width="7" style="1" customWidth="1"/>
    <col min="7172" max="7172" width="10.6328125" style="1" customWidth="1"/>
    <col min="7173" max="7173" width="9.36328125" style="1" customWidth="1"/>
    <col min="7174" max="7197" width="7.36328125" style="1" customWidth="1"/>
    <col min="7198" max="7198" width="14.36328125" style="1" bestFit="1" customWidth="1"/>
    <col min="7199" max="7426" width="11.453125" style="1"/>
    <col min="7427" max="7427" width="7" style="1" customWidth="1"/>
    <col min="7428" max="7428" width="10.6328125" style="1" customWidth="1"/>
    <col min="7429" max="7429" width="9.36328125" style="1" customWidth="1"/>
    <col min="7430" max="7453" width="7.36328125" style="1" customWidth="1"/>
    <col min="7454" max="7454" width="14.36328125" style="1" bestFit="1" customWidth="1"/>
    <col min="7455" max="7682" width="11.453125" style="1"/>
    <col min="7683" max="7683" width="7" style="1" customWidth="1"/>
    <col min="7684" max="7684" width="10.6328125" style="1" customWidth="1"/>
    <col min="7685" max="7685" width="9.36328125" style="1" customWidth="1"/>
    <col min="7686" max="7709" width="7.36328125" style="1" customWidth="1"/>
    <col min="7710" max="7710" width="14.36328125" style="1" bestFit="1" customWidth="1"/>
    <col min="7711" max="7938" width="11.453125" style="1"/>
    <col min="7939" max="7939" width="7" style="1" customWidth="1"/>
    <col min="7940" max="7940" width="10.6328125" style="1" customWidth="1"/>
    <col min="7941" max="7941" width="9.36328125" style="1" customWidth="1"/>
    <col min="7942" max="7965" width="7.36328125" style="1" customWidth="1"/>
    <col min="7966" max="7966" width="14.36328125" style="1" bestFit="1" customWidth="1"/>
    <col min="7967" max="8194" width="11.453125" style="1"/>
    <col min="8195" max="8195" width="7" style="1" customWidth="1"/>
    <col min="8196" max="8196" width="10.6328125" style="1" customWidth="1"/>
    <col min="8197" max="8197" width="9.36328125" style="1" customWidth="1"/>
    <col min="8198" max="8221" width="7.36328125" style="1" customWidth="1"/>
    <col min="8222" max="8222" width="14.36328125" style="1" bestFit="1" customWidth="1"/>
    <col min="8223" max="8450" width="11.453125" style="1"/>
    <col min="8451" max="8451" width="7" style="1" customWidth="1"/>
    <col min="8452" max="8452" width="10.6328125" style="1" customWidth="1"/>
    <col min="8453" max="8453" width="9.36328125" style="1" customWidth="1"/>
    <col min="8454" max="8477" width="7.36328125" style="1" customWidth="1"/>
    <col min="8478" max="8478" width="14.36328125" style="1" bestFit="1" customWidth="1"/>
    <col min="8479" max="8706" width="11.453125" style="1"/>
    <col min="8707" max="8707" width="7" style="1" customWidth="1"/>
    <col min="8708" max="8708" width="10.6328125" style="1" customWidth="1"/>
    <col min="8709" max="8709" width="9.36328125" style="1" customWidth="1"/>
    <col min="8710" max="8733" width="7.36328125" style="1" customWidth="1"/>
    <col min="8734" max="8734" width="14.36328125" style="1" bestFit="1" customWidth="1"/>
    <col min="8735" max="8962" width="11.453125" style="1"/>
    <col min="8963" max="8963" width="7" style="1" customWidth="1"/>
    <col min="8964" max="8964" width="10.6328125" style="1" customWidth="1"/>
    <col min="8965" max="8965" width="9.36328125" style="1" customWidth="1"/>
    <col min="8966" max="8989" width="7.36328125" style="1" customWidth="1"/>
    <col min="8990" max="8990" width="14.36328125" style="1" bestFit="1" customWidth="1"/>
    <col min="8991" max="9218" width="11.453125" style="1"/>
    <col min="9219" max="9219" width="7" style="1" customWidth="1"/>
    <col min="9220" max="9220" width="10.6328125" style="1" customWidth="1"/>
    <col min="9221" max="9221" width="9.36328125" style="1" customWidth="1"/>
    <col min="9222" max="9245" width="7.36328125" style="1" customWidth="1"/>
    <col min="9246" max="9246" width="14.36328125" style="1" bestFit="1" customWidth="1"/>
    <col min="9247" max="9474" width="11.453125" style="1"/>
    <col min="9475" max="9475" width="7" style="1" customWidth="1"/>
    <col min="9476" max="9476" width="10.6328125" style="1" customWidth="1"/>
    <col min="9477" max="9477" width="9.36328125" style="1" customWidth="1"/>
    <col min="9478" max="9501" width="7.36328125" style="1" customWidth="1"/>
    <col min="9502" max="9502" width="14.36328125" style="1" bestFit="1" customWidth="1"/>
    <col min="9503" max="9730" width="11.453125" style="1"/>
    <col min="9731" max="9731" width="7" style="1" customWidth="1"/>
    <col min="9732" max="9732" width="10.6328125" style="1" customWidth="1"/>
    <col min="9733" max="9733" width="9.36328125" style="1" customWidth="1"/>
    <col min="9734" max="9757" width="7.36328125" style="1" customWidth="1"/>
    <col min="9758" max="9758" width="14.36328125" style="1" bestFit="1" customWidth="1"/>
    <col min="9759" max="9986" width="11.453125" style="1"/>
    <col min="9987" max="9987" width="7" style="1" customWidth="1"/>
    <col min="9988" max="9988" width="10.6328125" style="1" customWidth="1"/>
    <col min="9989" max="9989" width="9.36328125" style="1" customWidth="1"/>
    <col min="9990" max="10013" width="7.36328125" style="1" customWidth="1"/>
    <col min="10014" max="10014" width="14.36328125" style="1" bestFit="1" customWidth="1"/>
    <col min="10015" max="10242" width="11.453125" style="1"/>
    <col min="10243" max="10243" width="7" style="1" customWidth="1"/>
    <col min="10244" max="10244" width="10.6328125" style="1" customWidth="1"/>
    <col min="10245" max="10245" width="9.36328125" style="1" customWidth="1"/>
    <col min="10246" max="10269" width="7.36328125" style="1" customWidth="1"/>
    <col min="10270" max="10270" width="14.36328125" style="1" bestFit="1" customWidth="1"/>
    <col min="10271" max="10498" width="11.453125" style="1"/>
    <col min="10499" max="10499" width="7" style="1" customWidth="1"/>
    <col min="10500" max="10500" width="10.6328125" style="1" customWidth="1"/>
    <col min="10501" max="10501" width="9.36328125" style="1" customWidth="1"/>
    <col min="10502" max="10525" width="7.36328125" style="1" customWidth="1"/>
    <col min="10526" max="10526" width="14.36328125" style="1" bestFit="1" customWidth="1"/>
    <col min="10527" max="10754" width="11.453125" style="1"/>
    <col min="10755" max="10755" width="7" style="1" customWidth="1"/>
    <col min="10756" max="10756" width="10.6328125" style="1" customWidth="1"/>
    <col min="10757" max="10757" width="9.36328125" style="1" customWidth="1"/>
    <col min="10758" max="10781" width="7.36328125" style="1" customWidth="1"/>
    <col min="10782" max="10782" width="14.36328125" style="1" bestFit="1" customWidth="1"/>
    <col min="10783" max="11010" width="11.453125" style="1"/>
    <col min="11011" max="11011" width="7" style="1" customWidth="1"/>
    <col min="11012" max="11012" width="10.6328125" style="1" customWidth="1"/>
    <col min="11013" max="11013" width="9.36328125" style="1" customWidth="1"/>
    <col min="11014" max="11037" width="7.36328125" style="1" customWidth="1"/>
    <col min="11038" max="11038" width="14.36328125" style="1" bestFit="1" customWidth="1"/>
    <col min="11039" max="11266" width="11.453125" style="1"/>
    <col min="11267" max="11267" width="7" style="1" customWidth="1"/>
    <col min="11268" max="11268" width="10.6328125" style="1" customWidth="1"/>
    <col min="11269" max="11269" width="9.36328125" style="1" customWidth="1"/>
    <col min="11270" max="11293" width="7.36328125" style="1" customWidth="1"/>
    <col min="11294" max="11294" width="14.36328125" style="1" bestFit="1" customWidth="1"/>
    <col min="11295" max="11522" width="11.453125" style="1"/>
    <col min="11523" max="11523" width="7" style="1" customWidth="1"/>
    <col min="11524" max="11524" width="10.6328125" style="1" customWidth="1"/>
    <col min="11525" max="11525" width="9.36328125" style="1" customWidth="1"/>
    <col min="11526" max="11549" width="7.36328125" style="1" customWidth="1"/>
    <col min="11550" max="11550" width="14.36328125" style="1" bestFit="1" customWidth="1"/>
    <col min="11551" max="11778" width="11.453125" style="1"/>
    <col min="11779" max="11779" width="7" style="1" customWidth="1"/>
    <col min="11780" max="11780" width="10.6328125" style="1" customWidth="1"/>
    <col min="11781" max="11781" width="9.36328125" style="1" customWidth="1"/>
    <col min="11782" max="11805" width="7.36328125" style="1" customWidth="1"/>
    <col min="11806" max="11806" width="14.36328125" style="1" bestFit="1" customWidth="1"/>
    <col min="11807" max="12034" width="11.453125" style="1"/>
    <col min="12035" max="12035" width="7" style="1" customWidth="1"/>
    <col min="12036" max="12036" width="10.6328125" style="1" customWidth="1"/>
    <col min="12037" max="12037" width="9.36328125" style="1" customWidth="1"/>
    <col min="12038" max="12061" width="7.36328125" style="1" customWidth="1"/>
    <col min="12062" max="12062" width="14.36328125" style="1" bestFit="1" customWidth="1"/>
    <col min="12063" max="12290" width="11.453125" style="1"/>
    <col min="12291" max="12291" width="7" style="1" customWidth="1"/>
    <col min="12292" max="12292" width="10.6328125" style="1" customWidth="1"/>
    <col min="12293" max="12293" width="9.36328125" style="1" customWidth="1"/>
    <col min="12294" max="12317" width="7.36328125" style="1" customWidth="1"/>
    <col min="12318" max="12318" width="14.36328125" style="1" bestFit="1" customWidth="1"/>
    <col min="12319" max="12546" width="11.453125" style="1"/>
    <col min="12547" max="12547" width="7" style="1" customWidth="1"/>
    <col min="12548" max="12548" width="10.6328125" style="1" customWidth="1"/>
    <col min="12549" max="12549" width="9.36328125" style="1" customWidth="1"/>
    <col min="12550" max="12573" width="7.36328125" style="1" customWidth="1"/>
    <col min="12574" max="12574" width="14.36328125" style="1" bestFit="1" customWidth="1"/>
    <col min="12575" max="12802" width="11.453125" style="1"/>
    <col min="12803" max="12803" width="7" style="1" customWidth="1"/>
    <col min="12804" max="12804" width="10.6328125" style="1" customWidth="1"/>
    <col min="12805" max="12805" width="9.36328125" style="1" customWidth="1"/>
    <col min="12806" max="12829" width="7.36328125" style="1" customWidth="1"/>
    <col min="12830" max="12830" width="14.36328125" style="1" bestFit="1" customWidth="1"/>
    <col min="12831" max="13058" width="11.453125" style="1"/>
    <col min="13059" max="13059" width="7" style="1" customWidth="1"/>
    <col min="13060" max="13060" width="10.6328125" style="1" customWidth="1"/>
    <col min="13061" max="13061" width="9.36328125" style="1" customWidth="1"/>
    <col min="13062" max="13085" width="7.36328125" style="1" customWidth="1"/>
    <col min="13086" max="13086" width="14.36328125" style="1" bestFit="1" customWidth="1"/>
    <col min="13087" max="13314" width="11.453125" style="1"/>
    <col min="13315" max="13315" width="7" style="1" customWidth="1"/>
    <col min="13316" max="13316" width="10.6328125" style="1" customWidth="1"/>
    <col min="13317" max="13317" width="9.36328125" style="1" customWidth="1"/>
    <col min="13318" max="13341" width="7.36328125" style="1" customWidth="1"/>
    <col min="13342" max="13342" width="14.36328125" style="1" bestFit="1" customWidth="1"/>
    <col min="13343" max="13570" width="11.453125" style="1"/>
    <col min="13571" max="13571" width="7" style="1" customWidth="1"/>
    <col min="13572" max="13572" width="10.6328125" style="1" customWidth="1"/>
    <col min="13573" max="13573" width="9.36328125" style="1" customWidth="1"/>
    <col min="13574" max="13597" width="7.36328125" style="1" customWidth="1"/>
    <col min="13598" max="13598" width="14.36328125" style="1" bestFit="1" customWidth="1"/>
    <col min="13599" max="13826" width="11.453125" style="1"/>
    <col min="13827" max="13827" width="7" style="1" customWidth="1"/>
    <col min="13828" max="13828" width="10.6328125" style="1" customWidth="1"/>
    <col min="13829" max="13829" width="9.36328125" style="1" customWidth="1"/>
    <col min="13830" max="13853" width="7.36328125" style="1" customWidth="1"/>
    <col min="13854" max="13854" width="14.36328125" style="1" bestFit="1" customWidth="1"/>
    <col min="13855" max="14082" width="11.453125" style="1"/>
    <col min="14083" max="14083" width="7" style="1" customWidth="1"/>
    <col min="14084" max="14084" width="10.6328125" style="1" customWidth="1"/>
    <col min="14085" max="14085" width="9.36328125" style="1" customWidth="1"/>
    <col min="14086" max="14109" width="7.36328125" style="1" customWidth="1"/>
    <col min="14110" max="14110" width="14.36328125" style="1" bestFit="1" customWidth="1"/>
    <col min="14111" max="14338" width="11.453125" style="1"/>
    <col min="14339" max="14339" width="7" style="1" customWidth="1"/>
    <col min="14340" max="14340" width="10.6328125" style="1" customWidth="1"/>
    <col min="14341" max="14341" width="9.36328125" style="1" customWidth="1"/>
    <col min="14342" max="14365" width="7.36328125" style="1" customWidth="1"/>
    <col min="14366" max="14366" width="14.36328125" style="1" bestFit="1" customWidth="1"/>
    <col min="14367" max="14594" width="11.453125" style="1"/>
    <col min="14595" max="14595" width="7" style="1" customWidth="1"/>
    <col min="14596" max="14596" width="10.6328125" style="1" customWidth="1"/>
    <col min="14597" max="14597" width="9.36328125" style="1" customWidth="1"/>
    <col min="14598" max="14621" width="7.36328125" style="1" customWidth="1"/>
    <col min="14622" max="14622" width="14.36328125" style="1" bestFit="1" customWidth="1"/>
    <col min="14623" max="14850" width="11.453125" style="1"/>
    <col min="14851" max="14851" width="7" style="1" customWidth="1"/>
    <col min="14852" max="14852" width="10.6328125" style="1" customWidth="1"/>
    <col min="14853" max="14853" width="9.36328125" style="1" customWidth="1"/>
    <col min="14854" max="14877" width="7.36328125" style="1" customWidth="1"/>
    <col min="14878" max="14878" width="14.36328125" style="1" bestFit="1" customWidth="1"/>
    <col min="14879" max="15106" width="11.453125" style="1"/>
    <col min="15107" max="15107" width="7" style="1" customWidth="1"/>
    <col min="15108" max="15108" width="10.6328125" style="1" customWidth="1"/>
    <col min="15109" max="15109" width="9.36328125" style="1" customWidth="1"/>
    <col min="15110" max="15133" width="7.36328125" style="1" customWidth="1"/>
    <col min="15134" max="15134" width="14.36328125" style="1" bestFit="1" customWidth="1"/>
    <col min="15135" max="15362" width="11.453125" style="1"/>
    <col min="15363" max="15363" width="7" style="1" customWidth="1"/>
    <col min="15364" max="15364" width="10.6328125" style="1" customWidth="1"/>
    <col min="15365" max="15365" width="9.36328125" style="1" customWidth="1"/>
    <col min="15366" max="15389" width="7.36328125" style="1" customWidth="1"/>
    <col min="15390" max="15390" width="14.36328125" style="1" bestFit="1" customWidth="1"/>
    <col min="15391" max="15618" width="11.453125" style="1"/>
    <col min="15619" max="15619" width="7" style="1" customWidth="1"/>
    <col min="15620" max="15620" width="10.6328125" style="1" customWidth="1"/>
    <col min="15621" max="15621" width="9.36328125" style="1" customWidth="1"/>
    <col min="15622" max="15645" width="7.36328125" style="1" customWidth="1"/>
    <col min="15646" max="15646" width="14.36328125" style="1" bestFit="1" customWidth="1"/>
    <col min="15647" max="15874" width="11.453125" style="1"/>
    <col min="15875" max="15875" width="7" style="1" customWidth="1"/>
    <col min="15876" max="15876" width="10.6328125" style="1" customWidth="1"/>
    <col min="15877" max="15877" width="9.36328125" style="1" customWidth="1"/>
    <col min="15878" max="15901" width="7.36328125" style="1" customWidth="1"/>
    <col min="15902" max="15902" width="14.36328125" style="1" bestFit="1" customWidth="1"/>
    <col min="15903" max="16130" width="11.453125" style="1"/>
    <col min="16131" max="16131" width="7" style="1" customWidth="1"/>
    <col min="16132" max="16132" width="10.6328125" style="1" customWidth="1"/>
    <col min="16133" max="16133" width="9.36328125" style="1" customWidth="1"/>
    <col min="16134" max="16157" width="7.36328125" style="1" customWidth="1"/>
    <col min="16158" max="16158" width="14.36328125" style="1" bestFit="1" customWidth="1"/>
    <col min="16159" max="16384" width="11.453125" style="1"/>
  </cols>
  <sheetData>
    <row r="1" spans="3:30" ht="18.649999999999999" customHeight="1"/>
    <row r="2" spans="3:30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30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30" ht="18.649999999999999" customHeight="1">
      <c r="C4" s="63" t="s">
        <v>64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30" ht="18.649999999999999" customHeight="1" thickBot="1"/>
    <row r="6" spans="3:30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30" ht="18.649999999999999" customHeight="1">
      <c r="C7" s="14" t="s">
        <v>30</v>
      </c>
      <c r="D7" s="5" t="s">
        <v>31</v>
      </c>
      <c r="E7" s="6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89">
        <f>SUM(F7:AC7)*E7+SUM(F8:AC8)*E8+SUM(F9:AC9)*E9+SUM(F10:AC10)*E10</f>
        <v>0</v>
      </c>
    </row>
    <row r="8" spans="3:30" ht="18.649999999999999" customHeight="1">
      <c r="C8" s="15"/>
      <c r="D8" s="5" t="s">
        <v>32</v>
      </c>
      <c r="E8" s="6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90"/>
    </row>
    <row r="9" spans="3:30" ht="18.649999999999999" customHeight="1">
      <c r="C9" s="15"/>
      <c r="D9" s="5" t="s">
        <v>33</v>
      </c>
      <c r="E9" s="6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90"/>
    </row>
    <row r="10" spans="3:30" ht="18.649999999999999" customHeight="1">
      <c r="C10" s="16"/>
      <c r="D10" s="5" t="s">
        <v>34</v>
      </c>
      <c r="E10" s="6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91"/>
    </row>
    <row r="11" spans="3:30" ht="18.649999999999999" customHeight="1">
      <c r="C11" s="14" t="s">
        <v>35</v>
      </c>
      <c r="D11" s="5" t="s">
        <v>31</v>
      </c>
      <c r="E11" s="6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89">
        <f>SUM(F11:AC11)*E11+SUM(F12:AC12)*E12+SUM(F13:AC13)*E13+SUM(F14:AC14)*E14</f>
        <v>0</v>
      </c>
    </row>
    <row r="12" spans="3:30" ht="18.649999999999999" customHeight="1">
      <c r="C12" s="15"/>
      <c r="D12" s="5" t="s">
        <v>32</v>
      </c>
      <c r="E12" s="6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90"/>
    </row>
    <row r="13" spans="3:30" ht="18.649999999999999" customHeight="1">
      <c r="C13" s="15"/>
      <c r="D13" s="5" t="s">
        <v>33</v>
      </c>
      <c r="E13" s="6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90"/>
    </row>
    <row r="14" spans="3:30" ht="18.649999999999999" customHeight="1">
      <c r="C14" s="16"/>
      <c r="D14" s="5" t="s">
        <v>34</v>
      </c>
      <c r="E14" s="6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91"/>
    </row>
    <row r="15" spans="3:30" ht="18.649999999999999" customHeight="1">
      <c r="C15" s="14" t="s">
        <v>36</v>
      </c>
      <c r="D15" s="5" t="s">
        <v>31</v>
      </c>
      <c r="E15" s="6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89">
        <f t="shared" ref="AD15" si="0">SUM(F15:AC15)*E15+SUM(F16:AC16)*E16+SUM(F17:AC17)*E17+SUM(F18:AC18)*E18</f>
        <v>0</v>
      </c>
    </row>
    <row r="16" spans="3:30" ht="18.649999999999999" customHeight="1">
      <c r="C16" s="15"/>
      <c r="D16" s="5" t="s">
        <v>32</v>
      </c>
      <c r="E16" s="6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90"/>
    </row>
    <row r="17" spans="3:30" ht="18.649999999999999" customHeight="1">
      <c r="C17" s="15"/>
      <c r="D17" s="5" t="s">
        <v>33</v>
      </c>
      <c r="E17" s="6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90"/>
    </row>
    <row r="18" spans="3:30" ht="18.649999999999999" customHeight="1">
      <c r="C18" s="16"/>
      <c r="D18" s="5" t="s">
        <v>34</v>
      </c>
      <c r="E18" s="6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91"/>
    </row>
    <row r="19" spans="3:30" ht="18.649999999999999" customHeight="1">
      <c r="C19" s="14" t="s">
        <v>37</v>
      </c>
      <c r="D19" s="5" t="s">
        <v>31</v>
      </c>
      <c r="E19" s="6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89">
        <f t="shared" ref="AD19" si="1">SUM(F19:AC19)*E19+SUM(F20:AC20)*E20+SUM(F21:AC21)*E21+SUM(F22:AC22)*E22</f>
        <v>0</v>
      </c>
    </row>
    <row r="20" spans="3:30" ht="18.649999999999999" customHeight="1">
      <c r="C20" s="15"/>
      <c r="D20" s="5" t="s">
        <v>32</v>
      </c>
      <c r="E20" s="6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90"/>
    </row>
    <row r="21" spans="3:30" ht="18.649999999999999" customHeight="1">
      <c r="C21" s="15"/>
      <c r="D21" s="5" t="s">
        <v>33</v>
      </c>
      <c r="E21" s="6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90"/>
    </row>
    <row r="22" spans="3:30" ht="18.649999999999999" customHeight="1">
      <c r="C22" s="16"/>
      <c r="D22" s="5" t="s">
        <v>34</v>
      </c>
      <c r="E22" s="6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91"/>
    </row>
    <row r="23" spans="3:30" ht="18.649999999999999" customHeight="1">
      <c r="C23" s="14" t="s">
        <v>38</v>
      </c>
      <c r="D23" s="5" t="s">
        <v>31</v>
      </c>
      <c r="E23" s="6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89">
        <f t="shared" ref="AD23" si="2">SUM(F23:AC23)*E23+SUM(F24:AC24)*E24+SUM(F25:AC25)*E25+SUM(F26:AC26)*E26</f>
        <v>0</v>
      </c>
    </row>
    <row r="24" spans="3:30" ht="18.649999999999999" customHeight="1">
      <c r="C24" s="15"/>
      <c r="D24" s="5" t="s">
        <v>32</v>
      </c>
      <c r="E24" s="6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90"/>
    </row>
    <row r="25" spans="3:30" ht="18.649999999999999" customHeight="1">
      <c r="C25" s="15"/>
      <c r="D25" s="5" t="s">
        <v>33</v>
      </c>
      <c r="E25" s="6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90"/>
    </row>
    <row r="26" spans="3:30" ht="18.649999999999999" customHeight="1">
      <c r="C26" s="16"/>
      <c r="D26" s="5" t="s">
        <v>34</v>
      </c>
      <c r="E26" s="6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91"/>
    </row>
    <row r="27" spans="3:30" ht="18.649999999999999" customHeight="1">
      <c r="C27" s="14" t="s">
        <v>39</v>
      </c>
      <c r="D27" s="5" t="s">
        <v>31</v>
      </c>
      <c r="E27" s="6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89">
        <f t="shared" ref="AD27" si="3">SUM(F27:AC27)*E27+SUM(F28:AC28)*E28+SUM(F29:AC29)*E29+SUM(F30:AC30)*E30</f>
        <v>0</v>
      </c>
    </row>
    <row r="28" spans="3:30" ht="18.649999999999999" customHeight="1">
      <c r="C28" s="15"/>
      <c r="D28" s="5" t="s">
        <v>32</v>
      </c>
      <c r="E28" s="6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90"/>
    </row>
    <row r="29" spans="3:30" ht="18.649999999999999" customHeight="1">
      <c r="C29" s="15"/>
      <c r="D29" s="5" t="s">
        <v>33</v>
      </c>
      <c r="E29" s="6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90"/>
    </row>
    <row r="30" spans="3:30" ht="18.649999999999999" customHeight="1">
      <c r="C30" s="16"/>
      <c r="D30" s="5" t="s">
        <v>34</v>
      </c>
      <c r="E30" s="6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91"/>
    </row>
    <row r="31" spans="3:30" ht="18.649999999999999" customHeight="1">
      <c r="C31" s="14" t="s">
        <v>40</v>
      </c>
      <c r="D31" s="5" t="s">
        <v>31</v>
      </c>
      <c r="E31" s="6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89">
        <f t="shared" ref="AD31" si="4">SUM(F31:AC31)*E31+SUM(F32:AC32)*E32+SUM(F33:AC33)*E33+SUM(F34:AC34)*E34</f>
        <v>0</v>
      </c>
    </row>
    <row r="32" spans="3:30" ht="18.649999999999999" customHeight="1">
      <c r="C32" s="15"/>
      <c r="D32" s="5" t="s">
        <v>32</v>
      </c>
      <c r="E32" s="6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90"/>
    </row>
    <row r="33" spans="3:30" ht="18.649999999999999" customHeight="1">
      <c r="C33" s="15"/>
      <c r="D33" s="5" t="s">
        <v>33</v>
      </c>
      <c r="E33" s="6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90"/>
    </row>
    <row r="34" spans="3:30" ht="18.649999999999999" customHeight="1">
      <c r="C34" s="16"/>
      <c r="D34" s="5" t="s">
        <v>34</v>
      </c>
      <c r="E34" s="6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91"/>
    </row>
    <row r="35" spans="3:30" ht="18.649999999999999" customHeight="1">
      <c r="C35" s="14" t="s">
        <v>41</v>
      </c>
      <c r="D35" s="5" t="s">
        <v>31</v>
      </c>
      <c r="E35" s="6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89">
        <f t="shared" ref="AD35" si="5">SUM(F35:AC35)*E35+SUM(F36:AC36)*E36+SUM(F37:AC37)*E37+SUM(F38:AC38)*E38</f>
        <v>0</v>
      </c>
    </row>
    <row r="36" spans="3:30" ht="18.649999999999999" customHeight="1">
      <c r="C36" s="15"/>
      <c r="D36" s="5" t="s">
        <v>32</v>
      </c>
      <c r="E36" s="6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90"/>
    </row>
    <row r="37" spans="3:30" ht="18.649999999999999" customHeight="1">
      <c r="C37" s="15"/>
      <c r="D37" s="5" t="s">
        <v>33</v>
      </c>
      <c r="E37" s="6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90"/>
    </row>
    <row r="38" spans="3:30" ht="18.649999999999999" customHeight="1">
      <c r="C38" s="16"/>
      <c r="D38" s="5" t="s">
        <v>34</v>
      </c>
      <c r="E38" s="6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91"/>
    </row>
    <row r="39" spans="3:30" ht="18.649999999999999" customHeight="1">
      <c r="C39" s="14" t="s">
        <v>42</v>
      </c>
      <c r="D39" s="5" t="s">
        <v>31</v>
      </c>
      <c r="E39" s="6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89">
        <f t="shared" ref="AD39" si="6">SUM(F39:AC39)*E39+SUM(F40:AC40)*E40+SUM(F41:AC41)*E41+SUM(F42:AC42)*E42</f>
        <v>0</v>
      </c>
    </row>
    <row r="40" spans="3:30" ht="18.649999999999999" customHeight="1">
      <c r="C40" s="15"/>
      <c r="D40" s="5" t="s">
        <v>32</v>
      </c>
      <c r="E40" s="6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90"/>
    </row>
    <row r="41" spans="3:30" ht="18.649999999999999" customHeight="1">
      <c r="C41" s="15"/>
      <c r="D41" s="5" t="s">
        <v>33</v>
      </c>
      <c r="E41" s="6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90"/>
    </row>
    <row r="42" spans="3:30" ht="18.649999999999999" customHeight="1">
      <c r="C42" s="16"/>
      <c r="D42" s="5" t="s">
        <v>34</v>
      </c>
      <c r="E42" s="6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91"/>
    </row>
    <row r="43" spans="3:30" ht="18.649999999999999" customHeight="1">
      <c r="C43" s="14" t="s">
        <v>43</v>
      </c>
      <c r="D43" s="5" t="s">
        <v>31</v>
      </c>
      <c r="E43" s="6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89">
        <f t="shared" ref="AD43" si="7">SUM(F43:AC43)*E43+SUM(F44:AC44)*E44+SUM(F45:AC45)*E45+SUM(F46:AC46)*E46</f>
        <v>0</v>
      </c>
    </row>
    <row r="44" spans="3:30" ht="18.649999999999999" customHeight="1">
      <c r="C44" s="15"/>
      <c r="D44" s="5" t="s">
        <v>32</v>
      </c>
      <c r="E44" s="6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90"/>
    </row>
    <row r="45" spans="3:30" ht="18.649999999999999" customHeight="1">
      <c r="C45" s="15"/>
      <c r="D45" s="5" t="s">
        <v>33</v>
      </c>
      <c r="E45" s="6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90"/>
    </row>
    <row r="46" spans="3:30" ht="18.649999999999999" customHeight="1">
      <c r="C46" s="16"/>
      <c r="D46" s="5" t="s">
        <v>34</v>
      </c>
      <c r="E46" s="6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91"/>
    </row>
    <row r="47" spans="3:30" ht="18.649999999999999" customHeight="1">
      <c r="C47" s="14" t="s">
        <v>44</v>
      </c>
      <c r="D47" s="5" t="s">
        <v>31</v>
      </c>
      <c r="E47" s="6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89">
        <f t="shared" ref="AD47" si="8">SUM(F47:AC47)*E47+SUM(F48:AC48)*E48+SUM(F49:AC49)*E49+SUM(F50:AC50)*E50</f>
        <v>0</v>
      </c>
    </row>
    <row r="48" spans="3:30" ht="18.649999999999999" customHeight="1">
      <c r="C48" s="15"/>
      <c r="D48" s="5" t="s">
        <v>32</v>
      </c>
      <c r="E48" s="6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90"/>
    </row>
    <row r="49" spans="3:30" ht="18.649999999999999" customHeight="1">
      <c r="C49" s="15"/>
      <c r="D49" s="5" t="s">
        <v>33</v>
      </c>
      <c r="E49" s="6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90"/>
    </row>
    <row r="50" spans="3:30" ht="18.649999999999999" customHeight="1">
      <c r="C50" s="16"/>
      <c r="D50" s="5" t="s">
        <v>34</v>
      </c>
      <c r="E50" s="6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91"/>
    </row>
    <row r="51" spans="3:30" ht="18.649999999999999" customHeight="1">
      <c r="C51" s="14" t="s">
        <v>45</v>
      </c>
      <c r="D51" s="5" t="s">
        <v>31</v>
      </c>
      <c r="E51" s="6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89">
        <f t="shared" ref="AD51" si="9">SUM(F51:AC51)*E51+SUM(F52:AC52)*E52+SUM(F53:AC53)*E53+SUM(F54:AC54)*E54</f>
        <v>0</v>
      </c>
    </row>
    <row r="52" spans="3:30" ht="18.649999999999999" customHeight="1">
      <c r="C52" s="15"/>
      <c r="D52" s="5" t="s">
        <v>32</v>
      </c>
      <c r="E52" s="6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90"/>
    </row>
    <row r="53" spans="3:30" ht="18.649999999999999" customHeight="1">
      <c r="C53" s="15"/>
      <c r="D53" s="5" t="s">
        <v>33</v>
      </c>
      <c r="E53" s="6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90"/>
    </row>
    <row r="54" spans="3:30" ht="18.649999999999999" customHeight="1">
      <c r="C54" s="16"/>
      <c r="D54" s="5" t="s">
        <v>34</v>
      </c>
      <c r="E54" s="6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91"/>
    </row>
    <row r="55" spans="3:30" ht="18.649999999999999" customHeight="1">
      <c r="AA55" s="64" t="s">
        <v>46</v>
      </c>
      <c r="AB55" s="65"/>
      <c r="AC55" s="66"/>
      <c r="AD55" s="9">
        <f>SUM(AD7:AD54)</f>
        <v>0</v>
      </c>
    </row>
    <row r="56" spans="3:30" ht="18.649999999999999" customHeight="1"/>
  </sheetData>
  <mergeCells count="16"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209a7-1359-40c6-86fe-9091c8270b74">
      <Terms xmlns="http://schemas.microsoft.com/office/infopath/2007/PartnerControls"/>
    </lcf76f155ced4ddcb4097134ff3c332f>
    <TaxCatchAll xmlns="fde91536-cb6a-48c8-a1c9-f59bb520eb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E6A8F4FD75D4F983864B74DB84392" ma:contentTypeVersion="19" ma:contentTypeDescription="Crear nuevo documento." ma:contentTypeScope="" ma:versionID="a686d44b346498437226d65f0e84aefb">
  <xsd:schema xmlns:xsd="http://www.w3.org/2001/XMLSchema" xmlns:xs="http://www.w3.org/2001/XMLSchema" xmlns:p="http://schemas.microsoft.com/office/2006/metadata/properties" xmlns:ns2="20f209a7-1359-40c6-86fe-9091c8270b74" xmlns:ns3="82abe3a3-6e4b-4543-a779-2a3e3746bbb7" xmlns:ns4="fde91536-cb6a-48c8-a1c9-f59bb520eba1" targetNamespace="http://schemas.microsoft.com/office/2006/metadata/properties" ma:root="true" ma:fieldsID="edd093b43b8f5934b80ffe489f08745c" ns2:_="" ns3:_="" ns4:_="">
    <xsd:import namespace="20f209a7-1359-40c6-86fe-9091c8270b74"/>
    <xsd:import namespace="82abe3a3-6e4b-4543-a779-2a3e3746bbb7"/>
    <xsd:import namespace="fde91536-cb6a-48c8-a1c9-f59bb520e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209a7-1359-40c6-86fe-9091c8270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a7b523-58f5-4d52-b53c-05f253e3d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be3a3-6e4b-4543-a779-2a3e3746b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91536-cb6a-48c8-a1c9-f59bb520eba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694ff3e-b4a5-4b34-b281-d10abf799c64}" ma:internalName="TaxCatchAll" ma:showField="CatchAllData" ma:web="82abe3a3-6e4b-4543-a779-2a3e3746b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335DA5-68F1-4BD9-9A62-5CA5F5498C57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20f209a7-1359-40c6-86fe-9091c8270b74"/>
    <ds:schemaRef ds:uri="82abe3a3-6e4b-4543-a779-2a3e3746bbb7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fde91536-cb6a-48c8-a1c9-f59bb520eba1"/>
  </ds:schemaRefs>
</ds:datastoreItem>
</file>

<file path=customXml/itemProps2.xml><?xml version="1.0" encoding="utf-8"?>
<ds:datastoreItem xmlns:ds="http://schemas.openxmlformats.org/officeDocument/2006/customXml" ds:itemID="{9550143A-B074-41AF-8E19-8DD75A7F52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209a7-1359-40c6-86fe-9091c8270b74"/>
    <ds:schemaRef ds:uri="82abe3a3-6e4b-4543-a779-2a3e3746bbb7"/>
    <ds:schemaRef ds:uri="fde91536-cb6a-48c8-a1c9-f59bb520e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E0A1FB-D788-4744-96DB-0168C5E344C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15</vt:i4>
      </vt:variant>
    </vt:vector>
  </HeadingPairs>
  <TitlesOfParts>
    <vt:vector size="46" baseType="lpstr">
      <vt:lpstr>Cantidades 2026</vt:lpstr>
      <vt:lpstr>Cantidades 2027</vt:lpstr>
      <vt:lpstr>Cantidades 2028</vt:lpstr>
      <vt:lpstr>Cantidades 2029</vt:lpstr>
      <vt:lpstr>Cantidades 2030</vt:lpstr>
      <vt:lpstr>Cantidades 2031</vt:lpstr>
      <vt:lpstr>Cantidades 2032</vt:lpstr>
      <vt:lpstr>Cantidades 2033</vt:lpstr>
      <vt:lpstr>Cantidades 2034</vt:lpstr>
      <vt:lpstr>Cantidades 2035</vt:lpstr>
      <vt:lpstr>Cantidades 2036</vt:lpstr>
      <vt:lpstr>Cantidades 2037</vt:lpstr>
      <vt:lpstr>Cantidades 2038</vt:lpstr>
      <vt:lpstr>Cantidades 2039</vt:lpstr>
      <vt:lpstr>Cantidades 2040</vt:lpstr>
      <vt:lpstr>Oferta 2026</vt:lpstr>
      <vt:lpstr>Oferta 2027</vt:lpstr>
      <vt:lpstr>Oferta 2028</vt:lpstr>
      <vt:lpstr>Oferta 2029</vt:lpstr>
      <vt:lpstr>Oferta 2030</vt:lpstr>
      <vt:lpstr>Oferta 2031</vt:lpstr>
      <vt:lpstr>Oferta 2032</vt:lpstr>
      <vt:lpstr>Oferta 2033</vt:lpstr>
      <vt:lpstr>Oferta 2034</vt:lpstr>
      <vt:lpstr>Oferta 2035</vt:lpstr>
      <vt:lpstr>Oferta 2036</vt:lpstr>
      <vt:lpstr>Oferta 2037</vt:lpstr>
      <vt:lpstr>Oferta 2038</vt:lpstr>
      <vt:lpstr>Oferta 2039</vt:lpstr>
      <vt:lpstr>Oferta 2040</vt:lpstr>
      <vt:lpstr>Oferta Horaria 2026-2040</vt:lpstr>
      <vt:lpstr>'Oferta 2026'!Área_de_impresión</vt:lpstr>
      <vt:lpstr>'Oferta 2027'!Área_de_impresión</vt:lpstr>
      <vt:lpstr>'Oferta 2028'!Área_de_impresión</vt:lpstr>
      <vt:lpstr>'Oferta 2029'!Área_de_impresión</vt:lpstr>
      <vt:lpstr>'Oferta 2030'!Área_de_impresión</vt:lpstr>
      <vt:lpstr>'Oferta 2031'!Área_de_impresión</vt:lpstr>
      <vt:lpstr>'Oferta 2032'!Área_de_impresión</vt:lpstr>
      <vt:lpstr>'Oferta 2033'!Área_de_impresión</vt:lpstr>
      <vt:lpstr>'Oferta 2034'!Área_de_impresión</vt:lpstr>
      <vt:lpstr>'Oferta 2035'!Área_de_impresión</vt:lpstr>
      <vt:lpstr>'Oferta 2036'!Área_de_impresión</vt:lpstr>
      <vt:lpstr>'Oferta 2037'!Área_de_impresión</vt:lpstr>
      <vt:lpstr>'Oferta 2038'!Área_de_impresión</vt:lpstr>
      <vt:lpstr>'Oferta 2039'!Área_de_impresión</vt:lpstr>
      <vt:lpstr>'Oferta 2040'!Área_de_impresión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 DARIO PUERTA LEON</dc:creator>
  <cp:keywords/>
  <dc:description/>
  <cp:lastModifiedBy>ANGELA MARIA ROLDAN ARANGO</cp:lastModifiedBy>
  <cp:revision/>
  <dcterms:created xsi:type="dcterms:W3CDTF">2020-05-05T11:47:09Z</dcterms:created>
  <dcterms:modified xsi:type="dcterms:W3CDTF">2025-08-05T21:06:30Z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0x010100C49E6A8F4FD75D4F983864B74DB84392</vt:lpwstr>
  </property>
  <property fmtid="{D5CDD505-2E9C-101B-9397-08002B2CF9AE}" pid="5" name="MSIP_Label_666bb131-2344-48ed-84db-fe1e84a9fae2_Enabled">
    <vt:lpwstr>true</vt:lpwstr>
  </property>
  <property fmtid="{D5CDD505-2E9C-101B-9397-08002B2CF9AE}" pid="6" name="MSIP_Label_666bb131-2344-48ed-84db-fe1e84a9fae2_SetDate">
    <vt:lpwstr>2021-05-14T12:22:19Z</vt:lpwstr>
  </property>
  <property fmtid="{D5CDD505-2E9C-101B-9397-08002B2CF9AE}" pid="7" name="MSIP_Label_666bb131-2344-48ed-84db-fe1e84a9fae2_Method">
    <vt:lpwstr>Standard</vt:lpwstr>
  </property>
  <property fmtid="{D5CDD505-2E9C-101B-9397-08002B2CF9AE}" pid="8" name="MSIP_Label_666bb131-2344-48ed-84db-fe1e84a9fae2_Name">
    <vt:lpwstr>666bb131-2344-48ed-84db-fe1e84a9fae2</vt:lpwstr>
  </property>
  <property fmtid="{D5CDD505-2E9C-101B-9397-08002B2CF9AE}" pid="9" name="MSIP_Label_666bb131-2344-48ed-84db-fe1e84a9fae2_SiteId">
    <vt:lpwstr>bf1ce8b5-5d39-4bc5-ad6e-07b3e4d7d67a</vt:lpwstr>
  </property>
  <property fmtid="{D5CDD505-2E9C-101B-9397-08002B2CF9AE}" pid="10" name="MSIP_Label_666bb131-2344-48ed-84db-fe1e84a9fae2_ActionId">
    <vt:lpwstr>17af050d-f21b-4d5c-ade0-0a837a2dd3df</vt:lpwstr>
  </property>
  <property fmtid="{D5CDD505-2E9C-101B-9397-08002B2CF9AE}" pid="11" name="MSIP_Label_666bb131-2344-48ed-84db-fe1e84a9fae2_ContentBits">
    <vt:lpwstr>0</vt:lpwstr>
  </property>
  <property fmtid="{D5CDD505-2E9C-101B-9397-08002B2CF9AE}" pid="12" name="MediaServiceImageTags">
    <vt:lpwstr/>
  </property>
</Properties>
</file>