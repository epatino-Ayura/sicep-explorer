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\Desktop\CONVOCATORIA V3\"/>
    </mc:Choice>
  </mc:AlternateContent>
  <xr:revisionPtr revIDLastSave="0" documentId="13_ncr:1_{304A3D99-70CD-498D-BD2D-671DFC2837D8}" xr6:coauthVersionLast="47" xr6:coauthVersionMax="47" xr10:uidLastSave="{00000000-0000-0000-0000-000000000000}"/>
  <bookViews>
    <workbookView xWindow="-120" yWindow="-120" windowWidth="24240" windowHeight="13020" activeTab="1" xr2:uid="{56A7C4B3-81BF-417D-AE99-B73046A9B2AF}"/>
  </bookViews>
  <sheets>
    <sheet name="Hoja1" sheetId="1" r:id="rId1"/>
    <sheet name="CURV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" l="1"/>
  <c r="C87" i="1"/>
  <c r="AB309" i="2" l="1"/>
  <c r="AB308" i="2"/>
  <c r="AB307" i="2"/>
  <c r="AB305" i="2"/>
  <c r="AB304" i="2"/>
  <c r="AB303" i="2"/>
  <c r="AB301" i="2"/>
  <c r="AB300" i="2"/>
  <c r="AB299" i="2"/>
  <c r="AB297" i="2"/>
  <c r="AB296" i="2"/>
  <c r="AB295" i="2"/>
  <c r="AC297" i="2" s="1"/>
  <c r="AB293" i="2"/>
  <c r="AB292" i="2"/>
  <c r="AB291" i="2"/>
  <c r="AB289" i="2"/>
  <c r="AB288" i="2"/>
  <c r="AB287" i="2"/>
  <c r="AB285" i="2"/>
  <c r="AB284" i="2"/>
  <c r="AB283" i="2"/>
  <c r="AB281" i="2"/>
  <c r="AB280" i="2"/>
  <c r="AB279" i="2"/>
  <c r="AC281" i="2" s="1"/>
  <c r="AB277" i="2"/>
  <c r="AB276" i="2"/>
  <c r="AB275" i="2"/>
  <c r="AB273" i="2"/>
  <c r="AB272" i="2"/>
  <c r="AB271" i="2"/>
  <c r="AB269" i="2"/>
  <c r="AB268" i="2"/>
  <c r="AB267" i="2"/>
  <c r="AB265" i="2"/>
  <c r="AB264" i="2"/>
  <c r="AB263" i="2"/>
  <c r="AC265" i="2" s="1"/>
  <c r="AB261" i="2"/>
  <c r="AB260" i="2"/>
  <c r="AB259" i="2"/>
  <c r="AB257" i="2"/>
  <c r="AB256" i="2"/>
  <c r="AB255" i="2"/>
  <c r="AB253" i="2"/>
  <c r="AB252" i="2"/>
  <c r="AB251" i="2"/>
  <c r="AB249" i="2"/>
  <c r="AB248" i="2"/>
  <c r="AB247" i="2"/>
  <c r="AC249" i="2" s="1"/>
  <c r="AB245" i="2"/>
  <c r="AB244" i="2"/>
  <c r="AB243" i="2"/>
  <c r="AC245" i="2" s="1"/>
  <c r="AB241" i="2"/>
  <c r="AB240" i="2"/>
  <c r="AB239" i="2"/>
  <c r="AB237" i="2"/>
  <c r="AB236" i="2"/>
  <c r="AB235" i="2"/>
  <c r="AB233" i="2"/>
  <c r="AB232" i="2"/>
  <c r="AB231" i="2"/>
  <c r="AB229" i="2"/>
  <c r="AB228" i="2"/>
  <c r="AB227" i="2"/>
  <c r="AB225" i="2"/>
  <c r="AB224" i="2"/>
  <c r="AB223" i="2"/>
  <c r="AB221" i="2"/>
  <c r="AB220" i="2"/>
  <c r="AB219" i="2"/>
  <c r="AB217" i="2"/>
  <c r="AB216" i="2"/>
  <c r="AB215" i="2"/>
  <c r="AB213" i="2"/>
  <c r="AB212" i="2"/>
  <c r="AB211" i="2"/>
  <c r="AC213" i="2" s="1"/>
  <c r="AB209" i="2"/>
  <c r="AB208" i="2"/>
  <c r="AB207" i="2"/>
  <c r="AB205" i="2"/>
  <c r="AB204" i="2"/>
  <c r="AB203" i="2"/>
  <c r="AB201" i="2"/>
  <c r="AB200" i="2"/>
  <c r="AB199" i="2"/>
  <c r="AC201" i="2" s="1"/>
  <c r="AB197" i="2"/>
  <c r="AB196" i="2"/>
  <c r="AB195" i="2"/>
  <c r="AB193" i="2"/>
  <c r="AB192" i="2"/>
  <c r="AB191" i="2"/>
  <c r="AB189" i="2"/>
  <c r="AB188" i="2"/>
  <c r="AB187" i="2"/>
  <c r="AB185" i="2"/>
  <c r="AB184" i="2"/>
  <c r="AB183" i="2"/>
  <c r="AC185" i="2" s="1"/>
  <c r="AB181" i="2"/>
  <c r="AB180" i="2"/>
  <c r="AB179" i="2"/>
  <c r="AC181" i="2" s="1"/>
  <c r="AB177" i="2"/>
  <c r="AB176" i="2"/>
  <c r="AB175" i="2"/>
  <c r="AB173" i="2"/>
  <c r="AB172" i="2"/>
  <c r="AB171" i="2"/>
  <c r="AB169" i="2"/>
  <c r="AB168" i="2"/>
  <c r="AB167" i="2"/>
  <c r="AB165" i="2"/>
  <c r="AB164" i="2"/>
  <c r="AB163" i="2"/>
  <c r="AB161" i="2"/>
  <c r="AB160" i="2"/>
  <c r="AB159" i="2"/>
  <c r="AB157" i="2"/>
  <c r="AB156" i="2"/>
  <c r="AB155" i="2"/>
  <c r="AB153" i="2"/>
  <c r="AB152" i="2"/>
  <c r="AB151" i="2"/>
  <c r="AB149" i="2"/>
  <c r="AB148" i="2"/>
  <c r="AB147" i="2"/>
  <c r="AC149" i="2" s="1"/>
  <c r="AB145" i="2"/>
  <c r="AB144" i="2"/>
  <c r="AB143" i="2"/>
  <c r="AB141" i="2"/>
  <c r="AB140" i="2"/>
  <c r="AB139" i="2"/>
  <c r="AB137" i="2"/>
  <c r="AB136" i="2"/>
  <c r="AB135" i="2"/>
  <c r="AC137" i="2" s="1"/>
  <c r="AB133" i="2"/>
  <c r="AB132" i="2"/>
  <c r="AB131" i="2"/>
  <c r="AB129" i="2"/>
  <c r="AB128" i="2"/>
  <c r="AB127" i="2"/>
  <c r="AB125" i="2"/>
  <c r="AB124" i="2"/>
  <c r="AB123" i="2"/>
  <c r="AB121" i="2"/>
  <c r="AB120" i="2"/>
  <c r="AB119" i="2"/>
  <c r="AC121" i="2" s="1"/>
  <c r="AB117" i="2"/>
  <c r="AB116" i="2"/>
  <c r="AB115" i="2"/>
  <c r="AB113" i="2"/>
  <c r="AB112" i="2"/>
  <c r="AB111" i="2"/>
  <c r="AB109" i="2"/>
  <c r="AB108" i="2"/>
  <c r="AB107" i="2"/>
  <c r="AB105" i="2"/>
  <c r="AB104" i="2"/>
  <c r="AB103" i="2"/>
  <c r="AC105" i="2" s="1"/>
  <c r="AB101" i="2"/>
  <c r="AB100" i="2"/>
  <c r="AB99" i="2"/>
  <c r="AB97" i="2"/>
  <c r="AB96" i="2"/>
  <c r="AB95" i="2"/>
  <c r="AB93" i="2"/>
  <c r="AB92" i="2"/>
  <c r="AB91" i="2"/>
  <c r="AB89" i="2"/>
  <c r="AB88" i="2"/>
  <c r="AB87" i="2"/>
  <c r="AC89" i="2" s="1"/>
  <c r="AB85" i="2"/>
  <c r="AB84" i="2"/>
  <c r="AB83" i="2"/>
  <c r="AB81" i="2"/>
  <c r="AB80" i="2"/>
  <c r="AB79" i="2"/>
  <c r="AB77" i="2"/>
  <c r="AB76" i="2"/>
  <c r="AB75" i="2"/>
  <c r="AB73" i="2"/>
  <c r="AB72" i="2"/>
  <c r="AB71" i="2"/>
  <c r="AC73" i="2" s="1"/>
  <c r="AB69" i="2"/>
  <c r="AB68" i="2"/>
  <c r="AB67" i="2"/>
  <c r="AB65" i="2"/>
  <c r="AB64" i="2"/>
  <c r="AB63" i="2"/>
  <c r="AB61" i="2"/>
  <c r="AB60" i="2"/>
  <c r="AB59" i="2"/>
  <c r="AB57" i="2"/>
  <c r="AB56" i="2"/>
  <c r="AB55" i="2"/>
  <c r="AC57" i="2" s="1"/>
  <c r="AB53" i="2"/>
  <c r="AB52" i="2"/>
  <c r="AB51" i="2"/>
  <c r="AC53" i="2" s="1"/>
  <c r="AB49" i="2"/>
  <c r="AB48" i="2"/>
  <c r="AB47" i="2"/>
  <c r="AB45" i="2"/>
  <c r="AB44" i="2"/>
  <c r="AB43" i="2"/>
  <c r="AB41" i="2"/>
  <c r="AB40" i="2"/>
  <c r="AB39" i="2"/>
  <c r="AB37" i="2"/>
  <c r="AB36" i="2"/>
  <c r="AB35" i="2"/>
  <c r="AB33" i="2"/>
  <c r="AB32" i="2"/>
  <c r="AB31" i="2"/>
  <c r="AB29" i="2"/>
  <c r="AB28" i="2"/>
  <c r="AB27" i="2"/>
  <c r="AB25" i="2"/>
  <c r="AB24" i="2"/>
  <c r="AB23" i="2"/>
  <c r="AB21" i="2"/>
  <c r="AB20" i="2"/>
  <c r="AB19" i="2"/>
  <c r="AC21" i="2" s="1"/>
  <c r="AB17" i="2"/>
  <c r="AB16" i="2"/>
  <c r="AB15" i="2"/>
  <c r="AB13" i="2"/>
  <c r="AB12" i="2"/>
  <c r="AB11" i="2"/>
  <c r="AB9" i="2"/>
  <c r="AB8" i="2"/>
  <c r="AB7" i="2"/>
  <c r="AB5" i="2"/>
  <c r="AB4" i="2"/>
  <c r="AB3" i="2"/>
  <c r="C74" i="1"/>
  <c r="C61" i="1"/>
  <c r="C48" i="1"/>
  <c r="C35" i="1"/>
  <c r="C22" i="1"/>
  <c r="C9" i="1"/>
  <c r="AC117" i="2" l="1"/>
  <c r="AC217" i="2"/>
  <c r="AC37" i="2"/>
  <c r="AC69" i="2"/>
  <c r="AC101" i="2"/>
  <c r="AC133" i="2"/>
  <c r="AC165" i="2"/>
  <c r="AC197" i="2"/>
  <c r="AC229" i="2"/>
  <c r="AC261" i="2"/>
  <c r="AC293" i="2"/>
  <c r="AC9" i="2"/>
  <c r="AC41" i="2"/>
  <c r="AC169" i="2"/>
  <c r="AC49" i="2"/>
  <c r="AC81" i="2"/>
  <c r="AC113" i="2"/>
  <c r="AC145" i="2"/>
  <c r="AC177" i="2"/>
  <c r="AC209" i="2"/>
  <c r="AC241" i="2"/>
  <c r="AC273" i="2"/>
  <c r="AC305" i="2"/>
  <c r="AC29" i="2"/>
  <c r="AC61" i="2"/>
  <c r="AC93" i="2"/>
  <c r="AC125" i="2"/>
  <c r="AC221" i="2"/>
  <c r="AC253" i="2"/>
  <c r="AC285" i="2"/>
  <c r="AC85" i="2"/>
  <c r="AC277" i="2"/>
  <c r="AC65" i="2"/>
  <c r="AC129" i="2"/>
  <c r="AC161" i="2"/>
  <c r="AC193" i="2"/>
  <c r="AC225" i="2"/>
  <c r="AC257" i="2"/>
  <c r="AC289" i="2"/>
  <c r="AC45" i="2"/>
  <c r="AC77" i="2"/>
  <c r="AC173" i="2"/>
  <c r="AC205" i="2"/>
  <c r="AC237" i="2"/>
  <c r="AC269" i="2"/>
  <c r="AC301" i="2"/>
  <c r="AC25" i="2"/>
  <c r="AC233" i="2"/>
  <c r="AC309" i="2"/>
  <c r="AC141" i="2"/>
  <c r="AC13" i="2"/>
  <c r="AC17" i="2"/>
  <c r="AC189" i="2"/>
  <c r="AC157" i="2"/>
  <c r="AC109" i="2"/>
  <c r="AC153" i="2"/>
  <c r="AC5" i="2"/>
  <c r="AC33" i="2"/>
  <c r="AC97" i="2"/>
</calcChain>
</file>

<file path=xl/sharedStrings.xml><?xml version="1.0" encoding="utf-8"?>
<sst xmlns="http://schemas.openxmlformats.org/spreadsheetml/2006/main" count="275" uniqueCount="47">
  <si>
    <t>AÑO</t>
  </si>
  <si>
    <t>2025 (6)</t>
  </si>
  <si>
    <t>Promedio total</t>
  </si>
  <si>
    <t>CUADRO DE PRECIOS Y CANTIDAD DE ENERGÍA OFERTADOS</t>
  </si>
  <si>
    <t>Cantidad de energía Solicitada kWh/mes</t>
  </si>
  <si>
    <t>Precio ofertado</t>
  </si>
  <si>
    <t>$/kWh</t>
  </si>
  <si>
    <t>% energía Ofertada</t>
  </si>
  <si>
    <t>Cantidad de energía ofertada kWh/mes</t>
  </si>
  <si>
    <t>Tipo de día</t>
  </si>
  <si>
    <t>N° días
mes</t>
  </si>
  <si>
    <t>MES-AÑO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</si>
  <si>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</si>
  <si>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</si>
  <si>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</si>
  <si>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</si>
  <si>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</si>
  <si>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</si>
  <si>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</si>
  <si>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</si>
  <si>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</si>
  <si>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</si>
  <si>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</si>
  <si>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</si>
  <si>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</si>
  <si>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</si>
  <si>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</si>
  <si>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</si>
  <si>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</si>
  <si>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</si>
  <si>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</si>
  <si>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</si>
  <si>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</si>
  <si>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</si>
  <si>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</si>
  <si>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</si>
  <si>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</si>
  <si>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TOTAL MES</t>
  </si>
  <si>
    <t>ORD.</t>
  </si>
  <si>
    <t>SAB.</t>
  </si>
  <si>
    <t>DOM- FES</t>
  </si>
  <si>
    <r>
      <t>(1)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PLC: Pague lo Contratado</t>
    </r>
  </si>
  <si>
    <r>
      <t>(2)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Precios en pesos colombianos, para cada periodo (mes), expresados con dos cifras decimales [$/kWh] – precios constantes de marzo 2025</t>
    </r>
  </si>
  <si>
    <r>
      <t>(3)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La energía ofertada y adjudicada de acuerdo con la curva de demanda definida en el Anexo No. 3</t>
    </r>
  </si>
  <si>
    <r>
      <t>(4)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Los oferentes que quieran participar en la totalidad de este producto deberán como mínimo, ofertar para el año 2025 un treinta por ciento (30%) de la energía solicitada</t>
    </r>
  </si>
  <si>
    <r>
      <t>(5)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. No será admisible la propuesta que oferte porcentajes de cero(0) para meses o años</t>
    </r>
  </si>
  <si>
    <r>
      <t>(6)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Si no se recibe la oferta mínima para el año 2025 no se tendrá en cuenta la oferta recibida para el 2026 hasta el 2031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</si>
</sst>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 Narrow"/>
      <family val="2"/>
    </font>
    <font>
      <b/>
      <sz val="11"/>
      <name val="Aptos Narrow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b/>
      <sz val="11"/>
      <name val="Arial Narrow"/>
      <family val="2"/>
    </font>
    <font>
      <sz val="8"/>
      <name val="Arial"/>
      <family val="2"/>
    </font>
    <font>
      <sz val="11"/>
      <name val="Aptos Narrow"/>
      <family val="2"/>
      <scheme val="minor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58">
    <xf numFmtId="0" fontId="0" fillId="0" borderId="0" xfId="0"/>
    <xf numFmtId="9" fontId="0" fillId="0" borderId="0" xfId="3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vertical="center" wrapText="1"/>
    </xf>
    <xf numFmtId="9" fontId="6" fillId="0" borderId="1" xfId="3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41" fontId="7" fillId="3" borderId="1" xfId="2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vertical="center" wrapText="1"/>
    </xf>
    <xf numFmtId="9" fontId="5" fillId="4" borderId="1" xfId="3" applyFont="1" applyFill="1" applyBorder="1" applyAlignment="1">
      <alignment vertical="center" wrapText="1"/>
    </xf>
    <xf numFmtId="41" fontId="7" fillId="3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41" fontId="4" fillId="4" borderId="1" xfId="0" applyNumberFormat="1" applyFont="1" applyFill="1" applyBorder="1" applyAlignment="1">
      <alignment horizontal="center" wrapText="1"/>
    </xf>
    <xf numFmtId="0" fontId="4" fillId="5" borderId="1" xfId="4" applyFont="1" applyFill="1" applyBorder="1" applyAlignment="1" applyProtection="1">
      <alignment horizontal="center" vertical="center" wrapText="1"/>
      <protection locked="0"/>
    </xf>
    <xf numFmtId="164" fontId="4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5" borderId="0" xfId="4" applyFont="1" applyFill="1" applyAlignment="1" applyProtection="1">
      <alignment horizontal="center" vertical="center" wrapText="1"/>
      <protection locked="0"/>
    </xf>
    <xf numFmtId="164" fontId="4" fillId="5" borderId="0" xfId="1" applyNumberFormat="1" applyFont="1" applyFill="1" applyAlignment="1" applyProtection="1">
      <alignment horizontal="center" vertical="center" wrapText="1"/>
      <protection locked="0"/>
    </xf>
    <xf numFmtId="17" fontId="4" fillId="5" borderId="1" xfId="4" applyNumberFormat="1" applyFont="1" applyFill="1" applyBorder="1" applyAlignment="1" applyProtection="1">
      <alignment horizontal="center" vertical="center" wrapText="1"/>
      <protection locked="0"/>
    </xf>
    <xf numFmtId="0" fontId="4" fillId="7" borderId="1" xfId="4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6" borderId="0" xfId="0" applyFont="1" applyFill="1" applyAlignment="1">
      <alignment horizontal="center"/>
    </xf>
    <xf numFmtId="9" fontId="9" fillId="6" borderId="0" xfId="0" applyNumberFormat="1" applyFont="1" applyFill="1" applyAlignment="1">
      <alignment horizontal="center"/>
    </xf>
    <xf numFmtId="164" fontId="9" fillId="6" borderId="0" xfId="1" applyNumberFormat="1" applyFont="1" applyFill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 wrapText="1"/>
    </xf>
    <xf numFmtId="164" fontId="9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164" fontId="4" fillId="0" borderId="0" xfId="1" applyNumberFormat="1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8" borderId="0" xfId="0" applyFont="1" applyFill="1" applyAlignment="1">
      <alignment horizontal="center" wrapText="1"/>
    </xf>
    <xf numFmtId="0" fontId="9" fillId="8" borderId="0" xfId="0" applyFont="1" applyFill="1" applyAlignment="1">
      <alignment horizontal="center"/>
    </xf>
    <xf numFmtId="164" fontId="9" fillId="8" borderId="0" xfId="1" applyNumberFormat="1" applyFont="1" applyFill="1" applyAlignment="1">
      <alignment horizontal="center"/>
    </xf>
    <xf numFmtId="0" fontId="9" fillId="0" borderId="1" xfId="0" applyFont="1" applyBorder="1" applyAlignment="1">
      <alignment horizontal="center" wrapText="1"/>
    </xf>
    <xf numFmtId="164" fontId="9" fillId="0" borderId="2" xfId="1" applyNumberFormat="1" applyFont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8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9" fontId="2" fillId="4" borderId="1" xfId="3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2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5" borderId="1" xfId="4" applyNumberFormat="1" applyFont="1" applyFill="1" applyBorder="1" applyAlignment="1" applyProtection="1">
      <alignment horizontal="center" vertical="center" wrapText="1"/>
      <protection locked="0"/>
    </xf>
    <xf numFmtId="17" fontId="4" fillId="8" borderId="1" xfId="4" applyNumberFormat="1" applyFont="1" applyFill="1" applyBorder="1" applyAlignment="1">
      <alignment horizontal="center" vertical="center" wrapText="1"/>
    </xf>
    <xf numFmtId="0" fontId="4" fillId="8" borderId="1" xfId="4" applyFont="1" applyFill="1" applyBorder="1" applyAlignment="1">
      <alignment horizontal="center" vertical="center" wrapText="1"/>
    </xf>
  </cellXfs>
  <cellStyles count="5">
    <cellStyle name="Millares" xfId="1" builtinId="3"/>
    <cellStyle name="Moneda" xfId="2" builtinId="4"/>
    <cellStyle name="Normal" xfId="0" builtinId="0"/>
    <cellStyle name="Normal_ENE99" xfId="4" xr:uid="{3C5C0379-1B43-4BF5-860B-3C68B17E12F4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B28F-D115-4C4E-BC59-E676E773084F}">
  <dimension ref="A1:F96"/>
  <sheetViews>
    <sheetView topLeftCell="A73" workbookViewId="0">
      <selection activeCell="N82" sqref="N82"/>
    </sheetView>
  </sheetViews>
  <sheetFormatPr baseColWidth="10" defaultRowHeight="15" x14ac:dyDescent="0.25"/>
  <cols>
    <col min="3" max="3" width="14.42578125" style="2" bestFit="1" customWidth="1"/>
    <col min="5" max="5" width="11.42578125" style="1"/>
  </cols>
  <sheetData>
    <row r="1" spans="2:6" ht="30" customHeight="1" x14ac:dyDescent="0.25">
      <c r="B1" s="47" t="s">
        <v>3</v>
      </c>
      <c r="C1" s="47"/>
      <c r="D1" s="47"/>
      <c r="E1" s="47"/>
      <c r="F1" s="47"/>
    </row>
    <row r="2" spans="2:6" ht="30" x14ac:dyDescent="0.25">
      <c r="B2" s="47" t="s">
        <v>0</v>
      </c>
      <c r="C2" s="48" t="s">
        <v>4</v>
      </c>
      <c r="D2" s="3" t="s">
        <v>5</v>
      </c>
      <c r="E2" s="49" t="s">
        <v>7</v>
      </c>
      <c r="F2" s="50" t="s">
        <v>8</v>
      </c>
    </row>
    <row r="3" spans="2:6" x14ac:dyDescent="0.25">
      <c r="B3" s="47"/>
      <c r="C3" s="48"/>
      <c r="D3" s="3" t="s">
        <v>6</v>
      </c>
      <c r="E3" s="49"/>
      <c r="F3" s="50"/>
    </row>
    <row r="4" spans="2:6" ht="16.5" x14ac:dyDescent="0.25">
      <c r="B4" s="4">
        <v>45870</v>
      </c>
      <c r="C4" s="5">
        <v>315572.18884997501</v>
      </c>
      <c r="D4" s="6"/>
      <c r="E4" s="7">
        <v>0</v>
      </c>
      <c r="F4" s="8"/>
    </row>
    <row r="5" spans="2:6" ht="16.5" x14ac:dyDescent="0.25">
      <c r="B5" s="4">
        <v>45901</v>
      </c>
      <c r="C5" s="5">
        <v>332430.95636618754</v>
      </c>
      <c r="D5" s="6"/>
      <c r="E5" s="7">
        <v>0</v>
      </c>
      <c r="F5" s="8"/>
    </row>
    <row r="6" spans="2:6" ht="16.5" x14ac:dyDescent="0.25">
      <c r="B6" s="4">
        <v>45931</v>
      </c>
      <c r="C6" s="5">
        <v>334931.44562269835</v>
      </c>
      <c r="D6" s="6"/>
      <c r="E6" s="7">
        <v>0</v>
      </c>
      <c r="F6" s="8"/>
    </row>
    <row r="7" spans="2:6" ht="16.5" x14ac:dyDescent="0.25">
      <c r="B7" s="4">
        <v>45962</v>
      </c>
      <c r="C7" s="5">
        <v>360253.73507525015</v>
      </c>
      <c r="D7" s="6"/>
      <c r="E7" s="7">
        <v>0</v>
      </c>
      <c r="F7" s="8"/>
    </row>
    <row r="8" spans="2:6" ht="16.5" x14ac:dyDescent="0.25">
      <c r="B8" s="4">
        <v>45992</v>
      </c>
      <c r="C8" s="5">
        <v>1178228.4587789567</v>
      </c>
      <c r="D8" s="6"/>
      <c r="E8" s="7">
        <v>0</v>
      </c>
      <c r="F8" s="8"/>
    </row>
    <row r="9" spans="2:6" ht="16.5" x14ac:dyDescent="0.3">
      <c r="B9" s="9" t="s">
        <v>1</v>
      </c>
      <c r="C9" s="10">
        <f>SUM(C4:C8)</f>
        <v>2521416.7846930679</v>
      </c>
      <c r="D9" s="11"/>
      <c r="E9" s="12"/>
      <c r="F9" s="11"/>
    </row>
    <row r="10" spans="2:6" ht="16.5" x14ac:dyDescent="0.25">
      <c r="B10" s="4">
        <v>46023</v>
      </c>
      <c r="C10" s="5">
        <v>1125059.0043168</v>
      </c>
      <c r="D10" s="6"/>
      <c r="E10" s="7">
        <v>0</v>
      </c>
      <c r="F10" s="8"/>
    </row>
    <row r="11" spans="2:6" ht="16.5" x14ac:dyDescent="0.25">
      <c r="B11" s="4">
        <v>46054</v>
      </c>
      <c r="C11" s="5">
        <v>2266620.5617929399</v>
      </c>
      <c r="D11" s="6"/>
      <c r="E11" s="7">
        <v>0</v>
      </c>
      <c r="F11" s="8"/>
    </row>
    <row r="12" spans="2:6" ht="16.5" x14ac:dyDescent="0.25">
      <c r="B12" s="4">
        <v>46082</v>
      </c>
      <c r="C12" s="5">
        <v>730670.98801825196</v>
      </c>
      <c r="D12" s="6"/>
      <c r="E12" s="7">
        <v>0</v>
      </c>
      <c r="F12" s="8"/>
    </row>
    <row r="13" spans="2:6" ht="16.5" x14ac:dyDescent="0.25">
      <c r="B13" s="4">
        <v>46113</v>
      </c>
      <c r="C13" s="5">
        <v>1108671.940988325</v>
      </c>
      <c r="D13" s="6"/>
      <c r="E13" s="7">
        <v>0</v>
      </c>
      <c r="F13" s="8"/>
    </row>
    <row r="14" spans="2:6" ht="16.5" x14ac:dyDescent="0.25">
      <c r="B14" s="4">
        <v>46143</v>
      </c>
      <c r="C14" s="5">
        <v>1152461.1107220748</v>
      </c>
      <c r="D14" s="6"/>
      <c r="E14" s="7">
        <v>0</v>
      </c>
      <c r="F14" s="8"/>
    </row>
    <row r="15" spans="2:6" ht="16.5" x14ac:dyDescent="0.25">
      <c r="B15" s="4">
        <v>46174</v>
      </c>
      <c r="C15" s="5">
        <v>987300.23102493526</v>
      </c>
      <c r="D15" s="6"/>
      <c r="E15" s="7">
        <v>0</v>
      </c>
      <c r="F15" s="8"/>
    </row>
    <row r="16" spans="2:6" ht="16.5" x14ac:dyDescent="0.25">
      <c r="B16" s="4">
        <v>46204</v>
      </c>
      <c r="C16" s="5">
        <v>1165817.1113402625</v>
      </c>
      <c r="D16" s="6"/>
      <c r="E16" s="7">
        <v>0</v>
      </c>
      <c r="F16" s="8"/>
    </row>
    <row r="17" spans="2:6" ht="16.5" x14ac:dyDescent="0.25">
      <c r="B17" s="4">
        <v>46235</v>
      </c>
      <c r="C17" s="5">
        <v>1173201.3923655374</v>
      </c>
      <c r="D17" s="6"/>
      <c r="E17" s="7">
        <v>0</v>
      </c>
      <c r="F17" s="8"/>
    </row>
    <row r="18" spans="2:6" ht="16.5" x14ac:dyDescent="0.25">
      <c r="B18" s="4">
        <v>46266</v>
      </c>
      <c r="C18" s="5">
        <v>1142109.8498564998</v>
      </c>
      <c r="D18" s="6"/>
      <c r="E18" s="7">
        <v>0</v>
      </c>
      <c r="F18" s="8"/>
    </row>
    <row r="19" spans="2:6" ht="16.5" x14ac:dyDescent="0.25">
      <c r="B19" s="4">
        <v>46296</v>
      </c>
      <c r="C19" s="5">
        <v>1186889.405299762</v>
      </c>
      <c r="D19" s="6"/>
      <c r="E19" s="7">
        <v>0</v>
      </c>
      <c r="F19" s="8"/>
    </row>
    <row r="20" spans="2:6" ht="16.5" x14ac:dyDescent="0.25">
      <c r="B20" s="4">
        <v>46327</v>
      </c>
      <c r="C20" s="5">
        <v>1155077.1927410625</v>
      </c>
      <c r="D20" s="6"/>
      <c r="E20" s="7">
        <v>0</v>
      </c>
      <c r="F20" s="8"/>
    </row>
    <row r="21" spans="2:6" ht="16.5" x14ac:dyDescent="0.25">
      <c r="B21" s="4">
        <v>46357</v>
      </c>
      <c r="C21" s="5">
        <v>2666856.6078168768</v>
      </c>
      <c r="D21" s="6"/>
      <c r="E21" s="7">
        <v>0</v>
      </c>
      <c r="F21" s="8"/>
    </row>
    <row r="22" spans="2:6" ht="16.5" x14ac:dyDescent="0.3">
      <c r="B22" s="9">
        <v>2026</v>
      </c>
      <c r="C22" s="10">
        <f>SUM(C10:C21)</f>
        <v>15860735.396283329</v>
      </c>
      <c r="D22" s="11"/>
      <c r="E22" s="12"/>
      <c r="F22" s="11"/>
    </row>
    <row r="23" spans="2:6" ht="16.5" x14ac:dyDescent="0.25">
      <c r="B23" s="4">
        <v>46388</v>
      </c>
      <c r="C23" s="5">
        <v>3219607.213579312</v>
      </c>
      <c r="D23" s="6"/>
      <c r="E23" s="7">
        <v>0</v>
      </c>
      <c r="F23" s="8"/>
    </row>
    <row r="24" spans="2:6" ht="16.5" x14ac:dyDescent="0.25">
      <c r="B24" s="4">
        <v>46419</v>
      </c>
      <c r="C24" s="5">
        <v>2409531.3515951233</v>
      </c>
      <c r="D24" s="6"/>
      <c r="E24" s="7">
        <v>0</v>
      </c>
      <c r="F24" s="8"/>
    </row>
    <row r="25" spans="2:6" ht="16.5" x14ac:dyDescent="0.25">
      <c r="B25" s="4">
        <v>46447</v>
      </c>
      <c r="C25" s="5">
        <v>508771.08343425056</v>
      </c>
      <c r="D25" s="6"/>
      <c r="E25" s="7">
        <v>0</v>
      </c>
      <c r="F25" s="8"/>
    </row>
    <row r="26" spans="2:6" ht="16.5" x14ac:dyDescent="0.25">
      <c r="B26" s="4">
        <v>46478</v>
      </c>
      <c r="C26" s="5">
        <v>1188085.8814508249</v>
      </c>
      <c r="D26" s="6"/>
      <c r="E26" s="7">
        <v>0</v>
      </c>
      <c r="F26" s="8"/>
    </row>
    <row r="27" spans="2:6" ht="16.5" x14ac:dyDescent="0.25">
      <c r="B27" s="4">
        <v>46508</v>
      </c>
      <c r="C27" s="5">
        <v>1234678.3711935747</v>
      </c>
      <c r="D27" s="6"/>
      <c r="E27" s="7">
        <v>0</v>
      </c>
      <c r="F27" s="8"/>
    </row>
    <row r="28" spans="2:6" ht="16.5" x14ac:dyDescent="0.25">
      <c r="B28" s="4">
        <v>46539</v>
      </c>
      <c r="C28" s="5">
        <v>1201863.2482363498</v>
      </c>
      <c r="D28" s="6"/>
      <c r="E28" s="7">
        <v>0</v>
      </c>
      <c r="F28" s="8"/>
    </row>
    <row r="29" spans="2:6" ht="16.5" x14ac:dyDescent="0.25">
      <c r="B29" s="4">
        <v>46569</v>
      </c>
      <c r="C29" s="5">
        <v>738347.1244645624</v>
      </c>
      <c r="D29" s="6"/>
      <c r="E29" s="7">
        <v>0</v>
      </c>
      <c r="F29" s="8"/>
    </row>
    <row r="30" spans="2:6" ht="16.5" x14ac:dyDescent="0.25">
      <c r="B30" s="4">
        <v>46600</v>
      </c>
      <c r="C30" s="5">
        <v>1255389.0225376498</v>
      </c>
      <c r="D30" s="6"/>
      <c r="E30" s="7">
        <v>0</v>
      </c>
      <c r="F30" s="8"/>
    </row>
    <row r="31" spans="2:6" ht="16.5" x14ac:dyDescent="0.25">
      <c r="B31" s="4">
        <v>46631</v>
      </c>
      <c r="C31" s="5">
        <v>1221493.5369118119</v>
      </c>
      <c r="D31" s="6"/>
      <c r="E31" s="7">
        <v>0</v>
      </c>
      <c r="F31" s="8"/>
    </row>
    <row r="32" spans="2:6" ht="16.5" x14ac:dyDescent="0.25">
      <c r="B32" s="4">
        <v>46661</v>
      </c>
      <c r="C32" s="5">
        <v>1979975.3165219999</v>
      </c>
      <c r="D32" s="6"/>
      <c r="E32" s="7">
        <v>0</v>
      </c>
      <c r="F32" s="8"/>
    </row>
    <row r="33" spans="2:6" ht="16.5" x14ac:dyDescent="0.25">
      <c r="B33" s="4">
        <v>46692</v>
      </c>
      <c r="C33" s="5">
        <v>1235258.9814592123</v>
      </c>
      <c r="D33" s="6"/>
      <c r="E33" s="7">
        <v>0</v>
      </c>
      <c r="F33" s="8"/>
    </row>
    <row r="34" spans="2:6" ht="16.5" x14ac:dyDescent="0.25">
      <c r="B34" s="4">
        <v>46722</v>
      </c>
      <c r="C34" s="5">
        <v>1283092.6078789872</v>
      </c>
      <c r="D34" s="6"/>
      <c r="E34" s="7">
        <v>0</v>
      </c>
      <c r="F34" s="8"/>
    </row>
    <row r="35" spans="2:6" ht="16.5" x14ac:dyDescent="0.3">
      <c r="B35" s="9">
        <v>2027</v>
      </c>
      <c r="C35" s="10">
        <f>SUM(C23:C34)</f>
        <v>17476093.739263661</v>
      </c>
      <c r="D35" s="11"/>
      <c r="E35" s="12"/>
      <c r="F35" s="11"/>
    </row>
    <row r="36" spans="2:6" ht="16.5" x14ac:dyDescent="0.25">
      <c r="B36" s="4">
        <v>46753</v>
      </c>
      <c r="C36" s="5">
        <v>3612605.2311931881</v>
      </c>
      <c r="D36" s="6"/>
      <c r="E36" s="7">
        <v>0</v>
      </c>
      <c r="F36" s="8"/>
    </row>
    <row r="37" spans="2:6" ht="16.5" x14ac:dyDescent="0.25">
      <c r="B37" s="4">
        <v>46784</v>
      </c>
      <c r="C37" s="5">
        <v>3229055.3380786879</v>
      </c>
      <c r="D37" s="6"/>
      <c r="E37" s="7">
        <v>0</v>
      </c>
      <c r="F37" s="8"/>
    </row>
    <row r="38" spans="2:6" ht="16.5" x14ac:dyDescent="0.25">
      <c r="B38" s="4">
        <v>46813</v>
      </c>
      <c r="C38" s="5">
        <v>3683036.7960660011</v>
      </c>
      <c r="D38" s="6"/>
      <c r="E38" s="7">
        <v>0</v>
      </c>
      <c r="F38" s="8"/>
    </row>
    <row r="39" spans="2:6" ht="16.5" x14ac:dyDescent="0.25">
      <c r="B39" s="4">
        <v>46844</v>
      </c>
      <c r="C39" s="5">
        <v>3505329.9033581251</v>
      </c>
      <c r="D39" s="6"/>
      <c r="E39" s="7">
        <v>0</v>
      </c>
      <c r="F39" s="8"/>
    </row>
    <row r="40" spans="2:6" ht="16.5" x14ac:dyDescent="0.25">
      <c r="B40" s="4">
        <v>46874</v>
      </c>
      <c r="C40" s="5">
        <v>2411036.8700236874</v>
      </c>
      <c r="D40" s="6"/>
      <c r="E40" s="7">
        <v>0</v>
      </c>
      <c r="F40" s="8"/>
    </row>
    <row r="41" spans="2:6" ht="16.5" x14ac:dyDescent="0.25">
      <c r="B41" s="4">
        <v>46905</v>
      </c>
      <c r="C41" s="5">
        <v>498285.89883600007</v>
      </c>
      <c r="D41" s="6"/>
      <c r="E41" s="7">
        <v>0</v>
      </c>
      <c r="F41" s="8"/>
    </row>
    <row r="42" spans="2:6" ht="16.5" x14ac:dyDescent="0.25">
      <c r="B42" s="4">
        <v>46935</v>
      </c>
      <c r="C42" s="5">
        <v>2481367.4748725626</v>
      </c>
      <c r="D42" s="6"/>
      <c r="E42" s="7">
        <v>0</v>
      </c>
      <c r="F42" s="8"/>
    </row>
    <row r="43" spans="2:6" ht="16.5" x14ac:dyDescent="0.25">
      <c r="B43" s="4">
        <v>46966</v>
      </c>
      <c r="C43" s="5">
        <v>3846787.2150991876</v>
      </c>
      <c r="D43" s="6"/>
      <c r="E43" s="7">
        <v>0</v>
      </c>
      <c r="F43" s="8"/>
    </row>
    <row r="44" spans="2:6" ht="16.5" x14ac:dyDescent="0.25">
      <c r="B44" s="4">
        <v>46997</v>
      </c>
      <c r="C44" s="5">
        <v>574851.90642074996</v>
      </c>
      <c r="D44" s="6"/>
      <c r="E44" s="7">
        <v>0</v>
      </c>
      <c r="F44" s="8"/>
    </row>
    <row r="45" spans="2:6" ht="16.5" x14ac:dyDescent="0.25">
      <c r="B45" s="4">
        <v>47027</v>
      </c>
      <c r="C45" s="5">
        <v>745672.49852181331</v>
      </c>
      <c r="D45" s="6"/>
      <c r="E45" s="7">
        <v>0</v>
      </c>
      <c r="F45" s="8"/>
    </row>
    <row r="46" spans="2:6" ht="16.5" x14ac:dyDescent="0.25">
      <c r="B46" s="4">
        <v>47058</v>
      </c>
      <c r="C46" s="5">
        <v>2399356.6720846877</v>
      </c>
      <c r="D46" s="6"/>
      <c r="E46" s="7">
        <v>0</v>
      </c>
      <c r="F46" s="8"/>
    </row>
    <row r="47" spans="2:6" ht="16.5" x14ac:dyDescent="0.25">
      <c r="B47" s="4">
        <v>47088</v>
      </c>
      <c r="C47" s="5">
        <v>3770655.5138782505</v>
      </c>
      <c r="D47" s="6"/>
      <c r="E47" s="7">
        <v>0</v>
      </c>
      <c r="F47" s="8"/>
    </row>
    <row r="48" spans="2:6" ht="16.5" x14ac:dyDescent="0.3">
      <c r="B48" s="9">
        <v>2028</v>
      </c>
      <c r="C48" s="10">
        <f>SUM(C36:C47)</f>
        <v>30758041.318432942</v>
      </c>
      <c r="D48" s="11"/>
      <c r="E48" s="12"/>
      <c r="F48" s="11"/>
    </row>
    <row r="49" spans="2:6" ht="16.5" x14ac:dyDescent="0.25">
      <c r="B49" s="4">
        <v>47119</v>
      </c>
      <c r="C49" s="5">
        <v>3640364.255445749</v>
      </c>
      <c r="D49" s="6"/>
      <c r="E49" s="7">
        <v>0</v>
      </c>
      <c r="F49" s="8"/>
    </row>
    <row r="50" spans="2:6" ht="16.5" x14ac:dyDescent="0.25">
      <c r="B50" s="4">
        <v>47150</v>
      </c>
      <c r="C50" s="5">
        <v>3106006.304447812</v>
      </c>
      <c r="D50" s="6"/>
      <c r="E50" s="7">
        <v>0</v>
      </c>
      <c r="F50" s="8"/>
    </row>
    <row r="51" spans="2:6" ht="16.5" x14ac:dyDescent="0.25">
      <c r="B51" s="4">
        <v>47178</v>
      </c>
      <c r="C51" s="5">
        <v>3805969.8334258115</v>
      </c>
      <c r="D51" s="6"/>
      <c r="E51" s="7">
        <v>0</v>
      </c>
      <c r="F51" s="8"/>
    </row>
    <row r="52" spans="2:6" ht="16.5" x14ac:dyDescent="0.25">
      <c r="B52" s="4">
        <v>47209</v>
      </c>
      <c r="C52" s="5">
        <v>3616806.8479320002</v>
      </c>
      <c r="D52" s="6"/>
      <c r="E52" s="7">
        <v>0</v>
      </c>
      <c r="F52" s="8"/>
    </row>
    <row r="53" spans="2:6" ht="16.5" x14ac:dyDescent="0.25">
      <c r="B53" s="4">
        <v>47239</v>
      </c>
      <c r="C53" s="5">
        <v>1200033.610423876</v>
      </c>
      <c r="D53" s="6"/>
      <c r="E53" s="7">
        <v>0</v>
      </c>
      <c r="F53" s="8"/>
    </row>
    <row r="54" spans="2:6" ht="16.5" x14ac:dyDescent="0.25">
      <c r="B54" s="4">
        <v>47270</v>
      </c>
      <c r="C54" s="5">
        <v>1009301.5361296865</v>
      </c>
      <c r="D54" s="6"/>
      <c r="E54" s="7">
        <v>0</v>
      </c>
      <c r="F54" s="8"/>
    </row>
    <row r="55" spans="2:6" ht="16.5" x14ac:dyDescent="0.25">
      <c r="B55" s="4">
        <v>47300</v>
      </c>
      <c r="C55" s="5">
        <v>1266680.3207371887</v>
      </c>
      <c r="D55" s="6"/>
      <c r="E55" s="7">
        <v>0</v>
      </c>
      <c r="F55" s="8"/>
    </row>
    <row r="56" spans="2:6" ht="16.5" x14ac:dyDescent="0.25">
      <c r="B56" s="4">
        <v>47331</v>
      </c>
      <c r="C56" s="5">
        <v>1301168.8522372514</v>
      </c>
      <c r="D56" s="6"/>
      <c r="E56" s="7">
        <v>0</v>
      </c>
      <c r="F56" s="8"/>
    </row>
    <row r="57" spans="2:6" ht="16.5" x14ac:dyDescent="0.25">
      <c r="B57" s="4">
        <v>47362</v>
      </c>
      <c r="C57" s="5">
        <v>1097427.6899999985</v>
      </c>
      <c r="D57" s="6"/>
      <c r="E57" s="7">
        <v>0</v>
      </c>
      <c r="F57" s="8"/>
    </row>
    <row r="58" spans="2:6" ht="16.5" x14ac:dyDescent="0.25">
      <c r="B58" s="4">
        <v>47392</v>
      </c>
      <c r="C58" s="5">
        <v>1356054.9885000016</v>
      </c>
      <c r="D58" s="6"/>
      <c r="E58" s="7">
        <v>0</v>
      </c>
      <c r="F58" s="8"/>
    </row>
    <row r="59" spans="2:6" ht="16.5" x14ac:dyDescent="0.25">
      <c r="B59" s="4">
        <v>47423</v>
      </c>
      <c r="C59" s="5">
        <v>1152947.5649999988</v>
      </c>
      <c r="D59" s="6"/>
      <c r="E59" s="7">
        <v>0</v>
      </c>
      <c r="F59" s="8"/>
    </row>
    <row r="60" spans="2:6" ht="16.5" x14ac:dyDescent="0.25">
      <c r="B60" s="4">
        <v>47453</v>
      </c>
      <c r="C60" s="5">
        <v>3644679.4785000002</v>
      </c>
      <c r="D60" s="6"/>
      <c r="E60" s="7">
        <v>0</v>
      </c>
      <c r="F60" s="8"/>
    </row>
    <row r="61" spans="2:6" ht="16.5" x14ac:dyDescent="0.3">
      <c r="B61" s="9">
        <v>2029</v>
      </c>
      <c r="C61" s="10">
        <f>SUM(C49:C60)</f>
        <v>26197441.282779373</v>
      </c>
      <c r="D61" s="11"/>
      <c r="E61" s="12"/>
      <c r="F61" s="11"/>
    </row>
    <row r="62" spans="2:6" ht="16.5" x14ac:dyDescent="0.25">
      <c r="B62" s="4">
        <v>47484</v>
      </c>
      <c r="C62" s="5">
        <v>11362888.000000004</v>
      </c>
      <c r="D62" s="6"/>
      <c r="E62" s="7">
        <v>0</v>
      </c>
      <c r="F62" s="8"/>
    </row>
    <row r="63" spans="2:6" ht="16.5" x14ac:dyDescent="0.25">
      <c r="B63" s="4">
        <v>47515</v>
      </c>
      <c r="C63" s="5">
        <v>10302568</v>
      </c>
      <c r="D63" s="6"/>
      <c r="E63" s="7">
        <v>0</v>
      </c>
      <c r="F63" s="8"/>
    </row>
    <row r="64" spans="2:6" ht="16.5" x14ac:dyDescent="0.25">
      <c r="B64" s="4">
        <v>47543</v>
      </c>
      <c r="C64" s="5">
        <v>11449930</v>
      </c>
      <c r="D64" s="6"/>
      <c r="E64" s="7">
        <v>0</v>
      </c>
      <c r="F64" s="8"/>
    </row>
    <row r="65" spans="2:6" ht="16.5" x14ac:dyDescent="0.25">
      <c r="B65" s="4">
        <v>47574</v>
      </c>
      <c r="C65" s="5">
        <v>11124131</v>
      </c>
      <c r="D65" s="6"/>
      <c r="E65" s="7">
        <v>0</v>
      </c>
      <c r="F65" s="8"/>
    </row>
    <row r="66" spans="2:6" ht="16.5" x14ac:dyDescent="0.25">
      <c r="B66" s="4">
        <v>47604</v>
      </c>
      <c r="C66" s="5">
        <v>11539917</v>
      </c>
      <c r="D66" s="6"/>
      <c r="E66" s="7">
        <v>0</v>
      </c>
      <c r="F66" s="8"/>
    </row>
    <row r="67" spans="2:6" ht="16.5" x14ac:dyDescent="0.25">
      <c r="B67" s="4">
        <v>47635</v>
      </c>
      <c r="C67" s="5">
        <v>11211214</v>
      </c>
      <c r="D67" s="6"/>
      <c r="E67" s="7">
        <v>0</v>
      </c>
      <c r="F67" s="8"/>
    </row>
    <row r="68" spans="2:6" ht="16.5" x14ac:dyDescent="0.25">
      <c r="B68" s="4">
        <v>47665</v>
      </c>
      <c r="C68" s="5">
        <v>11629943</v>
      </c>
      <c r="D68" s="6"/>
      <c r="E68" s="7">
        <v>0</v>
      </c>
      <c r="F68" s="8"/>
    </row>
    <row r="69" spans="2:6" ht="16.5" x14ac:dyDescent="0.25">
      <c r="B69" s="4">
        <v>47696</v>
      </c>
      <c r="C69" s="5">
        <v>11675652.999999998</v>
      </c>
      <c r="D69" s="6"/>
      <c r="E69" s="7">
        <v>0</v>
      </c>
      <c r="F69" s="8"/>
    </row>
    <row r="70" spans="2:6" ht="16.5" x14ac:dyDescent="0.25">
      <c r="B70" s="4">
        <v>47727</v>
      </c>
      <c r="C70" s="5">
        <v>11342580</v>
      </c>
      <c r="D70" s="6"/>
      <c r="E70" s="7">
        <v>0</v>
      </c>
      <c r="F70" s="8"/>
    </row>
    <row r="71" spans="2:6" ht="16.5" x14ac:dyDescent="0.25">
      <c r="B71" s="4">
        <v>47757</v>
      </c>
      <c r="C71" s="5">
        <v>11765647</v>
      </c>
      <c r="D71" s="6"/>
      <c r="E71" s="7">
        <v>0</v>
      </c>
      <c r="F71" s="8"/>
    </row>
    <row r="72" spans="2:6" ht="16.5" x14ac:dyDescent="0.25">
      <c r="B72" s="4">
        <v>47788</v>
      </c>
      <c r="C72" s="5">
        <v>11429665</v>
      </c>
      <c r="D72" s="6"/>
      <c r="E72" s="7">
        <v>0</v>
      </c>
      <c r="F72" s="8"/>
    </row>
    <row r="73" spans="2:6" ht="16.5" x14ac:dyDescent="0.25">
      <c r="B73" s="4">
        <v>47818</v>
      </c>
      <c r="C73" s="5">
        <v>11855659.999999998</v>
      </c>
      <c r="D73" s="6"/>
      <c r="E73" s="7">
        <v>0</v>
      </c>
      <c r="F73" s="8"/>
    </row>
    <row r="74" spans="2:6" ht="16.5" x14ac:dyDescent="0.3">
      <c r="B74" s="9">
        <v>2030</v>
      </c>
      <c r="C74" s="10">
        <f>SUM(C62:C73)</f>
        <v>136689796</v>
      </c>
      <c r="D74" s="11"/>
      <c r="E74" s="12"/>
      <c r="F74" s="11"/>
    </row>
    <row r="75" spans="2:6" ht="16.5" x14ac:dyDescent="0.25">
      <c r="B75" s="4">
        <v>47849</v>
      </c>
      <c r="C75" s="5">
        <v>11901370</v>
      </c>
      <c r="D75" s="6"/>
      <c r="E75" s="7">
        <v>0</v>
      </c>
      <c r="F75" s="8"/>
    </row>
    <row r="76" spans="2:6" ht="16.5" x14ac:dyDescent="0.25">
      <c r="B76" s="4">
        <v>47880</v>
      </c>
      <c r="C76" s="5">
        <v>10788961</v>
      </c>
      <c r="D76" s="6"/>
      <c r="E76" s="7">
        <v>0</v>
      </c>
      <c r="F76" s="8"/>
    </row>
    <row r="77" spans="2:6" ht="16.5" x14ac:dyDescent="0.25">
      <c r="B77" s="4">
        <v>47908</v>
      </c>
      <c r="C77" s="5">
        <v>11988429</v>
      </c>
      <c r="D77" s="6"/>
      <c r="E77" s="7">
        <v>0</v>
      </c>
      <c r="F77" s="8"/>
    </row>
    <row r="78" spans="2:6" ht="16.5" x14ac:dyDescent="0.25">
      <c r="B78" s="4">
        <v>47939</v>
      </c>
      <c r="C78" s="5">
        <v>11645241</v>
      </c>
      <c r="D78" s="6"/>
      <c r="E78" s="7">
        <v>0</v>
      </c>
      <c r="F78" s="8"/>
    </row>
    <row r="79" spans="2:6" ht="16.5" x14ac:dyDescent="0.25">
      <c r="B79" s="4">
        <v>47969</v>
      </c>
      <c r="C79" s="5">
        <v>12078421</v>
      </c>
      <c r="D79" s="6"/>
      <c r="E79" s="7">
        <v>0</v>
      </c>
      <c r="F79" s="8"/>
    </row>
    <row r="80" spans="2:6" ht="16.5" x14ac:dyDescent="0.25">
      <c r="B80" s="4">
        <v>48000</v>
      </c>
      <c r="C80" s="5">
        <v>11732345</v>
      </c>
      <c r="D80" s="6"/>
      <c r="E80" s="7">
        <v>0</v>
      </c>
      <c r="F80" s="8"/>
    </row>
    <row r="81" spans="1:6" ht="16.5" x14ac:dyDescent="0.25">
      <c r="B81" s="4">
        <v>48030</v>
      </c>
      <c r="C81" s="5">
        <v>12168422.999999998</v>
      </c>
      <c r="D81" s="6"/>
      <c r="E81" s="7">
        <v>0</v>
      </c>
      <c r="F81" s="8"/>
    </row>
    <row r="82" spans="1:6" ht="16.5" x14ac:dyDescent="0.25">
      <c r="B82" s="4">
        <v>48061</v>
      </c>
      <c r="C82" s="5">
        <v>12214141</v>
      </c>
      <c r="D82" s="6"/>
      <c r="E82" s="7">
        <v>0</v>
      </c>
      <c r="F82" s="8"/>
    </row>
    <row r="83" spans="1:6" ht="16.5" x14ac:dyDescent="0.25">
      <c r="B83" s="4">
        <v>48092</v>
      </c>
      <c r="C83" s="5">
        <v>11863708</v>
      </c>
      <c r="D83" s="6"/>
      <c r="E83" s="7">
        <v>0</v>
      </c>
      <c r="F83" s="8"/>
    </row>
    <row r="84" spans="1:6" ht="16.5" x14ac:dyDescent="0.25">
      <c r="B84" s="4">
        <v>48122</v>
      </c>
      <c r="C84" s="5">
        <v>12304135</v>
      </c>
      <c r="D84" s="6"/>
      <c r="E84" s="7">
        <v>0</v>
      </c>
      <c r="F84" s="8"/>
    </row>
    <row r="85" spans="1:6" ht="16.5" x14ac:dyDescent="0.25">
      <c r="B85" s="4">
        <v>48153</v>
      </c>
      <c r="C85" s="5">
        <v>11950758.999999998</v>
      </c>
      <c r="D85" s="6"/>
      <c r="E85" s="7">
        <v>0</v>
      </c>
      <c r="F85" s="8"/>
    </row>
    <row r="86" spans="1:6" ht="16.5" x14ac:dyDescent="0.25">
      <c r="B86" s="4">
        <v>48183</v>
      </c>
      <c r="C86" s="5">
        <v>12413660</v>
      </c>
      <c r="D86" s="6"/>
      <c r="E86" s="7">
        <v>0</v>
      </c>
      <c r="F86" s="8"/>
    </row>
    <row r="87" spans="1:6" ht="16.5" x14ac:dyDescent="0.3">
      <c r="B87" s="9">
        <v>2031</v>
      </c>
      <c r="C87" s="13">
        <f>SUM(C75:C86)</f>
        <v>143049593</v>
      </c>
      <c r="D87" s="11"/>
      <c r="E87" s="12"/>
      <c r="F87" s="11"/>
    </row>
    <row r="88" spans="1:6" ht="30" x14ac:dyDescent="0.25">
      <c r="B88" s="14" t="s">
        <v>2</v>
      </c>
      <c r="C88" s="15">
        <f>+C9+C22+C35+C48+C61+C74+C87</f>
        <v>372553117.52145237</v>
      </c>
      <c r="D88" s="11"/>
      <c r="E88" s="12"/>
      <c r="F88" s="11"/>
    </row>
    <row r="90" spans="1:6" x14ac:dyDescent="0.25">
      <c r="A90" s="45"/>
    </row>
    <row r="91" spans="1:6" x14ac:dyDescent="0.25">
      <c r="A91" s="46" t="s">
        <v>41</v>
      </c>
    </row>
    <row r="92" spans="1:6" x14ac:dyDescent="0.25">
      <c r="A92" s="46" t="s">
        <v>42</v>
      </c>
    </row>
    <row r="93" spans="1:6" x14ac:dyDescent="0.25">
      <c r="A93" s="46" t="s">
        <v>43</v>
      </c>
    </row>
    <row r="94" spans="1:6" x14ac:dyDescent="0.25">
      <c r="A94" s="46" t="s">
        <v>44</v>
      </c>
    </row>
    <row r="95" spans="1:6" x14ac:dyDescent="0.25">
      <c r="A95" s="46" t="s">
        <v>45</v>
      </c>
    </row>
    <row r="96" spans="1:6" x14ac:dyDescent="0.25">
      <c r="A96" s="46" t="s">
        <v>46</v>
      </c>
    </row>
  </sheetData>
  <mergeCells count="5">
    <mergeCell ref="B1:F1"/>
    <mergeCell ref="B2:B3"/>
    <mergeCell ref="C2:C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96B1-328C-49E9-B943-FD38E14A6FE8}">
  <dimension ref="A1:AC309"/>
  <sheetViews>
    <sheetView tabSelected="1" zoomScale="83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AG306" sqref="AG306"/>
    </sheetView>
  </sheetViews>
  <sheetFormatPr baseColWidth="10" defaultRowHeight="15" x14ac:dyDescent="0.25"/>
  <cols>
    <col min="1" max="3" width="11.42578125" style="28"/>
    <col min="4" max="27" width="11.5703125" style="34" bestFit="1" customWidth="1"/>
    <col min="28" max="28" width="13.140625" style="34" bestFit="1" customWidth="1"/>
    <col min="29" max="29" width="20.42578125" style="34" bestFit="1" customWidth="1"/>
    <col min="30" max="16384" width="11.42578125" style="28"/>
  </cols>
  <sheetData>
    <row r="1" spans="1:29" ht="30" x14ac:dyDescent="0.25">
      <c r="A1" s="16" t="s">
        <v>9</v>
      </c>
      <c r="B1" s="16" t="s">
        <v>10</v>
      </c>
      <c r="C1" s="16" t="s">
        <v>11</v>
      </c>
      <c r="D1" s="27" t="s">
        <v>12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27" t="s">
        <v>21</v>
      </c>
      <c r="N1" s="27" t="s">
        <v>22</v>
      </c>
      <c r="O1" s="27" t="s">
        <v>23</v>
      </c>
      <c r="P1" s="27" t="s">
        <v>24</v>
      </c>
      <c r="Q1" s="27" t="s">
        <v>25</v>
      </c>
      <c r="R1" s="27" t="s">
        <v>26</v>
      </c>
      <c r="S1" s="27" t="s">
        <v>27</v>
      </c>
      <c r="T1" s="27" t="s">
        <v>28</v>
      </c>
      <c r="U1" s="27" t="s">
        <v>29</v>
      </c>
      <c r="V1" s="27" t="s">
        <v>30</v>
      </c>
      <c r="W1" s="27" t="s">
        <v>31</v>
      </c>
      <c r="X1" s="27" t="s">
        <v>32</v>
      </c>
      <c r="Y1" s="27" t="s">
        <v>33</v>
      </c>
      <c r="Z1" s="27" t="s">
        <v>34</v>
      </c>
      <c r="AA1" s="27" t="s">
        <v>35</v>
      </c>
      <c r="AB1" s="17" t="s">
        <v>36</v>
      </c>
      <c r="AC1" s="5" t="s">
        <v>37</v>
      </c>
    </row>
    <row r="2" spans="1:29" x14ac:dyDescent="0.25">
      <c r="A2" s="29">
        <v>2025</v>
      </c>
      <c r="B2" s="29"/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1:29" x14ac:dyDescent="0.25">
      <c r="A3" s="21" t="s">
        <v>38</v>
      </c>
      <c r="B3" s="22">
        <v>20</v>
      </c>
      <c r="C3" s="16"/>
      <c r="D3" s="32">
        <v>132.1135421418748</v>
      </c>
      <c r="E3" s="32">
        <v>100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129.86355075750069</v>
      </c>
      <c r="N3" s="32">
        <v>307.02351466500033</v>
      </c>
      <c r="O3" s="32">
        <v>455.05470037125008</v>
      </c>
      <c r="P3" s="32">
        <v>449.44993380000028</v>
      </c>
      <c r="Q3" s="32">
        <v>465.14496733687304</v>
      </c>
      <c r="R3" s="32">
        <v>557.13177039187576</v>
      </c>
      <c r="S3" s="32">
        <v>569.97571513312482</v>
      </c>
      <c r="T3" s="32">
        <v>491.73298100062516</v>
      </c>
      <c r="U3" s="32">
        <v>1055.7497043450012</v>
      </c>
      <c r="V3" s="32">
        <v>1228.7013194531232</v>
      </c>
      <c r="W3" s="32">
        <v>1221.882526186876</v>
      </c>
      <c r="X3" s="32">
        <v>1087.1712635043755</v>
      </c>
      <c r="Y3" s="32">
        <v>893.74111964812641</v>
      </c>
      <c r="Z3" s="32">
        <v>643.65798511875073</v>
      </c>
      <c r="AA3" s="32">
        <v>410.33635892812504</v>
      </c>
      <c r="AB3" s="23">
        <f>SUM(D3:AA3)*B3</f>
        <v>203974.61905565008</v>
      </c>
      <c r="AC3" s="33"/>
    </row>
    <row r="4" spans="1:29" x14ac:dyDescent="0.25">
      <c r="A4" s="21" t="s">
        <v>39</v>
      </c>
      <c r="B4" s="22">
        <v>5</v>
      </c>
      <c r="C4" s="20">
        <v>45870</v>
      </c>
      <c r="D4" s="32">
        <v>154.54452709499742</v>
      </c>
      <c r="E4" s="32">
        <v>100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127.98583964250079</v>
      </c>
      <c r="N4" s="32">
        <v>303.7287018675006</v>
      </c>
      <c r="O4" s="32">
        <v>441.22688058750055</v>
      </c>
      <c r="P4" s="32">
        <v>441.29098618500029</v>
      </c>
      <c r="Q4" s="32">
        <v>476.61650032500074</v>
      </c>
      <c r="R4" s="32">
        <v>567.17930445750039</v>
      </c>
      <c r="S4" s="32">
        <v>578.98246255499839</v>
      </c>
      <c r="T4" s="32">
        <v>493.76287028250101</v>
      </c>
      <c r="U4" s="32">
        <v>1078.1802222975007</v>
      </c>
      <c r="V4" s="32">
        <v>1246.5247575375006</v>
      </c>
      <c r="W4" s="32">
        <v>1232.4811772175008</v>
      </c>
      <c r="X4" s="32">
        <v>1092.3857753025009</v>
      </c>
      <c r="Y4" s="32">
        <v>874.75290703500059</v>
      </c>
      <c r="Z4" s="32">
        <v>614.29872414750116</v>
      </c>
      <c r="AA4" s="32">
        <v>396.02690531249732</v>
      </c>
      <c r="AB4" s="23">
        <f t="shared" ref="AB4:AB5" si="0">SUM(D4:AA4)*B4</f>
        <v>51099.842709237506</v>
      </c>
      <c r="AC4" s="33"/>
    </row>
    <row r="5" spans="1:29" x14ac:dyDescent="0.25">
      <c r="A5" s="21" t="s">
        <v>40</v>
      </c>
      <c r="B5" s="22">
        <v>6</v>
      </c>
      <c r="C5" s="16"/>
      <c r="D5" s="32">
        <v>161.1727268374994</v>
      </c>
      <c r="E5" s="32">
        <v>100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153.96904324374799</v>
      </c>
      <c r="N5" s="32">
        <v>308.02127789999724</v>
      </c>
      <c r="O5" s="32">
        <v>442.97106804999896</v>
      </c>
      <c r="P5" s="32">
        <v>426.82343073124912</v>
      </c>
      <c r="Q5" s="32">
        <v>452.71716284374952</v>
      </c>
      <c r="R5" s="32">
        <v>560.48555386249745</v>
      </c>
      <c r="S5" s="32">
        <v>557.92116856874873</v>
      </c>
      <c r="T5" s="32">
        <v>475.25423815624742</v>
      </c>
      <c r="U5" s="32">
        <v>1053.2226926374985</v>
      </c>
      <c r="V5" s="32">
        <v>1232.2632769125016</v>
      </c>
      <c r="W5" s="32">
        <v>1211.2723589312504</v>
      </c>
      <c r="X5" s="32">
        <v>1074.8743045687504</v>
      </c>
      <c r="Y5" s="32">
        <v>874.71902371874853</v>
      </c>
      <c r="Z5" s="32">
        <v>611.95129266249887</v>
      </c>
      <c r="AA5" s="32">
        <v>385.31589455624999</v>
      </c>
      <c r="AB5" s="23">
        <f t="shared" si="0"/>
        <v>60497.72708508739</v>
      </c>
      <c r="AC5" s="5">
        <f>+AB3+AB4+AB5</f>
        <v>315572.18884997501</v>
      </c>
    </row>
    <row r="6" spans="1:29" x14ac:dyDescent="0.25">
      <c r="A6" s="18"/>
      <c r="B6" s="18"/>
      <c r="C6" s="18"/>
      <c r="AB6" s="19"/>
      <c r="AC6" s="35"/>
    </row>
    <row r="7" spans="1:29" x14ac:dyDescent="0.25">
      <c r="A7" s="21" t="s">
        <v>38</v>
      </c>
      <c r="B7" s="22">
        <v>22</v>
      </c>
      <c r="C7" s="16"/>
      <c r="D7" s="32">
        <v>225.4989957062499</v>
      </c>
      <c r="E7" s="32">
        <v>128.55623009090891</v>
      </c>
      <c r="F7" s="32">
        <v>100</v>
      </c>
      <c r="G7" s="32">
        <v>0</v>
      </c>
      <c r="H7" s="32">
        <v>0</v>
      </c>
      <c r="I7" s="32">
        <v>0</v>
      </c>
      <c r="J7" s="32">
        <v>100</v>
      </c>
      <c r="K7" s="32">
        <v>0</v>
      </c>
      <c r="L7" s="32">
        <v>0</v>
      </c>
      <c r="M7" s="32">
        <v>161.82299719886402</v>
      </c>
      <c r="N7" s="32">
        <v>317.5214428988636</v>
      </c>
      <c r="O7" s="32">
        <v>453.36746058863639</v>
      </c>
      <c r="P7" s="32">
        <v>446.10443514318251</v>
      </c>
      <c r="Q7" s="32">
        <v>471.62826129999996</v>
      </c>
      <c r="R7" s="32">
        <v>571.40119837102111</v>
      </c>
      <c r="S7" s="32">
        <v>590.03745537386385</v>
      </c>
      <c r="T7" s="32">
        <v>512.79098422443064</v>
      </c>
      <c r="U7" s="32">
        <v>1112.2328511119322</v>
      </c>
      <c r="V7" s="32">
        <v>1293.5136208670456</v>
      </c>
      <c r="W7" s="32">
        <v>1286.6587090994331</v>
      </c>
      <c r="X7" s="32">
        <v>1150.9526041721592</v>
      </c>
      <c r="Y7" s="32">
        <v>954.09526214147786</v>
      </c>
      <c r="Z7" s="32">
        <v>703.38753280568267</v>
      </c>
      <c r="AA7" s="32">
        <v>476.89434105170506</v>
      </c>
      <c r="AB7" s="23">
        <f>SUM(D7:AA7)*B7</f>
        <v>243242.21640720006</v>
      </c>
      <c r="AC7" s="33"/>
    </row>
    <row r="8" spans="1:29" x14ac:dyDescent="0.25">
      <c r="A8" s="21" t="s">
        <v>39</v>
      </c>
      <c r="B8" s="22">
        <v>4</v>
      </c>
      <c r="C8" s="20">
        <v>45901</v>
      </c>
      <c r="D8" s="32">
        <v>196.58830679687526</v>
      </c>
      <c r="E8" s="32">
        <v>116.24996280625038</v>
      </c>
      <c r="F8" s="32">
        <v>100</v>
      </c>
      <c r="G8" s="32">
        <v>0</v>
      </c>
      <c r="H8" s="32">
        <v>0</v>
      </c>
      <c r="I8" s="32"/>
      <c r="J8" s="32">
        <v>100</v>
      </c>
      <c r="K8" s="32">
        <v>0</v>
      </c>
      <c r="L8" s="32">
        <v>0</v>
      </c>
      <c r="M8" s="32">
        <v>192.46030129374986</v>
      </c>
      <c r="N8" s="32">
        <v>359.06594486875008</v>
      </c>
      <c r="O8" s="32">
        <v>491.08651394687456</v>
      </c>
      <c r="P8" s="32">
        <v>451.59110749374838</v>
      </c>
      <c r="Q8" s="32">
        <v>451.99518017499747</v>
      </c>
      <c r="R8" s="32">
        <v>538.81654710624798</v>
      </c>
      <c r="S8" s="32">
        <v>569.27456214999984</v>
      </c>
      <c r="T8" s="32">
        <v>519.96253704062497</v>
      </c>
      <c r="U8" s="32">
        <v>1111.4128596375003</v>
      </c>
      <c r="V8" s="32">
        <v>1287.5494939781252</v>
      </c>
      <c r="W8" s="32">
        <v>1279.0171973250008</v>
      </c>
      <c r="X8" s="32">
        <v>1150.6669485937505</v>
      </c>
      <c r="Y8" s="32">
        <v>949.99164927187508</v>
      </c>
      <c r="Z8" s="32">
        <v>702.37607888437537</v>
      </c>
      <c r="AA8" s="32">
        <v>478.10015327812505</v>
      </c>
      <c r="AB8" s="23">
        <f t="shared" ref="AB8:AB9" si="1">SUM(D8:AA8)*B8</f>
        <v>44184.821378587483</v>
      </c>
      <c r="AC8" s="33"/>
    </row>
    <row r="9" spans="1:29" x14ac:dyDescent="0.25">
      <c r="A9" s="21" t="s">
        <v>40</v>
      </c>
      <c r="B9" s="22">
        <v>4</v>
      </c>
      <c r="C9" s="16"/>
      <c r="D9" s="32">
        <v>210.70106568437484</v>
      </c>
      <c r="E9" s="32">
        <v>118.07342844062569</v>
      </c>
      <c r="F9" s="32">
        <v>100</v>
      </c>
      <c r="G9" s="32">
        <v>100</v>
      </c>
      <c r="H9" s="32"/>
      <c r="I9" s="32">
        <v>100</v>
      </c>
      <c r="J9" s="32">
        <v>100</v>
      </c>
      <c r="K9" s="32">
        <v>0</v>
      </c>
      <c r="L9" s="32">
        <v>0</v>
      </c>
      <c r="M9" s="32">
        <v>164.67491208437491</v>
      </c>
      <c r="N9" s="32">
        <v>361.21178150312551</v>
      </c>
      <c r="O9" s="32">
        <v>488.76866801874996</v>
      </c>
      <c r="P9" s="32">
        <v>469.71799446250043</v>
      </c>
      <c r="Q9" s="32">
        <v>466.79968569062498</v>
      </c>
      <c r="R9" s="32">
        <v>547.6231949124998</v>
      </c>
      <c r="S9" s="32">
        <v>554.609766353125</v>
      </c>
      <c r="T9" s="32">
        <v>487.26660502187474</v>
      </c>
      <c r="U9" s="32">
        <v>1110.7507105406253</v>
      </c>
      <c r="V9" s="32">
        <v>1293.7187830875</v>
      </c>
      <c r="W9" s="32">
        <v>1291.4814440062501</v>
      </c>
      <c r="X9" s="32">
        <v>1146.8156303625001</v>
      </c>
      <c r="Y9" s="32">
        <v>954.61866491249998</v>
      </c>
      <c r="Z9" s="32">
        <v>702.41863216875072</v>
      </c>
      <c r="AA9" s="32">
        <v>481.72867785000074</v>
      </c>
      <c r="AB9" s="23">
        <f t="shared" si="1"/>
        <v>45003.918580400008</v>
      </c>
      <c r="AC9" s="5">
        <f>+AB7+AB8+AB9</f>
        <v>332430.95636618754</v>
      </c>
    </row>
    <row r="10" spans="1:29" x14ac:dyDescent="0.25">
      <c r="A10" s="18"/>
      <c r="B10" s="18"/>
      <c r="C10" s="18"/>
      <c r="AB10" s="19"/>
      <c r="AC10" s="35"/>
    </row>
    <row r="11" spans="1:29" x14ac:dyDescent="0.25">
      <c r="A11" s="21" t="s">
        <v>38</v>
      </c>
      <c r="B11" s="22">
        <v>22</v>
      </c>
      <c r="C11" s="16"/>
      <c r="D11" s="32">
        <v>223.37643388295265</v>
      </c>
      <c r="E11" s="32">
        <v>130.11228288067991</v>
      </c>
      <c r="F11" s="32">
        <v>65.329294513634096</v>
      </c>
      <c r="G11" s="32">
        <v>0</v>
      </c>
      <c r="H11" s="32">
        <v>0</v>
      </c>
      <c r="I11" s="32">
        <v>0</v>
      </c>
      <c r="J11" s="32">
        <v>100</v>
      </c>
      <c r="K11" s="32">
        <v>0</v>
      </c>
      <c r="L11" s="32">
        <v>0</v>
      </c>
      <c r="M11" s="32">
        <v>183.97739968124381</v>
      </c>
      <c r="N11" s="32">
        <v>348.32705680738309</v>
      </c>
      <c r="O11" s="32">
        <v>478.24016735965813</v>
      </c>
      <c r="P11" s="32">
        <v>453.79731631022423</v>
      </c>
      <c r="Q11" s="32">
        <v>462.90034551647295</v>
      </c>
      <c r="R11" s="32">
        <v>550.0624681363596</v>
      </c>
      <c r="S11" s="32">
        <v>566.1779526017026</v>
      </c>
      <c r="T11" s="32">
        <v>490.18138469999496</v>
      </c>
      <c r="U11" s="32">
        <v>1067.4891660562444</v>
      </c>
      <c r="V11" s="32">
        <v>1243.2176107551095</v>
      </c>
      <c r="W11" s="32">
        <v>1233.2733173369279</v>
      </c>
      <c r="X11" s="32">
        <v>1100.3681569244284</v>
      </c>
      <c r="Y11" s="32">
        <v>917.99309778749466</v>
      </c>
      <c r="Z11" s="32">
        <v>681.41265277669891</v>
      </c>
      <c r="AA11" s="32">
        <v>466.35675501306594</v>
      </c>
      <c r="AB11" s="23">
        <f>SUM(D11:AA11)*B11</f>
        <v>236777.04289888608</v>
      </c>
      <c r="AC11" s="33"/>
    </row>
    <row r="12" spans="1:29" x14ac:dyDescent="0.25">
      <c r="A12" s="21" t="s">
        <v>39</v>
      </c>
      <c r="B12" s="22">
        <v>4</v>
      </c>
      <c r="C12" s="20">
        <v>45931</v>
      </c>
      <c r="D12" s="32">
        <v>206.38668349687458</v>
      </c>
      <c r="E12" s="32">
        <v>115.10798302499811</v>
      </c>
      <c r="F12" s="32">
        <v>100</v>
      </c>
      <c r="G12" s="32">
        <v>0</v>
      </c>
      <c r="H12" s="32">
        <v>0</v>
      </c>
      <c r="I12" s="32">
        <v>100</v>
      </c>
      <c r="J12" s="32">
        <v>100</v>
      </c>
      <c r="K12" s="32">
        <v>0</v>
      </c>
      <c r="L12" s="32">
        <v>0</v>
      </c>
      <c r="M12" s="32">
        <v>160.4498300999964</v>
      </c>
      <c r="N12" s="32">
        <v>317.02739276249861</v>
      </c>
      <c r="O12" s="32">
        <v>467.27029499062326</v>
      </c>
      <c r="P12" s="32">
        <v>485.45130873750088</v>
      </c>
      <c r="Q12" s="32">
        <v>494.37591715312476</v>
      </c>
      <c r="R12" s="32">
        <v>581.27759569687146</v>
      </c>
      <c r="S12" s="32">
        <v>572.90449315312321</v>
      </c>
      <c r="T12" s="32">
        <v>480.97944194999718</v>
      </c>
      <c r="U12" s="32">
        <v>1049.2910575874987</v>
      </c>
      <c r="V12" s="32">
        <v>1236.7145035218718</v>
      </c>
      <c r="W12" s="32">
        <v>1258.4071901625002</v>
      </c>
      <c r="X12" s="32">
        <v>1131.9120194156212</v>
      </c>
      <c r="Y12" s="32">
        <v>943.67654685937146</v>
      </c>
      <c r="Z12" s="32">
        <v>683.96850289687336</v>
      </c>
      <c r="AA12" s="32">
        <v>462.32561740312349</v>
      </c>
      <c r="AB12" s="23">
        <f t="shared" ref="AB12:AB13" si="2">SUM(D12:AA12)*B12</f>
        <v>43790.105515649877</v>
      </c>
      <c r="AC12" s="33"/>
    </row>
    <row r="13" spans="1:29" x14ac:dyDescent="0.25">
      <c r="A13" s="21" t="s">
        <v>40</v>
      </c>
      <c r="B13" s="22">
        <v>5</v>
      </c>
      <c r="C13" s="16"/>
      <c r="D13" s="32">
        <v>181.82491057499857</v>
      </c>
      <c r="E13" s="32">
        <v>100</v>
      </c>
      <c r="F13" s="32">
        <v>100</v>
      </c>
      <c r="G13" s="32">
        <v>0</v>
      </c>
      <c r="H13" s="32">
        <v>0</v>
      </c>
      <c r="I13" s="32">
        <v>0</v>
      </c>
      <c r="J13" s="32">
        <v>58.971265447498794</v>
      </c>
      <c r="K13" s="32">
        <v>0</v>
      </c>
      <c r="L13" s="32">
        <v>0</v>
      </c>
      <c r="M13" s="32">
        <v>206.21946491999864</v>
      </c>
      <c r="N13" s="32">
        <v>357.38997876749966</v>
      </c>
      <c r="O13" s="32">
        <v>483.12634534499989</v>
      </c>
      <c r="P13" s="32">
        <v>469.071138427498</v>
      </c>
      <c r="Q13" s="32">
        <v>511.86441426749968</v>
      </c>
      <c r="R13" s="32">
        <v>615.5537594324976</v>
      </c>
      <c r="S13" s="32">
        <v>615.34830414749968</v>
      </c>
      <c r="T13" s="32">
        <v>510.45928904249718</v>
      </c>
      <c r="U13" s="32">
        <v>1063.4515098899988</v>
      </c>
      <c r="V13" s="32">
        <v>1228.1008737899997</v>
      </c>
      <c r="W13" s="32">
        <v>1228.7877676724988</v>
      </c>
      <c r="X13" s="32">
        <v>1116.4037267774984</v>
      </c>
      <c r="Y13" s="32">
        <v>915.3778505549983</v>
      </c>
      <c r="Z13" s="32">
        <v>665.65101875999972</v>
      </c>
      <c r="AA13" s="32">
        <v>445.25782381499937</v>
      </c>
      <c r="AB13" s="23">
        <f t="shared" si="2"/>
        <v>54364.297208162396</v>
      </c>
      <c r="AC13" s="5">
        <f>+AB11+AB12+AB13</f>
        <v>334931.44562269835</v>
      </c>
    </row>
    <row r="14" spans="1:29" x14ac:dyDescent="0.25">
      <c r="A14" s="18"/>
      <c r="B14" s="18"/>
      <c r="C14" s="18"/>
      <c r="AB14" s="19"/>
      <c r="AC14" s="35"/>
    </row>
    <row r="15" spans="1:29" x14ac:dyDescent="0.25">
      <c r="A15" s="21" t="s">
        <v>38</v>
      </c>
      <c r="B15" s="22">
        <v>18</v>
      </c>
      <c r="C15" s="55">
        <v>45962</v>
      </c>
      <c r="D15" s="32">
        <v>235.98654156875131</v>
      </c>
      <c r="E15" s="32">
        <v>156.39109387708527</v>
      </c>
      <c r="F15" s="32">
        <v>100</v>
      </c>
      <c r="G15" s="32">
        <v>100</v>
      </c>
      <c r="H15" s="32">
        <v>100</v>
      </c>
      <c r="I15" s="32">
        <v>100</v>
      </c>
      <c r="J15" s="32">
        <v>105.26071393541847</v>
      </c>
      <c r="K15" s="32">
        <v>0</v>
      </c>
      <c r="L15" s="32">
        <v>0</v>
      </c>
      <c r="M15" s="32">
        <v>232.18139558541628</v>
      </c>
      <c r="N15" s="32">
        <v>397.31294500624801</v>
      </c>
      <c r="O15" s="32">
        <v>535.52410196249718</v>
      </c>
      <c r="P15" s="32">
        <v>526.51681222291643</v>
      </c>
      <c r="Q15" s="32">
        <v>543.40141678958275</v>
      </c>
      <c r="R15" s="32">
        <v>633.50328002499896</v>
      </c>
      <c r="S15" s="32">
        <v>630.47643222083229</v>
      </c>
      <c r="T15" s="32">
        <v>538.36188132708298</v>
      </c>
      <c r="U15" s="32">
        <v>1128.9044308937514</v>
      </c>
      <c r="V15" s="32">
        <v>1305.4984403708331</v>
      </c>
      <c r="W15" s="32">
        <v>1302.9647424500004</v>
      </c>
      <c r="X15" s="32">
        <v>1172.9725188270827</v>
      </c>
      <c r="Y15" s="32">
        <v>977.75913889791786</v>
      </c>
      <c r="Z15" s="32">
        <v>718.09449770625065</v>
      </c>
      <c r="AA15" s="32">
        <v>488.17612165000139</v>
      </c>
      <c r="AB15" s="23">
        <f>SUM(D15:AA15)*B15</f>
        <v>216527.15709569998</v>
      </c>
      <c r="AC15" s="33"/>
    </row>
    <row r="16" spans="1:29" x14ac:dyDescent="0.25">
      <c r="A16" s="21" t="s">
        <v>39</v>
      </c>
      <c r="B16" s="22">
        <v>5</v>
      </c>
      <c r="C16" s="55"/>
      <c r="D16" s="32">
        <v>236.7388124150005</v>
      </c>
      <c r="E16" s="32">
        <v>152.15930775500112</v>
      </c>
      <c r="F16" s="32">
        <v>100</v>
      </c>
      <c r="G16" s="32">
        <v>100</v>
      </c>
      <c r="H16" s="32">
        <v>100</v>
      </c>
      <c r="I16" s="32">
        <v>100</v>
      </c>
      <c r="J16" s="32">
        <v>111.82964607500054</v>
      </c>
      <c r="K16" s="32">
        <v>0</v>
      </c>
      <c r="L16" s="32">
        <v>100</v>
      </c>
      <c r="M16" s="32">
        <v>249.00911840000077</v>
      </c>
      <c r="N16" s="32">
        <v>412.00411306250032</v>
      </c>
      <c r="O16" s="32">
        <v>540.30158603750033</v>
      </c>
      <c r="P16" s="32">
        <v>512.95191778250103</v>
      </c>
      <c r="Q16" s="32">
        <v>521.61089030750088</v>
      </c>
      <c r="R16" s="32">
        <v>611.19090646250061</v>
      </c>
      <c r="S16" s="32">
        <v>638.93007510500001</v>
      </c>
      <c r="T16" s="32">
        <v>554.63638107500037</v>
      </c>
      <c r="U16" s="32">
        <v>1142.6918918275005</v>
      </c>
      <c r="V16" s="32">
        <v>1292.5555473775012</v>
      </c>
      <c r="W16" s="32">
        <v>1268.3620474000004</v>
      </c>
      <c r="X16" s="32">
        <v>1126.9211651425012</v>
      </c>
      <c r="Y16" s="32">
        <v>944.54075899750046</v>
      </c>
      <c r="Z16" s="32">
        <v>718.42097435500136</v>
      </c>
      <c r="AA16" s="32">
        <v>493.01101192000101</v>
      </c>
      <c r="AB16" s="23">
        <f t="shared" ref="AB16:AB17" si="3">SUM(D16:AA16)*B16</f>
        <v>60139.330757487565</v>
      </c>
      <c r="AC16" s="33"/>
    </row>
    <row r="17" spans="1:29" x14ac:dyDescent="0.25">
      <c r="A17" s="21" t="s">
        <v>40</v>
      </c>
      <c r="B17" s="22">
        <v>7</v>
      </c>
      <c r="C17" s="55"/>
      <c r="D17" s="32">
        <v>239.66140362500039</v>
      </c>
      <c r="E17" s="32">
        <v>147.97298652500098</v>
      </c>
      <c r="F17" s="32">
        <v>100</v>
      </c>
      <c r="G17" s="32">
        <v>100</v>
      </c>
      <c r="H17" s="32">
        <v>100</v>
      </c>
      <c r="I17" s="32">
        <v>100</v>
      </c>
      <c r="J17" s="32">
        <v>119.80293316250118</v>
      </c>
      <c r="K17" s="32">
        <v>0</v>
      </c>
      <c r="L17" s="32">
        <v>0</v>
      </c>
      <c r="M17" s="32">
        <v>245.24351810000081</v>
      </c>
      <c r="N17" s="32">
        <v>412.1274074750005</v>
      </c>
      <c r="O17" s="32">
        <v>536.97399796250068</v>
      </c>
      <c r="P17" s="32">
        <v>515.75864821250093</v>
      </c>
      <c r="Q17" s="32">
        <v>510.83276221250082</v>
      </c>
      <c r="R17" s="32">
        <v>596.0262426124998</v>
      </c>
      <c r="S17" s="32">
        <v>611.73895501250058</v>
      </c>
      <c r="T17" s="32">
        <v>552.49879895000049</v>
      </c>
      <c r="U17" s="32">
        <v>1147.0170066250007</v>
      </c>
      <c r="V17" s="32">
        <v>1320.7731549250007</v>
      </c>
      <c r="W17" s="32">
        <v>1301.7322966375004</v>
      </c>
      <c r="X17" s="32">
        <v>1149.4362885250011</v>
      </c>
      <c r="Y17" s="32">
        <v>947.36173551250135</v>
      </c>
      <c r="Z17" s="32">
        <v>695.6958573250015</v>
      </c>
      <c r="AA17" s="32">
        <v>490.3813240375008</v>
      </c>
      <c r="AB17" s="23">
        <f t="shared" si="3"/>
        <v>83587.247222062579</v>
      </c>
      <c r="AC17" s="5">
        <f>+AB15+AB16+AB17</f>
        <v>360253.73507525015</v>
      </c>
    </row>
    <row r="18" spans="1:29" x14ac:dyDescent="0.25">
      <c r="A18" s="18"/>
      <c r="B18" s="18"/>
      <c r="C18" s="18"/>
      <c r="AB18" s="19"/>
      <c r="AC18" s="35"/>
    </row>
    <row r="19" spans="1:29" x14ac:dyDescent="0.25">
      <c r="A19" s="21" t="s">
        <v>38</v>
      </c>
      <c r="B19" s="22">
        <v>21</v>
      </c>
      <c r="C19" s="55">
        <v>45992</v>
      </c>
      <c r="D19" s="32">
        <v>1243.5796795808265</v>
      </c>
      <c r="E19" s="32">
        <v>1148.3487559433261</v>
      </c>
      <c r="F19" s="32">
        <v>1077.9145257308264</v>
      </c>
      <c r="G19" s="32">
        <v>1036.6329854308271</v>
      </c>
      <c r="H19" s="32">
        <v>1024.9837422308265</v>
      </c>
      <c r="I19" s="32">
        <v>1059.9079693308265</v>
      </c>
      <c r="J19" s="32">
        <v>1099.5884241308265</v>
      </c>
      <c r="K19" s="32">
        <v>999.31338456882531</v>
      </c>
      <c r="L19" s="32">
        <v>1260.9833294688256</v>
      </c>
      <c r="M19" s="32">
        <v>1486.8692142563245</v>
      </c>
      <c r="N19" s="32">
        <v>1659.6761783938241</v>
      </c>
      <c r="O19" s="32">
        <v>1793.6707510813226</v>
      </c>
      <c r="P19" s="32">
        <v>1773.5528133813227</v>
      </c>
      <c r="Q19" s="32">
        <v>1787.2812587938247</v>
      </c>
      <c r="R19" s="32">
        <v>1876.8049097063235</v>
      </c>
      <c r="S19" s="32">
        <v>1888.7987382313236</v>
      </c>
      <c r="T19" s="32">
        <v>1813.1696016938245</v>
      </c>
      <c r="U19" s="32">
        <v>2131.7152611911588</v>
      </c>
      <c r="V19" s="32">
        <v>2298.6408362661596</v>
      </c>
      <c r="W19" s="32">
        <v>2278.406025691158</v>
      </c>
      <c r="X19" s="32">
        <v>2137.1106036786596</v>
      </c>
      <c r="Y19" s="32">
        <v>1942.9018956286595</v>
      </c>
      <c r="Z19" s="32">
        <v>1697.3550792536603</v>
      </c>
      <c r="AA19" s="32">
        <v>1474.5758099536592</v>
      </c>
      <c r="AB19" s="23">
        <f>SUM(D19:AA19)*B19</f>
        <v>797827.4172459601</v>
      </c>
      <c r="AC19" s="33"/>
    </row>
    <row r="20" spans="1:29" x14ac:dyDescent="0.25">
      <c r="A20" s="21" t="s">
        <v>39</v>
      </c>
      <c r="B20" s="22">
        <v>4</v>
      </c>
      <c r="C20" s="55"/>
      <c r="D20" s="32">
        <v>1275.4905890527011</v>
      </c>
      <c r="E20" s="32">
        <v>1177.0533937495761</v>
      </c>
      <c r="F20" s="32">
        <v>1104.330205602701</v>
      </c>
      <c r="G20" s="32">
        <v>1040.6183880277015</v>
      </c>
      <c r="H20" s="32">
        <v>1011.0329066433262</v>
      </c>
      <c r="I20" s="32">
        <v>1035.4886985370765</v>
      </c>
      <c r="J20" s="32">
        <v>1081.7023619245763</v>
      </c>
      <c r="K20" s="32">
        <v>1009.2683764250744</v>
      </c>
      <c r="L20" s="32">
        <v>1273.1700938094491</v>
      </c>
      <c r="M20" s="32">
        <v>1493.1942442438244</v>
      </c>
      <c r="N20" s="32">
        <v>1648.3771462438231</v>
      </c>
      <c r="O20" s="32">
        <v>1785.7255677031994</v>
      </c>
      <c r="P20" s="32">
        <v>1770.0606252500743</v>
      </c>
      <c r="Q20" s="32">
        <v>1789.7296997844487</v>
      </c>
      <c r="R20" s="32">
        <v>1882.6416685625741</v>
      </c>
      <c r="S20" s="32">
        <v>1872.5963289313245</v>
      </c>
      <c r="T20" s="32">
        <v>1786.0228784188239</v>
      </c>
      <c r="U20" s="32">
        <v>2116.8436973161602</v>
      </c>
      <c r="V20" s="32">
        <v>2321.1127773005346</v>
      </c>
      <c r="W20" s="32">
        <v>2300.7141743817838</v>
      </c>
      <c r="X20" s="32">
        <v>2159.87652417241</v>
      </c>
      <c r="Y20" s="32">
        <v>1944.0771909474092</v>
      </c>
      <c r="Z20" s="32">
        <v>1682.2223810349096</v>
      </c>
      <c r="AA20" s="32">
        <v>1458.766900556785</v>
      </c>
      <c r="AB20" s="23">
        <f t="shared" ref="AB20:AB21" si="4">SUM(D20:AA20)*B20</f>
        <v>152080.46727448108</v>
      </c>
      <c r="AC20" s="33"/>
    </row>
    <row r="21" spans="1:29" x14ac:dyDescent="0.25">
      <c r="A21" s="21" t="s">
        <v>40</v>
      </c>
      <c r="B21" s="22">
        <v>6</v>
      </c>
      <c r="C21" s="55"/>
      <c r="D21" s="32">
        <v>1225.7193831058262</v>
      </c>
      <c r="E21" s="32">
        <v>1151.4696625870765</v>
      </c>
      <c r="F21" s="32">
        <v>1086.9324513433262</v>
      </c>
      <c r="G21" s="32">
        <v>1044.2927119808262</v>
      </c>
      <c r="H21" s="32">
        <v>1017.0768318558264</v>
      </c>
      <c r="I21" s="32">
        <v>1047.9118887308259</v>
      </c>
      <c r="J21" s="32">
        <v>1082.2283597745763</v>
      </c>
      <c r="K21" s="32">
        <v>994.42903328757461</v>
      </c>
      <c r="L21" s="32">
        <v>1265.3791359188244</v>
      </c>
      <c r="M21" s="32">
        <v>1469.6133210125749</v>
      </c>
      <c r="N21" s="32">
        <v>1637.596496687574</v>
      </c>
      <c r="O21" s="32">
        <v>1781.5069511375746</v>
      </c>
      <c r="P21" s="32">
        <v>1790.3234023125747</v>
      </c>
      <c r="Q21" s="32">
        <v>1811.3133831688237</v>
      </c>
      <c r="R21" s="32">
        <v>1907.7515841188242</v>
      </c>
      <c r="S21" s="32">
        <v>1914.9099592063249</v>
      </c>
      <c r="T21" s="32">
        <v>1819.547713118824</v>
      </c>
      <c r="U21" s="32">
        <v>2125.2119216036604</v>
      </c>
      <c r="V21" s="32">
        <v>2294.6611043911598</v>
      </c>
      <c r="W21" s="32">
        <v>2302.8677631224091</v>
      </c>
      <c r="X21" s="32">
        <v>2172.7413189036606</v>
      </c>
      <c r="Y21" s="32">
        <v>1966.5930143474097</v>
      </c>
      <c r="Z21" s="32">
        <v>1692.8885920099106</v>
      </c>
      <c r="AA21" s="32">
        <v>1450.4630593599104</v>
      </c>
      <c r="AB21" s="23">
        <f t="shared" si="4"/>
        <v>228320.57425851547</v>
      </c>
      <c r="AC21" s="5">
        <f>+AB19+AB20+AB21</f>
        <v>1178228.4587789567</v>
      </c>
    </row>
    <row r="22" spans="1:29" x14ac:dyDescent="0.25">
      <c r="A22" s="29">
        <v>2026</v>
      </c>
      <c r="B22" s="29"/>
      <c r="C22" s="29"/>
      <c r="AB22" s="31"/>
      <c r="AC22" s="31"/>
    </row>
    <row r="23" spans="1:29" x14ac:dyDescent="0.25">
      <c r="A23" s="21" t="s">
        <v>38</v>
      </c>
      <c r="B23" s="22">
        <v>20</v>
      </c>
      <c r="C23" s="56">
        <v>46023</v>
      </c>
      <c r="D23" s="32">
        <v>1324.5071538824991</v>
      </c>
      <c r="E23" s="32">
        <v>1285.2489333206252</v>
      </c>
      <c r="F23" s="32">
        <v>1256.1041624118743</v>
      </c>
      <c r="G23" s="32">
        <v>1231.9323269793751</v>
      </c>
      <c r="H23" s="32">
        <v>1220.1808183031246</v>
      </c>
      <c r="I23" s="32">
        <v>1231.3420085137498</v>
      </c>
      <c r="J23" s="32">
        <v>1247.3950554843746</v>
      </c>
      <c r="K23" s="32">
        <v>1346.1020053425</v>
      </c>
      <c r="L23" s="32">
        <v>1456.3830239437502</v>
      </c>
      <c r="M23" s="32">
        <v>1547.1907169118745</v>
      </c>
      <c r="N23" s="32">
        <v>1614.9852224099993</v>
      </c>
      <c r="O23" s="32">
        <v>1671.9979655531247</v>
      </c>
      <c r="P23" s="32">
        <v>1667.9248742362493</v>
      </c>
      <c r="Q23" s="32">
        <v>1679.7119454674996</v>
      </c>
      <c r="R23" s="32">
        <v>1724.4090166274991</v>
      </c>
      <c r="S23" s="32">
        <v>1734.3489515625001</v>
      </c>
      <c r="T23" s="32">
        <v>1702.8437903662489</v>
      </c>
      <c r="U23" s="32">
        <v>1677.0345806812488</v>
      </c>
      <c r="V23" s="32">
        <v>1751.578508767499</v>
      </c>
      <c r="W23" s="32">
        <v>1748.2290432862501</v>
      </c>
      <c r="X23" s="32">
        <v>1690.5481373812504</v>
      </c>
      <c r="Y23" s="32">
        <v>1603.2392929743746</v>
      </c>
      <c r="Z23" s="32">
        <v>1493.1488327175005</v>
      </c>
      <c r="AA23" s="32">
        <v>1395.6991364531254</v>
      </c>
      <c r="AB23" s="23">
        <f>SUM(D23:AA23)*B23</f>
        <v>726041.71007156256</v>
      </c>
      <c r="AC23" s="33"/>
    </row>
    <row r="24" spans="1:29" x14ac:dyDescent="0.25">
      <c r="A24" s="21" t="s">
        <v>39</v>
      </c>
      <c r="B24" s="22">
        <v>5</v>
      </c>
      <c r="C24" s="57"/>
      <c r="D24" s="32">
        <v>1324.6505607824995</v>
      </c>
      <c r="E24" s="32">
        <v>1282.3493460750001</v>
      </c>
      <c r="F24" s="32">
        <v>1252.3301264249999</v>
      </c>
      <c r="G24" s="32">
        <v>1240.5017427074995</v>
      </c>
      <c r="H24" s="32">
        <v>1231.0928443799999</v>
      </c>
      <c r="I24" s="32">
        <v>1241.0329131900003</v>
      </c>
      <c r="J24" s="32">
        <v>1244.7417192524995</v>
      </c>
      <c r="K24" s="32">
        <v>1332.9303627149995</v>
      </c>
      <c r="L24" s="32">
        <v>1439.6257924650004</v>
      </c>
      <c r="M24" s="32">
        <v>1536.431179815</v>
      </c>
      <c r="N24" s="32">
        <v>1617.3331060949997</v>
      </c>
      <c r="O24" s="32">
        <v>1674.5822517374993</v>
      </c>
      <c r="P24" s="32">
        <v>1668.5524681874999</v>
      </c>
      <c r="Q24" s="32">
        <v>1675.4657303474996</v>
      </c>
      <c r="R24" s="32">
        <v>1719.7540275824997</v>
      </c>
      <c r="S24" s="32">
        <v>1725.5016508274994</v>
      </c>
      <c r="T24" s="32">
        <v>1696.9021701974993</v>
      </c>
      <c r="U24" s="32">
        <v>1680.1937026874994</v>
      </c>
      <c r="V24" s="32">
        <v>1754.1569252024992</v>
      </c>
      <c r="W24" s="32">
        <v>1750.8753356849991</v>
      </c>
      <c r="X24" s="32">
        <v>1690.9112398499994</v>
      </c>
      <c r="Y24" s="32">
        <v>1612.7543749274994</v>
      </c>
      <c r="Z24" s="32">
        <v>1502.9711102699996</v>
      </c>
      <c r="AA24" s="32">
        <v>1404.6192658574996</v>
      </c>
      <c r="AB24" s="23">
        <f t="shared" ref="AB24:AB25" si="5">SUM(D24:AA24)*B24</f>
        <v>181501.2997363125</v>
      </c>
      <c r="AC24" s="33"/>
    </row>
    <row r="25" spans="1:29" x14ac:dyDescent="0.25">
      <c r="A25" s="21" t="s">
        <v>40</v>
      </c>
      <c r="B25" s="22">
        <v>6</v>
      </c>
      <c r="C25" s="57"/>
      <c r="D25" s="32">
        <v>1327.6397806875002</v>
      </c>
      <c r="E25" s="32">
        <v>1279.8450959437496</v>
      </c>
      <c r="F25" s="32">
        <v>1245.2229258000002</v>
      </c>
      <c r="G25" s="32">
        <v>1230.3342831937496</v>
      </c>
      <c r="H25" s="32">
        <v>1229.2431528562502</v>
      </c>
      <c r="I25" s="32">
        <v>1242.4971103124997</v>
      </c>
      <c r="J25" s="32">
        <v>1253.6588625750001</v>
      </c>
      <c r="K25" s="32">
        <v>1340.1260542687496</v>
      </c>
      <c r="L25" s="32">
        <v>1443.7982005124998</v>
      </c>
      <c r="M25" s="32">
        <v>1533.6307062562496</v>
      </c>
      <c r="N25" s="32">
        <v>1607.4389813999996</v>
      </c>
      <c r="O25" s="32">
        <v>1678.3600190437489</v>
      </c>
      <c r="P25" s="32">
        <v>1680.8521088624998</v>
      </c>
      <c r="Q25" s="32">
        <v>1690.6567970249992</v>
      </c>
      <c r="R25" s="32">
        <v>1727.9649704624999</v>
      </c>
      <c r="S25" s="32">
        <v>1730.2039004249991</v>
      </c>
      <c r="T25" s="32">
        <v>1691.7584878687494</v>
      </c>
      <c r="U25" s="32">
        <v>1666.3894542749995</v>
      </c>
      <c r="V25" s="32">
        <v>1741.6196938874996</v>
      </c>
      <c r="W25" s="32">
        <v>1735.5584675624996</v>
      </c>
      <c r="X25" s="32">
        <v>1676.3319712125003</v>
      </c>
      <c r="Y25" s="32">
        <v>1595.7372733312491</v>
      </c>
      <c r="Z25" s="32">
        <v>1499.2926567937502</v>
      </c>
      <c r="AA25" s="32">
        <v>1404.5047969312502</v>
      </c>
      <c r="AB25" s="23">
        <f t="shared" si="5"/>
        <v>217515.99450892495</v>
      </c>
      <c r="AC25" s="5">
        <f>+AB23+AB24+AB25</f>
        <v>1125059.0043168</v>
      </c>
    </row>
    <row r="26" spans="1:29" x14ac:dyDescent="0.25">
      <c r="A26" s="36"/>
      <c r="B26" s="24"/>
      <c r="C26" s="25"/>
      <c r="AC26" s="37"/>
    </row>
    <row r="27" spans="1:29" x14ac:dyDescent="0.25">
      <c r="A27" s="21" t="s">
        <v>38</v>
      </c>
      <c r="B27" s="26">
        <v>20</v>
      </c>
      <c r="C27" s="51">
        <v>46054</v>
      </c>
      <c r="D27" s="32">
        <v>2738.6000014312517</v>
      </c>
      <c r="E27" s="32">
        <v>2608.1046869625011</v>
      </c>
      <c r="F27" s="32">
        <v>2494.9744002656271</v>
      </c>
      <c r="G27" s="32">
        <v>2404.7065763718815</v>
      </c>
      <c r="H27" s="32">
        <v>2319.8295453937544</v>
      </c>
      <c r="I27" s="32">
        <v>2293.5589616906282</v>
      </c>
      <c r="J27" s="32">
        <v>2136.1457793281284</v>
      </c>
      <c r="K27" s="32">
        <v>2427.9310730343786</v>
      </c>
      <c r="L27" s="32">
        <v>2867.7082459500043</v>
      </c>
      <c r="M27" s="32">
        <v>3266.0764755187547</v>
      </c>
      <c r="N27" s="32">
        <v>3572.8593973968773</v>
      </c>
      <c r="O27" s="32">
        <v>3816.4213821187523</v>
      </c>
      <c r="P27" s="32">
        <v>3752.8634038125028</v>
      </c>
      <c r="Q27" s="32">
        <v>3809.609802196876</v>
      </c>
      <c r="R27" s="32">
        <v>4027.1639700375008</v>
      </c>
      <c r="S27" s="32">
        <v>4087.2892929375039</v>
      </c>
      <c r="T27" s="32">
        <v>3966.5620118156285</v>
      </c>
      <c r="U27" s="32">
        <v>3871.5266237718824</v>
      </c>
      <c r="V27" s="32">
        <v>4153.6285436531271</v>
      </c>
      <c r="W27" s="32">
        <v>4110.0324321562575</v>
      </c>
      <c r="X27" s="32">
        <v>3917.1585700031301</v>
      </c>
      <c r="Y27" s="32">
        <v>3655.0664802000056</v>
      </c>
      <c r="Z27" s="32">
        <v>3297.2497443656289</v>
      </c>
      <c r="AA27" s="32">
        <v>2983.4494911937541</v>
      </c>
      <c r="AB27" s="23">
        <f>SUM(D27:AA27)*B27</f>
        <v>1571570.3378321272</v>
      </c>
      <c r="AC27" s="33"/>
    </row>
    <row r="28" spans="1:29" x14ac:dyDescent="0.25">
      <c r="A28" s="21" t="s">
        <v>39</v>
      </c>
      <c r="B28" s="26">
        <v>4</v>
      </c>
      <c r="C28" s="52"/>
      <c r="D28" s="32">
        <v>2829.0535109062507</v>
      </c>
      <c r="E28" s="32">
        <v>2697.1193947968759</v>
      </c>
      <c r="F28" s="32">
        <v>2584.0428267187513</v>
      </c>
      <c r="G28" s="32">
        <v>2451.4757296875009</v>
      </c>
      <c r="H28" s="32">
        <v>2373.7272855468759</v>
      </c>
      <c r="I28" s="32">
        <v>2430.6941492812525</v>
      </c>
      <c r="J28" s="32">
        <v>2460.2384819531253</v>
      </c>
      <c r="K28" s="32">
        <v>2783.1396349218758</v>
      </c>
      <c r="L28" s="32">
        <v>3192.3091469999995</v>
      </c>
      <c r="M28" s="32">
        <v>3511.6172288437497</v>
      </c>
      <c r="N28" s="32">
        <v>3767.9031643593762</v>
      </c>
      <c r="O28" s="32">
        <v>4001.7780782343743</v>
      </c>
      <c r="P28" s="32">
        <v>3955.729794937502</v>
      </c>
      <c r="Q28" s="32">
        <v>4089.0656157656254</v>
      </c>
      <c r="R28" s="32">
        <v>4346.039219343751</v>
      </c>
      <c r="S28" s="32">
        <v>4407.4159957031261</v>
      </c>
      <c r="T28" s="32">
        <v>4212.1351828125016</v>
      </c>
      <c r="U28" s="32">
        <v>4050.2804249531255</v>
      </c>
      <c r="V28" s="32">
        <v>4316.3585437500024</v>
      </c>
      <c r="W28" s="32">
        <v>4315.2731880468755</v>
      </c>
      <c r="X28" s="32">
        <v>4162.8794688750004</v>
      </c>
      <c r="Y28" s="32">
        <v>3854.6968314374999</v>
      </c>
      <c r="Z28" s="32">
        <v>3455.6197484062518</v>
      </c>
      <c r="AA28" s="32">
        <v>3100.1040348750007</v>
      </c>
      <c r="AB28" s="23">
        <f t="shared" ref="AB28:AB29" si="6">SUM(D28:AA28)*B28</f>
        <v>333394.7867246251</v>
      </c>
      <c r="AC28" s="33"/>
    </row>
    <row r="29" spans="1:29" x14ac:dyDescent="0.25">
      <c r="A29" s="21" t="s">
        <v>40</v>
      </c>
      <c r="B29" s="26">
        <v>4</v>
      </c>
      <c r="C29" s="52"/>
      <c r="D29" s="32">
        <v>3039.4263091406269</v>
      </c>
      <c r="E29" s="32">
        <v>2865.7401337968759</v>
      </c>
      <c r="F29" s="32">
        <v>2733.9329638593758</v>
      </c>
      <c r="G29" s="32">
        <v>2605.373303390626</v>
      </c>
      <c r="H29" s="32">
        <v>2540.4065884218758</v>
      </c>
      <c r="I29" s="32">
        <v>2608.7550528281254</v>
      </c>
      <c r="J29" s="32">
        <v>2647.2446986406258</v>
      </c>
      <c r="K29" s="32">
        <v>3112.9414648125021</v>
      </c>
      <c r="L29" s="32">
        <v>3564.4971063750017</v>
      </c>
      <c r="M29" s="32">
        <v>3932.5337557968751</v>
      </c>
      <c r="N29" s="32">
        <v>4170.919061062501</v>
      </c>
      <c r="O29" s="32">
        <v>4376.6863305937522</v>
      </c>
      <c r="P29" s="32">
        <v>4301.1707708437507</v>
      </c>
      <c r="Q29" s="32">
        <v>4389.7292730000017</v>
      </c>
      <c r="R29" s="32">
        <v>4694.2647761250009</v>
      </c>
      <c r="S29" s="32">
        <v>4752.967331625001</v>
      </c>
      <c r="T29" s="32">
        <v>4602.7452657656249</v>
      </c>
      <c r="U29" s="32">
        <v>4466.3520029062511</v>
      </c>
      <c r="V29" s="32">
        <v>4769.5426854375019</v>
      </c>
      <c r="W29" s="32">
        <v>4695.449207296876</v>
      </c>
      <c r="X29" s="32">
        <v>4456.613245312501</v>
      </c>
      <c r="Y29" s="32">
        <v>4125.2721262500008</v>
      </c>
      <c r="Z29" s="32">
        <v>3673.9484143593763</v>
      </c>
      <c r="AA29" s="32">
        <v>3287.347441406253</v>
      </c>
      <c r="AB29" s="23">
        <f t="shared" si="6"/>
        <v>361655.43723618751</v>
      </c>
      <c r="AC29" s="5">
        <f>+AB27+AB28+AB29</f>
        <v>2266620.5617929399</v>
      </c>
    </row>
    <row r="30" spans="1:29" x14ac:dyDescent="0.25">
      <c r="A30" s="38"/>
      <c r="B30" s="24"/>
      <c r="C30" s="25"/>
      <c r="AB30" s="37"/>
      <c r="AC30" s="37"/>
    </row>
    <row r="31" spans="1:29" x14ac:dyDescent="0.25">
      <c r="A31" s="21" t="s">
        <v>38</v>
      </c>
      <c r="B31" s="26">
        <v>21</v>
      </c>
      <c r="C31" s="53">
        <v>46082</v>
      </c>
      <c r="D31" s="32">
        <v>363.85994306250404</v>
      </c>
      <c r="E31" s="32">
        <v>222.95820450000306</v>
      </c>
      <c r="F31" s="32">
        <v>100.81752356250389</v>
      </c>
      <c r="G31" s="32">
        <v>0</v>
      </c>
      <c r="H31" s="32">
        <v>0</v>
      </c>
      <c r="I31" s="32">
        <v>0</v>
      </c>
      <c r="J31" s="32">
        <v>0</v>
      </c>
      <c r="K31" s="32">
        <v>193.83630243750133</v>
      </c>
      <c r="L31" s="32">
        <v>656.12623912500408</v>
      </c>
      <c r="M31" s="32">
        <v>1025.1825339375068</v>
      </c>
      <c r="N31" s="32">
        <v>1317.387196500003</v>
      </c>
      <c r="O31" s="32">
        <v>1562.1546840000001</v>
      </c>
      <c r="P31" s="32">
        <v>1510.9464860625008</v>
      </c>
      <c r="Q31" s="32">
        <v>1588.9808625000071</v>
      </c>
      <c r="R31" s="32">
        <v>1814.1274100625039</v>
      </c>
      <c r="S31" s="32">
        <v>1849.8503728125047</v>
      </c>
      <c r="T31" s="32">
        <v>1683.8041871250055</v>
      </c>
      <c r="U31" s="32">
        <v>1548.2313046875061</v>
      </c>
      <c r="V31" s="32">
        <v>1819.6779026250053</v>
      </c>
      <c r="W31" s="32">
        <v>1777.1032875000042</v>
      </c>
      <c r="X31" s="32">
        <v>1579.0706923125035</v>
      </c>
      <c r="Y31" s="32">
        <v>1306.9720275000027</v>
      </c>
      <c r="Z31" s="32">
        <v>933.96443756250483</v>
      </c>
      <c r="AA31" s="32">
        <v>601.44420168750128</v>
      </c>
      <c r="AB31" s="23">
        <f>SUM(D31:AA31)*B31</f>
        <v>492586.41179081413</v>
      </c>
      <c r="AC31" s="33"/>
    </row>
    <row r="32" spans="1:29" x14ac:dyDescent="0.25">
      <c r="A32" s="21" t="s">
        <v>39</v>
      </c>
      <c r="B32" s="26">
        <v>4</v>
      </c>
      <c r="C32" s="54"/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357.292346343752</v>
      </c>
      <c r="N32" s="32">
        <v>588.30754279687585</v>
      </c>
      <c r="O32" s="32">
        <v>763.30297101562701</v>
      </c>
      <c r="P32" s="32">
        <v>655.7758460156258</v>
      </c>
      <c r="Q32" s="32">
        <v>710.41749065625095</v>
      </c>
      <c r="R32" s="32">
        <v>978.96947442187638</v>
      </c>
      <c r="S32" s="32">
        <v>1106.3730573281264</v>
      </c>
      <c r="T32" s="32">
        <v>1054.4088736406252</v>
      </c>
      <c r="U32" s="32">
        <v>908.78513990625129</v>
      </c>
      <c r="V32" s="32">
        <v>1116.7296050156249</v>
      </c>
      <c r="W32" s="32">
        <v>1017.6383533593762</v>
      </c>
      <c r="X32" s="32">
        <v>816.57334837500173</v>
      </c>
      <c r="Y32" s="32">
        <v>571.98889668750098</v>
      </c>
      <c r="Z32" s="32">
        <v>277.44193003124985</v>
      </c>
      <c r="AA32" s="32">
        <v>100</v>
      </c>
      <c r="AB32" s="23">
        <f t="shared" ref="AB32:AB33" si="7">SUM(D32:AA32)*B32</f>
        <v>44096.019502375049</v>
      </c>
      <c r="AC32" s="33"/>
    </row>
    <row r="33" spans="1:29" x14ac:dyDescent="0.25">
      <c r="A33" s="21" t="s">
        <v>40</v>
      </c>
      <c r="B33" s="26">
        <v>6</v>
      </c>
      <c r="C33" s="54"/>
      <c r="D33" s="32">
        <v>623.67541565625174</v>
      </c>
      <c r="E33" s="32">
        <v>452.10107859375137</v>
      </c>
      <c r="F33" s="32">
        <v>312.3131099062532</v>
      </c>
      <c r="G33" s="32">
        <v>236.87053434375196</v>
      </c>
      <c r="H33" s="32">
        <v>177.0927107812505</v>
      </c>
      <c r="I33" s="32">
        <v>221.88585778125153</v>
      </c>
      <c r="J33" s="32">
        <v>248.53665843750176</v>
      </c>
      <c r="K33" s="32">
        <v>615.91798415625203</v>
      </c>
      <c r="L33" s="32">
        <v>1063.0129107187536</v>
      </c>
      <c r="M33" s="32">
        <v>1470.8748457500014</v>
      </c>
      <c r="N33" s="32">
        <v>1795.3567453125015</v>
      </c>
      <c r="O33" s="32">
        <v>2020.8189239062513</v>
      </c>
      <c r="P33" s="32">
        <v>1952.8296317812517</v>
      </c>
      <c r="Q33" s="32">
        <v>1960.5717680625023</v>
      </c>
      <c r="R33" s="32">
        <v>2169.8825000625011</v>
      </c>
      <c r="S33" s="32">
        <v>2233.2017014687517</v>
      </c>
      <c r="T33" s="32">
        <v>2084.0827488750001</v>
      </c>
      <c r="U33" s="32">
        <v>2017.7861053125021</v>
      </c>
      <c r="V33" s="32">
        <v>2372.5685918437512</v>
      </c>
      <c r="W33" s="32">
        <v>2339.0575373437546</v>
      </c>
      <c r="X33" s="32">
        <v>2075.3941912500013</v>
      </c>
      <c r="Y33" s="32">
        <v>1729.6539712500019</v>
      </c>
      <c r="Z33" s="32">
        <v>1268.0290410937505</v>
      </c>
      <c r="AA33" s="32">
        <v>889.91155715625121</v>
      </c>
      <c r="AB33" s="23">
        <f t="shared" si="7"/>
        <v>193988.55672506272</v>
      </c>
      <c r="AC33" s="5">
        <f>+AB31+AB32+AB33</f>
        <v>730670.98801825196</v>
      </c>
    </row>
    <row r="34" spans="1:29" x14ac:dyDescent="0.25">
      <c r="A34" s="38"/>
      <c r="B34" s="24"/>
      <c r="C34" s="25"/>
      <c r="AB34" s="37"/>
      <c r="AC34" s="37"/>
    </row>
    <row r="35" spans="1:29" x14ac:dyDescent="0.25">
      <c r="A35" s="21" t="s">
        <v>38</v>
      </c>
      <c r="B35" s="26">
        <v>20</v>
      </c>
      <c r="C35" s="51">
        <v>46113</v>
      </c>
      <c r="D35" s="32">
        <v>1349.9226358537499</v>
      </c>
      <c r="E35" s="32">
        <v>1308.2998280231252</v>
      </c>
      <c r="F35" s="32">
        <v>1278.8055670556246</v>
      </c>
      <c r="G35" s="32">
        <v>1261.3061426174995</v>
      </c>
      <c r="H35" s="32">
        <v>1256.3713923074999</v>
      </c>
      <c r="I35" s="32">
        <v>1271.4991160287495</v>
      </c>
      <c r="J35" s="32">
        <v>1287.3850602243751</v>
      </c>
      <c r="K35" s="32">
        <v>1382.9598478237499</v>
      </c>
      <c r="L35" s="32">
        <v>1492.4343619237493</v>
      </c>
      <c r="M35" s="32">
        <v>1585.3954021368741</v>
      </c>
      <c r="N35" s="32">
        <v>1655.8317747956239</v>
      </c>
      <c r="O35" s="32">
        <v>1711.993536146249</v>
      </c>
      <c r="P35" s="32">
        <v>1704.5684370618749</v>
      </c>
      <c r="Q35" s="32">
        <v>1709.7901584749993</v>
      </c>
      <c r="R35" s="32">
        <v>1748.8472211393741</v>
      </c>
      <c r="S35" s="32">
        <v>1754.4639902737499</v>
      </c>
      <c r="T35" s="32">
        <v>1721.1721319887497</v>
      </c>
      <c r="U35" s="32">
        <v>1696.2035408324991</v>
      </c>
      <c r="V35" s="32">
        <v>1770.458845798124</v>
      </c>
      <c r="W35" s="32">
        <v>1761.8401419806246</v>
      </c>
      <c r="X35" s="32">
        <v>1700.5800417637497</v>
      </c>
      <c r="Y35" s="32">
        <v>1618.2187434393754</v>
      </c>
      <c r="Z35" s="32">
        <v>1512.3879614418749</v>
      </c>
      <c r="AA35" s="32">
        <v>1418.9199506606251</v>
      </c>
      <c r="AB35" s="23">
        <f>SUM(D35:AA35)*B35</f>
        <v>739193.11659584998</v>
      </c>
      <c r="AC35" s="33"/>
    </row>
    <row r="36" spans="1:29" x14ac:dyDescent="0.25">
      <c r="A36" s="21" t="s">
        <v>39</v>
      </c>
      <c r="B36" s="26">
        <v>4</v>
      </c>
      <c r="C36" s="52"/>
      <c r="D36" s="32">
        <v>1340.9044035187494</v>
      </c>
      <c r="E36" s="32">
        <v>1314.8669242406245</v>
      </c>
      <c r="F36" s="32">
        <v>1289.7205671656252</v>
      </c>
      <c r="G36" s="32">
        <v>1273.3851932156244</v>
      </c>
      <c r="H36" s="32">
        <v>1261.543942771875</v>
      </c>
      <c r="I36" s="32">
        <v>1274.7141837281247</v>
      </c>
      <c r="J36" s="32">
        <v>1288.0408977843747</v>
      </c>
      <c r="K36" s="32">
        <v>1384.3499435718743</v>
      </c>
      <c r="L36" s="32">
        <v>1494.0057846656246</v>
      </c>
      <c r="M36" s="32">
        <v>1576.6154920687491</v>
      </c>
      <c r="N36" s="32">
        <v>1644.5777583374995</v>
      </c>
      <c r="O36" s="32">
        <v>1707.001649325</v>
      </c>
      <c r="P36" s="32">
        <v>1713.986801690625</v>
      </c>
      <c r="Q36" s="32">
        <v>1715.9223932156244</v>
      </c>
      <c r="R36" s="32">
        <v>1753.0399163812497</v>
      </c>
      <c r="S36" s="32">
        <v>1748.6080514437492</v>
      </c>
      <c r="T36" s="32">
        <v>1709.1297966093753</v>
      </c>
      <c r="U36" s="32">
        <v>1684.5261955593751</v>
      </c>
      <c r="V36" s="32">
        <v>1760.6909563031243</v>
      </c>
      <c r="W36" s="32">
        <v>1769.42807055</v>
      </c>
      <c r="X36" s="32">
        <v>1712.3238968062501</v>
      </c>
      <c r="Y36" s="32">
        <v>1627.6704101437497</v>
      </c>
      <c r="Z36" s="32">
        <v>1509.3716191312506</v>
      </c>
      <c r="AA36" s="32">
        <v>1406.5337807718745</v>
      </c>
      <c r="AB36" s="23">
        <f t="shared" ref="AB36:AB37" si="8">SUM(D36:AA36)*B36</f>
        <v>147843.83451599997</v>
      </c>
      <c r="AC36" s="33"/>
    </row>
    <row r="37" spans="1:29" x14ac:dyDescent="0.25">
      <c r="A37" s="21" t="s">
        <v>40</v>
      </c>
      <c r="B37" s="26">
        <v>6</v>
      </c>
      <c r="C37" s="52"/>
      <c r="D37" s="32">
        <v>1323.3180167812498</v>
      </c>
      <c r="E37" s="32">
        <v>1294.1684156624997</v>
      </c>
      <c r="F37" s="32">
        <v>1279.7683632562498</v>
      </c>
      <c r="G37" s="32">
        <v>1272.4939125937499</v>
      </c>
      <c r="H37" s="32">
        <v>1274.8578394124995</v>
      </c>
      <c r="I37" s="32">
        <v>1289.82457576875</v>
      </c>
      <c r="J37" s="32">
        <v>1305.60990643125</v>
      </c>
      <c r="K37" s="32">
        <v>1393.4217966374997</v>
      </c>
      <c r="L37" s="32">
        <v>1499.3431008937498</v>
      </c>
      <c r="M37" s="32">
        <v>1590.5395876124999</v>
      </c>
      <c r="N37" s="32">
        <v>1662.6630748874991</v>
      </c>
      <c r="O37" s="32">
        <v>1720.6126937999998</v>
      </c>
      <c r="P37" s="32">
        <v>1711.6540688624989</v>
      </c>
      <c r="Q37" s="32">
        <v>1721.2614542812498</v>
      </c>
      <c r="R37" s="32">
        <v>1755.9698800874992</v>
      </c>
      <c r="S37" s="32">
        <v>1752.9691478249993</v>
      </c>
      <c r="T37" s="32">
        <v>1710.5152120874998</v>
      </c>
      <c r="U37" s="32">
        <v>1677.7522756312492</v>
      </c>
      <c r="V37" s="32">
        <v>1748.4332396999996</v>
      </c>
      <c r="W37" s="32">
        <v>1749.3791111999999</v>
      </c>
      <c r="X37" s="32">
        <v>1696.4302233374997</v>
      </c>
      <c r="Y37" s="32">
        <v>1609.2253469249999</v>
      </c>
      <c r="Z37" s="32">
        <v>1500.2324615250002</v>
      </c>
      <c r="AA37" s="32">
        <v>1398.7212742124991</v>
      </c>
      <c r="AB37" s="23">
        <f t="shared" si="8"/>
        <v>221634.98987647495</v>
      </c>
      <c r="AC37" s="5">
        <f>+AB35+AB36+AB37</f>
        <v>1108671.940988325</v>
      </c>
    </row>
    <row r="38" spans="1:29" x14ac:dyDescent="0.25">
      <c r="A38" s="38"/>
      <c r="B38" s="24"/>
      <c r="C38" s="25"/>
      <c r="AB38" s="37"/>
      <c r="AC38" s="37"/>
    </row>
    <row r="39" spans="1:29" x14ac:dyDescent="0.25">
      <c r="A39" s="21" t="s">
        <v>38</v>
      </c>
      <c r="B39" s="26">
        <v>19</v>
      </c>
      <c r="C39" s="51">
        <v>46143</v>
      </c>
      <c r="D39" s="32">
        <v>1352.7234884901309</v>
      </c>
      <c r="E39" s="32">
        <v>1316.5720709151308</v>
      </c>
      <c r="F39" s="32">
        <v>1288.7239169368418</v>
      </c>
      <c r="G39" s="32">
        <v>1269.2671797197368</v>
      </c>
      <c r="H39" s="32">
        <v>1257.6814349980264</v>
      </c>
      <c r="I39" s="32">
        <v>1267.4354223493419</v>
      </c>
      <c r="J39" s="32">
        <v>1280.642049473684</v>
      </c>
      <c r="K39" s="32">
        <v>1379.0568080901317</v>
      </c>
      <c r="L39" s="32">
        <v>1493.3170969638154</v>
      </c>
      <c r="M39" s="32">
        <v>1590.5398642874995</v>
      </c>
      <c r="N39" s="32">
        <v>1665.2311456973684</v>
      </c>
      <c r="O39" s="32">
        <v>1723.8779374618416</v>
      </c>
      <c r="P39" s="32">
        <v>1718.2378175328938</v>
      </c>
      <c r="Q39" s="32">
        <v>1725.7539348828941</v>
      </c>
      <c r="R39" s="32">
        <v>1765.193303433552</v>
      </c>
      <c r="S39" s="32">
        <v>1767.1465685723679</v>
      </c>
      <c r="T39" s="32">
        <v>1732.4769126138149</v>
      </c>
      <c r="U39" s="32">
        <v>1709.1536800855267</v>
      </c>
      <c r="V39" s="32">
        <v>1784.6533156559206</v>
      </c>
      <c r="W39" s="32">
        <v>1782.2153419874999</v>
      </c>
      <c r="X39" s="32">
        <v>1724.5852871625</v>
      </c>
      <c r="Y39" s="32">
        <v>1637.5685600842098</v>
      </c>
      <c r="Z39" s="32">
        <v>1525.6131780611838</v>
      </c>
      <c r="AA39" s="32">
        <v>1424.8011508223685</v>
      </c>
      <c r="AB39" s="23">
        <f>SUM(D39:AA39)*B39</f>
        <v>706466.88185928739</v>
      </c>
      <c r="AC39" s="33"/>
    </row>
    <row r="40" spans="1:29" x14ac:dyDescent="0.25">
      <c r="A40" s="21" t="s">
        <v>39</v>
      </c>
      <c r="B40" s="26">
        <v>5</v>
      </c>
      <c r="C40" s="52"/>
      <c r="D40" s="32">
        <v>1348.7155666425001</v>
      </c>
      <c r="E40" s="32">
        <v>1303.0125694425001</v>
      </c>
      <c r="F40" s="32">
        <v>1271.4609121199996</v>
      </c>
      <c r="G40" s="32">
        <v>1257.6348510074999</v>
      </c>
      <c r="H40" s="32">
        <v>1260.1885728599998</v>
      </c>
      <c r="I40" s="32">
        <v>1271.7443549474999</v>
      </c>
      <c r="J40" s="32">
        <v>1285.7548261950001</v>
      </c>
      <c r="K40" s="32">
        <v>1380.5475314399994</v>
      </c>
      <c r="L40" s="32">
        <v>1494.6722659574998</v>
      </c>
      <c r="M40" s="32">
        <v>1587.334738815</v>
      </c>
      <c r="N40" s="32">
        <v>1663.8004277999994</v>
      </c>
      <c r="O40" s="32">
        <v>1729.7823414375002</v>
      </c>
      <c r="P40" s="32">
        <v>1723.1868208799997</v>
      </c>
      <c r="Q40" s="32">
        <v>1730.583082619999</v>
      </c>
      <c r="R40" s="32">
        <v>1768.0955055749992</v>
      </c>
      <c r="S40" s="32">
        <v>1777.992204239999</v>
      </c>
      <c r="T40" s="32">
        <v>1740.9541753799992</v>
      </c>
      <c r="U40" s="32">
        <v>1713.7653650774996</v>
      </c>
      <c r="V40" s="32">
        <v>1786.35158415</v>
      </c>
      <c r="W40" s="32">
        <v>1772.793843344999</v>
      </c>
      <c r="X40" s="32">
        <v>1710.4744364399994</v>
      </c>
      <c r="Y40" s="32">
        <v>1629.5490525824998</v>
      </c>
      <c r="Z40" s="32">
        <v>1530.9748203749994</v>
      </c>
      <c r="AA40" s="32">
        <v>1429.6829417325</v>
      </c>
      <c r="AB40" s="23">
        <f t="shared" ref="AB40:AB41" si="9">SUM(D40:AA40)*B40</f>
        <v>185845.26395531249</v>
      </c>
      <c r="AC40" s="33"/>
    </row>
    <row r="41" spans="1:29" x14ac:dyDescent="0.25">
      <c r="A41" s="21" t="s">
        <v>40</v>
      </c>
      <c r="B41" s="26">
        <v>7</v>
      </c>
      <c r="C41" s="52"/>
      <c r="D41" s="32">
        <v>1358.5080566249999</v>
      </c>
      <c r="E41" s="32">
        <v>1313.9205594749992</v>
      </c>
      <c r="F41" s="32">
        <v>1280.0936001374994</v>
      </c>
      <c r="G41" s="32">
        <v>1258.1470506374999</v>
      </c>
      <c r="H41" s="32">
        <v>1251.4049889750004</v>
      </c>
      <c r="I41" s="32">
        <v>1273.8480349499998</v>
      </c>
      <c r="J41" s="32">
        <v>1296.8082113624998</v>
      </c>
      <c r="K41" s="32">
        <v>1396.4378677874997</v>
      </c>
      <c r="L41" s="32">
        <v>1503.9619015499993</v>
      </c>
      <c r="M41" s="32">
        <v>1596.2078506499997</v>
      </c>
      <c r="N41" s="32">
        <v>1664.5929850124999</v>
      </c>
      <c r="O41" s="32">
        <v>1722.9824495999987</v>
      </c>
      <c r="P41" s="32">
        <v>1721.8578001499993</v>
      </c>
      <c r="Q41" s="32">
        <v>1724.9252990624991</v>
      </c>
      <c r="R41" s="32">
        <v>1766.6882364374994</v>
      </c>
      <c r="S41" s="32">
        <v>1770.7963514624992</v>
      </c>
      <c r="T41" s="32">
        <v>1736.9003451374997</v>
      </c>
      <c r="U41" s="32">
        <v>1705.5138754124996</v>
      </c>
      <c r="V41" s="32">
        <v>1778.1432852374987</v>
      </c>
      <c r="W41" s="32">
        <v>1770.45962715</v>
      </c>
      <c r="X41" s="32">
        <v>1707.2613476999991</v>
      </c>
      <c r="Y41" s="32">
        <v>1621.3689358874999</v>
      </c>
      <c r="Z41" s="32">
        <v>1514.2030712999995</v>
      </c>
      <c r="AA41" s="32">
        <v>1429.1061122249998</v>
      </c>
      <c r="AB41" s="23">
        <f t="shared" si="9"/>
        <v>260148.96490747493</v>
      </c>
      <c r="AC41" s="5">
        <f>+AB39+AB40+AB41</f>
        <v>1152461.1107220748</v>
      </c>
    </row>
    <row r="42" spans="1:29" x14ac:dyDescent="0.25">
      <c r="A42" s="38"/>
      <c r="B42" s="24"/>
      <c r="C42" s="25"/>
      <c r="AB42" s="37"/>
      <c r="AC42" s="37"/>
    </row>
    <row r="43" spans="1:29" x14ac:dyDescent="0.25">
      <c r="A43" s="21" t="s">
        <v>38</v>
      </c>
      <c r="B43" s="26">
        <v>19</v>
      </c>
      <c r="C43" s="51">
        <v>46174</v>
      </c>
      <c r="D43" s="32">
        <v>746.13003237828877</v>
      </c>
      <c r="E43" s="32">
        <v>564.62668767434229</v>
      </c>
      <c r="F43" s="32">
        <v>419.11721168091981</v>
      </c>
      <c r="G43" s="32">
        <v>330.56501884539739</v>
      </c>
      <c r="H43" s="32">
        <v>264.22853505592332</v>
      </c>
      <c r="I43" s="32">
        <v>281.46439909539254</v>
      </c>
      <c r="J43" s="32">
        <v>195.42853619407279</v>
      </c>
      <c r="K43" s="32">
        <v>524.51675978288972</v>
      </c>
      <c r="L43" s="32">
        <v>972.90726702631343</v>
      </c>
      <c r="M43" s="32">
        <v>1379.2279472467044</v>
      </c>
      <c r="N43" s="32">
        <v>1708.4780594309091</v>
      </c>
      <c r="O43" s="32">
        <v>1982.6857356315668</v>
      </c>
      <c r="P43" s="32">
        <v>1958.2303154506531</v>
      </c>
      <c r="Q43" s="32">
        <v>2046.8113313388119</v>
      </c>
      <c r="R43" s="32">
        <v>2279.9130212960422</v>
      </c>
      <c r="S43" s="32">
        <v>2336.0340936907887</v>
      </c>
      <c r="T43" s="32">
        <v>2200.3925035164384</v>
      </c>
      <c r="U43" s="32">
        <v>2082.2631983881474</v>
      </c>
      <c r="V43" s="32">
        <v>2366.5701764309156</v>
      </c>
      <c r="W43" s="32">
        <v>2307.8012392302576</v>
      </c>
      <c r="X43" s="32">
        <v>2082.8219456644679</v>
      </c>
      <c r="Y43" s="32">
        <v>1774.5800747467067</v>
      </c>
      <c r="Z43" s="32">
        <v>1378.8476283355217</v>
      </c>
      <c r="AA43" s="32">
        <v>1034.6209526151308</v>
      </c>
      <c r="AB43" s="23">
        <f>SUM(D43:AA43)*B43</f>
        <v>631146.99074418552</v>
      </c>
      <c r="AC43" s="33"/>
    </row>
    <row r="44" spans="1:29" x14ac:dyDescent="0.25">
      <c r="A44" s="21" t="s">
        <v>39</v>
      </c>
      <c r="B44" s="26">
        <v>4</v>
      </c>
      <c r="C44" s="52"/>
      <c r="D44" s="32">
        <v>769.63386398437399</v>
      </c>
      <c r="E44" s="32">
        <v>599.19892190625023</v>
      </c>
      <c r="F44" s="32">
        <v>469.39350196875</v>
      </c>
      <c r="G44" s="32">
        <v>335.38319976562605</v>
      </c>
      <c r="H44" s="32">
        <v>248.53750153125191</v>
      </c>
      <c r="I44" s="32">
        <v>286.69394920312493</v>
      </c>
      <c r="J44" s="32">
        <v>270.71561174999863</v>
      </c>
      <c r="K44" s="32">
        <v>694.59873618749816</v>
      </c>
      <c r="L44" s="32">
        <v>1133.5701612187481</v>
      </c>
      <c r="M44" s="32">
        <v>1502.0594189062476</v>
      </c>
      <c r="N44" s="32">
        <v>1735.6889741718724</v>
      </c>
      <c r="O44" s="32">
        <v>1940.2959937031242</v>
      </c>
      <c r="P44" s="32">
        <v>1877.8172922187487</v>
      </c>
      <c r="Q44" s="32">
        <v>1987.126419374998</v>
      </c>
      <c r="R44" s="32">
        <v>2300.8100474999983</v>
      </c>
      <c r="S44" s="32">
        <v>2359.9525114687485</v>
      </c>
      <c r="T44" s="32">
        <v>2220.4468038749983</v>
      </c>
      <c r="U44" s="32">
        <v>2093.2080242812472</v>
      </c>
      <c r="V44" s="32">
        <v>2395.8950985468746</v>
      </c>
      <c r="W44" s="32">
        <v>2342.4438536718726</v>
      </c>
      <c r="X44" s="32">
        <v>2121.2539084218733</v>
      </c>
      <c r="Y44" s="32">
        <v>1804.1864143593718</v>
      </c>
      <c r="Z44" s="32">
        <v>1364.3377024687488</v>
      </c>
      <c r="AA44" s="32">
        <v>991.89560451562579</v>
      </c>
      <c r="AB44" s="23">
        <f t="shared" ref="AB44:AB45" si="10">SUM(D44:AA44)*B44</f>
        <v>135380.5740599999</v>
      </c>
      <c r="AC44" s="33"/>
    </row>
    <row r="45" spans="1:29" x14ac:dyDescent="0.25">
      <c r="A45" s="21" t="s">
        <v>40</v>
      </c>
      <c r="B45" s="26">
        <v>7</v>
      </c>
      <c r="C45" s="52"/>
      <c r="D45" s="32">
        <v>604.51921162500207</v>
      </c>
      <c r="E45" s="32">
        <v>527.88639806249887</v>
      </c>
      <c r="F45" s="32">
        <v>452.41452618750026</v>
      </c>
      <c r="G45" s="32">
        <v>346.59500231250104</v>
      </c>
      <c r="H45" s="32">
        <v>279.7105805625007</v>
      </c>
      <c r="I45" s="32">
        <v>301.71412256250028</v>
      </c>
      <c r="J45" s="32">
        <v>283.16696212499994</v>
      </c>
      <c r="K45" s="32">
        <v>664.16444793749929</v>
      </c>
      <c r="L45" s="32">
        <v>1094.3371696875006</v>
      </c>
      <c r="M45" s="32">
        <v>1429.6700746875003</v>
      </c>
      <c r="N45" s="32">
        <v>1683.4747876874985</v>
      </c>
      <c r="O45" s="32">
        <v>1871.7283241249977</v>
      </c>
      <c r="P45" s="32">
        <v>1753.7713261874974</v>
      </c>
      <c r="Q45" s="32">
        <v>1795.887282374998</v>
      </c>
      <c r="R45" s="32">
        <v>2064.9943349999985</v>
      </c>
      <c r="S45" s="32">
        <v>2200.4861369999999</v>
      </c>
      <c r="T45" s="32">
        <v>2087.8549957500004</v>
      </c>
      <c r="U45" s="32">
        <v>1964.7255873750005</v>
      </c>
      <c r="V45" s="32">
        <v>2213.2111087499952</v>
      </c>
      <c r="W45" s="32">
        <v>2147.131068562499</v>
      </c>
      <c r="X45" s="32">
        <v>1935.9319244999979</v>
      </c>
      <c r="Y45" s="32">
        <v>1648.5811072499989</v>
      </c>
      <c r="Z45" s="32">
        <v>1273.3974811874989</v>
      </c>
      <c r="AA45" s="32">
        <v>913.59835575000022</v>
      </c>
      <c r="AB45" s="23">
        <f t="shared" si="10"/>
        <v>220772.66622074987</v>
      </c>
      <c r="AC45" s="5">
        <f>+AB43+AB44+AB45</f>
        <v>987300.23102493526</v>
      </c>
    </row>
    <row r="46" spans="1:29" x14ac:dyDescent="0.25">
      <c r="A46" s="38"/>
      <c r="B46" s="24"/>
      <c r="C46" s="25"/>
      <c r="AB46" s="37"/>
      <c r="AC46" s="37"/>
    </row>
    <row r="47" spans="1:29" x14ac:dyDescent="0.25">
      <c r="A47" s="21" t="s">
        <v>38</v>
      </c>
      <c r="B47" s="26">
        <v>22</v>
      </c>
      <c r="C47" s="51">
        <v>46204</v>
      </c>
      <c r="D47" s="32">
        <v>1389.464988760227</v>
      </c>
      <c r="E47" s="32">
        <v>1351.3723763829544</v>
      </c>
      <c r="F47" s="32">
        <v>1322.5864546125003</v>
      </c>
      <c r="G47" s="32">
        <v>1298.9204702488637</v>
      </c>
      <c r="H47" s="32">
        <v>1289.5824139465908</v>
      </c>
      <c r="I47" s="32">
        <v>1301.1803861318181</v>
      </c>
      <c r="J47" s="32">
        <v>1314.8067349534092</v>
      </c>
      <c r="K47" s="32">
        <v>1409.3707621039775</v>
      </c>
      <c r="L47" s="32">
        <v>1518.3399571056816</v>
      </c>
      <c r="M47" s="32">
        <v>1606.3658298664766</v>
      </c>
      <c r="N47" s="32">
        <v>1671.644369122158</v>
      </c>
      <c r="O47" s="32">
        <v>1725.227661400568</v>
      </c>
      <c r="P47" s="32">
        <v>1716.1663046420454</v>
      </c>
      <c r="Q47" s="32">
        <v>1724.0106305505674</v>
      </c>
      <c r="R47" s="32">
        <v>1764.7941389471582</v>
      </c>
      <c r="S47" s="32">
        <v>1771.5230396539762</v>
      </c>
      <c r="T47" s="32">
        <v>1737.9779255284084</v>
      </c>
      <c r="U47" s="32">
        <v>1712.3273690369319</v>
      </c>
      <c r="V47" s="32">
        <v>1787.5087351465909</v>
      </c>
      <c r="W47" s="32">
        <v>1787.566734664772</v>
      </c>
      <c r="X47" s="32">
        <v>1735.8070943301132</v>
      </c>
      <c r="Y47" s="32">
        <v>1657.4018691323865</v>
      </c>
      <c r="Z47" s="32">
        <v>1553.2924023511359</v>
      </c>
      <c r="AA47" s="32">
        <v>1458.9453664943185</v>
      </c>
      <c r="AB47" s="23">
        <f>SUM(D47:AA47)*B47</f>
        <v>827336.04833249992</v>
      </c>
      <c r="AC47" s="33"/>
    </row>
    <row r="48" spans="1:29" x14ac:dyDescent="0.25">
      <c r="A48" s="21" t="s">
        <v>39</v>
      </c>
      <c r="B48" s="26">
        <v>4</v>
      </c>
      <c r="C48" s="52"/>
      <c r="D48" s="32">
        <v>1379.0096330062502</v>
      </c>
      <c r="E48" s="32">
        <v>1339.3120741875</v>
      </c>
      <c r="F48" s="32">
        <v>1310.1521780812495</v>
      </c>
      <c r="G48" s="32">
        <v>1302.8295134531252</v>
      </c>
      <c r="H48" s="32">
        <v>1293.5412759937499</v>
      </c>
      <c r="I48" s="32">
        <v>1301.0042683968747</v>
      </c>
      <c r="J48" s="32">
        <v>1307.2554042187492</v>
      </c>
      <c r="K48" s="32">
        <v>1394.4606755624993</v>
      </c>
      <c r="L48" s="32">
        <v>1500.371701565625</v>
      </c>
      <c r="M48" s="32">
        <v>1598.4961994531243</v>
      </c>
      <c r="N48" s="32">
        <v>1682.726283</v>
      </c>
      <c r="O48" s="32">
        <v>1737.3935167312493</v>
      </c>
      <c r="P48" s="32">
        <v>1729.2289456968745</v>
      </c>
      <c r="Q48" s="32">
        <v>1727.9782419374997</v>
      </c>
      <c r="R48" s="32">
        <v>1762.6168853999998</v>
      </c>
      <c r="S48" s="32">
        <v>1765.6111336499998</v>
      </c>
      <c r="T48" s="32">
        <v>1736.7497754468743</v>
      </c>
      <c r="U48" s="32">
        <v>1724.8765188374994</v>
      </c>
      <c r="V48" s="32">
        <v>1803.2914104187496</v>
      </c>
      <c r="W48" s="32">
        <v>1802.3325474656247</v>
      </c>
      <c r="X48" s="32">
        <v>1740.3329130468751</v>
      </c>
      <c r="Y48" s="32">
        <v>1657.9627849968747</v>
      </c>
      <c r="Z48" s="32">
        <v>1549.87705333125</v>
      </c>
      <c r="AA48" s="32">
        <v>1455.2956443375001</v>
      </c>
      <c r="AB48" s="23">
        <f t="shared" ref="AB48:AB49" si="11">SUM(D48:AA48)*B48</f>
        <v>150410.82631286248</v>
      </c>
      <c r="AC48" s="33"/>
    </row>
    <row r="49" spans="1:29" x14ac:dyDescent="0.25">
      <c r="A49" s="21" t="s">
        <v>40</v>
      </c>
      <c r="B49" s="26">
        <v>5</v>
      </c>
      <c r="C49" s="52"/>
      <c r="D49" s="32">
        <v>1380.5684587799999</v>
      </c>
      <c r="E49" s="32">
        <v>1332.2229752475</v>
      </c>
      <c r="F49" s="32">
        <v>1300.8433901399997</v>
      </c>
      <c r="G49" s="32">
        <v>1286.9940829725001</v>
      </c>
      <c r="H49" s="32">
        <v>1285.3720668599999</v>
      </c>
      <c r="I49" s="32">
        <v>1292.9181159824998</v>
      </c>
      <c r="J49" s="32">
        <v>1305.2435668649996</v>
      </c>
      <c r="K49" s="32">
        <v>1392.8381025299996</v>
      </c>
      <c r="L49" s="32">
        <v>1497.6318566474997</v>
      </c>
      <c r="M49" s="32">
        <v>1591.3513208249997</v>
      </c>
      <c r="N49" s="32">
        <v>1664.7762266099994</v>
      </c>
      <c r="O49" s="32">
        <v>1739.0644253324999</v>
      </c>
      <c r="P49" s="32">
        <v>1742.5315415024993</v>
      </c>
      <c r="Q49" s="32">
        <v>1750.9415930999994</v>
      </c>
      <c r="R49" s="32">
        <v>1783.0234516499995</v>
      </c>
      <c r="S49" s="32">
        <v>1779.9839590049996</v>
      </c>
      <c r="T49" s="32">
        <v>1739.917372409999</v>
      </c>
      <c r="U49" s="32">
        <v>1720.0034313524989</v>
      </c>
      <c r="V49" s="32">
        <v>1806.6060362699991</v>
      </c>
      <c r="W49" s="32">
        <v>1806.7424575724997</v>
      </c>
      <c r="X49" s="32">
        <v>1747.5765592949992</v>
      </c>
      <c r="Y49" s="32">
        <v>1660.7176265925</v>
      </c>
      <c r="Z49" s="32">
        <v>1553.4928122524996</v>
      </c>
      <c r="AA49" s="32">
        <v>1452.6859091850001</v>
      </c>
      <c r="AB49" s="23">
        <f t="shared" si="11"/>
        <v>188070.23669489997</v>
      </c>
      <c r="AC49" s="5">
        <f>+AB47+AB48+AB49</f>
        <v>1165817.1113402625</v>
      </c>
    </row>
    <row r="50" spans="1:29" x14ac:dyDescent="0.25">
      <c r="A50" s="38"/>
      <c r="B50" s="24"/>
      <c r="C50" s="25"/>
      <c r="AB50" s="37"/>
      <c r="AC50" s="37"/>
    </row>
    <row r="51" spans="1:29" x14ac:dyDescent="0.25">
      <c r="A51" s="21" t="s">
        <v>38</v>
      </c>
      <c r="B51" s="26">
        <v>19</v>
      </c>
      <c r="C51" s="51">
        <v>46235</v>
      </c>
      <c r="D51" s="32">
        <v>1390.1052750927627</v>
      </c>
      <c r="E51" s="32">
        <v>1355.7094238072361</v>
      </c>
      <c r="F51" s="32">
        <v>1327.786279395395</v>
      </c>
      <c r="G51" s="32">
        <v>1310.4689238651317</v>
      </c>
      <c r="H51" s="32">
        <v>1303.9595937236841</v>
      </c>
      <c r="I51" s="32">
        <v>1312.959909215132</v>
      </c>
      <c r="J51" s="32">
        <v>1325.5810579835531</v>
      </c>
      <c r="K51" s="32">
        <v>1419.2238499756577</v>
      </c>
      <c r="L51" s="32">
        <v>1529.4013156302635</v>
      </c>
      <c r="M51" s="32">
        <v>1621.9359861986843</v>
      </c>
      <c r="N51" s="32">
        <v>1694.6575203434209</v>
      </c>
      <c r="O51" s="32">
        <v>1752.7862539065782</v>
      </c>
      <c r="P51" s="32">
        <v>1743.8416247782893</v>
      </c>
      <c r="Q51" s="32">
        <v>1744.5419594289465</v>
      </c>
      <c r="R51" s="32">
        <v>1778.9315094296046</v>
      </c>
      <c r="S51" s="32">
        <v>1781.9599169427624</v>
      </c>
      <c r="T51" s="32">
        <v>1748.2847584677625</v>
      </c>
      <c r="U51" s="32">
        <v>1726.7032234835524</v>
      </c>
      <c r="V51" s="32">
        <v>1802.2322706868413</v>
      </c>
      <c r="W51" s="32">
        <v>1798.3967956223687</v>
      </c>
      <c r="X51" s="32">
        <v>1736.5490744506569</v>
      </c>
      <c r="Y51" s="32">
        <v>1649.9667647013159</v>
      </c>
      <c r="Z51" s="32">
        <v>1542.752864555921</v>
      </c>
      <c r="AA51" s="32">
        <v>1450.424916716448</v>
      </c>
      <c r="AB51" s="23">
        <f>SUM(D51:AA51)*B51</f>
        <v>719134.06029963738</v>
      </c>
      <c r="AC51" s="33"/>
    </row>
    <row r="52" spans="1:29" x14ac:dyDescent="0.25">
      <c r="A52" s="21" t="s">
        <v>39</v>
      </c>
      <c r="B52" s="26">
        <v>5</v>
      </c>
      <c r="C52" s="52"/>
      <c r="D52" s="32">
        <v>1385.5423648499993</v>
      </c>
      <c r="E52" s="32">
        <v>1354.1876724599992</v>
      </c>
      <c r="F52" s="32">
        <v>1334.2099319325002</v>
      </c>
      <c r="G52" s="32">
        <v>1310.4014412824999</v>
      </c>
      <c r="H52" s="32">
        <v>1301.9256918674996</v>
      </c>
      <c r="I52" s="32">
        <v>1315.4996502899994</v>
      </c>
      <c r="J52" s="32">
        <v>1336.2475951125</v>
      </c>
      <c r="K52" s="32">
        <v>1425.2965809075001</v>
      </c>
      <c r="L52" s="32">
        <v>1533.9579436124995</v>
      </c>
      <c r="M52" s="32">
        <v>1622.6772568649994</v>
      </c>
      <c r="N52" s="32">
        <v>1687.3941883049997</v>
      </c>
      <c r="O52" s="32">
        <v>1741.9475814299994</v>
      </c>
      <c r="P52" s="32">
        <v>1734.9308660249994</v>
      </c>
      <c r="Q52" s="32">
        <v>1749.1568465700002</v>
      </c>
      <c r="R52" s="32">
        <v>1787.0660777024991</v>
      </c>
      <c r="S52" s="32">
        <v>1789.5193477875</v>
      </c>
      <c r="T52" s="32">
        <v>1744.560933884999</v>
      </c>
      <c r="U52" s="32">
        <v>1713.022166047499</v>
      </c>
      <c r="V52" s="32">
        <v>1785.031753365</v>
      </c>
      <c r="W52" s="32">
        <v>1786.5822052574988</v>
      </c>
      <c r="X52" s="32">
        <v>1738.9775404574996</v>
      </c>
      <c r="Y52" s="32">
        <v>1654.9929548775003</v>
      </c>
      <c r="Z52" s="32">
        <v>1547.5909837499994</v>
      </c>
      <c r="AA52" s="32">
        <v>1451.4932355525002</v>
      </c>
      <c r="AB52" s="23">
        <f t="shared" ref="AB52:AB53" si="12">SUM(D52:AA52)*B52</f>
        <v>189161.06405096251</v>
      </c>
      <c r="AC52" s="33"/>
    </row>
    <row r="53" spans="1:29" x14ac:dyDescent="0.25">
      <c r="A53" s="21" t="s">
        <v>40</v>
      </c>
      <c r="B53" s="26">
        <v>7</v>
      </c>
      <c r="C53" s="52"/>
      <c r="D53" s="32">
        <v>1380.7937268000001</v>
      </c>
      <c r="E53" s="32">
        <v>1340.5499149499997</v>
      </c>
      <c r="F53" s="32">
        <v>1315.9677243374995</v>
      </c>
      <c r="G53" s="32">
        <v>1304.1387607499996</v>
      </c>
      <c r="H53" s="32">
        <v>1298.2579169624998</v>
      </c>
      <c r="I53" s="32">
        <v>1315.6871204249999</v>
      </c>
      <c r="J53" s="32">
        <v>1329.8734793250001</v>
      </c>
      <c r="K53" s="32">
        <v>1428.1060296374992</v>
      </c>
      <c r="L53" s="32">
        <v>1534.1279151375002</v>
      </c>
      <c r="M53" s="32">
        <v>1621.0751854499993</v>
      </c>
      <c r="N53" s="32">
        <v>1688.6180548124989</v>
      </c>
      <c r="O53" s="32">
        <v>1740.335070825</v>
      </c>
      <c r="P53" s="32">
        <v>1736.0772127874993</v>
      </c>
      <c r="Q53" s="32">
        <v>1744.434835874999</v>
      </c>
      <c r="R53" s="32">
        <v>1792.5860166749999</v>
      </c>
      <c r="S53" s="32">
        <v>1797.3714359249998</v>
      </c>
      <c r="T53" s="32">
        <v>1761.3389318624995</v>
      </c>
      <c r="U53" s="32">
        <v>1728.9508686749996</v>
      </c>
      <c r="V53" s="32">
        <v>1798.6006551374994</v>
      </c>
      <c r="W53" s="32">
        <v>1790.5622416875001</v>
      </c>
      <c r="X53" s="32">
        <v>1731.6421080750001</v>
      </c>
      <c r="Y53" s="32">
        <v>1657.3766252625001</v>
      </c>
      <c r="Z53" s="32">
        <v>1552.4053257374997</v>
      </c>
      <c r="AA53" s="32">
        <v>1454.8754164499996</v>
      </c>
      <c r="AB53" s="23">
        <f t="shared" si="12"/>
        <v>264906.26801493741</v>
      </c>
      <c r="AC53" s="5">
        <f>+AB51+AB52+AB53</f>
        <v>1173201.3923655374</v>
      </c>
    </row>
    <row r="54" spans="1:29" x14ac:dyDescent="0.25">
      <c r="A54" s="38"/>
      <c r="B54" s="24"/>
      <c r="C54" s="25"/>
      <c r="AB54" s="37"/>
      <c r="AC54" s="37"/>
    </row>
    <row r="55" spans="1:29" x14ac:dyDescent="0.25">
      <c r="A55" s="21" t="s">
        <v>38</v>
      </c>
      <c r="B55" s="26">
        <v>20</v>
      </c>
      <c r="C55" s="51">
        <v>46266</v>
      </c>
      <c r="D55" s="32">
        <v>1384.6244817037491</v>
      </c>
      <c r="E55" s="32">
        <v>1347.7945026262501</v>
      </c>
      <c r="F55" s="32">
        <v>1322.3741489437496</v>
      </c>
      <c r="G55" s="32">
        <v>1305.6026952543752</v>
      </c>
      <c r="H55" s="32">
        <v>1299.8153211749996</v>
      </c>
      <c r="I55" s="32">
        <v>1313.5616583862502</v>
      </c>
      <c r="J55" s="32">
        <v>1330.42576629375</v>
      </c>
      <c r="K55" s="32">
        <v>1430.9967548362492</v>
      </c>
      <c r="L55" s="32">
        <v>1545.2048968256247</v>
      </c>
      <c r="M55" s="32">
        <v>1637.441560833749</v>
      </c>
      <c r="N55" s="32">
        <v>1706.2766231568744</v>
      </c>
      <c r="O55" s="32">
        <v>1761.2146485281241</v>
      </c>
      <c r="P55" s="32">
        <v>1754.3832348656244</v>
      </c>
      <c r="Q55" s="32">
        <v>1762.4344110974992</v>
      </c>
      <c r="R55" s="32">
        <v>1804.2669662456242</v>
      </c>
      <c r="S55" s="32">
        <v>1808.2047541162501</v>
      </c>
      <c r="T55" s="32">
        <v>1770.9456300243746</v>
      </c>
      <c r="U55" s="32">
        <v>1740.6396072843745</v>
      </c>
      <c r="V55" s="32">
        <v>1812.2778440943746</v>
      </c>
      <c r="W55" s="32">
        <v>1808.6654541374987</v>
      </c>
      <c r="X55" s="32">
        <v>1750.7576408174998</v>
      </c>
      <c r="Y55" s="32">
        <v>1666.1041749056249</v>
      </c>
      <c r="Z55" s="32">
        <v>1557.3107940468749</v>
      </c>
      <c r="AA55" s="32">
        <v>1457.0475526687501</v>
      </c>
      <c r="AB55" s="23">
        <f>SUM(D55:AA55)*B55</f>
        <v>761567.42245736241</v>
      </c>
      <c r="AC55" s="33"/>
    </row>
    <row r="56" spans="1:29" x14ac:dyDescent="0.25">
      <c r="A56" s="21" t="s">
        <v>39</v>
      </c>
      <c r="B56" s="26">
        <v>4</v>
      </c>
      <c r="C56" s="52"/>
      <c r="D56" s="32">
        <v>1397.2476384562494</v>
      </c>
      <c r="E56" s="32">
        <v>1349.9847331031242</v>
      </c>
      <c r="F56" s="32">
        <v>1316.2127194124994</v>
      </c>
      <c r="G56" s="32">
        <v>1295.4903721593746</v>
      </c>
      <c r="H56" s="32">
        <v>1293.3459791437499</v>
      </c>
      <c r="I56" s="32">
        <v>1318.4697381187493</v>
      </c>
      <c r="J56" s="32">
        <v>1336.3661514656242</v>
      </c>
      <c r="K56" s="32">
        <v>1433.9645741531251</v>
      </c>
      <c r="L56" s="32">
        <v>1539.2778884437494</v>
      </c>
      <c r="M56" s="32">
        <v>1631.8761836343751</v>
      </c>
      <c r="N56" s="32">
        <v>1701.6008573812494</v>
      </c>
      <c r="O56" s="32">
        <v>1760.8728623062498</v>
      </c>
      <c r="P56" s="32">
        <v>1755.2841299437491</v>
      </c>
      <c r="Q56" s="32">
        <v>1753.3167497999996</v>
      </c>
      <c r="R56" s="32">
        <v>1790.2489431093743</v>
      </c>
      <c r="S56" s="32">
        <v>1799.4926604375</v>
      </c>
      <c r="T56" s="32">
        <v>1777.8508663781251</v>
      </c>
      <c r="U56" s="32">
        <v>1747.9384789781252</v>
      </c>
      <c r="V56" s="32">
        <v>1820.2065902999998</v>
      </c>
      <c r="W56" s="32">
        <v>1807.4346442031247</v>
      </c>
      <c r="X56" s="32">
        <v>1744.5149705812496</v>
      </c>
      <c r="Y56" s="32">
        <v>1661.3680161093753</v>
      </c>
      <c r="Z56" s="32">
        <v>1555.60184955</v>
      </c>
      <c r="AA56" s="32">
        <v>1472.00580135</v>
      </c>
      <c r="AB56" s="23">
        <f t="shared" ref="AB56:AB57" si="13">SUM(D56:AA56)*B56</f>
        <v>152239.89359407497</v>
      </c>
      <c r="AC56" s="33"/>
    </row>
    <row r="57" spans="1:29" x14ac:dyDescent="0.25">
      <c r="A57" s="21" t="s">
        <v>40</v>
      </c>
      <c r="B57" s="26">
        <v>6</v>
      </c>
      <c r="C57" s="52"/>
      <c r="D57" s="32">
        <v>1401.3967950937499</v>
      </c>
      <c r="E57" s="32">
        <v>1359.0362684062502</v>
      </c>
      <c r="F57" s="32">
        <v>1323.1321313437493</v>
      </c>
      <c r="G57" s="32">
        <v>1301.9705837249999</v>
      </c>
      <c r="H57" s="32">
        <v>1290.7853430937498</v>
      </c>
      <c r="I57" s="32">
        <v>1305.6330668062496</v>
      </c>
      <c r="J57" s="32">
        <v>1326.1071261374993</v>
      </c>
      <c r="K57" s="32">
        <v>1418.1425003812496</v>
      </c>
      <c r="L57" s="32">
        <v>1528.1401511250001</v>
      </c>
      <c r="M57" s="32">
        <v>1621.3780419374993</v>
      </c>
      <c r="N57" s="32">
        <v>1696.7206071374992</v>
      </c>
      <c r="O57" s="32">
        <v>1758.6514052624998</v>
      </c>
      <c r="P57" s="32">
        <v>1755.2357787562494</v>
      </c>
      <c r="Q57" s="32">
        <v>1761.7141885874998</v>
      </c>
      <c r="R57" s="32">
        <v>1796.4669716437488</v>
      </c>
      <c r="S57" s="32">
        <v>1797.2215402312493</v>
      </c>
      <c r="T57" s="32">
        <v>1760.7555186374998</v>
      </c>
      <c r="U57" s="32">
        <v>1744.8156315187498</v>
      </c>
      <c r="V57" s="32">
        <v>1824.030564562499</v>
      </c>
      <c r="W57" s="32">
        <v>1816.7576289187496</v>
      </c>
      <c r="X57" s="32">
        <v>1756.3650813187496</v>
      </c>
      <c r="Y57" s="32">
        <v>1672.4020728187497</v>
      </c>
      <c r="Z57" s="32">
        <v>1563.3530960249998</v>
      </c>
      <c r="AA57" s="32">
        <v>1470.2102073750007</v>
      </c>
      <c r="AB57" s="23">
        <f t="shared" si="13"/>
        <v>228302.53380506241</v>
      </c>
      <c r="AC57" s="5">
        <f>+AB55+AB56+AB57</f>
        <v>1142109.8498564998</v>
      </c>
    </row>
    <row r="58" spans="1:29" x14ac:dyDescent="0.25">
      <c r="A58" s="38"/>
      <c r="B58" s="24"/>
      <c r="C58" s="25"/>
      <c r="AB58" s="37"/>
      <c r="AC58" s="37"/>
    </row>
    <row r="59" spans="1:29" x14ac:dyDescent="0.25">
      <c r="A59" s="21" t="s">
        <v>38</v>
      </c>
      <c r="B59" s="26">
        <v>21</v>
      </c>
      <c r="C59" s="51">
        <v>46296</v>
      </c>
      <c r="D59" s="32">
        <v>1405.0026822</v>
      </c>
      <c r="E59" s="32">
        <v>1361.4833347874996</v>
      </c>
      <c r="F59" s="32">
        <v>1327.8460004625001</v>
      </c>
      <c r="G59" s="32">
        <v>1307.7195332249992</v>
      </c>
      <c r="H59" s="32">
        <v>1301.7545126625</v>
      </c>
      <c r="I59" s="32">
        <v>1317.5465020124993</v>
      </c>
      <c r="J59" s="32">
        <v>1332.4381839</v>
      </c>
      <c r="K59" s="32">
        <v>1427.0484113999998</v>
      </c>
      <c r="L59" s="32">
        <v>1534.1803769249998</v>
      </c>
      <c r="M59" s="32">
        <v>1626.5182203750001</v>
      </c>
      <c r="N59" s="32">
        <v>1700.8620066749991</v>
      </c>
      <c r="O59" s="32">
        <v>1763.8396658624997</v>
      </c>
      <c r="P59" s="32">
        <v>1763.2136389500001</v>
      </c>
      <c r="Q59" s="32">
        <v>1774.706625374999</v>
      </c>
      <c r="R59" s="32">
        <v>1816.2116117624992</v>
      </c>
      <c r="S59" s="32">
        <v>1819.5348297749997</v>
      </c>
      <c r="T59" s="32">
        <v>1785.1912219499993</v>
      </c>
      <c r="U59" s="32">
        <v>1761.7077778874993</v>
      </c>
      <c r="V59" s="32">
        <v>1836.1973744624995</v>
      </c>
      <c r="W59" s="32">
        <v>1827.9589160624998</v>
      </c>
      <c r="X59" s="32">
        <v>1766.7537287249993</v>
      </c>
      <c r="Y59" s="32">
        <v>1681.3479416999994</v>
      </c>
      <c r="Z59" s="32">
        <v>1573.0941049499997</v>
      </c>
      <c r="AA59" s="32">
        <v>1477.039609725</v>
      </c>
      <c r="AB59" s="23">
        <f>SUM(D59:AA59)*B59</f>
        <v>804073.13304806221</v>
      </c>
      <c r="AC59" s="33"/>
    </row>
    <row r="60" spans="1:29" x14ac:dyDescent="0.25">
      <c r="A60" s="21" t="s">
        <v>39</v>
      </c>
      <c r="B60" s="26">
        <v>5</v>
      </c>
      <c r="C60" s="52"/>
      <c r="D60" s="32">
        <v>1402.9495554374994</v>
      </c>
      <c r="E60" s="32">
        <v>1371.1633357274998</v>
      </c>
      <c r="F60" s="32">
        <v>1340.6619117150001</v>
      </c>
      <c r="G60" s="32">
        <v>1319.3985829499998</v>
      </c>
      <c r="H60" s="32">
        <v>1301.1571422675001</v>
      </c>
      <c r="I60" s="32">
        <v>1306.6153866674999</v>
      </c>
      <c r="J60" s="32">
        <v>1318.1064937424992</v>
      </c>
      <c r="K60" s="32">
        <v>1418.2142346225</v>
      </c>
      <c r="L60" s="32">
        <v>1537.9225232175002</v>
      </c>
      <c r="M60" s="32">
        <v>1628.9063508374998</v>
      </c>
      <c r="N60" s="32">
        <v>1699.3147824449993</v>
      </c>
      <c r="O60" s="32">
        <v>1757.0704521824991</v>
      </c>
      <c r="P60" s="32">
        <v>1755.9506011949993</v>
      </c>
      <c r="Q60" s="32">
        <v>1764.0359898524994</v>
      </c>
      <c r="R60" s="32">
        <v>1809.4716119024997</v>
      </c>
      <c r="S60" s="32">
        <v>1822.2733525499989</v>
      </c>
      <c r="T60" s="32">
        <v>1787.0508855674998</v>
      </c>
      <c r="U60" s="32">
        <v>1762.599165704999</v>
      </c>
      <c r="V60" s="32">
        <v>1835.2621781549997</v>
      </c>
      <c r="W60" s="32">
        <v>1836.8187990074998</v>
      </c>
      <c r="X60" s="32">
        <v>1776.3393486824993</v>
      </c>
      <c r="Y60" s="32">
        <v>1690.6071856274993</v>
      </c>
      <c r="Z60" s="32">
        <v>1581.2624847599991</v>
      </c>
      <c r="AA60" s="32">
        <v>1475.3715768224997</v>
      </c>
      <c r="AB60" s="23">
        <f t="shared" ref="AB60:AB61" si="14">SUM(D60:AA60)*B60</f>
        <v>191492.61965819995</v>
      </c>
      <c r="AC60" s="33"/>
    </row>
    <row r="61" spans="1:29" x14ac:dyDescent="0.25">
      <c r="A61" s="21" t="s">
        <v>40</v>
      </c>
      <c r="B61" s="26">
        <v>5</v>
      </c>
      <c r="C61" s="52"/>
      <c r="D61" s="32">
        <v>1400.8939369425</v>
      </c>
      <c r="E61" s="32">
        <v>1365.3407344499994</v>
      </c>
      <c r="F61" s="32">
        <v>1348.6210053750001</v>
      </c>
      <c r="G61" s="32">
        <v>1331.4440101724997</v>
      </c>
      <c r="H61" s="32">
        <v>1319.9621270849991</v>
      </c>
      <c r="I61" s="32">
        <v>1322.0260886700003</v>
      </c>
      <c r="J61" s="32">
        <v>1329.9492154724996</v>
      </c>
      <c r="K61" s="32">
        <v>1420.788278699999</v>
      </c>
      <c r="L61" s="32">
        <v>1532.3750564850002</v>
      </c>
      <c r="M61" s="32">
        <v>1633.1326748099996</v>
      </c>
      <c r="N61" s="32">
        <v>1705.065645465</v>
      </c>
      <c r="O61" s="32">
        <v>1763.8539011099997</v>
      </c>
      <c r="P61" s="32">
        <v>1753.9189329375004</v>
      </c>
      <c r="Q61" s="32">
        <v>1760.2512338249994</v>
      </c>
      <c r="R61" s="32">
        <v>1798.7576732999994</v>
      </c>
      <c r="S61" s="32">
        <v>1804.5735674399996</v>
      </c>
      <c r="T61" s="32">
        <v>1769.5031289074996</v>
      </c>
      <c r="U61" s="32">
        <v>1737.377594977499</v>
      </c>
      <c r="V61" s="32">
        <v>1812.3868203524999</v>
      </c>
      <c r="W61" s="32">
        <v>1815.5494458674998</v>
      </c>
      <c r="X61" s="32">
        <v>1772.8956927674994</v>
      </c>
      <c r="Y61" s="32">
        <v>1693.6781362199995</v>
      </c>
      <c r="Z61" s="32">
        <v>1587.3636799124993</v>
      </c>
      <c r="AA61" s="32">
        <v>1485.0219374549993</v>
      </c>
      <c r="AB61" s="23">
        <f t="shared" si="14"/>
        <v>191323.65259349992</v>
      </c>
      <c r="AC61" s="5">
        <f>+AB59+AB60+AB61</f>
        <v>1186889.405299762</v>
      </c>
    </row>
    <row r="62" spans="1:29" x14ac:dyDescent="0.25">
      <c r="A62" s="38"/>
      <c r="B62" s="24"/>
      <c r="C62" s="25"/>
      <c r="AB62" s="37"/>
      <c r="AC62" s="37"/>
    </row>
    <row r="63" spans="1:29" x14ac:dyDescent="0.25">
      <c r="A63" s="21" t="s">
        <v>38</v>
      </c>
      <c r="B63" s="26">
        <v>19</v>
      </c>
      <c r="C63" s="51">
        <v>46327</v>
      </c>
      <c r="D63" s="32">
        <v>1421.2298083144735</v>
      </c>
      <c r="E63" s="32">
        <v>1384.7449849164468</v>
      </c>
      <c r="F63" s="32">
        <v>1357.9071904953944</v>
      </c>
      <c r="G63" s="32">
        <v>1334.9551771361844</v>
      </c>
      <c r="H63" s="32">
        <v>1322.6425418960525</v>
      </c>
      <c r="I63" s="32">
        <v>1329.5766877105268</v>
      </c>
      <c r="J63" s="32">
        <v>1341.0374735072364</v>
      </c>
      <c r="K63" s="32">
        <v>1436.6418506171053</v>
      </c>
      <c r="L63" s="32">
        <v>1547.7746757513155</v>
      </c>
      <c r="M63" s="32">
        <v>1641.0846629486834</v>
      </c>
      <c r="N63" s="32">
        <v>1711.8205948006582</v>
      </c>
      <c r="O63" s="32">
        <v>1766.074194592104</v>
      </c>
      <c r="P63" s="32">
        <v>1755.8604579434204</v>
      </c>
      <c r="Q63" s="32">
        <v>1762.5528276217101</v>
      </c>
      <c r="R63" s="32">
        <v>1805.2356795098676</v>
      </c>
      <c r="S63" s="32">
        <v>1814.5373596046043</v>
      </c>
      <c r="T63" s="32">
        <v>1783.2774949638147</v>
      </c>
      <c r="U63" s="32">
        <v>1760.8540363105258</v>
      </c>
      <c r="V63" s="32">
        <v>1836.3713553592102</v>
      </c>
      <c r="W63" s="32">
        <v>1835.0175528769728</v>
      </c>
      <c r="X63" s="32">
        <v>1780.1383397092104</v>
      </c>
      <c r="Y63" s="32">
        <v>1696.8551778177625</v>
      </c>
      <c r="Z63" s="32">
        <v>1589.1688081361845</v>
      </c>
      <c r="AA63" s="32">
        <v>1491.7991813467106</v>
      </c>
      <c r="AB63" s="23">
        <f>SUM(D63:AA63)*B63</f>
        <v>731636.00416383741</v>
      </c>
      <c r="AC63" s="33"/>
    </row>
    <row r="64" spans="1:29" x14ac:dyDescent="0.25">
      <c r="A64" s="21" t="s">
        <v>39</v>
      </c>
      <c r="B64" s="26">
        <v>4</v>
      </c>
      <c r="C64" s="52"/>
      <c r="D64" s="32">
        <v>1423.3028227031252</v>
      </c>
      <c r="E64" s="32">
        <v>1375.3232376187493</v>
      </c>
      <c r="F64" s="32">
        <v>1343.8447771218753</v>
      </c>
      <c r="G64" s="32">
        <v>1329.3719022937494</v>
      </c>
      <c r="H64" s="32">
        <v>1334.4470734218748</v>
      </c>
      <c r="I64" s="32">
        <v>1341.5316982593752</v>
      </c>
      <c r="J64" s="32">
        <v>1353.2813279999996</v>
      </c>
      <c r="K64" s="32">
        <v>1439.0666742375001</v>
      </c>
      <c r="L64" s="32">
        <v>1543.4599526718748</v>
      </c>
      <c r="M64" s="32">
        <v>1635.2814147468744</v>
      </c>
      <c r="N64" s="32">
        <v>1707.3256535999999</v>
      </c>
      <c r="O64" s="32">
        <v>1777.5830226656249</v>
      </c>
      <c r="P64" s="32">
        <v>1772.5472174812496</v>
      </c>
      <c r="Q64" s="32">
        <v>1778.2850631656247</v>
      </c>
      <c r="R64" s="32">
        <v>1806.76660460625</v>
      </c>
      <c r="S64" s="32">
        <v>1804.6020131999992</v>
      </c>
      <c r="T64" s="32">
        <v>1767.7760697843751</v>
      </c>
      <c r="U64" s="32">
        <v>1751.3192946374998</v>
      </c>
      <c r="V64" s="32">
        <v>1839.3712584187497</v>
      </c>
      <c r="W64" s="32">
        <v>1834.9393667062491</v>
      </c>
      <c r="X64" s="32">
        <v>1777.7993880937497</v>
      </c>
      <c r="Y64" s="32">
        <v>1694.4292004062493</v>
      </c>
      <c r="Z64" s="32">
        <v>1590.118141303125</v>
      </c>
      <c r="AA64" s="32">
        <v>1491.4947548812495</v>
      </c>
      <c r="AB64" s="23">
        <f t="shared" ref="AB64:AB65" si="15">SUM(D64:AA64)*B64</f>
        <v>154053.07172009998</v>
      </c>
      <c r="AC64" s="33"/>
    </row>
    <row r="65" spans="1:29" x14ac:dyDescent="0.25">
      <c r="A65" s="21" t="s">
        <v>40</v>
      </c>
      <c r="B65" s="26">
        <v>7</v>
      </c>
      <c r="C65" s="52"/>
      <c r="D65" s="32">
        <v>1421.2885619250001</v>
      </c>
      <c r="E65" s="32">
        <v>1377.7392749624992</v>
      </c>
      <c r="F65" s="32">
        <v>1342.5991988624996</v>
      </c>
      <c r="G65" s="32">
        <v>1320.6533187374998</v>
      </c>
      <c r="H65" s="32">
        <v>1311.6111086249994</v>
      </c>
      <c r="I65" s="32">
        <v>1332.7176919499996</v>
      </c>
      <c r="J65" s="32">
        <v>1350.7627127625001</v>
      </c>
      <c r="K65" s="32">
        <v>1444.9146344999999</v>
      </c>
      <c r="L65" s="32">
        <v>1547.2260596249996</v>
      </c>
      <c r="M65" s="32">
        <v>1631.363343412499</v>
      </c>
      <c r="N65" s="32">
        <v>1697.1155179875</v>
      </c>
      <c r="O65" s="32">
        <v>1757.4288868124991</v>
      </c>
      <c r="P65" s="32">
        <v>1759.2435260999998</v>
      </c>
      <c r="Q65" s="32">
        <v>1768.9010926499996</v>
      </c>
      <c r="R65" s="32">
        <v>1808.71011675</v>
      </c>
      <c r="S65" s="32">
        <v>1813.0895141624999</v>
      </c>
      <c r="T65" s="32">
        <v>1783.8947866499993</v>
      </c>
      <c r="U65" s="32">
        <v>1763.7644523374997</v>
      </c>
      <c r="V65" s="32">
        <v>1843.0713520874992</v>
      </c>
      <c r="W65" s="32">
        <v>1845.0255120749996</v>
      </c>
      <c r="X65" s="32">
        <v>1784.1317817375002</v>
      </c>
      <c r="Y65" s="32">
        <v>1697.180474137499</v>
      </c>
      <c r="Z65" s="32">
        <v>1586.9553190875004</v>
      </c>
      <c r="AA65" s="32">
        <v>1494.6284559374994</v>
      </c>
      <c r="AB65" s="23">
        <f t="shared" si="15"/>
        <v>269388.11685712496</v>
      </c>
      <c r="AC65" s="5">
        <f>+AB63+AB64+AB65</f>
        <v>1155077.1927410625</v>
      </c>
    </row>
    <row r="66" spans="1:29" x14ac:dyDescent="0.25">
      <c r="A66" s="38"/>
      <c r="B66" s="24"/>
      <c r="C66" s="25"/>
      <c r="AB66" s="37"/>
      <c r="AC66" s="37"/>
    </row>
    <row r="67" spans="1:29" x14ac:dyDescent="0.25">
      <c r="A67" s="21" t="s">
        <v>38</v>
      </c>
      <c r="B67" s="26">
        <v>21</v>
      </c>
      <c r="C67" s="51">
        <v>46357</v>
      </c>
      <c r="D67" s="32">
        <v>3011.1074953125026</v>
      </c>
      <c r="E67" s="32">
        <v>2878.0562983125046</v>
      </c>
      <c r="F67" s="32">
        <v>2751.1101073125019</v>
      </c>
      <c r="G67" s="32">
        <v>2646.8696773125012</v>
      </c>
      <c r="H67" s="32">
        <v>2557.5851280000015</v>
      </c>
      <c r="I67" s="32">
        <v>2543.9611728750024</v>
      </c>
      <c r="J67" s="32">
        <v>2398.3331176875035</v>
      </c>
      <c r="K67" s="32">
        <v>2677.777688625004</v>
      </c>
      <c r="L67" s="32">
        <v>3096.6114018750059</v>
      </c>
      <c r="M67" s="32">
        <v>3472.5313436250067</v>
      </c>
      <c r="N67" s="32">
        <v>3758.1502136250092</v>
      </c>
      <c r="O67" s="32">
        <v>3995.445085500005</v>
      </c>
      <c r="P67" s="32">
        <v>3939.4293598125023</v>
      </c>
      <c r="Q67" s="32">
        <v>4009.7427761250024</v>
      </c>
      <c r="R67" s="32">
        <v>4223.4283646250005</v>
      </c>
      <c r="S67" s="32">
        <v>4271.3678418750005</v>
      </c>
      <c r="T67" s="32">
        <v>4134.4233208125052</v>
      </c>
      <c r="U67" s="32">
        <v>4027.1123752499998</v>
      </c>
      <c r="V67" s="32">
        <v>4292.5960149375032</v>
      </c>
      <c r="W67" s="32">
        <v>4233.8083882500032</v>
      </c>
      <c r="X67" s="32">
        <v>4046.7343288125021</v>
      </c>
      <c r="Y67" s="32">
        <v>3794.0078705625074</v>
      </c>
      <c r="Z67" s="32">
        <v>3456.204092062505</v>
      </c>
      <c r="AA67" s="32">
        <v>3192.6658505625046</v>
      </c>
      <c r="AB67" s="23">
        <f>SUM(D67:AA67)*B67</f>
        <v>1751590.2455887515</v>
      </c>
      <c r="AC67" s="33"/>
    </row>
    <row r="68" spans="1:29" x14ac:dyDescent="0.25">
      <c r="A68" s="21" t="s">
        <v>39</v>
      </c>
      <c r="B68" s="26">
        <v>4</v>
      </c>
      <c r="C68" s="52"/>
      <c r="D68" s="32">
        <v>3010.2553108125012</v>
      </c>
      <c r="E68" s="32">
        <v>2866.7239325625023</v>
      </c>
      <c r="F68" s="32">
        <v>2762.4435321093774</v>
      </c>
      <c r="G68" s="32">
        <v>2675.3373784687506</v>
      </c>
      <c r="H68" s="32">
        <v>2584.2111681562519</v>
      </c>
      <c r="I68" s="32">
        <v>2610.7383153281271</v>
      </c>
      <c r="J68" s="32">
        <v>2558.3264369062513</v>
      </c>
      <c r="K68" s="32">
        <v>2945.7962386875006</v>
      </c>
      <c r="L68" s="32">
        <v>3340.2050167968782</v>
      </c>
      <c r="M68" s="32">
        <v>3667.2287165156258</v>
      </c>
      <c r="N68" s="32">
        <v>3897.8031773437515</v>
      </c>
      <c r="O68" s="32">
        <v>4083.383471484377</v>
      </c>
      <c r="P68" s="32">
        <v>4008.9334674843772</v>
      </c>
      <c r="Q68" s="32">
        <v>4118.5096274531261</v>
      </c>
      <c r="R68" s="32">
        <v>4448.1003221250012</v>
      </c>
      <c r="S68" s="32">
        <v>4506.7396559531253</v>
      </c>
      <c r="T68" s="32">
        <v>4360.267018453128</v>
      </c>
      <c r="U68" s="32">
        <v>4190.7573717656269</v>
      </c>
      <c r="V68" s="32">
        <v>4429.2566883281243</v>
      </c>
      <c r="W68" s="32">
        <v>4374.082257046879</v>
      </c>
      <c r="X68" s="32">
        <v>4193.8942470937527</v>
      </c>
      <c r="Y68" s="32">
        <v>3971.6699469375008</v>
      </c>
      <c r="Z68" s="32">
        <v>3607.7145350625024</v>
      </c>
      <c r="AA68" s="32">
        <v>3284.8321413281283</v>
      </c>
      <c r="AB68" s="23">
        <f t="shared" ref="AB68:AB69" si="16">SUM(D68:AA68)*B68</f>
        <v>345988.83989681263</v>
      </c>
      <c r="AC68" s="33"/>
    </row>
    <row r="69" spans="1:29" x14ac:dyDescent="0.25">
      <c r="A69" s="21" t="s">
        <v>40</v>
      </c>
      <c r="B69" s="26">
        <v>6</v>
      </c>
      <c r="C69" s="52"/>
      <c r="D69" s="32">
        <v>3193.4396082187518</v>
      </c>
      <c r="E69" s="32">
        <v>3074.7611531250013</v>
      </c>
      <c r="F69" s="32">
        <v>2994.510383625</v>
      </c>
      <c r="G69" s="32">
        <v>2936.7472258125008</v>
      </c>
      <c r="H69" s="32">
        <v>2902.6712411250005</v>
      </c>
      <c r="I69" s="32">
        <v>2933.2739616562499</v>
      </c>
      <c r="J69" s="32">
        <v>2932.6777413750024</v>
      </c>
      <c r="K69" s="32">
        <v>3311.9677280625019</v>
      </c>
      <c r="L69" s="32">
        <v>3777.5161854375015</v>
      </c>
      <c r="M69" s="32">
        <v>4118.9995485937507</v>
      </c>
      <c r="N69" s="32">
        <v>4411.3725637500029</v>
      </c>
      <c r="O69" s="32">
        <v>4604.2045407187506</v>
      </c>
      <c r="P69" s="32">
        <v>4494.5176995937518</v>
      </c>
      <c r="Q69" s="32">
        <v>4529.8721347500004</v>
      </c>
      <c r="R69" s="32">
        <v>4769.6287941562523</v>
      </c>
      <c r="S69" s="32">
        <v>4868.0493511875011</v>
      </c>
      <c r="T69" s="32">
        <v>4713.1249426875038</v>
      </c>
      <c r="U69" s="32">
        <v>4569.4040691562514</v>
      </c>
      <c r="V69" s="32">
        <v>4813.4868210937511</v>
      </c>
      <c r="W69" s="32">
        <v>4756.6963018125007</v>
      </c>
      <c r="X69" s="32">
        <v>4530.3840727500019</v>
      </c>
      <c r="Y69" s="32">
        <v>4248.5881053750009</v>
      </c>
      <c r="Z69" s="32">
        <v>3886.9251833437511</v>
      </c>
      <c r="AA69" s="32">
        <v>3506.767697812501</v>
      </c>
      <c r="AB69" s="23">
        <f t="shared" si="16"/>
        <v>569277.52233131276</v>
      </c>
      <c r="AC69" s="5">
        <f>+AB67+AB68+AB69</f>
        <v>2666856.6078168768</v>
      </c>
    </row>
    <row r="70" spans="1:29" x14ac:dyDescent="0.25">
      <c r="A70" s="29">
        <v>2027</v>
      </c>
      <c r="B70" s="29"/>
      <c r="C70" s="29"/>
      <c r="AB70" s="31"/>
      <c r="AC70" s="31"/>
    </row>
    <row r="71" spans="1:29" x14ac:dyDescent="0.25">
      <c r="A71" s="21" t="s">
        <v>38</v>
      </c>
      <c r="B71" s="22">
        <v>19</v>
      </c>
      <c r="C71" s="51">
        <v>46388</v>
      </c>
      <c r="D71" s="32">
        <v>3546.1808237763166</v>
      </c>
      <c r="E71" s="32">
        <v>3422.8615563256562</v>
      </c>
      <c r="F71" s="32">
        <v>3325.6671636907895</v>
      </c>
      <c r="G71" s="32">
        <v>3250.2350976513144</v>
      </c>
      <c r="H71" s="32">
        <v>3185.3965086907883</v>
      </c>
      <c r="I71" s="32">
        <v>3183.7224628815793</v>
      </c>
      <c r="J71" s="32">
        <v>3025.9807234539485</v>
      </c>
      <c r="K71" s="32">
        <v>3317.2417499605253</v>
      </c>
      <c r="L71" s="32">
        <v>3746.5319435526339</v>
      </c>
      <c r="M71" s="32">
        <v>4116.8510193355223</v>
      </c>
      <c r="N71" s="32">
        <v>4398.4462990263164</v>
      </c>
      <c r="O71" s="32">
        <v>4617.3519195493436</v>
      </c>
      <c r="P71" s="32">
        <v>4548.9166929868406</v>
      </c>
      <c r="Q71" s="32">
        <v>4630.2061813322371</v>
      </c>
      <c r="R71" s="32">
        <v>4870.841875144738</v>
      </c>
      <c r="S71" s="32">
        <v>4930.0469136809224</v>
      </c>
      <c r="T71" s="32">
        <v>4798.5521090131551</v>
      </c>
      <c r="U71" s="32">
        <v>4657.7422066874979</v>
      </c>
      <c r="V71" s="32">
        <v>4888.2809928059187</v>
      </c>
      <c r="W71" s="32">
        <v>4820.7269526315749</v>
      </c>
      <c r="X71" s="32">
        <v>4646.0597163749962</v>
      </c>
      <c r="Y71" s="32">
        <v>4418.2295808552653</v>
      </c>
      <c r="Z71" s="32">
        <v>4086.5105440756588</v>
      </c>
      <c r="AA71" s="32">
        <v>3797.1520422039484</v>
      </c>
      <c r="AB71" s="23">
        <f>SUM(D71:AA71)*B71</f>
        <v>1866364.9284380621</v>
      </c>
      <c r="AC71" s="33"/>
    </row>
    <row r="72" spans="1:29" x14ac:dyDescent="0.25">
      <c r="A72" s="21" t="s">
        <v>39</v>
      </c>
      <c r="B72" s="22">
        <v>5</v>
      </c>
      <c r="C72" s="52"/>
      <c r="D72" s="32">
        <v>3817.4126605124989</v>
      </c>
      <c r="E72" s="32">
        <v>3681.5975663250001</v>
      </c>
      <c r="F72" s="32">
        <v>3543.9381833624989</v>
      </c>
      <c r="G72" s="32">
        <v>3469.0454693999982</v>
      </c>
      <c r="H72" s="32">
        <v>3412.9720773749996</v>
      </c>
      <c r="I72" s="32">
        <v>3488.8890600375007</v>
      </c>
      <c r="J72" s="32">
        <v>3512.6883177750001</v>
      </c>
      <c r="K72" s="32">
        <v>3853.9836512625006</v>
      </c>
      <c r="L72" s="32">
        <v>4288.6711977374998</v>
      </c>
      <c r="M72" s="32">
        <v>4673.4008692874995</v>
      </c>
      <c r="N72" s="32">
        <v>4996.9677568125007</v>
      </c>
      <c r="O72" s="32">
        <v>5208.2970082499996</v>
      </c>
      <c r="P72" s="32">
        <v>5154.4517960249977</v>
      </c>
      <c r="Q72" s="32">
        <v>5206.400427900001</v>
      </c>
      <c r="R72" s="32">
        <v>5422.6281120374997</v>
      </c>
      <c r="S72" s="32">
        <v>5467.9163377124996</v>
      </c>
      <c r="T72" s="32">
        <v>5317.8117517874998</v>
      </c>
      <c r="U72" s="32">
        <v>5226.8904116624999</v>
      </c>
      <c r="V72" s="32">
        <v>5509.097778187499</v>
      </c>
      <c r="W72" s="32">
        <v>5458.4221859999998</v>
      </c>
      <c r="X72" s="32">
        <v>5177.3361877124989</v>
      </c>
      <c r="Y72" s="32">
        <v>4824.3865579875001</v>
      </c>
      <c r="Z72" s="32">
        <v>4390.0462430999996</v>
      </c>
      <c r="AA72" s="32">
        <v>4043.5896802875004</v>
      </c>
      <c r="AB72" s="23">
        <f t="shared" ref="AB72:AB73" si="17">SUM(D72:AA72)*B72</f>
        <v>545734.20644268743</v>
      </c>
      <c r="AC72" s="33"/>
    </row>
    <row r="73" spans="1:29" x14ac:dyDescent="0.25">
      <c r="A73" s="21" t="s">
        <v>40</v>
      </c>
      <c r="B73" s="22">
        <v>7</v>
      </c>
      <c r="C73" s="52"/>
      <c r="D73" s="32">
        <v>3937.1917348124975</v>
      </c>
      <c r="E73" s="32">
        <v>3796.1723201249997</v>
      </c>
      <c r="F73" s="32">
        <v>3701.9357504999994</v>
      </c>
      <c r="G73" s="32">
        <v>3630.8041284374995</v>
      </c>
      <c r="H73" s="32">
        <v>3598.1563381874994</v>
      </c>
      <c r="I73" s="32">
        <v>3658.4302196250001</v>
      </c>
      <c r="J73" s="32">
        <v>3703.0728433125005</v>
      </c>
      <c r="K73" s="32">
        <v>4138.9265283749992</v>
      </c>
      <c r="L73" s="32">
        <v>4599.2338655625008</v>
      </c>
      <c r="M73" s="32">
        <v>5009.1058141875001</v>
      </c>
      <c r="N73" s="32">
        <v>5302.8027654375001</v>
      </c>
      <c r="O73" s="32">
        <v>5578.7329168124998</v>
      </c>
      <c r="P73" s="32">
        <v>5533.2828196875007</v>
      </c>
      <c r="Q73" s="32">
        <v>5568.8965181250005</v>
      </c>
      <c r="R73" s="32">
        <v>5790.5116057499999</v>
      </c>
      <c r="S73" s="32">
        <v>5799.9899748749995</v>
      </c>
      <c r="T73" s="32">
        <v>5608.7804433750007</v>
      </c>
      <c r="U73" s="32">
        <v>5471.6706090000007</v>
      </c>
      <c r="V73" s="32">
        <v>5804.430251625</v>
      </c>
      <c r="W73" s="32">
        <v>5740.4826074999992</v>
      </c>
      <c r="X73" s="32">
        <v>5472.3800954999979</v>
      </c>
      <c r="Y73" s="32">
        <v>5086.3864966874999</v>
      </c>
      <c r="Z73" s="32">
        <v>4616.2797294374996</v>
      </c>
      <c r="AA73" s="32">
        <v>4210.6405800000002</v>
      </c>
      <c r="AB73" s="23">
        <f t="shared" si="17"/>
        <v>807508.07869856269</v>
      </c>
      <c r="AC73" s="5">
        <f>+AB71+AB72+AB73</f>
        <v>3219607.213579312</v>
      </c>
    </row>
    <row r="74" spans="1:29" x14ac:dyDescent="0.25">
      <c r="A74" s="39"/>
    </row>
    <row r="75" spans="1:29" x14ac:dyDescent="0.25">
      <c r="A75" s="21" t="s">
        <v>38</v>
      </c>
      <c r="B75" s="22">
        <v>20</v>
      </c>
      <c r="C75" s="51">
        <v>46419</v>
      </c>
      <c r="D75" s="32">
        <v>2959.8184344843717</v>
      </c>
      <c r="E75" s="32">
        <v>2820.1325421374977</v>
      </c>
      <c r="F75" s="32">
        <v>2685.7001558062466</v>
      </c>
      <c r="G75" s="32">
        <v>2579.8747395187479</v>
      </c>
      <c r="H75" s="32">
        <v>2491.0837991249973</v>
      </c>
      <c r="I75" s="32">
        <v>2486.1646660031256</v>
      </c>
      <c r="J75" s="32">
        <v>2352.9879635812499</v>
      </c>
      <c r="K75" s="32">
        <v>2669.2473065437493</v>
      </c>
      <c r="L75" s="32">
        <v>3118.2362060812497</v>
      </c>
      <c r="M75" s="32">
        <v>3503.1084422343706</v>
      </c>
      <c r="N75" s="32">
        <v>3795.2947106906213</v>
      </c>
      <c r="O75" s="32">
        <v>4027.7191969968699</v>
      </c>
      <c r="P75" s="32">
        <v>3964.5727156968783</v>
      </c>
      <c r="Q75" s="32">
        <v>4035.1738244437488</v>
      </c>
      <c r="R75" s="32">
        <v>4264.3715495156266</v>
      </c>
      <c r="S75" s="32">
        <v>4328.9095309124932</v>
      </c>
      <c r="T75" s="32">
        <v>4199.7503982749986</v>
      </c>
      <c r="U75" s="32">
        <v>4089.8220144562465</v>
      </c>
      <c r="V75" s="32">
        <v>4344.0334666406261</v>
      </c>
      <c r="W75" s="32">
        <v>4266.1875716999966</v>
      </c>
      <c r="X75" s="32">
        <v>4058.3494991249963</v>
      </c>
      <c r="Y75" s="32">
        <v>3791.3519357531241</v>
      </c>
      <c r="Z75" s="32">
        <v>3447.5874284999973</v>
      </c>
      <c r="AA75" s="32">
        <v>3165.5013917718743</v>
      </c>
      <c r="AB75" s="23">
        <f>SUM(D75:AA75)*B75</f>
        <v>1668899.589799874</v>
      </c>
      <c r="AC75" s="33"/>
    </row>
    <row r="76" spans="1:29" x14ac:dyDescent="0.25">
      <c r="A76" s="21" t="s">
        <v>39</v>
      </c>
      <c r="B76" s="22">
        <v>4</v>
      </c>
      <c r="C76" s="52"/>
      <c r="D76" s="32">
        <v>2970.1431645468742</v>
      </c>
      <c r="E76" s="32">
        <v>2868.1075832812485</v>
      </c>
      <c r="F76" s="32">
        <v>2824.5413671874985</v>
      </c>
      <c r="G76" s="32">
        <v>2721.5154567656245</v>
      </c>
      <c r="H76" s="32">
        <v>2643.3413036718748</v>
      </c>
      <c r="I76" s="32">
        <v>2634.0944849062498</v>
      </c>
      <c r="J76" s="32">
        <v>2566.1190185624982</v>
      </c>
      <c r="K76" s="32">
        <v>2895.6684072187495</v>
      </c>
      <c r="L76" s="32">
        <v>3334.8361575468743</v>
      </c>
      <c r="M76" s="32">
        <v>3756.6980651249992</v>
      </c>
      <c r="N76" s="32">
        <v>4050.7009135781227</v>
      </c>
      <c r="O76" s="32">
        <v>4292.5947311718737</v>
      </c>
      <c r="P76" s="32">
        <v>4217.0112936093728</v>
      </c>
      <c r="Q76" s="32">
        <v>4296.1641733593715</v>
      </c>
      <c r="R76" s="32">
        <v>4549.3008190312503</v>
      </c>
      <c r="S76" s="32">
        <v>4627.8657588281239</v>
      </c>
      <c r="T76" s="32">
        <v>4491.7733314218731</v>
      </c>
      <c r="U76" s="32">
        <v>4318.9480360781254</v>
      </c>
      <c r="V76" s="32">
        <v>4575.6534601406238</v>
      </c>
      <c r="W76" s="32">
        <v>4553.619782718748</v>
      </c>
      <c r="X76" s="32">
        <v>4404.4231850156248</v>
      </c>
      <c r="Y76" s="32">
        <v>4083.9707476406238</v>
      </c>
      <c r="Z76" s="32">
        <v>3679.6615594687482</v>
      </c>
      <c r="AA76" s="32">
        <v>3288.7696417500001</v>
      </c>
      <c r="AB76" s="23">
        <f t="shared" ref="AB76:AB77" si="18">SUM(D76:AA76)*B76</f>
        <v>354582.08977049973</v>
      </c>
      <c r="AC76" s="33"/>
    </row>
    <row r="77" spans="1:29" x14ac:dyDescent="0.25">
      <c r="A77" s="21" t="s">
        <v>40</v>
      </c>
      <c r="B77" s="22">
        <v>4</v>
      </c>
      <c r="C77" s="52"/>
      <c r="D77" s="32">
        <v>3195.3437402343743</v>
      </c>
      <c r="E77" s="32">
        <v>3051.7969966406263</v>
      </c>
      <c r="F77" s="32">
        <v>2941.3664488125005</v>
      </c>
      <c r="G77" s="32">
        <v>2921.2891983281252</v>
      </c>
      <c r="H77" s="32">
        <v>2885.3107662187494</v>
      </c>
      <c r="I77" s="32">
        <v>2946.9297862031253</v>
      </c>
      <c r="J77" s="32">
        <v>2919.3903097499997</v>
      </c>
      <c r="K77" s="32">
        <v>3283.1215168593744</v>
      </c>
      <c r="L77" s="32">
        <v>3710.5800911249985</v>
      </c>
      <c r="M77" s="32">
        <v>4120.1451560156238</v>
      </c>
      <c r="N77" s="32">
        <v>4475.7655239374981</v>
      </c>
      <c r="O77" s="32">
        <v>4708.103556</v>
      </c>
      <c r="P77" s="32">
        <v>4645.572897468749</v>
      </c>
      <c r="Q77" s="32">
        <v>4692.8612290312485</v>
      </c>
      <c r="R77" s="32">
        <v>4948.6277207812491</v>
      </c>
      <c r="S77" s="32">
        <v>5001.3600401718741</v>
      </c>
      <c r="T77" s="32">
        <v>4854.1610471249987</v>
      </c>
      <c r="U77" s="32">
        <v>4715.9528034374989</v>
      </c>
      <c r="V77" s="32">
        <v>4975.4347113281237</v>
      </c>
      <c r="W77" s="32">
        <v>4907.3871756093749</v>
      </c>
      <c r="X77" s="32">
        <v>4665.3012752812483</v>
      </c>
      <c r="Y77" s="32">
        <v>4400.0908449843719</v>
      </c>
      <c r="Z77" s="32">
        <v>3972.5421728437486</v>
      </c>
      <c r="AA77" s="32">
        <v>3573.982997999999</v>
      </c>
      <c r="AB77" s="23">
        <f t="shared" si="18"/>
        <v>386049.67202474992</v>
      </c>
      <c r="AC77" s="5">
        <f>+AB75+AB76+AB77</f>
        <v>2409531.3515951233</v>
      </c>
    </row>
    <row r="78" spans="1:29" x14ac:dyDescent="0.25">
      <c r="A78" s="39"/>
    </row>
    <row r="79" spans="1:29" x14ac:dyDescent="0.25">
      <c r="A79" s="21" t="s">
        <v>38</v>
      </c>
      <c r="B79" s="22">
        <v>20</v>
      </c>
      <c r="C79" s="51">
        <v>46447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380.94563347500184</v>
      </c>
      <c r="N79" s="32">
        <v>677.42629174687522</v>
      </c>
      <c r="O79" s="32">
        <v>921.8165880281299</v>
      </c>
      <c r="P79" s="32">
        <v>863.86343593125036</v>
      </c>
      <c r="Q79" s="32">
        <v>961.14100821562374</v>
      </c>
      <c r="R79" s="32">
        <v>1215.5779192875004</v>
      </c>
      <c r="S79" s="32">
        <v>1296.9259953843734</v>
      </c>
      <c r="T79" s="32">
        <v>1174.6346335125029</v>
      </c>
      <c r="U79" s="32">
        <v>1052.3557677562483</v>
      </c>
      <c r="V79" s="32">
        <v>1309.4542789406223</v>
      </c>
      <c r="W79" s="32">
        <v>1251.1732111875021</v>
      </c>
      <c r="X79" s="32">
        <v>1068.4580485968781</v>
      </c>
      <c r="Y79" s="32">
        <v>824.13568272187422</v>
      </c>
      <c r="Z79" s="32">
        <v>483.33756321563055</v>
      </c>
      <c r="AA79" s="32">
        <v>161.11243341562846</v>
      </c>
      <c r="AB79" s="23">
        <f>SUM(D79:AA79)*B79</f>
        <v>272847.16982831288</v>
      </c>
      <c r="AC79" s="33"/>
    </row>
    <row r="80" spans="1:29" x14ac:dyDescent="0.25">
      <c r="A80" s="21" t="s">
        <v>39</v>
      </c>
      <c r="B80" s="22">
        <v>4</v>
      </c>
      <c r="C80" s="52"/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264.63343143750092</v>
      </c>
      <c r="M80" s="32">
        <v>587.48763093750154</v>
      </c>
      <c r="N80" s="32">
        <v>851.21476528125038</v>
      </c>
      <c r="O80" s="32">
        <v>1121.4696669375005</v>
      </c>
      <c r="P80" s="32">
        <v>1133.0086655624991</v>
      </c>
      <c r="Q80" s="32">
        <v>1203.2853315937496</v>
      </c>
      <c r="R80" s="32">
        <v>1464.6316440937505</v>
      </c>
      <c r="S80" s="32">
        <v>1536.1542903281238</v>
      </c>
      <c r="T80" s="32">
        <v>1413.3111537187517</v>
      </c>
      <c r="U80" s="32">
        <v>1272.2609055468747</v>
      </c>
      <c r="V80" s="32">
        <v>1547.6022483750016</v>
      </c>
      <c r="W80" s="32">
        <v>1502.124916453125</v>
      </c>
      <c r="X80" s="32">
        <v>1266.2166445312509</v>
      </c>
      <c r="Y80" s="32">
        <v>967.65944667187546</v>
      </c>
      <c r="Z80" s="32">
        <v>574.01644790625096</v>
      </c>
      <c r="AA80" s="32">
        <v>287.25350925000021</v>
      </c>
      <c r="AB80" s="23">
        <f t="shared" ref="AB80:AB81" si="19">SUM(D80:AA80)*B80</f>
        <v>67969.32279450004</v>
      </c>
      <c r="AC80" s="33"/>
    </row>
    <row r="81" spans="1:29" x14ac:dyDescent="0.25">
      <c r="A81" s="21" t="s">
        <v>40</v>
      </c>
      <c r="B81" s="22">
        <v>7</v>
      </c>
      <c r="C81" s="52"/>
      <c r="D81" s="32">
        <v>119.93466318750187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250.2480654375004</v>
      </c>
      <c r="L81" s="32">
        <v>707.60050406250195</v>
      </c>
      <c r="M81" s="32">
        <v>1089.6134700000009</v>
      </c>
      <c r="N81" s="32">
        <v>1406.8277898749996</v>
      </c>
      <c r="O81" s="32">
        <v>1661.3639034375019</v>
      </c>
      <c r="P81" s="32">
        <v>1621.3670801250005</v>
      </c>
      <c r="Q81" s="32">
        <v>1706.021349000001</v>
      </c>
      <c r="R81" s="32">
        <v>1953.2445311250017</v>
      </c>
      <c r="S81" s="32">
        <v>1992.2701614375014</v>
      </c>
      <c r="T81" s="32">
        <v>1821.7135835625024</v>
      </c>
      <c r="U81" s="32">
        <v>1697.8647628124995</v>
      </c>
      <c r="V81" s="32">
        <v>1977.7474779375016</v>
      </c>
      <c r="W81" s="32">
        <v>1881.6191684999999</v>
      </c>
      <c r="X81" s="32">
        <v>1624.4361963750011</v>
      </c>
      <c r="Y81" s="32">
        <v>1247.6699638125006</v>
      </c>
      <c r="Z81" s="32">
        <v>802.43078381250189</v>
      </c>
      <c r="AA81" s="32">
        <v>431.53951856250029</v>
      </c>
      <c r="AB81" s="23">
        <f t="shared" si="19"/>
        <v>167954.59081143767</v>
      </c>
      <c r="AC81" s="5">
        <f>+AB79+AB80+AB81</f>
        <v>508771.08343425056</v>
      </c>
    </row>
    <row r="82" spans="1:29" x14ac:dyDescent="0.25">
      <c r="A82" s="39"/>
    </row>
    <row r="83" spans="1:29" x14ac:dyDescent="0.25">
      <c r="A83" s="21" t="s">
        <v>38</v>
      </c>
      <c r="B83" s="22">
        <v>22</v>
      </c>
      <c r="C83" s="51">
        <v>46478</v>
      </c>
      <c r="D83" s="32">
        <v>1470.8801882607952</v>
      </c>
      <c r="E83" s="32">
        <v>1428.2363333914766</v>
      </c>
      <c r="F83" s="32">
        <v>1397.3819741079542</v>
      </c>
      <c r="G83" s="32">
        <v>1378.2741085431819</v>
      </c>
      <c r="H83" s="32">
        <v>1370.1794175204541</v>
      </c>
      <c r="I83" s="32">
        <v>1382.5016187698866</v>
      </c>
      <c r="J83" s="32">
        <v>1396.2270685602273</v>
      </c>
      <c r="K83" s="32">
        <v>1487.6477989465902</v>
      </c>
      <c r="L83" s="32">
        <v>1593.0513410318167</v>
      </c>
      <c r="M83" s="32">
        <v>1681.975061693181</v>
      </c>
      <c r="N83" s="32">
        <v>1751.3014825687494</v>
      </c>
      <c r="O83" s="32">
        <v>1810.5403534312495</v>
      </c>
      <c r="P83" s="32">
        <v>1806.3667984806816</v>
      </c>
      <c r="Q83" s="32">
        <v>1814.4818421545447</v>
      </c>
      <c r="R83" s="32">
        <v>1853.7485766187492</v>
      </c>
      <c r="S83" s="32">
        <v>1855.7235115721592</v>
      </c>
      <c r="T83" s="32">
        <v>1820.0268089539768</v>
      </c>
      <c r="U83" s="32">
        <v>1799.3687086176137</v>
      </c>
      <c r="V83" s="32">
        <v>1879.4963470499995</v>
      </c>
      <c r="W83" s="32">
        <v>1880.5218222477265</v>
      </c>
      <c r="X83" s="32">
        <v>1826.0295594903403</v>
      </c>
      <c r="Y83" s="32">
        <v>1744.0915099602266</v>
      </c>
      <c r="Z83" s="32">
        <v>1636.167455785227</v>
      </c>
      <c r="AA83" s="32">
        <v>1540.5409716852266</v>
      </c>
      <c r="AB83" s="23">
        <f>SUM(D83:AA83)*B83</f>
        <v>871304.73450772499</v>
      </c>
      <c r="AC83" s="33"/>
    </row>
    <row r="84" spans="1:29" x14ac:dyDescent="0.25">
      <c r="A84" s="21" t="s">
        <v>39</v>
      </c>
      <c r="B84" s="22">
        <v>4</v>
      </c>
      <c r="C84" s="52"/>
      <c r="D84" s="32">
        <v>1460.7716070937497</v>
      </c>
      <c r="E84" s="32">
        <v>1433.4911051343743</v>
      </c>
      <c r="F84" s="32">
        <v>1403.1103460062495</v>
      </c>
      <c r="G84" s="32">
        <v>1379.3699374874993</v>
      </c>
      <c r="H84" s="32">
        <v>1363.6708312500002</v>
      </c>
      <c r="I84" s="32">
        <v>1368.1456968374991</v>
      </c>
      <c r="J84" s="32">
        <v>1378.8524068593754</v>
      </c>
      <c r="K84" s="32">
        <v>1480.2792529218746</v>
      </c>
      <c r="L84" s="32">
        <v>1603.315699453125</v>
      </c>
      <c r="M84" s="32">
        <v>1691.7176158312491</v>
      </c>
      <c r="N84" s="32">
        <v>1759.9912619624993</v>
      </c>
      <c r="O84" s="32">
        <v>1809.5829631031249</v>
      </c>
      <c r="P84" s="32">
        <v>1798.8134590124996</v>
      </c>
      <c r="Q84" s="32">
        <v>1804.1454726749998</v>
      </c>
      <c r="R84" s="32">
        <v>1849.3192151437499</v>
      </c>
      <c r="S84" s="32">
        <v>1866.9561687</v>
      </c>
      <c r="T84" s="32">
        <v>1836.1853714531244</v>
      </c>
      <c r="U84" s="32">
        <v>1814.0563794937498</v>
      </c>
      <c r="V84" s="32">
        <v>1884.6838493437499</v>
      </c>
      <c r="W84" s="32">
        <v>1882.0272104156247</v>
      </c>
      <c r="X84" s="32">
        <v>1823.2452917437492</v>
      </c>
      <c r="Y84" s="32">
        <v>1741.2835661156241</v>
      </c>
      <c r="Z84" s="32">
        <v>1634.3226455062502</v>
      </c>
      <c r="AA84" s="32">
        <v>1529.3442496500002</v>
      </c>
      <c r="AB84" s="23">
        <f t="shared" ref="AB84:AB85" si="20">SUM(D84:AA84)*B84</f>
        <v>158386.72641277494</v>
      </c>
      <c r="AC84" s="33"/>
    </row>
    <row r="85" spans="1:29" x14ac:dyDescent="0.25">
      <c r="A85" s="21" t="s">
        <v>40</v>
      </c>
      <c r="B85" s="22">
        <v>4</v>
      </c>
      <c r="C85" s="52"/>
      <c r="D85" s="32">
        <v>1456.4945518593745</v>
      </c>
      <c r="E85" s="32">
        <v>1422.0638330062502</v>
      </c>
      <c r="F85" s="32">
        <v>1406.0464824656244</v>
      </c>
      <c r="G85" s="32">
        <v>1381.9277097281245</v>
      </c>
      <c r="H85" s="32">
        <v>1371.7271007562497</v>
      </c>
      <c r="I85" s="32">
        <v>1374.7820412375004</v>
      </c>
      <c r="J85" s="32">
        <v>1383.9709969968744</v>
      </c>
      <c r="K85" s="32">
        <v>1479.094813940625</v>
      </c>
      <c r="L85" s="32">
        <v>1589.9454157781242</v>
      </c>
      <c r="M85" s="32">
        <v>1693.9374607968743</v>
      </c>
      <c r="N85" s="32">
        <v>1765.3398828187496</v>
      </c>
      <c r="O85" s="32">
        <v>1821.920126709374</v>
      </c>
      <c r="P85" s="32">
        <v>1804.9935205968741</v>
      </c>
      <c r="Q85" s="32">
        <v>1805.1666979499996</v>
      </c>
      <c r="R85" s="32">
        <v>1842.3758552062498</v>
      </c>
      <c r="S85" s="32">
        <v>1855.4292902249995</v>
      </c>
      <c r="T85" s="32">
        <v>1834.2955618312494</v>
      </c>
      <c r="U85" s="32">
        <v>1808.6935411124996</v>
      </c>
      <c r="V85" s="32">
        <v>1884.1806667687497</v>
      </c>
      <c r="W85" s="32">
        <v>1880.5239682031247</v>
      </c>
      <c r="X85" s="32">
        <v>1825.5167220937496</v>
      </c>
      <c r="Y85" s="32">
        <v>1739.5130190374998</v>
      </c>
      <c r="Z85" s="32">
        <v>1633.3920636468745</v>
      </c>
      <c r="AA85" s="32">
        <v>1537.2738098156249</v>
      </c>
      <c r="AB85" s="23">
        <f t="shared" si="20"/>
        <v>158394.42053032495</v>
      </c>
      <c r="AC85" s="5">
        <f>+AB83+AB84+AB85</f>
        <v>1188085.8814508249</v>
      </c>
    </row>
    <row r="86" spans="1:29" x14ac:dyDescent="0.25">
      <c r="A86" s="39"/>
    </row>
    <row r="87" spans="1:29" x14ac:dyDescent="0.25">
      <c r="A87" s="21" t="s">
        <v>38</v>
      </c>
      <c r="B87" s="22">
        <v>19</v>
      </c>
      <c r="C87" s="51">
        <v>46508</v>
      </c>
      <c r="D87" s="32">
        <v>1479.575994335526</v>
      </c>
      <c r="E87" s="32">
        <v>1441.1091832697366</v>
      </c>
      <c r="F87" s="32">
        <v>1412.2732107611844</v>
      </c>
      <c r="G87" s="32">
        <v>1390.7620489322364</v>
      </c>
      <c r="H87" s="32">
        <v>1381.1654302342108</v>
      </c>
      <c r="I87" s="32">
        <v>1390.8110612743424</v>
      </c>
      <c r="J87" s="32">
        <v>1403.9115727322364</v>
      </c>
      <c r="K87" s="32">
        <v>1498.4902369361837</v>
      </c>
      <c r="L87" s="32">
        <v>1608.7693834717102</v>
      </c>
      <c r="M87" s="32">
        <v>1700.4030936098675</v>
      </c>
      <c r="N87" s="32">
        <v>1771.1100281368419</v>
      </c>
      <c r="O87" s="32">
        <v>1823.8891300875</v>
      </c>
      <c r="P87" s="32">
        <v>1814.0533021302631</v>
      </c>
      <c r="Q87" s="32">
        <v>1820.4041623203934</v>
      </c>
      <c r="R87" s="32">
        <v>1862.0181089999999</v>
      </c>
      <c r="S87" s="32">
        <v>1870.7066711881573</v>
      </c>
      <c r="T87" s="32">
        <v>1837.3739966703938</v>
      </c>
      <c r="U87" s="32">
        <v>1811.7434066743413</v>
      </c>
      <c r="V87" s="32">
        <v>1882.8794866736841</v>
      </c>
      <c r="W87" s="32">
        <v>1877.4927082717111</v>
      </c>
      <c r="X87" s="32">
        <v>1820.1299059953944</v>
      </c>
      <c r="Y87" s="32">
        <v>1739.6130433914468</v>
      </c>
      <c r="Z87" s="32">
        <v>1637.0475608605259</v>
      </c>
      <c r="AA87" s="32">
        <v>1546.3434582888151</v>
      </c>
      <c r="AB87" s="23">
        <f>SUM(D87:AA87)*B87</f>
        <v>756619.44751968724</v>
      </c>
      <c r="AC87" s="33"/>
    </row>
    <row r="88" spans="1:29" x14ac:dyDescent="0.25">
      <c r="A88" s="21" t="s">
        <v>39</v>
      </c>
      <c r="B88" s="22">
        <v>5</v>
      </c>
      <c r="C88" s="52"/>
      <c r="D88" s="32">
        <v>1484.8293662999995</v>
      </c>
      <c r="E88" s="32">
        <v>1441.0630343025</v>
      </c>
      <c r="F88" s="32">
        <v>1411.4947618799997</v>
      </c>
      <c r="G88" s="32">
        <v>1393.8653227274997</v>
      </c>
      <c r="H88" s="32">
        <v>1392.6630208050001</v>
      </c>
      <c r="I88" s="32">
        <v>1398.9816021825</v>
      </c>
      <c r="J88" s="32">
        <v>1412.4386448899995</v>
      </c>
      <c r="K88" s="32">
        <v>1504.4603089950001</v>
      </c>
      <c r="L88" s="32">
        <v>1607.9836081049998</v>
      </c>
      <c r="M88" s="32">
        <v>1696.2716805299992</v>
      </c>
      <c r="N88" s="32">
        <v>1765.693185637499</v>
      </c>
      <c r="O88" s="32">
        <v>1830.7615710824994</v>
      </c>
      <c r="P88" s="32">
        <v>1823.2626539925</v>
      </c>
      <c r="Q88" s="32">
        <v>1828.0536868125002</v>
      </c>
      <c r="R88" s="32">
        <v>1857.1303782674995</v>
      </c>
      <c r="S88" s="32">
        <v>1855.1018185874996</v>
      </c>
      <c r="T88" s="32">
        <v>1817.9257137299994</v>
      </c>
      <c r="U88" s="32">
        <v>1798.3060352775001</v>
      </c>
      <c r="V88" s="32">
        <v>1883.3284787624993</v>
      </c>
      <c r="W88" s="32">
        <v>1879.0573762799986</v>
      </c>
      <c r="X88" s="32">
        <v>1820.9592221624994</v>
      </c>
      <c r="Y88" s="32">
        <v>1737.4811526449994</v>
      </c>
      <c r="Z88" s="32">
        <v>1634.9891221124994</v>
      </c>
      <c r="AA88" s="32">
        <v>1540.0634950575002</v>
      </c>
      <c r="AB88" s="23">
        <f t="shared" ref="AB88:AB89" si="21">SUM(D88:AA88)*B88</f>
        <v>199080.82620562494</v>
      </c>
      <c r="AC88" s="33"/>
    </row>
    <row r="89" spans="1:29" x14ac:dyDescent="0.25">
      <c r="A89" s="21" t="s">
        <v>40</v>
      </c>
      <c r="B89" s="22">
        <v>7</v>
      </c>
      <c r="C89" s="52"/>
      <c r="D89" s="32">
        <v>1463.410670625</v>
      </c>
      <c r="E89" s="32">
        <v>1434.8582600625002</v>
      </c>
      <c r="F89" s="32">
        <v>1411.2346450499995</v>
      </c>
      <c r="G89" s="32">
        <v>1395.5823663749993</v>
      </c>
      <c r="H89" s="32">
        <v>1388.5446264749999</v>
      </c>
      <c r="I89" s="32">
        <v>1407.4851103875001</v>
      </c>
      <c r="J89" s="32">
        <v>1423.3855397624995</v>
      </c>
      <c r="K89" s="32">
        <v>1517.0507034749992</v>
      </c>
      <c r="L89" s="32">
        <v>1626.7894026749991</v>
      </c>
      <c r="M89" s="32">
        <v>1712.8645921124996</v>
      </c>
      <c r="N89" s="32">
        <v>1776.3230098125002</v>
      </c>
      <c r="O89" s="32">
        <v>1832.1672027374998</v>
      </c>
      <c r="P89" s="32">
        <v>1831.6998527624992</v>
      </c>
      <c r="Q89" s="32">
        <v>1836.1503167624996</v>
      </c>
      <c r="R89" s="32">
        <v>1870.7491955249998</v>
      </c>
      <c r="S89" s="32">
        <v>1865.808787275</v>
      </c>
      <c r="T89" s="32">
        <v>1825.3935389249996</v>
      </c>
      <c r="U89" s="32">
        <v>1797.8813868374991</v>
      </c>
      <c r="V89" s="32">
        <v>1870.6201859249995</v>
      </c>
      <c r="W89" s="32">
        <v>1872.0454899374995</v>
      </c>
      <c r="X89" s="32">
        <v>1814.8925254499995</v>
      </c>
      <c r="Y89" s="32">
        <v>1732.1770534499992</v>
      </c>
      <c r="Z89" s="32">
        <v>1621.0354054500001</v>
      </c>
      <c r="AA89" s="32">
        <v>1525.8640561875</v>
      </c>
      <c r="AB89" s="23">
        <f t="shared" si="21"/>
        <v>278978.09746826242</v>
      </c>
      <c r="AC89" s="5">
        <f>+AB87+AB88+AB89</f>
        <v>1234678.3711935747</v>
      </c>
    </row>
    <row r="90" spans="1:29" x14ac:dyDescent="0.25">
      <c r="A90" s="39"/>
    </row>
    <row r="91" spans="1:29" x14ac:dyDescent="0.25">
      <c r="A91" s="21" t="s">
        <v>38</v>
      </c>
      <c r="B91" s="22">
        <v>21</v>
      </c>
      <c r="C91" s="51">
        <v>46539</v>
      </c>
      <c r="D91" s="32">
        <v>1474.7575044375003</v>
      </c>
      <c r="E91" s="32">
        <v>1438.9712863874995</v>
      </c>
      <c r="F91" s="32">
        <v>1411.5521589374998</v>
      </c>
      <c r="G91" s="32">
        <v>1393.1893864499998</v>
      </c>
      <c r="H91" s="32">
        <v>1387.4208000374992</v>
      </c>
      <c r="I91" s="32">
        <v>1404.3460763250005</v>
      </c>
      <c r="J91" s="32">
        <v>1422.5729962874993</v>
      </c>
      <c r="K91" s="32">
        <v>1517.7950720624995</v>
      </c>
      <c r="L91" s="32">
        <v>1625.1342238124996</v>
      </c>
      <c r="M91" s="32">
        <v>1713.6525376499987</v>
      </c>
      <c r="N91" s="32">
        <v>1783.1108452499993</v>
      </c>
      <c r="O91" s="32">
        <v>1841.6008824749999</v>
      </c>
      <c r="P91" s="32">
        <v>1837.8310600124992</v>
      </c>
      <c r="Q91" s="32">
        <v>1844.1434893874994</v>
      </c>
      <c r="R91" s="32">
        <v>1880.8608801</v>
      </c>
      <c r="S91" s="32">
        <v>1880.3002944749992</v>
      </c>
      <c r="T91" s="32">
        <v>1843.4707796249993</v>
      </c>
      <c r="U91" s="32">
        <v>1819.4411663624994</v>
      </c>
      <c r="V91" s="32">
        <v>1895.3495982375002</v>
      </c>
      <c r="W91" s="32">
        <v>1892.428122524999</v>
      </c>
      <c r="X91" s="32">
        <v>1833.6943805249994</v>
      </c>
      <c r="Y91" s="32">
        <v>1746.4782005999998</v>
      </c>
      <c r="Z91" s="32">
        <v>1635.5206855499991</v>
      </c>
      <c r="AA91" s="32">
        <v>1540.8104100750002</v>
      </c>
      <c r="AB91" s="23">
        <f>SUM(D91:AA91)*B91</f>
        <v>841353.08958933747</v>
      </c>
      <c r="AC91" s="33"/>
    </row>
    <row r="92" spans="1:29" x14ac:dyDescent="0.25">
      <c r="A92" s="21" t="s">
        <v>39</v>
      </c>
      <c r="B92" s="22">
        <v>4</v>
      </c>
      <c r="C92" s="52"/>
      <c r="D92" s="32">
        <v>1466.8321517718746</v>
      </c>
      <c r="E92" s="32">
        <v>1426.1519638406246</v>
      </c>
      <c r="F92" s="32">
        <v>1402.9150491562496</v>
      </c>
      <c r="G92" s="32">
        <v>1396.8354105562494</v>
      </c>
      <c r="H92" s="32">
        <v>1392.7815751500002</v>
      </c>
      <c r="I92" s="32">
        <v>1407.6495954281249</v>
      </c>
      <c r="J92" s="32">
        <v>1417.7585937374997</v>
      </c>
      <c r="K92" s="32">
        <v>1513.6592404500002</v>
      </c>
      <c r="L92" s="32">
        <v>1622.1902738343747</v>
      </c>
      <c r="M92" s="32">
        <v>1715.1969614062493</v>
      </c>
      <c r="N92" s="32">
        <v>1786.0464462093748</v>
      </c>
      <c r="O92" s="32">
        <v>1834.9214709656248</v>
      </c>
      <c r="P92" s="32">
        <v>1826.4455167218744</v>
      </c>
      <c r="Q92" s="32">
        <v>1838.0270028093737</v>
      </c>
      <c r="R92" s="32">
        <v>1890.4203027281246</v>
      </c>
      <c r="S92" s="32">
        <v>1890.0181288406247</v>
      </c>
      <c r="T92" s="32">
        <v>1853.1005479874996</v>
      </c>
      <c r="U92" s="32">
        <v>1819.15847623125</v>
      </c>
      <c r="V92" s="32">
        <v>1888.8659135718744</v>
      </c>
      <c r="W92" s="32">
        <v>1885.4324381812492</v>
      </c>
      <c r="X92" s="32">
        <v>1828.9700879624997</v>
      </c>
      <c r="Y92" s="32">
        <v>1757.9937231281251</v>
      </c>
      <c r="Z92" s="32">
        <v>1651.5857397374994</v>
      </c>
      <c r="AA92" s="32">
        <v>1554.3125630156251</v>
      </c>
      <c r="AB92" s="23">
        <f t="shared" ref="AB92:AB93" si="22">SUM(D92:AA92)*B92</f>
        <v>160269.07669368747</v>
      </c>
      <c r="AC92" s="33"/>
    </row>
    <row r="93" spans="1:29" x14ac:dyDescent="0.25">
      <c r="A93" s="21" t="s">
        <v>40</v>
      </c>
      <c r="B93" s="22">
        <v>5</v>
      </c>
      <c r="C93" s="52"/>
      <c r="D93" s="32">
        <v>1466.4946843574994</v>
      </c>
      <c r="E93" s="32">
        <v>1420.5363607574996</v>
      </c>
      <c r="F93" s="32">
        <v>1389.4437875849994</v>
      </c>
      <c r="G93" s="32">
        <v>1377.1123658775</v>
      </c>
      <c r="H93" s="32">
        <v>1379.2244635575003</v>
      </c>
      <c r="I93" s="32">
        <v>1390.6666125449997</v>
      </c>
      <c r="J93" s="32">
        <v>1407.8808357074997</v>
      </c>
      <c r="K93" s="32">
        <v>1505.9524797449999</v>
      </c>
      <c r="L93" s="32">
        <v>1622.6724480749999</v>
      </c>
      <c r="M93" s="32">
        <v>1720.3849402949995</v>
      </c>
      <c r="N93" s="32">
        <v>1794.7143698399996</v>
      </c>
      <c r="O93" s="32">
        <v>1853.415523732499</v>
      </c>
      <c r="P93" s="32">
        <v>1842.1599616874996</v>
      </c>
      <c r="Q93" s="32">
        <v>1844.4607856324992</v>
      </c>
      <c r="R93" s="32">
        <v>1882.4345471924994</v>
      </c>
      <c r="S93" s="32">
        <v>1897.8901428374998</v>
      </c>
      <c r="T93" s="32">
        <v>1866.4193727899992</v>
      </c>
      <c r="U93" s="32">
        <v>1834.0819977374995</v>
      </c>
      <c r="V93" s="32">
        <v>1900.8252397574993</v>
      </c>
      <c r="W93" s="32">
        <v>1888.2360765449989</v>
      </c>
      <c r="X93" s="32">
        <v>1825.2653276024992</v>
      </c>
      <c r="Y93" s="32">
        <v>1744.3711928474991</v>
      </c>
      <c r="Z93" s="32">
        <v>1647.1417002074991</v>
      </c>
      <c r="AA93" s="32">
        <v>1546.4311737524999</v>
      </c>
      <c r="AB93" s="23">
        <f t="shared" si="22"/>
        <v>200241.0819533249</v>
      </c>
      <c r="AC93" s="5">
        <f>+AB91+AB92+AB93</f>
        <v>1201863.2482363498</v>
      </c>
    </row>
    <row r="94" spans="1:29" x14ac:dyDescent="0.25">
      <c r="A94" s="39"/>
    </row>
    <row r="95" spans="1:29" x14ac:dyDescent="0.25">
      <c r="A95" s="21" t="s">
        <v>38</v>
      </c>
      <c r="B95" s="22">
        <v>20</v>
      </c>
      <c r="C95" s="51">
        <v>46569</v>
      </c>
      <c r="D95" s="32">
        <v>224.29021038749647</v>
      </c>
      <c r="E95" s="32">
        <v>100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  <c r="L95" s="32">
        <v>414.0450961406259</v>
      </c>
      <c r="M95" s="32">
        <v>822.97734410624844</v>
      </c>
      <c r="N95" s="32">
        <v>1147.4554239281219</v>
      </c>
      <c r="O95" s="32">
        <v>1403.5621701468765</v>
      </c>
      <c r="P95" s="32">
        <v>1346.577821221874</v>
      </c>
      <c r="Q95" s="32">
        <v>1416.9740999437481</v>
      </c>
      <c r="R95" s="32">
        <v>1649.5463899874976</v>
      </c>
      <c r="S95" s="32">
        <v>1715.5179149249998</v>
      </c>
      <c r="T95" s="32">
        <v>1587.3219815156222</v>
      </c>
      <c r="U95" s="32">
        <v>1454.4099622406247</v>
      </c>
      <c r="V95" s="32">
        <v>1707.9609242625002</v>
      </c>
      <c r="W95" s="32">
        <v>1645.0026265875022</v>
      </c>
      <c r="X95" s="32">
        <v>1448.8919071125042</v>
      </c>
      <c r="Y95" s="32">
        <v>1186.3229588624986</v>
      </c>
      <c r="Z95" s="32">
        <v>826.77086069062773</v>
      </c>
      <c r="AA95" s="32">
        <v>502.62868647187594</v>
      </c>
      <c r="AB95" s="23">
        <f>SUM(D95:AA95)*B95</f>
        <v>412005.12757062493</v>
      </c>
      <c r="AC95" s="33"/>
    </row>
    <row r="96" spans="1:29" x14ac:dyDescent="0.25">
      <c r="A96" s="21" t="s">
        <v>39</v>
      </c>
      <c r="B96" s="22">
        <v>5</v>
      </c>
      <c r="C96" s="52"/>
      <c r="D96" s="32">
        <v>460.30960541249971</v>
      </c>
      <c r="E96" s="32">
        <v>299.16024146250027</v>
      </c>
      <c r="F96" s="32">
        <v>126.56881139999933</v>
      </c>
      <c r="G96" s="32">
        <v>0</v>
      </c>
      <c r="H96" s="32">
        <v>0</v>
      </c>
      <c r="I96" s="32">
        <v>0</v>
      </c>
      <c r="J96" s="32">
        <v>0</v>
      </c>
      <c r="K96" s="32">
        <v>403.90366661249868</v>
      </c>
      <c r="L96" s="32">
        <v>849.03588622499944</v>
      </c>
      <c r="M96" s="32">
        <v>1231.944756412498</v>
      </c>
      <c r="N96" s="32">
        <v>1550.8109790374992</v>
      </c>
      <c r="O96" s="32">
        <v>1800.2001968249995</v>
      </c>
      <c r="P96" s="32">
        <v>1780.9065525750007</v>
      </c>
      <c r="Q96" s="32">
        <v>1885.610346262501</v>
      </c>
      <c r="R96" s="32">
        <v>2124.0498729750007</v>
      </c>
      <c r="S96" s="32">
        <v>2185.0232162249995</v>
      </c>
      <c r="T96" s="32">
        <v>2028.5154559874986</v>
      </c>
      <c r="U96" s="32">
        <v>1927.8341451375004</v>
      </c>
      <c r="V96" s="32">
        <v>2211.4158367124983</v>
      </c>
      <c r="W96" s="32">
        <v>2161.5981735374994</v>
      </c>
      <c r="X96" s="32">
        <v>1917.9591158624994</v>
      </c>
      <c r="Y96" s="32">
        <v>1542.1024963500004</v>
      </c>
      <c r="Z96" s="32">
        <v>1091.0162383875004</v>
      </c>
      <c r="AA96" s="32">
        <v>723.07241231249839</v>
      </c>
      <c r="AB96" s="23">
        <f t="shared" ref="AB96:AB97" si="23">SUM(D96:AA96)*B96</f>
        <v>141505.19002856247</v>
      </c>
      <c r="AC96" s="33"/>
    </row>
    <row r="97" spans="1:29" x14ac:dyDescent="0.25">
      <c r="A97" s="21" t="s">
        <v>40</v>
      </c>
      <c r="B97" s="22">
        <v>6</v>
      </c>
      <c r="C97" s="52"/>
      <c r="D97" s="32">
        <v>468.05468024999993</v>
      </c>
      <c r="E97" s="32">
        <v>327.25019071874999</v>
      </c>
      <c r="F97" s="32">
        <v>234.26190665624986</v>
      </c>
      <c r="G97" s="32">
        <v>140.16890043750089</v>
      </c>
      <c r="H97" s="32">
        <v>100</v>
      </c>
      <c r="I97" s="32">
        <v>122.59352587500001</v>
      </c>
      <c r="J97" s="32">
        <v>157.14003656249872</v>
      </c>
      <c r="K97" s="32">
        <v>596.27186615625169</v>
      </c>
      <c r="L97" s="32">
        <v>1058.1051201562509</v>
      </c>
      <c r="M97" s="32">
        <v>1467.7471990312499</v>
      </c>
      <c r="N97" s="32">
        <v>1746.7915442812491</v>
      </c>
      <c r="O97" s="32">
        <v>2002.7190764999996</v>
      </c>
      <c r="P97" s="32">
        <v>1962.4689521250007</v>
      </c>
      <c r="Q97" s="32">
        <v>2012.351003437499</v>
      </c>
      <c r="R97" s="32">
        <v>2247.5208232500017</v>
      </c>
      <c r="S97" s="32">
        <v>2266.0579366874999</v>
      </c>
      <c r="T97" s="32">
        <v>2080.9798690312477</v>
      </c>
      <c r="U97" s="32">
        <v>1947.0076949062491</v>
      </c>
      <c r="V97" s="32">
        <v>2280.0075809999994</v>
      </c>
      <c r="W97" s="32">
        <v>2214.0279008437492</v>
      </c>
      <c r="X97" s="32">
        <v>1952.5473308437481</v>
      </c>
      <c r="Y97" s="32">
        <v>1577.2383850312497</v>
      </c>
      <c r="Z97" s="32">
        <v>1119.3012648750002</v>
      </c>
      <c r="AA97" s="32">
        <v>725.52168890625035</v>
      </c>
      <c r="AB97" s="23">
        <f t="shared" si="23"/>
        <v>184836.80686537497</v>
      </c>
      <c r="AC97" s="5">
        <f>+AB95+AB96+AB97</f>
        <v>738347.1244645624</v>
      </c>
    </row>
    <row r="98" spans="1:29" x14ac:dyDescent="0.25">
      <c r="A98" s="39"/>
    </row>
    <row r="99" spans="1:29" x14ac:dyDescent="0.25">
      <c r="A99" s="21" t="s">
        <v>38</v>
      </c>
      <c r="B99" s="22">
        <v>21</v>
      </c>
      <c r="C99" s="51">
        <v>46600</v>
      </c>
      <c r="D99" s="32">
        <v>1509.6260189250002</v>
      </c>
      <c r="E99" s="32">
        <v>1467.4948774874999</v>
      </c>
      <c r="F99" s="32">
        <v>1433.5303220625005</v>
      </c>
      <c r="G99" s="32">
        <v>1408.6425426374992</v>
      </c>
      <c r="H99" s="32">
        <v>1397.4721579874997</v>
      </c>
      <c r="I99" s="32">
        <v>1409.3401046999998</v>
      </c>
      <c r="J99" s="32">
        <v>1424.3601491249995</v>
      </c>
      <c r="K99" s="32">
        <v>1520.1684297374995</v>
      </c>
      <c r="L99" s="32">
        <v>1629.2249765249994</v>
      </c>
      <c r="M99" s="32">
        <v>1717.2647274000001</v>
      </c>
      <c r="N99" s="32">
        <v>1783.5185016374999</v>
      </c>
      <c r="O99" s="32">
        <v>1840.7044070249995</v>
      </c>
      <c r="P99" s="32">
        <v>1838.1673221374999</v>
      </c>
      <c r="Q99" s="32">
        <v>1850.1233120624993</v>
      </c>
      <c r="R99" s="32">
        <v>1893.5907306374993</v>
      </c>
      <c r="S99" s="32">
        <v>1902.3803001374999</v>
      </c>
      <c r="T99" s="32">
        <v>1869.8876550749992</v>
      </c>
      <c r="U99" s="32">
        <v>1848.1232992499999</v>
      </c>
      <c r="V99" s="32">
        <v>1926.3428605125</v>
      </c>
      <c r="W99" s="32">
        <v>1923.7329801374985</v>
      </c>
      <c r="X99" s="32">
        <v>1865.7569534249997</v>
      </c>
      <c r="Y99" s="32">
        <v>1781.6965317375002</v>
      </c>
      <c r="Z99" s="32">
        <v>1674.3256197374999</v>
      </c>
      <c r="AA99" s="32">
        <v>1577.2043740874992</v>
      </c>
      <c r="AB99" s="23">
        <f>SUM(D99:AA99)*B99</f>
        <v>850346.26223793742</v>
      </c>
      <c r="AC99" s="33"/>
    </row>
    <row r="100" spans="1:29" x14ac:dyDescent="0.25">
      <c r="A100" s="21" t="s">
        <v>39</v>
      </c>
      <c r="B100" s="22">
        <v>4</v>
      </c>
      <c r="C100" s="52"/>
      <c r="D100" s="32">
        <v>1494.4642061343754</v>
      </c>
      <c r="E100" s="32">
        <v>1460.0334939749998</v>
      </c>
      <c r="F100" s="32">
        <v>1444.0161367406254</v>
      </c>
      <c r="G100" s="32">
        <v>1419.8973640031254</v>
      </c>
      <c r="H100" s="32">
        <v>1409.6967583781243</v>
      </c>
      <c r="I100" s="32">
        <v>1412.7516955125002</v>
      </c>
      <c r="J100" s="32">
        <v>1421.9406512718742</v>
      </c>
      <c r="K100" s="32">
        <v>1517.0644682156249</v>
      </c>
      <c r="L100" s="32">
        <v>1627.915070053125</v>
      </c>
      <c r="M100" s="32">
        <v>1731.9071217656242</v>
      </c>
      <c r="N100" s="32">
        <v>1803.3095370937492</v>
      </c>
      <c r="O100" s="32">
        <v>1859.8897843312498</v>
      </c>
      <c r="P100" s="32">
        <v>1842.9631782187487</v>
      </c>
      <c r="Q100" s="32">
        <v>1843.1363522249994</v>
      </c>
      <c r="R100" s="32">
        <v>1880.3455094812493</v>
      </c>
      <c r="S100" s="32">
        <v>1893.3989444999993</v>
      </c>
      <c r="T100" s="32">
        <v>1872.2652227999993</v>
      </c>
      <c r="U100" s="32">
        <v>1846.6632020812494</v>
      </c>
      <c r="V100" s="32">
        <v>1922.1503243906245</v>
      </c>
      <c r="W100" s="32">
        <v>1918.4936258249995</v>
      </c>
      <c r="X100" s="32">
        <v>1863.4863763687495</v>
      </c>
      <c r="Y100" s="32">
        <v>1777.4826766593746</v>
      </c>
      <c r="Z100" s="32">
        <v>1671.3617212687493</v>
      </c>
      <c r="AA100" s="32">
        <v>1575.2434640906245</v>
      </c>
      <c r="AB100" s="23">
        <f t="shared" ref="AB100:AB101" si="24">SUM(D100:AA100)*B100</f>
        <v>162039.50754153746</v>
      </c>
      <c r="AC100" s="33"/>
    </row>
    <row r="101" spans="1:29" x14ac:dyDescent="0.25">
      <c r="A101" s="21" t="s">
        <v>40</v>
      </c>
      <c r="B101" s="22">
        <v>5</v>
      </c>
      <c r="C101" s="52"/>
      <c r="D101" s="32">
        <v>1789.0415104274998</v>
      </c>
      <c r="E101" s="32">
        <v>1740.8847317400002</v>
      </c>
      <c r="F101" s="32">
        <v>1706.7668861249999</v>
      </c>
      <c r="G101" s="32">
        <v>1697.6414547225004</v>
      </c>
      <c r="H101" s="32">
        <v>1695.3463097549989</v>
      </c>
      <c r="I101" s="32">
        <v>1710.1359629549993</v>
      </c>
      <c r="J101" s="32">
        <v>1718.0678210849997</v>
      </c>
      <c r="K101" s="32">
        <v>1822.9920872624998</v>
      </c>
      <c r="L101" s="32">
        <v>1947.8559904649992</v>
      </c>
      <c r="M101" s="32">
        <v>2061.1978668225001</v>
      </c>
      <c r="N101" s="32">
        <v>2157.4367246249994</v>
      </c>
      <c r="O101" s="32">
        <v>2230.6718545649996</v>
      </c>
      <c r="P101" s="32">
        <v>2221.6018286699996</v>
      </c>
      <c r="Q101" s="32">
        <v>2226.4305714000002</v>
      </c>
      <c r="R101" s="32">
        <v>2276.2989740925</v>
      </c>
      <c r="S101" s="32">
        <v>2280.2730534674993</v>
      </c>
      <c r="T101" s="32">
        <v>2242.4779052549993</v>
      </c>
      <c r="U101" s="32">
        <v>2219.6005982324996</v>
      </c>
      <c r="V101" s="32">
        <v>2306.8853953424996</v>
      </c>
      <c r="W101" s="32">
        <v>2301.6389090624998</v>
      </c>
      <c r="X101" s="32">
        <v>2229.2711766674988</v>
      </c>
      <c r="Y101" s="32">
        <v>2132.9513860724992</v>
      </c>
      <c r="Z101" s="32">
        <v>2001.3628104224999</v>
      </c>
      <c r="AA101" s="32">
        <v>1883.8187423999993</v>
      </c>
      <c r="AB101" s="23">
        <f t="shared" si="24"/>
        <v>243003.25275817496</v>
      </c>
      <c r="AC101" s="5">
        <f>+AB99+AB100+AB101</f>
        <v>1255389.0225376498</v>
      </c>
    </row>
    <row r="102" spans="1:29" x14ac:dyDescent="0.25">
      <c r="A102" s="39"/>
    </row>
    <row r="103" spans="1:29" x14ac:dyDescent="0.25">
      <c r="A103" s="21" t="s">
        <v>38</v>
      </c>
      <c r="B103" s="22">
        <v>22</v>
      </c>
      <c r="C103" s="51">
        <v>46631</v>
      </c>
      <c r="D103" s="32">
        <v>1516.4406876937501</v>
      </c>
      <c r="E103" s="32">
        <v>1475.9226546392042</v>
      </c>
      <c r="F103" s="32">
        <v>1447.6613591761356</v>
      </c>
      <c r="G103" s="32">
        <v>1429.5449712528412</v>
      </c>
      <c r="H103" s="32">
        <v>1422.5979644386364</v>
      </c>
      <c r="I103" s="32">
        <v>1430.889654349432</v>
      </c>
      <c r="J103" s="32">
        <v>1442.2860558153402</v>
      </c>
      <c r="K103" s="32">
        <v>1535.4851245005684</v>
      </c>
      <c r="L103" s="32">
        <v>1644.7607782414771</v>
      </c>
      <c r="M103" s="32">
        <v>1736.8121986210217</v>
      </c>
      <c r="N103" s="32">
        <v>1807.3686088380684</v>
      </c>
      <c r="O103" s="32">
        <v>1862.7172693619309</v>
      </c>
      <c r="P103" s="32">
        <v>1852.4603528693178</v>
      </c>
      <c r="Q103" s="32">
        <v>1856.9542074085221</v>
      </c>
      <c r="R103" s="32">
        <v>1895.6387109784091</v>
      </c>
      <c r="S103" s="32">
        <v>1901.9746143204547</v>
      </c>
      <c r="T103" s="32">
        <v>1869.2241481176138</v>
      </c>
      <c r="U103" s="32">
        <v>1846.2711101982941</v>
      </c>
      <c r="V103" s="32">
        <v>1921.1504220562497</v>
      </c>
      <c r="W103" s="32">
        <v>1916.2634210642041</v>
      </c>
      <c r="X103" s="32">
        <v>1859.2771802420455</v>
      </c>
      <c r="Y103" s="32">
        <v>1780.6492302494316</v>
      </c>
      <c r="Z103" s="32">
        <v>1678.6149811414759</v>
      </c>
      <c r="AA103" s="32">
        <v>1586.0764833494318</v>
      </c>
      <c r="AB103" s="23">
        <f>SUM(D103:AA103)*B103</f>
        <v>895774.92815632466</v>
      </c>
      <c r="AC103" s="33"/>
    </row>
    <row r="104" spans="1:29" x14ac:dyDescent="0.25">
      <c r="A104" s="21" t="s">
        <v>39</v>
      </c>
      <c r="B104" s="22">
        <v>4</v>
      </c>
      <c r="C104" s="52"/>
      <c r="D104" s="32">
        <v>1513.4994137812494</v>
      </c>
      <c r="E104" s="32">
        <v>1474.3799673749998</v>
      </c>
      <c r="F104" s="32">
        <v>1441.0202786437503</v>
      </c>
      <c r="G104" s="32">
        <v>1421.2805571562503</v>
      </c>
      <c r="H104" s="32">
        <v>1413.2131827187497</v>
      </c>
      <c r="I104" s="32">
        <v>1437.0939190124991</v>
      </c>
      <c r="J104" s="32">
        <v>1449.7559303062499</v>
      </c>
      <c r="K104" s="32">
        <v>1539.949321771875</v>
      </c>
      <c r="L104" s="32">
        <v>1641.4047735749991</v>
      </c>
      <c r="M104" s="32">
        <v>1725.3076933968746</v>
      </c>
      <c r="N104" s="32">
        <v>1792.4123631093739</v>
      </c>
      <c r="O104" s="32">
        <v>1856.8021750031253</v>
      </c>
      <c r="P104" s="32">
        <v>1864.5940380374996</v>
      </c>
      <c r="Q104" s="32">
        <v>1868.4188702156246</v>
      </c>
      <c r="R104" s="32">
        <v>1905.662446734375</v>
      </c>
      <c r="S104" s="32">
        <v>1902.0739775625</v>
      </c>
      <c r="T104" s="32">
        <v>1862.6775236999997</v>
      </c>
      <c r="U104" s="32">
        <v>1836.1615584374995</v>
      </c>
      <c r="V104" s="32">
        <v>1916.4858924093749</v>
      </c>
      <c r="W104" s="32">
        <v>1925.7827648062494</v>
      </c>
      <c r="X104" s="32">
        <v>1871.5705454250001</v>
      </c>
      <c r="Y104" s="32">
        <v>1790.8982000437497</v>
      </c>
      <c r="Z104" s="32">
        <v>1679.5947492843748</v>
      </c>
      <c r="AA104" s="32">
        <v>1584.6049412156249</v>
      </c>
      <c r="AB104" s="23">
        <f t="shared" ref="AB104:AB105" si="25">SUM(D104:AA104)*B104</f>
        <v>162858.58033488749</v>
      </c>
      <c r="AC104" s="33"/>
    </row>
    <row r="105" spans="1:29" x14ac:dyDescent="0.25">
      <c r="A105" s="21" t="s">
        <v>40</v>
      </c>
      <c r="B105" s="22">
        <v>4</v>
      </c>
      <c r="C105" s="52"/>
      <c r="D105" s="32">
        <v>1513.5176475562496</v>
      </c>
      <c r="E105" s="32">
        <v>1475.9350493343752</v>
      </c>
      <c r="F105" s="32">
        <v>1447.3438073718748</v>
      </c>
      <c r="G105" s="32">
        <v>1419.3220663124996</v>
      </c>
      <c r="H105" s="32">
        <v>1408.9361274843745</v>
      </c>
      <c r="I105" s="32">
        <v>1425.6666502312501</v>
      </c>
      <c r="J105" s="32">
        <v>1452.6920667656245</v>
      </c>
      <c r="K105" s="32">
        <v>1542.5070906656251</v>
      </c>
      <c r="L105" s="32">
        <v>1649.4610497749995</v>
      </c>
      <c r="M105" s="32">
        <v>1731.9440377968745</v>
      </c>
      <c r="N105" s="32">
        <v>1797.5309532468746</v>
      </c>
      <c r="O105" s="32">
        <v>1855.6177326749994</v>
      </c>
      <c r="P105" s="32">
        <v>1851.2237543624997</v>
      </c>
      <c r="Q105" s="32">
        <v>1870.6387185281251</v>
      </c>
      <c r="R105" s="32">
        <v>1911.0110642437494</v>
      </c>
      <c r="S105" s="32">
        <v>1914.4111411687491</v>
      </c>
      <c r="T105" s="32">
        <v>1868.8575819374994</v>
      </c>
      <c r="U105" s="32">
        <v>1837.1827803656242</v>
      </c>
      <c r="V105" s="32">
        <v>1909.5425291249999</v>
      </c>
      <c r="W105" s="32">
        <v>1914.2558829843751</v>
      </c>
      <c r="X105" s="32">
        <v>1869.680739149999</v>
      </c>
      <c r="Y105" s="32">
        <v>1785.5353616624998</v>
      </c>
      <c r="Z105" s="32">
        <v>1679.0915700562493</v>
      </c>
      <c r="AA105" s="32">
        <v>1583.1017023499996</v>
      </c>
      <c r="AB105" s="23">
        <f t="shared" si="25"/>
        <v>162860.02842059993</v>
      </c>
      <c r="AC105" s="5">
        <f>+AB103+AB104+AB105</f>
        <v>1221493.5369118119</v>
      </c>
    </row>
    <row r="106" spans="1:29" x14ac:dyDescent="0.25">
      <c r="A106" s="39"/>
    </row>
    <row r="107" spans="1:29" x14ac:dyDescent="0.25">
      <c r="A107" s="21" t="s">
        <v>38</v>
      </c>
      <c r="B107" s="22">
        <v>20</v>
      </c>
      <c r="C107" s="51">
        <v>46661</v>
      </c>
      <c r="D107" s="32">
        <v>1919.7859780968743</v>
      </c>
      <c r="E107" s="32">
        <v>1814.6813347687528</v>
      </c>
      <c r="F107" s="32">
        <v>1723.1650530281231</v>
      </c>
      <c r="G107" s="32">
        <v>1643.8326502499995</v>
      </c>
      <c r="H107" s="32">
        <v>1556.3656276218767</v>
      </c>
      <c r="I107" s="32">
        <v>1543.0576493718766</v>
      </c>
      <c r="J107" s="32">
        <v>1397.2874595749988</v>
      </c>
      <c r="K107" s="32">
        <v>1692.7027662562491</v>
      </c>
      <c r="L107" s="32">
        <v>2120.2107470906262</v>
      </c>
      <c r="M107" s="32">
        <v>2500.3135993499986</v>
      </c>
      <c r="N107" s="32">
        <v>2797.0960185656259</v>
      </c>
      <c r="O107" s="32">
        <v>3029.5311133499972</v>
      </c>
      <c r="P107" s="32">
        <v>2972.4795658687526</v>
      </c>
      <c r="Q107" s="32">
        <v>3048.8730899812485</v>
      </c>
      <c r="R107" s="32">
        <v>3274.11077581875</v>
      </c>
      <c r="S107" s="32">
        <v>3299.3783198906249</v>
      </c>
      <c r="T107" s="32">
        <v>3140.7365419499984</v>
      </c>
      <c r="U107" s="32">
        <v>3014.9194302281271</v>
      </c>
      <c r="V107" s="32">
        <v>3275.0357282343748</v>
      </c>
      <c r="W107" s="32">
        <v>3226.5151955531232</v>
      </c>
      <c r="X107" s="32">
        <v>3040.3385308406223</v>
      </c>
      <c r="Y107" s="32">
        <v>2781.9017705718779</v>
      </c>
      <c r="Z107" s="32">
        <v>2419.2945534187497</v>
      </c>
      <c r="AA107" s="32">
        <v>2116.445734725</v>
      </c>
      <c r="AB107" s="23">
        <f>SUM(D107:AA107)*B107</f>
        <v>1186961.184688125</v>
      </c>
      <c r="AC107" s="33"/>
    </row>
    <row r="108" spans="1:29" x14ac:dyDescent="0.25">
      <c r="A108" s="21" t="s">
        <v>39</v>
      </c>
      <c r="B108" s="22">
        <v>5</v>
      </c>
      <c r="C108" s="52"/>
      <c r="D108" s="32">
        <v>2123.396216812499</v>
      </c>
      <c r="E108" s="32">
        <v>1990.5725327249988</v>
      </c>
      <c r="F108" s="32">
        <v>1877.142302437499</v>
      </c>
      <c r="G108" s="32">
        <v>1826.7179088374996</v>
      </c>
      <c r="H108" s="32">
        <v>1810.1132096250003</v>
      </c>
      <c r="I108" s="32">
        <v>1823.9720076375002</v>
      </c>
      <c r="J108" s="32">
        <v>1799.8185925124997</v>
      </c>
      <c r="K108" s="32">
        <v>2172.0091433249991</v>
      </c>
      <c r="L108" s="32">
        <v>2643.0639808125002</v>
      </c>
      <c r="M108" s="32">
        <v>2991.5167537500001</v>
      </c>
      <c r="N108" s="32">
        <v>3278.6291307000001</v>
      </c>
      <c r="O108" s="32">
        <v>3504.8217870749991</v>
      </c>
      <c r="P108" s="32">
        <v>3425.2862300999986</v>
      </c>
      <c r="Q108" s="32">
        <v>3475.0786712249974</v>
      </c>
      <c r="R108" s="32">
        <v>3714.8292103125004</v>
      </c>
      <c r="S108" s="32">
        <v>3812.6924109750007</v>
      </c>
      <c r="T108" s="32">
        <v>3660.1768166249976</v>
      </c>
      <c r="U108" s="32">
        <v>3522.0807378750001</v>
      </c>
      <c r="V108" s="32">
        <v>3760.1253792374996</v>
      </c>
      <c r="W108" s="32">
        <v>3687.0406783874996</v>
      </c>
      <c r="X108" s="32">
        <v>3444.8661851625002</v>
      </c>
      <c r="Y108" s="32">
        <v>3151.5120291374997</v>
      </c>
      <c r="Z108" s="32">
        <v>2782.2360352499991</v>
      </c>
      <c r="AA108" s="32">
        <v>2406.671673787499</v>
      </c>
      <c r="AB108" s="23">
        <f t="shared" ref="AB108:AB109" si="26">SUM(D108:AA108)*B108</f>
        <v>343421.84812162491</v>
      </c>
      <c r="AC108" s="33"/>
    </row>
    <row r="109" spans="1:29" x14ac:dyDescent="0.25">
      <c r="A109" s="21" t="s">
        <v>40</v>
      </c>
      <c r="B109" s="22">
        <v>6</v>
      </c>
      <c r="C109" s="52"/>
      <c r="D109" s="32">
        <v>2321.4233581874996</v>
      </c>
      <c r="E109" s="32">
        <v>2152.0908727500005</v>
      </c>
      <c r="F109" s="32">
        <v>2039.0641037812488</v>
      </c>
      <c r="G109" s="32">
        <v>1947.3481597499981</v>
      </c>
      <c r="H109" s="32">
        <v>1922.5160987812496</v>
      </c>
      <c r="I109" s="32">
        <v>2017.8018196874996</v>
      </c>
      <c r="J109" s="32">
        <v>2044.5348275625006</v>
      </c>
      <c r="K109" s="32">
        <v>2454.2353906874996</v>
      </c>
      <c r="L109" s="32">
        <v>2903.0524215000005</v>
      </c>
      <c r="M109" s="32">
        <v>3304.4034239999983</v>
      </c>
      <c r="N109" s="32">
        <v>3593.9402191874988</v>
      </c>
      <c r="O109" s="32">
        <v>3830.6449636875013</v>
      </c>
      <c r="P109" s="32">
        <v>3759.5317908750008</v>
      </c>
      <c r="Q109" s="32">
        <v>3762.9296834062488</v>
      </c>
      <c r="R109" s="32">
        <v>3987.06160190625</v>
      </c>
      <c r="S109" s="32">
        <v>4067.614401374999</v>
      </c>
      <c r="T109" s="32">
        <v>3968.0126062499985</v>
      </c>
      <c r="U109" s="32">
        <v>3845.1080935312507</v>
      </c>
      <c r="V109" s="32">
        <v>4145.9217377812492</v>
      </c>
      <c r="W109" s="32">
        <v>4057.7957411250013</v>
      </c>
      <c r="X109" s="32">
        <v>3781.8892394062486</v>
      </c>
      <c r="Y109" s="32">
        <v>3423.1510064062504</v>
      </c>
      <c r="Z109" s="32">
        <v>2975.7481306874988</v>
      </c>
      <c r="AA109" s="32">
        <v>2626.2275930625005</v>
      </c>
      <c r="AB109" s="23">
        <f t="shared" si="26"/>
        <v>449592.28371224995</v>
      </c>
      <c r="AC109" s="5">
        <f>+AB107+AB108+AB109</f>
        <v>1979975.3165219999</v>
      </c>
    </row>
    <row r="110" spans="1:29" x14ac:dyDescent="0.25">
      <c r="A110" s="39"/>
    </row>
    <row r="111" spans="1:29" x14ac:dyDescent="0.25">
      <c r="A111" s="21" t="s">
        <v>38</v>
      </c>
      <c r="B111" s="22">
        <v>20</v>
      </c>
      <c r="C111" s="51">
        <v>46692</v>
      </c>
      <c r="D111" s="32">
        <v>1517.87660416875</v>
      </c>
      <c r="E111" s="32">
        <v>1476.6053166112497</v>
      </c>
      <c r="F111" s="32">
        <v>1445.8455459787499</v>
      </c>
      <c r="G111" s="32">
        <v>1429.5276440549997</v>
      </c>
      <c r="H111" s="32">
        <v>1425.7934171381244</v>
      </c>
      <c r="I111" s="32">
        <v>1441.6490734537501</v>
      </c>
      <c r="J111" s="32">
        <v>1458.0211713243755</v>
      </c>
      <c r="K111" s="32">
        <v>1554.3403728693752</v>
      </c>
      <c r="L111" s="32">
        <v>1665.2551811568749</v>
      </c>
      <c r="M111" s="32">
        <v>1761.5674305731247</v>
      </c>
      <c r="N111" s="32">
        <v>1835.8519109174993</v>
      </c>
      <c r="O111" s="32">
        <v>1892.4066107887493</v>
      </c>
      <c r="P111" s="32">
        <v>1885.9650183674999</v>
      </c>
      <c r="Q111" s="32">
        <v>1891.7113550737495</v>
      </c>
      <c r="R111" s="32">
        <v>1931.22618924375</v>
      </c>
      <c r="S111" s="32">
        <v>1937.8447014937492</v>
      </c>
      <c r="T111" s="32">
        <v>1905.586546972499</v>
      </c>
      <c r="U111" s="32">
        <v>1878.140177235</v>
      </c>
      <c r="V111" s="32">
        <v>1948.0563350718742</v>
      </c>
      <c r="W111" s="32">
        <v>1938.5532115031249</v>
      </c>
      <c r="X111" s="32">
        <v>1877.4589629993745</v>
      </c>
      <c r="Y111" s="32">
        <v>1794.0798224212497</v>
      </c>
      <c r="Z111" s="32">
        <v>1687.9339026899993</v>
      </c>
      <c r="AA111" s="32">
        <v>1593.2693345624994</v>
      </c>
      <c r="AB111" s="23">
        <f>SUM(D111:AA111)*B111</f>
        <v>823491.31673339976</v>
      </c>
      <c r="AC111" s="33"/>
    </row>
    <row r="112" spans="1:29" x14ac:dyDescent="0.25">
      <c r="A112" s="21" t="s">
        <v>39</v>
      </c>
      <c r="B112" s="22">
        <v>4</v>
      </c>
      <c r="C112" s="52"/>
      <c r="D112" s="32">
        <v>1532.6127307968745</v>
      </c>
      <c r="E112" s="32">
        <v>1490.4253613812493</v>
      </c>
      <c r="F112" s="32">
        <v>1459.2582807468748</v>
      </c>
      <c r="G112" s="32">
        <v>1431.9532194187493</v>
      </c>
      <c r="H112" s="32">
        <v>1419.2737273968744</v>
      </c>
      <c r="I112" s="32">
        <v>1429.7547777187494</v>
      </c>
      <c r="J112" s="32">
        <v>1449.5606334562497</v>
      </c>
      <c r="K112" s="32">
        <v>1557.41479149375</v>
      </c>
      <c r="L112" s="32">
        <v>1670.5155275156239</v>
      </c>
      <c r="M112" s="32">
        <v>1764.8115986812491</v>
      </c>
      <c r="N112" s="32">
        <v>1831.3185499874994</v>
      </c>
      <c r="O112" s="32">
        <v>1890.1821591843748</v>
      </c>
      <c r="P112" s="32">
        <v>1883.4686124187492</v>
      </c>
      <c r="Q112" s="32">
        <v>1891.8982191374989</v>
      </c>
      <c r="R112" s="32">
        <v>1931.7176309812496</v>
      </c>
      <c r="S112" s="32">
        <v>1927.4124854249999</v>
      </c>
      <c r="T112" s="32">
        <v>1890.3095780624994</v>
      </c>
      <c r="U112" s="32">
        <v>1870.0430852249995</v>
      </c>
      <c r="V112" s="32">
        <v>1957.5869799937498</v>
      </c>
      <c r="W112" s="32">
        <v>1948.8447182531243</v>
      </c>
      <c r="X112" s="32">
        <v>1888.4857253062492</v>
      </c>
      <c r="Y112" s="32">
        <v>1796.0002967812502</v>
      </c>
      <c r="Z112" s="32">
        <v>1683.7768101656243</v>
      </c>
      <c r="AA112" s="32">
        <v>1588.0101723281246</v>
      </c>
      <c r="AB112" s="23">
        <f t="shared" ref="AB112:AB113" si="27">SUM(D112:AA112)*B112</f>
        <v>164738.54268742498</v>
      </c>
      <c r="AC112" s="33"/>
    </row>
    <row r="113" spans="1:29" x14ac:dyDescent="0.25">
      <c r="A113" s="21" t="s">
        <v>40</v>
      </c>
      <c r="B113" s="22">
        <v>6</v>
      </c>
      <c r="C113" s="52"/>
      <c r="D113" s="32">
        <v>1517.2038822937493</v>
      </c>
      <c r="E113" s="32">
        <v>1487.6336392312501</v>
      </c>
      <c r="F113" s="32">
        <v>1462.3480967812498</v>
      </c>
      <c r="G113" s="32">
        <v>1440.9575648999994</v>
      </c>
      <c r="H113" s="32">
        <v>1425.8612375437499</v>
      </c>
      <c r="I113" s="32">
        <v>1436.5772596874995</v>
      </c>
      <c r="J113" s="32">
        <v>1454.5350402187501</v>
      </c>
      <c r="K113" s="32">
        <v>1554.7411537875</v>
      </c>
      <c r="L113" s="32">
        <v>1673.4180501937497</v>
      </c>
      <c r="M113" s="32">
        <v>1760.82606853125</v>
      </c>
      <c r="N113" s="32">
        <v>1828.4859178687498</v>
      </c>
      <c r="O113" s="32">
        <v>1886.1432050999997</v>
      </c>
      <c r="P113" s="32">
        <v>1879.8082289437493</v>
      </c>
      <c r="Q113" s="32">
        <v>1888.2883533937493</v>
      </c>
      <c r="R113" s="32">
        <v>1927.0951927499991</v>
      </c>
      <c r="S113" s="32">
        <v>1928.7741436687497</v>
      </c>
      <c r="T113" s="32">
        <v>1888.8496444124999</v>
      </c>
      <c r="U113" s="32">
        <v>1862.9121664124996</v>
      </c>
      <c r="V113" s="32">
        <v>1936.8923102812496</v>
      </c>
      <c r="W113" s="32">
        <v>1945.4644135499998</v>
      </c>
      <c r="X113" s="32">
        <v>1892.3985300937497</v>
      </c>
      <c r="Y113" s="32">
        <v>1806.8752017750001</v>
      </c>
      <c r="Z113" s="32">
        <v>1694.8311355499993</v>
      </c>
      <c r="AA113" s="32">
        <v>1590.5999027624991</v>
      </c>
      <c r="AB113" s="23">
        <f t="shared" si="27"/>
        <v>247029.12203838746</v>
      </c>
      <c r="AC113" s="5">
        <f>+AB111+AB112+AB113</f>
        <v>1235258.9814592123</v>
      </c>
    </row>
    <row r="114" spans="1:29" x14ac:dyDescent="0.25">
      <c r="A114" s="39"/>
    </row>
    <row r="115" spans="1:29" x14ac:dyDescent="0.25">
      <c r="A115" s="21" t="s">
        <v>38</v>
      </c>
      <c r="B115" s="22">
        <v>22</v>
      </c>
      <c r="C115" s="51">
        <v>46722</v>
      </c>
      <c r="D115" s="32">
        <v>1535.0931506710219</v>
      </c>
      <c r="E115" s="32">
        <v>1495.4281094812497</v>
      </c>
      <c r="F115" s="32">
        <v>1465.5502460096591</v>
      </c>
      <c r="G115" s="32">
        <v>1442.0818757505683</v>
      </c>
      <c r="H115" s="32">
        <v>1430.4645494999995</v>
      </c>
      <c r="I115" s="32">
        <v>1443.2193519903401</v>
      </c>
      <c r="J115" s="32">
        <v>1458.7248165596595</v>
      </c>
      <c r="K115" s="32">
        <v>1556.7568974920455</v>
      </c>
      <c r="L115" s="32">
        <v>1666.9337520937504</v>
      </c>
      <c r="M115" s="32">
        <v>1758.010549694317</v>
      </c>
      <c r="N115" s="32">
        <v>1827.9904473051131</v>
      </c>
      <c r="O115" s="32">
        <v>1888.2811935153406</v>
      </c>
      <c r="P115" s="32">
        <v>1886.2779567784089</v>
      </c>
      <c r="Q115" s="32">
        <v>1898.1172520386356</v>
      </c>
      <c r="R115" s="32">
        <v>1942.2028311238632</v>
      </c>
      <c r="S115" s="32">
        <v>1949.4305452124986</v>
      </c>
      <c r="T115" s="32">
        <v>1916.0457494420448</v>
      </c>
      <c r="U115" s="32">
        <v>1888.7614785971582</v>
      </c>
      <c r="V115" s="32">
        <v>1962.4067124494313</v>
      </c>
      <c r="W115" s="32">
        <v>1958.6077373147725</v>
      </c>
      <c r="X115" s="32">
        <v>1900.3442918727269</v>
      </c>
      <c r="Y115" s="32">
        <v>1813.2004624602275</v>
      </c>
      <c r="Z115" s="32">
        <v>1704.3048135153399</v>
      </c>
      <c r="AA115" s="32">
        <v>1608.021706617614</v>
      </c>
      <c r="AB115" s="23">
        <f>SUM(D115:AA115)*B115</f>
        <v>910717.64250468707</v>
      </c>
      <c r="AC115" s="33"/>
    </row>
    <row r="116" spans="1:29" x14ac:dyDescent="0.25">
      <c r="A116" s="21" t="s">
        <v>39</v>
      </c>
      <c r="B116" s="22">
        <v>4</v>
      </c>
      <c r="C116" s="52"/>
      <c r="D116" s="32">
        <v>1525.9145026781252</v>
      </c>
      <c r="E116" s="32">
        <v>1487.1466756124996</v>
      </c>
      <c r="F116" s="32">
        <v>1459.7501877000002</v>
      </c>
      <c r="G116" s="32">
        <v>1453.1107909500001</v>
      </c>
      <c r="H116" s="32">
        <v>1446.1650078749994</v>
      </c>
      <c r="I116" s="32">
        <v>1457.0518835250002</v>
      </c>
      <c r="J116" s="32">
        <v>1460.1655382343747</v>
      </c>
      <c r="K116" s="32">
        <v>1548.2181546562501</v>
      </c>
      <c r="L116" s="32">
        <v>1655.2637445093746</v>
      </c>
      <c r="M116" s="32">
        <v>1755.2320324874997</v>
      </c>
      <c r="N116" s="32">
        <v>1839.1634777249997</v>
      </c>
      <c r="O116" s="32">
        <v>1896.2518408312499</v>
      </c>
      <c r="P116" s="32">
        <v>1891.1802274312493</v>
      </c>
      <c r="Q116" s="32">
        <v>1898.2013720906248</v>
      </c>
      <c r="R116" s="32">
        <v>1940.6706420937489</v>
      </c>
      <c r="S116" s="32">
        <v>1942.7205059718744</v>
      </c>
      <c r="T116" s="32">
        <v>1909.3447823624997</v>
      </c>
      <c r="U116" s="32">
        <v>1884.3895619718746</v>
      </c>
      <c r="V116" s="32">
        <v>1954.5911218968747</v>
      </c>
      <c r="W116" s="32">
        <v>1950.2279114062489</v>
      </c>
      <c r="X116" s="32">
        <v>1892.0021529937494</v>
      </c>
      <c r="Y116" s="32">
        <v>1820.3425202812491</v>
      </c>
      <c r="Z116" s="32">
        <v>1711.5920858531249</v>
      </c>
      <c r="AA116" s="32">
        <v>1610.8950225374995</v>
      </c>
      <c r="AB116" s="23">
        <f t="shared" ref="AB116:AB117" si="28">SUM(D116:AA116)*B116</f>
        <v>165558.36697470001</v>
      </c>
      <c r="AC116" s="33"/>
    </row>
    <row r="117" spans="1:29" x14ac:dyDescent="0.25">
      <c r="A117" s="21" t="s">
        <v>40</v>
      </c>
      <c r="B117" s="22">
        <v>5</v>
      </c>
      <c r="C117" s="52"/>
      <c r="D117" s="32">
        <v>1543.3842938850003</v>
      </c>
      <c r="E117" s="32">
        <v>1494.4921960499998</v>
      </c>
      <c r="F117" s="32">
        <v>1461.2386501124995</v>
      </c>
      <c r="G117" s="32">
        <v>1444.6502336700003</v>
      </c>
      <c r="H117" s="32">
        <v>1445.5382024474998</v>
      </c>
      <c r="I117" s="32">
        <v>1452.4063755075003</v>
      </c>
      <c r="J117" s="32">
        <v>1463.8241779874995</v>
      </c>
      <c r="K117" s="32">
        <v>1549.94368158</v>
      </c>
      <c r="L117" s="32">
        <v>1654.9763409899997</v>
      </c>
      <c r="M117" s="32">
        <v>1746.7589070224994</v>
      </c>
      <c r="N117" s="32">
        <v>1817.7094466999997</v>
      </c>
      <c r="O117" s="32">
        <v>1885.3801666874992</v>
      </c>
      <c r="P117" s="32">
        <v>1882.5827789474999</v>
      </c>
      <c r="Q117" s="32">
        <v>1891.7483407199998</v>
      </c>
      <c r="R117" s="32">
        <v>1927.4416915949996</v>
      </c>
      <c r="S117" s="32">
        <v>1934.8677672975</v>
      </c>
      <c r="T117" s="32">
        <v>1901.3718513824992</v>
      </c>
      <c r="U117" s="32">
        <v>1884.1813803224991</v>
      </c>
      <c r="V117" s="32">
        <v>1967.764884434999</v>
      </c>
      <c r="W117" s="32">
        <v>1959.332912144999</v>
      </c>
      <c r="X117" s="32">
        <v>1900.6987760774996</v>
      </c>
      <c r="Y117" s="32">
        <v>1818.7323668324998</v>
      </c>
      <c r="Z117" s="32">
        <v>1718.067863925</v>
      </c>
      <c r="AA117" s="32">
        <v>1616.2263935999999</v>
      </c>
      <c r="AB117" s="23">
        <f t="shared" si="28"/>
        <v>206816.59839959993</v>
      </c>
      <c r="AC117" s="5">
        <f>+AB115+AB116+AB117</f>
        <v>1283092.6078789872</v>
      </c>
    </row>
    <row r="118" spans="1:29" x14ac:dyDescent="0.25">
      <c r="A118" s="29">
        <v>2028</v>
      </c>
      <c r="B118" s="29"/>
      <c r="C118" s="29"/>
      <c r="AB118" s="31"/>
      <c r="AC118" s="31"/>
    </row>
    <row r="119" spans="1:29" x14ac:dyDescent="0.25">
      <c r="A119" s="21" t="s">
        <v>38</v>
      </c>
      <c r="B119" s="22">
        <v>20</v>
      </c>
      <c r="C119" s="51">
        <v>46753</v>
      </c>
      <c r="D119" s="32">
        <v>3935.5722964312513</v>
      </c>
      <c r="E119" s="32">
        <v>3731.5942450781267</v>
      </c>
      <c r="F119" s="32">
        <v>3585.9497014312519</v>
      </c>
      <c r="G119" s="32">
        <v>3497.1345798656248</v>
      </c>
      <c r="H119" s="32">
        <v>3466.4901706593755</v>
      </c>
      <c r="I119" s="32">
        <v>3512.961255590626</v>
      </c>
      <c r="J119" s="32">
        <v>3563.175037040628</v>
      </c>
      <c r="K119" s="32">
        <v>4017.6847318406253</v>
      </c>
      <c r="L119" s="32">
        <v>4555.2136275468783</v>
      </c>
      <c r="M119" s="32">
        <v>5022.7062654843767</v>
      </c>
      <c r="N119" s="32">
        <v>5386.6280626218777</v>
      </c>
      <c r="O119" s="32">
        <v>5682.8801806500005</v>
      </c>
      <c r="P119" s="32">
        <v>5652.0745959843771</v>
      </c>
      <c r="Q119" s="32">
        <v>5671.2424938375016</v>
      </c>
      <c r="R119" s="32">
        <v>5849.977483509374</v>
      </c>
      <c r="S119" s="32">
        <v>5879.9189418656279</v>
      </c>
      <c r="T119" s="32">
        <v>5723.5731636843766</v>
      </c>
      <c r="U119" s="32">
        <v>5619.0592873031264</v>
      </c>
      <c r="V119" s="32">
        <v>6016.3780406250035</v>
      </c>
      <c r="W119" s="32">
        <v>6017.093733028124</v>
      </c>
      <c r="X119" s="32">
        <v>5731.9329713250045</v>
      </c>
      <c r="Y119" s="32">
        <v>5325.709194384377</v>
      </c>
      <c r="Z119" s="32">
        <v>4800.5090047312524</v>
      </c>
      <c r="AA119" s="32">
        <v>4311.8088766218771</v>
      </c>
      <c r="AB119" s="23">
        <f>SUM(D119:AA119)*B119</f>
        <v>2331145.3588228133</v>
      </c>
      <c r="AC119" s="33"/>
    </row>
    <row r="120" spans="1:29" x14ac:dyDescent="0.25">
      <c r="A120" s="21" t="s">
        <v>39</v>
      </c>
      <c r="B120" s="22">
        <v>5</v>
      </c>
      <c r="C120" s="52"/>
      <c r="D120" s="32">
        <v>3975.6921505499995</v>
      </c>
      <c r="E120" s="32">
        <v>3768.9269656125007</v>
      </c>
      <c r="F120" s="32">
        <v>3614.0518645500006</v>
      </c>
      <c r="G120" s="32">
        <v>3469.3805821124997</v>
      </c>
      <c r="H120" s="32">
        <v>3408.5754540750004</v>
      </c>
      <c r="I120" s="32">
        <v>3481.650373125</v>
      </c>
      <c r="J120" s="32">
        <v>3595.8414507375005</v>
      </c>
      <c r="K120" s="32">
        <v>4043.8343381250006</v>
      </c>
      <c r="L120" s="32">
        <v>4576.9449371249993</v>
      </c>
      <c r="M120" s="32">
        <v>4991.03067405</v>
      </c>
      <c r="N120" s="32">
        <v>5322.1621729125</v>
      </c>
      <c r="O120" s="32">
        <v>5612.4016065750002</v>
      </c>
      <c r="P120" s="32">
        <v>5584.963189012502</v>
      </c>
      <c r="Q120" s="32">
        <v>5669.1047778374996</v>
      </c>
      <c r="R120" s="32">
        <v>5882.1585802500013</v>
      </c>
      <c r="S120" s="32">
        <v>5916.297548662501</v>
      </c>
      <c r="T120" s="32">
        <v>5724.5888164124999</v>
      </c>
      <c r="U120" s="32">
        <v>5614.16814075</v>
      </c>
      <c r="V120" s="32">
        <v>5992.6170086624998</v>
      </c>
      <c r="W120" s="32">
        <v>6012.5153050874997</v>
      </c>
      <c r="X120" s="32">
        <v>5767.2972976124993</v>
      </c>
      <c r="Y120" s="32">
        <v>5326.5700072874988</v>
      </c>
      <c r="Z120" s="32">
        <v>4786.8802419000003</v>
      </c>
      <c r="AA120" s="32">
        <v>4313.9497888875003</v>
      </c>
      <c r="AB120" s="23">
        <f t="shared" ref="AB120:AB121" si="29">SUM(D120:AA120)*B120</f>
        <v>582258.01635956264</v>
      </c>
      <c r="AC120" s="33"/>
    </row>
    <row r="121" spans="1:29" x14ac:dyDescent="0.25">
      <c r="A121" s="21" t="s">
        <v>40</v>
      </c>
      <c r="B121" s="22">
        <v>6</v>
      </c>
      <c r="C121" s="52"/>
      <c r="D121" s="32">
        <v>3981.5262244687501</v>
      </c>
      <c r="E121" s="32">
        <v>3796.4437692187498</v>
      </c>
      <c r="F121" s="32">
        <v>3661.0437767812487</v>
      </c>
      <c r="G121" s="32">
        <v>3557.8001800312513</v>
      </c>
      <c r="H121" s="32">
        <v>3487.0373246250001</v>
      </c>
      <c r="I121" s="32">
        <v>3516.7829104687489</v>
      </c>
      <c r="J121" s="32">
        <v>3577.2959388749991</v>
      </c>
      <c r="K121" s="32">
        <v>4087.6680699375006</v>
      </c>
      <c r="L121" s="32">
        <v>4645.3904051250011</v>
      </c>
      <c r="M121" s="32">
        <v>5078.4861488437491</v>
      </c>
      <c r="N121" s="32">
        <v>5381.0286883124982</v>
      </c>
      <c r="O121" s="32">
        <v>5630.8124625000019</v>
      </c>
      <c r="P121" s="32">
        <v>5580.8762730937506</v>
      </c>
      <c r="Q121" s="32">
        <v>5626.2411444374993</v>
      </c>
      <c r="R121" s="32">
        <v>5863.1690027812492</v>
      </c>
      <c r="S121" s="32">
        <v>5875.0108601249995</v>
      </c>
      <c r="T121" s="32">
        <v>5700.1006736249983</v>
      </c>
      <c r="U121" s="32">
        <v>5581.9155224062497</v>
      </c>
      <c r="V121" s="32">
        <v>5957.9591853749998</v>
      </c>
      <c r="W121" s="32">
        <v>5941.7946604687504</v>
      </c>
      <c r="X121" s="32">
        <v>5677.0576512187499</v>
      </c>
      <c r="Y121" s="32">
        <v>5293.9754878125004</v>
      </c>
      <c r="Z121" s="32">
        <v>4752.2591472187505</v>
      </c>
      <c r="AA121" s="32">
        <v>4281.9671607187493</v>
      </c>
      <c r="AB121" s="23">
        <f t="shared" si="29"/>
        <v>699201.85601081233</v>
      </c>
      <c r="AC121" s="5">
        <f>+AB119+AB120+AB121</f>
        <v>3612605.2311931881</v>
      </c>
    </row>
    <row r="122" spans="1:29" x14ac:dyDescent="0.25">
      <c r="A122" s="39"/>
    </row>
    <row r="123" spans="1:29" x14ac:dyDescent="0.25">
      <c r="A123" s="21" t="s">
        <v>38</v>
      </c>
      <c r="B123" s="22">
        <v>21</v>
      </c>
      <c r="C123" s="51">
        <v>46784</v>
      </c>
      <c r="D123" s="32">
        <v>3723.221553562501</v>
      </c>
      <c r="E123" s="32">
        <v>3536.9784307500022</v>
      </c>
      <c r="F123" s="32">
        <v>3393.0448824375021</v>
      </c>
      <c r="G123" s="32">
        <v>3290.9839629375006</v>
      </c>
      <c r="H123" s="32">
        <v>3245.9765266875029</v>
      </c>
      <c r="I123" s="32">
        <v>3305.6354692499999</v>
      </c>
      <c r="J123" s="32">
        <v>3384.0169612500013</v>
      </c>
      <c r="K123" s="32">
        <v>3866.2384438125027</v>
      </c>
      <c r="L123" s="32">
        <v>4414.8360534375024</v>
      </c>
      <c r="M123" s="32">
        <v>4842.3597969375005</v>
      </c>
      <c r="N123" s="32">
        <v>5175.1201758750012</v>
      </c>
      <c r="O123" s="32">
        <v>5462.7038591250011</v>
      </c>
      <c r="P123" s="32">
        <v>5435.5994373750018</v>
      </c>
      <c r="Q123" s="32">
        <v>5478.1419256875024</v>
      </c>
      <c r="R123" s="32">
        <v>5680.2254190000021</v>
      </c>
      <c r="S123" s="32">
        <v>5693.397096562504</v>
      </c>
      <c r="T123" s="32">
        <v>5500.5238366875046</v>
      </c>
      <c r="U123" s="32">
        <v>5367.2025946875056</v>
      </c>
      <c r="V123" s="32">
        <v>5736.698343750003</v>
      </c>
      <c r="W123" s="32">
        <v>5726.8868362500034</v>
      </c>
      <c r="X123" s="32">
        <v>5454.5435945625004</v>
      </c>
      <c r="Y123" s="32">
        <v>5051.9375203125019</v>
      </c>
      <c r="Z123" s="32">
        <v>4523.5192464375004</v>
      </c>
      <c r="AA123" s="32">
        <v>4047.0574170000014</v>
      </c>
      <c r="AB123" s="23">
        <f>SUM(D123:AA123)*B123</f>
        <v>2338073.8370718756</v>
      </c>
      <c r="AC123" s="33"/>
    </row>
    <row r="124" spans="1:29" x14ac:dyDescent="0.25">
      <c r="A124" s="21" t="s">
        <v>39</v>
      </c>
      <c r="B124" s="22">
        <v>4</v>
      </c>
      <c r="C124" s="52"/>
      <c r="D124" s="32">
        <v>3720.0235842187503</v>
      </c>
      <c r="E124" s="32">
        <v>3525.0683162812502</v>
      </c>
      <c r="F124" s="32">
        <v>3395.3613805312521</v>
      </c>
      <c r="G124" s="32">
        <v>3287.0277056718751</v>
      </c>
      <c r="H124" s="32">
        <v>3253.7339470312509</v>
      </c>
      <c r="I124" s="32">
        <v>3313.9429062656254</v>
      </c>
      <c r="J124" s="32">
        <v>3362.3582979843754</v>
      </c>
      <c r="K124" s="32">
        <v>3833.3287072031253</v>
      </c>
      <c r="L124" s="32">
        <v>4378.7646586874998</v>
      </c>
      <c r="M124" s="32">
        <v>4895.3085945937491</v>
      </c>
      <c r="N124" s="32">
        <v>5240.6084327812514</v>
      </c>
      <c r="O124" s="32">
        <v>5506.3902360000011</v>
      </c>
      <c r="P124" s="32">
        <v>5437.4445942656257</v>
      </c>
      <c r="Q124" s="32">
        <v>5434.0737389062506</v>
      </c>
      <c r="R124" s="32">
        <v>5614.4467226718762</v>
      </c>
      <c r="S124" s="32">
        <v>5670.4949305781238</v>
      </c>
      <c r="T124" s="32">
        <v>5566.3195136249997</v>
      </c>
      <c r="U124" s="32">
        <v>5426.2037798906258</v>
      </c>
      <c r="V124" s="32">
        <v>5788.1746032656265</v>
      </c>
      <c r="W124" s="32">
        <v>5728.5318683437499</v>
      </c>
      <c r="X124" s="32">
        <v>5414.3424716250001</v>
      </c>
      <c r="Y124" s="32">
        <v>4989.0458949374997</v>
      </c>
      <c r="Z124" s="32">
        <v>4481.0129450156246</v>
      </c>
      <c r="AA124" s="32">
        <v>4065.8314780312512</v>
      </c>
      <c r="AB124" s="23">
        <f t="shared" ref="AB124:AB125" si="30">SUM(D124:AA124)*B124</f>
        <v>445311.35723362502</v>
      </c>
      <c r="AC124" s="33"/>
    </row>
    <row r="125" spans="1:29" x14ac:dyDescent="0.25">
      <c r="A125" s="21" t="s">
        <v>40</v>
      </c>
      <c r="B125" s="22">
        <v>4</v>
      </c>
      <c r="C125" s="52"/>
      <c r="D125" s="32">
        <v>3733.2435061875012</v>
      </c>
      <c r="E125" s="32">
        <v>3551.7773995781258</v>
      </c>
      <c r="F125" s="32">
        <v>3387.108555750001</v>
      </c>
      <c r="G125" s="32">
        <v>3296.9427559218748</v>
      </c>
      <c r="H125" s="32">
        <v>3253.8251159062511</v>
      </c>
      <c r="I125" s="32">
        <v>3321.7183160625</v>
      </c>
      <c r="J125" s="32">
        <v>3393.9759583593759</v>
      </c>
      <c r="K125" s="32">
        <v>3823.5362362500009</v>
      </c>
      <c r="L125" s="32">
        <v>4357.3793825156245</v>
      </c>
      <c r="M125" s="32">
        <v>4838.1722506875012</v>
      </c>
      <c r="N125" s="32">
        <v>5255.2891150781252</v>
      </c>
      <c r="O125" s="32">
        <v>5519.1790804687516</v>
      </c>
      <c r="P125" s="32">
        <v>5477.7259585312504</v>
      </c>
      <c r="Q125" s="32">
        <v>5467.2554609062518</v>
      </c>
      <c r="R125" s="32">
        <v>5640.039673359377</v>
      </c>
      <c r="S125" s="32">
        <v>5664.5727356718762</v>
      </c>
      <c r="T125" s="32">
        <v>5499.4680785156261</v>
      </c>
      <c r="U125" s="32">
        <v>5437.3030047187513</v>
      </c>
      <c r="V125" s="32">
        <v>5814.917690812501</v>
      </c>
      <c r="W125" s="32">
        <v>5790.2176696406259</v>
      </c>
      <c r="X125" s="32">
        <v>5445.242796281249</v>
      </c>
      <c r="Y125" s="32">
        <v>4994.1520045781253</v>
      </c>
      <c r="Z125" s="32">
        <v>4446.2961285937499</v>
      </c>
      <c r="AA125" s="32">
        <v>4008.1970689218761</v>
      </c>
      <c r="AB125" s="23">
        <f t="shared" si="30"/>
        <v>445670.14377318748</v>
      </c>
      <c r="AC125" s="5">
        <f>+AB123+AB124+AB125</f>
        <v>3229055.3380786879</v>
      </c>
    </row>
    <row r="126" spans="1:29" x14ac:dyDescent="0.25">
      <c r="A126" s="39"/>
    </row>
    <row r="127" spans="1:29" x14ac:dyDescent="0.25">
      <c r="A127" s="21" t="s">
        <v>38</v>
      </c>
      <c r="B127" s="22">
        <v>22</v>
      </c>
      <c r="C127" s="51">
        <v>46813</v>
      </c>
      <c r="D127" s="32">
        <v>3960.8109140710258</v>
      </c>
      <c r="E127" s="32">
        <v>3761.7370060994353</v>
      </c>
      <c r="F127" s="32">
        <v>3619.8376085795471</v>
      </c>
      <c r="G127" s="32">
        <v>3543.2450314090943</v>
      </c>
      <c r="H127" s="32">
        <v>3535.2387526534121</v>
      </c>
      <c r="I127" s="32">
        <v>3620.9144716960263</v>
      </c>
      <c r="J127" s="32">
        <v>3707.4293435795471</v>
      </c>
      <c r="K127" s="32">
        <v>4190.1464534147744</v>
      </c>
      <c r="L127" s="32">
        <v>4737.6095021164783</v>
      </c>
      <c r="M127" s="32">
        <v>5203.8002482755674</v>
      </c>
      <c r="N127" s="32">
        <v>5562.0379824886377</v>
      </c>
      <c r="O127" s="32">
        <v>5841.0600079943206</v>
      </c>
      <c r="P127" s="32">
        <v>5800.1016515454548</v>
      </c>
      <c r="Q127" s="32">
        <v>5823.1960413835241</v>
      </c>
      <c r="R127" s="32">
        <v>6018.7006958096626</v>
      </c>
      <c r="S127" s="32">
        <v>6035.8992397755701</v>
      </c>
      <c r="T127" s="32">
        <v>5864.3185650937503</v>
      </c>
      <c r="U127" s="32">
        <v>5732.6816356193222</v>
      </c>
      <c r="V127" s="32">
        <v>6096.5355417017072</v>
      </c>
      <c r="W127" s="32">
        <v>6049.3179995880728</v>
      </c>
      <c r="X127" s="32">
        <v>5732.1871439659108</v>
      </c>
      <c r="Y127" s="32">
        <v>5305.7979099545491</v>
      </c>
      <c r="Z127" s="32">
        <v>4771.9663971221635</v>
      </c>
      <c r="AA127" s="32">
        <v>4304.1473384659139</v>
      </c>
      <c r="AB127" s="23">
        <f>SUM(D127:AA127)*B127</f>
        <v>2614011.7846128764</v>
      </c>
      <c r="AC127" s="33"/>
    </row>
    <row r="128" spans="1:29" x14ac:dyDescent="0.25">
      <c r="A128" s="21" t="s">
        <v>39</v>
      </c>
      <c r="B128" s="22">
        <v>4</v>
      </c>
      <c r="C128" s="52"/>
      <c r="D128" s="32">
        <v>3954.6701575781249</v>
      </c>
      <c r="E128" s="32">
        <v>3824.4827444531252</v>
      </c>
      <c r="F128" s="32">
        <v>3698.7509758125007</v>
      </c>
      <c r="G128" s="32">
        <v>3617.0740893281236</v>
      </c>
      <c r="H128" s="32">
        <v>3557.8678371093747</v>
      </c>
      <c r="I128" s="32">
        <v>3623.719058624999</v>
      </c>
      <c r="J128" s="32">
        <v>3690.3526289062493</v>
      </c>
      <c r="K128" s="32">
        <v>4171.8978411093758</v>
      </c>
      <c r="L128" s="32">
        <v>4720.1770633124997</v>
      </c>
      <c r="M128" s="32">
        <v>5133.2256170624996</v>
      </c>
      <c r="N128" s="32">
        <v>5473.0369316718734</v>
      </c>
      <c r="O128" s="32">
        <v>5785.1563698750006</v>
      </c>
      <c r="P128" s="32">
        <v>5820.0821317031241</v>
      </c>
      <c r="Q128" s="32">
        <v>5829.7600893281251</v>
      </c>
      <c r="R128" s="32">
        <v>6015.3477051562504</v>
      </c>
      <c r="S128" s="32">
        <v>5993.1883972031237</v>
      </c>
      <c r="T128" s="32">
        <v>5795.7971062968736</v>
      </c>
      <c r="U128" s="32">
        <v>5672.7791010468754</v>
      </c>
      <c r="V128" s="32">
        <v>6053.6029047656248</v>
      </c>
      <c r="W128" s="32">
        <v>6097.2884759999997</v>
      </c>
      <c r="X128" s="32">
        <v>5811.7676240156252</v>
      </c>
      <c r="Y128" s="32">
        <v>5388.5001907031246</v>
      </c>
      <c r="Z128" s="32">
        <v>4797.0062356406243</v>
      </c>
      <c r="AA128" s="32">
        <v>4282.8170271093741</v>
      </c>
      <c r="AB128" s="23">
        <f t="shared" ref="AB128:AB129" si="31">SUM(D128:AA128)*B128</f>
        <v>475233.39321524993</v>
      </c>
      <c r="AC128" s="33"/>
    </row>
    <row r="129" spans="1:29" x14ac:dyDescent="0.25">
      <c r="A129" s="21" t="s">
        <v>40</v>
      </c>
      <c r="B129" s="22">
        <v>5</v>
      </c>
      <c r="C129" s="52"/>
      <c r="D129" s="32">
        <v>3970.5081490875</v>
      </c>
      <c r="E129" s="32">
        <v>3800.1173103749998</v>
      </c>
      <c r="F129" s="32">
        <v>3715.3241117625003</v>
      </c>
      <c r="G129" s="32">
        <v>3639.1236398625006</v>
      </c>
      <c r="H129" s="32">
        <v>3594.0860683499996</v>
      </c>
      <c r="I129" s="32">
        <v>3637.4932565625008</v>
      </c>
      <c r="J129" s="32">
        <v>3708.4314101250015</v>
      </c>
      <c r="K129" s="32">
        <v>4158.8491753875005</v>
      </c>
      <c r="L129" s="32">
        <v>4698.7256160750003</v>
      </c>
      <c r="M129" s="32">
        <v>5150.1858525749994</v>
      </c>
      <c r="N129" s="32">
        <v>5476.9973658375011</v>
      </c>
      <c r="O129" s="32">
        <v>5757.3212806875008</v>
      </c>
      <c r="P129" s="32">
        <v>5722.7419438500001</v>
      </c>
      <c r="Q129" s="32">
        <v>5797.245416249998</v>
      </c>
      <c r="R129" s="32">
        <v>5987.1187891874988</v>
      </c>
      <c r="S129" s="32">
        <v>5991.7356693750007</v>
      </c>
      <c r="T129" s="32">
        <v>5783.5819061624998</v>
      </c>
      <c r="U129" s="32">
        <v>5628.1270728</v>
      </c>
      <c r="V129" s="32">
        <v>5999.7428268374988</v>
      </c>
      <c r="W129" s="32">
        <v>6023.4196514249998</v>
      </c>
      <c r="X129" s="32">
        <v>5813.3777152124985</v>
      </c>
      <c r="Y129" s="32">
        <v>5424.8468950875003</v>
      </c>
      <c r="Z129" s="32">
        <v>4893.7788269624998</v>
      </c>
      <c r="AA129" s="32">
        <v>4385.4436977374999</v>
      </c>
      <c r="AB129" s="23">
        <f t="shared" si="31"/>
        <v>593791.61823787494</v>
      </c>
      <c r="AC129" s="5">
        <f>+AB127+AB128+AB129</f>
        <v>3683036.7960660011</v>
      </c>
    </row>
    <row r="130" spans="1:29" x14ac:dyDescent="0.25">
      <c r="A130" s="39"/>
    </row>
    <row r="131" spans="1:29" x14ac:dyDescent="0.25">
      <c r="A131" s="21" t="s">
        <v>38</v>
      </c>
      <c r="B131" s="22">
        <v>18</v>
      </c>
      <c r="C131" s="51">
        <v>46844</v>
      </c>
      <c r="D131" s="32">
        <v>3884.9646875624994</v>
      </c>
      <c r="E131" s="32">
        <v>3706.8293110000004</v>
      </c>
      <c r="F131" s="32">
        <v>3557.8010220625001</v>
      </c>
      <c r="G131" s="32">
        <v>3453.7002385625019</v>
      </c>
      <c r="H131" s="32">
        <v>3397.6892999687516</v>
      </c>
      <c r="I131" s="32">
        <v>3456.4390905000027</v>
      </c>
      <c r="J131" s="32">
        <v>3534.4571230312513</v>
      </c>
      <c r="K131" s="32">
        <v>4029.8826049374998</v>
      </c>
      <c r="L131" s="32">
        <v>4604.7674139062492</v>
      </c>
      <c r="M131" s="32">
        <v>5093.2642732812528</v>
      </c>
      <c r="N131" s="32">
        <v>5467.5561818750002</v>
      </c>
      <c r="O131" s="32">
        <v>5756.7757156250027</v>
      </c>
      <c r="P131" s="32">
        <v>5734.2296855624991</v>
      </c>
      <c r="Q131" s="32">
        <v>5771.7824411875008</v>
      </c>
      <c r="R131" s="32">
        <v>5968.7336105937511</v>
      </c>
      <c r="S131" s="32">
        <v>5979.8856658437508</v>
      </c>
      <c r="T131" s="32">
        <v>5802.6951492812514</v>
      </c>
      <c r="U131" s="32">
        <v>5683.176565875001</v>
      </c>
      <c r="V131" s="32">
        <v>6055.3591213750005</v>
      </c>
      <c r="W131" s="32">
        <v>6030.0431915312502</v>
      </c>
      <c r="X131" s="32">
        <v>5722.1646288437496</v>
      </c>
      <c r="Y131" s="32">
        <v>5273.9931023750005</v>
      </c>
      <c r="Z131" s="32">
        <v>4709.3273142812504</v>
      </c>
      <c r="AA131" s="32">
        <v>4214.7801602187519</v>
      </c>
      <c r="AB131" s="23">
        <f>SUM(D131:AA131)*B131</f>
        <v>2104025.3567870627</v>
      </c>
      <c r="AC131" s="33"/>
    </row>
    <row r="132" spans="1:29" x14ac:dyDescent="0.25">
      <c r="A132" s="21" t="s">
        <v>39</v>
      </c>
      <c r="B132" s="22">
        <v>5</v>
      </c>
      <c r="C132" s="52"/>
      <c r="D132" s="32">
        <v>3866.6212198499989</v>
      </c>
      <c r="E132" s="32">
        <v>3638.1062204625023</v>
      </c>
      <c r="F132" s="32">
        <v>3480.347933850001</v>
      </c>
      <c r="G132" s="32">
        <v>3411.2176282875016</v>
      </c>
      <c r="H132" s="32">
        <v>3423.9862509375007</v>
      </c>
      <c r="I132" s="32">
        <v>3481.7651479875003</v>
      </c>
      <c r="J132" s="32">
        <v>3551.8175176124996</v>
      </c>
      <c r="K132" s="32">
        <v>4025.7810304500008</v>
      </c>
      <c r="L132" s="32">
        <v>4596.4047030375004</v>
      </c>
      <c r="M132" s="32">
        <v>5059.7170673250002</v>
      </c>
      <c r="N132" s="32">
        <v>5442.0455122500007</v>
      </c>
      <c r="O132" s="32">
        <v>5771.9550804375012</v>
      </c>
      <c r="P132" s="32">
        <v>5738.9774910374999</v>
      </c>
      <c r="Q132" s="32">
        <v>5775.9587997375002</v>
      </c>
      <c r="R132" s="32">
        <v>5963.5209011250008</v>
      </c>
      <c r="S132" s="32">
        <v>6013.0043944499994</v>
      </c>
      <c r="T132" s="32">
        <v>5827.8142501500006</v>
      </c>
      <c r="U132" s="32">
        <v>5691.870212025</v>
      </c>
      <c r="V132" s="32">
        <v>6054.8013073875009</v>
      </c>
      <c r="W132" s="32">
        <v>5987.0126033624992</v>
      </c>
      <c r="X132" s="32">
        <v>5675.4155554499994</v>
      </c>
      <c r="Y132" s="32">
        <v>5270.7886361625006</v>
      </c>
      <c r="Z132" s="32">
        <v>4777.9174885124994</v>
      </c>
      <c r="AA132" s="32">
        <v>4271.4580953000004</v>
      </c>
      <c r="AB132" s="23">
        <f t="shared" ref="AB132:AB133" si="32">SUM(D132:AA132)*B132</f>
        <v>583991.52523593756</v>
      </c>
      <c r="AC132" s="33"/>
    </row>
    <row r="133" spans="1:29" x14ac:dyDescent="0.25">
      <c r="A133" s="21" t="s">
        <v>40</v>
      </c>
      <c r="B133" s="22">
        <v>7</v>
      </c>
      <c r="C133" s="52"/>
      <c r="D133" s="32">
        <v>3951.2365770000006</v>
      </c>
      <c r="E133" s="32">
        <v>3723.5653477499995</v>
      </c>
      <c r="F133" s="32">
        <v>3583.1819094375005</v>
      </c>
      <c r="G133" s="32">
        <v>3491.0616326250001</v>
      </c>
      <c r="H133" s="32">
        <v>3441.1112636250009</v>
      </c>
      <c r="I133" s="32">
        <v>3514.6129704375007</v>
      </c>
      <c r="J133" s="32">
        <v>3580.0483642500003</v>
      </c>
      <c r="K133" s="32">
        <v>4042.7271345000004</v>
      </c>
      <c r="L133" s="32">
        <v>4564.3933335000011</v>
      </c>
      <c r="M133" s="32">
        <v>5020.1545816874996</v>
      </c>
      <c r="N133" s="32">
        <v>5369.2904932500005</v>
      </c>
      <c r="O133" s="32">
        <v>5686.9598032499998</v>
      </c>
      <c r="P133" s="32">
        <v>5671.7264156250012</v>
      </c>
      <c r="Q133" s="32">
        <v>5682.4755453750022</v>
      </c>
      <c r="R133" s="32">
        <v>5876.7343190624988</v>
      </c>
      <c r="S133" s="32">
        <v>5905.1357281875016</v>
      </c>
      <c r="T133" s="32">
        <v>5751.1631358750019</v>
      </c>
      <c r="U133" s="32">
        <v>5612.6831418749998</v>
      </c>
      <c r="V133" s="32">
        <v>5998.1550808124994</v>
      </c>
      <c r="W133" s="32">
        <v>6004.1634577500008</v>
      </c>
      <c r="X133" s="32">
        <v>5742.396455812499</v>
      </c>
      <c r="Y133" s="32">
        <v>5351.7114530624985</v>
      </c>
      <c r="Z133" s="32">
        <v>4826.5952283750012</v>
      </c>
      <c r="AA133" s="32">
        <v>4367.719674750002</v>
      </c>
      <c r="AB133" s="23">
        <f t="shared" si="32"/>
        <v>817313.02133512509</v>
      </c>
      <c r="AC133" s="5">
        <f>+AB131+AB132+AB133</f>
        <v>3505329.9033581251</v>
      </c>
    </row>
    <row r="134" spans="1:29" x14ac:dyDescent="0.25">
      <c r="A134" s="39"/>
    </row>
    <row r="135" spans="1:29" x14ac:dyDescent="0.25">
      <c r="A135" s="21" t="s">
        <v>38</v>
      </c>
      <c r="B135" s="22">
        <v>21</v>
      </c>
      <c r="C135" s="51">
        <v>46874</v>
      </c>
      <c r="D135" s="32">
        <v>2311.2106177500013</v>
      </c>
      <c r="E135" s="32">
        <v>2095.0116950625011</v>
      </c>
      <c r="F135" s="32">
        <v>1946.7176850000017</v>
      </c>
      <c r="G135" s="32">
        <v>1854.3473998124991</v>
      </c>
      <c r="H135" s="32">
        <v>1820.7204828750009</v>
      </c>
      <c r="I135" s="32">
        <v>1884.5182475625004</v>
      </c>
      <c r="J135" s="32">
        <v>1949.2031285624985</v>
      </c>
      <c r="K135" s="32">
        <v>2399.3801349374985</v>
      </c>
      <c r="L135" s="32">
        <v>2931.4970276249996</v>
      </c>
      <c r="M135" s="32">
        <v>3393.9719763750008</v>
      </c>
      <c r="N135" s="32">
        <v>3753.3712841249985</v>
      </c>
      <c r="O135" s="32">
        <v>4058.7898968750001</v>
      </c>
      <c r="P135" s="32">
        <v>4041.1808304374986</v>
      </c>
      <c r="Q135" s="32">
        <v>4081.4748944999992</v>
      </c>
      <c r="R135" s="32">
        <v>4280.3393634375016</v>
      </c>
      <c r="S135" s="32">
        <v>4311.0796644375005</v>
      </c>
      <c r="T135" s="32">
        <v>4148.1368287499981</v>
      </c>
      <c r="U135" s="32">
        <v>4037.5886868749999</v>
      </c>
      <c r="V135" s="32">
        <v>4420.1289418125007</v>
      </c>
      <c r="W135" s="32">
        <v>4400.498276812501</v>
      </c>
      <c r="X135" s="32">
        <v>4110.7649085000012</v>
      </c>
      <c r="Y135" s="32">
        <v>3692.1728045625014</v>
      </c>
      <c r="Z135" s="32">
        <v>3157.6233521250015</v>
      </c>
      <c r="AA135" s="32">
        <v>2678.0158554375012</v>
      </c>
      <c r="AB135" s="23">
        <f>SUM(D135:AA135)*B135</f>
        <v>1632912.6236692499</v>
      </c>
      <c r="AC135" s="33"/>
    </row>
    <row r="136" spans="1:29" x14ac:dyDescent="0.25">
      <c r="A136" s="21" t="s">
        <v>39</v>
      </c>
      <c r="B136" s="22">
        <v>4</v>
      </c>
      <c r="C136" s="52"/>
      <c r="D136" s="32">
        <v>2360.7808622343746</v>
      </c>
      <c r="E136" s="32">
        <v>2140.3977951562497</v>
      </c>
      <c r="F136" s="32">
        <v>1983.9321252187497</v>
      </c>
      <c r="G136" s="32">
        <v>1843.1898397499995</v>
      </c>
      <c r="H136" s="32">
        <v>1779.3833915156242</v>
      </c>
      <c r="I136" s="32">
        <v>1841.3504474531246</v>
      </c>
      <c r="J136" s="32">
        <v>1919.5818600000002</v>
      </c>
      <c r="K136" s="32">
        <v>2456.0538594374998</v>
      </c>
      <c r="L136" s="32">
        <v>3007.0977844687495</v>
      </c>
      <c r="M136" s="32">
        <v>3458.6724338906256</v>
      </c>
      <c r="N136" s="32">
        <v>3756.2304724218757</v>
      </c>
      <c r="O136" s="32">
        <v>4011.3083836874994</v>
      </c>
      <c r="P136" s="32">
        <v>3970.3134154687496</v>
      </c>
      <c r="Q136" s="32">
        <v>4047.2694343593748</v>
      </c>
      <c r="R136" s="32">
        <v>4311.7762957499999</v>
      </c>
      <c r="S136" s="32">
        <v>4331.3172597187504</v>
      </c>
      <c r="T136" s="32">
        <v>4162.8244271249996</v>
      </c>
      <c r="U136" s="32">
        <v>4038.6902725312502</v>
      </c>
      <c r="V136" s="32">
        <v>4426.7896135312485</v>
      </c>
      <c r="W136" s="32">
        <v>4395.3384769218746</v>
      </c>
      <c r="X136" s="32">
        <v>4111.2527816718739</v>
      </c>
      <c r="Y136" s="32">
        <v>3693.7599126093755</v>
      </c>
      <c r="Z136" s="32">
        <v>3135.1130757187511</v>
      </c>
      <c r="AA136" s="32">
        <v>2651.6312277656257</v>
      </c>
      <c r="AB136" s="23">
        <f t="shared" ref="AB136:AB137" si="33">SUM(D136:AA136)*B136</f>
        <v>311336.22179362498</v>
      </c>
      <c r="AC136" s="33"/>
    </row>
    <row r="137" spans="1:29" x14ac:dyDescent="0.25">
      <c r="A137" s="21" t="s">
        <v>40</v>
      </c>
      <c r="B137" s="22">
        <v>6</v>
      </c>
      <c r="C137" s="52"/>
      <c r="D137" s="32">
        <v>2309.0549593125006</v>
      </c>
      <c r="E137" s="32">
        <v>2136.5528493750007</v>
      </c>
      <c r="F137" s="32">
        <v>1971.0056907187502</v>
      </c>
      <c r="G137" s="32">
        <v>1843.5718074375006</v>
      </c>
      <c r="H137" s="32">
        <v>1771.0549552500001</v>
      </c>
      <c r="I137" s="32">
        <v>1791.0360779062489</v>
      </c>
      <c r="J137" s="32">
        <v>1847.095587093751</v>
      </c>
      <c r="K137" s="32">
        <v>2349.7751825625005</v>
      </c>
      <c r="L137" s="32">
        <v>2921.6682311250015</v>
      </c>
      <c r="M137" s="32">
        <v>3366.2401526250005</v>
      </c>
      <c r="N137" s="32">
        <v>3721.8365848125004</v>
      </c>
      <c r="O137" s="32">
        <v>3996.7365138749992</v>
      </c>
      <c r="P137" s="32">
        <v>3969.4077734062503</v>
      </c>
      <c r="Q137" s="32">
        <v>4041.2319005625</v>
      </c>
      <c r="R137" s="32">
        <v>4276.6250493749994</v>
      </c>
      <c r="S137" s="32">
        <v>4374.2618272500022</v>
      </c>
      <c r="T137" s="32">
        <v>4242.8389933125</v>
      </c>
      <c r="U137" s="32">
        <v>4120.4493973124991</v>
      </c>
      <c r="V137" s="32">
        <v>4480.5827082187488</v>
      </c>
      <c r="W137" s="32">
        <v>4462.1297129062496</v>
      </c>
      <c r="X137" s="32">
        <v>4171.8191648437514</v>
      </c>
      <c r="Y137" s="32">
        <v>3736.629995437499</v>
      </c>
      <c r="Z137" s="32">
        <v>3199.7444895937497</v>
      </c>
      <c r="AA137" s="32">
        <v>2696.6544891562503</v>
      </c>
      <c r="AB137" s="23">
        <f t="shared" si="33"/>
        <v>466788.02456081251</v>
      </c>
      <c r="AC137" s="5">
        <f>+AB135+AB136+AB137</f>
        <v>2411036.8700236874</v>
      </c>
    </row>
    <row r="138" spans="1:29" x14ac:dyDescent="0.25">
      <c r="A138" s="39"/>
    </row>
    <row r="139" spans="1:29" x14ac:dyDescent="0.25">
      <c r="A139" s="21" t="s">
        <v>38</v>
      </c>
      <c r="B139" s="22">
        <v>20</v>
      </c>
      <c r="C139" s="51">
        <v>46905</v>
      </c>
      <c r="D139" s="32">
        <v>0</v>
      </c>
      <c r="E139" s="32">
        <v>0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215.53817656874978</v>
      </c>
      <c r="M139" s="32">
        <v>653.50375951874867</v>
      </c>
      <c r="N139" s="32">
        <v>983.42926552499694</v>
      </c>
      <c r="O139" s="32">
        <v>1251.7613172093738</v>
      </c>
      <c r="P139" s="32">
        <v>1205.1903347531249</v>
      </c>
      <c r="Q139" s="32">
        <v>1244.8336909312511</v>
      </c>
      <c r="R139" s="32">
        <v>1451.1167719124992</v>
      </c>
      <c r="S139" s="32">
        <v>1483.4905750218752</v>
      </c>
      <c r="T139" s="32">
        <v>1311.1395084374992</v>
      </c>
      <c r="U139" s="32">
        <v>1170.3740492062475</v>
      </c>
      <c r="V139" s="32">
        <v>1529.4393934968721</v>
      </c>
      <c r="W139" s="32">
        <v>1518.290966259374</v>
      </c>
      <c r="X139" s="32">
        <v>1257.2655945281272</v>
      </c>
      <c r="Y139" s="32">
        <v>869.35217578124889</v>
      </c>
      <c r="Z139" s="32">
        <v>357.24901419374919</v>
      </c>
      <c r="AA139" s="32">
        <v>0</v>
      </c>
      <c r="AB139" s="23">
        <f>SUM(D139:AA139)*B139</f>
        <v>330039.4918668748</v>
      </c>
      <c r="AC139" s="33"/>
    </row>
    <row r="140" spans="1:29" x14ac:dyDescent="0.25">
      <c r="A140" s="21" t="s">
        <v>39</v>
      </c>
      <c r="B140" s="22">
        <v>4</v>
      </c>
      <c r="C140" s="52"/>
      <c r="D140" s="32">
        <v>0</v>
      </c>
      <c r="E140" s="32">
        <v>0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109.2853978125022</v>
      </c>
      <c r="M140" s="32">
        <v>599.90787051562734</v>
      </c>
      <c r="N140" s="32">
        <v>1021.0582882500012</v>
      </c>
      <c r="O140" s="32">
        <v>1294.3944736406265</v>
      </c>
      <c r="P140" s="32">
        <v>1253.5716017343775</v>
      </c>
      <c r="Q140" s="32">
        <v>1247.3180996718763</v>
      </c>
      <c r="R140" s="32">
        <v>1420.5113002500011</v>
      </c>
      <c r="S140" s="32">
        <v>1435.4825415000014</v>
      </c>
      <c r="T140" s="32">
        <v>1291.1757672187523</v>
      </c>
      <c r="U140" s="32">
        <v>1231.8094674375011</v>
      </c>
      <c r="V140" s="32">
        <v>1623.8839420781273</v>
      </c>
      <c r="W140" s="32">
        <v>1619.0896105781271</v>
      </c>
      <c r="X140" s="32">
        <v>1309.0914384843759</v>
      </c>
      <c r="Y140" s="32">
        <v>897.24079823437683</v>
      </c>
      <c r="Z140" s="32">
        <v>356.81215664062722</v>
      </c>
      <c r="AA140" s="32">
        <v>0</v>
      </c>
      <c r="AB140" s="23">
        <f t="shared" ref="AB140:AB141" si="34">SUM(D140:AA140)*B140</f>
        <v>66842.531016187611</v>
      </c>
      <c r="AC140" s="33"/>
    </row>
    <row r="141" spans="1:29" x14ac:dyDescent="0.25">
      <c r="A141" s="21" t="s">
        <v>40</v>
      </c>
      <c r="B141" s="22">
        <v>6</v>
      </c>
      <c r="C141" s="52"/>
      <c r="D141" s="32">
        <v>0</v>
      </c>
      <c r="E141" s="32">
        <v>0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100</v>
      </c>
      <c r="M141" s="32">
        <v>552.3967207500026</v>
      </c>
      <c r="N141" s="32">
        <v>913.74087525000175</v>
      </c>
      <c r="O141" s="32">
        <v>1265.2909355625011</v>
      </c>
      <c r="P141" s="32">
        <v>1273.3586000625014</v>
      </c>
      <c r="Q141" s="32">
        <v>1314.2754075937532</v>
      </c>
      <c r="R141" s="32">
        <v>1477.5711903750021</v>
      </c>
      <c r="S141" s="32">
        <v>1468.3599544687499</v>
      </c>
      <c r="T141" s="32">
        <v>1282.690278843751</v>
      </c>
      <c r="U141" s="32">
        <v>1192.2392192812526</v>
      </c>
      <c r="V141" s="32">
        <v>1636.1593926562507</v>
      </c>
      <c r="W141" s="32">
        <v>1667.9350255312506</v>
      </c>
      <c r="X141" s="32">
        <v>1385.0627621250023</v>
      </c>
      <c r="Y141" s="32">
        <v>957.59337187500182</v>
      </c>
      <c r="Z141" s="32">
        <v>413.97225778125153</v>
      </c>
      <c r="AA141" s="32">
        <v>0</v>
      </c>
      <c r="AB141" s="23">
        <f t="shared" si="34"/>
        <v>101403.87595293763</v>
      </c>
      <c r="AC141" s="5">
        <f>+AB139+AB140+AB141</f>
        <v>498285.89883600007</v>
      </c>
    </row>
    <row r="142" spans="1:29" x14ac:dyDescent="0.25">
      <c r="A142" s="39"/>
    </row>
    <row r="143" spans="1:29" x14ac:dyDescent="0.25">
      <c r="A143" s="21" t="s">
        <v>38</v>
      </c>
      <c r="B143" s="22">
        <v>19</v>
      </c>
      <c r="C143" s="51">
        <v>46935</v>
      </c>
      <c r="D143" s="32">
        <v>2377.2033974407886</v>
      </c>
      <c r="E143" s="32">
        <v>2195.6262582532904</v>
      </c>
      <c r="F143" s="32">
        <v>2054.5038787598687</v>
      </c>
      <c r="G143" s="32">
        <v>1972.9216868190781</v>
      </c>
      <c r="H143" s="32">
        <v>1950.1667099802626</v>
      </c>
      <c r="I143" s="32">
        <v>2013.4414322565785</v>
      </c>
      <c r="J143" s="32">
        <v>2082.2044728947367</v>
      </c>
      <c r="K143" s="32">
        <v>2550.69640667763</v>
      </c>
      <c r="L143" s="32">
        <v>3093.7374656447364</v>
      </c>
      <c r="M143" s="32">
        <v>3553.8578926973687</v>
      </c>
      <c r="N143" s="32">
        <v>3922.2068592828928</v>
      </c>
      <c r="O143" s="32">
        <v>4218.9397293059219</v>
      </c>
      <c r="P143" s="32">
        <v>4185.8058958026322</v>
      </c>
      <c r="Q143" s="32">
        <v>4192.1826791249996</v>
      </c>
      <c r="R143" s="32">
        <v>4370.5815835361846</v>
      </c>
      <c r="S143" s="32">
        <v>4393.178651289476</v>
      </c>
      <c r="T143" s="32">
        <v>4223.9464499703936</v>
      </c>
      <c r="U143" s="32">
        <v>4103.0784173289485</v>
      </c>
      <c r="V143" s="32">
        <v>4471.176001894738</v>
      </c>
      <c r="W143" s="32">
        <v>4441.2373277861834</v>
      </c>
      <c r="X143" s="32">
        <v>4127.7388828421053</v>
      </c>
      <c r="Y143" s="32">
        <v>3701.6664970065804</v>
      </c>
      <c r="Z143" s="32">
        <v>3171.3981206249978</v>
      </c>
      <c r="AA143" s="32">
        <v>2703.8899954638136</v>
      </c>
      <c r="AB143" s="23">
        <f>SUM(D143:AA143)*B143</f>
        <v>1521356.3471610001</v>
      </c>
      <c r="AC143" s="33"/>
    </row>
    <row r="144" spans="1:29" x14ac:dyDescent="0.25">
      <c r="A144" s="21" t="s">
        <v>39</v>
      </c>
      <c r="B144" s="22">
        <v>5</v>
      </c>
      <c r="C144" s="52"/>
      <c r="D144" s="32">
        <v>2378.465210887498</v>
      </c>
      <c r="E144" s="32">
        <v>2221.6917489374996</v>
      </c>
      <c r="F144" s="32">
        <v>2121.8030329125008</v>
      </c>
      <c r="G144" s="32">
        <v>2002.7605796625003</v>
      </c>
      <c r="H144" s="32">
        <v>1960.3818325875002</v>
      </c>
      <c r="I144" s="32">
        <v>2028.2516246999999</v>
      </c>
      <c r="J144" s="32">
        <v>2131.9913488125003</v>
      </c>
      <c r="K144" s="32">
        <v>2577.2362777874996</v>
      </c>
      <c r="L144" s="32">
        <v>3120.543091312501</v>
      </c>
      <c r="M144" s="32">
        <v>3564.1396575749977</v>
      </c>
      <c r="N144" s="32">
        <v>3887.7243147750005</v>
      </c>
      <c r="O144" s="32">
        <v>4160.4912803999996</v>
      </c>
      <c r="P144" s="32">
        <v>4125.4077033750009</v>
      </c>
      <c r="Q144" s="32">
        <v>4196.5376060999988</v>
      </c>
      <c r="R144" s="32">
        <v>4386.0837751500003</v>
      </c>
      <c r="S144" s="32">
        <v>4398.3501121874997</v>
      </c>
      <c r="T144" s="32">
        <v>4173.5580694499986</v>
      </c>
      <c r="U144" s="32">
        <v>4015.8642168750002</v>
      </c>
      <c r="V144" s="32">
        <v>4375.9121400749991</v>
      </c>
      <c r="W144" s="32">
        <v>4383.6643995374989</v>
      </c>
      <c r="X144" s="32">
        <v>4145.6410889249992</v>
      </c>
      <c r="Y144" s="32">
        <v>3725.718161025</v>
      </c>
      <c r="Z144" s="32">
        <v>3188.7083053875003</v>
      </c>
      <c r="AA144" s="32">
        <v>2708.2195510125011</v>
      </c>
      <c r="AB144" s="23">
        <f t="shared" ref="AB144:AB145" si="35">SUM(D144:AA144)*B144</f>
        <v>399895.72564724996</v>
      </c>
      <c r="AC144" s="33"/>
    </row>
    <row r="145" spans="1:29" x14ac:dyDescent="0.25">
      <c r="A145" s="21" t="s">
        <v>40</v>
      </c>
      <c r="B145" s="22">
        <v>7</v>
      </c>
      <c r="C145" s="52"/>
      <c r="D145" s="32">
        <v>2420.0721131249998</v>
      </c>
      <c r="E145" s="32">
        <v>2244.9044594999996</v>
      </c>
      <c r="F145" s="32">
        <v>2126.0829956250018</v>
      </c>
      <c r="G145" s="32">
        <v>2053.3543021874993</v>
      </c>
      <c r="H145" s="32">
        <v>1997.3726923125</v>
      </c>
      <c r="I145" s="32">
        <v>2034.9201736875007</v>
      </c>
      <c r="J145" s="32">
        <v>2090.4964578749996</v>
      </c>
      <c r="K145" s="32">
        <v>2580.9047090624999</v>
      </c>
      <c r="L145" s="32">
        <v>3132.3111436875006</v>
      </c>
      <c r="M145" s="32">
        <v>3573.9768556875001</v>
      </c>
      <c r="N145" s="32">
        <v>3898.8219804375012</v>
      </c>
      <c r="O145" s="32">
        <v>4140.8792354999996</v>
      </c>
      <c r="P145" s="32">
        <v>4088.1332218124999</v>
      </c>
      <c r="Q145" s="32">
        <v>4122.1174575000005</v>
      </c>
      <c r="R145" s="32">
        <v>4345.3630948125001</v>
      </c>
      <c r="S145" s="32">
        <v>4349.0551091249981</v>
      </c>
      <c r="T145" s="32">
        <v>4171.217127375</v>
      </c>
      <c r="U145" s="32">
        <v>4044.4549348124997</v>
      </c>
      <c r="V145" s="32">
        <v>4418.6189115000006</v>
      </c>
      <c r="W145" s="32">
        <v>4407.6361125000012</v>
      </c>
      <c r="X145" s="32">
        <v>4124.5978456875</v>
      </c>
      <c r="Y145" s="32">
        <v>3734.706989437499</v>
      </c>
      <c r="Z145" s="32">
        <v>3194.1045924374989</v>
      </c>
      <c r="AA145" s="32">
        <v>2722.3834934999995</v>
      </c>
      <c r="AB145" s="23">
        <f t="shared" si="35"/>
        <v>560115.40206431248</v>
      </c>
      <c r="AC145" s="5">
        <f>+AB143+AB144+AB145</f>
        <v>2481367.4748725626</v>
      </c>
    </row>
    <row r="146" spans="1:29" x14ac:dyDescent="0.25">
      <c r="A146" s="39"/>
    </row>
    <row r="147" spans="1:29" x14ac:dyDescent="0.25">
      <c r="A147" s="21" t="s">
        <v>38</v>
      </c>
      <c r="B147" s="22">
        <v>21</v>
      </c>
      <c r="C147" s="51">
        <v>46966</v>
      </c>
      <c r="D147" s="32">
        <v>4155.0045174375</v>
      </c>
      <c r="E147" s="32">
        <v>3967.1697643124999</v>
      </c>
      <c r="F147" s="32">
        <v>3834.1366882500001</v>
      </c>
      <c r="G147" s="32">
        <v>3757.0052795625006</v>
      </c>
      <c r="H147" s="32">
        <v>3729.8938548750007</v>
      </c>
      <c r="I147" s="32">
        <v>3796.2033058125007</v>
      </c>
      <c r="J147" s="32">
        <v>3874.9460276250011</v>
      </c>
      <c r="K147" s="32">
        <v>4370.2832056874995</v>
      </c>
      <c r="L147" s="32">
        <v>4941.6562040625013</v>
      </c>
      <c r="M147" s="32">
        <v>5413.1576045625006</v>
      </c>
      <c r="N147" s="32">
        <v>5768.9135647500007</v>
      </c>
      <c r="O147" s="32">
        <v>6048.9338109375003</v>
      </c>
      <c r="P147" s="32">
        <v>6018.4215022500011</v>
      </c>
      <c r="Q147" s="32">
        <v>6055.4203351874985</v>
      </c>
      <c r="R147" s="32">
        <v>6261.1235503125026</v>
      </c>
      <c r="S147" s="32">
        <v>6280.3425943125012</v>
      </c>
      <c r="T147" s="32">
        <v>6096.1817090624991</v>
      </c>
      <c r="U147" s="32">
        <v>5952.8541108749996</v>
      </c>
      <c r="V147" s="32">
        <v>6312.8381399999998</v>
      </c>
      <c r="W147" s="32">
        <v>6294.3805897500006</v>
      </c>
      <c r="X147" s="32">
        <v>6008.9669437499988</v>
      </c>
      <c r="Y147" s="32">
        <v>5592.6941285624998</v>
      </c>
      <c r="Z147" s="32">
        <v>5046.9092900625001</v>
      </c>
      <c r="AA147" s="32">
        <v>4542.5222066250017</v>
      </c>
      <c r="AB147" s="23">
        <f>SUM(D147:AA147)*B147</f>
        <v>2606519.1375011252</v>
      </c>
      <c r="AC147" s="33"/>
    </row>
    <row r="148" spans="1:29" x14ac:dyDescent="0.25">
      <c r="A148" s="21" t="s">
        <v>39</v>
      </c>
      <c r="B148" s="22">
        <v>4</v>
      </c>
      <c r="C148" s="52"/>
      <c r="D148" s="32">
        <v>4224.3885655312506</v>
      </c>
      <c r="E148" s="32">
        <v>3988.0740387656247</v>
      </c>
      <c r="F148" s="32">
        <v>3819.2139703124994</v>
      </c>
      <c r="G148" s="32">
        <v>3715.6022340468753</v>
      </c>
      <c r="H148" s="32">
        <v>3704.8802857031251</v>
      </c>
      <c r="I148" s="32">
        <v>3830.4990638437503</v>
      </c>
      <c r="J148" s="32">
        <v>3919.9811305781259</v>
      </c>
      <c r="K148" s="32">
        <v>4407.973244015624</v>
      </c>
      <c r="L148" s="32">
        <v>4934.53981546875</v>
      </c>
      <c r="M148" s="32">
        <v>5397.5312914218748</v>
      </c>
      <c r="N148" s="32">
        <v>5746.1546601562495</v>
      </c>
      <c r="O148" s="32">
        <v>6042.5147015156244</v>
      </c>
      <c r="P148" s="32">
        <v>6014.571022968752</v>
      </c>
      <c r="Q148" s="32">
        <v>6004.7341222499999</v>
      </c>
      <c r="R148" s="32">
        <v>6189.395088796874</v>
      </c>
      <c r="S148" s="32">
        <v>6235.6136921718762</v>
      </c>
      <c r="T148" s="32">
        <v>6127.4047051406242</v>
      </c>
      <c r="U148" s="32">
        <v>5977.8427681406247</v>
      </c>
      <c r="V148" s="32">
        <v>6339.1833247500017</v>
      </c>
      <c r="W148" s="32">
        <v>6275.3236109999998</v>
      </c>
      <c r="X148" s="32">
        <v>5960.7252261562498</v>
      </c>
      <c r="Y148" s="32">
        <v>5544.990453796876</v>
      </c>
      <c r="Z148" s="32">
        <v>5016.1596209999998</v>
      </c>
      <c r="AA148" s="32">
        <v>4598.1793799999996</v>
      </c>
      <c r="AB148" s="23">
        <f t="shared" ref="AB148:AB149" si="36">SUM(D148:AA148)*B148</f>
        <v>496061.90407012502</v>
      </c>
      <c r="AC148" s="33"/>
    </row>
    <row r="149" spans="1:29" x14ac:dyDescent="0.25">
      <c r="A149" s="21" t="s">
        <v>40</v>
      </c>
      <c r="B149" s="22">
        <v>6</v>
      </c>
      <c r="C149" s="52"/>
      <c r="D149" s="32">
        <v>4255.3732760624998</v>
      </c>
      <c r="E149" s="32">
        <v>4061.0652602812493</v>
      </c>
      <c r="F149" s="32">
        <v>3882.2350129687493</v>
      </c>
      <c r="G149" s="32">
        <v>3748.6865787187498</v>
      </c>
      <c r="H149" s="32">
        <v>3685.0928857499994</v>
      </c>
      <c r="I149" s="32">
        <v>3766.4381136562515</v>
      </c>
      <c r="J149" s="32">
        <v>3883.6034832187511</v>
      </c>
      <c r="K149" s="32">
        <v>4373.4615687187497</v>
      </c>
      <c r="L149" s="32">
        <v>4925.2416277499997</v>
      </c>
      <c r="M149" s="32">
        <v>5381.9090997187523</v>
      </c>
      <c r="N149" s="32">
        <v>5755.6579332187503</v>
      </c>
      <c r="O149" s="32">
        <v>6059.1591961875001</v>
      </c>
      <c r="P149" s="32">
        <v>6035.9130965625009</v>
      </c>
      <c r="Q149" s="32">
        <v>6069.4943796562493</v>
      </c>
      <c r="R149" s="32">
        <v>6238.0112316562481</v>
      </c>
      <c r="S149" s="32">
        <v>6236.6202704062507</v>
      </c>
      <c r="T149" s="32">
        <v>6054.2174013749991</v>
      </c>
      <c r="U149" s="32">
        <v>5968.7637728437494</v>
      </c>
      <c r="V149" s="32">
        <v>6353.3295613125001</v>
      </c>
      <c r="W149" s="32">
        <v>6303.7761093749996</v>
      </c>
      <c r="X149" s="32">
        <v>5977.6509531562515</v>
      </c>
      <c r="Y149" s="32">
        <v>5523.1318960312519</v>
      </c>
      <c r="Z149" s="32">
        <v>4975.9746188437493</v>
      </c>
      <c r="AA149" s="32">
        <v>4519.5549271874988</v>
      </c>
      <c r="AB149" s="23">
        <f t="shared" si="36"/>
        <v>744206.17352793738</v>
      </c>
      <c r="AC149" s="5">
        <f>+AB147+AB148+AB149</f>
        <v>3846787.2150991876</v>
      </c>
    </row>
    <row r="150" spans="1:29" x14ac:dyDescent="0.25">
      <c r="A150" s="39"/>
    </row>
    <row r="151" spans="1:29" x14ac:dyDescent="0.25">
      <c r="A151" s="21" t="s">
        <v>38</v>
      </c>
      <c r="B151" s="22">
        <v>21</v>
      </c>
      <c r="C151" s="51">
        <v>46997</v>
      </c>
      <c r="D151" s="32">
        <v>0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283.8380615625</v>
      </c>
      <c r="M151" s="32">
        <v>736.3450571249997</v>
      </c>
      <c r="N151" s="32">
        <v>1095.8188471874987</v>
      </c>
      <c r="O151" s="32">
        <v>1406.3629503749989</v>
      </c>
      <c r="P151" s="32">
        <v>1400.6078745</v>
      </c>
      <c r="Q151" s="32">
        <v>1458.9723318749984</v>
      </c>
      <c r="R151" s="32">
        <v>1670.4848486249998</v>
      </c>
      <c r="S151" s="32">
        <v>1689.2305839374999</v>
      </c>
      <c r="T151" s="32">
        <v>1515.105679499999</v>
      </c>
      <c r="U151" s="32">
        <v>1392.3061168124987</v>
      </c>
      <c r="V151" s="32">
        <v>1769.8392044999991</v>
      </c>
      <c r="W151" s="32">
        <v>1736.575245</v>
      </c>
      <c r="X151" s="32">
        <v>1439.2731515625005</v>
      </c>
      <c r="Y151" s="32">
        <v>1025.257647375003</v>
      </c>
      <c r="Z151" s="32">
        <v>490.13192681249762</v>
      </c>
      <c r="AA151" s="32">
        <v>0</v>
      </c>
      <c r="AB151" s="23">
        <f>SUM(D151:AA151)*B151</f>
        <v>401313.14006174984</v>
      </c>
      <c r="AC151" s="33"/>
    </row>
    <row r="152" spans="1:29" x14ac:dyDescent="0.25">
      <c r="A152" s="21" t="s">
        <v>39</v>
      </c>
      <c r="B152" s="22">
        <v>5</v>
      </c>
      <c r="C152" s="52"/>
      <c r="D152" s="32">
        <v>0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297.03948933749996</v>
      </c>
      <c r="M152" s="32">
        <v>751.95865421250164</v>
      </c>
      <c r="N152" s="32">
        <v>1104.0008122499989</v>
      </c>
      <c r="O152" s="32">
        <v>1392.7791341625007</v>
      </c>
      <c r="P152" s="32">
        <v>1387.1798926125009</v>
      </c>
      <c r="Q152" s="32">
        <v>1427.6068359000005</v>
      </c>
      <c r="R152" s="32">
        <v>1654.784932762499</v>
      </c>
      <c r="S152" s="32">
        <v>1718.7936493875002</v>
      </c>
      <c r="T152" s="32">
        <v>1542.6813010875012</v>
      </c>
      <c r="U152" s="32">
        <v>1420.4227151625005</v>
      </c>
      <c r="V152" s="32">
        <v>1783.7377640249993</v>
      </c>
      <c r="W152" s="32">
        <v>1791.5208682874998</v>
      </c>
      <c r="X152" s="32">
        <v>1489.1236166625008</v>
      </c>
      <c r="Y152" s="32">
        <v>1060.462814775</v>
      </c>
      <c r="Z152" s="32">
        <v>513.73931043750088</v>
      </c>
      <c r="AA152" s="32">
        <v>0</v>
      </c>
      <c r="AB152" s="23">
        <f t="shared" ref="AB152:AB153" si="37">SUM(D152:AA152)*B152</f>
        <v>96679.158955312523</v>
      </c>
      <c r="AC152" s="33"/>
    </row>
    <row r="153" spans="1:29" x14ac:dyDescent="0.25">
      <c r="A153" s="21" t="s">
        <v>40</v>
      </c>
      <c r="B153" s="22">
        <v>4</v>
      </c>
      <c r="C153" s="52"/>
      <c r="D153" s="32">
        <v>0</v>
      </c>
      <c r="E153" s="32">
        <v>0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272.97825942187626</v>
      </c>
      <c r="M153" s="32">
        <v>795.73727526562629</v>
      </c>
      <c r="N153" s="32">
        <v>1167.2091404531266</v>
      </c>
      <c r="O153" s="32">
        <v>1470.0160663125009</v>
      </c>
      <c r="P153" s="32">
        <v>1420.3597704843755</v>
      </c>
      <c r="Q153" s="32">
        <v>1460.4657752343765</v>
      </c>
      <c r="R153" s="32">
        <v>1653.9387959062519</v>
      </c>
      <c r="S153" s="32">
        <v>1684.3979857031268</v>
      </c>
      <c r="T153" s="32">
        <v>1513.3195415625016</v>
      </c>
      <c r="U153" s="32">
        <v>1344.2427462187518</v>
      </c>
      <c r="V153" s="32">
        <v>1704.6566870156271</v>
      </c>
      <c r="W153" s="32">
        <v>1709.1748845937523</v>
      </c>
      <c r="X153" s="32">
        <v>1483.7587868906262</v>
      </c>
      <c r="Y153" s="32">
        <v>1041.480099515627</v>
      </c>
      <c r="Z153" s="32">
        <v>493.16603634375122</v>
      </c>
      <c r="AA153" s="32">
        <v>0</v>
      </c>
      <c r="AB153" s="23">
        <f t="shared" si="37"/>
        <v>76859.60740368758</v>
      </c>
      <c r="AC153" s="5">
        <f>+AB151+AB152+AB153</f>
        <v>574851.90642074996</v>
      </c>
    </row>
    <row r="154" spans="1:29" x14ac:dyDescent="0.25">
      <c r="A154" s="39"/>
    </row>
    <row r="155" spans="1:29" x14ac:dyDescent="0.25">
      <c r="A155" s="21" t="s">
        <v>38</v>
      </c>
      <c r="B155" s="22">
        <v>21</v>
      </c>
      <c r="C155" s="51">
        <v>47027</v>
      </c>
      <c r="D155" s="32">
        <v>0</v>
      </c>
      <c r="E155" s="32">
        <v>0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100</v>
      </c>
      <c r="L155" s="32">
        <v>609.58486631250219</v>
      </c>
      <c r="M155" s="32">
        <v>1072.1144934375031</v>
      </c>
      <c r="N155" s="32">
        <v>1423.3654228125042</v>
      </c>
      <c r="O155" s="32">
        <v>1694.8907679375016</v>
      </c>
      <c r="P155" s="32">
        <v>1643.9685588749999</v>
      </c>
      <c r="Q155" s="32">
        <v>1675.6860453750048</v>
      </c>
      <c r="R155" s="32">
        <v>1890.0413690625051</v>
      </c>
      <c r="S155" s="32">
        <v>1938.1324884375019</v>
      </c>
      <c r="T155" s="32">
        <v>1785.2940660000008</v>
      </c>
      <c r="U155" s="32">
        <v>1681.6908746250015</v>
      </c>
      <c r="V155" s="32">
        <v>2065.1561038125033</v>
      </c>
      <c r="W155" s="32">
        <v>2062.1849585625041</v>
      </c>
      <c r="X155" s="32">
        <v>1790.1472355625035</v>
      </c>
      <c r="Y155" s="32">
        <v>1378.530408000001</v>
      </c>
      <c r="Z155" s="32">
        <v>842.13121106250117</v>
      </c>
      <c r="AA155" s="32">
        <v>358.73069456250187</v>
      </c>
      <c r="AB155" s="23">
        <f>SUM(D155:AA155)*B155</f>
        <v>504244.64085318835</v>
      </c>
      <c r="AC155" s="33"/>
    </row>
    <row r="156" spans="1:29" x14ac:dyDescent="0.25">
      <c r="A156" s="21" t="s">
        <v>39</v>
      </c>
      <c r="B156" s="22">
        <v>4</v>
      </c>
      <c r="C156" s="52"/>
      <c r="D156" s="32">
        <v>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100</v>
      </c>
      <c r="L156" s="32">
        <v>597.48738660937374</v>
      </c>
      <c r="M156" s="32">
        <v>1056.594696984374</v>
      </c>
      <c r="N156" s="32">
        <v>1416.8158912499998</v>
      </c>
      <c r="O156" s="32">
        <v>1768.1027365781256</v>
      </c>
      <c r="P156" s="32">
        <v>1742.9237273906242</v>
      </c>
      <c r="Q156" s="32">
        <v>1771.6129390781252</v>
      </c>
      <c r="R156" s="32">
        <v>1914.0206462812503</v>
      </c>
      <c r="S156" s="32">
        <v>1903.1976892499997</v>
      </c>
      <c r="T156" s="32">
        <v>1719.067972171875</v>
      </c>
      <c r="U156" s="32">
        <v>1636.7840964374986</v>
      </c>
      <c r="V156" s="32">
        <v>2077.0439320781252</v>
      </c>
      <c r="W156" s="32">
        <v>2054.8844567812503</v>
      </c>
      <c r="X156" s="32">
        <v>1769.1845637187494</v>
      </c>
      <c r="Y156" s="32">
        <v>1352.3336420156247</v>
      </c>
      <c r="Z156" s="32">
        <v>830.77834650000023</v>
      </c>
      <c r="AA156" s="32">
        <v>337.66141439062358</v>
      </c>
      <c r="AB156" s="23">
        <f t="shared" ref="AB156:AB157" si="38">SUM(D156:AA156)*B156</f>
        <v>96193.976550062478</v>
      </c>
      <c r="AC156" s="33"/>
    </row>
    <row r="157" spans="1:29" x14ac:dyDescent="0.25">
      <c r="A157" s="21" t="s">
        <v>40</v>
      </c>
      <c r="B157" s="22">
        <v>6</v>
      </c>
      <c r="C157" s="52"/>
      <c r="D157" s="32">
        <v>0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137.3290291874996</v>
      </c>
      <c r="L157" s="32">
        <v>646.40002912499995</v>
      </c>
      <c r="M157" s="32">
        <v>1067.07270834375</v>
      </c>
      <c r="N157" s="32">
        <v>1393.3071734999996</v>
      </c>
      <c r="O157" s="32">
        <v>1696.8915839999995</v>
      </c>
      <c r="P157" s="32">
        <v>1715.6957111249994</v>
      </c>
      <c r="Q157" s="32">
        <v>1766.6300836875002</v>
      </c>
      <c r="R157" s="32">
        <v>1955.8790413124993</v>
      </c>
      <c r="S157" s="32">
        <v>1964.3099756249994</v>
      </c>
      <c r="T157" s="32">
        <v>1801.9194890625004</v>
      </c>
      <c r="U157" s="32">
        <v>1670.9270967187499</v>
      </c>
      <c r="V157" s="32">
        <v>2059.3757733749999</v>
      </c>
      <c r="W157" s="32">
        <v>2069.9043058124998</v>
      </c>
      <c r="X157" s="32">
        <v>1770.4554167812494</v>
      </c>
      <c r="Y157" s="32">
        <v>1350.0276172499989</v>
      </c>
      <c r="Z157" s="32">
        <v>801.97634512499963</v>
      </c>
      <c r="AA157" s="32">
        <v>337.5454730624997</v>
      </c>
      <c r="AB157" s="23">
        <f t="shared" si="38"/>
        <v>145233.88111856245</v>
      </c>
      <c r="AC157" s="5">
        <f>+AB155+AB156+AB157</f>
        <v>745672.49852181331</v>
      </c>
    </row>
    <row r="158" spans="1:29" x14ac:dyDescent="0.25">
      <c r="A158" s="39"/>
    </row>
    <row r="159" spans="1:29" x14ac:dyDescent="0.25">
      <c r="A159" s="21" t="s">
        <v>38</v>
      </c>
      <c r="B159" s="22">
        <v>20</v>
      </c>
      <c r="C159" s="51">
        <v>47058</v>
      </c>
      <c r="D159" s="32">
        <v>2448.9555530531256</v>
      </c>
      <c r="E159" s="32">
        <v>2256.0095413593754</v>
      </c>
      <c r="F159" s="32">
        <v>2098.6304222156268</v>
      </c>
      <c r="G159" s="32">
        <v>1992.0393379875009</v>
      </c>
      <c r="H159" s="32">
        <v>1955.762981568751</v>
      </c>
      <c r="I159" s="32">
        <v>2024.5969280437503</v>
      </c>
      <c r="J159" s="32">
        <v>2101.656080887502</v>
      </c>
      <c r="K159" s="32">
        <v>2553.0924307406267</v>
      </c>
      <c r="L159" s="32">
        <v>3076.9293779625013</v>
      </c>
      <c r="M159" s="32">
        <v>3509.769265359374</v>
      </c>
      <c r="N159" s="32">
        <v>3860.8187770874983</v>
      </c>
      <c r="O159" s="32">
        <v>4155.8145987281259</v>
      </c>
      <c r="P159" s="32">
        <v>4131.5538415125011</v>
      </c>
      <c r="Q159" s="32">
        <v>4161.4093353843791</v>
      </c>
      <c r="R159" s="32">
        <v>4339.510490521875</v>
      </c>
      <c r="S159" s="32">
        <v>4348.7769063562491</v>
      </c>
      <c r="T159" s="32">
        <v>4168.3263152531217</v>
      </c>
      <c r="U159" s="32">
        <v>4059.5039932968748</v>
      </c>
      <c r="V159" s="32">
        <v>4445.5860555937479</v>
      </c>
      <c r="W159" s="32">
        <v>4442.9397752437517</v>
      </c>
      <c r="X159" s="32">
        <v>4157.5691109281261</v>
      </c>
      <c r="Y159" s="32">
        <v>3737.3755547156252</v>
      </c>
      <c r="Z159" s="32">
        <v>3208.5454448437508</v>
      </c>
      <c r="AA159" s="32">
        <v>2757.5177685093745</v>
      </c>
      <c r="AB159" s="23">
        <f>SUM(D159:AA159)*B159</f>
        <v>1599853.7977430625</v>
      </c>
      <c r="AC159" s="33"/>
    </row>
    <row r="160" spans="1:29" x14ac:dyDescent="0.25">
      <c r="A160" s="21" t="s">
        <v>39</v>
      </c>
      <c r="B160" s="22">
        <v>4</v>
      </c>
      <c r="C160" s="52"/>
      <c r="D160" s="32">
        <v>2424.9518090625024</v>
      </c>
      <c r="E160" s="32">
        <v>2216.8289308125018</v>
      </c>
      <c r="F160" s="32">
        <v>2078.0725303593754</v>
      </c>
      <c r="G160" s="32">
        <v>1982.264518453127</v>
      </c>
      <c r="H160" s="32">
        <v>1920.9286664062513</v>
      </c>
      <c r="I160" s="32">
        <v>1978.2470635781256</v>
      </c>
      <c r="J160" s="32">
        <v>2047.6614351562503</v>
      </c>
      <c r="K160" s="32">
        <v>2580.7171286718758</v>
      </c>
      <c r="L160" s="32">
        <v>3120.0487650468758</v>
      </c>
      <c r="M160" s="32">
        <v>3554.5039815000018</v>
      </c>
      <c r="N160" s="32">
        <v>3867.7494255937527</v>
      </c>
      <c r="O160" s="32">
        <v>4118.5906114687514</v>
      </c>
      <c r="P160" s="32">
        <v>4071.9228407343758</v>
      </c>
      <c r="Q160" s="32">
        <v>4139.6599091718763</v>
      </c>
      <c r="R160" s="32">
        <v>4405.6599621093774</v>
      </c>
      <c r="S160" s="32">
        <v>4413.0952792031267</v>
      </c>
      <c r="T160" s="32">
        <v>4229.1376417031261</v>
      </c>
      <c r="U160" s="32">
        <v>4063.644261750002</v>
      </c>
      <c r="V160" s="32">
        <v>4412.5904533125013</v>
      </c>
      <c r="W160" s="32">
        <v>4385.8612552968771</v>
      </c>
      <c r="X160" s="32">
        <v>4124.3473703437521</v>
      </c>
      <c r="Y160" s="32">
        <v>3772.2643201875007</v>
      </c>
      <c r="Z160" s="32">
        <v>3254.6841583125015</v>
      </c>
      <c r="AA160" s="32">
        <v>2788.2240145781266</v>
      </c>
      <c r="AB160" s="23">
        <f t="shared" ref="AB160:AB161" si="39">SUM(D160:AA160)*B160</f>
        <v>319806.62533125014</v>
      </c>
      <c r="AC160" s="33"/>
    </row>
    <row r="161" spans="1:29" x14ac:dyDescent="0.25">
      <c r="A161" s="21" t="s">
        <v>40</v>
      </c>
      <c r="B161" s="22">
        <v>6</v>
      </c>
      <c r="C161" s="52"/>
      <c r="D161" s="32">
        <v>2346.7698689062508</v>
      </c>
      <c r="E161" s="32">
        <v>2176.0677195000017</v>
      </c>
      <c r="F161" s="32">
        <v>2063.530364062502</v>
      </c>
      <c r="G161" s="32">
        <v>1983.1478870625022</v>
      </c>
      <c r="H161" s="32">
        <v>1947.6459328125004</v>
      </c>
      <c r="I161" s="32">
        <v>1968.7335211875015</v>
      </c>
      <c r="J161" s="32">
        <v>2025.4766853750009</v>
      </c>
      <c r="K161" s="32">
        <v>2520.9636568125006</v>
      </c>
      <c r="L161" s="32">
        <v>3136.6194611250016</v>
      </c>
      <c r="M161" s="32">
        <v>3630.3018979687531</v>
      </c>
      <c r="N161" s="32">
        <v>3979.2325042500006</v>
      </c>
      <c r="O161" s="32">
        <v>4227.5476585312517</v>
      </c>
      <c r="P161" s="32">
        <v>4164.412710562503</v>
      </c>
      <c r="Q161" s="32">
        <v>4171.6569657187538</v>
      </c>
      <c r="R161" s="32">
        <v>4359.1396435312527</v>
      </c>
      <c r="S161" s="32">
        <v>4424.7038649375008</v>
      </c>
      <c r="T161" s="32">
        <v>4265.9023216875012</v>
      </c>
      <c r="U161" s="32">
        <v>4116.7473646875014</v>
      </c>
      <c r="V161" s="32">
        <v>4443.2267095312509</v>
      </c>
      <c r="W161" s="32">
        <v>4384.3453719375011</v>
      </c>
      <c r="X161" s="32">
        <v>4075.980173625002</v>
      </c>
      <c r="Y161" s="32">
        <v>3675.6160753125014</v>
      </c>
      <c r="Z161" s="32">
        <v>3176.8021539375022</v>
      </c>
      <c r="AA161" s="32">
        <v>2684.8043220000018</v>
      </c>
      <c r="AB161" s="23">
        <f t="shared" si="39"/>
        <v>479696.24901037512</v>
      </c>
      <c r="AC161" s="5">
        <f>+AB159+AB160+AB161</f>
        <v>2399356.6720846877</v>
      </c>
    </row>
    <row r="162" spans="1:29" x14ac:dyDescent="0.25">
      <c r="A162" s="39"/>
    </row>
    <row r="163" spans="1:29" x14ac:dyDescent="0.25">
      <c r="A163" s="21" t="s">
        <v>38</v>
      </c>
      <c r="B163" s="22">
        <v>19</v>
      </c>
      <c r="C163" s="51">
        <v>47088</v>
      </c>
      <c r="D163" s="32">
        <v>4073.3357920855251</v>
      </c>
      <c r="E163" s="32">
        <v>3882.8399180131573</v>
      </c>
      <c r="F163" s="32">
        <v>3762.8978987467108</v>
      </c>
      <c r="G163" s="32">
        <v>3692.3570615230265</v>
      </c>
      <c r="H163" s="32">
        <v>3679.184765585529</v>
      </c>
      <c r="I163" s="32">
        <v>3759.4034864506575</v>
      </c>
      <c r="J163" s="32">
        <v>3826.6540813223678</v>
      </c>
      <c r="K163" s="32">
        <v>4295.3942228782898</v>
      </c>
      <c r="L163" s="32">
        <v>4831.1264114506575</v>
      </c>
      <c r="M163" s="32">
        <v>5279.2010619374996</v>
      </c>
      <c r="N163" s="32">
        <v>5621.0584524671012</v>
      </c>
      <c r="O163" s="32">
        <v>5904.1438971315793</v>
      </c>
      <c r="P163" s="32">
        <v>5883.1288267302625</v>
      </c>
      <c r="Q163" s="32">
        <v>5925.3162636118414</v>
      </c>
      <c r="R163" s="32">
        <v>6129.2982612828964</v>
      </c>
      <c r="S163" s="32">
        <v>6149.3555229967133</v>
      </c>
      <c r="T163" s="32">
        <v>5965.5471314605256</v>
      </c>
      <c r="U163" s="32">
        <v>5814.9281315526332</v>
      </c>
      <c r="V163" s="32">
        <v>6176.6264629342113</v>
      </c>
      <c r="W163" s="32">
        <v>6163.2234933256595</v>
      </c>
      <c r="X163" s="32">
        <v>5883.84054498355</v>
      </c>
      <c r="Y163" s="32">
        <v>5486.0626580131575</v>
      </c>
      <c r="Z163" s="32">
        <v>4953.5501808059225</v>
      </c>
      <c r="AA163" s="32">
        <v>4466.1647642072348</v>
      </c>
      <c r="AB163" s="23">
        <f>SUM(D163:AA163)*B163</f>
        <v>2310488.1465384378</v>
      </c>
      <c r="AC163" s="33"/>
    </row>
    <row r="164" spans="1:29" x14ac:dyDescent="0.25">
      <c r="A164" s="21" t="s">
        <v>39</v>
      </c>
      <c r="B164" s="22">
        <v>5</v>
      </c>
      <c r="C164" s="52"/>
      <c r="D164" s="32">
        <v>4103.3357837624999</v>
      </c>
      <c r="E164" s="32">
        <v>3919.1025645749987</v>
      </c>
      <c r="F164" s="32">
        <v>3755.5160566124991</v>
      </c>
      <c r="G164" s="32">
        <v>3674.0634676499994</v>
      </c>
      <c r="H164" s="32">
        <v>3640.1687140125</v>
      </c>
      <c r="I164" s="32">
        <v>3739.2014332874987</v>
      </c>
      <c r="J164" s="32">
        <v>3854.5265660250006</v>
      </c>
      <c r="K164" s="32">
        <v>4305.1531495124982</v>
      </c>
      <c r="L164" s="32">
        <v>4848.5472093749995</v>
      </c>
      <c r="M164" s="32">
        <v>5313.5572425375003</v>
      </c>
      <c r="N164" s="32">
        <v>5699.2867550625006</v>
      </c>
      <c r="O164" s="32">
        <v>5959.3465064999991</v>
      </c>
      <c r="P164" s="32">
        <v>5926.4304192749996</v>
      </c>
      <c r="Q164" s="32">
        <v>5947.1415511499999</v>
      </c>
      <c r="R164" s="32">
        <v>6115.5758602874994</v>
      </c>
      <c r="S164" s="32">
        <v>6122.4419743499984</v>
      </c>
      <c r="T164" s="32">
        <v>5944.2236518124992</v>
      </c>
      <c r="U164" s="32">
        <v>5856.1136599125002</v>
      </c>
      <c r="V164" s="32">
        <v>6221.4127764374998</v>
      </c>
      <c r="W164" s="32">
        <v>6191.9786842500007</v>
      </c>
      <c r="X164" s="32">
        <v>5849.9795609624998</v>
      </c>
      <c r="Y164" s="32">
        <v>5399.5689446249999</v>
      </c>
      <c r="Z164" s="32">
        <v>4849.9622547375011</v>
      </c>
      <c r="AA164" s="32">
        <v>4396.0486919249997</v>
      </c>
      <c r="AB164" s="23">
        <f t="shared" ref="AB164:AB165" si="40">SUM(D164:AA164)*B164</f>
        <v>608163.41739318753</v>
      </c>
      <c r="AC164" s="33"/>
    </row>
    <row r="165" spans="1:29" x14ac:dyDescent="0.25">
      <c r="A165" s="21" t="s">
        <v>40</v>
      </c>
      <c r="B165" s="22">
        <v>7</v>
      </c>
      <c r="C165" s="52"/>
      <c r="D165" s="32">
        <v>4078.5403608749994</v>
      </c>
      <c r="E165" s="32">
        <v>3905.4342961874986</v>
      </c>
      <c r="F165" s="32">
        <v>3769.4559286875001</v>
      </c>
      <c r="G165" s="32">
        <v>3677.2833641249981</v>
      </c>
      <c r="H165" s="32">
        <v>3646.082848687498</v>
      </c>
      <c r="I165" s="32">
        <v>3695.5096229999999</v>
      </c>
      <c r="J165" s="32">
        <v>3791.2475274374983</v>
      </c>
      <c r="K165" s="32">
        <v>4311.0833013749998</v>
      </c>
      <c r="L165" s="32">
        <v>4888.341046312501</v>
      </c>
      <c r="M165" s="32">
        <v>5363.6586206249995</v>
      </c>
      <c r="N165" s="32">
        <v>5713.7436581249995</v>
      </c>
      <c r="O165" s="32">
        <v>6015.1236605624981</v>
      </c>
      <c r="P165" s="32">
        <v>5962.2078264374995</v>
      </c>
      <c r="Q165" s="32">
        <v>5964.2347895624989</v>
      </c>
      <c r="R165" s="32">
        <v>6146.3762596875004</v>
      </c>
      <c r="S165" s="32">
        <v>6131.7186206250008</v>
      </c>
      <c r="T165" s="32">
        <v>5957.1961010624982</v>
      </c>
      <c r="U165" s="32">
        <v>5833.9035755624991</v>
      </c>
      <c r="V165" s="32">
        <v>6217.8172381874992</v>
      </c>
      <c r="W165" s="32">
        <v>6168.6983668124994</v>
      </c>
      <c r="X165" s="32">
        <v>5861.4268507499992</v>
      </c>
      <c r="Y165" s="32">
        <v>5403.3619963124984</v>
      </c>
      <c r="Z165" s="32">
        <v>4846.2421304999989</v>
      </c>
      <c r="AA165" s="32">
        <v>4366.1620008749996</v>
      </c>
      <c r="AB165" s="23">
        <f t="shared" si="40"/>
        <v>852003.94994662493</v>
      </c>
      <c r="AC165" s="5">
        <f>+AB163+AB164+AB165</f>
        <v>3770655.5138782505</v>
      </c>
    </row>
    <row r="166" spans="1:29" x14ac:dyDescent="0.25">
      <c r="A166" s="29"/>
      <c r="B166" s="29"/>
      <c r="C166" s="29"/>
      <c r="AB166" s="31"/>
      <c r="AC166" s="31"/>
    </row>
    <row r="167" spans="1:29" x14ac:dyDescent="0.25">
      <c r="A167" s="21" t="s">
        <v>38</v>
      </c>
      <c r="B167" s="22">
        <v>21</v>
      </c>
      <c r="C167" s="51">
        <v>47119</v>
      </c>
      <c r="D167" s="32">
        <v>4074.3478803749977</v>
      </c>
      <c r="E167" s="32">
        <v>3870.9411315000002</v>
      </c>
      <c r="F167" s="32">
        <v>3706.999744499999</v>
      </c>
      <c r="G167" s="32">
        <v>3602.610735562499</v>
      </c>
      <c r="H167" s="32">
        <v>3560.7155265000001</v>
      </c>
      <c r="I167" s="32">
        <v>3629.7344671874976</v>
      </c>
      <c r="J167" s="32">
        <v>3718.4808931874982</v>
      </c>
      <c r="K167" s="32">
        <v>4209.0080317499978</v>
      </c>
      <c r="L167" s="32">
        <v>4763.1478209374982</v>
      </c>
      <c r="M167" s="32">
        <v>5224.4912231249973</v>
      </c>
      <c r="N167" s="32">
        <v>5587.3892870624986</v>
      </c>
      <c r="O167" s="32">
        <v>5900.4825073124994</v>
      </c>
      <c r="P167" s="32">
        <v>5891.4158101874991</v>
      </c>
      <c r="Q167" s="32">
        <v>5928.1289729999971</v>
      </c>
      <c r="R167" s="32">
        <v>6115.6426014374974</v>
      </c>
      <c r="S167" s="32">
        <v>6123.6598779375017</v>
      </c>
      <c r="T167" s="32">
        <v>5945.6255716874994</v>
      </c>
      <c r="U167" s="32">
        <v>5824.6238450624978</v>
      </c>
      <c r="V167" s="32">
        <v>6208.5684264375013</v>
      </c>
      <c r="W167" s="32">
        <v>6186.7413412500009</v>
      </c>
      <c r="X167" s="32">
        <v>5882.945701499998</v>
      </c>
      <c r="Y167" s="32">
        <v>5439.8749490625014</v>
      </c>
      <c r="Z167" s="32">
        <v>4892.0012270624957</v>
      </c>
      <c r="AA167" s="32">
        <v>4416.0379672499967</v>
      </c>
      <c r="AB167" s="23">
        <f>SUM(D167:AA167)*B167</f>
        <v>2534775.9263583743</v>
      </c>
      <c r="AC167" s="33"/>
    </row>
    <row r="168" spans="1:29" x14ac:dyDescent="0.25">
      <c r="A168" s="21" t="s">
        <v>39</v>
      </c>
      <c r="B168" s="22">
        <v>4</v>
      </c>
      <c r="C168" s="52"/>
      <c r="D168" s="32">
        <v>4012.9062877968754</v>
      </c>
      <c r="E168" s="32">
        <v>3850.5823482656251</v>
      </c>
      <c r="F168" s="32">
        <v>3774.5291154374991</v>
      </c>
      <c r="G168" s="32">
        <v>3663.3814550156244</v>
      </c>
      <c r="H168" s="32">
        <v>3613.0086936562489</v>
      </c>
      <c r="I168" s="32">
        <v>3632.5003581562505</v>
      </c>
      <c r="J168" s="32">
        <v>3678.8541418124987</v>
      </c>
      <c r="K168" s="32">
        <v>4144.9114222031249</v>
      </c>
      <c r="L168" s="32">
        <v>4719.9622807968753</v>
      </c>
      <c r="M168" s="32">
        <v>5242.7213133750001</v>
      </c>
      <c r="N168" s="32">
        <v>5614.1931618281242</v>
      </c>
      <c r="O168" s="32">
        <v>5917.0001211562503</v>
      </c>
      <c r="P168" s="32">
        <v>5867.3437918593754</v>
      </c>
      <c r="Q168" s="32">
        <v>5907.4497966093741</v>
      </c>
      <c r="R168" s="32">
        <v>6100.92281728125</v>
      </c>
      <c r="S168" s="32">
        <v>6131.3820238125008</v>
      </c>
      <c r="T168" s="32">
        <v>5960.3035796718741</v>
      </c>
      <c r="U168" s="32">
        <v>5791.2268010624994</v>
      </c>
      <c r="V168" s="32">
        <v>6151.6407083906242</v>
      </c>
      <c r="W168" s="32">
        <v>6156.1589059687503</v>
      </c>
      <c r="X168" s="32">
        <v>5930.7428417343754</v>
      </c>
      <c r="Y168" s="32">
        <v>5488.4641208906251</v>
      </c>
      <c r="Z168" s="32">
        <v>4940.1500744531259</v>
      </c>
      <c r="AA168" s="32">
        <v>4414.6245150000004</v>
      </c>
      <c r="AB168" s="23">
        <f t="shared" ref="AB168:AB169" si="41">SUM(D168:AA168)*B168</f>
        <v>482819.8427049375</v>
      </c>
      <c r="AC168" s="33"/>
    </row>
    <row r="169" spans="1:29" x14ac:dyDescent="0.25">
      <c r="A169" s="21" t="s">
        <v>40</v>
      </c>
      <c r="B169" s="22">
        <v>7</v>
      </c>
      <c r="C169" s="52"/>
      <c r="D169" s="32">
        <v>2847.068848124999</v>
      </c>
      <c r="E169" s="32">
        <v>2668.9381773749992</v>
      </c>
      <c r="F169" s="32">
        <v>2541.5425361249995</v>
      </c>
      <c r="G169" s="32">
        <v>2491.0349124375007</v>
      </c>
      <c r="H169" s="32">
        <v>2452.1757142499996</v>
      </c>
      <c r="I169" s="32">
        <v>2503.1995025625001</v>
      </c>
      <c r="J169" s="32">
        <v>2535.4100188125003</v>
      </c>
      <c r="K169" s="32">
        <v>2940.4922641874987</v>
      </c>
      <c r="L169" s="32">
        <v>3432.2750578124992</v>
      </c>
      <c r="M169" s="32">
        <v>3857.4008673750009</v>
      </c>
      <c r="N169" s="32">
        <v>4200.1256581875004</v>
      </c>
      <c r="O169" s="32">
        <v>4437.4961120624994</v>
      </c>
      <c r="P169" s="32">
        <v>4409.9729898749993</v>
      </c>
      <c r="Q169" s="32">
        <v>4445.0203843125</v>
      </c>
      <c r="R169" s="32">
        <v>4645.0720057499984</v>
      </c>
      <c r="S169" s="32">
        <v>4702.7419706250002</v>
      </c>
      <c r="T169" s="32">
        <v>4561.6656335624984</v>
      </c>
      <c r="U169" s="32">
        <v>4445.796572437499</v>
      </c>
      <c r="V169" s="32">
        <v>4738.3444203750005</v>
      </c>
      <c r="W169" s="32">
        <v>4696.135182</v>
      </c>
      <c r="X169" s="32">
        <v>4434.0398038124986</v>
      </c>
      <c r="Y169" s="32">
        <v>4110.9130985624988</v>
      </c>
      <c r="Z169" s="32">
        <v>3656.3394937499984</v>
      </c>
      <c r="AA169" s="32">
        <v>3213.7254016875013</v>
      </c>
      <c r="AB169" s="23">
        <f t="shared" si="41"/>
        <v>622768.4863824374</v>
      </c>
      <c r="AC169" s="5">
        <f>+AB167+AB168+AB169</f>
        <v>3640364.255445749</v>
      </c>
    </row>
    <row r="170" spans="1:29" x14ac:dyDescent="0.25">
      <c r="A170" s="39"/>
    </row>
    <row r="171" spans="1:29" x14ac:dyDescent="0.25">
      <c r="A171" s="21" t="s">
        <v>38</v>
      </c>
      <c r="B171" s="22">
        <v>20</v>
      </c>
      <c r="C171" s="51">
        <v>47150</v>
      </c>
      <c r="D171" s="32">
        <v>3673.9143382312482</v>
      </c>
      <c r="E171" s="32">
        <v>3482.6723109656255</v>
      </c>
      <c r="F171" s="32">
        <v>3345.2485156499997</v>
      </c>
      <c r="G171" s="32">
        <v>3250.0945132406232</v>
      </c>
      <c r="H171" s="32">
        <v>3210.3696071062486</v>
      </c>
      <c r="I171" s="32">
        <v>3250.1535822374981</v>
      </c>
      <c r="J171" s="32">
        <v>3300.6848683312496</v>
      </c>
      <c r="K171" s="32">
        <v>3779.2112929968735</v>
      </c>
      <c r="L171" s="32">
        <v>4334.8277722031235</v>
      </c>
      <c r="M171" s="32">
        <v>4807.4140627124998</v>
      </c>
      <c r="N171" s="32">
        <v>5166.7369958906238</v>
      </c>
      <c r="O171" s="32">
        <v>5451.8300001093758</v>
      </c>
      <c r="P171" s="32">
        <v>5408.7194521218735</v>
      </c>
      <c r="Q171" s="32">
        <v>5446.3559685</v>
      </c>
      <c r="R171" s="32">
        <v>5659.586402240624</v>
      </c>
      <c r="S171" s="32">
        <v>5701.9182763312474</v>
      </c>
      <c r="T171" s="32">
        <v>5547.598967371875</v>
      </c>
      <c r="U171" s="32">
        <v>5426.6675311781255</v>
      </c>
      <c r="V171" s="32">
        <v>5795.5735548093744</v>
      </c>
      <c r="W171" s="32">
        <v>5765.9615460937503</v>
      </c>
      <c r="X171" s="32">
        <v>5476.5851744343745</v>
      </c>
      <c r="Y171" s="32">
        <v>5074.6516862718745</v>
      </c>
      <c r="Z171" s="32">
        <v>4546.7029826249982</v>
      </c>
      <c r="AA171" s="32">
        <v>4047.1374758437487</v>
      </c>
      <c r="AB171" s="23">
        <f>SUM(D171:AA171)*B171</f>
        <v>2219012.337549937</v>
      </c>
      <c r="AC171" s="33"/>
    </row>
    <row r="172" spans="1:29" x14ac:dyDescent="0.25">
      <c r="A172" s="21" t="s">
        <v>39</v>
      </c>
      <c r="B172" s="22">
        <v>4</v>
      </c>
      <c r="C172" s="52"/>
      <c r="D172" s="32">
        <v>3700.9930537499999</v>
      </c>
      <c r="E172" s="32">
        <v>3460.4615314218754</v>
      </c>
      <c r="F172" s="32">
        <v>3291.19247484375</v>
      </c>
      <c r="G172" s="32">
        <v>3197.1425429062492</v>
      </c>
      <c r="H172" s="32">
        <v>3165.6227116874993</v>
      </c>
      <c r="I172" s="32">
        <v>3288.4427325468741</v>
      </c>
      <c r="J172" s="32">
        <v>3363.4650274687497</v>
      </c>
      <c r="K172" s="32">
        <v>3831.5514344999988</v>
      </c>
      <c r="L172" s="32">
        <v>4323.1413046874995</v>
      </c>
      <c r="M172" s="32">
        <v>4746.8926291874996</v>
      </c>
      <c r="N172" s="32">
        <v>5088.0887635312492</v>
      </c>
      <c r="O172" s="32">
        <v>5419.2567901875009</v>
      </c>
      <c r="P172" s="32">
        <v>5456.7229305468745</v>
      </c>
      <c r="Q172" s="32">
        <v>5487.9527048437503</v>
      </c>
      <c r="R172" s="32">
        <v>5689.63539234375</v>
      </c>
      <c r="S172" s="32">
        <v>5713.0522885781238</v>
      </c>
      <c r="T172" s="32">
        <v>5555.2231519687493</v>
      </c>
      <c r="U172" s="32">
        <v>5417.921403796875</v>
      </c>
      <c r="V172" s="32">
        <v>5796.9712466250021</v>
      </c>
      <c r="W172" s="32">
        <v>5778.0457897031238</v>
      </c>
      <c r="X172" s="32">
        <v>5465.9180177812495</v>
      </c>
      <c r="Y172" s="32">
        <v>5045.5345699218742</v>
      </c>
      <c r="Z172" s="32">
        <v>4507.8866961562489</v>
      </c>
      <c r="AA172" s="32">
        <v>4086.4901324999992</v>
      </c>
      <c r="AB172" s="23">
        <f t="shared" ref="AB172:AB173" si="42">SUM(D172:AA172)*B172</f>
        <v>443510.42128593748</v>
      </c>
      <c r="AC172" s="33"/>
    </row>
    <row r="173" spans="1:29" x14ac:dyDescent="0.25">
      <c r="A173" s="21" t="s">
        <v>40</v>
      </c>
      <c r="B173" s="22">
        <v>4</v>
      </c>
      <c r="C173" s="52"/>
      <c r="D173" s="32">
        <v>3727.7301336562496</v>
      </c>
      <c r="E173" s="32">
        <v>3509.2388876718746</v>
      </c>
      <c r="F173" s="32">
        <v>3325.2807314062488</v>
      </c>
      <c r="G173" s="32">
        <v>3191.6380714687493</v>
      </c>
      <c r="H173" s="32">
        <v>3135.4203945468748</v>
      </c>
      <c r="I173" s="32">
        <v>3228.9026295468748</v>
      </c>
      <c r="J173" s="32">
        <v>3368.0632655624986</v>
      </c>
      <c r="K173" s="32">
        <v>3826.5846050624996</v>
      </c>
      <c r="L173" s="32">
        <v>4361.9846506406238</v>
      </c>
      <c r="M173" s="32">
        <v>4778.6165695781247</v>
      </c>
      <c r="N173" s="32">
        <v>5106.9601516874991</v>
      </c>
      <c r="O173" s="32">
        <v>5387.8322445000013</v>
      </c>
      <c r="P173" s="32">
        <v>5386.6602023437499</v>
      </c>
      <c r="Q173" s="32">
        <v>5486.5337971874997</v>
      </c>
      <c r="R173" s="32">
        <v>5702.855297578124</v>
      </c>
      <c r="S173" s="32">
        <v>5739.7614053437501</v>
      </c>
      <c r="T173" s="32">
        <v>5546.9702937187485</v>
      </c>
      <c r="U173" s="32">
        <v>5427.8364540468747</v>
      </c>
      <c r="V173" s="32">
        <v>5797.0624322343738</v>
      </c>
      <c r="W173" s="32">
        <v>5785.8211995000001</v>
      </c>
      <c r="X173" s="32">
        <v>5497.5356781562496</v>
      </c>
      <c r="Y173" s="32">
        <v>5035.7420989687498</v>
      </c>
      <c r="Z173" s="32">
        <v>4486.5014199843745</v>
      </c>
      <c r="AA173" s="32">
        <v>4029.3537885937499</v>
      </c>
      <c r="AB173" s="23">
        <f t="shared" si="42"/>
        <v>443483.54561193753</v>
      </c>
      <c r="AC173" s="5">
        <f>+AB171+AB172+AB173</f>
        <v>3106006.304447812</v>
      </c>
    </row>
    <row r="174" spans="1:29" x14ac:dyDescent="0.25">
      <c r="A174" s="39"/>
    </row>
    <row r="175" spans="1:29" x14ac:dyDescent="0.25">
      <c r="A175" s="21" t="s">
        <v>38</v>
      </c>
      <c r="B175" s="22">
        <v>19</v>
      </c>
      <c r="C175" s="51">
        <v>47178</v>
      </c>
      <c r="D175" s="32">
        <v>4217.0261494144706</v>
      </c>
      <c r="E175" s="32">
        <v>3999.4016938519708</v>
      </c>
      <c r="F175" s="32">
        <v>3841.8153950427609</v>
      </c>
      <c r="G175" s="32">
        <v>3746.0687066940764</v>
      </c>
      <c r="H175" s="32">
        <v>3709.8004190624997</v>
      </c>
      <c r="I175" s="32">
        <v>3779.7930346381549</v>
      </c>
      <c r="J175" s="32">
        <v>3854.891290411183</v>
      </c>
      <c r="K175" s="32">
        <v>4313.8694290263138</v>
      </c>
      <c r="L175" s="32">
        <v>4839.7747592664455</v>
      </c>
      <c r="M175" s="32">
        <v>5278.1470058486839</v>
      </c>
      <c r="N175" s="32">
        <v>5615.0733925953919</v>
      </c>
      <c r="O175" s="32">
        <v>5908.7776965690746</v>
      </c>
      <c r="P175" s="32">
        <v>5893.9243956710516</v>
      </c>
      <c r="Q175" s="32">
        <v>5941.0067217927626</v>
      </c>
      <c r="R175" s="32">
        <v>6142.3519421249985</v>
      </c>
      <c r="S175" s="32">
        <v>6152.4452962598643</v>
      </c>
      <c r="T175" s="32">
        <v>5973.2396152993406</v>
      </c>
      <c r="U175" s="32">
        <v>5865.0191026874991</v>
      </c>
      <c r="V175" s="32">
        <v>6267.0368531842068</v>
      </c>
      <c r="W175" s="32">
        <v>6267.7134292499959</v>
      </c>
      <c r="X175" s="32">
        <v>5983.0481045723664</v>
      </c>
      <c r="Y175" s="32">
        <v>5564.0590097565764</v>
      </c>
      <c r="Z175" s="32">
        <v>5021.325486325657</v>
      </c>
      <c r="AA175" s="32">
        <v>4546.7794925230246</v>
      </c>
      <c r="AB175" s="23">
        <f>SUM(D175:AA175)*B175</f>
        <v>2331725.380015499</v>
      </c>
      <c r="AC175" s="33"/>
    </row>
    <row r="176" spans="1:29" x14ac:dyDescent="0.25">
      <c r="A176" s="21" t="s">
        <v>39</v>
      </c>
      <c r="B176" s="22">
        <v>5</v>
      </c>
      <c r="C176" s="52"/>
      <c r="D176" s="32">
        <v>4226.1164796374987</v>
      </c>
      <c r="E176" s="32">
        <v>4057.2278121375002</v>
      </c>
      <c r="F176" s="32">
        <v>3900.1598653500005</v>
      </c>
      <c r="G176" s="32">
        <v>3793.1839005374991</v>
      </c>
      <c r="H176" s="32">
        <v>3743.7714011249991</v>
      </c>
      <c r="I176" s="32">
        <v>3755.1171199500004</v>
      </c>
      <c r="J176" s="32">
        <v>3804.0632256374993</v>
      </c>
      <c r="K176" s="32">
        <v>4290.7901399999992</v>
      </c>
      <c r="L176" s="32">
        <v>4881.0028309874997</v>
      </c>
      <c r="M176" s="32">
        <v>5312.4839507249999</v>
      </c>
      <c r="N176" s="32">
        <v>5651.562738149998</v>
      </c>
      <c r="O176" s="32">
        <v>5896.9750517999992</v>
      </c>
      <c r="P176" s="32">
        <v>5845.9154614874979</v>
      </c>
      <c r="Q176" s="32">
        <v>5881.9428706500003</v>
      </c>
      <c r="R176" s="32">
        <v>6081.5451941999981</v>
      </c>
      <c r="S176" s="32">
        <v>6153.9979559625008</v>
      </c>
      <c r="T176" s="32">
        <v>5996.8762583624984</v>
      </c>
      <c r="U176" s="32">
        <v>5883.4641726</v>
      </c>
      <c r="V176" s="32">
        <v>6237.6838744499983</v>
      </c>
      <c r="W176" s="32">
        <v>6233.1138639000001</v>
      </c>
      <c r="X176" s="32">
        <v>5948.4271769999987</v>
      </c>
      <c r="Y176" s="32">
        <v>5569.758071324999</v>
      </c>
      <c r="Z176" s="32">
        <v>5078.0209921875003</v>
      </c>
      <c r="AA176" s="32">
        <v>4574.1952950749983</v>
      </c>
      <c r="AB176" s="23">
        <f t="shared" ref="AB176:AB177" si="43">SUM(D176:AA176)*B176</f>
        <v>613986.9785161874</v>
      </c>
      <c r="AC176" s="33"/>
    </row>
    <row r="177" spans="1:29" x14ac:dyDescent="0.25">
      <c r="A177" s="21" t="s">
        <v>40</v>
      </c>
      <c r="B177" s="22">
        <v>7</v>
      </c>
      <c r="C177" s="52"/>
      <c r="D177" s="32">
        <v>4183.1204540625013</v>
      </c>
      <c r="E177" s="32">
        <v>4005.3242126250002</v>
      </c>
      <c r="F177" s="32">
        <v>3902.4403762499996</v>
      </c>
      <c r="G177" s="32">
        <v>3793.1469969374984</v>
      </c>
      <c r="H177" s="32">
        <v>3735.2425978125007</v>
      </c>
      <c r="I177" s="32">
        <v>3747.6256432499999</v>
      </c>
      <c r="J177" s="32">
        <v>3785.7273288750011</v>
      </c>
      <c r="K177" s="32">
        <v>4248.3233261249989</v>
      </c>
      <c r="L177" s="32">
        <v>4793.9234011874987</v>
      </c>
      <c r="M177" s="32">
        <v>5298.5487470624994</v>
      </c>
      <c r="N177" s="32">
        <v>5677.4563740000003</v>
      </c>
      <c r="O177" s="32">
        <v>5972.8133401875002</v>
      </c>
      <c r="P177" s="32">
        <v>5899.1833333124987</v>
      </c>
      <c r="Q177" s="32">
        <v>5899.4053076249984</v>
      </c>
      <c r="R177" s="32">
        <v>6076.25741475</v>
      </c>
      <c r="S177" s="32">
        <v>6117.1913790000017</v>
      </c>
      <c r="T177" s="32">
        <v>5982.2765718749997</v>
      </c>
      <c r="U177" s="32">
        <v>5878.2420129374996</v>
      </c>
      <c r="V177" s="32">
        <v>6261.8771103750023</v>
      </c>
      <c r="W177" s="32">
        <v>6265.7075705624993</v>
      </c>
      <c r="X177" s="32">
        <v>6024.9000481875</v>
      </c>
      <c r="Y177" s="32">
        <v>5628.8333756250004</v>
      </c>
      <c r="Z177" s="32">
        <v>5102.8150533749995</v>
      </c>
      <c r="AA177" s="32">
        <v>4613.543008874999</v>
      </c>
      <c r="AB177" s="23">
        <f t="shared" si="43"/>
        <v>860257.47489412501</v>
      </c>
      <c r="AC177" s="5">
        <f>+AB175+AB176+AB177</f>
        <v>3805969.8334258115</v>
      </c>
    </row>
    <row r="178" spans="1:29" x14ac:dyDescent="0.25">
      <c r="A178" s="39"/>
    </row>
    <row r="179" spans="1:29" x14ac:dyDescent="0.25">
      <c r="A179" s="21" t="s">
        <v>38</v>
      </c>
      <c r="B179" s="22">
        <v>21</v>
      </c>
      <c r="C179" s="51">
        <v>47209</v>
      </c>
      <c r="D179" s="32">
        <v>4100.1437983124997</v>
      </c>
      <c r="E179" s="32">
        <v>3915.2931253124989</v>
      </c>
      <c r="F179" s="32">
        <v>3780.7077271874996</v>
      </c>
      <c r="G179" s="32">
        <v>3679.5202304999989</v>
      </c>
      <c r="H179" s="32">
        <v>3636.0508522499999</v>
      </c>
      <c r="I179" s="32">
        <v>3690.5586736874993</v>
      </c>
      <c r="J179" s="32">
        <v>3762.4793486249991</v>
      </c>
      <c r="K179" s="32">
        <v>4236.2788123124992</v>
      </c>
      <c r="L179" s="32">
        <v>4790.3536561874989</v>
      </c>
      <c r="M179" s="32">
        <v>5251.0871908124982</v>
      </c>
      <c r="N179" s="32">
        <v>5597.9216604374997</v>
      </c>
      <c r="O179" s="32">
        <v>5857.9622613750016</v>
      </c>
      <c r="P179" s="32">
        <v>5809.3570365000014</v>
      </c>
      <c r="Q179" s="32">
        <v>5843.4579697500003</v>
      </c>
      <c r="R179" s="32">
        <v>6045.5838504374988</v>
      </c>
      <c r="S179" s="32">
        <v>6081.5334571874982</v>
      </c>
      <c r="T179" s="32">
        <v>5909.6207829374998</v>
      </c>
      <c r="U179" s="32">
        <v>5777.1555982500013</v>
      </c>
      <c r="V179" s="32">
        <v>6130.8227068125007</v>
      </c>
      <c r="W179" s="32">
        <v>6101.5074605624977</v>
      </c>
      <c r="X179" s="32">
        <v>5812.0705138125013</v>
      </c>
      <c r="Y179" s="32">
        <v>5406.6657890625011</v>
      </c>
      <c r="Z179" s="32">
        <v>4889.6894034375</v>
      </c>
      <c r="AA179" s="32">
        <v>4431.7509461249992</v>
      </c>
      <c r="AB179" s="23">
        <f>SUM(D179:AA179)*B179</f>
        <v>2531289.029889375</v>
      </c>
      <c r="AC179" s="33"/>
    </row>
    <row r="180" spans="1:29" x14ac:dyDescent="0.25">
      <c r="A180" s="21" t="s">
        <v>39</v>
      </c>
      <c r="B180" s="22">
        <v>5</v>
      </c>
      <c r="C180" s="52"/>
      <c r="D180" s="32">
        <v>4103.1983515125012</v>
      </c>
      <c r="E180" s="32">
        <v>3948.8348939249991</v>
      </c>
      <c r="F180" s="32">
        <v>3800.8447565250008</v>
      </c>
      <c r="G180" s="32">
        <v>3707.5542573000012</v>
      </c>
      <c r="H180" s="32">
        <v>3658.5256979999999</v>
      </c>
      <c r="I180" s="32">
        <v>3745.4432117250003</v>
      </c>
      <c r="J180" s="32">
        <v>3803.5891270875013</v>
      </c>
      <c r="K180" s="32">
        <v>4266.2821722375011</v>
      </c>
      <c r="L180" s="32">
        <v>4802.6424663750013</v>
      </c>
      <c r="M180" s="32">
        <v>5211.1284396375013</v>
      </c>
      <c r="N180" s="32">
        <v>5542.0643337375013</v>
      </c>
      <c r="O180" s="32">
        <v>5843.6061107250007</v>
      </c>
      <c r="P180" s="32">
        <v>5857.5958608000001</v>
      </c>
      <c r="Q180" s="32">
        <v>5866.1915595375003</v>
      </c>
      <c r="R180" s="32">
        <v>6050.1199989000015</v>
      </c>
      <c r="S180" s="32">
        <v>6029.6314609875008</v>
      </c>
      <c r="T180" s="32">
        <v>5835.4371251625007</v>
      </c>
      <c r="U180" s="32">
        <v>5712.2246397000017</v>
      </c>
      <c r="V180" s="32">
        <v>6087.5799375000015</v>
      </c>
      <c r="W180" s="32">
        <v>6118.3322700375002</v>
      </c>
      <c r="X180" s="32">
        <v>5844.0034651125006</v>
      </c>
      <c r="Y180" s="32">
        <v>5437.8746155874996</v>
      </c>
      <c r="Z180" s="32">
        <v>4882.4397177374985</v>
      </c>
      <c r="AA180" s="32">
        <v>4416.203871525001</v>
      </c>
      <c r="AB180" s="23">
        <f t="shared" ref="AB180:AB181" si="44">SUM(D180:AA180)*B180</f>
        <v>602856.74170687492</v>
      </c>
      <c r="AC180" s="33"/>
    </row>
    <row r="181" spans="1:29" x14ac:dyDescent="0.25">
      <c r="A181" s="21" t="s">
        <v>40</v>
      </c>
      <c r="B181" s="22">
        <v>4</v>
      </c>
      <c r="C181" s="52"/>
      <c r="D181" s="32">
        <v>4106.7115193437503</v>
      </c>
      <c r="E181" s="32">
        <v>3907.8802689375007</v>
      </c>
      <c r="F181" s="32">
        <v>3767.5096874062501</v>
      </c>
      <c r="G181" s="32">
        <v>3672.3436061250004</v>
      </c>
      <c r="H181" s="32">
        <v>3648.0993121875003</v>
      </c>
      <c r="I181" s="32">
        <v>3695.7826419375006</v>
      </c>
      <c r="J181" s="32">
        <v>3772.2400768593752</v>
      </c>
      <c r="K181" s="32">
        <v>4246.1010648749998</v>
      </c>
      <c r="L181" s="32">
        <v>4770.5380532343752</v>
      </c>
      <c r="M181" s="32">
        <v>5224.9966881093769</v>
      </c>
      <c r="N181" s="32">
        <v>5576.4008414062509</v>
      </c>
      <c r="O181" s="32">
        <v>5924.2713473437507</v>
      </c>
      <c r="P181" s="32">
        <v>5887.3800829687498</v>
      </c>
      <c r="Q181" s="32">
        <v>5898.9498616874998</v>
      </c>
      <c r="R181" s="32">
        <v>6057.0449744531252</v>
      </c>
      <c r="S181" s="32">
        <v>6041.9852920312514</v>
      </c>
      <c r="T181" s="32">
        <v>5852.1827724374998</v>
      </c>
      <c r="U181" s="32">
        <v>5760.6799295156261</v>
      </c>
      <c r="V181" s="32">
        <v>6202.4329567031264</v>
      </c>
      <c r="W181" s="32">
        <v>6168.1678512656254</v>
      </c>
      <c r="X181" s="32">
        <v>5867.0031700312502</v>
      </c>
      <c r="Y181" s="32">
        <v>5408.7929895000007</v>
      </c>
      <c r="Z181" s="32">
        <v>4848.0845445468749</v>
      </c>
      <c r="AA181" s="32">
        <v>4359.6895510312506</v>
      </c>
      <c r="AB181" s="23">
        <f t="shared" si="44"/>
        <v>482661.07633575005</v>
      </c>
      <c r="AC181" s="5">
        <f>+AB179+AB180+AB181</f>
        <v>3616806.8479320002</v>
      </c>
    </row>
    <row r="182" spans="1:29" x14ac:dyDescent="0.25">
      <c r="A182" s="39"/>
    </row>
    <row r="183" spans="1:29" x14ac:dyDescent="0.25">
      <c r="A183" s="21" t="s">
        <v>38</v>
      </c>
      <c r="B183" s="26">
        <v>21</v>
      </c>
      <c r="C183" s="51">
        <v>47239</v>
      </c>
      <c r="D183" s="32">
        <v>625.07078043750209</v>
      </c>
      <c r="E183" s="32">
        <v>443.23560993750323</v>
      </c>
      <c r="F183" s="32">
        <v>302.56362637500081</v>
      </c>
      <c r="G183" s="32">
        <v>204.22092562500131</v>
      </c>
      <c r="H183" s="32">
        <v>171.39977043750253</v>
      </c>
      <c r="I183" s="32">
        <v>259.6666976250018</v>
      </c>
      <c r="J183" s="32">
        <v>358.30040756250526</v>
      </c>
      <c r="K183" s="32">
        <v>849.05380125000306</v>
      </c>
      <c r="L183" s="32">
        <v>1408.5244100624996</v>
      </c>
      <c r="M183" s="32">
        <v>1862.7689915625033</v>
      </c>
      <c r="N183" s="32">
        <v>2209.9757197499994</v>
      </c>
      <c r="O183" s="32">
        <v>2505.347880750001</v>
      </c>
      <c r="P183" s="32">
        <v>2482.5746371875002</v>
      </c>
      <c r="Q183" s="32">
        <v>2508.0597420000022</v>
      </c>
      <c r="R183" s="32">
        <v>2692.2115460625027</v>
      </c>
      <c r="S183" s="32">
        <v>2691.8519610000035</v>
      </c>
      <c r="T183" s="32">
        <v>2501.2919910000032</v>
      </c>
      <c r="U183" s="32">
        <v>2372.2326532500001</v>
      </c>
      <c r="V183" s="32">
        <v>2745.9362242500029</v>
      </c>
      <c r="W183" s="32">
        <v>2725.6412683125009</v>
      </c>
      <c r="X183" s="32">
        <v>2435.8711035000001</v>
      </c>
      <c r="Y183" s="32">
        <v>1997.8740255000016</v>
      </c>
      <c r="Z183" s="32">
        <v>1438.5055665000036</v>
      </c>
      <c r="AA183" s="32">
        <v>955.67253975000358</v>
      </c>
      <c r="AB183" s="23">
        <f>SUM(D183:AA183)*B183</f>
        <v>813704.88947343861</v>
      </c>
      <c r="AC183" s="33"/>
    </row>
    <row r="184" spans="1:29" x14ac:dyDescent="0.25">
      <c r="A184" s="21" t="s">
        <v>39</v>
      </c>
      <c r="B184" s="26">
        <v>4</v>
      </c>
      <c r="C184" s="52"/>
      <c r="D184" s="32">
        <v>599.9338821093736</v>
      </c>
      <c r="E184" s="32">
        <v>396.5329591874995</v>
      </c>
      <c r="F184" s="32">
        <v>280.34836903124972</v>
      </c>
      <c r="G184" s="32">
        <v>249.95017603125049</v>
      </c>
      <c r="H184" s="32">
        <v>229.68099899999993</v>
      </c>
      <c r="I184" s="32">
        <v>304.02110039062529</v>
      </c>
      <c r="J184" s="32">
        <v>354.56609193749989</v>
      </c>
      <c r="K184" s="32">
        <v>834.06932549999988</v>
      </c>
      <c r="L184" s="32">
        <v>1376.7244924218753</v>
      </c>
      <c r="M184" s="32">
        <v>1841.7579470156252</v>
      </c>
      <c r="N184" s="32">
        <v>2196.0053542968744</v>
      </c>
      <c r="O184" s="32">
        <v>2440.3804948124998</v>
      </c>
      <c r="P184" s="32">
        <v>2398.0007068593745</v>
      </c>
      <c r="Q184" s="32">
        <v>2455.9081540312495</v>
      </c>
      <c r="R184" s="32">
        <v>2717.8746703593724</v>
      </c>
      <c r="S184" s="32">
        <v>2715.8637674531255</v>
      </c>
      <c r="T184" s="32">
        <v>2531.2758631874995</v>
      </c>
      <c r="U184" s="32">
        <v>2361.5655211406256</v>
      </c>
      <c r="V184" s="32">
        <v>2710.1026911093745</v>
      </c>
      <c r="W184" s="32">
        <v>2692.9353141562497</v>
      </c>
      <c r="X184" s="32">
        <v>2410.6235630624997</v>
      </c>
      <c r="Y184" s="32">
        <v>2055.7417388906242</v>
      </c>
      <c r="Z184" s="32">
        <v>1523.7018219374995</v>
      </c>
      <c r="AA184" s="32">
        <v>1037.3359550624994</v>
      </c>
      <c r="AB184" s="23">
        <f t="shared" ref="AB184:AB185" si="45">SUM(D184:AA184)*B184</f>
        <v>154859.60383593751</v>
      </c>
      <c r="AC184" s="33"/>
    </row>
    <row r="185" spans="1:29" x14ac:dyDescent="0.25">
      <c r="A185" s="21" t="s">
        <v>40</v>
      </c>
      <c r="B185" s="26">
        <v>6</v>
      </c>
      <c r="C185" s="52"/>
      <c r="D185" s="32">
        <v>627.20529618749902</v>
      </c>
      <c r="E185" s="32">
        <v>411.06863812499932</v>
      </c>
      <c r="F185" s="32">
        <v>270.35509115625041</v>
      </c>
      <c r="G185" s="32">
        <v>225.90635990625037</v>
      </c>
      <c r="H185" s="32">
        <v>239.66480521875027</v>
      </c>
      <c r="I185" s="32">
        <v>292.83471178124955</v>
      </c>
      <c r="J185" s="32">
        <v>357.10508709375017</v>
      </c>
      <c r="K185" s="32">
        <v>820.69351724999922</v>
      </c>
      <c r="L185" s="32">
        <v>1354.5842170312483</v>
      </c>
      <c r="M185" s="32">
        <v>1807.3306799062505</v>
      </c>
      <c r="N185" s="32">
        <v>2181.9278234999992</v>
      </c>
      <c r="O185" s="32">
        <v>2455.1566132500002</v>
      </c>
      <c r="P185" s="32">
        <v>2401.6577200312495</v>
      </c>
      <c r="Q185" s="32">
        <v>2430.9352788749998</v>
      </c>
      <c r="R185" s="32">
        <v>2625.2277874687497</v>
      </c>
      <c r="S185" s="32">
        <v>2703.3658500937481</v>
      </c>
      <c r="T185" s="32">
        <v>2558.1575615625011</v>
      </c>
      <c r="U185" s="32">
        <v>2419.3825134374997</v>
      </c>
      <c r="V185" s="32">
        <v>2770.4569605000015</v>
      </c>
      <c r="W185" s="32">
        <v>2723.5688370937505</v>
      </c>
      <c r="X185" s="32">
        <v>2389.6959999374994</v>
      </c>
      <c r="Y185" s="32">
        <v>1984.85409525</v>
      </c>
      <c r="Z185" s="32">
        <v>1499.6617877812494</v>
      </c>
      <c r="AA185" s="32">
        <v>1027.3889533125011</v>
      </c>
      <c r="AB185" s="23">
        <f t="shared" si="45"/>
        <v>231469.11711449994</v>
      </c>
      <c r="AC185" s="5">
        <f>+AB183+AB184+AB185</f>
        <v>1200033.610423876</v>
      </c>
    </row>
    <row r="186" spans="1:29" x14ac:dyDescent="0.25">
      <c r="A186" s="39"/>
    </row>
    <row r="187" spans="1:29" x14ac:dyDescent="0.25">
      <c r="A187" s="21" t="s">
        <v>38</v>
      </c>
      <c r="B187" s="22">
        <v>19</v>
      </c>
      <c r="C187" s="51">
        <v>47270</v>
      </c>
      <c r="D187" s="32">
        <v>411.00581468091821</v>
      </c>
      <c r="E187" s="32">
        <v>213.58690148683903</v>
      </c>
      <c r="F187" s="32">
        <v>100</v>
      </c>
      <c r="G187" s="32">
        <v>0</v>
      </c>
      <c r="H187" s="32">
        <v>0</v>
      </c>
      <c r="I187" s="32">
        <v>0</v>
      </c>
      <c r="J187" s="32">
        <v>100</v>
      </c>
      <c r="K187" s="32">
        <v>557.43298048026122</v>
      </c>
      <c r="L187" s="32">
        <v>1114.54722253618</v>
      </c>
      <c r="M187" s="32">
        <v>1595.066088217101</v>
      </c>
      <c r="N187" s="32">
        <v>1972.8543062565755</v>
      </c>
      <c r="O187" s="32">
        <v>2281.2728925098663</v>
      </c>
      <c r="P187" s="32">
        <v>2256.2615934671057</v>
      </c>
      <c r="Q187" s="32">
        <v>2283.0185344342085</v>
      </c>
      <c r="R187" s="32">
        <v>2478.1195112171004</v>
      </c>
      <c r="S187" s="32">
        <v>2506.1067211578911</v>
      </c>
      <c r="T187" s="32">
        <v>2339.8539114868372</v>
      </c>
      <c r="U187" s="32">
        <v>2197.3362409440756</v>
      </c>
      <c r="V187" s="32">
        <v>2554.1794016842068</v>
      </c>
      <c r="W187" s="32">
        <v>2522.4056641973661</v>
      </c>
      <c r="X187" s="32">
        <v>2232.6001102499963</v>
      </c>
      <c r="Y187" s="32">
        <v>1821.5659982861844</v>
      </c>
      <c r="Z187" s="32">
        <v>1290.3318652697337</v>
      </c>
      <c r="AA187" s="32">
        <v>800.89243273025772</v>
      </c>
      <c r="AB187" s="23">
        <f>SUM(D187:AA187)*B187</f>
        <v>638940.32563456125</v>
      </c>
      <c r="AC187" s="33"/>
    </row>
    <row r="188" spans="1:29" x14ac:dyDescent="0.25">
      <c r="A188" s="21" t="s">
        <v>39</v>
      </c>
      <c r="B188" s="22">
        <v>5</v>
      </c>
      <c r="C188" s="52"/>
      <c r="D188" s="32">
        <v>462.26472866250015</v>
      </c>
      <c r="E188" s="32">
        <v>256.15887810000152</v>
      </c>
      <c r="F188" s="32">
        <v>100</v>
      </c>
      <c r="G188" s="32">
        <v>0</v>
      </c>
      <c r="H188" s="32">
        <v>0</v>
      </c>
      <c r="I188" s="32">
        <v>0</v>
      </c>
      <c r="J188" s="32">
        <v>100</v>
      </c>
      <c r="K188" s="32">
        <v>559.30505325000058</v>
      </c>
      <c r="L188" s="32">
        <v>1105.3790094750007</v>
      </c>
      <c r="M188" s="32">
        <v>1562.8307680500004</v>
      </c>
      <c r="N188" s="32">
        <v>1939.4226022874991</v>
      </c>
      <c r="O188" s="32">
        <v>2234.061570075</v>
      </c>
      <c r="P188" s="32">
        <v>2234.1989258250005</v>
      </c>
      <c r="Q188" s="32">
        <v>2309.8964829000001</v>
      </c>
      <c r="R188" s="32">
        <v>2503.9596212249999</v>
      </c>
      <c r="S188" s="32">
        <v>2529.252102862501</v>
      </c>
      <c r="T188" s="32">
        <v>2346.6387042375009</v>
      </c>
      <c r="U188" s="32">
        <v>2248.5711433874994</v>
      </c>
      <c r="V188" s="32">
        <v>2609.309459962501</v>
      </c>
      <c r="W188" s="32">
        <v>2579.2160467875001</v>
      </c>
      <c r="X188" s="32">
        <v>2279.0116275000014</v>
      </c>
      <c r="Y188" s="32">
        <v>1812.655494600001</v>
      </c>
      <c r="Z188" s="32">
        <v>1254.5393616375002</v>
      </c>
      <c r="AA188" s="32">
        <v>786.81403556249893</v>
      </c>
      <c r="AB188" s="23">
        <f t="shared" ref="AB188:AB189" si="46">SUM(D188:AA188)*B188</f>
        <v>169067.42808193754</v>
      </c>
      <c r="AC188" s="33"/>
    </row>
    <row r="189" spans="1:29" x14ac:dyDescent="0.25">
      <c r="A189" s="21" t="s">
        <v>40</v>
      </c>
      <c r="B189" s="22">
        <v>6</v>
      </c>
      <c r="C189" s="52"/>
      <c r="D189" s="32">
        <v>475.88037843750038</v>
      </c>
      <c r="E189" s="32">
        <v>279.64432837499987</v>
      </c>
      <c r="F189" s="32">
        <v>118.09756668750107</v>
      </c>
      <c r="G189" s="32">
        <v>0</v>
      </c>
      <c r="H189" s="32">
        <v>0</v>
      </c>
      <c r="I189" s="32">
        <v>0</v>
      </c>
      <c r="J189" s="32">
        <v>0</v>
      </c>
      <c r="K189" s="32">
        <v>539.77144124999916</v>
      </c>
      <c r="L189" s="32">
        <v>1089.8483871562507</v>
      </c>
      <c r="M189" s="32">
        <v>1559.7868544062512</v>
      </c>
      <c r="N189" s="32">
        <v>1902.673383750001</v>
      </c>
      <c r="O189" s="32">
        <v>2216.2442556562501</v>
      </c>
      <c r="P189" s="32">
        <v>2218.7194370624993</v>
      </c>
      <c r="Q189" s="32">
        <v>2268.6087702187497</v>
      </c>
      <c r="R189" s="32">
        <v>2469.6974766562498</v>
      </c>
      <c r="S189" s="32">
        <v>2453.3510490937515</v>
      </c>
      <c r="T189" s="32">
        <v>2266.7581603124991</v>
      </c>
      <c r="U189" s="32">
        <v>2163.6080417812491</v>
      </c>
      <c r="V189" s="32">
        <v>2605.8346406250012</v>
      </c>
      <c r="W189" s="32">
        <v>2623.2423845625008</v>
      </c>
      <c r="X189" s="32">
        <v>2329.6400733750006</v>
      </c>
      <c r="Y189" s="32">
        <v>1871.7865470000017</v>
      </c>
      <c r="Z189" s="32">
        <v>1301.7906856875004</v>
      </c>
      <c r="AA189" s="32">
        <v>793.97987343750071</v>
      </c>
      <c r="AB189" s="23">
        <f t="shared" si="46"/>
        <v>201293.78241318761</v>
      </c>
      <c r="AC189" s="5">
        <f>+AB187+AB188+AB189</f>
        <v>1009301.5361296865</v>
      </c>
    </row>
    <row r="190" spans="1:29" x14ac:dyDescent="0.25">
      <c r="A190" s="39"/>
    </row>
    <row r="191" spans="1:29" x14ac:dyDescent="0.25">
      <c r="A191" s="21" t="s">
        <v>38</v>
      </c>
      <c r="B191" s="22">
        <v>20</v>
      </c>
      <c r="C191" s="51">
        <v>47300</v>
      </c>
      <c r="D191" s="32">
        <v>812.74828590000391</v>
      </c>
      <c r="E191" s="32">
        <v>607.81823603437874</v>
      </c>
      <c r="F191" s="32">
        <v>441.57302746875098</v>
      </c>
      <c r="G191" s="32">
        <v>325.32914742187722</v>
      </c>
      <c r="H191" s="32">
        <v>282.2317493062518</v>
      </c>
      <c r="I191" s="32">
        <v>343.629013162501</v>
      </c>
      <c r="J191" s="32">
        <v>419.60302880625318</v>
      </c>
      <c r="K191" s="32">
        <v>889.78985760937735</v>
      </c>
      <c r="L191" s="32">
        <v>1419.9689287968786</v>
      </c>
      <c r="M191" s="32">
        <v>1854.0224968218772</v>
      </c>
      <c r="N191" s="32">
        <v>2185.0037410781274</v>
      </c>
      <c r="O191" s="32">
        <v>2479.2209189437517</v>
      </c>
      <c r="P191" s="32">
        <v>2466.6624131062513</v>
      </c>
      <c r="Q191" s="32">
        <v>2521.5802675312525</v>
      </c>
      <c r="R191" s="32">
        <v>2729.2105460250013</v>
      </c>
      <c r="S191" s="32">
        <v>2755.0042355812511</v>
      </c>
      <c r="T191" s="32">
        <v>2588.9242555406263</v>
      </c>
      <c r="U191" s="32">
        <v>2482.5492924187533</v>
      </c>
      <c r="V191" s="32">
        <v>2877.6637737843794</v>
      </c>
      <c r="W191" s="32">
        <v>2871.9157971093787</v>
      </c>
      <c r="X191" s="32">
        <v>2585.5447485093782</v>
      </c>
      <c r="Y191" s="32">
        <v>2162.958581643753</v>
      </c>
      <c r="Z191" s="32">
        <v>1622.354975465626</v>
      </c>
      <c r="AA191" s="32">
        <v>1142.6960251968781</v>
      </c>
      <c r="AB191" s="23">
        <f>SUM(D191:AA191)*B191</f>
        <v>817360.06686525128</v>
      </c>
      <c r="AC191" s="33"/>
    </row>
    <row r="192" spans="1:29" x14ac:dyDescent="0.25">
      <c r="A192" s="21" t="s">
        <v>39</v>
      </c>
      <c r="B192" s="22">
        <v>4</v>
      </c>
      <c r="C192" s="52"/>
      <c r="D192" s="32">
        <v>738.09417065624962</v>
      </c>
      <c r="E192" s="32">
        <v>565.94059312500076</v>
      </c>
      <c r="F192" s="32">
        <v>485.85382368750095</v>
      </c>
      <c r="G192" s="32">
        <v>365.25994326562511</v>
      </c>
      <c r="H192" s="32">
        <v>314.25693187499996</v>
      </c>
      <c r="I192" s="32">
        <v>329.53160081249973</v>
      </c>
      <c r="J192" s="32">
        <v>375.47637960937448</v>
      </c>
      <c r="K192" s="32">
        <v>851.09546432812454</v>
      </c>
      <c r="L192" s="32">
        <v>1405.3484735156244</v>
      </c>
      <c r="M192" s="32">
        <v>1925.3087320781242</v>
      </c>
      <c r="N192" s="32">
        <v>2282.32080871875</v>
      </c>
      <c r="O192" s="32">
        <v>2565.2220616406257</v>
      </c>
      <c r="P192" s="32">
        <v>2480.5890143437496</v>
      </c>
      <c r="Q192" s="32">
        <v>2481.4548843749999</v>
      </c>
      <c r="R192" s="32">
        <v>2667.5006706562499</v>
      </c>
      <c r="S192" s="32">
        <v>2732.7678624843757</v>
      </c>
      <c r="T192" s="32">
        <v>2627.0992372499995</v>
      </c>
      <c r="U192" s="32">
        <v>2499.0891336562495</v>
      </c>
      <c r="V192" s="32">
        <v>2876.5247619374991</v>
      </c>
      <c r="W192" s="32">
        <v>2858.2412523749999</v>
      </c>
      <c r="X192" s="32">
        <v>2583.2050385624989</v>
      </c>
      <c r="Y192" s="32">
        <v>2153.1865065468751</v>
      </c>
      <c r="Z192" s="32">
        <v>1622.5817463281255</v>
      </c>
      <c r="AA192" s="32">
        <v>1141.9904437031239</v>
      </c>
      <c r="AB192" s="23">
        <f t="shared" ref="AB192:AB193" si="47">SUM(D192:AA192)*B192</f>
        <v>163711.75814212498</v>
      </c>
      <c r="AC192" s="33"/>
    </row>
    <row r="193" spans="1:29" x14ac:dyDescent="0.25">
      <c r="A193" s="21" t="s">
        <v>40</v>
      </c>
      <c r="B193" s="22">
        <v>7</v>
      </c>
      <c r="C193" s="52"/>
      <c r="D193" s="32">
        <v>736.81125131249951</v>
      </c>
      <c r="E193" s="32">
        <v>518.37001481249922</v>
      </c>
      <c r="F193" s="32">
        <v>362.03855456249948</v>
      </c>
      <c r="G193" s="32">
        <v>288.25641787499967</v>
      </c>
      <c r="H193" s="32">
        <v>235.63910587499996</v>
      </c>
      <c r="I193" s="32">
        <v>291.05777137500104</v>
      </c>
      <c r="J193" s="32">
        <v>327.61785768749871</v>
      </c>
      <c r="K193" s="32">
        <v>796.08066862500061</v>
      </c>
      <c r="L193" s="32">
        <v>1363.0740069375013</v>
      </c>
      <c r="M193" s="32">
        <v>1848.3096532499999</v>
      </c>
      <c r="N193" s="32">
        <v>2240.1657753750001</v>
      </c>
      <c r="O193" s="32">
        <v>2518.8878739375009</v>
      </c>
      <c r="P193" s="32">
        <v>2484.3201058125001</v>
      </c>
      <c r="Q193" s="32">
        <v>2523.9973184999999</v>
      </c>
      <c r="R193" s="32">
        <v>2760.8806586250003</v>
      </c>
      <c r="S193" s="32">
        <v>2833.2210858749986</v>
      </c>
      <c r="T193" s="32">
        <v>2685.3629664374994</v>
      </c>
      <c r="U193" s="32">
        <v>2581.1214367500006</v>
      </c>
      <c r="V193" s="32">
        <v>2937.2477748750016</v>
      </c>
      <c r="W193" s="32">
        <v>2895.7848800625015</v>
      </c>
      <c r="X193" s="32">
        <v>2585.8913169374991</v>
      </c>
      <c r="Y193" s="32">
        <v>2188.3747685624994</v>
      </c>
      <c r="Z193" s="32">
        <v>1652.4336026249998</v>
      </c>
      <c r="AA193" s="32">
        <v>1146.2688089999995</v>
      </c>
      <c r="AB193" s="23">
        <f t="shared" si="47"/>
        <v>285608.49572981254</v>
      </c>
      <c r="AC193" s="5">
        <f>+AB191+AB192+AB193</f>
        <v>1266680.3207371887</v>
      </c>
    </row>
    <row r="194" spans="1:29" x14ac:dyDescent="0.25">
      <c r="A194" s="39"/>
    </row>
    <row r="195" spans="1:29" x14ac:dyDescent="0.25">
      <c r="A195" s="21" t="s">
        <v>38</v>
      </c>
      <c r="B195" s="22">
        <v>21</v>
      </c>
      <c r="C195" s="51">
        <v>47331</v>
      </c>
      <c r="D195" s="32">
        <v>868.03778784375254</v>
      </c>
      <c r="E195" s="32">
        <v>659.40969403125314</v>
      </c>
      <c r="F195" s="32">
        <v>510.85814512500139</v>
      </c>
      <c r="G195" s="32">
        <v>413.31587343750249</v>
      </c>
      <c r="H195" s="32">
        <v>381.67013596875256</v>
      </c>
      <c r="I195" s="32">
        <v>431.6983102500011</v>
      </c>
      <c r="J195" s="32">
        <v>499.83422578125214</v>
      </c>
      <c r="K195" s="32">
        <v>959.4933306562549</v>
      </c>
      <c r="L195" s="32">
        <v>1498.7643535312513</v>
      </c>
      <c r="M195" s="32">
        <v>1959.4020464062521</v>
      </c>
      <c r="N195" s="32">
        <v>2311.7103300937492</v>
      </c>
      <c r="O195" s="32">
        <v>2585.5972891874994</v>
      </c>
      <c r="P195" s="32">
        <v>2532.3976783125063</v>
      </c>
      <c r="Q195" s="32">
        <v>2547.3597602812551</v>
      </c>
      <c r="R195" s="32">
        <v>2730.5733045937541</v>
      </c>
      <c r="S195" s="32">
        <v>2763.2848241250013</v>
      </c>
      <c r="T195" s="32">
        <v>2594.1482870625014</v>
      </c>
      <c r="U195" s="32">
        <v>2480.0792295000033</v>
      </c>
      <c r="V195" s="32">
        <v>2862.0478397812531</v>
      </c>
      <c r="W195" s="32">
        <v>2838.1360052812506</v>
      </c>
      <c r="X195" s="32">
        <v>2549.6119888125036</v>
      </c>
      <c r="Y195" s="32">
        <v>2151.670658250001</v>
      </c>
      <c r="Z195" s="32">
        <v>1648.9370505937513</v>
      </c>
      <c r="AA195" s="32">
        <v>1200.9902104687535</v>
      </c>
      <c r="AB195" s="23">
        <f>SUM(D195:AA195)*B195</f>
        <v>881559.59554687631</v>
      </c>
      <c r="AC195" s="33"/>
    </row>
    <row r="196" spans="1:29" x14ac:dyDescent="0.25">
      <c r="A196" s="21" t="s">
        <v>39</v>
      </c>
      <c r="B196" s="22">
        <v>4</v>
      </c>
      <c r="C196" s="52"/>
      <c r="D196" s="32">
        <v>833.27022562500042</v>
      </c>
      <c r="E196" s="32">
        <v>637.67297685937501</v>
      </c>
      <c r="F196" s="32">
        <v>470.87451646874888</v>
      </c>
      <c r="G196" s="32">
        <v>372.17590903125097</v>
      </c>
      <c r="H196" s="32">
        <v>331.83903684375059</v>
      </c>
      <c r="I196" s="32">
        <v>451.242735046875</v>
      </c>
      <c r="J196" s="32">
        <v>514.55277478124981</v>
      </c>
      <c r="K196" s="32">
        <v>965.51973210937535</v>
      </c>
      <c r="L196" s="32">
        <v>1472.7970245937486</v>
      </c>
      <c r="M196" s="32">
        <v>1892.3116069687508</v>
      </c>
      <c r="N196" s="32">
        <v>2227.8349387968756</v>
      </c>
      <c r="O196" s="32">
        <v>2549.7839982656242</v>
      </c>
      <c r="P196" s="32">
        <v>2588.7433301718752</v>
      </c>
      <c r="Q196" s="32">
        <v>2607.8674743281244</v>
      </c>
      <c r="R196" s="32">
        <v>2794.0853569218748</v>
      </c>
      <c r="S196" s="32">
        <v>2776.1430277968739</v>
      </c>
      <c r="T196" s="32">
        <v>2579.1607417500004</v>
      </c>
      <c r="U196" s="32">
        <v>2446.5809154374997</v>
      </c>
      <c r="V196" s="32">
        <v>2848.2025852968754</v>
      </c>
      <c r="W196" s="32">
        <v>2894.6869472812482</v>
      </c>
      <c r="X196" s="32">
        <v>2623.6258503749996</v>
      </c>
      <c r="Y196" s="32">
        <v>2220.2641234687512</v>
      </c>
      <c r="Z196" s="32">
        <v>1663.7468696718756</v>
      </c>
      <c r="AA196" s="32">
        <v>1188.7978460625004</v>
      </c>
      <c r="AB196" s="23">
        <f t="shared" ref="AB196:AB197" si="48">SUM(D196:AA196)*B196</f>
        <v>167807.12217581255</v>
      </c>
      <c r="AC196" s="33"/>
    </row>
    <row r="197" spans="1:29" x14ac:dyDescent="0.25">
      <c r="A197" s="21" t="s">
        <v>40</v>
      </c>
      <c r="B197" s="22">
        <v>6</v>
      </c>
      <c r="C197" s="52"/>
      <c r="D197" s="32">
        <v>824.61148068750003</v>
      </c>
      <c r="E197" s="32">
        <v>657.16821693750001</v>
      </c>
      <c r="F197" s="32">
        <v>521.85751912500086</v>
      </c>
      <c r="G197" s="32">
        <v>391.63263215624909</v>
      </c>
      <c r="H197" s="32">
        <v>334.80397762499945</v>
      </c>
      <c r="I197" s="32">
        <v>399.94152824999958</v>
      </c>
      <c r="J197" s="32">
        <v>490.89072553124987</v>
      </c>
      <c r="K197" s="32">
        <v>951.97550353124871</v>
      </c>
      <c r="L197" s="32">
        <v>1508.7982768125007</v>
      </c>
      <c r="M197" s="32">
        <v>1920.7442918437496</v>
      </c>
      <c r="N197" s="32">
        <v>2247.7894259062496</v>
      </c>
      <c r="O197" s="32">
        <v>2534.3781150937484</v>
      </c>
      <c r="P197" s="32">
        <v>2507.5079076562497</v>
      </c>
      <c r="Q197" s="32">
        <v>2599.6123569375</v>
      </c>
      <c r="R197" s="32">
        <v>2832.3877251562512</v>
      </c>
      <c r="S197" s="32">
        <v>2852.5767110624993</v>
      </c>
      <c r="T197" s="32">
        <v>2647.264426875</v>
      </c>
      <c r="U197" s="32">
        <v>2497.3501420312514</v>
      </c>
      <c r="V197" s="32">
        <v>2830.3947057187506</v>
      </c>
      <c r="W197" s="32">
        <v>2830.2662080312484</v>
      </c>
      <c r="X197" s="32">
        <v>2590.5975045000005</v>
      </c>
      <c r="Y197" s="32">
        <v>2189.493523687499</v>
      </c>
      <c r="Z197" s="32">
        <v>1645.6854531562494</v>
      </c>
      <c r="AA197" s="32">
        <v>1159.2940607812498</v>
      </c>
      <c r="AB197" s="23">
        <f t="shared" si="48"/>
        <v>251802.13451456249</v>
      </c>
      <c r="AC197" s="5">
        <f>+AB195+AB196+AB197</f>
        <v>1301168.8522372514</v>
      </c>
    </row>
    <row r="198" spans="1:29" x14ac:dyDescent="0.25">
      <c r="A198" s="39"/>
    </row>
    <row r="199" spans="1:29" x14ac:dyDescent="0.25">
      <c r="A199" s="21" t="s">
        <v>38</v>
      </c>
      <c r="B199" s="26">
        <v>20</v>
      </c>
      <c r="C199" s="51">
        <v>47362</v>
      </c>
      <c r="D199" s="32">
        <v>948.19199999999682</v>
      </c>
      <c r="E199" s="32">
        <v>771.06262499999673</v>
      </c>
      <c r="F199" s="32">
        <v>519.82387499999641</v>
      </c>
      <c r="G199" s="32">
        <v>243.37199999999666</v>
      </c>
      <c r="H199" s="32">
        <v>209.55262499999711</v>
      </c>
      <c r="I199" s="32">
        <v>404.53199999999731</v>
      </c>
      <c r="J199" s="32">
        <v>587.94074999999657</v>
      </c>
      <c r="K199" s="32">
        <v>958.61512499999719</v>
      </c>
      <c r="L199" s="32">
        <v>1464.726374999997</v>
      </c>
      <c r="M199" s="32">
        <v>1833.8707499999964</v>
      </c>
      <c r="N199" s="32">
        <v>2120.6182499999973</v>
      </c>
      <c r="O199" s="32">
        <v>2341.2569999999978</v>
      </c>
      <c r="P199" s="32">
        <v>2278.2719999999963</v>
      </c>
      <c r="Q199" s="32">
        <v>2263.4819999999972</v>
      </c>
      <c r="R199" s="32">
        <v>2445.4882499999976</v>
      </c>
      <c r="S199" s="32">
        <v>2489.3163749999976</v>
      </c>
      <c r="T199" s="32">
        <v>2218.9844999999968</v>
      </c>
      <c r="U199" s="32">
        <v>2082.1451249999968</v>
      </c>
      <c r="V199" s="32">
        <v>2416.6732499999971</v>
      </c>
      <c r="W199" s="32">
        <v>2358.1826249999967</v>
      </c>
      <c r="X199" s="32">
        <v>2019.9569999999976</v>
      </c>
      <c r="Y199" s="32">
        <v>1588.401374999997</v>
      </c>
      <c r="Z199" s="32">
        <v>1121.336999999997</v>
      </c>
      <c r="AA199" s="32">
        <v>895.47074999999643</v>
      </c>
      <c r="AB199" s="23">
        <f>SUM(D199:AA199)*B199</f>
        <v>731625.4724999984</v>
      </c>
      <c r="AC199" s="33"/>
    </row>
    <row r="200" spans="1:29" x14ac:dyDescent="0.25">
      <c r="A200" s="21" t="s">
        <v>39</v>
      </c>
      <c r="B200" s="26">
        <v>5</v>
      </c>
      <c r="C200" s="52"/>
      <c r="D200" s="32">
        <v>947.52262500000074</v>
      </c>
      <c r="E200" s="32">
        <v>770.29762500000083</v>
      </c>
      <c r="F200" s="32">
        <v>519.12262500000088</v>
      </c>
      <c r="G200" s="32">
        <v>242.70262500000058</v>
      </c>
      <c r="H200" s="32">
        <v>208.91512500000059</v>
      </c>
      <c r="I200" s="32">
        <v>403.73512500000083</v>
      </c>
      <c r="J200" s="32">
        <v>587.20762500000046</v>
      </c>
      <c r="K200" s="32">
        <v>957.97762500000067</v>
      </c>
      <c r="L200" s="32">
        <v>1463.8976250000007</v>
      </c>
      <c r="M200" s="32">
        <v>1833.2651250000004</v>
      </c>
      <c r="N200" s="32">
        <v>2119.8851250000007</v>
      </c>
      <c r="O200" s="32">
        <v>2340.7151250000006</v>
      </c>
      <c r="P200" s="32">
        <v>2277.730125</v>
      </c>
      <c r="Q200" s="32">
        <v>2262.812625</v>
      </c>
      <c r="R200" s="32">
        <v>2444.7551249999997</v>
      </c>
      <c r="S200" s="32">
        <v>2488.6151249999994</v>
      </c>
      <c r="T200" s="32">
        <v>2218.3151250000005</v>
      </c>
      <c r="U200" s="32">
        <v>2081.5076250000002</v>
      </c>
      <c r="V200" s="32">
        <v>2416.0676249999997</v>
      </c>
      <c r="W200" s="32">
        <v>2357.5451250000006</v>
      </c>
      <c r="X200" s="32">
        <v>2019.2876250000004</v>
      </c>
      <c r="Y200" s="32">
        <v>1587.8276250000004</v>
      </c>
      <c r="Z200" s="32">
        <v>1120.6676249999998</v>
      </c>
      <c r="AA200" s="32">
        <v>894.8651250000006</v>
      </c>
      <c r="AB200" s="23">
        <f t="shared" ref="AB200:AB201" si="49">SUM(D200:AA200)*B200</f>
        <v>182826.20250000004</v>
      </c>
      <c r="AC200" s="33"/>
    </row>
    <row r="201" spans="1:29" x14ac:dyDescent="0.25">
      <c r="A201" s="21" t="s">
        <v>40</v>
      </c>
      <c r="B201" s="26">
        <v>5</v>
      </c>
      <c r="C201" s="52"/>
      <c r="D201" s="32">
        <v>948.79762500000083</v>
      </c>
      <c r="E201" s="32">
        <v>771.57262500000093</v>
      </c>
      <c r="F201" s="32">
        <v>520.39762500000074</v>
      </c>
      <c r="G201" s="32">
        <v>243.97762500000059</v>
      </c>
      <c r="H201" s="32">
        <v>210.19012500000062</v>
      </c>
      <c r="I201" s="32">
        <v>405.13762500000018</v>
      </c>
      <c r="J201" s="32">
        <v>588.61012500000083</v>
      </c>
      <c r="K201" s="32">
        <v>959.25262500000053</v>
      </c>
      <c r="L201" s="32">
        <v>1465.3001250000002</v>
      </c>
      <c r="M201" s="32">
        <v>1834.5401250000007</v>
      </c>
      <c r="N201" s="32">
        <v>2121.1601250000008</v>
      </c>
      <c r="O201" s="32">
        <v>2341.8626250000002</v>
      </c>
      <c r="P201" s="32">
        <v>2278.8776250000005</v>
      </c>
      <c r="Q201" s="32">
        <v>2263.960125000001</v>
      </c>
      <c r="R201" s="32">
        <v>2446.0301249999998</v>
      </c>
      <c r="S201" s="32">
        <v>2489.8901249999994</v>
      </c>
      <c r="T201" s="32">
        <v>2219.5901250000006</v>
      </c>
      <c r="U201" s="32">
        <v>2082.6551249999998</v>
      </c>
      <c r="V201" s="32">
        <v>2417.2151249999993</v>
      </c>
      <c r="W201" s="32">
        <v>2358.8201250000002</v>
      </c>
      <c r="X201" s="32">
        <v>2020.4351250000009</v>
      </c>
      <c r="Y201" s="32">
        <v>1588.9751250000004</v>
      </c>
      <c r="Z201" s="32">
        <v>1121.8151250000005</v>
      </c>
      <c r="AA201" s="32">
        <v>896.14012500000058</v>
      </c>
      <c r="AB201" s="23">
        <f t="shared" si="49"/>
        <v>182976.01500000004</v>
      </c>
      <c r="AC201" s="5">
        <f>+AB199+AB200+AB201</f>
        <v>1097427.6899999985</v>
      </c>
    </row>
    <row r="202" spans="1:29" x14ac:dyDescent="0.25">
      <c r="A202" s="39"/>
    </row>
    <row r="203" spans="1:29" x14ac:dyDescent="0.25">
      <c r="A203" s="21" t="s">
        <v>38</v>
      </c>
      <c r="B203" s="22">
        <v>22</v>
      </c>
      <c r="C203" s="51">
        <v>47392</v>
      </c>
      <c r="D203" s="32">
        <v>1247.7335454545482</v>
      </c>
      <c r="E203" s="32">
        <v>1070.8562727272765</v>
      </c>
      <c r="F203" s="32">
        <v>819.42047727273018</v>
      </c>
      <c r="G203" s="32">
        <v>541.99206818182131</v>
      </c>
      <c r="H203" s="32">
        <v>508.20456818182123</v>
      </c>
      <c r="I203" s="32">
        <v>704.35172727273016</v>
      </c>
      <c r="J203" s="32">
        <v>888.58922727273034</v>
      </c>
      <c r="K203" s="32">
        <v>1258.6290000000033</v>
      </c>
      <c r="L203" s="32">
        <v>1764.5142272727303</v>
      </c>
      <c r="M203" s="32">
        <v>2132.5545681818212</v>
      </c>
      <c r="N203" s="32">
        <v>2417.7199090909121</v>
      </c>
      <c r="O203" s="32">
        <v>2637.4255909090944</v>
      </c>
      <c r="P203" s="32">
        <v>2573.4437727272762</v>
      </c>
      <c r="Q203" s="32">
        <v>2559.3897954545482</v>
      </c>
      <c r="R203" s="32">
        <v>2743.2795681818216</v>
      </c>
      <c r="S203" s="32">
        <v>2787.9045681818216</v>
      </c>
      <c r="T203" s="32">
        <v>2517.6045681818214</v>
      </c>
      <c r="U203" s="32">
        <v>2379.9045681818216</v>
      </c>
      <c r="V203" s="32">
        <v>2713.0562727272754</v>
      </c>
      <c r="W203" s="32">
        <v>2656.086954545457</v>
      </c>
      <c r="X203" s="32">
        <v>2315.9807045454581</v>
      </c>
      <c r="Y203" s="32">
        <v>1884.567068181821</v>
      </c>
      <c r="Z203" s="32">
        <v>1417.7721818181853</v>
      </c>
      <c r="AA203" s="32">
        <v>1193.0824090909123</v>
      </c>
      <c r="AB203" s="23">
        <f>SUM(D203:AA203)*B203</f>
        <v>962149.39950000157</v>
      </c>
      <c r="AC203" s="33"/>
    </row>
    <row r="204" spans="1:29" x14ac:dyDescent="0.25">
      <c r="A204" s="21" t="s">
        <v>39</v>
      </c>
      <c r="B204" s="22">
        <v>4</v>
      </c>
      <c r="C204" s="52"/>
      <c r="D204" s="32">
        <v>1248.74775</v>
      </c>
      <c r="E204" s="32">
        <v>1071.8415</v>
      </c>
      <c r="F204" s="32">
        <v>820.50712499999975</v>
      </c>
      <c r="G204" s="32">
        <v>543.03524999999991</v>
      </c>
      <c r="H204" s="32">
        <v>509.24774999999977</v>
      </c>
      <c r="I204" s="32">
        <v>705.59774999999991</v>
      </c>
      <c r="J204" s="32">
        <v>889.67587499999991</v>
      </c>
      <c r="K204" s="32">
        <v>1259.7446249999998</v>
      </c>
      <c r="L204" s="32">
        <v>1765.4414999999997</v>
      </c>
      <c r="M204" s="32">
        <v>2133.5977499999999</v>
      </c>
      <c r="N204" s="32">
        <v>2418.7196249999997</v>
      </c>
      <c r="O204" s="32">
        <v>2638.3383749999998</v>
      </c>
      <c r="P204" s="32">
        <v>2574.4289999999996</v>
      </c>
      <c r="Q204" s="32">
        <v>2560.404</v>
      </c>
      <c r="R204" s="32">
        <v>2744.3227499999998</v>
      </c>
      <c r="S204" s="32">
        <v>2788.9477499999998</v>
      </c>
      <c r="T204" s="32">
        <v>2518.6477499999996</v>
      </c>
      <c r="U204" s="32">
        <v>2380.9477499999998</v>
      </c>
      <c r="V204" s="32">
        <v>2714.0414999999998</v>
      </c>
      <c r="W204" s="32">
        <v>2656.9852499999997</v>
      </c>
      <c r="X204" s="32">
        <v>2316.8789999999999</v>
      </c>
      <c r="Y204" s="32">
        <v>1885.450875</v>
      </c>
      <c r="Z204" s="32">
        <v>1418.8008749999999</v>
      </c>
      <c r="AA204" s="32">
        <v>1194.0821249999999</v>
      </c>
      <c r="AB204" s="23">
        <f t="shared" ref="AB204:AB205" si="50">SUM(D204:AA204)*B204</f>
        <v>175033.734</v>
      </c>
      <c r="AC204" s="33"/>
    </row>
    <row r="205" spans="1:29" x14ac:dyDescent="0.25">
      <c r="A205" s="21" t="s">
        <v>40</v>
      </c>
      <c r="B205" s="22">
        <v>5</v>
      </c>
      <c r="C205" s="52"/>
      <c r="D205" s="32">
        <v>1249.5127500000003</v>
      </c>
      <c r="E205" s="32">
        <v>1072.4152499999996</v>
      </c>
      <c r="F205" s="32">
        <v>821.24024999999961</v>
      </c>
      <c r="G205" s="32">
        <v>543.67274999999972</v>
      </c>
      <c r="H205" s="32">
        <v>509.88524999999981</v>
      </c>
      <c r="I205" s="32">
        <v>706.23524999999972</v>
      </c>
      <c r="J205" s="32">
        <v>890.47274999999991</v>
      </c>
      <c r="K205" s="32">
        <v>1260.3502500000002</v>
      </c>
      <c r="L205" s="32">
        <v>1766.3977499999996</v>
      </c>
      <c r="M205" s="32">
        <v>2134.2352499999997</v>
      </c>
      <c r="N205" s="32">
        <v>2419.1977499999998</v>
      </c>
      <c r="O205" s="32">
        <v>2638.8802500000002</v>
      </c>
      <c r="P205" s="32">
        <v>2575.1302500000002</v>
      </c>
      <c r="Q205" s="32">
        <v>2561.1052500000001</v>
      </c>
      <c r="R205" s="32">
        <v>2744.9602499999996</v>
      </c>
      <c r="S205" s="32">
        <v>2789.5852499999996</v>
      </c>
      <c r="T205" s="32">
        <v>2519.2852499999999</v>
      </c>
      <c r="U205" s="32">
        <v>2381.5852499999996</v>
      </c>
      <c r="V205" s="32">
        <v>2714.7427499999985</v>
      </c>
      <c r="W205" s="32">
        <v>2657.62275</v>
      </c>
      <c r="X205" s="32">
        <v>2317.58025</v>
      </c>
      <c r="Y205" s="32">
        <v>1886.1202499999995</v>
      </c>
      <c r="Z205" s="32">
        <v>1419.4702499999994</v>
      </c>
      <c r="AA205" s="32">
        <v>1194.6877500000003</v>
      </c>
      <c r="AB205" s="23">
        <f t="shared" si="50"/>
        <v>218871.85499999998</v>
      </c>
      <c r="AC205" s="5">
        <f>+AB203+AB204+AB205</f>
        <v>1356054.9885000016</v>
      </c>
    </row>
    <row r="206" spans="1:29" x14ac:dyDescent="0.25">
      <c r="A206" s="39"/>
    </row>
    <row r="207" spans="1:29" x14ac:dyDescent="0.25">
      <c r="A207" s="21" t="s">
        <v>38</v>
      </c>
      <c r="B207" s="26">
        <v>20</v>
      </c>
      <c r="C207" s="51">
        <v>47423</v>
      </c>
      <c r="D207" s="32">
        <v>1029.9832499999964</v>
      </c>
      <c r="E207" s="32">
        <v>853.36387499999682</v>
      </c>
      <c r="F207" s="32">
        <v>601.80637499999671</v>
      </c>
      <c r="G207" s="32">
        <v>323.66512499999715</v>
      </c>
      <c r="H207" s="32">
        <v>289.81387499999687</v>
      </c>
      <c r="I207" s="32">
        <v>486.92887499999739</v>
      </c>
      <c r="J207" s="32">
        <v>672.05887499999722</v>
      </c>
      <c r="K207" s="32">
        <v>1041.4582499999965</v>
      </c>
      <c r="L207" s="32">
        <v>1546.9957499999964</v>
      </c>
      <c r="M207" s="32">
        <v>1913.7494999999972</v>
      </c>
      <c r="N207" s="32">
        <v>2197.3094999999967</v>
      </c>
      <c r="O207" s="32">
        <v>2416.0357499999968</v>
      </c>
      <c r="P207" s="32">
        <v>2351.1382499999972</v>
      </c>
      <c r="Q207" s="32">
        <v>2337.9101249999976</v>
      </c>
      <c r="R207" s="32">
        <v>2523.6776249999962</v>
      </c>
      <c r="S207" s="32">
        <v>2569.4182499999961</v>
      </c>
      <c r="T207" s="32">
        <v>2299.054499999997</v>
      </c>
      <c r="U207" s="32">
        <v>2160.3663749999978</v>
      </c>
      <c r="V207" s="32">
        <v>2491.9619999999959</v>
      </c>
      <c r="W207" s="32">
        <v>2436.658874999996</v>
      </c>
      <c r="X207" s="32">
        <v>2094.5126249999967</v>
      </c>
      <c r="Y207" s="32">
        <v>1663.2438749999965</v>
      </c>
      <c r="Z207" s="32">
        <v>1196.8169999999968</v>
      </c>
      <c r="AA207" s="32">
        <v>973.15012499999659</v>
      </c>
      <c r="AB207" s="23">
        <f>SUM(D207:AA207)*B207</f>
        <v>769421.57249999873</v>
      </c>
      <c r="AC207" s="33"/>
    </row>
    <row r="208" spans="1:29" x14ac:dyDescent="0.25">
      <c r="A208" s="21" t="s">
        <v>39</v>
      </c>
      <c r="B208" s="26">
        <v>4</v>
      </c>
      <c r="C208" s="52"/>
      <c r="D208" s="32">
        <v>1025.6482500000002</v>
      </c>
      <c r="E208" s="32">
        <v>848.90137500000037</v>
      </c>
      <c r="F208" s="32">
        <v>597.40762500000028</v>
      </c>
      <c r="G208" s="32">
        <v>319.45762500000035</v>
      </c>
      <c r="H208" s="32">
        <v>285.51075000000037</v>
      </c>
      <c r="I208" s="32">
        <v>482.65762500000034</v>
      </c>
      <c r="J208" s="32">
        <v>667.69200000000046</v>
      </c>
      <c r="K208" s="32">
        <v>1036.9638750000004</v>
      </c>
      <c r="L208" s="32">
        <v>1542.8201250000002</v>
      </c>
      <c r="M208" s="32">
        <v>1909.3826250000002</v>
      </c>
      <c r="N208" s="32">
        <v>2193.3888750000006</v>
      </c>
      <c r="O208" s="32">
        <v>2412.051375</v>
      </c>
      <c r="P208" s="32">
        <v>2347.1857500000006</v>
      </c>
      <c r="Q208" s="32">
        <v>2333.957625</v>
      </c>
      <c r="R208" s="32">
        <v>2519.4701250000007</v>
      </c>
      <c r="S208" s="32">
        <v>2565.2107500000002</v>
      </c>
      <c r="T208" s="32">
        <v>2294.7513750000007</v>
      </c>
      <c r="U208" s="32">
        <v>2156.2545</v>
      </c>
      <c r="V208" s="32">
        <v>2488.0732500000004</v>
      </c>
      <c r="W208" s="32">
        <v>2432.4513750000006</v>
      </c>
      <c r="X208" s="32">
        <v>2090.5920000000006</v>
      </c>
      <c r="Y208" s="32">
        <v>1659.1638750000002</v>
      </c>
      <c r="Z208" s="32">
        <v>1192.8326250000005</v>
      </c>
      <c r="AA208" s="32">
        <v>968.91075000000046</v>
      </c>
      <c r="AB208" s="23">
        <f t="shared" ref="AB208:AB209" si="51">SUM(D208:AA208)*B208</f>
        <v>153482.94450000004</v>
      </c>
      <c r="AC208" s="33"/>
    </row>
    <row r="209" spans="1:29" x14ac:dyDescent="0.25">
      <c r="A209" s="21" t="s">
        <v>40</v>
      </c>
      <c r="B209" s="26">
        <v>6</v>
      </c>
      <c r="C209" s="52"/>
      <c r="D209" s="32">
        <v>1024.320125</v>
      </c>
      <c r="E209" s="32">
        <v>847.52012500000069</v>
      </c>
      <c r="F209" s="32">
        <v>596.02637500000071</v>
      </c>
      <c r="G209" s="32">
        <v>318.18262500000037</v>
      </c>
      <c r="H209" s="32">
        <v>284.39512500000035</v>
      </c>
      <c r="I209" s="32">
        <v>481.27637500000071</v>
      </c>
      <c r="J209" s="32">
        <v>666.36387500000001</v>
      </c>
      <c r="K209" s="32">
        <v>1035.6888750000003</v>
      </c>
      <c r="L209" s="32">
        <v>1541.4388750000007</v>
      </c>
      <c r="M209" s="32">
        <v>1908.2138749999999</v>
      </c>
      <c r="N209" s="32">
        <v>2192.113875</v>
      </c>
      <c r="O209" s="32">
        <v>2410.9888749999996</v>
      </c>
      <c r="P209" s="32">
        <v>2345.9638750000008</v>
      </c>
      <c r="Q209" s="32">
        <v>2332.6826250000004</v>
      </c>
      <c r="R209" s="32">
        <v>2518.1951250000002</v>
      </c>
      <c r="S209" s="32">
        <v>2563.8826250000011</v>
      </c>
      <c r="T209" s="32">
        <v>2293.3701250000008</v>
      </c>
      <c r="U209" s="32">
        <v>2155.0326250000007</v>
      </c>
      <c r="V209" s="32">
        <v>2486.8513749999997</v>
      </c>
      <c r="W209" s="32">
        <v>2431.2826250000012</v>
      </c>
      <c r="X209" s="32">
        <v>2089.2638750000001</v>
      </c>
      <c r="Y209" s="32">
        <v>1658.1013750000006</v>
      </c>
      <c r="Z209" s="32">
        <v>1191.663875</v>
      </c>
      <c r="AA209" s="32">
        <v>967.68887500000073</v>
      </c>
      <c r="AB209" s="23">
        <f t="shared" si="51"/>
        <v>230043.04800000001</v>
      </c>
      <c r="AC209" s="5">
        <f>+AB207+AB208+AB209</f>
        <v>1152947.5649999988</v>
      </c>
    </row>
    <row r="210" spans="1:29" x14ac:dyDescent="0.25">
      <c r="A210" s="39"/>
    </row>
    <row r="211" spans="1:29" x14ac:dyDescent="0.25">
      <c r="A211" s="21" t="s">
        <v>38</v>
      </c>
      <c r="B211" s="22">
        <v>20</v>
      </c>
      <c r="C211" s="51">
        <v>47453</v>
      </c>
      <c r="D211" s="32">
        <v>4326.948374999999</v>
      </c>
      <c r="E211" s="32">
        <v>4150.5202499999987</v>
      </c>
      <c r="F211" s="32">
        <v>3898.8033749999986</v>
      </c>
      <c r="G211" s="32">
        <v>3619.7377499999984</v>
      </c>
      <c r="H211" s="32">
        <v>3585.8864999999987</v>
      </c>
      <c r="I211" s="32">
        <v>3784.2127499999988</v>
      </c>
      <c r="J211" s="32">
        <v>3970.139624999998</v>
      </c>
      <c r="K211" s="32">
        <v>4338.8696249999994</v>
      </c>
      <c r="L211" s="32">
        <v>4844.2477499999995</v>
      </c>
      <c r="M211" s="32">
        <v>5210.1089999999995</v>
      </c>
      <c r="N211" s="32">
        <v>5491.9477499999994</v>
      </c>
      <c r="O211" s="32">
        <v>5709.6539999999995</v>
      </c>
      <c r="P211" s="32">
        <v>5643.8958749999993</v>
      </c>
      <c r="Q211" s="32">
        <v>5631.4646249999987</v>
      </c>
      <c r="R211" s="32">
        <v>5818.9533750000001</v>
      </c>
      <c r="S211" s="32">
        <v>5865.4589999999989</v>
      </c>
      <c r="T211" s="32">
        <v>5595.1589999999978</v>
      </c>
      <c r="U211" s="32">
        <v>5455.7696249999999</v>
      </c>
      <c r="V211" s="32">
        <v>5785.9627500000006</v>
      </c>
      <c r="W211" s="32">
        <v>5732.1896249999991</v>
      </c>
      <c r="X211" s="32">
        <v>5388.1627499999977</v>
      </c>
      <c r="Y211" s="32">
        <v>4956.8939999999984</v>
      </c>
      <c r="Z211" s="32">
        <v>4490.9133749999992</v>
      </c>
      <c r="AA211" s="32">
        <v>4268.2027499999995</v>
      </c>
      <c r="AB211" s="23">
        <f>SUM(D211:AA211)*B211</f>
        <v>2351282.0700000003</v>
      </c>
      <c r="AC211" s="33"/>
    </row>
    <row r="212" spans="1:29" x14ac:dyDescent="0.25">
      <c r="A212" s="21" t="s">
        <v>39</v>
      </c>
      <c r="B212" s="22">
        <v>5</v>
      </c>
      <c r="C212" s="52"/>
      <c r="D212" s="32">
        <v>4325.8964999999998</v>
      </c>
      <c r="E212" s="32">
        <v>4149.4364999999998</v>
      </c>
      <c r="F212" s="32">
        <v>3897.7515000000003</v>
      </c>
      <c r="G212" s="32">
        <v>3618.7814999999996</v>
      </c>
      <c r="H212" s="32">
        <v>3584.8665000000001</v>
      </c>
      <c r="I212" s="32">
        <v>3783.1290000000004</v>
      </c>
      <c r="J212" s="32">
        <v>3969.1514999999999</v>
      </c>
      <c r="K212" s="32">
        <v>4337.7540000000008</v>
      </c>
      <c r="L212" s="32">
        <v>4843.2915000000003</v>
      </c>
      <c r="M212" s="32">
        <v>5209.0889999999999</v>
      </c>
      <c r="N212" s="32">
        <v>5490.9915000000001</v>
      </c>
      <c r="O212" s="32">
        <v>5708.7614999999987</v>
      </c>
      <c r="P212" s="32">
        <v>5642.9715000000015</v>
      </c>
      <c r="Q212" s="32">
        <v>5630.4764999999998</v>
      </c>
      <c r="R212" s="32">
        <v>5818.0289999999995</v>
      </c>
      <c r="S212" s="32">
        <v>5864.4389999999994</v>
      </c>
      <c r="T212" s="32">
        <v>5594.1389999999992</v>
      </c>
      <c r="U212" s="32">
        <v>5454.7815000000001</v>
      </c>
      <c r="V212" s="32">
        <v>5785.0065000000004</v>
      </c>
      <c r="W212" s="32">
        <v>5731.0739999999987</v>
      </c>
      <c r="X212" s="32">
        <v>5387.0789999999997</v>
      </c>
      <c r="Y212" s="32">
        <v>4956.0015000000003</v>
      </c>
      <c r="Z212" s="32">
        <v>4489.9889999999996</v>
      </c>
      <c r="AA212" s="32">
        <v>4267.2465000000002</v>
      </c>
      <c r="AB212" s="23">
        <f t="shared" ref="AB212:AB213" si="52">SUM(D212:AA212)*B212</f>
        <v>587700.66749999986</v>
      </c>
      <c r="AC212" s="33"/>
    </row>
    <row r="213" spans="1:29" x14ac:dyDescent="0.25">
      <c r="A213" s="21" t="s">
        <v>40</v>
      </c>
      <c r="B213" s="22">
        <v>6</v>
      </c>
      <c r="C213" s="52"/>
      <c r="D213" s="32">
        <v>4329.2327500000001</v>
      </c>
      <c r="E213" s="32">
        <v>4152.7515000000003</v>
      </c>
      <c r="F213" s="32">
        <v>3901.1515000000009</v>
      </c>
      <c r="G213" s="32">
        <v>3622.0327500000003</v>
      </c>
      <c r="H213" s="32">
        <v>3588.0327499999999</v>
      </c>
      <c r="I213" s="32">
        <v>3786.4015000000009</v>
      </c>
      <c r="J213" s="32">
        <v>3972.4452499999993</v>
      </c>
      <c r="K213" s="32">
        <v>4341.1327499999998</v>
      </c>
      <c r="L213" s="32">
        <v>4846.5640000000003</v>
      </c>
      <c r="M213" s="32">
        <v>5212.2764999999999</v>
      </c>
      <c r="N213" s="32">
        <v>5494.1577500000003</v>
      </c>
      <c r="O213" s="32">
        <v>5711.8640000000005</v>
      </c>
      <c r="P213" s="32">
        <v>5645.8827499999998</v>
      </c>
      <c r="Q213" s="32">
        <v>5633.5577500000018</v>
      </c>
      <c r="R213" s="32">
        <v>5821.1952499999998</v>
      </c>
      <c r="S213" s="32">
        <v>5867.6264999999994</v>
      </c>
      <c r="T213" s="32">
        <v>5597.3264999999992</v>
      </c>
      <c r="U213" s="32">
        <v>5457.9265000000014</v>
      </c>
      <c r="V213" s="32">
        <v>5788.0452500000001</v>
      </c>
      <c r="W213" s="32">
        <v>5734.2827499999985</v>
      </c>
      <c r="X213" s="32">
        <v>5390.0327500000003</v>
      </c>
      <c r="Y213" s="32">
        <v>4958.9764999999989</v>
      </c>
      <c r="Z213" s="32">
        <v>4492.8577500000001</v>
      </c>
      <c r="AA213" s="32">
        <v>4270.3702499999999</v>
      </c>
      <c r="AB213" s="23">
        <f t="shared" si="52"/>
        <v>705696.74099999992</v>
      </c>
      <c r="AC213" s="5">
        <f>+AB211+AB212+AB213</f>
        <v>3644679.4785000002</v>
      </c>
    </row>
    <row r="214" spans="1:29" x14ac:dyDescent="0.25">
      <c r="A214" s="29"/>
      <c r="B214" s="29"/>
      <c r="C214" s="29"/>
      <c r="AB214" s="31"/>
      <c r="AC214" s="31"/>
    </row>
    <row r="215" spans="1:29" x14ac:dyDescent="0.25">
      <c r="A215" s="21" t="s">
        <v>38</v>
      </c>
      <c r="B215" s="22">
        <v>22</v>
      </c>
      <c r="C215" s="51">
        <v>47484</v>
      </c>
      <c r="D215" s="32">
        <v>14379.954545454546</v>
      </c>
      <c r="E215" s="32">
        <v>14103.545454545454</v>
      </c>
      <c r="F215" s="32">
        <v>13708.545454545454</v>
      </c>
      <c r="G215" s="32">
        <v>13269.363636363636</v>
      </c>
      <c r="H215" s="32">
        <v>13216.363636363636</v>
      </c>
      <c r="I215" s="32">
        <v>13529.181818181818</v>
      </c>
      <c r="J215" s="32">
        <v>13822.181818181818</v>
      </c>
      <c r="K215" s="32">
        <v>14399.40909090909</v>
      </c>
      <c r="L215" s="32">
        <v>15191.863636363636</v>
      </c>
      <c r="M215" s="32">
        <v>15763.363636363636</v>
      </c>
      <c r="N215" s="32">
        <v>16203.40909090909</v>
      </c>
      <c r="O215" s="32">
        <v>16543.272727272728</v>
      </c>
      <c r="P215" s="32">
        <v>16438.454545454544</v>
      </c>
      <c r="Q215" s="32">
        <v>16420.31818181818</v>
      </c>
      <c r="R215" s="32">
        <v>16717.5</v>
      </c>
      <c r="S215" s="32">
        <v>16792.18181818182</v>
      </c>
      <c r="T215" s="32">
        <v>16367.863636363636</v>
      </c>
      <c r="U215" s="32">
        <v>16147.90909090909</v>
      </c>
      <c r="V215" s="32">
        <v>16663.409090909092</v>
      </c>
      <c r="W215" s="32">
        <v>16581.363636363636</v>
      </c>
      <c r="X215" s="32">
        <v>16038.727272727272</v>
      </c>
      <c r="Y215" s="32">
        <v>15362.5</v>
      </c>
      <c r="Z215" s="32">
        <v>14632.045454545454</v>
      </c>
      <c r="AA215" s="32">
        <v>14284.5</v>
      </c>
      <c r="AB215" s="23">
        <f>SUM(D215:AA215)*B215</f>
        <v>8064699.0000000028</v>
      </c>
      <c r="AC215" s="33"/>
    </row>
    <row r="216" spans="1:29" x14ac:dyDescent="0.25">
      <c r="A216" s="21" t="s">
        <v>39</v>
      </c>
      <c r="B216" s="22">
        <v>4</v>
      </c>
      <c r="C216" s="52"/>
      <c r="D216" s="32">
        <v>14377.5</v>
      </c>
      <c r="E216" s="32">
        <v>14101</v>
      </c>
      <c r="F216" s="32">
        <v>13706</v>
      </c>
      <c r="G216" s="32">
        <v>13267</v>
      </c>
      <c r="H216" s="32">
        <v>13214</v>
      </c>
      <c r="I216" s="32">
        <v>13526.5</v>
      </c>
      <c r="J216" s="32">
        <v>13819.5</v>
      </c>
      <c r="K216" s="32">
        <v>14397</v>
      </c>
      <c r="L216" s="32">
        <v>15189.5</v>
      </c>
      <c r="M216" s="32">
        <v>15761</v>
      </c>
      <c r="N216" s="32">
        <v>16201</v>
      </c>
      <c r="O216" s="32">
        <v>16541</v>
      </c>
      <c r="P216" s="32">
        <v>16436.5</v>
      </c>
      <c r="Q216" s="32">
        <v>16418.25</v>
      </c>
      <c r="R216" s="32">
        <v>16715.25</v>
      </c>
      <c r="S216" s="32">
        <v>16789.75</v>
      </c>
      <c r="T216" s="32">
        <v>16365.5</v>
      </c>
      <c r="U216" s="32">
        <v>16145.5</v>
      </c>
      <c r="V216" s="32">
        <v>16661</v>
      </c>
      <c r="W216" s="32">
        <v>16579</v>
      </c>
      <c r="X216" s="32">
        <v>16036.5</v>
      </c>
      <c r="Y216" s="32">
        <v>15360.5</v>
      </c>
      <c r="Z216" s="32">
        <v>14629.75</v>
      </c>
      <c r="AA216" s="32">
        <v>14282.25</v>
      </c>
      <c r="AB216" s="23">
        <f t="shared" ref="AB216:AB217" si="53">SUM(D216:AA216)*B216</f>
        <v>1466083</v>
      </c>
      <c r="AC216" s="33"/>
    </row>
    <row r="217" spans="1:29" x14ac:dyDescent="0.25">
      <c r="A217" s="21" t="s">
        <v>40</v>
      </c>
      <c r="B217" s="22">
        <v>5</v>
      </c>
      <c r="C217" s="52"/>
      <c r="D217" s="32">
        <v>14373.2</v>
      </c>
      <c r="E217" s="32">
        <v>14096.6</v>
      </c>
      <c r="F217" s="32">
        <v>13701.6</v>
      </c>
      <c r="G217" s="32">
        <v>13262.8</v>
      </c>
      <c r="H217" s="32">
        <v>13209.8</v>
      </c>
      <c r="I217" s="32">
        <v>13522.4</v>
      </c>
      <c r="J217" s="32">
        <v>13815.2</v>
      </c>
      <c r="K217" s="32">
        <v>14392.6</v>
      </c>
      <c r="L217" s="32">
        <v>15185</v>
      </c>
      <c r="M217" s="32">
        <v>15756.8</v>
      </c>
      <c r="N217" s="32">
        <v>16197</v>
      </c>
      <c r="O217" s="32">
        <v>16537.2</v>
      </c>
      <c r="P217" s="32">
        <v>16432.599999999999</v>
      </c>
      <c r="Q217" s="32">
        <v>16414.2</v>
      </c>
      <c r="R217" s="32">
        <v>16711.2</v>
      </c>
      <c r="S217" s="32">
        <v>16785.400000000001</v>
      </c>
      <c r="T217" s="32">
        <v>16361.2</v>
      </c>
      <c r="U217" s="32">
        <v>16141.4</v>
      </c>
      <c r="V217" s="32">
        <v>16657.2</v>
      </c>
      <c r="W217" s="32">
        <v>16574.8</v>
      </c>
      <c r="X217" s="32">
        <v>16032.6</v>
      </c>
      <c r="Y217" s="32">
        <v>15356.4</v>
      </c>
      <c r="Z217" s="32">
        <v>14625.8</v>
      </c>
      <c r="AA217" s="32">
        <v>14278.2</v>
      </c>
      <c r="AB217" s="23">
        <f t="shared" si="53"/>
        <v>1832106.0000000005</v>
      </c>
      <c r="AC217" s="5">
        <f>+AB215+AB216+AB217</f>
        <v>11362888.000000004</v>
      </c>
    </row>
    <row r="218" spans="1:29" x14ac:dyDescent="0.25">
      <c r="A218" s="40"/>
      <c r="B218" s="41"/>
      <c r="C218" s="41"/>
      <c r="AB218" s="42"/>
      <c r="AC218" s="42"/>
    </row>
    <row r="219" spans="1:29" x14ac:dyDescent="0.25">
      <c r="A219" s="21" t="s">
        <v>38</v>
      </c>
      <c r="B219" s="22">
        <v>20</v>
      </c>
      <c r="C219" s="51">
        <v>47515</v>
      </c>
      <c r="D219" s="32">
        <v>14440.65</v>
      </c>
      <c r="E219" s="32">
        <v>14164.5</v>
      </c>
      <c r="F219" s="32">
        <v>13769.15</v>
      </c>
      <c r="G219" s="32">
        <v>13328.95</v>
      </c>
      <c r="H219" s="32">
        <v>13275.65</v>
      </c>
      <c r="I219" s="32">
        <v>13590.1</v>
      </c>
      <c r="J219" s="32">
        <v>13884.5</v>
      </c>
      <c r="K219" s="32">
        <v>14460.75</v>
      </c>
      <c r="L219" s="32">
        <v>15252.9</v>
      </c>
      <c r="M219" s="32">
        <v>15823.05</v>
      </c>
      <c r="N219" s="32">
        <v>16260.3</v>
      </c>
      <c r="O219" s="32">
        <v>16598.7</v>
      </c>
      <c r="P219" s="32">
        <v>16492.45</v>
      </c>
      <c r="Q219" s="32">
        <v>16475.55</v>
      </c>
      <c r="R219" s="32">
        <v>16775.5</v>
      </c>
      <c r="S219" s="32">
        <v>16851.2</v>
      </c>
      <c r="T219" s="32">
        <v>16427.2</v>
      </c>
      <c r="U219" s="32">
        <v>16206</v>
      </c>
      <c r="V219" s="32">
        <v>16719.150000000001</v>
      </c>
      <c r="W219" s="32">
        <v>16639.5</v>
      </c>
      <c r="X219" s="32">
        <v>16093.9</v>
      </c>
      <c r="Y219" s="32">
        <v>15417.9</v>
      </c>
      <c r="Z219" s="32">
        <v>14688.1</v>
      </c>
      <c r="AA219" s="32">
        <v>14341.95</v>
      </c>
      <c r="AB219" s="23">
        <f>SUM(D219:AA219)*B219</f>
        <v>7359552.0000000009</v>
      </c>
      <c r="AC219" s="33"/>
    </row>
    <row r="220" spans="1:29" x14ac:dyDescent="0.25">
      <c r="A220" s="21" t="s">
        <v>39</v>
      </c>
      <c r="B220" s="22">
        <v>4</v>
      </c>
      <c r="C220" s="52"/>
      <c r="D220" s="32">
        <v>14435.25</v>
      </c>
      <c r="E220" s="32">
        <v>14159</v>
      </c>
      <c r="F220" s="32">
        <v>13764</v>
      </c>
      <c r="G220" s="32">
        <v>13323.75</v>
      </c>
      <c r="H220" s="32">
        <v>13270.5</v>
      </c>
      <c r="I220" s="32">
        <v>13584.75</v>
      </c>
      <c r="J220" s="32">
        <v>13879</v>
      </c>
      <c r="K220" s="32">
        <v>14455.25</v>
      </c>
      <c r="L220" s="32">
        <v>15247.5</v>
      </c>
      <c r="M220" s="32">
        <v>15817.75</v>
      </c>
      <c r="N220" s="32">
        <v>16255.25</v>
      </c>
      <c r="O220" s="32">
        <v>16593.75</v>
      </c>
      <c r="P220" s="32">
        <v>16487.5</v>
      </c>
      <c r="Q220" s="32">
        <v>16470.5</v>
      </c>
      <c r="R220" s="32">
        <v>16770.25</v>
      </c>
      <c r="S220" s="32">
        <v>16846</v>
      </c>
      <c r="T220" s="32">
        <v>16422</v>
      </c>
      <c r="U220" s="32">
        <v>16200.75</v>
      </c>
      <c r="V220" s="32">
        <v>16714.25</v>
      </c>
      <c r="W220" s="32">
        <v>16634.5</v>
      </c>
      <c r="X220" s="32">
        <v>16089</v>
      </c>
      <c r="Y220" s="32">
        <v>15413</v>
      </c>
      <c r="Z220" s="32">
        <v>14683</v>
      </c>
      <c r="AA220" s="32">
        <v>14336.75</v>
      </c>
      <c r="AB220" s="23">
        <f t="shared" ref="AB220:AB221" si="54">SUM(D220:AA220)*B220</f>
        <v>1471413</v>
      </c>
      <c r="AC220" s="33"/>
    </row>
    <row r="221" spans="1:29" x14ac:dyDescent="0.25">
      <c r="A221" s="21" t="s">
        <v>40</v>
      </c>
      <c r="B221" s="22">
        <v>4</v>
      </c>
      <c r="C221" s="52"/>
      <c r="D221" s="32">
        <v>14437.25</v>
      </c>
      <c r="E221" s="32">
        <v>14161</v>
      </c>
      <c r="F221" s="32">
        <v>13766</v>
      </c>
      <c r="G221" s="32">
        <v>13325.75</v>
      </c>
      <c r="H221" s="32">
        <v>13272.5</v>
      </c>
      <c r="I221" s="32">
        <v>13587</v>
      </c>
      <c r="J221" s="32">
        <v>13881.25</v>
      </c>
      <c r="K221" s="32">
        <v>14457.5</v>
      </c>
      <c r="L221" s="32">
        <v>15249.5</v>
      </c>
      <c r="M221" s="32">
        <v>15819.75</v>
      </c>
      <c r="N221" s="32">
        <v>16257</v>
      </c>
      <c r="O221" s="32">
        <v>16595.5</v>
      </c>
      <c r="P221" s="32">
        <v>16489.5</v>
      </c>
      <c r="Q221" s="32">
        <v>16472.5</v>
      </c>
      <c r="R221" s="32">
        <v>16772.25</v>
      </c>
      <c r="S221" s="32">
        <v>16848</v>
      </c>
      <c r="T221" s="32">
        <v>16424</v>
      </c>
      <c r="U221" s="32">
        <v>16202.75</v>
      </c>
      <c r="V221" s="32">
        <v>16716</v>
      </c>
      <c r="W221" s="32">
        <v>16636.25</v>
      </c>
      <c r="X221" s="32">
        <v>16090.75</v>
      </c>
      <c r="Y221" s="32">
        <v>15415</v>
      </c>
      <c r="Z221" s="32">
        <v>14685</v>
      </c>
      <c r="AA221" s="32">
        <v>14338.75</v>
      </c>
      <c r="AB221" s="23">
        <f t="shared" si="54"/>
        <v>1471603</v>
      </c>
      <c r="AC221" s="5">
        <f>+AB219+AB220+AB221</f>
        <v>10302568</v>
      </c>
    </row>
    <row r="222" spans="1:29" x14ac:dyDescent="0.25">
      <c r="A222" s="39"/>
    </row>
    <row r="223" spans="1:29" x14ac:dyDescent="0.25">
      <c r="A223" s="21" t="s">
        <v>38</v>
      </c>
      <c r="B223" s="22">
        <v>21</v>
      </c>
      <c r="C223" s="51">
        <v>47543</v>
      </c>
      <c r="D223" s="32">
        <v>14499.619047619048</v>
      </c>
      <c r="E223" s="32">
        <v>14223.857142857143</v>
      </c>
      <c r="F223" s="32">
        <v>13828.380952380952</v>
      </c>
      <c r="G223" s="32">
        <v>13386.523809523809</v>
      </c>
      <c r="H223" s="32">
        <v>13333.523809523809</v>
      </c>
      <c r="I223" s="32">
        <v>13649.619047619048</v>
      </c>
      <c r="J223" s="32">
        <v>13945.190476190477</v>
      </c>
      <c r="K223" s="32">
        <v>14520.523809523809</v>
      </c>
      <c r="L223" s="32">
        <v>15312.380952380952</v>
      </c>
      <c r="M223" s="32">
        <v>15880.523809523809</v>
      </c>
      <c r="N223" s="32">
        <v>16315.619047619048</v>
      </c>
      <c r="O223" s="32">
        <v>16652.571428571428</v>
      </c>
      <c r="P223" s="32">
        <v>16545</v>
      </c>
      <c r="Q223" s="32">
        <v>16529.190476190477</v>
      </c>
      <c r="R223" s="32">
        <v>16832</v>
      </c>
      <c r="S223" s="32">
        <v>16909.238095238095</v>
      </c>
      <c r="T223" s="32">
        <v>16484.857142857141</v>
      </c>
      <c r="U223" s="32">
        <v>16262.523809523809</v>
      </c>
      <c r="V223" s="32">
        <v>16773.523809523809</v>
      </c>
      <c r="W223" s="32">
        <v>16696.285714285714</v>
      </c>
      <c r="X223" s="32">
        <v>16147.809523809523</v>
      </c>
      <c r="Y223" s="32">
        <v>15471.952380952382</v>
      </c>
      <c r="Z223" s="32">
        <v>14742.476190476191</v>
      </c>
      <c r="AA223" s="32">
        <v>14398.047619047618</v>
      </c>
      <c r="AB223" s="23">
        <f>SUM(D223:AA223)*B223</f>
        <v>7756166</v>
      </c>
      <c r="AC223" s="33"/>
    </row>
    <row r="224" spans="1:29" x14ac:dyDescent="0.25">
      <c r="A224" s="21" t="s">
        <v>39</v>
      </c>
      <c r="B224" s="22">
        <v>5</v>
      </c>
      <c r="C224" s="52"/>
      <c r="D224" s="32">
        <v>14500.2</v>
      </c>
      <c r="E224" s="32">
        <v>14224.2</v>
      </c>
      <c r="F224" s="32">
        <v>13828.8</v>
      </c>
      <c r="G224" s="32">
        <v>13387.2</v>
      </c>
      <c r="H224" s="32">
        <v>13334</v>
      </c>
      <c r="I224" s="32">
        <v>13650.2</v>
      </c>
      <c r="J224" s="32">
        <v>13945.8</v>
      </c>
      <c r="K224" s="32">
        <v>14521</v>
      </c>
      <c r="L224" s="32">
        <v>15312.8</v>
      </c>
      <c r="M224" s="32">
        <v>15881</v>
      </c>
      <c r="N224" s="32">
        <v>16316.2</v>
      </c>
      <c r="O224" s="32">
        <v>16653</v>
      </c>
      <c r="P224" s="32">
        <v>16545.400000000001</v>
      </c>
      <c r="Q224" s="32">
        <v>16529.8</v>
      </c>
      <c r="R224" s="32">
        <v>16832.400000000001</v>
      </c>
      <c r="S224" s="32">
        <v>16909.8</v>
      </c>
      <c r="T224" s="32">
        <v>16485.400000000001</v>
      </c>
      <c r="U224" s="32">
        <v>16263</v>
      </c>
      <c r="V224" s="32">
        <v>16774</v>
      </c>
      <c r="W224" s="32">
        <v>16696.8</v>
      </c>
      <c r="X224" s="32">
        <v>16148</v>
      </c>
      <c r="Y224" s="32">
        <v>15472.4</v>
      </c>
      <c r="Z224" s="32">
        <v>14743</v>
      </c>
      <c r="AA224" s="32">
        <v>14398.4</v>
      </c>
      <c r="AB224" s="23">
        <f t="shared" ref="AB224:AB225" si="55">SUM(D224:AA224)*B224</f>
        <v>1846764</v>
      </c>
      <c r="AC224" s="33"/>
    </row>
    <row r="225" spans="1:29" x14ac:dyDescent="0.25">
      <c r="A225" s="21" t="s">
        <v>40</v>
      </c>
      <c r="B225" s="22">
        <v>5</v>
      </c>
      <c r="C225" s="52"/>
      <c r="D225" s="32">
        <v>14502.2</v>
      </c>
      <c r="E225" s="32">
        <v>14226.2</v>
      </c>
      <c r="F225" s="32">
        <v>13830.8</v>
      </c>
      <c r="G225" s="32">
        <v>13389.2</v>
      </c>
      <c r="H225" s="32">
        <v>13336</v>
      </c>
      <c r="I225" s="32">
        <v>13652.2</v>
      </c>
      <c r="J225" s="32">
        <v>13948</v>
      </c>
      <c r="K225" s="32">
        <v>14523</v>
      </c>
      <c r="L225" s="32">
        <v>15314.8</v>
      </c>
      <c r="M225" s="32">
        <v>15883</v>
      </c>
      <c r="N225" s="32">
        <v>16318.2</v>
      </c>
      <c r="O225" s="32">
        <v>16655</v>
      </c>
      <c r="P225" s="32">
        <v>16547.2</v>
      </c>
      <c r="Q225" s="32">
        <v>16531.599999999999</v>
      </c>
      <c r="R225" s="32">
        <v>16834.400000000001</v>
      </c>
      <c r="S225" s="32">
        <v>16911.8</v>
      </c>
      <c r="T225" s="32">
        <v>16487.400000000001</v>
      </c>
      <c r="U225" s="32">
        <v>16265</v>
      </c>
      <c r="V225" s="32">
        <v>16775.8</v>
      </c>
      <c r="W225" s="32">
        <v>16698.599999999999</v>
      </c>
      <c r="X225" s="32">
        <v>16150</v>
      </c>
      <c r="Y225" s="32">
        <v>15474.2</v>
      </c>
      <c r="Z225" s="32">
        <v>14745</v>
      </c>
      <c r="AA225" s="32">
        <v>14400.4</v>
      </c>
      <c r="AB225" s="23">
        <f t="shared" si="55"/>
        <v>1847000</v>
      </c>
      <c r="AC225" s="5">
        <f>+AB223+AB224+AB225</f>
        <v>11449930</v>
      </c>
    </row>
    <row r="226" spans="1:29" x14ac:dyDescent="0.25">
      <c r="A226" s="39"/>
    </row>
    <row r="227" spans="1:29" x14ac:dyDescent="0.25">
      <c r="A227" s="21" t="s">
        <v>38</v>
      </c>
      <c r="B227" s="22">
        <v>21</v>
      </c>
      <c r="C227" s="51">
        <v>47574</v>
      </c>
      <c r="D227" s="32">
        <v>14561.428571428571</v>
      </c>
      <c r="E227" s="32">
        <v>14286</v>
      </c>
      <c r="F227" s="32">
        <v>13890.238095238095</v>
      </c>
      <c r="G227" s="32">
        <v>13447.523809523809</v>
      </c>
      <c r="H227" s="32">
        <v>13394.238095238095</v>
      </c>
      <c r="I227" s="32">
        <v>13711.857142857143</v>
      </c>
      <c r="J227" s="32">
        <v>14008.857142857143</v>
      </c>
      <c r="K227" s="32">
        <v>14583.047619047618</v>
      </c>
      <c r="L227" s="32">
        <v>15374.619047619048</v>
      </c>
      <c r="M227" s="32">
        <v>15940.857142857143</v>
      </c>
      <c r="N227" s="32">
        <v>16373.666666666666</v>
      </c>
      <c r="O227" s="32">
        <v>16709</v>
      </c>
      <c r="P227" s="32">
        <v>16599.952380952382</v>
      </c>
      <c r="Q227" s="32">
        <v>16585.571428571428</v>
      </c>
      <c r="R227" s="32">
        <v>16891.142857142859</v>
      </c>
      <c r="S227" s="32">
        <v>16969.523809523809</v>
      </c>
      <c r="T227" s="32">
        <v>16545.523809523809</v>
      </c>
      <c r="U227" s="32">
        <v>16321.523809523809</v>
      </c>
      <c r="V227" s="32">
        <v>16830.380952380954</v>
      </c>
      <c r="W227" s="32">
        <v>16755.523809523809</v>
      </c>
      <c r="X227" s="32">
        <v>16204.047619047618</v>
      </c>
      <c r="Y227" s="32">
        <v>15528.428571428571</v>
      </c>
      <c r="Z227" s="32">
        <v>14799.571428571429</v>
      </c>
      <c r="AA227" s="32">
        <v>14456.714285714286</v>
      </c>
      <c r="AB227" s="23">
        <f>SUM(D227:AA227)*B227</f>
        <v>7786154</v>
      </c>
      <c r="AC227" s="33"/>
    </row>
    <row r="228" spans="1:29" x14ac:dyDescent="0.25">
      <c r="A228" s="21" t="s">
        <v>39</v>
      </c>
      <c r="B228" s="22">
        <v>4</v>
      </c>
      <c r="C228" s="52"/>
      <c r="D228" s="32">
        <v>14565</v>
      </c>
      <c r="E228" s="32">
        <v>14289.5</v>
      </c>
      <c r="F228" s="32">
        <v>13894</v>
      </c>
      <c r="G228" s="32">
        <v>13451</v>
      </c>
      <c r="H228" s="32">
        <v>13397.75</v>
      </c>
      <c r="I228" s="32">
        <v>13715.5</v>
      </c>
      <c r="J228" s="32">
        <v>14012.5</v>
      </c>
      <c r="K228" s="32">
        <v>14586.75</v>
      </c>
      <c r="L228" s="32">
        <v>15378</v>
      </c>
      <c r="M228" s="32">
        <v>15944.5</v>
      </c>
      <c r="N228" s="32">
        <v>16377</v>
      </c>
      <c r="O228" s="32">
        <v>16712.5</v>
      </c>
      <c r="P228" s="32">
        <v>16603.25</v>
      </c>
      <c r="Q228" s="32">
        <v>16588.5</v>
      </c>
      <c r="R228" s="32">
        <v>16894.5</v>
      </c>
      <c r="S228" s="32">
        <v>16973</v>
      </c>
      <c r="T228" s="32">
        <v>16549</v>
      </c>
      <c r="U228" s="32">
        <v>16325</v>
      </c>
      <c r="V228" s="32">
        <v>16833.75</v>
      </c>
      <c r="W228" s="32">
        <v>16759</v>
      </c>
      <c r="X228" s="32">
        <v>16207.5</v>
      </c>
      <c r="Y228" s="32">
        <v>15531.5</v>
      </c>
      <c r="Z228" s="32">
        <v>14803</v>
      </c>
      <c r="AA228" s="32">
        <v>14460.25</v>
      </c>
      <c r="AB228" s="23">
        <f t="shared" ref="AB228:AB229" si="56">SUM(D228:AA228)*B228</f>
        <v>1483409</v>
      </c>
      <c r="AC228" s="33"/>
    </row>
    <row r="229" spans="1:29" x14ac:dyDescent="0.25">
      <c r="A229" s="21" t="s">
        <v>40</v>
      </c>
      <c r="B229" s="22">
        <v>5</v>
      </c>
      <c r="C229" s="52"/>
      <c r="D229" s="32">
        <v>14567.6</v>
      </c>
      <c r="E229" s="32">
        <v>14292.2</v>
      </c>
      <c r="F229" s="32">
        <v>13896.6</v>
      </c>
      <c r="G229" s="32">
        <v>13453.6</v>
      </c>
      <c r="H229" s="32">
        <v>13400.4</v>
      </c>
      <c r="I229" s="32">
        <v>13718.2</v>
      </c>
      <c r="J229" s="32">
        <v>14015.2</v>
      </c>
      <c r="K229" s="32">
        <v>14589.4</v>
      </c>
      <c r="L229" s="32">
        <v>15380.6</v>
      </c>
      <c r="M229" s="32">
        <v>15947.2</v>
      </c>
      <c r="N229" s="32">
        <v>16379.6</v>
      </c>
      <c r="O229" s="32">
        <v>16714.8</v>
      </c>
      <c r="P229" s="32">
        <v>16605.599999999999</v>
      </c>
      <c r="Q229" s="32">
        <v>16591</v>
      </c>
      <c r="R229" s="32">
        <v>16897</v>
      </c>
      <c r="S229" s="32">
        <v>16975.599999999999</v>
      </c>
      <c r="T229" s="32">
        <v>16551.599999999999</v>
      </c>
      <c r="U229" s="32">
        <v>16327.6</v>
      </c>
      <c r="V229" s="32">
        <v>16836.2</v>
      </c>
      <c r="W229" s="32">
        <v>16761.599999999999</v>
      </c>
      <c r="X229" s="32">
        <v>16209.8</v>
      </c>
      <c r="Y229" s="32">
        <v>15534</v>
      </c>
      <c r="Z229" s="32">
        <v>14805.4</v>
      </c>
      <c r="AA229" s="32">
        <v>14462.8</v>
      </c>
      <c r="AB229" s="23">
        <f t="shared" si="56"/>
        <v>1854568</v>
      </c>
      <c r="AC229" s="5">
        <f>+AB227+AB228+AB229</f>
        <v>11124131</v>
      </c>
    </row>
    <row r="230" spans="1:29" x14ac:dyDescent="0.25">
      <c r="A230" s="39"/>
    </row>
    <row r="231" spans="1:29" x14ac:dyDescent="0.25">
      <c r="A231" s="21" t="s">
        <v>38</v>
      </c>
      <c r="B231" s="22">
        <v>21</v>
      </c>
      <c r="C231" s="51">
        <v>47604</v>
      </c>
      <c r="D231" s="32">
        <v>14629.380952380952</v>
      </c>
      <c r="E231" s="32">
        <v>14354.285714285714</v>
      </c>
      <c r="F231" s="32">
        <v>13958.428571428571</v>
      </c>
      <c r="G231" s="32">
        <v>13514</v>
      </c>
      <c r="H231" s="32">
        <v>13460.571428571429</v>
      </c>
      <c r="I231" s="32">
        <v>13780.476190476191</v>
      </c>
      <c r="J231" s="32">
        <v>14078.761904761905</v>
      </c>
      <c r="K231" s="32">
        <v>14651.857142857143</v>
      </c>
      <c r="L231" s="32">
        <v>15442.952380952382</v>
      </c>
      <c r="M231" s="32">
        <v>16007.523809523809</v>
      </c>
      <c r="N231" s="32">
        <v>16437.523809523809</v>
      </c>
      <c r="O231" s="32">
        <v>16771.142857142859</v>
      </c>
      <c r="P231" s="32">
        <v>16660.428571428572</v>
      </c>
      <c r="Q231" s="32">
        <v>16647.285714285714</v>
      </c>
      <c r="R231" s="32">
        <v>16956.095238095237</v>
      </c>
      <c r="S231" s="32">
        <v>17036.380952380954</v>
      </c>
      <c r="T231" s="32">
        <v>16611.857142857141</v>
      </c>
      <c r="U231" s="32">
        <v>16386.619047619046</v>
      </c>
      <c r="V231" s="32">
        <v>16893</v>
      </c>
      <c r="W231" s="32">
        <v>16820.571428571428</v>
      </c>
      <c r="X231" s="32">
        <v>16266.047619047618</v>
      </c>
      <c r="Y231" s="32">
        <v>15590.571428571429</v>
      </c>
      <c r="Z231" s="32">
        <v>14862.428571428571</v>
      </c>
      <c r="AA231" s="32">
        <v>14521.190476190477</v>
      </c>
      <c r="AB231" s="23">
        <f>SUM(D231:AA231)*B231</f>
        <v>7819127</v>
      </c>
      <c r="AC231" s="33"/>
    </row>
    <row r="232" spans="1:29" x14ac:dyDescent="0.25">
      <c r="A232" s="21" t="s">
        <v>39</v>
      </c>
      <c r="B232" s="22">
        <v>4</v>
      </c>
      <c r="C232" s="52"/>
      <c r="D232" s="32">
        <v>14622.5</v>
      </c>
      <c r="E232" s="32">
        <v>14347.5</v>
      </c>
      <c r="F232" s="32">
        <v>13951.5</v>
      </c>
      <c r="G232" s="32">
        <v>13507.5</v>
      </c>
      <c r="H232" s="32">
        <v>13454</v>
      </c>
      <c r="I232" s="32">
        <v>13773.5</v>
      </c>
      <c r="J232" s="32">
        <v>14071.75</v>
      </c>
      <c r="K232" s="32">
        <v>14645</v>
      </c>
      <c r="L232" s="32">
        <v>15436</v>
      </c>
      <c r="M232" s="32">
        <v>16001</v>
      </c>
      <c r="N232" s="32">
        <v>16431</v>
      </c>
      <c r="O232" s="32">
        <v>16765</v>
      </c>
      <c r="P232" s="32">
        <v>16654.5</v>
      </c>
      <c r="Q232" s="32">
        <v>16641.5</v>
      </c>
      <c r="R232" s="32">
        <v>16949.75</v>
      </c>
      <c r="S232" s="32">
        <v>17029.75</v>
      </c>
      <c r="T232" s="32">
        <v>16605.25</v>
      </c>
      <c r="U232" s="32">
        <v>16380.25</v>
      </c>
      <c r="V232" s="32">
        <v>16886.75</v>
      </c>
      <c r="W232" s="32">
        <v>16814.25</v>
      </c>
      <c r="X232" s="32">
        <v>16259.75</v>
      </c>
      <c r="Y232" s="32">
        <v>15584.5</v>
      </c>
      <c r="Z232" s="32">
        <v>14856</v>
      </c>
      <c r="AA232" s="32">
        <v>14514.75</v>
      </c>
      <c r="AB232" s="23">
        <f t="shared" ref="AB232:AB233" si="57">SUM(D232:AA232)*B232</f>
        <v>1488733</v>
      </c>
      <c r="AC232" s="33"/>
    </row>
    <row r="233" spans="1:29" x14ac:dyDescent="0.25">
      <c r="A233" s="21" t="s">
        <v>40</v>
      </c>
      <c r="B233" s="22">
        <v>6</v>
      </c>
      <c r="C233" s="52"/>
      <c r="D233" s="32">
        <v>14615.166666666666</v>
      </c>
      <c r="E233" s="32">
        <v>14340</v>
      </c>
      <c r="F233" s="32">
        <v>13944</v>
      </c>
      <c r="G233" s="32">
        <v>13500</v>
      </c>
      <c r="H233" s="32">
        <v>13446.666666666666</v>
      </c>
      <c r="I233" s="32">
        <v>13766</v>
      </c>
      <c r="J233" s="32">
        <v>14064</v>
      </c>
      <c r="K233" s="32">
        <v>14637.333333333334</v>
      </c>
      <c r="L233" s="32">
        <v>15428.5</v>
      </c>
      <c r="M233" s="32">
        <v>15993.666666666666</v>
      </c>
      <c r="N233" s="32">
        <v>16424</v>
      </c>
      <c r="O233" s="32">
        <v>16758</v>
      </c>
      <c r="P233" s="32">
        <v>16648</v>
      </c>
      <c r="Q233" s="32">
        <v>16634.5</v>
      </c>
      <c r="R233" s="32">
        <v>16942.5</v>
      </c>
      <c r="S233" s="32">
        <v>17022.166666666668</v>
      </c>
      <c r="T233" s="32">
        <v>16597.833333333332</v>
      </c>
      <c r="U233" s="32">
        <v>16373.166666666666</v>
      </c>
      <c r="V233" s="32">
        <v>16879.833333333332</v>
      </c>
      <c r="W233" s="32">
        <v>16807.166666666668</v>
      </c>
      <c r="X233" s="32">
        <v>16252.833333333334</v>
      </c>
      <c r="Y233" s="32">
        <v>15577.666666666666</v>
      </c>
      <c r="Z233" s="32">
        <v>14849</v>
      </c>
      <c r="AA233" s="32">
        <v>14507.5</v>
      </c>
      <c r="AB233" s="23">
        <f t="shared" si="57"/>
        <v>2232057</v>
      </c>
      <c r="AC233" s="5">
        <f>+AB231+AB232+AB233</f>
        <v>11539917</v>
      </c>
    </row>
    <row r="234" spans="1:29" x14ac:dyDescent="0.25">
      <c r="A234" s="39"/>
    </row>
    <row r="235" spans="1:29" x14ac:dyDescent="0.25">
      <c r="A235" s="21" t="s">
        <v>38</v>
      </c>
      <c r="B235" s="22">
        <v>19</v>
      </c>
      <c r="C235" s="51">
        <v>47635</v>
      </c>
      <c r="D235" s="32">
        <v>14688.052631578947</v>
      </c>
      <c r="E235" s="32">
        <v>14413.315789473685</v>
      </c>
      <c r="F235" s="32">
        <v>14017.105263157895</v>
      </c>
      <c r="G235" s="32">
        <v>13571.526315789473</v>
      </c>
      <c r="H235" s="32">
        <v>13518.526315789473</v>
      </c>
      <c r="I235" s="32">
        <v>13839.526315789473</v>
      </c>
      <c r="J235" s="32">
        <v>14139.105263157895</v>
      </c>
      <c r="K235" s="32">
        <v>14711.315789473685</v>
      </c>
      <c r="L235" s="32">
        <v>15502</v>
      </c>
      <c r="M235" s="32">
        <v>16064.526315789473</v>
      </c>
      <c r="N235" s="32">
        <v>16492.526315789473</v>
      </c>
      <c r="O235" s="32">
        <v>16824.842105263157</v>
      </c>
      <c r="P235" s="32">
        <v>16712.78947368421</v>
      </c>
      <c r="Q235" s="32">
        <v>16700.894736842107</v>
      </c>
      <c r="R235" s="32">
        <v>17012.263157894737</v>
      </c>
      <c r="S235" s="32">
        <v>17093.526315789473</v>
      </c>
      <c r="T235" s="32">
        <v>16669.526315789473</v>
      </c>
      <c r="U235" s="32">
        <v>16442.947368421053</v>
      </c>
      <c r="V235" s="32">
        <v>16947.052631578947</v>
      </c>
      <c r="W235" s="32">
        <v>16877.052631578947</v>
      </c>
      <c r="X235" s="32">
        <v>16319.526315789473</v>
      </c>
      <c r="Y235" s="32">
        <v>15644.21052631579</v>
      </c>
      <c r="Z235" s="32">
        <v>14916.526315789473</v>
      </c>
      <c r="AA235" s="32">
        <v>14577</v>
      </c>
      <c r="AB235" s="23">
        <f>SUM(D235:AA235)*B235</f>
        <v>7100218</v>
      </c>
      <c r="AC235" s="33"/>
    </row>
    <row r="236" spans="1:29" x14ac:dyDescent="0.25">
      <c r="A236" s="21" t="s">
        <v>39</v>
      </c>
      <c r="B236" s="22">
        <v>5</v>
      </c>
      <c r="C236" s="52"/>
      <c r="D236" s="32">
        <v>14687.6</v>
      </c>
      <c r="E236" s="32">
        <v>14412.8</v>
      </c>
      <c r="F236" s="32">
        <v>14016.8</v>
      </c>
      <c r="G236" s="32">
        <v>13571</v>
      </c>
      <c r="H236" s="32">
        <v>13518</v>
      </c>
      <c r="I236" s="32">
        <v>13839</v>
      </c>
      <c r="J236" s="32">
        <v>14138.6</v>
      </c>
      <c r="K236" s="32">
        <v>14710.8</v>
      </c>
      <c r="L236" s="32">
        <v>15501.6</v>
      </c>
      <c r="M236" s="32">
        <v>16064</v>
      </c>
      <c r="N236" s="32">
        <v>16492.2</v>
      </c>
      <c r="O236" s="32">
        <v>16824.2</v>
      </c>
      <c r="P236" s="32">
        <v>16712.2</v>
      </c>
      <c r="Q236" s="32">
        <v>16700.400000000001</v>
      </c>
      <c r="R236" s="32">
        <v>17011.8</v>
      </c>
      <c r="S236" s="32">
        <v>17093</v>
      </c>
      <c r="T236" s="32">
        <v>16669</v>
      </c>
      <c r="U236" s="32">
        <v>16442.400000000001</v>
      </c>
      <c r="V236" s="32">
        <v>16946.599999999999</v>
      </c>
      <c r="W236" s="32">
        <v>16876.599999999999</v>
      </c>
      <c r="X236" s="32">
        <v>16319</v>
      </c>
      <c r="Y236" s="32">
        <v>15643.8</v>
      </c>
      <c r="Z236" s="32">
        <v>14916</v>
      </c>
      <c r="AA236" s="32">
        <v>14576.4</v>
      </c>
      <c r="AB236" s="23">
        <f t="shared" ref="AB236:AB237" si="58">SUM(D236:AA236)*B236</f>
        <v>1868419</v>
      </c>
      <c r="AC236" s="33"/>
    </row>
    <row r="237" spans="1:29" x14ac:dyDescent="0.25">
      <c r="A237" s="21" t="s">
        <v>40</v>
      </c>
      <c r="B237" s="22">
        <v>6</v>
      </c>
      <c r="C237" s="52"/>
      <c r="D237" s="32">
        <v>14691</v>
      </c>
      <c r="E237" s="32">
        <v>14416.166666666666</v>
      </c>
      <c r="F237" s="32">
        <v>14020.166666666666</v>
      </c>
      <c r="G237" s="32">
        <v>13574.333333333334</v>
      </c>
      <c r="H237" s="32">
        <v>13521.333333333334</v>
      </c>
      <c r="I237" s="32">
        <v>13842.5</v>
      </c>
      <c r="J237" s="32">
        <v>14142.166666666666</v>
      </c>
      <c r="K237" s="32">
        <v>14714.166666666666</v>
      </c>
      <c r="L237" s="32">
        <v>15505.166666666666</v>
      </c>
      <c r="M237" s="32">
        <v>16067.5</v>
      </c>
      <c r="N237" s="32">
        <v>16495.333333333332</v>
      </c>
      <c r="O237" s="32">
        <v>16827.333333333332</v>
      </c>
      <c r="P237" s="32">
        <v>16715.166666666668</v>
      </c>
      <c r="Q237" s="32">
        <v>16703.5</v>
      </c>
      <c r="R237" s="32">
        <v>17015.166666666668</v>
      </c>
      <c r="S237" s="32">
        <v>17096.333333333332</v>
      </c>
      <c r="T237" s="32">
        <v>16672.333333333332</v>
      </c>
      <c r="U237" s="32">
        <v>16445.666666666668</v>
      </c>
      <c r="V237" s="32">
        <v>16949.666666666668</v>
      </c>
      <c r="W237" s="32">
        <v>16879.833333333332</v>
      </c>
      <c r="X237" s="32">
        <v>16322.166666666666</v>
      </c>
      <c r="Y237" s="32">
        <v>15646.833333333334</v>
      </c>
      <c r="Z237" s="32">
        <v>14919.333333333334</v>
      </c>
      <c r="AA237" s="32">
        <v>14579.666666666666</v>
      </c>
      <c r="AB237" s="23">
        <f t="shared" si="58"/>
        <v>2242577</v>
      </c>
      <c r="AC237" s="5">
        <f>+AB235+AB236+AB237</f>
        <v>11211214</v>
      </c>
    </row>
    <row r="238" spans="1:29" x14ac:dyDescent="0.25">
      <c r="A238" s="39"/>
    </row>
    <row r="239" spans="1:29" x14ac:dyDescent="0.25">
      <c r="A239" s="21" t="s">
        <v>38</v>
      </c>
      <c r="B239" s="22">
        <v>23</v>
      </c>
      <c r="C239" s="51">
        <v>47665</v>
      </c>
      <c r="D239" s="32">
        <v>14750.739130434782</v>
      </c>
      <c r="E239" s="32">
        <v>14476.260869565218</v>
      </c>
      <c r="F239" s="32">
        <v>14079.95652173913</v>
      </c>
      <c r="G239" s="32">
        <v>13633.08695652174</v>
      </c>
      <c r="H239" s="32">
        <v>13579.652173913044</v>
      </c>
      <c r="I239" s="32">
        <v>13902.521739130434</v>
      </c>
      <c r="J239" s="32">
        <v>14203.521739130434</v>
      </c>
      <c r="K239" s="32">
        <v>14774.608695652174</v>
      </c>
      <c r="L239" s="32">
        <v>15565.08695652174</v>
      </c>
      <c r="M239" s="32">
        <v>16126.304347826086</v>
      </c>
      <c r="N239" s="32">
        <v>16551.304347826088</v>
      </c>
      <c r="O239" s="32">
        <v>16881.91304347826</v>
      </c>
      <c r="P239" s="32">
        <v>16768.478260869564</v>
      </c>
      <c r="Q239" s="32">
        <v>16757.869565217392</v>
      </c>
      <c r="R239" s="32">
        <v>17072.17391304348</v>
      </c>
      <c r="S239" s="32">
        <v>17155.08695652174</v>
      </c>
      <c r="T239" s="32">
        <v>16730.478260869564</v>
      </c>
      <c r="U239" s="32">
        <v>16502.91304347826</v>
      </c>
      <c r="V239" s="32">
        <v>17004.695652173912</v>
      </c>
      <c r="W239" s="32">
        <v>16937.217391304348</v>
      </c>
      <c r="X239" s="32">
        <v>16376.565217391304</v>
      </c>
      <c r="Y239" s="32">
        <v>15701.521739130434</v>
      </c>
      <c r="Z239" s="32">
        <v>14974.347826086956</v>
      </c>
      <c r="AA239" s="32">
        <v>14636.391304347826</v>
      </c>
      <c r="AB239" s="23">
        <f>SUM(D239:AA239)*B239</f>
        <v>8628282</v>
      </c>
      <c r="AC239" s="33"/>
    </row>
    <row r="240" spans="1:29" x14ac:dyDescent="0.25">
      <c r="A240" s="21" t="s">
        <v>39</v>
      </c>
      <c r="B240" s="22">
        <v>4</v>
      </c>
      <c r="C240" s="52"/>
      <c r="D240" s="32">
        <v>14752.5</v>
      </c>
      <c r="E240" s="32">
        <v>14478</v>
      </c>
      <c r="F240" s="32">
        <v>14081.5</v>
      </c>
      <c r="G240" s="32">
        <v>13634.75</v>
      </c>
      <c r="H240" s="32">
        <v>13581.25</v>
      </c>
      <c r="I240" s="32">
        <v>13904.5</v>
      </c>
      <c r="J240" s="32">
        <v>14205.5</v>
      </c>
      <c r="K240" s="32">
        <v>14776.5</v>
      </c>
      <c r="L240" s="32">
        <v>15567</v>
      </c>
      <c r="M240" s="32">
        <v>16128</v>
      </c>
      <c r="N240" s="32">
        <v>16553</v>
      </c>
      <c r="O240" s="32">
        <v>16883.5</v>
      </c>
      <c r="P240" s="32">
        <v>16770</v>
      </c>
      <c r="Q240" s="32">
        <v>16759.5</v>
      </c>
      <c r="R240" s="32">
        <v>17073.75</v>
      </c>
      <c r="S240" s="32">
        <v>17156.75</v>
      </c>
      <c r="T240" s="32">
        <v>16732.25</v>
      </c>
      <c r="U240" s="32">
        <v>16504.5</v>
      </c>
      <c r="V240" s="32">
        <v>17006.25</v>
      </c>
      <c r="W240" s="32">
        <v>16939</v>
      </c>
      <c r="X240" s="32">
        <v>16378.25</v>
      </c>
      <c r="Y240" s="32">
        <v>15703.25</v>
      </c>
      <c r="Z240" s="32">
        <v>14976</v>
      </c>
      <c r="AA240" s="32">
        <v>14638.25</v>
      </c>
      <c r="AB240" s="23">
        <f t="shared" ref="AB240:AB241" si="59">SUM(D240:AA240)*B240</f>
        <v>1500735</v>
      </c>
      <c r="AC240" s="33"/>
    </row>
    <row r="241" spans="1:29" x14ac:dyDescent="0.25">
      <c r="A241" s="21" t="s">
        <v>40</v>
      </c>
      <c r="B241" s="22">
        <v>4</v>
      </c>
      <c r="C241" s="52"/>
      <c r="D241" s="32">
        <v>14754.5</v>
      </c>
      <c r="E241" s="32">
        <v>14480</v>
      </c>
      <c r="F241" s="32">
        <v>14083.75</v>
      </c>
      <c r="G241" s="32">
        <v>13637</v>
      </c>
      <c r="H241" s="32">
        <v>13583.25</v>
      </c>
      <c r="I241" s="32">
        <v>13906.5</v>
      </c>
      <c r="J241" s="32">
        <v>14207.5</v>
      </c>
      <c r="K241" s="32">
        <v>14778.5</v>
      </c>
      <c r="L241" s="32">
        <v>15569</v>
      </c>
      <c r="M241" s="32">
        <v>16130</v>
      </c>
      <c r="N241" s="32">
        <v>16555</v>
      </c>
      <c r="O241" s="32">
        <v>16885.5</v>
      </c>
      <c r="P241" s="32">
        <v>16771.75</v>
      </c>
      <c r="Q241" s="32">
        <v>16761.5</v>
      </c>
      <c r="R241" s="32">
        <v>17075.75</v>
      </c>
      <c r="S241" s="32">
        <v>17159</v>
      </c>
      <c r="T241" s="32">
        <v>16734.25</v>
      </c>
      <c r="U241" s="32">
        <v>16506.5</v>
      </c>
      <c r="V241" s="32">
        <v>17008.25</v>
      </c>
      <c r="W241" s="32">
        <v>16941</v>
      </c>
      <c r="X241" s="32">
        <v>16380</v>
      </c>
      <c r="Y241" s="32">
        <v>15705</v>
      </c>
      <c r="Z241" s="32">
        <v>14978</v>
      </c>
      <c r="AA241" s="32">
        <v>14640</v>
      </c>
      <c r="AB241" s="23">
        <f t="shared" si="59"/>
        <v>1500926</v>
      </c>
      <c r="AC241" s="5">
        <f>+AB239+AB240+AB241</f>
        <v>11629943</v>
      </c>
    </row>
    <row r="242" spans="1:29" x14ac:dyDescent="0.25">
      <c r="A242" s="39"/>
    </row>
    <row r="243" spans="1:29" x14ac:dyDescent="0.25">
      <c r="A243" s="21" t="s">
        <v>38</v>
      </c>
      <c r="B243" s="22">
        <v>21</v>
      </c>
      <c r="C243" s="51">
        <v>47696</v>
      </c>
      <c r="D243" s="32">
        <v>14815.523809523809</v>
      </c>
      <c r="E243" s="32">
        <v>14541.380952380952</v>
      </c>
      <c r="F243" s="32">
        <v>14144.761904761905</v>
      </c>
      <c r="G243" s="32">
        <v>13696.428571428571</v>
      </c>
      <c r="H243" s="32">
        <v>13643.190476190477</v>
      </c>
      <c r="I243" s="32">
        <v>13967.952380952382</v>
      </c>
      <c r="J243" s="32">
        <v>14270.238095238095</v>
      </c>
      <c r="K243" s="32">
        <v>14840.190476190477</v>
      </c>
      <c r="L243" s="32">
        <v>15630.238095238095</v>
      </c>
      <c r="M243" s="32">
        <v>16189.190476190477</v>
      </c>
      <c r="N243" s="32">
        <v>16612.142857142859</v>
      </c>
      <c r="O243" s="32">
        <v>16941.095238095237</v>
      </c>
      <c r="P243" s="32">
        <v>16826.047619047618</v>
      </c>
      <c r="Q243" s="32">
        <v>16816.857142857141</v>
      </c>
      <c r="R243" s="32">
        <v>17134.142857142859</v>
      </c>
      <c r="S243" s="32">
        <v>17218.190476190477</v>
      </c>
      <c r="T243" s="32">
        <v>16794.190476190477</v>
      </c>
      <c r="U243" s="32">
        <v>16564.952380952382</v>
      </c>
      <c r="V243" s="32">
        <v>17064.380952380954</v>
      </c>
      <c r="W243" s="32">
        <v>16999.190476190477</v>
      </c>
      <c r="X243" s="32">
        <v>16435.666666666668</v>
      </c>
      <c r="Y243" s="32">
        <v>15760.714285714286</v>
      </c>
      <c r="Z243" s="32">
        <v>15034.142857142857</v>
      </c>
      <c r="AA243" s="32">
        <v>14697.761904761905</v>
      </c>
      <c r="AB243" s="23">
        <f>SUM(D243:AA243)*B243</f>
        <v>7909409.9999999981</v>
      </c>
      <c r="AC243" s="33"/>
    </row>
    <row r="244" spans="1:29" x14ac:dyDescent="0.25">
      <c r="A244" s="21" t="s">
        <v>39</v>
      </c>
      <c r="B244" s="22">
        <v>5</v>
      </c>
      <c r="C244" s="52"/>
      <c r="D244" s="32">
        <v>14817.4</v>
      </c>
      <c r="E244" s="32">
        <v>14543.2</v>
      </c>
      <c r="F244" s="32">
        <v>14146.8</v>
      </c>
      <c r="G244" s="32">
        <v>13698.2</v>
      </c>
      <c r="H244" s="32">
        <v>13645</v>
      </c>
      <c r="I244" s="32">
        <v>13969.8</v>
      </c>
      <c r="J244" s="32">
        <v>14272</v>
      </c>
      <c r="K244" s="32">
        <v>14842</v>
      </c>
      <c r="L244" s="32">
        <v>15632.2</v>
      </c>
      <c r="M244" s="32">
        <v>16191</v>
      </c>
      <c r="N244" s="32">
        <v>16613.8</v>
      </c>
      <c r="O244" s="32">
        <v>16942.8</v>
      </c>
      <c r="P244" s="32">
        <v>16827.8</v>
      </c>
      <c r="Q244" s="32">
        <v>16818.599999999999</v>
      </c>
      <c r="R244" s="32">
        <v>17135.8</v>
      </c>
      <c r="S244" s="32">
        <v>17220</v>
      </c>
      <c r="T244" s="32">
        <v>16796</v>
      </c>
      <c r="U244" s="32">
        <v>16566.8</v>
      </c>
      <c r="V244" s="32">
        <v>17066</v>
      </c>
      <c r="W244" s="32">
        <v>17001</v>
      </c>
      <c r="X244" s="32">
        <v>16437.2</v>
      </c>
      <c r="Y244" s="32">
        <v>15762.4</v>
      </c>
      <c r="Z244" s="32">
        <v>15036</v>
      </c>
      <c r="AA244" s="32">
        <v>14699.6</v>
      </c>
      <c r="AB244" s="23">
        <f t="shared" ref="AB244:AB245" si="60">SUM(D244:AA244)*B244</f>
        <v>1883406.9999999995</v>
      </c>
      <c r="AC244" s="33"/>
    </row>
    <row r="245" spans="1:29" x14ac:dyDescent="0.25">
      <c r="A245" s="21" t="s">
        <v>40</v>
      </c>
      <c r="B245" s="22">
        <v>5</v>
      </c>
      <c r="C245" s="52"/>
      <c r="D245" s="32">
        <v>14812.4</v>
      </c>
      <c r="E245" s="32">
        <v>14538.2</v>
      </c>
      <c r="F245" s="32">
        <v>14141.8</v>
      </c>
      <c r="G245" s="32">
        <v>13693.2</v>
      </c>
      <c r="H245" s="32">
        <v>13640.2</v>
      </c>
      <c r="I245" s="32">
        <v>13964.8</v>
      </c>
      <c r="J245" s="32">
        <v>14267</v>
      </c>
      <c r="K245" s="32">
        <v>14837.2</v>
      </c>
      <c r="L245" s="32">
        <v>15627.2</v>
      </c>
      <c r="M245" s="32">
        <v>16186.2</v>
      </c>
      <c r="N245" s="32">
        <v>16609.2</v>
      </c>
      <c r="O245" s="32">
        <v>16938.400000000001</v>
      </c>
      <c r="P245" s="32">
        <v>16823.400000000001</v>
      </c>
      <c r="Q245" s="32">
        <v>16814</v>
      </c>
      <c r="R245" s="32">
        <v>17131.2</v>
      </c>
      <c r="S245" s="32">
        <v>17215.2</v>
      </c>
      <c r="T245" s="32">
        <v>16791.2</v>
      </c>
      <c r="U245" s="32">
        <v>16562</v>
      </c>
      <c r="V245" s="32">
        <v>17061.400000000001</v>
      </c>
      <c r="W245" s="32">
        <v>16996.2</v>
      </c>
      <c r="X245" s="32">
        <v>16432.8</v>
      </c>
      <c r="Y245" s="32">
        <v>15757.8</v>
      </c>
      <c r="Z245" s="32">
        <v>15031.2</v>
      </c>
      <c r="AA245" s="32">
        <v>14695</v>
      </c>
      <c r="AB245" s="23">
        <f t="shared" si="60"/>
        <v>1882836</v>
      </c>
      <c r="AC245" s="5">
        <f>+AB243+AB244+AB245</f>
        <v>11675652.999999998</v>
      </c>
    </row>
    <row r="246" spans="1:29" x14ac:dyDescent="0.25">
      <c r="A246" s="39"/>
    </row>
    <row r="247" spans="1:29" x14ac:dyDescent="0.25">
      <c r="A247" s="21" t="s">
        <v>38</v>
      </c>
      <c r="B247" s="22">
        <v>21</v>
      </c>
      <c r="C247" s="51">
        <v>47727</v>
      </c>
      <c r="D247" s="32">
        <v>14877.571428571429</v>
      </c>
      <c r="E247" s="32">
        <v>14603.809523809523</v>
      </c>
      <c r="F247" s="32">
        <v>14207</v>
      </c>
      <c r="G247" s="32">
        <v>13757.476190476191</v>
      </c>
      <c r="H247" s="32">
        <v>13704.095238095239</v>
      </c>
      <c r="I247" s="32">
        <v>14030.476190476191</v>
      </c>
      <c r="J247" s="32">
        <v>14334.047619047618</v>
      </c>
      <c r="K247" s="32">
        <v>14903.047619047618</v>
      </c>
      <c r="L247" s="32">
        <v>15692.761904761905</v>
      </c>
      <c r="M247" s="32">
        <v>16250.190476190477</v>
      </c>
      <c r="N247" s="32">
        <v>16670.380952380954</v>
      </c>
      <c r="O247" s="32">
        <v>16997.857142857141</v>
      </c>
      <c r="P247" s="32">
        <v>16881.333333333332</v>
      </c>
      <c r="Q247" s="32">
        <v>16873.380952380954</v>
      </c>
      <c r="R247" s="32">
        <v>17193.476190476191</v>
      </c>
      <c r="S247" s="32">
        <v>17279.380952380954</v>
      </c>
      <c r="T247" s="32">
        <v>16854.571428571428</v>
      </c>
      <c r="U247" s="32">
        <v>16624.428571428572</v>
      </c>
      <c r="V247" s="32">
        <v>17121.476190476191</v>
      </c>
      <c r="W247" s="32">
        <v>17058.761904761905</v>
      </c>
      <c r="X247" s="32">
        <v>16492.142857142859</v>
      </c>
      <c r="Y247" s="32">
        <v>15817.523809523809</v>
      </c>
      <c r="Z247" s="32">
        <v>15091.523809523809</v>
      </c>
      <c r="AA247" s="32">
        <v>14756.857142857143</v>
      </c>
      <c r="AB247" s="23">
        <f>SUM(D247:AA247)*B247</f>
        <v>7939545</v>
      </c>
      <c r="AC247" s="33"/>
    </row>
    <row r="248" spans="1:29" x14ac:dyDescent="0.25">
      <c r="A248" s="21" t="s">
        <v>39</v>
      </c>
      <c r="B248" s="22">
        <v>4</v>
      </c>
      <c r="C248" s="52"/>
      <c r="D248" s="32">
        <v>14882.25</v>
      </c>
      <c r="E248" s="32">
        <v>14608.5</v>
      </c>
      <c r="F248" s="32">
        <v>14211.5</v>
      </c>
      <c r="G248" s="32">
        <v>13762</v>
      </c>
      <c r="H248" s="32">
        <v>13708.75</v>
      </c>
      <c r="I248" s="32">
        <v>14035</v>
      </c>
      <c r="J248" s="32">
        <v>14338.75</v>
      </c>
      <c r="K248" s="32">
        <v>14907.75</v>
      </c>
      <c r="L248" s="32">
        <v>15697.5</v>
      </c>
      <c r="M248" s="32">
        <v>16254.75</v>
      </c>
      <c r="N248" s="32">
        <v>16674.5</v>
      </c>
      <c r="O248" s="32">
        <v>17002.25</v>
      </c>
      <c r="P248" s="32">
        <v>16885.5</v>
      </c>
      <c r="Q248" s="32">
        <v>16877.5</v>
      </c>
      <c r="R248" s="32">
        <v>17198</v>
      </c>
      <c r="S248" s="32">
        <v>17284</v>
      </c>
      <c r="T248" s="32">
        <v>16859.25</v>
      </c>
      <c r="U248" s="32">
        <v>16629</v>
      </c>
      <c r="V248" s="32">
        <v>17125.75</v>
      </c>
      <c r="W248" s="32">
        <v>17063.25</v>
      </c>
      <c r="X248" s="32">
        <v>16496.5</v>
      </c>
      <c r="Y248" s="32">
        <v>15821.75</v>
      </c>
      <c r="Z248" s="32">
        <v>15095.75</v>
      </c>
      <c r="AA248" s="32">
        <v>14761.25</v>
      </c>
      <c r="AB248" s="23">
        <f t="shared" ref="AB248:AB249" si="61">SUM(D248:AA248)*B248</f>
        <v>1512724</v>
      </c>
      <c r="AC248" s="33"/>
    </row>
    <row r="249" spans="1:29" x14ac:dyDescent="0.25">
      <c r="A249" s="21" t="s">
        <v>40</v>
      </c>
      <c r="B249" s="22">
        <v>5</v>
      </c>
      <c r="C249" s="52"/>
      <c r="D249" s="32">
        <v>14877.2</v>
      </c>
      <c r="E249" s="32">
        <v>14603.2</v>
      </c>
      <c r="F249" s="32">
        <v>14206.6</v>
      </c>
      <c r="G249" s="32">
        <v>13757</v>
      </c>
      <c r="H249" s="32">
        <v>13703.6</v>
      </c>
      <c r="I249" s="32">
        <v>14029.8</v>
      </c>
      <c r="J249" s="32">
        <v>14333.6</v>
      </c>
      <c r="K249" s="32">
        <v>14902.6</v>
      </c>
      <c r="L249" s="32">
        <v>15692.2</v>
      </c>
      <c r="M249" s="32">
        <v>16249.6</v>
      </c>
      <c r="N249" s="32">
        <v>16669.8</v>
      </c>
      <c r="O249" s="32">
        <v>16997.400000000001</v>
      </c>
      <c r="P249" s="32">
        <v>16881</v>
      </c>
      <c r="Q249" s="32">
        <v>16873</v>
      </c>
      <c r="R249" s="32">
        <v>17193</v>
      </c>
      <c r="S249" s="32">
        <v>17278.8</v>
      </c>
      <c r="T249" s="32">
        <v>16854.2</v>
      </c>
      <c r="U249" s="32">
        <v>16624</v>
      </c>
      <c r="V249" s="32">
        <v>17121</v>
      </c>
      <c r="W249" s="32">
        <v>17058.400000000001</v>
      </c>
      <c r="X249" s="32">
        <v>16491.8</v>
      </c>
      <c r="Y249" s="32">
        <v>15817</v>
      </c>
      <c r="Z249" s="32">
        <v>15091</v>
      </c>
      <c r="AA249" s="32">
        <v>14756.4</v>
      </c>
      <c r="AB249" s="23">
        <f t="shared" si="61"/>
        <v>1890311</v>
      </c>
      <c r="AC249" s="5">
        <f>+AB247+AB248+AB249</f>
        <v>11342580</v>
      </c>
    </row>
    <row r="250" spans="1:29" x14ac:dyDescent="0.25">
      <c r="A250" s="39"/>
    </row>
    <row r="251" spans="1:29" x14ac:dyDescent="0.25">
      <c r="A251" s="21" t="s">
        <v>38</v>
      </c>
      <c r="B251" s="22">
        <v>23</v>
      </c>
      <c r="C251" s="51">
        <v>47757</v>
      </c>
      <c r="D251" s="32">
        <v>14940.91304347826</v>
      </c>
      <c r="E251" s="32">
        <v>14667.565217391304</v>
      </c>
      <c r="F251" s="32">
        <v>14270.521739130434</v>
      </c>
      <c r="G251" s="32">
        <v>13819.608695652174</v>
      </c>
      <c r="H251" s="32">
        <v>13766</v>
      </c>
      <c r="I251" s="32">
        <v>14094.217391304348</v>
      </c>
      <c r="J251" s="32">
        <v>14399.217391304348</v>
      </c>
      <c r="K251" s="32">
        <v>14967.130434782608</v>
      </c>
      <c r="L251" s="32">
        <v>15756.652173913044</v>
      </c>
      <c r="M251" s="32">
        <v>16312</v>
      </c>
      <c r="N251" s="32">
        <v>16729.782608695652</v>
      </c>
      <c r="O251" s="32">
        <v>17055.739130434784</v>
      </c>
      <c r="P251" s="32">
        <v>16937.782608695652</v>
      </c>
      <c r="Q251" s="32">
        <v>16931.043478260868</v>
      </c>
      <c r="R251" s="32">
        <v>17254.043478260868</v>
      </c>
      <c r="S251" s="32">
        <v>17341</v>
      </c>
      <c r="T251" s="32">
        <v>16917</v>
      </c>
      <c r="U251" s="32">
        <v>16685</v>
      </c>
      <c r="V251" s="32">
        <v>17179.782608695652</v>
      </c>
      <c r="W251" s="32">
        <v>17119.652173913044</v>
      </c>
      <c r="X251" s="32">
        <v>16549.956521739132</v>
      </c>
      <c r="Y251" s="32">
        <v>15875.434782608696</v>
      </c>
      <c r="Z251" s="32">
        <v>15150</v>
      </c>
      <c r="AA251" s="32">
        <v>14816.95652173913</v>
      </c>
      <c r="AB251" s="23">
        <f>SUM(D251:AA251)*B251</f>
        <v>8729351</v>
      </c>
      <c r="AC251" s="33"/>
    </row>
    <row r="252" spans="1:29" x14ac:dyDescent="0.25">
      <c r="A252" s="21" t="s">
        <v>39</v>
      </c>
      <c r="B252" s="22">
        <v>4</v>
      </c>
      <c r="C252" s="52"/>
      <c r="D252" s="32">
        <v>14940</v>
      </c>
      <c r="E252" s="32">
        <v>14666.5</v>
      </c>
      <c r="F252" s="32">
        <v>14269.5</v>
      </c>
      <c r="G252" s="32">
        <v>13818.5</v>
      </c>
      <c r="H252" s="32">
        <v>13765</v>
      </c>
      <c r="I252" s="32">
        <v>14093.25</v>
      </c>
      <c r="J252" s="32">
        <v>14398.25</v>
      </c>
      <c r="K252" s="32">
        <v>14966</v>
      </c>
      <c r="L252" s="32">
        <v>15755.5</v>
      </c>
      <c r="M252" s="32">
        <v>16311</v>
      </c>
      <c r="N252" s="32">
        <v>16729</v>
      </c>
      <c r="O252" s="32">
        <v>17054.75</v>
      </c>
      <c r="P252" s="32">
        <v>16936.75</v>
      </c>
      <c r="Q252" s="32">
        <v>16930.25</v>
      </c>
      <c r="R252" s="32">
        <v>17253</v>
      </c>
      <c r="S252" s="32">
        <v>17340</v>
      </c>
      <c r="T252" s="32">
        <v>16916</v>
      </c>
      <c r="U252" s="32">
        <v>16684</v>
      </c>
      <c r="V252" s="32">
        <v>17179</v>
      </c>
      <c r="W252" s="32">
        <v>17118.75</v>
      </c>
      <c r="X252" s="32">
        <v>16549</v>
      </c>
      <c r="Y252" s="32">
        <v>15874.5</v>
      </c>
      <c r="Z252" s="32">
        <v>15149</v>
      </c>
      <c r="AA252" s="32">
        <v>14816</v>
      </c>
      <c r="AB252" s="23">
        <f t="shared" ref="AB252:AB253" si="62">SUM(D252:AA252)*B252</f>
        <v>1518054</v>
      </c>
      <c r="AC252" s="33"/>
    </row>
    <row r="253" spans="1:29" x14ac:dyDescent="0.25">
      <c r="A253" s="21" t="s">
        <v>40</v>
      </c>
      <c r="B253" s="22">
        <v>4</v>
      </c>
      <c r="C253" s="52"/>
      <c r="D253" s="32">
        <v>14942</v>
      </c>
      <c r="E253" s="32">
        <v>14668.5</v>
      </c>
      <c r="F253" s="32">
        <v>14271.5</v>
      </c>
      <c r="G253" s="32">
        <v>13820.5</v>
      </c>
      <c r="H253" s="32">
        <v>13767</v>
      </c>
      <c r="I253" s="32">
        <v>14095.5</v>
      </c>
      <c r="J253" s="32">
        <v>14400.5</v>
      </c>
      <c r="K253" s="32">
        <v>14968.25</v>
      </c>
      <c r="L253" s="32">
        <v>15757.5</v>
      </c>
      <c r="M253" s="32">
        <v>16313</v>
      </c>
      <c r="N253" s="32">
        <v>16730.75</v>
      </c>
      <c r="O253" s="32">
        <v>17056.5</v>
      </c>
      <c r="P253" s="32">
        <v>16938.5</v>
      </c>
      <c r="Q253" s="32">
        <v>16932</v>
      </c>
      <c r="R253" s="32">
        <v>17255</v>
      </c>
      <c r="S253" s="32">
        <v>17342</v>
      </c>
      <c r="T253" s="32">
        <v>16918</v>
      </c>
      <c r="U253" s="32">
        <v>16686</v>
      </c>
      <c r="V253" s="32">
        <v>17180.75</v>
      </c>
      <c r="W253" s="32">
        <v>17120.75</v>
      </c>
      <c r="X253" s="32">
        <v>16550.75</v>
      </c>
      <c r="Y253" s="32">
        <v>15876.5</v>
      </c>
      <c r="Z253" s="32">
        <v>15151</v>
      </c>
      <c r="AA253" s="32">
        <v>14817.75</v>
      </c>
      <c r="AB253" s="23">
        <f t="shared" si="62"/>
        <v>1518242</v>
      </c>
      <c r="AC253" s="5">
        <f>+AB251+AB252+AB253</f>
        <v>11765647</v>
      </c>
    </row>
    <row r="254" spans="1:29" x14ac:dyDescent="0.25">
      <c r="A254" s="39"/>
    </row>
    <row r="255" spans="1:29" x14ac:dyDescent="0.25">
      <c r="A255" s="21" t="s">
        <v>38</v>
      </c>
      <c r="B255" s="22">
        <v>20</v>
      </c>
      <c r="C255" s="51">
        <v>47788</v>
      </c>
      <c r="D255" s="32">
        <v>15005.85</v>
      </c>
      <c r="E255" s="32">
        <v>14732.8</v>
      </c>
      <c r="F255" s="32">
        <v>14335.5</v>
      </c>
      <c r="G255" s="32">
        <v>13883</v>
      </c>
      <c r="H255" s="32">
        <v>13830</v>
      </c>
      <c r="I255" s="32">
        <v>14159.65</v>
      </c>
      <c r="J255" s="32">
        <v>14466</v>
      </c>
      <c r="K255" s="32">
        <v>15032.9</v>
      </c>
      <c r="L255" s="32">
        <v>15821.95</v>
      </c>
      <c r="M255" s="32">
        <v>16375.35</v>
      </c>
      <c r="N255" s="32">
        <v>16790.650000000001</v>
      </c>
      <c r="O255" s="32">
        <v>17115</v>
      </c>
      <c r="P255" s="32">
        <v>16995.5</v>
      </c>
      <c r="Q255" s="32">
        <v>16990.2</v>
      </c>
      <c r="R255" s="32">
        <v>17316.05</v>
      </c>
      <c r="S255" s="32">
        <v>17405</v>
      </c>
      <c r="T255" s="32">
        <v>16980.05</v>
      </c>
      <c r="U255" s="32">
        <v>16747.099999999999</v>
      </c>
      <c r="V255" s="32">
        <v>17239.55</v>
      </c>
      <c r="W255" s="32">
        <v>17182</v>
      </c>
      <c r="X255" s="32">
        <v>16609.2</v>
      </c>
      <c r="Y255" s="32">
        <v>15934.7</v>
      </c>
      <c r="Z255" s="32">
        <v>15209.9</v>
      </c>
      <c r="AA255" s="32">
        <v>14878.5</v>
      </c>
      <c r="AB255" s="23">
        <f>SUM(D255:AA255)*B255</f>
        <v>7620728</v>
      </c>
      <c r="AC255" s="33"/>
    </row>
    <row r="256" spans="1:29" x14ac:dyDescent="0.25">
      <c r="A256" s="21" t="s">
        <v>39</v>
      </c>
      <c r="B256" s="22">
        <v>5</v>
      </c>
      <c r="C256" s="52"/>
      <c r="D256" s="32">
        <v>15004.8</v>
      </c>
      <c r="E256" s="32">
        <v>14731.8</v>
      </c>
      <c r="F256" s="32">
        <v>14334.4</v>
      </c>
      <c r="G256" s="32">
        <v>13882</v>
      </c>
      <c r="H256" s="32">
        <v>13828.8</v>
      </c>
      <c r="I256" s="32">
        <v>14158.8</v>
      </c>
      <c r="J256" s="32">
        <v>14465</v>
      </c>
      <c r="K256" s="32">
        <v>15031.8</v>
      </c>
      <c r="L256" s="32">
        <v>15820.8</v>
      </c>
      <c r="M256" s="32">
        <v>16374.4</v>
      </c>
      <c r="N256" s="32">
        <v>16789.8</v>
      </c>
      <c r="O256" s="32">
        <v>17114</v>
      </c>
      <c r="P256" s="32">
        <v>16994.599999999999</v>
      </c>
      <c r="Q256" s="32">
        <v>16989</v>
      </c>
      <c r="R256" s="32">
        <v>17315.2</v>
      </c>
      <c r="S256" s="32">
        <v>17403.8</v>
      </c>
      <c r="T256" s="32">
        <v>16979.2</v>
      </c>
      <c r="U256" s="32">
        <v>16746.2</v>
      </c>
      <c r="V256" s="32">
        <v>17238.599999999999</v>
      </c>
      <c r="W256" s="32">
        <v>17181</v>
      </c>
      <c r="X256" s="32">
        <v>16608</v>
      </c>
      <c r="Y256" s="32">
        <v>15933.8</v>
      </c>
      <c r="Z256" s="32">
        <v>15209</v>
      </c>
      <c r="AA256" s="32">
        <v>14877.6</v>
      </c>
      <c r="AB256" s="23">
        <f t="shared" ref="AB256:AB257" si="63">SUM(D256:AA256)*B256</f>
        <v>1905061.9999999998</v>
      </c>
      <c r="AC256" s="33"/>
    </row>
    <row r="257" spans="1:29" x14ac:dyDescent="0.25">
      <c r="A257" s="21" t="s">
        <v>40</v>
      </c>
      <c r="B257" s="22">
        <v>5</v>
      </c>
      <c r="C257" s="52"/>
      <c r="D257" s="32">
        <v>14994.4</v>
      </c>
      <c r="E257" s="32">
        <v>14721.4</v>
      </c>
      <c r="F257" s="32">
        <v>14324.4</v>
      </c>
      <c r="G257" s="32">
        <v>13872</v>
      </c>
      <c r="H257" s="32">
        <v>13818.8</v>
      </c>
      <c r="I257" s="32">
        <v>14148.2</v>
      </c>
      <c r="J257" s="32">
        <v>14454.2</v>
      </c>
      <c r="K257" s="32">
        <v>15021.4</v>
      </c>
      <c r="L257" s="32">
        <v>15810.4</v>
      </c>
      <c r="M257" s="32">
        <v>16364.2</v>
      </c>
      <c r="N257" s="32">
        <v>16780.2</v>
      </c>
      <c r="O257" s="32">
        <v>17104.8</v>
      </c>
      <c r="P257" s="32">
        <v>16985.400000000001</v>
      </c>
      <c r="Q257" s="32">
        <v>16979.8</v>
      </c>
      <c r="R257" s="32">
        <v>17305.400000000001</v>
      </c>
      <c r="S257" s="32">
        <v>17393.8</v>
      </c>
      <c r="T257" s="32">
        <v>16969</v>
      </c>
      <c r="U257" s="32">
        <v>16736.400000000001</v>
      </c>
      <c r="V257" s="32">
        <v>17229.2</v>
      </c>
      <c r="W257" s="32">
        <v>17171</v>
      </c>
      <c r="X257" s="32">
        <v>16598.8</v>
      </c>
      <c r="Y257" s="32">
        <v>15924.6</v>
      </c>
      <c r="Z257" s="32">
        <v>15199.4</v>
      </c>
      <c r="AA257" s="32">
        <v>14867.8</v>
      </c>
      <c r="AB257" s="23">
        <f t="shared" si="63"/>
        <v>1903874.9999999998</v>
      </c>
      <c r="AC257" s="5">
        <f>+AB255+AB256+AB257</f>
        <v>11429665</v>
      </c>
    </row>
    <row r="258" spans="1:29" x14ac:dyDescent="0.25">
      <c r="A258" s="39"/>
    </row>
    <row r="259" spans="1:29" x14ac:dyDescent="0.25">
      <c r="A259" s="21" t="s">
        <v>38</v>
      </c>
      <c r="B259" s="22">
        <v>20</v>
      </c>
      <c r="C259" s="51">
        <v>47818</v>
      </c>
      <c r="D259" s="32">
        <v>15066.6</v>
      </c>
      <c r="E259" s="32">
        <v>14793.9</v>
      </c>
      <c r="F259" s="32">
        <v>14396.45</v>
      </c>
      <c r="G259" s="32">
        <v>13942.95</v>
      </c>
      <c r="H259" s="32">
        <v>13889.2</v>
      </c>
      <c r="I259" s="32">
        <v>14220.9</v>
      </c>
      <c r="J259" s="32">
        <v>14528.55</v>
      </c>
      <c r="K259" s="32">
        <v>15094.35</v>
      </c>
      <c r="L259" s="32">
        <v>15883.1</v>
      </c>
      <c r="M259" s="32">
        <v>16435</v>
      </c>
      <c r="N259" s="32">
        <v>16847.8</v>
      </c>
      <c r="O259" s="32">
        <v>17170.5</v>
      </c>
      <c r="P259" s="32">
        <v>17049.55</v>
      </c>
      <c r="Q259" s="32">
        <v>17045.400000000001</v>
      </c>
      <c r="R259" s="32">
        <v>17374.2</v>
      </c>
      <c r="S259" s="32">
        <v>17464</v>
      </c>
      <c r="T259" s="32">
        <v>17040</v>
      </c>
      <c r="U259" s="32">
        <v>16805.349999999999</v>
      </c>
      <c r="V259" s="32">
        <v>17295.5</v>
      </c>
      <c r="W259" s="32">
        <v>17240.099999999999</v>
      </c>
      <c r="X259" s="32">
        <v>16664.45</v>
      </c>
      <c r="Y259" s="32">
        <v>15990.4</v>
      </c>
      <c r="Z259" s="32">
        <v>15266.05</v>
      </c>
      <c r="AA259" s="32">
        <v>14936.3</v>
      </c>
      <c r="AB259" s="23">
        <f>SUM(D259:AA259)*B259</f>
        <v>7648811.9999999981</v>
      </c>
      <c r="AC259" s="33"/>
    </row>
    <row r="260" spans="1:29" x14ac:dyDescent="0.25">
      <c r="A260" s="21" t="s">
        <v>39</v>
      </c>
      <c r="B260" s="22">
        <v>4</v>
      </c>
      <c r="C260" s="52"/>
      <c r="D260" s="32">
        <v>15069.75</v>
      </c>
      <c r="E260" s="32">
        <v>14797</v>
      </c>
      <c r="F260" s="32">
        <v>14399.5</v>
      </c>
      <c r="G260" s="32">
        <v>13946</v>
      </c>
      <c r="H260" s="32">
        <v>13892.25</v>
      </c>
      <c r="I260" s="32">
        <v>14224</v>
      </c>
      <c r="J260" s="32">
        <v>14531.5</v>
      </c>
      <c r="K260" s="32">
        <v>15097.5</v>
      </c>
      <c r="L260" s="32">
        <v>15886</v>
      </c>
      <c r="M260" s="32">
        <v>16438</v>
      </c>
      <c r="N260" s="32">
        <v>16850.5</v>
      </c>
      <c r="O260" s="32">
        <v>17173.5</v>
      </c>
      <c r="P260" s="32">
        <v>17052.5</v>
      </c>
      <c r="Q260" s="32">
        <v>17048.5</v>
      </c>
      <c r="R260" s="32">
        <v>17377.25</v>
      </c>
      <c r="S260" s="32">
        <v>17467</v>
      </c>
      <c r="T260" s="32">
        <v>17043</v>
      </c>
      <c r="U260" s="32">
        <v>16808.25</v>
      </c>
      <c r="V260" s="32">
        <v>17298.25</v>
      </c>
      <c r="W260" s="32">
        <v>17243</v>
      </c>
      <c r="X260" s="32">
        <v>16667.5</v>
      </c>
      <c r="Y260" s="32">
        <v>15993.25</v>
      </c>
      <c r="Z260" s="32">
        <v>15269</v>
      </c>
      <c r="AA260" s="32">
        <v>14939.25</v>
      </c>
      <c r="AB260" s="23">
        <f t="shared" ref="AB260:AB261" si="64">SUM(D260:AA260)*B260</f>
        <v>1530049</v>
      </c>
      <c r="AC260" s="33"/>
    </row>
    <row r="261" spans="1:29" x14ac:dyDescent="0.25">
      <c r="A261" s="21" t="s">
        <v>40</v>
      </c>
      <c r="B261" s="22">
        <v>7</v>
      </c>
      <c r="C261" s="52"/>
      <c r="D261" s="32">
        <v>15064.857142857143</v>
      </c>
      <c r="E261" s="32">
        <v>14792.142857142857</v>
      </c>
      <c r="F261" s="32">
        <v>14394.571428571429</v>
      </c>
      <c r="G261" s="32">
        <v>13941.142857142857</v>
      </c>
      <c r="H261" s="32">
        <v>13887.571428571429</v>
      </c>
      <c r="I261" s="32">
        <v>14219.142857142857</v>
      </c>
      <c r="J261" s="32">
        <v>14526.714285714286</v>
      </c>
      <c r="K261" s="32">
        <v>15092.571428571429</v>
      </c>
      <c r="L261" s="32">
        <v>15881.285714285714</v>
      </c>
      <c r="M261" s="32">
        <v>16433.285714285714</v>
      </c>
      <c r="N261" s="32">
        <v>16846</v>
      </c>
      <c r="O261" s="32">
        <v>17168.857142857141</v>
      </c>
      <c r="P261" s="32">
        <v>17048</v>
      </c>
      <c r="Q261" s="32">
        <v>17043.857142857141</v>
      </c>
      <c r="R261" s="32">
        <v>17372.571428571428</v>
      </c>
      <c r="S261" s="32">
        <v>17462.285714285714</v>
      </c>
      <c r="T261" s="32">
        <v>17038.285714285714</v>
      </c>
      <c r="U261" s="32">
        <v>16803.714285714286</v>
      </c>
      <c r="V261" s="32">
        <v>17294</v>
      </c>
      <c r="W261" s="32">
        <v>17238.428571428572</v>
      </c>
      <c r="X261" s="32">
        <v>16662.857142857141</v>
      </c>
      <c r="Y261" s="32">
        <v>15988.714285714286</v>
      </c>
      <c r="Z261" s="32">
        <v>15264.285714285714</v>
      </c>
      <c r="AA261" s="32">
        <v>14934.714285714286</v>
      </c>
      <c r="AB261" s="23">
        <f t="shared" si="64"/>
        <v>2676798.9999999995</v>
      </c>
      <c r="AC261" s="5">
        <f>+AB259+AB260+AB261</f>
        <v>11855659.999999998</v>
      </c>
    </row>
    <row r="262" spans="1:29" x14ac:dyDescent="0.25">
      <c r="A262" s="29">
        <v>2031</v>
      </c>
      <c r="B262" s="29"/>
      <c r="C262" s="29"/>
      <c r="AB262" s="31"/>
      <c r="AC262" s="31"/>
    </row>
    <row r="263" spans="1:29" x14ac:dyDescent="0.25">
      <c r="A263" s="21" t="s">
        <v>38</v>
      </c>
      <c r="B263" s="22">
        <v>23</v>
      </c>
      <c r="C263" s="51">
        <v>47849</v>
      </c>
      <c r="D263" s="32">
        <v>13817.695652173914</v>
      </c>
      <c r="E263" s="32">
        <v>13569.08695652174</v>
      </c>
      <c r="F263" s="32">
        <v>13205.869565217392</v>
      </c>
      <c r="G263" s="32">
        <v>12790.391304347826</v>
      </c>
      <c r="H263" s="32">
        <v>12741.652173913044</v>
      </c>
      <c r="I263" s="32">
        <v>13046.04347826087</v>
      </c>
      <c r="J263" s="32">
        <v>13328.260869565218</v>
      </c>
      <c r="K263" s="32">
        <v>13843.739130434782</v>
      </c>
      <c r="L263" s="32">
        <v>14563.521739130434</v>
      </c>
      <c r="M263" s="32">
        <v>15065.347826086956</v>
      </c>
      <c r="N263" s="32">
        <v>15440.260869565218</v>
      </c>
      <c r="O263" s="32">
        <v>15733.391304347826</v>
      </c>
      <c r="P263" s="32">
        <v>15621.478260869566</v>
      </c>
      <c r="Q263" s="32">
        <v>15619.04347826087</v>
      </c>
      <c r="R263" s="32">
        <v>15922.04347826087</v>
      </c>
      <c r="S263" s="32">
        <v>16005.782608695652</v>
      </c>
      <c r="T263" s="32">
        <v>15617.739130434782</v>
      </c>
      <c r="U263" s="32">
        <v>15402.739130434782</v>
      </c>
      <c r="V263" s="32">
        <v>15848</v>
      </c>
      <c r="W263" s="32">
        <v>15799.782608695652</v>
      </c>
      <c r="X263" s="32">
        <v>15271.260869565218</v>
      </c>
      <c r="Y263" s="32">
        <v>14655.869565217392</v>
      </c>
      <c r="Z263" s="32">
        <v>13995.130434782608</v>
      </c>
      <c r="AA263" s="32">
        <v>13695.521739130434</v>
      </c>
      <c r="AB263" s="23">
        <f>SUM(D263:AA263)*B263</f>
        <v>8063792.0000000009</v>
      </c>
      <c r="AC263" s="33"/>
    </row>
    <row r="264" spans="1:29" x14ac:dyDescent="0.25">
      <c r="A264" s="21" t="s">
        <v>39</v>
      </c>
      <c r="B264" s="22">
        <v>4</v>
      </c>
      <c r="C264" s="52"/>
      <c r="D264" s="32">
        <v>15127.5</v>
      </c>
      <c r="E264" s="32">
        <v>14855</v>
      </c>
      <c r="F264" s="32">
        <v>14457.5</v>
      </c>
      <c r="G264" s="32">
        <v>14002.25</v>
      </c>
      <c r="H264" s="32">
        <v>13949</v>
      </c>
      <c r="I264" s="32">
        <v>14282</v>
      </c>
      <c r="J264" s="32">
        <v>14591</v>
      </c>
      <c r="K264" s="32">
        <v>15156</v>
      </c>
      <c r="L264" s="32">
        <v>15944.25</v>
      </c>
      <c r="M264" s="32">
        <v>16494</v>
      </c>
      <c r="N264" s="32">
        <v>16904.75</v>
      </c>
      <c r="O264" s="32">
        <v>17226</v>
      </c>
      <c r="P264" s="32">
        <v>17103.5</v>
      </c>
      <c r="Q264" s="32">
        <v>17100.5</v>
      </c>
      <c r="R264" s="32">
        <v>17432.25</v>
      </c>
      <c r="S264" s="32">
        <v>17524</v>
      </c>
      <c r="T264" s="32">
        <v>17099</v>
      </c>
      <c r="U264" s="32">
        <v>16863.5</v>
      </c>
      <c r="V264" s="32">
        <v>17351.5</v>
      </c>
      <c r="W264" s="32">
        <v>17298.5</v>
      </c>
      <c r="X264" s="32">
        <v>16719.75</v>
      </c>
      <c r="Y264" s="32">
        <v>16045.75</v>
      </c>
      <c r="Z264" s="32">
        <v>15322</v>
      </c>
      <c r="AA264" s="32">
        <v>14993.75</v>
      </c>
      <c r="AB264" s="23">
        <f t="shared" ref="AB264:AB265" si="65">SUM(D264:AA264)*B264</f>
        <v>1535373</v>
      </c>
      <c r="AC264" s="33"/>
    </row>
    <row r="265" spans="1:29" x14ac:dyDescent="0.25">
      <c r="A265" s="21" t="s">
        <v>40</v>
      </c>
      <c r="B265" s="22">
        <v>6</v>
      </c>
      <c r="C265" s="52"/>
      <c r="D265" s="32">
        <v>15121.333333333334</v>
      </c>
      <c r="E265" s="32">
        <v>14848.666666666666</v>
      </c>
      <c r="F265" s="32">
        <v>14451.166666666666</v>
      </c>
      <c r="G265" s="32">
        <v>13996.166666666666</v>
      </c>
      <c r="H265" s="32">
        <v>13943</v>
      </c>
      <c r="I265" s="32">
        <v>14275.666666666666</v>
      </c>
      <c r="J265" s="32">
        <v>14584.666666666666</v>
      </c>
      <c r="K265" s="32">
        <v>15149.666666666666</v>
      </c>
      <c r="L265" s="32">
        <v>15938.166666666666</v>
      </c>
      <c r="M265" s="32">
        <v>16488</v>
      </c>
      <c r="N265" s="32">
        <v>16898.833333333332</v>
      </c>
      <c r="O265" s="32">
        <v>17220.333333333332</v>
      </c>
      <c r="P265" s="32">
        <v>17098.166666666668</v>
      </c>
      <c r="Q265" s="32">
        <v>17095</v>
      </c>
      <c r="R265" s="32">
        <v>17426.5</v>
      </c>
      <c r="S265" s="32">
        <v>17517.833333333332</v>
      </c>
      <c r="T265" s="32">
        <v>17093</v>
      </c>
      <c r="U265" s="32">
        <v>16857.666666666668</v>
      </c>
      <c r="V265" s="32">
        <v>17345.666666666668</v>
      </c>
      <c r="W265" s="32">
        <v>17292.666666666668</v>
      </c>
      <c r="X265" s="32">
        <v>16714.166666666668</v>
      </c>
      <c r="Y265" s="32">
        <v>16040.166666666666</v>
      </c>
      <c r="Z265" s="32">
        <v>15316.333333333334</v>
      </c>
      <c r="AA265" s="32">
        <v>14988</v>
      </c>
      <c r="AB265" s="23">
        <f t="shared" si="65"/>
        <v>2302205.0000000005</v>
      </c>
      <c r="AC265" s="5">
        <f>+AB263+AB264+AB265</f>
        <v>11901370</v>
      </c>
    </row>
    <row r="266" spans="1:29" x14ac:dyDescent="0.25">
      <c r="A266" s="39"/>
    </row>
    <row r="267" spans="1:29" x14ac:dyDescent="0.25">
      <c r="A267" s="21" t="s">
        <v>38</v>
      </c>
      <c r="B267" s="22">
        <v>20</v>
      </c>
      <c r="C267" s="51">
        <v>47880</v>
      </c>
      <c r="D267" s="32">
        <v>15193.4</v>
      </c>
      <c r="E267" s="32">
        <v>14921.25</v>
      </c>
      <c r="F267" s="32">
        <v>14523.4</v>
      </c>
      <c r="G267" s="32">
        <v>14067</v>
      </c>
      <c r="H267" s="32">
        <v>14013.5</v>
      </c>
      <c r="I267" s="32">
        <v>14348.5</v>
      </c>
      <c r="J267" s="32">
        <v>14658.8</v>
      </c>
      <c r="K267" s="32">
        <v>15222.6</v>
      </c>
      <c r="L267" s="32">
        <v>16010.55</v>
      </c>
      <c r="M267" s="32">
        <v>16559</v>
      </c>
      <c r="N267" s="32">
        <v>16966.55</v>
      </c>
      <c r="O267" s="32">
        <v>17286.3</v>
      </c>
      <c r="P267" s="32">
        <v>17162.2</v>
      </c>
      <c r="Q267" s="32">
        <v>17160.650000000001</v>
      </c>
      <c r="R267" s="32">
        <v>17495.400000000001</v>
      </c>
      <c r="S267" s="32">
        <v>17588</v>
      </c>
      <c r="T267" s="32">
        <v>17164</v>
      </c>
      <c r="U267" s="32">
        <v>16926.75</v>
      </c>
      <c r="V267" s="32">
        <v>17412.150000000001</v>
      </c>
      <c r="W267" s="32">
        <v>17361.900000000001</v>
      </c>
      <c r="X267" s="32">
        <v>16779.900000000001</v>
      </c>
      <c r="Y267" s="32">
        <v>16106.25</v>
      </c>
      <c r="Z267" s="32">
        <v>15383</v>
      </c>
      <c r="AA267" s="32">
        <v>15056.5</v>
      </c>
      <c r="AB267" s="23">
        <f>SUM(D267:AA267)*B267</f>
        <v>7707351.0000000009</v>
      </c>
      <c r="AC267" s="33"/>
    </row>
    <row r="268" spans="1:29" x14ac:dyDescent="0.25">
      <c r="A268" s="21" t="s">
        <v>39</v>
      </c>
      <c r="B268" s="22">
        <v>4</v>
      </c>
      <c r="C268" s="52"/>
      <c r="D268" s="32">
        <v>15185</v>
      </c>
      <c r="E268" s="32">
        <v>14913</v>
      </c>
      <c r="F268" s="32">
        <v>14515</v>
      </c>
      <c r="G268" s="32">
        <v>14059</v>
      </c>
      <c r="H268" s="32">
        <v>14005.5</v>
      </c>
      <c r="I268" s="32">
        <v>14340</v>
      </c>
      <c r="J268" s="32">
        <v>14650.5</v>
      </c>
      <c r="K268" s="32">
        <v>15214.25</v>
      </c>
      <c r="L268" s="32">
        <v>16002.5</v>
      </c>
      <c r="M268" s="32">
        <v>16550.75</v>
      </c>
      <c r="N268" s="32">
        <v>16959</v>
      </c>
      <c r="O268" s="32">
        <v>17278.5</v>
      </c>
      <c r="P268" s="32">
        <v>17154.75</v>
      </c>
      <c r="Q268" s="32">
        <v>17153.5</v>
      </c>
      <c r="R268" s="32">
        <v>17487.5</v>
      </c>
      <c r="S268" s="32">
        <v>17580</v>
      </c>
      <c r="T268" s="32">
        <v>17156</v>
      </c>
      <c r="U268" s="32">
        <v>16919</v>
      </c>
      <c r="V268" s="32">
        <v>17404.5</v>
      </c>
      <c r="W268" s="32">
        <v>17354</v>
      </c>
      <c r="X268" s="32">
        <v>16772.5</v>
      </c>
      <c r="Y268" s="32">
        <v>16098.5</v>
      </c>
      <c r="Z268" s="32">
        <v>15375.25</v>
      </c>
      <c r="AA268" s="32">
        <v>15048.75</v>
      </c>
      <c r="AB268" s="23">
        <f t="shared" ref="AB268:AB269" si="66">SUM(D268:AA268)*B268</f>
        <v>1540709</v>
      </c>
      <c r="AC268" s="33"/>
    </row>
    <row r="269" spans="1:29" x14ac:dyDescent="0.25">
      <c r="A269" s="21" t="s">
        <v>40</v>
      </c>
      <c r="B269" s="22">
        <v>4</v>
      </c>
      <c r="C269" s="52"/>
      <c r="D269" s="32">
        <v>15187.25</v>
      </c>
      <c r="E269" s="32">
        <v>14915</v>
      </c>
      <c r="F269" s="32">
        <v>14517</v>
      </c>
      <c r="G269" s="32">
        <v>14061</v>
      </c>
      <c r="H269" s="32">
        <v>14007.5</v>
      </c>
      <c r="I269" s="32">
        <v>14342.5</v>
      </c>
      <c r="J269" s="32">
        <v>14652.5</v>
      </c>
      <c r="K269" s="32">
        <v>15216.25</v>
      </c>
      <c r="L269" s="32">
        <v>16004.5</v>
      </c>
      <c r="M269" s="32">
        <v>16553</v>
      </c>
      <c r="N269" s="32">
        <v>16961</v>
      </c>
      <c r="O269" s="32">
        <v>17280.5</v>
      </c>
      <c r="P269" s="32">
        <v>17156.5</v>
      </c>
      <c r="Q269" s="32">
        <v>17155.25</v>
      </c>
      <c r="R269" s="32">
        <v>17489.5</v>
      </c>
      <c r="S269" s="32">
        <v>17582</v>
      </c>
      <c r="T269" s="32">
        <v>17158</v>
      </c>
      <c r="U269" s="32">
        <v>16920.75</v>
      </c>
      <c r="V269" s="32">
        <v>17406.5</v>
      </c>
      <c r="W269" s="32">
        <v>17356</v>
      </c>
      <c r="X269" s="32">
        <v>16774.5</v>
      </c>
      <c r="Y269" s="32">
        <v>16100.5</v>
      </c>
      <c r="Z269" s="32">
        <v>15377.25</v>
      </c>
      <c r="AA269" s="32">
        <v>15050.5</v>
      </c>
      <c r="AB269" s="23">
        <f t="shared" si="66"/>
        <v>1540901</v>
      </c>
      <c r="AC269" s="5">
        <f>+AB267+AB268+AB269</f>
        <v>10788961</v>
      </c>
    </row>
    <row r="270" spans="1:29" x14ac:dyDescent="0.25">
      <c r="A270" s="39"/>
    </row>
    <row r="271" spans="1:29" x14ac:dyDescent="0.25">
      <c r="A271" s="21" t="s">
        <v>38</v>
      </c>
      <c r="B271" s="22">
        <v>20</v>
      </c>
      <c r="C271" s="51">
        <v>47908</v>
      </c>
      <c r="D271" s="32">
        <v>15251.7</v>
      </c>
      <c r="E271" s="32">
        <v>14979.9</v>
      </c>
      <c r="F271" s="32">
        <v>14581.8</v>
      </c>
      <c r="G271" s="32">
        <v>14124.35</v>
      </c>
      <c r="H271" s="32">
        <v>14070.7</v>
      </c>
      <c r="I271" s="32">
        <v>14407.4</v>
      </c>
      <c r="J271" s="32">
        <v>14719</v>
      </c>
      <c r="K271" s="32">
        <v>15281.65</v>
      </c>
      <c r="L271" s="32">
        <v>16069.4</v>
      </c>
      <c r="M271" s="32">
        <v>16615.7</v>
      </c>
      <c r="N271" s="32">
        <v>17021.45</v>
      </c>
      <c r="O271" s="32">
        <v>17339.55</v>
      </c>
      <c r="P271" s="32">
        <v>17214.150000000001</v>
      </c>
      <c r="Q271" s="32">
        <v>17214</v>
      </c>
      <c r="R271" s="32">
        <v>17551.3</v>
      </c>
      <c r="S271" s="32">
        <v>17645.7</v>
      </c>
      <c r="T271" s="32">
        <v>17220.7</v>
      </c>
      <c r="U271" s="32">
        <v>16982.650000000001</v>
      </c>
      <c r="V271" s="32">
        <v>17465.95</v>
      </c>
      <c r="W271" s="32">
        <v>17417.7</v>
      </c>
      <c r="X271" s="32">
        <v>16833.2</v>
      </c>
      <c r="Y271" s="32">
        <v>16159.55</v>
      </c>
      <c r="Z271" s="32">
        <v>15436.85</v>
      </c>
      <c r="AA271" s="32">
        <v>15111.95</v>
      </c>
      <c r="AB271" s="23">
        <f>SUM(D271:AA271)*B271</f>
        <v>7734326.0000000009</v>
      </c>
      <c r="AC271" s="33"/>
    </row>
    <row r="272" spans="1:29" x14ac:dyDescent="0.25">
      <c r="A272" s="21" t="s">
        <v>39</v>
      </c>
      <c r="B272" s="22">
        <v>5</v>
      </c>
      <c r="C272" s="52"/>
      <c r="D272" s="32">
        <v>15250</v>
      </c>
      <c r="E272" s="32">
        <v>14978.2</v>
      </c>
      <c r="F272" s="32">
        <v>14580.2</v>
      </c>
      <c r="G272" s="32">
        <v>14122.6</v>
      </c>
      <c r="H272" s="32">
        <v>14069</v>
      </c>
      <c r="I272" s="32">
        <v>14405.8</v>
      </c>
      <c r="J272" s="32">
        <v>14717</v>
      </c>
      <c r="K272" s="32">
        <v>15280</v>
      </c>
      <c r="L272" s="32">
        <v>16067.8</v>
      </c>
      <c r="M272" s="32">
        <v>16614</v>
      </c>
      <c r="N272" s="32">
        <v>17019.8</v>
      </c>
      <c r="O272" s="32">
        <v>17338</v>
      </c>
      <c r="P272" s="32">
        <v>17212.599999999999</v>
      </c>
      <c r="Q272" s="32">
        <v>17212.2</v>
      </c>
      <c r="R272" s="32">
        <v>17549.599999999999</v>
      </c>
      <c r="S272" s="32">
        <v>17643.8</v>
      </c>
      <c r="T272" s="32">
        <v>17219</v>
      </c>
      <c r="U272" s="32">
        <v>16981</v>
      </c>
      <c r="V272" s="32">
        <v>17464.400000000001</v>
      </c>
      <c r="W272" s="32">
        <v>17416</v>
      </c>
      <c r="X272" s="32">
        <v>16831.599999999999</v>
      </c>
      <c r="Y272" s="32">
        <v>16158</v>
      </c>
      <c r="Z272" s="32">
        <v>15435.4</v>
      </c>
      <c r="AA272" s="32">
        <v>15110.4</v>
      </c>
      <c r="AB272" s="23">
        <f t="shared" ref="AB272:AB273" si="67">SUM(D272:AA272)*B272</f>
        <v>1933382</v>
      </c>
      <c r="AC272" s="33"/>
    </row>
    <row r="273" spans="1:29" x14ac:dyDescent="0.25">
      <c r="A273" s="21" t="s">
        <v>40</v>
      </c>
      <c r="B273" s="22">
        <v>6</v>
      </c>
      <c r="C273" s="52"/>
      <c r="D273" s="32">
        <v>15254.833333333334</v>
      </c>
      <c r="E273" s="32">
        <v>14983</v>
      </c>
      <c r="F273" s="32">
        <v>14585</v>
      </c>
      <c r="G273" s="32">
        <v>14127.333333333334</v>
      </c>
      <c r="H273" s="32">
        <v>14073.666666666666</v>
      </c>
      <c r="I273" s="32">
        <v>14410.5</v>
      </c>
      <c r="J273" s="32">
        <v>14722</v>
      </c>
      <c r="K273" s="32">
        <v>15284.833333333334</v>
      </c>
      <c r="L273" s="32">
        <v>16072.5</v>
      </c>
      <c r="M273" s="32">
        <v>16618.666666666668</v>
      </c>
      <c r="N273" s="32">
        <v>17024.333333333332</v>
      </c>
      <c r="O273" s="32">
        <v>17342.5</v>
      </c>
      <c r="P273" s="32">
        <v>17216.833333333332</v>
      </c>
      <c r="Q273" s="32">
        <v>17216.5</v>
      </c>
      <c r="R273" s="32">
        <v>17554.166666666668</v>
      </c>
      <c r="S273" s="32">
        <v>17648.5</v>
      </c>
      <c r="T273" s="32">
        <v>17223.666666666668</v>
      </c>
      <c r="U273" s="32">
        <v>16985.666666666668</v>
      </c>
      <c r="V273" s="32">
        <v>17468.666666666668</v>
      </c>
      <c r="W273" s="32">
        <v>17420.666666666668</v>
      </c>
      <c r="X273" s="32">
        <v>16835.833333333332</v>
      </c>
      <c r="Y273" s="32">
        <v>16162.333333333334</v>
      </c>
      <c r="Z273" s="32">
        <v>15439.833333333334</v>
      </c>
      <c r="AA273" s="32">
        <v>15115</v>
      </c>
      <c r="AB273" s="23">
        <f t="shared" si="67"/>
        <v>2320721</v>
      </c>
      <c r="AC273" s="5">
        <f>+AB271+AB272+AB273</f>
        <v>11988429</v>
      </c>
    </row>
    <row r="274" spans="1:29" x14ac:dyDescent="0.25">
      <c r="A274" s="39"/>
    </row>
    <row r="275" spans="1:29" x14ac:dyDescent="0.25">
      <c r="A275" s="21" t="s">
        <v>38</v>
      </c>
      <c r="B275" s="22">
        <v>20</v>
      </c>
      <c r="C275" s="51">
        <v>47939</v>
      </c>
      <c r="D275" s="32">
        <v>15315.4</v>
      </c>
      <c r="E275" s="32">
        <v>15044</v>
      </c>
      <c r="F275" s="32">
        <v>14645.75</v>
      </c>
      <c r="G275" s="32">
        <v>14186.6</v>
      </c>
      <c r="H275" s="32">
        <v>14133.35</v>
      </c>
      <c r="I275" s="32">
        <v>14471.55</v>
      </c>
      <c r="J275" s="32">
        <v>14784.55</v>
      </c>
      <c r="K275" s="32">
        <v>15346.25</v>
      </c>
      <c r="L275" s="32">
        <v>16133.55</v>
      </c>
      <c r="M275" s="32">
        <v>16678.2</v>
      </c>
      <c r="N275" s="32">
        <v>17081.349999999999</v>
      </c>
      <c r="O275" s="32">
        <v>17397.8</v>
      </c>
      <c r="P275" s="32">
        <v>17270.849999999999</v>
      </c>
      <c r="Q275" s="32">
        <v>17271.900000000001</v>
      </c>
      <c r="R275" s="32">
        <v>17612.2</v>
      </c>
      <c r="S275" s="32">
        <v>17707.599999999999</v>
      </c>
      <c r="T275" s="32">
        <v>17283.400000000001</v>
      </c>
      <c r="U275" s="32">
        <v>17043.599999999999</v>
      </c>
      <c r="V275" s="32">
        <v>17524.599999999999</v>
      </c>
      <c r="W275" s="32">
        <v>17478.95</v>
      </c>
      <c r="X275" s="32">
        <v>16891.349999999999</v>
      </c>
      <c r="Y275" s="32">
        <v>16217.85</v>
      </c>
      <c r="Z275" s="32">
        <v>15495.75</v>
      </c>
      <c r="AA275" s="32">
        <v>15172.4</v>
      </c>
      <c r="AB275" s="23">
        <f>SUM(D275:AA275)*B275</f>
        <v>7763776</v>
      </c>
      <c r="AC275" s="33"/>
    </row>
    <row r="276" spans="1:29" x14ac:dyDescent="0.25">
      <c r="A276" s="21" t="s">
        <v>39</v>
      </c>
      <c r="B276" s="22">
        <v>4</v>
      </c>
      <c r="C276" s="52"/>
      <c r="D276" s="32">
        <v>15314.75</v>
      </c>
      <c r="E276" s="32">
        <v>15043.5</v>
      </c>
      <c r="F276" s="32">
        <v>14645</v>
      </c>
      <c r="G276" s="32">
        <v>14186</v>
      </c>
      <c r="H276" s="32">
        <v>14132.75</v>
      </c>
      <c r="I276" s="32">
        <v>14471</v>
      </c>
      <c r="J276" s="32">
        <v>14783.75</v>
      </c>
      <c r="K276" s="32">
        <v>15345.5</v>
      </c>
      <c r="L276" s="32">
        <v>16133</v>
      </c>
      <c r="M276" s="32">
        <v>16677.5</v>
      </c>
      <c r="N276" s="32">
        <v>17080.5</v>
      </c>
      <c r="O276" s="32">
        <v>17397.5</v>
      </c>
      <c r="P276" s="32">
        <v>17270.5</v>
      </c>
      <c r="Q276" s="32">
        <v>17271.5</v>
      </c>
      <c r="R276" s="32">
        <v>17611.75</v>
      </c>
      <c r="S276" s="32">
        <v>17707</v>
      </c>
      <c r="T276" s="32">
        <v>17283</v>
      </c>
      <c r="U276" s="32">
        <v>17043</v>
      </c>
      <c r="V276" s="32">
        <v>17524</v>
      </c>
      <c r="W276" s="32">
        <v>17478.25</v>
      </c>
      <c r="X276" s="32">
        <v>16890.5</v>
      </c>
      <c r="Y276" s="32">
        <v>16217.5</v>
      </c>
      <c r="Z276" s="32">
        <v>15495.25</v>
      </c>
      <c r="AA276" s="32">
        <v>15171.75</v>
      </c>
      <c r="AB276" s="23">
        <f t="shared" ref="AB276:AB277" si="68">SUM(D276:AA276)*B276</f>
        <v>1552699</v>
      </c>
      <c r="AC276" s="33"/>
    </row>
    <row r="277" spans="1:29" x14ac:dyDescent="0.25">
      <c r="A277" s="21" t="s">
        <v>40</v>
      </c>
      <c r="B277" s="22">
        <v>6</v>
      </c>
      <c r="C277" s="52"/>
      <c r="D277" s="32">
        <v>15313</v>
      </c>
      <c r="E277" s="32">
        <v>15041.333333333334</v>
      </c>
      <c r="F277" s="32">
        <v>14643</v>
      </c>
      <c r="G277" s="32">
        <v>14184</v>
      </c>
      <c r="H277" s="32">
        <v>14130.833333333334</v>
      </c>
      <c r="I277" s="32">
        <v>14469</v>
      </c>
      <c r="J277" s="32">
        <v>14781.666666666666</v>
      </c>
      <c r="K277" s="32">
        <v>15343.5</v>
      </c>
      <c r="L277" s="32">
        <v>16131</v>
      </c>
      <c r="M277" s="32">
        <v>16675.333333333332</v>
      </c>
      <c r="N277" s="32">
        <v>17078.666666666668</v>
      </c>
      <c r="O277" s="32">
        <v>17395.5</v>
      </c>
      <c r="P277" s="32">
        <v>17268.5</v>
      </c>
      <c r="Q277" s="32">
        <v>17269.666666666668</v>
      </c>
      <c r="R277" s="32">
        <v>17609.833333333332</v>
      </c>
      <c r="S277" s="32">
        <v>17705</v>
      </c>
      <c r="T277" s="32">
        <v>17281</v>
      </c>
      <c r="U277" s="32">
        <v>17041</v>
      </c>
      <c r="V277" s="32">
        <v>17522.333333333332</v>
      </c>
      <c r="W277" s="32">
        <v>17476.166666666668</v>
      </c>
      <c r="X277" s="32">
        <v>16888.666666666668</v>
      </c>
      <c r="Y277" s="32">
        <v>16215.5</v>
      </c>
      <c r="Z277" s="32">
        <v>15493.333333333334</v>
      </c>
      <c r="AA277" s="32">
        <v>15169.833333333334</v>
      </c>
      <c r="AB277" s="23">
        <f t="shared" si="68"/>
        <v>2328766</v>
      </c>
      <c r="AC277" s="5">
        <f>+AB275+AB276+AB277</f>
        <v>11645241</v>
      </c>
    </row>
    <row r="278" spans="1:29" x14ac:dyDescent="0.25">
      <c r="A278" s="39"/>
    </row>
    <row r="279" spans="1:29" x14ac:dyDescent="0.25">
      <c r="A279" s="21" t="s">
        <v>38</v>
      </c>
      <c r="B279" s="26">
        <v>20</v>
      </c>
      <c r="C279" s="51">
        <v>47969</v>
      </c>
      <c r="D279" s="32">
        <v>15378.3</v>
      </c>
      <c r="E279" s="32">
        <v>15107.25</v>
      </c>
      <c r="F279" s="32">
        <v>14708.6</v>
      </c>
      <c r="G279" s="32">
        <v>14248.6</v>
      </c>
      <c r="H279" s="32">
        <v>14194.65</v>
      </c>
      <c r="I279" s="32">
        <v>14534.95</v>
      </c>
      <c r="J279" s="32">
        <v>14849.1</v>
      </c>
      <c r="K279" s="32">
        <v>15409.75</v>
      </c>
      <c r="L279" s="32">
        <v>16196.8</v>
      </c>
      <c r="M279" s="32">
        <v>16739.599999999999</v>
      </c>
      <c r="N279" s="32">
        <v>17140.2</v>
      </c>
      <c r="O279" s="32">
        <v>17455.2</v>
      </c>
      <c r="P279" s="32">
        <v>17326.8</v>
      </c>
      <c r="Q279" s="32">
        <v>17329.2</v>
      </c>
      <c r="R279" s="32">
        <v>17672.400000000001</v>
      </c>
      <c r="S279" s="32">
        <v>17769.599999999999</v>
      </c>
      <c r="T279" s="32">
        <v>17344.599999999999</v>
      </c>
      <c r="U279" s="32">
        <v>17103.75</v>
      </c>
      <c r="V279" s="32">
        <v>17582.45</v>
      </c>
      <c r="W279" s="32">
        <v>17539.3</v>
      </c>
      <c r="X279" s="32">
        <v>16948.45</v>
      </c>
      <c r="Y279" s="32">
        <v>16275.25</v>
      </c>
      <c r="Z279" s="32">
        <v>15553.85</v>
      </c>
      <c r="AA279" s="32">
        <v>15232.1</v>
      </c>
      <c r="AB279" s="23">
        <f>SUM(D279:AA279)*B279</f>
        <v>7792815</v>
      </c>
      <c r="AC279" s="33"/>
    </row>
    <row r="280" spans="1:29" x14ac:dyDescent="0.25">
      <c r="A280" s="21" t="s">
        <v>39</v>
      </c>
      <c r="B280" s="26">
        <v>5</v>
      </c>
      <c r="C280" s="52"/>
      <c r="D280" s="32">
        <v>15379.8</v>
      </c>
      <c r="E280" s="32">
        <v>15108.8</v>
      </c>
      <c r="F280" s="32">
        <v>14710.2</v>
      </c>
      <c r="G280" s="32">
        <v>14250</v>
      </c>
      <c r="H280" s="32">
        <v>14196.2</v>
      </c>
      <c r="I280" s="32">
        <v>14536.2</v>
      </c>
      <c r="J280" s="32">
        <v>14850.6</v>
      </c>
      <c r="K280" s="32">
        <v>15411.2</v>
      </c>
      <c r="L280" s="32">
        <v>16198.2</v>
      </c>
      <c r="M280" s="32">
        <v>16741</v>
      </c>
      <c r="N280" s="32">
        <v>17141.8</v>
      </c>
      <c r="O280" s="32">
        <v>17456.599999999999</v>
      </c>
      <c r="P280" s="32">
        <v>17328</v>
      </c>
      <c r="Q280" s="32">
        <v>17330.400000000001</v>
      </c>
      <c r="R280" s="32">
        <v>17673.8</v>
      </c>
      <c r="S280" s="32">
        <v>17771</v>
      </c>
      <c r="T280" s="32">
        <v>17346</v>
      </c>
      <c r="U280" s="32">
        <v>17105.2</v>
      </c>
      <c r="V280" s="32">
        <v>17583.8</v>
      </c>
      <c r="W280" s="32">
        <v>17540.599999999999</v>
      </c>
      <c r="X280" s="32">
        <v>16950</v>
      </c>
      <c r="Y280" s="32">
        <v>16276.6</v>
      </c>
      <c r="Z280" s="32">
        <v>15555</v>
      </c>
      <c r="AA280" s="32">
        <v>15233.4</v>
      </c>
      <c r="AB280" s="23">
        <f t="shared" ref="AB280:AB281" si="69">SUM(D280:AA280)*B280</f>
        <v>1948371.9999999998</v>
      </c>
      <c r="AC280" s="33"/>
    </row>
    <row r="281" spans="1:29" x14ac:dyDescent="0.25">
      <c r="A281" s="21" t="s">
        <v>40</v>
      </c>
      <c r="B281" s="26">
        <v>6</v>
      </c>
      <c r="C281" s="52"/>
      <c r="D281" s="32">
        <v>15373.833333333334</v>
      </c>
      <c r="E281" s="32">
        <v>15102.833333333334</v>
      </c>
      <c r="F281" s="32">
        <v>14704.333333333334</v>
      </c>
      <c r="G281" s="32">
        <v>14244.333333333334</v>
      </c>
      <c r="H281" s="32">
        <v>14190.333333333334</v>
      </c>
      <c r="I281" s="32">
        <v>14530.333333333334</v>
      </c>
      <c r="J281" s="32">
        <v>14844.833333333334</v>
      </c>
      <c r="K281" s="32">
        <v>15405.333333333334</v>
      </c>
      <c r="L281" s="32">
        <v>16192.333333333334</v>
      </c>
      <c r="M281" s="32">
        <v>16735.333333333332</v>
      </c>
      <c r="N281" s="32">
        <v>17136.166666666668</v>
      </c>
      <c r="O281" s="32">
        <v>17451</v>
      </c>
      <c r="P281" s="32">
        <v>17323</v>
      </c>
      <c r="Q281" s="32">
        <v>17324.833333333332</v>
      </c>
      <c r="R281" s="32">
        <v>17668</v>
      </c>
      <c r="S281" s="32">
        <v>17765.166666666668</v>
      </c>
      <c r="T281" s="32">
        <v>17340.333333333332</v>
      </c>
      <c r="U281" s="32">
        <v>17099.666666666668</v>
      </c>
      <c r="V281" s="32">
        <v>17578.333333333332</v>
      </c>
      <c r="W281" s="32">
        <v>17535</v>
      </c>
      <c r="X281" s="32">
        <v>16944.666666666668</v>
      </c>
      <c r="Y281" s="32">
        <v>16271.5</v>
      </c>
      <c r="Z281" s="32">
        <v>15549.666666666666</v>
      </c>
      <c r="AA281" s="32">
        <v>15227.833333333334</v>
      </c>
      <c r="AB281" s="23">
        <f t="shared" si="69"/>
        <v>2337234</v>
      </c>
      <c r="AC281" s="5">
        <f>+AB279+AB280+AB281</f>
        <v>12078421</v>
      </c>
    </row>
    <row r="282" spans="1:29" x14ac:dyDescent="0.25">
      <c r="A282" s="39"/>
    </row>
    <row r="283" spans="1:29" x14ac:dyDescent="0.25">
      <c r="A283" s="21" t="s">
        <v>38</v>
      </c>
      <c r="B283" s="22">
        <v>18</v>
      </c>
      <c r="C283" s="51">
        <v>48000</v>
      </c>
      <c r="D283" s="32">
        <v>15437.333333333334</v>
      </c>
      <c r="E283" s="32">
        <v>15166.555555555555</v>
      </c>
      <c r="F283" s="32">
        <v>14767.833333333334</v>
      </c>
      <c r="G283" s="32">
        <v>14306.222222222223</v>
      </c>
      <c r="H283" s="32">
        <v>14252.888888888889</v>
      </c>
      <c r="I283" s="32">
        <v>14594.333333333334</v>
      </c>
      <c r="J283" s="32">
        <v>14909.888888888889</v>
      </c>
      <c r="K283" s="32">
        <v>15469.555555555555</v>
      </c>
      <c r="L283" s="32">
        <v>16256.277777777777</v>
      </c>
      <c r="M283" s="32">
        <v>16797</v>
      </c>
      <c r="N283" s="32">
        <v>17195.5</v>
      </c>
      <c r="O283" s="32">
        <v>17509.222222222223</v>
      </c>
      <c r="P283" s="32">
        <v>17379.333333333332</v>
      </c>
      <c r="Q283" s="32">
        <v>17382.722222222223</v>
      </c>
      <c r="R283" s="32">
        <v>17728.888888888891</v>
      </c>
      <c r="S283" s="32">
        <v>17826.888888888891</v>
      </c>
      <c r="T283" s="32">
        <v>17402.611111111109</v>
      </c>
      <c r="U283" s="32">
        <v>17160.333333333332</v>
      </c>
      <c r="V283" s="32">
        <v>17636.777777777777</v>
      </c>
      <c r="W283" s="32">
        <v>17595.888888888891</v>
      </c>
      <c r="X283" s="32">
        <v>17002.444444444445</v>
      </c>
      <c r="Y283" s="32">
        <v>16329.333333333334</v>
      </c>
      <c r="Z283" s="32">
        <v>15608.222222222223</v>
      </c>
      <c r="AA283" s="32">
        <v>15288.166666666666</v>
      </c>
      <c r="AB283" s="23">
        <f>SUM(D283:AA283)*B283</f>
        <v>7038075.9999999991</v>
      </c>
      <c r="AC283" s="33"/>
    </row>
    <row r="284" spans="1:29" x14ac:dyDescent="0.25">
      <c r="A284" s="21" t="s">
        <v>39</v>
      </c>
      <c r="B284" s="22">
        <v>4</v>
      </c>
      <c r="C284" s="52"/>
      <c r="D284" s="32">
        <v>15444.5</v>
      </c>
      <c r="E284" s="32">
        <v>15174</v>
      </c>
      <c r="F284" s="32">
        <v>14775</v>
      </c>
      <c r="G284" s="32">
        <v>14313.5</v>
      </c>
      <c r="H284" s="32">
        <v>14260</v>
      </c>
      <c r="I284" s="32">
        <v>14601.75</v>
      </c>
      <c r="J284" s="32">
        <v>14917.5</v>
      </c>
      <c r="K284" s="32">
        <v>15477</v>
      </c>
      <c r="L284" s="32">
        <v>16263.5</v>
      </c>
      <c r="M284" s="32">
        <v>16804.25</v>
      </c>
      <c r="N284" s="32">
        <v>17202.5</v>
      </c>
      <c r="O284" s="32">
        <v>17515.75</v>
      </c>
      <c r="P284" s="32">
        <v>17385.75</v>
      </c>
      <c r="Q284" s="32">
        <v>17389.5</v>
      </c>
      <c r="R284" s="32">
        <v>17735.75</v>
      </c>
      <c r="S284" s="32">
        <v>17834</v>
      </c>
      <c r="T284" s="32">
        <v>17410</v>
      </c>
      <c r="U284" s="32">
        <v>17167.25</v>
      </c>
      <c r="V284" s="32">
        <v>17643.5</v>
      </c>
      <c r="W284" s="32">
        <v>17603</v>
      </c>
      <c r="X284" s="32">
        <v>17009</v>
      </c>
      <c r="Y284" s="32">
        <v>16336</v>
      </c>
      <c r="Z284" s="32">
        <v>15615</v>
      </c>
      <c r="AA284" s="32">
        <v>15295.25</v>
      </c>
      <c r="AB284" s="23">
        <f t="shared" ref="AB284:AB285" si="70">SUM(D284:AA284)*B284</f>
        <v>1564693</v>
      </c>
      <c r="AC284" s="33"/>
    </row>
    <row r="285" spans="1:29" x14ac:dyDescent="0.25">
      <c r="A285" s="21" t="s">
        <v>40</v>
      </c>
      <c r="B285" s="22">
        <v>8</v>
      </c>
      <c r="C285" s="52"/>
      <c r="D285" s="32">
        <v>15445.625</v>
      </c>
      <c r="E285" s="32">
        <v>15175</v>
      </c>
      <c r="F285" s="32">
        <v>14776.125</v>
      </c>
      <c r="G285" s="32">
        <v>14314.5</v>
      </c>
      <c r="H285" s="32">
        <v>14261</v>
      </c>
      <c r="I285" s="32">
        <v>14602.875</v>
      </c>
      <c r="J285" s="32">
        <v>14918.375</v>
      </c>
      <c r="K285" s="32">
        <v>15478</v>
      </c>
      <c r="L285" s="32">
        <v>16264.5</v>
      </c>
      <c r="M285" s="32">
        <v>16805.25</v>
      </c>
      <c r="N285" s="32">
        <v>17203.625</v>
      </c>
      <c r="O285" s="32">
        <v>17516.625</v>
      </c>
      <c r="P285" s="32">
        <v>17386.75</v>
      </c>
      <c r="Q285" s="32">
        <v>17390.625</v>
      </c>
      <c r="R285" s="32">
        <v>17736.75</v>
      </c>
      <c r="S285" s="32">
        <v>17835.125</v>
      </c>
      <c r="T285" s="32">
        <v>17410.875</v>
      </c>
      <c r="U285" s="32">
        <v>17168.25</v>
      </c>
      <c r="V285" s="32">
        <v>17644.5</v>
      </c>
      <c r="W285" s="32">
        <v>17604</v>
      </c>
      <c r="X285" s="32">
        <v>17009.75</v>
      </c>
      <c r="Y285" s="32">
        <v>16336.875</v>
      </c>
      <c r="Z285" s="32">
        <v>15616</v>
      </c>
      <c r="AA285" s="32">
        <v>15296</v>
      </c>
      <c r="AB285" s="23">
        <f t="shared" si="70"/>
        <v>3129576</v>
      </c>
      <c r="AC285" s="5">
        <f>+AB283+AB284+AB285</f>
        <v>11732345</v>
      </c>
    </row>
    <row r="286" spans="1:29" x14ac:dyDescent="0.25">
      <c r="A286" s="39"/>
    </row>
    <row r="287" spans="1:29" x14ac:dyDescent="0.25">
      <c r="A287" s="21" t="s">
        <v>38</v>
      </c>
      <c r="B287" s="22">
        <v>23</v>
      </c>
      <c r="C287" s="51">
        <v>48030</v>
      </c>
      <c r="D287" s="32">
        <v>15503.347826086956</v>
      </c>
      <c r="E287" s="32">
        <v>15232.95652173913</v>
      </c>
      <c r="F287" s="32">
        <v>14833.91304347826</v>
      </c>
      <c r="G287" s="32">
        <v>14371</v>
      </c>
      <c r="H287" s="32">
        <v>14317.391304347826</v>
      </c>
      <c r="I287" s="32">
        <v>14660.869565217392</v>
      </c>
      <c r="J287" s="32">
        <v>14977.826086956522</v>
      </c>
      <c r="K287" s="32">
        <v>15536.347826086956</v>
      </c>
      <c r="L287" s="32">
        <v>16322.782608695652</v>
      </c>
      <c r="M287" s="32">
        <v>16862</v>
      </c>
      <c r="N287" s="32">
        <v>17257.565217391304</v>
      </c>
      <c r="O287" s="32">
        <v>17569.478260869564</v>
      </c>
      <c r="P287" s="32">
        <v>17438.08695652174</v>
      </c>
      <c r="Q287" s="32">
        <v>17442.956521739132</v>
      </c>
      <c r="R287" s="32">
        <v>17791.956521739132</v>
      </c>
      <c r="S287" s="32">
        <v>17892</v>
      </c>
      <c r="T287" s="32">
        <v>17467</v>
      </c>
      <c r="U287" s="32">
        <v>17223.608695652172</v>
      </c>
      <c r="V287" s="32">
        <v>17697.565217391304</v>
      </c>
      <c r="W287" s="32">
        <v>17659.130434782608</v>
      </c>
      <c r="X287" s="32">
        <v>17062.521739130436</v>
      </c>
      <c r="Y287" s="32">
        <v>16389.652173913044</v>
      </c>
      <c r="Z287" s="32">
        <v>15669.217391304348</v>
      </c>
      <c r="AA287" s="32">
        <v>15350.695652173914</v>
      </c>
      <c r="AB287" s="23">
        <f>SUM(D287:AA287)*B287</f>
        <v>9028186.9999999981</v>
      </c>
      <c r="AC287" s="33"/>
    </row>
    <row r="288" spans="1:29" x14ac:dyDescent="0.25">
      <c r="A288" s="21" t="s">
        <v>39</v>
      </c>
      <c r="B288" s="22">
        <v>4</v>
      </c>
      <c r="C288" s="52"/>
      <c r="D288" s="32">
        <v>15502.5</v>
      </c>
      <c r="E288" s="32">
        <v>15232</v>
      </c>
      <c r="F288" s="32">
        <v>14833</v>
      </c>
      <c r="G288" s="32">
        <v>14370</v>
      </c>
      <c r="H288" s="32">
        <v>14316.25</v>
      </c>
      <c r="I288" s="32">
        <v>14660</v>
      </c>
      <c r="J288" s="32">
        <v>14976.5</v>
      </c>
      <c r="K288" s="32">
        <v>15535.25</v>
      </c>
      <c r="L288" s="32">
        <v>16321.5</v>
      </c>
      <c r="M288" s="32">
        <v>16861</v>
      </c>
      <c r="N288" s="32">
        <v>17256.5</v>
      </c>
      <c r="O288" s="32">
        <v>17568.5</v>
      </c>
      <c r="P288" s="32">
        <v>17437.25</v>
      </c>
      <c r="Q288" s="32">
        <v>17442</v>
      </c>
      <c r="R288" s="32">
        <v>17791</v>
      </c>
      <c r="S288" s="32">
        <v>17891</v>
      </c>
      <c r="T288" s="32">
        <v>17466</v>
      </c>
      <c r="U288" s="32">
        <v>17222.5</v>
      </c>
      <c r="V288" s="32">
        <v>17696.75</v>
      </c>
      <c r="W288" s="32">
        <v>17658</v>
      </c>
      <c r="X288" s="32">
        <v>17061.5</v>
      </c>
      <c r="Y288" s="32">
        <v>16388.5</v>
      </c>
      <c r="Z288" s="32">
        <v>15668.25</v>
      </c>
      <c r="AA288" s="32">
        <v>15349.75</v>
      </c>
      <c r="AB288" s="23">
        <f t="shared" ref="AB288:AB289" si="71">SUM(D288:AA288)*B288</f>
        <v>1570022</v>
      </c>
      <c r="AC288" s="33"/>
    </row>
    <row r="289" spans="1:29" x14ac:dyDescent="0.25">
      <c r="A289" s="21" t="s">
        <v>40</v>
      </c>
      <c r="B289" s="22">
        <v>4</v>
      </c>
      <c r="C289" s="52"/>
      <c r="D289" s="32">
        <v>15504.5</v>
      </c>
      <c r="E289" s="32">
        <v>15234</v>
      </c>
      <c r="F289" s="32">
        <v>14835</v>
      </c>
      <c r="G289" s="32">
        <v>14372</v>
      </c>
      <c r="H289" s="32">
        <v>14318.25</v>
      </c>
      <c r="I289" s="32">
        <v>14662</v>
      </c>
      <c r="J289" s="32">
        <v>14978.75</v>
      </c>
      <c r="K289" s="32">
        <v>15537.5</v>
      </c>
      <c r="L289" s="32">
        <v>16323.75</v>
      </c>
      <c r="M289" s="32">
        <v>16863</v>
      </c>
      <c r="N289" s="32">
        <v>17258.5</v>
      </c>
      <c r="O289" s="32">
        <v>17570.5</v>
      </c>
      <c r="P289" s="32">
        <v>17439</v>
      </c>
      <c r="Q289" s="32">
        <v>17443.75</v>
      </c>
      <c r="R289" s="32">
        <v>17793</v>
      </c>
      <c r="S289" s="32">
        <v>17893</v>
      </c>
      <c r="T289" s="32">
        <v>17468</v>
      </c>
      <c r="U289" s="32">
        <v>17224.5</v>
      </c>
      <c r="V289" s="32">
        <v>17698.5</v>
      </c>
      <c r="W289" s="32">
        <v>17660</v>
      </c>
      <c r="X289" s="32">
        <v>17063.5</v>
      </c>
      <c r="Y289" s="32">
        <v>16390.5</v>
      </c>
      <c r="Z289" s="32">
        <v>15670.25</v>
      </c>
      <c r="AA289" s="32">
        <v>15351.75</v>
      </c>
      <c r="AB289" s="23">
        <f t="shared" si="71"/>
        <v>1570214</v>
      </c>
      <c r="AC289" s="5">
        <f>+AB287+AB288+AB289</f>
        <v>12168422.999999998</v>
      </c>
    </row>
    <row r="290" spans="1:29" x14ac:dyDescent="0.25">
      <c r="A290" s="43"/>
      <c r="B290" s="26"/>
      <c r="C290" s="26"/>
      <c r="AB290" s="44"/>
      <c r="AC290" s="32"/>
    </row>
    <row r="291" spans="1:29" x14ac:dyDescent="0.25">
      <c r="A291" s="21" t="s">
        <v>38</v>
      </c>
      <c r="B291" s="22">
        <v>19</v>
      </c>
      <c r="C291" s="51">
        <v>48061</v>
      </c>
      <c r="D291" s="32">
        <v>15567.473684210527</v>
      </c>
      <c r="E291" s="32">
        <v>15297.368421052632</v>
      </c>
      <c r="F291" s="32">
        <v>14898.157894736842</v>
      </c>
      <c r="G291" s="32">
        <v>14434</v>
      </c>
      <c r="H291" s="32">
        <v>14380.21052631579</v>
      </c>
      <c r="I291" s="32">
        <v>14725.421052631578</v>
      </c>
      <c r="J291" s="32">
        <v>15043.736842105263</v>
      </c>
      <c r="K291" s="32">
        <v>15601.21052631579</v>
      </c>
      <c r="L291" s="32">
        <v>16387.21052631579</v>
      </c>
      <c r="M291" s="32">
        <v>16924.21052631579</v>
      </c>
      <c r="N291" s="32">
        <v>17317.736842105263</v>
      </c>
      <c r="O291" s="32">
        <v>17627.894736842107</v>
      </c>
      <c r="P291" s="32">
        <v>17495.052631578947</v>
      </c>
      <c r="Q291" s="32">
        <v>17501.263157894737</v>
      </c>
      <c r="R291" s="32">
        <v>17853.21052631579</v>
      </c>
      <c r="S291" s="32">
        <v>17954.263157894737</v>
      </c>
      <c r="T291" s="32">
        <v>17529.947368421053</v>
      </c>
      <c r="U291" s="32">
        <v>17284.947368421053</v>
      </c>
      <c r="V291" s="32">
        <v>17756.57894736842</v>
      </c>
      <c r="W291" s="32">
        <v>17720.684210526317</v>
      </c>
      <c r="X291" s="32">
        <v>17120.842105263157</v>
      </c>
      <c r="Y291" s="32">
        <v>16448.263157894737</v>
      </c>
      <c r="Z291" s="32">
        <v>15728.368421052632</v>
      </c>
      <c r="AA291" s="32">
        <v>15411.631578947368</v>
      </c>
      <c r="AB291" s="23">
        <f>SUM(D291:AA291)*B291</f>
        <v>7486184</v>
      </c>
      <c r="AC291" s="33"/>
    </row>
    <row r="292" spans="1:29" x14ac:dyDescent="0.25">
      <c r="A292" s="21" t="s">
        <v>39</v>
      </c>
      <c r="B292" s="22">
        <v>5</v>
      </c>
      <c r="C292" s="52"/>
      <c r="D292" s="32">
        <v>15567.2</v>
      </c>
      <c r="E292" s="32">
        <v>15297.2</v>
      </c>
      <c r="F292" s="32">
        <v>14897.8</v>
      </c>
      <c r="G292" s="32">
        <v>14433.8</v>
      </c>
      <c r="H292" s="32">
        <v>14380</v>
      </c>
      <c r="I292" s="32">
        <v>14725.2</v>
      </c>
      <c r="J292" s="32">
        <v>15043.4</v>
      </c>
      <c r="K292" s="32">
        <v>15601</v>
      </c>
      <c r="L292" s="32">
        <v>16386.8</v>
      </c>
      <c r="M292" s="32">
        <v>16924</v>
      </c>
      <c r="N292" s="32">
        <v>17317.400000000001</v>
      </c>
      <c r="O292" s="32">
        <v>17627.8</v>
      </c>
      <c r="P292" s="32">
        <v>17495</v>
      </c>
      <c r="Q292" s="32">
        <v>17501</v>
      </c>
      <c r="R292" s="32">
        <v>17853</v>
      </c>
      <c r="S292" s="32">
        <v>17954.2</v>
      </c>
      <c r="T292" s="32">
        <v>17529.599999999999</v>
      </c>
      <c r="U292" s="32">
        <v>17284.8</v>
      </c>
      <c r="V292" s="32">
        <v>17756.400000000001</v>
      </c>
      <c r="W292" s="32">
        <v>17720.400000000001</v>
      </c>
      <c r="X292" s="32">
        <v>17120.8</v>
      </c>
      <c r="Y292" s="32">
        <v>16448</v>
      </c>
      <c r="Z292" s="32">
        <v>15728.2</v>
      </c>
      <c r="AA292" s="32">
        <v>15411.4</v>
      </c>
      <c r="AB292" s="23">
        <f t="shared" ref="AB292:AB293" si="72">SUM(D292:AA292)*B292</f>
        <v>1970022</v>
      </c>
      <c r="AC292" s="33"/>
    </row>
    <row r="293" spans="1:29" x14ac:dyDescent="0.25">
      <c r="A293" s="21" t="s">
        <v>40</v>
      </c>
      <c r="B293" s="22">
        <v>7</v>
      </c>
      <c r="C293" s="52"/>
      <c r="D293" s="32">
        <v>15566.571428571429</v>
      </c>
      <c r="E293" s="32">
        <v>15296.571428571429</v>
      </c>
      <c r="F293" s="32">
        <v>14897.285714285714</v>
      </c>
      <c r="G293" s="32">
        <v>14433.142857142857</v>
      </c>
      <c r="H293" s="32">
        <v>14379.428571428571</v>
      </c>
      <c r="I293" s="32">
        <v>14724.571428571429</v>
      </c>
      <c r="J293" s="32">
        <v>15042.857142857143</v>
      </c>
      <c r="K293" s="32">
        <v>15600.285714285714</v>
      </c>
      <c r="L293" s="32">
        <v>16386.428571428572</v>
      </c>
      <c r="M293" s="32">
        <v>16923.428571428572</v>
      </c>
      <c r="N293" s="32">
        <v>17316.714285714286</v>
      </c>
      <c r="O293" s="32">
        <v>17627.285714285714</v>
      </c>
      <c r="P293" s="32">
        <v>17494.428571428572</v>
      </c>
      <c r="Q293" s="32">
        <v>17500.571428571428</v>
      </c>
      <c r="R293" s="32">
        <v>17852.428571428572</v>
      </c>
      <c r="S293" s="32">
        <v>17953.571428571428</v>
      </c>
      <c r="T293" s="32">
        <v>17529.142857142859</v>
      </c>
      <c r="U293" s="32">
        <v>17284.142857142859</v>
      </c>
      <c r="V293" s="32">
        <v>17755.857142857141</v>
      </c>
      <c r="W293" s="32">
        <v>17719.857142857141</v>
      </c>
      <c r="X293" s="32">
        <v>17120.142857142859</v>
      </c>
      <c r="Y293" s="32">
        <v>16447.571428571428</v>
      </c>
      <c r="Z293" s="32">
        <v>15727.571428571429</v>
      </c>
      <c r="AA293" s="32">
        <v>15410.857142857143</v>
      </c>
      <c r="AB293" s="23">
        <f t="shared" si="72"/>
        <v>2757935</v>
      </c>
      <c r="AC293" s="5">
        <f>+AB291+AB292+AB293</f>
        <v>12214141</v>
      </c>
    </row>
    <row r="294" spans="1:29" x14ac:dyDescent="0.25">
      <c r="A294" s="39"/>
    </row>
    <row r="295" spans="1:29" x14ac:dyDescent="0.25">
      <c r="A295" s="21" t="s">
        <v>38</v>
      </c>
      <c r="B295" s="22">
        <v>22</v>
      </c>
      <c r="C295" s="51">
        <v>48092</v>
      </c>
      <c r="D295" s="32">
        <v>15628.90909090909</v>
      </c>
      <c r="E295" s="32">
        <v>15359.181818181818</v>
      </c>
      <c r="F295" s="32">
        <v>14959.727272727272</v>
      </c>
      <c r="G295" s="32">
        <v>14494</v>
      </c>
      <c r="H295" s="32">
        <v>14440.545454545454</v>
      </c>
      <c r="I295" s="32">
        <v>14787.454545454546</v>
      </c>
      <c r="J295" s="32">
        <v>15106.954545454546</v>
      </c>
      <c r="K295" s="32">
        <v>15663.454545454546</v>
      </c>
      <c r="L295" s="32">
        <v>16449</v>
      </c>
      <c r="M295" s="32">
        <v>16984.68181818182</v>
      </c>
      <c r="N295" s="32">
        <v>17375.31818181818</v>
      </c>
      <c r="O295" s="32">
        <v>17684.18181818182</v>
      </c>
      <c r="P295" s="32">
        <v>17549.863636363636</v>
      </c>
      <c r="Q295" s="32">
        <v>17557.227272727272</v>
      </c>
      <c r="R295" s="32">
        <v>17912</v>
      </c>
      <c r="S295" s="32">
        <v>18014.909090909092</v>
      </c>
      <c r="T295" s="32">
        <v>17589.909090909092</v>
      </c>
      <c r="U295" s="32">
        <v>17343.863636363636</v>
      </c>
      <c r="V295" s="32">
        <v>17813.227272727272</v>
      </c>
      <c r="W295" s="32">
        <v>17779.81818181818</v>
      </c>
      <c r="X295" s="32">
        <v>17177</v>
      </c>
      <c r="Y295" s="32">
        <v>16504.454545454544</v>
      </c>
      <c r="Z295" s="32">
        <v>15785.181818181818</v>
      </c>
      <c r="AA295" s="32">
        <v>15470.045454545454</v>
      </c>
      <c r="AB295" s="23">
        <f>SUM(D295:AA295)*B295</f>
        <v>8699480</v>
      </c>
      <c r="AC295" s="33"/>
    </row>
    <row r="296" spans="1:29" x14ac:dyDescent="0.25">
      <c r="A296" s="21" t="s">
        <v>39</v>
      </c>
      <c r="B296" s="22">
        <v>4</v>
      </c>
      <c r="C296" s="52"/>
      <c r="D296" s="32">
        <v>15632</v>
      </c>
      <c r="E296" s="32">
        <v>15362.5</v>
      </c>
      <c r="F296" s="32">
        <v>14963</v>
      </c>
      <c r="G296" s="32">
        <v>14497.25</v>
      </c>
      <c r="H296" s="32">
        <v>14443.75</v>
      </c>
      <c r="I296" s="32">
        <v>14790.5</v>
      </c>
      <c r="J296" s="32">
        <v>15110.25</v>
      </c>
      <c r="K296" s="32">
        <v>15666.75</v>
      </c>
      <c r="L296" s="32">
        <v>16452.5</v>
      </c>
      <c r="M296" s="32">
        <v>16988</v>
      </c>
      <c r="N296" s="32">
        <v>17378.5</v>
      </c>
      <c r="O296" s="32">
        <v>17687</v>
      </c>
      <c r="P296" s="32">
        <v>17552.5</v>
      </c>
      <c r="Q296" s="32">
        <v>17560.25</v>
      </c>
      <c r="R296" s="32">
        <v>17915</v>
      </c>
      <c r="S296" s="32">
        <v>18018</v>
      </c>
      <c r="T296" s="32">
        <v>17593</v>
      </c>
      <c r="U296" s="32">
        <v>17347</v>
      </c>
      <c r="V296" s="32">
        <v>17816</v>
      </c>
      <c r="W296" s="32">
        <v>17782.75</v>
      </c>
      <c r="X296" s="32">
        <v>17179.75</v>
      </c>
      <c r="Y296" s="32">
        <v>16507.5</v>
      </c>
      <c r="Z296" s="32">
        <v>15788</v>
      </c>
      <c r="AA296" s="32">
        <v>15473</v>
      </c>
      <c r="AB296" s="23">
        <f t="shared" ref="AB296:AB297" si="73">SUM(D296:AA296)*B296</f>
        <v>1582019</v>
      </c>
      <c r="AC296" s="33"/>
    </row>
    <row r="297" spans="1:29" x14ac:dyDescent="0.25">
      <c r="A297" s="21" t="s">
        <v>40</v>
      </c>
      <c r="B297" s="22">
        <v>4</v>
      </c>
      <c r="C297" s="52"/>
      <c r="D297" s="32">
        <v>15634.25</v>
      </c>
      <c r="E297" s="32">
        <v>15364.5</v>
      </c>
      <c r="F297" s="32">
        <v>14965</v>
      </c>
      <c r="G297" s="32">
        <v>14499.25</v>
      </c>
      <c r="H297" s="32">
        <v>14445.75</v>
      </c>
      <c r="I297" s="32">
        <v>14792.5</v>
      </c>
      <c r="J297" s="32">
        <v>15112.5</v>
      </c>
      <c r="K297" s="32">
        <v>15668.75</v>
      </c>
      <c r="L297" s="32">
        <v>16454.5</v>
      </c>
      <c r="M297" s="32">
        <v>16990</v>
      </c>
      <c r="N297" s="32">
        <v>17380.5</v>
      </c>
      <c r="O297" s="32">
        <v>17689</v>
      </c>
      <c r="P297" s="32">
        <v>17554.5</v>
      </c>
      <c r="Q297" s="32">
        <v>17562</v>
      </c>
      <c r="R297" s="32">
        <v>17917</v>
      </c>
      <c r="S297" s="32">
        <v>18020</v>
      </c>
      <c r="T297" s="32">
        <v>17595</v>
      </c>
      <c r="U297" s="32">
        <v>17349</v>
      </c>
      <c r="V297" s="32">
        <v>17818</v>
      </c>
      <c r="W297" s="32">
        <v>17784.75</v>
      </c>
      <c r="X297" s="32">
        <v>17181.5</v>
      </c>
      <c r="Y297" s="32">
        <v>16509.25</v>
      </c>
      <c r="Z297" s="32">
        <v>15790</v>
      </c>
      <c r="AA297" s="32">
        <v>15474.75</v>
      </c>
      <c r="AB297" s="23">
        <f t="shared" si="73"/>
        <v>1582209</v>
      </c>
      <c r="AC297" s="5">
        <f>+AB295+AB296+AB297</f>
        <v>11863708</v>
      </c>
    </row>
    <row r="298" spans="1:29" x14ac:dyDescent="0.25">
      <c r="A298" s="39"/>
    </row>
    <row r="299" spans="1:29" x14ac:dyDescent="0.25">
      <c r="A299" s="21" t="s">
        <v>38</v>
      </c>
      <c r="B299" s="22">
        <v>22</v>
      </c>
      <c r="C299" s="51">
        <v>48122</v>
      </c>
      <c r="D299" s="32">
        <v>15693.90909090909</v>
      </c>
      <c r="E299" s="32">
        <v>15424.59090909091</v>
      </c>
      <c r="F299" s="32">
        <v>15024.863636363636</v>
      </c>
      <c r="G299" s="32">
        <v>14558</v>
      </c>
      <c r="H299" s="32">
        <v>14504</v>
      </c>
      <c r="I299" s="32">
        <v>14852.863636363636</v>
      </c>
      <c r="J299" s="32">
        <v>15173.863636363636</v>
      </c>
      <c r="K299" s="32">
        <v>15729.181818181818</v>
      </c>
      <c r="L299" s="32">
        <v>16514.454545454544</v>
      </c>
      <c r="M299" s="32">
        <v>17048</v>
      </c>
      <c r="N299" s="32">
        <v>17436.31818181818</v>
      </c>
      <c r="O299" s="32">
        <v>17743.545454545456</v>
      </c>
      <c r="P299" s="32">
        <v>17607.68181818182</v>
      </c>
      <c r="Q299" s="32">
        <v>17616.409090909092</v>
      </c>
      <c r="R299" s="32">
        <v>17974.136363636364</v>
      </c>
      <c r="S299" s="32">
        <v>18078.18181818182</v>
      </c>
      <c r="T299" s="32">
        <v>17653.636363636364</v>
      </c>
      <c r="U299" s="32">
        <v>17406</v>
      </c>
      <c r="V299" s="32">
        <v>17873.090909090908</v>
      </c>
      <c r="W299" s="32">
        <v>17842</v>
      </c>
      <c r="X299" s="32">
        <v>17236.090909090908</v>
      </c>
      <c r="Y299" s="32">
        <v>16563.863636363636</v>
      </c>
      <c r="Z299" s="32">
        <v>15845.181818181818</v>
      </c>
      <c r="AA299" s="32">
        <v>15531.545454545454</v>
      </c>
      <c r="AB299" s="23">
        <f>SUM(D299:AA299)*B299</f>
        <v>8732491</v>
      </c>
      <c r="AC299" s="33"/>
    </row>
    <row r="300" spans="1:29" x14ac:dyDescent="0.25">
      <c r="A300" s="21" t="s">
        <v>39</v>
      </c>
      <c r="B300" s="22">
        <v>4</v>
      </c>
      <c r="C300" s="52"/>
      <c r="D300" s="32">
        <v>15689.75</v>
      </c>
      <c r="E300" s="32">
        <v>15420.5</v>
      </c>
      <c r="F300" s="32">
        <v>15020.5</v>
      </c>
      <c r="G300" s="32">
        <v>14554</v>
      </c>
      <c r="H300" s="32">
        <v>14500</v>
      </c>
      <c r="I300" s="32">
        <v>14848.75</v>
      </c>
      <c r="J300" s="32">
        <v>15169.5</v>
      </c>
      <c r="K300" s="32">
        <v>15725</v>
      </c>
      <c r="L300" s="32">
        <v>16510.5</v>
      </c>
      <c r="M300" s="32">
        <v>17044</v>
      </c>
      <c r="N300" s="32">
        <v>17432.5</v>
      </c>
      <c r="O300" s="32">
        <v>17739.75</v>
      </c>
      <c r="P300" s="32">
        <v>17604</v>
      </c>
      <c r="Q300" s="32">
        <v>17612.5</v>
      </c>
      <c r="R300" s="32">
        <v>17970.25</v>
      </c>
      <c r="S300" s="32">
        <v>18074</v>
      </c>
      <c r="T300" s="32">
        <v>17649.5</v>
      </c>
      <c r="U300" s="32">
        <v>17402</v>
      </c>
      <c r="V300" s="32">
        <v>17869.25</v>
      </c>
      <c r="W300" s="32">
        <v>17838</v>
      </c>
      <c r="X300" s="32">
        <v>17232.5</v>
      </c>
      <c r="Y300" s="32">
        <v>16560.25</v>
      </c>
      <c r="Z300" s="32">
        <v>15841.25</v>
      </c>
      <c r="AA300" s="32">
        <v>15527.75</v>
      </c>
      <c r="AB300" s="23">
        <f t="shared" ref="AB300:AB301" si="74">SUM(D300:AA300)*B300</f>
        <v>1587344</v>
      </c>
      <c r="AC300" s="33"/>
    </row>
    <row r="301" spans="1:29" x14ac:dyDescent="0.25">
      <c r="A301" s="21" t="s">
        <v>40</v>
      </c>
      <c r="B301" s="22">
        <v>5</v>
      </c>
      <c r="C301" s="52"/>
      <c r="D301" s="32">
        <v>15690.8</v>
      </c>
      <c r="E301" s="32">
        <v>15421.4</v>
      </c>
      <c r="F301" s="32">
        <v>15021.8</v>
      </c>
      <c r="G301" s="32">
        <v>14555</v>
      </c>
      <c r="H301" s="32">
        <v>14501</v>
      </c>
      <c r="I301" s="32">
        <v>14850</v>
      </c>
      <c r="J301" s="32">
        <v>15170.4</v>
      </c>
      <c r="K301" s="32">
        <v>15726</v>
      </c>
      <c r="L301" s="32">
        <v>16511.400000000001</v>
      </c>
      <c r="M301" s="32">
        <v>17045</v>
      </c>
      <c r="N301" s="32">
        <v>17433.599999999999</v>
      </c>
      <c r="O301" s="32">
        <v>17740.599999999999</v>
      </c>
      <c r="P301" s="32">
        <v>17604.8</v>
      </c>
      <c r="Q301" s="32">
        <v>17613.599999999999</v>
      </c>
      <c r="R301" s="32">
        <v>17971.2</v>
      </c>
      <c r="S301" s="32">
        <v>18075</v>
      </c>
      <c r="T301" s="32">
        <v>17650.8</v>
      </c>
      <c r="U301" s="32">
        <v>17403</v>
      </c>
      <c r="V301" s="32">
        <v>17870</v>
      </c>
      <c r="W301" s="32">
        <v>17839</v>
      </c>
      <c r="X301" s="32">
        <v>17233.599999999999</v>
      </c>
      <c r="Y301" s="32">
        <v>16561</v>
      </c>
      <c r="Z301" s="32">
        <v>15842.2</v>
      </c>
      <c r="AA301" s="32">
        <v>15528.8</v>
      </c>
      <c r="AB301" s="23">
        <f t="shared" si="74"/>
        <v>1984300</v>
      </c>
      <c r="AC301" s="5">
        <f>+AB299+AB300+AB301</f>
        <v>12304135</v>
      </c>
    </row>
    <row r="302" spans="1:29" x14ac:dyDescent="0.25">
      <c r="A302" s="39"/>
    </row>
    <row r="303" spans="1:29" x14ac:dyDescent="0.25">
      <c r="A303" s="21" t="s">
        <v>38</v>
      </c>
      <c r="B303" s="22">
        <v>18</v>
      </c>
      <c r="C303" s="51">
        <v>48153</v>
      </c>
      <c r="D303" s="32">
        <v>15756.888888888889</v>
      </c>
      <c r="E303" s="32">
        <v>15487.888888888889</v>
      </c>
      <c r="F303" s="32">
        <v>15088.388888888889</v>
      </c>
      <c r="G303" s="32">
        <v>14619.722222222223</v>
      </c>
      <c r="H303" s="32">
        <v>14566.222222222223</v>
      </c>
      <c r="I303" s="32">
        <v>14916.055555555555</v>
      </c>
      <c r="J303" s="32">
        <v>15238.333333333334</v>
      </c>
      <c r="K303" s="32">
        <v>15793.055555555555</v>
      </c>
      <c r="L303" s="32">
        <v>16578.055555555555</v>
      </c>
      <c r="M303" s="32">
        <v>17109.555555555555</v>
      </c>
      <c r="N303" s="32">
        <v>17495.277777777777</v>
      </c>
      <c r="O303" s="32">
        <v>17801.166666666668</v>
      </c>
      <c r="P303" s="32">
        <v>17663.777777777777</v>
      </c>
      <c r="Q303" s="32">
        <v>17674.166666666668</v>
      </c>
      <c r="R303" s="32">
        <v>18034.444444444445</v>
      </c>
      <c r="S303" s="32">
        <v>18140.222222222223</v>
      </c>
      <c r="T303" s="32">
        <v>17715.222222222223</v>
      </c>
      <c r="U303" s="32">
        <v>17466.277777777777</v>
      </c>
      <c r="V303" s="32">
        <v>17930.833333333332</v>
      </c>
      <c r="W303" s="32">
        <v>17902.444444444445</v>
      </c>
      <c r="X303" s="32">
        <v>17293.666666666668</v>
      </c>
      <c r="Y303" s="32">
        <v>16621.333333333332</v>
      </c>
      <c r="Z303" s="32">
        <v>15903.277777777777</v>
      </c>
      <c r="AA303" s="32">
        <v>15591.055555555555</v>
      </c>
      <c r="AB303" s="23">
        <f>SUM(D303:AA303)*B303</f>
        <v>7170971.9999999981</v>
      </c>
      <c r="AC303" s="33"/>
    </row>
    <row r="304" spans="1:29" x14ac:dyDescent="0.25">
      <c r="A304" s="21" t="s">
        <v>39</v>
      </c>
      <c r="B304" s="22">
        <v>5</v>
      </c>
      <c r="C304" s="52"/>
      <c r="D304" s="32">
        <v>15754.8</v>
      </c>
      <c r="E304" s="32">
        <v>15485.8</v>
      </c>
      <c r="F304" s="32">
        <v>15086</v>
      </c>
      <c r="G304" s="32">
        <v>14617.6</v>
      </c>
      <c r="H304" s="32">
        <v>14563.8</v>
      </c>
      <c r="I304" s="32">
        <v>14914</v>
      </c>
      <c r="J304" s="32">
        <v>15236</v>
      </c>
      <c r="K304" s="32">
        <v>15790.8</v>
      </c>
      <c r="L304" s="32">
        <v>16575.8</v>
      </c>
      <c r="M304" s="32">
        <v>17107.400000000001</v>
      </c>
      <c r="N304" s="32">
        <v>17493</v>
      </c>
      <c r="O304" s="32">
        <v>17799.2</v>
      </c>
      <c r="P304" s="32">
        <v>17661.8</v>
      </c>
      <c r="Q304" s="32">
        <v>17672</v>
      </c>
      <c r="R304" s="32">
        <v>18032.400000000001</v>
      </c>
      <c r="S304" s="32">
        <v>18138</v>
      </c>
      <c r="T304" s="32">
        <v>17713.2</v>
      </c>
      <c r="U304" s="32">
        <v>17464.2</v>
      </c>
      <c r="V304" s="32">
        <v>17928.8</v>
      </c>
      <c r="W304" s="32">
        <v>17900.2</v>
      </c>
      <c r="X304" s="32">
        <v>17291.400000000001</v>
      </c>
      <c r="Y304" s="32">
        <v>16619</v>
      </c>
      <c r="Z304" s="32">
        <v>15901.2</v>
      </c>
      <c r="AA304" s="32">
        <v>15589</v>
      </c>
      <c r="AB304" s="23">
        <f t="shared" ref="AB304:AB305" si="75">SUM(D304:AA304)*B304</f>
        <v>1991677</v>
      </c>
      <c r="AC304" s="33"/>
    </row>
    <row r="305" spans="1:29" x14ac:dyDescent="0.25">
      <c r="A305" s="21" t="s">
        <v>40</v>
      </c>
      <c r="B305" s="22">
        <v>7</v>
      </c>
      <c r="C305" s="52"/>
      <c r="D305" s="32">
        <v>15753.285714285714</v>
      </c>
      <c r="E305" s="32">
        <v>15484.285714285714</v>
      </c>
      <c r="F305" s="32">
        <v>15084.571428571429</v>
      </c>
      <c r="G305" s="32">
        <v>14616.142857142857</v>
      </c>
      <c r="H305" s="32">
        <v>14562.571428571429</v>
      </c>
      <c r="I305" s="32">
        <v>14912.428571428571</v>
      </c>
      <c r="J305" s="32">
        <v>15234.714285714286</v>
      </c>
      <c r="K305" s="32">
        <v>15789.285714285714</v>
      </c>
      <c r="L305" s="32">
        <v>16574.285714285714</v>
      </c>
      <c r="M305" s="32">
        <v>17105.857142857141</v>
      </c>
      <c r="N305" s="32">
        <v>17491.714285714286</v>
      </c>
      <c r="O305" s="32">
        <v>17797.714285714286</v>
      </c>
      <c r="P305" s="32">
        <v>17660.428571428572</v>
      </c>
      <c r="Q305" s="32">
        <v>17670.428571428572</v>
      </c>
      <c r="R305" s="32">
        <v>18030.857142857141</v>
      </c>
      <c r="S305" s="32">
        <v>18136.571428571428</v>
      </c>
      <c r="T305" s="32">
        <v>17711.714285714286</v>
      </c>
      <c r="U305" s="32">
        <v>17462.857142857141</v>
      </c>
      <c r="V305" s="32">
        <v>17927.571428571428</v>
      </c>
      <c r="W305" s="32">
        <v>17898.857142857141</v>
      </c>
      <c r="X305" s="32">
        <v>17289.857142857141</v>
      </c>
      <c r="Y305" s="32">
        <v>16617.857142857141</v>
      </c>
      <c r="Z305" s="32">
        <v>15899.857142857143</v>
      </c>
      <c r="AA305" s="32">
        <v>15587.714285714286</v>
      </c>
      <c r="AB305" s="23">
        <f t="shared" si="75"/>
        <v>2788110</v>
      </c>
      <c r="AC305" s="5">
        <f>+AB303+AB304+AB305</f>
        <v>11950758.999999998</v>
      </c>
    </row>
    <row r="306" spans="1:29" x14ac:dyDescent="0.25">
      <c r="A306" s="39"/>
    </row>
    <row r="307" spans="1:29" x14ac:dyDescent="0.25">
      <c r="A307" s="21" t="s">
        <v>38</v>
      </c>
      <c r="B307" s="22">
        <v>21</v>
      </c>
      <c r="C307" s="51">
        <v>48183</v>
      </c>
      <c r="D307" s="32">
        <v>15815.761904761905</v>
      </c>
      <c r="E307" s="32">
        <v>15543</v>
      </c>
      <c r="F307" s="32">
        <v>15145.523809523809</v>
      </c>
      <c r="G307" s="32">
        <v>14692.047619047618</v>
      </c>
      <c r="H307" s="32">
        <v>14638.333333333334</v>
      </c>
      <c r="I307" s="32">
        <v>14970</v>
      </c>
      <c r="J307" s="32">
        <v>15277.619047619048</v>
      </c>
      <c r="K307" s="32">
        <v>15843.428571428571</v>
      </c>
      <c r="L307" s="32">
        <v>16632.238095238095</v>
      </c>
      <c r="M307" s="32">
        <v>17184.142857142859</v>
      </c>
      <c r="N307" s="32">
        <v>17597</v>
      </c>
      <c r="O307" s="32">
        <v>17919.714285714286</v>
      </c>
      <c r="P307" s="32">
        <v>17798.761904761905</v>
      </c>
      <c r="Q307" s="32">
        <v>17794.619047619046</v>
      </c>
      <c r="R307" s="32">
        <v>18123.380952380954</v>
      </c>
      <c r="S307" s="32">
        <v>18213.142857142859</v>
      </c>
      <c r="T307" s="32">
        <v>17789.142857142859</v>
      </c>
      <c r="U307" s="32">
        <v>17554.523809523809</v>
      </c>
      <c r="V307" s="32">
        <v>18044.714285714286</v>
      </c>
      <c r="W307" s="32">
        <v>17989.285714285714</v>
      </c>
      <c r="X307" s="32">
        <v>17413.666666666668</v>
      </c>
      <c r="Y307" s="32">
        <v>16739.571428571428</v>
      </c>
      <c r="Z307" s="32">
        <v>16015.190476190477</v>
      </c>
      <c r="AA307" s="32">
        <v>15685.476190476191</v>
      </c>
      <c r="AB307" s="23">
        <f>SUM(D307:AA307)*B307</f>
        <v>8408826</v>
      </c>
      <c r="AC307" s="33"/>
    </row>
    <row r="308" spans="1:29" x14ac:dyDescent="0.25">
      <c r="A308" s="21" t="s">
        <v>39</v>
      </c>
      <c r="B308" s="22">
        <v>4</v>
      </c>
      <c r="C308" s="52"/>
      <c r="D308" s="32">
        <v>15817.5</v>
      </c>
      <c r="E308" s="32">
        <v>15545</v>
      </c>
      <c r="F308" s="32">
        <v>15147.5</v>
      </c>
      <c r="G308" s="32">
        <v>14694</v>
      </c>
      <c r="H308" s="32">
        <v>14640.25</v>
      </c>
      <c r="I308" s="32">
        <v>14972</v>
      </c>
      <c r="J308" s="32">
        <v>15279.5</v>
      </c>
      <c r="K308" s="32">
        <v>15845.5</v>
      </c>
      <c r="L308" s="32">
        <v>16634</v>
      </c>
      <c r="M308" s="32">
        <v>17186</v>
      </c>
      <c r="N308" s="32">
        <v>17598.5</v>
      </c>
      <c r="O308" s="32">
        <v>17921.5</v>
      </c>
      <c r="P308" s="32">
        <v>17800.5</v>
      </c>
      <c r="Q308" s="32">
        <v>17796.5</v>
      </c>
      <c r="R308" s="32">
        <v>18125.25</v>
      </c>
      <c r="S308" s="32">
        <v>18215</v>
      </c>
      <c r="T308" s="32">
        <v>17791</v>
      </c>
      <c r="U308" s="32">
        <v>17556.25</v>
      </c>
      <c r="V308" s="32">
        <v>18046.5</v>
      </c>
      <c r="W308" s="32">
        <v>17991</v>
      </c>
      <c r="X308" s="32">
        <v>17415.5</v>
      </c>
      <c r="Y308" s="32">
        <v>16741.5</v>
      </c>
      <c r="Z308" s="32">
        <v>16017</v>
      </c>
      <c r="AA308" s="32">
        <v>15687.25</v>
      </c>
      <c r="AB308" s="23">
        <f t="shared" ref="AB308:AB309" si="76">SUM(D308:AA308)*B308</f>
        <v>1601858</v>
      </c>
      <c r="AC308" s="33"/>
    </row>
    <row r="309" spans="1:29" x14ac:dyDescent="0.25">
      <c r="A309" s="21" t="s">
        <v>40</v>
      </c>
      <c r="B309" s="22">
        <v>6</v>
      </c>
      <c r="C309" s="52"/>
      <c r="D309" s="32">
        <v>15819</v>
      </c>
      <c r="E309" s="32">
        <v>15546.333333333334</v>
      </c>
      <c r="F309" s="32">
        <v>15148.833333333334</v>
      </c>
      <c r="G309" s="32">
        <v>14695.333333333334</v>
      </c>
      <c r="H309" s="32">
        <v>14641.666666666666</v>
      </c>
      <c r="I309" s="32">
        <v>14973.333333333334</v>
      </c>
      <c r="J309" s="32">
        <v>15281</v>
      </c>
      <c r="K309" s="32">
        <v>15846.833333333334</v>
      </c>
      <c r="L309" s="32">
        <v>16635.333333333332</v>
      </c>
      <c r="M309" s="32">
        <v>17187.333333333332</v>
      </c>
      <c r="N309" s="32">
        <v>17599.833333333332</v>
      </c>
      <c r="O309" s="32">
        <v>17922.666666666668</v>
      </c>
      <c r="P309" s="32">
        <v>17801.833333333332</v>
      </c>
      <c r="Q309" s="32">
        <v>17797.666666666668</v>
      </c>
      <c r="R309" s="32">
        <v>18126.5</v>
      </c>
      <c r="S309" s="32">
        <v>18216.333333333332</v>
      </c>
      <c r="T309" s="32">
        <v>17792.333333333332</v>
      </c>
      <c r="U309" s="32">
        <v>17557.666666666668</v>
      </c>
      <c r="V309" s="32">
        <v>18047.666666666668</v>
      </c>
      <c r="W309" s="32">
        <v>17992.333333333332</v>
      </c>
      <c r="X309" s="32">
        <v>17416.666666666668</v>
      </c>
      <c r="Y309" s="32">
        <v>16742.5</v>
      </c>
      <c r="Z309" s="32">
        <v>16018.333333333334</v>
      </c>
      <c r="AA309" s="32">
        <v>15688.666666666666</v>
      </c>
      <c r="AB309" s="23">
        <f t="shared" si="76"/>
        <v>2402976</v>
      </c>
      <c r="AC309" s="5">
        <f>+AB307+AB308+AB309</f>
        <v>12413660</v>
      </c>
    </row>
  </sheetData>
  <mergeCells count="74">
    <mergeCell ref="C15:C17"/>
    <mergeCell ref="C19:C21"/>
    <mergeCell ref="C23:C25"/>
    <mergeCell ref="C27:C29"/>
    <mergeCell ref="C75:C77"/>
    <mergeCell ref="C31:C33"/>
    <mergeCell ref="C35:C37"/>
    <mergeCell ref="C39:C41"/>
    <mergeCell ref="C43:C45"/>
    <mergeCell ref="C47:C49"/>
    <mergeCell ref="C51:C53"/>
    <mergeCell ref="C55:C57"/>
    <mergeCell ref="C59:C61"/>
    <mergeCell ref="C63:C65"/>
    <mergeCell ref="C67:C69"/>
    <mergeCell ref="C71:C73"/>
    <mergeCell ref="C123:C125"/>
    <mergeCell ref="C79:C81"/>
    <mergeCell ref="C83:C85"/>
    <mergeCell ref="C87:C89"/>
    <mergeCell ref="C91:C93"/>
    <mergeCell ref="C95:C97"/>
    <mergeCell ref="C99:C101"/>
    <mergeCell ref="C103:C105"/>
    <mergeCell ref="C107:C109"/>
    <mergeCell ref="C111:C113"/>
    <mergeCell ref="C115:C117"/>
    <mergeCell ref="C119:C121"/>
    <mergeCell ref="C171:C173"/>
    <mergeCell ref="C127:C129"/>
    <mergeCell ref="C131:C133"/>
    <mergeCell ref="C135:C137"/>
    <mergeCell ref="C139:C141"/>
    <mergeCell ref="C143:C145"/>
    <mergeCell ref="C147:C149"/>
    <mergeCell ref="C151:C153"/>
    <mergeCell ref="C155:C157"/>
    <mergeCell ref="C159:C161"/>
    <mergeCell ref="C163:C165"/>
    <mergeCell ref="C167:C169"/>
    <mergeCell ref="C219:C221"/>
    <mergeCell ref="C175:C177"/>
    <mergeCell ref="C179:C181"/>
    <mergeCell ref="C183:C185"/>
    <mergeCell ref="C187:C189"/>
    <mergeCell ref="C191:C193"/>
    <mergeCell ref="C195:C197"/>
    <mergeCell ref="C199:C201"/>
    <mergeCell ref="C203:C205"/>
    <mergeCell ref="C207:C209"/>
    <mergeCell ref="C211:C213"/>
    <mergeCell ref="C215:C217"/>
    <mergeCell ref="C267:C269"/>
    <mergeCell ref="C223:C225"/>
    <mergeCell ref="C227:C229"/>
    <mergeCell ref="C231:C233"/>
    <mergeCell ref="C235:C237"/>
    <mergeCell ref="C239:C241"/>
    <mergeCell ref="C243:C245"/>
    <mergeCell ref="C247:C249"/>
    <mergeCell ref="C251:C253"/>
    <mergeCell ref="C255:C257"/>
    <mergeCell ref="C259:C261"/>
    <mergeCell ref="C263:C265"/>
    <mergeCell ref="C295:C297"/>
    <mergeCell ref="C299:C301"/>
    <mergeCell ref="C303:C305"/>
    <mergeCell ref="C307:C309"/>
    <mergeCell ref="C271:C273"/>
    <mergeCell ref="C275:C277"/>
    <mergeCell ref="C279:C281"/>
    <mergeCell ref="C283:C285"/>
    <mergeCell ref="C287:C289"/>
    <mergeCell ref="C291:C2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CURVA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PINTO</dc:creator>
  <cp:lastModifiedBy>CRISTIAN PINTO</cp:lastModifiedBy>
  <dcterms:created xsi:type="dcterms:W3CDTF">2025-05-26T22:27:16Z</dcterms:created>
  <dcterms:modified xsi:type="dcterms:W3CDTF">2025-06-05T20:05:56Z</dcterms:modified>
</cp:coreProperties>
</file>