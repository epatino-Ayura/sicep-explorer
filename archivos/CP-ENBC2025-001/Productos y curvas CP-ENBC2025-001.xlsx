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celsia.sharepoint.com/teams/LojAvengers-AdmineB/Documentos compartidos/3. Biters♟️/Negocio/Trading/Contratos/Convocatoria SICEP 2025-01/"/>
    </mc:Choice>
  </mc:AlternateContent>
  <xr:revisionPtr revIDLastSave="819" documentId="8_{D3EB7976-1E8C-4C6E-9C2C-C909C789B314}" xr6:coauthVersionLast="47" xr6:coauthVersionMax="47" xr10:uidLastSave="{877286FB-3D9B-436F-96C2-B2EEDAD47D89}"/>
  <bookViews>
    <workbookView xWindow="-120" yWindow="-120" windowWidth="20730" windowHeight="11040" firstSheet="4" activeTab="6" xr2:uid="{2E131CFD-914A-4705-B14C-A3E520FAAF68}"/>
  </bookViews>
  <sheets>
    <sheet name="Oferta Producto 1" sheetId="3" r:id="rId1"/>
    <sheet name="Curvas Prod 1" sheetId="6" r:id="rId2"/>
    <sheet name="Curva de la oferta Prod 1" sheetId="10" r:id="rId3"/>
    <sheet name="Oferta Producto 2" sheetId="7" r:id="rId4"/>
    <sheet name="Curvas Prod 2" sheetId="11" r:id="rId5"/>
    <sheet name="Curva de la oferta Prod 2" sheetId="12" r:id="rId6"/>
    <sheet name="Oferta Producto 3" sheetId="9" r:id="rId7"/>
    <sheet name="Curvas Prod 3" sheetId="13" r:id="rId8"/>
    <sheet name="Curva de la oferta Prod 3" sheetId="14" state="hidden" r:id="rId9"/>
  </sheets>
  <definedNames>
    <definedName name="_xlnm.Print_Area" localSheetId="0">'Oferta Producto 1'!$A$1:$G$28</definedName>
    <definedName name="_xlnm.Print_Area" localSheetId="3">'Oferta Producto 2'!$A$1:$G$30</definedName>
    <definedName name="_xlnm.Print_Area" localSheetId="6">'Oferta Producto 3'!$A$1:$G$28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1" i="13" l="1"/>
  <c r="AC150" i="13"/>
  <c r="AC149" i="13"/>
  <c r="AC148" i="13"/>
  <c r="AC147" i="13"/>
  <c r="AC146" i="13"/>
  <c r="AC145" i="13"/>
  <c r="AC144" i="13"/>
  <c r="AC143" i="13"/>
  <c r="AC142" i="13"/>
  <c r="AC141" i="13"/>
  <c r="AC140" i="13"/>
  <c r="AC139" i="13"/>
  <c r="AC138" i="13"/>
  <c r="AC137" i="13"/>
  <c r="AC136" i="13"/>
  <c r="AC135" i="13"/>
  <c r="AC134" i="13"/>
  <c r="AC133" i="13"/>
  <c r="AC132" i="13"/>
  <c r="AC131" i="13"/>
  <c r="AC130" i="13"/>
  <c r="AC129" i="13"/>
  <c r="AC128" i="13"/>
  <c r="AC127" i="13"/>
  <c r="AC126" i="13"/>
  <c r="AC125" i="13"/>
  <c r="AC124" i="13"/>
  <c r="AC123" i="13"/>
  <c r="AC122" i="13"/>
  <c r="AC121" i="13"/>
  <c r="AC120" i="13"/>
  <c r="AC119" i="13"/>
  <c r="AC118" i="13"/>
  <c r="AC117" i="13"/>
  <c r="AC116" i="13"/>
  <c r="AC115" i="13"/>
  <c r="AC114" i="13"/>
  <c r="AC113" i="13"/>
  <c r="AC112" i="13"/>
  <c r="AC111" i="13"/>
  <c r="AC110" i="13"/>
  <c r="AC109" i="13"/>
  <c r="AC108" i="13"/>
  <c r="AC107" i="13"/>
  <c r="AC106" i="13"/>
  <c r="AC105" i="13"/>
  <c r="AC104" i="13"/>
  <c r="AC103" i="13"/>
  <c r="AC102" i="13"/>
  <c r="AC101" i="13"/>
  <c r="AC100" i="13"/>
  <c r="AC99" i="13"/>
  <c r="AC98" i="13"/>
  <c r="AC97" i="13"/>
  <c r="AC96" i="13"/>
  <c r="AC95" i="13"/>
  <c r="AC94" i="13"/>
  <c r="AC93" i="13"/>
  <c r="AC92" i="13"/>
  <c r="AC91" i="13"/>
  <c r="AC90" i="13"/>
  <c r="AC89" i="13"/>
  <c r="AC88" i="13"/>
  <c r="AC87" i="13"/>
  <c r="AC86" i="13"/>
  <c r="AC85" i="13"/>
  <c r="AC84" i="13"/>
  <c r="AC83" i="13"/>
  <c r="AC82" i="13"/>
  <c r="AC81" i="13"/>
  <c r="AC80" i="13"/>
  <c r="AC79" i="13"/>
  <c r="AC78" i="13"/>
  <c r="AC77" i="13"/>
  <c r="AC76" i="13"/>
  <c r="AC75" i="13"/>
  <c r="AC74" i="13"/>
  <c r="AC73" i="13"/>
  <c r="AC72" i="13"/>
  <c r="AC71" i="13"/>
  <c r="AC70" i="13"/>
  <c r="AC69" i="13"/>
  <c r="AC68" i="13"/>
  <c r="AC67" i="13"/>
  <c r="AC66" i="13"/>
  <c r="AC65" i="13"/>
  <c r="AC64" i="13"/>
  <c r="AC63" i="13"/>
  <c r="AC62" i="13"/>
  <c r="AC61" i="13"/>
  <c r="AC60" i="13"/>
  <c r="AC59" i="13"/>
  <c r="AC58" i="13"/>
  <c r="AC57" i="13"/>
  <c r="AC56" i="13"/>
  <c r="AC55" i="13"/>
  <c r="AC54" i="13"/>
  <c r="AC53" i="13"/>
  <c r="AC52" i="13"/>
  <c r="AC51" i="13"/>
  <c r="AC50" i="13"/>
  <c r="AC49" i="13"/>
  <c r="AC48" i="13"/>
  <c r="AC47" i="13"/>
  <c r="AC46" i="13"/>
  <c r="AC45" i="13"/>
  <c r="AC44" i="13"/>
  <c r="AC43" i="13"/>
  <c r="AC42" i="13"/>
  <c r="AC41" i="13"/>
  <c r="AC40" i="13"/>
  <c r="AC39" i="13"/>
  <c r="AC38" i="13"/>
  <c r="AC37" i="13"/>
  <c r="AC36" i="13"/>
  <c r="AC35" i="13"/>
  <c r="AC34" i="13"/>
  <c r="AC33" i="13"/>
  <c r="AC32" i="13"/>
  <c r="AC31" i="13"/>
  <c r="AC30" i="13"/>
  <c r="AC29" i="13"/>
  <c r="AC28" i="13"/>
  <c r="AC27" i="13"/>
  <c r="AC26" i="13"/>
  <c r="AC25" i="13"/>
  <c r="AC24" i="13"/>
  <c r="AC23" i="13"/>
  <c r="AC22" i="13"/>
  <c r="AC21" i="13"/>
  <c r="AC20" i="13"/>
  <c r="AC19" i="13"/>
  <c r="AC18" i="13"/>
  <c r="AC17" i="13"/>
  <c r="AC16" i="13"/>
  <c r="AC15" i="13"/>
  <c r="AC14" i="13"/>
  <c r="AC13" i="13"/>
  <c r="AC12" i="13"/>
  <c r="AC11" i="13"/>
  <c r="AC10" i="13"/>
  <c r="K10" i="13" s="1"/>
  <c r="AC9" i="13"/>
  <c r="AC8" i="13"/>
  <c r="Z127" i="14" l="1"/>
  <c r="Y127" i="14"/>
  <c r="X127" i="14"/>
  <c r="W127" i="14"/>
  <c r="V127" i="14"/>
  <c r="U127" i="14"/>
  <c r="J127" i="14"/>
  <c r="I127" i="14"/>
  <c r="H127" i="14"/>
  <c r="G127" i="14"/>
  <c r="F127" i="14"/>
  <c r="E127" i="14"/>
  <c r="D127" i="14"/>
  <c r="C127" i="14"/>
  <c r="Z126" i="14"/>
  <c r="Y126" i="14"/>
  <c r="X126" i="14"/>
  <c r="W126" i="14"/>
  <c r="V126" i="14"/>
  <c r="U126" i="14"/>
  <c r="J126" i="14"/>
  <c r="I126" i="14"/>
  <c r="H126" i="14"/>
  <c r="G126" i="14"/>
  <c r="F126" i="14"/>
  <c r="E126" i="14"/>
  <c r="D126" i="14"/>
  <c r="C126" i="14"/>
  <c r="Z125" i="14"/>
  <c r="Y125" i="14"/>
  <c r="X125" i="14"/>
  <c r="W125" i="14"/>
  <c r="V125" i="14"/>
  <c r="U125" i="14"/>
  <c r="J125" i="14"/>
  <c r="I125" i="14"/>
  <c r="H125" i="14"/>
  <c r="G125" i="14"/>
  <c r="F125" i="14"/>
  <c r="E125" i="14"/>
  <c r="D125" i="14"/>
  <c r="C125" i="14"/>
  <c r="Z124" i="14"/>
  <c r="Y124" i="14"/>
  <c r="X124" i="14"/>
  <c r="W124" i="14"/>
  <c r="V124" i="14"/>
  <c r="U124" i="14"/>
  <c r="J124" i="14"/>
  <c r="I124" i="14"/>
  <c r="H124" i="14"/>
  <c r="G124" i="14"/>
  <c r="F124" i="14"/>
  <c r="E124" i="14"/>
  <c r="D124" i="14"/>
  <c r="C124" i="14"/>
  <c r="Z123" i="14"/>
  <c r="Y123" i="14"/>
  <c r="X123" i="14"/>
  <c r="W123" i="14"/>
  <c r="V123" i="14"/>
  <c r="U123" i="14"/>
  <c r="J123" i="14"/>
  <c r="I123" i="14"/>
  <c r="H123" i="14"/>
  <c r="G123" i="14"/>
  <c r="F123" i="14"/>
  <c r="E123" i="14"/>
  <c r="D123" i="14"/>
  <c r="C123" i="14"/>
  <c r="Z122" i="14"/>
  <c r="Y122" i="14"/>
  <c r="X122" i="14"/>
  <c r="W122" i="14"/>
  <c r="V122" i="14"/>
  <c r="U122" i="14"/>
  <c r="J122" i="14"/>
  <c r="I122" i="14"/>
  <c r="H122" i="14"/>
  <c r="G122" i="14"/>
  <c r="F122" i="14"/>
  <c r="E122" i="14"/>
  <c r="D122" i="14"/>
  <c r="C122" i="14"/>
  <c r="Z121" i="14"/>
  <c r="Y121" i="14"/>
  <c r="X121" i="14"/>
  <c r="W121" i="14"/>
  <c r="V121" i="14"/>
  <c r="U121" i="14"/>
  <c r="J121" i="14"/>
  <c r="I121" i="14"/>
  <c r="H121" i="14"/>
  <c r="G121" i="14"/>
  <c r="F121" i="14"/>
  <c r="E121" i="14"/>
  <c r="D121" i="14"/>
  <c r="C121" i="14"/>
  <c r="Z120" i="14"/>
  <c r="Y120" i="14"/>
  <c r="X120" i="14"/>
  <c r="W120" i="14"/>
  <c r="V120" i="14"/>
  <c r="U120" i="14"/>
  <c r="J120" i="14"/>
  <c r="I120" i="14"/>
  <c r="H120" i="14"/>
  <c r="G120" i="14"/>
  <c r="F120" i="14"/>
  <c r="E120" i="14"/>
  <c r="D120" i="14"/>
  <c r="C120" i="14"/>
  <c r="Z119" i="14"/>
  <c r="Y119" i="14"/>
  <c r="X119" i="14"/>
  <c r="W119" i="14"/>
  <c r="V119" i="14"/>
  <c r="U119" i="14"/>
  <c r="J119" i="14"/>
  <c r="I119" i="14"/>
  <c r="H119" i="14"/>
  <c r="G119" i="14"/>
  <c r="F119" i="14"/>
  <c r="E119" i="14"/>
  <c r="D119" i="14"/>
  <c r="C119" i="14"/>
  <c r="Z118" i="14"/>
  <c r="Y118" i="14"/>
  <c r="X118" i="14"/>
  <c r="W118" i="14"/>
  <c r="V118" i="14"/>
  <c r="U118" i="14"/>
  <c r="J118" i="14"/>
  <c r="I118" i="14"/>
  <c r="H118" i="14"/>
  <c r="G118" i="14"/>
  <c r="F118" i="14"/>
  <c r="E118" i="14"/>
  <c r="D118" i="14"/>
  <c r="C118" i="14"/>
  <c r="Z117" i="14"/>
  <c r="Y117" i="14"/>
  <c r="X117" i="14"/>
  <c r="W117" i="14"/>
  <c r="V117" i="14"/>
  <c r="U117" i="14"/>
  <c r="J117" i="14"/>
  <c r="I117" i="14"/>
  <c r="H117" i="14"/>
  <c r="G117" i="14"/>
  <c r="F117" i="14"/>
  <c r="E117" i="14"/>
  <c r="D117" i="14"/>
  <c r="C117" i="14"/>
  <c r="Z116" i="14"/>
  <c r="Y116" i="14"/>
  <c r="X116" i="14"/>
  <c r="W116" i="14"/>
  <c r="V116" i="14"/>
  <c r="U116" i="14"/>
  <c r="J116" i="14"/>
  <c r="I116" i="14"/>
  <c r="H116" i="14"/>
  <c r="G116" i="14"/>
  <c r="F116" i="14"/>
  <c r="E116" i="14"/>
  <c r="D116" i="14"/>
  <c r="C116" i="14"/>
  <c r="Z115" i="14"/>
  <c r="Y115" i="14"/>
  <c r="X115" i="14"/>
  <c r="W115" i="14"/>
  <c r="V115" i="14"/>
  <c r="U115" i="14"/>
  <c r="J115" i="14"/>
  <c r="I115" i="14"/>
  <c r="H115" i="14"/>
  <c r="G115" i="14"/>
  <c r="F115" i="14"/>
  <c r="E115" i="14"/>
  <c r="D115" i="14"/>
  <c r="C115" i="14"/>
  <c r="Z114" i="14"/>
  <c r="Y114" i="14"/>
  <c r="X114" i="14"/>
  <c r="W114" i="14"/>
  <c r="V114" i="14"/>
  <c r="U114" i="14"/>
  <c r="J114" i="14"/>
  <c r="I114" i="14"/>
  <c r="H114" i="14"/>
  <c r="G114" i="14"/>
  <c r="F114" i="14"/>
  <c r="E114" i="14"/>
  <c r="D114" i="14"/>
  <c r="C114" i="14"/>
  <c r="Z113" i="14"/>
  <c r="Y113" i="14"/>
  <c r="X113" i="14"/>
  <c r="W113" i="14"/>
  <c r="V113" i="14"/>
  <c r="U113" i="14"/>
  <c r="J113" i="14"/>
  <c r="I113" i="14"/>
  <c r="H113" i="14"/>
  <c r="G113" i="14"/>
  <c r="F113" i="14"/>
  <c r="E113" i="14"/>
  <c r="D113" i="14"/>
  <c r="C113" i="14"/>
  <c r="Z112" i="14"/>
  <c r="Y112" i="14"/>
  <c r="X112" i="14"/>
  <c r="W112" i="14"/>
  <c r="V112" i="14"/>
  <c r="U112" i="14"/>
  <c r="J112" i="14"/>
  <c r="I112" i="14"/>
  <c r="H112" i="14"/>
  <c r="G112" i="14"/>
  <c r="F112" i="14"/>
  <c r="E112" i="14"/>
  <c r="D112" i="14"/>
  <c r="C112" i="14"/>
  <c r="Z111" i="14"/>
  <c r="Y111" i="14"/>
  <c r="X111" i="14"/>
  <c r="W111" i="14"/>
  <c r="V111" i="14"/>
  <c r="U111" i="14"/>
  <c r="J111" i="14"/>
  <c r="I111" i="14"/>
  <c r="H111" i="14"/>
  <c r="G111" i="14"/>
  <c r="F111" i="14"/>
  <c r="E111" i="14"/>
  <c r="D111" i="14"/>
  <c r="C111" i="14"/>
  <c r="Z110" i="14"/>
  <c r="Y110" i="14"/>
  <c r="X110" i="14"/>
  <c r="W110" i="14"/>
  <c r="V110" i="14"/>
  <c r="U110" i="14"/>
  <c r="J110" i="14"/>
  <c r="I110" i="14"/>
  <c r="H110" i="14"/>
  <c r="G110" i="14"/>
  <c r="F110" i="14"/>
  <c r="E110" i="14"/>
  <c r="D110" i="14"/>
  <c r="C110" i="14"/>
  <c r="Z109" i="14"/>
  <c r="Y109" i="14"/>
  <c r="X109" i="14"/>
  <c r="W109" i="14"/>
  <c r="V109" i="14"/>
  <c r="U109" i="14"/>
  <c r="J109" i="14"/>
  <c r="I109" i="14"/>
  <c r="H109" i="14"/>
  <c r="G109" i="14"/>
  <c r="F109" i="14"/>
  <c r="E109" i="14"/>
  <c r="D109" i="14"/>
  <c r="C109" i="14"/>
  <c r="Z108" i="14"/>
  <c r="Y108" i="14"/>
  <c r="X108" i="14"/>
  <c r="W108" i="14"/>
  <c r="V108" i="14"/>
  <c r="U108" i="14"/>
  <c r="J108" i="14"/>
  <c r="I108" i="14"/>
  <c r="H108" i="14"/>
  <c r="G108" i="14"/>
  <c r="F108" i="14"/>
  <c r="E108" i="14"/>
  <c r="D108" i="14"/>
  <c r="C108" i="14"/>
  <c r="Z107" i="14"/>
  <c r="Y107" i="14"/>
  <c r="X107" i="14"/>
  <c r="W107" i="14"/>
  <c r="V107" i="14"/>
  <c r="U107" i="14"/>
  <c r="J107" i="14"/>
  <c r="I107" i="14"/>
  <c r="H107" i="14"/>
  <c r="G107" i="14"/>
  <c r="F107" i="14"/>
  <c r="E107" i="14"/>
  <c r="D107" i="14"/>
  <c r="C107" i="14"/>
  <c r="Z106" i="14"/>
  <c r="Y106" i="14"/>
  <c r="X106" i="14"/>
  <c r="W106" i="14"/>
  <c r="V106" i="14"/>
  <c r="U106" i="14"/>
  <c r="J106" i="14"/>
  <c r="I106" i="14"/>
  <c r="H106" i="14"/>
  <c r="G106" i="14"/>
  <c r="F106" i="14"/>
  <c r="E106" i="14"/>
  <c r="D106" i="14"/>
  <c r="C106" i="14"/>
  <c r="Z105" i="14"/>
  <c r="Y105" i="14"/>
  <c r="X105" i="14"/>
  <c r="W105" i="14"/>
  <c r="V105" i="14"/>
  <c r="U105" i="14"/>
  <c r="J105" i="14"/>
  <c r="I105" i="14"/>
  <c r="H105" i="14"/>
  <c r="G105" i="14"/>
  <c r="F105" i="14"/>
  <c r="E105" i="14"/>
  <c r="D105" i="14"/>
  <c r="C105" i="14"/>
  <c r="Z104" i="14"/>
  <c r="Y104" i="14"/>
  <c r="X104" i="14"/>
  <c r="W104" i="14"/>
  <c r="V104" i="14"/>
  <c r="U104" i="14"/>
  <c r="J104" i="14"/>
  <c r="I104" i="14"/>
  <c r="H104" i="14"/>
  <c r="G104" i="14"/>
  <c r="F104" i="14"/>
  <c r="E104" i="14"/>
  <c r="D104" i="14"/>
  <c r="C104" i="14"/>
  <c r="Z103" i="14"/>
  <c r="Y103" i="14"/>
  <c r="X103" i="14"/>
  <c r="W103" i="14"/>
  <c r="V103" i="14"/>
  <c r="U103" i="14"/>
  <c r="J103" i="14"/>
  <c r="I103" i="14"/>
  <c r="H103" i="14"/>
  <c r="G103" i="14"/>
  <c r="F103" i="14"/>
  <c r="E103" i="14"/>
  <c r="D103" i="14"/>
  <c r="C103" i="14"/>
  <c r="Z102" i="14"/>
  <c r="Y102" i="14"/>
  <c r="X102" i="14"/>
  <c r="W102" i="14"/>
  <c r="V102" i="14"/>
  <c r="U102" i="14"/>
  <c r="J102" i="14"/>
  <c r="I102" i="14"/>
  <c r="H102" i="14"/>
  <c r="G102" i="14"/>
  <c r="F102" i="14"/>
  <c r="E102" i="14"/>
  <c r="D102" i="14"/>
  <c r="C102" i="14"/>
  <c r="Z101" i="14"/>
  <c r="Y101" i="14"/>
  <c r="X101" i="14"/>
  <c r="W101" i="14"/>
  <c r="V101" i="14"/>
  <c r="U101" i="14"/>
  <c r="J101" i="14"/>
  <c r="I101" i="14"/>
  <c r="H101" i="14"/>
  <c r="G101" i="14"/>
  <c r="F101" i="14"/>
  <c r="E101" i="14"/>
  <c r="D101" i="14"/>
  <c r="C101" i="14"/>
  <c r="Z100" i="14"/>
  <c r="Y100" i="14"/>
  <c r="X100" i="14"/>
  <c r="W100" i="14"/>
  <c r="V100" i="14"/>
  <c r="U100" i="14"/>
  <c r="J100" i="14"/>
  <c r="I100" i="14"/>
  <c r="H100" i="14"/>
  <c r="G100" i="14"/>
  <c r="F100" i="14"/>
  <c r="E100" i="14"/>
  <c r="D100" i="14"/>
  <c r="C100" i="14"/>
  <c r="Z99" i="14"/>
  <c r="Y99" i="14"/>
  <c r="X99" i="14"/>
  <c r="W99" i="14"/>
  <c r="V99" i="14"/>
  <c r="U99" i="14"/>
  <c r="J99" i="14"/>
  <c r="I99" i="14"/>
  <c r="H99" i="14"/>
  <c r="G99" i="14"/>
  <c r="F99" i="14"/>
  <c r="E99" i="14"/>
  <c r="D99" i="14"/>
  <c r="C99" i="14"/>
  <c r="Z98" i="14"/>
  <c r="Y98" i="14"/>
  <c r="X98" i="14"/>
  <c r="W98" i="14"/>
  <c r="V98" i="14"/>
  <c r="U98" i="14"/>
  <c r="J98" i="14"/>
  <c r="I98" i="14"/>
  <c r="H98" i="14"/>
  <c r="G98" i="14"/>
  <c r="F98" i="14"/>
  <c r="E98" i="14"/>
  <c r="D98" i="14"/>
  <c r="C98" i="14"/>
  <c r="Z97" i="14"/>
  <c r="Y97" i="14"/>
  <c r="X97" i="14"/>
  <c r="W97" i="14"/>
  <c r="V97" i="14"/>
  <c r="U97" i="14"/>
  <c r="J97" i="14"/>
  <c r="I97" i="14"/>
  <c r="H97" i="14"/>
  <c r="G97" i="14"/>
  <c r="F97" i="14"/>
  <c r="E97" i="14"/>
  <c r="D97" i="14"/>
  <c r="C97" i="14"/>
  <c r="Z96" i="14"/>
  <c r="Y96" i="14"/>
  <c r="X96" i="14"/>
  <c r="W96" i="14"/>
  <c r="V96" i="14"/>
  <c r="U96" i="14"/>
  <c r="J96" i="14"/>
  <c r="I96" i="14"/>
  <c r="H96" i="14"/>
  <c r="G96" i="14"/>
  <c r="F96" i="14"/>
  <c r="E96" i="14"/>
  <c r="D96" i="14"/>
  <c r="C96" i="14"/>
  <c r="Z95" i="14"/>
  <c r="Y95" i="14"/>
  <c r="X95" i="14"/>
  <c r="W95" i="14"/>
  <c r="V95" i="14"/>
  <c r="U95" i="14"/>
  <c r="J95" i="14"/>
  <c r="I95" i="14"/>
  <c r="H95" i="14"/>
  <c r="G95" i="14"/>
  <c r="F95" i="14"/>
  <c r="E95" i="14"/>
  <c r="D95" i="14"/>
  <c r="C95" i="14"/>
  <c r="Z94" i="14"/>
  <c r="Y94" i="14"/>
  <c r="X94" i="14"/>
  <c r="W94" i="14"/>
  <c r="V94" i="14"/>
  <c r="U94" i="14"/>
  <c r="J94" i="14"/>
  <c r="I94" i="14"/>
  <c r="H94" i="14"/>
  <c r="G94" i="14"/>
  <c r="F94" i="14"/>
  <c r="E94" i="14"/>
  <c r="D94" i="14"/>
  <c r="C94" i="14"/>
  <c r="Z93" i="14"/>
  <c r="Y93" i="14"/>
  <c r="X93" i="14"/>
  <c r="W93" i="14"/>
  <c r="V93" i="14"/>
  <c r="U93" i="14"/>
  <c r="J93" i="14"/>
  <c r="I93" i="14"/>
  <c r="H93" i="14"/>
  <c r="G93" i="14"/>
  <c r="F93" i="14"/>
  <c r="E93" i="14"/>
  <c r="D93" i="14"/>
  <c r="C93" i="14"/>
  <c r="Z92" i="14"/>
  <c r="Y92" i="14"/>
  <c r="X92" i="14"/>
  <c r="W92" i="14"/>
  <c r="V92" i="14"/>
  <c r="U92" i="14"/>
  <c r="J92" i="14"/>
  <c r="I92" i="14"/>
  <c r="H92" i="14"/>
  <c r="G92" i="14"/>
  <c r="F92" i="14"/>
  <c r="E92" i="14"/>
  <c r="D92" i="14"/>
  <c r="C92" i="14"/>
  <c r="Z91" i="14"/>
  <c r="Y91" i="14"/>
  <c r="X91" i="14"/>
  <c r="W91" i="14"/>
  <c r="V91" i="14"/>
  <c r="U91" i="14"/>
  <c r="J91" i="14"/>
  <c r="I91" i="14"/>
  <c r="H91" i="14"/>
  <c r="G91" i="14"/>
  <c r="F91" i="14"/>
  <c r="E91" i="14"/>
  <c r="D91" i="14"/>
  <c r="C91" i="14"/>
  <c r="Z90" i="14"/>
  <c r="Y90" i="14"/>
  <c r="X90" i="14"/>
  <c r="W90" i="14"/>
  <c r="V90" i="14"/>
  <c r="U90" i="14"/>
  <c r="J90" i="14"/>
  <c r="I90" i="14"/>
  <c r="H90" i="14"/>
  <c r="G90" i="14"/>
  <c r="F90" i="14"/>
  <c r="E90" i="14"/>
  <c r="D90" i="14"/>
  <c r="C90" i="14"/>
  <c r="Z89" i="14"/>
  <c r="Y89" i="14"/>
  <c r="X89" i="14"/>
  <c r="W89" i="14"/>
  <c r="V89" i="14"/>
  <c r="U89" i="14"/>
  <c r="J89" i="14"/>
  <c r="I89" i="14"/>
  <c r="H89" i="14"/>
  <c r="G89" i="14"/>
  <c r="F89" i="14"/>
  <c r="E89" i="14"/>
  <c r="D89" i="14"/>
  <c r="C89" i="14"/>
  <c r="Z88" i="14"/>
  <c r="Y88" i="14"/>
  <c r="X88" i="14"/>
  <c r="W88" i="14"/>
  <c r="V88" i="14"/>
  <c r="U88" i="14"/>
  <c r="J88" i="14"/>
  <c r="I88" i="14"/>
  <c r="H88" i="14"/>
  <c r="G88" i="14"/>
  <c r="F88" i="14"/>
  <c r="E88" i="14"/>
  <c r="D88" i="14"/>
  <c r="C88" i="14"/>
  <c r="Z87" i="14"/>
  <c r="Y87" i="14"/>
  <c r="X87" i="14"/>
  <c r="W87" i="14"/>
  <c r="V87" i="14"/>
  <c r="U87" i="14"/>
  <c r="J87" i="14"/>
  <c r="I87" i="14"/>
  <c r="H87" i="14"/>
  <c r="G87" i="14"/>
  <c r="F87" i="14"/>
  <c r="E87" i="14"/>
  <c r="D87" i="14"/>
  <c r="C87" i="14"/>
  <c r="Z86" i="14"/>
  <c r="Y86" i="14"/>
  <c r="X86" i="14"/>
  <c r="W86" i="14"/>
  <c r="V86" i="14"/>
  <c r="U86" i="14"/>
  <c r="J86" i="14"/>
  <c r="I86" i="14"/>
  <c r="H86" i="14"/>
  <c r="G86" i="14"/>
  <c r="F86" i="14"/>
  <c r="E86" i="14"/>
  <c r="D86" i="14"/>
  <c r="C86" i="14"/>
  <c r="Z85" i="14"/>
  <c r="Y85" i="14"/>
  <c r="X85" i="14"/>
  <c r="W85" i="14"/>
  <c r="V85" i="14"/>
  <c r="U85" i="14"/>
  <c r="J85" i="14"/>
  <c r="I85" i="14"/>
  <c r="H85" i="14"/>
  <c r="G85" i="14"/>
  <c r="F85" i="14"/>
  <c r="E85" i="14"/>
  <c r="D85" i="14"/>
  <c r="C85" i="14"/>
  <c r="Z84" i="14"/>
  <c r="Y84" i="14"/>
  <c r="X84" i="14"/>
  <c r="W84" i="14"/>
  <c r="V84" i="14"/>
  <c r="U84" i="14"/>
  <c r="J84" i="14"/>
  <c r="I84" i="14"/>
  <c r="H84" i="14"/>
  <c r="G84" i="14"/>
  <c r="F84" i="14"/>
  <c r="E84" i="14"/>
  <c r="D84" i="14"/>
  <c r="C84" i="14"/>
  <c r="Z83" i="14"/>
  <c r="Y83" i="14"/>
  <c r="X83" i="14"/>
  <c r="W83" i="14"/>
  <c r="V83" i="14"/>
  <c r="U83" i="14"/>
  <c r="J83" i="14"/>
  <c r="I83" i="14"/>
  <c r="H83" i="14"/>
  <c r="G83" i="14"/>
  <c r="F83" i="14"/>
  <c r="E83" i="14"/>
  <c r="D83" i="14"/>
  <c r="C83" i="14"/>
  <c r="Z82" i="14"/>
  <c r="Y82" i="14"/>
  <c r="X82" i="14"/>
  <c r="W82" i="14"/>
  <c r="V82" i="14"/>
  <c r="U82" i="14"/>
  <c r="J82" i="14"/>
  <c r="I82" i="14"/>
  <c r="H82" i="14"/>
  <c r="G82" i="14"/>
  <c r="F82" i="14"/>
  <c r="E82" i="14"/>
  <c r="D82" i="14"/>
  <c r="C82" i="14"/>
  <c r="Z81" i="14"/>
  <c r="Y81" i="14"/>
  <c r="X81" i="14"/>
  <c r="W81" i="14"/>
  <c r="V81" i="14"/>
  <c r="U81" i="14"/>
  <c r="J81" i="14"/>
  <c r="I81" i="14"/>
  <c r="H81" i="14"/>
  <c r="G81" i="14"/>
  <c r="F81" i="14"/>
  <c r="E81" i="14"/>
  <c r="D81" i="14"/>
  <c r="C81" i="14"/>
  <c r="Z80" i="14"/>
  <c r="Y80" i="14"/>
  <c r="X80" i="14"/>
  <c r="W80" i="14"/>
  <c r="V80" i="14"/>
  <c r="U80" i="14"/>
  <c r="J80" i="14"/>
  <c r="I80" i="14"/>
  <c r="H80" i="14"/>
  <c r="G80" i="14"/>
  <c r="F80" i="14"/>
  <c r="E80" i="14"/>
  <c r="D80" i="14"/>
  <c r="C80" i="14"/>
  <c r="Z79" i="14"/>
  <c r="Y79" i="14"/>
  <c r="X79" i="14"/>
  <c r="W79" i="14"/>
  <c r="V79" i="14"/>
  <c r="U79" i="14"/>
  <c r="J79" i="14"/>
  <c r="I79" i="14"/>
  <c r="H79" i="14"/>
  <c r="G79" i="14"/>
  <c r="F79" i="14"/>
  <c r="E79" i="14"/>
  <c r="D79" i="14"/>
  <c r="C79" i="14"/>
  <c r="Z78" i="14"/>
  <c r="Y78" i="14"/>
  <c r="X78" i="14"/>
  <c r="W78" i="14"/>
  <c r="V78" i="14"/>
  <c r="U78" i="14"/>
  <c r="J78" i="14"/>
  <c r="I78" i="14"/>
  <c r="H78" i="14"/>
  <c r="G78" i="14"/>
  <c r="F78" i="14"/>
  <c r="E78" i="14"/>
  <c r="D78" i="14"/>
  <c r="C78" i="14"/>
  <c r="Z77" i="14"/>
  <c r="Y77" i="14"/>
  <c r="X77" i="14"/>
  <c r="W77" i="14"/>
  <c r="V77" i="14"/>
  <c r="U77" i="14"/>
  <c r="J77" i="14"/>
  <c r="I77" i="14"/>
  <c r="H77" i="14"/>
  <c r="G77" i="14"/>
  <c r="F77" i="14"/>
  <c r="E77" i="14"/>
  <c r="D77" i="14"/>
  <c r="C77" i="14"/>
  <c r="Z76" i="14"/>
  <c r="Y76" i="14"/>
  <c r="X76" i="14"/>
  <c r="W76" i="14"/>
  <c r="V76" i="14"/>
  <c r="U76" i="14"/>
  <c r="J76" i="14"/>
  <c r="I76" i="14"/>
  <c r="H76" i="14"/>
  <c r="G76" i="14"/>
  <c r="F76" i="14"/>
  <c r="E76" i="14"/>
  <c r="D76" i="14"/>
  <c r="C76" i="14"/>
  <c r="Z75" i="14"/>
  <c r="Y75" i="14"/>
  <c r="X75" i="14"/>
  <c r="W75" i="14"/>
  <c r="V75" i="14"/>
  <c r="U75" i="14"/>
  <c r="J75" i="14"/>
  <c r="I75" i="14"/>
  <c r="H75" i="14"/>
  <c r="G75" i="14"/>
  <c r="F75" i="14"/>
  <c r="E75" i="14"/>
  <c r="D75" i="14"/>
  <c r="C75" i="14"/>
  <c r="Z74" i="14"/>
  <c r="Y74" i="14"/>
  <c r="X74" i="14"/>
  <c r="W74" i="14"/>
  <c r="V74" i="14"/>
  <c r="U74" i="14"/>
  <c r="J74" i="14"/>
  <c r="I74" i="14"/>
  <c r="H74" i="14"/>
  <c r="G74" i="14"/>
  <c r="F74" i="14"/>
  <c r="E74" i="14"/>
  <c r="D74" i="14"/>
  <c r="C74" i="14"/>
  <c r="Z73" i="14"/>
  <c r="Y73" i="14"/>
  <c r="X73" i="14"/>
  <c r="W73" i="14"/>
  <c r="V73" i="14"/>
  <c r="U73" i="14"/>
  <c r="J73" i="14"/>
  <c r="I73" i="14"/>
  <c r="H73" i="14"/>
  <c r="G73" i="14"/>
  <c r="F73" i="14"/>
  <c r="E73" i="14"/>
  <c r="D73" i="14"/>
  <c r="C73" i="14"/>
  <c r="Z72" i="14"/>
  <c r="Y72" i="14"/>
  <c r="X72" i="14"/>
  <c r="W72" i="14"/>
  <c r="V72" i="14"/>
  <c r="U72" i="14"/>
  <c r="J72" i="14"/>
  <c r="I72" i="14"/>
  <c r="H72" i="14"/>
  <c r="G72" i="14"/>
  <c r="F72" i="14"/>
  <c r="E72" i="14"/>
  <c r="D72" i="14"/>
  <c r="C72" i="14"/>
  <c r="Z71" i="14"/>
  <c r="Y71" i="14"/>
  <c r="X71" i="14"/>
  <c r="W71" i="14"/>
  <c r="V71" i="14"/>
  <c r="U71" i="14"/>
  <c r="J71" i="14"/>
  <c r="I71" i="14"/>
  <c r="H71" i="14"/>
  <c r="G71" i="14"/>
  <c r="F71" i="14"/>
  <c r="E71" i="14"/>
  <c r="D71" i="14"/>
  <c r="C71" i="14"/>
  <c r="Z70" i="14"/>
  <c r="Y70" i="14"/>
  <c r="X70" i="14"/>
  <c r="W70" i="14"/>
  <c r="V70" i="14"/>
  <c r="U70" i="14"/>
  <c r="J70" i="14"/>
  <c r="I70" i="14"/>
  <c r="H70" i="14"/>
  <c r="G70" i="14"/>
  <c r="F70" i="14"/>
  <c r="E70" i="14"/>
  <c r="D70" i="14"/>
  <c r="C70" i="14"/>
  <c r="Z69" i="14"/>
  <c r="Y69" i="14"/>
  <c r="X69" i="14"/>
  <c r="W69" i="14"/>
  <c r="V69" i="14"/>
  <c r="U69" i="14"/>
  <c r="J69" i="14"/>
  <c r="I69" i="14"/>
  <c r="H69" i="14"/>
  <c r="G69" i="14"/>
  <c r="F69" i="14"/>
  <c r="E69" i="14"/>
  <c r="D69" i="14"/>
  <c r="C69" i="14"/>
  <c r="Z68" i="14"/>
  <c r="Y68" i="14"/>
  <c r="X68" i="14"/>
  <c r="W68" i="14"/>
  <c r="V68" i="14"/>
  <c r="U68" i="14"/>
  <c r="J68" i="14"/>
  <c r="I68" i="14"/>
  <c r="H68" i="14"/>
  <c r="G68" i="14"/>
  <c r="F68" i="14"/>
  <c r="E68" i="14"/>
  <c r="D68" i="14"/>
  <c r="C68" i="14"/>
  <c r="Z67" i="14"/>
  <c r="Y67" i="14"/>
  <c r="X67" i="14"/>
  <c r="W67" i="14"/>
  <c r="V67" i="14"/>
  <c r="U67" i="14"/>
  <c r="J67" i="14"/>
  <c r="I67" i="14"/>
  <c r="H67" i="14"/>
  <c r="G67" i="14"/>
  <c r="F67" i="14"/>
  <c r="E67" i="14"/>
  <c r="D67" i="14"/>
  <c r="C67" i="14"/>
  <c r="Z66" i="14"/>
  <c r="Y66" i="14"/>
  <c r="X66" i="14"/>
  <c r="W66" i="14"/>
  <c r="V66" i="14"/>
  <c r="U66" i="14"/>
  <c r="J66" i="14"/>
  <c r="I66" i="14"/>
  <c r="H66" i="14"/>
  <c r="G66" i="14"/>
  <c r="F66" i="14"/>
  <c r="E66" i="14"/>
  <c r="D66" i="14"/>
  <c r="C66" i="14"/>
  <c r="Z65" i="14"/>
  <c r="Y65" i="14"/>
  <c r="X65" i="14"/>
  <c r="W65" i="14"/>
  <c r="V65" i="14"/>
  <c r="U65" i="14"/>
  <c r="J65" i="14"/>
  <c r="I65" i="14"/>
  <c r="H65" i="14"/>
  <c r="G65" i="14"/>
  <c r="F65" i="14"/>
  <c r="E65" i="14"/>
  <c r="D65" i="14"/>
  <c r="C65" i="14"/>
  <c r="Z64" i="14"/>
  <c r="Y64" i="14"/>
  <c r="X64" i="14"/>
  <c r="W64" i="14"/>
  <c r="V64" i="14"/>
  <c r="U64" i="14"/>
  <c r="J64" i="14"/>
  <c r="I64" i="14"/>
  <c r="H64" i="14"/>
  <c r="G64" i="14"/>
  <c r="F64" i="14"/>
  <c r="E64" i="14"/>
  <c r="D64" i="14"/>
  <c r="C64" i="14"/>
  <c r="Z63" i="14"/>
  <c r="Y63" i="14"/>
  <c r="X63" i="14"/>
  <c r="W63" i="14"/>
  <c r="V63" i="14"/>
  <c r="U63" i="14"/>
  <c r="J63" i="14"/>
  <c r="I63" i="14"/>
  <c r="H63" i="14"/>
  <c r="G63" i="14"/>
  <c r="F63" i="14"/>
  <c r="E63" i="14"/>
  <c r="D63" i="14"/>
  <c r="C63" i="14"/>
  <c r="Z62" i="14"/>
  <c r="Y62" i="14"/>
  <c r="X62" i="14"/>
  <c r="W62" i="14"/>
  <c r="V62" i="14"/>
  <c r="U62" i="14"/>
  <c r="J62" i="14"/>
  <c r="I62" i="14"/>
  <c r="H62" i="14"/>
  <c r="G62" i="14"/>
  <c r="F62" i="14"/>
  <c r="E62" i="14"/>
  <c r="D62" i="14"/>
  <c r="C62" i="14"/>
  <c r="Z61" i="14"/>
  <c r="Y61" i="14"/>
  <c r="X61" i="14"/>
  <c r="W61" i="14"/>
  <c r="V61" i="14"/>
  <c r="U61" i="14"/>
  <c r="J61" i="14"/>
  <c r="I61" i="14"/>
  <c r="H61" i="14"/>
  <c r="G61" i="14"/>
  <c r="F61" i="14"/>
  <c r="E61" i="14"/>
  <c r="D61" i="14"/>
  <c r="C61" i="14"/>
  <c r="Z60" i="14"/>
  <c r="Y60" i="14"/>
  <c r="X60" i="14"/>
  <c r="W60" i="14"/>
  <c r="V60" i="14"/>
  <c r="U60" i="14"/>
  <c r="J60" i="14"/>
  <c r="I60" i="14"/>
  <c r="H60" i="14"/>
  <c r="G60" i="14"/>
  <c r="F60" i="14"/>
  <c r="E60" i="14"/>
  <c r="D60" i="14"/>
  <c r="C60" i="14"/>
  <c r="Z59" i="14"/>
  <c r="Y59" i="14"/>
  <c r="X59" i="14"/>
  <c r="W59" i="14"/>
  <c r="V59" i="14"/>
  <c r="U59" i="14"/>
  <c r="J59" i="14"/>
  <c r="I59" i="14"/>
  <c r="H59" i="14"/>
  <c r="G59" i="14"/>
  <c r="F59" i="14"/>
  <c r="E59" i="14"/>
  <c r="D59" i="14"/>
  <c r="C59" i="14"/>
  <c r="Z58" i="14"/>
  <c r="Y58" i="14"/>
  <c r="X58" i="14"/>
  <c r="W58" i="14"/>
  <c r="V58" i="14"/>
  <c r="U58" i="14"/>
  <c r="J58" i="14"/>
  <c r="I58" i="14"/>
  <c r="H58" i="14"/>
  <c r="G58" i="14"/>
  <c r="F58" i="14"/>
  <c r="E58" i="14"/>
  <c r="D58" i="14"/>
  <c r="C58" i="14"/>
  <c r="Z57" i="14"/>
  <c r="Y57" i="14"/>
  <c r="X57" i="14"/>
  <c r="W57" i="14"/>
  <c r="V57" i="14"/>
  <c r="U57" i="14"/>
  <c r="J57" i="14"/>
  <c r="I57" i="14"/>
  <c r="H57" i="14"/>
  <c r="G57" i="14"/>
  <c r="F57" i="14"/>
  <c r="E57" i="14"/>
  <c r="D57" i="14"/>
  <c r="C57" i="14"/>
  <c r="Z56" i="14"/>
  <c r="Y56" i="14"/>
  <c r="X56" i="14"/>
  <c r="W56" i="14"/>
  <c r="V56" i="14"/>
  <c r="U56" i="14"/>
  <c r="J56" i="14"/>
  <c r="I56" i="14"/>
  <c r="H56" i="14"/>
  <c r="G56" i="14"/>
  <c r="F56" i="14"/>
  <c r="E56" i="14"/>
  <c r="D56" i="14"/>
  <c r="C56" i="14"/>
  <c r="Z55" i="14"/>
  <c r="Y55" i="14"/>
  <c r="X55" i="14"/>
  <c r="W55" i="14"/>
  <c r="V55" i="14"/>
  <c r="U55" i="14"/>
  <c r="J55" i="14"/>
  <c r="I55" i="14"/>
  <c r="H55" i="14"/>
  <c r="G55" i="14"/>
  <c r="F55" i="14"/>
  <c r="E55" i="14"/>
  <c r="D55" i="14"/>
  <c r="C55" i="14"/>
  <c r="Z54" i="14"/>
  <c r="Y54" i="14"/>
  <c r="X54" i="14"/>
  <c r="W54" i="14"/>
  <c r="V54" i="14"/>
  <c r="U54" i="14"/>
  <c r="J54" i="14"/>
  <c r="I54" i="14"/>
  <c r="H54" i="14"/>
  <c r="G54" i="14"/>
  <c r="F54" i="14"/>
  <c r="E54" i="14"/>
  <c r="D54" i="14"/>
  <c r="C54" i="14"/>
  <c r="Z53" i="14"/>
  <c r="Y53" i="14"/>
  <c r="X53" i="14"/>
  <c r="W53" i="14"/>
  <c r="V53" i="14"/>
  <c r="U53" i="14"/>
  <c r="J53" i="14"/>
  <c r="I53" i="14"/>
  <c r="H53" i="14"/>
  <c r="G53" i="14"/>
  <c r="F53" i="14"/>
  <c r="E53" i="14"/>
  <c r="D53" i="14"/>
  <c r="C53" i="14"/>
  <c r="Z52" i="14"/>
  <c r="Y52" i="14"/>
  <c r="X52" i="14"/>
  <c r="W52" i="14"/>
  <c r="V52" i="14"/>
  <c r="U52" i="14"/>
  <c r="J52" i="14"/>
  <c r="I52" i="14"/>
  <c r="H52" i="14"/>
  <c r="G52" i="14"/>
  <c r="F52" i="14"/>
  <c r="E52" i="14"/>
  <c r="D52" i="14"/>
  <c r="C52" i="14"/>
  <c r="Z51" i="14"/>
  <c r="Y51" i="14"/>
  <c r="X51" i="14"/>
  <c r="W51" i="14"/>
  <c r="V51" i="14"/>
  <c r="U51" i="14"/>
  <c r="J51" i="14"/>
  <c r="I51" i="14"/>
  <c r="H51" i="14"/>
  <c r="G51" i="14"/>
  <c r="F51" i="14"/>
  <c r="E51" i="14"/>
  <c r="D51" i="14"/>
  <c r="C51" i="14"/>
  <c r="Z50" i="14"/>
  <c r="Y50" i="14"/>
  <c r="X50" i="14"/>
  <c r="W50" i="14"/>
  <c r="V50" i="14"/>
  <c r="U50" i="14"/>
  <c r="J50" i="14"/>
  <c r="I50" i="14"/>
  <c r="H50" i="14"/>
  <c r="G50" i="14"/>
  <c r="F50" i="14"/>
  <c r="E50" i="14"/>
  <c r="D50" i="14"/>
  <c r="C50" i="14"/>
  <c r="Z49" i="14"/>
  <c r="Y49" i="14"/>
  <c r="X49" i="14"/>
  <c r="W49" i="14"/>
  <c r="V49" i="14"/>
  <c r="U49" i="14"/>
  <c r="J49" i="14"/>
  <c r="I49" i="14"/>
  <c r="H49" i="14"/>
  <c r="G49" i="14"/>
  <c r="F49" i="14"/>
  <c r="E49" i="14"/>
  <c r="D49" i="14"/>
  <c r="C49" i="14"/>
  <c r="Z48" i="14"/>
  <c r="Y48" i="14"/>
  <c r="X48" i="14"/>
  <c r="W48" i="14"/>
  <c r="V48" i="14"/>
  <c r="U48" i="14"/>
  <c r="J48" i="14"/>
  <c r="I48" i="14"/>
  <c r="H48" i="14"/>
  <c r="G48" i="14"/>
  <c r="F48" i="14"/>
  <c r="E48" i="14"/>
  <c r="D48" i="14"/>
  <c r="C48" i="14"/>
  <c r="Z47" i="14"/>
  <c r="Y47" i="14"/>
  <c r="X47" i="14"/>
  <c r="W47" i="14"/>
  <c r="V47" i="14"/>
  <c r="U47" i="14"/>
  <c r="J47" i="14"/>
  <c r="I47" i="14"/>
  <c r="H47" i="14"/>
  <c r="G47" i="14"/>
  <c r="F47" i="14"/>
  <c r="E47" i="14"/>
  <c r="D47" i="14"/>
  <c r="C47" i="14"/>
  <c r="Z46" i="14"/>
  <c r="Y46" i="14"/>
  <c r="X46" i="14"/>
  <c r="W46" i="14"/>
  <c r="V46" i="14"/>
  <c r="U46" i="14"/>
  <c r="J46" i="14"/>
  <c r="I46" i="14"/>
  <c r="H46" i="14"/>
  <c r="G46" i="14"/>
  <c r="F46" i="14"/>
  <c r="E46" i="14"/>
  <c r="D46" i="14"/>
  <c r="C46" i="14"/>
  <c r="Z45" i="14"/>
  <c r="Y45" i="14"/>
  <c r="X45" i="14"/>
  <c r="W45" i="14"/>
  <c r="V45" i="14"/>
  <c r="U45" i="14"/>
  <c r="J45" i="14"/>
  <c r="I45" i="14"/>
  <c r="H45" i="14"/>
  <c r="G45" i="14"/>
  <c r="F45" i="14"/>
  <c r="E45" i="14"/>
  <c r="D45" i="14"/>
  <c r="C45" i="14"/>
  <c r="Z44" i="14"/>
  <c r="Y44" i="14"/>
  <c r="X44" i="14"/>
  <c r="W44" i="14"/>
  <c r="V44" i="14"/>
  <c r="U44" i="14"/>
  <c r="J44" i="14"/>
  <c r="I44" i="14"/>
  <c r="H44" i="14"/>
  <c r="G44" i="14"/>
  <c r="F44" i="14"/>
  <c r="E44" i="14"/>
  <c r="D44" i="14"/>
  <c r="C44" i="14"/>
  <c r="Z43" i="14"/>
  <c r="Y43" i="14"/>
  <c r="X43" i="14"/>
  <c r="W43" i="14"/>
  <c r="V43" i="14"/>
  <c r="U43" i="14"/>
  <c r="J43" i="14"/>
  <c r="I43" i="14"/>
  <c r="H43" i="14"/>
  <c r="G43" i="14"/>
  <c r="F43" i="14"/>
  <c r="E43" i="14"/>
  <c r="D43" i="14"/>
  <c r="C43" i="14"/>
  <c r="Z42" i="14"/>
  <c r="Y42" i="14"/>
  <c r="X42" i="14"/>
  <c r="W42" i="14"/>
  <c r="V42" i="14"/>
  <c r="U42" i="14"/>
  <c r="J42" i="14"/>
  <c r="I42" i="14"/>
  <c r="H42" i="14"/>
  <c r="G42" i="14"/>
  <c r="F42" i="14"/>
  <c r="E42" i="14"/>
  <c r="D42" i="14"/>
  <c r="C42" i="14"/>
  <c r="Z41" i="14"/>
  <c r="Y41" i="14"/>
  <c r="X41" i="14"/>
  <c r="W41" i="14"/>
  <c r="V41" i="14"/>
  <c r="U41" i="14"/>
  <c r="J41" i="14"/>
  <c r="I41" i="14"/>
  <c r="H41" i="14"/>
  <c r="G41" i="14"/>
  <c r="F41" i="14"/>
  <c r="E41" i="14"/>
  <c r="D41" i="14"/>
  <c r="C41" i="14"/>
  <c r="Z40" i="14"/>
  <c r="Y40" i="14"/>
  <c r="X40" i="14"/>
  <c r="W40" i="14"/>
  <c r="V40" i="14"/>
  <c r="U40" i="14"/>
  <c r="J40" i="14"/>
  <c r="I40" i="14"/>
  <c r="H40" i="14"/>
  <c r="G40" i="14"/>
  <c r="F40" i="14"/>
  <c r="E40" i="14"/>
  <c r="D40" i="14"/>
  <c r="C40" i="14"/>
  <c r="Z39" i="14"/>
  <c r="Y39" i="14"/>
  <c r="X39" i="14"/>
  <c r="W39" i="14"/>
  <c r="V39" i="14"/>
  <c r="U39" i="14"/>
  <c r="J39" i="14"/>
  <c r="I39" i="14"/>
  <c r="H39" i="14"/>
  <c r="G39" i="14"/>
  <c r="F39" i="14"/>
  <c r="E39" i="14"/>
  <c r="D39" i="14"/>
  <c r="C39" i="14"/>
  <c r="Z38" i="14"/>
  <c r="Y38" i="14"/>
  <c r="X38" i="14"/>
  <c r="W38" i="14"/>
  <c r="V38" i="14"/>
  <c r="U38" i="14"/>
  <c r="J38" i="14"/>
  <c r="I38" i="14"/>
  <c r="H38" i="14"/>
  <c r="G38" i="14"/>
  <c r="F38" i="14"/>
  <c r="E38" i="14"/>
  <c r="D38" i="14"/>
  <c r="C38" i="14"/>
  <c r="Z37" i="14"/>
  <c r="Y37" i="14"/>
  <c r="X37" i="14"/>
  <c r="W37" i="14"/>
  <c r="V37" i="14"/>
  <c r="U37" i="14"/>
  <c r="J37" i="14"/>
  <c r="I37" i="14"/>
  <c r="H37" i="14"/>
  <c r="G37" i="14"/>
  <c r="F37" i="14"/>
  <c r="E37" i="14"/>
  <c r="D37" i="14"/>
  <c r="C37" i="14"/>
  <c r="Z36" i="14"/>
  <c r="Y36" i="14"/>
  <c r="X36" i="14"/>
  <c r="W36" i="14"/>
  <c r="V36" i="14"/>
  <c r="U36" i="14"/>
  <c r="J36" i="14"/>
  <c r="I36" i="14"/>
  <c r="H36" i="14"/>
  <c r="G36" i="14"/>
  <c r="F36" i="14"/>
  <c r="E36" i="14"/>
  <c r="D36" i="14"/>
  <c r="C36" i="14"/>
  <c r="Z35" i="14"/>
  <c r="Y35" i="14"/>
  <c r="X35" i="14"/>
  <c r="W35" i="14"/>
  <c r="V35" i="14"/>
  <c r="U35" i="14"/>
  <c r="J35" i="14"/>
  <c r="I35" i="14"/>
  <c r="H35" i="14"/>
  <c r="G35" i="14"/>
  <c r="F35" i="14"/>
  <c r="E35" i="14"/>
  <c r="D35" i="14"/>
  <c r="C35" i="14"/>
  <c r="Z34" i="14"/>
  <c r="Y34" i="14"/>
  <c r="X34" i="14"/>
  <c r="W34" i="14"/>
  <c r="V34" i="14"/>
  <c r="U34" i="14"/>
  <c r="J34" i="14"/>
  <c r="I34" i="14"/>
  <c r="H34" i="14"/>
  <c r="G34" i="14"/>
  <c r="F34" i="14"/>
  <c r="E34" i="14"/>
  <c r="D34" i="14"/>
  <c r="C34" i="14"/>
  <c r="Z33" i="14"/>
  <c r="Y33" i="14"/>
  <c r="X33" i="14"/>
  <c r="W33" i="14"/>
  <c r="V33" i="14"/>
  <c r="U33" i="14"/>
  <c r="J33" i="14"/>
  <c r="I33" i="14"/>
  <c r="H33" i="14"/>
  <c r="G33" i="14"/>
  <c r="F33" i="14"/>
  <c r="E33" i="14"/>
  <c r="D33" i="14"/>
  <c r="C33" i="14"/>
  <c r="Z32" i="14"/>
  <c r="Y32" i="14"/>
  <c r="X32" i="14"/>
  <c r="W32" i="14"/>
  <c r="V32" i="14"/>
  <c r="U32" i="14"/>
  <c r="J32" i="14"/>
  <c r="I32" i="14"/>
  <c r="H32" i="14"/>
  <c r="G32" i="14"/>
  <c r="F32" i="14"/>
  <c r="E32" i="14"/>
  <c r="D32" i="14"/>
  <c r="C32" i="14"/>
  <c r="Z31" i="14"/>
  <c r="Y31" i="14"/>
  <c r="X31" i="14"/>
  <c r="W31" i="14"/>
  <c r="V31" i="14"/>
  <c r="U31" i="14"/>
  <c r="J31" i="14"/>
  <c r="I31" i="14"/>
  <c r="H31" i="14"/>
  <c r="G31" i="14"/>
  <c r="F31" i="14"/>
  <c r="E31" i="14"/>
  <c r="D31" i="14"/>
  <c r="C31" i="14"/>
  <c r="Z30" i="14"/>
  <c r="Y30" i="14"/>
  <c r="X30" i="14"/>
  <c r="W30" i="14"/>
  <c r="V30" i="14"/>
  <c r="U30" i="14"/>
  <c r="J30" i="14"/>
  <c r="I30" i="14"/>
  <c r="H30" i="14"/>
  <c r="G30" i="14"/>
  <c r="F30" i="14"/>
  <c r="E30" i="14"/>
  <c r="D30" i="14"/>
  <c r="C30" i="14"/>
  <c r="Z29" i="14"/>
  <c r="Y29" i="14"/>
  <c r="X29" i="14"/>
  <c r="W29" i="14"/>
  <c r="V29" i="14"/>
  <c r="U29" i="14"/>
  <c r="J29" i="14"/>
  <c r="I29" i="14"/>
  <c r="H29" i="14"/>
  <c r="G29" i="14"/>
  <c r="F29" i="14"/>
  <c r="E29" i="14"/>
  <c r="D29" i="14"/>
  <c r="C29" i="14"/>
  <c r="Z28" i="14"/>
  <c r="Y28" i="14"/>
  <c r="X28" i="14"/>
  <c r="W28" i="14"/>
  <c r="V28" i="14"/>
  <c r="U28" i="14"/>
  <c r="J28" i="14"/>
  <c r="I28" i="14"/>
  <c r="H28" i="14"/>
  <c r="G28" i="14"/>
  <c r="F28" i="14"/>
  <c r="E28" i="14"/>
  <c r="D28" i="14"/>
  <c r="C28" i="14"/>
  <c r="Z27" i="14"/>
  <c r="Y27" i="14"/>
  <c r="X27" i="14"/>
  <c r="W27" i="14"/>
  <c r="V27" i="14"/>
  <c r="U27" i="14"/>
  <c r="J27" i="14"/>
  <c r="I27" i="14"/>
  <c r="H27" i="14"/>
  <c r="G27" i="14"/>
  <c r="F27" i="14"/>
  <c r="E27" i="14"/>
  <c r="D27" i="14"/>
  <c r="C27" i="14"/>
  <c r="Z26" i="14"/>
  <c r="Y26" i="14"/>
  <c r="X26" i="14"/>
  <c r="W26" i="14"/>
  <c r="V26" i="14"/>
  <c r="U26" i="14"/>
  <c r="J26" i="14"/>
  <c r="I26" i="14"/>
  <c r="H26" i="14"/>
  <c r="G26" i="14"/>
  <c r="F26" i="14"/>
  <c r="E26" i="14"/>
  <c r="D26" i="14"/>
  <c r="C26" i="14"/>
  <c r="Z25" i="14"/>
  <c r="Y25" i="14"/>
  <c r="X25" i="14"/>
  <c r="W25" i="14"/>
  <c r="V25" i="14"/>
  <c r="U25" i="14"/>
  <c r="J25" i="14"/>
  <c r="I25" i="14"/>
  <c r="H25" i="14"/>
  <c r="G25" i="14"/>
  <c r="F25" i="14"/>
  <c r="E25" i="14"/>
  <c r="D25" i="14"/>
  <c r="C25" i="14"/>
  <c r="Z24" i="14"/>
  <c r="Y24" i="14"/>
  <c r="X24" i="14"/>
  <c r="W24" i="14"/>
  <c r="V24" i="14"/>
  <c r="U24" i="14"/>
  <c r="J24" i="14"/>
  <c r="I24" i="14"/>
  <c r="H24" i="14"/>
  <c r="G24" i="14"/>
  <c r="F24" i="14"/>
  <c r="E24" i="14"/>
  <c r="D24" i="14"/>
  <c r="C24" i="14"/>
  <c r="Z23" i="14"/>
  <c r="Y23" i="14"/>
  <c r="X23" i="14"/>
  <c r="W23" i="14"/>
  <c r="V23" i="14"/>
  <c r="U23" i="14"/>
  <c r="J23" i="14"/>
  <c r="I23" i="14"/>
  <c r="H23" i="14"/>
  <c r="G23" i="14"/>
  <c r="F23" i="14"/>
  <c r="E23" i="14"/>
  <c r="D23" i="14"/>
  <c r="C23" i="14"/>
  <c r="Z22" i="14"/>
  <c r="Y22" i="14"/>
  <c r="X22" i="14"/>
  <c r="W22" i="14"/>
  <c r="V22" i="14"/>
  <c r="U22" i="14"/>
  <c r="J22" i="14"/>
  <c r="I22" i="14"/>
  <c r="H22" i="14"/>
  <c r="G22" i="14"/>
  <c r="F22" i="14"/>
  <c r="E22" i="14"/>
  <c r="D22" i="14"/>
  <c r="C22" i="14"/>
  <c r="Z21" i="14"/>
  <c r="Y21" i="14"/>
  <c r="X21" i="14"/>
  <c r="W21" i="14"/>
  <c r="V21" i="14"/>
  <c r="U21" i="14"/>
  <c r="J21" i="14"/>
  <c r="I21" i="14"/>
  <c r="H21" i="14"/>
  <c r="G21" i="14"/>
  <c r="F21" i="14"/>
  <c r="E21" i="14"/>
  <c r="D21" i="14"/>
  <c r="C21" i="14"/>
  <c r="Z20" i="14"/>
  <c r="Y20" i="14"/>
  <c r="X20" i="14"/>
  <c r="W20" i="14"/>
  <c r="V20" i="14"/>
  <c r="U20" i="14"/>
  <c r="J20" i="14"/>
  <c r="I20" i="14"/>
  <c r="H20" i="14"/>
  <c r="G20" i="14"/>
  <c r="F20" i="14"/>
  <c r="E20" i="14"/>
  <c r="D20" i="14"/>
  <c r="C20" i="14"/>
  <c r="Z19" i="14"/>
  <c r="Y19" i="14"/>
  <c r="X19" i="14"/>
  <c r="W19" i="14"/>
  <c r="V19" i="14"/>
  <c r="U19" i="14"/>
  <c r="J19" i="14"/>
  <c r="I19" i="14"/>
  <c r="H19" i="14"/>
  <c r="G19" i="14"/>
  <c r="F19" i="14"/>
  <c r="E19" i="14"/>
  <c r="D19" i="14"/>
  <c r="C19" i="14"/>
  <c r="Z18" i="14"/>
  <c r="Y18" i="14"/>
  <c r="X18" i="14"/>
  <c r="W18" i="14"/>
  <c r="V18" i="14"/>
  <c r="U18" i="14"/>
  <c r="J18" i="14"/>
  <c r="I18" i="14"/>
  <c r="H18" i="14"/>
  <c r="G18" i="14"/>
  <c r="F18" i="14"/>
  <c r="E18" i="14"/>
  <c r="D18" i="14"/>
  <c r="C18" i="14"/>
  <c r="Z17" i="14"/>
  <c r="Y17" i="14"/>
  <c r="X17" i="14"/>
  <c r="W17" i="14"/>
  <c r="V17" i="14"/>
  <c r="U17" i="14"/>
  <c r="J17" i="14"/>
  <c r="I17" i="14"/>
  <c r="H17" i="14"/>
  <c r="G17" i="14"/>
  <c r="F17" i="14"/>
  <c r="E17" i="14"/>
  <c r="D17" i="14"/>
  <c r="C17" i="14"/>
  <c r="Z16" i="14"/>
  <c r="Y16" i="14"/>
  <c r="X16" i="14"/>
  <c r="W16" i="14"/>
  <c r="V16" i="14"/>
  <c r="U16" i="14"/>
  <c r="J16" i="14"/>
  <c r="I16" i="14"/>
  <c r="H16" i="14"/>
  <c r="G16" i="14"/>
  <c r="F16" i="14"/>
  <c r="E16" i="14"/>
  <c r="D16" i="14"/>
  <c r="C16" i="14"/>
  <c r="Z15" i="14"/>
  <c r="Y15" i="14"/>
  <c r="X15" i="14"/>
  <c r="W15" i="14"/>
  <c r="V15" i="14"/>
  <c r="U15" i="14"/>
  <c r="J15" i="14"/>
  <c r="I15" i="14"/>
  <c r="H15" i="14"/>
  <c r="G15" i="14"/>
  <c r="F15" i="14"/>
  <c r="E15" i="14"/>
  <c r="D15" i="14"/>
  <c r="C15" i="14"/>
  <c r="Z14" i="14"/>
  <c r="Y14" i="14"/>
  <c r="X14" i="14"/>
  <c r="W14" i="14"/>
  <c r="V14" i="14"/>
  <c r="U14" i="14"/>
  <c r="J14" i="14"/>
  <c r="I14" i="14"/>
  <c r="H14" i="14"/>
  <c r="G14" i="14"/>
  <c r="F14" i="14"/>
  <c r="E14" i="14"/>
  <c r="D14" i="14"/>
  <c r="C14" i="14"/>
  <c r="Z13" i="14"/>
  <c r="Y13" i="14"/>
  <c r="X13" i="14"/>
  <c r="W13" i="14"/>
  <c r="V13" i="14"/>
  <c r="U13" i="14"/>
  <c r="J13" i="14"/>
  <c r="I13" i="14"/>
  <c r="H13" i="14"/>
  <c r="G13" i="14"/>
  <c r="F13" i="14"/>
  <c r="E13" i="14"/>
  <c r="D13" i="14"/>
  <c r="C13" i="14"/>
  <c r="Z12" i="14"/>
  <c r="Y12" i="14"/>
  <c r="X12" i="14"/>
  <c r="W12" i="14"/>
  <c r="V12" i="14"/>
  <c r="U12" i="14"/>
  <c r="J12" i="14"/>
  <c r="I12" i="14"/>
  <c r="H12" i="14"/>
  <c r="G12" i="14"/>
  <c r="F12" i="14"/>
  <c r="E12" i="14"/>
  <c r="D12" i="14"/>
  <c r="C12" i="14"/>
  <c r="Z11" i="14"/>
  <c r="Y11" i="14"/>
  <c r="X11" i="14"/>
  <c r="W11" i="14"/>
  <c r="V11" i="14"/>
  <c r="U11" i="14"/>
  <c r="J11" i="14"/>
  <c r="I11" i="14"/>
  <c r="H11" i="14"/>
  <c r="G11" i="14"/>
  <c r="F11" i="14"/>
  <c r="E11" i="14"/>
  <c r="D11" i="14"/>
  <c r="C11" i="14"/>
  <c r="Z10" i="14"/>
  <c r="Y10" i="14"/>
  <c r="X10" i="14"/>
  <c r="W10" i="14"/>
  <c r="V10" i="14"/>
  <c r="U10" i="14"/>
  <c r="J10" i="14"/>
  <c r="I10" i="14"/>
  <c r="H10" i="14"/>
  <c r="G10" i="14"/>
  <c r="F10" i="14"/>
  <c r="E10" i="14"/>
  <c r="D10" i="14"/>
  <c r="C10" i="14"/>
  <c r="Z9" i="14"/>
  <c r="Y9" i="14"/>
  <c r="X9" i="14"/>
  <c r="W9" i="14"/>
  <c r="V9" i="14"/>
  <c r="U9" i="14"/>
  <c r="J9" i="14"/>
  <c r="I9" i="14"/>
  <c r="H9" i="14"/>
  <c r="G9" i="14"/>
  <c r="F9" i="14"/>
  <c r="E9" i="14"/>
  <c r="D9" i="14"/>
  <c r="C9" i="14"/>
  <c r="Z8" i="14"/>
  <c r="Y8" i="14"/>
  <c r="X8" i="14"/>
  <c r="W8" i="14"/>
  <c r="V8" i="14"/>
  <c r="U8" i="14"/>
  <c r="J8" i="14"/>
  <c r="I8" i="14"/>
  <c r="H8" i="14"/>
  <c r="G8" i="14"/>
  <c r="F8" i="14"/>
  <c r="E8" i="14"/>
  <c r="D8" i="14"/>
  <c r="C8" i="14"/>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C151"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C150"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C149"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C148"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C147"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C146"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C145"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C144"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C143"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C142"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C141"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C140"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C139"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C138"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C137"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C136" i="13"/>
  <c r="Z135" i="13"/>
  <c r="Y135" i="13"/>
  <c r="X135" i="13"/>
  <c r="W135" i="13"/>
  <c r="V135" i="13"/>
  <c r="U135" i="13"/>
  <c r="T135" i="13"/>
  <c r="S135" i="13"/>
  <c r="R135" i="13"/>
  <c r="Q135" i="13"/>
  <c r="P135" i="13"/>
  <c r="O135" i="13"/>
  <c r="N135" i="13"/>
  <c r="M135" i="13"/>
  <c r="L135" i="13"/>
  <c r="K135" i="13"/>
  <c r="J135" i="13"/>
  <c r="I135" i="13"/>
  <c r="H135" i="13"/>
  <c r="G135" i="13"/>
  <c r="F135" i="13"/>
  <c r="E135" i="13"/>
  <c r="D135" i="13"/>
  <c r="C135"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C134"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C133"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C132"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C131"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C130"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C129"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C128"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C127"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C126"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C125"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C124"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C123"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C122"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C121"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C120"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C119"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C118"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C117"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C116"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C115"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C114"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C113"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C112"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C111"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C110"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C109"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C108"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C107"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C106"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C105"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C104"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C103"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C102"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C101"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C100" i="13"/>
  <c r="Z99" i="13"/>
  <c r="Y99" i="13"/>
  <c r="X99" i="13"/>
  <c r="W99" i="13"/>
  <c r="V99" i="13"/>
  <c r="U99" i="13"/>
  <c r="T99" i="13"/>
  <c r="S99" i="13"/>
  <c r="R99" i="13"/>
  <c r="Q99" i="13"/>
  <c r="P99" i="13"/>
  <c r="O99" i="13"/>
  <c r="N99" i="13"/>
  <c r="M99" i="13"/>
  <c r="L99" i="13"/>
  <c r="K99" i="13"/>
  <c r="J99" i="13"/>
  <c r="I99" i="13"/>
  <c r="H99" i="13"/>
  <c r="G99" i="13"/>
  <c r="F99" i="13"/>
  <c r="E99" i="13"/>
  <c r="D99" i="13"/>
  <c r="C99" i="13"/>
  <c r="Z98" i="13"/>
  <c r="Y98" i="13"/>
  <c r="X98" i="13"/>
  <c r="W98" i="13"/>
  <c r="V98" i="13"/>
  <c r="U98" i="13"/>
  <c r="T98" i="13"/>
  <c r="S98" i="13"/>
  <c r="R98" i="13"/>
  <c r="Q98" i="13"/>
  <c r="P98" i="13"/>
  <c r="O98" i="13"/>
  <c r="N98" i="13"/>
  <c r="M98" i="13"/>
  <c r="L98" i="13"/>
  <c r="K98" i="13"/>
  <c r="J98" i="13"/>
  <c r="I98" i="13"/>
  <c r="H98" i="13"/>
  <c r="G98" i="13"/>
  <c r="F98" i="13"/>
  <c r="E98" i="13"/>
  <c r="D98" i="13"/>
  <c r="C98" i="13"/>
  <c r="Z97" i="13"/>
  <c r="Y97" i="13"/>
  <c r="X97" i="13"/>
  <c r="W97" i="13"/>
  <c r="V97" i="13"/>
  <c r="U97" i="13"/>
  <c r="T97" i="13"/>
  <c r="S97" i="13"/>
  <c r="R97" i="13"/>
  <c r="Q97" i="13"/>
  <c r="P97" i="13"/>
  <c r="O97" i="13"/>
  <c r="N97" i="13"/>
  <c r="M97" i="13"/>
  <c r="L97" i="13"/>
  <c r="K97" i="13"/>
  <c r="J97" i="13"/>
  <c r="I97" i="13"/>
  <c r="H97" i="13"/>
  <c r="G97" i="13"/>
  <c r="F97" i="13"/>
  <c r="E97" i="13"/>
  <c r="D97" i="13"/>
  <c r="C97" i="13"/>
  <c r="Z96" i="13"/>
  <c r="Y96" i="13"/>
  <c r="X96" i="13"/>
  <c r="W96" i="13"/>
  <c r="V96" i="13"/>
  <c r="U96" i="13"/>
  <c r="T96" i="13"/>
  <c r="S96" i="13"/>
  <c r="R96" i="13"/>
  <c r="Q96" i="13"/>
  <c r="P96" i="13"/>
  <c r="O96" i="13"/>
  <c r="N96" i="13"/>
  <c r="M96" i="13"/>
  <c r="L96" i="13"/>
  <c r="K96" i="13"/>
  <c r="J96" i="13"/>
  <c r="I96" i="13"/>
  <c r="H96" i="13"/>
  <c r="G96" i="13"/>
  <c r="F96" i="13"/>
  <c r="E96" i="13"/>
  <c r="D96" i="13"/>
  <c r="C96" i="13"/>
  <c r="Z95" i="13"/>
  <c r="Y95" i="13"/>
  <c r="X95" i="13"/>
  <c r="W95" i="13"/>
  <c r="V95" i="13"/>
  <c r="U95" i="13"/>
  <c r="T95" i="13"/>
  <c r="S95" i="13"/>
  <c r="R95" i="13"/>
  <c r="Q95" i="13"/>
  <c r="P95" i="13"/>
  <c r="O95" i="13"/>
  <c r="N95" i="13"/>
  <c r="M95" i="13"/>
  <c r="L95" i="13"/>
  <c r="K95" i="13"/>
  <c r="J95" i="13"/>
  <c r="I95" i="13"/>
  <c r="H95" i="13"/>
  <c r="G95" i="13"/>
  <c r="F95" i="13"/>
  <c r="E95" i="13"/>
  <c r="D95" i="13"/>
  <c r="C95" i="13"/>
  <c r="Z94" i="13"/>
  <c r="Y94" i="13"/>
  <c r="X94" i="13"/>
  <c r="W94" i="13"/>
  <c r="V94" i="13"/>
  <c r="U94" i="13"/>
  <c r="T94" i="13"/>
  <c r="S94" i="13"/>
  <c r="R94" i="13"/>
  <c r="Q94" i="13"/>
  <c r="P94" i="13"/>
  <c r="O94" i="13"/>
  <c r="N94" i="13"/>
  <c r="M94" i="13"/>
  <c r="L94" i="13"/>
  <c r="K94" i="13"/>
  <c r="J94" i="13"/>
  <c r="I94" i="13"/>
  <c r="H94" i="13"/>
  <c r="G94" i="13"/>
  <c r="F94" i="13"/>
  <c r="E94" i="13"/>
  <c r="D94" i="13"/>
  <c r="C94" i="13"/>
  <c r="Z93" i="13"/>
  <c r="Y93" i="13"/>
  <c r="X93" i="13"/>
  <c r="W93" i="13"/>
  <c r="V93" i="13"/>
  <c r="U93" i="13"/>
  <c r="T93" i="13"/>
  <c r="S93" i="13"/>
  <c r="R93" i="13"/>
  <c r="Q93" i="13"/>
  <c r="P93" i="13"/>
  <c r="O93" i="13"/>
  <c r="N93" i="13"/>
  <c r="M93" i="13"/>
  <c r="L93" i="13"/>
  <c r="K93" i="13"/>
  <c r="J93" i="13"/>
  <c r="I93" i="13"/>
  <c r="H93" i="13"/>
  <c r="G93" i="13"/>
  <c r="F93" i="13"/>
  <c r="E93" i="13"/>
  <c r="D93" i="13"/>
  <c r="C93" i="13"/>
  <c r="Z92" i="13"/>
  <c r="Y92" i="13"/>
  <c r="X92" i="13"/>
  <c r="W92" i="13"/>
  <c r="V92" i="13"/>
  <c r="U92" i="13"/>
  <c r="T92" i="13"/>
  <c r="S92" i="13"/>
  <c r="R92" i="13"/>
  <c r="Q92" i="13"/>
  <c r="P92" i="13"/>
  <c r="O92" i="13"/>
  <c r="N92" i="13"/>
  <c r="M92" i="13"/>
  <c r="L92" i="13"/>
  <c r="K92" i="13"/>
  <c r="J92" i="13"/>
  <c r="I92" i="13"/>
  <c r="H92" i="13"/>
  <c r="G92" i="13"/>
  <c r="F92" i="13"/>
  <c r="E92" i="13"/>
  <c r="D92" i="13"/>
  <c r="C92" i="13"/>
  <c r="Z91" i="13"/>
  <c r="Y91" i="13"/>
  <c r="X91" i="13"/>
  <c r="W91" i="13"/>
  <c r="V91" i="13"/>
  <c r="U91" i="13"/>
  <c r="T91" i="13"/>
  <c r="S91" i="13"/>
  <c r="R91" i="13"/>
  <c r="Q91" i="13"/>
  <c r="P91" i="13"/>
  <c r="O91" i="13"/>
  <c r="N91" i="13"/>
  <c r="M91" i="13"/>
  <c r="L91" i="13"/>
  <c r="K91" i="13"/>
  <c r="J91" i="13"/>
  <c r="I91" i="13"/>
  <c r="H91" i="13"/>
  <c r="G91" i="13"/>
  <c r="F91" i="13"/>
  <c r="E91" i="13"/>
  <c r="D91" i="13"/>
  <c r="C91" i="13"/>
  <c r="Z90" i="13"/>
  <c r="Y90" i="13"/>
  <c r="X90" i="13"/>
  <c r="W90" i="13"/>
  <c r="V90" i="13"/>
  <c r="U90" i="13"/>
  <c r="T90" i="13"/>
  <c r="S90" i="13"/>
  <c r="R90" i="13"/>
  <c r="Q90" i="13"/>
  <c r="P90" i="13"/>
  <c r="O90" i="13"/>
  <c r="N90" i="13"/>
  <c r="M90" i="13"/>
  <c r="L90" i="13"/>
  <c r="K90" i="13"/>
  <c r="J90" i="13"/>
  <c r="I90" i="13"/>
  <c r="H90" i="13"/>
  <c r="G90" i="13"/>
  <c r="F90" i="13"/>
  <c r="E90" i="13"/>
  <c r="D90" i="13"/>
  <c r="C90" i="13"/>
  <c r="Z89" i="13"/>
  <c r="Y89" i="13"/>
  <c r="X89" i="13"/>
  <c r="W89" i="13"/>
  <c r="V89" i="13"/>
  <c r="U89" i="13"/>
  <c r="T89" i="13"/>
  <c r="S89" i="13"/>
  <c r="R89" i="13"/>
  <c r="Q89" i="13"/>
  <c r="P89" i="13"/>
  <c r="O89" i="13"/>
  <c r="N89" i="13"/>
  <c r="M89" i="13"/>
  <c r="L89" i="13"/>
  <c r="K89" i="13"/>
  <c r="J89" i="13"/>
  <c r="I89" i="13"/>
  <c r="H89" i="13"/>
  <c r="G89" i="13"/>
  <c r="F89" i="13"/>
  <c r="E89" i="13"/>
  <c r="D89" i="13"/>
  <c r="C89" i="13"/>
  <c r="Z88" i="13"/>
  <c r="Y88" i="13"/>
  <c r="X88" i="13"/>
  <c r="W88" i="13"/>
  <c r="V88" i="13"/>
  <c r="U88" i="13"/>
  <c r="T88" i="13"/>
  <c r="S88" i="13"/>
  <c r="R88" i="13"/>
  <c r="Q88" i="13"/>
  <c r="P88" i="13"/>
  <c r="O88" i="13"/>
  <c r="N88" i="13"/>
  <c r="M88" i="13"/>
  <c r="L88" i="13"/>
  <c r="K88" i="13"/>
  <c r="J88" i="13"/>
  <c r="I88" i="13"/>
  <c r="H88" i="13"/>
  <c r="G88" i="13"/>
  <c r="F88" i="13"/>
  <c r="E88" i="13"/>
  <c r="D88" i="13"/>
  <c r="C88" i="13"/>
  <c r="Z87" i="13"/>
  <c r="Y87" i="13"/>
  <c r="X87" i="13"/>
  <c r="W87" i="13"/>
  <c r="V87" i="13"/>
  <c r="U87" i="13"/>
  <c r="T87" i="13"/>
  <c r="S87" i="13"/>
  <c r="R87" i="13"/>
  <c r="Q87" i="13"/>
  <c r="P87" i="13"/>
  <c r="O87" i="13"/>
  <c r="N87" i="13"/>
  <c r="M87" i="13"/>
  <c r="L87" i="13"/>
  <c r="K87" i="13"/>
  <c r="J87" i="13"/>
  <c r="I87" i="13"/>
  <c r="H87" i="13"/>
  <c r="G87" i="13"/>
  <c r="F87" i="13"/>
  <c r="E87" i="13"/>
  <c r="D87" i="13"/>
  <c r="C87" i="13"/>
  <c r="Z86" i="13"/>
  <c r="Y86" i="13"/>
  <c r="X86" i="13"/>
  <c r="W86" i="13"/>
  <c r="V86" i="13"/>
  <c r="U86" i="13"/>
  <c r="T86" i="13"/>
  <c r="S86" i="13"/>
  <c r="R86" i="13"/>
  <c r="Q86" i="13"/>
  <c r="P86" i="13"/>
  <c r="O86" i="13"/>
  <c r="N86" i="13"/>
  <c r="M86" i="13"/>
  <c r="L86" i="13"/>
  <c r="K86" i="13"/>
  <c r="J86" i="13"/>
  <c r="I86" i="13"/>
  <c r="H86" i="13"/>
  <c r="G86" i="13"/>
  <c r="F86" i="13"/>
  <c r="E86" i="13"/>
  <c r="D86" i="13"/>
  <c r="C86" i="13"/>
  <c r="Z85" i="13"/>
  <c r="Y85" i="13"/>
  <c r="X85" i="13"/>
  <c r="W85" i="13"/>
  <c r="V85" i="13"/>
  <c r="U85" i="13"/>
  <c r="T85" i="13"/>
  <c r="S85" i="13"/>
  <c r="R85" i="13"/>
  <c r="Q85" i="13"/>
  <c r="P85" i="13"/>
  <c r="O85" i="13"/>
  <c r="N85" i="13"/>
  <c r="M85" i="13"/>
  <c r="L85" i="13"/>
  <c r="K85" i="13"/>
  <c r="J85" i="13"/>
  <c r="I85" i="13"/>
  <c r="H85" i="13"/>
  <c r="G85" i="13"/>
  <c r="F85" i="13"/>
  <c r="E85" i="13"/>
  <c r="D85" i="13"/>
  <c r="C85" i="13"/>
  <c r="Z84" i="13"/>
  <c r="Y84" i="13"/>
  <c r="X84" i="13"/>
  <c r="W84" i="13"/>
  <c r="V84" i="13"/>
  <c r="U84" i="13"/>
  <c r="T84" i="13"/>
  <c r="S84" i="13"/>
  <c r="R84" i="13"/>
  <c r="Q84" i="13"/>
  <c r="P84" i="13"/>
  <c r="O84" i="13"/>
  <c r="N84" i="13"/>
  <c r="M84" i="13"/>
  <c r="L84" i="13"/>
  <c r="K84" i="13"/>
  <c r="J84" i="13"/>
  <c r="I84" i="13"/>
  <c r="H84" i="13"/>
  <c r="G84" i="13"/>
  <c r="F84" i="13"/>
  <c r="E84" i="13"/>
  <c r="D84" i="13"/>
  <c r="C84" i="13"/>
  <c r="Z83" i="13"/>
  <c r="Y83" i="13"/>
  <c r="X83" i="13"/>
  <c r="W83" i="13"/>
  <c r="V83" i="13"/>
  <c r="U83" i="13"/>
  <c r="T83" i="13"/>
  <c r="S83" i="13"/>
  <c r="R83" i="13"/>
  <c r="Q83" i="13"/>
  <c r="P83" i="13"/>
  <c r="O83" i="13"/>
  <c r="N83" i="13"/>
  <c r="M83" i="13"/>
  <c r="L83" i="13"/>
  <c r="K83" i="13"/>
  <c r="J83" i="13"/>
  <c r="I83" i="13"/>
  <c r="H83" i="13"/>
  <c r="G83" i="13"/>
  <c r="F83" i="13"/>
  <c r="E83" i="13"/>
  <c r="D83" i="13"/>
  <c r="C83" i="13"/>
  <c r="Z82" i="13"/>
  <c r="Y82" i="13"/>
  <c r="X82" i="13"/>
  <c r="W82" i="13"/>
  <c r="V82" i="13"/>
  <c r="U82" i="13"/>
  <c r="T82" i="13"/>
  <c r="S82" i="13"/>
  <c r="R82" i="13"/>
  <c r="Q82" i="13"/>
  <c r="P82" i="13"/>
  <c r="O82" i="13"/>
  <c r="N82" i="13"/>
  <c r="M82" i="13"/>
  <c r="L82" i="13"/>
  <c r="K82" i="13"/>
  <c r="J82" i="13"/>
  <c r="I82" i="13"/>
  <c r="H82" i="13"/>
  <c r="G82" i="13"/>
  <c r="F82" i="13"/>
  <c r="E82" i="13"/>
  <c r="D82" i="13"/>
  <c r="C82" i="13"/>
  <c r="Z81" i="13"/>
  <c r="Y81" i="13"/>
  <c r="X81" i="13"/>
  <c r="W81" i="13"/>
  <c r="V81" i="13"/>
  <c r="U81" i="13"/>
  <c r="T81" i="13"/>
  <c r="S81" i="13"/>
  <c r="R81" i="13"/>
  <c r="Q81" i="13"/>
  <c r="P81" i="13"/>
  <c r="O81" i="13"/>
  <c r="N81" i="13"/>
  <c r="M81" i="13"/>
  <c r="L81" i="13"/>
  <c r="K81" i="13"/>
  <c r="J81" i="13"/>
  <c r="I81" i="13"/>
  <c r="H81" i="13"/>
  <c r="G81" i="13"/>
  <c r="F81" i="13"/>
  <c r="E81" i="13"/>
  <c r="D81" i="13"/>
  <c r="C81" i="13"/>
  <c r="Z80" i="13"/>
  <c r="Y80" i="13"/>
  <c r="X80" i="13"/>
  <c r="W80" i="13"/>
  <c r="V80" i="13"/>
  <c r="U80" i="13"/>
  <c r="T80" i="13"/>
  <c r="S80" i="13"/>
  <c r="R80" i="13"/>
  <c r="Q80" i="13"/>
  <c r="P80" i="13"/>
  <c r="O80" i="13"/>
  <c r="N80" i="13"/>
  <c r="M80" i="13"/>
  <c r="L80" i="13"/>
  <c r="K80" i="13"/>
  <c r="J80" i="13"/>
  <c r="I80" i="13"/>
  <c r="H80" i="13"/>
  <c r="G80" i="13"/>
  <c r="F80" i="13"/>
  <c r="E80" i="13"/>
  <c r="D80" i="13"/>
  <c r="C80" i="13"/>
  <c r="Z79" i="13"/>
  <c r="Y79" i="13"/>
  <c r="X79" i="13"/>
  <c r="W79" i="13"/>
  <c r="V79" i="13"/>
  <c r="U79" i="13"/>
  <c r="T79" i="13"/>
  <c r="S79" i="13"/>
  <c r="R79" i="13"/>
  <c r="Q79" i="13"/>
  <c r="P79" i="13"/>
  <c r="O79" i="13"/>
  <c r="N79" i="13"/>
  <c r="M79" i="13"/>
  <c r="L79" i="13"/>
  <c r="K79" i="13"/>
  <c r="J79" i="13"/>
  <c r="I79" i="13"/>
  <c r="H79" i="13"/>
  <c r="G79" i="13"/>
  <c r="F79" i="13"/>
  <c r="E79" i="13"/>
  <c r="D79" i="13"/>
  <c r="C79" i="13"/>
  <c r="Z78" i="13"/>
  <c r="Y78" i="13"/>
  <c r="X78" i="13"/>
  <c r="W78" i="13"/>
  <c r="V78" i="13"/>
  <c r="U78" i="13"/>
  <c r="T78" i="13"/>
  <c r="S78" i="13"/>
  <c r="R78" i="13"/>
  <c r="Q78" i="13"/>
  <c r="P78" i="13"/>
  <c r="O78" i="13"/>
  <c r="N78" i="13"/>
  <c r="M78" i="13"/>
  <c r="L78" i="13"/>
  <c r="K78" i="13"/>
  <c r="J78" i="13"/>
  <c r="I78" i="13"/>
  <c r="H78" i="13"/>
  <c r="G78" i="13"/>
  <c r="F78" i="13"/>
  <c r="E78" i="13"/>
  <c r="D78" i="13"/>
  <c r="C78" i="13"/>
  <c r="Z77" i="13"/>
  <c r="Y77" i="13"/>
  <c r="X77" i="13"/>
  <c r="W77" i="13"/>
  <c r="V77" i="13"/>
  <c r="U77" i="13"/>
  <c r="T77" i="13"/>
  <c r="S77" i="13"/>
  <c r="R77" i="13"/>
  <c r="Q77" i="13"/>
  <c r="P77" i="13"/>
  <c r="O77" i="13"/>
  <c r="N77" i="13"/>
  <c r="M77" i="13"/>
  <c r="L77" i="13"/>
  <c r="K77" i="13"/>
  <c r="J77" i="13"/>
  <c r="I77" i="13"/>
  <c r="H77" i="13"/>
  <c r="G77" i="13"/>
  <c r="F77" i="13"/>
  <c r="E77" i="13"/>
  <c r="D77" i="13"/>
  <c r="C77" i="13"/>
  <c r="Z76" i="13"/>
  <c r="Y76" i="13"/>
  <c r="X76" i="13"/>
  <c r="W76" i="13"/>
  <c r="V76" i="13"/>
  <c r="U76" i="13"/>
  <c r="T76" i="13"/>
  <c r="S76" i="13"/>
  <c r="R76" i="13"/>
  <c r="Q76" i="13"/>
  <c r="P76" i="13"/>
  <c r="O76" i="13"/>
  <c r="N76" i="13"/>
  <c r="M76" i="13"/>
  <c r="L76" i="13"/>
  <c r="K76" i="13"/>
  <c r="J76" i="13"/>
  <c r="I76" i="13"/>
  <c r="H76" i="13"/>
  <c r="G76" i="13"/>
  <c r="F76" i="13"/>
  <c r="E76" i="13"/>
  <c r="D76" i="13"/>
  <c r="C76" i="13"/>
  <c r="Z75" i="13"/>
  <c r="Y75" i="13"/>
  <c r="X75" i="13"/>
  <c r="W75" i="13"/>
  <c r="V75" i="13"/>
  <c r="U75" i="13"/>
  <c r="T75" i="13"/>
  <c r="S75" i="13"/>
  <c r="R75" i="13"/>
  <c r="Q75" i="13"/>
  <c r="P75" i="13"/>
  <c r="O75" i="13"/>
  <c r="N75" i="13"/>
  <c r="M75" i="13"/>
  <c r="L75" i="13"/>
  <c r="K75" i="13"/>
  <c r="J75" i="13"/>
  <c r="I75" i="13"/>
  <c r="H75" i="13"/>
  <c r="G75" i="13"/>
  <c r="F75" i="13"/>
  <c r="E75" i="13"/>
  <c r="D75" i="13"/>
  <c r="C75" i="13"/>
  <c r="Z74" i="13"/>
  <c r="Y74" i="13"/>
  <c r="X74" i="13"/>
  <c r="W74" i="13"/>
  <c r="V74" i="13"/>
  <c r="U74" i="13"/>
  <c r="T74" i="13"/>
  <c r="S74" i="13"/>
  <c r="R74" i="13"/>
  <c r="Q74" i="13"/>
  <c r="P74" i="13"/>
  <c r="O74" i="13"/>
  <c r="N74" i="13"/>
  <c r="M74" i="13"/>
  <c r="L74" i="13"/>
  <c r="K74" i="13"/>
  <c r="J74" i="13"/>
  <c r="I74" i="13"/>
  <c r="H74" i="13"/>
  <c r="G74" i="13"/>
  <c r="F74" i="13"/>
  <c r="E74" i="13"/>
  <c r="D74" i="13"/>
  <c r="C74" i="13"/>
  <c r="Z73" i="13"/>
  <c r="Y73" i="13"/>
  <c r="X73" i="13"/>
  <c r="W73" i="13"/>
  <c r="V73" i="13"/>
  <c r="U73" i="13"/>
  <c r="T73" i="13"/>
  <c r="S73" i="13"/>
  <c r="R73" i="13"/>
  <c r="Q73" i="13"/>
  <c r="P73" i="13"/>
  <c r="O73" i="13"/>
  <c r="N73" i="13"/>
  <c r="M73" i="13"/>
  <c r="L73" i="13"/>
  <c r="K73" i="13"/>
  <c r="J73" i="13"/>
  <c r="I73" i="13"/>
  <c r="H73" i="13"/>
  <c r="G73" i="13"/>
  <c r="F73" i="13"/>
  <c r="E73" i="13"/>
  <c r="D73" i="13"/>
  <c r="C73" i="13"/>
  <c r="Z72" i="13"/>
  <c r="Y72" i="13"/>
  <c r="X72" i="13"/>
  <c r="W72" i="13"/>
  <c r="V72" i="13"/>
  <c r="U72" i="13"/>
  <c r="T72" i="13"/>
  <c r="S72" i="13"/>
  <c r="R72" i="13"/>
  <c r="Q72" i="13"/>
  <c r="P72" i="13"/>
  <c r="O72" i="13"/>
  <c r="N72" i="13"/>
  <c r="M72" i="13"/>
  <c r="L72" i="13"/>
  <c r="K72" i="13"/>
  <c r="J72" i="13"/>
  <c r="I72" i="13"/>
  <c r="H72" i="13"/>
  <c r="G72" i="13"/>
  <c r="F72" i="13"/>
  <c r="E72" i="13"/>
  <c r="D72" i="13"/>
  <c r="C72" i="13"/>
  <c r="Z71" i="13"/>
  <c r="Y71" i="13"/>
  <c r="X71" i="13"/>
  <c r="W71" i="13"/>
  <c r="V71" i="13"/>
  <c r="U71" i="13"/>
  <c r="T71" i="13"/>
  <c r="S71" i="13"/>
  <c r="R71" i="13"/>
  <c r="Q71" i="13"/>
  <c r="P71" i="13"/>
  <c r="O71" i="13"/>
  <c r="N71" i="13"/>
  <c r="M71" i="13"/>
  <c r="L71" i="13"/>
  <c r="K71" i="13"/>
  <c r="J71" i="13"/>
  <c r="I71" i="13"/>
  <c r="H71" i="13"/>
  <c r="G71" i="13"/>
  <c r="F71" i="13"/>
  <c r="E71" i="13"/>
  <c r="D71" i="13"/>
  <c r="C71" i="13"/>
  <c r="Z70" i="13"/>
  <c r="Y70" i="13"/>
  <c r="X70" i="13"/>
  <c r="W70" i="13"/>
  <c r="V70" i="13"/>
  <c r="U70" i="13"/>
  <c r="T70" i="13"/>
  <c r="S70" i="13"/>
  <c r="R70" i="13"/>
  <c r="Q70" i="13"/>
  <c r="P70" i="13"/>
  <c r="O70" i="13"/>
  <c r="N70" i="13"/>
  <c r="M70" i="13"/>
  <c r="L70" i="13"/>
  <c r="K70" i="13"/>
  <c r="J70" i="13"/>
  <c r="I70" i="13"/>
  <c r="H70" i="13"/>
  <c r="G70" i="13"/>
  <c r="F70" i="13"/>
  <c r="E70" i="13"/>
  <c r="D70" i="13"/>
  <c r="C70" i="13"/>
  <c r="Z69" i="13"/>
  <c r="Y69" i="13"/>
  <c r="X69" i="13"/>
  <c r="W69" i="13"/>
  <c r="V69" i="13"/>
  <c r="U69" i="13"/>
  <c r="T69" i="13"/>
  <c r="S69" i="13"/>
  <c r="R69" i="13"/>
  <c r="Q69" i="13"/>
  <c r="P69" i="13"/>
  <c r="O69" i="13"/>
  <c r="N69" i="13"/>
  <c r="M69" i="13"/>
  <c r="L69" i="13"/>
  <c r="K69" i="13"/>
  <c r="J69" i="13"/>
  <c r="I69" i="13"/>
  <c r="H69" i="13"/>
  <c r="G69" i="13"/>
  <c r="F69" i="13"/>
  <c r="E69" i="13"/>
  <c r="D69" i="13"/>
  <c r="C69" i="13"/>
  <c r="Z68" i="13"/>
  <c r="Y68" i="13"/>
  <c r="X68" i="13"/>
  <c r="W68" i="13"/>
  <c r="V68" i="13"/>
  <c r="U68" i="13"/>
  <c r="T68" i="13"/>
  <c r="S68" i="13"/>
  <c r="R68" i="13"/>
  <c r="Q68" i="13"/>
  <c r="P68" i="13"/>
  <c r="O68" i="13"/>
  <c r="N68" i="13"/>
  <c r="M68" i="13"/>
  <c r="L68" i="13"/>
  <c r="K68" i="13"/>
  <c r="J68" i="13"/>
  <c r="I68" i="13"/>
  <c r="H68" i="13"/>
  <c r="G68" i="13"/>
  <c r="F68" i="13"/>
  <c r="E68" i="13"/>
  <c r="D68" i="13"/>
  <c r="C68" i="13"/>
  <c r="Z67" i="13"/>
  <c r="Y67" i="13"/>
  <c r="X67" i="13"/>
  <c r="W67" i="13"/>
  <c r="V67" i="13"/>
  <c r="U67" i="13"/>
  <c r="T67" i="13"/>
  <c r="S67" i="13"/>
  <c r="R67" i="13"/>
  <c r="Q67" i="13"/>
  <c r="P67" i="13"/>
  <c r="O67" i="13"/>
  <c r="N67" i="13"/>
  <c r="M67" i="13"/>
  <c r="L67" i="13"/>
  <c r="K67" i="13"/>
  <c r="J67" i="13"/>
  <c r="I67" i="13"/>
  <c r="H67" i="13"/>
  <c r="G67" i="13"/>
  <c r="F67" i="13"/>
  <c r="E67" i="13"/>
  <c r="D67" i="13"/>
  <c r="C67" i="13"/>
  <c r="Z66" i="13"/>
  <c r="Y66" i="13"/>
  <c r="X66" i="13"/>
  <c r="W66" i="13"/>
  <c r="V66" i="13"/>
  <c r="U66" i="13"/>
  <c r="T66" i="13"/>
  <c r="S66" i="13"/>
  <c r="R66" i="13"/>
  <c r="Q66" i="13"/>
  <c r="P66" i="13"/>
  <c r="O66" i="13"/>
  <c r="N66" i="13"/>
  <c r="M66" i="13"/>
  <c r="L66" i="13"/>
  <c r="K66" i="13"/>
  <c r="J66" i="13"/>
  <c r="I66" i="13"/>
  <c r="H66" i="13"/>
  <c r="G66" i="13"/>
  <c r="F66" i="13"/>
  <c r="E66" i="13"/>
  <c r="D66" i="13"/>
  <c r="C66" i="13"/>
  <c r="Z65" i="13"/>
  <c r="Y65" i="13"/>
  <c r="X65" i="13"/>
  <c r="W65" i="13"/>
  <c r="V65" i="13"/>
  <c r="U65" i="13"/>
  <c r="T65" i="13"/>
  <c r="S65" i="13"/>
  <c r="R65" i="13"/>
  <c r="Q65" i="13"/>
  <c r="P65" i="13"/>
  <c r="O65" i="13"/>
  <c r="N65" i="13"/>
  <c r="M65" i="13"/>
  <c r="L65" i="13"/>
  <c r="K65" i="13"/>
  <c r="J65" i="13"/>
  <c r="I65" i="13"/>
  <c r="H65" i="13"/>
  <c r="G65" i="13"/>
  <c r="F65" i="13"/>
  <c r="E65" i="13"/>
  <c r="D65" i="13"/>
  <c r="C65" i="13"/>
  <c r="Z64" i="13"/>
  <c r="Y64" i="13"/>
  <c r="X64" i="13"/>
  <c r="W64" i="13"/>
  <c r="V64" i="13"/>
  <c r="U64" i="13"/>
  <c r="T64" i="13"/>
  <c r="S64" i="13"/>
  <c r="R64" i="13"/>
  <c r="Q64" i="13"/>
  <c r="P64" i="13"/>
  <c r="O64" i="13"/>
  <c r="N64" i="13"/>
  <c r="M64" i="13"/>
  <c r="L64" i="13"/>
  <c r="K64" i="13"/>
  <c r="J64" i="13"/>
  <c r="I64" i="13"/>
  <c r="H64" i="13"/>
  <c r="G64" i="13"/>
  <c r="F64" i="13"/>
  <c r="E64" i="13"/>
  <c r="D64" i="13"/>
  <c r="C64" i="13"/>
  <c r="Z63" i="13"/>
  <c r="Y63" i="13"/>
  <c r="X63" i="13"/>
  <c r="W63" i="13"/>
  <c r="V63" i="13"/>
  <c r="U63" i="13"/>
  <c r="T63" i="13"/>
  <c r="S63" i="13"/>
  <c r="R63" i="13"/>
  <c r="Q63" i="13"/>
  <c r="P63" i="13"/>
  <c r="O63" i="13"/>
  <c r="N63" i="13"/>
  <c r="M63" i="13"/>
  <c r="L63" i="13"/>
  <c r="K63" i="13"/>
  <c r="J63" i="13"/>
  <c r="I63" i="13"/>
  <c r="H63" i="13"/>
  <c r="G63" i="13"/>
  <c r="F63" i="13"/>
  <c r="E63" i="13"/>
  <c r="D63" i="13"/>
  <c r="C63" i="13"/>
  <c r="Z62" i="13"/>
  <c r="Y62" i="13"/>
  <c r="X62" i="13"/>
  <c r="W62" i="13"/>
  <c r="V62" i="13"/>
  <c r="U62" i="13"/>
  <c r="T62" i="13"/>
  <c r="S62" i="13"/>
  <c r="R62" i="13"/>
  <c r="Q62" i="13"/>
  <c r="P62" i="13"/>
  <c r="O62" i="13"/>
  <c r="N62" i="13"/>
  <c r="M62" i="13"/>
  <c r="L62" i="13"/>
  <c r="K62" i="13"/>
  <c r="J62" i="13"/>
  <c r="I62" i="13"/>
  <c r="H62" i="13"/>
  <c r="G62" i="13"/>
  <c r="F62" i="13"/>
  <c r="E62" i="13"/>
  <c r="D62" i="13"/>
  <c r="C62" i="13"/>
  <c r="Z61" i="13"/>
  <c r="Y61" i="13"/>
  <c r="X61" i="13"/>
  <c r="W61" i="13"/>
  <c r="V61" i="13"/>
  <c r="U61" i="13"/>
  <c r="T61" i="13"/>
  <c r="S61" i="13"/>
  <c r="R61" i="13"/>
  <c r="Q61" i="13"/>
  <c r="P61" i="13"/>
  <c r="O61" i="13"/>
  <c r="N61" i="13"/>
  <c r="M61" i="13"/>
  <c r="L61" i="13"/>
  <c r="K61" i="13"/>
  <c r="J61" i="13"/>
  <c r="I61" i="13"/>
  <c r="H61" i="13"/>
  <c r="G61" i="13"/>
  <c r="F61" i="13"/>
  <c r="E61" i="13"/>
  <c r="D61" i="13"/>
  <c r="C61" i="13"/>
  <c r="Z60" i="13"/>
  <c r="Y60" i="13"/>
  <c r="X60" i="13"/>
  <c r="W60" i="13"/>
  <c r="V60" i="13"/>
  <c r="U60" i="13"/>
  <c r="T60" i="13"/>
  <c r="S60" i="13"/>
  <c r="R60" i="13"/>
  <c r="Q60" i="13"/>
  <c r="P60" i="13"/>
  <c r="O60" i="13"/>
  <c r="N60" i="13"/>
  <c r="M60" i="13"/>
  <c r="L60" i="13"/>
  <c r="K60" i="13"/>
  <c r="J60" i="13"/>
  <c r="I60" i="13"/>
  <c r="H60" i="13"/>
  <c r="G60" i="13"/>
  <c r="F60" i="13"/>
  <c r="E60" i="13"/>
  <c r="D60" i="13"/>
  <c r="C60" i="13"/>
  <c r="Z59" i="13"/>
  <c r="Y59" i="13"/>
  <c r="X59" i="13"/>
  <c r="W59" i="13"/>
  <c r="V59" i="13"/>
  <c r="U59" i="13"/>
  <c r="T59" i="13"/>
  <c r="S59" i="13"/>
  <c r="R59" i="13"/>
  <c r="Q59" i="13"/>
  <c r="P59" i="13"/>
  <c r="O59" i="13"/>
  <c r="N59" i="13"/>
  <c r="M59" i="13"/>
  <c r="L59" i="13"/>
  <c r="K59" i="13"/>
  <c r="J59" i="13"/>
  <c r="I59" i="13"/>
  <c r="H59" i="13"/>
  <c r="G59" i="13"/>
  <c r="F59" i="13"/>
  <c r="E59" i="13"/>
  <c r="D59" i="13"/>
  <c r="C59" i="13"/>
  <c r="Z58" i="13"/>
  <c r="Y58" i="13"/>
  <c r="X58" i="13"/>
  <c r="W58" i="13"/>
  <c r="V58" i="13"/>
  <c r="U58" i="13"/>
  <c r="T58" i="13"/>
  <c r="S58" i="13"/>
  <c r="R58" i="13"/>
  <c r="Q58" i="13"/>
  <c r="P58" i="13"/>
  <c r="O58" i="13"/>
  <c r="N58" i="13"/>
  <c r="M58" i="13"/>
  <c r="L58" i="13"/>
  <c r="K58" i="13"/>
  <c r="J58" i="13"/>
  <c r="I58" i="13"/>
  <c r="H58" i="13"/>
  <c r="G58" i="13"/>
  <c r="F58" i="13"/>
  <c r="E58" i="13"/>
  <c r="D58" i="13"/>
  <c r="C58" i="13"/>
  <c r="Z57" i="13"/>
  <c r="Y57" i="13"/>
  <c r="X57" i="13"/>
  <c r="W57" i="13"/>
  <c r="V57" i="13"/>
  <c r="U57" i="13"/>
  <c r="T57" i="13"/>
  <c r="S57" i="13"/>
  <c r="R57" i="13"/>
  <c r="Q57" i="13"/>
  <c r="P57" i="13"/>
  <c r="O57" i="13"/>
  <c r="N57" i="13"/>
  <c r="M57" i="13"/>
  <c r="L57" i="13"/>
  <c r="K57" i="13"/>
  <c r="J57" i="13"/>
  <c r="I57" i="13"/>
  <c r="H57" i="13"/>
  <c r="G57" i="13"/>
  <c r="F57" i="13"/>
  <c r="E57" i="13"/>
  <c r="D57" i="13"/>
  <c r="C57" i="13"/>
  <c r="Z56" i="13"/>
  <c r="Y56" i="13"/>
  <c r="X56" i="13"/>
  <c r="W56" i="13"/>
  <c r="V56" i="13"/>
  <c r="U56" i="13"/>
  <c r="T56" i="13"/>
  <c r="S56" i="13"/>
  <c r="R56" i="13"/>
  <c r="Q56" i="13"/>
  <c r="P56" i="13"/>
  <c r="O56" i="13"/>
  <c r="N56" i="13"/>
  <c r="M56" i="13"/>
  <c r="L56" i="13"/>
  <c r="K56" i="13"/>
  <c r="J56" i="13"/>
  <c r="I56" i="13"/>
  <c r="H56" i="13"/>
  <c r="G56" i="13"/>
  <c r="F56" i="13"/>
  <c r="E56" i="13"/>
  <c r="D56" i="13"/>
  <c r="C56" i="13"/>
  <c r="Z55" i="13"/>
  <c r="Y55" i="13"/>
  <c r="X55" i="13"/>
  <c r="W55" i="13"/>
  <c r="V55" i="13"/>
  <c r="U55" i="13"/>
  <c r="T55" i="13"/>
  <c r="S55" i="13"/>
  <c r="R55" i="13"/>
  <c r="Q55" i="13"/>
  <c r="P55" i="13"/>
  <c r="O55" i="13"/>
  <c r="N55" i="13"/>
  <c r="M55" i="13"/>
  <c r="L55" i="13"/>
  <c r="K55" i="13"/>
  <c r="J55" i="13"/>
  <c r="I55" i="13"/>
  <c r="H55" i="13"/>
  <c r="G55" i="13"/>
  <c r="F55" i="13"/>
  <c r="E55" i="13"/>
  <c r="D55" i="13"/>
  <c r="C55" i="13"/>
  <c r="Z54" i="13"/>
  <c r="Y54" i="13"/>
  <c r="X54" i="13"/>
  <c r="W54" i="13"/>
  <c r="V54" i="13"/>
  <c r="U54" i="13"/>
  <c r="T54" i="13"/>
  <c r="S54" i="13"/>
  <c r="R54" i="13"/>
  <c r="Q54" i="13"/>
  <c r="P54" i="13"/>
  <c r="O54" i="13"/>
  <c r="N54" i="13"/>
  <c r="M54" i="13"/>
  <c r="L54" i="13"/>
  <c r="K54" i="13"/>
  <c r="J54" i="13"/>
  <c r="I54" i="13"/>
  <c r="H54" i="13"/>
  <c r="G54" i="13"/>
  <c r="F54" i="13"/>
  <c r="E54" i="13"/>
  <c r="D54" i="13"/>
  <c r="C54" i="13"/>
  <c r="Z53" i="13"/>
  <c r="Y53" i="13"/>
  <c r="X53" i="13"/>
  <c r="W53" i="13"/>
  <c r="V53" i="13"/>
  <c r="U53" i="13"/>
  <c r="T53" i="13"/>
  <c r="S53" i="13"/>
  <c r="R53" i="13"/>
  <c r="Q53" i="13"/>
  <c r="P53" i="13"/>
  <c r="O53" i="13"/>
  <c r="N53" i="13"/>
  <c r="M53" i="13"/>
  <c r="L53" i="13"/>
  <c r="K53" i="13"/>
  <c r="J53" i="13"/>
  <c r="I53" i="13"/>
  <c r="H53" i="13"/>
  <c r="G53" i="13"/>
  <c r="F53" i="13"/>
  <c r="E53" i="13"/>
  <c r="D53" i="13"/>
  <c r="C53" i="13"/>
  <c r="Z52" i="13"/>
  <c r="Y52" i="13"/>
  <c r="X52" i="13"/>
  <c r="W52" i="13"/>
  <c r="V52" i="13"/>
  <c r="U52" i="13"/>
  <c r="T52" i="13"/>
  <c r="S52" i="13"/>
  <c r="R52" i="13"/>
  <c r="Q52" i="13"/>
  <c r="P52" i="13"/>
  <c r="O52" i="13"/>
  <c r="N52" i="13"/>
  <c r="M52" i="13"/>
  <c r="L52" i="13"/>
  <c r="K52" i="13"/>
  <c r="J52" i="13"/>
  <c r="I52" i="13"/>
  <c r="H52" i="13"/>
  <c r="G52" i="13"/>
  <c r="F52" i="13"/>
  <c r="E52" i="13"/>
  <c r="D52" i="13"/>
  <c r="C52" i="13"/>
  <c r="Z51" i="13"/>
  <c r="Y51" i="13"/>
  <c r="X51" i="13"/>
  <c r="W51" i="13"/>
  <c r="V51" i="13"/>
  <c r="U51" i="13"/>
  <c r="T51" i="13"/>
  <c r="S51" i="13"/>
  <c r="R51" i="13"/>
  <c r="Q51" i="13"/>
  <c r="P51" i="13"/>
  <c r="O51" i="13"/>
  <c r="N51" i="13"/>
  <c r="M51" i="13"/>
  <c r="L51" i="13"/>
  <c r="K51" i="13"/>
  <c r="J51" i="13"/>
  <c r="I51" i="13"/>
  <c r="H51" i="13"/>
  <c r="G51" i="13"/>
  <c r="F51" i="13"/>
  <c r="E51" i="13"/>
  <c r="D51" i="13"/>
  <c r="C51" i="13"/>
  <c r="Z50" i="13"/>
  <c r="Y50" i="13"/>
  <c r="X50" i="13"/>
  <c r="W50" i="13"/>
  <c r="V50" i="13"/>
  <c r="U50" i="13"/>
  <c r="T50" i="13"/>
  <c r="S50" i="13"/>
  <c r="R50" i="13"/>
  <c r="Q50" i="13"/>
  <c r="P50" i="13"/>
  <c r="O50" i="13"/>
  <c r="N50" i="13"/>
  <c r="M50" i="13"/>
  <c r="L50" i="13"/>
  <c r="K50" i="13"/>
  <c r="J50" i="13"/>
  <c r="I50" i="13"/>
  <c r="H50" i="13"/>
  <c r="G50" i="13"/>
  <c r="F50" i="13"/>
  <c r="E50" i="13"/>
  <c r="D50" i="13"/>
  <c r="C50" i="13"/>
  <c r="Z49" i="13"/>
  <c r="Y49" i="13"/>
  <c r="X49" i="13"/>
  <c r="W49" i="13"/>
  <c r="V49" i="13"/>
  <c r="U49" i="13"/>
  <c r="T49" i="13"/>
  <c r="S49" i="13"/>
  <c r="R49" i="13"/>
  <c r="Q49" i="13"/>
  <c r="P49" i="13"/>
  <c r="O49" i="13"/>
  <c r="N49" i="13"/>
  <c r="M49" i="13"/>
  <c r="L49" i="13"/>
  <c r="K49" i="13"/>
  <c r="J49" i="13"/>
  <c r="I49" i="13"/>
  <c r="H49" i="13"/>
  <c r="G49" i="13"/>
  <c r="F49" i="13"/>
  <c r="E49" i="13"/>
  <c r="D49" i="13"/>
  <c r="C49" i="13"/>
  <c r="Z48" i="13"/>
  <c r="Y48" i="13"/>
  <c r="X48" i="13"/>
  <c r="W48" i="13"/>
  <c r="V48" i="13"/>
  <c r="U48" i="13"/>
  <c r="T48" i="13"/>
  <c r="S48" i="13"/>
  <c r="R48" i="13"/>
  <c r="Q48" i="13"/>
  <c r="P48" i="13"/>
  <c r="O48" i="13"/>
  <c r="N48" i="13"/>
  <c r="M48" i="13"/>
  <c r="L48" i="13"/>
  <c r="K48" i="13"/>
  <c r="J48" i="13"/>
  <c r="I48" i="13"/>
  <c r="H48" i="13"/>
  <c r="G48" i="13"/>
  <c r="F48" i="13"/>
  <c r="E48" i="13"/>
  <c r="D48" i="13"/>
  <c r="C48" i="13"/>
  <c r="Z47" i="13"/>
  <c r="Y47" i="13"/>
  <c r="X47" i="13"/>
  <c r="W47" i="13"/>
  <c r="V47" i="13"/>
  <c r="U47" i="13"/>
  <c r="T47" i="13"/>
  <c r="S47" i="13"/>
  <c r="R47" i="13"/>
  <c r="Q47" i="13"/>
  <c r="P47" i="13"/>
  <c r="O47" i="13"/>
  <c r="N47" i="13"/>
  <c r="M47" i="13"/>
  <c r="L47" i="13"/>
  <c r="K47" i="13"/>
  <c r="J47" i="13"/>
  <c r="I47" i="13"/>
  <c r="H47" i="13"/>
  <c r="G47" i="13"/>
  <c r="F47" i="13"/>
  <c r="E47" i="13"/>
  <c r="D47" i="13"/>
  <c r="C47" i="13"/>
  <c r="Z46" i="13"/>
  <c r="Y46" i="13"/>
  <c r="X46" i="13"/>
  <c r="W46" i="13"/>
  <c r="V46" i="13"/>
  <c r="U46" i="13"/>
  <c r="T46" i="13"/>
  <c r="S46" i="13"/>
  <c r="R46" i="13"/>
  <c r="Q46" i="13"/>
  <c r="P46" i="13"/>
  <c r="O46" i="13"/>
  <c r="N46" i="13"/>
  <c r="M46" i="13"/>
  <c r="L46" i="13"/>
  <c r="K46" i="13"/>
  <c r="J46" i="13"/>
  <c r="I46" i="13"/>
  <c r="H46" i="13"/>
  <c r="G46" i="13"/>
  <c r="F46" i="13"/>
  <c r="E46" i="13"/>
  <c r="D46" i="13"/>
  <c r="C46" i="13"/>
  <c r="Z45" i="13"/>
  <c r="Y45" i="13"/>
  <c r="X45" i="13"/>
  <c r="W45" i="13"/>
  <c r="V45" i="13"/>
  <c r="U45" i="13"/>
  <c r="T45" i="13"/>
  <c r="S45" i="13"/>
  <c r="R45" i="13"/>
  <c r="Q45" i="13"/>
  <c r="P45" i="13"/>
  <c r="O45" i="13"/>
  <c r="N45" i="13"/>
  <c r="M45" i="13"/>
  <c r="L45" i="13"/>
  <c r="K45" i="13"/>
  <c r="J45" i="13"/>
  <c r="I45" i="13"/>
  <c r="H45" i="13"/>
  <c r="G45" i="13"/>
  <c r="F45" i="13"/>
  <c r="E45" i="13"/>
  <c r="D45" i="13"/>
  <c r="C45" i="13"/>
  <c r="Z44" i="13"/>
  <c r="Y44" i="13"/>
  <c r="X44" i="13"/>
  <c r="W44" i="13"/>
  <c r="V44" i="13"/>
  <c r="U44" i="13"/>
  <c r="T44" i="13"/>
  <c r="S44" i="13"/>
  <c r="R44" i="13"/>
  <c r="Q44" i="13"/>
  <c r="P44" i="13"/>
  <c r="O44" i="13"/>
  <c r="N44" i="13"/>
  <c r="M44" i="13"/>
  <c r="L44" i="13"/>
  <c r="K44" i="13"/>
  <c r="J44" i="13"/>
  <c r="I44" i="13"/>
  <c r="H44" i="13"/>
  <c r="G44" i="13"/>
  <c r="F44" i="13"/>
  <c r="E44" i="13"/>
  <c r="D44" i="13"/>
  <c r="C44" i="13"/>
  <c r="Z43" i="13"/>
  <c r="Y43" i="13"/>
  <c r="X43" i="13"/>
  <c r="W43" i="13"/>
  <c r="V43" i="13"/>
  <c r="U43" i="13"/>
  <c r="T43" i="13"/>
  <c r="S43" i="13"/>
  <c r="R43" i="13"/>
  <c r="Q43" i="13"/>
  <c r="P43" i="13"/>
  <c r="O43" i="13"/>
  <c r="N43" i="13"/>
  <c r="M43" i="13"/>
  <c r="L43" i="13"/>
  <c r="K43" i="13"/>
  <c r="J43" i="13"/>
  <c r="I43" i="13"/>
  <c r="H43" i="13"/>
  <c r="G43" i="13"/>
  <c r="F43" i="13"/>
  <c r="E43" i="13"/>
  <c r="D43" i="13"/>
  <c r="C43" i="13"/>
  <c r="Z42" i="13"/>
  <c r="Y42" i="13"/>
  <c r="X42" i="13"/>
  <c r="W42" i="13"/>
  <c r="V42" i="13"/>
  <c r="U42" i="13"/>
  <c r="T42" i="13"/>
  <c r="S42" i="13"/>
  <c r="R42" i="13"/>
  <c r="Q42" i="13"/>
  <c r="P42" i="13"/>
  <c r="O42" i="13"/>
  <c r="N42" i="13"/>
  <c r="M42" i="13"/>
  <c r="L42" i="13"/>
  <c r="K42" i="13"/>
  <c r="J42" i="13"/>
  <c r="I42" i="13"/>
  <c r="H42" i="13"/>
  <c r="G42" i="13"/>
  <c r="F42" i="13"/>
  <c r="E42" i="13"/>
  <c r="D42" i="13"/>
  <c r="C42" i="13"/>
  <c r="Z41" i="13"/>
  <c r="Y41" i="13"/>
  <c r="X41" i="13"/>
  <c r="W41" i="13"/>
  <c r="V41" i="13"/>
  <c r="U41" i="13"/>
  <c r="T41" i="13"/>
  <c r="S41" i="13"/>
  <c r="R41" i="13"/>
  <c r="Q41" i="13"/>
  <c r="P41" i="13"/>
  <c r="O41" i="13"/>
  <c r="N41" i="13"/>
  <c r="M41" i="13"/>
  <c r="L41" i="13"/>
  <c r="K41" i="13"/>
  <c r="J41" i="13"/>
  <c r="I41" i="13"/>
  <c r="H41" i="13"/>
  <c r="G41" i="13"/>
  <c r="F41" i="13"/>
  <c r="E41" i="13"/>
  <c r="D41" i="13"/>
  <c r="C41" i="13"/>
  <c r="Z40" i="13"/>
  <c r="Y40" i="13"/>
  <c r="X40" i="13"/>
  <c r="W40" i="13"/>
  <c r="V40" i="13"/>
  <c r="U40" i="13"/>
  <c r="T40" i="13"/>
  <c r="S40" i="13"/>
  <c r="R40" i="13"/>
  <c r="Q40" i="13"/>
  <c r="P40" i="13"/>
  <c r="O40" i="13"/>
  <c r="N40" i="13"/>
  <c r="M40" i="13"/>
  <c r="L40" i="13"/>
  <c r="K40" i="13"/>
  <c r="J40" i="13"/>
  <c r="I40" i="13"/>
  <c r="H40" i="13"/>
  <c r="G40" i="13"/>
  <c r="F40" i="13"/>
  <c r="E40" i="13"/>
  <c r="D40" i="13"/>
  <c r="C40" i="13"/>
  <c r="Z39" i="13"/>
  <c r="Y39" i="13"/>
  <c r="X39" i="13"/>
  <c r="W39" i="13"/>
  <c r="V39" i="13"/>
  <c r="U39" i="13"/>
  <c r="T39" i="13"/>
  <c r="S39" i="13"/>
  <c r="R39" i="13"/>
  <c r="Q39" i="13"/>
  <c r="P39" i="13"/>
  <c r="O39" i="13"/>
  <c r="N39" i="13"/>
  <c r="M39" i="13"/>
  <c r="L39" i="13"/>
  <c r="K39" i="13"/>
  <c r="J39" i="13"/>
  <c r="I39" i="13"/>
  <c r="H39" i="13"/>
  <c r="G39" i="13"/>
  <c r="F39" i="13"/>
  <c r="E39" i="13"/>
  <c r="D39" i="13"/>
  <c r="C39" i="13"/>
  <c r="Z38" i="13"/>
  <c r="Y38" i="13"/>
  <c r="X38" i="13"/>
  <c r="W38" i="13"/>
  <c r="V38" i="13"/>
  <c r="U38" i="13"/>
  <c r="T38" i="13"/>
  <c r="S38" i="13"/>
  <c r="R38" i="13"/>
  <c r="Q38" i="13"/>
  <c r="P38" i="13"/>
  <c r="O38" i="13"/>
  <c r="N38" i="13"/>
  <c r="M38" i="13"/>
  <c r="L38" i="13"/>
  <c r="K38" i="13"/>
  <c r="J38" i="13"/>
  <c r="I38" i="13"/>
  <c r="H38" i="13"/>
  <c r="G38" i="13"/>
  <c r="F38" i="13"/>
  <c r="E38" i="13"/>
  <c r="D38" i="13"/>
  <c r="C38" i="13"/>
  <c r="Z37" i="13"/>
  <c r="Y37" i="13"/>
  <c r="X37" i="13"/>
  <c r="W37" i="13"/>
  <c r="V37" i="13"/>
  <c r="U37" i="13"/>
  <c r="T37" i="13"/>
  <c r="S37" i="13"/>
  <c r="R37" i="13"/>
  <c r="Q37" i="13"/>
  <c r="P37" i="13"/>
  <c r="O37" i="13"/>
  <c r="N37" i="13"/>
  <c r="M37" i="13"/>
  <c r="L37" i="13"/>
  <c r="K37" i="13"/>
  <c r="J37" i="13"/>
  <c r="I37" i="13"/>
  <c r="H37" i="13"/>
  <c r="G37" i="13"/>
  <c r="F37" i="13"/>
  <c r="E37" i="13"/>
  <c r="D37" i="13"/>
  <c r="C37" i="13"/>
  <c r="Z36" i="13"/>
  <c r="Y36" i="13"/>
  <c r="X36" i="13"/>
  <c r="W36" i="13"/>
  <c r="V36" i="13"/>
  <c r="U36" i="13"/>
  <c r="T36" i="13"/>
  <c r="S36" i="13"/>
  <c r="R36" i="13"/>
  <c r="Q36" i="13"/>
  <c r="P36" i="13"/>
  <c r="O36" i="13"/>
  <c r="N36" i="13"/>
  <c r="M36" i="13"/>
  <c r="L36" i="13"/>
  <c r="K36" i="13"/>
  <c r="J36" i="13"/>
  <c r="I36" i="13"/>
  <c r="H36" i="13"/>
  <c r="G36" i="13"/>
  <c r="F36" i="13"/>
  <c r="E36" i="13"/>
  <c r="D36" i="13"/>
  <c r="C36" i="13"/>
  <c r="Z35" i="13"/>
  <c r="Y35" i="13"/>
  <c r="X35" i="13"/>
  <c r="W35" i="13"/>
  <c r="V35" i="13"/>
  <c r="U35" i="13"/>
  <c r="T35" i="13"/>
  <c r="S35" i="13"/>
  <c r="R35" i="13"/>
  <c r="Q35" i="13"/>
  <c r="P35" i="13"/>
  <c r="O35" i="13"/>
  <c r="N35" i="13"/>
  <c r="M35" i="13"/>
  <c r="L35" i="13"/>
  <c r="K35" i="13"/>
  <c r="J35" i="13"/>
  <c r="I35" i="13"/>
  <c r="H35" i="13"/>
  <c r="G35" i="13"/>
  <c r="F35" i="13"/>
  <c r="E35" i="13"/>
  <c r="D35" i="13"/>
  <c r="C35" i="13"/>
  <c r="Z34" i="13"/>
  <c r="Y34" i="13"/>
  <c r="X34" i="13"/>
  <c r="W34" i="13"/>
  <c r="V34" i="13"/>
  <c r="U34" i="13"/>
  <c r="T34" i="13"/>
  <c r="S34" i="13"/>
  <c r="R34" i="13"/>
  <c r="Q34" i="13"/>
  <c r="P34" i="13"/>
  <c r="O34" i="13"/>
  <c r="N34" i="13"/>
  <c r="M34" i="13"/>
  <c r="L34" i="13"/>
  <c r="K34" i="13"/>
  <c r="J34" i="13"/>
  <c r="I34" i="13"/>
  <c r="H34" i="13"/>
  <c r="G34" i="13"/>
  <c r="F34" i="13"/>
  <c r="E34" i="13"/>
  <c r="D34" i="13"/>
  <c r="C34" i="13"/>
  <c r="Z33" i="13"/>
  <c r="Y33" i="13"/>
  <c r="X33" i="13"/>
  <c r="W33" i="13"/>
  <c r="V33" i="13"/>
  <c r="U33" i="13"/>
  <c r="T33" i="13"/>
  <c r="S33" i="13"/>
  <c r="R33" i="13"/>
  <c r="Q33" i="13"/>
  <c r="P33" i="13"/>
  <c r="O33" i="13"/>
  <c r="N33" i="13"/>
  <c r="M33" i="13"/>
  <c r="L33" i="13"/>
  <c r="K33" i="13"/>
  <c r="J33" i="13"/>
  <c r="I33" i="13"/>
  <c r="H33" i="13"/>
  <c r="G33" i="13"/>
  <c r="F33" i="13"/>
  <c r="E33" i="13"/>
  <c r="D33" i="13"/>
  <c r="C33" i="13"/>
  <c r="Z32" i="13"/>
  <c r="Y32" i="13"/>
  <c r="X32" i="13"/>
  <c r="W32" i="13"/>
  <c r="V32" i="13"/>
  <c r="U32" i="13"/>
  <c r="T32" i="13"/>
  <c r="S32" i="13"/>
  <c r="R32" i="13"/>
  <c r="Q32" i="13"/>
  <c r="P32" i="13"/>
  <c r="O32" i="13"/>
  <c r="N32" i="13"/>
  <c r="M32" i="13"/>
  <c r="L32" i="13"/>
  <c r="K32" i="13"/>
  <c r="J32" i="13"/>
  <c r="I32" i="13"/>
  <c r="H32" i="13"/>
  <c r="G32" i="13"/>
  <c r="F32" i="13"/>
  <c r="E32" i="13"/>
  <c r="D32" i="13"/>
  <c r="C32" i="13"/>
  <c r="Z31" i="13"/>
  <c r="Y31" i="13"/>
  <c r="X31" i="13"/>
  <c r="W31" i="13"/>
  <c r="V31" i="13"/>
  <c r="U31" i="13"/>
  <c r="T31" i="13"/>
  <c r="S31" i="13"/>
  <c r="R31" i="13"/>
  <c r="Q31" i="13"/>
  <c r="P31" i="13"/>
  <c r="O31" i="13"/>
  <c r="N31" i="13"/>
  <c r="M31" i="13"/>
  <c r="L31" i="13"/>
  <c r="K31" i="13"/>
  <c r="J31" i="13"/>
  <c r="I31" i="13"/>
  <c r="H31" i="13"/>
  <c r="G31" i="13"/>
  <c r="F31" i="13"/>
  <c r="E31" i="13"/>
  <c r="D31" i="13"/>
  <c r="C31" i="13"/>
  <c r="Z30" i="13"/>
  <c r="Y30" i="13"/>
  <c r="X30" i="13"/>
  <c r="W30" i="13"/>
  <c r="V30" i="13"/>
  <c r="U30" i="13"/>
  <c r="T30" i="13"/>
  <c r="S30" i="13"/>
  <c r="R30" i="13"/>
  <c r="Q30" i="13"/>
  <c r="P30" i="13"/>
  <c r="O30" i="13"/>
  <c r="N30" i="13"/>
  <c r="M30" i="13"/>
  <c r="L30" i="13"/>
  <c r="K30" i="13"/>
  <c r="J30" i="13"/>
  <c r="I30" i="13"/>
  <c r="H30" i="13"/>
  <c r="G30" i="13"/>
  <c r="F30" i="13"/>
  <c r="E30" i="13"/>
  <c r="D30" i="13"/>
  <c r="C30" i="13"/>
  <c r="Z29" i="13"/>
  <c r="Y29" i="13"/>
  <c r="X29" i="13"/>
  <c r="W29" i="13"/>
  <c r="V29" i="13"/>
  <c r="U29" i="13"/>
  <c r="T29" i="13"/>
  <c r="S29" i="13"/>
  <c r="R29" i="13"/>
  <c r="Q29" i="13"/>
  <c r="P29" i="13"/>
  <c r="O29" i="13"/>
  <c r="N29" i="13"/>
  <c r="M29" i="13"/>
  <c r="L29" i="13"/>
  <c r="K29" i="13"/>
  <c r="J29" i="13"/>
  <c r="I29" i="13"/>
  <c r="H29" i="13"/>
  <c r="G29" i="13"/>
  <c r="F29" i="13"/>
  <c r="E29" i="13"/>
  <c r="D29" i="13"/>
  <c r="C29" i="13"/>
  <c r="Z28" i="13"/>
  <c r="Y28" i="13"/>
  <c r="X28" i="13"/>
  <c r="W28" i="13"/>
  <c r="V28" i="13"/>
  <c r="U28" i="13"/>
  <c r="T28" i="13"/>
  <c r="S28" i="13"/>
  <c r="R28" i="13"/>
  <c r="Q28" i="13"/>
  <c r="P28" i="13"/>
  <c r="O28" i="13"/>
  <c r="N28" i="13"/>
  <c r="M28" i="13"/>
  <c r="L28" i="13"/>
  <c r="K28" i="13"/>
  <c r="J28" i="13"/>
  <c r="I28" i="13"/>
  <c r="H28" i="13"/>
  <c r="G28" i="13"/>
  <c r="F28" i="13"/>
  <c r="E28" i="13"/>
  <c r="D28" i="13"/>
  <c r="C28" i="13"/>
  <c r="Z27" i="13"/>
  <c r="Y27" i="13"/>
  <c r="X27" i="13"/>
  <c r="W27" i="13"/>
  <c r="V27" i="13"/>
  <c r="U27" i="13"/>
  <c r="T27" i="13"/>
  <c r="S27" i="13"/>
  <c r="R27" i="13"/>
  <c r="Q27" i="13"/>
  <c r="P27" i="13"/>
  <c r="O27" i="13"/>
  <c r="N27" i="13"/>
  <c r="M27" i="13"/>
  <c r="L27" i="13"/>
  <c r="K27" i="13"/>
  <c r="J27" i="13"/>
  <c r="I27" i="13"/>
  <c r="H27" i="13"/>
  <c r="G27" i="13"/>
  <c r="F27" i="13"/>
  <c r="E27" i="13"/>
  <c r="D27" i="13"/>
  <c r="C27" i="13"/>
  <c r="Z26" i="13"/>
  <c r="Y26" i="13"/>
  <c r="X26" i="13"/>
  <c r="W26" i="13"/>
  <c r="V26" i="13"/>
  <c r="U26" i="13"/>
  <c r="T26" i="13"/>
  <c r="S26" i="13"/>
  <c r="R26" i="13"/>
  <c r="Q26" i="13"/>
  <c r="P26" i="13"/>
  <c r="O26" i="13"/>
  <c r="N26" i="13"/>
  <c r="M26" i="13"/>
  <c r="L26" i="13"/>
  <c r="K26" i="13"/>
  <c r="J26" i="13"/>
  <c r="I26" i="13"/>
  <c r="H26" i="13"/>
  <c r="G26" i="13"/>
  <c r="F26" i="13"/>
  <c r="E26" i="13"/>
  <c r="D26" i="13"/>
  <c r="C26" i="13"/>
  <c r="Z25" i="13"/>
  <c r="Y25" i="13"/>
  <c r="X25" i="13"/>
  <c r="W25" i="13"/>
  <c r="V25" i="13"/>
  <c r="U25" i="13"/>
  <c r="T25" i="13"/>
  <c r="S25" i="13"/>
  <c r="R25" i="13"/>
  <c r="Q25" i="13"/>
  <c r="P25" i="13"/>
  <c r="O25" i="13"/>
  <c r="N25" i="13"/>
  <c r="M25" i="13"/>
  <c r="L25" i="13"/>
  <c r="K25" i="13"/>
  <c r="J25" i="13"/>
  <c r="I25" i="13"/>
  <c r="H25" i="13"/>
  <c r="G25" i="13"/>
  <c r="F25" i="13"/>
  <c r="E25" i="13"/>
  <c r="D25" i="13"/>
  <c r="C25" i="13"/>
  <c r="Z24" i="13"/>
  <c r="Y24" i="13"/>
  <c r="X24" i="13"/>
  <c r="W24" i="13"/>
  <c r="V24" i="13"/>
  <c r="U24" i="13"/>
  <c r="T24" i="13"/>
  <c r="S24" i="13"/>
  <c r="R24" i="13"/>
  <c r="Q24" i="13"/>
  <c r="P24" i="13"/>
  <c r="O24" i="13"/>
  <c r="N24" i="13"/>
  <c r="M24" i="13"/>
  <c r="L24" i="13"/>
  <c r="K24" i="13"/>
  <c r="J24" i="13"/>
  <c r="I24" i="13"/>
  <c r="H24" i="13"/>
  <c r="G24" i="13"/>
  <c r="F24" i="13"/>
  <c r="E24" i="13"/>
  <c r="D24" i="13"/>
  <c r="C24" i="13"/>
  <c r="Z23" i="13"/>
  <c r="Y23" i="13"/>
  <c r="X23" i="13"/>
  <c r="W23" i="13"/>
  <c r="V23" i="13"/>
  <c r="U23" i="13"/>
  <c r="T23" i="13"/>
  <c r="S23" i="13"/>
  <c r="R23" i="13"/>
  <c r="Q23" i="13"/>
  <c r="P23" i="13"/>
  <c r="O23" i="13"/>
  <c r="N23" i="13"/>
  <c r="M23" i="13"/>
  <c r="L23" i="13"/>
  <c r="K23" i="13"/>
  <c r="J23" i="13"/>
  <c r="I23" i="13"/>
  <c r="H23" i="13"/>
  <c r="G23" i="13"/>
  <c r="F23" i="13"/>
  <c r="E23" i="13"/>
  <c r="D23" i="13"/>
  <c r="C23" i="13"/>
  <c r="Z22" i="13"/>
  <c r="Y22" i="13"/>
  <c r="X22" i="13"/>
  <c r="W22" i="13"/>
  <c r="V22" i="13"/>
  <c r="U22" i="13"/>
  <c r="T22" i="13"/>
  <c r="S22" i="13"/>
  <c r="R22" i="13"/>
  <c r="Q22" i="13"/>
  <c r="P22" i="13"/>
  <c r="O22" i="13"/>
  <c r="N22" i="13"/>
  <c r="M22" i="13"/>
  <c r="L22" i="13"/>
  <c r="K22" i="13"/>
  <c r="J22" i="13"/>
  <c r="I22" i="13"/>
  <c r="H22" i="13"/>
  <c r="G22" i="13"/>
  <c r="F22" i="13"/>
  <c r="E22" i="13"/>
  <c r="D22" i="13"/>
  <c r="C22" i="13"/>
  <c r="Z21" i="13"/>
  <c r="Y21" i="13"/>
  <c r="X21" i="13"/>
  <c r="W21" i="13"/>
  <c r="V21" i="13"/>
  <c r="U21" i="13"/>
  <c r="T21" i="13"/>
  <c r="S21" i="13"/>
  <c r="R21" i="13"/>
  <c r="Q21" i="13"/>
  <c r="P21" i="13"/>
  <c r="O21" i="13"/>
  <c r="N21" i="13"/>
  <c r="M21" i="13"/>
  <c r="L21" i="13"/>
  <c r="K21" i="13"/>
  <c r="J21" i="13"/>
  <c r="I21" i="13"/>
  <c r="H21" i="13"/>
  <c r="G21" i="13"/>
  <c r="F21" i="13"/>
  <c r="E21" i="13"/>
  <c r="D21" i="13"/>
  <c r="C21" i="13"/>
  <c r="Z20" i="13"/>
  <c r="Y20" i="13"/>
  <c r="X20" i="13"/>
  <c r="W20" i="13"/>
  <c r="V20" i="13"/>
  <c r="U20" i="13"/>
  <c r="T20" i="13"/>
  <c r="S20" i="13"/>
  <c r="R20" i="13"/>
  <c r="Q20" i="13"/>
  <c r="P20" i="13"/>
  <c r="O20" i="13"/>
  <c r="N20" i="13"/>
  <c r="M20" i="13"/>
  <c r="L20" i="13"/>
  <c r="K20" i="13"/>
  <c r="J20" i="13"/>
  <c r="I20" i="13"/>
  <c r="H20" i="13"/>
  <c r="G20" i="13"/>
  <c r="F20" i="13"/>
  <c r="E20" i="13"/>
  <c r="D20" i="13"/>
  <c r="C20" i="13"/>
  <c r="Z19" i="13"/>
  <c r="Y19" i="13"/>
  <c r="X19" i="13"/>
  <c r="W19" i="13"/>
  <c r="V19" i="13"/>
  <c r="U19" i="13"/>
  <c r="T19" i="13"/>
  <c r="S19" i="13"/>
  <c r="R19" i="13"/>
  <c r="Q19" i="13"/>
  <c r="P19" i="13"/>
  <c r="O19" i="13"/>
  <c r="N19" i="13"/>
  <c r="M19" i="13"/>
  <c r="L19" i="13"/>
  <c r="K19" i="13"/>
  <c r="J19" i="13"/>
  <c r="I19" i="13"/>
  <c r="H19" i="13"/>
  <c r="G19" i="13"/>
  <c r="F19" i="13"/>
  <c r="E19" i="13"/>
  <c r="D19" i="13"/>
  <c r="C19" i="13"/>
  <c r="Z18" i="13"/>
  <c r="Y18" i="13"/>
  <c r="X18" i="13"/>
  <c r="W18" i="13"/>
  <c r="V18" i="13"/>
  <c r="U18" i="13"/>
  <c r="T18" i="13"/>
  <c r="S18" i="13"/>
  <c r="R18" i="13"/>
  <c r="Q18" i="13"/>
  <c r="P18" i="13"/>
  <c r="O18" i="13"/>
  <c r="N18" i="13"/>
  <c r="M18" i="13"/>
  <c r="L18" i="13"/>
  <c r="K18" i="13"/>
  <c r="J18" i="13"/>
  <c r="I18" i="13"/>
  <c r="H18" i="13"/>
  <c r="G18" i="13"/>
  <c r="F18" i="13"/>
  <c r="E18" i="13"/>
  <c r="D18" i="13"/>
  <c r="C18" i="13"/>
  <c r="Z17" i="13"/>
  <c r="Y17" i="13"/>
  <c r="X17" i="13"/>
  <c r="W17" i="13"/>
  <c r="V17" i="13"/>
  <c r="U17" i="13"/>
  <c r="T17" i="13"/>
  <c r="S17" i="13"/>
  <c r="R17" i="13"/>
  <c r="Q17" i="13"/>
  <c r="P17" i="13"/>
  <c r="O17" i="13"/>
  <c r="N17" i="13"/>
  <c r="M17" i="13"/>
  <c r="L17" i="13"/>
  <c r="K17" i="13"/>
  <c r="J17" i="13"/>
  <c r="I17" i="13"/>
  <c r="H17" i="13"/>
  <c r="G17" i="13"/>
  <c r="F17" i="13"/>
  <c r="E17" i="13"/>
  <c r="D17" i="13"/>
  <c r="C17" i="13"/>
  <c r="Z16" i="13"/>
  <c r="Y16" i="13"/>
  <c r="X16" i="13"/>
  <c r="W16" i="13"/>
  <c r="V16" i="13"/>
  <c r="U16" i="13"/>
  <c r="T16" i="13"/>
  <c r="S16" i="13"/>
  <c r="R16" i="13"/>
  <c r="Q16" i="13"/>
  <c r="P16" i="13"/>
  <c r="O16" i="13"/>
  <c r="N16" i="13"/>
  <c r="M16" i="13"/>
  <c r="L16" i="13"/>
  <c r="K16" i="13"/>
  <c r="J16" i="13"/>
  <c r="I16" i="13"/>
  <c r="H16" i="13"/>
  <c r="G16" i="13"/>
  <c r="F16" i="13"/>
  <c r="E16" i="13"/>
  <c r="D16" i="13"/>
  <c r="C16" i="13"/>
  <c r="Z15" i="13"/>
  <c r="Y15" i="13"/>
  <c r="X15" i="13"/>
  <c r="W15" i="13"/>
  <c r="V15" i="13"/>
  <c r="U15" i="13"/>
  <c r="T15" i="13"/>
  <c r="S15" i="13"/>
  <c r="R15" i="13"/>
  <c r="Q15" i="13"/>
  <c r="P15" i="13"/>
  <c r="O15" i="13"/>
  <c r="N15" i="13"/>
  <c r="M15" i="13"/>
  <c r="L15" i="13"/>
  <c r="K15" i="13"/>
  <c r="J15" i="13"/>
  <c r="I15" i="13"/>
  <c r="H15" i="13"/>
  <c r="G15" i="13"/>
  <c r="F15" i="13"/>
  <c r="E15" i="13"/>
  <c r="D15" i="13"/>
  <c r="C15" i="13"/>
  <c r="Z14" i="13"/>
  <c r="Y14" i="13"/>
  <c r="X14" i="13"/>
  <c r="W14" i="13"/>
  <c r="V14" i="13"/>
  <c r="U14" i="13"/>
  <c r="T14" i="13"/>
  <c r="S14" i="13"/>
  <c r="R14" i="13"/>
  <c r="Q14" i="13"/>
  <c r="P14" i="13"/>
  <c r="O14" i="13"/>
  <c r="N14" i="13"/>
  <c r="M14" i="13"/>
  <c r="L14" i="13"/>
  <c r="K14" i="13"/>
  <c r="J14" i="13"/>
  <c r="I14" i="13"/>
  <c r="H14" i="13"/>
  <c r="G14" i="13"/>
  <c r="F14" i="13"/>
  <c r="E14" i="13"/>
  <c r="D14" i="13"/>
  <c r="C14" i="13"/>
  <c r="Z13" i="13"/>
  <c r="Y13" i="13"/>
  <c r="X13" i="13"/>
  <c r="W13" i="13"/>
  <c r="V13" i="13"/>
  <c r="U13" i="13"/>
  <c r="T13" i="13"/>
  <c r="S13" i="13"/>
  <c r="R13" i="13"/>
  <c r="Q13" i="13"/>
  <c r="P13" i="13"/>
  <c r="O13" i="13"/>
  <c r="N13" i="13"/>
  <c r="M13" i="13"/>
  <c r="L13" i="13"/>
  <c r="K13" i="13"/>
  <c r="J13" i="13"/>
  <c r="I13" i="13"/>
  <c r="H13" i="13"/>
  <c r="G13" i="13"/>
  <c r="F13" i="13"/>
  <c r="E13" i="13"/>
  <c r="D13" i="13"/>
  <c r="C13" i="13"/>
  <c r="Z12" i="13"/>
  <c r="Y12" i="13"/>
  <c r="X12" i="13"/>
  <c r="W12" i="13"/>
  <c r="V12" i="13"/>
  <c r="U12" i="13"/>
  <c r="T12" i="13"/>
  <c r="S12" i="13"/>
  <c r="R12" i="13"/>
  <c r="Q12" i="13"/>
  <c r="P12" i="13"/>
  <c r="O12" i="13"/>
  <c r="N12" i="13"/>
  <c r="M12" i="13"/>
  <c r="L12" i="13"/>
  <c r="K12" i="13"/>
  <c r="J12" i="13"/>
  <c r="I12" i="13"/>
  <c r="H12" i="13"/>
  <c r="G12" i="13"/>
  <c r="F12" i="13"/>
  <c r="E12" i="13"/>
  <c r="D12" i="13"/>
  <c r="C12" i="13"/>
  <c r="Z11" i="13"/>
  <c r="Y11" i="13"/>
  <c r="X11" i="13"/>
  <c r="W11" i="13"/>
  <c r="V11" i="13"/>
  <c r="U11" i="13"/>
  <c r="T11" i="13"/>
  <c r="S11" i="13"/>
  <c r="R11" i="13"/>
  <c r="Q11" i="13"/>
  <c r="P11" i="13"/>
  <c r="O11" i="13"/>
  <c r="N11" i="13"/>
  <c r="M11" i="13"/>
  <c r="L11" i="13"/>
  <c r="K11" i="13"/>
  <c r="J11" i="13"/>
  <c r="I11" i="13"/>
  <c r="H11" i="13"/>
  <c r="G11" i="13"/>
  <c r="F11" i="13"/>
  <c r="E11" i="13"/>
  <c r="D11" i="13"/>
  <c r="C11" i="13"/>
  <c r="Z10" i="13"/>
  <c r="Y10" i="13"/>
  <c r="X10" i="13"/>
  <c r="W10" i="13"/>
  <c r="V10" i="13"/>
  <c r="U10" i="13"/>
  <c r="T10" i="13"/>
  <c r="S10" i="13"/>
  <c r="R10" i="13"/>
  <c r="Q10" i="13"/>
  <c r="P10" i="13"/>
  <c r="O10" i="13"/>
  <c r="N10" i="13"/>
  <c r="M10" i="13"/>
  <c r="L10" i="13"/>
  <c r="J10" i="13"/>
  <c r="I10" i="13"/>
  <c r="H10" i="13"/>
  <c r="G10" i="13"/>
  <c r="F10" i="13"/>
  <c r="E10" i="13"/>
  <c r="D10" i="13"/>
  <c r="C10" i="13"/>
  <c r="Z9" i="13"/>
  <c r="Y9" i="13"/>
  <c r="X9" i="13"/>
  <c r="W9" i="13"/>
  <c r="V9" i="13"/>
  <c r="U9" i="13"/>
  <c r="T9" i="13"/>
  <c r="S9" i="13"/>
  <c r="R9" i="13"/>
  <c r="Q9" i="13"/>
  <c r="P9" i="13"/>
  <c r="O9" i="13"/>
  <c r="N9" i="13"/>
  <c r="M9" i="13"/>
  <c r="L9" i="13"/>
  <c r="K9" i="13"/>
  <c r="J9" i="13"/>
  <c r="I9" i="13"/>
  <c r="H9" i="13"/>
  <c r="G9" i="13"/>
  <c r="F9" i="13"/>
  <c r="E9" i="13"/>
  <c r="D9" i="13"/>
  <c r="C9" i="13"/>
  <c r="Z8" i="13"/>
  <c r="Y8" i="13"/>
  <c r="X8" i="13"/>
  <c r="W8" i="13"/>
  <c r="V8" i="13"/>
  <c r="U8" i="13"/>
  <c r="T8" i="13"/>
  <c r="S8" i="13"/>
  <c r="R8" i="13"/>
  <c r="Q8" i="13"/>
  <c r="P8" i="13"/>
  <c r="O8" i="13"/>
  <c r="N8" i="13"/>
  <c r="M8" i="13"/>
  <c r="L8" i="13"/>
  <c r="K8" i="13"/>
  <c r="J8" i="13"/>
  <c r="I8" i="13"/>
  <c r="H8" i="13"/>
  <c r="G8" i="13"/>
  <c r="F8" i="13"/>
  <c r="E8" i="13"/>
  <c r="D8" i="13"/>
  <c r="C8" i="13"/>
  <c r="AB151" i="13"/>
  <c r="AB150" i="13"/>
  <c r="AB149" i="13"/>
  <c r="AB148" i="13"/>
  <c r="AB147" i="13"/>
  <c r="AB146" i="13"/>
  <c r="AB145" i="13"/>
  <c r="AB144" i="13"/>
  <c r="AB143" i="13"/>
  <c r="AB142" i="13"/>
  <c r="AB141" i="13"/>
  <c r="AB140" i="13"/>
  <c r="AB139" i="13"/>
  <c r="AB138" i="13"/>
  <c r="AB137" i="13"/>
  <c r="AB136" i="13"/>
  <c r="AB135" i="13"/>
  <c r="AB134" i="13"/>
  <c r="AB133" i="13"/>
  <c r="AB132" i="13"/>
  <c r="AB131" i="13"/>
  <c r="AB130" i="13"/>
  <c r="AB129" i="13"/>
  <c r="AB128" i="13"/>
  <c r="AC152"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D8" i="14" l="1"/>
  <c r="AA133" i="13"/>
  <c r="AA149" i="13"/>
  <c r="AA141" i="13"/>
  <c r="AA129" i="13"/>
  <c r="AA145" i="13" l="1"/>
  <c r="AA137" i="13"/>
  <c r="AA150" i="13"/>
  <c r="AA130" i="13"/>
  <c r="AA131" i="13"/>
  <c r="AA139" i="13"/>
  <c r="AA151" i="13"/>
  <c r="AA142" i="13"/>
  <c r="AA132" i="13"/>
  <c r="AA140" i="13"/>
  <c r="AA148" i="13"/>
  <c r="AA144" i="13"/>
  <c r="AA136" i="13"/>
  <c r="AA134" i="13"/>
  <c r="AA143" i="13"/>
  <c r="AA135" i="13"/>
  <c r="AA147" i="13"/>
  <c r="AA146" i="13"/>
  <c r="AA138" i="13"/>
  <c r="AA128" i="13"/>
  <c r="F22" i="9" l="1"/>
  <c r="AB127" i="14"/>
  <c r="A127" i="14"/>
  <c r="AB126" i="14"/>
  <c r="A126" i="14"/>
  <c r="AB125" i="14"/>
  <c r="A125" i="14"/>
  <c r="AB124" i="14"/>
  <c r="A124" i="14"/>
  <c r="AB123" i="14"/>
  <c r="A123" i="14"/>
  <c r="AB122" i="14"/>
  <c r="A122" i="14"/>
  <c r="AB121" i="14"/>
  <c r="A121" i="14"/>
  <c r="AB120" i="14"/>
  <c r="A120" i="14"/>
  <c r="AB119" i="14"/>
  <c r="A119" i="14"/>
  <c r="AB118" i="14"/>
  <c r="A118" i="14"/>
  <c r="AB117" i="14"/>
  <c r="A117" i="14"/>
  <c r="AB116" i="14"/>
  <c r="A116" i="14"/>
  <c r="AB115" i="14"/>
  <c r="A115" i="14"/>
  <c r="AB114" i="14"/>
  <c r="A114" i="14"/>
  <c r="AB113" i="14"/>
  <c r="A113" i="14"/>
  <c r="AB112" i="14"/>
  <c r="A112" i="14"/>
  <c r="AB111" i="14"/>
  <c r="A111" i="14"/>
  <c r="AB110" i="14"/>
  <c r="A110" i="14"/>
  <c r="AB109" i="14"/>
  <c r="A109" i="14"/>
  <c r="AB108" i="14"/>
  <c r="A108" i="14"/>
  <c r="AB107" i="14"/>
  <c r="A107" i="14"/>
  <c r="AB106" i="14"/>
  <c r="A106" i="14"/>
  <c r="AB105" i="14"/>
  <c r="A105" i="14"/>
  <c r="AB104" i="14"/>
  <c r="A104" i="14"/>
  <c r="AB103" i="14"/>
  <c r="A103" i="14"/>
  <c r="AB102" i="14"/>
  <c r="A102" i="14"/>
  <c r="AB101" i="14"/>
  <c r="A101" i="14"/>
  <c r="AB100" i="14"/>
  <c r="A100" i="14"/>
  <c r="AB99" i="14"/>
  <c r="A99" i="14"/>
  <c r="AB98" i="14"/>
  <c r="A98" i="14"/>
  <c r="AB97" i="14"/>
  <c r="A97" i="14"/>
  <c r="AB96" i="14"/>
  <c r="A96" i="14"/>
  <c r="AB95" i="14"/>
  <c r="A95" i="14"/>
  <c r="AB94" i="14"/>
  <c r="A94" i="14"/>
  <c r="AB93" i="14"/>
  <c r="A93" i="14"/>
  <c r="AB92" i="14"/>
  <c r="A92" i="14"/>
  <c r="AB91" i="14"/>
  <c r="A91" i="14"/>
  <c r="AB90" i="14"/>
  <c r="A90" i="14"/>
  <c r="AB89" i="14"/>
  <c r="A89" i="14"/>
  <c r="AB88" i="14"/>
  <c r="A88" i="14"/>
  <c r="AB87" i="14"/>
  <c r="A87" i="14"/>
  <c r="AB86" i="14"/>
  <c r="A86" i="14"/>
  <c r="AB85" i="14"/>
  <c r="A85" i="14"/>
  <c r="AB84" i="14"/>
  <c r="A84" i="14"/>
  <c r="AB83" i="14"/>
  <c r="A83" i="14"/>
  <c r="AB82" i="14"/>
  <c r="A82" i="14"/>
  <c r="AB81" i="14"/>
  <c r="A81" i="14"/>
  <c r="AB80" i="14"/>
  <c r="A80" i="14"/>
  <c r="AB79" i="14"/>
  <c r="A79" i="14"/>
  <c r="AB78" i="14"/>
  <c r="A78" i="14"/>
  <c r="AB77" i="14"/>
  <c r="A77" i="14"/>
  <c r="AB76" i="14"/>
  <c r="A76" i="14"/>
  <c r="AB75" i="14"/>
  <c r="A75" i="14"/>
  <c r="AB74" i="14"/>
  <c r="A74" i="14"/>
  <c r="AB73" i="14"/>
  <c r="A73" i="14"/>
  <c r="AB72" i="14"/>
  <c r="A72" i="14"/>
  <c r="AB71" i="14"/>
  <c r="A71" i="14"/>
  <c r="AB70" i="14"/>
  <c r="A70" i="14"/>
  <c r="AB69" i="14"/>
  <c r="A69" i="14"/>
  <c r="AB68" i="14"/>
  <c r="A68" i="14"/>
  <c r="AB67" i="14"/>
  <c r="A67" i="14"/>
  <c r="AB66" i="14"/>
  <c r="A66" i="14"/>
  <c r="AB65" i="14"/>
  <c r="A65" i="14"/>
  <c r="AB64" i="14"/>
  <c r="A64" i="14"/>
  <c r="AB63" i="14"/>
  <c r="A63" i="14"/>
  <c r="AB62" i="14"/>
  <c r="A62" i="14"/>
  <c r="AB61" i="14"/>
  <c r="A61" i="14"/>
  <c r="AB60" i="14"/>
  <c r="A60" i="14"/>
  <c r="AB59" i="14"/>
  <c r="A59" i="14"/>
  <c r="AB58" i="14"/>
  <c r="A58" i="14"/>
  <c r="AB57" i="14"/>
  <c r="A57" i="14"/>
  <c r="AB56" i="14"/>
  <c r="A56" i="14"/>
  <c r="AB55" i="14"/>
  <c r="A55" i="14"/>
  <c r="AB54" i="14"/>
  <c r="A54" i="14"/>
  <c r="AB53" i="14"/>
  <c r="A53" i="14"/>
  <c r="AB52" i="14"/>
  <c r="A52" i="14"/>
  <c r="AB51" i="14"/>
  <c r="A51" i="14"/>
  <c r="AB50" i="14"/>
  <c r="A50" i="14"/>
  <c r="AB49" i="14"/>
  <c r="A49" i="14"/>
  <c r="AB48" i="14"/>
  <c r="A48" i="14"/>
  <c r="AB47" i="14"/>
  <c r="A47" i="14"/>
  <c r="AB46" i="14"/>
  <c r="A46" i="14"/>
  <c r="AB45" i="14"/>
  <c r="A45" i="14"/>
  <c r="AB44" i="14"/>
  <c r="A44" i="14"/>
  <c r="AB43" i="14"/>
  <c r="A43" i="14"/>
  <c r="AB42" i="14"/>
  <c r="A42" i="14"/>
  <c r="AB41" i="14"/>
  <c r="A41" i="14"/>
  <c r="AB40" i="14"/>
  <c r="A40" i="14"/>
  <c r="AB39" i="14"/>
  <c r="A39" i="14"/>
  <c r="AB38" i="14"/>
  <c r="A38" i="14"/>
  <c r="AB37" i="14"/>
  <c r="A37" i="14"/>
  <c r="AB36" i="14"/>
  <c r="A36" i="14"/>
  <c r="AB35" i="14"/>
  <c r="A35" i="14"/>
  <c r="AB34" i="14"/>
  <c r="A34" i="14"/>
  <c r="AB33" i="14"/>
  <c r="A33" i="14"/>
  <c r="AB32" i="14"/>
  <c r="A32" i="14"/>
  <c r="AB31" i="14"/>
  <c r="A31" i="14"/>
  <c r="AB30" i="14"/>
  <c r="A30" i="14"/>
  <c r="AB29" i="14"/>
  <c r="A29" i="14"/>
  <c r="AB28" i="14"/>
  <c r="A28" i="14"/>
  <c r="AB27" i="14"/>
  <c r="A27" i="14"/>
  <c r="AB26" i="14"/>
  <c r="A26" i="14"/>
  <c r="AB25" i="14"/>
  <c r="A25" i="14"/>
  <c r="AB24" i="14"/>
  <c r="A24" i="14"/>
  <c r="AB23" i="14"/>
  <c r="A23" i="14"/>
  <c r="AB22" i="14"/>
  <c r="A22" i="14"/>
  <c r="AB21" i="14"/>
  <c r="A21" i="14"/>
  <c r="AB20" i="14"/>
  <c r="A20" i="14"/>
  <c r="AB19" i="14"/>
  <c r="A19" i="14"/>
  <c r="AB18" i="14"/>
  <c r="A18" i="14"/>
  <c r="AB17" i="14"/>
  <c r="A17" i="14"/>
  <c r="AB16" i="14"/>
  <c r="A16" i="14"/>
  <c r="AB15" i="14"/>
  <c r="A15" i="14"/>
  <c r="AB14" i="14"/>
  <c r="A14" i="14"/>
  <c r="AB13" i="14"/>
  <c r="A13" i="14"/>
  <c r="AB12" i="14"/>
  <c r="A12" i="14"/>
  <c r="AB11" i="14"/>
  <c r="A11" i="14"/>
  <c r="AB10" i="14"/>
  <c r="A10" i="14"/>
  <c r="AB9" i="14"/>
  <c r="A9" i="14"/>
  <c r="AB8" i="14"/>
  <c r="A8" i="14"/>
  <c r="AC1" i="14"/>
  <c r="AB1" i="14"/>
  <c r="AA1" i="14"/>
  <c r="Z1" i="14"/>
  <c r="Y1" i="14"/>
  <c r="X1" i="14"/>
  <c r="W1" i="14"/>
  <c r="V1" i="14"/>
  <c r="U1" i="14"/>
  <c r="T1" i="14"/>
  <c r="S1" i="14"/>
  <c r="R1" i="14"/>
  <c r="Q1" i="14"/>
  <c r="P1" i="14"/>
  <c r="O1" i="14"/>
  <c r="N1" i="14"/>
  <c r="M1" i="14"/>
  <c r="L1" i="14"/>
  <c r="K1" i="14"/>
  <c r="J1" i="14"/>
  <c r="I1" i="14"/>
  <c r="H1" i="14"/>
  <c r="G1" i="14"/>
  <c r="F1" i="14"/>
  <c r="E1" i="14"/>
  <c r="D1" i="14"/>
  <c r="C1" i="14"/>
  <c r="B1" i="14"/>
  <c r="A1" i="14"/>
  <c r="AC1" i="13"/>
  <c r="AB1" i="13"/>
  <c r="AA1" i="13"/>
  <c r="Z1" i="13"/>
  <c r="Y1" i="13"/>
  <c r="X1" i="13"/>
  <c r="W1" i="13"/>
  <c r="V1" i="13"/>
  <c r="U1" i="13"/>
  <c r="T1" i="13"/>
  <c r="S1" i="13"/>
  <c r="R1" i="13"/>
  <c r="Q1" i="13"/>
  <c r="P1" i="13"/>
  <c r="O1" i="13"/>
  <c r="N1" i="13"/>
  <c r="M1" i="13"/>
  <c r="L1" i="13"/>
  <c r="K1" i="13"/>
  <c r="J1" i="13"/>
  <c r="I1" i="13"/>
  <c r="H1" i="13"/>
  <c r="G1" i="13"/>
  <c r="F1" i="13"/>
  <c r="E1" i="13"/>
  <c r="D1" i="13"/>
  <c r="C1" i="13"/>
  <c r="B1" i="13"/>
  <c r="A1" i="13"/>
  <c r="AB127" i="13"/>
  <c r="A127" i="13"/>
  <c r="AB126" i="13"/>
  <c r="A126" i="13"/>
  <c r="AB125" i="13"/>
  <c r="A125" i="13"/>
  <c r="AB124" i="13"/>
  <c r="A124" i="13"/>
  <c r="AB123" i="13"/>
  <c r="A123" i="13"/>
  <c r="AB122" i="13"/>
  <c r="A122" i="13"/>
  <c r="AB121" i="13"/>
  <c r="A121" i="13"/>
  <c r="AB120" i="13"/>
  <c r="A120" i="13"/>
  <c r="AB119" i="13"/>
  <c r="A119" i="13"/>
  <c r="AB118" i="13"/>
  <c r="A118" i="13"/>
  <c r="AB117" i="13"/>
  <c r="A117" i="13"/>
  <c r="AB116" i="13"/>
  <c r="A116" i="13"/>
  <c r="AB115" i="13"/>
  <c r="A115" i="13"/>
  <c r="AB114" i="13"/>
  <c r="A114" i="13"/>
  <c r="AB113" i="13"/>
  <c r="A113" i="13"/>
  <c r="AB112" i="13"/>
  <c r="A112" i="13"/>
  <c r="AB111" i="13"/>
  <c r="A111" i="13"/>
  <c r="AB110" i="13"/>
  <c r="A110" i="13"/>
  <c r="AB109" i="13"/>
  <c r="A109" i="13"/>
  <c r="AB108" i="13"/>
  <c r="A108" i="13"/>
  <c r="AB107" i="13"/>
  <c r="A107" i="13"/>
  <c r="AB106" i="13"/>
  <c r="A106" i="13"/>
  <c r="AB105" i="13"/>
  <c r="A105" i="13"/>
  <c r="AB104" i="13"/>
  <c r="A104" i="13"/>
  <c r="AB103" i="13"/>
  <c r="A103" i="13"/>
  <c r="AB102" i="13"/>
  <c r="A102" i="13"/>
  <c r="AB101" i="13"/>
  <c r="A101" i="13"/>
  <c r="AB100" i="13"/>
  <c r="A100" i="13"/>
  <c r="AB99" i="13"/>
  <c r="A99" i="13"/>
  <c r="AB98" i="13"/>
  <c r="A98" i="13"/>
  <c r="AB97" i="13"/>
  <c r="A97" i="13"/>
  <c r="AB96" i="13"/>
  <c r="A96" i="13"/>
  <c r="AB95" i="13"/>
  <c r="A95" i="13"/>
  <c r="AB94" i="13"/>
  <c r="A94" i="13"/>
  <c r="AB93" i="13"/>
  <c r="A93" i="13"/>
  <c r="AB92" i="13"/>
  <c r="A92" i="13"/>
  <c r="AB91" i="13"/>
  <c r="A91" i="13"/>
  <c r="AB90" i="13"/>
  <c r="A90" i="13"/>
  <c r="AB89" i="13"/>
  <c r="A89" i="13"/>
  <c r="AB88" i="13"/>
  <c r="A88" i="13"/>
  <c r="AB87" i="13"/>
  <c r="A87" i="13"/>
  <c r="AB86" i="13"/>
  <c r="A86" i="13"/>
  <c r="AB85" i="13"/>
  <c r="A85" i="13"/>
  <c r="AB84" i="13"/>
  <c r="A84" i="13"/>
  <c r="AB83" i="13"/>
  <c r="A83" i="13"/>
  <c r="AB82" i="13"/>
  <c r="A82" i="13"/>
  <c r="AB81" i="13"/>
  <c r="A81" i="13"/>
  <c r="AB80" i="13"/>
  <c r="A80" i="13"/>
  <c r="AB79" i="13"/>
  <c r="A79" i="13"/>
  <c r="AB78" i="13"/>
  <c r="A78" i="13"/>
  <c r="AB77" i="13"/>
  <c r="A77" i="13"/>
  <c r="AB76" i="13"/>
  <c r="A76" i="13"/>
  <c r="AB75" i="13"/>
  <c r="A75" i="13"/>
  <c r="AB74" i="13"/>
  <c r="A74" i="13"/>
  <c r="AB73" i="13"/>
  <c r="A73" i="13"/>
  <c r="AB72" i="13"/>
  <c r="A72" i="13"/>
  <c r="AB71" i="13"/>
  <c r="A71" i="13"/>
  <c r="AB70" i="13"/>
  <c r="A70" i="13"/>
  <c r="AB69" i="13"/>
  <c r="A69" i="13"/>
  <c r="AB68" i="13"/>
  <c r="A68" i="13"/>
  <c r="AB67" i="13"/>
  <c r="A67" i="13"/>
  <c r="AB66" i="13"/>
  <c r="A66" i="13"/>
  <c r="AB65" i="13"/>
  <c r="A65" i="13"/>
  <c r="AB64" i="13"/>
  <c r="A64" i="13"/>
  <c r="AB63" i="13"/>
  <c r="A63" i="13"/>
  <c r="AB62" i="13"/>
  <c r="A62" i="13"/>
  <c r="AB61" i="13"/>
  <c r="A61" i="13"/>
  <c r="AB60" i="13"/>
  <c r="A60" i="13"/>
  <c r="AB59" i="13"/>
  <c r="A59" i="13"/>
  <c r="AB58" i="13"/>
  <c r="A58" i="13"/>
  <c r="AB57" i="13"/>
  <c r="A57" i="13"/>
  <c r="AB56" i="13"/>
  <c r="A56" i="13"/>
  <c r="AB55" i="13"/>
  <c r="A55" i="13"/>
  <c r="AB54" i="13"/>
  <c r="A54" i="13"/>
  <c r="AB53" i="13"/>
  <c r="A53" i="13"/>
  <c r="AB52" i="13"/>
  <c r="A52" i="13"/>
  <c r="AB51" i="13"/>
  <c r="A51" i="13"/>
  <c r="AB50" i="13"/>
  <c r="A50" i="13"/>
  <c r="AB49" i="13"/>
  <c r="A49" i="13"/>
  <c r="AB48" i="13"/>
  <c r="A48" i="13"/>
  <c r="AB47" i="13"/>
  <c r="A47" i="13"/>
  <c r="AB46" i="13"/>
  <c r="A46" i="13"/>
  <c r="AB45" i="13"/>
  <c r="A45" i="13"/>
  <c r="AB44" i="13"/>
  <c r="A44" i="13"/>
  <c r="AB43" i="13"/>
  <c r="A43" i="13"/>
  <c r="AB42" i="13"/>
  <c r="A42" i="13"/>
  <c r="AB41" i="13"/>
  <c r="A41" i="13"/>
  <c r="AB40" i="13"/>
  <c r="A40" i="13"/>
  <c r="AB39" i="13"/>
  <c r="A39" i="13"/>
  <c r="AB38" i="13"/>
  <c r="A38" i="13"/>
  <c r="AB37" i="13"/>
  <c r="A37" i="13"/>
  <c r="AB36" i="13"/>
  <c r="A36" i="13"/>
  <c r="AB35" i="13"/>
  <c r="A35" i="13"/>
  <c r="AB34" i="13"/>
  <c r="A34" i="13"/>
  <c r="AB33" i="13"/>
  <c r="A33" i="13"/>
  <c r="AB32" i="13"/>
  <c r="A32" i="13"/>
  <c r="AB31" i="13"/>
  <c r="A31" i="13"/>
  <c r="AB30" i="13"/>
  <c r="A30" i="13"/>
  <c r="AB29" i="13"/>
  <c r="A29" i="13"/>
  <c r="AB28" i="13"/>
  <c r="A28" i="13"/>
  <c r="AB27" i="13"/>
  <c r="A27" i="13"/>
  <c r="AB26" i="13"/>
  <c r="A26" i="13"/>
  <c r="AB25" i="13"/>
  <c r="A25" i="13"/>
  <c r="AB24" i="13"/>
  <c r="A24" i="13"/>
  <c r="AB23" i="13"/>
  <c r="A23" i="13"/>
  <c r="AB22" i="13"/>
  <c r="A22" i="13"/>
  <c r="AB21" i="13"/>
  <c r="A21" i="13"/>
  <c r="AB20" i="13"/>
  <c r="A20" i="13"/>
  <c r="AB19" i="13"/>
  <c r="A19" i="13"/>
  <c r="AB18" i="13"/>
  <c r="A18" i="13"/>
  <c r="AB17" i="13"/>
  <c r="A17" i="13"/>
  <c r="AB16" i="13"/>
  <c r="A16" i="13"/>
  <c r="AB15" i="13"/>
  <c r="A15" i="13"/>
  <c r="AB14" i="13"/>
  <c r="A14" i="13"/>
  <c r="AB13" i="13"/>
  <c r="A13" i="13"/>
  <c r="AB12" i="13"/>
  <c r="A12" i="13"/>
  <c r="AB11" i="13"/>
  <c r="A11" i="13"/>
  <c r="AB10" i="13"/>
  <c r="A10" i="13"/>
  <c r="AB9" i="13"/>
  <c r="A9" i="13"/>
  <c r="AB8" i="13"/>
  <c r="A8" i="13"/>
  <c r="AB125" i="12"/>
  <c r="A125" i="12"/>
  <c r="AB124" i="12"/>
  <c r="A124" i="12"/>
  <c r="AB123" i="12"/>
  <c r="A123" i="12"/>
  <c r="AB122" i="12"/>
  <c r="A122" i="12"/>
  <c r="AB121" i="12"/>
  <c r="A121" i="12"/>
  <c r="AB120" i="12"/>
  <c r="A120" i="12"/>
  <c r="AB119" i="12"/>
  <c r="A119" i="12"/>
  <c r="AB118" i="12"/>
  <c r="A118" i="12"/>
  <c r="AB117" i="12"/>
  <c r="A117" i="12"/>
  <c r="AB116" i="12"/>
  <c r="A116" i="12"/>
  <c r="AB115" i="12"/>
  <c r="A115" i="12"/>
  <c r="AB114" i="12"/>
  <c r="A114" i="12"/>
  <c r="AB113" i="12"/>
  <c r="A113" i="12"/>
  <c r="AB112" i="12"/>
  <c r="A112" i="12"/>
  <c r="AB111" i="12"/>
  <c r="A111" i="12"/>
  <c r="AB110" i="12"/>
  <c r="A110" i="12"/>
  <c r="AB109" i="12"/>
  <c r="A109" i="12"/>
  <c r="AB108" i="12"/>
  <c r="A108" i="12"/>
  <c r="AB107" i="12"/>
  <c r="A107" i="12"/>
  <c r="AB106" i="12"/>
  <c r="A106" i="12"/>
  <c r="AB105" i="12"/>
  <c r="A105" i="12"/>
  <c r="AB104" i="12"/>
  <c r="A104" i="12"/>
  <c r="AB103" i="12"/>
  <c r="A103" i="12"/>
  <c r="AB102" i="12"/>
  <c r="A102" i="12"/>
  <c r="AB101" i="12"/>
  <c r="A101" i="12"/>
  <c r="AB100" i="12"/>
  <c r="A100" i="12"/>
  <c r="AB99" i="12"/>
  <c r="A99" i="12"/>
  <c r="AB98" i="12"/>
  <c r="A98" i="12"/>
  <c r="AB97" i="12"/>
  <c r="A97" i="12"/>
  <c r="AB96" i="12"/>
  <c r="A96" i="12"/>
  <c r="AB95" i="12"/>
  <c r="A95" i="12"/>
  <c r="AB94" i="12"/>
  <c r="A94" i="12"/>
  <c r="AB93" i="12"/>
  <c r="A93" i="12"/>
  <c r="AB92" i="12"/>
  <c r="A92" i="12"/>
  <c r="AB91" i="12"/>
  <c r="A91" i="12"/>
  <c r="AB90" i="12"/>
  <c r="A90" i="12"/>
  <c r="AB89" i="12"/>
  <c r="A89" i="12"/>
  <c r="AB88" i="12"/>
  <c r="A88" i="12"/>
  <c r="AB87" i="12"/>
  <c r="A87" i="12"/>
  <c r="AB86" i="12"/>
  <c r="A86" i="12"/>
  <c r="AB85" i="12"/>
  <c r="A85" i="12"/>
  <c r="AB84" i="12"/>
  <c r="A84" i="12"/>
  <c r="AB83" i="12"/>
  <c r="A83" i="12"/>
  <c r="AB82" i="12"/>
  <c r="A82" i="12"/>
  <c r="AB81" i="12"/>
  <c r="A81" i="12"/>
  <c r="AB80" i="12"/>
  <c r="A80" i="12"/>
  <c r="AB79" i="12"/>
  <c r="A79" i="12"/>
  <c r="AB78" i="12"/>
  <c r="A78" i="12"/>
  <c r="AB77" i="12"/>
  <c r="A77" i="12"/>
  <c r="AB76" i="12"/>
  <c r="A76" i="12"/>
  <c r="AB75" i="12"/>
  <c r="A75" i="12"/>
  <c r="AB74" i="12"/>
  <c r="A74" i="12"/>
  <c r="AB73" i="12"/>
  <c r="A73" i="12"/>
  <c r="AB72" i="12"/>
  <c r="A72" i="12"/>
  <c r="AB71" i="12"/>
  <c r="A71" i="12"/>
  <c r="AB70" i="12"/>
  <c r="A70" i="12"/>
  <c r="AB69" i="12"/>
  <c r="A69" i="12"/>
  <c r="AB68" i="12"/>
  <c r="A68" i="12"/>
  <c r="AB67" i="12"/>
  <c r="A67" i="12"/>
  <c r="AB66" i="12"/>
  <c r="A66" i="12"/>
  <c r="AB65" i="12"/>
  <c r="A65" i="12"/>
  <c r="AB64" i="12"/>
  <c r="A64" i="12"/>
  <c r="AB63" i="12"/>
  <c r="A63" i="12"/>
  <c r="AB62" i="12"/>
  <c r="A62" i="12"/>
  <c r="AB61" i="12"/>
  <c r="A61" i="12"/>
  <c r="AB60" i="12"/>
  <c r="A60" i="12"/>
  <c r="AB59" i="12"/>
  <c r="A59" i="12"/>
  <c r="AB58" i="12"/>
  <c r="A58" i="12"/>
  <c r="AB57" i="12"/>
  <c r="A57" i="12"/>
  <c r="AB56" i="12"/>
  <c r="A56" i="12"/>
  <c r="AB55" i="12"/>
  <c r="A55" i="12"/>
  <c r="AB54" i="12"/>
  <c r="A54" i="12"/>
  <c r="AB53" i="12"/>
  <c r="A53" i="12"/>
  <c r="AB52" i="12"/>
  <c r="A52" i="12"/>
  <c r="AB51" i="12"/>
  <c r="A51" i="12"/>
  <c r="AB50" i="12"/>
  <c r="A50" i="12"/>
  <c r="AB49" i="12"/>
  <c r="A49" i="12"/>
  <c r="AB48" i="12"/>
  <c r="A48" i="12"/>
  <c r="AB47" i="12"/>
  <c r="A47" i="12"/>
  <c r="AB46" i="12"/>
  <c r="A46" i="12"/>
  <c r="AB45" i="12"/>
  <c r="A45" i="12"/>
  <c r="AB44" i="12"/>
  <c r="A44" i="12"/>
  <c r="AB43" i="12"/>
  <c r="A43" i="12"/>
  <c r="AB42" i="12"/>
  <c r="A42" i="12"/>
  <c r="AB41" i="12"/>
  <c r="A41" i="12"/>
  <c r="AB40" i="12"/>
  <c r="A40" i="12"/>
  <c r="AB39" i="12"/>
  <c r="A39" i="12"/>
  <c r="AB38" i="12"/>
  <c r="A38" i="12"/>
  <c r="AB37" i="12"/>
  <c r="A37" i="12"/>
  <c r="AB36" i="12"/>
  <c r="A36" i="12"/>
  <c r="AB35" i="12"/>
  <c r="A35" i="12"/>
  <c r="AB34" i="12"/>
  <c r="A34" i="12"/>
  <c r="AB33" i="12"/>
  <c r="A33" i="12"/>
  <c r="AB32" i="12"/>
  <c r="A32" i="12"/>
  <c r="AB31" i="12"/>
  <c r="A31" i="12"/>
  <c r="AB30" i="12"/>
  <c r="A30" i="12"/>
  <c r="AB29" i="12"/>
  <c r="A29" i="12"/>
  <c r="AB28" i="12"/>
  <c r="A28" i="12"/>
  <c r="AB27" i="12"/>
  <c r="A27" i="12"/>
  <c r="AB26" i="12"/>
  <c r="A26" i="12"/>
  <c r="AB25" i="12"/>
  <c r="A25" i="12"/>
  <c r="AB24" i="12"/>
  <c r="A24" i="12"/>
  <c r="AB23" i="12"/>
  <c r="A23" i="12"/>
  <c r="AB22" i="12"/>
  <c r="A22" i="12"/>
  <c r="AB21" i="12"/>
  <c r="A21" i="12"/>
  <c r="AB20" i="12"/>
  <c r="A20" i="12"/>
  <c r="AB19" i="12"/>
  <c r="A19" i="12"/>
  <c r="AB18" i="12"/>
  <c r="A18" i="12"/>
  <c r="AB17" i="12"/>
  <c r="A17" i="12"/>
  <c r="AB16" i="12"/>
  <c r="A16" i="12"/>
  <c r="AB15" i="12"/>
  <c r="A15" i="12"/>
  <c r="AB14" i="12"/>
  <c r="A14" i="12"/>
  <c r="AB13" i="12"/>
  <c r="A13" i="12"/>
  <c r="AB12" i="12"/>
  <c r="A12" i="12"/>
  <c r="AB11" i="12"/>
  <c r="A11" i="12"/>
  <c r="AB10" i="12"/>
  <c r="A10" i="12"/>
  <c r="AB9" i="12"/>
  <c r="A9" i="12"/>
  <c r="AB8" i="12"/>
  <c r="A8" i="12"/>
  <c r="AB7" i="12"/>
  <c r="A7" i="12"/>
  <c r="AB6" i="12"/>
  <c r="A6" i="12"/>
  <c r="AC126" i="11"/>
  <c r="AB125" i="11"/>
  <c r="W125" i="11" s="1"/>
  <c r="Z125" i="11"/>
  <c r="Y125" i="11"/>
  <c r="X125" i="11"/>
  <c r="T125" i="11"/>
  <c r="R125" i="11"/>
  <c r="Q125" i="11"/>
  <c r="P125" i="11"/>
  <c r="L125" i="11"/>
  <c r="J125" i="11"/>
  <c r="I125" i="11"/>
  <c r="H125" i="11"/>
  <c r="D125" i="11"/>
  <c r="A125" i="11"/>
  <c r="AB124" i="11"/>
  <c r="W124" i="11"/>
  <c r="U124" i="11"/>
  <c r="T124" i="11"/>
  <c r="S124" i="11"/>
  <c r="O124" i="11"/>
  <c r="M124" i="11"/>
  <c r="L124" i="11"/>
  <c r="K124" i="11"/>
  <c r="G124" i="11"/>
  <c r="E124" i="11"/>
  <c r="D124" i="11"/>
  <c r="C124" i="11"/>
  <c r="A124" i="11"/>
  <c r="AB123" i="11"/>
  <c r="S123" i="11" s="1"/>
  <c r="Z123" i="11"/>
  <c r="X123" i="11"/>
  <c r="W123" i="11"/>
  <c r="V123" i="11"/>
  <c r="U123" i="11"/>
  <c r="T123" i="11"/>
  <c r="R123" i="11"/>
  <c r="P123" i="11"/>
  <c r="O123" i="11"/>
  <c r="N123" i="11"/>
  <c r="M123" i="11"/>
  <c r="L123" i="11"/>
  <c r="J123" i="11"/>
  <c r="H123" i="11"/>
  <c r="G123" i="11"/>
  <c r="F123" i="11"/>
  <c r="E123" i="11"/>
  <c r="D123" i="11"/>
  <c r="A123" i="11"/>
  <c r="AB122" i="11"/>
  <c r="V122" i="11" s="1"/>
  <c r="Z122" i="11"/>
  <c r="Y122" i="11"/>
  <c r="X122" i="11"/>
  <c r="W122" i="11"/>
  <c r="U122" i="11"/>
  <c r="T122" i="11"/>
  <c r="S122" i="11"/>
  <c r="R122" i="11"/>
  <c r="Q122" i="11"/>
  <c r="P122" i="11"/>
  <c r="O122" i="11"/>
  <c r="M122" i="11"/>
  <c r="L122" i="11"/>
  <c r="K122" i="11"/>
  <c r="J122" i="11"/>
  <c r="I122" i="11"/>
  <c r="H122" i="11"/>
  <c r="G122" i="11"/>
  <c r="E122" i="11"/>
  <c r="D122" i="11"/>
  <c r="C122" i="11"/>
  <c r="A122" i="11"/>
  <c r="AB121" i="11"/>
  <c r="T121" i="11"/>
  <c r="M121" i="11"/>
  <c r="L121" i="11"/>
  <c r="A121" i="11"/>
  <c r="AB120" i="11"/>
  <c r="V120" i="11" s="1"/>
  <c r="Y120" i="11"/>
  <c r="X120" i="11"/>
  <c r="W120" i="11"/>
  <c r="T120" i="11"/>
  <c r="S120" i="11"/>
  <c r="Q120" i="11"/>
  <c r="P120" i="11"/>
  <c r="O120" i="11"/>
  <c r="L120" i="11"/>
  <c r="K120" i="11"/>
  <c r="I120" i="11"/>
  <c r="H120" i="11"/>
  <c r="G120" i="11"/>
  <c r="D120" i="11"/>
  <c r="C120" i="11"/>
  <c r="A120" i="11"/>
  <c r="AB119" i="11"/>
  <c r="Z119" i="11"/>
  <c r="K119" i="11"/>
  <c r="J119" i="11"/>
  <c r="A119" i="11"/>
  <c r="AB118" i="11"/>
  <c r="S118" i="11" s="1"/>
  <c r="Z118" i="11"/>
  <c r="Y118" i="11"/>
  <c r="W118" i="11"/>
  <c r="V118" i="11"/>
  <c r="U118" i="11"/>
  <c r="T118" i="11"/>
  <c r="R118" i="11"/>
  <c r="Q118" i="11"/>
  <c r="O118" i="11"/>
  <c r="N118" i="11"/>
  <c r="M118" i="11"/>
  <c r="L118" i="11"/>
  <c r="J118" i="11"/>
  <c r="I118" i="11"/>
  <c r="G118" i="11"/>
  <c r="F118" i="11"/>
  <c r="E118" i="11"/>
  <c r="D118" i="11"/>
  <c r="A118" i="11"/>
  <c r="AB117" i="11"/>
  <c r="Z117" i="11"/>
  <c r="Y117" i="11"/>
  <c r="X117" i="11"/>
  <c r="U117" i="11"/>
  <c r="T117" i="11"/>
  <c r="R117" i="11"/>
  <c r="P117" i="11"/>
  <c r="M117" i="11"/>
  <c r="L117" i="11"/>
  <c r="J117" i="11"/>
  <c r="I117" i="11"/>
  <c r="H117" i="11"/>
  <c r="E117" i="11"/>
  <c r="A117" i="11"/>
  <c r="AB116" i="11"/>
  <c r="T116" i="11"/>
  <c r="P116" i="11"/>
  <c r="O116" i="11"/>
  <c r="M116" i="11"/>
  <c r="L116" i="11"/>
  <c r="C116" i="11"/>
  <c r="A116" i="11"/>
  <c r="AB115" i="11"/>
  <c r="Y115" i="11" s="1"/>
  <c r="Z115" i="11"/>
  <c r="X115" i="11"/>
  <c r="W115" i="11"/>
  <c r="V115" i="11"/>
  <c r="U115" i="11"/>
  <c r="T115" i="11"/>
  <c r="S115" i="11"/>
  <c r="R115" i="11"/>
  <c r="P115" i="11"/>
  <c r="O115" i="11"/>
  <c r="N115" i="11"/>
  <c r="M115" i="11"/>
  <c r="L115" i="11"/>
  <c r="K115" i="11"/>
  <c r="J115" i="11"/>
  <c r="H115" i="11"/>
  <c r="G115" i="11"/>
  <c r="F115" i="11"/>
  <c r="E115" i="11"/>
  <c r="D115" i="11"/>
  <c r="C115" i="11"/>
  <c r="A115" i="11"/>
  <c r="AB114" i="11"/>
  <c r="Z114" i="11"/>
  <c r="Y114" i="11"/>
  <c r="X114" i="11"/>
  <c r="W114" i="11"/>
  <c r="V114" i="11"/>
  <c r="U114" i="11"/>
  <c r="T114" i="11"/>
  <c r="S114" i="11"/>
  <c r="R114" i="11"/>
  <c r="Q114" i="11"/>
  <c r="P114" i="11"/>
  <c r="O114" i="11"/>
  <c r="N114" i="11"/>
  <c r="M114" i="11"/>
  <c r="L114" i="11"/>
  <c r="K114" i="11"/>
  <c r="J114" i="11"/>
  <c r="I114" i="11"/>
  <c r="H114" i="11"/>
  <c r="G114" i="11"/>
  <c r="F114" i="11"/>
  <c r="E114" i="11"/>
  <c r="D114" i="11"/>
  <c r="C114" i="11"/>
  <c r="A114" i="11"/>
  <c r="AB113" i="11"/>
  <c r="Y113" i="11"/>
  <c r="X113" i="11"/>
  <c r="V113" i="11"/>
  <c r="U113" i="11"/>
  <c r="T113" i="11"/>
  <c r="Q113" i="11"/>
  <c r="P113" i="11"/>
  <c r="N113" i="11"/>
  <c r="M113" i="11"/>
  <c r="L113" i="11"/>
  <c r="K113" i="11"/>
  <c r="I113" i="11"/>
  <c r="F113" i="11"/>
  <c r="E113" i="11"/>
  <c r="D113" i="11"/>
  <c r="C113" i="11"/>
  <c r="A113" i="11"/>
  <c r="AB112" i="11"/>
  <c r="W112" i="11"/>
  <c r="V112" i="11"/>
  <c r="P112" i="11"/>
  <c r="L112" i="11"/>
  <c r="K112" i="11"/>
  <c r="I112" i="11"/>
  <c r="H112" i="11"/>
  <c r="A112" i="11"/>
  <c r="AB111" i="11"/>
  <c r="Z111" i="11"/>
  <c r="Y111" i="11"/>
  <c r="W111" i="11"/>
  <c r="O111" i="11"/>
  <c r="I111" i="11"/>
  <c r="G111" i="11"/>
  <c r="A111" i="11"/>
  <c r="AB110" i="11"/>
  <c r="Z110" i="11"/>
  <c r="Y110" i="11"/>
  <c r="W110" i="11"/>
  <c r="V110" i="11"/>
  <c r="U110" i="11"/>
  <c r="T110" i="11"/>
  <c r="R110" i="11"/>
  <c r="Q110" i="11"/>
  <c r="O110" i="11"/>
  <c r="N110" i="11"/>
  <c r="M110" i="11"/>
  <c r="L110" i="11"/>
  <c r="J110" i="11"/>
  <c r="I110" i="11"/>
  <c r="G110" i="11"/>
  <c r="F110" i="11"/>
  <c r="E110" i="11"/>
  <c r="D110" i="11"/>
  <c r="A110" i="11"/>
  <c r="AB109" i="11"/>
  <c r="Z109" i="11" s="1"/>
  <c r="X109" i="11"/>
  <c r="T109" i="11"/>
  <c r="R109" i="11"/>
  <c r="Q109" i="11"/>
  <c r="P109" i="11"/>
  <c r="O109" i="11"/>
  <c r="I109" i="11"/>
  <c r="H109" i="11"/>
  <c r="G109" i="11"/>
  <c r="E109" i="11"/>
  <c r="D109" i="11"/>
  <c r="A109" i="11"/>
  <c r="AB108" i="11"/>
  <c r="Z108" i="11"/>
  <c r="X108" i="11"/>
  <c r="W108" i="11"/>
  <c r="U108" i="11"/>
  <c r="T108" i="11"/>
  <c r="S108" i="11"/>
  <c r="R108" i="11"/>
  <c r="P108" i="11"/>
  <c r="O108" i="11"/>
  <c r="M108" i="11"/>
  <c r="L108" i="11"/>
  <c r="K108" i="11"/>
  <c r="J108" i="11"/>
  <c r="H108" i="11"/>
  <c r="G108" i="11"/>
  <c r="E108" i="11"/>
  <c r="D108" i="11"/>
  <c r="C108" i="11"/>
  <c r="A108" i="11"/>
  <c r="AB107" i="11"/>
  <c r="Y107" i="11" s="1"/>
  <c r="Z107" i="11"/>
  <c r="X107" i="11"/>
  <c r="W107" i="11"/>
  <c r="V107" i="11"/>
  <c r="U107" i="11"/>
  <c r="T107" i="11"/>
  <c r="S107" i="11"/>
  <c r="R107" i="11"/>
  <c r="P107" i="11"/>
  <c r="O107" i="11"/>
  <c r="N107" i="11"/>
  <c r="M107" i="11"/>
  <c r="L107" i="11"/>
  <c r="K107" i="11"/>
  <c r="J107" i="11"/>
  <c r="H107" i="11"/>
  <c r="G107" i="11"/>
  <c r="F107" i="11"/>
  <c r="E107" i="11"/>
  <c r="D107" i="11"/>
  <c r="C107" i="11"/>
  <c r="A107" i="11"/>
  <c r="AB106" i="11"/>
  <c r="Z106" i="11"/>
  <c r="Y106" i="11"/>
  <c r="X106" i="11"/>
  <c r="W106" i="11"/>
  <c r="V106" i="11"/>
  <c r="U106" i="11"/>
  <c r="T106" i="11"/>
  <c r="S106" i="11"/>
  <c r="R106" i="11"/>
  <c r="Q106" i="11"/>
  <c r="P106" i="11"/>
  <c r="O106" i="11"/>
  <c r="N106" i="11"/>
  <c r="M106" i="11"/>
  <c r="L106" i="11"/>
  <c r="K106" i="11"/>
  <c r="J106" i="11"/>
  <c r="I106" i="11"/>
  <c r="H106" i="11"/>
  <c r="G106" i="11"/>
  <c r="F106" i="11"/>
  <c r="E106" i="11"/>
  <c r="D106" i="11"/>
  <c r="C106" i="11"/>
  <c r="A106" i="11"/>
  <c r="AB105" i="11"/>
  <c r="Y105" i="11"/>
  <c r="X105" i="11"/>
  <c r="V105" i="11"/>
  <c r="U105" i="11"/>
  <c r="T105" i="11"/>
  <c r="S105" i="11"/>
  <c r="Q105" i="11"/>
  <c r="P105" i="11"/>
  <c r="N105" i="11"/>
  <c r="M105" i="11"/>
  <c r="L105" i="11"/>
  <c r="K105" i="11"/>
  <c r="I105" i="11"/>
  <c r="H105" i="11"/>
  <c r="F105" i="11"/>
  <c r="E105" i="11"/>
  <c r="D105" i="11"/>
  <c r="C105" i="11"/>
  <c r="A105" i="11"/>
  <c r="AB104" i="11"/>
  <c r="T104" i="11"/>
  <c r="S104" i="11"/>
  <c r="Q104" i="11"/>
  <c r="P104" i="11"/>
  <c r="O104" i="11"/>
  <c r="G104" i="11"/>
  <c r="F104" i="11"/>
  <c r="D104" i="11"/>
  <c r="A104" i="11"/>
  <c r="AB103" i="11"/>
  <c r="O103" i="11" s="1"/>
  <c r="Y103" i="11"/>
  <c r="W103" i="11"/>
  <c r="V103" i="11"/>
  <c r="S103" i="11"/>
  <c r="R103" i="11"/>
  <c r="Q103" i="11"/>
  <c r="L103" i="11"/>
  <c r="K103" i="11"/>
  <c r="I103" i="11"/>
  <c r="G103" i="11"/>
  <c r="F103" i="11"/>
  <c r="D103" i="11"/>
  <c r="A103" i="11"/>
  <c r="AB102" i="11"/>
  <c r="Y102" i="11"/>
  <c r="W102" i="11"/>
  <c r="I102" i="11"/>
  <c r="A102" i="11"/>
  <c r="AB101" i="11"/>
  <c r="Z101" i="11"/>
  <c r="P101" i="11"/>
  <c r="A101" i="11"/>
  <c r="AB100" i="11"/>
  <c r="Z100" i="11"/>
  <c r="T100" i="11"/>
  <c r="S100" i="11"/>
  <c r="R100" i="11"/>
  <c r="O100" i="11"/>
  <c r="G100" i="11"/>
  <c r="D100" i="11"/>
  <c r="C100" i="11"/>
  <c r="A100" i="11"/>
  <c r="AB99" i="11"/>
  <c r="Y99" i="11" s="1"/>
  <c r="Z99" i="11"/>
  <c r="X99" i="11"/>
  <c r="W99" i="11"/>
  <c r="V99" i="11"/>
  <c r="U99" i="11"/>
  <c r="T99" i="11"/>
  <c r="S99" i="11"/>
  <c r="R99" i="11"/>
  <c r="P99" i="11"/>
  <c r="O99" i="11"/>
  <c r="N99" i="11"/>
  <c r="M99" i="11"/>
  <c r="L99" i="11"/>
  <c r="K99" i="11"/>
  <c r="J99" i="11"/>
  <c r="H99" i="11"/>
  <c r="G99" i="11"/>
  <c r="F99" i="11"/>
  <c r="E99" i="11"/>
  <c r="D99" i="11"/>
  <c r="C99" i="11"/>
  <c r="A99" i="11"/>
  <c r="AB98" i="11"/>
  <c r="Z98" i="11"/>
  <c r="Y98" i="11"/>
  <c r="X98" i="11"/>
  <c r="W98" i="11"/>
  <c r="V98" i="11"/>
  <c r="U98" i="11"/>
  <c r="T98" i="11"/>
  <c r="S98" i="11"/>
  <c r="R98" i="11"/>
  <c r="Q98" i="11"/>
  <c r="P98" i="11"/>
  <c r="O98" i="11"/>
  <c r="N98" i="11"/>
  <c r="M98" i="11"/>
  <c r="L98" i="11"/>
  <c r="K98" i="11"/>
  <c r="J98" i="11"/>
  <c r="I98" i="11"/>
  <c r="H98" i="11"/>
  <c r="G98" i="11"/>
  <c r="F98" i="11"/>
  <c r="E98" i="11"/>
  <c r="D98" i="11"/>
  <c r="C98" i="11"/>
  <c r="A98" i="11"/>
  <c r="AB97" i="11"/>
  <c r="U97" i="11"/>
  <c r="N97" i="11"/>
  <c r="M97" i="11"/>
  <c r="L97" i="11"/>
  <c r="K97" i="11"/>
  <c r="A97" i="11"/>
  <c r="AB96" i="11"/>
  <c r="C96" i="11" s="1"/>
  <c r="Q96" i="11"/>
  <c r="G96" i="11"/>
  <c r="F96" i="11"/>
  <c r="A96" i="11"/>
  <c r="AB95" i="11"/>
  <c r="R95" i="11" s="1"/>
  <c r="Y95" i="11"/>
  <c r="X95" i="11"/>
  <c r="W95" i="11"/>
  <c r="V95" i="11"/>
  <c r="T95" i="11"/>
  <c r="S95" i="11"/>
  <c r="P95" i="11"/>
  <c r="O95" i="11"/>
  <c r="N95" i="11"/>
  <c r="L95" i="11"/>
  <c r="K95" i="11"/>
  <c r="J95" i="11"/>
  <c r="G95" i="11"/>
  <c r="F95" i="11"/>
  <c r="D95" i="11"/>
  <c r="C95" i="11"/>
  <c r="A95" i="11"/>
  <c r="AB94" i="11"/>
  <c r="R94" i="11" s="1"/>
  <c r="Y94" i="11"/>
  <c r="W94" i="11"/>
  <c r="V94" i="11"/>
  <c r="U94" i="11"/>
  <c r="T94" i="11"/>
  <c r="S94" i="11"/>
  <c r="O94" i="11"/>
  <c r="N94" i="11"/>
  <c r="M94" i="11"/>
  <c r="L94" i="11"/>
  <c r="K94" i="11"/>
  <c r="J94" i="11"/>
  <c r="F94" i="11"/>
  <c r="E94" i="11"/>
  <c r="D94" i="11"/>
  <c r="C94" i="11"/>
  <c r="A94" i="11"/>
  <c r="AB93" i="11"/>
  <c r="Z93" i="11" s="1"/>
  <c r="X93" i="11"/>
  <c r="W93" i="11"/>
  <c r="V93" i="11"/>
  <c r="U93" i="11"/>
  <c r="T93" i="11"/>
  <c r="R93" i="11"/>
  <c r="O93" i="11"/>
  <c r="N93" i="11"/>
  <c r="M93" i="11"/>
  <c r="L93" i="11"/>
  <c r="J93" i="11"/>
  <c r="I93" i="11"/>
  <c r="F93" i="11"/>
  <c r="E93" i="11"/>
  <c r="D93" i="11"/>
  <c r="A93" i="11"/>
  <c r="AB92" i="11"/>
  <c r="X92" i="11"/>
  <c r="L92" i="11"/>
  <c r="K92" i="11"/>
  <c r="J92" i="11"/>
  <c r="A92" i="11"/>
  <c r="AB91" i="11"/>
  <c r="M91" i="11"/>
  <c r="A91" i="11"/>
  <c r="AB90" i="11"/>
  <c r="Z90" i="11"/>
  <c r="Y90" i="11"/>
  <c r="X90" i="11"/>
  <c r="W90" i="11"/>
  <c r="V90" i="11"/>
  <c r="U90" i="11"/>
  <c r="T90" i="11"/>
  <c r="S90" i="11"/>
  <c r="R90" i="11"/>
  <c r="Q90" i="11"/>
  <c r="P90" i="11"/>
  <c r="O90" i="11"/>
  <c r="N90" i="11"/>
  <c r="M90" i="11"/>
  <c r="L90" i="11"/>
  <c r="K90" i="11"/>
  <c r="J90" i="11"/>
  <c r="I90" i="11"/>
  <c r="H90" i="11"/>
  <c r="G90" i="11"/>
  <c r="F90" i="11"/>
  <c r="E90" i="11"/>
  <c r="D90" i="11"/>
  <c r="C90" i="11"/>
  <c r="A90" i="11"/>
  <c r="AB89" i="11"/>
  <c r="Z89" i="11"/>
  <c r="Y89" i="11"/>
  <c r="X89" i="11"/>
  <c r="V89" i="11"/>
  <c r="U89" i="11"/>
  <c r="T89" i="11"/>
  <c r="S89" i="11"/>
  <c r="R89" i="11"/>
  <c r="Q89" i="11"/>
  <c r="P89" i="11"/>
  <c r="N89" i="11"/>
  <c r="M89" i="11"/>
  <c r="L89" i="11"/>
  <c r="K89" i="11"/>
  <c r="J89" i="11"/>
  <c r="I89" i="11"/>
  <c r="H89" i="11"/>
  <c r="F89" i="11"/>
  <c r="E89" i="11"/>
  <c r="D89" i="11"/>
  <c r="C89" i="11"/>
  <c r="A89" i="11"/>
  <c r="AB88" i="11"/>
  <c r="Y88" i="11"/>
  <c r="X88" i="11"/>
  <c r="W88" i="11"/>
  <c r="V88" i="11"/>
  <c r="U88" i="11"/>
  <c r="T88" i="11"/>
  <c r="S88" i="11"/>
  <c r="Q88" i="11"/>
  <c r="P88" i="11"/>
  <c r="O88" i="11"/>
  <c r="N88" i="11"/>
  <c r="M88" i="11"/>
  <c r="L88" i="11"/>
  <c r="K88" i="11"/>
  <c r="I88" i="11"/>
  <c r="H88" i="11"/>
  <c r="G88" i="11"/>
  <c r="F88" i="11"/>
  <c r="E88" i="11"/>
  <c r="D88" i="11"/>
  <c r="C88" i="11"/>
  <c r="A88" i="11"/>
  <c r="AB87" i="11"/>
  <c r="Z87" i="11"/>
  <c r="Y87" i="11"/>
  <c r="X87" i="11"/>
  <c r="W87" i="11"/>
  <c r="V87" i="11"/>
  <c r="T87" i="11"/>
  <c r="S87" i="11"/>
  <c r="R87" i="11"/>
  <c r="Q87" i="11"/>
  <c r="P87" i="11"/>
  <c r="O87" i="11"/>
  <c r="N87" i="11"/>
  <c r="L87" i="11"/>
  <c r="K87" i="11"/>
  <c r="J87" i="11"/>
  <c r="I87" i="11"/>
  <c r="H87" i="11"/>
  <c r="G87" i="11"/>
  <c r="F87" i="11"/>
  <c r="D87" i="11"/>
  <c r="C87" i="11"/>
  <c r="A87" i="11"/>
  <c r="AB86" i="11"/>
  <c r="Z86" i="11"/>
  <c r="Y86" i="11"/>
  <c r="W86" i="11"/>
  <c r="V86" i="11"/>
  <c r="U86" i="11"/>
  <c r="T86" i="11"/>
  <c r="S86" i="11"/>
  <c r="R86" i="11"/>
  <c r="Q86" i="11"/>
  <c r="O86" i="11"/>
  <c r="N86" i="11"/>
  <c r="M86" i="11"/>
  <c r="L86" i="11"/>
  <c r="K86" i="11"/>
  <c r="J86" i="11"/>
  <c r="I86" i="11"/>
  <c r="G86" i="11"/>
  <c r="F86" i="11"/>
  <c r="E86" i="11"/>
  <c r="D86" i="11"/>
  <c r="C86" i="11"/>
  <c r="A86" i="11"/>
  <c r="AB85" i="11"/>
  <c r="Z85" i="11"/>
  <c r="Y85" i="11"/>
  <c r="X85" i="11"/>
  <c r="W85" i="11"/>
  <c r="V85" i="11"/>
  <c r="U85" i="11"/>
  <c r="T85" i="11"/>
  <c r="R85" i="11"/>
  <c r="Q85" i="11"/>
  <c r="P85" i="11"/>
  <c r="O85" i="11"/>
  <c r="N85" i="11"/>
  <c r="M85" i="11"/>
  <c r="L85" i="11"/>
  <c r="J85" i="11"/>
  <c r="I85" i="11"/>
  <c r="H85" i="11"/>
  <c r="G85" i="11"/>
  <c r="F85" i="11"/>
  <c r="E85" i="11"/>
  <c r="D85" i="11"/>
  <c r="A85" i="11"/>
  <c r="AB84" i="11"/>
  <c r="R84" i="11" s="1"/>
  <c r="Z84" i="11"/>
  <c r="Y84" i="11"/>
  <c r="X84" i="11"/>
  <c r="W84" i="11"/>
  <c r="U84" i="11"/>
  <c r="T84" i="11"/>
  <c r="S84" i="11"/>
  <c r="Q84" i="11"/>
  <c r="P84" i="11"/>
  <c r="O84" i="11"/>
  <c r="M84" i="11"/>
  <c r="L84" i="11"/>
  <c r="K84" i="11"/>
  <c r="J84" i="11"/>
  <c r="H84" i="11"/>
  <c r="G84" i="11"/>
  <c r="E84" i="11"/>
  <c r="D84" i="11"/>
  <c r="C84" i="11"/>
  <c r="A84" i="11"/>
  <c r="AB83" i="11"/>
  <c r="R83" i="11" s="1"/>
  <c r="Z83" i="11"/>
  <c r="X83" i="11"/>
  <c r="W83" i="11"/>
  <c r="V83" i="11"/>
  <c r="U83" i="11"/>
  <c r="T83" i="11"/>
  <c r="S83" i="11"/>
  <c r="P83" i="11"/>
  <c r="O83" i="11"/>
  <c r="N83" i="11"/>
  <c r="M83" i="11"/>
  <c r="L83" i="11"/>
  <c r="K83" i="11"/>
  <c r="J83" i="11"/>
  <c r="G83" i="11"/>
  <c r="F83" i="11"/>
  <c r="E83" i="11"/>
  <c r="D83" i="11"/>
  <c r="C83" i="11"/>
  <c r="A83" i="11"/>
  <c r="AB82" i="11"/>
  <c r="Z82" i="11"/>
  <c r="Y82" i="11"/>
  <c r="X82" i="11"/>
  <c r="W82" i="11"/>
  <c r="V82" i="11"/>
  <c r="U82" i="11"/>
  <c r="T82" i="11"/>
  <c r="S82" i="11"/>
  <c r="R82" i="11"/>
  <c r="Q82" i="11"/>
  <c r="P82" i="11"/>
  <c r="O82" i="11"/>
  <c r="N82" i="11"/>
  <c r="M82" i="11"/>
  <c r="L82" i="11"/>
  <c r="K82" i="11"/>
  <c r="J82" i="11"/>
  <c r="I82" i="11"/>
  <c r="H82" i="11"/>
  <c r="G82" i="11"/>
  <c r="F82" i="11"/>
  <c r="E82" i="11"/>
  <c r="D82" i="11"/>
  <c r="C82" i="11"/>
  <c r="A82" i="11"/>
  <c r="AB81" i="11"/>
  <c r="P81" i="11" s="1"/>
  <c r="Z81" i="11"/>
  <c r="Y81" i="11"/>
  <c r="X81" i="11"/>
  <c r="T81" i="11"/>
  <c r="S81" i="11"/>
  <c r="R81" i="11"/>
  <c r="Q81" i="11"/>
  <c r="N81" i="11"/>
  <c r="K81" i="11"/>
  <c r="J81" i="11"/>
  <c r="I81" i="11"/>
  <c r="H81" i="11"/>
  <c r="F81" i="11"/>
  <c r="E81" i="11"/>
  <c r="A81" i="11"/>
  <c r="AB80" i="11"/>
  <c r="Y80" i="11"/>
  <c r="X80" i="11"/>
  <c r="W80" i="11"/>
  <c r="V80" i="11"/>
  <c r="Q80" i="11"/>
  <c r="P80" i="11"/>
  <c r="O80" i="11"/>
  <c r="N80" i="11"/>
  <c r="M80" i="11"/>
  <c r="K80" i="11"/>
  <c r="G80" i="11"/>
  <c r="F80" i="11"/>
  <c r="E80" i="11"/>
  <c r="D80" i="11"/>
  <c r="A80" i="11"/>
  <c r="AB79" i="11"/>
  <c r="S79" i="11"/>
  <c r="R79" i="11"/>
  <c r="N79" i="11"/>
  <c r="K79" i="11"/>
  <c r="A79" i="11"/>
  <c r="AB78" i="11"/>
  <c r="Z78" i="11"/>
  <c r="Y78" i="11"/>
  <c r="S78" i="11"/>
  <c r="N78" i="11"/>
  <c r="G78" i="11"/>
  <c r="F78" i="11"/>
  <c r="A78" i="11"/>
  <c r="AB77" i="11"/>
  <c r="Z77" i="11"/>
  <c r="Y77" i="11"/>
  <c r="X77" i="11"/>
  <c r="V77" i="11"/>
  <c r="S77" i="11"/>
  <c r="R77" i="11"/>
  <c r="Q77" i="11"/>
  <c r="P77" i="11"/>
  <c r="N77" i="11"/>
  <c r="M77" i="11"/>
  <c r="J77" i="11"/>
  <c r="I77" i="11"/>
  <c r="H77" i="11"/>
  <c r="F77" i="11"/>
  <c r="E77" i="11"/>
  <c r="D77" i="11"/>
  <c r="A77" i="11"/>
  <c r="AB76" i="11"/>
  <c r="Y76" i="11"/>
  <c r="X76" i="11"/>
  <c r="W76" i="11"/>
  <c r="V76" i="11"/>
  <c r="S76" i="11"/>
  <c r="Q76" i="11"/>
  <c r="P76" i="11"/>
  <c r="O76" i="11"/>
  <c r="N76" i="11"/>
  <c r="M76" i="11"/>
  <c r="I76" i="11"/>
  <c r="H76" i="11"/>
  <c r="G76" i="11"/>
  <c r="F76" i="11"/>
  <c r="E76" i="11"/>
  <c r="D76" i="11"/>
  <c r="A76" i="11"/>
  <c r="AB75" i="11"/>
  <c r="Z75" i="11"/>
  <c r="Y75" i="11"/>
  <c r="X75" i="11"/>
  <c r="W75" i="11"/>
  <c r="S75" i="11"/>
  <c r="R75" i="11"/>
  <c r="Q75" i="11"/>
  <c r="P75" i="11"/>
  <c r="O75" i="11"/>
  <c r="N75" i="11"/>
  <c r="J75" i="11"/>
  <c r="I75" i="11"/>
  <c r="H75" i="11"/>
  <c r="G75" i="11"/>
  <c r="F75" i="11"/>
  <c r="D75" i="11"/>
  <c r="A75" i="11"/>
  <c r="AB74" i="11"/>
  <c r="Z74" i="11"/>
  <c r="Y74" i="11"/>
  <c r="W74" i="11"/>
  <c r="V74" i="11"/>
  <c r="S74" i="11"/>
  <c r="R74" i="11"/>
  <c r="Q74" i="11"/>
  <c r="O74" i="11"/>
  <c r="N74" i="11"/>
  <c r="M74" i="11"/>
  <c r="J74" i="11"/>
  <c r="I74" i="11"/>
  <c r="G74" i="11"/>
  <c r="F74" i="11"/>
  <c r="E74" i="11"/>
  <c r="D74" i="11"/>
  <c r="A74" i="11"/>
  <c r="AB73" i="11"/>
  <c r="Z73" i="11"/>
  <c r="Y73" i="11"/>
  <c r="X73" i="11"/>
  <c r="W73" i="11"/>
  <c r="V73" i="11"/>
  <c r="R73" i="11"/>
  <c r="Q73" i="11"/>
  <c r="P73" i="11"/>
  <c r="O73" i="11"/>
  <c r="N73" i="11"/>
  <c r="M73" i="11"/>
  <c r="I73" i="11"/>
  <c r="H73" i="11"/>
  <c r="G73" i="11"/>
  <c r="F73" i="11"/>
  <c r="E73" i="11"/>
  <c r="D73" i="11"/>
  <c r="A73" i="11"/>
  <c r="AB72" i="11"/>
  <c r="Z72" i="11"/>
  <c r="Y72" i="11"/>
  <c r="X72" i="11"/>
  <c r="W72" i="11"/>
  <c r="U72" i="11"/>
  <c r="T72" i="11"/>
  <c r="S72" i="11"/>
  <c r="R72" i="11"/>
  <c r="Q72" i="11"/>
  <c r="P72" i="11"/>
  <c r="O72" i="11"/>
  <c r="M72" i="11"/>
  <c r="L72" i="11"/>
  <c r="K72" i="11"/>
  <c r="J72" i="11"/>
  <c r="I72" i="11"/>
  <c r="H72" i="11"/>
  <c r="G72" i="11"/>
  <c r="E72" i="11"/>
  <c r="D72" i="11"/>
  <c r="C72" i="11"/>
  <c r="A72" i="11"/>
  <c r="AB71" i="11"/>
  <c r="Z71" i="11"/>
  <c r="X71" i="11"/>
  <c r="W71" i="11"/>
  <c r="V71" i="11"/>
  <c r="U71" i="11"/>
  <c r="S71" i="11"/>
  <c r="R71" i="11"/>
  <c r="P71" i="11"/>
  <c r="O71" i="11"/>
  <c r="N71" i="11"/>
  <c r="M71" i="11"/>
  <c r="L71" i="11"/>
  <c r="K71" i="11"/>
  <c r="J71" i="11"/>
  <c r="H71" i="11"/>
  <c r="G71" i="11"/>
  <c r="F71" i="11"/>
  <c r="E71" i="11"/>
  <c r="D71" i="11"/>
  <c r="C71" i="11"/>
  <c r="A71" i="11"/>
  <c r="AB70" i="11"/>
  <c r="U70" i="11" s="1"/>
  <c r="Z70" i="11"/>
  <c r="Y70" i="11"/>
  <c r="X70" i="11"/>
  <c r="W70" i="11"/>
  <c r="V70" i="11"/>
  <c r="T70" i="11"/>
  <c r="S70" i="11"/>
  <c r="R70" i="11"/>
  <c r="Q70" i="11"/>
  <c r="P70" i="11"/>
  <c r="O70" i="11"/>
  <c r="N70" i="11"/>
  <c r="L70" i="11"/>
  <c r="K70" i="11"/>
  <c r="J70" i="11"/>
  <c r="I70" i="11"/>
  <c r="H70" i="11"/>
  <c r="G70" i="11"/>
  <c r="F70" i="11"/>
  <c r="E70" i="11"/>
  <c r="D70" i="11"/>
  <c r="C70" i="11"/>
  <c r="A70" i="11"/>
  <c r="AB69" i="11"/>
  <c r="Z69" i="11"/>
  <c r="Y69" i="11"/>
  <c r="V69" i="11"/>
  <c r="U69" i="11"/>
  <c r="T69" i="11"/>
  <c r="S69" i="11"/>
  <c r="R69" i="11"/>
  <c r="Q69" i="11"/>
  <c r="N69" i="11"/>
  <c r="M69" i="11"/>
  <c r="L69" i="11"/>
  <c r="K69" i="11"/>
  <c r="J69" i="11"/>
  <c r="I69" i="11"/>
  <c r="F69" i="11"/>
  <c r="E69" i="11"/>
  <c r="D69" i="11"/>
  <c r="C69" i="11"/>
  <c r="A69" i="11"/>
  <c r="AB68" i="11"/>
  <c r="P68" i="11" s="1"/>
  <c r="Y68" i="11"/>
  <c r="X68" i="11"/>
  <c r="T68" i="11"/>
  <c r="G68" i="11"/>
  <c r="F68" i="11"/>
  <c r="E68" i="11"/>
  <c r="A68" i="11"/>
  <c r="AB67" i="11"/>
  <c r="Z67" i="11"/>
  <c r="Y67" i="11"/>
  <c r="X67" i="11"/>
  <c r="W67" i="11"/>
  <c r="T67" i="11"/>
  <c r="R67" i="11"/>
  <c r="Q67" i="11"/>
  <c r="P67" i="11"/>
  <c r="O67" i="11"/>
  <c r="L67" i="11"/>
  <c r="K67" i="11"/>
  <c r="J67" i="11"/>
  <c r="H67" i="11"/>
  <c r="G67" i="11"/>
  <c r="D67" i="11"/>
  <c r="C67" i="11"/>
  <c r="A67" i="11"/>
  <c r="AB66" i="11"/>
  <c r="U66" i="11"/>
  <c r="T66" i="11"/>
  <c r="G66" i="11"/>
  <c r="F66" i="11"/>
  <c r="E66" i="11"/>
  <c r="A66" i="11"/>
  <c r="AB65" i="11"/>
  <c r="S65" i="11" s="1"/>
  <c r="Z65" i="11"/>
  <c r="Y65" i="11"/>
  <c r="X65" i="11"/>
  <c r="W65" i="11"/>
  <c r="V65" i="11"/>
  <c r="U65" i="11"/>
  <c r="T65" i="11"/>
  <c r="R65" i="11"/>
  <c r="Q65" i="11"/>
  <c r="P65" i="11"/>
  <c r="O65" i="11"/>
  <c r="N65" i="11"/>
  <c r="M65" i="11"/>
  <c r="L65" i="11"/>
  <c r="J65" i="11"/>
  <c r="I65" i="11"/>
  <c r="H65" i="11"/>
  <c r="G65" i="11"/>
  <c r="F65" i="11"/>
  <c r="E65" i="11"/>
  <c r="D65" i="11"/>
  <c r="A65" i="11"/>
  <c r="AB64" i="11"/>
  <c r="Z64" i="11"/>
  <c r="Y64" i="11"/>
  <c r="X64" i="11"/>
  <c r="U64" i="11"/>
  <c r="R64" i="11"/>
  <c r="Q64" i="11"/>
  <c r="P64" i="11"/>
  <c r="M64" i="11"/>
  <c r="L64" i="11"/>
  <c r="K64" i="11"/>
  <c r="H64" i="11"/>
  <c r="E64" i="11"/>
  <c r="D64" i="11"/>
  <c r="C64" i="11"/>
  <c r="A64" i="11"/>
  <c r="AB63" i="11"/>
  <c r="V63" i="11"/>
  <c r="U63" i="11"/>
  <c r="T63" i="11"/>
  <c r="S63" i="11"/>
  <c r="P63" i="11"/>
  <c r="L63" i="11"/>
  <c r="H63" i="11"/>
  <c r="G63" i="11"/>
  <c r="F63" i="11"/>
  <c r="A63" i="11"/>
  <c r="AB62" i="11"/>
  <c r="Z62" i="11"/>
  <c r="Y62" i="11"/>
  <c r="X62" i="11"/>
  <c r="W62" i="11"/>
  <c r="V62" i="11"/>
  <c r="U62" i="11"/>
  <c r="T62" i="11"/>
  <c r="S62" i="11"/>
  <c r="R62" i="11"/>
  <c r="Q62" i="11"/>
  <c r="P62" i="11"/>
  <c r="O62" i="11"/>
  <c r="N62" i="11"/>
  <c r="M62" i="11"/>
  <c r="L62" i="11"/>
  <c r="K62" i="11"/>
  <c r="J62" i="11"/>
  <c r="I62" i="11"/>
  <c r="H62" i="11"/>
  <c r="G62" i="11"/>
  <c r="F62" i="11"/>
  <c r="E62" i="11"/>
  <c r="D62" i="11"/>
  <c r="C62" i="11"/>
  <c r="A62" i="11"/>
  <c r="AB61" i="11"/>
  <c r="V61" i="11"/>
  <c r="U61" i="11"/>
  <c r="T61" i="11"/>
  <c r="S61" i="11"/>
  <c r="R61" i="11"/>
  <c r="L61" i="11"/>
  <c r="K61" i="11"/>
  <c r="J61" i="11"/>
  <c r="I61" i="11"/>
  <c r="F61" i="11"/>
  <c r="A61" i="11"/>
  <c r="AB60" i="11"/>
  <c r="O60" i="11" s="1"/>
  <c r="Y60" i="11"/>
  <c r="X60" i="11"/>
  <c r="W60" i="11"/>
  <c r="G60" i="11"/>
  <c r="F60" i="11"/>
  <c r="E60" i="11"/>
  <c r="A60" i="11"/>
  <c r="AB59" i="11"/>
  <c r="Z59" i="11"/>
  <c r="Y59" i="11"/>
  <c r="X59" i="11"/>
  <c r="W59" i="11"/>
  <c r="T59" i="11"/>
  <c r="S59" i="11"/>
  <c r="R59" i="11"/>
  <c r="Q59" i="11"/>
  <c r="P59" i="11"/>
  <c r="O59" i="11"/>
  <c r="L59" i="11"/>
  <c r="K59" i="11"/>
  <c r="J59" i="11"/>
  <c r="I59" i="11"/>
  <c r="H59" i="11"/>
  <c r="G59" i="11"/>
  <c r="D59" i="11"/>
  <c r="C59" i="11"/>
  <c r="A59" i="11"/>
  <c r="AB58" i="11"/>
  <c r="G58" i="11"/>
  <c r="A58" i="11"/>
  <c r="AB57" i="11"/>
  <c r="S57" i="11" s="1"/>
  <c r="Z57" i="11"/>
  <c r="Y57" i="11"/>
  <c r="X57" i="11"/>
  <c r="W57" i="11"/>
  <c r="V57" i="11"/>
  <c r="U57" i="11"/>
  <c r="T57" i="11"/>
  <c r="R57" i="11"/>
  <c r="Q57" i="11"/>
  <c r="P57" i="11"/>
  <c r="O57" i="11"/>
  <c r="N57" i="11"/>
  <c r="M57" i="11"/>
  <c r="L57" i="11"/>
  <c r="J57" i="11"/>
  <c r="I57" i="11"/>
  <c r="H57" i="11"/>
  <c r="G57" i="11"/>
  <c r="F57" i="11"/>
  <c r="E57" i="11"/>
  <c r="D57" i="11"/>
  <c r="A57" i="11"/>
  <c r="AB56" i="11"/>
  <c r="Z56" i="11"/>
  <c r="Y56" i="11"/>
  <c r="X56" i="11"/>
  <c r="U56" i="11"/>
  <c r="T56" i="11"/>
  <c r="R56" i="11"/>
  <c r="Q56" i="11"/>
  <c r="P56" i="11"/>
  <c r="M56" i="11"/>
  <c r="L56" i="11"/>
  <c r="K56" i="11"/>
  <c r="J56" i="11"/>
  <c r="H56" i="11"/>
  <c r="E56" i="11"/>
  <c r="D56" i="11"/>
  <c r="C56" i="11"/>
  <c r="A56" i="11"/>
  <c r="AB55" i="11"/>
  <c r="S55" i="11" s="1"/>
  <c r="U55" i="11"/>
  <c r="H55" i="11"/>
  <c r="G55" i="11"/>
  <c r="A55" i="11"/>
  <c r="AB54" i="11"/>
  <c r="Z54" i="11"/>
  <c r="Y54" i="11"/>
  <c r="X54" i="11"/>
  <c r="W54" i="11"/>
  <c r="V54" i="11"/>
  <c r="U54" i="11"/>
  <c r="T54" i="11"/>
  <c r="S54" i="11"/>
  <c r="R54" i="11"/>
  <c r="Q54" i="11"/>
  <c r="P54" i="11"/>
  <c r="O54" i="11"/>
  <c r="N54" i="11"/>
  <c r="M54" i="11"/>
  <c r="L54" i="11"/>
  <c r="K54" i="11"/>
  <c r="J54" i="11"/>
  <c r="I54" i="11"/>
  <c r="H54" i="11"/>
  <c r="G54" i="11"/>
  <c r="F54" i="11"/>
  <c r="E54" i="11"/>
  <c r="D54" i="11"/>
  <c r="C54" i="11"/>
  <c r="A54" i="11"/>
  <c r="AB53" i="11"/>
  <c r="S53" i="11" s="1"/>
  <c r="X53" i="11"/>
  <c r="V53" i="11"/>
  <c r="K53" i="11"/>
  <c r="J53" i="11"/>
  <c r="A53" i="11"/>
  <c r="AB52" i="11"/>
  <c r="S52" i="11" s="1"/>
  <c r="W52" i="11"/>
  <c r="V52" i="11"/>
  <c r="U52" i="11"/>
  <c r="K52" i="11"/>
  <c r="I52" i="11"/>
  <c r="E52" i="11"/>
  <c r="A52" i="11"/>
  <c r="AB51" i="11"/>
  <c r="P51" i="11" s="1"/>
  <c r="X51" i="11"/>
  <c r="W51" i="11"/>
  <c r="V51" i="11"/>
  <c r="U51" i="11"/>
  <c r="M51" i="11"/>
  <c r="L51" i="11"/>
  <c r="H51" i="11"/>
  <c r="G51" i="11"/>
  <c r="A51" i="11"/>
  <c r="AB50" i="11"/>
  <c r="V50" i="11" s="1"/>
  <c r="Z50" i="11"/>
  <c r="Y50" i="11"/>
  <c r="X50" i="11"/>
  <c r="W50" i="11"/>
  <c r="T50" i="11"/>
  <c r="S50" i="11"/>
  <c r="R50" i="11"/>
  <c r="Q50" i="11"/>
  <c r="P50" i="11"/>
  <c r="O50" i="11"/>
  <c r="L50" i="11"/>
  <c r="K50" i="11"/>
  <c r="J50" i="11"/>
  <c r="I50" i="11"/>
  <c r="H50" i="11"/>
  <c r="G50" i="11"/>
  <c r="D50" i="11"/>
  <c r="C50" i="11"/>
  <c r="A50" i="11"/>
  <c r="AB49" i="11"/>
  <c r="Z49" i="11"/>
  <c r="V49" i="11"/>
  <c r="U49" i="11"/>
  <c r="T49" i="11"/>
  <c r="S49" i="11"/>
  <c r="N49" i="11"/>
  <c r="M49" i="11"/>
  <c r="L49" i="11"/>
  <c r="K49" i="11"/>
  <c r="J49" i="11"/>
  <c r="F49" i="11"/>
  <c r="E49" i="11"/>
  <c r="C49" i="11"/>
  <c r="A49" i="11"/>
  <c r="AB48" i="11"/>
  <c r="Z48" i="11"/>
  <c r="Y48" i="11"/>
  <c r="X48" i="11"/>
  <c r="W48" i="11"/>
  <c r="V48" i="11"/>
  <c r="U48" i="11"/>
  <c r="T48" i="11"/>
  <c r="S48" i="11"/>
  <c r="R48" i="11"/>
  <c r="Q48" i="11"/>
  <c r="P48" i="11"/>
  <c r="O48" i="11"/>
  <c r="N48" i="11"/>
  <c r="M48" i="11"/>
  <c r="L48" i="11"/>
  <c r="K48" i="11"/>
  <c r="J48" i="11"/>
  <c r="I48" i="11"/>
  <c r="H48" i="11"/>
  <c r="G48" i="11"/>
  <c r="F48" i="11"/>
  <c r="E48" i="11"/>
  <c r="D48" i="11"/>
  <c r="C48" i="11"/>
  <c r="A48" i="11"/>
  <c r="AB47" i="11"/>
  <c r="X47" i="11" s="1"/>
  <c r="Z47" i="11"/>
  <c r="P47" i="11"/>
  <c r="L47" i="11"/>
  <c r="A47" i="11"/>
  <c r="AB46" i="11"/>
  <c r="W46" i="11" s="1"/>
  <c r="A46" i="11"/>
  <c r="AB45" i="11"/>
  <c r="U45" i="11" s="1"/>
  <c r="Z45" i="11"/>
  <c r="Y45" i="11"/>
  <c r="X45" i="11"/>
  <c r="W45" i="11"/>
  <c r="V45" i="11"/>
  <c r="T45" i="11"/>
  <c r="S45" i="11"/>
  <c r="R45" i="11"/>
  <c r="Q45" i="11"/>
  <c r="P45" i="11"/>
  <c r="O45" i="11"/>
  <c r="N45" i="11"/>
  <c r="L45" i="11"/>
  <c r="K45" i="11"/>
  <c r="J45" i="11"/>
  <c r="I45" i="11"/>
  <c r="H45" i="11"/>
  <c r="G45" i="11"/>
  <c r="F45" i="11"/>
  <c r="D45" i="11"/>
  <c r="C45" i="11"/>
  <c r="A45" i="11"/>
  <c r="AB44" i="11"/>
  <c r="Z44" i="11"/>
  <c r="Y44" i="11"/>
  <c r="U44" i="11"/>
  <c r="T44" i="11"/>
  <c r="S44" i="11"/>
  <c r="R44" i="11"/>
  <c r="Q44" i="11"/>
  <c r="M44" i="11"/>
  <c r="L44" i="11"/>
  <c r="K44" i="11"/>
  <c r="J44" i="11"/>
  <c r="I44" i="11"/>
  <c r="E44" i="11"/>
  <c r="D44" i="11"/>
  <c r="C44" i="11"/>
  <c r="A44" i="11"/>
  <c r="AB43" i="11"/>
  <c r="X43" i="11"/>
  <c r="W43" i="11"/>
  <c r="V43" i="11"/>
  <c r="U43" i="11"/>
  <c r="T43" i="11"/>
  <c r="N43" i="11"/>
  <c r="M43" i="11"/>
  <c r="L43" i="11"/>
  <c r="H43" i="11"/>
  <c r="G43" i="11"/>
  <c r="F43" i="11"/>
  <c r="A43" i="11"/>
  <c r="AB42" i="11"/>
  <c r="V42" i="11" s="1"/>
  <c r="Z42" i="11"/>
  <c r="Y42" i="11"/>
  <c r="X42" i="11"/>
  <c r="W42" i="11"/>
  <c r="T42" i="11"/>
  <c r="S42" i="11"/>
  <c r="R42" i="11"/>
  <c r="Q42" i="11"/>
  <c r="P42" i="11"/>
  <c r="O42" i="11"/>
  <c r="L42" i="11"/>
  <c r="K42" i="11"/>
  <c r="J42" i="11"/>
  <c r="I42" i="11"/>
  <c r="H42" i="11"/>
  <c r="G42" i="11"/>
  <c r="D42" i="11"/>
  <c r="C42" i="11"/>
  <c r="A42" i="11"/>
  <c r="AB41" i="11"/>
  <c r="Z41" i="11"/>
  <c r="V41" i="11"/>
  <c r="U41" i="11"/>
  <c r="T41" i="11"/>
  <c r="S41" i="11"/>
  <c r="R41" i="11"/>
  <c r="N41" i="11"/>
  <c r="M41" i="11"/>
  <c r="L41" i="11"/>
  <c r="K41" i="11"/>
  <c r="J41" i="11"/>
  <c r="F41" i="11"/>
  <c r="E41" i="11"/>
  <c r="D41" i="11"/>
  <c r="C41" i="11"/>
  <c r="A41" i="11"/>
  <c r="AB40" i="11"/>
  <c r="Z40" i="11"/>
  <c r="Y40" i="11"/>
  <c r="X40" i="11"/>
  <c r="W40" i="11"/>
  <c r="V40" i="11"/>
  <c r="U40" i="11"/>
  <c r="T40" i="11"/>
  <c r="S40" i="11"/>
  <c r="R40" i="11"/>
  <c r="Q40" i="11"/>
  <c r="P40" i="11"/>
  <c r="O40" i="11"/>
  <c r="N40" i="11"/>
  <c r="M40" i="11"/>
  <c r="L40" i="11"/>
  <c r="K40" i="11"/>
  <c r="J40" i="11"/>
  <c r="I40" i="11"/>
  <c r="H40" i="11"/>
  <c r="G40" i="11"/>
  <c r="F40" i="11"/>
  <c r="E40" i="11"/>
  <c r="D40" i="11"/>
  <c r="C40" i="11"/>
  <c r="A40" i="11"/>
  <c r="AB39" i="11"/>
  <c r="Z39" i="11"/>
  <c r="Y39" i="11"/>
  <c r="P39" i="11"/>
  <c r="L39" i="11"/>
  <c r="K39" i="11"/>
  <c r="A39" i="11"/>
  <c r="AB38" i="11"/>
  <c r="V38" i="11" s="1"/>
  <c r="M38" i="11"/>
  <c r="C38" i="11"/>
  <c r="A38" i="11"/>
  <c r="AB37" i="11"/>
  <c r="U37" i="11" s="1"/>
  <c r="Z37" i="11"/>
  <c r="Y37" i="11"/>
  <c r="X37" i="11"/>
  <c r="W37" i="11"/>
  <c r="V37" i="11"/>
  <c r="T37" i="11"/>
  <c r="R37" i="11"/>
  <c r="Q37" i="11"/>
  <c r="P37" i="11"/>
  <c r="O37" i="11"/>
  <c r="N37" i="11"/>
  <c r="L37" i="11"/>
  <c r="K37" i="11"/>
  <c r="J37" i="11"/>
  <c r="I37" i="11"/>
  <c r="H37" i="11"/>
  <c r="G37" i="11"/>
  <c r="F37" i="11"/>
  <c r="D37" i="11"/>
  <c r="C37" i="11"/>
  <c r="A37" i="11"/>
  <c r="AB36" i="11"/>
  <c r="M36" i="11"/>
  <c r="A36" i="11"/>
  <c r="AB35" i="11"/>
  <c r="X35" i="11"/>
  <c r="W35" i="11"/>
  <c r="V35" i="11"/>
  <c r="U35" i="11"/>
  <c r="T35" i="11"/>
  <c r="P35" i="11"/>
  <c r="O35" i="11"/>
  <c r="N35" i="11"/>
  <c r="M35" i="11"/>
  <c r="L35" i="11"/>
  <c r="H35" i="11"/>
  <c r="G35" i="11"/>
  <c r="F35" i="11"/>
  <c r="E35" i="11"/>
  <c r="D35" i="11"/>
  <c r="A35" i="11"/>
  <c r="AB34" i="11"/>
  <c r="V34" i="11" s="1"/>
  <c r="Z34" i="11"/>
  <c r="Y34" i="11"/>
  <c r="X34" i="11"/>
  <c r="W34" i="11"/>
  <c r="T34" i="11"/>
  <c r="S34" i="11"/>
  <c r="R34" i="11"/>
  <c r="Q34" i="11"/>
  <c r="P34" i="11"/>
  <c r="O34" i="11"/>
  <c r="L34" i="11"/>
  <c r="K34" i="11"/>
  <c r="J34" i="11"/>
  <c r="I34" i="11"/>
  <c r="H34" i="11"/>
  <c r="G34" i="11"/>
  <c r="D34" i="11"/>
  <c r="C34" i="11"/>
  <c r="A34" i="11"/>
  <c r="AB33" i="11"/>
  <c r="V33" i="11" s="1"/>
  <c r="M33" i="11"/>
  <c r="A33" i="11"/>
  <c r="AB32" i="11"/>
  <c r="Z32" i="11"/>
  <c r="Y32" i="11"/>
  <c r="X32" i="11"/>
  <c r="W32" i="11"/>
  <c r="V32" i="11"/>
  <c r="U32" i="11"/>
  <c r="T32" i="11"/>
  <c r="S32" i="11"/>
  <c r="R32" i="11"/>
  <c r="Q32" i="11"/>
  <c r="P32" i="11"/>
  <c r="O32" i="11"/>
  <c r="N32" i="11"/>
  <c r="M32" i="11"/>
  <c r="L32" i="11"/>
  <c r="K32" i="11"/>
  <c r="J32" i="11"/>
  <c r="I32" i="11"/>
  <c r="H32" i="11"/>
  <c r="G32" i="11"/>
  <c r="F32" i="11"/>
  <c r="E32" i="11"/>
  <c r="D32" i="11"/>
  <c r="C32" i="11"/>
  <c r="A32" i="11"/>
  <c r="AB31" i="11"/>
  <c r="Z31" i="11"/>
  <c r="Y31" i="11"/>
  <c r="X31" i="11"/>
  <c r="T31" i="11"/>
  <c r="Q31" i="11"/>
  <c r="P31" i="11"/>
  <c r="L31" i="11"/>
  <c r="K31" i="11"/>
  <c r="J31" i="11"/>
  <c r="I31" i="11"/>
  <c r="C31" i="11"/>
  <c r="A31" i="11"/>
  <c r="AB30" i="11"/>
  <c r="S30" i="11" s="1"/>
  <c r="W30" i="11"/>
  <c r="V30" i="11"/>
  <c r="M30" i="11"/>
  <c r="L30" i="11"/>
  <c r="K30" i="11"/>
  <c r="A30" i="11"/>
  <c r="AB29" i="11"/>
  <c r="U29" i="11" s="1"/>
  <c r="Z29" i="11"/>
  <c r="Y29" i="11"/>
  <c r="X29" i="11"/>
  <c r="W29" i="11"/>
  <c r="V29" i="11"/>
  <c r="T29" i="11"/>
  <c r="R29" i="11"/>
  <c r="Q29" i="11"/>
  <c r="P29" i="11"/>
  <c r="O29" i="11"/>
  <c r="N29" i="11"/>
  <c r="L29" i="11"/>
  <c r="K29" i="11"/>
  <c r="J29" i="11"/>
  <c r="I29" i="11"/>
  <c r="H29" i="11"/>
  <c r="G29" i="11"/>
  <c r="F29" i="11"/>
  <c r="D29" i="11"/>
  <c r="C29" i="11"/>
  <c r="A29" i="11"/>
  <c r="AB28" i="11"/>
  <c r="Z28" i="11"/>
  <c r="Y28" i="11"/>
  <c r="M28" i="11"/>
  <c r="L28" i="11"/>
  <c r="K28" i="11"/>
  <c r="A28" i="11"/>
  <c r="AB27" i="11"/>
  <c r="V27" i="11" s="1"/>
  <c r="X27" i="11"/>
  <c r="M27" i="11"/>
  <c r="A27" i="11"/>
  <c r="AB26" i="11"/>
  <c r="V26" i="11" s="1"/>
  <c r="Z26" i="11"/>
  <c r="Y26" i="11"/>
  <c r="X26" i="11"/>
  <c r="W26" i="11"/>
  <c r="T26" i="11"/>
  <c r="S26" i="11"/>
  <c r="R26" i="11"/>
  <c r="Q26" i="11"/>
  <c r="P26" i="11"/>
  <c r="O26" i="11"/>
  <c r="L26" i="11"/>
  <c r="K26" i="11"/>
  <c r="J26" i="11"/>
  <c r="I26" i="11"/>
  <c r="H26" i="11"/>
  <c r="G26" i="11"/>
  <c r="D26" i="11"/>
  <c r="C26" i="11"/>
  <c r="A26" i="11"/>
  <c r="AB25" i="11"/>
  <c r="T25" i="11" s="1"/>
  <c r="Z25" i="11"/>
  <c r="V25" i="11"/>
  <c r="M25" i="11"/>
  <c r="L25" i="11"/>
  <c r="K25" i="11"/>
  <c r="A25" i="11"/>
  <c r="AB24" i="11"/>
  <c r="Z24" i="11"/>
  <c r="Y24" i="11"/>
  <c r="X24" i="11"/>
  <c r="W24" i="11"/>
  <c r="V24" i="11"/>
  <c r="U24" i="11"/>
  <c r="T24" i="11"/>
  <c r="S24" i="11"/>
  <c r="R24" i="11"/>
  <c r="Q24" i="11"/>
  <c r="P24" i="11"/>
  <c r="O24" i="11"/>
  <c r="N24" i="11"/>
  <c r="M24" i="11"/>
  <c r="L24" i="11"/>
  <c r="K24" i="11"/>
  <c r="J24" i="11"/>
  <c r="I24" i="11"/>
  <c r="H24" i="11"/>
  <c r="G24" i="11"/>
  <c r="F24" i="11"/>
  <c r="E24" i="11"/>
  <c r="D24" i="11"/>
  <c r="C24" i="11"/>
  <c r="A24" i="11"/>
  <c r="AB23" i="11"/>
  <c r="Z23" i="11"/>
  <c r="Y23" i="11"/>
  <c r="X23" i="11"/>
  <c r="T23" i="11"/>
  <c r="S23" i="11"/>
  <c r="R23" i="11"/>
  <c r="Q23" i="11"/>
  <c r="P23" i="11"/>
  <c r="L23" i="11"/>
  <c r="K23" i="11"/>
  <c r="J23" i="11"/>
  <c r="I23" i="11"/>
  <c r="H23" i="11"/>
  <c r="D23" i="11"/>
  <c r="C23" i="11"/>
  <c r="A23" i="11"/>
  <c r="AB22" i="11"/>
  <c r="W22" i="11"/>
  <c r="V22" i="11"/>
  <c r="U22" i="11"/>
  <c r="T22" i="11"/>
  <c r="N22" i="11"/>
  <c r="M22" i="11"/>
  <c r="L22" i="11"/>
  <c r="K22" i="11"/>
  <c r="G22" i="11"/>
  <c r="F22" i="11"/>
  <c r="C22" i="11"/>
  <c r="A22" i="11"/>
  <c r="AB21" i="11"/>
  <c r="U21" i="11" s="1"/>
  <c r="Z21" i="11"/>
  <c r="Y21" i="11"/>
  <c r="X21" i="11"/>
  <c r="W21" i="11"/>
  <c r="V21" i="11"/>
  <c r="T21" i="11"/>
  <c r="R21" i="11"/>
  <c r="Q21" i="11"/>
  <c r="P21" i="11"/>
  <c r="O21" i="11"/>
  <c r="N21" i="11"/>
  <c r="L21" i="11"/>
  <c r="J21" i="11"/>
  <c r="I21" i="11"/>
  <c r="H21" i="11"/>
  <c r="G21" i="11"/>
  <c r="F21" i="11"/>
  <c r="D21" i="11"/>
  <c r="C21" i="11"/>
  <c r="A21" i="11"/>
  <c r="AB20" i="11"/>
  <c r="Q20" i="11" s="1"/>
  <c r="Z20" i="11"/>
  <c r="Y20" i="11"/>
  <c r="U20" i="11"/>
  <c r="T20" i="11"/>
  <c r="S20" i="11"/>
  <c r="M20" i="11"/>
  <c r="L20" i="11"/>
  <c r="K20" i="11"/>
  <c r="J20" i="11"/>
  <c r="I20" i="11"/>
  <c r="E20" i="11"/>
  <c r="A20" i="11"/>
  <c r="AB19" i="11"/>
  <c r="X19" i="11"/>
  <c r="W19" i="11"/>
  <c r="V19" i="11"/>
  <c r="U19" i="11"/>
  <c r="M19" i="11"/>
  <c r="L19" i="11"/>
  <c r="H19" i="11"/>
  <c r="G19" i="11"/>
  <c r="A19" i="11"/>
  <c r="AB18" i="11"/>
  <c r="V18" i="11" s="1"/>
  <c r="Z18" i="11"/>
  <c r="Y18" i="11"/>
  <c r="X18" i="11"/>
  <c r="W18" i="11"/>
  <c r="U18" i="11"/>
  <c r="T18" i="11"/>
  <c r="S18" i="11"/>
  <c r="R18" i="11"/>
  <c r="Q18" i="11"/>
  <c r="P18" i="11"/>
  <c r="O18" i="11"/>
  <c r="M18" i="11"/>
  <c r="L18" i="11"/>
  <c r="K18" i="11"/>
  <c r="J18" i="11"/>
  <c r="I18" i="11"/>
  <c r="H18" i="11"/>
  <c r="G18" i="11"/>
  <c r="E18" i="11"/>
  <c r="D18" i="11"/>
  <c r="C18" i="11"/>
  <c r="A18" i="11"/>
  <c r="AB17" i="11"/>
  <c r="V17" i="11" s="1"/>
  <c r="Z17" i="11"/>
  <c r="X17" i="11"/>
  <c r="R17" i="11"/>
  <c r="P17" i="11"/>
  <c r="O17" i="11"/>
  <c r="H17" i="11"/>
  <c r="G17" i="11"/>
  <c r="F17" i="11"/>
  <c r="A17" i="11"/>
  <c r="AB16" i="11"/>
  <c r="Z16" i="11"/>
  <c r="Y16" i="11"/>
  <c r="X16" i="11"/>
  <c r="W16" i="11"/>
  <c r="V16" i="11"/>
  <c r="U16" i="11"/>
  <c r="T16" i="11"/>
  <c r="S16" i="11"/>
  <c r="R16" i="11"/>
  <c r="Q16" i="11"/>
  <c r="P16" i="11"/>
  <c r="O16" i="11"/>
  <c r="N16" i="11"/>
  <c r="M16" i="11"/>
  <c r="L16" i="11"/>
  <c r="K16" i="11"/>
  <c r="J16" i="11"/>
  <c r="I16" i="11"/>
  <c r="H16" i="11"/>
  <c r="G16" i="11"/>
  <c r="F16" i="11"/>
  <c r="E16" i="11"/>
  <c r="D16" i="11"/>
  <c r="C16" i="11"/>
  <c r="A16" i="11"/>
  <c r="AB15" i="11"/>
  <c r="A15" i="11"/>
  <c r="AB14" i="11"/>
  <c r="F14" i="11" s="1"/>
  <c r="A14" i="11"/>
  <c r="AB13" i="11"/>
  <c r="Z13" i="11" s="1"/>
  <c r="S13" i="11"/>
  <c r="J13" i="11"/>
  <c r="A13" i="11"/>
  <c r="AB12" i="11"/>
  <c r="Y12" i="11" s="1"/>
  <c r="A12" i="11"/>
  <c r="AB11" i="11"/>
  <c r="P11" i="11" s="1"/>
  <c r="A11" i="11"/>
  <c r="AB10" i="11"/>
  <c r="X10" i="11" s="1"/>
  <c r="R10" i="11"/>
  <c r="I10" i="11"/>
  <c r="A10" i="11"/>
  <c r="AB9" i="11"/>
  <c r="F9" i="11" s="1"/>
  <c r="R9" i="11"/>
  <c r="H9" i="11"/>
  <c r="A9" i="11"/>
  <c r="AB8" i="11"/>
  <c r="Z8" i="11"/>
  <c r="Y8" i="11"/>
  <c r="X8" i="11"/>
  <c r="W8" i="11"/>
  <c r="V8" i="11"/>
  <c r="U8" i="11"/>
  <c r="T8" i="11"/>
  <c r="S8" i="11"/>
  <c r="R8" i="11"/>
  <c r="Q8" i="11"/>
  <c r="P8" i="11"/>
  <c r="O8" i="11"/>
  <c r="N8" i="11"/>
  <c r="M8" i="11"/>
  <c r="L8" i="11"/>
  <c r="K8" i="11"/>
  <c r="J8" i="11"/>
  <c r="I8" i="11"/>
  <c r="H8" i="11"/>
  <c r="G8" i="11"/>
  <c r="F8" i="11"/>
  <c r="E8" i="11"/>
  <c r="D8" i="11"/>
  <c r="C8" i="11"/>
  <c r="A8" i="11"/>
  <c r="AB7" i="11"/>
  <c r="S7" i="11" s="1"/>
  <c r="Z7" i="11"/>
  <c r="Y7" i="11"/>
  <c r="X7" i="11"/>
  <c r="V7" i="11"/>
  <c r="U7" i="11"/>
  <c r="R7" i="11"/>
  <c r="Q7" i="11"/>
  <c r="P7" i="11"/>
  <c r="N7" i="11"/>
  <c r="M7" i="11"/>
  <c r="L7" i="11"/>
  <c r="I7" i="11"/>
  <c r="H7" i="11"/>
  <c r="F7" i="11"/>
  <c r="E7" i="11"/>
  <c r="D7" i="11"/>
  <c r="C7" i="11"/>
  <c r="A7" i="11"/>
  <c r="AB6" i="11"/>
  <c r="Y6" i="11"/>
  <c r="X6" i="11"/>
  <c r="W6" i="11"/>
  <c r="V6" i="11"/>
  <c r="U6" i="11"/>
  <c r="Q6" i="11"/>
  <c r="P6" i="11"/>
  <c r="O6" i="11"/>
  <c r="N6" i="11"/>
  <c r="M6" i="11"/>
  <c r="L6" i="11"/>
  <c r="H6" i="11"/>
  <c r="G6" i="11"/>
  <c r="F6" i="11"/>
  <c r="E6" i="11"/>
  <c r="D6" i="11"/>
  <c r="C6" i="11"/>
  <c r="A6" i="11"/>
  <c r="AA98" i="11" l="1"/>
  <c r="AA106" i="11"/>
  <c r="AA16" i="11"/>
  <c r="AA8" i="11"/>
  <c r="AA114" i="11"/>
  <c r="AA62" i="11"/>
  <c r="AA24" i="11"/>
  <c r="AA54" i="11"/>
  <c r="J152" i="13"/>
  <c r="AB152" i="13"/>
  <c r="I152" i="13"/>
  <c r="D152" i="13"/>
  <c r="V152" i="13"/>
  <c r="F152" i="13"/>
  <c r="X152" i="13"/>
  <c r="U152" i="13"/>
  <c r="E152" i="13"/>
  <c r="Y152" i="13"/>
  <c r="C152" i="13"/>
  <c r="W152" i="13"/>
  <c r="G152" i="13"/>
  <c r="H152" i="13"/>
  <c r="Z152" i="13"/>
  <c r="J128" i="14"/>
  <c r="V128" i="14"/>
  <c r="F128" i="14"/>
  <c r="W128" i="14"/>
  <c r="X128" i="14"/>
  <c r="I128" i="14"/>
  <c r="H128" i="14"/>
  <c r="Y128" i="14"/>
  <c r="G128" i="14"/>
  <c r="Z128" i="14"/>
  <c r="D128" i="14"/>
  <c r="AB128" i="14"/>
  <c r="E128" i="14"/>
  <c r="U128" i="14"/>
  <c r="AB126" i="12"/>
  <c r="I11" i="11"/>
  <c r="R11" i="11"/>
  <c r="J12" i="11"/>
  <c r="W15" i="11"/>
  <c r="O15" i="11"/>
  <c r="G15" i="11"/>
  <c r="C46" i="11"/>
  <c r="J9" i="11"/>
  <c r="S9" i="11"/>
  <c r="J10" i="11"/>
  <c r="K12" i="11"/>
  <c r="K13" i="11"/>
  <c r="T14" i="11"/>
  <c r="T15" i="11"/>
  <c r="N27" i="11"/>
  <c r="C33" i="11"/>
  <c r="N33" i="11"/>
  <c r="X36" i="11"/>
  <c r="P36" i="11"/>
  <c r="H36" i="11"/>
  <c r="W36" i="11"/>
  <c r="O36" i="11"/>
  <c r="G36" i="11"/>
  <c r="V36" i="11"/>
  <c r="N36" i="11"/>
  <c r="F36" i="11"/>
  <c r="N38" i="11"/>
  <c r="O46" i="11"/>
  <c r="Y58" i="11"/>
  <c r="Q58" i="11"/>
  <c r="I58" i="11"/>
  <c r="X58" i="11"/>
  <c r="P58" i="11"/>
  <c r="H58" i="11"/>
  <c r="W58" i="11"/>
  <c r="M58" i="11"/>
  <c r="C58" i="11"/>
  <c r="V58" i="11"/>
  <c r="L58" i="11"/>
  <c r="U58" i="11"/>
  <c r="K58" i="11"/>
  <c r="Y91" i="11"/>
  <c r="Q91" i="11"/>
  <c r="I91" i="11"/>
  <c r="R91" i="11"/>
  <c r="H91" i="11"/>
  <c r="Z91" i="11"/>
  <c r="P91" i="11"/>
  <c r="G91" i="11"/>
  <c r="X91" i="11"/>
  <c r="O91" i="11"/>
  <c r="F91" i="11"/>
  <c r="T91" i="11"/>
  <c r="D91" i="11"/>
  <c r="S91" i="11"/>
  <c r="C91" i="11"/>
  <c r="N91" i="11"/>
  <c r="W91" i="11"/>
  <c r="V91" i="11"/>
  <c r="U91" i="11"/>
  <c r="T10" i="11"/>
  <c r="U11" i="11"/>
  <c r="C13" i="11"/>
  <c r="C14" i="11"/>
  <c r="C15" i="11"/>
  <c r="U15" i="11"/>
  <c r="R33" i="11"/>
  <c r="D36" i="11"/>
  <c r="E46" i="11"/>
  <c r="C47" i="11"/>
  <c r="L53" i="11"/>
  <c r="L9" i="11"/>
  <c r="C10" i="11"/>
  <c r="D11" i="11"/>
  <c r="V11" i="11"/>
  <c r="V12" i="11"/>
  <c r="N13" i="11"/>
  <c r="D14" i="11"/>
  <c r="V14" i="11"/>
  <c r="M15" i="11"/>
  <c r="J17" i="11"/>
  <c r="N25" i="11"/>
  <c r="X28" i="11"/>
  <c r="P28" i="11"/>
  <c r="H28" i="11"/>
  <c r="W28" i="11"/>
  <c r="O28" i="11"/>
  <c r="G28" i="11"/>
  <c r="V28" i="11"/>
  <c r="N28" i="11"/>
  <c r="F28" i="11"/>
  <c r="C30" i="11"/>
  <c r="S33" i="11"/>
  <c r="W39" i="11"/>
  <c r="O39" i="11"/>
  <c r="G39" i="11"/>
  <c r="V39" i="11"/>
  <c r="N39" i="11"/>
  <c r="F39" i="11"/>
  <c r="U39" i="11"/>
  <c r="M39" i="11"/>
  <c r="E39" i="11"/>
  <c r="D47" i="11"/>
  <c r="L52" i="11"/>
  <c r="M53" i="11"/>
  <c r="M60" i="11"/>
  <c r="Y66" i="11"/>
  <c r="Q66" i="11"/>
  <c r="I66" i="11"/>
  <c r="X66" i="11"/>
  <c r="P66" i="11"/>
  <c r="H66" i="11"/>
  <c r="Z66" i="11"/>
  <c r="N66" i="11"/>
  <c r="D66" i="11"/>
  <c r="W66" i="11"/>
  <c r="M66" i="11"/>
  <c r="C66" i="11"/>
  <c r="V66" i="11"/>
  <c r="L66" i="11"/>
  <c r="V9" i="11"/>
  <c r="W10" i="11"/>
  <c r="W11" i="11"/>
  <c r="W12" i="11"/>
  <c r="E14" i="11"/>
  <c r="X15" i="11"/>
  <c r="S19" i="11"/>
  <c r="K19" i="11"/>
  <c r="C19" i="11"/>
  <c r="R19" i="11"/>
  <c r="Z19" i="11"/>
  <c r="J19" i="11"/>
  <c r="Y19" i="11"/>
  <c r="Q19" i="11"/>
  <c r="I19" i="11"/>
  <c r="R25" i="11"/>
  <c r="T27" i="11"/>
  <c r="R28" i="11"/>
  <c r="D30" i="11"/>
  <c r="T38" i="11"/>
  <c r="U46" i="11"/>
  <c r="S47" i="11"/>
  <c r="N68" i="11"/>
  <c r="U79" i="11"/>
  <c r="M79" i="11"/>
  <c r="E79" i="11"/>
  <c r="V79" i="11"/>
  <c r="L79" i="11"/>
  <c r="C79" i="11"/>
  <c r="Q79" i="11"/>
  <c r="G79" i="11"/>
  <c r="Z79" i="11"/>
  <c r="P79" i="11"/>
  <c r="F79" i="11"/>
  <c r="Y79" i="11"/>
  <c r="O79" i="11"/>
  <c r="D79" i="11"/>
  <c r="X79" i="11"/>
  <c r="I79" i="11"/>
  <c r="W79" i="11"/>
  <c r="H79" i="11"/>
  <c r="T79" i="11"/>
  <c r="W9" i="11"/>
  <c r="X11" i="11"/>
  <c r="F15" i="11"/>
  <c r="Y15" i="11"/>
  <c r="C17" i="11"/>
  <c r="L17" i="11"/>
  <c r="D19" i="11"/>
  <c r="O19" i="11"/>
  <c r="Z22" i="11"/>
  <c r="R22" i="11"/>
  <c r="J22" i="11"/>
  <c r="Y22" i="11"/>
  <c r="Q22" i="11"/>
  <c r="I22" i="11"/>
  <c r="X22" i="11"/>
  <c r="P22" i="11"/>
  <c r="H22" i="11"/>
  <c r="E25" i="11"/>
  <c r="S25" i="11"/>
  <c r="G27" i="11"/>
  <c r="U27" i="11"/>
  <c r="E28" i="11"/>
  <c r="S28" i="11"/>
  <c r="E30" i="11"/>
  <c r="W31" i="11"/>
  <c r="O31" i="11"/>
  <c r="G31" i="11"/>
  <c r="V31" i="11"/>
  <c r="N31" i="11"/>
  <c r="F31" i="11"/>
  <c r="U31" i="11"/>
  <c r="M31" i="11"/>
  <c r="E31" i="11"/>
  <c r="J33" i="11"/>
  <c r="U33" i="11"/>
  <c r="J36" i="11"/>
  <c r="U36" i="11"/>
  <c r="G38" i="11"/>
  <c r="U38" i="11"/>
  <c r="H39" i="11"/>
  <c r="S39" i="11"/>
  <c r="AA40" i="11"/>
  <c r="S43" i="11"/>
  <c r="K43" i="11"/>
  <c r="C43" i="11"/>
  <c r="Z43" i="11"/>
  <c r="R43" i="11"/>
  <c r="J43" i="11"/>
  <c r="Y43" i="11"/>
  <c r="Q43" i="11"/>
  <c r="I43" i="11"/>
  <c r="K46" i="11"/>
  <c r="V46" i="11"/>
  <c r="I47" i="11"/>
  <c r="T47" i="11"/>
  <c r="D51" i="11"/>
  <c r="O51" i="11"/>
  <c r="N52" i="11"/>
  <c r="C53" i="11"/>
  <c r="P55" i="11"/>
  <c r="D58" i="11"/>
  <c r="S58" i="11"/>
  <c r="O66" i="11"/>
  <c r="O68" i="11"/>
  <c r="X78" i="11"/>
  <c r="P78" i="11"/>
  <c r="U78" i="11"/>
  <c r="L78" i="11"/>
  <c r="D78" i="11"/>
  <c r="W78" i="11"/>
  <c r="M78" i="11"/>
  <c r="C78" i="11"/>
  <c r="V78" i="11"/>
  <c r="K78" i="11"/>
  <c r="T78" i="11"/>
  <c r="J78" i="11"/>
  <c r="R78" i="11"/>
  <c r="E78" i="11"/>
  <c r="Q78" i="11"/>
  <c r="O78" i="11"/>
  <c r="J91" i="11"/>
  <c r="X12" i="11"/>
  <c r="P12" i="11"/>
  <c r="H12" i="11"/>
  <c r="Z14" i="11"/>
  <c r="R14" i="11"/>
  <c r="J14" i="11"/>
  <c r="S15" i="11"/>
  <c r="N46" i="11"/>
  <c r="V10" i="11"/>
  <c r="N10" i="11"/>
  <c r="F10" i="11"/>
  <c r="T11" i="11"/>
  <c r="T12" i="11"/>
  <c r="T13" i="11"/>
  <c r="K14" i="11"/>
  <c r="K15" i="11"/>
  <c r="K9" i="11"/>
  <c r="K10" i="11"/>
  <c r="L11" i="11"/>
  <c r="L12" i="11"/>
  <c r="V13" i="11"/>
  <c r="U14" i="11"/>
  <c r="D27" i="11"/>
  <c r="D33" i="11"/>
  <c r="D38" i="11"/>
  <c r="S46" i="11"/>
  <c r="Q47" i="11"/>
  <c r="W53" i="11"/>
  <c r="O53" i="11"/>
  <c r="G53" i="11"/>
  <c r="R53" i="11"/>
  <c r="I53" i="11"/>
  <c r="Z53" i="11"/>
  <c r="Q53" i="11"/>
  <c r="H53" i="11"/>
  <c r="Y53" i="11"/>
  <c r="P53" i="11"/>
  <c r="F53" i="11"/>
  <c r="J55" i="11"/>
  <c r="N58" i="11"/>
  <c r="U9" i="11"/>
  <c r="U10" i="11"/>
  <c r="M11" i="11"/>
  <c r="M12" i="11"/>
  <c r="D13" i="11"/>
  <c r="W13" i="11"/>
  <c r="D15" i="11"/>
  <c r="V15" i="11"/>
  <c r="S17" i="11"/>
  <c r="C25" i="11"/>
  <c r="Z30" i="11"/>
  <c r="R30" i="11"/>
  <c r="J30" i="11"/>
  <c r="Y30" i="11"/>
  <c r="Q30" i="11"/>
  <c r="I30" i="11"/>
  <c r="X30" i="11"/>
  <c r="P30" i="11"/>
  <c r="H30" i="11"/>
  <c r="E33" i="11"/>
  <c r="S36" i="11"/>
  <c r="C39" i="11"/>
  <c r="F46" i="11"/>
  <c r="R47" i="11"/>
  <c r="K55" i="11"/>
  <c r="S60" i="11"/>
  <c r="K60" i="11"/>
  <c r="C60" i="11"/>
  <c r="Z60" i="11"/>
  <c r="R60" i="11"/>
  <c r="J60" i="11"/>
  <c r="V60" i="11"/>
  <c r="L60" i="11"/>
  <c r="U60" i="11"/>
  <c r="I60" i="11"/>
  <c r="T60" i="11"/>
  <c r="H60" i="11"/>
  <c r="J66" i="11"/>
  <c r="H68" i="11"/>
  <c r="M9" i="11"/>
  <c r="M10" i="11"/>
  <c r="E12" i="11"/>
  <c r="F13" i="11"/>
  <c r="N14" i="11"/>
  <c r="N15" i="11"/>
  <c r="T17" i="11"/>
  <c r="N19" i="11"/>
  <c r="D25" i="11"/>
  <c r="T33" i="11"/>
  <c r="I36" i="11"/>
  <c r="R39" i="11"/>
  <c r="G46" i="11"/>
  <c r="AA48" i="11"/>
  <c r="N51" i="11"/>
  <c r="M52" i="11"/>
  <c r="R58" i="11"/>
  <c r="N60" i="11"/>
  <c r="K66" i="11"/>
  <c r="E91" i="11"/>
  <c r="E9" i="11"/>
  <c r="E10" i="11"/>
  <c r="F11" i="11"/>
  <c r="F12" i="11"/>
  <c r="G13" i="11"/>
  <c r="O14" i="11"/>
  <c r="U17" i="11"/>
  <c r="AB126" i="11"/>
  <c r="Z6" i="11"/>
  <c r="R6" i="11"/>
  <c r="J6" i="11"/>
  <c r="J7" i="11"/>
  <c r="P10" i="11"/>
  <c r="Q12" i="11"/>
  <c r="Y14" i="11"/>
  <c r="Q15" i="11"/>
  <c r="D17" i="11"/>
  <c r="E19" i="11"/>
  <c r="P19" i="11"/>
  <c r="C20" i="11"/>
  <c r="F25" i="11"/>
  <c r="H27" i="11"/>
  <c r="I28" i="11"/>
  <c r="T28" i="11"/>
  <c r="F30" i="11"/>
  <c r="T30" i="11"/>
  <c r="D31" i="11"/>
  <c r="R31" i="11"/>
  <c r="K33" i="11"/>
  <c r="K36" i="11"/>
  <c r="Y36" i="11"/>
  <c r="K38" i="11"/>
  <c r="I39" i="11"/>
  <c r="T39" i="11"/>
  <c r="D43" i="11"/>
  <c r="O43" i="11"/>
  <c r="L46" i="11"/>
  <c r="J47" i="11"/>
  <c r="Y49" i="11"/>
  <c r="Q49" i="11"/>
  <c r="I49" i="11"/>
  <c r="X49" i="11"/>
  <c r="P49" i="11"/>
  <c r="H49" i="11"/>
  <c r="W49" i="11"/>
  <c r="O49" i="11"/>
  <c r="G49" i="11"/>
  <c r="E51" i="11"/>
  <c r="C52" i="11"/>
  <c r="D53" i="11"/>
  <c r="T53" i="11"/>
  <c r="E58" i="11"/>
  <c r="T58" i="11"/>
  <c r="P60" i="11"/>
  <c r="Z63" i="11"/>
  <c r="R63" i="11"/>
  <c r="J63" i="11"/>
  <c r="Y63" i="11"/>
  <c r="Q63" i="11"/>
  <c r="I63" i="11"/>
  <c r="O63" i="11"/>
  <c r="E63" i="11"/>
  <c r="X63" i="11"/>
  <c r="N63" i="11"/>
  <c r="D63" i="11"/>
  <c r="W63" i="11"/>
  <c r="M63" i="11"/>
  <c r="C63" i="11"/>
  <c r="R66" i="11"/>
  <c r="H78" i="11"/>
  <c r="K91" i="11"/>
  <c r="S11" i="11"/>
  <c r="K11" i="11"/>
  <c r="C11" i="11"/>
  <c r="S12" i="11"/>
  <c r="U13" i="11"/>
  <c r="M13" i="11"/>
  <c r="E13" i="11"/>
  <c r="I14" i="11"/>
  <c r="S14" i="11"/>
  <c r="J15" i="11"/>
  <c r="Z46" i="11"/>
  <c r="R46" i="11"/>
  <c r="J46" i="11"/>
  <c r="Y46" i="11"/>
  <c r="Q46" i="11"/>
  <c r="I46" i="11"/>
  <c r="X46" i="11"/>
  <c r="P46" i="11"/>
  <c r="H46" i="11"/>
  <c r="Y9" i="11"/>
  <c r="Q9" i="11"/>
  <c r="I9" i="11"/>
  <c r="S10" i="11"/>
  <c r="J11" i="11"/>
  <c r="S27" i="11"/>
  <c r="K27" i="11"/>
  <c r="C27" i="11"/>
  <c r="Z27" i="11"/>
  <c r="R27" i="11"/>
  <c r="J27" i="11"/>
  <c r="Y27" i="11"/>
  <c r="Q27" i="11"/>
  <c r="I27" i="11"/>
  <c r="Y33" i="11"/>
  <c r="Q33" i="11"/>
  <c r="I33" i="11"/>
  <c r="X33" i="11"/>
  <c r="P33" i="11"/>
  <c r="H33" i="11"/>
  <c r="W33" i="11"/>
  <c r="O33" i="11"/>
  <c r="G33" i="11"/>
  <c r="C36" i="11"/>
  <c r="Q36" i="11"/>
  <c r="Z38" i="11"/>
  <c r="R38" i="11"/>
  <c r="J38" i="11"/>
  <c r="Y38" i="11"/>
  <c r="Q38" i="11"/>
  <c r="I38" i="11"/>
  <c r="X38" i="11"/>
  <c r="P38" i="11"/>
  <c r="H38" i="11"/>
  <c r="D46" i="11"/>
  <c r="J58" i="11"/>
  <c r="T9" i="11"/>
  <c r="C12" i="11"/>
  <c r="U12" i="11"/>
  <c r="L13" i="11"/>
  <c r="L14" i="11"/>
  <c r="L15" i="11"/>
  <c r="O27" i="11"/>
  <c r="R36" i="11"/>
  <c r="O38" i="11"/>
  <c r="W47" i="11"/>
  <c r="O47" i="11"/>
  <c r="G47" i="11"/>
  <c r="V47" i="11"/>
  <c r="N47" i="11"/>
  <c r="F47" i="11"/>
  <c r="U47" i="11"/>
  <c r="M47" i="11"/>
  <c r="E47" i="11"/>
  <c r="Z55" i="11"/>
  <c r="R55" i="11"/>
  <c r="Y55" i="11"/>
  <c r="Q55" i="11"/>
  <c r="I55" i="11"/>
  <c r="X55" i="11"/>
  <c r="N55" i="11"/>
  <c r="E55" i="11"/>
  <c r="W55" i="11"/>
  <c r="M55" i="11"/>
  <c r="D55" i="11"/>
  <c r="V55" i="11"/>
  <c r="L55" i="11"/>
  <c r="C55" i="11"/>
  <c r="V101" i="11"/>
  <c r="N101" i="11"/>
  <c r="F101" i="11"/>
  <c r="S101" i="11"/>
  <c r="K101" i="11"/>
  <c r="C101" i="11"/>
  <c r="U101" i="11"/>
  <c r="J101" i="11"/>
  <c r="W101" i="11"/>
  <c r="I101" i="11"/>
  <c r="T101" i="11"/>
  <c r="H101" i="11"/>
  <c r="R101" i="11"/>
  <c r="G101" i="11"/>
  <c r="Y101" i="11"/>
  <c r="D101" i="11"/>
  <c r="X101" i="11"/>
  <c r="Q101" i="11"/>
  <c r="O101" i="11"/>
  <c r="M101" i="11"/>
  <c r="L101" i="11"/>
  <c r="C9" i="11"/>
  <c r="L10" i="11"/>
  <c r="D12" i="11"/>
  <c r="M14" i="11"/>
  <c r="Y17" i="11"/>
  <c r="Q17" i="11"/>
  <c r="I17" i="11"/>
  <c r="Y25" i="11"/>
  <c r="Q25" i="11"/>
  <c r="I25" i="11"/>
  <c r="X25" i="11"/>
  <c r="P25" i="11"/>
  <c r="H25" i="11"/>
  <c r="W25" i="11"/>
  <c r="O25" i="11"/>
  <c r="G25" i="11"/>
  <c r="E27" i="11"/>
  <c r="P27" i="11"/>
  <c r="C28" i="11"/>
  <c r="Q28" i="11"/>
  <c r="N30" i="11"/>
  <c r="E36" i="11"/>
  <c r="E38" i="11"/>
  <c r="S38" i="11"/>
  <c r="Q39" i="11"/>
  <c r="T46" i="11"/>
  <c r="Z52" i="11"/>
  <c r="R52" i="11"/>
  <c r="J52" i="11"/>
  <c r="Q52" i="11"/>
  <c r="H52" i="11"/>
  <c r="Y52" i="11"/>
  <c r="P52" i="11"/>
  <c r="G52" i="11"/>
  <c r="X52" i="11"/>
  <c r="O52" i="11"/>
  <c r="F52" i="11"/>
  <c r="O58" i="11"/>
  <c r="S68" i="11"/>
  <c r="K68" i="11"/>
  <c r="C68" i="11"/>
  <c r="Z68" i="11"/>
  <c r="R68" i="11"/>
  <c r="J68" i="11"/>
  <c r="W68" i="11"/>
  <c r="M68" i="11"/>
  <c r="V68" i="11"/>
  <c r="L68" i="11"/>
  <c r="U68" i="11"/>
  <c r="I68" i="11"/>
  <c r="U96" i="11"/>
  <c r="M96" i="11"/>
  <c r="E96" i="11"/>
  <c r="Z96" i="11"/>
  <c r="R96" i="11"/>
  <c r="J96" i="11"/>
  <c r="W96" i="11"/>
  <c r="L96" i="11"/>
  <c r="X96" i="11"/>
  <c r="K96" i="11"/>
  <c r="V96" i="11"/>
  <c r="I96" i="11"/>
  <c r="T96" i="11"/>
  <c r="H96" i="11"/>
  <c r="P96" i="11"/>
  <c r="O96" i="11"/>
  <c r="N96" i="11"/>
  <c r="Y96" i="11"/>
  <c r="S96" i="11"/>
  <c r="D9" i="11"/>
  <c r="D10" i="11"/>
  <c r="E11" i="11"/>
  <c r="N11" i="11"/>
  <c r="N12" i="11"/>
  <c r="O13" i="11"/>
  <c r="X13" i="11"/>
  <c r="W14" i="11"/>
  <c r="E15" i="11"/>
  <c r="K17" i="11"/>
  <c r="F27" i="11"/>
  <c r="D28" i="11"/>
  <c r="O30" i="11"/>
  <c r="F33" i="11"/>
  <c r="T36" i="11"/>
  <c r="F38" i="11"/>
  <c r="D39" i="11"/>
  <c r="H47" i="11"/>
  <c r="S51" i="11"/>
  <c r="K51" i="11"/>
  <c r="C51" i="11"/>
  <c r="Z51" i="11"/>
  <c r="R51" i="11"/>
  <c r="J51" i="11"/>
  <c r="Y51" i="11"/>
  <c r="Q51" i="11"/>
  <c r="I51" i="11"/>
  <c r="N53" i="11"/>
  <c r="O55" i="11"/>
  <c r="N9" i="11"/>
  <c r="O10" i="11"/>
  <c r="O11" i="11"/>
  <c r="O12" i="11"/>
  <c r="P13" i="11"/>
  <c r="Y13" i="11"/>
  <c r="X14" i="11"/>
  <c r="P15" i="11"/>
  <c r="I6" i="11"/>
  <c r="S6" i="11"/>
  <c r="W7" i="11"/>
  <c r="O7" i="11"/>
  <c r="G7" i="11"/>
  <c r="O9" i="11"/>
  <c r="X9" i="11"/>
  <c r="G10" i="11"/>
  <c r="Y10" i="11"/>
  <c r="G11" i="11"/>
  <c r="Y11" i="11"/>
  <c r="G12" i="11"/>
  <c r="Z12" i="11"/>
  <c r="H13" i="11"/>
  <c r="Q13" i="11"/>
  <c r="G14" i="11"/>
  <c r="P14" i="11"/>
  <c r="H15" i="11"/>
  <c r="Z15" i="11"/>
  <c r="M17" i="11"/>
  <c r="X20" i="11"/>
  <c r="P20" i="11"/>
  <c r="H20" i="11"/>
  <c r="W20" i="11"/>
  <c r="O20" i="11"/>
  <c r="G20" i="11"/>
  <c r="V20" i="11"/>
  <c r="N20" i="11"/>
  <c r="F20" i="11"/>
  <c r="D22" i="11"/>
  <c r="O22" i="11"/>
  <c r="K6" i="11"/>
  <c r="T6" i="11"/>
  <c r="K7" i="11"/>
  <c r="T7" i="11"/>
  <c r="G9" i="11"/>
  <c r="P9" i="11"/>
  <c r="Z9" i="11"/>
  <c r="H10" i="11"/>
  <c r="Q10" i="11"/>
  <c r="Z10" i="11"/>
  <c r="H11" i="11"/>
  <c r="Q11" i="11"/>
  <c r="Z11" i="11"/>
  <c r="I12" i="11"/>
  <c r="R12" i="11"/>
  <c r="I13" i="11"/>
  <c r="R13" i="11"/>
  <c r="H14" i="11"/>
  <c r="Q14" i="11"/>
  <c r="I15" i="11"/>
  <c r="R15" i="11"/>
  <c r="E17" i="11"/>
  <c r="N17" i="11"/>
  <c r="W17" i="11"/>
  <c r="F19" i="11"/>
  <c r="T19" i="11"/>
  <c r="D20" i="11"/>
  <c r="R20" i="11"/>
  <c r="E22" i="11"/>
  <c r="S22" i="11"/>
  <c r="W23" i="11"/>
  <c r="O23" i="11"/>
  <c r="G23" i="11"/>
  <c r="V23" i="11"/>
  <c r="N23" i="11"/>
  <c r="F23" i="11"/>
  <c r="U23" i="11"/>
  <c r="M23" i="11"/>
  <c r="E23" i="11"/>
  <c r="J25" i="11"/>
  <c r="U25" i="11"/>
  <c r="L27" i="11"/>
  <c r="W27" i="11"/>
  <c r="J28" i="11"/>
  <c r="U28" i="11"/>
  <c r="G30" i="11"/>
  <c r="U30" i="11"/>
  <c r="H31" i="11"/>
  <c r="S31" i="11"/>
  <c r="AA32" i="11"/>
  <c r="L33" i="11"/>
  <c r="Z33" i="11"/>
  <c r="S35" i="11"/>
  <c r="K35" i="11"/>
  <c r="C35" i="11"/>
  <c r="Z35" i="11"/>
  <c r="R35" i="11"/>
  <c r="J35" i="11"/>
  <c r="Y35" i="11"/>
  <c r="Q35" i="11"/>
  <c r="I35" i="11"/>
  <c r="L36" i="11"/>
  <c r="Z36" i="11"/>
  <c r="L38" i="11"/>
  <c r="W38" i="11"/>
  <c r="J39" i="11"/>
  <c r="X39" i="11"/>
  <c r="Y41" i="11"/>
  <c r="Q41" i="11"/>
  <c r="I41" i="11"/>
  <c r="X41" i="11"/>
  <c r="P41" i="11"/>
  <c r="H41" i="11"/>
  <c r="W41" i="11"/>
  <c r="O41" i="11"/>
  <c r="G41" i="11"/>
  <c r="AA41" i="11" s="1"/>
  <c r="E43" i="11"/>
  <c r="P43" i="11"/>
  <c r="X44" i="11"/>
  <c r="P44" i="11"/>
  <c r="H44" i="11"/>
  <c r="W44" i="11"/>
  <c r="O44" i="11"/>
  <c r="G44" i="11"/>
  <c r="V44" i="11"/>
  <c r="N44" i="11"/>
  <c r="F44" i="11"/>
  <c r="M46" i="11"/>
  <c r="K47" i="11"/>
  <c r="Y47" i="11"/>
  <c r="D49" i="11"/>
  <c r="R49" i="11"/>
  <c r="F51" i="11"/>
  <c r="T51" i="11"/>
  <c r="D52" i="11"/>
  <c r="T52" i="11"/>
  <c r="E53" i="11"/>
  <c r="U53" i="11"/>
  <c r="F55" i="11"/>
  <c r="T55" i="11"/>
  <c r="F58" i="11"/>
  <c r="Z58" i="11"/>
  <c r="D60" i="11"/>
  <c r="Q60" i="11"/>
  <c r="X61" i="11"/>
  <c r="P61" i="11"/>
  <c r="H61" i="11"/>
  <c r="W61" i="11"/>
  <c r="O61" i="11"/>
  <c r="G61" i="11"/>
  <c r="Q61" i="11"/>
  <c r="E61" i="11"/>
  <c r="Z61" i="11"/>
  <c r="N61" i="11"/>
  <c r="D61" i="11"/>
  <c r="Y61" i="11"/>
  <c r="M61" i="11"/>
  <c r="C61" i="11"/>
  <c r="K63" i="11"/>
  <c r="S66" i="11"/>
  <c r="D68" i="11"/>
  <c r="Q68" i="11"/>
  <c r="I78" i="11"/>
  <c r="J79" i="11"/>
  <c r="AA82" i="11"/>
  <c r="L91" i="11"/>
  <c r="V92" i="11"/>
  <c r="N92" i="11"/>
  <c r="F92" i="11"/>
  <c r="R92" i="11"/>
  <c r="I92" i="11"/>
  <c r="Z92" i="11"/>
  <c r="Q92" i="11"/>
  <c r="H92" i="11"/>
  <c r="Y92" i="11"/>
  <c r="P92" i="11"/>
  <c r="G92" i="11"/>
  <c r="U92" i="11"/>
  <c r="E92" i="11"/>
  <c r="T92" i="11"/>
  <c r="D92" i="11"/>
  <c r="S92" i="11"/>
  <c r="C92" i="11"/>
  <c r="W92" i="11"/>
  <c r="O92" i="11"/>
  <c r="M92" i="11"/>
  <c r="D96" i="11"/>
  <c r="E101" i="11"/>
  <c r="S102" i="11"/>
  <c r="K102" i="11"/>
  <c r="C102" i="11"/>
  <c r="X102" i="11"/>
  <c r="P102" i="11"/>
  <c r="H102" i="11"/>
  <c r="Z102" i="11"/>
  <c r="O102" i="11"/>
  <c r="E102" i="11"/>
  <c r="T102" i="11"/>
  <c r="G102" i="11"/>
  <c r="R102" i="11"/>
  <c r="F102" i="11"/>
  <c r="Q102" i="11"/>
  <c r="D102" i="11"/>
  <c r="N102" i="11"/>
  <c r="M102" i="11"/>
  <c r="L102" i="11"/>
  <c r="V102" i="11"/>
  <c r="U102" i="11"/>
  <c r="J102" i="11"/>
  <c r="K21" i="11"/>
  <c r="S21" i="11"/>
  <c r="S29" i="11"/>
  <c r="S37" i="11"/>
  <c r="W64" i="11"/>
  <c r="O64" i="11"/>
  <c r="G64" i="11"/>
  <c r="V64" i="11"/>
  <c r="N64" i="11"/>
  <c r="F64" i="11"/>
  <c r="S121" i="11"/>
  <c r="K121" i="11"/>
  <c r="C121" i="11"/>
  <c r="Z121" i="11"/>
  <c r="R121" i="11"/>
  <c r="J121" i="11"/>
  <c r="Y121" i="11"/>
  <c r="Q121" i="11"/>
  <c r="I121" i="11"/>
  <c r="W121" i="11"/>
  <c r="O121" i="11"/>
  <c r="G121" i="11"/>
  <c r="P121" i="11"/>
  <c r="N121" i="11"/>
  <c r="X121" i="11"/>
  <c r="E121" i="11"/>
  <c r="V121" i="11"/>
  <c r="D121" i="11"/>
  <c r="U121" i="11"/>
  <c r="H121" i="11"/>
  <c r="F121" i="11"/>
  <c r="E26" i="11"/>
  <c r="M26" i="11"/>
  <c r="U26" i="11"/>
  <c r="E34" i="11"/>
  <c r="AA34" i="11" s="1"/>
  <c r="M34" i="11"/>
  <c r="U34" i="11"/>
  <c r="E42" i="11"/>
  <c r="M42" i="11"/>
  <c r="U42" i="11"/>
  <c r="E50" i="11"/>
  <c r="M50" i="11"/>
  <c r="U50" i="11"/>
  <c r="W56" i="11"/>
  <c r="O56" i="11"/>
  <c r="G56" i="11"/>
  <c r="V56" i="11"/>
  <c r="N56" i="11"/>
  <c r="F56" i="11"/>
  <c r="I64" i="11"/>
  <c r="S64" i="11"/>
  <c r="V67" i="11"/>
  <c r="N67" i="11"/>
  <c r="F67" i="11"/>
  <c r="U67" i="11"/>
  <c r="M67" i="11"/>
  <c r="E67" i="11"/>
  <c r="AA90" i="11"/>
  <c r="Y119" i="11"/>
  <c r="Q119" i="11"/>
  <c r="I119" i="11"/>
  <c r="X119" i="11"/>
  <c r="P119" i="11"/>
  <c r="H119" i="11"/>
  <c r="U119" i="11"/>
  <c r="M119" i="11"/>
  <c r="E119" i="11"/>
  <c r="T119" i="11"/>
  <c r="G119" i="11"/>
  <c r="S119" i="11"/>
  <c r="F119" i="11"/>
  <c r="W119" i="11"/>
  <c r="D119" i="11"/>
  <c r="V119" i="11"/>
  <c r="C119" i="11"/>
  <c r="R119" i="11"/>
  <c r="O119" i="11"/>
  <c r="N119" i="11"/>
  <c r="L119" i="11"/>
  <c r="F18" i="11"/>
  <c r="N18" i="11"/>
  <c r="E21" i="11"/>
  <c r="M21" i="11"/>
  <c r="F26" i="11"/>
  <c r="N26" i="11"/>
  <c r="E29" i="11"/>
  <c r="M29" i="11"/>
  <c r="F34" i="11"/>
  <c r="N34" i="11"/>
  <c r="E37" i="11"/>
  <c r="M37" i="11"/>
  <c r="F42" i="11"/>
  <c r="N42" i="11"/>
  <c r="E45" i="11"/>
  <c r="AA45" i="11" s="1"/>
  <c r="M45" i="11"/>
  <c r="F50" i="11"/>
  <c r="N50" i="11"/>
  <c r="I56" i="11"/>
  <c r="S56" i="11"/>
  <c r="V59" i="11"/>
  <c r="N59" i="11"/>
  <c r="F59" i="11"/>
  <c r="U59" i="11"/>
  <c r="M59" i="11"/>
  <c r="E59" i="11"/>
  <c r="J64" i="11"/>
  <c r="T64" i="11"/>
  <c r="I67" i="11"/>
  <c r="S67" i="11"/>
  <c r="X69" i="11"/>
  <c r="P69" i="11"/>
  <c r="H69" i="11"/>
  <c r="W69" i="11"/>
  <c r="O69" i="11"/>
  <c r="G69" i="11"/>
  <c r="AA69" i="11" s="1"/>
  <c r="Z97" i="11"/>
  <c r="R97" i="11"/>
  <c r="J97" i="11"/>
  <c r="W97" i="11"/>
  <c r="O97" i="11"/>
  <c r="G97" i="11"/>
  <c r="P97" i="11"/>
  <c r="E97" i="11"/>
  <c r="T97" i="11"/>
  <c r="H97" i="11"/>
  <c r="S97" i="11"/>
  <c r="F97" i="11"/>
  <c r="Q97" i="11"/>
  <c r="D97" i="11"/>
  <c r="Y97" i="11"/>
  <c r="I97" i="11"/>
  <c r="X97" i="11"/>
  <c r="C97" i="11"/>
  <c r="V97" i="11"/>
  <c r="S73" i="11"/>
  <c r="K73" i="11"/>
  <c r="C73" i="11"/>
  <c r="X74" i="11"/>
  <c r="P74" i="11"/>
  <c r="H74" i="11"/>
  <c r="U75" i="11"/>
  <c r="M75" i="11"/>
  <c r="E75" i="11"/>
  <c r="Z76" i="11"/>
  <c r="R76" i="11"/>
  <c r="J76" i="11"/>
  <c r="W77" i="11"/>
  <c r="O77" i="11"/>
  <c r="G77" i="11"/>
  <c r="Z80" i="11"/>
  <c r="R80" i="11"/>
  <c r="J80" i="11"/>
  <c r="U80" i="11"/>
  <c r="L80" i="11"/>
  <c r="C80" i="11"/>
  <c r="Y100" i="11"/>
  <c r="Q100" i="11"/>
  <c r="I100" i="11"/>
  <c r="V100" i="11"/>
  <c r="N100" i="11"/>
  <c r="F100" i="11"/>
  <c r="P100" i="11"/>
  <c r="E100" i="11"/>
  <c r="AA100" i="11" s="1"/>
  <c r="X100" i="11"/>
  <c r="L100" i="11"/>
  <c r="W100" i="11"/>
  <c r="K100" i="11"/>
  <c r="U100" i="11"/>
  <c r="J100" i="11"/>
  <c r="X111" i="11"/>
  <c r="P111" i="11"/>
  <c r="H111" i="11"/>
  <c r="U111" i="11"/>
  <c r="M111" i="11"/>
  <c r="E111" i="11"/>
  <c r="V111" i="11"/>
  <c r="K111" i="11"/>
  <c r="T111" i="11"/>
  <c r="J111" i="11"/>
  <c r="S111" i="11"/>
  <c r="F111" i="11"/>
  <c r="R111" i="11"/>
  <c r="D111" i="11"/>
  <c r="Q111" i="11"/>
  <c r="C111" i="11"/>
  <c r="C57" i="11"/>
  <c r="K57" i="11"/>
  <c r="C65" i="11"/>
  <c r="K65" i="11"/>
  <c r="Y71" i="11"/>
  <c r="Q71" i="11"/>
  <c r="I71" i="11"/>
  <c r="V72" i="11"/>
  <c r="N72" i="11"/>
  <c r="F72" i="11"/>
  <c r="AA72" i="11" s="1"/>
  <c r="J73" i="11"/>
  <c r="T73" i="11"/>
  <c r="K74" i="11"/>
  <c r="T74" i="11"/>
  <c r="K75" i="11"/>
  <c r="T75" i="11"/>
  <c r="K76" i="11"/>
  <c r="T76" i="11"/>
  <c r="K77" i="11"/>
  <c r="T77" i="11"/>
  <c r="H80" i="11"/>
  <c r="S80" i="11"/>
  <c r="H100" i="11"/>
  <c r="U104" i="11"/>
  <c r="M104" i="11"/>
  <c r="E104" i="11"/>
  <c r="Z104" i="11"/>
  <c r="R104" i="11"/>
  <c r="J104" i="11"/>
  <c r="X104" i="11"/>
  <c r="N104" i="11"/>
  <c r="C104" i="11"/>
  <c r="Y104" i="11"/>
  <c r="L104" i="11"/>
  <c r="W104" i="11"/>
  <c r="K104" i="11"/>
  <c r="V104" i="11"/>
  <c r="I104" i="11"/>
  <c r="L111" i="11"/>
  <c r="Z116" i="11"/>
  <c r="Y116" i="11"/>
  <c r="Q116" i="11"/>
  <c r="I116" i="11"/>
  <c r="V116" i="11"/>
  <c r="N116" i="11"/>
  <c r="F116" i="11"/>
  <c r="S116" i="11"/>
  <c r="H116" i="11"/>
  <c r="R116" i="11"/>
  <c r="G116" i="11"/>
  <c r="X116" i="11"/>
  <c r="K116" i="11"/>
  <c r="W116" i="11"/>
  <c r="J116" i="11"/>
  <c r="U116" i="11"/>
  <c r="E116" i="11"/>
  <c r="M70" i="11"/>
  <c r="AA70" i="11" s="1"/>
  <c r="T71" i="11"/>
  <c r="L73" i="11"/>
  <c r="U73" i="11"/>
  <c r="C74" i="11"/>
  <c r="L74" i="11"/>
  <c r="U74" i="11"/>
  <c r="C75" i="11"/>
  <c r="L75" i="11"/>
  <c r="V75" i="11"/>
  <c r="C76" i="11"/>
  <c r="L76" i="11"/>
  <c r="U76" i="11"/>
  <c r="C77" i="11"/>
  <c r="L77" i="11"/>
  <c r="U77" i="11"/>
  <c r="I80" i="11"/>
  <c r="T80" i="11"/>
  <c r="W81" i="11"/>
  <c r="O81" i="11"/>
  <c r="G81" i="11"/>
  <c r="V81" i="11"/>
  <c r="M81" i="11"/>
  <c r="D81" i="11"/>
  <c r="U81" i="11"/>
  <c r="L81" i="11"/>
  <c r="C81" i="11"/>
  <c r="M100" i="11"/>
  <c r="H104" i="11"/>
  <c r="N111" i="11"/>
  <c r="U112" i="11"/>
  <c r="M112" i="11"/>
  <c r="E112" i="11"/>
  <c r="Z112" i="11"/>
  <c r="R112" i="11"/>
  <c r="J112" i="11"/>
  <c r="Y112" i="11"/>
  <c r="O112" i="11"/>
  <c r="D112" i="11"/>
  <c r="X112" i="11"/>
  <c r="N112" i="11"/>
  <c r="C112" i="11"/>
  <c r="T112" i="11"/>
  <c r="G112" i="11"/>
  <c r="S112" i="11"/>
  <c r="F112" i="11"/>
  <c r="Q112" i="11"/>
  <c r="D116" i="11"/>
  <c r="H83" i="11"/>
  <c r="I84" i="11"/>
  <c r="S85" i="11"/>
  <c r="K85" i="11"/>
  <c r="C85" i="11"/>
  <c r="X86" i="11"/>
  <c r="P86" i="11"/>
  <c r="H86" i="11"/>
  <c r="AA86" i="11" s="1"/>
  <c r="U87" i="11"/>
  <c r="M87" i="11"/>
  <c r="E87" i="11"/>
  <c r="Z88" i="11"/>
  <c r="R88" i="11"/>
  <c r="J88" i="11"/>
  <c r="W89" i="11"/>
  <c r="O89" i="11"/>
  <c r="G89" i="11"/>
  <c r="G93" i="11"/>
  <c r="P93" i="11"/>
  <c r="Y93" i="11"/>
  <c r="G94" i="11"/>
  <c r="Q94" i="11"/>
  <c r="Z94" i="11"/>
  <c r="H95" i="11"/>
  <c r="Q95" i="11"/>
  <c r="Z95" i="11"/>
  <c r="N103" i="11"/>
  <c r="Z103" i="11"/>
  <c r="J109" i="11"/>
  <c r="Y109" i="11"/>
  <c r="Y83" i="11"/>
  <c r="Q83" i="11"/>
  <c r="I83" i="11"/>
  <c r="V84" i="11"/>
  <c r="N84" i="11"/>
  <c r="F84" i="11"/>
  <c r="AA84" i="11" s="1"/>
  <c r="H93" i="11"/>
  <c r="Q93" i="11"/>
  <c r="I94" i="11"/>
  <c r="I95" i="11"/>
  <c r="C103" i="11"/>
  <c r="M109" i="11"/>
  <c r="S93" i="11"/>
  <c r="K93" i="11"/>
  <c r="C93" i="11"/>
  <c r="X94" i="11"/>
  <c r="P94" i="11"/>
  <c r="H94" i="11"/>
  <c r="U95" i="11"/>
  <c r="M95" i="11"/>
  <c r="E95" i="11"/>
  <c r="X103" i="11"/>
  <c r="P103" i="11"/>
  <c r="H103" i="11"/>
  <c r="U103" i="11"/>
  <c r="M103" i="11"/>
  <c r="E103" i="11"/>
  <c r="T103" i="11"/>
  <c r="J103" i="11"/>
  <c r="V109" i="11"/>
  <c r="N109" i="11"/>
  <c r="F109" i="11"/>
  <c r="S109" i="11"/>
  <c r="K109" i="11"/>
  <c r="C109" i="11"/>
  <c r="W109" i="11"/>
  <c r="L109" i="11"/>
  <c r="U109" i="11"/>
  <c r="Z113" i="11"/>
  <c r="R113" i="11"/>
  <c r="J113" i="11"/>
  <c r="W113" i="11"/>
  <c r="O113" i="11"/>
  <c r="G113" i="11"/>
  <c r="AA113" i="11" s="1"/>
  <c r="W117" i="11"/>
  <c r="O117" i="11"/>
  <c r="G117" i="11"/>
  <c r="V117" i="11"/>
  <c r="N117" i="11"/>
  <c r="F117" i="11"/>
  <c r="S117" i="11"/>
  <c r="K117" i="11"/>
  <c r="C117" i="11"/>
  <c r="Z105" i="11"/>
  <c r="R105" i="11"/>
  <c r="J105" i="11"/>
  <c r="W105" i="11"/>
  <c r="O105" i="11"/>
  <c r="G105" i="11"/>
  <c r="Y108" i="11"/>
  <c r="Q108" i="11"/>
  <c r="I108" i="11"/>
  <c r="V108" i="11"/>
  <c r="N108" i="11"/>
  <c r="F108" i="11"/>
  <c r="S110" i="11"/>
  <c r="K110" i="11"/>
  <c r="C110" i="11"/>
  <c r="X110" i="11"/>
  <c r="P110" i="11"/>
  <c r="H110" i="11"/>
  <c r="H113" i="11"/>
  <c r="S113" i="11"/>
  <c r="D117" i="11"/>
  <c r="Q117" i="11"/>
  <c r="Z124" i="11"/>
  <c r="R124" i="11"/>
  <c r="J124" i="11"/>
  <c r="Y124" i="11"/>
  <c r="Q124" i="11"/>
  <c r="I124" i="11"/>
  <c r="X124" i="11"/>
  <c r="P124" i="11"/>
  <c r="H124" i="11"/>
  <c r="V124" i="11"/>
  <c r="N124" i="11"/>
  <c r="F124" i="11"/>
  <c r="I99" i="11"/>
  <c r="Q99" i="11"/>
  <c r="I107" i="11"/>
  <c r="Q107" i="11"/>
  <c r="I115" i="11"/>
  <c r="Q115" i="11"/>
  <c r="H118" i="11"/>
  <c r="P118" i="11"/>
  <c r="X118" i="11"/>
  <c r="J120" i="11"/>
  <c r="R120" i="11"/>
  <c r="Z120" i="11"/>
  <c r="I123" i="11"/>
  <c r="Q123" i="11"/>
  <c r="Y123" i="11"/>
  <c r="C125" i="11"/>
  <c r="K125" i="11"/>
  <c r="S125" i="11"/>
  <c r="F122" i="11"/>
  <c r="N122" i="11"/>
  <c r="C123" i="11"/>
  <c r="K123" i="11"/>
  <c r="E125" i="11"/>
  <c r="M125" i="11"/>
  <c r="U125" i="11"/>
  <c r="C118" i="11"/>
  <c r="K118" i="11"/>
  <c r="E120" i="11"/>
  <c r="M120" i="11"/>
  <c r="U120" i="11"/>
  <c r="F125" i="11"/>
  <c r="N125" i="11"/>
  <c r="V125" i="11"/>
  <c r="F120" i="11"/>
  <c r="N120" i="11"/>
  <c r="G125" i="11"/>
  <c r="O125" i="11"/>
  <c r="AB125" i="10"/>
  <c r="A125" i="10"/>
  <c r="AB124" i="10"/>
  <c r="A124" i="10"/>
  <c r="AB123" i="10"/>
  <c r="A123" i="10"/>
  <c r="AB122" i="10"/>
  <c r="A122" i="10"/>
  <c r="AB121" i="10"/>
  <c r="A121" i="10"/>
  <c r="AB120" i="10"/>
  <c r="A120" i="10"/>
  <c r="AB119" i="10"/>
  <c r="A119" i="10"/>
  <c r="AB118" i="10"/>
  <c r="A118" i="10"/>
  <c r="AB117" i="10"/>
  <c r="A117" i="10"/>
  <c r="AB116" i="10"/>
  <c r="A116" i="10"/>
  <c r="AB115" i="10"/>
  <c r="A115" i="10"/>
  <c r="AB114" i="10"/>
  <c r="A114" i="10"/>
  <c r="AB113" i="10"/>
  <c r="A113" i="10"/>
  <c r="AB112" i="10"/>
  <c r="A112" i="10"/>
  <c r="AB111" i="10"/>
  <c r="A111" i="10"/>
  <c r="AB110" i="10"/>
  <c r="A110" i="10"/>
  <c r="AB109" i="10"/>
  <c r="A109" i="10"/>
  <c r="AB108" i="10"/>
  <c r="A108" i="10"/>
  <c r="AB107" i="10"/>
  <c r="A107" i="10"/>
  <c r="AB106" i="10"/>
  <c r="A106" i="10"/>
  <c r="AB105" i="10"/>
  <c r="A105" i="10"/>
  <c r="AB104" i="10"/>
  <c r="A104" i="10"/>
  <c r="AB103" i="10"/>
  <c r="A103" i="10"/>
  <c r="AB102" i="10"/>
  <c r="A102" i="10"/>
  <c r="AB101" i="10"/>
  <c r="A101" i="10"/>
  <c r="AB100" i="10"/>
  <c r="A100" i="10"/>
  <c r="AB99" i="10"/>
  <c r="A99" i="10"/>
  <c r="AB98" i="10"/>
  <c r="A98" i="10"/>
  <c r="AB97" i="10"/>
  <c r="A97" i="10"/>
  <c r="AB96" i="10"/>
  <c r="A96" i="10"/>
  <c r="AB95" i="10"/>
  <c r="A95" i="10"/>
  <c r="AB94" i="10"/>
  <c r="A94" i="10"/>
  <c r="AB93" i="10"/>
  <c r="A93" i="10"/>
  <c r="AB92" i="10"/>
  <c r="A92" i="10"/>
  <c r="AB91" i="10"/>
  <c r="A91" i="10"/>
  <c r="AB90" i="10"/>
  <c r="A90" i="10"/>
  <c r="AB89" i="10"/>
  <c r="A89" i="10"/>
  <c r="AB88" i="10"/>
  <c r="A88" i="10"/>
  <c r="AB87" i="10"/>
  <c r="A87" i="10"/>
  <c r="AB86" i="10"/>
  <c r="A86" i="10"/>
  <c r="AB85" i="10"/>
  <c r="A85" i="10"/>
  <c r="AB84" i="10"/>
  <c r="A84" i="10"/>
  <c r="AB83" i="10"/>
  <c r="A83" i="10"/>
  <c r="AB82" i="10"/>
  <c r="A82" i="10"/>
  <c r="AB81" i="10"/>
  <c r="A81" i="10"/>
  <c r="AB80" i="10"/>
  <c r="A80" i="10"/>
  <c r="AB79" i="10"/>
  <c r="A79" i="10"/>
  <c r="AB78" i="10"/>
  <c r="A78" i="10"/>
  <c r="AB77" i="10"/>
  <c r="A77" i="10"/>
  <c r="AB76" i="10"/>
  <c r="A76" i="10"/>
  <c r="AB75" i="10"/>
  <c r="A75" i="10"/>
  <c r="AB74" i="10"/>
  <c r="A74" i="10"/>
  <c r="AB73" i="10"/>
  <c r="A73" i="10"/>
  <c r="AB72" i="10"/>
  <c r="A72" i="10"/>
  <c r="AB71" i="10"/>
  <c r="A71" i="10"/>
  <c r="AB70" i="10"/>
  <c r="A70" i="10"/>
  <c r="AB69" i="10"/>
  <c r="A69" i="10"/>
  <c r="AB68" i="10"/>
  <c r="A68" i="10"/>
  <c r="AB67" i="10"/>
  <c r="A67" i="10"/>
  <c r="AB66" i="10"/>
  <c r="A66" i="10"/>
  <c r="AB65" i="10"/>
  <c r="A65" i="10"/>
  <c r="AB64" i="10"/>
  <c r="A64" i="10"/>
  <c r="AB63" i="10"/>
  <c r="A63" i="10"/>
  <c r="AB62" i="10"/>
  <c r="A62" i="10"/>
  <c r="AB61" i="10"/>
  <c r="A61" i="10"/>
  <c r="AB60" i="10"/>
  <c r="A60" i="10"/>
  <c r="AB59" i="10"/>
  <c r="A59" i="10"/>
  <c r="AB58" i="10"/>
  <c r="A58" i="10"/>
  <c r="AB57" i="10"/>
  <c r="A57" i="10"/>
  <c r="AB56" i="10"/>
  <c r="A56" i="10"/>
  <c r="AB55" i="10"/>
  <c r="A55" i="10"/>
  <c r="AB54" i="10"/>
  <c r="A54" i="10"/>
  <c r="AB53" i="10"/>
  <c r="A53" i="10"/>
  <c r="AB52" i="10"/>
  <c r="A52" i="10"/>
  <c r="AB51" i="10"/>
  <c r="A51" i="10"/>
  <c r="AB50" i="10"/>
  <c r="A50" i="10"/>
  <c r="AB49" i="10"/>
  <c r="A49" i="10"/>
  <c r="AB48" i="10"/>
  <c r="A48" i="10"/>
  <c r="AB47" i="10"/>
  <c r="A47" i="10"/>
  <c r="AB46" i="10"/>
  <c r="A46" i="10"/>
  <c r="AB45" i="10"/>
  <c r="A45" i="10"/>
  <c r="AB44" i="10"/>
  <c r="A44" i="10"/>
  <c r="AB43" i="10"/>
  <c r="A43" i="10"/>
  <c r="AB42" i="10"/>
  <c r="A42" i="10"/>
  <c r="AB41" i="10"/>
  <c r="A41" i="10"/>
  <c r="AB40" i="10"/>
  <c r="A40" i="10"/>
  <c r="AB39" i="10"/>
  <c r="A39" i="10"/>
  <c r="AB38" i="10"/>
  <c r="A38" i="10"/>
  <c r="AB37" i="10"/>
  <c r="A37" i="10"/>
  <c r="AB36" i="10"/>
  <c r="A36" i="10"/>
  <c r="AB35" i="10"/>
  <c r="A35" i="10"/>
  <c r="AB34" i="10"/>
  <c r="A34" i="10"/>
  <c r="AB33" i="10"/>
  <c r="A33" i="10"/>
  <c r="AB32" i="10"/>
  <c r="A32" i="10"/>
  <c r="AB31" i="10"/>
  <c r="A31" i="10"/>
  <c r="AB30" i="10"/>
  <c r="A30" i="10"/>
  <c r="AB29" i="10"/>
  <c r="A29" i="10"/>
  <c r="AB28" i="10"/>
  <c r="A28" i="10"/>
  <c r="AB27" i="10"/>
  <c r="A27" i="10"/>
  <c r="AB26" i="10"/>
  <c r="A26" i="10"/>
  <c r="AB25" i="10"/>
  <c r="A25" i="10"/>
  <c r="AB24" i="10"/>
  <c r="A24" i="10"/>
  <c r="AB23" i="10"/>
  <c r="A23" i="10"/>
  <c r="AB22" i="10"/>
  <c r="A22" i="10"/>
  <c r="AB21" i="10"/>
  <c r="A21" i="10"/>
  <c r="AB20" i="10"/>
  <c r="A20" i="10"/>
  <c r="AB19" i="10"/>
  <c r="A19" i="10"/>
  <c r="AB18" i="10"/>
  <c r="A18" i="10"/>
  <c r="AB17" i="10"/>
  <c r="A17" i="10"/>
  <c r="AB16" i="10"/>
  <c r="A16" i="10"/>
  <c r="AB15" i="10"/>
  <c r="A15" i="10"/>
  <c r="AB14" i="10"/>
  <c r="A14" i="10"/>
  <c r="AB13" i="10"/>
  <c r="A13" i="10"/>
  <c r="AB12" i="10"/>
  <c r="A12" i="10"/>
  <c r="AB11" i="10"/>
  <c r="A11" i="10"/>
  <c r="AB10" i="10"/>
  <c r="A10" i="10"/>
  <c r="AB9" i="10"/>
  <c r="A9" i="10"/>
  <c r="AB8" i="10"/>
  <c r="A8" i="10"/>
  <c r="AB7" i="10"/>
  <c r="A7" i="10"/>
  <c r="AB6" i="10"/>
  <c r="A6" i="10"/>
  <c r="Z125" i="6"/>
  <c r="Y125" i="6"/>
  <c r="X125" i="6"/>
  <c r="W125" i="6"/>
  <c r="V125" i="6"/>
  <c r="U125" i="6"/>
  <c r="T125" i="6"/>
  <c r="S125" i="6"/>
  <c r="R125" i="6"/>
  <c r="Q125" i="6"/>
  <c r="P125" i="6"/>
  <c r="O125" i="6"/>
  <c r="N125" i="6"/>
  <c r="M125" i="6"/>
  <c r="L125" i="6"/>
  <c r="K125" i="6"/>
  <c r="J125" i="6"/>
  <c r="I125" i="6"/>
  <c r="H125" i="6"/>
  <c r="G125" i="6"/>
  <c r="F125" i="6"/>
  <c r="E125" i="6"/>
  <c r="D125" i="6"/>
  <c r="C125" i="6"/>
  <c r="Z124" i="6"/>
  <c r="Y124" i="6"/>
  <c r="X124" i="6"/>
  <c r="W124" i="6"/>
  <c r="V124" i="6"/>
  <c r="U124" i="6"/>
  <c r="T124" i="6"/>
  <c r="S124" i="6"/>
  <c r="R124" i="6"/>
  <c r="Q124" i="6"/>
  <c r="P124" i="6"/>
  <c r="O124" i="6"/>
  <c r="N124" i="6"/>
  <c r="M124" i="6"/>
  <c r="L124" i="6"/>
  <c r="K124" i="6"/>
  <c r="J124" i="6"/>
  <c r="I124" i="6"/>
  <c r="H124" i="6"/>
  <c r="G124" i="6"/>
  <c r="F124" i="6"/>
  <c r="E124" i="6"/>
  <c r="D124" i="6"/>
  <c r="C124" i="6"/>
  <c r="Z123" i="6"/>
  <c r="Y123" i="6"/>
  <c r="X123" i="6"/>
  <c r="W123" i="6"/>
  <c r="V123" i="6"/>
  <c r="U123" i="6"/>
  <c r="T123" i="6"/>
  <c r="S123" i="6"/>
  <c r="R123" i="6"/>
  <c r="Q123" i="6"/>
  <c r="P123" i="6"/>
  <c r="O123" i="6"/>
  <c r="N123" i="6"/>
  <c r="M123" i="6"/>
  <c r="L123" i="6"/>
  <c r="K123" i="6"/>
  <c r="J123" i="6"/>
  <c r="I123" i="6"/>
  <c r="H123" i="6"/>
  <c r="G123" i="6"/>
  <c r="F123" i="6"/>
  <c r="E123" i="6"/>
  <c r="D123" i="6"/>
  <c r="C123" i="6"/>
  <c r="Z122" i="6"/>
  <c r="Y122" i="6"/>
  <c r="X122" i="6"/>
  <c r="W122" i="6"/>
  <c r="V122" i="6"/>
  <c r="U122" i="6"/>
  <c r="T122" i="6"/>
  <c r="S122" i="6"/>
  <c r="R122" i="6"/>
  <c r="Q122" i="6"/>
  <c r="P122" i="6"/>
  <c r="O122" i="6"/>
  <c r="N122" i="6"/>
  <c r="M122" i="6"/>
  <c r="L122" i="6"/>
  <c r="K122" i="6"/>
  <c r="J122" i="6"/>
  <c r="I122" i="6"/>
  <c r="H122" i="6"/>
  <c r="G122" i="6"/>
  <c r="F122" i="6"/>
  <c r="E122" i="6"/>
  <c r="D122" i="6"/>
  <c r="C122" i="6"/>
  <c r="Z121" i="6"/>
  <c r="Y121" i="6"/>
  <c r="X121" i="6"/>
  <c r="W121" i="6"/>
  <c r="V121" i="6"/>
  <c r="U121" i="6"/>
  <c r="T121" i="6"/>
  <c r="S121" i="6"/>
  <c r="R121" i="6"/>
  <c r="Q121" i="6"/>
  <c r="P121" i="6"/>
  <c r="O121" i="6"/>
  <c r="N121" i="6"/>
  <c r="M121" i="6"/>
  <c r="L121" i="6"/>
  <c r="K121" i="6"/>
  <c r="J121" i="6"/>
  <c r="I121" i="6"/>
  <c r="H121" i="6"/>
  <c r="G121" i="6"/>
  <c r="F121" i="6"/>
  <c r="E121" i="6"/>
  <c r="D121" i="6"/>
  <c r="C121" i="6"/>
  <c r="Z120" i="6"/>
  <c r="Y120" i="6"/>
  <c r="X120" i="6"/>
  <c r="W120" i="6"/>
  <c r="V120" i="6"/>
  <c r="U120" i="6"/>
  <c r="T120" i="6"/>
  <c r="S120" i="6"/>
  <c r="R120" i="6"/>
  <c r="Q120" i="6"/>
  <c r="P120" i="6"/>
  <c r="O120" i="6"/>
  <c r="N120" i="6"/>
  <c r="M120" i="6"/>
  <c r="L120" i="6"/>
  <c r="K120" i="6"/>
  <c r="J120" i="6"/>
  <c r="I120" i="6"/>
  <c r="H120" i="6"/>
  <c r="G120" i="6"/>
  <c r="F120" i="6"/>
  <c r="E120" i="6"/>
  <c r="D120" i="6"/>
  <c r="C120" i="6"/>
  <c r="Z119" i="6"/>
  <c r="Y119" i="6"/>
  <c r="X119" i="6"/>
  <c r="W119" i="6"/>
  <c r="V119" i="6"/>
  <c r="U119" i="6"/>
  <c r="T119" i="6"/>
  <c r="S119" i="6"/>
  <c r="R119" i="6"/>
  <c r="Q119" i="6"/>
  <c r="P119" i="6"/>
  <c r="O119" i="6"/>
  <c r="N119" i="6"/>
  <c r="M119" i="6"/>
  <c r="L119" i="6"/>
  <c r="K119" i="6"/>
  <c r="J119" i="6"/>
  <c r="I119" i="6"/>
  <c r="H119" i="6"/>
  <c r="G119" i="6"/>
  <c r="F119" i="6"/>
  <c r="E119" i="6"/>
  <c r="D119" i="6"/>
  <c r="C119" i="6"/>
  <c r="Z118" i="6"/>
  <c r="Y118" i="6"/>
  <c r="X118" i="6"/>
  <c r="W118" i="6"/>
  <c r="V118" i="6"/>
  <c r="U118" i="6"/>
  <c r="T118" i="6"/>
  <c r="S118" i="6"/>
  <c r="R118" i="6"/>
  <c r="Q118" i="6"/>
  <c r="P118" i="6"/>
  <c r="O118" i="6"/>
  <c r="N118" i="6"/>
  <c r="M118" i="6"/>
  <c r="L118" i="6"/>
  <c r="K118" i="6"/>
  <c r="J118" i="6"/>
  <c r="I118" i="6"/>
  <c r="H118" i="6"/>
  <c r="G118" i="6"/>
  <c r="F118" i="6"/>
  <c r="E118" i="6"/>
  <c r="D118" i="6"/>
  <c r="C118" i="6"/>
  <c r="Z117" i="6"/>
  <c r="Y117" i="6"/>
  <c r="X117" i="6"/>
  <c r="W117" i="6"/>
  <c r="V117" i="6"/>
  <c r="U117" i="6"/>
  <c r="T117" i="6"/>
  <c r="S117" i="6"/>
  <c r="R117" i="6"/>
  <c r="Q117" i="6"/>
  <c r="P117" i="6"/>
  <c r="O117" i="6"/>
  <c r="N117" i="6"/>
  <c r="M117" i="6"/>
  <c r="L117" i="6"/>
  <c r="K117" i="6"/>
  <c r="J117" i="6"/>
  <c r="I117" i="6"/>
  <c r="H117" i="6"/>
  <c r="G117" i="6"/>
  <c r="F117" i="6"/>
  <c r="E117" i="6"/>
  <c r="D117" i="6"/>
  <c r="C117" i="6"/>
  <c r="Z116" i="6"/>
  <c r="Y116" i="6"/>
  <c r="X116" i="6"/>
  <c r="W116" i="6"/>
  <c r="V116" i="6"/>
  <c r="U116" i="6"/>
  <c r="T116" i="6"/>
  <c r="S116" i="6"/>
  <c r="R116" i="6"/>
  <c r="Q116" i="6"/>
  <c r="P116" i="6"/>
  <c r="O116" i="6"/>
  <c r="N116" i="6"/>
  <c r="M116" i="6"/>
  <c r="L116" i="6"/>
  <c r="K116" i="6"/>
  <c r="J116" i="6"/>
  <c r="I116" i="6"/>
  <c r="H116" i="6"/>
  <c r="G116" i="6"/>
  <c r="F116" i="6"/>
  <c r="E116" i="6"/>
  <c r="D116" i="6"/>
  <c r="C116" i="6"/>
  <c r="Z115" i="6"/>
  <c r="Y115" i="6"/>
  <c r="X115" i="6"/>
  <c r="W115" i="6"/>
  <c r="V115" i="6"/>
  <c r="U115" i="6"/>
  <c r="T115" i="6"/>
  <c r="S115" i="6"/>
  <c r="R115" i="6"/>
  <c r="Q115" i="6"/>
  <c r="P115" i="6"/>
  <c r="O115" i="6"/>
  <c r="N115" i="6"/>
  <c r="M115" i="6"/>
  <c r="L115" i="6"/>
  <c r="K115" i="6"/>
  <c r="J115" i="6"/>
  <c r="I115" i="6"/>
  <c r="H115" i="6"/>
  <c r="G115" i="6"/>
  <c r="F115" i="6"/>
  <c r="E115" i="6"/>
  <c r="D115" i="6"/>
  <c r="C115" i="6"/>
  <c r="Z114" i="6"/>
  <c r="Y114" i="6"/>
  <c r="X114" i="6"/>
  <c r="W114" i="6"/>
  <c r="V114" i="6"/>
  <c r="U114" i="6"/>
  <c r="T114" i="6"/>
  <c r="S114" i="6"/>
  <c r="R114" i="6"/>
  <c r="Q114" i="6"/>
  <c r="P114" i="6"/>
  <c r="O114" i="6"/>
  <c r="N114" i="6"/>
  <c r="M114" i="6"/>
  <c r="L114" i="6"/>
  <c r="K114" i="6"/>
  <c r="J114" i="6"/>
  <c r="I114" i="6"/>
  <c r="H114" i="6"/>
  <c r="G114" i="6"/>
  <c r="F114" i="6"/>
  <c r="E114" i="6"/>
  <c r="D114" i="6"/>
  <c r="C114" i="6"/>
  <c r="Z113" i="6"/>
  <c r="Y113" i="6"/>
  <c r="X113" i="6"/>
  <c r="W113" i="6"/>
  <c r="V113" i="6"/>
  <c r="U113" i="6"/>
  <c r="T113" i="6"/>
  <c r="S113" i="6"/>
  <c r="R113" i="6"/>
  <c r="Q113" i="6"/>
  <c r="P113" i="6"/>
  <c r="O113" i="6"/>
  <c r="N113" i="6"/>
  <c r="M113" i="6"/>
  <c r="L113" i="6"/>
  <c r="K113" i="6"/>
  <c r="J113" i="6"/>
  <c r="I113" i="6"/>
  <c r="H113" i="6"/>
  <c r="G113" i="6"/>
  <c r="F113" i="6"/>
  <c r="E113" i="6"/>
  <c r="D113" i="6"/>
  <c r="C113" i="6"/>
  <c r="Z112" i="6"/>
  <c r="Y112" i="6"/>
  <c r="X112" i="6"/>
  <c r="W112" i="6"/>
  <c r="V112" i="6"/>
  <c r="U112" i="6"/>
  <c r="T112" i="6"/>
  <c r="S112" i="6"/>
  <c r="R112" i="6"/>
  <c r="Q112" i="6"/>
  <c r="P112" i="6"/>
  <c r="O112" i="6"/>
  <c r="N112" i="6"/>
  <c r="M112" i="6"/>
  <c r="L112" i="6"/>
  <c r="K112" i="6"/>
  <c r="J112" i="6"/>
  <c r="I112" i="6"/>
  <c r="H112" i="6"/>
  <c r="G112" i="6"/>
  <c r="F112" i="6"/>
  <c r="E112" i="6"/>
  <c r="D112" i="6"/>
  <c r="C112" i="6"/>
  <c r="Z111" i="6"/>
  <c r="Y111" i="6"/>
  <c r="X111" i="6"/>
  <c r="W111" i="6"/>
  <c r="V111" i="6"/>
  <c r="U111" i="6"/>
  <c r="T111" i="6"/>
  <c r="S111" i="6"/>
  <c r="R111" i="6"/>
  <c r="Q111" i="6"/>
  <c r="P111" i="6"/>
  <c r="O111" i="6"/>
  <c r="N111" i="6"/>
  <c r="M111" i="6"/>
  <c r="L111" i="6"/>
  <c r="K111" i="6"/>
  <c r="J111" i="6"/>
  <c r="I111" i="6"/>
  <c r="H111" i="6"/>
  <c r="G111" i="6"/>
  <c r="F111" i="6"/>
  <c r="E111" i="6"/>
  <c r="D111" i="6"/>
  <c r="C111" i="6"/>
  <c r="Z110" i="6"/>
  <c r="Y110" i="6"/>
  <c r="X110" i="6"/>
  <c r="W110" i="6"/>
  <c r="V110" i="6"/>
  <c r="U110" i="6"/>
  <c r="T110" i="6"/>
  <c r="S110" i="6"/>
  <c r="R110" i="6"/>
  <c r="Q110" i="6"/>
  <c r="P110" i="6"/>
  <c r="O110" i="6"/>
  <c r="N110" i="6"/>
  <c r="M110" i="6"/>
  <c r="L110" i="6"/>
  <c r="K110" i="6"/>
  <c r="J110" i="6"/>
  <c r="I110" i="6"/>
  <c r="H110" i="6"/>
  <c r="G110" i="6"/>
  <c r="F110" i="6"/>
  <c r="E110" i="6"/>
  <c r="D110" i="6"/>
  <c r="C110" i="6"/>
  <c r="Z109" i="6"/>
  <c r="Y109" i="6"/>
  <c r="X109" i="6"/>
  <c r="W109" i="6"/>
  <c r="V109" i="6"/>
  <c r="U109" i="6"/>
  <c r="T109" i="6"/>
  <c r="S109" i="6"/>
  <c r="R109" i="6"/>
  <c r="Q109" i="6"/>
  <c r="P109" i="6"/>
  <c r="O109" i="6"/>
  <c r="N109" i="6"/>
  <c r="M109" i="6"/>
  <c r="L109" i="6"/>
  <c r="K109" i="6"/>
  <c r="J109" i="6"/>
  <c r="I109" i="6"/>
  <c r="H109" i="6"/>
  <c r="G109" i="6"/>
  <c r="F109" i="6"/>
  <c r="E109" i="6"/>
  <c r="D109" i="6"/>
  <c r="C109" i="6"/>
  <c r="Z108" i="6"/>
  <c r="Y108" i="6"/>
  <c r="X108" i="6"/>
  <c r="W108" i="6"/>
  <c r="V108" i="6"/>
  <c r="U108" i="6"/>
  <c r="T108" i="6"/>
  <c r="S108" i="6"/>
  <c r="R108" i="6"/>
  <c r="Q108" i="6"/>
  <c r="P108" i="6"/>
  <c r="O108" i="6"/>
  <c r="N108" i="6"/>
  <c r="M108" i="6"/>
  <c r="L108" i="6"/>
  <c r="K108" i="6"/>
  <c r="J108" i="6"/>
  <c r="I108" i="6"/>
  <c r="H108" i="6"/>
  <c r="G108" i="6"/>
  <c r="F108" i="6"/>
  <c r="E108" i="6"/>
  <c r="D108" i="6"/>
  <c r="C108" i="6"/>
  <c r="Z107" i="6"/>
  <c r="Y107" i="6"/>
  <c r="X107" i="6"/>
  <c r="W107" i="6"/>
  <c r="V107" i="6"/>
  <c r="U107" i="6"/>
  <c r="T107" i="6"/>
  <c r="S107" i="6"/>
  <c r="R107" i="6"/>
  <c r="Q107" i="6"/>
  <c r="P107" i="6"/>
  <c r="O107" i="6"/>
  <c r="N107" i="6"/>
  <c r="M107" i="6"/>
  <c r="L107" i="6"/>
  <c r="K107" i="6"/>
  <c r="J107" i="6"/>
  <c r="I107" i="6"/>
  <c r="H107" i="6"/>
  <c r="G107" i="6"/>
  <c r="F107" i="6"/>
  <c r="E107" i="6"/>
  <c r="D107" i="6"/>
  <c r="C107" i="6"/>
  <c r="Z106" i="6"/>
  <c r="Y106" i="6"/>
  <c r="X106" i="6"/>
  <c r="W106" i="6"/>
  <c r="V106" i="6"/>
  <c r="U106" i="6"/>
  <c r="T106" i="6"/>
  <c r="S106" i="6"/>
  <c r="R106" i="6"/>
  <c r="Q106" i="6"/>
  <c r="P106" i="6"/>
  <c r="O106" i="6"/>
  <c r="N106" i="6"/>
  <c r="M106" i="6"/>
  <c r="L106" i="6"/>
  <c r="K106" i="6"/>
  <c r="J106" i="6"/>
  <c r="I106" i="6"/>
  <c r="H106" i="6"/>
  <c r="G106" i="6"/>
  <c r="F106" i="6"/>
  <c r="E106" i="6"/>
  <c r="D106" i="6"/>
  <c r="C106" i="6"/>
  <c r="Z105" i="6"/>
  <c r="Y105" i="6"/>
  <c r="X105" i="6"/>
  <c r="W105" i="6"/>
  <c r="V105" i="6"/>
  <c r="U105" i="6"/>
  <c r="T105" i="6"/>
  <c r="S105" i="6"/>
  <c r="R105" i="6"/>
  <c r="Q105" i="6"/>
  <c r="P105" i="6"/>
  <c r="O105" i="6"/>
  <c r="N105" i="6"/>
  <c r="M105" i="6"/>
  <c r="L105" i="6"/>
  <c r="K105" i="6"/>
  <c r="J105" i="6"/>
  <c r="I105" i="6"/>
  <c r="H105" i="6"/>
  <c r="G105" i="6"/>
  <c r="F105" i="6"/>
  <c r="E105" i="6"/>
  <c r="D105" i="6"/>
  <c r="C105" i="6"/>
  <c r="Z104" i="6"/>
  <c r="Y104" i="6"/>
  <c r="X104" i="6"/>
  <c r="W104" i="6"/>
  <c r="V104" i="6"/>
  <c r="U104" i="6"/>
  <c r="T104" i="6"/>
  <c r="S104" i="6"/>
  <c r="R104" i="6"/>
  <c r="Q104" i="6"/>
  <c r="P104" i="6"/>
  <c r="O104" i="6"/>
  <c r="N104" i="6"/>
  <c r="M104" i="6"/>
  <c r="L104" i="6"/>
  <c r="K104" i="6"/>
  <c r="J104" i="6"/>
  <c r="I104" i="6"/>
  <c r="H104" i="6"/>
  <c r="G104" i="6"/>
  <c r="F104" i="6"/>
  <c r="E104" i="6"/>
  <c r="D104" i="6"/>
  <c r="C104" i="6"/>
  <c r="Z103" i="6"/>
  <c r="Y103" i="6"/>
  <c r="X103" i="6"/>
  <c r="W103" i="6"/>
  <c r="V103" i="6"/>
  <c r="U103" i="6"/>
  <c r="T103" i="6"/>
  <c r="S103" i="6"/>
  <c r="R103" i="6"/>
  <c r="Q103" i="6"/>
  <c r="P103" i="6"/>
  <c r="O103" i="6"/>
  <c r="N103" i="6"/>
  <c r="M103" i="6"/>
  <c r="L103" i="6"/>
  <c r="K103" i="6"/>
  <c r="J103" i="6"/>
  <c r="I103" i="6"/>
  <c r="H103" i="6"/>
  <c r="G103" i="6"/>
  <c r="F103" i="6"/>
  <c r="E103" i="6"/>
  <c r="D103" i="6"/>
  <c r="C103" i="6"/>
  <c r="Z102" i="6"/>
  <c r="Y102" i="6"/>
  <c r="X102" i="6"/>
  <c r="W102" i="6"/>
  <c r="V102" i="6"/>
  <c r="U102" i="6"/>
  <c r="T102" i="6"/>
  <c r="S102" i="6"/>
  <c r="R102" i="6"/>
  <c r="Q102" i="6"/>
  <c r="P102" i="6"/>
  <c r="O102" i="6"/>
  <c r="N102" i="6"/>
  <c r="M102" i="6"/>
  <c r="L102" i="6"/>
  <c r="K102" i="6"/>
  <c r="J102" i="6"/>
  <c r="I102" i="6"/>
  <c r="H102" i="6"/>
  <c r="G102" i="6"/>
  <c r="F102" i="6"/>
  <c r="E102" i="6"/>
  <c r="D102" i="6"/>
  <c r="C102" i="6"/>
  <c r="Z101" i="6"/>
  <c r="Y101" i="6"/>
  <c r="X101" i="6"/>
  <c r="W101" i="6"/>
  <c r="V101" i="6"/>
  <c r="U101" i="6"/>
  <c r="T101" i="6"/>
  <c r="S101" i="6"/>
  <c r="R101" i="6"/>
  <c r="Q101" i="6"/>
  <c r="P101" i="6"/>
  <c r="O101" i="6"/>
  <c r="N101" i="6"/>
  <c r="M101" i="6"/>
  <c r="L101" i="6"/>
  <c r="K101" i="6"/>
  <c r="J101" i="6"/>
  <c r="I101" i="6"/>
  <c r="H101" i="6"/>
  <c r="G101" i="6"/>
  <c r="F101" i="6"/>
  <c r="E101" i="6"/>
  <c r="D101" i="6"/>
  <c r="C101" i="6"/>
  <c r="Z100" i="6"/>
  <c r="Y100" i="6"/>
  <c r="X100" i="6"/>
  <c r="W100" i="6"/>
  <c r="V100" i="6"/>
  <c r="U100" i="6"/>
  <c r="T100" i="6"/>
  <c r="S100" i="6"/>
  <c r="R100" i="6"/>
  <c r="Q100" i="6"/>
  <c r="P100" i="6"/>
  <c r="O100" i="6"/>
  <c r="N100" i="6"/>
  <c r="M100" i="6"/>
  <c r="L100" i="6"/>
  <c r="K100" i="6"/>
  <c r="J100" i="6"/>
  <c r="I100" i="6"/>
  <c r="H100" i="6"/>
  <c r="G100" i="6"/>
  <c r="F100" i="6"/>
  <c r="E100" i="6"/>
  <c r="D100" i="6"/>
  <c r="C100" i="6"/>
  <c r="Z99" i="6"/>
  <c r="Y99" i="6"/>
  <c r="X99" i="6"/>
  <c r="W99" i="6"/>
  <c r="V99" i="6"/>
  <c r="U99" i="6"/>
  <c r="T99" i="6"/>
  <c r="S99" i="6"/>
  <c r="R99" i="6"/>
  <c r="Q99" i="6"/>
  <c r="P99" i="6"/>
  <c r="O99" i="6"/>
  <c r="N99" i="6"/>
  <c r="M99" i="6"/>
  <c r="L99" i="6"/>
  <c r="K99" i="6"/>
  <c r="J99" i="6"/>
  <c r="I99" i="6"/>
  <c r="H99" i="6"/>
  <c r="G99" i="6"/>
  <c r="F99" i="6"/>
  <c r="E99" i="6"/>
  <c r="D99" i="6"/>
  <c r="C99" i="6"/>
  <c r="Z98" i="6"/>
  <c r="Y98" i="6"/>
  <c r="X98" i="6"/>
  <c r="W98" i="6"/>
  <c r="V98" i="6"/>
  <c r="U98" i="6"/>
  <c r="T98" i="6"/>
  <c r="S98" i="6"/>
  <c r="R98" i="6"/>
  <c r="Q98" i="6"/>
  <c r="P98" i="6"/>
  <c r="O98" i="6"/>
  <c r="N98" i="6"/>
  <c r="M98" i="6"/>
  <c r="L98" i="6"/>
  <c r="K98" i="6"/>
  <c r="J98" i="6"/>
  <c r="I98" i="6"/>
  <c r="H98" i="6"/>
  <c r="G98" i="6"/>
  <c r="F98" i="6"/>
  <c r="E98" i="6"/>
  <c r="D98" i="6"/>
  <c r="C98" i="6"/>
  <c r="Z97" i="6"/>
  <c r="Y97" i="6"/>
  <c r="X97" i="6"/>
  <c r="W97" i="6"/>
  <c r="V97" i="6"/>
  <c r="U97" i="6"/>
  <c r="T97" i="6"/>
  <c r="S97" i="6"/>
  <c r="R97" i="6"/>
  <c r="Q97" i="6"/>
  <c r="P97" i="6"/>
  <c r="O97" i="6"/>
  <c r="N97" i="6"/>
  <c r="M97" i="6"/>
  <c r="L97" i="6"/>
  <c r="K97" i="6"/>
  <c r="J97" i="6"/>
  <c r="I97" i="6"/>
  <c r="H97" i="6"/>
  <c r="G97" i="6"/>
  <c r="F97" i="6"/>
  <c r="E97" i="6"/>
  <c r="D97" i="6"/>
  <c r="C97" i="6"/>
  <c r="Z96" i="6"/>
  <c r="Y96" i="6"/>
  <c r="X96" i="6"/>
  <c r="W96" i="6"/>
  <c r="V96" i="6"/>
  <c r="U96" i="6"/>
  <c r="T96" i="6"/>
  <c r="S96" i="6"/>
  <c r="R96" i="6"/>
  <c r="Q96" i="6"/>
  <c r="P96" i="6"/>
  <c r="O96" i="6"/>
  <c r="N96" i="6"/>
  <c r="M96" i="6"/>
  <c r="L96" i="6"/>
  <c r="K96" i="6"/>
  <c r="J96" i="6"/>
  <c r="I96" i="6"/>
  <c r="H96" i="6"/>
  <c r="G96" i="6"/>
  <c r="F96" i="6"/>
  <c r="E96" i="6"/>
  <c r="D96" i="6"/>
  <c r="C96" i="6"/>
  <c r="Z95" i="6"/>
  <c r="Y95" i="6"/>
  <c r="X95" i="6"/>
  <c r="W95" i="6"/>
  <c r="V95" i="6"/>
  <c r="U95" i="6"/>
  <c r="T95" i="6"/>
  <c r="S95" i="6"/>
  <c r="R95" i="6"/>
  <c r="Q95" i="6"/>
  <c r="P95" i="6"/>
  <c r="O95" i="6"/>
  <c r="N95" i="6"/>
  <c r="M95" i="6"/>
  <c r="L95" i="6"/>
  <c r="K95" i="6"/>
  <c r="J95" i="6"/>
  <c r="I95" i="6"/>
  <c r="H95" i="6"/>
  <c r="G95" i="6"/>
  <c r="F95" i="6"/>
  <c r="E95" i="6"/>
  <c r="D95" i="6"/>
  <c r="C95" i="6"/>
  <c r="Z94" i="6"/>
  <c r="Y94" i="6"/>
  <c r="X94" i="6"/>
  <c r="W94" i="6"/>
  <c r="V94" i="6"/>
  <c r="U94" i="6"/>
  <c r="T94" i="6"/>
  <c r="S94" i="6"/>
  <c r="R94" i="6"/>
  <c r="Q94" i="6"/>
  <c r="P94" i="6"/>
  <c r="O94" i="6"/>
  <c r="N94" i="6"/>
  <c r="M94" i="6"/>
  <c r="L94" i="6"/>
  <c r="K94" i="6"/>
  <c r="J94" i="6"/>
  <c r="I94" i="6"/>
  <c r="H94" i="6"/>
  <c r="G94" i="6"/>
  <c r="F94" i="6"/>
  <c r="E94" i="6"/>
  <c r="D94" i="6"/>
  <c r="C94" i="6"/>
  <c r="Z93" i="6"/>
  <c r="Y93" i="6"/>
  <c r="X93" i="6"/>
  <c r="W93" i="6"/>
  <c r="V93" i="6"/>
  <c r="U93" i="6"/>
  <c r="T93" i="6"/>
  <c r="S93" i="6"/>
  <c r="R93" i="6"/>
  <c r="Q93" i="6"/>
  <c r="P93" i="6"/>
  <c r="O93" i="6"/>
  <c r="N93" i="6"/>
  <c r="M93" i="6"/>
  <c r="L93" i="6"/>
  <c r="K93" i="6"/>
  <c r="J93" i="6"/>
  <c r="I93" i="6"/>
  <c r="H93" i="6"/>
  <c r="G93" i="6"/>
  <c r="F93" i="6"/>
  <c r="E93" i="6"/>
  <c r="D93" i="6"/>
  <c r="C93" i="6"/>
  <c r="Z92" i="6"/>
  <c r="Y92" i="6"/>
  <c r="X92" i="6"/>
  <c r="W92" i="6"/>
  <c r="V92" i="6"/>
  <c r="U92" i="6"/>
  <c r="T92" i="6"/>
  <c r="S92" i="6"/>
  <c r="R92" i="6"/>
  <c r="Q92" i="6"/>
  <c r="P92" i="6"/>
  <c r="O92" i="6"/>
  <c r="N92" i="6"/>
  <c r="M92" i="6"/>
  <c r="L92" i="6"/>
  <c r="K92" i="6"/>
  <c r="J92" i="6"/>
  <c r="I92" i="6"/>
  <c r="H92" i="6"/>
  <c r="G92" i="6"/>
  <c r="F92" i="6"/>
  <c r="E92" i="6"/>
  <c r="D92" i="6"/>
  <c r="C92" i="6"/>
  <c r="Z91" i="6"/>
  <c r="Y91" i="6"/>
  <c r="X91" i="6"/>
  <c r="W91" i="6"/>
  <c r="V91" i="6"/>
  <c r="U91" i="6"/>
  <c r="T91" i="6"/>
  <c r="S91" i="6"/>
  <c r="R91" i="6"/>
  <c r="Q91" i="6"/>
  <c r="P91" i="6"/>
  <c r="O91" i="6"/>
  <c r="N91" i="6"/>
  <c r="M91" i="6"/>
  <c r="L91" i="6"/>
  <c r="K91" i="6"/>
  <c r="J91" i="6"/>
  <c r="I91" i="6"/>
  <c r="H91" i="6"/>
  <c r="G91" i="6"/>
  <c r="F91" i="6"/>
  <c r="E91" i="6"/>
  <c r="D91" i="6"/>
  <c r="C91" i="6"/>
  <c r="Z90" i="6"/>
  <c r="Y90" i="6"/>
  <c r="X90" i="6"/>
  <c r="W90" i="6"/>
  <c r="V90" i="6"/>
  <c r="U90" i="6"/>
  <c r="T90" i="6"/>
  <c r="S90" i="6"/>
  <c r="R90" i="6"/>
  <c r="Q90" i="6"/>
  <c r="P90" i="6"/>
  <c r="O90" i="6"/>
  <c r="N90" i="6"/>
  <c r="M90" i="6"/>
  <c r="L90" i="6"/>
  <c r="K90" i="6"/>
  <c r="J90" i="6"/>
  <c r="I90" i="6"/>
  <c r="H90" i="6"/>
  <c r="G90" i="6"/>
  <c r="F90" i="6"/>
  <c r="E90" i="6"/>
  <c r="D90" i="6"/>
  <c r="C90" i="6"/>
  <c r="Z89" i="6"/>
  <c r="Y89" i="6"/>
  <c r="X89" i="6"/>
  <c r="W89" i="6"/>
  <c r="V89" i="6"/>
  <c r="U89" i="6"/>
  <c r="T89" i="6"/>
  <c r="S89" i="6"/>
  <c r="R89" i="6"/>
  <c r="Q89" i="6"/>
  <c r="P89" i="6"/>
  <c r="O89" i="6"/>
  <c r="N89" i="6"/>
  <c r="M89" i="6"/>
  <c r="L89" i="6"/>
  <c r="K89" i="6"/>
  <c r="J89" i="6"/>
  <c r="I89" i="6"/>
  <c r="H89" i="6"/>
  <c r="G89" i="6"/>
  <c r="F89" i="6"/>
  <c r="E89" i="6"/>
  <c r="D89" i="6"/>
  <c r="C89" i="6"/>
  <c r="Z88" i="6"/>
  <c r="Y88" i="6"/>
  <c r="X88" i="6"/>
  <c r="W88" i="6"/>
  <c r="V88" i="6"/>
  <c r="U88" i="6"/>
  <c r="T88" i="6"/>
  <c r="S88" i="6"/>
  <c r="R88" i="6"/>
  <c r="Q88" i="6"/>
  <c r="P88" i="6"/>
  <c r="O88" i="6"/>
  <c r="N88" i="6"/>
  <c r="M88" i="6"/>
  <c r="L88" i="6"/>
  <c r="K88" i="6"/>
  <c r="J88" i="6"/>
  <c r="I88" i="6"/>
  <c r="H88" i="6"/>
  <c r="G88" i="6"/>
  <c r="F88" i="6"/>
  <c r="E88" i="6"/>
  <c r="D88" i="6"/>
  <c r="C88" i="6"/>
  <c r="Z87" i="6"/>
  <c r="Y87" i="6"/>
  <c r="X87" i="6"/>
  <c r="W87" i="6"/>
  <c r="V87" i="6"/>
  <c r="U87" i="6"/>
  <c r="T87" i="6"/>
  <c r="S87" i="6"/>
  <c r="R87" i="6"/>
  <c r="Q87" i="6"/>
  <c r="P87" i="6"/>
  <c r="O87" i="6"/>
  <c r="N87" i="6"/>
  <c r="M87" i="6"/>
  <c r="L87" i="6"/>
  <c r="K87" i="6"/>
  <c r="J87" i="6"/>
  <c r="I87" i="6"/>
  <c r="H87" i="6"/>
  <c r="G87" i="6"/>
  <c r="F87" i="6"/>
  <c r="E87" i="6"/>
  <c r="D87" i="6"/>
  <c r="C87" i="6"/>
  <c r="Z86" i="6"/>
  <c r="Y86" i="6"/>
  <c r="X86" i="6"/>
  <c r="W86" i="6"/>
  <c r="V86" i="6"/>
  <c r="U86" i="6"/>
  <c r="T86" i="6"/>
  <c r="S86" i="6"/>
  <c r="R86" i="6"/>
  <c r="Q86" i="6"/>
  <c r="P86" i="6"/>
  <c r="O86" i="6"/>
  <c r="N86" i="6"/>
  <c r="M86" i="6"/>
  <c r="L86" i="6"/>
  <c r="K86" i="6"/>
  <c r="J86" i="6"/>
  <c r="I86" i="6"/>
  <c r="H86" i="6"/>
  <c r="G86" i="6"/>
  <c r="F86" i="6"/>
  <c r="E86" i="6"/>
  <c r="D86" i="6"/>
  <c r="C86" i="6"/>
  <c r="Z85" i="6"/>
  <c r="Y85" i="6"/>
  <c r="X85" i="6"/>
  <c r="W85" i="6"/>
  <c r="V85" i="6"/>
  <c r="U85" i="6"/>
  <c r="T85" i="6"/>
  <c r="S85" i="6"/>
  <c r="R85" i="6"/>
  <c r="Q85" i="6"/>
  <c r="P85" i="6"/>
  <c r="O85" i="6"/>
  <c r="N85" i="6"/>
  <c r="M85" i="6"/>
  <c r="L85" i="6"/>
  <c r="K85" i="6"/>
  <c r="J85" i="6"/>
  <c r="I85" i="6"/>
  <c r="H85" i="6"/>
  <c r="G85" i="6"/>
  <c r="F85" i="6"/>
  <c r="E85" i="6"/>
  <c r="D85" i="6"/>
  <c r="C85" i="6"/>
  <c r="Z84" i="6"/>
  <c r="Y84" i="6"/>
  <c r="X84" i="6"/>
  <c r="W84" i="6"/>
  <c r="V84" i="6"/>
  <c r="U84" i="6"/>
  <c r="T84" i="6"/>
  <c r="S84" i="6"/>
  <c r="R84" i="6"/>
  <c r="Q84" i="6"/>
  <c r="P84" i="6"/>
  <c r="O84" i="6"/>
  <c r="N84" i="6"/>
  <c r="M84" i="6"/>
  <c r="L84" i="6"/>
  <c r="K84" i="6"/>
  <c r="J84" i="6"/>
  <c r="I84" i="6"/>
  <c r="H84" i="6"/>
  <c r="G84" i="6"/>
  <c r="F84" i="6"/>
  <c r="E84" i="6"/>
  <c r="D84" i="6"/>
  <c r="C84" i="6"/>
  <c r="Z83" i="6"/>
  <c r="Y83" i="6"/>
  <c r="X83" i="6"/>
  <c r="W83" i="6"/>
  <c r="V83" i="6"/>
  <c r="U83" i="6"/>
  <c r="T83" i="6"/>
  <c r="S83" i="6"/>
  <c r="R83" i="6"/>
  <c r="Q83" i="6"/>
  <c r="P83" i="6"/>
  <c r="O83" i="6"/>
  <c r="N83" i="6"/>
  <c r="M83" i="6"/>
  <c r="L83" i="6"/>
  <c r="K83" i="6"/>
  <c r="J83" i="6"/>
  <c r="I83" i="6"/>
  <c r="H83" i="6"/>
  <c r="G83" i="6"/>
  <c r="F83" i="6"/>
  <c r="E83" i="6"/>
  <c r="D83" i="6"/>
  <c r="C83" i="6"/>
  <c r="Z82" i="6"/>
  <c r="Y82" i="6"/>
  <c r="X82" i="6"/>
  <c r="W82" i="6"/>
  <c r="V82" i="6"/>
  <c r="U82" i="6"/>
  <c r="T82" i="6"/>
  <c r="S82" i="6"/>
  <c r="R82" i="6"/>
  <c r="Q82" i="6"/>
  <c r="P82" i="6"/>
  <c r="O82" i="6"/>
  <c r="N82" i="6"/>
  <c r="M82" i="6"/>
  <c r="L82" i="6"/>
  <c r="K82" i="6"/>
  <c r="J82" i="6"/>
  <c r="I82" i="6"/>
  <c r="H82" i="6"/>
  <c r="G82" i="6"/>
  <c r="F82" i="6"/>
  <c r="E82" i="6"/>
  <c r="D82" i="6"/>
  <c r="C82" i="6"/>
  <c r="Z81" i="6"/>
  <c r="Y81" i="6"/>
  <c r="X81" i="6"/>
  <c r="W81" i="6"/>
  <c r="V81" i="6"/>
  <c r="U81" i="6"/>
  <c r="T81" i="6"/>
  <c r="S81" i="6"/>
  <c r="R81" i="6"/>
  <c r="Q81" i="6"/>
  <c r="P81" i="6"/>
  <c r="O81" i="6"/>
  <c r="N81" i="6"/>
  <c r="M81" i="6"/>
  <c r="L81" i="6"/>
  <c r="K81" i="6"/>
  <c r="J81" i="6"/>
  <c r="I81" i="6"/>
  <c r="H81" i="6"/>
  <c r="G81" i="6"/>
  <c r="F81" i="6"/>
  <c r="E81" i="6"/>
  <c r="D81" i="6"/>
  <c r="C81" i="6"/>
  <c r="Z80" i="6"/>
  <c r="Y80" i="6"/>
  <c r="X80" i="6"/>
  <c r="W80" i="6"/>
  <c r="V80" i="6"/>
  <c r="U80" i="6"/>
  <c r="T80" i="6"/>
  <c r="S80" i="6"/>
  <c r="R80" i="6"/>
  <c r="Q80" i="6"/>
  <c r="P80" i="6"/>
  <c r="O80" i="6"/>
  <c r="N80" i="6"/>
  <c r="M80" i="6"/>
  <c r="L80" i="6"/>
  <c r="K80" i="6"/>
  <c r="J80" i="6"/>
  <c r="I80" i="6"/>
  <c r="H80" i="6"/>
  <c r="G80" i="6"/>
  <c r="F80" i="6"/>
  <c r="E80" i="6"/>
  <c r="D80" i="6"/>
  <c r="C80" i="6"/>
  <c r="Z79" i="6"/>
  <c r="Y79" i="6"/>
  <c r="X79" i="6"/>
  <c r="W79" i="6"/>
  <c r="V79" i="6"/>
  <c r="U79" i="6"/>
  <c r="T79" i="6"/>
  <c r="S79" i="6"/>
  <c r="R79" i="6"/>
  <c r="Q79" i="6"/>
  <c r="P79" i="6"/>
  <c r="O79" i="6"/>
  <c r="N79" i="6"/>
  <c r="M79" i="6"/>
  <c r="L79" i="6"/>
  <c r="K79" i="6"/>
  <c r="J79" i="6"/>
  <c r="I79" i="6"/>
  <c r="H79" i="6"/>
  <c r="G79" i="6"/>
  <c r="F79" i="6"/>
  <c r="E79" i="6"/>
  <c r="D79" i="6"/>
  <c r="C79" i="6"/>
  <c r="Z78" i="6"/>
  <c r="Y78" i="6"/>
  <c r="X78" i="6"/>
  <c r="W78" i="6"/>
  <c r="V78" i="6"/>
  <c r="U78" i="6"/>
  <c r="T78" i="6"/>
  <c r="S78" i="6"/>
  <c r="R78" i="6"/>
  <c r="Q78" i="6"/>
  <c r="P78" i="6"/>
  <c r="O78" i="6"/>
  <c r="N78" i="6"/>
  <c r="M78" i="6"/>
  <c r="L78" i="6"/>
  <c r="K78" i="6"/>
  <c r="J78" i="6"/>
  <c r="I78" i="6"/>
  <c r="H78" i="6"/>
  <c r="G78" i="6"/>
  <c r="F78" i="6"/>
  <c r="E78" i="6"/>
  <c r="D78" i="6"/>
  <c r="C78" i="6"/>
  <c r="Z77" i="6"/>
  <c r="Y77" i="6"/>
  <c r="X77" i="6"/>
  <c r="W77" i="6"/>
  <c r="V77" i="6"/>
  <c r="U77" i="6"/>
  <c r="T77" i="6"/>
  <c r="S77" i="6"/>
  <c r="R77" i="6"/>
  <c r="Q77" i="6"/>
  <c r="P77" i="6"/>
  <c r="O77" i="6"/>
  <c r="N77" i="6"/>
  <c r="M77" i="6"/>
  <c r="L77" i="6"/>
  <c r="K77" i="6"/>
  <c r="J77" i="6"/>
  <c r="I77" i="6"/>
  <c r="H77" i="6"/>
  <c r="G77" i="6"/>
  <c r="F77" i="6"/>
  <c r="E77" i="6"/>
  <c r="D77" i="6"/>
  <c r="C77" i="6"/>
  <c r="Z76" i="6"/>
  <c r="Y76" i="6"/>
  <c r="X76" i="6"/>
  <c r="W76" i="6"/>
  <c r="V76" i="6"/>
  <c r="U76" i="6"/>
  <c r="T76" i="6"/>
  <c r="S76" i="6"/>
  <c r="R76" i="6"/>
  <c r="Q76" i="6"/>
  <c r="P76" i="6"/>
  <c r="O76" i="6"/>
  <c r="N76" i="6"/>
  <c r="M76" i="6"/>
  <c r="L76" i="6"/>
  <c r="K76" i="6"/>
  <c r="J76" i="6"/>
  <c r="I76" i="6"/>
  <c r="H76" i="6"/>
  <c r="G76" i="6"/>
  <c r="F76" i="6"/>
  <c r="E76" i="6"/>
  <c r="D76" i="6"/>
  <c r="C76" i="6"/>
  <c r="Z75" i="6"/>
  <c r="Y75" i="6"/>
  <c r="X75" i="6"/>
  <c r="W75" i="6"/>
  <c r="V75" i="6"/>
  <c r="U75" i="6"/>
  <c r="T75" i="6"/>
  <c r="S75" i="6"/>
  <c r="R75" i="6"/>
  <c r="Q75" i="6"/>
  <c r="P75" i="6"/>
  <c r="O75" i="6"/>
  <c r="N75" i="6"/>
  <c r="M75" i="6"/>
  <c r="L75" i="6"/>
  <c r="K75" i="6"/>
  <c r="J75" i="6"/>
  <c r="I75" i="6"/>
  <c r="H75" i="6"/>
  <c r="G75" i="6"/>
  <c r="F75" i="6"/>
  <c r="E75" i="6"/>
  <c r="D75" i="6"/>
  <c r="C75" i="6"/>
  <c r="Z74" i="6"/>
  <c r="Y74" i="6"/>
  <c r="X74" i="6"/>
  <c r="W74" i="6"/>
  <c r="V74" i="6"/>
  <c r="U74" i="6"/>
  <c r="T74" i="6"/>
  <c r="S74" i="6"/>
  <c r="R74" i="6"/>
  <c r="Q74" i="6"/>
  <c r="P74" i="6"/>
  <c r="O74" i="6"/>
  <c r="N74" i="6"/>
  <c r="M74" i="6"/>
  <c r="L74" i="6"/>
  <c r="K74" i="6"/>
  <c r="J74" i="6"/>
  <c r="I74" i="6"/>
  <c r="H74" i="6"/>
  <c r="G74" i="6"/>
  <c r="F74" i="6"/>
  <c r="E74" i="6"/>
  <c r="D74" i="6"/>
  <c r="C74" i="6"/>
  <c r="Z73" i="6"/>
  <c r="Y73" i="6"/>
  <c r="X73" i="6"/>
  <c r="W73" i="6"/>
  <c r="V73" i="6"/>
  <c r="U73" i="6"/>
  <c r="T73" i="6"/>
  <c r="S73" i="6"/>
  <c r="R73" i="6"/>
  <c r="Q73" i="6"/>
  <c r="P73" i="6"/>
  <c r="O73" i="6"/>
  <c r="N73" i="6"/>
  <c r="M73" i="6"/>
  <c r="L73" i="6"/>
  <c r="K73" i="6"/>
  <c r="J73" i="6"/>
  <c r="I73" i="6"/>
  <c r="H73" i="6"/>
  <c r="G73" i="6"/>
  <c r="F73" i="6"/>
  <c r="E73" i="6"/>
  <c r="D73" i="6"/>
  <c r="C73" i="6"/>
  <c r="Z72" i="6"/>
  <c r="Y72" i="6"/>
  <c r="X72" i="6"/>
  <c r="W72" i="6"/>
  <c r="V72" i="6"/>
  <c r="U72" i="6"/>
  <c r="T72" i="6"/>
  <c r="S72" i="6"/>
  <c r="R72" i="6"/>
  <c r="Q72" i="6"/>
  <c r="P72" i="6"/>
  <c r="O72" i="6"/>
  <c r="N72" i="6"/>
  <c r="M72" i="6"/>
  <c r="L72" i="6"/>
  <c r="K72" i="6"/>
  <c r="J72" i="6"/>
  <c r="I72" i="6"/>
  <c r="H72" i="6"/>
  <c r="G72" i="6"/>
  <c r="F72" i="6"/>
  <c r="E72" i="6"/>
  <c r="D72" i="6"/>
  <c r="C72" i="6"/>
  <c r="Z71" i="6"/>
  <c r="Y71" i="6"/>
  <c r="X71" i="6"/>
  <c r="W71" i="6"/>
  <c r="V71" i="6"/>
  <c r="U71" i="6"/>
  <c r="T71" i="6"/>
  <c r="S71" i="6"/>
  <c r="R71" i="6"/>
  <c r="Q71" i="6"/>
  <c r="P71" i="6"/>
  <c r="O71" i="6"/>
  <c r="N71" i="6"/>
  <c r="M71" i="6"/>
  <c r="L71" i="6"/>
  <c r="K71" i="6"/>
  <c r="J71" i="6"/>
  <c r="I71" i="6"/>
  <c r="H71" i="6"/>
  <c r="G71" i="6"/>
  <c r="F71" i="6"/>
  <c r="E71" i="6"/>
  <c r="D71" i="6"/>
  <c r="C71" i="6"/>
  <c r="Z70" i="6"/>
  <c r="Y70" i="6"/>
  <c r="X70" i="6"/>
  <c r="W70" i="6"/>
  <c r="V70" i="6"/>
  <c r="U70" i="6"/>
  <c r="T70" i="6"/>
  <c r="S70" i="6"/>
  <c r="R70" i="6"/>
  <c r="Q70" i="6"/>
  <c r="P70" i="6"/>
  <c r="O70" i="6"/>
  <c r="N70" i="6"/>
  <c r="M70" i="6"/>
  <c r="L70" i="6"/>
  <c r="K70" i="6"/>
  <c r="J70" i="6"/>
  <c r="I70" i="6"/>
  <c r="H70" i="6"/>
  <c r="G70" i="6"/>
  <c r="F70" i="6"/>
  <c r="E70" i="6"/>
  <c r="D70" i="6"/>
  <c r="C70" i="6"/>
  <c r="Z69" i="6"/>
  <c r="Y69" i="6"/>
  <c r="X69" i="6"/>
  <c r="W69" i="6"/>
  <c r="V69" i="6"/>
  <c r="U69" i="6"/>
  <c r="T69" i="6"/>
  <c r="S69" i="6"/>
  <c r="R69" i="6"/>
  <c r="Q69" i="6"/>
  <c r="P69" i="6"/>
  <c r="O69" i="6"/>
  <c r="N69" i="6"/>
  <c r="M69" i="6"/>
  <c r="L69" i="6"/>
  <c r="K69" i="6"/>
  <c r="J69" i="6"/>
  <c r="I69" i="6"/>
  <c r="H69" i="6"/>
  <c r="G69" i="6"/>
  <c r="F69" i="6"/>
  <c r="E69" i="6"/>
  <c r="D69" i="6"/>
  <c r="C69" i="6"/>
  <c r="Z68" i="6"/>
  <c r="Y68" i="6"/>
  <c r="X68" i="6"/>
  <c r="W68" i="6"/>
  <c r="V68" i="6"/>
  <c r="U68" i="6"/>
  <c r="T68" i="6"/>
  <c r="S68" i="6"/>
  <c r="R68" i="6"/>
  <c r="Q68" i="6"/>
  <c r="P68" i="6"/>
  <c r="O68" i="6"/>
  <c r="N68" i="6"/>
  <c r="M68" i="6"/>
  <c r="L68" i="6"/>
  <c r="K68" i="6"/>
  <c r="J68" i="6"/>
  <c r="I68" i="6"/>
  <c r="H68" i="6"/>
  <c r="G68" i="6"/>
  <c r="F68" i="6"/>
  <c r="E68" i="6"/>
  <c r="D68" i="6"/>
  <c r="C68" i="6"/>
  <c r="Z67" i="6"/>
  <c r="Y67" i="6"/>
  <c r="X67" i="6"/>
  <c r="W67" i="6"/>
  <c r="V67" i="6"/>
  <c r="U67" i="6"/>
  <c r="T67" i="6"/>
  <c r="S67" i="6"/>
  <c r="R67" i="6"/>
  <c r="Q67" i="6"/>
  <c r="P67" i="6"/>
  <c r="O67" i="6"/>
  <c r="N67" i="6"/>
  <c r="M67" i="6"/>
  <c r="L67" i="6"/>
  <c r="K67" i="6"/>
  <c r="J67" i="6"/>
  <c r="I67" i="6"/>
  <c r="H67" i="6"/>
  <c r="G67" i="6"/>
  <c r="F67" i="6"/>
  <c r="E67" i="6"/>
  <c r="D67" i="6"/>
  <c r="C67" i="6"/>
  <c r="Z66" i="6"/>
  <c r="Y66" i="6"/>
  <c r="X66" i="6"/>
  <c r="W66" i="6"/>
  <c r="V66" i="6"/>
  <c r="U66" i="6"/>
  <c r="T66" i="6"/>
  <c r="S66" i="6"/>
  <c r="R66" i="6"/>
  <c r="Q66" i="6"/>
  <c r="P66" i="6"/>
  <c r="O66" i="6"/>
  <c r="N66" i="6"/>
  <c r="M66" i="6"/>
  <c r="L66" i="6"/>
  <c r="K66" i="6"/>
  <c r="J66" i="6"/>
  <c r="I66" i="6"/>
  <c r="H66" i="6"/>
  <c r="G66" i="6"/>
  <c r="F66" i="6"/>
  <c r="E66" i="6"/>
  <c r="D66" i="6"/>
  <c r="C66" i="6"/>
  <c r="Z65" i="6"/>
  <c r="Y65" i="6"/>
  <c r="X65" i="6"/>
  <c r="W65" i="6"/>
  <c r="V65" i="6"/>
  <c r="U65" i="6"/>
  <c r="T65" i="6"/>
  <c r="S65" i="6"/>
  <c r="R65" i="6"/>
  <c r="Q65" i="6"/>
  <c r="P65" i="6"/>
  <c r="O65" i="6"/>
  <c r="N65" i="6"/>
  <c r="M65" i="6"/>
  <c r="L65" i="6"/>
  <c r="K65" i="6"/>
  <c r="J65" i="6"/>
  <c r="I65" i="6"/>
  <c r="H65" i="6"/>
  <c r="G65" i="6"/>
  <c r="F65" i="6"/>
  <c r="E65" i="6"/>
  <c r="D65" i="6"/>
  <c r="C65" i="6"/>
  <c r="Z64" i="6"/>
  <c r="Y64" i="6"/>
  <c r="X64" i="6"/>
  <c r="W64" i="6"/>
  <c r="V64" i="6"/>
  <c r="U64" i="6"/>
  <c r="T64" i="6"/>
  <c r="S64" i="6"/>
  <c r="R64" i="6"/>
  <c r="Q64" i="6"/>
  <c r="P64" i="6"/>
  <c r="O64" i="6"/>
  <c r="N64" i="6"/>
  <c r="M64" i="6"/>
  <c r="L64" i="6"/>
  <c r="K64" i="6"/>
  <c r="J64" i="6"/>
  <c r="I64" i="6"/>
  <c r="H64" i="6"/>
  <c r="G64" i="6"/>
  <c r="F64" i="6"/>
  <c r="E64" i="6"/>
  <c r="D64" i="6"/>
  <c r="C64" i="6"/>
  <c r="Z63" i="6"/>
  <c r="Y63" i="6"/>
  <c r="X63" i="6"/>
  <c r="W63" i="6"/>
  <c r="V63" i="6"/>
  <c r="U63" i="6"/>
  <c r="T63" i="6"/>
  <c r="S63" i="6"/>
  <c r="R63" i="6"/>
  <c r="Q63" i="6"/>
  <c r="P63" i="6"/>
  <c r="O63" i="6"/>
  <c r="N63" i="6"/>
  <c r="M63" i="6"/>
  <c r="L63" i="6"/>
  <c r="K63" i="6"/>
  <c r="J63" i="6"/>
  <c r="I63" i="6"/>
  <c r="H63" i="6"/>
  <c r="G63" i="6"/>
  <c r="F63" i="6"/>
  <c r="E63" i="6"/>
  <c r="D63" i="6"/>
  <c r="C63" i="6"/>
  <c r="Z62" i="6"/>
  <c r="Y62" i="6"/>
  <c r="X62" i="6"/>
  <c r="W62" i="6"/>
  <c r="V62" i="6"/>
  <c r="U62" i="6"/>
  <c r="T62" i="6"/>
  <c r="S62" i="6"/>
  <c r="R62" i="6"/>
  <c r="Q62" i="6"/>
  <c r="P62" i="6"/>
  <c r="O62" i="6"/>
  <c r="N62" i="6"/>
  <c r="M62" i="6"/>
  <c r="L62" i="6"/>
  <c r="K62" i="6"/>
  <c r="J62" i="6"/>
  <c r="I62" i="6"/>
  <c r="H62" i="6"/>
  <c r="G62" i="6"/>
  <c r="F62" i="6"/>
  <c r="E62" i="6"/>
  <c r="D62" i="6"/>
  <c r="C62" i="6"/>
  <c r="Z61" i="6"/>
  <c r="Y61" i="6"/>
  <c r="X61" i="6"/>
  <c r="W61" i="6"/>
  <c r="V61" i="6"/>
  <c r="U61" i="6"/>
  <c r="T61" i="6"/>
  <c r="S61" i="6"/>
  <c r="R61" i="6"/>
  <c r="Q61" i="6"/>
  <c r="P61" i="6"/>
  <c r="O61" i="6"/>
  <c r="N61" i="6"/>
  <c r="M61" i="6"/>
  <c r="L61" i="6"/>
  <c r="K61" i="6"/>
  <c r="J61" i="6"/>
  <c r="I61" i="6"/>
  <c r="H61" i="6"/>
  <c r="G61" i="6"/>
  <c r="F61" i="6"/>
  <c r="E61" i="6"/>
  <c r="D61" i="6"/>
  <c r="C61" i="6"/>
  <c r="Z60" i="6"/>
  <c r="Y60" i="6"/>
  <c r="X60" i="6"/>
  <c r="W60" i="6"/>
  <c r="V60" i="6"/>
  <c r="U60" i="6"/>
  <c r="T60" i="6"/>
  <c r="S60" i="6"/>
  <c r="R60" i="6"/>
  <c r="Q60" i="6"/>
  <c r="P60" i="6"/>
  <c r="O60" i="6"/>
  <c r="N60" i="6"/>
  <c r="M60" i="6"/>
  <c r="L60" i="6"/>
  <c r="K60" i="6"/>
  <c r="J60" i="6"/>
  <c r="I60" i="6"/>
  <c r="H60" i="6"/>
  <c r="G60" i="6"/>
  <c r="F60" i="6"/>
  <c r="E60" i="6"/>
  <c r="D60" i="6"/>
  <c r="C60" i="6"/>
  <c r="Z59" i="6"/>
  <c r="Y59" i="6"/>
  <c r="X59" i="6"/>
  <c r="W59" i="6"/>
  <c r="V59" i="6"/>
  <c r="U59" i="6"/>
  <c r="T59" i="6"/>
  <c r="S59" i="6"/>
  <c r="R59" i="6"/>
  <c r="Q59" i="6"/>
  <c r="P59" i="6"/>
  <c r="O59" i="6"/>
  <c r="N59" i="6"/>
  <c r="M59" i="6"/>
  <c r="L59" i="6"/>
  <c r="K59" i="6"/>
  <c r="J59" i="6"/>
  <c r="I59" i="6"/>
  <c r="H59" i="6"/>
  <c r="G59" i="6"/>
  <c r="F59" i="6"/>
  <c r="E59" i="6"/>
  <c r="D59" i="6"/>
  <c r="C59" i="6"/>
  <c r="Z58" i="6"/>
  <c r="Y58" i="6"/>
  <c r="X58" i="6"/>
  <c r="W58" i="6"/>
  <c r="V58" i="6"/>
  <c r="U58" i="6"/>
  <c r="T58" i="6"/>
  <c r="S58" i="6"/>
  <c r="R58" i="6"/>
  <c r="Q58" i="6"/>
  <c r="P58" i="6"/>
  <c r="O58" i="6"/>
  <c r="N58" i="6"/>
  <c r="M58" i="6"/>
  <c r="L58" i="6"/>
  <c r="K58" i="6"/>
  <c r="J58" i="6"/>
  <c r="I58" i="6"/>
  <c r="H58" i="6"/>
  <c r="G58" i="6"/>
  <c r="F58" i="6"/>
  <c r="E58" i="6"/>
  <c r="D58" i="6"/>
  <c r="C58" i="6"/>
  <c r="Z57" i="6"/>
  <c r="Y57" i="6"/>
  <c r="X57" i="6"/>
  <c r="W57" i="6"/>
  <c r="V57" i="6"/>
  <c r="U57" i="6"/>
  <c r="T57" i="6"/>
  <c r="S57" i="6"/>
  <c r="R57" i="6"/>
  <c r="Q57" i="6"/>
  <c r="P57" i="6"/>
  <c r="O57" i="6"/>
  <c r="N57" i="6"/>
  <c r="M57" i="6"/>
  <c r="L57" i="6"/>
  <c r="K57" i="6"/>
  <c r="J57" i="6"/>
  <c r="I57" i="6"/>
  <c r="H57" i="6"/>
  <c r="G57" i="6"/>
  <c r="F57" i="6"/>
  <c r="E57" i="6"/>
  <c r="D57" i="6"/>
  <c r="C57" i="6"/>
  <c r="Z56" i="6"/>
  <c r="Y56" i="6"/>
  <c r="X56" i="6"/>
  <c r="W56" i="6"/>
  <c r="V56" i="6"/>
  <c r="U56" i="6"/>
  <c r="T56" i="6"/>
  <c r="S56" i="6"/>
  <c r="R56" i="6"/>
  <c r="Q56" i="6"/>
  <c r="P56" i="6"/>
  <c r="O56" i="6"/>
  <c r="N56" i="6"/>
  <c r="M56" i="6"/>
  <c r="L56" i="6"/>
  <c r="K56" i="6"/>
  <c r="J56" i="6"/>
  <c r="I56" i="6"/>
  <c r="H56" i="6"/>
  <c r="G56" i="6"/>
  <c r="F56" i="6"/>
  <c r="E56" i="6"/>
  <c r="D56" i="6"/>
  <c r="C56" i="6"/>
  <c r="Z55" i="6"/>
  <c r="Y55" i="6"/>
  <c r="X55" i="6"/>
  <c r="W55" i="6"/>
  <c r="V55" i="6"/>
  <c r="U55" i="6"/>
  <c r="T55" i="6"/>
  <c r="S55" i="6"/>
  <c r="R55" i="6"/>
  <c r="Q55" i="6"/>
  <c r="P55" i="6"/>
  <c r="O55" i="6"/>
  <c r="N55" i="6"/>
  <c r="M55" i="6"/>
  <c r="L55" i="6"/>
  <c r="K55" i="6"/>
  <c r="J55" i="6"/>
  <c r="I55" i="6"/>
  <c r="H55" i="6"/>
  <c r="G55" i="6"/>
  <c r="F55" i="6"/>
  <c r="E55" i="6"/>
  <c r="D55" i="6"/>
  <c r="C55" i="6"/>
  <c r="Z54" i="6"/>
  <c r="Y54" i="6"/>
  <c r="X54" i="6"/>
  <c r="W54" i="6"/>
  <c r="V54" i="6"/>
  <c r="U54" i="6"/>
  <c r="T54" i="6"/>
  <c r="S54" i="6"/>
  <c r="R54" i="6"/>
  <c r="Q54" i="6"/>
  <c r="P54" i="6"/>
  <c r="O54" i="6"/>
  <c r="N54" i="6"/>
  <c r="M54" i="6"/>
  <c r="L54" i="6"/>
  <c r="K54" i="6"/>
  <c r="J54" i="6"/>
  <c r="I54" i="6"/>
  <c r="H54" i="6"/>
  <c r="G54" i="6"/>
  <c r="F54" i="6"/>
  <c r="E54" i="6"/>
  <c r="D54" i="6"/>
  <c r="C54" i="6"/>
  <c r="Z53" i="6"/>
  <c r="Y53" i="6"/>
  <c r="X53" i="6"/>
  <c r="W53" i="6"/>
  <c r="V53" i="6"/>
  <c r="U53" i="6"/>
  <c r="T53" i="6"/>
  <c r="S53" i="6"/>
  <c r="R53" i="6"/>
  <c r="Q53" i="6"/>
  <c r="P53" i="6"/>
  <c r="O53" i="6"/>
  <c r="N53" i="6"/>
  <c r="M53" i="6"/>
  <c r="L53" i="6"/>
  <c r="K53" i="6"/>
  <c r="J53" i="6"/>
  <c r="I53" i="6"/>
  <c r="H53" i="6"/>
  <c r="G53" i="6"/>
  <c r="F53" i="6"/>
  <c r="E53" i="6"/>
  <c r="D53" i="6"/>
  <c r="C53" i="6"/>
  <c r="Z52" i="6"/>
  <c r="Y52" i="6"/>
  <c r="X52" i="6"/>
  <c r="W52" i="6"/>
  <c r="V52" i="6"/>
  <c r="U52" i="6"/>
  <c r="T52" i="6"/>
  <c r="S52" i="6"/>
  <c r="R52" i="6"/>
  <c r="Q52" i="6"/>
  <c r="P52" i="6"/>
  <c r="O52" i="6"/>
  <c r="N52" i="6"/>
  <c r="M52" i="6"/>
  <c r="L52" i="6"/>
  <c r="K52" i="6"/>
  <c r="J52" i="6"/>
  <c r="I52" i="6"/>
  <c r="H52" i="6"/>
  <c r="G52" i="6"/>
  <c r="F52" i="6"/>
  <c r="E52" i="6"/>
  <c r="D52" i="6"/>
  <c r="C52" i="6"/>
  <c r="Z51" i="6"/>
  <c r="Y51" i="6"/>
  <c r="X51" i="6"/>
  <c r="W51" i="6"/>
  <c r="V51" i="6"/>
  <c r="U51" i="6"/>
  <c r="T51" i="6"/>
  <c r="S51" i="6"/>
  <c r="R51" i="6"/>
  <c r="Q51" i="6"/>
  <c r="P51" i="6"/>
  <c r="O51" i="6"/>
  <c r="N51" i="6"/>
  <c r="M51" i="6"/>
  <c r="L51" i="6"/>
  <c r="K51" i="6"/>
  <c r="J51" i="6"/>
  <c r="I51" i="6"/>
  <c r="H51" i="6"/>
  <c r="G51" i="6"/>
  <c r="F51" i="6"/>
  <c r="E51" i="6"/>
  <c r="D51" i="6"/>
  <c r="C51" i="6"/>
  <c r="Z50" i="6"/>
  <c r="Y50" i="6"/>
  <c r="X50" i="6"/>
  <c r="W50" i="6"/>
  <c r="V50" i="6"/>
  <c r="U50" i="6"/>
  <c r="T50" i="6"/>
  <c r="S50" i="6"/>
  <c r="R50" i="6"/>
  <c r="Q50" i="6"/>
  <c r="P50" i="6"/>
  <c r="O50" i="6"/>
  <c r="N50" i="6"/>
  <c r="M50" i="6"/>
  <c r="L50" i="6"/>
  <c r="K50" i="6"/>
  <c r="J50" i="6"/>
  <c r="I50" i="6"/>
  <c r="H50" i="6"/>
  <c r="G50" i="6"/>
  <c r="F50" i="6"/>
  <c r="E50" i="6"/>
  <c r="D50" i="6"/>
  <c r="C50" i="6"/>
  <c r="Z49" i="6"/>
  <c r="Y49" i="6"/>
  <c r="X49" i="6"/>
  <c r="W49" i="6"/>
  <c r="V49" i="6"/>
  <c r="U49" i="6"/>
  <c r="T49" i="6"/>
  <c r="S49" i="6"/>
  <c r="R49" i="6"/>
  <c r="Q49" i="6"/>
  <c r="P49" i="6"/>
  <c r="O49" i="6"/>
  <c r="N49" i="6"/>
  <c r="M49" i="6"/>
  <c r="L49" i="6"/>
  <c r="K49" i="6"/>
  <c r="J49" i="6"/>
  <c r="I49" i="6"/>
  <c r="H49" i="6"/>
  <c r="G49" i="6"/>
  <c r="F49" i="6"/>
  <c r="E49" i="6"/>
  <c r="D49" i="6"/>
  <c r="C49" i="6"/>
  <c r="Z48" i="6"/>
  <c r="Y48" i="6"/>
  <c r="X48" i="6"/>
  <c r="W48" i="6"/>
  <c r="V48" i="6"/>
  <c r="U48" i="6"/>
  <c r="T48" i="6"/>
  <c r="S48" i="6"/>
  <c r="R48" i="6"/>
  <c r="Q48" i="6"/>
  <c r="P48" i="6"/>
  <c r="O48" i="6"/>
  <c r="N48" i="6"/>
  <c r="M48" i="6"/>
  <c r="L48" i="6"/>
  <c r="K48" i="6"/>
  <c r="J48" i="6"/>
  <c r="I48" i="6"/>
  <c r="H48" i="6"/>
  <c r="G48" i="6"/>
  <c r="F48" i="6"/>
  <c r="E48" i="6"/>
  <c r="D48" i="6"/>
  <c r="C48" i="6"/>
  <c r="Z47" i="6"/>
  <c r="Y47" i="6"/>
  <c r="X47" i="6"/>
  <c r="W47" i="6"/>
  <c r="V47" i="6"/>
  <c r="U47" i="6"/>
  <c r="T47" i="6"/>
  <c r="S47" i="6"/>
  <c r="R47" i="6"/>
  <c r="Q47" i="6"/>
  <c r="P47" i="6"/>
  <c r="O47" i="6"/>
  <c r="N47" i="6"/>
  <c r="M47" i="6"/>
  <c r="L47" i="6"/>
  <c r="K47" i="6"/>
  <c r="J47" i="6"/>
  <c r="I47" i="6"/>
  <c r="H47" i="6"/>
  <c r="G47" i="6"/>
  <c r="F47" i="6"/>
  <c r="E47" i="6"/>
  <c r="D47" i="6"/>
  <c r="C47" i="6"/>
  <c r="Z46" i="6"/>
  <c r="Y46" i="6"/>
  <c r="X46" i="6"/>
  <c r="W46" i="6"/>
  <c r="V46" i="6"/>
  <c r="U46" i="6"/>
  <c r="T46" i="6"/>
  <c r="S46" i="6"/>
  <c r="R46" i="6"/>
  <c r="Q46" i="6"/>
  <c r="P46" i="6"/>
  <c r="O46" i="6"/>
  <c r="N46" i="6"/>
  <c r="M46" i="6"/>
  <c r="L46" i="6"/>
  <c r="K46" i="6"/>
  <c r="J46" i="6"/>
  <c r="I46" i="6"/>
  <c r="H46" i="6"/>
  <c r="G46" i="6"/>
  <c r="F46" i="6"/>
  <c r="E46" i="6"/>
  <c r="D46" i="6"/>
  <c r="C46" i="6"/>
  <c r="Z45" i="6"/>
  <c r="Y45" i="6"/>
  <c r="X45" i="6"/>
  <c r="W45" i="6"/>
  <c r="V45" i="6"/>
  <c r="U45" i="6"/>
  <c r="T45" i="6"/>
  <c r="S45" i="6"/>
  <c r="R45" i="6"/>
  <c r="Q45" i="6"/>
  <c r="P45" i="6"/>
  <c r="O45" i="6"/>
  <c r="N45" i="6"/>
  <c r="M45" i="6"/>
  <c r="L45" i="6"/>
  <c r="K45" i="6"/>
  <c r="J45" i="6"/>
  <c r="I45" i="6"/>
  <c r="H45" i="6"/>
  <c r="G45" i="6"/>
  <c r="F45" i="6"/>
  <c r="E45" i="6"/>
  <c r="D45" i="6"/>
  <c r="C45" i="6"/>
  <c r="Z44" i="6"/>
  <c r="Y44" i="6"/>
  <c r="X44" i="6"/>
  <c r="W44" i="6"/>
  <c r="V44" i="6"/>
  <c r="U44" i="6"/>
  <c r="T44" i="6"/>
  <c r="S44" i="6"/>
  <c r="R44" i="6"/>
  <c r="Q44" i="6"/>
  <c r="P44" i="6"/>
  <c r="O44" i="6"/>
  <c r="N44" i="6"/>
  <c r="M44" i="6"/>
  <c r="L44" i="6"/>
  <c r="K44" i="6"/>
  <c r="J44" i="6"/>
  <c r="I44" i="6"/>
  <c r="H44" i="6"/>
  <c r="G44" i="6"/>
  <c r="F44" i="6"/>
  <c r="E44" i="6"/>
  <c r="D44" i="6"/>
  <c r="C44" i="6"/>
  <c r="Z43" i="6"/>
  <c r="Y43" i="6"/>
  <c r="X43" i="6"/>
  <c r="W43" i="6"/>
  <c r="V43" i="6"/>
  <c r="U43" i="6"/>
  <c r="T43" i="6"/>
  <c r="S43" i="6"/>
  <c r="R43" i="6"/>
  <c r="Q43" i="6"/>
  <c r="P43" i="6"/>
  <c r="O43" i="6"/>
  <c r="N43" i="6"/>
  <c r="M43" i="6"/>
  <c r="L43" i="6"/>
  <c r="K43" i="6"/>
  <c r="J43" i="6"/>
  <c r="I43" i="6"/>
  <c r="H43" i="6"/>
  <c r="G43" i="6"/>
  <c r="F43" i="6"/>
  <c r="E43" i="6"/>
  <c r="D43" i="6"/>
  <c r="C43" i="6"/>
  <c r="Z42" i="6"/>
  <c r="Y42" i="6"/>
  <c r="X42" i="6"/>
  <c r="W42" i="6"/>
  <c r="V42" i="6"/>
  <c r="U42" i="6"/>
  <c r="T42" i="6"/>
  <c r="S42" i="6"/>
  <c r="R42" i="6"/>
  <c r="Q42" i="6"/>
  <c r="P42" i="6"/>
  <c r="O42" i="6"/>
  <c r="N42" i="6"/>
  <c r="M42" i="6"/>
  <c r="L42" i="6"/>
  <c r="K42" i="6"/>
  <c r="J42" i="6"/>
  <c r="I42" i="6"/>
  <c r="H42" i="6"/>
  <c r="G42" i="6"/>
  <c r="F42" i="6"/>
  <c r="E42" i="6"/>
  <c r="D42" i="6"/>
  <c r="C42" i="6"/>
  <c r="Z41" i="6"/>
  <c r="Y41" i="6"/>
  <c r="X41" i="6"/>
  <c r="W41" i="6"/>
  <c r="V41" i="6"/>
  <c r="U41" i="6"/>
  <c r="T41" i="6"/>
  <c r="S41" i="6"/>
  <c r="R41" i="6"/>
  <c r="Q41" i="6"/>
  <c r="P41" i="6"/>
  <c r="O41" i="6"/>
  <c r="N41" i="6"/>
  <c r="M41" i="6"/>
  <c r="L41" i="6"/>
  <c r="K41" i="6"/>
  <c r="J41" i="6"/>
  <c r="I41" i="6"/>
  <c r="H41" i="6"/>
  <c r="G41" i="6"/>
  <c r="F41" i="6"/>
  <c r="E41" i="6"/>
  <c r="D41" i="6"/>
  <c r="C41" i="6"/>
  <c r="Z40" i="6"/>
  <c r="Y40" i="6"/>
  <c r="X40" i="6"/>
  <c r="W40" i="6"/>
  <c r="V40" i="6"/>
  <c r="U40" i="6"/>
  <c r="T40" i="6"/>
  <c r="S40" i="6"/>
  <c r="R40" i="6"/>
  <c r="Q40" i="6"/>
  <c r="P40" i="6"/>
  <c r="O40" i="6"/>
  <c r="N40" i="6"/>
  <c r="M40" i="6"/>
  <c r="L40" i="6"/>
  <c r="K40" i="6"/>
  <c r="J40" i="6"/>
  <c r="I40" i="6"/>
  <c r="H40" i="6"/>
  <c r="G40" i="6"/>
  <c r="F40" i="6"/>
  <c r="E40" i="6"/>
  <c r="D40" i="6"/>
  <c r="C40" i="6"/>
  <c r="Z39" i="6"/>
  <c r="Y39" i="6"/>
  <c r="X39" i="6"/>
  <c r="W39" i="6"/>
  <c r="V39" i="6"/>
  <c r="U39" i="6"/>
  <c r="T39" i="6"/>
  <c r="S39" i="6"/>
  <c r="R39" i="6"/>
  <c r="Q39" i="6"/>
  <c r="P39" i="6"/>
  <c r="O39" i="6"/>
  <c r="N39" i="6"/>
  <c r="M39" i="6"/>
  <c r="L39" i="6"/>
  <c r="K39" i="6"/>
  <c r="J39" i="6"/>
  <c r="I39" i="6"/>
  <c r="H39" i="6"/>
  <c r="G39" i="6"/>
  <c r="F39" i="6"/>
  <c r="E39" i="6"/>
  <c r="D39" i="6"/>
  <c r="C39" i="6"/>
  <c r="Z38" i="6"/>
  <c r="Y38" i="6"/>
  <c r="X38" i="6"/>
  <c r="W38" i="6"/>
  <c r="V38" i="6"/>
  <c r="U38" i="6"/>
  <c r="T38" i="6"/>
  <c r="S38" i="6"/>
  <c r="R38" i="6"/>
  <c r="Q38" i="6"/>
  <c r="P38" i="6"/>
  <c r="O38" i="6"/>
  <c r="N38" i="6"/>
  <c r="M38" i="6"/>
  <c r="L38" i="6"/>
  <c r="K38" i="6"/>
  <c r="J38" i="6"/>
  <c r="I38" i="6"/>
  <c r="H38" i="6"/>
  <c r="G38" i="6"/>
  <c r="F38" i="6"/>
  <c r="E38" i="6"/>
  <c r="D38" i="6"/>
  <c r="C38" i="6"/>
  <c r="Z37" i="6"/>
  <c r="Y37" i="6"/>
  <c r="X37" i="6"/>
  <c r="W37" i="6"/>
  <c r="V37" i="6"/>
  <c r="U37" i="6"/>
  <c r="T37" i="6"/>
  <c r="S37" i="6"/>
  <c r="R37" i="6"/>
  <c r="Q37" i="6"/>
  <c r="P37" i="6"/>
  <c r="O37" i="6"/>
  <c r="N37" i="6"/>
  <c r="M37" i="6"/>
  <c r="L37" i="6"/>
  <c r="K37" i="6"/>
  <c r="J37" i="6"/>
  <c r="I37" i="6"/>
  <c r="H37" i="6"/>
  <c r="G37" i="6"/>
  <c r="F37" i="6"/>
  <c r="E37" i="6"/>
  <c r="D37" i="6"/>
  <c r="C37" i="6"/>
  <c r="Z36" i="6"/>
  <c r="Y36" i="6"/>
  <c r="X36" i="6"/>
  <c r="W36" i="6"/>
  <c r="V36" i="6"/>
  <c r="U36" i="6"/>
  <c r="T36" i="6"/>
  <c r="S36" i="6"/>
  <c r="R36" i="6"/>
  <c r="Q36" i="6"/>
  <c r="P36" i="6"/>
  <c r="O36" i="6"/>
  <c r="N36" i="6"/>
  <c r="M36" i="6"/>
  <c r="L36" i="6"/>
  <c r="K36" i="6"/>
  <c r="J36" i="6"/>
  <c r="I36" i="6"/>
  <c r="H36" i="6"/>
  <c r="G36" i="6"/>
  <c r="F36" i="6"/>
  <c r="E36" i="6"/>
  <c r="D36" i="6"/>
  <c r="C36" i="6"/>
  <c r="Z35" i="6"/>
  <c r="Y35" i="6"/>
  <c r="X35" i="6"/>
  <c r="W35" i="6"/>
  <c r="V35" i="6"/>
  <c r="U35" i="6"/>
  <c r="T35" i="6"/>
  <c r="S35" i="6"/>
  <c r="R35" i="6"/>
  <c r="Q35" i="6"/>
  <c r="P35" i="6"/>
  <c r="O35" i="6"/>
  <c r="N35" i="6"/>
  <c r="M35" i="6"/>
  <c r="L35" i="6"/>
  <c r="K35" i="6"/>
  <c r="J35" i="6"/>
  <c r="I35" i="6"/>
  <c r="H35" i="6"/>
  <c r="G35" i="6"/>
  <c r="F35" i="6"/>
  <c r="E35" i="6"/>
  <c r="D35" i="6"/>
  <c r="C35" i="6"/>
  <c r="Z34" i="6"/>
  <c r="Y34" i="6"/>
  <c r="X34" i="6"/>
  <c r="W34" i="6"/>
  <c r="V34" i="6"/>
  <c r="U34" i="6"/>
  <c r="T34" i="6"/>
  <c r="S34" i="6"/>
  <c r="R34" i="6"/>
  <c r="Q34" i="6"/>
  <c r="P34" i="6"/>
  <c r="O34" i="6"/>
  <c r="N34" i="6"/>
  <c r="M34" i="6"/>
  <c r="L34" i="6"/>
  <c r="K34" i="6"/>
  <c r="J34" i="6"/>
  <c r="I34" i="6"/>
  <c r="H34" i="6"/>
  <c r="G34" i="6"/>
  <c r="F34" i="6"/>
  <c r="E34" i="6"/>
  <c r="D34" i="6"/>
  <c r="C34" i="6"/>
  <c r="Z33" i="6"/>
  <c r="Y33" i="6"/>
  <c r="X33" i="6"/>
  <c r="W33" i="6"/>
  <c r="V33" i="6"/>
  <c r="U33" i="6"/>
  <c r="T33" i="6"/>
  <c r="S33" i="6"/>
  <c r="R33" i="6"/>
  <c r="Q33" i="6"/>
  <c r="P33" i="6"/>
  <c r="O33" i="6"/>
  <c r="N33" i="6"/>
  <c r="M33" i="6"/>
  <c r="L33" i="6"/>
  <c r="K33" i="6"/>
  <c r="J33" i="6"/>
  <c r="I33" i="6"/>
  <c r="H33" i="6"/>
  <c r="G33" i="6"/>
  <c r="F33" i="6"/>
  <c r="E33" i="6"/>
  <c r="D33" i="6"/>
  <c r="C33" i="6"/>
  <c r="Z32" i="6"/>
  <c r="Y32" i="6"/>
  <c r="X32" i="6"/>
  <c r="W32" i="6"/>
  <c r="V32" i="6"/>
  <c r="U32" i="6"/>
  <c r="T32" i="6"/>
  <c r="S32" i="6"/>
  <c r="R32" i="6"/>
  <c r="Q32" i="6"/>
  <c r="P32" i="6"/>
  <c r="O32" i="6"/>
  <c r="N32" i="6"/>
  <c r="M32" i="6"/>
  <c r="L32" i="6"/>
  <c r="K32" i="6"/>
  <c r="J32" i="6"/>
  <c r="I32" i="6"/>
  <c r="H32" i="6"/>
  <c r="G32" i="6"/>
  <c r="F32" i="6"/>
  <c r="E32" i="6"/>
  <c r="D32" i="6"/>
  <c r="C32" i="6"/>
  <c r="Z31" i="6"/>
  <c r="Y31" i="6"/>
  <c r="X31" i="6"/>
  <c r="W31" i="6"/>
  <c r="V31" i="6"/>
  <c r="U31" i="6"/>
  <c r="T31" i="6"/>
  <c r="S31" i="6"/>
  <c r="R31" i="6"/>
  <c r="Q31" i="6"/>
  <c r="P31" i="6"/>
  <c r="O31" i="6"/>
  <c r="N31" i="6"/>
  <c r="M31" i="6"/>
  <c r="L31" i="6"/>
  <c r="K31" i="6"/>
  <c r="J31" i="6"/>
  <c r="I31" i="6"/>
  <c r="H31" i="6"/>
  <c r="G31" i="6"/>
  <c r="F31" i="6"/>
  <c r="E31" i="6"/>
  <c r="D31" i="6"/>
  <c r="C31" i="6"/>
  <c r="Z30" i="6"/>
  <c r="Y30" i="6"/>
  <c r="X30" i="6"/>
  <c r="W30" i="6"/>
  <c r="V30" i="6"/>
  <c r="U30" i="6"/>
  <c r="T30" i="6"/>
  <c r="S30" i="6"/>
  <c r="R30" i="6"/>
  <c r="Q30" i="6"/>
  <c r="P30" i="6"/>
  <c r="O30" i="6"/>
  <c r="N30" i="6"/>
  <c r="M30" i="6"/>
  <c r="L30" i="6"/>
  <c r="K30" i="6"/>
  <c r="J30" i="6"/>
  <c r="I30" i="6"/>
  <c r="H30" i="6"/>
  <c r="G30" i="6"/>
  <c r="F30" i="6"/>
  <c r="E30" i="6"/>
  <c r="D30" i="6"/>
  <c r="C30" i="6"/>
  <c r="Z29" i="6"/>
  <c r="Y29" i="6"/>
  <c r="X29" i="6"/>
  <c r="W29" i="6"/>
  <c r="V29" i="6"/>
  <c r="U29" i="6"/>
  <c r="T29" i="6"/>
  <c r="S29" i="6"/>
  <c r="R29" i="6"/>
  <c r="Q29" i="6"/>
  <c r="P29" i="6"/>
  <c r="O29" i="6"/>
  <c r="N29" i="6"/>
  <c r="M29" i="6"/>
  <c r="L29" i="6"/>
  <c r="K29" i="6"/>
  <c r="J29" i="6"/>
  <c r="I29" i="6"/>
  <c r="H29" i="6"/>
  <c r="G29" i="6"/>
  <c r="F29" i="6"/>
  <c r="E29" i="6"/>
  <c r="D29" i="6"/>
  <c r="C29" i="6"/>
  <c r="Z28" i="6"/>
  <c r="Y28" i="6"/>
  <c r="X28" i="6"/>
  <c r="W28" i="6"/>
  <c r="V28" i="6"/>
  <c r="U28" i="6"/>
  <c r="T28" i="6"/>
  <c r="S28" i="6"/>
  <c r="R28" i="6"/>
  <c r="Q28" i="6"/>
  <c r="P28" i="6"/>
  <c r="O28" i="6"/>
  <c r="N28" i="6"/>
  <c r="M28" i="6"/>
  <c r="L28" i="6"/>
  <c r="K28" i="6"/>
  <c r="J28" i="6"/>
  <c r="I28" i="6"/>
  <c r="H28" i="6"/>
  <c r="G28" i="6"/>
  <c r="F28" i="6"/>
  <c r="E28" i="6"/>
  <c r="D28" i="6"/>
  <c r="C28" i="6"/>
  <c r="Z27" i="6"/>
  <c r="Y27" i="6"/>
  <c r="X27" i="6"/>
  <c r="W27" i="6"/>
  <c r="V27" i="6"/>
  <c r="U27" i="6"/>
  <c r="T27" i="6"/>
  <c r="S27" i="6"/>
  <c r="R27" i="6"/>
  <c r="Q27" i="6"/>
  <c r="P27" i="6"/>
  <c r="O27" i="6"/>
  <c r="N27" i="6"/>
  <c r="M27" i="6"/>
  <c r="L27" i="6"/>
  <c r="K27" i="6"/>
  <c r="J27" i="6"/>
  <c r="I27" i="6"/>
  <c r="H27" i="6"/>
  <c r="G27" i="6"/>
  <c r="F27" i="6"/>
  <c r="E27" i="6"/>
  <c r="D27" i="6"/>
  <c r="C27" i="6"/>
  <c r="Z26" i="6"/>
  <c r="Y26" i="6"/>
  <c r="X26" i="6"/>
  <c r="W26" i="6"/>
  <c r="V26" i="6"/>
  <c r="U26" i="6"/>
  <c r="T26" i="6"/>
  <c r="S26" i="6"/>
  <c r="R26" i="6"/>
  <c r="Q26" i="6"/>
  <c r="P26" i="6"/>
  <c r="O26" i="6"/>
  <c r="N26" i="6"/>
  <c r="M26" i="6"/>
  <c r="L26" i="6"/>
  <c r="K26" i="6"/>
  <c r="J26" i="6"/>
  <c r="I26" i="6"/>
  <c r="H26" i="6"/>
  <c r="G26" i="6"/>
  <c r="F26" i="6"/>
  <c r="E26" i="6"/>
  <c r="D26" i="6"/>
  <c r="C26" i="6"/>
  <c r="Z25" i="6"/>
  <c r="Y25" i="6"/>
  <c r="X25" i="6"/>
  <c r="W25" i="6"/>
  <c r="V25" i="6"/>
  <c r="U25" i="6"/>
  <c r="T25" i="6"/>
  <c r="S25" i="6"/>
  <c r="R25" i="6"/>
  <c r="Q25" i="6"/>
  <c r="P25" i="6"/>
  <c r="O25" i="6"/>
  <c r="N25" i="6"/>
  <c r="M25" i="6"/>
  <c r="L25" i="6"/>
  <c r="K25" i="6"/>
  <c r="J25" i="6"/>
  <c r="I25" i="6"/>
  <c r="H25" i="6"/>
  <c r="G25" i="6"/>
  <c r="F25" i="6"/>
  <c r="E25" i="6"/>
  <c r="D25" i="6"/>
  <c r="C25" i="6"/>
  <c r="Z24" i="6"/>
  <c r="Y24" i="6"/>
  <c r="X24" i="6"/>
  <c r="W24" i="6"/>
  <c r="V24" i="6"/>
  <c r="U24" i="6"/>
  <c r="T24" i="6"/>
  <c r="S24" i="6"/>
  <c r="R24" i="6"/>
  <c r="Q24" i="6"/>
  <c r="P24" i="6"/>
  <c r="O24" i="6"/>
  <c r="N24" i="6"/>
  <c r="M24" i="6"/>
  <c r="L24" i="6"/>
  <c r="K24" i="6"/>
  <c r="J24" i="6"/>
  <c r="I24" i="6"/>
  <c r="H24" i="6"/>
  <c r="G24" i="6"/>
  <c r="F24" i="6"/>
  <c r="E24" i="6"/>
  <c r="D24" i="6"/>
  <c r="C24" i="6"/>
  <c r="Z23" i="6"/>
  <c r="Y23" i="6"/>
  <c r="X23" i="6"/>
  <c r="W23" i="6"/>
  <c r="V23" i="6"/>
  <c r="U23" i="6"/>
  <c r="T23" i="6"/>
  <c r="S23" i="6"/>
  <c r="R23" i="6"/>
  <c r="Q23" i="6"/>
  <c r="P23" i="6"/>
  <c r="O23" i="6"/>
  <c r="N23" i="6"/>
  <c r="M23" i="6"/>
  <c r="L23" i="6"/>
  <c r="K23" i="6"/>
  <c r="J23" i="6"/>
  <c r="I23" i="6"/>
  <c r="H23" i="6"/>
  <c r="G23" i="6"/>
  <c r="F23" i="6"/>
  <c r="E23" i="6"/>
  <c r="D23" i="6"/>
  <c r="C23" i="6"/>
  <c r="Z22" i="6"/>
  <c r="Y22" i="6"/>
  <c r="X22" i="6"/>
  <c r="W22" i="6"/>
  <c r="V22" i="6"/>
  <c r="U22" i="6"/>
  <c r="T22" i="6"/>
  <c r="S22" i="6"/>
  <c r="R22" i="6"/>
  <c r="Q22" i="6"/>
  <c r="P22" i="6"/>
  <c r="O22" i="6"/>
  <c r="N22" i="6"/>
  <c r="M22" i="6"/>
  <c r="L22" i="6"/>
  <c r="K22" i="6"/>
  <c r="J22" i="6"/>
  <c r="I22" i="6"/>
  <c r="H22" i="6"/>
  <c r="G22" i="6"/>
  <c r="F22" i="6"/>
  <c r="E22" i="6"/>
  <c r="D22" i="6"/>
  <c r="C22" i="6"/>
  <c r="Z21" i="6"/>
  <c r="Y21" i="6"/>
  <c r="X21" i="6"/>
  <c r="W21" i="6"/>
  <c r="V21" i="6"/>
  <c r="U21" i="6"/>
  <c r="T21" i="6"/>
  <c r="S21" i="6"/>
  <c r="R21" i="6"/>
  <c r="Q21" i="6"/>
  <c r="P21" i="6"/>
  <c r="O21" i="6"/>
  <c r="N21" i="6"/>
  <c r="M21" i="6"/>
  <c r="L21" i="6"/>
  <c r="K21" i="6"/>
  <c r="J21" i="6"/>
  <c r="I21" i="6"/>
  <c r="H21" i="6"/>
  <c r="G21" i="6"/>
  <c r="F21" i="6"/>
  <c r="E21" i="6"/>
  <c r="D21" i="6"/>
  <c r="C21" i="6"/>
  <c r="Z20" i="6"/>
  <c r="Y20" i="6"/>
  <c r="X20" i="6"/>
  <c r="W20" i="6"/>
  <c r="V20" i="6"/>
  <c r="U20" i="6"/>
  <c r="T20" i="6"/>
  <c r="S20" i="6"/>
  <c r="R20" i="6"/>
  <c r="Q20" i="6"/>
  <c r="P20" i="6"/>
  <c r="O20" i="6"/>
  <c r="N20" i="6"/>
  <c r="M20" i="6"/>
  <c r="L20" i="6"/>
  <c r="K20" i="6"/>
  <c r="J20" i="6"/>
  <c r="I20" i="6"/>
  <c r="H20" i="6"/>
  <c r="G20" i="6"/>
  <c r="F20" i="6"/>
  <c r="E20" i="6"/>
  <c r="D20" i="6"/>
  <c r="C20" i="6"/>
  <c r="Z19" i="6"/>
  <c r="Y19" i="6"/>
  <c r="X19" i="6"/>
  <c r="W19" i="6"/>
  <c r="V19" i="6"/>
  <c r="U19" i="6"/>
  <c r="T19" i="6"/>
  <c r="S19" i="6"/>
  <c r="R19" i="6"/>
  <c r="Q19" i="6"/>
  <c r="P19" i="6"/>
  <c r="O19" i="6"/>
  <c r="N19" i="6"/>
  <c r="M19" i="6"/>
  <c r="L19" i="6"/>
  <c r="K19" i="6"/>
  <c r="J19" i="6"/>
  <c r="I19" i="6"/>
  <c r="H19" i="6"/>
  <c r="G19" i="6"/>
  <c r="F19" i="6"/>
  <c r="E19" i="6"/>
  <c r="D19" i="6"/>
  <c r="C19" i="6"/>
  <c r="Z18" i="6"/>
  <c r="Y18" i="6"/>
  <c r="X18" i="6"/>
  <c r="W18" i="6"/>
  <c r="V18" i="6"/>
  <c r="U18" i="6"/>
  <c r="T18" i="6"/>
  <c r="S18" i="6"/>
  <c r="R18" i="6"/>
  <c r="Q18" i="6"/>
  <c r="P18" i="6"/>
  <c r="O18" i="6"/>
  <c r="N18" i="6"/>
  <c r="M18" i="6"/>
  <c r="L18" i="6"/>
  <c r="K18" i="6"/>
  <c r="J18" i="6"/>
  <c r="I18" i="6"/>
  <c r="H18" i="6"/>
  <c r="G18" i="6"/>
  <c r="F18" i="6"/>
  <c r="E18" i="6"/>
  <c r="D18" i="6"/>
  <c r="C18" i="6"/>
  <c r="Z17" i="6"/>
  <c r="Y17" i="6"/>
  <c r="X17" i="6"/>
  <c r="W17" i="6"/>
  <c r="V17" i="6"/>
  <c r="U17" i="6"/>
  <c r="T17" i="6"/>
  <c r="S17" i="6"/>
  <c r="R17" i="6"/>
  <c r="Q17" i="6"/>
  <c r="P17" i="6"/>
  <c r="O17" i="6"/>
  <c r="N17" i="6"/>
  <c r="M17" i="6"/>
  <c r="L17" i="6"/>
  <c r="K17" i="6"/>
  <c r="J17" i="6"/>
  <c r="I17" i="6"/>
  <c r="H17" i="6"/>
  <c r="G17" i="6"/>
  <c r="F17" i="6"/>
  <c r="E17" i="6"/>
  <c r="D17" i="6"/>
  <c r="C17" i="6"/>
  <c r="Z16" i="6"/>
  <c r="Y16" i="6"/>
  <c r="X16" i="6"/>
  <c r="W16" i="6"/>
  <c r="V16" i="6"/>
  <c r="U16" i="6"/>
  <c r="T16" i="6"/>
  <c r="S16" i="6"/>
  <c r="R16" i="6"/>
  <c r="Q16" i="6"/>
  <c r="P16" i="6"/>
  <c r="O16" i="6"/>
  <c r="N16" i="6"/>
  <c r="M16" i="6"/>
  <c r="L16" i="6"/>
  <c r="K16" i="6"/>
  <c r="J16" i="6"/>
  <c r="I16" i="6"/>
  <c r="H16" i="6"/>
  <c r="G16" i="6"/>
  <c r="F16" i="6"/>
  <c r="E16" i="6"/>
  <c r="D16" i="6"/>
  <c r="C16" i="6"/>
  <c r="Z15" i="6"/>
  <c r="Y15" i="6"/>
  <c r="X15" i="6"/>
  <c r="W15" i="6"/>
  <c r="V15" i="6"/>
  <c r="U15" i="6"/>
  <c r="T15" i="6"/>
  <c r="S15" i="6"/>
  <c r="R15" i="6"/>
  <c r="Q15" i="6"/>
  <c r="P15" i="6"/>
  <c r="O15" i="6"/>
  <c r="N15" i="6"/>
  <c r="M15" i="6"/>
  <c r="L15" i="6"/>
  <c r="K15" i="6"/>
  <c r="J15" i="6"/>
  <c r="I15" i="6"/>
  <c r="H15" i="6"/>
  <c r="G15" i="6"/>
  <c r="F15" i="6"/>
  <c r="E15" i="6"/>
  <c r="D15" i="6"/>
  <c r="C15" i="6"/>
  <c r="Z14" i="6"/>
  <c r="Y14" i="6"/>
  <c r="X14" i="6"/>
  <c r="W14" i="6"/>
  <c r="V14" i="6"/>
  <c r="U14" i="6"/>
  <c r="T14" i="6"/>
  <c r="S14" i="6"/>
  <c r="R14" i="6"/>
  <c r="Q14" i="6"/>
  <c r="P14" i="6"/>
  <c r="O14" i="6"/>
  <c r="N14" i="6"/>
  <c r="M14" i="6"/>
  <c r="L14" i="6"/>
  <c r="K14" i="6"/>
  <c r="J14" i="6"/>
  <c r="I14" i="6"/>
  <c r="H14" i="6"/>
  <c r="G14" i="6"/>
  <c r="F14" i="6"/>
  <c r="E14" i="6"/>
  <c r="D14" i="6"/>
  <c r="C14" i="6"/>
  <c r="Z13" i="6"/>
  <c r="Y13" i="6"/>
  <c r="X13" i="6"/>
  <c r="W13" i="6"/>
  <c r="V13" i="6"/>
  <c r="U13" i="6"/>
  <c r="T13" i="6"/>
  <c r="S13" i="6"/>
  <c r="R13" i="6"/>
  <c r="Q13" i="6"/>
  <c r="P13" i="6"/>
  <c r="O13" i="6"/>
  <c r="N13" i="6"/>
  <c r="M13" i="6"/>
  <c r="L13" i="6"/>
  <c r="K13" i="6"/>
  <c r="J13" i="6"/>
  <c r="I13" i="6"/>
  <c r="H13" i="6"/>
  <c r="G13" i="6"/>
  <c r="F13" i="6"/>
  <c r="E13" i="6"/>
  <c r="D13" i="6"/>
  <c r="C13" i="6"/>
  <c r="Z12" i="6"/>
  <c r="Y12" i="6"/>
  <c r="X12" i="6"/>
  <c r="W12" i="6"/>
  <c r="V12" i="6"/>
  <c r="U12" i="6"/>
  <c r="T12" i="6"/>
  <c r="S12" i="6"/>
  <c r="R12" i="6"/>
  <c r="Q12" i="6"/>
  <c r="P12" i="6"/>
  <c r="O12" i="6"/>
  <c r="N12" i="6"/>
  <c r="M12" i="6"/>
  <c r="L12" i="6"/>
  <c r="K12" i="6"/>
  <c r="J12" i="6"/>
  <c r="I12" i="6"/>
  <c r="H12" i="6"/>
  <c r="G12" i="6"/>
  <c r="F12" i="6"/>
  <c r="E12" i="6"/>
  <c r="D12" i="6"/>
  <c r="C12" i="6"/>
  <c r="Z11" i="6"/>
  <c r="Y11" i="6"/>
  <c r="X11" i="6"/>
  <c r="W11" i="6"/>
  <c r="V11" i="6"/>
  <c r="U11" i="6"/>
  <c r="T11" i="6"/>
  <c r="S11" i="6"/>
  <c r="R11" i="6"/>
  <c r="Q11" i="6"/>
  <c r="P11" i="6"/>
  <c r="O11" i="6"/>
  <c r="N11" i="6"/>
  <c r="M11" i="6"/>
  <c r="L11" i="6"/>
  <c r="K11" i="6"/>
  <c r="J11" i="6"/>
  <c r="I11" i="6"/>
  <c r="H11" i="6"/>
  <c r="G11" i="6"/>
  <c r="F11" i="6"/>
  <c r="E11" i="6"/>
  <c r="D11" i="6"/>
  <c r="C11" i="6"/>
  <c r="Z10" i="6"/>
  <c r="Y10" i="6"/>
  <c r="X10" i="6"/>
  <c r="W10" i="6"/>
  <c r="V10" i="6"/>
  <c r="U10" i="6"/>
  <c r="T10" i="6"/>
  <c r="S10" i="6"/>
  <c r="R10" i="6"/>
  <c r="Q10" i="6"/>
  <c r="P10" i="6"/>
  <c r="O10" i="6"/>
  <c r="N10" i="6"/>
  <c r="M10" i="6"/>
  <c r="L10" i="6"/>
  <c r="K10" i="6"/>
  <c r="J10" i="6"/>
  <c r="I10" i="6"/>
  <c r="H10" i="6"/>
  <c r="G10" i="6"/>
  <c r="F10" i="6"/>
  <c r="E10" i="6"/>
  <c r="D10" i="6"/>
  <c r="C10" i="6"/>
  <c r="Z9" i="6"/>
  <c r="Y9" i="6"/>
  <c r="X9" i="6"/>
  <c r="W9" i="6"/>
  <c r="V9" i="6"/>
  <c r="U9" i="6"/>
  <c r="T9" i="6"/>
  <c r="S9" i="6"/>
  <c r="R9" i="6"/>
  <c r="Q9" i="6"/>
  <c r="P9" i="6"/>
  <c r="O9" i="6"/>
  <c r="N9" i="6"/>
  <c r="M9" i="6"/>
  <c r="L9" i="6"/>
  <c r="K9" i="6"/>
  <c r="J9" i="6"/>
  <c r="I9" i="6"/>
  <c r="H9" i="6"/>
  <c r="G9" i="6"/>
  <c r="F9" i="6"/>
  <c r="E9" i="6"/>
  <c r="D9" i="6"/>
  <c r="C9" i="6"/>
  <c r="Z8" i="6"/>
  <c r="Y8" i="6"/>
  <c r="X8" i="6"/>
  <c r="W8" i="6"/>
  <c r="V8" i="6"/>
  <c r="U8" i="6"/>
  <c r="T8" i="6"/>
  <c r="S8" i="6"/>
  <c r="R8" i="6"/>
  <c r="Q8" i="6"/>
  <c r="P8" i="6"/>
  <c r="O8" i="6"/>
  <c r="N8" i="6"/>
  <c r="M8" i="6"/>
  <c r="L8" i="6"/>
  <c r="K8" i="6"/>
  <c r="J8" i="6"/>
  <c r="I8" i="6"/>
  <c r="H8" i="6"/>
  <c r="G8" i="6"/>
  <c r="F8" i="6"/>
  <c r="E8" i="6"/>
  <c r="D8" i="6"/>
  <c r="C8" i="6"/>
  <c r="Z7" i="6"/>
  <c r="Y7" i="6"/>
  <c r="X7" i="6"/>
  <c r="W7" i="6"/>
  <c r="V7" i="6"/>
  <c r="U7" i="6"/>
  <c r="T7" i="6"/>
  <c r="S7" i="6"/>
  <c r="R7" i="6"/>
  <c r="Q7" i="6"/>
  <c r="P7" i="6"/>
  <c r="O7" i="6"/>
  <c r="N7" i="6"/>
  <c r="M7" i="6"/>
  <c r="L7" i="6"/>
  <c r="K7" i="6"/>
  <c r="J7" i="6"/>
  <c r="I7" i="6"/>
  <c r="H7" i="6"/>
  <c r="G7" i="6"/>
  <c r="F7" i="6"/>
  <c r="E7" i="6"/>
  <c r="D7" i="6"/>
  <c r="C7" i="6"/>
  <c r="Z6" i="6"/>
  <c r="Y6" i="6"/>
  <c r="X6" i="6"/>
  <c r="W6" i="6"/>
  <c r="V6" i="6"/>
  <c r="U6" i="6"/>
  <c r="T6" i="6"/>
  <c r="S6" i="6"/>
  <c r="R6" i="6"/>
  <c r="Q6" i="6"/>
  <c r="P6" i="6"/>
  <c r="O6" i="6"/>
  <c r="N6" i="6"/>
  <c r="M6" i="6"/>
  <c r="L6" i="6"/>
  <c r="K6" i="6"/>
  <c r="J6" i="6"/>
  <c r="I6" i="6"/>
  <c r="H6" i="6"/>
  <c r="G6" i="6"/>
  <c r="F6" i="6"/>
  <c r="E6" i="6"/>
  <c r="D6" i="6"/>
  <c r="C6" i="6"/>
  <c r="AD127" i="14" l="1"/>
  <c r="AD119" i="14"/>
  <c r="AD111" i="14"/>
  <c r="AD103" i="14"/>
  <c r="AD95" i="14"/>
  <c r="AD87" i="14"/>
  <c r="AD79" i="14"/>
  <c r="AD71" i="14"/>
  <c r="AD63" i="14"/>
  <c r="AD55" i="14"/>
  <c r="AD47" i="14"/>
  <c r="AD39" i="14"/>
  <c r="AD31" i="14"/>
  <c r="AD23" i="14"/>
  <c r="AD15" i="14"/>
  <c r="AD126" i="14"/>
  <c r="AD118" i="14"/>
  <c r="AD110" i="14"/>
  <c r="AD102" i="14"/>
  <c r="AD94" i="14"/>
  <c r="AD86" i="14"/>
  <c r="AD78" i="14"/>
  <c r="AD70" i="14"/>
  <c r="AD62" i="14"/>
  <c r="AD54" i="14"/>
  <c r="AD46" i="14"/>
  <c r="AD38" i="14"/>
  <c r="AD30" i="14"/>
  <c r="AD22" i="14"/>
  <c r="AD14" i="14"/>
  <c r="AD125" i="14"/>
  <c r="AD117" i="14"/>
  <c r="AD109" i="14"/>
  <c r="AD101" i="14"/>
  <c r="AD93" i="14"/>
  <c r="AD85" i="14"/>
  <c r="AD77" i="14"/>
  <c r="AD69" i="14"/>
  <c r="AD61" i="14"/>
  <c r="AD53" i="14"/>
  <c r="AD45" i="14"/>
  <c r="AD37" i="14"/>
  <c r="AD29" i="14"/>
  <c r="AD21" i="14"/>
  <c r="AD124" i="14"/>
  <c r="AD116" i="14"/>
  <c r="AD108" i="14"/>
  <c r="AD100" i="14"/>
  <c r="AD92" i="14"/>
  <c r="AD84" i="14"/>
  <c r="AD76" i="14"/>
  <c r="AD68" i="14"/>
  <c r="AD60" i="14"/>
  <c r="AD52" i="14"/>
  <c r="AD44" i="14"/>
  <c r="AD36" i="14"/>
  <c r="AD28" i="14"/>
  <c r="AD20" i="14"/>
  <c r="AD123" i="14"/>
  <c r="AD115" i="14"/>
  <c r="AD107" i="14"/>
  <c r="AD99" i="14"/>
  <c r="AD91" i="14"/>
  <c r="AD83" i="14"/>
  <c r="AD75" i="14"/>
  <c r="AD67" i="14"/>
  <c r="AD59" i="14"/>
  <c r="AD51" i="14"/>
  <c r="AD43" i="14"/>
  <c r="AD35" i="14"/>
  <c r="AD27" i="14"/>
  <c r="AD19" i="14"/>
  <c r="AD122" i="14"/>
  <c r="AD114" i="14"/>
  <c r="AD106" i="14"/>
  <c r="AD98" i="14"/>
  <c r="AD90" i="14"/>
  <c r="AD82" i="14"/>
  <c r="AD74" i="14"/>
  <c r="AD66" i="14"/>
  <c r="AD58" i="14"/>
  <c r="AD50" i="14"/>
  <c r="AD42" i="14"/>
  <c r="AD34" i="14"/>
  <c r="AD26" i="14"/>
  <c r="AD18" i="14"/>
  <c r="AD121" i="14"/>
  <c r="AD113" i="14"/>
  <c r="AD105" i="14"/>
  <c r="AD97" i="14"/>
  <c r="AD89" i="14"/>
  <c r="AD81" i="14"/>
  <c r="AD73" i="14"/>
  <c r="AD65" i="14"/>
  <c r="AD57" i="14"/>
  <c r="AD49" i="14"/>
  <c r="AD41" i="14"/>
  <c r="AD33" i="14"/>
  <c r="AD25" i="14"/>
  <c r="AD17" i="14"/>
  <c r="AD120" i="14"/>
  <c r="AD112" i="14"/>
  <c r="AD104" i="14"/>
  <c r="AD96" i="14"/>
  <c r="AD88" i="14"/>
  <c r="AD80" i="14"/>
  <c r="AD72" i="14"/>
  <c r="AD64" i="14"/>
  <c r="AD56" i="14"/>
  <c r="AD48" i="14"/>
  <c r="AD40" i="14"/>
  <c r="AD32" i="14"/>
  <c r="AD24" i="14"/>
  <c r="AD16" i="14"/>
  <c r="AD13" i="14"/>
  <c r="AD12" i="14"/>
  <c r="AD10" i="14"/>
  <c r="AD11" i="14"/>
  <c r="AD9" i="14"/>
  <c r="AA122" i="11"/>
  <c r="AA107" i="11"/>
  <c r="AA116" i="11"/>
  <c r="AA73" i="11"/>
  <c r="AA59" i="11"/>
  <c r="AA67" i="11"/>
  <c r="AA56" i="11"/>
  <c r="AA50" i="11"/>
  <c r="N126" i="11"/>
  <c r="D126" i="11"/>
  <c r="AA94" i="11"/>
  <c r="AA83" i="11"/>
  <c r="AA71" i="11"/>
  <c r="AA26" i="11"/>
  <c r="L126" i="11"/>
  <c r="M126" i="11"/>
  <c r="AA21" i="11"/>
  <c r="U126" i="11"/>
  <c r="AA99" i="11"/>
  <c r="AA105" i="11"/>
  <c r="AA88" i="11"/>
  <c r="X126" i="11"/>
  <c r="Q126" i="11"/>
  <c r="W126" i="11"/>
  <c r="AA37" i="11"/>
  <c r="AA64" i="11"/>
  <c r="F126" i="11"/>
  <c r="AA124" i="11"/>
  <c r="AA93" i="11"/>
  <c r="AA85" i="11"/>
  <c r="AA29" i="11"/>
  <c r="AA44" i="11"/>
  <c r="AA35" i="11"/>
  <c r="AA23" i="11"/>
  <c r="AA22" i="11"/>
  <c r="H126" i="11"/>
  <c r="Y126" i="11"/>
  <c r="E126" i="11"/>
  <c r="V126" i="11"/>
  <c r="AA108" i="11"/>
  <c r="P126" i="11"/>
  <c r="AA7" i="11"/>
  <c r="AA96" i="11"/>
  <c r="AA115" i="11"/>
  <c r="AA95" i="11"/>
  <c r="AA87" i="11"/>
  <c r="AA65" i="11"/>
  <c r="AA42" i="11"/>
  <c r="O126" i="11"/>
  <c r="N152" i="13"/>
  <c r="K152" i="13"/>
  <c r="R152" i="13"/>
  <c r="T152" i="13"/>
  <c r="L152" i="13"/>
  <c r="O152" i="13"/>
  <c r="S152" i="13"/>
  <c r="Q152" i="13"/>
  <c r="P152" i="13"/>
  <c r="M152" i="13"/>
  <c r="AA113" i="13"/>
  <c r="AA94" i="13"/>
  <c r="AA106" i="13"/>
  <c r="AA98" i="13"/>
  <c r="AA28" i="13"/>
  <c r="AA25" i="13"/>
  <c r="AA9" i="13"/>
  <c r="AA120" i="13"/>
  <c r="AA86" i="13"/>
  <c r="AA36" i="13"/>
  <c r="AA17" i="13"/>
  <c r="AA58" i="13"/>
  <c r="AA78" i="13"/>
  <c r="AA122" i="13"/>
  <c r="AA68" i="13"/>
  <c r="AA19" i="13"/>
  <c r="AA66" i="13"/>
  <c r="AA42" i="13"/>
  <c r="AA11" i="13"/>
  <c r="AA114" i="13"/>
  <c r="AA121" i="13"/>
  <c r="AA60" i="13"/>
  <c r="AA65" i="13"/>
  <c r="AA55" i="13"/>
  <c r="AA95" i="13"/>
  <c r="AA34" i="13"/>
  <c r="AA50" i="13"/>
  <c r="AA115" i="13"/>
  <c r="AA111" i="13"/>
  <c r="AA102" i="13"/>
  <c r="AA97" i="13"/>
  <c r="AA84" i="13"/>
  <c r="AA52" i="13"/>
  <c r="AA67" i="13"/>
  <c r="AA35" i="13"/>
  <c r="AA85" i="13"/>
  <c r="AA74" i="13"/>
  <c r="AA46" i="13"/>
  <c r="AA80" i="13"/>
  <c r="AA104" i="13"/>
  <c r="AA107" i="13"/>
  <c r="AA99" i="13"/>
  <c r="AA44" i="13"/>
  <c r="AA56" i="13"/>
  <c r="AA12" i="13"/>
  <c r="AA76" i="13"/>
  <c r="AA29" i="13"/>
  <c r="AA69" i="13"/>
  <c r="AA10" i="13"/>
  <c r="AA83" i="13"/>
  <c r="AA71" i="13"/>
  <c r="AA26" i="13"/>
  <c r="AA27" i="13"/>
  <c r="AA43" i="13"/>
  <c r="AA70" i="13"/>
  <c r="AA48" i="13"/>
  <c r="AA41" i="13"/>
  <c r="AA100" i="13"/>
  <c r="AA108" i="13"/>
  <c r="AA126" i="13"/>
  <c r="AA117" i="13"/>
  <c r="AA8" i="13"/>
  <c r="AA110" i="13"/>
  <c r="AA49" i="13"/>
  <c r="AA105" i="13"/>
  <c r="AA119" i="13"/>
  <c r="AA87" i="13"/>
  <c r="AA93" i="13"/>
  <c r="AA75" i="13"/>
  <c r="AA73" i="13"/>
  <c r="AA82" i="13"/>
  <c r="AA30" i="13"/>
  <c r="AA72" i="13"/>
  <c r="AA125" i="13"/>
  <c r="AA88" i="13"/>
  <c r="AA112" i="13"/>
  <c r="AA109" i="13"/>
  <c r="AA77" i="13"/>
  <c r="AA59" i="13"/>
  <c r="AA33" i="13"/>
  <c r="AA22" i="13"/>
  <c r="AA57" i="13"/>
  <c r="AA123" i="13"/>
  <c r="AA16" i="13"/>
  <c r="AA127" i="13"/>
  <c r="AA103" i="13"/>
  <c r="AA37" i="13"/>
  <c r="AA32" i="13"/>
  <c r="AA18" i="13"/>
  <c r="AA118" i="13"/>
  <c r="AA64" i="13"/>
  <c r="AA92" i="13"/>
  <c r="AA21" i="13"/>
  <c r="AA79" i="13"/>
  <c r="AA90" i="13"/>
  <c r="AA63" i="13"/>
  <c r="AA39" i="13"/>
  <c r="AA91" i="13"/>
  <c r="AA47" i="13"/>
  <c r="AA45" i="13"/>
  <c r="AA23" i="13"/>
  <c r="AA13" i="13"/>
  <c r="AA40" i="13"/>
  <c r="AA54" i="13"/>
  <c r="AA116" i="13"/>
  <c r="AA89" i="13"/>
  <c r="AA31" i="13"/>
  <c r="AA51" i="13"/>
  <c r="AA53" i="13"/>
  <c r="AA124" i="13"/>
  <c r="AA101" i="13"/>
  <c r="AA81" i="13"/>
  <c r="AA96" i="13"/>
  <c r="AA61" i="13"/>
  <c r="AA14" i="13"/>
  <c r="AA24" i="13"/>
  <c r="AA15" i="13"/>
  <c r="AA62" i="13"/>
  <c r="AA38" i="13"/>
  <c r="AA20" i="13"/>
  <c r="AA28" i="11"/>
  <c r="AA52" i="11"/>
  <c r="Z126" i="11"/>
  <c r="AA39" i="11"/>
  <c r="AA47" i="11"/>
  <c r="AA33" i="11"/>
  <c r="AA125" i="11"/>
  <c r="AA80" i="11"/>
  <c r="AA68" i="11"/>
  <c r="AA27" i="11"/>
  <c r="AA43" i="11"/>
  <c r="AA30" i="11"/>
  <c r="AA104" i="11"/>
  <c r="AA9" i="11"/>
  <c r="AA60" i="11"/>
  <c r="AA17" i="11"/>
  <c r="AA19" i="11"/>
  <c r="AA58" i="11"/>
  <c r="AA117" i="11"/>
  <c r="AA101" i="11"/>
  <c r="AA11" i="11"/>
  <c r="AA53" i="11"/>
  <c r="AA110" i="11"/>
  <c r="AA18" i="11"/>
  <c r="AA49" i="11"/>
  <c r="S126" i="11"/>
  <c r="AA25" i="11"/>
  <c r="AA78" i="11"/>
  <c r="AA10" i="11"/>
  <c r="AA120" i="11"/>
  <c r="AA109" i="11"/>
  <c r="AA74" i="11"/>
  <c r="T126" i="11"/>
  <c r="I126" i="11"/>
  <c r="AA63" i="11"/>
  <c r="AA20" i="11"/>
  <c r="AA79" i="11"/>
  <c r="AA15" i="11"/>
  <c r="AA61" i="11"/>
  <c r="AA111" i="11"/>
  <c r="AA123" i="11"/>
  <c r="AA103" i="11"/>
  <c r="AA89" i="11"/>
  <c r="AA112" i="11"/>
  <c r="K126" i="11"/>
  <c r="AA6" i="11"/>
  <c r="AA31" i="11"/>
  <c r="J126" i="11"/>
  <c r="G126" i="11"/>
  <c r="AA38" i="11"/>
  <c r="AA66" i="11"/>
  <c r="AA14" i="11"/>
  <c r="AA57" i="11"/>
  <c r="AA119" i="11"/>
  <c r="AA55" i="11"/>
  <c r="AA36" i="11"/>
  <c r="C126" i="11"/>
  <c r="AA75" i="11"/>
  <c r="AA46" i="11"/>
  <c r="AA77" i="11"/>
  <c r="AA118" i="11"/>
  <c r="AA81" i="11"/>
  <c r="AA76" i="11"/>
  <c r="AA97" i="11"/>
  <c r="AA121" i="11"/>
  <c r="AA102" i="11"/>
  <c r="AA92" i="11"/>
  <c r="AA51" i="11"/>
  <c r="AA12" i="11"/>
  <c r="R126" i="11"/>
  <c r="AA13" i="11"/>
  <c r="AA91" i="11"/>
  <c r="AB126" i="10"/>
  <c r="C12" i="7" l="1"/>
  <c r="C10" i="7"/>
  <c r="E10" i="7" s="1"/>
  <c r="C6" i="12" s="1"/>
  <c r="C14" i="7"/>
  <c r="E14" i="7" s="1"/>
  <c r="C18" i="7"/>
  <c r="E18" i="7" s="1"/>
  <c r="C17" i="7"/>
  <c r="E17" i="7" s="1"/>
  <c r="C19" i="7"/>
  <c r="E19" i="7" s="1"/>
  <c r="C11" i="7"/>
  <c r="C16" i="7"/>
  <c r="E16" i="7" s="1"/>
  <c r="C13" i="7"/>
  <c r="E13" i="7" s="1"/>
  <c r="C15" i="7"/>
  <c r="E15" i="7" s="1"/>
  <c r="AA152" i="13"/>
  <c r="C21" i="9"/>
  <c r="E21" i="9" s="1"/>
  <c r="C20" i="9"/>
  <c r="E20" i="9" s="1"/>
  <c r="C13" i="9"/>
  <c r="E13" i="9" s="1"/>
  <c r="C14" i="9"/>
  <c r="E14" i="9" s="1"/>
  <c r="C15" i="9"/>
  <c r="E15" i="9" s="1"/>
  <c r="C16" i="9"/>
  <c r="E16" i="9" s="1"/>
  <c r="C17" i="9"/>
  <c r="E17" i="9" s="1"/>
  <c r="C10" i="9"/>
  <c r="C18" i="9"/>
  <c r="E18" i="9" s="1"/>
  <c r="C11" i="9"/>
  <c r="E11" i="9" s="1"/>
  <c r="C19" i="9"/>
  <c r="E19" i="9" s="1"/>
  <c r="C12" i="9"/>
  <c r="E12" i="9" s="1"/>
  <c r="AA126" i="11"/>
  <c r="C20" i="7" l="1"/>
  <c r="F88" i="12"/>
  <c r="N85" i="12"/>
  <c r="V82" i="12"/>
  <c r="F80" i="12"/>
  <c r="M89" i="12"/>
  <c r="U86" i="12"/>
  <c r="E84" i="12"/>
  <c r="M81" i="12"/>
  <c r="U78" i="12"/>
  <c r="R87" i="12"/>
  <c r="D84" i="12"/>
  <c r="P80" i="12"/>
  <c r="Y88" i="12"/>
  <c r="K85" i="12"/>
  <c r="V88" i="12"/>
  <c r="V85" i="12"/>
  <c r="N82" i="12"/>
  <c r="N79" i="12"/>
  <c r="M88" i="12"/>
  <c r="M85" i="12"/>
  <c r="M82" i="12"/>
  <c r="M79" i="12"/>
  <c r="D88" i="12"/>
  <c r="R83" i="12"/>
  <c r="R79" i="12"/>
  <c r="Q87" i="12"/>
  <c r="Q83" i="12"/>
  <c r="C80" i="12"/>
  <c r="T88" i="12"/>
  <c r="Z83" i="12"/>
  <c r="J79" i="12"/>
  <c r="K86" i="12"/>
  <c r="Q81" i="12"/>
  <c r="P78" i="12"/>
  <c r="I81" i="12"/>
  <c r="X86" i="12"/>
  <c r="I80" i="12"/>
  <c r="W87" i="12"/>
  <c r="K78" i="12"/>
  <c r="H78" i="12"/>
  <c r="Z87" i="12"/>
  <c r="J80" i="12"/>
  <c r="C82" i="12"/>
  <c r="P85" i="12"/>
  <c r="L78" i="12"/>
  <c r="G80" i="12"/>
  <c r="P89" i="12"/>
  <c r="L82" i="12"/>
  <c r="V89" i="12"/>
  <c r="M86" i="12"/>
  <c r="L81" i="12"/>
  <c r="T85" i="12"/>
  <c r="K83" i="12"/>
  <c r="Q88" i="12"/>
  <c r="J83" i="12"/>
  <c r="W84" i="12"/>
  <c r="W83" i="12"/>
  <c r="Z79" i="12"/>
  <c r="N88" i="12"/>
  <c r="F85" i="12"/>
  <c r="F82" i="12"/>
  <c r="F79" i="12"/>
  <c r="E88" i="12"/>
  <c r="E85" i="12"/>
  <c r="E82" i="12"/>
  <c r="E79" i="12"/>
  <c r="H87" i="12"/>
  <c r="H83" i="12"/>
  <c r="H79" i="12"/>
  <c r="G87" i="12"/>
  <c r="G83" i="12"/>
  <c r="Q79" i="12"/>
  <c r="H88" i="12"/>
  <c r="L83" i="12"/>
  <c r="R78" i="12"/>
  <c r="S85" i="12"/>
  <c r="C81" i="12"/>
  <c r="K87" i="12"/>
  <c r="W88" i="12"/>
  <c r="L84" i="12"/>
  <c r="L88" i="12"/>
  <c r="Q86" i="12"/>
  <c r="Q89" i="12"/>
  <c r="I88" i="12"/>
  <c r="L87" i="12"/>
  <c r="T79" i="12"/>
  <c r="W80" i="12"/>
  <c r="J84" i="12"/>
  <c r="R89" i="12"/>
  <c r="Y78" i="12"/>
  <c r="S87" i="12"/>
  <c r="R80" i="12"/>
  <c r="I87" i="12"/>
  <c r="O86" i="12"/>
  <c r="V80" i="12"/>
  <c r="L89" i="12"/>
  <c r="K81" i="12"/>
  <c r="G88" i="12"/>
  <c r="J81" i="12"/>
  <c r="W86" i="12"/>
  <c r="X88" i="12"/>
  <c r="H89" i="12"/>
  <c r="V87" i="12"/>
  <c r="V84" i="12"/>
  <c r="V81" i="12"/>
  <c r="V78" i="12"/>
  <c r="U87" i="12"/>
  <c r="U84" i="12"/>
  <c r="U81" i="12"/>
  <c r="M78" i="12"/>
  <c r="T86" i="12"/>
  <c r="T82" i="12"/>
  <c r="T78" i="12"/>
  <c r="S86" i="12"/>
  <c r="S82" i="12"/>
  <c r="G79" i="12"/>
  <c r="P87" i="12"/>
  <c r="X82" i="12"/>
  <c r="D78" i="12"/>
  <c r="G85" i="12"/>
  <c r="K80" i="12"/>
  <c r="Q85" i="12"/>
  <c r="C87" i="12"/>
  <c r="R82" i="12"/>
  <c r="R86" i="12"/>
  <c r="O85" i="12"/>
  <c r="T87" i="12"/>
  <c r="Y85" i="12"/>
  <c r="H86" i="12"/>
  <c r="Y89" i="12"/>
  <c r="C79" i="12"/>
  <c r="T83" i="12"/>
  <c r="K88" i="12"/>
  <c r="J88" i="12"/>
  <c r="S84" i="12"/>
  <c r="X78" i="12"/>
  <c r="S89" i="12"/>
  <c r="K82" i="12"/>
  <c r="G84" i="12"/>
  <c r="U89" i="12"/>
  <c r="L85" i="12"/>
  <c r="T89" i="12"/>
  <c r="Q78" i="12"/>
  <c r="O82" i="12"/>
  <c r="X87" i="12"/>
  <c r="G81" i="12"/>
  <c r="L79" i="12"/>
  <c r="N87" i="12"/>
  <c r="N84" i="12"/>
  <c r="N81" i="12"/>
  <c r="N78" i="12"/>
  <c r="M87" i="12"/>
  <c r="M84" i="12"/>
  <c r="E81" i="12"/>
  <c r="E78" i="12"/>
  <c r="J86" i="12"/>
  <c r="J82" i="12"/>
  <c r="J78" i="12"/>
  <c r="I86" i="12"/>
  <c r="I82" i="12"/>
  <c r="S78" i="12"/>
  <c r="Z86" i="12"/>
  <c r="H82" i="12"/>
  <c r="I89" i="12"/>
  <c r="Q84" i="12"/>
  <c r="W79" i="12"/>
  <c r="K84" i="12"/>
  <c r="I85" i="12"/>
  <c r="X80" i="12"/>
  <c r="X84" i="12"/>
  <c r="I84" i="12"/>
  <c r="Z85" i="12"/>
  <c r="O83" i="12"/>
  <c r="R85" i="12"/>
  <c r="G89" i="12"/>
  <c r="P82" i="12"/>
  <c r="D87" i="12"/>
  <c r="V83" i="12"/>
  <c r="M80" i="12"/>
  <c r="K89" i="12"/>
  <c r="D81" i="12"/>
  <c r="Q80" i="12"/>
  <c r="K79" i="12"/>
  <c r="T80" i="12"/>
  <c r="P81" i="12"/>
  <c r="F87" i="12"/>
  <c r="F84" i="12"/>
  <c r="F81" i="12"/>
  <c r="F78" i="12"/>
  <c r="E87" i="12"/>
  <c r="U83" i="12"/>
  <c r="U80" i="12"/>
  <c r="X89" i="12"/>
  <c r="X85" i="12"/>
  <c r="X81" i="12"/>
  <c r="W89" i="12"/>
  <c r="W85" i="12"/>
  <c r="W81" i="12"/>
  <c r="I78" i="12"/>
  <c r="L86" i="12"/>
  <c r="R81" i="12"/>
  <c r="S88" i="12"/>
  <c r="Y83" i="12"/>
  <c r="I79" i="12"/>
  <c r="Q82" i="12"/>
  <c r="Y82" i="12"/>
  <c r="D79" i="12"/>
  <c r="D83" i="12"/>
  <c r="C83" i="12"/>
  <c r="T84" i="12"/>
  <c r="S81" i="12"/>
  <c r="X83" i="12"/>
  <c r="Y87" i="12"/>
  <c r="D89" i="12"/>
  <c r="Z81" i="12"/>
  <c r="C86" i="12"/>
  <c r="J85" i="12"/>
  <c r="Y79" i="12"/>
  <c r="V86" i="12"/>
  <c r="M83" i="12"/>
  <c r="Y84" i="12"/>
  <c r="O81" i="12"/>
  <c r="Z82" i="12"/>
  <c r="P83" i="12"/>
  <c r="Z78" i="12"/>
  <c r="N89" i="12"/>
  <c r="N86" i="12"/>
  <c r="N83" i="12"/>
  <c r="N80" i="12"/>
  <c r="E89" i="12"/>
  <c r="E86" i="12"/>
  <c r="E83" i="12"/>
  <c r="E80" i="12"/>
  <c r="Z88" i="12"/>
  <c r="Z84" i="12"/>
  <c r="Z80" i="12"/>
  <c r="O88" i="12"/>
  <c r="O84" i="12"/>
  <c r="Y80" i="12"/>
  <c r="J89" i="12"/>
  <c r="H85" i="12"/>
  <c r="L80" i="12"/>
  <c r="O87" i="12"/>
  <c r="W82" i="12"/>
  <c r="C78" i="12"/>
  <c r="S79" i="12"/>
  <c r="G78" i="12"/>
  <c r="G86" i="12"/>
  <c r="P79" i="12"/>
  <c r="S80" i="12"/>
  <c r="H81" i="12"/>
  <c r="Z89" i="12"/>
  <c r="D82" i="12"/>
  <c r="C85" i="12"/>
  <c r="J87" i="12"/>
  <c r="H80" i="12"/>
  <c r="S83" i="12"/>
  <c r="T81" i="12"/>
  <c r="P86" i="12"/>
  <c r="W78" i="12"/>
  <c r="F89" i="12"/>
  <c r="F86" i="12"/>
  <c r="F83" i="12"/>
  <c r="V79" i="12"/>
  <c r="U88" i="12"/>
  <c r="U85" i="12"/>
  <c r="U82" i="12"/>
  <c r="U79" i="12"/>
  <c r="P88" i="12"/>
  <c r="P84" i="12"/>
  <c r="D80" i="12"/>
  <c r="C88" i="12"/>
  <c r="C84" i="12"/>
  <c r="O80" i="12"/>
  <c r="O89" i="12"/>
  <c r="R84" i="12"/>
  <c r="X79" i="12"/>
  <c r="Y86" i="12"/>
  <c r="G82" i="12"/>
  <c r="D85" i="12"/>
  <c r="O78" i="12"/>
  <c r="R88" i="12"/>
  <c r="I83" i="12"/>
  <c r="C89" i="12"/>
  <c r="O79" i="12"/>
  <c r="D86" i="12"/>
  <c r="Y81" i="12"/>
  <c r="H84" i="12"/>
  <c r="Y100" i="12"/>
  <c r="I98" i="12"/>
  <c r="X99" i="12"/>
  <c r="L101" i="12"/>
  <c r="V97" i="12"/>
  <c r="F95" i="12"/>
  <c r="N92" i="12"/>
  <c r="U101" i="12"/>
  <c r="G98" i="12"/>
  <c r="M95" i="12"/>
  <c r="U92" i="12"/>
  <c r="E90" i="12"/>
  <c r="L97" i="12"/>
  <c r="X93" i="12"/>
  <c r="J90" i="12"/>
  <c r="K97" i="12"/>
  <c r="W93" i="12"/>
  <c r="I90" i="12"/>
  <c r="P95" i="12"/>
  <c r="J101" i="12"/>
  <c r="Z91" i="12"/>
  <c r="Q96" i="12"/>
  <c r="X90" i="12"/>
  <c r="W90" i="12"/>
  <c r="C98" i="12"/>
  <c r="X94" i="12"/>
  <c r="O90" i="12"/>
  <c r="Y93" i="12"/>
  <c r="R100" i="12"/>
  <c r="G94" i="12"/>
  <c r="I96" i="12"/>
  <c r="Q97" i="12"/>
  <c r="K100" i="12"/>
  <c r="Q92" i="12"/>
  <c r="D101" i="12"/>
  <c r="W101" i="12"/>
  <c r="Q100" i="12"/>
  <c r="Y97" i="12"/>
  <c r="P99" i="12"/>
  <c r="Z100" i="12"/>
  <c r="N97" i="12"/>
  <c r="V94" i="12"/>
  <c r="F92" i="12"/>
  <c r="K101" i="12"/>
  <c r="U97" i="12"/>
  <c r="E95" i="12"/>
  <c r="M92" i="12"/>
  <c r="N101" i="12"/>
  <c r="Z96" i="12"/>
  <c r="L93" i="12"/>
  <c r="M101" i="12"/>
  <c r="Y96" i="12"/>
  <c r="K93" i="12"/>
  <c r="Z101" i="12"/>
  <c r="R94" i="12"/>
  <c r="F100" i="12"/>
  <c r="R90" i="12"/>
  <c r="W95" i="12"/>
  <c r="D90" i="12"/>
  <c r="C90" i="12"/>
  <c r="K96" i="12"/>
  <c r="S92" i="12"/>
  <c r="Q94" i="12"/>
  <c r="T91" i="12"/>
  <c r="U99" i="12"/>
  <c r="P93" i="12"/>
  <c r="O95" i="12"/>
  <c r="W96" i="12"/>
  <c r="K99" i="12"/>
  <c r="C91" i="12"/>
  <c r="E98" i="12"/>
  <c r="G99" i="12"/>
  <c r="I100" i="12"/>
  <c r="X101" i="12"/>
  <c r="H99" i="12"/>
  <c r="Y99" i="12"/>
  <c r="P101" i="12"/>
  <c r="X98" i="12"/>
  <c r="D100" i="12"/>
  <c r="V96" i="12"/>
  <c r="F94" i="12"/>
  <c r="N91" i="12"/>
  <c r="M100" i="12"/>
  <c r="E97" i="12"/>
  <c r="M94" i="12"/>
  <c r="U91" i="12"/>
  <c r="J100" i="12"/>
  <c r="D96" i="12"/>
  <c r="P92" i="12"/>
  <c r="G100" i="12"/>
  <c r="C96" i="12"/>
  <c r="O92" i="12"/>
  <c r="N99" i="12"/>
  <c r="J93" i="12"/>
  <c r="J97" i="12"/>
  <c r="C101" i="12"/>
  <c r="L94" i="12"/>
  <c r="T95" i="12"/>
  <c r="S91" i="12"/>
  <c r="H92" i="12"/>
  <c r="G101" i="12"/>
  <c r="W91" i="12"/>
  <c r="I97" i="12"/>
  <c r="S97" i="12"/>
  <c r="G92" i="12"/>
  <c r="O93" i="12"/>
  <c r="W94" i="12"/>
  <c r="P97" i="12"/>
  <c r="F98" i="12"/>
  <c r="J92" i="12"/>
  <c r="S93" i="12"/>
  <c r="Q99" i="12"/>
  <c r="H101" i="12"/>
  <c r="P98" i="12"/>
  <c r="R99" i="12"/>
  <c r="N96" i="12"/>
  <c r="V93" i="12"/>
  <c r="F91" i="12"/>
  <c r="C100" i="12"/>
  <c r="U96" i="12"/>
  <c r="E94" i="12"/>
  <c r="M91" i="12"/>
  <c r="T99" i="12"/>
  <c r="R95" i="12"/>
  <c r="D92" i="12"/>
  <c r="S99" i="12"/>
  <c r="Q95" i="12"/>
  <c r="C92" i="12"/>
  <c r="Z98" i="12"/>
  <c r="L92" i="12"/>
  <c r="Z95" i="12"/>
  <c r="W99" i="12"/>
  <c r="R93" i="12"/>
  <c r="Z94" i="12"/>
  <c r="S101" i="12"/>
  <c r="Q90" i="12"/>
  <c r="O98" i="12"/>
  <c r="L90" i="12"/>
  <c r="O94" i="12"/>
  <c r="D97" i="12"/>
  <c r="K91" i="12"/>
  <c r="Y91" i="12"/>
  <c r="I93" i="12"/>
  <c r="T96" i="12"/>
  <c r="S96" i="12"/>
  <c r="J99" i="12"/>
  <c r="G90" i="12"/>
  <c r="Q101" i="12"/>
  <c r="Y98" i="12"/>
  <c r="P100" i="12"/>
  <c r="X97" i="12"/>
  <c r="T98" i="12"/>
  <c r="V95" i="12"/>
  <c r="F93" i="12"/>
  <c r="N90" i="12"/>
  <c r="E99" i="12"/>
  <c r="E96" i="12"/>
  <c r="M93" i="12"/>
  <c r="U90" i="12"/>
  <c r="N98" i="12"/>
  <c r="T94" i="12"/>
  <c r="H91" i="12"/>
  <c r="M98" i="12"/>
  <c r="S94" i="12"/>
  <c r="G91" i="12"/>
  <c r="X96" i="12"/>
  <c r="D91" i="12"/>
  <c r="H94" i="12"/>
  <c r="D98" i="12"/>
  <c r="I92" i="12"/>
  <c r="W92" i="12"/>
  <c r="V99" i="12"/>
  <c r="R98" i="12"/>
  <c r="C94" i="12"/>
  <c r="O97" i="12"/>
  <c r="Y90" i="12"/>
  <c r="S95" i="12"/>
  <c r="M99" i="12"/>
  <c r="L100" i="12"/>
  <c r="I91" i="12"/>
  <c r="K95" i="12"/>
  <c r="K92" i="12"/>
  <c r="G93" i="12"/>
  <c r="X100" i="12"/>
  <c r="F96" i="12"/>
  <c r="W100" i="12"/>
  <c r="E93" i="12"/>
  <c r="H95" i="12"/>
  <c r="O96" i="12"/>
  <c r="L96" i="12"/>
  <c r="W98" i="12"/>
  <c r="X95" i="12"/>
  <c r="X91" i="12"/>
  <c r="J96" i="12"/>
  <c r="L95" i="12"/>
  <c r="K90" i="12"/>
  <c r="H100" i="12"/>
  <c r="N95" i="12"/>
  <c r="O99" i="12"/>
  <c r="E92" i="12"/>
  <c r="J94" i="12"/>
  <c r="G95" i="12"/>
  <c r="T93" i="12"/>
  <c r="H97" i="12"/>
  <c r="S100" i="12"/>
  <c r="H93" i="12"/>
  <c r="Y94" i="12"/>
  <c r="R92" i="12"/>
  <c r="I95" i="12"/>
  <c r="H98" i="12"/>
  <c r="N94" i="12"/>
  <c r="S98" i="12"/>
  <c r="E91" i="12"/>
  <c r="Z92" i="12"/>
  <c r="I94" i="12"/>
  <c r="P91" i="12"/>
  <c r="C95" i="12"/>
  <c r="V98" i="12"/>
  <c r="E100" i="12"/>
  <c r="T92" i="12"/>
  <c r="F101" i="12"/>
  <c r="Y95" i="12"/>
  <c r="V101" i="12"/>
  <c r="N93" i="12"/>
  <c r="M97" i="12"/>
  <c r="M90" i="12"/>
  <c r="R91" i="12"/>
  <c r="Y92" i="12"/>
  <c r="H90" i="12"/>
  <c r="C93" i="12"/>
  <c r="K94" i="12"/>
  <c r="J95" i="12"/>
  <c r="O100" i="12"/>
  <c r="K98" i="12"/>
  <c r="Z90" i="12"/>
  <c r="Y101" i="12"/>
  <c r="N100" i="12"/>
  <c r="V92" i="12"/>
  <c r="M96" i="12"/>
  <c r="V100" i="12"/>
  <c r="T90" i="12"/>
  <c r="Q91" i="12"/>
  <c r="L98" i="12"/>
  <c r="O91" i="12"/>
  <c r="O101" i="12"/>
  <c r="Z99" i="12"/>
  <c r="R97" i="12"/>
  <c r="G96" i="12"/>
  <c r="R96" i="12"/>
  <c r="I99" i="12"/>
  <c r="J98" i="12"/>
  <c r="V90" i="12"/>
  <c r="U94" i="12"/>
  <c r="Z97" i="12"/>
  <c r="C99" i="12"/>
  <c r="T100" i="12"/>
  <c r="X92" i="12"/>
  <c r="Q93" i="12"/>
  <c r="P90" i="12"/>
  <c r="R101" i="12"/>
  <c r="J91" i="12"/>
  <c r="E101" i="12"/>
  <c r="F90" i="12"/>
  <c r="T97" i="12"/>
  <c r="U98" i="12"/>
  <c r="U95" i="12"/>
  <c r="D95" i="12"/>
  <c r="D94" i="12"/>
  <c r="U93" i="12"/>
  <c r="T101" i="12"/>
  <c r="L99" i="12"/>
  <c r="I101" i="12"/>
  <c r="D99" i="12"/>
  <c r="G97" i="12"/>
  <c r="Z93" i="12"/>
  <c r="Q98" i="12"/>
  <c r="P96" i="12"/>
  <c r="L91" i="12"/>
  <c r="P94" i="12"/>
  <c r="F97" i="12"/>
  <c r="W97" i="12"/>
  <c r="H96" i="12"/>
  <c r="D93" i="12"/>
  <c r="U100" i="12"/>
  <c r="F99" i="12"/>
  <c r="V91" i="12"/>
  <c r="S90" i="12"/>
  <c r="C97" i="12"/>
  <c r="E12" i="7"/>
  <c r="H40" i="12" s="1"/>
  <c r="R125" i="12"/>
  <c r="Z122" i="12"/>
  <c r="J120" i="12"/>
  <c r="R117" i="12"/>
  <c r="Z114" i="12"/>
  <c r="I124" i="12"/>
  <c r="Q121" i="12"/>
  <c r="Y118" i="12"/>
  <c r="I116" i="12"/>
  <c r="P125" i="12"/>
  <c r="X122" i="12"/>
  <c r="J123" i="12"/>
  <c r="Z119" i="12"/>
  <c r="Z116" i="12"/>
  <c r="Y125" i="12"/>
  <c r="Z125" i="12"/>
  <c r="R122" i="12"/>
  <c r="R119" i="12"/>
  <c r="R116" i="12"/>
  <c r="Q125" i="12"/>
  <c r="Q122" i="12"/>
  <c r="Q119" i="12"/>
  <c r="Q116" i="12"/>
  <c r="H125" i="12"/>
  <c r="H122" i="12"/>
  <c r="P119" i="12"/>
  <c r="X116" i="12"/>
  <c r="H114" i="12"/>
  <c r="F122" i="12"/>
  <c r="W117" i="12"/>
  <c r="T123" i="12"/>
  <c r="M119" i="12"/>
  <c r="J125" i="12"/>
  <c r="J122" i="12"/>
  <c r="J119" i="12"/>
  <c r="J116" i="12"/>
  <c r="I125" i="12"/>
  <c r="I122" i="12"/>
  <c r="I119" i="12"/>
  <c r="Y115" i="12"/>
  <c r="X124" i="12"/>
  <c r="X121" i="12"/>
  <c r="H119" i="12"/>
  <c r="P116" i="12"/>
  <c r="W125" i="12"/>
  <c r="S121" i="12"/>
  <c r="L117" i="12"/>
  <c r="F123" i="12"/>
  <c r="W118" i="12"/>
  <c r="S114" i="12"/>
  <c r="U118" i="12"/>
  <c r="F124" i="12"/>
  <c r="W119" i="12"/>
  <c r="S115" i="12"/>
  <c r="M121" i="12"/>
  <c r="S125" i="12"/>
  <c r="E117" i="12"/>
  <c r="K121" i="12"/>
  <c r="N125" i="12"/>
  <c r="C117" i="12"/>
  <c r="S118" i="12"/>
  <c r="E120" i="12"/>
  <c r="T120" i="12"/>
  <c r="T121" i="12"/>
  <c r="L116" i="12"/>
  <c r="T114" i="12"/>
  <c r="N115" i="12"/>
  <c r="Z124" i="12"/>
  <c r="Z121" i="12"/>
  <c r="Z118" i="12"/>
  <c r="Z115" i="12"/>
  <c r="Y124" i="12"/>
  <c r="Y121" i="12"/>
  <c r="Q118" i="12"/>
  <c r="Q115" i="12"/>
  <c r="P124" i="12"/>
  <c r="P121" i="12"/>
  <c r="X118" i="12"/>
  <c r="H116" i="12"/>
  <c r="L125" i="12"/>
  <c r="E121" i="12"/>
  <c r="V116" i="12"/>
  <c r="S122" i="12"/>
  <c r="L118" i="12"/>
  <c r="E114" i="12"/>
  <c r="R124" i="12"/>
  <c r="R118" i="12"/>
  <c r="Q124" i="12"/>
  <c r="I120" i="12"/>
  <c r="Y114" i="12"/>
  <c r="P122" i="12"/>
  <c r="X117" i="12"/>
  <c r="V124" i="12"/>
  <c r="C119" i="12"/>
  <c r="O121" i="12"/>
  <c r="T115" i="12"/>
  <c r="T117" i="12"/>
  <c r="E123" i="12"/>
  <c r="K118" i="12"/>
  <c r="T125" i="12"/>
  <c r="E116" i="12"/>
  <c r="G119" i="12"/>
  <c r="L122" i="12"/>
  <c r="M124" i="12"/>
  <c r="C115" i="12"/>
  <c r="D125" i="12"/>
  <c r="C123" i="12"/>
  <c r="N116" i="12"/>
  <c r="S119" i="12"/>
  <c r="V115" i="12"/>
  <c r="U120" i="12"/>
  <c r="J124" i="12"/>
  <c r="J118" i="12"/>
  <c r="Y123" i="12"/>
  <c r="Y119" i="12"/>
  <c r="Q114" i="12"/>
  <c r="H121" i="12"/>
  <c r="P117" i="12"/>
  <c r="K124" i="12"/>
  <c r="M118" i="12"/>
  <c r="D121" i="12"/>
  <c r="F115" i="12"/>
  <c r="S116" i="12"/>
  <c r="O122" i="12"/>
  <c r="U117" i="12"/>
  <c r="S124" i="12"/>
  <c r="D115" i="12"/>
  <c r="F118" i="12"/>
  <c r="G120" i="12"/>
  <c r="L123" i="12"/>
  <c r="G114" i="12"/>
  <c r="T118" i="12"/>
  <c r="M116" i="12"/>
  <c r="W114" i="12"/>
  <c r="S117" i="12"/>
  <c r="D124" i="12"/>
  <c r="G122" i="12"/>
  <c r="Z123" i="12"/>
  <c r="Z117" i="12"/>
  <c r="Q123" i="12"/>
  <c r="I118" i="12"/>
  <c r="I114" i="12"/>
  <c r="X120" i="12"/>
  <c r="H117" i="12"/>
  <c r="U123" i="12"/>
  <c r="K116" i="12"/>
  <c r="N120" i="12"/>
  <c r="F125" i="12"/>
  <c r="O115" i="12"/>
  <c r="D122" i="12"/>
  <c r="G117" i="12"/>
  <c r="O123" i="12"/>
  <c r="C114" i="12"/>
  <c r="D116" i="12"/>
  <c r="F119" i="12"/>
  <c r="K122" i="12"/>
  <c r="M125" i="12"/>
  <c r="E125" i="12"/>
  <c r="W122" i="12"/>
  <c r="C125" i="12"/>
  <c r="U114" i="12"/>
  <c r="D119" i="12"/>
  <c r="F114" i="12"/>
  <c r="R123" i="12"/>
  <c r="J117" i="12"/>
  <c r="I123" i="12"/>
  <c r="Y117" i="12"/>
  <c r="X125" i="12"/>
  <c r="P120" i="12"/>
  <c r="X115" i="12"/>
  <c r="G123" i="12"/>
  <c r="V125" i="12"/>
  <c r="C120" i="12"/>
  <c r="E124" i="12"/>
  <c r="N114" i="12"/>
  <c r="N121" i="12"/>
  <c r="T116" i="12"/>
  <c r="N122" i="12"/>
  <c r="O124" i="12"/>
  <c r="K115" i="12"/>
  <c r="E118" i="12"/>
  <c r="G121" i="12"/>
  <c r="W123" i="12"/>
  <c r="V123" i="12"/>
  <c r="U122" i="12"/>
  <c r="T119" i="12"/>
  <c r="L124" i="12"/>
  <c r="N117" i="12"/>
  <c r="R121" i="12"/>
  <c r="R115" i="12"/>
  <c r="Y122" i="12"/>
  <c r="Q117" i="12"/>
  <c r="H124" i="12"/>
  <c r="H120" i="12"/>
  <c r="P115" i="12"/>
  <c r="T122" i="12"/>
  <c r="K125" i="12"/>
  <c r="V117" i="12"/>
  <c r="D123" i="12"/>
  <c r="U125" i="12"/>
  <c r="C121" i="12"/>
  <c r="F116" i="12"/>
  <c r="L120" i="12"/>
  <c r="N123" i="12"/>
  <c r="L114" i="12"/>
  <c r="D117" i="12"/>
  <c r="F120" i="12"/>
  <c r="W121" i="12"/>
  <c r="V121" i="12"/>
  <c r="K123" i="12"/>
  <c r="C118" i="12"/>
  <c r="V122" i="12"/>
  <c r="U115" i="12"/>
  <c r="Z120" i="12"/>
  <c r="R114" i="12"/>
  <c r="Y120" i="12"/>
  <c r="Y116" i="12"/>
  <c r="P123" i="12"/>
  <c r="P118" i="12"/>
  <c r="X114" i="12"/>
  <c r="D120" i="12"/>
  <c r="G124" i="12"/>
  <c r="U116" i="12"/>
  <c r="W120" i="12"/>
  <c r="T124" i="12"/>
  <c r="L119" i="12"/>
  <c r="O114" i="12"/>
  <c r="G118" i="12"/>
  <c r="L121" i="12"/>
  <c r="N124" i="12"/>
  <c r="G115" i="12"/>
  <c r="D118" i="12"/>
  <c r="W116" i="12"/>
  <c r="O116" i="12"/>
  <c r="U119" i="12"/>
  <c r="W124" i="12"/>
  <c r="O119" i="12"/>
  <c r="C124" i="12"/>
  <c r="Q120" i="12"/>
  <c r="P114" i="12"/>
  <c r="V119" i="12"/>
  <c r="F117" i="12"/>
  <c r="W115" i="12"/>
  <c r="F121" i="12"/>
  <c r="J115" i="12"/>
  <c r="I117" i="12"/>
  <c r="O120" i="12"/>
  <c r="G125" i="12"/>
  <c r="M122" i="12"/>
  <c r="S120" i="12"/>
  <c r="V120" i="12"/>
  <c r="E115" i="12"/>
  <c r="I115" i="12"/>
  <c r="N119" i="12"/>
  <c r="S123" i="12"/>
  <c r="K120" i="12"/>
  <c r="M115" i="12"/>
  <c r="O117" i="12"/>
  <c r="X119" i="12"/>
  <c r="C116" i="12"/>
  <c r="J121" i="12"/>
  <c r="X123" i="12"/>
  <c r="U124" i="12"/>
  <c r="M120" i="12"/>
  <c r="O125" i="12"/>
  <c r="O118" i="12"/>
  <c r="M114" i="12"/>
  <c r="K117" i="12"/>
  <c r="R120" i="12"/>
  <c r="H123" i="12"/>
  <c r="E122" i="12"/>
  <c r="V118" i="12"/>
  <c r="M123" i="12"/>
  <c r="L115" i="12"/>
  <c r="M117" i="12"/>
  <c r="U121" i="12"/>
  <c r="J114" i="12"/>
  <c r="H118" i="12"/>
  <c r="G116" i="12"/>
  <c r="D114" i="12"/>
  <c r="K114" i="12"/>
  <c r="N118" i="12"/>
  <c r="I121" i="12"/>
  <c r="H115" i="12"/>
  <c r="C122" i="12"/>
  <c r="K119" i="12"/>
  <c r="E119" i="12"/>
  <c r="V114" i="12"/>
  <c r="Z112" i="12"/>
  <c r="J110" i="12"/>
  <c r="R107" i="12"/>
  <c r="Z104" i="12"/>
  <c r="Y111" i="12"/>
  <c r="I109" i="12"/>
  <c r="Q106" i="12"/>
  <c r="Y103" i="12"/>
  <c r="H113" i="12"/>
  <c r="P110" i="12"/>
  <c r="X107" i="12"/>
  <c r="H105" i="12"/>
  <c r="P102" i="12"/>
  <c r="L110" i="12"/>
  <c r="E106" i="12"/>
  <c r="J102" i="12"/>
  <c r="C106" i="12"/>
  <c r="U109" i="12"/>
  <c r="N105" i="12"/>
  <c r="W112" i="12"/>
  <c r="T112" i="12"/>
  <c r="R112" i="12"/>
  <c r="Z109" i="12"/>
  <c r="J107" i="12"/>
  <c r="R104" i="12"/>
  <c r="Q111" i="12"/>
  <c r="Z111" i="12"/>
  <c r="J109" i="12"/>
  <c r="R106" i="12"/>
  <c r="Q113" i="12"/>
  <c r="Y110" i="12"/>
  <c r="I108" i="12"/>
  <c r="Q105" i="12"/>
  <c r="Y102" i="12"/>
  <c r="H112" i="12"/>
  <c r="P109" i="12"/>
  <c r="X106" i="12"/>
  <c r="H104" i="12"/>
  <c r="D113" i="12"/>
  <c r="U108" i="12"/>
  <c r="N104" i="12"/>
  <c r="K111" i="12"/>
  <c r="R111" i="12"/>
  <c r="Z108" i="12"/>
  <c r="J106" i="12"/>
  <c r="I113" i="12"/>
  <c r="Q110" i="12"/>
  <c r="Y107" i="12"/>
  <c r="I105" i="12"/>
  <c r="Q102" i="12"/>
  <c r="X111" i="12"/>
  <c r="H109" i="12"/>
  <c r="P106" i="12"/>
  <c r="X103" i="12"/>
  <c r="N112" i="12"/>
  <c r="G108" i="12"/>
  <c r="D104" i="12"/>
  <c r="G110" i="12"/>
  <c r="W111" i="12"/>
  <c r="S107" i="12"/>
  <c r="O103" i="12"/>
  <c r="S108" i="12"/>
  <c r="L109" i="12"/>
  <c r="R113" i="12"/>
  <c r="Z110" i="12"/>
  <c r="J108" i="12"/>
  <c r="R105" i="12"/>
  <c r="Q112" i="12"/>
  <c r="Y109" i="12"/>
  <c r="I107" i="12"/>
  <c r="Q104" i="12"/>
  <c r="X113" i="12"/>
  <c r="H111" i="12"/>
  <c r="P108" i="12"/>
  <c r="X105" i="12"/>
  <c r="H103" i="12"/>
  <c r="M111" i="12"/>
  <c r="F107" i="12"/>
  <c r="F103" i="12"/>
  <c r="E108" i="12"/>
  <c r="V110" i="12"/>
  <c r="O106" i="12"/>
  <c r="S102" i="12"/>
  <c r="N106" i="12"/>
  <c r="N107" i="12"/>
  <c r="D102" i="12"/>
  <c r="M107" i="12"/>
  <c r="C102" i="12"/>
  <c r="K108" i="12"/>
  <c r="W113" i="12"/>
  <c r="S103" i="12"/>
  <c r="N108" i="12"/>
  <c r="L105" i="12"/>
  <c r="V108" i="12"/>
  <c r="W106" i="12"/>
  <c r="G104" i="12"/>
  <c r="K103" i="12"/>
  <c r="E104" i="12"/>
  <c r="V112" i="12"/>
  <c r="J111" i="12"/>
  <c r="Y113" i="12"/>
  <c r="Q107" i="12"/>
  <c r="I102" i="12"/>
  <c r="X108" i="12"/>
  <c r="P103" i="12"/>
  <c r="T107" i="12"/>
  <c r="F109" i="12"/>
  <c r="R110" i="12"/>
  <c r="Y112" i="12"/>
  <c r="Y106" i="12"/>
  <c r="P113" i="12"/>
  <c r="H108" i="12"/>
  <c r="X102" i="12"/>
  <c r="S106" i="12"/>
  <c r="D107" i="12"/>
  <c r="F108" i="12"/>
  <c r="V111" i="12"/>
  <c r="M108" i="12"/>
  <c r="L113" i="12"/>
  <c r="U105" i="12"/>
  <c r="O112" i="12"/>
  <c r="J104" i="12"/>
  <c r="G107" i="12"/>
  <c r="F111" i="12"/>
  <c r="C108" i="12"/>
  <c r="U104" i="12"/>
  <c r="O104" i="12"/>
  <c r="E112" i="12"/>
  <c r="N110" i="12"/>
  <c r="W108" i="12"/>
  <c r="F106" i="12"/>
  <c r="R109" i="12"/>
  <c r="I112" i="12"/>
  <c r="I106" i="12"/>
  <c r="X112" i="12"/>
  <c r="P107" i="12"/>
  <c r="H102" i="12"/>
  <c r="O105" i="12"/>
  <c r="N113" i="12"/>
  <c r="E107" i="12"/>
  <c r="U110" i="12"/>
  <c r="U106" i="12"/>
  <c r="S112" i="12"/>
  <c r="E105" i="12"/>
  <c r="S111" i="12"/>
  <c r="T103" i="12"/>
  <c r="W105" i="12"/>
  <c r="S109" i="12"/>
  <c r="W107" i="12"/>
  <c r="W102" i="12"/>
  <c r="M102" i="12"/>
  <c r="O110" i="12"/>
  <c r="C109" i="12"/>
  <c r="G106" i="12"/>
  <c r="R108" i="12"/>
  <c r="I111" i="12"/>
  <c r="Y105" i="12"/>
  <c r="P112" i="12"/>
  <c r="H107" i="12"/>
  <c r="O113" i="12"/>
  <c r="D105" i="12"/>
  <c r="C113" i="12"/>
  <c r="D106" i="12"/>
  <c r="T109" i="12"/>
  <c r="V105" i="12"/>
  <c r="T111" i="12"/>
  <c r="K104" i="12"/>
  <c r="T110" i="12"/>
  <c r="D103" i="12"/>
  <c r="T104" i="12"/>
  <c r="C107" i="12"/>
  <c r="F104" i="12"/>
  <c r="U113" i="12"/>
  <c r="T113" i="12"/>
  <c r="M109" i="12"/>
  <c r="V107" i="12"/>
  <c r="Z103" i="12"/>
  <c r="Z107" i="12"/>
  <c r="I110" i="12"/>
  <c r="Y104" i="12"/>
  <c r="P111" i="12"/>
  <c r="H106" i="12"/>
  <c r="C112" i="12"/>
  <c r="R103" i="12"/>
  <c r="M112" i="12"/>
  <c r="C105" i="12"/>
  <c r="O107" i="12"/>
  <c r="F105" i="12"/>
  <c r="C111" i="12"/>
  <c r="U103" i="12"/>
  <c r="C110" i="12"/>
  <c r="N102" i="12"/>
  <c r="V102" i="12"/>
  <c r="S105" i="12"/>
  <c r="K106" i="12"/>
  <c r="G112" i="12"/>
  <c r="S110" i="12"/>
  <c r="L106" i="12"/>
  <c r="G105" i="12"/>
  <c r="F110" i="12"/>
  <c r="J113" i="12"/>
  <c r="Z105" i="12"/>
  <c r="Y108" i="12"/>
  <c r="Q103" i="12"/>
  <c r="H110" i="12"/>
  <c r="X104" i="12"/>
  <c r="V109" i="12"/>
  <c r="M113" i="12"/>
  <c r="K110" i="12"/>
  <c r="C104" i="12"/>
  <c r="U111" i="12"/>
  <c r="V103" i="12"/>
  <c r="E109" i="12"/>
  <c r="O102" i="12"/>
  <c r="L107" i="12"/>
  <c r="G111" i="12"/>
  <c r="L103" i="12"/>
  <c r="N103" i="12"/>
  <c r="U107" i="12"/>
  <c r="O109" i="12"/>
  <c r="V106" i="12"/>
  <c r="J105" i="12"/>
  <c r="P104" i="12"/>
  <c r="M104" i="12"/>
  <c r="R102" i="12"/>
  <c r="M106" i="12"/>
  <c r="S104" i="12"/>
  <c r="M105" i="12"/>
  <c r="C103" i="12"/>
  <c r="Q109" i="12"/>
  <c r="W110" i="12"/>
  <c r="E103" i="12"/>
  <c r="D110" i="12"/>
  <c r="W104" i="12"/>
  <c r="M103" i="12"/>
  <c r="N109" i="12"/>
  <c r="F102" i="12"/>
  <c r="Q108" i="12"/>
  <c r="K109" i="12"/>
  <c r="G102" i="12"/>
  <c r="L108" i="12"/>
  <c r="U112" i="12"/>
  <c r="F112" i="12"/>
  <c r="L102" i="12"/>
  <c r="E113" i="12"/>
  <c r="I104" i="12"/>
  <c r="T102" i="12"/>
  <c r="S113" i="12"/>
  <c r="T106" i="12"/>
  <c r="W109" i="12"/>
  <c r="M110" i="12"/>
  <c r="G113" i="12"/>
  <c r="O111" i="12"/>
  <c r="I103" i="12"/>
  <c r="L112" i="12"/>
  <c r="D111" i="12"/>
  <c r="G103" i="12"/>
  <c r="O108" i="12"/>
  <c r="V104" i="12"/>
  <c r="K105" i="12"/>
  <c r="K107" i="12"/>
  <c r="J112" i="12"/>
  <c r="X109" i="12"/>
  <c r="G109" i="12"/>
  <c r="L104" i="12"/>
  <c r="K113" i="12"/>
  <c r="V113" i="12"/>
  <c r="E111" i="12"/>
  <c r="F113" i="12"/>
  <c r="Z102" i="12"/>
  <c r="J103" i="12"/>
  <c r="D112" i="12"/>
  <c r="Z113" i="12"/>
  <c r="T105" i="12"/>
  <c r="W103" i="12"/>
  <c r="E102" i="12"/>
  <c r="Z106" i="12"/>
  <c r="D109" i="12"/>
  <c r="N111" i="12"/>
  <c r="L111" i="12"/>
  <c r="X110" i="12"/>
  <c r="U102" i="12"/>
  <c r="P105" i="12"/>
  <c r="K112" i="12"/>
  <c r="T108" i="12"/>
  <c r="D108" i="12"/>
  <c r="E110" i="12"/>
  <c r="K102" i="12"/>
  <c r="N76" i="12"/>
  <c r="V73" i="12"/>
  <c r="F71" i="12"/>
  <c r="N68" i="12"/>
  <c r="U77" i="12"/>
  <c r="E75" i="12"/>
  <c r="M72" i="12"/>
  <c r="U69" i="12"/>
  <c r="E67" i="12"/>
  <c r="D76" i="12"/>
  <c r="G75" i="12"/>
  <c r="Q71" i="12"/>
  <c r="C68" i="12"/>
  <c r="T75" i="12"/>
  <c r="V75" i="12"/>
  <c r="V72" i="12"/>
  <c r="V69" i="12"/>
  <c r="V66" i="12"/>
  <c r="U75" i="12"/>
  <c r="U72" i="12"/>
  <c r="M69" i="12"/>
  <c r="N75" i="12"/>
  <c r="N72" i="12"/>
  <c r="N69" i="12"/>
  <c r="N66" i="12"/>
  <c r="M75" i="12"/>
  <c r="E72" i="12"/>
  <c r="E69" i="12"/>
  <c r="F75" i="12"/>
  <c r="F72" i="12"/>
  <c r="F69" i="12"/>
  <c r="F66" i="12"/>
  <c r="U74" i="12"/>
  <c r="U71" i="12"/>
  <c r="U68" i="12"/>
  <c r="X77" i="12"/>
  <c r="O76" i="12"/>
  <c r="O72" i="12"/>
  <c r="O68" i="12"/>
  <c r="H75" i="12"/>
  <c r="D71" i="12"/>
  <c r="C67" i="12"/>
  <c r="Q74" i="12"/>
  <c r="P70" i="12"/>
  <c r="O66" i="12"/>
  <c r="Z72" i="12"/>
  <c r="S71" i="12"/>
  <c r="Y67" i="12"/>
  <c r="R76" i="12"/>
  <c r="X73" i="12"/>
  <c r="H66" i="12"/>
  <c r="R66" i="12"/>
  <c r="Z77" i="12"/>
  <c r="O70" i="12"/>
  <c r="O73" i="12"/>
  <c r="X72" i="12"/>
  <c r="W68" i="12"/>
  <c r="K75" i="12"/>
  <c r="T66" i="12"/>
  <c r="H67" i="12"/>
  <c r="X75" i="12"/>
  <c r="S72" i="12"/>
  <c r="V77" i="12"/>
  <c r="V74" i="12"/>
  <c r="V71" i="12"/>
  <c r="V68" i="12"/>
  <c r="M77" i="12"/>
  <c r="M74" i="12"/>
  <c r="M71" i="12"/>
  <c r="M68" i="12"/>
  <c r="L77" i="12"/>
  <c r="C76" i="12"/>
  <c r="C72" i="12"/>
  <c r="Q67" i="12"/>
  <c r="R74" i="12"/>
  <c r="Q70" i="12"/>
  <c r="P66" i="12"/>
  <c r="D74" i="12"/>
  <c r="C70" i="12"/>
  <c r="P74" i="12"/>
  <c r="L71" i="12"/>
  <c r="G69" i="12"/>
  <c r="N77" i="12"/>
  <c r="N74" i="12"/>
  <c r="N71" i="12"/>
  <c r="F68" i="12"/>
  <c r="E77" i="12"/>
  <c r="E74" i="12"/>
  <c r="E71" i="12"/>
  <c r="E68" i="12"/>
  <c r="Z76" i="12"/>
  <c r="Q75" i="12"/>
  <c r="G71" i="12"/>
  <c r="G67" i="12"/>
  <c r="G74" i="12"/>
  <c r="D70" i="12"/>
  <c r="C66" i="12"/>
  <c r="Q73" i="12"/>
  <c r="P69" i="12"/>
  <c r="Z71" i="12"/>
  <c r="L70" i="12"/>
  <c r="V76" i="12"/>
  <c r="N73" i="12"/>
  <c r="N70" i="12"/>
  <c r="N67" i="12"/>
  <c r="M76" i="12"/>
  <c r="M73" i="12"/>
  <c r="M70" i="12"/>
  <c r="M67" i="12"/>
  <c r="R75" i="12"/>
  <c r="I74" i="12"/>
  <c r="I70" i="12"/>
  <c r="I66" i="12"/>
  <c r="G73" i="12"/>
  <c r="D69" i="12"/>
  <c r="W76" i="12"/>
  <c r="Q72" i="12"/>
  <c r="P68" i="12"/>
  <c r="L66" i="12"/>
  <c r="K67" i="12"/>
  <c r="F73" i="12"/>
  <c r="E73" i="12"/>
  <c r="W77" i="12"/>
  <c r="W69" i="12"/>
  <c r="R72" i="12"/>
  <c r="I76" i="12"/>
  <c r="Z67" i="12"/>
  <c r="K66" i="12"/>
  <c r="Z69" i="12"/>
  <c r="Z75" i="12"/>
  <c r="W71" i="12"/>
  <c r="T73" i="12"/>
  <c r="H71" i="12"/>
  <c r="P73" i="12"/>
  <c r="G76" i="12"/>
  <c r="L73" i="12"/>
  <c r="J68" i="12"/>
  <c r="J73" i="12"/>
  <c r="W74" i="12"/>
  <c r="H72" i="12"/>
  <c r="S67" i="12"/>
  <c r="K73" i="12"/>
  <c r="O75" i="12"/>
  <c r="C77" i="12"/>
  <c r="S77" i="12"/>
  <c r="V70" i="12"/>
  <c r="U70" i="12"/>
  <c r="K77" i="12"/>
  <c r="K69" i="12"/>
  <c r="G72" i="12"/>
  <c r="S75" i="12"/>
  <c r="O67" i="12"/>
  <c r="K76" i="12"/>
  <c r="I77" i="12"/>
  <c r="L75" i="12"/>
  <c r="W70" i="12"/>
  <c r="I72" i="12"/>
  <c r="R69" i="12"/>
  <c r="P72" i="12"/>
  <c r="Z74" i="12"/>
  <c r="K72" i="12"/>
  <c r="W67" i="12"/>
  <c r="J72" i="12"/>
  <c r="I73" i="12"/>
  <c r="G70" i="12"/>
  <c r="G66" i="12"/>
  <c r="F77" i="12"/>
  <c r="X76" i="12"/>
  <c r="X67" i="12"/>
  <c r="H76" i="12"/>
  <c r="I68" i="12"/>
  <c r="F70" i="12"/>
  <c r="E70" i="12"/>
  <c r="Y76" i="12"/>
  <c r="Y68" i="12"/>
  <c r="R71" i="12"/>
  <c r="D75" i="12"/>
  <c r="Z66" i="12"/>
  <c r="S73" i="12"/>
  <c r="O74" i="12"/>
  <c r="Y74" i="12"/>
  <c r="T69" i="12"/>
  <c r="T70" i="12"/>
  <c r="R67" i="12"/>
  <c r="Z70" i="12"/>
  <c r="L72" i="12"/>
  <c r="X71" i="12"/>
  <c r="J67" i="12"/>
  <c r="J71" i="12"/>
  <c r="T71" i="12"/>
  <c r="R68" i="12"/>
  <c r="I75" i="12"/>
  <c r="U76" i="12"/>
  <c r="D68" i="12"/>
  <c r="Y75" i="12"/>
  <c r="L67" i="12"/>
  <c r="T72" i="12"/>
  <c r="V67" i="12"/>
  <c r="U67" i="12"/>
  <c r="S74" i="12"/>
  <c r="S66" i="12"/>
  <c r="Q69" i="12"/>
  <c r="D73" i="12"/>
  <c r="Z68" i="12"/>
  <c r="D67" i="12"/>
  <c r="Y71" i="12"/>
  <c r="L74" i="12"/>
  <c r="T68" i="12"/>
  <c r="H69" i="12"/>
  <c r="D66" i="12"/>
  <c r="O69" i="12"/>
  <c r="Y70" i="12"/>
  <c r="K71" i="12"/>
  <c r="W66" i="12"/>
  <c r="J70" i="12"/>
  <c r="H70" i="12"/>
  <c r="Q66" i="12"/>
  <c r="R70" i="12"/>
  <c r="M66" i="12"/>
  <c r="P71" i="12"/>
  <c r="I67" i="12"/>
  <c r="K70" i="12"/>
  <c r="Q77" i="12"/>
  <c r="F67" i="12"/>
  <c r="U66" i="12"/>
  <c r="W73" i="12"/>
  <c r="P77" i="12"/>
  <c r="Q68" i="12"/>
  <c r="D72" i="12"/>
  <c r="S76" i="12"/>
  <c r="T76" i="12"/>
  <c r="Y69" i="12"/>
  <c r="G77" i="12"/>
  <c r="T67" i="12"/>
  <c r="H68" i="12"/>
  <c r="J77" i="12"/>
  <c r="L68" i="12"/>
  <c r="L69" i="12"/>
  <c r="X70" i="12"/>
  <c r="J66" i="12"/>
  <c r="I69" i="12"/>
  <c r="S68" i="12"/>
  <c r="J74" i="12"/>
  <c r="G68" i="12"/>
  <c r="C75" i="12"/>
  <c r="K68" i="12"/>
  <c r="F76" i="12"/>
  <c r="E76" i="12"/>
  <c r="E66" i="12"/>
  <c r="Y72" i="12"/>
  <c r="J76" i="12"/>
  <c r="P67" i="12"/>
  <c r="C71" i="12"/>
  <c r="Z73" i="12"/>
  <c r="C73" i="12"/>
  <c r="T77" i="12"/>
  <c r="X74" i="12"/>
  <c r="D77" i="12"/>
  <c r="T74" i="12"/>
  <c r="P75" i="12"/>
  <c r="Y66" i="12"/>
  <c r="X66" i="12"/>
  <c r="X69" i="12"/>
  <c r="Q76" i="12"/>
  <c r="R77" i="12"/>
  <c r="W75" i="12"/>
  <c r="I71" i="12"/>
  <c r="F74" i="12"/>
  <c r="U73" i="12"/>
  <c r="P76" i="12"/>
  <c r="S70" i="12"/>
  <c r="R73" i="12"/>
  <c r="O77" i="12"/>
  <c r="C69" i="12"/>
  <c r="X68" i="12"/>
  <c r="O71" i="12"/>
  <c r="H77" i="12"/>
  <c r="W72" i="12"/>
  <c r="J75" i="12"/>
  <c r="H73" i="12"/>
  <c r="C74" i="12"/>
  <c r="Y77" i="12"/>
  <c r="Y73" i="12"/>
  <c r="J69" i="12"/>
  <c r="K74" i="12"/>
  <c r="L76" i="12"/>
  <c r="H74" i="12"/>
  <c r="S69" i="12"/>
  <c r="C22" i="9"/>
  <c r="E10" i="9"/>
  <c r="C128" i="14"/>
  <c r="K58" i="14" s="1"/>
  <c r="X41" i="12"/>
  <c r="X40" i="12"/>
  <c r="P40" i="12"/>
  <c r="P39" i="12"/>
  <c r="H39" i="12"/>
  <c r="H38" i="12"/>
  <c r="I41" i="12"/>
  <c r="W40" i="12"/>
  <c r="N40" i="12"/>
  <c r="K39" i="12"/>
  <c r="G38" i="12"/>
  <c r="V37" i="12"/>
  <c r="N36" i="12"/>
  <c r="F36" i="12"/>
  <c r="N35" i="12"/>
  <c r="F35" i="12"/>
  <c r="V34" i="12"/>
  <c r="N33" i="12"/>
  <c r="N32" i="12"/>
  <c r="Z41" i="12"/>
  <c r="S40" i="12"/>
  <c r="I40" i="12"/>
  <c r="L39" i="12"/>
  <c r="Y38" i="12"/>
  <c r="X36" i="12"/>
  <c r="E36" i="12"/>
  <c r="T35" i="12"/>
  <c r="K35" i="12"/>
  <c r="H34" i="12"/>
  <c r="W33" i="12"/>
  <c r="D33" i="12"/>
  <c r="J31" i="12"/>
  <c r="Z30" i="12"/>
  <c r="J30" i="12"/>
  <c r="Y41" i="12"/>
  <c r="N41" i="12"/>
  <c r="G40" i="12"/>
  <c r="W38" i="12"/>
  <c r="C38" i="12"/>
  <c r="W36" i="12"/>
  <c r="M36" i="12"/>
  <c r="S35" i="12"/>
  <c r="J35" i="12"/>
  <c r="U33" i="12"/>
  <c r="L33" i="12"/>
  <c r="I32" i="12"/>
  <c r="Y31" i="12"/>
  <c r="Y30" i="12"/>
  <c r="Q30" i="12"/>
  <c r="C41" i="12"/>
  <c r="M40" i="12"/>
  <c r="T38" i="12"/>
  <c r="D37" i="12"/>
  <c r="Q36" i="12"/>
  <c r="C36" i="12"/>
  <c r="C34" i="12"/>
  <c r="Z32" i="12"/>
  <c r="O32" i="12"/>
  <c r="D32" i="12"/>
  <c r="H30" i="12"/>
  <c r="W39" i="12"/>
  <c r="O37" i="12"/>
  <c r="M34" i="12"/>
  <c r="O33" i="12"/>
  <c r="O31" i="12"/>
  <c r="S30" i="12"/>
  <c r="E38" i="12"/>
  <c r="C35" i="12"/>
  <c r="Z33" i="12"/>
  <c r="Y32" i="12"/>
  <c r="G30" i="12"/>
  <c r="W41" i="12"/>
  <c r="K40" i="12"/>
  <c r="S36" i="12"/>
  <c r="Y35" i="12"/>
  <c r="S34" i="12"/>
  <c r="Y33" i="12"/>
  <c r="I33" i="12"/>
  <c r="L31" i="12"/>
  <c r="V30" i="12"/>
  <c r="R38" i="12"/>
  <c r="L34" i="12"/>
  <c r="G33" i="12"/>
  <c r="P30" i="12"/>
  <c r="V40" i="12"/>
  <c r="M39" i="12"/>
  <c r="S33" i="12"/>
  <c r="O30" i="12"/>
  <c r="V41" i="12"/>
  <c r="F41" i="12"/>
  <c r="O39" i="12"/>
  <c r="U38" i="12"/>
  <c r="Y37" i="12"/>
  <c r="J37" i="12"/>
  <c r="X35" i="12"/>
  <c r="H35" i="12"/>
  <c r="X33" i="12"/>
  <c r="H33" i="12"/>
  <c r="P32" i="12"/>
  <c r="W31" i="12"/>
  <c r="K31" i="12"/>
  <c r="E30" i="12"/>
  <c r="N39" i="12"/>
  <c r="W37" i="12"/>
  <c r="L36" i="12"/>
  <c r="G35" i="12"/>
  <c r="T33" i="12"/>
  <c r="L32" i="12"/>
  <c r="T41" i="12"/>
  <c r="D40" i="12"/>
  <c r="O38" i="12"/>
  <c r="E37" i="12"/>
  <c r="U35" i="12"/>
  <c r="K34" i="12"/>
  <c r="E33" i="12"/>
  <c r="M41" i="12"/>
  <c r="C40" i="12"/>
  <c r="L38" i="12"/>
  <c r="Z36" i="12"/>
  <c r="R35" i="12"/>
  <c r="J34" i="12"/>
  <c r="T31" i="12"/>
  <c r="R39" i="12"/>
  <c r="T36" i="12"/>
  <c r="D34" i="12"/>
  <c r="M31" i="12"/>
  <c r="U40" i="12"/>
  <c r="X34" i="12"/>
  <c r="D31" i="12"/>
  <c r="G32" i="12"/>
  <c r="Q40" i="12"/>
  <c r="U34" i="12"/>
  <c r="X30" i="12"/>
  <c r="Z39" i="12"/>
  <c r="K38" i="12"/>
  <c r="Y36" i="12"/>
  <c r="I34" i="12"/>
  <c r="W32" i="12"/>
  <c r="S31" i="12"/>
  <c r="K41" i="12"/>
  <c r="S39" i="12"/>
  <c r="J38" i="12"/>
  <c r="U36" i="12"/>
  <c r="E34" i="12"/>
  <c r="U32" i="12"/>
  <c r="L30" i="12"/>
  <c r="J41" i="12"/>
  <c r="I38" i="12"/>
  <c r="L35" i="12"/>
  <c r="T32" i="12"/>
  <c r="F39" i="12"/>
  <c r="T40" i="12"/>
  <c r="I36" i="12"/>
  <c r="Q33" i="12"/>
  <c r="M37" i="12"/>
  <c r="K33" i="12"/>
  <c r="O40" i="12"/>
  <c r="W30" i="12"/>
  <c r="J36" i="12"/>
  <c r="H32" i="12"/>
  <c r="E39" i="12"/>
  <c r="W34" i="12"/>
  <c r="C31" i="12"/>
  <c r="D39" i="12"/>
  <c r="C39" i="12"/>
  <c r="L37" i="12"/>
  <c r="T34" i="12"/>
  <c r="E32" i="12"/>
  <c r="Y53" i="12"/>
  <c r="Q53" i="12"/>
  <c r="I53" i="12"/>
  <c r="Y52" i="12"/>
  <c r="Q52" i="12"/>
  <c r="I52" i="12"/>
  <c r="Y51" i="12"/>
  <c r="Q51" i="12"/>
  <c r="I51" i="12"/>
  <c r="Y50" i="12"/>
  <c r="X53" i="12"/>
  <c r="P53" i="12"/>
  <c r="H53" i="12"/>
  <c r="X52" i="12"/>
  <c r="P52" i="12"/>
  <c r="H52" i="12"/>
  <c r="X51" i="12"/>
  <c r="P51" i="12"/>
  <c r="H51" i="12"/>
  <c r="X50" i="12"/>
  <c r="P50" i="12"/>
  <c r="H50" i="12"/>
  <c r="X49" i="12"/>
  <c r="P49" i="12"/>
  <c r="H49" i="12"/>
  <c r="X48" i="12"/>
  <c r="P48" i="12"/>
  <c r="H48" i="12"/>
  <c r="X47" i="12"/>
  <c r="P47" i="12"/>
  <c r="H47" i="12"/>
  <c r="X46" i="12"/>
  <c r="P46" i="12"/>
  <c r="H46" i="12"/>
  <c r="X45" i="12"/>
  <c r="P45" i="12"/>
  <c r="H45" i="12"/>
  <c r="X44" i="12"/>
  <c r="P44" i="12"/>
  <c r="H44" i="12"/>
  <c r="X43" i="12"/>
  <c r="P43" i="12"/>
  <c r="H43" i="12"/>
  <c r="X42" i="12"/>
  <c r="P42" i="12"/>
  <c r="H42" i="12"/>
  <c r="W53" i="12"/>
  <c r="M53" i="12"/>
  <c r="C53" i="12"/>
  <c r="O52" i="12"/>
  <c r="E52" i="12"/>
  <c r="S51" i="12"/>
  <c r="G51" i="12"/>
  <c r="U50" i="12"/>
  <c r="L50" i="12"/>
  <c r="C50" i="12"/>
  <c r="R49" i="12"/>
  <c r="I49" i="12"/>
  <c r="W48" i="12"/>
  <c r="N48" i="12"/>
  <c r="E48" i="12"/>
  <c r="T47" i="12"/>
  <c r="K47" i="12"/>
  <c r="Z46" i="12"/>
  <c r="Q46" i="12"/>
  <c r="G46" i="12"/>
  <c r="V45" i="12"/>
  <c r="M45" i="12"/>
  <c r="D45" i="12"/>
  <c r="S44" i="12"/>
  <c r="J44" i="12"/>
  <c r="Y43" i="12"/>
  <c r="O43" i="12"/>
  <c r="F43" i="12"/>
  <c r="U42" i="12"/>
  <c r="L42" i="12"/>
  <c r="C42" i="12"/>
  <c r="T53" i="12"/>
  <c r="G53" i="12"/>
  <c r="T52" i="12"/>
  <c r="G52" i="12"/>
  <c r="T51" i="12"/>
  <c r="F51" i="12"/>
  <c r="S50" i="12"/>
  <c r="I50" i="12"/>
  <c r="V49" i="12"/>
  <c r="L49" i="12"/>
  <c r="Z48" i="12"/>
  <c r="O48" i="12"/>
  <c r="D48" i="12"/>
  <c r="R47" i="12"/>
  <c r="G47" i="12"/>
  <c r="U46" i="12"/>
  <c r="K46" i="12"/>
  <c r="Y45" i="12"/>
  <c r="N45" i="12"/>
  <c r="C45" i="12"/>
  <c r="Q44" i="12"/>
  <c r="F44" i="12"/>
  <c r="T43" i="12"/>
  <c r="J43" i="12"/>
  <c r="W42" i="12"/>
  <c r="M42" i="12"/>
  <c r="S53" i="12"/>
  <c r="F53" i="12"/>
  <c r="S52" i="12"/>
  <c r="F52" i="12"/>
  <c r="R51" i="12"/>
  <c r="E51" i="12"/>
  <c r="R50" i="12"/>
  <c r="G50" i="12"/>
  <c r="U49" i="12"/>
  <c r="K49" i="12"/>
  <c r="Y48" i="12"/>
  <c r="M48" i="12"/>
  <c r="C48" i="12"/>
  <c r="Q47" i="12"/>
  <c r="F47" i="12"/>
  <c r="T46" i="12"/>
  <c r="J46" i="12"/>
  <c r="W45" i="12"/>
  <c r="L45" i="12"/>
  <c r="Z44" i="12"/>
  <c r="O44" i="12"/>
  <c r="E44" i="12"/>
  <c r="S43" i="12"/>
  <c r="I43" i="12"/>
  <c r="V42" i="12"/>
  <c r="K42" i="12"/>
  <c r="R53" i="12"/>
  <c r="Z52" i="12"/>
  <c r="K52" i="12"/>
  <c r="O51" i="12"/>
  <c r="Z50" i="12"/>
  <c r="K50" i="12"/>
  <c r="T49" i="12"/>
  <c r="F49" i="12"/>
  <c r="R48" i="12"/>
  <c r="Z47" i="12"/>
  <c r="M47" i="12"/>
  <c r="W46" i="12"/>
  <c r="I46" i="12"/>
  <c r="S45" i="12"/>
  <c r="F45" i="12"/>
  <c r="N44" i="12"/>
  <c r="Z43" i="12"/>
  <c r="L43" i="12"/>
  <c r="T42" i="12"/>
  <c r="G42" i="12"/>
  <c r="W52" i="12"/>
  <c r="N51" i="12"/>
  <c r="J50" i="12"/>
  <c r="E49" i="12"/>
  <c r="Y47" i="12"/>
  <c r="V46" i="12"/>
  <c r="R45" i="12"/>
  <c r="M44" i="12"/>
  <c r="K43" i="12"/>
  <c r="F42" i="12"/>
  <c r="O53" i="12"/>
  <c r="J52" i="12"/>
  <c r="W50" i="12"/>
  <c r="S49" i="12"/>
  <c r="Q48" i="12"/>
  <c r="L47" i="12"/>
  <c r="F46" i="12"/>
  <c r="E45" i="12"/>
  <c r="W43" i="12"/>
  <c r="S42" i="12"/>
  <c r="E53" i="12"/>
  <c r="D52" i="12"/>
  <c r="K51" i="12"/>
  <c r="N50" i="12"/>
  <c r="Q49" i="12"/>
  <c r="V48" i="12"/>
  <c r="G48" i="12"/>
  <c r="J47" i="12"/>
  <c r="O46" i="12"/>
  <c r="U45" i="12"/>
  <c r="Y44" i="12"/>
  <c r="I44" i="12"/>
  <c r="N43" i="12"/>
  <c r="R42" i="12"/>
  <c r="V52" i="12"/>
  <c r="D51" i="12"/>
  <c r="N49" i="12"/>
  <c r="W47" i="12"/>
  <c r="M46" i="12"/>
  <c r="V44" i="12"/>
  <c r="G43" i="12"/>
  <c r="W51" i="12"/>
  <c r="E50" i="12"/>
  <c r="S48" i="12"/>
  <c r="D47" i="12"/>
  <c r="O45" i="12"/>
  <c r="C44" i="12"/>
  <c r="N42" i="12"/>
  <c r="Z53" i="12"/>
  <c r="D53" i="12"/>
  <c r="C52" i="12"/>
  <c r="J51" i="12"/>
  <c r="M50" i="12"/>
  <c r="O49" i="12"/>
  <c r="U48" i="12"/>
  <c r="F48" i="12"/>
  <c r="I47" i="12"/>
  <c r="N46" i="12"/>
  <c r="T45" i="12"/>
  <c r="W44" i="12"/>
  <c r="G44" i="12"/>
  <c r="M43" i="12"/>
  <c r="Q42" i="12"/>
  <c r="V53" i="12"/>
  <c r="Z51" i="12"/>
  <c r="F50" i="12"/>
  <c r="T48" i="12"/>
  <c r="E47" i="12"/>
  <c r="Q45" i="12"/>
  <c r="D44" i="12"/>
  <c r="O42" i="12"/>
  <c r="U53" i="12"/>
  <c r="U52" i="12"/>
  <c r="C51" i="12"/>
  <c r="M49" i="12"/>
  <c r="V47" i="12"/>
  <c r="L46" i="12"/>
  <c r="U44" i="12"/>
  <c r="E43" i="12"/>
  <c r="R52" i="12"/>
  <c r="V50" i="12"/>
  <c r="J49" i="12"/>
  <c r="U47" i="12"/>
  <c r="E46" i="12"/>
  <c r="T44" i="12"/>
  <c r="D43" i="12"/>
  <c r="C49" i="12"/>
  <c r="Z45" i="12"/>
  <c r="Y42" i="12"/>
  <c r="D50" i="12"/>
  <c r="K45" i="12"/>
  <c r="U51" i="12"/>
  <c r="Y46" i="12"/>
  <c r="I42" i="12"/>
  <c r="M51" i="12"/>
  <c r="I45" i="12"/>
  <c r="N52" i="12"/>
  <c r="T50" i="12"/>
  <c r="G49" i="12"/>
  <c r="S47" i="12"/>
  <c r="D46" i="12"/>
  <c r="R44" i="12"/>
  <c r="C43" i="12"/>
  <c r="M52" i="12"/>
  <c r="Q50" i="12"/>
  <c r="D49" i="12"/>
  <c r="O47" i="12"/>
  <c r="C46" i="12"/>
  <c r="L44" i="12"/>
  <c r="Z42" i="12"/>
  <c r="L52" i="12"/>
  <c r="O50" i="12"/>
  <c r="N47" i="12"/>
  <c r="K44" i="12"/>
  <c r="V51" i="12"/>
  <c r="C47" i="12"/>
  <c r="V43" i="12"/>
  <c r="Z49" i="12"/>
  <c r="J45" i="12"/>
  <c r="Y49" i="12"/>
  <c r="R43" i="12"/>
  <c r="L51" i="12"/>
  <c r="R46" i="12"/>
  <c r="Q43" i="12"/>
  <c r="N53" i="12"/>
  <c r="L48" i="12"/>
  <c r="J42" i="12"/>
  <c r="L53" i="12"/>
  <c r="K48" i="12"/>
  <c r="U43" i="12"/>
  <c r="K53" i="12"/>
  <c r="J48" i="12"/>
  <c r="S46" i="12"/>
  <c r="E42" i="12"/>
  <c r="J53" i="12"/>
  <c r="W49" i="12"/>
  <c r="I48" i="12"/>
  <c r="G45" i="12"/>
  <c r="D42" i="12"/>
  <c r="Y65" i="12"/>
  <c r="Q65" i="12"/>
  <c r="I65" i="12"/>
  <c r="Y64" i="12"/>
  <c r="Q64" i="12"/>
  <c r="I64" i="12"/>
  <c r="Y63" i="12"/>
  <c r="Q63" i="12"/>
  <c r="I63" i="12"/>
  <c r="Y62" i="12"/>
  <c r="Q62" i="12"/>
  <c r="I62" i="12"/>
  <c r="Y61" i="12"/>
  <c r="Q61" i="12"/>
  <c r="I61" i="12"/>
  <c r="Y60" i="12"/>
  <c r="Q60" i="12"/>
  <c r="I60" i="12"/>
  <c r="Y59" i="12"/>
  <c r="Q59" i="12"/>
  <c r="I59" i="12"/>
  <c r="Y58" i="12"/>
  <c r="Q58" i="12"/>
  <c r="I58" i="12"/>
  <c r="Y57" i="12"/>
  <c r="Q57" i="12"/>
  <c r="I57" i="12"/>
  <c r="Y56" i="12"/>
  <c r="Q56" i="12"/>
  <c r="I56" i="12"/>
  <c r="Y55" i="12"/>
  <c r="Q55" i="12"/>
  <c r="I55" i="12"/>
  <c r="Y54" i="12"/>
  <c r="Q54" i="12"/>
  <c r="I54" i="12"/>
  <c r="X65" i="12"/>
  <c r="P65" i="12"/>
  <c r="H65" i="12"/>
  <c r="X64" i="12"/>
  <c r="P64" i="12"/>
  <c r="H64" i="12"/>
  <c r="X63" i="12"/>
  <c r="P63" i="12"/>
  <c r="H63" i="12"/>
  <c r="X62" i="12"/>
  <c r="P62" i="12"/>
  <c r="H62" i="12"/>
  <c r="X61" i="12"/>
  <c r="P61" i="12"/>
  <c r="H61" i="12"/>
  <c r="X60" i="12"/>
  <c r="P60" i="12"/>
  <c r="H60" i="12"/>
  <c r="X59" i="12"/>
  <c r="P59" i="12"/>
  <c r="H59" i="12"/>
  <c r="X58" i="12"/>
  <c r="P58" i="12"/>
  <c r="H58" i="12"/>
  <c r="X57" i="12"/>
  <c r="P57" i="12"/>
  <c r="H57" i="12"/>
  <c r="X56" i="12"/>
  <c r="P56" i="12"/>
  <c r="H56" i="12"/>
  <c r="X55" i="12"/>
  <c r="P55" i="12"/>
  <c r="H55" i="12"/>
  <c r="X54" i="12"/>
  <c r="P54" i="12"/>
  <c r="H54" i="12"/>
  <c r="W65" i="12"/>
  <c r="M65" i="12"/>
  <c r="C65" i="12"/>
  <c r="O64" i="12"/>
  <c r="E64" i="12"/>
  <c r="S63" i="12"/>
  <c r="G63" i="12"/>
  <c r="U62" i="12"/>
  <c r="K62" i="12"/>
  <c r="W61" i="12"/>
  <c r="M61" i="12"/>
  <c r="C61" i="12"/>
  <c r="O60" i="12"/>
  <c r="E60" i="12"/>
  <c r="S59" i="12"/>
  <c r="G59" i="12"/>
  <c r="U58" i="12"/>
  <c r="K58" i="12"/>
  <c r="W57" i="12"/>
  <c r="M57" i="12"/>
  <c r="C57" i="12"/>
  <c r="O56" i="12"/>
  <c r="E56" i="12"/>
  <c r="S55" i="12"/>
  <c r="G55" i="12"/>
  <c r="U54" i="12"/>
  <c r="K54" i="12"/>
  <c r="Z65" i="12"/>
  <c r="L65" i="12"/>
  <c r="W64" i="12"/>
  <c r="L64" i="12"/>
  <c r="W63" i="12"/>
  <c r="L63" i="12"/>
  <c r="W62" i="12"/>
  <c r="L62" i="12"/>
  <c r="V61" i="12"/>
  <c r="K61" i="12"/>
  <c r="V60" i="12"/>
  <c r="K60" i="12"/>
  <c r="V59" i="12"/>
  <c r="K59" i="12"/>
  <c r="V58" i="12"/>
  <c r="J58" i="12"/>
  <c r="U57" i="12"/>
  <c r="J57" i="12"/>
  <c r="U56" i="12"/>
  <c r="J56" i="12"/>
  <c r="U55" i="12"/>
  <c r="J55" i="12"/>
  <c r="T54" i="12"/>
  <c r="G54" i="12"/>
  <c r="V65" i="12"/>
  <c r="K65" i="12"/>
  <c r="V64" i="12"/>
  <c r="K64" i="12"/>
  <c r="V63" i="12"/>
  <c r="K63" i="12"/>
  <c r="V62" i="12"/>
  <c r="J62" i="12"/>
  <c r="U61" i="12"/>
  <c r="J61" i="12"/>
  <c r="U60" i="12"/>
  <c r="J60" i="12"/>
  <c r="U59" i="12"/>
  <c r="J59" i="12"/>
  <c r="T58" i="12"/>
  <c r="G58" i="12"/>
  <c r="T57" i="12"/>
  <c r="G57" i="12"/>
  <c r="T56" i="12"/>
  <c r="G56" i="12"/>
  <c r="T55" i="12"/>
  <c r="F55" i="12"/>
  <c r="S54" i="12"/>
  <c r="F54" i="12"/>
  <c r="U65" i="12"/>
  <c r="F65" i="12"/>
  <c r="N64" i="12"/>
  <c r="U63" i="12"/>
  <c r="E63" i="12"/>
  <c r="N62" i="12"/>
  <c r="T61" i="12"/>
  <c r="E61" i="12"/>
  <c r="M60" i="12"/>
  <c r="T59" i="12"/>
  <c r="D59" i="12"/>
  <c r="M58" i="12"/>
  <c r="S57" i="12"/>
  <c r="D57" i="12"/>
  <c r="L56" i="12"/>
  <c r="R55" i="12"/>
  <c r="C55" i="12"/>
  <c r="L54" i="12"/>
  <c r="D63" i="12"/>
  <c r="L58" i="12"/>
  <c r="Z56" i="12"/>
  <c r="O55" i="12"/>
  <c r="J54" i="12"/>
  <c r="T65" i="12"/>
  <c r="E65" i="12"/>
  <c r="M64" i="12"/>
  <c r="T63" i="12"/>
  <c r="M62" i="12"/>
  <c r="S61" i="12"/>
  <c r="D61" i="12"/>
  <c r="L60" i="12"/>
  <c r="R59" i="12"/>
  <c r="C59" i="12"/>
  <c r="R57" i="12"/>
  <c r="K56" i="12"/>
  <c r="Z54" i="12"/>
  <c r="S65" i="12"/>
  <c r="U64" i="12"/>
  <c r="C64" i="12"/>
  <c r="C63" i="12"/>
  <c r="E62" i="12"/>
  <c r="G61" i="12"/>
  <c r="G60" i="12"/>
  <c r="M59" i="12"/>
  <c r="O58" i="12"/>
  <c r="O57" i="12"/>
  <c r="S56" i="12"/>
  <c r="W55" i="12"/>
  <c r="W54" i="12"/>
  <c r="C54" i="12"/>
  <c r="O65" i="12"/>
  <c r="R63" i="12"/>
  <c r="Z60" i="12"/>
  <c r="D60" i="12"/>
  <c r="F58" i="12"/>
  <c r="N56" i="12"/>
  <c r="R54" i="12"/>
  <c r="N65" i="12"/>
  <c r="O63" i="12"/>
  <c r="Z61" i="12"/>
  <c r="C60" i="12"/>
  <c r="E58" i="12"/>
  <c r="M56" i="12"/>
  <c r="O54" i="12"/>
  <c r="R65" i="12"/>
  <c r="T64" i="12"/>
  <c r="Z63" i="12"/>
  <c r="Z62" i="12"/>
  <c r="D62" i="12"/>
  <c r="F61" i="12"/>
  <c r="F60" i="12"/>
  <c r="L59" i="12"/>
  <c r="N58" i="12"/>
  <c r="N57" i="12"/>
  <c r="R56" i="12"/>
  <c r="V55" i="12"/>
  <c r="V54" i="12"/>
  <c r="S64" i="12"/>
  <c r="T62" i="12"/>
  <c r="C62" i="12"/>
  <c r="F59" i="12"/>
  <c r="L57" i="12"/>
  <c r="N55" i="12"/>
  <c r="R64" i="12"/>
  <c r="S62" i="12"/>
  <c r="W60" i="12"/>
  <c r="E59" i="12"/>
  <c r="K57" i="12"/>
  <c r="M55" i="12"/>
  <c r="J65" i="12"/>
  <c r="N63" i="12"/>
  <c r="R61" i="12"/>
  <c r="Z59" i="12"/>
  <c r="D58" i="12"/>
  <c r="F56" i="12"/>
  <c r="N54" i="12"/>
  <c r="Z64" i="12"/>
  <c r="L61" i="12"/>
  <c r="V57" i="12"/>
  <c r="D54" i="12"/>
  <c r="Z58" i="12"/>
  <c r="L55" i="12"/>
  <c r="O62" i="12"/>
  <c r="W58" i="12"/>
  <c r="G62" i="12"/>
  <c r="W56" i="12"/>
  <c r="G65" i="12"/>
  <c r="M63" i="12"/>
  <c r="O61" i="12"/>
  <c r="W59" i="12"/>
  <c r="C58" i="12"/>
  <c r="D56" i="12"/>
  <c r="M54" i="12"/>
  <c r="D65" i="12"/>
  <c r="J63" i="12"/>
  <c r="N61" i="12"/>
  <c r="O59" i="12"/>
  <c r="Z57" i="12"/>
  <c r="C56" i="12"/>
  <c r="E54" i="12"/>
  <c r="F63" i="12"/>
  <c r="N59" i="12"/>
  <c r="Z55" i="12"/>
  <c r="J64" i="12"/>
  <c r="T60" i="12"/>
  <c r="F57" i="12"/>
  <c r="G64" i="12"/>
  <c r="E57" i="12"/>
  <c r="R60" i="12"/>
  <c r="E55" i="12"/>
  <c r="F62" i="12"/>
  <c r="R58" i="12"/>
  <c r="D55" i="12"/>
  <c r="R62" i="12"/>
  <c r="S60" i="12"/>
  <c r="K55" i="12"/>
  <c r="F64" i="12"/>
  <c r="S58" i="12"/>
  <c r="D64" i="12"/>
  <c r="N60" i="12"/>
  <c r="V56" i="12"/>
  <c r="Y17" i="12"/>
  <c r="Q17" i="12"/>
  <c r="I17" i="12"/>
  <c r="Y16" i="12"/>
  <c r="Q16" i="12"/>
  <c r="I16" i="12"/>
  <c r="Y15" i="12"/>
  <c r="Q15" i="12"/>
  <c r="I15" i="12"/>
  <c r="Y14" i="12"/>
  <c r="Q14" i="12"/>
  <c r="I14" i="12"/>
  <c r="Y13" i="12"/>
  <c r="Q13" i="12"/>
  <c r="I13" i="12"/>
  <c r="Y12" i="12"/>
  <c r="Q12" i="12"/>
  <c r="I12" i="12"/>
  <c r="Y11" i="12"/>
  <c r="Q11" i="12"/>
  <c r="I11" i="12"/>
  <c r="Y10" i="12"/>
  <c r="Q10" i="12"/>
  <c r="I10" i="12"/>
  <c r="Y9" i="12"/>
  <c r="Q9" i="12"/>
  <c r="I9" i="12"/>
  <c r="Y8" i="12"/>
  <c r="Q8" i="12"/>
  <c r="I8" i="12"/>
  <c r="Y7" i="12"/>
  <c r="Q7" i="12"/>
  <c r="I7" i="12"/>
  <c r="Y6" i="12"/>
  <c r="Q6" i="12"/>
  <c r="I6" i="12"/>
  <c r="W17" i="12"/>
  <c r="N17" i="12"/>
  <c r="E17" i="12"/>
  <c r="T16" i="12"/>
  <c r="K16" i="12"/>
  <c r="Z15" i="12"/>
  <c r="P15" i="12"/>
  <c r="G15" i="12"/>
  <c r="V14" i="12"/>
  <c r="M14" i="12"/>
  <c r="D14" i="12"/>
  <c r="S13" i="12"/>
  <c r="J13" i="12"/>
  <c r="X12" i="12"/>
  <c r="O12" i="12"/>
  <c r="F12" i="12"/>
  <c r="U11" i="12"/>
  <c r="L11" i="12"/>
  <c r="C11" i="12"/>
  <c r="R10" i="12"/>
  <c r="H10" i="12"/>
  <c r="W9" i="12"/>
  <c r="N9" i="12"/>
  <c r="E9" i="12"/>
  <c r="T8" i="12"/>
  <c r="K8" i="12"/>
  <c r="Z7" i="12"/>
  <c r="P7" i="12"/>
  <c r="G7" i="12"/>
  <c r="V6" i="12"/>
  <c r="M6" i="12"/>
  <c r="D6" i="12"/>
  <c r="M17" i="12"/>
  <c r="S16" i="12"/>
  <c r="X15" i="12"/>
  <c r="V17" i="12"/>
  <c r="D17" i="12"/>
  <c r="J16" i="12"/>
  <c r="O15" i="12"/>
  <c r="U17" i="12"/>
  <c r="J17" i="12"/>
  <c r="V16" i="12"/>
  <c r="H16" i="12"/>
  <c r="U15" i="12"/>
  <c r="J15" i="12"/>
  <c r="W14" i="12"/>
  <c r="L14" i="12"/>
  <c r="Z13" i="12"/>
  <c r="O13" i="12"/>
  <c r="E13" i="12"/>
  <c r="S12" i="12"/>
  <c r="H12" i="12"/>
  <c r="V11" i="12"/>
  <c r="K11" i="12"/>
  <c r="X10" i="12"/>
  <c r="N10" i="12"/>
  <c r="D10" i="12"/>
  <c r="R9" i="12"/>
  <c r="G9" i="12"/>
  <c r="U8" i="12"/>
  <c r="J8" i="12"/>
  <c r="W7" i="12"/>
  <c r="M7" i="12"/>
  <c r="C7" i="12"/>
  <c r="P6" i="12"/>
  <c r="F6" i="12"/>
  <c r="R16" i="12"/>
  <c r="S15" i="12"/>
  <c r="T14" i="12"/>
  <c r="W13" i="12"/>
  <c r="C13" i="12"/>
  <c r="E12" i="12"/>
  <c r="H11" i="12"/>
  <c r="L10" i="12"/>
  <c r="O9" i="12"/>
  <c r="R8" i="12"/>
  <c r="U7" i="12"/>
  <c r="X6" i="12"/>
  <c r="T17" i="12"/>
  <c r="H17" i="12"/>
  <c r="U16" i="12"/>
  <c r="G16" i="12"/>
  <c r="T15" i="12"/>
  <c r="H15" i="12"/>
  <c r="U14" i="12"/>
  <c r="K14" i="12"/>
  <c r="X13" i="12"/>
  <c r="N13" i="12"/>
  <c r="D13" i="12"/>
  <c r="R12" i="12"/>
  <c r="G12" i="12"/>
  <c r="T11" i="12"/>
  <c r="J11" i="12"/>
  <c r="W10" i="12"/>
  <c r="M10" i="12"/>
  <c r="C10" i="12"/>
  <c r="P9" i="12"/>
  <c r="F9" i="12"/>
  <c r="S8" i="12"/>
  <c r="H8" i="12"/>
  <c r="V7" i="12"/>
  <c r="L7" i="12"/>
  <c r="Z6" i="12"/>
  <c r="O6" i="12"/>
  <c r="E6" i="12"/>
  <c r="S17" i="12"/>
  <c r="G17" i="12"/>
  <c r="F16" i="12"/>
  <c r="F15" i="12"/>
  <c r="J14" i="12"/>
  <c r="M13" i="12"/>
  <c r="P12" i="12"/>
  <c r="S11" i="12"/>
  <c r="V10" i="12"/>
  <c r="Z9" i="12"/>
  <c r="D9" i="12"/>
  <c r="G8" i="12"/>
  <c r="K7" i="12"/>
  <c r="N6" i="12"/>
  <c r="O17" i="12"/>
  <c r="P16" i="12"/>
  <c r="W15" i="12"/>
  <c r="D15" i="12"/>
  <c r="N14" i="12"/>
  <c r="T13" i="12"/>
  <c r="Z12" i="12"/>
  <c r="K12" i="12"/>
  <c r="P11" i="12"/>
  <c r="Z10" i="12"/>
  <c r="G10" i="12"/>
  <c r="M9" i="12"/>
  <c r="W8" i="12"/>
  <c r="E8" i="12"/>
  <c r="N7" i="12"/>
  <c r="T6" i="12"/>
  <c r="K17" i="12"/>
  <c r="T10" i="12"/>
  <c r="K9" i="12"/>
  <c r="C8" i="12"/>
  <c r="R6" i="12"/>
  <c r="F17" i="12"/>
  <c r="N15" i="12"/>
  <c r="F14" i="12"/>
  <c r="U12" i="12"/>
  <c r="M11" i="12"/>
  <c r="X9" i="12"/>
  <c r="O8" i="12"/>
  <c r="F7" i="12"/>
  <c r="L16" i="12"/>
  <c r="E14" i="12"/>
  <c r="Z11" i="12"/>
  <c r="V9" i="12"/>
  <c r="T7" i="12"/>
  <c r="L15" i="12"/>
  <c r="N12" i="12"/>
  <c r="O10" i="12"/>
  <c r="C9" i="12"/>
  <c r="D7" i="12"/>
  <c r="R17" i="12"/>
  <c r="K15" i="12"/>
  <c r="M12" i="12"/>
  <c r="K10" i="12"/>
  <c r="L8" i="12"/>
  <c r="H6" i="12"/>
  <c r="L17" i="12"/>
  <c r="O16" i="12"/>
  <c r="V15" i="12"/>
  <c r="C15" i="12"/>
  <c r="H14" i="12"/>
  <c r="R13" i="12"/>
  <c r="W12" i="12"/>
  <c r="J12" i="12"/>
  <c r="O11" i="12"/>
  <c r="U10" i="12"/>
  <c r="F10" i="12"/>
  <c r="L9" i="12"/>
  <c r="V8" i="12"/>
  <c r="D8" i="12"/>
  <c r="J7" i="12"/>
  <c r="S6" i="12"/>
  <c r="N16" i="12"/>
  <c r="R15" i="12"/>
  <c r="Z14" i="12"/>
  <c r="G14" i="12"/>
  <c r="P13" i="12"/>
  <c r="V12" i="12"/>
  <c r="D12" i="12"/>
  <c r="N11" i="12"/>
  <c r="E10" i="12"/>
  <c r="P8" i="12"/>
  <c r="H7" i="12"/>
  <c r="M16" i="12"/>
  <c r="X14" i="12"/>
  <c r="L13" i="12"/>
  <c r="C12" i="12"/>
  <c r="S10" i="12"/>
  <c r="J9" i="12"/>
  <c r="X7" i="12"/>
  <c r="L6" i="12"/>
  <c r="Z17" i="12"/>
  <c r="M15" i="12"/>
  <c r="K13" i="12"/>
  <c r="G11" i="12"/>
  <c r="H9" i="12"/>
  <c r="E7" i="12"/>
  <c r="X17" i="12"/>
  <c r="E16" i="12"/>
  <c r="H13" i="12"/>
  <c r="F11" i="12"/>
  <c r="M8" i="12"/>
  <c r="J6" i="12"/>
  <c r="X16" i="12"/>
  <c r="P14" i="12"/>
  <c r="G13" i="12"/>
  <c r="E11" i="12"/>
  <c r="R7" i="12"/>
  <c r="P17" i="12"/>
  <c r="E15" i="12"/>
  <c r="F13" i="12"/>
  <c r="D11" i="12"/>
  <c r="S9" i="12"/>
  <c r="O7" i="12"/>
  <c r="C17" i="12"/>
  <c r="S14" i="12"/>
  <c r="T12" i="12"/>
  <c r="P10" i="12"/>
  <c r="N8" i="12"/>
  <c r="K6" i="12"/>
  <c r="Z16" i="12"/>
  <c r="R14" i="12"/>
  <c r="C14" i="12"/>
  <c r="X11" i="12"/>
  <c r="U9" i="12"/>
  <c r="S7" i="12"/>
  <c r="D16" i="12"/>
  <c r="V13" i="12"/>
  <c r="W11" i="12"/>
  <c r="T9" i="12"/>
  <c r="Z8" i="12"/>
  <c r="W6" i="12"/>
  <c r="W16" i="12"/>
  <c r="C16" i="12"/>
  <c r="O14" i="12"/>
  <c r="U13" i="12"/>
  <c r="L12" i="12"/>
  <c r="R11" i="12"/>
  <c r="J10" i="12"/>
  <c r="X8" i="12"/>
  <c r="F8" i="12"/>
  <c r="U6" i="12"/>
  <c r="G6" i="12"/>
  <c r="E11" i="7"/>
  <c r="F32" i="12" l="1"/>
  <c r="G36" i="12"/>
  <c r="K30" i="12"/>
  <c r="M35" i="12"/>
  <c r="Q35" i="12"/>
  <c r="S37" i="12"/>
  <c r="N30" i="12"/>
  <c r="C30" i="12"/>
  <c r="H31" i="12"/>
  <c r="U30" i="12"/>
  <c r="R36" i="12"/>
  <c r="U31" i="12"/>
  <c r="F40" i="12"/>
  <c r="Q39" i="12"/>
  <c r="Q41" i="12"/>
  <c r="T30" i="12"/>
  <c r="F38" i="12"/>
  <c r="R32" i="12"/>
  <c r="M38" i="12"/>
  <c r="J32" i="12"/>
  <c r="N38" i="12"/>
  <c r="V33" i="12"/>
  <c r="Z38" i="12"/>
  <c r="X39" i="12"/>
  <c r="N72" i="14"/>
  <c r="O115" i="14"/>
  <c r="Q107" i="14"/>
  <c r="L31" i="14"/>
  <c r="P31" i="14"/>
  <c r="L74" i="14"/>
  <c r="M121" i="14"/>
  <c r="T68" i="14"/>
  <c r="L77" i="14"/>
  <c r="T125" i="14"/>
  <c r="T77" i="14"/>
  <c r="P75" i="14"/>
  <c r="E35" i="12"/>
  <c r="U41" i="12"/>
  <c r="V38" i="12"/>
  <c r="C37" i="12"/>
  <c r="S38" i="12"/>
  <c r="O34" i="12"/>
  <c r="S41" i="12"/>
  <c r="Y34" i="12"/>
  <c r="U39" i="12"/>
  <c r="S32" i="12"/>
  <c r="I37" i="12"/>
  <c r="V32" i="12"/>
  <c r="N37" i="12"/>
  <c r="X37" i="12"/>
  <c r="T73" i="14"/>
  <c r="O71" i="14"/>
  <c r="S25" i="14"/>
  <c r="S71" i="14"/>
  <c r="T114" i="14"/>
  <c r="S49" i="14"/>
  <c r="N74" i="14"/>
  <c r="S109" i="14"/>
  <c r="S48" i="14"/>
  <c r="K69" i="14"/>
  <c r="S77" i="14"/>
  <c r="L23" i="14"/>
  <c r="H36" i="12"/>
  <c r="J33" i="12"/>
  <c r="R33" i="12"/>
  <c r="N31" i="12"/>
  <c r="M30" i="12"/>
  <c r="L41" i="12"/>
  <c r="T37" i="12"/>
  <c r="X32" i="12"/>
  <c r="G31" i="12"/>
  <c r="D30" i="12"/>
  <c r="Y40" i="12"/>
  <c r="R34" i="12"/>
  <c r="J40" i="12"/>
  <c r="K36" i="12"/>
  <c r="W35" i="12"/>
  <c r="X31" i="12"/>
  <c r="K37" i="12"/>
  <c r="E31" i="12"/>
  <c r="G39" i="12"/>
  <c r="O35" i="12"/>
  <c r="F31" i="12"/>
  <c r="D35" i="12"/>
  <c r="I39" i="12"/>
  <c r="I31" i="12"/>
  <c r="G34" i="12"/>
  <c r="H37" i="12"/>
  <c r="R40" i="12"/>
  <c r="R31" i="12"/>
  <c r="Q34" i="12"/>
  <c r="R37" i="12"/>
  <c r="E41" i="12"/>
  <c r="F34" i="12"/>
  <c r="V36" i="12"/>
  <c r="T39" i="12"/>
  <c r="P38" i="12"/>
  <c r="H41" i="12"/>
  <c r="U37" i="12"/>
  <c r="G37" i="12"/>
  <c r="Q32" i="12"/>
  <c r="Z37" i="12"/>
  <c r="C32" i="12"/>
  <c r="L40" i="12"/>
  <c r="P36" i="12"/>
  <c r="P31" i="12"/>
  <c r="P35" i="12"/>
  <c r="Y39" i="12"/>
  <c r="Q31" i="12"/>
  <c r="P34" i="12"/>
  <c r="Q37" i="12"/>
  <c r="D41" i="12"/>
  <c r="Z31" i="12"/>
  <c r="Z34" i="12"/>
  <c r="D38" i="12"/>
  <c r="O41" i="12"/>
  <c r="N34" i="12"/>
  <c r="F37" i="12"/>
  <c r="E40" i="12"/>
  <c r="X38" i="12"/>
  <c r="P41" i="12"/>
  <c r="K32" i="12"/>
  <c r="V31" i="12"/>
  <c r="F30" i="12"/>
  <c r="I35" i="12"/>
  <c r="G41" i="12"/>
  <c r="Z35" i="12"/>
  <c r="M32" i="12"/>
  <c r="Z40" i="12"/>
  <c r="P33" i="12"/>
  <c r="P37" i="12"/>
  <c r="I30" i="12"/>
  <c r="C33" i="12"/>
  <c r="D36" i="12"/>
  <c r="J39" i="12"/>
  <c r="R30" i="12"/>
  <c r="M33" i="12"/>
  <c r="O36" i="12"/>
  <c r="V39" i="12"/>
  <c r="F33" i="12"/>
  <c r="V35" i="12"/>
  <c r="Q38" i="12"/>
  <c r="R41" i="12"/>
  <c r="AA73" i="12"/>
  <c r="AC73" i="12" s="1"/>
  <c r="AA97" i="12"/>
  <c r="AC97" i="12" s="1"/>
  <c r="AA88" i="12"/>
  <c r="AC88" i="12" s="1"/>
  <c r="AA71" i="12"/>
  <c r="AC71" i="12" s="1"/>
  <c r="AA75" i="12"/>
  <c r="AC75" i="12" s="1"/>
  <c r="AA68" i="12"/>
  <c r="AC68" i="12" s="1"/>
  <c r="AA103" i="12"/>
  <c r="AC103" i="12" s="1"/>
  <c r="AA111" i="12"/>
  <c r="AC111" i="12" s="1"/>
  <c r="AA108" i="12"/>
  <c r="AC108" i="12" s="1"/>
  <c r="AA122" i="12"/>
  <c r="AC122" i="12" s="1"/>
  <c r="AA120" i="12"/>
  <c r="AC120" i="12" s="1"/>
  <c r="AA93" i="12"/>
  <c r="AC93" i="12" s="1"/>
  <c r="AA94" i="12"/>
  <c r="AC94" i="12" s="1"/>
  <c r="AA91" i="12"/>
  <c r="AC91" i="12" s="1"/>
  <c r="AA85" i="12"/>
  <c r="AC85" i="12" s="1"/>
  <c r="AA112" i="12"/>
  <c r="AC112" i="12" s="1"/>
  <c r="AA92" i="12"/>
  <c r="AC92" i="12" s="1"/>
  <c r="AA101" i="12"/>
  <c r="AC101" i="12" s="1"/>
  <c r="AA86" i="12"/>
  <c r="AC86" i="12" s="1"/>
  <c r="AA124" i="12"/>
  <c r="AC124" i="12" s="1"/>
  <c r="AA99" i="12"/>
  <c r="AC99" i="12" s="1"/>
  <c r="AA116" i="12"/>
  <c r="AC116" i="12" s="1"/>
  <c r="AA117" i="12"/>
  <c r="AC117" i="12" s="1"/>
  <c r="AA78" i="12"/>
  <c r="AC78" i="12" s="1"/>
  <c r="AA81" i="12"/>
  <c r="AC81" i="12" s="1"/>
  <c r="AA70" i="12"/>
  <c r="AC70" i="12" s="1"/>
  <c r="AA110" i="12"/>
  <c r="AC110" i="12" s="1"/>
  <c r="AA119" i="12"/>
  <c r="AC119" i="12" s="1"/>
  <c r="AA100" i="12"/>
  <c r="AC100" i="12" s="1"/>
  <c r="AA107" i="12"/>
  <c r="AC107" i="12" s="1"/>
  <c r="AA118" i="12"/>
  <c r="AC118" i="12" s="1"/>
  <c r="AA123" i="12"/>
  <c r="AC123" i="12" s="1"/>
  <c r="AA90" i="12"/>
  <c r="AC90" i="12" s="1"/>
  <c r="AA89" i="12"/>
  <c r="AC89" i="12" s="1"/>
  <c r="AA80" i="12"/>
  <c r="AC80" i="12" s="1"/>
  <c r="AA69" i="12"/>
  <c r="AC69" i="12" s="1"/>
  <c r="AA67" i="12"/>
  <c r="AC67" i="12" s="1"/>
  <c r="AA104" i="12"/>
  <c r="AC104" i="12" s="1"/>
  <c r="AA105" i="12"/>
  <c r="AC105" i="12" s="1"/>
  <c r="AA113" i="12"/>
  <c r="AC113" i="12" s="1"/>
  <c r="AA96" i="12"/>
  <c r="AC96" i="12" s="1"/>
  <c r="AA79" i="12"/>
  <c r="AC79" i="12" s="1"/>
  <c r="AA87" i="12"/>
  <c r="AC87" i="12" s="1"/>
  <c r="AA82" i="12"/>
  <c r="AC82" i="12" s="1"/>
  <c r="AA74" i="12"/>
  <c r="AC74" i="12" s="1"/>
  <c r="AA66" i="12"/>
  <c r="AC66" i="12" s="1"/>
  <c r="AA72" i="12"/>
  <c r="AC72" i="12" s="1"/>
  <c r="AA109" i="12"/>
  <c r="AC109" i="12" s="1"/>
  <c r="AA106" i="12"/>
  <c r="AC106" i="12" s="1"/>
  <c r="AA121" i="12"/>
  <c r="AC121" i="12" s="1"/>
  <c r="AA114" i="12"/>
  <c r="AC114" i="12" s="1"/>
  <c r="AA115" i="12"/>
  <c r="AC115" i="12" s="1"/>
  <c r="AA77" i="12"/>
  <c r="AC77" i="12" s="1"/>
  <c r="AA76" i="12"/>
  <c r="AC76" i="12" s="1"/>
  <c r="AA102" i="12"/>
  <c r="AC102" i="12" s="1"/>
  <c r="AA125" i="12"/>
  <c r="AC125" i="12" s="1"/>
  <c r="AA95" i="12"/>
  <c r="AC95" i="12" s="1"/>
  <c r="AA98" i="12"/>
  <c r="AC98" i="12" s="1"/>
  <c r="AA84" i="12"/>
  <c r="AC84" i="12" s="1"/>
  <c r="AA83" i="12"/>
  <c r="AC83" i="12" s="1"/>
  <c r="S68" i="14"/>
  <c r="K72" i="14"/>
  <c r="L75" i="14"/>
  <c r="O79" i="14"/>
  <c r="S105" i="14"/>
  <c r="P111" i="14"/>
  <c r="L27" i="14"/>
  <c r="P23" i="14"/>
  <c r="L50" i="14"/>
  <c r="S122" i="14"/>
  <c r="Q71" i="14"/>
  <c r="S113" i="14"/>
  <c r="Q115" i="14"/>
  <c r="M21" i="14"/>
  <c r="Q27" i="14"/>
  <c r="L49" i="14"/>
  <c r="N125" i="14"/>
  <c r="N79" i="14"/>
  <c r="T71" i="14"/>
  <c r="N78" i="14"/>
  <c r="Q79" i="14"/>
  <c r="M107" i="14"/>
  <c r="R111" i="14"/>
  <c r="M29" i="14"/>
  <c r="O45" i="14"/>
  <c r="P50" i="14"/>
  <c r="P117" i="14"/>
  <c r="N71" i="14"/>
  <c r="S74" i="14"/>
  <c r="K79" i="14"/>
  <c r="R75" i="14"/>
  <c r="M115" i="14"/>
  <c r="S23" i="14"/>
  <c r="N25" i="14"/>
  <c r="S46" i="14"/>
  <c r="M52" i="14"/>
  <c r="R116" i="14"/>
  <c r="K75" i="14"/>
  <c r="L79" i="14"/>
  <c r="L108" i="14"/>
  <c r="N111" i="14"/>
  <c r="K22" i="14"/>
  <c r="K26" i="14"/>
  <c r="P55" i="14"/>
  <c r="Q48" i="14"/>
  <c r="T65" i="14"/>
  <c r="L69" i="14"/>
  <c r="T79" i="14"/>
  <c r="M75" i="14"/>
  <c r="T106" i="14"/>
  <c r="O107" i="14"/>
  <c r="K23" i="14"/>
  <c r="O24" i="14"/>
  <c r="P52" i="14"/>
  <c r="L125" i="14"/>
  <c r="R60" i="14"/>
  <c r="L78" i="14"/>
  <c r="L68" i="14"/>
  <c r="N68" i="14"/>
  <c r="M68" i="14"/>
  <c r="M76" i="14"/>
  <c r="O72" i="14"/>
  <c r="P68" i="14"/>
  <c r="P76" i="14"/>
  <c r="Q72" i="14"/>
  <c r="R68" i="14"/>
  <c r="R76" i="14"/>
  <c r="L112" i="14"/>
  <c r="T107" i="14"/>
  <c r="T115" i="14"/>
  <c r="K106" i="14"/>
  <c r="K110" i="14"/>
  <c r="K114" i="14"/>
  <c r="M108" i="14"/>
  <c r="N104" i="14"/>
  <c r="N112" i="14"/>
  <c r="O108" i="14"/>
  <c r="P104" i="14"/>
  <c r="P112" i="14"/>
  <c r="Q108" i="14"/>
  <c r="R104" i="14"/>
  <c r="R112" i="14"/>
  <c r="R30" i="14"/>
  <c r="R27" i="14"/>
  <c r="R26" i="14"/>
  <c r="T23" i="14"/>
  <c r="T27" i="14"/>
  <c r="T31" i="14"/>
  <c r="M22" i="14"/>
  <c r="M30" i="14"/>
  <c r="N26" i="14"/>
  <c r="S27" i="14"/>
  <c r="O25" i="14"/>
  <c r="S26" i="14"/>
  <c r="P24" i="14"/>
  <c r="Q20" i="14"/>
  <c r="Q28" i="14"/>
  <c r="R53" i="14"/>
  <c r="K47" i="14"/>
  <c r="O44" i="14"/>
  <c r="T53" i="14"/>
  <c r="N51" i="14"/>
  <c r="O51" i="14"/>
  <c r="K49" i="14"/>
  <c r="R51" i="14"/>
  <c r="K52" i="14"/>
  <c r="M53" i="14"/>
  <c r="Q50" i="14"/>
  <c r="L122" i="14"/>
  <c r="K116" i="14"/>
  <c r="K124" i="14"/>
  <c r="M124" i="14"/>
  <c r="O116" i="14"/>
  <c r="P120" i="14"/>
  <c r="R117" i="14"/>
  <c r="N60" i="14"/>
  <c r="L56" i="14"/>
  <c r="S76" i="14"/>
  <c r="T76" i="14"/>
  <c r="N77" i="14"/>
  <c r="K78" i="14"/>
  <c r="K68" i="14"/>
  <c r="S70" i="14"/>
  <c r="T70" i="14"/>
  <c r="M69" i="14"/>
  <c r="M77" i="14"/>
  <c r="O73" i="14"/>
  <c r="P69" i="14"/>
  <c r="P77" i="14"/>
  <c r="Q73" i="14"/>
  <c r="R69" i="14"/>
  <c r="R77" i="14"/>
  <c r="L115" i="14"/>
  <c r="T108" i="14"/>
  <c r="K104" i="14"/>
  <c r="S106" i="14"/>
  <c r="S110" i="14"/>
  <c r="S114" i="14"/>
  <c r="M109" i="14"/>
  <c r="N105" i="14"/>
  <c r="N113" i="14"/>
  <c r="O109" i="14"/>
  <c r="P105" i="14"/>
  <c r="P113" i="14"/>
  <c r="Q109" i="14"/>
  <c r="R105" i="14"/>
  <c r="R113" i="14"/>
  <c r="R25" i="14"/>
  <c r="S22" i="14"/>
  <c r="L20" i="14"/>
  <c r="L24" i="14"/>
  <c r="L28" i="14"/>
  <c r="K25" i="14"/>
  <c r="M23" i="14"/>
  <c r="M31" i="14"/>
  <c r="N27" i="14"/>
  <c r="S28" i="14"/>
  <c r="O26" i="14"/>
  <c r="K29" i="14"/>
  <c r="P25" i="14"/>
  <c r="Q21" i="14"/>
  <c r="Q29" i="14"/>
  <c r="T51" i="14"/>
  <c r="N48" i="14"/>
  <c r="R45" i="14"/>
  <c r="L54" i="14"/>
  <c r="N54" i="14"/>
  <c r="S52" i="14"/>
  <c r="N50" i="14"/>
  <c r="N53" i="14"/>
  <c r="T54" i="14"/>
  <c r="M54" i="14"/>
  <c r="Q52" i="14"/>
  <c r="L123" i="14"/>
  <c r="K117" i="14"/>
  <c r="K125" i="14"/>
  <c r="M126" i="14"/>
  <c r="O118" i="14"/>
  <c r="P124" i="14"/>
  <c r="R120" i="14"/>
  <c r="S61" i="14"/>
  <c r="S60" i="14"/>
  <c r="T69" i="14"/>
  <c r="N70" i="14"/>
  <c r="K71" i="14"/>
  <c r="L71" i="14"/>
  <c r="M70" i="14"/>
  <c r="M78" i="14"/>
  <c r="O74" i="14"/>
  <c r="P70" i="14"/>
  <c r="P78" i="14"/>
  <c r="Q74" i="14"/>
  <c r="R70" i="14"/>
  <c r="R78" i="14"/>
  <c r="L106" i="14"/>
  <c r="T109" i="14"/>
  <c r="L104" i="14"/>
  <c r="K107" i="14"/>
  <c r="K111" i="14"/>
  <c r="K115" i="14"/>
  <c r="M110" i="14"/>
  <c r="N106" i="14"/>
  <c r="N114" i="14"/>
  <c r="O110" i="14"/>
  <c r="P106" i="14"/>
  <c r="P114" i="14"/>
  <c r="Q110" i="14"/>
  <c r="R106" i="14"/>
  <c r="R114" i="14"/>
  <c r="K20" i="14"/>
  <c r="K24" i="14"/>
  <c r="T20" i="14"/>
  <c r="T24" i="14"/>
  <c r="T28" i="14"/>
  <c r="K27" i="14"/>
  <c r="M24" i="14"/>
  <c r="N20" i="14"/>
  <c r="N28" i="14"/>
  <c r="S29" i="14"/>
  <c r="O27" i="14"/>
  <c r="S30" i="14"/>
  <c r="P26" i="14"/>
  <c r="Q22" i="14"/>
  <c r="Q30" i="14"/>
  <c r="T47" i="14"/>
  <c r="P49" i="14"/>
  <c r="T46" i="14"/>
  <c r="R55" i="14"/>
  <c r="S55" i="14"/>
  <c r="K53" i="14"/>
  <c r="T52" i="14"/>
  <c r="S54" i="14"/>
  <c r="M44" i="14"/>
  <c r="O52" i="14"/>
  <c r="Q53" i="14"/>
  <c r="T116" i="14"/>
  <c r="K118" i="14"/>
  <c r="K126" i="14"/>
  <c r="N116" i="14"/>
  <c r="O120" i="14"/>
  <c r="P125" i="14"/>
  <c r="R124" i="14"/>
  <c r="K64" i="14"/>
  <c r="R103" i="14"/>
  <c r="R95" i="14"/>
  <c r="Q99" i="14"/>
  <c r="P103" i="14"/>
  <c r="P95" i="14"/>
  <c r="O99" i="14"/>
  <c r="N103" i="14"/>
  <c r="M101" i="14"/>
  <c r="M93" i="14"/>
  <c r="N92" i="14"/>
  <c r="S100" i="14"/>
  <c r="K97" i="14"/>
  <c r="K94" i="14"/>
  <c r="N93" i="14"/>
  <c r="T92" i="14"/>
  <c r="R91" i="14"/>
  <c r="R83" i="14"/>
  <c r="Q87" i="14"/>
  <c r="P91" i="14"/>
  <c r="P83" i="14"/>
  <c r="O87" i="14"/>
  <c r="M91" i="14"/>
  <c r="M83" i="14"/>
  <c r="N84" i="14"/>
  <c r="T83" i="14"/>
  <c r="L81" i="14"/>
  <c r="K81" i="14"/>
  <c r="T82" i="14"/>
  <c r="S82" i="14"/>
  <c r="K80" i="14"/>
  <c r="Q43" i="14"/>
  <c r="Q37" i="14"/>
  <c r="P41" i="14"/>
  <c r="P33" i="14"/>
  <c r="O40" i="14"/>
  <c r="O32" i="14"/>
  <c r="N37" i="14"/>
  <c r="M41" i="14"/>
  <c r="M33" i="14"/>
  <c r="L41" i="14"/>
  <c r="L37" i="14"/>
  <c r="L33" i="14"/>
  <c r="S40" i="14"/>
  <c r="S36" i="14"/>
  <c r="R40" i="14"/>
  <c r="R67" i="14"/>
  <c r="Q64" i="14"/>
  <c r="Q56" i="14"/>
  <c r="O65" i="14"/>
  <c r="O57" i="14"/>
  <c r="M61" i="14"/>
  <c r="L63" i="14"/>
  <c r="N65" i="14"/>
  <c r="S67" i="14"/>
  <c r="S57" i="14"/>
  <c r="N59" i="14"/>
  <c r="L59" i="14"/>
  <c r="L62" i="14"/>
  <c r="S63" i="14"/>
  <c r="T59" i="14"/>
  <c r="R127" i="14"/>
  <c r="R119" i="14"/>
  <c r="Q123" i="14"/>
  <c r="P127" i="14"/>
  <c r="P119" i="14"/>
  <c r="O123" i="14"/>
  <c r="N127" i="14"/>
  <c r="N119" i="14"/>
  <c r="M123" i="14"/>
  <c r="S127" i="14"/>
  <c r="S123" i="14"/>
  <c r="S119" i="14"/>
  <c r="T127" i="14"/>
  <c r="T119" i="14"/>
  <c r="L124" i="14"/>
  <c r="Q55" i="14"/>
  <c r="Q47" i="14"/>
  <c r="M55" i="14"/>
  <c r="M47" i="14"/>
  <c r="S51" i="14"/>
  <c r="K55" i="14"/>
  <c r="O46" i="14"/>
  <c r="R102" i="14"/>
  <c r="R94" i="14"/>
  <c r="Q98" i="14"/>
  <c r="P102" i="14"/>
  <c r="P94" i="14"/>
  <c r="O98" i="14"/>
  <c r="N102" i="14"/>
  <c r="M100" i="14"/>
  <c r="M92" i="14"/>
  <c r="L101" i="14"/>
  <c r="L97" i="14"/>
  <c r="S96" i="14"/>
  <c r="S93" i="14"/>
  <c r="K103" i="14"/>
  <c r="N95" i="14"/>
  <c r="R90" i="14"/>
  <c r="R82" i="14"/>
  <c r="Q86" i="14"/>
  <c r="P90" i="14"/>
  <c r="P82" i="14"/>
  <c r="O86" i="14"/>
  <c r="M90" i="14"/>
  <c r="M82" i="14"/>
  <c r="K82" i="14"/>
  <c r="N81" i="14"/>
  <c r="T80" i="14"/>
  <c r="S80" i="14"/>
  <c r="N80" i="14"/>
  <c r="L80" i="14"/>
  <c r="S84" i="14"/>
  <c r="M43" i="14"/>
  <c r="Q36" i="14"/>
  <c r="P40" i="14"/>
  <c r="P32" i="14"/>
  <c r="O39" i="14"/>
  <c r="K35" i="14"/>
  <c r="N36" i="14"/>
  <c r="M40" i="14"/>
  <c r="M32" i="14"/>
  <c r="T40" i="14"/>
  <c r="T36" i="14"/>
  <c r="T32" i="14"/>
  <c r="K40" i="14"/>
  <c r="K36" i="14"/>
  <c r="S34" i="14"/>
  <c r="R66" i="14"/>
  <c r="Q63" i="14"/>
  <c r="P67" i="14"/>
  <c r="O64" i="14"/>
  <c r="O56" i="14"/>
  <c r="M60" i="14"/>
  <c r="T62" i="14"/>
  <c r="K63" i="14"/>
  <c r="L65" i="14"/>
  <c r="N56" i="14"/>
  <c r="R57" i="14"/>
  <c r="T58" i="14"/>
  <c r="T61" i="14"/>
  <c r="K62" i="14"/>
  <c r="L66" i="14"/>
  <c r="R126" i="14"/>
  <c r="R118" i="14"/>
  <c r="Q122" i="14"/>
  <c r="P126" i="14"/>
  <c r="P118" i="14"/>
  <c r="O122" i="14"/>
  <c r="N126" i="14"/>
  <c r="N118" i="14"/>
  <c r="M122" i="14"/>
  <c r="K127" i="14"/>
  <c r="K123" i="14"/>
  <c r="K119" i="14"/>
  <c r="T126" i="14"/>
  <c r="T118" i="14"/>
  <c r="L116" i="14"/>
  <c r="R101" i="14"/>
  <c r="R93" i="14"/>
  <c r="Q97" i="14"/>
  <c r="P101" i="14"/>
  <c r="P93" i="14"/>
  <c r="O97" i="14"/>
  <c r="N101" i="14"/>
  <c r="M99" i="14"/>
  <c r="K102" i="14"/>
  <c r="T100" i="14"/>
  <c r="T96" i="14"/>
  <c r="L94" i="14"/>
  <c r="L103" i="14"/>
  <c r="S102" i="14"/>
  <c r="T101" i="14"/>
  <c r="R89" i="14"/>
  <c r="R81" i="14"/>
  <c r="Q85" i="14"/>
  <c r="P89" i="14"/>
  <c r="P81" i="14"/>
  <c r="O85" i="14"/>
  <c r="M89" i="14"/>
  <c r="M81" i="14"/>
  <c r="S81" i="14"/>
  <c r="S91" i="14"/>
  <c r="N91" i="14"/>
  <c r="L91" i="14"/>
  <c r="K91" i="14"/>
  <c r="N90" i="14"/>
  <c r="T89" i="14"/>
  <c r="S43" i="14"/>
  <c r="Q35" i="14"/>
  <c r="P39" i="14"/>
  <c r="K34" i="14"/>
  <c r="O38" i="14"/>
  <c r="O43" i="14"/>
  <c r="N35" i="14"/>
  <c r="M39" i="14"/>
  <c r="S35" i="14"/>
  <c r="L40" i="14"/>
  <c r="L36" i="14"/>
  <c r="L32" i="14"/>
  <c r="S39" i="14"/>
  <c r="R36" i="14"/>
  <c r="R32" i="14"/>
  <c r="R65" i="14"/>
  <c r="Q62" i="14"/>
  <c r="P66" i="14"/>
  <c r="O63" i="14"/>
  <c r="M67" i="14"/>
  <c r="M59" i="14"/>
  <c r="P61" i="14"/>
  <c r="S62" i="14"/>
  <c r="T64" i="14"/>
  <c r="N67" i="14"/>
  <c r="R100" i="14"/>
  <c r="R92" i="14"/>
  <c r="Q96" i="14"/>
  <c r="P100" i="14"/>
  <c r="P92" i="14"/>
  <c r="O96" i="14"/>
  <c r="N100" i="14"/>
  <c r="M98" i="14"/>
  <c r="S101" i="14"/>
  <c r="N97" i="14"/>
  <c r="N94" i="14"/>
  <c r="T93" i="14"/>
  <c r="T102" i="14"/>
  <c r="K99" i="14"/>
  <c r="L102" i="14"/>
  <c r="R88" i="14"/>
  <c r="R80" i="14"/>
  <c r="Q84" i="14"/>
  <c r="P88" i="14"/>
  <c r="P80" i="14"/>
  <c r="O84" i="14"/>
  <c r="M88" i="14"/>
  <c r="M80" i="14"/>
  <c r="T91" i="14"/>
  <c r="L89" i="14"/>
  <c r="K89" i="14"/>
  <c r="T90" i="14"/>
  <c r="S90" i="14"/>
  <c r="K88" i="14"/>
  <c r="L90" i="14"/>
  <c r="Q42" i="14"/>
  <c r="Q34" i="14"/>
  <c r="P38" i="14"/>
  <c r="K33" i="14"/>
  <c r="O37" i="14"/>
  <c r="N42" i="14"/>
  <c r="N34" i="14"/>
  <c r="M38" i="14"/>
  <c r="S32" i="14"/>
  <c r="T39" i="14"/>
  <c r="T35" i="14"/>
  <c r="K43" i="14"/>
  <c r="K39" i="14"/>
  <c r="R34" i="14"/>
  <c r="R33" i="14"/>
  <c r="R64" i="14"/>
  <c r="Q61" i="14"/>
  <c r="P65" i="14"/>
  <c r="O62" i="14"/>
  <c r="M66" i="14"/>
  <c r="M58" i="14"/>
  <c r="K60" i="14"/>
  <c r="N61" i="14"/>
  <c r="R62" i="14"/>
  <c r="K65" i="14"/>
  <c r="L67" i="14"/>
  <c r="K56" i="14"/>
  <c r="R99" i="14"/>
  <c r="Q103" i="14"/>
  <c r="Q95" i="14"/>
  <c r="P99" i="14"/>
  <c r="O103" i="14"/>
  <c r="O95" i="14"/>
  <c r="N99" i="14"/>
  <c r="M97" i="14"/>
  <c r="K98" i="14"/>
  <c r="K95" i="14"/>
  <c r="K92" i="14"/>
  <c r="S103" i="14"/>
  <c r="L99" i="14"/>
  <c r="S98" i="14"/>
  <c r="T97" i="14"/>
  <c r="R87" i="14"/>
  <c r="Q91" i="14"/>
  <c r="Q83" i="14"/>
  <c r="P87" i="14"/>
  <c r="O91" i="14"/>
  <c r="O83" i="14"/>
  <c r="M87" i="14"/>
  <c r="K90" i="14"/>
  <c r="N89" i="14"/>
  <c r="T88" i="14"/>
  <c r="S88" i="14"/>
  <c r="N88" i="14"/>
  <c r="L88" i="14"/>
  <c r="S87" i="14"/>
  <c r="K85" i="14"/>
  <c r="Q41" i="14"/>
  <c r="Q33" i="14"/>
  <c r="P37" i="14"/>
  <c r="K32" i="14"/>
  <c r="O36" i="14"/>
  <c r="N41" i="14"/>
  <c r="N33" i="14"/>
  <c r="M37" i="14"/>
  <c r="L43" i="14"/>
  <c r="L39" i="14"/>
  <c r="L35" i="14"/>
  <c r="S42" i="14"/>
  <c r="S38" i="14"/>
  <c r="R37" i="14"/>
  <c r="R41" i="14"/>
  <c r="R63" i="14"/>
  <c r="Q60" i="14"/>
  <c r="P64" i="14"/>
  <c r="O61" i="14"/>
  <c r="M65" i="14"/>
  <c r="M57" i="14"/>
  <c r="S59" i="14"/>
  <c r="R59" i="14"/>
  <c r="L61" i="14"/>
  <c r="S64" i="14"/>
  <c r="T66" i="14"/>
  <c r="K67" i="14"/>
  <c r="S58" i="14"/>
  <c r="R58" i="14"/>
  <c r="P58" i="14"/>
  <c r="R123" i="14"/>
  <c r="Q127" i="14"/>
  <c r="Q119" i="14"/>
  <c r="P123" i="14"/>
  <c r="O127" i="14"/>
  <c r="O119" i="14"/>
  <c r="N123" i="14"/>
  <c r="M127" i="14"/>
  <c r="M119" i="14"/>
  <c r="S125" i="14"/>
  <c r="S121" i="14"/>
  <c r="S117" i="14"/>
  <c r="T123" i="14"/>
  <c r="L121" i="14"/>
  <c r="L119" i="14"/>
  <c r="Q51" i="14"/>
  <c r="O55" i="14"/>
  <c r="M51" i="14"/>
  <c r="L55" i="14"/>
  <c r="S47" i="14"/>
  <c r="O50" i="14"/>
  <c r="L53" i="14"/>
  <c r="K45" i="14"/>
  <c r="T49" i="14"/>
  <c r="R52" i="14"/>
  <c r="P44" i="14"/>
  <c r="O48" i="14"/>
  <c r="N52" i="14"/>
  <c r="N44" i="14"/>
  <c r="N55" i="14"/>
  <c r="R98" i="14"/>
  <c r="Q102" i="14"/>
  <c r="Q94" i="14"/>
  <c r="P98" i="14"/>
  <c r="O102" i="14"/>
  <c r="O94" i="14"/>
  <c r="N98" i="14"/>
  <c r="M96" i="14"/>
  <c r="S97" i="14"/>
  <c r="S94" i="14"/>
  <c r="T103" i="14"/>
  <c r="K100" i="14"/>
  <c r="T98" i="14"/>
  <c r="K96" i="14"/>
  <c r="K93" i="14"/>
  <c r="R86" i="14"/>
  <c r="Q90" i="14"/>
  <c r="Q82" i="14"/>
  <c r="P86" i="14"/>
  <c r="O90" i="14"/>
  <c r="O82" i="14"/>
  <c r="M86" i="14"/>
  <c r="S89" i="14"/>
  <c r="K87" i="14"/>
  <c r="N86" i="14"/>
  <c r="L86" i="14"/>
  <c r="K86" i="14"/>
  <c r="T87" i="14"/>
  <c r="L85" i="14"/>
  <c r="N87" i="14"/>
  <c r="Q40" i="14"/>
  <c r="Q32" i="14"/>
  <c r="P36" i="14"/>
  <c r="P43" i="14"/>
  <c r="O35" i="14"/>
  <c r="N40" i="14"/>
  <c r="N32" i="14"/>
  <c r="M36" i="14"/>
  <c r="T42" i="14"/>
  <c r="T38" i="14"/>
  <c r="T34" i="14"/>
  <c r="K42" i="14"/>
  <c r="K38" i="14"/>
  <c r="R38" i="14"/>
  <c r="R42" i="14"/>
  <c r="Q67" i="14"/>
  <c r="Q59" i="14"/>
  <c r="P63" i="14"/>
  <c r="O60" i="14"/>
  <c r="M64" i="14"/>
  <c r="M56" i="14"/>
  <c r="N58" i="14"/>
  <c r="L58" i="14"/>
  <c r="T60" i="14"/>
  <c r="P62" i="14"/>
  <c r="N64" i="14"/>
  <c r="S66" i="14"/>
  <c r="N57" i="14"/>
  <c r="L57" i="14"/>
  <c r="K57" i="14"/>
  <c r="R122" i="14"/>
  <c r="Q126" i="14"/>
  <c r="Q118" i="14"/>
  <c r="P122" i="14"/>
  <c r="R97" i="14"/>
  <c r="Q101" i="14"/>
  <c r="Q93" i="14"/>
  <c r="P97" i="14"/>
  <c r="O101" i="14"/>
  <c r="O93" i="14"/>
  <c r="M103" i="14"/>
  <c r="M95" i="14"/>
  <c r="L95" i="14"/>
  <c r="L92" i="14"/>
  <c r="L100" i="14"/>
  <c r="S99" i="14"/>
  <c r="L96" i="14"/>
  <c r="S95" i="14"/>
  <c r="L98" i="14"/>
  <c r="R85" i="14"/>
  <c r="Q89" i="14"/>
  <c r="Q81" i="14"/>
  <c r="P85" i="14"/>
  <c r="O89" i="14"/>
  <c r="O81" i="14"/>
  <c r="M85" i="14"/>
  <c r="L87" i="14"/>
  <c r="S86" i="14"/>
  <c r="K84" i="14"/>
  <c r="T85" i="14"/>
  <c r="S85" i="14"/>
  <c r="N85" i="14"/>
  <c r="T84" i="14"/>
  <c r="T81" i="14"/>
  <c r="Q39" i="14"/>
  <c r="R43" i="14"/>
  <c r="P35" i="14"/>
  <c r="O42" i="14"/>
  <c r="O34" i="14"/>
  <c r="N39" i="14"/>
  <c r="N43" i="14"/>
  <c r="M35" i="14"/>
  <c r="L42" i="14"/>
  <c r="L38" i="14"/>
  <c r="L34" i="14"/>
  <c r="S41" i="14"/>
  <c r="S37" i="14"/>
  <c r="R39" i="14"/>
  <c r="S33" i="14"/>
  <c r="Q66" i="14"/>
  <c r="Q58" i="14"/>
  <c r="O67" i="14"/>
  <c r="O59" i="14"/>
  <c r="M63" i="14"/>
  <c r="K66" i="14"/>
  <c r="R56" i="14"/>
  <c r="T57" i="14"/>
  <c r="P59" i="14"/>
  <c r="K61" i="14"/>
  <c r="N62" i="14"/>
  <c r="L64" i="14"/>
  <c r="N66" i="14"/>
  <c r="T56" i="14"/>
  <c r="N63" i="14"/>
  <c r="R121" i="14"/>
  <c r="Q125" i="14"/>
  <c r="Q117" i="14"/>
  <c r="P121" i="14"/>
  <c r="O125" i="14"/>
  <c r="O117" i="14"/>
  <c r="N121" i="14"/>
  <c r="M125" i="14"/>
  <c r="M117" i="14"/>
  <c r="S124" i="14"/>
  <c r="S120" i="14"/>
  <c r="S116" i="14"/>
  <c r="T121" i="14"/>
  <c r="L120" i="14"/>
  <c r="L118" i="14"/>
  <c r="Q49" i="14"/>
  <c r="O53" i="14"/>
  <c r="M49" i="14"/>
  <c r="P53" i="14"/>
  <c r="N45" i="14"/>
  <c r="T48" i="14"/>
  <c r="P51" i="14"/>
  <c r="T55" i="14"/>
  <c r="O47" i="14"/>
  <c r="K50" i="14"/>
  <c r="R96" i="14"/>
  <c r="Q100" i="14"/>
  <c r="Q92" i="14"/>
  <c r="P96" i="14"/>
  <c r="O100" i="14"/>
  <c r="O92" i="14"/>
  <c r="M102" i="14"/>
  <c r="M94" i="14"/>
  <c r="T94" i="14"/>
  <c r="K101" i="14"/>
  <c r="T99" i="14"/>
  <c r="N96" i="14"/>
  <c r="T95" i="14"/>
  <c r="L93" i="14"/>
  <c r="S92" i="14"/>
  <c r="R84" i="14"/>
  <c r="Q88" i="14"/>
  <c r="Q80" i="14"/>
  <c r="P84" i="14"/>
  <c r="O88" i="14"/>
  <c r="O80" i="14"/>
  <c r="M84" i="14"/>
  <c r="T86" i="14"/>
  <c r="L84" i="14"/>
  <c r="S83" i="14"/>
  <c r="N83" i="14"/>
  <c r="L83" i="14"/>
  <c r="K83" i="14"/>
  <c r="N82" i="14"/>
  <c r="L82" i="14"/>
  <c r="Q38" i="14"/>
  <c r="P42" i="14"/>
  <c r="P34" i="14"/>
  <c r="O41" i="14"/>
  <c r="O33" i="14"/>
  <c r="N38" i="14"/>
  <c r="M42" i="14"/>
  <c r="M34" i="14"/>
  <c r="T41" i="14"/>
  <c r="T37" i="14"/>
  <c r="T33" i="14"/>
  <c r="K41" i="14"/>
  <c r="K37" i="14"/>
  <c r="R35" i="14"/>
  <c r="T43" i="14"/>
  <c r="Q65" i="14"/>
  <c r="Q57" i="14"/>
  <c r="O66" i="14"/>
  <c r="O58" i="14"/>
  <c r="K77" i="14"/>
  <c r="S79" i="14"/>
  <c r="S69" i="14"/>
  <c r="L70" i="14"/>
  <c r="T72" i="14"/>
  <c r="N73" i="14"/>
  <c r="S73" i="14"/>
  <c r="M71" i="14"/>
  <c r="M79" i="14"/>
  <c r="O75" i="14"/>
  <c r="P71" i="14"/>
  <c r="P79" i="14"/>
  <c r="Q75" i="14"/>
  <c r="R71" i="14"/>
  <c r="R79" i="14"/>
  <c r="L114" i="14"/>
  <c r="T110" i="14"/>
  <c r="S104" i="14"/>
  <c r="S107" i="14"/>
  <c r="S111" i="14"/>
  <c r="S115" i="14"/>
  <c r="M111" i="14"/>
  <c r="N107" i="14"/>
  <c r="N115" i="14"/>
  <c r="O111" i="14"/>
  <c r="P107" i="14"/>
  <c r="P115" i="14"/>
  <c r="Q111" i="14"/>
  <c r="R107" i="14"/>
  <c r="R115" i="14"/>
  <c r="R20" i="14"/>
  <c r="R29" i="14"/>
  <c r="L21" i="14"/>
  <c r="L25" i="14"/>
  <c r="L29" i="14"/>
  <c r="K28" i="14"/>
  <c r="M25" i="14"/>
  <c r="N21" i="14"/>
  <c r="N29" i="14"/>
  <c r="O20" i="14"/>
  <c r="O28" i="14"/>
  <c r="S31" i="14"/>
  <c r="P27" i="14"/>
  <c r="Q23" i="14"/>
  <c r="Q31" i="14"/>
  <c r="R46" i="14"/>
  <c r="S50" i="14"/>
  <c r="L47" i="14"/>
  <c r="S45" i="14"/>
  <c r="R44" i="14"/>
  <c r="P54" i="14"/>
  <c r="R54" i="14"/>
  <c r="K44" i="14"/>
  <c r="M45" i="14"/>
  <c r="O54" i="14"/>
  <c r="Q54" i="14"/>
  <c r="T117" i="14"/>
  <c r="S118" i="14"/>
  <c r="S126" i="14"/>
  <c r="N117" i="14"/>
  <c r="O121" i="14"/>
  <c r="Q116" i="14"/>
  <c r="R125" i="14"/>
  <c r="K59" i="14"/>
  <c r="P56" i="14"/>
  <c r="Q19" i="14"/>
  <c r="Q18" i="14"/>
  <c r="Q17" i="14"/>
  <c r="Q16" i="14"/>
  <c r="Q15" i="14"/>
  <c r="Q14" i="14"/>
  <c r="Q13" i="14"/>
  <c r="Q12" i="14"/>
  <c r="Q11" i="14"/>
  <c r="Q10" i="14"/>
  <c r="Q9" i="14"/>
  <c r="P19" i="14"/>
  <c r="P18" i="14"/>
  <c r="P17" i="14"/>
  <c r="P16" i="14"/>
  <c r="P15" i="14"/>
  <c r="P14" i="14"/>
  <c r="P13" i="14"/>
  <c r="P12" i="14"/>
  <c r="P11" i="14"/>
  <c r="P10" i="14"/>
  <c r="P9" i="14"/>
  <c r="O19" i="14"/>
  <c r="O18" i="14"/>
  <c r="O17" i="14"/>
  <c r="O16" i="14"/>
  <c r="O15" i="14"/>
  <c r="O14" i="14"/>
  <c r="O13" i="14"/>
  <c r="O12" i="14"/>
  <c r="O11" i="14"/>
  <c r="O10" i="14"/>
  <c r="O9" i="14"/>
  <c r="N19" i="14"/>
  <c r="N18" i="14"/>
  <c r="N17" i="14"/>
  <c r="N16" i="14"/>
  <c r="N15" i="14"/>
  <c r="N14" i="14"/>
  <c r="N13" i="14"/>
  <c r="N12" i="14"/>
  <c r="N11" i="14"/>
  <c r="N10" i="14"/>
  <c r="N9" i="14"/>
  <c r="M19" i="14"/>
  <c r="M18" i="14"/>
  <c r="M17" i="14"/>
  <c r="M16" i="14"/>
  <c r="M15" i="14"/>
  <c r="M14" i="14"/>
  <c r="M13" i="14"/>
  <c r="M12" i="14"/>
  <c r="M11" i="14"/>
  <c r="M10" i="14"/>
  <c r="M9" i="14"/>
  <c r="T19" i="14"/>
  <c r="L19" i="14"/>
  <c r="T18" i="14"/>
  <c r="L18" i="14"/>
  <c r="T17" i="14"/>
  <c r="L17" i="14"/>
  <c r="T16" i="14"/>
  <c r="L16" i="14"/>
  <c r="T15" i="14"/>
  <c r="L15" i="14"/>
  <c r="T14" i="14"/>
  <c r="L14" i="14"/>
  <c r="T13" i="14"/>
  <c r="L13" i="14"/>
  <c r="T12" i="14"/>
  <c r="L12" i="14"/>
  <c r="T11" i="14"/>
  <c r="L11" i="14"/>
  <c r="T10" i="14"/>
  <c r="L10" i="14"/>
  <c r="T9" i="14"/>
  <c r="L9" i="14"/>
  <c r="K15" i="14"/>
  <c r="R14" i="14"/>
  <c r="S13" i="14"/>
  <c r="S19" i="14"/>
  <c r="R12" i="14"/>
  <c r="R19" i="14"/>
  <c r="S10" i="14"/>
  <c r="S14" i="14"/>
  <c r="K14" i="14"/>
  <c r="R13" i="14"/>
  <c r="S12" i="14"/>
  <c r="K13" i="14"/>
  <c r="S11" i="14"/>
  <c r="S18" i="14"/>
  <c r="K12" i="14"/>
  <c r="K16" i="14"/>
  <c r="R11" i="14"/>
  <c r="K19" i="14"/>
  <c r="R18" i="14"/>
  <c r="S17" i="14"/>
  <c r="K11" i="14"/>
  <c r="R10" i="14"/>
  <c r="S9" i="14"/>
  <c r="R16" i="14"/>
  <c r="K9" i="14"/>
  <c r="R15" i="14"/>
  <c r="K18" i="14"/>
  <c r="R17" i="14"/>
  <c r="S16" i="14"/>
  <c r="K10" i="14"/>
  <c r="R9" i="14"/>
  <c r="K17" i="14"/>
  <c r="S15" i="14"/>
  <c r="N69" i="14"/>
  <c r="K70" i="14"/>
  <c r="S72" i="14"/>
  <c r="L73" i="14"/>
  <c r="T75" i="14"/>
  <c r="K74" i="14"/>
  <c r="M72" i="14"/>
  <c r="O68" i="14"/>
  <c r="O76" i="14"/>
  <c r="P72" i="14"/>
  <c r="Q68" i="14"/>
  <c r="Q76" i="14"/>
  <c r="R72" i="14"/>
  <c r="L111" i="14"/>
  <c r="L107" i="14"/>
  <c r="T111" i="14"/>
  <c r="K105" i="14"/>
  <c r="K108" i="14"/>
  <c r="K112" i="14"/>
  <c r="M104" i="14"/>
  <c r="M112" i="14"/>
  <c r="N108" i="14"/>
  <c r="O104" i="14"/>
  <c r="O112" i="14"/>
  <c r="P108" i="14"/>
  <c r="Q104" i="14"/>
  <c r="Q112" i="14"/>
  <c r="R108" i="14"/>
  <c r="R23" i="14"/>
  <c r="R28" i="14"/>
  <c r="K21" i="14"/>
  <c r="T21" i="14"/>
  <c r="T25" i="14"/>
  <c r="T29" i="14"/>
  <c r="K30" i="14"/>
  <c r="M26" i="14"/>
  <c r="N22" i="14"/>
  <c r="N30" i="14"/>
  <c r="O21" i="14"/>
  <c r="O29" i="14"/>
  <c r="P20" i="14"/>
  <c r="P28" i="14"/>
  <c r="Q24" i="14"/>
  <c r="R50" i="14"/>
  <c r="L44" i="14"/>
  <c r="K51" i="14"/>
  <c r="R49" i="14"/>
  <c r="K46" i="14"/>
  <c r="T45" i="14"/>
  <c r="S44" i="14"/>
  <c r="T44" i="14"/>
  <c r="P46" i="14"/>
  <c r="M46" i="14"/>
  <c r="Q44" i="14"/>
  <c r="L127" i="14"/>
  <c r="T120" i="14"/>
  <c r="K120" i="14"/>
  <c r="M116" i="14"/>
  <c r="N120" i="14"/>
  <c r="O124" i="14"/>
  <c r="Q120" i="14"/>
  <c r="S56" i="14"/>
  <c r="P60" i="14"/>
  <c r="T67" i="14"/>
  <c r="K73" i="14"/>
  <c r="S75" i="14"/>
  <c r="L76" i="14"/>
  <c r="N76" i="14"/>
  <c r="M73" i="14"/>
  <c r="O69" i="14"/>
  <c r="O77" i="14"/>
  <c r="P73" i="14"/>
  <c r="Q69" i="14"/>
  <c r="Q77" i="14"/>
  <c r="R73" i="14"/>
  <c r="L110" i="14"/>
  <c r="T105" i="14"/>
  <c r="T112" i="14"/>
  <c r="T104" i="14"/>
  <c r="S108" i="14"/>
  <c r="S112" i="14"/>
  <c r="M105" i="14"/>
  <c r="M113" i="14"/>
  <c r="N109" i="14"/>
  <c r="O105" i="14"/>
  <c r="O113" i="14"/>
  <c r="P109" i="14"/>
  <c r="Q105" i="14"/>
  <c r="Q113" i="14"/>
  <c r="R109" i="14"/>
  <c r="R24" i="14"/>
  <c r="S20" i="14"/>
  <c r="S21" i="14"/>
  <c r="L22" i="14"/>
  <c r="L26" i="14"/>
  <c r="L30" i="14"/>
  <c r="K31" i="14"/>
  <c r="M27" i="14"/>
  <c r="N23" i="14"/>
  <c r="N31" i="14"/>
  <c r="O22" i="14"/>
  <c r="O30" i="14"/>
  <c r="P21" i="14"/>
  <c r="P29" i="14"/>
  <c r="Q25" i="14"/>
  <c r="O49" i="14"/>
  <c r="L52" i="14"/>
  <c r="S53" i="14"/>
  <c r="T50" i="14"/>
  <c r="N47" i="14"/>
  <c r="L46" i="14"/>
  <c r="N46" i="14"/>
  <c r="L45" i="14"/>
  <c r="K48" i="14"/>
  <c r="M48" i="14"/>
  <c r="Q45" i="14"/>
  <c r="L126" i="14"/>
  <c r="T122" i="14"/>
  <c r="K121" i="14"/>
  <c r="M118" i="14"/>
  <c r="N122" i="14"/>
  <c r="O126" i="14"/>
  <c r="Q121" i="14"/>
  <c r="R61" i="14"/>
  <c r="T63" i="14"/>
  <c r="S65" i="14"/>
  <c r="L72" i="14"/>
  <c r="T74" i="14"/>
  <c r="N75" i="14"/>
  <c r="K76" i="14"/>
  <c r="S78" i="14"/>
  <c r="T78" i="14"/>
  <c r="M74" i="14"/>
  <c r="O70" i="14"/>
  <c r="O78" i="14"/>
  <c r="P74" i="14"/>
  <c r="Q70" i="14"/>
  <c r="Q78" i="14"/>
  <c r="R74" i="14"/>
  <c r="L109" i="14"/>
  <c r="L113" i="14"/>
  <c r="T113" i="14"/>
  <c r="L105" i="14"/>
  <c r="K109" i="14"/>
  <c r="K113" i="14"/>
  <c r="M106" i="14"/>
  <c r="M114" i="14"/>
  <c r="N110" i="14"/>
  <c r="O106" i="14"/>
  <c r="O114" i="14"/>
  <c r="P110" i="14"/>
  <c r="Q106" i="14"/>
  <c r="Q114" i="14"/>
  <c r="R110" i="14"/>
  <c r="R31" i="14"/>
  <c r="R21" i="14"/>
  <c r="R22" i="14"/>
  <c r="T22" i="14"/>
  <c r="T26" i="14"/>
  <c r="T30" i="14"/>
  <c r="M20" i="14"/>
  <c r="M28" i="14"/>
  <c r="N24" i="14"/>
  <c r="S24" i="14"/>
  <c r="O23" i="14"/>
  <c r="O31" i="14"/>
  <c r="P22" i="14"/>
  <c r="P30" i="14"/>
  <c r="Q26" i="14"/>
  <c r="L48" i="14"/>
  <c r="P45" i="14"/>
  <c r="K54" i="14"/>
  <c r="L51" i="14"/>
  <c r="P48" i="14"/>
  <c r="R48" i="14"/>
  <c r="P47" i="14"/>
  <c r="R47" i="14"/>
  <c r="N49" i="14"/>
  <c r="M50" i="14"/>
  <c r="Q46" i="14"/>
  <c r="L117" i="14"/>
  <c r="T124" i="14"/>
  <c r="K122" i="14"/>
  <c r="M120" i="14"/>
  <c r="N124" i="14"/>
  <c r="P116" i="14"/>
  <c r="Q124" i="14"/>
  <c r="L60" i="14"/>
  <c r="P57" i="14"/>
  <c r="M62" i="14"/>
  <c r="R8" i="14"/>
  <c r="Q8" i="14"/>
  <c r="P8" i="14"/>
  <c r="O8" i="14"/>
  <c r="N8" i="14"/>
  <c r="M8" i="14"/>
  <c r="T8" i="14"/>
  <c r="L8" i="14"/>
  <c r="S8" i="14"/>
  <c r="K8" i="14"/>
  <c r="E22" i="9"/>
  <c r="AA52" i="12"/>
  <c r="AC52" i="12" s="1"/>
  <c r="AA6" i="12"/>
  <c r="AC6" i="12" s="1"/>
  <c r="AA51" i="12"/>
  <c r="AC51" i="12" s="1"/>
  <c r="AA11" i="12"/>
  <c r="AC11" i="12" s="1"/>
  <c r="AA50" i="12"/>
  <c r="AC50" i="12" s="1"/>
  <c r="AA15" i="12"/>
  <c r="AC15" i="12" s="1"/>
  <c r="AA10" i="12"/>
  <c r="AC10" i="12" s="1"/>
  <c r="AA7" i="12"/>
  <c r="AC7" i="12" s="1"/>
  <c r="AA54" i="12"/>
  <c r="AC54" i="12" s="1"/>
  <c r="AA57" i="12"/>
  <c r="AC57" i="12" s="1"/>
  <c r="AA42" i="12"/>
  <c r="AC42" i="12" s="1"/>
  <c r="AA13" i="12"/>
  <c r="AC13" i="12" s="1"/>
  <c r="AA59" i="12"/>
  <c r="AC59" i="12" s="1"/>
  <c r="AA55" i="12"/>
  <c r="AC55" i="12" s="1"/>
  <c r="AA61" i="12"/>
  <c r="AC61" i="12" s="1"/>
  <c r="AA43" i="12"/>
  <c r="AC43" i="12" s="1"/>
  <c r="AA49" i="12"/>
  <c r="AC49" i="12" s="1"/>
  <c r="AA44" i="12"/>
  <c r="AC44" i="12" s="1"/>
  <c r="AA48" i="12"/>
  <c r="AC48" i="12" s="1"/>
  <c r="AA12" i="12"/>
  <c r="AC12" i="12" s="1"/>
  <c r="AA60" i="12"/>
  <c r="AC60" i="12" s="1"/>
  <c r="AA16" i="12"/>
  <c r="AC16" i="12" s="1"/>
  <c r="AA17" i="12"/>
  <c r="AC17" i="12" s="1"/>
  <c r="AA14" i="12"/>
  <c r="AC14" i="12" s="1"/>
  <c r="AA62" i="12"/>
  <c r="AC62" i="12" s="1"/>
  <c r="AA63" i="12"/>
  <c r="AC63" i="12" s="1"/>
  <c r="AA65" i="12"/>
  <c r="AC65" i="12" s="1"/>
  <c r="AA8" i="12"/>
  <c r="AC8" i="12" s="1"/>
  <c r="E20" i="7"/>
  <c r="F20" i="7" s="1"/>
  <c r="Z29" i="12"/>
  <c r="R29" i="12"/>
  <c r="J29" i="12"/>
  <c r="Z28" i="12"/>
  <c r="Y29" i="12"/>
  <c r="Q29" i="12"/>
  <c r="I29" i="12"/>
  <c r="Y28" i="12"/>
  <c r="Q28" i="12"/>
  <c r="I28" i="12"/>
  <c r="Y27" i="12"/>
  <c r="Q27" i="12"/>
  <c r="I27" i="12"/>
  <c r="Y26" i="12"/>
  <c r="Q26" i="12"/>
  <c r="I26" i="12"/>
  <c r="Y25" i="12"/>
  <c r="Q25" i="12"/>
  <c r="I25" i="12"/>
  <c r="Y24" i="12"/>
  <c r="Q24" i="12"/>
  <c r="I24" i="12"/>
  <c r="Y23" i="12"/>
  <c r="Q23" i="12"/>
  <c r="I23" i="12"/>
  <c r="Y22" i="12"/>
  <c r="Q22" i="12"/>
  <c r="I22" i="12"/>
  <c r="Y21" i="12"/>
  <c r="Q21" i="12"/>
  <c r="I21" i="12"/>
  <c r="Y20" i="12"/>
  <c r="Q20" i="12"/>
  <c r="I20" i="12"/>
  <c r="Y19" i="12"/>
  <c r="Q19" i="12"/>
  <c r="I19" i="12"/>
  <c r="Y18" i="12"/>
  <c r="Q18" i="12"/>
  <c r="I18" i="12"/>
  <c r="V29" i="12"/>
  <c r="L29" i="12"/>
  <c r="X28" i="12"/>
  <c r="O28" i="12"/>
  <c r="F28" i="12"/>
  <c r="U27" i="12"/>
  <c r="L27" i="12"/>
  <c r="C27" i="12"/>
  <c r="R26" i="12"/>
  <c r="H26" i="12"/>
  <c r="W25" i="12"/>
  <c r="N25" i="12"/>
  <c r="E25" i="12"/>
  <c r="T24" i="12"/>
  <c r="K24" i="12"/>
  <c r="Z23" i="12"/>
  <c r="P23" i="12"/>
  <c r="G23" i="12"/>
  <c r="V22" i="12"/>
  <c r="M22" i="12"/>
  <c r="D22" i="12"/>
  <c r="S21" i="12"/>
  <c r="J21" i="12"/>
  <c r="X20" i="12"/>
  <c r="O20" i="12"/>
  <c r="F20" i="12"/>
  <c r="U19" i="12"/>
  <c r="L19" i="12"/>
  <c r="C19" i="12"/>
  <c r="R18" i="12"/>
  <c r="H18" i="12"/>
  <c r="U29" i="12"/>
  <c r="W28" i="12"/>
  <c r="E28" i="12"/>
  <c r="K27" i="12"/>
  <c r="P26" i="12"/>
  <c r="V25" i="12"/>
  <c r="D25" i="12"/>
  <c r="J24" i="12"/>
  <c r="O23" i="12"/>
  <c r="U22" i="12"/>
  <c r="C22" i="12"/>
  <c r="H21" i="12"/>
  <c r="N20" i="12"/>
  <c r="T19" i="12"/>
  <c r="Z18" i="12"/>
  <c r="G18" i="12"/>
  <c r="K29" i="12"/>
  <c r="N28" i="12"/>
  <c r="T27" i="12"/>
  <c r="Z26" i="12"/>
  <c r="G26" i="12"/>
  <c r="M25" i="12"/>
  <c r="S24" i="12"/>
  <c r="X23" i="12"/>
  <c r="F23" i="12"/>
  <c r="L22" i="12"/>
  <c r="R21" i="12"/>
  <c r="W20" i="12"/>
  <c r="E20" i="12"/>
  <c r="K19" i="12"/>
  <c r="P18" i="12"/>
  <c r="P29" i="12"/>
  <c r="D29" i="12"/>
  <c r="M28" i="12"/>
  <c r="Z27" i="12"/>
  <c r="N27" i="12"/>
  <c r="X26" i="12"/>
  <c r="M26" i="12"/>
  <c r="Z25" i="12"/>
  <c r="L25" i="12"/>
  <c r="X24" i="12"/>
  <c r="M24" i="12"/>
  <c r="W23" i="12"/>
  <c r="L23" i="12"/>
  <c r="X22" i="12"/>
  <c r="K22" i="12"/>
  <c r="W21" i="12"/>
  <c r="L21" i="12"/>
  <c r="V20" i="12"/>
  <c r="K20" i="12"/>
  <c r="W19" i="12"/>
  <c r="J19" i="12"/>
  <c r="V18" i="12"/>
  <c r="K18" i="12"/>
  <c r="N29" i="12"/>
  <c r="K28" i="12"/>
  <c r="J27" i="12"/>
  <c r="K26" i="12"/>
  <c r="J25" i="12"/>
  <c r="H24" i="12"/>
  <c r="J23" i="12"/>
  <c r="H22" i="12"/>
  <c r="G21" i="12"/>
  <c r="H20" i="12"/>
  <c r="G19" i="12"/>
  <c r="F18" i="12"/>
  <c r="M29" i="12"/>
  <c r="J28" i="12"/>
  <c r="H27" i="12"/>
  <c r="O29" i="12"/>
  <c r="C29" i="12"/>
  <c r="L28" i="12"/>
  <c r="X27" i="12"/>
  <c r="M27" i="12"/>
  <c r="W26" i="12"/>
  <c r="L26" i="12"/>
  <c r="X25" i="12"/>
  <c r="K25" i="12"/>
  <c r="W24" i="12"/>
  <c r="L24" i="12"/>
  <c r="V23" i="12"/>
  <c r="K23" i="12"/>
  <c r="W22" i="12"/>
  <c r="J22" i="12"/>
  <c r="V21" i="12"/>
  <c r="K21" i="12"/>
  <c r="U20" i="12"/>
  <c r="J20" i="12"/>
  <c r="V19" i="12"/>
  <c r="H19" i="12"/>
  <c r="U18" i="12"/>
  <c r="J18" i="12"/>
  <c r="V28" i="12"/>
  <c r="W27" i="12"/>
  <c r="V26" i="12"/>
  <c r="U25" i="12"/>
  <c r="V24" i="12"/>
  <c r="U23" i="12"/>
  <c r="T22" i="12"/>
  <c r="U21" i="12"/>
  <c r="T20" i="12"/>
  <c r="S19" i="12"/>
  <c r="T18" i="12"/>
  <c r="U28" i="12"/>
  <c r="V27" i="12"/>
  <c r="H29" i="12"/>
  <c r="H28" i="12"/>
  <c r="G27" i="12"/>
  <c r="N26" i="12"/>
  <c r="R25" i="12"/>
  <c r="U24" i="12"/>
  <c r="D24" i="12"/>
  <c r="E23" i="12"/>
  <c r="N22" i="12"/>
  <c r="O21" i="12"/>
  <c r="S20" i="12"/>
  <c r="Z19" i="12"/>
  <c r="E19" i="12"/>
  <c r="L18" i="12"/>
  <c r="E29" i="12"/>
  <c r="D27" i="12"/>
  <c r="H25" i="12"/>
  <c r="S23" i="12"/>
  <c r="E22" i="12"/>
  <c r="M20" i="12"/>
  <c r="W18" i="12"/>
  <c r="S27" i="12"/>
  <c r="G25" i="12"/>
  <c r="S22" i="12"/>
  <c r="L20" i="12"/>
  <c r="S18" i="12"/>
  <c r="S28" i="12"/>
  <c r="T26" i="12"/>
  <c r="N23" i="12"/>
  <c r="D21" i="12"/>
  <c r="O18" i="12"/>
  <c r="P27" i="12"/>
  <c r="C25" i="12"/>
  <c r="P22" i="12"/>
  <c r="C21" i="12"/>
  <c r="G29" i="12"/>
  <c r="G28" i="12"/>
  <c r="F27" i="12"/>
  <c r="J26" i="12"/>
  <c r="P25" i="12"/>
  <c r="R24" i="12"/>
  <c r="C24" i="12"/>
  <c r="D23" i="12"/>
  <c r="G22" i="12"/>
  <c r="N21" i="12"/>
  <c r="R20" i="12"/>
  <c r="X19" i="12"/>
  <c r="D19" i="12"/>
  <c r="E18" i="12"/>
  <c r="F29" i="12"/>
  <c r="D28" i="12"/>
  <c r="E27" i="12"/>
  <c r="F26" i="12"/>
  <c r="O25" i="12"/>
  <c r="P24" i="12"/>
  <c r="T23" i="12"/>
  <c r="C23" i="12"/>
  <c r="F22" i="12"/>
  <c r="M21" i="12"/>
  <c r="P20" i="12"/>
  <c r="R19" i="12"/>
  <c r="X18" i="12"/>
  <c r="D18" i="12"/>
  <c r="C28" i="12"/>
  <c r="E26" i="12"/>
  <c r="O24" i="12"/>
  <c r="Z22" i="12"/>
  <c r="F21" i="12"/>
  <c r="P19" i="12"/>
  <c r="C18" i="12"/>
  <c r="X29" i="12"/>
  <c r="U26" i="12"/>
  <c r="N24" i="12"/>
  <c r="Z21" i="12"/>
  <c r="O19" i="12"/>
  <c r="W29" i="12"/>
  <c r="F25" i="12"/>
  <c r="R22" i="12"/>
  <c r="G20" i="12"/>
  <c r="R28" i="12"/>
  <c r="T25" i="12"/>
  <c r="M23" i="12"/>
  <c r="M19" i="12"/>
  <c r="P28" i="12"/>
  <c r="O26" i="12"/>
  <c r="E24" i="12"/>
  <c r="O22" i="12"/>
  <c r="Z20" i="12"/>
  <c r="F19" i="12"/>
  <c r="T28" i="12"/>
  <c r="D26" i="12"/>
  <c r="R23" i="12"/>
  <c r="E21" i="12"/>
  <c r="R27" i="12"/>
  <c r="C26" i="12"/>
  <c r="G24" i="12"/>
  <c r="X21" i="12"/>
  <c r="N19" i="12"/>
  <c r="T29" i="12"/>
  <c r="S26" i="12"/>
  <c r="F24" i="12"/>
  <c r="T21" i="12"/>
  <c r="D20" i="12"/>
  <c r="N18" i="12"/>
  <c r="S29" i="12"/>
  <c r="O27" i="12"/>
  <c r="S25" i="12"/>
  <c r="Z24" i="12"/>
  <c r="H23" i="12"/>
  <c r="P21" i="12"/>
  <c r="C20" i="12"/>
  <c r="M18" i="12"/>
  <c r="AA9" i="12"/>
  <c r="AC9" i="12" s="1"/>
  <c r="AA56" i="12"/>
  <c r="AC56" i="12" s="1"/>
  <c r="AA58" i="12"/>
  <c r="AC58" i="12" s="1"/>
  <c r="AA64" i="12"/>
  <c r="AC64" i="12" s="1"/>
  <c r="AA47" i="12"/>
  <c r="AC47" i="12" s="1"/>
  <c r="AA46" i="12"/>
  <c r="AC46" i="12" s="1"/>
  <c r="AA45" i="12"/>
  <c r="AC45" i="12" s="1"/>
  <c r="AA53" i="12"/>
  <c r="AC53" i="12" s="1"/>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A33" i="12" l="1"/>
  <c r="AC33" i="12" s="1"/>
  <c r="AA38" i="12"/>
  <c r="AC38" i="12" s="1"/>
  <c r="AA40" i="12"/>
  <c r="AC40" i="12" s="1"/>
  <c r="AA39" i="12"/>
  <c r="AC39" i="12" s="1"/>
  <c r="AA31" i="12"/>
  <c r="AC31" i="12" s="1"/>
  <c r="AA30" i="12"/>
  <c r="AC30" i="12" s="1"/>
  <c r="AA36" i="12"/>
  <c r="AC36" i="12" s="1"/>
  <c r="AA35" i="12"/>
  <c r="AC35" i="12" s="1"/>
  <c r="AA37" i="12"/>
  <c r="AC37" i="12" s="1"/>
  <c r="AA32" i="12"/>
  <c r="AC32" i="12" s="1"/>
  <c r="AA41" i="12"/>
  <c r="AC41" i="12" s="1"/>
  <c r="AA34" i="12"/>
  <c r="AC34" i="12" s="1"/>
  <c r="AA68" i="14"/>
  <c r="AC68" i="14" s="1"/>
  <c r="AA79" i="14"/>
  <c r="AC79" i="14" s="1"/>
  <c r="AA94" i="14"/>
  <c r="AC94" i="14" s="1"/>
  <c r="AA77" i="14"/>
  <c r="AC77" i="14" s="1"/>
  <c r="AA62" i="14"/>
  <c r="AC62" i="14" s="1"/>
  <c r="AA48" i="14"/>
  <c r="AC48" i="14" s="1"/>
  <c r="AA31" i="14"/>
  <c r="AC31" i="14" s="1"/>
  <c r="AA70" i="14"/>
  <c r="AC70" i="14" s="1"/>
  <c r="AA47" i="14"/>
  <c r="AC47" i="14" s="1"/>
  <c r="AA69" i="14"/>
  <c r="AC69" i="14" s="1"/>
  <c r="AA51" i="14"/>
  <c r="AC51" i="14" s="1"/>
  <c r="AA28" i="14"/>
  <c r="AC28" i="14" s="1"/>
  <c r="AA108" i="14"/>
  <c r="AC108" i="14" s="1"/>
  <c r="AA111" i="14"/>
  <c r="AC111" i="14" s="1"/>
  <c r="AA74" i="14"/>
  <c r="AC74" i="14" s="1"/>
  <c r="AA121" i="14"/>
  <c r="AC121" i="14" s="1"/>
  <c r="AA25" i="14"/>
  <c r="AC25" i="14" s="1"/>
  <c r="AA107" i="14"/>
  <c r="AC107" i="14" s="1"/>
  <c r="AA115" i="14"/>
  <c r="AC115" i="14" s="1"/>
  <c r="AA75" i="14"/>
  <c r="AC75" i="14" s="1"/>
  <c r="AA72" i="14"/>
  <c r="AC72" i="14" s="1"/>
  <c r="AA41" i="14"/>
  <c r="AC41" i="14" s="1"/>
  <c r="AA38" i="14"/>
  <c r="AC38" i="14" s="1"/>
  <c r="AA102" i="14"/>
  <c r="AC102" i="14" s="1"/>
  <c r="AA125" i="14"/>
  <c r="AC125" i="14" s="1"/>
  <c r="AA63" i="14"/>
  <c r="AC63" i="14" s="1"/>
  <c r="AA58" i="14"/>
  <c r="AC58" i="14" s="1"/>
  <c r="AA40" i="14"/>
  <c r="AC40" i="14" s="1"/>
  <c r="AA90" i="14"/>
  <c r="AC90" i="14" s="1"/>
  <c r="AA100" i="14"/>
  <c r="AC100" i="14" s="1"/>
  <c r="AA98" i="14"/>
  <c r="AC98" i="14" s="1"/>
  <c r="AA37" i="14"/>
  <c r="AC37" i="14" s="1"/>
  <c r="AA32" i="14"/>
  <c r="AC32" i="14" s="1"/>
  <c r="AA105" i="14"/>
  <c r="AC105" i="14" s="1"/>
  <c r="AA96" i="14"/>
  <c r="AC96" i="14" s="1"/>
  <c r="AA35" i="14"/>
  <c r="AC35" i="14" s="1"/>
  <c r="AA103" i="14"/>
  <c r="AC103" i="14" s="1"/>
  <c r="AA60" i="14"/>
  <c r="AC60" i="14" s="1"/>
  <c r="AA54" i="14"/>
  <c r="AC54" i="14" s="1"/>
  <c r="AA21" i="14"/>
  <c r="AC21" i="14" s="1"/>
  <c r="AA109" i="14"/>
  <c r="AC109" i="14" s="1"/>
  <c r="AA53" i="14"/>
  <c r="AC53" i="14" s="1"/>
  <c r="AA26" i="14"/>
  <c r="AC26" i="14" s="1"/>
  <c r="AA71" i="14"/>
  <c r="AC71" i="14" s="1"/>
  <c r="AA66" i="14"/>
  <c r="AC66" i="14" s="1"/>
  <c r="AA33" i="14"/>
  <c r="AC33" i="14" s="1"/>
  <c r="AA34" i="14"/>
  <c r="AC34" i="14" s="1"/>
  <c r="AA84" i="14"/>
  <c r="AC84" i="14" s="1"/>
  <c r="AA36" i="14"/>
  <c r="AC36" i="14" s="1"/>
  <c r="AA123" i="14"/>
  <c r="AC123" i="14" s="1"/>
  <c r="AA55" i="14"/>
  <c r="AC55" i="14" s="1"/>
  <c r="AA119" i="14"/>
  <c r="AC119" i="14" s="1"/>
  <c r="AA93" i="14"/>
  <c r="AC93" i="14" s="1"/>
  <c r="AA106" i="14"/>
  <c r="AC106" i="14" s="1"/>
  <c r="AA67" i="14"/>
  <c r="AC67" i="14" s="1"/>
  <c r="AA85" i="14"/>
  <c r="AC85" i="14" s="1"/>
  <c r="AA86" i="14"/>
  <c r="AC86" i="14" s="1"/>
  <c r="AA88" i="14"/>
  <c r="AC88" i="14" s="1"/>
  <c r="AA101" i="14"/>
  <c r="AC101" i="14" s="1"/>
  <c r="AA43" i="14"/>
  <c r="AC43" i="14" s="1"/>
  <c r="AA59" i="14"/>
  <c r="AC59" i="14" s="1"/>
  <c r="AA83" i="14"/>
  <c r="AC83" i="14" s="1"/>
  <c r="AA116" i="14"/>
  <c r="AC116" i="14" s="1"/>
  <c r="AA56" i="14"/>
  <c r="AC56" i="14" s="1"/>
  <c r="AA113" i="14"/>
  <c r="AC113" i="14" s="1"/>
  <c r="AA57" i="14"/>
  <c r="AC57" i="14" s="1"/>
  <c r="AA61" i="14"/>
  <c r="AC61" i="14" s="1"/>
  <c r="AA87" i="14"/>
  <c r="AC87" i="14" s="1"/>
  <c r="AA95" i="14"/>
  <c r="AC95" i="14" s="1"/>
  <c r="AA65" i="14"/>
  <c r="AC65" i="14" s="1"/>
  <c r="AA42" i="14"/>
  <c r="AC42" i="14" s="1"/>
  <c r="AA80" i="14"/>
  <c r="AC80" i="14" s="1"/>
  <c r="AA39" i="14"/>
  <c r="AC39" i="14" s="1"/>
  <c r="AA89" i="14"/>
  <c r="AC89" i="14" s="1"/>
  <c r="AA97" i="14"/>
  <c r="AC97" i="14" s="1"/>
  <c r="AA118" i="14"/>
  <c r="AC118" i="14" s="1"/>
  <c r="AA64" i="14"/>
  <c r="AC64" i="14" s="1"/>
  <c r="AA82" i="14"/>
  <c r="AC82" i="14" s="1"/>
  <c r="AA92" i="14"/>
  <c r="AC92" i="14" s="1"/>
  <c r="AA124" i="14"/>
  <c r="AC124" i="14" s="1"/>
  <c r="AA127" i="14"/>
  <c r="AC127" i="14" s="1"/>
  <c r="AA81" i="14"/>
  <c r="AC81" i="14" s="1"/>
  <c r="AA91" i="14"/>
  <c r="AC91" i="14" s="1"/>
  <c r="AA99" i="14"/>
  <c r="AC99" i="14" s="1"/>
  <c r="AA52" i="14"/>
  <c r="AC52" i="14" s="1"/>
  <c r="AA27" i="14"/>
  <c r="AC27" i="14" s="1"/>
  <c r="AA117" i="14"/>
  <c r="AC117" i="14" s="1"/>
  <c r="AA29" i="14"/>
  <c r="AC29" i="14" s="1"/>
  <c r="AA24" i="14"/>
  <c r="AC24" i="14" s="1"/>
  <c r="AA104" i="14"/>
  <c r="AC104" i="14" s="1"/>
  <c r="AA49" i="14"/>
  <c r="AC49" i="14" s="1"/>
  <c r="AA20" i="14"/>
  <c r="AC20" i="14" s="1"/>
  <c r="AA110" i="14"/>
  <c r="AC110" i="14" s="1"/>
  <c r="AA76" i="14"/>
  <c r="AC76" i="14" s="1"/>
  <c r="AA23" i="14"/>
  <c r="AC23" i="14" s="1"/>
  <c r="AA126" i="14"/>
  <c r="AC126" i="14" s="1"/>
  <c r="AA73" i="14"/>
  <c r="AC73" i="14" s="1"/>
  <c r="AA120" i="14"/>
  <c r="AC120" i="14" s="1"/>
  <c r="AA46" i="14"/>
  <c r="AC46" i="14" s="1"/>
  <c r="AA112" i="14"/>
  <c r="AC112" i="14" s="1"/>
  <c r="AA44" i="14"/>
  <c r="AC44" i="14" s="1"/>
  <c r="AA50" i="14"/>
  <c r="AC50" i="14" s="1"/>
  <c r="AA45" i="14"/>
  <c r="AC45" i="14" s="1"/>
  <c r="AA114" i="14"/>
  <c r="AC114" i="14" s="1"/>
  <c r="AA30" i="14"/>
  <c r="AC30" i="14" s="1"/>
  <c r="AA22" i="14"/>
  <c r="AC22" i="14" s="1"/>
  <c r="AA122" i="14"/>
  <c r="AC122" i="14" s="1"/>
  <c r="AA78" i="14"/>
  <c r="AC78" i="14" s="1"/>
  <c r="S128" i="14"/>
  <c r="AA19" i="14"/>
  <c r="AC19" i="14" s="1"/>
  <c r="AA16" i="14"/>
  <c r="AC16" i="14" s="1"/>
  <c r="R128" i="14"/>
  <c r="AA10" i="14"/>
  <c r="AC10" i="14" s="1"/>
  <c r="AA11" i="14"/>
  <c r="AC11" i="14" s="1"/>
  <c r="AA13" i="14"/>
  <c r="AC13" i="14" s="1"/>
  <c r="O128" i="14"/>
  <c r="AA18" i="14"/>
  <c r="AC18" i="14" s="1"/>
  <c r="AA17" i="14"/>
  <c r="AC17" i="14" s="1"/>
  <c r="L128" i="14"/>
  <c r="T128" i="14"/>
  <c r="Q128" i="14"/>
  <c r="AA14" i="14"/>
  <c r="AC14" i="14" s="1"/>
  <c r="AA12" i="14"/>
  <c r="AC12" i="14" s="1"/>
  <c r="N128" i="14"/>
  <c r="P128" i="14"/>
  <c r="K128" i="14"/>
  <c r="AA8" i="14"/>
  <c r="M128" i="14"/>
  <c r="AA15" i="14"/>
  <c r="AC15" i="14" s="1"/>
  <c r="AA9" i="14"/>
  <c r="AC9" i="14" s="1"/>
  <c r="E126" i="12"/>
  <c r="AA18" i="12"/>
  <c r="AC18" i="12" s="1"/>
  <c r="X126" i="12"/>
  <c r="O126" i="12"/>
  <c r="L126" i="12"/>
  <c r="Y126" i="12"/>
  <c r="Q126" i="12"/>
  <c r="T126" i="12"/>
  <c r="U126" i="12"/>
  <c r="W126" i="12"/>
  <c r="K126" i="12"/>
  <c r="M126" i="12"/>
  <c r="V126" i="12"/>
  <c r="J126" i="12"/>
  <c r="Z126" i="12"/>
  <c r="F126" i="12"/>
  <c r="I126" i="12"/>
  <c r="P126" i="12"/>
  <c r="R126" i="12"/>
  <c r="S126" i="12"/>
  <c r="N126" i="12"/>
  <c r="D126" i="12"/>
  <c r="G126" i="12"/>
  <c r="H126" i="12"/>
  <c r="AA29" i="12"/>
  <c r="AC29" i="12" s="1"/>
  <c r="AA21" i="12"/>
  <c r="AC21" i="12" s="1"/>
  <c r="AA22" i="12"/>
  <c r="AC22" i="12" s="1"/>
  <c r="AA24" i="12"/>
  <c r="AC24" i="12" s="1"/>
  <c r="AA19" i="12"/>
  <c r="AA23" i="12"/>
  <c r="AC23" i="12" s="1"/>
  <c r="AA25" i="12"/>
  <c r="AC25" i="12" s="1"/>
  <c r="AA28" i="12"/>
  <c r="AC28" i="12" s="1"/>
  <c r="AA27" i="12"/>
  <c r="AC27" i="12" s="1"/>
  <c r="AA20" i="12"/>
  <c r="AC20" i="12" s="1"/>
  <c r="AA26" i="12"/>
  <c r="AC26" i="12" s="1"/>
  <c r="C126" i="12"/>
  <c r="AB125" i="6"/>
  <c r="AB124" i="6"/>
  <c r="AB123" i="6"/>
  <c r="AB122" i="6"/>
  <c r="AB121" i="6"/>
  <c r="AB120" i="6"/>
  <c r="AB119" i="6"/>
  <c r="AB118" i="6"/>
  <c r="AB117" i="6"/>
  <c r="AB116" i="6"/>
  <c r="AB115" i="6"/>
  <c r="AB114" i="6"/>
  <c r="AB113" i="6"/>
  <c r="AB112" i="6"/>
  <c r="AB111" i="6"/>
  <c r="AB110" i="6"/>
  <c r="AB109" i="6"/>
  <c r="AB108" i="6"/>
  <c r="AB107" i="6"/>
  <c r="AB106" i="6"/>
  <c r="AB105" i="6"/>
  <c r="AB104" i="6"/>
  <c r="AB103" i="6"/>
  <c r="AB102" i="6"/>
  <c r="AB101" i="6"/>
  <c r="AB100" i="6"/>
  <c r="AB99" i="6"/>
  <c r="AB98" i="6"/>
  <c r="AB97" i="6"/>
  <c r="AB96" i="6"/>
  <c r="AB95" i="6"/>
  <c r="AB94" i="6"/>
  <c r="AB93" i="6"/>
  <c r="AB92" i="6"/>
  <c r="AB91" i="6"/>
  <c r="AB90" i="6"/>
  <c r="AB89" i="6"/>
  <c r="AB88" i="6"/>
  <c r="AB87" i="6"/>
  <c r="AB86" i="6"/>
  <c r="AB85" i="6"/>
  <c r="AB84" i="6"/>
  <c r="AB83" i="6"/>
  <c r="AB82" i="6"/>
  <c r="AB81" i="6"/>
  <c r="AB80" i="6"/>
  <c r="AB79" i="6"/>
  <c r="AB78" i="6"/>
  <c r="AB77" i="6"/>
  <c r="AB76" i="6"/>
  <c r="AB75" i="6"/>
  <c r="AB74" i="6"/>
  <c r="AB73" i="6"/>
  <c r="AB72" i="6"/>
  <c r="AB71" i="6"/>
  <c r="AB70" i="6"/>
  <c r="AB69" i="6"/>
  <c r="AB68" i="6"/>
  <c r="AB67" i="6"/>
  <c r="AB66" i="6"/>
  <c r="AB65" i="6"/>
  <c r="AB64" i="6"/>
  <c r="AB63" i="6"/>
  <c r="AB62" i="6"/>
  <c r="AB61" i="6"/>
  <c r="AB60" i="6"/>
  <c r="AB59" i="6"/>
  <c r="AB58" i="6"/>
  <c r="AB57" i="6"/>
  <c r="AB56" i="6"/>
  <c r="AB55" i="6"/>
  <c r="AB54" i="6"/>
  <c r="AB53" i="6"/>
  <c r="AB52" i="6"/>
  <c r="AB51" i="6"/>
  <c r="AB50" i="6"/>
  <c r="AB49" i="6"/>
  <c r="AB48" i="6"/>
  <c r="AB47" i="6"/>
  <c r="AB46" i="6"/>
  <c r="AB45" i="6"/>
  <c r="AB44" i="6"/>
  <c r="AB43" i="6"/>
  <c r="AB42" i="6"/>
  <c r="AB41" i="6"/>
  <c r="AC8" i="14" l="1"/>
  <c r="AC128" i="14" s="1"/>
  <c r="AA128" i="14"/>
  <c r="AC19" i="12"/>
  <c r="AC126" i="12" s="1"/>
  <c r="AA126" i="12"/>
  <c r="AA119" i="6"/>
  <c r="AA120" i="6"/>
  <c r="AA116" i="6"/>
  <c r="AA121" i="6"/>
  <c r="AA117" i="6"/>
  <c r="AA112" i="6"/>
  <c r="AA124" i="6"/>
  <c r="AA110" i="6"/>
  <c r="AA101" i="6"/>
  <c r="AA111" i="6"/>
  <c r="AA60" i="6"/>
  <c r="AA83" i="6"/>
  <c r="AA97" i="6"/>
  <c r="AA103" i="6"/>
  <c r="AA105" i="6"/>
  <c r="AA113" i="6"/>
  <c r="AA108" i="6"/>
  <c r="AA104" i="6"/>
  <c r="AA106" i="6"/>
  <c r="AA102" i="6"/>
  <c r="AA109" i="6"/>
  <c r="AA107" i="6"/>
  <c r="AA118" i="6"/>
  <c r="AA115" i="6"/>
  <c r="AA114" i="6"/>
  <c r="AA123" i="6"/>
  <c r="AA125" i="6"/>
  <c r="AA122" i="6"/>
  <c r="AA67" i="6"/>
  <c r="AA58" i="6"/>
  <c r="AA98" i="6"/>
  <c r="AA92" i="6"/>
  <c r="AA88" i="6"/>
  <c r="AA81" i="6"/>
  <c r="AA94" i="6"/>
  <c r="AA85" i="6"/>
  <c r="AA76" i="6"/>
  <c r="AA54" i="6"/>
  <c r="AA59" i="6"/>
  <c r="AA96" i="6"/>
  <c r="AA86" i="6"/>
  <c r="AA87" i="6"/>
  <c r="AA82" i="6"/>
  <c r="AA99" i="6"/>
  <c r="AA91" i="6"/>
  <c r="AA80" i="6"/>
  <c r="AA95" i="6"/>
  <c r="AA90" i="6"/>
  <c r="AA100" i="6"/>
  <c r="AA93" i="6"/>
  <c r="AA89" i="6"/>
  <c r="AA84" i="6"/>
  <c r="AA79" i="6"/>
  <c r="AA78" i="6"/>
  <c r="AA48" i="6"/>
  <c r="AA56" i="6"/>
  <c r="AA71" i="6"/>
  <c r="AA63" i="6"/>
  <c r="AA72" i="6"/>
  <c r="AA55" i="6"/>
  <c r="AA75" i="6"/>
  <c r="AA70" i="6"/>
  <c r="AA73" i="6"/>
  <c r="AA74" i="6"/>
  <c r="AA69" i="6"/>
  <c r="AA57" i="6"/>
  <c r="AA62" i="6"/>
  <c r="AA66" i="6"/>
  <c r="AA68" i="6"/>
  <c r="AA61" i="6"/>
  <c r="AA65" i="6"/>
  <c r="AA64" i="6"/>
  <c r="AA42" i="6"/>
  <c r="AA49" i="6"/>
  <c r="AA46" i="6"/>
  <c r="AA51" i="6"/>
  <c r="AA45" i="6"/>
  <c r="AA47" i="6"/>
  <c r="AA44" i="6"/>
  <c r="AA53" i="6"/>
  <c r="AA52" i="6"/>
  <c r="AA43" i="6"/>
  <c r="AA50" i="6"/>
  <c r="AA77" i="6"/>
  <c r="AB40" i="6" l="1"/>
  <c r="AB39" i="6"/>
  <c r="AB38" i="6"/>
  <c r="AB37" i="6"/>
  <c r="AB36" i="6"/>
  <c r="AB35" i="6"/>
  <c r="AB34" i="6"/>
  <c r="AB33" i="6"/>
  <c r="AB32" i="6"/>
  <c r="AB31" i="6"/>
  <c r="AB30" i="6"/>
  <c r="AB29" i="6"/>
  <c r="AB28" i="6"/>
  <c r="AB27" i="6"/>
  <c r="AB26" i="6"/>
  <c r="AB25" i="6"/>
  <c r="AB24" i="6"/>
  <c r="AB23" i="6"/>
  <c r="AB22" i="6"/>
  <c r="AB21" i="6"/>
  <c r="AB20" i="6"/>
  <c r="AB19" i="6"/>
  <c r="AB18" i="6"/>
  <c r="AB17" i="6"/>
  <c r="AB16" i="6"/>
  <c r="AB15" i="6"/>
  <c r="AB14" i="6"/>
  <c r="AB13" i="6"/>
  <c r="AB12" i="6"/>
  <c r="AB11" i="6"/>
  <c r="AB10" i="6"/>
  <c r="AB9" i="6"/>
  <c r="AB8" i="6"/>
  <c r="AB7" i="6"/>
  <c r="AB6" i="6"/>
  <c r="AA25" i="6" l="1"/>
  <c r="AA24" i="6"/>
  <c r="AA20" i="6"/>
  <c r="AB126" i="6"/>
  <c r="AA7" i="6"/>
  <c r="AA6" i="6"/>
  <c r="AA29" i="6" l="1"/>
  <c r="AA22" i="6"/>
  <c r="AA19" i="6"/>
  <c r="AA23" i="6"/>
  <c r="AA41" i="6"/>
  <c r="AA28" i="6"/>
  <c r="AA27" i="6"/>
  <c r="AA21" i="6"/>
  <c r="AA18" i="6"/>
  <c r="AA26" i="6"/>
  <c r="C126" i="6"/>
  <c r="AA39" i="6"/>
  <c r="AA37" i="6"/>
  <c r="AA38" i="6"/>
  <c r="AA33" i="6"/>
  <c r="AA40" i="6"/>
  <c r="AA36" i="6"/>
  <c r="AA30" i="6"/>
  <c r="AA34" i="6"/>
  <c r="AA31" i="6"/>
  <c r="AA35" i="6"/>
  <c r="AA32" i="6"/>
  <c r="AA8" i="6" l="1"/>
  <c r="AA9" i="6" l="1"/>
  <c r="AA10" i="6" l="1"/>
  <c r="AA11" i="6" l="1"/>
  <c r="AA12" i="6" l="1"/>
  <c r="AA13" i="6" l="1"/>
  <c r="AA14" i="6" l="1"/>
  <c r="AA15" i="6" l="1"/>
  <c r="AA16" i="6" l="1"/>
  <c r="Z126" i="6" l="1"/>
  <c r="R126" i="6"/>
  <c r="J126" i="6"/>
  <c r="G126" i="6"/>
  <c r="K126" i="6"/>
  <c r="Y126" i="6"/>
  <c r="Q126" i="6"/>
  <c r="I126" i="6"/>
  <c r="O126" i="6"/>
  <c r="S126" i="6"/>
  <c r="X126" i="6"/>
  <c r="P126" i="6"/>
  <c r="H126" i="6"/>
  <c r="W126" i="6"/>
  <c r="V126" i="6"/>
  <c r="N126" i="6"/>
  <c r="F126" i="6"/>
  <c r="T126" i="6"/>
  <c r="U126" i="6"/>
  <c r="M126" i="6"/>
  <c r="E126" i="6"/>
  <c r="L126" i="6"/>
  <c r="D126" i="6"/>
  <c r="C12" i="3" l="1"/>
  <c r="E12" i="3" s="1"/>
  <c r="C10" i="3"/>
  <c r="C15" i="3"/>
  <c r="E15" i="3" s="1"/>
  <c r="C14" i="3"/>
  <c r="E14" i="3" s="1"/>
  <c r="C17" i="3"/>
  <c r="E17" i="3" s="1"/>
  <c r="C16" i="3"/>
  <c r="E16" i="3" s="1"/>
  <c r="C13" i="3"/>
  <c r="E13" i="3" s="1"/>
  <c r="C18" i="3"/>
  <c r="E18" i="3" s="1"/>
  <c r="C19" i="3"/>
  <c r="E19" i="3" s="1"/>
  <c r="C11" i="3"/>
  <c r="E11" i="3" s="1"/>
  <c r="AA17" i="6"/>
  <c r="L29" i="10" l="1"/>
  <c r="F25" i="10"/>
  <c r="E21" i="10"/>
  <c r="R29" i="10"/>
  <c r="I25" i="10"/>
  <c r="G21" i="10"/>
  <c r="U25" i="10"/>
  <c r="O22" i="10"/>
  <c r="E26" i="10"/>
  <c r="Y21" i="10"/>
  <c r="N26" i="10"/>
  <c r="M22" i="10"/>
  <c r="E18" i="10"/>
  <c r="Q26" i="10"/>
  <c r="V19" i="10"/>
  <c r="O28" i="10"/>
  <c r="E24" i="10"/>
  <c r="Y19" i="10"/>
  <c r="Q28" i="10"/>
  <c r="N24" i="10"/>
  <c r="M20" i="10"/>
  <c r="X28" i="10"/>
  <c r="V25" i="10"/>
  <c r="U21" i="10"/>
  <c r="U20" i="10"/>
  <c r="N29" i="10"/>
  <c r="G25" i="10"/>
  <c r="E23" i="10"/>
  <c r="U18" i="10"/>
  <c r="I27" i="10"/>
  <c r="G23" i="10"/>
  <c r="F19" i="10"/>
  <c r="U27" i="10"/>
  <c r="M23" i="10"/>
  <c r="N20" i="10"/>
  <c r="I29" i="10"/>
  <c r="U24" i="10"/>
  <c r="Q20" i="10"/>
  <c r="Y23" i="10"/>
  <c r="F23" i="10"/>
  <c r="I21" i="10"/>
  <c r="Q24" i="10"/>
  <c r="E27" i="10"/>
  <c r="V21" i="10"/>
  <c r="G27" i="10"/>
  <c r="M26" i="10"/>
  <c r="N22" i="10"/>
  <c r="U26" i="10"/>
  <c r="Y27" i="10"/>
  <c r="U22" i="10"/>
  <c r="F21" i="10"/>
  <c r="M25" i="10"/>
  <c r="M18" i="10"/>
  <c r="O20" i="10"/>
  <c r="Y25" i="10"/>
  <c r="E20" i="10"/>
  <c r="V27" i="10"/>
  <c r="V23" i="10"/>
  <c r="F27" i="10"/>
  <c r="I23" i="10"/>
  <c r="W25" i="10"/>
  <c r="F28" i="10"/>
  <c r="E19" i="10"/>
  <c r="O26" i="10"/>
  <c r="J29" i="10"/>
  <c r="W21" i="10"/>
  <c r="M24" i="10"/>
  <c r="M21" i="10"/>
  <c r="O18" i="10"/>
  <c r="W19" i="10"/>
  <c r="G19" i="10"/>
  <c r="W27" i="10"/>
  <c r="M19" i="10"/>
  <c r="W23" i="10"/>
  <c r="T28" i="10"/>
  <c r="N18" i="10"/>
  <c r="Q18" i="10"/>
  <c r="I19" i="10"/>
  <c r="Q22" i="10"/>
  <c r="U19" i="10"/>
  <c r="E22" i="10"/>
  <c r="U23" i="10"/>
  <c r="E25" i="10"/>
  <c r="M27" i="10"/>
  <c r="K28" i="10"/>
  <c r="T27" i="10"/>
  <c r="D25" i="10"/>
  <c r="L22" i="10"/>
  <c r="T19" i="10"/>
  <c r="G29" i="10"/>
  <c r="K26" i="10"/>
  <c r="S23" i="10"/>
  <c r="C21" i="10"/>
  <c r="O24" i="10"/>
  <c r="Z29" i="10"/>
  <c r="D27" i="10"/>
  <c r="L24" i="10"/>
  <c r="T21" i="10"/>
  <c r="Q29" i="10"/>
  <c r="T26" i="10"/>
  <c r="D24" i="10"/>
  <c r="L21" i="10"/>
  <c r="T18" i="10"/>
  <c r="D28" i="10"/>
  <c r="K25" i="10"/>
  <c r="S22" i="10"/>
  <c r="C20" i="10"/>
  <c r="O29" i="10"/>
  <c r="R26" i="10"/>
  <c r="Z23" i="10"/>
  <c r="J21" i="10"/>
  <c r="R18" i="10"/>
  <c r="P27" i="10"/>
  <c r="X24" i="10"/>
  <c r="H22" i="10"/>
  <c r="P19" i="10"/>
  <c r="P28" i="10"/>
  <c r="S29" i="10"/>
  <c r="H29" i="10"/>
  <c r="L26" i="10"/>
  <c r="T23" i="10"/>
  <c r="D21" i="10"/>
  <c r="L18" i="10"/>
  <c r="S27" i="10"/>
  <c r="C25" i="10"/>
  <c r="K22" i="10"/>
  <c r="S28" i="10"/>
  <c r="L25" i="10"/>
  <c r="D20" i="10"/>
  <c r="K27" i="10"/>
  <c r="K23" i="10"/>
  <c r="K19" i="10"/>
  <c r="L28" i="10"/>
  <c r="J25" i="10"/>
  <c r="J22" i="10"/>
  <c r="J19" i="10"/>
  <c r="X27" i="10"/>
  <c r="P24" i="10"/>
  <c r="P21" i="10"/>
  <c r="P18" i="10"/>
  <c r="N19" i="10"/>
  <c r="V24" i="10"/>
  <c r="W20" i="10"/>
  <c r="G26" i="10"/>
  <c r="Y22" i="10"/>
  <c r="J28" i="10"/>
  <c r="C28" i="10"/>
  <c r="T24" i="10"/>
  <c r="L19" i="10"/>
  <c r="C27" i="10"/>
  <c r="C23" i="10"/>
  <c r="C19" i="10"/>
  <c r="Z27" i="10"/>
  <c r="Z24" i="10"/>
  <c r="Z21" i="10"/>
  <c r="Z18" i="10"/>
  <c r="H27" i="10"/>
  <c r="H24" i="10"/>
  <c r="H21" i="10"/>
  <c r="H18" i="10"/>
  <c r="F20" i="10"/>
  <c r="N25" i="10"/>
  <c r="O21" i="10"/>
  <c r="W26" i="10"/>
  <c r="I18" i="10"/>
  <c r="Q23" i="10"/>
  <c r="E29" i="10"/>
  <c r="W28" i="10"/>
  <c r="L23" i="10"/>
  <c r="D19" i="10"/>
  <c r="S26" i="10"/>
  <c r="C22" i="10"/>
  <c r="S18" i="10"/>
  <c r="R27" i="10"/>
  <c r="R24" i="10"/>
  <c r="R21" i="10"/>
  <c r="J18" i="10"/>
  <c r="X26" i="10"/>
  <c r="X23" i="10"/>
  <c r="X20" i="10"/>
  <c r="V20" i="10"/>
  <c r="F26" i="10"/>
  <c r="G22" i="10"/>
  <c r="O27" i="10"/>
  <c r="Y18" i="10"/>
  <c r="I24" i="10"/>
  <c r="W29" i="10"/>
  <c r="N28" i="10"/>
  <c r="D23" i="10"/>
  <c r="D18" i="10"/>
  <c r="C26" i="10"/>
  <c r="S21" i="10"/>
  <c r="K18" i="10"/>
  <c r="J27" i="10"/>
  <c r="J24" i="10"/>
  <c r="Z20" i="10"/>
  <c r="V29" i="10"/>
  <c r="P26" i="10"/>
  <c r="P23" i="10"/>
  <c r="P20" i="10"/>
  <c r="N21" i="10"/>
  <c r="V26" i="10"/>
  <c r="W22" i="10"/>
  <c r="H28" i="10"/>
  <c r="Q19" i="10"/>
  <c r="Y24" i="10"/>
  <c r="E28" i="10"/>
  <c r="T22" i="10"/>
  <c r="Y29" i="10"/>
  <c r="S25" i="10"/>
  <c r="K21" i="10"/>
  <c r="C18" i="10"/>
  <c r="Z26" i="10"/>
  <c r="R23" i="10"/>
  <c r="R20" i="10"/>
  <c r="M29" i="10"/>
  <c r="H26" i="10"/>
  <c r="H23" i="10"/>
  <c r="H20" i="10"/>
  <c r="F22" i="10"/>
  <c r="N27" i="10"/>
  <c r="G18" i="10"/>
  <c r="O23" i="10"/>
  <c r="Z28" i="10"/>
  <c r="I20" i="10"/>
  <c r="Q25" i="10"/>
  <c r="K29" i="10"/>
  <c r="D26" i="10"/>
  <c r="T20" i="10"/>
  <c r="V28" i="10"/>
  <c r="K24" i="10"/>
  <c r="K20" i="10"/>
  <c r="F29" i="10"/>
  <c r="Z25" i="10"/>
  <c r="Z22" i="10"/>
  <c r="Z19" i="10"/>
  <c r="R28" i="10"/>
  <c r="P25" i="10"/>
  <c r="P22" i="10"/>
  <c r="H19" i="10"/>
  <c r="F18" i="10"/>
  <c r="N23" i="10"/>
  <c r="Y28" i="10"/>
  <c r="O19" i="10"/>
  <c r="W24" i="10"/>
  <c r="Q21" i="10"/>
  <c r="Y26" i="10"/>
  <c r="T25" i="10"/>
  <c r="S19" i="10"/>
  <c r="R19" i="10"/>
  <c r="X18" i="10"/>
  <c r="X22" i="10"/>
  <c r="I26" i="10"/>
  <c r="D22" i="10"/>
  <c r="X29" i="10"/>
  <c r="D29" i="10"/>
  <c r="L27" i="10"/>
  <c r="L20" i="10"/>
  <c r="U28" i="10"/>
  <c r="I28" i="10"/>
  <c r="V18" i="10"/>
  <c r="S24" i="10"/>
  <c r="P29" i="10"/>
  <c r="J26" i="10"/>
  <c r="X25" i="10"/>
  <c r="V22" i="10"/>
  <c r="W18" i="10"/>
  <c r="Y20" i="10"/>
  <c r="J23" i="10"/>
  <c r="G24" i="10"/>
  <c r="X19" i="10"/>
  <c r="U29" i="10"/>
  <c r="M28" i="10"/>
  <c r="R25" i="10"/>
  <c r="H25" i="10"/>
  <c r="F24" i="10"/>
  <c r="G20" i="10"/>
  <c r="I22" i="10"/>
  <c r="G28" i="10"/>
  <c r="S20" i="10"/>
  <c r="C29" i="10"/>
  <c r="C24" i="10"/>
  <c r="R22" i="10"/>
  <c r="X21" i="10"/>
  <c r="T29" i="10"/>
  <c r="O25" i="10"/>
  <c r="Q27" i="10"/>
  <c r="J20" i="10"/>
  <c r="U111" i="10"/>
  <c r="D106" i="10"/>
  <c r="C106" i="10"/>
  <c r="J112" i="10"/>
  <c r="R109" i="10"/>
  <c r="Q113" i="10"/>
  <c r="Y110" i="10"/>
  <c r="I108" i="10"/>
  <c r="Q105" i="10"/>
  <c r="Y102" i="10"/>
  <c r="H112" i="10"/>
  <c r="P109" i="10"/>
  <c r="X106" i="10"/>
  <c r="H104" i="10"/>
  <c r="O113" i="10"/>
  <c r="W110" i="10"/>
  <c r="T111" i="10"/>
  <c r="Z111" i="10"/>
  <c r="J109" i="10"/>
  <c r="I113" i="10"/>
  <c r="Q110" i="10"/>
  <c r="Y107" i="10"/>
  <c r="I105" i="10"/>
  <c r="Q102" i="10"/>
  <c r="X111" i="10"/>
  <c r="H109" i="10"/>
  <c r="P106" i="10"/>
  <c r="X103" i="10"/>
  <c r="G113" i="10"/>
  <c r="O110" i="10"/>
  <c r="R111" i="10"/>
  <c r="Z108" i="10"/>
  <c r="Y112" i="10"/>
  <c r="I110" i="10"/>
  <c r="Q107" i="10"/>
  <c r="Y104" i="10"/>
  <c r="I102" i="10"/>
  <c r="P111" i="10"/>
  <c r="X108" i="10"/>
  <c r="H106" i="10"/>
  <c r="P103" i="10"/>
  <c r="W112" i="10"/>
  <c r="G110" i="10"/>
  <c r="O107" i="10"/>
  <c r="W104" i="10"/>
  <c r="G102" i="10"/>
  <c r="N111" i="10"/>
  <c r="V108" i="10"/>
  <c r="E108" i="10"/>
  <c r="T103" i="10"/>
  <c r="T109" i="10"/>
  <c r="T104" i="10"/>
  <c r="L111" i="10"/>
  <c r="T105" i="10"/>
  <c r="U113" i="10"/>
  <c r="F107" i="10"/>
  <c r="Z102" i="10"/>
  <c r="R104" i="10"/>
  <c r="N105" i="10"/>
  <c r="N106" i="10"/>
  <c r="J107" i="10"/>
  <c r="J103" i="10"/>
  <c r="D107" i="10"/>
  <c r="D109" i="10"/>
  <c r="S112" i="10"/>
  <c r="R113" i="10"/>
  <c r="Z110" i="10"/>
  <c r="J108" i="10"/>
  <c r="I112" i="10"/>
  <c r="Q109" i="10"/>
  <c r="Y106" i="10"/>
  <c r="I104" i="10"/>
  <c r="P113" i="10"/>
  <c r="X110" i="10"/>
  <c r="H108" i="10"/>
  <c r="P105" i="10"/>
  <c r="X102" i="10"/>
  <c r="G112" i="10"/>
  <c r="O109" i="10"/>
  <c r="W106" i="10"/>
  <c r="Z112" i="10"/>
  <c r="R107" i="10"/>
  <c r="Y108" i="10"/>
  <c r="Q103" i="10"/>
  <c r="H110" i="10"/>
  <c r="X104" i="10"/>
  <c r="O111" i="10"/>
  <c r="G107" i="10"/>
  <c r="W103" i="10"/>
  <c r="V112" i="10"/>
  <c r="V109" i="10"/>
  <c r="U109" i="10"/>
  <c r="J104" i="10"/>
  <c r="U108" i="10"/>
  <c r="S103" i="10"/>
  <c r="T108" i="10"/>
  <c r="R103" i="10"/>
  <c r="L109" i="10"/>
  <c r="C104" i="10"/>
  <c r="S105" i="10"/>
  <c r="M104" i="10"/>
  <c r="L104" i="10"/>
  <c r="D104" i="10"/>
  <c r="C105" i="10"/>
  <c r="C107" i="10"/>
  <c r="F108" i="10"/>
  <c r="R112" i="10"/>
  <c r="Y113" i="10"/>
  <c r="Q108" i="10"/>
  <c r="I103" i="10"/>
  <c r="X109" i="10"/>
  <c r="P104" i="10"/>
  <c r="G111" i="10"/>
  <c r="O106" i="10"/>
  <c r="O103" i="10"/>
  <c r="N112" i="10"/>
  <c r="N109" i="10"/>
  <c r="C109" i="10"/>
  <c r="F103" i="10"/>
  <c r="D108" i="10"/>
  <c r="E103" i="10"/>
  <c r="C108" i="10"/>
  <c r="D103" i="10"/>
  <c r="M108" i="10"/>
  <c r="M103" i="10"/>
  <c r="N103" i="10"/>
  <c r="L103" i="10"/>
  <c r="K103" i="10"/>
  <c r="J111" i="10"/>
  <c r="Q112" i="10"/>
  <c r="I107" i="10"/>
  <c r="X113" i="10"/>
  <c r="P108" i="10"/>
  <c r="H103" i="10"/>
  <c r="W109" i="10"/>
  <c r="G106" i="10"/>
  <c r="G103" i="10"/>
  <c r="F112" i="10"/>
  <c r="F109" i="10"/>
  <c r="M107" i="10"/>
  <c r="S102" i="10"/>
  <c r="L107" i="10"/>
  <c r="R102" i="10"/>
  <c r="K107" i="10"/>
  <c r="N102" i="10"/>
  <c r="U107" i="10"/>
  <c r="L102" i="10"/>
  <c r="M102" i="10"/>
  <c r="K102" i="10"/>
  <c r="J102" i="10"/>
  <c r="U110" i="10"/>
  <c r="S113" i="10"/>
  <c r="T102" i="10"/>
  <c r="M106" i="10"/>
  <c r="R110" i="10"/>
  <c r="Y111" i="10"/>
  <c r="Q106" i="10"/>
  <c r="H113" i="10"/>
  <c r="X107" i="10"/>
  <c r="P102" i="10"/>
  <c r="G109" i="10"/>
  <c r="W105" i="10"/>
  <c r="W102" i="10"/>
  <c r="V111" i="10"/>
  <c r="N108" i="10"/>
  <c r="Z106" i="10"/>
  <c r="E102" i="10"/>
  <c r="V106" i="10"/>
  <c r="D102" i="10"/>
  <c r="U106" i="10"/>
  <c r="C102" i="10"/>
  <c r="S106" i="10"/>
  <c r="D113" i="10"/>
  <c r="U112" i="10"/>
  <c r="T112" i="10"/>
  <c r="E112" i="10"/>
  <c r="N107" i="10"/>
  <c r="D110" i="10"/>
  <c r="K104" i="10"/>
  <c r="F102" i="10"/>
  <c r="C112" i="10"/>
  <c r="J110" i="10"/>
  <c r="Q111" i="10"/>
  <c r="I106" i="10"/>
  <c r="X112" i="10"/>
  <c r="P107" i="10"/>
  <c r="H102" i="10"/>
  <c r="W108" i="10"/>
  <c r="O105" i="10"/>
  <c r="O102" i="10"/>
  <c r="F111" i="10"/>
  <c r="L113" i="10"/>
  <c r="L106" i="10"/>
  <c r="K113" i="10"/>
  <c r="K106" i="10"/>
  <c r="E113" i="10"/>
  <c r="J106" i="10"/>
  <c r="C113" i="10"/>
  <c r="E106" i="10"/>
  <c r="K111" i="10"/>
  <c r="D111" i="10"/>
  <c r="C111" i="10"/>
  <c r="L110" i="10"/>
  <c r="L105" i="10"/>
  <c r="Z104" i="10"/>
  <c r="L108" i="10"/>
  <c r="Z109" i="10"/>
  <c r="I111" i="10"/>
  <c r="Y105" i="10"/>
  <c r="P112" i="10"/>
  <c r="H107" i="10"/>
  <c r="W113" i="10"/>
  <c r="O108" i="10"/>
  <c r="G105" i="10"/>
  <c r="V113" i="10"/>
  <c r="V110" i="10"/>
  <c r="M112" i="10"/>
  <c r="V105" i="10"/>
  <c r="L112" i="10"/>
  <c r="U105" i="10"/>
  <c r="K112" i="10"/>
  <c r="Y109" i="10"/>
  <c r="O112" i="10"/>
  <c r="N110" i="10"/>
  <c r="J105" i="10"/>
  <c r="E111" i="10"/>
  <c r="K109" i="10"/>
  <c r="E105" i="10"/>
  <c r="C110" i="10"/>
  <c r="I109" i="10"/>
  <c r="W111" i="10"/>
  <c r="F110" i="10"/>
  <c r="F104" i="10"/>
  <c r="K110" i="10"/>
  <c r="T107" i="10"/>
  <c r="C103" i="10"/>
  <c r="V104" i="10"/>
  <c r="Z105" i="10"/>
  <c r="Q104" i="10"/>
  <c r="G108" i="10"/>
  <c r="S111" i="10"/>
  <c r="M110" i="10"/>
  <c r="R105" i="10"/>
  <c r="R106" i="10"/>
  <c r="T113" i="10"/>
  <c r="Z103" i="10"/>
  <c r="Y103" i="10"/>
  <c r="W107" i="10"/>
  <c r="T110" i="10"/>
  <c r="S109" i="10"/>
  <c r="D105" i="10"/>
  <c r="E109" i="10"/>
  <c r="E110" i="10"/>
  <c r="K108" i="10"/>
  <c r="Z113" i="10"/>
  <c r="H111" i="10"/>
  <c r="O104" i="10"/>
  <c r="K105" i="10"/>
  <c r="F105" i="10"/>
  <c r="N104" i="10"/>
  <c r="S107" i="10"/>
  <c r="E107" i="10"/>
  <c r="V103" i="10"/>
  <c r="R108" i="10"/>
  <c r="X105" i="10"/>
  <c r="N113" i="10"/>
  <c r="M111" i="10"/>
  <c r="E104" i="10"/>
  <c r="V107" i="10"/>
  <c r="S108" i="10"/>
  <c r="U102" i="10"/>
  <c r="F113" i="10"/>
  <c r="F106" i="10"/>
  <c r="M105" i="10"/>
  <c r="U104" i="10"/>
  <c r="V102" i="10"/>
  <c r="S110" i="10"/>
  <c r="M113" i="10"/>
  <c r="J113" i="10"/>
  <c r="S104" i="10"/>
  <c r="U103" i="10"/>
  <c r="P110" i="10"/>
  <c r="M109" i="10"/>
  <c r="G104" i="10"/>
  <c r="Z107" i="10"/>
  <c r="D112" i="10"/>
  <c r="H105" i="10"/>
  <c r="T106" i="10"/>
  <c r="J53" i="10"/>
  <c r="S45" i="10"/>
  <c r="J42" i="10"/>
  <c r="T49" i="10"/>
  <c r="C46" i="10"/>
  <c r="Q42" i="10"/>
  <c r="F50" i="10"/>
  <c r="E46" i="10"/>
  <c r="R43" i="10"/>
  <c r="Q46" i="10"/>
  <c r="H43" i="10"/>
  <c r="I51" i="10"/>
  <c r="X46" i="10"/>
  <c r="M43" i="10"/>
  <c r="S51" i="10"/>
  <c r="C47" i="10"/>
  <c r="N48" i="10"/>
  <c r="Y44" i="10"/>
  <c r="X48" i="10"/>
  <c r="H45" i="10"/>
  <c r="Z48" i="10"/>
  <c r="I46" i="10"/>
  <c r="Z42" i="10"/>
  <c r="H42" i="10"/>
  <c r="M49" i="10"/>
  <c r="Z43" i="10"/>
  <c r="N52" i="10"/>
  <c r="P47" i="10"/>
  <c r="J44" i="10"/>
  <c r="F53" i="10"/>
  <c r="X47" i="10"/>
  <c r="L44" i="10"/>
  <c r="I53" i="10"/>
  <c r="D49" i="10"/>
  <c r="Q45" i="10"/>
  <c r="C43" i="10"/>
  <c r="Y50" i="10"/>
  <c r="Z50" i="10"/>
  <c r="V45" i="10"/>
  <c r="E50" i="10"/>
  <c r="R42" i="10"/>
  <c r="U42" i="10"/>
  <c r="E42" i="10"/>
  <c r="L52" i="10"/>
  <c r="R45" i="10"/>
  <c r="S46" i="10"/>
  <c r="R51" i="10"/>
  <c r="P43" i="10"/>
  <c r="N44" i="10"/>
  <c r="V43" i="10"/>
  <c r="Y53" i="10"/>
  <c r="N46" i="10"/>
  <c r="P42" i="10"/>
  <c r="D46" i="10"/>
  <c r="H50" i="10"/>
  <c r="E48" i="10"/>
  <c r="K47" i="10"/>
  <c r="L49" i="10"/>
  <c r="V44" i="10"/>
  <c r="L43" i="10"/>
  <c r="Y48" i="10"/>
  <c r="M46" i="10"/>
  <c r="L47" i="10"/>
  <c r="M47" i="10"/>
  <c r="F45" i="10"/>
  <c r="H53" i="10"/>
  <c r="J48" i="10"/>
  <c r="K48" i="10"/>
  <c r="V47" i="10"/>
  <c r="K49" i="10"/>
  <c r="M52" i="10"/>
  <c r="Q48" i="10"/>
  <c r="I45" i="10"/>
  <c r="E47" i="10"/>
  <c r="K44" i="10"/>
  <c r="T51" i="10"/>
  <c r="C52" i="10"/>
  <c r="Y43" i="10"/>
  <c r="D44" i="10"/>
  <c r="Y47" i="10"/>
  <c r="U52" i="10"/>
  <c r="Z46" i="10"/>
  <c r="D43" i="10"/>
  <c r="F42" i="10"/>
  <c r="U44" i="10"/>
  <c r="K45" i="10"/>
  <c r="Z53" i="10"/>
  <c r="N50" i="10"/>
  <c r="P53" i="10"/>
  <c r="M44" i="10"/>
  <c r="Z47" i="10"/>
  <c r="W52" i="10"/>
  <c r="G50" i="10"/>
  <c r="O47" i="10"/>
  <c r="W44" i="10"/>
  <c r="G42" i="10"/>
  <c r="H51" i="10"/>
  <c r="S52" i="10"/>
  <c r="R49" i="10"/>
  <c r="E51" i="10"/>
  <c r="D48" i="10"/>
  <c r="C45" i="10"/>
  <c r="T53" i="10"/>
  <c r="S50" i="10"/>
  <c r="R47" i="10"/>
  <c r="M45" i="10"/>
  <c r="E49" i="10"/>
  <c r="X44" i="10"/>
  <c r="P48" i="10"/>
  <c r="O52" i="10"/>
  <c r="W49" i="10"/>
  <c r="G47" i="10"/>
  <c r="O44" i="10"/>
  <c r="X53" i="10"/>
  <c r="V50" i="10"/>
  <c r="J52" i="10"/>
  <c r="U53" i="10"/>
  <c r="T50" i="10"/>
  <c r="S47" i="10"/>
  <c r="R44" i="10"/>
  <c r="K53" i="10"/>
  <c r="J50" i="10"/>
  <c r="L42" i="10"/>
  <c r="X45" i="10"/>
  <c r="U49" i="10"/>
  <c r="J45" i="10"/>
  <c r="C49" i="10"/>
  <c r="G52" i="10"/>
  <c r="O49" i="10"/>
  <c r="W46" i="10"/>
  <c r="G44" i="10"/>
  <c r="N53" i="10"/>
  <c r="M50" i="10"/>
  <c r="Y51" i="10"/>
  <c r="L53" i="10"/>
  <c r="K50" i="10"/>
  <c r="J47" i="10"/>
  <c r="I44" i="10"/>
  <c r="Z52" i="10"/>
  <c r="Y49" i="10"/>
  <c r="V42" i="10"/>
  <c r="J46" i="10"/>
  <c r="P50" i="10"/>
  <c r="I42" i="10"/>
  <c r="T45" i="10"/>
  <c r="N49" i="10"/>
  <c r="W51" i="10"/>
  <c r="G49" i="10"/>
  <c r="O46" i="10"/>
  <c r="W43" i="10"/>
  <c r="E53" i="10"/>
  <c r="D50" i="10"/>
  <c r="P51" i="10"/>
  <c r="C53" i="10"/>
  <c r="Z49" i="10"/>
  <c r="Y46" i="10"/>
  <c r="X43" i="10"/>
  <c r="Q52" i="10"/>
  <c r="P49" i="10"/>
  <c r="I43" i="10"/>
  <c r="T46" i="10"/>
  <c r="J51" i="10"/>
  <c r="T44" i="10"/>
  <c r="S42" i="10"/>
  <c r="H46" i="10"/>
  <c r="I50" i="10"/>
  <c r="O51" i="10"/>
  <c r="W48" i="10"/>
  <c r="G46" i="10"/>
  <c r="O43" i="10"/>
  <c r="T52" i="10"/>
  <c r="S49" i="10"/>
  <c r="F51" i="10"/>
  <c r="R52" i="10"/>
  <c r="Q49" i="10"/>
  <c r="P46" i="10"/>
  <c r="N43" i="10"/>
  <c r="H52" i="10"/>
  <c r="F49" i="10"/>
  <c r="S43" i="10"/>
  <c r="F47" i="10"/>
  <c r="D52" i="10"/>
  <c r="Q43" i="10"/>
  <c r="D47" i="10"/>
  <c r="U51" i="10"/>
  <c r="O53" i="10"/>
  <c r="W50" i="10"/>
  <c r="G48" i="10"/>
  <c r="O45" i="10"/>
  <c r="W42" i="10"/>
  <c r="Z51" i="10"/>
  <c r="M53" i="10"/>
  <c r="L50" i="10"/>
  <c r="X51" i="10"/>
  <c r="V48" i="10"/>
  <c r="U45" i="10"/>
  <c r="T42" i="10"/>
  <c r="M51" i="10"/>
  <c r="L48" i="10"/>
  <c r="P44" i="10"/>
  <c r="F48" i="10"/>
  <c r="Q53" i="10"/>
  <c r="Q44" i="10"/>
  <c r="H48" i="10"/>
  <c r="R53" i="10"/>
  <c r="K43" i="10"/>
  <c r="V46" i="10"/>
  <c r="L51" i="10"/>
  <c r="N47" i="10"/>
  <c r="O50" i="10"/>
  <c r="Q51" i="10"/>
  <c r="M48" i="10"/>
  <c r="C48" i="10"/>
  <c r="C42" i="10"/>
  <c r="Y45" i="10"/>
  <c r="Q50" i="10"/>
  <c r="N42" i="10"/>
  <c r="L46" i="10"/>
  <c r="F52" i="10"/>
  <c r="I47" i="10"/>
  <c r="V51" i="10"/>
  <c r="S48" i="10"/>
  <c r="K52" i="10"/>
  <c r="D42" i="10"/>
  <c r="C51" i="10"/>
  <c r="O48" i="10"/>
  <c r="V53" i="10"/>
  <c r="F46" i="10"/>
  <c r="E44" i="10"/>
  <c r="M42" i="10"/>
  <c r="K46" i="10"/>
  <c r="K51" i="10"/>
  <c r="Y42" i="10"/>
  <c r="Y52" i="10"/>
  <c r="W53" i="10"/>
  <c r="V49" i="10"/>
  <c r="X50" i="10"/>
  <c r="P52" i="10"/>
  <c r="W47" i="10"/>
  <c r="D53" i="10"/>
  <c r="L45" i="10"/>
  <c r="Z44" i="10"/>
  <c r="X42" i="10"/>
  <c r="U46" i="10"/>
  <c r="E52" i="10"/>
  <c r="U43" i="10"/>
  <c r="U47" i="10"/>
  <c r="S53" i="10"/>
  <c r="F43" i="10"/>
  <c r="V52" i="10"/>
  <c r="F44" i="10"/>
  <c r="J49" i="10"/>
  <c r="R46" i="10"/>
  <c r="W45" i="10"/>
  <c r="U50" i="10"/>
  <c r="E43" i="10"/>
  <c r="Q47" i="10"/>
  <c r="J43" i="10"/>
  <c r="H47" i="10"/>
  <c r="X52" i="10"/>
  <c r="H44" i="10"/>
  <c r="I48" i="10"/>
  <c r="T43" i="10"/>
  <c r="T47" i="10"/>
  <c r="S44" i="10"/>
  <c r="I52" i="10"/>
  <c r="G51" i="10"/>
  <c r="H49" i="10"/>
  <c r="N45" i="10"/>
  <c r="Z45" i="10"/>
  <c r="G45" i="10"/>
  <c r="C50" i="10"/>
  <c r="K42" i="10"/>
  <c r="R48" i="10"/>
  <c r="T48" i="10"/>
  <c r="G43" i="10"/>
  <c r="E45" i="10"/>
  <c r="U48" i="10"/>
  <c r="C44" i="10"/>
  <c r="G53" i="10"/>
  <c r="O42" i="10"/>
  <c r="N51" i="10"/>
  <c r="D51" i="10"/>
  <c r="D45" i="10"/>
  <c r="I49" i="10"/>
  <c r="P45" i="10"/>
  <c r="X49" i="10"/>
  <c r="R50" i="10"/>
  <c r="I84" i="10"/>
  <c r="P89" i="10"/>
  <c r="G79" i="10"/>
  <c r="J82" i="10"/>
  <c r="Q89" i="10"/>
  <c r="I82" i="10"/>
  <c r="W87" i="10"/>
  <c r="G89" i="10"/>
  <c r="O86" i="10"/>
  <c r="W83" i="10"/>
  <c r="N88" i="10"/>
  <c r="V85" i="10"/>
  <c r="U88" i="10"/>
  <c r="E86" i="10"/>
  <c r="M83" i="10"/>
  <c r="U80" i="10"/>
  <c r="E78" i="10"/>
  <c r="K87" i="10"/>
  <c r="S84" i="10"/>
  <c r="T88" i="10"/>
  <c r="Q83" i="10"/>
  <c r="I80" i="10"/>
  <c r="R88" i="10"/>
  <c r="P83" i="10"/>
  <c r="H80" i="10"/>
  <c r="Q88" i="10"/>
  <c r="N83" i="10"/>
  <c r="W88" i="10"/>
  <c r="O85" i="10"/>
  <c r="V89" i="10"/>
  <c r="V86" i="10"/>
  <c r="M89" i="10"/>
  <c r="M86" i="10"/>
  <c r="E83" i="10"/>
  <c r="E80" i="10"/>
  <c r="C89" i="10"/>
  <c r="C86" i="10"/>
  <c r="C83" i="10"/>
  <c r="T84" i="10"/>
  <c r="R80" i="10"/>
  <c r="Z87" i="10"/>
  <c r="O82" i="10"/>
  <c r="D79" i="10"/>
  <c r="Y85" i="10"/>
  <c r="J81" i="10"/>
  <c r="I78" i="10"/>
  <c r="D85" i="10"/>
  <c r="H81" i="10"/>
  <c r="G78" i="10"/>
  <c r="I81" i="10"/>
  <c r="Z84" i="10"/>
  <c r="F78" i="10"/>
  <c r="F81" i="10"/>
  <c r="X84" i="10"/>
  <c r="C78" i="10"/>
  <c r="R85" i="10"/>
  <c r="O81" i="10"/>
  <c r="L78" i="10"/>
  <c r="O88" i="10"/>
  <c r="G85" i="10"/>
  <c r="N89" i="10"/>
  <c r="N86" i="10"/>
  <c r="E89" i="10"/>
  <c r="U85" i="10"/>
  <c r="U82" i="10"/>
  <c r="U79" i="10"/>
  <c r="S88" i="10"/>
  <c r="S85" i="10"/>
  <c r="S82" i="10"/>
  <c r="F84" i="10"/>
  <c r="X79" i="10"/>
  <c r="J87" i="10"/>
  <c r="F82" i="10"/>
  <c r="S78" i="10"/>
  <c r="I85" i="10"/>
  <c r="Y80" i="10"/>
  <c r="T89" i="10"/>
  <c r="L84" i="10"/>
  <c r="W80" i="10"/>
  <c r="H89" i="10"/>
  <c r="O80" i="10"/>
  <c r="V83" i="10"/>
  <c r="Y88" i="10"/>
  <c r="K80" i="10"/>
  <c r="R83" i="10"/>
  <c r="P88" i="10"/>
  <c r="I83" i="10"/>
  <c r="Z79" i="10"/>
  <c r="X89" i="10"/>
  <c r="G88" i="10"/>
  <c r="W84" i="10"/>
  <c r="F89" i="10"/>
  <c r="F86" i="10"/>
  <c r="M88" i="10"/>
  <c r="M85" i="10"/>
  <c r="M82" i="10"/>
  <c r="M79" i="10"/>
  <c r="K88" i="10"/>
  <c r="K85" i="10"/>
  <c r="L89" i="10"/>
  <c r="D83" i="10"/>
  <c r="O79" i="10"/>
  <c r="R86" i="10"/>
  <c r="T81" i="10"/>
  <c r="J78" i="10"/>
  <c r="Q84" i="10"/>
  <c r="P80" i="10"/>
  <c r="D89" i="10"/>
  <c r="X83" i="10"/>
  <c r="N80" i="10"/>
  <c r="X87" i="10"/>
  <c r="T79" i="10"/>
  <c r="T82" i="10"/>
  <c r="Q87" i="10"/>
  <c r="Q79" i="10"/>
  <c r="Q82" i="10"/>
  <c r="X85" i="10"/>
  <c r="P81" i="10"/>
  <c r="N78" i="10"/>
  <c r="H87" i="10"/>
  <c r="H79" i="10"/>
  <c r="O87" i="10"/>
  <c r="O84" i="10"/>
  <c r="V88" i="10"/>
  <c r="N85" i="10"/>
  <c r="E88" i="10"/>
  <c r="E85" i="10"/>
  <c r="E82" i="10"/>
  <c r="E79" i="10"/>
  <c r="C88" i="10"/>
  <c r="C85" i="10"/>
  <c r="D88" i="10"/>
  <c r="G87" i="10"/>
  <c r="G84" i="10"/>
  <c r="F88" i="10"/>
  <c r="F85" i="10"/>
  <c r="U87" i="10"/>
  <c r="U84" i="10"/>
  <c r="U81" i="10"/>
  <c r="U78" i="10"/>
  <c r="S87" i="10"/>
  <c r="K84" i="10"/>
  <c r="L87" i="10"/>
  <c r="G82" i="10"/>
  <c r="T78" i="10"/>
  <c r="J85" i="10"/>
  <c r="Z80" i="10"/>
  <c r="I89" i="10"/>
  <c r="Y82" i="10"/>
  <c r="V79" i="10"/>
  <c r="T87" i="10"/>
  <c r="V82" i="10"/>
  <c r="S79" i="10"/>
  <c r="H85" i="10"/>
  <c r="H78" i="10"/>
  <c r="G81" i="10"/>
  <c r="Y84" i="10"/>
  <c r="D78" i="10"/>
  <c r="D81" i="10"/>
  <c r="R81" i="10"/>
  <c r="O78" i="10"/>
  <c r="P85" i="10"/>
  <c r="L82" i="10"/>
  <c r="O83" i="10"/>
  <c r="U89" i="10"/>
  <c r="E81" i="10"/>
  <c r="C84" i="10"/>
  <c r="L81" i="10"/>
  <c r="D84" i="10"/>
  <c r="I87" i="10"/>
  <c r="C79" i="10"/>
  <c r="Z81" i="10"/>
  <c r="X82" i="10"/>
  <c r="R79" i="10"/>
  <c r="P87" i="10"/>
  <c r="Q78" i="10"/>
  <c r="N81" i="10"/>
  <c r="J84" i="10"/>
  <c r="G83" i="10"/>
  <c r="M87" i="10"/>
  <c r="M80" i="10"/>
  <c r="S83" i="10"/>
  <c r="C81" i="10"/>
  <c r="Z82" i="10"/>
  <c r="Q86" i="10"/>
  <c r="R78" i="10"/>
  <c r="Q81" i="10"/>
  <c r="C82" i="10"/>
  <c r="X78" i="10"/>
  <c r="H86" i="10"/>
  <c r="J88" i="10"/>
  <c r="Y79" i="10"/>
  <c r="W82" i="10"/>
  <c r="E87" i="10"/>
  <c r="M78" i="10"/>
  <c r="K83" i="10"/>
  <c r="F79" i="10"/>
  <c r="K81" i="10"/>
  <c r="Z83" i="10"/>
  <c r="L88" i="10"/>
  <c r="D80" i="10"/>
  <c r="Z78" i="10"/>
  <c r="I86" i="10"/>
  <c r="W81" i="10"/>
  <c r="C80" i="10"/>
  <c r="P84" i="10"/>
  <c r="W89" i="10"/>
  <c r="V87" i="10"/>
  <c r="U86" i="10"/>
  <c r="S89" i="10"/>
  <c r="T86" i="10"/>
  <c r="K78" i="10"/>
  <c r="Q80" i="10"/>
  <c r="N82" i="10"/>
  <c r="D87" i="10"/>
  <c r="J79" i="10"/>
  <c r="Z88" i="10"/>
  <c r="T83" i="10"/>
  <c r="J80" i="10"/>
  <c r="I88" i="10"/>
  <c r="X80" i="10"/>
  <c r="O89" i="10"/>
  <c r="N87" i="10"/>
  <c r="M84" i="10"/>
  <c r="K89" i="10"/>
  <c r="D86" i="10"/>
  <c r="Z89" i="10"/>
  <c r="W79" i="10"/>
  <c r="D82" i="10"/>
  <c r="L86" i="10"/>
  <c r="Y78" i="10"/>
  <c r="R87" i="10"/>
  <c r="R82" i="10"/>
  <c r="P79" i="10"/>
  <c r="Q85" i="10"/>
  <c r="K79" i="10"/>
  <c r="W86" i="10"/>
  <c r="F87" i="10"/>
  <c r="E84" i="10"/>
  <c r="C87" i="10"/>
  <c r="L85" i="10"/>
  <c r="J89" i="10"/>
  <c r="N79" i="10"/>
  <c r="S81" i="10"/>
  <c r="T85" i="10"/>
  <c r="P78" i="10"/>
  <c r="J86" i="10"/>
  <c r="X81" i="10"/>
  <c r="V78" i="10"/>
  <c r="H83" i="10"/>
  <c r="G86" i="10"/>
  <c r="P82" i="10"/>
  <c r="J83" i="10"/>
  <c r="L83" i="10"/>
  <c r="W85" i="10"/>
  <c r="V81" i="10"/>
  <c r="K82" i="10"/>
  <c r="F80" i="10"/>
  <c r="V80" i="10"/>
  <c r="V84" i="10"/>
  <c r="Z85" i="10"/>
  <c r="P86" i="10"/>
  <c r="H88" i="10"/>
  <c r="T80" i="10"/>
  <c r="Y86" i="10"/>
  <c r="N84" i="10"/>
  <c r="R84" i="10"/>
  <c r="Y83" i="10"/>
  <c r="F83" i="10"/>
  <c r="X86" i="10"/>
  <c r="U83" i="10"/>
  <c r="Y89" i="10"/>
  <c r="Y81" i="10"/>
  <c r="S80" i="10"/>
  <c r="S86" i="10"/>
  <c r="G80" i="10"/>
  <c r="W78" i="10"/>
  <c r="H82" i="10"/>
  <c r="I79" i="10"/>
  <c r="K86" i="10"/>
  <c r="L79" i="10"/>
  <c r="L80" i="10"/>
  <c r="X88" i="10"/>
  <c r="Y87" i="10"/>
  <c r="H84" i="10"/>
  <c r="Z86" i="10"/>
  <c r="M81" i="10"/>
  <c r="R89" i="10"/>
  <c r="Q97" i="10"/>
  <c r="Z94" i="10"/>
  <c r="Q100" i="10"/>
  <c r="Y97" i="10"/>
  <c r="P99" i="10"/>
  <c r="G101" i="10"/>
  <c r="O98" i="10"/>
  <c r="L98" i="10"/>
  <c r="O95" i="10"/>
  <c r="W92" i="10"/>
  <c r="G90" i="10"/>
  <c r="V97" i="10"/>
  <c r="F95" i="10"/>
  <c r="N92" i="10"/>
  <c r="M101" i="10"/>
  <c r="M97" i="10"/>
  <c r="U94" i="10"/>
  <c r="E92" i="10"/>
  <c r="K101" i="10"/>
  <c r="K97" i="10"/>
  <c r="S94" i="10"/>
  <c r="C92" i="10"/>
  <c r="K100" i="10"/>
  <c r="D94" i="10"/>
  <c r="F100" i="10"/>
  <c r="Z93" i="10"/>
  <c r="D99" i="10"/>
  <c r="I93" i="10"/>
  <c r="T98" i="10"/>
  <c r="D93" i="10"/>
  <c r="X95" i="10"/>
  <c r="R95" i="10"/>
  <c r="Q95" i="10"/>
  <c r="P95" i="10"/>
  <c r="H91" i="10"/>
  <c r="Y90" i="10"/>
  <c r="Q101" i="10"/>
  <c r="Q98" i="10"/>
  <c r="X99" i="10"/>
  <c r="W100" i="10"/>
  <c r="R101" i="10"/>
  <c r="G97" i="10"/>
  <c r="G94" i="10"/>
  <c r="G91" i="10"/>
  <c r="V98" i="10"/>
  <c r="N95" i="10"/>
  <c r="F92" i="10"/>
  <c r="L100" i="10"/>
  <c r="M96" i="10"/>
  <c r="M93" i="10"/>
  <c r="M90" i="10"/>
  <c r="E98" i="10"/>
  <c r="C95" i="10"/>
  <c r="S91" i="10"/>
  <c r="F98" i="10"/>
  <c r="D92" i="10"/>
  <c r="R96" i="10"/>
  <c r="R90" i="10"/>
  <c r="Q94" i="10"/>
  <c r="U99" i="10"/>
  <c r="L92" i="10"/>
  <c r="H93" i="10"/>
  <c r="R91" i="10"/>
  <c r="I90" i="10"/>
  <c r="D100" i="10"/>
  <c r="I96" i="10"/>
  <c r="P92" i="10"/>
  <c r="H92" i="10"/>
  <c r="I101" i="10"/>
  <c r="I98" i="10"/>
  <c r="H99" i="10"/>
  <c r="O100" i="10"/>
  <c r="D101" i="10"/>
  <c r="W96" i="10"/>
  <c r="W93" i="10"/>
  <c r="W90" i="10"/>
  <c r="K98" i="10"/>
  <c r="V94" i="10"/>
  <c r="V91" i="10"/>
  <c r="V99" i="10"/>
  <c r="E96" i="10"/>
  <c r="E93" i="10"/>
  <c r="E90" i="10"/>
  <c r="S97" i="10"/>
  <c r="Y99" i="10"/>
  <c r="H101" i="10"/>
  <c r="H98" i="10"/>
  <c r="O99" i="10"/>
  <c r="M99" i="10"/>
  <c r="W95" i="10"/>
  <c r="O92" i="10"/>
  <c r="C101" i="10"/>
  <c r="V96" i="10"/>
  <c r="V93" i="10"/>
  <c r="V90" i="10"/>
  <c r="J98" i="10"/>
  <c r="E95" i="10"/>
  <c r="U91" i="10"/>
  <c r="J100" i="10"/>
  <c r="K96" i="10"/>
  <c r="K93" i="10"/>
  <c r="K90" i="10"/>
  <c r="L95" i="10"/>
  <c r="J101" i="10"/>
  <c r="J93" i="10"/>
  <c r="I97" i="10"/>
  <c r="I91" i="10"/>
  <c r="T95" i="10"/>
  <c r="E101" i="10"/>
  <c r="R98" i="10"/>
  <c r="Y96" i="10"/>
  <c r="H94" i="10"/>
  <c r="J96" i="10"/>
  <c r="P93" i="10"/>
  <c r="Y101" i="10"/>
  <c r="X100" i="10"/>
  <c r="G100" i="10"/>
  <c r="W97" i="10"/>
  <c r="G93" i="10"/>
  <c r="L99" i="10"/>
  <c r="N93" i="10"/>
  <c r="K99" i="10"/>
  <c r="E94" i="10"/>
  <c r="U100" i="10"/>
  <c r="K95" i="10"/>
  <c r="C91" i="10"/>
  <c r="T94" i="10"/>
  <c r="J97" i="10"/>
  <c r="E100" i="10"/>
  <c r="Q90" i="10"/>
  <c r="T93" i="10"/>
  <c r="P90" i="10"/>
  <c r="I94" i="10"/>
  <c r="H90" i="10"/>
  <c r="N99" i="10"/>
  <c r="Y100" i="10"/>
  <c r="P100" i="10"/>
  <c r="W99" i="10"/>
  <c r="O97" i="10"/>
  <c r="G92" i="10"/>
  <c r="N97" i="10"/>
  <c r="F93" i="10"/>
  <c r="U98" i="10"/>
  <c r="U93" i="10"/>
  <c r="T99" i="10"/>
  <c r="K94" i="10"/>
  <c r="S90" i="10"/>
  <c r="L93" i="10"/>
  <c r="Z95" i="10"/>
  <c r="C98" i="10"/>
  <c r="Z101" i="10"/>
  <c r="T91" i="10"/>
  <c r="T100" i="10"/>
  <c r="Y92" i="10"/>
  <c r="P96" i="10"/>
  <c r="H96" i="10"/>
  <c r="Q99" i="10"/>
  <c r="X98" i="10"/>
  <c r="W98" i="10"/>
  <c r="G96" i="10"/>
  <c r="O91" i="10"/>
  <c r="N96" i="10"/>
  <c r="N91" i="10"/>
  <c r="E97" i="10"/>
  <c r="M92" i="10"/>
  <c r="S98" i="10"/>
  <c r="S93" i="10"/>
  <c r="L101" i="10"/>
  <c r="L91" i="10"/>
  <c r="R94" i="10"/>
  <c r="Y95" i="10"/>
  <c r="T97" i="10"/>
  <c r="L90" i="10"/>
  <c r="J94" i="10"/>
  <c r="R100" i="10"/>
  <c r="S99" i="10"/>
  <c r="Z97" i="10"/>
  <c r="Y98" i="10"/>
  <c r="X97" i="10"/>
  <c r="N100" i="10"/>
  <c r="W94" i="10"/>
  <c r="N101" i="10"/>
  <c r="V95" i="10"/>
  <c r="N90" i="10"/>
  <c r="U95" i="10"/>
  <c r="E91" i="10"/>
  <c r="S96" i="10"/>
  <c r="S92" i="10"/>
  <c r="L97" i="10"/>
  <c r="D90" i="10"/>
  <c r="Z91" i="10"/>
  <c r="Y93" i="10"/>
  <c r="L96" i="10"/>
  <c r="H97" i="10"/>
  <c r="J90" i="10"/>
  <c r="X96" i="10"/>
  <c r="Z90" i="10"/>
  <c r="R97" i="10"/>
  <c r="W101" i="10"/>
  <c r="O94" i="10"/>
  <c r="N94" i="10"/>
  <c r="M95" i="10"/>
  <c r="C96" i="10"/>
  <c r="T96" i="10"/>
  <c r="J91" i="10"/>
  <c r="D95" i="10"/>
  <c r="S100" i="10"/>
  <c r="R99" i="10"/>
  <c r="O101" i="10"/>
  <c r="O93" i="10"/>
  <c r="F94" i="10"/>
  <c r="M94" i="10"/>
  <c r="S95" i="10"/>
  <c r="D96" i="10"/>
  <c r="F101" i="10"/>
  <c r="L94" i="10"/>
  <c r="N98" i="10"/>
  <c r="Q93" i="10"/>
  <c r="I100" i="10"/>
  <c r="G99" i="10"/>
  <c r="W91" i="10"/>
  <c r="V92" i="10"/>
  <c r="U92" i="10"/>
  <c r="C94" i="10"/>
  <c r="T92" i="10"/>
  <c r="Q96" i="10"/>
  <c r="D91" i="10"/>
  <c r="Q91" i="10"/>
  <c r="X90" i="10"/>
  <c r="I99" i="10"/>
  <c r="G98" i="10"/>
  <c r="O90" i="10"/>
  <c r="F91" i="10"/>
  <c r="M91" i="10"/>
  <c r="C93" i="10"/>
  <c r="T90" i="10"/>
  <c r="I95" i="10"/>
  <c r="C99" i="10"/>
  <c r="M98" i="10"/>
  <c r="H95" i="10"/>
  <c r="P97" i="10"/>
  <c r="X101" i="10"/>
  <c r="C100" i="10"/>
  <c r="M100" i="10"/>
  <c r="F90" i="10"/>
  <c r="U90" i="10"/>
  <c r="K92" i="10"/>
  <c r="E99" i="10"/>
  <c r="Q92" i="10"/>
  <c r="P94" i="10"/>
  <c r="X92" i="10"/>
  <c r="O96" i="10"/>
  <c r="V101" i="10"/>
  <c r="R92" i="10"/>
  <c r="X93" i="10"/>
  <c r="G95" i="10"/>
  <c r="F99" i="10"/>
  <c r="Y91" i="10"/>
  <c r="R93" i="10"/>
  <c r="Z99" i="10"/>
  <c r="C97" i="10"/>
  <c r="V100" i="10"/>
  <c r="S101" i="10"/>
  <c r="F97" i="10"/>
  <c r="K91" i="10"/>
  <c r="D97" i="10"/>
  <c r="P101" i="10"/>
  <c r="F96" i="10"/>
  <c r="C90" i="10"/>
  <c r="X91" i="10"/>
  <c r="H100" i="10"/>
  <c r="Z100" i="10"/>
  <c r="J99" i="10"/>
  <c r="Z96" i="10"/>
  <c r="U97" i="10"/>
  <c r="Y94" i="10"/>
  <c r="U96" i="10"/>
  <c r="D98" i="10"/>
  <c r="J95" i="10"/>
  <c r="X94" i="10"/>
  <c r="Z92" i="10"/>
  <c r="J92" i="10"/>
  <c r="U101" i="10"/>
  <c r="P98" i="10"/>
  <c r="Z98" i="10"/>
  <c r="P91" i="10"/>
  <c r="T101" i="10"/>
  <c r="I92" i="10"/>
  <c r="Z124" i="10"/>
  <c r="J122" i="10"/>
  <c r="R119" i="10"/>
  <c r="Z116" i="10"/>
  <c r="J114" i="10"/>
  <c r="Q123" i="10"/>
  <c r="Y120" i="10"/>
  <c r="I118" i="10"/>
  <c r="Q115" i="10"/>
  <c r="R123" i="10"/>
  <c r="R120" i="10"/>
  <c r="R117" i="10"/>
  <c r="R114" i="10"/>
  <c r="I123" i="10"/>
  <c r="I120" i="10"/>
  <c r="I117" i="10"/>
  <c r="I114" i="10"/>
  <c r="P123" i="10"/>
  <c r="X120" i="10"/>
  <c r="H118" i="10"/>
  <c r="P115" i="10"/>
  <c r="W124" i="10"/>
  <c r="G122" i="10"/>
  <c r="O119" i="10"/>
  <c r="W116" i="10"/>
  <c r="G114" i="10"/>
  <c r="N123" i="10"/>
  <c r="V120" i="10"/>
  <c r="F118" i="10"/>
  <c r="N115" i="10"/>
  <c r="E123" i="10"/>
  <c r="D116" i="10"/>
  <c r="K121" i="10"/>
  <c r="E114" i="10"/>
  <c r="L119" i="10"/>
  <c r="M124" i="10"/>
  <c r="L117" i="10"/>
  <c r="L118" i="10"/>
  <c r="L116" i="10"/>
  <c r="M114" i="10"/>
  <c r="D125" i="10"/>
  <c r="T120" i="10"/>
  <c r="M115" i="10"/>
  <c r="J123" i="10"/>
  <c r="J120" i="10"/>
  <c r="J117" i="10"/>
  <c r="Y125" i="10"/>
  <c r="Y122" i="10"/>
  <c r="Y119" i="10"/>
  <c r="Y116" i="10"/>
  <c r="X125" i="10"/>
  <c r="H123" i="10"/>
  <c r="P120" i="10"/>
  <c r="X117" i="10"/>
  <c r="H115" i="10"/>
  <c r="O124" i="10"/>
  <c r="W121" i="10"/>
  <c r="G119" i="10"/>
  <c r="O116" i="10"/>
  <c r="V125" i="10"/>
  <c r="F123" i="10"/>
  <c r="N120" i="10"/>
  <c r="V117" i="10"/>
  <c r="F115" i="10"/>
  <c r="K122" i="10"/>
  <c r="E115" i="10"/>
  <c r="L120" i="10"/>
  <c r="S125" i="10"/>
  <c r="M118" i="10"/>
  <c r="S123" i="10"/>
  <c r="M116" i="10"/>
  <c r="S116" i="10"/>
  <c r="S114" i="10"/>
  <c r="S124" i="10"/>
  <c r="M121" i="10"/>
  <c r="E117" i="10"/>
  <c r="M122" i="10"/>
  <c r="Z125" i="10"/>
  <c r="Z122" i="10"/>
  <c r="Z119" i="10"/>
  <c r="R116" i="10"/>
  <c r="Q125" i="10"/>
  <c r="Q122" i="10"/>
  <c r="Q119" i="10"/>
  <c r="Q116" i="10"/>
  <c r="P125" i="10"/>
  <c r="X122" i="10"/>
  <c r="H120" i="10"/>
  <c r="P117" i="10"/>
  <c r="X114" i="10"/>
  <c r="G124" i="10"/>
  <c r="O121" i="10"/>
  <c r="W118" i="10"/>
  <c r="G116" i="10"/>
  <c r="N125" i="10"/>
  <c r="V122" i="10"/>
  <c r="F120" i="10"/>
  <c r="N117" i="10"/>
  <c r="V114" i="10"/>
  <c r="L121" i="10"/>
  <c r="K114" i="10"/>
  <c r="M119" i="10"/>
  <c r="T124" i="10"/>
  <c r="S117" i="10"/>
  <c r="T122" i="10"/>
  <c r="S115" i="10"/>
  <c r="U114" i="10"/>
  <c r="E125" i="10"/>
  <c r="U122" i="10"/>
  <c r="C118" i="10"/>
  <c r="E124" i="10"/>
  <c r="L115" i="10"/>
  <c r="D119" i="10"/>
  <c r="R125" i="10"/>
  <c r="R122" i="10"/>
  <c r="J119" i="10"/>
  <c r="J116" i="10"/>
  <c r="I125" i="10"/>
  <c r="I122" i="10"/>
  <c r="I119" i="10"/>
  <c r="I116" i="10"/>
  <c r="H125" i="10"/>
  <c r="P122" i="10"/>
  <c r="X119" i="10"/>
  <c r="H117" i="10"/>
  <c r="P114" i="10"/>
  <c r="W123" i="10"/>
  <c r="G121" i="10"/>
  <c r="O118" i="10"/>
  <c r="W115" i="10"/>
  <c r="F125" i="10"/>
  <c r="N122" i="10"/>
  <c r="V119" i="10"/>
  <c r="F117" i="10"/>
  <c r="N114" i="10"/>
  <c r="M120" i="10"/>
  <c r="T125" i="10"/>
  <c r="S118" i="10"/>
  <c r="U123" i="10"/>
  <c r="T116" i="10"/>
  <c r="U121" i="10"/>
  <c r="T114" i="10"/>
  <c r="K125" i="10"/>
  <c r="L123" i="10"/>
  <c r="D121" i="10"/>
  <c r="L114" i="10"/>
  <c r="S120" i="10"/>
  <c r="L122" i="10"/>
  <c r="J125" i="10"/>
  <c r="Z121" i="10"/>
  <c r="Z118" i="10"/>
  <c r="Z115" i="10"/>
  <c r="Y124" i="10"/>
  <c r="Y121" i="10"/>
  <c r="Y118" i="10"/>
  <c r="Y115" i="10"/>
  <c r="X124" i="10"/>
  <c r="H122" i="10"/>
  <c r="P119" i="10"/>
  <c r="X116" i="10"/>
  <c r="H114" i="10"/>
  <c r="O123" i="10"/>
  <c r="W120" i="10"/>
  <c r="G118" i="10"/>
  <c r="O115" i="10"/>
  <c r="V124" i="10"/>
  <c r="F122" i="10"/>
  <c r="N119" i="10"/>
  <c r="V116" i="10"/>
  <c r="F114" i="10"/>
  <c r="S119" i="10"/>
  <c r="U124" i="10"/>
  <c r="T117" i="10"/>
  <c r="C123" i="10"/>
  <c r="U115" i="10"/>
  <c r="C121" i="10"/>
  <c r="M125" i="10"/>
  <c r="M123" i="10"/>
  <c r="S121" i="10"/>
  <c r="K119" i="10"/>
  <c r="L124" i="10"/>
  <c r="D117" i="10"/>
  <c r="K115" i="10"/>
  <c r="J124" i="10"/>
  <c r="J121" i="10"/>
  <c r="J118" i="10"/>
  <c r="J115" i="10"/>
  <c r="I124" i="10"/>
  <c r="I121" i="10"/>
  <c r="Y117" i="10"/>
  <c r="Y114" i="10"/>
  <c r="H124" i="10"/>
  <c r="P121" i="10"/>
  <c r="X118" i="10"/>
  <c r="H116" i="10"/>
  <c r="O125" i="10"/>
  <c r="W122" i="10"/>
  <c r="G120" i="10"/>
  <c r="O117" i="10"/>
  <c r="W114" i="10"/>
  <c r="F124" i="10"/>
  <c r="N121" i="10"/>
  <c r="V118" i="10"/>
  <c r="F116" i="10"/>
  <c r="C125" i="10"/>
  <c r="U117" i="10"/>
  <c r="D123" i="10"/>
  <c r="C116" i="10"/>
  <c r="E121" i="10"/>
  <c r="D114" i="10"/>
  <c r="E119" i="10"/>
  <c r="C122" i="10"/>
  <c r="C120" i="10"/>
  <c r="D118" i="10"/>
  <c r="T115" i="10"/>
  <c r="K117" i="10"/>
  <c r="E116" i="10"/>
  <c r="U118" i="10"/>
  <c r="Z114" i="10"/>
  <c r="Q114" i="10"/>
  <c r="X115" i="10"/>
  <c r="G117" i="10"/>
  <c r="N118" i="10"/>
  <c r="E122" i="10"/>
  <c r="K118" i="10"/>
  <c r="C114" i="10"/>
  <c r="C115" i="10"/>
  <c r="I115" i="10"/>
  <c r="C124" i="10"/>
  <c r="R124" i="10"/>
  <c r="Q124" i="10"/>
  <c r="P124" i="10"/>
  <c r="W125" i="10"/>
  <c r="G115" i="10"/>
  <c r="N116" i="10"/>
  <c r="U116" i="10"/>
  <c r="T123" i="10"/>
  <c r="U120" i="10"/>
  <c r="Q118" i="10"/>
  <c r="F119" i="10"/>
  <c r="Z123" i="10"/>
  <c r="Y123" i="10"/>
  <c r="X123" i="10"/>
  <c r="G125" i="10"/>
  <c r="O114" i="10"/>
  <c r="V115" i="10"/>
  <c r="D115" i="10"/>
  <c r="E120" i="10"/>
  <c r="K124" i="10"/>
  <c r="R118" i="10"/>
  <c r="T118" i="10"/>
  <c r="T119" i="10"/>
  <c r="R115" i="10"/>
  <c r="D120" i="10"/>
  <c r="R121" i="10"/>
  <c r="Q121" i="10"/>
  <c r="X121" i="10"/>
  <c r="G123" i="10"/>
  <c r="N124" i="10"/>
  <c r="U125" i="10"/>
  <c r="D122" i="10"/>
  <c r="T121" i="10"/>
  <c r="K123" i="10"/>
  <c r="H119" i="10"/>
  <c r="V121" i="10"/>
  <c r="U119" i="10"/>
  <c r="C119" i="10"/>
  <c r="P116" i="10"/>
  <c r="M117" i="10"/>
  <c r="Z120" i="10"/>
  <c r="Q120" i="10"/>
  <c r="H121" i="10"/>
  <c r="O122" i="10"/>
  <c r="V123" i="10"/>
  <c r="D124" i="10"/>
  <c r="K120" i="10"/>
  <c r="E118" i="10"/>
  <c r="S122" i="10"/>
  <c r="O120" i="10"/>
  <c r="W117" i="10"/>
  <c r="Z117" i="10"/>
  <c r="Q117" i="10"/>
  <c r="P118" i="10"/>
  <c r="W119" i="10"/>
  <c r="F121" i="10"/>
  <c r="C117" i="10"/>
  <c r="L125" i="10"/>
  <c r="K116" i="10"/>
  <c r="T64" i="10"/>
  <c r="P55" i="10"/>
  <c r="P63" i="10"/>
  <c r="I56" i="10"/>
  <c r="D64" i="10"/>
  <c r="K56" i="10"/>
  <c r="H57" i="10"/>
  <c r="Z57" i="10"/>
  <c r="D58" i="10"/>
  <c r="D61" i="10"/>
  <c r="J54" i="10"/>
  <c r="C62" i="10"/>
  <c r="T54" i="10"/>
  <c r="F62" i="10"/>
  <c r="S56" i="10"/>
  <c r="G63" i="10"/>
  <c r="N59" i="10"/>
  <c r="D60" i="10"/>
  <c r="O62" i="10"/>
  <c r="M55" i="10"/>
  <c r="O65" i="10"/>
  <c r="J56" i="10"/>
  <c r="F64" i="10"/>
  <c r="D55" i="10"/>
  <c r="G57" i="10"/>
  <c r="C54" i="10"/>
  <c r="C58" i="10"/>
  <c r="L58" i="10"/>
  <c r="C59" i="10"/>
  <c r="V55" i="10"/>
  <c r="C64" i="10"/>
  <c r="Z60" i="10"/>
  <c r="F60" i="10"/>
  <c r="O60" i="10"/>
  <c r="S64" i="10"/>
  <c r="D59" i="10"/>
  <c r="D62" i="10"/>
  <c r="Y59" i="10"/>
  <c r="F57" i="10"/>
  <c r="N55" i="10"/>
  <c r="P57" i="10"/>
  <c r="Z62" i="10"/>
  <c r="F63" i="10"/>
  <c r="N65" i="10"/>
  <c r="C61" i="10"/>
  <c r="U54" i="10"/>
  <c r="N61" i="10"/>
  <c r="Z58" i="10"/>
  <c r="P65" i="10"/>
  <c r="D54" i="10"/>
  <c r="H61" i="10"/>
  <c r="E55" i="10"/>
  <c r="V54" i="10"/>
  <c r="G62" i="10"/>
  <c r="S54" i="10"/>
  <c r="Q55" i="10"/>
  <c r="H63" i="10"/>
  <c r="L56" i="10"/>
  <c r="I64" i="10"/>
  <c r="Q57" i="10"/>
  <c r="M65" i="10"/>
  <c r="U62" i="10"/>
  <c r="E60" i="10"/>
  <c r="M57" i="10"/>
  <c r="R64" i="10"/>
  <c r="D63" i="10"/>
  <c r="C60" i="10"/>
  <c r="Z56" i="10"/>
  <c r="G54" i="10"/>
  <c r="C63" i="10"/>
  <c r="Z59" i="10"/>
  <c r="W64" i="10"/>
  <c r="I57" i="10"/>
  <c r="R65" i="10"/>
  <c r="P58" i="10"/>
  <c r="E65" i="10"/>
  <c r="M62" i="10"/>
  <c r="U59" i="10"/>
  <c r="E57" i="10"/>
  <c r="T65" i="10"/>
  <c r="S62" i="10"/>
  <c r="R59" i="10"/>
  <c r="Q56" i="10"/>
  <c r="S65" i="10"/>
  <c r="R62" i="10"/>
  <c r="Q59" i="10"/>
  <c r="N64" i="10"/>
  <c r="L61" i="10"/>
  <c r="O57" i="10"/>
  <c r="I54" i="10"/>
  <c r="W61" i="10"/>
  <c r="X57" i="10"/>
  <c r="Q54" i="10"/>
  <c r="K62" i="10"/>
  <c r="I58" i="10"/>
  <c r="Y54" i="10"/>
  <c r="V62" i="10"/>
  <c r="S58" i="10"/>
  <c r="F59" i="10"/>
  <c r="P60" i="10"/>
  <c r="M64" i="10"/>
  <c r="U61" i="10"/>
  <c r="E59" i="10"/>
  <c r="M56" i="10"/>
  <c r="Z64" i="10"/>
  <c r="Y61" i="10"/>
  <c r="X58" i="10"/>
  <c r="W55" i="10"/>
  <c r="Y64" i="10"/>
  <c r="X61" i="10"/>
  <c r="W58" i="10"/>
  <c r="O64" i="10"/>
  <c r="N60" i="10"/>
  <c r="R56" i="10"/>
  <c r="G65" i="10"/>
  <c r="X60" i="10"/>
  <c r="C57" i="10"/>
  <c r="X65" i="10"/>
  <c r="J61" i="10"/>
  <c r="L57" i="10"/>
  <c r="F54" i="10"/>
  <c r="T61" i="10"/>
  <c r="V57" i="10"/>
  <c r="N54" i="10"/>
  <c r="Q60" i="10"/>
  <c r="S57" i="10"/>
  <c r="T56" i="10"/>
  <c r="U63" i="10"/>
  <c r="M59" i="10"/>
  <c r="L65" i="10"/>
  <c r="P61" i="10"/>
  <c r="K57" i="10"/>
  <c r="G64" i="10"/>
  <c r="H59" i="10"/>
  <c r="Y62" i="10"/>
  <c r="Y57" i="10"/>
  <c r="L64" i="10"/>
  <c r="K59" i="10"/>
  <c r="Z54" i="10"/>
  <c r="W60" i="10"/>
  <c r="D56" i="10"/>
  <c r="I63" i="10"/>
  <c r="J57" i="10"/>
  <c r="R57" i="10"/>
  <c r="S59" i="10"/>
  <c r="R60" i="10"/>
  <c r="O58" i="10"/>
  <c r="C55" i="10"/>
  <c r="W57" i="10"/>
  <c r="Z55" i="10"/>
  <c r="M60" i="10"/>
  <c r="P64" i="10"/>
  <c r="Y65" i="10"/>
  <c r="T63" i="10"/>
  <c r="O59" i="10"/>
  <c r="M63" i="10"/>
  <c r="U58" i="10"/>
  <c r="C65" i="10"/>
  <c r="G61" i="10"/>
  <c r="H56" i="10"/>
  <c r="V63" i="10"/>
  <c r="N58" i="10"/>
  <c r="N62" i="10"/>
  <c r="D57" i="10"/>
  <c r="Y63" i="10"/>
  <c r="V58" i="10"/>
  <c r="H54" i="10"/>
  <c r="I60" i="10"/>
  <c r="S55" i="10"/>
  <c r="H62" i="10"/>
  <c r="X56" i="10"/>
  <c r="Q58" i="10"/>
  <c r="U65" i="10"/>
  <c r="F61" i="10"/>
  <c r="D65" i="10"/>
  <c r="R63" i="10"/>
  <c r="X55" i="10"/>
  <c r="K60" i="10"/>
  <c r="K55" i="10"/>
  <c r="Q61" i="10"/>
  <c r="E63" i="10"/>
  <c r="M58" i="10"/>
  <c r="K65" i="10"/>
  <c r="V60" i="10"/>
  <c r="O55" i="10"/>
  <c r="L63" i="10"/>
  <c r="Z65" i="10"/>
  <c r="Z61" i="10"/>
  <c r="G56" i="10"/>
  <c r="K63" i="10"/>
  <c r="J58" i="10"/>
  <c r="F65" i="10"/>
  <c r="V59" i="10"/>
  <c r="J55" i="10"/>
  <c r="I61" i="10"/>
  <c r="N56" i="10"/>
  <c r="P59" i="10"/>
  <c r="S61" i="10"/>
  <c r="W63" i="10"/>
  <c r="L59" i="10"/>
  <c r="J63" i="10"/>
  <c r="E64" i="10"/>
  <c r="T57" i="10"/>
  <c r="K58" i="10"/>
  <c r="O56" i="10"/>
  <c r="V56" i="10"/>
  <c r="G58" i="10"/>
  <c r="P62" i="10"/>
  <c r="E62" i="10"/>
  <c r="E58" i="10"/>
  <c r="Q64" i="10"/>
  <c r="L60" i="10"/>
  <c r="G55" i="10"/>
  <c r="I62" i="10"/>
  <c r="Q65" i="10"/>
  <c r="Y60" i="10"/>
  <c r="U55" i="10"/>
  <c r="X62" i="10"/>
  <c r="N57" i="10"/>
  <c r="K64" i="10"/>
  <c r="J59" i="10"/>
  <c r="P54" i="10"/>
  <c r="S60" i="10"/>
  <c r="C56" i="10"/>
  <c r="R61" i="10"/>
  <c r="M54" i="10"/>
  <c r="T62" i="10"/>
  <c r="Q63" i="10"/>
  <c r="U57" i="10"/>
  <c r="H64" i="10"/>
  <c r="W54" i="10"/>
  <c r="O61" i="10"/>
  <c r="X59" i="10"/>
  <c r="L55" i="10"/>
  <c r="P56" i="10"/>
  <c r="X63" i="10"/>
  <c r="W65" i="10"/>
  <c r="H60" i="10"/>
  <c r="Q62" i="10"/>
  <c r="H55" i="10"/>
  <c r="S63" i="10"/>
  <c r="E61" i="10"/>
  <c r="O54" i="10"/>
  <c r="K61" i="10"/>
  <c r="F56" i="10"/>
  <c r="I55" i="10"/>
  <c r="F55" i="10"/>
  <c r="X64" i="10"/>
  <c r="V65" i="10"/>
  <c r="O63" i="10"/>
  <c r="W59" i="10"/>
  <c r="V61" i="10"/>
  <c r="R58" i="10"/>
  <c r="G60" i="10"/>
  <c r="M61" i="10"/>
  <c r="I59" i="10"/>
  <c r="H65" i="10"/>
  <c r="L62" i="10"/>
  <c r="T58" i="10"/>
  <c r="R55" i="10"/>
  <c r="L54" i="10"/>
  <c r="U56" i="10"/>
  <c r="I65" i="10"/>
  <c r="T59" i="10"/>
  <c r="E54" i="10"/>
  <c r="K54" i="10"/>
  <c r="U64" i="10"/>
  <c r="U60" i="10"/>
  <c r="E56" i="10"/>
  <c r="N63" i="10"/>
  <c r="F58" i="10"/>
  <c r="J65" i="10"/>
  <c r="T60" i="10"/>
  <c r="Z63" i="10"/>
  <c r="Y58" i="10"/>
  <c r="R54" i="10"/>
  <c r="J60" i="10"/>
  <c r="T55" i="10"/>
  <c r="W62" i="10"/>
  <c r="Y56" i="10"/>
  <c r="J64" i="10"/>
  <c r="G59" i="10"/>
  <c r="X54" i="10"/>
  <c r="Y55" i="10"/>
  <c r="V64" i="10"/>
  <c r="W56" i="10"/>
  <c r="J62" i="10"/>
  <c r="H58" i="10"/>
  <c r="Q71" i="10"/>
  <c r="O68" i="10"/>
  <c r="Q74" i="10"/>
  <c r="I69" i="10"/>
  <c r="M75" i="10"/>
  <c r="U72" i="10"/>
  <c r="T77" i="10"/>
  <c r="H66" i="10"/>
  <c r="U76" i="10"/>
  <c r="E74" i="10"/>
  <c r="M71" i="10"/>
  <c r="U68" i="10"/>
  <c r="E66" i="10"/>
  <c r="J75" i="10"/>
  <c r="I72" i="10"/>
  <c r="H69" i="10"/>
  <c r="R74" i="10"/>
  <c r="U75" i="10"/>
  <c r="E72" i="10"/>
  <c r="E69" i="10"/>
  <c r="Z77" i="10"/>
  <c r="P74" i="10"/>
  <c r="F71" i="10"/>
  <c r="S67" i="10"/>
  <c r="V76" i="10"/>
  <c r="T73" i="10"/>
  <c r="S70" i="10"/>
  <c r="R67" i="10"/>
  <c r="T76" i="10"/>
  <c r="S73" i="10"/>
  <c r="R70" i="10"/>
  <c r="Q67" i="10"/>
  <c r="R76" i="10"/>
  <c r="Q73" i="10"/>
  <c r="P70" i="10"/>
  <c r="O67" i="10"/>
  <c r="L74" i="10"/>
  <c r="J68" i="10"/>
  <c r="J74" i="10"/>
  <c r="H68" i="10"/>
  <c r="O73" i="10"/>
  <c r="L67" i="10"/>
  <c r="S72" i="10"/>
  <c r="Q66" i="10"/>
  <c r="E75" i="10"/>
  <c r="U71" i="10"/>
  <c r="M68" i="10"/>
  <c r="Q77" i="10"/>
  <c r="G74" i="10"/>
  <c r="T70" i="10"/>
  <c r="J67" i="10"/>
  <c r="L76" i="10"/>
  <c r="K73" i="10"/>
  <c r="J70" i="10"/>
  <c r="I67" i="10"/>
  <c r="K76" i="10"/>
  <c r="J73" i="10"/>
  <c r="I70" i="10"/>
  <c r="H67" i="10"/>
  <c r="I76" i="10"/>
  <c r="H73" i="10"/>
  <c r="G70" i="10"/>
  <c r="F67" i="10"/>
  <c r="R73" i="10"/>
  <c r="P67" i="10"/>
  <c r="P73" i="10"/>
  <c r="N67" i="10"/>
  <c r="T72" i="10"/>
  <c r="R66" i="10"/>
  <c r="Y71" i="10"/>
  <c r="D77" i="10"/>
  <c r="Z76" i="10"/>
  <c r="Y76" i="10"/>
  <c r="X76" i="10"/>
  <c r="S68" i="10"/>
  <c r="F76" i="10"/>
  <c r="U77" i="10"/>
  <c r="M74" i="10"/>
  <c r="U70" i="10"/>
  <c r="U67" i="10"/>
  <c r="W76" i="10"/>
  <c r="L73" i="10"/>
  <c r="Z69" i="10"/>
  <c r="P66" i="10"/>
  <c r="R75" i="10"/>
  <c r="Q72" i="10"/>
  <c r="P69" i="10"/>
  <c r="O66" i="10"/>
  <c r="Q75" i="10"/>
  <c r="P72" i="10"/>
  <c r="O69" i="10"/>
  <c r="N66" i="10"/>
  <c r="O75" i="10"/>
  <c r="N72" i="10"/>
  <c r="L69" i="10"/>
  <c r="K66" i="10"/>
  <c r="F72" i="10"/>
  <c r="C66" i="10"/>
  <c r="C72" i="10"/>
  <c r="J77" i="10"/>
  <c r="H71" i="10"/>
  <c r="O76" i="10"/>
  <c r="L70" i="10"/>
  <c r="C74" i="10"/>
  <c r="E77" i="10"/>
  <c r="M73" i="10"/>
  <c r="E70" i="10"/>
  <c r="E67" i="10"/>
  <c r="D76" i="10"/>
  <c r="R72" i="10"/>
  <c r="W68" i="10"/>
  <c r="Y77" i="10"/>
  <c r="X74" i="10"/>
  <c r="W71" i="10"/>
  <c r="V68" i="10"/>
  <c r="X77" i="10"/>
  <c r="W74" i="10"/>
  <c r="V71" i="10"/>
  <c r="T68" i="10"/>
  <c r="V77" i="10"/>
  <c r="T74" i="10"/>
  <c r="S71" i="10"/>
  <c r="R68" i="10"/>
  <c r="S76" i="10"/>
  <c r="Q70" i="10"/>
  <c r="Q76" i="10"/>
  <c r="O70" i="10"/>
  <c r="V75" i="10"/>
  <c r="S69" i="10"/>
  <c r="Z74" i="10"/>
  <c r="X68" i="10"/>
  <c r="Z70" i="10"/>
  <c r="X70" i="10"/>
  <c r="W70" i="10"/>
  <c r="V74" i="10"/>
  <c r="E73" i="10"/>
  <c r="U66" i="10"/>
  <c r="X71" i="10"/>
  <c r="P77" i="10"/>
  <c r="N71" i="10"/>
  <c r="O77" i="10"/>
  <c r="L71" i="10"/>
  <c r="L77" i="10"/>
  <c r="J71" i="10"/>
  <c r="Y75" i="10"/>
  <c r="W75" i="10"/>
  <c r="C75" i="10"/>
  <c r="H74" i="10"/>
  <c r="N69" i="10"/>
  <c r="J66" i="10"/>
  <c r="W77" i="10"/>
  <c r="R71" i="10"/>
  <c r="M72" i="10"/>
  <c r="M66" i="10"/>
  <c r="O71" i="10"/>
  <c r="G77" i="10"/>
  <c r="D71" i="10"/>
  <c r="F77" i="10"/>
  <c r="C71" i="10"/>
  <c r="C77" i="10"/>
  <c r="Y70" i="10"/>
  <c r="G75" i="10"/>
  <c r="D75" i="10"/>
  <c r="I74" i="10"/>
  <c r="N73" i="10"/>
  <c r="Y67" i="10"/>
  <c r="L75" i="10"/>
  <c r="J76" i="10"/>
  <c r="S74" i="10"/>
  <c r="E71" i="10"/>
  <c r="H77" i="10"/>
  <c r="K70" i="10"/>
  <c r="C76" i="10"/>
  <c r="Y69" i="10"/>
  <c r="Z75" i="10"/>
  <c r="X69" i="10"/>
  <c r="X75" i="10"/>
  <c r="V69" i="10"/>
  <c r="X72" i="10"/>
  <c r="V72" i="10"/>
  <c r="Z71" i="10"/>
  <c r="G71" i="10"/>
  <c r="L66" i="10"/>
  <c r="X73" i="10"/>
  <c r="I73" i="10"/>
  <c r="M77" i="10"/>
  <c r="M70" i="10"/>
  <c r="N76" i="10"/>
  <c r="Q69" i="10"/>
  <c r="I75" i="10"/>
  <c r="G69" i="10"/>
  <c r="H75" i="10"/>
  <c r="F69" i="10"/>
  <c r="F75" i="10"/>
  <c r="C69" i="10"/>
  <c r="K71" i="10"/>
  <c r="I71" i="10"/>
  <c r="N70" i="10"/>
  <c r="R69" i="10"/>
  <c r="N75" i="10"/>
  <c r="K72" i="10"/>
  <c r="T71" i="10"/>
  <c r="M76" i="10"/>
  <c r="U69" i="10"/>
  <c r="S75" i="10"/>
  <c r="N68" i="10"/>
  <c r="O74" i="10"/>
  <c r="L68" i="10"/>
  <c r="N74" i="10"/>
  <c r="K68" i="10"/>
  <c r="K74" i="10"/>
  <c r="I68" i="10"/>
  <c r="W69" i="10"/>
  <c r="T69" i="10"/>
  <c r="Y68" i="10"/>
  <c r="F68" i="10"/>
  <c r="Y73" i="10"/>
  <c r="J69" i="10"/>
  <c r="H70" i="10"/>
  <c r="Y74" i="10"/>
  <c r="H72" i="10"/>
  <c r="W66" i="10"/>
  <c r="D69" i="10"/>
  <c r="T75" i="10"/>
  <c r="I66" i="10"/>
  <c r="V73" i="10"/>
  <c r="C68" i="10"/>
  <c r="D66" i="10"/>
  <c r="V66" i="10"/>
  <c r="K67" i="10"/>
  <c r="K75" i="10"/>
  <c r="E76" i="10"/>
  <c r="C73" i="10"/>
  <c r="X66" i="10"/>
  <c r="Z73" i="10"/>
  <c r="K77" i="10"/>
  <c r="P75" i="10"/>
  <c r="G67" i="10"/>
  <c r="U74" i="10"/>
  <c r="D68" i="10"/>
  <c r="F66" i="10"/>
  <c r="W72" i="10"/>
  <c r="Z68" i="10"/>
  <c r="O72" i="10"/>
  <c r="Z66" i="10"/>
  <c r="U73" i="10"/>
  <c r="Y66" i="10"/>
  <c r="D74" i="10"/>
  <c r="D72" i="10"/>
  <c r="S66" i="10"/>
  <c r="L72" i="10"/>
  <c r="C70" i="10"/>
  <c r="M69" i="10"/>
  <c r="G66" i="10"/>
  <c r="Y72" i="10"/>
  <c r="X67" i="10"/>
  <c r="P76" i="10"/>
  <c r="K69" i="10"/>
  <c r="Q68" i="10"/>
  <c r="G72" i="10"/>
  <c r="F73" i="10"/>
  <c r="R77" i="10"/>
  <c r="Z67" i="10"/>
  <c r="H76" i="10"/>
  <c r="T66" i="10"/>
  <c r="D73" i="10"/>
  <c r="T67" i="10"/>
  <c r="P71" i="10"/>
  <c r="N77" i="10"/>
  <c r="G76" i="10"/>
  <c r="V70" i="10"/>
  <c r="E68" i="10"/>
  <c r="G68" i="10"/>
  <c r="W73" i="10"/>
  <c r="J72" i="10"/>
  <c r="F74" i="10"/>
  <c r="W67" i="10"/>
  <c r="C67" i="10"/>
  <c r="F70" i="10"/>
  <c r="P68" i="10"/>
  <c r="Z72" i="10"/>
  <c r="V67" i="10"/>
  <c r="D70" i="10"/>
  <c r="D67" i="10"/>
  <c r="S77" i="10"/>
  <c r="I77" i="10"/>
  <c r="M67" i="10"/>
  <c r="G73" i="10"/>
  <c r="E10" i="3"/>
  <c r="C20" i="3"/>
  <c r="T41" i="10"/>
  <c r="N35" i="10"/>
  <c r="F36" i="10"/>
  <c r="E30" i="10"/>
  <c r="H36" i="10"/>
  <c r="Y31" i="10"/>
  <c r="Z36" i="10"/>
  <c r="G31" i="10"/>
  <c r="T37" i="10"/>
  <c r="Q31" i="10"/>
  <c r="X37" i="10"/>
  <c r="N40" i="10"/>
  <c r="H34" i="10"/>
  <c r="I41" i="10"/>
  <c r="R34" i="10"/>
  <c r="K41" i="10"/>
  <c r="O36" i="10"/>
  <c r="V30" i="10"/>
  <c r="M32" i="10"/>
  <c r="D39" i="10"/>
  <c r="E33" i="10"/>
  <c r="P39" i="10"/>
  <c r="G33" i="10"/>
  <c r="S41" i="10"/>
  <c r="L35" i="10"/>
  <c r="W30" i="10"/>
  <c r="H30" i="10"/>
  <c r="J36" i="10"/>
  <c r="D30" i="10"/>
  <c r="G36" i="10"/>
  <c r="X33" i="10"/>
  <c r="U31" i="10"/>
  <c r="V38" i="10"/>
  <c r="P31" i="10"/>
  <c r="V37" i="10"/>
  <c r="M35" i="10"/>
  <c r="T38" i="10"/>
  <c r="U35" i="10"/>
  <c r="F30" i="10"/>
  <c r="N33" i="10"/>
  <c r="W33" i="10"/>
  <c r="L40" i="10"/>
  <c r="V34" i="10"/>
  <c r="T32" i="10"/>
  <c r="Z34" i="10"/>
  <c r="J37" i="10"/>
  <c r="R31" i="10"/>
  <c r="H38" i="10"/>
  <c r="Z30" i="10"/>
  <c r="Q40" i="10"/>
  <c r="U40" i="10"/>
  <c r="T34" i="10"/>
  <c r="Y39" i="10"/>
  <c r="L32" i="10"/>
  <c r="O32" i="10"/>
  <c r="M41" i="10"/>
  <c r="F33" i="10"/>
  <c r="X36" i="10"/>
  <c r="S38" i="10"/>
  <c r="D34" i="10"/>
  <c r="Y33" i="10"/>
  <c r="Q34" i="10"/>
  <c r="K40" i="10"/>
  <c r="E37" i="10"/>
  <c r="J41" i="10"/>
  <c r="I33" i="10"/>
  <c r="X30" i="10"/>
  <c r="J32" i="10"/>
  <c r="P35" i="10"/>
  <c r="M30" i="10"/>
  <c r="R38" i="10"/>
  <c r="Y36" i="10"/>
  <c r="Z37" i="10"/>
  <c r="Q39" i="10"/>
  <c r="N39" i="10"/>
  <c r="T39" i="10"/>
  <c r="N30" i="10"/>
  <c r="P36" i="10"/>
  <c r="O40" i="10"/>
  <c r="W37" i="10"/>
  <c r="D40" i="10"/>
  <c r="C37" i="10"/>
  <c r="K34" i="10"/>
  <c r="S31" i="10"/>
  <c r="T40" i="10"/>
  <c r="I37" i="10"/>
  <c r="G34" i="10"/>
  <c r="F31" i="10"/>
  <c r="L39" i="10"/>
  <c r="D36" i="10"/>
  <c r="Z32" i="10"/>
  <c r="Y41" i="10"/>
  <c r="M38" i="10"/>
  <c r="H35" i="10"/>
  <c r="G32" i="10"/>
  <c r="Z40" i="10"/>
  <c r="N37" i="10"/>
  <c r="L34" i="10"/>
  <c r="J31" i="10"/>
  <c r="D32" i="10"/>
  <c r="J38" i="10"/>
  <c r="M34" i="10"/>
  <c r="C41" i="10"/>
  <c r="H31" i="10"/>
  <c r="K37" i="10"/>
  <c r="G40" i="10"/>
  <c r="O37" i="10"/>
  <c r="S39" i="10"/>
  <c r="S36" i="10"/>
  <c r="C34" i="10"/>
  <c r="K31" i="10"/>
  <c r="J40" i="10"/>
  <c r="W36" i="10"/>
  <c r="V33" i="10"/>
  <c r="U30" i="10"/>
  <c r="Z38" i="10"/>
  <c r="R35" i="10"/>
  <c r="Q32" i="10"/>
  <c r="N41" i="10"/>
  <c r="C38" i="10"/>
  <c r="W34" i="10"/>
  <c r="V31" i="10"/>
  <c r="P40" i="10"/>
  <c r="D37" i="10"/>
  <c r="Z33" i="10"/>
  <c r="Y30" i="10"/>
  <c r="V32" i="10"/>
  <c r="F39" i="10"/>
  <c r="G35" i="10"/>
  <c r="X41" i="10"/>
  <c r="Z31" i="10"/>
  <c r="I38" i="10"/>
  <c r="W39" i="10"/>
  <c r="G37" i="10"/>
  <c r="J39" i="10"/>
  <c r="K36" i="10"/>
  <c r="S33" i="10"/>
  <c r="C31" i="10"/>
  <c r="X39" i="10"/>
  <c r="N36" i="10"/>
  <c r="M33" i="10"/>
  <c r="L30" i="10"/>
  <c r="N38" i="10"/>
  <c r="I35" i="10"/>
  <c r="H32" i="10"/>
  <c r="D41" i="10"/>
  <c r="Q37" i="10"/>
  <c r="N34" i="10"/>
  <c r="M31" i="10"/>
  <c r="E40" i="10"/>
  <c r="R36" i="10"/>
  <c r="Q33" i="10"/>
  <c r="P30" i="10"/>
  <c r="P33" i="10"/>
  <c r="C40" i="10"/>
  <c r="Y35" i="10"/>
  <c r="U32" i="10"/>
  <c r="E39" i="10"/>
  <c r="O39" i="10"/>
  <c r="Z41" i="10"/>
  <c r="Y38" i="10"/>
  <c r="C36" i="10"/>
  <c r="K33" i="10"/>
  <c r="S30" i="10"/>
  <c r="M39" i="10"/>
  <c r="E36" i="10"/>
  <c r="D33" i="10"/>
  <c r="P41" i="10"/>
  <c r="D38" i="10"/>
  <c r="X34" i="10"/>
  <c r="W31" i="10"/>
  <c r="R40" i="10"/>
  <c r="F37" i="10"/>
  <c r="E34" i="10"/>
  <c r="D31" i="10"/>
  <c r="R39" i="10"/>
  <c r="I36" i="10"/>
  <c r="H33" i="10"/>
  <c r="G30" i="10"/>
  <c r="J34" i="10"/>
  <c r="Y40" i="10"/>
  <c r="Q30" i="10"/>
  <c r="T36" i="10"/>
  <c r="O33" i="10"/>
  <c r="Z39" i="10"/>
  <c r="W41" i="10"/>
  <c r="G39" i="10"/>
  <c r="Q41" i="10"/>
  <c r="P38" i="10"/>
  <c r="S35" i="10"/>
  <c r="C33" i="10"/>
  <c r="K30" i="10"/>
  <c r="C39" i="10"/>
  <c r="T35" i="10"/>
  <c r="R32" i="10"/>
  <c r="E41" i="10"/>
  <c r="R37" i="10"/>
  <c r="O34" i="10"/>
  <c r="N31" i="10"/>
  <c r="H40" i="10"/>
  <c r="U36" i="10"/>
  <c r="T33" i="10"/>
  <c r="R30" i="10"/>
  <c r="H39" i="10"/>
  <c r="X35" i="10"/>
  <c r="W32" i="10"/>
  <c r="E35" i="10"/>
  <c r="U41" i="10"/>
  <c r="L31" i="10"/>
  <c r="P37" i="10"/>
  <c r="D35" i="10"/>
  <c r="G41" i="10"/>
  <c r="O38" i="10"/>
  <c r="V40" i="10"/>
  <c r="U37" i="10"/>
  <c r="C35" i="10"/>
  <c r="K32" i="10"/>
  <c r="R41" i="10"/>
  <c r="E38" i="10"/>
  <c r="Y34" i="10"/>
  <c r="X31" i="10"/>
  <c r="I40" i="10"/>
  <c r="V36" i="10"/>
  <c r="U33" i="10"/>
  <c r="T30" i="10"/>
  <c r="K39" i="10"/>
  <c r="Z35" i="10"/>
  <c r="Y32" i="10"/>
  <c r="V41" i="10"/>
  <c r="K38" i="10"/>
  <c r="F35" i="10"/>
  <c r="E32" i="10"/>
  <c r="O30" i="10"/>
  <c r="Q36" i="10"/>
  <c r="X32" i="10"/>
  <c r="I39" i="10"/>
  <c r="V35" i="10"/>
  <c r="G38" i="10"/>
  <c r="C32" i="10"/>
  <c r="O31" i="10"/>
  <c r="J30" i="10"/>
  <c r="L41" i="10"/>
  <c r="I31" i="10"/>
  <c r="R33" i="10"/>
  <c r="O41" i="10"/>
  <c r="F34" i="10"/>
  <c r="I34" i="10"/>
  <c r="I30" i="10"/>
  <c r="X40" i="10"/>
  <c r="H41" i="10"/>
  <c r="C30" i="10"/>
  <c r="S40" i="10"/>
  <c r="U39" i="10"/>
  <c r="U38" i="10"/>
  <c r="W35" i="10"/>
  <c r="L38" i="10"/>
  <c r="J35" i="10"/>
  <c r="I32" i="10"/>
  <c r="F32" i="10"/>
  <c r="M40" i="10"/>
  <c r="F41" i="10"/>
  <c r="V39" i="10"/>
  <c r="X38" i="10"/>
  <c r="Y37" i="10"/>
  <c r="M37" i="10"/>
  <c r="F40" i="10"/>
  <c r="J33" i="10"/>
  <c r="W38" i="10"/>
  <c r="F38" i="10"/>
  <c r="Q38" i="10"/>
  <c r="H37" i="10"/>
  <c r="L36" i="10"/>
  <c r="O35" i="10"/>
  <c r="K35" i="10"/>
  <c r="E31" i="10"/>
  <c r="L37" i="10"/>
  <c r="S37" i="10"/>
  <c r="M36" i="10"/>
  <c r="Q35" i="10"/>
  <c r="U34" i="10"/>
  <c r="N32" i="10"/>
  <c r="S32" i="10"/>
  <c r="W40" i="10"/>
  <c r="S34" i="10"/>
  <c r="P34" i="10"/>
  <c r="L33" i="10"/>
  <c r="P32" i="10"/>
  <c r="T31" i="10"/>
  <c r="AC126" i="6"/>
  <c r="AA126" i="6"/>
  <c r="Y17" i="10" l="1"/>
  <c r="U15" i="10"/>
  <c r="O8" i="10"/>
  <c r="W15" i="10"/>
  <c r="F9" i="10"/>
  <c r="N16" i="10"/>
  <c r="G11" i="10"/>
  <c r="G17" i="10"/>
  <c r="N10" i="10"/>
  <c r="V17" i="10"/>
  <c r="E11" i="10"/>
  <c r="F13" i="10"/>
  <c r="W13" i="10"/>
  <c r="F7" i="10"/>
  <c r="N14" i="10"/>
  <c r="U7" i="10"/>
  <c r="O16" i="10"/>
  <c r="V9" i="10"/>
  <c r="N8" i="10"/>
  <c r="V15" i="10"/>
  <c r="W11" i="10"/>
  <c r="N12" i="10"/>
  <c r="E13" i="10"/>
  <c r="V7" i="10"/>
  <c r="F15" i="10"/>
  <c r="M8" i="10"/>
  <c r="I7" i="10"/>
  <c r="Q12" i="10"/>
  <c r="D17" i="10"/>
  <c r="E9" i="10"/>
  <c r="M16" i="10"/>
  <c r="G13" i="10"/>
  <c r="I13" i="10"/>
  <c r="L15" i="10"/>
  <c r="T12" i="10"/>
  <c r="D10" i="10"/>
  <c r="L7" i="10"/>
  <c r="S15" i="10"/>
  <c r="C13" i="10"/>
  <c r="K10" i="10"/>
  <c r="S7" i="10"/>
  <c r="J16" i="10"/>
  <c r="R13" i="10"/>
  <c r="Z10" i="10"/>
  <c r="J8" i="10"/>
  <c r="P16" i="10"/>
  <c r="X13" i="10"/>
  <c r="H11" i="10"/>
  <c r="P8" i="10"/>
  <c r="E16" i="10"/>
  <c r="O10" i="10"/>
  <c r="W17" i="10"/>
  <c r="E17" i="10"/>
  <c r="W9" i="10"/>
  <c r="M10" i="10"/>
  <c r="E7" i="10"/>
  <c r="G9" i="10"/>
  <c r="G15" i="10"/>
  <c r="Y9" i="10"/>
  <c r="Y15" i="10"/>
  <c r="T16" i="10"/>
  <c r="D14" i="10"/>
  <c r="L11" i="10"/>
  <c r="T8" i="10"/>
  <c r="C17" i="10"/>
  <c r="K14" i="10"/>
  <c r="S11" i="10"/>
  <c r="C9" i="10"/>
  <c r="R17" i="10"/>
  <c r="Z14" i="10"/>
  <c r="J12" i="10"/>
  <c r="R9" i="10"/>
  <c r="X17" i="10"/>
  <c r="H15" i="10"/>
  <c r="P12" i="10"/>
  <c r="X9" i="10"/>
  <c r="H7" i="10"/>
  <c r="M14" i="10"/>
  <c r="U9" i="10"/>
  <c r="V11" i="10"/>
  <c r="Q10" i="10"/>
  <c r="L16" i="10"/>
  <c r="D13" i="10"/>
  <c r="L9" i="10"/>
  <c r="S16" i="10"/>
  <c r="K13" i="10"/>
  <c r="S9" i="10"/>
  <c r="J17" i="10"/>
  <c r="Z13" i="10"/>
  <c r="J10" i="10"/>
  <c r="P17" i="10"/>
  <c r="H14" i="10"/>
  <c r="P10" i="10"/>
  <c r="E8" i="10"/>
  <c r="V13" i="10"/>
  <c r="E15" i="10"/>
  <c r="U13" i="10"/>
  <c r="I11" i="10"/>
  <c r="D16" i="10"/>
  <c r="L12" i="10"/>
  <c r="D9" i="10"/>
  <c r="K16" i="10"/>
  <c r="S12" i="10"/>
  <c r="K9" i="10"/>
  <c r="Z16" i="10"/>
  <c r="J13" i="10"/>
  <c r="Z9" i="10"/>
  <c r="H17" i="10"/>
  <c r="P13" i="10"/>
  <c r="H10" i="10"/>
  <c r="U10" i="10"/>
  <c r="M12" i="10"/>
  <c r="F11" i="10"/>
  <c r="U11" i="10"/>
  <c r="Y13" i="10"/>
  <c r="D15" i="10"/>
  <c r="T11" i="10"/>
  <c r="D8" i="10"/>
  <c r="K15" i="10"/>
  <c r="C12" i="10"/>
  <c r="K8" i="10"/>
  <c r="Z15" i="10"/>
  <c r="R12" i="10"/>
  <c r="Z8" i="10"/>
  <c r="H16" i="10"/>
  <c r="X12" i="10"/>
  <c r="H9" i="10"/>
  <c r="G7" i="10"/>
  <c r="Y7" i="10"/>
  <c r="I15" i="10"/>
  <c r="L14" i="10"/>
  <c r="T10" i="10"/>
  <c r="D7" i="10"/>
  <c r="S14" i="10"/>
  <c r="C11" i="10"/>
  <c r="K7" i="10"/>
  <c r="J15" i="10"/>
  <c r="R11" i="10"/>
  <c r="Z7" i="10"/>
  <c r="P15" i="10"/>
  <c r="X11" i="10"/>
  <c r="H8" i="10"/>
  <c r="O12" i="10"/>
  <c r="W7" i="10"/>
  <c r="Q16" i="10"/>
  <c r="T17" i="10"/>
  <c r="L10" i="10"/>
  <c r="C14" i="10"/>
  <c r="C7" i="10"/>
  <c r="J11" i="10"/>
  <c r="X14" i="10"/>
  <c r="X7" i="10"/>
  <c r="F17" i="10"/>
  <c r="I17" i="10"/>
  <c r="L17" i="10"/>
  <c r="T9" i="10"/>
  <c r="S13" i="10"/>
  <c r="Z17" i="10"/>
  <c r="R10" i="10"/>
  <c r="P14" i="10"/>
  <c r="P7" i="10"/>
  <c r="T15" i="10"/>
  <c r="L8" i="10"/>
  <c r="K12" i="10"/>
  <c r="R16" i="10"/>
  <c r="J9" i="10"/>
  <c r="H13" i="10"/>
  <c r="E14" i="10"/>
  <c r="T14" i="10"/>
  <c r="T7" i="10"/>
  <c r="K11" i="10"/>
  <c r="R15" i="10"/>
  <c r="R8" i="10"/>
  <c r="H12" i="10"/>
  <c r="Q8" i="10"/>
  <c r="T13" i="10"/>
  <c r="S17" i="10"/>
  <c r="S10" i="10"/>
  <c r="R14" i="10"/>
  <c r="R7" i="10"/>
  <c r="P11" i="10"/>
  <c r="O14" i="10"/>
  <c r="L13" i="10"/>
  <c r="C8" i="10"/>
  <c r="P9" i="10"/>
  <c r="U14" i="10"/>
  <c r="D12" i="10"/>
  <c r="J14" i="10"/>
  <c r="X8" i="10"/>
  <c r="I9" i="10"/>
  <c r="D11" i="10"/>
  <c r="Z12" i="10"/>
  <c r="U16" i="10"/>
  <c r="U17" i="10"/>
  <c r="Y11" i="10"/>
  <c r="K17" i="10"/>
  <c r="Z11" i="10"/>
  <c r="Q14" i="10"/>
  <c r="C16" i="10"/>
  <c r="J7" i="10"/>
  <c r="U8" i="10"/>
  <c r="C15" i="10"/>
  <c r="X16" i="10"/>
  <c r="C10" i="10"/>
  <c r="U12" i="10"/>
  <c r="V8" i="10"/>
  <c r="F14" i="10"/>
  <c r="M7" i="10"/>
  <c r="G10" i="10"/>
  <c r="O15" i="10"/>
  <c r="E12" i="10"/>
  <c r="I12" i="10"/>
  <c r="Q17" i="10"/>
  <c r="S8" i="10"/>
  <c r="M15" i="10"/>
  <c r="N9" i="10"/>
  <c r="V14" i="10"/>
  <c r="E10" i="10"/>
  <c r="W10" i="10"/>
  <c r="G16" i="10"/>
  <c r="Q7" i="10"/>
  <c r="Y12" i="10"/>
  <c r="X15" i="10"/>
  <c r="F10" i="10"/>
  <c r="N15" i="10"/>
  <c r="M13" i="10"/>
  <c r="O11" i="10"/>
  <c r="W16" i="10"/>
  <c r="I8" i="10"/>
  <c r="Q13" i="10"/>
  <c r="X10" i="10"/>
  <c r="V10" i="10"/>
  <c r="F16" i="10"/>
  <c r="M17" i="10"/>
  <c r="G12" i="10"/>
  <c r="O17" i="10"/>
  <c r="Y8" i="10"/>
  <c r="I14" i="10"/>
  <c r="N11" i="10"/>
  <c r="V16" i="10"/>
  <c r="O7" i="10"/>
  <c r="W12" i="10"/>
  <c r="Q9" i="10"/>
  <c r="Y14" i="10"/>
  <c r="M9" i="10"/>
  <c r="N7" i="10"/>
  <c r="V12" i="10"/>
  <c r="W8" i="10"/>
  <c r="G14" i="10"/>
  <c r="Y10" i="10"/>
  <c r="I16" i="10"/>
  <c r="K6" i="10"/>
  <c r="E6" i="10"/>
  <c r="X6" i="10"/>
  <c r="N13" i="10"/>
  <c r="O9" i="10"/>
  <c r="Q11" i="10"/>
  <c r="T6" i="10"/>
  <c r="O6" i="10"/>
  <c r="R6" i="10"/>
  <c r="W6" i="10"/>
  <c r="F6" i="10"/>
  <c r="N17" i="10"/>
  <c r="O13" i="10"/>
  <c r="Q15" i="10"/>
  <c r="V6" i="10"/>
  <c r="Z6" i="10"/>
  <c r="J6" i="10"/>
  <c r="W14" i="10"/>
  <c r="Y16" i="10"/>
  <c r="N6" i="10"/>
  <c r="H6" i="10"/>
  <c r="C6" i="10"/>
  <c r="Q6" i="10"/>
  <c r="G8" i="10"/>
  <c r="G6" i="10"/>
  <c r="S6" i="10"/>
  <c r="P6" i="10"/>
  <c r="I6" i="10"/>
  <c r="F20" i="3"/>
  <c r="F12" i="10"/>
  <c r="M11" i="10"/>
  <c r="D6" i="10"/>
  <c r="M6" i="10"/>
  <c r="I10" i="10"/>
  <c r="F8" i="10"/>
  <c r="L6" i="10"/>
  <c r="U6" i="10"/>
  <c r="Y6" i="10"/>
  <c r="E20" i="3"/>
  <c r="D20" i="3" s="1"/>
  <c r="AA6" i="10" l="1"/>
  <c r="AC6" i="10" s="1"/>
  <c r="C126" i="10"/>
  <c r="F126" i="10"/>
  <c r="O126" i="10"/>
  <c r="I126" i="10"/>
  <c r="N126" i="10"/>
  <c r="W126" i="10"/>
  <c r="M126" i="10"/>
  <c r="V126" i="10"/>
  <c r="Q126" i="10"/>
  <c r="J126" i="10"/>
  <c r="K126" i="10"/>
  <c r="H126" i="10"/>
  <c r="D126" i="10"/>
  <c r="S126" i="10"/>
  <c r="P126" i="10"/>
  <c r="G126" i="10"/>
  <c r="L126" i="10"/>
  <c r="E126" i="10"/>
  <c r="T126" i="10"/>
  <c r="U126" i="10"/>
  <c r="Y126" i="10"/>
  <c r="X126" i="10"/>
  <c r="R126" i="10"/>
  <c r="Z126" i="10"/>
  <c r="AA96" i="10"/>
  <c r="AC96" i="10" s="1"/>
  <c r="AA56" i="10"/>
  <c r="AC56" i="10" s="1"/>
  <c r="AA25" i="10"/>
  <c r="AC25" i="10" s="1"/>
  <c r="AA15" i="10"/>
  <c r="AC15" i="10" s="1"/>
  <c r="AA54" i="10"/>
  <c r="AC54" i="10" s="1"/>
  <c r="AA39" i="10"/>
  <c r="AC39" i="10" s="1"/>
  <c r="AA75" i="10"/>
  <c r="AC75" i="10" s="1"/>
  <c r="AA44" i="10"/>
  <c r="AC44" i="10" s="1"/>
  <c r="AA80" i="10"/>
  <c r="AC80" i="10" s="1"/>
  <c r="AA8" i="10"/>
  <c r="AC8" i="10" s="1"/>
  <c r="AA9" i="10"/>
  <c r="AC9" i="10" s="1"/>
  <c r="AA10" i="10"/>
  <c r="AC10" i="10" s="1"/>
  <c r="AA16" i="10"/>
  <c r="AC16" i="10" s="1"/>
  <c r="AA47" i="10"/>
  <c r="AC47" i="10" s="1"/>
  <c r="AA11" i="10"/>
  <c r="AC11" i="10" s="1"/>
  <c r="AA12" i="10"/>
  <c r="AC12" i="10" s="1"/>
  <c r="AA13" i="10"/>
  <c r="AC13" i="10" s="1"/>
  <c r="AA14" i="10"/>
  <c r="AC14" i="10" s="1"/>
  <c r="AA17" i="10"/>
  <c r="AC17" i="10" s="1"/>
  <c r="AA18" i="10"/>
  <c r="AC18" i="10" s="1"/>
  <c r="AA19" i="10"/>
  <c r="AC19" i="10" s="1"/>
  <c r="AA20" i="10"/>
  <c r="AC20" i="10" s="1"/>
  <c r="AA21" i="10"/>
  <c r="AC21" i="10" s="1"/>
  <c r="AA22" i="10"/>
  <c r="AC22" i="10" s="1"/>
  <c r="AA23" i="10"/>
  <c r="AC23" i="10" s="1"/>
  <c r="AA24" i="10"/>
  <c r="AC24" i="10" s="1"/>
  <c r="AA26" i="10"/>
  <c r="AC26" i="10" s="1"/>
  <c r="AA27" i="10"/>
  <c r="AC27" i="10" s="1"/>
  <c r="AA28" i="10"/>
  <c r="AC28" i="10" s="1"/>
  <c r="AA29" i="10"/>
  <c r="AC29" i="10" s="1"/>
  <c r="AA30" i="10"/>
  <c r="AC30" i="10" s="1"/>
  <c r="AA31" i="10"/>
  <c r="AC31" i="10" s="1"/>
  <c r="AA32" i="10"/>
  <c r="AC32" i="10" s="1"/>
  <c r="AA33" i="10"/>
  <c r="AC33" i="10" s="1"/>
  <c r="AA34" i="10"/>
  <c r="AC34" i="10" s="1"/>
  <c r="AA35" i="10"/>
  <c r="AC35" i="10" s="1"/>
  <c r="AA36" i="10"/>
  <c r="AC36" i="10" s="1"/>
  <c r="AA37" i="10"/>
  <c r="AC37" i="10" s="1"/>
  <c r="AA38" i="10"/>
  <c r="AC38" i="10" s="1"/>
  <c r="AA40" i="10"/>
  <c r="AC40" i="10" s="1"/>
  <c r="AA41" i="10"/>
  <c r="AC41" i="10" s="1"/>
  <c r="AA42" i="10"/>
  <c r="AC42" i="10" s="1"/>
  <c r="AA43" i="10"/>
  <c r="AC43" i="10" s="1"/>
  <c r="AA45" i="10"/>
  <c r="AC45" i="10" s="1"/>
  <c r="AA46" i="10"/>
  <c r="AC46" i="10" s="1"/>
  <c r="AA48" i="10"/>
  <c r="AC48" i="10" s="1"/>
  <c r="AA49" i="10"/>
  <c r="AC49" i="10" s="1"/>
  <c r="AA50" i="10"/>
  <c r="AC50" i="10" s="1"/>
  <c r="AA51" i="10"/>
  <c r="AC51" i="10" s="1"/>
  <c r="AA52" i="10"/>
  <c r="AC52" i="10" s="1"/>
  <c r="AA53" i="10"/>
  <c r="AC53" i="10" s="1"/>
  <c r="AA55" i="10"/>
  <c r="AC55" i="10" s="1"/>
  <c r="AA57" i="10"/>
  <c r="AC57" i="10" s="1"/>
  <c r="AA58" i="10"/>
  <c r="AC58" i="10" s="1"/>
  <c r="AA59" i="10"/>
  <c r="AC59" i="10" s="1"/>
  <c r="AA60" i="10"/>
  <c r="AC60" i="10" s="1"/>
  <c r="AA61" i="10"/>
  <c r="AC61" i="10" s="1"/>
  <c r="AA62" i="10"/>
  <c r="AC62" i="10" s="1"/>
  <c r="AA63" i="10"/>
  <c r="AC63" i="10" s="1"/>
  <c r="AA64" i="10"/>
  <c r="AC64" i="10" s="1"/>
  <c r="AA65" i="10"/>
  <c r="AC65" i="10" s="1"/>
  <c r="AA66" i="10"/>
  <c r="AC66" i="10" s="1"/>
  <c r="AA67" i="10"/>
  <c r="AC67" i="10" s="1"/>
  <c r="AA68" i="10"/>
  <c r="AC68" i="10" s="1"/>
  <c r="AA69" i="10"/>
  <c r="AC69" i="10" s="1"/>
  <c r="AA70" i="10"/>
  <c r="AC70" i="10" s="1"/>
  <c r="AA99" i="10"/>
  <c r="AC99" i="10" s="1"/>
  <c r="AA104" i="10"/>
  <c r="AC104" i="10" s="1"/>
  <c r="AA86" i="10"/>
  <c r="AC86" i="10" s="1"/>
  <c r="AA103" i="10"/>
  <c r="AC103" i="10" s="1"/>
  <c r="AA71" i="10"/>
  <c r="AC71" i="10" s="1"/>
  <c r="AA72" i="10"/>
  <c r="AC72" i="10" s="1"/>
  <c r="AA73" i="10"/>
  <c r="AC73" i="10" s="1"/>
  <c r="AA74" i="10"/>
  <c r="AC74" i="10" s="1"/>
  <c r="AA76" i="10"/>
  <c r="AC76" i="10" s="1"/>
  <c r="AA77" i="10"/>
  <c r="AC77" i="10" s="1"/>
  <c r="AA78" i="10"/>
  <c r="AC78" i="10" s="1"/>
  <c r="AA79" i="10"/>
  <c r="AC79" i="10" s="1"/>
  <c r="AA81" i="10"/>
  <c r="AC81" i="10" s="1"/>
  <c r="AA88" i="10"/>
  <c r="AC88" i="10" s="1"/>
  <c r="AA7" i="10"/>
  <c r="AC7" i="10" s="1"/>
  <c r="AA94" i="10"/>
  <c r="AC94" i="10" s="1"/>
  <c r="AA82" i="10"/>
  <c r="AC82" i="10" s="1"/>
  <c r="AA83" i="10"/>
  <c r="AC83" i="10" s="1"/>
  <c r="AA84" i="10"/>
  <c r="AC84" i="10" s="1"/>
  <c r="AA85" i="10"/>
  <c r="AC85" i="10" s="1"/>
  <c r="AA87" i="10"/>
  <c r="AC87" i="10" s="1"/>
  <c r="AA89" i="10"/>
  <c r="AC89" i="10" s="1"/>
  <c r="AA90" i="10"/>
  <c r="AC90" i="10" s="1"/>
  <c r="AA91" i="10"/>
  <c r="AC91" i="10" s="1"/>
  <c r="AA92" i="10"/>
  <c r="AC92" i="10" s="1"/>
  <c r="AA93" i="10"/>
  <c r="AC93" i="10" s="1"/>
  <c r="AA95" i="10"/>
  <c r="AC95" i="10" s="1"/>
  <c r="AA97" i="10"/>
  <c r="AC97" i="10" s="1"/>
  <c r="AA98" i="10"/>
  <c r="AC98" i="10" s="1"/>
  <c r="AA100" i="10"/>
  <c r="AC100" i="10" s="1"/>
  <c r="AA101" i="10"/>
  <c r="AC101" i="10" s="1"/>
  <c r="AA102" i="10"/>
  <c r="AC102" i="10" s="1"/>
  <c r="AA105" i="10"/>
  <c r="AC105" i="10" s="1"/>
  <c r="AA106" i="10"/>
  <c r="AC106" i="10" s="1"/>
  <c r="AA107" i="10"/>
  <c r="AC107" i="10" s="1"/>
  <c r="AA108" i="10"/>
  <c r="AC108" i="10" s="1"/>
  <c r="AA109" i="10"/>
  <c r="AC109" i="10" s="1"/>
  <c r="AA110" i="10"/>
  <c r="AC110" i="10" s="1"/>
  <c r="AA111" i="10"/>
  <c r="AC111" i="10" s="1"/>
  <c r="AA112" i="10"/>
  <c r="AC112" i="10" s="1"/>
  <c r="AA113" i="10"/>
  <c r="AC113" i="10" s="1"/>
  <c r="AA114" i="10"/>
  <c r="AC114" i="10" s="1"/>
  <c r="AA115" i="10"/>
  <c r="AC115" i="10" s="1"/>
  <c r="AA116" i="10"/>
  <c r="AC116" i="10" s="1"/>
  <c r="AA117" i="10"/>
  <c r="AC117" i="10" s="1"/>
  <c r="AA118" i="10"/>
  <c r="AC118" i="10" s="1"/>
  <c r="AA119" i="10"/>
  <c r="AC119" i="10" s="1"/>
  <c r="AA120" i="10"/>
  <c r="AC120" i="10" s="1"/>
  <c r="AA121" i="10"/>
  <c r="AC121" i="10" s="1"/>
  <c r="AA122" i="10"/>
  <c r="AC122" i="10" s="1"/>
  <c r="AA123" i="10"/>
  <c r="AC123" i="10" s="1"/>
  <c r="AA124" i="10"/>
  <c r="AC124" i="10" s="1"/>
  <c r="AA125" i="10"/>
  <c r="AC125" i="10" s="1"/>
  <c r="AA126" i="10" l="1"/>
  <c r="AC126" i="10"/>
</calcChain>
</file>

<file path=xl/sharedStrings.xml><?xml version="1.0" encoding="utf-8"?>
<sst xmlns="http://schemas.openxmlformats.org/spreadsheetml/2006/main" count="231" uniqueCount="59">
  <si>
    <t>PRODUCTO No. 1</t>
  </si>
  <si>
    <t>PAGUE LO CONTRATADO PERIODO 2026 A 2035</t>
  </si>
  <si>
    <t>PRECIO OFERTADO EN $ / kWh DE ABRIL DE 2025</t>
  </si>
  <si>
    <t>AÑO</t>
  </si>
  <si>
    <t>ENERGIA SOLICITADA kWh/AÑO</t>
  </si>
  <si>
    <t xml:space="preserve">% OFERTADO </t>
  </si>
  <si>
    <t>ENERGIA OFERTADA kWh/AÑO</t>
  </si>
  <si>
    <t>PRECIO OFERTADO  $/kWh</t>
  </si>
  <si>
    <t>TOTAL</t>
  </si>
  <si>
    <t>Términos y condiciones</t>
  </si>
  <si>
    <t>Cantidad de Energía Ofertada</t>
  </si>
  <si>
    <t>Los interesados deberán indicar, para cada año del período 2026 a 2035, el porcentaje de energía eléctrica que están en capacidad de suministrar con relación a la energía solicitada para ese año.
 - Este porcentaje podrá variar año a año.
 - El valor mínimo de oferta permitido para cada año será del 10% de la energía solicitada correspondiente.
 - Los  %  ofertados se aplicaran a la curva de distribución de la hoja Curva de la oferta Prod 1
- Las ofertas de Producto 1 y Producto 2 se consideran mutuamente excluyentes, para efectos de comparación se determinará el Precio Promedio Ponderado (PPP) hecho por los oferentes. ENERBIT adjudicará el producto cuya oferta presente el menor PPP, siempre que cumpla con los requisitos de porcentaje mínimo.
- En caso de empate en PPP, se preferirá la oferta con mayor porcentaje global promedio ofertado sobre el período completo.</t>
  </si>
  <si>
    <t>Precio Ofertado</t>
  </si>
  <si>
    <t>Los oferentes deberán indicar el precio unitario por kWh ofertado, el cual será válido para bloques quinquenales
 - Periodo 2026–2030
- Periodo 2031–2035</t>
  </si>
  <si>
    <t>El precio del producto corresponderá al precio promedio ponderado de los años que componen el producto.</t>
  </si>
  <si>
    <t>CURVAS REQUERIDAS PRODUCTO 1 PERIODO 2026 A 2035 MODALIDAD PAGUE LO CONTRATADO - kWh</t>
  </si>
  <si>
    <t>Periodo</t>
  </si>
  <si>
    <t>H00</t>
  </si>
  <si>
    <t>H01</t>
  </si>
  <si>
    <t>H02</t>
  </si>
  <si>
    <t>H03</t>
  </si>
  <si>
    <t>H04</t>
  </si>
  <si>
    <t>H05</t>
  </si>
  <si>
    <t>H06</t>
  </si>
  <si>
    <t>H07</t>
  </si>
  <si>
    <t>H08</t>
  </si>
  <si>
    <t>H09</t>
  </si>
  <si>
    <t>H10</t>
  </si>
  <si>
    <t>H11</t>
  </si>
  <si>
    <t>H12</t>
  </si>
  <si>
    <t>H13</t>
  </si>
  <si>
    <t>H14</t>
  </si>
  <si>
    <t>H15</t>
  </si>
  <si>
    <t>H16</t>
  </si>
  <si>
    <t>H17</t>
  </si>
  <si>
    <t>H18</t>
  </si>
  <si>
    <t>H19</t>
  </si>
  <si>
    <t>H20</t>
  </si>
  <si>
    <t>H21</t>
  </si>
  <si>
    <t>H22</t>
  </si>
  <si>
    <t>H23</t>
  </si>
  <si>
    <t>TOTAL DÍA</t>
  </si>
  <si>
    <t>Días/</t>
  </si>
  <si>
    <t>TOTAL MES</t>
  </si>
  <si>
    <t>mes</t>
  </si>
  <si>
    <t xml:space="preserve">TOTAL PERIODO </t>
  </si>
  <si>
    <t>% Distribución oferta</t>
  </si>
  <si>
    <t>PRODUCTO No. 2</t>
  </si>
  <si>
    <t>Los oferentes deberán indicar el precio unitario por kWh ofertado, el cual será válido para los 10 años de oferta (2026–2035)</t>
  </si>
  <si>
    <t>CURVAS REQUERIDAS PRODUCTO 2 PERIODO 2026 A 2035 MODALIDAD PAGUE LO CONTRATADO - kWh</t>
  </si>
  <si>
    <t>PRODUCTO No. 3</t>
  </si>
  <si>
    <t>PAGUE LO CONTRATADO PERIODO 2026 A 2037</t>
  </si>
  <si>
    <t>* La energia ofertada deberá ser entregada en el bloque horario comprendido entre las 08:00 y las 17:00 horas.</t>
  </si>
  <si>
    <t>* El oferente deberá proponer un precio unitario en $/kWh, para los diez años.</t>
  </si>
  <si>
    <t>* El porcentaje ofertado se aplicará a las curvas de carga de la hoja Curvas Prod 3</t>
  </si>
  <si>
    <t>CURVAS REQUERIDAS PRODUCTO 3 PERIODO 2026 A 2037 MODALIDAD PAGUE LO CONTRATADO - kWh</t>
  </si>
  <si>
    <t>CURVAS REQUERIDAS PRODUCTO 3 PERIODO 2026 A 2035 MODALIDAD PAGUE LO CONTRATADO - kWh</t>
  </si>
  <si>
    <t>Los interesados deberán indicar, para cada quinquenio, el porcentaje de energía eléctrica que están en capacidad de suministrar con relación a la energía solicitada para ese año.
 - Este porcentaje podrá variar para cada bloque de 5 años.
 - El valor mínimo de oferta permitido para cada quinquenio será del 10% de la energía solicitada correspondiente.
 - Los  %  ofertados se aplicaran a la curva de distribución de la hoja Curvas Prod 2
- Las ofertas de Producto 1 y Producto 2 se consideran mutuamente excluyentes, para efectos de comparación se determinará el Precio Promedio Ponderado (PPP) hecho por los oferentes. ENERBIT adjudicará el producto cuya oferta presente el menor PPP, siempre que cumpla con los requisitos de porcentaje mínimo.
- En caso de empate en PPP, se preferirá la oferta con mayor porcentaje global promedio ofertado sobre el período completo.</t>
  </si>
  <si>
    <t>* Se aceptan ofertas de minimo 10 años consecutivos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</si>
</sst>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
    <numFmt numFmtId="166" formatCode="_ * #,##0_ ;_ * \-#,##0_ ;_ * &quot;-&quot;??_ ;_ @_ "/>
    <numFmt numFmtId="167" formatCode="#,##0.0000_ ;\-#,##0.0000\ "/>
  </numFmts>
  <fonts count="19">
    <font>
      <sz val="11"/>
      <color theme="1"/>
      <name val="Calibri"/>
      <family val="2"/>
      <scheme val="minor"/>
    </font>
    <font>
      <sz val="11"/>
      <color theme="1"/>
      <name val="Calibri"/>
      <family val="2"/>
      <scheme val="minor"/>
    </font>
    <font>
      <b/>
      <sz val="11"/>
      <color theme="1"/>
      <name val="Arial"/>
      <family val="2"/>
    </font>
    <font>
      <b/>
      <sz val="9"/>
      <name val="Arial"/>
      <family val="2"/>
    </font>
    <font>
      <sz val="10"/>
      <name val="Arial"/>
      <family val="2"/>
    </font>
    <font>
      <b/>
      <sz val="10"/>
      <name val="Arial"/>
      <family val="2"/>
    </font>
    <font>
      <sz val="9"/>
      <color theme="1"/>
      <name val="Calibri"/>
      <family val="2"/>
      <scheme val="minor"/>
    </font>
    <font>
      <sz val="10"/>
      <color theme="0"/>
      <name val="Arial"/>
      <family val="2"/>
    </font>
    <font>
      <sz val="7"/>
      <name val="Calibri Light"/>
      <family val="2"/>
      <scheme val="major"/>
    </font>
    <font>
      <sz val="7"/>
      <color theme="1"/>
      <name val="Calibri Light"/>
      <family val="2"/>
      <scheme val="major"/>
    </font>
    <font>
      <b/>
      <sz val="7"/>
      <color theme="1"/>
      <name val="Calibri Light"/>
      <family val="2"/>
      <scheme val="major"/>
    </font>
    <font>
      <b/>
      <sz val="10"/>
      <color theme="1"/>
      <name val="Calibri Light"/>
      <family val="2"/>
      <scheme val="major"/>
    </font>
    <font>
      <sz val="10"/>
      <color theme="1"/>
      <name val="Calibri Light"/>
      <family val="2"/>
      <scheme val="major"/>
    </font>
    <font>
      <b/>
      <sz val="11"/>
      <color theme="1"/>
      <name val="Calibri"/>
      <family val="2"/>
      <scheme val="minor"/>
    </font>
    <font>
      <b/>
      <sz val="10"/>
      <color theme="0"/>
      <name val="Arial"/>
      <family val="2"/>
    </font>
    <font>
      <b/>
      <sz val="10"/>
      <color theme="0"/>
      <name val="Arial MT"/>
    </font>
    <font>
      <sz val="8"/>
      <name val="Calibri"/>
      <family val="2"/>
      <scheme val="minor"/>
    </font>
    <font>
      <sz val="11"/>
      <color rgb="FFFF0000"/>
      <name val="Calibri"/>
      <family val="2"/>
      <scheme val="minor"/>
    </font>
    <font>
      <sz val="12"/>
      <color theme="1"/>
      <name val="Calibri Light"/>
      <family val="2"/>
      <scheme val="major"/>
    </font>
  </fonts>
  <fills count="3">
    <fill>
      <patternFill patternType="none"/>
    </fill>
    <fill>
      <patternFill patternType="gray125"/>
    </fill>
    <fill>
      <patternFill patternType="solid">
        <fgColor rgb="FF7030A0"/>
        <bgColor indexed="64"/>
      </patternFill>
    </fill>
  </fills>
  <borders count="38">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rgb="FFBFBFBF"/>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rgb="FFBFBFBF"/>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style="thin">
        <color indexed="64"/>
      </right>
      <top style="medium">
        <color rgb="FFBFBFBF"/>
      </top>
      <bottom/>
      <diagonal/>
    </border>
    <border>
      <left style="medium">
        <color indexed="64"/>
      </left>
      <right style="thin">
        <color indexed="64"/>
      </right>
      <top style="medium">
        <color indexed="64"/>
      </top>
      <bottom style="medium">
        <color rgb="FFBFBFBF"/>
      </bottom>
      <diagonal/>
    </border>
    <border>
      <left style="thin">
        <color indexed="64"/>
      </left>
      <right style="thin">
        <color indexed="64"/>
      </right>
      <top style="medium">
        <color indexed="64"/>
      </top>
      <bottom style="medium">
        <color rgb="FFBFBFBF"/>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rgb="FFBFBFBF"/>
      </top>
      <bottom style="medium">
        <color indexed="64"/>
      </bottom>
      <diagonal/>
    </border>
    <border>
      <left style="thin">
        <color indexed="64"/>
      </left>
      <right style="thin">
        <color indexed="64"/>
      </right>
      <top/>
      <bottom style="medium">
        <color theme="2" tint="-9.9978637043366805E-2"/>
      </bottom>
      <diagonal/>
    </border>
    <border>
      <left style="thin">
        <color indexed="64"/>
      </left>
      <right style="thin">
        <color indexed="64"/>
      </right>
      <top style="thin">
        <color indexed="64"/>
      </top>
      <bottom style="medium">
        <color theme="2" tint="-9.9978637043366805E-2"/>
      </bottom>
      <diagonal/>
    </border>
    <border>
      <left style="thin">
        <color indexed="64"/>
      </left>
      <right style="thin">
        <color indexed="64"/>
      </right>
      <top style="medium">
        <color theme="2" tint="-9.9978637043366805E-2"/>
      </top>
      <bottom/>
      <diagonal/>
    </border>
    <border>
      <left style="thin">
        <color indexed="64"/>
      </left>
      <right style="thin">
        <color indexed="64"/>
      </right>
      <top style="medium">
        <color theme="2" tint="-9.9978637043366805E-2"/>
      </top>
      <bottom style="medium">
        <color indexed="64"/>
      </bottom>
      <diagonal/>
    </border>
    <border>
      <left style="thin">
        <color indexed="64"/>
      </left>
      <right/>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6">
    <xf numFmtId="0" fontId="0" fillId="0" borderId="0" xfId="0"/>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vertical="center" wrapText="1"/>
    </xf>
    <xf numFmtId="3" fontId="4" fillId="0" borderId="3" xfId="0" applyNumberFormat="1" applyFont="1" applyBorder="1" applyAlignment="1">
      <alignment horizontal="center" vertical="center"/>
    </xf>
    <xf numFmtId="164" fontId="4" fillId="0" borderId="0" xfId="1" applyNumberFormat="1" applyFont="1" applyFill="1" applyBorder="1" applyAlignment="1">
      <alignment vertical="center"/>
    </xf>
    <xf numFmtId="165" fontId="0" fillId="0" borderId="0" xfId="2" applyNumberFormat="1" applyFont="1"/>
    <xf numFmtId="164" fontId="5" fillId="0" borderId="0" xfId="1" applyNumberFormat="1" applyFont="1" applyFill="1" applyBorder="1" applyAlignment="1">
      <alignment vertical="center"/>
    </xf>
    <xf numFmtId="43" fontId="0" fillId="0" borderId="0" xfId="1" applyFont="1"/>
    <xf numFmtId="0" fontId="5" fillId="0" borderId="0" xfId="0" applyFont="1" applyAlignment="1">
      <alignment horizontal="center" vertical="center"/>
    </xf>
    <xf numFmtId="3" fontId="5" fillId="0" borderId="0" xfId="0" applyNumberFormat="1" applyFont="1" applyAlignment="1">
      <alignment horizontal="center" vertical="center"/>
    </xf>
    <xf numFmtId="164" fontId="5" fillId="0" borderId="0" xfId="1" applyNumberFormat="1" applyFont="1" applyBorder="1" applyAlignment="1">
      <alignment vertical="center"/>
    </xf>
    <xf numFmtId="4" fontId="5" fillId="0" borderId="0" xfId="0" applyNumberFormat="1" applyFont="1" applyAlignment="1">
      <alignment horizontal="center" vertical="center"/>
    </xf>
    <xf numFmtId="0" fontId="5" fillId="0" borderId="0" xfId="0" applyFont="1" applyAlignment="1">
      <alignment vertical="center"/>
    </xf>
    <xf numFmtId="0" fontId="6" fillId="0" borderId="0" xfId="0" applyFont="1"/>
    <xf numFmtId="0" fontId="5" fillId="0" borderId="12" xfId="0" applyFont="1" applyBorder="1" applyAlignment="1">
      <alignment horizontal="center" vertical="center"/>
    </xf>
    <xf numFmtId="3" fontId="5" fillId="0" borderId="13" xfId="0" applyNumberFormat="1" applyFont="1" applyBorder="1" applyAlignment="1">
      <alignment horizontal="center" vertical="center"/>
    </xf>
    <xf numFmtId="3" fontId="0" fillId="0" borderId="0" xfId="0" applyNumberFormat="1"/>
    <xf numFmtId="164" fontId="0" fillId="0" borderId="0" xfId="1" applyNumberFormat="1" applyFont="1"/>
    <xf numFmtId="164" fontId="0" fillId="0" borderId="0" xfId="0" applyNumberFormat="1"/>
    <xf numFmtId="1" fontId="4" fillId="0" borderId="11" xfId="0" applyNumberFormat="1" applyFont="1" applyBorder="1" applyAlignment="1">
      <alignment horizontal="center" vertical="center"/>
    </xf>
    <xf numFmtId="2" fontId="5" fillId="0" borderId="14" xfId="0" applyNumberFormat="1" applyFont="1" applyBorder="1" applyAlignment="1">
      <alignment horizontal="center" vertical="center"/>
    </xf>
    <xf numFmtId="3" fontId="4" fillId="0" borderId="4" xfId="0" applyNumberFormat="1" applyFont="1" applyBorder="1" applyAlignment="1">
      <alignment horizontal="center" vertical="center"/>
    </xf>
    <xf numFmtId="0" fontId="9" fillId="0" borderId="0" xfId="0" applyFont="1"/>
    <xf numFmtId="0" fontId="8" fillId="0" borderId="0" xfId="0" applyFont="1"/>
    <xf numFmtId="164" fontId="9" fillId="0" borderId="0" xfId="1" applyNumberFormat="1" applyFont="1"/>
    <xf numFmtId="0" fontId="11" fillId="0" borderId="5" xfId="0" applyFont="1" applyBorder="1" applyAlignment="1">
      <alignment horizontal="center" vertical="center" wrapText="1"/>
    </xf>
    <xf numFmtId="17" fontId="11" fillId="0" borderId="5" xfId="0" applyNumberFormat="1" applyFont="1" applyBorder="1" applyAlignment="1">
      <alignment horizontal="center" vertical="center"/>
    </xf>
    <xf numFmtId="166" fontId="12" fillId="0" borderId="5" xfId="0" applyNumberFormat="1" applyFont="1" applyBorder="1" applyAlignment="1">
      <alignment vertical="center"/>
    </xf>
    <xf numFmtId="3" fontId="12" fillId="0" borderId="5" xfId="1" applyNumberFormat="1" applyFont="1" applyBorder="1" applyAlignment="1">
      <alignment horizontal="center" vertical="center"/>
    </xf>
    <xf numFmtId="0" fontId="11" fillId="0" borderId="5" xfId="0" applyFont="1" applyBorder="1" applyAlignment="1">
      <alignment horizontal="center" vertical="center"/>
    </xf>
    <xf numFmtId="2" fontId="11" fillId="0" borderId="5" xfId="1" applyNumberFormat="1" applyFont="1" applyBorder="1" applyAlignment="1">
      <alignment horizontal="center" vertical="center"/>
    </xf>
    <xf numFmtId="164" fontId="11" fillId="0" borderId="5" xfId="1" applyNumberFormat="1" applyFont="1" applyBorder="1" applyAlignment="1">
      <alignment horizontal="center" vertical="center"/>
    </xf>
    <xf numFmtId="3" fontId="11" fillId="0" borderId="5" xfId="1" applyNumberFormat="1" applyFont="1" applyBorder="1" applyAlignment="1">
      <alignment horizontal="center" vertical="center"/>
    </xf>
    <xf numFmtId="4" fontId="4" fillId="0" borderId="3" xfId="0" applyNumberFormat="1" applyFont="1" applyBorder="1" applyAlignment="1">
      <alignment horizontal="center" vertical="center"/>
    </xf>
    <xf numFmtId="4" fontId="12" fillId="0" borderId="5" xfId="1" applyNumberFormat="1" applyFont="1" applyBorder="1" applyAlignment="1">
      <alignment horizontal="center" vertical="center"/>
    </xf>
    <xf numFmtId="0" fontId="5" fillId="0" borderId="21" xfId="0" applyFont="1" applyBorder="1" applyAlignment="1">
      <alignment vertical="center"/>
    </xf>
    <xf numFmtId="167" fontId="9" fillId="0" borderId="0" xfId="0" applyNumberFormat="1" applyFont="1"/>
    <xf numFmtId="1" fontId="4" fillId="0" borderId="27" xfId="0" applyNumberFormat="1" applyFont="1" applyBorder="1" applyAlignment="1">
      <alignment horizontal="center" vertical="center"/>
    </xf>
    <xf numFmtId="3" fontId="4" fillId="0" borderId="28" xfId="0" applyNumberFormat="1" applyFont="1" applyBorder="1" applyAlignment="1">
      <alignment horizontal="center" vertical="center"/>
    </xf>
    <xf numFmtId="4" fontId="4" fillId="0" borderId="28" xfId="0" applyNumberFormat="1" applyFont="1" applyBorder="1" applyAlignment="1">
      <alignment horizontal="center" vertical="center"/>
    </xf>
    <xf numFmtId="0" fontId="13" fillId="0" borderId="0" xfId="0" applyFont="1"/>
    <xf numFmtId="3" fontId="12" fillId="0" borderId="30" xfId="1" applyNumberFormat="1" applyFont="1" applyBorder="1" applyAlignment="1">
      <alignment horizontal="center" vertical="center"/>
    </xf>
    <xf numFmtId="10" fontId="9" fillId="0" borderId="29" xfId="2" applyNumberFormat="1" applyFont="1" applyBorder="1" applyAlignment="1">
      <alignment horizontal="center"/>
    </xf>
    <xf numFmtId="10" fontId="14" fillId="2" borderId="3" xfId="2" applyNumberFormat="1" applyFont="1" applyFill="1" applyBorder="1" applyAlignment="1">
      <alignment horizontal="center" vertical="center"/>
    </xf>
    <xf numFmtId="43" fontId="0" fillId="0" borderId="0" xfId="0" applyNumberFormat="1"/>
    <xf numFmtId="9" fontId="9" fillId="0" borderId="0" xfId="2" applyFont="1"/>
    <xf numFmtId="10" fontId="9" fillId="0" borderId="0" xfId="2" applyNumberFormat="1" applyFont="1"/>
    <xf numFmtId="10" fontId="9" fillId="0" borderId="5" xfId="2" applyNumberFormat="1" applyFont="1" applyBorder="1"/>
    <xf numFmtId="4" fontId="0" fillId="0" borderId="0" xfId="0" applyNumberFormat="1"/>
    <xf numFmtId="2" fontId="5" fillId="0" borderId="24" xfId="0" applyNumberFormat="1" applyFont="1" applyBorder="1" applyAlignment="1">
      <alignment horizontal="center" vertical="center"/>
    </xf>
    <xf numFmtId="0" fontId="5" fillId="0" borderId="31" xfId="0" applyFont="1" applyBorder="1" applyAlignment="1">
      <alignment horizontal="center" vertical="center"/>
    </xf>
    <xf numFmtId="3" fontId="5" fillId="0" borderId="21" xfId="0" applyNumberFormat="1" applyFont="1" applyBorder="1" applyAlignment="1">
      <alignment horizontal="center" vertical="center"/>
    </xf>
    <xf numFmtId="10" fontId="5" fillId="0" borderId="21" xfId="2" applyNumberFormat="1" applyFont="1" applyBorder="1" applyAlignment="1">
      <alignment vertical="center"/>
    </xf>
    <xf numFmtId="4" fontId="5" fillId="0" borderId="21" xfId="0" applyNumberFormat="1" applyFont="1" applyBorder="1" applyAlignment="1">
      <alignment horizontal="center" vertical="center"/>
    </xf>
    <xf numFmtId="1" fontId="4" fillId="0" borderId="9" xfId="0" applyNumberFormat="1" applyFont="1" applyBorder="1" applyAlignment="1">
      <alignment horizontal="center" vertical="center"/>
    </xf>
    <xf numFmtId="3" fontId="4" fillId="0" borderId="2" xfId="0" applyNumberFormat="1" applyFont="1" applyBorder="1" applyAlignment="1">
      <alignment horizontal="center" vertical="center"/>
    </xf>
    <xf numFmtId="10" fontId="14" fillId="2" borderId="2" xfId="2" applyNumberFormat="1" applyFont="1" applyFill="1" applyBorder="1" applyAlignment="1">
      <alignment horizontal="center" vertical="center"/>
    </xf>
    <xf numFmtId="4" fontId="4" fillId="0" borderId="2" xfId="0" applyNumberFormat="1" applyFont="1" applyBorder="1" applyAlignment="1">
      <alignment horizontal="center" vertical="center"/>
    </xf>
    <xf numFmtId="10" fontId="14" fillId="2" borderId="32" xfId="2" applyNumberFormat="1" applyFont="1" applyFill="1" applyBorder="1" applyAlignment="1">
      <alignment horizontal="center" vertical="center"/>
    </xf>
    <xf numFmtId="164" fontId="17" fillId="0" borderId="0" xfId="0" applyNumberFormat="1" applyFont="1"/>
    <xf numFmtId="43" fontId="9" fillId="0" borderId="0" xfId="1" applyFont="1"/>
    <xf numFmtId="10" fontId="14" fillId="2" borderId="33" xfId="2" applyNumberFormat="1" applyFont="1" applyFill="1" applyBorder="1" applyAlignment="1">
      <alignment vertical="center"/>
    </xf>
    <xf numFmtId="10" fontId="14" fillId="2" borderId="34" xfId="2" applyNumberFormat="1" applyFont="1" applyFill="1" applyBorder="1" applyAlignment="1">
      <alignment vertical="center"/>
    </xf>
    <xf numFmtId="10" fontId="14" fillId="2" borderId="35" xfId="2" applyNumberFormat="1" applyFont="1" applyFill="1" applyBorder="1" applyAlignment="1">
      <alignment horizontal="center" vertical="center"/>
    </xf>
    <xf numFmtId="1" fontId="4" fillId="0" borderId="31" xfId="0" applyNumberFormat="1" applyFont="1" applyBorder="1" applyAlignment="1">
      <alignment horizontal="center" vertical="center"/>
    </xf>
    <xf numFmtId="3" fontId="4" fillId="0" borderId="21" xfId="0" applyNumberFormat="1" applyFont="1" applyBorder="1" applyAlignment="1">
      <alignment horizontal="center" vertical="center"/>
    </xf>
    <xf numFmtId="10" fontId="14" fillId="2" borderId="36" xfId="2" applyNumberFormat="1" applyFont="1" applyFill="1" applyBorder="1" applyAlignment="1">
      <alignment horizontal="center" vertical="center"/>
    </xf>
    <xf numFmtId="9" fontId="18" fillId="0" borderId="0" xfId="2" applyFont="1"/>
    <xf numFmtId="0" fontId="18" fillId="0" borderId="0" xfId="0" applyFont="1"/>
    <xf numFmtId="164" fontId="18" fillId="0" borderId="0" xfId="1" applyNumberFormat="1" applyFont="1"/>
    <xf numFmtId="0" fontId="4" fillId="0" borderId="0" xfId="0" applyFont="1" applyAlignment="1">
      <alignment horizontal="center" vertical="center" wrapText="1"/>
    </xf>
    <xf numFmtId="0" fontId="6" fillId="0" borderId="0" xfId="0" applyFont="1" applyAlignment="1">
      <alignment horizontal="left" wrapText="1"/>
    </xf>
    <xf numFmtId="0" fontId="6" fillId="0" borderId="0" xfId="0" applyFont="1" applyAlignment="1">
      <alignment horizontal="left" vertical="top" wrapText="1" indent="2"/>
    </xf>
    <xf numFmtId="0" fontId="2" fillId="0" borderId="0" xfId="0" applyFont="1" applyAlignment="1">
      <alignment horizontal="center"/>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2" fontId="14" fillId="2" borderId="22" xfId="0" applyNumberFormat="1" applyFont="1" applyFill="1" applyBorder="1" applyAlignment="1">
      <alignment horizontal="center" vertical="center"/>
    </xf>
    <xf numFmtId="2" fontId="14" fillId="2" borderId="23" xfId="0" applyNumberFormat="1" applyFont="1" applyFill="1" applyBorder="1" applyAlignment="1">
      <alignment horizontal="center" vertical="center"/>
    </xf>
    <xf numFmtId="2" fontId="14" fillId="2" borderId="24" xfId="0" applyNumberFormat="1" applyFont="1" applyFill="1" applyBorder="1" applyAlignment="1">
      <alignment horizontal="center" vertical="center"/>
    </xf>
    <xf numFmtId="2" fontId="15" fillId="2" borderId="23" xfId="2" applyNumberFormat="1" applyFont="1" applyFill="1" applyBorder="1" applyAlignment="1">
      <alignment horizontal="center" vertical="center"/>
    </xf>
    <xf numFmtId="2" fontId="15" fillId="2" borderId="10" xfId="2" applyNumberFormat="1" applyFont="1" applyFill="1" applyBorder="1" applyAlignment="1">
      <alignment horizontal="center" vertical="center"/>
    </xf>
    <xf numFmtId="0" fontId="11" fillId="0" borderId="5" xfId="0" applyFont="1" applyBorder="1" applyAlignment="1">
      <alignment horizontal="center" vertical="center" wrapText="1"/>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1" fillId="0" borderId="1" xfId="0" applyFont="1" applyBorder="1" applyAlignment="1">
      <alignment horizontal="center" vertical="center" wrapText="1"/>
    </xf>
    <xf numFmtId="9" fontId="14" fillId="2" borderId="1" xfId="2" applyFont="1" applyFill="1" applyBorder="1" applyAlignment="1">
      <alignment horizontal="center" vertical="center"/>
    </xf>
    <xf numFmtId="9" fontId="14" fillId="2" borderId="4" xfId="2" applyFont="1" applyFill="1" applyBorder="1" applyAlignment="1">
      <alignment horizontal="center" vertical="center"/>
    </xf>
    <xf numFmtId="9" fontId="14" fillId="2" borderId="3" xfId="2" applyFont="1" applyFill="1" applyBorder="1" applyAlignment="1">
      <alignment horizontal="center" vertical="center"/>
    </xf>
    <xf numFmtId="9" fontId="14" fillId="2" borderId="26" xfId="2" applyFont="1" applyFill="1" applyBorder="1" applyAlignment="1">
      <alignment horizontal="center" vertical="center"/>
    </xf>
    <xf numFmtId="2" fontId="7" fillId="2" borderId="15" xfId="0" applyNumberFormat="1" applyFont="1" applyFill="1" applyBorder="1" applyAlignment="1">
      <alignment horizontal="center" vertical="center"/>
    </xf>
    <xf numFmtId="2" fontId="7" fillId="2" borderId="25" xfId="0" applyNumberFormat="1" applyFont="1" applyFill="1" applyBorder="1" applyAlignment="1">
      <alignment horizontal="center" vertical="center"/>
    </xf>
    <xf numFmtId="2" fontId="7" fillId="2" borderId="18" xfId="0" applyNumberFormat="1" applyFont="1" applyFill="1" applyBorder="1" applyAlignment="1">
      <alignment horizontal="center" vertical="center"/>
    </xf>
    <xf numFmtId="10" fontId="14" fillId="2" borderId="4" xfId="2" applyNumberFormat="1" applyFont="1" applyFill="1" applyBorder="1" applyAlignment="1">
      <alignment horizontal="center" vertical="center"/>
    </xf>
    <xf numFmtId="2" fontId="14" fillId="2" borderId="15" xfId="0" applyNumberFormat="1" applyFont="1" applyFill="1" applyBorder="1" applyAlignment="1">
      <alignment horizontal="center" vertical="center"/>
    </xf>
    <xf numFmtId="2" fontId="14" fillId="2" borderId="25" xfId="0" applyNumberFormat="1" applyFont="1" applyFill="1" applyBorder="1" applyAlignment="1">
      <alignment horizontal="center" vertical="center"/>
    </xf>
    <xf numFmtId="2" fontId="14" fillId="2" borderId="37" xfId="0" applyNumberFormat="1" applyFont="1" applyFill="1" applyBorder="1" applyAlignment="1">
      <alignment horizontal="center" vertical="center"/>
    </xf>
    <xf numFmtId="0" fontId="11" fillId="0" borderId="2" xfId="0" applyFont="1" applyBorder="1" applyAlignment="1">
      <alignment horizontal="center" vertical="center" wrapText="1"/>
    </xf>
  </cellXfs>
  <cellStyles count="3">
    <cellStyle name="Millares" xfId="1" builtinId="3"/>
    <cellStyle name="Normal" xfId="0" builtinId="0"/>
    <cellStyle name="Porcentaje" xfId="2" builtinId="5"/>
  </cellStyles>
  <dxfs count="0"/>
  <tableStyles count="0" defaultTableStyle="TableStyleMedium2" defaultPivotStyle="PivotStyleLight16"/>
  <colors>
    <mruColors>
      <color rgb="FFFF66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FDA6E-7917-4972-9119-174A55FDE3A5}">
  <dimension ref="B3:K27"/>
  <sheetViews>
    <sheetView showGridLines="0" view="pageBreakPreview" zoomScale="110" zoomScaleNormal="100" zoomScaleSheetLayoutView="110" workbookViewId="0">
      <selection activeCell="B8" sqref="B8:B9"/>
    </sheetView>
  </sheetViews>
  <sheetFormatPr baseColWidth="10" defaultColWidth="11.42578125" defaultRowHeight="15"/>
  <cols>
    <col min="1" max="1" width="7.7109375" customWidth="1"/>
    <col min="2" max="6" width="14.7109375" customWidth="1"/>
    <col min="7" max="7" width="16.85546875" customWidth="1"/>
    <col min="8" max="8" width="14.140625" bestFit="1" customWidth="1"/>
    <col min="9" max="9" width="13.42578125" bestFit="1" customWidth="1"/>
    <col min="10" max="10" width="13.140625" bestFit="1" customWidth="1"/>
  </cols>
  <sheetData>
    <row r="3" spans="2:11">
      <c r="B3" s="74" t="s">
        <v>0</v>
      </c>
      <c r="C3" s="74"/>
      <c r="D3" s="74"/>
      <c r="E3" s="74"/>
      <c r="F3" s="74"/>
      <c r="G3" s="1"/>
    </row>
    <row r="4" spans="2:11">
      <c r="B4" s="74" t="s">
        <v>1</v>
      </c>
      <c r="C4" s="74"/>
      <c r="D4" s="74"/>
      <c r="E4" s="74"/>
      <c r="F4" s="74"/>
      <c r="G4" s="1"/>
    </row>
    <row r="5" spans="2:11">
      <c r="B5" s="74" t="s">
        <v>2</v>
      </c>
      <c r="C5" s="74"/>
      <c r="D5" s="74"/>
      <c r="E5" s="74"/>
      <c r="F5" s="74"/>
      <c r="G5" s="1"/>
    </row>
    <row r="6" spans="2:11">
      <c r="B6" s="2"/>
      <c r="C6" s="2"/>
      <c r="D6" s="2"/>
      <c r="E6" s="2"/>
      <c r="F6" s="2"/>
      <c r="G6" s="2"/>
    </row>
    <row r="7" spans="2:11" ht="15.75" thickBot="1"/>
    <row r="8" spans="2:11" ht="15" customHeight="1">
      <c r="B8" s="75" t="s">
        <v>3</v>
      </c>
      <c r="C8" s="77" t="s">
        <v>4</v>
      </c>
      <c r="D8" s="77" t="s">
        <v>5</v>
      </c>
      <c r="E8" s="77" t="s">
        <v>6</v>
      </c>
      <c r="F8" s="79" t="s">
        <v>7</v>
      </c>
      <c r="G8" s="3"/>
    </row>
    <row r="9" spans="2:11" ht="23.1" customHeight="1">
      <c r="B9" s="76"/>
      <c r="C9" s="78"/>
      <c r="D9" s="78"/>
      <c r="E9" s="78"/>
      <c r="F9" s="80"/>
      <c r="G9" s="3"/>
    </row>
    <row r="10" spans="2:11" ht="15.75" thickBot="1">
      <c r="B10" s="20">
        <v>2026</v>
      </c>
      <c r="C10" s="4">
        <f ca="1">SUMIF('Curvas Prod 1'!A:AC,'Oferta Producto 1'!B10,'Curvas Prod 1'!AC:AC)</f>
        <v>84419347.177485585</v>
      </c>
      <c r="D10" s="44"/>
      <c r="E10" s="34">
        <f ca="1">C10*D10</f>
        <v>0</v>
      </c>
      <c r="F10" s="81"/>
      <c r="G10" s="5"/>
      <c r="H10" s="18"/>
      <c r="K10" s="17"/>
    </row>
    <row r="11" spans="2:11" ht="15.75" thickBot="1">
      <c r="B11" s="20">
        <v>2027</v>
      </c>
      <c r="C11" s="4">
        <f ca="1">SUMIF('Curvas Prod 1'!A:AC,'Oferta Producto 1'!B11,'Curvas Prod 1'!AC:AC)</f>
        <v>128736548.09305005</v>
      </c>
      <c r="D11" s="44"/>
      <c r="E11" s="34">
        <f t="shared" ref="E11:E19" ca="1" si="0">C11*D11</f>
        <v>0</v>
      </c>
      <c r="F11" s="82"/>
      <c r="G11" s="5"/>
      <c r="H11" s="18"/>
    </row>
    <row r="12" spans="2:11" ht="15.75" thickBot="1">
      <c r="B12" s="20">
        <v>2028</v>
      </c>
      <c r="C12" s="4">
        <f ca="1">SUMIF('Curvas Prod 1'!A:AC,'Oferta Producto 1'!B12,'Curvas Prod 1'!AC:AC)</f>
        <v>164599196.85429129</v>
      </c>
      <c r="D12" s="44"/>
      <c r="E12" s="34">
        <f t="shared" ca="1" si="0"/>
        <v>0</v>
      </c>
      <c r="F12" s="82"/>
      <c r="G12" s="5"/>
      <c r="H12" s="18"/>
    </row>
    <row r="13" spans="2:11" ht="15.75" thickBot="1">
      <c r="B13" s="20">
        <v>2029</v>
      </c>
      <c r="C13" s="4">
        <f ca="1">SUMIF('Curvas Prod 1'!A:AC,'Oferta Producto 1'!B13,'Curvas Prod 1'!AC:AC)</f>
        <v>66339313.373050056</v>
      </c>
      <c r="D13" s="44"/>
      <c r="E13" s="34">
        <f t="shared" ca="1" si="0"/>
        <v>0</v>
      </c>
      <c r="F13" s="82"/>
      <c r="G13" s="5"/>
      <c r="H13" s="18"/>
    </row>
    <row r="14" spans="2:11" ht="15.75" thickBot="1">
      <c r="B14" s="20">
        <v>2030</v>
      </c>
      <c r="C14" s="4">
        <f ca="1">SUMIF('Curvas Prod 1'!A:AC,'Oferta Producto 1'!B14,'Curvas Prod 1'!AC:AC)</f>
        <v>66334635.533050075</v>
      </c>
      <c r="D14" s="59"/>
      <c r="E14" s="34">
        <f t="shared" ca="1" si="0"/>
        <v>0</v>
      </c>
      <c r="F14" s="83"/>
      <c r="G14" s="5"/>
      <c r="H14" s="18"/>
    </row>
    <row r="15" spans="2:11" ht="15.75" thickBot="1">
      <c r="B15" s="38">
        <v>2031</v>
      </c>
      <c r="C15" s="39">
        <f ca="1">SUMIF('Curvas Prod 1'!A:AC,'Oferta Producto 1'!B15,'Curvas Prod 1'!AC:AC)</f>
        <v>66334635.533050075</v>
      </c>
      <c r="D15" s="44"/>
      <c r="E15" s="40">
        <f t="shared" ca="1" si="0"/>
        <v>0</v>
      </c>
      <c r="F15" s="84"/>
      <c r="G15" s="5"/>
      <c r="H15" s="18"/>
    </row>
    <row r="16" spans="2:11" ht="15.75" thickBot="1">
      <c r="B16" s="20">
        <v>2032</v>
      </c>
      <c r="C16" s="4">
        <f ca="1">SUMIF('Curvas Prod 1'!A:AC,'Oferta Producto 1'!B16,'Curvas Prod 1'!AC:AC)</f>
        <v>66197930.134291328</v>
      </c>
      <c r="D16" s="44"/>
      <c r="E16" s="34">
        <f t="shared" ca="1" si="0"/>
        <v>0</v>
      </c>
      <c r="F16" s="84"/>
      <c r="G16" s="5"/>
      <c r="H16" s="18"/>
    </row>
    <row r="17" spans="2:10" ht="15.75" thickBot="1">
      <c r="B17" s="20">
        <v>2033</v>
      </c>
      <c r="C17" s="4">
        <f ca="1">SUMIF('Curvas Prod 1'!A:AC,'Oferta Producto 1'!B17,'Curvas Prod 1'!AC:AC)</f>
        <v>81677320.013050079</v>
      </c>
      <c r="D17" s="44"/>
      <c r="E17" s="34">
        <f t="shared" ca="1" si="0"/>
        <v>0</v>
      </c>
      <c r="F17" s="84"/>
      <c r="G17" s="5"/>
      <c r="H17" s="18"/>
    </row>
    <row r="18" spans="2:10" ht="15.75" thickBot="1">
      <c r="B18" s="20">
        <v>2034</v>
      </c>
      <c r="C18" s="4">
        <f ca="1">SUMIF('Curvas Prod 1'!A:AC,'Oferta Producto 1'!B18,'Curvas Prod 1'!AC:AC)</f>
        <v>180559041.45305008</v>
      </c>
      <c r="D18" s="44"/>
      <c r="E18" s="34">
        <f t="shared" ca="1" si="0"/>
        <v>0</v>
      </c>
      <c r="F18" s="84"/>
      <c r="G18" s="5"/>
      <c r="H18" s="18"/>
    </row>
    <row r="19" spans="2:10">
      <c r="B19" s="55">
        <v>2035</v>
      </c>
      <c r="C19" s="56">
        <f ca="1">SUMIF('Curvas Prod 1'!A:AC,'Oferta Producto 1'!B19,'Curvas Prod 1'!AC:AC)</f>
        <v>181224041.45305008</v>
      </c>
      <c r="D19" s="57"/>
      <c r="E19" s="58">
        <f t="shared" ca="1" si="0"/>
        <v>0</v>
      </c>
      <c r="F19" s="85"/>
      <c r="G19" s="5"/>
      <c r="H19" s="18"/>
    </row>
    <row r="20" spans="2:10" ht="15.75" thickBot="1">
      <c r="B20" s="51" t="s">
        <v>8</v>
      </c>
      <c r="C20" s="52">
        <f ca="1">+SUM(C10:C19)</f>
        <v>1086422009.6174188</v>
      </c>
      <c r="D20" s="53">
        <f ca="1">(E20/C20)</f>
        <v>0</v>
      </c>
      <c r="E20" s="54">
        <f ca="1">SUM(E10:E19)</f>
        <v>0</v>
      </c>
      <c r="F20" s="50">
        <f ca="1">IFERROR(((SUM(E10:E14)*F10)+(SUM(E15:E19)*F15))/SUM(E10:E19),0)</f>
        <v>0</v>
      </c>
      <c r="G20" s="7"/>
      <c r="H20" s="8"/>
    </row>
    <row r="21" spans="2:10">
      <c r="B21" s="9"/>
      <c r="C21" s="10"/>
      <c r="D21" s="11"/>
      <c r="E21" s="12"/>
      <c r="F21" s="13"/>
      <c r="G21" s="13"/>
      <c r="H21" s="8"/>
    </row>
    <row r="22" spans="2:10">
      <c r="B22" s="9" t="s">
        <v>9</v>
      </c>
      <c r="C22" s="10"/>
      <c r="D22" s="11"/>
      <c r="E22" s="12"/>
      <c r="F22" s="13"/>
      <c r="G22" s="13"/>
      <c r="H22" s="8"/>
      <c r="I22" s="17"/>
    </row>
    <row r="23" spans="2:10">
      <c r="B23" s="41" t="s">
        <v>10</v>
      </c>
      <c r="C23" s="10"/>
      <c r="D23" s="11"/>
      <c r="E23" s="12"/>
      <c r="F23" s="13"/>
      <c r="G23" s="13"/>
      <c r="H23" s="8"/>
      <c r="I23" s="17"/>
    </row>
    <row r="24" spans="2:10" ht="150" customHeight="1">
      <c r="B24" s="72" t="s">
        <v>11</v>
      </c>
      <c r="C24" s="72"/>
      <c r="D24" s="72"/>
      <c r="E24" s="72"/>
      <c r="F24" s="72"/>
      <c r="G24" s="13"/>
      <c r="H24" s="8"/>
      <c r="I24" s="17"/>
      <c r="J24" s="14"/>
    </row>
    <row r="25" spans="2:10">
      <c r="B25" s="41" t="s">
        <v>12</v>
      </c>
      <c r="C25" s="10"/>
      <c r="D25" s="13"/>
      <c r="E25" s="12"/>
      <c r="F25" s="13"/>
      <c r="G25" s="13"/>
      <c r="H25" s="8"/>
      <c r="J25" s="14"/>
    </row>
    <row r="26" spans="2:10" ht="54" customHeight="1">
      <c r="B26" s="73" t="s">
        <v>13</v>
      </c>
      <c r="C26" s="73"/>
      <c r="D26" s="73"/>
      <c r="E26" s="73"/>
      <c r="F26" s="73"/>
      <c r="G26" s="13"/>
      <c r="H26" s="8"/>
      <c r="J26" s="14"/>
    </row>
    <row r="27" spans="2:10">
      <c r="B27" s="14" t="s">
        <v>14</v>
      </c>
      <c r="C27" s="10"/>
      <c r="D27" s="13"/>
      <c r="E27" s="12"/>
      <c r="F27" s="13"/>
      <c r="G27" s="13"/>
      <c r="H27" s="8"/>
      <c r="J27" s="14"/>
    </row>
  </sheetData>
  <mergeCells count="12">
    <mergeCell ref="B24:F24"/>
    <mergeCell ref="B26:F26"/>
    <mergeCell ref="B3:F3"/>
    <mergeCell ref="B4:F4"/>
    <mergeCell ref="B5:F5"/>
    <mergeCell ref="B8:B9"/>
    <mergeCell ref="C8:C9"/>
    <mergeCell ref="D8:D9"/>
    <mergeCell ref="E8:E9"/>
    <mergeCell ref="F8:F9"/>
    <mergeCell ref="F10:F14"/>
    <mergeCell ref="F15:F19"/>
  </mergeCells>
  <dataValidations count="2">
    <dataValidation type="decimal" allowBlank="1" showInputMessage="1" showErrorMessage="1" prompt="Ingresar % entre 10% y 100%" sqref="D11:D19" xr:uid="{DAAADC08-7911-4D0E-A5FE-34E7F2AA559B}">
      <formula1>0.1</formula1>
      <formula2>1</formula2>
    </dataValidation>
    <dataValidation type="decimal" allowBlank="1" showInputMessage="1" showErrorMessage="1" prompt="Ingresar % min 10%  max 100%" sqref="D10" xr:uid="{BA008948-2FCC-4AE1-B20A-B2B868911B07}">
      <formula1>0.1</formula1>
      <formula2>1</formula2>
    </dataValidation>
  </dataValidations>
  <printOptions horizontalCentered="1"/>
  <pageMargins left="0.70866141732283472" right="0.70866141732283472" top="0.74803149606299213" bottom="0.74803149606299213" header="0.31496062992125984" footer="0.31496062992125984"/>
  <pageSetup scale="8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D6AC2-DEE1-4661-BBE8-8A14B96530A7}">
  <dimension ref="A1:AG126"/>
  <sheetViews>
    <sheetView showGridLines="0" zoomScale="85" zoomScaleNormal="85" workbookViewId="0">
      <pane xSplit="2" ySplit="5" topLeftCell="C58" activePane="bottomRight" state="frozen"/>
      <selection pane="topRight" activeCell="B1" sqref="B1"/>
      <selection pane="bottomLeft" activeCell="A6" sqref="A6"/>
      <selection pane="bottomRight" activeCell="C6" sqref="C6"/>
    </sheetView>
  </sheetViews>
  <sheetFormatPr baseColWidth="10" defaultColWidth="8" defaultRowHeight="9"/>
  <cols>
    <col min="1" max="1" width="4.5703125" style="23" customWidth="1"/>
    <col min="2" max="2" width="15.7109375" style="23" bestFit="1" customWidth="1"/>
    <col min="3" max="26" width="12.42578125" style="23" bestFit="1" customWidth="1"/>
    <col min="27" max="27" width="14.7109375" style="23" bestFit="1" customWidth="1"/>
    <col min="28" max="28" width="7.85546875" style="23" bestFit="1" customWidth="1"/>
    <col min="29" max="29" width="15" style="23" bestFit="1" customWidth="1"/>
    <col min="30" max="30" width="10.28515625" style="23" bestFit="1" customWidth="1"/>
    <col min="31" max="31" width="17.5703125" style="23" bestFit="1" customWidth="1"/>
    <col min="32" max="32" width="19" style="23" bestFit="1" customWidth="1"/>
    <col min="33" max="16384" width="8" style="23"/>
  </cols>
  <sheetData>
    <row r="1" spans="1:33">
      <c r="B1" s="87" t="s">
        <v>15</v>
      </c>
      <c r="C1" s="88"/>
      <c r="D1" s="88"/>
      <c r="E1" s="88"/>
      <c r="F1" s="88"/>
      <c r="G1" s="88"/>
      <c r="H1" s="88"/>
      <c r="I1" s="88"/>
      <c r="J1" s="88"/>
      <c r="K1" s="88"/>
      <c r="L1" s="88"/>
      <c r="M1" s="88"/>
      <c r="N1" s="88"/>
      <c r="O1" s="88"/>
      <c r="P1" s="88"/>
      <c r="Q1" s="88"/>
      <c r="R1" s="88"/>
      <c r="S1" s="88"/>
      <c r="T1" s="88"/>
      <c r="U1" s="88"/>
      <c r="V1" s="88"/>
      <c r="W1" s="88"/>
      <c r="X1" s="88"/>
      <c r="Y1" s="88"/>
      <c r="Z1" s="88"/>
      <c r="AA1" s="88"/>
      <c r="AB1" s="88"/>
      <c r="AC1" s="89"/>
    </row>
    <row r="2" spans="1:33" ht="15">
      <c r="B2" s="90"/>
      <c r="C2" s="91"/>
      <c r="D2" s="91"/>
      <c r="E2" s="91"/>
      <c r="F2" s="91"/>
      <c r="G2" s="91"/>
      <c r="H2" s="91"/>
      <c r="I2" s="91"/>
      <c r="J2" s="91"/>
      <c r="K2" s="91"/>
      <c r="L2" s="91"/>
      <c r="M2" s="91"/>
      <c r="N2" s="91"/>
      <c r="O2" s="91"/>
      <c r="P2" s="91"/>
      <c r="Q2" s="91"/>
      <c r="R2" s="91"/>
      <c r="S2" s="91"/>
      <c r="T2" s="91"/>
      <c r="U2" s="91"/>
      <c r="V2" s="91"/>
      <c r="W2" s="91"/>
      <c r="X2" s="91"/>
      <c r="Y2" s="91"/>
      <c r="Z2" s="91"/>
      <c r="AA2" s="91"/>
      <c r="AB2" s="91"/>
      <c r="AC2" s="92"/>
      <c r="AE2"/>
      <c r="AF2"/>
      <c r="AG2"/>
    </row>
    <row r="3" spans="1:33" ht="15">
      <c r="AC3" s="24"/>
      <c r="AE3"/>
      <c r="AF3"/>
      <c r="AG3"/>
    </row>
    <row r="4" spans="1:33" ht="15" customHeight="1">
      <c r="B4" s="86" t="s">
        <v>16</v>
      </c>
      <c r="C4" s="86" t="s">
        <v>17</v>
      </c>
      <c r="D4" s="86" t="s">
        <v>18</v>
      </c>
      <c r="E4" s="86" t="s">
        <v>19</v>
      </c>
      <c r="F4" s="86" t="s">
        <v>20</v>
      </c>
      <c r="G4" s="86" t="s">
        <v>21</v>
      </c>
      <c r="H4" s="86" t="s">
        <v>22</v>
      </c>
      <c r="I4" s="86" t="s">
        <v>23</v>
      </c>
      <c r="J4" s="86" t="s">
        <v>24</v>
      </c>
      <c r="K4" s="86" t="s">
        <v>25</v>
      </c>
      <c r="L4" s="86" t="s">
        <v>26</v>
      </c>
      <c r="M4" s="86" t="s">
        <v>27</v>
      </c>
      <c r="N4" s="86" t="s">
        <v>28</v>
      </c>
      <c r="O4" s="86" t="s">
        <v>29</v>
      </c>
      <c r="P4" s="86" t="s">
        <v>30</v>
      </c>
      <c r="Q4" s="86" t="s">
        <v>31</v>
      </c>
      <c r="R4" s="86" t="s">
        <v>32</v>
      </c>
      <c r="S4" s="86" t="s">
        <v>33</v>
      </c>
      <c r="T4" s="86" t="s">
        <v>34</v>
      </c>
      <c r="U4" s="86" t="s">
        <v>35</v>
      </c>
      <c r="V4" s="86" t="s">
        <v>36</v>
      </c>
      <c r="W4" s="86" t="s">
        <v>37</v>
      </c>
      <c r="X4" s="86" t="s">
        <v>38</v>
      </c>
      <c r="Y4" s="86" t="s">
        <v>39</v>
      </c>
      <c r="Z4" s="86" t="s">
        <v>40</v>
      </c>
      <c r="AA4" s="86" t="s">
        <v>41</v>
      </c>
      <c r="AB4" s="26" t="s">
        <v>42</v>
      </c>
      <c r="AC4" s="86" t="s">
        <v>43</v>
      </c>
      <c r="AE4"/>
      <c r="AF4"/>
      <c r="AG4"/>
    </row>
    <row r="5" spans="1:33" ht="15">
      <c r="B5" s="86"/>
      <c r="C5" s="86"/>
      <c r="D5" s="86"/>
      <c r="E5" s="86"/>
      <c r="F5" s="86"/>
      <c r="G5" s="86"/>
      <c r="H5" s="86"/>
      <c r="I5" s="86"/>
      <c r="J5" s="86"/>
      <c r="K5" s="86"/>
      <c r="L5" s="86"/>
      <c r="M5" s="86"/>
      <c r="N5" s="86"/>
      <c r="O5" s="86"/>
      <c r="P5" s="86"/>
      <c r="Q5" s="86"/>
      <c r="R5" s="86"/>
      <c r="S5" s="86"/>
      <c r="T5" s="86"/>
      <c r="U5" s="86"/>
      <c r="V5" s="86"/>
      <c r="W5" s="86"/>
      <c r="X5" s="86"/>
      <c r="Y5" s="86"/>
      <c r="Z5" s="86"/>
      <c r="AA5" s="86"/>
      <c r="AB5" s="26" t="s">
        <v>44</v>
      </c>
      <c r="AC5" s="86"/>
      <c r="AE5"/>
      <c r="AF5"/>
      <c r="AG5"/>
    </row>
    <row r="6" spans="1:33" ht="15">
      <c r="A6" s="23">
        <f>YEAR(B6)</f>
        <v>2026</v>
      </c>
      <c r="B6" s="27">
        <v>46023</v>
      </c>
      <c r="C6" s="35">
        <f>($AC6/$AB6)/24</f>
        <v>5721.8129399971394</v>
      </c>
      <c r="D6" s="35">
        <f t="shared" ref="D6:Z17" si="0">($AC6/$AB6)/24</f>
        <v>5721.8129399971394</v>
      </c>
      <c r="E6" s="35">
        <f t="shared" si="0"/>
        <v>5721.8129399971394</v>
      </c>
      <c r="F6" s="35">
        <f t="shared" si="0"/>
        <v>5721.8129399971394</v>
      </c>
      <c r="G6" s="35">
        <f t="shared" si="0"/>
        <v>5721.8129399971394</v>
      </c>
      <c r="H6" s="35">
        <f t="shared" si="0"/>
        <v>5721.8129399971394</v>
      </c>
      <c r="I6" s="35">
        <f t="shared" si="0"/>
        <v>5721.8129399971394</v>
      </c>
      <c r="J6" s="35">
        <f t="shared" si="0"/>
        <v>5721.8129399971394</v>
      </c>
      <c r="K6" s="35">
        <f t="shared" si="0"/>
        <v>5721.8129399971394</v>
      </c>
      <c r="L6" s="35">
        <f t="shared" si="0"/>
        <v>5721.8129399971394</v>
      </c>
      <c r="M6" s="35">
        <f t="shared" si="0"/>
        <v>5721.8129399971394</v>
      </c>
      <c r="N6" s="35">
        <f t="shared" si="0"/>
        <v>5721.8129399971394</v>
      </c>
      <c r="O6" s="35">
        <f t="shared" si="0"/>
        <v>5721.8129399971394</v>
      </c>
      <c r="P6" s="35">
        <f t="shared" si="0"/>
        <v>5721.8129399971394</v>
      </c>
      <c r="Q6" s="35">
        <f t="shared" si="0"/>
        <v>5721.8129399971394</v>
      </c>
      <c r="R6" s="35">
        <f t="shared" si="0"/>
        <v>5721.8129399971394</v>
      </c>
      <c r="S6" s="35">
        <f t="shared" si="0"/>
        <v>5721.8129399971394</v>
      </c>
      <c r="T6" s="35">
        <f t="shared" si="0"/>
        <v>5721.8129399971394</v>
      </c>
      <c r="U6" s="35">
        <f t="shared" si="0"/>
        <v>5721.8129399971394</v>
      </c>
      <c r="V6" s="35">
        <f t="shared" si="0"/>
        <v>5721.8129399971394</v>
      </c>
      <c r="W6" s="35">
        <f t="shared" si="0"/>
        <v>5721.8129399971394</v>
      </c>
      <c r="X6" s="35">
        <f t="shared" si="0"/>
        <v>5721.8129399971394</v>
      </c>
      <c r="Y6" s="35">
        <f t="shared" si="0"/>
        <v>5721.8129399971394</v>
      </c>
      <c r="Z6" s="35">
        <f t="shared" si="0"/>
        <v>5721.8129399971394</v>
      </c>
      <c r="AA6" s="35">
        <f>SUM(C6:Z6)</f>
        <v>137323.51055993131</v>
      </c>
      <c r="AB6" s="28">
        <f>DAY(EOMONTH(B6,0))</f>
        <v>31</v>
      </c>
      <c r="AC6" s="29">
        <v>4257028.8273578715</v>
      </c>
      <c r="AD6" s="37"/>
      <c r="AE6" s="18"/>
      <c r="AF6" s="18"/>
      <c r="AG6"/>
    </row>
    <row r="7" spans="1:33" ht="15">
      <c r="A7" s="23">
        <f t="shared" ref="A7:A70" si="1">YEAR(B7)</f>
        <v>2026</v>
      </c>
      <c r="B7" s="27">
        <v>46054</v>
      </c>
      <c r="C7" s="35">
        <f t="shared" ref="C7:R22" si="2">($AC7/$AB7)/24</f>
        <v>7740.4846178190564</v>
      </c>
      <c r="D7" s="35">
        <f t="shared" si="0"/>
        <v>7740.4846178190564</v>
      </c>
      <c r="E7" s="35">
        <f t="shared" si="0"/>
        <v>7740.4846178190564</v>
      </c>
      <c r="F7" s="35">
        <f t="shared" si="0"/>
        <v>7740.4846178190564</v>
      </c>
      <c r="G7" s="35">
        <f t="shared" si="0"/>
        <v>7740.4846178190564</v>
      </c>
      <c r="H7" s="35">
        <f t="shared" si="0"/>
        <v>7740.4846178190564</v>
      </c>
      <c r="I7" s="35">
        <f t="shared" si="0"/>
        <v>7740.4846178190564</v>
      </c>
      <c r="J7" s="35">
        <f t="shared" si="0"/>
        <v>7740.4846178190564</v>
      </c>
      <c r="K7" s="35">
        <f t="shared" si="0"/>
        <v>7740.4846178190564</v>
      </c>
      <c r="L7" s="35">
        <f t="shared" si="0"/>
        <v>7740.4846178190564</v>
      </c>
      <c r="M7" s="35">
        <f t="shared" si="0"/>
        <v>7740.4846178190564</v>
      </c>
      <c r="N7" s="35">
        <f t="shared" si="0"/>
        <v>7740.4846178190564</v>
      </c>
      <c r="O7" s="35">
        <f t="shared" si="0"/>
        <v>7740.4846178190564</v>
      </c>
      <c r="P7" s="35">
        <f t="shared" si="0"/>
        <v>7740.4846178190564</v>
      </c>
      <c r="Q7" s="35">
        <f t="shared" si="0"/>
        <v>7740.4846178190564</v>
      </c>
      <c r="R7" s="35">
        <f t="shared" si="0"/>
        <v>7740.4846178190564</v>
      </c>
      <c r="S7" s="35">
        <f t="shared" si="0"/>
        <v>7740.4846178190564</v>
      </c>
      <c r="T7" s="35">
        <f t="shared" si="0"/>
        <v>7740.4846178190564</v>
      </c>
      <c r="U7" s="35">
        <f t="shared" si="0"/>
        <v>7740.4846178190564</v>
      </c>
      <c r="V7" s="35">
        <f t="shared" si="0"/>
        <v>7740.4846178190564</v>
      </c>
      <c r="W7" s="35">
        <f t="shared" si="0"/>
        <v>7740.4846178190564</v>
      </c>
      <c r="X7" s="35">
        <f t="shared" si="0"/>
        <v>7740.4846178190564</v>
      </c>
      <c r="Y7" s="35">
        <f t="shared" si="0"/>
        <v>7740.4846178190564</v>
      </c>
      <c r="Z7" s="35">
        <f t="shared" si="0"/>
        <v>7740.4846178190564</v>
      </c>
      <c r="AA7" s="35">
        <f t="shared" ref="AA7:AA17" si="3">SUM(C7:Z7)</f>
        <v>185771.63082765724</v>
      </c>
      <c r="AB7" s="28">
        <f t="shared" ref="AB7:AB29" si="4">DAY(EOMONTH(B7,0))</f>
        <v>28</v>
      </c>
      <c r="AC7" s="29">
        <v>5201605.6631744057</v>
      </c>
      <c r="AD7" s="37"/>
      <c r="AE7"/>
      <c r="AF7"/>
      <c r="AG7"/>
    </row>
    <row r="8" spans="1:33" ht="15">
      <c r="A8" s="23">
        <f t="shared" si="1"/>
        <v>2026</v>
      </c>
      <c r="B8" s="27">
        <v>46082</v>
      </c>
      <c r="C8" s="35">
        <f t="shared" si="2"/>
        <v>6873.9053315912215</v>
      </c>
      <c r="D8" s="35">
        <f t="shared" si="0"/>
        <v>6873.9053315912215</v>
      </c>
      <c r="E8" s="35">
        <f t="shared" si="0"/>
        <v>6873.9053315912215</v>
      </c>
      <c r="F8" s="35">
        <f t="shared" si="0"/>
        <v>6873.9053315912215</v>
      </c>
      <c r="G8" s="35">
        <f t="shared" si="0"/>
        <v>6873.9053315912215</v>
      </c>
      <c r="H8" s="35">
        <f t="shared" si="0"/>
        <v>6873.9053315912215</v>
      </c>
      <c r="I8" s="35">
        <f t="shared" si="0"/>
        <v>6873.9053315912215</v>
      </c>
      <c r="J8" s="35">
        <f t="shared" si="0"/>
        <v>6873.9053315912215</v>
      </c>
      <c r="K8" s="35">
        <f t="shared" si="0"/>
        <v>6873.9053315912215</v>
      </c>
      <c r="L8" s="35">
        <f t="shared" si="0"/>
        <v>6873.9053315912215</v>
      </c>
      <c r="M8" s="35">
        <f t="shared" si="0"/>
        <v>6873.9053315912215</v>
      </c>
      <c r="N8" s="35">
        <f t="shared" si="0"/>
        <v>6873.9053315912215</v>
      </c>
      <c r="O8" s="35">
        <f t="shared" si="0"/>
        <v>6873.9053315912215</v>
      </c>
      <c r="P8" s="35">
        <f t="shared" si="0"/>
        <v>6873.9053315912215</v>
      </c>
      <c r="Q8" s="35">
        <f t="shared" si="0"/>
        <v>6873.9053315912215</v>
      </c>
      <c r="R8" s="35">
        <f t="shared" si="0"/>
        <v>6873.9053315912215</v>
      </c>
      <c r="S8" s="35">
        <f t="shared" si="0"/>
        <v>6873.9053315912215</v>
      </c>
      <c r="T8" s="35">
        <f t="shared" si="0"/>
        <v>6873.9053315912215</v>
      </c>
      <c r="U8" s="35">
        <f t="shared" si="0"/>
        <v>6873.9053315912215</v>
      </c>
      <c r="V8" s="35">
        <f t="shared" si="0"/>
        <v>6873.9053315912215</v>
      </c>
      <c r="W8" s="35">
        <f t="shared" si="0"/>
        <v>6873.9053315912215</v>
      </c>
      <c r="X8" s="35">
        <f t="shared" si="0"/>
        <v>6873.9053315912215</v>
      </c>
      <c r="Y8" s="35">
        <f t="shared" si="0"/>
        <v>6873.9053315912215</v>
      </c>
      <c r="Z8" s="35">
        <f t="shared" si="0"/>
        <v>6873.9053315912215</v>
      </c>
      <c r="AA8" s="35">
        <f t="shared" si="3"/>
        <v>164973.72795818932</v>
      </c>
      <c r="AB8" s="28">
        <f t="shared" si="4"/>
        <v>31</v>
      </c>
      <c r="AC8" s="29">
        <v>5114185.566703869</v>
      </c>
      <c r="AD8" s="37"/>
      <c r="AE8"/>
      <c r="AF8"/>
      <c r="AG8"/>
    </row>
    <row r="9" spans="1:33" ht="15">
      <c r="A9" s="23">
        <f t="shared" si="1"/>
        <v>2026</v>
      </c>
      <c r="B9" s="27">
        <v>46113</v>
      </c>
      <c r="C9" s="35">
        <f t="shared" si="2"/>
        <v>6188.1756935843659</v>
      </c>
      <c r="D9" s="35">
        <f t="shared" si="0"/>
        <v>6188.1756935843659</v>
      </c>
      <c r="E9" s="35">
        <f t="shared" si="0"/>
        <v>6188.1756935843659</v>
      </c>
      <c r="F9" s="35">
        <f t="shared" si="0"/>
        <v>6188.1756935843659</v>
      </c>
      <c r="G9" s="35">
        <f t="shared" si="0"/>
        <v>6188.1756935843659</v>
      </c>
      <c r="H9" s="35">
        <f t="shared" si="0"/>
        <v>6188.1756935843659</v>
      </c>
      <c r="I9" s="35">
        <f t="shared" si="0"/>
        <v>6188.1756935843659</v>
      </c>
      <c r="J9" s="35">
        <f t="shared" si="0"/>
        <v>6188.1756935843659</v>
      </c>
      <c r="K9" s="35">
        <f t="shared" si="0"/>
        <v>6188.1756935843659</v>
      </c>
      <c r="L9" s="35">
        <f t="shared" si="0"/>
        <v>6188.1756935843659</v>
      </c>
      <c r="M9" s="35">
        <f t="shared" si="0"/>
        <v>6188.1756935843659</v>
      </c>
      <c r="N9" s="35">
        <f t="shared" si="0"/>
        <v>6188.1756935843659</v>
      </c>
      <c r="O9" s="35">
        <f t="shared" si="0"/>
        <v>6188.1756935843659</v>
      </c>
      <c r="P9" s="35">
        <f t="shared" si="0"/>
        <v>6188.1756935843659</v>
      </c>
      <c r="Q9" s="35">
        <f t="shared" si="0"/>
        <v>6188.1756935843659</v>
      </c>
      <c r="R9" s="35">
        <f t="shared" si="0"/>
        <v>6188.1756935843659</v>
      </c>
      <c r="S9" s="35">
        <f t="shared" si="0"/>
        <v>6188.1756935843659</v>
      </c>
      <c r="T9" s="35">
        <f t="shared" si="0"/>
        <v>6188.1756935843659</v>
      </c>
      <c r="U9" s="35">
        <f t="shared" si="0"/>
        <v>6188.1756935843659</v>
      </c>
      <c r="V9" s="35">
        <f t="shared" si="0"/>
        <v>6188.1756935843659</v>
      </c>
      <c r="W9" s="35">
        <f t="shared" si="0"/>
        <v>6188.1756935843659</v>
      </c>
      <c r="X9" s="35">
        <f t="shared" si="0"/>
        <v>6188.1756935843659</v>
      </c>
      <c r="Y9" s="35">
        <f t="shared" si="0"/>
        <v>6188.1756935843659</v>
      </c>
      <c r="Z9" s="35">
        <f t="shared" si="0"/>
        <v>6188.1756935843659</v>
      </c>
      <c r="AA9" s="35">
        <f t="shared" si="3"/>
        <v>148516.21664602487</v>
      </c>
      <c r="AB9" s="28">
        <f t="shared" si="4"/>
        <v>30</v>
      </c>
      <c r="AC9" s="29">
        <v>4455486.4993807431</v>
      </c>
      <c r="AD9" s="37"/>
      <c r="AE9"/>
      <c r="AF9"/>
      <c r="AG9"/>
    </row>
    <row r="10" spans="1:33" ht="15">
      <c r="A10" s="23">
        <f t="shared" si="1"/>
        <v>2026</v>
      </c>
      <c r="B10" s="27">
        <v>46143</v>
      </c>
      <c r="C10" s="35">
        <f t="shared" si="2"/>
        <v>6877.9680541164953</v>
      </c>
      <c r="D10" s="35">
        <f t="shared" si="0"/>
        <v>6877.9680541164953</v>
      </c>
      <c r="E10" s="35">
        <f t="shared" si="0"/>
        <v>6877.9680541164953</v>
      </c>
      <c r="F10" s="35">
        <f t="shared" si="0"/>
        <v>6877.9680541164953</v>
      </c>
      <c r="G10" s="35">
        <f t="shared" si="0"/>
        <v>6877.9680541164953</v>
      </c>
      <c r="H10" s="35">
        <f t="shared" si="0"/>
        <v>6877.9680541164953</v>
      </c>
      <c r="I10" s="35">
        <f t="shared" si="0"/>
        <v>6877.9680541164953</v>
      </c>
      <c r="J10" s="35">
        <f t="shared" si="0"/>
        <v>6877.9680541164953</v>
      </c>
      <c r="K10" s="35">
        <f t="shared" si="0"/>
        <v>6877.9680541164953</v>
      </c>
      <c r="L10" s="35">
        <f t="shared" si="0"/>
        <v>6877.9680541164953</v>
      </c>
      <c r="M10" s="35">
        <f t="shared" si="0"/>
        <v>6877.9680541164953</v>
      </c>
      <c r="N10" s="35">
        <f t="shared" si="0"/>
        <v>6877.9680541164953</v>
      </c>
      <c r="O10" s="35">
        <f t="shared" si="0"/>
        <v>6877.9680541164953</v>
      </c>
      <c r="P10" s="35">
        <f t="shared" si="0"/>
        <v>6877.9680541164953</v>
      </c>
      <c r="Q10" s="35">
        <f t="shared" si="0"/>
        <v>6877.9680541164953</v>
      </c>
      <c r="R10" s="35">
        <f t="shared" si="0"/>
        <v>6877.9680541164953</v>
      </c>
      <c r="S10" s="35">
        <f t="shared" si="0"/>
        <v>6877.9680541164953</v>
      </c>
      <c r="T10" s="35">
        <f t="shared" si="0"/>
        <v>6877.9680541164953</v>
      </c>
      <c r="U10" s="35">
        <f t="shared" si="0"/>
        <v>6877.9680541164953</v>
      </c>
      <c r="V10" s="35">
        <f t="shared" si="0"/>
        <v>6877.9680541164953</v>
      </c>
      <c r="W10" s="35">
        <f t="shared" si="0"/>
        <v>6877.9680541164953</v>
      </c>
      <c r="X10" s="35">
        <f t="shared" si="0"/>
        <v>6877.9680541164953</v>
      </c>
      <c r="Y10" s="35">
        <f t="shared" si="0"/>
        <v>6877.9680541164953</v>
      </c>
      <c r="Z10" s="35">
        <f t="shared" si="0"/>
        <v>6877.9680541164953</v>
      </c>
      <c r="AA10" s="35">
        <f t="shared" si="3"/>
        <v>165071.23329879594</v>
      </c>
      <c r="AB10" s="28">
        <f t="shared" si="4"/>
        <v>31</v>
      </c>
      <c r="AC10" s="29">
        <v>5117208.2322626719</v>
      </c>
      <c r="AD10" s="37"/>
      <c r="AE10"/>
      <c r="AF10"/>
      <c r="AG10"/>
    </row>
    <row r="11" spans="1:33" ht="15">
      <c r="A11" s="23">
        <f t="shared" si="1"/>
        <v>2026</v>
      </c>
      <c r="B11" s="27">
        <v>46174</v>
      </c>
      <c r="C11" s="35">
        <f t="shared" si="2"/>
        <v>7482.9277304646894</v>
      </c>
      <c r="D11" s="35">
        <f t="shared" si="0"/>
        <v>7482.9277304646894</v>
      </c>
      <c r="E11" s="35">
        <f t="shared" si="0"/>
        <v>7482.9277304646894</v>
      </c>
      <c r="F11" s="35">
        <f t="shared" si="0"/>
        <v>7482.9277304646894</v>
      </c>
      <c r="G11" s="35">
        <f t="shared" si="0"/>
        <v>7482.9277304646894</v>
      </c>
      <c r="H11" s="35">
        <f t="shared" si="0"/>
        <v>7482.9277304646894</v>
      </c>
      <c r="I11" s="35">
        <f t="shared" si="0"/>
        <v>7482.9277304646894</v>
      </c>
      <c r="J11" s="35">
        <f t="shared" si="0"/>
        <v>7482.9277304646894</v>
      </c>
      <c r="K11" s="35">
        <f t="shared" si="0"/>
        <v>7482.9277304646894</v>
      </c>
      <c r="L11" s="35">
        <f t="shared" si="0"/>
        <v>7482.9277304646894</v>
      </c>
      <c r="M11" s="35">
        <f t="shared" si="0"/>
        <v>7482.9277304646894</v>
      </c>
      <c r="N11" s="35">
        <f t="shared" si="0"/>
        <v>7482.9277304646894</v>
      </c>
      <c r="O11" s="35">
        <f t="shared" si="0"/>
        <v>7482.9277304646894</v>
      </c>
      <c r="P11" s="35">
        <f t="shared" si="0"/>
        <v>7482.9277304646894</v>
      </c>
      <c r="Q11" s="35">
        <f t="shared" si="0"/>
        <v>7482.9277304646894</v>
      </c>
      <c r="R11" s="35">
        <f t="shared" si="0"/>
        <v>7482.9277304646894</v>
      </c>
      <c r="S11" s="35">
        <f t="shared" si="0"/>
        <v>7482.9277304646894</v>
      </c>
      <c r="T11" s="35">
        <f t="shared" si="0"/>
        <v>7482.9277304646894</v>
      </c>
      <c r="U11" s="35">
        <f t="shared" si="0"/>
        <v>7482.9277304646894</v>
      </c>
      <c r="V11" s="35">
        <f t="shared" si="0"/>
        <v>7482.9277304646894</v>
      </c>
      <c r="W11" s="35">
        <f t="shared" si="0"/>
        <v>7482.9277304646894</v>
      </c>
      <c r="X11" s="35">
        <f t="shared" si="0"/>
        <v>7482.9277304646894</v>
      </c>
      <c r="Y11" s="35">
        <f t="shared" si="0"/>
        <v>7482.9277304646894</v>
      </c>
      <c r="Z11" s="35">
        <f t="shared" si="0"/>
        <v>7482.9277304646894</v>
      </c>
      <c r="AA11" s="35">
        <f t="shared" si="3"/>
        <v>179590.26553115266</v>
      </c>
      <c r="AB11" s="28">
        <f t="shared" si="4"/>
        <v>30</v>
      </c>
      <c r="AC11" s="29">
        <v>5387707.9659345765</v>
      </c>
      <c r="AD11" s="37"/>
      <c r="AE11"/>
      <c r="AF11"/>
      <c r="AG11"/>
    </row>
    <row r="12" spans="1:33" ht="15">
      <c r="A12" s="23">
        <f t="shared" si="1"/>
        <v>2026</v>
      </c>
      <c r="B12" s="27">
        <v>46204</v>
      </c>
      <c r="C12" s="35">
        <f t="shared" si="2"/>
        <v>7202.6484065214709</v>
      </c>
      <c r="D12" s="35">
        <f t="shared" si="0"/>
        <v>7202.6484065214709</v>
      </c>
      <c r="E12" s="35">
        <f t="shared" si="0"/>
        <v>7202.6484065214709</v>
      </c>
      <c r="F12" s="35">
        <f t="shared" si="0"/>
        <v>7202.6484065214709</v>
      </c>
      <c r="G12" s="35">
        <f t="shared" si="0"/>
        <v>7202.6484065214709</v>
      </c>
      <c r="H12" s="35">
        <f t="shared" si="0"/>
        <v>7202.6484065214709</v>
      </c>
      <c r="I12" s="35">
        <f t="shared" si="0"/>
        <v>7202.6484065214709</v>
      </c>
      <c r="J12" s="35">
        <f t="shared" si="0"/>
        <v>7202.6484065214709</v>
      </c>
      <c r="K12" s="35">
        <f t="shared" si="0"/>
        <v>7202.6484065214709</v>
      </c>
      <c r="L12" s="35">
        <f t="shared" si="0"/>
        <v>7202.6484065214709</v>
      </c>
      <c r="M12" s="35">
        <f t="shared" si="0"/>
        <v>7202.6484065214709</v>
      </c>
      <c r="N12" s="35">
        <f t="shared" si="0"/>
        <v>7202.6484065214709</v>
      </c>
      <c r="O12" s="35">
        <f t="shared" si="0"/>
        <v>7202.6484065214709</v>
      </c>
      <c r="P12" s="35">
        <f t="shared" si="0"/>
        <v>7202.6484065214709</v>
      </c>
      <c r="Q12" s="35">
        <f t="shared" si="0"/>
        <v>7202.6484065214709</v>
      </c>
      <c r="R12" s="35">
        <f t="shared" si="0"/>
        <v>7202.6484065214709</v>
      </c>
      <c r="S12" s="35">
        <f t="shared" si="0"/>
        <v>7202.6484065214709</v>
      </c>
      <c r="T12" s="35">
        <f t="shared" si="0"/>
        <v>7202.6484065214709</v>
      </c>
      <c r="U12" s="35">
        <f t="shared" si="0"/>
        <v>7202.6484065214709</v>
      </c>
      <c r="V12" s="35">
        <f t="shared" si="0"/>
        <v>7202.6484065214709</v>
      </c>
      <c r="W12" s="35">
        <f t="shared" si="0"/>
        <v>7202.6484065214709</v>
      </c>
      <c r="X12" s="35">
        <f t="shared" si="0"/>
        <v>7202.6484065214709</v>
      </c>
      <c r="Y12" s="35">
        <f t="shared" si="0"/>
        <v>7202.6484065214709</v>
      </c>
      <c r="Z12" s="35">
        <f t="shared" si="0"/>
        <v>7202.6484065214709</v>
      </c>
      <c r="AA12" s="35">
        <f t="shared" si="3"/>
        <v>172863.56175651535</v>
      </c>
      <c r="AB12" s="28">
        <f t="shared" si="4"/>
        <v>31</v>
      </c>
      <c r="AC12" s="29">
        <v>5358770.4144519744</v>
      </c>
      <c r="AD12" s="37"/>
      <c r="AE12"/>
      <c r="AF12"/>
      <c r="AG12"/>
    </row>
    <row r="13" spans="1:33" ht="15">
      <c r="A13" s="23">
        <f t="shared" si="1"/>
        <v>2026</v>
      </c>
      <c r="B13" s="27">
        <v>46235</v>
      </c>
      <c r="C13" s="35">
        <f t="shared" si="2"/>
        <v>8996.9084526734314</v>
      </c>
      <c r="D13" s="35">
        <f t="shared" si="0"/>
        <v>8996.9084526734314</v>
      </c>
      <c r="E13" s="35">
        <f t="shared" si="0"/>
        <v>8996.9084526734314</v>
      </c>
      <c r="F13" s="35">
        <f t="shared" si="0"/>
        <v>8996.9084526734314</v>
      </c>
      <c r="G13" s="35">
        <f t="shared" si="0"/>
        <v>8996.9084526734314</v>
      </c>
      <c r="H13" s="35">
        <f t="shared" si="0"/>
        <v>8996.9084526734314</v>
      </c>
      <c r="I13" s="35">
        <f t="shared" si="0"/>
        <v>8996.9084526734314</v>
      </c>
      <c r="J13" s="35">
        <f t="shared" si="0"/>
        <v>8996.9084526734314</v>
      </c>
      <c r="K13" s="35">
        <f t="shared" si="0"/>
        <v>8996.9084526734314</v>
      </c>
      <c r="L13" s="35">
        <f t="shared" si="0"/>
        <v>8996.9084526734314</v>
      </c>
      <c r="M13" s="35">
        <f t="shared" si="0"/>
        <v>8996.9084526734314</v>
      </c>
      <c r="N13" s="35">
        <f t="shared" si="0"/>
        <v>8996.9084526734314</v>
      </c>
      <c r="O13" s="35">
        <f t="shared" si="0"/>
        <v>8996.9084526734314</v>
      </c>
      <c r="P13" s="35">
        <f t="shared" si="0"/>
        <v>8996.9084526734314</v>
      </c>
      <c r="Q13" s="35">
        <f t="shared" si="0"/>
        <v>8996.9084526734314</v>
      </c>
      <c r="R13" s="35">
        <f t="shared" si="0"/>
        <v>8996.9084526734314</v>
      </c>
      <c r="S13" s="35">
        <f t="shared" si="0"/>
        <v>8996.9084526734314</v>
      </c>
      <c r="T13" s="35">
        <f t="shared" si="0"/>
        <v>8996.9084526734314</v>
      </c>
      <c r="U13" s="35">
        <f t="shared" si="0"/>
        <v>8996.9084526734314</v>
      </c>
      <c r="V13" s="35">
        <f t="shared" si="0"/>
        <v>8996.9084526734314</v>
      </c>
      <c r="W13" s="35">
        <f t="shared" si="0"/>
        <v>8996.9084526734314</v>
      </c>
      <c r="X13" s="35">
        <f t="shared" si="0"/>
        <v>8996.9084526734314</v>
      </c>
      <c r="Y13" s="35">
        <f t="shared" si="0"/>
        <v>8996.9084526734314</v>
      </c>
      <c r="Z13" s="35">
        <f t="shared" si="0"/>
        <v>8996.9084526734314</v>
      </c>
      <c r="AA13" s="35">
        <f t="shared" si="3"/>
        <v>215925.80286416243</v>
      </c>
      <c r="AB13" s="28">
        <f t="shared" si="4"/>
        <v>31</v>
      </c>
      <c r="AC13" s="29">
        <v>6693699.8887890326</v>
      </c>
      <c r="AD13" s="37"/>
      <c r="AE13"/>
      <c r="AF13"/>
      <c r="AG13"/>
    </row>
    <row r="14" spans="1:33" ht="15">
      <c r="A14" s="23">
        <f t="shared" si="1"/>
        <v>2026</v>
      </c>
      <c r="B14" s="27">
        <v>46266</v>
      </c>
      <c r="C14" s="35">
        <f t="shared" si="2"/>
        <v>15036.653273940266</v>
      </c>
      <c r="D14" s="35">
        <f t="shared" si="0"/>
        <v>15036.653273940266</v>
      </c>
      <c r="E14" s="35">
        <f t="shared" si="0"/>
        <v>15036.653273940266</v>
      </c>
      <c r="F14" s="35">
        <f t="shared" si="0"/>
        <v>15036.653273940266</v>
      </c>
      <c r="G14" s="35">
        <f t="shared" si="0"/>
        <v>15036.653273940266</v>
      </c>
      <c r="H14" s="35">
        <f t="shared" si="0"/>
        <v>15036.653273940266</v>
      </c>
      <c r="I14" s="35">
        <f t="shared" si="0"/>
        <v>15036.653273940266</v>
      </c>
      <c r="J14" s="35">
        <f t="shared" si="0"/>
        <v>15036.653273940266</v>
      </c>
      <c r="K14" s="35">
        <f t="shared" si="0"/>
        <v>15036.653273940266</v>
      </c>
      <c r="L14" s="35">
        <f t="shared" si="0"/>
        <v>15036.653273940266</v>
      </c>
      <c r="M14" s="35">
        <f t="shared" si="0"/>
        <v>15036.653273940266</v>
      </c>
      <c r="N14" s="35">
        <f t="shared" si="0"/>
        <v>15036.653273940266</v>
      </c>
      <c r="O14" s="35">
        <f t="shared" si="0"/>
        <v>15036.653273940266</v>
      </c>
      <c r="P14" s="35">
        <f t="shared" si="0"/>
        <v>15036.653273940266</v>
      </c>
      <c r="Q14" s="35">
        <f t="shared" si="0"/>
        <v>15036.653273940266</v>
      </c>
      <c r="R14" s="35">
        <f t="shared" si="0"/>
        <v>15036.653273940266</v>
      </c>
      <c r="S14" s="35">
        <f t="shared" si="0"/>
        <v>15036.653273940266</v>
      </c>
      <c r="T14" s="35">
        <f t="shared" si="0"/>
        <v>15036.653273940266</v>
      </c>
      <c r="U14" s="35">
        <f t="shared" si="0"/>
        <v>15036.653273940266</v>
      </c>
      <c r="V14" s="35">
        <f t="shared" si="0"/>
        <v>15036.653273940266</v>
      </c>
      <c r="W14" s="35">
        <f t="shared" si="0"/>
        <v>15036.653273940266</v>
      </c>
      <c r="X14" s="35">
        <f t="shared" si="0"/>
        <v>15036.653273940266</v>
      </c>
      <c r="Y14" s="35">
        <f t="shared" si="0"/>
        <v>15036.653273940266</v>
      </c>
      <c r="Z14" s="35">
        <f t="shared" si="0"/>
        <v>15036.653273940266</v>
      </c>
      <c r="AA14" s="35">
        <f t="shared" si="3"/>
        <v>360879.67857456632</v>
      </c>
      <c r="AB14" s="28">
        <f t="shared" si="4"/>
        <v>30</v>
      </c>
      <c r="AC14" s="29">
        <v>10826390.357236991</v>
      </c>
      <c r="AD14" s="37"/>
      <c r="AE14"/>
      <c r="AF14"/>
      <c r="AG14"/>
    </row>
    <row r="15" spans="1:33" ht="15">
      <c r="A15" s="23">
        <f t="shared" si="1"/>
        <v>2026</v>
      </c>
      <c r="B15" s="27">
        <v>46296</v>
      </c>
      <c r="C15" s="35">
        <f t="shared" si="2"/>
        <v>14234.457933438476</v>
      </c>
      <c r="D15" s="35">
        <f t="shared" si="0"/>
        <v>14234.457933438476</v>
      </c>
      <c r="E15" s="35">
        <f t="shared" si="0"/>
        <v>14234.457933438476</v>
      </c>
      <c r="F15" s="35">
        <f t="shared" si="0"/>
        <v>14234.457933438476</v>
      </c>
      <c r="G15" s="35">
        <f t="shared" si="0"/>
        <v>14234.457933438476</v>
      </c>
      <c r="H15" s="35">
        <f t="shared" si="0"/>
        <v>14234.457933438476</v>
      </c>
      <c r="I15" s="35">
        <f t="shared" si="0"/>
        <v>14234.457933438476</v>
      </c>
      <c r="J15" s="35">
        <f t="shared" si="0"/>
        <v>14234.457933438476</v>
      </c>
      <c r="K15" s="35">
        <f t="shared" si="0"/>
        <v>14234.457933438476</v>
      </c>
      <c r="L15" s="35">
        <f t="shared" si="0"/>
        <v>14234.457933438476</v>
      </c>
      <c r="M15" s="35">
        <f t="shared" si="0"/>
        <v>14234.457933438476</v>
      </c>
      <c r="N15" s="35">
        <f t="shared" si="0"/>
        <v>14234.457933438476</v>
      </c>
      <c r="O15" s="35">
        <f t="shared" si="0"/>
        <v>14234.457933438476</v>
      </c>
      <c r="P15" s="35">
        <f t="shared" si="0"/>
        <v>14234.457933438476</v>
      </c>
      <c r="Q15" s="35">
        <f t="shared" si="0"/>
        <v>14234.457933438476</v>
      </c>
      <c r="R15" s="35">
        <f t="shared" si="0"/>
        <v>14234.457933438476</v>
      </c>
      <c r="S15" s="35">
        <f t="shared" si="0"/>
        <v>14234.457933438476</v>
      </c>
      <c r="T15" s="35">
        <f t="shared" si="0"/>
        <v>14234.457933438476</v>
      </c>
      <c r="U15" s="35">
        <f t="shared" si="0"/>
        <v>14234.457933438476</v>
      </c>
      <c r="V15" s="35">
        <f t="shared" si="0"/>
        <v>14234.457933438476</v>
      </c>
      <c r="W15" s="35">
        <f t="shared" si="0"/>
        <v>14234.457933438476</v>
      </c>
      <c r="X15" s="35">
        <f t="shared" si="0"/>
        <v>14234.457933438476</v>
      </c>
      <c r="Y15" s="35">
        <f t="shared" si="0"/>
        <v>14234.457933438476</v>
      </c>
      <c r="Z15" s="35">
        <f t="shared" si="0"/>
        <v>14234.457933438476</v>
      </c>
      <c r="AA15" s="35">
        <f t="shared" si="3"/>
        <v>341626.99040252343</v>
      </c>
      <c r="AB15" s="28">
        <f t="shared" si="4"/>
        <v>31</v>
      </c>
      <c r="AC15" s="29">
        <v>10590436.702478226</v>
      </c>
      <c r="AD15" s="37"/>
      <c r="AE15"/>
      <c r="AF15"/>
      <c r="AG15"/>
    </row>
    <row r="16" spans="1:33" ht="15">
      <c r="A16" s="23">
        <f t="shared" si="1"/>
        <v>2026</v>
      </c>
      <c r="B16" s="27">
        <v>46327</v>
      </c>
      <c r="C16" s="35">
        <f t="shared" si="2"/>
        <v>15036.653273940266</v>
      </c>
      <c r="D16" s="35">
        <f t="shared" si="0"/>
        <v>15036.653273940266</v>
      </c>
      <c r="E16" s="35">
        <f t="shared" si="0"/>
        <v>15036.653273940266</v>
      </c>
      <c r="F16" s="35">
        <f t="shared" si="0"/>
        <v>15036.653273940266</v>
      </c>
      <c r="G16" s="35">
        <f t="shared" si="0"/>
        <v>15036.653273940266</v>
      </c>
      <c r="H16" s="35">
        <f t="shared" si="0"/>
        <v>15036.653273940266</v>
      </c>
      <c r="I16" s="35">
        <f t="shared" si="0"/>
        <v>15036.653273940266</v>
      </c>
      <c r="J16" s="35">
        <f t="shared" si="0"/>
        <v>15036.653273940266</v>
      </c>
      <c r="K16" s="35">
        <f t="shared" si="0"/>
        <v>15036.653273940266</v>
      </c>
      <c r="L16" s="35">
        <f t="shared" si="0"/>
        <v>15036.653273940266</v>
      </c>
      <c r="M16" s="35">
        <f t="shared" si="0"/>
        <v>15036.653273940266</v>
      </c>
      <c r="N16" s="35">
        <f t="shared" si="0"/>
        <v>15036.653273940266</v>
      </c>
      <c r="O16" s="35">
        <f t="shared" si="0"/>
        <v>15036.653273940266</v>
      </c>
      <c r="P16" s="35">
        <f t="shared" si="0"/>
        <v>15036.653273940266</v>
      </c>
      <c r="Q16" s="35">
        <f t="shared" si="0"/>
        <v>15036.653273940266</v>
      </c>
      <c r="R16" s="35">
        <f t="shared" si="0"/>
        <v>15036.653273940266</v>
      </c>
      <c r="S16" s="35">
        <f t="shared" si="0"/>
        <v>15036.653273940266</v>
      </c>
      <c r="T16" s="35">
        <f t="shared" si="0"/>
        <v>15036.653273940266</v>
      </c>
      <c r="U16" s="35">
        <f t="shared" si="0"/>
        <v>15036.653273940266</v>
      </c>
      <c r="V16" s="35">
        <f t="shared" si="0"/>
        <v>15036.653273940266</v>
      </c>
      <c r="W16" s="35">
        <f t="shared" si="0"/>
        <v>15036.653273940266</v>
      </c>
      <c r="X16" s="35">
        <f t="shared" si="0"/>
        <v>15036.653273940266</v>
      </c>
      <c r="Y16" s="35">
        <f t="shared" si="0"/>
        <v>15036.653273940266</v>
      </c>
      <c r="Z16" s="35">
        <f t="shared" si="0"/>
        <v>15036.653273940266</v>
      </c>
      <c r="AA16" s="35">
        <f t="shared" si="3"/>
        <v>360879.67857456632</v>
      </c>
      <c r="AB16" s="28">
        <f t="shared" si="4"/>
        <v>30</v>
      </c>
      <c r="AC16" s="29">
        <v>10826390.357236991</v>
      </c>
      <c r="AD16" s="37"/>
      <c r="AE16"/>
      <c r="AF16"/>
      <c r="AG16"/>
    </row>
    <row r="17" spans="1:33" ht="15">
      <c r="A17" s="23">
        <f t="shared" si="1"/>
        <v>2026</v>
      </c>
      <c r="B17" s="27">
        <v>46357</v>
      </c>
      <c r="C17" s="35">
        <f t="shared" si="2"/>
        <v>14234.457933438476</v>
      </c>
      <c r="D17" s="35">
        <f t="shared" si="0"/>
        <v>14234.457933438476</v>
      </c>
      <c r="E17" s="35">
        <f t="shared" ref="E17:T32" si="5">($AC17/$AB17)/24</f>
        <v>14234.457933438476</v>
      </c>
      <c r="F17" s="35">
        <f t="shared" si="5"/>
        <v>14234.457933438476</v>
      </c>
      <c r="G17" s="35">
        <f t="shared" si="5"/>
        <v>14234.457933438476</v>
      </c>
      <c r="H17" s="35">
        <f t="shared" si="5"/>
        <v>14234.457933438476</v>
      </c>
      <c r="I17" s="35">
        <f t="shared" si="5"/>
        <v>14234.457933438476</v>
      </c>
      <c r="J17" s="35">
        <f t="shared" si="5"/>
        <v>14234.457933438476</v>
      </c>
      <c r="K17" s="35">
        <f t="shared" si="5"/>
        <v>14234.457933438476</v>
      </c>
      <c r="L17" s="35">
        <f t="shared" si="5"/>
        <v>14234.457933438476</v>
      </c>
      <c r="M17" s="35">
        <f t="shared" si="5"/>
        <v>14234.457933438476</v>
      </c>
      <c r="N17" s="35">
        <f t="shared" si="5"/>
        <v>14234.457933438476</v>
      </c>
      <c r="O17" s="35">
        <f t="shared" si="5"/>
        <v>14234.457933438476</v>
      </c>
      <c r="P17" s="35">
        <f t="shared" si="5"/>
        <v>14234.457933438476</v>
      </c>
      <c r="Q17" s="35">
        <f t="shared" si="5"/>
        <v>14234.457933438476</v>
      </c>
      <c r="R17" s="35">
        <f t="shared" si="5"/>
        <v>14234.457933438476</v>
      </c>
      <c r="S17" s="35">
        <f t="shared" si="5"/>
        <v>14234.457933438476</v>
      </c>
      <c r="T17" s="35">
        <f t="shared" si="5"/>
        <v>14234.457933438476</v>
      </c>
      <c r="U17" s="35">
        <f t="shared" ref="U17:Z32" si="6">($AC17/$AB17)/24</f>
        <v>14234.457933438476</v>
      </c>
      <c r="V17" s="35">
        <f t="shared" si="6"/>
        <v>14234.457933438476</v>
      </c>
      <c r="W17" s="35">
        <f t="shared" si="6"/>
        <v>14234.457933438476</v>
      </c>
      <c r="X17" s="35">
        <f t="shared" si="6"/>
        <v>14234.457933438476</v>
      </c>
      <c r="Y17" s="35">
        <f t="shared" si="6"/>
        <v>14234.457933438476</v>
      </c>
      <c r="Z17" s="35">
        <f t="shared" si="6"/>
        <v>14234.457933438476</v>
      </c>
      <c r="AA17" s="35">
        <f t="shared" si="3"/>
        <v>341626.99040252343</v>
      </c>
      <c r="AB17" s="28">
        <f t="shared" si="4"/>
        <v>31</v>
      </c>
      <c r="AC17" s="29">
        <v>10590436.702478226</v>
      </c>
      <c r="AD17" s="37"/>
      <c r="AE17"/>
      <c r="AF17"/>
      <c r="AG17"/>
    </row>
    <row r="18" spans="1:33" ht="15">
      <c r="A18" s="23">
        <f t="shared" si="1"/>
        <v>2027</v>
      </c>
      <c r="B18" s="27">
        <v>46388</v>
      </c>
      <c r="C18" s="35">
        <f t="shared" si="2"/>
        <v>14234.415933438475</v>
      </c>
      <c r="D18" s="35">
        <f t="shared" si="2"/>
        <v>14234.415933438475</v>
      </c>
      <c r="E18" s="35">
        <f t="shared" si="5"/>
        <v>14234.415933438475</v>
      </c>
      <c r="F18" s="35">
        <f t="shared" si="2"/>
        <v>14234.415933438475</v>
      </c>
      <c r="G18" s="35">
        <f t="shared" si="5"/>
        <v>14234.415933438475</v>
      </c>
      <c r="H18" s="35">
        <f t="shared" si="2"/>
        <v>14234.415933438475</v>
      </c>
      <c r="I18" s="35">
        <f t="shared" si="5"/>
        <v>14234.415933438475</v>
      </c>
      <c r="J18" s="35">
        <f t="shared" si="2"/>
        <v>14234.415933438475</v>
      </c>
      <c r="K18" s="35">
        <f t="shared" si="5"/>
        <v>14234.415933438475</v>
      </c>
      <c r="L18" s="35">
        <f t="shared" si="2"/>
        <v>14234.415933438475</v>
      </c>
      <c r="M18" s="35">
        <f t="shared" si="5"/>
        <v>14234.415933438475</v>
      </c>
      <c r="N18" s="35">
        <f t="shared" si="2"/>
        <v>14234.415933438475</v>
      </c>
      <c r="O18" s="35">
        <f t="shared" si="5"/>
        <v>14234.415933438475</v>
      </c>
      <c r="P18" s="35">
        <f t="shared" si="2"/>
        <v>14234.415933438475</v>
      </c>
      <c r="Q18" s="35">
        <f t="shared" si="5"/>
        <v>14234.415933438475</v>
      </c>
      <c r="R18" s="35">
        <f t="shared" si="2"/>
        <v>14234.415933438475</v>
      </c>
      <c r="S18" s="35">
        <f t="shared" si="5"/>
        <v>14234.415933438475</v>
      </c>
      <c r="T18" s="35">
        <f t="shared" si="5"/>
        <v>14234.415933438475</v>
      </c>
      <c r="U18" s="35">
        <f t="shared" si="6"/>
        <v>14234.415933438475</v>
      </c>
      <c r="V18" s="35">
        <f t="shared" si="6"/>
        <v>14234.415933438475</v>
      </c>
      <c r="W18" s="35">
        <f t="shared" si="6"/>
        <v>14234.415933438475</v>
      </c>
      <c r="X18" s="35">
        <f t="shared" si="6"/>
        <v>14234.415933438475</v>
      </c>
      <c r="Y18" s="35">
        <f t="shared" si="6"/>
        <v>14234.415933438475</v>
      </c>
      <c r="Z18" s="35">
        <f t="shared" si="6"/>
        <v>14234.415933438475</v>
      </c>
      <c r="AA18" s="35">
        <f>SUM(C18:Z18)</f>
        <v>341625.98240252322</v>
      </c>
      <c r="AB18" s="28">
        <f t="shared" si="4"/>
        <v>31</v>
      </c>
      <c r="AC18" s="29">
        <v>10590405.454478225</v>
      </c>
      <c r="AD18" s="37"/>
      <c r="AE18"/>
      <c r="AF18"/>
      <c r="AG18"/>
    </row>
    <row r="19" spans="1:33" ht="15">
      <c r="A19" s="23">
        <f t="shared" si="1"/>
        <v>2027</v>
      </c>
      <c r="B19" s="27">
        <v>46419</v>
      </c>
      <c r="C19" s="35">
        <f t="shared" si="2"/>
        <v>16812.900956479949</v>
      </c>
      <c r="D19" s="35">
        <f t="shared" si="2"/>
        <v>16812.900956479949</v>
      </c>
      <c r="E19" s="35">
        <f t="shared" si="5"/>
        <v>16812.900956479949</v>
      </c>
      <c r="F19" s="35">
        <f t="shared" si="2"/>
        <v>16812.900956479949</v>
      </c>
      <c r="G19" s="35">
        <f t="shared" si="5"/>
        <v>16812.900956479949</v>
      </c>
      <c r="H19" s="35">
        <f t="shared" si="2"/>
        <v>16812.900956479949</v>
      </c>
      <c r="I19" s="35">
        <f t="shared" si="5"/>
        <v>16812.900956479949</v>
      </c>
      <c r="J19" s="35">
        <f t="shared" si="2"/>
        <v>16812.900956479949</v>
      </c>
      <c r="K19" s="35">
        <f t="shared" si="5"/>
        <v>16812.900956479949</v>
      </c>
      <c r="L19" s="35">
        <f t="shared" si="2"/>
        <v>16812.900956479949</v>
      </c>
      <c r="M19" s="35">
        <f t="shared" si="5"/>
        <v>16812.900956479949</v>
      </c>
      <c r="N19" s="35">
        <f t="shared" si="2"/>
        <v>16812.900956479949</v>
      </c>
      <c r="O19" s="35">
        <f t="shared" si="5"/>
        <v>16812.900956479949</v>
      </c>
      <c r="P19" s="35">
        <f t="shared" si="2"/>
        <v>16812.900956479949</v>
      </c>
      <c r="Q19" s="35">
        <f t="shared" si="5"/>
        <v>16812.900956479949</v>
      </c>
      <c r="R19" s="35">
        <f t="shared" si="2"/>
        <v>16812.900956479949</v>
      </c>
      <c r="S19" s="35">
        <f t="shared" si="5"/>
        <v>16812.900956479949</v>
      </c>
      <c r="T19" s="35">
        <f t="shared" si="5"/>
        <v>16812.900956479949</v>
      </c>
      <c r="U19" s="35">
        <f t="shared" si="6"/>
        <v>16812.900956479949</v>
      </c>
      <c r="V19" s="35">
        <f t="shared" si="6"/>
        <v>16812.900956479949</v>
      </c>
      <c r="W19" s="35">
        <f t="shared" si="6"/>
        <v>16812.900956479949</v>
      </c>
      <c r="X19" s="35">
        <f t="shared" si="6"/>
        <v>16812.900956479949</v>
      </c>
      <c r="Y19" s="35">
        <f t="shared" si="6"/>
        <v>16812.900956479949</v>
      </c>
      <c r="Z19" s="35">
        <f t="shared" si="6"/>
        <v>16812.900956479949</v>
      </c>
      <c r="AA19" s="35">
        <f t="shared" ref="AA19:AA29" si="7">SUM(C19:Z19)</f>
        <v>403509.62295551877</v>
      </c>
      <c r="AB19" s="28">
        <f t="shared" si="4"/>
        <v>28</v>
      </c>
      <c r="AC19" s="29">
        <v>11298269.442754526</v>
      </c>
      <c r="AD19" s="37"/>
      <c r="AE19"/>
      <c r="AF19"/>
      <c r="AG19"/>
    </row>
    <row r="20" spans="1:33" ht="15">
      <c r="A20" s="23">
        <f t="shared" si="1"/>
        <v>2027</v>
      </c>
      <c r="B20" s="27">
        <v>46447</v>
      </c>
      <c r="C20" s="35">
        <f t="shared" si="2"/>
        <v>14234.415933438475</v>
      </c>
      <c r="D20" s="35">
        <f t="shared" si="2"/>
        <v>14234.415933438475</v>
      </c>
      <c r="E20" s="35">
        <f t="shared" si="5"/>
        <v>14234.415933438475</v>
      </c>
      <c r="F20" s="35">
        <f t="shared" si="2"/>
        <v>14234.415933438475</v>
      </c>
      <c r="G20" s="35">
        <f t="shared" si="5"/>
        <v>14234.415933438475</v>
      </c>
      <c r="H20" s="35">
        <f t="shared" si="2"/>
        <v>14234.415933438475</v>
      </c>
      <c r="I20" s="35">
        <f t="shared" si="5"/>
        <v>14234.415933438475</v>
      </c>
      <c r="J20" s="35">
        <f t="shared" si="2"/>
        <v>14234.415933438475</v>
      </c>
      <c r="K20" s="35">
        <f t="shared" si="5"/>
        <v>14234.415933438475</v>
      </c>
      <c r="L20" s="35">
        <f t="shared" si="2"/>
        <v>14234.415933438475</v>
      </c>
      <c r="M20" s="35">
        <f t="shared" si="5"/>
        <v>14234.415933438475</v>
      </c>
      <c r="N20" s="35">
        <f t="shared" si="2"/>
        <v>14234.415933438475</v>
      </c>
      <c r="O20" s="35">
        <f t="shared" si="5"/>
        <v>14234.415933438475</v>
      </c>
      <c r="P20" s="35">
        <f t="shared" si="2"/>
        <v>14234.415933438475</v>
      </c>
      <c r="Q20" s="35">
        <f t="shared" si="5"/>
        <v>14234.415933438475</v>
      </c>
      <c r="R20" s="35">
        <f t="shared" si="2"/>
        <v>14234.415933438475</v>
      </c>
      <c r="S20" s="35">
        <f t="shared" si="5"/>
        <v>14234.415933438475</v>
      </c>
      <c r="T20" s="35">
        <f t="shared" si="5"/>
        <v>14234.415933438475</v>
      </c>
      <c r="U20" s="35">
        <f t="shared" si="6"/>
        <v>14234.415933438475</v>
      </c>
      <c r="V20" s="35">
        <f t="shared" si="6"/>
        <v>14234.415933438475</v>
      </c>
      <c r="W20" s="35">
        <f t="shared" si="6"/>
        <v>14234.415933438475</v>
      </c>
      <c r="X20" s="35">
        <f t="shared" si="6"/>
        <v>14234.415933438475</v>
      </c>
      <c r="Y20" s="35">
        <f t="shared" si="6"/>
        <v>14234.415933438475</v>
      </c>
      <c r="Z20" s="35">
        <f t="shared" si="6"/>
        <v>14234.415933438475</v>
      </c>
      <c r="AA20" s="35">
        <f t="shared" si="7"/>
        <v>341625.98240252322</v>
      </c>
      <c r="AB20" s="28">
        <f t="shared" si="4"/>
        <v>31</v>
      </c>
      <c r="AC20" s="29">
        <v>10590405.454478225</v>
      </c>
      <c r="AD20" s="37"/>
      <c r="AE20"/>
      <c r="AF20"/>
      <c r="AG20"/>
    </row>
    <row r="21" spans="1:33" ht="15">
      <c r="A21" s="23">
        <f t="shared" si="1"/>
        <v>2027</v>
      </c>
      <c r="B21" s="27">
        <v>46478</v>
      </c>
      <c r="C21" s="35">
        <f t="shared" si="2"/>
        <v>15036.611273940267</v>
      </c>
      <c r="D21" s="35">
        <f t="shared" si="2"/>
        <v>15036.611273940267</v>
      </c>
      <c r="E21" s="35">
        <f t="shared" si="5"/>
        <v>15036.611273940267</v>
      </c>
      <c r="F21" s="35">
        <f t="shared" si="2"/>
        <v>15036.611273940267</v>
      </c>
      <c r="G21" s="35">
        <f t="shared" si="5"/>
        <v>15036.611273940267</v>
      </c>
      <c r="H21" s="35">
        <f t="shared" si="2"/>
        <v>15036.611273940267</v>
      </c>
      <c r="I21" s="35">
        <f t="shared" si="5"/>
        <v>15036.611273940267</v>
      </c>
      <c r="J21" s="35">
        <f t="shared" si="2"/>
        <v>15036.611273940267</v>
      </c>
      <c r="K21" s="35">
        <f t="shared" si="5"/>
        <v>15036.611273940267</v>
      </c>
      <c r="L21" s="35">
        <f t="shared" si="2"/>
        <v>15036.611273940267</v>
      </c>
      <c r="M21" s="35">
        <f t="shared" si="5"/>
        <v>15036.611273940267</v>
      </c>
      <c r="N21" s="35">
        <f t="shared" si="2"/>
        <v>15036.611273940267</v>
      </c>
      <c r="O21" s="35">
        <f t="shared" si="5"/>
        <v>15036.611273940267</v>
      </c>
      <c r="P21" s="35">
        <f t="shared" si="2"/>
        <v>15036.611273940267</v>
      </c>
      <c r="Q21" s="35">
        <f t="shared" si="5"/>
        <v>15036.611273940267</v>
      </c>
      <c r="R21" s="35">
        <f t="shared" si="2"/>
        <v>15036.611273940267</v>
      </c>
      <c r="S21" s="35">
        <f t="shared" si="5"/>
        <v>15036.611273940267</v>
      </c>
      <c r="T21" s="35">
        <f t="shared" si="5"/>
        <v>15036.611273940267</v>
      </c>
      <c r="U21" s="35">
        <f t="shared" si="6"/>
        <v>15036.611273940267</v>
      </c>
      <c r="V21" s="35">
        <f t="shared" si="6"/>
        <v>15036.611273940267</v>
      </c>
      <c r="W21" s="35">
        <f t="shared" si="6"/>
        <v>15036.611273940267</v>
      </c>
      <c r="X21" s="35">
        <f t="shared" si="6"/>
        <v>15036.611273940267</v>
      </c>
      <c r="Y21" s="35">
        <f t="shared" si="6"/>
        <v>15036.611273940267</v>
      </c>
      <c r="Z21" s="35">
        <f t="shared" si="6"/>
        <v>15036.611273940267</v>
      </c>
      <c r="AA21" s="35">
        <f t="shared" si="7"/>
        <v>360878.67057456635</v>
      </c>
      <c r="AB21" s="28">
        <f t="shared" si="4"/>
        <v>30</v>
      </c>
      <c r="AC21" s="29">
        <v>10826360.117236992</v>
      </c>
      <c r="AD21" s="37"/>
      <c r="AE21"/>
      <c r="AF21"/>
      <c r="AG21"/>
    </row>
    <row r="22" spans="1:33" ht="15">
      <c r="A22" s="23">
        <f t="shared" si="1"/>
        <v>2027</v>
      </c>
      <c r="B22" s="27">
        <v>46508</v>
      </c>
      <c r="C22" s="35">
        <f t="shared" si="2"/>
        <v>14234.415933438475</v>
      </c>
      <c r="D22" s="35">
        <f t="shared" si="2"/>
        <v>14234.415933438475</v>
      </c>
      <c r="E22" s="35">
        <f t="shared" si="5"/>
        <v>14234.415933438475</v>
      </c>
      <c r="F22" s="35">
        <f t="shared" si="2"/>
        <v>14234.415933438475</v>
      </c>
      <c r="G22" s="35">
        <f t="shared" si="5"/>
        <v>14234.415933438475</v>
      </c>
      <c r="H22" s="35">
        <f t="shared" si="2"/>
        <v>14234.415933438475</v>
      </c>
      <c r="I22" s="35">
        <f t="shared" si="5"/>
        <v>14234.415933438475</v>
      </c>
      <c r="J22" s="35">
        <f t="shared" si="2"/>
        <v>14234.415933438475</v>
      </c>
      <c r="K22" s="35">
        <f t="shared" si="5"/>
        <v>14234.415933438475</v>
      </c>
      <c r="L22" s="35">
        <f t="shared" si="2"/>
        <v>14234.415933438475</v>
      </c>
      <c r="M22" s="35">
        <f t="shared" si="5"/>
        <v>14234.415933438475</v>
      </c>
      <c r="N22" s="35">
        <f t="shared" si="2"/>
        <v>14234.415933438475</v>
      </c>
      <c r="O22" s="35">
        <f t="shared" si="5"/>
        <v>14234.415933438475</v>
      </c>
      <c r="P22" s="35">
        <f t="shared" si="2"/>
        <v>14234.415933438475</v>
      </c>
      <c r="Q22" s="35">
        <f t="shared" si="5"/>
        <v>14234.415933438475</v>
      </c>
      <c r="R22" s="35">
        <f t="shared" si="2"/>
        <v>14234.415933438475</v>
      </c>
      <c r="S22" s="35">
        <f t="shared" si="5"/>
        <v>14234.415933438475</v>
      </c>
      <c r="T22" s="35">
        <f t="shared" si="5"/>
        <v>14234.415933438475</v>
      </c>
      <c r="U22" s="35">
        <f t="shared" si="6"/>
        <v>14234.415933438475</v>
      </c>
      <c r="V22" s="35">
        <f t="shared" si="6"/>
        <v>14234.415933438475</v>
      </c>
      <c r="W22" s="35">
        <f t="shared" si="6"/>
        <v>14234.415933438475</v>
      </c>
      <c r="X22" s="35">
        <f t="shared" si="6"/>
        <v>14234.415933438475</v>
      </c>
      <c r="Y22" s="35">
        <f t="shared" si="6"/>
        <v>14234.415933438475</v>
      </c>
      <c r="Z22" s="35">
        <f t="shared" si="6"/>
        <v>14234.415933438475</v>
      </c>
      <c r="AA22" s="35">
        <f t="shared" si="7"/>
        <v>341625.98240252322</v>
      </c>
      <c r="AB22" s="28">
        <f t="shared" si="4"/>
        <v>31</v>
      </c>
      <c r="AC22" s="29">
        <v>10590405.454478225</v>
      </c>
      <c r="AD22" s="37"/>
      <c r="AE22"/>
    </row>
    <row r="23" spans="1:33" ht="15">
      <c r="A23" s="23">
        <f t="shared" si="1"/>
        <v>2027</v>
      </c>
      <c r="B23" s="27">
        <v>46539</v>
      </c>
      <c r="C23" s="35">
        <f t="shared" ref="C23:R38" si="8">($AC23/$AB23)/24</f>
        <v>15036.611273940267</v>
      </c>
      <c r="D23" s="35">
        <f t="shared" si="8"/>
        <v>15036.611273940267</v>
      </c>
      <c r="E23" s="35">
        <f t="shared" si="5"/>
        <v>15036.611273940267</v>
      </c>
      <c r="F23" s="35">
        <f t="shared" si="8"/>
        <v>15036.611273940267</v>
      </c>
      <c r="G23" s="35">
        <f t="shared" si="5"/>
        <v>15036.611273940267</v>
      </c>
      <c r="H23" s="35">
        <f t="shared" si="8"/>
        <v>15036.611273940267</v>
      </c>
      <c r="I23" s="35">
        <f t="shared" si="5"/>
        <v>15036.611273940267</v>
      </c>
      <c r="J23" s="35">
        <f t="shared" si="8"/>
        <v>15036.611273940267</v>
      </c>
      <c r="K23" s="35">
        <f t="shared" si="5"/>
        <v>15036.611273940267</v>
      </c>
      <c r="L23" s="35">
        <f t="shared" si="8"/>
        <v>15036.611273940267</v>
      </c>
      <c r="M23" s="35">
        <f t="shared" si="5"/>
        <v>15036.611273940267</v>
      </c>
      <c r="N23" s="35">
        <f t="shared" si="8"/>
        <v>15036.611273940267</v>
      </c>
      <c r="O23" s="35">
        <f t="shared" si="5"/>
        <v>15036.611273940267</v>
      </c>
      <c r="P23" s="35">
        <f t="shared" si="8"/>
        <v>15036.611273940267</v>
      </c>
      <c r="Q23" s="35">
        <f t="shared" si="5"/>
        <v>15036.611273940267</v>
      </c>
      <c r="R23" s="35">
        <f t="shared" si="8"/>
        <v>15036.611273940267</v>
      </c>
      <c r="S23" s="35">
        <f t="shared" si="5"/>
        <v>15036.611273940267</v>
      </c>
      <c r="T23" s="35">
        <f t="shared" si="5"/>
        <v>15036.611273940267</v>
      </c>
      <c r="U23" s="35">
        <f t="shared" si="6"/>
        <v>15036.611273940267</v>
      </c>
      <c r="V23" s="35">
        <f t="shared" si="6"/>
        <v>15036.611273940267</v>
      </c>
      <c r="W23" s="35">
        <f t="shared" si="6"/>
        <v>15036.611273940267</v>
      </c>
      <c r="X23" s="35">
        <f t="shared" si="6"/>
        <v>15036.611273940267</v>
      </c>
      <c r="Y23" s="35">
        <f t="shared" si="6"/>
        <v>15036.611273940267</v>
      </c>
      <c r="Z23" s="35">
        <f t="shared" si="6"/>
        <v>15036.611273940267</v>
      </c>
      <c r="AA23" s="35">
        <f t="shared" si="7"/>
        <v>360878.67057456635</v>
      </c>
      <c r="AB23" s="28">
        <f t="shared" si="4"/>
        <v>30</v>
      </c>
      <c r="AC23" s="29">
        <v>10826360.117236992</v>
      </c>
      <c r="AD23" s="37"/>
      <c r="AE23"/>
    </row>
    <row r="24" spans="1:33" ht="15">
      <c r="A24" s="23">
        <f t="shared" si="1"/>
        <v>2027</v>
      </c>
      <c r="B24" s="27">
        <v>46569</v>
      </c>
      <c r="C24" s="35">
        <f t="shared" si="8"/>
        <v>14234.415933438475</v>
      </c>
      <c r="D24" s="35">
        <f t="shared" si="8"/>
        <v>14234.415933438475</v>
      </c>
      <c r="E24" s="35">
        <f t="shared" si="5"/>
        <v>14234.415933438475</v>
      </c>
      <c r="F24" s="35">
        <f t="shared" si="8"/>
        <v>14234.415933438475</v>
      </c>
      <c r="G24" s="35">
        <f t="shared" si="5"/>
        <v>14234.415933438475</v>
      </c>
      <c r="H24" s="35">
        <f t="shared" si="8"/>
        <v>14234.415933438475</v>
      </c>
      <c r="I24" s="35">
        <f t="shared" si="5"/>
        <v>14234.415933438475</v>
      </c>
      <c r="J24" s="35">
        <f t="shared" si="8"/>
        <v>14234.415933438475</v>
      </c>
      <c r="K24" s="35">
        <f t="shared" si="5"/>
        <v>14234.415933438475</v>
      </c>
      <c r="L24" s="35">
        <f t="shared" si="8"/>
        <v>14234.415933438475</v>
      </c>
      <c r="M24" s="35">
        <f t="shared" si="5"/>
        <v>14234.415933438475</v>
      </c>
      <c r="N24" s="35">
        <f t="shared" si="8"/>
        <v>14234.415933438475</v>
      </c>
      <c r="O24" s="35">
        <f t="shared" si="5"/>
        <v>14234.415933438475</v>
      </c>
      <c r="P24" s="35">
        <f t="shared" si="8"/>
        <v>14234.415933438475</v>
      </c>
      <c r="Q24" s="35">
        <f t="shared" si="5"/>
        <v>14234.415933438475</v>
      </c>
      <c r="R24" s="35">
        <f t="shared" si="8"/>
        <v>14234.415933438475</v>
      </c>
      <c r="S24" s="35">
        <f t="shared" si="5"/>
        <v>14234.415933438475</v>
      </c>
      <c r="T24" s="35">
        <f t="shared" si="5"/>
        <v>14234.415933438475</v>
      </c>
      <c r="U24" s="35">
        <f t="shared" si="6"/>
        <v>14234.415933438475</v>
      </c>
      <c r="V24" s="35">
        <f t="shared" si="6"/>
        <v>14234.415933438475</v>
      </c>
      <c r="W24" s="35">
        <f t="shared" si="6"/>
        <v>14234.415933438475</v>
      </c>
      <c r="X24" s="35">
        <f t="shared" si="6"/>
        <v>14234.415933438475</v>
      </c>
      <c r="Y24" s="35">
        <f t="shared" si="6"/>
        <v>14234.415933438475</v>
      </c>
      <c r="Z24" s="35">
        <f t="shared" si="6"/>
        <v>14234.415933438475</v>
      </c>
      <c r="AA24" s="35">
        <f t="shared" si="7"/>
        <v>341625.98240252322</v>
      </c>
      <c r="AB24" s="28">
        <f t="shared" si="4"/>
        <v>31</v>
      </c>
      <c r="AC24" s="29">
        <v>10590405.454478225</v>
      </c>
      <c r="AD24" s="37"/>
      <c r="AE24"/>
    </row>
    <row r="25" spans="1:33" ht="15">
      <c r="A25" s="23">
        <f t="shared" si="1"/>
        <v>2027</v>
      </c>
      <c r="B25" s="27">
        <v>46600</v>
      </c>
      <c r="C25" s="35">
        <f t="shared" si="8"/>
        <v>14234.415933438475</v>
      </c>
      <c r="D25" s="35">
        <f t="shared" si="8"/>
        <v>14234.415933438475</v>
      </c>
      <c r="E25" s="35">
        <f t="shared" si="5"/>
        <v>14234.415933438475</v>
      </c>
      <c r="F25" s="35">
        <f t="shared" si="8"/>
        <v>14234.415933438475</v>
      </c>
      <c r="G25" s="35">
        <f t="shared" si="5"/>
        <v>14234.415933438475</v>
      </c>
      <c r="H25" s="35">
        <f t="shared" si="8"/>
        <v>14234.415933438475</v>
      </c>
      <c r="I25" s="35">
        <f t="shared" si="5"/>
        <v>14234.415933438475</v>
      </c>
      <c r="J25" s="35">
        <f t="shared" si="8"/>
        <v>14234.415933438475</v>
      </c>
      <c r="K25" s="35">
        <f t="shared" si="5"/>
        <v>14234.415933438475</v>
      </c>
      <c r="L25" s="35">
        <f t="shared" si="8"/>
        <v>14234.415933438475</v>
      </c>
      <c r="M25" s="35">
        <f t="shared" si="5"/>
        <v>14234.415933438475</v>
      </c>
      <c r="N25" s="35">
        <f t="shared" si="8"/>
        <v>14234.415933438475</v>
      </c>
      <c r="O25" s="35">
        <f t="shared" si="5"/>
        <v>14234.415933438475</v>
      </c>
      <c r="P25" s="35">
        <f t="shared" si="8"/>
        <v>14234.415933438475</v>
      </c>
      <c r="Q25" s="35">
        <f t="shared" si="5"/>
        <v>14234.415933438475</v>
      </c>
      <c r="R25" s="35">
        <f t="shared" si="8"/>
        <v>14234.415933438475</v>
      </c>
      <c r="S25" s="35">
        <f t="shared" si="5"/>
        <v>14234.415933438475</v>
      </c>
      <c r="T25" s="35">
        <f t="shared" si="5"/>
        <v>14234.415933438475</v>
      </c>
      <c r="U25" s="35">
        <f t="shared" si="6"/>
        <v>14234.415933438475</v>
      </c>
      <c r="V25" s="35">
        <f t="shared" si="6"/>
        <v>14234.415933438475</v>
      </c>
      <c r="W25" s="35">
        <f t="shared" si="6"/>
        <v>14234.415933438475</v>
      </c>
      <c r="X25" s="35">
        <f t="shared" si="6"/>
        <v>14234.415933438475</v>
      </c>
      <c r="Y25" s="35">
        <f t="shared" si="6"/>
        <v>14234.415933438475</v>
      </c>
      <c r="Z25" s="35">
        <f t="shared" si="6"/>
        <v>14234.415933438475</v>
      </c>
      <c r="AA25" s="35">
        <f t="shared" si="7"/>
        <v>341625.98240252322</v>
      </c>
      <c r="AB25" s="28">
        <f t="shared" si="4"/>
        <v>31</v>
      </c>
      <c r="AC25" s="29">
        <v>10590405.454478225</v>
      </c>
      <c r="AD25" s="37"/>
      <c r="AE25"/>
    </row>
    <row r="26" spans="1:33" ht="15">
      <c r="A26" s="23">
        <f t="shared" si="1"/>
        <v>2027</v>
      </c>
      <c r="B26" s="27">
        <v>46631</v>
      </c>
      <c r="C26" s="35">
        <f t="shared" si="8"/>
        <v>15036.611273940267</v>
      </c>
      <c r="D26" s="35">
        <f t="shared" si="8"/>
        <v>15036.611273940267</v>
      </c>
      <c r="E26" s="35">
        <f t="shared" si="5"/>
        <v>15036.611273940267</v>
      </c>
      <c r="F26" s="35">
        <f t="shared" si="8"/>
        <v>15036.611273940267</v>
      </c>
      <c r="G26" s="35">
        <f t="shared" si="5"/>
        <v>15036.611273940267</v>
      </c>
      <c r="H26" s="35">
        <f t="shared" si="8"/>
        <v>15036.611273940267</v>
      </c>
      <c r="I26" s="35">
        <f t="shared" si="5"/>
        <v>15036.611273940267</v>
      </c>
      <c r="J26" s="35">
        <f t="shared" si="8"/>
        <v>15036.611273940267</v>
      </c>
      <c r="K26" s="35">
        <f t="shared" si="5"/>
        <v>15036.611273940267</v>
      </c>
      <c r="L26" s="35">
        <f t="shared" si="8"/>
        <v>15036.611273940267</v>
      </c>
      <c r="M26" s="35">
        <f t="shared" si="5"/>
        <v>15036.611273940267</v>
      </c>
      <c r="N26" s="35">
        <f t="shared" si="8"/>
        <v>15036.611273940267</v>
      </c>
      <c r="O26" s="35">
        <f t="shared" si="5"/>
        <v>15036.611273940267</v>
      </c>
      <c r="P26" s="35">
        <f t="shared" si="8"/>
        <v>15036.611273940267</v>
      </c>
      <c r="Q26" s="35">
        <f t="shared" si="5"/>
        <v>15036.611273940267</v>
      </c>
      <c r="R26" s="35">
        <f t="shared" si="8"/>
        <v>15036.611273940267</v>
      </c>
      <c r="S26" s="35">
        <f t="shared" si="5"/>
        <v>15036.611273940267</v>
      </c>
      <c r="T26" s="35">
        <f t="shared" si="5"/>
        <v>15036.611273940267</v>
      </c>
      <c r="U26" s="35">
        <f t="shared" si="6"/>
        <v>15036.611273940267</v>
      </c>
      <c r="V26" s="35">
        <f t="shared" si="6"/>
        <v>15036.611273940267</v>
      </c>
      <c r="W26" s="35">
        <f t="shared" si="6"/>
        <v>15036.611273940267</v>
      </c>
      <c r="X26" s="35">
        <f t="shared" si="6"/>
        <v>15036.611273940267</v>
      </c>
      <c r="Y26" s="35">
        <f t="shared" si="6"/>
        <v>15036.611273940267</v>
      </c>
      <c r="Z26" s="35">
        <f t="shared" si="6"/>
        <v>15036.611273940267</v>
      </c>
      <c r="AA26" s="35">
        <f t="shared" si="7"/>
        <v>360878.67057456635</v>
      </c>
      <c r="AB26" s="28">
        <f t="shared" si="4"/>
        <v>30</v>
      </c>
      <c r="AC26" s="29">
        <v>10826360.117236992</v>
      </c>
      <c r="AD26" s="37"/>
      <c r="AE26"/>
    </row>
    <row r="27" spans="1:33" ht="15">
      <c r="A27" s="23">
        <f t="shared" si="1"/>
        <v>2027</v>
      </c>
      <c r="B27" s="27">
        <v>46661</v>
      </c>
      <c r="C27" s="35">
        <f t="shared" si="8"/>
        <v>14234.415933438475</v>
      </c>
      <c r="D27" s="35">
        <f t="shared" si="8"/>
        <v>14234.415933438475</v>
      </c>
      <c r="E27" s="35">
        <f t="shared" si="5"/>
        <v>14234.415933438475</v>
      </c>
      <c r="F27" s="35">
        <f t="shared" si="8"/>
        <v>14234.415933438475</v>
      </c>
      <c r="G27" s="35">
        <f t="shared" si="5"/>
        <v>14234.415933438475</v>
      </c>
      <c r="H27" s="35">
        <f t="shared" si="8"/>
        <v>14234.415933438475</v>
      </c>
      <c r="I27" s="35">
        <f t="shared" si="5"/>
        <v>14234.415933438475</v>
      </c>
      <c r="J27" s="35">
        <f t="shared" si="8"/>
        <v>14234.415933438475</v>
      </c>
      <c r="K27" s="35">
        <f t="shared" si="5"/>
        <v>14234.415933438475</v>
      </c>
      <c r="L27" s="35">
        <f t="shared" si="8"/>
        <v>14234.415933438475</v>
      </c>
      <c r="M27" s="35">
        <f t="shared" si="5"/>
        <v>14234.415933438475</v>
      </c>
      <c r="N27" s="35">
        <f t="shared" si="8"/>
        <v>14234.415933438475</v>
      </c>
      <c r="O27" s="35">
        <f t="shared" si="5"/>
        <v>14234.415933438475</v>
      </c>
      <c r="P27" s="35">
        <f t="shared" si="8"/>
        <v>14234.415933438475</v>
      </c>
      <c r="Q27" s="35">
        <f t="shared" si="5"/>
        <v>14234.415933438475</v>
      </c>
      <c r="R27" s="35">
        <f t="shared" si="8"/>
        <v>14234.415933438475</v>
      </c>
      <c r="S27" s="35">
        <f t="shared" si="5"/>
        <v>14234.415933438475</v>
      </c>
      <c r="T27" s="35">
        <f t="shared" si="5"/>
        <v>14234.415933438475</v>
      </c>
      <c r="U27" s="35">
        <f t="shared" si="6"/>
        <v>14234.415933438475</v>
      </c>
      <c r="V27" s="35">
        <f t="shared" si="6"/>
        <v>14234.415933438475</v>
      </c>
      <c r="W27" s="35">
        <f t="shared" si="6"/>
        <v>14234.415933438475</v>
      </c>
      <c r="X27" s="35">
        <f t="shared" si="6"/>
        <v>14234.415933438475</v>
      </c>
      <c r="Y27" s="35">
        <f t="shared" si="6"/>
        <v>14234.415933438475</v>
      </c>
      <c r="Z27" s="35">
        <f t="shared" si="6"/>
        <v>14234.415933438475</v>
      </c>
      <c r="AA27" s="35">
        <f t="shared" si="7"/>
        <v>341625.98240252322</v>
      </c>
      <c r="AB27" s="28">
        <f t="shared" si="4"/>
        <v>31</v>
      </c>
      <c r="AC27" s="29">
        <v>10590405.454478225</v>
      </c>
      <c r="AD27" s="37"/>
      <c r="AE27"/>
    </row>
    <row r="28" spans="1:33" ht="15">
      <c r="A28" s="23">
        <f t="shared" si="1"/>
        <v>2027</v>
      </c>
      <c r="B28" s="27">
        <v>46692</v>
      </c>
      <c r="C28" s="35">
        <f t="shared" si="8"/>
        <v>15036.611273940267</v>
      </c>
      <c r="D28" s="35">
        <f t="shared" si="8"/>
        <v>15036.611273940267</v>
      </c>
      <c r="E28" s="35">
        <f t="shared" si="5"/>
        <v>15036.611273940267</v>
      </c>
      <c r="F28" s="35">
        <f t="shared" si="8"/>
        <v>15036.611273940267</v>
      </c>
      <c r="G28" s="35">
        <f t="shared" si="5"/>
        <v>15036.611273940267</v>
      </c>
      <c r="H28" s="35">
        <f t="shared" si="8"/>
        <v>15036.611273940267</v>
      </c>
      <c r="I28" s="35">
        <f t="shared" si="5"/>
        <v>15036.611273940267</v>
      </c>
      <c r="J28" s="35">
        <f t="shared" si="8"/>
        <v>15036.611273940267</v>
      </c>
      <c r="K28" s="35">
        <f t="shared" si="5"/>
        <v>15036.611273940267</v>
      </c>
      <c r="L28" s="35">
        <f t="shared" si="8"/>
        <v>15036.611273940267</v>
      </c>
      <c r="M28" s="35">
        <f t="shared" si="5"/>
        <v>15036.611273940267</v>
      </c>
      <c r="N28" s="35">
        <f t="shared" si="8"/>
        <v>15036.611273940267</v>
      </c>
      <c r="O28" s="35">
        <f t="shared" si="5"/>
        <v>15036.611273940267</v>
      </c>
      <c r="P28" s="35">
        <f t="shared" si="8"/>
        <v>15036.611273940267</v>
      </c>
      <c r="Q28" s="35">
        <f t="shared" si="5"/>
        <v>15036.611273940267</v>
      </c>
      <c r="R28" s="35">
        <f t="shared" si="8"/>
        <v>15036.611273940267</v>
      </c>
      <c r="S28" s="35">
        <f t="shared" si="5"/>
        <v>15036.611273940267</v>
      </c>
      <c r="T28" s="35">
        <f t="shared" si="5"/>
        <v>15036.611273940267</v>
      </c>
      <c r="U28" s="35">
        <f t="shared" si="6"/>
        <v>15036.611273940267</v>
      </c>
      <c r="V28" s="35">
        <f t="shared" si="6"/>
        <v>15036.611273940267</v>
      </c>
      <c r="W28" s="35">
        <f t="shared" si="6"/>
        <v>15036.611273940267</v>
      </c>
      <c r="X28" s="35">
        <f t="shared" si="6"/>
        <v>15036.611273940267</v>
      </c>
      <c r="Y28" s="35">
        <f t="shared" si="6"/>
        <v>15036.611273940267</v>
      </c>
      <c r="Z28" s="35">
        <f t="shared" si="6"/>
        <v>15036.611273940267</v>
      </c>
      <c r="AA28" s="35">
        <f t="shared" si="7"/>
        <v>360878.67057456635</v>
      </c>
      <c r="AB28" s="28">
        <f t="shared" si="4"/>
        <v>30</v>
      </c>
      <c r="AC28" s="29">
        <v>10826360.117236992</v>
      </c>
      <c r="AD28" s="37"/>
      <c r="AE28"/>
    </row>
    <row r="29" spans="1:33" ht="15">
      <c r="A29" s="23">
        <f t="shared" si="1"/>
        <v>2027</v>
      </c>
      <c r="B29" s="27">
        <v>46722</v>
      </c>
      <c r="C29" s="35">
        <f t="shared" si="8"/>
        <v>14234.415933438475</v>
      </c>
      <c r="D29" s="35">
        <f t="shared" si="8"/>
        <v>14234.415933438475</v>
      </c>
      <c r="E29" s="35">
        <f t="shared" si="5"/>
        <v>14234.415933438475</v>
      </c>
      <c r="F29" s="35">
        <f t="shared" si="8"/>
        <v>14234.415933438475</v>
      </c>
      <c r="G29" s="35">
        <f t="shared" si="5"/>
        <v>14234.415933438475</v>
      </c>
      <c r="H29" s="35">
        <f t="shared" si="8"/>
        <v>14234.415933438475</v>
      </c>
      <c r="I29" s="35">
        <f t="shared" si="5"/>
        <v>14234.415933438475</v>
      </c>
      <c r="J29" s="35">
        <f t="shared" si="8"/>
        <v>14234.415933438475</v>
      </c>
      <c r="K29" s="35">
        <f t="shared" si="5"/>
        <v>14234.415933438475</v>
      </c>
      <c r="L29" s="35">
        <f t="shared" si="8"/>
        <v>14234.415933438475</v>
      </c>
      <c r="M29" s="35">
        <f t="shared" si="5"/>
        <v>14234.415933438475</v>
      </c>
      <c r="N29" s="35">
        <f t="shared" si="8"/>
        <v>14234.415933438475</v>
      </c>
      <c r="O29" s="35">
        <f t="shared" si="5"/>
        <v>14234.415933438475</v>
      </c>
      <c r="P29" s="35">
        <f t="shared" si="8"/>
        <v>14234.415933438475</v>
      </c>
      <c r="Q29" s="35">
        <f t="shared" si="5"/>
        <v>14234.415933438475</v>
      </c>
      <c r="R29" s="35">
        <f t="shared" si="8"/>
        <v>14234.415933438475</v>
      </c>
      <c r="S29" s="35">
        <f t="shared" si="5"/>
        <v>14234.415933438475</v>
      </c>
      <c r="T29" s="35">
        <f t="shared" si="5"/>
        <v>14234.415933438475</v>
      </c>
      <c r="U29" s="35">
        <f t="shared" si="6"/>
        <v>14234.415933438475</v>
      </c>
      <c r="V29" s="35">
        <f t="shared" si="6"/>
        <v>14234.415933438475</v>
      </c>
      <c r="W29" s="35">
        <f t="shared" si="6"/>
        <v>14234.415933438475</v>
      </c>
      <c r="X29" s="35">
        <f t="shared" si="6"/>
        <v>14234.415933438475</v>
      </c>
      <c r="Y29" s="35">
        <f t="shared" si="6"/>
        <v>14234.415933438475</v>
      </c>
      <c r="Z29" s="35">
        <f t="shared" si="6"/>
        <v>14234.415933438475</v>
      </c>
      <c r="AA29" s="35">
        <f t="shared" si="7"/>
        <v>341625.98240252322</v>
      </c>
      <c r="AB29" s="28">
        <f t="shared" si="4"/>
        <v>31</v>
      </c>
      <c r="AC29" s="29">
        <v>10590405.454478225</v>
      </c>
      <c r="AD29" s="37"/>
      <c r="AE29"/>
    </row>
    <row r="30" spans="1:33" ht="15">
      <c r="A30" s="23">
        <f t="shared" si="1"/>
        <v>2028</v>
      </c>
      <c r="B30" s="27">
        <v>46753</v>
      </c>
      <c r="C30" s="35">
        <f t="shared" si="8"/>
        <v>18344.001933438474</v>
      </c>
      <c r="D30" s="35">
        <f t="shared" si="8"/>
        <v>18344.001933438474</v>
      </c>
      <c r="E30" s="35">
        <f t="shared" si="5"/>
        <v>18344.001933438474</v>
      </c>
      <c r="F30" s="35">
        <f t="shared" si="8"/>
        <v>18344.001933438474</v>
      </c>
      <c r="G30" s="35">
        <f t="shared" si="5"/>
        <v>18344.001933438474</v>
      </c>
      <c r="H30" s="35">
        <f t="shared" si="8"/>
        <v>18344.001933438474</v>
      </c>
      <c r="I30" s="35">
        <f t="shared" si="5"/>
        <v>18344.001933438474</v>
      </c>
      <c r="J30" s="35">
        <f t="shared" si="8"/>
        <v>18344.001933438474</v>
      </c>
      <c r="K30" s="35">
        <f t="shared" si="5"/>
        <v>18344.001933438474</v>
      </c>
      <c r="L30" s="35">
        <f t="shared" si="8"/>
        <v>18344.001933438474</v>
      </c>
      <c r="M30" s="35">
        <f t="shared" si="5"/>
        <v>18344.001933438474</v>
      </c>
      <c r="N30" s="35">
        <f t="shared" si="8"/>
        <v>18344.001933438474</v>
      </c>
      <c r="O30" s="35">
        <f t="shared" si="5"/>
        <v>18344.001933438474</v>
      </c>
      <c r="P30" s="35">
        <f t="shared" si="8"/>
        <v>18344.001933438474</v>
      </c>
      <c r="Q30" s="35">
        <f t="shared" si="5"/>
        <v>18344.001933438474</v>
      </c>
      <c r="R30" s="35">
        <f t="shared" si="8"/>
        <v>18344.001933438474</v>
      </c>
      <c r="S30" s="35">
        <f t="shared" si="5"/>
        <v>18344.001933438474</v>
      </c>
      <c r="T30" s="35">
        <f t="shared" si="5"/>
        <v>18344.001933438474</v>
      </c>
      <c r="U30" s="35">
        <f t="shared" si="6"/>
        <v>18344.001933438474</v>
      </c>
      <c r="V30" s="35">
        <f t="shared" si="6"/>
        <v>18344.001933438474</v>
      </c>
      <c r="W30" s="35">
        <f t="shared" si="6"/>
        <v>18344.001933438474</v>
      </c>
      <c r="X30" s="35">
        <f t="shared" si="6"/>
        <v>18344.001933438474</v>
      </c>
      <c r="Y30" s="35">
        <f t="shared" si="6"/>
        <v>18344.001933438474</v>
      </c>
      <c r="Z30" s="35">
        <f t="shared" si="6"/>
        <v>18344.001933438474</v>
      </c>
      <c r="AA30" s="35">
        <f>SUM(C30:Z30)</f>
        <v>440256.04640252335</v>
      </c>
      <c r="AB30" s="28">
        <f t="shared" ref="AB30:AB40" si="9">DAY(EOMONTH(B30,0))</f>
        <v>31</v>
      </c>
      <c r="AC30" s="29">
        <v>13647937.438478226</v>
      </c>
      <c r="AD30" s="37"/>
      <c r="AE30"/>
    </row>
    <row r="31" spans="1:33" ht="15">
      <c r="A31" s="23">
        <f t="shared" si="1"/>
        <v>2028</v>
      </c>
      <c r="B31" s="27">
        <v>46784</v>
      </c>
      <c r="C31" s="35">
        <f t="shared" si="8"/>
        <v>20003.716431028392</v>
      </c>
      <c r="D31" s="35">
        <f t="shared" si="8"/>
        <v>20003.716431028392</v>
      </c>
      <c r="E31" s="35">
        <f t="shared" si="5"/>
        <v>20003.716431028392</v>
      </c>
      <c r="F31" s="35">
        <f t="shared" si="8"/>
        <v>20003.716431028392</v>
      </c>
      <c r="G31" s="35">
        <f t="shared" si="5"/>
        <v>20003.716431028392</v>
      </c>
      <c r="H31" s="35">
        <f t="shared" si="8"/>
        <v>20003.716431028392</v>
      </c>
      <c r="I31" s="35">
        <f t="shared" si="5"/>
        <v>20003.716431028392</v>
      </c>
      <c r="J31" s="35">
        <f t="shared" si="8"/>
        <v>20003.716431028392</v>
      </c>
      <c r="K31" s="35">
        <f t="shared" si="5"/>
        <v>20003.716431028392</v>
      </c>
      <c r="L31" s="35">
        <f t="shared" si="8"/>
        <v>20003.716431028392</v>
      </c>
      <c r="M31" s="35">
        <f t="shared" si="5"/>
        <v>20003.716431028392</v>
      </c>
      <c r="N31" s="35">
        <f t="shared" si="8"/>
        <v>20003.716431028392</v>
      </c>
      <c r="O31" s="35">
        <f t="shared" si="5"/>
        <v>20003.716431028392</v>
      </c>
      <c r="P31" s="35">
        <f t="shared" si="8"/>
        <v>20003.716431028392</v>
      </c>
      <c r="Q31" s="35">
        <f t="shared" si="5"/>
        <v>20003.716431028392</v>
      </c>
      <c r="R31" s="35">
        <f t="shared" si="8"/>
        <v>20003.716431028392</v>
      </c>
      <c r="S31" s="35">
        <f t="shared" si="5"/>
        <v>20003.716431028392</v>
      </c>
      <c r="T31" s="35">
        <f t="shared" si="5"/>
        <v>20003.716431028392</v>
      </c>
      <c r="U31" s="35">
        <f t="shared" si="6"/>
        <v>20003.716431028392</v>
      </c>
      <c r="V31" s="35">
        <f t="shared" si="6"/>
        <v>20003.716431028392</v>
      </c>
      <c r="W31" s="35">
        <f t="shared" si="6"/>
        <v>20003.716431028392</v>
      </c>
      <c r="X31" s="35">
        <f t="shared" si="6"/>
        <v>20003.716431028392</v>
      </c>
      <c r="Y31" s="35">
        <f t="shared" si="6"/>
        <v>20003.716431028392</v>
      </c>
      <c r="Z31" s="35">
        <f t="shared" si="6"/>
        <v>20003.716431028392</v>
      </c>
      <c r="AA31" s="35">
        <f t="shared" ref="AA31:AA40" si="10">SUM(C31:Z31)</f>
        <v>480089.19434468128</v>
      </c>
      <c r="AB31" s="28">
        <f t="shared" si="9"/>
        <v>29</v>
      </c>
      <c r="AC31" s="29">
        <v>13922586.635995761</v>
      </c>
      <c r="AD31" s="37"/>
      <c r="AE31"/>
    </row>
    <row r="32" spans="1:33" ht="15">
      <c r="A32" s="23">
        <f t="shared" si="1"/>
        <v>2028</v>
      </c>
      <c r="B32" s="27">
        <v>46813</v>
      </c>
      <c r="C32" s="35">
        <f t="shared" si="8"/>
        <v>18344.001933438474</v>
      </c>
      <c r="D32" s="35">
        <f t="shared" si="8"/>
        <v>18344.001933438474</v>
      </c>
      <c r="E32" s="35">
        <f t="shared" si="5"/>
        <v>18344.001933438474</v>
      </c>
      <c r="F32" s="35">
        <f t="shared" si="8"/>
        <v>18344.001933438474</v>
      </c>
      <c r="G32" s="35">
        <f t="shared" si="5"/>
        <v>18344.001933438474</v>
      </c>
      <c r="H32" s="35">
        <f t="shared" si="8"/>
        <v>18344.001933438474</v>
      </c>
      <c r="I32" s="35">
        <f t="shared" si="5"/>
        <v>18344.001933438474</v>
      </c>
      <c r="J32" s="35">
        <f t="shared" si="8"/>
        <v>18344.001933438474</v>
      </c>
      <c r="K32" s="35">
        <f t="shared" si="5"/>
        <v>18344.001933438474</v>
      </c>
      <c r="L32" s="35">
        <f t="shared" si="8"/>
        <v>18344.001933438474</v>
      </c>
      <c r="M32" s="35">
        <f t="shared" si="5"/>
        <v>18344.001933438474</v>
      </c>
      <c r="N32" s="35">
        <f t="shared" si="8"/>
        <v>18344.001933438474</v>
      </c>
      <c r="O32" s="35">
        <f t="shared" si="5"/>
        <v>18344.001933438474</v>
      </c>
      <c r="P32" s="35">
        <f t="shared" si="8"/>
        <v>18344.001933438474</v>
      </c>
      <c r="Q32" s="35">
        <f t="shared" si="5"/>
        <v>18344.001933438474</v>
      </c>
      <c r="R32" s="35">
        <f t="shared" si="8"/>
        <v>18344.001933438474</v>
      </c>
      <c r="S32" s="35">
        <f t="shared" si="5"/>
        <v>18344.001933438474</v>
      </c>
      <c r="T32" s="35">
        <f t="shared" si="5"/>
        <v>18344.001933438474</v>
      </c>
      <c r="U32" s="35">
        <f t="shared" si="6"/>
        <v>18344.001933438474</v>
      </c>
      <c r="V32" s="35">
        <f t="shared" si="6"/>
        <v>18344.001933438474</v>
      </c>
      <c r="W32" s="35">
        <f t="shared" si="6"/>
        <v>18344.001933438474</v>
      </c>
      <c r="X32" s="35">
        <f t="shared" si="6"/>
        <v>18344.001933438474</v>
      </c>
      <c r="Y32" s="35">
        <f t="shared" si="6"/>
        <v>18344.001933438474</v>
      </c>
      <c r="Z32" s="35">
        <f t="shared" si="6"/>
        <v>18344.001933438474</v>
      </c>
      <c r="AA32" s="35">
        <f t="shared" si="10"/>
        <v>440256.04640252335</v>
      </c>
      <c r="AB32" s="28">
        <f t="shared" si="9"/>
        <v>31</v>
      </c>
      <c r="AC32" s="29">
        <v>13647937.438478226</v>
      </c>
      <c r="AD32" s="37"/>
      <c r="AE32"/>
    </row>
    <row r="33" spans="1:31" ht="15">
      <c r="A33" s="23">
        <f t="shared" si="1"/>
        <v>2028</v>
      </c>
      <c r="B33" s="27">
        <v>46844</v>
      </c>
      <c r="C33" s="35">
        <f t="shared" si="8"/>
        <v>19146.197273940266</v>
      </c>
      <c r="D33" s="35">
        <f t="shared" si="8"/>
        <v>19146.197273940266</v>
      </c>
      <c r="E33" s="35">
        <f t="shared" si="8"/>
        <v>19146.197273940266</v>
      </c>
      <c r="F33" s="35">
        <f t="shared" si="8"/>
        <v>19146.197273940266</v>
      </c>
      <c r="G33" s="35">
        <f t="shared" si="8"/>
        <v>19146.197273940266</v>
      </c>
      <c r="H33" s="35">
        <f t="shared" si="8"/>
        <v>19146.197273940266</v>
      </c>
      <c r="I33" s="35">
        <f t="shared" si="8"/>
        <v>19146.197273940266</v>
      </c>
      <c r="J33" s="35">
        <f t="shared" si="8"/>
        <v>19146.197273940266</v>
      </c>
      <c r="K33" s="35">
        <f t="shared" si="8"/>
        <v>19146.197273940266</v>
      </c>
      <c r="L33" s="35">
        <f t="shared" si="8"/>
        <v>19146.197273940266</v>
      </c>
      <c r="M33" s="35">
        <f t="shared" si="8"/>
        <v>19146.197273940266</v>
      </c>
      <c r="N33" s="35">
        <f t="shared" si="8"/>
        <v>19146.197273940266</v>
      </c>
      <c r="O33" s="35">
        <f t="shared" si="8"/>
        <v>19146.197273940266</v>
      </c>
      <c r="P33" s="35">
        <f t="shared" si="8"/>
        <v>19146.197273940266</v>
      </c>
      <c r="Q33" s="35">
        <f t="shared" si="8"/>
        <v>19146.197273940266</v>
      </c>
      <c r="R33" s="35">
        <f t="shared" si="8"/>
        <v>19146.197273940266</v>
      </c>
      <c r="S33" s="35">
        <f t="shared" ref="S33:Z48" si="11">($AC33/$AB33)/24</f>
        <v>19146.197273940266</v>
      </c>
      <c r="T33" s="35">
        <f t="shared" si="11"/>
        <v>19146.197273940266</v>
      </c>
      <c r="U33" s="35">
        <f t="shared" si="11"/>
        <v>19146.197273940266</v>
      </c>
      <c r="V33" s="35">
        <f t="shared" si="11"/>
        <v>19146.197273940266</v>
      </c>
      <c r="W33" s="35">
        <f t="shared" si="11"/>
        <v>19146.197273940266</v>
      </c>
      <c r="X33" s="35">
        <f t="shared" si="11"/>
        <v>19146.197273940266</v>
      </c>
      <c r="Y33" s="35">
        <f t="shared" si="11"/>
        <v>19146.197273940266</v>
      </c>
      <c r="Z33" s="35">
        <f t="shared" si="11"/>
        <v>19146.197273940266</v>
      </c>
      <c r="AA33" s="35">
        <f t="shared" si="10"/>
        <v>459508.73457456625</v>
      </c>
      <c r="AB33" s="28">
        <f t="shared" si="9"/>
        <v>30</v>
      </c>
      <c r="AC33" s="29">
        <v>13785262.037236992</v>
      </c>
      <c r="AD33" s="37"/>
      <c r="AE33"/>
    </row>
    <row r="34" spans="1:31" ht="15">
      <c r="A34" s="23">
        <f t="shared" si="1"/>
        <v>2028</v>
      </c>
      <c r="B34" s="27">
        <v>46874</v>
      </c>
      <c r="C34" s="35">
        <f t="shared" si="8"/>
        <v>18344.001933438474</v>
      </c>
      <c r="D34" s="35">
        <f t="shared" si="8"/>
        <v>18344.001933438474</v>
      </c>
      <c r="E34" s="35">
        <f t="shared" si="8"/>
        <v>18344.001933438474</v>
      </c>
      <c r="F34" s="35">
        <f t="shared" si="8"/>
        <v>18344.001933438474</v>
      </c>
      <c r="G34" s="35">
        <f t="shared" si="8"/>
        <v>18344.001933438474</v>
      </c>
      <c r="H34" s="35">
        <f t="shared" si="8"/>
        <v>18344.001933438474</v>
      </c>
      <c r="I34" s="35">
        <f t="shared" si="8"/>
        <v>18344.001933438474</v>
      </c>
      <c r="J34" s="35">
        <f t="shared" si="8"/>
        <v>18344.001933438474</v>
      </c>
      <c r="K34" s="35">
        <f t="shared" si="8"/>
        <v>18344.001933438474</v>
      </c>
      <c r="L34" s="35">
        <f t="shared" si="8"/>
        <v>18344.001933438474</v>
      </c>
      <c r="M34" s="35">
        <f t="shared" si="8"/>
        <v>18344.001933438474</v>
      </c>
      <c r="N34" s="35">
        <f t="shared" si="8"/>
        <v>18344.001933438474</v>
      </c>
      <c r="O34" s="35">
        <f t="shared" si="8"/>
        <v>18344.001933438474</v>
      </c>
      <c r="P34" s="35">
        <f t="shared" si="8"/>
        <v>18344.001933438474</v>
      </c>
      <c r="Q34" s="35">
        <f t="shared" si="8"/>
        <v>18344.001933438474</v>
      </c>
      <c r="R34" s="35">
        <f t="shared" si="8"/>
        <v>18344.001933438474</v>
      </c>
      <c r="S34" s="35">
        <f t="shared" si="11"/>
        <v>18344.001933438474</v>
      </c>
      <c r="T34" s="35">
        <f t="shared" si="11"/>
        <v>18344.001933438474</v>
      </c>
      <c r="U34" s="35">
        <f t="shared" si="11"/>
        <v>18344.001933438474</v>
      </c>
      <c r="V34" s="35">
        <f t="shared" si="11"/>
        <v>18344.001933438474</v>
      </c>
      <c r="W34" s="35">
        <f t="shared" si="11"/>
        <v>18344.001933438474</v>
      </c>
      <c r="X34" s="35">
        <f t="shared" si="11"/>
        <v>18344.001933438474</v>
      </c>
      <c r="Y34" s="35">
        <f t="shared" si="11"/>
        <v>18344.001933438474</v>
      </c>
      <c r="Z34" s="35">
        <f t="shared" si="11"/>
        <v>18344.001933438474</v>
      </c>
      <c r="AA34" s="35">
        <f t="shared" si="10"/>
        <v>440256.04640252335</v>
      </c>
      <c r="AB34" s="28">
        <f t="shared" si="9"/>
        <v>31</v>
      </c>
      <c r="AC34" s="29">
        <v>13647937.438478226</v>
      </c>
      <c r="AD34" s="37"/>
      <c r="AE34"/>
    </row>
    <row r="35" spans="1:31" ht="15">
      <c r="A35" s="23">
        <f t="shared" si="1"/>
        <v>2028</v>
      </c>
      <c r="B35" s="27">
        <v>46905</v>
      </c>
      <c r="C35" s="35">
        <f t="shared" si="8"/>
        <v>19146.197273940266</v>
      </c>
      <c r="D35" s="35">
        <f t="shared" si="8"/>
        <v>19146.197273940266</v>
      </c>
      <c r="E35" s="35">
        <f t="shared" si="8"/>
        <v>19146.197273940266</v>
      </c>
      <c r="F35" s="35">
        <f t="shared" si="8"/>
        <v>19146.197273940266</v>
      </c>
      <c r="G35" s="35">
        <f t="shared" si="8"/>
        <v>19146.197273940266</v>
      </c>
      <c r="H35" s="35">
        <f t="shared" si="8"/>
        <v>19146.197273940266</v>
      </c>
      <c r="I35" s="35">
        <f t="shared" si="8"/>
        <v>19146.197273940266</v>
      </c>
      <c r="J35" s="35">
        <f t="shared" si="8"/>
        <v>19146.197273940266</v>
      </c>
      <c r="K35" s="35">
        <f t="shared" si="8"/>
        <v>19146.197273940266</v>
      </c>
      <c r="L35" s="35">
        <f t="shared" si="8"/>
        <v>19146.197273940266</v>
      </c>
      <c r="M35" s="35">
        <f t="shared" si="8"/>
        <v>19146.197273940266</v>
      </c>
      <c r="N35" s="35">
        <f t="shared" si="8"/>
        <v>19146.197273940266</v>
      </c>
      <c r="O35" s="35">
        <f t="shared" si="8"/>
        <v>19146.197273940266</v>
      </c>
      <c r="P35" s="35">
        <f t="shared" si="8"/>
        <v>19146.197273940266</v>
      </c>
      <c r="Q35" s="35">
        <f t="shared" si="8"/>
        <v>19146.197273940266</v>
      </c>
      <c r="R35" s="35">
        <f t="shared" si="8"/>
        <v>19146.197273940266</v>
      </c>
      <c r="S35" s="35">
        <f t="shared" si="11"/>
        <v>19146.197273940266</v>
      </c>
      <c r="T35" s="35">
        <f t="shared" si="11"/>
        <v>19146.197273940266</v>
      </c>
      <c r="U35" s="35">
        <f t="shared" si="11"/>
        <v>19146.197273940266</v>
      </c>
      <c r="V35" s="35">
        <f t="shared" si="11"/>
        <v>19146.197273940266</v>
      </c>
      <c r="W35" s="35">
        <f t="shared" si="11"/>
        <v>19146.197273940266</v>
      </c>
      <c r="X35" s="35">
        <f t="shared" si="11"/>
        <v>19146.197273940266</v>
      </c>
      <c r="Y35" s="35">
        <f t="shared" si="11"/>
        <v>19146.197273940266</v>
      </c>
      <c r="Z35" s="35">
        <f t="shared" si="11"/>
        <v>19146.197273940266</v>
      </c>
      <c r="AA35" s="35">
        <f t="shared" si="10"/>
        <v>459508.73457456625</v>
      </c>
      <c r="AB35" s="28">
        <f t="shared" si="9"/>
        <v>30</v>
      </c>
      <c r="AC35" s="29">
        <v>13785262.037236992</v>
      </c>
      <c r="AD35" s="37"/>
      <c r="AE35"/>
    </row>
    <row r="36" spans="1:31" ht="15">
      <c r="A36" s="23">
        <f t="shared" si="1"/>
        <v>2028</v>
      </c>
      <c r="B36" s="27">
        <v>46935</v>
      </c>
      <c r="C36" s="35">
        <f t="shared" si="8"/>
        <v>18344.001933438471</v>
      </c>
      <c r="D36" s="35">
        <f t="shared" si="8"/>
        <v>18344.001933438471</v>
      </c>
      <c r="E36" s="35">
        <f t="shared" si="8"/>
        <v>18344.001933438471</v>
      </c>
      <c r="F36" s="35">
        <f t="shared" si="8"/>
        <v>18344.001933438471</v>
      </c>
      <c r="G36" s="35">
        <f t="shared" si="8"/>
        <v>18344.001933438471</v>
      </c>
      <c r="H36" s="35">
        <f t="shared" si="8"/>
        <v>18344.001933438471</v>
      </c>
      <c r="I36" s="35">
        <f t="shared" si="8"/>
        <v>18344.001933438471</v>
      </c>
      <c r="J36" s="35">
        <f t="shared" si="8"/>
        <v>18344.001933438471</v>
      </c>
      <c r="K36" s="35">
        <f t="shared" si="8"/>
        <v>18344.001933438471</v>
      </c>
      <c r="L36" s="35">
        <f t="shared" si="8"/>
        <v>18344.001933438471</v>
      </c>
      <c r="M36" s="35">
        <f t="shared" si="8"/>
        <v>18344.001933438471</v>
      </c>
      <c r="N36" s="35">
        <f t="shared" si="8"/>
        <v>18344.001933438471</v>
      </c>
      <c r="O36" s="35">
        <f t="shared" si="8"/>
        <v>18344.001933438471</v>
      </c>
      <c r="P36" s="35">
        <f t="shared" si="8"/>
        <v>18344.001933438471</v>
      </c>
      <c r="Q36" s="35">
        <f t="shared" si="8"/>
        <v>18344.001933438471</v>
      </c>
      <c r="R36" s="35">
        <f t="shared" si="8"/>
        <v>18344.001933438471</v>
      </c>
      <c r="S36" s="35">
        <f t="shared" si="11"/>
        <v>18344.001933438471</v>
      </c>
      <c r="T36" s="35">
        <f t="shared" si="11"/>
        <v>18344.001933438471</v>
      </c>
      <c r="U36" s="35">
        <f t="shared" si="11"/>
        <v>18344.001933438471</v>
      </c>
      <c r="V36" s="35">
        <f t="shared" si="11"/>
        <v>18344.001933438471</v>
      </c>
      <c r="W36" s="35">
        <f t="shared" si="11"/>
        <v>18344.001933438471</v>
      </c>
      <c r="X36" s="35">
        <f t="shared" si="11"/>
        <v>18344.001933438471</v>
      </c>
      <c r="Y36" s="35">
        <f t="shared" si="11"/>
        <v>18344.001933438471</v>
      </c>
      <c r="Z36" s="35">
        <f t="shared" si="11"/>
        <v>18344.001933438471</v>
      </c>
      <c r="AA36" s="35">
        <f t="shared" si="10"/>
        <v>440256.04640252329</v>
      </c>
      <c r="AB36" s="28">
        <f t="shared" si="9"/>
        <v>31</v>
      </c>
      <c r="AC36" s="29">
        <v>13647937.438478222</v>
      </c>
      <c r="AD36" s="37"/>
      <c r="AE36"/>
    </row>
    <row r="37" spans="1:31" ht="15">
      <c r="A37" s="23">
        <f t="shared" si="1"/>
        <v>2028</v>
      </c>
      <c r="B37" s="27">
        <v>46966</v>
      </c>
      <c r="C37" s="35">
        <f t="shared" si="8"/>
        <v>18344.001933438478</v>
      </c>
      <c r="D37" s="35">
        <f t="shared" si="8"/>
        <v>18344.001933438478</v>
      </c>
      <c r="E37" s="35">
        <f t="shared" si="8"/>
        <v>18344.001933438478</v>
      </c>
      <c r="F37" s="35">
        <f t="shared" si="8"/>
        <v>18344.001933438478</v>
      </c>
      <c r="G37" s="35">
        <f t="shared" si="8"/>
        <v>18344.001933438478</v>
      </c>
      <c r="H37" s="35">
        <f t="shared" si="8"/>
        <v>18344.001933438478</v>
      </c>
      <c r="I37" s="35">
        <f t="shared" si="8"/>
        <v>18344.001933438478</v>
      </c>
      <c r="J37" s="35">
        <f t="shared" si="8"/>
        <v>18344.001933438478</v>
      </c>
      <c r="K37" s="35">
        <f t="shared" si="8"/>
        <v>18344.001933438478</v>
      </c>
      <c r="L37" s="35">
        <f t="shared" si="8"/>
        <v>18344.001933438478</v>
      </c>
      <c r="M37" s="35">
        <f t="shared" si="8"/>
        <v>18344.001933438478</v>
      </c>
      <c r="N37" s="35">
        <f t="shared" si="8"/>
        <v>18344.001933438478</v>
      </c>
      <c r="O37" s="35">
        <f t="shared" si="8"/>
        <v>18344.001933438478</v>
      </c>
      <c r="P37" s="35">
        <f t="shared" si="8"/>
        <v>18344.001933438478</v>
      </c>
      <c r="Q37" s="35">
        <f t="shared" si="8"/>
        <v>18344.001933438478</v>
      </c>
      <c r="R37" s="35">
        <f t="shared" si="8"/>
        <v>18344.001933438478</v>
      </c>
      <c r="S37" s="35">
        <f t="shared" si="11"/>
        <v>18344.001933438478</v>
      </c>
      <c r="T37" s="35">
        <f t="shared" si="11"/>
        <v>18344.001933438478</v>
      </c>
      <c r="U37" s="35">
        <f t="shared" si="11"/>
        <v>18344.001933438478</v>
      </c>
      <c r="V37" s="35">
        <f t="shared" si="11"/>
        <v>18344.001933438478</v>
      </c>
      <c r="W37" s="35">
        <f t="shared" si="11"/>
        <v>18344.001933438478</v>
      </c>
      <c r="X37" s="35">
        <f t="shared" si="11"/>
        <v>18344.001933438478</v>
      </c>
      <c r="Y37" s="35">
        <f t="shared" si="11"/>
        <v>18344.001933438478</v>
      </c>
      <c r="Z37" s="35">
        <f t="shared" si="11"/>
        <v>18344.001933438478</v>
      </c>
      <c r="AA37" s="35">
        <f t="shared" si="10"/>
        <v>440256.04640252335</v>
      </c>
      <c r="AB37" s="28">
        <f t="shared" si="9"/>
        <v>31</v>
      </c>
      <c r="AC37" s="29">
        <v>13647937.438478228</v>
      </c>
      <c r="AD37" s="37"/>
      <c r="AE37"/>
    </row>
    <row r="38" spans="1:31" ht="15">
      <c r="A38" s="23">
        <f t="shared" si="1"/>
        <v>2028</v>
      </c>
      <c r="B38" s="27">
        <v>46997</v>
      </c>
      <c r="C38" s="35">
        <f t="shared" si="8"/>
        <v>19146.197273940266</v>
      </c>
      <c r="D38" s="35">
        <f t="shared" si="8"/>
        <v>19146.197273940266</v>
      </c>
      <c r="E38" s="35">
        <f t="shared" si="8"/>
        <v>19146.197273940266</v>
      </c>
      <c r="F38" s="35">
        <f t="shared" si="8"/>
        <v>19146.197273940266</v>
      </c>
      <c r="G38" s="35">
        <f t="shared" si="8"/>
        <v>19146.197273940266</v>
      </c>
      <c r="H38" s="35">
        <f t="shared" si="8"/>
        <v>19146.197273940266</v>
      </c>
      <c r="I38" s="35">
        <f t="shared" si="8"/>
        <v>19146.197273940266</v>
      </c>
      <c r="J38" s="35">
        <f t="shared" si="8"/>
        <v>19146.197273940266</v>
      </c>
      <c r="K38" s="35">
        <f t="shared" si="8"/>
        <v>19146.197273940266</v>
      </c>
      <c r="L38" s="35">
        <f t="shared" si="8"/>
        <v>19146.197273940266</v>
      </c>
      <c r="M38" s="35">
        <f t="shared" si="8"/>
        <v>19146.197273940266</v>
      </c>
      <c r="N38" s="35">
        <f t="shared" si="8"/>
        <v>19146.197273940266</v>
      </c>
      <c r="O38" s="35">
        <f t="shared" si="8"/>
        <v>19146.197273940266</v>
      </c>
      <c r="P38" s="35">
        <f t="shared" si="8"/>
        <v>19146.197273940266</v>
      </c>
      <c r="Q38" s="35">
        <f t="shared" si="8"/>
        <v>19146.197273940266</v>
      </c>
      <c r="R38" s="35">
        <f t="shared" si="8"/>
        <v>19146.197273940266</v>
      </c>
      <c r="S38" s="35">
        <f t="shared" si="11"/>
        <v>19146.197273940266</v>
      </c>
      <c r="T38" s="35">
        <f t="shared" si="11"/>
        <v>19146.197273940266</v>
      </c>
      <c r="U38" s="35">
        <f t="shared" si="11"/>
        <v>19146.197273940266</v>
      </c>
      <c r="V38" s="35">
        <f t="shared" si="11"/>
        <v>19146.197273940266</v>
      </c>
      <c r="W38" s="35">
        <f t="shared" si="11"/>
        <v>19146.197273940266</v>
      </c>
      <c r="X38" s="35">
        <f t="shared" si="11"/>
        <v>19146.197273940266</v>
      </c>
      <c r="Y38" s="35">
        <f t="shared" si="11"/>
        <v>19146.197273940266</v>
      </c>
      <c r="Z38" s="35">
        <f t="shared" si="11"/>
        <v>19146.197273940266</v>
      </c>
      <c r="AA38" s="35">
        <f t="shared" si="10"/>
        <v>459508.73457456625</v>
      </c>
      <c r="AB38" s="28">
        <f t="shared" si="9"/>
        <v>30</v>
      </c>
      <c r="AC38" s="29">
        <v>13785262.03723699</v>
      </c>
      <c r="AD38" s="37"/>
      <c r="AE38"/>
    </row>
    <row r="39" spans="1:31" ht="15">
      <c r="A39" s="23">
        <f t="shared" si="1"/>
        <v>2028</v>
      </c>
      <c r="B39" s="27">
        <v>47027</v>
      </c>
      <c r="C39" s="35">
        <f t="shared" ref="C39:R54" si="12">($AC39/$AB39)/24</f>
        <v>18344.001933438474</v>
      </c>
      <c r="D39" s="35">
        <f t="shared" si="12"/>
        <v>18344.001933438474</v>
      </c>
      <c r="E39" s="35">
        <f t="shared" si="12"/>
        <v>18344.001933438474</v>
      </c>
      <c r="F39" s="35">
        <f t="shared" si="12"/>
        <v>18344.001933438474</v>
      </c>
      <c r="G39" s="35">
        <f t="shared" si="12"/>
        <v>18344.001933438474</v>
      </c>
      <c r="H39" s="35">
        <f t="shared" si="12"/>
        <v>18344.001933438474</v>
      </c>
      <c r="I39" s="35">
        <f t="shared" si="12"/>
        <v>18344.001933438474</v>
      </c>
      <c r="J39" s="35">
        <f t="shared" si="12"/>
        <v>18344.001933438474</v>
      </c>
      <c r="K39" s="35">
        <f t="shared" si="12"/>
        <v>18344.001933438474</v>
      </c>
      <c r="L39" s="35">
        <f t="shared" si="12"/>
        <v>18344.001933438474</v>
      </c>
      <c r="M39" s="35">
        <f t="shared" si="12"/>
        <v>18344.001933438474</v>
      </c>
      <c r="N39" s="35">
        <f t="shared" si="12"/>
        <v>18344.001933438474</v>
      </c>
      <c r="O39" s="35">
        <f t="shared" si="12"/>
        <v>18344.001933438474</v>
      </c>
      <c r="P39" s="35">
        <f t="shared" si="12"/>
        <v>18344.001933438474</v>
      </c>
      <c r="Q39" s="35">
        <f t="shared" si="12"/>
        <v>18344.001933438474</v>
      </c>
      <c r="R39" s="35">
        <f t="shared" si="12"/>
        <v>18344.001933438474</v>
      </c>
      <c r="S39" s="35">
        <f t="shared" si="11"/>
        <v>18344.001933438474</v>
      </c>
      <c r="T39" s="35">
        <f t="shared" si="11"/>
        <v>18344.001933438474</v>
      </c>
      <c r="U39" s="35">
        <f t="shared" si="11"/>
        <v>18344.001933438474</v>
      </c>
      <c r="V39" s="35">
        <f t="shared" si="11"/>
        <v>18344.001933438474</v>
      </c>
      <c r="W39" s="35">
        <f t="shared" si="11"/>
        <v>18344.001933438474</v>
      </c>
      <c r="X39" s="35">
        <f t="shared" si="11"/>
        <v>18344.001933438474</v>
      </c>
      <c r="Y39" s="35">
        <f t="shared" si="11"/>
        <v>18344.001933438474</v>
      </c>
      <c r="Z39" s="35">
        <f t="shared" si="11"/>
        <v>18344.001933438474</v>
      </c>
      <c r="AA39" s="35">
        <f t="shared" si="10"/>
        <v>440256.04640252335</v>
      </c>
      <c r="AB39" s="28">
        <f t="shared" si="9"/>
        <v>31</v>
      </c>
      <c r="AC39" s="29">
        <v>13647937.438478226</v>
      </c>
      <c r="AD39" s="37"/>
      <c r="AE39"/>
    </row>
    <row r="40" spans="1:31" ht="15">
      <c r="A40" s="23">
        <f t="shared" si="1"/>
        <v>2028</v>
      </c>
      <c r="B40" s="27">
        <v>47058</v>
      </c>
      <c r="C40" s="35">
        <f t="shared" si="12"/>
        <v>19146.197273940266</v>
      </c>
      <c r="D40" s="35">
        <f t="shared" si="12"/>
        <v>19146.197273940266</v>
      </c>
      <c r="E40" s="35">
        <f t="shared" si="12"/>
        <v>19146.197273940266</v>
      </c>
      <c r="F40" s="35">
        <f t="shared" si="12"/>
        <v>19146.197273940266</v>
      </c>
      <c r="G40" s="35">
        <f t="shared" si="12"/>
        <v>19146.197273940266</v>
      </c>
      <c r="H40" s="35">
        <f t="shared" si="12"/>
        <v>19146.197273940266</v>
      </c>
      <c r="I40" s="35">
        <f t="shared" si="12"/>
        <v>19146.197273940266</v>
      </c>
      <c r="J40" s="35">
        <f t="shared" si="12"/>
        <v>19146.197273940266</v>
      </c>
      <c r="K40" s="35">
        <f t="shared" si="12"/>
        <v>19146.197273940266</v>
      </c>
      <c r="L40" s="35">
        <f t="shared" si="12"/>
        <v>19146.197273940266</v>
      </c>
      <c r="M40" s="35">
        <f t="shared" si="12"/>
        <v>19146.197273940266</v>
      </c>
      <c r="N40" s="35">
        <f t="shared" si="12"/>
        <v>19146.197273940266</v>
      </c>
      <c r="O40" s="35">
        <f t="shared" si="12"/>
        <v>19146.197273940266</v>
      </c>
      <c r="P40" s="35">
        <f t="shared" si="12"/>
        <v>19146.197273940266</v>
      </c>
      <c r="Q40" s="35">
        <f t="shared" si="12"/>
        <v>19146.197273940266</v>
      </c>
      <c r="R40" s="35">
        <f t="shared" si="12"/>
        <v>19146.197273940266</v>
      </c>
      <c r="S40" s="35">
        <f t="shared" si="11"/>
        <v>19146.197273940266</v>
      </c>
      <c r="T40" s="35">
        <f t="shared" si="11"/>
        <v>19146.197273940266</v>
      </c>
      <c r="U40" s="35">
        <f t="shared" si="11"/>
        <v>19146.197273940266</v>
      </c>
      <c r="V40" s="35">
        <f t="shared" si="11"/>
        <v>19146.197273940266</v>
      </c>
      <c r="W40" s="35">
        <f t="shared" si="11"/>
        <v>19146.197273940266</v>
      </c>
      <c r="X40" s="35">
        <f t="shared" si="11"/>
        <v>19146.197273940266</v>
      </c>
      <c r="Y40" s="35">
        <f t="shared" si="11"/>
        <v>19146.197273940266</v>
      </c>
      <c r="Z40" s="35">
        <f t="shared" si="11"/>
        <v>19146.197273940266</v>
      </c>
      <c r="AA40" s="35">
        <f t="shared" si="10"/>
        <v>459508.73457456625</v>
      </c>
      <c r="AB40" s="28">
        <f t="shared" si="9"/>
        <v>30</v>
      </c>
      <c r="AC40" s="29">
        <v>13785262.037236992</v>
      </c>
      <c r="AD40" s="37"/>
      <c r="AE40"/>
    </row>
    <row r="41" spans="1:31" ht="15">
      <c r="A41" s="23">
        <f t="shared" si="1"/>
        <v>2028</v>
      </c>
      <c r="B41" s="27">
        <v>47088</v>
      </c>
      <c r="C41" s="35">
        <f t="shared" si="12"/>
        <v>18344.001933438474</v>
      </c>
      <c r="D41" s="35">
        <f t="shared" si="12"/>
        <v>18344.001933438474</v>
      </c>
      <c r="E41" s="35">
        <f t="shared" si="12"/>
        <v>18344.001933438474</v>
      </c>
      <c r="F41" s="35">
        <f t="shared" si="12"/>
        <v>18344.001933438474</v>
      </c>
      <c r="G41" s="35">
        <f t="shared" si="12"/>
        <v>18344.001933438474</v>
      </c>
      <c r="H41" s="35">
        <f t="shared" si="12"/>
        <v>18344.001933438474</v>
      </c>
      <c r="I41" s="35">
        <f t="shared" si="12"/>
        <v>18344.001933438474</v>
      </c>
      <c r="J41" s="35">
        <f t="shared" si="12"/>
        <v>18344.001933438474</v>
      </c>
      <c r="K41" s="35">
        <f t="shared" si="12"/>
        <v>18344.001933438474</v>
      </c>
      <c r="L41" s="35">
        <f t="shared" si="12"/>
        <v>18344.001933438474</v>
      </c>
      <c r="M41" s="35">
        <f t="shared" si="12"/>
        <v>18344.001933438474</v>
      </c>
      <c r="N41" s="35">
        <f t="shared" si="12"/>
        <v>18344.001933438474</v>
      </c>
      <c r="O41" s="35">
        <f t="shared" si="12"/>
        <v>18344.001933438474</v>
      </c>
      <c r="P41" s="35">
        <f t="shared" si="12"/>
        <v>18344.001933438474</v>
      </c>
      <c r="Q41" s="35">
        <f t="shared" si="12"/>
        <v>18344.001933438474</v>
      </c>
      <c r="R41" s="35">
        <f t="shared" si="12"/>
        <v>18344.001933438474</v>
      </c>
      <c r="S41" s="35">
        <f t="shared" si="11"/>
        <v>18344.001933438474</v>
      </c>
      <c r="T41" s="35">
        <f t="shared" si="11"/>
        <v>18344.001933438474</v>
      </c>
      <c r="U41" s="35">
        <f t="shared" si="11"/>
        <v>18344.001933438474</v>
      </c>
      <c r="V41" s="35">
        <f t="shared" si="11"/>
        <v>18344.001933438474</v>
      </c>
      <c r="W41" s="35">
        <f t="shared" si="11"/>
        <v>18344.001933438474</v>
      </c>
      <c r="X41" s="35">
        <f t="shared" si="11"/>
        <v>18344.001933438474</v>
      </c>
      <c r="Y41" s="35">
        <f t="shared" si="11"/>
        <v>18344.001933438474</v>
      </c>
      <c r="Z41" s="35">
        <f t="shared" si="11"/>
        <v>18344.001933438474</v>
      </c>
      <c r="AA41" s="35">
        <f t="shared" ref="AA41:AA42" si="13">SUM(C41:Z41)</f>
        <v>440256.04640252335</v>
      </c>
      <c r="AB41" s="28">
        <f t="shared" ref="AB41" si="14">DAY(EOMONTH(B41,0))</f>
        <v>31</v>
      </c>
      <c r="AC41" s="29">
        <v>13647937.438478226</v>
      </c>
      <c r="AD41" s="37"/>
      <c r="AE41"/>
    </row>
    <row r="42" spans="1:31" ht="15">
      <c r="A42" s="23">
        <f t="shared" si="1"/>
        <v>2029</v>
      </c>
      <c r="B42" s="27">
        <v>47119</v>
      </c>
      <c r="C42" s="35">
        <f t="shared" si="12"/>
        <v>7111.4439334384733</v>
      </c>
      <c r="D42" s="35">
        <f t="shared" si="12"/>
        <v>7111.4439334384733</v>
      </c>
      <c r="E42" s="35">
        <f t="shared" si="12"/>
        <v>7111.4439334384733</v>
      </c>
      <c r="F42" s="35">
        <f t="shared" si="12"/>
        <v>7111.4439334384733</v>
      </c>
      <c r="G42" s="35">
        <f t="shared" si="12"/>
        <v>7111.4439334384733</v>
      </c>
      <c r="H42" s="35">
        <f t="shared" si="12"/>
        <v>7111.4439334384733</v>
      </c>
      <c r="I42" s="35">
        <f t="shared" si="12"/>
        <v>7111.4439334384733</v>
      </c>
      <c r="J42" s="35">
        <f t="shared" si="12"/>
        <v>7111.4439334384733</v>
      </c>
      <c r="K42" s="35">
        <f t="shared" si="12"/>
        <v>7111.4439334384733</v>
      </c>
      <c r="L42" s="35">
        <f t="shared" si="12"/>
        <v>7111.4439334384733</v>
      </c>
      <c r="M42" s="35">
        <f t="shared" si="12"/>
        <v>7111.4439334384733</v>
      </c>
      <c r="N42" s="35">
        <f t="shared" si="12"/>
        <v>7111.4439334384733</v>
      </c>
      <c r="O42" s="35">
        <f t="shared" si="12"/>
        <v>7111.4439334384733</v>
      </c>
      <c r="P42" s="35">
        <f t="shared" si="12"/>
        <v>7111.4439334384733</v>
      </c>
      <c r="Q42" s="35">
        <f t="shared" si="12"/>
        <v>7111.4439334384733</v>
      </c>
      <c r="R42" s="35">
        <f t="shared" si="12"/>
        <v>7111.4439334384733</v>
      </c>
      <c r="S42" s="35">
        <f t="shared" si="11"/>
        <v>7111.4439334384733</v>
      </c>
      <c r="T42" s="35">
        <f t="shared" si="11"/>
        <v>7111.4439334384733</v>
      </c>
      <c r="U42" s="35">
        <f t="shared" si="11"/>
        <v>7111.4439334384733</v>
      </c>
      <c r="V42" s="35">
        <f t="shared" si="11"/>
        <v>7111.4439334384733</v>
      </c>
      <c r="W42" s="35">
        <f t="shared" si="11"/>
        <v>7111.4439334384733</v>
      </c>
      <c r="X42" s="35">
        <f t="shared" si="11"/>
        <v>7111.4439334384733</v>
      </c>
      <c r="Y42" s="35">
        <f t="shared" si="11"/>
        <v>7111.4439334384733</v>
      </c>
      <c r="Z42" s="35">
        <f t="shared" si="11"/>
        <v>7111.4439334384733</v>
      </c>
      <c r="AA42" s="35">
        <f t="shared" si="13"/>
        <v>170674.65440252345</v>
      </c>
      <c r="AB42" s="28">
        <f t="shared" ref="AB42" si="15">DAY(EOMONTH(B42,0))</f>
        <v>31</v>
      </c>
      <c r="AC42" s="29">
        <v>5290914.2864782242</v>
      </c>
      <c r="AD42" s="37"/>
      <c r="AE42"/>
    </row>
    <row r="43" spans="1:31" ht="15">
      <c r="A43" s="23">
        <f t="shared" si="1"/>
        <v>2029</v>
      </c>
      <c r="B43" s="27">
        <v>47150</v>
      </c>
      <c r="C43" s="35">
        <f t="shared" si="12"/>
        <v>9689.9289564799492</v>
      </c>
      <c r="D43" s="35">
        <f t="shared" si="12"/>
        <v>9689.9289564799492</v>
      </c>
      <c r="E43" s="35">
        <f t="shared" si="12"/>
        <v>9689.9289564799492</v>
      </c>
      <c r="F43" s="35">
        <f t="shared" si="12"/>
        <v>9689.9289564799492</v>
      </c>
      <c r="G43" s="35">
        <f t="shared" si="12"/>
        <v>9689.9289564799492</v>
      </c>
      <c r="H43" s="35">
        <f t="shared" si="12"/>
        <v>9689.9289564799492</v>
      </c>
      <c r="I43" s="35">
        <f t="shared" si="12"/>
        <v>9689.9289564799492</v>
      </c>
      <c r="J43" s="35">
        <f t="shared" si="12"/>
        <v>9689.9289564799492</v>
      </c>
      <c r="K43" s="35">
        <f t="shared" si="12"/>
        <v>9689.9289564799492</v>
      </c>
      <c r="L43" s="35">
        <f t="shared" si="12"/>
        <v>9689.9289564799492</v>
      </c>
      <c r="M43" s="35">
        <f t="shared" si="12"/>
        <v>9689.9289564799492</v>
      </c>
      <c r="N43" s="35">
        <f t="shared" si="12"/>
        <v>9689.9289564799492</v>
      </c>
      <c r="O43" s="35">
        <f t="shared" si="12"/>
        <v>9689.9289564799492</v>
      </c>
      <c r="P43" s="35">
        <f t="shared" si="12"/>
        <v>9689.9289564799492</v>
      </c>
      <c r="Q43" s="35">
        <f t="shared" si="12"/>
        <v>9689.9289564799492</v>
      </c>
      <c r="R43" s="35">
        <f t="shared" si="12"/>
        <v>9689.9289564799492</v>
      </c>
      <c r="S43" s="35">
        <f t="shared" si="11"/>
        <v>9689.9289564799492</v>
      </c>
      <c r="T43" s="35">
        <f t="shared" si="11"/>
        <v>9689.9289564799492</v>
      </c>
      <c r="U43" s="35">
        <f t="shared" si="11"/>
        <v>9689.9289564799492</v>
      </c>
      <c r="V43" s="35">
        <f t="shared" si="11"/>
        <v>9689.9289564799492</v>
      </c>
      <c r="W43" s="35">
        <f t="shared" si="11"/>
        <v>9689.9289564799492</v>
      </c>
      <c r="X43" s="35">
        <f t="shared" si="11"/>
        <v>9689.9289564799492</v>
      </c>
      <c r="Y43" s="35">
        <f t="shared" si="11"/>
        <v>9689.9289564799492</v>
      </c>
      <c r="Z43" s="35">
        <f t="shared" si="11"/>
        <v>9689.9289564799492</v>
      </c>
      <c r="AA43" s="35">
        <f t="shared" ref="AA43:AA53" si="16">SUM(C43:Z43)</f>
        <v>232558.29495551871</v>
      </c>
      <c r="AB43" s="28">
        <f t="shared" ref="AB43:AB53" si="17">DAY(EOMONTH(B43,0))</f>
        <v>28</v>
      </c>
      <c r="AC43" s="29">
        <v>6511632.2587545263</v>
      </c>
      <c r="AD43" s="37"/>
      <c r="AE43"/>
    </row>
    <row r="44" spans="1:31" ht="15">
      <c r="A44" s="23">
        <f t="shared" si="1"/>
        <v>2029</v>
      </c>
      <c r="B44" s="27">
        <v>47178</v>
      </c>
      <c r="C44" s="35">
        <f t="shared" si="12"/>
        <v>7111.4439334384733</v>
      </c>
      <c r="D44" s="35">
        <f t="shared" si="12"/>
        <v>7111.4439334384733</v>
      </c>
      <c r="E44" s="35">
        <f t="shared" si="12"/>
        <v>7111.4439334384733</v>
      </c>
      <c r="F44" s="35">
        <f t="shared" si="12"/>
        <v>7111.4439334384733</v>
      </c>
      <c r="G44" s="35">
        <f t="shared" si="12"/>
        <v>7111.4439334384733</v>
      </c>
      <c r="H44" s="35">
        <f t="shared" si="12"/>
        <v>7111.4439334384733</v>
      </c>
      <c r="I44" s="35">
        <f t="shared" si="12"/>
        <v>7111.4439334384733</v>
      </c>
      <c r="J44" s="35">
        <f t="shared" si="12"/>
        <v>7111.4439334384733</v>
      </c>
      <c r="K44" s="35">
        <f t="shared" si="12"/>
        <v>7111.4439334384733</v>
      </c>
      <c r="L44" s="35">
        <f t="shared" si="12"/>
        <v>7111.4439334384733</v>
      </c>
      <c r="M44" s="35">
        <f t="shared" si="12"/>
        <v>7111.4439334384733</v>
      </c>
      <c r="N44" s="35">
        <f t="shared" si="12"/>
        <v>7111.4439334384733</v>
      </c>
      <c r="O44" s="35">
        <f t="shared" si="12"/>
        <v>7111.4439334384733</v>
      </c>
      <c r="P44" s="35">
        <f t="shared" si="12"/>
        <v>7111.4439334384733</v>
      </c>
      <c r="Q44" s="35">
        <f t="shared" si="12"/>
        <v>7111.4439334384733</v>
      </c>
      <c r="R44" s="35">
        <f t="shared" si="12"/>
        <v>7111.4439334384733</v>
      </c>
      <c r="S44" s="35">
        <f t="shared" si="11"/>
        <v>7111.4439334384733</v>
      </c>
      <c r="T44" s="35">
        <f t="shared" si="11"/>
        <v>7111.4439334384733</v>
      </c>
      <c r="U44" s="35">
        <f t="shared" si="11"/>
        <v>7111.4439334384733</v>
      </c>
      <c r="V44" s="35">
        <f t="shared" si="11"/>
        <v>7111.4439334384733</v>
      </c>
      <c r="W44" s="35">
        <f t="shared" si="11"/>
        <v>7111.4439334384733</v>
      </c>
      <c r="X44" s="35">
        <f t="shared" si="11"/>
        <v>7111.4439334384733</v>
      </c>
      <c r="Y44" s="35">
        <f t="shared" si="11"/>
        <v>7111.4439334384733</v>
      </c>
      <c r="Z44" s="35">
        <f t="shared" si="11"/>
        <v>7111.4439334384733</v>
      </c>
      <c r="AA44" s="35">
        <f t="shared" si="16"/>
        <v>170674.65440252345</v>
      </c>
      <c r="AB44" s="28">
        <f t="shared" si="17"/>
        <v>31</v>
      </c>
      <c r="AC44" s="29">
        <v>5290914.2864782242</v>
      </c>
      <c r="AD44" s="37"/>
      <c r="AE44"/>
    </row>
    <row r="45" spans="1:31" ht="15">
      <c r="A45" s="23">
        <f t="shared" si="1"/>
        <v>2029</v>
      </c>
      <c r="B45" s="27">
        <v>47209</v>
      </c>
      <c r="C45" s="35">
        <f t="shared" si="12"/>
        <v>7913.6392739402681</v>
      </c>
      <c r="D45" s="35">
        <f t="shared" si="12"/>
        <v>7913.6392739402681</v>
      </c>
      <c r="E45" s="35">
        <f t="shared" si="12"/>
        <v>7913.6392739402681</v>
      </c>
      <c r="F45" s="35">
        <f t="shared" si="12"/>
        <v>7913.6392739402681</v>
      </c>
      <c r="G45" s="35">
        <f t="shared" si="12"/>
        <v>7913.6392739402681</v>
      </c>
      <c r="H45" s="35">
        <f t="shared" si="12"/>
        <v>7913.6392739402681</v>
      </c>
      <c r="I45" s="35">
        <f t="shared" si="12"/>
        <v>7913.6392739402681</v>
      </c>
      <c r="J45" s="35">
        <f t="shared" si="12"/>
        <v>7913.6392739402681</v>
      </c>
      <c r="K45" s="35">
        <f t="shared" si="12"/>
        <v>7913.6392739402681</v>
      </c>
      <c r="L45" s="35">
        <f t="shared" si="12"/>
        <v>7913.6392739402681</v>
      </c>
      <c r="M45" s="35">
        <f t="shared" si="12"/>
        <v>7913.6392739402681</v>
      </c>
      <c r="N45" s="35">
        <f t="shared" si="12"/>
        <v>7913.6392739402681</v>
      </c>
      <c r="O45" s="35">
        <f t="shared" si="12"/>
        <v>7913.6392739402681</v>
      </c>
      <c r="P45" s="35">
        <f t="shared" si="12"/>
        <v>7913.6392739402681</v>
      </c>
      <c r="Q45" s="35">
        <f t="shared" si="12"/>
        <v>7913.6392739402681</v>
      </c>
      <c r="R45" s="35">
        <f t="shared" si="12"/>
        <v>7913.6392739402681</v>
      </c>
      <c r="S45" s="35">
        <f t="shared" si="11"/>
        <v>7913.6392739402681</v>
      </c>
      <c r="T45" s="35">
        <f t="shared" si="11"/>
        <v>7913.6392739402681</v>
      </c>
      <c r="U45" s="35">
        <f t="shared" si="11"/>
        <v>7913.6392739402681</v>
      </c>
      <c r="V45" s="35">
        <f t="shared" si="11"/>
        <v>7913.6392739402681</v>
      </c>
      <c r="W45" s="35">
        <f t="shared" si="11"/>
        <v>7913.6392739402681</v>
      </c>
      <c r="X45" s="35">
        <f t="shared" si="11"/>
        <v>7913.6392739402681</v>
      </c>
      <c r="Y45" s="35">
        <f t="shared" si="11"/>
        <v>7913.6392739402681</v>
      </c>
      <c r="Z45" s="35">
        <f t="shared" si="11"/>
        <v>7913.6392739402681</v>
      </c>
      <c r="AA45" s="35">
        <f t="shared" si="16"/>
        <v>189927.3425745664</v>
      </c>
      <c r="AB45" s="28">
        <f t="shared" si="17"/>
        <v>30</v>
      </c>
      <c r="AC45" s="29">
        <v>5697820.2772369925</v>
      </c>
      <c r="AD45" s="37"/>
      <c r="AE45"/>
    </row>
    <row r="46" spans="1:31" ht="15">
      <c r="A46" s="23">
        <f t="shared" si="1"/>
        <v>2029</v>
      </c>
      <c r="B46" s="27">
        <v>47239</v>
      </c>
      <c r="C46" s="35">
        <f t="shared" si="12"/>
        <v>7111.4439334384733</v>
      </c>
      <c r="D46" s="35">
        <f t="shared" si="12"/>
        <v>7111.4439334384733</v>
      </c>
      <c r="E46" s="35">
        <f t="shared" si="12"/>
        <v>7111.4439334384733</v>
      </c>
      <c r="F46" s="35">
        <f t="shared" si="12"/>
        <v>7111.4439334384733</v>
      </c>
      <c r="G46" s="35">
        <f t="shared" si="12"/>
        <v>7111.4439334384733</v>
      </c>
      <c r="H46" s="35">
        <f t="shared" si="12"/>
        <v>7111.4439334384733</v>
      </c>
      <c r="I46" s="35">
        <f t="shared" si="12"/>
        <v>7111.4439334384733</v>
      </c>
      <c r="J46" s="35">
        <f t="shared" si="12"/>
        <v>7111.4439334384733</v>
      </c>
      <c r="K46" s="35">
        <f t="shared" si="12"/>
        <v>7111.4439334384733</v>
      </c>
      <c r="L46" s="35">
        <f t="shared" si="12"/>
        <v>7111.4439334384733</v>
      </c>
      <c r="M46" s="35">
        <f t="shared" si="12"/>
        <v>7111.4439334384733</v>
      </c>
      <c r="N46" s="35">
        <f t="shared" si="12"/>
        <v>7111.4439334384733</v>
      </c>
      <c r="O46" s="35">
        <f t="shared" si="12"/>
        <v>7111.4439334384733</v>
      </c>
      <c r="P46" s="35">
        <f t="shared" si="12"/>
        <v>7111.4439334384733</v>
      </c>
      <c r="Q46" s="35">
        <f t="shared" si="12"/>
        <v>7111.4439334384733</v>
      </c>
      <c r="R46" s="35">
        <f t="shared" si="12"/>
        <v>7111.4439334384733</v>
      </c>
      <c r="S46" s="35">
        <f t="shared" si="11"/>
        <v>7111.4439334384733</v>
      </c>
      <c r="T46" s="35">
        <f t="shared" si="11"/>
        <v>7111.4439334384733</v>
      </c>
      <c r="U46" s="35">
        <f t="shared" si="11"/>
        <v>7111.4439334384733</v>
      </c>
      <c r="V46" s="35">
        <f t="shared" si="11"/>
        <v>7111.4439334384733</v>
      </c>
      <c r="W46" s="35">
        <f t="shared" si="11"/>
        <v>7111.4439334384733</v>
      </c>
      <c r="X46" s="35">
        <f t="shared" si="11"/>
        <v>7111.4439334384733</v>
      </c>
      <c r="Y46" s="35">
        <f t="shared" si="11"/>
        <v>7111.4439334384733</v>
      </c>
      <c r="Z46" s="35">
        <f t="shared" si="11"/>
        <v>7111.4439334384733</v>
      </c>
      <c r="AA46" s="35">
        <f t="shared" si="16"/>
        <v>170674.65440252345</v>
      </c>
      <c r="AB46" s="28">
        <f t="shared" si="17"/>
        <v>31</v>
      </c>
      <c r="AC46" s="29">
        <v>5290914.2864782242</v>
      </c>
      <c r="AD46" s="37"/>
      <c r="AE46"/>
    </row>
    <row r="47" spans="1:31" ht="15">
      <c r="A47" s="23">
        <f t="shared" si="1"/>
        <v>2029</v>
      </c>
      <c r="B47" s="27">
        <v>47270</v>
      </c>
      <c r="C47" s="35">
        <f t="shared" si="12"/>
        <v>7913.6392739402681</v>
      </c>
      <c r="D47" s="35">
        <f t="shared" si="12"/>
        <v>7913.6392739402681</v>
      </c>
      <c r="E47" s="35">
        <f t="shared" si="12"/>
        <v>7913.6392739402681</v>
      </c>
      <c r="F47" s="35">
        <f t="shared" si="12"/>
        <v>7913.6392739402681</v>
      </c>
      <c r="G47" s="35">
        <f t="shared" si="12"/>
        <v>7913.6392739402681</v>
      </c>
      <c r="H47" s="35">
        <f t="shared" si="12"/>
        <v>7913.6392739402681</v>
      </c>
      <c r="I47" s="35">
        <f t="shared" si="12"/>
        <v>7913.6392739402681</v>
      </c>
      <c r="J47" s="35">
        <f t="shared" si="12"/>
        <v>7913.6392739402681</v>
      </c>
      <c r="K47" s="35">
        <f t="shared" si="12"/>
        <v>7913.6392739402681</v>
      </c>
      <c r="L47" s="35">
        <f t="shared" si="12"/>
        <v>7913.6392739402681</v>
      </c>
      <c r="M47" s="35">
        <f t="shared" si="12"/>
        <v>7913.6392739402681</v>
      </c>
      <c r="N47" s="35">
        <f t="shared" si="12"/>
        <v>7913.6392739402681</v>
      </c>
      <c r="O47" s="35">
        <f t="shared" si="12"/>
        <v>7913.6392739402681</v>
      </c>
      <c r="P47" s="35">
        <f t="shared" si="12"/>
        <v>7913.6392739402681</v>
      </c>
      <c r="Q47" s="35">
        <f t="shared" si="12"/>
        <v>7913.6392739402681</v>
      </c>
      <c r="R47" s="35">
        <f t="shared" si="12"/>
        <v>7913.6392739402681</v>
      </c>
      <c r="S47" s="35">
        <f t="shared" si="11"/>
        <v>7913.6392739402681</v>
      </c>
      <c r="T47" s="35">
        <f t="shared" si="11"/>
        <v>7913.6392739402681</v>
      </c>
      <c r="U47" s="35">
        <f t="shared" si="11"/>
        <v>7913.6392739402681</v>
      </c>
      <c r="V47" s="35">
        <f t="shared" si="11"/>
        <v>7913.6392739402681</v>
      </c>
      <c r="W47" s="35">
        <f t="shared" si="11"/>
        <v>7913.6392739402681</v>
      </c>
      <c r="X47" s="35">
        <f t="shared" si="11"/>
        <v>7913.6392739402681</v>
      </c>
      <c r="Y47" s="35">
        <f t="shared" si="11"/>
        <v>7913.6392739402681</v>
      </c>
      <c r="Z47" s="35">
        <f t="shared" si="11"/>
        <v>7913.6392739402681</v>
      </c>
      <c r="AA47" s="35">
        <f t="shared" si="16"/>
        <v>189927.3425745664</v>
      </c>
      <c r="AB47" s="28">
        <f t="shared" si="17"/>
        <v>30</v>
      </c>
      <c r="AC47" s="29">
        <v>5697820.2772369925</v>
      </c>
      <c r="AD47" s="37"/>
      <c r="AE47"/>
    </row>
    <row r="48" spans="1:31" ht="15">
      <c r="A48" s="23">
        <f t="shared" si="1"/>
        <v>2029</v>
      </c>
      <c r="B48" s="27">
        <v>47300</v>
      </c>
      <c r="C48" s="35">
        <f t="shared" si="12"/>
        <v>7111.4439334384733</v>
      </c>
      <c r="D48" s="35">
        <f t="shared" si="12"/>
        <v>7111.4439334384733</v>
      </c>
      <c r="E48" s="35">
        <f t="shared" si="12"/>
        <v>7111.4439334384733</v>
      </c>
      <c r="F48" s="35">
        <f t="shared" si="12"/>
        <v>7111.4439334384733</v>
      </c>
      <c r="G48" s="35">
        <f t="shared" si="12"/>
        <v>7111.4439334384733</v>
      </c>
      <c r="H48" s="35">
        <f t="shared" si="12"/>
        <v>7111.4439334384733</v>
      </c>
      <c r="I48" s="35">
        <f t="shared" si="12"/>
        <v>7111.4439334384733</v>
      </c>
      <c r="J48" s="35">
        <f t="shared" si="12"/>
        <v>7111.4439334384733</v>
      </c>
      <c r="K48" s="35">
        <f t="shared" si="12"/>
        <v>7111.4439334384733</v>
      </c>
      <c r="L48" s="35">
        <f t="shared" si="12"/>
        <v>7111.4439334384733</v>
      </c>
      <c r="M48" s="35">
        <f t="shared" si="12"/>
        <v>7111.4439334384733</v>
      </c>
      <c r="N48" s="35">
        <f t="shared" si="12"/>
        <v>7111.4439334384733</v>
      </c>
      <c r="O48" s="35">
        <f t="shared" si="12"/>
        <v>7111.4439334384733</v>
      </c>
      <c r="P48" s="35">
        <f t="shared" si="12"/>
        <v>7111.4439334384733</v>
      </c>
      <c r="Q48" s="35">
        <f t="shared" si="12"/>
        <v>7111.4439334384733</v>
      </c>
      <c r="R48" s="35">
        <f t="shared" si="12"/>
        <v>7111.4439334384733</v>
      </c>
      <c r="S48" s="35">
        <f t="shared" si="11"/>
        <v>7111.4439334384733</v>
      </c>
      <c r="T48" s="35">
        <f t="shared" si="11"/>
        <v>7111.4439334384733</v>
      </c>
      <c r="U48" s="35">
        <f t="shared" si="11"/>
        <v>7111.4439334384733</v>
      </c>
      <c r="V48" s="35">
        <f t="shared" si="11"/>
        <v>7111.4439334384733</v>
      </c>
      <c r="W48" s="35">
        <f t="shared" si="11"/>
        <v>7111.4439334384733</v>
      </c>
      <c r="X48" s="35">
        <f t="shared" si="11"/>
        <v>7111.4439334384733</v>
      </c>
      <c r="Y48" s="35">
        <f t="shared" si="11"/>
        <v>7111.4439334384733</v>
      </c>
      <c r="Z48" s="35">
        <f t="shared" si="11"/>
        <v>7111.4439334384733</v>
      </c>
      <c r="AA48" s="35">
        <f t="shared" si="16"/>
        <v>170674.65440252345</v>
      </c>
      <c r="AB48" s="28">
        <f t="shared" si="17"/>
        <v>31</v>
      </c>
      <c r="AC48" s="29">
        <v>5290914.2864782242</v>
      </c>
      <c r="AD48" s="37"/>
      <c r="AE48"/>
    </row>
    <row r="49" spans="1:31" ht="15">
      <c r="A49" s="23">
        <f t="shared" si="1"/>
        <v>2029</v>
      </c>
      <c r="B49" s="27">
        <v>47331</v>
      </c>
      <c r="C49" s="35">
        <f t="shared" si="12"/>
        <v>7111.4439334384733</v>
      </c>
      <c r="D49" s="35">
        <f t="shared" si="12"/>
        <v>7111.4439334384733</v>
      </c>
      <c r="E49" s="35">
        <f t="shared" si="12"/>
        <v>7111.4439334384733</v>
      </c>
      <c r="F49" s="35">
        <f t="shared" si="12"/>
        <v>7111.4439334384733</v>
      </c>
      <c r="G49" s="35">
        <f t="shared" si="12"/>
        <v>7111.4439334384733</v>
      </c>
      <c r="H49" s="35">
        <f t="shared" si="12"/>
        <v>7111.4439334384733</v>
      </c>
      <c r="I49" s="35">
        <f t="shared" si="12"/>
        <v>7111.4439334384733</v>
      </c>
      <c r="J49" s="35">
        <f t="shared" si="12"/>
        <v>7111.4439334384733</v>
      </c>
      <c r="K49" s="35">
        <f t="shared" si="12"/>
        <v>7111.4439334384733</v>
      </c>
      <c r="L49" s="35">
        <f t="shared" si="12"/>
        <v>7111.4439334384733</v>
      </c>
      <c r="M49" s="35">
        <f t="shared" si="12"/>
        <v>7111.4439334384733</v>
      </c>
      <c r="N49" s="35">
        <f t="shared" si="12"/>
        <v>7111.4439334384733</v>
      </c>
      <c r="O49" s="35">
        <f t="shared" si="12"/>
        <v>7111.4439334384733</v>
      </c>
      <c r="P49" s="35">
        <f t="shared" si="12"/>
        <v>7111.4439334384733</v>
      </c>
      <c r="Q49" s="35">
        <f t="shared" si="12"/>
        <v>7111.4439334384733</v>
      </c>
      <c r="R49" s="35">
        <f t="shared" si="12"/>
        <v>7111.4439334384733</v>
      </c>
      <c r="S49" s="35">
        <f t="shared" ref="S49:Z64" si="18">($AC49/$AB49)/24</f>
        <v>7111.4439334384733</v>
      </c>
      <c r="T49" s="35">
        <f t="shared" si="18"/>
        <v>7111.4439334384733</v>
      </c>
      <c r="U49" s="35">
        <f t="shared" si="18"/>
        <v>7111.4439334384733</v>
      </c>
      <c r="V49" s="35">
        <f t="shared" si="18"/>
        <v>7111.4439334384733</v>
      </c>
      <c r="W49" s="35">
        <f t="shared" si="18"/>
        <v>7111.4439334384733</v>
      </c>
      <c r="X49" s="35">
        <f t="shared" si="18"/>
        <v>7111.4439334384733</v>
      </c>
      <c r="Y49" s="35">
        <f t="shared" si="18"/>
        <v>7111.4439334384733</v>
      </c>
      <c r="Z49" s="35">
        <f t="shared" si="18"/>
        <v>7111.4439334384733</v>
      </c>
      <c r="AA49" s="35">
        <f t="shared" si="16"/>
        <v>170674.65440252345</v>
      </c>
      <c r="AB49" s="28">
        <f t="shared" si="17"/>
        <v>31</v>
      </c>
      <c r="AC49" s="29">
        <v>5290914.2864782242</v>
      </c>
      <c r="AD49" s="37"/>
      <c r="AE49"/>
    </row>
    <row r="50" spans="1:31" ht="15">
      <c r="A50" s="23">
        <f t="shared" si="1"/>
        <v>2029</v>
      </c>
      <c r="B50" s="27">
        <v>47362</v>
      </c>
      <c r="C50" s="35">
        <f t="shared" si="12"/>
        <v>7913.6392739402681</v>
      </c>
      <c r="D50" s="35">
        <f t="shared" si="12"/>
        <v>7913.6392739402681</v>
      </c>
      <c r="E50" s="35">
        <f t="shared" si="12"/>
        <v>7913.6392739402681</v>
      </c>
      <c r="F50" s="35">
        <f t="shared" si="12"/>
        <v>7913.6392739402681</v>
      </c>
      <c r="G50" s="35">
        <f t="shared" si="12"/>
        <v>7913.6392739402681</v>
      </c>
      <c r="H50" s="35">
        <f t="shared" si="12"/>
        <v>7913.6392739402681</v>
      </c>
      <c r="I50" s="35">
        <f t="shared" si="12"/>
        <v>7913.6392739402681</v>
      </c>
      <c r="J50" s="35">
        <f t="shared" si="12"/>
        <v>7913.6392739402681</v>
      </c>
      <c r="K50" s="35">
        <f t="shared" si="12"/>
        <v>7913.6392739402681</v>
      </c>
      <c r="L50" s="35">
        <f t="shared" si="12"/>
        <v>7913.6392739402681</v>
      </c>
      <c r="M50" s="35">
        <f t="shared" si="12"/>
        <v>7913.6392739402681</v>
      </c>
      <c r="N50" s="35">
        <f t="shared" si="12"/>
        <v>7913.6392739402681</v>
      </c>
      <c r="O50" s="35">
        <f t="shared" si="12"/>
        <v>7913.6392739402681</v>
      </c>
      <c r="P50" s="35">
        <f t="shared" si="12"/>
        <v>7913.6392739402681</v>
      </c>
      <c r="Q50" s="35">
        <f t="shared" si="12"/>
        <v>7913.6392739402681</v>
      </c>
      <c r="R50" s="35">
        <f t="shared" si="12"/>
        <v>7913.6392739402681</v>
      </c>
      <c r="S50" s="35">
        <f t="shared" si="18"/>
        <v>7913.6392739402681</v>
      </c>
      <c r="T50" s="35">
        <f t="shared" si="18"/>
        <v>7913.6392739402681</v>
      </c>
      <c r="U50" s="35">
        <f t="shared" si="18"/>
        <v>7913.6392739402681</v>
      </c>
      <c r="V50" s="35">
        <f t="shared" si="18"/>
        <v>7913.6392739402681</v>
      </c>
      <c r="W50" s="35">
        <f t="shared" si="18"/>
        <v>7913.6392739402681</v>
      </c>
      <c r="X50" s="35">
        <f t="shared" si="18"/>
        <v>7913.6392739402681</v>
      </c>
      <c r="Y50" s="35">
        <f t="shared" si="18"/>
        <v>7913.6392739402681</v>
      </c>
      <c r="Z50" s="35">
        <f t="shared" si="18"/>
        <v>7913.6392739402681</v>
      </c>
      <c r="AA50" s="35">
        <f t="shared" si="16"/>
        <v>189927.3425745664</v>
      </c>
      <c r="AB50" s="28">
        <f t="shared" si="17"/>
        <v>30</v>
      </c>
      <c r="AC50" s="29">
        <v>5697820.2772369925</v>
      </c>
      <c r="AD50" s="37"/>
      <c r="AE50"/>
    </row>
    <row r="51" spans="1:31" ht="15">
      <c r="A51" s="23">
        <f t="shared" si="1"/>
        <v>2029</v>
      </c>
      <c r="B51" s="27">
        <v>47392</v>
      </c>
      <c r="C51" s="35">
        <f t="shared" si="12"/>
        <v>7111.4439334384733</v>
      </c>
      <c r="D51" s="35">
        <f t="shared" si="12"/>
        <v>7111.4439334384733</v>
      </c>
      <c r="E51" s="35">
        <f t="shared" si="12"/>
        <v>7111.4439334384733</v>
      </c>
      <c r="F51" s="35">
        <f t="shared" si="12"/>
        <v>7111.4439334384733</v>
      </c>
      <c r="G51" s="35">
        <f t="shared" si="12"/>
        <v>7111.4439334384733</v>
      </c>
      <c r="H51" s="35">
        <f t="shared" si="12"/>
        <v>7111.4439334384733</v>
      </c>
      <c r="I51" s="35">
        <f t="shared" si="12"/>
        <v>7111.4439334384733</v>
      </c>
      <c r="J51" s="35">
        <f t="shared" si="12"/>
        <v>7111.4439334384733</v>
      </c>
      <c r="K51" s="35">
        <f t="shared" si="12"/>
        <v>7111.4439334384733</v>
      </c>
      <c r="L51" s="35">
        <f t="shared" si="12"/>
        <v>7111.4439334384733</v>
      </c>
      <c r="M51" s="35">
        <f t="shared" si="12"/>
        <v>7111.4439334384733</v>
      </c>
      <c r="N51" s="35">
        <f t="shared" si="12"/>
        <v>7111.4439334384733</v>
      </c>
      <c r="O51" s="35">
        <f t="shared" si="12"/>
        <v>7111.4439334384733</v>
      </c>
      <c r="P51" s="35">
        <f t="shared" si="12"/>
        <v>7111.4439334384733</v>
      </c>
      <c r="Q51" s="35">
        <f t="shared" si="12"/>
        <v>7111.4439334384733</v>
      </c>
      <c r="R51" s="35">
        <f t="shared" si="12"/>
        <v>7111.4439334384733</v>
      </c>
      <c r="S51" s="35">
        <f t="shared" si="18"/>
        <v>7111.4439334384733</v>
      </c>
      <c r="T51" s="35">
        <f t="shared" si="18"/>
        <v>7111.4439334384733</v>
      </c>
      <c r="U51" s="35">
        <f t="shared" si="18"/>
        <v>7111.4439334384733</v>
      </c>
      <c r="V51" s="35">
        <f t="shared" si="18"/>
        <v>7111.4439334384733</v>
      </c>
      <c r="W51" s="35">
        <f t="shared" si="18"/>
        <v>7111.4439334384733</v>
      </c>
      <c r="X51" s="35">
        <f t="shared" si="18"/>
        <v>7111.4439334384733</v>
      </c>
      <c r="Y51" s="35">
        <f t="shared" si="18"/>
        <v>7111.4439334384733</v>
      </c>
      <c r="Z51" s="35">
        <f t="shared" si="18"/>
        <v>7111.4439334384733</v>
      </c>
      <c r="AA51" s="35">
        <f t="shared" si="16"/>
        <v>170674.65440252345</v>
      </c>
      <c r="AB51" s="28">
        <f t="shared" si="17"/>
        <v>31</v>
      </c>
      <c r="AC51" s="29">
        <v>5290914.2864782242</v>
      </c>
      <c r="AD51" s="37"/>
      <c r="AE51"/>
    </row>
    <row r="52" spans="1:31" ht="15">
      <c r="A52" s="23">
        <f t="shared" si="1"/>
        <v>2029</v>
      </c>
      <c r="B52" s="27">
        <v>47423</v>
      </c>
      <c r="C52" s="35">
        <f t="shared" si="12"/>
        <v>7913.6392739402681</v>
      </c>
      <c r="D52" s="35">
        <f t="shared" si="12"/>
        <v>7913.6392739402681</v>
      </c>
      <c r="E52" s="35">
        <f t="shared" si="12"/>
        <v>7913.6392739402681</v>
      </c>
      <c r="F52" s="35">
        <f t="shared" si="12"/>
        <v>7913.6392739402681</v>
      </c>
      <c r="G52" s="35">
        <f t="shared" si="12"/>
        <v>7913.6392739402681</v>
      </c>
      <c r="H52" s="35">
        <f t="shared" si="12"/>
        <v>7913.6392739402681</v>
      </c>
      <c r="I52" s="35">
        <f t="shared" si="12"/>
        <v>7913.6392739402681</v>
      </c>
      <c r="J52" s="35">
        <f t="shared" si="12"/>
        <v>7913.6392739402681</v>
      </c>
      <c r="K52" s="35">
        <f t="shared" si="12"/>
        <v>7913.6392739402681</v>
      </c>
      <c r="L52" s="35">
        <f t="shared" si="12"/>
        <v>7913.6392739402681</v>
      </c>
      <c r="M52" s="35">
        <f t="shared" si="12"/>
        <v>7913.6392739402681</v>
      </c>
      <c r="N52" s="35">
        <f t="shared" si="12"/>
        <v>7913.6392739402681</v>
      </c>
      <c r="O52" s="35">
        <f t="shared" si="12"/>
        <v>7913.6392739402681</v>
      </c>
      <c r="P52" s="35">
        <f t="shared" si="12"/>
        <v>7913.6392739402681</v>
      </c>
      <c r="Q52" s="35">
        <f t="shared" si="12"/>
        <v>7913.6392739402681</v>
      </c>
      <c r="R52" s="35">
        <f t="shared" si="12"/>
        <v>7913.6392739402681</v>
      </c>
      <c r="S52" s="35">
        <f t="shared" si="18"/>
        <v>7913.6392739402681</v>
      </c>
      <c r="T52" s="35">
        <f t="shared" si="18"/>
        <v>7913.6392739402681</v>
      </c>
      <c r="U52" s="35">
        <f t="shared" si="18"/>
        <v>7913.6392739402681</v>
      </c>
      <c r="V52" s="35">
        <f t="shared" si="18"/>
        <v>7913.6392739402681</v>
      </c>
      <c r="W52" s="35">
        <f t="shared" si="18"/>
        <v>7913.6392739402681</v>
      </c>
      <c r="X52" s="35">
        <f t="shared" si="18"/>
        <v>7913.6392739402681</v>
      </c>
      <c r="Y52" s="35">
        <f t="shared" si="18"/>
        <v>7913.6392739402681</v>
      </c>
      <c r="Z52" s="35">
        <f t="shared" si="18"/>
        <v>7913.6392739402681</v>
      </c>
      <c r="AA52" s="35">
        <f t="shared" si="16"/>
        <v>189927.3425745664</v>
      </c>
      <c r="AB52" s="28">
        <f t="shared" si="17"/>
        <v>30</v>
      </c>
      <c r="AC52" s="29">
        <v>5697820.2772369925</v>
      </c>
      <c r="AD52" s="37"/>
      <c r="AE52"/>
    </row>
    <row r="53" spans="1:31" ht="15">
      <c r="A53" s="23">
        <f t="shared" si="1"/>
        <v>2029</v>
      </c>
      <c r="B53" s="27">
        <v>47453</v>
      </c>
      <c r="C53" s="35">
        <f t="shared" si="12"/>
        <v>7111.4439334384733</v>
      </c>
      <c r="D53" s="35">
        <f t="shared" si="12"/>
        <v>7111.4439334384733</v>
      </c>
      <c r="E53" s="35">
        <f t="shared" si="12"/>
        <v>7111.4439334384733</v>
      </c>
      <c r="F53" s="35">
        <f t="shared" si="12"/>
        <v>7111.4439334384733</v>
      </c>
      <c r="G53" s="35">
        <f t="shared" si="12"/>
        <v>7111.4439334384733</v>
      </c>
      <c r="H53" s="35">
        <f t="shared" si="12"/>
        <v>7111.4439334384733</v>
      </c>
      <c r="I53" s="35">
        <f t="shared" si="12"/>
        <v>7111.4439334384733</v>
      </c>
      <c r="J53" s="35">
        <f t="shared" si="12"/>
        <v>7111.4439334384733</v>
      </c>
      <c r="K53" s="35">
        <f t="shared" si="12"/>
        <v>7111.4439334384733</v>
      </c>
      <c r="L53" s="35">
        <f t="shared" si="12"/>
        <v>7111.4439334384733</v>
      </c>
      <c r="M53" s="35">
        <f t="shared" si="12"/>
        <v>7111.4439334384733</v>
      </c>
      <c r="N53" s="35">
        <f t="shared" si="12"/>
        <v>7111.4439334384733</v>
      </c>
      <c r="O53" s="35">
        <f t="shared" si="12"/>
        <v>7111.4439334384733</v>
      </c>
      <c r="P53" s="35">
        <f t="shared" si="12"/>
        <v>7111.4439334384733</v>
      </c>
      <c r="Q53" s="35">
        <f t="shared" si="12"/>
        <v>7111.4439334384733</v>
      </c>
      <c r="R53" s="35">
        <f t="shared" si="12"/>
        <v>7111.4439334384733</v>
      </c>
      <c r="S53" s="35">
        <f t="shared" si="18"/>
        <v>7111.4439334384733</v>
      </c>
      <c r="T53" s="35">
        <f t="shared" si="18"/>
        <v>7111.4439334384733</v>
      </c>
      <c r="U53" s="35">
        <f t="shared" si="18"/>
        <v>7111.4439334384733</v>
      </c>
      <c r="V53" s="35">
        <f t="shared" si="18"/>
        <v>7111.4439334384733</v>
      </c>
      <c r="W53" s="35">
        <f t="shared" si="18"/>
        <v>7111.4439334384733</v>
      </c>
      <c r="X53" s="35">
        <f t="shared" si="18"/>
        <v>7111.4439334384733</v>
      </c>
      <c r="Y53" s="35">
        <f t="shared" si="18"/>
        <v>7111.4439334384733</v>
      </c>
      <c r="Z53" s="35">
        <f t="shared" si="18"/>
        <v>7111.4439334384733</v>
      </c>
      <c r="AA53" s="35">
        <f t="shared" si="16"/>
        <v>170674.65440252345</v>
      </c>
      <c r="AB53" s="28">
        <f t="shared" si="17"/>
        <v>31</v>
      </c>
      <c r="AC53" s="29">
        <v>5290914.2864782242</v>
      </c>
      <c r="AD53" s="37"/>
      <c r="AE53"/>
    </row>
    <row r="54" spans="1:31" ht="15">
      <c r="A54" s="23">
        <f t="shared" si="1"/>
        <v>2030</v>
      </c>
      <c r="B54" s="27">
        <v>47484</v>
      </c>
      <c r="C54" s="35">
        <f t="shared" si="12"/>
        <v>7110.9099334384737</v>
      </c>
      <c r="D54" s="35">
        <f t="shared" si="12"/>
        <v>7110.9099334384737</v>
      </c>
      <c r="E54" s="35">
        <f t="shared" si="12"/>
        <v>7110.9099334384737</v>
      </c>
      <c r="F54" s="35">
        <f t="shared" si="12"/>
        <v>7110.9099334384737</v>
      </c>
      <c r="G54" s="35">
        <f t="shared" si="12"/>
        <v>7110.9099334384737</v>
      </c>
      <c r="H54" s="35">
        <f t="shared" si="12"/>
        <v>7110.9099334384737</v>
      </c>
      <c r="I54" s="35">
        <f t="shared" si="12"/>
        <v>7110.9099334384737</v>
      </c>
      <c r="J54" s="35">
        <f t="shared" si="12"/>
        <v>7110.9099334384737</v>
      </c>
      <c r="K54" s="35">
        <f t="shared" si="12"/>
        <v>7110.9099334384737</v>
      </c>
      <c r="L54" s="35">
        <f t="shared" si="12"/>
        <v>7110.9099334384737</v>
      </c>
      <c r="M54" s="35">
        <f t="shared" si="12"/>
        <v>7110.9099334384737</v>
      </c>
      <c r="N54" s="35">
        <f t="shared" si="12"/>
        <v>7110.9099334384737</v>
      </c>
      <c r="O54" s="35">
        <f t="shared" si="12"/>
        <v>7110.9099334384737</v>
      </c>
      <c r="P54" s="35">
        <f t="shared" si="12"/>
        <v>7110.9099334384737</v>
      </c>
      <c r="Q54" s="35">
        <f t="shared" si="12"/>
        <v>7110.9099334384737</v>
      </c>
      <c r="R54" s="35">
        <f t="shared" ref="R54:Z117" si="19">($AC54/$AB54)/24</f>
        <v>7110.9099334384737</v>
      </c>
      <c r="S54" s="35">
        <f t="shared" si="18"/>
        <v>7110.9099334384737</v>
      </c>
      <c r="T54" s="35">
        <f t="shared" si="19"/>
        <v>7110.9099334384737</v>
      </c>
      <c r="U54" s="35">
        <f t="shared" si="18"/>
        <v>7110.9099334384737</v>
      </c>
      <c r="V54" s="35">
        <f t="shared" si="19"/>
        <v>7110.9099334384737</v>
      </c>
      <c r="W54" s="35">
        <f t="shared" si="18"/>
        <v>7110.9099334384737</v>
      </c>
      <c r="X54" s="35">
        <f t="shared" si="19"/>
        <v>7110.9099334384737</v>
      </c>
      <c r="Y54" s="35">
        <f t="shared" si="18"/>
        <v>7110.9099334384737</v>
      </c>
      <c r="Z54" s="35">
        <f t="shared" si="19"/>
        <v>7110.9099334384737</v>
      </c>
      <c r="AA54" s="35">
        <f t="shared" ref="AA54" si="20">SUM(C54:Z54)</f>
        <v>170661.83840252328</v>
      </c>
      <c r="AB54" s="28">
        <f t="shared" ref="AB54" si="21">DAY(EOMONTH(B54,0))</f>
        <v>31</v>
      </c>
      <c r="AC54" s="29">
        <v>5290516.9904782241</v>
      </c>
      <c r="AD54" s="37"/>
      <c r="AE54"/>
    </row>
    <row r="55" spans="1:31" ht="15">
      <c r="A55" s="23">
        <f t="shared" si="1"/>
        <v>2030</v>
      </c>
      <c r="B55" s="27">
        <v>47515</v>
      </c>
      <c r="C55" s="35">
        <f t="shared" ref="C55:R70" si="22">($AC55/$AB55)/24</f>
        <v>9689.3949564799514</v>
      </c>
      <c r="D55" s="35">
        <f t="shared" si="22"/>
        <v>9689.3949564799514</v>
      </c>
      <c r="E55" s="35">
        <f t="shared" si="22"/>
        <v>9689.3949564799514</v>
      </c>
      <c r="F55" s="35">
        <f t="shared" si="22"/>
        <v>9689.3949564799514</v>
      </c>
      <c r="G55" s="35">
        <f t="shared" si="22"/>
        <v>9689.3949564799514</v>
      </c>
      <c r="H55" s="35">
        <f t="shared" si="22"/>
        <v>9689.3949564799514</v>
      </c>
      <c r="I55" s="35">
        <f t="shared" si="22"/>
        <v>9689.3949564799514</v>
      </c>
      <c r="J55" s="35">
        <f t="shared" si="22"/>
        <v>9689.3949564799514</v>
      </c>
      <c r="K55" s="35">
        <f t="shared" si="22"/>
        <v>9689.3949564799514</v>
      </c>
      <c r="L55" s="35">
        <f t="shared" si="22"/>
        <v>9689.3949564799514</v>
      </c>
      <c r="M55" s="35">
        <f t="shared" si="22"/>
        <v>9689.3949564799514</v>
      </c>
      <c r="N55" s="35">
        <f t="shared" si="22"/>
        <v>9689.3949564799514</v>
      </c>
      <c r="O55" s="35">
        <f t="shared" si="22"/>
        <v>9689.3949564799514</v>
      </c>
      <c r="P55" s="35">
        <f t="shared" si="22"/>
        <v>9689.3949564799514</v>
      </c>
      <c r="Q55" s="35">
        <f t="shared" si="22"/>
        <v>9689.3949564799514</v>
      </c>
      <c r="R55" s="35">
        <f t="shared" si="22"/>
        <v>9689.3949564799514</v>
      </c>
      <c r="S55" s="35">
        <f t="shared" si="18"/>
        <v>9689.3949564799514</v>
      </c>
      <c r="T55" s="35">
        <f t="shared" si="19"/>
        <v>9689.3949564799514</v>
      </c>
      <c r="U55" s="35">
        <f t="shared" si="18"/>
        <v>9689.3949564799514</v>
      </c>
      <c r="V55" s="35">
        <f t="shared" si="19"/>
        <v>9689.3949564799514</v>
      </c>
      <c r="W55" s="35">
        <f t="shared" si="18"/>
        <v>9689.3949564799514</v>
      </c>
      <c r="X55" s="35">
        <f t="shared" si="19"/>
        <v>9689.3949564799514</v>
      </c>
      <c r="Y55" s="35">
        <f t="shared" si="18"/>
        <v>9689.3949564799514</v>
      </c>
      <c r="Z55" s="35">
        <f t="shared" si="19"/>
        <v>9689.3949564799514</v>
      </c>
      <c r="AA55" s="35">
        <f t="shared" ref="AA55:AA65" si="23">SUM(C55:Z55)</f>
        <v>232545.47895551889</v>
      </c>
      <c r="AB55" s="28">
        <f t="shared" ref="AB55:AB65" si="24">DAY(EOMONTH(B55,0))</f>
        <v>28</v>
      </c>
      <c r="AC55" s="29">
        <v>6511273.410754527</v>
      </c>
      <c r="AD55" s="37"/>
      <c r="AE55"/>
    </row>
    <row r="56" spans="1:31" ht="15">
      <c r="A56" s="23">
        <f t="shared" si="1"/>
        <v>2030</v>
      </c>
      <c r="B56" s="27">
        <v>47543</v>
      </c>
      <c r="C56" s="35">
        <f t="shared" si="22"/>
        <v>7110.9099334384737</v>
      </c>
      <c r="D56" s="35">
        <f t="shared" si="22"/>
        <v>7110.9099334384737</v>
      </c>
      <c r="E56" s="35">
        <f t="shared" si="22"/>
        <v>7110.9099334384737</v>
      </c>
      <c r="F56" s="35">
        <f t="shared" si="22"/>
        <v>7110.9099334384737</v>
      </c>
      <c r="G56" s="35">
        <f t="shared" si="22"/>
        <v>7110.9099334384737</v>
      </c>
      <c r="H56" s="35">
        <f t="shared" si="22"/>
        <v>7110.9099334384737</v>
      </c>
      <c r="I56" s="35">
        <f t="shared" si="22"/>
        <v>7110.9099334384737</v>
      </c>
      <c r="J56" s="35">
        <f t="shared" si="22"/>
        <v>7110.9099334384737</v>
      </c>
      <c r="K56" s="35">
        <f t="shared" si="22"/>
        <v>7110.9099334384737</v>
      </c>
      <c r="L56" s="35">
        <f t="shared" si="22"/>
        <v>7110.9099334384737</v>
      </c>
      <c r="M56" s="35">
        <f t="shared" si="22"/>
        <v>7110.9099334384737</v>
      </c>
      <c r="N56" s="35">
        <f t="shared" si="22"/>
        <v>7110.9099334384737</v>
      </c>
      <c r="O56" s="35">
        <f t="shared" si="22"/>
        <v>7110.9099334384737</v>
      </c>
      <c r="P56" s="35">
        <f t="shared" si="22"/>
        <v>7110.9099334384737</v>
      </c>
      <c r="Q56" s="35">
        <f t="shared" si="22"/>
        <v>7110.9099334384737</v>
      </c>
      <c r="R56" s="35">
        <f t="shared" si="22"/>
        <v>7110.9099334384737</v>
      </c>
      <c r="S56" s="35">
        <f t="shared" si="18"/>
        <v>7110.9099334384737</v>
      </c>
      <c r="T56" s="35">
        <f t="shared" si="19"/>
        <v>7110.9099334384737</v>
      </c>
      <c r="U56" s="35">
        <f t="shared" si="18"/>
        <v>7110.9099334384737</v>
      </c>
      <c r="V56" s="35">
        <f t="shared" si="19"/>
        <v>7110.9099334384737</v>
      </c>
      <c r="W56" s="35">
        <f t="shared" si="18"/>
        <v>7110.9099334384737</v>
      </c>
      <c r="X56" s="35">
        <f t="shared" si="19"/>
        <v>7110.9099334384737</v>
      </c>
      <c r="Y56" s="35">
        <f t="shared" si="18"/>
        <v>7110.9099334384737</v>
      </c>
      <c r="Z56" s="35">
        <f t="shared" si="19"/>
        <v>7110.9099334384737</v>
      </c>
      <c r="AA56" s="35">
        <f t="shared" si="23"/>
        <v>170661.83840252328</v>
      </c>
      <c r="AB56" s="28">
        <f t="shared" si="24"/>
        <v>31</v>
      </c>
      <c r="AC56" s="29">
        <v>5290516.9904782241</v>
      </c>
      <c r="AD56" s="37"/>
      <c r="AE56"/>
    </row>
    <row r="57" spans="1:31" ht="15">
      <c r="A57" s="23">
        <f t="shared" si="1"/>
        <v>2030</v>
      </c>
      <c r="B57" s="27">
        <v>47574</v>
      </c>
      <c r="C57" s="35">
        <f t="shared" si="22"/>
        <v>7913.1052739402694</v>
      </c>
      <c r="D57" s="35">
        <f t="shared" si="22"/>
        <v>7913.1052739402694</v>
      </c>
      <c r="E57" s="35">
        <f t="shared" si="22"/>
        <v>7913.1052739402694</v>
      </c>
      <c r="F57" s="35">
        <f t="shared" si="22"/>
        <v>7913.1052739402694</v>
      </c>
      <c r="G57" s="35">
        <f t="shared" si="22"/>
        <v>7913.1052739402694</v>
      </c>
      <c r="H57" s="35">
        <f t="shared" si="22"/>
        <v>7913.1052739402694</v>
      </c>
      <c r="I57" s="35">
        <f t="shared" si="22"/>
        <v>7913.1052739402694</v>
      </c>
      <c r="J57" s="35">
        <f t="shared" si="22"/>
        <v>7913.1052739402694</v>
      </c>
      <c r="K57" s="35">
        <f t="shared" si="22"/>
        <v>7913.1052739402694</v>
      </c>
      <c r="L57" s="35">
        <f t="shared" si="22"/>
        <v>7913.1052739402694</v>
      </c>
      <c r="M57" s="35">
        <f t="shared" si="22"/>
        <v>7913.1052739402694</v>
      </c>
      <c r="N57" s="35">
        <f t="shared" si="22"/>
        <v>7913.1052739402694</v>
      </c>
      <c r="O57" s="35">
        <f t="shared" si="22"/>
        <v>7913.1052739402694</v>
      </c>
      <c r="P57" s="35">
        <f t="shared" si="22"/>
        <v>7913.1052739402694</v>
      </c>
      <c r="Q57" s="35">
        <f t="shared" si="22"/>
        <v>7913.1052739402694</v>
      </c>
      <c r="R57" s="35">
        <f t="shared" si="22"/>
        <v>7913.1052739402694</v>
      </c>
      <c r="S57" s="35">
        <f t="shared" si="18"/>
        <v>7913.1052739402694</v>
      </c>
      <c r="T57" s="35">
        <f t="shared" si="19"/>
        <v>7913.1052739402694</v>
      </c>
      <c r="U57" s="35">
        <f t="shared" si="18"/>
        <v>7913.1052739402694</v>
      </c>
      <c r="V57" s="35">
        <f t="shared" si="19"/>
        <v>7913.1052739402694</v>
      </c>
      <c r="W57" s="35">
        <f t="shared" si="18"/>
        <v>7913.1052739402694</v>
      </c>
      <c r="X57" s="35">
        <f t="shared" si="19"/>
        <v>7913.1052739402694</v>
      </c>
      <c r="Y57" s="35">
        <f t="shared" si="18"/>
        <v>7913.1052739402694</v>
      </c>
      <c r="Z57" s="35">
        <f t="shared" si="19"/>
        <v>7913.1052739402694</v>
      </c>
      <c r="AA57" s="35">
        <f t="shared" si="23"/>
        <v>189914.52657456649</v>
      </c>
      <c r="AB57" s="28">
        <f t="shared" si="24"/>
        <v>30</v>
      </c>
      <c r="AC57" s="29">
        <v>5697435.7972369939</v>
      </c>
      <c r="AD57" s="37"/>
      <c r="AE57"/>
    </row>
    <row r="58" spans="1:31" ht="15">
      <c r="A58" s="23">
        <f t="shared" si="1"/>
        <v>2030</v>
      </c>
      <c r="B58" s="27">
        <v>47604</v>
      </c>
      <c r="C58" s="35">
        <f t="shared" si="22"/>
        <v>7110.9099334384737</v>
      </c>
      <c r="D58" s="35">
        <f t="shared" si="22"/>
        <v>7110.9099334384737</v>
      </c>
      <c r="E58" s="35">
        <f t="shared" si="22"/>
        <v>7110.9099334384737</v>
      </c>
      <c r="F58" s="35">
        <f t="shared" si="22"/>
        <v>7110.9099334384737</v>
      </c>
      <c r="G58" s="35">
        <f t="shared" si="22"/>
        <v>7110.9099334384737</v>
      </c>
      <c r="H58" s="35">
        <f t="shared" si="22"/>
        <v>7110.9099334384737</v>
      </c>
      <c r="I58" s="35">
        <f t="shared" si="22"/>
        <v>7110.9099334384737</v>
      </c>
      <c r="J58" s="35">
        <f t="shared" si="22"/>
        <v>7110.9099334384737</v>
      </c>
      <c r="K58" s="35">
        <f t="shared" si="22"/>
        <v>7110.9099334384737</v>
      </c>
      <c r="L58" s="35">
        <f t="shared" si="22"/>
        <v>7110.9099334384737</v>
      </c>
      <c r="M58" s="35">
        <f t="shared" si="22"/>
        <v>7110.9099334384737</v>
      </c>
      <c r="N58" s="35">
        <f t="shared" si="22"/>
        <v>7110.9099334384737</v>
      </c>
      <c r="O58" s="35">
        <f t="shared" si="22"/>
        <v>7110.9099334384737</v>
      </c>
      <c r="P58" s="35">
        <f t="shared" si="22"/>
        <v>7110.9099334384737</v>
      </c>
      <c r="Q58" s="35">
        <f t="shared" si="22"/>
        <v>7110.9099334384737</v>
      </c>
      <c r="R58" s="35">
        <f t="shared" si="22"/>
        <v>7110.9099334384737</v>
      </c>
      <c r="S58" s="35">
        <f t="shared" si="18"/>
        <v>7110.9099334384737</v>
      </c>
      <c r="T58" s="35">
        <f t="shared" si="19"/>
        <v>7110.9099334384737</v>
      </c>
      <c r="U58" s="35">
        <f t="shared" si="18"/>
        <v>7110.9099334384737</v>
      </c>
      <c r="V58" s="35">
        <f t="shared" si="19"/>
        <v>7110.9099334384737</v>
      </c>
      <c r="W58" s="35">
        <f t="shared" si="18"/>
        <v>7110.9099334384737</v>
      </c>
      <c r="X58" s="35">
        <f t="shared" si="19"/>
        <v>7110.9099334384737</v>
      </c>
      <c r="Y58" s="35">
        <f t="shared" si="18"/>
        <v>7110.9099334384737</v>
      </c>
      <c r="Z58" s="35">
        <f t="shared" si="19"/>
        <v>7110.9099334384737</v>
      </c>
      <c r="AA58" s="35">
        <f t="shared" si="23"/>
        <v>170661.83840252328</v>
      </c>
      <c r="AB58" s="28">
        <f t="shared" si="24"/>
        <v>31</v>
      </c>
      <c r="AC58" s="29">
        <v>5290516.9904782241</v>
      </c>
      <c r="AD58" s="37"/>
      <c r="AE58"/>
    </row>
    <row r="59" spans="1:31" ht="15">
      <c r="A59" s="23">
        <f t="shared" si="1"/>
        <v>2030</v>
      </c>
      <c r="B59" s="27">
        <v>47635</v>
      </c>
      <c r="C59" s="35">
        <f t="shared" si="22"/>
        <v>7913.1052739402694</v>
      </c>
      <c r="D59" s="35">
        <f t="shared" si="22"/>
        <v>7913.1052739402694</v>
      </c>
      <c r="E59" s="35">
        <f t="shared" si="22"/>
        <v>7913.1052739402694</v>
      </c>
      <c r="F59" s="35">
        <f t="shared" si="22"/>
        <v>7913.1052739402694</v>
      </c>
      <c r="G59" s="35">
        <f t="shared" si="22"/>
        <v>7913.1052739402694</v>
      </c>
      <c r="H59" s="35">
        <f t="shared" si="22"/>
        <v>7913.1052739402694</v>
      </c>
      <c r="I59" s="35">
        <f t="shared" si="22"/>
        <v>7913.1052739402694</v>
      </c>
      <c r="J59" s="35">
        <f t="shared" si="22"/>
        <v>7913.1052739402694</v>
      </c>
      <c r="K59" s="35">
        <f t="shared" si="22"/>
        <v>7913.1052739402694</v>
      </c>
      <c r="L59" s="35">
        <f t="shared" si="22"/>
        <v>7913.1052739402694</v>
      </c>
      <c r="M59" s="35">
        <f t="shared" si="22"/>
        <v>7913.1052739402694</v>
      </c>
      <c r="N59" s="35">
        <f t="shared" si="22"/>
        <v>7913.1052739402694</v>
      </c>
      <c r="O59" s="35">
        <f t="shared" si="22"/>
        <v>7913.1052739402694</v>
      </c>
      <c r="P59" s="35">
        <f t="shared" si="22"/>
        <v>7913.1052739402694</v>
      </c>
      <c r="Q59" s="35">
        <f t="shared" si="22"/>
        <v>7913.1052739402694</v>
      </c>
      <c r="R59" s="35">
        <f t="shared" si="22"/>
        <v>7913.1052739402694</v>
      </c>
      <c r="S59" s="35">
        <f t="shared" si="18"/>
        <v>7913.1052739402694</v>
      </c>
      <c r="T59" s="35">
        <f t="shared" si="19"/>
        <v>7913.1052739402694</v>
      </c>
      <c r="U59" s="35">
        <f t="shared" si="18"/>
        <v>7913.1052739402694</v>
      </c>
      <c r="V59" s="35">
        <f t="shared" si="19"/>
        <v>7913.1052739402694</v>
      </c>
      <c r="W59" s="35">
        <f t="shared" si="18"/>
        <v>7913.1052739402694</v>
      </c>
      <c r="X59" s="35">
        <f t="shared" si="19"/>
        <v>7913.1052739402694</v>
      </c>
      <c r="Y59" s="35">
        <f t="shared" si="18"/>
        <v>7913.1052739402694</v>
      </c>
      <c r="Z59" s="35">
        <f t="shared" si="19"/>
        <v>7913.1052739402694</v>
      </c>
      <c r="AA59" s="35">
        <f t="shared" si="23"/>
        <v>189914.52657456649</v>
      </c>
      <c r="AB59" s="28">
        <f t="shared" si="24"/>
        <v>30</v>
      </c>
      <c r="AC59" s="29">
        <v>5697435.7972369939</v>
      </c>
      <c r="AD59" s="37"/>
      <c r="AE59"/>
    </row>
    <row r="60" spans="1:31" ht="15">
      <c r="A60" s="23">
        <f t="shared" si="1"/>
        <v>2030</v>
      </c>
      <c r="B60" s="27">
        <v>47665</v>
      </c>
      <c r="C60" s="35">
        <f t="shared" si="22"/>
        <v>7110.9099334384737</v>
      </c>
      <c r="D60" s="35">
        <f t="shared" si="22"/>
        <v>7110.9099334384737</v>
      </c>
      <c r="E60" s="35">
        <f t="shared" si="22"/>
        <v>7110.9099334384737</v>
      </c>
      <c r="F60" s="35">
        <f t="shared" si="22"/>
        <v>7110.9099334384737</v>
      </c>
      <c r="G60" s="35">
        <f t="shared" si="22"/>
        <v>7110.9099334384737</v>
      </c>
      <c r="H60" s="35">
        <f t="shared" si="22"/>
        <v>7110.9099334384737</v>
      </c>
      <c r="I60" s="35">
        <f t="shared" si="22"/>
        <v>7110.9099334384737</v>
      </c>
      <c r="J60" s="35">
        <f t="shared" si="22"/>
        <v>7110.9099334384737</v>
      </c>
      <c r="K60" s="35">
        <f t="shared" si="22"/>
        <v>7110.9099334384737</v>
      </c>
      <c r="L60" s="35">
        <f t="shared" si="22"/>
        <v>7110.9099334384737</v>
      </c>
      <c r="M60" s="35">
        <f t="shared" si="22"/>
        <v>7110.9099334384737</v>
      </c>
      <c r="N60" s="35">
        <f t="shared" si="22"/>
        <v>7110.9099334384737</v>
      </c>
      <c r="O60" s="35">
        <f t="shared" si="22"/>
        <v>7110.9099334384737</v>
      </c>
      <c r="P60" s="35">
        <f t="shared" si="22"/>
        <v>7110.9099334384737</v>
      </c>
      <c r="Q60" s="35">
        <f t="shared" si="22"/>
        <v>7110.9099334384737</v>
      </c>
      <c r="R60" s="35">
        <f t="shared" si="22"/>
        <v>7110.9099334384737</v>
      </c>
      <c r="S60" s="35">
        <f t="shared" si="18"/>
        <v>7110.9099334384737</v>
      </c>
      <c r="T60" s="35">
        <f t="shared" si="19"/>
        <v>7110.9099334384737</v>
      </c>
      <c r="U60" s="35">
        <f t="shared" si="18"/>
        <v>7110.9099334384737</v>
      </c>
      <c r="V60" s="35">
        <f t="shared" si="19"/>
        <v>7110.9099334384737</v>
      </c>
      <c r="W60" s="35">
        <f t="shared" si="18"/>
        <v>7110.9099334384737</v>
      </c>
      <c r="X60" s="35">
        <f t="shared" si="19"/>
        <v>7110.9099334384737</v>
      </c>
      <c r="Y60" s="35">
        <f t="shared" si="18"/>
        <v>7110.9099334384737</v>
      </c>
      <c r="Z60" s="35">
        <f t="shared" si="19"/>
        <v>7110.9099334384737</v>
      </c>
      <c r="AA60" s="35">
        <f t="shared" si="23"/>
        <v>170661.83840252328</v>
      </c>
      <c r="AB60" s="28">
        <f t="shared" si="24"/>
        <v>31</v>
      </c>
      <c r="AC60" s="29">
        <v>5290516.9904782241</v>
      </c>
      <c r="AD60" s="37"/>
      <c r="AE60"/>
    </row>
    <row r="61" spans="1:31" ht="15">
      <c r="A61" s="23">
        <f t="shared" si="1"/>
        <v>2030</v>
      </c>
      <c r="B61" s="27">
        <v>47696</v>
      </c>
      <c r="C61" s="35">
        <f t="shared" si="22"/>
        <v>7110.9099334384737</v>
      </c>
      <c r="D61" s="35">
        <f t="shared" si="22"/>
        <v>7110.9099334384737</v>
      </c>
      <c r="E61" s="35">
        <f t="shared" si="22"/>
        <v>7110.9099334384737</v>
      </c>
      <c r="F61" s="35">
        <f t="shared" si="22"/>
        <v>7110.9099334384737</v>
      </c>
      <c r="G61" s="35">
        <f t="shared" si="22"/>
        <v>7110.9099334384737</v>
      </c>
      <c r="H61" s="35">
        <f t="shared" si="22"/>
        <v>7110.9099334384737</v>
      </c>
      <c r="I61" s="35">
        <f t="shared" si="22"/>
        <v>7110.9099334384737</v>
      </c>
      <c r="J61" s="35">
        <f t="shared" si="22"/>
        <v>7110.9099334384737</v>
      </c>
      <c r="K61" s="35">
        <f t="shared" si="22"/>
        <v>7110.9099334384737</v>
      </c>
      <c r="L61" s="35">
        <f t="shared" si="22"/>
        <v>7110.9099334384737</v>
      </c>
      <c r="M61" s="35">
        <f t="shared" si="22"/>
        <v>7110.9099334384737</v>
      </c>
      <c r="N61" s="35">
        <f t="shared" si="22"/>
        <v>7110.9099334384737</v>
      </c>
      <c r="O61" s="35">
        <f t="shared" si="22"/>
        <v>7110.9099334384737</v>
      </c>
      <c r="P61" s="35">
        <f t="shared" si="22"/>
        <v>7110.9099334384737</v>
      </c>
      <c r="Q61" s="35">
        <f t="shared" si="22"/>
        <v>7110.9099334384737</v>
      </c>
      <c r="R61" s="35">
        <f t="shared" si="22"/>
        <v>7110.9099334384737</v>
      </c>
      <c r="S61" s="35">
        <f t="shared" si="18"/>
        <v>7110.9099334384737</v>
      </c>
      <c r="T61" s="35">
        <f t="shared" si="19"/>
        <v>7110.9099334384737</v>
      </c>
      <c r="U61" s="35">
        <f t="shared" si="18"/>
        <v>7110.9099334384737</v>
      </c>
      <c r="V61" s="35">
        <f t="shared" si="19"/>
        <v>7110.9099334384737</v>
      </c>
      <c r="W61" s="35">
        <f t="shared" si="18"/>
        <v>7110.9099334384737</v>
      </c>
      <c r="X61" s="35">
        <f t="shared" si="19"/>
        <v>7110.9099334384737</v>
      </c>
      <c r="Y61" s="35">
        <f t="shared" si="18"/>
        <v>7110.9099334384737</v>
      </c>
      <c r="Z61" s="35">
        <f t="shared" si="19"/>
        <v>7110.9099334384737</v>
      </c>
      <c r="AA61" s="35">
        <f t="shared" si="23"/>
        <v>170661.83840252328</v>
      </c>
      <c r="AB61" s="28">
        <f t="shared" si="24"/>
        <v>31</v>
      </c>
      <c r="AC61" s="29">
        <v>5290516.9904782241</v>
      </c>
      <c r="AD61" s="37"/>
      <c r="AE61"/>
    </row>
    <row r="62" spans="1:31" ht="15">
      <c r="A62" s="23">
        <f t="shared" si="1"/>
        <v>2030</v>
      </c>
      <c r="B62" s="27">
        <v>47727</v>
      </c>
      <c r="C62" s="35">
        <f t="shared" si="22"/>
        <v>7913.1052739402694</v>
      </c>
      <c r="D62" s="35">
        <f t="shared" si="22"/>
        <v>7913.1052739402694</v>
      </c>
      <c r="E62" s="35">
        <f t="shared" si="22"/>
        <v>7913.1052739402694</v>
      </c>
      <c r="F62" s="35">
        <f t="shared" si="22"/>
        <v>7913.1052739402694</v>
      </c>
      <c r="G62" s="35">
        <f t="shared" si="22"/>
        <v>7913.1052739402694</v>
      </c>
      <c r="H62" s="35">
        <f t="shared" si="22"/>
        <v>7913.1052739402694</v>
      </c>
      <c r="I62" s="35">
        <f t="shared" si="22"/>
        <v>7913.1052739402694</v>
      </c>
      <c r="J62" s="35">
        <f t="shared" si="22"/>
        <v>7913.1052739402694</v>
      </c>
      <c r="K62" s="35">
        <f t="shared" si="22"/>
        <v>7913.1052739402694</v>
      </c>
      <c r="L62" s="35">
        <f t="shared" si="22"/>
        <v>7913.1052739402694</v>
      </c>
      <c r="M62" s="35">
        <f t="shared" si="22"/>
        <v>7913.1052739402694</v>
      </c>
      <c r="N62" s="35">
        <f t="shared" si="22"/>
        <v>7913.1052739402694</v>
      </c>
      <c r="O62" s="35">
        <f t="shared" si="22"/>
        <v>7913.1052739402694</v>
      </c>
      <c r="P62" s="35">
        <f t="shared" si="22"/>
        <v>7913.1052739402694</v>
      </c>
      <c r="Q62" s="35">
        <f t="shared" si="22"/>
        <v>7913.1052739402694</v>
      </c>
      <c r="R62" s="35">
        <f t="shared" si="22"/>
        <v>7913.1052739402694</v>
      </c>
      <c r="S62" s="35">
        <f t="shared" si="18"/>
        <v>7913.1052739402694</v>
      </c>
      <c r="T62" s="35">
        <f t="shared" si="19"/>
        <v>7913.1052739402694</v>
      </c>
      <c r="U62" s="35">
        <f t="shared" si="18"/>
        <v>7913.1052739402694</v>
      </c>
      <c r="V62" s="35">
        <f t="shared" si="19"/>
        <v>7913.1052739402694</v>
      </c>
      <c r="W62" s="35">
        <f t="shared" si="18"/>
        <v>7913.1052739402694</v>
      </c>
      <c r="X62" s="35">
        <f t="shared" si="19"/>
        <v>7913.1052739402694</v>
      </c>
      <c r="Y62" s="35">
        <f t="shared" si="18"/>
        <v>7913.1052739402694</v>
      </c>
      <c r="Z62" s="35">
        <f t="shared" si="19"/>
        <v>7913.1052739402694</v>
      </c>
      <c r="AA62" s="35">
        <f t="shared" si="23"/>
        <v>189914.52657456649</v>
      </c>
      <c r="AB62" s="28">
        <f t="shared" si="24"/>
        <v>30</v>
      </c>
      <c r="AC62" s="29">
        <v>5697435.7972369939</v>
      </c>
      <c r="AD62" s="37"/>
      <c r="AE62"/>
    </row>
    <row r="63" spans="1:31" ht="15">
      <c r="A63" s="23">
        <f t="shared" si="1"/>
        <v>2030</v>
      </c>
      <c r="B63" s="27">
        <v>47757</v>
      </c>
      <c r="C63" s="35">
        <f t="shared" si="22"/>
        <v>7110.9099334384737</v>
      </c>
      <c r="D63" s="35">
        <f t="shared" si="22"/>
        <v>7110.9099334384737</v>
      </c>
      <c r="E63" s="35">
        <f t="shared" si="22"/>
        <v>7110.9099334384737</v>
      </c>
      <c r="F63" s="35">
        <f t="shared" si="22"/>
        <v>7110.9099334384737</v>
      </c>
      <c r="G63" s="35">
        <f t="shared" si="22"/>
        <v>7110.9099334384737</v>
      </c>
      <c r="H63" s="35">
        <f t="shared" si="22"/>
        <v>7110.9099334384737</v>
      </c>
      <c r="I63" s="35">
        <f t="shared" si="22"/>
        <v>7110.9099334384737</v>
      </c>
      <c r="J63" s="35">
        <f t="shared" si="22"/>
        <v>7110.9099334384737</v>
      </c>
      <c r="K63" s="35">
        <f t="shared" si="22"/>
        <v>7110.9099334384737</v>
      </c>
      <c r="L63" s="35">
        <f t="shared" si="22"/>
        <v>7110.9099334384737</v>
      </c>
      <c r="M63" s="35">
        <f t="shared" si="22"/>
        <v>7110.9099334384737</v>
      </c>
      <c r="N63" s="35">
        <f t="shared" si="22"/>
        <v>7110.9099334384737</v>
      </c>
      <c r="O63" s="35">
        <f t="shared" si="22"/>
        <v>7110.9099334384737</v>
      </c>
      <c r="P63" s="35">
        <f t="shared" si="22"/>
        <v>7110.9099334384737</v>
      </c>
      <c r="Q63" s="35">
        <f t="shared" si="22"/>
        <v>7110.9099334384737</v>
      </c>
      <c r="R63" s="35">
        <f t="shared" si="22"/>
        <v>7110.9099334384737</v>
      </c>
      <c r="S63" s="35">
        <f t="shared" si="18"/>
        <v>7110.9099334384737</v>
      </c>
      <c r="T63" s="35">
        <f t="shared" si="19"/>
        <v>7110.9099334384737</v>
      </c>
      <c r="U63" s="35">
        <f t="shared" si="18"/>
        <v>7110.9099334384737</v>
      </c>
      <c r="V63" s="35">
        <f t="shared" si="19"/>
        <v>7110.9099334384737</v>
      </c>
      <c r="W63" s="35">
        <f t="shared" si="18"/>
        <v>7110.9099334384737</v>
      </c>
      <c r="X63" s="35">
        <f t="shared" si="19"/>
        <v>7110.9099334384737</v>
      </c>
      <c r="Y63" s="35">
        <f t="shared" si="18"/>
        <v>7110.9099334384737</v>
      </c>
      <c r="Z63" s="35">
        <f t="shared" si="19"/>
        <v>7110.9099334384737</v>
      </c>
      <c r="AA63" s="35">
        <f t="shared" si="23"/>
        <v>170661.83840252328</v>
      </c>
      <c r="AB63" s="28">
        <f t="shared" si="24"/>
        <v>31</v>
      </c>
      <c r="AC63" s="29">
        <v>5290516.9904782241</v>
      </c>
      <c r="AD63" s="37"/>
      <c r="AE63"/>
    </row>
    <row r="64" spans="1:31" ht="15">
      <c r="A64" s="23">
        <f t="shared" si="1"/>
        <v>2030</v>
      </c>
      <c r="B64" s="27">
        <v>47788</v>
      </c>
      <c r="C64" s="35">
        <f t="shared" si="22"/>
        <v>7913.1052739402694</v>
      </c>
      <c r="D64" s="35">
        <f t="shared" si="22"/>
        <v>7913.1052739402694</v>
      </c>
      <c r="E64" s="35">
        <f t="shared" si="22"/>
        <v>7913.1052739402694</v>
      </c>
      <c r="F64" s="35">
        <f t="shared" si="22"/>
        <v>7913.1052739402694</v>
      </c>
      <c r="G64" s="35">
        <f t="shared" si="22"/>
        <v>7913.1052739402694</v>
      </c>
      <c r="H64" s="35">
        <f t="shared" si="22"/>
        <v>7913.1052739402694</v>
      </c>
      <c r="I64" s="35">
        <f t="shared" si="22"/>
        <v>7913.1052739402694</v>
      </c>
      <c r="J64" s="35">
        <f t="shared" si="22"/>
        <v>7913.1052739402694</v>
      </c>
      <c r="K64" s="35">
        <f t="shared" si="22"/>
        <v>7913.1052739402694</v>
      </c>
      <c r="L64" s="35">
        <f t="shared" si="22"/>
        <v>7913.1052739402694</v>
      </c>
      <c r="M64" s="35">
        <f t="shared" si="22"/>
        <v>7913.1052739402694</v>
      </c>
      <c r="N64" s="35">
        <f t="shared" si="22"/>
        <v>7913.1052739402694</v>
      </c>
      <c r="O64" s="35">
        <f t="shared" si="22"/>
        <v>7913.1052739402694</v>
      </c>
      <c r="P64" s="35">
        <f t="shared" si="22"/>
        <v>7913.1052739402694</v>
      </c>
      <c r="Q64" s="35">
        <f t="shared" si="22"/>
        <v>7913.1052739402694</v>
      </c>
      <c r="R64" s="35">
        <f t="shared" si="22"/>
        <v>7913.1052739402694</v>
      </c>
      <c r="S64" s="35">
        <f t="shared" si="18"/>
        <v>7913.1052739402694</v>
      </c>
      <c r="T64" s="35">
        <f t="shared" si="19"/>
        <v>7913.1052739402694</v>
      </c>
      <c r="U64" s="35">
        <f t="shared" si="18"/>
        <v>7913.1052739402694</v>
      </c>
      <c r="V64" s="35">
        <f t="shared" si="19"/>
        <v>7913.1052739402694</v>
      </c>
      <c r="W64" s="35">
        <f t="shared" si="18"/>
        <v>7913.1052739402694</v>
      </c>
      <c r="X64" s="35">
        <f t="shared" si="19"/>
        <v>7913.1052739402694</v>
      </c>
      <c r="Y64" s="35">
        <f t="shared" si="18"/>
        <v>7913.1052739402694</v>
      </c>
      <c r="Z64" s="35">
        <f t="shared" si="19"/>
        <v>7913.1052739402694</v>
      </c>
      <c r="AA64" s="35">
        <f t="shared" si="23"/>
        <v>189914.52657456649</v>
      </c>
      <c r="AB64" s="28">
        <f t="shared" si="24"/>
        <v>30</v>
      </c>
      <c r="AC64" s="29">
        <v>5697435.7972369939</v>
      </c>
      <c r="AD64" s="37"/>
      <c r="AE64"/>
    </row>
    <row r="65" spans="1:31" ht="15">
      <c r="A65" s="23">
        <f t="shared" si="1"/>
        <v>2030</v>
      </c>
      <c r="B65" s="27">
        <v>47818</v>
      </c>
      <c r="C65" s="35">
        <f t="shared" si="22"/>
        <v>7110.9099334384737</v>
      </c>
      <c r="D65" s="35">
        <f t="shared" si="22"/>
        <v>7110.9099334384737</v>
      </c>
      <c r="E65" s="35">
        <f t="shared" si="22"/>
        <v>7110.9099334384737</v>
      </c>
      <c r="F65" s="35">
        <f t="shared" si="22"/>
        <v>7110.9099334384737</v>
      </c>
      <c r="G65" s="35">
        <f t="shared" si="22"/>
        <v>7110.9099334384737</v>
      </c>
      <c r="H65" s="35">
        <f t="shared" si="22"/>
        <v>7110.9099334384737</v>
      </c>
      <c r="I65" s="35">
        <f t="shared" si="22"/>
        <v>7110.9099334384737</v>
      </c>
      <c r="J65" s="35">
        <f t="shared" si="22"/>
        <v>7110.9099334384737</v>
      </c>
      <c r="K65" s="35">
        <f t="shared" si="22"/>
        <v>7110.9099334384737</v>
      </c>
      <c r="L65" s="35">
        <f t="shared" si="22"/>
        <v>7110.9099334384737</v>
      </c>
      <c r="M65" s="35">
        <f t="shared" si="22"/>
        <v>7110.9099334384737</v>
      </c>
      <c r="N65" s="35">
        <f t="shared" si="22"/>
        <v>7110.9099334384737</v>
      </c>
      <c r="O65" s="35">
        <f t="shared" si="22"/>
        <v>7110.9099334384737</v>
      </c>
      <c r="P65" s="35">
        <f t="shared" si="22"/>
        <v>7110.9099334384737</v>
      </c>
      <c r="Q65" s="35">
        <f t="shared" si="22"/>
        <v>7110.9099334384737</v>
      </c>
      <c r="R65" s="35">
        <f t="shared" si="22"/>
        <v>7110.9099334384737</v>
      </c>
      <c r="S65" s="35">
        <f t="shared" ref="S65:S80" si="25">($AC65/$AB65)/24</f>
        <v>7110.9099334384737</v>
      </c>
      <c r="T65" s="35">
        <f t="shared" si="19"/>
        <v>7110.9099334384737</v>
      </c>
      <c r="U65" s="35">
        <f t="shared" si="19"/>
        <v>7110.9099334384737</v>
      </c>
      <c r="V65" s="35">
        <f t="shared" si="19"/>
        <v>7110.9099334384737</v>
      </c>
      <c r="W65" s="35">
        <f t="shared" si="19"/>
        <v>7110.9099334384737</v>
      </c>
      <c r="X65" s="35">
        <f t="shared" si="19"/>
        <v>7110.9099334384737</v>
      </c>
      <c r="Y65" s="35">
        <f t="shared" si="19"/>
        <v>7110.9099334384737</v>
      </c>
      <c r="Z65" s="35">
        <f t="shared" si="19"/>
        <v>7110.9099334384737</v>
      </c>
      <c r="AA65" s="35">
        <f t="shared" si="23"/>
        <v>170661.83840252328</v>
      </c>
      <c r="AB65" s="28">
        <f t="shared" si="24"/>
        <v>31</v>
      </c>
      <c r="AC65" s="29">
        <v>5290516.9904782241</v>
      </c>
      <c r="AD65" s="37"/>
      <c r="AE65"/>
    </row>
    <row r="66" spans="1:31" ht="15">
      <c r="A66" s="23">
        <f t="shared" si="1"/>
        <v>2031</v>
      </c>
      <c r="B66" s="27">
        <v>47849</v>
      </c>
      <c r="C66" s="35">
        <f t="shared" si="22"/>
        <v>7110.9099334384737</v>
      </c>
      <c r="D66" s="35">
        <f t="shared" si="22"/>
        <v>7110.9099334384737</v>
      </c>
      <c r="E66" s="35">
        <f t="shared" si="22"/>
        <v>7110.9099334384737</v>
      </c>
      <c r="F66" s="35">
        <f t="shared" si="22"/>
        <v>7110.9099334384737</v>
      </c>
      <c r="G66" s="35">
        <f t="shared" si="22"/>
        <v>7110.9099334384737</v>
      </c>
      <c r="H66" s="35">
        <f t="shared" si="22"/>
        <v>7110.9099334384737</v>
      </c>
      <c r="I66" s="35">
        <f t="shared" si="22"/>
        <v>7110.9099334384737</v>
      </c>
      <c r="J66" s="35">
        <f t="shared" si="22"/>
        <v>7110.9099334384737</v>
      </c>
      <c r="K66" s="35">
        <f t="shared" si="22"/>
        <v>7110.9099334384737</v>
      </c>
      <c r="L66" s="35">
        <f t="shared" si="22"/>
        <v>7110.9099334384737</v>
      </c>
      <c r="M66" s="35">
        <f t="shared" si="22"/>
        <v>7110.9099334384737</v>
      </c>
      <c r="N66" s="35">
        <f t="shared" si="22"/>
        <v>7110.9099334384737</v>
      </c>
      <c r="O66" s="35">
        <f t="shared" si="22"/>
        <v>7110.9099334384737</v>
      </c>
      <c r="P66" s="35">
        <f t="shared" si="22"/>
        <v>7110.9099334384737</v>
      </c>
      <c r="Q66" s="35">
        <f t="shared" si="22"/>
        <v>7110.9099334384737</v>
      </c>
      <c r="R66" s="35">
        <f t="shared" si="22"/>
        <v>7110.9099334384737</v>
      </c>
      <c r="S66" s="35">
        <f t="shared" si="25"/>
        <v>7110.9099334384737</v>
      </c>
      <c r="T66" s="35">
        <f t="shared" si="19"/>
        <v>7110.9099334384737</v>
      </c>
      <c r="U66" s="35">
        <f t="shared" si="19"/>
        <v>7110.9099334384737</v>
      </c>
      <c r="V66" s="35">
        <f t="shared" si="19"/>
        <v>7110.9099334384737</v>
      </c>
      <c r="W66" s="35">
        <f t="shared" si="19"/>
        <v>7110.9099334384737</v>
      </c>
      <c r="X66" s="35">
        <f t="shared" si="19"/>
        <v>7110.9099334384737</v>
      </c>
      <c r="Y66" s="35">
        <f t="shared" si="19"/>
        <v>7110.9099334384737</v>
      </c>
      <c r="Z66" s="35">
        <f t="shared" si="19"/>
        <v>7110.9099334384737</v>
      </c>
      <c r="AA66" s="35">
        <f t="shared" ref="AA66" si="26">SUM(C66:Z66)</f>
        <v>170661.83840252328</v>
      </c>
      <c r="AB66" s="28">
        <f t="shared" ref="AB66" si="27">DAY(EOMONTH(B66,0))</f>
        <v>31</v>
      </c>
      <c r="AC66" s="29">
        <v>5290516.9904782241</v>
      </c>
      <c r="AD66" s="37"/>
      <c r="AE66"/>
    </row>
    <row r="67" spans="1:31" ht="15">
      <c r="A67" s="23">
        <f t="shared" si="1"/>
        <v>2031</v>
      </c>
      <c r="B67" s="27">
        <v>47880</v>
      </c>
      <c r="C67" s="35">
        <f t="shared" si="22"/>
        <v>9689.3949564799514</v>
      </c>
      <c r="D67" s="35">
        <f t="shared" si="22"/>
        <v>9689.3949564799514</v>
      </c>
      <c r="E67" s="35">
        <f t="shared" si="22"/>
        <v>9689.3949564799514</v>
      </c>
      <c r="F67" s="35">
        <f t="shared" si="22"/>
        <v>9689.3949564799514</v>
      </c>
      <c r="G67" s="35">
        <f t="shared" si="22"/>
        <v>9689.3949564799514</v>
      </c>
      <c r="H67" s="35">
        <f t="shared" si="22"/>
        <v>9689.3949564799514</v>
      </c>
      <c r="I67" s="35">
        <f t="shared" si="22"/>
        <v>9689.3949564799514</v>
      </c>
      <c r="J67" s="35">
        <f t="shared" si="22"/>
        <v>9689.3949564799514</v>
      </c>
      <c r="K67" s="35">
        <f t="shared" si="22"/>
        <v>9689.3949564799514</v>
      </c>
      <c r="L67" s="35">
        <f t="shared" si="22"/>
        <v>9689.3949564799514</v>
      </c>
      <c r="M67" s="35">
        <f t="shared" si="22"/>
        <v>9689.3949564799514</v>
      </c>
      <c r="N67" s="35">
        <f t="shared" si="22"/>
        <v>9689.3949564799514</v>
      </c>
      <c r="O67" s="35">
        <f t="shared" si="22"/>
        <v>9689.3949564799514</v>
      </c>
      <c r="P67" s="35">
        <f t="shared" si="22"/>
        <v>9689.3949564799514</v>
      </c>
      <c r="Q67" s="35">
        <f t="shared" si="22"/>
        <v>9689.3949564799514</v>
      </c>
      <c r="R67" s="35">
        <f t="shared" si="22"/>
        <v>9689.3949564799514</v>
      </c>
      <c r="S67" s="35">
        <f t="shared" si="25"/>
        <v>9689.3949564799514</v>
      </c>
      <c r="T67" s="35">
        <f t="shared" si="19"/>
        <v>9689.3949564799514</v>
      </c>
      <c r="U67" s="35">
        <f t="shared" si="19"/>
        <v>9689.3949564799514</v>
      </c>
      <c r="V67" s="35">
        <f t="shared" si="19"/>
        <v>9689.3949564799514</v>
      </c>
      <c r="W67" s="35">
        <f t="shared" si="19"/>
        <v>9689.3949564799514</v>
      </c>
      <c r="X67" s="35">
        <f t="shared" si="19"/>
        <v>9689.3949564799514</v>
      </c>
      <c r="Y67" s="35">
        <f t="shared" si="19"/>
        <v>9689.3949564799514</v>
      </c>
      <c r="Z67" s="35">
        <f t="shared" si="19"/>
        <v>9689.3949564799514</v>
      </c>
      <c r="AA67" s="35">
        <f t="shared" ref="AA67:AA77" si="28">SUM(C67:Z67)</f>
        <v>232545.47895551889</v>
      </c>
      <c r="AB67" s="28">
        <f t="shared" ref="AB67:AB77" si="29">DAY(EOMONTH(B67,0))</f>
        <v>28</v>
      </c>
      <c r="AC67" s="29">
        <v>6511273.410754527</v>
      </c>
      <c r="AD67" s="37"/>
      <c r="AE67"/>
    </row>
    <row r="68" spans="1:31" ht="15">
      <c r="A68" s="23">
        <f t="shared" si="1"/>
        <v>2031</v>
      </c>
      <c r="B68" s="27">
        <v>47908</v>
      </c>
      <c r="C68" s="35">
        <f t="shared" si="22"/>
        <v>7110.9099334384737</v>
      </c>
      <c r="D68" s="35">
        <f t="shared" si="22"/>
        <v>7110.9099334384737</v>
      </c>
      <c r="E68" s="35">
        <f t="shared" si="22"/>
        <v>7110.9099334384737</v>
      </c>
      <c r="F68" s="35">
        <f t="shared" si="22"/>
        <v>7110.9099334384737</v>
      </c>
      <c r="G68" s="35">
        <f t="shared" si="22"/>
        <v>7110.9099334384737</v>
      </c>
      <c r="H68" s="35">
        <f t="shared" si="22"/>
        <v>7110.9099334384737</v>
      </c>
      <c r="I68" s="35">
        <f t="shared" si="22"/>
        <v>7110.9099334384737</v>
      </c>
      <c r="J68" s="35">
        <f t="shared" si="22"/>
        <v>7110.9099334384737</v>
      </c>
      <c r="K68" s="35">
        <f t="shared" si="22"/>
        <v>7110.9099334384737</v>
      </c>
      <c r="L68" s="35">
        <f t="shared" si="22"/>
        <v>7110.9099334384737</v>
      </c>
      <c r="M68" s="35">
        <f t="shared" si="22"/>
        <v>7110.9099334384737</v>
      </c>
      <c r="N68" s="35">
        <f t="shared" si="22"/>
        <v>7110.9099334384737</v>
      </c>
      <c r="O68" s="35">
        <f t="shared" si="22"/>
        <v>7110.9099334384737</v>
      </c>
      <c r="P68" s="35">
        <f t="shared" si="22"/>
        <v>7110.9099334384737</v>
      </c>
      <c r="Q68" s="35">
        <f t="shared" si="22"/>
        <v>7110.9099334384737</v>
      </c>
      <c r="R68" s="35">
        <f t="shared" si="22"/>
        <v>7110.9099334384737</v>
      </c>
      <c r="S68" s="35">
        <f t="shared" si="25"/>
        <v>7110.9099334384737</v>
      </c>
      <c r="T68" s="35">
        <f t="shared" si="19"/>
        <v>7110.9099334384737</v>
      </c>
      <c r="U68" s="35">
        <f t="shared" si="19"/>
        <v>7110.9099334384737</v>
      </c>
      <c r="V68" s="35">
        <f t="shared" si="19"/>
        <v>7110.9099334384737</v>
      </c>
      <c r="W68" s="35">
        <f t="shared" si="19"/>
        <v>7110.9099334384737</v>
      </c>
      <c r="X68" s="35">
        <f t="shared" si="19"/>
        <v>7110.9099334384737</v>
      </c>
      <c r="Y68" s="35">
        <f t="shared" si="19"/>
        <v>7110.9099334384737</v>
      </c>
      <c r="Z68" s="35">
        <f t="shared" si="19"/>
        <v>7110.9099334384737</v>
      </c>
      <c r="AA68" s="35">
        <f t="shared" si="28"/>
        <v>170661.83840252328</v>
      </c>
      <c r="AB68" s="28">
        <f t="shared" si="29"/>
        <v>31</v>
      </c>
      <c r="AC68" s="29">
        <v>5290516.9904782241</v>
      </c>
      <c r="AD68" s="37"/>
      <c r="AE68"/>
    </row>
    <row r="69" spans="1:31" ht="15">
      <c r="A69" s="23">
        <f t="shared" si="1"/>
        <v>2031</v>
      </c>
      <c r="B69" s="27">
        <v>47939</v>
      </c>
      <c r="C69" s="35">
        <f t="shared" si="22"/>
        <v>7913.1052739402694</v>
      </c>
      <c r="D69" s="35">
        <f t="shared" si="22"/>
        <v>7913.1052739402694</v>
      </c>
      <c r="E69" s="35">
        <f t="shared" si="22"/>
        <v>7913.1052739402694</v>
      </c>
      <c r="F69" s="35">
        <f t="shared" si="22"/>
        <v>7913.1052739402694</v>
      </c>
      <c r="G69" s="35">
        <f t="shared" si="22"/>
        <v>7913.1052739402694</v>
      </c>
      <c r="H69" s="35">
        <f t="shared" si="22"/>
        <v>7913.1052739402694</v>
      </c>
      <c r="I69" s="35">
        <f t="shared" si="22"/>
        <v>7913.1052739402694</v>
      </c>
      <c r="J69" s="35">
        <f t="shared" si="22"/>
        <v>7913.1052739402694</v>
      </c>
      <c r="K69" s="35">
        <f t="shared" si="22"/>
        <v>7913.1052739402694</v>
      </c>
      <c r="L69" s="35">
        <f t="shared" si="22"/>
        <v>7913.1052739402694</v>
      </c>
      <c r="M69" s="35">
        <f t="shared" si="22"/>
        <v>7913.1052739402694</v>
      </c>
      <c r="N69" s="35">
        <f t="shared" si="22"/>
        <v>7913.1052739402694</v>
      </c>
      <c r="O69" s="35">
        <f t="shared" si="22"/>
        <v>7913.1052739402694</v>
      </c>
      <c r="P69" s="35">
        <f t="shared" si="22"/>
        <v>7913.1052739402694</v>
      </c>
      <c r="Q69" s="35">
        <f t="shared" si="22"/>
        <v>7913.1052739402694</v>
      </c>
      <c r="R69" s="35">
        <f t="shared" si="22"/>
        <v>7913.1052739402694</v>
      </c>
      <c r="S69" s="35">
        <f t="shared" si="25"/>
        <v>7913.1052739402694</v>
      </c>
      <c r="T69" s="35">
        <f t="shared" si="19"/>
        <v>7913.1052739402694</v>
      </c>
      <c r="U69" s="35">
        <f t="shared" si="19"/>
        <v>7913.1052739402694</v>
      </c>
      <c r="V69" s="35">
        <f t="shared" si="19"/>
        <v>7913.1052739402694</v>
      </c>
      <c r="W69" s="35">
        <f t="shared" si="19"/>
        <v>7913.1052739402694</v>
      </c>
      <c r="X69" s="35">
        <f t="shared" si="19"/>
        <v>7913.1052739402694</v>
      </c>
      <c r="Y69" s="35">
        <f t="shared" si="19"/>
        <v>7913.1052739402694</v>
      </c>
      <c r="Z69" s="35">
        <f t="shared" si="19"/>
        <v>7913.1052739402694</v>
      </c>
      <c r="AA69" s="35">
        <f t="shared" si="28"/>
        <v>189914.52657456649</v>
      </c>
      <c r="AB69" s="28">
        <f t="shared" si="29"/>
        <v>30</v>
      </c>
      <c r="AC69" s="29">
        <v>5697435.7972369939</v>
      </c>
      <c r="AD69" s="37"/>
      <c r="AE69"/>
    </row>
    <row r="70" spans="1:31" ht="15">
      <c r="A70" s="23">
        <f t="shared" si="1"/>
        <v>2031</v>
      </c>
      <c r="B70" s="27">
        <v>47969</v>
      </c>
      <c r="C70" s="35">
        <f t="shared" si="22"/>
        <v>7110.9099334384737</v>
      </c>
      <c r="D70" s="35">
        <f t="shared" si="22"/>
        <v>7110.9099334384737</v>
      </c>
      <c r="E70" s="35">
        <f t="shared" si="22"/>
        <v>7110.9099334384737</v>
      </c>
      <c r="F70" s="35">
        <f t="shared" si="22"/>
        <v>7110.9099334384737</v>
      </c>
      <c r="G70" s="35">
        <f t="shared" si="22"/>
        <v>7110.9099334384737</v>
      </c>
      <c r="H70" s="35">
        <f t="shared" si="22"/>
        <v>7110.9099334384737</v>
      </c>
      <c r="I70" s="35">
        <f t="shared" si="22"/>
        <v>7110.9099334384737</v>
      </c>
      <c r="J70" s="35">
        <f t="shared" si="22"/>
        <v>7110.9099334384737</v>
      </c>
      <c r="K70" s="35">
        <f t="shared" si="22"/>
        <v>7110.9099334384737</v>
      </c>
      <c r="L70" s="35">
        <f t="shared" si="22"/>
        <v>7110.9099334384737</v>
      </c>
      <c r="M70" s="35">
        <f t="shared" si="22"/>
        <v>7110.9099334384737</v>
      </c>
      <c r="N70" s="35">
        <f t="shared" si="22"/>
        <v>7110.9099334384737</v>
      </c>
      <c r="O70" s="35">
        <f t="shared" si="22"/>
        <v>7110.9099334384737</v>
      </c>
      <c r="P70" s="35">
        <f t="shared" si="22"/>
        <v>7110.9099334384737</v>
      </c>
      <c r="Q70" s="35">
        <f t="shared" si="22"/>
        <v>7110.9099334384737</v>
      </c>
      <c r="R70" s="35">
        <f t="shared" ref="R70:Z85" si="30">($AC70/$AB70)/24</f>
        <v>7110.9099334384737</v>
      </c>
      <c r="S70" s="35">
        <f t="shared" si="25"/>
        <v>7110.9099334384737</v>
      </c>
      <c r="T70" s="35">
        <f t="shared" si="30"/>
        <v>7110.9099334384737</v>
      </c>
      <c r="U70" s="35">
        <f t="shared" si="19"/>
        <v>7110.9099334384737</v>
      </c>
      <c r="V70" s="35">
        <f t="shared" si="30"/>
        <v>7110.9099334384737</v>
      </c>
      <c r="W70" s="35">
        <f t="shared" si="19"/>
        <v>7110.9099334384737</v>
      </c>
      <c r="X70" s="35">
        <f t="shared" si="30"/>
        <v>7110.9099334384737</v>
      </c>
      <c r="Y70" s="35">
        <f t="shared" si="19"/>
        <v>7110.9099334384737</v>
      </c>
      <c r="Z70" s="35">
        <f t="shared" si="30"/>
        <v>7110.9099334384737</v>
      </c>
      <c r="AA70" s="35">
        <f t="shared" si="28"/>
        <v>170661.83840252328</v>
      </c>
      <c r="AB70" s="28">
        <f t="shared" si="29"/>
        <v>31</v>
      </c>
      <c r="AC70" s="29">
        <v>5290516.9904782241</v>
      </c>
      <c r="AD70" s="37"/>
      <c r="AE70"/>
    </row>
    <row r="71" spans="1:31" ht="15">
      <c r="A71" s="23">
        <f t="shared" ref="A71:A125" si="31">YEAR(B71)</f>
        <v>2031</v>
      </c>
      <c r="B71" s="27">
        <v>48000</v>
      </c>
      <c r="C71" s="35">
        <f t="shared" ref="C71:R86" si="32">($AC71/$AB71)/24</f>
        <v>7913.1052739402694</v>
      </c>
      <c r="D71" s="35">
        <f t="shared" si="32"/>
        <v>7913.1052739402694</v>
      </c>
      <c r="E71" s="35">
        <f t="shared" si="32"/>
        <v>7913.1052739402694</v>
      </c>
      <c r="F71" s="35">
        <f t="shared" si="32"/>
        <v>7913.1052739402694</v>
      </c>
      <c r="G71" s="35">
        <f t="shared" si="32"/>
        <v>7913.1052739402694</v>
      </c>
      <c r="H71" s="35">
        <f t="shared" si="32"/>
        <v>7913.1052739402694</v>
      </c>
      <c r="I71" s="35">
        <f t="shared" si="32"/>
        <v>7913.1052739402694</v>
      </c>
      <c r="J71" s="35">
        <f t="shared" si="32"/>
        <v>7913.1052739402694</v>
      </c>
      <c r="K71" s="35">
        <f t="shared" si="32"/>
        <v>7913.1052739402694</v>
      </c>
      <c r="L71" s="35">
        <f t="shared" si="32"/>
        <v>7913.1052739402694</v>
      </c>
      <c r="M71" s="35">
        <f t="shared" si="32"/>
        <v>7913.1052739402694</v>
      </c>
      <c r="N71" s="35">
        <f t="shared" si="32"/>
        <v>7913.1052739402694</v>
      </c>
      <c r="O71" s="35">
        <f t="shared" si="32"/>
        <v>7913.1052739402694</v>
      </c>
      <c r="P71" s="35">
        <f t="shared" si="32"/>
        <v>7913.1052739402694</v>
      </c>
      <c r="Q71" s="35">
        <f t="shared" si="32"/>
        <v>7913.1052739402694</v>
      </c>
      <c r="R71" s="35">
        <f t="shared" si="32"/>
        <v>7913.1052739402694</v>
      </c>
      <c r="S71" s="35">
        <f t="shared" si="25"/>
        <v>7913.1052739402694</v>
      </c>
      <c r="T71" s="35">
        <f t="shared" si="30"/>
        <v>7913.1052739402694</v>
      </c>
      <c r="U71" s="35">
        <f t="shared" si="19"/>
        <v>7913.1052739402694</v>
      </c>
      <c r="V71" s="35">
        <f t="shared" si="30"/>
        <v>7913.1052739402694</v>
      </c>
      <c r="W71" s="35">
        <f t="shared" si="19"/>
        <v>7913.1052739402694</v>
      </c>
      <c r="X71" s="35">
        <f t="shared" si="30"/>
        <v>7913.1052739402694</v>
      </c>
      <c r="Y71" s="35">
        <f t="shared" si="19"/>
        <v>7913.1052739402694</v>
      </c>
      <c r="Z71" s="35">
        <f t="shared" si="30"/>
        <v>7913.1052739402694</v>
      </c>
      <c r="AA71" s="35">
        <f t="shared" si="28"/>
        <v>189914.52657456649</v>
      </c>
      <c r="AB71" s="28">
        <f t="shared" si="29"/>
        <v>30</v>
      </c>
      <c r="AC71" s="29">
        <v>5697435.7972369939</v>
      </c>
      <c r="AD71" s="37"/>
      <c r="AE71"/>
    </row>
    <row r="72" spans="1:31" ht="15">
      <c r="A72" s="23">
        <f t="shared" si="31"/>
        <v>2031</v>
      </c>
      <c r="B72" s="27">
        <v>48030</v>
      </c>
      <c r="C72" s="35">
        <f t="shared" si="32"/>
        <v>7110.9099334384737</v>
      </c>
      <c r="D72" s="35">
        <f t="shared" si="32"/>
        <v>7110.9099334384737</v>
      </c>
      <c r="E72" s="35">
        <f t="shared" si="32"/>
        <v>7110.9099334384737</v>
      </c>
      <c r="F72" s="35">
        <f t="shared" si="32"/>
        <v>7110.9099334384737</v>
      </c>
      <c r="G72" s="35">
        <f t="shared" si="32"/>
        <v>7110.9099334384737</v>
      </c>
      <c r="H72" s="35">
        <f t="shared" si="32"/>
        <v>7110.9099334384737</v>
      </c>
      <c r="I72" s="35">
        <f t="shared" si="32"/>
        <v>7110.9099334384737</v>
      </c>
      <c r="J72" s="35">
        <f t="shared" si="32"/>
        <v>7110.9099334384737</v>
      </c>
      <c r="K72" s="35">
        <f t="shared" si="32"/>
        <v>7110.9099334384737</v>
      </c>
      <c r="L72" s="35">
        <f t="shared" si="32"/>
        <v>7110.9099334384737</v>
      </c>
      <c r="M72" s="35">
        <f t="shared" si="32"/>
        <v>7110.9099334384737</v>
      </c>
      <c r="N72" s="35">
        <f t="shared" si="32"/>
        <v>7110.9099334384737</v>
      </c>
      <c r="O72" s="35">
        <f t="shared" si="32"/>
        <v>7110.9099334384737</v>
      </c>
      <c r="P72" s="35">
        <f t="shared" si="32"/>
        <v>7110.9099334384737</v>
      </c>
      <c r="Q72" s="35">
        <f t="shared" si="32"/>
        <v>7110.9099334384737</v>
      </c>
      <c r="R72" s="35">
        <f t="shared" si="32"/>
        <v>7110.9099334384737</v>
      </c>
      <c r="S72" s="35">
        <f t="shared" si="25"/>
        <v>7110.9099334384737</v>
      </c>
      <c r="T72" s="35">
        <f t="shared" si="30"/>
        <v>7110.9099334384737</v>
      </c>
      <c r="U72" s="35">
        <f t="shared" si="19"/>
        <v>7110.9099334384737</v>
      </c>
      <c r="V72" s="35">
        <f t="shared" si="30"/>
        <v>7110.9099334384737</v>
      </c>
      <c r="W72" s="35">
        <f t="shared" si="19"/>
        <v>7110.9099334384737</v>
      </c>
      <c r="X72" s="35">
        <f t="shared" si="30"/>
        <v>7110.9099334384737</v>
      </c>
      <c r="Y72" s="35">
        <f t="shared" si="19"/>
        <v>7110.9099334384737</v>
      </c>
      <c r="Z72" s="35">
        <f t="shared" si="30"/>
        <v>7110.9099334384737</v>
      </c>
      <c r="AA72" s="35">
        <f t="shared" si="28"/>
        <v>170661.83840252328</v>
      </c>
      <c r="AB72" s="28">
        <f t="shared" si="29"/>
        <v>31</v>
      </c>
      <c r="AC72" s="29">
        <v>5290516.9904782241</v>
      </c>
      <c r="AD72" s="37"/>
      <c r="AE72"/>
    </row>
    <row r="73" spans="1:31" ht="15">
      <c r="A73" s="23">
        <f t="shared" si="31"/>
        <v>2031</v>
      </c>
      <c r="B73" s="27">
        <v>48061</v>
      </c>
      <c r="C73" s="35">
        <f t="shared" si="32"/>
        <v>7110.9099334384737</v>
      </c>
      <c r="D73" s="35">
        <f t="shared" si="32"/>
        <v>7110.9099334384737</v>
      </c>
      <c r="E73" s="35">
        <f t="shared" si="32"/>
        <v>7110.9099334384737</v>
      </c>
      <c r="F73" s="35">
        <f t="shared" si="32"/>
        <v>7110.9099334384737</v>
      </c>
      <c r="G73" s="35">
        <f t="shared" si="32"/>
        <v>7110.9099334384737</v>
      </c>
      <c r="H73" s="35">
        <f t="shared" si="32"/>
        <v>7110.9099334384737</v>
      </c>
      <c r="I73" s="35">
        <f t="shared" si="32"/>
        <v>7110.9099334384737</v>
      </c>
      <c r="J73" s="35">
        <f t="shared" si="32"/>
        <v>7110.9099334384737</v>
      </c>
      <c r="K73" s="35">
        <f t="shared" si="32"/>
        <v>7110.9099334384737</v>
      </c>
      <c r="L73" s="35">
        <f t="shared" si="32"/>
        <v>7110.9099334384737</v>
      </c>
      <c r="M73" s="35">
        <f t="shared" si="32"/>
        <v>7110.9099334384737</v>
      </c>
      <c r="N73" s="35">
        <f t="shared" si="32"/>
        <v>7110.9099334384737</v>
      </c>
      <c r="O73" s="35">
        <f t="shared" si="32"/>
        <v>7110.9099334384737</v>
      </c>
      <c r="P73" s="35">
        <f t="shared" si="32"/>
        <v>7110.9099334384737</v>
      </c>
      <c r="Q73" s="35">
        <f t="shared" si="32"/>
        <v>7110.9099334384737</v>
      </c>
      <c r="R73" s="35">
        <f t="shared" si="32"/>
        <v>7110.9099334384737</v>
      </c>
      <c r="S73" s="35">
        <f t="shared" si="25"/>
        <v>7110.9099334384737</v>
      </c>
      <c r="T73" s="35">
        <f t="shared" si="30"/>
        <v>7110.9099334384737</v>
      </c>
      <c r="U73" s="35">
        <f t="shared" si="19"/>
        <v>7110.9099334384737</v>
      </c>
      <c r="V73" s="35">
        <f t="shared" si="30"/>
        <v>7110.9099334384737</v>
      </c>
      <c r="W73" s="35">
        <f t="shared" si="19"/>
        <v>7110.9099334384737</v>
      </c>
      <c r="X73" s="35">
        <f t="shared" si="30"/>
        <v>7110.9099334384737</v>
      </c>
      <c r="Y73" s="35">
        <f t="shared" si="19"/>
        <v>7110.9099334384737</v>
      </c>
      <c r="Z73" s="35">
        <f t="shared" si="30"/>
        <v>7110.9099334384737</v>
      </c>
      <c r="AA73" s="35">
        <f t="shared" si="28"/>
        <v>170661.83840252328</v>
      </c>
      <c r="AB73" s="28">
        <f t="shared" si="29"/>
        <v>31</v>
      </c>
      <c r="AC73" s="29">
        <v>5290516.9904782241</v>
      </c>
      <c r="AD73" s="37"/>
      <c r="AE73"/>
    </row>
    <row r="74" spans="1:31" ht="15">
      <c r="A74" s="23">
        <f t="shared" si="31"/>
        <v>2031</v>
      </c>
      <c r="B74" s="27">
        <v>48092</v>
      </c>
      <c r="C74" s="35">
        <f t="shared" si="32"/>
        <v>7913.1052739402694</v>
      </c>
      <c r="D74" s="35">
        <f t="shared" si="32"/>
        <v>7913.1052739402694</v>
      </c>
      <c r="E74" s="35">
        <f t="shared" si="32"/>
        <v>7913.1052739402694</v>
      </c>
      <c r="F74" s="35">
        <f t="shared" si="32"/>
        <v>7913.1052739402694</v>
      </c>
      <c r="G74" s="35">
        <f t="shared" si="32"/>
        <v>7913.1052739402694</v>
      </c>
      <c r="H74" s="35">
        <f t="shared" si="32"/>
        <v>7913.1052739402694</v>
      </c>
      <c r="I74" s="35">
        <f t="shared" si="32"/>
        <v>7913.1052739402694</v>
      </c>
      <c r="J74" s="35">
        <f t="shared" si="32"/>
        <v>7913.1052739402694</v>
      </c>
      <c r="K74" s="35">
        <f t="shared" si="32"/>
        <v>7913.1052739402694</v>
      </c>
      <c r="L74" s="35">
        <f t="shared" si="32"/>
        <v>7913.1052739402694</v>
      </c>
      <c r="M74" s="35">
        <f t="shared" si="32"/>
        <v>7913.1052739402694</v>
      </c>
      <c r="N74" s="35">
        <f t="shared" si="32"/>
        <v>7913.1052739402694</v>
      </c>
      <c r="O74" s="35">
        <f t="shared" si="32"/>
        <v>7913.1052739402694</v>
      </c>
      <c r="P74" s="35">
        <f t="shared" si="32"/>
        <v>7913.1052739402694</v>
      </c>
      <c r="Q74" s="35">
        <f t="shared" si="32"/>
        <v>7913.1052739402694</v>
      </c>
      <c r="R74" s="35">
        <f t="shared" si="32"/>
        <v>7913.1052739402694</v>
      </c>
      <c r="S74" s="35">
        <f t="shared" si="25"/>
        <v>7913.1052739402694</v>
      </c>
      <c r="T74" s="35">
        <f t="shared" si="30"/>
        <v>7913.1052739402694</v>
      </c>
      <c r="U74" s="35">
        <f t="shared" si="19"/>
        <v>7913.1052739402694</v>
      </c>
      <c r="V74" s="35">
        <f t="shared" si="30"/>
        <v>7913.1052739402694</v>
      </c>
      <c r="W74" s="35">
        <f t="shared" si="19"/>
        <v>7913.1052739402694</v>
      </c>
      <c r="X74" s="35">
        <f t="shared" si="30"/>
        <v>7913.1052739402694</v>
      </c>
      <c r="Y74" s="35">
        <f t="shared" si="19"/>
        <v>7913.1052739402694</v>
      </c>
      <c r="Z74" s="35">
        <f t="shared" si="30"/>
        <v>7913.1052739402694</v>
      </c>
      <c r="AA74" s="35">
        <f t="shared" si="28"/>
        <v>189914.52657456649</v>
      </c>
      <c r="AB74" s="28">
        <f t="shared" si="29"/>
        <v>30</v>
      </c>
      <c r="AC74" s="29">
        <v>5697435.7972369939</v>
      </c>
      <c r="AD74" s="37"/>
      <c r="AE74"/>
    </row>
    <row r="75" spans="1:31" ht="15">
      <c r="A75" s="23">
        <f t="shared" si="31"/>
        <v>2031</v>
      </c>
      <c r="B75" s="27">
        <v>48122</v>
      </c>
      <c r="C75" s="35">
        <f t="shared" si="32"/>
        <v>7110.9099334384737</v>
      </c>
      <c r="D75" s="35">
        <f t="shared" si="32"/>
        <v>7110.9099334384737</v>
      </c>
      <c r="E75" s="35">
        <f t="shared" si="32"/>
        <v>7110.9099334384737</v>
      </c>
      <c r="F75" s="35">
        <f t="shared" si="32"/>
        <v>7110.9099334384737</v>
      </c>
      <c r="G75" s="35">
        <f t="shared" si="32"/>
        <v>7110.9099334384737</v>
      </c>
      <c r="H75" s="35">
        <f t="shared" si="32"/>
        <v>7110.9099334384737</v>
      </c>
      <c r="I75" s="35">
        <f t="shared" si="32"/>
        <v>7110.9099334384737</v>
      </c>
      <c r="J75" s="35">
        <f t="shared" si="32"/>
        <v>7110.9099334384737</v>
      </c>
      <c r="K75" s="35">
        <f t="shared" si="32"/>
        <v>7110.9099334384737</v>
      </c>
      <c r="L75" s="35">
        <f t="shared" si="32"/>
        <v>7110.9099334384737</v>
      </c>
      <c r="M75" s="35">
        <f t="shared" si="32"/>
        <v>7110.9099334384737</v>
      </c>
      <c r="N75" s="35">
        <f t="shared" si="32"/>
        <v>7110.9099334384737</v>
      </c>
      <c r="O75" s="35">
        <f t="shared" si="32"/>
        <v>7110.9099334384737</v>
      </c>
      <c r="P75" s="35">
        <f t="shared" si="32"/>
        <v>7110.9099334384737</v>
      </c>
      <c r="Q75" s="35">
        <f t="shared" si="32"/>
        <v>7110.9099334384737</v>
      </c>
      <c r="R75" s="35">
        <f t="shared" si="32"/>
        <v>7110.9099334384737</v>
      </c>
      <c r="S75" s="35">
        <f t="shared" si="25"/>
        <v>7110.9099334384737</v>
      </c>
      <c r="T75" s="35">
        <f t="shared" si="30"/>
        <v>7110.9099334384737</v>
      </c>
      <c r="U75" s="35">
        <f t="shared" si="19"/>
        <v>7110.9099334384737</v>
      </c>
      <c r="V75" s="35">
        <f t="shared" si="30"/>
        <v>7110.9099334384737</v>
      </c>
      <c r="W75" s="35">
        <f t="shared" si="19"/>
        <v>7110.9099334384737</v>
      </c>
      <c r="X75" s="35">
        <f t="shared" si="30"/>
        <v>7110.9099334384737</v>
      </c>
      <c r="Y75" s="35">
        <f t="shared" si="19"/>
        <v>7110.9099334384737</v>
      </c>
      <c r="Z75" s="35">
        <f t="shared" si="30"/>
        <v>7110.9099334384737</v>
      </c>
      <c r="AA75" s="35">
        <f t="shared" si="28"/>
        <v>170661.83840252328</v>
      </c>
      <c r="AB75" s="28">
        <f t="shared" si="29"/>
        <v>31</v>
      </c>
      <c r="AC75" s="29">
        <v>5290516.9904782241</v>
      </c>
      <c r="AD75" s="37"/>
      <c r="AE75"/>
    </row>
    <row r="76" spans="1:31" ht="15">
      <c r="A76" s="23">
        <f t="shared" si="31"/>
        <v>2031</v>
      </c>
      <c r="B76" s="27">
        <v>48153</v>
      </c>
      <c r="C76" s="35">
        <f t="shared" si="32"/>
        <v>7913.1052739402694</v>
      </c>
      <c r="D76" s="35">
        <f t="shared" si="32"/>
        <v>7913.1052739402694</v>
      </c>
      <c r="E76" s="35">
        <f t="shared" si="32"/>
        <v>7913.1052739402694</v>
      </c>
      <c r="F76" s="35">
        <f t="shared" si="32"/>
        <v>7913.1052739402694</v>
      </c>
      <c r="G76" s="35">
        <f t="shared" si="32"/>
        <v>7913.1052739402694</v>
      </c>
      <c r="H76" s="35">
        <f t="shared" si="32"/>
        <v>7913.1052739402694</v>
      </c>
      <c r="I76" s="35">
        <f t="shared" si="32"/>
        <v>7913.1052739402694</v>
      </c>
      <c r="J76" s="35">
        <f t="shared" si="32"/>
        <v>7913.1052739402694</v>
      </c>
      <c r="K76" s="35">
        <f t="shared" si="32"/>
        <v>7913.1052739402694</v>
      </c>
      <c r="L76" s="35">
        <f t="shared" si="32"/>
        <v>7913.1052739402694</v>
      </c>
      <c r="M76" s="35">
        <f t="shared" si="32"/>
        <v>7913.1052739402694</v>
      </c>
      <c r="N76" s="35">
        <f t="shared" si="32"/>
        <v>7913.1052739402694</v>
      </c>
      <c r="O76" s="35">
        <f t="shared" si="32"/>
        <v>7913.1052739402694</v>
      </c>
      <c r="P76" s="35">
        <f t="shared" si="32"/>
        <v>7913.1052739402694</v>
      </c>
      <c r="Q76" s="35">
        <f t="shared" si="32"/>
        <v>7913.1052739402694</v>
      </c>
      <c r="R76" s="35">
        <f t="shared" si="32"/>
        <v>7913.1052739402694</v>
      </c>
      <c r="S76" s="35">
        <f t="shared" si="25"/>
        <v>7913.1052739402694</v>
      </c>
      <c r="T76" s="35">
        <f t="shared" si="30"/>
        <v>7913.1052739402694</v>
      </c>
      <c r="U76" s="35">
        <f t="shared" si="19"/>
        <v>7913.1052739402694</v>
      </c>
      <c r="V76" s="35">
        <f t="shared" si="30"/>
        <v>7913.1052739402694</v>
      </c>
      <c r="W76" s="35">
        <f t="shared" si="19"/>
        <v>7913.1052739402694</v>
      </c>
      <c r="X76" s="35">
        <f t="shared" si="30"/>
        <v>7913.1052739402694</v>
      </c>
      <c r="Y76" s="35">
        <f t="shared" si="19"/>
        <v>7913.1052739402694</v>
      </c>
      <c r="Z76" s="35">
        <f t="shared" si="30"/>
        <v>7913.1052739402694</v>
      </c>
      <c r="AA76" s="35">
        <f t="shared" si="28"/>
        <v>189914.52657456649</v>
      </c>
      <c r="AB76" s="28">
        <f t="shared" si="29"/>
        <v>30</v>
      </c>
      <c r="AC76" s="29">
        <v>5697435.7972369939</v>
      </c>
      <c r="AD76" s="37"/>
      <c r="AE76"/>
    </row>
    <row r="77" spans="1:31" ht="15">
      <c r="A77" s="23">
        <f t="shared" si="31"/>
        <v>2031</v>
      </c>
      <c r="B77" s="27">
        <v>48183</v>
      </c>
      <c r="C77" s="35">
        <f t="shared" si="32"/>
        <v>7110.9099334384737</v>
      </c>
      <c r="D77" s="35">
        <f t="shared" si="32"/>
        <v>7110.9099334384737</v>
      </c>
      <c r="E77" s="35">
        <f t="shared" si="32"/>
        <v>7110.9099334384737</v>
      </c>
      <c r="F77" s="35">
        <f t="shared" si="32"/>
        <v>7110.9099334384737</v>
      </c>
      <c r="G77" s="35">
        <f t="shared" si="32"/>
        <v>7110.9099334384737</v>
      </c>
      <c r="H77" s="35">
        <f t="shared" si="32"/>
        <v>7110.9099334384737</v>
      </c>
      <c r="I77" s="35">
        <f t="shared" si="32"/>
        <v>7110.9099334384737</v>
      </c>
      <c r="J77" s="35">
        <f t="shared" si="32"/>
        <v>7110.9099334384737</v>
      </c>
      <c r="K77" s="35">
        <f t="shared" si="32"/>
        <v>7110.9099334384737</v>
      </c>
      <c r="L77" s="35">
        <f t="shared" si="32"/>
        <v>7110.9099334384737</v>
      </c>
      <c r="M77" s="35">
        <f t="shared" si="32"/>
        <v>7110.9099334384737</v>
      </c>
      <c r="N77" s="35">
        <f t="shared" si="32"/>
        <v>7110.9099334384737</v>
      </c>
      <c r="O77" s="35">
        <f t="shared" si="32"/>
        <v>7110.9099334384737</v>
      </c>
      <c r="P77" s="35">
        <f t="shared" si="32"/>
        <v>7110.9099334384737</v>
      </c>
      <c r="Q77" s="35">
        <f t="shared" si="32"/>
        <v>7110.9099334384737</v>
      </c>
      <c r="R77" s="35">
        <f t="shared" si="32"/>
        <v>7110.9099334384737</v>
      </c>
      <c r="S77" s="35">
        <f t="shared" si="25"/>
        <v>7110.9099334384737</v>
      </c>
      <c r="T77" s="35">
        <f t="shared" si="30"/>
        <v>7110.9099334384737</v>
      </c>
      <c r="U77" s="35">
        <f t="shared" si="19"/>
        <v>7110.9099334384737</v>
      </c>
      <c r="V77" s="35">
        <f t="shared" si="30"/>
        <v>7110.9099334384737</v>
      </c>
      <c r="W77" s="35">
        <f t="shared" si="19"/>
        <v>7110.9099334384737</v>
      </c>
      <c r="X77" s="35">
        <f t="shared" si="30"/>
        <v>7110.9099334384737</v>
      </c>
      <c r="Y77" s="35">
        <f t="shared" si="19"/>
        <v>7110.9099334384737</v>
      </c>
      <c r="Z77" s="35">
        <f t="shared" si="30"/>
        <v>7110.9099334384737</v>
      </c>
      <c r="AA77" s="35">
        <f t="shared" si="28"/>
        <v>170661.83840252328</v>
      </c>
      <c r="AB77" s="28">
        <f t="shared" si="29"/>
        <v>31</v>
      </c>
      <c r="AC77" s="29">
        <v>5290516.9904782241</v>
      </c>
      <c r="AD77" s="37"/>
      <c r="AE77"/>
    </row>
    <row r="78" spans="1:31" ht="15">
      <c r="A78" s="23">
        <f t="shared" si="31"/>
        <v>2032</v>
      </c>
      <c r="B78" s="27">
        <v>48214</v>
      </c>
      <c r="C78" s="35">
        <f t="shared" si="32"/>
        <v>7141.671933438477</v>
      </c>
      <c r="D78" s="35">
        <f t="shared" si="32"/>
        <v>7141.671933438477</v>
      </c>
      <c r="E78" s="35">
        <f t="shared" si="32"/>
        <v>7141.671933438477</v>
      </c>
      <c r="F78" s="35">
        <f t="shared" si="32"/>
        <v>7141.671933438477</v>
      </c>
      <c r="G78" s="35">
        <f t="shared" si="32"/>
        <v>7141.671933438477</v>
      </c>
      <c r="H78" s="35">
        <f t="shared" si="32"/>
        <v>7141.671933438477</v>
      </c>
      <c r="I78" s="35">
        <f t="shared" si="32"/>
        <v>7141.671933438477</v>
      </c>
      <c r="J78" s="35">
        <f t="shared" si="32"/>
        <v>7141.671933438477</v>
      </c>
      <c r="K78" s="35">
        <f t="shared" si="32"/>
        <v>7141.671933438477</v>
      </c>
      <c r="L78" s="35">
        <f t="shared" si="32"/>
        <v>7141.671933438477</v>
      </c>
      <c r="M78" s="35">
        <f t="shared" si="32"/>
        <v>7141.671933438477</v>
      </c>
      <c r="N78" s="35">
        <f t="shared" si="32"/>
        <v>7141.671933438477</v>
      </c>
      <c r="O78" s="35">
        <f t="shared" si="32"/>
        <v>7141.671933438477</v>
      </c>
      <c r="P78" s="35">
        <f t="shared" si="32"/>
        <v>7141.671933438477</v>
      </c>
      <c r="Q78" s="35">
        <f t="shared" si="32"/>
        <v>7141.671933438477</v>
      </c>
      <c r="R78" s="35">
        <f t="shared" si="32"/>
        <v>7141.671933438477</v>
      </c>
      <c r="S78" s="35">
        <f t="shared" si="25"/>
        <v>7141.671933438477</v>
      </c>
      <c r="T78" s="35">
        <f t="shared" si="30"/>
        <v>7141.671933438477</v>
      </c>
      <c r="U78" s="35">
        <f t="shared" si="19"/>
        <v>7141.671933438477</v>
      </c>
      <c r="V78" s="35">
        <f t="shared" si="30"/>
        <v>7141.671933438477</v>
      </c>
      <c r="W78" s="35">
        <f t="shared" si="19"/>
        <v>7141.671933438477</v>
      </c>
      <c r="X78" s="35">
        <f t="shared" si="30"/>
        <v>7141.671933438477</v>
      </c>
      <c r="Y78" s="35">
        <f t="shared" si="19"/>
        <v>7141.671933438477</v>
      </c>
      <c r="Z78" s="35">
        <f t="shared" si="30"/>
        <v>7141.671933438477</v>
      </c>
      <c r="AA78" s="35">
        <f t="shared" ref="AA78" si="33">SUM(C78:Z78)</f>
        <v>171400.12640252354</v>
      </c>
      <c r="AB78" s="28">
        <f t="shared" ref="AB78" si="34">DAY(EOMONTH(B78,0))</f>
        <v>31</v>
      </c>
      <c r="AC78" s="29">
        <v>5313403.9184782272</v>
      </c>
      <c r="AD78" s="37"/>
      <c r="AE78"/>
    </row>
    <row r="79" spans="1:31" ht="15">
      <c r="A79" s="23">
        <f t="shared" si="31"/>
        <v>2032</v>
      </c>
      <c r="B79" s="27">
        <v>48245</v>
      </c>
      <c r="C79" s="35">
        <f t="shared" si="32"/>
        <v>8801.3864310283916</v>
      </c>
      <c r="D79" s="35">
        <f t="shared" si="32"/>
        <v>8801.3864310283916</v>
      </c>
      <c r="E79" s="35">
        <f t="shared" si="32"/>
        <v>8801.3864310283916</v>
      </c>
      <c r="F79" s="35">
        <f t="shared" si="32"/>
        <v>8801.3864310283916</v>
      </c>
      <c r="G79" s="35">
        <f t="shared" si="32"/>
        <v>8801.3864310283916</v>
      </c>
      <c r="H79" s="35">
        <f t="shared" si="32"/>
        <v>8801.3864310283916</v>
      </c>
      <c r="I79" s="35">
        <f t="shared" si="32"/>
        <v>8801.3864310283916</v>
      </c>
      <c r="J79" s="35">
        <f t="shared" si="32"/>
        <v>8801.3864310283916</v>
      </c>
      <c r="K79" s="35">
        <f t="shared" si="32"/>
        <v>8801.3864310283916</v>
      </c>
      <c r="L79" s="35">
        <f t="shared" si="32"/>
        <v>8801.3864310283916</v>
      </c>
      <c r="M79" s="35">
        <f t="shared" si="32"/>
        <v>8801.3864310283916</v>
      </c>
      <c r="N79" s="35">
        <f t="shared" si="32"/>
        <v>8801.3864310283916</v>
      </c>
      <c r="O79" s="35">
        <f t="shared" si="32"/>
        <v>8801.3864310283916</v>
      </c>
      <c r="P79" s="35">
        <f t="shared" si="32"/>
        <v>8801.3864310283916</v>
      </c>
      <c r="Q79" s="35">
        <f t="shared" si="32"/>
        <v>8801.3864310283916</v>
      </c>
      <c r="R79" s="35">
        <f t="shared" si="32"/>
        <v>8801.3864310283916</v>
      </c>
      <c r="S79" s="35">
        <f t="shared" si="25"/>
        <v>8801.3864310283916</v>
      </c>
      <c r="T79" s="35">
        <f t="shared" si="30"/>
        <v>8801.3864310283916</v>
      </c>
      <c r="U79" s="35">
        <f t="shared" si="19"/>
        <v>8801.3864310283916</v>
      </c>
      <c r="V79" s="35">
        <f t="shared" si="30"/>
        <v>8801.3864310283916</v>
      </c>
      <c r="W79" s="35">
        <f t="shared" si="19"/>
        <v>8801.3864310283916</v>
      </c>
      <c r="X79" s="35">
        <f t="shared" si="30"/>
        <v>8801.3864310283916</v>
      </c>
      <c r="Y79" s="35">
        <f t="shared" si="19"/>
        <v>8801.3864310283916</v>
      </c>
      <c r="Z79" s="35">
        <f t="shared" si="30"/>
        <v>8801.3864310283916</v>
      </c>
      <c r="AA79" s="35">
        <f t="shared" ref="AA79:AA89" si="35">SUM(C79:Z79)</f>
        <v>211233.27434468147</v>
      </c>
      <c r="AB79" s="28">
        <f t="shared" ref="AB79:AB89" si="36">DAY(EOMONTH(B79,0))</f>
        <v>29</v>
      </c>
      <c r="AC79" s="29">
        <v>6125764.9559957599</v>
      </c>
      <c r="AD79" s="37"/>
      <c r="AE79"/>
    </row>
    <row r="80" spans="1:31" ht="15">
      <c r="A80" s="23">
        <f t="shared" si="31"/>
        <v>2032</v>
      </c>
      <c r="B80" s="27">
        <v>48274</v>
      </c>
      <c r="C80" s="35">
        <f t="shared" si="32"/>
        <v>7141.671933438477</v>
      </c>
      <c r="D80" s="35">
        <f t="shared" si="32"/>
        <v>7141.671933438477</v>
      </c>
      <c r="E80" s="35">
        <f t="shared" si="32"/>
        <v>7141.671933438477</v>
      </c>
      <c r="F80" s="35">
        <f t="shared" si="32"/>
        <v>7141.671933438477</v>
      </c>
      <c r="G80" s="35">
        <f t="shared" si="32"/>
        <v>7141.671933438477</v>
      </c>
      <c r="H80" s="35">
        <f t="shared" si="32"/>
        <v>7141.671933438477</v>
      </c>
      <c r="I80" s="35">
        <f t="shared" si="32"/>
        <v>7141.671933438477</v>
      </c>
      <c r="J80" s="35">
        <f t="shared" si="32"/>
        <v>7141.671933438477</v>
      </c>
      <c r="K80" s="35">
        <f t="shared" si="32"/>
        <v>7141.671933438477</v>
      </c>
      <c r="L80" s="35">
        <f t="shared" si="32"/>
        <v>7141.671933438477</v>
      </c>
      <c r="M80" s="35">
        <f t="shared" si="32"/>
        <v>7141.671933438477</v>
      </c>
      <c r="N80" s="35">
        <f t="shared" si="32"/>
        <v>7141.671933438477</v>
      </c>
      <c r="O80" s="35">
        <f t="shared" si="32"/>
        <v>7141.671933438477</v>
      </c>
      <c r="P80" s="35">
        <f t="shared" si="32"/>
        <v>7141.671933438477</v>
      </c>
      <c r="Q80" s="35">
        <f t="shared" si="32"/>
        <v>7141.671933438477</v>
      </c>
      <c r="R80" s="35">
        <f t="shared" si="32"/>
        <v>7141.671933438477</v>
      </c>
      <c r="S80" s="35">
        <f t="shared" si="25"/>
        <v>7141.671933438477</v>
      </c>
      <c r="T80" s="35">
        <f t="shared" si="30"/>
        <v>7141.671933438477</v>
      </c>
      <c r="U80" s="35">
        <f t="shared" si="19"/>
        <v>7141.671933438477</v>
      </c>
      <c r="V80" s="35">
        <f t="shared" si="30"/>
        <v>7141.671933438477</v>
      </c>
      <c r="W80" s="35">
        <f t="shared" si="19"/>
        <v>7141.671933438477</v>
      </c>
      <c r="X80" s="35">
        <f t="shared" si="30"/>
        <v>7141.671933438477</v>
      </c>
      <c r="Y80" s="35">
        <f t="shared" si="19"/>
        <v>7141.671933438477</v>
      </c>
      <c r="Z80" s="35">
        <f t="shared" si="30"/>
        <v>7141.671933438477</v>
      </c>
      <c r="AA80" s="35">
        <f t="shared" si="35"/>
        <v>171400.12640252354</v>
      </c>
      <c r="AB80" s="28">
        <f t="shared" si="36"/>
        <v>31</v>
      </c>
      <c r="AC80" s="29">
        <v>5313403.9184782272</v>
      </c>
      <c r="AD80" s="37"/>
      <c r="AE80"/>
    </row>
    <row r="81" spans="1:31" ht="15">
      <c r="A81" s="23">
        <f t="shared" si="31"/>
        <v>2032</v>
      </c>
      <c r="B81" s="27">
        <v>48305</v>
      </c>
      <c r="C81" s="35">
        <f t="shared" si="32"/>
        <v>7943.8672739402691</v>
      </c>
      <c r="D81" s="35">
        <f t="shared" si="32"/>
        <v>7943.8672739402691</v>
      </c>
      <c r="E81" s="35">
        <f t="shared" si="32"/>
        <v>7943.8672739402691</v>
      </c>
      <c r="F81" s="35">
        <f t="shared" si="32"/>
        <v>7943.8672739402691</v>
      </c>
      <c r="G81" s="35">
        <f t="shared" si="32"/>
        <v>7943.8672739402691</v>
      </c>
      <c r="H81" s="35">
        <f t="shared" si="32"/>
        <v>7943.8672739402691</v>
      </c>
      <c r="I81" s="35">
        <f t="shared" si="32"/>
        <v>7943.8672739402691</v>
      </c>
      <c r="J81" s="35">
        <f t="shared" si="32"/>
        <v>7943.8672739402691</v>
      </c>
      <c r="K81" s="35">
        <f t="shared" si="32"/>
        <v>7943.8672739402691</v>
      </c>
      <c r="L81" s="35">
        <f t="shared" si="32"/>
        <v>7943.8672739402691</v>
      </c>
      <c r="M81" s="35">
        <f t="shared" si="32"/>
        <v>7943.8672739402691</v>
      </c>
      <c r="N81" s="35">
        <f t="shared" si="32"/>
        <v>7943.8672739402691</v>
      </c>
      <c r="O81" s="35">
        <f t="shared" si="32"/>
        <v>7943.8672739402691</v>
      </c>
      <c r="P81" s="35">
        <f t="shared" si="32"/>
        <v>7943.8672739402691</v>
      </c>
      <c r="Q81" s="35">
        <f t="shared" si="32"/>
        <v>7943.8672739402691</v>
      </c>
      <c r="R81" s="35">
        <f t="shared" si="32"/>
        <v>7943.8672739402691</v>
      </c>
      <c r="S81" s="35">
        <f t="shared" ref="S81:S96" si="37">($AC81/$AB81)/24</f>
        <v>7943.8672739402691</v>
      </c>
      <c r="T81" s="35">
        <f t="shared" si="30"/>
        <v>7943.8672739402691</v>
      </c>
      <c r="U81" s="35">
        <f t="shared" si="19"/>
        <v>7943.8672739402691</v>
      </c>
      <c r="V81" s="35">
        <f t="shared" si="30"/>
        <v>7943.8672739402691</v>
      </c>
      <c r="W81" s="35">
        <f t="shared" si="19"/>
        <v>7943.8672739402691</v>
      </c>
      <c r="X81" s="35">
        <f t="shared" si="30"/>
        <v>7943.8672739402691</v>
      </c>
      <c r="Y81" s="35">
        <f t="shared" si="19"/>
        <v>7943.8672739402691</v>
      </c>
      <c r="Z81" s="35">
        <f t="shared" si="30"/>
        <v>7943.8672739402691</v>
      </c>
      <c r="AA81" s="35">
        <f t="shared" si="35"/>
        <v>190652.81457456647</v>
      </c>
      <c r="AB81" s="28">
        <f t="shared" si="36"/>
        <v>30</v>
      </c>
      <c r="AC81" s="29">
        <v>5719584.4372369936</v>
      </c>
      <c r="AD81" s="37"/>
      <c r="AE81"/>
    </row>
    <row r="82" spans="1:31" ht="15">
      <c r="A82" s="23">
        <f t="shared" si="31"/>
        <v>2032</v>
      </c>
      <c r="B82" s="27">
        <v>48335</v>
      </c>
      <c r="C82" s="35">
        <f t="shared" si="32"/>
        <v>7141.671933438477</v>
      </c>
      <c r="D82" s="35">
        <f t="shared" si="32"/>
        <v>7141.671933438477</v>
      </c>
      <c r="E82" s="35">
        <f t="shared" si="32"/>
        <v>7141.671933438477</v>
      </c>
      <c r="F82" s="35">
        <f t="shared" si="32"/>
        <v>7141.671933438477</v>
      </c>
      <c r="G82" s="35">
        <f t="shared" si="32"/>
        <v>7141.671933438477</v>
      </c>
      <c r="H82" s="35">
        <f t="shared" si="32"/>
        <v>7141.671933438477</v>
      </c>
      <c r="I82" s="35">
        <f t="shared" si="32"/>
        <v>7141.671933438477</v>
      </c>
      <c r="J82" s="35">
        <f t="shared" si="32"/>
        <v>7141.671933438477</v>
      </c>
      <c r="K82" s="35">
        <f t="shared" si="32"/>
        <v>7141.671933438477</v>
      </c>
      <c r="L82" s="35">
        <f t="shared" si="32"/>
        <v>7141.671933438477</v>
      </c>
      <c r="M82" s="35">
        <f t="shared" si="32"/>
        <v>7141.671933438477</v>
      </c>
      <c r="N82" s="35">
        <f t="shared" si="32"/>
        <v>7141.671933438477</v>
      </c>
      <c r="O82" s="35">
        <f t="shared" si="32"/>
        <v>7141.671933438477</v>
      </c>
      <c r="P82" s="35">
        <f t="shared" si="32"/>
        <v>7141.671933438477</v>
      </c>
      <c r="Q82" s="35">
        <f t="shared" si="32"/>
        <v>7141.671933438477</v>
      </c>
      <c r="R82" s="35">
        <f t="shared" si="32"/>
        <v>7141.671933438477</v>
      </c>
      <c r="S82" s="35">
        <f t="shared" si="37"/>
        <v>7141.671933438477</v>
      </c>
      <c r="T82" s="35">
        <f t="shared" si="30"/>
        <v>7141.671933438477</v>
      </c>
      <c r="U82" s="35">
        <f t="shared" si="19"/>
        <v>7141.671933438477</v>
      </c>
      <c r="V82" s="35">
        <f t="shared" si="30"/>
        <v>7141.671933438477</v>
      </c>
      <c r="W82" s="35">
        <f t="shared" si="19"/>
        <v>7141.671933438477</v>
      </c>
      <c r="X82" s="35">
        <f t="shared" si="30"/>
        <v>7141.671933438477</v>
      </c>
      <c r="Y82" s="35">
        <f t="shared" si="19"/>
        <v>7141.671933438477</v>
      </c>
      <c r="Z82" s="35">
        <f t="shared" si="30"/>
        <v>7141.671933438477</v>
      </c>
      <c r="AA82" s="35">
        <f t="shared" si="35"/>
        <v>171400.12640252354</v>
      </c>
      <c r="AB82" s="28">
        <f t="shared" si="36"/>
        <v>31</v>
      </c>
      <c r="AC82" s="29">
        <v>5313403.9184782272</v>
      </c>
      <c r="AD82" s="37"/>
      <c r="AE82"/>
    </row>
    <row r="83" spans="1:31" ht="15">
      <c r="A83" s="23">
        <f t="shared" si="31"/>
        <v>2032</v>
      </c>
      <c r="B83" s="27">
        <v>48366</v>
      </c>
      <c r="C83" s="35">
        <f t="shared" si="32"/>
        <v>7943.8672739402691</v>
      </c>
      <c r="D83" s="35">
        <f t="shared" si="32"/>
        <v>7943.8672739402691</v>
      </c>
      <c r="E83" s="35">
        <f t="shared" si="32"/>
        <v>7943.8672739402691</v>
      </c>
      <c r="F83" s="35">
        <f t="shared" si="32"/>
        <v>7943.8672739402691</v>
      </c>
      <c r="G83" s="35">
        <f t="shared" si="32"/>
        <v>7943.8672739402691</v>
      </c>
      <c r="H83" s="35">
        <f t="shared" si="32"/>
        <v>7943.8672739402691</v>
      </c>
      <c r="I83" s="35">
        <f t="shared" si="32"/>
        <v>7943.8672739402691</v>
      </c>
      <c r="J83" s="35">
        <f t="shared" si="32"/>
        <v>7943.8672739402691</v>
      </c>
      <c r="K83" s="35">
        <f t="shared" si="32"/>
        <v>7943.8672739402691</v>
      </c>
      <c r="L83" s="35">
        <f t="shared" si="32"/>
        <v>7943.8672739402691</v>
      </c>
      <c r="M83" s="35">
        <f t="shared" si="32"/>
        <v>7943.8672739402691</v>
      </c>
      <c r="N83" s="35">
        <f t="shared" si="32"/>
        <v>7943.8672739402691</v>
      </c>
      <c r="O83" s="35">
        <f t="shared" si="32"/>
        <v>7943.8672739402691</v>
      </c>
      <c r="P83" s="35">
        <f t="shared" si="32"/>
        <v>7943.8672739402691</v>
      </c>
      <c r="Q83" s="35">
        <f t="shared" si="32"/>
        <v>7943.8672739402691</v>
      </c>
      <c r="R83" s="35">
        <f t="shared" si="32"/>
        <v>7943.8672739402691</v>
      </c>
      <c r="S83" s="35">
        <f t="shared" si="37"/>
        <v>7943.8672739402691</v>
      </c>
      <c r="T83" s="35">
        <f t="shared" si="30"/>
        <v>7943.8672739402691</v>
      </c>
      <c r="U83" s="35">
        <f t="shared" si="19"/>
        <v>7943.8672739402691</v>
      </c>
      <c r="V83" s="35">
        <f t="shared" si="30"/>
        <v>7943.8672739402691</v>
      </c>
      <c r="W83" s="35">
        <f t="shared" si="19"/>
        <v>7943.8672739402691</v>
      </c>
      <c r="X83" s="35">
        <f t="shared" si="30"/>
        <v>7943.8672739402691</v>
      </c>
      <c r="Y83" s="35">
        <f t="shared" si="19"/>
        <v>7943.8672739402691</v>
      </c>
      <c r="Z83" s="35">
        <f t="shared" si="30"/>
        <v>7943.8672739402691</v>
      </c>
      <c r="AA83" s="35">
        <f t="shared" si="35"/>
        <v>190652.81457456647</v>
      </c>
      <c r="AB83" s="28">
        <f t="shared" si="36"/>
        <v>30</v>
      </c>
      <c r="AC83" s="29">
        <v>5719584.4372369936</v>
      </c>
      <c r="AD83" s="37"/>
      <c r="AE83"/>
    </row>
    <row r="84" spans="1:31" ht="15">
      <c r="A84" s="23">
        <f t="shared" si="31"/>
        <v>2032</v>
      </c>
      <c r="B84" s="27">
        <v>48396</v>
      </c>
      <c r="C84" s="35">
        <f t="shared" si="32"/>
        <v>7141.671933438477</v>
      </c>
      <c r="D84" s="35">
        <f t="shared" si="32"/>
        <v>7141.671933438477</v>
      </c>
      <c r="E84" s="35">
        <f t="shared" si="32"/>
        <v>7141.671933438477</v>
      </c>
      <c r="F84" s="35">
        <f t="shared" si="32"/>
        <v>7141.671933438477</v>
      </c>
      <c r="G84" s="35">
        <f t="shared" si="32"/>
        <v>7141.671933438477</v>
      </c>
      <c r="H84" s="35">
        <f t="shared" si="32"/>
        <v>7141.671933438477</v>
      </c>
      <c r="I84" s="35">
        <f t="shared" si="32"/>
        <v>7141.671933438477</v>
      </c>
      <c r="J84" s="35">
        <f t="shared" si="32"/>
        <v>7141.671933438477</v>
      </c>
      <c r="K84" s="35">
        <f t="shared" si="32"/>
        <v>7141.671933438477</v>
      </c>
      <c r="L84" s="35">
        <f t="shared" si="32"/>
        <v>7141.671933438477</v>
      </c>
      <c r="M84" s="35">
        <f t="shared" si="32"/>
        <v>7141.671933438477</v>
      </c>
      <c r="N84" s="35">
        <f t="shared" si="32"/>
        <v>7141.671933438477</v>
      </c>
      <c r="O84" s="35">
        <f t="shared" si="32"/>
        <v>7141.671933438477</v>
      </c>
      <c r="P84" s="35">
        <f t="shared" si="32"/>
        <v>7141.671933438477</v>
      </c>
      <c r="Q84" s="35">
        <f t="shared" si="32"/>
        <v>7141.671933438477</v>
      </c>
      <c r="R84" s="35">
        <f t="shared" si="32"/>
        <v>7141.671933438477</v>
      </c>
      <c r="S84" s="35">
        <f t="shared" si="37"/>
        <v>7141.671933438477</v>
      </c>
      <c r="T84" s="35">
        <f t="shared" si="30"/>
        <v>7141.671933438477</v>
      </c>
      <c r="U84" s="35">
        <f t="shared" si="19"/>
        <v>7141.671933438477</v>
      </c>
      <c r="V84" s="35">
        <f t="shared" si="30"/>
        <v>7141.671933438477</v>
      </c>
      <c r="W84" s="35">
        <f t="shared" si="19"/>
        <v>7141.671933438477</v>
      </c>
      <c r="X84" s="35">
        <f t="shared" si="30"/>
        <v>7141.671933438477</v>
      </c>
      <c r="Y84" s="35">
        <f t="shared" si="19"/>
        <v>7141.671933438477</v>
      </c>
      <c r="Z84" s="35">
        <f t="shared" si="30"/>
        <v>7141.671933438477</v>
      </c>
      <c r="AA84" s="35">
        <f t="shared" si="35"/>
        <v>171400.12640252354</v>
      </c>
      <c r="AB84" s="28">
        <f t="shared" si="36"/>
        <v>31</v>
      </c>
      <c r="AC84" s="29">
        <v>5313403.9184782272</v>
      </c>
      <c r="AD84" s="37"/>
      <c r="AE84"/>
    </row>
    <row r="85" spans="1:31" ht="15">
      <c r="A85" s="23">
        <f t="shared" si="31"/>
        <v>2032</v>
      </c>
      <c r="B85" s="27">
        <v>48427</v>
      </c>
      <c r="C85" s="35">
        <f t="shared" si="32"/>
        <v>7141.671933438477</v>
      </c>
      <c r="D85" s="35">
        <f t="shared" si="32"/>
        <v>7141.671933438477</v>
      </c>
      <c r="E85" s="35">
        <f t="shared" si="32"/>
        <v>7141.671933438477</v>
      </c>
      <c r="F85" s="35">
        <f t="shared" si="32"/>
        <v>7141.671933438477</v>
      </c>
      <c r="G85" s="35">
        <f t="shared" si="32"/>
        <v>7141.671933438477</v>
      </c>
      <c r="H85" s="35">
        <f t="shared" si="32"/>
        <v>7141.671933438477</v>
      </c>
      <c r="I85" s="35">
        <f t="shared" si="32"/>
        <v>7141.671933438477</v>
      </c>
      <c r="J85" s="35">
        <f t="shared" si="32"/>
        <v>7141.671933438477</v>
      </c>
      <c r="K85" s="35">
        <f t="shared" si="32"/>
        <v>7141.671933438477</v>
      </c>
      <c r="L85" s="35">
        <f t="shared" si="32"/>
        <v>7141.671933438477</v>
      </c>
      <c r="M85" s="35">
        <f t="shared" si="32"/>
        <v>7141.671933438477</v>
      </c>
      <c r="N85" s="35">
        <f t="shared" si="32"/>
        <v>7141.671933438477</v>
      </c>
      <c r="O85" s="35">
        <f t="shared" si="32"/>
        <v>7141.671933438477</v>
      </c>
      <c r="P85" s="35">
        <f t="shared" si="32"/>
        <v>7141.671933438477</v>
      </c>
      <c r="Q85" s="35">
        <f t="shared" si="32"/>
        <v>7141.671933438477</v>
      </c>
      <c r="R85" s="35">
        <f t="shared" si="32"/>
        <v>7141.671933438477</v>
      </c>
      <c r="S85" s="35">
        <f t="shared" si="37"/>
        <v>7141.671933438477</v>
      </c>
      <c r="T85" s="35">
        <f t="shared" si="30"/>
        <v>7141.671933438477</v>
      </c>
      <c r="U85" s="35">
        <f t="shared" si="19"/>
        <v>7141.671933438477</v>
      </c>
      <c r="V85" s="35">
        <f t="shared" si="30"/>
        <v>7141.671933438477</v>
      </c>
      <c r="W85" s="35">
        <f t="shared" si="19"/>
        <v>7141.671933438477</v>
      </c>
      <c r="X85" s="35">
        <f t="shared" si="30"/>
        <v>7141.671933438477</v>
      </c>
      <c r="Y85" s="35">
        <f t="shared" si="19"/>
        <v>7141.671933438477</v>
      </c>
      <c r="Z85" s="35">
        <f t="shared" si="30"/>
        <v>7141.671933438477</v>
      </c>
      <c r="AA85" s="35">
        <f t="shared" si="35"/>
        <v>171400.12640252354</v>
      </c>
      <c r="AB85" s="28">
        <f t="shared" si="36"/>
        <v>31</v>
      </c>
      <c r="AC85" s="29">
        <v>5313403.9184782272</v>
      </c>
      <c r="AD85" s="37"/>
      <c r="AE85"/>
    </row>
    <row r="86" spans="1:31" ht="15">
      <c r="A86" s="23">
        <f t="shared" si="31"/>
        <v>2032</v>
      </c>
      <c r="B86" s="27">
        <v>48458</v>
      </c>
      <c r="C86" s="35">
        <f t="shared" si="32"/>
        <v>7943.8672739402691</v>
      </c>
      <c r="D86" s="35">
        <f t="shared" si="32"/>
        <v>7943.8672739402691</v>
      </c>
      <c r="E86" s="35">
        <f t="shared" si="32"/>
        <v>7943.8672739402691</v>
      </c>
      <c r="F86" s="35">
        <f t="shared" si="32"/>
        <v>7943.8672739402691</v>
      </c>
      <c r="G86" s="35">
        <f t="shared" si="32"/>
        <v>7943.8672739402691</v>
      </c>
      <c r="H86" s="35">
        <f t="shared" si="32"/>
        <v>7943.8672739402691</v>
      </c>
      <c r="I86" s="35">
        <f t="shared" si="32"/>
        <v>7943.8672739402691</v>
      </c>
      <c r="J86" s="35">
        <f t="shared" si="32"/>
        <v>7943.8672739402691</v>
      </c>
      <c r="K86" s="35">
        <f t="shared" si="32"/>
        <v>7943.8672739402691</v>
      </c>
      <c r="L86" s="35">
        <f t="shared" si="32"/>
        <v>7943.8672739402691</v>
      </c>
      <c r="M86" s="35">
        <f t="shared" si="32"/>
        <v>7943.8672739402691</v>
      </c>
      <c r="N86" s="35">
        <f t="shared" si="32"/>
        <v>7943.8672739402691</v>
      </c>
      <c r="O86" s="35">
        <f t="shared" si="32"/>
        <v>7943.8672739402691</v>
      </c>
      <c r="P86" s="35">
        <f t="shared" si="32"/>
        <v>7943.8672739402691</v>
      </c>
      <c r="Q86" s="35">
        <f t="shared" si="32"/>
        <v>7943.8672739402691</v>
      </c>
      <c r="R86" s="35">
        <f t="shared" ref="R86:Z101" si="38">($AC86/$AB86)/24</f>
        <v>7943.8672739402691</v>
      </c>
      <c r="S86" s="35">
        <f t="shared" si="37"/>
        <v>7943.8672739402691</v>
      </c>
      <c r="T86" s="35">
        <f t="shared" si="38"/>
        <v>7943.8672739402691</v>
      </c>
      <c r="U86" s="35">
        <f t="shared" si="19"/>
        <v>7943.8672739402691</v>
      </c>
      <c r="V86" s="35">
        <f t="shared" si="38"/>
        <v>7943.8672739402691</v>
      </c>
      <c r="W86" s="35">
        <f t="shared" si="19"/>
        <v>7943.8672739402691</v>
      </c>
      <c r="X86" s="35">
        <f t="shared" si="38"/>
        <v>7943.8672739402691</v>
      </c>
      <c r="Y86" s="35">
        <f t="shared" si="19"/>
        <v>7943.8672739402691</v>
      </c>
      <c r="Z86" s="35">
        <f t="shared" si="38"/>
        <v>7943.8672739402691</v>
      </c>
      <c r="AA86" s="35">
        <f t="shared" si="35"/>
        <v>190652.81457456647</v>
      </c>
      <c r="AB86" s="28">
        <f t="shared" si="36"/>
        <v>30</v>
      </c>
      <c r="AC86" s="29">
        <v>5719584.4372369936</v>
      </c>
      <c r="AD86" s="37"/>
      <c r="AE86"/>
    </row>
    <row r="87" spans="1:31" ht="15">
      <c r="A87" s="23">
        <f t="shared" si="31"/>
        <v>2032</v>
      </c>
      <c r="B87" s="27">
        <v>48488</v>
      </c>
      <c r="C87" s="35">
        <f t="shared" ref="C87:R102" si="39">($AC87/$AB87)/24</f>
        <v>7141.671933438477</v>
      </c>
      <c r="D87" s="35">
        <f t="shared" si="39"/>
        <v>7141.671933438477</v>
      </c>
      <c r="E87" s="35">
        <f t="shared" si="39"/>
        <v>7141.671933438477</v>
      </c>
      <c r="F87" s="35">
        <f t="shared" si="39"/>
        <v>7141.671933438477</v>
      </c>
      <c r="G87" s="35">
        <f t="shared" si="39"/>
        <v>7141.671933438477</v>
      </c>
      <c r="H87" s="35">
        <f t="shared" si="39"/>
        <v>7141.671933438477</v>
      </c>
      <c r="I87" s="35">
        <f t="shared" si="39"/>
        <v>7141.671933438477</v>
      </c>
      <c r="J87" s="35">
        <f t="shared" si="39"/>
        <v>7141.671933438477</v>
      </c>
      <c r="K87" s="35">
        <f t="shared" si="39"/>
        <v>7141.671933438477</v>
      </c>
      <c r="L87" s="35">
        <f t="shared" si="39"/>
        <v>7141.671933438477</v>
      </c>
      <c r="M87" s="35">
        <f t="shared" si="39"/>
        <v>7141.671933438477</v>
      </c>
      <c r="N87" s="35">
        <f t="shared" si="39"/>
        <v>7141.671933438477</v>
      </c>
      <c r="O87" s="35">
        <f t="shared" si="39"/>
        <v>7141.671933438477</v>
      </c>
      <c r="P87" s="35">
        <f t="shared" si="39"/>
        <v>7141.671933438477</v>
      </c>
      <c r="Q87" s="35">
        <f t="shared" si="39"/>
        <v>7141.671933438477</v>
      </c>
      <c r="R87" s="35">
        <f t="shared" si="39"/>
        <v>7141.671933438477</v>
      </c>
      <c r="S87" s="35">
        <f t="shared" si="37"/>
        <v>7141.671933438477</v>
      </c>
      <c r="T87" s="35">
        <f t="shared" si="38"/>
        <v>7141.671933438477</v>
      </c>
      <c r="U87" s="35">
        <f t="shared" si="19"/>
        <v>7141.671933438477</v>
      </c>
      <c r="V87" s="35">
        <f t="shared" si="38"/>
        <v>7141.671933438477</v>
      </c>
      <c r="W87" s="35">
        <f t="shared" si="19"/>
        <v>7141.671933438477</v>
      </c>
      <c r="X87" s="35">
        <f t="shared" si="38"/>
        <v>7141.671933438477</v>
      </c>
      <c r="Y87" s="35">
        <f t="shared" si="19"/>
        <v>7141.671933438477</v>
      </c>
      <c r="Z87" s="35">
        <f t="shared" si="38"/>
        <v>7141.671933438477</v>
      </c>
      <c r="AA87" s="35">
        <f t="shared" si="35"/>
        <v>171400.12640252354</v>
      </c>
      <c r="AB87" s="28">
        <f t="shared" si="36"/>
        <v>31</v>
      </c>
      <c r="AC87" s="29">
        <v>5313403.9184782272</v>
      </c>
      <c r="AD87" s="37"/>
      <c r="AE87"/>
    </row>
    <row r="88" spans="1:31" ht="15">
      <c r="A88" s="23">
        <f t="shared" si="31"/>
        <v>2032</v>
      </c>
      <c r="B88" s="27">
        <v>48519</v>
      </c>
      <c r="C88" s="35">
        <f t="shared" si="39"/>
        <v>7943.8672739402691</v>
      </c>
      <c r="D88" s="35">
        <f t="shared" si="39"/>
        <v>7943.8672739402691</v>
      </c>
      <c r="E88" s="35">
        <f t="shared" si="39"/>
        <v>7943.8672739402691</v>
      </c>
      <c r="F88" s="35">
        <f t="shared" si="39"/>
        <v>7943.8672739402691</v>
      </c>
      <c r="G88" s="35">
        <f t="shared" si="39"/>
        <v>7943.8672739402691</v>
      </c>
      <c r="H88" s="35">
        <f t="shared" si="39"/>
        <v>7943.8672739402691</v>
      </c>
      <c r="I88" s="35">
        <f t="shared" si="39"/>
        <v>7943.8672739402691</v>
      </c>
      <c r="J88" s="35">
        <f t="shared" si="39"/>
        <v>7943.8672739402691</v>
      </c>
      <c r="K88" s="35">
        <f t="shared" si="39"/>
        <v>7943.8672739402691</v>
      </c>
      <c r="L88" s="35">
        <f t="shared" si="39"/>
        <v>7943.8672739402691</v>
      </c>
      <c r="M88" s="35">
        <f t="shared" si="39"/>
        <v>7943.8672739402691</v>
      </c>
      <c r="N88" s="35">
        <f t="shared" si="39"/>
        <v>7943.8672739402691</v>
      </c>
      <c r="O88" s="35">
        <f t="shared" si="39"/>
        <v>7943.8672739402691</v>
      </c>
      <c r="P88" s="35">
        <f t="shared" si="39"/>
        <v>7943.8672739402691</v>
      </c>
      <c r="Q88" s="35">
        <f t="shared" si="39"/>
        <v>7943.8672739402691</v>
      </c>
      <c r="R88" s="35">
        <f t="shared" si="39"/>
        <v>7943.8672739402691</v>
      </c>
      <c r="S88" s="35">
        <f t="shared" si="37"/>
        <v>7943.8672739402691</v>
      </c>
      <c r="T88" s="35">
        <f t="shared" si="38"/>
        <v>7943.8672739402691</v>
      </c>
      <c r="U88" s="35">
        <f t="shared" si="19"/>
        <v>7943.8672739402691</v>
      </c>
      <c r="V88" s="35">
        <f t="shared" si="38"/>
        <v>7943.8672739402691</v>
      </c>
      <c r="W88" s="35">
        <f t="shared" si="19"/>
        <v>7943.8672739402691</v>
      </c>
      <c r="X88" s="35">
        <f t="shared" si="38"/>
        <v>7943.8672739402691</v>
      </c>
      <c r="Y88" s="35">
        <f t="shared" si="19"/>
        <v>7943.8672739402691</v>
      </c>
      <c r="Z88" s="35">
        <f t="shared" si="38"/>
        <v>7943.8672739402691</v>
      </c>
      <c r="AA88" s="35">
        <f t="shared" si="35"/>
        <v>190652.81457456647</v>
      </c>
      <c r="AB88" s="28">
        <f t="shared" si="36"/>
        <v>30</v>
      </c>
      <c r="AC88" s="29">
        <v>5719584.4372369936</v>
      </c>
      <c r="AD88" s="37"/>
      <c r="AE88"/>
    </row>
    <row r="89" spans="1:31" ht="15">
      <c r="A89" s="23">
        <f t="shared" si="31"/>
        <v>2032</v>
      </c>
      <c r="B89" s="27">
        <v>48549</v>
      </c>
      <c r="C89" s="35">
        <f t="shared" si="39"/>
        <v>7141.671933438477</v>
      </c>
      <c r="D89" s="35">
        <f t="shared" si="39"/>
        <v>7141.671933438477</v>
      </c>
      <c r="E89" s="35">
        <f t="shared" si="39"/>
        <v>7141.671933438477</v>
      </c>
      <c r="F89" s="35">
        <f t="shared" si="39"/>
        <v>7141.671933438477</v>
      </c>
      <c r="G89" s="35">
        <f t="shared" si="39"/>
        <v>7141.671933438477</v>
      </c>
      <c r="H89" s="35">
        <f t="shared" si="39"/>
        <v>7141.671933438477</v>
      </c>
      <c r="I89" s="35">
        <f t="shared" si="39"/>
        <v>7141.671933438477</v>
      </c>
      <c r="J89" s="35">
        <f t="shared" si="39"/>
        <v>7141.671933438477</v>
      </c>
      <c r="K89" s="35">
        <f t="shared" si="39"/>
        <v>7141.671933438477</v>
      </c>
      <c r="L89" s="35">
        <f t="shared" si="39"/>
        <v>7141.671933438477</v>
      </c>
      <c r="M89" s="35">
        <f t="shared" si="39"/>
        <v>7141.671933438477</v>
      </c>
      <c r="N89" s="35">
        <f t="shared" si="39"/>
        <v>7141.671933438477</v>
      </c>
      <c r="O89" s="35">
        <f t="shared" si="39"/>
        <v>7141.671933438477</v>
      </c>
      <c r="P89" s="35">
        <f t="shared" si="39"/>
        <v>7141.671933438477</v>
      </c>
      <c r="Q89" s="35">
        <f t="shared" si="39"/>
        <v>7141.671933438477</v>
      </c>
      <c r="R89" s="35">
        <f t="shared" si="39"/>
        <v>7141.671933438477</v>
      </c>
      <c r="S89" s="35">
        <f t="shared" si="37"/>
        <v>7141.671933438477</v>
      </c>
      <c r="T89" s="35">
        <f t="shared" si="38"/>
        <v>7141.671933438477</v>
      </c>
      <c r="U89" s="35">
        <f t="shared" si="19"/>
        <v>7141.671933438477</v>
      </c>
      <c r="V89" s="35">
        <f t="shared" si="38"/>
        <v>7141.671933438477</v>
      </c>
      <c r="W89" s="35">
        <f t="shared" si="19"/>
        <v>7141.671933438477</v>
      </c>
      <c r="X89" s="35">
        <f t="shared" si="38"/>
        <v>7141.671933438477</v>
      </c>
      <c r="Y89" s="35">
        <f t="shared" si="19"/>
        <v>7141.671933438477</v>
      </c>
      <c r="Z89" s="35">
        <f t="shared" si="38"/>
        <v>7141.671933438477</v>
      </c>
      <c r="AA89" s="35">
        <f t="shared" si="35"/>
        <v>171400.12640252354</v>
      </c>
      <c r="AB89" s="28">
        <f t="shared" si="36"/>
        <v>31</v>
      </c>
      <c r="AC89" s="29">
        <v>5313403.9184782272</v>
      </c>
      <c r="AD89" s="37"/>
      <c r="AE89"/>
    </row>
    <row r="90" spans="1:31" ht="15">
      <c r="A90" s="23">
        <f t="shared" si="31"/>
        <v>2033</v>
      </c>
      <c r="B90" s="27">
        <v>48580</v>
      </c>
      <c r="C90" s="35">
        <f t="shared" si="39"/>
        <v>8862.3579334384722</v>
      </c>
      <c r="D90" s="35">
        <f t="shared" si="39"/>
        <v>8862.3579334384722</v>
      </c>
      <c r="E90" s="35">
        <f t="shared" si="39"/>
        <v>8862.3579334384722</v>
      </c>
      <c r="F90" s="35">
        <f t="shared" si="39"/>
        <v>8862.3579334384722</v>
      </c>
      <c r="G90" s="35">
        <f t="shared" si="39"/>
        <v>8862.3579334384722</v>
      </c>
      <c r="H90" s="35">
        <f t="shared" si="39"/>
        <v>8862.3579334384722</v>
      </c>
      <c r="I90" s="35">
        <f t="shared" si="39"/>
        <v>8862.3579334384722</v>
      </c>
      <c r="J90" s="35">
        <f t="shared" si="39"/>
        <v>8862.3579334384722</v>
      </c>
      <c r="K90" s="35">
        <f t="shared" si="39"/>
        <v>8862.3579334384722</v>
      </c>
      <c r="L90" s="35">
        <f t="shared" si="39"/>
        <v>8862.3579334384722</v>
      </c>
      <c r="M90" s="35">
        <f t="shared" si="39"/>
        <v>8862.3579334384722</v>
      </c>
      <c r="N90" s="35">
        <f t="shared" si="39"/>
        <v>8862.3579334384722</v>
      </c>
      <c r="O90" s="35">
        <f t="shared" si="39"/>
        <v>8862.3579334384722</v>
      </c>
      <c r="P90" s="35">
        <f t="shared" si="39"/>
        <v>8862.3579334384722</v>
      </c>
      <c r="Q90" s="35">
        <f t="shared" si="39"/>
        <v>8862.3579334384722</v>
      </c>
      <c r="R90" s="35">
        <f t="shared" si="39"/>
        <v>8862.3579334384722</v>
      </c>
      <c r="S90" s="35">
        <f t="shared" si="37"/>
        <v>8862.3579334384722</v>
      </c>
      <c r="T90" s="35">
        <f t="shared" si="38"/>
        <v>8862.3579334384722</v>
      </c>
      <c r="U90" s="35">
        <f t="shared" si="19"/>
        <v>8862.3579334384722</v>
      </c>
      <c r="V90" s="35">
        <f t="shared" si="38"/>
        <v>8862.3579334384722</v>
      </c>
      <c r="W90" s="35">
        <f t="shared" si="19"/>
        <v>8862.3579334384722</v>
      </c>
      <c r="X90" s="35">
        <f t="shared" si="38"/>
        <v>8862.3579334384722</v>
      </c>
      <c r="Y90" s="35">
        <f t="shared" si="19"/>
        <v>8862.3579334384722</v>
      </c>
      <c r="Z90" s="35">
        <f t="shared" si="38"/>
        <v>8862.3579334384722</v>
      </c>
      <c r="AA90" s="35">
        <f t="shared" ref="AA90" si="40">SUM(C90:Z90)</f>
        <v>212696.59040252332</v>
      </c>
      <c r="AB90" s="28">
        <f t="shared" ref="AB90" si="41">DAY(EOMONTH(B90,0))</f>
        <v>31</v>
      </c>
      <c r="AC90" s="29">
        <v>6593594.302478224</v>
      </c>
      <c r="AD90" s="37"/>
      <c r="AE90"/>
    </row>
    <row r="91" spans="1:31" ht="15">
      <c r="A91" s="23">
        <f t="shared" si="31"/>
        <v>2033</v>
      </c>
      <c r="B91" s="27">
        <v>48611</v>
      </c>
      <c r="C91" s="35">
        <f t="shared" si="39"/>
        <v>11440.842956479952</v>
      </c>
      <c r="D91" s="35">
        <f t="shared" si="39"/>
        <v>11440.842956479952</v>
      </c>
      <c r="E91" s="35">
        <f t="shared" si="39"/>
        <v>11440.842956479952</v>
      </c>
      <c r="F91" s="35">
        <f t="shared" si="39"/>
        <v>11440.842956479952</v>
      </c>
      <c r="G91" s="35">
        <f t="shared" si="39"/>
        <v>11440.842956479952</v>
      </c>
      <c r="H91" s="35">
        <f t="shared" si="39"/>
        <v>11440.842956479952</v>
      </c>
      <c r="I91" s="35">
        <f t="shared" si="39"/>
        <v>11440.842956479952</v>
      </c>
      <c r="J91" s="35">
        <f t="shared" si="39"/>
        <v>11440.842956479952</v>
      </c>
      <c r="K91" s="35">
        <f t="shared" si="39"/>
        <v>11440.842956479952</v>
      </c>
      <c r="L91" s="35">
        <f t="shared" si="39"/>
        <v>11440.842956479952</v>
      </c>
      <c r="M91" s="35">
        <f t="shared" si="39"/>
        <v>11440.842956479952</v>
      </c>
      <c r="N91" s="35">
        <f t="shared" si="39"/>
        <v>11440.842956479952</v>
      </c>
      <c r="O91" s="35">
        <f t="shared" si="39"/>
        <v>11440.842956479952</v>
      </c>
      <c r="P91" s="35">
        <f t="shared" si="39"/>
        <v>11440.842956479952</v>
      </c>
      <c r="Q91" s="35">
        <f t="shared" si="39"/>
        <v>11440.842956479952</v>
      </c>
      <c r="R91" s="35">
        <f t="shared" si="39"/>
        <v>11440.842956479952</v>
      </c>
      <c r="S91" s="35">
        <f t="shared" si="37"/>
        <v>11440.842956479952</v>
      </c>
      <c r="T91" s="35">
        <f t="shared" si="38"/>
        <v>11440.842956479952</v>
      </c>
      <c r="U91" s="35">
        <f t="shared" si="19"/>
        <v>11440.842956479952</v>
      </c>
      <c r="V91" s="35">
        <f t="shared" si="38"/>
        <v>11440.842956479952</v>
      </c>
      <c r="W91" s="35">
        <f t="shared" si="19"/>
        <v>11440.842956479952</v>
      </c>
      <c r="X91" s="35">
        <f t="shared" si="38"/>
        <v>11440.842956479952</v>
      </c>
      <c r="Y91" s="35">
        <f t="shared" si="19"/>
        <v>11440.842956479952</v>
      </c>
      <c r="Z91" s="35">
        <f t="shared" si="38"/>
        <v>11440.842956479952</v>
      </c>
      <c r="AA91" s="35">
        <f t="shared" ref="AA91:AA102" si="42">SUM(C91:Z91)</f>
        <v>274580.2309555189</v>
      </c>
      <c r="AB91" s="28">
        <f t="shared" ref="AB91:AB102" si="43">DAY(EOMONTH(B91,0))</f>
        <v>28</v>
      </c>
      <c r="AC91" s="29">
        <v>7688246.4667545278</v>
      </c>
      <c r="AD91" s="37"/>
      <c r="AE91"/>
    </row>
    <row r="92" spans="1:31" ht="15">
      <c r="A92" s="23">
        <f t="shared" si="31"/>
        <v>2033</v>
      </c>
      <c r="B92" s="27">
        <v>48639</v>
      </c>
      <c r="C92" s="35">
        <f t="shared" si="39"/>
        <v>8862.3579334384722</v>
      </c>
      <c r="D92" s="35">
        <f t="shared" si="39"/>
        <v>8862.3579334384722</v>
      </c>
      <c r="E92" s="35">
        <f t="shared" si="39"/>
        <v>8862.3579334384722</v>
      </c>
      <c r="F92" s="35">
        <f t="shared" si="39"/>
        <v>8862.3579334384722</v>
      </c>
      <c r="G92" s="35">
        <f t="shared" si="39"/>
        <v>8862.3579334384722</v>
      </c>
      <c r="H92" s="35">
        <f t="shared" si="39"/>
        <v>8862.3579334384722</v>
      </c>
      <c r="I92" s="35">
        <f t="shared" si="39"/>
        <v>8862.3579334384722</v>
      </c>
      <c r="J92" s="35">
        <f t="shared" si="39"/>
        <v>8862.3579334384722</v>
      </c>
      <c r="K92" s="35">
        <f t="shared" si="39"/>
        <v>8862.3579334384722</v>
      </c>
      <c r="L92" s="35">
        <f t="shared" si="39"/>
        <v>8862.3579334384722</v>
      </c>
      <c r="M92" s="35">
        <f t="shared" si="39"/>
        <v>8862.3579334384722</v>
      </c>
      <c r="N92" s="35">
        <f t="shared" si="39"/>
        <v>8862.3579334384722</v>
      </c>
      <c r="O92" s="35">
        <f t="shared" si="39"/>
        <v>8862.3579334384722</v>
      </c>
      <c r="P92" s="35">
        <f t="shared" si="39"/>
        <v>8862.3579334384722</v>
      </c>
      <c r="Q92" s="35">
        <f t="shared" si="39"/>
        <v>8862.3579334384722</v>
      </c>
      <c r="R92" s="35">
        <f t="shared" si="39"/>
        <v>8862.3579334384722</v>
      </c>
      <c r="S92" s="35">
        <f t="shared" si="37"/>
        <v>8862.3579334384722</v>
      </c>
      <c r="T92" s="35">
        <f t="shared" si="38"/>
        <v>8862.3579334384722</v>
      </c>
      <c r="U92" s="35">
        <f t="shared" si="19"/>
        <v>8862.3579334384722</v>
      </c>
      <c r="V92" s="35">
        <f t="shared" si="38"/>
        <v>8862.3579334384722</v>
      </c>
      <c r="W92" s="35">
        <f t="shared" si="19"/>
        <v>8862.3579334384722</v>
      </c>
      <c r="X92" s="35">
        <f t="shared" si="38"/>
        <v>8862.3579334384722</v>
      </c>
      <c r="Y92" s="35">
        <f t="shared" si="19"/>
        <v>8862.3579334384722</v>
      </c>
      <c r="Z92" s="35">
        <f t="shared" si="38"/>
        <v>8862.3579334384722</v>
      </c>
      <c r="AA92" s="35">
        <f t="shared" si="42"/>
        <v>212696.59040252332</v>
      </c>
      <c r="AB92" s="28">
        <f t="shared" si="43"/>
        <v>31</v>
      </c>
      <c r="AC92" s="29">
        <v>6593594.302478224</v>
      </c>
      <c r="AD92" s="37"/>
      <c r="AE92"/>
    </row>
    <row r="93" spans="1:31" ht="15">
      <c r="A93" s="23">
        <f t="shared" si="31"/>
        <v>2033</v>
      </c>
      <c r="B93" s="27">
        <v>48670</v>
      </c>
      <c r="C93" s="35">
        <f t="shared" si="39"/>
        <v>9664.5532739402679</v>
      </c>
      <c r="D93" s="35">
        <f t="shared" si="39"/>
        <v>9664.5532739402679</v>
      </c>
      <c r="E93" s="35">
        <f t="shared" si="39"/>
        <v>9664.5532739402679</v>
      </c>
      <c r="F93" s="35">
        <f t="shared" si="39"/>
        <v>9664.5532739402679</v>
      </c>
      <c r="G93" s="35">
        <f t="shared" si="39"/>
        <v>9664.5532739402679</v>
      </c>
      <c r="H93" s="35">
        <f t="shared" si="39"/>
        <v>9664.5532739402679</v>
      </c>
      <c r="I93" s="35">
        <f t="shared" si="39"/>
        <v>9664.5532739402679</v>
      </c>
      <c r="J93" s="35">
        <f t="shared" si="39"/>
        <v>9664.5532739402679</v>
      </c>
      <c r="K93" s="35">
        <f t="shared" si="39"/>
        <v>9664.5532739402679</v>
      </c>
      <c r="L93" s="35">
        <f t="shared" si="39"/>
        <v>9664.5532739402679</v>
      </c>
      <c r="M93" s="35">
        <f t="shared" si="39"/>
        <v>9664.5532739402679</v>
      </c>
      <c r="N93" s="35">
        <f t="shared" si="39"/>
        <v>9664.5532739402679</v>
      </c>
      <c r="O93" s="35">
        <f t="shared" si="39"/>
        <v>9664.5532739402679</v>
      </c>
      <c r="P93" s="35">
        <f t="shared" si="39"/>
        <v>9664.5532739402679</v>
      </c>
      <c r="Q93" s="35">
        <f t="shared" si="39"/>
        <v>9664.5532739402679</v>
      </c>
      <c r="R93" s="35">
        <f t="shared" si="39"/>
        <v>9664.5532739402679</v>
      </c>
      <c r="S93" s="35">
        <f t="shared" si="37"/>
        <v>9664.5532739402679</v>
      </c>
      <c r="T93" s="35">
        <f t="shared" si="38"/>
        <v>9664.5532739402679</v>
      </c>
      <c r="U93" s="35">
        <f t="shared" si="19"/>
        <v>9664.5532739402679</v>
      </c>
      <c r="V93" s="35">
        <f t="shared" si="38"/>
        <v>9664.5532739402679</v>
      </c>
      <c r="W93" s="35">
        <f t="shared" si="19"/>
        <v>9664.5532739402679</v>
      </c>
      <c r="X93" s="35">
        <f t="shared" si="38"/>
        <v>9664.5532739402679</v>
      </c>
      <c r="Y93" s="35">
        <f t="shared" si="19"/>
        <v>9664.5532739402679</v>
      </c>
      <c r="Z93" s="35">
        <f t="shared" si="38"/>
        <v>9664.5532739402679</v>
      </c>
      <c r="AA93" s="35">
        <f t="shared" si="42"/>
        <v>231949.2785745663</v>
      </c>
      <c r="AB93" s="28">
        <f t="shared" si="43"/>
        <v>30</v>
      </c>
      <c r="AC93" s="29">
        <v>6958478.3572369926</v>
      </c>
      <c r="AD93" s="37"/>
      <c r="AE93"/>
    </row>
    <row r="94" spans="1:31" ht="15">
      <c r="A94" s="23">
        <f t="shared" si="31"/>
        <v>2033</v>
      </c>
      <c r="B94" s="27">
        <v>48700</v>
      </c>
      <c r="C94" s="35">
        <f t="shared" si="39"/>
        <v>8862.3579334384722</v>
      </c>
      <c r="D94" s="35">
        <f t="shared" si="39"/>
        <v>8862.3579334384722</v>
      </c>
      <c r="E94" s="35">
        <f t="shared" si="39"/>
        <v>8862.3579334384722</v>
      </c>
      <c r="F94" s="35">
        <f t="shared" si="39"/>
        <v>8862.3579334384722</v>
      </c>
      <c r="G94" s="35">
        <f t="shared" si="39"/>
        <v>8862.3579334384722</v>
      </c>
      <c r="H94" s="35">
        <f t="shared" si="39"/>
        <v>8862.3579334384722</v>
      </c>
      <c r="I94" s="35">
        <f t="shared" si="39"/>
        <v>8862.3579334384722</v>
      </c>
      <c r="J94" s="35">
        <f t="shared" si="39"/>
        <v>8862.3579334384722</v>
      </c>
      <c r="K94" s="35">
        <f t="shared" si="39"/>
        <v>8862.3579334384722</v>
      </c>
      <c r="L94" s="35">
        <f t="shared" si="39"/>
        <v>8862.3579334384722</v>
      </c>
      <c r="M94" s="35">
        <f t="shared" si="39"/>
        <v>8862.3579334384722</v>
      </c>
      <c r="N94" s="35">
        <f t="shared" si="39"/>
        <v>8862.3579334384722</v>
      </c>
      <c r="O94" s="35">
        <f t="shared" si="39"/>
        <v>8862.3579334384722</v>
      </c>
      <c r="P94" s="35">
        <f t="shared" si="39"/>
        <v>8862.3579334384722</v>
      </c>
      <c r="Q94" s="35">
        <f t="shared" si="39"/>
        <v>8862.3579334384722</v>
      </c>
      <c r="R94" s="35">
        <f t="shared" si="39"/>
        <v>8862.3579334384722</v>
      </c>
      <c r="S94" s="35">
        <f t="shared" si="37"/>
        <v>8862.3579334384722</v>
      </c>
      <c r="T94" s="35">
        <f t="shared" si="38"/>
        <v>8862.3579334384722</v>
      </c>
      <c r="U94" s="35">
        <f t="shared" si="19"/>
        <v>8862.3579334384722</v>
      </c>
      <c r="V94" s="35">
        <f t="shared" si="38"/>
        <v>8862.3579334384722</v>
      </c>
      <c r="W94" s="35">
        <f t="shared" si="19"/>
        <v>8862.3579334384722</v>
      </c>
      <c r="X94" s="35">
        <f t="shared" si="38"/>
        <v>8862.3579334384722</v>
      </c>
      <c r="Y94" s="35">
        <f t="shared" si="19"/>
        <v>8862.3579334384722</v>
      </c>
      <c r="Z94" s="35">
        <f t="shared" si="38"/>
        <v>8862.3579334384722</v>
      </c>
      <c r="AA94" s="35">
        <f t="shared" si="42"/>
        <v>212696.59040252332</v>
      </c>
      <c r="AB94" s="28">
        <f t="shared" si="43"/>
        <v>31</v>
      </c>
      <c r="AC94" s="29">
        <v>6593594.302478224</v>
      </c>
      <c r="AD94" s="37"/>
      <c r="AE94"/>
    </row>
    <row r="95" spans="1:31" ht="15">
      <c r="A95" s="23">
        <f t="shared" si="31"/>
        <v>2033</v>
      </c>
      <c r="B95" s="27">
        <v>48731</v>
      </c>
      <c r="C95" s="35">
        <f t="shared" si="39"/>
        <v>9664.5532739402679</v>
      </c>
      <c r="D95" s="35">
        <f t="shared" si="39"/>
        <v>9664.5532739402679</v>
      </c>
      <c r="E95" s="35">
        <f t="shared" si="39"/>
        <v>9664.5532739402679</v>
      </c>
      <c r="F95" s="35">
        <f t="shared" si="39"/>
        <v>9664.5532739402679</v>
      </c>
      <c r="G95" s="35">
        <f t="shared" si="39"/>
        <v>9664.5532739402679</v>
      </c>
      <c r="H95" s="35">
        <f t="shared" si="39"/>
        <v>9664.5532739402679</v>
      </c>
      <c r="I95" s="35">
        <f t="shared" si="39"/>
        <v>9664.5532739402679</v>
      </c>
      <c r="J95" s="35">
        <f t="shared" si="39"/>
        <v>9664.5532739402679</v>
      </c>
      <c r="K95" s="35">
        <f t="shared" si="39"/>
        <v>9664.5532739402679</v>
      </c>
      <c r="L95" s="35">
        <f t="shared" si="39"/>
        <v>9664.5532739402679</v>
      </c>
      <c r="M95" s="35">
        <f t="shared" si="39"/>
        <v>9664.5532739402679</v>
      </c>
      <c r="N95" s="35">
        <f t="shared" si="39"/>
        <v>9664.5532739402679</v>
      </c>
      <c r="O95" s="35">
        <f t="shared" si="39"/>
        <v>9664.5532739402679</v>
      </c>
      <c r="P95" s="35">
        <f t="shared" si="39"/>
        <v>9664.5532739402679</v>
      </c>
      <c r="Q95" s="35">
        <f t="shared" si="39"/>
        <v>9664.5532739402679</v>
      </c>
      <c r="R95" s="35">
        <f t="shared" si="39"/>
        <v>9664.5532739402679</v>
      </c>
      <c r="S95" s="35">
        <f t="shared" si="37"/>
        <v>9664.5532739402679</v>
      </c>
      <c r="T95" s="35">
        <f t="shared" si="38"/>
        <v>9664.5532739402679</v>
      </c>
      <c r="U95" s="35">
        <f t="shared" si="19"/>
        <v>9664.5532739402679</v>
      </c>
      <c r="V95" s="35">
        <f t="shared" si="38"/>
        <v>9664.5532739402679</v>
      </c>
      <c r="W95" s="35">
        <f t="shared" si="19"/>
        <v>9664.5532739402679</v>
      </c>
      <c r="X95" s="35">
        <f t="shared" si="38"/>
        <v>9664.5532739402679</v>
      </c>
      <c r="Y95" s="35">
        <f t="shared" si="19"/>
        <v>9664.5532739402679</v>
      </c>
      <c r="Z95" s="35">
        <f t="shared" si="38"/>
        <v>9664.5532739402679</v>
      </c>
      <c r="AA95" s="35">
        <f t="shared" si="42"/>
        <v>231949.2785745663</v>
      </c>
      <c r="AB95" s="28">
        <f t="shared" si="43"/>
        <v>30</v>
      </c>
      <c r="AC95" s="29">
        <v>6958478.3572369926</v>
      </c>
      <c r="AD95" s="37"/>
      <c r="AE95"/>
    </row>
    <row r="96" spans="1:31" ht="15">
      <c r="A96" s="23">
        <f t="shared" si="31"/>
        <v>2033</v>
      </c>
      <c r="B96" s="27">
        <v>48761</v>
      </c>
      <c r="C96" s="35">
        <f t="shared" si="39"/>
        <v>8862.3579334384722</v>
      </c>
      <c r="D96" s="35">
        <f t="shared" si="39"/>
        <v>8862.3579334384722</v>
      </c>
      <c r="E96" s="35">
        <f t="shared" si="39"/>
        <v>8862.3579334384722</v>
      </c>
      <c r="F96" s="35">
        <f t="shared" si="39"/>
        <v>8862.3579334384722</v>
      </c>
      <c r="G96" s="35">
        <f t="shared" si="39"/>
        <v>8862.3579334384722</v>
      </c>
      <c r="H96" s="35">
        <f t="shared" si="39"/>
        <v>8862.3579334384722</v>
      </c>
      <c r="I96" s="35">
        <f t="shared" si="39"/>
        <v>8862.3579334384722</v>
      </c>
      <c r="J96" s="35">
        <f t="shared" si="39"/>
        <v>8862.3579334384722</v>
      </c>
      <c r="K96" s="35">
        <f t="shared" si="39"/>
        <v>8862.3579334384722</v>
      </c>
      <c r="L96" s="35">
        <f t="shared" si="39"/>
        <v>8862.3579334384722</v>
      </c>
      <c r="M96" s="35">
        <f t="shared" si="39"/>
        <v>8862.3579334384722</v>
      </c>
      <c r="N96" s="35">
        <f t="shared" si="39"/>
        <v>8862.3579334384722</v>
      </c>
      <c r="O96" s="35">
        <f t="shared" si="39"/>
        <v>8862.3579334384722</v>
      </c>
      <c r="P96" s="35">
        <f t="shared" si="39"/>
        <v>8862.3579334384722</v>
      </c>
      <c r="Q96" s="35">
        <f t="shared" si="39"/>
        <v>8862.3579334384722</v>
      </c>
      <c r="R96" s="35">
        <f t="shared" si="39"/>
        <v>8862.3579334384722</v>
      </c>
      <c r="S96" s="35">
        <f t="shared" si="37"/>
        <v>8862.3579334384722</v>
      </c>
      <c r="T96" s="35">
        <f t="shared" si="38"/>
        <v>8862.3579334384722</v>
      </c>
      <c r="U96" s="35">
        <f t="shared" si="19"/>
        <v>8862.3579334384722</v>
      </c>
      <c r="V96" s="35">
        <f t="shared" si="38"/>
        <v>8862.3579334384722</v>
      </c>
      <c r="W96" s="35">
        <f t="shared" si="19"/>
        <v>8862.3579334384722</v>
      </c>
      <c r="X96" s="35">
        <f t="shared" si="38"/>
        <v>8862.3579334384722</v>
      </c>
      <c r="Y96" s="35">
        <f t="shared" si="19"/>
        <v>8862.3579334384722</v>
      </c>
      <c r="Z96" s="35">
        <f t="shared" si="38"/>
        <v>8862.3579334384722</v>
      </c>
      <c r="AA96" s="35">
        <f t="shared" si="42"/>
        <v>212696.59040252332</v>
      </c>
      <c r="AB96" s="28">
        <f t="shared" si="43"/>
        <v>31</v>
      </c>
      <c r="AC96" s="29">
        <v>6593594.302478224</v>
      </c>
      <c r="AD96" s="37"/>
      <c r="AE96"/>
    </row>
    <row r="97" spans="1:31" ht="15">
      <c r="A97" s="23">
        <f t="shared" si="31"/>
        <v>2033</v>
      </c>
      <c r="B97" s="27">
        <v>48792</v>
      </c>
      <c r="C97" s="35">
        <f t="shared" si="39"/>
        <v>8862.3579334384722</v>
      </c>
      <c r="D97" s="35">
        <f t="shared" si="39"/>
        <v>8862.3579334384722</v>
      </c>
      <c r="E97" s="35">
        <f t="shared" si="39"/>
        <v>8862.3579334384722</v>
      </c>
      <c r="F97" s="35">
        <f t="shared" si="39"/>
        <v>8862.3579334384722</v>
      </c>
      <c r="G97" s="35">
        <f t="shared" si="39"/>
        <v>8862.3579334384722</v>
      </c>
      <c r="H97" s="35">
        <f t="shared" si="39"/>
        <v>8862.3579334384722</v>
      </c>
      <c r="I97" s="35">
        <f t="shared" si="39"/>
        <v>8862.3579334384722</v>
      </c>
      <c r="J97" s="35">
        <f t="shared" si="39"/>
        <v>8862.3579334384722</v>
      </c>
      <c r="K97" s="35">
        <f t="shared" si="39"/>
        <v>8862.3579334384722</v>
      </c>
      <c r="L97" s="35">
        <f t="shared" si="39"/>
        <v>8862.3579334384722</v>
      </c>
      <c r="M97" s="35">
        <f t="shared" si="39"/>
        <v>8862.3579334384722</v>
      </c>
      <c r="N97" s="35">
        <f t="shared" si="39"/>
        <v>8862.3579334384722</v>
      </c>
      <c r="O97" s="35">
        <f t="shared" si="39"/>
        <v>8862.3579334384722</v>
      </c>
      <c r="P97" s="35">
        <f t="shared" si="39"/>
        <v>8862.3579334384722</v>
      </c>
      <c r="Q97" s="35">
        <f t="shared" si="39"/>
        <v>8862.3579334384722</v>
      </c>
      <c r="R97" s="35">
        <f t="shared" si="39"/>
        <v>8862.3579334384722</v>
      </c>
      <c r="S97" s="35">
        <f t="shared" ref="S97:S112" si="44">($AC97/$AB97)/24</f>
        <v>8862.3579334384722</v>
      </c>
      <c r="T97" s="35">
        <f t="shared" si="38"/>
        <v>8862.3579334384722</v>
      </c>
      <c r="U97" s="35">
        <f t="shared" si="19"/>
        <v>8862.3579334384722</v>
      </c>
      <c r="V97" s="35">
        <f t="shared" si="38"/>
        <v>8862.3579334384722</v>
      </c>
      <c r="W97" s="35">
        <f t="shared" si="19"/>
        <v>8862.3579334384722</v>
      </c>
      <c r="X97" s="35">
        <f t="shared" si="38"/>
        <v>8862.3579334384722</v>
      </c>
      <c r="Y97" s="35">
        <f t="shared" si="19"/>
        <v>8862.3579334384722</v>
      </c>
      <c r="Z97" s="35">
        <f t="shared" si="38"/>
        <v>8862.3579334384722</v>
      </c>
      <c r="AA97" s="35">
        <f t="shared" si="42"/>
        <v>212696.59040252332</v>
      </c>
      <c r="AB97" s="28">
        <f t="shared" si="43"/>
        <v>31</v>
      </c>
      <c r="AC97" s="29">
        <v>6593594.302478224</v>
      </c>
      <c r="AD97" s="37"/>
      <c r="AE97"/>
    </row>
    <row r="98" spans="1:31" ht="15">
      <c r="A98" s="23">
        <f t="shared" si="31"/>
        <v>2033</v>
      </c>
      <c r="B98" s="27">
        <v>48823</v>
      </c>
      <c r="C98" s="35">
        <f t="shared" si="39"/>
        <v>9664.5532739402679</v>
      </c>
      <c r="D98" s="35">
        <f t="shared" si="39"/>
        <v>9664.5532739402679</v>
      </c>
      <c r="E98" s="35">
        <f t="shared" si="39"/>
        <v>9664.5532739402679</v>
      </c>
      <c r="F98" s="35">
        <f t="shared" si="39"/>
        <v>9664.5532739402679</v>
      </c>
      <c r="G98" s="35">
        <f t="shared" si="39"/>
        <v>9664.5532739402679</v>
      </c>
      <c r="H98" s="35">
        <f t="shared" si="39"/>
        <v>9664.5532739402679</v>
      </c>
      <c r="I98" s="35">
        <f t="shared" si="39"/>
        <v>9664.5532739402679</v>
      </c>
      <c r="J98" s="35">
        <f t="shared" si="39"/>
        <v>9664.5532739402679</v>
      </c>
      <c r="K98" s="35">
        <f t="shared" si="39"/>
        <v>9664.5532739402679</v>
      </c>
      <c r="L98" s="35">
        <f t="shared" si="39"/>
        <v>9664.5532739402679</v>
      </c>
      <c r="M98" s="35">
        <f t="shared" si="39"/>
        <v>9664.5532739402679</v>
      </c>
      <c r="N98" s="35">
        <f t="shared" si="39"/>
        <v>9664.5532739402679</v>
      </c>
      <c r="O98" s="35">
        <f t="shared" si="39"/>
        <v>9664.5532739402679</v>
      </c>
      <c r="P98" s="35">
        <f t="shared" si="39"/>
        <v>9664.5532739402679</v>
      </c>
      <c r="Q98" s="35">
        <f t="shared" si="39"/>
        <v>9664.5532739402679</v>
      </c>
      <c r="R98" s="35">
        <f t="shared" si="39"/>
        <v>9664.5532739402679</v>
      </c>
      <c r="S98" s="35">
        <f t="shared" si="44"/>
        <v>9664.5532739402679</v>
      </c>
      <c r="T98" s="35">
        <f t="shared" si="38"/>
        <v>9664.5532739402679</v>
      </c>
      <c r="U98" s="35">
        <f t="shared" si="19"/>
        <v>9664.5532739402679</v>
      </c>
      <c r="V98" s="35">
        <f t="shared" si="38"/>
        <v>9664.5532739402679</v>
      </c>
      <c r="W98" s="35">
        <f t="shared" si="19"/>
        <v>9664.5532739402679</v>
      </c>
      <c r="X98" s="35">
        <f t="shared" si="38"/>
        <v>9664.5532739402679</v>
      </c>
      <c r="Y98" s="35">
        <f t="shared" si="19"/>
        <v>9664.5532739402679</v>
      </c>
      <c r="Z98" s="35">
        <f t="shared" si="38"/>
        <v>9664.5532739402679</v>
      </c>
      <c r="AA98" s="35">
        <f t="shared" si="42"/>
        <v>231949.2785745663</v>
      </c>
      <c r="AB98" s="28">
        <f t="shared" si="43"/>
        <v>30</v>
      </c>
      <c r="AC98" s="29">
        <v>6958478.3572369926</v>
      </c>
      <c r="AD98" s="37"/>
      <c r="AE98"/>
    </row>
    <row r="99" spans="1:31" ht="15">
      <c r="A99" s="23">
        <f t="shared" si="31"/>
        <v>2033</v>
      </c>
      <c r="B99" s="27">
        <v>48853</v>
      </c>
      <c r="C99" s="35">
        <f t="shared" si="39"/>
        <v>8862.3579334384722</v>
      </c>
      <c r="D99" s="35">
        <f t="shared" si="39"/>
        <v>8862.3579334384722</v>
      </c>
      <c r="E99" s="35">
        <f t="shared" si="39"/>
        <v>8862.3579334384722</v>
      </c>
      <c r="F99" s="35">
        <f t="shared" si="39"/>
        <v>8862.3579334384722</v>
      </c>
      <c r="G99" s="35">
        <f t="shared" si="39"/>
        <v>8862.3579334384722</v>
      </c>
      <c r="H99" s="35">
        <f t="shared" si="39"/>
        <v>8862.3579334384722</v>
      </c>
      <c r="I99" s="35">
        <f t="shared" si="39"/>
        <v>8862.3579334384722</v>
      </c>
      <c r="J99" s="35">
        <f t="shared" si="39"/>
        <v>8862.3579334384722</v>
      </c>
      <c r="K99" s="35">
        <f t="shared" si="39"/>
        <v>8862.3579334384722</v>
      </c>
      <c r="L99" s="35">
        <f t="shared" si="39"/>
        <v>8862.3579334384722</v>
      </c>
      <c r="M99" s="35">
        <f t="shared" si="39"/>
        <v>8862.3579334384722</v>
      </c>
      <c r="N99" s="35">
        <f t="shared" si="39"/>
        <v>8862.3579334384722</v>
      </c>
      <c r="O99" s="35">
        <f t="shared" si="39"/>
        <v>8862.3579334384722</v>
      </c>
      <c r="P99" s="35">
        <f t="shared" si="39"/>
        <v>8862.3579334384722</v>
      </c>
      <c r="Q99" s="35">
        <f t="shared" si="39"/>
        <v>8862.3579334384722</v>
      </c>
      <c r="R99" s="35">
        <f t="shared" si="39"/>
        <v>8862.3579334384722</v>
      </c>
      <c r="S99" s="35">
        <f t="shared" si="44"/>
        <v>8862.3579334384722</v>
      </c>
      <c r="T99" s="35">
        <f t="shared" si="38"/>
        <v>8862.3579334384722</v>
      </c>
      <c r="U99" s="35">
        <f t="shared" si="19"/>
        <v>8862.3579334384722</v>
      </c>
      <c r="V99" s="35">
        <f t="shared" si="38"/>
        <v>8862.3579334384722</v>
      </c>
      <c r="W99" s="35">
        <f t="shared" si="19"/>
        <v>8862.3579334384722</v>
      </c>
      <c r="X99" s="35">
        <f t="shared" si="38"/>
        <v>8862.3579334384722</v>
      </c>
      <c r="Y99" s="35">
        <f t="shared" si="19"/>
        <v>8862.3579334384722</v>
      </c>
      <c r="Z99" s="35">
        <f t="shared" si="38"/>
        <v>8862.3579334384722</v>
      </c>
      <c r="AA99" s="35">
        <f t="shared" si="42"/>
        <v>212696.59040252332</v>
      </c>
      <c r="AB99" s="28">
        <f t="shared" si="43"/>
        <v>31</v>
      </c>
      <c r="AC99" s="29">
        <v>6593594.302478224</v>
      </c>
      <c r="AD99" s="37"/>
      <c r="AE99"/>
    </row>
    <row r="100" spans="1:31" ht="15">
      <c r="A100" s="23">
        <f t="shared" si="31"/>
        <v>2033</v>
      </c>
      <c r="B100" s="27">
        <v>48884</v>
      </c>
      <c r="C100" s="35">
        <f t="shared" si="39"/>
        <v>9664.5532739402679</v>
      </c>
      <c r="D100" s="35">
        <f t="shared" si="39"/>
        <v>9664.5532739402679</v>
      </c>
      <c r="E100" s="35">
        <f t="shared" si="39"/>
        <v>9664.5532739402679</v>
      </c>
      <c r="F100" s="35">
        <f t="shared" si="39"/>
        <v>9664.5532739402679</v>
      </c>
      <c r="G100" s="35">
        <f t="shared" si="39"/>
        <v>9664.5532739402679</v>
      </c>
      <c r="H100" s="35">
        <f t="shared" si="39"/>
        <v>9664.5532739402679</v>
      </c>
      <c r="I100" s="35">
        <f t="shared" si="39"/>
        <v>9664.5532739402679</v>
      </c>
      <c r="J100" s="35">
        <f t="shared" si="39"/>
        <v>9664.5532739402679</v>
      </c>
      <c r="K100" s="35">
        <f t="shared" si="39"/>
        <v>9664.5532739402679</v>
      </c>
      <c r="L100" s="35">
        <f t="shared" si="39"/>
        <v>9664.5532739402679</v>
      </c>
      <c r="M100" s="35">
        <f t="shared" si="39"/>
        <v>9664.5532739402679</v>
      </c>
      <c r="N100" s="35">
        <f t="shared" si="39"/>
        <v>9664.5532739402679</v>
      </c>
      <c r="O100" s="35">
        <f t="shared" si="39"/>
        <v>9664.5532739402679</v>
      </c>
      <c r="P100" s="35">
        <f t="shared" si="39"/>
        <v>9664.5532739402679</v>
      </c>
      <c r="Q100" s="35">
        <f t="shared" si="39"/>
        <v>9664.5532739402679</v>
      </c>
      <c r="R100" s="35">
        <f t="shared" si="39"/>
        <v>9664.5532739402679</v>
      </c>
      <c r="S100" s="35">
        <f t="shared" si="44"/>
        <v>9664.5532739402679</v>
      </c>
      <c r="T100" s="35">
        <f t="shared" si="38"/>
        <v>9664.5532739402679</v>
      </c>
      <c r="U100" s="35">
        <f t="shared" si="19"/>
        <v>9664.5532739402679</v>
      </c>
      <c r="V100" s="35">
        <f t="shared" si="38"/>
        <v>9664.5532739402679</v>
      </c>
      <c r="W100" s="35">
        <f t="shared" si="19"/>
        <v>9664.5532739402679</v>
      </c>
      <c r="X100" s="35">
        <f t="shared" si="38"/>
        <v>9664.5532739402679</v>
      </c>
      <c r="Y100" s="35">
        <f t="shared" si="19"/>
        <v>9664.5532739402679</v>
      </c>
      <c r="Z100" s="35">
        <f t="shared" si="38"/>
        <v>9664.5532739402679</v>
      </c>
      <c r="AA100" s="35">
        <f t="shared" si="42"/>
        <v>231949.2785745663</v>
      </c>
      <c r="AB100" s="28">
        <f t="shared" si="43"/>
        <v>30</v>
      </c>
      <c r="AC100" s="29">
        <v>6958478.3572369926</v>
      </c>
      <c r="AD100" s="37"/>
      <c r="AE100"/>
    </row>
    <row r="101" spans="1:31" ht="15">
      <c r="A101" s="23">
        <f t="shared" si="31"/>
        <v>2033</v>
      </c>
      <c r="B101" s="27">
        <v>48914</v>
      </c>
      <c r="C101" s="35">
        <f t="shared" si="39"/>
        <v>8862.3579334384722</v>
      </c>
      <c r="D101" s="35">
        <f t="shared" si="39"/>
        <v>8862.3579334384722</v>
      </c>
      <c r="E101" s="35">
        <f t="shared" si="39"/>
        <v>8862.3579334384722</v>
      </c>
      <c r="F101" s="35">
        <f t="shared" si="39"/>
        <v>8862.3579334384722</v>
      </c>
      <c r="G101" s="35">
        <f t="shared" si="39"/>
        <v>8862.3579334384722</v>
      </c>
      <c r="H101" s="35">
        <f t="shared" si="39"/>
        <v>8862.3579334384722</v>
      </c>
      <c r="I101" s="35">
        <f t="shared" si="39"/>
        <v>8862.3579334384722</v>
      </c>
      <c r="J101" s="35">
        <f t="shared" si="39"/>
        <v>8862.3579334384722</v>
      </c>
      <c r="K101" s="35">
        <f t="shared" si="39"/>
        <v>8862.3579334384722</v>
      </c>
      <c r="L101" s="35">
        <f t="shared" si="39"/>
        <v>8862.3579334384722</v>
      </c>
      <c r="M101" s="35">
        <f t="shared" si="39"/>
        <v>8862.3579334384722</v>
      </c>
      <c r="N101" s="35">
        <f t="shared" si="39"/>
        <v>8862.3579334384722</v>
      </c>
      <c r="O101" s="35">
        <f t="shared" si="39"/>
        <v>8862.3579334384722</v>
      </c>
      <c r="P101" s="35">
        <f t="shared" si="39"/>
        <v>8862.3579334384722</v>
      </c>
      <c r="Q101" s="35">
        <f t="shared" si="39"/>
        <v>8862.3579334384722</v>
      </c>
      <c r="R101" s="35">
        <f t="shared" si="39"/>
        <v>8862.3579334384722</v>
      </c>
      <c r="S101" s="35">
        <f t="shared" si="44"/>
        <v>8862.3579334384722</v>
      </c>
      <c r="T101" s="35">
        <f t="shared" si="38"/>
        <v>8862.3579334384722</v>
      </c>
      <c r="U101" s="35">
        <f t="shared" si="19"/>
        <v>8862.3579334384722</v>
      </c>
      <c r="V101" s="35">
        <f t="shared" si="38"/>
        <v>8862.3579334384722</v>
      </c>
      <c r="W101" s="35">
        <f t="shared" si="19"/>
        <v>8862.3579334384722</v>
      </c>
      <c r="X101" s="35">
        <f t="shared" si="38"/>
        <v>8862.3579334384722</v>
      </c>
      <c r="Y101" s="35">
        <f t="shared" si="19"/>
        <v>8862.3579334384722</v>
      </c>
      <c r="Z101" s="35">
        <f t="shared" si="38"/>
        <v>8862.3579334384722</v>
      </c>
      <c r="AA101" s="35">
        <f t="shared" si="42"/>
        <v>212696.59040252332</v>
      </c>
      <c r="AB101" s="28">
        <f t="shared" si="43"/>
        <v>31</v>
      </c>
      <c r="AC101" s="29">
        <v>6593594.302478224</v>
      </c>
      <c r="AD101" s="37"/>
      <c r="AE101"/>
    </row>
    <row r="102" spans="1:31" ht="15">
      <c r="A102" s="23">
        <f t="shared" si="31"/>
        <v>2034</v>
      </c>
      <c r="B102" s="27">
        <v>48945</v>
      </c>
      <c r="C102" s="35">
        <f t="shared" si="39"/>
        <v>20096.001933438474</v>
      </c>
      <c r="D102" s="35">
        <f t="shared" si="39"/>
        <v>20096.001933438474</v>
      </c>
      <c r="E102" s="35">
        <f t="shared" si="39"/>
        <v>20096.001933438474</v>
      </c>
      <c r="F102" s="35">
        <f t="shared" si="39"/>
        <v>20096.001933438474</v>
      </c>
      <c r="G102" s="35">
        <f t="shared" si="39"/>
        <v>20096.001933438474</v>
      </c>
      <c r="H102" s="35">
        <f t="shared" si="39"/>
        <v>20096.001933438474</v>
      </c>
      <c r="I102" s="35">
        <f t="shared" si="39"/>
        <v>20096.001933438474</v>
      </c>
      <c r="J102" s="35">
        <f t="shared" si="39"/>
        <v>20096.001933438474</v>
      </c>
      <c r="K102" s="35">
        <f t="shared" si="39"/>
        <v>20096.001933438474</v>
      </c>
      <c r="L102" s="35">
        <f t="shared" si="39"/>
        <v>20096.001933438474</v>
      </c>
      <c r="M102" s="35">
        <f t="shared" si="39"/>
        <v>20096.001933438474</v>
      </c>
      <c r="N102" s="35">
        <f t="shared" si="39"/>
        <v>20096.001933438474</v>
      </c>
      <c r="O102" s="35">
        <f t="shared" si="39"/>
        <v>20096.001933438474</v>
      </c>
      <c r="P102" s="35">
        <f t="shared" si="39"/>
        <v>20096.001933438474</v>
      </c>
      <c r="Q102" s="35">
        <f t="shared" si="39"/>
        <v>20096.001933438474</v>
      </c>
      <c r="R102" s="35">
        <f t="shared" ref="R102:Z117" si="45">($AC102/$AB102)/24</f>
        <v>20096.001933438474</v>
      </c>
      <c r="S102" s="35">
        <f t="shared" si="44"/>
        <v>20096.001933438474</v>
      </c>
      <c r="T102" s="35">
        <f t="shared" si="45"/>
        <v>20096.001933438474</v>
      </c>
      <c r="U102" s="35">
        <f t="shared" si="19"/>
        <v>20096.001933438474</v>
      </c>
      <c r="V102" s="35">
        <f t="shared" si="45"/>
        <v>20096.001933438474</v>
      </c>
      <c r="W102" s="35">
        <f t="shared" si="19"/>
        <v>20096.001933438474</v>
      </c>
      <c r="X102" s="35">
        <f t="shared" si="45"/>
        <v>20096.001933438474</v>
      </c>
      <c r="Y102" s="35">
        <f t="shared" si="19"/>
        <v>20096.001933438474</v>
      </c>
      <c r="Z102" s="35">
        <f t="shared" si="45"/>
        <v>20096.001933438474</v>
      </c>
      <c r="AA102" s="35">
        <f t="shared" si="42"/>
        <v>482304.04640252335</v>
      </c>
      <c r="AB102" s="28">
        <f t="shared" si="43"/>
        <v>31</v>
      </c>
      <c r="AC102" s="29">
        <v>14951425.438478226</v>
      </c>
      <c r="AD102" s="37"/>
      <c r="AE102"/>
    </row>
    <row r="103" spans="1:31" ht="15">
      <c r="A103" s="23">
        <f t="shared" si="31"/>
        <v>2034</v>
      </c>
      <c r="B103" s="27">
        <v>48976</v>
      </c>
      <c r="C103" s="35">
        <f t="shared" ref="C103:R118" si="46">($AC103/$AB103)/24</f>
        <v>22674.486956479948</v>
      </c>
      <c r="D103" s="35">
        <f t="shared" si="46"/>
        <v>22674.486956479948</v>
      </c>
      <c r="E103" s="35">
        <f t="shared" si="46"/>
        <v>22674.486956479948</v>
      </c>
      <c r="F103" s="35">
        <f t="shared" si="46"/>
        <v>22674.486956479948</v>
      </c>
      <c r="G103" s="35">
        <f t="shared" si="46"/>
        <v>22674.486956479948</v>
      </c>
      <c r="H103" s="35">
        <f t="shared" si="46"/>
        <v>22674.486956479948</v>
      </c>
      <c r="I103" s="35">
        <f t="shared" si="46"/>
        <v>22674.486956479948</v>
      </c>
      <c r="J103" s="35">
        <f t="shared" si="46"/>
        <v>22674.486956479948</v>
      </c>
      <c r="K103" s="35">
        <f t="shared" si="46"/>
        <v>22674.486956479948</v>
      </c>
      <c r="L103" s="35">
        <f t="shared" si="46"/>
        <v>22674.486956479948</v>
      </c>
      <c r="M103" s="35">
        <f t="shared" si="46"/>
        <v>22674.486956479948</v>
      </c>
      <c r="N103" s="35">
        <f t="shared" si="46"/>
        <v>22674.486956479948</v>
      </c>
      <c r="O103" s="35">
        <f t="shared" si="46"/>
        <v>22674.486956479948</v>
      </c>
      <c r="P103" s="35">
        <f t="shared" si="46"/>
        <v>22674.486956479948</v>
      </c>
      <c r="Q103" s="35">
        <f t="shared" si="46"/>
        <v>22674.486956479948</v>
      </c>
      <c r="R103" s="35">
        <f t="shared" si="46"/>
        <v>22674.486956479948</v>
      </c>
      <c r="S103" s="35">
        <f t="shared" si="44"/>
        <v>22674.486956479948</v>
      </c>
      <c r="T103" s="35">
        <f t="shared" si="45"/>
        <v>22674.486956479948</v>
      </c>
      <c r="U103" s="35">
        <f t="shared" si="19"/>
        <v>22674.486956479948</v>
      </c>
      <c r="V103" s="35">
        <f t="shared" si="45"/>
        <v>22674.486956479948</v>
      </c>
      <c r="W103" s="35">
        <f t="shared" si="19"/>
        <v>22674.486956479948</v>
      </c>
      <c r="X103" s="35">
        <f t="shared" si="45"/>
        <v>22674.486956479948</v>
      </c>
      <c r="Y103" s="35">
        <f t="shared" si="19"/>
        <v>22674.486956479948</v>
      </c>
      <c r="Z103" s="35">
        <f t="shared" si="45"/>
        <v>22674.486956479948</v>
      </c>
      <c r="AA103" s="35">
        <f t="shared" ref="AA103:AA113" si="47">SUM(C103:Z103)</f>
        <v>544187.6869555189</v>
      </c>
      <c r="AB103" s="28">
        <f t="shared" ref="AB103:AB113" si="48">DAY(EOMONTH(B103,0))</f>
        <v>28</v>
      </c>
      <c r="AC103" s="29">
        <v>15237255.234754525</v>
      </c>
      <c r="AD103" s="37"/>
      <c r="AE103"/>
    </row>
    <row r="104" spans="1:31" ht="15">
      <c r="A104" s="23">
        <f t="shared" si="31"/>
        <v>2034</v>
      </c>
      <c r="B104" s="27">
        <v>49004</v>
      </c>
      <c r="C104" s="35">
        <f t="shared" si="46"/>
        <v>20096.001933438474</v>
      </c>
      <c r="D104" s="35">
        <f t="shared" si="46"/>
        <v>20096.001933438474</v>
      </c>
      <c r="E104" s="35">
        <f t="shared" si="46"/>
        <v>20096.001933438474</v>
      </c>
      <c r="F104" s="35">
        <f t="shared" si="46"/>
        <v>20096.001933438474</v>
      </c>
      <c r="G104" s="35">
        <f t="shared" si="46"/>
        <v>20096.001933438474</v>
      </c>
      <c r="H104" s="35">
        <f t="shared" si="46"/>
        <v>20096.001933438474</v>
      </c>
      <c r="I104" s="35">
        <f t="shared" si="46"/>
        <v>20096.001933438474</v>
      </c>
      <c r="J104" s="35">
        <f t="shared" si="46"/>
        <v>20096.001933438474</v>
      </c>
      <c r="K104" s="35">
        <f t="shared" si="46"/>
        <v>20096.001933438474</v>
      </c>
      <c r="L104" s="35">
        <f t="shared" si="46"/>
        <v>20096.001933438474</v>
      </c>
      <c r="M104" s="35">
        <f t="shared" si="46"/>
        <v>20096.001933438474</v>
      </c>
      <c r="N104" s="35">
        <f t="shared" si="46"/>
        <v>20096.001933438474</v>
      </c>
      <c r="O104" s="35">
        <f t="shared" si="46"/>
        <v>20096.001933438474</v>
      </c>
      <c r="P104" s="35">
        <f t="shared" si="46"/>
        <v>20096.001933438474</v>
      </c>
      <c r="Q104" s="35">
        <f t="shared" si="46"/>
        <v>20096.001933438474</v>
      </c>
      <c r="R104" s="35">
        <f t="shared" si="46"/>
        <v>20096.001933438474</v>
      </c>
      <c r="S104" s="35">
        <f t="shared" si="44"/>
        <v>20096.001933438474</v>
      </c>
      <c r="T104" s="35">
        <f t="shared" si="45"/>
        <v>20096.001933438474</v>
      </c>
      <c r="U104" s="35">
        <f t="shared" si="19"/>
        <v>20096.001933438474</v>
      </c>
      <c r="V104" s="35">
        <f t="shared" si="45"/>
        <v>20096.001933438474</v>
      </c>
      <c r="W104" s="35">
        <f t="shared" si="19"/>
        <v>20096.001933438474</v>
      </c>
      <c r="X104" s="35">
        <f t="shared" si="45"/>
        <v>20096.001933438474</v>
      </c>
      <c r="Y104" s="35">
        <f t="shared" si="19"/>
        <v>20096.001933438474</v>
      </c>
      <c r="Z104" s="35">
        <f t="shared" si="45"/>
        <v>20096.001933438474</v>
      </c>
      <c r="AA104" s="35">
        <f t="shared" si="47"/>
        <v>482304.04640252335</v>
      </c>
      <c r="AB104" s="28">
        <f t="shared" si="48"/>
        <v>31</v>
      </c>
      <c r="AC104" s="29">
        <v>14951425.438478226</v>
      </c>
      <c r="AD104" s="37"/>
      <c r="AE104"/>
    </row>
    <row r="105" spans="1:31" ht="15">
      <c r="A105" s="23">
        <f t="shared" si="31"/>
        <v>2034</v>
      </c>
      <c r="B105" s="27">
        <v>49035</v>
      </c>
      <c r="C105" s="35">
        <f t="shared" si="46"/>
        <v>20898.197273940266</v>
      </c>
      <c r="D105" s="35">
        <f t="shared" si="46"/>
        <v>20898.197273940266</v>
      </c>
      <c r="E105" s="35">
        <f t="shared" si="46"/>
        <v>20898.197273940266</v>
      </c>
      <c r="F105" s="35">
        <f t="shared" si="46"/>
        <v>20898.197273940266</v>
      </c>
      <c r="G105" s="35">
        <f t="shared" si="46"/>
        <v>20898.197273940266</v>
      </c>
      <c r="H105" s="35">
        <f t="shared" si="46"/>
        <v>20898.197273940266</v>
      </c>
      <c r="I105" s="35">
        <f t="shared" si="46"/>
        <v>20898.197273940266</v>
      </c>
      <c r="J105" s="35">
        <f t="shared" si="46"/>
        <v>20898.197273940266</v>
      </c>
      <c r="K105" s="35">
        <f t="shared" si="46"/>
        <v>20898.197273940266</v>
      </c>
      <c r="L105" s="35">
        <f t="shared" si="46"/>
        <v>20898.197273940266</v>
      </c>
      <c r="M105" s="35">
        <f t="shared" si="46"/>
        <v>20898.197273940266</v>
      </c>
      <c r="N105" s="35">
        <f t="shared" si="46"/>
        <v>20898.197273940266</v>
      </c>
      <c r="O105" s="35">
        <f t="shared" si="46"/>
        <v>20898.197273940266</v>
      </c>
      <c r="P105" s="35">
        <f t="shared" si="46"/>
        <v>20898.197273940266</v>
      </c>
      <c r="Q105" s="35">
        <f t="shared" si="46"/>
        <v>20898.197273940266</v>
      </c>
      <c r="R105" s="35">
        <f t="shared" si="46"/>
        <v>20898.197273940266</v>
      </c>
      <c r="S105" s="35">
        <f t="shared" si="44"/>
        <v>20898.197273940266</v>
      </c>
      <c r="T105" s="35">
        <f t="shared" si="45"/>
        <v>20898.197273940266</v>
      </c>
      <c r="U105" s="35">
        <f t="shared" si="19"/>
        <v>20898.197273940266</v>
      </c>
      <c r="V105" s="35">
        <f t="shared" si="45"/>
        <v>20898.197273940266</v>
      </c>
      <c r="W105" s="35">
        <f t="shared" si="19"/>
        <v>20898.197273940266</v>
      </c>
      <c r="X105" s="35">
        <f t="shared" si="45"/>
        <v>20898.197273940266</v>
      </c>
      <c r="Y105" s="35">
        <f t="shared" si="19"/>
        <v>20898.197273940266</v>
      </c>
      <c r="Z105" s="35">
        <f t="shared" si="45"/>
        <v>20898.197273940266</v>
      </c>
      <c r="AA105" s="35">
        <f t="shared" si="47"/>
        <v>501556.73457456625</v>
      </c>
      <c r="AB105" s="28">
        <f t="shared" si="48"/>
        <v>30</v>
      </c>
      <c r="AC105" s="29">
        <v>15046702.03723699</v>
      </c>
      <c r="AD105" s="37"/>
      <c r="AE105"/>
    </row>
    <row r="106" spans="1:31" ht="15">
      <c r="A106" s="23">
        <f t="shared" si="31"/>
        <v>2034</v>
      </c>
      <c r="B106" s="27">
        <v>49065</v>
      </c>
      <c r="C106" s="35">
        <f t="shared" si="46"/>
        <v>20096.001933438474</v>
      </c>
      <c r="D106" s="35">
        <f t="shared" si="46"/>
        <v>20096.001933438474</v>
      </c>
      <c r="E106" s="35">
        <f t="shared" si="46"/>
        <v>20096.001933438474</v>
      </c>
      <c r="F106" s="35">
        <f t="shared" si="46"/>
        <v>20096.001933438474</v>
      </c>
      <c r="G106" s="35">
        <f t="shared" si="46"/>
        <v>20096.001933438474</v>
      </c>
      <c r="H106" s="35">
        <f t="shared" si="46"/>
        <v>20096.001933438474</v>
      </c>
      <c r="I106" s="35">
        <f t="shared" si="46"/>
        <v>20096.001933438474</v>
      </c>
      <c r="J106" s="35">
        <f t="shared" si="46"/>
        <v>20096.001933438474</v>
      </c>
      <c r="K106" s="35">
        <f t="shared" si="46"/>
        <v>20096.001933438474</v>
      </c>
      <c r="L106" s="35">
        <f t="shared" si="46"/>
        <v>20096.001933438474</v>
      </c>
      <c r="M106" s="35">
        <f t="shared" si="46"/>
        <v>20096.001933438474</v>
      </c>
      <c r="N106" s="35">
        <f t="shared" si="46"/>
        <v>20096.001933438474</v>
      </c>
      <c r="O106" s="35">
        <f t="shared" si="46"/>
        <v>20096.001933438474</v>
      </c>
      <c r="P106" s="35">
        <f t="shared" si="46"/>
        <v>20096.001933438474</v>
      </c>
      <c r="Q106" s="35">
        <f t="shared" si="46"/>
        <v>20096.001933438474</v>
      </c>
      <c r="R106" s="35">
        <f t="shared" si="46"/>
        <v>20096.001933438474</v>
      </c>
      <c r="S106" s="35">
        <f t="shared" si="44"/>
        <v>20096.001933438474</v>
      </c>
      <c r="T106" s="35">
        <f t="shared" si="45"/>
        <v>20096.001933438474</v>
      </c>
      <c r="U106" s="35">
        <f t="shared" si="19"/>
        <v>20096.001933438474</v>
      </c>
      <c r="V106" s="35">
        <f t="shared" si="45"/>
        <v>20096.001933438474</v>
      </c>
      <c r="W106" s="35">
        <f t="shared" si="19"/>
        <v>20096.001933438474</v>
      </c>
      <c r="X106" s="35">
        <f t="shared" si="45"/>
        <v>20096.001933438474</v>
      </c>
      <c r="Y106" s="35">
        <f t="shared" si="19"/>
        <v>20096.001933438474</v>
      </c>
      <c r="Z106" s="35">
        <f t="shared" si="45"/>
        <v>20096.001933438474</v>
      </c>
      <c r="AA106" s="35">
        <f t="shared" si="47"/>
        <v>482304.04640252335</v>
      </c>
      <c r="AB106" s="28">
        <f t="shared" si="48"/>
        <v>31</v>
      </c>
      <c r="AC106" s="29">
        <v>14951425.438478226</v>
      </c>
      <c r="AD106" s="37"/>
      <c r="AE106"/>
    </row>
    <row r="107" spans="1:31" ht="15">
      <c r="A107" s="23">
        <f t="shared" si="31"/>
        <v>2034</v>
      </c>
      <c r="B107" s="27">
        <v>49096</v>
      </c>
      <c r="C107" s="35">
        <f t="shared" si="46"/>
        <v>20898.197273940266</v>
      </c>
      <c r="D107" s="35">
        <f t="shared" si="46"/>
        <v>20898.197273940266</v>
      </c>
      <c r="E107" s="35">
        <f t="shared" si="46"/>
        <v>20898.197273940266</v>
      </c>
      <c r="F107" s="35">
        <f t="shared" si="46"/>
        <v>20898.197273940266</v>
      </c>
      <c r="G107" s="35">
        <f t="shared" si="46"/>
        <v>20898.197273940266</v>
      </c>
      <c r="H107" s="35">
        <f t="shared" si="46"/>
        <v>20898.197273940266</v>
      </c>
      <c r="I107" s="35">
        <f t="shared" si="46"/>
        <v>20898.197273940266</v>
      </c>
      <c r="J107" s="35">
        <f t="shared" si="46"/>
        <v>20898.197273940266</v>
      </c>
      <c r="K107" s="35">
        <f t="shared" si="46"/>
        <v>20898.197273940266</v>
      </c>
      <c r="L107" s="35">
        <f t="shared" si="46"/>
        <v>20898.197273940266</v>
      </c>
      <c r="M107" s="35">
        <f t="shared" si="46"/>
        <v>20898.197273940266</v>
      </c>
      <c r="N107" s="35">
        <f t="shared" si="46"/>
        <v>20898.197273940266</v>
      </c>
      <c r="O107" s="35">
        <f t="shared" si="46"/>
        <v>20898.197273940266</v>
      </c>
      <c r="P107" s="35">
        <f t="shared" si="46"/>
        <v>20898.197273940266</v>
      </c>
      <c r="Q107" s="35">
        <f t="shared" si="46"/>
        <v>20898.197273940266</v>
      </c>
      <c r="R107" s="35">
        <f t="shared" si="46"/>
        <v>20898.197273940266</v>
      </c>
      <c r="S107" s="35">
        <f t="shared" si="44"/>
        <v>20898.197273940266</v>
      </c>
      <c r="T107" s="35">
        <f t="shared" si="45"/>
        <v>20898.197273940266</v>
      </c>
      <c r="U107" s="35">
        <f t="shared" si="19"/>
        <v>20898.197273940266</v>
      </c>
      <c r="V107" s="35">
        <f t="shared" si="45"/>
        <v>20898.197273940266</v>
      </c>
      <c r="W107" s="35">
        <f t="shared" si="19"/>
        <v>20898.197273940266</v>
      </c>
      <c r="X107" s="35">
        <f t="shared" si="45"/>
        <v>20898.197273940266</v>
      </c>
      <c r="Y107" s="35">
        <f t="shared" si="19"/>
        <v>20898.197273940266</v>
      </c>
      <c r="Z107" s="35">
        <f t="shared" si="45"/>
        <v>20898.197273940266</v>
      </c>
      <c r="AA107" s="35">
        <f t="shared" si="47"/>
        <v>501556.73457456625</v>
      </c>
      <c r="AB107" s="28">
        <f t="shared" si="48"/>
        <v>30</v>
      </c>
      <c r="AC107" s="29">
        <v>15046702.03723699</v>
      </c>
      <c r="AD107" s="37"/>
      <c r="AE107"/>
    </row>
    <row r="108" spans="1:31" ht="15">
      <c r="A108" s="23">
        <f t="shared" si="31"/>
        <v>2034</v>
      </c>
      <c r="B108" s="27">
        <v>49126</v>
      </c>
      <c r="C108" s="35">
        <f t="shared" si="46"/>
        <v>20096.001933438474</v>
      </c>
      <c r="D108" s="35">
        <f t="shared" si="46"/>
        <v>20096.001933438474</v>
      </c>
      <c r="E108" s="35">
        <f t="shared" si="46"/>
        <v>20096.001933438474</v>
      </c>
      <c r="F108" s="35">
        <f t="shared" si="46"/>
        <v>20096.001933438474</v>
      </c>
      <c r="G108" s="35">
        <f t="shared" si="46"/>
        <v>20096.001933438474</v>
      </c>
      <c r="H108" s="35">
        <f t="shared" si="46"/>
        <v>20096.001933438474</v>
      </c>
      <c r="I108" s="35">
        <f t="shared" si="46"/>
        <v>20096.001933438474</v>
      </c>
      <c r="J108" s="35">
        <f t="shared" si="46"/>
        <v>20096.001933438474</v>
      </c>
      <c r="K108" s="35">
        <f t="shared" si="46"/>
        <v>20096.001933438474</v>
      </c>
      <c r="L108" s="35">
        <f t="shared" si="46"/>
        <v>20096.001933438474</v>
      </c>
      <c r="M108" s="35">
        <f t="shared" si="46"/>
        <v>20096.001933438474</v>
      </c>
      <c r="N108" s="35">
        <f t="shared" si="46"/>
        <v>20096.001933438474</v>
      </c>
      <c r="O108" s="35">
        <f t="shared" si="46"/>
        <v>20096.001933438474</v>
      </c>
      <c r="P108" s="35">
        <f t="shared" si="46"/>
        <v>20096.001933438474</v>
      </c>
      <c r="Q108" s="35">
        <f t="shared" si="46"/>
        <v>20096.001933438474</v>
      </c>
      <c r="R108" s="35">
        <f t="shared" si="46"/>
        <v>20096.001933438474</v>
      </c>
      <c r="S108" s="35">
        <f t="shared" si="44"/>
        <v>20096.001933438474</v>
      </c>
      <c r="T108" s="35">
        <f t="shared" si="45"/>
        <v>20096.001933438474</v>
      </c>
      <c r="U108" s="35">
        <f t="shared" si="19"/>
        <v>20096.001933438474</v>
      </c>
      <c r="V108" s="35">
        <f t="shared" si="45"/>
        <v>20096.001933438474</v>
      </c>
      <c r="W108" s="35">
        <f t="shared" si="19"/>
        <v>20096.001933438474</v>
      </c>
      <c r="X108" s="35">
        <f t="shared" si="45"/>
        <v>20096.001933438474</v>
      </c>
      <c r="Y108" s="35">
        <f t="shared" si="19"/>
        <v>20096.001933438474</v>
      </c>
      <c r="Z108" s="35">
        <f t="shared" si="45"/>
        <v>20096.001933438474</v>
      </c>
      <c r="AA108" s="35">
        <f t="shared" si="47"/>
        <v>482304.04640252335</v>
      </c>
      <c r="AB108" s="28">
        <f t="shared" si="48"/>
        <v>31</v>
      </c>
      <c r="AC108" s="29">
        <v>14951425.438478226</v>
      </c>
      <c r="AD108" s="37"/>
      <c r="AE108"/>
    </row>
    <row r="109" spans="1:31" ht="15">
      <c r="A109" s="23">
        <f t="shared" si="31"/>
        <v>2034</v>
      </c>
      <c r="B109" s="27">
        <v>49157</v>
      </c>
      <c r="C109" s="35">
        <f t="shared" si="46"/>
        <v>20223.690105481484</v>
      </c>
      <c r="D109" s="35">
        <f t="shared" si="46"/>
        <v>20223.690105481484</v>
      </c>
      <c r="E109" s="35">
        <f t="shared" si="46"/>
        <v>20223.690105481484</v>
      </c>
      <c r="F109" s="35">
        <f t="shared" si="46"/>
        <v>20223.690105481484</v>
      </c>
      <c r="G109" s="35">
        <f t="shared" si="46"/>
        <v>20223.690105481484</v>
      </c>
      <c r="H109" s="35">
        <f t="shared" si="46"/>
        <v>20223.690105481484</v>
      </c>
      <c r="I109" s="35">
        <f t="shared" si="46"/>
        <v>20223.690105481484</v>
      </c>
      <c r="J109" s="35">
        <f t="shared" si="46"/>
        <v>20223.690105481484</v>
      </c>
      <c r="K109" s="35">
        <f t="shared" si="46"/>
        <v>20223.690105481484</v>
      </c>
      <c r="L109" s="35">
        <f t="shared" si="46"/>
        <v>20223.690105481484</v>
      </c>
      <c r="M109" s="35">
        <f t="shared" si="46"/>
        <v>20223.690105481484</v>
      </c>
      <c r="N109" s="35">
        <f t="shared" si="46"/>
        <v>20223.690105481484</v>
      </c>
      <c r="O109" s="35">
        <f t="shared" si="46"/>
        <v>20223.690105481484</v>
      </c>
      <c r="P109" s="35">
        <f t="shared" si="46"/>
        <v>20223.690105481484</v>
      </c>
      <c r="Q109" s="35">
        <f t="shared" si="46"/>
        <v>20223.690105481484</v>
      </c>
      <c r="R109" s="35">
        <f t="shared" si="46"/>
        <v>20223.690105481484</v>
      </c>
      <c r="S109" s="35">
        <f t="shared" si="44"/>
        <v>20223.690105481484</v>
      </c>
      <c r="T109" s="35">
        <f t="shared" si="45"/>
        <v>20223.690105481484</v>
      </c>
      <c r="U109" s="35">
        <f t="shared" si="19"/>
        <v>20223.690105481484</v>
      </c>
      <c r="V109" s="35">
        <f t="shared" si="45"/>
        <v>20223.690105481484</v>
      </c>
      <c r="W109" s="35">
        <f t="shared" si="19"/>
        <v>20223.690105481484</v>
      </c>
      <c r="X109" s="35">
        <f t="shared" si="45"/>
        <v>20223.690105481484</v>
      </c>
      <c r="Y109" s="35">
        <f t="shared" si="19"/>
        <v>20223.690105481484</v>
      </c>
      <c r="Z109" s="35">
        <f t="shared" si="45"/>
        <v>20223.690105481484</v>
      </c>
      <c r="AA109" s="35">
        <f t="shared" si="47"/>
        <v>485368.5625315556</v>
      </c>
      <c r="AB109" s="28">
        <f t="shared" si="48"/>
        <v>31</v>
      </c>
      <c r="AC109" s="29">
        <v>15046425.438478226</v>
      </c>
      <c r="AD109" s="37"/>
      <c r="AE109"/>
    </row>
    <row r="110" spans="1:31" ht="15">
      <c r="A110" s="23">
        <f t="shared" si="31"/>
        <v>2034</v>
      </c>
      <c r="B110" s="27">
        <v>49188</v>
      </c>
      <c r="C110" s="35">
        <f t="shared" si="46"/>
        <v>21030.141718384708</v>
      </c>
      <c r="D110" s="35">
        <f t="shared" si="46"/>
        <v>21030.141718384708</v>
      </c>
      <c r="E110" s="35">
        <f t="shared" si="46"/>
        <v>21030.141718384708</v>
      </c>
      <c r="F110" s="35">
        <f t="shared" si="46"/>
        <v>21030.141718384708</v>
      </c>
      <c r="G110" s="35">
        <f t="shared" si="46"/>
        <v>21030.141718384708</v>
      </c>
      <c r="H110" s="35">
        <f t="shared" si="46"/>
        <v>21030.141718384708</v>
      </c>
      <c r="I110" s="35">
        <f t="shared" si="46"/>
        <v>21030.141718384708</v>
      </c>
      <c r="J110" s="35">
        <f t="shared" si="46"/>
        <v>21030.141718384708</v>
      </c>
      <c r="K110" s="35">
        <f t="shared" si="46"/>
        <v>21030.141718384708</v>
      </c>
      <c r="L110" s="35">
        <f t="shared" si="46"/>
        <v>21030.141718384708</v>
      </c>
      <c r="M110" s="35">
        <f t="shared" si="46"/>
        <v>21030.141718384708</v>
      </c>
      <c r="N110" s="35">
        <f t="shared" si="46"/>
        <v>21030.141718384708</v>
      </c>
      <c r="O110" s="35">
        <f t="shared" si="46"/>
        <v>21030.141718384708</v>
      </c>
      <c r="P110" s="35">
        <f t="shared" si="46"/>
        <v>21030.141718384708</v>
      </c>
      <c r="Q110" s="35">
        <f t="shared" si="46"/>
        <v>21030.141718384708</v>
      </c>
      <c r="R110" s="35">
        <f t="shared" si="46"/>
        <v>21030.141718384708</v>
      </c>
      <c r="S110" s="35">
        <f t="shared" si="44"/>
        <v>21030.141718384708</v>
      </c>
      <c r="T110" s="35">
        <f t="shared" si="45"/>
        <v>21030.141718384708</v>
      </c>
      <c r="U110" s="35">
        <f t="shared" si="19"/>
        <v>21030.141718384708</v>
      </c>
      <c r="V110" s="35">
        <f t="shared" si="45"/>
        <v>21030.141718384708</v>
      </c>
      <c r="W110" s="35">
        <f t="shared" si="19"/>
        <v>21030.141718384708</v>
      </c>
      <c r="X110" s="35">
        <f t="shared" si="45"/>
        <v>21030.141718384708</v>
      </c>
      <c r="Y110" s="35">
        <f t="shared" si="19"/>
        <v>21030.141718384708</v>
      </c>
      <c r="Z110" s="35">
        <f t="shared" si="45"/>
        <v>21030.141718384708</v>
      </c>
      <c r="AA110" s="35">
        <f t="shared" si="47"/>
        <v>504723.40124123276</v>
      </c>
      <c r="AB110" s="28">
        <f t="shared" si="48"/>
        <v>30</v>
      </c>
      <c r="AC110" s="29">
        <v>15141702.03723699</v>
      </c>
      <c r="AD110" s="37"/>
      <c r="AE110"/>
    </row>
    <row r="111" spans="1:31" ht="15">
      <c r="A111" s="23">
        <f t="shared" si="31"/>
        <v>2034</v>
      </c>
      <c r="B111" s="27">
        <v>49218</v>
      </c>
      <c r="C111" s="35">
        <f t="shared" si="46"/>
        <v>20223.690105481484</v>
      </c>
      <c r="D111" s="35">
        <f t="shared" si="46"/>
        <v>20223.690105481484</v>
      </c>
      <c r="E111" s="35">
        <f t="shared" si="46"/>
        <v>20223.690105481484</v>
      </c>
      <c r="F111" s="35">
        <f t="shared" si="46"/>
        <v>20223.690105481484</v>
      </c>
      <c r="G111" s="35">
        <f t="shared" si="46"/>
        <v>20223.690105481484</v>
      </c>
      <c r="H111" s="35">
        <f t="shared" si="46"/>
        <v>20223.690105481484</v>
      </c>
      <c r="I111" s="35">
        <f t="shared" si="46"/>
        <v>20223.690105481484</v>
      </c>
      <c r="J111" s="35">
        <f t="shared" si="46"/>
        <v>20223.690105481484</v>
      </c>
      <c r="K111" s="35">
        <f t="shared" si="46"/>
        <v>20223.690105481484</v>
      </c>
      <c r="L111" s="35">
        <f t="shared" si="46"/>
        <v>20223.690105481484</v>
      </c>
      <c r="M111" s="35">
        <f t="shared" si="46"/>
        <v>20223.690105481484</v>
      </c>
      <c r="N111" s="35">
        <f t="shared" si="46"/>
        <v>20223.690105481484</v>
      </c>
      <c r="O111" s="35">
        <f t="shared" si="46"/>
        <v>20223.690105481484</v>
      </c>
      <c r="P111" s="35">
        <f t="shared" si="46"/>
        <v>20223.690105481484</v>
      </c>
      <c r="Q111" s="35">
        <f t="shared" si="46"/>
        <v>20223.690105481484</v>
      </c>
      <c r="R111" s="35">
        <f t="shared" si="46"/>
        <v>20223.690105481484</v>
      </c>
      <c r="S111" s="35">
        <f t="shared" si="44"/>
        <v>20223.690105481484</v>
      </c>
      <c r="T111" s="35">
        <f t="shared" si="45"/>
        <v>20223.690105481484</v>
      </c>
      <c r="U111" s="35">
        <f t="shared" si="19"/>
        <v>20223.690105481484</v>
      </c>
      <c r="V111" s="35">
        <f t="shared" si="45"/>
        <v>20223.690105481484</v>
      </c>
      <c r="W111" s="35">
        <f t="shared" si="19"/>
        <v>20223.690105481484</v>
      </c>
      <c r="X111" s="35">
        <f t="shared" si="45"/>
        <v>20223.690105481484</v>
      </c>
      <c r="Y111" s="35">
        <f t="shared" si="19"/>
        <v>20223.690105481484</v>
      </c>
      <c r="Z111" s="35">
        <f t="shared" si="45"/>
        <v>20223.690105481484</v>
      </c>
      <c r="AA111" s="35">
        <f t="shared" si="47"/>
        <v>485368.5625315556</v>
      </c>
      <c r="AB111" s="28">
        <f t="shared" si="48"/>
        <v>31</v>
      </c>
      <c r="AC111" s="29">
        <v>15046425.438478226</v>
      </c>
      <c r="AD111" s="37"/>
      <c r="AE111"/>
    </row>
    <row r="112" spans="1:31" ht="15">
      <c r="A112" s="23">
        <f t="shared" si="31"/>
        <v>2034</v>
      </c>
      <c r="B112" s="27">
        <v>49249</v>
      </c>
      <c r="C112" s="35">
        <f t="shared" si="46"/>
        <v>21030.141718384708</v>
      </c>
      <c r="D112" s="35">
        <f t="shared" si="46"/>
        <v>21030.141718384708</v>
      </c>
      <c r="E112" s="35">
        <f t="shared" si="46"/>
        <v>21030.141718384708</v>
      </c>
      <c r="F112" s="35">
        <f t="shared" si="46"/>
        <v>21030.141718384708</v>
      </c>
      <c r="G112" s="35">
        <f t="shared" si="46"/>
        <v>21030.141718384708</v>
      </c>
      <c r="H112" s="35">
        <f t="shared" si="46"/>
        <v>21030.141718384708</v>
      </c>
      <c r="I112" s="35">
        <f t="shared" si="46"/>
        <v>21030.141718384708</v>
      </c>
      <c r="J112" s="35">
        <f t="shared" si="46"/>
        <v>21030.141718384708</v>
      </c>
      <c r="K112" s="35">
        <f t="shared" si="46"/>
        <v>21030.141718384708</v>
      </c>
      <c r="L112" s="35">
        <f t="shared" si="46"/>
        <v>21030.141718384708</v>
      </c>
      <c r="M112" s="35">
        <f t="shared" si="46"/>
        <v>21030.141718384708</v>
      </c>
      <c r="N112" s="35">
        <f t="shared" si="46"/>
        <v>21030.141718384708</v>
      </c>
      <c r="O112" s="35">
        <f t="shared" si="46"/>
        <v>21030.141718384708</v>
      </c>
      <c r="P112" s="35">
        <f t="shared" si="46"/>
        <v>21030.141718384708</v>
      </c>
      <c r="Q112" s="35">
        <f t="shared" si="46"/>
        <v>21030.141718384708</v>
      </c>
      <c r="R112" s="35">
        <f t="shared" si="46"/>
        <v>21030.141718384708</v>
      </c>
      <c r="S112" s="35">
        <f t="shared" si="44"/>
        <v>21030.141718384708</v>
      </c>
      <c r="T112" s="35">
        <f t="shared" si="45"/>
        <v>21030.141718384708</v>
      </c>
      <c r="U112" s="35">
        <f t="shared" si="19"/>
        <v>21030.141718384708</v>
      </c>
      <c r="V112" s="35">
        <f t="shared" si="45"/>
        <v>21030.141718384708</v>
      </c>
      <c r="W112" s="35">
        <f t="shared" si="19"/>
        <v>21030.141718384708</v>
      </c>
      <c r="X112" s="35">
        <f t="shared" si="45"/>
        <v>21030.141718384708</v>
      </c>
      <c r="Y112" s="35">
        <f t="shared" si="19"/>
        <v>21030.141718384708</v>
      </c>
      <c r="Z112" s="35">
        <f t="shared" si="45"/>
        <v>21030.141718384708</v>
      </c>
      <c r="AA112" s="35">
        <f t="shared" si="47"/>
        <v>504723.40124123276</v>
      </c>
      <c r="AB112" s="28">
        <f t="shared" si="48"/>
        <v>30</v>
      </c>
      <c r="AC112" s="29">
        <v>15141702.03723699</v>
      </c>
      <c r="AD112" s="37"/>
      <c r="AE112"/>
    </row>
    <row r="113" spans="1:31" ht="15">
      <c r="A113" s="23">
        <f t="shared" si="31"/>
        <v>2034</v>
      </c>
      <c r="B113" s="27">
        <v>49279</v>
      </c>
      <c r="C113" s="35">
        <f t="shared" si="46"/>
        <v>20223.690105481484</v>
      </c>
      <c r="D113" s="35">
        <f t="shared" si="46"/>
        <v>20223.690105481484</v>
      </c>
      <c r="E113" s="35">
        <f t="shared" si="46"/>
        <v>20223.690105481484</v>
      </c>
      <c r="F113" s="35">
        <f t="shared" si="46"/>
        <v>20223.690105481484</v>
      </c>
      <c r="G113" s="35">
        <f t="shared" si="46"/>
        <v>20223.690105481484</v>
      </c>
      <c r="H113" s="35">
        <f t="shared" si="46"/>
        <v>20223.690105481484</v>
      </c>
      <c r="I113" s="35">
        <f t="shared" si="46"/>
        <v>20223.690105481484</v>
      </c>
      <c r="J113" s="35">
        <f t="shared" si="46"/>
        <v>20223.690105481484</v>
      </c>
      <c r="K113" s="35">
        <f t="shared" si="46"/>
        <v>20223.690105481484</v>
      </c>
      <c r="L113" s="35">
        <f t="shared" si="46"/>
        <v>20223.690105481484</v>
      </c>
      <c r="M113" s="35">
        <f t="shared" si="46"/>
        <v>20223.690105481484</v>
      </c>
      <c r="N113" s="35">
        <f t="shared" si="46"/>
        <v>20223.690105481484</v>
      </c>
      <c r="O113" s="35">
        <f t="shared" si="46"/>
        <v>20223.690105481484</v>
      </c>
      <c r="P113" s="35">
        <f t="shared" si="46"/>
        <v>20223.690105481484</v>
      </c>
      <c r="Q113" s="35">
        <f t="shared" si="46"/>
        <v>20223.690105481484</v>
      </c>
      <c r="R113" s="35">
        <f t="shared" si="46"/>
        <v>20223.690105481484</v>
      </c>
      <c r="S113" s="35">
        <f t="shared" ref="S113:S125" si="49">($AC113/$AB113)/24</f>
        <v>20223.690105481484</v>
      </c>
      <c r="T113" s="35">
        <f t="shared" si="45"/>
        <v>20223.690105481484</v>
      </c>
      <c r="U113" s="35">
        <f t="shared" si="19"/>
        <v>20223.690105481484</v>
      </c>
      <c r="V113" s="35">
        <f t="shared" si="45"/>
        <v>20223.690105481484</v>
      </c>
      <c r="W113" s="35">
        <f t="shared" si="19"/>
        <v>20223.690105481484</v>
      </c>
      <c r="X113" s="35">
        <f t="shared" si="45"/>
        <v>20223.690105481484</v>
      </c>
      <c r="Y113" s="35">
        <f t="shared" si="19"/>
        <v>20223.690105481484</v>
      </c>
      <c r="Z113" s="35">
        <f t="shared" si="45"/>
        <v>20223.690105481484</v>
      </c>
      <c r="AA113" s="35">
        <f t="shared" si="47"/>
        <v>485368.5625315556</v>
      </c>
      <c r="AB113" s="28">
        <f t="shared" si="48"/>
        <v>31</v>
      </c>
      <c r="AC113" s="29">
        <v>15046425.438478224</v>
      </c>
      <c r="AD113" s="37"/>
      <c r="AE113"/>
    </row>
    <row r="114" spans="1:31" ht="15">
      <c r="A114" s="23">
        <f t="shared" si="31"/>
        <v>2035</v>
      </c>
      <c r="B114" s="27">
        <v>49310</v>
      </c>
      <c r="C114" s="35">
        <f t="shared" si="46"/>
        <v>20223.690105481484</v>
      </c>
      <c r="D114" s="35">
        <f t="shared" si="46"/>
        <v>20223.690105481484</v>
      </c>
      <c r="E114" s="35">
        <f t="shared" si="46"/>
        <v>20223.690105481484</v>
      </c>
      <c r="F114" s="35">
        <f t="shared" si="46"/>
        <v>20223.690105481484</v>
      </c>
      <c r="G114" s="35">
        <f t="shared" si="46"/>
        <v>20223.690105481484</v>
      </c>
      <c r="H114" s="35">
        <f t="shared" si="46"/>
        <v>20223.690105481484</v>
      </c>
      <c r="I114" s="35">
        <f t="shared" si="46"/>
        <v>20223.690105481484</v>
      </c>
      <c r="J114" s="35">
        <f t="shared" si="46"/>
        <v>20223.690105481484</v>
      </c>
      <c r="K114" s="35">
        <f t="shared" si="46"/>
        <v>20223.690105481484</v>
      </c>
      <c r="L114" s="35">
        <f t="shared" si="46"/>
        <v>20223.690105481484</v>
      </c>
      <c r="M114" s="35">
        <f t="shared" si="46"/>
        <v>20223.690105481484</v>
      </c>
      <c r="N114" s="35">
        <f t="shared" si="46"/>
        <v>20223.690105481484</v>
      </c>
      <c r="O114" s="35">
        <f t="shared" si="46"/>
        <v>20223.690105481484</v>
      </c>
      <c r="P114" s="35">
        <f t="shared" si="46"/>
        <v>20223.690105481484</v>
      </c>
      <c r="Q114" s="35">
        <f t="shared" si="46"/>
        <v>20223.690105481484</v>
      </c>
      <c r="R114" s="35">
        <f t="shared" si="46"/>
        <v>20223.690105481484</v>
      </c>
      <c r="S114" s="35">
        <f t="shared" si="49"/>
        <v>20223.690105481484</v>
      </c>
      <c r="T114" s="35">
        <f t="shared" si="45"/>
        <v>20223.690105481484</v>
      </c>
      <c r="U114" s="35">
        <f t="shared" si="19"/>
        <v>20223.690105481484</v>
      </c>
      <c r="V114" s="35">
        <f t="shared" si="45"/>
        <v>20223.690105481484</v>
      </c>
      <c r="W114" s="35">
        <f t="shared" si="19"/>
        <v>20223.690105481484</v>
      </c>
      <c r="X114" s="35">
        <f t="shared" si="45"/>
        <v>20223.690105481484</v>
      </c>
      <c r="Y114" s="35">
        <f t="shared" si="19"/>
        <v>20223.690105481484</v>
      </c>
      <c r="Z114" s="35">
        <f t="shared" si="45"/>
        <v>20223.690105481484</v>
      </c>
      <c r="AA114" s="35">
        <f t="shared" ref="AA114" si="50">SUM(C114:Z114)</f>
        <v>485368.5625315556</v>
      </c>
      <c r="AB114" s="28">
        <f t="shared" ref="AB114" si="51">DAY(EOMONTH(B114,0))</f>
        <v>31</v>
      </c>
      <c r="AC114" s="29">
        <v>15046425.438478226</v>
      </c>
      <c r="AD114" s="37"/>
      <c r="AE114"/>
    </row>
    <row r="115" spans="1:31" ht="15">
      <c r="A115" s="23">
        <f t="shared" si="31"/>
        <v>2035</v>
      </c>
      <c r="B115" s="27">
        <v>49341</v>
      </c>
      <c r="C115" s="35">
        <f t="shared" si="46"/>
        <v>22815.856004098998</v>
      </c>
      <c r="D115" s="35">
        <f t="shared" si="46"/>
        <v>22815.856004098998</v>
      </c>
      <c r="E115" s="35">
        <f t="shared" si="46"/>
        <v>22815.856004098998</v>
      </c>
      <c r="F115" s="35">
        <f t="shared" si="46"/>
        <v>22815.856004098998</v>
      </c>
      <c r="G115" s="35">
        <f t="shared" si="46"/>
        <v>22815.856004098998</v>
      </c>
      <c r="H115" s="35">
        <f t="shared" si="46"/>
        <v>22815.856004098998</v>
      </c>
      <c r="I115" s="35">
        <f t="shared" si="46"/>
        <v>22815.856004098998</v>
      </c>
      <c r="J115" s="35">
        <f t="shared" si="46"/>
        <v>22815.856004098998</v>
      </c>
      <c r="K115" s="35">
        <f t="shared" si="46"/>
        <v>22815.856004098998</v>
      </c>
      <c r="L115" s="35">
        <f t="shared" si="46"/>
        <v>22815.856004098998</v>
      </c>
      <c r="M115" s="35">
        <f t="shared" si="46"/>
        <v>22815.856004098998</v>
      </c>
      <c r="N115" s="35">
        <f t="shared" si="46"/>
        <v>22815.856004098998</v>
      </c>
      <c r="O115" s="35">
        <f t="shared" si="46"/>
        <v>22815.856004098998</v>
      </c>
      <c r="P115" s="35">
        <f t="shared" si="46"/>
        <v>22815.856004098998</v>
      </c>
      <c r="Q115" s="35">
        <f t="shared" si="46"/>
        <v>22815.856004098998</v>
      </c>
      <c r="R115" s="35">
        <f t="shared" si="46"/>
        <v>22815.856004098998</v>
      </c>
      <c r="S115" s="35">
        <f t="shared" si="49"/>
        <v>22815.856004098998</v>
      </c>
      <c r="T115" s="35">
        <f t="shared" si="45"/>
        <v>22815.856004098998</v>
      </c>
      <c r="U115" s="35">
        <f t="shared" si="19"/>
        <v>22815.856004098998</v>
      </c>
      <c r="V115" s="35">
        <f t="shared" si="45"/>
        <v>22815.856004098998</v>
      </c>
      <c r="W115" s="35">
        <f t="shared" si="19"/>
        <v>22815.856004098998</v>
      </c>
      <c r="X115" s="35">
        <f t="shared" si="45"/>
        <v>22815.856004098998</v>
      </c>
      <c r="Y115" s="35">
        <f t="shared" si="19"/>
        <v>22815.856004098998</v>
      </c>
      <c r="Z115" s="35">
        <f t="shared" si="45"/>
        <v>22815.856004098998</v>
      </c>
      <c r="AA115" s="35">
        <f t="shared" ref="AA115:AA125" si="52">SUM(C115:Z115)</f>
        <v>547580.54409837618</v>
      </c>
      <c r="AB115" s="28">
        <f t="shared" ref="AB115:AB125" si="53">DAY(EOMONTH(B115,0))</f>
        <v>28</v>
      </c>
      <c r="AC115" s="29">
        <v>15332255.234754525</v>
      </c>
      <c r="AD115" s="37"/>
      <c r="AE115"/>
    </row>
    <row r="116" spans="1:31" ht="15">
      <c r="A116" s="23">
        <f t="shared" si="31"/>
        <v>2035</v>
      </c>
      <c r="B116" s="27">
        <v>49369</v>
      </c>
      <c r="C116" s="35">
        <f t="shared" si="46"/>
        <v>20223.690105481484</v>
      </c>
      <c r="D116" s="35">
        <f t="shared" si="46"/>
        <v>20223.690105481484</v>
      </c>
      <c r="E116" s="35">
        <f t="shared" si="46"/>
        <v>20223.690105481484</v>
      </c>
      <c r="F116" s="35">
        <f t="shared" si="46"/>
        <v>20223.690105481484</v>
      </c>
      <c r="G116" s="35">
        <f t="shared" si="46"/>
        <v>20223.690105481484</v>
      </c>
      <c r="H116" s="35">
        <f t="shared" si="46"/>
        <v>20223.690105481484</v>
      </c>
      <c r="I116" s="35">
        <f t="shared" si="46"/>
        <v>20223.690105481484</v>
      </c>
      <c r="J116" s="35">
        <f t="shared" si="46"/>
        <v>20223.690105481484</v>
      </c>
      <c r="K116" s="35">
        <f t="shared" si="46"/>
        <v>20223.690105481484</v>
      </c>
      <c r="L116" s="35">
        <f t="shared" si="46"/>
        <v>20223.690105481484</v>
      </c>
      <c r="M116" s="35">
        <f t="shared" si="46"/>
        <v>20223.690105481484</v>
      </c>
      <c r="N116" s="35">
        <f t="shared" si="46"/>
        <v>20223.690105481484</v>
      </c>
      <c r="O116" s="35">
        <f t="shared" si="46"/>
        <v>20223.690105481484</v>
      </c>
      <c r="P116" s="35">
        <f t="shared" si="46"/>
        <v>20223.690105481484</v>
      </c>
      <c r="Q116" s="35">
        <f t="shared" si="46"/>
        <v>20223.690105481484</v>
      </c>
      <c r="R116" s="35">
        <f t="shared" si="46"/>
        <v>20223.690105481484</v>
      </c>
      <c r="S116" s="35">
        <f t="shared" si="49"/>
        <v>20223.690105481484</v>
      </c>
      <c r="T116" s="35">
        <f t="shared" si="45"/>
        <v>20223.690105481484</v>
      </c>
      <c r="U116" s="35">
        <f t="shared" si="19"/>
        <v>20223.690105481484</v>
      </c>
      <c r="V116" s="35">
        <f t="shared" si="45"/>
        <v>20223.690105481484</v>
      </c>
      <c r="W116" s="35">
        <f t="shared" si="19"/>
        <v>20223.690105481484</v>
      </c>
      <c r="X116" s="35">
        <f t="shared" si="45"/>
        <v>20223.690105481484</v>
      </c>
      <c r="Y116" s="35">
        <f t="shared" si="19"/>
        <v>20223.690105481484</v>
      </c>
      <c r="Z116" s="35">
        <f t="shared" si="45"/>
        <v>20223.690105481484</v>
      </c>
      <c r="AA116" s="35">
        <f t="shared" si="52"/>
        <v>485368.5625315556</v>
      </c>
      <c r="AB116" s="28">
        <f t="shared" si="53"/>
        <v>31</v>
      </c>
      <c r="AC116" s="29">
        <v>15046425.438478226</v>
      </c>
      <c r="AD116" s="37"/>
      <c r="AE116"/>
    </row>
    <row r="117" spans="1:31" ht="15">
      <c r="A117" s="23">
        <f t="shared" si="31"/>
        <v>2035</v>
      </c>
      <c r="B117" s="27">
        <v>49400</v>
      </c>
      <c r="C117" s="35">
        <f t="shared" si="46"/>
        <v>21030.141718384708</v>
      </c>
      <c r="D117" s="35">
        <f t="shared" si="46"/>
        <v>21030.141718384708</v>
      </c>
      <c r="E117" s="35">
        <f t="shared" si="46"/>
        <v>21030.141718384708</v>
      </c>
      <c r="F117" s="35">
        <f t="shared" si="46"/>
        <v>21030.141718384708</v>
      </c>
      <c r="G117" s="35">
        <f t="shared" si="46"/>
        <v>21030.141718384708</v>
      </c>
      <c r="H117" s="35">
        <f t="shared" si="46"/>
        <v>21030.141718384708</v>
      </c>
      <c r="I117" s="35">
        <f t="shared" si="46"/>
        <v>21030.141718384708</v>
      </c>
      <c r="J117" s="35">
        <f t="shared" si="46"/>
        <v>21030.141718384708</v>
      </c>
      <c r="K117" s="35">
        <f t="shared" si="46"/>
        <v>21030.141718384708</v>
      </c>
      <c r="L117" s="35">
        <f t="shared" si="46"/>
        <v>21030.141718384708</v>
      </c>
      <c r="M117" s="35">
        <f t="shared" si="46"/>
        <v>21030.141718384708</v>
      </c>
      <c r="N117" s="35">
        <f t="shared" si="46"/>
        <v>21030.141718384708</v>
      </c>
      <c r="O117" s="35">
        <f t="shared" si="46"/>
        <v>21030.141718384708</v>
      </c>
      <c r="P117" s="35">
        <f t="shared" si="46"/>
        <v>21030.141718384708</v>
      </c>
      <c r="Q117" s="35">
        <f t="shared" si="46"/>
        <v>21030.141718384708</v>
      </c>
      <c r="R117" s="35">
        <f t="shared" si="46"/>
        <v>21030.141718384708</v>
      </c>
      <c r="S117" s="35">
        <f t="shared" si="49"/>
        <v>21030.141718384708</v>
      </c>
      <c r="T117" s="35">
        <f t="shared" si="45"/>
        <v>21030.141718384708</v>
      </c>
      <c r="U117" s="35">
        <f t="shared" si="19"/>
        <v>21030.141718384708</v>
      </c>
      <c r="V117" s="35">
        <f t="shared" si="45"/>
        <v>21030.141718384708</v>
      </c>
      <c r="W117" s="35">
        <f t="shared" si="19"/>
        <v>21030.141718384708</v>
      </c>
      <c r="X117" s="35">
        <f t="shared" si="45"/>
        <v>21030.141718384708</v>
      </c>
      <c r="Y117" s="35">
        <f t="shared" si="19"/>
        <v>21030.141718384708</v>
      </c>
      <c r="Z117" s="35">
        <f t="shared" si="45"/>
        <v>21030.141718384708</v>
      </c>
      <c r="AA117" s="35">
        <f t="shared" si="52"/>
        <v>504723.40124123276</v>
      </c>
      <c r="AB117" s="28">
        <f t="shared" si="53"/>
        <v>30</v>
      </c>
      <c r="AC117" s="29">
        <v>15141702.03723699</v>
      </c>
      <c r="AD117" s="37"/>
      <c r="AE117"/>
    </row>
    <row r="118" spans="1:31" ht="15">
      <c r="A118" s="23">
        <f t="shared" si="31"/>
        <v>2035</v>
      </c>
      <c r="B118" s="27">
        <v>49430</v>
      </c>
      <c r="C118" s="35">
        <f t="shared" si="46"/>
        <v>20223.690105481484</v>
      </c>
      <c r="D118" s="35">
        <f t="shared" si="46"/>
        <v>20223.690105481484</v>
      </c>
      <c r="E118" s="35">
        <f t="shared" si="46"/>
        <v>20223.690105481484</v>
      </c>
      <c r="F118" s="35">
        <f t="shared" si="46"/>
        <v>20223.690105481484</v>
      </c>
      <c r="G118" s="35">
        <f t="shared" si="46"/>
        <v>20223.690105481484</v>
      </c>
      <c r="H118" s="35">
        <f t="shared" si="46"/>
        <v>20223.690105481484</v>
      </c>
      <c r="I118" s="35">
        <f t="shared" si="46"/>
        <v>20223.690105481484</v>
      </c>
      <c r="J118" s="35">
        <f t="shared" si="46"/>
        <v>20223.690105481484</v>
      </c>
      <c r="K118" s="35">
        <f t="shared" si="46"/>
        <v>20223.690105481484</v>
      </c>
      <c r="L118" s="35">
        <f t="shared" si="46"/>
        <v>20223.690105481484</v>
      </c>
      <c r="M118" s="35">
        <f t="shared" si="46"/>
        <v>20223.690105481484</v>
      </c>
      <c r="N118" s="35">
        <f t="shared" si="46"/>
        <v>20223.690105481484</v>
      </c>
      <c r="O118" s="35">
        <f t="shared" si="46"/>
        <v>20223.690105481484</v>
      </c>
      <c r="P118" s="35">
        <f t="shared" si="46"/>
        <v>20223.690105481484</v>
      </c>
      <c r="Q118" s="35">
        <f t="shared" si="46"/>
        <v>20223.690105481484</v>
      </c>
      <c r="R118" s="35">
        <f t="shared" ref="R118:Z125" si="54">($AC118/$AB118)/24</f>
        <v>20223.690105481484</v>
      </c>
      <c r="S118" s="35">
        <f t="shared" si="49"/>
        <v>20223.690105481484</v>
      </c>
      <c r="T118" s="35">
        <f t="shared" si="54"/>
        <v>20223.690105481484</v>
      </c>
      <c r="U118" s="35">
        <f t="shared" si="54"/>
        <v>20223.690105481484</v>
      </c>
      <c r="V118" s="35">
        <f t="shared" si="54"/>
        <v>20223.690105481484</v>
      </c>
      <c r="W118" s="35">
        <f t="shared" si="54"/>
        <v>20223.690105481484</v>
      </c>
      <c r="X118" s="35">
        <f t="shared" si="54"/>
        <v>20223.690105481484</v>
      </c>
      <c r="Y118" s="35">
        <f t="shared" si="54"/>
        <v>20223.690105481484</v>
      </c>
      <c r="Z118" s="35">
        <f t="shared" si="54"/>
        <v>20223.690105481484</v>
      </c>
      <c r="AA118" s="35">
        <f t="shared" si="52"/>
        <v>485368.5625315556</v>
      </c>
      <c r="AB118" s="28">
        <f t="shared" si="53"/>
        <v>31</v>
      </c>
      <c r="AC118" s="29">
        <v>15046425.438478226</v>
      </c>
      <c r="AD118" s="37"/>
      <c r="AE118"/>
    </row>
    <row r="119" spans="1:31" ht="15">
      <c r="A119" s="23">
        <f t="shared" si="31"/>
        <v>2035</v>
      </c>
      <c r="B119" s="27">
        <v>49461</v>
      </c>
      <c r="C119" s="35">
        <f t="shared" ref="C119:R125" si="55">($AC119/$AB119)/24</f>
        <v>21030.141718384708</v>
      </c>
      <c r="D119" s="35">
        <f t="shared" si="55"/>
        <v>21030.141718384708</v>
      </c>
      <c r="E119" s="35">
        <f t="shared" si="55"/>
        <v>21030.141718384708</v>
      </c>
      <c r="F119" s="35">
        <f t="shared" si="55"/>
        <v>21030.141718384708</v>
      </c>
      <c r="G119" s="35">
        <f t="shared" si="55"/>
        <v>21030.141718384708</v>
      </c>
      <c r="H119" s="35">
        <f t="shared" si="55"/>
        <v>21030.141718384708</v>
      </c>
      <c r="I119" s="35">
        <f t="shared" si="55"/>
        <v>21030.141718384708</v>
      </c>
      <c r="J119" s="35">
        <f t="shared" si="55"/>
        <v>21030.141718384708</v>
      </c>
      <c r="K119" s="35">
        <f t="shared" si="55"/>
        <v>21030.141718384708</v>
      </c>
      <c r="L119" s="35">
        <f t="shared" si="55"/>
        <v>21030.141718384708</v>
      </c>
      <c r="M119" s="35">
        <f t="shared" si="55"/>
        <v>21030.141718384708</v>
      </c>
      <c r="N119" s="35">
        <f t="shared" si="55"/>
        <v>21030.141718384708</v>
      </c>
      <c r="O119" s="35">
        <f t="shared" si="55"/>
        <v>21030.141718384708</v>
      </c>
      <c r="P119" s="35">
        <f t="shared" si="55"/>
        <v>21030.141718384708</v>
      </c>
      <c r="Q119" s="35">
        <f t="shared" si="55"/>
        <v>21030.141718384708</v>
      </c>
      <c r="R119" s="35">
        <f t="shared" si="55"/>
        <v>21030.141718384708</v>
      </c>
      <c r="S119" s="35">
        <f t="shared" si="49"/>
        <v>21030.141718384708</v>
      </c>
      <c r="T119" s="35">
        <f t="shared" si="54"/>
        <v>21030.141718384708</v>
      </c>
      <c r="U119" s="35">
        <f t="shared" si="54"/>
        <v>21030.141718384708</v>
      </c>
      <c r="V119" s="35">
        <f t="shared" si="54"/>
        <v>21030.141718384708</v>
      </c>
      <c r="W119" s="35">
        <f t="shared" si="54"/>
        <v>21030.141718384708</v>
      </c>
      <c r="X119" s="35">
        <f t="shared" si="54"/>
        <v>21030.141718384708</v>
      </c>
      <c r="Y119" s="35">
        <f t="shared" si="54"/>
        <v>21030.141718384708</v>
      </c>
      <c r="Z119" s="35">
        <f t="shared" si="54"/>
        <v>21030.141718384708</v>
      </c>
      <c r="AA119" s="35">
        <f t="shared" si="52"/>
        <v>504723.40124123276</v>
      </c>
      <c r="AB119" s="28">
        <f t="shared" si="53"/>
        <v>30</v>
      </c>
      <c r="AC119" s="29">
        <v>15141702.03723699</v>
      </c>
      <c r="AD119" s="37"/>
      <c r="AE119"/>
    </row>
    <row r="120" spans="1:31" ht="15">
      <c r="A120" s="23">
        <f t="shared" si="31"/>
        <v>2035</v>
      </c>
      <c r="B120" s="27">
        <v>49491</v>
      </c>
      <c r="C120" s="35">
        <f t="shared" si="55"/>
        <v>20223.690105481484</v>
      </c>
      <c r="D120" s="35">
        <f t="shared" si="55"/>
        <v>20223.690105481484</v>
      </c>
      <c r="E120" s="35">
        <f t="shared" si="55"/>
        <v>20223.690105481484</v>
      </c>
      <c r="F120" s="35">
        <f t="shared" si="55"/>
        <v>20223.690105481484</v>
      </c>
      <c r="G120" s="35">
        <f t="shared" si="55"/>
        <v>20223.690105481484</v>
      </c>
      <c r="H120" s="35">
        <f t="shared" si="55"/>
        <v>20223.690105481484</v>
      </c>
      <c r="I120" s="35">
        <f t="shared" si="55"/>
        <v>20223.690105481484</v>
      </c>
      <c r="J120" s="35">
        <f t="shared" si="55"/>
        <v>20223.690105481484</v>
      </c>
      <c r="K120" s="35">
        <f t="shared" si="55"/>
        <v>20223.690105481484</v>
      </c>
      <c r="L120" s="35">
        <f t="shared" si="55"/>
        <v>20223.690105481484</v>
      </c>
      <c r="M120" s="35">
        <f t="shared" si="55"/>
        <v>20223.690105481484</v>
      </c>
      <c r="N120" s="35">
        <f t="shared" si="55"/>
        <v>20223.690105481484</v>
      </c>
      <c r="O120" s="35">
        <f t="shared" si="55"/>
        <v>20223.690105481484</v>
      </c>
      <c r="P120" s="35">
        <f t="shared" si="55"/>
        <v>20223.690105481484</v>
      </c>
      <c r="Q120" s="35">
        <f t="shared" si="55"/>
        <v>20223.690105481484</v>
      </c>
      <c r="R120" s="35">
        <f t="shared" si="55"/>
        <v>20223.690105481484</v>
      </c>
      <c r="S120" s="35">
        <f t="shared" si="49"/>
        <v>20223.690105481484</v>
      </c>
      <c r="T120" s="35">
        <f t="shared" si="54"/>
        <v>20223.690105481484</v>
      </c>
      <c r="U120" s="35">
        <f t="shared" si="54"/>
        <v>20223.690105481484</v>
      </c>
      <c r="V120" s="35">
        <f t="shared" si="54"/>
        <v>20223.690105481484</v>
      </c>
      <c r="W120" s="35">
        <f t="shared" si="54"/>
        <v>20223.690105481484</v>
      </c>
      <c r="X120" s="35">
        <f t="shared" si="54"/>
        <v>20223.690105481484</v>
      </c>
      <c r="Y120" s="35">
        <f t="shared" si="54"/>
        <v>20223.690105481484</v>
      </c>
      <c r="Z120" s="35">
        <f t="shared" si="54"/>
        <v>20223.690105481484</v>
      </c>
      <c r="AA120" s="35">
        <f t="shared" si="52"/>
        <v>485368.5625315556</v>
      </c>
      <c r="AB120" s="28">
        <f t="shared" si="53"/>
        <v>31</v>
      </c>
      <c r="AC120" s="29">
        <v>15046425.438478226</v>
      </c>
      <c r="AD120" s="37"/>
      <c r="AE120"/>
    </row>
    <row r="121" spans="1:31" ht="15">
      <c r="A121" s="23">
        <f t="shared" si="31"/>
        <v>2035</v>
      </c>
      <c r="B121" s="27">
        <v>49522</v>
      </c>
      <c r="C121" s="35">
        <f t="shared" si="55"/>
        <v>20223.690105481484</v>
      </c>
      <c r="D121" s="35">
        <f t="shared" si="55"/>
        <v>20223.690105481484</v>
      </c>
      <c r="E121" s="35">
        <f t="shared" si="55"/>
        <v>20223.690105481484</v>
      </c>
      <c r="F121" s="35">
        <f t="shared" si="55"/>
        <v>20223.690105481484</v>
      </c>
      <c r="G121" s="35">
        <f t="shared" si="55"/>
        <v>20223.690105481484</v>
      </c>
      <c r="H121" s="35">
        <f t="shared" si="55"/>
        <v>20223.690105481484</v>
      </c>
      <c r="I121" s="35">
        <f t="shared" si="55"/>
        <v>20223.690105481484</v>
      </c>
      <c r="J121" s="35">
        <f t="shared" si="55"/>
        <v>20223.690105481484</v>
      </c>
      <c r="K121" s="35">
        <f t="shared" si="55"/>
        <v>20223.690105481484</v>
      </c>
      <c r="L121" s="35">
        <f t="shared" si="55"/>
        <v>20223.690105481484</v>
      </c>
      <c r="M121" s="35">
        <f t="shared" si="55"/>
        <v>20223.690105481484</v>
      </c>
      <c r="N121" s="35">
        <f t="shared" si="55"/>
        <v>20223.690105481484</v>
      </c>
      <c r="O121" s="35">
        <f t="shared" si="55"/>
        <v>20223.690105481484</v>
      </c>
      <c r="P121" s="35">
        <f t="shared" si="55"/>
        <v>20223.690105481484</v>
      </c>
      <c r="Q121" s="35">
        <f t="shared" si="55"/>
        <v>20223.690105481484</v>
      </c>
      <c r="R121" s="35">
        <f t="shared" si="55"/>
        <v>20223.690105481484</v>
      </c>
      <c r="S121" s="35">
        <f t="shared" si="49"/>
        <v>20223.690105481484</v>
      </c>
      <c r="T121" s="35">
        <f t="shared" si="54"/>
        <v>20223.690105481484</v>
      </c>
      <c r="U121" s="35">
        <f t="shared" si="54"/>
        <v>20223.690105481484</v>
      </c>
      <c r="V121" s="35">
        <f t="shared" si="54"/>
        <v>20223.690105481484</v>
      </c>
      <c r="W121" s="35">
        <f t="shared" si="54"/>
        <v>20223.690105481484</v>
      </c>
      <c r="X121" s="35">
        <f t="shared" si="54"/>
        <v>20223.690105481484</v>
      </c>
      <c r="Y121" s="35">
        <f t="shared" si="54"/>
        <v>20223.690105481484</v>
      </c>
      <c r="Z121" s="35">
        <f t="shared" si="54"/>
        <v>20223.690105481484</v>
      </c>
      <c r="AA121" s="35">
        <f t="shared" si="52"/>
        <v>485368.5625315556</v>
      </c>
      <c r="AB121" s="28">
        <f t="shared" si="53"/>
        <v>31</v>
      </c>
      <c r="AC121" s="29">
        <v>15046425.438478226</v>
      </c>
      <c r="AD121" s="37"/>
      <c r="AE121"/>
    </row>
    <row r="122" spans="1:31" ht="15">
      <c r="A122" s="23">
        <f t="shared" si="31"/>
        <v>2035</v>
      </c>
      <c r="B122" s="27">
        <v>49553</v>
      </c>
      <c r="C122" s="35">
        <f t="shared" si="55"/>
        <v>21030.141718384708</v>
      </c>
      <c r="D122" s="35">
        <f t="shared" si="55"/>
        <v>21030.141718384708</v>
      </c>
      <c r="E122" s="35">
        <f t="shared" si="55"/>
        <v>21030.141718384708</v>
      </c>
      <c r="F122" s="35">
        <f t="shared" si="55"/>
        <v>21030.141718384708</v>
      </c>
      <c r="G122" s="35">
        <f t="shared" si="55"/>
        <v>21030.141718384708</v>
      </c>
      <c r="H122" s="35">
        <f t="shared" si="55"/>
        <v>21030.141718384708</v>
      </c>
      <c r="I122" s="35">
        <f t="shared" si="55"/>
        <v>21030.141718384708</v>
      </c>
      <c r="J122" s="35">
        <f t="shared" si="55"/>
        <v>21030.141718384708</v>
      </c>
      <c r="K122" s="35">
        <f t="shared" si="55"/>
        <v>21030.141718384708</v>
      </c>
      <c r="L122" s="35">
        <f t="shared" si="55"/>
        <v>21030.141718384708</v>
      </c>
      <c r="M122" s="35">
        <f t="shared" si="55"/>
        <v>21030.141718384708</v>
      </c>
      <c r="N122" s="35">
        <f t="shared" si="55"/>
        <v>21030.141718384708</v>
      </c>
      <c r="O122" s="35">
        <f t="shared" si="55"/>
        <v>21030.141718384708</v>
      </c>
      <c r="P122" s="35">
        <f t="shared" si="55"/>
        <v>21030.141718384708</v>
      </c>
      <c r="Q122" s="35">
        <f t="shared" si="55"/>
        <v>21030.141718384708</v>
      </c>
      <c r="R122" s="35">
        <f t="shared" si="55"/>
        <v>21030.141718384708</v>
      </c>
      <c r="S122" s="35">
        <f t="shared" si="49"/>
        <v>21030.141718384708</v>
      </c>
      <c r="T122" s="35">
        <f t="shared" si="54"/>
        <v>21030.141718384708</v>
      </c>
      <c r="U122" s="35">
        <f t="shared" si="54"/>
        <v>21030.141718384708</v>
      </c>
      <c r="V122" s="35">
        <f t="shared" si="54"/>
        <v>21030.141718384708</v>
      </c>
      <c r="W122" s="35">
        <f t="shared" si="54"/>
        <v>21030.141718384708</v>
      </c>
      <c r="X122" s="35">
        <f t="shared" si="54"/>
        <v>21030.141718384708</v>
      </c>
      <c r="Y122" s="35">
        <f t="shared" si="54"/>
        <v>21030.141718384708</v>
      </c>
      <c r="Z122" s="35">
        <f t="shared" si="54"/>
        <v>21030.141718384708</v>
      </c>
      <c r="AA122" s="35">
        <f t="shared" si="52"/>
        <v>504723.40124123276</v>
      </c>
      <c r="AB122" s="28">
        <f t="shared" si="53"/>
        <v>30</v>
      </c>
      <c r="AC122" s="29">
        <v>15141702.03723699</v>
      </c>
      <c r="AD122" s="37"/>
      <c r="AE122"/>
    </row>
    <row r="123" spans="1:31" ht="15">
      <c r="A123" s="23">
        <f t="shared" si="31"/>
        <v>2035</v>
      </c>
      <c r="B123" s="27">
        <v>49583</v>
      </c>
      <c r="C123" s="35">
        <f t="shared" si="55"/>
        <v>20223.690105481492</v>
      </c>
      <c r="D123" s="35">
        <f t="shared" si="55"/>
        <v>20223.690105481492</v>
      </c>
      <c r="E123" s="35">
        <f t="shared" si="55"/>
        <v>20223.690105481492</v>
      </c>
      <c r="F123" s="35">
        <f t="shared" si="55"/>
        <v>20223.690105481492</v>
      </c>
      <c r="G123" s="35">
        <f t="shared" si="55"/>
        <v>20223.690105481492</v>
      </c>
      <c r="H123" s="35">
        <f t="shared" si="55"/>
        <v>20223.690105481492</v>
      </c>
      <c r="I123" s="35">
        <f t="shared" si="55"/>
        <v>20223.690105481492</v>
      </c>
      <c r="J123" s="35">
        <f t="shared" si="55"/>
        <v>20223.690105481492</v>
      </c>
      <c r="K123" s="35">
        <f t="shared" si="55"/>
        <v>20223.690105481492</v>
      </c>
      <c r="L123" s="35">
        <f t="shared" si="55"/>
        <v>20223.690105481492</v>
      </c>
      <c r="M123" s="35">
        <f t="shared" si="55"/>
        <v>20223.690105481492</v>
      </c>
      <c r="N123" s="35">
        <f t="shared" si="55"/>
        <v>20223.690105481492</v>
      </c>
      <c r="O123" s="35">
        <f t="shared" si="55"/>
        <v>20223.690105481492</v>
      </c>
      <c r="P123" s="35">
        <f t="shared" si="55"/>
        <v>20223.690105481492</v>
      </c>
      <c r="Q123" s="35">
        <f t="shared" si="55"/>
        <v>20223.690105481492</v>
      </c>
      <c r="R123" s="35">
        <f t="shared" si="55"/>
        <v>20223.690105481492</v>
      </c>
      <c r="S123" s="35">
        <f t="shared" si="49"/>
        <v>20223.690105481492</v>
      </c>
      <c r="T123" s="35">
        <f t="shared" si="54"/>
        <v>20223.690105481492</v>
      </c>
      <c r="U123" s="35">
        <f t="shared" si="54"/>
        <v>20223.690105481492</v>
      </c>
      <c r="V123" s="35">
        <f t="shared" si="54"/>
        <v>20223.690105481492</v>
      </c>
      <c r="W123" s="35">
        <f t="shared" si="54"/>
        <v>20223.690105481492</v>
      </c>
      <c r="X123" s="35">
        <f t="shared" si="54"/>
        <v>20223.690105481492</v>
      </c>
      <c r="Y123" s="35">
        <f t="shared" si="54"/>
        <v>20223.690105481492</v>
      </c>
      <c r="Z123" s="35">
        <f t="shared" si="54"/>
        <v>20223.690105481492</v>
      </c>
      <c r="AA123" s="35">
        <f t="shared" si="52"/>
        <v>485368.56253155565</v>
      </c>
      <c r="AB123" s="28">
        <f t="shared" si="53"/>
        <v>31</v>
      </c>
      <c r="AC123" s="29">
        <v>15046425.43847823</v>
      </c>
      <c r="AD123" s="37"/>
      <c r="AE123"/>
    </row>
    <row r="124" spans="1:31" ht="15">
      <c r="A124" s="23">
        <f t="shared" si="31"/>
        <v>2035</v>
      </c>
      <c r="B124" s="27">
        <v>49614</v>
      </c>
      <c r="C124" s="35">
        <f t="shared" si="55"/>
        <v>21030.141718384708</v>
      </c>
      <c r="D124" s="35">
        <f t="shared" si="55"/>
        <v>21030.141718384708</v>
      </c>
      <c r="E124" s="35">
        <f t="shared" si="55"/>
        <v>21030.141718384708</v>
      </c>
      <c r="F124" s="35">
        <f t="shared" si="55"/>
        <v>21030.141718384708</v>
      </c>
      <c r="G124" s="35">
        <f t="shared" si="55"/>
        <v>21030.141718384708</v>
      </c>
      <c r="H124" s="35">
        <f t="shared" si="55"/>
        <v>21030.141718384708</v>
      </c>
      <c r="I124" s="35">
        <f t="shared" si="55"/>
        <v>21030.141718384708</v>
      </c>
      <c r="J124" s="35">
        <f t="shared" si="55"/>
        <v>21030.141718384708</v>
      </c>
      <c r="K124" s="35">
        <f t="shared" si="55"/>
        <v>21030.141718384708</v>
      </c>
      <c r="L124" s="35">
        <f t="shared" si="55"/>
        <v>21030.141718384708</v>
      </c>
      <c r="M124" s="35">
        <f t="shared" si="55"/>
        <v>21030.141718384708</v>
      </c>
      <c r="N124" s="35">
        <f t="shared" si="55"/>
        <v>21030.141718384708</v>
      </c>
      <c r="O124" s="35">
        <f t="shared" si="55"/>
        <v>21030.141718384708</v>
      </c>
      <c r="P124" s="35">
        <f t="shared" si="55"/>
        <v>21030.141718384708</v>
      </c>
      <c r="Q124" s="35">
        <f t="shared" si="55"/>
        <v>21030.141718384708</v>
      </c>
      <c r="R124" s="35">
        <f t="shared" si="55"/>
        <v>21030.141718384708</v>
      </c>
      <c r="S124" s="35">
        <f t="shared" si="49"/>
        <v>21030.141718384708</v>
      </c>
      <c r="T124" s="35">
        <f t="shared" si="54"/>
        <v>21030.141718384708</v>
      </c>
      <c r="U124" s="35">
        <f t="shared" si="54"/>
        <v>21030.141718384708</v>
      </c>
      <c r="V124" s="35">
        <f t="shared" si="54"/>
        <v>21030.141718384708</v>
      </c>
      <c r="W124" s="35">
        <f t="shared" si="54"/>
        <v>21030.141718384708</v>
      </c>
      <c r="X124" s="35">
        <f t="shared" si="54"/>
        <v>21030.141718384708</v>
      </c>
      <c r="Y124" s="35">
        <f t="shared" si="54"/>
        <v>21030.141718384708</v>
      </c>
      <c r="Z124" s="35">
        <f t="shared" si="54"/>
        <v>21030.141718384708</v>
      </c>
      <c r="AA124" s="35">
        <f t="shared" si="52"/>
        <v>504723.40124123276</v>
      </c>
      <c r="AB124" s="28">
        <f t="shared" si="53"/>
        <v>30</v>
      </c>
      <c r="AC124" s="29">
        <v>15141702.03723699</v>
      </c>
      <c r="AD124" s="37"/>
      <c r="AE124"/>
    </row>
    <row r="125" spans="1:31" ht="15">
      <c r="A125" s="23">
        <f t="shared" si="31"/>
        <v>2035</v>
      </c>
      <c r="B125" s="27">
        <v>49644</v>
      </c>
      <c r="C125" s="35">
        <f t="shared" si="55"/>
        <v>20223.690105481484</v>
      </c>
      <c r="D125" s="35">
        <f t="shared" si="55"/>
        <v>20223.690105481484</v>
      </c>
      <c r="E125" s="35">
        <f t="shared" si="55"/>
        <v>20223.690105481484</v>
      </c>
      <c r="F125" s="35">
        <f t="shared" si="55"/>
        <v>20223.690105481484</v>
      </c>
      <c r="G125" s="35">
        <f t="shared" si="55"/>
        <v>20223.690105481484</v>
      </c>
      <c r="H125" s="35">
        <f t="shared" si="55"/>
        <v>20223.690105481484</v>
      </c>
      <c r="I125" s="35">
        <f t="shared" si="55"/>
        <v>20223.690105481484</v>
      </c>
      <c r="J125" s="35">
        <f t="shared" si="55"/>
        <v>20223.690105481484</v>
      </c>
      <c r="K125" s="35">
        <f t="shared" si="55"/>
        <v>20223.690105481484</v>
      </c>
      <c r="L125" s="35">
        <f t="shared" si="55"/>
        <v>20223.690105481484</v>
      </c>
      <c r="M125" s="35">
        <f t="shared" si="55"/>
        <v>20223.690105481484</v>
      </c>
      <c r="N125" s="35">
        <f t="shared" si="55"/>
        <v>20223.690105481484</v>
      </c>
      <c r="O125" s="35">
        <f t="shared" si="55"/>
        <v>20223.690105481484</v>
      </c>
      <c r="P125" s="35">
        <f t="shared" si="55"/>
        <v>20223.690105481484</v>
      </c>
      <c r="Q125" s="35">
        <f t="shared" si="55"/>
        <v>20223.690105481484</v>
      </c>
      <c r="R125" s="35">
        <f t="shared" si="55"/>
        <v>20223.690105481484</v>
      </c>
      <c r="S125" s="35">
        <f t="shared" si="49"/>
        <v>20223.690105481484</v>
      </c>
      <c r="T125" s="35">
        <f t="shared" si="54"/>
        <v>20223.690105481484</v>
      </c>
      <c r="U125" s="35">
        <f t="shared" si="54"/>
        <v>20223.690105481484</v>
      </c>
      <c r="V125" s="35">
        <f t="shared" si="54"/>
        <v>20223.690105481484</v>
      </c>
      <c r="W125" s="35">
        <f t="shared" si="54"/>
        <v>20223.690105481484</v>
      </c>
      <c r="X125" s="35">
        <f t="shared" si="54"/>
        <v>20223.690105481484</v>
      </c>
      <c r="Y125" s="35">
        <f t="shared" si="54"/>
        <v>20223.690105481484</v>
      </c>
      <c r="Z125" s="35">
        <f t="shared" si="54"/>
        <v>20223.690105481484</v>
      </c>
      <c r="AA125" s="35">
        <f t="shared" si="52"/>
        <v>485368.5625315556</v>
      </c>
      <c r="AB125" s="28">
        <f t="shared" si="53"/>
        <v>31</v>
      </c>
      <c r="AC125" s="29">
        <v>15046425.438478226</v>
      </c>
      <c r="AD125" s="37"/>
      <c r="AE125"/>
    </row>
    <row r="126" spans="1:31" ht="15">
      <c r="B126" s="30" t="s">
        <v>45</v>
      </c>
      <c r="C126" s="31">
        <f t="shared" ref="C126:AC126" si="56">+SUM(C6:C125)</f>
        <v>1489377.4123021329</v>
      </c>
      <c r="D126" s="31">
        <f t="shared" si="56"/>
        <v>1489377.4123021329</v>
      </c>
      <c r="E126" s="31">
        <f t="shared" si="56"/>
        <v>1489377.4123021329</v>
      </c>
      <c r="F126" s="31">
        <f t="shared" si="56"/>
        <v>1489377.4123021329</v>
      </c>
      <c r="G126" s="31">
        <f t="shared" si="56"/>
        <v>1489377.4123021329</v>
      </c>
      <c r="H126" s="31">
        <f t="shared" si="56"/>
        <v>1489377.4123021329</v>
      </c>
      <c r="I126" s="31">
        <f t="shared" si="56"/>
        <v>1489377.4123021329</v>
      </c>
      <c r="J126" s="31">
        <f t="shared" si="56"/>
        <v>1489377.4123021329</v>
      </c>
      <c r="K126" s="31">
        <f t="shared" si="56"/>
        <v>1489377.4123021329</v>
      </c>
      <c r="L126" s="31">
        <f t="shared" si="56"/>
        <v>1489377.4123021329</v>
      </c>
      <c r="M126" s="31">
        <f t="shared" si="56"/>
        <v>1489377.4123021329</v>
      </c>
      <c r="N126" s="31">
        <f t="shared" si="56"/>
        <v>1489377.4123021329</v>
      </c>
      <c r="O126" s="31">
        <f t="shared" si="56"/>
        <v>1489377.4123021329</v>
      </c>
      <c r="P126" s="31">
        <f t="shared" si="56"/>
        <v>1489377.4123021329</v>
      </c>
      <c r="Q126" s="31">
        <f t="shared" si="56"/>
        <v>1489377.4123021329</v>
      </c>
      <c r="R126" s="31">
        <f t="shared" si="56"/>
        <v>1489377.4123021329</v>
      </c>
      <c r="S126" s="31">
        <f t="shared" si="56"/>
        <v>1489377.4123021329</v>
      </c>
      <c r="T126" s="31">
        <f t="shared" si="56"/>
        <v>1489377.4123021329</v>
      </c>
      <c r="U126" s="31">
        <f t="shared" si="56"/>
        <v>1489377.4123021329</v>
      </c>
      <c r="V126" s="31">
        <f t="shared" si="56"/>
        <v>1489377.4123021329</v>
      </c>
      <c r="W126" s="31">
        <f t="shared" si="56"/>
        <v>1489377.4123021329</v>
      </c>
      <c r="X126" s="31">
        <f t="shared" si="56"/>
        <v>1489377.4123021329</v>
      </c>
      <c r="Y126" s="31">
        <f t="shared" si="56"/>
        <v>1489377.4123021329</v>
      </c>
      <c r="Z126" s="31">
        <f t="shared" si="56"/>
        <v>1489377.4123021329</v>
      </c>
      <c r="AA126" s="31">
        <f t="shared" si="56"/>
        <v>35745057.895251185</v>
      </c>
      <c r="AB126" s="32">
        <f t="shared" si="56"/>
        <v>3652</v>
      </c>
      <c r="AC126" s="33">
        <f t="shared" si="56"/>
        <v>1086422009.6174197</v>
      </c>
      <c r="AD126" s="37"/>
      <c r="AE126"/>
    </row>
  </sheetData>
  <mergeCells count="28">
    <mergeCell ref="AC4:AC5"/>
    <mergeCell ref="Q4:Q5"/>
    <mergeCell ref="R4:R5"/>
    <mergeCell ref="S4:S5"/>
    <mergeCell ref="T4:T5"/>
    <mergeCell ref="U4:U5"/>
    <mergeCell ref="V4:V5"/>
    <mergeCell ref="W4:W5"/>
    <mergeCell ref="X4:X5"/>
    <mergeCell ref="Y4:Y5"/>
    <mergeCell ref="Z4:Z5"/>
    <mergeCell ref="AA4:AA5"/>
    <mergeCell ref="P4:P5"/>
    <mergeCell ref="B1:AC2"/>
    <mergeCell ref="B4:B5"/>
    <mergeCell ref="C4:C5"/>
    <mergeCell ref="D4:D5"/>
    <mergeCell ref="E4:E5"/>
    <mergeCell ref="F4:F5"/>
    <mergeCell ref="G4:G5"/>
    <mergeCell ref="H4:H5"/>
    <mergeCell ref="I4:I5"/>
    <mergeCell ref="J4:J5"/>
    <mergeCell ref="K4:K5"/>
    <mergeCell ref="L4:L5"/>
    <mergeCell ref="M4:M5"/>
    <mergeCell ref="N4:N5"/>
    <mergeCell ref="O4:O5"/>
  </mergeCells>
  <phoneticPr fontId="16" type="noConversion"/>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194B-E00B-421E-91F3-1ADE461C033F}">
  <dimension ref="A1:AH126"/>
  <sheetViews>
    <sheetView showGridLines="0" zoomScale="85" zoomScaleNormal="85" workbookViewId="0">
      <pane xSplit="2" ySplit="5" topLeftCell="R6" activePane="bottomRight" state="frozen"/>
      <selection pane="topRight" activeCell="B1" sqref="B1"/>
      <selection pane="bottomLeft" activeCell="A6" sqref="A6"/>
      <selection pane="bottomRight" activeCell="S4" sqref="S4:W17"/>
    </sheetView>
  </sheetViews>
  <sheetFormatPr baseColWidth="10" defaultColWidth="8" defaultRowHeight="9"/>
  <cols>
    <col min="1" max="1" width="4.5703125" style="23" customWidth="1"/>
    <col min="2" max="2" width="15.7109375" style="23" bestFit="1" customWidth="1"/>
    <col min="3" max="3" width="13.7109375" style="23" bestFit="1" customWidth="1"/>
    <col min="4" max="26" width="12.42578125" style="23" bestFit="1" customWidth="1"/>
    <col min="27" max="27" width="14.7109375" style="23" bestFit="1" customWidth="1"/>
    <col min="28" max="28" width="7.85546875" style="23" bestFit="1" customWidth="1"/>
    <col min="29" max="29" width="15" style="23" bestFit="1" customWidth="1"/>
    <col min="30" max="30" width="15.140625" style="23" customWidth="1"/>
    <col min="31" max="31" width="17.5703125" style="23" bestFit="1" customWidth="1"/>
    <col min="32" max="32" width="19.140625" style="23" bestFit="1" customWidth="1"/>
    <col min="33" max="33" width="11.5703125" style="23" bestFit="1" customWidth="1"/>
    <col min="34" max="34" width="11.28515625" style="23" bestFit="1" customWidth="1"/>
    <col min="35" max="16384" width="8" style="23"/>
  </cols>
  <sheetData>
    <row r="1" spans="1:34">
      <c r="B1" s="87" t="s">
        <v>15</v>
      </c>
      <c r="C1" s="88"/>
      <c r="D1" s="88"/>
      <c r="E1" s="88"/>
      <c r="F1" s="88"/>
      <c r="G1" s="88"/>
      <c r="H1" s="88"/>
      <c r="I1" s="88"/>
      <c r="J1" s="88"/>
      <c r="K1" s="88"/>
      <c r="L1" s="88"/>
      <c r="M1" s="88"/>
      <c r="N1" s="88"/>
      <c r="O1" s="88"/>
      <c r="P1" s="88"/>
      <c r="Q1" s="88"/>
      <c r="R1" s="88"/>
      <c r="S1" s="88"/>
      <c r="T1" s="88"/>
      <c r="U1" s="88"/>
      <c r="V1" s="88"/>
      <c r="W1" s="88"/>
      <c r="X1" s="88"/>
      <c r="Y1" s="88"/>
      <c r="Z1" s="88"/>
      <c r="AA1" s="88"/>
      <c r="AB1" s="88"/>
      <c r="AC1" s="89"/>
    </row>
    <row r="2" spans="1:34" ht="15">
      <c r="B2" s="90"/>
      <c r="C2" s="91"/>
      <c r="D2" s="91"/>
      <c r="E2" s="91"/>
      <c r="F2" s="91"/>
      <c r="G2" s="91"/>
      <c r="H2" s="91"/>
      <c r="I2" s="91"/>
      <c r="J2" s="91"/>
      <c r="K2" s="91"/>
      <c r="L2" s="91"/>
      <c r="M2" s="91"/>
      <c r="N2" s="91"/>
      <c r="O2" s="91"/>
      <c r="P2" s="91"/>
      <c r="Q2" s="91"/>
      <c r="R2" s="91"/>
      <c r="S2" s="91"/>
      <c r="T2" s="91"/>
      <c r="U2" s="91"/>
      <c r="V2" s="91"/>
      <c r="W2" s="91"/>
      <c r="X2" s="91"/>
      <c r="Y2" s="91"/>
      <c r="Z2" s="91"/>
      <c r="AA2" s="91"/>
      <c r="AB2" s="91"/>
      <c r="AC2" s="92"/>
      <c r="AE2"/>
      <c r="AF2"/>
      <c r="AG2"/>
    </row>
    <row r="3" spans="1:34" ht="15">
      <c r="AC3" s="24"/>
      <c r="AE3"/>
      <c r="AF3"/>
      <c r="AG3"/>
    </row>
    <row r="4" spans="1:34" ht="15" customHeight="1">
      <c r="B4" s="86" t="s">
        <v>16</v>
      </c>
      <c r="C4" s="86" t="s">
        <v>17</v>
      </c>
      <c r="D4" s="86" t="s">
        <v>18</v>
      </c>
      <c r="E4" s="86" t="s">
        <v>19</v>
      </c>
      <c r="F4" s="86" t="s">
        <v>20</v>
      </c>
      <c r="G4" s="86" t="s">
        <v>21</v>
      </c>
      <c r="H4" s="86" t="s">
        <v>22</v>
      </c>
      <c r="I4" s="86" t="s">
        <v>23</v>
      </c>
      <c r="J4" s="86" t="s">
        <v>24</v>
      </c>
      <c r="K4" s="86" t="s">
        <v>25</v>
      </c>
      <c r="L4" s="86" t="s">
        <v>26</v>
      </c>
      <c r="M4" s="86" t="s">
        <v>27</v>
      </c>
      <c r="N4" s="86" t="s">
        <v>28</v>
      </c>
      <c r="O4" s="86" t="s">
        <v>29</v>
      </c>
      <c r="P4" s="86" t="s">
        <v>30</v>
      </c>
      <c r="Q4" s="86" t="s">
        <v>31</v>
      </c>
      <c r="R4" s="86" t="s">
        <v>32</v>
      </c>
      <c r="S4" s="86" t="s">
        <v>33</v>
      </c>
      <c r="T4" s="86" t="s">
        <v>34</v>
      </c>
      <c r="U4" s="86" t="s">
        <v>35</v>
      </c>
      <c r="V4" s="86" t="s">
        <v>36</v>
      </c>
      <c r="W4" s="86" t="s">
        <v>37</v>
      </c>
      <c r="X4" s="86" t="s">
        <v>38</v>
      </c>
      <c r="Y4" s="86" t="s">
        <v>39</v>
      </c>
      <c r="Z4" s="86" t="s">
        <v>40</v>
      </c>
      <c r="AA4" s="86" t="s">
        <v>41</v>
      </c>
      <c r="AB4" s="26" t="s">
        <v>42</v>
      </c>
      <c r="AC4" s="86" t="s">
        <v>43</v>
      </c>
      <c r="AD4" s="86" t="s">
        <v>46</v>
      </c>
      <c r="AE4"/>
      <c r="AF4"/>
      <c r="AG4"/>
    </row>
    <row r="5" spans="1:34" ht="15.75" thickBot="1">
      <c r="B5" s="86"/>
      <c r="C5" s="86"/>
      <c r="D5" s="86"/>
      <c r="E5" s="86"/>
      <c r="F5" s="86"/>
      <c r="G5" s="86"/>
      <c r="H5" s="86"/>
      <c r="I5" s="86"/>
      <c r="J5" s="86"/>
      <c r="K5" s="86"/>
      <c r="L5" s="86"/>
      <c r="M5" s="86"/>
      <c r="N5" s="86"/>
      <c r="O5" s="86"/>
      <c r="P5" s="86"/>
      <c r="Q5" s="86"/>
      <c r="R5" s="86"/>
      <c r="S5" s="86"/>
      <c r="T5" s="86"/>
      <c r="U5" s="86"/>
      <c r="V5" s="86"/>
      <c r="W5" s="86"/>
      <c r="X5" s="86"/>
      <c r="Y5" s="86"/>
      <c r="Z5" s="86"/>
      <c r="AA5" s="86"/>
      <c r="AB5" s="26" t="s">
        <v>44</v>
      </c>
      <c r="AC5" s="86"/>
      <c r="AD5" s="93"/>
      <c r="AE5"/>
      <c r="AF5"/>
      <c r="AG5"/>
    </row>
    <row r="6" spans="1:34" ht="15.75" thickBot="1">
      <c r="A6" s="23">
        <f>YEAR(B6)</f>
        <v>2026</v>
      </c>
      <c r="B6" s="27">
        <v>46023</v>
      </c>
      <c r="C6" s="35">
        <f ca="1">(((_xlfn.XLOOKUP(YEAR($B6),'Oferta Producto 1'!$B$8:$B$19,'Oferta Producto 1'!$E$8:$E$19))*$AD6)/$AB6)/24</f>
        <v>0</v>
      </c>
      <c r="D6" s="35">
        <f ca="1">(((_xlfn.XLOOKUP(YEAR($B6),'Oferta Producto 1'!$B$8:$B$19,'Oferta Producto 1'!$E$8:$E$19))*$AD6)/$AB6)/24</f>
        <v>0</v>
      </c>
      <c r="E6" s="35">
        <f ca="1">(((_xlfn.XLOOKUP(YEAR($B6),'Oferta Producto 1'!$B$8:$B$19,'Oferta Producto 1'!$E$8:$E$19))*$AD6)/$AB6)/24</f>
        <v>0</v>
      </c>
      <c r="F6" s="35">
        <f ca="1">(((_xlfn.XLOOKUP(YEAR($B6),'Oferta Producto 1'!$B$8:$B$19,'Oferta Producto 1'!$E$8:$E$19))*$AD6)/$AB6)/24</f>
        <v>0</v>
      </c>
      <c r="G6" s="35">
        <f ca="1">(((_xlfn.XLOOKUP(YEAR($B6),'Oferta Producto 1'!$B$8:$B$19,'Oferta Producto 1'!$E$8:$E$19))*$AD6)/$AB6)/24</f>
        <v>0</v>
      </c>
      <c r="H6" s="35">
        <f ca="1">(((_xlfn.XLOOKUP(YEAR($B6),'Oferta Producto 1'!$B$8:$B$19,'Oferta Producto 1'!$E$8:$E$19))*$AD6)/$AB6)/24</f>
        <v>0</v>
      </c>
      <c r="I6" s="35">
        <f ca="1">(((_xlfn.XLOOKUP(YEAR($B6),'Oferta Producto 1'!$B$8:$B$19,'Oferta Producto 1'!$E$8:$E$19))*$AD6)/$AB6)/24</f>
        <v>0</v>
      </c>
      <c r="J6" s="35">
        <f ca="1">(((_xlfn.XLOOKUP(YEAR($B6),'Oferta Producto 1'!$B$8:$B$19,'Oferta Producto 1'!$E$8:$E$19))*$AD6)/$AB6)/24</f>
        <v>0</v>
      </c>
      <c r="K6" s="35">
        <f ca="1">(((_xlfn.XLOOKUP(YEAR($B6),'Oferta Producto 1'!$B$8:$B$19,'Oferta Producto 1'!$E$8:$E$19))*$AD6)/$AB6)/24</f>
        <v>0</v>
      </c>
      <c r="L6" s="35">
        <f ca="1">(((_xlfn.XLOOKUP(YEAR($B6),'Oferta Producto 1'!$B$8:$B$19,'Oferta Producto 1'!$E$8:$E$19))*$AD6)/$AB6)/24</f>
        <v>0</v>
      </c>
      <c r="M6" s="35">
        <f ca="1">(((_xlfn.XLOOKUP(YEAR($B6),'Oferta Producto 1'!$B$8:$B$19,'Oferta Producto 1'!$E$8:$E$19))*$AD6)/$AB6)/24</f>
        <v>0</v>
      </c>
      <c r="N6" s="35">
        <f ca="1">(((_xlfn.XLOOKUP(YEAR($B6),'Oferta Producto 1'!$B$8:$B$19,'Oferta Producto 1'!$E$8:$E$19))*$AD6)/$AB6)/24</f>
        <v>0</v>
      </c>
      <c r="O6" s="35">
        <f ca="1">(((_xlfn.XLOOKUP(YEAR($B6),'Oferta Producto 1'!$B$8:$B$19,'Oferta Producto 1'!$E$8:$E$19))*$AD6)/$AB6)/24</f>
        <v>0</v>
      </c>
      <c r="P6" s="35">
        <f ca="1">(((_xlfn.XLOOKUP(YEAR($B6),'Oferta Producto 1'!$B$8:$B$19,'Oferta Producto 1'!$E$8:$E$19))*$AD6)/$AB6)/24</f>
        <v>0</v>
      </c>
      <c r="Q6" s="35">
        <f ca="1">(((_xlfn.XLOOKUP(YEAR($B6),'Oferta Producto 1'!$B$8:$B$19,'Oferta Producto 1'!$E$8:$E$19))*$AD6)/$AB6)/24</f>
        <v>0</v>
      </c>
      <c r="R6" s="35">
        <f ca="1">(((_xlfn.XLOOKUP(YEAR($B6),'Oferta Producto 1'!$B$8:$B$19,'Oferta Producto 1'!$E$8:$E$19))*$AD6)/$AB6)/24</f>
        <v>0</v>
      </c>
      <c r="S6" s="35">
        <f ca="1">(((_xlfn.XLOOKUP(YEAR($B6),'Oferta Producto 1'!$B$8:$B$19,'Oferta Producto 1'!$E$8:$E$19))*$AD6)/$AB6)/24</f>
        <v>0</v>
      </c>
      <c r="T6" s="35">
        <f ca="1">(((_xlfn.XLOOKUP(YEAR($B6),'Oferta Producto 1'!$B$8:$B$19,'Oferta Producto 1'!$E$8:$E$19))*$AD6)/$AB6)/24</f>
        <v>0</v>
      </c>
      <c r="U6" s="35">
        <f ca="1">(((_xlfn.XLOOKUP(YEAR($B6),'Oferta Producto 1'!$B$8:$B$19,'Oferta Producto 1'!$E$8:$E$19))*$AD6)/$AB6)/24</f>
        <v>0</v>
      </c>
      <c r="V6" s="35">
        <f ca="1">(((_xlfn.XLOOKUP(YEAR($B6),'Oferta Producto 1'!$B$8:$B$19,'Oferta Producto 1'!$E$8:$E$19))*$AD6)/$AB6)/24</f>
        <v>0</v>
      </c>
      <c r="W6" s="35">
        <f ca="1">(((_xlfn.XLOOKUP(YEAR($B6),'Oferta Producto 1'!$B$8:$B$19,'Oferta Producto 1'!$E$8:$E$19))*$AD6)/$AB6)/24</f>
        <v>0</v>
      </c>
      <c r="X6" s="35">
        <f ca="1">(((_xlfn.XLOOKUP(YEAR($B6),'Oferta Producto 1'!$B$8:$B$19,'Oferta Producto 1'!$E$8:$E$19))*$AD6)/$AB6)/24</f>
        <v>0</v>
      </c>
      <c r="Y6" s="35">
        <f ca="1">(((_xlfn.XLOOKUP(YEAR($B6),'Oferta Producto 1'!$B$8:$B$19,'Oferta Producto 1'!$E$8:$E$19))*$AD6)/$AB6)/24</f>
        <v>0</v>
      </c>
      <c r="Z6" s="35">
        <f ca="1">(((_xlfn.XLOOKUP(YEAR($B6),'Oferta Producto 1'!$B$8:$B$19,'Oferta Producto 1'!$E$8:$E$19))*$AD6)/$AB6)/24</f>
        <v>0</v>
      </c>
      <c r="AA6" s="35">
        <f ca="1">SUM(C6:Z6)</f>
        <v>0</v>
      </c>
      <c r="AB6" s="28">
        <f>DAY(EOMONTH(B6,0))</f>
        <v>31</v>
      </c>
      <c r="AC6" s="42">
        <f ca="1">AA6*AB6</f>
        <v>0</v>
      </c>
      <c r="AD6" s="43">
        <v>5.0427170662760243E-2</v>
      </c>
      <c r="AE6"/>
      <c r="AF6" s="18"/>
      <c r="AG6" s="18"/>
      <c r="AH6" s="25"/>
    </row>
    <row r="7" spans="1:34" ht="15.75" thickBot="1">
      <c r="A7" s="23">
        <f t="shared" ref="A7:A70" si="0">YEAR(B7)</f>
        <v>2026</v>
      </c>
      <c r="B7" s="27">
        <v>46054</v>
      </c>
      <c r="C7" s="35">
        <f ca="1">(((_xlfn.XLOOKUP(YEAR($B7),'Oferta Producto 1'!$B$8:$B$19,'Oferta Producto 1'!$E$8:$E$19))*$AD7)/$AB7)/24</f>
        <v>0</v>
      </c>
      <c r="D7" s="35">
        <f ca="1">(((_xlfn.XLOOKUP(YEAR($B7),'Oferta Producto 1'!$B$8:$B$19,'Oferta Producto 1'!$E$8:$E$19))*$AD7)/$AB7)/24</f>
        <v>0</v>
      </c>
      <c r="E7" s="35">
        <f ca="1">(((_xlfn.XLOOKUP(YEAR($B7),'Oferta Producto 1'!$B$8:$B$19,'Oferta Producto 1'!$E$8:$E$19))*$AD7)/$AB7)/24</f>
        <v>0</v>
      </c>
      <c r="F7" s="35">
        <f ca="1">(((_xlfn.XLOOKUP(YEAR($B7),'Oferta Producto 1'!$B$8:$B$19,'Oferta Producto 1'!$E$8:$E$19))*$AD7)/$AB7)/24</f>
        <v>0</v>
      </c>
      <c r="G7" s="35">
        <f ca="1">(((_xlfn.XLOOKUP(YEAR($B7),'Oferta Producto 1'!$B$8:$B$19,'Oferta Producto 1'!$E$8:$E$19))*$AD7)/$AB7)/24</f>
        <v>0</v>
      </c>
      <c r="H7" s="35">
        <f ca="1">(((_xlfn.XLOOKUP(YEAR($B7),'Oferta Producto 1'!$B$8:$B$19,'Oferta Producto 1'!$E$8:$E$19))*$AD7)/$AB7)/24</f>
        <v>0</v>
      </c>
      <c r="I7" s="35">
        <f ca="1">(((_xlfn.XLOOKUP(YEAR($B7),'Oferta Producto 1'!$B$8:$B$19,'Oferta Producto 1'!$E$8:$E$19))*$AD7)/$AB7)/24</f>
        <v>0</v>
      </c>
      <c r="J7" s="35">
        <f ca="1">(((_xlfn.XLOOKUP(YEAR($B7),'Oferta Producto 1'!$B$8:$B$19,'Oferta Producto 1'!$E$8:$E$19))*$AD7)/$AB7)/24</f>
        <v>0</v>
      </c>
      <c r="K7" s="35">
        <f ca="1">(((_xlfn.XLOOKUP(YEAR($B7),'Oferta Producto 1'!$B$8:$B$19,'Oferta Producto 1'!$E$8:$E$19))*$AD7)/$AB7)/24</f>
        <v>0</v>
      </c>
      <c r="L7" s="35">
        <f ca="1">(((_xlfn.XLOOKUP(YEAR($B7),'Oferta Producto 1'!$B$8:$B$19,'Oferta Producto 1'!$E$8:$E$19))*$AD7)/$AB7)/24</f>
        <v>0</v>
      </c>
      <c r="M7" s="35">
        <f ca="1">(((_xlfn.XLOOKUP(YEAR($B7),'Oferta Producto 1'!$B$8:$B$19,'Oferta Producto 1'!$E$8:$E$19))*$AD7)/$AB7)/24</f>
        <v>0</v>
      </c>
      <c r="N7" s="35">
        <f ca="1">(((_xlfn.XLOOKUP(YEAR($B7),'Oferta Producto 1'!$B$8:$B$19,'Oferta Producto 1'!$E$8:$E$19))*$AD7)/$AB7)/24</f>
        <v>0</v>
      </c>
      <c r="O7" s="35">
        <f ca="1">(((_xlfn.XLOOKUP(YEAR($B7),'Oferta Producto 1'!$B$8:$B$19,'Oferta Producto 1'!$E$8:$E$19))*$AD7)/$AB7)/24</f>
        <v>0</v>
      </c>
      <c r="P7" s="35">
        <f ca="1">(((_xlfn.XLOOKUP(YEAR($B7),'Oferta Producto 1'!$B$8:$B$19,'Oferta Producto 1'!$E$8:$E$19))*$AD7)/$AB7)/24</f>
        <v>0</v>
      </c>
      <c r="Q7" s="35">
        <f ca="1">(((_xlfn.XLOOKUP(YEAR($B7),'Oferta Producto 1'!$B$8:$B$19,'Oferta Producto 1'!$E$8:$E$19))*$AD7)/$AB7)/24</f>
        <v>0</v>
      </c>
      <c r="R7" s="35">
        <f ca="1">(((_xlfn.XLOOKUP(YEAR($B7),'Oferta Producto 1'!$B$8:$B$19,'Oferta Producto 1'!$E$8:$E$19))*$AD7)/$AB7)/24</f>
        <v>0</v>
      </c>
      <c r="S7" s="35">
        <f ca="1">(((_xlfn.XLOOKUP(YEAR($B7),'Oferta Producto 1'!$B$8:$B$19,'Oferta Producto 1'!$E$8:$E$19))*$AD7)/$AB7)/24</f>
        <v>0</v>
      </c>
      <c r="T7" s="35">
        <f ca="1">(((_xlfn.XLOOKUP(YEAR($B7),'Oferta Producto 1'!$B$8:$B$19,'Oferta Producto 1'!$E$8:$E$19))*$AD7)/$AB7)/24</f>
        <v>0</v>
      </c>
      <c r="U7" s="35">
        <f ca="1">(((_xlfn.XLOOKUP(YEAR($B7),'Oferta Producto 1'!$B$8:$B$19,'Oferta Producto 1'!$E$8:$E$19))*$AD7)/$AB7)/24</f>
        <v>0</v>
      </c>
      <c r="V7" s="35">
        <f ca="1">(((_xlfn.XLOOKUP(YEAR($B7),'Oferta Producto 1'!$B$8:$B$19,'Oferta Producto 1'!$E$8:$E$19))*$AD7)/$AB7)/24</f>
        <v>0</v>
      </c>
      <c r="W7" s="35">
        <f ca="1">(((_xlfn.XLOOKUP(YEAR($B7),'Oferta Producto 1'!$B$8:$B$19,'Oferta Producto 1'!$E$8:$E$19))*$AD7)/$AB7)/24</f>
        <v>0</v>
      </c>
      <c r="X7" s="35">
        <f ca="1">(((_xlfn.XLOOKUP(YEAR($B7),'Oferta Producto 1'!$B$8:$B$19,'Oferta Producto 1'!$E$8:$E$19))*$AD7)/$AB7)/24</f>
        <v>0</v>
      </c>
      <c r="Y7" s="35">
        <f ca="1">(((_xlfn.XLOOKUP(YEAR($B7),'Oferta Producto 1'!$B$8:$B$19,'Oferta Producto 1'!$E$8:$E$19))*$AD7)/$AB7)/24</f>
        <v>0</v>
      </c>
      <c r="Z7" s="35">
        <f ca="1">(((_xlfn.XLOOKUP(YEAR($B7),'Oferta Producto 1'!$B$8:$B$19,'Oferta Producto 1'!$E$8:$E$19))*$AD7)/$AB7)/24</f>
        <v>0</v>
      </c>
      <c r="AA7" s="35">
        <f t="shared" ref="AA7:AA17" ca="1" si="1">SUM(C7:Z7)</f>
        <v>0</v>
      </c>
      <c r="AB7" s="28">
        <f t="shared" ref="AB7:AB70" si="2">DAY(EOMONTH(B7,0))</f>
        <v>28</v>
      </c>
      <c r="AC7" s="42">
        <f t="shared" ref="AC7:AC70" ca="1" si="3">AA7*AB7</f>
        <v>0</v>
      </c>
      <c r="AD7" s="43">
        <v>6.1616274433376111E-2</v>
      </c>
      <c r="AE7"/>
      <c r="AF7" s="18"/>
      <c r="AG7"/>
    </row>
    <row r="8" spans="1:34" ht="15.75" thickBot="1">
      <c r="A8" s="23">
        <f t="shared" si="0"/>
        <v>2026</v>
      </c>
      <c r="B8" s="27">
        <v>46082</v>
      </c>
      <c r="C8" s="35">
        <f ca="1">(((_xlfn.XLOOKUP(YEAR($B8),'Oferta Producto 1'!$B$8:$B$19,'Oferta Producto 1'!$E$8:$E$19))*$AD8)/$AB8)/24</f>
        <v>0</v>
      </c>
      <c r="D8" s="35">
        <f ca="1">(((_xlfn.XLOOKUP(YEAR($B8),'Oferta Producto 1'!$B$8:$B$19,'Oferta Producto 1'!$E$8:$E$19))*$AD8)/$AB8)/24</f>
        <v>0</v>
      </c>
      <c r="E8" s="35">
        <f ca="1">(((_xlfn.XLOOKUP(YEAR($B8),'Oferta Producto 1'!$B$8:$B$19,'Oferta Producto 1'!$E$8:$E$19))*$AD8)/$AB8)/24</f>
        <v>0</v>
      </c>
      <c r="F8" s="35">
        <f ca="1">(((_xlfn.XLOOKUP(YEAR($B8),'Oferta Producto 1'!$B$8:$B$19,'Oferta Producto 1'!$E$8:$E$19))*$AD8)/$AB8)/24</f>
        <v>0</v>
      </c>
      <c r="G8" s="35">
        <f ca="1">(((_xlfn.XLOOKUP(YEAR($B8),'Oferta Producto 1'!$B$8:$B$19,'Oferta Producto 1'!$E$8:$E$19))*$AD8)/$AB8)/24</f>
        <v>0</v>
      </c>
      <c r="H8" s="35">
        <f ca="1">(((_xlfn.XLOOKUP(YEAR($B8),'Oferta Producto 1'!$B$8:$B$19,'Oferta Producto 1'!$E$8:$E$19))*$AD8)/$AB8)/24</f>
        <v>0</v>
      </c>
      <c r="I8" s="35">
        <f ca="1">(((_xlfn.XLOOKUP(YEAR($B8),'Oferta Producto 1'!$B$8:$B$19,'Oferta Producto 1'!$E$8:$E$19))*$AD8)/$AB8)/24</f>
        <v>0</v>
      </c>
      <c r="J8" s="35">
        <f ca="1">(((_xlfn.XLOOKUP(YEAR($B8),'Oferta Producto 1'!$B$8:$B$19,'Oferta Producto 1'!$E$8:$E$19))*$AD8)/$AB8)/24</f>
        <v>0</v>
      </c>
      <c r="K8" s="35">
        <f ca="1">(((_xlfn.XLOOKUP(YEAR($B8),'Oferta Producto 1'!$B$8:$B$19,'Oferta Producto 1'!$E$8:$E$19))*$AD8)/$AB8)/24</f>
        <v>0</v>
      </c>
      <c r="L8" s="35">
        <f ca="1">(((_xlfn.XLOOKUP(YEAR($B8),'Oferta Producto 1'!$B$8:$B$19,'Oferta Producto 1'!$E$8:$E$19))*$AD8)/$AB8)/24</f>
        <v>0</v>
      </c>
      <c r="M8" s="35">
        <f ca="1">(((_xlfn.XLOOKUP(YEAR($B8),'Oferta Producto 1'!$B$8:$B$19,'Oferta Producto 1'!$E$8:$E$19))*$AD8)/$AB8)/24</f>
        <v>0</v>
      </c>
      <c r="N8" s="35">
        <f ca="1">(((_xlfn.XLOOKUP(YEAR($B8),'Oferta Producto 1'!$B$8:$B$19,'Oferta Producto 1'!$E$8:$E$19))*$AD8)/$AB8)/24</f>
        <v>0</v>
      </c>
      <c r="O8" s="35">
        <f ca="1">(((_xlfn.XLOOKUP(YEAR($B8),'Oferta Producto 1'!$B$8:$B$19,'Oferta Producto 1'!$E$8:$E$19))*$AD8)/$AB8)/24</f>
        <v>0</v>
      </c>
      <c r="P8" s="35">
        <f ca="1">(((_xlfn.XLOOKUP(YEAR($B8),'Oferta Producto 1'!$B$8:$B$19,'Oferta Producto 1'!$E$8:$E$19))*$AD8)/$AB8)/24</f>
        <v>0</v>
      </c>
      <c r="Q8" s="35">
        <f ca="1">(((_xlfn.XLOOKUP(YEAR($B8),'Oferta Producto 1'!$B$8:$B$19,'Oferta Producto 1'!$E$8:$E$19))*$AD8)/$AB8)/24</f>
        <v>0</v>
      </c>
      <c r="R8" s="35">
        <f ca="1">(((_xlfn.XLOOKUP(YEAR($B8),'Oferta Producto 1'!$B$8:$B$19,'Oferta Producto 1'!$E$8:$E$19))*$AD8)/$AB8)/24</f>
        <v>0</v>
      </c>
      <c r="S8" s="35">
        <f ca="1">(((_xlfn.XLOOKUP(YEAR($B8),'Oferta Producto 1'!$B$8:$B$19,'Oferta Producto 1'!$E$8:$E$19))*$AD8)/$AB8)/24</f>
        <v>0</v>
      </c>
      <c r="T8" s="35">
        <f ca="1">(((_xlfn.XLOOKUP(YEAR($B8),'Oferta Producto 1'!$B$8:$B$19,'Oferta Producto 1'!$E$8:$E$19))*$AD8)/$AB8)/24</f>
        <v>0</v>
      </c>
      <c r="U8" s="35">
        <f ca="1">(((_xlfn.XLOOKUP(YEAR($B8),'Oferta Producto 1'!$B$8:$B$19,'Oferta Producto 1'!$E$8:$E$19))*$AD8)/$AB8)/24</f>
        <v>0</v>
      </c>
      <c r="V8" s="35">
        <f ca="1">(((_xlfn.XLOOKUP(YEAR($B8),'Oferta Producto 1'!$B$8:$B$19,'Oferta Producto 1'!$E$8:$E$19))*$AD8)/$AB8)/24</f>
        <v>0</v>
      </c>
      <c r="W8" s="35">
        <f ca="1">(((_xlfn.XLOOKUP(YEAR($B8),'Oferta Producto 1'!$B$8:$B$19,'Oferta Producto 1'!$E$8:$E$19))*$AD8)/$AB8)/24</f>
        <v>0</v>
      </c>
      <c r="X8" s="35">
        <f ca="1">(((_xlfn.XLOOKUP(YEAR($B8),'Oferta Producto 1'!$B$8:$B$19,'Oferta Producto 1'!$E$8:$E$19))*$AD8)/$AB8)/24</f>
        <v>0</v>
      </c>
      <c r="Y8" s="35">
        <f ca="1">(((_xlfn.XLOOKUP(YEAR($B8),'Oferta Producto 1'!$B$8:$B$19,'Oferta Producto 1'!$E$8:$E$19))*$AD8)/$AB8)/24</f>
        <v>0</v>
      </c>
      <c r="Z8" s="35">
        <f ca="1">(((_xlfn.XLOOKUP(YEAR($B8),'Oferta Producto 1'!$B$8:$B$19,'Oferta Producto 1'!$E$8:$E$19))*$AD8)/$AB8)/24</f>
        <v>0</v>
      </c>
      <c r="AA8" s="35">
        <f t="shared" ca="1" si="1"/>
        <v>0</v>
      </c>
      <c r="AB8" s="28">
        <f t="shared" si="2"/>
        <v>31</v>
      </c>
      <c r="AC8" s="42">
        <f t="shared" ca="1" si="3"/>
        <v>0</v>
      </c>
      <c r="AD8" s="43">
        <v>6.0580728680022414E-2</v>
      </c>
      <c r="AE8"/>
      <c r="AF8" s="18"/>
      <c r="AG8"/>
    </row>
    <row r="9" spans="1:34" ht="15.75" thickBot="1">
      <c r="A9" s="23">
        <f t="shared" si="0"/>
        <v>2026</v>
      </c>
      <c r="B9" s="27">
        <v>46113</v>
      </c>
      <c r="C9" s="35">
        <f ca="1">(((_xlfn.XLOOKUP(YEAR($B9),'Oferta Producto 1'!$B$8:$B$19,'Oferta Producto 1'!$E$8:$E$19))*$AD9)/$AB9)/24</f>
        <v>0</v>
      </c>
      <c r="D9" s="35">
        <f ca="1">(((_xlfn.XLOOKUP(YEAR($B9),'Oferta Producto 1'!$B$8:$B$19,'Oferta Producto 1'!$E$8:$E$19))*$AD9)/$AB9)/24</f>
        <v>0</v>
      </c>
      <c r="E9" s="35">
        <f ca="1">(((_xlfn.XLOOKUP(YEAR($B9),'Oferta Producto 1'!$B$8:$B$19,'Oferta Producto 1'!$E$8:$E$19))*$AD9)/$AB9)/24</f>
        <v>0</v>
      </c>
      <c r="F9" s="35">
        <f ca="1">(((_xlfn.XLOOKUP(YEAR($B9),'Oferta Producto 1'!$B$8:$B$19,'Oferta Producto 1'!$E$8:$E$19))*$AD9)/$AB9)/24</f>
        <v>0</v>
      </c>
      <c r="G9" s="35">
        <f ca="1">(((_xlfn.XLOOKUP(YEAR($B9),'Oferta Producto 1'!$B$8:$B$19,'Oferta Producto 1'!$E$8:$E$19))*$AD9)/$AB9)/24</f>
        <v>0</v>
      </c>
      <c r="H9" s="35">
        <f ca="1">(((_xlfn.XLOOKUP(YEAR($B9),'Oferta Producto 1'!$B$8:$B$19,'Oferta Producto 1'!$E$8:$E$19))*$AD9)/$AB9)/24</f>
        <v>0</v>
      </c>
      <c r="I9" s="35">
        <f ca="1">(((_xlfn.XLOOKUP(YEAR($B9),'Oferta Producto 1'!$B$8:$B$19,'Oferta Producto 1'!$E$8:$E$19))*$AD9)/$AB9)/24</f>
        <v>0</v>
      </c>
      <c r="J9" s="35">
        <f ca="1">(((_xlfn.XLOOKUP(YEAR($B9),'Oferta Producto 1'!$B$8:$B$19,'Oferta Producto 1'!$E$8:$E$19))*$AD9)/$AB9)/24</f>
        <v>0</v>
      </c>
      <c r="K9" s="35">
        <f ca="1">(((_xlfn.XLOOKUP(YEAR($B9),'Oferta Producto 1'!$B$8:$B$19,'Oferta Producto 1'!$E$8:$E$19))*$AD9)/$AB9)/24</f>
        <v>0</v>
      </c>
      <c r="L9" s="35">
        <f ca="1">(((_xlfn.XLOOKUP(YEAR($B9),'Oferta Producto 1'!$B$8:$B$19,'Oferta Producto 1'!$E$8:$E$19))*$AD9)/$AB9)/24</f>
        <v>0</v>
      </c>
      <c r="M9" s="35">
        <f ca="1">(((_xlfn.XLOOKUP(YEAR($B9),'Oferta Producto 1'!$B$8:$B$19,'Oferta Producto 1'!$E$8:$E$19))*$AD9)/$AB9)/24</f>
        <v>0</v>
      </c>
      <c r="N9" s="35">
        <f ca="1">(((_xlfn.XLOOKUP(YEAR($B9),'Oferta Producto 1'!$B$8:$B$19,'Oferta Producto 1'!$E$8:$E$19))*$AD9)/$AB9)/24</f>
        <v>0</v>
      </c>
      <c r="O9" s="35">
        <f ca="1">(((_xlfn.XLOOKUP(YEAR($B9),'Oferta Producto 1'!$B$8:$B$19,'Oferta Producto 1'!$E$8:$E$19))*$AD9)/$AB9)/24</f>
        <v>0</v>
      </c>
      <c r="P9" s="35">
        <f ca="1">(((_xlfn.XLOOKUP(YEAR($B9),'Oferta Producto 1'!$B$8:$B$19,'Oferta Producto 1'!$E$8:$E$19))*$AD9)/$AB9)/24</f>
        <v>0</v>
      </c>
      <c r="Q9" s="35">
        <f ca="1">(((_xlfn.XLOOKUP(YEAR($B9),'Oferta Producto 1'!$B$8:$B$19,'Oferta Producto 1'!$E$8:$E$19))*$AD9)/$AB9)/24</f>
        <v>0</v>
      </c>
      <c r="R9" s="35">
        <f ca="1">(((_xlfn.XLOOKUP(YEAR($B9),'Oferta Producto 1'!$B$8:$B$19,'Oferta Producto 1'!$E$8:$E$19))*$AD9)/$AB9)/24</f>
        <v>0</v>
      </c>
      <c r="S9" s="35">
        <f ca="1">(((_xlfn.XLOOKUP(YEAR($B9),'Oferta Producto 1'!$B$8:$B$19,'Oferta Producto 1'!$E$8:$E$19))*$AD9)/$AB9)/24</f>
        <v>0</v>
      </c>
      <c r="T9" s="35">
        <f ca="1">(((_xlfn.XLOOKUP(YEAR($B9),'Oferta Producto 1'!$B$8:$B$19,'Oferta Producto 1'!$E$8:$E$19))*$AD9)/$AB9)/24</f>
        <v>0</v>
      </c>
      <c r="U9" s="35">
        <f ca="1">(((_xlfn.XLOOKUP(YEAR($B9),'Oferta Producto 1'!$B$8:$B$19,'Oferta Producto 1'!$E$8:$E$19))*$AD9)/$AB9)/24</f>
        <v>0</v>
      </c>
      <c r="V9" s="35">
        <f ca="1">(((_xlfn.XLOOKUP(YEAR($B9),'Oferta Producto 1'!$B$8:$B$19,'Oferta Producto 1'!$E$8:$E$19))*$AD9)/$AB9)/24</f>
        <v>0</v>
      </c>
      <c r="W9" s="35">
        <f ca="1">(((_xlfn.XLOOKUP(YEAR($B9),'Oferta Producto 1'!$B$8:$B$19,'Oferta Producto 1'!$E$8:$E$19))*$AD9)/$AB9)/24</f>
        <v>0</v>
      </c>
      <c r="X9" s="35">
        <f ca="1">(((_xlfn.XLOOKUP(YEAR($B9),'Oferta Producto 1'!$B$8:$B$19,'Oferta Producto 1'!$E$8:$E$19))*$AD9)/$AB9)/24</f>
        <v>0</v>
      </c>
      <c r="Y9" s="35">
        <f ca="1">(((_xlfn.XLOOKUP(YEAR($B9),'Oferta Producto 1'!$B$8:$B$19,'Oferta Producto 1'!$E$8:$E$19))*$AD9)/$AB9)/24</f>
        <v>0</v>
      </c>
      <c r="Z9" s="35">
        <f ca="1">(((_xlfn.XLOOKUP(YEAR($B9),'Oferta Producto 1'!$B$8:$B$19,'Oferta Producto 1'!$E$8:$E$19))*$AD9)/$AB9)/24</f>
        <v>0</v>
      </c>
      <c r="AA9" s="35">
        <f t="shared" ca="1" si="1"/>
        <v>0</v>
      </c>
      <c r="AB9" s="28">
        <f t="shared" si="2"/>
        <v>30</v>
      </c>
      <c r="AC9" s="42">
        <f t="shared" ca="1" si="3"/>
        <v>0</v>
      </c>
      <c r="AD9" s="43">
        <v>5.2778025989864683E-2</v>
      </c>
      <c r="AE9"/>
      <c r="AF9" s="18"/>
      <c r="AG9"/>
    </row>
    <row r="10" spans="1:34" ht="15.75" thickBot="1">
      <c r="A10" s="23">
        <f t="shared" si="0"/>
        <v>2026</v>
      </c>
      <c r="B10" s="27">
        <v>46143</v>
      </c>
      <c r="C10" s="35">
        <f ca="1">(((_xlfn.XLOOKUP(YEAR($B10),'Oferta Producto 1'!$B$8:$B$19,'Oferta Producto 1'!$E$8:$E$19))*$AD10)/$AB10)/24</f>
        <v>0</v>
      </c>
      <c r="D10" s="35">
        <f ca="1">(((_xlfn.XLOOKUP(YEAR($B10),'Oferta Producto 1'!$B$8:$B$19,'Oferta Producto 1'!$E$8:$E$19))*$AD10)/$AB10)/24</f>
        <v>0</v>
      </c>
      <c r="E10" s="35">
        <f ca="1">(((_xlfn.XLOOKUP(YEAR($B10),'Oferta Producto 1'!$B$8:$B$19,'Oferta Producto 1'!$E$8:$E$19))*$AD10)/$AB10)/24</f>
        <v>0</v>
      </c>
      <c r="F10" s="35">
        <f ca="1">(((_xlfn.XLOOKUP(YEAR($B10),'Oferta Producto 1'!$B$8:$B$19,'Oferta Producto 1'!$E$8:$E$19))*$AD10)/$AB10)/24</f>
        <v>0</v>
      </c>
      <c r="G10" s="35">
        <f ca="1">(((_xlfn.XLOOKUP(YEAR($B10),'Oferta Producto 1'!$B$8:$B$19,'Oferta Producto 1'!$E$8:$E$19))*$AD10)/$AB10)/24</f>
        <v>0</v>
      </c>
      <c r="H10" s="35">
        <f ca="1">(((_xlfn.XLOOKUP(YEAR($B10),'Oferta Producto 1'!$B$8:$B$19,'Oferta Producto 1'!$E$8:$E$19))*$AD10)/$AB10)/24</f>
        <v>0</v>
      </c>
      <c r="I10" s="35">
        <f ca="1">(((_xlfn.XLOOKUP(YEAR($B10),'Oferta Producto 1'!$B$8:$B$19,'Oferta Producto 1'!$E$8:$E$19))*$AD10)/$AB10)/24</f>
        <v>0</v>
      </c>
      <c r="J10" s="35">
        <f ca="1">(((_xlfn.XLOOKUP(YEAR($B10),'Oferta Producto 1'!$B$8:$B$19,'Oferta Producto 1'!$E$8:$E$19))*$AD10)/$AB10)/24</f>
        <v>0</v>
      </c>
      <c r="K10" s="35">
        <f ca="1">(((_xlfn.XLOOKUP(YEAR($B10),'Oferta Producto 1'!$B$8:$B$19,'Oferta Producto 1'!$E$8:$E$19))*$AD10)/$AB10)/24</f>
        <v>0</v>
      </c>
      <c r="L10" s="35">
        <f ca="1">(((_xlfn.XLOOKUP(YEAR($B10),'Oferta Producto 1'!$B$8:$B$19,'Oferta Producto 1'!$E$8:$E$19))*$AD10)/$AB10)/24</f>
        <v>0</v>
      </c>
      <c r="M10" s="35">
        <f ca="1">(((_xlfn.XLOOKUP(YEAR($B10),'Oferta Producto 1'!$B$8:$B$19,'Oferta Producto 1'!$E$8:$E$19))*$AD10)/$AB10)/24</f>
        <v>0</v>
      </c>
      <c r="N10" s="35">
        <f ca="1">(((_xlfn.XLOOKUP(YEAR($B10),'Oferta Producto 1'!$B$8:$B$19,'Oferta Producto 1'!$E$8:$E$19))*$AD10)/$AB10)/24</f>
        <v>0</v>
      </c>
      <c r="O10" s="35">
        <f ca="1">(((_xlfn.XLOOKUP(YEAR($B10),'Oferta Producto 1'!$B$8:$B$19,'Oferta Producto 1'!$E$8:$E$19))*$AD10)/$AB10)/24</f>
        <v>0</v>
      </c>
      <c r="P10" s="35">
        <f ca="1">(((_xlfn.XLOOKUP(YEAR($B10),'Oferta Producto 1'!$B$8:$B$19,'Oferta Producto 1'!$E$8:$E$19))*$AD10)/$AB10)/24</f>
        <v>0</v>
      </c>
      <c r="Q10" s="35">
        <f ca="1">(((_xlfn.XLOOKUP(YEAR($B10),'Oferta Producto 1'!$B$8:$B$19,'Oferta Producto 1'!$E$8:$E$19))*$AD10)/$AB10)/24</f>
        <v>0</v>
      </c>
      <c r="R10" s="35">
        <f ca="1">(((_xlfn.XLOOKUP(YEAR($B10),'Oferta Producto 1'!$B$8:$B$19,'Oferta Producto 1'!$E$8:$E$19))*$AD10)/$AB10)/24</f>
        <v>0</v>
      </c>
      <c r="S10" s="35">
        <f ca="1">(((_xlfn.XLOOKUP(YEAR($B10),'Oferta Producto 1'!$B$8:$B$19,'Oferta Producto 1'!$E$8:$E$19))*$AD10)/$AB10)/24</f>
        <v>0</v>
      </c>
      <c r="T10" s="35">
        <f ca="1">(((_xlfn.XLOOKUP(YEAR($B10),'Oferta Producto 1'!$B$8:$B$19,'Oferta Producto 1'!$E$8:$E$19))*$AD10)/$AB10)/24</f>
        <v>0</v>
      </c>
      <c r="U10" s="35">
        <f ca="1">(((_xlfn.XLOOKUP(YEAR($B10),'Oferta Producto 1'!$B$8:$B$19,'Oferta Producto 1'!$E$8:$E$19))*$AD10)/$AB10)/24</f>
        <v>0</v>
      </c>
      <c r="V10" s="35">
        <f ca="1">(((_xlfn.XLOOKUP(YEAR($B10),'Oferta Producto 1'!$B$8:$B$19,'Oferta Producto 1'!$E$8:$E$19))*$AD10)/$AB10)/24</f>
        <v>0</v>
      </c>
      <c r="W10" s="35">
        <f ca="1">(((_xlfn.XLOOKUP(YEAR($B10),'Oferta Producto 1'!$B$8:$B$19,'Oferta Producto 1'!$E$8:$E$19))*$AD10)/$AB10)/24</f>
        <v>0</v>
      </c>
      <c r="X10" s="35">
        <f ca="1">(((_xlfn.XLOOKUP(YEAR($B10),'Oferta Producto 1'!$B$8:$B$19,'Oferta Producto 1'!$E$8:$E$19))*$AD10)/$AB10)/24</f>
        <v>0</v>
      </c>
      <c r="Y10" s="35">
        <f ca="1">(((_xlfn.XLOOKUP(YEAR($B10),'Oferta Producto 1'!$B$8:$B$19,'Oferta Producto 1'!$E$8:$E$19))*$AD10)/$AB10)/24</f>
        <v>0</v>
      </c>
      <c r="Z10" s="35">
        <f ca="1">(((_xlfn.XLOOKUP(YEAR($B10),'Oferta Producto 1'!$B$8:$B$19,'Oferta Producto 1'!$E$8:$E$19))*$AD10)/$AB10)/24</f>
        <v>0</v>
      </c>
      <c r="AA10" s="35">
        <f t="shared" ca="1" si="1"/>
        <v>0</v>
      </c>
      <c r="AB10" s="28">
        <f t="shared" si="2"/>
        <v>31</v>
      </c>
      <c r="AC10" s="42">
        <f t="shared" ca="1" si="3"/>
        <v>0</v>
      </c>
      <c r="AD10" s="43">
        <v>6.0616534045259934E-2</v>
      </c>
      <c r="AE10"/>
      <c r="AF10"/>
      <c r="AG10"/>
    </row>
    <row r="11" spans="1:34" ht="15.75" thickBot="1">
      <c r="A11" s="23">
        <f t="shared" si="0"/>
        <v>2026</v>
      </c>
      <c r="B11" s="27">
        <v>46174</v>
      </c>
      <c r="C11" s="35">
        <f ca="1">(((_xlfn.XLOOKUP(YEAR($B11),'Oferta Producto 1'!$B$8:$B$19,'Oferta Producto 1'!$E$8:$E$19))*$AD11)/$AB11)/24</f>
        <v>0</v>
      </c>
      <c r="D11" s="35">
        <f ca="1">(((_xlfn.XLOOKUP(YEAR($B11),'Oferta Producto 1'!$B$8:$B$19,'Oferta Producto 1'!$E$8:$E$19))*$AD11)/$AB11)/24</f>
        <v>0</v>
      </c>
      <c r="E11" s="35">
        <f ca="1">(((_xlfn.XLOOKUP(YEAR($B11),'Oferta Producto 1'!$B$8:$B$19,'Oferta Producto 1'!$E$8:$E$19))*$AD11)/$AB11)/24</f>
        <v>0</v>
      </c>
      <c r="F11" s="35">
        <f ca="1">(((_xlfn.XLOOKUP(YEAR($B11),'Oferta Producto 1'!$B$8:$B$19,'Oferta Producto 1'!$E$8:$E$19))*$AD11)/$AB11)/24</f>
        <v>0</v>
      </c>
      <c r="G11" s="35">
        <f ca="1">(((_xlfn.XLOOKUP(YEAR($B11),'Oferta Producto 1'!$B$8:$B$19,'Oferta Producto 1'!$E$8:$E$19))*$AD11)/$AB11)/24</f>
        <v>0</v>
      </c>
      <c r="H11" s="35">
        <f ca="1">(((_xlfn.XLOOKUP(YEAR($B11),'Oferta Producto 1'!$B$8:$B$19,'Oferta Producto 1'!$E$8:$E$19))*$AD11)/$AB11)/24</f>
        <v>0</v>
      </c>
      <c r="I11" s="35">
        <f ca="1">(((_xlfn.XLOOKUP(YEAR($B11),'Oferta Producto 1'!$B$8:$B$19,'Oferta Producto 1'!$E$8:$E$19))*$AD11)/$AB11)/24</f>
        <v>0</v>
      </c>
      <c r="J11" s="35">
        <f ca="1">(((_xlfn.XLOOKUP(YEAR($B11),'Oferta Producto 1'!$B$8:$B$19,'Oferta Producto 1'!$E$8:$E$19))*$AD11)/$AB11)/24</f>
        <v>0</v>
      </c>
      <c r="K11" s="35">
        <f ca="1">(((_xlfn.XLOOKUP(YEAR($B11),'Oferta Producto 1'!$B$8:$B$19,'Oferta Producto 1'!$E$8:$E$19))*$AD11)/$AB11)/24</f>
        <v>0</v>
      </c>
      <c r="L11" s="35">
        <f ca="1">(((_xlfn.XLOOKUP(YEAR($B11),'Oferta Producto 1'!$B$8:$B$19,'Oferta Producto 1'!$E$8:$E$19))*$AD11)/$AB11)/24</f>
        <v>0</v>
      </c>
      <c r="M11" s="35">
        <f ca="1">(((_xlfn.XLOOKUP(YEAR($B11),'Oferta Producto 1'!$B$8:$B$19,'Oferta Producto 1'!$E$8:$E$19))*$AD11)/$AB11)/24</f>
        <v>0</v>
      </c>
      <c r="N11" s="35">
        <f ca="1">(((_xlfn.XLOOKUP(YEAR($B11),'Oferta Producto 1'!$B$8:$B$19,'Oferta Producto 1'!$E$8:$E$19))*$AD11)/$AB11)/24</f>
        <v>0</v>
      </c>
      <c r="O11" s="35">
        <f ca="1">(((_xlfn.XLOOKUP(YEAR($B11),'Oferta Producto 1'!$B$8:$B$19,'Oferta Producto 1'!$E$8:$E$19))*$AD11)/$AB11)/24</f>
        <v>0</v>
      </c>
      <c r="P11" s="35">
        <f ca="1">(((_xlfn.XLOOKUP(YEAR($B11),'Oferta Producto 1'!$B$8:$B$19,'Oferta Producto 1'!$E$8:$E$19))*$AD11)/$AB11)/24</f>
        <v>0</v>
      </c>
      <c r="Q11" s="35">
        <f ca="1">(((_xlfn.XLOOKUP(YEAR($B11),'Oferta Producto 1'!$B$8:$B$19,'Oferta Producto 1'!$E$8:$E$19))*$AD11)/$AB11)/24</f>
        <v>0</v>
      </c>
      <c r="R11" s="35">
        <f ca="1">(((_xlfn.XLOOKUP(YEAR($B11),'Oferta Producto 1'!$B$8:$B$19,'Oferta Producto 1'!$E$8:$E$19))*$AD11)/$AB11)/24</f>
        <v>0</v>
      </c>
      <c r="S11" s="35">
        <f ca="1">(((_xlfn.XLOOKUP(YEAR($B11),'Oferta Producto 1'!$B$8:$B$19,'Oferta Producto 1'!$E$8:$E$19))*$AD11)/$AB11)/24</f>
        <v>0</v>
      </c>
      <c r="T11" s="35">
        <f ca="1">(((_xlfn.XLOOKUP(YEAR($B11),'Oferta Producto 1'!$B$8:$B$19,'Oferta Producto 1'!$E$8:$E$19))*$AD11)/$AB11)/24</f>
        <v>0</v>
      </c>
      <c r="U11" s="35">
        <f ca="1">(((_xlfn.XLOOKUP(YEAR($B11),'Oferta Producto 1'!$B$8:$B$19,'Oferta Producto 1'!$E$8:$E$19))*$AD11)/$AB11)/24</f>
        <v>0</v>
      </c>
      <c r="V11" s="35">
        <f ca="1">(((_xlfn.XLOOKUP(YEAR($B11),'Oferta Producto 1'!$B$8:$B$19,'Oferta Producto 1'!$E$8:$E$19))*$AD11)/$AB11)/24</f>
        <v>0</v>
      </c>
      <c r="W11" s="35">
        <f ca="1">(((_xlfn.XLOOKUP(YEAR($B11),'Oferta Producto 1'!$B$8:$B$19,'Oferta Producto 1'!$E$8:$E$19))*$AD11)/$AB11)/24</f>
        <v>0</v>
      </c>
      <c r="X11" s="35">
        <f ca="1">(((_xlfn.XLOOKUP(YEAR($B11),'Oferta Producto 1'!$B$8:$B$19,'Oferta Producto 1'!$E$8:$E$19))*$AD11)/$AB11)/24</f>
        <v>0</v>
      </c>
      <c r="Y11" s="35">
        <f ca="1">(((_xlfn.XLOOKUP(YEAR($B11),'Oferta Producto 1'!$B$8:$B$19,'Oferta Producto 1'!$E$8:$E$19))*$AD11)/$AB11)/24</f>
        <v>0</v>
      </c>
      <c r="Z11" s="35">
        <f ca="1">(((_xlfn.XLOOKUP(YEAR($B11),'Oferta Producto 1'!$B$8:$B$19,'Oferta Producto 1'!$E$8:$E$19))*$AD11)/$AB11)/24</f>
        <v>0</v>
      </c>
      <c r="AA11" s="35">
        <f t="shared" ca="1" si="1"/>
        <v>0</v>
      </c>
      <c r="AB11" s="28">
        <f t="shared" si="2"/>
        <v>30</v>
      </c>
      <c r="AC11" s="42">
        <f t="shared" ca="1" si="3"/>
        <v>0</v>
      </c>
      <c r="AD11" s="43">
        <v>6.3820772679126628E-2</v>
      </c>
      <c r="AE11"/>
      <c r="AF11"/>
      <c r="AG11"/>
    </row>
    <row r="12" spans="1:34" ht="15.75" thickBot="1">
      <c r="A12" s="23">
        <f t="shared" si="0"/>
        <v>2026</v>
      </c>
      <c r="B12" s="27">
        <v>46204</v>
      </c>
      <c r="C12" s="35">
        <f ca="1">(((_xlfn.XLOOKUP(YEAR($B12),'Oferta Producto 1'!$B$8:$B$19,'Oferta Producto 1'!$E$8:$E$19))*$AD12)/$AB12)/24</f>
        <v>0</v>
      </c>
      <c r="D12" s="35">
        <f ca="1">(((_xlfn.XLOOKUP(YEAR($B12),'Oferta Producto 1'!$B$8:$B$19,'Oferta Producto 1'!$E$8:$E$19))*$AD12)/$AB12)/24</f>
        <v>0</v>
      </c>
      <c r="E12" s="35">
        <f ca="1">(((_xlfn.XLOOKUP(YEAR($B12),'Oferta Producto 1'!$B$8:$B$19,'Oferta Producto 1'!$E$8:$E$19))*$AD12)/$AB12)/24</f>
        <v>0</v>
      </c>
      <c r="F12" s="35">
        <f ca="1">(((_xlfn.XLOOKUP(YEAR($B12),'Oferta Producto 1'!$B$8:$B$19,'Oferta Producto 1'!$E$8:$E$19))*$AD12)/$AB12)/24</f>
        <v>0</v>
      </c>
      <c r="G12" s="35">
        <f ca="1">(((_xlfn.XLOOKUP(YEAR($B12),'Oferta Producto 1'!$B$8:$B$19,'Oferta Producto 1'!$E$8:$E$19))*$AD12)/$AB12)/24</f>
        <v>0</v>
      </c>
      <c r="H12" s="35">
        <f ca="1">(((_xlfn.XLOOKUP(YEAR($B12),'Oferta Producto 1'!$B$8:$B$19,'Oferta Producto 1'!$E$8:$E$19))*$AD12)/$AB12)/24</f>
        <v>0</v>
      </c>
      <c r="I12" s="35">
        <f ca="1">(((_xlfn.XLOOKUP(YEAR($B12),'Oferta Producto 1'!$B$8:$B$19,'Oferta Producto 1'!$E$8:$E$19))*$AD12)/$AB12)/24</f>
        <v>0</v>
      </c>
      <c r="J12" s="35">
        <f ca="1">(((_xlfn.XLOOKUP(YEAR($B12),'Oferta Producto 1'!$B$8:$B$19,'Oferta Producto 1'!$E$8:$E$19))*$AD12)/$AB12)/24</f>
        <v>0</v>
      </c>
      <c r="K12" s="35">
        <f ca="1">(((_xlfn.XLOOKUP(YEAR($B12),'Oferta Producto 1'!$B$8:$B$19,'Oferta Producto 1'!$E$8:$E$19))*$AD12)/$AB12)/24</f>
        <v>0</v>
      </c>
      <c r="L12" s="35">
        <f ca="1">(((_xlfn.XLOOKUP(YEAR($B12),'Oferta Producto 1'!$B$8:$B$19,'Oferta Producto 1'!$E$8:$E$19))*$AD12)/$AB12)/24</f>
        <v>0</v>
      </c>
      <c r="M12" s="35">
        <f ca="1">(((_xlfn.XLOOKUP(YEAR($B12),'Oferta Producto 1'!$B$8:$B$19,'Oferta Producto 1'!$E$8:$E$19))*$AD12)/$AB12)/24</f>
        <v>0</v>
      </c>
      <c r="N12" s="35">
        <f ca="1">(((_xlfn.XLOOKUP(YEAR($B12),'Oferta Producto 1'!$B$8:$B$19,'Oferta Producto 1'!$E$8:$E$19))*$AD12)/$AB12)/24</f>
        <v>0</v>
      </c>
      <c r="O12" s="35">
        <f ca="1">(((_xlfn.XLOOKUP(YEAR($B12),'Oferta Producto 1'!$B$8:$B$19,'Oferta Producto 1'!$E$8:$E$19))*$AD12)/$AB12)/24</f>
        <v>0</v>
      </c>
      <c r="P12" s="35">
        <f ca="1">(((_xlfn.XLOOKUP(YEAR($B12),'Oferta Producto 1'!$B$8:$B$19,'Oferta Producto 1'!$E$8:$E$19))*$AD12)/$AB12)/24</f>
        <v>0</v>
      </c>
      <c r="Q12" s="35">
        <f ca="1">(((_xlfn.XLOOKUP(YEAR($B12),'Oferta Producto 1'!$B$8:$B$19,'Oferta Producto 1'!$E$8:$E$19))*$AD12)/$AB12)/24</f>
        <v>0</v>
      </c>
      <c r="R12" s="35">
        <f ca="1">(((_xlfn.XLOOKUP(YEAR($B12),'Oferta Producto 1'!$B$8:$B$19,'Oferta Producto 1'!$E$8:$E$19))*$AD12)/$AB12)/24</f>
        <v>0</v>
      </c>
      <c r="S12" s="35">
        <f ca="1">(((_xlfn.XLOOKUP(YEAR($B12),'Oferta Producto 1'!$B$8:$B$19,'Oferta Producto 1'!$E$8:$E$19))*$AD12)/$AB12)/24</f>
        <v>0</v>
      </c>
      <c r="T12" s="35">
        <f ca="1">(((_xlfn.XLOOKUP(YEAR($B12),'Oferta Producto 1'!$B$8:$B$19,'Oferta Producto 1'!$E$8:$E$19))*$AD12)/$AB12)/24</f>
        <v>0</v>
      </c>
      <c r="U12" s="35">
        <f ca="1">(((_xlfn.XLOOKUP(YEAR($B12),'Oferta Producto 1'!$B$8:$B$19,'Oferta Producto 1'!$E$8:$E$19))*$AD12)/$AB12)/24</f>
        <v>0</v>
      </c>
      <c r="V12" s="35">
        <f ca="1">(((_xlfn.XLOOKUP(YEAR($B12),'Oferta Producto 1'!$B$8:$B$19,'Oferta Producto 1'!$E$8:$E$19))*$AD12)/$AB12)/24</f>
        <v>0</v>
      </c>
      <c r="W12" s="35">
        <f ca="1">(((_xlfn.XLOOKUP(YEAR($B12),'Oferta Producto 1'!$B$8:$B$19,'Oferta Producto 1'!$E$8:$E$19))*$AD12)/$AB12)/24</f>
        <v>0</v>
      </c>
      <c r="X12" s="35">
        <f ca="1">(((_xlfn.XLOOKUP(YEAR($B12),'Oferta Producto 1'!$B$8:$B$19,'Oferta Producto 1'!$E$8:$E$19))*$AD12)/$AB12)/24</f>
        <v>0</v>
      </c>
      <c r="Y12" s="35">
        <f ca="1">(((_xlfn.XLOOKUP(YEAR($B12),'Oferta Producto 1'!$B$8:$B$19,'Oferta Producto 1'!$E$8:$E$19))*$AD12)/$AB12)/24</f>
        <v>0</v>
      </c>
      <c r="Z12" s="35">
        <f ca="1">(((_xlfn.XLOOKUP(YEAR($B12),'Oferta Producto 1'!$B$8:$B$19,'Oferta Producto 1'!$E$8:$E$19))*$AD12)/$AB12)/24</f>
        <v>0</v>
      </c>
      <c r="AA12" s="35">
        <f t="shared" ca="1" si="1"/>
        <v>0</v>
      </c>
      <c r="AB12" s="28">
        <f t="shared" si="2"/>
        <v>31</v>
      </c>
      <c r="AC12" s="42">
        <f t="shared" ca="1" si="3"/>
        <v>0</v>
      </c>
      <c r="AD12" s="43">
        <v>6.3477989271648202E-2</v>
      </c>
      <c r="AE12"/>
      <c r="AF12"/>
      <c r="AG12"/>
    </row>
    <row r="13" spans="1:34" ht="15.75" thickBot="1">
      <c r="A13" s="23">
        <f t="shared" si="0"/>
        <v>2026</v>
      </c>
      <c r="B13" s="27">
        <v>46235</v>
      </c>
      <c r="C13" s="35">
        <f ca="1">(((_xlfn.XLOOKUP(YEAR($B13),'Oferta Producto 1'!$B$8:$B$19,'Oferta Producto 1'!$E$8:$E$19))*$AD13)/$AB13)/24</f>
        <v>0</v>
      </c>
      <c r="D13" s="35">
        <f ca="1">(((_xlfn.XLOOKUP(YEAR($B13),'Oferta Producto 1'!$B$8:$B$19,'Oferta Producto 1'!$E$8:$E$19))*$AD13)/$AB13)/24</f>
        <v>0</v>
      </c>
      <c r="E13" s="35">
        <f ca="1">(((_xlfn.XLOOKUP(YEAR($B13),'Oferta Producto 1'!$B$8:$B$19,'Oferta Producto 1'!$E$8:$E$19))*$AD13)/$AB13)/24</f>
        <v>0</v>
      </c>
      <c r="F13" s="35">
        <f ca="1">(((_xlfn.XLOOKUP(YEAR($B13),'Oferta Producto 1'!$B$8:$B$19,'Oferta Producto 1'!$E$8:$E$19))*$AD13)/$AB13)/24</f>
        <v>0</v>
      </c>
      <c r="G13" s="35">
        <f ca="1">(((_xlfn.XLOOKUP(YEAR($B13),'Oferta Producto 1'!$B$8:$B$19,'Oferta Producto 1'!$E$8:$E$19))*$AD13)/$AB13)/24</f>
        <v>0</v>
      </c>
      <c r="H13" s="35">
        <f ca="1">(((_xlfn.XLOOKUP(YEAR($B13),'Oferta Producto 1'!$B$8:$B$19,'Oferta Producto 1'!$E$8:$E$19))*$AD13)/$AB13)/24</f>
        <v>0</v>
      </c>
      <c r="I13" s="35">
        <f ca="1">(((_xlfn.XLOOKUP(YEAR($B13),'Oferta Producto 1'!$B$8:$B$19,'Oferta Producto 1'!$E$8:$E$19))*$AD13)/$AB13)/24</f>
        <v>0</v>
      </c>
      <c r="J13" s="35">
        <f ca="1">(((_xlfn.XLOOKUP(YEAR($B13),'Oferta Producto 1'!$B$8:$B$19,'Oferta Producto 1'!$E$8:$E$19))*$AD13)/$AB13)/24</f>
        <v>0</v>
      </c>
      <c r="K13" s="35">
        <f ca="1">(((_xlfn.XLOOKUP(YEAR($B13),'Oferta Producto 1'!$B$8:$B$19,'Oferta Producto 1'!$E$8:$E$19))*$AD13)/$AB13)/24</f>
        <v>0</v>
      </c>
      <c r="L13" s="35">
        <f ca="1">(((_xlfn.XLOOKUP(YEAR($B13),'Oferta Producto 1'!$B$8:$B$19,'Oferta Producto 1'!$E$8:$E$19))*$AD13)/$AB13)/24</f>
        <v>0</v>
      </c>
      <c r="M13" s="35">
        <f ca="1">(((_xlfn.XLOOKUP(YEAR($B13),'Oferta Producto 1'!$B$8:$B$19,'Oferta Producto 1'!$E$8:$E$19))*$AD13)/$AB13)/24</f>
        <v>0</v>
      </c>
      <c r="N13" s="35">
        <f ca="1">(((_xlfn.XLOOKUP(YEAR($B13),'Oferta Producto 1'!$B$8:$B$19,'Oferta Producto 1'!$E$8:$E$19))*$AD13)/$AB13)/24</f>
        <v>0</v>
      </c>
      <c r="O13" s="35">
        <f ca="1">(((_xlfn.XLOOKUP(YEAR($B13),'Oferta Producto 1'!$B$8:$B$19,'Oferta Producto 1'!$E$8:$E$19))*$AD13)/$AB13)/24</f>
        <v>0</v>
      </c>
      <c r="P13" s="35">
        <f ca="1">(((_xlfn.XLOOKUP(YEAR($B13),'Oferta Producto 1'!$B$8:$B$19,'Oferta Producto 1'!$E$8:$E$19))*$AD13)/$AB13)/24</f>
        <v>0</v>
      </c>
      <c r="Q13" s="35">
        <f ca="1">(((_xlfn.XLOOKUP(YEAR($B13),'Oferta Producto 1'!$B$8:$B$19,'Oferta Producto 1'!$E$8:$E$19))*$AD13)/$AB13)/24</f>
        <v>0</v>
      </c>
      <c r="R13" s="35">
        <f ca="1">(((_xlfn.XLOOKUP(YEAR($B13),'Oferta Producto 1'!$B$8:$B$19,'Oferta Producto 1'!$E$8:$E$19))*$AD13)/$AB13)/24</f>
        <v>0</v>
      </c>
      <c r="S13" s="35">
        <f ca="1">(((_xlfn.XLOOKUP(YEAR($B13),'Oferta Producto 1'!$B$8:$B$19,'Oferta Producto 1'!$E$8:$E$19))*$AD13)/$AB13)/24</f>
        <v>0</v>
      </c>
      <c r="T13" s="35">
        <f ca="1">(((_xlfn.XLOOKUP(YEAR($B13),'Oferta Producto 1'!$B$8:$B$19,'Oferta Producto 1'!$E$8:$E$19))*$AD13)/$AB13)/24</f>
        <v>0</v>
      </c>
      <c r="U13" s="35">
        <f ca="1">(((_xlfn.XLOOKUP(YEAR($B13),'Oferta Producto 1'!$B$8:$B$19,'Oferta Producto 1'!$E$8:$E$19))*$AD13)/$AB13)/24</f>
        <v>0</v>
      </c>
      <c r="V13" s="35">
        <f ca="1">(((_xlfn.XLOOKUP(YEAR($B13),'Oferta Producto 1'!$B$8:$B$19,'Oferta Producto 1'!$E$8:$E$19))*$AD13)/$AB13)/24</f>
        <v>0</v>
      </c>
      <c r="W13" s="35">
        <f ca="1">(((_xlfn.XLOOKUP(YEAR($B13),'Oferta Producto 1'!$B$8:$B$19,'Oferta Producto 1'!$E$8:$E$19))*$AD13)/$AB13)/24</f>
        <v>0</v>
      </c>
      <c r="X13" s="35">
        <f ca="1">(((_xlfn.XLOOKUP(YEAR($B13),'Oferta Producto 1'!$B$8:$B$19,'Oferta Producto 1'!$E$8:$E$19))*$AD13)/$AB13)/24</f>
        <v>0</v>
      </c>
      <c r="Y13" s="35">
        <f ca="1">(((_xlfn.XLOOKUP(YEAR($B13),'Oferta Producto 1'!$B$8:$B$19,'Oferta Producto 1'!$E$8:$E$19))*$AD13)/$AB13)/24</f>
        <v>0</v>
      </c>
      <c r="Z13" s="35">
        <f ca="1">(((_xlfn.XLOOKUP(YEAR($B13),'Oferta Producto 1'!$B$8:$B$19,'Oferta Producto 1'!$E$8:$E$19))*$AD13)/$AB13)/24</f>
        <v>0</v>
      </c>
      <c r="AA13" s="35">
        <f t="shared" ca="1" si="1"/>
        <v>0</v>
      </c>
      <c r="AB13" s="28">
        <f t="shared" si="2"/>
        <v>31</v>
      </c>
      <c r="AC13" s="42">
        <f t="shared" ca="1" si="3"/>
        <v>0</v>
      </c>
      <c r="AD13" s="43">
        <v>7.9291064342348117E-2</v>
      </c>
      <c r="AE13"/>
      <c r="AF13"/>
      <c r="AG13"/>
    </row>
    <row r="14" spans="1:34" ht="15.75" thickBot="1">
      <c r="A14" s="23">
        <f t="shared" si="0"/>
        <v>2026</v>
      </c>
      <c r="B14" s="27">
        <v>46266</v>
      </c>
      <c r="C14" s="35">
        <f ca="1">(((_xlfn.XLOOKUP(YEAR($B14),'Oferta Producto 1'!$B$8:$B$19,'Oferta Producto 1'!$E$8:$E$19))*$AD14)/$AB14)/24</f>
        <v>0</v>
      </c>
      <c r="D14" s="35">
        <f ca="1">(((_xlfn.XLOOKUP(YEAR($B14),'Oferta Producto 1'!$B$8:$B$19,'Oferta Producto 1'!$E$8:$E$19))*$AD14)/$AB14)/24</f>
        <v>0</v>
      </c>
      <c r="E14" s="35">
        <f ca="1">(((_xlfn.XLOOKUP(YEAR($B14),'Oferta Producto 1'!$B$8:$B$19,'Oferta Producto 1'!$E$8:$E$19))*$AD14)/$AB14)/24</f>
        <v>0</v>
      </c>
      <c r="F14" s="35">
        <f ca="1">(((_xlfn.XLOOKUP(YEAR($B14),'Oferta Producto 1'!$B$8:$B$19,'Oferta Producto 1'!$E$8:$E$19))*$AD14)/$AB14)/24</f>
        <v>0</v>
      </c>
      <c r="G14" s="35">
        <f ca="1">(((_xlfn.XLOOKUP(YEAR($B14),'Oferta Producto 1'!$B$8:$B$19,'Oferta Producto 1'!$E$8:$E$19))*$AD14)/$AB14)/24</f>
        <v>0</v>
      </c>
      <c r="H14" s="35">
        <f ca="1">(((_xlfn.XLOOKUP(YEAR($B14),'Oferta Producto 1'!$B$8:$B$19,'Oferta Producto 1'!$E$8:$E$19))*$AD14)/$AB14)/24</f>
        <v>0</v>
      </c>
      <c r="I14" s="35">
        <f ca="1">(((_xlfn.XLOOKUP(YEAR($B14),'Oferta Producto 1'!$B$8:$B$19,'Oferta Producto 1'!$E$8:$E$19))*$AD14)/$AB14)/24</f>
        <v>0</v>
      </c>
      <c r="J14" s="35">
        <f ca="1">(((_xlfn.XLOOKUP(YEAR($B14),'Oferta Producto 1'!$B$8:$B$19,'Oferta Producto 1'!$E$8:$E$19))*$AD14)/$AB14)/24</f>
        <v>0</v>
      </c>
      <c r="K14" s="35">
        <f ca="1">(((_xlfn.XLOOKUP(YEAR($B14),'Oferta Producto 1'!$B$8:$B$19,'Oferta Producto 1'!$E$8:$E$19))*$AD14)/$AB14)/24</f>
        <v>0</v>
      </c>
      <c r="L14" s="35">
        <f ca="1">(((_xlfn.XLOOKUP(YEAR($B14),'Oferta Producto 1'!$B$8:$B$19,'Oferta Producto 1'!$E$8:$E$19))*$AD14)/$AB14)/24</f>
        <v>0</v>
      </c>
      <c r="M14" s="35">
        <f ca="1">(((_xlfn.XLOOKUP(YEAR($B14),'Oferta Producto 1'!$B$8:$B$19,'Oferta Producto 1'!$E$8:$E$19))*$AD14)/$AB14)/24</f>
        <v>0</v>
      </c>
      <c r="N14" s="35">
        <f ca="1">(((_xlfn.XLOOKUP(YEAR($B14),'Oferta Producto 1'!$B$8:$B$19,'Oferta Producto 1'!$E$8:$E$19))*$AD14)/$AB14)/24</f>
        <v>0</v>
      </c>
      <c r="O14" s="35">
        <f ca="1">(((_xlfn.XLOOKUP(YEAR($B14),'Oferta Producto 1'!$B$8:$B$19,'Oferta Producto 1'!$E$8:$E$19))*$AD14)/$AB14)/24</f>
        <v>0</v>
      </c>
      <c r="P14" s="35">
        <f ca="1">(((_xlfn.XLOOKUP(YEAR($B14),'Oferta Producto 1'!$B$8:$B$19,'Oferta Producto 1'!$E$8:$E$19))*$AD14)/$AB14)/24</f>
        <v>0</v>
      </c>
      <c r="Q14" s="35">
        <f ca="1">(((_xlfn.XLOOKUP(YEAR($B14),'Oferta Producto 1'!$B$8:$B$19,'Oferta Producto 1'!$E$8:$E$19))*$AD14)/$AB14)/24</f>
        <v>0</v>
      </c>
      <c r="R14" s="35">
        <f ca="1">(((_xlfn.XLOOKUP(YEAR($B14),'Oferta Producto 1'!$B$8:$B$19,'Oferta Producto 1'!$E$8:$E$19))*$AD14)/$AB14)/24</f>
        <v>0</v>
      </c>
      <c r="S14" s="35">
        <f ca="1">(((_xlfn.XLOOKUP(YEAR($B14),'Oferta Producto 1'!$B$8:$B$19,'Oferta Producto 1'!$E$8:$E$19))*$AD14)/$AB14)/24</f>
        <v>0</v>
      </c>
      <c r="T14" s="35">
        <f ca="1">(((_xlfn.XLOOKUP(YEAR($B14),'Oferta Producto 1'!$B$8:$B$19,'Oferta Producto 1'!$E$8:$E$19))*$AD14)/$AB14)/24</f>
        <v>0</v>
      </c>
      <c r="U14" s="35">
        <f ca="1">(((_xlfn.XLOOKUP(YEAR($B14),'Oferta Producto 1'!$B$8:$B$19,'Oferta Producto 1'!$E$8:$E$19))*$AD14)/$AB14)/24</f>
        <v>0</v>
      </c>
      <c r="V14" s="35">
        <f ca="1">(((_xlfn.XLOOKUP(YEAR($B14),'Oferta Producto 1'!$B$8:$B$19,'Oferta Producto 1'!$E$8:$E$19))*$AD14)/$AB14)/24</f>
        <v>0</v>
      </c>
      <c r="W14" s="35">
        <f ca="1">(((_xlfn.XLOOKUP(YEAR($B14),'Oferta Producto 1'!$B$8:$B$19,'Oferta Producto 1'!$E$8:$E$19))*$AD14)/$AB14)/24</f>
        <v>0</v>
      </c>
      <c r="X14" s="35">
        <f ca="1">(((_xlfn.XLOOKUP(YEAR($B14),'Oferta Producto 1'!$B$8:$B$19,'Oferta Producto 1'!$E$8:$E$19))*$AD14)/$AB14)/24</f>
        <v>0</v>
      </c>
      <c r="Y14" s="35">
        <f ca="1">(((_xlfn.XLOOKUP(YEAR($B14),'Oferta Producto 1'!$B$8:$B$19,'Oferta Producto 1'!$E$8:$E$19))*$AD14)/$AB14)/24</f>
        <v>0</v>
      </c>
      <c r="Z14" s="35">
        <f ca="1">(((_xlfn.XLOOKUP(YEAR($B14),'Oferta Producto 1'!$B$8:$B$19,'Oferta Producto 1'!$E$8:$E$19))*$AD14)/$AB14)/24</f>
        <v>0</v>
      </c>
      <c r="AA14" s="35">
        <f t="shared" ca="1" si="1"/>
        <v>0</v>
      </c>
      <c r="AB14" s="28">
        <f t="shared" si="2"/>
        <v>30</v>
      </c>
      <c r="AC14" s="42">
        <f t="shared" ca="1" si="3"/>
        <v>0</v>
      </c>
      <c r="AD14" s="43">
        <v>0.12824536932837552</v>
      </c>
      <c r="AE14"/>
      <c r="AF14"/>
      <c r="AG14"/>
    </row>
    <row r="15" spans="1:34" ht="15.75" thickBot="1">
      <c r="A15" s="23">
        <f t="shared" si="0"/>
        <v>2026</v>
      </c>
      <c r="B15" s="27">
        <v>46296</v>
      </c>
      <c r="C15" s="35">
        <f ca="1">(((_xlfn.XLOOKUP(YEAR($B15),'Oferta Producto 1'!$B$8:$B$19,'Oferta Producto 1'!$E$8:$E$19))*$AD15)/$AB15)/24</f>
        <v>0</v>
      </c>
      <c r="D15" s="35">
        <f ca="1">(((_xlfn.XLOOKUP(YEAR($B15),'Oferta Producto 1'!$B$8:$B$19,'Oferta Producto 1'!$E$8:$E$19))*$AD15)/$AB15)/24</f>
        <v>0</v>
      </c>
      <c r="E15" s="35">
        <f ca="1">(((_xlfn.XLOOKUP(YEAR($B15),'Oferta Producto 1'!$B$8:$B$19,'Oferta Producto 1'!$E$8:$E$19))*$AD15)/$AB15)/24</f>
        <v>0</v>
      </c>
      <c r="F15" s="35">
        <f ca="1">(((_xlfn.XLOOKUP(YEAR($B15),'Oferta Producto 1'!$B$8:$B$19,'Oferta Producto 1'!$E$8:$E$19))*$AD15)/$AB15)/24</f>
        <v>0</v>
      </c>
      <c r="G15" s="35">
        <f ca="1">(((_xlfn.XLOOKUP(YEAR($B15),'Oferta Producto 1'!$B$8:$B$19,'Oferta Producto 1'!$E$8:$E$19))*$AD15)/$AB15)/24</f>
        <v>0</v>
      </c>
      <c r="H15" s="35">
        <f ca="1">(((_xlfn.XLOOKUP(YEAR($B15),'Oferta Producto 1'!$B$8:$B$19,'Oferta Producto 1'!$E$8:$E$19))*$AD15)/$AB15)/24</f>
        <v>0</v>
      </c>
      <c r="I15" s="35">
        <f ca="1">(((_xlfn.XLOOKUP(YEAR($B15),'Oferta Producto 1'!$B$8:$B$19,'Oferta Producto 1'!$E$8:$E$19))*$AD15)/$AB15)/24</f>
        <v>0</v>
      </c>
      <c r="J15" s="35">
        <f ca="1">(((_xlfn.XLOOKUP(YEAR($B15),'Oferta Producto 1'!$B$8:$B$19,'Oferta Producto 1'!$E$8:$E$19))*$AD15)/$AB15)/24</f>
        <v>0</v>
      </c>
      <c r="K15" s="35">
        <f ca="1">(((_xlfn.XLOOKUP(YEAR($B15),'Oferta Producto 1'!$B$8:$B$19,'Oferta Producto 1'!$E$8:$E$19))*$AD15)/$AB15)/24</f>
        <v>0</v>
      </c>
      <c r="L15" s="35">
        <f ca="1">(((_xlfn.XLOOKUP(YEAR($B15),'Oferta Producto 1'!$B$8:$B$19,'Oferta Producto 1'!$E$8:$E$19))*$AD15)/$AB15)/24</f>
        <v>0</v>
      </c>
      <c r="M15" s="35">
        <f ca="1">(((_xlfn.XLOOKUP(YEAR($B15),'Oferta Producto 1'!$B$8:$B$19,'Oferta Producto 1'!$E$8:$E$19))*$AD15)/$AB15)/24</f>
        <v>0</v>
      </c>
      <c r="N15" s="35">
        <f ca="1">(((_xlfn.XLOOKUP(YEAR($B15),'Oferta Producto 1'!$B$8:$B$19,'Oferta Producto 1'!$E$8:$E$19))*$AD15)/$AB15)/24</f>
        <v>0</v>
      </c>
      <c r="O15" s="35">
        <f ca="1">(((_xlfn.XLOOKUP(YEAR($B15),'Oferta Producto 1'!$B$8:$B$19,'Oferta Producto 1'!$E$8:$E$19))*$AD15)/$AB15)/24</f>
        <v>0</v>
      </c>
      <c r="P15" s="35">
        <f ca="1">(((_xlfn.XLOOKUP(YEAR($B15),'Oferta Producto 1'!$B$8:$B$19,'Oferta Producto 1'!$E$8:$E$19))*$AD15)/$AB15)/24</f>
        <v>0</v>
      </c>
      <c r="Q15" s="35">
        <f ca="1">(((_xlfn.XLOOKUP(YEAR($B15),'Oferta Producto 1'!$B$8:$B$19,'Oferta Producto 1'!$E$8:$E$19))*$AD15)/$AB15)/24</f>
        <v>0</v>
      </c>
      <c r="R15" s="35">
        <f ca="1">(((_xlfn.XLOOKUP(YEAR($B15),'Oferta Producto 1'!$B$8:$B$19,'Oferta Producto 1'!$E$8:$E$19))*$AD15)/$AB15)/24</f>
        <v>0</v>
      </c>
      <c r="S15" s="35">
        <f ca="1">(((_xlfn.XLOOKUP(YEAR($B15),'Oferta Producto 1'!$B$8:$B$19,'Oferta Producto 1'!$E$8:$E$19))*$AD15)/$AB15)/24</f>
        <v>0</v>
      </c>
      <c r="T15" s="35">
        <f ca="1">(((_xlfn.XLOOKUP(YEAR($B15),'Oferta Producto 1'!$B$8:$B$19,'Oferta Producto 1'!$E$8:$E$19))*$AD15)/$AB15)/24</f>
        <v>0</v>
      </c>
      <c r="U15" s="35">
        <f ca="1">(((_xlfn.XLOOKUP(YEAR($B15),'Oferta Producto 1'!$B$8:$B$19,'Oferta Producto 1'!$E$8:$E$19))*$AD15)/$AB15)/24</f>
        <v>0</v>
      </c>
      <c r="V15" s="35">
        <f ca="1">(((_xlfn.XLOOKUP(YEAR($B15),'Oferta Producto 1'!$B$8:$B$19,'Oferta Producto 1'!$E$8:$E$19))*$AD15)/$AB15)/24</f>
        <v>0</v>
      </c>
      <c r="W15" s="35">
        <f ca="1">(((_xlfn.XLOOKUP(YEAR($B15),'Oferta Producto 1'!$B$8:$B$19,'Oferta Producto 1'!$E$8:$E$19))*$AD15)/$AB15)/24</f>
        <v>0</v>
      </c>
      <c r="X15" s="35">
        <f ca="1">(((_xlfn.XLOOKUP(YEAR($B15),'Oferta Producto 1'!$B$8:$B$19,'Oferta Producto 1'!$E$8:$E$19))*$AD15)/$AB15)/24</f>
        <v>0</v>
      </c>
      <c r="Y15" s="35">
        <f ca="1">(((_xlfn.XLOOKUP(YEAR($B15),'Oferta Producto 1'!$B$8:$B$19,'Oferta Producto 1'!$E$8:$E$19))*$AD15)/$AB15)/24</f>
        <v>0</v>
      </c>
      <c r="Z15" s="35">
        <f ca="1">(((_xlfn.XLOOKUP(YEAR($B15),'Oferta Producto 1'!$B$8:$B$19,'Oferta Producto 1'!$E$8:$E$19))*$AD15)/$AB15)/24</f>
        <v>0</v>
      </c>
      <c r="AA15" s="35">
        <f t="shared" ca="1" si="1"/>
        <v>0</v>
      </c>
      <c r="AB15" s="28">
        <f t="shared" si="2"/>
        <v>31</v>
      </c>
      <c r="AC15" s="42">
        <f t="shared" ca="1" si="3"/>
        <v>0</v>
      </c>
      <c r="AD15" s="43">
        <v>0.12545035061942139</v>
      </c>
      <c r="AE15"/>
      <c r="AF15"/>
      <c r="AG15"/>
    </row>
    <row r="16" spans="1:34" ht="15.75" thickBot="1">
      <c r="A16" s="23">
        <f t="shared" si="0"/>
        <v>2026</v>
      </c>
      <c r="B16" s="27">
        <v>46327</v>
      </c>
      <c r="C16" s="35">
        <f ca="1">(((_xlfn.XLOOKUP(YEAR($B16),'Oferta Producto 1'!$B$8:$B$19,'Oferta Producto 1'!$E$8:$E$19))*$AD16)/$AB16)/24</f>
        <v>0</v>
      </c>
      <c r="D16" s="35">
        <f ca="1">(((_xlfn.XLOOKUP(YEAR($B16),'Oferta Producto 1'!$B$8:$B$19,'Oferta Producto 1'!$E$8:$E$19))*$AD16)/$AB16)/24</f>
        <v>0</v>
      </c>
      <c r="E16" s="35">
        <f ca="1">(((_xlfn.XLOOKUP(YEAR($B16),'Oferta Producto 1'!$B$8:$B$19,'Oferta Producto 1'!$E$8:$E$19))*$AD16)/$AB16)/24</f>
        <v>0</v>
      </c>
      <c r="F16" s="35">
        <f ca="1">(((_xlfn.XLOOKUP(YEAR($B16),'Oferta Producto 1'!$B$8:$B$19,'Oferta Producto 1'!$E$8:$E$19))*$AD16)/$AB16)/24</f>
        <v>0</v>
      </c>
      <c r="G16" s="35">
        <f ca="1">(((_xlfn.XLOOKUP(YEAR($B16),'Oferta Producto 1'!$B$8:$B$19,'Oferta Producto 1'!$E$8:$E$19))*$AD16)/$AB16)/24</f>
        <v>0</v>
      </c>
      <c r="H16" s="35">
        <f ca="1">(((_xlfn.XLOOKUP(YEAR($B16),'Oferta Producto 1'!$B$8:$B$19,'Oferta Producto 1'!$E$8:$E$19))*$AD16)/$AB16)/24</f>
        <v>0</v>
      </c>
      <c r="I16" s="35">
        <f ca="1">(((_xlfn.XLOOKUP(YEAR($B16),'Oferta Producto 1'!$B$8:$B$19,'Oferta Producto 1'!$E$8:$E$19))*$AD16)/$AB16)/24</f>
        <v>0</v>
      </c>
      <c r="J16" s="35">
        <f ca="1">(((_xlfn.XLOOKUP(YEAR($B16),'Oferta Producto 1'!$B$8:$B$19,'Oferta Producto 1'!$E$8:$E$19))*$AD16)/$AB16)/24</f>
        <v>0</v>
      </c>
      <c r="K16" s="35">
        <f ca="1">(((_xlfn.XLOOKUP(YEAR($B16),'Oferta Producto 1'!$B$8:$B$19,'Oferta Producto 1'!$E$8:$E$19))*$AD16)/$AB16)/24</f>
        <v>0</v>
      </c>
      <c r="L16" s="35">
        <f ca="1">(((_xlfn.XLOOKUP(YEAR($B16),'Oferta Producto 1'!$B$8:$B$19,'Oferta Producto 1'!$E$8:$E$19))*$AD16)/$AB16)/24</f>
        <v>0</v>
      </c>
      <c r="M16" s="35">
        <f ca="1">(((_xlfn.XLOOKUP(YEAR($B16),'Oferta Producto 1'!$B$8:$B$19,'Oferta Producto 1'!$E$8:$E$19))*$AD16)/$AB16)/24</f>
        <v>0</v>
      </c>
      <c r="N16" s="35">
        <f ca="1">(((_xlfn.XLOOKUP(YEAR($B16),'Oferta Producto 1'!$B$8:$B$19,'Oferta Producto 1'!$E$8:$E$19))*$AD16)/$AB16)/24</f>
        <v>0</v>
      </c>
      <c r="O16" s="35">
        <f ca="1">(((_xlfn.XLOOKUP(YEAR($B16),'Oferta Producto 1'!$B$8:$B$19,'Oferta Producto 1'!$E$8:$E$19))*$AD16)/$AB16)/24</f>
        <v>0</v>
      </c>
      <c r="P16" s="35">
        <f ca="1">(((_xlfn.XLOOKUP(YEAR($B16),'Oferta Producto 1'!$B$8:$B$19,'Oferta Producto 1'!$E$8:$E$19))*$AD16)/$AB16)/24</f>
        <v>0</v>
      </c>
      <c r="Q16" s="35">
        <f ca="1">(((_xlfn.XLOOKUP(YEAR($B16),'Oferta Producto 1'!$B$8:$B$19,'Oferta Producto 1'!$E$8:$E$19))*$AD16)/$AB16)/24</f>
        <v>0</v>
      </c>
      <c r="R16" s="35">
        <f ca="1">(((_xlfn.XLOOKUP(YEAR($B16),'Oferta Producto 1'!$B$8:$B$19,'Oferta Producto 1'!$E$8:$E$19))*$AD16)/$AB16)/24</f>
        <v>0</v>
      </c>
      <c r="S16" s="35">
        <f ca="1">(((_xlfn.XLOOKUP(YEAR($B16),'Oferta Producto 1'!$B$8:$B$19,'Oferta Producto 1'!$E$8:$E$19))*$AD16)/$AB16)/24</f>
        <v>0</v>
      </c>
      <c r="T16" s="35">
        <f ca="1">(((_xlfn.XLOOKUP(YEAR($B16),'Oferta Producto 1'!$B$8:$B$19,'Oferta Producto 1'!$E$8:$E$19))*$AD16)/$AB16)/24</f>
        <v>0</v>
      </c>
      <c r="U16" s="35">
        <f ca="1">(((_xlfn.XLOOKUP(YEAR($B16),'Oferta Producto 1'!$B$8:$B$19,'Oferta Producto 1'!$E$8:$E$19))*$AD16)/$AB16)/24</f>
        <v>0</v>
      </c>
      <c r="V16" s="35">
        <f ca="1">(((_xlfn.XLOOKUP(YEAR($B16),'Oferta Producto 1'!$B$8:$B$19,'Oferta Producto 1'!$E$8:$E$19))*$AD16)/$AB16)/24</f>
        <v>0</v>
      </c>
      <c r="W16" s="35">
        <f ca="1">(((_xlfn.XLOOKUP(YEAR($B16),'Oferta Producto 1'!$B$8:$B$19,'Oferta Producto 1'!$E$8:$E$19))*$AD16)/$AB16)/24</f>
        <v>0</v>
      </c>
      <c r="X16" s="35">
        <f ca="1">(((_xlfn.XLOOKUP(YEAR($B16),'Oferta Producto 1'!$B$8:$B$19,'Oferta Producto 1'!$E$8:$E$19))*$AD16)/$AB16)/24</f>
        <v>0</v>
      </c>
      <c r="Y16" s="35">
        <f ca="1">(((_xlfn.XLOOKUP(YEAR($B16),'Oferta Producto 1'!$B$8:$B$19,'Oferta Producto 1'!$E$8:$E$19))*$AD16)/$AB16)/24</f>
        <v>0</v>
      </c>
      <c r="Z16" s="35">
        <f ca="1">(((_xlfn.XLOOKUP(YEAR($B16),'Oferta Producto 1'!$B$8:$B$19,'Oferta Producto 1'!$E$8:$E$19))*$AD16)/$AB16)/24</f>
        <v>0</v>
      </c>
      <c r="AA16" s="35">
        <f t="shared" ca="1" si="1"/>
        <v>0</v>
      </c>
      <c r="AB16" s="28">
        <f t="shared" si="2"/>
        <v>30</v>
      </c>
      <c r="AC16" s="42">
        <f t="shared" ca="1" si="3"/>
        <v>0</v>
      </c>
      <c r="AD16" s="43">
        <v>0.12824536932837552</v>
      </c>
      <c r="AE16"/>
      <c r="AF16"/>
      <c r="AG16"/>
    </row>
    <row r="17" spans="1:33" ht="15.75" thickBot="1">
      <c r="A17" s="23">
        <f t="shared" si="0"/>
        <v>2026</v>
      </c>
      <c r="B17" s="27">
        <v>46357</v>
      </c>
      <c r="C17" s="35">
        <f ca="1">(((_xlfn.XLOOKUP(YEAR($B17),'Oferta Producto 1'!$B$8:$B$19,'Oferta Producto 1'!$E$8:$E$19))*$AD17)/$AB17)/24</f>
        <v>0</v>
      </c>
      <c r="D17" s="35">
        <f ca="1">(((_xlfn.XLOOKUP(YEAR($B17),'Oferta Producto 1'!$B$8:$B$19,'Oferta Producto 1'!$E$8:$E$19))*$AD17)/$AB17)/24</f>
        <v>0</v>
      </c>
      <c r="E17" s="35">
        <f ca="1">(((_xlfn.XLOOKUP(YEAR($B17),'Oferta Producto 1'!$B$8:$B$19,'Oferta Producto 1'!$E$8:$E$19))*$AD17)/$AB17)/24</f>
        <v>0</v>
      </c>
      <c r="F17" s="35">
        <f ca="1">(((_xlfn.XLOOKUP(YEAR($B17),'Oferta Producto 1'!$B$8:$B$19,'Oferta Producto 1'!$E$8:$E$19))*$AD17)/$AB17)/24</f>
        <v>0</v>
      </c>
      <c r="G17" s="35">
        <f ca="1">(((_xlfn.XLOOKUP(YEAR($B17),'Oferta Producto 1'!$B$8:$B$19,'Oferta Producto 1'!$E$8:$E$19))*$AD17)/$AB17)/24</f>
        <v>0</v>
      </c>
      <c r="H17" s="35">
        <f ca="1">(((_xlfn.XLOOKUP(YEAR($B17),'Oferta Producto 1'!$B$8:$B$19,'Oferta Producto 1'!$E$8:$E$19))*$AD17)/$AB17)/24</f>
        <v>0</v>
      </c>
      <c r="I17" s="35">
        <f ca="1">(((_xlfn.XLOOKUP(YEAR($B17),'Oferta Producto 1'!$B$8:$B$19,'Oferta Producto 1'!$E$8:$E$19))*$AD17)/$AB17)/24</f>
        <v>0</v>
      </c>
      <c r="J17" s="35">
        <f ca="1">(((_xlfn.XLOOKUP(YEAR($B17),'Oferta Producto 1'!$B$8:$B$19,'Oferta Producto 1'!$E$8:$E$19))*$AD17)/$AB17)/24</f>
        <v>0</v>
      </c>
      <c r="K17" s="35">
        <f ca="1">(((_xlfn.XLOOKUP(YEAR($B17),'Oferta Producto 1'!$B$8:$B$19,'Oferta Producto 1'!$E$8:$E$19))*$AD17)/$AB17)/24</f>
        <v>0</v>
      </c>
      <c r="L17" s="35">
        <f ca="1">(((_xlfn.XLOOKUP(YEAR($B17),'Oferta Producto 1'!$B$8:$B$19,'Oferta Producto 1'!$E$8:$E$19))*$AD17)/$AB17)/24</f>
        <v>0</v>
      </c>
      <c r="M17" s="35">
        <f ca="1">(((_xlfn.XLOOKUP(YEAR($B17),'Oferta Producto 1'!$B$8:$B$19,'Oferta Producto 1'!$E$8:$E$19))*$AD17)/$AB17)/24</f>
        <v>0</v>
      </c>
      <c r="N17" s="35">
        <f ca="1">(((_xlfn.XLOOKUP(YEAR($B17),'Oferta Producto 1'!$B$8:$B$19,'Oferta Producto 1'!$E$8:$E$19))*$AD17)/$AB17)/24</f>
        <v>0</v>
      </c>
      <c r="O17" s="35">
        <f ca="1">(((_xlfn.XLOOKUP(YEAR($B17),'Oferta Producto 1'!$B$8:$B$19,'Oferta Producto 1'!$E$8:$E$19))*$AD17)/$AB17)/24</f>
        <v>0</v>
      </c>
      <c r="P17" s="35">
        <f ca="1">(((_xlfn.XLOOKUP(YEAR($B17),'Oferta Producto 1'!$B$8:$B$19,'Oferta Producto 1'!$E$8:$E$19))*$AD17)/$AB17)/24</f>
        <v>0</v>
      </c>
      <c r="Q17" s="35">
        <f ca="1">(((_xlfn.XLOOKUP(YEAR($B17),'Oferta Producto 1'!$B$8:$B$19,'Oferta Producto 1'!$E$8:$E$19))*$AD17)/$AB17)/24</f>
        <v>0</v>
      </c>
      <c r="R17" s="35">
        <f ca="1">(((_xlfn.XLOOKUP(YEAR($B17),'Oferta Producto 1'!$B$8:$B$19,'Oferta Producto 1'!$E$8:$E$19))*$AD17)/$AB17)/24</f>
        <v>0</v>
      </c>
      <c r="S17" s="35">
        <f ca="1">(((_xlfn.XLOOKUP(YEAR($B17),'Oferta Producto 1'!$B$8:$B$19,'Oferta Producto 1'!$E$8:$E$19))*$AD17)/$AB17)/24</f>
        <v>0</v>
      </c>
      <c r="T17" s="35">
        <f ca="1">(((_xlfn.XLOOKUP(YEAR($B17),'Oferta Producto 1'!$B$8:$B$19,'Oferta Producto 1'!$E$8:$E$19))*$AD17)/$AB17)/24</f>
        <v>0</v>
      </c>
      <c r="U17" s="35">
        <f ca="1">(((_xlfn.XLOOKUP(YEAR($B17),'Oferta Producto 1'!$B$8:$B$19,'Oferta Producto 1'!$E$8:$E$19))*$AD17)/$AB17)/24</f>
        <v>0</v>
      </c>
      <c r="V17" s="35">
        <f ca="1">(((_xlfn.XLOOKUP(YEAR($B17),'Oferta Producto 1'!$B$8:$B$19,'Oferta Producto 1'!$E$8:$E$19))*$AD17)/$AB17)/24</f>
        <v>0</v>
      </c>
      <c r="W17" s="35">
        <f ca="1">(((_xlfn.XLOOKUP(YEAR($B17),'Oferta Producto 1'!$B$8:$B$19,'Oferta Producto 1'!$E$8:$E$19))*$AD17)/$AB17)/24</f>
        <v>0</v>
      </c>
      <c r="X17" s="35">
        <f ca="1">(((_xlfn.XLOOKUP(YEAR($B17),'Oferta Producto 1'!$B$8:$B$19,'Oferta Producto 1'!$E$8:$E$19))*$AD17)/$AB17)/24</f>
        <v>0</v>
      </c>
      <c r="Y17" s="35">
        <f ca="1">(((_xlfn.XLOOKUP(YEAR($B17),'Oferta Producto 1'!$B$8:$B$19,'Oferta Producto 1'!$E$8:$E$19))*$AD17)/$AB17)/24</f>
        <v>0</v>
      </c>
      <c r="Z17" s="35">
        <f ca="1">(((_xlfn.XLOOKUP(YEAR($B17),'Oferta Producto 1'!$B$8:$B$19,'Oferta Producto 1'!$E$8:$E$19))*$AD17)/$AB17)/24</f>
        <v>0</v>
      </c>
      <c r="AA17" s="35">
        <f t="shared" ca="1" si="1"/>
        <v>0</v>
      </c>
      <c r="AB17" s="28">
        <f t="shared" si="2"/>
        <v>31</v>
      </c>
      <c r="AC17" s="42">
        <f t="shared" ca="1" si="3"/>
        <v>0</v>
      </c>
      <c r="AD17" s="43">
        <v>0.12545035061942139</v>
      </c>
      <c r="AE17"/>
      <c r="AF17"/>
      <c r="AG17"/>
    </row>
    <row r="18" spans="1:33" ht="15.75" thickBot="1">
      <c r="A18" s="23">
        <f t="shared" si="0"/>
        <v>2027</v>
      </c>
      <c r="B18" s="27">
        <v>46388</v>
      </c>
      <c r="C18" s="35">
        <f ca="1">(((_xlfn.XLOOKUP(YEAR($B18),'Oferta Producto 1'!$B$8:$B$19,'Oferta Producto 1'!$E$8:$E$19))*$AD18)/$AB18)/24</f>
        <v>0</v>
      </c>
      <c r="D18" s="35">
        <f ca="1">(((_xlfn.XLOOKUP(YEAR($B18),'Oferta Producto 1'!$B$8:$B$19,'Oferta Producto 1'!$E$8:$E$19))*$AD18)/$AB18)/24</f>
        <v>0</v>
      </c>
      <c r="E18" s="35">
        <f ca="1">(((_xlfn.XLOOKUP(YEAR($B18),'Oferta Producto 1'!$B$8:$B$19,'Oferta Producto 1'!$E$8:$E$19))*$AD18)/$AB18)/24</f>
        <v>0</v>
      </c>
      <c r="F18" s="35">
        <f ca="1">(((_xlfn.XLOOKUP(YEAR($B18),'Oferta Producto 1'!$B$8:$B$19,'Oferta Producto 1'!$E$8:$E$19))*$AD18)/$AB18)/24</f>
        <v>0</v>
      </c>
      <c r="G18" s="35">
        <f ca="1">(((_xlfn.XLOOKUP(YEAR($B18),'Oferta Producto 1'!$B$8:$B$19,'Oferta Producto 1'!$E$8:$E$19))*$AD18)/$AB18)/24</f>
        <v>0</v>
      </c>
      <c r="H18" s="35">
        <f ca="1">(((_xlfn.XLOOKUP(YEAR($B18),'Oferta Producto 1'!$B$8:$B$19,'Oferta Producto 1'!$E$8:$E$19))*$AD18)/$AB18)/24</f>
        <v>0</v>
      </c>
      <c r="I18" s="35">
        <f ca="1">(((_xlfn.XLOOKUP(YEAR($B18),'Oferta Producto 1'!$B$8:$B$19,'Oferta Producto 1'!$E$8:$E$19))*$AD18)/$AB18)/24</f>
        <v>0</v>
      </c>
      <c r="J18" s="35">
        <f ca="1">(((_xlfn.XLOOKUP(YEAR($B18),'Oferta Producto 1'!$B$8:$B$19,'Oferta Producto 1'!$E$8:$E$19))*$AD18)/$AB18)/24</f>
        <v>0</v>
      </c>
      <c r="K18" s="35">
        <f ca="1">(((_xlfn.XLOOKUP(YEAR($B18),'Oferta Producto 1'!$B$8:$B$19,'Oferta Producto 1'!$E$8:$E$19))*$AD18)/$AB18)/24</f>
        <v>0</v>
      </c>
      <c r="L18" s="35">
        <f ca="1">(((_xlfn.XLOOKUP(YEAR($B18),'Oferta Producto 1'!$B$8:$B$19,'Oferta Producto 1'!$E$8:$E$19))*$AD18)/$AB18)/24</f>
        <v>0</v>
      </c>
      <c r="M18" s="35">
        <f ca="1">(((_xlfn.XLOOKUP(YEAR($B18),'Oferta Producto 1'!$B$8:$B$19,'Oferta Producto 1'!$E$8:$E$19))*$AD18)/$AB18)/24</f>
        <v>0</v>
      </c>
      <c r="N18" s="35">
        <f ca="1">(((_xlfn.XLOOKUP(YEAR($B18),'Oferta Producto 1'!$B$8:$B$19,'Oferta Producto 1'!$E$8:$E$19))*$AD18)/$AB18)/24</f>
        <v>0</v>
      </c>
      <c r="O18" s="35">
        <f ca="1">(((_xlfn.XLOOKUP(YEAR($B18),'Oferta Producto 1'!$B$8:$B$19,'Oferta Producto 1'!$E$8:$E$19))*$AD18)/$AB18)/24</f>
        <v>0</v>
      </c>
      <c r="P18" s="35">
        <f ca="1">(((_xlfn.XLOOKUP(YEAR($B18),'Oferta Producto 1'!$B$8:$B$19,'Oferta Producto 1'!$E$8:$E$19))*$AD18)/$AB18)/24</f>
        <v>0</v>
      </c>
      <c r="Q18" s="35">
        <f ca="1">(((_xlfn.XLOOKUP(YEAR($B18),'Oferta Producto 1'!$B$8:$B$19,'Oferta Producto 1'!$E$8:$E$19))*$AD18)/$AB18)/24</f>
        <v>0</v>
      </c>
      <c r="R18" s="35">
        <f ca="1">(((_xlfn.XLOOKUP(YEAR($B18),'Oferta Producto 1'!$B$8:$B$19,'Oferta Producto 1'!$E$8:$E$19))*$AD18)/$AB18)/24</f>
        <v>0</v>
      </c>
      <c r="S18" s="35">
        <f ca="1">(((_xlfn.XLOOKUP(YEAR($B18),'Oferta Producto 1'!$B$8:$B$19,'Oferta Producto 1'!$E$8:$E$19))*$AD18)/$AB18)/24</f>
        <v>0</v>
      </c>
      <c r="T18" s="35">
        <f ca="1">(((_xlfn.XLOOKUP(YEAR($B18),'Oferta Producto 1'!$B$8:$B$19,'Oferta Producto 1'!$E$8:$E$19))*$AD18)/$AB18)/24</f>
        <v>0</v>
      </c>
      <c r="U18" s="35">
        <f ca="1">(((_xlfn.XLOOKUP(YEAR($B18),'Oferta Producto 1'!$B$8:$B$19,'Oferta Producto 1'!$E$8:$E$19))*$AD18)/$AB18)/24</f>
        <v>0</v>
      </c>
      <c r="V18" s="35">
        <f ca="1">(((_xlfn.XLOOKUP(YEAR($B18),'Oferta Producto 1'!$B$8:$B$19,'Oferta Producto 1'!$E$8:$E$19))*$AD18)/$AB18)/24</f>
        <v>0</v>
      </c>
      <c r="W18" s="35">
        <f ca="1">(((_xlfn.XLOOKUP(YEAR($B18),'Oferta Producto 1'!$B$8:$B$19,'Oferta Producto 1'!$E$8:$E$19))*$AD18)/$AB18)/24</f>
        <v>0</v>
      </c>
      <c r="X18" s="35">
        <f ca="1">(((_xlfn.XLOOKUP(YEAR($B18),'Oferta Producto 1'!$B$8:$B$19,'Oferta Producto 1'!$E$8:$E$19))*$AD18)/$AB18)/24</f>
        <v>0</v>
      </c>
      <c r="Y18" s="35">
        <f ca="1">(((_xlfn.XLOOKUP(YEAR($B18),'Oferta Producto 1'!$B$8:$B$19,'Oferta Producto 1'!$E$8:$E$19))*$AD18)/$AB18)/24</f>
        <v>0</v>
      </c>
      <c r="Z18" s="35">
        <f ca="1">(((_xlfn.XLOOKUP(YEAR($B18),'Oferta Producto 1'!$B$8:$B$19,'Oferta Producto 1'!$E$8:$E$19))*$AD18)/$AB18)/24</f>
        <v>0</v>
      </c>
      <c r="AA18" s="35">
        <f ca="1">SUM(C18:Z18)</f>
        <v>0</v>
      </c>
      <c r="AB18" s="28">
        <f t="shared" si="2"/>
        <v>31</v>
      </c>
      <c r="AC18" s="42">
        <f t="shared" ca="1" si="3"/>
        <v>0</v>
      </c>
      <c r="AD18" s="43">
        <v>8.2264171374422282E-2</v>
      </c>
      <c r="AE18"/>
      <c r="AF18"/>
      <c r="AG18"/>
    </row>
    <row r="19" spans="1:33" ht="15.75" thickBot="1">
      <c r="A19" s="23">
        <f t="shared" si="0"/>
        <v>2027</v>
      </c>
      <c r="B19" s="27">
        <v>46419</v>
      </c>
      <c r="C19" s="35">
        <f ca="1">(((_xlfn.XLOOKUP(YEAR($B19),'Oferta Producto 1'!$B$8:$B$19,'Oferta Producto 1'!$E$8:$E$19))*$AD19)/$AB19)/24</f>
        <v>0</v>
      </c>
      <c r="D19" s="35">
        <f ca="1">(((_xlfn.XLOOKUP(YEAR($B19),'Oferta Producto 1'!$B$8:$B$19,'Oferta Producto 1'!$E$8:$E$19))*$AD19)/$AB19)/24</f>
        <v>0</v>
      </c>
      <c r="E19" s="35">
        <f ca="1">(((_xlfn.XLOOKUP(YEAR($B19),'Oferta Producto 1'!$B$8:$B$19,'Oferta Producto 1'!$E$8:$E$19))*$AD19)/$AB19)/24</f>
        <v>0</v>
      </c>
      <c r="F19" s="35">
        <f ca="1">(((_xlfn.XLOOKUP(YEAR($B19),'Oferta Producto 1'!$B$8:$B$19,'Oferta Producto 1'!$E$8:$E$19))*$AD19)/$AB19)/24</f>
        <v>0</v>
      </c>
      <c r="G19" s="35">
        <f ca="1">(((_xlfn.XLOOKUP(YEAR($B19),'Oferta Producto 1'!$B$8:$B$19,'Oferta Producto 1'!$E$8:$E$19))*$AD19)/$AB19)/24</f>
        <v>0</v>
      </c>
      <c r="H19" s="35">
        <f ca="1">(((_xlfn.XLOOKUP(YEAR($B19),'Oferta Producto 1'!$B$8:$B$19,'Oferta Producto 1'!$E$8:$E$19))*$AD19)/$AB19)/24</f>
        <v>0</v>
      </c>
      <c r="I19" s="35">
        <f ca="1">(((_xlfn.XLOOKUP(YEAR($B19),'Oferta Producto 1'!$B$8:$B$19,'Oferta Producto 1'!$E$8:$E$19))*$AD19)/$AB19)/24</f>
        <v>0</v>
      </c>
      <c r="J19" s="35">
        <f ca="1">(((_xlfn.XLOOKUP(YEAR($B19),'Oferta Producto 1'!$B$8:$B$19,'Oferta Producto 1'!$E$8:$E$19))*$AD19)/$AB19)/24</f>
        <v>0</v>
      </c>
      <c r="K19" s="35">
        <f ca="1">(((_xlfn.XLOOKUP(YEAR($B19),'Oferta Producto 1'!$B$8:$B$19,'Oferta Producto 1'!$E$8:$E$19))*$AD19)/$AB19)/24</f>
        <v>0</v>
      </c>
      <c r="L19" s="35">
        <f ca="1">(((_xlfn.XLOOKUP(YEAR($B19),'Oferta Producto 1'!$B$8:$B$19,'Oferta Producto 1'!$E$8:$E$19))*$AD19)/$AB19)/24</f>
        <v>0</v>
      </c>
      <c r="M19" s="35">
        <f ca="1">(((_xlfn.XLOOKUP(YEAR($B19),'Oferta Producto 1'!$B$8:$B$19,'Oferta Producto 1'!$E$8:$E$19))*$AD19)/$AB19)/24</f>
        <v>0</v>
      </c>
      <c r="N19" s="35">
        <f ca="1">(((_xlfn.XLOOKUP(YEAR($B19),'Oferta Producto 1'!$B$8:$B$19,'Oferta Producto 1'!$E$8:$E$19))*$AD19)/$AB19)/24</f>
        <v>0</v>
      </c>
      <c r="O19" s="35">
        <f ca="1">(((_xlfn.XLOOKUP(YEAR($B19),'Oferta Producto 1'!$B$8:$B$19,'Oferta Producto 1'!$E$8:$E$19))*$AD19)/$AB19)/24</f>
        <v>0</v>
      </c>
      <c r="P19" s="35">
        <f ca="1">(((_xlfn.XLOOKUP(YEAR($B19),'Oferta Producto 1'!$B$8:$B$19,'Oferta Producto 1'!$E$8:$E$19))*$AD19)/$AB19)/24</f>
        <v>0</v>
      </c>
      <c r="Q19" s="35">
        <f ca="1">(((_xlfn.XLOOKUP(YEAR($B19),'Oferta Producto 1'!$B$8:$B$19,'Oferta Producto 1'!$E$8:$E$19))*$AD19)/$AB19)/24</f>
        <v>0</v>
      </c>
      <c r="R19" s="35">
        <f ca="1">(((_xlfn.XLOOKUP(YEAR($B19),'Oferta Producto 1'!$B$8:$B$19,'Oferta Producto 1'!$E$8:$E$19))*$AD19)/$AB19)/24</f>
        <v>0</v>
      </c>
      <c r="S19" s="35">
        <f ca="1">(((_xlfn.XLOOKUP(YEAR($B19),'Oferta Producto 1'!$B$8:$B$19,'Oferta Producto 1'!$E$8:$E$19))*$AD19)/$AB19)/24</f>
        <v>0</v>
      </c>
      <c r="T19" s="35">
        <f ca="1">(((_xlfn.XLOOKUP(YEAR($B19),'Oferta Producto 1'!$B$8:$B$19,'Oferta Producto 1'!$E$8:$E$19))*$AD19)/$AB19)/24</f>
        <v>0</v>
      </c>
      <c r="U19" s="35">
        <f ca="1">(((_xlfn.XLOOKUP(YEAR($B19),'Oferta Producto 1'!$B$8:$B$19,'Oferta Producto 1'!$E$8:$E$19))*$AD19)/$AB19)/24</f>
        <v>0</v>
      </c>
      <c r="V19" s="35">
        <f ca="1">(((_xlfn.XLOOKUP(YEAR($B19),'Oferta Producto 1'!$B$8:$B$19,'Oferta Producto 1'!$E$8:$E$19))*$AD19)/$AB19)/24</f>
        <v>0</v>
      </c>
      <c r="W19" s="35">
        <f ca="1">(((_xlfn.XLOOKUP(YEAR($B19),'Oferta Producto 1'!$B$8:$B$19,'Oferta Producto 1'!$E$8:$E$19))*$AD19)/$AB19)/24</f>
        <v>0</v>
      </c>
      <c r="X19" s="35">
        <f ca="1">(((_xlfn.XLOOKUP(YEAR($B19),'Oferta Producto 1'!$B$8:$B$19,'Oferta Producto 1'!$E$8:$E$19))*$AD19)/$AB19)/24</f>
        <v>0</v>
      </c>
      <c r="Y19" s="35">
        <f ca="1">(((_xlfn.XLOOKUP(YEAR($B19),'Oferta Producto 1'!$B$8:$B$19,'Oferta Producto 1'!$E$8:$E$19))*$AD19)/$AB19)/24</f>
        <v>0</v>
      </c>
      <c r="Z19" s="35">
        <f ca="1">(((_xlfn.XLOOKUP(YEAR($B19),'Oferta Producto 1'!$B$8:$B$19,'Oferta Producto 1'!$E$8:$E$19))*$AD19)/$AB19)/24</f>
        <v>0</v>
      </c>
      <c r="AA19" s="35">
        <f t="shared" ref="AA19:AA29" ca="1" si="4">SUM(C19:Z19)</f>
        <v>0</v>
      </c>
      <c r="AB19" s="28">
        <f t="shared" si="2"/>
        <v>28</v>
      </c>
      <c r="AC19" s="42">
        <f t="shared" ca="1" si="3"/>
        <v>0</v>
      </c>
      <c r="AD19" s="43">
        <v>8.7762718591679195E-2</v>
      </c>
      <c r="AE19"/>
      <c r="AF19"/>
      <c r="AG19"/>
    </row>
    <row r="20" spans="1:33" ht="15.75" thickBot="1">
      <c r="A20" s="23">
        <f t="shared" si="0"/>
        <v>2027</v>
      </c>
      <c r="B20" s="27">
        <v>46447</v>
      </c>
      <c r="C20" s="35">
        <f ca="1">(((_xlfn.XLOOKUP(YEAR($B20),'Oferta Producto 1'!$B$8:$B$19,'Oferta Producto 1'!$E$8:$E$19))*$AD20)/$AB20)/24</f>
        <v>0</v>
      </c>
      <c r="D20" s="35">
        <f ca="1">(((_xlfn.XLOOKUP(YEAR($B20),'Oferta Producto 1'!$B$8:$B$19,'Oferta Producto 1'!$E$8:$E$19))*$AD20)/$AB20)/24</f>
        <v>0</v>
      </c>
      <c r="E20" s="35">
        <f ca="1">(((_xlfn.XLOOKUP(YEAR($B20),'Oferta Producto 1'!$B$8:$B$19,'Oferta Producto 1'!$E$8:$E$19))*$AD20)/$AB20)/24</f>
        <v>0</v>
      </c>
      <c r="F20" s="35">
        <f ca="1">(((_xlfn.XLOOKUP(YEAR($B20),'Oferta Producto 1'!$B$8:$B$19,'Oferta Producto 1'!$E$8:$E$19))*$AD20)/$AB20)/24</f>
        <v>0</v>
      </c>
      <c r="G20" s="35">
        <f ca="1">(((_xlfn.XLOOKUP(YEAR($B20),'Oferta Producto 1'!$B$8:$B$19,'Oferta Producto 1'!$E$8:$E$19))*$AD20)/$AB20)/24</f>
        <v>0</v>
      </c>
      <c r="H20" s="35">
        <f ca="1">(((_xlfn.XLOOKUP(YEAR($B20),'Oferta Producto 1'!$B$8:$B$19,'Oferta Producto 1'!$E$8:$E$19))*$AD20)/$AB20)/24</f>
        <v>0</v>
      </c>
      <c r="I20" s="35">
        <f ca="1">(((_xlfn.XLOOKUP(YEAR($B20),'Oferta Producto 1'!$B$8:$B$19,'Oferta Producto 1'!$E$8:$E$19))*$AD20)/$AB20)/24</f>
        <v>0</v>
      </c>
      <c r="J20" s="35">
        <f ca="1">(((_xlfn.XLOOKUP(YEAR($B20),'Oferta Producto 1'!$B$8:$B$19,'Oferta Producto 1'!$E$8:$E$19))*$AD20)/$AB20)/24</f>
        <v>0</v>
      </c>
      <c r="K20" s="35">
        <f ca="1">(((_xlfn.XLOOKUP(YEAR($B20),'Oferta Producto 1'!$B$8:$B$19,'Oferta Producto 1'!$E$8:$E$19))*$AD20)/$AB20)/24</f>
        <v>0</v>
      </c>
      <c r="L20" s="35">
        <f ca="1">(((_xlfn.XLOOKUP(YEAR($B20),'Oferta Producto 1'!$B$8:$B$19,'Oferta Producto 1'!$E$8:$E$19))*$AD20)/$AB20)/24</f>
        <v>0</v>
      </c>
      <c r="M20" s="35">
        <f ca="1">(((_xlfn.XLOOKUP(YEAR($B20),'Oferta Producto 1'!$B$8:$B$19,'Oferta Producto 1'!$E$8:$E$19))*$AD20)/$AB20)/24</f>
        <v>0</v>
      </c>
      <c r="N20" s="35">
        <f ca="1">(((_xlfn.XLOOKUP(YEAR($B20),'Oferta Producto 1'!$B$8:$B$19,'Oferta Producto 1'!$E$8:$E$19))*$AD20)/$AB20)/24</f>
        <v>0</v>
      </c>
      <c r="O20" s="35">
        <f ca="1">(((_xlfn.XLOOKUP(YEAR($B20),'Oferta Producto 1'!$B$8:$B$19,'Oferta Producto 1'!$E$8:$E$19))*$AD20)/$AB20)/24</f>
        <v>0</v>
      </c>
      <c r="P20" s="35">
        <f ca="1">(((_xlfn.XLOOKUP(YEAR($B20),'Oferta Producto 1'!$B$8:$B$19,'Oferta Producto 1'!$E$8:$E$19))*$AD20)/$AB20)/24</f>
        <v>0</v>
      </c>
      <c r="Q20" s="35">
        <f ca="1">(((_xlfn.XLOOKUP(YEAR($B20),'Oferta Producto 1'!$B$8:$B$19,'Oferta Producto 1'!$E$8:$E$19))*$AD20)/$AB20)/24</f>
        <v>0</v>
      </c>
      <c r="R20" s="35">
        <f ca="1">(((_xlfn.XLOOKUP(YEAR($B20),'Oferta Producto 1'!$B$8:$B$19,'Oferta Producto 1'!$E$8:$E$19))*$AD20)/$AB20)/24</f>
        <v>0</v>
      </c>
      <c r="S20" s="35">
        <f ca="1">(((_xlfn.XLOOKUP(YEAR($B20),'Oferta Producto 1'!$B$8:$B$19,'Oferta Producto 1'!$E$8:$E$19))*$AD20)/$AB20)/24</f>
        <v>0</v>
      </c>
      <c r="T20" s="35">
        <f ca="1">(((_xlfn.XLOOKUP(YEAR($B20),'Oferta Producto 1'!$B$8:$B$19,'Oferta Producto 1'!$E$8:$E$19))*$AD20)/$AB20)/24</f>
        <v>0</v>
      </c>
      <c r="U20" s="35">
        <f ca="1">(((_xlfn.XLOOKUP(YEAR($B20),'Oferta Producto 1'!$B$8:$B$19,'Oferta Producto 1'!$E$8:$E$19))*$AD20)/$AB20)/24</f>
        <v>0</v>
      </c>
      <c r="V20" s="35">
        <f ca="1">(((_xlfn.XLOOKUP(YEAR($B20),'Oferta Producto 1'!$B$8:$B$19,'Oferta Producto 1'!$E$8:$E$19))*$AD20)/$AB20)/24</f>
        <v>0</v>
      </c>
      <c r="W20" s="35">
        <f ca="1">(((_xlfn.XLOOKUP(YEAR($B20),'Oferta Producto 1'!$B$8:$B$19,'Oferta Producto 1'!$E$8:$E$19))*$AD20)/$AB20)/24</f>
        <v>0</v>
      </c>
      <c r="X20" s="35">
        <f ca="1">(((_xlfn.XLOOKUP(YEAR($B20),'Oferta Producto 1'!$B$8:$B$19,'Oferta Producto 1'!$E$8:$E$19))*$AD20)/$AB20)/24</f>
        <v>0</v>
      </c>
      <c r="Y20" s="35">
        <f ca="1">(((_xlfn.XLOOKUP(YEAR($B20),'Oferta Producto 1'!$B$8:$B$19,'Oferta Producto 1'!$E$8:$E$19))*$AD20)/$AB20)/24</f>
        <v>0</v>
      </c>
      <c r="Z20" s="35">
        <f ca="1">(((_xlfn.XLOOKUP(YEAR($B20),'Oferta Producto 1'!$B$8:$B$19,'Oferta Producto 1'!$E$8:$E$19))*$AD20)/$AB20)/24</f>
        <v>0</v>
      </c>
      <c r="AA20" s="35">
        <f t="shared" ca="1" si="4"/>
        <v>0</v>
      </c>
      <c r="AB20" s="28">
        <f t="shared" si="2"/>
        <v>31</v>
      </c>
      <c r="AC20" s="42">
        <f t="shared" ca="1" si="3"/>
        <v>0</v>
      </c>
      <c r="AD20" s="43">
        <v>8.2264171374422282E-2</v>
      </c>
      <c r="AE20"/>
      <c r="AF20"/>
      <c r="AG20"/>
    </row>
    <row r="21" spans="1:33" ht="15.75" thickBot="1">
      <c r="A21" s="23">
        <f t="shared" si="0"/>
        <v>2027</v>
      </c>
      <c r="B21" s="27">
        <v>46478</v>
      </c>
      <c r="C21" s="35">
        <f ca="1">(((_xlfn.XLOOKUP(YEAR($B21),'Oferta Producto 1'!$B$8:$B$19,'Oferta Producto 1'!$E$8:$E$19))*$AD21)/$AB21)/24</f>
        <v>0</v>
      </c>
      <c r="D21" s="35">
        <f ca="1">(((_xlfn.XLOOKUP(YEAR($B21),'Oferta Producto 1'!$B$8:$B$19,'Oferta Producto 1'!$E$8:$E$19))*$AD21)/$AB21)/24</f>
        <v>0</v>
      </c>
      <c r="E21" s="35">
        <f ca="1">(((_xlfn.XLOOKUP(YEAR($B21),'Oferta Producto 1'!$B$8:$B$19,'Oferta Producto 1'!$E$8:$E$19))*$AD21)/$AB21)/24</f>
        <v>0</v>
      </c>
      <c r="F21" s="35">
        <f ca="1">(((_xlfn.XLOOKUP(YEAR($B21),'Oferta Producto 1'!$B$8:$B$19,'Oferta Producto 1'!$E$8:$E$19))*$AD21)/$AB21)/24</f>
        <v>0</v>
      </c>
      <c r="G21" s="35">
        <f ca="1">(((_xlfn.XLOOKUP(YEAR($B21),'Oferta Producto 1'!$B$8:$B$19,'Oferta Producto 1'!$E$8:$E$19))*$AD21)/$AB21)/24</f>
        <v>0</v>
      </c>
      <c r="H21" s="35">
        <f ca="1">(((_xlfn.XLOOKUP(YEAR($B21),'Oferta Producto 1'!$B$8:$B$19,'Oferta Producto 1'!$E$8:$E$19))*$AD21)/$AB21)/24</f>
        <v>0</v>
      </c>
      <c r="I21" s="35">
        <f ca="1">(((_xlfn.XLOOKUP(YEAR($B21),'Oferta Producto 1'!$B$8:$B$19,'Oferta Producto 1'!$E$8:$E$19))*$AD21)/$AB21)/24</f>
        <v>0</v>
      </c>
      <c r="J21" s="35">
        <f ca="1">(((_xlfn.XLOOKUP(YEAR($B21),'Oferta Producto 1'!$B$8:$B$19,'Oferta Producto 1'!$E$8:$E$19))*$AD21)/$AB21)/24</f>
        <v>0</v>
      </c>
      <c r="K21" s="35">
        <f ca="1">(((_xlfn.XLOOKUP(YEAR($B21),'Oferta Producto 1'!$B$8:$B$19,'Oferta Producto 1'!$E$8:$E$19))*$AD21)/$AB21)/24</f>
        <v>0</v>
      </c>
      <c r="L21" s="35">
        <f ca="1">(((_xlfn.XLOOKUP(YEAR($B21),'Oferta Producto 1'!$B$8:$B$19,'Oferta Producto 1'!$E$8:$E$19))*$AD21)/$AB21)/24</f>
        <v>0</v>
      </c>
      <c r="M21" s="35">
        <f ca="1">(((_xlfn.XLOOKUP(YEAR($B21),'Oferta Producto 1'!$B$8:$B$19,'Oferta Producto 1'!$E$8:$E$19))*$AD21)/$AB21)/24</f>
        <v>0</v>
      </c>
      <c r="N21" s="35">
        <f ca="1">(((_xlfn.XLOOKUP(YEAR($B21),'Oferta Producto 1'!$B$8:$B$19,'Oferta Producto 1'!$E$8:$E$19))*$AD21)/$AB21)/24</f>
        <v>0</v>
      </c>
      <c r="O21" s="35">
        <f ca="1">(((_xlfn.XLOOKUP(YEAR($B21),'Oferta Producto 1'!$B$8:$B$19,'Oferta Producto 1'!$E$8:$E$19))*$AD21)/$AB21)/24</f>
        <v>0</v>
      </c>
      <c r="P21" s="35">
        <f ca="1">(((_xlfn.XLOOKUP(YEAR($B21),'Oferta Producto 1'!$B$8:$B$19,'Oferta Producto 1'!$E$8:$E$19))*$AD21)/$AB21)/24</f>
        <v>0</v>
      </c>
      <c r="Q21" s="35">
        <f ca="1">(((_xlfn.XLOOKUP(YEAR($B21),'Oferta Producto 1'!$B$8:$B$19,'Oferta Producto 1'!$E$8:$E$19))*$AD21)/$AB21)/24</f>
        <v>0</v>
      </c>
      <c r="R21" s="35">
        <f ca="1">(((_xlfn.XLOOKUP(YEAR($B21),'Oferta Producto 1'!$B$8:$B$19,'Oferta Producto 1'!$E$8:$E$19))*$AD21)/$AB21)/24</f>
        <v>0</v>
      </c>
      <c r="S21" s="35">
        <f ca="1">(((_xlfn.XLOOKUP(YEAR($B21),'Oferta Producto 1'!$B$8:$B$19,'Oferta Producto 1'!$E$8:$E$19))*$AD21)/$AB21)/24</f>
        <v>0</v>
      </c>
      <c r="T21" s="35">
        <f ca="1">(((_xlfn.XLOOKUP(YEAR($B21),'Oferta Producto 1'!$B$8:$B$19,'Oferta Producto 1'!$E$8:$E$19))*$AD21)/$AB21)/24</f>
        <v>0</v>
      </c>
      <c r="U21" s="35">
        <f ca="1">(((_xlfn.XLOOKUP(YEAR($B21),'Oferta Producto 1'!$B$8:$B$19,'Oferta Producto 1'!$E$8:$E$19))*$AD21)/$AB21)/24</f>
        <v>0</v>
      </c>
      <c r="V21" s="35">
        <f ca="1">(((_xlfn.XLOOKUP(YEAR($B21),'Oferta Producto 1'!$B$8:$B$19,'Oferta Producto 1'!$E$8:$E$19))*$AD21)/$AB21)/24</f>
        <v>0</v>
      </c>
      <c r="W21" s="35">
        <f ca="1">(((_xlfn.XLOOKUP(YEAR($B21),'Oferta Producto 1'!$B$8:$B$19,'Oferta Producto 1'!$E$8:$E$19))*$AD21)/$AB21)/24</f>
        <v>0</v>
      </c>
      <c r="X21" s="35">
        <f ca="1">(((_xlfn.XLOOKUP(YEAR($B21),'Oferta Producto 1'!$B$8:$B$19,'Oferta Producto 1'!$E$8:$E$19))*$AD21)/$AB21)/24</f>
        <v>0</v>
      </c>
      <c r="Y21" s="35">
        <f ca="1">(((_xlfn.XLOOKUP(YEAR($B21),'Oferta Producto 1'!$B$8:$B$19,'Oferta Producto 1'!$E$8:$E$19))*$AD21)/$AB21)/24</f>
        <v>0</v>
      </c>
      <c r="Z21" s="35">
        <f ca="1">(((_xlfn.XLOOKUP(YEAR($B21),'Oferta Producto 1'!$B$8:$B$19,'Oferta Producto 1'!$E$8:$E$19))*$AD21)/$AB21)/24</f>
        <v>0</v>
      </c>
      <c r="AA21" s="35">
        <f t="shared" ca="1" si="4"/>
        <v>0</v>
      </c>
      <c r="AB21" s="28">
        <f t="shared" si="2"/>
        <v>30</v>
      </c>
      <c r="AC21" s="42">
        <f t="shared" ca="1" si="3"/>
        <v>0</v>
      </c>
      <c r="AD21" s="43">
        <v>8.4097020446841267E-2</v>
      </c>
      <c r="AE21"/>
      <c r="AF21"/>
      <c r="AG21"/>
    </row>
    <row r="22" spans="1:33" ht="15.75" thickBot="1">
      <c r="A22" s="23">
        <f t="shared" si="0"/>
        <v>2027</v>
      </c>
      <c r="B22" s="27">
        <v>46508</v>
      </c>
      <c r="C22" s="35">
        <f ca="1">(((_xlfn.XLOOKUP(YEAR($B22),'Oferta Producto 1'!$B$8:$B$19,'Oferta Producto 1'!$E$8:$E$19))*$AD22)/$AB22)/24</f>
        <v>0</v>
      </c>
      <c r="D22" s="35">
        <f ca="1">(((_xlfn.XLOOKUP(YEAR($B22),'Oferta Producto 1'!$B$8:$B$19,'Oferta Producto 1'!$E$8:$E$19))*$AD22)/$AB22)/24</f>
        <v>0</v>
      </c>
      <c r="E22" s="35">
        <f ca="1">(((_xlfn.XLOOKUP(YEAR($B22),'Oferta Producto 1'!$B$8:$B$19,'Oferta Producto 1'!$E$8:$E$19))*$AD22)/$AB22)/24</f>
        <v>0</v>
      </c>
      <c r="F22" s="35">
        <f ca="1">(((_xlfn.XLOOKUP(YEAR($B22),'Oferta Producto 1'!$B$8:$B$19,'Oferta Producto 1'!$E$8:$E$19))*$AD22)/$AB22)/24</f>
        <v>0</v>
      </c>
      <c r="G22" s="35">
        <f ca="1">(((_xlfn.XLOOKUP(YEAR($B22),'Oferta Producto 1'!$B$8:$B$19,'Oferta Producto 1'!$E$8:$E$19))*$AD22)/$AB22)/24</f>
        <v>0</v>
      </c>
      <c r="H22" s="35">
        <f ca="1">(((_xlfn.XLOOKUP(YEAR($B22),'Oferta Producto 1'!$B$8:$B$19,'Oferta Producto 1'!$E$8:$E$19))*$AD22)/$AB22)/24</f>
        <v>0</v>
      </c>
      <c r="I22" s="35">
        <f ca="1">(((_xlfn.XLOOKUP(YEAR($B22),'Oferta Producto 1'!$B$8:$B$19,'Oferta Producto 1'!$E$8:$E$19))*$AD22)/$AB22)/24</f>
        <v>0</v>
      </c>
      <c r="J22" s="35">
        <f ca="1">(((_xlfn.XLOOKUP(YEAR($B22),'Oferta Producto 1'!$B$8:$B$19,'Oferta Producto 1'!$E$8:$E$19))*$AD22)/$AB22)/24</f>
        <v>0</v>
      </c>
      <c r="K22" s="35">
        <f ca="1">(((_xlfn.XLOOKUP(YEAR($B22),'Oferta Producto 1'!$B$8:$B$19,'Oferta Producto 1'!$E$8:$E$19))*$AD22)/$AB22)/24</f>
        <v>0</v>
      </c>
      <c r="L22" s="35">
        <f ca="1">(((_xlfn.XLOOKUP(YEAR($B22),'Oferta Producto 1'!$B$8:$B$19,'Oferta Producto 1'!$E$8:$E$19))*$AD22)/$AB22)/24</f>
        <v>0</v>
      </c>
      <c r="M22" s="35">
        <f ca="1">(((_xlfn.XLOOKUP(YEAR($B22),'Oferta Producto 1'!$B$8:$B$19,'Oferta Producto 1'!$E$8:$E$19))*$AD22)/$AB22)/24</f>
        <v>0</v>
      </c>
      <c r="N22" s="35">
        <f ca="1">(((_xlfn.XLOOKUP(YEAR($B22),'Oferta Producto 1'!$B$8:$B$19,'Oferta Producto 1'!$E$8:$E$19))*$AD22)/$AB22)/24</f>
        <v>0</v>
      </c>
      <c r="O22" s="35">
        <f ca="1">(((_xlfn.XLOOKUP(YEAR($B22),'Oferta Producto 1'!$B$8:$B$19,'Oferta Producto 1'!$E$8:$E$19))*$AD22)/$AB22)/24</f>
        <v>0</v>
      </c>
      <c r="P22" s="35">
        <f ca="1">(((_xlfn.XLOOKUP(YEAR($B22),'Oferta Producto 1'!$B$8:$B$19,'Oferta Producto 1'!$E$8:$E$19))*$AD22)/$AB22)/24</f>
        <v>0</v>
      </c>
      <c r="Q22" s="35">
        <f ca="1">(((_xlfn.XLOOKUP(YEAR($B22),'Oferta Producto 1'!$B$8:$B$19,'Oferta Producto 1'!$E$8:$E$19))*$AD22)/$AB22)/24</f>
        <v>0</v>
      </c>
      <c r="R22" s="35">
        <f ca="1">(((_xlfn.XLOOKUP(YEAR($B22),'Oferta Producto 1'!$B$8:$B$19,'Oferta Producto 1'!$E$8:$E$19))*$AD22)/$AB22)/24</f>
        <v>0</v>
      </c>
      <c r="S22" s="35">
        <f ca="1">(((_xlfn.XLOOKUP(YEAR($B22),'Oferta Producto 1'!$B$8:$B$19,'Oferta Producto 1'!$E$8:$E$19))*$AD22)/$AB22)/24</f>
        <v>0</v>
      </c>
      <c r="T22" s="35">
        <f ca="1">(((_xlfn.XLOOKUP(YEAR($B22),'Oferta Producto 1'!$B$8:$B$19,'Oferta Producto 1'!$E$8:$E$19))*$AD22)/$AB22)/24</f>
        <v>0</v>
      </c>
      <c r="U22" s="35">
        <f ca="1">(((_xlfn.XLOOKUP(YEAR($B22),'Oferta Producto 1'!$B$8:$B$19,'Oferta Producto 1'!$E$8:$E$19))*$AD22)/$AB22)/24</f>
        <v>0</v>
      </c>
      <c r="V22" s="35">
        <f ca="1">(((_xlfn.XLOOKUP(YEAR($B22),'Oferta Producto 1'!$B$8:$B$19,'Oferta Producto 1'!$E$8:$E$19))*$AD22)/$AB22)/24</f>
        <v>0</v>
      </c>
      <c r="W22" s="35">
        <f ca="1">(((_xlfn.XLOOKUP(YEAR($B22),'Oferta Producto 1'!$B$8:$B$19,'Oferta Producto 1'!$E$8:$E$19))*$AD22)/$AB22)/24</f>
        <v>0</v>
      </c>
      <c r="X22" s="35">
        <f ca="1">(((_xlfn.XLOOKUP(YEAR($B22),'Oferta Producto 1'!$B$8:$B$19,'Oferta Producto 1'!$E$8:$E$19))*$AD22)/$AB22)/24</f>
        <v>0</v>
      </c>
      <c r="Y22" s="35">
        <f ca="1">(((_xlfn.XLOOKUP(YEAR($B22),'Oferta Producto 1'!$B$8:$B$19,'Oferta Producto 1'!$E$8:$E$19))*$AD22)/$AB22)/24</f>
        <v>0</v>
      </c>
      <c r="Z22" s="35">
        <f ca="1">(((_xlfn.XLOOKUP(YEAR($B22),'Oferta Producto 1'!$B$8:$B$19,'Oferta Producto 1'!$E$8:$E$19))*$AD22)/$AB22)/24</f>
        <v>0</v>
      </c>
      <c r="AA22" s="35">
        <f t="shared" ca="1" si="4"/>
        <v>0</v>
      </c>
      <c r="AB22" s="28">
        <f t="shared" si="2"/>
        <v>31</v>
      </c>
      <c r="AC22" s="42">
        <f t="shared" ca="1" si="3"/>
        <v>0</v>
      </c>
      <c r="AD22" s="43">
        <v>8.2264171374422282E-2</v>
      </c>
      <c r="AE22"/>
    </row>
    <row r="23" spans="1:33" ht="15.75" thickBot="1">
      <c r="A23" s="23">
        <f t="shared" si="0"/>
        <v>2027</v>
      </c>
      <c r="B23" s="27">
        <v>46539</v>
      </c>
      <c r="C23" s="35">
        <f ca="1">(((_xlfn.XLOOKUP(YEAR($B23),'Oferta Producto 1'!$B$8:$B$19,'Oferta Producto 1'!$E$8:$E$19))*$AD23)/$AB23)/24</f>
        <v>0</v>
      </c>
      <c r="D23" s="35">
        <f ca="1">(((_xlfn.XLOOKUP(YEAR($B23),'Oferta Producto 1'!$B$8:$B$19,'Oferta Producto 1'!$E$8:$E$19))*$AD23)/$AB23)/24</f>
        <v>0</v>
      </c>
      <c r="E23" s="35">
        <f ca="1">(((_xlfn.XLOOKUP(YEAR($B23),'Oferta Producto 1'!$B$8:$B$19,'Oferta Producto 1'!$E$8:$E$19))*$AD23)/$AB23)/24</f>
        <v>0</v>
      </c>
      <c r="F23" s="35">
        <f ca="1">(((_xlfn.XLOOKUP(YEAR($B23),'Oferta Producto 1'!$B$8:$B$19,'Oferta Producto 1'!$E$8:$E$19))*$AD23)/$AB23)/24</f>
        <v>0</v>
      </c>
      <c r="G23" s="35">
        <f ca="1">(((_xlfn.XLOOKUP(YEAR($B23),'Oferta Producto 1'!$B$8:$B$19,'Oferta Producto 1'!$E$8:$E$19))*$AD23)/$AB23)/24</f>
        <v>0</v>
      </c>
      <c r="H23" s="35">
        <f ca="1">(((_xlfn.XLOOKUP(YEAR($B23),'Oferta Producto 1'!$B$8:$B$19,'Oferta Producto 1'!$E$8:$E$19))*$AD23)/$AB23)/24</f>
        <v>0</v>
      </c>
      <c r="I23" s="35">
        <f ca="1">(((_xlfn.XLOOKUP(YEAR($B23),'Oferta Producto 1'!$B$8:$B$19,'Oferta Producto 1'!$E$8:$E$19))*$AD23)/$AB23)/24</f>
        <v>0</v>
      </c>
      <c r="J23" s="35">
        <f ca="1">(((_xlfn.XLOOKUP(YEAR($B23),'Oferta Producto 1'!$B$8:$B$19,'Oferta Producto 1'!$E$8:$E$19))*$AD23)/$AB23)/24</f>
        <v>0</v>
      </c>
      <c r="K23" s="35">
        <f ca="1">(((_xlfn.XLOOKUP(YEAR($B23),'Oferta Producto 1'!$B$8:$B$19,'Oferta Producto 1'!$E$8:$E$19))*$AD23)/$AB23)/24</f>
        <v>0</v>
      </c>
      <c r="L23" s="35">
        <f ca="1">(((_xlfn.XLOOKUP(YEAR($B23),'Oferta Producto 1'!$B$8:$B$19,'Oferta Producto 1'!$E$8:$E$19))*$AD23)/$AB23)/24</f>
        <v>0</v>
      </c>
      <c r="M23" s="35">
        <f ca="1">(((_xlfn.XLOOKUP(YEAR($B23),'Oferta Producto 1'!$B$8:$B$19,'Oferta Producto 1'!$E$8:$E$19))*$AD23)/$AB23)/24</f>
        <v>0</v>
      </c>
      <c r="N23" s="35">
        <f ca="1">(((_xlfn.XLOOKUP(YEAR($B23),'Oferta Producto 1'!$B$8:$B$19,'Oferta Producto 1'!$E$8:$E$19))*$AD23)/$AB23)/24</f>
        <v>0</v>
      </c>
      <c r="O23" s="35">
        <f ca="1">(((_xlfn.XLOOKUP(YEAR($B23),'Oferta Producto 1'!$B$8:$B$19,'Oferta Producto 1'!$E$8:$E$19))*$AD23)/$AB23)/24</f>
        <v>0</v>
      </c>
      <c r="P23" s="35">
        <f ca="1">(((_xlfn.XLOOKUP(YEAR($B23),'Oferta Producto 1'!$B$8:$B$19,'Oferta Producto 1'!$E$8:$E$19))*$AD23)/$AB23)/24</f>
        <v>0</v>
      </c>
      <c r="Q23" s="35">
        <f ca="1">(((_xlfn.XLOOKUP(YEAR($B23),'Oferta Producto 1'!$B$8:$B$19,'Oferta Producto 1'!$E$8:$E$19))*$AD23)/$AB23)/24</f>
        <v>0</v>
      </c>
      <c r="R23" s="35">
        <f ca="1">(((_xlfn.XLOOKUP(YEAR($B23),'Oferta Producto 1'!$B$8:$B$19,'Oferta Producto 1'!$E$8:$E$19))*$AD23)/$AB23)/24</f>
        <v>0</v>
      </c>
      <c r="S23" s="35">
        <f ca="1">(((_xlfn.XLOOKUP(YEAR($B23),'Oferta Producto 1'!$B$8:$B$19,'Oferta Producto 1'!$E$8:$E$19))*$AD23)/$AB23)/24</f>
        <v>0</v>
      </c>
      <c r="T23" s="35">
        <f ca="1">(((_xlfn.XLOOKUP(YEAR($B23),'Oferta Producto 1'!$B$8:$B$19,'Oferta Producto 1'!$E$8:$E$19))*$AD23)/$AB23)/24</f>
        <v>0</v>
      </c>
      <c r="U23" s="35">
        <f ca="1">(((_xlfn.XLOOKUP(YEAR($B23),'Oferta Producto 1'!$B$8:$B$19,'Oferta Producto 1'!$E$8:$E$19))*$AD23)/$AB23)/24</f>
        <v>0</v>
      </c>
      <c r="V23" s="35">
        <f ca="1">(((_xlfn.XLOOKUP(YEAR($B23),'Oferta Producto 1'!$B$8:$B$19,'Oferta Producto 1'!$E$8:$E$19))*$AD23)/$AB23)/24</f>
        <v>0</v>
      </c>
      <c r="W23" s="35">
        <f ca="1">(((_xlfn.XLOOKUP(YEAR($B23),'Oferta Producto 1'!$B$8:$B$19,'Oferta Producto 1'!$E$8:$E$19))*$AD23)/$AB23)/24</f>
        <v>0</v>
      </c>
      <c r="X23" s="35">
        <f ca="1">(((_xlfn.XLOOKUP(YEAR($B23),'Oferta Producto 1'!$B$8:$B$19,'Oferta Producto 1'!$E$8:$E$19))*$AD23)/$AB23)/24</f>
        <v>0</v>
      </c>
      <c r="Y23" s="35">
        <f ca="1">(((_xlfn.XLOOKUP(YEAR($B23),'Oferta Producto 1'!$B$8:$B$19,'Oferta Producto 1'!$E$8:$E$19))*$AD23)/$AB23)/24</f>
        <v>0</v>
      </c>
      <c r="Z23" s="35">
        <f ca="1">(((_xlfn.XLOOKUP(YEAR($B23),'Oferta Producto 1'!$B$8:$B$19,'Oferta Producto 1'!$E$8:$E$19))*$AD23)/$AB23)/24</f>
        <v>0</v>
      </c>
      <c r="AA23" s="35">
        <f t="shared" ca="1" si="4"/>
        <v>0</v>
      </c>
      <c r="AB23" s="28">
        <f t="shared" si="2"/>
        <v>30</v>
      </c>
      <c r="AC23" s="42">
        <f t="shared" ca="1" si="3"/>
        <v>0</v>
      </c>
      <c r="AD23" s="43">
        <v>8.4097020446841267E-2</v>
      </c>
      <c r="AE23"/>
    </row>
    <row r="24" spans="1:33" ht="15.75" thickBot="1">
      <c r="A24" s="23">
        <f t="shared" si="0"/>
        <v>2027</v>
      </c>
      <c r="B24" s="27">
        <v>46569</v>
      </c>
      <c r="C24" s="35">
        <f ca="1">(((_xlfn.XLOOKUP(YEAR($B24),'Oferta Producto 1'!$B$8:$B$19,'Oferta Producto 1'!$E$8:$E$19))*$AD24)/$AB24)/24</f>
        <v>0</v>
      </c>
      <c r="D24" s="35">
        <f ca="1">(((_xlfn.XLOOKUP(YEAR($B24),'Oferta Producto 1'!$B$8:$B$19,'Oferta Producto 1'!$E$8:$E$19))*$AD24)/$AB24)/24</f>
        <v>0</v>
      </c>
      <c r="E24" s="35">
        <f ca="1">(((_xlfn.XLOOKUP(YEAR($B24),'Oferta Producto 1'!$B$8:$B$19,'Oferta Producto 1'!$E$8:$E$19))*$AD24)/$AB24)/24</f>
        <v>0</v>
      </c>
      <c r="F24" s="35">
        <f ca="1">(((_xlfn.XLOOKUP(YEAR($B24),'Oferta Producto 1'!$B$8:$B$19,'Oferta Producto 1'!$E$8:$E$19))*$AD24)/$AB24)/24</f>
        <v>0</v>
      </c>
      <c r="G24" s="35">
        <f ca="1">(((_xlfn.XLOOKUP(YEAR($B24),'Oferta Producto 1'!$B$8:$B$19,'Oferta Producto 1'!$E$8:$E$19))*$AD24)/$AB24)/24</f>
        <v>0</v>
      </c>
      <c r="H24" s="35">
        <f ca="1">(((_xlfn.XLOOKUP(YEAR($B24),'Oferta Producto 1'!$B$8:$B$19,'Oferta Producto 1'!$E$8:$E$19))*$AD24)/$AB24)/24</f>
        <v>0</v>
      </c>
      <c r="I24" s="35">
        <f ca="1">(((_xlfn.XLOOKUP(YEAR($B24),'Oferta Producto 1'!$B$8:$B$19,'Oferta Producto 1'!$E$8:$E$19))*$AD24)/$AB24)/24</f>
        <v>0</v>
      </c>
      <c r="J24" s="35">
        <f ca="1">(((_xlfn.XLOOKUP(YEAR($B24),'Oferta Producto 1'!$B$8:$B$19,'Oferta Producto 1'!$E$8:$E$19))*$AD24)/$AB24)/24</f>
        <v>0</v>
      </c>
      <c r="K24" s="35">
        <f ca="1">(((_xlfn.XLOOKUP(YEAR($B24),'Oferta Producto 1'!$B$8:$B$19,'Oferta Producto 1'!$E$8:$E$19))*$AD24)/$AB24)/24</f>
        <v>0</v>
      </c>
      <c r="L24" s="35">
        <f ca="1">(((_xlfn.XLOOKUP(YEAR($B24),'Oferta Producto 1'!$B$8:$B$19,'Oferta Producto 1'!$E$8:$E$19))*$AD24)/$AB24)/24</f>
        <v>0</v>
      </c>
      <c r="M24" s="35">
        <f ca="1">(((_xlfn.XLOOKUP(YEAR($B24),'Oferta Producto 1'!$B$8:$B$19,'Oferta Producto 1'!$E$8:$E$19))*$AD24)/$AB24)/24</f>
        <v>0</v>
      </c>
      <c r="N24" s="35">
        <f ca="1">(((_xlfn.XLOOKUP(YEAR($B24),'Oferta Producto 1'!$B$8:$B$19,'Oferta Producto 1'!$E$8:$E$19))*$AD24)/$AB24)/24</f>
        <v>0</v>
      </c>
      <c r="O24" s="35">
        <f ca="1">(((_xlfn.XLOOKUP(YEAR($B24),'Oferta Producto 1'!$B$8:$B$19,'Oferta Producto 1'!$E$8:$E$19))*$AD24)/$AB24)/24</f>
        <v>0</v>
      </c>
      <c r="P24" s="35">
        <f ca="1">(((_xlfn.XLOOKUP(YEAR($B24),'Oferta Producto 1'!$B$8:$B$19,'Oferta Producto 1'!$E$8:$E$19))*$AD24)/$AB24)/24</f>
        <v>0</v>
      </c>
      <c r="Q24" s="35">
        <f ca="1">(((_xlfn.XLOOKUP(YEAR($B24),'Oferta Producto 1'!$B$8:$B$19,'Oferta Producto 1'!$E$8:$E$19))*$AD24)/$AB24)/24</f>
        <v>0</v>
      </c>
      <c r="R24" s="35">
        <f ca="1">(((_xlfn.XLOOKUP(YEAR($B24),'Oferta Producto 1'!$B$8:$B$19,'Oferta Producto 1'!$E$8:$E$19))*$AD24)/$AB24)/24</f>
        <v>0</v>
      </c>
      <c r="S24" s="35">
        <f ca="1">(((_xlfn.XLOOKUP(YEAR($B24),'Oferta Producto 1'!$B$8:$B$19,'Oferta Producto 1'!$E$8:$E$19))*$AD24)/$AB24)/24</f>
        <v>0</v>
      </c>
      <c r="T24" s="35">
        <f ca="1">(((_xlfn.XLOOKUP(YEAR($B24),'Oferta Producto 1'!$B$8:$B$19,'Oferta Producto 1'!$E$8:$E$19))*$AD24)/$AB24)/24</f>
        <v>0</v>
      </c>
      <c r="U24" s="35">
        <f ca="1">(((_xlfn.XLOOKUP(YEAR($B24),'Oferta Producto 1'!$B$8:$B$19,'Oferta Producto 1'!$E$8:$E$19))*$AD24)/$AB24)/24</f>
        <v>0</v>
      </c>
      <c r="V24" s="35">
        <f ca="1">(((_xlfn.XLOOKUP(YEAR($B24),'Oferta Producto 1'!$B$8:$B$19,'Oferta Producto 1'!$E$8:$E$19))*$AD24)/$AB24)/24</f>
        <v>0</v>
      </c>
      <c r="W24" s="35">
        <f ca="1">(((_xlfn.XLOOKUP(YEAR($B24),'Oferta Producto 1'!$B$8:$B$19,'Oferta Producto 1'!$E$8:$E$19))*$AD24)/$AB24)/24</f>
        <v>0</v>
      </c>
      <c r="X24" s="35">
        <f ca="1">(((_xlfn.XLOOKUP(YEAR($B24),'Oferta Producto 1'!$B$8:$B$19,'Oferta Producto 1'!$E$8:$E$19))*$AD24)/$AB24)/24</f>
        <v>0</v>
      </c>
      <c r="Y24" s="35">
        <f ca="1">(((_xlfn.XLOOKUP(YEAR($B24),'Oferta Producto 1'!$B$8:$B$19,'Oferta Producto 1'!$E$8:$E$19))*$AD24)/$AB24)/24</f>
        <v>0</v>
      </c>
      <c r="Z24" s="35">
        <f ca="1">(((_xlfn.XLOOKUP(YEAR($B24),'Oferta Producto 1'!$B$8:$B$19,'Oferta Producto 1'!$E$8:$E$19))*$AD24)/$AB24)/24</f>
        <v>0</v>
      </c>
      <c r="AA24" s="35">
        <f t="shared" ca="1" si="4"/>
        <v>0</v>
      </c>
      <c r="AB24" s="28">
        <f t="shared" si="2"/>
        <v>31</v>
      </c>
      <c r="AC24" s="42">
        <f t="shared" ca="1" si="3"/>
        <v>0</v>
      </c>
      <c r="AD24" s="43">
        <v>8.2264171374422282E-2</v>
      </c>
      <c r="AE24"/>
    </row>
    <row r="25" spans="1:33" ht="15.75" thickBot="1">
      <c r="A25" s="23">
        <f t="shared" si="0"/>
        <v>2027</v>
      </c>
      <c r="B25" s="27">
        <v>46600</v>
      </c>
      <c r="C25" s="35">
        <f ca="1">(((_xlfn.XLOOKUP(YEAR($B25),'Oferta Producto 1'!$B$8:$B$19,'Oferta Producto 1'!$E$8:$E$19))*$AD25)/$AB25)/24</f>
        <v>0</v>
      </c>
      <c r="D25" s="35">
        <f ca="1">(((_xlfn.XLOOKUP(YEAR($B25),'Oferta Producto 1'!$B$8:$B$19,'Oferta Producto 1'!$E$8:$E$19))*$AD25)/$AB25)/24</f>
        <v>0</v>
      </c>
      <c r="E25" s="35">
        <f ca="1">(((_xlfn.XLOOKUP(YEAR($B25),'Oferta Producto 1'!$B$8:$B$19,'Oferta Producto 1'!$E$8:$E$19))*$AD25)/$AB25)/24</f>
        <v>0</v>
      </c>
      <c r="F25" s="35">
        <f ca="1">(((_xlfn.XLOOKUP(YEAR($B25),'Oferta Producto 1'!$B$8:$B$19,'Oferta Producto 1'!$E$8:$E$19))*$AD25)/$AB25)/24</f>
        <v>0</v>
      </c>
      <c r="G25" s="35">
        <f ca="1">(((_xlfn.XLOOKUP(YEAR($B25),'Oferta Producto 1'!$B$8:$B$19,'Oferta Producto 1'!$E$8:$E$19))*$AD25)/$AB25)/24</f>
        <v>0</v>
      </c>
      <c r="H25" s="35">
        <f ca="1">(((_xlfn.XLOOKUP(YEAR($B25),'Oferta Producto 1'!$B$8:$B$19,'Oferta Producto 1'!$E$8:$E$19))*$AD25)/$AB25)/24</f>
        <v>0</v>
      </c>
      <c r="I25" s="35">
        <f ca="1">(((_xlfn.XLOOKUP(YEAR($B25),'Oferta Producto 1'!$B$8:$B$19,'Oferta Producto 1'!$E$8:$E$19))*$AD25)/$AB25)/24</f>
        <v>0</v>
      </c>
      <c r="J25" s="35">
        <f ca="1">(((_xlfn.XLOOKUP(YEAR($B25),'Oferta Producto 1'!$B$8:$B$19,'Oferta Producto 1'!$E$8:$E$19))*$AD25)/$AB25)/24</f>
        <v>0</v>
      </c>
      <c r="K25" s="35">
        <f ca="1">(((_xlfn.XLOOKUP(YEAR($B25),'Oferta Producto 1'!$B$8:$B$19,'Oferta Producto 1'!$E$8:$E$19))*$AD25)/$AB25)/24</f>
        <v>0</v>
      </c>
      <c r="L25" s="35">
        <f ca="1">(((_xlfn.XLOOKUP(YEAR($B25),'Oferta Producto 1'!$B$8:$B$19,'Oferta Producto 1'!$E$8:$E$19))*$AD25)/$AB25)/24</f>
        <v>0</v>
      </c>
      <c r="M25" s="35">
        <f ca="1">(((_xlfn.XLOOKUP(YEAR($B25),'Oferta Producto 1'!$B$8:$B$19,'Oferta Producto 1'!$E$8:$E$19))*$AD25)/$AB25)/24</f>
        <v>0</v>
      </c>
      <c r="N25" s="35">
        <f ca="1">(((_xlfn.XLOOKUP(YEAR($B25),'Oferta Producto 1'!$B$8:$B$19,'Oferta Producto 1'!$E$8:$E$19))*$AD25)/$AB25)/24</f>
        <v>0</v>
      </c>
      <c r="O25" s="35">
        <f ca="1">(((_xlfn.XLOOKUP(YEAR($B25),'Oferta Producto 1'!$B$8:$B$19,'Oferta Producto 1'!$E$8:$E$19))*$AD25)/$AB25)/24</f>
        <v>0</v>
      </c>
      <c r="P25" s="35">
        <f ca="1">(((_xlfn.XLOOKUP(YEAR($B25),'Oferta Producto 1'!$B$8:$B$19,'Oferta Producto 1'!$E$8:$E$19))*$AD25)/$AB25)/24</f>
        <v>0</v>
      </c>
      <c r="Q25" s="35">
        <f ca="1">(((_xlfn.XLOOKUP(YEAR($B25),'Oferta Producto 1'!$B$8:$B$19,'Oferta Producto 1'!$E$8:$E$19))*$AD25)/$AB25)/24</f>
        <v>0</v>
      </c>
      <c r="R25" s="35">
        <f ca="1">(((_xlfn.XLOOKUP(YEAR($B25),'Oferta Producto 1'!$B$8:$B$19,'Oferta Producto 1'!$E$8:$E$19))*$AD25)/$AB25)/24</f>
        <v>0</v>
      </c>
      <c r="S25" s="35">
        <f ca="1">(((_xlfn.XLOOKUP(YEAR($B25),'Oferta Producto 1'!$B$8:$B$19,'Oferta Producto 1'!$E$8:$E$19))*$AD25)/$AB25)/24</f>
        <v>0</v>
      </c>
      <c r="T25" s="35">
        <f ca="1">(((_xlfn.XLOOKUP(YEAR($B25),'Oferta Producto 1'!$B$8:$B$19,'Oferta Producto 1'!$E$8:$E$19))*$AD25)/$AB25)/24</f>
        <v>0</v>
      </c>
      <c r="U25" s="35">
        <f ca="1">(((_xlfn.XLOOKUP(YEAR($B25),'Oferta Producto 1'!$B$8:$B$19,'Oferta Producto 1'!$E$8:$E$19))*$AD25)/$AB25)/24</f>
        <v>0</v>
      </c>
      <c r="V25" s="35">
        <f ca="1">(((_xlfn.XLOOKUP(YEAR($B25),'Oferta Producto 1'!$B$8:$B$19,'Oferta Producto 1'!$E$8:$E$19))*$AD25)/$AB25)/24</f>
        <v>0</v>
      </c>
      <c r="W25" s="35">
        <f ca="1">(((_xlfn.XLOOKUP(YEAR($B25),'Oferta Producto 1'!$B$8:$B$19,'Oferta Producto 1'!$E$8:$E$19))*$AD25)/$AB25)/24</f>
        <v>0</v>
      </c>
      <c r="X25" s="35">
        <f ca="1">(((_xlfn.XLOOKUP(YEAR($B25),'Oferta Producto 1'!$B$8:$B$19,'Oferta Producto 1'!$E$8:$E$19))*$AD25)/$AB25)/24</f>
        <v>0</v>
      </c>
      <c r="Y25" s="35">
        <f ca="1">(((_xlfn.XLOOKUP(YEAR($B25),'Oferta Producto 1'!$B$8:$B$19,'Oferta Producto 1'!$E$8:$E$19))*$AD25)/$AB25)/24</f>
        <v>0</v>
      </c>
      <c r="Z25" s="35">
        <f ca="1">(((_xlfn.XLOOKUP(YEAR($B25),'Oferta Producto 1'!$B$8:$B$19,'Oferta Producto 1'!$E$8:$E$19))*$AD25)/$AB25)/24</f>
        <v>0</v>
      </c>
      <c r="AA25" s="35">
        <f t="shared" ca="1" si="4"/>
        <v>0</v>
      </c>
      <c r="AB25" s="28">
        <f t="shared" si="2"/>
        <v>31</v>
      </c>
      <c r="AC25" s="42">
        <f t="shared" ca="1" si="3"/>
        <v>0</v>
      </c>
      <c r="AD25" s="43">
        <v>8.2264171374422282E-2</v>
      </c>
      <c r="AE25"/>
    </row>
    <row r="26" spans="1:33" ht="15.75" thickBot="1">
      <c r="A26" s="23">
        <f t="shared" si="0"/>
        <v>2027</v>
      </c>
      <c r="B26" s="27">
        <v>46631</v>
      </c>
      <c r="C26" s="35">
        <f ca="1">(((_xlfn.XLOOKUP(YEAR($B26),'Oferta Producto 1'!$B$8:$B$19,'Oferta Producto 1'!$E$8:$E$19))*$AD26)/$AB26)/24</f>
        <v>0</v>
      </c>
      <c r="D26" s="35">
        <f ca="1">(((_xlfn.XLOOKUP(YEAR($B26),'Oferta Producto 1'!$B$8:$B$19,'Oferta Producto 1'!$E$8:$E$19))*$AD26)/$AB26)/24</f>
        <v>0</v>
      </c>
      <c r="E26" s="35">
        <f ca="1">(((_xlfn.XLOOKUP(YEAR($B26),'Oferta Producto 1'!$B$8:$B$19,'Oferta Producto 1'!$E$8:$E$19))*$AD26)/$AB26)/24</f>
        <v>0</v>
      </c>
      <c r="F26" s="35">
        <f ca="1">(((_xlfn.XLOOKUP(YEAR($B26),'Oferta Producto 1'!$B$8:$B$19,'Oferta Producto 1'!$E$8:$E$19))*$AD26)/$AB26)/24</f>
        <v>0</v>
      </c>
      <c r="G26" s="35">
        <f ca="1">(((_xlfn.XLOOKUP(YEAR($B26),'Oferta Producto 1'!$B$8:$B$19,'Oferta Producto 1'!$E$8:$E$19))*$AD26)/$AB26)/24</f>
        <v>0</v>
      </c>
      <c r="H26" s="35">
        <f ca="1">(((_xlfn.XLOOKUP(YEAR($B26),'Oferta Producto 1'!$B$8:$B$19,'Oferta Producto 1'!$E$8:$E$19))*$AD26)/$AB26)/24</f>
        <v>0</v>
      </c>
      <c r="I26" s="35">
        <f ca="1">(((_xlfn.XLOOKUP(YEAR($B26),'Oferta Producto 1'!$B$8:$B$19,'Oferta Producto 1'!$E$8:$E$19))*$AD26)/$AB26)/24</f>
        <v>0</v>
      </c>
      <c r="J26" s="35">
        <f ca="1">(((_xlfn.XLOOKUP(YEAR($B26),'Oferta Producto 1'!$B$8:$B$19,'Oferta Producto 1'!$E$8:$E$19))*$AD26)/$AB26)/24</f>
        <v>0</v>
      </c>
      <c r="K26" s="35">
        <f ca="1">(((_xlfn.XLOOKUP(YEAR($B26),'Oferta Producto 1'!$B$8:$B$19,'Oferta Producto 1'!$E$8:$E$19))*$AD26)/$AB26)/24</f>
        <v>0</v>
      </c>
      <c r="L26" s="35">
        <f ca="1">(((_xlfn.XLOOKUP(YEAR($B26),'Oferta Producto 1'!$B$8:$B$19,'Oferta Producto 1'!$E$8:$E$19))*$AD26)/$AB26)/24</f>
        <v>0</v>
      </c>
      <c r="M26" s="35">
        <f ca="1">(((_xlfn.XLOOKUP(YEAR($B26),'Oferta Producto 1'!$B$8:$B$19,'Oferta Producto 1'!$E$8:$E$19))*$AD26)/$AB26)/24</f>
        <v>0</v>
      </c>
      <c r="N26" s="35">
        <f ca="1">(((_xlfn.XLOOKUP(YEAR($B26),'Oferta Producto 1'!$B$8:$B$19,'Oferta Producto 1'!$E$8:$E$19))*$AD26)/$AB26)/24</f>
        <v>0</v>
      </c>
      <c r="O26" s="35">
        <f ca="1">(((_xlfn.XLOOKUP(YEAR($B26),'Oferta Producto 1'!$B$8:$B$19,'Oferta Producto 1'!$E$8:$E$19))*$AD26)/$AB26)/24</f>
        <v>0</v>
      </c>
      <c r="P26" s="35">
        <f ca="1">(((_xlfn.XLOOKUP(YEAR($B26),'Oferta Producto 1'!$B$8:$B$19,'Oferta Producto 1'!$E$8:$E$19))*$AD26)/$AB26)/24</f>
        <v>0</v>
      </c>
      <c r="Q26" s="35">
        <f ca="1">(((_xlfn.XLOOKUP(YEAR($B26),'Oferta Producto 1'!$B$8:$B$19,'Oferta Producto 1'!$E$8:$E$19))*$AD26)/$AB26)/24</f>
        <v>0</v>
      </c>
      <c r="R26" s="35">
        <f ca="1">(((_xlfn.XLOOKUP(YEAR($B26),'Oferta Producto 1'!$B$8:$B$19,'Oferta Producto 1'!$E$8:$E$19))*$AD26)/$AB26)/24</f>
        <v>0</v>
      </c>
      <c r="S26" s="35">
        <f ca="1">(((_xlfn.XLOOKUP(YEAR($B26),'Oferta Producto 1'!$B$8:$B$19,'Oferta Producto 1'!$E$8:$E$19))*$AD26)/$AB26)/24</f>
        <v>0</v>
      </c>
      <c r="T26" s="35">
        <f ca="1">(((_xlfn.XLOOKUP(YEAR($B26),'Oferta Producto 1'!$B$8:$B$19,'Oferta Producto 1'!$E$8:$E$19))*$AD26)/$AB26)/24</f>
        <v>0</v>
      </c>
      <c r="U26" s="35">
        <f ca="1">(((_xlfn.XLOOKUP(YEAR($B26),'Oferta Producto 1'!$B$8:$B$19,'Oferta Producto 1'!$E$8:$E$19))*$AD26)/$AB26)/24</f>
        <v>0</v>
      </c>
      <c r="V26" s="35">
        <f ca="1">(((_xlfn.XLOOKUP(YEAR($B26),'Oferta Producto 1'!$B$8:$B$19,'Oferta Producto 1'!$E$8:$E$19))*$AD26)/$AB26)/24</f>
        <v>0</v>
      </c>
      <c r="W26" s="35">
        <f ca="1">(((_xlfn.XLOOKUP(YEAR($B26),'Oferta Producto 1'!$B$8:$B$19,'Oferta Producto 1'!$E$8:$E$19))*$AD26)/$AB26)/24</f>
        <v>0</v>
      </c>
      <c r="X26" s="35">
        <f ca="1">(((_xlfn.XLOOKUP(YEAR($B26),'Oferta Producto 1'!$B$8:$B$19,'Oferta Producto 1'!$E$8:$E$19))*$AD26)/$AB26)/24</f>
        <v>0</v>
      </c>
      <c r="Y26" s="35">
        <f ca="1">(((_xlfn.XLOOKUP(YEAR($B26),'Oferta Producto 1'!$B$8:$B$19,'Oferta Producto 1'!$E$8:$E$19))*$AD26)/$AB26)/24</f>
        <v>0</v>
      </c>
      <c r="Z26" s="35">
        <f ca="1">(((_xlfn.XLOOKUP(YEAR($B26),'Oferta Producto 1'!$B$8:$B$19,'Oferta Producto 1'!$E$8:$E$19))*$AD26)/$AB26)/24</f>
        <v>0</v>
      </c>
      <c r="AA26" s="35">
        <f t="shared" ca="1" si="4"/>
        <v>0</v>
      </c>
      <c r="AB26" s="28">
        <f t="shared" si="2"/>
        <v>30</v>
      </c>
      <c r="AC26" s="42">
        <f t="shared" ca="1" si="3"/>
        <v>0</v>
      </c>
      <c r="AD26" s="43">
        <v>8.4097020446841267E-2</v>
      </c>
      <c r="AE26"/>
    </row>
    <row r="27" spans="1:33" ht="15.75" thickBot="1">
      <c r="A27" s="23">
        <f t="shared" si="0"/>
        <v>2027</v>
      </c>
      <c r="B27" s="27">
        <v>46661</v>
      </c>
      <c r="C27" s="35">
        <f ca="1">(((_xlfn.XLOOKUP(YEAR($B27),'Oferta Producto 1'!$B$8:$B$19,'Oferta Producto 1'!$E$8:$E$19))*$AD27)/$AB27)/24</f>
        <v>0</v>
      </c>
      <c r="D27" s="35">
        <f ca="1">(((_xlfn.XLOOKUP(YEAR($B27),'Oferta Producto 1'!$B$8:$B$19,'Oferta Producto 1'!$E$8:$E$19))*$AD27)/$AB27)/24</f>
        <v>0</v>
      </c>
      <c r="E27" s="35">
        <f ca="1">(((_xlfn.XLOOKUP(YEAR($B27),'Oferta Producto 1'!$B$8:$B$19,'Oferta Producto 1'!$E$8:$E$19))*$AD27)/$AB27)/24</f>
        <v>0</v>
      </c>
      <c r="F27" s="35">
        <f ca="1">(((_xlfn.XLOOKUP(YEAR($B27),'Oferta Producto 1'!$B$8:$B$19,'Oferta Producto 1'!$E$8:$E$19))*$AD27)/$AB27)/24</f>
        <v>0</v>
      </c>
      <c r="G27" s="35">
        <f ca="1">(((_xlfn.XLOOKUP(YEAR($B27),'Oferta Producto 1'!$B$8:$B$19,'Oferta Producto 1'!$E$8:$E$19))*$AD27)/$AB27)/24</f>
        <v>0</v>
      </c>
      <c r="H27" s="35">
        <f ca="1">(((_xlfn.XLOOKUP(YEAR($B27),'Oferta Producto 1'!$B$8:$B$19,'Oferta Producto 1'!$E$8:$E$19))*$AD27)/$AB27)/24</f>
        <v>0</v>
      </c>
      <c r="I27" s="35">
        <f ca="1">(((_xlfn.XLOOKUP(YEAR($B27),'Oferta Producto 1'!$B$8:$B$19,'Oferta Producto 1'!$E$8:$E$19))*$AD27)/$AB27)/24</f>
        <v>0</v>
      </c>
      <c r="J27" s="35">
        <f ca="1">(((_xlfn.XLOOKUP(YEAR($B27),'Oferta Producto 1'!$B$8:$B$19,'Oferta Producto 1'!$E$8:$E$19))*$AD27)/$AB27)/24</f>
        <v>0</v>
      </c>
      <c r="K27" s="35">
        <f ca="1">(((_xlfn.XLOOKUP(YEAR($B27),'Oferta Producto 1'!$B$8:$B$19,'Oferta Producto 1'!$E$8:$E$19))*$AD27)/$AB27)/24</f>
        <v>0</v>
      </c>
      <c r="L27" s="35">
        <f ca="1">(((_xlfn.XLOOKUP(YEAR($B27),'Oferta Producto 1'!$B$8:$B$19,'Oferta Producto 1'!$E$8:$E$19))*$AD27)/$AB27)/24</f>
        <v>0</v>
      </c>
      <c r="M27" s="35">
        <f ca="1">(((_xlfn.XLOOKUP(YEAR($B27),'Oferta Producto 1'!$B$8:$B$19,'Oferta Producto 1'!$E$8:$E$19))*$AD27)/$AB27)/24</f>
        <v>0</v>
      </c>
      <c r="N27" s="35">
        <f ca="1">(((_xlfn.XLOOKUP(YEAR($B27),'Oferta Producto 1'!$B$8:$B$19,'Oferta Producto 1'!$E$8:$E$19))*$AD27)/$AB27)/24</f>
        <v>0</v>
      </c>
      <c r="O27" s="35">
        <f ca="1">(((_xlfn.XLOOKUP(YEAR($B27),'Oferta Producto 1'!$B$8:$B$19,'Oferta Producto 1'!$E$8:$E$19))*$AD27)/$AB27)/24</f>
        <v>0</v>
      </c>
      <c r="P27" s="35">
        <f ca="1">(((_xlfn.XLOOKUP(YEAR($B27),'Oferta Producto 1'!$B$8:$B$19,'Oferta Producto 1'!$E$8:$E$19))*$AD27)/$AB27)/24</f>
        <v>0</v>
      </c>
      <c r="Q27" s="35">
        <f ca="1">(((_xlfn.XLOOKUP(YEAR($B27),'Oferta Producto 1'!$B$8:$B$19,'Oferta Producto 1'!$E$8:$E$19))*$AD27)/$AB27)/24</f>
        <v>0</v>
      </c>
      <c r="R27" s="35">
        <f ca="1">(((_xlfn.XLOOKUP(YEAR($B27),'Oferta Producto 1'!$B$8:$B$19,'Oferta Producto 1'!$E$8:$E$19))*$AD27)/$AB27)/24</f>
        <v>0</v>
      </c>
      <c r="S27" s="35">
        <f ca="1">(((_xlfn.XLOOKUP(YEAR($B27),'Oferta Producto 1'!$B$8:$B$19,'Oferta Producto 1'!$E$8:$E$19))*$AD27)/$AB27)/24</f>
        <v>0</v>
      </c>
      <c r="T27" s="35">
        <f ca="1">(((_xlfn.XLOOKUP(YEAR($B27),'Oferta Producto 1'!$B$8:$B$19,'Oferta Producto 1'!$E$8:$E$19))*$AD27)/$AB27)/24</f>
        <v>0</v>
      </c>
      <c r="U27" s="35">
        <f ca="1">(((_xlfn.XLOOKUP(YEAR($B27),'Oferta Producto 1'!$B$8:$B$19,'Oferta Producto 1'!$E$8:$E$19))*$AD27)/$AB27)/24</f>
        <v>0</v>
      </c>
      <c r="V27" s="35">
        <f ca="1">(((_xlfn.XLOOKUP(YEAR($B27),'Oferta Producto 1'!$B$8:$B$19,'Oferta Producto 1'!$E$8:$E$19))*$AD27)/$AB27)/24</f>
        <v>0</v>
      </c>
      <c r="W27" s="35">
        <f ca="1">(((_xlfn.XLOOKUP(YEAR($B27),'Oferta Producto 1'!$B$8:$B$19,'Oferta Producto 1'!$E$8:$E$19))*$AD27)/$AB27)/24</f>
        <v>0</v>
      </c>
      <c r="X27" s="35">
        <f ca="1">(((_xlfn.XLOOKUP(YEAR($B27),'Oferta Producto 1'!$B$8:$B$19,'Oferta Producto 1'!$E$8:$E$19))*$AD27)/$AB27)/24</f>
        <v>0</v>
      </c>
      <c r="Y27" s="35">
        <f ca="1">(((_xlfn.XLOOKUP(YEAR($B27),'Oferta Producto 1'!$B$8:$B$19,'Oferta Producto 1'!$E$8:$E$19))*$AD27)/$AB27)/24</f>
        <v>0</v>
      </c>
      <c r="Z27" s="35">
        <f ca="1">(((_xlfn.XLOOKUP(YEAR($B27),'Oferta Producto 1'!$B$8:$B$19,'Oferta Producto 1'!$E$8:$E$19))*$AD27)/$AB27)/24</f>
        <v>0</v>
      </c>
      <c r="AA27" s="35">
        <f t="shared" ca="1" si="4"/>
        <v>0</v>
      </c>
      <c r="AB27" s="28">
        <f t="shared" si="2"/>
        <v>31</v>
      </c>
      <c r="AC27" s="42">
        <f t="shared" ca="1" si="3"/>
        <v>0</v>
      </c>
      <c r="AD27" s="43">
        <v>8.2264171374422282E-2</v>
      </c>
      <c r="AE27"/>
    </row>
    <row r="28" spans="1:33" ht="15.75" thickBot="1">
      <c r="A28" s="23">
        <f t="shared" si="0"/>
        <v>2027</v>
      </c>
      <c r="B28" s="27">
        <v>46692</v>
      </c>
      <c r="C28" s="35">
        <f ca="1">(((_xlfn.XLOOKUP(YEAR($B28),'Oferta Producto 1'!$B$8:$B$19,'Oferta Producto 1'!$E$8:$E$19))*$AD28)/$AB28)/24</f>
        <v>0</v>
      </c>
      <c r="D28" s="35">
        <f ca="1">(((_xlfn.XLOOKUP(YEAR($B28),'Oferta Producto 1'!$B$8:$B$19,'Oferta Producto 1'!$E$8:$E$19))*$AD28)/$AB28)/24</f>
        <v>0</v>
      </c>
      <c r="E28" s="35">
        <f ca="1">(((_xlfn.XLOOKUP(YEAR($B28),'Oferta Producto 1'!$B$8:$B$19,'Oferta Producto 1'!$E$8:$E$19))*$AD28)/$AB28)/24</f>
        <v>0</v>
      </c>
      <c r="F28" s="35">
        <f ca="1">(((_xlfn.XLOOKUP(YEAR($B28),'Oferta Producto 1'!$B$8:$B$19,'Oferta Producto 1'!$E$8:$E$19))*$AD28)/$AB28)/24</f>
        <v>0</v>
      </c>
      <c r="G28" s="35">
        <f ca="1">(((_xlfn.XLOOKUP(YEAR($B28),'Oferta Producto 1'!$B$8:$B$19,'Oferta Producto 1'!$E$8:$E$19))*$AD28)/$AB28)/24</f>
        <v>0</v>
      </c>
      <c r="H28" s="35">
        <f ca="1">(((_xlfn.XLOOKUP(YEAR($B28),'Oferta Producto 1'!$B$8:$B$19,'Oferta Producto 1'!$E$8:$E$19))*$AD28)/$AB28)/24</f>
        <v>0</v>
      </c>
      <c r="I28" s="35">
        <f ca="1">(((_xlfn.XLOOKUP(YEAR($B28),'Oferta Producto 1'!$B$8:$B$19,'Oferta Producto 1'!$E$8:$E$19))*$AD28)/$AB28)/24</f>
        <v>0</v>
      </c>
      <c r="J28" s="35">
        <f ca="1">(((_xlfn.XLOOKUP(YEAR($B28),'Oferta Producto 1'!$B$8:$B$19,'Oferta Producto 1'!$E$8:$E$19))*$AD28)/$AB28)/24</f>
        <v>0</v>
      </c>
      <c r="K28" s="35">
        <f ca="1">(((_xlfn.XLOOKUP(YEAR($B28),'Oferta Producto 1'!$B$8:$B$19,'Oferta Producto 1'!$E$8:$E$19))*$AD28)/$AB28)/24</f>
        <v>0</v>
      </c>
      <c r="L28" s="35">
        <f ca="1">(((_xlfn.XLOOKUP(YEAR($B28),'Oferta Producto 1'!$B$8:$B$19,'Oferta Producto 1'!$E$8:$E$19))*$AD28)/$AB28)/24</f>
        <v>0</v>
      </c>
      <c r="M28" s="35">
        <f ca="1">(((_xlfn.XLOOKUP(YEAR($B28),'Oferta Producto 1'!$B$8:$B$19,'Oferta Producto 1'!$E$8:$E$19))*$AD28)/$AB28)/24</f>
        <v>0</v>
      </c>
      <c r="N28" s="35">
        <f ca="1">(((_xlfn.XLOOKUP(YEAR($B28),'Oferta Producto 1'!$B$8:$B$19,'Oferta Producto 1'!$E$8:$E$19))*$AD28)/$AB28)/24</f>
        <v>0</v>
      </c>
      <c r="O28" s="35">
        <f ca="1">(((_xlfn.XLOOKUP(YEAR($B28),'Oferta Producto 1'!$B$8:$B$19,'Oferta Producto 1'!$E$8:$E$19))*$AD28)/$AB28)/24</f>
        <v>0</v>
      </c>
      <c r="P28" s="35">
        <f ca="1">(((_xlfn.XLOOKUP(YEAR($B28),'Oferta Producto 1'!$B$8:$B$19,'Oferta Producto 1'!$E$8:$E$19))*$AD28)/$AB28)/24</f>
        <v>0</v>
      </c>
      <c r="Q28" s="35">
        <f ca="1">(((_xlfn.XLOOKUP(YEAR($B28),'Oferta Producto 1'!$B$8:$B$19,'Oferta Producto 1'!$E$8:$E$19))*$AD28)/$AB28)/24</f>
        <v>0</v>
      </c>
      <c r="R28" s="35">
        <f ca="1">(((_xlfn.XLOOKUP(YEAR($B28),'Oferta Producto 1'!$B$8:$B$19,'Oferta Producto 1'!$E$8:$E$19))*$AD28)/$AB28)/24</f>
        <v>0</v>
      </c>
      <c r="S28" s="35">
        <f ca="1">(((_xlfn.XLOOKUP(YEAR($B28),'Oferta Producto 1'!$B$8:$B$19,'Oferta Producto 1'!$E$8:$E$19))*$AD28)/$AB28)/24</f>
        <v>0</v>
      </c>
      <c r="T28" s="35">
        <f ca="1">(((_xlfn.XLOOKUP(YEAR($B28),'Oferta Producto 1'!$B$8:$B$19,'Oferta Producto 1'!$E$8:$E$19))*$AD28)/$AB28)/24</f>
        <v>0</v>
      </c>
      <c r="U28" s="35">
        <f ca="1">(((_xlfn.XLOOKUP(YEAR($B28),'Oferta Producto 1'!$B$8:$B$19,'Oferta Producto 1'!$E$8:$E$19))*$AD28)/$AB28)/24</f>
        <v>0</v>
      </c>
      <c r="V28" s="35">
        <f ca="1">(((_xlfn.XLOOKUP(YEAR($B28),'Oferta Producto 1'!$B$8:$B$19,'Oferta Producto 1'!$E$8:$E$19))*$AD28)/$AB28)/24</f>
        <v>0</v>
      </c>
      <c r="W28" s="35">
        <f ca="1">(((_xlfn.XLOOKUP(YEAR($B28),'Oferta Producto 1'!$B$8:$B$19,'Oferta Producto 1'!$E$8:$E$19))*$AD28)/$AB28)/24</f>
        <v>0</v>
      </c>
      <c r="X28" s="35">
        <f ca="1">(((_xlfn.XLOOKUP(YEAR($B28),'Oferta Producto 1'!$B$8:$B$19,'Oferta Producto 1'!$E$8:$E$19))*$AD28)/$AB28)/24</f>
        <v>0</v>
      </c>
      <c r="Y28" s="35">
        <f ca="1">(((_xlfn.XLOOKUP(YEAR($B28),'Oferta Producto 1'!$B$8:$B$19,'Oferta Producto 1'!$E$8:$E$19))*$AD28)/$AB28)/24</f>
        <v>0</v>
      </c>
      <c r="Z28" s="35">
        <f ca="1">(((_xlfn.XLOOKUP(YEAR($B28),'Oferta Producto 1'!$B$8:$B$19,'Oferta Producto 1'!$E$8:$E$19))*$AD28)/$AB28)/24</f>
        <v>0</v>
      </c>
      <c r="AA28" s="35">
        <f t="shared" ca="1" si="4"/>
        <v>0</v>
      </c>
      <c r="AB28" s="28">
        <f t="shared" si="2"/>
        <v>30</v>
      </c>
      <c r="AC28" s="42">
        <f t="shared" ca="1" si="3"/>
        <v>0</v>
      </c>
      <c r="AD28" s="43">
        <v>8.4097020446841267E-2</v>
      </c>
      <c r="AE28"/>
    </row>
    <row r="29" spans="1:33" ht="15.75" thickBot="1">
      <c r="A29" s="23">
        <f t="shared" si="0"/>
        <v>2027</v>
      </c>
      <c r="B29" s="27">
        <v>46722</v>
      </c>
      <c r="C29" s="35">
        <f ca="1">(((_xlfn.XLOOKUP(YEAR($B29),'Oferta Producto 1'!$B$8:$B$19,'Oferta Producto 1'!$E$8:$E$19))*$AD29)/$AB29)/24</f>
        <v>0</v>
      </c>
      <c r="D29" s="35">
        <f ca="1">(((_xlfn.XLOOKUP(YEAR($B29),'Oferta Producto 1'!$B$8:$B$19,'Oferta Producto 1'!$E$8:$E$19))*$AD29)/$AB29)/24</f>
        <v>0</v>
      </c>
      <c r="E29" s="35">
        <f ca="1">(((_xlfn.XLOOKUP(YEAR($B29),'Oferta Producto 1'!$B$8:$B$19,'Oferta Producto 1'!$E$8:$E$19))*$AD29)/$AB29)/24</f>
        <v>0</v>
      </c>
      <c r="F29" s="35">
        <f ca="1">(((_xlfn.XLOOKUP(YEAR($B29),'Oferta Producto 1'!$B$8:$B$19,'Oferta Producto 1'!$E$8:$E$19))*$AD29)/$AB29)/24</f>
        <v>0</v>
      </c>
      <c r="G29" s="35">
        <f ca="1">(((_xlfn.XLOOKUP(YEAR($B29),'Oferta Producto 1'!$B$8:$B$19,'Oferta Producto 1'!$E$8:$E$19))*$AD29)/$AB29)/24</f>
        <v>0</v>
      </c>
      <c r="H29" s="35">
        <f ca="1">(((_xlfn.XLOOKUP(YEAR($B29),'Oferta Producto 1'!$B$8:$B$19,'Oferta Producto 1'!$E$8:$E$19))*$AD29)/$AB29)/24</f>
        <v>0</v>
      </c>
      <c r="I29" s="35">
        <f ca="1">(((_xlfn.XLOOKUP(YEAR($B29),'Oferta Producto 1'!$B$8:$B$19,'Oferta Producto 1'!$E$8:$E$19))*$AD29)/$AB29)/24</f>
        <v>0</v>
      </c>
      <c r="J29" s="35">
        <f ca="1">(((_xlfn.XLOOKUP(YEAR($B29),'Oferta Producto 1'!$B$8:$B$19,'Oferta Producto 1'!$E$8:$E$19))*$AD29)/$AB29)/24</f>
        <v>0</v>
      </c>
      <c r="K29" s="35">
        <f ca="1">(((_xlfn.XLOOKUP(YEAR($B29),'Oferta Producto 1'!$B$8:$B$19,'Oferta Producto 1'!$E$8:$E$19))*$AD29)/$AB29)/24</f>
        <v>0</v>
      </c>
      <c r="L29" s="35">
        <f ca="1">(((_xlfn.XLOOKUP(YEAR($B29),'Oferta Producto 1'!$B$8:$B$19,'Oferta Producto 1'!$E$8:$E$19))*$AD29)/$AB29)/24</f>
        <v>0</v>
      </c>
      <c r="M29" s="35">
        <f ca="1">(((_xlfn.XLOOKUP(YEAR($B29),'Oferta Producto 1'!$B$8:$B$19,'Oferta Producto 1'!$E$8:$E$19))*$AD29)/$AB29)/24</f>
        <v>0</v>
      </c>
      <c r="N29" s="35">
        <f ca="1">(((_xlfn.XLOOKUP(YEAR($B29),'Oferta Producto 1'!$B$8:$B$19,'Oferta Producto 1'!$E$8:$E$19))*$AD29)/$AB29)/24</f>
        <v>0</v>
      </c>
      <c r="O29" s="35">
        <f ca="1">(((_xlfn.XLOOKUP(YEAR($B29),'Oferta Producto 1'!$B$8:$B$19,'Oferta Producto 1'!$E$8:$E$19))*$AD29)/$AB29)/24</f>
        <v>0</v>
      </c>
      <c r="P29" s="35">
        <f ca="1">(((_xlfn.XLOOKUP(YEAR($B29),'Oferta Producto 1'!$B$8:$B$19,'Oferta Producto 1'!$E$8:$E$19))*$AD29)/$AB29)/24</f>
        <v>0</v>
      </c>
      <c r="Q29" s="35">
        <f ca="1">(((_xlfn.XLOOKUP(YEAR($B29),'Oferta Producto 1'!$B$8:$B$19,'Oferta Producto 1'!$E$8:$E$19))*$AD29)/$AB29)/24</f>
        <v>0</v>
      </c>
      <c r="R29" s="35">
        <f ca="1">(((_xlfn.XLOOKUP(YEAR($B29),'Oferta Producto 1'!$B$8:$B$19,'Oferta Producto 1'!$E$8:$E$19))*$AD29)/$AB29)/24</f>
        <v>0</v>
      </c>
      <c r="S29" s="35">
        <f ca="1">(((_xlfn.XLOOKUP(YEAR($B29),'Oferta Producto 1'!$B$8:$B$19,'Oferta Producto 1'!$E$8:$E$19))*$AD29)/$AB29)/24</f>
        <v>0</v>
      </c>
      <c r="T29" s="35">
        <f ca="1">(((_xlfn.XLOOKUP(YEAR($B29),'Oferta Producto 1'!$B$8:$B$19,'Oferta Producto 1'!$E$8:$E$19))*$AD29)/$AB29)/24</f>
        <v>0</v>
      </c>
      <c r="U29" s="35">
        <f ca="1">(((_xlfn.XLOOKUP(YEAR($B29),'Oferta Producto 1'!$B$8:$B$19,'Oferta Producto 1'!$E$8:$E$19))*$AD29)/$AB29)/24</f>
        <v>0</v>
      </c>
      <c r="V29" s="35">
        <f ca="1">(((_xlfn.XLOOKUP(YEAR($B29),'Oferta Producto 1'!$B$8:$B$19,'Oferta Producto 1'!$E$8:$E$19))*$AD29)/$AB29)/24</f>
        <v>0</v>
      </c>
      <c r="W29" s="35">
        <f ca="1">(((_xlfn.XLOOKUP(YEAR($B29),'Oferta Producto 1'!$B$8:$B$19,'Oferta Producto 1'!$E$8:$E$19))*$AD29)/$AB29)/24</f>
        <v>0</v>
      </c>
      <c r="X29" s="35">
        <f ca="1">(((_xlfn.XLOOKUP(YEAR($B29),'Oferta Producto 1'!$B$8:$B$19,'Oferta Producto 1'!$E$8:$E$19))*$AD29)/$AB29)/24</f>
        <v>0</v>
      </c>
      <c r="Y29" s="35">
        <f ca="1">(((_xlfn.XLOOKUP(YEAR($B29),'Oferta Producto 1'!$B$8:$B$19,'Oferta Producto 1'!$E$8:$E$19))*$AD29)/$AB29)/24</f>
        <v>0</v>
      </c>
      <c r="Z29" s="35">
        <f ca="1">(((_xlfn.XLOOKUP(YEAR($B29),'Oferta Producto 1'!$B$8:$B$19,'Oferta Producto 1'!$E$8:$E$19))*$AD29)/$AB29)/24</f>
        <v>0</v>
      </c>
      <c r="AA29" s="35">
        <f t="shared" ca="1" si="4"/>
        <v>0</v>
      </c>
      <c r="AB29" s="28">
        <f t="shared" si="2"/>
        <v>31</v>
      </c>
      <c r="AC29" s="42">
        <f t="shared" ca="1" si="3"/>
        <v>0</v>
      </c>
      <c r="AD29" s="43">
        <v>8.2264171374422282E-2</v>
      </c>
      <c r="AE29"/>
    </row>
    <row r="30" spans="1:33" ht="15.75" thickBot="1">
      <c r="A30" s="23">
        <f t="shared" si="0"/>
        <v>2028</v>
      </c>
      <c r="B30" s="27">
        <v>46753</v>
      </c>
      <c r="C30" s="35">
        <f ca="1">(((_xlfn.XLOOKUP(YEAR($B30),'Oferta Producto 1'!$B$8:$B$19,'Oferta Producto 1'!$E$8:$E$19))*$AD30)/$AB30)/24</f>
        <v>0</v>
      </c>
      <c r="D30" s="35">
        <f ca="1">(((_xlfn.XLOOKUP(YEAR($B30),'Oferta Producto 1'!$B$8:$B$19,'Oferta Producto 1'!$E$8:$E$19))*$AD30)/$AB30)/24</f>
        <v>0</v>
      </c>
      <c r="E30" s="35">
        <f ca="1">(((_xlfn.XLOOKUP(YEAR($B30),'Oferta Producto 1'!$B$8:$B$19,'Oferta Producto 1'!$E$8:$E$19))*$AD30)/$AB30)/24</f>
        <v>0</v>
      </c>
      <c r="F30" s="35">
        <f ca="1">(((_xlfn.XLOOKUP(YEAR($B30),'Oferta Producto 1'!$B$8:$B$19,'Oferta Producto 1'!$E$8:$E$19))*$AD30)/$AB30)/24</f>
        <v>0</v>
      </c>
      <c r="G30" s="35">
        <f ca="1">(((_xlfn.XLOOKUP(YEAR($B30),'Oferta Producto 1'!$B$8:$B$19,'Oferta Producto 1'!$E$8:$E$19))*$AD30)/$AB30)/24</f>
        <v>0</v>
      </c>
      <c r="H30" s="35">
        <f ca="1">(((_xlfn.XLOOKUP(YEAR($B30),'Oferta Producto 1'!$B$8:$B$19,'Oferta Producto 1'!$E$8:$E$19))*$AD30)/$AB30)/24</f>
        <v>0</v>
      </c>
      <c r="I30" s="35">
        <f ca="1">(((_xlfn.XLOOKUP(YEAR($B30),'Oferta Producto 1'!$B$8:$B$19,'Oferta Producto 1'!$E$8:$E$19))*$AD30)/$AB30)/24</f>
        <v>0</v>
      </c>
      <c r="J30" s="35">
        <f ca="1">(((_xlfn.XLOOKUP(YEAR($B30),'Oferta Producto 1'!$B$8:$B$19,'Oferta Producto 1'!$E$8:$E$19))*$AD30)/$AB30)/24</f>
        <v>0</v>
      </c>
      <c r="K30" s="35">
        <f ca="1">(((_xlfn.XLOOKUP(YEAR($B30),'Oferta Producto 1'!$B$8:$B$19,'Oferta Producto 1'!$E$8:$E$19))*$AD30)/$AB30)/24</f>
        <v>0</v>
      </c>
      <c r="L30" s="35">
        <f ca="1">(((_xlfn.XLOOKUP(YEAR($B30),'Oferta Producto 1'!$B$8:$B$19,'Oferta Producto 1'!$E$8:$E$19))*$AD30)/$AB30)/24</f>
        <v>0</v>
      </c>
      <c r="M30" s="35">
        <f ca="1">(((_xlfn.XLOOKUP(YEAR($B30),'Oferta Producto 1'!$B$8:$B$19,'Oferta Producto 1'!$E$8:$E$19))*$AD30)/$AB30)/24</f>
        <v>0</v>
      </c>
      <c r="N30" s="35">
        <f ca="1">(((_xlfn.XLOOKUP(YEAR($B30),'Oferta Producto 1'!$B$8:$B$19,'Oferta Producto 1'!$E$8:$E$19))*$AD30)/$AB30)/24</f>
        <v>0</v>
      </c>
      <c r="O30" s="35">
        <f ca="1">(((_xlfn.XLOOKUP(YEAR($B30),'Oferta Producto 1'!$B$8:$B$19,'Oferta Producto 1'!$E$8:$E$19))*$AD30)/$AB30)/24</f>
        <v>0</v>
      </c>
      <c r="P30" s="35">
        <f ca="1">(((_xlfn.XLOOKUP(YEAR($B30),'Oferta Producto 1'!$B$8:$B$19,'Oferta Producto 1'!$E$8:$E$19))*$AD30)/$AB30)/24</f>
        <v>0</v>
      </c>
      <c r="Q30" s="35">
        <f ca="1">(((_xlfn.XLOOKUP(YEAR($B30),'Oferta Producto 1'!$B$8:$B$19,'Oferta Producto 1'!$E$8:$E$19))*$AD30)/$AB30)/24</f>
        <v>0</v>
      </c>
      <c r="R30" s="35">
        <f ca="1">(((_xlfn.XLOOKUP(YEAR($B30),'Oferta Producto 1'!$B$8:$B$19,'Oferta Producto 1'!$E$8:$E$19))*$AD30)/$AB30)/24</f>
        <v>0</v>
      </c>
      <c r="S30" s="35">
        <f ca="1">(((_xlfn.XLOOKUP(YEAR($B30),'Oferta Producto 1'!$B$8:$B$19,'Oferta Producto 1'!$E$8:$E$19))*$AD30)/$AB30)/24</f>
        <v>0</v>
      </c>
      <c r="T30" s="35">
        <f ca="1">(((_xlfn.XLOOKUP(YEAR($B30),'Oferta Producto 1'!$B$8:$B$19,'Oferta Producto 1'!$E$8:$E$19))*$AD30)/$AB30)/24</f>
        <v>0</v>
      </c>
      <c r="U30" s="35">
        <f ca="1">(((_xlfn.XLOOKUP(YEAR($B30),'Oferta Producto 1'!$B$8:$B$19,'Oferta Producto 1'!$E$8:$E$19))*$AD30)/$AB30)/24</f>
        <v>0</v>
      </c>
      <c r="V30" s="35">
        <f ca="1">(((_xlfn.XLOOKUP(YEAR($B30),'Oferta Producto 1'!$B$8:$B$19,'Oferta Producto 1'!$E$8:$E$19))*$AD30)/$AB30)/24</f>
        <v>0</v>
      </c>
      <c r="W30" s="35">
        <f ca="1">(((_xlfn.XLOOKUP(YEAR($B30),'Oferta Producto 1'!$B$8:$B$19,'Oferta Producto 1'!$E$8:$E$19))*$AD30)/$AB30)/24</f>
        <v>0</v>
      </c>
      <c r="X30" s="35">
        <f ca="1">(((_xlfn.XLOOKUP(YEAR($B30),'Oferta Producto 1'!$B$8:$B$19,'Oferta Producto 1'!$E$8:$E$19))*$AD30)/$AB30)/24</f>
        <v>0</v>
      </c>
      <c r="Y30" s="35">
        <f ca="1">(((_xlfn.XLOOKUP(YEAR($B30),'Oferta Producto 1'!$B$8:$B$19,'Oferta Producto 1'!$E$8:$E$19))*$AD30)/$AB30)/24</f>
        <v>0</v>
      </c>
      <c r="Z30" s="35">
        <f ca="1">(((_xlfn.XLOOKUP(YEAR($B30),'Oferta Producto 1'!$B$8:$B$19,'Oferta Producto 1'!$E$8:$E$19))*$AD30)/$AB30)/24</f>
        <v>0</v>
      </c>
      <c r="AA30" s="35">
        <f ca="1">SUM(C30:Z30)</f>
        <v>0</v>
      </c>
      <c r="AB30" s="28">
        <f t="shared" si="2"/>
        <v>31</v>
      </c>
      <c r="AC30" s="42">
        <f t="shared" ca="1" si="3"/>
        <v>0</v>
      </c>
      <c r="AD30" s="43">
        <v>8.2916184886125746E-2</v>
      </c>
      <c r="AE30"/>
    </row>
    <row r="31" spans="1:33" ht="15.75" thickBot="1">
      <c r="A31" s="23">
        <f t="shared" si="0"/>
        <v>2028</v>
      </c>
      <c r="B31" s="27">
        <v>46784</v>
      </c>
      <c r="C31" s="35">
        <f ca="1">(((_xlfn.XLOOKUP(YEAR($B31),'Oferta Producto 1'!$B$8:$B$19,'Oferta Producto 1'!$E$8:$E$19))*$AD31)/$AB31)/24</f>
        <v>0</v>
      </c>
      <c r="D31" s="35">
        <f ca="1">(((_xlfn.XLOOKUP(YEAR($B31),'Oferta Producto 1'!$B$8:$B$19,'Oferta Producto 1'!$E$8:$E$19))*$AD31)/$AB31)/24</f>
        <v>0</v>
      </c>
      <c r="E31" s="35">
        <f ca="1">(((_xlfn.XLOOKUP(YEAR($B31),'Oferta Producto 1'!$B$8:$B$19,'Oferta Producto 1'!$E$8:$E$19))*$AD31)/$AB31)/24</f>
        <v>0</v>
      </c>
      <c r="F31" s="35">
        <f ca="1">(((_xlfn.XLOOKUP(YEAR($B31),'Oferta Producto 1'!$B$8:$B$19,'Oferta Producto 1'!$E$8:$E$19))*$AD31)/$AB31)/24</f>
        <v>0</v>
      </c>
      <c r="G31" s="35">
        <f ca="1">(((_xlfn.XLOOKUP(YEAR($B31),'Oferta Producto 1'!$B$8:$B$19,'Oferta Producto 1'!$E$8:$E$19))*$AD31)/$AB31)/24</f>
        <v>0</v>
      </c>
      <c r="H31" s="35">
        <f ca="1">(((_xlfn.XLOOKUP(YEAR($B31),'Oferta Producto 1'!$B$8:$B$19,'Oferta Producto 1'!$E$8:$E$19))*$AD31)/$AB31)/24</f>
        <v>0</v>
      </c>
      <c r="I31" s="35">
        <f ca="1">(((_xlfn.XLOOKUP(YEAR($B31),'Oferta Producto 1'!$B$8:$B$19,'Oferta Producto 1'!$E$8:$E$19))*$AD31)/$AB31)/24</f>
        <v>0</v>
      </c>
      <c r="J31" s="35">
        <f ca="1">(((_xlfn.XLOOKUP(YEAR($B31),'Oferta Producto 1'!$B$8:$B$19,'Oferta Producto 1'!$E$8:$E$19))*$AD31)/$AB31)/24</f>
        <v>0</v>
      </c>
      <c r="K31" s="35">
        <f ca="1">(((_xlfn.XLOOKUP(YEAR($B31),'Oferta Producto 1'!$B$8:$B$19,'Oferta Producto 1'!$E$8:$E$19))*$AD31)/$AB31)/24</f>
        <v>0</v>
      </c>
      <c r="L31" s="35">
        <f ca="1">(((_xlfn.XLOOKUP(YEAR($B31),'Oferta Producto 1'!$B$8:$B$19,'Oferta Producto 1'!$E$8:$E$19))*$AD31)/$AB31)/24</f>
        <v>0</v>
      </c>
      <c r="M31" s="35">
        <f ca="1">(((_xlfn.XLOOKUP(YEAR($B31),'Oferta Producto 1'!$B$8:$B$19,'Oferta Producto 1'!$E$8:$E$19))*$AD31)/$AB31)/24</f>
        <v>0</v>
      </c>
      <c r="N31" s="35">
        <f ca="1">(((_xlfn.XLOOKUP(YEAR($B31),'Oferta Producto 1'!$B$8:$B$19,'Oferta Producto 1'!$E$8:$E$19))*$AD31)/$AB31)/24</f>
        <v>0</v>
      </c>
      <c r="O31" s="35">
        <f ca="1">(((_xlfn.XLOOKUP(YEAR($B31),'Oferta Producto 1'!$B$8:$B$19,'Oferta Producto 1'!$E$8:$E$19))*$AD31)/$AB31)/24</f>
        <v>0</v>
      </c>
      <c r="P31" s="35">
        <f ca="1">(((_xlfn.XLOOKUP(YEAR($B31),'Oferta Producto 1'!$B$8:$B$19,'Oferta Producto 1'!$E$8:$E$19))*$AD31)/$AB31)/24</f>
        <v>0</v>
      </c>
      <c r="Q31" s="35">
        <f ca="1">(((_xlfn.XLOOKUP(YEAR($B31),'Oferta Producto 1'!$B$8:$B$19,'Oferta Producto 1'!$E$8:$E$19))*$AD31)/$AB31)/24</f>
        <v>0</v>
      </c>
      <c r="R31" s="35">
        <f ca="1">(((_xlfn.XLOOKUP(YEAR($B31),'Oferta Producto 1'!$B$8:$B$19,'Oferta Producto 1'!$E$8:$E$19))*$AD31)/$AB31)/24</f>
        <v>0</v>
      </c>
      <c r="S31" s="35">
        <f ca="1">(((_xlfn.XLOOKUP(YEAR($B31),'Oferta Producto 1'!$B$8:$B$19,'Oferta Producto 1'!$E$8:$E$19))*$AD31)/$AB31)/24</f>
        <v>0</v>
      </c>
      <c r="T31" s="35">
        <f ca="1">(((_xlfn.XLOOKUP(YEAR($B31),'Oferta Producto 1'!$B$8:$B$19,'Oferta Producto 1'!$E$8:$E$19))*$AD31)/$AB31)/24</f>
        <v>0</v>
      </c>
      <c r="U31" s="35">
        <f ca="1">(((_xlfn.XLOOKUP(YEAR($B31),'Oferta Producto 1'!$B$8:$B$19,'Oferta Producto 1'!$E$8:$E$19))*$AD31)/$AB31)/24</f>
        <v>0</v>
      </c>
      <c r="V31" s="35">
        <f ca="1">(((_xlfn.XLOOKUP(YEAR($B31),'Oferta Producto 1'!$B$8:$B$19,'Oferta Producto 1'!$E$8:$E$19))*$AD31)/$AB31)/24</f>
        <v>0</v>
      </c>
      <c r="W31" s="35">
        <f ca="1">(((_xlfn.XLOOKUP(YEAR($B31),'Oferta Producto 1'!$B$8:$B$19,'Oferta Producto 1'!$E$8:$E$19))*$AD31)/$AB31)/24</f>
        <v>0</v>
      </c>
      <c r="X31" s="35">
        <f ca="1">(((_xlfn.XLOOKUP(YEAR($B31),'Oferta Producto 1'!$B$8:$B$19,'Oferta Producto 1'!$E$8:$E$19))*$AD31)/$AB31)/24</f>
        <v>0</v>
      </c>
      <c r="Y31" s="35">
        <f ca="1">(((_xlfn.XLOOKUP(YEAR($B31),'Oferta Producto 1'!$B$8:$B$19,'Oferta Producto 1'!$E$8:$E$19))*$AD31)/$AB31)/24</f>
        <v>0</v>
      </c>
      <c r="Z31" s="35">
        <f ca="1">(((_xlfn.XLOOKUP(YEAR($B31),'Oferta Producto 1'!$B$8:$B$19,'Oferta Producto 1'!$E$8:$E$19))*$AD31)/$AB31)/24</f>
        <v>0</v>
      </c>
      <c r="AA31" s="35">
        <f t="shared" ref="AA31:AA94" ca="1" si="5">SUM(C31:Z31)</f>
        <v>0</v>
      </c>
      <c r="AB31" s="28">
        <f t="shared" si="2"/>
        <v>29</v>
      </c>
      <c r="AC31" s="42">
        <f t="shared" ca="1" si="3"/>
        <v>0</v>
      </c>
      <c r="AD31" s="43">
        <v>8.4584778674956104E-2</v>
      </c>
      <c r="AE31"/>
    </row>
    <row r="32" spans="1:33" ht="15.75" thickBot="1">
      <c r="A32" s="23">
        <f t="shared" si="0"/>
        <v>2028</v>
      </c>
      <c r="B32" s="27">
        <v>46813</v>
      </c>
      <c r="C32" s="35">
        <f ca="1">(((_xlfn.XLOOKUP(YEAR($B32),'Oferta Producto 1'!$B$8:$B$19,'Oferta Producto 1'!$E$8:$E$19))*$AD32)/$AB32)/24</f>
        <v>0</v>
      </c>
      <c r="D32" s="35">
        <f ca="1">(((_xlfn.XLOOKUP(YEAR($B32),'Oferta Producto 1'!$B$8:$B$19,'Oferta Producto 1'!$E$8:$E$19))*$AD32)/$AB32)/24</f>
        <v>0</v>
      </c>
      <c r="E32" s="35">
        <f ca="1">(((_xlfn.XLOOKUP(YEAR($B32),'Oferta Producto 1'!$B$8:$B$19,'Oferta Producto 1'!$E$8:$E$19))*$AD32)/$AB32)/24</f>
        <v>0</v>
      </c>
      <c r="F32" s="35">
        <f ca="1">(((_xlfn.XLOOKUP(YEAR($B32),'Oferta Producto 1'!$B$8:$B$19,'Oferta Producto 1'!$E$8:$E$19))*$AD32)/$AB32)/24</f>
        <v>0</v>
      </c>
      <c r="G32" s="35">
        <f ca="1">(((_xlfn.XLOOKUP(YEAR($B32),'Oferta Producto 1'!$B$8:$B$19,'Oferta Producto 1'!$E$8:$E$19))*$AD32)/$AB32)/24</f>
        <v>0</v>
      </c>
      <c r="H32" s="35">
        <f ca="1">(((_xlfn.XLOOKUP(YEAR($B32),'Oferta Producto 1'!$B$8:$B$19,'Oferta Producto 1'!$E$8:$E$19))*$AD32)/$AB32)/24</f>
        <v>0</v>
      </c>
      <c r="I32" s="35">
        <f ca="1">(((_xlfn.XLOOKUP(YEAR($B32),'Oferta Producto 1'!$B$8:$B$19,'Oferta Producto 1'!$E$8:$E$19))*$AD32)/$AB32)/24</f>
        <v>0</v>
      </c>
      <c r="J32" s="35">
        <f ca="1">(((_xlfn.XLOOKUP(YEAR($B32),'Oferta Producto 1'!$B$8:$B$19,'Oferta Producto 1'!$E$8:$E$19))*$AD32)/$AB32)/24</f>
        <v>0</v>
      </c>
      <c r="K32" s="35">
        <f ca="1">(((_xlfn.XLOOKUP(YEAR($B32),'Oferta Producto 1'!$B$8:$B$19,'Oferta Producto 1'!$E$8:$E$19))*$AD32)/$AB32)/24</f>
        <v>0</v>
      </c>
      <c r="L32" s="35">
        <f ca="1">(((_xlfn.XLOOKUP(YEAR($B32),'Oferta Producto 1'!$B$8:$B$19,'Oferta Producto 1'!$E$8:$E$19))*$AD32)/$AB32)/24</f>
        <v>0</v>
      </c>
      <c r="M32" s="35">
        <f ca="1">(((_xlfn.XLOOKUP(YEAR($B32),'Oferta Producto 1'!$B$8:$B$19,'Oferta Producto 1'!$E$8:$E$19))*$AD32)/$AB32)/24</f>
        <v>0</v>
      </c>
      <c r="N32" s="35">
        <f ca="1">(((_xlfn.XLOOKUP(YEAR($B32),'Oferta Producto 1'!$B$8:$B$19,'Oferta Producto 1'!$E$8:$E$19))*$AD32)/$AB32)/24</f>
        <v>0</v>
      </c>
      <c r="O32" s="35">
        <f ca="1">(((_xlfn.XLOOKUP(YEAR($B32),'Oferta Producto 1'!$B$8:$B$19,'Oferta Producto 1'!$E$8:$E$19))*$AD32)/$AB32)/24</f>
        <v>0</v>
      </c>
      <c r="P32" s="35">
        <f ca="1">(((_xlfn.XLOOKUP(YEAR($B32),'Oferta Producto 1'!$B$8:$B$19,'Oferta Producto 1'!$E$8:$E$19))*$AD32)/$AB32)/24</f>
        <v>0</v>
      </c>
      <c r="Q32" s="35">
        <f ca="1">(((_xlfn.XLOOKUP(YEAR($B32),'Oferta Producto 1'!$B$8:$B$19,'Oferta Producto 1'!$E$8:$E$19))*$AD32)/$AB32)/24</f>
        <v>0</v>
      </c>
      <c r="R32" s="35">
        <f ca="1">(((_xlfn.XLOOKUP(YEAR($B32),'Oferta Producto 1'!$B$8:$B$19,'Oferta Producto 1'!$E$8:$E$19))*$AD32)/$AB32)/24</f>
        <v>0</v>
      </c>
      <c r="S32" s="35">
        <f ca="1">(((_xlfn.XLOOKUP(YEAR($B32),'Oferta Producto 1'!$B$8:$B$19,'Oferta Producto 1'!$E$8:$E$19))*$AD32)/$AB32)/24</f>
        <v>0</v>
      </c>
      <c r="T32" s="35">
        <f ca="1">(((_xlfn.XLOOKUP(YEAR($B32),'Oferta Producto 1'!$B$8:$B$19,'Oferta Producto 1'!$E$8:$E$19))*$AD32)/$AB32)/24</f>
        <v>0</v>
      </c>
      <c r="U32" s="35">
        <f ca="1">(((_xlfn.XLOOKUP(YEAR($B32),'Oferta Producto 1'!$B$8:$B$19,'Oferta Producto 1'!$E$8:$E$19))*$AD32)/$AB32)/24</f>
        <v>0</v>
      </c>
      <c r="V32" s="35">
        <f ca="1">(((_xlfn.XLOOKUP(YEAR($B32),'Oferta Producto 1'!$B$8:$B$19,'Oferta Producto 1'!$E$8:$E$19))*$AD32)/$AB32)/24</f>
        <v>0</v>
      </c>
      <c r="W32" s="35">
        <f ca="1">(((_xlfn.XLOOKUP(YEAR($B32),'Oferta Producto 1'!$B$8:$B$19,'Oferta Producto 1'!$E$8:$E$19))*$AD32)/$AB32)/24</f>
        <v>0</v>
      </c>
      <c r="X32" s="35">
        <f ca="1">(((_xlfn.XLOOKUP(YEAR($B32),'Oferta Producto 1'!$B$8:$B$19,'Oferta Producto 1'!$E$8:$E$19))*$AD32)/$AB32)/24</f>
        <v>0</v>
      </c>
      <c r="Y32" s="35">
        <f ca="1">(((_xlfn.XLOOKUP(YEAR($B32),'Oferta Producto 1'!$B$8:$B$19,'Oferta Producto 1'!$E$8:$E$19))*$AD32)/$AB32)/24</f>
        <v>0</v>
      </c>
      <c r="Z32" s="35">
        <f ca="1">(((_xlfn.XLOOKUP(YEAR($B32),'Oferta Producto 1'!$B$8:$B$19,'Oferta Producto 1'!$E$8:$E$19))*$AD32)/$AB32)/24</f>
        <v>0</v>
      </c>
      <c r="AA32" s="35">
        <f t="shared" ca="1" si="5"/>
        <v>0</v>
      </c>
      <c r="AB32" s="28">
        <f t="shared" si="2"/>
        <v>31</v>
      </c>
      <c r="AC32" s="42">
        <f t="shared" ca="1" si="3"/>
        <v>0</v>
      </c>
      <c r="AD32" s="43">
        <v>8.2916184886125746E-2</v>
      </c>
      <c r="AE32"/>
    </row>
    <row r="33" spans="1:31" ht="15.75" thickBot="1">
      <c r="A33" s="23">
        <f t="shared" si="0"/>
        <v>2028</v>
      </c>
      <c r="B33" s="27">
        <v>46844</v>
      </c>
      <c r="C33" s="35">
        <f ca="1">(((_xlfn.XLOOKUP(YEAR($B33),'Oferta Producto 1'!$B$8:$B$19,'Oferta Producto 1'!$E$8:$E$19))*$AD33)/$AB33)/24</f>
        <v>0</v>
      </c>
      <c r="D33" s="35">
        <f ca="1">(((_xlfn.XLOOKUP(YEAR($B33),'Oferta Producto 1'!$B$8:$B$19,'Oferta Producto 1'!$E$8:$E$19))*$AD33)/$AB33)/24</f>
        <v>0</v>
      </c>
      <c r="E33" s="35">
        <f ca="1">(((_xlfn.XLOOKUP(YEAR($B33),'Oferta Producto 1'!$B$8:$B$19,'Oferta Producto 1'!$E$8:$E$19))*$AD33)/$AB33)/24</f>
        <v>0</v>
      </c>
      <c r="F33" s="35">
        <f ca="1">(((_xlfn.XLOOKUP(YEAR($B33),'Oferta Producto 1'!$B$8:$B$19,'Oferta Producto 1'!$E$8:$E$19))*$AD33)/$AB33)/24</f>
        <v>0</v>
      </c>
      <c r="G33" s="35">
        <f ca="1">(((_xlfn.XLOOKUP(YEAR($B33),'Oferta Producto 1'!$B$8:$B$19,'Oferta Producto 1'!$E$8:$E$19))*$AD33)/$AB33)/24</f>
        <v>0</v>
      </c>
      <c r="H33" s="35">
        <f ca="1">(((_xlfn.XLOOKUP(YEAR($B33),'Oferta Producto 1'!$B$8:$B$19,'Oferta Producto 1'!$E$8:$E$19))*$AD33)/$AB33)/24</f>
        <v>0</v>
      </c>
      <c r="I33" s="35">
        <f ca="1">(((_xlfn.XLOOKUP(YEAR($B33),'Oferta Producto 1'!$B$8:$B$19,'Oferta Producto 1'!$E$8:$E$19))*$AD33)/$AB33)/24</f>
        <v>0</v>
      </c>
      <c r="J33" s="35">
        <f ca="1">(((_xlfn.XLOOKUP(YEAR($B33),'Oferta Producto 1'!$B$8:$B$19,'Oferta Producto 1'!$E$8:$E$19))*$AD33)/$AB33)/24</f>
        <v>0</v>
      </c>
      <c r="K33" s="35">
        <f ca="1">(((_xlfn.XLOOKUP(YEAR($B33),'Oferta Producto 1'!$B$8:$B$19,'Oferta Producto 1'!$E$8:$E$19))*$AD33)/$AB33)/24</f>
        <v>0</v>
      </c>
      <c r="L33" s="35">
        <f ca="1">(((_xlfn.XLOOKUP(YEAR($B33),'Oferta Producto 1'!$B$8:$B$19,'Oferta Producto 1'!$E$8:$E$19))*$AD33)/$AB33)/24</f>
        <v>0</v>
      </c>
      <c r="M33" s="35">
        <f ca="1">(((_xlfn.XLOOKUP(YEAR($B33),'Oferta Producto 1'!$B$8:$B$19,'Oferta Producto 1'!$E$8:$E$19))*$AD33)/$AB33)/24</f>
        <v>0</v>
      </c>
      <c r="N33" s="35">
        <f ca="1">(((_xlfn.XLOOKUP(YEAR($B33),'Oferta Producto 1'!$B$8:$B$19,'Oferta Producto 1'!$E$8:$E$19))*$AD33)/$AB33)/24</f>
        <v>0</v>
      </c>
      <c r="O33" s="35">
        <f ca="1">(((_xlfn.XLOOKUP(YEAR($B33),'Oferta Producto 1'!$B$8:$B$19,'Oferta Producto 1'!$E$8:$E$19))*$AD33)/$AB33)/24</f>
        <v>0</v>
      </c>
      <c r="P33" s="35">
        <f ca="1">(((_xlfn.XLOOKUP(YEAR($B33),'Oferta Producto 1'!$B$8:$B$19,'Oferta Producto 1'!$E$8:$E$19))*$AD33)/$AB33)/24</f>
        <v>0</v>
      </c>
      <c r="Q33" s="35">
        <f ca="1">(((_xlfn.XLOOKUP(YEAR($B33),'Oferta Producto 1'!$B$8:$B$19,'Oferta Producto 1'!$E$8:$E$19))*$AD33)/$AB33)/24</f>
        <v>0</v>
      </c>
      <c r="R33" s="35">
        <f ca="1">(((_xlfn.XLOOKUP(YEAR($B33),'Oferta Producto 1'!$B$8:$B$19,'Oferta Producto 1'!$E$8:$E$19))*$AD33)/$AB33)/24</f>
        <v>0</v>
      </c>
      <c r="S33" s="35">
        <f ca="1">(((_xlfn.XLOOKUP(YEAR($B33),'Oferta Producto 1'!$B$8:$B$19,'Oferta Producto 1'!$E$8:$E$19))*$AD33)/$AB33)/24</f>
        <v>0</v>
      </c>
      <c r="T33" s="35">
        <f ca="1">(((_xlfn.XLOOKUP(YEAR($B33),'Oferta Producto 1'!$B$8:$B$19,'Oferta Producto 1'!$E$8:$E$19))*$AD33)/$AB33)/24</f>
        <v>0</v>
      </c>
      <c r="U33" s="35">
        <f ca="1">(((_xlfn.XLOOKUP(YEAR($B33),'Oferta Producto 1'!$B$8:$B$19,'Oferta Producto 1'!$E$8:$E$19))*$AD33)/$AB33)/24</f>
        <v>0</v>
      </c>
      <c r="V33" s="35">
        <f ca="1">(((_xlfn.XLOOKUP(YEAR($B33),'Oferta Producto 1'!$B$8:$B$19,'Oferta Producto 1'!$E$8:$E$19))*$AD33)/$AB33)/24</f>
        <v>0</v>
      </c>
      <c r="W33" s="35">
        <f ca="1">(((_xlfn.XLOOKUP(YEAR($B33),'Oferta Producto 1'!$B$8:$B$19,'Oferta Producto 1'!$E$8:$E$19))*$AD33)/$AB33)/24</f>
        <v>0</v>
      </c>
      <c r="X33" s="35">
        <f ca="1">(((_xlfn.XLOOKUP(YEAR($B33),'Oferta Producto 1'!$B$8:$B$19,'Oferta Producto 1'!$E$8:$E$19))*$AD33)/$AB33)/24</f>
        <v>0</v>
      </c>
      <c r="Y33" s="35">
        <f ca="1">(((_xlfn.XLOOKUP(YEAR($B33),'Oferta Producto 1'!$B$8:$B$19,'Oferta Producto 1'!$E$8:$E$19))*$AD33)/$AB33)/24</f>
        <v>0</v>
      </c>
      <c r="Z33" s="35">
        <f ca="1">(((_xlfn.XLOOKUP(YEAR($B33),'Oferta Producto 1'!$B$8:$B$19,'Oferta Producto 1'!$E$8:$E$19))*$AD33)/$AB33)/24</f>
        <v>0</v>
      </c>
      <c r="AA33" s="35">
        <f t="shared" ca="1" si="5"/>
        <v>0</v>
      </c>
      <c r="AB33" s="28">
        <f t="shared" si="2"/>
        <v>30</v>
      </c>
      <c r="AC33" s="42">
        <f t="shared" ca="1" si="3"/>
        <v>0</v>
      </c>
      <c r="AD33" s="43">
        <v>8.3750481780540911E-2</v>
      </c>
      <c r="AE33"/>
    </row>
    <row r="34" spans="1:31" ht="15.75" thickBot="1">
      <c r="A34" s="23">
        <f t="shared" si="0"/>
        <v>2028</v>
      </c>
      <c r="B34" s="27">
        <v>46874</v>
      </c>
      <c r="C34" s="35">
        <f ca="1">(((_xlfn.XLOOKUP(YEAR($B34),'Oferta Producto 1'!$B$8:$B$19,'Oferta Producto 1'!$E$8:$E$19))*$AD34)/$AB34)/24</f>
        <v>0</v>
      </c>
      <c r="D34" s="35">
        <f ca="1">(((_xlfn.XLOOKUP(YEAR($B34),'Oferta Producto 1'!$B$8:$B$19,'Oferta Producto 1'!$E$8:$E$19))*$AD34)/$AB34)/24</f>
        <v>0</v>
      </c>
      <c r="E34" s="35">
        <f ca="1">(((_xlfn.XLOOKUP(YEAR($B34),'Oferta Producto 1'!$B$8:$B$19,'Oferta Producto 1'!$E$8:$E$19))*$AD34)/$AB34)/24</f>
        <v>0</v>
      </c>
      <c r="F34" s="35">
        <f ca="1">(((_xlfn.XLOOKUP(YEAR($B34),'Oferta Producto 1'!$B$8:$B$19,'Oferta Producto 1'!$E$8:$E$19))*$AD34)/$AB34)/24</f>
        <v>0</v>
      </c>
      <c r="G34" s="35">
        <f ca="1">(((_xlfn.XLOOKUP(YEAR($B34),'Oferta Producto 1'!$B$8:$B$19,'Oferta Producto 1'!$E$8:$E$19))*$AD34)/$AB34)/24</f>
        <v>0</v>
      </c>
      <c r="H34" s="35">
        <f ca="1">(((_xlfn.XLOOKUP(YEAR($B34),'Oferta Producto 1'!$B$8:$B$19,'Oferta Producto 1'!$E$8:$E$19))*$AD34)/$AB34)/24</f>
        <v>0</v>
      </c>
      <c r="I34" s="35">
        <f ca="1">(((_xlfn.XLOOKUP(YEAR($B34),'Oferta Producto 1'!$B$8:$B$19,'Oferta Producto 1'!$E$8:$E$19))*$AD34)/$AB34)/24</f>
        <v>0</v>
      </c>
      <c r="J34" s="35">
        <f ca="1">(((_xlfn.XLOOKUP(YEAR($B34),'Oferta Producto 1'!$B$8:$B$19,'Oferta Producto 1'!$E$8:$E$19))*$AD34)/$AB34)/24</f>
        <v>0</v>
      </c>
      <c r="K34" s="35">
        <f ca="1">(((_xlfn.XLOOKUP(YEAR($B34),'Oferta Producto 1'!$B$8:$B$19,'Oferta Producto 1'!$E$8:$E$19))*$AD34)/$AB34)/24</f>
        <v>0</v>
      </c>
      <c r="L34" s="35">
        <f ca="1">(((_xlfn.XLOOKUP(YEAR($B34),'Oferta Producto 1'!$B$8:$B$19,'Oferta Producto 1'!$E$8:$E$19))*$AD34)/$AB34)/24</f>
        <v>0</v>
      </c>
      <c r="M34" s="35">
        <f ca="1">(((_xlfn.XLOOKUP(YEAR($B34),'Oferta Producto 1'!$B$8:$B$19,'Oferta Producto 1'!$E$8:$E$19))*$AD34)/$AB34)/24</f>
        <v>0</v>
      </c>
      <c r="N34" s="35">
        <f ca="1">(((_xlfn.XLOOKUP(YEAR($B34),'Oferta Producto 1'!$B$8:$B$19,'Oferta Producto 1'!$E$8:$E$19))*$AD34)/$AB34)/24</f>
        <v>0</v>
      </c>
      <c r="O34" s="35">
        <f ca="1">(((_xlfn.XLOOKUP(YEAR($B34),'Oferta Producto 1'!$B$8:$B$19,'Oferta Producto 1'!$E$8:$E$19))*$AD34)/$AB34)/24</f>
        <v>0</v>
      </c>
      <c r="P34" s="35">
        <f ca="1">(((_xlfn.XLOOKUP(YEAR($B34),'Oferta Producto 1'!$B$8:$B$19,'Oferta Producto 1'!$E$8:$E$19))*$AD34)/$AB34)/24</f>
        <v>0</v>
      </c>
      <c r="Q34" s="35">
        <f ca="1">(((_xlfn.XLOOKUP(YEAR($B34),'Oferta Producto 1'!$B$8:$B$19,'Oferta Producto 1'!$E$8:$E$19))*$AD34)/$AB34)/24</f>
        <v>0</v>
      </c>
      <c r="R34" s="35">
        <f ca="1">(((_xlfn.XLOOKUP(YEAR($B34),'Oferta Producto 1'!$B$8:$B$19,'Oferta Producto 1'!$E$8:$E$19))*$AD34)/$AB34)/24</f>
        <v>0</v>
      </c>
      <c r="S34" s="35">
        <f ca="1">(((_xlfn.XLOOKUP(YEAR($B34),'Oferta Producto 1'!$B$8:$B$19,'Oferta Producto 1'!$E$8:$E$19))*$AD34)/$AB34)/24</f>
        <v>0</v>
      </c>
      <c r="T34" s="35">
        <f ca="1">(((_xlfn.XLOOKUP(YEAR($B34),'Oferta Producto 1'!$B$8:$B$19,'Oferta Producto 1'!$E$8:$E$19))*$AD34)/$AB34)/24</f>
        <v>0</v>
      </c>
      <c r="U34" s="35">
        <f ca="1">(((_xlfn.XLOOKUP(YEAR($B34),'Oferta Producto 1'!$B$8:$B$19,'Oferta Producto 1'!$E$8:$E$19))*$AD34)/$AB34)/24</f>
        <v>0</v>
      </c>
      <c r="V34" s="35">
        <f ca="1">(((_xlfn.XLOOKUP(YEAR($B34),'Oferta Producto 1'!$B$8:$B$19,'Oferta Producto 1'!$E$8:$E$19))*$AD34)/$AB34)/24</f>
        <v>0</v>
      </c>
      <c r="W34" s="35">
        <f ca="1">(((_xlfn.XLOOKUP(YEAR($B34),'Oferta Producto 1'!$B$8:$B$19,'Oferta Producto 1'!$E$8:$E$19))*$AD34)/$AB34)/24</f>
        <v>0</v>
      </c>
      <c r="X34" s="35">
        <f ca="1">(((_xlfn.XLOOKUP(YEAR($B34),'Oferta Producto 1'!$B$8:$B$19,'Oferta Producto 1'!$E$8:$E$19))*$AD34)/$AB34)/24</f>
        <v>0</v>
      </c>
      <c r="Y34" s="35">
        <f ca="1">(((_xlfn.XLOOKUP(YEAR($B34),'Oferta Producto 1'!$B$8:$B$19,'Oferta Producto 1'!$E$8:$E$19))*$AD34)/$AB34)/24</f>
        <v>0</v>
      </c>
      <c r="Z34" s="35">
        <f ca="1">(((_xlfn.XLOOKUP(YEAR($B34),'Oferta Producto 1'!$B$8:$B$19,'Oferta Producto 1'!$E$8:$E$19))*$AD34)/$AB34)/24</f>
        <v>0</v>
      </c>
      <c r="AA34" s="35">
        <f t="shared" ca="1" si="5"/>
        <v>0</v>
      </c>
      <c r="AB34" s="28">
        <f t="shared" si="2"/>
        <v>31</v>
      </c>
      <c r="AC34" s="42">
        <f t="shared" ca="1" si="3"/>
        <v>0</v>
      </c>
      <c r="AD34" s="43">
        <v>8.2916184886125746E-2</v>
      </c>
      <c r="AE34"/>
    </row>
    <row r="35" spans="1:31" ht="15.75" thickBot="1">
      <c r="A35" s="23">
        <f t="shared" si="0"/>
        <v>2028</v>
      </c>
      <c r="B35" s="27">
        <v>46905</v>
      </c>
      <c r="C35" s="35">
        <f ca="1">(((_xlfn.XLOOKUP(YEAR($B35),'Oferta Producto 1'!$B$8:$B$19,'Oferta Producto 1'!$E$8:$E$19))*$AD35)/$AB35)/24</f>
        <v>0</v>
      </c>
      <c r="D35" s="35">
        <f ca="1">(((_xlfn.XLOOKUP(YEAR($B35),'Oferta Producto 1'!$B$8:$B$19,'Oferta Producto 1'!$E$8:$E$19))*$AD35)/$AB35)/24</f>
        <v>0</v>
      </c>
      <c r="E35" s="35">
        <f ca="1">(((_xlfn.XLOOKUP(YEAR($B35),'Oferta Producto 1'!$B$8:$B$19,'Oferta Producto 1'!$E$8:$E$19))*$AD35)/$AB35)/24</f>
        <v>0</v>
      </c>
      <c r="F35" s="35">
        <f ca="1">(((_xlfn.XLOOKUP(YEAR($B35),'Oferta Producto 1'!$B$8:$B$19,'Oferta Producto 1'!$E$8:$E$19))*$AD35)/$AB35)/24</f>
        <v>0</v>
      </c>
      <c r="G35" s="35">
        <f ca="1">(((_xlfn.XLOOKUP(YEAR($B35),'Oferta Producto 1'!$B$8:$B$19,'Oferta Producto 1'!$E$8:$E$19))*$AD35)/$AB35)/24</f>
        <v>0</v>
      </c>
      <c r="H35" s="35">
        <f ca="1">(((_xlfn.XLOOKUP(YEAR($B35),'Oferta Producto 1'!$B$8:$B$19,'Oferta Producto 1'!$E$8:$E$19))*$AD35)/$AB35)/24</f>
        <v>0</v>
      </c>
      <c r="I35" s="35">
        <f ca="1">(((_xlfn.XLOOKUP(YEAR($B35),'Oferta Producto 1'!$B$8:$B$19,'Oferta Producto 1'!$E$8:$E$19))*$AD35)/$AB35)/24</f>
        <v>0</v>
      </c>
      <c r="J35" s="35">
        <f ca="1">(((_xlfn.XLOOKUP(YEAR($B35),'Oferta Producto 1'!$B$8:$B$19,'Oferta Producto 1'!$E$8:$E$19))*$AD35)/$AB35)/24</f>
        <v>0</v>
      </c>
      <c r="K35" s="35">
        <f ca="1">(((_xlfn.XLOOKUP(YEAR($B35),'Oferta Producto 1'!$B$8:$B$19,'Oferta Producto 1'!$E$8:$E$19))*$AD35)/$AB35)/24</f>
        <v>0</v>
      </c>
      <c r="L35" s="35">
        <f ca="1">(((_xlfn.XLOOKUP(YEAR($B35),'Oferta Producto 1'!$B$8:$B$19,'Oferta Producto 1'!$E$8:$E$19))*$AD35)/$AB35)/24</f>
        <v>0</v>
      </c>
      <c r="M35" s="35">
        <f ca="1">(((_xlfn.XLOOKUP(YEAR($B35),'Oferta Producto 1'!$B$8:$B$19,'Oferta Producto 1'!$E$8:$E$19))*$AD35)/$AB35)/24</f>
        <v>0</v>
      </c>
      <c r="N35" s="35">
        <f ca="1">(((_xlfn.XLOOKUP(YEAR($B35),'Oferta Producto 1'!$B$8:$B$19,'Oferta Producto 1'!$E$8:$E$19))*$AD35)/$AB35)/24</f>
        <v>0</v>
      </c>
      <c r="O35" s="35">
        <f ca="1">(((_xlfn.XLOOKUP(YEAR($B35),'Oferta Producto 1'!$B$8:$B$19,'Oferta Producto 1'!$E$8:$E$19))*$AD35)/$AB35)/24</f>
        <v>0</v>
      </c>
      <c r="P35" s="35">
        <f ca="1">(((_xlfn.XLOOKUP(YEAR($B35),'Oferta Producto 1'!$B$8:$B$19,'Oferta Producto 1'!$E$8:$E$19))*$AD35)/$AB35)/24</f>
        <v>0</v>
      </c>
      <c r="Q35" s="35">
        <f ca="1">(((_xlfn.XLOOKUP(YEAR($B35),'Oferta Producto 1'!$B$8:$B$19,'Oferta Producto 1'!$E$8:$E$19))*$AD35)/$AB35)/24</f>
        <v>0</v>
      </c>
      <c r="R35" s="35">
        <f ca="1">(((_xlfn.XLOOKUP(YEAR($B35),'Oferta Producto 1'!$B$8:$B$19,'Oferta Producto 1'!$E$8:$E$19))*$AD35)/$AB35)/24</f>
        <v>0</v>
      </c>
      <c r="S35" s="35">
        <f ca="1">(((_xlfn.XLOOKUP(YEAR($B35),'Oferta Producto 1'!$B$8:$B$19,'Oferta Producto 1'!$E$8:$E$19))*$AD35)/$AB35)/24</f>
        <v>0</v>
      </c>
      <c r="T35" s="35">
        <f ca="1">(((_xlfn.XLOOKUP(YEAR($B35),'Oferta Producto 1'!$B$8:$B$19,'Oferta Producto 1'!$E$8:$E$19))*$AD35)/$AB35)/24</f>
        <v>0</v>
      </c>
      <c r="U35" s="35">
        <f ca="1">(((_xlfn.XLOOKUP(YEAR($B35),'Oferta Producto 1'!$B$8:$B$19,'Oferta Producto 1'!$E$8:$E$19))*$AD35)/$AB35)/24</f>
        <v>0</v>
      </c>
      <c r="V35" s="35">
        <f ca="1">(((_xlfn.XLOOKUP(YEAR($B35),'Oferta Producto 1'!$B$8:$B$19,'Oferta Producto 1'!$E$8:$E$19))*$AD35)/$AB35)/24</f>
        <v>0</v>
      </c>
      <c r="W35" s="35">
        <f ca="1">(((_xlfn.XLOOKUP(YEAR($B35),'Oferta Producto 1'!$B$8:$B$19,'Oferta Producto 1'!$E$8:$E$19))*$AD35)/$AB35)/24</f>
        <v>0</v>
      </c>
      <c r="X35" s="35">
        <f ca="1">(((_xlfn.XLOOKUP(YEAR($B35),'Oferta Producto 1'!$B$8:$B$19,'Oferta Producto 1'!$E$8:$E$19))*$AD35)/$AB35)/24</f>
        <v>0</v>
      </c>
      <c r="Y35" s="35">
        <f ca="1">(((_xlfn.XLOOKUP(YEAR($B35),'Oferta Producto 1'!$B$8:$B$19,'Oferta Producto 1'!$E$8:$E$19))*$AD35)/$AB35)/24</f>
        <v>0</v>
      </c>
      <c r="Z35" s="35">
        <f ca="1">(((_xlfn.XLOOKUP(YEAR($B35),'Oferta Producto 1'!$B$8:$B$19,'Oferta Producto 1'!$E$8:$E$19))*$AD35)/$AB35)/24</f>
        <v>0</v>
      </c>
      <c r="AA35" s="35">
        <f t="shared" ca="1" si="5"/>
        <v>0</v>
      </c>
      <c r="AB35" s="28">
        <f t="shared" si="2"/>
        <v>30</v>
      </c>
      <c r="AC35" s="42">
        <f t="shared" ca="1" si="3"/>
        <v>0</v>
      </c>
      <c r="AD35" s="43">
        <v>8.3750481780540911E-2</v>
      </c>
      <c r="AE35"/>
    </row>
    <row r="36" spans="1:31" ht="15.75" thickBot="1">
      <c r="A36" s="23">
        <f t="shared" si="0"/>
        <v>2028</v>
      </c>
      <c r="B36" s="27">
        <v>46935</v>
      </c>
      <c r="C36" s="35">
        <f ca="1">(((_xlfn.XLOOKUP(YEAR($B36),'Oferta Producto 1'!$B$8:$B$19,'Oferta Producto 1'!$E$8:$E$19))*$AD36)/$AB36)/24</f>
        <v>0</v>
      </c>
      <c r="D36" s="35">
        <f ca="1">(((_xlfn.XLOOKUP(YEAR($B36),'Oferta Producto 1'!$B$8:$B$19,'Oferta Producto 1'!$E$8:$E$19))*$AD36)/$AB36)/24</f>
        <v>0</v>
      </c>
      <c r="E36" s="35">
        <f ca="1">(((_xlfn.XLOOKUP(YEAR($B36),'Oferta Producto 1'!$B$8:$B$19,'Oferta Producto 1'!$E$8:$E$19))*$AD36)/$AB36)/24</f>
        <v>0</v>
      </c>
      <c r="F36" s="35">
        <f ca="1">(((_xlfn.XLOOKUP(YEAR($B36),'Oferta Producto 1'!$B$8:$B$19,'Oferta Producto 1'!$E$8:$E$19))*$AD36)/$AB36)/24</f>
        <v>0</v>
      </c>
      <c r="G36" s="35">
        <f ca="1">(((_xlfn.XLOOKUP(YEAR($B36),'Oferta Producto 1'!$B$8:$B$19,'Oferta Producto 1'!$E$8:$E$19))*$AD36)/$AB36)/24</f>
        <v>0</v>
      </c>
      <c r="H36" s="35">
        <f ca="1">(((_xlfn.XLOOKUP(YEAR($B36),'Oferta Producto 1'!$B$8:$B$19,'Oferta Producto 1'!$E$8:$E$19))*$AD36)/$AB36)/24</f>
        <v>0</v>
      </c>
      <c r="I36" s="35">
        <f ca="1">(((_xlfn.XLOOKUP(YEAR($B36),'Oferta Producto 1'!$B$8:$B$19,'Oferta Producto 1'!$E$8:$E$19))*$AD36)/$AB36)/24</f>
        <v>0</v>
      </c>
      <c r="J36" s="35">
        <f ca="1">(((_xlfn.XLOOKUP(YEAR($B36),'Oferta Producto 1'!$B$8:$B$19,'Oferta Producto 1'!$E$8:$E$19))*$AD36)/$AB36)/24</f>
        <v>0</v>
      </c>
      <c r="K36" s="35">
        <f ca="1">(((_xlfn.XLOOKUP(YEAR($B36),'Oferta Producto 1'!$B$8:$B$19,'Oferta Producto 1'!$E$8:$E$19))*$AD36)/$AB36)/24</f>
        <v>0</v>
      </c>
      <c r="L36" s="35">
        <f ca="1">(((_xlfn.XLOOKUP(YEAR($B36),'Oferta Producto 1'!$B$8:$B$19,'Oferta Producto 1'!$E$8:$E$19))*$AD36)/$AB36)/24</f>
        <v>0</v>
      </c>
      <c r="M36" s="35">
        <f ca="1">(((_xlfn.XLOOKUP(YEAR($B36),'Oferta Producto 1'!$B$8:$B$19,'Oferta Producto 1'!$E$8:$E$19))*$AD36)/$AB36)/24</f>
        <v>0</v>
      </c>
      <c r="N36" s="35">
        <f ca="1">(((_xlfn.XLOOKUP(YEAR($B36),'Oferta Producto 1'!$B$8:$B$19,'Oferta Producto 1'!$E$8:$E$19))*$AD36)/$AB36)/24</f>
        <v>0</v>
      </c>
      <c r="O36" s="35">
        <f ca="1">(((_xlfn.XLOOKUP(YEAR($B36),'Oferta Producto 1'!$B$8:$B$19,'Oferta Producto 1'!$E$8:$E$19))*$AD36)/$AB36)/24</f>
        <v>0</v>
      </c>
      <c r="P36" s="35">
        <f ca="1">(((_xlfn.XLOOKUP(YEAR($B36),'Oferta Producto 1'!$B$8:$B$19,'Oferta Producto 1'!$E$8:$E$19))*$AD36)/$AB36)/24</f>
        <v>0</v>
      </c>
      <c r="Q36" s="35">
        <f ca="1">(((_xlfn.XLOOKUP(YEAR($B36),'Oferta Producto 1'!$B$8:$B$19,'Oferta Producto 1'!$E$8:$E$19))*$AD36)/$AB36)/24</f>
        <v>0</v>
      </c>
      <c r="R36" s="35">
        <f ca="1">(((_xlfn.XLOOKUP(YEAR($B36),'Oferta Producto 1'!$B$8:$B$19,'Oferta Producto 1'!$E$8:$E$19))*$AD36)/$AB36)/24</f>
        <v>0</v>
      </c>
      <c r="S36" s="35">
        <f ca="1">(((_xlfn.XLOOKUP(YEAR($B36),'Oferta Producto 1'!$B$8:$B$19,'Oferta Producto 1'!$E$8:$E$19))*$AD36)/$AB36)/24</f>
        <v>0</v>
      </c>
      <c r="T36" s="35">
        <f ca="1">(((_xlfn.XLOOKUP(YEAR($B36),'Oferta Producto 1'!$B$8:$B$19,'Oferta Producto 1'!$E$8:$E$19))*$AD36)/$AB36)/24</f>
        <v>0</v>
      </c>
      <c r="U36" s="35">
        <f ca="1">(((_xlfn.XLOOKUP(YEAR($B36),'Oferta Producto 1'!$B$8:$B$19,'Oferta Producto 1'!$E$8:$E$19))*$AD36)/$AB36)/24</f>
        <v>0</v>
      </c>
      <c r="V36" s="35">
        <f ca="1">(((_xlfn.XLOOKUP(YEAR($B36),'Oferta Producto 1'!$B$8:$B$19,'Oferta Producto 1'!$E$8:$E$19))*$AD36)/$AB36)/24</f>
        <v>0</v>
      </c>
      <c r="W36" s="35">
        <f ca="1">(((_xlfn.XLOOKUP(YEAR($B36),'Oferta Producto 1'!$B$8:$B$19,'Oferta Producto 1'!$E$8:$E$19))*$AD36)/$AB36)/24</f>
        <v>0</v>
      </c>
      <c r="X36" s="35">
        <f ca="1">(((_xlfn.XLOOKUP(YEAR($B36),'Oferta Producto 1'!$B$8:$B$19,'Oferta Producto 1'!$E$8:$E$19))*$AD36)/$AB36)/24</f>
        <v>0</v>
      </c>
      <c r="Y36" s="35">
        <f ca="1">(((_xlfn.XLOOKUP(YEAR($B36),'Oferta Producto 1'!$B$8:$B$19,'Oferta Producto 1'!$E$8:$E$19))*$AD36)/$AB36)/24</f>
        <v>0</v>
      </c>
      <c r="Z36" s="35">
        <f ca="1">(((_xlfn.XLOOKUP(YEAR($B36),'Oferta Producto 1'!$B$8:$B$19,'Oferta Producto 1'!$E$8:$E$19))*$AD36)/$AB36)/24</f>
        <v>0</v>
      </c>
      <c r="AA36" s="35">
        <f t="shared" ca="1" si="5"/>
        <v>0</v>
      </c>
      <c r="AB36" s="28">
        <f t="shared" si="2"/>
        <v>31</v>
      </c>
      <c r="AC36" s="42">
        <f t="shared" ca="1" si="3"/>
        <v>0</v>
      </c>
      <c r="AD36" s="43">
        <v>8.2916184886125732E-2</v>
      </c>
      <c r="AE36"/>
    </row>
    <row r="37" spans="1:31" ht="15.75" thickBot="1">
      <c r="A37" s="23">
        <f t="shared" si="0"/>
        <v>2028</v>
      </c>
      <c r="B37" s="27">
        <v>46966</v>
      </c>
      <c r="C37" s="35">
        <f ca="1">(((_xlfn.XLOOKUP(YEAR($B37),'Oferta Producto 1'!$B$8:$B$19,'Oferta Producto 1'!$E$8:$E$19))*$AD37)/$AB37)/24</f>
        <v>0</v>
      </c>
      <c r="D37" s="35">
        <f ca="1">(((_xlfn.XLOOKUP(YEAR($B37),'Oferta Producto 1'!$B$8:$B$19,'Oferta Producto 1'!$E$8:$E$19))*$AD37)/$AB37)/24</f>
        <v>0</v>
      </c>
      <c r="E37" s="35">
        <f ca="1">(((_xlfn.XLOOKUP(YEAR($B37),'Oferta Producto 1'!$B$8:$B$19,'Oferta Producto 1'!$E$8:$E$19))*$AD37)/$AB37)/24</f>
        <v>0</v>
      </c>
      <c r="F37" s="35">
        <f ca="1">(((_xlfn.XLOOKUP(YEAR($B37),'Oferta Producto 1'!$B$8:$B$19,'Oferta Producto 1'!$E$8:$E$19))*$AD37)/$AB37)/24</f>
        <v>0</v>
      </c>
      <c r="G37" s="35">
        <f ca="1">(((_xlfn.XLOOKUP(YEAR($B37),'Oferta Producto 1'!$B$8:$B$19,'Oferta Producto 1'!$E$8:$E$19))*$AD37)/$AB37)/24</f>
        <v>0</v>
      </c>
      <c r="H37" s="35">
        <f ca="1">(((_xlfn.XLOOKUP(YEAR($B37),'Oferta Producto 1'!$B$8:$B$19,'Oferta Producto 1'!$E$8:$E$19))*$AD37)/$AB37)/24</f>
        <v>0</v>
      </c>
      <c r="I37" s="35">
        <f ca="1">(((_xlfn.XLOOKUP(YEAR($B37),'Oferta Producto 1'!$B$8:$B$19,'Oferta Producto 1'!$E$8:$E$19))*$AD37)/$AB37)/24</f>
        <v>0</v>
      </c>
      <c r="J37" s="35">
        <f ca="1">(((_xlfn.XLOOKUP(YEAR($B37),'Oferta Producto 1'!$B$8:$B$19,'Oferta Producto 1'!$E$8:$E$19))*$AD37)/$AB37)/24</f>
        <v>0</v>
      </c>
      <c r="K37" s="35">
        <f ca="1">(((_xlfn.XLOOKUP(YEAR($B37),'Oferta Producto 1'!$B$8:$B$19,'Oferta Producto 1'!$E$8:$E$19))*$AD37)/$AB37)/24</f>
        <v>0</v>
      </c>
      <c r="L37" s="35">
        <f ca="1">(((_xlfn.XLOOKUP(YEAR($B37),'Oferta Producto 1'!$B$8:$B$19,'Oferta Producto 1'!$E$8:$E$19))*$AD37)/$AB37)/24</f>
        <v>0</v>
      </c>
      <c r="M37" s="35">
        <f ca="1">(((_xlfn.XLOOKUP(YEAR($B37),'Oferta Producto 1'!$B$8:$B$19,'Oferta Producto 1'!$E$8:$E$19))*$AD37)/$AB37)/24</f>
        <v>0</v>
      </c>
      <c r="N37" s="35">
        <f ca="1">(((_xlfn.XLOOKUP(YEAR($B37),'Oferta Producto 1'!$B$8:$B$19,'Oferta Producto 1'!$E$8:$E$19))*$AD37)/$AB37)/24</f>
        <v>0</v>
      </c>
      <c r="O37" s="35">
        <f ca="1">(((_xlfn.XLOOKUP(YEAR($B37),'Oferta Producto 1'!$B$8:$B$19,'Oferta Producto 1'!$E$8:$E$19))*$AD37)/$AB37)/24</f>
        <v>0</v>
      </c>
      <c r="P37" s="35">
        <f ca="1">(((_xlfn.XLOOKUP(YEAR($B37),'Oferta Producto 1'!$B$8:$B$19,'Oferta Producto 1'!$E$8:$E$19))*$AD37)/$AB37)/24</f>
        <v>0</v>
      </c>
      <c r="Q37" s="35">
        <f ca="1">(((_xlfn.XLOOKUP(YEAR($B37),'Oferta Producto 1'!$B$8:$B$19,'Oferta Producto 1'!$E$8:$E$19))*$AD37)/$AB37)/24</f>
        <v>0</v>
      </c>
      <c r="R37" s="35">
        <f ca="1">(((_xlfn.XLOOKUP(YEAR($B37),'Oferta Producto 1'!$B$8:$B$19,'Oferta Producto 1'!$E$8:$E$19))*$AD37)/$AB37)/24</f>
        <v>0</v>
      </c>
      <c r="S37" s="35">
        <f ca="1">(((_xlfn.XLOOKUP(YEAR($B37),'Oferta Producto 1'!$B$8:$B$19,'Oferta Producto 1'!$E$8:$E$19))*$AD37)/$AB37)/24</f>
        <v>0</v>
      </c>
      <c r="T37" s="35">
        <f ca="1">(((_xlfn.XLOOKUP(YEAR($B37),'Oferta Producto 1'!$B$8:$B$19,'Oferta Producto 1'!$E$8:$E$19))*$AD37)/$AB37)/24</f>
        <v>0</v>
      </c>
      <c r="U37" s="35">
        <f ca="1">(((_xlfn.XLOOKUP(YEAR($B37),'Oferta Producto 1'!$B$8:$B$19,'Oferta Producto 1'!$E$8:$E$19))*$AD37)/$AB37)/24</f>
        <v>0</v>
      </c>
      <c r="V37" s="35">
        <f ca="1">(((_xlfn.XLOOKUP(YEAR($B37),'Oferta Producto 1'!$B$8:$B$19,'Oferta Producto 1'!$E$8:$E$19))*$AD37)/$AB37)/24</f>
        <v>0</v>
      </c>
      <c r="W37" s="35">
        <f ca="1">(((_xlfn.XLOOKUP(YEAR($B37),'Oferta Producto 1'!$B$8:$B$19,'Oferta Producto 1'!$E$8:$E$19))*$AD37)/$AB37)/24</f>
        <v>0</v>
      </c>
      <c r="X37" s="35">
        <f ca="1">(((_xlfn.XLOOKUP(YEAR($B37),'Oferta Producto 1'!$B$8:$B$19,'Oferta Producto 1'!$E$8:$E$19))*$AD37)/$AB37)/24</f>
        <v>0</v>
      </c>
      <c r="Y37" s="35">
        <f ca="1">(((_xlfn.XLOOKUP(YEAR($B37),'Oferta Producto 1'!$B$8:$B$19,'Oferta Producto 1'!$E$8:$E$19))*$AD37)/$AB37)/24</f>
        <v>0</v>
      </c>
      <c r="Z37" s="35">
        <f ca="1">(((_xlfn.XLOOKUP(YEAR($B37),'Oferta Producto 1'!$B$8:$B$19,'Oferta Producto 1'!$E$8:$E$19))*$AD37)/$AB37)/24</f>
        <v>0</v>
      </c>
      <c r="AA37" s="35">
        <f t="shared" ca="1" si="5"/>
        <v>0</v>
      </c>
      <c r="AB37" s="28">
        <f t="shared" si="2"/>
        <v>31</v>
      </c>
      <c r="AC37" s="42">
        <f t="shared" ca="1" si="3"/>
        <v>0</v>
      </c>
      <c r="AD37" s="43">
        <v>8.291618488612576E-2</v>
      </c>
      <c r="AE37"/>
    </row>
    <row r="38" spans="1:31" ht="15.75" thickBot="1">
      <c r="A38" s="23">
        <f t="shared" si="0"/>
        <v>2028</v>
      </c>
      <c r="B38" s="27">
        <v>46997</v>
      </c>
      <c r="C38" s="35">
        <f ca="1">(((_xlfn.XLOOKUP(YEAR($B38),'Oferta Producto 1'!$B$8:$B$19,'Oferta Producto 1'!$E$8:$E$19))*$AD38)/$AB38)/24</f>
        <v>0</v>
      </c>
      <c r="D38" s="35">
        <f ca="1">(((_xlfn.XLOOKUP(YEAR($B38),'Oferta Producto 1'!$B$8:$B$19,'Oferta Producto 1'!$E$8:$E$19))*$AD38)/$AB38)/24</f>
        <v>0</v>
      </c>
      <c r="E38" s="35">
        <f ca="1">(((_xlfn.XLOOKUP(YEAR($B38),'Oferta Producto 1'!$B$8:$B$19,'Oferta Producto 1'!$E$8:$E$19))*$AD38)/$AB38)/24</f>
        <v>0</v>
      </c>
      <c r="F38" s="35">
        <f ca="1">(((_xlfn.XLOOKUP(YEAR($B38),'Oferta Producto 1'!$B$8:$B$19,'Oferta Producto 1'!$E$8:$E$19))*$AD38)/$AB38)/24</f>
        <v>0</v>
      </c>
      <c r="G38" s="35">
        <f ca="1">(((_xlfn.XLOOKUP(YEAR($B38),'Oferta Producto 1'!$B$8:$B$19,'Oferta Producto 1'!$E$8:$E$19))*$AD38)/$AB38)/24</f>
        <v>0</v>
      </c>
      <c r="H38" s="35">
        <f ca="1">(((_xlfn.XLOOKUP(YEAR($B38),'Oferta Producto 1'!$B$8:$B$19,'Oferta Producto 1'!$E$8:$E$19))*$AD38)/$AB38)/24</f>
        <v>0</v>
      </c>
      <c r="I38" s="35">
        <f ca="1">(((_xlfn.XLOOKUP(YEAR($B38),'Oferta Producto 1'!$B$8:$B$19,'Oferta Producto 1'!$E$8:$E$19))*$AD38)/$AB38)/24</f>
        <v>0</v>
      </c>
      <c r="J38" s="35">
        <f ca="1">(((_xlfn.XLOOKUP(YEAR($B38),'Oferta Producto 1'!$B$8:$B$19,'Oferta Producto 1'!$E$8:$E$19))*$AD38)/$AB38)/24</f>
        <v>0</v>
      </c>
      <c r="K38" s="35">
        <f ca="1">(((_xlfn.XLOOKUP(YEAR($B38),'Oferta Producto 1'!$B$8:$B$19,'Oferta Producto 1'!$E$8:$E$19))*$AD38)/$AB38)/24</f>
        <v>0</v>
      </c>
      <c r="L38" s="35">
        <f ca="1">(((_xlfn.XLOOKUP(YEAR($B38),'Oferta Producto 1'!$B$8:$B$19,'Oferta Producto 1'!$E$8:$E$19))*$AD38)/$AB38)/24</f>
        <v>0</v>
      </c>
      <c r="M38" s="35">
        <f ca="1">(((_xlfn.XLOOKUP(YEAR($B38),'Oferta Producto 1'!$B$8:$B$19,'Oferta Producto 1'!$E$8:$E$19))*$AD38)/$AB38)/24</f>
        <v>0</v>
      </c>
      <c r="N38" s="35">
        <f ca="1">(((_xlfn.XLOOKUP(YEAR($B38),'Oferta Producto 1'!$B$8:$B$19,'Oferta Producto 1'!$E$8:$E$19))*$AD38)/$AB38)/24</f>
        <v>0</v>
      </c>
      <c r="O38" s="35">
        <f ca="1">(((_xlfn.XLOOKUP(YEAR($B38),'Oferta Producto 1'!$B$8:$B$19,'Oferta Producto 1'!$E$8:$E$19))*$AD38)/$AB38)/24</f>
        <v>0</v>
      </c>
      <c r="P38" s="35">
        <f ca="1">(((_xlfn.XLOOKUP(YEAR($B38),'Oferta Producto 1'!$B$8:$B$19,'Oferta Producto 1'!$E$8:$E$19))*$AD38)/$AB38)/24</f>
        <v>0</v>
      </c>
      <c r="Q38" s="35">
        <f ca="1">(((_xlfn.XLOOKUP(YEAR($B38),'Oferta Producto 1'!$B$8:$B$19,'Oferta Producto 1'!$E$8:$E$19))*$AD38)/$AB38)/24</f>
        <v>0</v>
      </c>
      <c r="R38" s="35">
        <f ca="1">(((_xlfn.XLOOKUP(YEAR($B38),'Oferta Producto 1'!$B$8:$B$19,'Oferta Producto 1'!$E$8:$E$19))*$AD38)/$AB38)/24</f>
        <v>0</v>
      </c>
      <c r="S38" s="35">
        <f ca="1">(((_xlfn.XLOOKUP(YEAR($B38),'Oferta Producto 1'!$B$8:$B$19,'Oferta Producto 1'!$E$8:$E$19))*$AD38)/$AB38)/24</f>
        <v>0</v>
      </c>
      <c r="T38" s="35">
        <f ca="1">(((_xlfn.XLOOKUP(YEAR($B38),'Oferta Producto 1'!$B$8:$B$19,'Oferta Producto 1'!$E$8:$E$19))*$AD38)/$AB38)/24</f>
        <v>0</v>
      </c>
      <c r="U38" s="35">
        <f ca="1">(((_xlfn.XLOOKUP(YEAR($B38),'Oferta Producto 1'!$B$8:$B$19,'Oferta Producto 1'!$E$8:$E$19))*$AD38)/$AB38)/24</f>
        <v>0</v>
      </c>
      <c r="V38" s="35">
        <f ca="1">(((_xlfn.XLOOKUP(YEAR($B38),'Oferta Producto 1'!$B$8:$B$19,'Oferta Producto 1'!$E$8:$E$19))*$AD38)/$AB38)/24</f>
        <v>0</v>
      </c>
      <c r="W38" s="35">
        <f ca="1">(((_xlfn.XLOOKUP(YEAR($B38),'Oferta Producto 1'!$B$8:$B$19,'Oferta Producto 1'!$E$8:$E$19))*$AD38)/$AB38)/24</f>
        <v>0</v>
      </c>
      <c r="X38" s="35">
        <f ca="1">(((_xlfn.XLOOKUP(YEAR($B38),'Oferta Producto 1'!$B$8:$B$19,'Oferta Producto 1'!$E$8:$E$19))*$AD38)/$AB38)/24</f>
        <v>0</v>
      </c>
      <c r="Y38" s="35">
        <f ca="1">(((_xlfn.XLOOKUP(YEAR($B38),'Oferta Producto 1'!$B$8:$B$19,'Oferta Producto 1'!$E$8:$E$19))*$AD38)/$AB38)/24</f>
        <v>0</v>
      </c>
      <c r="Z38" s="35">
        <f ca="1">(((_xlfn.XLOOKUP(YEAR($B38),'Oferta Producto 1'!$B$8:$B$19,'Oferta Producto 1'!$E$8:$E$19))*$AD38)/$AB38)/24</f>
        <v>0</v>
      </c>
      <c r="AA38" s="35">
        <f t="shared" ca="1" si="5"/>
        <v>0</v>
      </c>
      <c r="AB38" s="28">
        <f t="shared" si="2"/>
        <v>30</v>
      </c>
      <c r="AC38" s="42">
        <f t="shared" ca="1" si="3"/>
        <v>0</v>
      </c>
      <c r="AD38" s="43">
        <v>8.3750481780540897E-2</v>
      </c>
      <c r="AE38"/>
    </row>
    <row r="39" spans="1:31" ht="15.75" thickBot="1">
      <c r="A39" s="23">
        <f t="shared" si="0"/>
        <v>2028</v>
      </c>
      <c r="B39" s="27">
        <v>47027</v>
      </c>
      <c r="C39" s="35">
        <f ca="1">(((_xlfn.XLOOKUP(YEAR($B39),'Oferta Producto 1'!$B$8:$B$19,'Oferta Producto 1'!$E$8:$E$19))*$AD39)/$AB39)/24</f>
        <v>0</v>
      </c>
      <c r="D39" s="35">
        <f ca="1">(((_xlfn.XLOOKUP(YEAR($B39),'Oferta Producto 1'!$B$8:$B$19,'Oferta Producto 1'!$E$8:$E$19))*$AD39)/$AB39)/24</f>
        <v>0</v>
      </c>
      <c r="E39" s="35">
        <f ca="1">(((_xlfn.XLOOKUP(YEAR($B39),'Oferta Producto 1'!$B$8:$B$19,'Oferta Producto 1'!$E$8:$E$19))*$AD39)/$AB39)/24</f>
        <v>0</v>
      </c>
      <c r="F39" s="35">
        <f ca="1">(((_xlfn.XLOOKUP(YEAR($B39),'Oferta Producto 1'!$B$8:$B$19,'Oferta Producto 1'!$E$8:$E$19))*$AD39)/$AB39)/24</f>
        <v>0</v>
      </c>
      <c r="G39" s="35">
        <f ca="1">(((_xlfn.XLOOKUP(YEAR($B39),'Oferta Producto 1'!$B$8:$B$19,'Oferta Producto 1'!$E$8:$E$19))*$AD39)/$AB39)/24</f>
        <v>0</v>
      </c>
      <c r="H39" s="35">
        <f ca="1">(((_xlfn.XLOOKUP(YEAR($B39),'Oferta Producto 1'!$B$8:$B$19,'Oferta Producto 1'!$E$8:$E$19))*$AD39)/$AB39)/24</f>
        <v>0</v>
      </c>
      <c r="I39" s="35">
        <f ca="1">(((_xlfn.XLOOKUP(YEAR($B39),'Oferta Producto 1'!$B$8:$B$19,'Oferta Producto 1'!$E$8:$E$19))*$AD39)/$AB39)/24</f>
        <v>0</v>
      </c>
      <c r="J39" s="35">
        <f ca="1">(((_xlfn.XLOOKUP(YEAR($B39),'Oferta Producto 1'!$B$8:$B$19,'Oferta Producto 1'!$E$8:$E$19))*$AD39)/$AB39)/24</f>
        <v>0</v>
      </c>
      <c r="K39" s="35">
        <f ca="1">(((_xlfn.XLOOKUP(YEAR($B39),'Oferta Producto 1'!$B$8:$B$19,'Oferta Producto 1'!$E$8:$E$19))*$AD39)/$AB39)/24</f>
        <v>0</v>
      </c>
      <c r="L39" s="35">
        <f ca="1">(((_xlfn.XLOOKUP(YEAR($B39),'Oferta Producto 1'!$B$8:$B$19,'Oferta Producto 1'!$E$8:$E$19))*$AD39)/$AB39)/24</f>
        <v>0</v>
      </c>
      <c r="M39" s="35">
        <f ca="1">(((_xlfn.XLOOKUP(YEAR($B39),'Oferta Producto 1'!$B$8:$B$19,'Oferta Producto 1'!$E$8:$E$19))*$AD39)/$AB39)/24</f>
        <v>0</v>
      </c>
      <c r="N39" s="35">
        <f ca="1">(((_xlfn.XLOOKUP(YEAR($B39),'Oferta Producto 1'!$B$8:$B$19,'Oferta Producto 1'!$E$8:$E$19))*$AD39)/$AB39)/24</f>
        <v>0</v>
      </c>
      <c r="O39" s="35">
        <f ca="1">(((_xlfn.XLOOKUP(YEAR($B39),'Oferta Producto 1'!$B$8:$B$19,'Oferta Producto 1'!$E$8:$E$19))*$AD39)/$AB39)/24</f>
        <v>0</v>
      </c>
      <c r="P39" s="35">
        <f ca="1">(((_xlfn.XLOOKUP(YEAR($B39),'Oferta Producto 1'!$B$8:$B$19,'Oferta Producto 1'!$E$8:$E$19))*$AD39)/$AB39)/24</f>
        <v>0</v>
      </c>
      <c r="Q39" s="35">
        <f ca="1">(((_xlfn.XLOOKUP(YEAR($B39),'Oferta Producto 1'!$B$8:$B$19,'Oferta Producto 1'!$E$8:$E$19))*$AD39)/$AB39)/24</f>
        <v>0</v>
      </c>
      <c r="R39" s="35">
        <f ca="1">(((_xlfn.XLOOKUP(YEAR($B39),'Oferta Producto 1'!$B$8:$B$19,'Oferta Producto 1'!$E$8:$E$19))*$AD39)/$AB39)/24</f>
        <v>0</v>
      </c>
      <c r="S39" s="35">
        <f ca="1">(((_xlfn.XLOOKUP(YEAR($B39),'Oferta Producto 1'!$B$8:$B$19,'Oferta Producto 1'!$E$8:$E$19))*$AD39)/$AB39)/24</f>
        <v>0</v>
      </c>
      <c r="T39" s="35">
        <f ca="1">(((_xlfn.XLOOKUP(YEAR($B39),'Oferta Producto 1'!$B$8:$B$19,'Oferta Producto 1'!$E$8:$E$19))*$AD39)/$AB39)/24</f>
        <v>0</v>
      </c>
      <c r="U39" s="35">
        <f ca="1">(((_xlfn.XLOOKUP(YEAR($B39),'Oferta Producto 1'!$B$8:$B$19,'Oferta Producto 1'!$E$8:$E$19))*$AD39)/$AB39)/24</f>
        <v>0</v>
      </c>
      <c r="V39" s="35">
        <f ca="1">(((_xlfn.XLOOKUP(YEAR($B39),'Oferta Producto 1'!$B$8:$B$19,'Oferta Producto 1'!$E$8:$E$19))*$AD39)/$AB39)/24</f>
        <v>0</v>
      </c>
      <c r="W39" s="35">
        <f ca="1">(((_xlfn.XLOOKUP(YEAR($B39),'Oferta Producto 1'!$B$8:$B$19,'Oferta Producto 1'!$E$8:$E$19))*$AD39)/$AB39)/24</f>
        <v>0</v>
      </c>
      <c r="X39" s="35">
        <f ca="1">(((_xlfn.XLOOKUP(YEAR($B39),'Oferta Producto 1'!$B$8:$B$19,'Oferta Producto 1'!$E$8:$E$19))*$AD39)/$AB39)/24</f>
        <v>0</v>
      </c>
      <c r="Y39" s="35">
        <f ca="1">(((_xlfn.XLOOKUP(YEAR($B39),'Oferta Producto 1'!$B$8:$B$19,'Oferta Producto 1'!$E$8:$E$19))*$AD39)/$AB39)/24</f>
        <v>0</v>
      </c>
      <c r="Z39" s="35">
        <f ca="1">(((_xlfn.XLOOKUP(YEAR($B39),'Oferta Producto 1'!$B$8:$B$19,'Oferta Producto 1'!$E$8:$E$19))*$AD39)/$AB39)/24</f>
        <v>0</v>
      </c>
      <c r="AA39" s="35">
        <f t="shared" ca="1" si="5"/>
        <v>0</v>
      </c>
      <c r="AB39" s="28">
        <f t="shared" si="2"/>
        <v>31</v>
      </c>
      <c r="AC39" s="42">
        <f t="shared" ca="1" si="3"/>
        <v>0</v>
      </c>
      <c r="AD39" s="43">
        <v>8.2916184886125746E-2</v>
      </c>
      <c r="AE39"/>
    </row>
    <row r="40" spans="1:31" ht="15.75" thickBot="1">
      <c r="A40" s="23">
        <f t="shared" si="0"/>
        <v>2028</v>
      </c>
      <c r="B40" s="27">
        <v>47058</v>
      </c>
      <c r="C40" s="35">
        <f ca="1">(((_xlfn.XLOOKUP(YEAR($B40),'Oferta Producto 1'!$B$8:$B$19,'Oferta Producto 1'!$E$8:$E$19))*$AD40)/$AB40)/24</f>
        <v>0</v>
      </c>
      <c r="D40" s="35">
        <f ca="1">(((_xlfn.XLOOKUP(YEAR($B40),'Oferta Producto 1'!$B$8:$B$19,'Oferta Producto 1'!$E$8:$E$19))*$AD40)/$AB40)/24</f>
        <v>0</v>
      </c>
      <c r="E40" s="35">
        <f ca="1">(((_xlfn.XLOOKUP(YEAR($B40),'Oferta Producto 1'!$B$8:$B$19,'Oferta Producto 1'!$E$8:$E$19))*$AD40)/$AB40)/24</f>
        <v>0</v>
      </c>
      <c r="F40" s="35">
        <f ca="1">(((_xlfn.XLOOKUP(YEAR($B40),'Oferta Producto 1'!$B$8:$B$19,'Oferta Producto 1'!$E$8:$E$19))*$AD40)/$AB40)/24</f>
        <v>0</v>
      </c>
      <c r="G40" s="35">
        <f ca="1">(((_xlfn.XLOOKUP(YEAR($B40),'Oferta Producto 1'!$B$8:$B$19,'Oferta Producto 1'!$E$8:$E$19))*$AD40)/$AB40)/24</f>
        <v>0</v>
      </c>
      <c r="H40" s="35">
        <f ca="1">(((_xlfn.XLOOKUP(YEAR($B40),'Oferta Producto 1'!$B$8:$B$19,'Oferta Producto 1'!$E$8:$E$19))*$AD40)/$AB40)/24</f>
        <v>0</v>
      </c>
      <c r="I40" s="35">
        <f ca="1">(((_xlfn.XLOOKUP(YEAR($B40),'Oferta Producto 1'!$B$8:$B$19,'Oferta Producto 1'!$E$8:$E$19))*$AD40)/$AB40)/24</f>
        <v>0</v>
      </c>
      <c r="J40" s="35">
        <f ca="1">(((_xlfn.XLOOKUP(YEAR($B40),'Oferta Producto 1'!$B$8:$B$19,'Oferta Producto 1'!$E$8:$E$19))*$AD40)/$AB40)/24</f>
        <v>0</v>
      </c>
      <c r="K40" s="35">
        <f ca="1">(((_xlfn.XLOOKUP(YEAR($B40),'Oferta Producto 1'!$B$8:$B$19,'Oferta Producto 1'!$E$8:$E$19))*$AD40)/$AB40)/24</f>
        <v>0</v>
      </c>
      <c r="L40" s="35">
        <f ca="1">(((_xlfn.XLOOKUP(YEAR($B40),'Oferta Producto 1'!$B$8:$B$19,'Oferta Producto 1'!$E$8:$E$19))*$AD40)/$AB40)/24</f>
        <v>0</v>
      </c>
      <c r="M40" s="35">
        <f ca="1">(((_xlfn.XLOOKUP(YEAR($B40),'Oferta Producto 1'!$B$8:$B$19,'Oferta Producto 1'!$E$8:$E$19))*$AD40)/$AB40)/24</f>
        <v>0</v>
      </c>
      <c r="N40" s="35">
        <f ca="1">(((_xlfn.XLOOKUP(YEAR($B40),'Oferta Producto 1'!$B$8:$B$19,'Oferta Producto 1'!$E$8:$E$19))*$AD40)/$AB40)/24</f>
        <v>0</v>
      </c>
      <c r="O40" s="35">
        <f ca="1">(((_xlfn.XLOOKUP(YEAR($B40),'Oferta Producto 1'!$B$8:$B$19,'Oferta Producto 1'!$E$8:$E$19))*$AD40)/$AB40)/24</f>
        <v>0</v>
      </c>
      <c r="P40" s="35">
        <f ca="1">(((_xlfn.XLOOKUP(YEAR($B40),'Oferta Producto 1'!$B$8:$B$19,'Oferta Producto 1'!$E$8:$E$19))*$AD40)/$AB40)/24</f>
        <v>0</v>
      </c>
      <c r="Q40" s="35">
        <f ca="1">(((_xlfn.XLOOKUP(YEAR($B40),'Oferta Producto 1'!$B$8:$B$19,'Oferta Producto 1'!$E$8:$E$19))*$AD40)/$AB40)/24</f>
        <v>0</v>
      </c>
      <c r="R40" s="35">
        <f ca="1">(((_xlfn.XLOOKUP(YEAR($B40),'Oferta Producto 1'!$B$8:$B$19,'Oferta Producto 1'!$E$8:$E$19))*$AD40)/$AB40)/24</f>
        <v>0</v>
      </c>
      <c r="S40" s="35">
        <f ca="1">(((_xlfn.XLOOKUP(YEAR($B40),'Oferta Producto 1'!$B$8:$B$19,'Oferta Producto 1'!$E$8:$E$19))*$AD40)/$AB40)/24</f>
        <v>0</v>
      </c>
      <c r="T40" s="35">
        <f ca="1">(((_xlfn.XLOOKUP(YEAR($B40),'Oferta Producto 1'!$B$8:$B$19,'Oferta Producto 1'!$E$8:$E$19))*$AD40)/$AB40)/24</f>
        <v>0</v>
      </c>
      <c r="U40" s="35">
        <f ca="1">(((_xlfn.XLOOKUP(YEAR($B40),'Oferta Producto 1'!$B$8:$B$19,'Oferta Producto 1'!$E$8:$E$19))*$AD40)/$AB40)/24</f>
        <v>0</v>
      </c>
      <c r="V40" s="35">
        <f ca="1">(((_xlfn.XLOOKUP(YEAR($B40),'Oferta Producto 1'!$B$8:$B$19,'Oferta Producto 1'!$E$8:$E$19))*$AD40)/$AB40)/24</f>
        <v>0</v>
      </c>
      <c r="W40" s="35">
        <f ca="1">(((_xlfn.XLOOKUP(YEAR($B40),'Oferta Producto 1'!$B$8:$B$19,'Oferta Producto 1'!$E$8:$E$19))*$AD40)/$AB40)/24</f>
        <v>0</v>
      </c>
      <c r="X40" s="35">
        <f ca="1">(((_xlfn.XLOOKUP(YEAR($B40),'Oferta Producto 1'!$B$8:$B$19,'Oferta Producto 1'!$E$8:$E$19))*$AD40)/$AB40)/24</f>
        <v>0</v>
      </c>
      <c r="Y40" s="35">
        <f ca="1">(((_xlfn.XLOOKUP(YEAR($B40),'Oferta Producto 1'!$B$8:$B$19,'Oferta Producto 1'!$E$8:$E$19))*$AD40)/$AB40)/24</f>
        <v>0</v>
      </c>
      <c r="Z40" s="35">
        <f ca="1">(((_xlfn.XLOOKUP(YEAR($B40),'Oferta Producto 1'!$B$8:$B$19,'Oferta Producto 1'!$E$8:$E$19))*$AD40)/$AB40)/24</f>
        <v>0</v>
      </c>
      <c r="AA40" s="35">
        <f t="shared" ca="1" si="5"/>
        <v>0</v>
      </c>
      <c r="AB40" s="28">
        <f t="shared" si="2"/>
        <v>30</v>
      </c>
      <c r="AC40" s="42">
        <f t="shared" ca="1" si="3"/>
        <v>0</v>
      </c>
      <c r="AD40" s="43">
        <v>8.3750481780540911E-2</v>
      </c>
      <c r="AE40"/>
    </row>
    <row r="41" spans="1:31" ht="15.75" thickBot="1">
      <c r="A41" s="23">
        <f t="shared" si="0"/>
        <v>2028</v>
      </c>
      <c r="B41" s="27">
        <v>47088</v>
      </c>
      <c r="C41" s="35">
        <f ca="1">(((_xlfn.XLOOKUP(YEAR($B41),'Oferta Producto 1'!$B$8:$B$19,'Oferta Producto 1'!$E$8:$E$19))*$AD41)/$AB41)/24</f>
        <v>0</v>
      </c>
      <c r="D41" s="35">
        <f ca="1">(((_xlfn.XLOOKUP(YEAR($B41),'Oferta Producto 1'!$B$8:$B$19,'Oferta Producto 1'!$E$8:$E$19))*$AD41)/$AB41)/24</f>
        <v>0</v>
      </c>
      <c r="E41" s="35">
        <f ca="1">(((_xlfn.XLOOKUP(YEAR($B41),'Oferta Producto 1'!$B$8:$B$19,'Oferta Producto 1'!$E$8:$E$19))*$AD41)/$AB41)/24</f>
        <v>0</v>
      </c>
      <c r="F41" s="35">
        <f ca="1">(((_xlfn.XLOOKUP(YEAR($B41),'Oferta Producto 1'!$B$8:$B$19,'Oferta Producto 1'!$E$8:$E$19))*$AD41)/$AB41)/24</f>
        <v>0</v>
      </c>
      <c r="G41" s="35">
        <f ca="1">(((_xlfn.XLOOKUP(YEAR($B41),'Oferta Producto 1'!$B$8:$B$19,'Oferta Producto 1'!$E$8:$E$19))*$AD41)/$AB41)/24</f>
        <v>0</v>
      </c>
      <c r="H41" s="35">
        <f ca="1">(((_xlfn.XLOOKUP(YEAR($B41),'Oferta Producto 1'!$B$8:$B$19,'Oferta Producto 1'!$E$8:$E$19))*$AD41)/$AB41)/24</f>
        <v>0</v>
      </c>
      <c r="I41" s="35">
        <f ca="1">(((_xlfn.XLOOKUP(YEAR($B41),'Oferta Producto 1'!$B$8:$B$19,'Oferta Producto 1'!$E$8:$E$19))*$AD41)/$AB41)/24</f>
        <v>0</v>
      </c>
      <c r="J41" s="35">
        <f ca="1">(((_xlfn.XLOOKUP(YEAR($B41),'Oferta Producto 1'!$B$8:$B$19,'Oferta Producto 1'!$E$8:$E$19))*$AD41)/$AB41)/24</f>
        <v>0</v>
      </c>
      <c r="K41" s="35">
        <f ca="1">(((_xlfn.XLOOKUP(YEAR($B41),'Oferta Producto 1'!$B$8:$B$19,'Oferta Producto 1'!$E$8:$E$19))*$AD41)/$AB41)/24</f>
        <v>0</v>
      </c>
      <c r="L41" s="35">
        <f ca="1">(((_xlfn.XLOOKUP(YEAR($B41),'Oferta Producto 1'!$B$8:$B$19,'Oferta Producto 1'!$E$8:$E$19))*$AD41)/$AB41)/24</f>
        <v>0</v>
      </c>
      <c r="M41" s="35">
        <f ca="1">(((_xlfn.XLOOKUP(YEAR($B41),'Oferta Producto 1'!$B$8:$B$19,'Oferta Producto 1'!$E$8:$E$19))*$AD41)/$AB41)/24</f>
        <v>0</v>
      </c>
      <c r="N41" s="35">
        <f ca="1">(((_xlfn.XLOOKUP(YEAR($B41),'Oferta Producto 1'!$B$8:$B$19,'Oferta Producto 1'!$E$8:$E$19))*$AD41)/$AB41)/24</f>
        <v>0</v>
      </c>
      <c r="O41" s="35">
        <f ca="1">(((_xlfn.XLOOKUP(YEAR($B41),'Oferta Producto 1'!$B$8:$B$19,'Oferta Producto 1'!$E$8:$E$19))*$AD41)/$AB41)/24</f>
        <v>0</v>
      </c>
      <c r="P41" s="35">
        <f ca="1">(((_xlfn.XLOOKUP(YEAR($B41),'Oferta Producto 1'!$B$8:$B$19,'Oferta Producto 1'!$E$8:$E$19))*$AD41)/$AB41)/24</f>
        <v>0</v>
      </c>
      <c r="Q41" s="35">
        <f ca="1">(((_xlfn.XLOOKUP(YEAR($B41),'Oferta Producto 1'!$B$8:$B$19,'Oferta Producto 1'!$E$8:$E$19))*$AD41)/$AB41)/24</f>
        <v>0</v>
      </c>
      <c r="R41" s="35">
        <f ca="1">(((_xlfn.XLOOKUP(YEAR($B41),'Oferta Producto 1'!$B$8:$B$19,'Oferta Producto 1'!$E$8:$E$19))*$AD41)/$AB41)/24</f>
        <v>0</v>
      </c>
      <c r="S41" s="35">
        <f ca="1">(((_xlfn.XLOOKUP(YEAR($B41),'Oferta Producto 1'!$B$8:$B$19,'Oferta Producto 1'!$E$8:$E$19))*$AD41)/$AB41)/24</f>
        <v>0</v>
      </c>
      <c r="T41" s="35">
        <f ca="1">(((_xlfn.XLOOKUP(YEAR($B41),'Oferta Producto 1'!$B$8:$B$19,'Oferta Producto 1'!$E$8:$E$19))*$AD41)/$AB41)/24</f>
        <v>0</v>
      </c>
      <c r="U41" s="35">
        <f ca="1">(((_xlfn.XLOOKUP(YEAR($B41),'Oferta Producto 1'!$B$8:$B$19,'Oferta Producto 1'!$E$8:$E$19))*$AD41)/$AB41)/24</f>
        <v>0</v>
      </c>
      <c r="V41" s="35">
        <f ca="1">(((_xlfn.XLOOKUP(YEAR($B41),'Oferta Producto 1'!$B$8:$B$19,'Oferta Producto 1'!$E$8:$E$19))*$AD41)/$AB41)/24</f>
        <v>0</v>
      </c>
      <c r="W41" s="35">
        <f ca="1">(((_xlfn.XLOOKUP(YEAR($B41),'Oferta Producto 1'!$B$8:$B$19,'Oferta Producto 1'!$E$8:$E$19))*$AD41)/$AB41)/24</f>
        <v>0</v>
      </c>
      <c r="X41" s="35">
        <f ca="1">(((_xlfn.XLOOKUP(YEAR($B41),'Oferta Producto 1'!$B$8:$B$19,'Oferta Producto 1'!$E$8:$E$19))*$AD41)/$AB41)/24</f>
        <v>0</v>
      </c>
      <c r="Y41" s="35">
        <f ca="1">(((_xlfn.XLOOKUP(YEAR($B41),'Oferta Producto 1'!$B$8:$B$19,'Oferta Producto 1'!$E$8:$E$19))*$AD41)/$AB41)/24</f>
        <v>0</v>
      </c>
      <c r="Z41" s="35">
        <f ca="1">(((_xlfn.XLOOKUP(YEAR($B41),'Oferta Producto 1'!$B$8:$B$19,'Oferta Producto 1'!$E$8:$E$19))*$AD41)/$AB41)/24</f>
        <v>0</v>
      </c>
      <c r="AA41" s="35">
        <f t="shared" ca="1" si="5"/>
        <v>0</v>
      </c>
      <c r="AB41" s="28">
        <f t="shared" si="2"/>
        <v>31</v>
      </c>
      <c r="AC41" s="42">
        <f t="shared" ca="1" si="3"/>
        <v>0</v>
      </c>
      <c r="AD41" s="43">
        <v>8.2916184886125746E-2</v>
      </c>
      <c r="AE41"/>
    </row>
    <row r="42" spans="1:31" ht="15.75" thickBot="1">
      <c r="A42" s="23">
        <f t="shared" si="0"/>
        <v>2029</v>
      </c>
      <c r="B42" s="27">
        <v>47119</v>
      </c>
      <c r="C42" s="35">
        <f ca="1">(((_xlfn.XLOOKUP(YEAR($B42),'Oferta Producto 1'!$B$8:$B$19,'Oferta Producto 1'!$E$8:$E$19))*$AD42)/$AB42)/24</f>
        <v>0</v>
      </c>
      <c r="D42" s="35">
        <f ca="1">(((_xlfn.XLOOKUP(YEAR($B42),'Oferta Producto 1'!$B$8:$B$19,'Oferta Producto 1'!$E$8:$E$19))*$AD42)/$AB42)/24</f>
        <v>0</v>
      </c>
      <c r="E42" s="35">
        <f ca="1">(((_xlfn.XLOOKUP(YEAR($B42),'Oferta Producto 1'!$B$8:$B$19,'Oferta Producto 1'!$E$8:$E$19))*$AD42)/$AB42)/24</f>
        <v>0</v>
      </c>
      <c r="F42" s="35">
        <f ca="1">(((_xlfn.XLOOKUP(YEAR($B42),'Oferta Producto 1'!$B$8:$B$19,'Oferta Producto 1'!$E$8:$E$19))*$AD42)/$AB42)/24</f>
        <v>0</v>
      </c>
      <c r="G42" s="35">
        <f ca="1">(((_xlfn.XLOOKUP(YEAR($B42),'Oferta Producto 1'!$B$8:$B$19,'Oferta Producto 1'!$E$8:$E$19))*$AD42)/$AB42)/24</f>
        <v>0</v>
      </c>
      <c r="H42" s="35">
        <f ca="1">(((_xlfn.XLOOKUP(YEAR($B42),'Oferta Producto 1'!$B$8:$B$19,'Oferta Producto 1'!$E$8:$E$19))*$AD42)/$AB42)/24</f>
        <v>0</v>
      </c>
      <c r="I42" s="35">
        <f ca="1">(((_xlfn.XLOOKUP(YEAR($B42),'Oferta Producto 1'!$B$8:$B$19,'Oferta Producto 1'!$E$8:$E$19))*$AD42)/$AB42)/24</f>
        <v>0</v>
      </c>
      <c r="J42" s="35">
        <f ca="1">(((_xlfn.XLOOKUP(YEAR($B42),'Oferta Producto 1'!$B$8:$B$19,'Oferta Producto 1'!$E$8:$E$19))*$AD42)/$AB42)/24</f>
        <v>0</v>
      </c>
      <c r="K42" s="35">
        <f ca="1">(((_xlfn.XLOOKUP(YEAR($B42),'Oferta Producto 1'!$B$8:$B$19,'Oferta Producto 1'!$E$8:$E$19))*$AD42)/$AB42)/24</f>
        <v>0</v>
      </c>
      <c r="L42" s="35">
        <f ca="1">(((_xlfn.XLOOKUP(YEAR($B42),'Oferta Producto 1'!$B$8:$B$19,'Oferta Producto 1'!$E$8:$E$19))*$AD42)/$AB42)/24</f>
        <v>0</v>
      </c>
      <c r="M42" s="35">
        <f ca="1">(((_xlfn.XLOOKUP(YEAR($B42),'Oferta Producto 1'!$B$8:$B$19,'Oferta Producto 1'!$E$8:$E$19))*$AD42)/$AB42)/24</f>
        <v>0</v>
      </c>
      <c r="N42" s="35">
        <f ca="1">(((_xlfn.XLOOKUP(YEAR($B42),'Oferta Producto 1'!$B$8:$B$19,'Oferta Producto 1'!$E$8:$E$19))*$AD42)/$AB42)/24</f>
        <v>0</v>
      </c>
      <c r="O42" s="35">
        <f ca="1">(((_xlfn.XLOOKUP(YEAR($B42),'Oferta Producto 1'!$B$8:$B$19,'Oferta Producto 1'!$E$8:$E$19))*$AD42)/$AB42)/24</f>
        <v>0</v>
      </c>
      <c r="P42" s="35">
        <f ca="1">(((_xlfn.XLOOKUP(YEAR($B42),'Oferta Producto 1'!$B$8:$B$19,'Oferta Producto 1'!$E$8:$E$19))*$AD42)/$AB42)/24</f>
        <v>0</v>
      </c>
      <c r="Q42" s="35">
        <f ca="1">(((_xlfn.XLOOKUP(YEAR($B42),'Oferta Producto 1'!$B$8:$B$19,'Oferta Producto 1'!$E$8:$E$19))*$AD42)/$AB42)/24</f>
        <v>0</v>
      </c>
      <c r="R42" s="35">
        <f ca="1">(((_xlfn.XLOOKUP(YEAR($B42),'Oferta Producto 1'!$B$8:$B$19,'Oferta Producto 1'!$E$8:$E$19))*$AD42)/$AB42)/24</f>
        <v>0</v>
      </c>
      <c r="S42" s="35">
        <f ca="1">(((_xlfn.XLOOKUP(YEAR($B42),'Oferta Producto 1'!$B$8:$B$19,'Oferta Producto 1'!$E$8:$E$19))*$AD42)/$AB42)/24</f>
        <v>0</v>
      </c>
      <c r="T42" s="35">
        <f ca="1">(((_xlfn.XLOOKUP(YEAR($B42),'Oferta Producto 1'!$B$8:$B$19,'Oferta Producto 1'!$E$8:$E$19))*$AD42)/$AB42)/24</f>
        <v>0</v>
      </c>
      <c r="U42" s="35">
        <f ca="1">(((_xlfn.XLOOKUP(YEAR($B42),'Oferta Producto 1'!$B$8:$B$19,'Oferta Producto 1'!$E$8:$E$19))*$AD42)/$AB42)/24</f>
        <v>0</v>
      </c>
      <c r="V42" s="35">
        <f ca="1">(((_xlfn.XLOOKUP(YEAR($B42),'Oferta Producto 1'!$B$8:$B$19,'Oferta Producto 1'!$E$8:$E$19))*$AD42)/$AB42)/24</f>
        <v>0</v>
      </c>
      <c r="W42" s="35">
        <f ca="1">(((_xlfn.XLOOKUP(YEAR($B42),'Oferta Producto 1'!$B$8:$B$19,'Oferta Producto 1'!$E$8:$E$19))*$AD42)/$AB42)/24</f>
        <v>0</v>
      </c>
      <c r="X42" s="35">
        <f ca="1">(((_xlfn.XLOOKUP(YEAR($B42),'Oferta Producto 1'!$B$8:$B$19,'Oferta Producto 1'!$E$8:$E$19))*$AD42)/$AB42)/24</f>
        <v>0</v>
      </c>
      <c r="Y42" s="35">
        <f ca="1">(((_xlfn.XLOOKUP(YEAR($B42),'Oferta Producto 1'!$B$8:$B$19,'Oferta Producto 1'!$E$8:$E$19))*$AD42)/$AB42)/24</f>
        <v>0</v>
      </c>
      <c r="Z42" s="35">
        <f ca="1">(((_xlfn.XLOOKUP(YEAR($B42),'Oferta Producto 1'!$B$8:$B$19,'Oferta Producto 1'!$E$8:$E$19))*$AD42)/$AB42)/24</f>
        <v>0</v>
      </c>
      <c r="AA42" s="35">
        <f t="shared" ca="1" si="5"/>
        <v>0</v>
      </c>
      <c r="AB42" s="28">
        <f t="shared" si="2"/>
        <v>31</v>
      </c>
      <c r="AC42" s="42">
        <f t="shared" ca="1" si="3"/>
        <v>0</v>
      </c>
      <c r="AD42" s="43">
        <v>7.97553368803426E-2</v>
      </c>
      <c r="AE42"/>
    </row>
    <row r="43" spans="1:31" ht="15.75" thickBot="1">
      <c r="A43" s="23">
        <f t="shared" si="0"/>
        <v>2029</v>
      </c>
      <c r="B43" s="27">
        <v>47150</v>
      </c>
      <c r="C43" s="35">
        <f ca="1">(((_xlfn.XLOOKUP(YEAR($B43),'Oferta Producto 1'!$B$8:$B$19,'Oferta Producto 1'!$E$8:$E$19))*$AD43)/$AB43)/24</f>
        <v>0</v>
      </c>
      <c r="D43" s="35">
        <f ca="1">(((_xlfn.XLOOKUP(YEAR($B43),'Oferta Producto 1'!$B$8:$B$19,'Oferta Producto 1'!$E$8:$E$19))*$AD43)/$AB43)/24</f>
        <v>0</v>
      </c>
      <c r="E43" s="35">
        <f ca="1">(((_xlfn.XLOOKUP(YEAR($B43),'Oferta Producto 1'!$B$8:$B$19,'Oferta Producto 1'!$E$8:$E$19))*$AD43)/$AB43)/24</f>
        <v>0</v>
      </c>
      <c r="F43" s="35">
        <f ca="1">(((_xlfn.XLOOKUP(YEAR($B43),'Oferta Producto 1'!$B$8:$B$19,'Oferta Producto 1'!$E$8:$E$19))*$AD43)/$AB43)/24</f>
        <v>0</v>
      </c>
      <c r="G43" s="35">
        <f ca="1">(((_xlfn.XLOOKUP(YEAR($B43),'Oferta Producto 1'!$B$8:$B$19,'Oferta Producto 1'!$E$8:$E$19))*$AD43)/$AB43)/24</f>
        <v>0</v>
      </c>
      <c r="H43" s="35">
        <f ca="1">(((_xlfn.XLOOKUP(YEAR($B43),'Oferta Producto 1'!$B$8:$B$19,'Oferta Producto 1'!$E$8:$E$19))*$AD43)/$AB43)/24</f>
        <v>0</v>
      </c>
      <c r="I43" s="35">
        <f ca="1">(((_xlfn.XLOOKUP(YEAR($B43),'Oferta Producto 1'!$B$8:$B$19,'Oferta Producto 1'!$E$8:$E$19))*$AD43)/$AB43)/24</f>
        <v>0</v>
      </c>
      <c r="J43" s="35">
        <f ca="1">(((_xlfn.XLOOKUP(YEAR($B43),'Oferta Producto 1'!$B$8:$B$19,'Oferta Producto 1'!$E$8:$E$19))*$AD43)/$AB43)/24</f>
        <v>0</v>
      </c>
      <c r="K43" s="35">
        <f ca="1">(((_xlfn.XLOOKUP(YEAR($B43),'Oferta Producto 1'!$B$8:$B$19,'Oferta Producto 1'!$E$8:$E$19))*$AD43)/$AB43)/24</f>
        <v>0</v>
      </c>
      <c r="L43" s="35">
        <f ca="1">(((_xlfn.XLOOKUP(YEAR($B43),'Oferta Producto 1'!$B$8:$B$19,'Oferta Producto 1'!$E$8:$E$19))*$AD43)/$AB43)/24</f>
        <v>0</v>
      </c>
      <c r="M43" s="35">
        <f ca="1">(((_xlfn.XLOOKUP(YEAR($B43),'Oferta Producto 1'!$B$8:$B$19,'Oferta Producto 1'!$E$8:$E$19))*$AD43)/$AB43)/24</f>
        <v>0</v>
      </c>
      <c r="N43" s="35">
        <f ca="1">(((_xlfn.XLOOKUP(YEAR($B43),'Oferta Producto 1'!$B$8:$B$19,'Oferta Producto 1'!$E$8:$E$19))*$AD43)/$AB43)/24</f>
        <v>0</v>
      </c>
      <c r="O43" s="35">
        <f ca="1">(((_xlfn.XLOOKUP(YEAR($B43),'Oferta Producto 1'!$B$8:$B$19,'Oferta Producto 1'!$E$8:$E$19))*$AD43)/$AB43)/24</f>
        <v>0</v>
      </c>
      <c r="P43" s="35">
        <f ca="1">(((_xlfn.XLOOKUP(YEAR($B43),'Oferta Producto 1'!$B$8:$B$19,'Oferta Producto 1'!$E$8:$E$19))*$AD43)/$AB43)/24</f>
        <v>0</v>
      </c>
      <c r="Q43" s="35">
        <f ca="1">(((_xlfn.XLOOKUP(YEAR($B43),'Oferta Producto 1'!$B$8:$B$19,'Oferta Producto 1'!$E$8:$E$19))*$AD43)/$AB43)/24</f>
        <v>0</v>
      </c>
      <c r="R43" s="35">
        <f ca="1">(((_xlfn.XLOOKUP(YEAR($B43),'Oferta Producto 1'!$B$8:$B$19,'Oferta Producto 1'!$E$8:$E$19))*$AD43)/$AB43)/24</f>
        <v>0</v>
      </c>
      <c r="S43" s="35">
        <f ca="1">(((_xlfn.XLOOKUP(YEAR($B43),'Oferta Producto 1'!$B$8:$B$19,'Oferta Producto 1'!$E$8:$E$19))*$AD43)/$AB43)/24</f>
        <v>0</v>
      </c>
      <c r="T43" s="35">
        <f ca="1">(((_xlfn.XLOOKUP(YEAR($B43),'Oferta Producto 1'!$B$8:$B$19,'Oferta Producto 1'!$E$8:$E$19))*$AD43)/$AB43)/24</f>
        <v>0</v>
      </c>
      <c r="U43" s="35">
        <f ca="1">(((_xlfn.XLOOKUP(YEAR($B43),'Oferta Producto 1'!$B$8:$B$19,'Oferta Producto 1'!$E$8:$E$19))*$AD43)/$AB43)/24</f>
        <v>0</v>
      </c>
      <c r="V43" s="35">
        <f ca="1">(((_xlfn.XLOOKUP(YEAR($B43),'Oferta Producto 1'!$B$8:$B$19,'Oferta Producto 1'!$E$8:$E$19))*$AD43)/$AB43)/24</f>
        <v>0</v>
      </c>
      <c r="W43" s="35">
        <f ca="1">(((_xlfn.XLOOKUP(YEAR($B43),'Oferta Producto 1'!$B$8:$B$19,'Oferta Producto 1'!$E$8:$E$19))*$AD43)/$AB43)/24</f>
        <v>0</v>
      </c>
      <c r="X43" s="35">
        <f ca="1">(((_xlfn.XLOOKUP(YEAR($B43),'Oferta Producto 1'!$B$8:$B$19,'Oferta Producto 1'!$E$8:$E$19))*$AD43)/$AB43)/24</f>
        <v>0</v>
      </c>
      <c r="Y43" s="35">
        <f ca="1">(((_xlfn.XLOOKUP(YEAR($B43),'Oferta Producto 1'!$B$8:$B$19,'Oferta Producto 1'!$E$8:$E$19))*$AD43)/$AB43)/24</f>
        <v>0</v>
      </c>
      <c r="Z43" s="35">
        <f ca="1">(((_xlfn.XLOOKUP(YEAR($B43),'Oferta Producto 1'!$B$8:$B$19,'Oferta Producto 1'!$E$8:$E$19))*$AD43)/$AB43)/24</f>
        <v>0</v>
      </c>
      <c r="AA43" s="35">
        <f t="shared" ca="1" si="5"/>
        <v>0</v>
      </c>
      <c r="AB43" s="28">
        <f t="shared" si="2"/>
        <v>28</v>
      </c>
      <c r="AC43" s="42">
        <f t="shared" ca="1" si="3"/>
        <v>0</v>
      </c>
      <c r="AD43" s="43">
        <v>9.8156461495723546E-2</v>
      </c>
      <c r="AE43"/>
    </row>
    <row r="44" spans="1:31" ht="15.75" thickBot="1">
      <c r="A44" s="23">
        <f t="shared" si="0"/>
        <v>2029</v>
      </c>
      <c r="B44" s="27">
        <v>47178</v>
      </c>
      <c r="C44" s="35">
        <f ca="1">(((_xlfn.XLOOKUP(YEAR($B44),'Oferta Producto 1'!$B$8:$B$19,'Oferta Producto 1'!$E$8:$E$19))*$AD44)/$AB44)/24</f>
        <v>0</v>
      </c>
      <c r="D44" s="35">
        <f ca="1">(((_xlfn.XLOOKUP(YEAR($B44),'Oferta Producto 1'!$B$8:$B$19,'Oferta Producto 1'!$E$8:$E$19))*$AD44)/$AB44)/24</f>
        <v>0</v>
      </c>
      <c r="E44" s="35">
        <f ca="1">(((_xlfn.XLOOKUP(YEAR($B44),'Oferta Producto 1'!$B$8:$B$19,'Oferta Producto 1'!$E$8:$E$19))*$AD44)/$AB44)/24</f>
        <v>0</v>
      </c>
      <c r="F44" s="35">
        <f ca="1">(((_xlfn.XLOOKUP(YEAR($B44),'Oferta Producto 1'!$B$8:$B$19,'Oferta Producto 1'!$E$8:$E$19))*$AD44)/$AB44)/24</f>
        <v>0</v>
      </c>
      <c r="G44" s="35">
        <f ca="1">(((_xlfn.XLOOKUP(YEAR($B44),'Oferta Producto 1'!$B$8:$B$19,'Oferta Producto 1'!$E$8:$E$19))*$AD44)/$AB44)/24</f>
        <v>0</v>
      </c>
      <c r="H44" s="35">
        <f ca="1">(((_xlfn.XLOOKUP(YEAR($B44),'Oferta Producto 1'!$B$8:$B$19,'Oferta Producto 1'!$E$8:$E$19))*$AD44)/$AB44)/24</f>
        <v>0</v>
      </c>
      <c r="I44" s="35">
        <f ca="1">(((_xlfn.XLOOKUP(YEAR($B44),'Oferta Producto 1'!$B$8:$B$19,'Oferta Producto 1'!$E$8:$E$19))*$AD44)/$AB44)/24</f>
        <v>0</v>
      </c>
      <c r="J44" s="35">
        <f ca="1">(((_xlfn.XLOOKUP(YEAR($B44),'Oferta Producto 1'!$B$8:$B$19,'Oferta Producto 1'!$E$8:$E$19))*$AD44)/$AB44)/24</f>
        <v>0</v>
      </c>
      <c r="K44" s="35">
        <f ca="1">(((_xlfn.XLOOKUP(YEAR($B44),'Oferta Producto 1'!$B$8:$B$19,'Oferta Producto 1'!$E$8:$E$19))*$AD44)/$AB44)/24</f>
        <v>0</v>
      </c>
      <c r="L44" s="35">
        <f ca="1">(((_xlfn.XLOOKUP(YEAR($B44),'Oferta Producto 1'!$B$8:$B$19,'Oferta Producto 1'!$E$8:$E$19))*$AD44)/$AB44)/24</f>
        <v>0</v>
      </c>
      <c r="M44" s="35">
        <f ca="1">(((_xlfn.XLOOKUP(YEAR($B44),'Oferta Producto 1'!$B$8:$B$19,'Oferta Producto 1'!$E$8:$E$19))*$AD44)/$AB44)/24</f>
        <v>0</v>
      </c>
      <c r="N44" s="35">
        <f ca="1">(((_xlfn.XLOOKUP(YEAR($B44),'Oferta Producto 1'!$B$8:$B$19,'Oferta Producto 1'!$E$8:$E$19))*$AD44)/$AB44)/24</f>
        <v>0</v>
      </c>
      <c r="O44" s="35">
        <f ca="1">(((_xlfn.XLOOKUP(YEAR($B44),'Oferta Producto 1'!$B$8:$B$19,'Oferta Producto 1'!$E$8:$E$19))*$AD44)/$AB44)/24</f>
        <v>0</v>
      </c>
      <c r="P44" s="35">
        <f ca="1">(((_xlfn.XLOOKUP(YEAR($B44),'Oferta Producto 1'!$B$8:$B$19,'Oferta Producto 1'!$E$8:$E$19))*$AD44)/$AB44)/24</f>
        <v>0</v>
      </c>
      <c r="Q44" s="35">
        <f ca="1">(((_xlfn.XLOOKUP(YEAR($B44),'Oferta Producto 1'!$B$8:$B$19,'Oferta Producto 1'!$E$8:$E$19))*$AD44)/$AB44)/24</f>
        <v>0</v>
      </c>
      <c r="R44" s="35">
        <f ca="1">(((_xlfn.XLOOKUP(YEAR($B44),'Oferta Producto 1'!$B$8:$B$19,'Oferta Producto 1'!$E$8:$E$19))*$AD44)/$AB44)/24</f>
        <v>0</v>
      </c>
      <c r="S44" s="35">
        <f ca="1">(((_xlfn.XLOOKUP(YEAR($B44),'Oferta Producto 1'!$B$8:$B$19,'Oferta Producto 1'!$E$8:$E$19))*$AD44)/$AB44)/24</f>
        <v>0</v>
      </c>
      <c r="T44" s="35">
        <f ca="1">(((_xlfn.XLOOKUP(YEAR($B44),'Oferta Producto 1'!$B$8:$B$19,'Oferta Producto 1'!$E$8:$E$19))*$AD44)/$AB44)/24</f>
        <v>0</v>
      </c>
      <c r="U44" s="35">
        <f ca="1">(((_xlfn.XLOOKUP(YEAR($B44),'Oferta Producto 1'!$B$8:$B$19,'Oferta Producto 1'!$E$8:$E$19))*$AD44)/$AB44)/24</f>
        <v>0</v>
      </c>
      <c r="V44" s="35">
        <f ca="1">(((_xlfn.XLOOKUP(YEAR($B44),'Oferta Producto 1'!$B$8:$B$19,'Oferta Producto 1'!$E$8:$E$19))*$AD44)/$AB44)/24</f>
        <v>0</v>
      </c>
      <c r="W44" s="35">
        <f ca="1">(((_xlfn.XLOOKUP(YEAR($B44),'Oferta Producto 1'!$B$8:$B$19,'Oferta Producto 1'!$E$8:$E$19))*$AD44)/$AB44)/24</f>
        <v>0</v>
      </c>
      <c r="X44" s="35">
        <f ca="1">(((_xlfn.XLOOKUP(YEAR($B44),'Oferta Producto 1'!$B$8:$B$19,'Oferta Producto 1'!$E$8:$E$19))*$AD44)/$AB44)/24</f>
        <v>0</v>
      </c>
      <c r="Y44" s="35">
        <f ca="1">(((_xlfn.XLOOKUP(YEAR($B44),'Oferta Producto 1'!$B$8:$B$19,'Oferta Producto 1'!$E$8:$E$19))*$AD44)/$AB44)/24</f>
        <v>0</v>
      </c>
      <c r="Z44" s="35">
        <f ca="1">(((_xlfn.XLOOKUP(YEAR($B44),'Oferta Producto 1'!$B$8:$B$19,'Oferta Producto 1'!$E$8:$E$19))*$AD44)/$AB44)/24</f>
        <v>0</v>
      </c>
      <c r="AA44" s="35">
        <f t="shared" ca="1" si="5"/>
        <v>0</v>
      </c>
      <c r="AB44" s="28">
        <f t="shared" si="2"/>
        <v>31</v>
      </c>
      <c r="AC44" s="42">
        <f t="shared" ca="1" si="3"/>
        <v>0</v>
      </c>
      <c r="AD44" s="43">
        <v>7.97553368803426E-2</v>
      </c>
      <c r="AE44"/>
    </row>
    <row r="45" spans="1:31" ht="15.75" thickBot="1">
      <c r="A45" s="23">
        <f t="shared" si="0"/>
        <v>2029</v>
      </c>
      <c r="B45" s="27">
        <v>47209</v>
      </c>
      <c r="C45" s="35">
        <f ca="1">(((_xlfn.XLOOKUP(YEAR($B45),'Oferta Producto 1'!$B$8:$B$19,'Oferta Producto 1'!$E$8:$E$19))*$AD45)/$AB45)/24</f>
        <v>0</v>
      </c>
      <c r="D45" s="35">
        <f ca="1">(((_xlfn.XLOOKUP(YEAR($B45),'Oferta Producto 1'!$B$8:$B$19,'Oferta Producto 1'!$E$8:$E$19))*$AD45)/$AB45)/24</f>
        <v>0</v>
      </c>
      <c r="E45" s="35">
        <f ca="1">(((_xlfn.XLOOKUP(YEAR($B45),'Oferta Producto 1'!$B$8:$B$19,'Oferta Producto 1'!$E$8:$E$19))*$AD45)/$AB45)/24</f>
        <v>0</v>
      </c>
      <c r="F45" s="35">
        <f ca="1">(((_xlfn.XLOOKUP(YEAR($B45),'Oferta Producto 1'!$B$8:$B$19,'Oferta Producto 1'!$E$8:$E$19))*$AD45)/$AB45)/24</f>
        <v>0</v>
      </c>
      <c r="G45" s="35">
        <f ca="1">(((_xlfn.XLOOKUP(YEAR($B45),'Oferta Producto 1'!$B$8:$B$19,'Oferta Producto 1'!$E$8:$E$19))*$AD45)/$AB45)/24</f>
        <v>0</v>
      </c>
      <c r="H45" s="35">
        <f ca="1">(((_xlfn.XLOOKUP(YEAR($B45),'Oferta Producto 1'!$B$8:$B$19,'Oferta Producto 1'!$E$8:$E$19))*$AD45)/$AB45)/24</f>
        <v>0</v>
      </c>
      <c r="I45" s="35">
        <f ca="1">(((_xlfn.XLOOKUP(YEAR($B45),'Oferta Producto 1'!$B$8:$B$19,'Oferta Producto 1'!$E$8:$E$19))*$AD45)/$AB45)/24</f>
        <v>0</v>
      </c>
      <c r="J45" s="35">
        <f ca="1">(((_xlfn.XLOOKUP(YEAR($B45),'Oferta Producto 1'!$B$8:$B$19,'Oferta Producto 1'!$E$8:$E$19))*$AD45)/$AB45)/24</f>
        <v>0</v>
      </c>
      <c r="K45" s="35">
        <f ca="1">(((_xlfn.XLOOKUP(YEAR($B45),'Oferta Producto 1'!$B$8:$B$19,'Oferta Producto 1'!$E$8:$E$19))*$AD45)/$AB45)/24</f>
        <v>0</v>
      </c>
      <c r="L45" s="35">
        <f ca="1">(((_xlfn.XLOOKUP(YEAR($B45),'Oferta Producto 1'!$B$8:$B$19,'Oferta Producto 1'!$E$8:$E$19))*$AD45)/$AB45)/24</f>
        <v>0</v>
      </c>
      <c r="M45" s="35">
        <f ca="1">(((_xlfn.XLOOKUP(YEAR($B45),'Oferta Producto 1'!$B$8:$B$19,'Oferta Producto 1'!$E$8:$E$19))*$AD45)/$AB45)/24</f>
        <v>0</v>
      </c>
      <c r="N45" s="35">
        <f ca="1">(((_xlfn.XLOOKUP(YEAR($B45),'Oferta Producto 1'!$B$8:$B$19,'Oferta Producto 1'!$E$8:$E$19))*$AD45)/$AB45)/24</f>
        <v>0</v>
      </c>
      <c r="O45" s="35">
        <f ca="1">(((_xlfn.XLOOKUP(YEAR($B45),'Oferta Producto 1'!$B$8:$B$19,'Oferta Producto 1'!$E$8:$E$19))*$AD45)/$AB45)/24</f>
        <v>0</v>
      </c>
      <c r="P45" s="35">
        <f ca="1">(((_xlfn.XLOOKUP(YEAR($B45),'Oferta Producto 1'!$B$8:$B$19,'Oferta Producto 1'!$E$8:$E$19))*$AD45)/$AB45)/24</f>
        <v>0</v>
      </c>
      <c r="Q45" s="35">
        <f ca="1">(((_xlfn.XLOOKUP(YEAR($B45),'Oferta Producto 1'!$B$8:$B$19,'Oferta Producto 1'!$E$8:$E$19))*$AD45)/$AB45)/24</f>
        <v>0</v>
      </c>
      <c r="R45" s="35">
        <f ca="1">(((_xlfn.XLOOKUP(YEAR($B45),'Oferta Producto 1'!$B$8:$B$19,'Oferta Producto 1'!$E$8:$E$19))*$AD45)/$AB45)/24</f>
        <v>0</v>
      </c>
      <c r="S45" s="35">
        <f ca="1">(((_xlfn.XLOOKUP(YEAR($B45),'Oferta Producto 1'!$B$8:$B$19,'Oferta Producto 1'!$E$8:$E$19))*$AD45)/$AB45)/24</f>
        <v>0</v>
      </c>
      <c r="T45" s="35">
        <f ca="1">(((_xlfn.XLOOKUP(YEAR($B45),'Oferta Producto 1'!$B$8:$B$19,'Oferta Producto 1'!$E$8:$E$19))*$AD45)/$AB45)/24</f>
        <v>0</v>
      </c>
      <c r="U45" s="35">
        <f ca="1">(((_xlfn.XLOOKUP(YEAR($B45),'Oferta Producto 1'!$B$8:$B$19,'Oferta Producto 1'!$E$8:$E$19))*$AD45)/$AB45)/24</f>
        <v>0</v>
      </c>
      <c r="V45" s="35">
        <f ca="1">(((_xlfn.XLOOKUP(YEAR($B45),'Oferta Producto 1'!$B$8:$B$19,'Oferta Producto 1'!$E$8:$E$19))*$AD45)/$AB45)/24</f>
        <v>0</v>
      </c>
      <c r="W45" s="35">
        <f ca="1">(((_xlfn.XLOOKUP(YEAR($B45),'Oferta Producto 1'!$B$8:$B$19,'Oferta Producto 1'!$E$8:$E$19))*$AD45)/$AB45)/24</f>
        <v>0</v>
      </c>
      <c r="X45" s="35">
        <f ca="1">(((_xlfn.XLOOKUP(YEAR($B45),'Oferta Producto 1'!$B$8:$B$19,'Oferta Producto 1'!$E$8:$E$19))*$AD45)/$AB45)/24</f>
        <v>0</v>
      </c>
      <c r="Y45" s="35">
        <f ca="1">(((_xlfn.XLOOKUP(YEAR($B45),'Oferta Producto 1'!$B$8:$B$19,'Oferta Producto 1'!$E$8:$E$19))*$AD45)/$AB45)/24</f>
        <v>0</v>
      </c>
      <c r="Z45" s="35">
        <f ca="1">(((_xlfn.XLOOKUP(YEAR($B45),'Oferta Producto 1'!$B$8:$B$19,'Oferta Producto 1'!$E$8:$E$19))*$AD45)/$AB45)/24</f>
        <v>0</v>
      </c>
      <c r="AA45" s="35">
        <f t="shared" ca="1" si="5"/>
        <v>0</v>
      </c>
      <c r="AB45" s="28">
        <f t="shared" si="2"/>
        <v>30</v>
      </c>
      <c r="AC45" s="42">
        <f t="shared" ca="1" si="3"/>
        <v>0</v>
      </c>
      <c r="AD45" s="43">
        <v>8.5889045085469587E-2</v>
      </c>
      <c r="AE45"/>
    </row>
    <row r="46" spans="1:31" ht="15.75" thickBot="1">
      <c r="A46" s="23">
        <f t="shared" si="0"/>
        <v>2029</v>
      </c>
      <c r="B46" s="27">
        <v>47239</v>
      </c>
      <c r="C46" s="35">
        <f ca="1">(((_xlfn.XLOOKUP(YEAR($B46),'Oferta Producto 1'!$B$8:$B$19,'Oferta Producto 1'!$E$8:$E$19))*$AD46)/$AB46)/24</f>
        <v>0</v>
      </c>
      <c r="D46" s="35">
        <f ca="1">(((_xlfn.XLOOKUP(YEAR($B46),'Oferta Producto 1'!$B$8:$B$19,'Oferta Producto 1'!$E$8:$E$19))*$AD46)/$AB46)/24</f>
        <v>0</v>
      </c>
      <c r="E46" s="35">
        <f ca="1">(((_xlfn.XLOOKUP(YEAR($B46),'Oferta Producto 1'!$B$8:$B$19,'Oferta Producto 1'!$E$8:$E$19))*$AD46)/$AB46)/24</f>
        <v>0</v>
      </c>
      <c r="F46" s="35">
        <f ca="1">(((_xlfn.XLOOKUP(YEAR($B46),'Oferta Producto 1'!$B$8:$B$19,'Oferta Producto 1'!$E$8:$E$19))*$AD46)/$AB46)/24</f>
        <v>0</v>
      </c>
      <c r="G46" s="35">
        <f ca="1">(((_xlfn.XLOOKUP(YEAR($B46),'Oferta Producto 1'!$B$8:$B$19,'Oferta Producto 1'!$E$8:$E$19))*$AD46)/$AB46)/24</f>
        <v>0</v>
      </c>
      <c r="H46" s="35">
        <f ca="1">(((_xlfn.XLOOKUP(YEAR($B46),'Oferta Producto 1'!$B$8:$B$19,'Oferta Producto 1'!$E$8:$E$19))*$AD46)/$AB46)/24</f>
        <v>0</v>
      </c>
      <c r="I46" s="35">
        <f ca="1">(((_xlfn.XLOOKUP(YEAR($B46),'Oferta Producto 1'!$B$8:$B$19,'Oferta Producto 1'!$E$8:$E$19))*$AD46)/$AB46)/24</f>
        <v>0</v>
      </c>
      <c r="J46" s="35">
        <f ca="1">(((_xlfn.XLOOKUP(YEAR($B46),'Oferta Producto 1'!$B$8:$B$19,'Oferta Producto 1'!$E$8:$E$19))*$AD46)/$AB46)/24</f>
        <v>0</v>
      </c>
      <c r="K46" s="35">
        <f ca="1">(((_xlfn.XLOOKUP(YEAR($B46),'Oferta Producto 1'!$B$8:$B$19,'Oferta Producto 1'!$E$8:$E$19))*$AD46)/$AB46)/24</f>
        <v>0</v>
      </c>
      <c r="L46" s="35">
        <f ca="1">(((_xlfn.XLOOKUP(YEAR($B46),'Oferta Producto 1'!$B$8:$B$19,'Oferta Producto 1'!$E$8:$E$19))*$AD46)/$AB46)/24</f>
        <v>0</v>
      </c>
      <c r="M46" s="35">
        <f ca="1">(((_xlfn.XLOOKUP(YEAR($B46),'Oferta Producto 1'!$B$8:$B$19,'Oferta Producto 1'!$E$8:$E$19))*$AD46)/$AB46)/24</f>
        <v>0</v>
      </c>
      <c r="N46" s="35">
        <f ca="1">(((_xlfn.XLOOKUP(YEAR($B46),'Oferta Producto 1'!$B$8:$B$19,'Oferta Producto 1'!$E$8:$E$19))*$AD46)/$AB46)/24</f>
        <v>0</v>
      </c>
      <c r="O46" s="35">
        <f ca="1">(((_xlfn.XLOOKUP(YEAR($B46),'Oferta Producto 1'!$B$8:$B$19,'Oferta Producto 1'!$E$8:$E$19))*$AD46)/$AB46)/24</f>
        <v>0</v>
      </c>
      <c r="P46" s="35">
        <f ca="1">(((_xlfn.XLOOKUP(YEAR($B46),'Oferta Producto 1'!$B$8:$B$19,'Oferta Producto 1'!$E$8:$E$19))*$AD46)/$AB46)/24</f>
        <v>0</v>
      </c>
      <c r="Q46" s="35">
        <f ca="1">(((_xlfn.XLOOKUP(YEAR($B46),'Oferta Producto 1'!$B$8:$B$19,'Oferta Producto 1'!$E$8:$E$19))*$AD46)/$AB46)/24</f>
        <v>0</v>
      </c>
      <c r="R46" s="35">
        <f ca="1">(((_xlfn.XLOOKUP(YEAR($B46),'Oferta Producto 1'!$B$8:$B$19,'Oferta Producto 1'!$E$8:$E$19))*$AD46)/$AB46)/24</f>
        <v>0</v>
      </c>
      <c r="S46" s="35">
        <f ca="1">(((_xlfn.XLOOKUP(YEAR($B46),'Oferta Producto 1'!$B$8:$B$19,'Oferta Producto 1'!$E$8:$E$19))*$AD46)/$AB46)/24</f>
        <v>0</v>
      </c>
      <c r="T46" s="35">
        <f ca="1">(((_xlfn.XLOOKUP(YEAR($B46),'Oferta Producto 1'!$B$8:$B$19,'Oferta Producto 1'!$E$8:$E$19))*$AD46)/$AB46)/24</f>
        <v>0</v>
      </c>
      <c r="U46" s="35">
        <f ca="1">(((_xlfn.XLOOKUP(YEAR($B46),'Oferta Producto 1'!$B$8:$B$19,'Oferta Producto 1'!$E$8:$E$19))*$AD46)/$AB46)/24</f>
        <v>0</v>
      </c>
      <c r="V46" s="35">
        <f ca="1">(((_xlfn.XLOOKUP(YEAR($B46),'Oferta Producto 1'!$B$8:$B$19,'Oferta Producto 1'!$E$8:$E$19))*$AD46)/$AB46)/24</f>
        <v>0</v>
      </c>
      <c r="W46" s="35">
        <f ca="1">(((_xlfn.XLOOKUP(YEAR($B46),'Oferta Producto 1'!$B$8:$B$19,'Oferta Producto 1'!$E$8:$E$19))*$AD46)/$AB46)/24</f>
        <v>0</v>
      </c>
      <c r="X46" s="35">
        <f ca="1">(((_xlfn.XLOOKUP(YEAR($B46),'Oferta Producto 1'!$B$8:$B$19,'Oferta Producto 1'!$E$8:$E$19))*$AD46)/$AB46)/24</f>
        <v>0</v>
      </c>
      <c r="Y46" s="35">
        <f ca="1">(((_xlfn.XLOOKUP(YEAR($B46),'Oferta Producto 1'!$B$8:$B$19,'Oferta Producto 1'!$E$8:$E$19))*$AD46)/$AB46)/24</f>
        <v>0</v>
      </c>
      <c r="Z46" s="35">
        <f ca="1">(((_xlfn.XLOOKUP(YEAR($B46),'Oferta Producto 1'!$B$8:$B$19,'Oferta Producto 1'!$E$8:$E$19))*$AD46)/$AB46)/24</f>
        <v>0</v>
      </c>
      <c r="AA46" s="35">
        <f t="shared" ca="1" si="5"/>
        <v>0</v>
      </c>
      <c r="AB46" s="28">
        <f t="shared" si="2"/>
        <v>31</v>
      </c>
      <c r="AC46" s="42">
        <f t="shared" ca="1" si="3"/>
        <v>0</v>
      </c>
      <c r="AD46" s="43">
        <v>7.97553368803426E-2</v>
      </c>
      <c r="AE46"/>
    </row>
    <row r="47" spans="1:31" ht="15.75" thickBot="1">
      <c r="A47" s="23">
        <f t="shared" si="0"/>
        <v>2029</v>
      </c>
      <c r="B47" s="27">
        <v>47270</v>
      </c>
      <c r="C47" s="35">
        <f ca="1">(((_xlfn.XLOOKUP(YEAR($B47),'Oferta Producto 1'!$B$8:$B$19,'Oferta Producto 1'!$E$8:$E$19))*$AD47)/$AB47)/24</f>
        <v>0</v>
      </c>
      <c r="D47" s="35">
        <f ca="1">(((_xlfn.XLOOKUP(YEAR($B47),'Oferta Producto 1'!$B$8:$B$19,'Oferta Producto 1'!$E$8:$E$19))*$AD47)/$AB47)/24</f>
        <v>0</v>
      </c>
      <c r="E47" s="35">
        <f ca="1">(((_xlfn.XLOOKUP(YEAR($B47),'Oferta Producto 1'!$B$8:$B$19,'Oferta Producto 1'!$E$8:$E$19))*$AD47)/$AB47)/24</f>
        <v>0</v>
      </c>
      <c r="F47" s="35">
        <f ca="1">(((_xlfn.XLOOKUP(YEAR($B47),'Oferta Producto 1'!$B$8:$B$19,'Oferta Producto 1'!$E$8:$E$19))*$AD47)/$AB47)/24</f>
        <v>0</v>
      </c>
      <c r="G47" s="35">
        <f ca="1">(((_xlfn.XLOOKUP(YEAR($B47),'Oferta Producto 1'!$B$8:$B$19,'Oferta Producto 1'!$E$8:$E$19))*$AD47)/$AB47)/24</f>
        <v>0</v>
      </c>
      <c r="H47" s="35">
        <f ca="1">(((_xlfn.XLOOKUP(YEAR($B47),'Oferta Producto 1'!$B$8:$B$19,'Oferta Producto 1'!$E$8:$E$19))*$AD47)/$AB47)/24</f>
        <v>0</v>
      </c>
      <c r="I47" s="35">
        <f ca="1">(((_xlfn.XLOOKUP(YEAR($B47),'Oferta Producto 1'!$B$8:$B$19,'Oferta Producto 1'!$E$8:$E$19))*$AD47)/$AB47)/24</f>
        <v>0</v>
      </c>
      <c r="J47" s="35">
        <f ca="1">(((_xlfn.XLOOKUP(YEAR($B47),'Oferta Producto 1'!$B$8:$B$19,'Oferta Producto 1'!$E$8:$E$19))*$AD47)/$AB47)/24</f>
        <v>0</v>
      </c>
      <c r="K47" s="35">
        <f ca="1">(((_xlfn.XLOOKUP(YEAR($B47),'Oferta Producto 1'!$B$8:$B$19,'Oferta Producto 1'!$E$8:$E$19))*$AD47)/$AB47)/24</f>
        <v>0</v>
      </c>
      <c r="L47" s="35">
        <f ca="1">(((_xlfn.XLOOKUP(YEAR($B47),'Oferta Producto 1'!$B$8:$B$19,'Oferta Producto 1'!$E$8:$E$19))*$AD47)/$AB47)/24</f>
        <v>0</v>
      </c>
      <c r="M47" s="35">
        <f ca="1">(((_xlfn.XLOOKUP(YEAR($B47),'Oferta Producto 1'!$B$8:$B$19,'Oferta Producto 1'!$E$8:$E$19))*$AD47)/$AB47)/24</f>
        <v>0</v>
      </c>
      <c r="N47" s="35">
        <f ca="1">(((_xlfn.XLOOKUP(YEAR($B47),'Oferta Producto 1'!$B$8:$B$19,'Oferta Producto 1'!$E$8:$E$19))*$AD47)/$AB47)/24</f>
        <v>0</v>
      </c>
      <c r="O47" s="35">
        <f ca="1">(((_xlfn.XLOOKUP(YEAR($B47),'Oferta Producto 1'!$B$8:$B$19,'Oferta Producto 1'!$E$8:$E$19))*$AD47)/$AB47)/24</f>
        <v>0</v>
      </c>
      <c r="P47" s="35">
        <f ca="1">(((_xlfn.XLOOKUP(YEAR($B47),'Oferta Producto 1'!$B$8:$B$19,'Oferta Producto 1'!$E$8:$E$19))*$AD47)/$AB47)/24</f>
        <v>0</v>
      </c>
      <c r="Q47" s="35">
        <f ca="1">(((_xlfn.XLOOKUP(YEAR($B47),'Oferta Producto 1'!$B$8:$B$19,'Oferta Producto 1'!$E$8:$E$19))*$AD47)/$AB47)/24</f>
        <v>0</v>
      </c>
      <c r="R47" s="35">
        <f ca="1">(((_xlfn.XLOOKUP(YEAR($B47),'Oferta Producto 1'!$B$8:$B$19,'Oferta Producto 1'!$E$8:$E$19))*$AD47)/$AB47)/24</f>
        <v>0</v>
      </c>
      <c r="S47" s="35">
        <f ca="1">(((_xlfn.XLOOKUP(YEAR($B47),'Oferta Producto 1'!$B$8:$B$19,'Oferta Producto 1'!$E$8:$E$19))*$AD47)/$AB47)/24</f>
        <v>0</v>
      </c>
      <c r="T47" s="35">
        <f ca="1">(((_xlfn.XLOOKUP(YEAR($B47),'Oferta Producto 1'!$B$8:$B$19,'Oferta Producto 1'!$E$8:$E$19))*$AD47)/$AB47)/24</f>
        <v>0</v>
      </c>
      <c r="U47" s="35">
        <f ca="1">(((_xlfn.XLOOKUP(YEAR($B47),'Oferta Producto 1'!$B$8:$B$19,'Oferta Producto 1'!$E$8:$E$19))*$AD47)/$AB47)/24</f>
        <v>0</v>
      </c>
      <c r="V47" s="35">
        <f ca="1">(((_xlfn.XLOOKUP(YEAR($B47),'Oferta Producto 1'!$B$8:$B$19,'Oferta Producto 1'!$E$8:$E$19))*$AD47)/$AB47)/24</f>
        <v>0</v>
      </c>
      <c r="W47" s="35">
        <f ca="1">(((_xlfn.XLOOKUP(YEAR($B47),'Oferta Producto 1'!$B$8:$B$19,'Oferta Producto 1'!$E$8:$E$19))*$AD47)/$AB47)/24</f>
        <v>0</v>
      </c>
      <c r="X47" s="35">
        <f ca="1">(((_xlfn.XLOOKUP(YEAR($B47),'Oferta Producto 1'!$B$8:$B$19,'Oferta Producto 1'!$E$8:$E$19))*$AD47)/$AB47)/24</f>
        <v>0</v>
      </c>
      <c r="Y47" s="35">
        <f ca="1">(((_xlfn.XLOOKUP(YEAR($B47),'Oferta Producto 1'!$B$8:$B$19,'Oferta Producto 1'!$E$8:$E$19))*$AD47)/$AB47)/24</f>
        <v>0</v>
      </c>
      <c r="Z47" s="35">
        <f ca="1">(((_xlfn.XLOOKUP(YEAR($B47),'Oferta Producto 1'!$B$8:$B$19,'Oferta Producto 1'!$E$8:$E$19))*$AD47)/$AB47)/24</f>
        <v>0</v>
      </c>
      <c r="AA47" s="35">
        <f t="shared" ca="1" si="5"/>
        <v>0</v>
      </c>
      <c r="AB47" s="28">
        <f t="shared" si="2"/>
        <v>30</v>
      </c>
      <c r="AC47" s="42">
        <f t="shared" ca="1" si="3"/>
        <v>0</v>
      </c>
      <c r="AD47" s="43">
        <v>8.5889045085469587E-2</v>
      </c>
      <c r="AE47"/>
    </row>
    <row r="48" spans="1:31" ht="15.75" thickBot="1">
      <c r="A48" s="23">
        <f t="shared" si="0"/>
        <v>2029</v>
      </c>
      <c r="B48" s="27">
        <v>47300</v>
      </c>
      <c r="C48" s="35">
        <f ca="1">(((_xlfn.XLOOKUP(YEAR($B48),'Oferta Producto 1'!$B$8:$B$19,'Oferta Producto 1'!$E$8:$E$19))*$AD48)/$AB48)/24</f>
        <v>0</v>
      </c>
      <c r="D48" s="35">
        <f ca="1">(((_xlfn.XLOOKUP(YEAR($B48),'Oferta Producto 1'!$B$8:$B$19,'Oferta Producto 1'!$E$8:$E$19))*$AD48)/$AB48)/24</f>
        <v>0</v>
      </c>
      <c r="E48" s="35">
        <f ca="1">(((_xlfn.XLOOKUP(YEAR($B48),'Oferta Producto 1'!$B$8:$B$19,'Oferta Producto 1'!$E$8:$E$19))*$AD48)/$AB48)/24</f>
        <v>0</v>
      </c>
      <c r="F48" s="35">
        <f ca="1">(((_xlfn.XLOOKUP(YEAR($B48),'Oferta Producto 1'!$B$8:$B$19,'Oferta Producto 1'!$E$8:$E$19))*$AD48)/$AB48)/24</f>
        <v>0</v>
      </c>
      <c r="G48" s="35">
        <f ca="1">(((_xlfn.XLOOKUP(YEAR($B48),'Oferta Producto 1'!$B$8:$B$19,'Oferta Producto 1'!$E$8:$E$19))*$AD48)/$AB48)/24</f>
        <v>0</v>
      </c>
      <c r="H48" s="35">
        <f ca="1">(((_xlfn.XLOOKUP(YEAR($B48),'Oferta Producto 1'!$B$8:$B$19,'Oferta Producto 1'!$E$8:$E$19))*$AD48)/$AB48)/24</f>
        <v>0</v>
      </c>
      <c r="I48" s="35">
        <f ca="1">(((_xlfn.XLOOKUP(YEAR($B48),'Oferta Producto 1'!$B$8:$B$19,'Oferta Producto 1'!$E$8:$E$19))*$AD48)/$AB48)/24</f>
        <v>0</v>
      </c>
      <c r="J48" s="35">
        <f ca="1">(((_xlfn.XLOOKUP(YEAR($B48),'Oferta Producto 1'!$B$8:$B$19,'Oferta Producto 1'!$E$8:$E$19))*$AD48)/$AB48)/24</f>
        <v>0</v>
      </c>
      <c r="K48" s="35">
        <f ca="1">(((_xlfn.XLOOKUP(YEAR($B48),'Oferta Producto 1'!$B$8:$B$19,'Oferta Producto 1'!$E$8:$E$19))*$AD48)/$AB48)/24</f>
        <v>0</v>
      </c>
      <c r="L48" s="35">
        <f ca="1">(((_xlfn.XLOOKUP(YEAR($B48),'Oferta Producto 1'!$B$8:$B$19,'Oferta Producto 1'!$E$8:$E$19))*$AD48)/$AB48)/24</f>
        <v>0</v>
      </c>
      <c r="M48" s="35">
        <f ca="1">(((_xlfn.XLOOKUP(YEAR($B48),'Oferta Producto 1'!$B$8:$B$19,'Oferta Producto 1'!$E$8:$E$19))*$AD48)/$AB48)/24</f>
        <v>0</v>
      </c>
      <c r="N48" s="35">
        <f ca="1">(((_xlfn.XLOOKUP(YEAR($B48),'Oferta Producto 1'!$B$8:$B$19,'Oferta Producto 1'!$E$8:$E$19))*$AD48)/$AB48)/24</f>
        <v>0</v>
      </c>
      <c r="O48" s="35">
        <f ca="1">(((_xlfn.XLOOKUP(YEAR($B48),'Oferta Producto 1'!$B$8:$B$19,'Oferta Producto 1'!$E$8:$E$19))*$AD48)/$AB48)/24</f>
        <v>0</v>
      </c>
      <c r="P48" s="35">
        <f ca="1">(((_xlfn.XLOOKUP(YEAR($B48),'Oferta Producto 1'!$B$8:$B$19,'Oferta Producto 1'!$E$8:$E$19))*$AD48)/$AB48)/24</f>
        <v>0</v>
      </c>
      <c r="Q48" s="35">
        <f ca="1">(((_xlfn.XLOOKUP(YEAR($B48),'Oferta Producto 1'!$B$8:$B$19,'Oferta Producto 1'!$E$8:$E$19))*$AD48)/$AB48)/24</f>
        <v>0</v>
      </c>
      <c r="R48" s="35">
        <f ca="1">(((_xlfn.XLOOKUP(YEAR($B48),'Oferta Producto 1'!$B$8:$B$19,'Oferta Producto 1'!$E$8:$E$19))*$AD48)/$AB48)/24</f>
        <v>0</v>
      </c>
      <c r="S48" s="35">
        <f ca="1">(((_xlfn.XLOOKUP(YEAR($B48),'Oferta Producto 1'!$B$8:$B$19,'Oferta Producto 1'!$E$8:$E$19))*$AD48)/$AB48)/24</f>
        <v>0</v>
      </c>
      <c r="T48" s="35">
        <f ca="1">(((_xlfn.XLOOKUP(YEAR($B48),'Oferta Producto 1'!$B$8:$B$19,'Oferta Producto 1'!$E$8:$E$19))*$AD48)/$AB48)/24</f>
        <v>0</v>
      </c>
      <c r="U48" s="35">
        <f ca="1">(((_xlfn.XLOOKUP(YEAR($B48),'Oferta Producto 1'!$B$8:$B$19,'Oferta Producto 1'!$E$8:$E$19))*$AD48)/$AB48)/24</f>
        <v>0</v>
      </c>
      <c r="V48" s="35">
        <f ca="1">(((_xlfn.XLOOKUP(YEAR($B48),'Oferta Producto 1'!$B$8:$B$19,'Oferta Producto 1'!$E$8:$E$19))*$AD48)/$AB48)/24</f>
        <v>0</v>
      </c>
      <c r="W48" s="35">
        <f ca="1">(((_xlfn.XLOOKUP(YEAR($B48),'Oferta Producto 1'!$B$8:$B$19,'Oferta Producto 1'!$E$8:$E$19))*$AD48)/$AB48)/24</f>
        <v>0</v>
      </c>
      <c r="X48" s="35">
        <f ca="1">(((_xlfn.XLOOKUP(YEAR($B48),'Oferta Producto 1'!$B$8:$B$19,'Oferta Producto 1'!$E$8:$E$19))*$AD48)/$AB48)/24</f>
        <v>0</v>
      </c>
      <c r="Y48" s="35">
        <f ca="1">(((_xlfn.XLOOKUP(YEAR($B48),'Oferta Producto 1'!$B$8:$B$19,'Oferta Producto 1'!$E$8:$E$19))*$AD48)/$AB48)/24</f>
        <v>0</v>
      </c>
      <c r="Z48" s="35">
        <f ca="1">(((_xlfn.XLOOKUP(YEAR($B48),'Oferta Producto 1'!$B$8:$B$19,'Oferta Producto 1'!$E$8:$E$19))*$AD48)/$AB48)/24</f>
        <v>0</v>
      </c>
      <c r="AA48" s="35">
        <f t="shared" ca="1" si="5"/>
        <v>0</v>
      </c>
      <c r="AB48" s="28">
        <f t="shared" si="2"/>
        <v>31</v>
      </c>
      <c r="AC48" s="42">
        <f t="shared" ca="1" si="3"/>
        <v>0</v>
      </c>
      <c r="AD48" s="43">
        <v>7.97553368803426E-2</v>
      </c>
      <c r="AE48"/>
    </row>
    <row r="49" spans="1:31" ht="15.75" thickBot="1">
      <c r="A49" s="23">
        <f t="shared" si="0"/>
        <v>2029</v>
      </c>
      <c r="B49" s="27">
        <v>47331</v>
      </c>
      <c r="C49" s="35">
        <f ca="1">(((_xlfn.XLOOKUP(YEAR($B49),'Oferta Producto 1'!$B$8:$B$19,'Oferta Producto 1'!$E$8:$E$19))*$AD49)/$AB49)/24</f>
        <v>0</v>
      </c>
      <c r="D49" s="35">
        <f ca="1">(((_xlfn.XLOOKUP(YEAR($B49),'Oferta Producto 1'!$B$8:$B$19,'Oferta Producto 1'!$E$8:$E$19))*$AD49)/$AB49)/24</f>
        <v>0</v>
      </c>
      <c r="E49" s="35">
        <f ca="1">(((_xlfn.XLOOKUP(YEAR($B49),'Oferta Producto 1'!$B$8:$B$19,'Oferta Producto 1'!$E$8:$E$19))*$AD49)/$AB49)/24</f>
        <v>0</v>
      </c>
      <c r="F49" s="35">
        <f ca="1">(((_xlfn.XLOOKUP(YEAR($B49),'Oferta Producto 1'!$B$8:$B$19,'Oferta Producto 1'!$E$8:$E$19))*$AD49)/$AB49)/24</f>
        <v>0</v>
      </c>
      <c r="G49" s="35">
        <f ca="1">(((_xlfn.XLOOKUP(YEAR($B49),'Oferta Producto 1'!$B$8:$B$19,'Oferta Producto 1'!$E$8:$E$19))*$AD49)/$AB49)/24</f>
        <v>0</v>
      </c>
      <c r="H49" s="35">
        <f ca="1">(((_xlfn.XLOOKUP(YEAR($B49),'Oferta Producto 1'!$B$8:$B$19,'Oferta Producto 1'!$E$8:$E$19))*$AD49)/$AB49)/24</f>
        <v>0</v>
      </c>
      <c r="I49" s="35">
        <f ca="1">(((_xlfn.XLOOKUP(YEAR($B49),'Oferta Producto 1'!$B$8:$B$19,'Oferta Producto 1'!$E$8:$E$19))*$AD49)/$AB49)/24</f>
        <v>0</v>
      </c>
      <c r="J49" s="35">
        <f ca="1">(((_xlfn.XLOOKUP(YEAR($B49),'Oferta Producto 1'!$B$8:$B$19,'Oferta Producto 1'!$E$8:$E$19))*$AD49)/$AB49)/24</f>
        <v>0</v>
      </c>
      <c r="K49" s="35">
        <f ca="1">(((_xlfn.XLOOKUP(YEAR($B49),'Oferta Producto 1'!$B$8:$B$19,'Oferta Producto 1'!$E$8:$E$19))*$AD49)/$AB49)/24</f>
        <v>0</v>
      </c>
      <c r="L49" s="35">
        <f ca="1">(((_xlfn.XLOOKUP(YEAR($B49),'Oferta Producto 1'!$B$8:$B$19,'Oferta Producto 1'!$E$8:$E$19))*$AD49)/$AB49)/24</f>
        <v>0</v>
      </c>
      <c r="M49" s="35">
        <f ca="1">(((_xlfn.XLOOKUP(YEAR($B49),'Oferta Producto 1'!$B$8:$B$19,'Oferta Producto 1'!$E$8:$E$19))*$AD49)/$AB49)/24</f>
        <v>0</v>
      </c>
      <c r="N49" s="35">
        <f ca="1">(((_xlfn.XLOOKUP(YEAR($B49),'Oferta Producto 1'!$B$8:$B$19,'Oferta Producto 1'!$E$8:$E$19))*$AD49)/$AB49)/24</f>
        <v>0</v>
      </c>
      <c r="O49" s="35">
        <f ca="1">(((_xlfn.XLOOKUP(YEAR($B49),'Oferta Producto 1'!$B$8:$B$19,'Oferta Producto 1'!$E$8:$E$19))*$AD49)/$AB49)/24</f>
        <v>0</v>
      </c>
      <c r="P49" s="35">
        <f ca="1">(((_xlfn.XLOOKUP(YEAR($B49),'Oferta Producto 1'!$B$8:$B$19,'Oferta Producto 1'!$E$8:$E$19))*$AD49)/$AB49)/24</f>
        <v>0</v>
      </c>
      <c r="Q49" s="35">
        <f ca="1">(((_xlfn.XLOOKUP(YEAR($B49),'Oferta Producto 1'!$B$8:$B$19,'Oferta Producto 1'!$E$8:$E$19))*$AD49)/$AB49)/24</f>
        <v>0</v>
      </c>
      <c r="R49" s="35">
        <f ca="1">(((_xlfn.XLOOKUP(YEAR($B49),'Oferta Producto 1'!$B$8:$B$19,'Oferta Producto 1'!$E$8:$E$19))*$AD49)/$AB49)/24</f>
        <v>0</v>
      </c>
      <c r="S49" s="35">
        <f ca="1">(((_xlfn.XLOOKUP(YEAR($B49),'Oferta Producto 1'!$B$8:$B$19,'Oferta Producto 1'!$E$8:$E$19))*$AD49)/$AB49)/24</f>
        <v>0</v>
      </c>
      <c r="T49" s="35">
        <f ca="1">(((_xlfn.XLOOKUP(YEAR($B49),'Oferta Producto 1'!$B$8:$B$19,'Oferta Producto 1'!$E$8:$E$19))*$AD49)/$AB49)/24</f>
        <v>0</v>
      </c>
      <c r="U49" s="35">
        <f ca="1">(((_xlfn.XLOOKUP(YEAR($B49),'Oferta Producto 1'!$B$8:$B$19,'Oferta Producto 1'!$E$8:$E$19))*$AD49)/$AB49)/24</f>
        <v>0</v>
      </c>
      <c r="V49" s="35">
        <f ca="1">(((_xlfn.XLOOKUP(YEAR($B49),'Oferta Producto 1'!$B$8:$B$19,'Oferta Producto 1'!$E$8:$E$19))*$AD49)/$AB49)/24</f>
        <v>0</v>
      </c>
      <c r="W49" s="35">
        <f ca="1">(((_xlfn.XLOOKUP(YEAR($B49),'Oferta Producto 1'!$B$8:$B$19,'Oferta Producto 1'!$E$8:$E$19))*$AD49)/$AB49)/24</f>
        <v>0</v>
      </c>
      <c r="X49" s="35">
        <f ca="1">(((_xlfn.XLOOKUP(YEAR($B49),'Oferta Producto 1'!$B$8:$B$19,'Oferta Producto 1'!$E$8:$E$19))*$AD49)/$AB49)/24</f>
        <v>0</v>
      </c>
      <c r="Y49" s="35">
        <f ca="1">(((_xlfn.XLOOKUP(YEAR($B49),'Oferta Producto 1'!$B$8:$B$19,'Oferta Producto 1'!$E$8:$E$19))*$AD49)/$AB49)/24</f>
        <v>0</v>
      </c>
      <c r="Z49" s="35">
        <f ca="1">(((_xlfn.XLOOKUP(YEAR($B49),'Oferta Producto 1'!$B$8:$B$19,'Oferta Producto 1'!$E$8:$E$19))*$AD49)/$AB49)/24</f>
        <v>0</v>
      </c>
      <c r="AA49" s="35">
        <f t="shared" ca="1" si="5"/>
        <v>0</v>
      </c>
      <c r="AB49" s="28">
        <f t="shared" si="2"/>
        <v>31</v>
      </c>
      <c r="AC49" s="42">
        <f t="shared" ca="1" si="3"/>
        <v>0</v>
      </c>
      <c r="AD49" s="43">
        <v>7.97553368803426E-2</v>
      </c>
      <c r="AE49"/>
    </row>
    <row r="50" spans="1:31" ht="15.75" thickBot="1">
      <c r="A50" s="23">
        <f t="shared" si="0"/>
        <v>2029</v>
      </c>
      <c r="B50" s="27">
        <v>47362</v>
      </c>
      <c r="C50" s="35">
        <f ca="1">(((_xlfn.XLOOKUP(YEAR($B50),'Oferta Producto 1'!$B$8:$B$19,'Oferta Producto 1'!$E$8:$E$19))*$AD50)/$AB50)/24</f>
        <v>0</v>
      </c>
      <c r="D50" s="35">
        <f ca="1">(((_xlfn.XLOOKUP(YEAR($B50),'Oferta Producto 1'!$B$8:$B$19,'Oferta Producto 1'!$E$8:$E$19))*$AD50)/$AB50)/24</f>
        <v>0</v>
      </c>
      <c r="E50" s="35">
        <f ca="1">(((_xlfn.XLOOKUP(YEAR($B50),'Oferta Producto 1'!$B$8:$B$19,'Oferta Producto 1'!$E$8:$E$19))*$AD50)/$AB50)/24</f>
        <v>0</v>
      </c>
      <c r="F50" s="35">
        <f ca="1">(((_xlfn.XLOOKUP(YEAR($B50),'Oferta Producto 1'!$B$8:$B$19,'Oferta Producto 1'!$E$8:$E$19))*$AD50)/$AB50)/24</f>
        <v>0</v>
      </c>
      <c r="G50" s="35">
        <f ca="1">(((_xlfn.XLOOKUP(YEAR($B50),'Oferta Producto 1'!$B$8:$B$19,'Oferta Producto 1'!$E$8:$E$19))*$AD50)/$AB50)/24</f>
        <v>0</v>
      </c>
      <c r="H50" s="35">
        <f ca="1">(((_xlfn.XLOOKUP(YEAR($B50),'Oferta Producto 1'!$B$8:$B$19,'Oferta Producto 1'!$E$8:$E$19))*$AD50)/$AB50)/24</f>
        <v>0</v>
      </c>
      <c r="I50" s="35">
        <f ca="1">(((_xlfn.XLOOKUP(YEAR($B50),'Oferta Producto 1'!$B$8:$B$19,'Oferta Producto 1'!$E$8:$E$19))*$AD50)/$AB50)/24</f>
        <v>0</v>
      </c>
      <c r="J50" s="35">
        <f ca="1">(((_xlfn.XLOOKUP(YEAR($B50),'Oferta Producto 1'!$B$8:$B$19,'Oferta Producto 1'!$E$8:$E$19))*$AD50)/$AB50)/24</f>
        <v>0</v>
      </c>
      <c r="K50" s="35">
        <f ca="1">(((_xlfn.XLOOKUP(YEAR($B50),'Oferta Producto 1'!$B$8:$B$19,'Oferta Producto 1'!$E$8:$E$19))*$AD50)/$AB50)/24</f>
        <v>0</v>
      </c>
      <c r="L50" s="35">
        <f ca="1">(((_xlfn.XLOOKUP(YEAR($B50),'Oferta Producto 1'!$B$8:$B$19,'Oferta Producto 1'!$E$8:$E$19))*$AD50)/$AB50)/24</f>
        <v>0</v>
      </c>
      <c r="M50" s="35">
        <f ca="1">(((_xlfn.XLOOKUP(YEAR($B50),'Oferta Producto 1'!$B$8:$B$19,'Oferta Producto 1'!$E$8:$E$19))*$AD50)/$AB50)/24</f>
        <v>0</v>
      </c>
      <c r="N50" s="35">
        <f ca="1">(((_xlfn.XLOOKUP(YEAR($B50),'Oferta Producto 1'!$B$8:$B$19,'Oferta Producto 1'!$E$8:$E$19))*$AD50)/$AB50)/24</f>
        <v>0</v>
      </c>
      <c r="O50" s="35">
        <f ca="1">(((_xlfn.XLOOKUP(YEAR($B50),'Oferta Producto 1'!$B$8:$B$19,'Oferta Producto 1'!$E$8:$E$19))*$AD50)/$AB50)/24</f>
        <v>0</v>
      </c>
      <c r="P50" s="35">
        <f ca="1">(((_xlfn.XLOOKUP(YEAR($B50),'Oferta Producto 1'!$B$8:$B$19,'Oferta Producto 1'!$E$8:$E$19))*$AD50)/$AB50)/24</f>
        <v>0</v>
      </c>
      <c r="Q50" s="35">
        <f ca="1">(((_xlfn.XLOOKUP(YEAR($B50),'Oferta Producto 1'!$B$8:$B$19,'Oferta Producto 1'!$E$8:$E$19))*$AD50)/$AB50)/24</f>
        <v>0</v>
      </c>
      <c r="R50" s="35">
        <f ca="1">(((_xlfn.XLOOKUP(YEAR($B50),'Oferta Producto 1'!$B$8:$B$19,'Oferta Producto 1'!$E$8:$E$19))*$AD50)/$AB50)/24</f>
        <v>0</v>
      </c>
      <c r="S50" s="35">
        <f ca="1">(((_xlfn.XLOOKUP(YEAR($B50),'Oferta Producto 1'!$B$8:$B$19,'Oferta Producto 1'!$E$8:$E$19))*$AD50)/$AB50)/24</f>
        <v>0</v>
      </c>
      <c r="T50" s="35">
        <f ca="1">(((_xlfn.XLOOKUP(YEAR($B50),'Oferta Producto 1'!$B$8:$B$19,'Oferta Producto 1'!$E$8:$E$19))*$AD50)/$AB50)/24</f>
        <v>0</v>
      </c>
      <c r="U50" s="35">
        <f ca="1">(((_xlfn.XLOOKUP(YEAR($B50),'Oferta Producto 1'!$B$8:$B$19,'Oferta Producto 1'!$E$8:$E$19))*$AD50)/$AB50)/24</f>
        <v>0</v>
      </c>
      <c r="V50" s="35">
        <f ca="1">(((_xlfn.XLOOKUP(YEAR($B50),'Oferta Producto 1'!$B$8:$B$19,'Oferta Producto 1'!$E$8:$E$19))*$AD50)/$AB50)/24</f>
        <v>0</v>
      </c>
      <c r="W50" s="35">
        <f ca="1">(((_xlfn.XLOOKUP(YEAR($B50),'Oferta Producto 1'!$B$8:$B$19,'Oferta Producto 1'!$E$8:$E$19))*$AD50)/$AB50)/24</f>
        <v>0</v>
      </c>
      <c r="X50" s="35">
        <f ca="1">(((_xlfn.XLOOKUP(YEAR($B50),'Oferta Producto 1'!$B$8:$B$19,'Oferta Producto 1'!$E$8:$E$19))*$AD50)/$AB50)/24</f>
        <v>0</v>
      </c>
      <c r="Y50" s="35">
        <f ca="1">(((_xlfn.XLOOKUP(YEAR($B50),'Oferta Producto 1'!$B$8:$B$19,'Oferta Producto 1'!$E$8:$E$19))*$AD50)/$AB50)/24</f>
        <v>0</v>
      </c>
      <c r="Z50" s="35">
        <f ca="1">(((_xlfn.XLOOKUP(YEAR($B50),'Oferta Producto 1'!$B$8:$B$19,'Oferta Producto 1'!$E$8:$E$19))*$AD50)/$AB50)/24</f>
        <v>0</v>
      </c>
      <c r="AA50" s="35">
        <f t="shared" ca="1" si="5"/>
        <v>0</v>
      </c>
      <c r="AB50" s="28">
        <f t="shared" si="2"/>
        <v>30</v>
      </c>
      <c r="AC50" s="42">
        <f t="shared" ca="1" si="3"/>
        <v>0</v>
      </c>
      <c r="AD50" s="43">
        <v>8.5889045085469587E-2</v>
      </c>
      <c r="AE50"/>
    </row>
    <row r="51" spans="1:31" ht="15.75" thickBot="1">
      <c r="A51" s="23">
        <f t="shared" si="0"/>
        <v>2029</v>
      </c>
      <c r="B51" s="27">
        <v>47392</v>
      </c>
      <c r="C51" s="35">
        <f ca="1">(((_xlfn.XLOOKUP(YEAR($B51),'Oferta Producto 1'!$B$8:$B$19,'Oferta Producto 1'!$E$8:$E$19))*$AD51)/$AB51)/24</f>
        <v>0</v>
      </c>
      <c r="D51" s="35">
        <f ca="1">(((_xlfn.XLOOKUP(YEAR($B51),'Oferta Producto 1'!$B$8:$B$19,'Oferta Producto 1'!$E$8:$E$19))*$AD51)/$AB51)/24</f>
        <v>0</v>
      </c>
      <c r="E51" s="35">
        <f ca="1">(((_xlfn.XLOOKUP(YEAR($B51),'Oferta Producto 1'!$B$8:$B$19,'Oferta Producto 1'!$E$8:$E$19))*$AD51)/$AB51)/24</f>
        <v>0</v>
      </c>
      <c r="F51" s="35">
        <f ca="1">(((_xlfn.XLOOKUP(YEAR($B51),'Oferta Producto 1'!$B$8:$B$19,'Oferta Producto 1'!$E$8:$E$19))*$AD51)/$AB51)/24</f>
        <v>0</v>
      </c>
      <c r="G51" s="35">
        <f ca="1">(((_xlfn.XLOOKUP(YEAR($B51),'Oferta Producto 1'!$B$8:$B$19,'Oferta Producto 1'!$E$8:$E$19))*$AD51)/$AB51)/24</f>
        <v>0</v>
      </c>
      <c r="H51" s="35">
        <f ca="1">(((_xlfn.XLOOKUP(YEAR($B51),'Oferta Producto 1'!$B$8:$B$19,'Oferta Producto 1'!$E$8:$E$19))*$AD51)/$AB51)/24</f>
        <v>0</v>
      </c>
      <c r="I51" s="35">
        <f ca="1">(((_xlfn.XLOOKUP(YEAR($B51),'Oferta Producto 1'!$B$8:$B$19,'Oferta Producto 1'!$E$8:$E$19))*$AD51)/$AB51)/24</f>
        <v>0</v>
      </c>
      <c r="J51" s="35">
        <f ca="1">(((_xlfn.XLOOKUP(YEAR($B51),'Oferta Producto 1'!$B$8:$B$19,'Oferta Producto 1'!$E$8:$E$19))*$AD51)/$AB51)/24</f>
        <v>0</v>
      </c>
      <c r="K51" s="35">
        <f ca="1">(((_xlfn.XLOOKUP(YEAR($B51),'Oferta Producto 1'!$B$8:$B$19,'Oferta Producto 1'!$E$8:$E$19))*$AD51)/$AB51)/24</f>
        <v>0</v>
      </c>
      <c r="L51" s="35">
        <f ca="1">(((_xlfn.XLOOKUP(YEAR($B51),'Oferta Producto 1'!$B$8:$B$19,'Oferta Producto 1'!$E$8:$E$19))*$AD51)/$AB51)/24</f>
        <v>0</v>
      </c>
      <c r="M51" s="35">
        <f ca="1">(((_xlfn.XLOOKUP(YEAR($B51),'Oferta Producto 1'!$B$8:$B$19,'Oferta Producto 1'!$E$8:$E$19))*$AD51)/$AB51)/24</f>
        <v>0</v>
      </c>
      <c r="N51" s="35">
        <f ca="1">(((_xlfn.XLOOKUP(YEAR($B51),'Oferta Producto 1'!$B$8:$B$19,'Oferta Producto 1'!$E$8:$E$19))*$AD51)/$AB51)/24</f>
        <v>0</v>
      </c>
      <c r="O51" s="35">
        <f ca="1">(((_xlfn.XLOOKUP(YEAR($B51),'Oferta Producto 1'!$B$8:$B$19,'Oferta Producto 1'!$E$8:$E$19))*$AD51)/$AB51)/24</f>
        <v>0</v>
      </c>
      <c r="P51" s="35">
        <f ca="1">(((_xlfn.XLOOKUP(YEAR($B51),'Oferta Producto 1'!$B$8:$B$19,'Oferta Producto 1'!$E$8:$E$19))*$AD51)/$AB51)/24</f>
        <v>0</v>
      </c>
      <c r="Q51" s="35">
        <f ca="1">(((_xlfn.XLOOKUP(YEAR($B51),'Oferta Producto 1'!$B$8:$B$19,'Oferta Producto 1'!$E$8:$E$19))*$AD51)/$AB51)/24</f>
        <v>0</v>
      </c>
      <c r="R51" s="35">
        <f ca="1">(((_xlfn.XLOOKUP(YEAR($B51),'Oferta Producto 1'!$B$8:$B$19,'Oferta Producto 1'!$E$8:$E$19))*$AD51)/$AB51)/24</f>
        <v>0</v>
      </c>
      <c r="S51" s="35">
        <f ca="1">(((_xlfn.XLOOKUP(YEAR($B51),'Oferta Producto 1'!$B$8:$B$19,'Oferta Producto 1'!$E$8:$E$19))*$AD51)/$AB51)/24</f>
        <v>0</v>
      </c>
      <c r="T51" s="35">
        <f ca="1">(((_xlfn.XLOOKUP(YEAR($B51),'Oferta Producto 1'!$B$8:$B$19,'Oferta Producto 1'!$E$8:$E$19))*$AD51)/$AB51)/24</f>
        <v>0</v>
      </c>
      <c r="U51" s="35">
        <f ca="1">(((_xlfn.XLOOKUP(YEAR($B51),'Oferta Producto 1'!$B$8:$B$19,'Oferta Producto 1'!$E$8:$E$19))*$AD51)/$AB51)/24</f>
        <v>0</v>
      </c>
      <c r="V51" s="35">
        <f ca="1">(((_xlfn.XLOOKUP(YEAR($B51),'Oferta Producto 1'!$B$8:$B$19,'Oferta Producto 1'!$E$8:$E$19))*$AD51)/$AB51)/24</f>
        <v>0</v>
      </c>
      <c r="W51" s="35">
        <f ca="1">(((_xlfn.XLOOKUP(YEAR($B51),'Oferta Producto 1'!$B$8:$B$19,'Oferta Producto 1'!$E$8:$E$19))*$AD51)/$AB51)/24</f>
        <v>0</v>
      </c>
      <c r="X51" s="35">
        <f ca="1">(((_xlfn.XLOOKUP(YEAR($B51),'Oferta Producto 1'!$B$8:$B$19,'Oferta Producto 1'!$E$8:$E$19))*$AD51)/$AB51)/24</f>
        <v>0</v>
      </c>
      <c r="Y51" s="35">
        <f ca="1">(((_xlfn.XLOOKUP(YEAR($B51),'Oferta Producto 1'!$B$8:$B$19,'Oferta Producto 1'!$E$8:$E$19))*$AD51)/$AB51)/24</f>
        <v>0</v>
      </c>
      <c r="Z51" s="35">
        <f ca="1">(((_xlfn.XLOOKUP(YEAR($B51),'Oferta Producto 1'!$B$8:$B$19,'Oferta Producto 1'!$E$8:$E$19))*$AD51)/$AB51)/24</f>
        <v>0</v>
      </c>
      <c r="AA51" s="35">
        <f t="shared" ca="1" si="5"/>
        <v>0</v>
      </c>
      <c r="AB51" s="28">
        <f t="shared" si="2"/>
        <v>31</v>
      </c>
      <c r="AC51" s="42">
        <f t="shared" ca="1" si="3"/>
        <v>0</v>
      </c>
      <c r="AD51" s="43">
        <v>7.97553368803426E-2</v>
      </c>
      <c r="AE51"/>
    </row>
    <row r="52" spans="1:31" ht="15.75" thickBot="1">
      <c r="A52" s="23">
        <f t="shared" si="0"/>
        <v>2029</v>
      </c>
      <c r="B52" s="27">
        <v>47423</v>
      </c>
      <c r="C52" s="35">
        <f ca="1">(((_xlfn.XLOOKUP(YEAR($B52),'Oferta Producto 1'!$B$8:$B$19,'Oferta Producto 1'!$E$8:$E$19))*$AD52)/$AB52)/24</f>
        <v>0</v>
      </c>
      <c r="D52" s="35">
        <f ca="1">(((_xlfn.XLOOKUP(YEAR($B52),'Oferta Producto 1'!$B$8:$B$19,'Oferta Producto 1'!$E$8:$E$19))*$AD52)/$AB52)/24</f>
        <v>0</v>
      </c>
      <c r="E52" s="35">
        <f ca="1">(((_xlfn.XLOOKUP(YEAR($B52),'Oferta Producto 1'!$B$8:$B$19,'Oferta Producto 1'!$E$8:$E$19))*$AD52)/$AB52)/24</f>
        <v>0</v>
      </c>
      <c r="F52" s="35">
        <f ca="1">(((_xlfn.XLOOKUP(YEAR($B52),'Oferta Producto 1'!$B$8:$B$19,'Oferta Producto 1'!$E$8:$E$19))*$AD52)/$AB52)/24</f>
        <v>0</v>
      </c>
      <c r="G52" s="35">
        <f ca="1">(((_xlfn.XLOOKUP(YEAR($B52),'Oferta Producto 1'!$B$8:$B$19,'Oferta Producto 1'!$E$8:$E$19))*$AD52)/$AB52)/24</f>
        <v>0</v>
      </c>
      <c r="H52" s="35">
        <f ca="1">(((_xlfn.XLOOKUP(YEAR($B52),'Oferta Producto 1'!$B$8:$B$19,'Oferta Producto 1'!$E$8:$E$19))*$AD52)/$AB52)/24</f>
        <v>0</v>
      </c>
      <c r="I52" s="35">
        <f ca="1">(((_xlfn.XLOOKUP(YEAR($B52),'Oferta Producto 1'!$B$8:$B$19,'Oferta Producto 1'!$E$8:$E$19))*$AD52)/$AB52)/24</f>
        <v>0</v>
      </c>
      <c r="J52" s="35">
        <f ca="1">(((_xlfn.XLOOKUP(YEAR($B52),'Oferta Producto 1'!$B$8:$B$19,'Oferta Producto 1'!$E$8:$E$19))*$AD52)/$AB52)/24</f>
        <v>0</v>
      </c>
      <c r="K52" s="35">
        <f ca="1">(((_xlfn.XLOOKUP(YEAR($B52),'Oferta Producto 1'!$B$8:$B$19,'Oferta Producto 1'!$E$8:$E$19))*$AD52)/$AB52)/24</f>
        <v>0</v>
      </c>
      <c r="L52" s="35">
        <f ca="1">(((_xlfn.XLOOKUP(YEAR($B52),'Oferta Producto 1'!$B$8:$B$19,'Oferta Producto 1'!$E$8:$E$19))*$AD52)/$AB52)/24</f>
        <v>0</v>
      </c>
      <c r="M52" s="35">
        <f ca="1">(((_xlfn.XLOOKUP(YEAR($B52),'Oferta Producto 1'!$B$8:$B$19,'Oferta Producto 1'!$E$8:$E$19))*$AD52)/$AB52)/24</f>
        <v>0</v>
      </c>
      <c r="N52" s="35">
        <f ca="1">(((_xlfn.XLOOKUP(YEAR($B52),'Oferta Producto 1'!$B$8:$B$19,'Oferta Producto 1'!$E$8:$E$19))*$AD52)/$AB52)/24</f>
        <v>0</v>
      </c>
      <c r="O52" s="35">
        <f ca="1">(((_xlfn.XLOOKUP(YEAR($B52),'Oferta Producto 1'!$B$8:$B$19,'Oferta Producto 1'!$E$8:$E$19))*$AD52)/$AB52)/24</f>
        <v>0</v>
      </c>
      <c r="P52" s="35">
        <f ca="1">(((_xlfn.XLOOKUP(YEAR($B52),'Oferta Producto 1'!$B$8:$B$19,'Oferta Producto 1'!$E$8:$E$19))*$AD52)/$AB52)/24</f>
        <v>0</v>
      </c>
      <c r="Q52" s="35">
        <f ca="1">(((_xlfn.XLOOKUP(YEAR($B52),'Oferta Producto 1'!$B$8:$B$19,'Oferta Producto 1'!$E$8:$E$19))*$AD52)/$AB52)/24</f>
        <v>0</v>
      </c>
      <c r="R52" s="35">
        <f ca="1">(((_xlfn.XLOOKUP(YEAR($B52),'Oferta Producto 1'!$B$8:$B$19,'Oferta Producto 1'!$E$8:$E$19))*$AD52)/$AB52)/24</f>
        <v>0</v>
      </c>
      <c r="S52" s="35">
        <f ca="1">(((_xlfn.XLOOKUP(YEAR($B52),'Oferta Producto 1'!$B$8:$B$19,'Oferta Producto 1'!$E$8:$E$19))*$AD52)/$AB52)/24</f>
        <v>0</v>
      </c>
      <c r="T52" s="35">
        <f ca="1">(((_xlfn.XLOOKUP(YEAR($B52),'Oferta Producto 1'!$B$8:$B$19,'Oferta Producto 1'!$E$8:$E$19))*$AD52)/$AB52)/24</f>
        <v>0</v>
      </c>
      <c r="U52" s="35">
        <f ca="1">(((_xlfn.XLOOKUP(YEAR($B52),'Oferta Producto 1'!$B$8:$B$19,'Oferta Producto 1'!$E$8:$E$19))*$AD52)/$AB52)/24</f>
        <v>0</v>
      </c>
      <c r="V52" s="35">
        <f ca="1">(((_xlfn.XLOOKUP(YEAR($B52),'Oferta Producto 1'!$B$8:$B$19,'Oferta Producto 1'!$E$8:$E$19))*$AD52)/$AB52)/24</f>
        <v>0</v>
      </c>
      <c r="W52" s="35">
        <f ca="1">(((_xlfn.XLOOKUP(YEAR($B52),'Oferta Producto 1'!$B$8:$B$19,'Oferta Producto 1'!$E$8:$E$19))*$AD52)/$AB52)/24</f>
        <v>0</v>
      </c>
      <c r="X52" s="35">
        <f ca="1">(((_xlfn.XLOOKUP(YEAR($B52),'Oferta Producto 1'!$B$8:$B$19,'Oferta Producto 1'!$E$8:$E$19))*$AD52)/$AB52)/24</f>
        <v>0</v>
      </c>
      <c r="Y52" s="35">
        <f ca="1">(((_xlfn.XLOOKUP(YEAR($B52),'Oferta Producto 1'!$B$8:$B$19,'Oferta Producto 1'!$E$8:$E$19))*$AD52)/$AB52)/24</f>
        <v>0</v>
      </c>
      <c r="Z52" s="35">
        <f ca="1">(((_xlfn.XLOOKUP(YEAR($B52),'Oferta Producto 1'!$B$8:$B$19,'Oferta Producto 1'!$E$8:$E$19))*$AD52)/$AB52)/24</f>
        <v>0</v>
      </c>
      <c r="AA52" s="35">
        <f t="shared" ca="1" si="5"/>
        <v>0</v>
      </c>
      <c r="AB52" s="28">
        <f t="shared" si="2"/>
        <v>30</v>
      </c>
      <c r="AC52" s="42">
        <f t="shared" ca="1" si="3"/>
        <v>0</v>
      </c>
      <c r="AD52" s="43">
        <v>8.5889045085469587E-2</v>
      </c>
      <c r="AE52"/>
    </row>
    <row r="53" spans="1:31" ht="15.75" thickBot="1">
      <c r="A53" s="23">
        <f t="shared" si="0"/>
        <v>2029</v>
      </c>
      <c r="B53" s="27">
        <v>47453</v>
      </c>
      <c r="C53" s="35">
        <f ca="1">(((_xlfn.XLOOKUP(YEAR($B53),'Oferta Producto 1'!$B$8:$B$19,'Oferta Producto 1'!$E$8:$E$19))*$AD53)/$AB53)/24</f>
        <v>0</v>
      </c>
      <c r="D53" s="35">
        <f ca="1">(((_xlfn.XLOOKUP(YEAR($B53),'Oferta Producto 1'!$B$8:$B$19,'Oferta Producto 1'!$E$8:$E$19))*$AD53)/$AB53)/24</f>
        <v>0</v>
      </c>
      <c r="E53" s="35">
        <f ca="1">(((_xlfn.XLOOKUP(YEAR($B53),'Oferta Producto 1'!$B$8:$B$19,'Oferta Producto 1'!$E$8:$E$19))*$AD53)/$AB53)/24</f>
        <v>0</v>
      </c>
      <c r="F53" s="35">
        <f ca="1">(((_xlfn.XLOOKUP(YEAR($B53),'Oferta Producto 1'!$B$8:$B$19,'Oferta Producto 1'!$E$8:$E$19))*$AD53)/$AB53)/24</f>
        <v>0</v>
      </c>
      <c r="G53" s="35">
        <f ca="1">(((_xlfn.XLOOKUP(YEAR($B53),'Oferta Producto 1'!$B$8:$B$19,'Oferta Producto 1'!$E$8:$E$19))*$AD53)/$AB53)/24</f>
        <v>0</v>
      </c>
      <c r="H53" s="35">
        <f ca="1">(((_xlfn.XLOOKUP(YEAR($B53),'Oferta Producto 1'!$B$8:$B$19,'Oferta Producto 1'!$E$8:$E$19))*$AD53)/$AB53)/24</f>
        <v>0</v>
      </c>
      <c r="I53" s="35">
        <f ca="1">(((_xlfn.XLOOKUP(YEAR($B53),'Oferta Producto 1'!$B$8:$B$19,'Oferta Producto 1'!$E$8:$E$19))*$AD53)/$AB53)/24</f>
        <v>0</v>
      </c>
      <c r="J53" s="35">
        <f ca="1">(((_xlfn.XLOOKUP(YEAR($B53),'Oferta Producto 1'!$B$8:$B$19,'Oferta Producto 1'!$E$8:$E$19))*$AD53)/$AB53)/24</f>
        <v>0</v>
      </c>
      <c r="K53" s="35">
        <f ca="1">(((_xlfn.XLOOKUP(YEAR($B53),'Oferta Producto 1'!$B$8:$B$19,'Oferta Producto 1'!$E$8:$E$19))*$AD53)/$AB53)/24</f>
        <v>0</v>
      </c>
      <c r="L53" s="35">
        <f ca="1">(((_xlfn.XLOOKUP(YEAR($B53),'Oferta Producto 1'!$B$8:$B$19,'Oferta Producto 1'!$E$8:$E$19))*$AD53)/$AB53)/24</f>
        <v>0</v>
      </c>
      <c r="M53" s="35">
        <f ca="1">(((_xlfn.XLOOKUP(YEAR($B53),'Oferta Producto 1'!$B$8:$B$19,'Oferta Producto 1'!$E$8:$E$19))*$AD53)/$AB53)/24</f>
        <v>0</v>
      </c>
      <c r="N53" s="35">
        <f ca="1">(((_xlfn.XLOOKUP(YEAR($B53),'Oferta Producto 1'!$B$8:$B$19,'Oferta Producto 1'!$E$8:$E$19))*$AD53)/$AB53)/24</f>
        <v>0</v>
      </c>
      <c r="O53" s="35">
        <f ca="1">(((_xlfn.XLOOKUP(YEAR($B53),'Oferta Producto 1'!$B$8:$B$19,'Oferta Producto 1'!$E$8:$E$19))*$AD53)/$AB53)/24</f>
        <v>0</v>
      </c>
      <c r="P53" s="35">
        <f ca="1">(((_xlfn.XLOOKUP(YEAR($B53),'Oferta Producto 1'!$B$8:$B$19,'Oferta Producto 1'!$E$8:$E$19))*$AD53)/$AB53)/24</f>
        <v>0</v>
      </c>
      <c r="Q53" s="35">
        <f ca="1">(((_xlfn.XLOOKUP(YEAR($B53),'Oferta Producto 1'!$B$8:$B$19,'Oferta Producto 1'!$E$8:$E$19))*$AD53)/$AB53)/24</f>
        <v>0</v>
      </c>
      <c r="R53" s="35">
        <f ca="1">(((_xlfn.XLOOKUP(YEAR($B53),'Oferta Producto 1'!$B$8:$B$19,'Oferta Producto 1'!$E$8:$E$19))*$AD53)/$AB53)/24</f>
        <v>0</v>
      </c>
      <c r="S53" s="35">
        <f ca="1">(((_xlfn.XLOOKUP(YEAR($B53),'Oferta Producto 1'!$B$8:$B$19,'Oferta Producto 1'!$E$8:$E$19))*$AD53)/$AB53)/24</f>
        <v>0</v>
      </c>
      <c r="T53" s="35">
        <f ca="1">(((_xlfn.XLOOKUP(YEAR($B53),'Oferta Producto 1'!$B$8:$B$19,'Oferta Producto 1'!$E$8:$E$19))*$AD53)/$AB53)/24</f>
        <v>0</v>
      </c>
      <c r="U53" s="35">
        <f ca="1">(((_xlfn.XLOOKUP(YEAR($B53),'Oferta Producto 1'!$B$8:$B$19,'Oferta Producto 1'!$E$8:$E$19))*$AD53)/$AB53)/24</f>
        <v>0</v>
      </c>
      <c r="V53" s="35">
        <f ca="1">(((_xlfn.XLOOKUP(YEAR($B53),'Oferta Producto 1'!$B$8:$B$19,'Oferta Producto 1'!$E$8:$E$19))*$AD53)/$AB53)/24</f>
        <v>0</v>
      </c>
      <c r="W53" s="35">
        <f ca="1">(((_xlfn.XLOOKUP(YEAR($B53),'Oferta Producto 1'!$B$8:$B$19,'Oferta Producto 1'!$E$8:$E$19))*$AD53)/$AB53)/24</f>
        <v>0</v>
      </c>
      <c r="X53" s="35">
        <f ca="1">(((_xlfn.XLOOKUP(YEAR($B53),'Oferta Producto 1'!$B$8:$B$19,'Oferta Producto 1'!$E$8:$E$19))*$AD53)/$AB53)/24</f>
        <v>0</v>
      </c>
      <c r="Y53" s="35">
        <f ca="1">(((_xlfn.XLOOKUP(YEAR($B53),'Oferta Producto 1'!$B$8:$B$19,'Oferta Producto 1'!$E$8:$E$19))*$AD53)/$AB53)/24</f>
        <v>0</v>
      </c>
      <c r="Z53" s="35">
        <f ca="1">(((_xlfn.XLOOKUP(YEAR($B53),'Oferta Producto 1'!$B$8:$B$19,'Oferta Producto 1'!$E$8:$E$19))*$AD53)/$AB53)/24</f>
        <v>0</v>
      </c>
      <c r="AA53" s="35">
        <f t="shared" ca="1" si="5"/>
        <v>0</v>
      </c>
      <c r="AB53" s="28">
        <f t="shared" si="2"/>
        <v>31</v>
      </c>
      <c r="AC53" s="42">
        <f t="shared" ca="1" si="3"/>
        <v>0</v>
      </c>
      <c r="AD53" s="43">
        <v>7.97553368803426E-2</v>
      </c>
      <c r="AE53"/>
    </row>
    <row r="54" spans="1:31" ht="15.75" thickBot="1">
      <c r="A54" s="23">
        <f t="shared" si="0"/>
        <v>2030</v>
      </c>
      <c r="B54" s="27">
        <v>47484</v>
      </c>
      <c r="C54" s="35">
        <f ca="1">(((_xlfn.XLOOKUP(YEAR($B54),'Oferta Producto 1'!$B$8:$B$19,'Oferta Producto 1'!$E$8:$E$19))*$AD54)/$AB54)/24</f>
        <v>0</v>
      </c>
      <c r="D54" s="35">
        <f ca="1">(((_xlfn.XLOOKUP(YEAR($B54),'Oferta Producto 1'!$B$8:$B$19,'Oferta Producto 1'!$E$8:$E$19))*$AD54)/$AB54)/24</f>
        <v>0</v>
      </c>
      <c r="E54" s="35">
        <f ca="1">(((_xlfn.XLOOKUP(YEAR($B54),'Oferta Producto 1'!$B$8:$B$19,'Oferta Producto 1'!$E$8:$E$19))*$AD54)/$AB54)/24</f>
        <v>0</v>
      </c>
      <c r="F54" s="35">
        <f ca="1">(((_xlfn.XLOOKUP(YEAR($B54),'Oferta Producto 1'!$B$8:$B$19,'Oferta Producto 1'!$E$8:$E$19))*$AD54)/$AB54)/24</f>
        <v>0</v>
      </c>
      <c r="G54" s="35">
        <f ca="1">(((_xlfn.XLOOKUP(YEAR($B54),'Oferta Producto 1'!$B$8:$B$19,'Oferta Producto 1'!$E$8:$E$19))*$AD54)/$AB54)/24</f>
        <v>0</v>
      </c>
      <c r="H54" s="35">
        <f ca="1">(((_xlfn.XLOOKUP(YEAR($B54),'Oferta Producto 1'!$B$8:$B$19,'Oferta Producto 1'!$E$8:$E$19))*$AD54)/$AB54)/24</f>
        <v>0</v>
      </c>
      <c r="I54" s="35">
        <f ca="1">(((_xlfn.XLOOKUP(YEAR($B54),'Oferta Producto 1'!$B$8:$B$19,'Oferta Producto 1'!$E$8:$E$19))*$AD54)/$AB54)/24</f>
        <v>0</v>
      </c>
      <c r="J54" s="35">
        <f ca="1">(((_xlfn.XLOOKUP(YEAR($B54),'Oferta Producto 1'!$B$8:$B$19,'Oferta Producto 1'!$E$8:$E$19))*$AD54)/$AB54)/24</f>
        <v>0</v>
      </c>
      <c r="K54" s="35">
        <f ca="1">(((_xlfn.XLOOKUP(YEAR($B54),'Oferta Producto 1'!$B$8:$B$19,'Oferta Producto 1'!$E$8:$E$19))*$AD54)/$AB54)/24</f>
        <v>0</v>
      </c>
      <c r="L54" s="35">
        <f ca="1">(((_xlfn.XLOOKUP(YEAR($B54),'Oferta Producto 1'!$B$8:$B$19,'Oferta Producto 1'!$E$8:$E$19))*$AD54)/$AB54)/24</f>
        <v>0</v>
      </c>
      <c r="M54" s="35">
        <f ca="1">(((_xlfn.XLOOKUP(YEAR($B54),'Oferta Producto 1'!$B$8:$B$19,'Oferta Producto 1'!$E$8:$E$19))*$AD54)/$AB54)/24</f>
        <v>0</v>
      </c>
      <c r="N54" s="35">
        <f ca="1">(((_xlfn.XLOOKUP(YEAR($B54),'Oferta Producto 1'!$B$8:$B$19,'Oferta Producto 1'!$E$8:$E$19))*$AD54)/$AB54)/24</f>
        <v>0</v>
      </c>
      <c r="O54" s="35">
        <f ca="1">(((_xlfn.XLOOKUP(YEAR($B54),'Oferta Producto 1'!$B$8:$B$19,'Oferta Producto 1'!$E$8:$E$19))*$AD54)/$AB54)/24</f>
        <v>0</v>
      </c>
      <c r="P54" s="35">
        <f ca="1">(((_xlfn.XLOOKUP(YEAR($B54),'Oferta Producto 1'!$B$8:$B$19,'Oferta Producto 1'!$E$8:$E$19))*$AD54)/$AB54)/24</f>
        <v>0</v>
      </c>
      <c r="Q54" s="35">
        <f ca="1">(((_xlfn.XLOOKUP(YEAR($B54),'Oferta Producto 1'!$B$8:$B$19,'Oferta Producto 1'!$E$8:$E$19))*$AD54)/$AB54)/24</f>
        <v>0</v>
      </c>
      <c r="R54" s="35">
        <f ca="1">(((_xlfn.XLOOKUP(YEAR($B54),'Oferta Producto 1'!$B$8:$B$19,'Oferta Producto 1'!$E$8:$E$19))*$AD54)/$AB54)/24</f>
        <v>0</v>
      </c>
      <c r="S54" s="35">
        <f ca="1">(((_xlfn.XLOOKUP(YEAR($B54),'Oferta Producto 1'!$B$8:$B$19,'Oferta Producto 1'!$E$8:$E$19))*$AD54)/$AB54)/24</f>
        <v>0</v>
      </c>
      <c r="T54" s="35">
        <f ca="1">(((_xlfn.XLOOKUP(YEAR($B54),'Oferta Producto 1'!$B$8:$B$19,'Oferta Producto 1'!$E$8:$E$19))*$AD54)/$AB54)/24</f>
        <v>0</v>
      </c>
      <c r="U54" s="35">
        <f ca="1">(((_xlfn.XLOOKUP(YEAR($B54),'Oferta Producto 1'!$B$8:$B$19,'Oferta Producto 1'!$E$8:$E$19))*$AD54)/$AB54)/24</f>
        <v>0</v>
      </c>
      <c r="V54" s="35">
        <f ca="1">(((_xlfn.XLOOKUP(YEAR($B54),'Oferta Producto 1'!$B$8:$B$19,'Oferta Producto 1'!$E$8:$E$19))*$AD54)/$AB54)/24</f>
        <v>0</v>
      </c>
      <c r="W54" s="35">
        <f ca="1">(((_xlfn.XLOOKUP(YEAR($B54),'Oferta Producto 1'!$B$8:$B$19,'Oferta Producto 1'!$E$8:$E$19))*$AD54)/$AB54)/24</f>
        <v>0</v>
      </c>
      <c r="X54" s="35">
        <f ca="1">(((_xlfn.XLOOKUP(YEAR($B54),'Oferta Producto 1'!$B$8:$B$19,'Oferta Producto 1'!$E$8:$E$19))*$AD54)/$AB54)/24</f>
        <v>0</v>
      </c>
      <c r="Y54" s="35">
        <f ca="1">(((_xlfn.XLOOKUP(YEAR($B54),'Oferta Producto 1'!$B$8:$B$19,'Oferta Producto 1'!$E$8:$E$19))*$AD54)/$AB54)/24</f>
        <v>0</v>
      </c>
      <c r="Z54" s="35">
        <f ca="1">(((_xlfn.XLOOKUP(YEAR($B54),'Oferta Producto 1'!$B$8:$B$19,'Oferta Producto 1'!$E$8:$E$19))*$AD54)/$AB54)/24</f>
        <v>0</v>
      </c>
      <c r="AA54" s="35">
        <f t="shared" ca="1" si="5"/>
        <v>0</v>
      </c>
      <c r="AB54" s="28">
        <f t="shared" si="2"/>
        <v>31</v>
      </c>
      <c r="AC54" s="42">
        <f t="shared" ca="1" si="3"/>
        <v>0</v>
      </c>
      <c r="AD54" s="43">
        <v>7.9754971862961654E-2</v>
      </c>
      <c r="AE54"/>
    </row>
    <row r="55" spans="1:31" ht="15.75" thickBot="1">
      <c r="A55" s="23">
        <f t="shared" si="0"/>
        <v>2030</v>
      </c>
      <c r="B55" s="27">
        <v>47515</v>
      </c>
      <c r="C55" s="35">
        <f ca="1">(((_xlfn.XLOOKUP(YEAR($B55),'Oferta Producto 1'!$B$8:$B$19,'Oferta Producto 1'!$E$8:$E$19))*$AD55)/$AB55)/24</f>
        <v>0</v>
      </c>
      <c r="D55" s="35">
        <f ca="1">(((_xlfn.XLOOKUP(YEAR($B55),'Oferta Producto 1'!$B$8:$B$19,'Oferta Producto 1'!$E$8:$E$19))*$AD55)/$AB55)/24</f>
        <v>0</v>
      </c>
      <c r="E55" s="35">
        <f ca="1">(((_xlfn.XLOOKUP(YEAR($B55),'Oferta Producto 1'!$B$8:$B$19,'Oferta Producto 1'!$E$8:$E$19))*$AD55)/$AB55)/24</f>
        <v>0</v>
      </c>
      <c r="F55" s="35">
        <f ca="1">(((_xlfn.XLOOKUP(YEAR($B55),'Oferta Producto 1'!$B$8:$B$19,'Oferta Producto 1'!$E$8:$E$19))*$AD55)/$AB55)/24</f>
        <v>0</v>
      </c>
      <c r="G55" s="35">
        <f ca="1">(((_xlfn.XLOOKUP(YEAR($B55),'Oferta Producto 1'!$B$8:$B$19,'Oferta Producto 1'!$E$8:$E$19))*$AD55)/$AB55)/24</f>
        <v>0</v>
      </c>
      <c r="H55" s="35">
        <f ca="1">(((_xlfn.XLOOKUP(YEAR($B55),'Oferta Producto 1'!$B$8:$B$19,'Oferta Producto 1'!$E$8:$E$19))*$AD55)/$AB55)/24</f>
        <v>0</v>
      </c>
      <c r="I55" s="35">
        <f ca="1">(((_xlfn.XLOOKUP(YEAR($B55),'Oferta Producto 1'!$B$8:$B$19,'Oferta Producto 1'!$E$8:$E$19))*$AD55)/$AB55)/24</f>
        <v>0</v>
      </c>
      <c r="J55" s="35">
        <f ca="1">(((_xlfn.XLOOKUP(YEAR($B55),'Oferta Producto 1'!$B$8:$B$19,'Oferta Producto 1'!$E$8:$E$19))*$AD55)/$AB55)/24</f>
        <v>0</v>
      </c>
      <c r="K55" s="35">
        <f ca="1">(((_xlfn.XLOOKUP(YEAR($B55),'Oferta Producto 1'!$B$8:$B$19,'Oferta Producto 1'!$E$8:$E$19))*$AD55)/$AB55)/24</f>
        <v>0</v>
      </c>
      <c r="L55" s="35">
        <f ca="1">(((_xlfn.XLOOKUP(YEAR($B55),'Oferta Producto 1'!$B$8:$B$19,'Oferta Producto 1'!$E$8:$E$19))*$AD55)/$AB55)/24</f>
        <v>0</v>
      </c>
      <c r="M55" s="35">
        <f ca="1">(((_xlfn.XLOOKUP(YEAR($B55),'Oferta Producto 1'!$B$8:$B$19,'Oferta Producto 1'!$E$8:$E$19))*$AD55)/$AB55)/24</f>
        <v>0</v>
      </c>
      <c r="N55" s="35">
        <f ca="1">(((_xlfn.XLOOKUP(YEAR($B55),'Oferta Producto 1'!$B$8:$B$19,'Oferta Producto 1'!$E$8:$E$19))*$AD55)/$AB55)/24</f>
        <v>0</v>
      </c>
      <c r="O55" s="35">
        <f ca="1">(((_xlfn.XLOOKUP(YEAR($B55),'Oferta Producto 1'!$B$8:$B$19,'Oferta Producto 1'!$E$8:$E$19))*$AD55)/$AB55)/24</f>
        <v>0</v>
      </c>
      <c r="P55" s="35">
        <f ca="1">(((_xlfn.XLOOKUP(YEAR($B55),'Oferta Producto 1'!$B$8:$B$19,'Oferta Producto 1'!$E$8:$E$19))*$AD55)/$AB55)/24</f>
        <v>0</v>
      </c>
      <c r="Q55" s="35">
        <f ca="1">(((_xlfn.XLOOKUP(YEAR($B55),'Oferta Producto 1'!$B$8:$B$19,'Oferta Producto 1'!$E$8:$E$19))*$AD55)/$AB55)/24</f>
        <v>0</v>
      </c>
      <c r="R55" s="35">
        <f ca="1">(((_xlfn.XLOOKUP(YEAR($B55),'Oferta Producto 1'!$B$8:$B$19,'Oferta Producto 1'!$E$8:$E$19))*$AD55)/$AB55)/24</f>
        <v>0</v>
      </c>
      <c r="S55" s="35">
        <f ca="1">(((_xlfn.XLOOKUP(YEAR($B55),'Oferta Producto 1'!$B$8:$B$19,'Oferta Producto 1'!$E$8:$E$19))*$AD55)/$AB55)/24</f>
        <v>0</v>
      </c>
      <c r="T55" s="35">
        <f ca="1">(((_xlfn.XLOOKUP(YEAR($B55),'Oferta Producto 1'!$B$8:$B$19,'Oferta Producto 1'!$E$8:$E$19))*$AD55)/$AB55)/24</f>
        <v>0</v>
      </c>
      <c r="U55" s="35">
        <f ca="1">(((_xlfn.XLOOKUP(YEAR($B55),'Oferta Producto 1'!$B$8:$B$19,'Oferta Producto 1'!$E$8:$E$19))*$AD55)/$AB55)/24</f>
        <v>0</v>
      </c>
      <c r="V55" s="35">
        <f ca="1">(((_xlfn.XLOOKUP(YEAR($B55),'Oferta Producto 1'!$B$8:$B$19,'Oferta Producto 1'!$E$8:$E$19))*$AD55)/$AB55)/24</f>
        <v>0</v>
      </c>
      <c r="W55" s="35">
        <f ca="1">(((_xlfn.XLOOKUP(YEAR($B55),'Oferta Producto 1'!$B$8:$B$19,'Oferta Producto 1'!$E$8:$E$19))*$AD55)/$AB55)/24</f>
        <v>0</v>
      </c>
      <c r="X55" s="35">
        <f ca="1">(((_xlfn.XLOOKUP(YEAR($B55),'Oferta Producto 1'!$B$8:$B$19,'Oferta Producto 1'!$E$8:$E$19))*$AD55)/$AB55)/24</f>
        <v>0</v>
      </c>
      <c r="Y55" s="35">
        <f ca="1">(((_xlfn.XLOOKUP(YEAR($B55),'Oferta Producto 1'!$B$8:$B$19,'Oferta Producto 1'!$E$8:$E$19))*$AD55)/$AB55)/24</f>
        <v>0</v>
      </c>
      <c r="Z55" s="35">
        <f ca="1">(((_xlfn.XLOOKUP(YEAR($B55),'Oferta Producto 1'!$B$8:$B$19,'Oferta Producto 1'!$E$8:$E$19))*$AD55)/$AB55)/24</f>
        <v>0</v>
      </c>
      <c r="AA55" s="35">
        <f t="shared" ca="1" si="5"/>
        <v>0</v>
      </c>
      <c r="AB55" s="28">
        <f t="shared" si="2"/>
        <v>28</v>
      </c>
      <c r="AC55" s="42">
        <f t="shared" ca="1" si="3"/>
        <v>0</v>
      </c>
      <c r="AD55" s="43">
        <v>9.8157973710587432E-2</v>
      </c>
      <c r="AE55"/>
    </row>
    <row r="56" spans="1:31" ht="15.75" thickBot="1">
      <c r="A56" s="23">
        <f t="shared" si="0"/>
        <v>2030</v>
      </c>
      <c r="B56" s="27">
        <v>47543</v>
      </c>
      <c r="C56" s="35">
        <f ca="1">(((_xlfn.XLOOKUP(YEAR($B56),'Oferta Producto 1'!$B$8:$B$19,'Oferta Producto 1'!$E$8:$E$19))*$AD56)/$AB56)/24</f>
        <v>0</v>
      </c>
      <c r="D56" s="35">
        <f ca="1">(((_xlfn.XLOOKUP(YEAR($B56),'Oferta Producto 1'!$B$8:$B$19,'Oferta Producto 1'!$E$8:$E$19))*$AD56)/$AB56)/24</f>
        <v>0</v>
      </c>
      <c r="E56" s="35">
        <f ca="1">(((_xlfn.XLOOKUP(YEAR($B56),'Oferta Producto 1'!$B$8:$B$19,'Oferta Producto 1'!$E$8:$E$19))*$AD56)/$AB56)/24</f>
        <v>0</v>
      </c>
      <c r="F56" s="35">
        <f ca="1">(((_xlfn.XLOOKUP(YEAR($B56),'Oferta Producto 1'!$B$8:$B$19,'Oferta Producto 1'!$E$8:$E$19))*$AD56)/$AB56)/24</f>
        <v>0</v>
      </c>
      <c r="G56" s="35">
        <f ca="1">(((_xlfn.XLOOKUP(YEAR($B56),'Oferta Producto 1'!$B$8:$B$19,'Oferta Producto 1'!$E$8:$E$19))*$AD56)/$AB56)/24</f>
        <v>0</v>
      </c>
      <c r="H56" s="35">
        <f ca="1">(((_xlfn.XLOOKUP(YEAR($B56),'Oferta Producto 1'!$B$8:$B$19,'Oferta Producto 1'!$E$8:$E$19))*$AD56)/$AB56)/24</f>
        <v>0</v>
      </c>
      <c r="I56" s="35">
        <f ca="1">(((_xlfn.XLOOKUP(YEAR($B56),'Oferta Producto 1'!$B$8:$B$19,'Oferta Producto 1'!$E$8:$E$19))*$AD56)/$AB56)/24</f>
        <v>0</v>
      </c>
      <c r="J56" s="35">
        <f ca="1">(((_xlfn.XLOOKUP(YEAR($B56),'Oferta Producto 1'!$B$8:$B$19,'Oferta Producto 1'!$E$8:$E$19))*$AD56)/$AB56)/24</f>
        <v>0</v>
      </c>
      <c r="K56" s="35">
        <f ca="1">(((_xlfn.XLOOKUP(YEAR($B56),'Oferta Producto 1'!$B$8:$B$19,'Oferta Producto 1'!$E$8:$E$19))*$AD56)/$AB56)/24</f>
        <v>0</v>
      </c>
      <c r="L56" s="35">
        <f ca="1">(((_xlfn.XLOOKUP(YEAR($B56),'Oferta Producto 1'!$B$8:$B$19,'Oferta Producto 1'!$E$8:$E$19))*$AD56)/$AB56)/24</f>
        <v>0</v>
      </c>
      <c r="M56" s="35">
        <f ca="1">(((_xlfn.XLOOKUP(YEAR($B56),'Oferta Producto 1'!$B$8:$B$19,'Oferta Producto 1'!$E$8:$E$19))*$AD56)/$AB56)/24</f>
        <v>0</v>
      </c>
      <c r="N56" s="35">
        <f ca="1">(((_xlfn.XLOOKUP(YEAR($B56),'Oferta Producto 1'!$B$8:$B$19,'Oferta Producto 1'!$E$8:$E$19))*$AD56)/$AB56)/24</f>
        <v>0</v>
      </c>
      <c r="O56" s="35">
        <f ca="1">(((_xlfn.XLOOKUP(YEAR($B56),'Oferta Producto 1'!$B$8:$B$19,'Oferta Producto 1'!$E$8:$E$19))*$AD56)/$AB56)/24</f>
        <v>0</v>
      </c>
      <c r="P56" s="35">
        <f ca="1">(((_xlfn.XLOOKUP(YEAR($B56),'Oferta Producto 1'!$B$8:$B$19,'Oferta Producto 1'!$E$8:$E$19))*$AD56)/$AB56)/24</f>
        <v>0</v>
      </c>
      <c r="Q56" s="35">
        <f ca="1">(((_xlfn.XLOOKUP(YEAR($B56),'Oferta Producto 1'!$B$8:$B$19,'Oferta Producto 1'!$E$8:$E$19))*$AD56)/$AB56)/24</f>
        <v>0</v>
      </c>
      <c r="R56" s="35">
        <f ca="1">(((_xlfn.XLOOKUP(YEAR($B56),'Oferta Producto 1'!$B$8:$B$19,'Oferta Producto 1'!$E$8:$E$19))*$AD56)/$AB56)/24</f>
        <v>0</v>
      </c>
      <c r="S56" s="35">
        <f ca="1">(((_xlfn.XLOOKUP(YEAR($B56),'Oferta Producto 1'!$B$8:$B$19,'Oferta Producto 1'!$E$8:$E$19))*$AD56)/$AB56)/24</f>
        <v>0</v>
      </c>
      <c r="T56" s="35">
        <f ca="1">(((_xlfn.XLOOKUP(YEAR($B56),'Oferta Producto 1'!$B$8:$B$19,'Oferta Producto 1'!$E$8:$E$19))*$AD56)/$AB56)/24</f>
        <v>0</v>
      </c>
      <c r="U56" s="35">
        <f ca="1">(((_xlfn.XLOOKUP(YEAR($B56),'Oferta Producto 1'!$B$8:$B$19,'Oferta Producto 1'!$E$8:$E$19))*$AD56)/$AB56)/24</f>
        <v>0</v>
      </c>
      <c r="V56" s="35">
        <f ca="1">(((_xlfn.XLOOKUP(YEAR($B56),'Oferta Producto 1'!$B$8:$B$19,'Oferta Producto 1'!$E$8:$E$19))*$AD56)/$AB56)/24</f>
        <v>0</v>
      </c>
      <c r="W56" s="35">
        <f ca="1">(((_xlfn.XLOOKUP(YEAR($B56),'Oferta Producto 1'!$B$8:$B$19,'Oferta Producto 1'!$E$8:$E$19))*$AD56)/$AB56)/24</f>
        <v>0</v>
      </c>
      <c r="X56" s="35">
        <f ca="1">(((_xlfn.XLOOKUP(YEAR($B56),'Oferta Producto 1'!$B$8:$B$19,'Oferta Producto 1'!$E$8:$E$19))*$AD56)/$AB56)/24</f>
        <v>0</v>
      </c>
      <c r="Y56" s="35">
        <f ca="1">(((_xlfn.XLOOKUP(YEAR($B56),'Oferta Producto 1'!$B$8:$B$19,'Oferta Producto 1'!$E$8:$E$19))*$AD56)/$AB56)/24</f>
        <v>0</v>
      </c>
      <c r="Z56" s="35">
        <f ca="1">(((_xlfn.XLOOKUP(YEAR($B56),'Oferta Producto 1'!$B$8:$B$19,'Oferta Producto 1'!$E$8:$E$19))*$AD56)/$AB56)/24</f>
        <v>0</v>
      </c>
      <c r="AA56" s="35">
        <f t="shared" ca="1" si="5"/>
        <v>0</v>
      </c>
      <c r="AB56" s="28">
        <f t="shared" si="2"/>
        <v>31</v>
      </c>
      <c r="AC56" s="42">
        <f t="shared" ca="1" si="3"/>
        <v>0</v>
      </c>
      <c r="AD56" s="43">
        <v>7.9754971862961654E-2</v>
      </c>
      <c r="AE56"/>
    </row>
    <row r="57" spans="1:31" ht="15.75" thickBot="1">
      <c r="A57" s="23">
        <f t="shared" si="0"/>
        <v>2030</v>
      </c>
      <c r="B57" s="27">
        <v>47574</v>
      </c>
      <c r="C57" s="35">
        <f ca="1">(((_xlfn.XLOOKUP(YEAR($B57),'Oferta Producto 1'!$B$8:$B$19,'Oferta Producto 1'!$E$8:$E$19))*$AD57)/$AB57)/24</f>
        <v>0</v>
      </c>
      <c r="D57" s="35">
        <f ca="1">(((_xlfn.XLOOKUP(YEAR($B57),'Oferta Producto 1'!$B$8:$B$19,'Oferta Producto 1'!$E$8:$E$19))*$AD57)/$AB57)/24</f>
        <v>0</v>
      </c>
      <c r="E57" s="35">
        <f ca="1">(((_xlfn.XLOOKUP(YEAR($B57),'Oferta Producto 1'!$B$8:$B$19,'Oferta Producto 1'!$E$8:$E$19))*$AD57)/$AB57)/24</f>
        <v>0</v>
      </c>
      <c r="F57" s="35">
        <f ca="1">(((_xlfn.XLOOKUP(YEAR($B57),'Oferta Producto 1'!$B$8:$B$19,'Oferta Producto 1'!$E$8:$E$19))*$AD57)/$AB57)/24</f>
        <v>0</v>
      </c>
      <c r="G57" s="35">
        <f ca="1">(((_xlfn.XLOOKUP(YEAR($B57),'Oferta Producto 1'!$B$8:$B$19,'Oferta Producto 1'!$E$8:$E$19))*$AD57)/$AB57)/24</f>
        <v>0</v>
      </c>
      <c r="H57" s="35">
        <f ca="1">(((_xlfn.XLOOKUP(YEAR($B57),'Oferta Producto 1'!$B$8:$B$19,'Oferta Producto 1'!$E$8:$E$19))*$AD57)/$AB57)/24</f>
        <v>0</v>
      </c>
      <c r="I57" s="35">
        <f ca="1">(((_xlfn.XLOOKUP(YEAR($B57),'Oferta Producto 1'!$B$8:$B$19,'Oferta Producto 1'!$E$8:$E$19))*$AD57)/$AB57)/24</f>
        <v>0</v>
      </c>
      <c r="J57" s="35">
        <f ca="1">(((_xlfn.XLOOKUP(YEAR($B57),'Oferta Producto 1'!$B$8:$B$19,'Oferta Producto 1'!$E$8:$E$19))*$AD57)/$AB57)/24</f>
        <v>0</v>
      </c>
      <c r="K57" s="35">
        <f ca="1">(((_xlfn.XLOOKUP(YEAR($B57),'Oferta Producto 1'!$B$8:$B$19,'Oferta Producto 1'!$E$8:$E$19))*$AD57)/$AB57)/24</f>
        <v>0</v>
      </c>
      <c r="L57" s="35">
        <f ca="1">(((_xlfn.XLOOKUP(YEAR($B57),'Oferta Producto 1'!$B$8:$B$19,'Oferta Producto 1'!$E$8:$E$19))*$AD57)/$AB57)/24</f>
        <v>0</v>
      </c>
      <c r="M57" s="35">
        <f ca="1">(((_xlfn.XLOOKUP(YEAR($B57),'Oferta Producto 1'!$B$8:$B$19,'Oferta Producto 1'!$E$8:$E$19))*$AD57)/$AB57)/24</f>
        <v>0</v>
      </c>
      <c r="N57" s="35">
        <f ca="1">(((_xlfn.XLOOKUP(YEAR($B57),'Oferta Producto 1'!$B$8:$B$19,'Oferta Producto 1'!$E$8:$E$19))*$AD57)/$AB57)/24</f>
        <v>0</v>
      </c>
      <c r="O57" s="35">
        <f ca="1">(((_xlfn.XLOOKUP(YEAR($B57),'Oferta Producto 1'!$B$8:$B$19,'Oferta Producto 1'!$E$8:$E$19))*$AD57)/$AB57)/24</f>
        <v>0</v>
      </c>
      <c r="P57" s="35">
        <f ca="1">(((_xlfn.XLOOKUP(YEAR($B57),'Oferta Producto 1'!$B$8:$B$19,'Oferta Producto 1'!$E$8:$E$19))*$AD57)/$AB57)/24</f>
        <v>0</v>
      </c>
      <c r="Q57" s="35">
        <f ca="1">(((_xlfn.XLOOKUP(YEAR($B57),'Oferta Producto 1'!$B$8:$B$19,'Oferta Producto 1'!$E$8:$E$19))*$AD57)/$AB57)/24</f>
        <v>0</v>
      </c>
      <c r="R57" s="35">
        <f ca="1">(((_xlfn.XLOOKUP(YEAR($B57),'Oferta Producto 1'!$B$8:$B$19,'Oferta Producto 1'!$E$8:$E$19))*$AD57)/$AB57)/24</f>
        <v>0</v>
      </c>
      <c r="S57" s="35">
        <f ca="1">(((_xlfn.XLOOKUP(YEAR($B57),'Oferta Producto 1'!$B$8:$B$19,'Oferta Producto 1'!$E$8:$E$19))*$AD57)/$AB57)/24</f>
        <v>0</v>
      </c>
      <c r="T57" s="35">
        <f ca="1">(((_xlfn.XLOOKUP(YEAR($B57),'Oferta Producto 1'!$B$8:$B$19,'Oferta Producto 1'!$E$8:$E$19))*$AD57)/$AB57)/24</f>
        <v>0</v>
      </c>
      <c r="U57" s="35">
        <f ca="1">(((_xlfn.XLOOKUP(YEAR($B57),'Oferta Producto 1'!$B$8:$B$19,'Oferta Producto 1'!$E$8:$E$19))*$AD57)/$AB57)/24</f>
        <v>0</v>
      </c>
      <c r="V57" s="35">
        <f ca="1">(((_xlfn.XLOOKUP(YEAR($B57),'Oferta Producto 1'!$B$8:$B$19,'Oferta Producto 1'!$E$8:$E$19))*$AD57)/$AB57)/24</f>
        <v>0</v>
      </c>
      <c r="W57" s="35">
        <f ca="1">(((_xlfn.XLOOKUP(YEAR($B57),'Oferta Producto 1'!$B$8:$B$19,'Oferta Producto 1'!$E$8:$E$19))*$AD57)/$AB57)/24</f>
        <v>0</v>
      </c>
      <c r="X57" s="35">
        <f ca="1">(((_xlfn.XLOOKUP(YEAR($B57),'Oferta Producto 1'!$B$8:$B$19,'Oferta Producto 1'!$E$8:$E$19))*$AD57)/$AB57)/24</f>
        <v>0</v>
      </c>
      <c r="Y57" s="35">
        <f ca="1">(((_xlfn.XLOOKUP(YEAR($B57),'Oferta Producto 1'!$B$8:$B$19,'Oferta Producto 1'!$E$8:$E$19))*$AD57)/$AB57)/24</f>
        <v>0</v>
      </c>
      <c r="Z57" s="35">
        <f ca="1">(((_xlfn.XLOOKUP(YEAR($B57),'Oferta Producto 1'!$B$8:$B$19,'Oferta Producto 1'!$E$8:$E$19))*$AD57)/$AB57)/24</f>
        <v>0</v>
      </c>
      <c r="AA57" s="35">
        <f t="shared" ca="1" si="5"/>
        <v>0</v>
      </c>
      <c r="AB57" s="28">
        <f t="shared" si="2"/>
        <v>30</v>
      </c>
      <c r="AC57" s="42">
        <f t="shared" ca="1" si="3"/>
        <v>0</v>
      </c>
      <c r="AD57" s="43">
        <v>8.5889305812170275E-2</v>
      </c>
      <c r="AE57"/>
    </row>
    <row r="58" spans="1:31" ht="15.75" thickBot="1">
      <c r="A58" s="23">
        <f t="shared" si="0"/>
        <v>2030</v>
      </c>
      <c r="B58" s="27">
        <v>47604</v>
      </c>
      <c r="C58" s="35">
        <f ca="1">(((_xlfn.XLOOKUP(YEAR($B58),'Oferta Producto 1'!$B$8:$B$19,'Oferta Producto 1'!$E$8:$E$19))*$AD58)/$AB58)/24</f>
        <v>0</v>
      </c>
      <c r="D58" s="35">
        <f ca="1">(((_xlfn.XLOOKUP(YEAR($B58),'Oferta Producto 1'!$B$8:$B$19,'Oferta Producto 1'!$E$8:$E$19))*$AD58)/$AB58)/24</f>
        <v>0</v>
      </c>
      <c r="E58" s="35">
        <f ca="1">(((_xlfn.XLOOKUP(YEAR($B58),'Oferta Producto 1'!$B$8:$B$19,'Oferta Producto 1'!$E$8:$E$19))*$AD58)/$AB58)/24</f>
        <v>0</v>
      </c>
      <c r="F58" s="35">
        <f ca="1">(((_xlfn.XLOOKUP(YEAR($B58),'Oferta Producto 1'!$B$8:$B$19,'Oferta Producto 1'!$E$8:$E$19))*$AD58)/$AB58)/24</f>
        <v>0</v>
      </c>
      <c r="G58" s="35">
        <f ca="1">(((_xlfn.XLOOKUP(YEAR($B58),'Oferta Producto 1'!$B$8:$B$19,'Oferta Producto 1'!$E$8:$E$19))*$AD58)/$AB58)/24</f>
        <v>0</v>
      </c>
      <c r="H58" s="35">
        <f ca="1">(((_xlfn.XLOOKUP(YEAR($B58),'Oferta Producto 1'!$B$8:$B$19,'Oferta Producto 1'!$E$8:$E$19))*$AD58)/$AB58)/24</f>
        <v>0</v>
      </c>
      <c r="I58" s="35">
        <f ca="1">(((_xlfn.XLOOKUP(YEAR($B58),'Oferta Producto 1'!$B$8:$B$19,'Oferta Producto 1'!$E$8:$E$19))*$AD58)/$AB58)/24</f>
        <v>0</v>
      </c>
      <c r="J58" s="35">
        <f ca="1">(((_xlfn.XLOOKUP(YEAR($B58),'Oferta Producto 1'!$B$8:$B$19,'Oferta Producto 1'!$E$8:$E$19))*$AD58)/$AB58)/24</f>
        <v>0</v>
      </c>
      <c r="K58" s="35">
        <f ca="1">(((_xlfn.XLOOKUP(YEAR($B58),'Oferta Producto 1'!$B$8:$B$19,'Oferta Producto 1'!$E$8:$E$19))*$AD58)/$AB58)/24</f>
        <v>0</v>
      </c>
      <c r="L58" s="35">
        <f ca="1">(((_xlfn.XLOOKUP(YEAR($B58),'Oferta Producto 1'!$B$8:$B$19,'Oferta Producto 1'!$E$8:$E$19))*$AD58)/$AB58)/24</f>
        <v>0</v>
      </c>
      <c r="M58" s="35">
        <f ca="1">(((_xlfn.XLOOKUP(YEAR($B58),'Oferta Producto 1'!$B$8:$B$19,'Oferta Producto 1'!$E$8:$E$19))*$AD58)/$AB58)/24</f>
        <v>0</v>
      </c>
      <c r="N58" s="35">
        <f ca="1">(((_xlfn.XLOOKUP(YEAR($B58),'Oferta Producto 1'!$B$8:$B$19,'Oferta Producto 1'!$E$8:$E$19))*$AD58)/$AB58)/24</f>
        <v>0</v>
      </c>
      <c r="O58" s="35">
        <f ca="1">(((_xlfn.XLOOKUP(YEAR($B58),'Oferta Producto 1'!$B$8:$B$19,'Oferta Producto 1'!$E$8:$E$19))*$AD58)/$AB58)/24</f>
        <v>0</v>
      </c>
      <c r="P58" s="35">
        <f ca="1">(((_xlfn.XLOOKUP(YEAR($B58),'Oferta Producto 1'!$B$8:$B$19,'Oferta Producto 1'!$E$8:$E$19))*$AD58)/$AB58)/24</f>
        <v>0</v>
      </c>
      <c r="Q58" s="35">
        <f ca="1">(((_xlfn.XLOOKUP(YEAR($B58),'Oferta Producto 1'!$B$8:$B$19,'Oferta Producto 1'!$E$8:$E$19))*$AD58)/$AB58)/24</f>
        <v>0</v>
      </c>
      <c r="R58" s="35">
        <f ca="1">(((_xlfn.XLOOKUP(YEAR($B58),'Oferta Producto 1'!$B$8:$B$19,'Oferta Producto 1'!$E$8:$E$19))*$AD58)/$AB58)/24</f>
        <v>0</v>
      </c>
      <c r="S58" s="35">
        <f ca="1">(((_xlfn.XLOOKUP(YEAR($B58),'Oferta Producto 1'!$B$8:$B$19,'Oferta Producto 1'!$E$8:$E$19))*$AD58)/$AB58)/24</f>
        <v>0</v>
      </c>
      <c r="T58" s="35">
        <f ca="1">(((_xlfn.XLOOKUP(YEAR($B58),'Oferta Producto 1'!$B$8:$B$19,'Oferta Producto 1'!$E$8:$E$19))*$AD58)/$AB58)/24</f>
        <v>0</v>
      </c>
      <c r="U58" s="35">
        <f ca="1">(((_xlfn.XLOOKUP(YEAR($B58),'Oferta Producto 1'!$B$8:$B$19,'Oferta Producto 1'!$E$8:$E$19))*$AD58)/$AB58)/24</f>
        <v>0</v>
      </c>
      <c r="V58" s="35">
        <f ca="1">(((_xlfn.XLOOKUP(YEAR($B58),'Oferta Producto 1'!$B$8:$B$19,'Oferta Producto 1'!$E$8:$E$19))*$AD58)/$AB58)/24</f>
        <v>0</v>
      </c>
      <c r="W58" s="35">
        <f ca="1">(((_xlfn.XLOOKUP(YEAR($B58),'Oferta Producto 1'!$B$8:$B$19,'Oferta Producto 1'!$E$8:$E$19))*$AD58)/$AB58)/24</f>
        <v>0</v>
      </c>
      <c r="X58" s="35">
        <f ca="1">(((_xlfn.XLOOKUP(YEAR($B58),'Oferta Producto 1'!$B$8:$B$19,'Oferta Producto 1'!$E$8:$E$19))*$AD58)/$AB58)/24</f>
        <v>0</v>
      </c>
      <c r="Y58" s="35">
        <f ca="1">(((_xlfn.XLOOKUP(YEAR($B58),'Oferta Producto 1'!$B$8:$B$19,'Oferta Producto 1'!$E$8:$E$19))*$AD58)/$AB58)/24</f>
        <v>0</v>
      </c>
      <c r="Z58" s="35">
        <f ca="1">(((_xlfn.XLOOKUP(YEAR($B58),'Oferta Producto 1'!$B$8:$B$19,'Oferta Producto 1'!$E$8:$E$19))*$AD58)/$AB58)/24</f>
        <v>0</v>
      </c>
      <c r="AA58" s="35">
        <f t="shared" ca="1" si="5"/>
        <v>0</v>
      </c>
      <c r="AB58" s="28">
        <f t="shared" si="2"/>
        <v>31</v>
      </c>
      <c r="AC58" s="42">
        <f t="shared" ca="1" si="3"/>
        <v>0</v>
      </c>
      <c r="AD58" s="43">
        <v>7.9754971862961654E-2</v>
      </c>
      <c r="AE58"/>
    </row>
    <row r="59" spans="1:31" ht="15.75" thickBot="1">
      <c r="A59" s="23">
        <f t="shared" si="0"/>
        <v>2030</v>
      </c>
      <c r="B59" s="27">
        <v>47635</v>
      </c>
      <c r="C59" s="35">
        <f ca="1">(((_xlfn.XLOOKUP(YEAR($B59),'Oferta Producto 1'!$B$8:$B$19,'Oferta Producto 1'!$E$8:$E$19))*$AD59)/$AB59)/24</f>
        <v>0</v>
      </c>
      <c r="D59" s="35">
        <f ca="1">(((_xlfn.XLOOKUP(YEAR($B59),'Oferta Producto 1'!$B$8:$B$19,'Oferta Producto 1'!$E$8:$E$19))*$AD59)/$AB59)/24</f>
        <v>0</v>
      </c>
      <c r="E59" s="35">
        <f ca="1">(((_xlfn.XLOOKUP(YEAR($B59),'Oferta Producto 1'!$B$8:$B$19,'Oferta Producto 1'!$E$8:$E$19))*$AD59)/$AB59)/24</f>
        <v>0</v>
      </c>
      <c r="F59" s="35">
        <f ca="1">(((_xlfn.XLOOKUP(YEAR($B59),'Oferta Producto 1'!$B$8:$B$19,'Oferta Producto 1'!$E$8:$E$19))*$AD59)/$AB59)/24</f>
        <v>0</v>
      </c>
      <c r="G59" s="35">
        <f ca="1">(((_xlfn.XLOOKUP(YEAR($B59),'Oferta Producto 1'!$B$8:$B$19,'Oferta Producto 1'!$E$8:$E$19))*$AD59)/$AB59)/24</f>
        <v>0</v>
      </c>
      <c r="H59" s="35">
        <f ca="1">(((_xlfn.XLOOKUP(YEAR($B59),'Oferta Producto 1'!$B$8:$B$19,'Oferta Producto 1'!$E$8:$E$19))*$AD59)/$AB59)/24</f>
        <v>0</v>
      </c>
      <c r="I59" s="35">
        <f ca="1">(((_xlfn.XLOOKUP(YEAR($B59),'Oferta Producto 1'!$B$8:$B$19,'Oferta Producto 1'!$E$8:$E$19))*$AD59)/$AB59)/24</f>
        <v>0</v>
      </c>
      <c r="J59" s="35">
        <f ca="1">(((_xlfn.XLOOKUP(YEAR($B59),'Oferta Producto 1'!$B$8:$B$19,'Oferta Producto 1'!$E$8:$E$19))*$AD59)/$AB59)/24</f>
        <v>0</v>
      </c>
      <c r="K59" s="35">
        <f ca="1">(((_xlfn.XLOOKUP(YEAR($B59),'Oferta Producto 1'!$B$8:$B$19,'Oferta Producto 1'!$E$8:$E$19))*$AD59)/$AB59)/24</f>
        <v>0</v>
      </c>
      <c r="L59" s="35">
        <f ca="1">(((_xlfn.XLOOKUP(YEAR($B59),'Oferta Producto 1'!$B$8:$B$19,'Oferta Producto 1'!$E$8:$E$19))*$AD59)/$AB59)/24</f>
        <v>0</v>
      </c>
      <c r="M59" s="35">
        <f ca="1">(((_xlfn.XLOOKUP(YEAR($B59),'Oferta Producto 1'!$B$8:$B$19,'Oferta Producto 1'!$E$8:$E$19))*$AD59)/$AB59)/24</f>
        <v>0</v>
      </c>
      <c r="N59" s="35">
        <f ca="1">(((_xlfn.XLOOKUP(YEAR($B59),'Oferta Producto 1'!$B$8:$B$19,'Oferta Producto 1'!$E$8:$E$19))*$AD59)/$AB59)/24</f>
        <v>0</v>
      </c>
      <c r="O59" s="35">
        <f ca="1">(((_xlfn.XLOOKUP(YEAR($B59),'Oferta Producto 1'!$B$8:$B$19,'Oferta Producto 1'!$E$8:$E$19))*$AD59)/$AB59)/24</f>
        <v>0</v>
      </c>
      <c r="P59" s="35">
        <f ca="1">(((_xlfn.XLOOKUP(YEAR($B59),'Oferta Producto 1'!$B$8:$B$19,'Oferta Producto 1'!$E$8:$E$19))*$AD59)/$AB59)/24</f>
        <v>0</v>
      </c>
      <c r="Q59" s="35">
        <f ca="1">(((_xlfn.XLOOKUP(YEAR($B59),'Oferta Producto 1'!$B$8:$B$19,'Oferta Producto 1'!$E$8:$E$19))*$AD59)/$AB59)/24</f>
        <v>0</v>
      </c>
      <c r="R59" s="35">
        <f ca="1">(((_xlfn.XLOOKUP(YEAR($B59),'Oferta Producto 1'!$B$8:$B$19,'Oferta Producto 1'!$E$8:$E$19))*$AD59)/$AB59)/24</f>
        <v>0</v>
      </c>
      <c r="S59" s="35">
        <f ca="1">(((_xlfn.XLOOKUP(YEAR($B59),'Oferta Producto 1'!$B$8:$B$19,'Oferta Producto 1'!$E$8:$E$19))*$AD59)/$AB59)/24</f>
        <v>0</v>
      </c>
      <c r="T59" s="35">
        <f ca="1">(((_xlfn.XLOOKUP(YEAR($B59),'Oferta Producto 1'!$B$8:$B$19,'Oferta Producto 1'!$E$8:$E$19))*$AD59)/$AB59)/24</f>
        <v>0</v>
      </c>
      <c r="U59" s="35">
        <f ca="1">(((_xlfn.XLOOKUP(YEAR($B59),'Oferta Producto 1'!$B$8:$B$19,'Oferta Producto 1'!$E$8:$E$19))*$AD59)/$AB59)/24</f>
        <v>0</v>
      </c>
      <c r="V59" s="35">
        <f ca="1">(((_xlfn.XLOOKUP(YEAR($B59),'Oferta Producto 1'!$B$8:$B$19,'Oferta Producto 1'!$E$8:$E$19))*$AD59)/$AB59)/24</f>
        <v>0</v>
      </c>
      <c r="W59" s="35">
        <f ca="1">(((_xlfn.XLOOKUP(YEAR($B59),'Oferta Producto 1'!$B$8:$B$19,'Oferta Producto 1'!$E$8:$E$19))*$AD59)/$AB59)/24</f>
        <v>0</v>
      </c>
      <c r="X59" s="35">
        <f ca="1">(((_xlfn.XLOOKUP(YEAR($B59),'Oferta Producto 1'!$B$8:$B$19,'Oferta Producto 1'!$E$8:$E$19))*$AD59)/$AB59)/24</f>
        <v>0</v>
      </c>
      <c r="Y59" s="35">
        <f ca="1">(((_xlfn.XLOOKUP(YEAR($B59),'Oferta Producto 1'!$B$8:$B$19,'Oferta Producto 1'!$E$8:$E$19))*$AD59)/$AB59)/24</f>
        <v>0</v>
      </c>
      <c r="Z59" s="35">
        <f ca="1">(((_xlfn.XLOOKUP(YEAR($B59),'Oferta Producto 1'!$B$8:$B$19,'Oferta Producto 1'!$E$8:$E$19))*$AD59)/$AB59)/24</f>
        <v>0</v>
      </c>
      <c r="AA59" s="35">
        <f t="shared" ca="1" si="5"/>
        <v>0</v>
      </c>
      <c r="AB59" s="28">
        <f t="shared" si="2"/>
        <v>30</v>
      </c>
      <c r="AC59" s="42">
        <f t="shared" ca="1" si="3"/>
        <v>0</v>
      </c>
      <c r="AD59" s="43">
        <v>8.5889305812170275E-2</v>
      </c>
      <c r="AE59"/>
    </row>
    <row r="60" spans="1:31" ht="15.75" thickBot="1">
      <c r="A60" s="23">
        <f t="shared" si="0"/>
        <v>2030</v>
      </c>
      <c r="B60" s="27">
        <v>47665</v>
      </c>
      <c r="C60" s="35">
        <f ca="1">(((_xlfn.XLOOKUP(YEAR($B60),'Oferta Producto 1'!$B$8:$B$19,'Oferta Producto 1'!$E$8:$E$19))*$AD60)/$AB60)/24</f>
        <v>0</v>
      </c>
      <c r="D60" s="35">
        <f ca="1">(((_xlfn.XLOOKUP(YEAR($B60),'Oferta Producto 1'!$B$8:$B$19,'Oferta Producto 1'!$E$8:$E$19))*$AD60)/$AB60)/24</f>
        <v>0</v>
      </c>
      <c r="E60" s="35">
        <f ca="1">(((_xlfn.XLOOKUP(YEAR($B60),'Oferta Producto 1'!$B$8:$B$19,'Oferta Producto 1'!$E$8:$E$19))*$AD60)/$AB60)/24</f>
        <v>0</v>
      </c>
      <c r="F60" s="35">
        <f ca="1">(((_xlfn.XLOOKUP(YEAR($B60),'Oferta Producto 1'!$B$8:$B$19,'Oferta Producto 1'!$E$8:$E$19))*$AD60)/$AB60)/24</f>
        <v>0</v>
      </c>
      <c r="G60" s="35">
        <f ca="1">(((_xlfn.XLOOKUP(YEAR($B60),'Oferta Producto 1'!$B$8:$B$19,'Oferta Producto 1'!$E$8:$E$19))*$AD60)/$AB60)/24</f>
        <v>0</v>
      </c>
      <c r="H60" s="35">
        <f ca="1">(((_xlfn.XLOOKUP(YEAR($B60),'Oferta Producto 1'!$B$8:$B$19,'Oferta Producto 1'!$E$8:$E$19))*$AD60)/$AB60)/24</f>
        <v>0</v>
      </c>
      <c r="I60" s="35">
        <f ca="1">(((_xlfn.XLOOKUP(YEAR($B60),'Oferta Producto 1'!$B$8:$B$19,'Oferta Producto 1'!$E$8:$E$19))*$AD60)/$AB60)/24</f>
        <v>0</v>
      </c>
      <c r="J60" s="35">
        <f ca="1">(((_xlfn.XLOOKUP(YEAR($B60),'Oferta Producto 1'!$B$8:$B$19,'Oferta Producto 1'!$E$8:$E$19))*$AD60)/$AB60)/24</f>
        <v>0</v>
      </c>
      <c r="K60" s="35">
        <f ca="1">(((_xlfn.XLOOKUP(YEAR($B60),'Oferta Producto 1'!$B$8:$B$19,'Oferta Producto 1'!$E$8:$E$19))*$AD60)/$AB60)/24</f>
        <v>0</v>
      </c>
      <c r="L60" s="35">
        <f ca="1">(((_xlfn.XLOOKUP(YEAR($B60),'Oferta Producto 1'!$B$8:$B$19,'Oferta Producto 1'!$E$8:$E$19))*$AD60)/$AB60)/24</f>
        <v>0</v>
      </c>
      <c r="M60" s="35">
        <f ca="1">(((_xlfn.XLOOKUP(YEAR($B60),'Oferta Producto 1'!$B$8:$B$19,'Oferta Producto 1'!$E$8:$E$19))*$AD60)/$AB60)/24</f>
        <v>0</v>
      </c>
      <c r="N60" s="35">
        <f ca="1">(((_xlfn.XLOOKUP(YEAR($B60),'Oferta Producto 1'!$B$8:$B$19,'Oferta Producto 1'!$E$8:$E$19))*$AD60)/$AB60)/24</f>
        <v>0</v>
      </c>
      <c r="O60" s="35">
        <f ca="1">(((_xlfn.XLOOKUP(YEAR($B60),'Oferta Producto 1'!$B$8:$B$19,'Oferta Producto 1'!$E$8:$E$19))*$AD60)/$AB60)/24</f>
        <v>0</v>
      </c>
      <c r="P60" s="35">
        <f ca="1">(((_xlfn.XLOOKUP(YEAR($B60),'Oferta Producto 1'!$B$8:$B$19,'Oferta Producto 1'!$E$8:$E$19))*$AD60)/$AB60)/24</f>
        <v>0</v>
      </c>
      <c r="Q60" s="35">
        <f ca="1">(((_xlfn.XLOOKUP(YEAR($B60),'Oferta Producto 1'!$B$8:$B$19,'Oferta Producto 1'!$E$8:$E$19))*$AD60)/$AB60)/24</f>
        <v>0</v>
      </c>
      <c r="R60" s="35">
        <f ca="1">(((_xlfn.XLOOKUP(YEAR($B60),'Oferta Producto 1'!$B$8:$B$19,'Oferta Producto 1'!$E$8:$E$19))*$AD60)/$AB60)/24</f>
        <v>0</v>
      </c>
      <c r="S60" s="35">
        <f ca="1">(((_xlfn.XLOOKUP(YEAR($B60),'Oferta Producto 1'!$B$8:$B$19,'Oferta Producto 1'!$E$8:$E$19))*$AD60)/$AB60)/24</f>
        <v>0</v>
      </c>
      <c r="T60" s="35">
        <f ca="1">(((_xlfn.XLOOKUP(YEAR($B60),'Oferta Producto 1'!$B$8:$B$19,'Oferta Producto 1'!$E$8:$E$19))*$AD60)/$AB60)/24</f>
        <v>0</v>
      </c>
      <c r="U60" s="35">
        <f ca="1">(((_xlfn.XLOOKUP(YEAR($B60),'Oferta Producto 1'!$B$8:$B$19,'Oferta Producto 1'!$E$8:$E$19))*$AD60)/$AB60)/24</f>
        <v>0</v>
      </c>
      <c r="V60" s="35">
        <f ca="1">(((_xlfn.XLOOKUP(YEAR($B60),'Oferta Producto 1'!$B$8:$B$19,'Oferta Producto 1'!$E$8:$E$19))*$AD60)/$AB60)/24</f>
        <v>0</v>
      </c>
      <c r="W60" s="35">
        <f ca="1">(((_xlfn.XLOOKUP(YEAR($B60),'Oferta Producto 1'!$B$8:$B$19,'Oferta Producto 1'!$E$8:$E$19))*$AD60)/$AB60)/24</f>
        <v>0</v>
      </c>
      <c r="X60" s="35">
        <f ca="1">(((_xlfn.XLOOKUP(YEAR($B60),'Oferta Producto 1'!$B$8:$B$19,'Oferta Producto 1'!$E$8:$E$19))*$AD60)/$AB60)/24</f>
        <v>0</v>
      </c>
      <c r="Y60" s="35">
        <f ca="1">(((_xlfn.XLOOKUP(YEAR($B60),'Oferta Producto 1'!$B$8:$B$19,'Oferta Producto 1'!$E$8:$E$19))*$AD60)/$AB60)/24</f>
        <v>0</v>
      </c>
      <c r="Z60" s="35">
        <f ca="1">(((_xlfn.XLOOKUP(YEAR($B60),'Oferta Producto 1'!$B$8:$B$19,'Oferta Producto 1'!$E$8:$E$19))*$AD60)/$AB60)/24</f>
        <v>0</v>
      </c>
      <c r="AA60" s="35">
        <f t="shared" ca="1" si="5"/>
        <v>0</v>
      </c>
      <c r="AB60" s="28">
        <f t="shared" si="2"/>
        <v>31</v>
      </c>
      <c r="AC60" s="42">
        <f t="shared" ca="1" si="3"/>
        <v>0</v>
      </c>
      <c r="AD60" s="43">
        <v>7.9754971862961654E-2</v>
      </c>
      <c r="AE60"/>
    </row>
    <row r="61" spans="1:31" ht="15.75" thickBot="1">
      <c r="A61" s="23">
        <f t="shared" si="0"/>
        <v>2030</v>
      </c>
      <c r="B61" s="27">
        <v>47696</v>
      </c>
      <c r="C61" s="35">
        <f ca="1">(((_xlfn.XLOOKUP(YEAR($B61),'Oferta Producto 1'!$B$8:$B$19,'Oferta Producto 1'!$E$8:$E$19))*$AD61)/$AB61)/24</f>
        <v>0</v>
      </c>
      <c r="D61" s="35">
        <f ca="1">(((_xlfn.XLOOKUP(YEAR($B61),'Oferta Producto 1'!$B$8:$B$19,'Oferta Producto 1'!$E$8:$E$19))*$AD61)/$AB61)/24</f>
        <v>0</v>
      </c>
      <c r="E61" s="35">
        <f ca="1">(((_xlfn.XLOOKUP(YEAR($B61),'Oferta Producto 1'!$B$8:$B$19,'Oferta Producto 1'!$E$8:$E$19))*$AD61)/$AB61)/24</f>
        <v>0</v>
      </c>
      <c r="F61" s="35">
        <f ca="1">(((_xlfn.XLOOKUP(YEAR($B61),'Oferta Producto 1'!$B$8:$B$19,'Oferta Producto 1'!$E$8:$E$19))*$AD61)/$AB61)/24</f>
        <v>0</v>
      </c>
      <c r="G61" s="35">
        <f ca="1">(((_xlfn.XLOOKUP(YEAR($B61),'Oferta Producto 1'!$B$8:$B$19,'Oferta Producto 1'!$E$8:$E$19))*$AD61)/$AB61)/24</f>
        <v>0</v>
      </c>
      <c r="H61" s="35">
        <f ca="1">(((_xlfn.XLOOKUP(YEAR($B61),'Oferta Producto 1'!$B$8:$B$19,'Oferta Producto 1'!$E$8:$E$19))*$AD61)/$AB61)/24</f>
        <v>0</v>
      </c>
      <c r="I61" s="35">
        <f ca="1">(((_xlfn.XLOOKUP(YEAR($B61),'Oferta Producto 1'!$B$8:$B$19,'Oferta Producto 1'!$E$8:$E$19))*$AD61)/$AB61)/24</f>
        <v>0</v>
      </c>
      <c r="J61" s="35">
        <f ca="1">(((_xlfn.XLOOKUP(YEAR($B61),'Oferta Producto 1'!$B$8:$B$19,'Oferta Producto 1'!$E$8:$E$19))*$AD61)/$AB61)/24</f>
        <v>0</v>
      </c>
      <c r="K61" s="35">
        <f ca="1">(((_xlfn.XLOOKUP(YEAR($B61),'Oferta Producto 1'!$B$8:$B$19,'Oferta Producto 1'!$E$8:$E$19))*$AD61)/$AB61)/24</f>
        <v>0</v>
      </c>
      <c r="L61" s="35">
        <f ca="1">(((_xlfn.XLOOKUP(YEAR($B61),'Oferta Producto 1'!$B$8:$B$19,'Oferta Producto 1'!$E$8:$E$19))*$AD61)/$AB61)/24</f>
        <v>0</v>
      </c>
      <c r="M61" s="35">
        <f ca="1">(((_xlfn.XLOOKUP(YEAR($B61),'Oferta Producto 1'!$B$8:$B$19,'Oferta Producto 1'!$E$8:$E$19))*$AD61)/$AB61)/24</f>
        <v>0</v>
      </c>
      <c r="N61" s="35">
        <f ca="1">(((_xlfn.XLOOKUP(YEAR($B61),'Oferta Producto 1'!$B$8:$B$19,'Oferta Producto 1'!$E$8:$E$19))*$AD61)/$AB61)/24</f>
        <v>0</v>
      </c>
      <c r="O61" s="35">
        <f ca="1">(((_xlfn.XLOOKUP(YEAR($B61),'Oferta Producto 1'!$B$8:$B$19,'Oferta Producto 1'!$E$8:$E$19))*$AD61)/$AB61)/24</f>
        <v>0</v>
      </c>
      <c r="P61" s="35">
        <f ca="1">(((_xlfn.XLOOKUP(YEAR($B61),'Oferta Producto 1'!$B$8:$B$19,'Oferta Producto 1'!$E$8:$E$19))*$AD61)/$AB61)/24</f>
        <v>0</v>
      </c>
      <c r="Q61" s="35">
        <f ca="1">(((_xlfn.XLOOKUP(YEAR($B61),'Oferta Producto 1'!$B$8:$B$19,'Oferta Producto 1'!$E$8:$E$19))*$AD61)/$AB61)/24</f>
        <v>0</v>
      </c>
      <c r="R61" s="35">
        <f ca="1">(((_xlfn.XLOOKUP(YEAR($B61),'Oferta Producto 1'!$B$8:$B$19,'Oferta Producto 1'!$E$8:$E$19))*$AD61)/$AB61)/24</f>
        <v>0</v>
      </c>
      <c r="S61" s="35">
        <f ca="1">(((_xlfn.XLOOKUP(YEAR($B61),'Oferta Producto 1'!$B$8:$B$19,'Oferta Producto 1'!$E$8:$E$19))*$AD61)/$AB61)/24</f>
        <v>0</v>
      </c>
      <c r="T61" s="35">
        <f ca="1">(((_xlfn.XLOOKUP(YEAR($B61),'Oferta Producto 1'!$B$8:$B$19,'Oferta Producto 1'!$E$8:$E$19))*$AD61)/$AB61)/24</f>
        <v>0</v>
      </c>
      <c r="U61" s="35">
        <f ca="1">(((_xlfn.XLOOKUP(YEAR($B61),'Oferta Producto 1'!$B$8:$B$19,'Oferta Producto 1'!$E$8:$E$19))*$AD61)/$AB61)/24</f>
        <v>0</v>
      </c>
      <c r="V61" s="35">
        <f ca="1">(((_xlfn.XLOOKUP(YEAR($B61),'Oferta Producto 1'!$B$8:$B$19,'Oferta Producto 1'!$E$8:$E$19))*$AD61)/$AB61)/24</f>
        <v>0</v>
      </c>
      <c r="W61" s="35">
        <f ca="1">(((_xlfn.XLOOKUP(YEAR($B61),'Oferta Producto 1'!$B$8:$B$19,'Oferta Producto 1'!$E$8:$E$19))*$AD61)/$AB61)/24</f>
        <v>0</v>
      </c>
      <c r="X61" s="35">
        <f ca="1">(((_xlfn.XLOOKUP(YEAR($B61),'Oferta Producto 1'!$B$8:$B$19,'Oferta Producto 1'!$E$8:$E$19))*$AD61)/$AB61)/24</f>
        <v>0</v>
      </c>
      <c r="Y61" s="35">
        <f ca="1">(((_xlfn.XLOOKUP(YEAR($B61),'Oferta Producto 1'!$B$8:$B$19,'Oferta Producto 1'!$E$8:$E$19))*$AD61)/$AB61)/24</f>
        <v>0</v>
      </c>
      <c r="Z61" s="35">
        <f ca="1">(((_xlfn.XLOOKUP(YEAR($B61),'Oferta Producto 1'!$B$8:$B$19,'Oferta Producto 1'!$E$8:$E$19))*$AD61)/$AB61)/24</f>
        <v>0</v>
      </c>
      <c r="AA61" s="35">
        <f t="shared" ca="1" si="5"/>
        <v>0</v>
      </c>
      <c r="AB61" s="28">
        <f t="shared" si="2"/>
        <v>31</v>
      </c>
      <c r="AC61" s="42">
        <f t="shared" ca="1" si="3"/>
        <v>0</v>
      </c>
      <c r="AD61" s="43">
        <v>7.9754971862961654E-2</v>
      </c>
      <c r="AE61"/>
    </row>
    <row r="62" spans="1:31" ht="15.75" thickBot="1">
      <c r="A62" s="23">
        <f t="shared" si="0"/>
        <v>2030</v>
      </c>
      <c r="B62" s="27">
        <v>47727</v>
      </c>
      <c r="C62" s="35">
        <f ca="1">(((_xlfn.XLOOKUP(YEAR($B62),'Oferta Producto 1'!$B$8:$B$19,'Oferta Producto 1'!$E$8:$E$19))*$AD62)/$AB62)/24</f>
        <v>0</v>
      </c>
      <c r="D62" s="35">
        <f ca="1">(((_xlfn.XLOOKUP(YEAR($B62),'Oferta Producto 1'!$B$8:$B$19,'Oferta Producto 1'!$E$8:$E$19))*$AD62)/$AB62)/24</f>
        <v>0</v>
      </c>
      <c r="E62" s="35">
        <f ca="1">(((_xlfn.XLOOKUP(YEAR($B62),'Oferta Producto 1'!$B$8:$B$19,'Oferta Producto 1'!$E$8:$E$19))*$AD62)/$AB62)/24</f>
        <v>0</v>
      </c>
      <c r="F62" s="35">
        <f ca="1">(((_xlfn.XLOOKUP(YEAR($B62),'Oferta Producto 1'!$B$8:$B$19,'Oferta Producto 1'!$E$8:$E$19))*$AD62)/$AB62)/24</f>
        <v>0</v>
      </c>
      <c r="G62" s="35">
        <f ca="1">(((_xlfn.XLOOKUP(YEAR($B62),'Oferta Producto 1'!$B$8:$B$19,'Oferta Producto 1'!$E$8:$E$19))*$AD62)/$AB62)/24</f>
        <v>0</v>
      </c>
      <c r="H62" s="35">
        <f ca="1">(((_xlfn.XLOOKUP(YEAR($B62),'Oferta Producto 1'!$B$8:$B$19,'Oferta Producto 1'!$E$8:$E$19))*$AD62)/$AB62)/24</f>
        <v>0</v>
      </c>
      <c r="I62" s="35">
        <f ca="1">(((_xlfn.XLOOKUP(YEAR($B62),'Oferta Producto 1'!$B$8:$B$19,'Oferta Producto 1'!$E$8:$E$19))*$AD62)/$AB62)/24</f>
        <v>0</v>
      </c>
      <c r="J62" s="35">
        <f ca="1">(((_xlfn.XLOOKUP(YEAR($B62),'Oferta Producto 1'!$B$8:$B$19,'Oferta Producto 1'!$E$8:$E$19))*$AD62)/$AB62)/24</f>
        <v>0</v>
      </c>
      <c r="K62" s="35">
        <f ca="1">(((_xlfn.XLOOKUP(YEAR($B62),'Oferta Producto 1'!$B$8:$B$19,'Oferta Producto 1'!$E$8:$E$19))*$AD62)/$AB62)/24</f>
        <v>0</v>
      </c>
      <c r="L62" s="35">
        <f ca="1">(((_xlfn.XLOOKUP(YEAR($B62),'Oferta Producto 1'!$B$8:$B$19,'Oferta Producto 1'!$E$8:$E$19))*$AD62)/$AB62)/24</f>
        <v>0</v>
      </c>
      <c r="M62" s="35">
        <f ca="1">(((_xlfn.XLOOKUP(YEAR($B62),'Oferta Producto 1'!$B$8:$B$19,'Oferta Producto 1'!$E$8:$E$19))*$AD62)/$AB62)/24</f>
        <v>0</v>
      </c>
      <c r="N62" s="35">
        <f ca="1">(((_xlfn.XLOOKUP(YEAR($B62),'Oferta Producto 1'!$B$8:$B$19,'Oferta Producto 1'!$E$8:$E$19))*$AD62)/$AB62)/24</f>
        <v>0</v>
      </c>
      <c r="O62" s="35">
        <f ca="1">(((_xlfn.XLOOKUP(YEAR($B62),'Oferta Producto 1'!$B$8:$B$19,'Oferta Producto 1'!$E$8:$E$19))*$AD62)/$AB62)/24</f>
        <v>0</v>
      </c>
      <c r="P62" s="35">
        <f ca="1">(((_xlfn.XLOOKUP(YEAR($B62),'Oferta Producto 1'!$B$8:$B$19,'Oferta Producto 1'!$E$8:$E$19))*$AD62)/$AB62)/24</f>
        <v>0</v>
      </c>
      <c r="Q62" s="35">
        <f ca="1">(((_xlfn.XLOOKUP(YEAR($B62),'Oferta Producto 1'!$B$8:$B$19,'Oferta Producto 1'!$E$8:$E$19))*$AD62)/$AB62)/24</f>
        <v>0</v>
      </c>
      <c r="R62" s="35">
        <f ca="1">(((_xlfn.XLOOKUP(YEAR($B62),'Oferta Producto 1'!$B$8:$B$19,'Oferta Producto 1'!$E$8:$E$19))*$AD62)/$AB62)/24</f>
        <v>0</v>
      </c>
      <c r="S62" s="35">
        <f ca="1">(((_xlfn.XLOOKUP(YEAR($B62),'Oferta Producto 1'!$B$8:$B$19,'Oferta Producto 1'!$E$8:$E$19))*$AD62)/$AB62)/24</f>
        <v>0</v>
      </c>
      <c r="T62" s="35">
        <f ca="1">(((_xlfn.XLOOKUP(YEAR($B62),'Oferta Producto 1'!$B$8:$B$19,'Oferta Producto 1'!$E$8:$E$19))*$AD62)/$AB62)/24</f>
        <v>0</v>
      </c>
      <c r="U62" s="35">
        <f ca="1">(((_xlfn.XLOOKUP(YEAR($B62),'Oferta Producto 1'!$B$8:$B$19,'Oferta Producto 1'!$E$8:$E$19))*$AD62)/$AB62)/24</f>
        <v>0</v>
      </c>
      <c r="V62" s="35">
        <f ca="1">(((_xlfn.XLOOKUP(YEAR($B62),'Oferta Producto 1'!$B$8:$B$19,'Oferta Producto 1'!$E$8:$E$19))*$AD62)/$AB62)/24</f>
        <v>0</v>
      </c>
      <c r="W62" s="35">
        <f ca="1">(((_xlfn.XLOOKUP(YEAR($B62),'Oferta Producto 1'!$B$8:$B$19,'Oferta Producto 1'!$E$8:$E$19))*$AD62)/$AB62)/24</f>
        <v>0</v>
      </c>
      <c r="X62" s="35">
        <f ca="1">(((_xlfn.XLOOKUP(YEAR($B62),'Oferta Producto 1'!$B$8:$B$19,'Oferta Producto 1'!$E$8:$E$19))*$AD62)/$AB62)/24</f>
        <v>0</v>
      </c>
      <c r="Y62" s="35">
        <f ca="1">(((_xlfn.XLOOKUP(YEAR($B62),'Oferta Producto 1'!$B$8:$B$19,'Oferta Producto 1'!$E$8:$E$19))*$AD62)/$AB62)/24</f>
        <v>0</v>
      </c>
      <c r="Z62" s="35">
        <f ca="1">(((_xlfn.XLOOKUP(YEAR($B62),'Oferta Producto 1'!$B$8:$B$19,'Oferta Producto 1'!$E$8:$E$19))*$AD62)/$AB62)/24</f>
        <v>0</v>
      </c>
      <c r="AA62" s="35">
        <f t="shared" ca="1" si="5"/>
        <v>0</v>
      </c>
      <c r="AB62" s="28">
        <f t="shared" si="2"/>
        <v>30</v>
      </c>
      <c r="AC62" s="42">
        <f t="shared" ca="1" si="3"/>
        <v>0</v>
      </c>
      <c r="AD62" s="43">
        <v>8.5889305812170275E-2</v>
      </c>
      <c r="AE62"/>
    </row>
    <row r="63" spans="1:31" ht="15.75" thickBot="1">
      <c r="A63" s="23">
        <f t="shared" si="0"/>
        <v>2030</v>
      </c>
      <c r="B63" s="27">
        <v>47757</v>
      </c>
      <c r="C63" s="35">
        <f ca="1">(((_xlfn.XLOOKUP(YEAR($B63),'Oferta Producto 1'!$B$8:$B$19,'Oferta Producto 1'!$E$8:$E$19))*$AD63)/$AB63)/24</f>
        <v>0</v>
      </c>
      <c r="D63" s="35">
        <f ca="1">(((_xlfn.XLOOKUP(YEAR($B63),'Oferta Producto 1'!$B$8:$B$19,'Oferta Producto 1'!$E$8:$E$19))*$AD63)/$AB63)/24</f>
        <v>0</v>
      </c>
      <c r="E63" s="35">
        <f ca="1">(((_xlfn.XLOOKUP(YEAR($B63),'Oferta Producto 1'!$B$8:$B$19,'Oferta Producto 1'!$E$8:$E$19))*$AD63)/$AB63)/24</f>
        <v>0</v>
      </c>
      <c r="F63" s="35">
        <f ca="1">(((_xlfn.XLOOKUP(YEAR($B63),'Oferta Producto 1'!$B$8:$B$19,'Oferta Producto 1'!$E$8:$E$19))*$AD63)/$AB63)/24</f>
        <v>0</v>
      </c>
      <c r="G63" s="35">
        <f ca="1">(((_xlfn.XLOOKUP(YEAR($B63),'Oferta Producto 1'!$B$8:$B$19,'Oferta Producto 1'!$E$8:$E$19))*$AD63)/$AB63)/24</f>
        <v>0</v>
      </c>
      <c r="H63" s="35">
        <f ca="1">(((_xlfn.XLOOKUP(YEAR($B63),'Oferta Producto 1'!$B$8:$B$19,'Oferta Producto 1'!$E$8:$E$19))*$AD63)/$AB63)/24</f>
        <v>0</v>
      </c>
      <c r="I63" s="35">
        <f ca="1">(((_xlfn.XLOOKUP(YEAR($B63),'Oferta Producto 1'!$B$8:$B$19,'Oferta Producto 1'!$E$8:$E$19))*$AD63)/$AB63)/24</f>
        <v>0</v>
      </c>
      <c r="J63" s="35">
        <f ca="1">(((_xlfn.XLOOKUP(YEAR($B63),'Oferta Producto 1'!$B$8:$B$19,'Oferta Producto 1'!$E$8:$E$19))*$AD63)/$AB63)/24</f>
        <v>0</v>
      </c>
      <c r="K63" s="35">
        <f ca="1">(((_xlfn.XLOOKUP(YEAR($B63),'Oferta Producto 1'!$B$8:$B$19,'Oferta Producto 1'!$E$8:$E$19))*$AD63)/$AB63)/24</f>
        <v>0</v>
      </c>
      <c r="L63" s="35">
        <f ca="1">(((_xlfn.XLOOKUP(YEAR($B63),'Oferta Producto 1'!$B$8:$B$19,'Oferta Producto 1'!$E$8:$E$19))*$AD63)/$AB63)/24</f>
        <v>0</v>
      </c>
      <c r="M63" s="35">
        <f ca="1">(((_xlfn.XLOOKUP(YEAR($B63),'Oferta Producto 1'!$B$8:$B$19,'Oferta Producto 1'!$E$8:$E$19))*$AD63)/$AB63)/24</f>
        <v>0</v>
      </c>
      <c r="N63" s="35">
        <f ca="1">(((_xlfn.XLOOKUP(YEAR($B63),'Oferta Producto 1'!$B$8:$B$19,'Oferta Producto 1'!$E$8:$E$19))*$AD63)/$AB63)/24</f>
        <v>0</v>
      </c>
      <c r="O63" s="35">
        <f ca="1">(((_xlfn.XLOOKUP(YEAR($B63),'Oferta Producto 1'!$B$8:$B$19,'Oferta Producto 1'!$E$8:$E$19))*$AD63)/$AB63)/24</f>
        <v>0</v>
      </c>
      <c r="P63" s="35">
        <f ca="1">(((_xlfn.XLOOKUP(YEAR($B63),'Oferta Producto 1'!$B$8:$B$19,'Oferta Producto 1'!$E$8:$E$19))*$AD63)/$AB63)/24</f>
        <v>0</v>
      </c>
      <c r="Q63" s="35">
        <f ca="1">(((_xlfn.XLOOKUP(YEAR($B63),'Oferta Producto 1'!$B$8:$B$19,'Oferta Producto 1'!$E$8:$E$19))*$AD63)/$AB63)/24</f>
        <v>0</v>
      </c>
      <c r="R63" s="35">
        <f ca="1">(((_xlfn.XLOOKUP(YEAR($B63),'Oferta Producto 1'!$B$8:$B$19,'Oferta Producto 1'!$E$8:$E$19))*$AD63)/$AB63)/24</f>
        <v>0</v>
      </c>
      <c r="S63" s="35">
        <f ca="1">(((_xlfn.XLOOKUP(YEAR($B63),'Oferta Producto 1'!$B$8:$B$19,'Oferta Producto 1'!$E$8:$E$19))*$AD63)/$AB63)/24</f>
        <v>0</v>
      </c>
      <c r="T63" s="35">
        <f ca="1">(((_xlfn.XLOOKUP(YEAR($B63),'Oferta Producto 1'!$B$8:$B$19,'Oferta Producto 1'!$E$8:$E$19))*$AD63)/$AB63)/24</f>
        <v>0</v>
      </c>
      <c r="U63" s="35">
        <f ca="1">(((_xlfn.XLOOKUP(YEAR($B63),'Oferta Producto 1'!$B$8:$B$19,'Oferta Producto 1'!$E$8:$E$19))*$AD63)/$AB63)/24</f>
        <v>0</v>
      </c>
      <c r="V63" s="35">
        <f ca="1">(((_xlfn.XLOOKUP(YEAR($B63),'Oferta Producto 1'!$B$8:$B$19,'Oferta Producto 1'!$E$8:$E$19))*$AD63)/$AB63)/24</f>
        <v>0</v>
      </c>
      <c r="W63" s="35">
        <f ca="1">(((_xlfn.XLOOKUP(YEAR($B63),'Oferta Producto 1'!$B$8:$B$19,'Oferta Producto 1'!$E$8:$E$19))*$AD63)/$AB63)/24</f>
        <v>0</v>
      </c>
      <c r="X63" s="35">
        <f ca="1">(((_xlfn.XLOOKUP(YEAR($B63),'Oferta Producto 1'!$B$8:$B$19,'Oferta Producto 1'!$E$8:$E$19))*$AD63)/$AB63)/24</f>
        <v>0</v>
      </c>
      <c r="Y63" s="35">
        <f ca="1">(((_xlfn.XLOOKUP(YEAR($B63),'Oferta Producto 1'!$B$8:$B$19,'Oferta Producto 1'!$E$8:$E$19))*$AD63)/$AB63)/24</f>
        <v>0</v>
      </c>
      <c r="Z63" s="35">
        <f ca="1">(((_xlfn.XLOOKUP(YEAR($B63),'Oferta Producto 1'!$B$8:$B$19,'Oferta Producto 1'!$E$8:$E$19))*$AD63)/$AB63)/24</f>
        <v>0</v>
      </c>
      <c r="AA63" s="35">
        <f t="shared" ca="1" si="5"/>
        <v>0</v>
      </c>
      <c r="AB63" s="28">
        <f t="shared" si="2"/>
        <v>31</v>
      </c>
      <c r="AC63" s="42">
        <f t="shared" ca="1" si="3"/>
        <v>0</v>
      </c>
      <c r="AD63" s="43">
        <v>7.9754971862961654E-2</v>
      </c>
      <c r="AE63"/>
    </row>
    <row r="64" spans="1:31" ht="15.75" thickBot="1">
      <c r="A64" s="23">
        <f t="shared" si="0"/>
        <v>2030</v>
      </c>
      <c r="B64" s="27">
        <v>47788</v>
      </c>
      <c r="C64" s="35">
        <f ca="1">(((_xlfn.XLOOKUP(YEAR($B64),'Oferta Producto 1'!$B$8:$B$19,'Oferta Producto 1'!$E$8:$E$19))*$AD64)/$AB64)/24</f>
        <v>0</v>
      </c>
      <c r="D64" s="35">
        <f ca="1">(((_xlfn.XLOOKUP(YEAR($B64),'Oferta Producto 1'!$B$8:$B$19,'Oferta Producto 1'!$E$8:$E$19))*$AD64)/$AB64)/24</f>
        <v>0</v>
      </c>
      <c r="E64" s="35">
        <f ca="1">(((_xlfn.XLOOKUP(YEAR($B64),'Oferta Producto 1'!$B$8:$B$19,'Oferta Producto 1'!$E$8:$E$19))*$AD64)/$AB64)/24</f>
        <v>0</v>
      </c>
      <c r="F64" s="35">
        <f ca="1">(((_xlfn.XLOOKUP(YEAR($B64),'Oferta Producto 1'!$B$8:$B$19,'Oferta Producto 1'!$E$8:$E$19))*$AD64)/$AB64)/24</f>
        <v>0</v>
      </c>
      <c r="G64" s="35">
        <f ca="1">(((_xlfn.XLOOKUP(YEAR($B64),'Oferta Producto 1'!$B$8:$B$19,'Oferta Producto 1'!$E$8:$E$19))*$AD64)/$AB64)/24</f>
        <v>0</v>
      </c>
      <c r="H64" s="35">
        <f ca="1">(((_xlfn.XLOOKUP(YEAR($B64),'Oferta Producto 1'!$B$8:$B$19,'Oferta Producto 1'!$E$8:$E$19))*$AD64)/$AB64)/24</f>
        <v>0</v>
      </c>
      <c r="I64" s="35">
        <f ca="1">(((_xlfn.XLOOKUP(YEAR($B64),'Oferta Producto 1'!$B$8:$B$19,'Oferta Producto 1'!$E$8:$E$19))*$AD64)/$AB64)/24</f>
        <v>0</v>
      </c>
      <c r="J64" s="35">
        <f ca="1">(((_xlfn.XLOOKUP(YEAR($B64),'Oferta Producto 1'!$B$8:$B$19,'Oferta Producto 1'!$E$8:$E$19))*$AD64)/$AB64)/24</f>
        <v>0</v>
      </c>
      <c r="K64" s="35">
        <f ca="1">(((_xlfn.XLOOKUP(YEAR($B64),'Oferta Producto 1'!$B$8:$B$19,'Oferta Producto 1'!$E$8:$E$19))*$AD64)/$AB64)/24</f>
        <v>0</v>
      </c>
      <c r="L64" s="35">
        <f ca="1">(((_xlfn.XLOOKUP(YEAR($B64),'Oferta Producto 1'!$B$8:$B$19,'Oferta Producto 1'!$E$8:$E$19))*$AD64)/$AB64)/24</f>
        <v>0</v>
      </c>
      <c r="M64" s="35">
        <f ca="1">(((_xlfn.XLOOKUP(YEAR($B64),'Oferta Producto 1'!$B$8:$B$19,'Oferta Producto 1'!$E$8:$E$19))*$AD64)/$AB64)/24</f>
        <v>0</v>
      </c>
      <c r="N64" s="35">
        <f ca="1">(((_xlfn.XLOOKUP(YEAR($B64),'Oferta Producto 1'!$B$8:$B$19,'Oferta Producto 1'!$E$8:$E$19))*$AD64)/$AB64)/24</f>
        <v>0</v>
      </c>
      <c r="O64" s="35">
        <f ca="1">(((_xlfn.XLOOKUP(YEAR($B64),'Oferta Producto 1'!$B$8:$B$19,'Oferta Producto 1'!$E$8:$E$19))*$AD64)/$AB64)/24</f>
        <v>0</v>
      </c>
      <c r="P64" s="35">
        <f ca="1">(((_xlfn.XLOOKUP(YEAR($B64),'Oferta Producto 1'!$B$8:$B$19,'Oferta Producto 1'!$E$8:$E$19))*$AD64)/$AB64)/24</f>
        <v>0</v>
      </c>
      <c r="Q64" s="35">
        <f ca="1">(((_xlfn.XLOOKUP(YEAR($B64),'Oferta Producto 1'!$B$8:$B$19,'Oferta Producto 1'!$E$8:$E$19))*$AD64)/$AB64)/24</f>
        <v>0</v>
      </c>
      <c r="R64" s="35">
        <f ca="1">(((_xlfn.XLOOKUP(YEAR($B64),'Oferta Producto 1'!$B$8:$B$19,'Oferta Producto 1'!$E$8:$E$19))*$AD64)/$AB64)/24</f>
        <v>0</v>
      </c>
      <c r="S64" s="35">
        <f ca="1">(((_xlfn.XLOOKUP(YEAR($B64),'Oferta Producto 1'!$B$8:$B$19,'Oferta Producto 1'!$E$8:$E$19))*$AD64)/$AB64)/24</f>
        <v>0</v>
      </c>
      <c r="T64" s="35">
        <f ca="1">(((_xlfn.XLOOKUP(YEAR($B64),'Oferta Producto 1'!$B$8:$B$19,'Oferta Producto 1'!$E$8:$E$19))*$AD64)/$AB64)/24</f>
        <v>0</v>
      </c>
      <c r="U64" s="35">
        <f ca="1">(((_xlfn.XLOOKUP(YEAR($B64),'Oferta Producto 1'!$B$8:$B$19,'Oferta Producto 1'!$E$8:$E$19))*$AD64)/$AB64)/24</f>
        <v>0</v>
      </c>
      <c r="V64" s="35">
        <f ca="1">(((_xlfn.XLOOKUP(YEAR($B64),'Oferta Producto 1'!$B$8:$B$19,'Oferta Producto 1'!$E$8:$E$19))*$AD64)/$AB64)/24</f>
        <v>0</v>
      </c>
      <c r="W64" s="35">
        <f ca="1">(((_xlfn.XLOOKUP(YEAR($B64),'Oferta Producto 1'!$B$8:$B$19,'Oferta Producto 1'!$E$8:$E$19))*$AD64)/$AB64)/24</f>
        <v>0</v>
      </c>
      <c r="X64" s="35">
        <f ca="1">(((_xlfn.XLOOKUP(YEAR($B64),'Oferta Producto 1'!$B$8:$B$19,'Oferta Producto 1'!$E$8:$E$19))*$AD64)/$AB64)/24</f>
        <v>0</v>
      </c>
      <c r="Y64" s="35">
        <f ca="1">(((_xlfn.XLOOKUP(YEAR($B64),'Oferta Producto 1'!$B$8:$B$19,'Oferta Producto 1'!$E$8:$E$19))*$AD64)/$AB64)/24</f>
        <v>0</v>
      </c>
      <c r="Z64" s="35">
        <f ca="1">(((_xlfn.XLOOKUP(YEAR($B64),'Oferta Producto 1'!$B$8:$B$19,'Oferta Producto 1'!$E$8:$E$19))*$AD64)/$AB64)/24</f>
        <v>0</v>
      </c>
      <c r="AA64" s="35">
        <f t="shared" ca="1" si="5"/>
        <v>0</v>
      </c>
      <c r="AB64" s="28">
        <f t="shared" si="2"/>
        <v>30</v>
      </c>
      <c r="AC64" s="42">
        <f t="shared" ca="1" si="3"/>
        <v>0</v>
      </c>
      <c r="AD64" s="43">
        <v>8.5889305812170275E-2</v>
      </c>
      <c r="AE64"/>
    </row>
    <row r="65" spans="1:31" ht="15.75" thickBot="1">
      <c r="A65" s="23">
        <f t="shared" si="0"/>
        <v>2030</v>
      </c>
      <c r="B65" s="27">
        <v>47818</v>
      </c>
      <c r="C65" s="35">
        <f ca="1">(((_xlfn.XLOOKUP(YEAR($B65),'Oferta Producto 1'!$B$8:$B$19,'Oferta Producto 1'!$E$8:$E$19))*$AD65)/$AB65)/24</f>
        <v>0</v>
      </c>
      <c r="D65" s="35">
        <f ca="1">(((_xlfn.XLOOKUP(YEAR($B65),'Oferta Producto 1'!$B$8:$B$19,'Oferta Producto 1'!$E$8:$E$19))*$AD65)/$AB65)/24</f>
        <v>0</v>
      </c>
      <c r="E65" s="35">
        <f ca="1">(((_xlfn.XLOOKUP(YEAR($B65),'Oferta Producto 1'!$B$8:$B$19,'Oferta Producto 1'!$E$8:$E$19))*$AD65)/$AB65)/24</f>
        <v>0</v>
      </c>
      <c r="F65" s="35">
        <f ca="1">(((_xlfn.XLOOKUP(YEAR($B65),'Oferta Producto 1'!$B$8:$B$19,'Oferta Producto 1'!$E$8:$E$19))*$AD65)/$AB65)/24</f>
        <v>0</v>
      </c>
      <c r="G65" s="35">
        <f ca="1">(((_xlfn.XLOOKUP(YEAR($B65),'Oferta Producto 1'!$B$8:$B$19,'Oferta Producto 1'!$E$8:$E$19))*$AD65)/$AB65)/24</f>
        <v>0</v>
      </c>
      <c r="H65" s="35">
        <f ca="1">(((_xlfn.XLOOKUP(YEAR($B65),'Oferta Producto 1'!$B$8:$B$19,'Oferta Producto 1'!$E$8:$E$19))*$AD65)/$AB65)/24</f>
        <v>0</v>
      </c>
      <c r="I65" s="35">
        <f ca="1">(((_xlfn.XLOOKUP(YEAR($B65),'Oferta Producto 1'!$B$8:$B$19,'Oferta Producto 1'!$E$8:$E$19))*$AD65)/$AB65)/24</f>
        <v>0</v>
      </c>
      <c r="J65" s="35">
        <f ca="1">(((_xlfn.XLOOKUP(YEAR($B65),'Oferta Producto 1'!$B$8:$B$19,'Oferta Producto 1'!$E$8:$E$19))*$AD65)/$AB65)/24</f>
        <v>0</v>
      </c>
      <c r="K65" s="35">
        <f ca="1">(((_xlfn.XLOOKUP(YEAR($B65),'Oferta Producto 1'!$B$8:$B$19,'Oferta Producto 1'!$E$8:$E$19))*$AD65)/$AB65)/24</f>
        <v>0</v>
      </c>
      <c r="L65" s="35">
        <f ca="1">(((_xlfn.XLOOKUP(YEAR($B65),'Oferta Producto 1'!$B$8:$B$19,'Oferta Producto 1'!$E$8:$E$19))*$AD65)/$AB65)/24</f>
        <v>0</v>
      </c>
      <c r="M65" s="35">
        <f ca="1">(((_xlfn.XLOOKUP(YEAR($B65),'Oferta Producto 1'!$B$8:$B$19,'Oferta Producto 1'!$E$8:$E$19))*$AD65)/$AB65)/24</f>
        <v>0</v>
      </c>
      <c r="N65" s="35">
        <f ca="1">(((_xlfn.XLOOKUP(YEAR($B65),'Oferta Producto 1'!$B$8:$B$19,'Oferta Producto 1'!$E$8:$E$19))*$AD65)/$AB65)/24</f>
        <v>0</v>
      </c>
      <c r="O65" s="35">
        <f ca="1">(((_xlfn.XLOOKUP(YEAR($B65),'Oferta Producto 1'!$B$8:$B$19,'Oferta Producto 1'!$E$8:$E$19))*$AD65)/$AB65)/24</f>
        <v>0</v>
      </c>
      <c r="P65" s="35">
        <f ca="1">(((_xlfn.XLOOKUP(YEAR($B65),'Oferta Producto 1'!$B$8:$B$19,'Oferta Producto 1'!$E$8:$E$19))*$AD65)/$AB65)/24</f>
        <v>0</v>
      </c>
      <c r="Q65" s="35">
        <f ca="1">(((_xlfn.XLOOKUP(YEAR($B65),'Oferta Producto 1'!$B$8:$B$19,'Oferta Producto 1'!$E$8:$E$19))*$AD65)/$AB65)/24</f>
        <v>0</v>
      </c>
      <c r="R65" s="35">
        <f ca="1">(((_xlfn.XLOOKUP(YEAR($B65),'Oferta Producto 1'!$B$8:$B$19,'Oferta Producto 1'!$E$8:$E$19))*$AD65)/$AB65)/24</f>
        <v>0</v>
      </c>
      <c r="S65" s="35">
        <f ca="1">(((_xlfn.XLOOKUP(YEAR($B65),'Oferta Producto 1'!$B$8:$B$19,'Oferta Producto 1'!$E$8:$E$19))*$AD65)/$AB65)/24</f>
        <v>0</v>
      </c>
      <c r="T65" s="35">
        <f ca="1">(((_xlfn.XLOOKUP(YEAR($B65),'Oferta Producto 1'!$B$8:$B$19,'Oferta Producto 1'!$E$8:$E$19))*$AD65)/$AB65)/24</f>
        <v>0</v>
      </c>
      <c r="U65" s="35">
        <f ca="1">(((_xlfn.XLOOKUP(YEAR($B65),'Oferta Producto 1'!$B$8:$B$19,'Oferta Producto 1'!$E$8:$E$19))*$AD65)/$AB65)/24</f>
        <v>0</v>
      </c>
      <c r="V65" s="35">
        <f ca="1">(((_xlfn.XLOOKUP(YEAR($B65),'Oferta Producto 1'!$B$8:$B$19,'Oferta Producto 1'!$E$8:$E$19))*$AD65)/$AB65)/24</f>
        <v>0</v>
      </c>
      <c r="W65" s="35">
        <f ca="1">(((_xlfn.XLOOKUP(YEAR($B65),'Oferta Producto 1'!$B$8:$B$19,'Oferta Producto 1'!$E$8:$E$19))*$AD65)/$AB65)/24</f>
        <v>0</v>
      </c>
      <c r="X65" s="35">
        <f ca="1">(((_xlfn.XLOOKUP(YEAR($B65),'Oferta Producto 1'!$B$8:$B$19,'Oferta Producto 1'!$E$8:$E$19))*$AD65)/$AB65)/24</f>
        <v>0</v>
      </c>
      <c r="Y65" s="35">
        <f ca="1">(((_xlfn.XLOOKUP(YEAR($B65),'Oferta Producto 1'!$B$8:$B$19,'Oferta Producto 1'!$E$8:$E$19))*$AD65)/$AB65)/24</f>
        <v>0</v>
      </c>
      <c r="Z65" s="35">
        <f ca="1">(((_xlfn.XLOOKUP(YEAR($B65),'Oferta Producto 1'!$B$8:$B$19,'Oferta Producto 1'!$E$8:$E$19))*$AD65)/$AB65)/24</f>
        <v>0</v>
      </c>
      <c r="AA65" s="35">
        <f t="shared" ca="1" si="5"/>
        <v>0</v>
      </c>
      <c r="AB65" s="28">
        <f t="shared" si="2"/>
        <v>31</v>
      </c>
      <c r="AC65" s="42">
        <f t="shared" ca="1" si="3"/>
        <v>0</v>
      </c>
      <c r="AD65" s="43">
        <v>7.9754971862961654E-2</v>
      </c>
      <c r="AE65"/>
    </row>
    <row r="66" spans="1:31" ht="15.75" thickBot="1">
      <c r="A66" s="23">
        <f t="shared" si="0"/>
        <v>2031</v>
      </c>
      <c r="B66" s="27">
        <v>47849</v>
      </c>
      <c r="C66" s="35">
        <f ca="1">(((_xlfn.XLOOKUP(YEAR($B66),'Oferta Producto 1'!$B$8:$B$19,'Oferta Producto 1'!$E$8:$E$19))*$AD66)/$AB66)/24</f>
        <v>0</v>
      </c>
      <c r="D66" s="35">
        <f ca="1">(((_xlfn.XLOOKUP(YEAR($B66),'Oferta Producto 1'!$B$8:$B$19,'Oferta Producto 1'!$E$8:$E$19))*$AD66)/$AB66)/24</f>
        <v>0</v>
      </c>
      <c r="E66" s="35">
        <f ca="1">(((_xlfn.XLOOKUP(YEAR($B66),'Oferta Producto 1'!$B$8:$B$19,'Oferta Producto 1'!$E$8:$E$19))*$AD66)/$AB66)/24</f>
        <v>0</v>
      </c>
      <c r="F66" s="35">
        <f ca="1">(((_xlfn.XLOOKUP(YEAR($B66),'Oferta Producto 1'!$B$8:$B$19,'Oferta Producto 1'!$E$8:$E$19))*$AD66)/$AB66)/24</f>
        <v>0</v>
      </c>
      <c r="G66" s="35">
        <f ca="1">(((_xlfn.XLOOKUP(YEAR($B66),'Oferta Producto 1'!$B$8:$B$19,'Oferta Producto 1'!$E$8:$E$19))*$AD66)/$AB66)/24</f>
        <v>0</v>
      </c>
      <c r="H66" s="35">
        <f ca="1">(((_xlfn.XLOOKUP(YEAR($B66),'Oferta Producto 1'!$B$8:$B$19,'Oferta Producto 1'!$E$8:$E$19))*$AD66)/$AB66)/24</f>
        <v>0</v>
      </c>
      <c r="I66" s="35">
        <f ca="1">(((_xlfn.XLOOKUP(YEAR($B66),'Oferta Producto 1'!$B$8:$B$19,'Oferta Producto 1'!$E$8:$E$19))*$AD66)/$AB66)/24</f>
        <v>0</v>
      </c>
      <c r="J66" s="35">
        <f ca="1">(((_xlfn.XLOOKUP(YEAR($B66),'Oferta Producto 1'!$B$8:$B$19,'Oferta Producto 1'!$E$8:$E$19))*$AD66)/$AB66)/24</f>
        <v>0</v>
      </c>
      <c r="K66" s="35">
        <f ca="1">(((_xlfn.XLOOKUP(YEAR($B66),'Oferta Producto 1'!$B$8:$B$19,'Oferta Producto 1'!$E$8:$E$19))*$AD66)/$AB66)/24</f>
        <v>0</v>
      </c>
      <c r="L66" s="35">
        <f ca="1">(((_xlfn.XLOOKUP(YEAR($B66),'Oferta Producto 1'!$B$8:$B$19,'Oferta Producto 1'!$E$8:$E$19))*$AD66)/$AB66)/24</f>
        <v>0</v>
      </c>
      <c r="M66" s="35">
        <f ca="1">(((_xlfn.XLOOKUP(YEAR($B66),'Oferta Producto 1'!$B$8:$B$19,'Oferta Producto 1'!$E$8:$E$19))*$AD66)/$AB66)/24</f>
        <v>0</v>
      </c>
      <c r="N66" s="35">
        <f ca="1">(((_xlfn.XLOOKUP(YEAR($B66),'Oferta Producto 1'!$B$8:$B$19,'Oferta Producto 1'!$E$8:$E$19))*$AD66)/$AB66)/24</f>
        <v>0</v>
      </c>
      <c r="O66" s="35">
        <f ca="1">(((_xlfn.XLOOKUP(YEAR($B66),'Oferta Producto 1'!$B$8:$B$19,'Oferta Producto 1'!$E$8:$E$19))*$AD66)/$AB66)/24</f>
        <v>0</v>
      </c>
      <c r="P66" s="35">
        <f ca="1">(((_xlfn.XLOOKUP(YEAR($B66),'Oferta Producto 1'!$B$8:$B$19,'Oferta Producto 1'!$E$8:$E$19))*$AD66)/$AB66)/24</f>
        <v>0</v>
      </c>
      <c r="Q66" s="35">
        <f ca="1">(((_xlfn.XLOOKUP(YEAR($B66),'Oferta Producto 1'!$B$8:$B$19,'Oferta Producto 1'!$E$8:$E$19))*$AD66)/$AB66)/24</f>
        <v>0</v>
      </c>
      <c r="R66" s="35">
        <f ca="1">(((_xlfn.XLOOKUP(YEAR($B66),'Oferta Producto 1'!$B$8:$B$19,'Oferta Producto 1'!$E$8:$E$19))*$AD66)/$AB66)/24</f>
        <v>0</v>
      </c>
      <c r="S66" s="35">
        <f ca="1">(((_xlfn.XLOOKUP(YEAR($B66),'Oferta Producto 1'!$B$8:$B$19,'Oferta Producto 1'!$E$8:$E$19))*$AD66)/$AB66)/24</f>
        <v>0</v>
      </c>
      <c r="T66" s="35">
        <f ca="1">(((_xlfn.XLOOKUP(YEAR($B66),'Oferta Producto 1'!$B$8:$B$19,'Oferta Producto 1'!$E$8:$E$19))*$AD66)/$AB66)/24</f>
        <v>0</v>
      </c>
      <c r="U66" s="35">
        <f ca="1">(((_xlfn.XLOOKUP(YEAR($B66),'Oferta Producto 1'!$B$8:$B$19,'Oferta Producto 1'!$E$8:$E$19))*$AD66)/$AB66)/24</f>
        <v>0</v>
      </c>
      <c r="V66" s="35">
        <f ca="1">(((_xlfn.XLOOKUP(YEAR($B66),'Oferta Producto 1'!$B$8:$B$19,'Oferta Producto 1'!$E$8:$E$19))*$AD66)/$AB66)/24</f>
        <v>0</v>
      </c>
      <c r="W66" s="35">
        <f ca="1">(((_xlfn.XLOOKUP(YEAR($B66),'Oferta Producto 1'!$B$8:$B$19,'Oferta Producto 1'!$E$8:$E$19))*$AD66)/$AB66)/24</f>
        <v>0</v>
      </c>
      <c r="X66" s="35">
        <f ca="1">(((_xlfn.XLOOKUP(YEAR($B66),'Oferta Producto 1'!$B$8:$B$19,'Oferta Producto 1'!$E$8:$E$19))*$AD66)/$AB66)/24</f>
        <v>0</v>
      </c>
      <c r="Y66" s="35">
        <f ca="1">(((_xlfn.XLOOKUP(YEAR($B66),'Oferta Producto 1'!$B$8:$B$19,'Oferta Producto 1'!$E$8:$E$19))*$AD66)/$AB66)/24</f>
        <v>0</v>
      </c>
      <c r="Z66" s="35">
        <f ca="1">(((_xlfn.XLOOKUP(YEAR($B66),'Oferta Producto 1'!$B$8:$B$19,'Oferta Producto 1'!$E$8:$E$19))*$AD66)/$AB66)/24</f>
        <v>0</v>
      </c>
      <c r="AA66" s="35">
        <f t="shared" ca="1" si="5"/>
        <v>0</v>
      </c>
      <c r="AB66" s="28">
        <f t="shared" si="2"/>
        <v>31</v>
      </c>
      <c r="AC66" s="42">
        <f t="shared" ca="1" si="3"/>
        <v>0</v>
      </c>
      <c r="AD66" s="43">
        <v>7.9754971862961654E-2</v>
      </c>
      <c r="AE66"/>
    </row>
    <row r="67" spans="1:31" ht="15.75" thickBot="1">
      <c r="A67" s="23">
        <f t="shared" si="0"/>
        <v>2031</v>
      </c>
      <c r="B67" s="27">
        <v>47880</v>
      </c>
      <c r="C67" s="35">
        <f ca="1">(((_xlfn.XLOOKUP(YEAR($B67),'Oferta Producto 1'!$B$8:$B$19,'Oferta Producto 1'!$E$8:$E$19))*$AD67)/$AB67)/24</f>
        <v>0</v>
      </c>
      <c r="D67" s="35">
        <f ca="1">(((_xlfn.XLOOKUP(YEAR($B67),'Oferta Producto 1'!$B$8:$B$19,'Oferta Producto 1'!$E$8:$E$19))*$AD67)/$AB67)/24</f>
        <v>0</v>
      </c>
      <c r="E67" s="35">
        <f ca="1">(((_xlfn.XLOOKUP(YEAR($B67),'Oferta Producto 1'!$B$8:$B$19,'Oferta Producto 1'!$E$8:$E$19))*$AD67)/$AB67)/24</f>
        <v>0</v>
      </c>
      <c r="F67" s="35">
        <f ca="1">(((_xlfn.XLOOKUP(YEAR($B67),'Oferta Producto 1'!$B$8:$B$19,'Oferta Producto 1'!$E$8:$E$19))*$AD67)/$AB67)/24</f>
        <v>0</v>
      </c>
      <c r="G67" s="35">
        <f ca="1">(((_xlfn.XLOOKUP(YEAR($B67),'Oferta Producto 1'!$B$8:$B$19,'Oferta Producto 1'!$E$8:$E$19))*$AD67)/$AB67)/24</f>
        <v>0</v>
      </c>
      <c r="H67" s="35">
        <f ca="1">(((_xlfn.XLOOKUP(YEAR($B67),'Oferta Producto 1'!$B$8:$B$19,'Oferta Producto 1'!$E$8:$E$19))*$AD67)/$AB67)/24</f>
        <v>0</v>
      </c>
      <c r="I67" s="35">
        <f ca="1">(((_xlfn.XLOOKUP(YEAR($B67),'Oferta Producto 1'!$B$8:$B$19,'Oferta Producto 1'!$E$8:$E$19))*$AD67)/$AB67)/24</f>
        <v>0</v>
      </c>
      <c r="J67" s="35">
        <f ca="1">(((_xlfn.XLOOKUP(YEAR($B67),'Oferta Producto 1'!$B$8:$B$19,'Oferta Producto 1'!$E$8:$E$19))*$AD67)/$AB67)/24</f>
        <v>0</v>
      </c>
      <c r="K67" s="35">
        <f ca="1">(((_xlfn.XLOOKUP(YEAR($B67),'Oferta Producto 1'!$B$8:$B$19,'Oferta Producto 1'!$E$8:$E$19))*$AD67)/$AB67)/24</f>
        <v>0</v>
      </c>
      <c r="L67" s="35">
        <f ca="1">(((_xlfn.XLOOKUP(YEAR($B67),'Oferta Producto 1'!$B$8:$B$19,'Oferta Producto 1'!$E$8:$E$19))*$AD67)/$AB67)/24</f>
        <v>0</v>
      </c>
      <c r="M67" s="35">
        <f ca="1">(((_xlfn.XLOOKUP(YEAR($B67),'Oferta Producto 1'!$B$8:$B$19,'Oferta Producto 1'!$E$8:$E$19))*$AD67)/$AB67)/24</f>
        <v>0</v>
      </c>
      <c r="N67" s="35">
        <f ca="1">(((_xlfn.XLOOKUP(YEAR($B67),'Oferta Producto 1'!$B$8:$B$19,'Oferta Producto 1'!$E$8:$E$19))*$AD67)/$AB67)/24</f>
        <v>0</v>
      </c>
      <c r="O67" s="35">
        <f ca="1">(((_xlfn.XLOOKUP(YEAR($B67),'Oferta Producto 1'!$B$8:$B$19,'Oferta Producto 1'!$E$8:$E$19))*$AD67)/$AB67)/24</f>
        <v>0</v>
      </c>
      <c r="P67" s="35">
        <f ca="1">(((_xlfn.XLOOKUP(YEAR($B67),'Oferta Producto 1'!$B$8:$B$19,'Oferta Producto 1'!$E$8:$E$19))*$AD67)/$AB67)/24</f>
        <v>0</v>
      </c>
      <c r="Q67" s="35">
        <f ca="1">(((_xlfn.XLOOKUP(YEAR($B67),'Oferta Producto 1'!$B$8:$B$19,'Oferta Producto 1'!$E$8:$E$19))*$AD67)/$AB67)/24</f>
        <v>0</v>
      </c>
      <c r="R67" s="35">
        <f ca="1">(((_xlfn.XLOOKUP(YEAR($B67),'Oferta Producto 1'!$B$8:$B$19,'Oferta Producto 1'!$E$8:$E$19))*$AD67)/$AB67)/24</f>
        <v>0</v>
      </c>
      <c r="S67" s="35">
        <f ca="1">(((_xlfn.XLOOKUP(YEAR($B67),'Oferta Producto 1'!$B$8:$B$19,'Oferta Producto 1'!$E$8:$E$19))*$AD67)/$AB67)/24</f>
        <v>0</v>
      </c>
      <c r="T67" s="35">
        <f ca="1">(((_xlfn.XLOOKUP(YEAR($B67),'Oferta Producto 1'!$B$8:$B$19,'Oferta Producto 1'!$E$8:$E$19))*$AD67)/$AB67)/24</f>
        <v>0</v>
      </c>
      <c r="U67" s="35">
        <f ca="1">(((_xlfn.XLOOKUP(YEAR($B67),'Oferta Producto 1'!$B$8:$B$19,'Oferta Producto 1'!$E$8:$E$19))*$AD67)/$AB67)/24</f>
        <v>0</v>
      </c>
      <c r="V67" s="35">
        <f ca="1">(((_xlfn.XLOOKUP(YEAR($B67),'Oferta Producto 1'!$B$8:$B$19,'Oferta Producto 1'!$E$8:$E$19))*$AD67)/$AB67)/24</f>
        <v>0</v>
      </c>
      <c r="W67" s="35">
        <f ca="1">(((_xlfn.XLOOKUP(YEAR($B67),'Oferta Producto 1'!$B$8:$B$19,'Oferta Producto 1'!$E$8:$E$19))*$AD67)/$AB67)/24</f>
        <v>0</v>
      </c>
      <c r="X67" s="35">
        <f ca="1">(((_xlfn.XLOOKUP(YEAR($B67),'Oferta Producto 1'!$B$8:$B$19,'Oferta Producto 1'!$E$8:$E$19))*$AD67)/$AB67)/24</f>
        <v>0</v>
      </c>
      <c r="Y67" s="35">
        <f ca="1">(((_xlfn.XLOOKUP(YEAR($B67),'Oferta Producto 1'!$B$8:$B$19,'Oferta Producto 1'!$E$8:$E$19))*$AD67)/$AB67)/24</f>
        <v>0</v>
      </c>
      <c r="Z67" s="35">
        <f ca="1">(((_xlfn.XLOOKUP(YEAR($B67),'Oferta Producto 1'!$B$8:$B$19,'Oferta Producto 1'!$E$8:$E$19))*$AD67)/$AB67)/24</f>
        <v>0</v>
      </c>
      <c r="AA67" s="35">
        <f t="shared" ca="1" si="5"/>
        <v>0</v>
      </c>
      <c r="AB67" s="28">
        <f t="shared" si="2"/>
        <v>28</v>
      </c>
      <c r="AC67" s="42">
        <f t="shared" ca="1" si="3"/>
        <v>0</v>
      </c>
      <c r="AD67" s="43">
        <v>9.8157973710587432E-2</v>
      </c>
      <c r="AE67"/>
    </row>
    <row r="68" spans="1:31" ht="15.75" thickBot="1">
      <c r="A68" s="23">
        <f t="shared" si="0"/>
        <v>2031</v>
      </c>
      <c r="B68" s="27">
        <v>47908</v>
      </c>
      <c r="C68" s="35">
        <f ca="1">(((_xlfn.XLOOKUP(YEAR($B68),'Oferta Producto 1'!$B$8:$B$19,'Oferta Producto 1'!$E$8:$E$19))*$AD68)/$AB68)/24</f>
        <v>0</v>
      </c>
      <c r="D68" s="35">
        <f ca="1">(((_xlfn.XLOOKUP(YEAR($B68),'Oferta Producto 1'!$B$8:$B$19,'Oferta Producto 1'!$E$8:$E$19))*$AD68)/$AB68)/24</f>
        <v>0</v>
      </c>
      <c r="E68" s="35">
        <f ca="1">(((_xlfn.XLOOKUP(YEAR($B68),'Oferta Producto 1'!$B$8:$B$19,'Oferta Producto 1'!$E$8:$E$19))*$AD68)/$AB68)/24</f>
        <v>0</v>
      </c>
      <c r="F68" s="35">
        <f ca="1">(((_xlfn.XLOOKUP(YEAR($B68),'Oferta Producto 1'!$B$8:$B$19,'Oferta Producto 1'!$E$8:$E$19))*$AD68)/$AB68)/24</f>
        <v>0</v>
      </c>
      <c r="G68" s="35">
        <f ca="1">(((_xlfn.XLOOKUP(YEAR($B68),'Oferta Producto 1'!$B$8:$B$19,'Oferta Producto 1'!$E$8:$E$19))*$AD68)/$AB68)/24</f>
        <v>0</v>
      </c>
      <c r="H68" s="35">
        <f ca="1">(((_xlfn.XLOOKUP(YEAR($B68),'Oferta Producto 1'!$B$8:$B$19,'Oferta Producto 1'!$E$8:$E$19))*$AD68)/$AB68)/24</f>
        <v>0</v>
      </c>
      <c r="I68" s="35">
        <f ca="1">(((_xlfn.XLOOKUP(YEAR($B68),'Oferta Producto 1'!$B$8:$B$19,'Oferta Producto 1'!$E$8:$E$19))*$AD68)/$AB68)/24</f>
        <v>0</v>
      </c>
      <c r="J68" s="35">
        <f ca="1">(((_xlfn.XLOOKUP(YEAR($B68),'Oferta Producto 1'!$B$8:$B$19,'Oferta Producto 1'!$E$8:$E$19))*$AD68)/$AB68)/24</f>
        <v>0</v>
      </c>
      <c r="K68" s="35">
        <f ca="1">(((_xlfn.XLOOKUP(YEAR($B68),'Oferta Producto 1'!$B$8:$B$19,'Oferta Producto 1'!$E$8:$E$19))*$AD68)/$AB68)/24</f>
        <v>0</v>
      </c>
      <c r="L68" s="35">
        <f ca="1">(((_xlfn.XLOOKUP(YEAR($B68),'Oferta Producto 1'!$B$8:$B$19,'Oferta Producto 1'!$E$8:$E$19))*$AD68)/$AB68)/24</f>
        <v>0</v>
      </c>
      <c r="M68" s="35">
        <f ca="1">(((_xlfn.XLOOKUP(YEAR($B68),'Oferta Producto 1'!$B$8:$B$19,'Oferta Producto 1'!$E$8:$E$19))*$AD68)/$AB68)/24</f>
        <v>0</v>
      </c>
      <c r="N68" s="35">
        <f ca="1">(((_xlfn.XLOOKUP(YEAR($B68),'Oferta Producto 1'!$B$8:$B$19,'Oferta Producto 1'!$E$8:$E$19))*$AD68)/$AB68)/24</f>
        <v>0</v>
      </c>
      <c r="O68" s="35">
        <f ca="1">(((_xlfn.XLOOKUP(YEAR($B68),'Oferta Producto 1'!$B$8:$B$19,'Oferta Producto 1'!$E$8:$E$19))*$AD68)/$AB68)/24</f>
        <v>0</v>
      </c>
      <c r="P68" s="35">
        <f ca="1">(((_xlfn.XLOOKUP(YEAR($B68),'Oferta Producto 1'!$B$8:$B$19,'Oferta Producto 1'!$E$8:$E$19))*$AD68)/$AB68)/24</f>
        <v>0</v>
      </c>
      <c r="Q68" s="35">
        <f ca="1">(((_xlfn.XLOOKUP(YEAR($B68),'Oferta Producto 1'!$B$8:$B$19,'Oferta Producto 1'!$E$8:$E$19))*$AD68)/$AB68)/24</f>
        <v>0</v>
      </c>
      <c r="R68" s="35">
        <f ca="1">(((_xlfn.XLOOKUP(YEAR($B68),'Oferta Producto 1'!$B$8:$B$19,'Oferta Producto 1'!$E$8:$E$19))*$AD68)/$AB68)/24</f>
        <v>0</v>
      </c>
      <c r="S68" s="35">
        <f ca="1">(((_xlfn.XLOOKUP(YEAR($B68),'Oferta Producto 1'!$B$8:$B$19,'Oferta Producto 1'!$E$8:$E$19))*$AD68)/$AB68)/24</f>
        <v>0</v>
      </c>
      <c r="T68" s="35">
        <f ca="1">(((_xlfn.XLOOKUP(YEAR($B68),'Oferta Producto 1'!$B$8:$B$19,'Oferta Producto 1'!$E$8:$E$19))*$AD68)/$AB68)/24</f>
        <v>0</v>
      </c>
      <c r="U68" s="35">
        <f ca="1">(((_xlfn.XLOOKUP(YEAR($B68),'Oferta Producto 1'!$B$8:$B$19,'Oferta Producto 1'!$E$8:$E$19))*$AD68)/$AB68)/24</f>
        <v>0</v>
      </c>
      <c r="V68" s="35">
        <f ca="1">(((_xlfn.XLOOKUP(YEAR($B68),'Oferta Producto 1'!$B$8:$B$19,'Oferta Producto 1'!$E$8:$E$19))*$AD68)/$AB68)/24</f>
        <v>0</v>
      </c>
      <c r="W68" s="35">
        <f ca="1">(((_xlfn.XLOOKUP(YEAR($B68),'Oferta Producto 1'!$B$8:$B$19,'Oferta Producto 1'!$E$8:$E$19))*$AD68)/$AB68)/24</f>
        <v>0</v>
      </c>
      <c r="X68" s="35">
        <f ca="1">(((_xlfn.XLOOKUP(YEAR($B68),'Oferta Producto 1'!$B$8:$B$19,'Oferta Producto 1'!$E$8:$E$19))*$AD68)/$AB68)/24</f>
        <v>0</v>
      </c>
      <c r="Y68" s="35">
        <f ca="1">(((_xlfn.XLOOKUP(YEAR($B68),'Oferta Producto 1'!$B$8:$B$19,'Oferta Producto 1'!$E$8:$E$19))*$AD68)/$AB68)/24</f>
        <v>0</v>
      </c>
      <c r="Z68" s="35">
        <f ca="1">(((_xlfn.XLOOKUP(YEAR($B68),'Oferta Producto 1'!$B$8:$B$19,'Oferta Producto 1'!$E$8:$E$19))*$AD68)/$AB68)/24</f>
        <v>0</v>
      </c>
      <c r="AA68" s="35">
        <f t="shared" ca="1" si="5"/>
        <v>0</v>
      </c>
      <c r="AB68" s="28">
        <f t="shared" si="2"/>
        <v>31</v>
      </c>
      <c r="AC68" s="42">
        <f t="shared" ca="1" si="3"/>
        <v>0</v>
      </c>
      <c r="AD68" s="43">
        <v>7.9754971862961654E-2</v>
      </c>
      <c r="AE68"/>
    </row>
    <row r="69" spans="1:31" ht="15.75" thickBot="1">
      <c r="A69" s="23">
        <f t="shared" si="0"/>
        <v>2031</v>
      </c>
      <c r="B69" s="27">
        <v>47939</v>
      </c>
      <c r="C69" s="35">
        <f ca="1">(((_xlfn.XLOOKUP(YEAR($B69),'Oferta Producto 1'!$B$8:$B$19,'Oferta Producto 1'!$E$8:$E$19))*$AD69)/$AB69)/24</f>
        <v>0</v>
      </c>
      <c r="D69" s="35">
        <f ca="1">(((_xlfn.XLOOKUP(YEAR($B69),'Oferta Producto 1'!$B$8:$B$19,'Oferta Producto 1'!$E$8:$E$19))*$AD69)/$AB69)/24</f>
        <v>0</v>
      </c>
      <c r="E69" s="35">
        <f ca="1">(((_xlfn.XLOOKUP(YEAR($B69),'Oferta Producto 1'!$B$8:$B$19,'Oferta Producto 1'!$E$8:$E$19))*$AD69)/$AB69)/24</f>
        <v>0</v>
      </c>
      <c r="F69" s="35">
        <f ca="1">(((_xlfn.XLOOKUP(YEAR($B69),'Oferta Producto 1'!$B$8:$B$19,'Oferta Producto 1'!$E$8:$E$19))*$AD69)/$AB69)/24</f>
        <v>0</v>
      </c>
      <c r="G69" s="35">
        <f ca="1">(((_xlfn.XLOOKUP(YEAR($B69),'Oferta Producto 1'!$B$8:$B$19,'Oferta Producto 1'!$E$8:$E$19))*$AD69)/$AB69)/24</f>
        <v>0</v>
      </c>
      <c r="H69" s="35">
        <f ca="1">(((_xlfn.XLOOKUP(YEAR($B69),'Oferta Producto 1'!$B$8:$B$19,'Oferta Producto 1'!$E$8:$E$19))*$AD69)/$AB69)/24</f>
        <v>0</v>
      </c>
      <c r="I69" s="35">
        <f ca="1">(((_xlfn.XLOOKUP(YEAR($B69),'Oferta Producto 1'!$B$8:$B$19,'Oferta Producto 1'!$E$8:$E$19))*$AD69)/$AB69)/24</f>
        <v>0</v>
      </c>
      <c r="J69" s="35">
        <f ca="1">(((_xlfn.XLOOKUP(YEAR($B69),'Oferta Producto 1'!$B$8:$B$19,'Oferta Producto 1'!$E$8:$E$19))*$AD69)/$AB69)/24</f>
        <v>0</v>
      </c>
      <c r="K69" s="35">
        <f ca="1">(((_xlfn.XLOOKUP(YEAR($B69),'Oferta Producto 1'!$B$8:$B$19,'Oferta Producto 1'!$E$8:$E$19))*$AD69)/$AB69)/24</f>
        <v>0</v>
      </c>
      <c r="L69" s="35">
        <f ca="1">(((_xlfn.XLOOKUP(YEAR($B69),'Oferta Producto 1'!$B$8:$B$19,'Oferta Producto 1'!$E$8:$E$19))*$AD69)/$AB69)/24</f>
        <v>0</v>
      </c>
      <c r="M69" s="35">
        <f ca="1">(((_xlfn.XLOOKUP(YEAR($B69),'Oferta Producto 1'!$B$8:$B$19,'Oferta Producto 1'!$E$8:$E$19))*$AD69)/$AB69)/24</f>
        <v>0</v>
      </c>
      <c r="N69" s="35">
        <f ca="1">(((_xlfn.XLOOKUP(YEAR($B69),'Oferta Producto 1'!$B$8:$B$19,'Oferta Producto 1'!$E$8:$E$19))*$AD69)/$AB69)/24</f>
        <v>0</v>
      </c>
      <c r="O69" s="35">
        <f ca="1">(((_xlfn.XLOOKUP(YEAR($B69),'Oferta Producto 1'!$B$8:$B$19,'Oferta Producto 1'!$E$8:$E$19))*$AD69)/$AB69)/24</f>
        <v>0</v>
      </c>
      <c r="P69" s="35">
        <f ca="1">(((_xlfn.XLOOKUP(YEAR($B69),'Oferta Producto 1'!$B$8:$B$19,'Oferta Producto 1'!$E$8:$E$19))*$AD69)/$AB69)/24</f>
        <v>0</v>
      </c>
      <c r="Q69" s="35">
        <f ca="1">(((_xlfn.XLOOKUP(YEAR($B69),'Oferta Producto 1'!$B$8:$B$19,'Oferta Producto 1'!$E$8:$E$19))*$AD69)/$AB69)/24</f>
        <v>0</v>
      </c>
      <c r="R69" s="35">
        <f ca="1">(((_xlfn.XLOOKUP(YEAR($B69),'Oferta Producto 1'!$B$8:$B$19,'Oferta Producto 1'!$E$8:$E$19))*$AD69)/$AB69)/24</f>
        <v>0</v>
      </c>
      <c r="S69" s="35">
        <f ca="1">(((_xlfn.XLOOKUP(YEAR($B69),'Oferta Producto 1'!$B$8:$B$19,'Oferta Producto 1'!$E$8:$E$19))*$AD69)/$AB69)/24</f>
        <v>0</v>
      </c>
      <c r="T69" s="35">
        <f ca="1">(((_xlfn.XLOOKUP(YEAR($B69),'Oferta Producto 1'!$B$8:$B$19,'Oferta Producto 1'!$E$8:$E$19))*$AD69)/$AB69)/24</f>
        <v>0</v>
      </c>
      <c r="U69" s="35">
        <f ca="1">(((_xlfn.XLOOKUP(YEAR($B69),'Oferta Producto 1'!$B$8:$B$19,'Oferta Producto 1'!$E$8:$E$19))*$AD69)/$AB69)/24</f>
        <v>0</v>
      </c>
      <c r="V69" s="35">
        <f ca="1">(((_xlfn.XLOOKUP(YEAR($B69),'Oferta Producto 1'!$B$8:$B$19,'Oferta Producto 1'!$E$8:$E$19))*$AD69)/$AB69)/24</f>
        <v>0</v>
      </c>
      <c r="W69" s="35">
        <f ca="1">(((_xlfn.XLOOKUP(YEAR($B69),'Oferta Producto 1'!$B$8:$B$19,'Oferta Producto 1'!$E$8:$E$19))*$AD69)/$AB69)/24</f>
        <v>0</v>
      </c>
      <c r="X69" s="35">
        <f ca="1">(((_xlfn.XLOOKUP(YEAR($B69),'Oferta Producto 1'!$B$8:$B$19,'Oferta Producto 1'!$E$8:$E$19))*$AD69)/$AB69)/24</f>
        <v>0</v>
      </c>
      <c r="Y69" s="35">
        <f ca="1">(((_xlfn.XLOOKUP(YEAR($B69),'Oferta Producto 1'!$B$8:$B$19,'Oferta Producto 1'!$E$8:$E$19))*$AD69)/$AB69)/24</f>
        <v>0</v>
      </c>
      <c r="Z69" s="35">
        <f ca="1">(((_xlfn.XLOOKUP(YEAR($B69),'Oferta Producto 1'!$B$8:$B$19,'Oferta Producto 1'!$E$8:$E$19))*$AD69)/$AB69)/24</f>
        <v>0</v>
      </c>
      <c r="AA69" s="35">
        <f t="shared" ca="1" si="5"/>
        <v>0</v>
      </c>
      <c r="AB69" s="28">
        <f t="shared" si="2"/>
        <v>30</v>
      </c>
      <c r="AC69" s="42">
        <f t="shared" ca="1" si="3"/>
        <v>0</v>
      </c>
      <c r="AD69" s="43">
        <v>8.5889305812170275E-2</v>
      </c>
      <c r="AE69"/>
    </row>
    <row r="70" spans="1:31" ht="15.75" thickBot="1">
      <c r="A70" s="23">
        <f t="shared" si="0"/>
        <v>2031</v>
      </c>
      <c r="B70" s="27">
        <v>47969</v>
      </c>
      <c r="C70" s="35">
        <f ca="1">(((_xlfn.XLOOKUP(YEAR($B70),'Oferta Producto 1'!$B$8:$B$19,'Oferta Producto 1'!$E$8:$E$19))*$AD70)/$AB70)/24</f>
        <v>0</v>
      </c>
      <c r="D70" s="35">
        <f ca="1">(((_xlfn.XLOOKUP(YEAR($B70),'Oferta Producto 1'!$B$8:$B$19,'Oferta Producto 1'!$E$8:$E$19))*$AD70)/$AB70)/24</f>
        <v>0</v>
      </c>
      <c r="E70" s="35">
        <f ca="1">(((_xlfn.XLOOKUP(YEAR($B70),'Oferta Producto 1'!$B$8:$B$19,'Oferta Producto 1'!$E$8:$E$19))*$AD70)/$AB70)/24</f>
        <v>0</v>
      </c>
      <c r="F70" s="35">
        <f ca="1">(((_xlfn.XLOOKUP(YEAR($B70),'Oferta Producto 1'!$B$8:$B$19,'Oferta Producto 1'!$E$8:$E$19))*$AD70)/$AB70)/24</f>
        <v>0</v>
      </c>
      <c r="G70" s="35">
        <f ca="1">(((_xlfn.XLOOKUP(YEAR($B70),'Oferta Producto 1'!$B$8:$B$19,'Oferta Producto 1'!$E$8:$E$19))*$AD70)/$AB70)/24</f>
        <v>0</v>
      </c>
      <c r="H70" s="35">
        <f ca="1">(((_xlfn.XLOOKUP(YEAR($B70),'Oferta Producto 1'!$B$8:$B$19,'Oferta Producto 1'!$E$8:$E$19))*$AD70)/$AB70)/24</f>
        <v>0</v>
      </c>
      <c r="I70" s="35">
        <f ca="1">(((_xlfn.XLOOKUP(YEAR($B70),'Oferta Producto 1'!$B$8:$B$19,'Oferta Producto 1'!$E$8:$E$19))*$AD70)/$AB70)/24</f>
        <v>0</v>
      </c>
      <c r="J70" s="35">
        <f ca="1">(((_xlfn.XLOOKUP(YEAR($B70),'Oferta Producto 1'!$B$8:$B$19,'Oferta Producto 1'!$E$8:$E$19))*$AD70)/$AB70)/24</f>
        <v>0</v>
      </c>
      <c r="K70" s="35">
        <f ca="1">(((_xlfn.XLOOKUP(YEAR($B70),'Oferta Producto 1'!$B$8:$B$19,'Oferta Producto 1'!$E$8:$E$19))*$AD70)/$AB70)/24</f>
        <v>0</v>
      </c>
      <c r="L70" s="35">
        <f ca="1">(((_xlfn.XLOOKUP(YEAR($B70),'Oferta Producto 1'!$B$8:$B$19,'Oferta Producto 1'!$E$8:$E$19))*$AD70)/$AB70)/24</f>
        <v>0</v>
      </c>
      <c r="M70" s="35">
        <f ca="1">(((_xlfn.XLOOKUP(YEAR($B70),'Oferta Producto 1'!$B$8:$B$19,'Oferta Producto 1'!$E$8:$E$19))*$AD70)/$AB70)/24</f>
        <v>0</v>
      </c>
      <c r="N70" s="35">
        <f ca="1">(((_xlfn.XLOOKUP(YEAR($B70),'Oferta Producto 1'!$B$8:$B$19,'Oferta Producto 1'!$E$8:$E$19))*$AD70)/$AB70)/24</f>
        <v>0</v>
      </c>
      <c r="O70" s="35">
        <f ca="1">(((_xlfn.XLOOKUP(YEAR($B70),'Oferta Producto 1'!$B$8:$B$19,'Oferta Producto 1'!$E$8:$E$19))*$AD70)/$AB70)/24</f>
        <v>0</v>
      </c>
      <c r="P70" s="35">
        <f ca="1">(((_xlfn.XLOOKUP(YEAR($B70),'Oferta Producto 1'!$B$8:$B$19,'Oferta Producto 1'!$E$8:$E$19))*$AD70)/$AB70)/24</f>
        <v>0</v>
      </c>
      <c r="Q70" s="35">
        <f ca="1">(((_xlfn.XLOOKUP(YEAR($B70),'Oferta Producto 1'!$B$8:$B$19,'Oferta Producto 1'!$E$8:$E$19))*$AD70)/$AB70)/24</f>
        <v>0</v>
      </c>
      <c r="R70" s="35">
        <f ca="1">(((_xlfn.XLOOKUP(YEAR($B70),'Oferta Producto 1'!$B$8:$B$19,'Oferta Producto 1'!$E$8:$E$19))*$AD70)/$AB70)/24</f>
        <v>0</v>
      </c>
      <c r="S70" s="35">
        <f ca="1">(((_xlfn.XLOOKUP(YEAR($B70),'Oferta Producto 1'!$B$8:$B$19,'Oferta Producto 1'!$E$8:$E$19))*$AD70)/$AB70)/24</f>
        <v>0</v>
      </c>
      <c r="T70" s="35">
        <f ca="1">(((_xlfn.XLOOKUP(YEAR($B70),'Oferta Producto 1'!$B$8:$B$19,'Oferta Producto 1'!$E$8:$E$19))*$AD70)/$AB70)/24</f>
        <v>0</v>
      </c>
      <c r="U70" s="35">
        <f ca="1">(((_xlfn.XLOOKUP(YEAR($B70),'Oferta Producto 1'!$B$8:$B$19,'Oferta Producto 1'!$E$8:$E$19))*$AD70)/$AB70)/24</f>
        <v>0</v>
      </c>
      <c r="V70" s="35">
        <f ca="1">(((_xlfn.XLOOKUP(YEAR($B70),'Oferta Producto 1'!$B$8:$B$19,'Oferta Producto 1'!$E$8:$E$19))*$AD70)/$AB70)/24</f>
        <v>0</v>
      </c>
      <c r="W70" s="35">
        <f ca="1">(((_xlfn.XLOOKUP(YEAR($B70),'Oferta Producto 1'!$B$8:$B$19,'Oferta Producto 1'!$E$8:$E$19))*$AD70)/$AB70)/24</f>
        <v>0</v>
      </c>
      <c r="X70" s="35">
        <f ca="1">(((_xlfn.XLOOKUP(YEAR($B70),'Oferta Producto 1'!$B$8:$B$19,'Oferta Producto 1'!$E$8:$E$19))*$AD70)/$AB70)/24</f>
        <v>0</v>
      </c>
      <c r="Y70" s="35">
        <f ca="1">(((_xlfn.XLOOKUP(YEAR($B70),'Oferta Producto 1'!$B$8:$B$19,'Oferta Producto 1'!$E$8:$E$19))*$AD70)/$AB70)/24</f>
        <v>0</v>
      </c>
      <c r="Z70" s="35">
        <f ca="1">(((_xlfn.XLOOKUP(YEAR($B70),'Oferta Producto 1'!$B$8:$B$19,'Oferta Producto 1'!$E$8:$E$19))*$AD70)/$AB70)/24</f>
        <v>0</v>
      </c>
      <c r="AA70" s="35">
        <f t="shared" ca="1" si="5"/>
        <v>0</v>
      </c>
      <c r="AB70" s="28">
        <f t="shared" si="2"/>
        <v>31</v>
      </c>
      <c r="AC70" s="42">
        <f t="shared" ca="1" si="3"/>
        <v>0</v>
      </c>
      <c r="AD70" s="43">
        <v>7.9754971862961654E-2</v>
      </c>
      <c r="AE70"/>
    </row>
    <row r="71" spans="1:31" ht="15.75" thickBot="1">
      <c r="A71" s="23">
        <f t="shared" ref="A71:A125" si="6">YEAR(B71)</f>
        <v>2031</v>
      </c>
      <c r="B71" s="27">
        <v>48000</v>
      </c>
      <c r="C71" s="35">
        <f ca="1">(((_xlfn.XLOOKUP(YEAR($B71),'Oferta Producto 1'!$B$8:$B$19,'Oferta Producto 1'!$E$8:$E$19))*$AD71)/$AB71)/24</f>
        <v>0</v>
      </c>
      <c r="D71" s="35">
        <f ca="1">(((_xlfn.XLOOKUP(YEAR($B71),'Oferta Producto 1'!$B$8:$B$19,'Oferta Producto 1'!$E$8:$E$19))*$AD71)/$AB71)/24</f>
        <v>0</v>
      </c>
      <c r="E71" s="35">
        <f ca="1">(((_xlfn.XLOOKUP(YEAR($B71),'Oferta Producto 1'!$B$8:$B$19,'Oferta Producto 1'!$E$8:$E$19))*$AD71)/$AB71)/24</f>
        <v>0</v>
      </c>
      <c r="F71" s="35">
        <f ca="1">(((_xlfn.XLOOKUP(YEAR($B71),'Oferta Producto 1'!$B$8:$B$19,'Oferta Producto 1'!$E$8:$E$19))*$AD71)/$AB71)/24</f>
        <v>0</v>
      </c>
      <c r="G71" s="35">
        <f ca="1">(((_xlfn.XLOOKUP(YEAR($B71),'Oferta Producto 1'!$B$8:$B$19,'Oferta Producto 1'!$E$8:$E$19))*$AD71)/$AB71)/24</f>
        <v>0</v>
      </c>
      <c r="H71" s="35">
        <f ca="1">(((_xlfn.XLOOKUP(YEAR($B71),'Oferta Producto 1'!$B$8:$B$19,'Oferta Producto 1'!$E$8:$E$19))*$AD71)/$AB71)/24</f>
        <v>0</v>
      </c>
      <c r="I71" s="35">
        <f ca="1">(((_xlfn.XLOOKUP(YEAR($B71),'Oferta Producto 1'!$B$8:$B$19,'Oferta Producto 1'!$E$8:$E$19))*$AD71)/$AB71)/24</f>
        <v>0</v>
      </c>
      <c r="J71" s="35">
        <f ca="1">(((_xlfn.XLOOKUP(YEAR($B71),'Oferta Producto 1'!$B$8:$B$19,'Oferta Producto 1'!$E$8:$E$19))*$AD71)/$AB71)/24</f>
        <v>0</v>
      </c>
      <c r="K71" s="35">
        <f ca="1">(((_xlfn.XLOOKUP(YEAR($B71),'Oferta Producto 1'!$B$8:$B$19,'Oferta Producto 1'!$E$8:$E$19))*$AD71)/$AB71)/24</f>
        <v>0</v>
      </c>
      <c r="L71" s="35">
        <f ca="1">(((_xlfn.XLOOKUP(YEAR($B71),'Oferta Producto 1'!$B$8:$B$19,'Oferta Producto 1'!$E$8:$E$19))*$AD71)/$AB71)/24</f>
        <v>0</v>
      </c>
      <c r="M71" s="35">
        <f ca="1">(((_xlfn.XLOOKUP(YEAR($B71),'Oferta Producto 1'!$B$8:$B$19,'Oferta Producto 1'!$E$8:$E$19))*$AD71)/$AB71)/24</f>
        <v>0</v>
      </c>
      <c r="N71" s="35">
        <f ca="1">(((_xlfn.XLOOKUP(YEAR($B71),'Oferta Producto 1'!$B$8:$B$19,'Oferta Producto 1'!$E$8:$E$19))*$AD71)/$AB71)/24</f>
        <v>0</v>
      </c>
      <c r="O71" s="35">
        <f ca="1">(((_xlfn.XLOOKUP(YEAR($B71),'Oferta Producto 1'!$B$8:$B$19,'Oferta Producto 1'!$E$8:$E$19))*$AD71)/$AB71)/24</f>
        <v>0</v>
      </c>
      <c r="P71" s="35">
        <f ca="1">(((_xlfn.XLOOKUP(YEAR($B71),'Oferta Producto 1'!$B$8:$B$19,'Oferta Producto 1'!$E$8:$E$19))*$AD71)/$AB71)/24</f>
        <v>0</v>
      </c>
      <c r="Q71" s="35">
        <f ca="1">(((_xlfn.XLOOKUP(YEAR($B71),'Oferta Producto 1'!$B$8:$B$19,'Oferta Producto 1'!$E$8:$E$19))*$AD71)/$AB71)/24</f>
        <v>0</v>
      </c>
      <c r="R71" s="35">
        <f ca="1">(((_xlfn.XLOOKUP(YEAR($B71),'Oferta Producto 1'!$B$8:$B$19,'Oferta Producto 1'!$E$8:$E$19))*$AD71)/$AB71)/24</f>
        <v>0</v>
      </c>
      <c r="S71" s="35">
        <f ca="1">(((_xlfn.XLOOKUP(YEAR($B71),'Oferta Producto 1'!$B$8:$B$19,'Oferta Producto 1'!$E$8:$E$19))*$AD71)/$AB71)/24</f>
        <v>0</v>
      </c>
      <c r="T71" s="35">
        <f ca="1">(((_xlfn.XLOOKUP(YEAR($B71),'Oferta Producto 1'!$B$8:$B$19,'Oferta Producto 1'!$E$8:$E$19))*$AD71)/$AB71)/24</f>
        <v>0</v>
      </c>
      <c r="U71" s="35">
        <f ca="1">(((_xlfn.XLOOKUP(YEAR($B71),'Oferta Producto 1'!$B$8:$B$19,'Oferta Producto 1'!$E$8:$E$19))*$AD71)/$AB71)/24</f>
        <v>0</v>
      </c>
      <c r="V71" s="35">
        <f ca="1">(((_xlfn.XLOOKUP(YEAR($B71),'Oferta Producto 1'!$B$8:$B$19,'Oferta Producto 1'!$E$8:$E$19))*$AD71)/$AB71)/24</f>
        <v>0</v>
      </c>
      <c r="W71" s="35">
        <f ca="1">(((_xlfn.XLOOKUP(YEAR($B71),'Oferta Producto 1'!$B$8:$B$19,'Oferta Producto 1'!$E$8:$E$19))*$AD71)/$AB71)/24</f>
        <v>0</v>
      </c>
      <c r="X71" s="35">
        <f ca="1">(((_xlfn.XLOOKUP(YEAR($B71),'Oferta Producto 1'!$B$8:$B$19,'Oferta Producto 1'!$E$8:$E$19))*$AD71)/$AB71)/24</f>
        <v>0</v>
      </c>
      <c r="Y71" s="35">
        <f ca="1">(((_xlfn.XLOOKUP(YEAR($B71),'Oferta Producto 1'!$B$8:$B$19,'Oferta Producto 1'!$E$8:$E$19))*$AD71)/$AB71)/24</f>
        <v>0</v>
      </c>
      <c r="Z71" s="35">
        <f ca="1">(((_xlfn.XLOOKUP(YEAR($B71),'Oferta Producto 1'!$B$8:$B$19,'Oferta Producto 1'!$E$8:$E$19))*$AD71)/$AB71)/24</f>
        <v>0</v>
      </c>
      <c r="AA71" s="35">
        <f t="shared" ca="1" si="5"/>
        <v>0</v>
      </c>
      <c r="AB71" s="28">
        <f t="shared" ref="AB71:AB125" si="7">DAY(EOMONTH(B71,0))</f>
        <v>30</v>
      </c>
      <c r="AC71" s="42">
        <f t="shared" ref="AC71:AC125" ca="1" si="8">AA71*AB71</f>
        <v>0</v>
      </c>
      <c r="AD71" s="43">
        <v>8.5889305812170275E-2</v>
      </c>
      <c r="AE71"/>
    </row>
    <row r="72" spans="1:31" ht="15.75" thickBot="1">
      <c r="A72" s="23">
        <f t="shared" si="6"/>
        <v>2031</v>
      </c>
      <c r="B72" s="27">
        <v>48030</v>
      </c>
      <c r="C72" s="35">
        <f ca="1">(((_xlfn.XLOOKUP(YEAR($B72),'Oferta Producto 1'!$B$8:$B$19,'Oferta Producto 1'!$E$8:$E$19))*$AD72)/$AB72)/24</f>
        <v>0</v>
      </c>
      <c r="D72" s="35">
        <f ca="1">(((_xlfn.XLOOKUP(YEAR($B72),'Oferta Producto 1'!$B$8:$B$19,'Oferta Producto 1'!$E$8:$E$19))*$AD72)/$AB72)/24</f>
        <v>0</v>
      </c>
      <c r="E72" s="35">
        <f ca="1">(((_xlfn.XLOOKUP(YEAR($B72),'Oferta Producto 1'!$B$8:$B$19,'Oferta Producto 1'!$E$8:$E$19))*$AD72)/$AB72)/24</f>
        <v>0</v>
      </c>
      <c r="F72" s="35">
        <f ca="1">(((_xlfn.XLOOKUP(YEAR($B72),'Oferta Producto 1'!$B$8:$B$19,'Oferta Producto 1'!$E$8:$E$19))*$AD72)/$AB72)/24</f>
        <v>0</v>
      </c>
      <c r="G72" s="35">
        <f ca="1">(((_xlfn.XLOOKUP(YEAR($B72),'Oferta Producto 1'!$B$8:$B$19,'Oferta Producto 1'!$E$8:$E$19))*$AD72)/$AB72)/24</f>
        <v>0</v>
      </c>
      <c r="H72" s="35">
        <f ca="1">(((_xlfn.XLOOKUP(YEAR($B72),'Oferta Producto 1'!$B$8:$B$19,'Oferta Producto 1'!$E$8:$E$19))*$AD72)/$AB72)/24</f>
        <v>0</v>
      </c>
      <c r="I72" s="35">
        <f ca="1">(((_xlfn.XLOOKUP(YEAR($B72),'Oferta Producto 1'!$B$8:$B$19,'Oferta Producto 1'!$E$8:$E$19))*$AD72)/$AB72)/24</f>
        <v>0</v>
      </c>
      <c r="J72" s="35">
        <f ca="1">(((_xlfn.XLOOKUP(YEAR($B72),'Oferta Producto 1'!$B$8:$B$19,'Oferta Producto 1'!$E$8:$E$19))*$AD72)/$AB72)/24</f>
        <v>0</v>
      </c>
      <c r="K72" s="35">
        <f ca="1">(((_xlfn.XLOOKUP(YEAR($B72),'Oferta Producto 1'!$B$8:$B$19,'Oferta Producto 1'!$E$8:$E$19))*$AD72)/$AB72)/24</f>
        <v>0</v>
      </c>
      <c r="L72" s="35">
        <f ca="1">(((_xlfn.XLOOKUP(YEAR($B72),'Oferta Producto 1'!$B$8:$B$19,'Oferta Producto 1'!$E$8:$E$19))*$AD72)/$AB72)/24</f>
        <v>0</v>
      </c>
      <c r="M72" s="35">
        <f ca="1">(((_xlfn.XLOOKUP(YEAR($B72),'Oferta Producto 1'!$B$8:$B$19,'Oferta Producto 1'!$E$8:$E$19))*$AD72)/$AB72)/24</f>
        <v>0</v>
      </c>
      <c r="N72" s="35">
        <f ca="1">(((_xlfn.XLOOKUP(YEAR($B72),'Oferta Producto 1'!$B$8:$B$19,'Oferta Producto 1'!$E$8:$E$19))*$AD72)/$AB72)/24</f>
        <v>0</v>
      </c>
      <c r="O72" s="35">
        <f ca="1">(((_xlfn.XLOOKUP(YEAR($B72),'Oferta Producto 1'!$B$8:$B$19,'Oferta Producto 1'!$E$8:$E$19))*$AD72)/$AB72)/24</f>
        <v>0</v>
      </c>
      <c r="P72" s="35">
        <f ca="1">(((_xlfn.XLOOKUP(YEAR($B72),'Oferta Producto 1'!$B$8:$B$19,'Oferta Producto 1'!$E$8:$E$19))*$AD72)/$AB72)/24</f>
        <v>0</v>
      </c>
      <c r="Q72" s="35">
        <f ca="1">(((_xlfn.XLOOKUP(YEAR($B72),'Oferta Producto 1'!$B$8:$B$19,'Oferta Producto 1'!$E$8:$E$19))*$AD72)/$AB72)/24</f>
        <v>0</v>
      </c>
      <c r="R72" s="35">
        <f ca="1">(((_xlfn.XLOOKUP(YEAR($B72),'Oferta Producto 1'!$B$8:$B$19,'Oferta Producto 1'!$E$8:$E$19))*$AD72)/$AB72)/24</f>
        <v>0</v>
      </c>
      <c r="S72" s="35">
        <f ca="1">(((_xlfn.XLOOKUP(YEAR($B72),'Oferta Producto 1'!$B$8:$B$19,'Oferta Producto 1'!$E$8:$E$19))*$AD72)/$AB72)/24</f>
        <v>0</v>
      </c>
      <c r="T72" s="35">
        <f ca="1">(((_xlfn.XLOOKUP(YEAR($B72),'Oferta Producto 1'!$B$8:$B$19,'Oferta Producto 1'!$E$8:$E$19))*$AD72)/$AB72)/24</f>
        <v>0</v>
      </c>
      <c r="U72" s="35">
        <f ca="1">(((_xlfn.XLOOKUP(YEAR($B72),'Oferta Producto 1'!$B$8:$B$19,'Oferta Producto 1'!$E$8:$E$19))*$AD72)/$AB72)/24</f>
        <v>0</v>
      </c>
      <c r="V72" s="35">
        <f ca="1">(((_xlfn.XLOOKUP(YEAR($B72),'Oferta Producto 1'!$B$8:$B$19,'Oferta Producto 1'!$E$8:$E$19))*$AD72)/$AB72)/24</f>
        <v>0</v>
      </c>
      <c r="W72" s="35">
        <f ca="1">(((_xlfn.XLOOKUP(YEAR($B72),'Oferta Producto 1'!$B$8:$B$19,'Oferta Producto 1'!$E$8:$E$19))*$AD72)/$AB72)/24</f>
        <v>0</v>
      </c>
      <c r="X72" s="35">
        <f ca="1">(((_xlfn.XLOOKUP(YEAR($B72),'Oferta Producto 1'!$B$8:$B$19,'Oferta Producto 1'!$E$8:$E$19))*$AD72)/$AB72)/24</f>
        <v>0</v>
      </c>
      <c r="Y72" s="35">
        <f ca="1">(((_xlfn.XLOOKUP(YEAR($B72),'Oferta Producto 1'!$B$8:$B$19,'Oferta Producto 1'!$E$8:$E$19))*$AD72)/$AB72)/24</f>
        <v>0</v>
      </c>
      <c r="Z72" s="35">
        <f ca="1">(((_xlfn.XLOOKUP(YEAR($B72),'Oferta Producto 1'!$B$8:$B$19,'Oferta Producto 1'!$E$8:$E$19))*$AD72)/$AB72)/24</f>
        <v>0</v>
      </c>
      <c r="AA72" s="35">
        <f t="shared" ca="1" si="5"/>
        <v>0</v>
      </c>
      <c r="AB72" s="28">
        <f t="shared" si="7"/>
        <v>31</v>
      </c>
      <c r="AC72" s="42">
        <f t="shared" ca="1" si="8"/>
        <v>0</v>
      </c>
      <c r="AD72" s="43">
        <v>7.9754971862961654E-2</v>
      </c>
      <c r="AE72"/>
    </row>
    <row r="73" spans="1:31" ht="15.75" thickBot="1">
      <c r="A73" s="23">
        <f t="shared" si="6"/>
        <v>2031</v>
      </c>
      <c r="B73" s="27">
        <v>48061</v>
      </c>
      <c r="C73" s="35">
        <f ca="1">(((_xlfn.XLOOKUP(YEAR($B73),'Oferta Producto 1'!$B$8:$B$19,'Oferta Producto 1'!$E$8:$E$19))*$AD73)/$AB73)/24</f>
        <v>0</v>
      </c>
      <c r="D73" s="35">
        <f ca="1">(((_xlfn.XLOOKUP(YEAR($B73),'Oferta Producto 1'!$B$8:$B$19,'Oferta Producto 1'!$E$8:$E$19))*$AD73)/$AB73)/24</f>
        <v>0</v>
      </c>
      <c r="E73" s="35">
        <f ca="1">(((_xlfn.XLOOKUP(YEAR($B73),'Oferta Producto 1'!$B$8:$B$19,'Oferta Producto 1'!$E$8:$E$19))*$AD73)/$AB73)/24</f>
        <v>0</v>
      </c>
      <c r="F73" s="35">
        <f ca="1">(((_xlfn.XLOOKUP(YEAR($B73),'Oferta Producto 1'!$B$8:$B$19,'Oferta Producto 1'!$E$8:$E$19))*$AD73)/$AB73)/24</f>
        <v>0</v>
      </c>
      <c r="G73" s="35">
        <f ca="1">(((_xlfn.XLOOKUP(YEAR($B73),'Oferta Producto 1'!$B$8:$B$19,'Oferta Producto 1'!$E$8:$E$19))*$AD73)/$AB73)/24</f>
        <v>0</v>
      </c>
      <c r="H73" s="35">
        <f ca="1">(((_xlfn.XLOOKUP(YEAR($B73),'Oferta Producto 1'!$B$8:$B$19,'Oferta Producto 1'!$E$8:$E$19))*$AD73)/$AB73)/24</f>
        <v>0</v>
      </c>
      <c r="I73" s="35">
        <f ca="1">(((_xlfn.XLOOKUP(YEAR($B73),'Oferta Producto 1'!$B$8:$B$19,'Oferta Producto 1'!$E$8:$E$19))*$AD73)/$AB73)/24</f>
        <v>0</v>
      </c>
      <c r="J73" s="35">
        <f ca="1">(((_xlfn.XLOOKUP(YEAR($B73),'Oferta Producto 1'!$B$8:$B$19,'Oferta Producto 1'!$E$8:$E$19))*$AD73)/$AB73)/24</f>
        <v>0</v>
      </c>
      <c r="K73" s="35">
        <f ca="1">(((_xlfn.XLOOKUP(YEAR($B73),'Oferta Producto 1'!$B$8:$B$19,'Oferta Producto 1'!$E$8:$E$19))*$AD73)/$AB73)/24</f>
        <v>0</v>
      </c>
      <c r="L73" s="35">
        <f ca="1">(((_xlfn.XLOOKUP(YEAR($B73),'Oferta Producto 1'!$B$8:$B$19,'Oferta Producto 1'!$E$8:$E$19))*$AD73)/$AB73)/24</f>
        <v>0</v>
      </c>
      <c r="M73" s="35">
        <f ca="1">(((_xlfn.XLOOKUP(YEAR($B73),'Oferta Producto 1'!$B$8:$B$19,'Oferta Producto 1'!$E$8:$E$19))*$AD73)/$AB73)/24</f>
        <v>0</v>
      </c>
      <c r="N73" s="35">
        <f ca="1">(((_xlfn.XLOOKUP(YEAR($B73),'Oferta Producto 1'!$B$8:$B$19,'Oferta Producto 1'!$E$8:$E$19))*$AD73)/$AB73)/24</f>
        <v>0</v>
      </c>
      <c r="O73" s="35">
        <f ca="1">(((_xlfn.XLOOKUP(YEAR($B73),'Oferta Producto 1'!$B$8:$B$19,'Oferta Producto 1'!$E$8:$E$19))*$AD73)/$AB73)/24</f>
        <v>0</v>
      </c>
      <c r="P73" s="35">
        <f ca="1">(((_xlfn.XLOOKUP(YEAR($B73),'Oferta Producto 1'!$B$8:$B$19,'Oferta Producto 1'!$E$8:$E$19))*$AD73)/$AB73)/24</f>
        <v>0</v>
      </c>
      <c r="Q73" s="35">
        <f ca="1">(((_xlfn.XLOOKUP(YEAR($B73),'Oferta Producto 1'!$B$8:$B$19,'Oferta Producto 1'!$E$8:$E$19))*$AD73)/$AB73)/24</f>
        <v>0</v>
      </c>
      <c r="R73" s="35">
        <f ca="1">(((_xlfn.XLOOKUP(YEAR($B73),'Oferta Producto 1'!$B$8:$B$19,'Oferta Producto 1'!$E$8:$E$19))*$AD73)/$AB73)/24</f>
        <v>0</v>
      </c>
      <c r="S73" s="35">
        <f ca="1">(((_xlfn.XLOOKUP(YEAR($B73),'Oferta Producto 1'!$B$8:$B$19,'Oferta Producto 1'!$E$8:$E$19))*$AD73)/$AB73)/24</f>
        <v>0</v>
      </c>
      <c r="T73" s="35">
        <f ca="1">(((_xlfn.XLOOKUP(YEAR($B73),'Oferta Producto 1'!$B$8:$B$19,'Oferta Producto 1'!$E$8:$E$19))*$AD73)/$AB73)/24</f>
        <v>0</v>
      </c>
      <c r="U73" s="35">
        <f ca="1">(((_xlfn.XLOOKUP(YEAR($B73),'Oferta Producto 1'!$B$8:$B$19,'Oferta Producto 1'!$E$8:$E$19))*$AD73)/$AB73)/24</f>
        <v>0</v>
      </c>
      <c r="V73" s="35">
        <f ca="1">(((_xlfn.XLOOKUP(YEAR($B73),'Oferta Producto 1'!$B$8:$B$19,'Oferta Producto 1'!$E$8:$E$19))*$AD73)/$AB73)/24</f>
        <v>0</v>
      </c>
      <c r="W73" s="35">
        <f ca="1">(((_xlfn.XLOOKUP(YEAR($B73),'Oferta Producto 1'!$B$8:$B$19,'Oferta Producto 1'!$E$8:$E$19))*$AD73)/$AB73)/24</f>
        <v>0</v>
      </c>
      <c r="X73" s="35">
        <f ca="1">(((_xlfn.XLOOKUP(YEAR($B73),'Oferta Producto 1'!$B$8:$B$19,'Oferta Producto 1'!$E$8:$E$19))*$AD73)/$AB73)/24</f>
        <v>0</v>
      </c>
      <c r="Y73" s="35">
        <f ca="1">(((_xlfn.XLOOKUP(YEAR($B73),'Oferta Producto 1'!$B$8:$B$19,'Oferta Producto 1'!$E$8:$E$19))*$AD73)/$AB73)/24</f>
        <v>0</v>
      </c>
      <c r="Z73" s="35">
        <f ca="1">(((_xlfn.XLOOKUP(YEAR($B73),'Oferta Producto 1'!$B$8:$B$19,'Oferta Producto 1'!$E$8:$E$19))*$AD73)/$AB73)/24</f>
        <v>0</v>
      </c>
      <c r="AA73" s="35">
        <f t="shared" ca="1" si="5"/>
        <v>0</v>
      </c>
      <c r="AB73" s="28">
        <f t="shared" si="7"/>
        <v>31</v>
      </c>
      <c r="AC73" s="42">
        <f t="shared" ca="1" si="8"/>
        <v>0</v>
      </c>
      <c r="AD73" s="43">
        <v>7.9754971862961654E-2</v>
      </c>
      <c r="AE73"/>
    </row>
    <row r="74" spans="1:31" ht="15.75" thickBot="1">
      <c r="A74" s="23">
        <f t="shared" si="6"/>
        <v>2031</v>
      </c>
      <c r="B74" s="27">
        <v>48092</v>
      </c>
      <c r="C74" s="35">
        <f ca="1">(((_xlfn.XLOOKUP(YEAR($B74),'Oferta Producto 1'!$B$8:$B$19,'Oferta Producto 1'!$E$8:$E$19))*$AD74)/$AB74)/24</f>
        <v>0</v>
      </c>
      <c r="D74" s="35">
        <f ca="1">(((_xlfn.XLOOKUP(YEAR($B74),'Oferta Producto 1'!$B$8:$B$19,'Oferta Producto 1'!$E$8:$E$19))*$AD74)/$AB74)/24</f>
        <v>0</v>
      </c>
      <c r="E74" s="35">
        <f ca="1">(((_xlfn.XLOOKUP(YEAR($B74),'Oferta Producto 1'!$B$8:$B$19,'Oferta Producto 1'!$E$8:$E$19))*$AD74)/$AB74)/24</f>
        <v>0</v>
      </c>
      <c r="F74" s="35">
        <f ca="1">(((_xlfn.XLOOKUP(YEAR($B74),'Oferta Producto 1'!$B$8:$B$19,'Oferta Producto 1'!$E$8:$E$19))*$AD74)/$AB74)/24</f>
        <v>0</v>
      </c>
      <c r="G74" s="35">
        <f ca="1">(((_xlfn.XLOOKUP(YEAR($B74),'Oferta Producto 1'!$B$8:$B$19,'Oferta Producto 1'!$E$8:$E$19))*$AD74)/$AB74)/24</f>
        <v>0</v>
      </c>
      <c r="H74" s="35">
        <f ca="1">(((_xlfn.XLOOKUP(YEAR($B74),'Oferta Producto 1'!$B$8:$B$19,'Oferta Producto 1'!$E$8:$E$19))*$AD74)/$AB74)/24</f>
        <v>0</v>
      </c>
      <c r="I74" s="35">
        <f ca="1">(((_xlfn.XLOOKUP(YEAR($B74),'Oferta Producto 1'!$B$8:$B$19,'Oferta Producto 1'!$E$8:$E$19))*$AD74)/$AB74)/24</f>
        <v>0</v>
      </c>
      <c r="J74" s="35">
        <f ca="1">(((_xlfn.XLOOKUP(YEAR($B74),'Oferta Producto 1'!$B$8:$B$19,'Oferta Producto 1'!$E$8:$E$19))*$AD74)/$AB74)/24</f>
        <v>0</v>
      </c>
      <c r="K74" s="35">
        <f ca="1">(((_xlfn.XLOOKUP(YEAR($B74),'Oferta Producto 1'!$B$8:$B$19,'Oferta Producto 1'!$E$8:$E$19))*$AD74)/$AB74)/24</f>
        <v>0</v>
      </c>
      <c r="L74" s="35">
        <f ca="1">(((_xlfn.XLOOKUP(YEAR($B74),'Oferta Producto 1'!$B$8:$B$19,'Oferta Producto 1'!$E$8:$E$19))*$AD74)/$AB74)/24</f>
        <v>0</v>
      </c>
      <c r="M74" s="35">
        <f ca="1">(((_xlfn.XLOOKUP(YEAR($B74),'Oferta Producto 1'!$B$8:$B$19,'Oferta Producto 1'!$E$8:$E$19))*$AD74)/$AB74)/24</f>
        <v>0</v>
      </c>
      <c r="N74" s="35">
        <f ca="1">(((_xlfn.XLOOKUP(YEAR($B74),'Oferta Producto 1'!$B$8:$B$19,'Oferta Producto 1'!$E$8:$E$19))*$AD74)/$AB74)/24</f>
        <v>0</v>
      </c>
      <c r="O74" s="35">
        <f ca="1">(((_xlfn.XLOOKUP(YEAR($B74),'Oferta Producto 1'!$B$8:$B$19,'Oferta Producto 1'!$E$8:$E$19))*$AD74)/$AB74)/24</f>
        <v>0</v>
      </c>
      <c r="P74" s="35">
        <f ca="1">(((_xlfn.XLOOKUP(YEAR($B74),'Oferta Producto 1'!$B$8:$B$19,'Oferta Producto 1'!$E$8:$E$19))*$AD74)/$AB74)/24</f>
        <v>0</v>
      </c>
      <c r="Q74" s="35">
        <f ca="1">(((_xlfn.XLOOKUP(YEAR($B74),'Oferta Producto 1'!$B$8:$B$19,'Oferta Producto 1'!$E$8:$E$19))*$AD74)/$AB74)/24</f>
        <v>0</v>
      </c>
      <c r="R74" s="35">
        <f ca="1">(((_xlfn.XLOOKUP(YEAR($B74),'Oferta Producto 1'!$B$8:$B$19,'Oferta Producto 1'!$E$8:$E$19))*$AD74)/$AB74)/24</f>
        <v>0</v>
      </c>
      <c r="S74" s="35">
        <f ca="1">(((_xlfn.XLOOKUP(YEAR($B74),'Oferta Producto 1'!$B$8:$B$19,'Oferta Producto 1'!$E$8:$E$19))*$AD74)/$AB74)/24</f>
        <v>0</v>
      </c>
      <c r="T74" s="35">
        <f ca="1">(((_xlfn.XLOOKUP(YEAR($B74),'Oferta Producto 1'!$B$8:$B$19,'Oferta Producto 1'!$E$8:$E$19))*$AD74)/$AB74)/24</f>
        <v>0</v>
      </c>
      <c r="U74" s="35">
        <f ca="1">(((_xlfn.XLOOKUP(YEAR($B74),'Oferta Producto 1'!$B$8:$B$19,'Oferta Producto 1'!$E$8:$E$19))*$AD74)/$AB74)/24</f>
        <v>0</v>
      </c>
      <c r="V74" s="35">
        <f ca="1">(((_xlfn.XLOOKUP(YEAR($B74),'Oferta Producto 1'!$B$8:$B$19,'Oferta Producto 1'!$E$8:$E$19))*$AD74)/$AB74)/24</f>
        <v>0</v>
      </c>
      <c r="W74" s="35">
        <f ca="1">(((_xlfn.XLOOKUP(YEAR($B74),'Oferta Producto 1'!$B$8:$B$19,'Oferta Producto 1'!$E$8:$E$19))*$AD74)/$AB74)/24</f>
        <v>0</v>
      </c>
      <c r="X74" s="35">
        <f ca="1">(((_xlfn.XLOOKUP(YEAR($B74),'Oferta Producto 1'!$B$8:$B$19,'Oferta Producto 1'!$E$8:$E$19))*$AD74)/$AB74)/24</f>
        <v>0</v>
      </c>
      <c r="Y74" s="35">
        <f ca="1">(((_xlfn.XLOOKUP(YEAR($B74),'Oferta Producto 1'!$B$8:$B$19,'Oferta Producto 1'!$E$8:$E$19))*$AD74)/$AB74)/24</f>
        <v>0</v>
      </c>
      <c r="Z74" s="35">
        <f ca="1">(((_xlfn.XLOOKUP(YEAR($B74),'Oferta Producto 1'!$B$8:$B$19,'Oferta Producto 1'!$E$8:$E$19))*$AD74)/$AB74)/24</f>
        <v>0</v>
      </c>
      <c r="AA74" s="35">
        <f t="shared" ca="1" si="5"/>
        <v>0</v>
      </c>
      <c r="AB74" s="28">
        <f t="shared" si="7"/>
        <v>30</v>
      </c>
      <c r="AC74" s="42">
        <f t="shared" ca="1" si="8"/>
        <v>0</v>
      </c>
      <c r="AD74" s="43">
        <v>8.5889305812170275E-2</v>
      </c>
      <c r="AE74"/>
    </row>
    <row r="75" spans="1:31" ht="15.75" thickBot="1">
      <c r="A75" s="23">
        <f t="shared" si="6"/>
        <v>2031</v>
      </c>
      <c r="B75" s="27">
        <v>48122</v>
      </c>
      <c r="C75" s="35">
        <f ca="1">(((_xlfn.XLOOKUP(YEAR($B75),'Oferta Producto 1'!$B$8:$B$19,'Oferta Producto 1'!$E$8:$E$19))*$AD75)/$AB75)/24</f>
        <v>0</v>
      </c>
      <c r="D75" s="35">
        <f ca="1">(((_xlfn.XLOOKUP(YEAR($B75),'Oferta Producto 1'!$B$8:$B$19,'Oferta Producto 1'!$E$8:$E$19))*$AD75)/$AB75)/24</f>
        <v>0</v>
      </c>
      <c r="E75" s="35">
        <f ca="1">(((_xlfn.XLOOKUP(YEAR($B75),'Oferta Producto 1'!$B$8:$B$19,'Oferta Producto 1'!$E$8:$E$19))*$AD75)/$AB75)/24</f>
        <v>0</v>
      </c>
      <c r="F75" s="35">
        <f ca="1">(((_xlfn.XLOOKUP(YEAR($B75),'Oferta Producto 1'!$B$8:$B$19,'Oferta Producto 1'!$E$8:$E$19))*$AD75)/$AB75)/24</f>
        <v>0</v>
      </c>
      <c r="G75" s="35">
        <f ca="1">(((_xlfn.XLOOKUP(YEAR($B75),'Oferta Producto 1'!$B$8:$B$19,'Oferta Producto 1'!$E$8:$E$19))*$AD75)/$AB75)/24</f>
        <v>0</v>
      </c>
      <c r="H75" s="35">
        <f ca="1">(((_xlfn.XLOOKUP(YEAR($B75),'Oferta Producto 1'!$B$8:$B$19,'Oferta Producto 1'!$E$8:$E$19))*$AD75)/$AB75)/24</f>
        <v>0</v>
      </c>
      <c r="I75" s="35">
        <f ca="1">(((_xlfn.XLOOKUP(YEAR($B75),'Oferta Producto 1'!$B$8:$B$19,'Oferta Producto 1'!$E$8:$E$19))*$AD75)/$AB75)/24</f>
        <v>0</v>
      </c>
      <c r="J75" s="35">
        <f ca="1">(((_xlfn.XLOOKUP(YEAR($B75),'Oferta Producto 1'!$B$8:$B$19,'Oferta Producto 1'!$E$8:$E$19))*$AD75)/$AB75)/24</f>
        <v>0</v>
      </c>
      <c r="K75" s="35">
        <f ca="1">(((_xlfn.XLOOKUP(YEAR($B75),'Oferta Producto 1'!$B$8:$B$19,'Oferta Producto 1'!$E$8:$E$19))*$AD75)/$AB75)/24</f>
        <v>0</v>
      </c>
      <c r="L75" s="35">
        <f ca="1">(((_xlfn.XLOOKUP(YEAR($B75),'Oferta Producto 1'!$B$8:$B$19,'Oferta Producto 1'!$E$8:$E$19))*$AD75)/$AB75)/24</f>
        <v>0</v>
      </c>
      <c r="M75" s="35">
        <f ca="1">(((_xlfn.XLOOKUP(YEAR($B75),'Oferta Producto 1'!$B$8:$B$19,'Oferta Producto 1'!$E$8:$E$19))*$AD75)/$AB75)/24</f>
        <v>0</v>
      </c>
      <c r="N75" s="35">
        <f ca="1">(((_xlfn.XLOOKUP(YEAR($B75),'Oferta Producto 1'!$B$8:$B$19,'Oferta Producto 1'!$E$8:$E$19))*$AD75)/$AB75)/24</f>
        <v>0</v>
      </c>
      <c r="O75" s="35">
        <f ca="1">(((_xlfn.XLOOKUP(YEAR($B75),'Oferta Producto 1'!$B$8:$B$19,'Oferta Producto 1'!$E$8:$E$19))*$AD75)/$AB75)/24</f>
        <v>0</v>
      </c>
      <c r="P75" s="35">
        <f ca="1">(((_xlfn.XLOOKUP(YEAR($B75),'Oferta Producto 1'!$B$8:$B$19,'Oferta Producto 1'!$E$8:$E$19))*$AD75)/$AB75)/24</f>
        <v>0</v>
      </c>
      <c r="Q75" s="35">
        <f ca="1">(((_xlfn.XLOOKUP(YEAR($B75),'Oferta Producto 1'!$B$8:$B$19,'Oferta Producto 1'!$E$8:$E$19))*$AD75)/$AB75)/24</f>
        <v>0</v>
      </c>
      <c r="R75" s="35">
        <f ca="1">(((_xlfn.XLOOKUP(YEAR($B75),'Oferta Producto 1'!$B$8:$B$19,'Oferta Producto 1'!$E$8:$E$19))*$AD75)/$AB75)/24</f>
        <v>0</v>
      </c>
      <c r="S75" s="35">
        <f ca="1">(((_xlfn.XLOOKUP(YEAR($B75),'Oferta Producto 1'!$B$8:$B$19,'Oferta Producto 1'!$E$8:$E$19))*$AD75)/$AB75)/24</f>
        <v>0</v>
      </c>
      <c r="T75" s="35">
        <f ca="1">(((_xlfn.XLOOKUP(YEAR($B75),'Oferta Producto 1'!$B$8:$B$19,'Oferta Producto 1'!$E$8:$E$19))*$AD75)/$AB75)/24</f>
        <v>0</v>
      </c>
      <c r="U75" s="35">
        <f ca="1">(((_xlfn.XLOOKUP(YEAR($B75),'Oferta Producto 1'!$B$8:$B$19,'Oferta Producto 1'!$E$8:$E$19))*$AD75)/$AB75)/24</f>
        <v>0</v>
      </c>
      <c r="V75" s="35">
        <f ca="1">(((_xlfn.XLOOKUP(YEAR($B75),'Oferta Producto 1'!$B$8:$B$19,'Oferta Producto 1'!$E$8:$E$19))*$AD75)/$AB75)/24</f>
        <v>0</v>
      </c>
      <c r="W75" s="35">
        <f ca="1">(((_xlfn.XLOOKUP(YEAR($B75),'Oferta Producto 1'!$B$8:$B$19,'Oferta Producto 1'!$E$8:$E$19))*$AD75)/$AB75)/24</f>
        <v>0</v>
      </c>
      <c r="X75" s="35">
        <f ca="1">(((_xlfn.XLOOKUP(YEAR($B75),'Oferta Producto 1'!$B$8:$B$19,'Oferta Producto 1'!$E$8:$E$19))*$AD75)/$AB75)/24</f>
        <v>0</v>
      </c>
      <c r="Y75" s="35">
        <f ca="1">(((_xlfn.XLOOKUP(YEAR($B75),'Oferta Producto 1'!$B$8:$B$19,'Oferta Producto 1'!$E$8:$E$19))*$AD75)/$AB75)/24</f>
        <v>0</v>
      </c>
      <c r="Z75" s="35">
        <f ca="1">(((_xlfn.XLOOKUP(YEAR($B75),'Oferta Producto 1'!$B$8:$B$19,'Oferta Producto 1'!$E$8:$E$19))*$AD75)/$AB75)/24</f>
        <v>0</v>
      </c>
      <c r="AA75" s="35">
        <f t="shared" ca="1" si="5"/>
        <v>0</v>
      </c>
      <c r="AB75" s="28">
        <f t="shared" si="7"/>
        <v>31</v>
      </c>
      <c r="AC75" s="42">
        <f t="shared" ca="1" si="8"/>
        <v>0</v>
      </c>
      <c r="AD75" s="43">
        <v>7.9754971862961654E-2</v>
      </c>
      <c r="AE75"/>
    </row>
    <row r="76" spans="1:31" ht="15.75" thickBot="1">
      <c r="A76" s="23">
        <f t="shared" si="6"/>
        <v>2031</v>
      </c>
      <c r="B76" s="27">
        <v>48153</v>
      </c>
      <c r="C76" s="35">
        <f ca="1">(((_xlfn.XLOOKUP(YEAR($B76),'Oferta Producto 1'!$B$8:$B$19,'Oferta Producto 1'!$E$8:$E$19))*$AD76)/$AB76)/24</f>
        <v>0</v>
      </c>
      <c r="D76" s="35">
        <f ca="1">(((_xlfn.XLOOKUP(YEAR($B76),'Oferta Producto 1'!$B$8:$B$19,'Oferta Producto 1'!$E$8:$E$19))*$AD76)/$AB76)/24</f>
        <v>0</v>
      </c>
      <c r="E76" s="35">
        <f ca="1">(((_xlfn.XLOOKUP(YEAR($B76),'Oferta Producto 1'!$B$8:$B$19,'Oferta Producto 1'!$E$8:$E$19))*$AD76)/$AB76)/24</f>
        <v>0</v>
      </c>
      <c r="F76" s="35">
        <f ca="1">(((_xlfn.XLOOKUP(YEAR($B76),'Oferta Producto 1'!$B$8:$B$19,'Oferta Producto 1'!$E$8:$E$19))*$AD76)/$AB76)/24</f>
        <v>0</v>
      </c>
      <c r="G76" s="35">
        <f ca="1">(((_xlfn.XLOOKUP(YEAR($B76),'Oferta Producto 1'!$B$8:$B$19,'Oferta Producto 1'!$E$8:$E$19))*$AD76)/$AB76)/24</f>
        <v>0</v>
      </c>
      <c r="H76" s="35">
        <f ca="1">(((_xlfn.XLOOKUP(YEAR($B76),'Oferta Producto 1'!$B$8:$B$19,'Oferta Producto 1'!$E$8:$E$19))*$AD76)/$AB76)/24</f>
        <v>0</v>
      </c>
      <c r="I76" s="35">
        <f ca="1">(((_xlfn.XLOOKUP(YEAR($B76),'Oferta Producto 1'!$B$8:$B$19,'Oferta Producto 1'!$E$8:$E$19))*$AD76)/$AB76)/24</f>
        <v>0</v>
      </c>
      <c r="J76" s="35">
        <f ca="1">(((_xlfn.XLOOKUP(YEAR($B76),'Oferta Producto 1'!$B$8:$B$19,'Oferta Producto 1'!$E$8:$E$19))*$AD76)/$AB76)/24</f>
        <v>0</v>
      </c>
      <c r="K76" s="35">
        <f ca="1">(((_xlfn.XLOOKUP(YEAR($B76),'Oferta Producto 1'!$B$8:$B$19,'Oferta Producto 1'!$E$8:$E$19))*$AD76)/$AB76)/24</f>
        <v>0</v>
      </c>
      <c r="L76" s="35">
        <f ca="1">(((_xlfn.XLOOKUP(YEAR($B76),'Oferta Producto 1'!$B$8:$B$19,'Oferta Producto 1'!$E$8:$E$19))*$AD76)/$AB76)/24</f>
        <v>0</v>
      </c>
      <c r="M76" s="35">
        <f ca="1">(((_xlfn.XLOOKUP(YEAR($B76),'Oferta Producto 1'!$B$8:$B$19,'Oferta Producto 1'!$E$8:$E$19))*$AD76)/$AB76)/24</f>
        <v>0</v>
      </c>
      <c r="N76" s="35">
        <f ca="1">(((_xlfn.XLOOKUP(YEAR($B76),'Oferta Producto 1'!$B$8:$B$19,'Oferta Producto 1'!$E$8:$E$19))*$AD76)/$AB76)/24</f>
        <v>0</v>
      </c>
      <c r="O76" s="35">
        <f ca="1">(((_xlfn.XLOOKUP(YEAR($B76),'Oferta Producto 1'!$B$8:$B$19,'Oferta Producto 1'!$E$8:$E$19))*$AD76)/$AB76)/24</f>
        <v>0</v>
      </c>
      <c r="P76" s="35">
        <f ca="1">(((_xlfn.XLOOKUP(YEAR($B76),'Oferta Producto 1'!$B$8:$B$19,'Oferta Producto 1'!$E$8:$E$19))*$AD76)/$AB76)/24</f>
        <v>0</v>
      </c>
      <c r="Q76" s="35">
        <f ca="1">(((_xlfn.XLOOKUP(YEAR($B76),'Oferta Producto 1'!$B$8:$B$19,'Oferta Producto 1'!$E$8:$E$19))*$AD76)/$AB76)/24</f>
        <v>0</v>
      </c>
      <c r="R76" s="35">
        <f ca="1">(((_xlfn.XLOOKUP(YEAR($B76),'Oferta Producto 1'!$B$8:$B$19,'Oferta Producto 1'!$E$8:$E$19))*$AD76)/$AB76)/24</f>
        <v>0</v>
      </c>
      <c r="S76" s="35">
        <f ca="1">(((_xlfn.XLOOKUP(YEAR($B76),'Oferta Producto 1'!$B$8:$B$19,'Oferta Producto 1'!$E$8:$E$19))*$AD76)/$AB76)/24</f>
        <v>0</v>
      </c>
      <c r="T76" s="35">
        <f ca="1">(((_xlfn.XLOOKUP(YEAR($B76),'Oferta Producto 1'!$B$8:$B$19,'Oferta Producto 1'!$E$8:$E$19))*$AD76)/$AB76)/24</f>
        <v>0</v>
      </c>
      <c r="U76" s="35">
        <f ca="1">(((_xlfn.XLOOKUP(YEAR($B76),'Oferta Producto 1'!$B$8:$B$19,'Oferta Producto 1'!$E$8:$E$19))*$AD76)/$AB76)/24</f>
        <v>0</v>
      </c>
      <c r="V76" s="35">
        <f ca="1">(((_xlfn.XLOOKUP(YEAR($B76),'Oferta Producto 1'!$B$8:$B$19,'Oferta Producto 1'!$E$8:$E$19))*$AD76)/$AB76)/24</f>
        <v>0</v>
      </c>
      <c r="W76" s="35">
        <f ca="1">(((_xlfn.XLOOKUP(YEAR($B76),'Oferta Producto 1'!$B$8:$B$19,'Oferta Producto 1'!$E$8:$E$19))*$AD76)/$AB76)/24</f>
        <v>0</v>
      </c>
      <c r="X76" s="35">
        <f ca="1">(((_xlfn.XLOOKUP(YEAR($B76),'Oferta Producto 1'!$B$8:$B$19,'Oferta Producto 1'!$E$8:$E$19))*$AD76)/$AB76)/24</f>
        <v>0</v>
      </c>
      <c r="Y76" s="35">
        <f ca="1">(((_xlfn.XLOOKUP(YEAR($B76),'Oferta Producto 1'!$B$8:$B$19,'Oferta Producto 1'!$E$8:$E$19))*$AD76)/$AB76)/24</f>
        <v>0</v>
      </c>
      <c r="Z76" s="35">
        <f ca="1">(((_xlfn.XLOOKUP(YEAR($B76),'Oferta Producto 1'!$B$8:$B$19,'Oferta Producto 1'!$E$8:$E$19))*$AD76)/$AB76)/24</f>
        <v>0</v>
      </c>
      <c r="AA76" s="35">
        <f t="shared" ca="1" si="5"/>
        <v>0</v>
      </c>
      <c r="AB76" s="28">
        <f t="shared" si="7"/>
        <v>30</v>
      </c>
      <c r="AC76" s="42">
        <f t="shared" ca="1" si="8"/>
        <v>0</v>
      </c>
      <c r="AD76" s="43">
        <v>8.5889305812170275E-2</v>
      </c>
      <c r="AE76"/>
    </row>
    <row r="77" spans="1:31" ht="15.75" thickBot="1">
      <c r="A77" s="23">
        <f t="shared" si="6"/>
        <v>2031</v>
      </c>
      <c r="B77" s="27">
        <v>48183</v>
      </c>
      <c r="C77" s="35">
        <f ca="1">(((_xlfn.XLOOKUP(YEAR($B77),'Oferta Producto 1'!$B$8:$B$19,'Oferta Producto 1'!$E$8:$E$19))*$AD77)/$AB77)/24</f>
        <v>0</v>
      </c>
      <c r="D77" s="35">
        <f ca="1">(((_xlfn.XLOOKUP(YEAR($B77),'Oferta Producto 1'!$B$8:$B$19,'Oferta Producto 1'!$E$8:$E$19))*$AD77)/$AB77)/24</f>
        <v>0</v>
      </c>
      <c r="E77" s="35">
        <f ca="1">(((_xlfn.XLOOKUP(YEAR($B77),'Oferta Producto 1'!$B$8:$B$19,'Oferta Producto 1'!$E$8:$E$19))*$AD77)/$AB77)/24</f>
        <v>0</v>
      </c>
      <c r="F77" s="35">
        <f ca="1">(((_xlfn.XLOOKUP(YEAR($B77),'Oferta Producto 1'!$B$8:$B$19,'Oferta Producto 1'!$E$8:$E$19))*$AD77)/$AB77)/24</f>
        <v>0</v>
      </c>
      <c r="G77" s="35">
        <f ca="1">(((_xlfn.XLOOKUP(YEAR($B77),'Oferta Producto 1'!$B$8:$B$19,'Oferta Producto 1'!$E$8:$E$19))*$AD77)/$AB77)/24</f>
        <v>0</v>
      </c>
      <c r="H77" s="35">
        <f ca="1">(((_xlfn.XLOOKUP(YEAR($B77),'Oferta Producto 1'!$B$8:$B$19,'Oferta Producto 1'!$E$8:$E$19))*$AD77)/$AB77)/24</f>
        <v>0</v>
      </c>
      <c r="I77" s="35">
        <f ca="1">(((_xlfn.XLOOKUP(YEAR($B77),'Oferta Producto 1'!$B$8:$B$19,'Oferta Producto 1'!$E$8:$E$19))*$AD77)/$AB77)/24</f>
        <v>0</v>
      </c>
      <c r="J77" s="35">
        <f ca="1">(((_xlfn.XLOOKUP(YEAR($B77),'Oferta Producto 1'!$B$8:$B$19,'Oferta Producto 1'!$E$8:$E$19))*$AD77)/$AB77)/24</f>
        <v>0</v>
      </c>
      <c r="K77" s="35">
        <f ca="1">(((_xlfn.XLOOKUP(YEAR($B77),'Oferta Producto 1'!$B$8:$B$19,'Oferta Producto 1'!$E$8:$E$19))*$AD77)/$AB77)/24</f>
        <v>0</v>
      </c>
      <c r="L77" s="35">
        <f ca="1">(((_xlfn.XLOOKUP(YEAR($B77),'Oferta Producto 1'!$B$8:$B$19,'Oferta Producto 1'!$E$8:$E$19))*$AD77)/$AB77)/24</f>
        <v>0</v>
      </c>
      <c r="M77" s="35">
        <f ca="1">(((_xlfn.XLOOKUP(YEAR($B77),'Oferta Producto 1'!$B$8:$B$19,'Oferta Producto 1'!$E$8:$E$19))*$AD77)/$AB77)/24</f>
        <v>0</v>
      </c>
      <c r="N77" s="35">
        <f ca="1">(((_xlfn.XLOOKUP(YEAR($B77),'Oferta Producto 1'!$B$8:$B$19,'Oferta Producto 1'!$E$8:$E$19))*$AD77)/$AB77)/24</f>
        <v>0</v>
      </c>
      <c r="O77" s="35">
        <f ca="1">(((_xlfn.XLOOKUP(YEAR($B77),'Oferta Producto 1'!$B$8:$B$19,'Oferta Producto 1'!$E$8:$E$19))*$AD77)/$AB77)/24</f>
        <v>0</v>
      </c>
      <c r="P77" s="35">
        <f ca="1">(((_xlfn.XLOOKUP(YEAR($B77),'Oferta Producto 1'!$B$8:$B$19,'Oferta Producto 1'!$E$8:$E$19))*$AD77)/$AB77)/24</f>
        <v>0</v>
      </c>
      <c r="Q77" s="35">
        <f ca="1">(((_xlfn.XLOOKUP(YEAR($B77),'Oferta Producto 1'!$B$8:$B$19,'Oferta Producto 1'!$E$8:$E$19))*$AD77)/$AB77)/24</f>
        <v>0</v>
      </c>
      <c r="R77" s="35">
        <f ca="1">(((_xlfn.XLOOKUP(YEAR($B77),'Oferta Producto 1'!$B$8:$B$19,'Oferta Producto 1'!$E$8:$E$19))*$AD77)/$AB77)/24</f>
        <v>0</v>
      </c>
      <c r="S77" s="35">
        <f ca="1">(((_xlfn.XLOOKUP(YEAR($B77),'Oferta Producto 1'!$B$8:$B$19,'Oferta Producto 1'!$E$8:$E$19))*$AD77)/$AB77)/24</f>
        <v>0</v>
      </c>
      <c r="T77" s="35">
        <f ca="1">(((_xlfn.XLOOKUP(YEAR($B77),'Oferta Producto 1'!$B$8:$B$19,'Oferta Producto 1'!$E$8:$E$19))*$AD77)/$AB77)/24</f>
        <v>0</v>
      </c>
      <c r="U77" s="35">
        <f ca="1">(((_xlfn.XLOOKUP(YEAR($B77),'Oferta Producto 1'!$B$8:$B$19,'Oferta Producto 1'!$E$8:$E$19))*$AD77)/$AB77)/24</f>
        <v>0</v>
      </c>
      <c r="V77" s="35">
        <f ca="1">(((_xlfn.XLOOKUP(YEAR($B77),'Oferta Producto 1'!$B$8:$B$19,'Oferta Producto 1'!$E$8:$E$19))*$AD77)/$AB77)/24</f>
        <v>0</v>
      </c>
      <c r="W77" s="35">
        <f ca="1">(((_xlfn.XLOOKUP(YEAR($B77),'Oferta Producto 1'!$B$8:$B$19,'Oferta Producto 1'!$E$8:$E$19))*$AD77)/$AB77)/24</f>
        <v>0</v>
      </c>
      <c r="X77" s="35">
        <f ca="1">(((_xlfn.XLOOKUP(YEAR($B77),'Oferta Producto 1'!$B$8:$B$19,'Oferta Producto 1'!$E$8:$E$19))*$AD77)/$AB77)/24</f>
        <v>0</v>
      </c>
      <c r="Y77" s="35">
        <f ca="1">(((_xlfn.XLOOKUP(YEAR($B77),'Oferta Producto 1'!$B$8:$B$19,'Oferta Producto 1'!$E$8:$E$19))*$AD77)/$AB77)/24</f>
        <v>0</v>
      </c>
      <c r="Z77" s="35">
        <f ca="1">(((_xlfn.XLOOKUP(YEAR($B77),'Oferta Producto 1'!$B$8:$B$19,'Oferta Producto 1'!$E$8:$E$19))*$AD77)/$AB77)/24</f>
        <v>0</v>
      </c>
      <c r="AA77" s="35">
        <f t="shared" ca="1" si="5"/>
        <v>0</v>
      </c>
      <c r="AB77" s="28">
        <f t="shared" si="7"/>
        <v>31</v>
      </c>
      <c r="AC77" s="42">
        <f t="shared" ca="1" si="8"/>
        <v>0</v>
      </c>
      <c r="AD77" s="43">
        <v>7.9754971862961654E-2</v>
      </c>
      <c r="AE77"/>
    </row>
    <row r="78" spans="1:31" ht="15.75" thickBot="1">
      <c r="A78" s="23">
        <f t="shared" si="6"/>
        <v>2032</v>
      </c>
      <c r="B78" s="27">
        <v>48214</v>
      </c>
      <c r="C78" s="35">
        <f ca="1">(((_xlfn.XLOOKUP(YEAR($B78),'Oferta Producto 1'!$B$8:$B$19,'Oferta Producto 1'!$E$8:$E$19))*$AD78)/$AB78)/24</f>
        <v>0</v>
      </c>
      <c r="D78" s="35">
        <f ca="1">(((_xlfn.XLOOKUP(YEAR($B78),'Oferta Producto 1'!$B$8:$B$19,'Oferta Producto 1'!$E$8:$E$19))*$AD78)/$AB78)/24</f>
        <v>0</v>
      </c>
      <c r="E78" s="35">
        <f ca="1">(((_xlfn.XLOOKUP(YEAR($B78),'Oferta Producto 1'!$B$8:$B$19,'Oferta Producto 1'!$E$8:$E$19))*$AD78)/$AB78)/24</f>
        <v>0</v>
      </c>
      <c r="F78" s="35">
        <f ca="1">(((_xlfn.XLOOKUP(YEAR($B78),'Oferta Producto 1'!$B$8:$B$19,'Oferta Producto 1'!$E$8:$E$19))*$AD78)/$AB78)/24</f>
        <v>0</v>
      </c>
      <c r="G78" s="35">
        <f ca="1">(((_xlfn.XLOOKUP(YEAR($B78),'Oferta Producto 1'!$B$8:$B$19,'Oferta Producto 1'!$E$8:$E$19))*$AD78)/$AB78)/24</f>
        <v>0</v>
      </c>
      <c r="H78" s="35">
        <f ca="1">(((_xlfn.XLOOKUP(YEAR($B78),'Oferta Producto 1'!$B$8:$B$19,'Oferta Producto 1'!$E$8:$E$19))*$AD78)/$AB78)/24</f>
        <v>0</v>
      </c>
      <c r="I78" s="35">
        <f ca="1">(((_xlfn.XLOOKUP(YEAR($B78),'Oferta Producto 1'!$B$8:$B$19,'Oferta Producto 1'!$E$8:$E$19))*$AD78)/$AB78)/24</f>
        <v>0</v>
      </c>
      <c r="J78" s="35">
        <f ca="1">(((_xlfn.XLOOKUP(YEAR($B78),'Oferta Producto 1'!$B$8:$B$19,'Oferta Producto 1'!$E$8:$E$19))*$AD78)/$AB78)/24</f>
        <v>0</v>
      </c>
      <c r="K78" s="35">
        <f ca="1">(((_xlfn.XLOOKUP(YEAR($B78),'Oferta Producto 1'!$B$8:$B$19,'Oferta Producto 1'!$E$8:$E$19))*$AD78)/$AB78)/24</f>
        <v>0</v>
      </c>
      <c r="L78" s="35">
        <f ca="1">(((_xlfn.XLOOKUP(YEAR($B78),'Oferta Producto 1'!$B$8:$B$19,'Oferta Producto 1'!$E$8:$E$19))*$AD78)/$AB78)/24</f>
        <v>0</v>
      </c>
      <c r="M78" s="35">
        <f ca="1">(((_xlfn.XLOOKUP(YEAR($B78),'Oferta Producto 1'!$B$8:$B$19,'Oferta Producto 1'!$E$8:$E$19))*$AD78)/$AB78)/24</f>
        <v>0</v>
      </c>
      <c r="N78" s="35">
        <f ca="1">(((_xlfn.XLOOKUP(YEAR($B78),'Oferta Producto 1'!$B$8:$B$19,'Oferta Producto 1'!$E$8:$E$19))*$AD78)/$AB78)/24</f>
        <v>0</v>
      </c>
      <c r="O78" s="35">
        <f ca="1">(((_xlfn.XLOOKUP(YEAR($B78),'Oferta Producto 1'!$B$8:$B$19,'Oferta Producto 1'!$E$8:$E$19))*$AD78)/$AB78)/24</f>
        <v>0</v>
      </c>
      <c r="P78" s="35">
        <f ca="1">(((_xlfn.XLOOKUP(YEAR($B78),'Oferta Producto 1'!$B$8:$B$19,'Oferta Producto 1'!$E$8:$E$19))*$AD78)/$AB78)/24</f>
        <v>0</v>
      </c>
      <c r="Q78" s="35">
        <f ca="1">(((_xlfn.XLOOKUP(YEAR($B78),'Oferta Producto 1'!$B$8:$B$19,'Oferta Producto 1'!$E$8:$E$19))*$AD78)/$AB78)/24</f>
        <v>0</v>
      </c>
      <c r="R78" s="35">
        <f ca="1">(((_xlfn.XLOOKUP(YEAR($B78),'Oferta Producto 1'!$B$8:$B$19,'Oferta Producto 1'!$E$8:$E$19))*$AD78)/$AB78)/24</f>
        <v>0</v>
      </c>
      <c r="S78" s="35">
        <f ca="1">(((_xlfn.XLOOKUP(YEAR($B78),'Oferta Producto 1'!$B$8:$B$19,'Oferta Producto 1'!$E$8:$E$19))*$AD78)/$AB78)/24</f>
        <v>0</v>
      </c>
      <c r="T78" s="35">
        <f ca="1">(((_xlfn.XLOOKUP(YEAR($B78),'Oferta Producto 1'!$B$8:$B$19,'Oferta Producto 1'!$E$8:$E$19))*$AD78)/$AB78)/24</f>
        <v>0</v>
      </c>
      <c r="U78" s="35">
        <f ca="1">(((_xlfn.XLOOKUP(YEAR($B78),'Oferta Producto 1'!$B$8:$B$19,'Oferta Producto 1'!$E$8:$E$19))*$AD78)/$AB78)/24</f>
        <v>0</v>
      </c>
      <c r="V78" s="35">
        <f ca="1">(((_xlfn.XLOOKUP(YEAR($B78),'Oferta Producto 1'!$B$8:$B$19,'Oferta Producto 1'!$E$8:$E$19))*$AD78)/$AB78)/24</f>
        <v>0</v>
      </c>
      <c r="W78" s="35">
        <f ca="1">(((_xlfn.XLOOKUP(YEAR($B78),'Oferta Producto 1'!$B$8:$B$19,'Oferta Producto 1'!$E$8:$E$19))*$AD78)/$AB78)/24</f>
        <v>0</v>
      </c>
      <c r="X78" s="35">
        <f ca="1">(((_xlfn.XLOOKUP(YEAR($B78),'Oferta Producto 1'!$B$8:$B$19,'Oferta Producto 1'!$E$8:$E$19))*$AD78)/$AB78)/24</f>
        <v>0</v>
      </c>
      <c r="Y78" s="35">
        <f ca="1">(((_xlfn.XLOOKUP(YEAR($B78),'Oferta Producto 1'!$B$8:$B$19,'Oferta Producto 1'!$E$8:$E$19))*$AD78)/$AB78)/24</f>
        <v>0</v>
      </c>
      <c r="Z78" s="35">
        <f ca="1">(((_xlfn.XLOOKUP(YEAR($B78),'Oferta Producto 1'!$B$8:$B$19,'Oferta Producto 1'!$E$8:$E$19))*$AD78)/$AB78)/24</f>
        <v>0</v>
      </c>
      <c r="AA78" s="35">
        <f t="shared" ca="1" si="5"/>
        <v>0</v>
      </c>
      <c r="AB78" s="28">
        <f t="shared" si="7"/>
        <v>31</v>
      </c>
      <c r="AC78" s="42">
        <f t="shared" ca="1" si="8"/>
        <v>0</v>
      </c>
      <c r="AD78" s="43">
        <v>8.0265408717452039E-2</v>
      </c>
      <c r="AE78"/>
    </row>
    <row r="79" spans="1:31" ht="15.75" thickBot="1">
      <c r="A79" s="23">
        <f t="shared" si="6"/>
        <v>2032</v>
      </c>
      <c r="B79" s="27">
        <v>48245</v>
      </c>
      <c r="C79" s="35">
        <f ca="1">(((_xlfn.XLOOKUP(YEAR($B79),'Oferta Producto 1'!$B$8:$B$19,'Oferta Producto 1'!$E$8:$E$19))*$AD79)/$AB79)/24</f>
        <v>0</v>
      </c>
      <c r="D79" s="35">
        <f ca="1">(((_xlfn.XLOOKUP(YEAR($B79),'Oferta Producto 1'!$B$8:$B$19,'Oferta Producto 1'!$E$8:$E$19))*$AD79)/$AB79)/24</f>
        <v>0</v>
      </c>
      <c r="E79" s="35">
        <f ca="1">(((_xlfn.XLOOKUP(YEAR($B79),'Oferta Producto 1'!$B$8:$B$19,'Oferta Producto 1'!$E$8:$E$19))*$AD79)/$AB79)/24</f>
        <v>0</v>
      </c>
      <c r="F79" s="35">
        <f ca="1">(((_xlfn.XLOOKUP(YEAR($B79),'Oferta Producto 1'!$B$8:$B$19,'Oferta Producto 1'!$E$8:$E$19))*$AD79)/$AB79)/24</f>
        <v>0</v>
      </c>
      <c r="G79" s="35">
        <f ca="1">(((_xlfn.XLOOKUP(YEAR($B79),'Oferta Producto 1'!$B$8:$B$19,'Oferta Producto 1'!$E$8:$E$19))*$AD79)/$AB79)/24</f>
        <v>0</v>
      </c>
      <c r="H79" s="35">
        <f ca="1">(((_xlfn.XLOOKUP(YEAR($B79),'Oferta Producto 1'!$B$8:$B$19,'Oferta Producto 1'!$E$8:$E$19))*$AD79)/$AB79)/24</f>
        <v>0</v>
      </c>
      <c r="I79" s="35">
        <f ca="1">(((_xlfn.XLOOKUP(YEAR($B79),'Oferta Producto 1'!$B$8:$B$19,'Oferta Producto 1'!$E$8:$E$19))*$AD79)/$AB79)/24</f>
        <v>0</v>
      </c>
      <c r="J79" s="35">
        <f ca="1">(((_xlfn.XLOOKUP(YEAR($B79),'Oferta Producto 1'!$B$8:$B$19,'Oferta Producto 1'!$E$8:$E$19))*$AD79)/$AB79)/24</f>
        <v>0</v>
      </c>
      <c r="K79" s="35">
        <f ca="1">(((_xlfn.XLOOKUP(YEAR($B79),'Oferta Producto 1'!$B$8:$B$19,'Oferta Producto 1'!$E$8:$E$19))*$AD79)/$AB79)/24</f>
        <v>0</v>
      </c>
      <c r="L79" s="35">
        <f ca="1">(((_xlfn.XLOOKUP(YEAR($B79),'Oferta Producto 1'!$B$8:$B$19,'Oferta Producto 1'!$E$8:$E$19))*$AD79)/$AB79)/24</f>
        <v>0</v>
      </c>
      <c r="M79" s="35">
        <f ca="1">(((_xlfn.XLOOKUP(YEAR($B79),'Oferta Producto 1'!$B$8:$B$19,'Oferta Producto 1'!$E$8:$E$19))*$AD79)/$AB79)/24</f>
        <v>0</v>
      </c>
      <c r="N79" s="35">
        <f ca="1">(((_xlfn.XLOOKUP(YEAR($B79),'Oferta Producto 1'!$B$8:$B$19,'Oferta Producto 1'!$E$8:$E$19))*$AD79)/$AB79)/24</f>
        <v>0</v>
      </c>
      <c r="O79" s="35">
        <f ca="1">(((_xlfn.XLOOKUP(YEAR($B79),'Oferta Producto 1'!$B$8:$B$19,'Oferta Producto 1'!$E$8:$E$19))*$AD79)/$AB79)/24</f>
        <v>0</v>
      </c>
      <c r="P79" s="35">
        <f ca="1">(((_xlfn.XLOOKUP(YEAR($B79),'Oferta Producto 1'!$B$8:$B$19,'Oferta Producto 1'!$E$8:$E$19))*$AD79)/$AB79)/24</f>
        <v>0</v>
      </c>
      <c r="Q79" s="35">
        <f ca="1">(((_xlfn.XLOOKUP(YEAR($B79),'Oferta Producto 1'!$B$8:$B$19,'Oferta Producto 1'!$E$8:$E$19))*$AD79)/$AB79)/24</f>
        <v>0</v>
      </c>
      <c r="R79" s="35">
        <f ca="1">(((_xlfn.XLOOKUP(YEAR($B79),'Oferta Producto 1'!$B$8:$B$19,'Oferta Producto 1'!$E$8:$E$19))*$AD79)/$AB79)/24</f>
        <v>0</v>
      </c>
      <c r="S79" s="35">
        <f ca="1">(((_xlfn.XLOOKUP(YEAR($B79),'Oferta Producto 1'!$B$8:$B$19,'Oferta Producto 1'!$E$8:$E$19))*$AD79)/$AB79)/24</f>
        <v>0</v>
      </c>
      <c r="T79" s="35">
        <f ca="1">(((_xlfn.XLOOKUP(YEAR($B79),'Oferta Producto 1'!$B$8:$B$19,'Oferta Producto 1'!$E$8:$E$19))*$AD79)/$AB79)/24</f>
        <v>0</v>
      </c>
      <c r="U79" s="35">
        <f ca="1">(((_xlfn.XLOOKUP(YEAR($B79),'Oferta Producto 1'!$B$8:$B$19,'Oferta Producto 1'!$E$8:$E$19))*$AD79)/$AB79)/24</f>
        <v>0</v>
      </c>
      <c r="V79" s="35">
        <f ca="1">(((_xlfn.XLOOKUP(YEAR($B79),'Oferta Producto 1'!$B$8:$B$19,'Oferta Producto 1'!$E$8:$E$19))*$AD79)/$AB79)/24</f>
        <v>0</v>
      </c>
      <c r="W79" s="35">
        <f ca="1">(((_xlfn.XLOOKUP(YEAR($B79),'Oferta Producto 1'!$B$8:$B$19,'Oferta Producto 1'!$E$8:$E$19))*$AD79)/$AB79)/24</f>
        <v>0</v>
      </c>
      <c r="X79" s="35">
        <f ca="1">(((_xlfn.XLOOKUP(YEAR($B79),'Oferta Producto 1'!$B$8:$B$19,'Oferta Producto 1'!$E$8:$E$19))*$AD79)/$AB79)/24</f>
        <v>0</v>
      </c>
      <c r="Y79" s="35">
        <f ca="1">(((_xlfn.XLOOKUP(YEAR($B79),'Oferta Producto 1'!$B$8:$B$19,'Oferta Producto 1'!$E$8:$E$19))*$AD79)/$AB79)/24</f>
        <v>0</v>
      </c>
      <c r="Z79" s="35">
        <f ca="1">(((_xlfn.XLOOKUP(YEAR($B79),'Oferta Producto 1'!$B$8:$B$19,'Oferta Producto 1'!$E$8:$E$19))*$AD79)/$AB79)/24</f>
        <v>0</v>
      </c>
      <c r="AA79" s="35">
        <f t="shared" ca="1" si="5"/>
        <v>0</v>
      </c>
      <c r="AB79" s="28">
        <f t="shared" si="7"/>
        <v>29</v>
      </c>
      <c r="AC79" s="42">
        <f t="shared" ca="1" si="8"/>
        <v>0</v>
      </c>
      <c r="AD79" s="43">
        <v>9.2537107180977254E-2</v>
      </c>
      <c r="AE79"/>
    </row>
    <row r="80" spans="1:31" ht="15.75" thickBot="1">
      <c r="A80" s="23">
        <f t="shared" si="6"/>
        <v>2032</v>
      </c>
      <c r="B80" s="27">
        <v>48274</v>
      </c>
      <c r="C80" s="35">
        <f ca="1">(((_xlfn.XLOOKUP(YEAR($B80),'Oferta Producto 1'!$B$8:$B$19,'Oferta Producto 1'!$E$8:$E$19))*$AD80)/$AB80)/24</f>
        <v>0</v>
      </c>
      <c r="D80" s="35">
        <f ca="1">(((_xlfn.XLOOKUP(YEAR($B80),'Oferta Producto 1'!$B$8:$B$19,'Oferta Producto 1'!$E$8:$E$19))*$AD80)/$AB80)/24</f>
        <v>0</v>
      </c>
      <c r="E80" s="35">
        <f ca="1">(((_xlfn.XLOOKUP(YEAR($B80),'Oferta Producto 1'!$B$8:$B$19,'Oferta Producto 1'!$E$8:$E$19))*$AD80)/$AB80)/24</f>
        <v>0</v>
      </c>
      <c r="F80" s="35">
        <f ca="1">(((_xlfn.XLOOKUP(YEAR($B80),'Oferta Producto 1'!$B$8:$B$19,'Oferta Producto 1'!$E$8:$E$19))*$AD80)/$AB80)/24</f>
        <v>0</v>
      </c>
      <c r="G80" s="35">
        <f ca="1">(((_xlfn.XLOOKUP(YEAR($B80),'Oferta Producto 1'!$B$8:$B$19,'Oferta Producto 1'!$E$8:$E$19))*$AD80)/$AB80)/24</f>
        <v>0</v>
      </c>
      <c r="H80" s="35">
        <f ca="1">(((_xlfn.XLOOKUP(YEAR($B80),'Oferta Producto 1'!$B$8:$B$19,'Oferta Producto 1'!$E$8:$E$19))*$AD80)/$AB80)/24</f>
        <v>0</v>
      </c>
      <c r="I80" s="35">
        <f ca="1">(((_xlfn.XLOOKUP(YEAR($B80),'Oferta Producto 1'!$B$8:$B$19,'Oferta Producto 1'!$E$8:$E$19))*$AD80)/$AB80)/24</f>
        <v>0</v>
      </c>
      <c r="J80" s="35">
        <f ca="1">(((_xlfn.XLOOKUP(YEAR($B80),'Oferta Producto 1'!$B$8:$B$19,'Oferta Producto 1'!$E$8:$E$19))*$AD80)/$AB80)/24</f>
        <v>0</v>
      </c>
      <c r="K80" s="35">
        <f ca="1">(((_xlfn.XLOOKUP(YEAR($B80),'Oferta Producto 1'!$B$8:$B$19,'Oferta Producto 1'!$E$8:$E$19))*$AD80)/$AB80)/24</f>
        <v>0</v>
      </c>
      <c r="L80" s="35">
        <f ca="1">(((_xlfn.XLOOKUP(YEAR($B80),'Oferta Producto 1'!$B$8:$B$19,'Oferta Producto 1'!$E$8:$E$19))*$AD80)/$AB80)/24</f>
        <v>0</v>
      </c>
      <c r="M80" s="35">
        <f ca="1">(((_xlfn.XLOOKUP(YEAR($B80),'Oferta Producto 1'!$B$8:$B$19,'Oferta Producto 1'!$E$8:$E$19))*$AD80)/$AB80)/24</f>
        <v>0</v>
      </c>
      <c r="N80" s="35">
        <f ca="1">(((_xlfn.XLOOKUP(YEAR($B80),'Oferta Producto 1'!$B$8:$B$19,'Oferta Producto 1'!$E$8:$E$19))*$AD80)/$AB80)/24</f>
        <v>0</v>
      </c>
      <c r="O80" s="35">
        <f ca="1">(((_xlfn.XLOOKUP(YEAR($B80),'Oferta Producto 1'!$B$8:$B$19,'Oferta Producto 1'!$E$8:$E$19))*$AD80)/$AB80)/24</f>
        <v>0</v>
      </c>
      <c r="P80" s="35">
        <f ca="1">(((_xlfn.XLOOKUP(YEAR($B80),'Oferta Producto 1'!$B$8:$B$19,'Oferta Producto 1'!$E$8:$E$19))*$AD80)/$AB80)/24</f>
        <v>0</v>
      </c>
      <c r="Q80" s="35">
        <f ca="1">(((_xlfn.XLOOKUP(YEAR($B80),'Oferta Producto 1'!$B$8:$B$19,'Oferta Producto 1'!$E$8:$E$19))*$AD80)/$AB80)/24</f>
        <v>0</v>
      </c>
      <c r="R80" s="35">
        <f ca="1">(((_xlfn.XLOOKUP(YEAR($B80),'Oferta Producto 1'!$B$8:$B$19,'Oferta Producto 1'!$E$8:$E$19))*$AD80)/$AB80)/24</f>
        <v>0</v>
      </c>
      <c r="S80" s="35">
        <f ca="1">(((_xlfn.XLOOKUP(YEAR($B80),'Oferta Producto 1'!$B$8:$B$19,'Oferta Producto 1'!$E$8:$E$19))*$AD80)/$AB80)/24</f>
        <v>0</v>
      </c>
      <c r="T80" s="35">
        <f ca="1">(((_xlfn.XLOOKUP(YEAR($B80),'Oferta Producto 1'!$B$8:$B$19,'Oferta Producto 1'!$E$8:$E$19))*$AD80)/$AB80)/24</f>
        <v>0</v>
      </c>
      <c r="U80" s="35">
        <f ca="1">(((_xlfn.XLOOKUP(YEAR($B80),'Oferta Producto 1'!$B$8:$B$19,'Oferta Producto 1'!$E$8:$E$19))*$AD80)/$AB80)/24</f>
        <v>0</v>
      </c>
      <c r="V80" s="35">
        <f ca="1">(((_xlfn.XLOOKUP(YEAR($B80),'Oferta Producto 1'!$B$8:$B$19,'Oferta Producto 1'!$E$8:$E$19))*$AD80)/$AB80)/24</f>
        <v>0</v>
      </c>
      <c r="W80" s="35">
        <f ca="1">(((_xlfn.XLOOKUP(YEAR($B80),'Oferta Producto 1'!$B$8:$B$19,'Oferta Producto 1'!$E$8:$E$19))*$AD80)/$AB80)/24</f>
        <v>0</v>
      </c>
      <c r="X80" s="35">
        <f ca="1">(((_xlfn.XLOOKUP(YEAR($B80),'Oferta Producto 1'!$B$8:$B$19,'Oferta Producto 1'!$E$8:$E$19))*$AD80)/$AB80)/24</f>
        <v>0</v>
      </c>
      <c r="Y80" s="35">
        <f ca="1">(((_xlfn.XLOOKUP(YEAR($B80),'Oferta Producto 1'!$B$8:$B$19,'Oferta Producto 1'!$E$8:$E$19))*$AD80)/$AB80)/24</f>
        <v>0</v>
      </c>
      <c r="Z80" s="35">
        <f ca="1">(((_xlfn.XLOOKUP(YEAR($B80),'Oferta Producto 1'!$B$8:$B$19,'Oferta Producto 1'!$E$8:$E$19))*$AD80)/$AB80)/24</f>
        <v>0</v>
      </c>
      <c r="AA80" s="35">
        <f t="shared" ca="1" si="5"/>
        <v>0</v>
      </c>
      <c r="AB80" s="28">
        <f t="shared" si="7"/>
        <v>31</v>
      </c>
      <c r="AC80" s="42">
        <f t="shared" ca="1" si="8"/>
        <v>0</v>
      </c>
      <c r="AD80" s="43">
        <v>8.0265408717452039E-2</v>
      </c>
      <c r="AE80"/>
    </row>
    <row r="81" spans="1:31" ht="15.75" thickBot="1">
      <c r="A81" s="23">
        <f t="shared" si="6"/>
        <v>2032</v>
      </c>
      <c r="B81" s="27">
        <v>48305</v>
      </c>
      <c r="C81" s="35">
        <f ca="1">(((_xlfn.XLOOKUP(YEAR($B81),'Oferta Producto 1'!$B$8:$B$19,'Oferta Producto 1'!$E$8:$E$19))*$AD81)/$AB81)/24</f>
        <v>0</v>
      </c>
      <c r="D81" s="35">
        <f ca="1">(((_xlfn.XLOOKUP(YEAR($B81),'Oferta Producto 1'!$B$8:$B$19,'Oferta Producto 1'!$E$8:$E$19))*$AD81)/$AB81)/24</f>
        <v>0</v>
      </c>
      <c r="E81" s="35">
        <f ca="1">(((_xlfn.XLOOKUP(YEAR($B81),'Oferta Producto 1'!$B$8:$B$19,'Oferta Producto 1'!$E$8:$E$19))*$AD81)/$AB81)/24</f>
        <v>0</v>
      </c>
      <c r="F81" s="35">
        <f ca="1">(((_xlfn.XLOOKUP(YEAR($B81),'Oferta Producto 1'!$B$8:$B$19,'Oferta Producto 1'!$E$8:$E$19))*$AD81)/$AB81)/24</f>
        <v>0</v>
      </c>
      <c r="G81" s="35">
        <f ca="1">(((_xlfn.XLOOKUP(YEAR($B81),'Oferta Producto 1'!$B$8:$B$19,'Oferta Producto 1'!$E$8:$E$19))*$AD81)/$AB81)/24</f>
        <v>0</v>
      </c>
      <c r="H81" s="35">
        <f ca="1">(((_xlfn.XLOOKUP(YEAR($B81),'Oferta Producto 1'!$B$8:$B$19,'Oferta Producto 1'!$E$8:$E$19))*$AD81)/$AB81)/24</f>
        <v>0</v>
      </c>
      <c r="I81" s="35">
        <f ca="1">(((_xlfn.XLOOKUP(YEAR($B81),'Oferta Producto 1'!$B$8:$B$19,'Oferta Producto 1'!$E$8:$E$19))*$AD81)/$AB81)/24</f>
        <v>0</v>
      </c>
      <c r="J81" s="35">
        <f ca="1">(((_xlfn.XLOOKUP(YEAR($B81),'Oferta Producto 1'!$B$8:$B$19,'Oferta Producto 1'!$E$8:$E$19))*$AD81)/$AB81)/24</f>
        <v>0</v>
      </c>
      <c r="K81" s="35">
        <f ca="1">(((_xlfn.XLOOKUP(YEAR($B81),'Oferta Producto 1'!$B$8:$B$19,'Oferta Producto 1'!$E$8:$E$19))*$AD81)/$AB81)/24</f>
        <v>0</v>
      </c>
      <c r="L81" s="35">
        <f ca="1">(((_xlfn.XLOOKUP(YEAR($B81),'Oferta Producto 1'!$B$8:$B$19,'Oferta Producto 1'!$E$8:$E$19))*$AD81)/$AB81)/24</f>
        <v>0</v>
      </c>
      <c r="M81" s="35">
        <f ca="1">(((_xlfn.XLOOKUP(YEAR($B81),'Oferta Producto 1'!$B$8:$B$19,'Oferta Producto 1'!$E$8:$E$19))*$AD81)/$AB81)/24</f>
        <v>0</v>
      </c>
      <c r="N81" s="35">
        <f ca="1">(((_xlfn.XLOOKUP(YEAR($B81),'Oferta Producto 1'!$B$8:$B$19,'Oferta Producto 1'!$E$8:$E$19))*$AD81)/$AB81)/24</f>
        <v>0</v>
      </c>
      <c r="O81" s="35">
        <f ca="1">(((_xlfn.XLOOKUP(YEAR($B81),'Oferta Producto 1'!$B$8:$B$19,'Oferta Producto 1'!$E$8:$E$19))*$AD81)/$AB81)/24</f>
        <v>0</v>
      </c>
      <c r="P81" s="35">
        <f ca="1">(((_xlfn.XLOOKUP(YEAR($B81),'Oferta Producto 1'!$B$8:$B$19,'Oferta Producto 1'!$E$8:$E$19))*$AD81)/$AB81)/24</f>
        <v>0</v>
      </c>
      <c r="Q81" s="35">
        <f ca="1">(((_xlfn.XLOOKUP(YEAR($B81),'Oferta Producto 1'!$B$8:$B$19,'Oferta Producto 1'!$E$8:$E$19))*$AD81)/$AB81)/24</f>
        <v>0</v>
      </c>
      <c r="R81" s="35">
        <f ca="1">(((_xlfn.XLOOKUP(YEAR($B81),'Oferta Producto 1'!$B$8:$B$19,'Oferta Producto 1'!$E$8:$E$19))*$AD81)/$AB81)/24</f>
        <v>0</v>
      </c>
      <c r="S81" s="35">
        <f ca="1">(((_xlfn.XLOOKUP(YEAR($B81),'Oferta Producto 1'!$B$8:$B$19,'Oferta Producto 1'!$E$8:$E$19))*$AD81)/$AB81)/24</f>
        <v>0</v>
      </c>
      <c r="T81" s="35">
        <f ca="1">(((_xlfn.XLOOKUP(YEAR($B81),'Oferta Producto 1'!$B$8:$B$19,'Oferta Producto 1'!$E$8:$E$19))*$AD81)/$AB81)/24</f>
        <v>0</v>
      </c>
      <c r="U81" s="35">
        <f ca="1">(((_xlfn.XLOOKUP(YEAR($B81),'Oferta Producto 1'!$B$8:$B$19,'Oferta Producto 1'!$E$8:$E$19))*$AD81)/$AB81)/24</f>
        <v>0</v>
      </c>
      <c r="V81" s="35">
        <f ca="1">(((_xlfn.XLOOKUP(YEAR($B81),'Oferta Producto 1'!$B$8:$B$19,'Oferta Producto 1'!$E$8:$E$19))*$AD81)/$AB81)/24</f>
        <v>0</v>
      </c>
      <c r="W81" s="35">
        <f ca="1">(((_xlfn.XLOOKUP(YEAR($B81),'Oferta Producto 1'!$B$8:$B$19,'Oferta Producto 1'!$E$8:$E$19))*$AD81)/$AB81)/24</f>
        <v>0</v>
      </c>
      <c r="X81" s="35">
        <f ca="1">(((_xlfn.XLOOKUP(YEAR($B81),'Oferta Producto 1'!$B$8:$B$19,'Oferta Producto 1'!$E$8:$E$19))*$AD81)/$AB81)/24</f>
        <v>0</v>
      </c>
      <c r="Y81" s="35">
        <f ca="1">(((_xlfn.XLOOKUP(YEAR($B81),'Oferta Producto 1'!$B$8:$B$19,'Oferta Producto 1'!$E$8:$E$19))*$AD81)/$AB81)/24</f>
        <v>0</v>
      </c>
      <c r="Z81" s="35">
        <f ca="1">(((_xlfn.XLOOKUP(YEAR($B81),'Oferta Producto 1'!$B$8:$B$19,'Oferta Producto 1'!$E$8:$E$19))*$AD81)/$AB81)/24</f>
        <v>0</v>
      </c>
      <c r="AA81" s="35">
        <f t="shared" ca="1" si="5"/>
        <v>0</v>
      </c>
      <c r="AB81" s="28">
        <f t="shared" si="7"/>
        <v>30</v>
      </c>
      <c r="AC81" s="42">
        <f t="shared" ca="1" si="8"/>
        <v>0</v>
      </c>
      <c r="AD81" s="43">
        <v>8.6401257949214647E-2</v>
      </c>
      <c r="AE81"/>
    </row>
    <row r="82" spans="1:31" ht="15.75" thickBot="1">
      <c r="A82" s="23">
        <f t="shared" si="6"/>
        <v>2032</v>
      </c>
      <c r="B82" s="27">
        <v>48335</v>
      </c>
      <c r="C82" s="35">
        <f ca="1">(((_xlfn.XLOOKUP(YEAR($B82),'Oferta Producto 1'!$B$8:$B$19,'Oferta Producto 1'!$E$8:$E$19))*$AD82)/$AB82)/24</f>
        <v>0</v>
      </c>
      <c r="D82" s="35">
        <f ca="1">(((_xlfn.XLOOKUP(YEAR($B82),'Oferta Producto 1'!$B$8:$B$19,'Oferta Producto 1'!$E$8:$E$19))*$AD82)/$AB82)/24</f>
        <v>0</v>
      </c>
      <c r="E82" s="35">
        <f ca="1">(((_xlfn.XLOOKUP(YEAR($B82),'Oferta Producto 1'!$B$8:$B$19,'Oferta Producto 1'!$E$8:$E$19))*$AD82)/$AB82)/24</f>
        <v>0</v>
      </c>
      <c r="F82" s="35">
        <f ca="1">(((_xlfn.XLOOKUP(YEAR($B82),'Oferta Producto 1'!$B$8:$B$19,'Oferta Producto 1'!$E$8:$E$19))*$AD82)/$AB82)/24</f>
        <v>0</v>
      </c>
      <c r="G82" s="35">
        <f ca="1">(((_xlfn.XLOOKUP(YEAR($B82),'Oferta Producto 1'!$B$8:$B$19,'Oferta Producto 1'!$E$8:$E$19))*$AD82)/$AB82)/24</f>
        <v>0</v>
      </c>
      <c r="H82" s="35">
        <f ca="1">(((_xlfn.XLOOKUP(YEAR($B82),'Oferta Producto 1'!$B$8:$B$19,'Oferta Producto 1'!$E$8:$E$19))*$AD82)/$AB82)/24</f>
        <v>0</v>
      </c>
      <c r="I82" s="35">
        <f ca="1">(((_xlfn.XLOOKUP(YEAR($B82),'Oferta Producto 1'!$B$8:$B$19,'Oferta Producto 1'!$E$8:$E$19))*$AD82)/$AB82)/24</f>
        <v>0</v>
      </c>
      <c r="J82" s="35">
        <f ca="1">(((_xlfn.XLOOKUP(YEAR($B82),'Oferta Producto 1'!$B$8:$B$19,'Oferta Producto 1'!$E$8:$E$19))*$AD82)/$AB82)/24</f>
        <v>0</v>
      </c>
      <c r="K82" s="35">
        <f ca="1">(((_xlfn.XLOOKUP(YEAR($B82),'Oferta Producto 1'!$B$8:$B$19,'Oferta Producto 1'!$E$8:$E$19))*$AD82)/$AB82)/24</f>
        <v>0</v>
      </c>
      <c r="L82" s="35">
        <f ca="1">(((_xlfn.XLOOKUP(YEAR($B82),'Oferta Producto 1'!$B$8:$B$19,'Oferta Producto 1'!$E$8:$E$19))*$AD82)/$AB82)/24</f>
        <v>0</v>
      </c>
      <c r="M82" s="35">
        <f ca="1">(((_xlfn.XLOOKUP(YEAR($B82),'Oferta Producto 1'!$B$8:$B$19,'Oferta Producto 1'!$E$8:$E$19))*$AD82)/$AB82)/24</f>
        <v>0</v>
      </c>
      <c r="N82" s="35">
        <f ca="1">(((_xlfn.XLOOKUP(YEAR($B82),'Oferta Producto 1'!$B$8:$B$19,'Oferta Producto 1'!$E$8:$E$19))*$AD82)/$AB82)/24</f>
        <v>0</v>
      </c>
      <c r="O82" s="35">
        <f ca="1">(((_xlfn.XLOOKUP(YEAR($B82),'Oferta Producto 1'!$B$8:$B$19,'Oferta Producto 1'!$E$8:$E$19))*$AD82)/$AB82)/24</f>
        <v>0</v>
      </c>
      <c r="P82" s="35">
        <f ca="1">(((_xlfn.XLOOKUP(YEAR($B82),'Oferta Producto 1'!$B$8:$B$19,'Oferta Producto 1'!$E$8:$E$19))*$AD82)/$AB82)/24</f>
        <v>0</v>
      </c>
      <c r="Q82" s="35">
        <f ca="1">(((_xlfn.XLOOKUP(YEAR($B82),'Oferta Producto 1'!$B$8:$B$19,'Oferta Producto 1'!$E$8:$E$19))*$AD82)/$AB82)/24</f>
        <v>0</v>
      </c>
      <c r="R82" s="35">
        <f ca="1">(((_xlfn.XLOOKUP(YEAR($B82),'Oferta Producto 1'!$B$8:$B$19,'Oferta Producto 1'!$E$8:$E$19))*$AD82)/$AB82)/24</f>
        <v>0</v>
      </c>
      <c r="S82" s="35">
        <f ca="1">(((_xlfn.XLOOKUP(YEAR($B82),'Oferta Producto 1'!$B$8:$B$19,'Oferta Producto 1'!$E$8:$E$19))*$AD82)/$AB82)/24</f>
        <v>0</v>
      </c>
      <c r="T82" s="35">
        <f ca="1">(((_xlfn.XLOOKUP(YEAR($B82),'Oferta Producto 1'!$B$8:$B$19,'Oferta Producto 1'!$E$8:$E$19))*$AD82)/$AB82)/24</f>
        <v>0</v>
      </c>
      <c r="U82" s="35">
        <f ca="1">(((_xlfn.XLOOKUP(YEAR($B82),'Oferta Producto 1'!$B$8:$B$19,'Oferta Producto 1'!$E$8:$E$19))*$AD82)/$AB82)/24</f>
        <v>0</v>
      </c>
      <c r="V82" s="35">
        <f ca="1">(((_xlfn.XLOOKUP(YEAR($B82),'Oferta Producto 1'!$B$8:$B$19,'Oferta Producto 1'!$E$8:$E$19))*$AD82)/$AB82)/24</f>
        <v>0</v>
      </c>
      <c r="W82" s="35">
        <f ca="1">(((_xlfn.XLOOKUP(YEAR($B82),'Oferta Producto 1'!$B$8:$B$19,'Oferta Producto 1'!$E$8:$E$19))*$AD82)/$AB82)/24</f>
        <v>0</v>
      </c>
      <c r="X82" s="35">
        <f ca="1">(((_xlfn.XLOOKUP(YEAR($B82),'Oferta Producto 1'!$B$8:$B$19,'Oferta Producto 1'!$E$8:$E$19))*$AD82)/$AB82)/24</f>
        <v>0</v>
      </c>
      <c r="Y82" s="35">
        <f ca="1">(((_xlfn.XLOOKUP(YEAR($B82),'Oferta Producto 1'!$B$8:$B$19,'Oferta Producto 1'!$E$8:$E$19))*$AD82)/$AB82)/24</f>
        <v>0</v>
      </c>
      <c r="Z82" s="35">
        <f ca="1">(((_xlfn.XLOOKUP(YEAR($B82),'Oferta Producto 1'!$B$8:$B$19,'Oferta Producto 1'!$E$8:$E$19))*$AD82)/$AB82)/24</f>
        <v>0</v>
      </c>
      <c r="AA82" s="35">
        <f t="shared" ca="1" si="5"/>
        <v>0</v>
      </c>
      <c r="AB82" s="28">
        <f t="shared" si="7"/>
        <v>31</v>
      </c>
      <c r="AC82" s="42">
        <f t="shared" ca="1" si="8"/>
        <v>0</v>
      </c>
      <c r="AD82" s="43">
        <v>8.0265408717452039E-2</v>
      </c>
      <c r="AE82"/>
    </row>
    <row r="83" spans="1:31" ht="15.75" thickBot="1">
      <c r="A83" s="23">
        <f t="shared" si="6"/>
        <v>2032</v>
      </c>
      <c r="B83" s="27">
        <v>48366</v>
      </c>
      <c r="C83" s="35">
        <f ca="1">(((_xlfn.XLOOKUP(YEAR($B83),'Oferta Producto 1'!$B$8:$B$19,'Oferta Producto 1'!$E$8:$E$19))*$AD83)/$AB83)/24</f>
        <v>0</v>
      </c>
      <c r="D83" s="35">
        <f ca="1">(((_xlfn.XLOOKUP(YEAR($B83),'Oferta Producto 1'!$B$8:$B$19,'Oferta Producto 1'!$E$8:$E$19))*$AD83)/$AB83)/24</f>
        <v>0</v>
      </c>
      <c r="E83" s="35">
        <f ca="1">(((_xlfn.XLOOKUP(YEAR($B83),'Oferta Producto 1'!$B$8:$B$19,'Oferta Producto 1'!$E$8:$E$19))*$AD83)/$AB83)/24</f>
        <v>0</v>
      </c>
      <c r="F83" s="35">
        <f ca="1">(((_xlfn.XLOOKUP(YEAR($B83),'Oferta Producto 1'!$B$8:$B$19,'Oferta Producto 1'!$E$8:$E$19))*$AD83)/$AB83)/24</f>
        <v>0</v>
      </c>
      <c r="G83" s="35">
        <f ca="1">(((_xlfn.XLOOKUP(YEAR($B83),'Oferta Producto 1'!$B$8:$B$19,'Oferta Producto 1'!$E$8:$E$19))*$AD83)/$AB83)/24</f>
        <v>0</v>
      </c>
      <c r="H83" s="35">
        <f ca="1">(((_xlfn.XLOOKUP(YEAR($B83),'Oferta Producto 1'!$B$8:$B$19,'Oferta Producto 1'!$E$8:$E$19))*$AD83)/$AB83)/24</f>
        <v>0</v>
      </c>
      <c r="I83" s="35">
        <f ca="1">(((_xlfn.XLOOKUP(YEAR($B83),'Oferta Producto 1'!$B$8:$B$19,'Oferta Producto 1'!$E$8:$E$19))*$AD83)/$AB83)/24</f>
        <v>0</v>
      </c>
      <c r="J83" s="35">
        <f ca="1">(((_xlfn.XLOOKUP(YEAR($B83),'Oferta Producto 1'!$B$8:$B$19,'Oferta Producto 1'!$E$8:$E$19))*$AD83)/$AB83)/24</f>
        <v>0</v>
      </c>
      <c r="K83" s="35">
        <f ca="1">(((_xlfn.XLOOKUP(YEAR($B83),'Oferta Producto 1'!$B$8:$B$19,'Oferta Producto 1'!$E$8:$E$19))*$AD83)/$AB83)/24</f>
        <v>0</v>
      </c>
      <c r="L83" s="35">
        <f ca="1">(((_xlfn.XLOOKUP(YEAR($B83),'Oferta Producto 1'!$B$8:$B$19,'Oferta Producto 1'!$E$8:$E$19))*$AD83)/$AB83)/24</f>
        <v>0</v>
      </c>
      <c r="M83" s="35">
        <f ca="1">(((_xlfn.XLOOKUP(YEAR($B83),'Oferta Producto 1'!$B$8:$B$19,'Oferta Producto 1'!$E$8:$E$19))*$AD83)/$AB83)/24</f>
        <v>0</v>
      </c>
      <c r="N83" s="35">
        <f ca="1">(((_xlfn.XLOOKUP(YEAR($B83),'Oferta Producto 1'!$B$8:$B$19,'Oferta Producto 1'!$E$8:$E$19))*$AD83)/$AB83)/24</f>
        <v>0</v>
      </c>
      <c r="O83" s="35">
        <f ca="1">(((_xlfn.XLOOKUP(YEAR($B83),'Oferta Producto 1'!$B$8:$B$19,'Oferta Producto 1'!$E$8:$E$19))*$AD83)/$AB83)/24</f>
        <v>0</v>
      </c>
      <c r="P83" s="35">
        <f ca="1">(((_xlfn.XLOOKUP(YEAR($B83),'Oferta Producto 1'!$B$8:$B$19,'Oferta Producto 1'!$E$8:$E$19))*$AD83)/$AB83)/24</f>
        <v>0</v>
      </c>
      <c r="Q83" s="35">
        <f ca="1">(((_xlfn.XLOOKUP(YEAR($B83),'Oferta Producto 1'!$B$8:$B$19,'Oferta Producto 1'!$E$8:$E$19))*$AD83)/$AB83)/24</f>
        <v>0</v>
      </c>
      <c r="R83" s="35">
        <f ca="1">(((_xlfn.XLOOKUP(YEAR($B83),'Oferta Producto 1'!$B$8:$B$19,'Oferta Producto 1'!$E$8:$E$19))*$AD83)/$AB83)/24</f>
        <v>0</v>
      </c>
      <c r="S83" s="35">
        <f ca="1">(((_xlfn.XLOOKUP(YEAR($B83),'Oferta Producto 1'!$B$8:$B$19,'Oferta Producto 1'!$E$8:$E$19))*$AD83)/$AB83)/24</f>
        <v>0</v>
      </c>
      <c r="T83" s="35">
        <f ca="1">(((_xlfn.XLOOKUP(YEAR($B83),'Oferta Producto 1'!$B$8:$B$19,'Oferta Producto 1'!$E$8:$E$19))*$AD83)/$AB83)/24</f>
        <v>0</v>
      </c>
      <c r="U83" s="35">
        <f ca="1">(((_xlfn.XLOOKUP(YEAR($B83),'Oferta Producto 1'!$B$8:$B$19,'Oferta Producto 1'!$E$8:$E$19))*$AD83)/$AB83)/24</f>
        <v>0</v>
      </c>
      <c r="V83" s="35">
        <f ca="1">(((_xlfn.XLOOKUP(YEAR($B83),'Oferta Producto 1'!$B$8:$B$19,'Oferta Producto 1'!$E$8:$E$19))*$AD83)/$AB83)/24</f>
        <v>0</v>
      </c>
      <c r="W83" s="35">
        <f ca="1">(((_xlfn.XLOOKUP(YEAR($B83),'Oferta Producto 1'!$B$8:$B$19,'Oferta Producto 1'!$E$8:$E$19))*$AD83)/$AB83)/24</f>
        <v>0</v>
      </c>
      <c r="X83" s="35">
        <f ca="1">(((_xlfn.XLOOKUP(YEAR($B83),'Oferta Producto 1'!$B$8:$B$19,'Oferta Producto 1'!$E$8:$E$19))*$AD83)/$AB83)/24</f>
        <v>0</v>
      </c>
      <c r="Y83" s="35">
        <f ca="1">(((_xlfn.XLOOKUP(YEAR($B83),'Oferta Producto 1'!$B$8:$B$19,'Oferta Producto 1'!$E$8:$E$19))*$AD83)/$AB83)/24</f>
        <v>0</v>
      </c>
      <c r="Z83" s="35">
        <f ca="1">(((_xlfn.XLOOKUP(YEAR($B83),'Oferta Producto 1'!$B$8:$B$19,'Oferta Producto 1'!$E$8:$E$19))*$AD83)/$AB83)/24</f>
        <v>0</v>
      </c>
      <c r="AA83" s="35">
        <f t="shared" ca="1" si="5"/>
        <v>0</v>
      </c>
      <c r="AB83" s="28">
        <f t="shared" si="7"/>
        <v>30</v>
      </c>
      <c r="AC83" s="42">
        <f t="shared" ca="1" si="8"/>
        <v>0</v>
      </c>
      <c r="AD83" s="43">
        <v>8.6401257949214647E-2</v>
      </c>
      <c r="AE83"/>
    </row>
    <row r="84" spans="1:31" ht="15.75" thickBot="1">
      <c r="A84" s="23">
        <f t="shared" si="6"/>
        <v>2032</v>
      </c>
      <c r="B84" s="27">
        <v>48396</v>
      </c>
      <c r="C84" s="35">
        <f ca="1">(((_xlfn.XLOOKUP(YEAR($B84),'Oferta Producto 1'!$B$8:$B$19,'Oferta Producto 1'!$E$8:$E$19))*$AD84)/$AB84)/24</f>
        <v>0</v>
      </c>
      <c r="D84" s="35">
        <f ca="1">(((_xlfn.XLOOKUP(YEAR($B84),'Oferta Producto 1'!$B$8:$B$19,'Oferta Producto 1'!$E$8:$E$19))*$AD84)/$AB84)/24</f>
        <v>0</v>
      </c>
      <c r="E84" s="35">
        <f ca="1">(((_xlfn.XLOOKUP(YEAR($B84),'Oferta Producto 1'!$B$8:$B$19,'Oferta Producto 1'!$E$8:$E$19))*$AD84)/$AB84)/24</f>
        <v>0</v>
      </c>
      <c r="F84" s="35">
        <f ca="1">(((_xlfn.XLOOKUP(YEAR($B84),'Oferta Producto 1'!$B$8:$B$19,'Oferta Producto 1'!$E$8:$E$19))*$AD84)/$AB84)/24</f>
        <v>0</v>
      </c>
      <c r="G84" s="35">
        <f ca="1">(((_xlfn.XLOOKUP(YEAR($B84),'Oferta Producto 1'!$B$8:$B$19,'Oferta Producto 1'!$E$8:$E$19))*$AD84)/$AB84)/24</f>
        <v>0</v>
      </c>
      <c r="H84" s="35">
        <f ca="1">(((_xlfn.XLOOKUP(YEAR($B84),'Oferta Producto 1'!$B$8:$B$19,'Oferta Producto 1'!$E$8:$E$19))*$AD84)/$AB84)/24</f>
        <v>0</v>
      </c>
      <c r="I84" s="35">
        <f ca="1">(((_xlfn.XLOOKUP(YEAR($B84),'Oferta Producto 1'!$B$8:$B$19,'Oferta Producto 1'!$E$8:$E$19))*$AD84)/$AB84)/24</f>
        <v>0</v>
      </c>
      <c r="J84" s="35">
        <f ca="1">(((_xlfn.XLOOKUP(YEAR($B84),'Oferta Producto 1'!$B$8:$B$19,'Oferta Producto 1'!$E$8:$E$19))*$AD84)/$AB84)/24</f>
        <v>0</v>
      </c>
      <c r="K84" s="35">
        <f ca="1">(((_xlfn.XLOOKUP(YEAR($B84),'Oferta Producto 1'!$B$8:$B$19,'Oferta Producto 1'!$E$8:$E$19))*$AD84)/$AB84)/24</f>
        <v>0</v>
      </c>
      <c r="L84" s="35">
        <f ca="1">(((_xlfn.XLOOKUP(YEAR($B84),'Oferta Producto 1'!$B$8:$B$19,'Oferta Producto 1'!$E$8:$E$19))*$AD84)/$AB84)/24</f>
        <v>0</v>
      </c>
      <c r="M84" s="35">
        <f ca="1">(((_xlfn.XLOOKUP(YEAR($B84),'Oferta Producto 1'!$B$8:$B$19,'Oferta Producto 1'!$E$8:$E$19))*$AD84)/$AB84)/24</f>
        <v>0</v>
      </c>
      <c r="N84" s="35">
        <f ca="1">(((_xlfn.XLOOKUP(YEAR($B84),'Oferta Producto 1'!$B$8:$B$19,'Oferta Producto 1'!$E$8:$E$19))*$AD84)/$AB84)/24</f>
        <v>0</v>
      </c>
      <c r="O84" s="35">
        <f ca="1">(((_xlfn.XLOOKUP(YEAR($B84),'Oferta Producto 1'!$B$8:$B$19,'Oferta Producto 1'!$E$8:$E$19))*$AD84)/$AB84)/24</f>
        <v>0</v>
      </c>
      <c r="P84" s="35">
        <f ca="1">(((_xlfn.XLOOKUP(YEAR($B84),'Oferta Producto 1'!$B$8:$B$19,'Oferta Producto 1'!$E$8:$E$19))*$AD84)/$AB84)/24</f>
        <v>0</v>
      </c>
      <c r="Q84" s="35">
        <f ca="1">(((_xlfn.XLOOKUP(YEAR($B84),'Oferta Producto 1'!$B$8:$B$19,'Oferta Producto 1'!$E$8:$E$19))*$AD84)/$AB84)/24</f>
        <v>0</v>
      </c>
      <c r="R84" s="35">
        <f ca="1">(((_xlfn.XLOOKUP(YEAR($B84),'Oferta Producto 1'!$B$8:$B$19,'Oferta Producto 1'!$E$8:$E$19))*$AD84)/$AB84)/24</f>
        <v>0</v>
      </c>
      <c r="S84" s="35">
        <f ca="1">(((_xlfn.XLOOKUP(YEAR($B84),'Oferta Producto 1'!$B$8:$B$19,'Oferta Producto 1'!$E$8:$E$19))*$AD84)/$AB84)/24</f>
        <v>0</v>
      </c>
      <c r="T84" s="35">
        <f ca="1">(((_xlfn.XLOOKUP(YEAR($B84),'Oferta Producto 1'!$B$8:$B$19,'Oferta Producto 1'!$E$8:$E$19))*$AD84)/$AB84)/24</f>
        <v>0</v>
      </c>
      <c r="U84" s="35">
        <f ca="1">(((_xlfn.XLOOKUP(YEAR($B84),'Oferta Producto 1'!$B$8:$B$19,'Oferta Producto 1'!$E$8:$E$19))*$AD84)/$AB84)/24</f>
        <v>0</v>
      </c>
      <c r="V84" s="35">
        <f ca="1">(((_xlfn.XLOOKUP(YEAR($B84),'Oferta Producto 1'!$B$8:$B$19,'Oferta Producto 1'!$E$8:$E$19))*$AD84)/$AB84)/24</f>
        <v>0</v>
      </c>
      <c r="W84" s="35">
        <f ca="1">(((_xlfn.XLOOKUP(YEAR($B84),'Oferta Producto 1'!$B$8:$B$19,'Oferta Producto 1'!$E$8:$E$19))*$AD84)/$AB84)/24</f>
        <v>0</v>
      </c>
      <c r="X84" s="35">
        <f ca="1">(((_xlfn.XLOOKUP(YEAR($B84),'Oferta Producto 1'!$B$8:$B$19,'Oferta Producto 1'!$E$8:$E$19))*$AD84)/$AB84)/24</f>
        <v>0</v>
      </c>
      <c r="Y84" s="35">
        <f ca="1">(((_xlfn.XLOOKUP(YEAR($B84),'Oferta Producto 1'!$B$8:$B$19,'Oferta Producto 1'!$E$8:$E$19))*$AD84)/$AB84)/24</f>
        <v>0</v>
      </c>
      <c r="Z84" s="35">
        <f ca="1">(((_xlfn.XLOOKUP(YEAR($B84),'Oferta Producto 1'!$B$8:$B$19,'Oferta Producto 1'!$E$8:$E$19))*$AD84)/$AB84)/24</f>
        <v>0</v>
      </c>
      <c r="AA84" s="35">
        <f t="shared" ca="1" si="5"/>
        <v>0</v>
      </c>
      <c r="AB84" s="28">
        <f t="shared" si="7"/>
        <v>31</v>
      </c>
      <c r="AC84" s="42">
        <f t="shared" ca="1" si="8"/>
        <v>0</v>
      </c>
      <c r="AD84" s="43">
        <v>8.0265408717452039E-2</v>
      </c>
      <c r="AE84"/>
    </row>
    <row r="85" spans="1:31" ht="15.75" thickBot="1">
      <c r="A85" s="23">
        <f t="shared" si="6"/>
        <v>2032</v>
      </c>
      <c r="B85" s="27">
        <v>48427</v>
      </c>
      <c r="C85" s="35">
        <f ca="1">(((_xlfn.XLOOKUP(YEAR($B85),'Oferta Producto 1'!$B$8:$B$19,'Oferta Producto 1'!$E$8:$E$19))*$AD85)/$AB85)/24</f>
        <v>0</v>
      </c>
      <c r="D85" s="35">
        <f ca="1">(((_xlfn.XLOOKUP(YEAR($B85),'Oferta Producto 1'!$B$8:$B$19,'Oferta Producto 1'!$E$8:$E$19))*$AD85)/$AB85)/24</f>
        <v>0</v>
      </c>
      <c r="E85" s="35">
        <f ca="1">(((_xlfn.XLOOKUP(YEAR($B85),'Oferta Producto 1'!$B$8:$B$19,'Oferta Producto 1'!$E$8:$E$19))*$AD85)/$AB85)/24</f>
        <v>0</v>
      </c>
      <c r="F85" s="35">
        <f ca="1">(((_xlfn.XLOOKUP(YEAR($B85),'Oferta Producto 1'!$B$8:$B$19,'Oferta Producto 1'!$E$8:$E$19))*$AD85)/$AB85)/24</f>
        <v>0</v>
      </c>
      <c r="G85" s="35">
        <f ca="1">(((_xlfn.XLOOKUP(YEAR($B85),'Oferta Producto 1'!$B$8:$B$19,'Oferta Producto 1'!$E$8:$E$19))*$AD85)/$AB85)/24</f>
        <v>0</v>
      </c>
      <c r="H85" s="35">
        <f ca="1">(((_xlfn.XLOOKUP(YEAR($B85),'Oferta Producto 1'!$B$8:$B$19,'Oferta Producto 1'!$E$8:$E$19))*$AD85)/$AB85)/24</f>
        <v>0</v>
      </c>
      <c r="I85" s="35">
        <f ca="1">(((_xlfn.XLOOKUP(YEAR($B85),'Oferta Producto 1'!$B$8:$B$19,'Oferta Producto 1'!$E$8:$E$19))*$AD85)/$AB85)/24</f>
        <v>0</v>
      </c>
      <c r="J85" s="35">
        <f ca="1">(((_xlfn.XLOOKUP(YEAR($B85),'Oferta Producto 1'!$B$8:$B$19,'Oferta Producto 1'!$E$8:$E$19))*$AD85)/$AB85)/24</f>
        <v>0</v>
      </c>
      <c r="K85" s="35">
        <f ca="1">(((_xlfn.XLOOKUP(YEAR($B85),'Oferta Producto 1'!$B$8:$B$19,'Oferta Producto 1'!$E$8:$E$19))*$AD85)/$AB85)/24</f>
        <v>0</v>
      </c>
      <c r="L85" s="35">
        <f ca="1">(((_xlfn.XLOOKUP(YEAR($B85),'Oferta Producto 1'!$B$8:$B$19,'Oferta Producto 1'!$E$8:$E$19))*$AD85)/$AB85)/24</f>
        <v>0</v>
      </c>
      <c r="M85" s="35">
        <f ca="1">(((_xlfn.XLOOKUP(YEAR($B85),'Oferta Producto 1'!$B$8:$B$19,'Oferta Producto 1'!$E$8:$E$19))*$AD85)/$AB85)/24</f>
        <v>0</v>
      </c>
      <c r="N85" s="35">
        <f ca="1">(((_xlfn.XLOOKUP(YEAR($B85),'Oferta Producto 1'!$B$8:$B$19,'Oferta Producto 1'!$E$8:$E$19))*$AD85)/$AB85)/24</f>
        <v>0</v>
      </c>
      <c r="O85" s="35">
        <f ca="1">(((_xlfn.XLOOKUP(YEAR($B85),'Oferta Producto 1'!$B$8:$B$19,'Oferta Producto 1'!$E$8:$E$19))*$AD85)/$AB85)/24</f>
        <v>0</v>
      </c>
      <c r="P85" s="35">
        <f ca="1">(((_xlfn.XLOOKUP(YEAR($B85),'Oferta Producto 1'!$B$8:$B$19,'Oferta Producto 1'!$E$8:$E$19))*$AD85)/$AB85)/24</f>
        <v>0</v>
      </c>
      <c r="Q85" s="35">
        <f ca="1">(((_xlfn.XLOOKUP(YEAR($B85),'Oferta Producto 1'!$B$8:$B$19,'Oferta Producto 1'!$E$8:$E$19))*$AD85)/$AB85)/24</f>
        <v>0</v>
      </c>
      <c r="R85" s="35">
        <f ca="1">(((_xlfn.XLOOKUP(YEAR($B85),'Oferta Producto 1'!$B$8:$B$19,'Oferta Producto 1'!$E$8:$E$19))*$AD85)/$AB85)/24</f>
        <v>0</v>
      </c>
      <c r="S85" s="35">
        <f ca="1">(((_xlfn.XLOOKUP(YEAR($B85),'Oferta Producto 1'!$B$8:$B$19,'Oferta Producto 1'!$E$8:$E$19))*$AD85)/$AB85)/24</f>
        <v>0</v>
      </c>
      <c r="T85" s="35">
        <f ca="1">(((_xlfn.XLOOKUP(YEAR($B85),'Oferta Producto 1'!$B$8:$B$19,'Oferta Producto 1'!$E$8:$E$19))*$AD85)/$AB85)/24</f>
        <v>0</v>
      </c>
      <c r="U85" s="35">
        <f ca="1">(((_xlfn.XLOOKUP(YEAR($B85),'Oferta Producto 1'!$B$8:$B$19,'Oferta Producto 1'!$E$8:$E$19))*$AD85)/$AB85)/24</f>
        <v>0</v>
      </c>
      <c r="V85" s="35">
        <f ca="1">(((_xlfn.XLOOKUP(YEAR($B85),'Oferta Producto 1'!$B$8:$B$19,'Oferta Producto 1'!$E$8:$E$19))*$AD85)/$AB85)/24</f>
        <v>0</v>
      </c>
      <c r="W85" s="35">
        <f ca="1">(((_xlfn.XLOOKUP(YEAR($B85),'Oferta Producto 1'!$B$8:$B$19,'Oferta Producto 1'!$E$8:$E$19))*$AD85)/$AB85)/24</f>
        <v>0</v>
      </c>
      <c r="X85" s="35">
        <f ca="1">(((_xlfn.XLOOKUP(YEAR($B85),'Oferta Producto 1'!$B$8:$B$19,'Oferta Producto 1'!$E$8:$E$19))*$AD85)/$AB85)/24</f>
        <v>0</v>
      </c>
      <c r="Y85" s="35">
        <f ca="1">(((_xlfn.XLOOKUP(YEAR($B85),'Oferta Producto 1'!$B$8:$B$19,'Oferta Producto 1'!$E$8:$E$19))*$AD85)/$AB85)/24</f>
        <v>0</v>
      </c>
      <c r="Z85" s="35">
        <f ca="1">(((_xlfn.XLOOKUP(YEAR($B85),'Oferta Producto 1'!$B$8:$B$19,'Oferta Producto 1'!$E$8:$E$19))*$AD85)/$AB85)/24</f>
        <v>0</v>
      </c>
      <c r="AA85" s="35">
        <f t="shared" ca="1" si="5"/>
        <v>0</v>
      </c>
      <c r="AB85" s="28">
        <f t="shared" si="7"/>
        <v>31</v>
      </c>
      <c r="AC85" s="42">
        <f t="shared" ca="1" si="8"/>
        <v>0</v>
      </c>
      <c r="AD85" s="43">
        <v>8.0265408717452039E-2</v>
      </c>
      <c r="AE85"/>
    </row>
    <row r="86" spans="1:31" ht="15.75" thickBot="1">
      <c r="A86" s="23">
        <f t="shared" si="6"/>
        <v>2032</v>
      </c>
      <c r="B86" s="27">
        <v>48458</v>
      </c>
      <c r="C86" s="35">
        <f ca="1">(((_xlfn.XLOOKUP(YEAR($B86),'Oferta Producto 1'!$B$8:$B$19,'Oferta Producto 1'!$E$8:$E$19))*$AD86)/$AB86)/24</f>
        <v>0</v>
      </c>
      <c r="D86" s="35">
        <f ca="1">(((_xlfn.XLOOKUP(YEAR($B86),'Oferta Producto 1'!$B$8:$B$19,'Oferta Producto 1'!$E$8:$E$19))*$AD86)/$AB86)/24</f>
        <v>0</v>
      </c>
      <c r="E86" s="35">
        <f ca="1">(((_xlfn.XLOOKUP(YEAR($B86),'Oferta Producto 1'!$B$8:$B$19,'Oferta Producto 1'!$E$8:$E$19))*$AD86)/$AB86)/24</f>
        <v>0</v>
      </c>
      <c r="F86" s="35">
        <f ca="1">(((_xlfn.XLOOKUP(YEAR($B86),'Oferta Producto 1'!$B$8:$B$19,'Oferta Producto 1'!$E$8:$E$19))*$AD86)/$AB86)/24</f>
        <v>0</v>
      </c>
      <c r="G86" s="35">
        <f ca="1">(((_xlfn.XLOOKUP(YEAR($B86),'Oferta Producto 1'!$B$8:$B$19,'Oferta Producto 1'!$E$8:$E$19))*$AD86)/$AB86)/24</f>
        <v>0</v>
      </c>
      <c r="H86" s="35">
        <f ca="1">(((_xlfn.XLOOKUP(YEAR($B86),'Oferta Producto 1'!$B$8:$B$19,'Oferta Producto 1'!$E$8:$E$19))*$AD86)/$AB86)/24</f>
        <v>0</v>
      </c>
      <c r="I86" s="35">
        <f ca="1">(((_xlfn.XLOOKUP(YEAR($B86),'Oferta Producto 1'!$B$8:$B$19,'Oferta Producto 1'!$E$8:$E$19))*$AD86)/$AB86)/24</f>
        <v>0</v>
      </c>
      <c r="J86" s="35">
        <f ca="1">(((_xlfn.XLOOKUP(YEAR($B86),'Oferta Producto 1'!$B$8:$B$19,'Oferta Producto 1'!$E$8:$E$19))*$AD86)/$AB86)/24</f>
        <v>0</v>
      </c>
      <c r="K86" s="35">
        <f ca="1">(((_xlfn.XLOOKUP(YEAR($B86),'Oferta Producto 1'!$B$8:$B$19,'Oferta Producto 1'!$E$8:$E$19))*$AD86)/$AB86)/24</f>
        <v>0</v>
      </c>
      <c r="L86" s="35">
        <f ca="1">(((_xlfn.XLOOKUP(YEAR($B86),'Oferta Producto 1'!$B$8:$B$19,'Oferta Producto 1'!$E$8:$E$19))*$AD86)/$AB86)/24</f>
        <v>0</v>
      </c>
      <c r="M86" s="35">
        <f ca="1">(((_xlfn.XLOOKUP(YEAR($B86),'Oferta Producto 1'!$B$8:$B$19,'Oferta Producto 1'!$E$8:$E$19))*$AD86)/$AB86)/24</f>
        <v>0</v>
      </c>
      <c r="N86" s="35">
        <f ca="1">(((_xlfn.XLOOKUP(YEAR($B86),'Oferta Producto 1'!$B$8:$B$19,'Oferta Producto 1'!$E$8:$E$19))*$AD86)/$AB86)/24</f>
        <v>0</v>
      </c>
      <c r="O86" s="35">
        <f ca="1">(((_xlfn.XLOOKUP(YEAR($B86),'Oferta Producto 1'!$B$8:$B$19,'Oferta Producto 1'!$E$8:$E$19))*$AD86)/$AB86)/24</f>
        <v>0</v>
      </c>
      <c r="P86" s="35">
        <f ca="1">(((_xlfn.XLOOKUP(YEAR($B86),'Oferta Producto 1'!$B$8:$B$19,'Oferta Producto 1'!$E$8:$E$19))*$AD86)/$AB86)/24</f>
        <v>0</v>
      </c>
      <c r="Q86" s="35">
        <f ca="1">(((_xlfn.XLOOKUP(YEAR($B86),'Oferta Producto 1'!$B$8:$B$19,'Oferta Producto 1'!$E$8:$E$19))*$AD86)/$AB86)/24</f>
        <v>0</v>
      </c>
      <c r="R86" s="35">
        <f ca="1">(((_xlfn.XLOOKUP(YEAR($B86),'Oferta Producto 1'!$B$8:$B$19,'Oferta Producto 1'!$E$8:$E$19))*$AD86)/$AB86)/24</f>
        <v>0</v>
      </c>
      <c r="S86" s="35">
        <f ca="1">(((_xlfn.XLOOKUP(YEAR($B86),'Oferta Producto 1'!$B$8:$B$19,'Oferta Producto 1'!$E$8:$E$19))*$AD86)/$AB86)/24</f>
        <v>0</v>
      </c>
      <c r="T86" s="35">
        <f ca="1">(((_xlfn.XLOOKUP(YEAR($B86),'Oferta Producto 1'!$B$8:$B$19,'Oferta Producto 1'!$E$8:$E$19))*$AD86)/$AB86)/24</f>
        <v>0</v>
      </c>
      <c r="U86" s="35">
        <f ca="1">(((_xlfn.XLOOKUP(YEAR($B86),'Oferta Producto 1'!$B$8:$B$19,'Oferta Producto 1'!$E$8:$E$19))*$AD86)/$AB86)/24</f>
        <v>0</v>
      </c>
      <c r="V86" s="35">
        <f ca="1">(((_xlfn.XLOOKUP(YEAR($B86),'Oferta Producto 1'!$B$8:$B$19,'Oferta Producto 1'!$E$8:$E$19))*$AD86)/$AB86)/24</f>
        <v>0</v>
      </c>
      <c r="W86" s="35">
        <f ca="1">(((_xlfn.XLOOKUP(YEAR($B86),'Oferta Producto 1'!$B$8:$B$19,'Oferta Producto 1'!$E$8:$E$19))*$AD86)/$AB86)/24</f>
        <v>0</v>
      </c>
      <c r="X86" s="35">
        <f ca="1">(((_xlfn.XLOOKUP(YEAR($B86),'Oferta Producto 1'!$B$8:$B$19,'Oferta Producto 1'!$E$8:$E$19))*$AD86)/$AB86)/24</f>
        <v>0</v>
      </c>
      <c r="Y86" s="35">
        <f ca="1">(((_xlfn.XLOOKUP(YEAR($B86),'Oferta Producto 1'!$B$8:$B$19,'Oferta Producto 1'!$E$8:$E$19))*$AD86)/$AB86)/24</f>
        <v>0</v>
      </c>
      <c r="Z86" s="35">
        <f ca="1">(((_xlfn.XLOOKUP(YEAR($B86),'Oferta Producto 1'!$B$8:$B$19,'Oferta Producto 1'!$E$8:$E$19))*$AD86)/$AB86)/24</f>
        <v>0</v>
      </c>
      <c r="AA86" s="35">
        <f t="shared" ca="1" si="5"/>
        <v>0</v>
      </c>
      <c r="AB86" s="28">
        <f t="shared" si="7"/>
        <v>30</v>
      </c>
      <c r="AC86" s="42">
        <f t="shared" ca="1" si="8"/>
        <v>0</v>
      </c>
      <c r="AD86" s="43">
        <v>8.6401257949214647E-2</v>
      </c>
      <c r="AE86"/>
    </row>
    <row r="87" spans="1:31" ht="15.75" thickBot="1">
      <c r="A87" s="23">
        <f t="shared" si="6"/>
        <v>2032</v>
      </c>
      <c r="B87" s="27">
        <v>48488</v>
      </c>
      <c r="C87" s="35">
        <f ca="1">(((_xlfn.XLOOKUP(YEAR($B87),'Oferta Producto 1'!$B$8:$B$19,'Oferta Producto 1'!$E$8:$E$19))*$AD87)/$AB87)/24</f>
        <v>0</v>
      </c>
      <c r="D87" s="35">
        <f ca="1">(((_xlfn.XLOOKUP(YEAR($B87),'Oferta Producto 1'!$B$8:$B$19,'Oferta Producto 1'!$E$8:$E$19))*$AD87)/$AB87)/24</f>
        <v>0</v>
      </c>
      <c r="E87" s="35">
        <f ca="1">(((_xlfn.XLOOKUP(YEAR($B87),'Oferta Producto 1'!$B$8:$B$19,'Oferta Producto 1'!$E$8:$E$19))*$AD87)/$AB87)/24</f>
        <v>0</v>
      </c>
      <c r="F87" s="35">
        <f ca="1">(((_xlfn.XLOOKUP(YEAR($B87),'Oferta Producto 1'!$B$8:$B$19,'Oferta Producto 1'!$E$8:$E$19))*$AD87)/$AB87)/24</f>
        <v>0</v>
      </c>
      <c r="G87" s="35">
        <f ca="1">(((_xlfn.XLOOKUP(YEAR($B87),'Oferta Producto 1'!$B$8:$B$19,'Oferta Producto 1'!$E$8:$E$19))*$AD87)/$AB87)/24</f>
        <v>0</v>
      </c>
      <c r="H87" s="35">
        <f ca="1">(((_xlfn.XLOOKUP(YEAR($B87),'Oferta Producto 1'!$B$8:$B$19,'Oferta Producto 1'!$E$8:$E$19))*$AD87)/$AB87)/24</f>
        <v>0</v>
      </c>
      <c r="I87" s="35">
        <f ca="1">(((_xlfn.XLOOKUP(YEAR($B87),'Oferta Producto 1'!$B$8:$B$19,'Oferta Producto 1'!$E$8:$E$19))*$AD87)/$AB87)/24</f>
        <v>0</v>
      </c>
      <c r="J87" s="35">
        <f ca="1">(((_xlfn.XLOOKUP(YEAR($B87),'Oferta Producto 1'!$B$8:$B$19,'Oferta Producto 1'!$E$8:$E$19))*$AD87)/$AB87)/24</f>
        <v>0</v>
      </c>
      <c r="K87" s="35">
        <f ca="1">(((_xlfn.XLOOKUP(YEAR($B87),'Oferta Producto 1'!$B$8:$B$19,'Oferta Producto 1'!$E$8:$E$19))*$AD87)/$AB87)/24</f>
        <v>0</v>
      </c>
      <c r="L87" s="35">
        <f ca="1">(((_xlfn.XLOOKUP(YEAR($B87),'Oferta Producto 1'!$B$8:$B$19,'Oferta Producto 1'!$E$8:$E$19))*$AD87)/$AB87)/24</f>
        <v>0</v>
      </c>
      <c r="M87" s="35">
        <f ca="1">(((_xlfn.XLOOKUP(YEAR($B87),'Oferta Producto 1'!$B$8:$B$19,'Oferta Producto 1'!$E$8:$E$19))*$AD87)/$AB87)/24</f>
        <v>0</v>
      </c>
      <c r="N87" s="35">
        <f ca="1">(((_xlfn.XLOOKUP(YEAR($B87),'Oferta Producto 1'!$B$8:$B$19,'Oferta Producto 1'!$E$8:$E$19))*$AD87)/$AB87)/24</f>
        <v>0</v>
      </c>
      <c r="O87" s="35">
        <f ca="1">(((_xlfn.XLOOKUP(YEAR($B87),'Oferta Producto 1'!$B$8:$B$19,'Oferta Producto 1'!$E$8:$E$19))*$AD87)/$AB87)/24</f>
        <v>0</v>
      </c>
      <c r="P87" s="35">
        <f ca="1">(((_xlfn.XLOOKUP(YEAR($B87),'Oferta Producto 1'!$B$8:$B$19,'Oferta Producto 1'!$E$8:$E$19))*$AD87)/$AB87)/24</f>
        <v>0</v>
      </c>
      <c r="Q87" s="35">
        <f ca="1">(((_xlfn.XLOOKUP(YEAR($B87),'Oferta Producto 1'!$B$8:$B$19,'Oferta Producto 1'!$E$8:$E$19))*$AD87)/$AB87)/24</f>
        <v>0</v>
      </c>
      <c r="R87" s="35">
        <f ca="1">(((_xlfn.XLOOKUP(YEAR($B87),'Oferta Producto 1'!$B$8:$B$19,'Oferta Producto 1'!$E$8:$E$19))*$AD87)/$AB87)/24</f>
        <v>0</v>
      </c>
      <c r="S87" s="35">
        <f ca="1">(((_xlfn.XLOOKUP(YEAR($B87),'Oferta Producto 1'!$B$8:$B$19,'Oferta Producto 1'!$E$8:$E$19))*$AD87)/$AB87)/24</f>
        <v>0</v>
      </c>
      <c r="T87" s="35">
        <f ca="1">(((_xlfn.XLOOKUP(YEAR($B87),'Oferta Producto 1'!$B$8:$B$19,'Oferta Producto 1'!$E$8:$E$19))*$AD87)/$AB87)/24</f>
        <v>0</v>
      </c>
      <c r="U87" s="35">
        <f ca="1">(((_xlfn.XLOOKUP(YEAR($B87),'Oferta Producto 1'!$B$8:$B$19,'Oferta Producto 1'!$E$8:$E$19))*$AD87)/$AB87)/24</f>
        <v>0</v>
      </c>
      <c r="V87" s="35">
        <f ca="1">(((_xlfn.XLOOKUP(YEAR($B87),'Oferta Producto 1'!$B$8:$B$19,'Oferta Producto 1'!$E$8:$E$19))*$AD87)/$AB87)/24</f>
        <v>0</v>
      </c>
      <c r="W87" s="35">
        <f ca="1">(((_xlfn.XLOOKUP(YEAR($B87),'Oferta Producto 1'!$B$8:$B$19,'Oferta Producto 1'!$E$8:$E$19))*$AD87)/$AB87)/24</f>
        <v>0</v>
      </c>
      <c r="X87" s="35">
        <f ca="1">(((_xlfn.XLOOKUP(YEAR($B87),'Oferta Producto 1'!$B$8:$B$19,'Oferta Producto 1'!$E$8:$E$19))*$AD87)/$AB87)/24</f>
        <v>0</v>
      </c>
      <c r="Y87" s="35">
        <f ca="1">(((_xlfn.XLOOKUP(YEAR($B87),'Oferta Producto 1'!$B$8:$B$19,'Oferta Producto 1'!$E$8:$E$19))*$AD87)/$AB87)/24</f>
        <v>0</v>
      </c>
      <c r="Z87" s="35">
        <f ca="1">(((_xlfn.XLOOKUP(YEAR($B87),'Oferta Producto 1'!$B$8:$B$19,'Oferta Producto 1'!$E$8:$E$19))*$AD87)/$AB87)/24</f>
        <v>0</v>
      </c>
      <c r="AA87" s="35">
        <f t="shared" ca="1" si="5"/>
        <v>0</v>
      </c>
      <c r="AB87" s="28">
        <f t="shared" si="7"/>
        <v>31</v>
      </c>
      <c r="AC87" s="42">
        <f t="shared" ca="1" si="8"/>
        <v>0</v>
      </c>
      <c r="AD87" s="43">
        <v>8.0265408717452039E-2</v>
      </c>
      <c r="AE87"/>
    </row>
    <row r="88" spans="1:31" ht="15.75" thickBot="1">
      <c r="A88" s="23">
        <f t="shared" si="6"/>
        <v>2032</v>
      </c>
      <c r="B88" s="27">
        <v>48519</v>
      </c>
      <c r="C88" s="35">
        <f ca="1">(((_xlfn.XLOOKUP(YEAR($B88),'Oferta Producto 1'!$B$8:$B$19,'Oferta Producto 1'!$E$8:$E$19))*$AD88)/$AB88)/24</f>
        <v>0</v>
      </c>
      <c r="D88" s="35">
        <f ca="1">(((_xlfn.XLOOKUP(YEAR($B88),'Oferta Producto 1'!$B$8:$B$19,'Oferta Producto 1'!$E$8:$E$19))*$AD88)/$AB88)/24</f>
        <v>0</v>
      </c>
      <c r="E88" s="35">
        <f ca="1">(((_xlfn.XLOOKUP(YEAR($B88),'Oferta Producto 1'!$B$8:$B$19,'Oferta Producto 1'!$E$8:$E$19))*$AD88)/$AB88)/24</f>
        <v>0</v>
      </c>
      <c r="F88" s="35">
        <f ca="1">(((_xlfn.XLOOKUP(YEAR($B88),'Oferta Producto 1'!$B$8:$B$19,'Oferta Producto 1'!$E$8:$E$19))*$AD88)/$AB88)/24</f>
        <v>0</v>
      </c>
      <c r="G88" s="35">
        <f ca="1">(((_xlfn.XLOOKUP(YEAR($B88),'Oferta Producto 1'!$B$8:$B$19,'Oferta Producto 1'!$E$8:$E$19))*$AD88)/$AB88)/24</f>
        <v>0</v>
      </c>
      <c r="H88" s="35">
        <f ca="1">(((_xlfn.XLOOKUP(YEAR($B88),'Oferta Producto 1'!$B$8:$B$19,'Oferta Producto 1'!$E$8:$E$19))*$AD88)/$AB88)/24</f>
        <v>0</v>
      </c>
      <c r="I88" s="35">
        <f ca="1">(((_xlfn.XLOOKUP(YEAR($B88),'Oferta Producto 1'!$B$8:$B$19,'Oferta Producto 1'!$E$8:$E$19))*$AD88)/$AB88)/24</f>
        <v>0</v>
      </c>
      <c r="J88" s="35">
        <f ca="1">(((_xlfn.XLOOKUP(YEAR($B88),'Oferta Producto 1'!$B$8:$B$19,'Oferta Producto 1'!$E$8:$E$19))*$AD88)/$AB88)/24</f>
        <v>0</v>
      </c>
      <c r="K88" s="35">
        <f ca="1">(((_xlfn.XLOOKUP(YEAR($B88),'Oferta Producto 1'!$B$8:$B$19,'Oferta Producto 1'!$E$8:$E$19))*$AD88)/$AB88)/24</f>
        <v>0</v>
      </c>
      <c r="L88" s="35">
        <f ca="1">(((_xlfn.XLOOKUP(YEAR($B88),'Oferta Producto 1'!$B$8:$B$19,'Oferta Producto 1'!$E$8:$E$19))*$AD88)/$AB88)/24</f>
        <v>0</v>
      </c>
      <c r="M88" s="35">
        <f ca="1">(((_xlfn.XLOOKUP(YEAR($B88),'Oferta Producto 1'!$B$8:$B$19,'Oferta Producto 1'!$E$8:$E$19))*$AD88)/$AB88)/24</f>
        <v>0</v>
      </c>
      <c r="N88" s="35">
        <f ca="1">(((_xlfn.XLOOKUP(YEAR($B88),'Oferta Producto 1'!$B$8:$B$19,'Oferta Producto 1'!$E$8:$E$19))*$AD88)/$AB88)/24</f>
        <v>0</v>
      </c>
      <c r="O88" s="35">
        <f ca="1">(((_xlfn.XLOOKUP(YEAR($B88),'Oferta Producto 1'!$B$8:$B$19,'Oferta Producto 1'!$E$8:$E$19))*$AD88)/$AB88)/24</f>
        <v>0</v>
      </c>
      <c r="P88" s="35">
        <f ca="1">(((_xlfn.XLOOKUP(YEAR($B88),'Oferta Producto 1'!$B$8:$B$19,'Oferta Producto 1'!$E$8:$E$19))*$AD88)/$AB88)/24</f>
        <v>0</v>
      </c>
      <c r="Q88" s="35">
        <f ca="1">(((_xlfn.XLOOKUP(YEAR($B88),'Oferta Producto 1'!$B$8:$B$19,'Oferta Producto 1'!$E$8:$E$19))*$AD88)/$AB88)/24</f>
        <v>0</v>
      </c>
      <c r="R88" s="35">
        <f ca="1">(((_xlfn.XLOOKUP(YEAR($B88),'Oferta Producto 1'!$B$8:$B$19,'Oferta Producto 1'!$E$8:$E$19))*$AD88)/$AB88)/24</f>
        <v>0</v>
      </c>
      <c r="S88" s="35">
        <f ca="1">(((_xlfn.XLOOKUP(YEAR($B88),'Oferta Producto 1'!$B$8:$B$19,'Oferta Producto 1'!$E$8:$E$19))*$AD88)/$AB88)/24</f>
        <v>0</v>
      </c>
      <c r="T88" s="35">
        <f ca="1">(((_xlfn.XLOOKUP(YEAR($B88),'Oferta Producto 1'!$B$8:$B$19,'Oferta Producto 1'!$E$8:$E$19))*$AD88)/$AB88)/24</f>
        <v>0</v>
      </c>
      <c r="U88" s="35">
        <f ca="1">(((_xlfn.XLOOKUP(YEAR($B88),'Oferta Producto 1'!$B$8:$B$19,'Oferta Producto 1'!$E$8:$E$19))*$AD88)/$AB88)/24</f>
        <v>0</v>
      </c>
      <c r="V88" s="35">
        <f ca="1">(((_xlfn.XLOOKUP(YEAR($B88),'Oferta Producto 1'!$B$8:$B$19,'Oferta Producto 1'!$E$8:$E$19))*$AD88)/$AB88)/24</f>
        <v>0</v>
      </c>
      <c r="W88" s="35">
        <f ca="1">(((_xlfn.XLOOKUP(YEAR($B88),'Oferta Producto 1'!$B$8:$B$19,'Oferta Producto 1'!$E$8:$E$19))*$AD88)/$AB88)/24</f>
        <v>0</v>
      </c>
      <c r="X88" s="35">
        <f ca="1">(((_xlfn.XLOOKUP(YEAR($B88),'Oferta Producto 1'!$B$8:$B$19,'Oferta Producto 1'!$E$8:$E$19))*$AD88)/$AB88)/24</f>
        <v>0</v>
      </c>
      <c r="Y88" s="35">
        <f ca="1">(((_xlfn.XLOOKUP(YEAR($B88),'Oferta Producto 1'!$B$8:$B$19,'Oferta Producto 1'!$E$8:$E$19))*$AD88)/$AB88)/24</f>
        <v>0</v>
      </c>
      <c r="Z88" s="35">
        <f ca="1">(((_xlfn.XLOOKUP(YEAR($B88),'Oferta Producto 1'!$B$8:$B$19,'Oferta Producto 1'!$E$8:$E$19))*$AD88)/$AB88)/24</f>
        <v>0</v>
      </c>
      <c r="AA88" s="35">
        <f t="shared" ca="1" si="5"/>
        <v>0</v>
      </c>
      <c r="AB88" s="28">
        <f t="shared" si="7"/>
        <v>30</v>
      </c>
      <c r="AC88" s="42">
        <f t="shared" ca="1" si="8"/>
        <v>0</v>
      </c>
      <c r="AD88" s="43">
        <v>8.6401257949214647E-2</v>
      </c>
      <c r="AE88"/>
    </row>
    <row r="89" spans="1:31" ht="15.75" thickBot="1">
      <c r="A89" s="23">
        <f t="shared" si="6"/>
        <v>2032</v>
      </c>
      <c r="B89" s="27">
        <v>48549</v>
      </c>
      <c r="C89" s="35">
        <f ca="1">(((_xlfn.XLOOKUP(YEAR($B89),'Oferta Producto 1'!$B$8:$B$19,'Oferta Producto 1'!$E$8:$E$19))*$AD89)/$AB89)/24</f>
        <v>0</v>
      </c>
      <c r="D89" s="35">
        <f ca="1">(((_xlfn.XLOOKUP(YEAR($B89),'Oferta Producto 1'!$B$8:$B$19,'Oferta Producto 1'!$E$8:$E$19))*$AD89)/$AB89)/24</f>
        <v>0</v>
      </c>
      <c r="E89" s="35">
        <f ca="1">(((_xlfn.XLOOKUP(YEAR($B89),'Oferta Producto 1'!$B$8:$B$19,'Oferta Producto 1'!$E$8:$E$19))*$AD89)/$AB89)/24</f>
        <v>0</v>
      </c>
      <c r="F89" s="35">
        <f ca="1">(((_xlfn.XLOOKUP(YEAR($B89),'Oferta Producto 1'!$B$8:$B$19,'Oferta Producto 1'!$E$8:$E$19))*$AD89)/$AB89)/24</f>
        <v>0</v>
      </c>
      <c r="G89" s="35">
        <f ca="1">(((_xlfn.XLOOKUP(YEAR($B89),'Oferta Producto 1'!$B$8:$B$19,'Oferta Producto 1'!$E$8:$E$19))*$AD89)/$AB89)/24</f>
        <v>0</v>
      </c>
      <c r="H89" s="35">
        <f ca="1">(((_xlfn.XLOOKUP(YEAR($B89),'Oferta Producto 1'!$B$8:$B$19,'Oferta Producto 1'!$E$8:$E$19))*$AD89)/$AB89)/24</f>
        <v>0</v>
      </c>
      <c r="I89" s="35">
        <f ca="1">(((_xlfn.XLOOKUP(YEAR($B89),'Oferta Producto 1'!$B$8:$B$19,'Oferta Producto 1'!$E$8:$E$19))*$AD89)/$AB89)/24</f>
        <v>0</v>
      </c>
      <c r="J89" s="35">
        <f ca="1">(((_xlfn.XLOOKUP(YEAR($B89),'Oferta Producto 1'!$B$8:$B$19,'Oferta Producto 1'!$E$8:$E$19))*$AD89)/$AB89)/24</f>
        <v>0</v>
      </c>
      <c r="K89" s="35">
        <f ca="1">(((_xlfn.XLOOKUP(YEAR($B89),'Oferta Producto 1'!$B$8:$B$19,'Oferta Producto 1'!$E$8:$E$19))*$AD89)/$AB89)/24</f>
        <v>0</v>
      </c>
      <c r="L89" s="35">
        <f ca="1">(((_xlfn.XLOOKUP(YEAR($B89),'Oferta Producto 1'!$B$8:$B$19,'Oferta Producto 1'!$E$8:$E$19))*$AD89)/$AB89)/24</f>
        <v>0</v>
      </c>
      <c r="M89" s="35">
        <f ca="1">(((_xlfn.XLOOKUP(YEAR($B89),'Oferta Producto 1'!$B$8:$B$19,'Oferta Producto 1'!$E$8:$E$19))*$AD89)/$AB89)/24</f>
        <v>0</v>
      </c>
      <c r="N89" s="35">
        <f ca="1">(((_xlfn.XLOOKUP(YEAR($B89),'Oferta Producto 1'!$B$8:$B$19,'Oferta Producto 1'!$E$8:$E$19))*$AD89)/$AB89)/24</f>
        <v>0</v>
      </c>
      <c r="O89" s="35">
        <f ca="1">(((_xlfn.XLOOKUP(YEAR($B89),'Oferta Producto 1'!$B$8:$B$19,'Oferta Producto 1'!$E$8:$E$19))*$AD89)/$AB89)/24</f>
        <v>0</v>
      </c>
      <c r="P89" s="35">
        <f ca="1">(((_xlfn.XLOOKUP(YEAR($B89),'Oferta Producto 1'!$B$8:$B$19,'Oferta Producto 1'!$E$8:$E$19))*$AD89)/$AB89)/24</f>
        <v>0</v>
      </c>
      <c r="Q89" s="35">
        <f ca="1">(((_xlfn.XLOOKUP(YEAR($B89),'Oferta Producto 1'!$B$8:$B$19,'Oferta Producto 1'!$E$8:$E$19))*$AD89)/$AB89)/24</f>
        <v>0</v>
      </c>
      <c r="R89" s="35">
        <f ca="1">(((_xlfn.XLOOKUP(YEAR($B89),'Oferta Producto 1'!$B$8:$B$19,'Oferta Producto 1'!$E$8:$E$19))*$AD89)/$AB89)/24</f>
        <v>0</v>
      </c>
      <c r="S89" s="35">
        <f ca="1">(((_xlfn.XLOOKUP(YEAR($B89),'Oferta Producto 1'!$B$8:$B$19,'Oferta Producto 1'!$E$8:$E$19))*$AD89)/$AB89)/24</f>
        <v>0</v>
      </c>
      <c r="T89" s="35">
        <f ca="1">(((_xlfn.XLOOKUP(YEAR($B89),'Oferta Producto 1'!$B$8:$B$19,'Oferta Producto 1'!$E$8:$E$19))*$AD89)/$AB89)/24</f>
        <v>0</v>
      </c>
      <c r="U89" s="35">
        <f ca="1">(((_xlfn.XLOOKUP(YEAR($B89),'Oferta Producto 1'!$B$8:$B$19,'Oferta Producto 1'!$E$8:$E$19))*$AD89)/$AB89)/24</f>
        <v>0</v>
      </c>
      <c r="V89" s="35">
        <f ca="1">(((_xlfn.XLOOKUP(YEAR($B89),'Oferta Producto 1'!$B$8:$B$19,'Oferta Producto 1'!$E$8:$E$19))*$AD89)/$AB89)/24</f>
        <v>0</v>
      </c>
      <c r="W89" s="35">
        <f ca="1">(((_xlfn.XLOOKUP(YEAR($B89),'Oferta Producto 1'!$B$8:$B$19,'Oferta Producto 1'!$E$8:$E$19))*$AD89)/$AB89)/24</f>
        <v>0</v>
      </c>
      <c r="X89" s="35">
        <f ca="1">(((_xlfn.XLOOKUP(YEAR($B89),'Oferta Producto 1'!$B$8:$B$19,'Oferta Producto 1'!$E$8:$E$19))*$AD89)/$AB89)/24</f>
        <v>0</v>
      </c>
      <c r="Y89" s="35">
        <f ca="1">(((_xlfn.XLOOKUP(YEAR($B89),'Oferta Producto 1'!$B$8:$B$19,'Oferta Producto 1'!$E$8:$E$19))*$AD89)/$AB89)/24</f>
        <v>0</v>
      </c>
      <c r="Z89" s="35">
        <f ca="1">(((_xlfn.XLOOKUP(YEAR($B89),'Oferta Producto 1'!$B$8:$B$19,'Oferta Producto 1'!$E$8:$E$19))*$AD89)/$AB89)/24</f>
        <v>0</v>
      </c>
      <c r="AA89" s="35">
        <f t="shared" ca="1" si="5"/>
        <v>0</v>
      </c>
      <c r="AB89" s="28">
        <f t="shared" si="7"/>
        <v>31</v>
      </c>
      <c r="AC89" s="42">
        <f t="shared" ca="1" si="8"/>
        <v>0</v>
      </c>
      <c r="AD89" s="43">
        <v>8.0265408717452039E-2</v>
      </c>
      <c r="AE89"/>
    </row>
    <row r="90" spans="1:31" ht="15.75" thickBot="1">
      <c r="A90" s="23">
        <f t="shared" si="6"/>
        <v>2033</v>
      </c>
      <c r="B90" s="27">
        <v>48580</v>
      </c>
      <c r="C90" s="35">
        <f ca="1">(((_xlfn.XLOOKUP(YEAR($B90),'Oferta Producto 1'!$B$8:$B$19,'Oferta Producto 1'!$E$8:$E$19))*$AD90)/$AB90)/24</f>
        <v>0</v>
      </c>
      <c r="D90" s="35">
        <f ca="1">(((_xlfn.XLOOKUP(YEAR($B90),'Oferta Producto 1'!$B$8:$B$19,'Oferta Producto 1'!$E$8:$E$19))*$AD90)/$AB90)/24</f>
        <v>0</v>
      </c>
      <c r="E90" s="35">
        <f ca="1">(((_xlfn.XLOOKUP(YEAR($B90),'Oferta Producto 1'!$B$8:$B$19,'Oferta Producto 1'!$E$8:$E$19))*$AD90)/$AB90)/24</f>
        <v>0</v>
      </c>
      <c r="F90" s="35">
        <f ca="1">(((_xlfn.XLOOKUP(YEAR($B90),'Oferta Producto 1'!$B$8:$B$19,'Oferta Producto 1'!$E$8:$E$19))*$AD90)/$AB90)/24</f>
        <v>0</v>
      </c>
      <c r="G90" s="35">
        <f ca="1">(((_xlfn.XLOOKUP(YEAR($B90),'Oferta Producto 1'!$B$8:$B$19,'Oferta Producto 1'!$E$8:$E$19))*$AD90)/$AB90)/24</f>
        <v>0</v>
      </c>
      <c r="H90" s="35">
        <f ca="1">(((_xlfn.XLOOKUP(YEAR($B90),'Oferta Producto 1'!$B$8:$B$19,'Oferta Producto 1'!$E$8:$E$19))*$AD90)/$AB90)/24</f>
        <v>0</v>
      </c>
      <c r="I90" s="35">
        <f ca="1">(((_xlfn.XLOOKUP(YEAR($B90),'Oferta Producto 1'!$B$8:$B$19,'Oferta Producto 1'!$E$8:$E$19))*$AD90)/$AB90)/24</f>
        <v>0</v>
      </c>
      <c r="J90" s="35">
        <f ca="1">(((_xlfn.XLOOKUP(YEAR($B90),'Oferta Producto 1'!$B$8:$B$19,'Oferta Producto 1'!$E$8:$E$19))*$AD90)/$AB90)/24</f>
        <v>0</v>
      </c>
      <c r="K90" s="35">
        <f ca="1">(((_xlfn.XLOOKUP(YEAR($B90),'Oferta Producto 1'!$B$8:$B$19,'Oferta Producto 1'!$E$8:$E$19))*$AD90)/$AB90)/24</f>
        <v>0</v>
      </c>
      <c r="L90" s="35">
        <f ca="1">(((_xlfn.XLOOKUP(YEAR($B90),'Oferta Producto 1'!$B$8:$B$19,'Oferta Producto 1'!$E$8:$E$19))*$AD90)/$AB90)/24</f>
        <v>0</v>
      </c>
      <c r="M90" s="35">
        <f ca="1">(((_xlfn.XLOOKUP(YEAR($B90),'Oferta Producto 1'!$B$8:$B$19,'Oferta Producto 1'!$E$8:$E$19))*$AD90)/$AB90)/24</f>
        <v>0</v>
      </c>
      <c r="N90" s="35">
        <f ca="1">(((_xlfn.XLOOKUP(YEAR($B90),'Oferta Producto 1'!$B$8:$B$19,'Oferta Producto 1'!$E$8:$E$19))*$AD90)/$AB90)/24</f>
        <v>0</v>
      </c>
      <c r="O90" s="35">
        <f ca="1">(((_xlfn.XLOOKUP(YEAR($B90),'Oferta Producto 1'!$B$8:$B$19,'Oferta Producto 1'!$E$8:$E$19))*$AD90)/$AB90)/24</f>
        <v>0</v>
      </c>
      <c r="P90" s="35">
        <f ca="1">(((_xlfn.XLOOKUP(YEAR($B90),'Oferta Producto 1'!$B$8:$B$19,'Oferta Producto 1'!$E$8:$E$19))*$AD90)/$AB90)/24</f>
        <v>0</v>
      </c>
      <c r="Q90" s="35">
        <f ca="1">(((_xlfn.XLOOKUP(YEAR($B90),'Oferta Producto 1'!$B$8:$B$19,'Oferta Producto 1'!$E$8:$E$19))*$AD90)/$AB90)/24</f>
        <v>0</v>
      </c>
      <c r="R90" s="35">
        <f ca="1">(((_xlfn.XLOOKUP(YEAR($B90),'Oferta Producto 1'!$B$8:$B$19,'Oferta Producto 1'!$E$8:$E$19))*$AD90)/$AB90)/24</f>
        <v>0</v>
      </c>
      <c r="S90" s="35">
        <f ca="1">(((_xlfn.XLOOKUP(YEAR($B90),'Oferta Producto 1'!$B$8:$B$19,'Oferta Producto 1'!$E$8:$E$19))*$AD90)/$AB90)/24</f>
        <v>0</v>
      </c>
      <c r="T90" s="35">
        <f ca="1">(((_xlfn.XLOOKUP(YEAR($B90),'Oferta Producto 1'!$B$8:$B$19,'Oferta Producto 1'!$E$8:$E$19))*$AD90)/$AB90)/24</f>
        <v>0</v>
      </c>
      <c r="U90" s="35">
        <f ca="1">(((_xlfn.XLOOKUP(YEAR($B90),'Oferta Producto 1'!$B$8:$B$19,'Oferta Producto 1'!$E$8:$E$19))*$AD90)/$AB90)/24</f>
        <v>0</v>
      </c>
      <c r="V90" s="35">
        <f ca="1">(((_xlfn.XLOOKUP(YEAR($B90),'Oferta Producto 1'!$B$8:$B$19,'Oferta Producto 1'!$E$8:$E$19))*$AD90)/$AB90)/24</f>
        <v>0</v>
      </c>
      <c r="W90" s="35">
        <f ca="1">(((_xlfn.XLOOKUP(YEAR($B90),'Oferta Producto 1'!$B$8:$B$19,'Oferta Producto 1'!$E$8:$E$19))*$AD90)/$AB90)/24</f>
        <v>0</v>
      </c>
      <c r="X90" s="35">
        <f ca="1">(((_xlfn.XLOOKUP(YEAR($B90),'Oferta Producto 1'!$B$8:$B$19,'Oferta Producto 1'!$E$8:$E$19))*$AD90)/$AB90)/24</f>
        <v>0</v>
      </c>
      <c r="Y90" s="35">
        <f ca="1">(((_xlfn.XLOOKUP(YEAR($B90),'Oferta Producto 1'!$B$8:$B$19,'Oferta Producto 1'!$E$8:$E$19))*$AD90)/$AB90)/24</f>
        <v>0</v>
      </c>
      <c r="Z90" s="35">
        <f ca="1">(((_xlfn.XLOOKUP(YEAR($B90),'Oferta Producto 1'!$B$8:$B$19,'Oferta Producto 1'!$E$8:$E$19))*$AD90)/$AB90)/24</f>
        <v>0</v>
      </c>
      <c r="AA90" s="35">
        <f t="shared" ca="1" si="5"/>
        <v>0</v>
      </c>
      <c r="AB90" s="28">
        <f t="shared" si="7"/>
        <v>31</v>
      </c>
      <c r="AC90" s="42">
        <f t="shared" ca="1" si="8"/>
        <v>0</v>
      </c>
      <c r="AD90" s="43">
        <v>8.0727358603645744E-2</v>
      </c>
      <c r="AE90"/>
    </row>
    <row r="91" spans="1:31" ht="15.75" thickBot="1">
      <c r="A91" s="23">
        <f t="shared" si="6"/>
        <v>2033</v>
      </c>
      <c r="B91" s="27">
        <v>48611</v>
      </c>
      <c r="C91" s="35">
        <f ca="1">(((_xlfn.XLOOKUP(YEAR($B91),'Oferta Producto 1'!$B$8:$B$19,'Oferta Producto 1'!$E$8:$E$19))*$AD91)/$AB91)/24</f>
        <v>0</v>
      </c>
      <c r="D91" s="35">
        <f ca="1">(((_xlfn.XLOOKUP(YEAR($B91),'Oferta Producto 1'!$B$8:$B$19,'Oferta Producto 1'!$E$8:$E$19))*$AD91)/$AB91)/24</f>
        <v>0</v>
      </c>
      <c r="E91" s="35">
        <f ca="1">(((_xlfn.XLOOKUP(YEAR($B91),'Oferta Producto 1'!$B$8:$B$19,'Oferta Producto 1'!$E$8:$E$19))*$AD91)/$AB91)/24</f>
        <v>0</v>
      </c>
      <c r="F91" s="35">
        <f ca="1">(((_xlfn.XLOOKUP(YEAR($B91),'Oferta Producto 1'!$B$8:$B$19,'Oferta Producto 1'!$E$8:$E$19))*$AD91)/$AB91)/24</f>
        <v>0</v>
      </c>
      <c r="G91" s="35">
        <f ca="1">(((_xlfn.XLOOKUP(YEAR($B91),'Oferta Producto 1'!$B$8:$B$19,'Oferta Producto 1'!$E$8:$E$19))*$AD91)/$AB91)/24</f>
        <v>0</v>
      </c>
      <c r="H91" s="35">
        <f ca="1">(((_xlfn.XLOOKUP(YEAR($B91),'Oferta Producto 1'!$B$8:$B$19,'Oferta Producto 1'!$E$8:$E$19))*$AD91)/$AB91)/24</f>
        <v>0</v>
      </c>
      <c r="I91" s="35">
        <f ca="1">(((_xlfn.XLOOKUP(YEAR($B91),'Oferta Producto 1'!$B$8:$B$19,'Oferta Producto 1'!$E$8:$E$19))*$AD91)/$AB91)/24</f>
        <v>0</v>
      </c>
      <c r="J91" s="35">
        <f ca="1">(((_xlfn.XLOOKUP(YEAR($B91),'Oferta Producto 1'!$B$8:$B$19,'Oferta Producto 1'!$E$8:$E$19))*$AD91)/$AB91)/24</f>
        <v>0</v>
      </c>
      <c r="K91" s="35">
        <f ca="1">(((_xlfn.XLOOKUP(YEAR($B91),'Oferta Producto 1'!$B$8:$B$19,'Oferta Producto 1'!$E$8:$E$19))*$AD91)/$AB91)/24</f>
        <v>0</v>
      </c>
      <c r="L91" s="35">
        <f ca="1">(((_xlfn.XLOOKUP(YEAR($B91),'Oferta Producto 1'!$B$8:$B$19,'Oferta Producto 1'!$E$8:$E$19))*$AD91)/$AB91)/24</f>
        <v>0</v>
      </c>
      <c r="M91" s="35">
        <f ca="1">(((_xlfn.XLOOKUP(YEAR($B91),'Oferta Producto 1'!$B$8:$B$19,'Oferta Producto 1'!$E$8:$E$19))*$AD91)/$AB91)/24</f>
        <v>0</v>
      </c>
      <c r="N91" s="35">
        <f ca="1">(((_xlfn.XLOOKUP(YEAR($B91),'Oferta Producto 1'!$B$8:$B$19,'Oferta Producto 1'!$E$8:$E$19))*$AD91)/$AB91)/24</f>
        <v>0</v>
      </c>
      <c r="O91" s="35">
        <f ca="1">(((_xlfn.XLOOKUP(YEAR($B91),'Oferta Producto 1'!$B$8:$B$19,'Oferta Producto 1'!$E$8:$E$19))*$AD91)/$AB91)/24</f>
        <v>0</v>
      </c>
      <c r="P91" s="35">
        <f ca="1">(((_xlfn.XLOOKUP(YEAR($B91),'Oferta Producto 1'!$B$8:$B$19,'Oferta Producto 1'!$E$8:$E$19))*$AD91)/$AB91)/24</f>
        <v>0</v>
      </c>
      <c r="Q91" s="35">
        <f ca="1">(((_xlfn.XLOOKUP(YEAR($B91),'Oferta Producto 1'!$B$8:$B$19,'Oferta Producto 1'!$E$8:$E$19))*$AD91)/$AB91)/24</f>
        <v>0</v>
      </c>
      <c r="R91" s="35">
        <f ca="1">(((_xlfn.XLOOKUP(YEAR($B91),'Oferta Producto 1'!$B$8:$B$19,'Oferta Producto 1'!$E$8:$E$19))*$AD91)/$AB91)/24</f>
        <v>0</v>
      </c>
      <c r="S91" s="35">
        <f ca="1">(((_xlfn.XLOOKUP(YEAR($B91),'Oferta Producto 1'!$B$8:$B$19,'Oferta Producto 1'!$E$8:$E$19))*$AD91)/$AB91)/24</f>
        <v>0</v>
      </c>
      <c r="T91" s="35">
        <f ca="1">(((_xlfn.XLOOKUP(YEAR($B91),'Oferta Producto 1'!$B$8:$B$19,'Oferta Producto 1'!$E$8:$E$19))*$AD91)/$AB91)/24</f>
        <v>0</v>
      </c>
      <c r="U91" s="35">
        <f ca="1">(((_xlfn.XLOOKUP(YEAR($B91),'Oferta Producto 1'!$B$8:$B$19,'Oferta Producto 1'!$E$8:$E$19))*$AD91)/$AB91)/24</f>
        <v>0</v>
      </c>
      <c r="V91" s="35">
        <f ca="1">(((_xlfn.XLOOKUP(YEAR($B91),'Oferta Producto 1'!$B$8:$B$19,'Oferta Producto 1'!$E$8:$E$19))*$AD91)/$AB91)/24</f>
        <v>0</v>
      </c>
      <c r="W91" s="35">
        <f ca="1">(((_xlfn.XLOOKUP(YEAR($B91),'Oferta Producto 1'!$B$8:$B$19,'Oferta Producto 1'!$E$8:$E$19))*$AD91)/$AB91)/24</f>
        <v>0</v>
      </c>
      <c r="X91" s="35">
        <f ca="1">(((_xlfn.XLOOKUP(YEAR($B91),'Oferta Producto 1'!$B$8:$B$19,'Oferta Producto 1'!$E$8:$E$19))*$AD91)/$AB91)/24</f>
        <v>0</v>
      </c>
      <c r="Y91" s="35">
        <f ca="1">(((_xlfn.XLOOKUP(YEAR($B91),'Oferta Producto 1'!$B$8:$B$19,'Oferta Producto 1'!$E$8:$E$19))*$AD91)/$AB91)/24</f>
        <v>0</v>
      </c>
      <c r="Z91" s="35">
        <f ca="1">(((_xlfn.XLOOKUP(YEAR($B91),'Oferta Producto 1'!$B$8:$B$19,'Oferta Producto 1'!$E$8:$E$19))*$AD91)/$AB91)/24</f>
        <v>0</v>
      </c>
      <c r="AA91" s="35">
        <f t="shared" ca="1" si="5"/>
        <v>0</v>
      </c>
      <c r="AB91" s="28">
        <f t="shared" si="7"/>
        <v>28</v>
      </c>
      <c r="AC91" s="42">
        <f t="shared" ca="1" si="8"/>
        <v>0</v>
      </c>
      <c r="AD91" s="43">
        <v>9.4129514356324773E-2</v>
      </c>
      <c r="AE91"/>
    </row>
    <row r="92" spans="1:31" ht="15.75" thickBot="1">
      <c r="A92" s="23">
        <f t="shared" si="6"/>
        <v>2033</v>
      </c>
      <c r="B92" s="27">
        <v>48639</v>
      </c>
      <c r="C92" s="35">
        <f ca="1">(((_xlfn.XLOOKUP(YEAR($B92),'Oferta Producto 1'!$B$8:$B$19,'Oferta Producto 1'!$E$8:$E$19))*$AD92)/$AB92)/24</f>
        <v>0</v>
      </c>
      <c r="D92" s="35">
        <f ca="1">(((_xlfn.XLOOKUP(YEAR($B92),'Oferta Producto 1'!$B$8:$B$19,'Oferta Producto 1'!$E$8:$E$19))*$AD92)/$AB92)/24</f>
        <v>0</v>
      </c>
      <c r="E92" s="35">
        <f ca="1">(((_xlfn.XLOOKUP(YEAR($B92),'Oferta Producto 1'!$B$8:$B$19,'Oferta Producto 1'!$E$8:$E$19))*$AD92)/$AB92)/24</f>
        <v>0</v>
      </c>
      <c r="F92" s="35">
        <f ca="1">(((_xlfn.XLOOKUP(YEAR($B92),'Oferta Producto 1'!$B$8:$B$19,'Oferta Producto 1'!$E$8:$E$19))*$AD92)/$AB92)/24</f>
        <v>0</v>
      </c>
      <c r="G92" s="35">
        <f ca="1">(((_xlfn.XLOOKUP(YEAR($B92),'Oferta Producto 1'!$B$8:$B$19,'Oferta Producto 1'!$E$8:$E$19))*$AD92)/$AB92)/24</f>
        <v>0</v>
      </c>
      <c r="H92" s="35">
        <f ca="1">(((_xlfn.XLOOKUP(YEAR($B92),'Oferta Producto 1'!$B$8:$B$19,'Oferta Producto 1'!$E$8:$E$19))*$AD92)/$AB92)/24</f>
        <v>0</v>
      </c>
      <c r="I92" s="35">
        <f ca="1">(((_xlfn.XLOOKUP(YEAR($B92),'Oferta Producto 1'!$B$8:$B$19,'Oferta Producto 1'!$E$8:$E$19))*$AD92)/$AB92)/24</f>
        <v>0</v>
      </c>
      <c r="J92" s="35">
        <f ca="1">(((_xlfn.XLOOKUP(YEAR($B92),'Oferta Producto 1'!$B$8:$B$19,'Oferta Producto 1'!$E$8:$E$19))*$AD92)/$AB92)/24</f>
        <v>0</v>
      </c>
      <c r="K92" s="35">
        <f ca="1">(((_xlfn.XLOOKUP(YEAR($B92),'Oferta Producto 1'!$B$8:$B$19,'Oferta Producto 1'!$E$8:$E$19))*$AD92)/$AB92)/24</f>
        <v>0</v>
      </c>
      <c r="L92" s="35">
        <f ca="1">(((_xlfn.XLOOKUP(YEAR($B92),'Oferta Producto 1'!$B$8:$B$19,'Oferta Producto 1'!$E$8:$E$19))*$AD92)/$AB92)/24</f>
        <v>0</v>
      </c>
      <c r="M92" s="35">
        <f ca="1">(((_xlfn.XLOOKUP(YEAR($B92),'Oferta Producto 1'!$B$8:$B$19,'Oferta Producto 1'!$E$8:$E$19))*$AD92)/$AB92)/24</f>
        <v>0</v>
      </c>
      <c r="N92" s="35">
        <f ca="1">(((_xlfn.XLOOKUP(YEAR($B92),'Oferta Producto 1'!$B$8:$B$19,'Oferta Producto 1'!$E$8:$E$19))*$AD92)/$AB92)/24</f>
        <v>0</v>
      </c>
      <c r="O92" s="35">
        <f ca="1">(((_xlfn.XLOOKUP(YEAR($B92),'Oferta Producto 1'!$B$8:$B$19,'Oferta Producto 1'!$E$8:$E$19))*$AD92)/$AB92)/24</f>
        <v>0</v>
      </c>
      <c r="P92" s="35">
        <f ca="1">(((_xlfn.XLOOKUP(YEAR($B92),'Oferta Producto 1'!$B$8:$B$19,'Oferta Producto 1'!$E$8:$E$19))*$AD92)/$AB92)/24</f>
        <v>0</v>
      </c>
      <c r="Q92" s="35">
        <f ca="1">(((_xlfn.XLOOKUP(YEAR($B92),'Oferta Producto 1'!$B$8:$B$19,'Oferta Producto 1'!$E$8:$E$19))*$AD92)/$AB92)/24</f>
        <v>0</v>
      </c>
      <c r="R92" s="35">
        <f ca="1">(((_xlfn.XLOOKUP(YEAR($B92),'Oferta Producto 1'!$B$8:$B$19,'Oferta Producto 1'!$E$8:$E$19))*$AD92)/$AB92)/24</f>
        <v>0</v>
      </c>
      <c r="S92" s="35">
        <f ca="1">(((_xlfn.XLOOKUP(YEAR($B92),'Oferta Producto 1'!$B$8:$B$19,'Oferta Producto 1'!$E$8:$E$19))*$AD92)/$AB92)/24</f>
        <v>0</v>
      </c>
      <c r="T92" s="35">
        <f ca="1">(((_xlfn.XLOOKUP(YEAR($B92),'Oferta Producto 1'!$B$8:$B$19,'Oferta Producto 1'!$E$8:$E$19))*$AD92)/$AB92)/24</f>
        <v>0</v>
      </c>
      <c r="U92" s="35">
        <f ca="1">(((_xlfn.XLOOKUP(YEAR($B92),'Oferta Producto 1'!$B$8:$B$19,'Oferta Producto 1'!$E$8:$E$19))*$AD92)/$AB92)/24</f>
        <v>0</v>
      </c>
      <c r="V92" s="35">
        <f ca="1">(((_xlfn.XLOOKUP(YEAR($B92),'Oferta Producto 1'!$B$8:$B$19,'Oferta Producto 1'!$E$8:$E$19))*$AD92)/$AB92)/24</f>
        <v>0</v>
      </c>
      <c r="W92" s="35">
        <f ca="1">(((_xlfn.XLOOKUP(YEAR($B92),'Oferta Producto 1'!$B$8:$B$19,'Oferta Producto 1'!$E$8:$E$19))*$AD92)/$AB92)/24</f>
        <v>0</v>
      </c>
      <c r="X92" s="35">
        <f ca="1">(((_xlfn.XLOOKUP(YEAR($B92),'Oferta Producto 1'!$B$8:$B$19,'Oferta Producto 1'!$E$8:$E$19))*$AD92)/$AB92)/24</f>
        <v>0</v>
      </c>
      <c r="Y92" s="35">
        <f ca="1">(((_xlfn.XLOOKUP(YEAR($B92),'Oferta Producto 1'!$B$8:$B$19,'Oferta Producto 1'!$E$8:$E$19))*$AD92)/$AB92)/24</f>
        <v>0</v>
      </c>
      <c r="Z92" s="35">
        <f ca="1">(((_xlfn.XLOOKUP(YEAR($B92),'Oferta Producto 1'!$B$8:$B$19,'Oferta Producto 1'!$E$8:$E$19))*$AD92)/$AB92)/24</f>
        <v>0</v>
      </c>
      <c r="AA92" s="35">
        <f t="shared" ca="1" si="5"/>
        <v>0</v>
      </c>
      <c r="AB92" s="28">
        <f t="shared" si="7"/>
        <v>31</v>
      </c>
      <c r="AC92" s="42">
        <f t="shared" ca="1" si="8"/>
        <v>0</v>
      </c>
      <c r="AD92" s="43">
        <v>8.0727358603645744E-2</v>
      </c>
      <c r="AE92"/>
    </row>
    <row r="93" spans="1:31" ht="15.75" thickBot="1">
      <c r="A93" s="23">
        <f t="shared" si="6"/>
        <v>2033</v>
      </c>
      <c r="B93" s="27">
        <v>48670</v>
      </c>
      <c r="C93" s="35">
        <f ca="1">(((_xlfn.XLOOKUP(YEAR($B93),'Oferta Producto 1'!$B$8:$B$19,'Oferta Producto 1'!$E$8:$E$19))*$AD93)/$AB93)/24</f>
        <v>0</v>
      </c>
      <c r="D93" s="35">
        <f ca="1">(((_xlfn.XLOOKUP(YEAR($B93),'Oferta Producto 1'!$B$8:$B$19,'Oferta Producto 1'!$E$8:$E$19))*$AD93)/$AB93)/24</f>
        <v>0</v>
      </c>
      <c r="E93" s="35">
        <f ca="1">(((_xlfn.XLOOKUP(YEAR($B93),'Oferta Producto 1'!$B$8:$B$19,'Oferta Producto 1'!$E$8:$E$19))*$AD93)/$AB93)/24</f>
        <v>0</v>
      </c>
      <c r="F93" s="35">
        <f ca="1">(((_xlfn.XLOOKUP(YEAR($B93),'Oferta Producto 1'!$B$8:$B$19,'Oferta Producto 1'!$E$8:$E$19))*$AD93)/$AB93)/24</f>
        <v>0</v>
      </c>
      <c r="G93" s="35">
        <f ca="1">(((_xlfn.XLOOKUP(YEAR($B93),'Oferta Producto 1'!$B$8:$B$19,'Oferta Producto 1'!$E$8:$E$19))*$AD93)/$AB93)/24</f>
        <v>0</v>
      </c>
      <c r="H93" s="35">
        <f ca="1">(((_xlfn.XLOOKUP(YEAR($B93),'Oferta Producto 1'!$B$8:$B$19,'Oferta Producto 1'!$E$8:$E$19))*$AD93)/$AB93)/24</f>
        <v>0</v>
      </c>
      <c r="I93" s="35">
        <f ca="1">(((_xlfn.XLOOKUP(YEAR($B93),'Oferta Producto 1'!$B$8:$B$19,'Oferta Producto 1'!$E$8:$E$19))*$AD93)/$AB93)/24</f>
        <v>0</v>
      </c>
      <c r="J93" s="35">
        <f ca="1">(((_xlfn.XLOOKUP(YEAR($B93),'Oferta Producto 1'!$B$8:$B$19,'Oferta Producto 1'!$E$8:$E$19))*$AD93)/$AB93)/24</f>
        <v>0</v>
      </c>
      <c r="K93" s="35">
        <f ca="1">(((_xlfn.XLOOKUP(YEAR($B93),'Oferta Producto 1'!$B$8:$B$19,'Oferta Producto 1'!$E$8:$E$19))*$AD93)/$AB93)/24</f>
        <v>0</v>
      </c>
      <c r="L93" s="35">
        <f ca="1">(((_xlfn.XLOOKUP(YEAR($B93),'Oferta Producto 1'!$B$8:$B$19,'Oferta Producto 1'!$E$8:$E$19))*$AD93)/$AB93)/24</f>
        <v>0</v>
      </c>
      <c r="M93" s="35">
        <f ca="1">(((_xlfn.XLOOKUP(YEAR($B93),'Oferta Producto 1'!$B$8:$B$19,'Oferta Producto 1'!$E$8:$E$19))*$AD93)/$AB93)/24</f>
        <v>0</v>
      </c>
      <c r="N93" s="35">
        <f ca="1">(((_xlfn.XLOOKUP(YEAR($B93),'Oferta Producto 1'!$B$8:$B$19,'Oferta Producto 1'!$E$8:$E$19))*$AD93)/$AB93)/24</f>
        <v>0</v>
      </c>
      <c r="O93" s="35">
        <f ca="1">(((_xlfn.XLOOKUP(YEAR($B93),'Oferta Producto 1'!$B$8:$B$19,'Oferta Producto 1'!$E$8:$E$19))*$AD93)/$AB93)/24</f>
        <v>0</v>
      </c>
      <c r="P93" s="35">
        <f ca="1">(((_xlfn.XLOOKUP(YEAR($B93),'Oferta Producto 1'!$B$8:$B$19,'Oferta Producto 1'!$E$8:$E$19))*$AD93)/$AB93)/24</f>
        <v>0</v>
      </c>
      <c r="Q93" s="35">
        <f ca="1">(((_xlfn.XLOOKUP(YEAR($B93),'Oferta Producto 1'!$B$8:$B$19,'Oferta Producto 1'!$E$8:$E$19))*$AD93)/$AB93)/24</f>
        <v>0</v>
      </c>
      <c r="R93" s="35">
        <f ca="1">(((_xlfn.XLOOKUP(YEAR($B93),'Oferta Producto 1'!$B$8:$B$19,'Oferta Producto 1'!$E$8:$E$19))*$AD93)/$AB93)/24</f>
        <v>0</v>
      </c>
      <c r="S93" s="35">
        <f ca="1">(((_xlfn.XLOOKUP(YEAR($B93),'Oferta Producto 1'!$B$8:$B$19,'Oferta Producto 1'!$E$8:$E$19))*$AD93)/$AB93)/24</f>
        <v>0</v>
      </c>
      <c r="T93" s="35">
        <f ca="1">(((_xlfn.XLOOKUP(YEAR($B93),'Oferta Producto 1'!$B$8:$B$19,'Oferta Producto 1'!$E$8:$E$19))*$AD93)/$AB93)/24</f>
        <v>0</v>
      </c>
      <c r="U93" s="35">
        <f ca="1">(((_xlfn.XLOOKUP(YEAR($B93),'Oferta Producto 1'!$B$8:$B$19,'Oferta Producto 1'!$E$8:$E$19))*$AD93)/$AB93)/24</f>
        <v>0</v>
      </c>
      <c r="V93" s="35">
        <f ca="1">(((_xlfn.XLOOKUP(YEAR($B93),'Oferta Producto 1'!$B$8:$B$19,'Oferta Producto 1'!$E$8:$E$19))*$AD93)/$AB93)/24</f>
        <v>0</v>
      </c>
      <c r="W93" s="35">
        <f ca="1">(((_xlfn.XLOOKUP(YEAR($B93),'Oferta Producto 1'!$B$8:$B$19,'Oferta Producto 1'!$E$8:$E$19))*$AD93)/$AB93)/24</f>
        <v>0</v>
      </c>
      <c r="X93" s="35">
        <f ca="1">(((_xlfn.XLOOKUP(YEAR($B93),'Oferta Producto 1'!$B$8:$B$19,'Oferta Producto 1'!$E$8:$E$19))*$AD93)/$AB93)/24</f>
        <v>0</v>
      </c>
      <c r="Y93" s="35">
        <f ca="1">(((_xlfn.XLOOKUP(YEAR($B93),'Oferta Producto 1'!$B$8:$B$19,'Oferta Producto 1'!$E$8:$E$19))*$AD93)/$AB93)/24</f>
        <v>0</v>
      </c>
      <c r="Z93" s="35">
        <f ca="1">(((_xlfn.XLOOKUP(YEAR($B93),'Oferta Producto 1'!$B$8:$B$19,'Oferta Producto 1'!$E$8:$E$19))*$AD93)/$AB93)/24</f>
        <v>0</v>
      </c>
      <c r="AA93" s="35">
        <f t="shared" ca="1" si="5"/>
        <v>0</v>
      </c>
      <c r="AB93" s="28">
        <f t="shared" si="7"/>
        <v>30</v>
      </c>
      <c r="AC93" s="42">
        <f t="shared" ca="1" si="8"/>
        <v>0</v>
      </c>
      <c r="AD93" s="43">
        <v>8.5194743854538763E-2</v>
      </c>
      <c r="AE93"/>
    </row>
    <row r="94" spans="1:31" ht="15.75" thickBot="1">
      <c r="A94" s="23">
        <f t="shared" si="6"/>
        <v>2033</v>
      </c>
      <c r="B94" s="27">
        <v>48700</v>
      </c>
      <c r="C94" s="35">
        <f ca="1">(((_xlfn.XLOOKUP(YEAR($B94),'Oferta Producto 1'!$B$8:$B$19,'Oferta Producto 1'!$E$8:$E$19))*$AD94)/$AB94)/24</f>
        <v>0</v>
      </c>
      <c r="D94" s="35">
        <f ca="1">(((_xlfn.XLOOKUP(YEAR($B94),'Oferta Producto 1'!$B$8:$B$19,'Oferta Producto 1'!$E$8:$E$19))*$AD94)/$AB94)/24</f>
        <v>0</v>
      </c>
      <c r="E94" s="35">
        <f ca="1">(((_xlfn.XLOOKUP(YEAR($B94),'Oferta Producto 1'!$B$8:$B$19,'Oferta Producto 1'!$E$8:$E$19))*$AD94)/$AB94)/24</f>
        <v>0</v>
      </c>
      <c r="F94" s="35">
        <f ca="1">(((_xlfn.XLOOKUP(YEAR($B94),'Oferta Producto 1'!$B$8:$B$19,'Oferta Producto 1'!$E$8:$E$19))*$AD94)/$AB94)/24</f>
        <v>0</v>
      </c>
      <c r="G94" s="35">
        <f ca="1">(((_xlfn.XLOOKUP(YEAR($B94),'Oferta Producto 1'!$B$8:$B$19,'Oferta Producto 1'!$E$8:$E$19))*$AD94)/$AB94)/24</f>
        <v>0</v>
      </c>
      <c r="H94" s="35">
        <f ca="1">(((_xlfn.XLOOKUP(YEAR($B94),'Oferta Producto 1'!$B$8:$B$19,'Oferta Producto 1'!$E$8:$E$19))*$AD94)/$AB94)/24</f>
        <v>0</v>
      </c>
      <c r="I94" s="35">
        <f ca="1">(((_xlfn.XLOOKUP(YEAR($B94),'Oferta Producto 1'!$B$8:$B$19,'Oferta Producto 1'!$E$8:$E$19))*$AD94)/$AB94)/24</f>
        <v>0</v>
      </c>
      <c r="J94" s="35">
        <f ca="1">(((_xlfn.XLOOKUP(YEAR($B94),'Oferta Producto 1'!$B$8:$B$19,'Oferta Producto 1'!$E$8:$E$19))*$AD94)/$AB94)/24</f>
        <v>0</v>
      </c>
      <c r="K94" s="35">
        <f ca="1">(((_xlfn.XLOOKUP(YEAR($B94),'Oferta Producto 1'!$B$8:$B$19,'Oferta Producto 1'!$E$8:$E$19))*$AD94)/$AB94)/24</f>
        <v>0</v>
      </c>
      <c r="L94" s="35">
        <f ca="1">(((_xlfn.XLOOKUP(YEAR($B94),'Oferta Producto 1'!$B$8:$B$19,'Oferta Producto 1'!$E$8:$E$19))*$AD94)/$AB94)/24</f>
        <v>0</v>
      </c>
      <c r="M94" s="35">
        <f ca="1">(((_xlfn.XLOOKUP(YEAR($B94),'Oferta Producto 1'!$B$8:$B$19,'Oferta Producto 1'!$E$8:$E$19))*$AD94)/$AB94)/24</f>
        <v>0</v>
      </c>
      <c r="N94" s="35">
        <f ca="1">(((_xlfn.XLOOKUP(YEAR($B94),'Oferta Producto 1'!$B$8:$B$19,'Oferta Producto 1'!$E$8:$E$19))*$AD94)/$AB94)/24</f>
        <v>0</v>
      </c>
      <c r="O94" s="35">
        <f ca="1">(((_xlfn.XLOOKUP(YEAR($B94),'Oferta Producto 1'!$B$8:$B$19,'Oferta Producto 1'!$E$8:$E$19))*$AD94)/$AB94)/24</f>
        <v>0</v>
      </c>
      <c r="P94" s="35">
        <f ca="1">(((_xlfn.XLOOKUP(YEAR($B94),'Oferta Producto 1'!$B$8:$B$19,'Oferta Producto 1'!$E$8:$E$19))*$AD94)/$AB94)/24</f>
        <v>0</v>
      </c>
      <c r="Q94" s="35">
        <f ca="1">(((_xlfn.XLOOKUP(YEAR($B94),'Oferta Producto 1'!$B$8:$B$19,'Oferta Producto 1'!$E$8:$E$19))*$AD94)/$AB94)/24</f>
        <v>0</v>
      </c>
      <c r="R94" s="35">
        <f ca="1">(((_xlfn.XLOOKUP(YEAR($B94),'Oferta Producto 1'!$B$8:$B$19,'Oferta Producto 1'!$E$8:$E$19))*$AD94)/$AB94)/24</f>
        <v>0</v>
      </c>
      <c r="S94" s="35">
        <f ca="1">(((_xlfn.XLOOKUP(YEAR($B94),'Oferta Producto 1'!$B$8:$B$19,'Oferta Producto 1'!$E$8:$E$19))*$AD94)/$AB94)/24</f>
        <v>0</v>
      </c>
      <c r="T94" s="35">
        <f ca="1">(((_xlfn.XLOOKUP(YEAR($B94),'Oferta Producto 1'!$B$8:$B$19,'Oferta Producto 1'!$E$8:$E$19))*$AD94)/$AB94)/24</f>
        <v>0</v>
      </c>
      <c r="U94" s="35">
        <f ca="1">(((_xlfn.XLOOKUP(YEAR($B94),'Oferta Producto 1'!$B$8:$B$19,'Oferta Producto 1'!$E$8:$E$19))*$AD94)/$AB94)/24</f>
        <v>0</v>
      </c>
      <c r="V94" s="35">
        <f ca="1">(((_xlfn.XLOOKUP(YEAR($B94),'Oferta Producto 1'!$B$8:$B$19,'Oferta Producto 1'!$E$8:$E$19))*$AD94)/$AB94)/24</f>
        <v>0</v>
      </c>
      <c r="W94" s="35">
        <f ca="1">(((_xlfn.XLOOKUP(YEAR($B94),'Oferta Producto 1'!$B$8:$B$19,'Oferta Producto 1'!$E$8:$E$19))*$AD94)/$AB94)/24</f>
        <v>0</v>
      </c>
      <c r="X94" s="35">
        <f ca="1">(((_xlfn.XLOOKUP(YEAR($B94),'Oferta Producto 1'!$B$8:$B$19,'Oferta Producto 1'!$E$8:$E$19))*$AD94)/$AB94)/24</f>
        <v>0</v>
      </c>
      <c r="Y94" s="35">
        <f ca="1">(((_xlfn.XLOOKUP(YEAR($B94),'Oferta Producto 1'!$B$8:$B$19,'Oferta Producto 1'!$E$8:$E$19))*$AD94)/$AB94)/24</f>
        <v>0</v>
      </c>
      <c r="Z94" s="35">
        <f ca="1">(((_xlfn.XLOOKUP(YEAR($B94),'Oferta Producto 1'!$B$8:$B$19,'Oferta Producto 1'!$E$8:$E$19))*$AD94)/$AB94)/24</f>
        <v>0</v>
      </c>
      <c r="AA94" s="35">
        <f t="shared" ca="1" si="5"/>
        <v>0</v>
      </c>
      <c r="AB94" s="28">
        <f t="shared" si="7"/>
        <v>31</v>
      </c>
      <c r="AC94" s="42">
        <f t="shared" ca="1" si="8"/>
        <v>0</v>
      </c>
      <c r="AD94" s="43">
        <v>8.0727358603645744E-2</v>
      </c>
      <c r="AE94"/>
    </row>
    <row r="95" spans="1:31" ht="15.75" thickBot="1">
      <c r="A95" s="23">
        <f t="shared" si="6"/>
        <v>2033</v>
      </c>
      <c r="B95" s="27">
        <v>48731</v>
      </c>
      <c r="C95" s="35">
        <f ca="1">(((_xlfn.XLOOKUP(YEAR($B95),'Oferta Producto 1'!$B$8:$B$19,'Oferta Producto 1'!$E$8:$E$19))*$AD95)/$AB95)/24</f>
        <v>0</v>
      </c>
      <c r="D95" s="35">
        <f ca="1">(((_xlfn.XLOOKUP(YEAR($B95),'Oferta Producto 1'!$B$8:$B$19,'Oferta Producto 1'!$E$8:$E$19))*$AD95)/$AB95)/24</f>
        <v>0</v>
      </c>
      <c r="E95" s="35">
        <f ca="1">(((_xlfn.XLOOKUP(YEAR($B95),'Oferta Producto 1'!$B$8:$B$19,'Oferta Producto 1'!$E$8:$E$19))*$AD95)/$AB95)/24</f>
        <v>0</v>
      </c>
      <c r="F95" s="35">
        <f ca="1">(((_xlfn.XLOOKUP(YEAR($B95),'Oferta Producto 1'!$B$8:$B$19,'Oferta Producto 1'!$E$8:$E$19))*$AD95)/$AB95)/24</f>
        <v>0</v>
      </c>
      <c r="G95" s="35">
        <f ca="1">(((_xlfn.XLOOKUP(YEAR($B95),'Oferta Producto 1'!$B$8:$B$19,'Oferta Producto 1'!$E$8:$E$19))*$AD95)/$AB95)/24</f>
        <v>0</v>
      </c>
      <c r="H95" s="35">
        <f ca="1">(((_xlfn.XLOOKUP(YEAR($B95),'Oferta Producto 1'!$B$8:$B$19,'Oferta Producto 1'!$E$8:$E$19))*$AD95)/$AB95)/24</f>
        <v>0</v>
      </c>
      <c r="I95" s="35">
        <f ca="1">(((_xlfn.XLOOKUP(YEAR($B95),'Oferta Producto 1'!$B$8:$B$19,'Oferta Producto 1'!$E$8:$E$19))*$AD95)/$AB95)/24</f>
        <v>0</v>
      </c>
      <c r="J95" s="35">
        <f ca="1">(((_xlfn.XLOOKUP(YEAR($B95),'Oferta Producto 1'!$B$8:$B$19,'Oferta Producto 1'!$E$8:$E$19))*$AD95)/$AB95)/24</f>
        <v>0</v>
      </c>
      <c r="K95" s="35">
        <f ca="1">(((_xlfn.XLOOKUP(YEAR($B95),'Oferta Producto 1'!$B$8:$B$19,'Oferta Producto 1'!$E$8:$E$19))*$AD95)/$AB95)/24</f>
        <v>0</v>
      </c>
      <c r="L95" s="35">
        <f ca="1">(((_xlfn.XLOOKUP(YEAR($B95),'Oferta Producto 1'!$B$8:$B$19,'Oferta Producto 1'!$E$8:$E$19))*$AD95)/$AB95)/24</f>
        <v>0</v>
      </c>
      <c r="M95" s="35">
        <f ca="1">(((_xlfn.XLOOKUP(YEAR($B95),'Oferta Producto 1'!$B$8:$B$19,'Oferta Producto 1'!$E$8:$E$19))*$AD95)/$AB95)/24</f>
        <v>0</v>
      </c>
      <c r="N95" s="35">
        <f ca="1">(((_xlfn.XLOOKUP(YEAR($B95),'Oferta Producto 1'!$B$8:$B$19,'Oferta Producto 1'!$E$8:$E$19))*$AD95)/$AB95)/24</f>
        <v>0</v>
      </c>
      <c r="O95" s="35">
        <f ca="1">(((_xlfn.XLOOKUP(YEAR($B95),'Oferta Producto 1'!$B$8:$B$19,'Oferta Producto 1'!$E$8:$E$19))*$AD95)/$AB95)/24</f>
        <v>0</v>
      </c>
      <c r="P95" s="35">
        <f ca="1">(((_xlfn.XLOOKUP(YEAR($B95),'Oferta Producto 1'!$B$8:$B$19,'Oferta Producto 1'!$E$8:$E$19))*$AD95)/$AB95)/24</f>
        <v>0</v>
      </c>
      <c r="Q95" s="35">
        <f ca="1">(((_xlfn.XLOOKUP(YEAR($B95),'Oferta Producto 1'!$B$8:$B$19,'Oferta Producto 1'!$E$8:$E$19))*$AD95)/$AB95)/24</f>
        <v>0</v>
      </c>
      <c r="R95" s="35">
        <f ca="1">(((_xlfn.XLOOKUP(YEAR($B95),'Oferta Producto 1'!$B$8:$B$19,'Oferta Producto 1'!$E$8:$E$19))*$AD95)/$AB95)/24</f>
        <v>0</v>
      </c>
      <c r="S95" s="35">
        <f ca="1">(((_xlfn.XLOOKUP(YEAR($B95),'Oferta Producto 1'!$B$8:$B$19,'Oferta Producto 1'!$E$8:$E$19))*$AD95)/$AB95)/24</f>
        <v>0</v>
      </c>
      <c r="T95" s="35">
        <f ca="1">(((_xlfn.XLOOKUP(YEAR($B95),'Oferta Producto 1'!$B$8:$B$19,'Oferta Producto 1'!$E$8:$E$19))*$AD95)/$AB95)/24</f>
        <v>0</v>
      </c>
      <c r="U95" s="35">
        <f ca="1">(((_xlfn.XLOOKUP(YEAR($B95),'Oferta Producto 1'!$B$8:$B$19,'Oferta Producto 1'!$E$8:$E$19))*$AD95)/$AB95)/24</f>
        <v>0</v>
      </c>
      <c r="V95" s="35">
        <f ca="1">(((_xlfn.XLOOKUP(YEAR($B95),'Oferta Producto 1'!$B$8:$B$19,'Oferta Producto 1'!$E$8:$E$19))*$AD95)/$AB95)/24</f>
        <v>0</v>
      </c>
      <c r="W95" s="35">
        <f ca="1">(((_xlfn.XLOOKUP(YEAR($B95),'Oferta Producto 1'!$B$8:$B$19,'Oferta Producto 1'!$E$8:$E$19))*$AD95)/$AB95)/24</f>
        <v>0</v>
      </c>
      <c r="X95" s="35">
        <f ca="1">(((_xlfn.XLOOKUP(YEAR($B95),'Oferta Producto 1'!$B$8:$B$19,'Oferta Producto 1'!$E$8:$E$19))*$AD95)/$AB95)/24</f>
        <v>0</v>
      </c>
      <c r="Y95" s="35">
        <f ca="1">(((_xlfn.XLOOKUP(YEAR($B95),'Oferta Producto 1'!$B$8:$B$19,'Oferta Producto 1'!$E$8:$E$19))*$AD95)/$AB95)/24</f>
        <v>0</v>
      </c>
      <c r="Z95" s="35">
        <f ca="1">(((_xlfn.XLOOKUP(YEAR($B95),'Oferta Producto 1'!$B$8:$B$19,'Oferta Producto 1'!$E$8:$E$19))*$AD95)/$AB95)/24</f>
        <v>0</v>
      </c>
      <c r="AA95" s="35">
        <f t="shared" ref="AA95:AA125" ca="1" si="9">SUM(C95:Z95)</f>
        <v>0</v>
      </c>
      <c r="AB95" s="28">
        <f t="shared" si="7"/>
        <v>30</v>
      </c>
      <c r="AC95" s="42">
        <f t="shared" ca="1" si="8"/>
        <v>0</v>
      </c>
      <c r="AD95" s="43">
        <v>8.5194743854538763E-2</v>
      </c>
      <c r="AE95"/>
    </row>
    <row r="96" spans="1:31" ht="15.75" thickBot="1">
      <c r="A96" s="23">
        <f t="shared" si="6"/>
        <v>2033</v>
      </c>
      <c r="B96" s="27">
        <v>48761</v>
      </c>
      <c r="C96" s="35">
        <f ca="1">(((_xlfn.XLOOKUP(YEAR($B96),'Oferta Producto 1'!$B$8:$B$19,'Oferta Producto 1'!$E$8:$E$19))*$AD96)/$AB96)/24</f>
        <v>0</v>
      </c>
      <c r="D96" s="35">
        <f ca="1">(((_xlfn.XLOOKUP(YEAR($B96),'Oferta Producto 1'!$B$8:$B$19,'Oferta Producto 1'!$E$8:$E$19))*$AD96)/$AB96)/24</f>
        <v>0</v>
      </c>
      <c r="E96" s="35">
        <f ca="1">(((_xlfn.XLOOKUP(YEAR($B96),'Oferta Producto 1'!$B$8:$B$19,'Oferta Producto 1'!$E$8:$E$19))*$AD96)/$AB96)/24</f>
        <v>0</v>
      </c>
      <c r="F96" s="35">
        <f ca="1">(((_xlfn.XLOOKUP(YEAR($B96),'Oferta Producto 1'!$B$8:$B$19,'Oferta Producto 1'!$E$8:$E$19))*$AD96)/$AB96)/24</f>
        <v>0</v>
      </c>
      <c r="G96" s="35">
        <f ca="1">(((_xlfn.XLOOKUP(YEAR($B96),'Oferta Producto 1'!$B$8:$B$19,'Oferta Producto 1'!$E$8:$E$19))*$AD96)/$AB96)/24</f>
        <v>0</v>
      </c>
      <c r="H96" s="35">
        <f ca="1">(((_xlfn.XLOOKUP(YEAR($B96),'Oferta Producto 1'!$B$8:$B$19,'Oferta Producto 1'!$E$8:$E$19))*$AD96)/$AB96)/24</f>
        <v>0</v>
      </c>
      <c r="I96" s="35">
        <f ca="1">(((_xlfn.XLOOKUP(YEAR($B96),'Oferta Producto 1'!$B$8:$B$19,'Oferta Producto 1'!$E$8:$E$19))*$AD96)/$AB96)/24</f>
        <v>0</v>
      </c>
      <c r="J96" s="35">
        <f ca="1">(((_xlfn.XLOOKUP(YEAR($B96),'Oferta Producto 1'!$B$8:$B$19,'Oferta Producto 1'!$E$8:$E$19))*$AD96)/$AB96)/24</f>
        <v>0</v>
      </c>
      <c r="K96" s="35">
        <f ca="1">(((_xlfn.XLOOKUP(YEAR($B96),'Oferta Producto 1'!$B$8:$B$19,'Oferta Producto 1'!$E$8:$E$19))*$AD96)/$AB96)/24</f>
        <v>0</v>
      </c>
      <c r="L96" s="35">
        <f ca="1">(((_xlfn.XLOOKUP(YEAR($B96),'Oferta Producto 1'!$B$8:$B$19,'Oferta Producto 1'!$E$8:$E$19))*$AD96)/$AB96)/24</f>
        <v>0</v>
      </c>
      <c r="M96" s="35">
        <f ca="1">(((_xlfn.XLOOKUP(YEAR($B96),'Oferta Producto 1'!$B$8:$B$19,'Oferta Producto 1'!$E$8:$E$19))*$AD96)/$AB96)/24</f>
        <v>0</v>
      </c>
      <c r="N96" s="35">
        <f ca="1">(((_xlfn.XLOOKUP(YEAR($B96),'Oferta Producto 1'!$B$8:$B$19,'Oferta Producto 1'!$E$8:$E$19))*$AD96)/$AB96)/24</f>
        <v>0</v>
      </c>
      <c r="O96" s="35">
        <f ca="1">(((_xlfn.XLOOKUP(YEAR($B96),'Oferta Producto 1'!$B$8:$B$19,'Oferta Producto 1'!$E$8:$E$19))*$AD96)/$AB96)/24</f>
        <v>0</v>
      </c>
      <c r="P96" s="35">
        <f ca="1">(((_xlfn.XLOOKUP(YEAR($B96),'Oferta Producto 1'!$B$8:$B$19,'Oferta Producto 1'!$E$8:$E$19))*$AD96)/$AB96)/24</f>
        <v>0</v>
      </c>
      <c r="Q96" s="35">
        <f ca="1">(((_xlfn.XLOOKUP(YEAR($B96),'Oferta Producto 1'!$B$8:$B$19,'Oferta Producto 1'!$E$8:$E$19))*$AD96)/$AB96)/24</f>
        <v>0</v>
      </c>
      <c r="R96" s="35">
        <f ca="1">(((_xlfn.XLOOKUP(YEAR($B96),'Oferta Producto 1'!$B$8:$B$19,'Oferta Producto 1'!$E$8:$E$19))*$AD96)/$AB96)/24</f>
        <v>0</v>
      </c>
      <c r="S96" s="35">
        <f ca="1">(((_xlfn.XLOOKUP(YEAR($B96),'Oferta Producto 1'!$B$8:$B$19,'Oferta Producto 1'!$E$8:$E$19))*$AD96)/$AB96)/24</f>
        <v>0</v>
      </c>
      <c r="T96" s="35">
        <f ca="1">(((_xlfn.XLOOKUP(YEAR($B96),'Oferta Producto 1'!$B$8:$B$19,'Oferta Producto 1'!$E$8:$E$19))*$AD96)/$AB96)/24</f>
        <v>0</v>
      </c>
      <c r="U96" s="35">
        <f ca="1">(((_xlfn.XLOOKUP(YEAR($B96),'Oferta Producto 1'!$B$8:$B$19,'Oferta Producto 1'!$E$8:$E$19))*$AD96)/$AB96)/24</f>
        <v>0</v>
      </c>
      <c r="V96" s="35">
        <f ca="1">(((_xlfn.XLOOKUP(YEAR($B96),'Oferta Producto 1'!$B$8:$B$19,'Oferta Producto 1'!$E$8:$E$19))*$AD96)/$AB96)/24</f>
        <v>0</v>
      </c>
      <c r="W96" s="35">
        <f ca="1">(((_xlfn.XLOOKUP(YEAR($B96),'Oferta Producto 1'!$B$8:$B$19,'Oferta Producto 1'!$E$8:$E$19))*$AD96)/$AB96)/24</f>
        <v>0</v>
      </c>
      <c r="X96" s="35">
        <f ca="1">(((_xlfn.XLOOKUP(YEAR($B96),'Oferta Producto 1'!$B$8:$B$19,'Oferta Producto 1'!$E$8:$E$19))*$AD96)/$AB96)/24</f>
        <v>0</v>
      </c>
      <c r="Y96" s="35">
        <f ca="1">(((_xlfn.XLOOKUP(YEAR($B96),'Oferta Producto 1'!$B$8:$B$19,'Oferta Producto 1'!$E$8:$E$19))*$AD96)/$AB96)/24</f>
        <v>0</v>
      </c>
      <c r="Z96" s="35">
        <f ca="1">(((_xlfn.XLOOKUP(YEAR($B96),'Oferta Producto 1'!$B$8:$B$19,'Oferta Producto 1'!$E$8:$E$19))*$AD96)/$AB96)/24</f>
        <v>0</v>
      </c>
      <c r="AA96" s="35">
        <f t="shared" ca="1" si="9"/>
        <v>0</v>
      </c>
      <c r="AB96" s="28">
        <f t="shared" si="7"/>
        <v>31</v>
      </c>
      <c r="AC96" s="42">
        <f t="shared" ca="1" si="8"/>
        <v>0</v>
      </c>
      <c r="AD96" s="43">
        <v>8.0727358603645744E-2</v>
      </c>
      <c r="AE96"/>
    </row>
    <row r="97" spans="1:31" ht="15.75" thickBot="1">
      <c r="A97" s="23">
        <f t="shared" si="6"/>
        <v>2033</v>
      </c>
      <c r="B97" s="27">
        <v>48792</v>
      </c>
      <c r="C97" s="35">
        <f ca="1">(((_xlfn.XLOOKUP(YEAR($B97),'Oferta Producto 1'!$B$8:$B$19,'Oferta Producto 1'!$E$8:$E$19))*$AD97)/$AB97)/24</f>
        <v>0</v>
      </c>
      <c r="D97" s="35">
        <f ca="1">(((_xlfn.XLOOKUP(YEAR($B97),'Oferta Producto 1'!$B$8:$B$19,'Oferta Producto 1'!$E$8:$E$19))*$AD97)/$AB97)/24</f>
        <v>0</v>
      </c>
      <c r="E97" s="35">
        <f ca="1">(((_xlfn.XLOOKUP(YEAR($B97),'Oferta Producto 1'!$B$8:$B$19,'Oferta Producto 1'!$E$8:$E$19))*$AD97)/$AB97)/24</f>
        <v>0</v>
      </c>
      <c r="F97" s="35">
        <f ca="1">(((_xlfn.XLOOKUP(YEAR($B97),'Oferta Producto 1'!$B$8:$B$19,'Oferta Producto 1'!$E$8:$E$19))*$AD97)/$AB97)/24</f>
        <v>0</v>
      </c>
      <c r="G97" s="35">
        <f ca="1">(((_xlfn.XLOOKUP(YEAR($B97),'Oferta Producto 1'!$B$8:$B$19,'Oferta Producto 1'!$E$8:$E$19))*$AD97)/$AB97)/24</f>
        <v>0</v>
      </c>
      <c r="H97" s="35">
        <f ca="1">(((_xlfn.XLOOKUP(YEAR($B97),'Oferta Producto 1'!$B$8:$B$19,'Oferta Producto 1'!$E$8:$E$19))*$AD97)/$AB97)/24</f>
        <v>0</v>
      </c>
      <c r="I97" s="35">
        <f ca="1">(((_xlfn.XLOOKUP(YEAR($B97),'Oferta Producto 1'!$B$8:$B$19,'Oferta Producto 1'!$E$8:$E$19))*$AD97)/$AB97)/24</f>
        <v>0</v>
      </c>
      <c r="J97" s="35">
        <f ca="1">(((_xlfn.XLOOKUP(YEAR($B97),'Oferta Producto 1'!$B$8:$B$19,'Oferta Producto 1'!$E$8:$E$19))*$AD97)/$AB97)/24</f>
        <v>0</v>
      </c>
      <c r="K97" s="35">
        <f ca="1">(((_xlfn.XLOOKUP(YEAR($B97),'Oferta Producto 1'!$B$8:$B$19,'Oferta Producto 1'!$E$8:$E$19))*$AD97)/$AB97)/24</f>
        <v>0</v>
      </c>
      <c r="L97" s="35">
        <f ca="1">(((_xlfn.XLOOKUP(YEAR($B97),'Oferta Producto 1'!$B$8:$B$19,'Oferta Producto 1'!$E$8:$E$19))*$AD97)/$AB97)/24</f>
        <v>0</v>
      </c>
      <c r="M97" s="35">
        <f ca="1">(((_xlfn.XLOOKUP(YEAR($B97),'Oferta Producto 1'!$B$8:$B$19,'Oferta Producto 1'!$E$8:$E$19))*$AD97)/$AB97)/24</f>
        <v>0</v>
      </c>
      <c r="N97" s="35">
        <f ca="1">(((_xlfn.XLOOKUP(YEAR($B97),'Oferta Producto 1'!$B$8:$B$19,'Oferta Producto 1'!$E$8:$E$19))*$AD97)/$AB97)/24</f>
        <v>0</v>
      </c>
      <c r="O97" s="35">
        <f ca="1">(((_xlfn.XLOOKUP(YEAR($B97),'Oferta Producto 1'!$B$8:$B$19,'Oferta Producto 1'!$E$8:$E$19))*$AD97)/$AB97)/24</f>
        <v>0</v>
      </c>
      <c r="P97" s="35">
        <f ca="1">(((_xlfn.XLOOKUP(YEAR($B97),'Oferta Producto 1'!$B$8:$B$19,'Oferta Producto 1'!$E$8:$E$19))*$AD97)/$AB97)/24</f>
        <v>0</v>
      </c>
      <c r="Q97" s="35">
        <f ca="1">(((_xlfn.XLOOKUP(YEAR($B97),'Oferta Producto 1'!$B$8:$B$19,'Oferta Producto 1'!$E$8:$E$19))*$AD97)/$AB97)/24</f>
        <v>0</v>
      </c>
      <c r="R97" s="35">
        <f ca="1">(((_xlfn.XLOOKUP(YEAR($B97),'Oferta Producto 1'!$B$8:$B$19,'Oferta Producto 1'!$E$8:$E$19))*$AD97)/$AB97)/24</f>
        <v>0</v>
      </c>
      <c r="S97" s="35">
        <f ca="1">(((_xlfn.XLOOKUP(YEAR($B97),'Oferta Producto 1'!$B$8:$B$19,'Oferta Producto 1'!$E$8:$E$19))*$AD97)/$AB97)/24</f>
        <v>0</v>
      </c>
      <c r="T97" s="35">
        <f ca="1">(((_xlfn.XLOOKUP(YEAR($B97),'Oferta Producto 1'!$B$8:$B$19,'Oferta Producto 1'!$E$8:$E$19))*$AD97)/$AB97)/24</f>
        <v>0</v>
      </c>
      <c r="U97" s="35">
        <f ca="1">(((_xlfn.XLOOKUP(YEAR($B97),'Oferta Producto 1'!$B$8:$B$19,'Oferta Producto 1'!$E$8:$E$19))*$AD97)/$AB97)/24</f>
        <v>0</v>
      </c>
      <c r="V97" s="35">
        <f ca="1">(((_xlfn.XLOOKUP(YEAR($B97),'Oferta Producto 1'!$B$8:$B$19,'Oferta Producto 1'!$E$8:$E$19))*$AD97)/$AB97)/24</f>
        <v>0</v>
      </c>
      <c r="W97" s="35">
        <f ca="1">(((_xlfn.XLOOKUP(YEAR($B97),'Oferta Producto 1'!$B$8:$B$19,'Oferta Producto 1'!$E$8:$E$19))*$AD97)/$AB97)/24</f>
        <v>0</v>
      </c>
      <c r="X97" s="35">
        <f ca="1">(((_xlfn.XLOOKUP(YEAR($B97),'Oferta Producto 1'!$B$8:$B$19,'Oferta Producto 1'!$E$8:$E$19))*$AD97)/$AB97)/24</f>
        <v>0</v>
      </c>
      <c r="Y97" s="35">
        <f ca="1">(((_xlfn.XLOOKUP(YEAR($B97),'Oferta Producto 1'!$B$8:$B$19,'Oferta Producto 1'!$E$8:$E$19))*$AD97)/$AB97)/24</f>
        <v>0</v>
      </c>
      <c r="Z97" s="35">
        <f ca="1">(((_xlfn.XLOOKUP(YEAR($B97),'Oferta Producto 1'!$B$8:$B$19,'Oferta Producto 1'!$E$8:$E$19))*$AD97)/$AB97)/24</f>
        <v>0</v>
      </c>
      <c r="AA97" s="35">
        <f t="shared" ca="1" si="9"/>
        <v>0</v>
      </c>
      <c r="AB97" s="28">
        <f t="shared" si="7"/>
        <v>31</v>
      </c>
      <c r="AC97" s="42">
        <f t="shared" ca="1" si="8"/>
        <v>0</v>
      </c>
      <c r="AD97" s="43">
        <v>8.0727358603645744E-2</v>
      </c>
      <c r="AE97"/>
    </row>
    <row r="98" spans="1:31" ht="15.75" thickBot="1">
      <c r="A98" s="23">
        <f t="shared" si="6"/>
        <v>2033</v>
      </c>
      <c r="B98" s="27">
        <v>48823</v>
      </c>
      <c r="C98" s="35">
        <f ca="1">(((_xlfn.XLOOKUP(YEAR($B98),'Oferta Producto 1'!$B$8:$B$19,'Oferta Producto 1'!$E$8:$E$19))*$AD98)/$AB98)/24</f>
        <v>0</v>
      </c>
      <c r="D98" s="35">
        <f ca="1">(((_xlfn.XLOOKUP(YEAR($B98),'Oferta Producto 1'!$B$8:$B$19,'Oferta Producto 1'!$E$8:$E$19))*$AD98)/$AB98)/24</f>
        <v>0</v>
      </c>
      <c r="E98" s="35">
        <f ca="1">(((_xlfn.XLOOKUP(YEAR($B98),'Oferta Producto 1'!$B$8:$B$19,'Oferta Producto 1'!$E$8:$E$19))*$AD98)/$AB98)/24</f>
        <v>0</v>
      </c>
      <c r="F98" s="35">
        <f ca="1">(((_xlfn.XLOOKUP(YEAR($B98),'Oferta Producto 1'!$B$8:$B$19,'Oferta Producto 1'!$E$8:$E$19))*$AD98)/$AB98)/24</f>
        <v>0</v>
      </c>
      <c r="G98" s="35">
        <f ca="1">(((_xlfn.XLOOKUP(YEAR($B98),'Oferta Producto 1'!$B$8:$B$19,'Oferta Producto 1'!$E$8:$E$19))*$AD98)/$AB98)/24</f>
        <v>0</v>
      </c>
      <c r="H98" s="35">
        <f ca="1">(((_xlfn.XLOOKUP(YEAR($B98),'Oferta Producto 1'!$B$8:$B$19,'Oferta Producto 1'!$E$8:$E$19))*$AD98)/$AB98)/24</f>
        <v>0</v>
      </c>
      <c r="I98" s="35">
        <f ca="1">(((_xlfn.XLOOKUP(YEAR($B98),'Oferta Producto 1'!$B$8:$B$19,'Oferta Producto 1'!$E$8:$E$19))*$AD98)/$AB98)/24</f>
        <v>0</v>
      </c>
      <c r="J98" s="35">
        <f ca="1">(((_xlfn.XLOOKUP(YEAR($B98),'Oferta Producto 1'!$B$8:$B$19,'Oferta Producto 1'!$E$8:$E$19))*$AD98)/$AB98)/24</f>
        <v>0</v>
      </c>
      <c r="K98" s="35">
        <f ca="1">(((_xlfn.XLOOKUP(YEAR($B98),'Oferta Producto 1'!$B$8:$B$19,'Oferta Producto 1'!$E$8:$E$19))*$AD98)/$AB98)/24</f>
        <v>0</v>
      </c>
      <c r="L98" s="35">
        <f ca="1">(((_xlfn.XLOOKUP(YEAR($B98),'Oferta Producto 1'!$B$8:$B$19,'Oferta Producto 1'!$E$8:$E$19))*$AD98)/$AB98)/24</f>
        <v>0</v>
      </c>
      <c r="M98" s="35">
        <f ca="1">(((_xlfn.XLOOKUP(YEAR($B98),'Oferta Producto 1'!$B$8:$B$19,'Oferta Producto 1'!$E$8:$E$19))*$AD98)/$AB98)/24</f>
        <v>0</v>
      </c>
      <c r="N98" s="35">
        <f ca="1">(((_xlfn.XLOOKUP(YEAR($B98),'Oferta Producto 1'!$B$8:$B$19,'Oferta Producto 1'!$E$8:$E$19))*$AD98)/$AB98)/24</f>
        <v>0</v>
      </c>
      <c r="O98" s="35">
        <f ca="1">(((_xlfn.XLOOKUP(YEAR($B98),'Oferta Producto 1'!$B$8:$B$19,'Oferta Producto 1'!$E$8:$E$19))*$AD98)/$AB98)/24</f>
        <v>0</v>
      </c>
      <c r="P98" s="35">
        <f ca="1">(((_xlfn.XLOOKUP(YEAR($B98),'Oferta Producto 1'!$B$8:$B$19,'Oferta Producto 1'!$E$8:$E$19))*$AD98)/$AB98)/24</f>
        <v>0</v>
      </c>
      <c r="Q98" s="35">
        <f ca="1">(((_xlfn.XLOOKUP(YEAR($B98),'Oferta Producto 1'!$B$8:$B$19,'Oferta Producto 1'!$E$8:$E$19))*$AD98)/$AB98)/24</f>
        <v>0</v>
      </c>
      <c r="R98" s="35">
        <f ca="1">(((_xlfn.XLOOKUP(YEAR($B98),'Oferta Producto 1'!$B$8:$B$19,'Oferta Producto 1'!$E$8:$E$19))*$AD98)/$AB98)/24</f>
        <v>0</v>
      </c>
      <c r="S98" s="35">
        <f ca="1">(((_xlfn.XLOOKUP(YEAR($B98),'Oferta Producto 1'!$B$8:$B$19,'Oferta Producto 1'!$E$8:$E$19))*$AD98)/$AB98)/24</f>
        <v>0</v>
      </c>
      <c r="T98" s="35">
        <f ca="1">(((_xlfn.XLOOKUP(YEAR($B98),'Oferta Producto 1'!$B$8:$B$19,'Oferta Producto 1'!$E$8:$E$19))*$AD98)/$AB98)/24</f>
        <v>0</v>
      </c>
      <c r="U98" s="35">
        <f ca="1">(((_xlfn.XLOOKUP(YEAR($B98),'Oferta Producto 1'!$B$8:$B$19,'Oferta Producto 1'!$E$8:$E$19))*$AD98)/$AB98)/24</f>
        <v>0</v>
      </c>
      <c r="V98" s="35">
        <f ca="1">(((_xlfn.XLOOKUP(YEAR($B98),'Oferta Producto 1'!$B$8:$B$19,'Oferta Producto 1'!$E$8:$E$19))*$AD98)/$AB98)/24</f>
        <v>0</v>
      </c>
      <c r="W98" s="35">
        <f ca="1">(((_xlfn.XLOOKUP(YEAR($B98),'Oferta Producto 1'!$B$8:$B$19,'Oferta Producto 1'!$E$8:$E$19))*$AD98)/$AB98)/24</f>
        <v>0</v>
      </c>
      <c r="X98" s="35">
        <f ca="1">(((_xlfn.XLOOKUP(YEAR($B98),'Oferta Producto 1'!$B$8:$B$19,'Oferta Producto 1'!$E$8:$E$19))*$AD98)/$AB98)/24</f>
        <v>0</v>
      </c>
      <c r="Y98" s="35">
        <f ca="1">(((_xlfn.XLOOKUP(YEAR($B98),'Oferta Producto 1'!$B$8:$B$19,'Oferta Producto 1'!$E$8:$E$19))*$AD98)/$AB98)/24</f>
        <v>0</v>
      </c>
      <c r="Z98" s="35">
        <f ca="1">(((_xlfn.XLOOKUP(YEAR($B98),'Oferta Producto 1'!$B$8:$B$19,'Oferta Producto 1'!$E$8:$E$19))*$AD98)/$AB98)/24</f>
        <v>0</v>
      </c>
      <c r="AA98" s="35">
        <f t="shared" ca="1" si="9"/>
        <v>0</v>
      </c>
      <c r="AB98" s="28">
        <f t="shared" si="7"/>
        <v>30</v>
      </c>
      <c r="AC98" s="42">
        <f t="shared" ca="1" si="8"/>
        <v>0</v>
      </c>
      <c r="AD98" s="43">
        <v>8.5194743854538763E-2</v>
      </c>
      <c r="AE98"/>
    </row>
    <row r="99" spans="1:31" ht="15.75" thickBot="1">
      <c r="A99" s="23">
        <f t="shared" si="6"/>
        <v>2033</v>
      </c>
      <c r="B99" s="27">
        <v>48853</v>
      </c>
      <c r="C99" s="35">
        <f ca="1">(((_xlfn.XLOOKUP(YEAR($B99),'Oferta Producto 1'!$B$8:$B$19,'Oferta Producto 1'!$E$8:$E$19))*$AD99)/$AB99)/24</f>
        <v>0</v>
      </c>
      <c r="D99" s="35">
        <f ca="1">(((_xlfn.XLOOKUP(YEAR($B99),'Oferta Producto 1'!$B$8:$B$19,'Oferta Producto 1'!$E$8:$E$19))*$AD99)/$AB99)/24</f>
        <v>0</v>
      </c>
      <c r="E99" s="35">
        <f ca="1">(((_xlfn.XLOOKUP(YEAR($B99),'Oferta Producto 1'!$B$8:$B$19,'Oferta Producto 1'!$E$8:$E$19))*$AD99)/$AB99)/24</f>
        <v>0</v>
      </c>
      <c r="F99" s="35">
        <f ca="1">(((_xlfn.XLOOKUP(YEAR($B99),'Oferta Producto 1'!$B$8:$B$19,'Oferta Producto 1'!$E$8:$E$19))*$AD99)/$AB99)/24</f>
        <v>0</v>
      </c>
      <c r="G99" s="35">
        <f ca="1">(((_xlfn.XLOOKUP(YEAR($B99),'Oferta Producto 1'!$B$8:$B$19,'Oferta Producto 1'!$E$8:$E$19))*$AD99)/$AB99)/24</f>
        <v>0</v>
      </c>
      <c r="H99" s="35">
        <f ca="1">(((_xlfn.XLOOKUP(YEAR($B99),'Oferta Producto 1'!$B$8:$B$19,'Oferta Producto 1'!$E$8:$E$19))*$AD99)/$AB99)/24</f>
        <v>0</v>
      </c>
      <c r="I99" s="35">
        <f ca="1">(((_xlfn.XLOOKUP(YEAR($B99),'Oferta Producto 1'!$B$8:$B$19,'Oferta Producto 1'!$E$8:$E$19))*$AD99)/$AB99)/24</f>
        <v>0</v>
      </c>
      <c r="J99" s="35">
        <f ca="1">(((_xlfn.XLOOKUP(YEAR($B99),'Oferta Producto 1'!$B$8:$B$19,'Oferta Producto 1'!$E$8:$E$19))*$AD99)/$AB99)/24</f>
        <v>0</v>
      </c>
      <c r="K99" s="35">
        <f ca="1">(((_xlfn.XLOOKUP(YEAR($B99),'Oferta Producto 1'!$B$8:$B$19,'Oferta Producto 1'!$E$8:$E$19))*$AD99)/$AB99)/24</f>
        <v>0</v>
      </c>
      <c r="L99" s="35">
        <f ca="1">(((_xlfn.XLOOKUP(YEAR($B99),'Oferta Producto 1'!$B$8:$B$19,'Oferta Producto 1'!$E$8:$E$19))*$AD99)/$AB99)/24</f>
        <v>0</v>
      </c>
      <c r="M99" s="35">
        <f ca="1">(((_xlfn.XLOOKUP(YEAR($B99),'Oferta Producto 1'!$B$8:$B$19,'Oferta Producto 1'!$E$8:$E$19))*$AD99)/$AB99)/24</f>
        <v>0</v>
      </c>
      <c r="N99" s="35">
        <f ca="1">(((_xlfn.XLOOKUP(YEAR($B99),'Oferta Producto 1'!$B$8:$B$19,'Oferta Producto 1'!$E$8:$E$19))*$AD99)/$AB99)/24</f>
        <v>0</v>
      </c>
      <c r="O99" s="35">
        <f ca="1">(((_xlfn.XLOOKUP(YEAR($B99),'Oferta Producto 1'!$B$8:$B$19,'Oferta Producto 1'!$E$8:$E$19))*$AD99)/$AB99)/24</f>
        <v>0</v>
      </c>
      <c r="P99" s="35">
        <f ca="1">(((_xlfn.XLOOKUP(YEAR($B99),'Oferta Producto 1'!$B$8:$B$19,'Oferta Producto 1'!$E$8:$E$19))*$AD99)/$AB99)/24</f>
        <v>0</v>
      </c>
      <c r="Q99" s="35">
        <f ca="1">(((_xlfn.XLOOKUP(YEAR($B99),'Oferta Producto 1'!$B$8:$B$19,'Oferta Producto 1'!$E$8:$E$19))*$AD99)/$AB99)/24</f>
        <v>0</v>
      </c>
      <c r="R99" s="35">
        <f ca="1">(((_xlfn.XLOOKUP(YEAR($B99),'Oferta Producto 1'!$B$8:$B$19,'Oferta Producto 1'!$E$8:$E$19))*$AD99)/$AB99)/24</f>
        <v>0</v>
      </c>
      <c r="S99" s="35">
        <f ca="1">(((_xlfn.XLOOKUP(YEAR($B99),'Oferta Producto 1'!$B$8:$B$19,'Oferta Producto 1'!$E$8:$E$19))*$AD99)/$AB99)/24</f>
        <v>0</v>
      </c>
      <c r="T99" s="35">
        <f ca="1">(((_xlfn.XLOOKUP(YEAR($B99),'Oferta Producto 1'!$B$8:$B$19,'Oferta Producto 1'!$E$8:$E$19))*$AD99)/$AB99)/24</f>
        <v>0</v>
      </c>
      <c r="U99" s="35">
        <f ca="1">(((_xlfn.XLOOKUP(YEAR($B99),'Oferta Producto 1'!$B$8:$B$19,'Oferta Producto 1'!$E$8:$E$19))*$AD99)/$AB99)/24</f>
        <v>0</v>
      </c>
      <c r="V99" s="35">
        <f ca="1">(((_xlfn.XLOOKUP(YEAR($B99),'Oferta Producto 1'!$B$8:$B$19,'Oferta Producto 1'!$E$8:$E$19))*$AD99)/$AB99)/24</f>
        <v>0</v>
      </c>
      <c r="W99" s="35">
        <f ca="1">(((_xlfn.XLOOKUP(YEAR($B99),'Oferta Producto 1'!$B$8:$B$19,'Oferta Producto 1'!$E$8:$E$19))*$AD99)/$AB99)/24</f>
        <v>0</v>
      </c>
      <c r="X99" s="35">
        <f ca="1">(((_xlfn.XLOOKUP(YEAR($B99),'Oferta Producto 1'!$B$8:$B$19,'Oferta Producto 1'!$E$8:$E$19))*$AD99)/$AB99)/24</f>
        <v>0</v>
      </c>
      <c r="Y99" s="35">
        <f ca="1">(((_xlfn.XLOOKUP(YEAR($B99),'Oferta Producto 1'!$B$8:$B$19,'Oferta Producto 1'!$E$8:$E$19))*$AD99)/$AB99)/24</f>
        <v>0</v>
      </c>
      <c r="Z99" s="35">
        <f ca="1">(((_xlfn.XLOOKUP(YEAR($B99),'Oferta Producto 1'!$B$8:$B$19,'Oferta Producto 1'!$E$8:$E$19))*$AD99)/$AB99)/24</f>
        <v>0</v>
      </c>
      <c r="AA99" s="35">
        <f t="shared" ca="1" si="9"/>
        <v>0</v>
      </c>
      <c r="AB99" s="28">
        <f t="shared" si="7"/>
        <v>31</v>
      </c>
      <c r="AC99" s="42">
        <f t="shared" ca="1" si="8"/>
        <v>0</v>
      </c>
      <c r="AD99" s="43">
        <v>8.0727358603645744E-2</v>
      </c>
      <c r="AE99"/>
    </row>
    <row r="100" spans="1:31" ht="15.75" thickBot="1">
      <c r="A100" s="23">
        <f t="shared" si="6"/>
        <v>2033</v>
      </c>
      <c r="B100" s="27">
        <v>48884</v>
      </c>
      <c r="C100" s="35">
        <f ca="1">(((_xlfn.XLOOKUP(YEAR($B100),'Oferta Producto 1'!$B$8:$B$19,'Oferta Producto 1'!$E$8:$E$19))*$AD100)/$AB100)/24</f>
        <v>0</v>
      </c>
      <c r="D100" s="35">
        <f ca="1">(((_xlfn.XLOOKUP(YEAR($B100),'Oferta Producto 1'!$B$8:$B$19,'Oferta Producto 1'!$E$8:$E$19))*$AD100)/$AB100)/24</f>
        <v>0</v>
      </c>
      <c r="E100" s="35">
        <f ca="1">(((_xlfn.XLOOKUP(YEAR($B100),'Oferta Producto 1'!$B$8:$B$19,'Oferta Producto 1'!$E$8:$E$19))*$AD100)/$AB100)/24</f>
        <v>0</v>
      </c>
      <c r="F100" s="35">
        <f ca="1">(((_xlfn.XLOOKUP(YEAR($B100),'Oferta Producto 1'!$B$8:$B$19,'Oferta Producto 1'!$E$8:$E$19))*$AD100)/$AB100)/24</f>
        <v>0</v>
      </c>
      <c r="G100" s="35">
        <f ca="1">(((_xlfn.XLOOKUP(YEAR($B100),'Oferta Producto 1'!$B$8:$B$19,'Oferta Producto 1'!$E$8:$E$19))*$AD100)/$AB100)/24</f>
        <v>0</v>
      </c>
      <c r="H100" s="35">
        <f ca="1">(((_xlfn.XLOOKUP(YEAR($B100),'Oferta Producto 1'!$B$8:$B$19,'Oferta Producto 1'!$E$8:$E$19))*$AD100)/$AB100)/24</f>
        <v>0</v>
      </c>
      <c r="I100" s="35">
        <f ca="1">(((_xlfn.XLOOKUP(YEAR($B100),'Oferta Producto 1'!$B$8:$B$19,'Oferta Producto 1'!$E$8:$E$19))*$AD100)/$AB100)/24</f>
        <v>0</v>
      </c>
      <c r="J100" s="35">
        <f ca="1">(((_xlfn.XLOOKUP(YEAR($B100),'Oferta Producto 1'!$B$8:$B$19,'Oferta Producto 1'!$E$8:$E$19))*$AD100)/$AB100)/24</f>
        <v>0</v>
      </c>
      <c r="K100" s="35">
        <f ca="1">(((_xlfn.XLOOKUP(YEAR($B100),'Oferta Producto 1'!$B$8:$B$19,'Oferta Producto 1'!$E$8:$E$19))*$AD100)/$AB100)/24</f>
        <v>0</v>
      </c>
      <c r="L100" s="35">
        <f ca="1">(((_xlfn.XLOOKUP(YEAR($B100),'Oferta Producto 1'!$B$8:$B$19,'Oferta Producto 1'!$E$8:$E$19))*$AD100)/$AB100)/24</f>
        <v>0</v>
      </c>
      <c r="M100" s="35">
        <f ca="1">(((_xlfn.XLOOKUP(YEAR($B100),'Oferta Producto 1'!$B$8:$B$19,'Oferta Producto 1'!$E$8:$E$19))*$AD100)/$AB100)/24</f>
        <v>0</v>
      </c>
      <c r="N100" s="35">
        <f ca="1">(((_xlfn.XLOOKUP(YEAR($B100),'Oferta Producto 1'!$B$8:$B$19,'Oferta Producto 1'!$E$8:$E$19))*$AD100)/$AB100)/24</f>
        <v>0</v>
      </c>
      <c r="O100" s="35">
        <f ca="1">(((_xlfn.XLOOKUP(YEAR($B100),'Oferta Producto 1'!$B$8:$B$19,'Oferta Producto 1'!$E$8:$E$19))*$AD100)/$AB100)/24</f>
        <v>0</v>
      </c>
      <c r="P100" s="35">
        <f ca="1">(((_xlfn.XLOOKUP(YEAR($B100),'Oferta Producto 1'!$B$8:$B$19,'Oferta Producto 1'!$E$8:$E$19))*$AD100)/$AB100)/24</f>
        <v>0</v>
      </c>
      <c r="Q100" s="35">
        <f ca="1">(((_xlfn.XLOOKUP(YEAR($B100),'Oferta Producto 1'!$B$8:$B$19,'Oferta Producto 1'!$E$8:$E$19))*$AD100)/$AB100)/24</f>
        <v>0</v>
      </c>
      <c r="R100" s="35">
        <f ca="1">(((_xlfn.XLOOKUP(YEAR($B100),'Oferta Producto 1'!$B$8:$B$19,'Oferta Producto 1'!$E$8:$E$19))*$AD100)/$AB100)/24</f>
        <v>0</v>
      </c>
      <c r="S100" s="35">
        <f ca="1">(((_xlfn.XLOOKUP(YEAR($B100),'Oferta Producto 1'!$B$8:$B$19,'Oferta Producto 1'!$E$8:$E$19))*$AD100)/$AB100)/24</f>
        <v>0</v>
      </c>
      <c r="T100" s="35">
        <f ca="1">(((_xlfn.XLOOKUP(YEAR($B100),'Oferta Producto 1'!$B$8:$B$19,'Oferta Producto 1'!$E$8:$E$19))*$AD100)/$AB100)/24</f>
        <v>0</v>
      </c>
      <c r="U100" s="35">
        <f ca="1">(((_xlfn.XLOOKUP(YEAR($B100),'Oferta Producto 1'!$B$8:$B$19,'Oferta Producto 1'!$E$8:$E$19))*$AD100)/$AB100)/24</f>
        <v>0</v>
      </c>
      <c r="V100" s="35">
        <f ca="1">(((_xlfn.XLOOKUP(YEAR($B100),'Oferta Producto 1'!$B$8:$B$19,'Oferta Producto 1'!$E$8:$E$19))*$AD100)/$AB100)/24</f>
        <v>0</v>
      </c>
      <c r="W100" s="35">
        <f ca="1">(((_xlfn.XLOOKUP(YEAR($B100),'Oferta Producto 1'!$B$8:$B$19,'Oferta Producto 1'!$E$8:$E$19))*$AD100)/$AB100)/24</f>
        <v>0</v>
      </c>
      <c r="X100" s="35">
        <f ca="1">(((_xlfn.XLOOKUP(YEAR($B100),'Oferta Producto 1'!$B$8:$B$19,'Oferta Producto 1'!$E$8:$E$19))*$AD100)/$AB100)/24</f>
        <v>0</v>
      </c>
      <c r="Y100" s="35">
        <f ca="1">(((_xlfn.XLOOKUP(YEAR($B100),'Oferta Producto 1'!$B$8:$B$19,'Oferta Producto 1'!$E$8:$E$19))*$AD100)/$AB100)/24</f>
        <v>0</v>
      </c>
      <c r="Z100" s="35">
        <f ca="1">(((_xlfn.XLOOKUP(YEAR($B100),'Oferta Producto 1'!$B$8:$B$19,'Oferta Producto 1'!$E$8:$E$19))*$AD100)/$AB100)/24</f>
        <v>0</v>
      </c>
      <c r="AA100" s="35">
        <f t="shared" ca="1" si="9"/>
        <v>0</v>
      </c>
      <c r="AB100" s="28">
        <f t="shared" si="7"/>
        <v>30</v>
      </c>
      <c r="AC100" s="42">
        <f t="shared" ca="1" si="8"/>
        <v>0</v>
      </c>
      <c r="AD100" s="43">
        <v>8.5194743854538763E-2</v>
      </c>
      <c r="AE100"/>
    </row>
    <row r="101" spans="1:31" ht="15.75" thickBot="1">
      <c r="A101" s="23">
        <f t="shared" si="6"/>
        <v>2033</v>
      </c>
      <c r="B101" s="27">
        <v>48914</v>
      </c>
      <c r="C101" s="35">
        <f ca="1">(((_xlfn.XLOOKUP(YEAR($B101),'Oferta Producto 1'!$B$8:$B$19,'Oferta Producto 1'!$E$8:$E$19))*$AD101)/$AB101)/24</f>
        <v>0</v>
      </c>
      <c r="D101" s="35">
        <f ca="1">(((_xlfn.XLOOKUP(YEAR($B101),'Oferta Producto 1'!$B$8:$B$19,'Oferta Producto 1'!$E$8:$E$19))*$AD101)/$AB101)/24</f>
        <v>0</v>
      </c>
      <c r="E101" s="35">
        <f ca="1">(((_xlfn.XLOOKUP(YEAR($B101),'Oferta Producto 1'!$B$8:$B$19,'Oferta Producto 1'!$E$8:$E$19))*$AD101)/$AB101)/24</f>
        <v>0</v>
      </c>
      <c r="F101" s="35">
        <f ca="1">(((_xlfn.XLOOKUP(YEAR($B101),'Oferta Producto 1'!$B$8:$B$19,'Oferta Producto 1'!$E$8:$E$19))*$AD101)/$AB101)/24</f>
        <v>0</v>
      </c>
      <c r="G101" s="35">
        <f ca="1">(((_xlfn.XLOOKUP(YEAR($B101),'Oferta Producto 1'!$B$8:$B$19,'Oferta Producto 1'!$E$8:$E$19))*$AD101)/$AB101)/24</f>
        <v>0</v>
      </c>
      <c r="H101" s="35">
        <f ca="1">(((_xlfn.XLOOKUP(YEAR($B101),'Oferta Producto 1'!$B$8:$B$19,'Oferta Producto 1'!$E$8:$E$19))*$AD101)/$AB101)/24</f>
        <v>0</v>
      </c>
      <c r="I101" s="35">
        <f ca="1">(((_xlfn.XLOOKUP(YEAR($B101),'Oferta Producto 1'!$B$8:$B$19,'Oferta Producto 1'!$E$8:$E$19))*$AD101)/$AB101)/24</f>
        <v>0</v>
      </c>
      <c r="J101" s="35">
        <f ca="1">(((_xlfn.XLOOKUP(YEAR($B101),'Oferta Producto 1'!$B$8:$B$19,'Oferta Producto 1'!$E$8:$E$19))*$AD101)/$AB101)/24</f>
        <v>0</v>
      </c>
      <c r="K101" s="35">
        <f ca="1">(((_xlfn.XLOOKUP(YEAR($B101),'Oferta Producto 1'!$B$8:$B$19,'Oferta Producto 1'!$E$8:$E$19))*$AD101)/$AB101)/24</f>
        <v>0</v>
      </c>
      <c r="L101" s="35">
        <f ca="1">(((_xlfn.XLOOKUP(YEAR($B101),'Oferta Producto 1'!$B$8:$B$19,'Oferta Producto 1'!$E$8:$E$19))*$AD101)/$AB101)/24</f>
        <v>0</v>
      </c>
      <c r="M101" s="35">
        <f ca="1">(((_xlfn.XLOOKUP(YEAR($B101),'Oferta Producto 1'!$B$8:$B$19,'Oferta Producto 1'!$E$8:$E$19))*$AD101)/$AB101)/24</f>
        <v>0</v>
      </c>
      <c r="N101" s="35">
        <f ca="1">(((_xlfn.XLOOKUP(YEAR($B101),'Oferta Producto 1'!$B$8:$B$19,'Oferta Producto 1'!$E$8:$E$19))*$AD101)/$AB101)/24</f>
        <v>0</v>
      </c>
      <c r="O101" s="35">
        <f ca="1">(((_xlfn.XLOOKUP(YEAR($B101),'Oferta Producto 1'!$B$8:$B$19,'Oferta Producto 1'!$E$8:$E$19))*$AD101)/$AB101)/24</f>
        <v>0</v>
      </c>
      <c r="P101" s="35">
        <f ca="1">(((_xlfn.XLOOKUP(YEAR($B101),'Oferta Producto 1'!$B$8:$B$19,'Oferta Producto 1'!$E$8:$E$19))*$AD101)/$AB101)/24</f>
        <v>0</v>
      </c>
      <c r="Q101" s="35">
        <f ca="1">(((_xlfn.XLOOKUP(YEAR($B101),'Oferta Producto 1'!$B$8:$B$19,'Oferta Producto 1'!$E$8:$E$19))*$AD101)/$AB101)/24</f>
        <v>0</v>
      </c>
      <c r="R101" s="35">
        <f ca="1">(((_xlfn.XLOOKUP(YEAR($B101),'Oferta Producto 1'!$B$8:$B$19,'Oferta Producto 1'!$E$8:$E$19))*$AD101)/$AB101)/24</f>
        <v>0</v>
      </c>
      <c r="S101" s="35">
        <f ca="1">(((_xlfn.XLOOKUP(YEAR($B101),'Oferta Producto 1'!$B$8:$B$19,'Oferta Producto 1'!$E$8:$E$19))*$AD101)/$AB101)/24</f>
        <v>0</v>
      </c>
      <c r="T101" s="35">
        <f ca="1">(((_xlfn.XLOOKUP(YEAR($B101),'Oferta Producto 1'!$B$8:$B$19,'Oferta Producto 1'!$E$8:$E$19))*$AD101)/$AB101)/24</f>
        <v>0</v>
      </c>
      <c r="U101" s="35">
        <f ca="1">(((_xlfn.XLOOKUP(YEAR($B101),'Oferta Producto 1'!$B$8:$B$19,'Oferta Producto 1'!$E$8:$E$19))*$AD101)/$AB101)/24</f>
        <v>0</v>
      </c>
      <c r="V101" s="35">
        <f ca="1">(((_xlfn.XLOOKUP(YEAR($B101),'Oferta Producto 1'!$B$8:$B$19,'Oferta Producto 1'!$E$8:$E$19))*$AD101)/$AB101)/24</f>
        <v>0</v>
      </c>
      <c r="W101" s="35">
        <f ca="1">(((_xlfn.XLOOKUP(YEAR($B101),'Oferta Producto 1'!$B$8:$B$19,'Oferta Producto 1'!$E$8:$E$19))*$AD101)/$AB101)/24</f>
        <v>0</v>
      </c>
      <c r="X101" s="35">
        <f ca="1">(((_xlfn.XLOOKUP(YEAR($B101),'Oferta Producto 1'!$B$8:$B$19,'Oferta Producto 1'!$E$8:$E$19))*$AD101)/$AB101)/24</f>
        <v>0</v>
      </c>
      <c r="Y101" s="35">
        <f ca="1">(((_xlfn.XLOOKUP(YEAR($B101),'Oferta Producto 1'!$B$8:$B$19,'Oferta Producto 1'!$E$8:$E$19))*$AD101)/$AB101)/24</f>
        <v>0</v>
      </c>
      <c r="Z101" s="35">
        <f ca="1">(((_xlfn.XLOOKUP(YEAR($B101),'Oferta Producto 1'!$B$8:$B$19,'Oferta Producto 1'!$E$8:$E$19))*$AD101)/$AB101)/24</f>
        <v>0</v>
      </c>
      <c r="AA101" s="35">
        <f t="shared" ca="1" si="9"/>
        <v>0</v>
      </c>
      <c r="AB101" s="28">
        <f t="shared" si="7"/>
        <v>31</v>
      </c>
      <c r="AC101" s="42">
        <f t="shared" ca="1" si="8"/>
        <v>0</v>
      </c>
      <c r="AD101" s="43">
        <v>8.0727358603645744E-2</v>
      </c>
      <c r="AE101"/>
    </row>
    <row r="102" spans="1:31" ht="15.75" thickBot="1">
      <c r="A102" s="23">
        <f t="shared" si="6"/>
        <v>2034</v>
      </c>
      <c r="B102" s="27">
        <v>48945</v>
      </c>
      <c r="C102" s="35">
        <f ca="1">(((_xlfn.XLOOKUP(YEAR($B102),'Oferta Producto 1'!$B$8:$B$19,'Oferta Producto 1'!$E$8:$E$19))*$AD102)/$AB102)/24</f>
        <v>0</v>
      </c>
      <c r="D102" s="35">
        <f ca="1">(((_xlfn.XLOOKUP(YEAR($B102),'Oferta Producto 1'!$B$8:$B$19,'Oferta Producto 1'!$E$8:$E$19))*$AD102)/$AB102)/24</f>
        <v>0</v>
      </c>
      <c r="E102" s="35">
        <f ca="1">(((_xlfn.XLOOKUP(YEAR($B102),'Oferta Producto 1'!$B$8:$B$19,'Oferta Producto 1'!$E$8:$E$19))*$AD102)/$AB102)/24</f>
        <v>0</v>
      </c>
      <c r="F102" s="35">
        <f ca="1">(((_xlfn.XLOOKUP(YEAR($B102),'Oferta Producto 1'!$B$8:$B$19,'Oferta Producto 1'!$E$8:$E$19))*$AD102)/$AB102)/24</f>
        <v>0</v>
      </c>
      <c r="G102" s="35">
        <f ca="1">(((_xlfn.XLOOKUP(YEAR($B102),'Oferta Producto 1'!$B$8:$B$19,'Oferta Producto 1'!$E$8:$E$19))*$AD102)/$AB102)/24</f>
        <v>0</v>
      </c>
      <c r="H102" s="35">
        <f ca="1">(((_xlfn.XLOOKUP(YEAR($B102),'Oferta Producto 1'!$B$8:$B$19,'Oferta Producto 1'!$E$8:$E$19))*$AD102)/$AB102)/24</f>
        <v>0</v>
      </c>
      <c r="I102" s="35">
        <f ca="1">(((_xlfn.XLOOKUP(YEAR($B102),'Oferta Producto 1'!$B$8:$B$19,'Oferta Producto 1'!$E$8:$E$19))*$AD102)/$AB102)/24</f>
        <v>0</v>
      </c>
      <c r="J102" s="35">
        <f ca="1">(((_xlfn.XLOOKUP(YEAR($B102),'Oferta Producto 1'!$B$8:$B$19,'Oferta Producto 1'!$E$8:$E$19))*$AD102)/$AB102)/24</f>
        <v>0</v>
      </c>
      <c r="K102" s="35">
        <f ca="1">(((_xlfn.XLOOKUP(YEAR($B102),'Oferta Producto 1'!$B$8:$B$19,'Oferta Producto 1'!$E$8:$E$19))*$AD102)/$AB102)/24</f>
        <v>0</v>
      </c>
      <c r="L102" s="35">
        <f ca="1">(((_xlfn.XLOOKUP(YEAR($B102),'Oferta Producto 1'!$B$8:$B$19,'Oferta Producto 1'!$E$8:$E$19))*$AD102)/$AB102)/24</f>
        <v>0</v>
      </c>
      <c r="M102" s="35">
        <f ca="1">(((_xlfn.XLOOKUP(YEAR($B102),'Oferta Producto 1'!$B$8:$B$19,'Oferta Producto 1'!$E$8:$E$19))*$AD102)/$AB102)/24</f>
        <v>0</v>
      </c>
      <c r="N102" s="35">
        <f ca="1">(((_xlfn.XLOOKUP(YEAR($B102),'Oferta Producto 1'!$B$8:$B$19,'Oferta Producto 1'!$E$8:$E$19))*$AD102)/$AB102)/24</f>
        <v>0</v>
      </c>
      <c r="O102" s="35">
        <f ca="1">(((_xlfn.XLOOKUP(YEAR($B102),'Oferta Producto 1'!$B$8:$B$19,'Oferta Producto 1'!$E$8:$E$19))*$AD102)/$AB102)/24</f>
        <v>0</v>
      </c>
      <c r="P102" s="35">
        <f ca="1">(((_xlfn.XLOOKUP(YEAR($B102),'Oferta Producto 1'!$B$8:$B$19,'Oferta Producto 1'!$E$8:$E$19))*$AD102)/$AB102)/24</f>
        <v>0</v>
      </c>
      <c r="Q102" s="35">
        <f ca="1">(((_xlfn.XLOOKUP(YEAR($B102),'Oferta Producto 1'!$B$8:$B$19,'Oferta Producto 1'!$E$8:$E$19))*$AD102)/$AB102)/24</f>
        <v>0</v>
      </c>
      <c r="R102" s="35">
        <f ca="1">(((_xlfn.XLOOKUP(YEAR($B102),'Oferta Producto 1'!$B$8:$B$19,'Oferta Producto 1'!$E$8:$E$19))*$AD102)/$AB102)/24</f>
        <v>0</v>
      </c>
      <c r="S102" s="35">
        <f ca="1">(((_xlfn.XLOOKUP(YEAR($B102),'Oferta Producto 1'!$B$8:$B$19,'Oferta Producto 1'!$E$8:$E$19))*$AD102)/$AB102)/24</f>
        <v>0</v>
      </c>
      <c r="T102" s="35">
        <f ca="1">(((_xlfn.XLOOKUP(YEAR($B102),'Oferta Producto 1'!$B$8:$B$19,'Oferta Producto 1'!$E$8:$E$19))*$AD102)/$AB102)/24</f>
        <v>0</v>
      </c>
      <c r="U102" s="35">
        <f ca="1">(((_xlfn.XLOOKUP(YEAR($B102),'Oferta Producto 1'!$B$8:$B$19,'Oferta Producto 1'!$E$8:$E$19))*$AD102)/$AB102)/24</f>
        <v>0</v>
      </c>
      <c r="V102" s="35">
        <f ca="1">(((_xlfn.XLOOKUP(YEAR($B102),'Oferta Producto 1'!$B$8:$B$19,'Oferta Producto 1'!$E$8:$E$19))*$AD102)/$AB102)/24</f>
        <v>0</v>
      </c>
      <c r="W102" s="35">
        <f ca="1">(((_xlfn.XLOOKUP(YEAR($B102),'Oferta Producto 1'!$B$8:$B$19,'Oferta Producto 1'!$E$8:$E$19))*$AD102)/$AB102)/24</f>
        <v>0</v>
      </c>
      <c r="X102" s="35">
        <f ca="1">(((_xlfn.XLOOKUP(YEAR($B102),'Oferta Producto 1'!$B$8:$B$19,'Oferta Producto 1'!$E$8:$E$19))*$AD102)/$AB102)/24</f>
        <v>0</v>
      </c>
      <c r="Y102" s="35">
        <f ca="1">(((_xlfn.XLOOKUP(YEAR($B102),'Oferta Producto 1'!$B$8:$B$19,'Oferta Producto 1'!$E$8:$E$19))*$AD102)/$AB102)/24</f>
        <v>0</v>
      </c>
      <c r="Z102" s="35">
        <f ca="1">(((_xlfn.XLOOKUP(YEAR($B102),'Oferta Producto 1'!$B$8:$B$19,'Oferta Producto 1'!$E$8:$E$19))*$AD102)/$AB102)/24</f>
        <v>0</v>
      </c>
      <c r="AA102" s="35">
        <f t="shared" ca="1" si="9"/>
        <v>0</v>
      </c>
      <c r="AB102" s="28">
        <f t="shared" si="7"/>
        <v>31</v>
      </c>
      <c r="AC102" s="42">
        <f t="shared" ca="1" si="8"/>
        <v>0</v>
      </c>
      <c r="AD102" s="43">
        <v>8.2806296035670815E-2</v>
      </c>
      <c r="AE102"/>
    </row>
    <row r="103" spans="1:31" ht="15.75" thickBot="1">
      <c r="A103" s="23">
        <f t="shared" si="6"/>
        <v>2034</v>
      </c>
      <c r="B103" s="27">
        <v>48976</v>
      </c>
      <c r="C103" s="35">
        <f ca="1">(((_xlfn.XLOOKUP(YEAR($B103),'Oferta Producto 1'!$B$8:$B$19,'Oferta Producto 1'!$E$8:$E$19))*$AD103)/$AB103)/24</f>
        <v>0</v>
      </c>
      <c r="D103" s="35">
        <f ca="1">(((_xlfn.XLOOKUP(YEAR($B103),'Oferta Producto 1'!$B$8:$B$19,'Oferta Producto 1'!$E$8:$E$19))*$AD103)/$AB103)/24</f>
        <v>0</v>
      </c>
      <c r="E103" s="35">
        <f ca="1">(((_xlfn.XLOOKUP(YEAR($B103),'Oferta Producto 1'!$B$8:$B$19,'Oferta Producto 1'!$E$8:$E$19))*$AD103)/$AB103)/24</f>
        <v>0</v>
      </c>
      <c r="F103" s="35">
        <f ca="1">(((_xlfn.XLOOKUP(YEAR($B103),'Oferta Producto 1'!$B$8:$B$19,'Oferta Producto 1'!$E$8:$E$19))*$AD103)/$AB103)/24</f>
        <v>0</v>
      </c>
      <c r="G103" s="35">
        <f ca="1">(((_xlfn.XLOOKUP(YEAR($B103),'Oferta Producto 1'!$B$8:$B$19,'Oferta Producto 1'!$E$8:$E$19))*$AD103)/$AB103)/24</f>
        <v>0</v>
      </c>
      <c r="H103" s="35">
        <f ca="1">(((_xlfn.XLOOKUP(YEAR($B103),'Oferta Producto 1'!$B$8:$B$19,'Oferta Producto 1'!$E$8:$E$19))*$AD103)/$AB103)/24</f>
        <v>0</v>
      </c>
      <c r="I103" s="35">
        <f ca="1">(((_xlfn.XLOOKUP(YEAR($B103),'Oferta Producto 1'!$B$8:$B$19,'Oferta Producto 1'!$E$8:$E$19))*$AD103)/$AB103)/24</f>
        <v>0</v>
      </c>
      <c r="J103" s="35">
        <f ca="1">(((_xlfn.XLOOKUP(YEAR($B103),'Oferta Producto 1'!$B$8:$B$19,'Oferta Producto 1'!$E$8:$E$19))*$AD103)/$AB103)/24</f>
        <v>0</v>
      </c>
      <c r="K103" s="35">
        <f ca="1">(((_xlfn.XLOOKUP(YEAR($B103),'Oferta Producto 1'!$B$8:$B$19,'Oferta Producto 1'!$E$8:$E$19))*$AD103)/$AB103)/24</f>
        <v>0</v>
      </c>
      <c r="L103" s="35">
        <f ca="1">(((_xlfn.XLOOKUP(YEAR($B103),'Oferta Producto 1'!$B$8:$B$19,'Oferta Producto 1'!$E$8:$E$19))*$AD103)/$AB103)/24</f>
        <v>0</v>
      </c>
      <c r="M103" s="35">
        <f ca="1">(((_xlfn.XLOOKUP(YEAR($B103),'Oferta Producto 1'!$B$8:$B$19,'Oferta Producto 1'!$E$8:$E$19))*$AD103)/$AB103)/24</f>
        <v>0</v>
      </c>
      <c r="N103" s="35">
        <f ca="1">(((_xlfn.XLOOKUP(YEAR($B103),'Oferta Producto 1'!$B$8:$B$19,'Oferta Producto 1'!$E$8:$E$19))*$AD103)/$AB103)/24</f>
        <v>0</v>
      </c>
      <c r="O103" s="35">
        <f ca="1">(((_xlfn.XLOOKUP(YEAR($B103),'Oferta Producto 1'!$B$8:$B$19,'Oferta Producto 1'!$E$8:$E$19))*$AD103)/$AB103)/24</f>
        <v>0</v>
      </c>
      <c r="P103" s="35">
        <f ca="1">(((_xlfn.XLOOKUP(YEAR($B103),'Oferta Producto 1'!$B$8:$B$19,'Oferta Producto 1'!$E$8:$E$19))*$AD103)/$AB103)/24</f>
        <v>0</v>
      </c>
      <c r="Q103" s="35">
        <f ca="1">(((_xlfn.XLOOKUP(YEAR($B103),'Oferta Producto 1'!$B$8:$B$19,'Oferta Producto 1'!$E$8:$E$19))*$AD103)/$AB103)/24</f>
        <v>0</v>
      </c>
      <c r="R103" s="35">
        <f ca="1">(((_xlfn.XLOOKUP(YEAR($B103),'Oferta Producto 1'!$B$8:$B$19,'Oferta Producto 1'!$E$8:$E$19))*$AD103)/$AB103)/24</f>
        <v>0</v>
      </c>
      <c r="S103" s="35">
        <f ca="1">(((_xlfn.XLOOKUP(YEAR($B103),'Oferta Producto 1'!$B$8:$B$19,'Oferta Producto 1'!$E$8:$E$19))*$AD103)/$AB103)/24</f>
        <v>0</v>
      </c>
      <c r="T103" s="35">
        <f ca="1">(((_xlfn.XLOOKUP(YEAR($B103),'Oferta Producto 1'!$B$8:$B$19,'Oferta Producto 1'!$E$8:$E$19))*$AD103)/$AB103)/24</f>
        <v>0</v>
      </c>
      <c r="U103" s="35">
        <f ca="1">(((_xlfn.XLOOKUP(YEAR($B103),'Oferta Producto 1'!$B$8:$B$19,'Oferta Producto 1'!$E$8:$E$19))*$AD103)/$AB103)/24</f>
        <v>0</v>
      </c>
      <c r="V103" s="35">
        <f ca="1">(((_xlfn.XLOOKUP(YEAR($B103),'Oferta Producto 1'!$B$8:$B$19,'Oferta Producto 1'!$E$8:$E$19))*$AD103)/$AB103)/24</f>
        <v>0</v>
      </c>
      <c r="W103" s="35">
        <f ca="1">(((_xlfn.XLOOKUP(YEAR($B103),'Oferta Producto 1'!$B$8:$B$19,'Oferta Producto 1'!$E$8:$E$19))*$AD103)/$AB103)/24</f>
        <v>0</v>
      </c>
      <c r="X103" s="35">
        <f ca="1">(((_xlfn.XLOOKUP(YEAR($B103),'Oferta Producto 1'!$B$8:$B$19,'Oferta Producto 1'!$E$8:$E$19))*$AD103)/$AB103)/24</f>
        <v>0</v>
      </c>
      <c r="Y103" s="35">
        <f ca="1">(((_xlfn.XLOOKUP(YEAR($B103),'Oferta Producto 1'!$B$8:$B$19,'Oferta Producto 1'!$E$8:$E$19))*$AD103)/$AB103)/24</f>
        <v>0</v>
      </c>
      <c r="Z103" s="35">
        <f ca="1">(((_xlfn.XLOOKUP(YEAR($B103),'Oferta Producto 1'!$B$8:$B$19,'Oferta Producto 1'!$E$8:$E$19))*$AD103)/$AB103)/24</f>
        <v>0</v>
      </c>
      <c r="AA103" s="35">
        <f t="shared" ca="1" si="9"/>
        <v>0</v>
      </c>
      <c r="AB103" s="28">
        <f t="shared" si="7"/>
        <v>28</v>
      </c>
      <c r="AC103" s="42">
        <f t="shared" ca="1" si="8"/>
        <v>0</v>
      </c>
      <c r="AD103" s="43">
        <v>8.4389322806172493E-2</v>
      </c>
      <c r="AE103"/>
    </row>
    <row r="104" spans="1:31" ht="15.75" thickBot="1">
      <c r="A104" s="23">
        <f t="shared" si="6"/>
        <v>2034</v>
      </c>
      <c r="B104" s="27">
        <v>49004</v>
      </c>
      <c r="C104" s="35">
        <f ca="1">(((_xlfn.XLOOKUP(YEAR($B104),'Oferta Producto 1'!$B$8:$B$19,'Oferta Producto 1'!$E$8:$E$19))*$AD104)/$AB104)/24</f>
        <v>0</v>
      </c>
      <c r="D104" s="35">
        <f ca="1">(((_xlfn.XLOOKUP(YEAR($B104),'Oferta Producto 1'!$B$8:$B$19,'Oferta Producto 1'!$E$8:$E$19))*$AD104)/$AB104)/24</f>
        <v>0</v>
      </c>
      <c r="E104" s="35">
        <f ca="1">(((_xlfn.XLOOKUP(YEAR($B104),'Oferta Producto 1'!$B$8:$B$19,'Oferta Producto 1'!$E$8:$E$19))*$AD104)/$AB104)/24</f>
        <v>0</v>
      </c>
      <c r="F104" s="35">
        <f ca="1">(((_xlfn.XLOOKUP(YEAR($B104),'Oferta Producto 1'!$B$8:$B$19,'Oferta Producto 1'!$E$8:$E$19))*$AD104)/$AB104)/24</f>
        <v>0</v>
      </c>
      <c r="G104" s="35">
        <f ca="1">(((_xlfn.XLOOKUP(YEAR($B104),'Oferta Producto 1'!$B$8:$B$19,'Oferta Producto 1'!$E$8:$E$19))*$AD104)/$AB104)/24</f>
        <v>0</v>
      </c>
      <c r="H104" s="35">
        <f ca="1">(((_xlfn.XLOOKUP(YEAR($B104),'Oferta Producto 1'!$B$8:$B$19,'Oferta Producto 1'!$E$8:$E$19))*$AD104)/$AB104)/24</f>
        <v>0</v>
      </c>
      <c r="I104" s="35">
        <f ca="1">(((_xlfn.XLOOKUP(YEAR($B104),'Oferta Producto 1'!$B$8:$B$19,'Oferta Producto 1'!$E$8:$E$19))*$AD104)/$AB104)/24</f>
        <v>0</v>
      </c>
      <c r="J104" s="35">
        <f ca="1">(((_xlfn.XLOOKUP(YEAR($B104),'Oferta Producto 1'!$B$8:$B$19,'Oferta Producto 1'!$E$8:$E$19))*$AD104)/$AB104)/24</f>
        <v>0</v>
      </c>
      <c r="K104" s="35">
        <f ca="1">(((_xlfn.XLOOKUP(YEAR($B104),'Oferta Producto 1'!$B$8:$B$19,'Oferta Producto 1'!$E$8:$E$19))*$AD104)/$AB104)/24</f>
        <v>0</v>
      </c>
      <c r="L104" s="35">
        <f ca="1">(((_xlfn.XLOOKUP(YEAR($B104),'Oferta Producto 1'!$B$8:$B$19,'Oferta Producto 1'!$E$8:$E$19))*$AD104)/$AB104)/24</f>
        <v>0</v>
      </c>
      <c r="M104" s="35">
        <f ca="1">(((_xlfn.XLOOKUP(YEAR($B104),'Oferta Producto 1'!$B$8:$B$19,'Oferta Producto 1'!$E$8:$E$19))*$AD104)/$AB104)/24</f>
        <v>0</v>
      </c>
      <c r="N104" s="35">
        <f ca="1">(((_xlfn.XLOOKUP(YEAR($B104),'Oferta Producto 1'!$B$8:$B$19,'Oferta Producto 1'!$E$8:$E$19))*$AD104)/$AB104)/24</f>
        <v>0</v>
      </c>
      <c r="O104" s="35">
        <f ca="1">(((_xlfn.XLOOKUP(YEAR($B104),'Oferta Producto 1'!$B$8:$B$19,'Oferta Producto 1'!$E$8:$E$19))*$AD104)/$AB104)/24</f>
        <v>0</v>
      </c>
      <c r="P104" s="35">
        <f ca="1">(((_xlfn.XLOOKUP(YEAR($B104),'Oferta Producto 1'!$B$8:$B$19,'Oferta Producto 1'!$E$8:$E$19))*$AD104)/$AB104)/24</f>
        <v>0</v>
      </c>
      <c r="Q104" s="35">
        <f ca="1">(((_xlfn.XLOOKUP(YEAR($B104),'Oferta Producto 1'!$B$8:$B$19,'Oferta Producto 1'!$E$8:$E$19))*$AD104)/$AB104)/24</f>
        <v>0</v>
      </c>
      <c r="R104" s="35">
        <f ca="1">(((_xlfn.XLOOKUP(YEAR($B104),'Oferta Producto 1'!$B$8:$B$19,'Oferta Producto 1'!$E$8:$E$19))*$AD104)/$AB104)/24</f>
        <v>0</v>
      </c>
      <c r="S104" s="35">
        <f ca="1">(((_xlfn.XLOOKUP(YEAR($B104),'Oferta Producto 1'!$B$8:$B$19,'Oferta Producto 1'!$E$8:$E$19))*$AD104)/$AB104)/24</f>
        <v>0</v>
      </c>
      <c r="T104" s="35">
        <f ca="1">(((_xlfn.XLOOKUP(YEAR($B104),'Oferta Producto 1'!$B$8:$B$19,'Oferta Producto 1'!$E$8:$E$19))*$AD104)/$AB104)/24</f>
        <v>0</v>
      </c>
      <c r="U104" s="35">
        <f ca="1">(((_xlfn.XLOOKUP(YEAR($B104),'Oferta Producto 1'!$B$8:$B$19,'Oferta Producto 1'!$E$8:$E$19))*$AD104)/$AB104)/24</f>
        <v>0</v>
      </c>
      <c r="V104" s="35">
        <f ca="1">(((_xlfn.XLOOKUP(YEAR($B104),'Oferta Producto 1'!$B$8:$B$19,'Oferta Producto 1'!$E$8:$E$19))*$AD104)/$AB104)/24</f>
        <v>0</v>
      </c>
      <c r="W104" s="35">
        <f ca="1">(((_xlfn.XLOOKUP(YEAR($B104),'Oferta Producto 1'!$B$8:$B$19,'Oferta Producto 1'!$E$8:$E$19))*$AD104)/$AB104)/24</f>
        <v>0</v>
      </c>
      <c r="X104" s="35">
        <f ca="1">(((_xlfn.XLOOKUP(YEAR($B104),'Oferta Producto 1'!$B$8:$B$19,'Oferta Producto 1'!$E$8:$E$19))*$AD104)/$AB104)/24</f>
        <v>0</v>
      </c>
      <c r="Y104" s="35">
        <f ca="1">(((_xlfn.XLOOKUP(YEAR($B104),'Oferta Producto 1'!$B$8:$B$19,'Oferta Producto 1'!$E$8:$E$19))*$AD104)/$AB104)/24</f>
        <v>0</v>
      </c>
      <c r="Z104" s="35">
        <f ca="1">(((_xlfn.XLOOKUP(YEAR($B104),'Oferta Producto 1'!$B$8:$B$19,'Oferta Producto 1'!$E$8:$E$19))*$AD104)/$AB104)/24</f>
        <v>0</v>
      </c>
      <c r="AA104" s="35">
        <f t="shared" ca="1" si="9"/>
        <v>0</v>
      </c>
      <c r="AB104" s="28">
        <f t="shared" si="7"/>
        <v>31</v>
      </c>
      <c r="AC104" s="42">
        <f t="shared" ca="1" si="8"/>
        <v>0</v>
      </c>
      <c r="AD104" s="43">
        <v>8.2806296035670815E-2</v>
      </c>
      <c r="AE104"/>
    </row>
    <row r="105" spans="1:31" ht="15.75" thickBot="1">
      <c r="A105" s="23">
        <f t="shared" si="6"/>
        <v>2034</v>
      </c>
      <c r="B105" s="27">
        <v>49035</v>
      </c>
      <c r="C105" s="35">
        <f ca="1">(((_xlfn.XLOOKUP(YEAR($B105),'Oferta Producto 1'!$B$8:$B$19,'Oferta Producto 1'!$E$8:$E$19))*$AD105)/$AB105)/24</f>
        <v>0</v>
      </c>
      <c r="D105" s="35">
        <f ca="1">(((_xlfn.XLOOKUP(YEAR($B105),'Oferta Producto 1'!$B$8:$B$19,'Oferta Producto 1'!$E$8:$E$19))*$AD105)/$AB105)/24</f>
        <v>0</v>
      </c>
      <c r="E105" s="35">
        <f ca="1">(((_xlfn.XLOOKUP(YEAR($B105),'Oferta Producto 1'!$B$8:$B$19,'Oferta Producto 1'!$E$8:$E$19))*$AD105)/$AB105)/24</f>
        <v>0</v>
      </c>
      <c r="F105" s="35">
        <f ca="1">(((_xlfn.XLOOKUP(YEAR($B105),'Oferta Producto 1'!$B$8:$B$19,'Oferta Producto 1'!$E$8:$E$19))*$AD105)/$AB105)/24</f>
        <v>0</v>
      </c>
      <c r="G105" s="35">
        <f ca="1">(((_xlfn.XLOOKUP(YEAR($B105),'Oferta Producto 1'!$B$8:$B$19,'Oferta Producto 1'!$E$8:$E$19))*$AD105)/$AB105)/24</f>
        <v>0</v>
      </c>
      <c r="H105" s="35">
        <f ca="1">(((_xlfn.XLOOKUP(YEAR($B105),'Oferta Producto 1'!$B$8:$B$19,'Oferta Producto 1'!$E$8:$E$19))*$AD105)/$AB105)/24</f>
        <v>0</v>
      </c>
      <c r="I105" s="35">
        <f ca="1">(((_xlfn.XLOOKUP(YEAR($B105),'Oferta Producto 1'!$B$8:$B$19,'Oferta Producto 1'!$E$8:$E$19))*$AD105)/$AB105)/24</f>
        <v>0</v>
      </c>
      <c r="J105" s="35">
        <f ca="1">(((_xlfn.XLOOKUP(YEAR($B105),'Oferta Producto 1'!$B$8:$B$19,'Oferta Producto 1'!$E$8:$E$19))*$AD105)/$AB105)/24</f>
        <v>0</v>
      </c>
      <c r="K105" s="35">
        <f ca="1">(((_xlfn.XLOOKUP(YEAR($B105),'Oferta Producto 1'!$B$8:$B$19,'Oferta Producto 1'!$E$8:$E$19))*$AD105)/$AB105)/24</f>
        <v>0</v>
      </c>
      <c r="L105" s="35">
        <f ca="1">(((_xlfn.XLOOKUP(YEAR($B105),'Oferta Producto 1'!$B$8:$B$19,'Oferta Producto 1'!$E$8:$E$19))*$AD105)/$AB105)/24</f>
        <v>0</v>
      </c>
      <c r="M105" s="35">
        <f ca="1">(((_xlfn.XLOOKUP(YEAR($B105),'Oferta Producto 1'!$B$8:$B$19,'Oferta Producto 1'!$E$8:$E$19))*$AD105)/$AB105)/24</f>
        <v>0</v>
      </c>
      <c r="N105" s="35">
        <f ca="1">(((_xlfn.XLOOKUP(YEAR($B105),'Oferta Producto 1'!$B$8:$B$19,'Oferta Producto 1'!$E$8:$E$19))*$AD105)/$AB105)/24</f>
        <v>0</v>
      </c>
      <c r="O105" s="35">
        <f ca="1">(((_xlfn.XLOOKUP(YEAR($B105),'Oferta Producto 1'!$B$8:$B$19,'Oferta Producto 1'!$E$8:$E$19))*$AD105)/$AB105)/24</f>
        <v>0</v>
      </c>
      <c r="P105" s="35">
        <f ca="1">(((_xlfn.XLOOKUP(YEAR($B105),'Oferta Producto 1'!$B$8:$B$19,'Oferta Producto 1'!$E$8:$E$19))*$AD105)/$AB105)/24</f>
        <v>0</v>
      </c>
      <c r="Q105" s="35">
        <f ca="1">(((_xlfn.XLOOKUP(YEAR($B105),'Oferta Producto 1'!$B$8:$B$19,'Oferta Producto 1'!$E$8:$E$19))*$AD105)/$AB105)/24</f>
        <v>0</v>
      </c>
      <c r="R105" s="35">
        <f ca="1">(((_xlfn.XLOOKUP(YEAR($B105),'Oferta Producto 1'!$B$8:$B$19,'Oferta Producto 1'!$E$8:$E$19))*$AD105)/$AB105)/24</f>
        <v>0</v>
      </c>
      <c r="S105" s="35">
        <f ca="1">(((_xlfn.XLOOKUP(YEAR($B105),'Oferta Producto 1'!$B$8:$B$19,'Oferta Producto 1'!$E$8:$E$19))*$AD105)/$AB105)/24</f>
        <v>0</v>
      </c>
      <c r="T105" s="35">
        <f ca="1">(((_xlfn.XLOOKUP(YEAR($B105),'Oferta Producto 1'!$B$8:$B$19,'Oferta Producto 1'!$E$8:$E$19))*$AD105)/$AB105)/24</f>
        <v>0</v>
      </c>
      <c r="U105" s="35">
        <f ca="1">(((_xlfn.XLOOKUP(YEAR($B105),'Oferta Producto 1'!$B$8:$B$19,'Oferta Producto 1'!$E$8:$E$19))*$AD105)/$AB105)/24</f>
        <v>0</v>
      </c>
      <c r="V105" s="35">
        <f ca="1">(((_xlfn.XLOOKUP(YEAR($B105),'Oferta Producto 1'!$B$8:$B$19,'Oferta Producto 1'!$E$8:$E$19))*$AD105)/$AB105)/24</f>
        <v>0</v>
      </c>
      <c r="W105" s="35">
        <f ca="1">(((_xlfn.XLOOKUP(YEAR($B105),'Oferta Producto 1'!$B$8:$B$19,'Oferta Producto 1'!$E$8:$E$19))*$AD105)/$AB105)/24</f>
        <v>0</v>
      </c>
      <c r="X105" s="35">
        <f ca="1">(((_xlfn.XLOOKUP(YEAR($B105),'Oferta Producto 1'!$B$8:$B$19,'Oferta Producto 1'!$E$8:$E$19))*$AD105)/$AB105)/24</f>
        <v>0</v>
      </c>
      <c r="Y105" s="35">
        <f ca="1">(((_xlfn.XLOOKUP(YEAR($B105),'Oferta Producto 1'!$B$8:$B$19,'Oferta Producto 1'!$E$8:$E$19))*$AD105)/$AB105)/24</f>
        <v>0</v>
      </c>
      <c r="Z105" s="35">
        <f ca="1">(((_xlfn.XLOOKUP(YEAR($B105),'Oferta Producto 1'!$B$8:$B$19,'Oferta Producto 1'!$E$8:$E$19))*$AD105)/$AB105)/24</f>
        <v>0</v>
      </c>
      <c r="AA105" s="35">
        <f t="shared" ca="1" si="9"/>
        <v>0</v>
      </c>
      <c r="AB105" s="28">
        <f t="shared" si="7"/>
        <v>30</v>
      </c>
      <c r="AC105" s="42">
        <f t="shared" ca="1" si="8"/>
        <v>0</v>
      </c>
      <c r="AD105" s="43">
        <v>8.3333971625838027E-2</v>
      </c>
      <c r="AE105"/>
    </row>
    <row r="106" spans="1:31" ht="15.75" thickBot="1">
      <c r="A106" s="23">
        <f t="shared" si="6"/>
        <v>2034</v>
      </c>
      <c r="B106" s="27">
        <v>49065</v>
      </c>
      <c r="C106" s="35">
        <f ca="1">(((_xlfn.XLOOKUP(YEAR($B106),'Oferta Producto 1'!$B$8:$B$19,'Oferta Producto 1'!$E$8:$E$19))*$AD106)/$AB106)/24</f>
        <v>0</v>
      </c>
      <c r="D106" s="35">
        <f ca="1">(((_xlfn.XLOOKUP(YEAR($B106),'Oferta Producto 1'!$B$8:$B$19,'Oferta Producto 1'!$E$8:$E$19))*$AD106)/$AB106)/24</f>
        <v>0</v>
      </c>
      <c r="E106" s="35">
        <f ca="1">(((_xlfn.XLOOKUP(YEAR($B106),'Oferta Producto 1'!$B$8:$B$19,'Oferta Producto 1'!$E$8:$E$19))*$AD106)/$AB106)/24</f>
        <v>0</v>
      </c>
      <c r="F106" s="35">
        <f ca="1">(((_xlfn.XLOOKUP(YEAR($B106),'Oferta Producto 1'!$B$8:$B$19,'Oferta Producto 1'!$E$8:$E$19))*$AD106)/$AB106)/24</f>
        <v>0</v>
      </c>
      <c r="G106" s="35">
        <f ca="1">(((_xlfn.XLOOKUP(YEAR($B106),'Oferta Producto 1'!$B$8:$B$19,'Oferta Producto 1'!$E$8:$E$19))*$AD106)/$AB106)/24</f>
        <v>0</v>
      </c>
      <c r="H106" s="35">
        <f ca="1">(((_xlfn.XLOOKUP(YEAR($B106),'Oferta Producto 1'!$B$8:$B$19,'Oferta Producto 1'!$E$8:$E$19))*$AD106)/$AB106)/24</f>
        <v>0</v>
      </c>
      <c r="I106" s="35">
        <f ca="1">(((_xlfn.XLOOKUP(YEAR($B106),'Oferta Producto 1'!$B$8:$B$19,'Oferta Producto 1'!$E$8:$E$19))*$AD106)/$AB106)/24</f>
        <v>0</v>
      </c>
      <c r="J106" s="35">
        <f ca="1">(((_xlfn.XLOOKUP(YEAR($B106),'Oferta Producto 1'!$B$8:$B$19,'Oferta Producto 1'!$E$8:$E$19))*$AD106)/$AB106)/24</f>
        <v>0</v>
      </c>
      <c r="K106" s="35">
        <f ca="1">(((_xlfn.XLOOKUP(YEAR($B106),'Oferta Producto 1'!$B$8:$B$19,'Oferta Producto 1'!$E$8:$E$19))*$AD106)/$AB106)/24</f>
        <v>0</v>
      </c>
      <c r="L106" s="35">
        <f ca="1">(((_xlfn.XLOOKUP(YEAR($B106),'Oferta Producto 1'!$B$8:$B$19,'Oferta Producto 1'!$E$8:$E$19))*$AD106)/$AB106)/24</f>
        <v>0</v>
      </c>
      <c r="M106" s="35">
        <f ca="1">(((_xlfn.XLOOKUP(YEAR($B106),'Oferta Producto 1'!$B$8:$B$19,'Oferta Producto 1'!$E$8:$E$19))*$AD106)/$AB106)/24</f>
        <v>0</v>
      </c>
      <c r="N106" s="35">
        <f ca="1">(((_xlfn.XLOOKUP(YEAR($B106),'Oferta Producto 1'!$B$8:$B$19,'Oferta Producto 1'!$E$8:$E$19))*$AD106)/$AB106)/24</f>
        <v>0</v>
      </c>
      <c r="O106" s="35">
        <f ca="1">(((_xlfn.XLOOKUP(YEAR($B106),'Oferta Producto 1'!$B$8:$B$19,'Oferta Producto 1'!$E$8:$E$19))*$AD106)/$AB106)/24</f>
        <v>0</v>
      </c>
      <c r="P106" s="35">
        <f ca="1">(((_xlfn.XLOOKUP(YEAR($B106),'Oferta Producto 1'!$B$8:$B$19,'Oferta Producto 1'!$E$8:$E$19))*$AD106)/$AB106)/24</f>
        <v>0</v>
      </c>
      <c r="Q106" s="35">
        <f ca="1">(((_xlfn.XLOOKUP(YEAR($B106),'Oferta Producto 1'!$B$8:$B$19,'Oferta Producto 1'!$E$8:$E$19))*$AD106)/$AB106)/24</f>
        <v>0</v>
      </c>
      <c r="R106" s="35">
        <f ca="1">(((_xlfn.XLOOKUP(YEAR($B106),'Oferta Producto 1'!$B$8:$B$19,'Oferta Producto 1'!$E$8:$E$19))*$AD106)/$AB106)/24</f>
        <v>0</v>
      </c>
      <c r="S106" s="35">
        <f ca="1">(((_xlfn.XLOOKUP(YEAR($B106),'Oferta Producto 1'!$B$8:$B$19,'Oferta Producto 1'!$E$8:$E$19))*$AD106)/$AB106)/24</f>
        <v>0</v>
      </c>
      <c r="T106" s="35">
        <f ca="1">(((_xlfn.XLOOKUP(YEAR($B106),'Oferta Producto 1'!$B$8:$B$19,'Oferta Producto 1'!$E$8:$E$19))*$AD106)/$AB106)/24</f>
        <v>0</v>
      </c>
      <c r="U106" s="35">
        <f ca="1">(((_xlfn.XLOOKUP(YEAR($B106),'Oferta Producto 1'!$B$8:$B$19,'Oferta Producto 1'!$E$8:$E$19))*$AD106)/$AB106)/24</f>
        <v>0</v>
      </c>
      <c r="V106" s="35">
        <f ca="1">(((_xlfn.XLOOKUP(YEAR($B106),'Oferta Producto 1'!$B$8:$B$19,'Oferta Producto 1'!$E$8:$E$19))*$AD106)/$AB106)/24</f>
        <v>0</v>
      </c>
      <c r="W106" s="35">
        <f ca="1">(((_xlfn.XLOOKUP(YEAR($B106),'Oferta Producto 1'!$B$8:$B$19,'Oferta Producto 1'!$E$8:$E$19))*$AD106)/$AB106)/24</f>
        <v>0</v>
      </c>
      <c r="X106" s="35">
        <f ca="1">(((_xlfn.XLOOKUP(YEAR($B106),'Oferta Producto 1'!$B$8:$B$19,'Oferta Producto 1'!$E$8:$E$19))*$AD106)/$AB106)/24</f>
        <v>0</v>
      </c>
      <c r="Y106" s="35">
        <f ca="1">(((_xlfn.XLOOKUP(YEAR($B106),'Oferta Producto 1'!$B$8:$B$19,'Oferta Producto 1'!$E$8:$E$19))*$AD106)/$AB106)/24</f>
        <v>0</v>
      </c>
      <c r="Z106" s="35">
        <f ca="1">(((_xlfn.XLOOKUP(YEAR($B106),'Oferta Producto 1'!$B$8:$B$19,'Oferta Producto 1'!$E$8:$E$19))*$AD106)/$AB106)/24</f>
        <v>0</v>
      </c>
      <c r="AA106" s="35">
        <f t="shared" ca="1" si="9"/>
        <v>0</v>
      </c>
      <c r="AB106" s="28">
        <f t="shared" si="7"/>
        <v>31</v>
      </c>
      <c r="AC106" s="42">
        <f t="shared" ca="1" si="8"/>
        <v>0</v>
      </c>
      <c r="AD106" s="43">
        <v>8.2806296035670815E-2</v>
      </c>
      <c r="AE106"/>
    </row>
    <row r="107" spans="1:31" ht="15.75" thickBot="1">
      <c r="A107" s="23">
        <f t="shared" si="6"/>
        <v>2034</v>
      </c>
      <c r="B107" s="27">
        <v>49096</v>
      </c>
      <c r="C107" s="35">
        <f ca="1">(((_xlfn.XLOOKUP(YEAR($B107),'Oferta Producto 1'!$B$8:$B$19,'Oferta Producto 1'!$E$8:$E$19))*$AD107)/$AB107)/24</f>
        <v>0</v>
      </c>
      <c r="D107" s="35">
        <f ca="1">(((_xlfn.XLOOKUP(YEAR($B107),'Oferta Producto 1'!$B$8:$B$19,'Oferta Producto 1'!$E$8:$E$19))*$AD107)/$AB107)/24</f>
        <v>0</v>
      </c>
      <c r="E107" s="35">
        <f ca="1">(((_xlfn.XLOOKUP(YEAR($B107),'Oferta Producto 1'!$B$8:$B$19,'Oferta Producto 1'!$E$8:$E$19))*$AD107)/$AB107)/24</f>
        <v>0</v>
      </c>
      <c r="F107" s="35">
        <f ca="1">(((_xlfn.XLOOKUP(YEAR($B107),'Oferta Producto 1'!$B$8:$B$19,'Oferta Producto 1'!$E$8:$E$19))*$AD107)/$AB107)/24</f>
        <v>0</v>
      </c>
      <c r="G107" s="35">
        <f ca="1">(((_xlfn.XLOOKUP(YEAR($B107),'Oferta Producto 1'!$B$8:$B$19,'Oferta Producto 1'!$E$8:$E$19))*$AD107)/$AB107)/24</f>
        <v>0</v>
      </c>
      <c r="H107" s="35">
        <f ca="1">(((_xlfn.XLOOKUP(YEAR($B107),'Oferta Producto 1'!$B$8:$B$19,'Oferta Producto 1'!$E$8:$E$19))*$AD107)/$AB107)/24</f>
        <v>0</v>
      </c>
      <c r="I107" s="35">
        <f ca="1">(((_xlfn.XLOOKUP(YEAR($B107),'Oferta Producto 1'!$B$8:$B$19,'Oferta Producto 1'!$E$8:$E$19))*$AD107)/$AB107)/24</f>
        <v>0</v>
      </c>
      <c r="J107" s="35">
        <f ca="1">(((_xlfn.XLOOKUP(YEAR($B107),'Oferta Producto 1'!$B$8:$B$19,'Oferta Producto 1'!$E$8:$E$19))*$AD107)/$AB107)/24</f>
        <v>0</v>
      </c>
      <c r="K107" s="35">
        <f ca="1">(((_xlfn.XLOOKUP(YEAR($B107),'Oferta Producto 1'!$B$8:$B$19,'Oferta Producto 1'!$E$8:$E$19))*$AD107)/$AB107)/24</f>
        <v>0</v>
      </c>
      <c r="L107" s="35">
        <f ca="1">(((_xlfn.XLOOKUP(YEAR($B107),'Oferta Producto 1'!$B$8:$B$19,'Oferta Producto 1'!$E$8:$E$19))*$AD107)/$AB107)/24</f>
        <v>0</v>
      </c>
      <c r="M107" s="35">
        <f ca="1">(((_xlfn.XLOOKUP(YEAR($B107),'Oferta Producto 1'!$B$8:$B$19,'Oferta Producto 1'!$E$8:$E$19))*$AD107)/$AB107)/24</f>
        <v>0</v>
      </c>
      <c r="N107" s="35">
        <f ca="1">(((_xlfn.XLOOKUP(YEAR($B107),'Oferta Producto 1'!$B$8:$B$19,'Oferta Producto 1'!$E$8:$E$19))*$AD107)/$AB107)/24</f>
        <v>0</v>
      </c>
      <c r="O107" s="35">
        <f ca="1">(((_xlfn.XLOOKUP(YEAR($B107),'Oferta Producto 1'!$B$8:$B$19,'Oferta Producto 1'!$E$8:$E$19))*$AD107)/$AB107)/24</f>
        <v>0</v>
      </c>
      <c r="P107" s="35">
        <f ca="1">(((_xlfn.XLOOKUP(YEAR($B107),'Oferta Producto 1'!$B$8:$B$19,'Oferta Producto 1'!$E$8:$E$19))*$AD107)/$AB107)/24</f>
        <v>0</v>
      </c>
      <c r="Q107" s="35">
        <f ca="1">(((_xlfn.XLOOKUP(YEAR($B107),'Oferta Producto 1'!$B$8:$B$19,'Oferta Producto 1'!$E$8:$E$19))*$AD107)/$AB107)/24</f>
        <v>0</v>
      </c>
      <c r="R107" s="35">
        <f ca="1">(((_xlfn.XLOOKUP(YEAR($B107),'Oferta Producto 1'!$B$8:$B$19,'Oferta Producto 1'!$E$8:$E$19))*$AD107)/$AB107)/24</f>
        <v>0</v>
      </c>
      <c r="S107" s="35">
        <f ca="1">(((_xlfn.XLOOKUP(YEAR($B107),'Oferta Producto 1'!$B$8:$B$19,'Oferta Producto 1'!$E$8:$E$19))*$AD107)/$AB107)/24</f>
        <v>0</v>
      </c>
      <c r="T107" s="35">
        <f ca="1">(((_xlfn.XLOOKUP(YEAR($B107),'Oferta Producto 1'!$B$8:$B$19,'Oferta Producto 1'!$E$8:$E$19))*$AD107)/$AB107)/24</f>
        <v>0</v>
      </c>
      <c r="U107" s="35">
        <f ca="1">(((_xlfn.XLOOKUP(YEAR($B107),'Oferta Producto 1'!$B$8:$B$19,'Oferta Producto 1'!$E$8:$E$19))*$AD107)/$AB107)/24</f>
        <v>0</v>
      </c>
      <c r="V107" s="35">
        <f ca="1">(((_xlfn.XLOOKUP(YEAR($B107),'Oferta Producto 1'!$B$8:$B$19,'Oferta Producto 1'!$E$8:$E$19))*$AD107)/$AB107)/24</f>
        <v>0</v>
      </c>
      <c r="W107" s="35">
        <f ca="1">(((_xlfn.XLOOKUP(YEAR($B107),'Oferta Producto 1'!$B$8:$B$19,'Oferta Producto 1'!$E$8:$E$19))*$AD107)/$AB107)/24</f>
        <v>0</v>
      </c>
      <c r="X107" s="35">
        <f ca="1">(((_xlfn.XLOOKUP(YEAR($B107),'Oferta Producto 1'!$B$8:$B$19,'Oferta Producto 1'!$E$8:$E$19))*$AD107)/$AB107)/24</f>
        <v>0</v>
      </c>
      <c r="Y107" s="35">
        <f ca="1">(((_xlfn.XLOOKUP(YEAR($B107),'Oferta Producto 1'!$B$8:$B$19,'Oferta Producto 1'!$E$8:$E$19))*$AD107)/$AB107)/24</f>
        <v>0</v>
      </c>
      <c r="Z107" s="35">
        <f ca="1">(((_xlfn.XLOOKUP(YEAR($B107),'Oferta Producto 1'!$B$8:$B$19,'Oferta Producto 1'!$E$8:$E$19))*$AD107)/$AB107)/24</f>
        <v>0</v>
      </c>
      <c r="AA107" s="35">
        <f t="shared" ca="1" si="9"/>
        <v>0</v>
      </c>
      <c r="AB107" s="28">
        <f t="shared" si="7"/>
        <v>30</v>
      </c>
      <c r="AC107" s="42">
        <f t="shared" ca="1" si="8"/>
        <v>0</v>
      </c>
      <c r="AD107" s="43">
        <v>8.3333971625838027E-2</v>
      </c>
      <c r="AE107"/>
    </row>
    <row r="108" spans="1:31" ht="15.75" thickBot="1">
      <c r="A108" s="23">
        <f t="shared" si="6"/>
        <v>2034</v>
      </c>
      <c r="B108" s="27">
        <v>49126</v>
      </c>
      <c r="C108" s="35">
        <f ca="1">(((_xlfn.XLOOKUP(YEAR($B108),'Oferta Producto 1'!$B$8:$B$19,'Oferta Producto 1'!$E$8:$E$19))*$AD108)/$AB108)/24</f>
        <v>0</v>
      </c>
      <c r="D108" s="35">
        <f ca="1">(((_xlfn.XLOOKUP(YEAR($B108),'Oferta Producto 1'!$B$8:$B$19,'Oferta Producto 1'!$E$8:$E$19))*$AD108)/$AB108)/24</f>
        <v>0</v>
      </c>
      <c r="E108" s="35">
        <f ca="1">(((_xlfn.XLOOKUP(YEAR($B108),'Oferta Producto 1'!$B$8:$B$19,'Oferta Producto 1'!$E$8:$E$19))*$AD108)/$AB108)/24</f>
        <v>0</v>
      </c>
      <c r="F108" s="35">
        <f ca="1">(((_xlfn.XLOOKUP(YEAR($B108),'Oferta Producto 1'!$B$8:$B$19,'Oferta Producto 1'!$E$8:$E$19))*$AD108)/$AB108)/24</f>
        <v>0</v>
      </c>
      <c r="G108" s="35">
        <f ca="1">(((_xlfn.XLOOKUP(YEAR($B108),'Oferta Producto 1'!$B$8:$B$19,'Oferta Producto 1'!$E$8:$E$19))*$AD108)/$AB108)/24</f>
        <v>0</v>
      </c>
      <c r="H108" s="35">
        <f ca="1">(((_xlfn.XLOOKUP(YEAR($B108),'Oferta Producto 1'!$B$8:$B$19,'Oferta Producto 1'!$E$8:$E$19))*$AD108)/$AB108)/24</f>
        <v>0</v>
      </c>
      <c r="I108" s="35">
        <f ca="1">(((_xlfn.XLOOKUP(YEAR($B108),'Oferta Producto 1'!$B$8:$B$19,'Oferta Producto 1'!$E$8:$E$19))*$AD108)/$AB108)/24</f>
        <v>0</v>
      </c>
      <c r="J108" s="35">
        <f ca="1">(((_xlfn.XLOOKUP(YEAR($B108),'Oferta Producto 1'!$B$8:$B$19,'Oferta Producto 1'!$E$8:$E$19))*$AD108)/$AB108)/24</f>
        <v>0</v>
      </c>
      <c r="K108" s="35">
        <f ca="1">(((_xlfn.XLOOKUP(YEAR($B108),'Oferta Producto 1'!$B$8:$B$19,'Oferta Producto 1'!$E$8:$E$19))*$AD108)/$AB108)/24</f>
        <v>0</v>
      </c>
      <c r="L108" s="35">
        <f ca="1">(((_xlfn.XLOOKUP(YEAR($B108),'Oferta Producto 1'!$B$8:$B$19,'Oferta Producto 1'!$E$8:$E$19))*$AD108)/$AB108)/24</f>
        <v>0</v>
      </c>
      <c r="M108" s="35">
        <f ca="1">(((_xlfn.XLOOKUP(YEAR($B108),'Oferta Producto 1'!$B$8:$B$19,'Oferta Producto 1'!$E$8:$E$19))*$AD108)/$AB108)/24</f>
        <v>0</v>
      </c>
      <c r="N108" s="35">
        <f ca="1">(((_xlfn.XLOOKUP(YEAR($B108),'Oferta Producto 1'!$B$8:$B$19,'Oferta Producto 1'!$E$8:$E$19))*$AD108)/$AB108)/24</f>
        <v>0</v>
      </c>
      <c r="O108" s="35">
        <f ca="1">(((_xlfn.XLOOKUP(YEAR($B108),'Oferta Producto 1'!$B$8:$B$19,'Oferta Producto 1'!$E$8:$E$19))*$AD108)/$AB108)/24</f>
        <v>0</v>
      </c>
      <c r="P108" s="35">
        <f ca="1">(((_xlfn.XLOOKUP(YEAR($B108),'Oferta Producto 1'!$B$8:$B$19,'Oferta Producto 1'!$E$8:$E$19))*$AD108)/$AB108)/24</f>
        <v>0</v>
      </c>
      <c r="Q108" s="35">
        <f ca="1">(((_xlfn.XLOOKUP(YEAR($B108),'Oferta Producto 1'!$B$8:$B$19,'Oferta Producto 1'!$E$8:$E$19))*$AD108)/$AB108)/24</f>
        <v>0</v>
      </c>
      <c r="R108" s="35">
        <f ca="1">(((_xlfn.XLOOKUP(YEAR($B108),'Oferta Producto 1'!$B$8:$B$19,'Oferta Producto 1'!$E$8:$E$19))*$AD108)/$AB108)/24</f>
        <v>0</v>
      </c>
      <c r="S108" s="35">
        <f ca="1">(((_xlfn.XLOOKUP(YEAR($B108),'Oferta Producto 1'!$B$8:$B$19,'Oferta Producto 1'!$E$8:$E$19))*$AD108)/$AB108)/24</f>
        <v>0</v>
      </c>
      <c r="T108" s="35">
        <f ca="1">(((_xlfn.XLOOKUP(YEAR($B108),'Oferta Producto 1'!$B$8:$B$19,'Oferta Producto 1'!$E$8:$E$19))*$AD108)/$AB108)/24</f>
        <v>0</v>
      </c>
      <c r="U108" s="35">
        <f ca="1">(((_xlfn.XLOOKUP(YEAR($B108),'Oferta Producto 1'!$B$8:$B$19,'Oferta Producto 1'!$E$8:$E$19))*$AD108)/$AB108)/24</f>
        <v>0</v>
      </c>
      <c r="V108" s="35">
        <f ca="1">(((_xlfn.XLOOKUP(YEAR($B108),'Oferta Producto 1'!$B$8:$B$19,'Oferta Producto 1'!$E$8:$E$19))*$AD108)/$AB108)/24</f>
        <v>0</v>
      </c>
      <c r="W108" s="35">
        <f ca="1">(((_xlfn.XLOOKUP(YEAR($B108),'Oferta Producto 1'!$B$8:$B$19,'Oferta Producto 1'!$E$8:$E$19))*$AD108)/$AB108)/24</f>
        <v>0</v>
      </c>
      <c r="X108" s="35">
        <f ca="1">(((_xlfn.XLOOKUP(YEAR($B108),'Oferta Producto 1'!$B$8:$B$19,'Oferta Producto 1'!$E$8:$E$19))*$AD108)/$AB108)/24</f>
        <v>0</v>
      </c>
      <c r="Y108" s="35">
        <f ca="1">(((_xlfn.XLOOKUP(YEAR($B108),'Oferta Producto 1'!$B$8:$B$19,'Oferta Producto 1'!$E$8:$E$19))*$AD108)/$AB108)/24</f>
        <v>0</v>
      </c>
      <c r="Z108" s="35">
        <f ca="1">(((_xlfn.XLOOKUP(YEAR($B108),'Oferta Producto 1'!$B$8:$B$19,'Oferta Producto 1'!$E$8:$E$19))*$AD108)/$AB108)/24</f>
        <v>0</v>
      </c>
      <c r="AA108" s="35">
        <f t="shared" ca="1" si="9"/>
        <v>0</v>
      </c>
      <c r="AB108" s="28">
        <f t="shared" si="7"/>
        <v>31</v>
      </c>
      <c r="AC108" s="42">
        <f t="shared" ca="1" si="8"/>
        <v>0</v>
      </c>
      <c r="AD108" s="43">
        <v>8.2806296035670815E-2</v>
      </c>
      <c r="AE108"/>
    </row>
    <row r="109" spans="1:31" ht="15.75" thickBot="1">
      <c r="A109" s="23">
        <f t="shared" si="6"/>
        <v>2034</v>
      </c>
      <c r="B109" s="27">
        <v>49157</v>
      </c>
      <c r="C109" s="35">
        <f ca="1">(((_xlfn.XLOOKUP(YEAR($B109),'Oferta Producto 1'!$B$8:$B$19,'Oferta Producto 1'!$E$8:$E$19))*$AD109)/$AB109)/24</f>
        <v>0</v>
      </c>
      <c r="D109" s="35">
        <f ca="1">(((_xlfn.XLOOKUP(YEAR($B109),'Oferta Producto 1'!$B$8:$B$19,'Oferta Producto 1'!$E$8:$E$19))*$AD109)/$AB109)/24</f>
        <v>0</v>
      </c>
      <c r="E109" s="35">
        <f ca="1">(((_xlfn.XLOOKUP(YEAR($B109),'Oferta Producto 1'!$B$8:$B$19,'Oferta Producto 1'!$E$8:$E$19))*$AD109)/$AB109)/24</f>
        <v>0</v>
      </c>
      <c r="F109" s="35">
        <f ca="1">(((_xlfn.XLOOKUP(YEAR($B109),'Oferta Producto 1'!$B$8:$B$19,'Oferta Producto 1'!$E$8:$E$19))*$AD109)/$AB109)/24</f>
        <v>0</v>
      </c>
      <c r="G109" s="35">
        <f ca="1">(((_xlfn.XLOOKUP(YEAR($B109),'Oferta Producto 1'!$B$8:$B$19,'Oferta Producto 1'!$E$8:$E$19))*$AD109)/$AB109)/24</f>
        <v>0</v>
      </c>
      <c r="H109" s="35">
        <f ca="1">(((_xlfn.XLOOKUP(YEAR($B109),'Oferta Producto 1'!$B$8:$B$19,'Oferta Producto 1'!$E$8:$E$19))*$AD109)/$AB109)/24</f>
        <v>0</v>
      </c>
      <c r="I109" s="35">
        <f ca="1">(((_xlfn.XLOOKUP(YEAR($B109),'Oferta Producto 1'!$B$8:$B$19,'Oferta Producto 1'!$E$8:$E$19))*$AD109)/$AB109)/24</f>
        <v>0</v>
      </c>
      <c r="J109" s="35">
        <f ca="1">(((_xlfn.XLOOKUP(YEAR($B109),'Oferta Producto 1'!$B$8:$B$19,'Oferta Producto 1'!$E$8:$E$19))*$AD109)/$AB109)/24</f>
        <v>0</v>
      </c>
      <c r="K109" s="35">
        <f ca="1">(((_xlfn.XLOOKUP(YEAR($B109),'Oferta Producto 1'!$B$8:$B$19,'Oferta Producto 1'!$E$8:$E$19))*$AD109)/$AB109)/24</f>
        <v>0</v>
      </c>
      <c r="L109" s="35">
        <f ca="1">(((_xlfn.XLOOKUP(YEAR($B109),'Oferta Producto 1'!$B$8:$B$19,'Oferta Producto 1'!$E$8:$E$19))*$AD109)/$AB109)/24</f>
        <v>0</v>
      </c>
      <c r="M109" s="35">
        <f ca="1">(((_xlfn.XLOOKUP(YEAR($B109),'Oferta Producto 1'!$B$8:$B$19,'Oferta Producto 1'!$E$8:$E$19))*$AD109)/$AB109)/24</f>
        <v>0</v>
      </c>
      <c r="N109" s="35">
        <f ca="1">(((_xlfn.XLOOKUP(YEAR($B109),'Oferta Producto 1'!$B$8:$B$19,'Oferta Producto 1'!$E$8:$E$19))*$AD109)/$AB109)/24</f>
        <v>0</v>
      </c>
      <c r="O109" s="35">
        <f ca="1">(((_xlfn.XLOOKUP(YEAR($B109),'Oferta Producto 1'!$B$8:$B$19,'Oferta Producto 1'!$E$8:$E$19))*$AD109)/$AB109)/24</f>
        <v>0</v>
      </c>
      <c r="P109" s="35">
        <f ca="1">(((_xlfn.XLOOKUP(YEAR($B109),'Oferta Producto 1'!$B$8:$B$19,'Oferta Producto 1'!$E$8:$E$19))*$AD109)/$AB109)/24</f>
        <v>0</v>
      </c>
      <c r="Q109" s="35">
        <f ca="1">(((_xlfn.XLOOKUP(YEAR($B109),'Oferta Producto 1'!$B$8:$B$19,'Oferta Producto 1'!$E$8:$E$19))*$AD109)/$AB109)/24</f>
        <v>0</v>
      </c>
      <c r="R109" s="35">
        <f ca="1">(((_xlfn.XLOOKUP(YEAR($B109),'Oferta Producto 1'!$B$8:$B$19,'Oferta Producto 1'!$E$8:$E$19))*$AD109)/$AB109)/24</f>
        <v>0</v>
      </c>
      <c r="S109" s="35">
        <f ca="1">(((_xlfn.XLOOKUP(YEAR($B109),'Oferta Producto 1'!$B$8:$B$19,'Oferta Producto 1'!$E$8:$E$19))*$AD109)/$AB109)/24</f>
        <v>0</v>
      </c>
      <c r="T109" s="35">
        <f ca="1">(((_xlfn.XLOOKUP(YEAR($B109),'Oferta Producto 1'!$B$8:$B$19,'Oferta Producto 1'!$E$8:$E$19))*$AD109)/$AB109)/24</f>
        <v>0</v>
      </c>
      <c r="U109" s="35">
        <f ca="1">(((_xlfn.XLOOKUP(YEAR($B109),'Oferta Producto 1'!$B$8:$B$19,'Oferta Producto 1'!$E$8:$E$19))*$AD109)/$AB109)/24</f>
        <v>0</v>
      </c>
      <c r="V109" s="35">
        <f ca="1">(((_xlfn.XLOOKUP(YEAR($B109),'Oferta Producto 1'!$B$8:$B$19,'Oferta Producto 1'!$E$8:$E$19))*$AD109)/$AB109)/24</f>
        <v>0</v>
      </c>
      <c r="W109" s="35">
        <f ca="1">(((_xlfn.XLOOKUP(YEAR($B109),'Oferta Producto 1'!$B$8:$B$19,'Oferta Producto 1'!$E$8:$E$19))*$AD109)/$AB109)/24</f>
        <v>0</v>
      </c>
      <c r="X109" s="35">
        <f ca="1">(((_xlfn.XLOOKUP(YEAR($B109),'Oferta Producto 1'!$B$8:$B$19,'Oferta Producto 1'!$E$8:$E$19))*$AD109)/$AB109)/24</f>
        <v>0</v>
      </c>
      <c r="Y109" s="35">
        <f ca="1">(((_xlfn.XLOOKUP(YEAR($B109),'Oferta Producto 1'!$B$8:$B$19,'Oferta Producto 1'!$E$8:$E$19))*$AD109)/$AB109)/24</f>
        <v>0</v>
      </c>
      <c r="Z109" s="35">
        <f ca="1">(((_xlfn.XLOOKUP(YEAR($B109),'Oferta Producto 1'!$B$8:$B$19,'Oferta Producto 1'!$E$8:$E$19))*$AD109)/$AB109)/24</f>
        <v>0</v>
      </c>
      <c r="AA109" s="35">
        <f t="shared" ca="1" si="9"/>
        <v>0</v>
      </c>
      <c r="AB109" s="28">
        <f t="shared" si="7"/>
        <v>31</v>
      </c>
      <c r="AC109" s="42">
        <f t="shared" ca="1" si="8"/>
        <v>0</v>
      </c>
      <c r="AD109" s="43">
        <v>8.3332439723826715E-2</v>
      </c>
      <c r="AE109"/>
    </row>
    <row r="110" spans="1:31" ht="15.75" thickBot="1">
      <c r="A110" s="23">
        <f t="shared" si="6"/>
        <v>2034</v>
      </c>
      <c r="B110" s="27">
        <v>49188</v>
      </c>
      <c r="C110" s="35">
        <f ca="1">(((_xlfn.XLOOKUP(YEAR($B110),'Oferta Producto 1'!$B$8:$B$19,'Oferta Producto 1'!$E$8:$E$19))*$AD110)/$AB110)/24</f>
        <v>0</v>
      </c>
      <c r="D110" s="35">
        <f ca="1">(((_xlfn.XLOOKUP(YEAR($B110),'Oferta Producto 1'!$B$8:$B$19,'Oferta Producto 1'!$E$8:$E$19))*$AD110)/$AB110)/24</f>
        <v>0</v>
      </c>
      <c r="E110" s="35">
        <f ca="1">(((_xlfn.XLOOKUP(YEAR($B110),'Oferta Producto 1'!$B$8:$B$19,'Oferta Producto 1'!$E$8:$E$19))*$AD110)/$AB110)/24</f>
        <v>0</v>
      </c>
      <c r="F110" s="35">
        <f ca="1">(((_xlfn.XLOOKUP(YEAR($B110),'Oferta Producto 1'!$B$8:$B$19,'Oferta Producto 1'!$E$8:$E$19))*$AD110)/$AB110)/24</f>
        <v>0</v>
      </c>
      <c r="G110" s="35">
        <f ca="1">(((_xlfn.XLOOKUP(YEAR($B110),'Oferta Producto 1'!$B$8:$B$19,'Oferta Producto 1'!$E$8:$E$19))*$AD110)/$AB110)/24</f>
        <v>0</v>
      </c>
      <c r="H110" s="35">
        <f ca="1">(((_xlfn.XLOOKUP(YEAR($B110),'Oferta Producto 1'!$B$8:$B$19,'Oferta Producto 1'!$E$8:$E$19))*$AD110)/$AB110)/24</f>
        <v>0</v>
      </c>
      <c r="I110" s="35">
        <f ca="1">(((_xlfn.XLOOKUP(YEAR($B110),'Oferta Producto 1'!$B$8:$B$19,'Oferta Producto 1'!$E$8:$E$19))*$AD110)/$AB110)/24</f>
        <v>0</v>
      </c>
      <c r="J110" s="35">
        <f ca="1">(((_xlfn.XLOOKUP(YEAR($B110),'Oferta Producto 1'!$B$8:$B$19,'Oferta Producto 1'!$E$8:$E$19))*$AD110)/$AB110)/24</f>
        <v>0</v>
      </c>
      <c r="K110" s="35">
        <f ca="1">(((_xlfn.XLOOKUP(YEAR($B110),'Oferta Producto 1'!$B$8:$B$19,'Oferta Producto 1'!$E$8:$E$19))*$AD110)/$AB110)/24</f>
        <v>0</v>
      </c>
      <c r="L110" s="35">
        <f ca="1">(((_xlfn.XLOOKUP(YEAR($B110),'Oferta Producto 1'!$B$8:$B$19,'Oferta Producto 1'!$E$8:$E$19))*$AD110)/$AB110)/24</f>
        <v>0</v>
      </c>
      <c r="M110" s="35">
        <f ca="1">(((_xlfn.XLOOKUP(YEAR($B110),'Oferta Producto 1'!$B$8:$B$19,'Oferta Producto 1'!$E$8:$E$19))*$AD110)/$AB110)/24</f>
        <v>0</v>
      </c>
      <c r="N110" s="35">
        <f ca="1">(((_xlfn.XLOOKUP(YEAR($B110),'Oferta Producto 1'!$B$8:$B$19,'Oferta Producto 1'!$E$8:$E$19))*$AD110)/$AB110)/24</f>
        <v>0</v>
      </c>
      <c r="O110" s="35">
        <f ca="1">(((_xlfn.XLOOKUP(YEAR($B110),'Oferta Producto 1'!$B$8:$B$19,'Oferta Producto 1'!$E$8:$E$19))*$AD110)/$AB110)/24</f>
        <v>0</v>
      </c>
      <c r="P110" s="35">
        <f ca="1">(((_xlfn.XLOOKUP(YEAR($B110),'Oferta Producto 1'!$B$8:$B$19,'Oferta Producto 1'!$E$8:$E$19))*$AD110)/$AB110)/24</f>
        <v>0</v>
      </c>
      <c r="Q110" s="35">
        <f ca="1">(((_xlfn.XLOOKUP(YEAR($B110),'Oferta Producto 1'!$B$8:$B$19,'Oferta Producto 1'!$E$8:$E$19))*$AD110)/$AB110)/24</f>
        <v>0</v>
      </c>
      <c r="R110" s="35">
        <f ca="1">(((_xlfn.XLOOKUP(YEAR($B110),'Oferta Producto 1'!$B$8:$B$19,'Oferta Producto 1'!$E$8:$E$19))*$AD110)/$AB110)/24</f>
        <v>0</v>
      </c>
      <c r="S110" s="35">
        <f ca="1">(((_xlfn.XLOOKUP(YEAR($B110),'Oferta Producto 1'!$B$8:$B$19,'Oferta Producto 1'!$E$8:$E$19))*$AD110)/$AB110)/24</f>
        <v>0</v>
      </c>
      <c r="T110" s="35">
        <f ca="1">(((_xlfn.XLOOKUP(YEAR($B110),'Oferta Producto 1'!$B$8:$B$19,'Oferta Producto 1'!$E$8:$E$19))*$AD110)/$AB110)/24</f>
        <v>0</v>
      </c>
      <c r="U110" s="35">
        <f ca="1">(((_xlfn.XLOOKUP(YEAR($B110),'Oferta Producto 1'!$B$8:$B$19,'Oferta Producto 1'!$E$8:$E$19))*$AD110)/$AB110)/24</f>
        <v>0</v>
      </c>
      <c r="V110" s="35">
        <f ca="1">(((_xlfn.XLOOKUP(YEAR($B110),'Oferta Producto 1'!$B$8:$B$19,'Oferta Producto 1'!$E$8:$E$19))*$AD110)/$AB110)/24</f>
        <v>0</v>
      </c>
      <c r="W110" s="35">
        <f ca="1">(((_xlfn.XLOOKUP(YEAR($B110),'Oferta Producto 1'!$B$8:$B$19,'Oferta Producto 1'!$E$8:$E$19))*$AD110)/$AB110)/24</f>
        <v>0</v>
      </c>
      <c r="X110" s="35">
        <f ca="1">(((_xlfn.XLOOKUP(YEAR($B110),'Oferta Producto 1'!$B$8:$B$19,'Oferta Producto 1'!$E$8:$E$19))*$AD110)/$AB110)/24</f>
        <v>0</v>
      </c>
      <c r="Y110" s="35">
        <f ca="1">(((_xlfn.XLOOKUP(YEAR($B110),'Oferta Producto 1'!$B$8:$B$19,'Oferta Producto 1'!$E$8:$E$19))*$AD110)/$AB110)/24</f>
        <v>0</v>
      </c>
      <c r="Z110" s="35">
        <f ca="1">(((_xlfn.XLOOKUP(YEAR($B110),'Oferta Producto 1'!$B$8:$B$19,'Oferta Producto 1'!$E$8:$E$19))*$AD110)/$AB110)/24</f>
        <v>0</v>
      </c>
      <c r="AA110" s="35">
        <f t="shared" ca="1" si="9"/>
        <v>0</v>
      </c>
      <c r="AB110" s="28">
        <f t="shared" si="7"/>
        <v>30</v>
      </c>
      <c r="AC110" s="42">
        <f t="shared" ca="1" si="8"/>
        <v>0</v>
      </c>
      <c r="AD110" s="43">
        <v>8.3860115313993927E-2</v>
      </c>
      <c r="AE110"/>
    </row>
    <row r="111" spans="1:31" ht="15.75" thickBot="1">
      <c r="A111" s="23">
        <f t="shared" si="6"/>
        <v>2034</v>
      </c>
      <c r="B111" s="27">
        <v>49218</v>
      </c>
      <c r="C111" s="35">
        <f ca="1">(((_xlfn.XLOOKUP(YEAR($B111),'Oferta Producto 1'!$B$8:$B$19,'Oferta Producto 1'!$E$8:$E$19))*$AD111)/$AB111)/24</f>
        <v>0</v>
      </c>
      <c r="D111" s="35">
        <f ca="1">(((_xlfn.XLOOKUP(YEAR($B111),'Oferta Producto 1'!$B$8:$B$19,'Oferta Producto 1'!$E$8:$E$19))*$AD111)/$AB111)/24</f>
        <v>0</v>
      </c>
      <c r="E111" s="35">
        <f ca="1">(((_xlfn.XLOOKUP(YEAR($B111),'Oferta Producto 1'!$B$8:$B$19,'Oferta Producto 1'!$E$8:$E$19))*$AD111)/$AB111)/24</f>
        <v>0</v>
      </c>
      <c r="F111" s="35">
        <f ca="1">(((_xlfn.XLOOKUP(YEAR($B111),'Oferta Producto 1'!$B$8:$B$19,'Oferta Producto 1'!$E$8:$E$19))*$AD111)/$AB111)/24</f>
        <v>0</v>
      </c>
      <c r="G111" s="35">
        <f ca="1">(((_xlfn.XLOOKUP(YEAR($B111),'Oferta Producto 1'!$B$8:$B$19,'Oferta Producto 1'!$E$8:$E$19))*$AD111)/$AB111)/24</f>
        <v>0</v>
      </c>
      <c r="H111" s="35">
        <f ca="1">(((_xlfn.XLOOKUP(YEAR($B111),'Oferta Producto 1'!$B$8:$B$19,'Oferta Producto 1'!$E$8:$E$19))*$AD111)/$AB111)/24</f>
        <v>0</v>
      </c>
      <c r="I111" s="35">
        <f ca="1">(((_xlfn.XLOOKUP(YEAR($B111),'Oferta Producto 1'!$B$8:$B$19,'Oferta Producto 1'!$E$8:$E$19))*$AD111)/$AB111)/24</f>
        <v>0</v>
      </c>
      <c r="J111" s="35">
        <f ca="1">(((_xlfn.XLOOKUP(YEAR($B111),'Oferta Producto 1'!$B$8:$B$19,'Oferta Producto 1'!$E$8:$E$19))*$AD111)/$AB111)/24</f>
        <v>0</v>
      </c>
      <c r="K111" s="35">
        <f ca="1">(((_xlfn.XLOOKUP(YEAR($B111),'Oferta Producto 1'!$B$8:$B$19,'Oferta Producto 1'!$E$8:$E$19))*$AD111)/$AB111)/24</f>
        <v>0</v>
      </c>
      <c r="L111" s="35">
        <f ca="1">(((_xlfn.XLOOKUP(YEAR($B111),'Oferta Producto 1'!$B$8:$B$19,'Oferta Producto 1'!$E$8:$E$19))*$AD111)/$AB111)/24</f>
        <v>0</v>
      </c>
      <c r="M111" s="35">
        <f ca="1">(((_xlfn.XLOOKUP(YEAR($B111),'Oferta Producto 1'!$B$8:$B$19,'Oferta Producto 1'!$E$8:$E$19))*$AD111)/$AB111)/24</f>
        <v>0</v>
      </c>
      <c r="N111" s="35">
        <f ca="1">(((_xlfn.XLOOKUP(YEAR($B111),'Oferta Producto 1'!$B$8:$B$19,'Oferta Producto 1'!$E$8:$E$19))*$AD111)/$AB111)/24</f>
        <v>0</v>
      </c>
      <c r="O111" s="35">
        <f ca="1">(((_xlfn.XLOOKUP(YEAR($B111),'Oferta Producto 1'!$B$8:$B$19,'Oferta Producto 1'!$E$8:$E$19))*$AD111)/$AB111)/24</f>
        <v>0</v>
      </c>
      <c r="P111" s="35">
        <f ca="1">(((_xlfn.XLOOKUP(YEAR($B111),'Oferta Producto 1'!$B$8:$B$19,'Oferta Producto 1'!$E$8:$E$19))*$AD111)/$AB111)/24</f>
        <v>0</v>
      </c>
      <c r="Q111" s="35">
        <f ca="1">(((_xlfn.XLOOKUP(YEAR($B111),'Oferta Producto 1'!$B$8:$B$19,'Oferta Producto 1'!$E$8:$E$19))*$AD111)/$AB111)/24</f>
        <v>0</v>
      </c>
      <c r="R111" s="35">
        <f ca="1">(((_xlfn.XLOOKUP(YEAR($B111),'Oferta Producto 1'!$B$8:$B$19,'Oferta Producto 1'!$E$8:$E$19))*$AD111)/$AB111)/24</f>
        <v>0</v>
      </c>
      <c r="S111" s="35">
        <f ca="1">(((_xlfn.XLOOKUP(YEAR($B111),'Oferta Producto 1'!$B$8:$B$19,'Oferta Producto 1'!$E$8:$E$19))*$AD111)/$AB111)/24</f>
        <v>0</v>
      </c>
      <c r="T111" s="35">
        <f ca="1">(((_xlfn.XLOOKUP(YEAR($B111),'Oferta Producto 1'!$B$8:$B$19,'Oferta Producto 1'!$E$8:$E$19))*$AD111)/$AB111)/24</f>
        <v>0</v>
      </c>
      <c r="U111" s="35">
        <f ca="1">(((_xlfn.XLOOKUP(YEAR($B111),'Oferta Producto 1'!$B$8:$B$19,'Oferta Producto 1'!$E$8:$E$19))*$AD111)/$AB111)/24</f>
        <v>0</v>
      </c>
      <c r="V111" s="35">
        <f ca="1">(((_xlfn.XLOOKUP(YEAR($B111),'Oferta Producto 1'!$B$8:$B$19,'Oferta Producto 1'!$E$8:$E$19))*$AD111)/$AB111)/24</f>
        <v>0</v>
      </c>
      <c r="W111" s="35">
        <f ca="1">(((_xlfn.XLOOKUP(YEAR($B111),'Oferta Producto 1'!$B$8:$B$19,'Oferta Producto 1'!$E$8:$E$19))*$AD111)/$AB111)/24</f>
        <v>0</v>
      </c>
      <c r="X111" s="35">
        <f ca="1">(((_xlfn.XLOOKUP(YEAR($B111),'Oferta Producto 1'!$B$8:$B$19,'Oferta Producto 1'!$E$8:$E$19))*$AD111)/$AB111)/24</f>
        <v>0</v>
      </c>
      <c r="Y111" s="35">
        <f ca="1">(((_xlfn.XLOOKUP(YEAR($B111),'Oferta Producto 1'!$B$8:$B$19,'Oferta Producto 1'!$E$8:$E$19))*$AD111)/$AB111)/24</f>
        <v>0</v>
      </c>
      <c r="Z111" s="35">
        <f ca="1">(((_xlfn.XLOOKUP(YEAR($B111),'Oferta Producto 1'!$B$8:$B$19,'Oferta Producto 1'!$E$8:$E$19))*$AD111)/$AB111)/24</f>
        <v>0</v>
      </c>
      <c r="AA111" s="35">
        <f t="shared" ca="1" si="9"/>
        <v>0</v>
      </c>
      <c r="AB111" s="28">
        <f t="shared" si="7"/>
        <v>31</v>
      </c>
      <c r="AC111" s="42">
        <f t="shared" ca="1" si="8"/>
        <v>0</v>
      </c>
      <c r="AD111" s="43">
        <v>8.3332439723826715E-2</v>
      </c>
      <c r="AE111"/>
    </row>
    <row r="112" spans="1:31" ht="15.75" thickBot="1">
      <c r="A112" s="23">
        <f t="shared" si="6"/>
        <v>2034</v>
      </c>
      <c r="B112" s="27">
        <v>49249</v>
      </c>
      <c r="C112" s="35">
        <f ca="1">(((_xlfn.XLOOKUP(YEAR($B112),'Oferta Producto 1'!$B$8:$B$19,'Oferta Producto 1'!$E$8:$E$19))*$AD112)/$AB112)/24</f>
        <v>0</v>
      </c>
      <c r="D112" s="35">
        <f ca="1">(((_xlfn.XLOOKUP(YEAR($B112),'Oferta Producto 1'!$B$8:$B$19,'Oferta Producto 1'!$E$8:$E$19))*$AD112)/$AB112)/24</f>
        <v>0</v>
      </c>
      <c r="E112" s="35">
        <f ca="1">(((_xlfn.XLOOKUP(YEAR($B112),'Oferta Producto 1'!$B$8:$B$19,'Oferta Producto 1'!$E$8:$E$19))*$AD112)/$AB112)/24</f>
        <v>0</v>
      </c>
      <c r="F112" s="35">
        <f ca="1">(((_xlfn.XLOOKUP(YEAR($B112),'Oferta Producto 1'!$B$8:$B$19,'Oferta Producto 1'!$E$8:$E$19))*$AD112)/$AB112)/24</f>
        <v>0</v>
      </c>
      <c r="G112" s="35">
        <f ca="1">(((_xlfn.XLOOKUP(YEAR($B112),'Oferta Producto 1'!$B$8:$B$19,'Oferta Producto 1'!$E$8:$E$19))*$AD112)/$AB112)/24</f>
        <v>0</v>
      </c>
      <c r="H112" s="35">
        <f ca="1">(((_xlfn.XLOOKUP(YEAR($B112),'Oferta Producto 1'!$B$8:$B$19,'Oferta Producto 1'!$E$8:$E$19))*$AD112)/$AB112)/24</f>
        <v>0</v>
      </c>
      <c r="I112" s="35">
        <f ca="1">(((_xlfn.XLOOKUP(YEAR($B112),'Oferta Producto 1'!$B$8:$B$19,'Oferta Producto 1'!$E$8:$E$19))*$AD112)/$AB112)/24</f>
        <v>0</v>
      </c>
      <c r="J112" s="35">
        <f ca="1">(((_xlfn.XLOOKUP(YEAR($B112),'Oferta Producto 1'!$B$8:$B$19,'Oferta Producto 1'!$E$8:$E$19))*$AD112)/$AB112)/24</f>
        <v>0</v>
      </c>
      <c r="K112" s="35">
        <f ca="1">(((_xlfn.XLOOKUP(YEAR($B112),'Oferta Producto 1'!$B$8:$B$19,'Oferta Producto 1'!$E$8:$E$19))*$AD112)/$AB112)/24</f>
        <v>0</v>
      </c>
      <c r="L112" s="35">
        <f ca="1">(((_xlfn.XLOOKUP(YEAR($B112),'Oferta Producto 1'!$B$8:$B$19,'Oferta Producto 1'!$E$8:$E$19))*$AD112)/$AB112)/24</f>
        <v>0</v>
      </c>
      <c r="M112" s="35">
        <f ca="1">(((_xlfn.XLOOKUP(YEAR($B112),'Oferta Producto 1'!$B$8:$B$19,'Oferta Producto 1'!$E$8:$E$19))*$AD112)/$AB112)/24</f>
        <v>0</v>
      </c>
      <c r="N112" s="35">
        <f ca="1">(((_xlfn.XLOOKUP(YEAR($B112),'Oferta Producto 1'!$B$8:$B$19,'Oferta Producto 1'!$E$8:$E$19))*$AD112)/$AB112)/24</f>
        <v>0</v>
      </c>
      <c r="O112" s="35">
        <f ca="1">(((_xlfn.XLOOKUP(YEAR($B112),'Oferta Producto 1'!$B$8:$B$19,'Oferta Producto 1'!$E$8:$E$19))*$AD112)/$AB112)/24</f>
        <v>0</v>
      </c>
      <c r="P112" s="35">
        <f ca="1">(((_xlfn.XLOOKUP(YEAR($B112),'Oferta Producto 1'!$B$8:$B$19,'Oferta Producto 1'!$E$8:$E$19))*$AD112)/$AB112)/24</f>
        <v>0</v>
      </c>
      <c r="Q112" s="35">
        <f ca="1">(((_xlfn.XLOOKUP(YEAR($B112),'Oferta Producto 1'!$B$8:$B$19,'Oferta Producto 1'!$E$8:$E$19))*$AD112)/$AB112)/24</f>
        <v>0</v>
      </c>
      <c r="R112" s="35">
        <f ca="1">(((_xlfn.XLOOKUP(YEAR($B112),'Oferta Producto 1'!$B$8:$B$19,'Oferta Producto 1'!$E$8:$E$19))*$AD112)/$AB112)/24</f>
        <v>0</v>
      </c>
      <c r="S112" s="35">
        <f ca="1">(((_xlfn.XLOOKUP(YEAR($B112),'Oferta Producto 1'!$B$8:$B$19,'Oferta Producto 1'!$E$8:$E$19))*$AD112)/$AB112)/24</f>
        <v>0</v>
      </c>
      <c r="T112" s="35">
        <f ca="1">(((_xlfn.XLOOKUP(YEAR($B112),'Oferta Producto 1'!$B$8:$B$19,'Oferta Producto 1'!$E$8:$E$19))*$AD112)/$AB112)/24</f>
        <v>0</v>
      </c>
      <c r="U112" s="35">
        <f ca="1">(((_xlfn.XLOOKUP(YEAR($B112),'Oferta Producto 1'!$B$8:$B$19,'Oferta Producto 1'!$E$8:$E$19))*$AD112)/$AB112)/24</f>
        <v>0</v>
      </c>
      <c r="V112" s="35">
        <f ca="1">(((_xlfn.XLOOKUP(YEAR($B112),'Oferta Producto 1'!$B$8:$B$19,'Oferta Producto 1'!$E$8:$E$19))*$AD112)/$AB112)/24</f>
        <v>0</v>
      </c>
      <c r="W112" s="35">
        <f ca="1">(((_xlfn.XLOOKUP(YEAR($B112),'Oferta Producto 1'!$B$8:$B$19,'Oferta Producto 1'!$E$8:$E$19))*$AD112)/$AB112)/24</f>
        <v>0</v>
      </c>
      <c r="X112" s="35">
        <f ca="1">(((_xlfn.XLOOKUP(YEAR($B112),'Oferta Producto 1'!$B$8:$B$19,'Oferta Producto 1'!$E$8:$E$19))*$AD112)/$AB112)/24</f>
        <v>0</v>
      </c>
      <c r="Y112" s="35">
        <f ca="1">(((_xlfn.XLOOKUP(YEAR($B112),'Oferta Producto 1'!$B$8:$B$19,'Oferta Producto 1'!$E$8:$E$19))*$AD112)/$AB112)/24</f>
        <v>0</v>
      </c>
      <c r="Z112" s="35">
        <f ca="1">(((_xlfn.XLOOKUP(YEAR($B112),'Oferta Producto 1'!$B$8:$B$19,'Oferta Producto 1'!$E$8:$E$19))*$AD112)/$AB112)/24</f>
        <v>0</v>
      </c>
      <c r="AA112" s="35">
        <f t="shared" ca="1" si="9"/>
        <v>0</v>
      </c>
      <c r="AB112" s="28">
        <f t="shared" si="7"/>
        <v>30</v>
      </c>
      <c r="AC112" s="42">
        <f t="shared" ca="1" si="8"/>
        <v>0</v>
      </c>
      <c r="AD112" s="43">
        <v>8.3860115313993927E-2</v>
      </c>
      <c r="AE112"/>
    </row>
    <row r="113" spans="1:31" ht="15.75" thickBot="1">
      <c r="A113" s="23">
        <f t="shared" si="6"/>
        <v>2034</v>
      </c>
      <c r="B113" s="27">
        <v>49279</v>
      </c>
      <c r="C113" s="35">
        <f ca="1">(((_xlfn.XLOOKUP(YEAR($B113),'Oferta Producto 1'!$B$8:$B$19,'Oferta Producto 1'!$E$8:$E$19))*$AD113)/$AB113)/24</f>
        <v>0</v>
      </c>
      <c r="D113" s="35">
        <f ca="1">(((_xlfn.XLOOKUP(YEAR($B113),'Oferta Producto 1'!$B$8:$B$19,'Oferta Producto 1'!$E$8:$E$19))*$AD113)/$AB113)/24</f>
        <v>0</v>
      </c>
      <c r="E113" s="35">
        <f ca="1">(((_xlfn.XLOOKUP(YEAR($B113),'Oferta Producto 1'!$B$8:$B$19,'Oferta Producto 1'!$E$8:$E$19))*$AD113)/$AB113)/24</f>
        <v>0</v>
      </c>
      <c r="F113" s="35">
        <f ca="1">(((_xlfn.XLOOKUP(YEAR($B113),'Oferta Producto 1'!$B$8:$B$19,'Oferta Producto 1'!$E$8:$E$19))*$AD113)/$AB113)/24</f>
        <v>0</v>
      </c>
      <c r="G113" s="35">
        <f ca="1">(((_xlfn.XLOOKUP(YEAR($B113),'Oferta Producto 1'!$B$8:$B$19,'Oferta Producto 1'!$E$8:$E$19))*$AD113)/$AB113)/24</f>
        <v>0</v>
      </c>
      <c r="H113" s="35">
        <f ca="1">(((_xlfn.XLOOKUP(YEAR($B113),'Oferta Producto 1'!$B$8:$B$19,'Oferta Producto 1'!$E$8:$E$19))*$AD113)/$AB113)/24</f>
        <v>0</v>
      </c>
      <c r="I113" s="35">
        <f ca="1">(((_xlfn.XLOOKUP(YEAR($B113),'Oferta Producto 1'!$B$8:$B$19,'Oferta Producto 1'!$E$8:$E$19))*$AD113)/$AB113)/24</f>
        <v>0</v>
      </c>
      <c r="J113" s="35">
        <f ca="1">(((_xlfn.XLOOKUP(YEAR($B113),'Oferta Producto 1'!$B$8:$B$19,'Oferta Producto 1'!$E$8:$E$19))*$AD113)/$AB113)/24</f>
        <v>0</v>
      </c>
      <c r="K113" s="35">
        <f ca="1">(((_xlfn.XLOOKUP(YEAR($B113),'Oferta Producto 1'!$B$8:$B$19,'Oferta Producto 1'!$E$8:$E$19))*$AD113)/$AB113)/24</f>
        <v>0</v>
      </c>
      <c r="L113" s="35">
        <f ca="1">(((_xlfn.XLOOKUP(YEAR($B113),'Oferta Producto 1'!$B$8:$B$19,'Oferta Producto 1'!$E$8:$E$19))*$AD113)/$AB113)/24</f>
        <v>0</v>
      </c>
      <c r="M113" s="35">
        <f ca="1">(((_xlfn.XLOOKUP(YEAR($B113),'Oferta Producto 1'!$B$8:$B$19,'Oferta Producto 1'!$E$8:$E$19))*$AD113)/$AB113)/24</f>
        <v>0</v>
      </c>
      <c r="N113" s="35">
        <f ca="1">(((_xlfn.XLOOKUP(YEAR($B113),'Oferta Producto 1'!$B$8:$B$19,'Oferta Producto 1'!$E$8:$E$19))*$AD113)/$AB113)/24</f>
        <v>0</v>
      </c>
      <c r="O113" s="35">
        <f ca="1">(((_xlfn.XLOOKUP(YEAR($B113),'Oferta Producto 1'!$B$8:$B$19,'Oferta Producto 1'!$E$8:$E$19))*$AD113)/$AB113)/24</f>
        <v>0</v>
      </c>
      <c r="P113" s="35">
        <f ca="1">(((_xlfn.XLOOKUP(YEAR($B113),'Oferta Producto 1'!$B$8:$B$19,'Oferta Producto 1'!$E$8:$E$19))*$AD113)/$AB113)/24</f>
        <v>0</v>
      </c>
      <c r="Q113" s="35">
        <f ca="1">(((_xlfn.XLOOKUP(YEAR($B113),'Oferta Producto 1'!$B$8:$B$19,'Oferta Producto 1'!$E$8:$E$19))*$AD113)/$AB113)/24</f>
        <v>0</v>
      </c>
      <c r="R113" s="35">
        <f ca="1">(((_xlfn.XLOOKUP(YEAR($B113),'Oferta Producto 1'!$B$8:$B$19,'Oferta Producto 1'!$E$8:$E$19))*$AD113)/$AB113)/24</f>
        <v>0</v>
      </c>
      <c r="S113" s="35">
        <f ca="1">(((_xlfn.XLOOKUP(YEAR($B113),'Oferta Producto 1'!$B$8:$B$19,'Oferta Producto 1'!$E$8:$E$19))*$AD113)/$AB113)/24</f>
        <v>0</v>
      </c>
      <c r="T113" s="35">
        <f ca="1">(((_xlfn.XLOOKUP(YEAR($B113),'Oferta Producto 1'!$B$8:$B$19,'Oferta Producto 1'!$E$8:$E$19))*$AD113)/$AB113)/24</f>
        <v>0</v>
      </c>
      <c r="U113" s="35">
        <f ca="1">(((_xlfn.XLOOKUP(YEAR($B113),'Oferta Producto 1'!$B$8:$B$19,'Oferta Producto 1'!$E$8:$E$19))*$AD113)/$AB113)/24</f>
        <v>0</v>
      </c>
      <c r="V113" s="35">
        <f ca="1">(((_xlfn.XLOOKUP(YEAR($B113),'Oferta Producto 1'!$B$8:$B$19,'Oferta Producto 1'!$E$8:$E$19))*$AD113)/$AB113)/24</f>
        <v>0</v>
      </c>
      <c r="W113" s="35">
        <f ca="1">(((_xlfn.XLOOKUP(YEAR($B113),'Oferta Producto 1'!$B$8:$B$19,'Oferta Producto 1'!$E$8:$E$19))*$AD113)/$AB113)/24</f>
        <v>0</v>
      </c>
      <c r="X113" s="35">
        <f ca="1">(((_xlfn.XLOOKUP(YEAR($B113),'Oferta Producto 1'!$B$8:$B$19,'Oferta Producto 1'!$E$8:$E$19))*$AD113)/$AB113)/24</f>
        <v>0</v>
      </c>
      <c r="Y113" s="35">
        <f ca="1">(((_xlfn.XLOOKUP(YEAR($B113),'Oferta Producto 1'!$B$8:$B$19,'Oferta Producto 1'!$E$8:$E$19))*$AD113)/$AB113)/24</f>
        <v>0</v>
      </c>
      <c r="Z113" s="35">
        <f ca="1">(((_xlfn.XLOOKUP(YEAR($B113),'Oferta Producto 1'!$B$8:$B$19,'Oferta Producto 1'!$E$8:$E$19))*$AD113)/$AB113)/24</f>
        <v>0</v>
      </c>
      <c r="AA113" s="35">
        <f t="shared" ca="1" si="9"/>
        <v>0</v>
      </c>
      <c r="AB113" s="28">
        <f t="shared" si="7"/>
        <v>31</v>
      </c>
      <c r="AC113" s="42">
        <f t="shared" ca="1" si="8"/>
        <v>0</v>
      </c>
      <c r="AD113" s="43">
        <v>8.3332439723826701E-2</v>
      </c>
      <c r="AE113"/>
    </row>
    <row r="114" spans="1:31" ht="15.75" thickBot="1">
      <c r="A114" s="23">
        <f t="shared" si="6"/>
        <v>2035</v>
      </c>
      <c r="B114" s="27">
        <v>49310</v>
      </c>
      <c r="C114" s="35">
        <f ca="1">(((_xlfn.XLOOKUP(YEAR($B114),'Oferta Producto 1'!$B$8:$B$19,'Oferta Producto 1'!$E$8:$E$19))*$AD114)/$AB114)/24</f>
        <v>0</v>
      </c>
      <c r="D114" s="35">
        <f ca="1">(((_xlfn.XLOOKUP(YEAR($B114),'Oferta Producto 1'!$B$8:$B$19,'Oferta Producto 1'!$E$8:$E$19))*$AD114)/$AB114)/24</f>
        <v>0</v>
      </c>
      <c r="E114" s="35">
        <f ca="1">(((_xlfn.XLOOKUP(YEAR($B114),'Oferta Producto 1'!$B$8:$B$19,'Oferta Producto 1'!$E$8:$E$19))*$AD114)/$AB114)/24</f>
        <v>0</v>
      </c>
      <c r="F114" s="35">
        <f ca="1">(((_xlfn.XLOOKUP(YEAR($B114),'Oferta Producto 1'!$B$8:$B$19,'Oferta Producto 1'!$E$8:$E$19))*$AD114)/$AB114)/24</f>
        <v>0</v>
      </c>
      <c r="G114" s="35">
        <f ca="1">(((_xlfn.XLOOKUP(YEAR($B114),'Oferta Producto 1'!$B$8:$B$19,'Oferta Producto 1'!$E$8:$E$19))*$AD114)/$AB114)/24</f>
        <v>0</v>
      </c>
      <c r="H114" s="35">
        <f ca="1">(((_xlfn.XLOOKUP(YEAR($B114),'Oferta Producto 1'!$B$8:$B$19,'Oferta Producto 1'!$E$8:$E$19))*$AD114)/$AB114)/24</f>
        <v>0</v>
      </c>
      <c r="I114" s="35">
        <f ca="1">(((_xlfn.XLOOKUP(YEAR($B114),'Oferta Producto 1'!$B$8:$B$19,'Oferta Producto 1'!$E$8:$E$19))*$AD114)/$AB114)/24</f>
        <v>0</v>
      </c>
      <c r="J114" s="35">
        <f ca="1">(((_xlfn.XLOOKUP(YEAR($B114),'Oferta Producto 1'!$B$8:$B$19,'Oferta Producto 1'!$E$8:$E$19))*$AD114)/$AB114)/24</f>
        <v>0</v>
      </c>
      <c r="K114" s="35">
        <f ca="1">(((_xlfn.XLOOKUP(YEAR($B114),'Oferta Producto 1'!$B$8:$B$19,'Oferta Producto 1'!$E$8:$E$19))*$AD114)/$AB114)/24</f>
        <v>0</v>
      </c>
      <c r="L114" s="35">
        <f ca="1">(((_xlfn.XLOOKUP(YEAR($B114),'Oferta Producto 1'!$B$8:$B$19,'Oferta Producto 1'!$E$8:$E$19))*$AD114)/$AB114)/24</f>
        <v>0</v>
      </c>
      <c r="M114" s="35">
        <f ca="1">(((_xlfn.XLOOKUP(YEAR($B114),'Oferta Producto 1'!$B$8:$B$19,'Oferta Producto 1'!$E$8:$E$19))*$AD114)/$AB114)/24</f>
        <v>0</v>
      </c>
      <c r="N114" s="35">
        <f ca="1">(((_xlfn.XLOOKUP(YEAR($B114),'Oferta Producto 1'!$B$8:$B$19,'Oferta Producto 1'!$E$8:$E$19))*$AD114)/$AB114)/24</f>
        <v>0</v>
      </c>
      <c r="O114" s="35">
        <f ca="1">(((_xlfn.XLOOKUP(YEAR($B114),'Oferta Producto 1'!$B$8:$B$19,'Oferta Producto 1'!$E$8:$E$19))*$AD114)/$AB114)/24</f>
        <v>0</v>
      </c>
      <c r="P114" s="35">
        <f ca="1">(((_xlfn.XLOOKUP(YEAR($B114),'Oferta Producto 1'!$B$8:$B$19,'Oferta Producto 1'!$E$8:$E$19))*$AD114)/$AB114)/24</f>
        <v>0</v>
      </c>
      <c r="Q114" s="35">
        <f ca="1">(((_xlfn.XLOOKUP(YEAR($B114),'Oferta Producto 1'!$B$8:$B$19,'Oferta Producto 1'!$E$8:$E$19))*$AD114)/$AB114)/24</f>
        <v>0</v>
      </c>
      <c r="R114" s="35">
        <f ca="1">(((_xlfn.XLOOKUP(YEAR($B114),'Oferta Producto 1'!$B$8:$B$19,'Oferta Producto 1'!$E$8:$E$19))*$AD114)/$AB114)/24</f>
        <v>0</v>
      </c>
      <c r="S114" s="35">
        <f ca="1">(((_xlfn.XLOOKUP(YEAR($B114),'Oferta Producto 1'!$B$8:$B$19,'Oferta Producto 1'!$E$8:$E$19))*$AD114)/$AB114)/24</f>
        <v>0</v>
      </c>
      <c r="T114" s="35">
        <f ca="1">(((_xlfn.XLOOKUP(YEAR($B114),'Oferta Producto 1'!$B$8:$B$19,'Oferta Producto 1'!$E$8:$E$19))*$AD114)/$AB114)/24</f>
        <v>0</v>
      </c>
      <c r="U114" s="35">
        <f ca="1">(((_xlfn.XLOOKUP(YEAR($B114),'Oferta Producto 1'!$B$8:$B$19,'Oferta Producto 1'!$E$8:$E$19))*$AD114)/$AB114)/24</f>
        <v>0</v>
      </c>
      <c r="V114" s="35">
        <f ca="1">(((_xlfn.XLOOKUP(YEAR($B114),'Oferta Producto 1'!$B$8:$B$19,'Oferta Producto 1'!$E$8:$E$19))*$AD114)/$AB114)/24</f>
        <v>0</v>
      </c>
      <c r="W114" s="35">
        <f ca="1">(((_xlfn.XLOOKUP(YEAR($B114),'Oferta Producto 1'!$B$8:$B$19,'Oferta Producto 1'!$E$8:$E$19))*$AD114)/$AB114)/24</f>
        <v>0</v>
      </c>
      <c r="X114" s="35">
        <f ca="1">(((_xlfn.XLOOKUP(YEAR($B114),'Oferta Producto 1'!$B$8:$B$19,'Oferta Producto 1'!$E$8:$E$19))*$AD114)/$AB114)/24</f>
        <v>0</v>
      </c>
      <c r="Y114" s="35">
        <f ca="1">(((_xlfn.XLOOKUP(YEAR($B114),'Oferta Producto 1'!$B$8:$B$19,'Oferta Producto 1'!$E$8:$E$19))*$AD114)/$AB114)/24</f>
        <v>0</v>
      </c>
      <c r="Z114" s="35">
        <f ca="1">(((_xlfn.XLOOKUP(YEAR($B114),'Oferta Producto 1'!$B$8:$B$19,'Oferta Producto 1'!$E$8:$E$19))*$AD114)/$AB114)/24</f>
        <v>0</v>
      </c>
      <c r="AA114" s="35">
        <f t="shared" ca="1" si="9"/>
        <v>0</v>
      </c>
      <c r="AB114" s="28">
        <f t="shared" si="7"/>
        <v>31</v>
      </c>
      <c r="AC114" s="42">
        <f t="shared" ca="1" si="8"/>
        <v>0</v>
      </c>
      <c r="AD114" s="43">
        <v>8.3026652081237898E-2</v>
      </c>
      <c r="AE114"/>
    </row>
    <row r="115" spans="1:31" ht="15.75" thickBot="1">
      <c r="A115" s="23">
        <f t="shared" si="6"/>
        <v>2035</v>
      </c>
      <c r="B115" s="27">
        <v>49341</v>
      </c>
      <c r="C115" s="35">
        <f ca="1">(((_xlfn.XLOOKUP(YEAR($B115),'Oferta Producto 1'!$B$8:$B$19,'Oferta Producto 1'!$E$8:$E$19))*$AD115)/$AB115)/24</f>
        <v>0</v>
      </c>
      <c r="D115" s="35">
        <f ca="1">(((_xlfn.XLOOKUP(YEAR($B115),'Oferta Producto 1'!$B$8:$B$19,'Oferta Producto 1'!$E$8:$E$19))*$AD115)/$AB115)/24</f>
        <v>0</v>
      </c>
      <c r="E115" s="35">
        <f ca="1">(((_xlfn.XLOOKUP(YEAR($B115),'Oferta Producto 1'!$B$8:$B$19,'Oferta Producto 1'!$E$8:$E$19))*$AD115)/$AB115)/24</f>
        <v>0</v>
      </c>
      <c r="F115" s="35">
        <f ca="1">(((_xlfn.XLOOKUP(YEAR($B115),'Oferta Producto 1'!$B$8:$B$19,'Oferta Producto 1'!$E$8:$E$19))*$AD115)/$AB115)/24</f>
        <v>0</v>
      </c>
      <c r="G115" s="35">
        <f ca="1">(((_xlfn.XLOOKUP(YEAR($B115),'Oferta Producto 1'!$B$8:$B$19,'Oferta Producto 1'!$E$8:$E$19))*$AD115)/$AB115)/24</f>
        <v>0</v>
      </c>
      <c r="H115" s="35">
        <f ca="1">(((_xlfn.XLOOKUP(YEAR($B115),'Oferta Producto 1'!$B$8:$B$19,'Oferta Producto 1'!$E$8:$E$19))*$AD115)/$AB115)/24</f>
        <v>0</v>
      </c>
      <c r="I115" s="35">
        <f ca="1">(((_xlfn.XLOOKUP(YEAR($B115),'Oferta Producto 1'!$B$8:$B$19,'Oferta Producto 1'!$E$8:$E$19))*$AD115)/$AB115)/24</f>
        <v>0</v>
      </c>
      <c r="J115" s="35">
        <f ca="1">(((_xlfn.XLOOKUP(YEAR($B115),'Oferta Producto 1'!$B$8:$B$19,'Oferta Producto 1'!$E$8:$E$19))*$AD115)/$AB115)/24</f>
        <v>0</v>
      </c>
      <c r="K115" s="35">
        <f ca="1">(((_xlfn.XLOOKUP(YEAR($B115),'Oferta Producto 1'!$B$8:$B$19,'Oferta Producto 1'!$E$8:$E$19))*$AD115)/$AB115)/24</f>
        <v>0</v>
      </c>
      <c r="L115" s="35">
        <f ca="1">(((_xlfn.XLOOKUP(YEAR($B115),'Oferta Producto 1'!$B$8:$B$19,'Oferta Producto 1'!$E$8:$E$19))*$AD115)/$AB115)/24</f>
        <v>0</v>
      </c>
      <c r="M115" s="35">
        <f ca="1">(((_xlfn.XLOOKUP(YEAR($B115),'Oferta Producto 1'!$B$8:$B$19,'Oferta Producto 1'!$E$8:$E$19))*$AD115)/$AB115)/24</f>
        <v>0</v>
      </c>
      <c r="N115" s="35">
        <f ca="1">(((_xlfn.XLOOKUP(YEAR($B115),'Oferta Producto 1'!$B$8:$B$19,'Oferta Producto 1'!$E$8:$E$19))*$AD115)/$AB115)/24</f>
        <v>0</v>
      </c>
      <c r="O115" s="35">
        <f ca="1">(((_xlfn.XLOOKUP(YEAR($B115),'Oferta Producto 1'!$B$8:$B$19,'Oferta Producto 1'!$E$8:$E$19))*$AD115)/$AB115)/24</f>
        <v>0</v>
      </c>
      <c r="P115" s="35">
        <f ca="1">(((_xlfn.XLOOKUP(YEAR($B115),'Oferta Producto 1'!$B$8:$B$19,'Oferta Producto 1'!$E$8:$E$19))*$AD115)/$AB115)/24</f>
        <v>0</v>
      </c>
      <c r="Q115" s="35">
        <f ca="1">(((_xlfn.XLOOKUP(YEAR($B115),'Oferta Producto 1'!$B$8:$B$19,'Oferta Producto 1'!$E$8:$E$19))*$AD115)/$AB115)/24</f>
        <v>0</v>
      </c>
      <c r="R115" s="35">
        <f ca="1">(((_xlfn.XLOOKUP(YEAR($B115),'Oferta Producto 1'!$B$8:$B$19,'Oferta Producto 1'!$E$8:$E$19))*$AD115)/$AB115)/24</f>
        <v>0</v>
      </c>
      <c r="S115" s="35">
        <f ca="1">(((_xlfn.XLOOKUP(YEAR($B115),'Oferta Producto 1'!$B$8:$B$19,'Oferta Producto 1'!$E$8:$E$19))*$AD115)/$AB115)/24</f>
        <v>0</v>
      </c>
      <c r="T115" s="35">
        <f ca="1">(((_xlfn.XLOOKUP(YEAR($B115),'Oferta Producto 1'!$B$8:$B$19,'Oferta Producto 1'!$E$8:$E$19))*$AD115)/$AB115)/24</f>
        <v>0</v>
      </c>
      <c r="U115" s="35">
        <f ca="1">(((_xlfn.XLOOKUP(YEAR($B115),'Oferta Producto 1'!$B$8:$B$19,'Oferta Producto 1'!$E$8:$E$19))*$AD115)/$AB115)/24</f>
        <v>0</v>
      </c>
      <c r="V115" s="35">
        <f ca="1">(((_xlfn.XLOOKUP(YEAR($B115),'Oferta Producto 1'!$B$8:$B$19,'Oferta Producto 1'!$E$8:$E$19))*$AD115)/$AB115)/24</f>
        <v>0</v>
      </c>
      <c r="W115" s="35">
        <f ca="1">(((_xlfn.XLOOKUP(YEAR($B115),'Oferta Producto 1'!$B$8:$B$19,'Oferta Producto 1'!$E$8:$E$19))*$AD115)/$AB115)/24</f>
        <v>0</v>
      </c>
      <c r="X115" s="35">
        <f ca="1">(((_xlfn.XLOOKUP(YEAR($B115),'Oferta Producto 1'!$B$8:$B$19,'Oferta Producto 1'!$E$8:$E$19))*$AD115)/$AB115)/24</f>
        <v>0</v>
      </c>
      <c r="Y115" s="35">
        <f ca="1">(((_xlfn.XLOOKUP(YEAR($B115),'Oferta Producto 1'!$B$8:$B$19,'Oferta Producto 1'!$E$8:$E$19))*$AD115)/$AB115)/24</f>
        <v>0</v>
      </c>
      <c r="Z115" s="35">
        <f ca="1">(((_xlfn.XLOOKUP(YEAR($B115),'Oferta Producto 1'!$B$8:$B$19,'Oferta Producto 1'!$E$8:$E$19))*$AD115)/$AB115)/24</f>
        <v>0</v>
      </c>
      <c r="AA115" s="35">
        <f t="shared" ca="1" si="9"/>
        <v>0</v>
      </c>
      <c r="AB115" s="28">
        <f t="shared" si="7"/>
        <v>28</v>
      </c>
      <c r="AC115" s="42">
        <f t="shared" ca="1" si="8"/>
        <v>0</v>
      </c>
      <c r="AD115" s="43">
        <v>8.4603869949157195E-2</v>
      </c>
      <c r="AE115"/>
    </row>
    <row r="116" spans="1:31" ht="15.75" thickBot="1">
      <c r="A116" s="23">
        <f t="shared" si="6"/>
        <v>2035</v>
      </c>
      <c r="B116" s="27">
        <v>49369</v>
      </c>
      <c r="C116" s="35">
        <f ca="1">(((_xlfn.XLOOKUP(YEAR($B116),'Oferta Producto 1'!$B$8:$B$19,'Oferta Producto 1'!$E$8:$E$19))*$AD116)/$AB116)/24</f>
        <v>0</v>
      </c>
      <c r="D116" s="35">
        <f ca="1">(((_xlfn.XLOOKUP(YEAR($B116),'Oferta Producto 1'!$B$8:$B$19,'Oferta Producto 1'!$E$8:$E$19))*$AD116)/$AB116)/24</f>
        <v>0</v>
      </c>
      <c r="E116" s="35">
        <f ca="1">(((_xlfn.XLOOKUP(YEAR($B116),'Oferta Producto 1'!$B$8:$B$19,'Oferta Producto 1'!$E$8:$E$19))*$AD116)/$AB116)/24</f>
        <v>0</v>
      </c>
      <c r="F116" s="35">
        <f ca="1">(((_xlfn.XLOOKUP(YEAR($B116),'Oferta Producto 1'!$B$8:$B$19,'Oferta Producto 1'!$E$8:$E$19))*$AD116)/$AB116)/24</f>
        <v>0</v>
      </c>
      <c r="G116" s="35">
        <f ca="1">(((_xlfn.XLOOKUP(YEAR($B116),'Oferta Producto 1'!$B$8:$B$19,'Oferta Producto 1'!$E$8:$E$19))*$AD116)/$AB116)/24</f>
        <v>0</v>
      </c>
      <c r="H116" s="35">
        <f ca="1">(((_xlfn.XLOOKUP(YEAR($B116),'Oferta Producto 1'!$B$8:$B$19,'Oferta Producto 1'!$E$8:$E$19))*$AD116)/$AB116)/24</f>
        <v>0</v>
      </c>
      <c r="I116" s="35">
        <f ca="1">(((_xlfn.XLOOKUP(YEAR($B116),'Oferta Producto 1'!$B$8:$B$19,'Oferta Producto 1'!$E$8:$E$19))*$AD116)/$AB116)/24</f>
        <v>0</v>
      </c>
      <c r="J116" s="35">
        <f ca="1">(((_xlfn.XLOOKUP(YEAR($B116),'Oferta Producto 1'!$B$8:$B$19,'Oferta Producto 1'!$E$8:$E$19))*$AD116)/$AB116)/24</f>
        <v>0</v>
      </c>
      <c r="K116" s="35">
        <f ca="1">(((_xlfn.XLOOKUP(YEAR($B116),'Oferta Producto 1'!$B$8:$B$19,'Oferta Producto 1'!$E$8:$E$19))*$AD116)/$AB116)/24</f>
        <v>0</v>
      </c>
      <c r="L116" s="35">
        <f ca="1">(((_xlfn.XLOOKUP(YEAR($B116),'Oferta Producto 1'!$B$8:$B$19,'Oferta Producto 1'!$E$8:$E$19))*$AD116)/$AB116)/24</f>
        <v>0</v>
      </c>
      <c r="M116" s="35">
        <f ca="1">(((_xlfn.XLOOKUP(YEAR($B116),'Oferta Producto 1'!$B$8:$B$19,'Oferta Producto 1'!$E$8:$E$19))*$AD116)/$AB116)/24</f>
        <v>0</v>
      </c>
      <c r="N116" s="35">
        <f ca="1">(((_xlfn.XLOOKUP(YEAR($B116),'Oferta Producto 1'!$B$8:$B$19,'Oferta Producto 1'!$E$8:$E$19))*$AD116)/$AB116)/24</f>
        <v>0</v>
      </c>
      <c r="O116" s="35">
        <f ca="1">(((_xlfn.XLOOKUP(YEAR($B116),'Oferta Producto 1'!$B$8:$B$19,'Oferta Producto 1'!$E$8:$E$19))*$AD116)/$AB116)/24</f>
        <v>0</v>
      </c>
      <c r="P116" s="35">
        <f ca="1">(((_xlfn.XLOOKUP(YEAR($B116),'Oferta Producto 1'!$B$8:$B$19,'Oferta Producto 1'!$E$8:$E$19))*$AD116)/$AB116)/24</f>
        <v>0</v>
      </c>
      <c r="Q116" s="35">
        <f ca="1">(((_xlfn.XLOOKUP(YEAR($B116),'Oferta Producto 1'!$B$8:$B$19,'Oferta Producto 1'!$E$8:$E$19))*$AD116)/$AB116)/24</f>
        <v>0</v>
      </c>
      <c r="R116" s="35">
        <f ca="1">(((_xlfn.XLOOKUP(YEAR($B116),'Oferta Producto 1'!$B$8:$B$19,'Oferta Producto 1'!$E$8:$E$19))*$AD116)/$AB116)/24</f>
        <v>0</v>
      </c>
      <c r="S116" s="35">
        <f ca="1">(((_xlfn.XLOOKUP(YEAR($B116),'Oferta Producto 1'!$B$8:$B$19,'Oferta Producto 1'!$E$8:$E$19))*$AD116)/$AB116)/24</f>
        <v>0</v>
      </c>
      <c r="T116" s="35">
        <f ca="1">(((_xlfn.XLOOKUP(YEAR($B116),'Oferta Producto 1'!$B$8:$B$19,'Oferta Producto 1'!$E$8:$E$19))*$AD116)/$AB116)/24</f>
        <v>0</v>
      </c>
      <c r="U116" s="35">
        <f ca="1">(((_xlfn.XLOOKUP(YEAR($B116),'Oferta Producto 1'!$B$8:$B$19,'Oferta Producto 1'!$E$8:$E$19))*$AD116)/$AB116)/24</f>
        <v>0</v>
      </c>
      <c r="V116" s="35">
        <f ca="1">(((_xlfn.XLOOKUP(YEAR($B116),'Oferta Producto 1'!$B$8:$B$19,'Oferta Producto 1'!$E$8:$E$19))*$AD116)/$AB116)/24</f>
        <v>0</v>
      </c>
      <c r="W116" s="35">
        <f ca="1">(((_xlfn.XLOOKUP(YEAR($B116),'Oferta Producto 1'!$B$8:$B$19,'Oferta Producto 1'!$E$8:$E$19))*$AD116)/$AB116)/24</f>
        <v>0</v>
      </c>
      <c r="X116" s="35">
        <f ca="1">(((_xlfn.XLOOKUP(YEAR($B116),'Oferta Producto 1'!$B$8:$B$19,'Oferta Producto 1'!$E$8:$E$19))*$AD116)/$AB116)/24</f>
        <v>0</v>
      </c>
      <c r="Y116" s="35">
        <f ca="1">(((_xlfn.XLOOKUP(YEAR($B116),'Oferta Producto 1'!$B$8:$B$19,'Oferta Producto 1'!$E$8:$E$19))*$AD116)/$AB116)/24</f>
        <v>0</v>
      </c>
      <c r="Z116" s="35">
        <f ca="1">(((_xlfn.XLOOKUP(YEAR($B116),'Oferta Producto 1'!$B$8:$B$19,'Oferta Producto 1'!$E$8:$E$19))*$AD116)/$AB116)/24</f>
        <v>0</v>
      </c>
      <c r="AA116" s="35">
        <f t="shared" ca="1" si="9"/>
        <v>0</v>
      </c>
      <c r="AB116" s="28">
        <f t="shared" si="7"/>
        <v>31</v>
      </c>
      <c r="AC116" s="42">
        <f t="shared" ca="1" si="8"/>
        <v>0</v>
      </c>
      <c r="AD116" s="43">
        <v>8.3026652081237898E-2</v>
      </c>
      <c r="AE116"/>
    </row>
    <row r="117" spans="1:31" ht="15.75" thickBot="1">
      <c r="A117" s="23">
        <f t="shared" si="6"/>
        <v>2035</v>
      </c>
      <c r="B117" s="27">
        <v>49400</v>
      </c>
      <c r="C117" s="35">
        <f ca="1">(((_xlfn.XLOOKUP(YEAR($B117),'Oferta Producto 1'!$B$8:$B$19,'Oferta Producto 1'!$E$8:$E$19))*$AD117)/$AB117)/24</f>
        <v>0</v>
      </c>
      <c r="D117" s="35">
        <f ca="1">(((_xlfn.XLOOKUP(YEAR($B117),'Oferta Producto 1'!$B$8:$B$19,'Oferta Producto 1'!$E$8:$E$19))*$AD117)/$AB117)/24</f>
        <v>0</v>
      </c>
      <c r="E117" s="35">
        <f ca="1">(((_xlfn.XLOOKUP(YEAR($B117),'Oferta Producto 1'!$B$8:$B$19,'Oferta Producto 1'!$E$8:$E$19))*$AD117)/$AB117)/24</f>
        <v>0</v>
      </c>
      <c r="F117" s="35">
        <f ca="1">(((_xlfn.XLOOKUP(YEAR($B117),'Oferta Producto 1'!$B$8:$B$19,'Oferta Producto 1'!$E$8:$E$19))*$AD117)/$AB117)/24</f>
        <v>0</v>
      </c>
      <c r="G117" s="35">
        <f ca="1">(((_xlfn.XLOOKUP(YEAR($B117),'Oferta Producto 1'!$B$8:$B$19,'Oferta Producto 1'!$E$8:$E$19))*$AD117)/$AB117)/24</f>
        <v>0</v>
      </c>
      <c r="H117" s="35">
        <f ca="1">(((_xlfn.XLOOKUP(YEAR($B117),'Oferta Producto 1'!$B$8:$B$19,'Oferta Producto 1'!$E$8:$E$19))*$AD117)/$AB117)/24</f>
        <v>0</v>
      </c>
      <c r="I117" s="35">
        <f ca="1">(((_xlfn.XLOOKUP(YEAR($B117),'Oferta Producto 1'!$B$8:$B$19,'Oferta Producto 1'!$E$8:$E$19))*$AD117)/$AB117)/24</f>
        <v>0</v>
      </c>
      <c r="J117" s="35">
        <f ca="1">(((_xlfn.XLOOKUP(YEAR($B117),'Oferta Producto 1'!$B$8:$B$19,'Oferta Producto 1'!$E$8:$E$19))*$AD117)/$AB117)/24</f>
        <v>0</v>
      </c>
      <c r="K117" s="35">
        <f ca="1">(((_xlfn.XLOOKUP(YEAR($B117),'Oferta Producto 1'!$B$8:$B$19,'Oferta Producto 1'!$E$8:$E$19))*$AD117)/$AB117)/24</f>
        <v>0</v>
      </c>
      <c r="L117" s="35">
        <f ca="1">(((_xlfn.XLOOKUP(YEAR($B117),'Oferta Producto 1'!$B$8:$B$19,'Oferta Producto 1'!$E$8:$E$19))*$AD117)/$AB117)/24</f>
        <v>0</v>
      </c>
      <c r="M117" s="35">
        <f ca="1">(((_xlfn.XLOOKUP(YEAR($B117),'Oferta Producto 1'!$B$8:$B$19,'Oferta Producto 1'!$E$8:$E$19))*$AD117)/$AB117)/24</f>
        <v>0</v>
      </c>
      <c r="N117" s="35">
        <f ca="1">(((_xlfn.XLOOKUP(YEAR($B117),'Oferta Producto 1'!$B$8:$B$19,'Oferta Producto 1'!$E$8:$E$19))*$AD117)/$AB117)/24</f>
        <v>0</v>
      </c>
      <c r="O117" s="35">
        <f ca="1">(((_xlfn.XLOOKUP(YEAR($B117),'Oferta Producto 1'!$B$8:$B$19,'Oferta Producto 1'!$E$8:$E$19))*$AD117)/$AB117)/24</f>
        <v>0</v>
      </c>
      <c r="P117" s="35">
        <f ca="1">(((_xlfn.XLOOKUP(YEAR($B117),'Oferta Producto 1'!$B$8:$B$19,'Oferta Producto 1'!$E$8:$E$19))*$AD117)/$AB117)/24</f>
        <v>0</v>
      </c>
      <c r="Q117" s="35">
        <f ca="1">(((_xlfn.XLOOKUP(YEAR($B117),'Oferta Producto 1'!$B$8:$B$19,'Oferta Producto 1'!$E$8:$E$19))*$AD117)/$AB117)/24</f>
        <v>0</v>
      </c>
      <c r="R117" s="35">
        <f ca="1">(((_xlfn.XLOOKUP(YEAR($B117),'Oferta Producto 1'!$B$8:$B$19,'Oferta Producto 1'!$E$8:$E$19))*$AD117)/$AB117)/24</f>
        <v>0</v>
      </c>
      <c r="S117" s="35">
        <f ca="1">(((_xlfn.XLOOKUP(YEAR($B117),'Oferta Producto 1'!$B$8:$B$19,'Oferta Producto 1'!$E$8:$E$19))*$AD117)/$AB117)/24</f>
        <v>0</v>
      </c>
      <c r="T117" s="35">
        <f ca="1">(((_xlfn.XLOOKUP(YEAR($B117),'Oferta Producto 1'!$B$8:$B$19,'Oferta Producto 1'!$E$8:$E$19))*$AD117)/$AB117)/24</f>
        <v>0</v>
      </c>
      <c r="U117" s="35">
        <f ca="1">(((_xlfn.XLOOKUP(YEAR($B117),'Oferta Producto 1'!$B$8:$B$19,'Oferta Producto 1'!$E$8:$E$19))*$AD117)/$AB117)/24</f>
        <v>0</v>
      </c>
      <c r="V117" s="35">
        <f ca="1">(((_xlfn.XLOOKUP(YEAR($B117),'Oferta Producto 1'!$B$8:$B$19,'Oferta Producto 1'!$E$8:$E$19))*$AD117)/$AB117)/24</f>
        <v>0</v>
      </c>
      <c r="W117" s="35">
        <f ca="1">(((_xlfn.XLOOKUP(YEAR($B117),'Oferta Producto 1'!$B$8:$B$19,'Oferta Producto 1'!$E$8:$E$19))*$AD117)/$AB117)/24</f>
        <v>0</v>
      </c>
      <c r="X117" s="35">
        <f ca="1">(((_xlfn.XLOOKUP(YEAR($B117),'Oferta Producto 1'!$B$8:$B$19,'Oferta Producto 1'!$E$8:$E$19))*$AD117)/$AB117)/24</f>
        <v>0</v>
      </c>
      <c r="Y117" s="35">
        <f ca="1">(((_xlfn.XLOOKUP(YEAR($B117),'Oferta Producto 1'!$B$8:$B$19,'Oferta Producto 1'!$E$8:$E$19))*$AD117)/$AB117)/24</f>
        <v>0</v>
      </c>
      <c r="Z117" s="35">
        <f ca="1">(((_xlfn.XLOOKUP(YEAR($B117),'Oferta Producto 1'!$B$8:$B$19,'Oferta Producto 1'!$E$8:$E$19))*$AD117)/$AB117)/24</f>
        <v>0</v>
      </c>
      <c r="AA117" s="35">
        <f t="shared" ca="1" si="9"/>
        <v>0</v>
      </c>
      <c r="AB117" s="28">
        <f t="shared" si="7"/>
        <v>30</v>
      </c>
      <c r="AC117" s="42">
        <f t="shared" ca="1" si="8"/>
        <v>0</v>
      </c>
      <c r="AD117" s="43">
        <v>8.3552391370544321E-2</v>
      </c>
      <c r="AE117"/>
    </row>
    <row r="118" spans="1:31" ht="15.75" thickBot="1">
      <c r="A118" s="23">
        <f t="shared" si="6"/>
        <v>2035</v>
      </c>
      <c r="B118" s="27">
        <v>49430</v>
      </c>
      <c r="C118" s="35">
        <f ca="1">(((_xlfn.XLOOKUP(YEAR($B118),'Oferta Producto 1'!$B$8:$B$19,'Oferta Producto 1'!$E$8:$E$19))*$AD118)/$AB118)/24</f>
        <v>0</v>
      </c>
      <c r="D118" s="35">
        <f ca="1">(((_xlfn.XLOOKUP(YEAR($B118),'Oferta Producto 1'!$B$8:$B$19,'Oferta Producto 1'!$E$8:$E$19))*$AD118)/$AB118)/24</f>
        <v>0</v>
      </c>
      <c r="E118" s="35">
        <f ca="1">(((_xlfn.XLOOKUP(YEAR($B118),'Oferta Producto 1'!$B$8:$B$19,'Oferta Producto 1'!$E$8:$E$19))*$AD118)/$AB118)/24</f>
        <v>0</v>
      </c>
      <c r="F118" s="35">
        <f ca="1">(((_xlfn.XLOOKUP(YEAR($B118),'Oferta Producto 1'!$B$8:$B$19,'Oferta Producto 1'!$E$8:$E$19))*$AD118)/$AB118)/24</f>
        <v>0</v>
      </c>
      <c r="G118" s="35">
        <f ca="1">(((_xlfn.XLOOKUP(YEAR($B118),'Oferta Producto 1'!$B$8:$B$19,'Oferta Producto 1'!$E$8:$E$19))*$AD118)/$AB118)/24</f>
        <v>0</v>
      </c>
      <c r="H118" s="35">
        <f ca="1">(((_xlfn.XLOOKUP(YEAR($B118),'Oferta Producto 1'!$B$8:$B$19,'Oferta Producto 1'!$E$8:$E$19))*$AD118)/$AB118)/24</f>
        <v>0</v>
      </c>
      <c r="I118" s="35">
        <f ca="1">(((_xlfn.XLOOKUP(YEAR($B118),'Oferta Producto 1'!$B$8:$B$19,'Oferta Producto 1'!$E$8:$E$19))*$AD118)/$AB118)/24</f>
        <v>0</v>
      </c>
      <c r="J118" s="35">
        <f ca="1">(((_xlfn.XLOOKUP(YEAR($B118),'Oferta Producto 1'!$B$8:$B$19,'Oferta Producto 1'!$E$8:$E$19))*$AD118)/$AB118)/24</f>
        <v>0</v>
      </c>
      <c r="K118" s="35">
        <f ca="1">(((_xlfn.XLOOKUP(YEAR($B118),'Oferta Producto 1'!$B$8:$B$19,'Oferta Producto 1'!$E$8:$E$19))*$AD118)/$AB118)/24</f>
        <v>0</v>
      </c>
      <c r="L118" s="35">
        <f ca="1">(((_xlfn.XLOOKUP(YEAR($B118),'Oferta Producto 1'!$B$8:$B$19,'Oferta Producto 1'!$E$8:$E$19))*$AD118)/$AB118)/24</f>
        <v>0</v>
      </c>
      <c r="M118" s="35">
        <f ca="1">(((_xlfn.XLOOKUP(YEAR($B118),'Oferta Producto 1'!$B$8:$B$19,'Oferta Producto 1'!$E$8:$E$19))*$AD118)/$AB118)/24</f>
        <v>0</v>
      </c>
      <c r="N118" s="35">
        <f ca="1">(((_xlfn.XLOOKUP(YEAR($B118),'Oferta Producto 1'!$B$8:$B$19,'Oferta Producto 1'!$E$8:$E$19))*$AD118)/$AB118)/24</f>
        <v>0</v>
      </c>
      <c r="O118" s="35">
        <f ca="1">(((_xlfn.XLOOKUP(YEAR($B118),'Oferta Producto 1'!$B$8:$B$19,'Oferta Producto 1'!$E$8:$E$19))*$AD118)/$AB118)/24</f>
        <v>0</v>
      </c>
      <c r="P118" s="35">
        <f ca="1">(((_xlfn.XLOOKUP(YEAR($B118),'Oferta Producto 1'!$B$8:$B$19,'Oferta Producto 1'!$E$8:$E$19))*$AD118)/$AB118)/24</f>
        <v>0</v>
      </c>
      <c r="Q118" s="35">
        <f ca="1">(((_xlfn.XLOOKUP(YEAR($B118),'Oferta Producto 1'!$B$8:$B$19,'Oferta Producto 1'!$E$8:$E$19))*$AD118)/$AB118)/24</f>
        <v>0</v>
      </c>
      <c r="R118" s="35">
        <f ca="1">(((_xlfn.XLOOKUP(YEAR($B118),'Oferta Producto 1'!$B$8:$B$19,'Oferta Producto 1'!$E$8:$E$19))*$AD118)/$AB118)/24</f>
        <v>0</v>
      </c>
      <c r="S118" s="35">
        <f ca="1">(((_xlfn.XLOOKUP(YEAR($B118),'Oferta Producto 1'!$B$8:$B$19,'Oferta Producto 1'!$E$8:$E$19))*$AD118)/$AB118)/24</f>
        <v>0</v>
      </c>
      <c r="T118" s="35">
        <f ca="1">(((_xlfn.XLOOKUP(YEAR($B118),'Oferta Producto 1'!$B$8:$B$19,'Oferta Producto 1'!$E$8:$E$19))*$AD118)/$AB118)/24</f>
        <v>0</v>
      </c>
      <c r="U118" s="35">
        <f ca="1">(((_xlfn.XLOOKUP(YEAR($B118),'Oferta Producto 1'!$B$8:$B$19,'Oferta Producto 1'!$E$8:$E$19))*$AD118)/$AB118)/24</f>
        <v>0</v>
      </c>
      <c r="V118" s="35">
        <f ca="1">(((_xlfn.XLOOKUP(YEAR($B118),'Oferta Producto 1'!$B$8:$B$19,'Oferta Producto 1'!$E$8:$E$19))*$AD118)/$AB118)/24</f>
        <v>0</v>
      </c>
      <c r="W118" s="35">
        <f ca="1">(((_xlfn.XLOOKUP(YEAR($B118),'Oferta Producto 1'!$B$8:$B$19,'Oferta Producto 1'!$E$8:$E$19))*$AD118)/$AB118)/24</f>
        <v>0</v>
      </c>
      <c r="X118" s="35">
        <f ca="1">(((_xlfn.XLOOKUP(YEAR($B118),'Oferta Producto 1'!$B$8:$B$19,'Oferta Producto 1'!$E$8:$E$19))*$AD118)/$AB118)/24</f>
        <v>0</v>
      </c>
      <c r="Y118" s="35">
        <f ca="1">(((_xlfn.XLOOKUP(YEAR($B118),'Oferta Producto 1'!$B$8:$B$19,'Oferta Producto 1'!$E$8:$E$19))*$AD118)/$AB118)/24</f>
        <v>0</v>
      </c>
      <c r="Z118" s="35">
        <f ca="1">(((_xlfn.XLOOKUP(YEAR($B118),'Oferta Producto 1'!$B$8:$B$19,'Oferta Producto 1'!$E$8:$E$19))*$AD118)/$AB118)/24</f>
        <v>0</v>
      </c>
      <c r="AA118" s="35">
        <f t="shared" ca="1" si="9"/>
        <v>0</v>
      </c>
      <c r="AB118" s="28">
        <f t="shared" si="7"/>
        <v>31</v>
      </c>
      <c r="AC118" s="42">
        <f t="shared" ca="1" si="8"/>
        <v>0</v>
      </c>
      <c r="AD118" s="43">
        <v>8.3026652081237898E-2</v>
      </c>
      <c r="AE118"/>
    </row>
    <row r="119" spans="1:31" ht="15.75" thickBot="1">
      <c r="A119" s="23">
        <f t="shared" si="6"/>
        <v>2035</v>
      </c>
      <c r="B119" s="27">
        <v>49461</v>
      </c>
      <c r="C119" s="35">
        <f ca="1">(((_xlfn.XLOOKUP(YEAR($B119),'Oferta Producto 1'!$B$8:$B$19,'Oferta Producto 1'!$E$8:$E$19))*$AD119)/$AB119)/24</f>
        <v>0</v>
      </c>
      <c r="D119" s="35">
        <f ca="1">(((_xlfn.XLOOKUP(YEAR($B119),'Oferta Producto 1'!$B$8:$B$19,'Oferta Producto 1'!$E$8:$E$19))*$AD119)/$AB119)/24</f>
        <v>0</v>
      </c>
      <c r="E119" s="35">
        <f ca="1">(((_xlfn.XLOOKUP(YEAR($B119),'Oferta Producto 1'!$B$8:$B$19,'Oferta Producto 1'!$E$8:$E$19))*$AD119)/$AB119)/24</f>
        <v>0</v>
      </c>
      <c r="F119" s="35">
        <f ca="1">(((_xlfn.XLOOKUP(YEAR($B119),'Oferta Producto 1'!$B$8:$B$19,'Oferta Producto 1'!$E$8:$E$19))*$AD119)/$AB119)/24</f>
        <v>0</v>
      </c>
      <c r="G119" s="35">
        <f ca="1">(((_xlfn.XLOOKUP(YEAR($B119),'Oferta Producto 1'!$B$8:$B$19,'Oferta Producto 1'!$E$8:$E$19))*$AD119)/$AB119)/24</f>
        <v>0</v>
      </c>
      <c r="H119" s="35">
        <f ca="1">(((_xlfn.XLOOKUP(YEAR($B119),'Oferta Producto 1'!$B$8:$B$19,'Oferta Producto 1'!$E$8:$E$19))*$AD119)/$AB119)/24</f>
        <v>0</v>
      </c>
      <c r="I119" s="35">
        <f ca="1">(((_xlfn.XLOOKUP(YEAR($B119),'Oferta Producto 1'!$B$8:$B$19,'Oferta Producto 1'!$E$8:$E$19))*$AD119)/$AB119)/24</f>
        <v>0</v>
      </c>
      <c r="J119" s="35">
        <f ca="1">(((_xlfn.XLOOKUP(YEAR($B119),'Oferta Producto 1'!$B$8:$B$19,'Oferta Producto 1'!$E$8:$E$19))*$AD119)/$AB119)/24</f>
        <v>0</v>
      </c>
      <c r="K119" s="35">
        <f ca="1">(((_xlfn.XLOOKUP(YEAR($B119),'Oferta Producto 1'!$B$8:$B$19,'Oferta Producto 1'!$E$8:$E$19))*$AD119)/$AB119)/24</f>
        <v>0</v>
      </c>
      <c r="L119" s="35">
        <f ca="1">(((_xlfn.XLOOKUP(YEAR($B119),'Oferta Producto 1'!$B$8:$B$19,'Oferta Producto 1'!$E$8:$E$19))*$AD119)/$AB119)/24</f>
        <v>0</v>
      </c>
      <c r="M119" s="35">
        <f ca="1">(((_xlfn.XLOOKUP(YEAR($B119),'Oferta Producto 1'!$B$8:$B$19,'Oferta Producto 1'!$E$8:$E$19))*$AD119)/$AB119)/24</f>
        <v>0</v>
      </c>
      <c r="N119" s="35">
        <f ca="1">(((_xlfn.XLOOKUP(YEAR($B119),'Oferta Producto 1'!$B$8:$B$19,'Oferta Producto 1'!$E$8:$E$19))*$AD119)/$AB119)/24</f>
        <v>0</v>
      </c>
      <c r="O119" s="35">
        <f ca="1">(((_xlfn.XLOOKUP(YEAR($B119),'Oferta Producto 1'!$B$8:$B$19,'Oferta Producto 1'!$E$8:$E$19))*$AD119)/$AB119)/24</f>
        <v>0</v>
      </c>
      <c r="P119" s="35">
        <f ca="1">(((_xlfn.XLOOKUP(YEAR($B119),'Oferta Producto 1'!$B$8:$B$19,'Oferta Producto 1'!$E$8:$E$19))*$AD119)/$AB119)/24</f>
        <v>0</v>
      </c>
      <c r="Q119" s="35">
        <f ca="1">(((_xlfn.XLOOKUP(YEAR($B119),'Oferta Producto 1'!$B$8:$B$19,'Oferta Producto 1'!$E$8:$E$19))*$AD119)/$AB119)/24</f>
        <v>0</v>
      </c>
      <c r="R119" s="35">
        <f ca="1">(((_xlfn.XLOOKUP(YEAR($B119),'Oferta Producto 1'!$B$8:$B$19,'Oferta Producto 1'!$E$8:$E$19))*$AD119)/$AB119)/24</f>
        <v>0</v>
      </c>
      <c r="S119" s="35">
        <f ca="1">(((_xlfn.XLOOKUP(YEAR($B119),'Oferta Producto 1'!$B$8:$B$19,'Oferta Producto 1'!$E$8:$E$19))*$AD119)/$AB119)/24</f>
        <v>0</v>
      </c>
      <c r="T119" s="35">
        <f ca="1">(((_xlfn.XLOOKUP(YEAR($B119),'Oferta Producto 1'!$B$8:$B$19,'Oferta Producto 1'!$E$8:$E$19))*$AD119)/$AB119)/24</f>
        <v>0</v>
      </c>
      <c r="U119" s="35">
        <f ca="1">(((_xlfn.XLOOKUP(YEAR($B119),'Oferta Producto 1'!$B$8:$B$19,'Oferta Producto 1'!$E$8:$E$19))*$AD119)/$AB119)/24</f>
        <v>0</v>
      </c>
      <c r="V119" s="35">
        <f ca="1">(((_xlfn.XLOOKUP(YEAR($B119),'Oferta Producto 1'!$B$8:$B$19,'Oferta Producto 1'!$E$8:$E$19))*$AD119)/$AB119)/24</f>
        <v>0</v>
      </c>
      <c r="W119" s="35">
        <f ca="1">(((_xlfn.XLOOKUP(YEAR($B119),'Oferta Producto 1'!$B$8:$B$19,'Oferta Producto 1'!$E$8:$E$19))*$AD119)/$AB119)/24</f>
        <v>0</v>
      </c>
      <c r="X119" s="35">
        <f ca="1">(((_xlfn.XLOOKUP(YEAR($B119),'Oferta Producto 1'!$B$8:$B$19,'Oferta Producto 1'!$E$8:$E$19))*$AD119)/$AB119)/24</f>
        <v>0</v>
      </c>
      <c r="Y119" s="35">
        <f ca="1">(((_xlfn.XLOOKUP(YEAR($B119),'Oferta Producto 1'!$B$8:$B$19,'Oferta Producto 1'!$E$8:$E$19))*$AD119)/$AB119)/24</f>
        <v>0</v>
      </c>
      <c r="Z119" s="35">
        <f ca="1">(((_xlfn.XLOOKUP(YEAR($B119),'Oferta Producto 1'!$B$8:$B$19,'Oferta Producto 1'!$E$8:$E$19))*$AD119)/$AB119)/24</f>
        <v>0</v>
      </c>
      <c r="AA119" s="35">
        <f t="shared" ca="1" si="9"/>
        <v>0</v>
      </c>
      <c r="AB119" s="28">
        <f t="shared" si="7"/>
        <v>30</v>
      </c>
      <c r="AC119" s="42">
        <f t="shared" ca="1" si="8"/>
        <v>0</v>
      </c>
      <c r="AD119" s="43">
        <v>8.3552391370544321E-2</v>
      </c>
      <c r="AE119"/>
    </row>
    <row r="120" spans="1:31" ht="15.75" thickBot="1">
      <c r="A120" s="23">
        <f t="shared" si="6"/>
        <v>2035</v>
      </c>
      <c r="B120" s="27">
        <v>49491</v>
      </c>
      <c r="C120" s="35">
        <f ca="1">(((_xlfn.XLOOKUP(YEAR($B120),'Oferta Producto 1'!$B$8:$B$19,'Oferta Producto 1'!$E$8:$E$19))*$AD120)/$AB120)/24</f>
        <v>0</v>
      </c>
      <c r="D120" s="35">
        <f ca="1">(((_xlfn.XLOOKUP(YEAR($B120),'Oferta Producto 1'!$B$8:$B$19,'Oferta Producto 1'!$E$8:$E$19))*$AD120)/$AB120)/24</f>
        <v>0</v>
      </c>
      <c r="E120" s="35">
        <f ca="1">(((_xlfn.XLOOKUP(YEAR($B120),'Oferta Producto 1'!$B$8:$B$19,'Oferta Producto 1'!$E$8:$E$19))*$AD120)/$AB120)/24</f>
        <v>0</v>
      </c>
      <c r="F120" s="35">
        <f ca="1">(((_xlfn.XLOOKUP(YEAR($B120),'Oferta Producto 1'!$B$8:$B$19,'Oferta Producto 1'!$E$8:$E$19))*$AD120)/$AB120)/24</f>
        <v>0</v>
      </c>
      <c r="G120" s="35">
        <f ca="1">(((_xlfn.XLOOKUP(YEAR($B120),'Oferta Producto 1'!$B$8:$B$19,'Oferta Producto 1'!$E$8:$E$19))*$AD120)/$AB120)/24</f>
        <v>0</v>
      </c>
      <c r="H120" s="35">
        <f ca="1">(((_xlfn.XLOOKUP(YEAR($B120),'Oferta Producto 1'!$B$8:$B$19,'Oferta Producto 1'!$E$8:$E$19))*$AD120)/$AB120)/24</f>
        <v>0</v>
      </c>
      <c r="I120" s="35">
        <f ca="1">(((_xlfn.XLOOKUP(YEAR($B120),'Oferta Producto 1'!$B$8:$B$19,'Oferta Producto 1'!$E$8:$E$19))*$AD120)/$AB120)/24</f>
        <v>0</v>
      </c>
      <c r="J120" s="35">
        <f ca="1">(((_xlfn.XLOOKUP(YEAR($B120),'Oferta Producto 1'!$B$8:$B$19,'Oferta Producto 1'!$E$8:$E$19))*$AD120)/$AB120)/24</f>
        <v>0</v>
      </c>
      <c r="K120" s="35">
        <f ca="1">(((_xlfn.XLOOKUP(YEAR($B120),'Oferta Producto 1'!$B$8:$B$19,'Oferta Producto 1'!$E$8:$E$19))*$AD120)/$AB120)/24</f>
        <v>0</v>
      </c>
      <c r="L120" s="35">
        <f ca="1">(((_xlfn.XLOOKUP(YEAR($B120),'Oferta Producto 1'!$B$8:$B$19,'Oferta Producto 1'!$E$8:$E$19))*$AD120)/$AB120)/24</f>
        <v>0</v>
      </c>
      <c r="M120" s="35">
        <f ca="1">(((_xlfn.XLOOKUP(YEAR($B120),'Oferta Producto 1'!$B$8:$B$19,'Oferta Producto 1'!$E$8:$E$19))*$AD120)/$AB120)/24</f>
        <v>0</v>
      </c>
      <c r="N120" s="35">
        <f ca="1">(((_xlfn.XLOOKUP(YEAR($B120),'Oferta Producto 1'!$B$8:$B$19,'Oferta Producto 1'!$E$8:$E$19))*$AD120)/$AB120)/24</f>
        <v>0</v>
      </c>
      <c r="O120" s="35">
        <f ca="1">(((_xlfn.XLOOKUP(YEAR($B120),'Oferta Producto 1'!$B$8:$B$19,'Oferta Producto 1'!$E$8:$E$19))*$AD120)/$AB120)/24</f>
        <v>0</v>
      </c>
      <c r="P120" s="35">
        <f ca="1">(((_xlfn.XLOOKUP(YEAR($B120),'Oferta Producto 1'!$B$8:$B$19,'Oferta Producto 1'!$E$8:$E$19))*$AD120)/$AB120)/24</f>
        <v>0</v>
      </c>
      <c r="Q120" s="35">
        <f ca="1">(((_xlfn.XLOOKUP(YEAR($B120),'Oferta Producto 1'!$B$8:$B$19,'Oferta Producto 1'!$E$8:$E$19))*$AD120)/$AB120)/24</f>
        <v>0</v>
      </c>
      <c r="R120" s="35">
        <f ca="1">(((_xlfn.XLOOKUP(YEAR($B120),'Oferta Producto 1'!$B$8:$B$19,'Oferta Producto 1'!$E$8:$E$19))*$AD120)/$AB120)/24</f>
        <v>0</v>
      </c>
      <c r="S120" s="35">
        <f ca="1">(((_xlfn.XLOOKUP(YEAR($B120),'Oferta Producto 1'!$B$8:$B$19,'Oferta Producto 1'!$E$8:$E$19))*$AD120)/$AB120)/24</f>
        <v>0</v>
      </c>
      <c r="T120" s="35">
        <f ca="1">(((_xlfn.XLOOKUP(YEAR($B120),'Oferta Producto 1'!$B$8:$B$19,'Oferta Producto 1'!$E$8:$E$19))*$AD120)/$AB120)/24</f>
        <v>0</v>
      </c>
      <c r="U120" s="35">
        <f ca="1">(((_xlfn.XLOOKUP(YEAR($B120),'Oferta Producto 1'!$B$8:$B$19,'Oferta Producto 1'!$E$8:$E$19))*$AD120)/$AB120)/24</f>
        <v>0</v>
      </c>
      <c r="V120" s="35">
        <f ca="1">(((_xlfn.XLOOKUP(YEAR($B120),'Oferta Producto 1'!$B$8:$B$19,'Oferta Producto 1'!$E$8:$E$19))*$AD120)/$AB120)/24</f>
        <v>0</v>
      </c>
      <c r="W120" s="35">
        <f ca="1">(((_xlfn.XLOOKUP(YEAR($B120),'Oferta Producto 1'!$B$8:$B$19,'Oferta Producto 1'!$E$8:$E$19))*$AD120)/$AB120)/24</f>
        <v>0</v>
      </c>
      <c r="X120" s="35">
        <f ca="1">(((_xlfn.XLOOKUP(YEAR($B120),'Oferta Producto 1'!$B$8:$B$19,'Oferta Producto 1'!$E$8:$E$19))*$AD120)/$AB120)/24</f>
        <v>0</v>
      </c>
      <c r="Y120" s="35">
        <f ca="1">(((_xlfn.XLOOKUP(YEAR($B120),'Oferta Producto 1'!$B$8:$B$19,'Oferta Producto 1'!$E$8:$E$19))*$AD120)/$AB120)/24</f>
        <v>0</v>
      </c>
      <c r="Z120" s="35">
        <f ca="1">(((_xlfn.XLOOKUP(YEAR($B120),'Oferta Producto 1'!$B$8:$B$19,'Oferta Producto 1'!$E$8:$E$19))*$AD120)/$AB120)/24</f>
        <v>0</v>
      </c>
      <c r="AA120" s="35">
        <f t="shared" ca="1" si="9"/>
        <v>0</v>
      </c>
      <c r="AB120" s="28">
        <f t="shared" si="7"/>
        <v>31</v>
      </c>
      <c r="AC120" s="42">
        <f t="shared" ca="1" si="8"/>
        <v>0</v>
      </c>
      <c r="AD120" s="43">
        <v>8.3026652081237898E-2</v>
      </c>
      <c r="AE120"/>
    </row>
    <row r="121" spans="1:31" ht="15.75" thickBot="1">
      <c r="A121" s="23">
        <f t="shared" si="6"/>
        <v>2035</v>
      </c>
      <c r="B121" s="27">
        <v>49522</v>
      </c>
      <c r="C121" s="35">
        <f ca="1">(((_xlfn.XLOOKUP(YEAR($B121),'Oferta Producto 1'!$B$8:$B$19,'Oferta Producto 1'!$E$8:$E$19))*$AD121)/$AB121)/24</f>
        <v>0</v>
      </c>
      <c r="D121" s="35">
        <f ca="1">(((_xlfn.XLOOKUP(YEAR($B121),'Oferta Producto 1'!$B$8:$B$19,'Oferta Producto 1'!$E$8:$E$19))*$AD121)/$AB121)/24</f>
        <v>0</v>
      </c>
      <c r="E121" s="35">
        <f ca="1">(((_xlfn.XLOOKUP(YEAR($B121),'Oferta Producto 1'!$B$8:$B$19,'Oferta Producto 1'!$E$8:$E$19))*$AD121)/$AB121)/24</f>
        <v>0</v>
      </c>
      <c r="F121" s="35">
        <f ca="1">(((_xlfn.XLOOKUP(YEAR($B121),'Oferta Producto 1'!$B$8:$B$19,'Oferta Producto 1'!$E$8:$E$19))*$AD121)/$AB121)/24</f>
        <v>0</v>
      </c>
      <c r="G121" s="35">
        <f ca="1">(((_xlfn.XLOOKUP(YEAR($B121),'Oferta Producto 1'!$B$8:$B$19,'Oferta Producto 1'!$E$8:$E$19))*$AD121)/$AB121)/24</f>
        <v>0</v>
      </c>
      <c r="H121" s="35">
        <f ca="1">(((_xlfn.XLOOKUP(YEAR($B121),'Oferta Producto 1'!$B$8:$B$19,'Oferta Producto 1'!$E$8:$E$19))*$AD121)/$AB121)/24</f>
        <v>0</v>
      </c>
      <c r="I121" s="35">
        <f ca="1">(((_xlfn.XLOOKUP(YEAR($B121),'Oferta Producto 1'!$B$8:$B$19,'Oferta Producto 1'!$E$8:$E$19))*$AD121)/$AB121)/24</f>
        <v>0</v>
      </c>
      <c r="J121" s="35">
        <f ca="1">(((_xlfn.XLOOKUP(YEAR($B121),'Oferta Producto 1'!$B$8:$B$19,'Oferta Producto 1'!$E$8:$E$19))*$AD121)/$AB121)/24</f>
        <v>0</v>
      </c>
      <c r="K121" s="35">
        <f ca="1">(((_xlfn.XLOOKUP(YEAR($B121),'Oferta Producto 1'!$B$8:$B$19,'Oferta Producto 1'!$E$8:$E$19))*$AD121)/$AB121)/24</f>
        <v>0</v>
      </c>
      <c r="L121" s="35">
        <f ca="1">(((_xlfn.XLOOKUP(YEAR($B121),'Oferta Producto 1'!$B$8:$B$19,'Oferta Producto 1'!$E$8:$E$19))*$AD121)/$AB121)/24</f>
        <v>0</v>
      </c>
      <c r="M121" s="35">
        <f ca="1">(((_xlfn.XLOOKUP(YEAR($B121),'Oferta Producto 1'!$B$8:$B$19,'Oferta Producto 1'!$E$8:$E$19))*$AD121)/$AB121)/24</f>
        <v>0</v>
      </c>
      <c r="N121" s="35">
        <f ca="1">(((_xlfn.XLOOKUP(YEAR($B121),'Oferta Producto 1'!$B$8:$B$19,'Oferta Producto 1'!$E$8:$E$19))*$AD121)/$AB121)/24</f>
        <v>0</v>
      </c>
      <c r="O121" s="35">
        <f ca="1">(((_xlfn.XLOOKUP(YEAR($B121),'Oferta Producto 1'!$B$8:$B$19,'Oferta Producto 1'!$E$8:$E$19))*$AD121)/$AB121)/24</f>
        <v>0</v>
      </c>
      <c r="P121" s="35">
        <f ca="1">(((_xlfn.XLOOKUP(YEAR($B121),'Oferta Producto 1'!$B$8:$B$19,'Oferta Producto 1'!$E$8:$E$19))*$AD121)/$AB121)/24</f>
        <v>0</v>
      </c>
      <c r="Q121" s="35">
        <f ca="1">(((_xlfn.XLOOKUP(YEAR($B121),'Oferta Producto 1'!$B$8:$B$19,'Oferta Producto 1'!$E$8:$E$19))*$AD121)/$AB121)/24</f>
        <v>0</v>
      </c>
      <c r="R121" s="35">
        <f ca="1">(((_xlfn.XLOOKUP(YEAR($B121),'Oferta Producto 1'!$B$8:$B$19,'Oferta Producto 1'!$E$8:$E$19))*$AD121)/$AB121)/24</f>
        <v>0</v>
      </c>
      <c r="S121" s="35">
        <f ca="1">(((_xlfn.XLOOKUP(YEAR($B121),'Oferta Producto 1'!$B$8:$B$19,'Oferta Producto 1'!$E$8:$E$19))*$AD121)/$AB121)/24</f>
        <v>0</v>
      </c>
      <c r="T121" s="35">
        <f ca="1">(((_xlfn.XLOOKUP(YEAR($B121),'Oferta Producto 1'!$B$8:$B$19,'Oferta Producto 1'!$E$8:$E$19))*$AD121)/$AB121)/24</f>
        <v>0</v>
      </c>
      <c r="U121" s="35">
        <f ca="1">(((_xlfn.XLOOKUP(YEAR($B121),'Oferta Producto 1'!$B$8:$B$19,'Oferta Producto 1'!$E$8:$E$19))*$AD121)/$AB121)/24</f>
        <v>0</v>
      </c>
      <c r="V121" s="35">
        <f ca="1">(((_xlfn.XLOOKUP(YEAR($B121),'Oferta Producto 1'!$B$8:$B$19,'Oferta Producto 1'!$E$8:$E$19))*$AD121)/$AB121)/24</f>
        <v>0</v>
      </c>
      <c r="W121" s="35">
        <f ca="1">(((_xlfn.XLOOKUP(YEAR($B121),'Oferta Producto 1'!$B$8:$B$19,'Oferta Producto 1'!$E$8:$E$19))*$AD121)/$AB121)/24</f>
        <v>0</v>
      </c>
      <c r="X121" s="35">
        <f ca="1">(((_xlfn.XLOOKUP(YEAR($B121),'Oferta Producto 1'!$B$8:$B$19,'Oferta Producto 1'!$E$8:$E$19))*$AD121)/$AB121)/24</f>
        <v>0</v>
      </c>
      <c r="Y121" s="35">
        <f ca="1">(((_xlfn.XLOOKUP(YEAR($B121),'Oferta Producto 1'!$B$8:$B$19,'Oferta Producto 1'!$E$8:$E$19))*$AD121)/$AB121)/24</f>
        <v>0</v>
      </c>
      <c r="Z121" s="35">
        <f ca="1">(((_xlfn.XLOOKUP(YEAR($B121),'Oferta Producto 1'!$B$8:$B$19,'Oferta Producto 1'!$E$8:$E$19))*$AD121)/$AB121)/24</f>
        <v>0</v>
      </c>
      <c r="AA121" s="35">
        <f t="shared" ca="1" si="9"/>
        <v>0</v>
      </c>
      <c r="AB121" s="28">
        <f t="shared" si="7"/>
        <v>31</v>
      </c>
      <c r="AC121" s="42">
        <f t="shared" ca="1" si="8"/>
        <v>0</v>
      </c>
      <c r="AD121" s="43">
        <v>8.3026652081237898E-2</v>
      </c>
      <c r="AE121"/>
    </row>
    <row r="122" spans="1:31" ht="15.75" thickBot="1">
      <c r="A122" s="23">
        <f t="shared" si="6"/>
        <v>2035</v>
      </c>
      <c r="B122" s="27">
        <v>49553</v>
      </c>
      <c r="C122" s="35">
        <f ca="1">(((_xlfn.XLOOKUP(YEAR($B122),'Oferta Producto 1'!$B$8:$B$19,'Oferta Producto 1'!$E$8:$E$19))*$AD122)/$AB122)/24</f>
        <v>0</v>
      </c>
      <c r="D122" s="35">
        <f ca="1">(((_xlfn.XLOOKUP(YEAR($B122),'Oferta Producto 1'!$B$8:$B$19,'Oferta Producto 1'!$E$8:$E$19))*$AD122)/$AB122)/24</f>
        <v>0</v>
      </c>
      <c r="E122" s="35">
        <f ca="1">(((_xlfn.XLOOKUP(YEAR($B122),'Oferta Producto 1'!$B$8:$B$19,'Oferta Producto 1'!$E$8:$E$19))*$AD122)/$AB122)/24</f>
        <v>0</v>
      </c>
      <c r="F122" s="35">
        <f ca="1">(((_xlfn.XLOOKUP(YEAR($B122),'Oferta Producto 1'!$B$8:$B$19,'Oferta Producto 1'!$E$8:$E$19))*$AD122)/$AB122)/24</f>
        <v>0</v>
      </c>
      <c r="G122" s="35">
        <f ca="1">(((_xlfn.XLOOKUP(YEAR($B122),'Oferta Producto 1'!$B$8:$B$19,'Oferta Producto 1'!$E$8:$E$19))*$AD122)/$AB122)/24</f>
        <v>0</v>
      </c>
      <c r="H122" s="35">
        <f ca="1">(((_xlfn.XLOOKUP(YEAR($B122),'Oferta Producto 1'!$B$8:$B$19,'Oferta Producto 1'!$E$8:$E$19))*$AD122)/$AB122)/24</f>
        <v>0</v>
      </c>
      <c r="I122" s="35">
        <f ca="1">(((_xlfn.XLOOKUP(YEAR($B122),'Oferta Producto 1'!$B$8:$B$19,'Oferta Producto 1'!$E$8:$E$19))*$AD122)/$AB122)/24</f>
        <v>0</v>
      </c>
      <c r="J122" s="35">
        <f ca="1">(((_xlfn.XLOOKUP(YEAR($B122),'Oferta Producto 1'!$B$8:$B$19,'Oferta Producto 1'!$E$8:$E$19))*$AD122)/$AB122)/24</f>
        <v>0</v>
      </c>
      <c r="K122" s="35">
        <f ca="1">(((_xlfn.XLOOKUP(YEAR($B122),'Oferta Producto 1'!$B$8:$B$19,'Oferta Producto 1'!$E$8:$E$19))*$AD122)/$AB122)/24</f>
        <v>0</v>
      </c>
      <c r="L122" s="35">
        <f ca="1">(((_xlfn.XLOOKUP(YEAR($B122),'Oferta Producto 1'!$B$8:$B$19,'Oferta Producto 1'!$E$8:$E$19))*$AD122)/$AB122)/24</f>
        <v>0</v>
      </c>
      <c r="M122" s="35">
        <f ca="1">(((_xlfn.XLOOKUP(YEAR($B122),'Oferta Producto 1'!$B$8:$B$19,'Oferta Producto 1'!$E$8:$E$19))*$AD122)/$AB122)/24</f>
        <v>0</v>
      </c>
      <c r="N122" s="35">
        <f ca="1">(((_xlfn.XLOOKUP(YEAR($B122),'Oferta Producto 1'!$B$8:$B$19,'Oferta Producto 1'!$E$8:$E$19))*$AD122)/$AB122)/24</f>
        <v>0</v>
      </c>
      <c r="O122" s="35">
        <f ca="1">(((_xlfn.XLOOKUP(YEAR($B122),'Oferta Producto 1'!$B$8:$B$19,'Oferta Producto 1'!$E$8:$E$19))*$AD122)/$AB122)/24</f>
        <v>0</v>
      </c>
      <c r="P122" s="35">
        <f ca="1">(((_xlfn.XLOOKUP(YEAR($B122),'Oferta Producto 1'!$B$8:$B$19,'Oferta Producto 1'!$E$8:$E$19))*$AD122)/$AB122)/24</f>
        <v>0</v>
      </c>
      <c r="Q122" s="35">
        <f ca="1">(((_xlfn.XLOOKUP(YEAR($B122),'Oferta Producto 1'!$B$8:$B$19,'Oferta Producto 1'!$E$8:$E$19))*$AD122)/$AB122)/24</f>
        <v>0</v>
      </c>
      <c r="R122" s="35">
        <f ca="1">(((_xlfn.XLOOKUP(YEAR($B122),'Oferta Producto 1'!$B$8:$B$19,'Oferta Producto 1'!$E$8:$E$19))*$AD122)/$AB122)/24</f>
        <v>0</v>
      </c>
      <c r="S122" s="35">
        <f ca="1">(((_xlfn.XLOOKUP(YEAR($B122),'Oferta Producto 1'!$B$8:$B$19,'Oferta Producto 1'!$E$8:$E$19))*$AD122)/$AB122)/24</f>
        <v>0</v>
      </c>
      <c r="T122" s="35">
        <f ca="1">(((_xlfn.XLOOKUP(YEAR($B122),'Oferta Producto 1'!$B$8:$B$19,'Oferta Producto 1'!$E$8:$E$19))*$AD122)/$AB122)/24</f>
        <v>0</v>
      </c>
      <c r="U122" s="35">
        <f ca="1">(((_xlfn.XLOOKUP(YEAR($B122),'Oferta Producto 1'!$B$8:$B$19,'Oferta Producto 1'!$E$8:$E$19))*$AD122)/$AB122)/24</f>
        <v>0</v>
      </c>
      <c r="V122" s="35">
        <f ca="1">(((_xlfn.XLOOKUP(YEAR($B122),'Oferta Producto 1'!$B$8:$B$19,'Oferta Producto 1'!$E$8:$E$19))*$AD122)/$AB122)/24</f>
        <v>0</v>
      </c>
      <c r="W122" s="35">
        <f ca="1">(((_xlfn.XLOOKUP(YEAR($B122),'Oferta Producto 1'!$B$8:$B$19,'Oferta Producto 1'!$E$8:$E$19))*$AD122)/$AB122)/24</f>
        <v>0</v>
      </c>
      <c r="X122" s="35">
        <f ca="1">(((_xlfn.XLOOKUP(YEAR($B122),'Oferta Producto 1'!$B$8:$B$19,'Oferta Producto 1'!$E$8:$E$19))*$AD122)/$AB122)/24</f>
        <v>0</v>
      </c>
      <c r="Y122" s="35">
        <f ca="1">(((_xlfn.XLOOKUP(YEAR($B122),'Oferta Producto 1'!$B$8:$B$19,'Oferta Producto 1'!$E$8:$E$19))*$AD122)/$AB122)/24</f>
        <v>0</v>
      </c>
      <c r="Z122" s="35">
        <f ca="1">(((_xlfn.XLOOKUP(YEAR($B122),'Oferta Producto 1'!$B$8:$B$19,'Oferta Producto 1'!$E$8:$E$19))*$AD122)/$AB122)/24</f>
        <v>0</v>
      </c>
      <c r="AA122" s="35">
        <f t="shared" ca="1" si="9"/>
        <v>0</v>
      </c>
      <c r="AB122" s="28">
        <f t="shared" si="7"/>
        <v>30</v>
      </c>
      <c r="AC122" s="42">
        <f t="shared" ca="1" si="8"/>
        <v>0</v>
      </c>
      <c r="AD122" s="43">
        <v>8.3552391370544321E-2</v>
      </c>
      <c r="AE122"/>
    </row>
    <row r="123" spans="1:31" ht="15.75" thickBot="1">
      <c r="A123" s="23">
        <f t="shared" si="6"/>
        <v>2035</v>
      </c>
      <c r="B123" s="27">
        <v>49583</v>
      </c>
      <c r="C123" s="35">
        <f ca="1">(((_xlfn.XLOOKUP(YEAR($B123),'Oferta Producto 1'!$B$8:$B$19,'Oferta Producto 1'!$E$8:$E$19))*$AD123)/$AB123)/24</f>
        <v>0</v>
      </c>
      <c r="D123" s="35">
        <f ca="1">(((_xlfn.XLOOKUP(YEAR($B123),'Oferta Producto 1'!$B$8:$B$19,'Oferta Producto 1'!$E$8:$E$19))*$AD123)/$AB123)/24</f>
        <v>0</v>
      </c>
      <c r="E123" s="35">
        <f ca="1">(((_xlfn.XLOOKUP(YEAR($B123),'Oferta Producto 1'!$B$8:$B$19,'Oferta Producto 1'!$E$8:$E$19))*$AD123)/$AB123)/24</f>
        <v>0</v>
      </c>
      <c r="F123" s="35">
        <f ca="1">(((_xlfn.XLOOKUP(YEAR($B123),'Oferta Producto 1'!$B$8:$B$19,'Oferta Producto 1'!$E$8:$E$19))*$AD123)/$AB123)/24</f>
        <v>0</v>
      </c>
      <c r="G123" s="35">
        <f ca="1">(((_xlfn.XLOOKUP(YEAR($B123),'Oferta Producto 1'!$B$8:$B$19,'Oferta Producto 1'!$E$8:$E$19))*$AD123)/$AB123)/24</f>
        <v>0</v>
      </c>
      <c r="H123" s="35">
        <f ca="1">(((_xlfn.XLOOKUP(YEAR($B123),'Oferta Producto 1'!$B$8:$B$19,'Oferta Producto 1'!$E$8:$E$19))*$AD123)/$AB123)/24</f>
        <v>0</v>
      </c>
      <c r="I123" s="35">
        <f ca="1">(((_xlfn.XLOOKUP(YEAR($B123),'Oferta Producto 1'!$B$8:$B$19,'Oferta Producto 1'!$E$8:$E$19))*$AD123)/$AB123)/24</f>
        <v>0</v>
      </c>
      <c r="J123" s="35">
        <f ca="1">(((_xlfn.XLOOKUP(YEAR($B123),'Oferta Producto 1'!$B$8:$B$19,'Oferta Producto 1'!$E$8:$E$19))*$AD123)/$AB123)/24</f>
        <v>0</v>
      </c>
      <c r="K123" s="35">
        <f ca="1">(((_xlfn.XLOOKUP(YEAR($B123),'Oferta Producto 1'!$B$8:$B$19,'Oferta Producto 1'!$E$8:$E$19))*$AD123)/$AB123)/24</f>
        <v>0</v>
      </c>
      <c r="L123" s="35">
        <f ca="1">(((_xlfn.XLOOKUP(YEAR($B123),'Oferta Producto 1'!$B$8:$B$19,'Oferta Producto 1'!$E$8:$E$19))*$AD123)/$AB123)/24</f>
        <v>0</v>
      </c>
      <c r="M123" s="35">
        <f ca="1">(((_xlfn.XLOOKUP(YEAR($B123),'Oferta Producto 1'!$B$8:$B$19,'Oferta Producto 1'!$E$8:$E$19))*$AD123)/$AB123)/24</f>
        <v>0</v>
      </c>
      <c r="N123" s="35">
        <f ca="1">(((_xlfn.XLOOKUP(YEAR($B123),'Oferta Producto 1'!$B$8:$B$19,'Oferta Producto 1'!$E$8:$E$19))*$AD123)/$AB123)/24</f>
        <v>0</v>
      </c>
      <c r="O123" s="35">
        <f ca="1">(((_xlfn.XLOOKUP(YEAR($B123),'Oferta Producto 1'!$B$8:$B$19,'Oferta Producto 1'!$E$8:$E$19))*$AD123)/$AB123)/24</f>
        <v>0</v>
      </c>
      <c r="P123" s="35">
        <f ca="1">(((_xlfn.XLOOKUP(YEAR($B123),'Oferta Producto 1'!$B$8:$B$19,'Oferta Producto 1'!$E$8:$E$19))*$AD123)/$AB123)/24</f>
        <v>0</v>
      </c>
      <c r="Q123" s="35">
        <f ca="1">(((_xlfn.XLOOKUP(YEAR($B123),'Oferta Producto 1'!$B$8:$B$19,'Oferta Producto 1'!$E$8:$E$19))*$AD123)/$AB123)/24</f>
        <v>0</v>
      </c>
      <c r="R123" s="35">
        <f ca="1">(((_xlfn.XLOOKUP(YEAR($B123),'Oferta Producto 1'!$B$8:$B$19,'Oferta Producto 1'!$E$8:$E$19))*$AD123)/$AB123)/24</f>
        <v>0</v>
      </c>
      <c r="S123" s="35">
        <f ca="1">(((_xlfn.XLOOKUP(YEAR($B123),'Oferta Producto 1'!$B$8:$B$19,'Oferta Producto 1'!$E$8:$E$19))*$AD123)/$AB123)/24</f>
        <v>0</v>
      </c>
      <c r="T123" s="35">
        <f ca="1">(((_xlfn.XLOOKUP(YEAR($B123),'Oferta Producto 1'!$B$8:$B$19,'Oferta Producto 1'!$E$8:$E$19))*$AD123)/$AB123)/24</f>
        <v>0</v>
      </c>
      <c r="U123" s="35">
        <f ca="1">(((_xlfn.XLOOKUP(YEAR($B123),'Oferta Producto 1'!$B$8:$B$19,'Oferta Producto 1'!$E$8:$E$19))*$AD123)/$AB123)/24</f>
        <v>0</v>
      </c>
      <c r="V123" s="35">
        <f ca="1">(((_xlfn.XLOOKUP(YEAR($B123),'Oferta Producto 1'!$B$8:$B$19,'Oferta Producto 1'!$E$8:$E$19))*$AD123)/$AB123)/24</f>
        <v>0</v>
      </c>
      <c r="W123" s="35">
        <f ca="1">(((_xlfn.XLOOKUP(YEAR($B123),'Oferta Producto 1'!$B$8:$B$19,'Oferta Producto 1'!$E$8:$E$19))*$AD123)/$AB123)/24</f>
        <v>0</v>
      </c>
      <c r="X123" s="35">
        <f ca="1">(((_xlfn.XLOOKUP(YEAR($B123),'Oferta Producto 1'!$B$8:$B$19,'Oferta Producto 1'!$E$8:$E$19))*$AD123)/$AB123)/24</f>
        <v>0</v>
      </c>
      <c r="Y123" s="35">
        <f ca="1">(((_xlfn.XLOOKUP(YEAR($B123),'Oferta Producto 1'!$B$8:$B$19,'Oferta Producto 1'!$E$8:$E$19))*$AD123)/$AB123)/24</f>
        <v>0</v>
      </c>
      <c r="Z123" s="35">
        <f ca="1">(((_xlfn.XLOOKUP(YEAR($B123),'Oferta Producto 1'!$B$8:$B$19,'Oferta Producto 1'!$E$8:$E$19))*$AD123)/$AB123)/24</f>
        <v>0</v>
      </c>
      <c r="AA123" s="35">
        <f t="shared" ca="1" si="9"/>
        <v>0</v>
      </c>
      <c r="AB123" s="28">
        <f t="shared" si="7"/>
        <v>31</v>
      </c>
      <c r="AC123" s="42">
        <f t="shared" ca="1" si="8"/>
        <v>0</v>
      </c>
      <c r="AD123" s="43">
        <v>8.3026652081237912E-2</v>
      </c>
      <c r="AE123"/>
    </row>
    <row r="124" spans="1:31" ht="15.75" thickBot="1">
      <c r="A124" s="23">
        <f t="shared" si="6"/>
        <v>2035</v>
      </c>
      <c r="B124" s="27">
        <v>49614</v>
      </c>
      <c r="C124" s="35">
        <f ca="1">(((_xlfn.XLOOKUP(YEAR($B124),'Oferta Producto 1'!$B$8:$B$19,'Oferta Producto 1'!$E$8:$E$19))*$AD124)/$AB124)/24</f>
        <v>0</v>
      </c>
      <c r="D124" s="35">
        <f ca="1">(((_xlfn.XLOOKUP(YEAR($B124),'Oferta Producto 1'!$B$8:$B$19,'Oferta Producto 1'!$E$8:$E$19))*$AD124)/$AB124)/24</f>
        <v>0</v>
      </c>
      <c r="E124" s="35">
        <f ca="1">(((_xlfn.XLOOKUP(YEAR($B124),'Oferta Producto 1'!$B$8:$B$19,'Oferta Producto 1'!$E$8:$E$19))*$AD124)/$AB124)/24</f>
        <v>0</v>
      </c>
      <c r="F124" s="35">
        <f ca="1">(((_xlfn.XLOOKUP(YEAR($B124),'Oferta Producto 1'!$B$8:$B$19,'Oferta Producto 1'!$E$8:$E$19))*$AD124)/$AB124)/24</f>
        <v>0</v>
      </c>
      <c r="G124" s="35">
        <f ca="1">(((_xlfn.XLOOKUP(YEAR($B124),'Oferta Producto 1'!$B$8:$B$19,'Oferta Producto 1'!$E$8:$E$19))*$AD124)/$AB124)/24</f>
        <v>0</v>
      </c>
      <c r="H124" s="35">
        <f ca="1">(((_xlfn.XLOOKUP(YEAR($B124),'Oferta Producto 1'!$B$8:$B$19,'Oferta Producto 1'!$E$8:$E$19))*$AD124)/$AB124)/24</f>
        <v>0</v>
      </c>
      <c r="I124" s="35">
        <f ca="1">(((_xlfn.XLOOKUP(YEAR($B124),'Oferta Producto 1'!$B$8:$B$19,'Oferta Producto 1'!$E$8:$E$19))*$AD124)/$AB124)/24</f>
        <v>0</v>
      </c>
      <c r="J124" s="35">
        <f ca="1">(((_xlfn.XLOOKUP(YEAR($B124),'Oferta Producto 1'!$B$8:$B$19,'Oferta Producto 1'!$E$8:$E$19))*$AD124)/$AB124)/24</f>
        <v>0</v>
      </c>
      <c r="K124" s="35">
        <f ca="1">(((_xlfn.XLOOKUP(YEAR($B124),'Oferta Producto 1'!$B$8:$B$19,'Oferta Producto 1'!$E$8:$E$19))*$AD124)/$AB124)/24</f>
        <v>0</v>
      </c>
      <c r="L124" s="35">
        <f ca="1">(((_xlfn.XLOOKUP(YEAR($B124),'Oferta Producto 1'!$B$8:$B$19,'Oferta Producto 1'!$E$8:$E$19))*$AD124)/$AB124)/24</f>
        <v>0</v>
      </c>
      <c r="M124" s="35">
        <f ca="1">(((_xlfn.XLOOKUP(YEAR($B124),'Oferta Producto 1'!$B$8:$B$19,'Oferta Producto 1'!$E$8:$E$19))*$AD124)/$AB124)/24</f>
        <v>0</v>
      </c>
      <c r="N124" s="35">
        <f ca="1">(((_xlfn.XLOOKUP(YEAR($B124),'Oferta Producto 1'!$B$8:$B$19,'Oferta Producto 1'!$E$8:$E$19))*$AD124)/$AB124)/24</f>
        <v>0</v>
      </c>
      <c r="O124" s="35">
        <f ca="1">(((_xlfn.XLOOKUP(YEAR($B124),'Oferta Producto 1'!$B$8:$B$19,'Oferta Producto 1'!$E$8:$E$19))*$AD124)/$AB124)/24</f>
        <v>0</v>
      </c>
      <c r="P124" s="35">
        <f ca="1">(((_xlfn.XLOOKUP(YEAR($B124),'Oferta Producto 1'!$B$8:$B$19,'Oferta Producto 1'!$E$8:$E$19))*$AD124)/$AB124)/24</f>
        <v>0</v>
      </c>
      <c r="Q124" s="35">
        <f ca="1">(((_xlfn.XLOOKUP(YEAR($B124),'Oferta Producto 1'!$B$8:$B$19,'Oferta Producto 1'!$E$8:$E$19))*$AD124)/$AB124)/24</f>
        <v>0</v>
      </c>
      <c r="R124" s="35">
        <f ca="1">(((_xlfn.XLOOKUP(YEAR($B124),'Oferta Producto 1'!$B$8:$B$19,'Oferta Producto 1'!$E$8:$E$19))*$AD124)/$AB124)/24</f>
        <v>0</v>
      </c>
      <c r="S124" s="35">
        <f ca="1">(((_xlfn.XLOOKUP(YEAR($B124),'Oferta Producto 1'!$B$8:$B$19,'Oferta Producto 1'!$E$8:$E$19))*$AD124)/$AB124)/24</f>
        <v>0</v>
      </c>
      <c r="T124" s="35">
        <f ca="1">(((_xlfn.XLOOKUP(YEAR($B124),'Oferta Producto 1'!$B$8:$B$19,'Oferta Producto 1'!$E$8:$E$19))*$AD124)/$AB124)/24</f>
        <v>0</v>
      </c>
      <c r="U124" s="35">
        <f ca="1">(((_xlfn.XLOOKUP(YEAR($B124),'Oferta Producto 1'!$B$8:$B$19,'Oferta Producto 1'!$E$8:$E$19))*$AD124)/$AB124)/24</f>
        <v>0</v>
      </c>
      <c r="V124" s="35">
        <f ca="1">(((_xlfn.XLOOKUP(YEAR($B124),'Oferta Producto 1'!$B$8:$B$19,'Oferta Producto 1'!$E$8:$E$19))*$AD124)/$AB124)/24</f>
        <v>0</v>
      </c>
      <c r="W124" s="35">
        <f ca="1">(((_xlfn.XLOOKUP(YEAR($B124),'Oferta Producto 1'!$B$8:$B$19,'Oferta Producto 1'!$E$8:$E$19))*$AD124)/$AB124)/24</f>
        <v>0</v>
      </c>
      <c r="X124" s="35">
        <f ca="1">(((_xlfn.XLOOKUP(YEAR($B124),'Oferta Producto 1'!$B$8:$B$19,'Oferta Producto 1'!$E$8:$E$19))*$AD124)/$AB124)/24</f>
        <v>0</v>
      </c>
      <c r="Y124" s="35">
        <f ca="1">(((_xlfn.XLOOKUP(YEAR($B124),'Oferta Producto 1'!$B$8:$B$19,'Oferta Producto 1'!$E$8:$E$19))*$AD124)/$AB124)/24</f>
        <v>0</v>
      </c>
      <c r="Z124" s="35">
        <f ca="1">(((_xlfn.XLOOKUP(YEAR($B124),'Oferta Producto 1'!$B$8:$B$19,'Oferta Producto 1'!$E$8:$E$19))*$AD124)/$AB124)/24</f>
        <v>0</v>
      </c>
      <c r="AA124" s="35">
        <f t="shared" ca="1" si="9"/>
        <v>0</v>
      </c>
      <c r="AB124" s="28">
        <f t="shared" si="7"/>
        <v>30</v>
      </c>
      <c r="AC124" s="42">
        <f t="shared" ca="1" si="8"/>
        <v>0</v>
      </c>
      <c r="AD124" s="43">
        <v>8.3552391370544321E-2</v>
      </c>
      <c r="AE124"/>
    </row>
    <row r="125" spans="1:31" ht="15.75" thickBot="1">
      <c r="A125" s="23">
        <f t="shared" si="6"/>
        <v>2035</v>
      </c>
      <c r="B125" s="27">
        <v>49644</v>
      </c>
      <c r="C125" s="35">
        <f ca="1">(((_xlfn.XLOOKUP(YEAR($B125),'Oferta Producto 1'!$B$8:$B$19,'Oferta Producto 1'!$E$8:$E$19))*$AD125)/$AB125)/24</f>
        <v>0</v>
      </c>
      <c r="D125" s="35">
        <f ca="1">(((_xlfn.XLOOKUP(YEAR($B125),'Oferta Producto 1'!$B$8:$B$19,'Oferta Producto 1'!$E$8:$E$19))*$AD125)/$AB125)/24</f>
        <v>0</v>
      </c>
      <c r="E125" s="35">
        <f ca="1">(((_xlfn.XLOOKUP(YEAR($B125),'Oferta Producto 1'!$B$8:$B$19,'Oferta Producto 1'!$E$8:$E$19))*$AD125)/$AB125)/24</f>
        <v>0</v>
      </c>
      <c r="F125" s="35">
        <f ca="1">(((_xlfn.XLOOKUP(YEAR($B125),'Oferta Producto 1'!$B$8:$B$19,'Oferta Producto 1'!$E$8:$E$19))*$AD125)/$AB125)/24</f>
        <v>0</v>
      </c>
      <c r="G125" s="35">
        <f ca="1">(((_xlfn.XLOOKUP(YEAR($B125),'Oferta Producto 1'!$B$8:$B$19,'Oferta Producto 1'!$E$8:$E$19))*$AD125)/$AB125)/24</f>
        <v>0</v>
      </c>
      <c r="H125" s="35">
        <f ca="1">(((_xlfn.XLOOKUP(YEAR($B125),'Oferta Producto 1'!$B$8:$B$19,'Oferta Producto 1'!$E$8:$E$19))*$AD125)/$AB125)/24</f>
        <v>0</v>
      </c>
      <c r="I125" s="35">
        <f ca="1">(((_xlfn.XLOOKUP(YEAR($B125),'Oferta Producto 1'!$B$8:$B$19,'Oferta Producto 1'!$E$8:$E$19))*$AD125)/$AB125)/24</f>
        <v>0</v>
      </c>
      <c r="J125" s="35">
        <f ca="1">(((_xlfn.XLOOKUP(YEAR($B125),'Oferta Producto 1'!$B$8:$B$19,'Oferta Producto 1'!$E$8:$E$19))*$AD125)/$AB125)/24</f>
        <v>0</v>
      </c>
      <c r="K125" s="35">
        <f ca="1">(((_xlfn.XLOOKUP(YEAR($B125),'Oferta Producto 1'!$B$8:$B$19,'Oferta Producto 1'!$E$8:$E$19))*$AD125)/$AB125)/24</f>
        <v>0</v>
      </c>
      <c r="L125" s="35">
        <f ca="1">(((_xlfn.XLOOKUP(YEAR($B125),'Oferta Producto 1'!$B$8:$B$19,'Oferta Producto 1'!$E$8:$E$19))*$AD125)/$AB125)/24</f>
        <v>0</v>
      </c>
      <c r="M125" s="35">
        <f ca="1">(((_xlfn.XLOOKUP(YEAR($B125),'Oferta Producto 1'!$B$8:$B$19,'Oferta Producto 1'!$E$8:$E$19))*$AD125)/$AB125)/24</f>
        <v>0</v>
      </c>
      <c r="N125" s="35">
        <f ca="1">(((_xlfn.XLOOKUP(YEAR($B125),'Oferta Producto 1'!$B$8:$B$19,'Oferta Producto 1'!$E$8:$E$19))*$AD125)/$AB125)/24</f>
        <v>0</v>
      </c>
      <c r="O125" s="35">
        <f ca="1">(((_xlfn.XLOOKUP(YEAR($B125),'Oferta Producto 1'!$B$8:$B$19,'Oferta Producto 1'!$E$8:$E$19))*$AD125)/$AB125)/24</f>
        <v>0</v>
      </c>
      <c r="P125" s="35">
        <f ca="1">(((_xlfn.XLOOKUP(YEAR($B125),'Oferta Producto 1'!$B$8:$B$19,'Oferta Producto 1'!$E$8:$E$19))*$AD125)/$AB125)/24</f>
        <v>0</v>
      </c>
      <c r="Q125" s="35">
        <f ca="1">(((_xlfn.XLOOKUP(YEAR($B125),'Oferta Producto 1'!$B$8:$B$19,'Oferta Producto 1'!$E$8:$E$19))*$AD125)/$AB125)/24</f>
        <v>0</v>
      </c>
      <c r="R125" s="35">
        <f ca="1">(((_xlfn.XLOOKUP(YEAR($B125),'Oferta Producto 1'!$B$8:$B$19,'Oferta Producto 1'!$E$8:$E$19))*$AD125)/$AB125)/24</f>
        <v>0</v>
      </c>
      <c r="S125" s="35">
        <f ca="1">(((_xlfn.XLOOKUP(YEAR($B125),'Oferta Producto 1'!$B$8:$B$19,'Oferta Producto 1'!$E$8:$E$19))*$AD125)/$AB125)/24</f>
        <v>0</v>
      </c>
      <c r="T125" s="35">
        <f ca="1">(((_xlfn.XLOOKUP(YEAR($B125),'Oferta Producto 1'!$B$8:$B$19,'Oferta Producto 1'!$E$8:$E$19))*$AD125)/$AB125)/24</f>
        <v>0</v>
      </c>
      <c r="U125" s="35">
        <f ca="1">(((_xlfn.XLOOKUP(YEAR($B125),'Oferta Producto 1'!$B$8:$B$19,'Oferta Producto 1'!$E$8:$E$19))*$AD125)/$AB125)/24</f>
        <v>0</v>
      </c>
      <c r="V125" s="35">
        <f ca="1">(((_xlfn.XLOOKUP(YEAR($B125),'Oferta Producto 1'!$B$8:$B$19,'Oferta Producto 1'!$E$8:$E$19))*$AD125)/$AB125)/24</f>
        <v>0</v>
      </c>
      <c r="W125" s="35">
        <f ca="1">(((_xlfn.XLOOKUP(YEAR($B125),'Oferta Producto 1'!$B$8:$B$19,'Oferta Producto 1'!$E$8:$E$19))*$AD125)/$AB125)/24</f>
        <v>0</v>
      </c>
      <c r="X125" s="35">
        <f ca="1">(((_xlfn.XLOOKUP(YEAR($B125),'Oferta Producto 1'!$B$8:$B$19,'Oferta Producto 1'!$E$8:$E$19))*$AD125)/$AB125)/24</f>
        <v>0</v>
      </c>
      <c r="Y125" s="35">
        <f ca="1">(((_xlfn.XLOOKUP(YEAR($B125),'Oferta Producto 1'!$B$8:$B$19,'Oferta Producto 1'!$E$8:$E$19))*$AD125)/$AB125)/24</f>
        <v>0</v>
      </c>
      <c r="Z125" s="35">
        <f ca="1">(((_xlfn.XLOOKUP(YEAR($B125),'Oferta Producto 1'!$B$8:$B$19,'Oferta Producto 1'!$E$8:$E$19))*$AD125)/$AB125)/24</f>
        <v>0</v>
      </c>
      <c r="AA125" s="35">
        <f t="shared" ca="1" si="9"/>
        <v>0</v>
      </c>
      <c r="AB125" s="28">
        <f t="shared" si="7"/>
        <v>31</v>
      </c>
      <c r="AC125" s="42">
        <f t="shared" ca="1" si="8"/>
        <v>0</v>
      </c>
      <c r="AD125" s="43">
        <v>8.3026652081237898E-2</v>
      </c>
      <c r="AE125"/>
    </row>
    <row r="126" spans="1:31" ht="15">
      <c r="B126" s="30" t="s">
        <v>45</v>
      </c>
      <c r="C126" s="31">
        <f t="shared" ref="C126:AC126" ca="1" si="10">+SUM(C6:C125)</f>
        <v>0</v>
      </c>
      <c r="D126" s="31">
        <f t="shared" ca="1" si="10"/>
        <v>0</v>
      </c>
      <c r="E126" s="31">
        <f t="shared" ca="1" si="10"/>
        <v>0</v>
      </c>
      <c r="F126" s="31">
        <f t="shared" ca="1" si="10"/>
        <v>0</v>
      </c>
      <c r="G126" s="31">
        <f t="shared" ca="1" si="10"/>
        <v>0</v>
      </c>
      <c r="H126" s="31">
        <f t="shared" ca="1" si="10"/>
        <v>0</v>
      </c>
      <c r="I126" s="31">
        <f t="shared" ca="1" si="10"/>
        <v>0</v>
      </c>
      <c r="J126" s="31">
        <f t="shared" ca="1" si="10"/>
        <v>0</v>
      </c>
      <c r="K126" s="31">
        <f t="shared" ca="1" si="10"/>
        <v>0</v>
      </c>
      <c r="L126" s="31">
        <f t="shared" ca="1" si="10"/>
        <v>0</v>
      </c>
      <c r="M126" s="31">
        <f t="shared" ca="1" si="10"/>
        <v>0</v>
      </c>
      <c r="N126" s="31">
        <f t="shared" ca="1" si="10"/>
        <v>0</v>
      </c>
      <c r="O126" s="31">
        <f t="shared" ca="1" si="10"/>
        <v>0</v>
      </c>
      <c r="P126" s="31">
        <f t="shared" ca="1" si="10"/>
        <v>0</v>
      </c>
      <c r="Q126" s="31">
        <f t="shared" ca="1" si="10"/>
        <v>0</v>
      </c>
      <c r="R126" s="31">
        <f t="shared" ca="1" si="10"/>
        <v>0</v>
      </c>
      <c r="S126" s="31">
        <f t="shared" ca="1" si="10"/>
        <v>0</v>
      </c>
      <c r="T126" s="31">
        <f t="shared" ca="1" si="10"/>
        <v>0</v>
      </c>
      <c r="U126" s="31">
        <f t="shared" ca="1" si="10"/>
        <v>0</v>
      </c>
      <c r="V126" s="31">
        <f t="shared" ca="1" si="10"/>
        <v>0</v>
      </c>
      <c r="W126" s="31">
        <f t="shared" ca="1" si="10"/>
        <v>0</v>
      </c>
      <c r="X126" s="31">
        <f t="shared" ca="1" si="10"/>
        <v>0</v>
      </c>
      <c r="Y126" s="31">
        <f t="shared" ca="1" si="10"/>
        <v>0</v>
      </c>
      <c r="Z126" s="31">
        <f t="shared" ca="1" si="10"/>
        <v>0</v>
      </c>
      <c r="AA126" s="31">
        <f t="shared" ca="1" si="10"/>
        <v>0</v>
      </c>
      <c r="AB126" s="32">
        <f t="shared" si="10"/>
        <v>3652</v>
      </c>
      <c r="AC126" s="33">
        <f t="shared" ca="1" si="10"/>
        <v>0</v>
      </c>
      <c r="AD126" s="37"/>
      <c r="AE126"/>
    </row>
  </sheetData>
  <mergeCells count="29">
    <mergeCell ref="U4:U5"/>
    <mergeCell ref="AD4:AD5"/>
    <mergeCell ref="W4:W5"/>
    <mergeCell ref="X4:X5"/>
    <mergeCell ref="Y4:Y5"/>
    <mergeCell ref="Z4:Z5"/>
    <mergeCell ref="AA4:AA5"/>
    <mergeCell ref="AC4:AC5"/>
    <mergeCell ref="P4:P5"/>
    <mergeCell ref="Q4:Q5"/>
    <mergeCell ref="R4:R5"/>
    <mergeCell ref="S4:S5"/>
    <mergeCell ref="T4:T5"/>
    <mergeCell ref="B1:AC2"/>
    <mergeCell ref="B4:B5"/>
    <mergeCell ref="C4:C5"/>
    <mergeCell ref="D4:D5"/>
    <mergeCell ref="E4:E5"/>
    <mergeCell ref="F4:F5"/>
    <mergeCell ref="G4:G5"/>
    <mergeCell ref="H4:H5"/>
    <mergeCell ref="I4:I5"/>
    <mergeCell ref="J4:J5"/>
    <mergeCell ref="V4:V5"/>
    <mergeCell ref="K4:K5"/>
    <mergeCell ref="L4:L5"/>
    <mergeCell ref="M4:M5"/>
    <mergeCell ref="N4:N5"/>
    <mergeCell ref="O4:O5"/>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66BD3-BB69-460D-83D4-7F00DCE76558}">
  <dimension ref="B3:K27"/>
  <sheetViews>
    <sheetView showGridLines="0" view="pageBreakPreview" topLeftCell="A22" zoomScaleNormal="100" zoomScaleSheetLayoutView="100" workbookViewId="0">
      <selection activeCell="B26" sqref="B26:F26"/>
    </sheetView>
  </sheetViews>
  <sheetFormatPr baseColWidth="10" defaultColWidth="11.42578125" defaultRowHeight="15"/>
  <cols>
    <col min="1" max="1" width="7.7109375" customWidth="1"/>
    <col min="2" max="6" width="14.7109375" customWidth="1"/>
    <col min="7" max="7" width="16.85546875" customWidth="1"/>
    <col min="8" max="8" width="14.140625" bestFit="1" customWidth="1"/>
    <col min="10" max="10" width="13.140625" bestFit="1" customWidth="1"/>
  </cols>
  <sheetData>
    <row r="3" spans="2:11">
      <c r="B3" s="74" t="s">
        <v>47</v>
      </c>
      <c r="C3" s="74"/>
      <c r="D3" s="74"/>
      <c r="E3" s="74"/>
      <c r="F3" s="74"/>
      <c r="G3" s="1"/>
    </row>
    <row r="4" spans="2:11">
      <c r="B4" s="74" t="s">
        <v>1</v>
      </c>
      <c r="C4" s="74"/>
      <c r="D4" s="74"/>
      <c r="E4" s="74"/>
      <c r="F4" s="74"/>
      <c r="G4" s="1"/>
    </row>
    <row r="5" spans="2:11">
      <c r="B5" s="74" t="s">
        <v>2</v>
      </c>
      <c r="C5" s="74"/>
      <c r="D5" s="74"/>
      <c r="E5" s="74"/>
      <c r="F5" s="74"/>
      <c r="G5" s="1"/>
    </row>
    <row r="6" spans="2:11">
      <c r="B6" s="2"/>
      <c r="C6" s="2"/>
      <c r="D6" s="2"/>
      <c r="E6" s="2"/>
      <c r="F6" s="2"/>
      <c r="G6" s="2"/>
    </row>
    <row r="7" spans="2:11" ht="15.75" thickBot="1"/>
    <row r="8" spans="2:11" ht="15" customHeight="1">
      <c r="B8" s="75" t="s">
        <v>3</v>
      </c>
      <c r="C8" s="77" t="s">
        <v>4</v>
      </c>
      <c r="D8" s="77" t="s">
        <v>5</v>
      </c>
      <c r="E8" s="77" t="s">
        <v>6</v>
      </c>
      <c r="F8" s="79" t="s">
        <v>7</v>
      </c>
      <c r="G8" s="3"/>
    </row>
    <row r="9" spans="2:11" ht="23.1" customHeight="1">
      <c r="B9" s="76"/>
      <c r="C9" s="78"/>
      <c r="D9" s="78"/>
      <c r="E9" s="78"/>
      <c r="F9" s="80"/>
      <c r="G9" s="3"/>
    </row>
    <row r="10" spans="2:11" ht="15.75" thickBot="1">
      <c r="B10" s="20">
        <v>2026</v>
      </c>
      <c r="C10" s="4">
        <f ca="1">SUMIF('Curvas Prod 2'!A:AC,'Oferta Producto 2'!B10,'Curvas Prod 2'!AC:AC)</f>
        <v>70349455.981237978</v>
      </c>
      <c r="D10" s="94"/>
      <c r="E10" s="4">
        <f ca="1">ROUND(C10*D10,2)</f>
        <v>0</v>
      </c>
      <c r="F10" s="98"/>
      <c r="G10" s="5"/>
      <c r="H10" s="6"/>
      <c r="I10" s="17"/>
      <c r="K10" s="17"/>
    </row>
    <row r="11" spans="2:11" ht="15.75" thickBot="1">
      <c r="B11" s="20">
        <v>2027</v>
      </c>
      <c r="C11" s="4">
        <f ca="1">SUMIF('Curvas Prod 2'!A:AC,'Oferta Producto 2'!B11,'Curvas Prod 2'!AC:AC)</f>
        <v>107280456.74420837</v>
      </c>
      <c r="D11" s="95"/>
      <c r="E11" s="4">
        <f ca="1">ROUND(C11*D10,2)</f>
        <v>0</v>
      </c>
      <c r="F11" s="99"/>
      <c r="G11" s="5"/>
      <c r="H11" s="6"/>
      <c r="I11" s="17"/>
    </row>
    <row r="12" spans="2:11" ht="15.75" thickBot="1">
      <c r="B12" s="20">
        <v>2028</v>
      </c>
      <c r="C12" s="4">
        <f ca="1">SUMIF('Curvas Prod 2'!A:AC,'Oferta Producto 2'!B12,'Curvas Prod 2'!AC:AC)</f>
        <v>137165997.3785761</v>
      </c>
      <c r="D12" s="95"/>
      <c r="E12" s="4">
        <f ca="1">ROUND(C12*D10,2)</f>
        <v>0</v>
      </c>
      <c r="F12" s="99"/>
      <c r="G12" s="5"/>
      <c r="H12" s="18"/>
      <c r="I12" s="17"/>
    </row>
    <row r="13" spans="2:11" ht="15.75" thickBot="1">
      <c r="B13" s="20">
        <v>2029</v>
      </c>
      <c r="C13" s="4">
        <f ca="1">SUMIF('Curvas Prod 2'!A:AC,'Oferta Producto 2'!B13,'Curvas Prod 2'!AC:AC)</f>
        <v>55282761.144208387</v>
      </c>
      <c r="D13" s="95"/>
      <c r="E13" s="4">
        <f ca="1">ROUND(C13*D10,2)</f>
        <v>0</v>
      </c>
      <c r="F13" s="99"/>
      <c r="G13" s="5"/>
      <c r="H13" s="18"/>
      <c r="I13" s="17"/>
    </row>
    <row r="14" spans="2:11" ht="15.75" thickBot="1">
      <c r="B14" s="20">
        <v>2030</v>
      </c>
      <c r="C14" s="4">
        <f ca="1">SUMIF('Curvas Prod 2'!A:AC,'Oferta Producto 2'!B14,'Curvas Prod 2'!AC:AC)</f>
        <v>55278862.944208391</v>
      </c>
      <c r="D14" s="96"/>
      <c r="E14" s="4">
        <f ca="1">ROUND(C14*D10,2)</f>
        <v>0</v>
      </c>
      <c r="F14" s="99"/>
      <c r="G14" s="5"/>
      <c r="H14" s="18"/>
      <c r="I14" s="17"/>
    </row>
    <row r="15" spans="2:11" ht="15.75" thickBot="1">
      <c r="B15" s="20">
        <v>2031</v>
      </c>
      <c r="C15" s="4">
        <f ca="1">SUMIF('Curvas Prod 2'!A:AC,'Oferta Producto 2'!B15,'Curvas Prod 2'!AC:AC)</f>
        <v>55278862.944208391</v>
      </c>
      <c r="D15" s="97"/>
      <c r="E15" s="4">
        <f ca="1">ROUND(C15*D15,2)</f>
        <v>0</v>
      </c>
      <c r="F15" s="99"/>
      <c r="G15" s="5"/>
      <c r="H15" s="18"/>
      <c r="I15" s="17"/>
    </row>
    <row r="16" spans="2:11" ht="15.75" thickBot="1">
      <c r="B16" s="20">
        <v>2032</v>
      </c>
      <c r="C16" s="4">
        <f ca="1">SUMIF('Curvas Prod 2'!A:AC,'Oferta Producto 2'!B16,'Curvas Prod 2'!AC:AC)</f>
        <v>55164941.778576098</v>
      </c>
      <c r="D16" s="95"/>
      <c r="E16" s="4">
        <f ca="1">ROUND(C16*D15,2)</f>
        <v>0</v>
      </c>
      <c r="F16" s="99"/>
      <c r="G16" s="5"/>
      <c r="H16" s="18"/>
      <c r="I16" s="17"/>
    </row>
    <row r="17" spans="2:10" ht="15.75" thickBot="1">
      <c r="B17" s="20">
        <v>2033</v>
      </c>
      <c r="C17" s="4">
        <f ca="1">SUMIF('Curvas Prod 2'!A:AC,'Oferta Producto 2'!B17,'Curvas Prod 2'!AC:AC)</f>
        <v>68064433.34420839</v>
      </c>
      <c r="D17" s="95"/>
      <c r="E17" s="4">
        <f ca="1">ROUND(C17*D15,2)</f>
        <v>0</v>
      </c>
      <c r="F17" s="99"/>
      <c r="G17" s="5"/>
      <c r="H17" s="18"/>
      <c r="I17" s="17"/>
    </row>
    <row r="18" spans="2:10" ht="15.75" thickBot="1">
      <c r="B18" s="20">
        <v>2034</v>
      </c>
      <c r="C18" s="4">
        <f ca="1">SUMIF('Curvas Prod 2'!A:AC,'Oferta Producto 2'!B18,'Curvas Prod 2'!AC:AC)</f>
        <v>150465867.87754175</v>
      </c>
      <c r="D18" s="95"/>
      <c r="E18" s="4">
        <f ca="1">ROUND(C18*D15,2)</f>
        <v>0</v>
      </c>
      <c r="F18" s="99"/>
      <c r="G18" s="5"/>
      <c r="H18" s="18"/>
      <c r="I18" s="17"/>
    </row>
    <row r="19" spans="2:10" ht="15.75" thickBot="1">
      <c r="B19" s="20">
        <v>2035</v>
      </c>
      <c r="C19" s="4">
        <f ca="1">SUMIF('Curvas Prod 2'!A:AC,'Oferta Producto 2'!B19,'Curvas Prod 2'!AC:AC)</f>
        <v>151020034.54420844</v>
      </c>
      <c r="D19" s="96"/>
      <c r="E19" s="22">
        <f ca="1">ROUND(C19*D15,2)</f>
        <v>0</v>
      </c>
      <c r="F19" s="100"/>
      <c r="G19" s="5"/>
      <c r="H19" s="18"/>
      <c r="I19" s="17"/>
    </row>
    <row r="20" spans="2:10" ht="15.75" thickBot="1">
      <c r="B20" s="15" t="s">
        <v>8</v>
      </c>
      <c r="C20" s="16">
        <f ca="1">+SUM(C10:C19)</f>
        <v>905351674.68118227</v>
      </c>
      <c r="D20" s="36"/>
      <c r="E20" s="16">
        <f ca="1">SUM(E10:E19)</f>
        <v>0</v>
      </c>
      <c r="F20" s="21">
        <f ca="1">IFERROR(ROUND((SUM(E10:E14)*F10+SUM(E15:E19)*F10)/E20,2),0)</f>
        <v>0</v>
      </c>
      <c r="G20" s="7"/>
      <c r="H20" s="8"/>
      <c r="J20" s="18"/>
    </row>
    <row r="21" spans="2:10">
      <c r="B21" s="9"/>
      <c r="C21" s="10"/>
      <c r="D21" s="11"/>
      <c r="E21" s="12"/>
      <c r="F21" s="13"/>
      <c r="G21" s="13"/>
      <c r="H21" s="8"/>
    </row>
    <row r="22" spans="2:10">
      <c r="B22" s="9" t="s">
        <v>9</v>
      </c>
      <c r="C22" s="10"/>
      <c r="D22" s="11"/>
      <c r="E22" s="12"/>
      <c r="F22" s="13"/>
      <c r="G22" s="13"/>
      <c r="H22" s="8"/>
      <c r="I22" s="17"/>
    </row>
    <row r="23" spans="2:10">
      <c r="B23" s="41" t="s">
        <v>10</v>
      </c>
      <c r="C23" s="10"/>
      <c r="D23" s="11"/>
      <c r="E23" s="12"/>
      <c r="F23" s="13"/>
      <c r="G23" s="13"/>
      <c r="H23" s="8"/>
      <c r="I23" s="17"/>
    </row>
    <row r="24" spans="2:10" ht="147.75" customHeight="1">
      <c r="B24" s="72" t="s">
        <v>57</v>
      </c>
      <c r="C24" s="72"/>
      <c r="D24" s="72"/>
      <c r="E24" s="72"/>
      <c r="F24" s="72"/>
      <c r="G24" s="13"/>
      <c r="H24" s="8"/>
      <c r="I24" s="17"/>
      <c r="J24" s="14"/>
    </row>
    <row r="25" spans="2:10">
      <c r="B25" s="41" t="s">
        <v>12</v>
      </c>
      <c r="C25" s="10"/>
      <c r="D25" s="13"/>
      <c r="E25" s="12"/>
      <c r="F25" s="13"/>
      <c r="G25" s="13"/>
      <c r="H25" s="8"/>
      <c r="J25" s="14"/>
    </row>
    <row r="26" spans="2:10" ht="27" customHeight="1">
      <c r="B26" s="73" t="s">
        <v>48</v>
      </c>
      <c r="C26" s="73"/>
      <c r="D26" s="73"/>
      <c r="E26" s="73"/>
      <c r="F26" s="73"/>
      <c r="G26" s="13"/>
      <c r="H26" s="8"/>
      <c r="J26" s="14"/>
    </row>
    <row r="27" spans="2:10" ht="23.25" customHeight="1">
      <c r="B27" s="72"/>
      <c r="C27" s="72"/>
      <c r="D27" s="72"/>
      <c r="E27" s="72"/>
      <c r="F27" s="72"/>
      <c r="G27" s="13"/>
      <c r="H27" s="8"/>
      <c r="J27" s="14"/>
    </row>
  </sheetData>
  <mergeCells count="14">
    <mergeCell ref="B3:F3"/>
    <mergeCell ref="B4:F4"/>
    <mergeCell ref="B5:F5"/>
    <mergeCell ref="B8:B9"/>
    <mergeCell ref="C8:C9"/>
    <mergeCell ref="D8:D9"/>
    <mergeCell ref="E8:E9"/>
    <mergeCell ref="F8:F9"/>
    <mergeCell ref="B24:F24"/>
    <mergeCell ref="B26:F26"/>
    <mergeCell ref="B27:F27"/>
    <mergeCell ref="D10:D14"/>
    <mergeCell ref="D15:D19"/>
    <mergeCell ref="F10:F19"/>
  </mergeCells>
  <dataValidations count="1">
    <dataValidation type="decimal" allowBlank="1" showInputMessage="1" showErrorMessage="1" prompt="Ingresar % min 10%  max 100%" sqref="D10:D19" xr:uid="{F72E9AB4-F99B-4D17-A7B4-EC870F180429}">
      <formula1>0.1</formula1>
      <formula2>1</formula2>
    </dataValidation>
  </dataValidations>
  <printOptions horizontalCentered="1"/>
  <pageMargins left="0.70866141732283472" right="0.70866141732283472" top="0.74803149606299213" bottom="0.74803149606299213" header="0.31496062992125984" footer="0.31496062992125984"/>
  <pageSetup scale="8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332AA-62FE-4110-B191-18D7A0E3B7AB}">
  <dimension ref="A1:AG132"/>
  <sheetViews>
    <sheetView showGridLines="0" zoomScale="85" zoomScaleNormal="85" workbookViewId="0">
      <pane xSplit="2" ySplit="5" topLeftCell="C13" activePane="bottomRight" state="frozen"/>
      <selection pane="topRight" activeCell="B1" sqref="B1"/>
      <selection pane="bottomLeft" activeCell="A6" sqref="A6"/>
      <selection pane="bottomRight" activeCell="C6" sqref="C6"/>
    </sheetView>
  </sheetViews>
  <sheetFormatPr baseColWidth="10" defaultColWidth="8" defaultRowHeight="9"/>
  <cols>
    <col min="1" max="1" width="4.5703125" style="23" customWidth="1"/>
    <col min="2" max="2" width="15.7109375" style="23" bestFit="1" customWidth="1"/>
    <col min="3" max="26" width="12.42578125" style="23" bestFit="1" customWidth="1"/>
    <col min="27" max="27" width="14.7109375" style="23" bestFit="1" customWidth="1"/>
    <col min="28" max="28" width="7.85546875" style="23" bestFit="1" customWidth="1"/>
    <col min="29" max="29" width="18.85546875" style="23" bestFit="1" customWidth="1"/>
    <col min="30" max="30" width="10.28515625" style="23" bestFit="1" customWidth="1"/>
    <col min="31" max="31" width="17.5703125" style="23" bestFit="1" customWidth="1"/>
    <col min="32" max="32" width="19" style="23" bestFit="1" customWidth="1"/>
    <col min="33" max="16384" width="8" style="23"/>
  </cols>
  <sheetData>
    <row r="1" spans="1:33">
      <c r="B1" s="87" t="s">
        <v>49</v>
      </c>
      <c r="C1" s="88"/>
      <c r="D1" s="88"/>
      <c r="E1" s="88"/>
      <c r="F1" s="88"/>
      <c r="G1" s="88"/>
      <c r="H1" s="88"/>
      <c r="I1" s="88"/>
      <c r="J1" s="88"/>
      <c r="K1" s="88"/>
      <c r="L1" s="88"/>
      <c r="M1" s="88"/>
      <c r="N1" s="88"/>
      <c r="O1" s="88"/>
      <c r="P1" s="88"/>
      <c r="Q1" s="88"/>
      <c r="R1" s="88"/>
      <c r="S1" s="88"/>
      <c r="T1" s="88"/>
      <c r="U1" s="88"/>
      <c r="V1" s="88"/>
      <c r="W1" s="88"/>
      <c r="X1" s="88"/>
      <c r="Y1" s="88"/>
      <c r="Z1" s="88"/>
      <c r="AA1" s="88"/>
      <c r="AB1" s="88"/>
      <c r="AC1" s="89"/>
    </row>
    <row r="2" spans="1:33" ht="15">
      <c r="B2" s="90"/>
      <c r="C2" s="91"/>
      <c r="D2" s="91"/>
      <c r="E2" s="91"/>
      <c r="F2" s="91"/>
      <c r="G2" s="91"/>
      <c r="H2" s="91"/>
      <c r="I2" s="91"/>
      <c r="J2" s="91"/>
      <c r="K2" s="91"/>
      <c r="L2" s="91"/>
      <c r="M2" s="91"/>
      <c r="N2" s="91"/>
      <c r="O2" s="91"/>
      <c r="P2" s="91"/>
      <c r="Q2" s="91"/>
      <c r="R2" s="91"/>
      <c r="S2" s="91"/>
      <c r="T2" s="91"/>
      <c r="U2" s="91"/>
      <c r="V2" s="91"/>
      <c r="W2" s="91"/>
      <c r="X2" s="91"/>
      <c r="Y2" s="91"/>
      <c r="Z2" s="91"/>
      <c r="AA2" s="91"/>
      <c r="AB2" s="91"/>
      <c r="AC2" s="92"/>
      <c r="AE2"/>
      <c r="AF2"/>
      <c r="AG2"/>
    </row>
    <row r="3" spans="1:33" ht="15">
      <c r="AC3" s="24"/>
      <c r="AE3"/>
      <c r="AF3"/>
      <c r="AG3"/>
    </row>
    <row r="4" spans="1:33" ht="15" customHeight="1">
      <c r="B4" s="86" t="s">
        <v>16</v>
      </c>
      <c r="C4" s="86" t="s">
        <v>17</v>
      </c>
      <c r="D4" s="86" t="s">
        <v>18</v>
      </c>
      <c r="E4" s="86" t="s">
        <v>19</v>
      </c>
      <c r="F4" s="86" t="s">
        <v>20</v>
      </c>
      <c r="G4" s="86" t="s">
        <v>21</v>
      </c>
      <c r="H4" s="86" t="s">
        <v>22</v>
      </c>
      <c r="I4" s="86" t="s">
        <v>23</v>
      </c>
      <c r="J4" s="86" t="s">
        <v>24</v>
      </c>
      <c r="K4" s="86" t="s">
        <v>25</v>
      </c>
      <c r="L4" s="86" t="s">
        <v>26</v>
      </c>
      <c r="M4" s="86" t="s">
        <v>27</v>
      </c>
      <c r="N4" s="86" t="s">
        <v>28</v>
      </c>
      <c r="O4" s="86" t="s">
        <v>29</v>
      </c>
      <c r="P4" s="86" t="s">
        <v>30</v>
      </c>
      <c r="Q4" s="86" t="s">
        <v>31</v>
      </c>
      <c r="R4" s="86" t="s">
        <v>32</v>
      </c>
      <c r="S4" s="86" t="s">
        <v>33</v>
      </c>
      <c r="T4" s="86" t="s">
        <v>34</v>
      </c>
      <c r="U4" s="86" t="s">
        <v>35</v>
      </c>
      <c r="V4" s="86" t="s">
        <v>36</v>
      </c>
      <c r="W4" s="86" t="s">
        <v>37</v>
      </c>
      <c r="X4" s="86" t="s">
        <v>38</v>
      </c>
      <c r="Y4" s="86" t="s">
        <v>39</v>
      </c>
      <c r="Z4" s="86" t="s">
        <v>40</v>
      </c>
      <c r="AA4" s="86" t="s">
        <v>41</v>
      </c>
      <c r="AB4" s="26" t="s">
        <v>42</v>
      </c>
      <c r="AC4" s="86" t="s">
        <v>43</v>
      </c>
      <c r="AE4"/>
      <c r="AF4"/>
      <c r="AG4"/>
    </row>
    <row r="5" spans="1:33" ht="15">
      <c r="B5" s="86"/>
      <c r="C5" s="86"/>
      <c r="D5" s="86"/>
      <c r="E5" s="86"/>
      <c r="F5" s="86"/>
      <c r="G5" s="86"/>
      <c r="H5" s="86"/>
      <c r="I5" s="86"/>
      <c r="J5" s="86"/>
      <c r="K5" s="86"/>
      <c r="L5" s="86"/>
      <c r="M5" s="86"/>
      <c r="N5" s="86"/>
      <c r="O5" s="86"/>
      <c r="P5" s="86"/>
      <c r="Q5" s="86"/>
      <c r="R5" s="86"/>
      <c r="S5" s="86"/>
      <c r="T5" s="86"/>
      <c r="U5" s="86"/>
      <c r="V5" s="86"/>
      <c r="W5" s="86"/>
      <c r="X5" s="86"/>
      <c r="Y5" s="86"/>
      <c r="Z5" s="86"/>
      <c r="AA5" s="86"/>
      <c r="AB5" s="26" t="s">
        <v>44</v>
      </c>
      <c r="AC5" s="86"/>
      <c r="AE5"/>
      <c r="AF5"/>
      <c r="AG5"/>
    </row>
    <row r="6" spans="1:33" ht="15">
      <c r="A6" s="23">
        <f>YEAR(B6)</f>
        <v>2026</v>
      </c>
      <c r="B6" s="27">
        <v>46023</v>
      </c>
      <c r="C6" s="35">
        <f>($AC6/$AB6)/24</f>
        <v>4768.1774499976163</v>
      </c>
      <c r="D6" s="35">
        <f t="shared" ref="D6:Z17" si="0">($AC6/$AB6)/24</f>
        <v>4768.1774499976163</v>
      </c>
      <c r="E6" s="35">
        <f t="shared" si="0"/>
        <v>4768.1774499976163</v>
      </c>
      <c r="F6" s="35">
        <f t="shared" si="0"/>
        <v>4768.1774499976163</v>
      </c>
      <c r="G6" s="35">
        <f t="shared" si="0"/>
        <v>4768.1774499976163</v>
      </c>
      <c r="H6" s="35">
        <f t="shared" si="0"/>
        <v>4768.1774499976163</v>
      </c>
      <c r="I6" s="35">
        <f t="shared" si="0"/>
        <v>4768.1774499976163</v>
      </c>
      <c r="J6" s="35">
        <f t="shared" si="0"/>
        <v>4768.1774499976163</v>
      </c>
      <c r="K6" s="35">
        <f t="shared" si="0"/>
        <v>4768.1774499976163</v>
      </c>
      <c r="L6" s="35">
        <f t="shared" si="0"/>
        <v>4768.1774499976163</v>
      </c>
      <c r="M6" s="35">
        <f t="shared" si="0"/>
        <v>4768.1774499976163</v>
      </c>
      <c r="N6" s="35">
        <f t="shared" si="0"/>
        <v>4768.1774499976163</v>
      </c>
      <c r="O6" s="35">
        <f t="shared" si="0"/>
        <v>4768.1774499976163</v>
      </c>
      <c r="P6" s="35">
        <f t="shared" si="0"/>
        <v>4768.1774499976163</v>
      </c>
      <c r="Q6" s="35">
        <f t="shared" si="0"/>
        <v>4768.1774499976163</v>
      </c>
      <c r="R6" s="35">
        <f t="shared" si="0"/>
        <v>4768.1774499976163</v>
      </c>
      <c r="S6" s="35">
        <f t="shared" si="0"/>
        <v>4768.1774499976163</v>
      </c>
      <c r="T6" s="35">
        <f t="shared" si="0"/>
        <v>4768.1774499976163</v>
      </c>
      <c r="U6" s="35">
        <f t="shared" si="0"/>
        <v>4768.1774499976163</v>
      </c>
      <c r="V6" s="35">
        <f t="shared" si="0"/>
        <v>4768.1774499976163</v>
      </c>
      <c r="W6" s="35">
        <f t="shared" si="0"/>
        <v>4768.1774499976163</v>
      </c>
      <c r="X6" s="35">
        <f t="shared" si="0"/>
        <v>4768.1774499976163</v>
      </c>
      <c r="Y6" s="35">
        <f t="shared" si="0"/>
        <v>4768.1774499976163</v>
      </c>
      <c r="Z6" s="35">
        <f t="shared" si="0"/>
        <v>4768.1774499976163</v>
      </c>
      <c r="AA6" s="35">
        <f>SUM(C6:Z6)</f>
        <v>114436.25879994279</v>
      </c>
      <c r="AB6" s="28">
        <f>DAY(EOMONTH(B6,0))</f>
        <v>31</v>
      </c>
      <c r="AC6" s="29">
        <v>3547524.0227982267</v>
      </c>
      <c r="AD6" s="37"/>
      <c r="AE6"/>
      <c r="AF6"/>
      <c r="AG6"/>
    </row>
    <row r="7" spans="1:33" ht="15">
      <c r="A7" s="23">
        <f t="shared" ref="A7:A70" si="1">YEAR(B7)</f>
        <v>2026</v>
      </c>
      <c r="B7" s="27">
        <v>46054</v>
      </c>
      <c r="C7" s="35">
        <f t="shared" ref="C7:R22" si="2">($AC7/$AB7)/24</f>
        <v>6450.4038481825473</v>
      </c>
      <c r="D7" s="35">
        <f t="shared" si="0"/>
        <v>6450.4038481825473</v>
      </c>
      <c r="E7" s="35">
        <f t="shared" si="0"/>
        <v>6450.4038481825473</v>
      </c>
      <c r="F7" s="35">
        <f t="shared" si="0"/>
        <v>6450.4038481825473</v>
      </c>
      <c r="G7" s="35">
        <f t="shared" si="0"/>
        <v>6450.4038481825473</v>
      </c>
      <c r="H7" s="35">
        <f t="shared" si="0"/>
        <v>6450.4038481825473</v>
      </c>
      <c r="I7" s="35">
        <f t="shared" si="0"/>
        <v>6450.4038481825473</v>
      </c>
      <c r="J7" s="35">
        <f t="shared" si="0"/>
        <v>6450.4038481825473</v>
      </c>
      <c r="K7" s="35">
        <f t="shared" si="0"/>
        <v>6450.4038481825473</v>
      </c>
      <c r="L7" s="35">
        <f t="shared" si="0"/>
        <v>6450.4038481825473</v>
      </c>
      <c r="M7" s="35">
        <f t="shared" si="0"/>
        <v>6450.4038481825473</v>
      </c>
      <c r="N7" s="35">
        <f t="shared" si="0"/>
        <v>6450.4038481825473</v>
      </c>
      <c r="O7" s="35">
        <f t="shared" si="0"/>
        <v>6450.4038481825473</v>
      </c>
      <c r="P7" s="35">
        <f t="shared" si="0"/>
        <v>6450.4038481825473</v>
      </c>
      <c r="Q7" s="35">
        <f t="shared" si="0"/>
        <v>6450.4038481825473</v>
      </c>
      <c r="R7" s="35">
        <f t="shared" si="0"/>
        <v>6450.4038481825473</v>
      </c>
      <c r="S7" s="35">
        <f t="shared" si="0"/>
        <v>6450.4038481825473</v>
      </c>
      <c r="T7" s="35">
        <f t="shared" si="0"/>
        <v>6450.4038481825473</v>
      </c>
      <c r="U7" s="35">
        <f t="shared" si="0"/>
        <v>6450.4038481825473</v>
      </c>
      <c r="V7" s="35">
        <f t="shared" si="0"/>
        <v>6450.4038481825473</v>
      </c>
      <c r="W7" s="35">
        <f t="shared" si="0"/>
        <v>6450.4038481825473</v>
      </c>
      <c r="X7" s="35">
        <f t="shared" si="0"/>
        <v>6450.4038481825473</v>
      </c>
      <c r="Y7" s="35">
        <f t="shared" si="0"/>
        <v>6450.4038481825473</v>
      </c>
      <c r="Z7" s="35">
        <f t="shared" si="0"/>
        <v>6450.4038481825473</v>
      </c>
      <c r="AA7" s="35">
        <f t="shared" ref="AA7:AA17" si="3">SUM(C7:Z7)</f>
        <v>154809.6923563811</v>
      </c>
      <c r="AB7" s="28">
        <f t="shared" ref="AB7:AB70" si="4">DAY(EOMONTH(B7,0))</f>
        <v>28</v>
      </c>
      <c r="AC7" s="29">
        <v>4334671.3859786717</v>
      </c>
      <c r="AD7" s="37"/>
      <c r="AE7"/>
      <c r="AF7"/>
      <c r="AG7"/>
    </row>
    <row r="8" spans="1:33" ht="15">
      <c r="A8" s="23">
        <f t="shared" si="1"/>
        <v>2026</v>
      </c>
      <c r="B8" s="27">
        <v>46082</v>
      </c>
      <c r="C8" s="35">
        <f t="shared" si="2"/>
        <v>5728.2544429926857</v>
      </c>
      <c r="D8" s="35">
        <f t="shared" si="0"/>
        <v>5728.2544429926857</v>
      </c>
      <c r="E8" s="35">
        <f t="shared" si="0"/>
        <v>5728.2544429926857</v>
      </c>
      <c r="F8" s="35">
        <f t="shared" si="0"/>
        <v>5728.2544429926857</v>
      </c>
      <c r="G8" s="35">
        <f t="shared" si="0"/>
        <v>5728.2544429926857</v>
      </c>
      <c r="H8" s="35">
        <f t="shared" si="0"/>
        <v>5728.2544429926857</v>
      </c>
      <c r="I8" s="35">
        <f t="shared" si="0"/>
        <v>5728.2544429926857</v>
      </c>
      <c r="J8" s="35">
        <f t="shared" si="0"/>
        <v>5728.2544429926857</v>
      </c>
      <c r="K8" s="35">
        <f t="shared" si="0"/>
        <v>5728.2544429926857</v>
      </c>
      <c r="L8" s="35">
        <f t="shared" si="0"/>
        <v>5728.2544429926857</v>
      </c>
      <c r="M8" s="35">
        <f t="shared" si="0"/>
        <v>5728.2544429926857</v>
      </c>
      <c r="N8" s="35">
        <f t="shared" si="0"/>
        <v>5728.2544429926857</v>
      </c>
      <c r="O8" s="35">
        <f t="shared" si="0"/>
        <v>5728.2544429926857</v>
      </c>
      <c r="P8" s="35">
        <f t="shared" si="0"/>
        <v>5728.2544429926857</v>
      </c>
      <c r="Q8" s="35">
        <f t="shared" si="0"/>
        <v>5728.2544429926857</v>
      </c>
      <c r="R8" s="35">
        <f t="shared" si="0"/>
        <v>5728.2544429926857</v>
      </c>
      <c r="S8" s="35">
        <f t="shared" si="0"/>
        <v>5728.2544429926857</v>
      </c>
      <c r="T8" s="35">
        <f t="shared" si="0"/>
        <v>5728.2544429926857</v>
      </c>
      <c r="U8" s="35">
        <f t="shared" si="0"/>
        <v>5728.2544429926857</v>
      </c>
      <c r="V8" s="35">
        <f t="shared" si="0"/>
        <v>5728.2544429926857</v>
      </c>
      <c r="W8" s="35">
        <f t="shared" si="0"/>
        <v>5728.2544429926857</v>
      </c>
      <c r="X8" s="35">
        <f t="shared" si="0"/>
        <v>5728.2544429926857</v>
      </c>
      <c r="Y8" s="35">
        <f t="shared" si="0"/>
        <v>5728.2544429926857</v>
      </c>
      <c r="Z8" s="35">
        <f t="shared" si="0"/>
        <v>5728.2544429926857</v>
      </c>
      <c r="AA8" s="35">
        <f t="shared" si="3"/>
        <v>137478.10663182437</v>
      </c>
      <c r="AB8" s="28">
        <f t="shared" si="4"/>
        <v>31</v>
      </c>
      <c r="AC8" s="29">
        <v>4261821.3055865578</v>
      </c>
      <c r="AD8" s="37"/>
      <c r="AE8"/>
      <c r="AF8"/>
      <c r="AG8"/>
    </row>
    <row r="9" spans="1:33" ht="15">
      <c r="A9" s="23">
        <f t="shared" si="1"/>
        <v>2026</v>
      </c>
      <c r="B9" s="27">
        <v>46113</v>
      </c>
      <c r="C9" s="35">
        <f t="shared" si="2"/>
        <v>5156.8130779869707</v>
      </c>
      <c r="D9" s="35">
        <f t="shared" si="0"/>
        <v>5156.8130779869707</v>
      </c>
      <c r="E9" s="35">
        <f t="shared" si="0"/>
        <v>5156.8130779869707</v>
      </c>
      <c r="F9" s="35">
        <f t="shared" si="0"/>
        <v>5156.8130779869707</v>
      </c>
      <c r="G9" s="35">
        <f t="shared" si="0"/>
        <v>5156.8130779869707</v>
      </c>
      <c r="H9" s="35">
        <f t="shared" si="0"/>
        <v>5156.8130779869707</v>
      </c>
      <c r="I9" s="35">
        <f t="shared" si="0"/>
        <v>5156.8130779869707</v>
      </c>
      <c r="J9" s="35">
        <f t="shared" si="0"/>
        <v>5156.8130779869707</v>
      </c>
      <c r="K9" s="35">
        <f t="shared" si="0"/>
        <v>5156.8130779869707</v>
      </c>
      <c r="L9" s="35">
        <f t="shared" si="0"/>
        <v>5156.8130779869707</v>
      </c>
      <c r="M9" s="35">
        <f t="shared" si="0"/>
        <v>5156.8130779869707</v>
      </c>
      <c r="N9" s="35">
        <f t="shared" si="0"/>
        <v>5156.8130779869707</v>
      </c>
      <c r="O9" s="35">
        <f t="shared" si="0"/>
        <v>5156.8130779869707</v>
      </c>
      <c r="P9" s="35">
        <f t="shared" si="0"/>
        <v>5156.8130779869707</v>
      </c>
      <c r="Q9" s="35">
        <f t="shared" si="0"/>
        <v>5156.8130779869707</v>
      </c>
      <c r="R9" s="35">
        <f t="shared" si="0"/>
        <v>5156.8130779869707</v>
      </c>
      <c r="S9" s="35">
        <f t="shared" si="0"/>
        <v>5156.8130779869707</v>
      </c>
      <c r="T9" s="35">
        <f t="shared" si="0"/>
        <v>5156.8130779869707</v>
      </c>
      <c r="U9" s="35">
        <f t="shared" si="0"/>
        <v>5156.8130779869707</v>
      </c>
      <c r="V9" s="35">
        <f t="shared" si="0"/>
        <v>5156.8130779869707</v>
      </c>
      <c r="W9" s="35">
        <f t="shared" si="0"/>
        <v>5156.8130779869707</v>
      </c>
      <c r="X9" s="35">
        <f t="shared" si="0"/>
        <v>5156.8130779869707</v>
      </c>
      <c r="Y9" s="35">
        <f t="shared" si="0"/>
        <v>5156.8130779869707</v>
      </c>
      <c r="Z9" s="35">
        <f t="shared" si="0"/>
        <v>5156.8130779869707</v>
      </c>
      <c r="AA9" s="35">
        <f t="shared" si="3"/>
        <v>123763.51387168726</v>
      </c>
      <c r="AB9" s="28">
        <f t="shared" si="4"/>
        <v>30</v>
      </c>
      <c r="AC9" s="29">
        <v>3712905.4161506193</v>
      </c>
      <c r="AD9" s="37"/>
      <c r="AE9"/>
      <c r="AF9"/>
      <c r="AG9"/>
    </row>
    <row r="10" spans="1:33" ht="15">
      <c r="A10" s="23">
        <f t="shared" si="1"/>
        <v>2026</v>
      </c>
      <c r="B10" s="27">
        <v>46143</v>
      </c>
      <c r="C10" s="35">
        <f t="shared" si="2"/>
        <v>5731.6400450970796</v>
      </c>
      <c r="D10" s="35">
        <f t="shared" si="0"/>
        <v>5731.6400450970796</v>
      </c>
      <c r="E10" s="35">
        <f t="shared" si="0"/>
        <v>5731.6400450970796</v>
      </c>
      <c r="F10" s="35">
        <f t="shared" si="0"/>
        <v>5731.6400450970796</v>
      </c>
      <c r="G10" s="35">
        <f t="shared" si="0"/>
        <v>5731.6400450970796</v>
      </c>
      <c r="H10" s="35">
        <f t="shared" si="0"/>
        <v>5731.6400450970796</v>
      </c>
      <c r="I10" s="35">
        <f t="shared" si="0"/>
        <v>5731.6400450970796</v>
      </c>
      <c r="J10" s="35">
        <f t="shared" si="0"/>
        <v>5731.6400450970796</v>
      </c>
      <c r="K10" s="35">
        <f t="shared" si="0"/>
        <v>5731.6400450970796</v>
      </c>
      <c r="L10" s="35">
        <f t="shared" si="0"/>
        <v>5731.6400450970796</v>
      </c>
      <c r="M10" s="35">
        <f t="shared" si="0"/>
        <v>5731.6400450970796</v>
      </c>
      <c r="N10" s="35">
        <f t="shared" si="0"/>
        <v>5731.6400450970796</v>
      </c>
      <c r="O10" s="35">
        <f t="shared" si="0"/>
        <v>5731.6400450970796</v>
      </c>
      <c r="P10" s="35">
        <f t="shared" si="0"/>
        <v>5731.6400450970796</v>
      </c>
      <c r="Q10" s="35">
        <f t="shared" si="0"/>
        <v>5731.6400450970796</v>
      </c>
      <c r="R10" s="35">
        <f t="shared" si="0"/>
        <v>5731.6400450970796</v>
      </c>
      <c r="S10" s="35">
        <f t="shared" si="0"/>
        <v>5731.6400450970796</v>
      </c>
      <c r="T10" s="35">
        <f t="shared" si="0"/>
        <v>5731.6400450970796</v>
      </c>
      <c r="U10" s="35">
        <f t="shared" si="0"/>
        <v>5731.6400450970796</v>
      </c>
      <c r="V10" s="35">
        <f t="shared" si="0"/>
        <v>5731.6400450970796</v>
      </c>
      <c r="W10" s="35">
        <f t="shared" si="0"/>
        <v>5731.6400450970796</v>
      </c>
      <c r="X10" s="35">
        <f t="shared" si="0"/>
        <v>5731.6400450970796</v>
      </c>
      <c r="Y10" s="35">
        <f t="shared" si="0"/>
        <v>5731.6400450970796</v>
      </c>
      <c r="Z10" s="35">
        <f t="shared" si="0"/>
        <v>5731.6400450970796</v>
      </c>
      <c r="AA10" s="35">
        <f t="shared" si="3"/>
        <v>137559.36108232994</v>
      </c>
      <c r="AB10" s="28">
        <f t="shared" si="4"/>
        <v>31</v>
      </c>
      <c r="AC10" s="29">
        <v>4264340.1935522268</v>
      </c>
      <c r="AD10" s="37"/>
      <c r="AE10"/>
      <c r="AF10"/>
      <c r="AG10"/>
    </row>
    <row r="11" spans="1:33" ht="15">
      <c r="A11" s="23">
        <f t="shared" si="1"/>
        <v>2026</v>
      </c>
      <c r="B11" s="27">
        <v>46174</v>
      </c>
      <c r="C11" s="35">
        <f t="shared" si="2"/>
        <v>6235.7731087205748</v>
      </c>
      <c r="D11" s="35">
        <f t="shared" si="0"/>
        <v>6235.7731087205748</v>
      </c>
      <c r="E11" s="35">
        <f t="shared" si="0"/>
        <v>6235.7731087205748</v>
      </c>
      <c r="F11" s="35">
        <f t="shared" si="0"/>
        <v>6235.7731087205748</v>
      </c>
      <c r="G11" s="35">
        <f t="shared" si="0"/>
        <v>6235.7731087205748</v>
      </c>
      <c r="H11" s="35">
        <f t="shared" si="0"/>
        <v>6235.7731087205748</v>
      </c>
      <c r="I11" s="35">
        <f t="shared" si="0"/>
        <v>6235.7731087205748</v>
      </c>
      <c r="J11" s="35">
        <f t="shared" si="0"/>
        <v>6235.7731087205748</v>
      </c>
      <c r="K11" s="35">
        <f t="shared" si="0"/>
        <v>6235.7731087205748</v>
      </c>
      <c r="L11" s="35">
        <f t="shared" si="0"/>
        <v>6235.7731087205748</v>
      </c>
      <c r="M11" s="35">
        <f t="shared" si="0"/>
        <v>6235.7731087205748</v>
      </c>
      <c r="N11" s="35">
        <f t="shared" si="0"/>
        <v>6235.7731087205748</v>
      </c>
      <c r="O11" s="35">
        <f t="shared" si="0"/>
        <v>6235.7731087205748</v>
      </c>
      <c r="P11" s="35">
        <f t="shared" si="0"/>
        <v>6235.7731087205748</v>
      </c>
      <c r="Q11" s="35">
        <f t="shared" si="0"/>
        <v>6235.7731087205748</v>
      </c>
      <c r="R11" s="35">
        <f t="shared" si="0"/>
        <v>6235.7731087205748</v>
      </c>
      <c r="S11" s="35">
        <f t="shared" si="0"/>
        <v>6235.7731087205748</v>
      </c>
      <c r="T11" s="35">
        <f t="shared" si="0"/>
        <v>6235.7731087205748</v>
      </c>
      <c r="U11" s="35">
        <f t="shared" si="0"/>
        <v>6235.7731087205748</v>
      </c>
      <c r="V11" s="35">
        <f t="shared" si="0"/>
        <v>6235.7731087205748</v>
      </c>
      <c r="W11" s="35">
        <f t="shared" si="0"/>
        <v>6235.7731087205748</v>
      </c>
      <c r="X11" s="35">
        <f t="shared" si="0"/>
        <v>6235.7731087205748</v>
      </c>
      <c r="Y11" s="35">
        <f t="shared" si="0"/>
        <v>6235.7731087205748</v>
      </c>
      <c r="Z11" s="35">
        <f t="shared" si="0"/>
        <v>6235.7731087205748</v>
      </c>
      <c r="AA11" s="35">
        <f t="shared" si="3"/>
        <v>149658.55460929379</v>
      </c>
      <c r="AB11" s="28">
        <f t="shared" si="4"/>
        <v>30</v>
      </c>
      <c r="AC11" s="29">
        <v>4489756.638278814</v>
      </c>
      <c r="AD11" s="37"/>
      <c r="AE11"/>
      <c r="AF11"/>
      <c r="AG11"/>
    </row>
    <row r="12" spans="1:33" ht="15">
      <c r="A12" s="23">
        <f t="shared" si="1"/>
        <v>2026</v>
      </c>
      <c r="B12" s="27">
        <v>46204</v>
      </c>
      <c r="C12" s="35">
        <f t="shared" si="2"/>
        <v>6002.2070054345595</v>
      </c>
      <c r="D12" s="35">
        <f t="shared" si="0"/>
        <v>6002.2070054345595</v>
      </c>
      <c r="E12" s="35">
        <f t="shared" si="0"/>
        <v>6002.2070054345595</v>
      </c>
      <c r="F12" s="35">
        <f t="shared" si="0"/>
        <v>6002.2070054345595</v>
      </c>
      <c r="G12" s="35">
        <f t="shared" si="0"/>
        <v>6002.2070054345595</v>
      </c>
      <c r="H12" s="35">
        <f t="shared" si="0"/>
        <v>6002.2070054345595</v>
      </c>
      <c r="I12" s="35">
        <f t="shared" si="0"/>
        <v>6002.2070054345595</v>
      </c>
      <c r="J12" s="35">
        <f t="shared" si="0"/>
        <v>6002.2070054345595</v>
      </c>
      <c r="K12" s="35">
        <f t="shared" si="0"/>
        <v>6002.2070054345595</v>
      </c>
      <c r="L12" s="35">
        <f t="shared" si="0"/>
        <v>6002.2070054345595</v>
      </c>
      <c r="M12" s="35">
        <f t="shared" si="0"/>
        <v>6002.2070054345595</v>
      </c>
      <c r="N12" s="35">
        <f t="shared" si="0"/>
        <v>6002.2070054345595</v>
      </c>
      <c r="O12" s="35">
        <f t="shared" si="0"/>
        <v>6002.2070054345595</v>
      </c>
      <c r="P12" s="35">
        <f t="shared" si="0"/>
        <v>6002.2070054345595</v>
      </c>
      <c r="Q12" s="35">
        <f t="shared" si="0"/>
        <v>6002.2070054345595</v>
      </c>
      <c r="R12" s="35">
        <f t="shared" si="0"/>
        <v>6002.2070054345595</v>
      </c>
      <c r="S12" s="35">
        <f t="shared" si="0"/>
        <v>6002.2070054345595</v>
      </c>
      <c r="T12" s="35">
        <f t="shared" si="0"/>
        <v>6002.2070054345595</v>
      </c>
      <c r="U12" s="35">
        <f t="shared" si="0"/>
        <v>6002.2070054345595</v>
      </c>
      <c r="V12" s="35">
        <f t="shared" si="0"/>
        <v>6002.2070054345595</v>
      </c>
      <c r="W12" s="35">
        <f t="shared" si="0"/>
        <v>6002.2070054345595</v>
      </c>
      <c r="X12" s="35">
        <f t="shared" si="0"/>
        <v>6002.2070054345595</v>
      </c>
      <c r="Y12" s="35">
        <f t="shared" si="0"/>
        <v>6002.2070054345595</v>
      </c>
      <c r="Z12" s="35">
        <f t="shared" si="0"/>
        <v>6002.2070054345595</v>
      </c>
      <c r="AA12" s="35">
        <f t="shared" si="3"/>
        <v>144052.96813042936</v>
      </c>
      <c r="AB12" s="28">
        <f t="shared" si="4"/>
        <v>31</v>
      </c>
      <c r="AC12" s="29">
        <v>4465642.0120433122</v>
      </c>
      <c r="AD12" s="37"/>
      <c r="AE12"/>
      <c r="AF12"/>
      <c r="AG12"/>
    </row>
    <row r="13" spans="1:33" ht="15">
      <c r="A13" s="23">
        <f t="shared" si="1"/>
        <v>2026</v>
      </c>
      <c r="B13" s="27">
        <v>46235</v>
      </c>
      <c r="C13" s="35">
        <f t="shared" si="2"/>
        <v>7497.4237105611928</v>
      </c>
      <c r="D13" s="35">
        <f t="shared" si="0"/>
        <v>7497.4237105611928</v>
      </c>
      <c r="E13" s="35">
        <f t="shared" si="0"/>
        <v>7497.4237105611928</v>
      </c>
      <c r="F13" s="35">
        <f t="shared" si="0"/>
        <v>7497.4237105611928</v>
      </c>
      <c r="G13" s="35">
        <f t="shared" si="0"/>
        <v>7497.4237105611928</v>
      </c>
      <c r="H13" s="35">
        <f t="shared" si="0"/>
        <v>7497.4237105611928</v>
      </c>
      <c r="I13" s="35">
        <f t="shared" si="0"/>
        <v>7497.4237105611928</v>
      </c>
      <c r="J13" s="35">
        <f t="shared" si="0"/>
        <v>7497.4237105611928</v>
      </c>
      <c r="K13" s="35">
        <f t="shared" si="0"/>
        <v>7497.4237105611928</v>
      </c>
      <c r="L13" s="35">
        <f t="shared" si="0"/>
        <v>7497.4237105611928</v>
      </c>
      <c r="M13" s="35">
        <f t="shared" si="0"/>
        <v>7497.4237105611928</v>
      </c>
      <c r="N13" s="35">
        <f t="shared" si="0"/>
        <v>7497.4237105611928</v>
      </c>
      <c r="O13" s="35">
        <f t="shared" si="0"/>
        <v>7497.4237105611928</v>
      </c>
      <c r="P13" s="35">
        <f t="shared" si="0"/>
        <v>7497.4237105611928</v>
      </c>
      <c r="Q13" s="35">
        <f t="shared" si="0"/>
        <v>7497.4237105611928</v>
      </c>
      <c r="R13" s="35">
        <f t="shared" si="0"/>
        <v>7497.4237105611928</v>
      </c>
      <c r="S13" s="35">
        <f t="shared" si="0"/>
        <v>7497.4237105611928</v>
      </c>
      <c r="T13" s="35">
        <f t="shared" si="0"/>
        <v>7497.4237105611928</v>
      </c>
      <c r="U13" s="35">
        <f t="shared" si="0"/>
        <v>7497.4237105611928</v>
      </c>
      <c r="V13" s="35">
        <f t="shared" si="0"/>
        <v>7497.4237105611928</v>
      </c>
      <c r="W13" s="35">
        <f t="shared" si="0"/>
        <v>7497.4237105611928</v>
      </c>
      <c r="X13" s="35">
        <f t="shared" si="0"/>
        <v>7497.4237105611928</v>
      </c>
      <c r="Y13" s="35">
        <f t="shared" si="0"/>
        <v>7497.4237105611928</v>
      </c>
      <c r="Z13" s="35">
        <f t="shared" si="0"/>
        <v>7497.4237105611928</v>
      </c>
      <c r="AA13" s="35">
        <f t="shared" si="3"/>
        <v>179938.16905346859</v>
      </c>
      <c r="AB13" s="28">
        <f t="shared" si="4"/>
        <v>31</v>
      </c>
      <c r="AC13" s="29">
        <v>5578083.240657527</v>
      </c>
      <c r="AD13" s="37"/>
      <c r="AE13"/>
      <c r="AF13"/>
      <c r="AG13"/>
    </row>
    <row r="14" spans="1:33" ht="15">
      <c r="A14" s="23">
        <f t="shared" si="1"/>
        <v>2026</v>
      </c>
      <c r="B14" s="27">
        <v>46266</v>
      </c>
      <c r="C14" s="35">
        <f t="shared" si="2"/>
        <v>12530.544394950222</v>
      </c>
      <c r="D14" s="35">
        <f t="shared" si="0"/>
        <v>12530.544394950222</v>
      </c>
      <c r="E14" s="35">
        <f t="shared" si="0"/>
        <v>12530.544394950222</v>
      </c>
      <c r="F14" s="35">
        <f t="shared" si="0"/>
        <v>12530.544394950222</v>
      </c>
      <c r="G14" s="35">
        <f t="shared" si="0"/>
        <v>12530.544394950222</v>
      </c>
      <c r="H14" s="35">
        <f t="shared" si="0"/>
        <v>12530.544394950222</v>
      </c>
      <c r="I14" s="35">
        <f t="shared" si="0"/>
        <v>12530.544394950222</v>
      </c>
      <c r="J14" s="35">
        <f t="shared" si="0"/>
        <v>12530.544394950222</v>
      </c>
      <c r="K14" s="35">
        <f t="shared" si="0"/>
        <v>12530.544394950222</v>
      </c>
      <c r="L14" s="35">
        <f t="shared" si="0"/>
        <v>12530.544394950222</v>
      </c>
      <c r="M14" s="35">
        <f t="shared" si="0"/>
        <v>12530.544394950222</v>
      </c>
      <c r="N14" s="35">
        <f t="shared" si="0"/>
        <v>12530.544394950222</v>
      </c>
      <c r="O14" s="35">
        <f t="shared" si="0"/>
        <v>12530.544394950222</v>
      </c>
      <c r="P14" s="35">
        <f t="shared" si="0"/>
        <v>12530.544394950222</v>
      </c>
      <c r="Q14" s="35">
        <f t="shared" si="0"/>
        <v>12530.544394950222</v>
      </c>
      <c r="R14" s="35">
        <f t="shared" si="0"/>
        <v>12530.544394950222</v>
      </c>
      <c r="S14" s="35">
        <f t="shared" si="0"/>
        <v>12530.544394950222</v>
      </c>
      <c r="T14" s="35">
        <f t="shared" si="0"/>
        <v>12530.544394950222</v>
      </c>
      <c r="U14" s="35">
        <f t="shared" si="0"/>
        <v>12530.544394950222</v>
      </c>
      <c r="V14" s="35">
        <f t="shared" si="0"/>
        <v>12530.544394950222</v>
      </c>
      <c r="W14" s="35">
        <f t="shared" si="0"/>
        <v>12530.544394950222</v>
      </c>
      <c r="X14" s="35">
        <f t="shared" si="0"/>
        <v>12530.544394950222</v>
      </c>
      <c r="Y14" s="35">
        <f t="shared" si="0"/>
        <v>12530.544394950222</v>
      </c>
      <c r="Z14" s="35">
        <f t="shared" si="0"/>
        <v>12530.544394950222</v>
      </c>
      <c r="AA14" s="35">
        <f t="shared" si="3"/>
        <v>300733.06547880516</v>
      </c>
      <c r="AB14" s="28">
        <f t="shared" si="4"/>
        <v>30</v>
      </c>
      <c r="AC14" s="29">
        <v>9021991.9643641599</v>
      </c>
      <c r="AD14" s="37"/>
      <c r="AE14"/>
      <c r="AF14"/>
      <c r="AG14"/>
    </row>
    <row r="15" spans="1:33" ht="15">
      <c r="A15" s="23">
        <f t="shared" si="1"/>
        <v>2026</v>
      </c>
      <c r="B15" s="27">
        <v>46296</v>
      </c>
      <c r="C15" s="35">
        <f t="shared" si="2"/>
        <v>11862.048277865397</v>
      </c>
      <c r="D15" s="35">
        <f t="shared" si="0"/>
        <v>11862.048277865397</v>
      </c>
      <c r="E15" s="35">
        <f t="shared" si="0"/>
        <v>11862.048277865397</v>
      </c>
      <c r="F15" s="35">
        <f t="shared" si="0"/>
        <v>11862.048277865397</v>
      </c>
      <c r="G15" s="35">
        <f t="shared" si="0"/>
        <v>11862.048277865397</v>
      </c>
      <c r="H15" s="35">
        <f t="shared" si="0"/>
        <v>11862.048277865397</v>
      </c>
      <c r="I15" s="35">
        <f t="shared" si="0"/>
        <v>11862.048277865397</v>
      </c>
      <c r="J15" s="35">
        <f t="shared" si="0"/>
        <v>11862.048277865397</v>
      </c>
      <c r="K15" s="35">
        <f t="shared" si="0"/>
        <v>11862.048277865397</v>
      </c>
      <c r="L15" s="35">
        <f t="shared" si="0"/>
        <v>11862.048277865397</v>
      </c>
      <c r="M15" s="35">
        <f t="shared" si="0"/>
        <v>11862.048277865397</v>
      </c>
      <c r="N15" s="35">
        <f t="shared" si="0"/>
        <v>11862.048277865397</v>
      </c>
      <c r="O15" s="35">
        <f t="shared" si="0"/>
        <v>11862.048277865397</v>
      </c>
      <c r="P15" s="35">
        <f t="shared" si="0"/>
        <v>11862.048277865397</v>
      </c>
      <c r="Q15" s="35">
        <f t="shared" si="0"/>
        <v>11862.048277865397</v>
      </c>
      <c r="R15" s="35">
        <f t="shared" si="0"/>
        <v>11862.048277865397</v>
      </c>
      <c r="S15" s="35">
        <f t="shared" si="0"/>
        <v>11862.048277865397</v>
      </c>
      <c r="T15" s="35">
        <f t="shared" si="0"/>
        <v>11862.048277865397</v>
      </c>
      <c r="U15" s="35">
        <f t="shared" si="0"/>
        <v>11862.048277865397</v>
      </c>
      <c r="V15" s="35">
        <f t="shared" si="0"/>
        <v>11862.048277865397</v>
      </c>
      <c r="W15" s="35">
        <f t="shared" si="0"/>
        <v>11862.048277865397</v>
      </c>
      <c r="X15" s="35">
        <f t="shared" si="0"/>
        <v>11862.048277865397</v>
      </c>
      <c r="Y15" s="35">
        <f t="shared" si="0"/>
        <v>11862.048277865397</v>
      </c>
      <c r="Z15" s="35">
        <f t="shared" si="0"/>
        <v>11862.048277865397</v>
      </c>
      <c r="AA15" s="35">
        <f t="shared" si="3"/>
        <v>284689.15866876952</v>
      </c>
      <c r="AB15" s="28">
        <f t="shared" si="4"/>
        <v>31</v>
      </c>
      <c r="AC15" s="29">
        <v>8825363.9187318552</v>
      </c>
      <c r="AD15" s="37"/>
      <c r="AE15"/>
      <c r="AF15"/>
      <c r="AG15"/>
    </row>
    <row r="16" spans="1:33" ht="15">
      <c r="A16" s="23">
        <f t="shared" si="1"/>
        <v>2026</v>
      </c>
      <c r="B16" s="27">
        <v>46327</v>
      </c>
      <c r="C16" s="35">
        <f t="shared" si="2"/>
        <v>12530.544394950222</v>
      </c>
      <c r="D16" s="35">
        <f t="shared" si="0"/>
        <v>12530.544394950222</v>
      </c>
      <c r="E16" s="35">
        <f t="shared" si="0"/>
        <v>12530.544394950222</v>
      </c>
      <c r="F16" s="35">
        <f t="shared" si="0"/>
        <v>12530.544394950222</v>
      </c>
      <c r="G16" s="35">
        <f t="shared" si="0"/>
        <v>12530.544394950222</v>
      </c>
      <c r="H16" s="35">
        <f t="shared" si="0"/>
        <v>12530.544394950222</v>
      </c>
      <c r="I16" s="35">
        <f t="shared" si="0"/>
        <v>12530.544394950222</v>
      </c>
      <c r="J16" s="35">
        <f t="shared" si="0"/>
        <v>12530.544394950222</v>
      </c>
      <c r="K16" s="35">
        <f t="shared" si="0"/>
        <v>12530.544394950222</v>
      </c>
      <c r="L16" s="35">
        <f t="shared" si="0"/>
        <v>12530.544394950222</v>
      </c>
      <c r="M16" s="35">
        <f t="shared" si="0"/>
        <v>12530.544394950222</v>
      </c>
      <c r="N16" s="35">
        <f t="shared" si="0"/>
        <v>12530.544394950222</v>
      </c>
      <c r="O16" s="35">
        <f t="shared" si="0"/>
        <v>12530.544394950222</v>
      </c>
      <c r="P16" s="35">
        <f t="shared" si="0"/>
        <v>12530.544394950222</v>
      </c>
      <c r="Q16" s="35">
        <f t="shared" si="0"/>
        <v>12530.544394950222</v>
      </c>
      <c r="R16" s="35">
        <f t="shared" si="0"/>
        <v>12530.544394950222</v>
      </c>
      <c r="S16" s="35">
        <f t="shared" si="0"/>
        <v>12530.544394950222</v>
      </c>
      <c r="T16" s="35">
        <f t="shared" si="0"/>
        <v>12530.544394950222</v>
      </c>
      <c r="U16" s="35">
        <f t="shared" si="0"/>
        <v>12530.544394950222</v>
      </c>
      <c r="V16" s="35">
        <f t="shared" si="0"/>
        <v>12530.544394950222</v>
      </c>
      <c r="W16" s="35">
        <f t="shared" si="0"/>
        <v>12530.544394950222</v>
      </c>
      <c r="X16" s="35">
        <f t="shared" si="0"/>
        <v>12530.544394950222</v>
      </c>
      <c r="Y16" s="35">
        <f t="shared" si="0"/>
        <v>12530.544394950222</v>
      </c>
      <c r="Z16" s="35">
        <f t="shared" si="0"/>
        <v>12530.544394950222</v>
      </c>
      <c r="AA16" s="35">
        <f t="shared" si="3"/>
        <v>300733.06547880516</v>
      </c>
      <c r="AB16" s="28">
        <f t="shared" si="4"/>
        <v>30</v>
      </c>
      <c r="AC16" s="29">
        <v>9021991.9643641599</v>
      </c>
      <c r="AD16" s="37"/>
      <c r="AE16"/>
      <c r="AF16"/>
      <c r="AG16"/>
    </row>
    <row r="17" spans="1:33" ht="15">
      <c r="A17" s="23">
        <f t="shared" si="1"/>
        <v>2026</v>
      </c>
      <c r="B17" s="27">
        <v>46357</v>
      </c>
      <c r="C17" s="35">
        <f t="shared" si="2"/>
        <v>11862.048277865397</v>
      </c>
      <c r="D17" s="35">
        <f t="shared" si="0"/>
        <v>11862.048277865397</v>
      </c>
      <c r="E17" s="35">
        <f t="shared" si="0"/>
        <v>11862.048277865397</v>
      </c>
      <c r="F17" s="35">
        <f t="shared" ref="F17:U32" si="5">($AC17/$AB17)/24</f>
        <v>11862.048277865397</v>
      </c>
      <c r="G17" s="35">
        <f t="shared" si="5"/>
        <v>11862.048277865397</v>
      </c>
      <c r="H17" s="35">
        <f t="shared" si="5"/>
        <v>11862.048277865397</v>
      </c>
      <c r="I17" s="35">
        <f t="shared" si="5"/>
        <v>11862.048277865397</v>
      </c>
      <c r="J17" s="35">
        <f t="shared" si="5"/>
        <v>11862.048277865397</v>
      </c>
      <c r="K17" s="35">
        <f t="shared" si="5"/>
        <v>11862.048277865397</v>
      </c>
      <c r="L17" s="35">
        <f t="shared" si="5"/>
        <v>11862.048277865397</v>
      </c>
      <c r="M17" s="35">
        <f t="shared" si="5"/>
        <v>11862.048277865397</v>
      </c>
      <c r="N17" s="35">
        <f t="shared" si="5"/>
        <v>11862.048277865397</v>
      </c>
      <c r="O17" s="35">
        <f t="shared" si="5"/>
        <v>11862.048277865397</v>
      </c>
      <c r="P17" s="35">
        <f t="shared" si="5"/>
        <v>11862.048277865397</v>
      </c>
      <c r="Q17" s="35">
        <f t="shared" si="5"/>
        <v>11862.048277865397</v>
      </c>
      <c r="R17" s="35">
        <f t="shared" si="5"/>
        <v>11862.048277865397</v>
      </c>
      <c r="S17" s="35">
        <f t="shared" si="5"/>
        <v>11862.048277865397</v>
      </c>
      <c r="T17" s="35">
        <f t="shared" si="5"/>
        <v>11862.048277865397</v>
      </c>
      <c r="U17" s="35">
        <f t="shared" si="5"/>
        <v>11862.048277865397</v>
      </c>
      <c r="V17" s="35">
        <f t="shared" ref="U17:Z32" si="6">($AC17/$AB17)/24</f>
        <v>11862.048277865397</v>
      </c>
      <c r="W17" s="35">
        <f t="shared" si="6"/>
        <v>11862.048277865397</v>
      </c>
      <c r="X17" s="35">
        <f t="shared" si="6"/>
        <v>11862.048277865397</v>
      </c>
      <c r="Y17" s="35">
        <f t="shared" si="6"/>
        <v>11862.048277865397</v>
      </c>
      <c r="Z17" s="35">
        <f t="shared" si="6"/>
        <v>11862.048277865397</v>
      </c>
      <c r="AA17" s="35">
        <f t="shared" si="3"/>
        <v>284689.15866876952</v>
      </c>
      <c r="AB17" s="28">
        <f t="shared" si="4"/>
        <v>31</v>
      </c>
      <c r="AC17" s="29">
        <v>8825363.9187318552</v>
      </c>
      <c r="AD17" s="37"/>
      <c r="AE17"/>
      <c r="AF17"/>
      <c r="AG17"/>
    </row>
    <row r="18" spans="1:33" ht="15">
      <c r="A18" s="23">
        <f t="shared" si="1"/>
        <v>2027</v>
      </c>
      <c r="B18" s="27">
        <v>46388</v>
      </c>
      <c r="C18" s="35">
        <f t="shared" si="2"/>
        <v>11862.013277865395</v>
      </c>
      <c r="D18" s="35">
        <f t="shared" si="2"/>
        <v>11862.013277865395</v>
      </c>
      <c r="E18" s="35">
        <f t="shared" si="2"/>
        <v>11862.013277865395</v>
      </c>
      <c r="F18" s="35">
        <f t="shared" si="2"/>
        <v>11862.013277865395</v>
      </c>
      <c r="G18" s="35">
        <f t="shared" si="2"/>
        <v>11862.013277865395</v>
      </c>
      <c r="H18" s="35">
        <f t="shared" si="2"/>
        <v>11862.013277865395</v>
      </c>
      <c r="I18" s="35">
        <f t="shared" si="2"/>
        <v>11862.013277865395</v>
      </c>
      <c r="J18" s="35">
        <f t="shared" si="2"/>
        <v>11862.013277865395</v>
      </c>
      <c r="K18" s="35">
        <f t="shared" si="2"/>
        <v>11862.013277865395</v>
      </c>
      <c r="L18" s="35">
        <f t="shared" si="2"/>
        <v>11862.013277865395</v>
      </c>
      <c r="M18" s="35">
        <f t="shared" si="2"/>
        <v>11862.013277865395</v>
      </c>
      <c r="N18" s="35">
        <f t="shared" si="2"/>
        <v>11862.013277865395</v>
      </c>
      <c r="O18" s="35">
        <f t="shared" si="2"/>
        <v>11862.013277865395</v>
      </c>
      <c r="P18" s="35">
        <f t="shared" si="2"/>
        <v>11862.013277865395</v>
      </c>
      <c r="Q18" s="35">
        <f t="shared" si="2"/>
        <v>11862.013277865395</v>
      </c>
      <c r="R18" s="35">
        <f t="shared" si="2"/>
        <v>11862.013277865395</v>
      </c>
      <c r="S18" s="35">
        <f t="shared" si="5"/>
        <v>11862.013277865395</v>
      </c>
      <c r="T18" s="35">
        <f t="shared" si="5"/>
        <v>11862.013277865395</v>
      </c>
      <c r="U18" s="35">
        <f t="shared" si="6"/>
        <v>11862.013277865395</v>
      </c>
      <c r="V18" s="35">
        <f t="shared" si="6"/>
        <v>11862.013277865395</v>
      </c>
      <c r="W18" s="35">
        <f t="shared" si="6"/>
        <v>11862.013277865395</v>
      </c>
      <c r="X18" s="35">
        <f t="shared" si="6"/>
        <v>11862.013277865395</v>
      </c>
      <c r="Y18" s="35">
        <f t="shared" si="6"/>
        <v>11862.013277865395</v>
      </c>
      <c r="Z18" s="35">
        <f t="shared" si="6"/>
        <v>11862.013277865395</v>
      </c>
      <c r="AA18" s="35">
        <f>SUM(C18:Z18)</f>
        <v>284688.3186687695</v>
      </c>
      <c r="AB18" s="28">
        <f t="shared" si="4"/>
        <v>31</v>
      </c>
      <c r="AC18" s="29">
        <v>8825337.8787318543</v>
      </c>
      <c r="AD18" s="37"/>
      <c r="AE18"/>
      <c r="AF18"/>
      <c r="AG18"/>
    </row>
    <row r="19" spans="1:33" ht="15">
      <c r="A19" s="23">
        <f t="shared" si="1"/>
        <v>2027</v>
      </c>
      <c r="B19" s="27">
        <v>46419</v>
      </c>
      <c r="C19" s="35">
        <f t="shared" si="2"/>
        <v>14010.750797066625</v>
      </c>
      <c r="D19" s="35">
        <f t="shared" si="2"/>
        <v>14010.750797066625</v>
      </c>
      <c r="E19" s="35">
        <f t="shared" si="2"/>
        <v>14010.750797066625</v>
      </c>
      <c r="F19" s="35">
        <f t="shared" si="2"/>
        <v>14010.750797066625</v>
      </c>
      <c r="G19" s="35">
        <f t="shared" si="2"/>
        <v>14010.750797066625</v>
      </c>
      <c r="H19" s="35">
        <f t="shared" si="2"/>
        <v>14010.750797066625</v>
      </c>
      <c r="I19" s="35">
        <f t="shared" si="2"/>
        <v>14010.750797066625</v>
      </c>
      <c r="J19" s="35">
        <f t="shared" si="2"/>
        <v>14010.750797066625</v>
      </c>
      <c r="K19" s="35">
        <f t="shared" si="2"/>
        <v>14010.750797066625</v>
      </c>
      <c r="L19" s="35">
        <f t="shared" si="2"/>
        <v>14010.750797066625</v>
      </c>
      <c r="M19" s="35">
        <f t="shared" si="2"/>
        <v>14010.750797066625</v>
      </c>
      <c r="N19" s="35">
        <f t="shared" si="2"/>
        <v>14010.750797066625</v>
      </c>
      <c r="O19" s="35">
        <f t="shared" si="2"/>
        <v>14010.750797066625</v>
      </c>
      <c r="P19" s="35">
        <f t="shared" si="2"/>
        <v>14010.750797066625</v>
      </c>
      <c r="Q19" s="35">
        <f t="shared" si="2"/>
        <v>14010.750797066625</v>
      </c>
      <c r="R19" s="35">
        <f t="shared" si="2"/>
        <v>14010.750797066625</v>
      </c>
      <c r="S19" s="35">
        <f t="shared" si="5"/>
        <v>14010.750797066625</v>
      </c>
      <c r="T19" s="35">
        <f t="shared" si="5"/>
        <v>14010.750797066625</v>
      </c>
      <c r="U19" s="35">
        <f t="shared" si="6"/>
        <v>14010.750797066625</v>
      </c>
      <c r="V19" s="35">
        <f t="shared" si="6"/>
        <v>14010.750797066625</v>
      </c>
      <c r="W19" s="35">
        <f t="shared" si="6"/>
        <v>14010.750797066625</v>
      </c>
      <c r="X19" s="35">
        <f t="shared" si="6"/>
        <v>14010.750797066625</v>
      </c>
      <c r="Y19" s="35">
        <f t="shared" si="6"/>
        <v>14010.750797066625</v>
      </c>
      <c r="Z19" s="35">
        <f t="shared" si="6"/>
        <v>14010.750797066625</v>
      </c>
      <c r="AA19" s="35">
        <f t="shared" ref="AA19:AA29" si="7">SUM(C19:Z19)</f>
        <v>336258.01912959892</v>
      </c>
      <c r="AB19" s="28">
        <f t="shared" si="4"/>
        <v>28</v>
      </c>
      <c r="AC19" s="29">
        <v>9415224.5356287714</v>
      </c>
      <c r="AD19" s="37"/>
      <c r="AE19"/>
      <c r="AF19"/>
      <c r="AG19"/>
    </row>
    <row r="20" spans="1:33" ht="15">
      <c r="A20" s="23">
        <f t="shared" si="1"/>
        <v>2027</v>
      </c>
      <c r="B20" s="27">
        <v>46447</v>
      </c>
      <c r="C20" s="35">
        <f t="shared" si="2"/>
        <v>11862.013277865395</v>
      </c>
      <c r="D20" s="35">
        <f t="shared" si="2"/>
        <v>11862.013277865395</v>
      </c>
      <c r="E20" s="35">
        <f t="shared" si="2"/>
        <v>11862.013277865395</v>
      </c>
      <c r="F20" s="35">
        <f t="shared" si="2"/>
        <v>11862.013277865395</v>
      </c>
      <c r="G20" s="35">
        <f t="shared" si="2"/>
        <v>11862.013277865395</v>
      </c>
      <c r="H20" s="35">
        <f t="shared" si="2"/>
        <v>11862.013277865395</v>
      </c>
      <c r="I20" s="35">
        <f t="shared" si="2"/>
        <v>11862.013277865395</v>
      </c>
      <c r="J20" s="35">
        <f t="shared" si="2"/>
        <v>11862.013277865395</v>
      </c>
      <c r="K20" s="35">
        <f t="shared" si="2"/>
        <v>11862.013277865395</v>
      </c>
      <c r="L20" s="35">
        <f t="shared" si="2"/>
        <v>11862.013277865395</v>
      </c>
      <c r="M20" s="35">
        <f t="shared" si="2"/>
        <v>11862.013277865395</v>
      </c>
      <c r="N20" s="35">
        <f t="shared" si="2"/>
        <v>11862.013277865395</v>
      </c>
      <c r="O20" s="35">
        <f t="shared" si="2"/>
        <v>11862.013277865395</v>
      </c>
      <c r="P20" s="35">
        <f t="shared" si="2"/>
        <v>11862.013277865395</v>
      </c>
      <c r="Q20" s="35">
        <f t="shared" si="2"/>
        <v>11862.013277865395</v>
      </c>
      <c r="R20" s="35">
        <f t="shared" si="2"/>
        <v>11862.013277865395</v>
      </c>
      <c r="S20" s="35">
        <f t="shared" si="5"/>
        <v>11862.013277865395</v>
      </c>
      <c r="T20" s="35">
        <f t="shared" si="5"/>
        <v>11862.013277865395</v>
      </c>
      <c r="U20" s="35">
        <f t="shared" si="6"/>
        <v>11862.013277865395</v>
      </c>
      <c r="V20" s="35">
        <f t="shared" si="6"/>
        <v>11862.013277865395</v>
      </c>
      <c r="W20" s="35">
        <f t="shared" si="6"/>
        <v>11862.013277865395</v>
      </c>
      <c r="X20" s="35">
        <f t="shared" si="6"/>
        <v>11862.013277865395</v>
      </c>
      <c r="Y20" s="35">
        <f t="shared" si="6"/>
        <v>11862.013277865395</v>
      </c>
      <c r="Z20" s="35">
        <f t="shared" si="6"/>
        <v>11862.013277865395</v>
      </c>
      <c r="AA20" s="35">
        <f t="shared" si="7"/>
        <v>284688.3186687695</v>
      </c>
      <c r="AB20" s="28">
        <f t="shared" si="4"/>
        <v>31</v>
      </c>
      <c r="AC20" s="29">
        <v>8825337.8787318543</v>
      </c>
      <c r="AD20" s="37"/>
      <c r="AE20"/>
      <c r="AF20"/>
      <c r="AG20"/>
    </row>
    <row r="21" spans="1:33" ht="15">
      <c r="A21" s="23">
        <f t="shared" si="1"/>
        <v>2027</v>
      </c>
      <c r="B21" s="27">
        <v>46478</v>
      </c>
      <c r="C21" s="35">
        <f t="shared" si="2"/>
        <v>12530.509394950224</v>
      </c>
      <c r="D21" s="35">
        <f t="shared" si="2"/>
        <v>12530.509394950224</v>
      </c>
      <c r="E21" s="35">
        <f t="shared" si="2"/>
        <v>12530.509394950224</v>
      </c>
      <c r="F21" s="35">
        <f t="shared" si="2"/>
        <v>12530.509394950224</v>
      </c>
      <c r="G21" s="35">
        <f t="shared" si="2"/>
        <v>12530.509394950224</v>
      </c>
      <c r="H21" s="35">
        <f t="shared" si="2"/>
        <v>12530.509394950224</v>
      </c>
      <c r="I21" s="35">
        <f t="shared" si="2"/>
        <v>12530.509394950224</v>
      </c>
      <c r="J21" s="35">
        <f t="shared" si="2"/>
        <v>12530.509394950224</v>
      </c>
      <c r="K21" s="35">
        <f t="shared" si="2"/>
        <v>12530.509394950224</v>
      </c>
      <c r="L21" s="35">
        <f t="shared" si="2"/>
        <v>12530.509394950224</v>
      </c>
      <c r="M21" s="35">
        <f t="shared" si="2"/>
        <v>12530.509394950224</v>
      </c>
      <c r="N21" s="35">
        <f t="shared" si="2"/>
        <v>12530.509394950224</v>
      </c>
      <c r="O21" s="35">
        <f t="shared" si="2"/>
        <v>12530.509394950224</v>
      </c>
      <c r="P21" s="35">
        <f t="shared" si="2"/>
        <v>12530.509394950224</v>
      </c>
      <c r="Q21" s="35">
        <f t="shared" si="2"/>
        <v>12530.509394950224</v>
      </c>
      <c r="R21" s="35">
        <f t="shared" si="2"/>
        <v>12530.509394950224</v>
      </c>
      <c r="S21" s="35">
        <f t="shared" si="5"/>
        <v>12530.509394950224</v>
      </c>
      <c r="T21" s="35">
        <f t="shared" si="5"/>
        <v>12530.509394950224</v>
      </c>
      <c r="U21" s="35">
        <f t="shared" si="6"/>
        <v>12530.509394950224</v>
      </c>
      <c r="V21" s="35">
        <f t="shared" si="6"/>
        <v>12530.509394950224</v>
      </c>
      <c r="W21" s="35">
        <f t="shared" si="6"/>
        <v>12530.509394950224</v>
      </c>
      <c r="X21" s="35">
        <f t="shared" si="6"/>
        <v>12530.509394950224</v>
      </c>
      <c r="Y21" s="35">
        <f t="shared" si="6"/>
        <v>12530.509394950224</v>
      </c>
      <c r="Z21" s="35">
        <f t="shared" si="6"/>
        <v>12530.509394950224</v>
      </c>
      <c r="AA21" s="35">
        <f t="shared" si="7"/>
        <v>300732.22547880549</v>
      </c>
      <c r="AB21" s="28">
        <f t="shared" si="4"/>
        <v>30</v>
      </c>
      <c r="AC21" s="29">
        <v>9021966.7643641606</v>
      </c>
      <c r="AD21" s="37"/>
      <c r="AE21"/>
      <c r="AF21"/>
      <c r="AG21"/>
    </row>
    <row r="22" spans="1:33" ht="15">
      <c r="A22" s="23">
        <f t="shared" si="1"/>
        <v>2027</v>
      </c>
      <c r="B22" s="27">
        <v>46508</v>
      </c>
      <c r="C22" s="35">
        <f t="shared" si="2"/>
        <v>11862.013277865395</v>
      </c>
      <c r="D22" s="35">
        <f t="shared" si="2"/>
        <v>11862.013277865395</v>
      </c>
      <c r="E22" s="35">
        <f t="shared" si="2"/>
        <v>11862.013277865395</v>
      </c>
      <c r="F22" s="35">
        <f t="shared" si="2"/>
        <v>11862.013277865395</v>
      </c>
      <c r="G22" s="35">
        <f t="shared" si="2"/>
        <v>11862.013277865395</v>
      </c>
      <c r="H22" s="35">
        <f t="shared" si="2"/>
        <v>11862.013277865395</v>
      </c>
      <c r="I22" s="35">
        <f t="shared" si="2"/>
        <v>11862.013277865395</v>
      </c>
      <c r="J22" s="35">
        <f t="shared" si="2"/>
        <v>11862.013277865395</v>
      </c>
      <c r="K22" s="35">
        <f t="shared" si="2"/>
        <v>11862.013277865395</v>
      </c>
      <c r="L22" s="35">
        <f t="shared" si="2"/>
        <v>11862.013277865395</v>
      </c>
      <c r="M22" s="35">
        <f t="shared" si="2"/>
        <v>11862.013277865395</v>
      </c>
      <c r="N22" s="35">
        <f t="shared" si="2"/>
        <v>11862.013277865395</v>
      </c>
      <c r="O22" s="35">
        <f t="shared" si="2"/>
        <v>11862.013277865395</v>
      </c>
      <c r="P22" s="35">
        <f t="shared" si="2"/>
        <v>11862.013277865395</v>
      </c>
      <c r="Q22" s="35">
        <f t="shared" si="2"/>
        <v>11862.013277865395</v>
      </c>
      <c r="R22" s="35">
        <f t="shared" si="2"/>
        <v>11862.013277865395</v>
      </c>
      <c r="S22" s="35">
        <f t="shared" si="5"/>
        <v>11862.013277865395</v>
      </c>
      <c r="T22" s="35">
        <f t="shared" si="5"/>
        <v>11862.013277865395</v>
      </c>
      <c r="U22" s="35">
        <f t="shared" si="6"/>
        <v>11862.013277865395</v>
      </c>
      <c r="V22" s="35">
        <f t="shared" si="6"/>
        <v>11862.013277865395</v>
      </c>
      <c r="W22" s="35">
        <f t="shared" si="6"/>
        <v>11862.013277865395</v>
      </c>
      <c r="X22" s="35">
        <f t="shared" si="6"/>
        <v>11862.013277865395</v>
      </c>
      <c r="Y22" s="35">
        <f t="shared" si="6"/>
        <v>11862.013277865395</v>
      </c>
      <c r="Z22" s="35">
        <f t="shared" si="6"/>
        <v>11862.013277865395</v>
      </c>
      <c r="AA22" s="35">
        <f t="shared" si="7"/>
        <v>284688.3186687695</v>
      </c>
      <c r="AB22" s="28">
        <f t="shared" si="4"/>
        <v>31</v>
      </c>
      <c r="AC22" s="29">
        <v>8825337.8787318543</v>
      </c>
      <c r="AD22" s="37"/>
      <c r="AE22"/>
    </row>
    <row r="23" spans="1:33" ht="15">
      <c r="A23" s="23">
        <f t="shared" si="1"/>
        <v>2027</v>
      </c>
      <c r="B23" s="27">
        <v>46539</v>
      </c>
      <c r="C23" s="35">
        <f t="shared" ref="C23:R38" si="8">($AC23/$AB23)/24</f>
        <v>12530.509394950224</v>
      </c>
      <c r="D23" s="35">
        <f t="shared" si="8"/>
        <v>12530.509394950224</v>
      </c>
      <c r="E23" s="35">
        <f t="shared" si="8"/>
        <v>12530.509394950224</v>
      </c>
      <c r="F23" s="35">
        <f t="shared" si="8"/>
        <v>12530.509394950224</v>
      </c>
      <c r="G23" s="35">
        <f t="shared" si="8"/>
        <v>12530.509394950224</v>
      </c>
      <c r="H23" s="35">
        <f t="shared" si="8"/>
        <v>12530.509394950224</v>
      </c>
      <c r="I23" s="35">
        <f t="shared" si="8"/>
        <v>12530.509394950224</v>
      </c>
      <c r="J23" s="35">
        <f t="shared" si="8"/>
        <v>12530.509394950224</v>
      </c>
      <c r="K23" s="35">
        <f t="shared" si="8"/>
        <v>12530.509394950224</v>
      </c>
      <c r="L23" s="35">
        <f t="shared" si="8"/>
        <v>12530.509394950224</v>
      </c>
      <c r="M23" s="35">
        <f t="shared" si="8"/>
        <v>12530.509394950224</v>
      </c>
      <c r="N23" s="35">
        <f t="shared" si="8"/>
        <v>12530.509394950224</v>
      </c>
      <c r="O23" s="35">
        <f t="shared" si="8"/>
        <v>12530.509394950224</v>
      </c>
      <c r="P23" s="35">
        <f t="shared" si="8"/>
        <v>12530.509394950224</v>
      </c>
      <c r="Q23" s="35">
        <f t="shared" si="8"/>
        <v>12530.509394950224</v>
      </c>
      <c r="R23" s="35">
        <f t="shared" si="8"/>
        <v>12530.509394950224</v>
      </c>
      <c r="S23" s="35">
        <f t="shared" si="5"/>
        <v>12530.509394950224</v>
      </c>
      <c r="T23" s="35">
        <f t="shared" si="5"/>
        <v>12530.509394950224</v>
      </c>
      <c r="U23" s="35">
        <f t="shared" si="6"/>
        <v>12530.509394950224</v>
      </c>
      <c r="V23" s="35">
        <f t="shared" si="6"/>
        <v>12530.509394950224</v>
      </c>
      <c r="W23" s="35">
        <f t="shared" si="6"/>
        <v>12530.509394950224</v>
      </c>
      <c r="X23" s="35">
        <f t="shared" si="6"/>
        <v>12530.509394950224</v>
      </c>
      <c r="Y23" s="35">
        <f t="shared" si="6"/>
        <v>12530.509394950224</v>
      </c>
      <c r="Z23" s="35">
        <f t="shared" si="6"/>
        <v>12530.509394950224</v>
      </c>
      <c r="AA23" s="35">
        <f t="shared" si="7"/>
        <v>300732.22547880549</v>
      </c>
      <c r="AB23" s="28">
        <f t="shared" si="4"/>
        <v>30</v>
      </c>
      <c r="AC23" s="29">
        <v>9021966.7643641606</v>
      </c>
      <c r="AD23" s="37"/>
      <c r="AE23"/>
    </row>
    <row r="24" spans="1:33" ht="15">
      <c r="A24" s="23">
        <f t="shared" si="1"/>
        <v>2027</v>
      </c>
      <c r="B24" s="27">
        <v>46569</v>
      </c>
      <c r="C24" s="35">
        <f t="shared" si="8"/>
        <v>11862.013277865395</v>
      </c>
      <c r="D24" s="35">
        <f t="shared" si="8"/>
        <v>11862.013277865395</v>
      </c>
      <c r="E24" s="35">
        <f t="shared" si="8"/>
        <v>11862.013277865395</v>
      </c>
      <c r="F24" s="35">
        <f t="shared" si="8"/>
        <v>11862.013277865395</v>
      </c>
      <c r="G24" s="35">
        <f t="shared" si="8"/>
        <v>11862.013277865395</v>
      </c>
      <c r="H24" s="35">
        <f t="shared" si="8"/>
        <v>11862.013277865395</v>
      </c>
      <c r="I24" s="35">
        <f t="shared" si="8"/>
        <v>11862.013277865395</v>
      </c>
      <c r="J24" s="35">
        <f t="shared" si="8"/>
        <v>11862.013277865395</v>
      </c>
      <c r="K24" s="35">
        <f t="shared" si="8"/>
        <v>11862.013277865395</v>
      </c>
      <c r="L24" s="35">
        <f t="shared" si="8"/>
        <v>11862.013277865395</v>
      </c>
      <c r="M24" s="35">
        <f t="shared" si="8"/>
        <v>11862.013277865395</v>
      </c>
      <c r="N24" s="35">
        <f t="shared" si="8"/>
        <v>11862.013277865395</v>
      </c>
      <c r="O24" s="35">
        <f t="shared" si="8"/>
        <v>11862.013277865395</v>
      </c>
      <c r="P24" s="35">
        <f t="shared" si="8"/>
        <v>11862.013277865395</v>
      </c>
      <c r="Q24" s="35">
        <f t="shared" si="8"/>
        <v>11862.013277865395</v>
      </c>
      <c r="R24" s="35">
        <f t="shared" si="8"/>
        <v>11862.013277865395</v>
      </c>
      <c r="S24" s="35">
        <f t="shared" si="5"/>
        <v>11862.013277865395</v>
      </c>
      <c r="T24" s="35">
        <f t="shared" si="5"/>
        <v>11862.013277865395</v>
      </c>
      <c r="U24" s="35">
        <f t="shared" si="6"/>
        <v>11862.013277865395</v>
      </c>
      <c r="V24" s="35">
        <f t="shared" si="6"/>
        <v>11862.013277865395</v>
      </c>
      <c r="W24" s="35">
        <f t="shared" si="6"/>
        <v>11862.013277865395</v>
      </c>
      <c r="X24" s="35">
        <f t="shared" si="6"/>
        <v>11862.013277865395</v>
      </c>
      <c r="Y24" s="35">
        <f t="shared" si="6"/>
        <v>11862.013277865395</v>
      </c>
      <c r="Z24" s="35">
        <f t="shared" si="6"/>
        <v>11862.013277865395</v>
      </c>
      <c r="AA24" s="35">
        <f t="shared" si="7"/>
        <v>284688.3186687695</v>
      </c>
      <c r="AB24" s="28">
        <f t="shared" si="4"/>
        <v>31</v>
      </c>
      <c r="AC24" s="29">
        <v>8825337.8787318543</v>
      </c>
      <c r="AD24" s="37"/>
      <c r="AE24"/>
    </row>
    <row r="25" spans="1:33" ht="15">
      <c r="A25" s="23">
        <f t="shared" si="1"/>
        <v>2027</v>
      </c>
      <c r="B25" s="27">
        <v>46600</v>
      </c>
      <c r="C25" s="35">
        <f t="shared" si="8"/>
        <v>11862.013277865395</v>
      </c>
      <c r="D25" s="35">
        <f t="shared" si="8"/>
        <v>11862.013277865395</v>
      </c>
      <c r="E25" s="35">
        <f t="shared" si="8"/>
        <v>11862.013277865395</v>
      </c>
      <c r="F25" s="35">
        <f t="shared" si="8"/>
        <v>11862.013277865395</v>
      </c>
      <c r="G25" s="35">
        <f t="shared" si="8"/>
        <v>11862.013277865395</v>
      </c>
      <c r="H25" s="35">
        <f t="shared" si="8"/>
        <v>11862.013277865395</v>
      </c>
      <c r="I25" s="35">
        <f t="shared" si="8"/>
        <v>11862.013277865395</v>
      </c>
      <c r="J25" s="35">
        <f t="shared" si="8"/>
        <v>11862.013277865395</v>
      </c>
      <c r="K25" s="35">
        <f t="shared" si="8"/>
        <v>11862.013277865395</v>
      </c>
      <c r="L25" s="35">
        <f t="shared" si="8"/>
        <v>11862.013277865395</v>
      </c>
      <c r="M25" s="35">
        <f t="shared" si="8"/>
        <v>11862.013277865395</v>
      </c>
      <c r="N25" s="35">
        <f t="shared" si="8"/>
        <v>11862.013277865395</v>
      </c>
      <c r="O25" s="35">
        <f t="shared" si="8"/>
        <v>11862.013277865395</v>
      </c>
      <c r="P25" s="35">
        <f t="shared" si="8"/>
        <v>11862.013277865395</v>
      </c>
      <c r="Q25" s="35">
        <f t="shared" si="8"/>
        <v>11862.013277865395</v>
      </c>
      <c r="R25" s="35">
        <f t="shared" si="8"/>
        <v>11862.013277865395</v>
      </c>
      <c r="S25" s="35">
        <f t="shared" si="5"/>
        <v>11862.013277865395</v>
      </c>
      <c r="T25" s="35">
        <f t="shared" si="5"/>
        <v>11862.013277865395</v>
      </c>
      <c r="U25" s="35">
        <f t="shared" si="6"/>
        <v>11862.013277865395</v>
      </c>
      <c r="V25" s="35">
        <f t="shared" si="6"/>
        <v>11862.013277865395</v>
      </c>
      <c r="W25" s="35">
        <f t="shared" si="6"/>
        <v>11862.013277865395</v>
      </c>
      <c r="X25" s="35">
        <f t="shared" si="6"/>
        <v>11862.013277865395</v>
      </c>
      <c r="Y25" s="35">
        <f t="shared" si="6"/>
        <v>11862.013277865395</v>
      </c>
      <c r="Z25" s="35">
        <f t="shared" si="6"/>
        <v>11862.013277865395</v>
      </c>
      <c r="AA25" s="35">
        <f t="shared" si="7"/>
        <v>284688.3186687695</v>
      </c>
      <c r="AB25" s="28">
        <f t="shared" si="4"/>
        <v>31</v>
      </c>
      <c r="AC25" s="29">
        <v>8825337.8787318543</v>
      </c>
      <c r="AD25" s="37"/>
      <c r="AE25"/>
    </row>
    <row r="26" spans="1:33" ht="15">
      <c r="A26" s="23">
        <f t="shared" si="1"/>
        <v>2027</v>
      </c>
      <c r="B26" s="27">
        <v>46631</v>
      </c>
      <c r="C26" s="35">
        <f t="shared" si="8"/>
        <v>12530.509394950224</v>
      </c>
      <c r="D26" s="35">
        <f t="shared" si="8"/>
        <v>12530.509394950224</v>
      </c>
      <c r="E26" s="35">
        <f t="shared" si="8"/>
        <v>12530.509394950224</v>
      </c>
      <c r="F26" s="35">
        <f t="shared" si="8"/>
        <v>12530.509394950224</v>
      </c>
      <c r="G26" s="35">
        <f t="shared" si="8"/>
        <v>12530.509394950224</v>
      </c>
      <c r="H26" s="35">
        <f t="shared" si="8"/>
        <v>12530.509394950224</v>
      </c>
      <c r="I26" s="35">
        <f t="shared" si="8"/>
        <v>12530.509394950224</v>
      </c>
      <c r="J26" s="35">
        <f t="shared" si="8"/>
        <v>12530.509394950224</v>
      </c>
      <c r="K26" s="35">
        <f t="shared" si="8"/>
        <v>12530.509394950224</v>
      </c>
      <c r="L26" s="35">
        <f t="shared" si="8"/>
        <v>12530.509394950224</v>
      </c>
      <c r="M26" s="35">
        <f t="shared" si="8"/>
        <v>12530.509394950224</v>
      </c>
      <c r="N26" s="35">
        <f t="shared" si="8"/>
        <v>12530.509394950224</v>
      </c>
      <c r="O26" s="35">
        <f t="shared" si="8"/>
        <v>12530.509394950224</v>
      </c>
      <c r="P26" s="35">
        <f t="shared" si="8"/>
        <v>12530.509394950224</v>
      </c>
      <c r="Q26" s="35">
        <f t="shared" si="8"/>
        <v>12530.509394950224</v>
      </c>
      <c r="R26" s="35">
        <f t="shared" si="8"/>
        <v>12530.509394950224</v>
      </c>
      <c r="S26" s="35">
        <f t="shared" si="5"/>
        <v>12530.509394950224</v>
      </c>
      <c r="T26" s="35">
        <f t="shared" si="5"/>
        <v>12530.509394950224</v>
      </c>
      <c r="U26" s="35">
        <f t="shared" si="6"/>
        <v>12530.509394950224</v>
      </c>
      <c r="V26" s="35">
        <f t="shared" si="6"/>
        <v>12530.509394950224</v>
      </c>
      <c r="W26" s="35">
        <f t="shared" si="6"/>
        <v>12530.509394950224</v>
      </c>
      <c r="X26" s="35">
        <f t="shared" si="6"/>
        <v>12530.509394950224</v>
      </c>
      <c r="Y26" s="35">
        <f t="shared" si="6"/>
        <v>12530.509394950224</v>
      </c>
      <c r="Z26" s="35">
        <f t="shared" si="6"/>
        <v>12530.509394950224</v>
      </c>
      <c r="AA26" s="35">
        <f t="shared" si="7"/>
        <v>300732.22547880549</v>
      </c>
      <c r="AB26" s="28">
        <f t="shared" si="4"/>
        <v>30</v>
      </c>
      <c r="AC26" s="29">
        <v>9021966.7643641606</v>
      </c>
      <c r="AD26" s="37"/>
      <c r="AE26"/>
    </row>
    <row r="27" spans="1:33" ht="15">
      <c r="A27" s="23">
        <f t="shared" si="1"/>
        <v>2027</v>
      </c>
      <c r="B27" s="27">
        <v>46661</v>
      </c>
      <c r="C27" s="35">
        <f t="shared" si="8"/>
        <v>11862.013277865395</v>
      </c>
      <c r="D27" s="35">
        <f t="shared" si="8"/>
        <v>11862.013277865395</v>
      </c>
      <c r="E27" s="35">
        <f t="shared" si="8"/>
        <v>11862.013277865395</v>
      </c>
      <c r="F27" s="35">
        <f t="shared" si="8"/>
        <v>11862.013277865395</v>
      </c>
      <c r="G27" s="35">
        <f t="shared" si="8"/>
        <v>11862.013277865395</v>
      </c>
      <c r="H27" s="35">
        <f t="shared" si="8"/>
        <v>11862.013277865395</v>
      </c>
      <c r="I27" s="35">
        <f t="shared" si="8"/>
        <v>11862.013277865395</v>
      </c>
      <c r="J27" s="35">
        <f t="shared" si="8"/>
        <v>11862.013277865395</v>
      </c>
      <c r="K27" s="35">
        <f t="shared" si="8"/>
        <v>11862.013277865395</v>
      </c>
      <c r="L27" s="35">
        <f t="shared" si="8"/>
        <v>11862.013277865395</v>
      </c>
      <c r="M27" s="35">
        <f t="shared" si="8"/>
        <v>11862.013277865395</v>
      </c>
      <c r="N27" s="35">
        <f t="shared" si="8"/>
        <v>11862.013277865395</v>
      </c>
      <c r="O27" s="35">
        <f t="shared" si="8"/>
        <v>11862.013277865395</v>
      </c>
      <c r="P27" s="35">
        <f t="shared" si="8"/>
        <v>11862.013277865395</v>
      </c>
      <c r="Q27" s="35">
        <f t="shared" si="8"/>
        <v>11862.013277865395</v>
      </c>
      <c r="R27" s="35">
        <f t="shared" si="8"/>
        <v>11862.013277865395</v>
      </c>
      <c r="S27" s="35">
        <f t="shared" si="5"/>
        <v>11862.013277865395</v>
      </c>
      <c r="T27" s="35">
        <f t="shared" si="5"/>
        <v>11862.013277865395</v>
      </c>
      <c r="U27" s="35">
        <f t="shared" si="6"/>
        <v>11862.013277865395</v>
      </c>
      <c r="V27" s="35">
        <f t="shared" si="6"/>
        <v>11862.013277865395</v>
      </c>
      <c r="W27" s="35">
        <f t="shared" si="6"/>
        <v>11862.013277865395</v>
      </c>
      <c r="X27" s="35">
        <f t="shared" si="6"/>
        <v>11862.013277865395</v>
      </c>
      <c r="Y27" s="35">
        <f t="shared" si="6"/>
        <v>11862.013277865395</v>
      </c>
      <c r="Z27" s="35">
        <f t="shared" si="6"/>
        <v>11862.013277865395</v>
      </c>
      <c r="AA27" s="35">
        <f t="shared" si="7"/>
        <v>284688.3186687695</v>
      </c>
      <c r="AB27" s="28">
        <f t="shared" si="4"/>
        <v>31</v>
      </c>
      <c r="AC27" s="29">
        <v>8825337.8787318543</v>
      </c>
      <c r="AD27" s="37"/>
      <c r="AE27"/>
    </row>
    <row r="28" spans="1:33" ht="15">
      <c r="A28" s="23">
        <f t="shared" si="1"/>
        <v>2027</v>
      </c>
      <c r="B28" s="27">
        <v>46692</v>
      </c>
      <c r="C28" s="35">
        <f t="shared" si="8"/>
        <v>12530.509394950224</v>
      </c>
      <c r="D28" s="35">
        <f t="shared" si="8"/>
        <v>12530.509394950224</v>
      </c>
      <c r="E28" s="35">
        <f t="shared" si="8"/>
        <v>12530.509394950224</v>
      </c>
      <c r="F28" s="35">
        <f t="shared" si="8"/>
        <v>12530.509394950224</v>
      </c>
      <c r="G28" s="35">
        <f t="shared" si="8"/>
        <v>12530.509394950224</v>
      </c>
      <c r="H28" s="35">
        <f t="shared" si="8"/>
        <v>12530.509394950224</v>
      </c>
      <c r="I28" s="35">
        <f t="shared" si="8"/>
        <v>12530.509394950224</v>
      </c>
      <c r="J28" s="35">
        <f t="shared" si="8"/>
        <v>12530.509394950224</v>
      </c>
      <c r="K28" s="35">
        <f t="shared" si="8"/>
        <v>12530.509394950224</v>
      </c>
      <c r="L28" s="35">
        <f t="shared" si="8"/>
        <v>12530.509394950224</v>
      </c>
      <c r="M28" s="35">
        <f t="shared" si="8"/>
        <v>12530.509394950224</v>
      </c>
      <c r="N28" s="35">
        <f t="shared" si="8"/>
        <v>12530.509394950224</v>
      </c>
      <c r="O28" s="35">
        <f t="shared" si="8"/>
        <v>12530.509394950224</v>
      </c>
      <c r="P28" s="35">
        <f t="shared" si="8"/>
        <v>12530.509394950224</v>
      </c>
      <c r="Q28" s="35">
        <f t="shared" si="8"/>
        <v>12530.509394950224</v>
      </c>
      <c r="R28" s="35">
        <f t="shared" si="8"/>
        <v>12530.509394950224</v>
      </c>
      <c r="S28" s="35">
        <f t="shared" si="5"/>
        <v>12530.509394950224</v>
      </c>
      <c r="T28" s="35">
        <f t="shared" si="5"/>
        <v>12530.509394950224</v>
      </c>
      <c r="U28" s="35">
        <f t="shared" si="6"/>
        <v>12530.509394950224</v>
      </c>
      <c r="V28" s="35">
        <f t="shared" si="6"/>
        <v>12530.509394950224</v>
      </c>
      <c r="W28" s="35">
        <f t="shared" si="6"/>
        <v>12530.509394950224</v>
      </c>
      <c r="X28" s="35">
        <f t="shared" si="6"/>
        <v>12530.509394950224</v>
      </c>
      <c r="Y28" s="35">
        <f t="shared" si="6"/>
        <v>12530.509394950224</v>
      </c>
      <c r="Z28" s="35">
        <f t="shared" si="6"/>
        <v>12530.509394950224</v>
      </c>
      <c r="AA28" s="35">
        <f t="shared" si="7"/>
        <v>300732.22547880549</v>
      </c>
      <c r="AB28" s="28">
        <f t="shared" si="4"/>
        <v>30</v>
      </c>
      <c r="AC28" s="29">
        <v>9021966.7643641606</v>
      </c>
      <c r="AD28" s="37"/>
      <c r="AE28"/>
    </row>
    <row r="29" spans="1:33" ht="15">
      <c r="A29" s="23">
        <f t="shared" si="1"/>
        <v>2027</v>
      </c>
      <c r="B29" s="27">
        <v>46722</v>
      </c>
      <c r="C29" s="35">
        <f t="shared" si="8"/>
        <v>11862.013277865395</v>
      </c>
      <c r="D29" s="35">
        <f t="shared" si="8"/>
        <v>11862.013277865395</v>
      </c>
      <c r="E29" s="35">
        <f t="shared" si="8"/>
        <v>11862.013277865395</v>
      </c>
      <c r="F29" s="35">
        <f t="shared" si="8"/>
        <v>11862.013277865395</v>
      </c>
      <c r="G29" s="35">
        <f t="shared" si="8"/>
        <v>11862.013277865395</v>
      </c>
      <c r="H29" s="35">
        <f t="shared" si="8"/>
        <v>11862.013277865395</v>
      </c>
      <c r="I29" s="35">
        <f t="shared" si="8"/>
        <v>11862.013277865395</v>
      </c>
      <c r="J29" s="35">
        <f t="shared" si="8"/>
        <v>11862.013277865395</v>
      </c>
      <c r="K29" s="35">
        <f t="shared" si="8"/>
        <v>11862.013277865395</v>
      </c>
      <c r="L29" s="35">
        <f t="shared" si="8"/>
        <v>11862.013277865395</v>
      </c>
      <c r="M29" s="35">
        <f t="shared" si="8"/>
        <v>11862.013277865395</v>
      </c>
      <c r="N29" s="35">
        <f t="shared" si="8"/>
        <v>11862.013277865395</v>
      </c>
      <c r="O29" s="35">
        <f t="shared" si="8"/>
        <v>11862.013277865395</v>
      </c>
      <c r="P29" s="35">
        <f t="shared" si="8"/>
        <v>11862.013277865395</v>
      </c>
      <c r="Q29" s="35">
        <f t="shared" si="8"/>
        <v>11862.013277865395</v>
      </c>
      <c r="R29" s="35">
        <f t="shared" si="8"/>
        <v>11862.013277865395</v>
      </c>
      <c r="S29" s="35">
        <f t="shared" si="5"/>
        <v>11862.013277865395</v>
      </c>
      <c r="T29" s="35">
        <f t="shared" si="5"/>
        <v>11862.013277865395</v>
      </c>
      <c r="U29" s="35">
        <f t="shared" si="6"/>
        <v>11862.013277865395</v>
      </c>
      <c r="V29" s="35">
        <f t="shared" si="6"/>
        <v>11862.013277865395</v>
      </c>
      <c r="W29" s="35">
        <f t="shared" si="6"/>
        <v>11862.013277865395</v>
      </c>
      <c r="X29" s="35">
        <f t="shared" si="6"/>
        <v>11862.013277865395</v>
      </c>
      <c r="Y29" s="35">
        <f t="shared" si="6"/>
        <v>11862.013277865395</v>
      </c>
      <c r="Z29" s="35">
        <f t="shared" si="6"/>
        <v>11862.013277865395</v>
      </c>
      <c r="AA29" s="35">
        <f t="shared" si="7"/>
        <v>284688.3186687695</v>
      </c>
      <c r="AB29" s="28">
        <f t="shared" si="4"/>
        <v>31</v>
      </c>
      <c r="AC29" s="29">
        <v>8825337.8787318543</v>
      </c>
      <c r="AD29" s="37"/>
      <c r="AE29"/>
    </row>
    <row r="30" spans="1:33" ht="15">
      <c r="A30" s="23">
        <f t="shared" si="1"/>
        <v>2028</v>
      </c>
      <c r="B30" s="27">
        <v>46753</v>
      </c>
      <c r="C30" s="35">
        <f t="shared" si="8"/>
        <v>15286.668277865398</v>
      </c>
      <c r="D30" s="35">
        <f t="shared" si="8"/>
        <v>15286.668277865398</v>
      </c>
      <c r="E30" s="35">
        <f t="shared" si="8"/>
        <v>15286.668277865398</v>
      </c>
      <c r="F30" s="35">
        <f t="shared" si="8"/>
        <v>15286.668277865398</v>
      </c>
      <c r="G30" s="35">
        <f t="shared" si="8"/>
        <v>15286.668277865398</v>
      </c>
      <c r="H30" s="35">
        <f t="shared" si="8"/>
        <v>15286.668277865398</v>
      </c>
      <c r="I30" s="35">
        <f t="shared" si="8"/>
        <v>15286.668277865398</v>
      </c>
      <c r="J30" s="35">
        <f t="shared" si="8"/>
        <v>15286.668277865398</v>
      </c>
      <c r="K30" s="35">
        <f t="shared" si="8"/>
        <v>15286.668277865398</v>
      </c>
      <c r="L30" s="35">
        <f t="shared" si="8"/>
        <v>15286.668277865398</v>
      </c>
      <c r="M30" s="35">
        <f t="shared" si="8"/>
        <v>15286.668277865398</v>
      </c>
      <c r="N30" s="35">
        <f t="shared" si="8"/>
        <v>15286.668277865398</v>
      </c>
      <c r="O30" s="35">
        <f t="shared" si="8"/>
        <v>15286.668277865398</v>
      </c>
      <c r="P30" s="35">
        <f t="shared" si="8"/>
        <v>15286.668277865398</v>
      </c>
      <c r="Q30" s="35">
        <f t="shared" si="8"/>
        <v>15286.668277865398</v>
      </c>
      <c r="R30" s="35">
        <f t="shared" si="8"/>
        <v>15286.668277865398</v>
      </c>
      <c r="S30" s="35">
        <f t="shared" si="5"/>
        <v>15286.668277865398</v>
      </c>
      <c r="T30" s="35">
        <f t="shared" si="5"/>
        <v>15286.668277865398</v>
      </c>
      <c r="U30" s="35">
        <f t="shared" si="6"/>
        <v>15286.668277865398</v>
      </c>
      <c r="V30" s="35">
        <f t="shared" si="6"/>
        <v>15286.668277865398</v>
      </c>
      <c r="W30" s="35">
        <f t="shared" si="6"/>
        <v>15286.668277865398</v>
      </c>
      <c r="X30" s="35">
        <f t="shared" si="6"/>
        <v>15286.668277865398</v>
      </c>
      <c r="Y30" s="35">
        <f t="shared" si="6"/>
        <v>15286.668277865398</v>
      </c>
      <c r="Z30" s="35">
        <f t="shared" si="6"/>
        <v>15286.668277865398</v>
      </c>
      <c r="AA30" s="35">
        <f>SUM(C30:Z30)</f>
        <v>366880.03866876947</v>
      </c>
      <c r="AB30" s="28">
        <f t="shared" si="4"/>
        <v>31</v>
      </c>
      <c r="AC30" s="29">
        <v>11373281.198731855</v>
      </c>
      <c r="AD30" s="37"/>
      <c r="AE30"/>
    </row>
    <row r="31" spans="1:33" ht="15">
      <c r="A31" s="23">
        <f t="shared" si="1"/>
        <v>2028</v>
      </c>
      <c r="B31" s="27">
        <v>46784</v>
      </c>
      <c r="C31" s="35">
        <f t="shared" si="8"/>
        <v>16669.763692523662</v>
      </c>
      <c r="D31" s="35">
        <f t="shared" si="8"/>
        <v>16669.763692523662</v>
      </c>
      <c r="E31" s="35">
        <f t="shared" si="8"/>
        <v>16669.763692523662</v>
      </c>
      <c r="F31" s="35">
        <f t="shared" si="8"/>
        <v>16669.763692523662</v>
      </c>
      <c r="G31" s="35">
        <f t="shared" si="8"/>
        <v>16669.763692523662</v>
      </c>
      <c r="H31" s="35">
        <f t="shared" si="8"/>
        <v>16669.763692523662</v>
      </c>
      <c r="I31" s="35">
        <f t="shared" si="8"/>
        <v>16669.763692523662</v>
      </c>
      <c r="J31" s="35">
        <f t="shared" si="8"/>
        <v>16669.763692523662</v>
      </c>
      <c r="K31" s="35">
        <f t="shared" si="8"/>
        <v>16669.763692523662</v>
      </c>
      <c r="L31" s="35">
        <f t="shared" si="8"/>
        <v>16669.763692523662</v>
      </c>
      <c r="M31" s="35">
        <f t="shared" si="8"/>
        <v>16669.763692523662</v>
      </c>
      <c r="N31" s="35">
        <f t="shared" si="8"/>
        <v>16669.763692523662</v>
      </c>
      <c r="O31" s="35">
        <f t="shared" si="8"/>
        <v>16669.763692523662</v>
      </c>
      <c r="P31" s="35">
        <f t="shared" si="8"/>
        <v>16669.763692523662</v>
      </c>
      <c r="Q31" s="35">
        <f t="shared" si="8"/>
        <v>16669.763692523662</v>
      </c>
      <c r="R31" s="35">
        <f t="shared" si="8"/>
        <v>16669.763692523662</v>
      </c>
      <c r="S31" s="35">
        <f t="shared" si="5"/>
        <v>16669.763692523662</v>
      </c>
      <c r="T31" s="35">
        <f t="shared" si="5"/>
        <v>16669.763692523662</v>
      </c>
      <c r="U31" s="35">
        <f t="shared" si="6"/>
        <v>16669.763692523662</v>
      </c>
      <c r="V31" s="35">
        <f t="shared" si="6"/>
        <v>16669.763692523662</v>
      </c>
      <c r="W31" s="35">
        <f t="shared" si="6"/>
        <v>16669.763692523662</v>
      </c>
      <c r="X31" s="35">
        <f t="shared" si="6"/>
        <v>16669.763692523662</v>
      </c>
      <c r="Y31" s="35">
        <f t="shared" si="6"/>
        <v>16669.763692523662</v>
      </c>
      <c r="Z31" s="35">
        <f t="shared" si="6"/>
        <v>16669.763692523662</v>
      </c>
      <c r="AA31" s="35">
        <f t="shared" ref="AA31:AA40" si="9">SUM(C31:Z31)</f>
        <v>400074.3286205678</v>
      </c>
      <c r="AB31" s="28">
        <f t="shared" si="4"/>
        <v>29</v>
      </c>
      <c r="AC31" s="29">
        <v>11602155.529996468</v>
      </c>
      <c r="AD31" s="37"/>
      <c r="AE31"/>
    </row>
    <row r="32" spans="1:33" ht="15">
      <c r="A32" s="23">
        <f t="shared" si="1"/>
        <v>2028</v>
      </c>
      <c r="B32" s="27">
        <v>46813</v>
      </c>
      <c r="C32" s="35">
        <f t="shared" si="8"/>
        <v>15286.668277865398</v>
      </c>
      <c r="D32" s="35">
        <f t="shared" si="8"/>
        <v>15286.668277865398</v>
      </c>
      <c r="E32" s="35">
        <f t="shared" si="8"/>
        <v>15286.668277865398</v>
      </c>
      <c r="F32" s="35">
        <f t="shared" si="8"/>
        <v>15286.668277865398</v>
      </c>
      <c r="G32" s="35">
        <f t="shared" si="8"/>
        <v>15286.668277865398</v>
      </c>
      <c r="H32" s="35">
        <f t="shared" si="8"/>
        <v>15286.668277865398</v>
      </c>
      <c r="I32" s="35">
        <f t="shared" si="8"/>
        <v>15286.668277865398</v>
      </c>
      <c r="J32" s="35">
        <f t="shared" si="8"/>
        <v>15286.668277865398</v>
      </c>
      <c r="K32" s="35">
        <f t="shared" si="8"/>
        <v>15286.668277865398</v>
      </c>
      <c r="L32" s="35">
        <f t="shared" si="8"/>
        <v>15286.668277865398</v>
      </c>
      <c r="M32" s="35">
        <f t="shared" si="8"/>
        <v>15286.668277865398</v>
      </c>
      <c r="N32" s="35">
        <f t="shared" si="8"/>
        <v>15286.668277865398</v>
      </c>
      <c r="O32" s="35">
        <f t="shared" si="8"/>
        <v>15286.668277865398</v>
      </c>
      <c r="P32" s="35">
        <f t="shared" si="8"/>
        <v>15286.668277865398</v>
      </c>
      <c r="Q32" s="35">
        <f t="shared" si="8"/>
        <v>15286.668277865398</v>
      </c>
      <c r="R32" s="35">
        <f t="shared" si="8"/>
        <v>15286.668277865398</v>
      </c>
      <c r="S32" s="35">
        <f t="shared" si="5"/>
        <v>15286.668277865398</v>
      </c>
      <c r="T32" s="35">
        <f t="shared" si="5"/>
        <v>15286.668277865398</v>
      </c>
      <c r="U32" s="35">
        <f t="shared" si="6"/>
        <v>15286.668277865398</v>
      </c>
      <c r="V32" s="35">
        <f t="shared" si="6"/>
        <v>15286.668277865398</v>
      </c>
      <c r="W32" s="35">
        <f t="shared" si="6"/>
        <v>15286.668277865398</v>
      </c>
      <c r="X32" s="35">
        <f t="shared" si="6"/>
        <v>15286.668277865398</v>
      </c>
      <c r="Y32" s="35">
        <f t="shared" si="6"/>
        <v>15286.668277865398</v>
      </c>
      <c r="Z32" s="35">
        <f t="shared" si="6"/>
        <v>15286.668277865398</v>
      </c>
      <c r="AA32" s="35">
        <f t="shared" si="9"/>
        <v>366880.03866876947</v>
      </c>
      <c r="AB32" s="28">
        <f t="shared" si="4"/>
        <v>31</v>
      </c>
      <c r="AC32" s="29">
        <v>11373281.198731855</v>
      </c>
      <c r="AD32" s="37"/>
      <c r="AE32"/>
    </row>
    <row r="33" spans="1:31" ht="15">
      <c r="A33" s="23">
        <f t="shared" si="1"/>
        <v>2028</v>
      </c>
      <c r="B33" s="27">
        <v>46844</v>
      </c>
      <c r="C33" s="35">
        <f t="shared" si="8"/>
        <v>15955.164394950223</v>
      </c>
      <c r="D33" s="35">
        <f t="shared" si="8"/>
        <v>15955.164394950223</v>
      </c>
      <c r="E33" s="35">
        <f t="shared" si="8"/>
        <v>15955.164394950223</v>
      </c>
      <c r="F33" s="35">
        <f t="shared" si="8"/>
        <v>15955.164394950223</v>
      </c>
      <c r="G33" s="35">
        <f t="shared" si="8"/>
        <v>15955.164394950223</v>
      </c>
      <c r="H33" s="35">
        <f t="shared" si="8"/>
        <v>15955.164394950223</v>
      </c>
      <c r="I33" s="35">
        <f t="shared" si="8"/>
        <v>15955.164394950223</v>
      </c>
      <c r="J33" s="35">
        <f t="shared" si="8"/>
        <v>15955.164394950223</v>
      </c>
      <c r="K33" s="35">
        <f t="shared" si="8"/>
        <v>15955.164394950223</v>
      </c>
      <c r="L33" s="35">
        <f t="shared" si="8"/>
        <v>15955.164394950223</v>
      </c>
      <c r="M33" s="35">
        <f t="shared" si="8"/>
        <v>15955.164394950223</v>
      </c>
      <c r="N33" s="35">
        <f t="shared" si="8"/>
        <v>15955.164394950223</v>
      </c>
      <c r="O33" s="35">
        <f t="shared" si="8"/>
        <v>15955.164394950223</v>
      </c>
      <c r="P33" s="35">
        <f t="shared" si="8"/>
        <v>15955.164394950223</v>
      </c>
      <c r="Q33" s="35">
        <f t="shared" si="8"/>
        <v>15955.164394950223</v>
      </c>
      <c r="R33" s="35">
        <f t="shared" si="8"/>
        <v>15955.164394950223</v>
      </c>
      <c r="S33" s="35">
        <f t="shared" ref="S33:Z48" si="10">($AC33/$AB33)/24</f>
        <v>15955.164394950223</v>
      </c>
      <c r="T33" s="35">
        <f t="shared" si="10"/>
        <v>15955.164394950223</v>
      </c>
      <c r="U33" s="35">
        <f t="shared" si="10"/>
        <v>15955.164394950223</v>
      </c>
      <c r="V33" s="35">
        <f t="shared" si="10"/>
        <v>15955.164394950223</v>
      </c>
      <c r="W33" s="35">
        <f t="shared" si="10"/>
        <v>15955.164394950223</v>
      </c>
      <c r="X33" s="35">
        <f t="shared" si="10"/>
        <v>15955.164394950223</v>
      </c>
      <c r="Y33" s="35">
        <f t="shared" si="10"/>
        <v>15955.164394950223</v>
      </c>
      <c r="Z33" s="35">
        <f t="shared" si="10"/>
        <v>15955.164394950223</v>
      </c>
      <c r="AA33" s="35">
        <f t="shared" si="9"/>
        <v>382923.94547880528</v>
      </c>
      <c r="AB33" s="28">
        <f t="shared" si="4"/>
        <v>30</v>
      </c>
      <c r="AC33" s="29">
        <v>11487718.36436416</v>
      </c>
      <c r="AD33" s="37"/>
      <c r="AE33"/>
    </row>
    <row r="34" spans="1:31" ht="15">
      <c r="A34" s="23">
        <f t="shared" si="1"/>
        <v>2028</v>
      </c>
      <c r="B34" s="27">
        <v>46874</v>
      </c>
      <c r="C34" s="35">
        <f t="shared" si="8"/>
        <v>15286.668277865398</v>
      </c>
      <c r="D34" s="35">
        <f t="shared" si="8"/>
        <v>15286.668277865398</v>
      </c>
      <c r="E34" s="35">
        <f t="shared" si="8"/>
        <v>15286.668277865398</v>
      </c>
      <c r="F34" s="35">
        <f t="shared" si="8"/>
        <v>15286.668277865398</v>
      </c>
      <c r="G34" s="35">
        <f t="shared" si="8"/>
        <v>15286.668277865398</v>
      </c>
      <c r="H34" s="35">
        <f t="shared" si="8"/>
        <v>15286.668277865398</v>
      </c>
      <c r="I34" s="35">
        <f t="shared" si="8"/>
        <v>15286.668277865398</v>
      </c>
      <c r="J34" s="35">
        <f t="shared" si="8"/>
        <v>15286.668277865398</v>
      </c>
      <c r="K34" s="35">
        <f t="shared" si="8"/>
        <v>15286.668277865398</v>
      </c>
      <c r="L34" s="35">
        <f t="shared" si="8"/>
        <v>15286.668277865398</v>
      </c>
      <c r="M34" s="35">
        <f t="shared" si="8"/>
        <v>15286.668277865398</v>
      </c>
      <c r="N34" s="35">
        <f t="shared" si="8"/>
        <v>15286.668277865398</v>
      </c>
      <c r="O34" s="35">
        <f t="shared" si="8"/>
        <v>15286.668277865398</v>
      </c>
      <c r="P34" s="35">
        <f t="shared" si="8"/>
        <v>15286.668277865398</v>
      </c>
      <c r="Q34" s="35">
        <f t="shared" si="8"/>
        <v>15286.668277865398</v>
      </c>
      <c r="R34" s="35">
        <f t="shared" si="8"/>
        <v>15286.668277865398</v>
      </c>
      <c r="S34" s="35">
        <f t="shared" si="10"/>
        <v>15286.668277865398</v>
      </c>
      <c r="T34" s="35">
        <f t="shared" si="10"/>
        <v>15286.668277865398</v>
      </c>
      <c r="U34" s="35">
        <f t="shared" si="10"/>
        <v>15286.668277865398</v>
      </c>
      <c r="V34" s="35">
        <f t="shared" si="10"/>
        <v>15286.668277865398</v>
      </c>
      <c r="W34" s="35">
        <f t="shared" si="10"/>
        <v>15286.668277865398</v>
      </c>
      <c r="X34" s="35">
        <f t="shared" si="10"/>
        <v>15286.668277865398</v>
      </c>
      <c r="Y34" s="35">
        <f t="shared" si="10"/>
        <v>15286.668277865398</v>
      </c>
      <c r="Z34" s="35">
        <f t="shared" si="10"/>
        <v>15286.668277865398</v>
      </c>
      <c r="AA34" s="35">
        <f t="shared" si="9"/>
        <v>366880.03866876947</v>
      </c>
      <c r="AB34" s="28">
        <f t="shared" si="4"/>
        <v>31</v>
      </c>
      <c r="AC34" s="29">
        <v>11373281.198731855</v>
      </c>
      <c r="AD34" s="37"/>
      <c r="AE34"/>
    </row>
    <row r="35" spans="1:31" ht="15">
      <c r="A35" s="23">
        <f t="shared" si="1"/>
        <v>2028</v>
      </c>
      <c r="B35" s="27">
        <v>46905</v>
      </c>
      <c r="C35" s="35">
        <f t="shared" si="8"/>
        <v>15955.164394950223</v>
      </c>
      <c r="D35" s="35">
        <f t="shared" si="8"/>
        <v>15955.164394950223</v>
      </c>
      <c r="E35" s="35">
        <f t="shared" si="8"/>
        <v>15955.164394950223</v>
      </c>
      <c r="F35" s="35">
        <f t="shared" si="8"/>
        <v>15955.164394950223</v>
      </c>
      <c r="G35" s="35">
        <f t="shared" si="8"/>
        <v>15955.164394950223</v>
      </c>
      <c r="H35" s="35">
        <f t="shared" si="8"/>
        <v>15955.164394950223</v>
      </c>
      <c r="I35" s="35">
        <f t="shared" si="8"/>
        <v>15955.164394950223</v>
      </c>
      <c r="J35" s="35">
        <f t="shared" si="8"/>
        <v>15955.164394950223</v>
      </c>
      <c r="K35" s="35">
        <f t="shared" si="8"/>
        <v>15955.164394950223</v>
      </c>
      <c r="L35" s="35">
        <f t="shared" si="8"/>
        <v>15955.164394950223</v>
      </c>
      <c r="M35" s="35">
        <f t="shared" si="8"/>
        <v>15955.164394950223</v>
      </c>
      <c r="N35" s="35">
        <f t="shared" si="8"/>
        <v>15955.164394950223</v>
      </c>
      <c r="O35" s="35">
        <f t="shared" si="8"/>
        <v>15955.164394950223</v>
      </c>
      <c r="P35" s="35">
        <f t="shared" si="8"/>
        <v>15955.164394950223</v>
      </c>
      <c r="Q35" s="35">
        <f t="shared" si="8"/>
        <v>15955.164394950223</v>
      </c>
      <c r="R35" s="35">
        <f t="shared" si="8"/>
        <v>15955.164394950223</v>
      </c>
      <c r="S35" s="35">
        <f t="shared" si="10"/>
        <v>15955.164394950223</v>
      </c>
      <c r="T35" s="35">
        <f t="shared" si="10"/>
        <v>15955.164394950223</v>
      </c>
      <c r="U35" s="35">
        <f t="shared" si="10"/>
        <v>15955.164394950223</v>
      </c>
      <c r="V35" s="35">
        <f t="shared" si="10"/>
        <v>15955.164394950223</v>
      </c>
      <c r="W35" s="35">
        <f t="shared" si="10"/>
        <v>15955.164394950223</v>
      </c>
      <c r="X35" s="35">
        <f t="shared" si="10"/>
        <v>15955.164394950223</v>
      </c>
      <c r="Y35" s="35">
        <f t="shared" si="10"/>
        <v>15955.164394950223</v>
      </c>
      <c r="Z35" s="35">
        <f t="shared" si="10"/>
        <v>15955.164394950223</v>
      </c>
      <c r="AA35" s="35">
        <f t="shared" si="9"/>
        <v>382923.94547880528</v>
      </c>
      <c r="AB35" s="28">
        <f t="shared" si="4"/>
        <v>30</v>
      </c>
      <c r="AC35" s="29">
        <v>11487718.36436416</v>
      </c>
      <c r="AD35" s="37"/>
      <c r="AE35"/>
    </row>
    <row r="36" spans="1:31" ht="15">
      <c r="A36" s="23">
        <f t="shared" si="1"/>
        <v>2028</v>
      </c>
      <c r="B36" s="27">
        <v>46935</v>
      </c>
      <c r="C36" s="35">
        <f t="shared" si="8"/>
        <v>15286.668277865394</v>
      </c>
      <c r="D36" s="35">
        <f t="shared" si="8"/>
        <v>15286.668277865394</v>
      </c>
      <c r="E36" s="35">
        <f t="shared" si="8"/>
        <v>15286.668277865394</v>
      </c>
      <c r="F36" s="35">
        <f t="shared" si="8"/>
        <v>15286.668277865394</v>
      </c>
      <c r="G36" s="35">
        <f t="shared" si="8"/>
        <v>15286.668277865394</v>
      </c>
      <c r="H36" s="35">
        <f t="shared" si="8"/>
        <v>15286.668277865394</v>
      </c>
      <c r="I36" s="35">
        <f t="shared" si="8"/>
        <v>15286.668277865394</v>
      </c>
      <c r="J36" s="35">
        <f t="shared" si="8"/>
        <v>15286.668277865394</v>
      </c>
      <c r="K36" s="35">
        <f t="shared" si="8"/>
        <v>15286.668277865394</v>
      </c>
      <c r="L36" s="35">
        <f t="shared" si="8"/>
        <v>15286.668277865394</v>
      </c>
      <c r="M36" s="35">
        <f t="shared" si="8"/>
        <v>15286.668277865394</v>
      </c>
      <c r="N36" s="35">
        <f t="shared" si="8"/>
        <v>15286.668277865394</v>
      </c>
      <c r="O36" s="35">
        <f t="shared" si="8"/>
        <v>15286.668277865394</v>
      </c>
      <c r="P36" s="35">
        <f t="shared" si="8"/>
        <v>15286.668277865394</v>
      </c>
      <c r="Q36" s="35">
        <f t="shared" si="8"/>
        <v>15286.668277865394</v>
      </c>
      <c r="R36" s="35">
        <f t="shared" si="8"/>
        <v>15286.668277865394</v>
      </c>
      <c r="S36" s="35">
        <f t="shared" si="10"/>
        <v>15286.668277865394</v>
      </c>
      <c r="T36" s="35">
        <f t="shared" si="10"/>
        <v>15286.668277865394</v>
      </c>
      <c r="U36" s="35">
        <f t="shared" si="10"/>
        <v>15286.668277865394</v>
      </c>
      <c r="V36" s="35">
        <f t="shared" si="10"/>
        <v>15286.668277865394</v>
      </c>
      <c r="W36" s="35">
        <f t="shared" si="10"/>
        <v>15286.668277865394</v>
      </c>
      <c r="X36" s="35">
        <f t="shared" si="10"/>
        <v>15286.668277865394</v>
      </c>
      <c r="Y36" s="35">
        <f t="shared" si="10"/>
        <v>15286.668277865394</v>
      </c>
      <c r="Z36" s="35">
        <f t="shared" si="10"/>
        <v>15286.668277865394</v>
      </c>
      <c r="AA36" s="35">
        <f t="shared" si="9"/>
        <v>366880.03866876947</v>
      </c>
      <c r="AB36" s="28">
        <f t="shared" si="4"/>
        <v>31</v>
      </c>
      <c r="AC36" s="29">
        <v>11373281.198731853</v>
      </c>
      <c r="AD36" s="37"/>
      <c r="AE36"/>
    </row>
    <row r="37" spans="1:31" ht="15">
      <c r="A37" s="23">
        <f t="shared" si="1"/>
        <v>2028</v>
      </c>
      <c r="B37" s="27">
        <v>46966</v>
      </c>
      <c r="C37" s="35">
        <f t="shared" si="8"/>
        <v>15286.668277865399</v>
      </c>
      <c r="D37" s="35">
        <f t="shared" si="8"/>
        <v>15286.668277865399</v>
      </c>
      <c r="E37" s="35">
        <f t="shared" si="8"/>
        <v>15286.668277865399</v>
      </c>
      <c r="F37" s="35">
        <f t="shared" si="8"/>
        <v>15286.668277865399</v>
      </c>
      <c r="G37" s="35">
        <f t="shared" si="8"/>
        <v>15286.668277865399</v>
      </c>
      <c r="H37" s="35">
        <f t="shared" si="8"/>
        <v>15286.668277865399</v>
      </c>
      <c r="I37" s="35">
        <f t="shared" si="8"/>
        <v>15286.668277865399</v>
      </c>
      <c r="J37" s="35">
        <f t="shared" si="8"/>
        <v>15286.668277865399</v>
      </c>
      <c r="K37" s="35">
        <f t="shared" si="8"/>
        <v>15286.668277865399</v>
      </c>
      <c r="L37" s="35">
        <f t="shared" si="8"/>
        <v>15286.668277865399</v>
      </c>
      <c r="M37" s="35">
        <f t="shared" si="8"/>
        <v>15286.668277865399</v>
      </c>
      <c r="N37" s="35">
        <f t="shared" si="8"/>
        <v>15286.668277865399</v>
      </c>
      <c r="O37" s="35">
        <f t="shared" si="8"/>
        <v>15286.668277865399</v>
      </c>
      <c r="P37" s="35">
        <f t="shared" si="8"/>
        <v>15286.668277865399</v>
      </c>
      <c r="Q37" s="35">
        <f t="shared" si="8"/>
        <v>15286.668277865399</v>
      </c>
      <c r="R37" s="35">
        <f t="shared" si="8"/>
        <v>15286.668277865399</v>
      </c>
      <c r="S37" s="35">
        <f t="shared" si="10"/>
        <v>15286.668277865399</v>
      </c>
      <c r="T37" s="35">
        <f t="shared" si="10"/>
        <v>15286.668277865399</v>
      </c>
      <c r="U37" s="35">
        <f t="shared" si="10"/>
        <v>15286.668277865399</v>
      </c>
      <c r="V37" s="35">
        <f t="shared" si="10"/>
        <v>15286.668277865399</v>
      </c>
      <c r="W37" s="35">
        <f t="shared" si="10"/>
        <v>15286.668277865399</v>
      </c>
      <c r="X37" s="35">
        <f t="shared" si="10"/>
        <v>15286.668277865399</v>
      </c>
      <c r="Y37" s="35">
        <f t="shared" si="10"/>
        <v>15286.668277865399</v>
      </c>
      <c r="Z37" s="35">
        <f t="shared" si="10"/>
        <v>15286.668277865399</v>
      </c>
      <c r="AA37" s="35">
        <f t="shared" si="9"/>
        <v>366880.03866876947</v>
      </c>
      <c r="AB37" s="28">
        <f t="shared" si="4"/>
        <v>31</v>
      </c>
      <c r="AC37" s="29">
        <v>11373281.198731856</v>
      </c>
      <c r="AD37" s="37"/>
      <c r="AE37"/>
    </row>
    <row r="38" spans="1:31" ht="15">
      <c r="A38" s="23">
        <f t="shared" si="1"/>
        <v>2028</v>
      </c>
      <c r="B38" s="27">
        <v>46997</v>
      </c>
      <c r="C38" s="35">
        <f t="shared" si="8"/>
        <v>15955.16439495022</v>
      </c>
      <c r="D38" s="35">
        <f t="shared" si="8"/>
        <v>15955.16439495022</v>
      </c>
      <c r="E38" s="35">
        <f t="shared" si="8"/>
        <v>15955.16439495022</v>
      </c>
      <c r="F38" s="35">
        <f t="shared" si="8"/>
        <v>15955.16439495022</v>
      </c>
      <c r="G38" s="35">
        <f t="shared" si="8"/>
        <v>15955.16439495022</v>
      </c>
      <c r="H38" s="35">
        <f t="shared" si="8"/>
        <v>15955.16439495022</v>
      </c>
      <c r="I38" s="35">
        <f t="shared" si="8"/>
        <v>15955.16439495022</v>
      </c>
      <c r="J38" s="35">
        <f t="shared" si="8"/>
        <v>15955.16439495022</v>
      </c>
      <c r="K38" s="35">
        <f t="shared" si="8"/>
        <v>15955.16439495022</v>
      </c>
      <c r="L38" s="35">
        <f t="shared" si="8"/>
        <v>15955.16439495022</v>
      </c>
      <c r="M38" s="35">
        <f t="shared" si="8"/>
        <v>15955.16439495022</v>
      </c>
      <c r="N38" s="35">
        <f t="shared" si="8"/>
        <v>15955.16439495022</v>
      </c>
      <c r="O38" s="35">
        <f t="shared" si="8"/>
        <v>15955.16439495022</v>
      </c>
      <c r="P38" s="35">
        <f t="shared" si="8"/>
        <v>15955.16439495022</v>
      </c>
      <c r="Q38" s="35">
        <f t="shared" si="8"/>
        <v>15955.16439495022</v>
      </c>
      <c r="R38" s="35">
        <f t="shared" ref="R38" si="11">($AC38/$AB38)/24</f>
        <v>15955.16439495022</v>
      </c>
      <c r="S38" s="35">
        <f t="shared" si="10"/>
        <v>15955.16439495022</v>
      </c>
      <c r="T38" s="35">
        <f t="shared" si="10"/>
        <v>15955.16439495022</v>
      </c>
      <c r="U38" s="35">
        <f t="shared" si="10"/>
        <v>15955.16439495022</v>
      </c>
      <c r="V38" s="35">
        <f t="shared" si="10"/>
        <v>15955.16439495022</v>
      </c>
      <c r="W38" s="35">
        <f t="shared" si="10"/>
        <v>15955.16439495022</v>
      </c>
      <c r="X38" s="35">
        <f t="shared" si="10"/>
        <v>15955.16439495022</v>
      </c>
      <c r="Y38" s="35">
        <f t="shared" si="10"/>
        <v>15955.16439495022</v>
      </c>
      <c r="Z38" s="35">
        <f t="shared" si="10"/>
        <v>15955.16439495022</v>
      </c>
      <c r="AA38" s="35">
        <f t="shared" si="9"/>
        <v>382923.94547880522</v>
      </c>
      <c r="AB38" s="28">
        <f t="shared" si="4"/>
        <v>30</v>
      </c>
      <c r="AC38" s="29">
        <v>11487718.364364158</v>
      </c>
      <c r="AD38" s="37"/>
      <c r="AE38"/>
    </row>
    <row r="39" spans="1:31" ht="15">
      <c r="A39" s="23">
        <f t="shared" si="1"/>
        <v>2028</v>
      </c>
      <c r="B39" s="27">
        <v>47027</v>
      </c>
      <c r="C39" s="35">
        <f t="shared" ref="C39:R54" si="12">($AC39/$AB39)/24</f>
        <v>15286.668277865398</v>
      </c>
      <c r="D39" s="35">
        <f t="shared" si="12"/>
        <v>15286.668277865398</v>
      </c>
      <c r="E39" s="35">
        <f t="shared" si="12"/>
        <v>15286.668277865398</v>
      </c>
      <c r="F39" s="35">
        <f t="shared" si="12"/>
        <v>15286.668277865398</v>
      </c>
      <c r="G39" s="35">
        <f t="shared" si="12"/>
        <v>15286.668277865398</v>
      </c>
      <c r="H39" s="35">
        <f t="shared" si="12"/>
        <v>15286.668277865398</v>
      </c>
      <c r="I39" s="35">
        <f t="shared" si="12"/>
        <v>15286.668277865398</v>
      </c>
      <c r="J39" s="35">
        <f t="shared" si="12"/>
        <v>15286.668277865398</v>
      </c>
      <c r="K39" s="35">
        <f t="shared" si="12"/>
        <v>15286.668277865398</v>
      </c>
      <c r="L39" s="35">
        <f t="shared" si="12"/>
        <v>15286.668277865398</v>
      </c>
      <c r="M39" s="35">
        <f t="shared" si="12"/>
        <v>15286.668277865398</v>
      </c>
      <c r="N39" s="35">
        <f t="shared" si="12"/>
        <v>15286.668277865398</v>
      </c>
      <c r="O39" s="35">
        <f t="shared" si="12"/>
        <v>15286.668277865398</v>
      </c>
      <c r="P39" s="35">
        <f t="shared" si="12"/>
        <v>15286.668277865398</v>
      </c>
      <c r="Q39" s="35">
        <f t="shared" si="12"/>
        <v>15286.668277865398</v>
      </c>
      <c r="R39" s="35">
        <f t="shared" si="12"/>
        <v>15286.668277865398</v>
      </c>
      <c r="S39" s="35">
        <f t="shared" si="10"/>
        <v>15286.668277865398</v>
      </c>
      <c r="T39" s="35">
        <f t="shared" si="10"/>
        <v>15286.668277865398</v>
      </c>
      <c r="U39" s="35">
        <f t="shared" si="10"/>
        <v>15286.668277865398</v>
      </c>
      <c r="V39" s="35">
        <f t="shared" si="10"/>
        <v>15286.668277865398</v>
      </c>
      <c r="W39" s="35">
        <f t="shared" si="10"/>
        <v>15286.668277865398</v>
      </c>
      <c r="X39" s="35">
        <f t="shared" si="10"/>
        <v>15286.668277865398</v>
      </c>
      <c r="Y39" s="35">
        <f t="shared" si="10"/>
        <v>15286.668277865398</v>
      </c>
      <c r="Z39" s="35">
        <f t="shared" si="10"/>
        <v>15286.668277865398</v>
      </c>
      <c r="AA39" s="35">
        <f t="shared" si="9"/>
        <v>366880.03866876947</v>
      </c>
      <c r="AB39" s="28">
        <f t="shared" si="4"/>
        <v>31</v>
      </c>
      <c r="AC39" s="29">
        <v>11373281.198731855</v>
      </c>
      <c r="AD39" s="37"/>
      <c r="AE39"/>
    </row>
    <row r="40" spans="1:31" ht="15">
      <c r="A40" s="23">
        <f t="shared" si="1"/>
        <v>2028</v>
      </c>
      <c r="B40" s="27">
        <v>47058</v>
      </c>
      <c r="C40" s="35">
        <f t="shared" si="12"/>
        <v>15955.164394950223</v>
      </c>
      <c r="D40" s="35">
        <f t="shared" si="12"/>
        <v>15955.164394950223</v>
      </c>
      <c r="E40" s="35">
        <f t="shared" si="12"/>
        <v>15955.164394950223</v>
      </c>
      <c r="F40" s="35">
        <f t="shared" si="12"/>
        <v>15955.164394950223</v>
      </c>
      <c r="G40" s="35">
        <f t="shared" si="12"/>
        <v>15955.164394950223</v>
      </c>
      <c r="H40" s="35">
        <f t="shared" si="12"/>
        <v>15955.164394950223</v>
      </c>
      <c r="I40" s="35">
        <f t="shared" si="12"/>
        <v>15955.164394950223</v>
      </c>
      <c r="J40" s="35">
        <f t="shared" si="12"/>
        <v>15955.164394950223</v>
      </c>
      <c r="K40" s="35">
        <f t="shared" si="12"/>
        <v>15955.164394950223</v>
      </c>
      <c r="L40" s="35">
        <f t="shared" si="12"/>
        <v>15955.164394950223</v>
      </c>
      <c r="M40" s="35">
        <f t="shared" si="12"/>
        <v>15955.164394950223</v>
      </c>
      <c r="N40" s="35">
        <f t="shared" si="12"/>
        <v>15955.164394950223</v>
      </c>
      <c r="O40" s="35">
        <f t="shared" si="12"/>
        <v>15955.164394950223</v>
      </c>
      <c r="P40" s="35">
        <f t="shared" si="12"/>
        <v>15955.164394950223</v>
      </c>
      <c r="Q40" s="35">
        <f t="shared" si="12"/>
        <v>15955.164394950223</v>
      </c>
      <c r="R40" s="35">
        <f t="shared" si="12"/>
        <v>15955.164394950223</v>
      </c>
      <c r="S40" s="35">
        <f t="shared" si="10"/>
        <v>15955.164394950223</v>
      </c>
      <c r="T40" s="35">
        <f t="shared" si="10"/>
        <v>15955.164394950223</v>
      </c>
      <c r="U40" s="35">
        <f t="shared" si="10"/>
        <v>15955.164394950223</v>
      </c>
      <c r="V40" s="35">
        <f t="shared" si="10"/>
        <v>15955.164394950223</v>
      </c>
      <c r="W40" s="35">
        <f t="shared" si="10"/>
        <v>15955.164394950223</v>
      </c>
      <c r="X40" s="35">
        <f t="shared" si="10"/>
        <v>15955.164394950223</v>
      </c>
      <c r="Y40" s="35">
        <f t="shared" si="10"/>
        <v>15955.164394950223</v>
      </c>
      <c r="Z40" s="35">
        <f t="shared" si="10"/>
        <v>15955.164394950223</v>
      </c>
      <c r="AA40" s="35">
        <f t="shared" si="9"/>
        <v>382923.94547880528</v>
      </c>
      <c r="AB40" s="28">
        <f t="shared" si="4"/>
        <v>30</v>
      </c>
      <c r="AC40" s="29">
        <v>11487718.36436416</v>
      </c>
      <c r="AD40" s="37"/>
      <c r="AE40"/>
    </row>
    <row r="41" spans="1:31" ht="15">
      <c r="A41" s="23">
        <f t="shared" si="1"/>
        <v>2028</v>
      </c>
      <c r="B41" s="27">
        <v>47088</v>
      </c>
      <c r="C41" s="35">
        <f t="shared" si="12"/>
        <v>15286.668277865398</v>
      </c>
      <c r="D41" s="35">
        <f t="shared" si="12"/>
        <v>15286.668277865398</v>
      </c>
      <c r="E41" s="35">
        <f t="shared" si="12"/>
        <v>15286.668277865398</v>
      </c>
      <c r="F41" s="35">
        <f t="shared" si="12"/>
        <v>15286.668277865398</v>
      </c>
      <c r="G41" s="35">
        <f t="shared" si="12"/>
        <v>15286.668277865398</v>
      </c>
      <c r="H41" s="35">
        <f t="shared" si="12"/>
        <v>15286.668277865398</v>
      </c>
      <c r="I41" s="35">
        <f t="shared" si="12"/>
        <v>15286.668277865398</v>
      </c>
      <c r="J41" s="35">
        <f t="shared" si="12"/>
        <v>15286.668277865398</v>
      </c>
      <c r="K41" s="35">
        <f t="shared" si="12"/>
        <v>15286.668277865398</v>
      </c>
      <c r="L41" s="35">
        <f t="shared" si="12"/>
        <v>15286.668277865398</v>
      </c>
      <c r="M41" s="35">
        <f t="shared" si="12"/>
        <v>15286.668277865398</v>
      </c>
      <c r="N41" s="35">
        <f t="shared" si="12"/>
        <v>15286.668277865398</v>
      </c>
      <c r="O41" s="35">
        <f t="shared" si="12"/>
        <v>15286.668277865398</v>
      </c>
      <c r="P41" s="35">
        <f t="shared" si="12"/>
        <v>15286.668277865398</v>
      </c>
      <c r="Q41" s="35">
        <f t="shared" si="12"/>
        <v>15286.668277865398</v>
      </c>
      <c r="R41" s="35">
        <f t="shared" si="12"/>
        <v>15286.668277865398</v>
      </c>
      <c r="S41" s="35">
        <f t="shared" si="10"/>
        <v>15286.668277865398</v>
      </c>
      <c r="T41" s="35">
        <f t="shared" si="10"/>
        <v>15286.668277865398</v>
      </c>
      <c r="U41" s="35">
        <f t="shared" si="10"/>
        <v>15286.668277865398</v>
      </c>
      <c r="V41" s="35">
        <f t="shared" si="10"/>
        <v>15286.668277865398</v>
      </c>
      <c r="W41" s="35">
        <f t="shared" si="10"/>
        <v>15286.668277865398</v>
      </c>
      <c r="X41" s="35">
        <f t="shared" si="10"/>
        <v>15286.668277865398</v>
      </c>
      <c r="Y41" s="35">
        <f t="shared" si="10"/>
        <v>15286.668277865398</v>
      </c>
      <c r="Z41" s="35">
        <f t="shared" si="10"/>
        <v>15286.668277865398</v>
      </c>
      <c r="AA41" s="35">
        <f t="shared" ref="AA41:AA42" si="13">SUM(C41:Z41)</f>
        <v>366880.03866876947</v>
      </c>
      <c r="AB41" s="28">
        <f t="shared" si="4"/>
        <v>31</v>
      </c>
      <c r="AC41" s="29">
        <v>11373281.198731855</v>
      </c>
      <c r="AD41" s="37"/>
      <c r="AE41"/>
    </row>
    <row r="42" spans="1:31" ht="15">
      <c r="A42" s="23">
        <f t="shared" si="1"/>
        <v>2029</v>
      </c>
      <c r="B42" s="27">
        <v>47119</v>
      </c>
      <c r="C42" s="35">
        <f t="shared" si="12"/>
        <v>5926.2032778653947</v>
      </c>
      <c r="D42" s="35">
        <f t="shared" si="12"/>
        <v>5926.2032778653947</v>
      </c>
      <c r="E42" s="35">
        <f t="shared" si="12"/>
        <v>5926.2032778653947</v>
      </c>
      <c r="F42" s="35">
        <f t="shared" si="12"/>
        <v>5926.2032778653947</v>
      </c>
      <c r="G42" s="35">
        <f t="shared" si="12"/>
        <v>5926.2032778653947</v>
      </c>
      <c r="H42" s="35">
        <f t="shared" si="12"/>
        <v>5926.2032778653947</v>
      </c>
      <c r="I42" s="35">
        <f t="shared" si="12"/>
        <v>5926.2032778653947</v>
      </c>
      <c r="J42" s="35">
        <f t="shared" si="12"/>
        <v>5926.2032778653947</v>
      </c>
      <c r="K42" s="35">
        <f t="shared" si="12"/>
        <v>5926.2032778653947</v>
      </c>
      <c r="L42" s="35">
        <f t="shared" si="12"/>
        <v>5926.2032778653947</v>
      </c>
      <c r="M42" s="35">
        <f t="shared" si="12"/>
        <v>5926.2032778653947</v>
      </c>
      <c r="N42" s="35">
        <f t="shared" si="12"/>
        <v>5926.2032778653947</v>
      </c>
      <c r="O42" s="35">
        <f t="shared" si="12"/>
        <v>5926.2032778653947</v>
      </c>
      <c r="P42" s="35">
        <f t="shared" si="12"/>
        <v>5926.2032778653947</v>
      </c>
      <c r="Q42" s="35">
        <f t="shared" si="12"/>
        <v>5926.2032778653947</v>
      </c>
      <c r="R42" s="35">
        <f t="shared" si="12"/>
        <v>5926.2032778653947</v>
      </c>
      <c r="S42" s="35">
        <f t="shared" si="10"/>
        <v>5926.2032778653947</v>
      </c>
      <c r="T42" s="35">
        <f t="shared" si="10"/>
        <v>5926.2032778653947</v>
      </c>
      <c r="U42" s="35">
        <f t="shared" si="10"/>
        <v>5926.2032778653947</v>
      </c>
      <c r="V42" s="35">
        <f t="shared" si="10"/>
        <v>5926.2032778653947</v>
      </c>
      <c r="W42" s="35">
        <f t="shared" si="10"/>
        <v>5926.2032778653947</v>
      </c>
      <c r="X42" s="35">
        <f t="shared" si="10"/>
        <v>5926.2032778653947</v>
      </c>
      <c r="Y42" s="35">
        <f t="shared" si="10"/>
        <v>5926.2032778653947</v>
      </c>
      <c r="Z42" s="35">
        <f t="shared" si="10"/>
        <v>5926.2032778653947</v>
      </c>
      <c r="AA42" s="35">
        <f t="shared" si="13"/>
        <v>142228.87866876947</v>
      </c>
      <c r="AB42" s="28">
        <f t="shared" si="4"/>
        <v>31</v>
      </c>
      <c r="AC42" s="29">
        <v>4409095.2387318537</v>
      </c>
      <c r="AD42" s="37"/>
      <c r="AE42"/>
    </row>
    <row r="43" spans="1:31" ht="15">
      <c r="A43" s="23">
        <f t="shared" si="1"/>
        <v>2029</v>
      </c>
      <c r="B43" s="27">
        <v>47150</v>
      </c>
      <c r="C43" s="35">
        <f t="shared" si="12"/>
        <v>8074.9407970666252</v>
      </c>
      <c r="D43" s="35">
        <f t="shared" si="12"/>
        <v>8074.9407970666252</v>
      </c>
      <c r="E43" s="35">
        <f t="shared" si="12"/>
        <v>8074.9407970666252</v>
      </c>
      <c r="F43" s="35">
        <f t="shared" si="12"/>
        <v>8074.9407970666252</v>
      </c>
      <c r="G43" s="35">
        <f t="shared" si="12"/>
        <v>8074.9407970666252</v>
      </c>
      <c r="H43" s="35">
        <f t="shared" si="12"/>
        <v>8074.9407970666252</v>
      </c>
      <c r="I43" s="35">
        <f t="shared" si="12"/>
        <v>8074.9407970666252</v>
      </c>
      <c r="J43" s="35">
        <f t="shared" si="12"/>
        <v>8074.9407970666252</v>
      </c>
      <c r="K43" s="35">
        <f t="shared" si="12"/>
        <v>8074.9407970666252</v>
      </c>
      <c r="L43" s="35">
        <f t="shared" si="12"/>
        <v>8074.9407970666252</v>
      </c>
      <c r="M43" s="35">
        <f t="shared" si="12"/>
        <v>8074.9407970666252</v>
      </c>
      <c r="N43" s="35">
        <f t="shared" si="12"/>
        <v>8074.9407970666252</v>
      </c>
      <c r="O43" s="35">
        <f t="shared" si="12"/>
        <v>8074.9407970666252</v>
      </c>
      <c r="P43" s="35">
        <f t="shared" si="12"/>
        <v>8074.9407970666252</v>
      </c>
      <c r="Q43" s="35">
        <f t="shared" si="12"/>
        <v>8074.9407970666252</v>
      </c>
      <c r="R43" s="35">
        <f t="shared" si="12"/>
        <v>8074.9407970666252</v>
      </c>
      <c r="S43" s="35">
        <f t="shared" si="10"/>
        <v>8074.9407970666252</v>
      </c>
      <c r="T43" s="35">
        <f t="shared" si="10"/>
        <v>8074.9407970666252</v>
      </c>
      <c r="U43" s="35">
        <f t="shared" si="10"/>
        <v>8074.9407970666252</v>
      </c>
      <c r="V43" s="35">
        <f t="shared" si="10"/>
        <v>8074.9407970666252</v>
      </c>
      <c r="W43" s="35">
        <f t="shared" si="10"/>
        <v>8074.9407970666252</v>
      </c>
      <c r="X43" s="35">
        <f t="shared" si="10"/>
        <v>8074.9407970666252</v>
      </c>
      <c r="Y43" s="35">
        <f t="shared" si="10"/>
        <v>8074.9407970666252</v>
      </c>
      <c r="Z43" s="35">
        <f t="shared" si="10"/>
        <v>8074.9407970666252</v>
      </c>
      <c r="AA43" s="35">
        <f t="shared" ref="AA43:AA53" si="14">SUM(C43:Z43)</f>
        <v>193798.57912959903</v>
      </c>
      <c r="AB43" s="28">
        <f t="shared" si="4"/>
        <v>28</v>
      </c>
      <c r="AC43" s="29">
        <v>5426360.215628772</v>
      </c>
      <c r="AD43" s="37"/>
      <c r="AE43"/>
    </row>
    <row r="44" spans="1:31" ht="15">
      <c r="A44" s="23">
        <f t="shared" si="1"/>
        <v>2029</v>
      </c>
      <c r="B44" s="27">
        <v>47178</v>
      </c>
      <c r="C44" s="35">
        <f t="shared" si="12"/>
        <v>5926.2032778653947</v>
      </c>
      <c r="D44" s="35">
        <f t="shared" si="12"/>
        <v>5926.2032778653947</v>
      </c>
      <c r="E44" s="35">
        <f t="shared" si="12"/>
        <v>5926.2032778653947</v>
      </c>
      <c r="F44" s="35">
        <f t="shared" si="12"/>
        <v>5926.2032778653947</v>
      </c>
      <c r="G44" s="35">
        <f t="shared" si="12"/>
        <v>5926.2032778653947</v>
      </c>
      <c r="H44" s="35">
        <f t="shared" si="12"/>
        <v>5926.2032778653947</v>
      </c>
      <c r="I44" s="35">
        <f t="shared" si="12"/>
        <v>5926.2032778653947</v>
      </c>
      <c r="J44" s="35">
        <f t="shared" si="12"/>
        <v>5926.2032778653947</v>
      </c>
      <c r="K44" s="35">
        <f t="shared" si="12"/>
        <v>5926.2032778653947</v>
      </c>
      <c r="L44" s="35">
        <f t="shared" si="12"/>
        <v>5926.2032778653947</v>
      </c>
      <c r="M44" s="35">
        <f t="shared" si="12"/>
        <v>5926.2032778653947</v>
      </c>
      <c r="N44" s="35">
        <f t="shared" si="12"/>
        <v>5926.2032778653947</v>
      </c>
      <c r="O44" s="35">
        <f t="shared" si="12"/>
        <v>5926.2032778653947</v>
      </c>
      <c r="P44" s="35">
        <f t="shared" si="12"/>
        <v>5926.2032778653947</v>
      </c>
      <c r="Q44" s="35">
        <f t="shared" si="12"/>
        <v>5926.2032778653947</v>
      </c>
      <c r="R44" s="35">
        <f t="shared" si="12"/>
        <v>5926.2032778653947</v>
      </c>
      <c r="S44" s="35">
        <f t="shared" si="10"/>
        <v>5926.2032778653947</v>
      </c>
      <c r="T44" s="35">
        <f t="shared" si="10"/>
        <v>5926.2032778653947</v>
      </c>
      <c r="U44" s="35">
        <f t="shared" si="10"/>
        <v>5926.2032778653947</v>
      </c>
      <c r="V44" s="35">
        <f t="shared" si="10"/>
        <v>5926.2032778653947</v>
      </c>
      <c r="W44" s="35">
        <f t="shared" si="10"/>
        <v>5926.2032778653947</v>
      </c>
      <c r="X44" s="35">
        <f t="shared" si="10"/>
        <v>5926.2032778653947</v>
      </c>
      <c r="Y44" s="35">
        <f t="shared" si="10"/>
        <v>5926.2032778653947</v>
      </c>
      <c r="Z44" s="35">
        <f t="shared" si="10"/>
        <v>5926.2032778653947</v>
      </c>
      <c r="AA44" s="35">
        <f t="shared" si="14"/>
        <v>142228.87866876947</v>
      </c>
      <c r="AB44" s="28">
        <f t="shared" si="4"/>
        <v>31</v>
      </c>
      <c r="AC44" s="29">
        <v>4409095.2387318537</v>
      </c>
      <c r="AD44" s="37"/>
      <c r="AE44"/>
    </row>
    <row r="45" spans="1:31" ht="15">
      <c r="A45" s="23">
        <f t="shared" si="1"/>
        <v>2029</v>
      </c>
      <c r="B45" s="27">
        <v>47209</v>
      </c>
      <c r="C45" s="35">
        <f t="shared" si="12"/>
        <v>6594.6993949502221</v>
      </c>
      <c r="D45" s="35">
        <f t="shared" si="12"/>
        <v>6594.6993949502221</v>
      </c>
      <c r="E45" s="35">
        <f t="shared" si="12"/>
        <v>6594.6993949502221</v>
      </c>
      <c r="F45" s="35">
        <f t="shared" si="12"/>
        <v>6594.6993949502221</v>
      </c>
      <c r="G45" s="35">
        <f t="shared" si="12"/>
        <v>6594.6993949502221</v>
      </c>
      <c r="H45" s="35">
        <f t="shared" si="12"/>
        <v>6594.6993949502221</v>
      </c>
      <c r="I45" s="35">
        <f t="shared" si="12"/>
        <v>6594.6993949502221</v>
      </c>
      <c r="J45" s="35">
        <f t="shared" si="12"/>
        <v>6594.6993949502221</v>
      </c>
      <c r="K45" s="35">
        <f t="shared" si="12"/>
        <v>6594.6993949502221</v>
      </c>
      <c r="L45" s="35">
        <f t="shared" si="12"/>
        <v>6594.6993949502221</v>
      </c>
      <c r="M45" s="35">
        <f t="shared" si="12"/>
        <v>6594.6993949502221</v>
      </c>
      <c r="N45" s="35">
        <f t="shared" si="12"/>
        <v>6594.6993949502221</v>
      </c>
      <c r="O45" s="35">
        <f t="shared" si="12"/>
        <v>6594.6993949502221</v>
      </c>
      <c r="P45" s="35">
        <f t="shared" si="12"/>
        <v>6594.6993949502221</v>
      </c>
      <c r="Q45" s="35">
        <f t="shared" si="12"/>
        <v>6594.6993949502221</v>
      </c>
      <c r="R45" s="35">
        <f t="shared" si="12"/>
        <v>6594.6993949502221</v>
      </c>
      <c r="S45" s="35">
        <f t="shared" si="10"/>
        <v>6594.6993949502221</v>
      </c>
      <c r="T45" s="35">
        <f t="shared" si="10"/>
        <v>6594.6993949502221</v>
      </c>
      <c r="U45" s="35">
        <f t="shared" si="10"/>
        <v>6594.6993949502221</v>
      </c>
      <c r="V45" s="35">
        <f t="shared" si="10"/>
        <v>6594.6993949502221</v>
      </c>
      <c r="W45" s="35">
        <f t="shared" si="10"/>
        <v>6594.6993949502221</v>
      </c>
      <c r="X45" s="35">
        <f t="shared" si="10"/>
        <v>6594.6993949502221</v>
      </c>
      <c r="Y45" s="35">
        <f t="shared" si="10"/>
        <v>6594.6993949502221</v>
      </c>
      <c r="Z45" s="35">
        <f t="shared" si="10"/>
        <v>6594.6993949502221</v>
      </c>
      <c r="AA45" s="35">
        <f t="shared" si="14"/>
        <v>158272.7854788054</v>
      </c>
      <c r="AB45" s="28">
        <f t="shared" si="4"/>
        <v>30</v>
      </c>
      <c r="AC45" s="29">
        <v>4748183.5643641604</v>
      </c>
      <c r="AD45" s="37"/>
      <c r="AE45"/>
    </row>
    <row r="46" spans="1:31" ht="15">
      <c r="A46" s="23">
        <f t="shared" si="1"/>
        <v>2029</v>
      </c>
      <c r="B46" s="27">
        <v>47239</v>
      </c>
      <c r="C46" s="35">
        <f t="shared" si="12"/>
        <v>5926.2032778653947</v>
      </c>
      <c r="D46" s="35">
        <f t="shared" si="12"/>
        <v>5926.2032778653947</v>
      </c>
      <c r="E46" s="35">
        <f t="shared" si="12"/>
        <v>5926.2032778653947</v>
      </c>
      <c r="F46" s="35">
        <f t="shared" si="12"/>
        <v>5926.2032778653947</v>
      </c>
      <c r="G46" s="35">
        <f t="shared" si="12"/>
        <v>5926.2032778653947</v>
      </c>
      <c r="H46" s="35">
        <f t="shared" si="12"/>
        <v>5926.2032778653947</v>
      </c>
      <c r="I46" s="35">
        <f t="shared" si="12"/>
        <v>5926.2032778653947</v>
      </c>
      <c r="J46" s="35">
        <f t="shared" si="12"/>
        <v>5926.2032778653947</v>
      </c>
      <c r="K46" s="35">
        <f t="shared" si="12"/>
        <v>5926.2032778653947</v>
      </c>
      <c r="L46" s="35">
        <f t="shared" si="12"/>
        <v>5926.2032778653947</v>
      </c>
      <c r="M46" s="35">
        <f t="shared" si="12"/>
        <v>5926.2032778653947</v>
      </c>
      <c r="N46" s="35">
        <f t="shared" si="12"/>
        <v>5926.2032778653947</v>
      </c>
      <c r="O46" s="35">
        <f t="shared" si="12"/>
        <v>5926.2032778653947</v>
      </c>
      <c r="P46" s="35">
        <f t="shared" si="12"/>
        <v>5926.2032778653947</v>
      </c>
      <c r="Q46" s="35">
        <f t="shared" si="12"/>
        <v>5926.2032778653947</v>
      </c>
      <c r="R46" s="35">
        <f t="shared" si="12"/>
        <v>5926.2032778653947</v>
      </c>
      <c r="S46" s="35">
        <f t="shared" si="10"/>
        <v>5926.2032778653947</v>
      </c>
      <c r="T46" s="35">
        <f t="shared" si="10"/>
        <v>5926.2032778653947</v>
      </c>
      <c r="U46" s="35">
        <f t="shared" si="10"/>
        <v>5926.2032778653947</v>
      </c>
      <c r="V46" s="35">
        <f t="shared" si="10"/>
        <v>5926.2032778653947</v>
      </c>
      <c r="W46" s="35">
        <f t="shared" si="10"/>
        <v>5926.2032778653947</v>
      </c>
      <c r="X46" s="35">
        <f t="shared" si="10"/>
        <v>5926.2032778653947</v>
      </c>
      <c r="Y46" s="35">
        <f t="shared" si="10"/>
        <v>5926.2032778653947</v>
      </c>
      <c r="Z46" s="35">
        <f t="shared" si="10"/>
        <v>5926.2032778653947</v>
      </c>
      <c r="AA46" s="35">
        <f t="shared" si="14"/>
        <v>142228.87866876947</v>
      </c>
      <c r="AB46" s="28">
        <f t="shared" si="4"/>
        <v>31</v>
      </c>
      <c r="AC46" s="29">
        <v>4409095.2387318537</v>
      </c>
      <c r="AD46" s="37"/>
      <c r="AE46"/>
    </row>
    <row r="47" spans="1:31" ht="15">
      <c r="A47" s="23">
        <f t="shared" si="1"/>
        <v>2029</v>
      </c>
      <c r="B47" s="27">
        <v>47270</v>
      </c>
      <c r="C47" s="35">
        <f t="shared" si="12"/>
        <v>6594.6993949502221</v>
      </c>
      <c r="D47" s="35">
        <f t="shared" si="12"/>
        <v>6594.6993949502221</v>
      </c>
      <c r="E47" s="35">
        <f t="shared" si="12"/>
        <v>6594.6993949502221</v>
      </c>
      <c r="F47" s="35">
        <f t="shared" si="12"/>
        <v>6594.6993949502221</v>
      </c>
      <c r="G47" s="35">
        <f t="shared" si="12"/>
        <v>6594.6993949502221</v>
      </c>
      <c r="H47" s="35">
        <f t="shared" si="12"/>
        <v>6594.6993949502221</v>
      </c>
      <c r="I47" s="35">
        <f t="shared" si="12"/>
        <v>6594.6993949502221</v>
      </c>
      <c r="J47" s="35">
        <f t="shared" si="12"/>
        <v>6594.6993949502221</v>
      </c>
      <c r="K47" s="35">
        <f t="shared" si="12"/>
        <v>6594.6993949502221</v>
      </c>
      <c r="L47" s="35">
        <f t="shared" si="12"/>
        <v>6594.6993949502221</v>
      </c>
      <c r="M47" s="35">
        <f t="shared" si="12"/>
        <v>6594.6993949502221</v>
      </c>
      <c r="N47" s="35">
        <f t="shared" si="12"/>
        <v>6594.6993949502221</v>
      </c>
      <c r="O47" s="35">
        <f t="shared" si="12"/>
        <v>6594.6993949502221</v>
      </c>
      <c r="P47" s="35">
        <f t="shared" si="12"/>
        <v>6594.6993949502221</v>
      </c>
      <c r="Q47" s="35">
        <f t="shared" si="12"/>
        <v>6594.6993949502221</v>
      </c>
      <c r="R47" s="35">
        <f t="shared" si="12"/>
        <v>6594.6993949502221</v>
      </c>
      <c r="S47" s="35">
        <f t="shared" si="10"/>
        <v>6594.6993949502221</v>
      </c>
      <c r="T47" s="35">
        <f t="shared" si="10"/>
        <v>6594.6993949502221</v>
      </c>
      <c r="U47" s="35">
        <f t="shared" si="10"/>
        <v>6594.6993949502221</v>
      </c>
      <c r="V47" s="35">
        <f t="shared" si="10"/>
        <v>6594.6993949502221</v>
      </c>
      <c r="W47" s="35">
        <f t="shared" si="10"/>
        <v>6594.6993949502221</v>
      </c>
      <c r="X47" s="35">
        <f t="shared" si="10"/>
        <v>6594.6993949502221</v>
      </c>
      <c r="Y47" s="35">
        <f t="shared" si="10"/>
        <v>6594.6993949502221</v>
      </c>
      <c r="Z47" s="35">
        <f t="shared" si="10"/>
        <v>6594.6993949502221</v>
      </c>
      <c r="AA47" s="35">
        <f t="shared" si="14"/>
        <v>158272.7854788054</v>
      </c>
      <c r="AB47" s="28">
        <f t="shared" si="4"/>
        <v>30</v>
      </c>
      <c r="AC47" s="29">
        <v>4748183.5643641604</v>
      </c>
      <c r="AD47" s="37"/>
      <c r="AE47"/>
    </row>
    <row r="48" spans="1:31" ht="15">
      <c r="A48" s="23">
        <f t="shared" si="1"/>
        <v>2029</v>
      </c>
      <c r="B48" s="27">
        <v>47300</v>
      </c>
      <c r="C48" s="35">
        <f t="shared" si="12"/>
        <v>5926.2032778653947</v>
      </c>
      <c r="D48" s="35">
        <f t="shared" si="12"/>
        <v>5926.2032778653947</v>
      </c>
      <c r="E48" s="35">
        <f t="shared" si="12"/>
        <v>5926.2032778653947</v>
      </c>
      <c r="F48" s="35">
        <f t="shared" si="12"/>
        <v>5926.2032778653947</v>
      </c>
      <c r="G48" s="35">
        <f t="shared" si="12"/>
        <v>5926.2032778653947</v>
      </c>
      <c r="H48" s="35">
        <f t="shared" si="12"/>
        <v>5926.2032778653947</v>
      </c>
      <c r="I48" s="35">
        <f t="shared" si="12"/>
        <v>5926.2032778653947</v>
      </c>
      <c r="J48" s="35">
        <f t="shared" si="12"/>
        <v>5926.2032778653947</v>
      </c>
      <c r="K48" s="35">
        <f t="shared" si="12"/>
        <v>5926.2032778653947</v>
      </c>
      <c r="L48" s="35">
        <f t="shared" si="12"/>
        <v>5926.2032778653947</v>
      </c>
      <c r="M48" s="35">
        <f t="shared" si="12"/>
        <v>5926.2032778653947</v>
      </c>
      <c r="N48" s="35">
        <f t="shared" si="12"/>
        <v>5926.2032778653947</v>
      </c>
      <c r="O48" s="35">
        <f t="shared" si="12"/>
        <v>5926.2032778653947</v>
      </c>
      <c r="P48" s="35">
        <f t="shared" si="12"/>
        <v>5926.2032778653947</v>
      </c>
      <c r="Q48" s="35">
        <f t="shared" si="12"/>
        <v>5926.2032778653947</v>
      </c>
      <c r="R48" s="35">
        <f t="shared" si="12"/>
        <v>5926.2032778653947</v>
      </c>
      <c r="S48" s="35">
        <f t="shared" si="10"/>
        <v>5926.2032778653947</v>
      </c>
      <c r="T48" s="35">
        <f t="shared" si="10"/>
        <v>5926.2032778653947</v>
      </c>
      <c r="U48" s="35">
        <f t="shared" si="10"/>
        <v>5926.2032778653947</v>
      </c>
      <c r="V48" s="35">
        <f t="shared" si="10"/>
        <v>5926.2032778653947</v>
      </c>
      <c r="W48" s="35">
        <f t="shared" si="10"/>
        <v>5926.2032778653947</v>
      </c>
      <c r="X48" s="35">
        <f t="shared" si="10"/>
        <v>5926.2032778653947</v>
      </c>
      <c r="Y48" s="35">
        <f t="shared" si="10"/>
        <v>5926.2032778653947</v>
      </c>
      <c r="Z48" s="35">
        <f t="shared" si="10"/>
        <v>5926.2032778653947</v>
      </c>
      <c r="AA48" s="35">
        <f t="shared" si="14"/>
        <v>142228.87866876947</v>
      </c>
      <c r="AB48" s="28">
        <f t="shared" si="4"/>
        <v>31</v>
      </c>
      <c r="AC48" s="29">
        <v>4409095.2387318537</v>
      </c>
      <c r="AD48" s="37"/>
      <c r="AE48"/>
    </row>
    <row r="49" spans="1:31" ht="15">
      <c r="A49" s="23">
        <f t="shared" si="1"/>
        <v>2029</v>
      </c>
      <c r="B49" s="27">
        <v>47331</v>
      </c>
      <c r="C49" s="35">
        <f t="shared" si="12"/>
        <v>5926.2032778653947</v>
      </c>
      <c r="D49" s="35">
        <f t="shared" si="12"/>
        <v>5926.2032778653947</v>
      </c>
      <c r="E49" s="35">
        <f t="shared" si="12"/>
        <v>5926.2032778653947</v>
      </c>
      <c r="F49" s="35">
        <f t="shared" si="12"/>
        <v>5926.2032778653947</v>
      </c>
      <c r="G49" s="35">
        <f t="shared" si="12"/>
        <v>5926.2032778653947</v>
      </c>
      <c r="H49" s="35">
        <f t="shared" si="12"/>
        <v>5926.2032778653947</v>
      </c>
      <c r="I49" s="35">
        <f t="shared" si="12"/>
        <v>5926.2032778653947</v>
      </c>
      <c r="J49" s="35">
        <f t="shared" si="12"/>
        <v>5926.2032778653947</v>
      </c>
      <c r="K49" s="35">
        <f t="shared" si="12"/>
        <v>5926.2032778653947</v>
      </c>
      <c r="L49" s="35">
        <f t="shared" si="12"/>
        <v>5926.2032778653947</v>
      </c>
      <c r="M49" s="35">
        <f t="shared" si="12"/>
        <v>5926.2032778653947</v>
      </c>
      <c r="N49" s="35">
        <f t="shared" si="12"/>
        <v>5926.2032778653947</v>
      </c>
      <c r="O49" s="35">
        <f t="shared" si="12"/>
        <v>5926.2032778653947</v>
      </c>
      <c r="P49" s="35">
        <f t="shared" si="12"/>
        <v>5926.2032778653947</v>
      </c>
      <c r="Q49" s="35">
        <f t="shared" si="12"/>
        <v>5926.2032778653947</v>
      </c>
      <c r="R49" s="35">
        <f t="shared" si="12"/>
        <v>5926.2032778653947</v>
      </c>
      <c r="S49" s="35">
        <f t="shared" ref="S49:Z64" si="15">($AC49/$AB49)/24</f>
        <v>5926.2032778653947</v>
      </c>
      <c r="T49" s="35">
        <f t="shared" si="15"/>
        <v>5926.2032778653947</v>
      </c>
      <c r="U49" s="35">
        <f t="shared" si="15"/>
        <v>5926.2032778653947</v>
      </c>
      <c r="V49" s="35">
        <f t="shared" si="15"/>
        <v>5926.2032778653947</v>
      </c>
      <c r="W49" s="35">
        <f t="shared" si="15"/>
        <v>5926.2032778653947</v>
      </c>
      <c r="X49" s="35">
        <f t="shared" si="15"/>
        <v>5926.2032778653947</v>
      </c>
      <c r="Y49" s="35">
        <f t="shared" si="15"/>
        <v>5926.2032778653947</v>
      </c>
      <c r="Z49" s="35">
        <f t="shared" si="15"/>
        <v>5926.2032778653947</v>
      </c>
      <c r="AA49" s="35">
        <f t="shared" si="14"/>
        <v>142228.87866876947</v>
      </c>
      <c r="AB49" s="28">
        <f t="shared" si="4"/>
        <v>31</v>
      </c>
      <c r="AC49" s="29">
        <v>4409095.2387318537</v>
      </c>
      <c r="AD49" s="37"/>
      <c r="AE49"/>
    </row>
    <row r="50" spans="1:31" ht="15">
      <c r="A50" s="23">
        <f t="shared" si="1"/>
        <v>2029</v>
      </c>
      <c r="B50" s="27">
        <v>47362</v>
      </c>
      <c r="C50" s="35">
        <f t="shared" si="12"/>
        <v>6594.6993949502221</v>
      </c>
      <c r="D50" s="35">
        <f t="shared" si="12"/>
        <v>6594.6993949502221</v>
      </c>
      <c r="E50" s="35">
        <f t="shared" si="12"/>
        <v>6594.6993949502221</v>
      </c>
      <c r="F50" s="35">
        <f t="shared" si="12"/>
        <v>6594.6993949502221</v>
      </c>
      <c r="G50" s="35">
        <f t="shared" si="12"/>
        <v>6594.6993949502221</v>
      </c>
      <c r="H50" s="35">
        <f t="shared" si="12"/>
        <v>6594.6993949502221</v>
      </c>
      <c r="I50" s="35">
        <f t="shared" si="12"/>
        <v>6594.6993949502221</v>
      </c>
      <c r="J50" s="35">
        <f t="shared" si="12"/>
        <v>6594.6993949502221</v>
      </c>
      <c r="K50" s="35">
        <f t="shared" si="12"/>
        <v>6594.6993949502221</v>
      </c>
      <c r="L50" s="35">
        <f t="shared" si="12"/>
        <v>6594.6993949502221</v>
      </c>
      <c r="M50" s="35">
        <f t="shared" si="12"/>
        <v>6594.6993949502221</v>
      </c>
      <c r="N50" s="35">
        <f t="shared" si="12"/>
        <v>6594.6993949502221</v>
      </c>
      <c r="O50" s="35">
        <f t="shared" si="12"/>
        <v>6594.6993949502221</v>
      </c>
      <c r="P50" s="35">
        <f t="shared" si="12"/>
        <v>6594.6993949502221</v>
      </c>
      <c r="Q50" s="35">
        <f t="shared" si="12"/>
        <v>6594.6993949502221</v>
      </c>
      <c r="R50" s="35">
        <f t="shared" si="12"/>
        <v>6594.6993949502221</v>
      </c>
      <c r="S50" s="35">
        <f t="shared" si="15"/>
        <v>6594.6993949502221</v>
      </c>
      <c r="T50" s="35">
        <f t="shared" si="15"/>
        <v>6594.6993949502221</v>
      </c>
      <c r="U50" s="35">
        <f t="shared" si="15"/>
        <v>6594.6993949502221</v>
      </c>
      <c r="V50" s="35">
        <f t="shared" si="15"/>
        <v>6594.6993949502221</v>
      </c>
      <c r="W50" s="35">
        <f t="shared" si="15"/>
        <v>6594.6993949502221</v>
      </c>
      <c r="X50" s="35">
        <f t="shared" si="15"/>
        <v>6594.6993949502221</v>
      </c>
      <c r="Y50" s="35">
        <f t="shared" si="15"/>
        <v>6594.6993949502221</v>
      </c>
      <c r="Z50" s="35">
        <f t="shared" si="15"/>
        <v>6594.6993949502221</v>
      </c>
      <c r="AA50" s="35">
        <f t="shared" si="14"/>
        <v>158272.7854788054</v>
      </c>
      <c r="AB50" s="28">
        <f t="shared" si="4"/>
        <v>30</v>
      </c>
      <c r="AC50" s="29">
        <v>4748183.5643641604</v>
      </c>
      <c r="AD50" s="37"/>
      <c r="AE50"/>
    </row>
    <row r="51" spans="1:31" ht="15">
      <c r="A51" s="23">
        <f t="shared" si="1"/>
        <v>2029</v>
      </c>
      <c r="B51" s="27">
        <v>47392</v>
      </c>
      <c r="C51" s="35">
        <f t="shared" si="12"/>
        <v>5926.2032778653947</v>
      </c>
      <c r="D51" s="35">
        <f t="shared" si="12"/>
        <v>5926.2032778653947</v>
      </c>
      <c r="E51" s="35">
        <f t="shared" si="12"/>
        <v>5926.2032778653947</v>
      </c>
      <c r="F51" s="35">
        <f t="shared" si="12"/>
        <v>5926.2032778653947</v>
      </c>
      <c r="G51" s="35">
        <f t="shared" si="12"/>
        <v>5926.2032778653947</v>
      </c>
      <c r="H51" s="35">
        <f t="shared" si="12"/>
        <v>5926.2032778653947</v>
      </c>
      <c r="I51" s="35">
        <f t="shared" si="12"/>
        <v>5926.2032778653947</v>
      </c>
      <c r="J51" s="35">
        <f t="shared" si="12"/>
        <v>5926.2032778653947</v>
      </c>
      <c r="K51" s="35">
        <f t="shared" si="12"/>
        <v>5926.2032778653947</v>
      </c>
      <c r="L51" s="35">
        <f t="shared" si="12"/>
        <v>5926.2032778653947</v>
      </c>
      <c r="M51" s="35">
        <f t="shared" si="12"/>
        <v>5926.2032778653947</v>
      </c>
      <c r="N51" s="35">
        <f t="shared" si="12"/>
        <v>5926.2032778653947</v>
      </c>
      <c r="O51" s="35">
        <f t="shared" si="12"/>
        <v>5926.2032778653947</v>
      </c>
      <c r="P51" s="35">
        <f t="shared" si="12"/>
        <v>5926.2032778653947</v>
      </c>
      <c r="Q51" s="35">
        <f t="shared" si="12"/>
        <v>5926.2032778653947</v>
      </c>
      <c r="R51" s="35">
        <f t="shared" si="12"/>
        <v>5926.2032778653947</v>
      </c>
      <c r="S51" s="35">
        <f t="shared" si="15"/>
        <v>5926.2032778653947</v>
      </c>
      <c r="T51" s="35">
        <f t="shared" si="15"/>
        <v>5926.2032778653947</v>
      </c>
      <c r="U51" s="35">
        <f t="shared" si="15"/>
        <v>5926.2032778653947</v>
      </c>
      <c r="V51" s="35">
        <f t="shared" si="15"/>
        <v>5926.2032778653947</v>
      </c>
      <c r="W51" s="35">
        <f t="shared" si="15"/>
        <v>5926.2032778653947</v>
      </c>
      <c r="X51" s="35">
        <f t="shared" si="15"/>
        <v>5926.2032778653947</v>
      </c>
      <c r="Y51" s="35">
        <f t="shared" si="15"/>
        <v>5926.2032778653947</v>
      </c>
      <c r="Z51" s="35">
        <f t="shared" si="15"/>
        <v>5926.2032778653947</v>
      </c>
      <c r="AA51" s="35">
        <f t="shared" si="14"/>
        <v>142228.87866876947</v>
      </c>
      <c r="AB51" s="28">
        <f t="shared" si="4"/>
        <v>31</v>
      </c>
      <c r="AC51" s="29">
        <v>4409095.2387318537</v>
      </c>
      <c r="AD51" s="37"/>
      <c r="AE51"/>
    </row>
    <row r="52" spans="1:31" ht="15">
      <c r="A52" s="23">
        <f t="shared" si="1"/>
        <v>2029</v>
      </c>
      <c r="B52" s="27">
        <v>47423</v>
      </c>
      <c r="C52" s="35">
        <f t="shared" si="12"/>
        <v>6594.6993949502221</v>
      </c>
      <c r="D52" s="35">
        <f t="shared" si="12"/>
        <v>6594.6993949502221</v>
      </c>
      <c r="E52" s="35">
        <f t="shared" si="12"/>
        <v>6594.6993949502221</v>
      </c>
      <c r="F52" s="35">
        <f t="shared" si="12"/>
        <v>6594.6993949502221</v>
      </c>
      <c r="G52" s="35">
        <f t="shared" si="12"/>
        <v>6594.6993949502221</v>
      </c>
      <c r="H52" s="35">
        <f t="shared" si="12"/>
        <v>6594.6993949502221</v>
      </c>
      <c r="I52" s="35">
        <f t="shared" si="12"/>
        <v>6594.6993949502221</v>
      </c>
      <c r="J52" s="35">
        <f t="shared" si="12"/>
        <v>6594.6993949502221</v>
      </c>
      <c r="K52" s="35">
        <f t="shared" si="12"/>
        <v>6594.6993949502221</v>
      </c>
      <c r="L52" s="35">
        <f t="shared" si="12"/>
        <v>6594.6993949502221</v>
      </c>
      <c r="M52" s="35">
        <f t="shared" si="12"/>
        <v>6594.6993949502221</v>
      </c>
      <c r="N52" s="35">
        <f t="shared" si="12"/>
        <v>6594.6993949502221</v>
      </c>
      <c r="O52" s="35">
        <f t="shared" si="12"/>
        <v>6594.6993949502221</v>
      </c>
      <c r="P52" s="35">
        <f t="shared" si="12"/>
        <v>6594.6993949502221</v>
      </c>
      <c r="Q52" s="35">
        <f t="shared" si="12"/>
        <v>6594.6993949502221</v>
      </c>
      <c r="R52" s="35">
        <f t="shared" si="12"/>
        <v>6594.6993949502221</v>
      </c>
      <c r="S52" s="35">
        <f t="shared" si="15"/>
        <v>6594.6993949502221</v>
      </c>
      <c r="T52" s="35">
        <f t="shared" si="15"/>
        <v>6594.6993949502221</v>
      </c>
      <c r="U52" s="35">
        <f t="shared" si="15"/>
        <v>6594.6993949502221</v>
      </c>
      <c r="V52" s="35">
        <f t="shared" si="15"/>
        <v>6594.6993949502221</v>
      </c>
      <c r="W52" s="35">
        <f t="shared" si="15"/>
        <v>6594.6993949502221</v>
      </c>
      <c r="X52" s="35">
        <f t="shared" si="15"/>
        <v>6594.6993949502221</v>
      </c>
      <c r="Y52" s="35">
        <f t="shared" si="15"/>
        <v>6594.6993949502221</v>
      </c>
      <c r="Z52" s="35">
        <f t="shared" si="15"/>
        <v>6594.6993949502221</v>
      </c>
      <c r="AA52" s="35">
        <f t="shared" si="14"/>
        <v>158272.7854788054</v>
      </c>
      <c r="AB52" s="28">
        <f t="shared" si="4"/>
        <v>30</v>
      </c>
      <c r="AC52" s="29">
        <v>4748183.5643641604</v>
      </c>
      <c r="AD52" s="37"/>
      <c r="AE52"/>
    </row>
    <row r="53" spans="1:31" ht="15">
      <c r="A53" s="23">
        <f t="shared" si="1"/>
        <v>2029</v>
      </c>
      <c r="B53" s="27">
        <v>47453</v>
      </c>
      <c r="C53" s="35">
        <f t="shared" si="12"/>
        <v>5926.2032778653947</v>
      </c>
      <c r="D53" s="35">
        <f t="shared" si="12"/>
        <v>5926.2032778653947</v>
      </c>
      <c r="E53" s="35">
        <f t="shared" si="12"/>
        <v>5926.2032778653947</v>
      </c>
      <c r="F53" s="35">
        <f t="shared" si="12"/>
        <v>5926.2032778653947</v>
      </c>
      <c r="G53" s="35">
        <f t="shared" si="12"/>
        <v>5926.2032778653947</v>
      </c>
      <c r="H53" s="35">
        <f t="shared" si="12"/>
        <v>5926.2032778653947</v>
      </c>
      <c r="I53" s="35">
        <f t="shared" si="12"/>
        <v>5926.2032778653947</v>
      </c>
      <c r="J53" s="35">
        <f t="shared" si="12"/>
        <v>5926.2032778653947</v>
      </c>
      <c r="K53" s="35">
        <f t="shared" si="12"/>
        <v>5926.2032778653947</v>
      </c>
      <c r="L53" s="35">
        <f t="shared" si="12"/>
        <v>5926.2032778653947</v>
      </c>
      <c r="M53" s="35">
        <f t="shared" si="12"/>
        <v>5926.2032778653947</v>
      </c>
      <c r="N53" s="35">
        <f t="shared" si="12"/>
        <v>5926.2032778653947</v>
      </c>
      <c r="O53" s="35">
        <f t="shared" si="12"/>
        <v>5926.2032778653947</v>
      </c>
      <c r="P53" s="35">
        <f t="shared" si="12"/>
        <v>5926.2032778653947</v>
      </c>
      <c r="Q53" s="35">
        <f t="shared" si="12"/>
        <v>5926.2032778653947</v>
      </c>
      <c r="R53" s="35">
        <f t="shared" si="12"/>
        <v>5926.2032778653947</v>
      </c>
      <c r="S53" s="35">
        <f t="shared" si="15"/>
        <v>5926.2032778653947</v>
      </c>
      <c r="T53" s="35">
        <f t="shared" si="15"/>
        <v>5926.2032778653947</v>
      </c>
      <c r="U53" s="35">
        <f t="shared" si="15"/>
        <v>5926.2032778653947</v>
      </c>
      <c r="V53" s="35">
        <f t="shared" si="15"/>
        <v>5926.2032778653947</v>
      </c>
      <c r="W53" s="35">
        <f t="shared" si="15"/>
        <v>5926.2032778653947</v>
      </c>
      <c r="X53" s="35">
        <f t="shared" si="15"/>
        <v>5926.2032778653947</v>
      </c>
      <c r="Y53" s="35">
        <f t="shared" si="15"/>
        <v>5926.2032778653947</v>
      </c>
      <c r="Z53" s="35">
        <f t="shared" si="15"/>
        <v>5926.2032778653947</v>
      </c>
      <c r="AA53" s="35">
        <f t="shared" si="14"/>
        <v>142228.87866876947</v>
      </c>
      <c r="AB53" s="28">
        <f t="shared" si="4"/>
        <v>31</v>
      </c>
      <c r="AC53" s="29">
        <v>4409095.2387318537</v>
      </c>
      <c r="AD53" s="37"/>
      <c r="AE53"/>
    </row>
    <row r="54" spans="1:31" ht="15">
      <c r="A54" s="23">
        <f t="shared" si="1"/>
        <v>2030</v>
      </c>
      <c r="B54" s="27">
        <v>47484</v>
      </c>
      <c r="C54" s="35">
        <f t="shared" si="12"/>
        <v>5925.758277865395</v>
      </c>
      <c r="D54" s="35">
        <f t="shared" si="12"/>
        <v>5925.758277865395</v>
      </c>
      <c r="E54" s="35">
        <f t="shared" si="12"/>
        <v>5925.758277865395</v>
      </c>
      <c r="F54" s="35">
        <f t="shared" si="12"/>
        <v>5925.758277865395</v>
      </c>
      <c r="G54" s="35">
        <f t="shared" si="12"/>
        <v>5925.758277865395</v>
      </c>
      <c r="H54" s="35">
        <f t="shared" si="12"/>
        <v>5925.758277865395</v>
      </c>
      <c r="I54" s="35">
        <f t="shared" si="12"/>
        <v>5925.758277865395</v>
      </c>
      <c r="J54" s="35">
        <f t="shared" si="12"/>
        <v>5925.758277865395</v>
      </c>
      <c r="K54" s="35">
        <f t="shared" si="12"/>
        <v>5925.758277865395</v>
      </c>
      <c r="L54" s="35">
        <f t="shared" si="12"/>
        <v>5925.758277865395</v>
      </c>
      <c r="M54" s="35">
        <f t="shared" si="12"/>
        <v>5925.758277865395</v>
      </c>
      <c r="N54" s="35">
        <f t="shared" si="12"/>
        <v>5925.758277865395</v>
      </c>
      <c r="O54" s="35">
        <f t="shared" si="12"/>
        <v>5925.758277865395</v>
      </c>
      <c r="P54" s="35">
        <f t="shared" si="12"/>
        <v>5925.758277865395</v>
      </c>
      <c r="Q54" s="35">
        <f t="shared" si="12"/>
        <v>5925.758277865395</v>
      </c>
      <c r="R54" s="35">
        <f t="shared" ref="R54:Z117" si="16">($AC54/$AB54)/24</f>
        <v>5925.758277865395</v>
      </c>
      <c r="S54" s="35">
        <f t="shared" si="15"/>
        <v>5925.758277865395</v>
      </c>
      <c r="T54" s="35">
        <f t="shared" si="16"/>
        <v>5925.758277865395</v>
      </c>
      <c r="U54" s="35">
        <f t="shared" si="15"/>
        <v>5925.758277865395</v>
      </c>
      <c r="V54" s="35">
        <f t="shared" si="16"/>
        <v>5925.758277865395</v>
      </c>
      <c r="W54" s="35">
        <f t="shared" si="15"/>
        <v>5925.758277865395</v>
      </c>
      <c r="X54" s="35">
        <f t="shared" si="16"/>
        <v>5925.758277865395</v>
      </c>
      <c r="Y54" s="35">
        <f t="shared" si="15"/>
        <v>5925.758277865395</v>
      </c>
      <c r="Z54" s="35">
        <f t="shared" si="16"/>
        <v>5925.758277865395</v>
      </c>
      <c r="AA54" s="35">
        <f t="shared" ref="AA54:AA66" si="17">SUM(C54:Z54)</f>
        <v>142218.19866876942</v>
      </c>
      <c r="AB54" s="28">
        <f t="shared" si="4"/>
        <v>31</v>
      </c>
      <c r="AC54" s="29">
        <v>4408764.1587318536</v>
      </c>
      <c r="AD54" s="37"/>
      <c r="AE54"/>
    </row>
    <row r="55" spans="1:31" ht="15">
      <c r="A55" s="23">
        <f t="shared" si="1"/>
        <v>2030</v>
      </c>
      <c r="B55" s="27">
        <v>47515</v>
      </c>
      <c r="C55" s="35">
        <f t="shared" ref="C55:R70" si="18">($AC55/$AB55)/24</f>
        <v>8074.4957970666264</v>
      </c>
      <c r="D55" s="35">
        <f t="shared" si="18"/>
        <v>8074.4957970666264</v>
      </c>
      <c r="E55" s="35">
        <f t="shared" si="18"/>
        <v>8074.4957970666264</v>
      </c>
      <c r="F55" s="35">
        <f t="shared" si="18"/>
        <v>8074.4957970666264</v>
      </c>
      <c r="G55" s="35">
        <f t="shared" si="18"/>
        <v>8074.4957970666264</v>
      </c>
      <c r="H55" s="35">
        <f t="shared" si="18"/>
        <v>8074.4957970666264</v>
      </c>
      <c r="I55" s="35">
        <f t="shared" si="18"/>
        <v>8074.4957970666264</v>
      </c>
      <c r="J55" s="35">
        <f t="shared" si="18"/>
        <v>8074.4957970666264</v>
      </c>
      <c r="K55" s="35">
        <f t="shared" si="18"/>
        <v>8074.4957970666264</v>
      </c>
      <c r="L55" s="35">
        <f t="shared" si="18"/>
        <v>8074.4957970666264</v>
      </c>
      <c r="M55" s="35">
        <f t="shared" si="18"/>
        <v>8074.4957970666264</v>
      </c>
      <c r="N55" s="35">
        <f t="shared" si="18"/>
        <v>8074.4957970666264</v>
      </c>
      <c r="O55" s="35">
        <f t="shared" si="18"/>
        <v>8074.4957970666264</v>
      </c>
      <c r="P55" s="35">
        <f t="shared" si="18"/>
        <v>8074.4957970666264</v>
      </c>
      <c r="Q55" s="35">
        <f t="shared" si="18"/>
        <v>8074.4957970666264</v>
      </c>
      <c r="R55" s="35">
        <f t="shared" si="18"/>
        <v>8074.4957970666264</v>
      </c>
      <c r="S55" s="35">
        <f t="shared" si="15"/>
        <v>8074.4957970666264</v>
      </c>
      <c r="T55" s="35">
        <f t="shared" si="16"/>
        <v>8074.4957970666264</v>
      </c>
      <c r="U55" s="35">
        <f t="shared" si="15"/>
        <v>8074.4957970666264</v>
      </c>
      <c r="V55" s="35">
        <f t="shared" si="16"/>
        <v>8074.4957970666264</v>
      </c>
      <c r="W55" s="35">
        <f t="shared" si="15"/>
        <v>8074.4957970666264</v>
      </c>
      <c r="X55" s="35">
        <f t="shared" si="16"/>
        <v>8074.4957970666264</v>
      </c>
      <c r="Y55" s="35">
        <f t="shared" si="15"/>
        <v>8074.4957970666264</v>
      </c>
      <c r="Z55" s="35">
        <f t="shared" si="16"/>
        <v>8074.4957970666264</v>
      </c>
      <c r="AA55" s="35">
        <f t="shared" si="17"/>
        <v>193787.89912959907</v>
      </c>
      <c r="AB55" s="28">
        <f t="shared" si="4"/>
        <v>28</v>
      </c>
      <c r="AC55" s="29">
        <v>5426061.1756287729</v>
      </c>
      <c r="AD55" s="37"/>
      <c r="AE55"/>
    </row>
    <row r="56" spans="1:31" ht="15">
      <c r="A56" s="23">
        <f t="shared" si="1"/>
        <v>2030</v>
      </c>
      <c r="B56" s="27">
        <v>47543</v>
      </c>
      <c r="C56" s="35">
        <f t="shared" si="18"/>
        <v>5925.758277865395</v>
      </c>
      <c r="D56" s="35">
        <f t="shared" si="18"/>
        <v>5925.758277865395</v>
      </c>
      <c r="E56" s="35">
        <f t="shared" si="18"/>
        <v>5925.758277865395</v>
      </c>
      <c r="F56" s="35">
        <f t="shared" si="18"/>
        <v>5925.758277865395</v>
      </c>
      <c r="G56" s="35">
        <f t="shared" si="18"/>
        <v>5925.758277865395</v>
      </c>
      <c r="H56" s="35">
        <f t="shared" si="18"/>
        <v>5925.758277865395</v>
      </c>
      <c r="I56" s="35">
        <f t="shared" si="18"/>
        <v>5925.758277865395</v>
      </c>
      <c r="J56" s="35">
        <f t="shared" si="18"/>
        <v>5925.758277865395</v>
      </c>
      <c r="K56" s="35">
        <f t="shared" si="18"/>
        <v>5925.758277865395</v>
      </c>
      <c r="L56" s="35">
        <f t="shared" si="18"/>
        <v>5925.758277865395</v>
      </c>
      <c r="M56" s="35">
        <f t="shared" si="18"/>
        <v>5925.758277865395</v>
      </c>
      <c r="N56" s="35">
        <f t="shared" si="18"/>
        <v>5925.758277865395</v>
      </c>
      <c r="O56" s="35">
        <f t="shared" si="18"/>
        <v>5925.758277865395</v>
      </c>
      <c r="P56" s="35">
        <f t="shared" si="18"/>
        <v>5925.758277865395</v>
      </c>
      <c r="Q56" s="35">
        <f t="shared" si="18"/>
        <v>5925.758277865395</v>
      </c>
      <c r="R56" s="35">
        <f t="shared" si="18"/>
        <v>5925.758277865395</v>
      </c>
      <c r="S56" s="35">
        <f t="shared" si="15"/>
        <v>5925.758277865395</v>
      </c>
      <c r="T56" s="35">
        <f t="shared" si="16"/>
        <v>5925.758277865395</v>
      </c>
      <c r="U56" s="35">
        <f t="shared" si="15"/>
        <v>5925.758277865395</v>
      </c>
      <c r="V56" s="35">
        <f t="shared" si="16"/>
        <v>5925.758277865395</v>
      </c>
      <c r="W56" s="35">
        <f t="shared" si="15"/>
        <v>5925.758277865395</v>
      </c>
      <c r="X56" s="35">
        <f t="shared" si="16"/>
        <v>5925.758277865395</v>
      </c>
      <c r="Y56" s="35">
        <f t="shared" si="15"/>
        <v>5925.758277865395</v>
      </c>
      <c r="Z56" s="35">
        <f t="shared" si="16"/>
        <v>5925.758277865395</v>
      </c>
      <c r="AA56" s="35">
        <f t="shared" si="17"/>
        <v>142218.19866876942</v>
      </c>
      <c r="AB56" s="28">
        <f t="shared" si="4"/>
        <v>31</v>
      </c>
      <c r="AC56" s="29">
        <v>4408764.1587318536</v>
      </c>
      <c r="AD56" s="37"/>
      <c r="AE56"/>
    </row>
    <row r="57" spans="1:31" ht="15">
      <c r="A57" s="23">
        <f t="shared" si="1"/>
        <v>2030</v>
      </c>
      <c r="B57" s="27">
        <v>47574</v>
      </c>
      <c r="C57" s="35">
        <f t="shared" si="18"/>
        <v>6594.2543949502251</v>
      </c>
      <c r="D57" s="35">
        <f t="shared" si="18"/>
        <v>6594.2543949502251</v>
      </c>
      <c r="E57" s="35">
        <f t="shared" si="18"/>
        <v>6594.2543949502251</v>
      </c>
      <c r="F57" s="35">
        <f t="shared" si="18"/>
        <v>6594.2543949502251</v>
      </c>
      <c r="G57" s="35">
        <f t="shared" si="18"/>
        <v>6594.2543949502251</v>
      </c>
      <c r="H57" s="35">
        <f t="shared" si="18"/>
        <v>6594.2543949502251</v>
      </c>
      <c r="I57" s="35">
        <f t="shared" si="18"/>
        <v>6594.2543949502251</v>
      </c>
      <c r="J57" s="35">
        <f t="shared" si="18"/>
        <v>6594.2543949502251</v>
      </c>
      <c r="K57" s="35">
        <f t="shared" si="18"/>
        <v>6594.2543949502251</v>
      </c>
      <c r="L57" s="35">
        <f t="shared" si="18"/>
        <v>6594.2543949502251</v>
      </c>
      <c r="M57" s="35">
        <f t="shared" si="18"/>
        <v>6594.2543949502251</v>
      </c>
      <c r="N57" s="35">
        <f t="shared" si="18"/>
        <v>6594.2543949502251</v>
      </c>
      <c r="O57" s="35">
        <f t="shared" si="18"/>
        <v>6594.2543949502251</v>
      </c>
      <c r="P57" s="35">
        <f t="shared" si="18"/>
        <v>6594.2543949502251</v>
      </c>
      <c r="Q57" s="35">
        <f t="shared" si="18"/>
        <v>6594.2543949502251</v>
      </c>
      <c r="R57" s="35">
        <f t="shared" si="18"/>
        <v>6594.2543949502251</v>
      </c>
      <c r="S57" s="35">
        <f t="shared" si="15"/>
        <v>6594.2543949502251</v>
      </c>
      <c r="T57" s="35">
        <f t="shared" si="16"/>
        <v>6594.2543949502251</v>
      </c>
      <c r="U57" s="35">
        <f t="shared" si="15"/>
        <v>6594.2543949502251</v>
      </c>
      <c r="V57" s="35">
        <f t="shared" si="16"/>
        <v>6594.2543949502251</v>
      </c>
      <c r="W57" s="35">
        <f t="shared" si="15"/>
        <v>6594.2543949502251</v>
      </c>
      <c r="X57" s="35">
        <f t="shared" si="16"/>
        <v>6594.2543949502251</v>
      </c>
      <c r="Y57" s="35">
        <f t="shared" si="15"/>
        <v>6594.2543949502251</v>
      </c>
      <c r="Z57" s="35">
        <f t="shared" si="16"/>
        <v>6594.2543949502251</v>
      </c>
      <c r="AA57" s="35">
        <f t="shared" si="17"/>
        <v>158262.10547880546</v>
      </c>
      <c r="AB57" s="28">
        <f t="shared" si="4"/>
        <v>30</v>
      </c>
      <c r="AC57" s="29">
        <v>4747863.1643641619</v>
      </c>
      <c r="AD57" s="37"/>
      <c r="AE57"/>
    </row>
    <row r="58" spans="1:31" ht="15">
      <c r="A58" s="23">
        <f t="shared" si="1"/>
        <v>2030</v>
      </c>
      <c r="B58" s="27">
        <v>47604</v>
      </c>
      <c r="C58" s="35">
        <f t="shared" si="18"/>
        <v>5925.758277865395</v>
      </c>
      <c r="D58" s="35">
        <f t="shared" si="18"/>
        <v>5925.758277865395</v>
      </c>
      <c r="E58" s="35">
        <f t="shared" si="18"/>
        <v>5925.758277865395</v>
      </c>
      <c r="F58" s="35">
        <f t="shared" si="18"/>
        <v>5925.758277865395</v>
      </c>
      <c r="G58" s="35">
        <f t="shared" si="18"/>
        <v>5925.758277865395</v>
      </c>
      <c r="H58" s="35">
        <f t="shared" si="18"/>
        <v>5925.758277865395</v>
      </c>
      <c r="I58" s="35">
        <f t="shared" si="18"/>
        <v>5925.758277865395</v>
      </c>
      <c r="J58" s="35">
        <f t="shared" si="18"/>
        <v>5925.758277865395</v>
      </c>
      <c r="K58" s="35">
        <f t="shared" si="18"/>
        <v>5925.758277865395</v>
      </c>
      <c r="L58" s="35">
        <f t="shared" si="18"/>
        <v>5925.758277865395</v>
      </c>
      <c r="M58" s="35">
        <f t="shared" si="18"/>
        <v>5925.758277865395</v>
      </c>
      <c r="N58" s="35">
        <f t="shared" si="18"/>
        <v>5925.758277865395</v>
      </c>
      <c r="O58" s="35">
        <f t="shared" si="18"/>
        <v>5925.758277865395</v>
      </c>
      <c r="P58" s="35">
        <f t="shared" si="18"/>
        <v>5925.758277865395</v>
      </c>
      <c r="Q58" s="35">
        <f t="shared" si="18"/>
        <v>5925.758277865395</v>
      </c>
      <c r="R58" s="35">
        <f t="shared" si="18"/>
        <v>5925.758277865395</v>
      </c>
      <c r="S58" s="35">
        <f t="shared" si="15"/>
        <v>5925.758277865395</v>
      </c>
      <c r="T58" s="35">
        <f t="shared" si="16"/>
        <v>5925.758277865395</v>
      </c>
      <c r="U58" s="35">
        <f t="shared" si="15"/>
        <v>5925.758277865395</v>
      </c>
      <c r="V58" s="35">
        <f t="shared" si="16"/>
        <v>5925.758277865395</v>
      </c>
      <c r="W58" s="35">
        <f t="shared" si="15"/>
        <v>5925.758277865395</v>
      </c>
      <c r="X58" s="35">
        <f t="shared" si="16"/>
        <v>5925.758277865395</v>
      </c>
      <c r="Y58" s="35">
        <f t="shared" si="15"/>
        <v>5925.758277865395</v>
      </c>
      <c r="Z58" s="35">
        <f t="shared" si="16"/>
        <v>5925.758277865395</v>
      </c>
      <c r="AA58" s="35">
        <f t="shared" si="17"/>
        <v>142218.19866876942</v>
      </c>
      <c r="AB58" s="28">
        <f t="shared" si="4"/>
        <v>31</v>
      </c>
      <c r="AC58" s="29">
        <v>4408764.1587318536</v>
      </c>
      <c r="AD58" s="37"/>
      <c r="AE58"/>
    </row>
    <row r="59" spans="1:31" ht="15">
      <c r="A59" s="23">
        <f t="shared" si="1"/>
        <v>2030</v>
      </c>
      <c r="B59" s="27">
        <v>47635</v>
      </c>
      <c r="C59" s="35">
        <f t="shared" si="18"/>
        <v>6594.2543949502251</v>
      </c>
      <c r="D59" s="35">
        <f t="shared" si="18"/>
        <v>6594.2543949502251</v>
      </c>
      <c r="E59" s="35">
        <f t="shared" si="18"/>
        <v>6594.2543949502251</v>
      </c>
      <c r="F59" s="35">
        <f t="shared" si="18"/>
        <v>6594.2543949502251</v>
      </c>
      <c r="G59" s="35">
        <f t="shared" si="18"/>
        <v>6594.2543949502251</v>
      </c>
      <c r="H59" s="35">
        <f t="shared" si="18"/>
        <v>6594.2543949502251</v>
      </c>
      <c r="I59" s="35">
        <f t="shared" si="18"/>
        <v>6594.2543949502251</v>
      </c>
      <c r="J59" s="35">
        <f t="shared" si="18"/>
        <v>6594.2543949502251</v>
      </c>
      <c r="K59" s="35">
        <f t="shared" si="18"/>
        <v>6594.2543949502251</v>
      </c>
      <c r="L59" s="35">
        <f t="shared" si="18"/>
        <v>6594.2543949502251</v>
      </c>
      <c r="M59" s="35">
        <f t="shared" si="18"/>
        <v>6594.2543949502251</v>
      </c>
      <c r="N59" s="35">
        <f t="shared" si="18"/>
        <v>6594.2543949502251</v>
      </c>
      <c r="O59" s="35">
        <f t="shared" si="18"/>
        <v>6594.2543949502251</v>
      </c>
      <c r="P59" s="35">
        <f t="shared" si="18"/>
        <v>6594.2543949502251</v>
      </c>
      <c r="Q59" s="35">
        <f t="shared" si="18"/>
        <v>6594.2543949502251</v>
      </c>
      <c r="R59" s="35">
        <f t="shared" si="18"/>
        <v>6594.2543949502251</v>
      </c>
      <c r="S59" s="35">
        <f t="shared" si="15"/>
        <v>6594.2543949502251</v>
      </c>
      <c r="T59" s="35">
        <f t="shared" si="16"/>
        <v>6594.2543949502251</v>
      </c>
      <c r="U59" s="35">
        <f t="shared" si="15"/>
        <v>6594.2543949502251</v>
      </c>
      <c r="V59" s="35">
        <f t="shared" si="16"/>
        <v>6594.2543949502251</v>
      </c>
      <c r="W59" s="35">
        <f t="shared" si="15"/>
        <v>6594.2543949502251</v>
      </c>
      <c r="X59" s="35">
        <f t="shared" si="16"/>
        <v>6594.2543949502251</v>
      </c>
      <c r="Y59" s="35">
        <f t="shared" si="15"/>
        <v>6594.2543949502251</v>
      </c>
      <c r="Z59" s="35">
        <f t="shared" si="16"/>
        <v>6594.2543949502251</v>
      </c>
      <c r="AA59" s="35">
        <f t="shared" si="17"/>
        <v>158262.10547880546</v>
      </c>
      <c r="AB59" s="28">
        <f t="shared" si="4"/>
        <v>30</v>
      </c>
      <c r="AC59" s="29">
        <v>4747863.1643641619</v>
      </c>
      <c r="AD59" s="37"/>
      <c r="AE59"/>
    </row>
    <row r="60" spans="1:31" ht="15">
      <c r="A60" s="23">
        <f t="shared" si="1"/>
        <v>2030</v>
      </c>
      <c r="B60" s="27">
        <v>47665</v>
      </c>
      <c r="C60" s="35">
        <f t="shared" si="18"/>
        <v>5925.758277865395</v>
      </c>
      <c r="D60" s="35">
        <f t="shared" si="18"/>
        <v>5925.758277865395</v>
      </c>
      <c r="E60" s="35">
        <f t="shared" si="18"/>
        <v>5925.758277865395</v>
      </c>
      <c r="F60" s="35">
        <f t="shared" si="18"/>
        <v>5925.758277865395</v>
      </c>
      <c r="G60" s="35">
        <f t="shared" si="18"/>
        <v>5925.758277865395</v>
      </c>
      <c r="H60" s="35">
        <f t="shared" si="18"/>
        <v>5925.758277865395</v>
      </c>
      <c r="I60" s="35">
        <f t="shared" si="18"/>
        <v>5925.758277865395</v>
      </c>
      <c r="J60" s="35">
        <f t="shared" si="18"/>
        <v>5925.758277865395</v>
      </c>
      <c r="K60" s="35">
        <f t="shared" si="18"/>
        <v>5925.758277865395</v>
      </c>
      <c r="L60" s="35">
        <f t="shared" si="18"/>
        <v>5925.758277865395</v>
      </c>
      <c r="M60" s="35">
        <f t="shared" si="18"/>
        <v>5925.758277865395</v>
      </c>
      <c r="N60" s="35">
        <f t="shared" si="18"/>
        <v>5925.758277865395</v>
      </c>
      <c r="O60" s="35">
        <f t="shared" si="18"/>
        <v>5925.758277865395</v>
      </c>
      <c r="P60" s="35">
        <f t="shared" si="18"/>
        <v>5925.758277865395</v>
      </c>
      <c r="Q60" s="35">
        <f t="shared" si="18"/>
        <v>5925.758277865395</v>
      </c>
      <c r="R60" s="35">
        <f t="shared" si="18"/>
        <v>5925.758277865395</v>
      </c>
      <c r="S60" s="35">
        <f t="shared" si="15"/>
        <v>5925.758277865395</v>
      </c>
      <c r="T60" s="35">
        <f t="shared" si="16"/>
        <v>5925.758277865395</v>
      </c>
      <c r="U60" s="35">
        <f t="shared" si="15"/>
        <v>5925.758277865395</v>
      </c>
      <c r="V60" s="35">
        <f t="shared" si="16"/>
        <v>5925.758277865395</v>
      </c>
      <c r="W60" s="35">
        <f t="shared" si="15"/>
        <v>5925.758277865395</v>
      </c>
      <c r="X60" s="35">
        <f t="shared" si="16"/>
        <v>5925.758277865395</v>
      </c>
      <c r="Y60" s="35">
        <f t="shared" si="15"/>
        <v>5925.758277865395</v>
      </c>
      <c r="Z60" s="35">
        <f t="shared" si="16"/>
        <v>5925.758277865395</v>
      </c>
      <c r="AA60" s="35">
        <f t="shared" si="17"/>
        <v>142218.19866876942</v>
      </c>
      <c r="AB60" s="28">
        <f t="shared" si="4"/>
        <v>31</v>
      </c>
      <c r="AC60" s="29">
        <v>4408764.1587318536</v>
      </c>
      <c r="AD60" s="37"/>
      <c r="AE60"/>
    </row>
    <row r="61" spans="1:31" ht="15">
      <c r="A61" s="23">
        <f t="shared" si="1"/>
        <v>2030</v>
      </c>
      <c r="B61" s="27">
        <v>47696</v>
      </c>
      <c r="C61" s="35">
        <f t="shared" si="18"/>
        <v>5925.758277865395</v>
      </c>
      <c r="D61" s="35">
        <f t="shared" si="18"/>
        <v>5925.758277865395</v>
      </c>
      <c r="E61" s="35">
        <f t="shared" si="18"/>
        <v>5925.758277865395</v>
      </c>
      <c r="F61" s="35">
        <f t="shared" si="18"/>
        <v>5925.758277865395</v>
      </c>
      <c r="G61" s="35">
        <f t="shared" si="18"/>
        <v>5925.758277865395</v>
      </c>
      <c r="H61" s="35">
        <f t="shared" si="18"/>
        <v>5925.758277865395</v>
      </c>
      <c r="I61" s="35">
        <f t="shared" si="18"/>
        <v>5925.758277865395</v>
      </c>
      <c r="J61" s="35">
        <f t="shared" si="18"/>
        <v>5925.758277865395</v>
      </c>
      <c r="K61" s="35">
        <f t="shared" si="18"/>
        <v>5925.758277865395</v>
      </c>
      <c r="L61" s="35">
        <f t="shared" si="18"/>
        <v>5925.758277865395</v>
      </c>
      <c r="M61" s="35">
        <f t="shared" si="18"/>
        <v>5925.758277865395</v>
      </c>
      <c r="N61" s="35">
        <f t="shared" si="18"/>
        <v>5925.758277865395</v>
      </c>
      <c r="O61" s="35">
        <f t="shared" si="18"/>
        <v>5925.758277865395</v>
      </c>
      <c r="P61" s="35">
        <f t="shared" si="18"/>
        <v>5925.758277865395</v>
      </c>
      <c r="Q61" s="35">
        <f t="shared" si="18"/>
        <v>5925.758277865395</v>
      </c>
      <c r="R61" s="35">
        <f t="shared" si="18"/>
        <v>5925.758277865395</v>
      </c>
      <c r="S61" s="35">
        <f t="shared" si="15"/>
        <v>5925.758277865395</v>
      </c>
      <c r="T61" s="35">
        <f t="shared" si="16"/>
        <v>5925.758277865395</v>
      </c>
      <c r="U61" s="35">
        <f t="shared" si="15"/>
        <v>5925.758277865395</v>
      </c>
      <c r="V61" s="35">
        <f t="shared" si="16"/>
        <v>5925.758277865395</v>
      </c>
      <c r="W61" s="35">
        <f t="shared" si="15"/>
        <v>5925.758277865395</v>
      </c>
      <c r="X61" s="35">
        <f t="shared" si="16"/>
        <v>5925.758277865395</v>
      </c>
      <c r="Y61" s="35">
        <f t="shared" si="15"/>
        <v>5925.758277865395</v>
      </c>
      <c r="Z61" s="35">
        <f t="shared" si="16"/>
        <v>5925.758277865395</v>
      </c>
      <c r="AA61" s="35">
        <f t="shared" si="17"/>
        <v>142218.19866876942</v>
      </c>
      <c r="AB61" s="28">
        <f t="shared" si="4"/>
        <v>31</v>
      </c>
      <c r="AC61" s="29">
        <v>4408764.1587318536</v>
      </c>
      <c r="AD61" s="37"/>
      <c r="AE61"/>
    </row>
    <row r="62" spans="1:31" ht="15">
      <c r="A62" s="23">
        <f t="shared" si="1"/>
        <v>2030</v>
      </c>
      <c r="B62" s="27">
        <v>47727</v>
      </c>
      <c r="C62" s="35">
        <f t="shared" si="18"/>
        <v>6594.2543949502251</v>
      </c>
      <c r="D62" s="35">
        <f t="shared" si="18"/>
        <v>6594.2543949502251</v>
      </c>
      <c r="E62" s="35">
        <f t="shared" si="18"/>
        <v>6594.2543949502251</v>
      </c>
      <c r="F62" s="35">
        <f t="shared" si="18"/>
        <v>6594.2543949502251</v>
      </c>
      <c r="G62" s="35">
        <f t="shared" si="18"/>
        <v>6594.2543949502251</v>
      </c>
      <c r="H62" s="35">
        <f t="shared" si="18"/>
        <v>6594.2543949502251</v>
      </c>
      <c r="I62" s="35">
        <f t="shared" si="18"/>
        <v>6594.2543949502251</v>
      </c>
      <c r="J62" s="35">
        <f t="shared" si="18"/>
        <v>6594.2543949502251</v>
      </c>
      <c r="K62" s="35">
        <f t="shared" si="18"/>
        <v>6594.2543949502251</v>
      </c>
      <c r="L62" s="35">
        <f t="shared" si="18"/>
        <v>6594.2543949502251</v>
      </c>
      <c r="M62" s="35">
        <f t="shared" si="18"/>
        <v>6594.2543949502251</v>
      </c>
      <c r="N62" s="35">
        <f t="shared" si="18"/>
        <v>6594.2543949502251</v>
      </c>
      <c r="O62" s="35">
        <f t="shared" si="18"/>
        <v>6594.2543949502251</v>
      </c>
      <c r="P62" s="35">
        <f t="shared" si="18"/>
        <v>6594.2543949502251</v>
      </c>
      <c r="Q62" s="35">
        <f t="shared" si="18"/>
        <v>6594.2543949502251</v>
      </c>
      <c r="R62" s="35">
        <f t="shared" si="18"/>
        <v>6594.2543949502251</v>
      </c>
      <c r="S62" s="35">
        <f t="shared" si="15"/>
        <v>6594.2543949502251</v>
      </c>
      <c r="T62" s="35">
        <f t="shared" si="16"/>
        <v>6594.2543949502251</v>
      </c>
      <c r="U62" s="35">
        <f t="shared" si="15"/>
        <v>6594.2543949502251</v>
      </c>
      <c r="V62" s="35">
        <f t="shared" si="16"/>
        <v>6594.2543949502251</v>
      </c>
      <c r="W62" s="35">
        <f t="shared" si="15"/>
        <v>6594.2543949502251</v>
      </c>
      <c r="X62" s="35">
        <f t="shared" si="16"/>
        <v>6594.2543949502251</v>
      </c>
      <c r="Y62" s="35">
        <f t="shared" si="15"/>
        <v>6594.2543949502251</v>
      </c>
      <c r="Z62" s="35">
        <f t="shared" si="16"/>
        <v>6594.2543949502251</v>
      </c>
      <c r="AA62" s="35">
        <f t="shared" si="17"/>
        <v>158262.10547880546</v>
      </c>
      <c r="AB62" s="28">
        <f t="shared" si="4"/>
        <v>30</v>
      </c>
      <c r="AC62" s="29">
        <v>4747863.1643641619</v>
      </c>
      <c r="AD62" s="37"/>
      <c r="AE62"/>
    </row>
    <row r="63" spans="1:31" ht="15">
      <c r="A63" s="23">
        <f t="shared" si="1"/>
        <v>2030</v>
      </c>
      <c r="B63" s="27">
        <v>47757</v>
      </c>
      <c r="C63" s="35">
        <f t="shared" si="18"/>
        <v>5925.758277865395</v>
      </c>
      <c r="D63" s="35">
        <f t="shared" si="18"/>
        <v>5925.758277865395</v>
      </c>
      <c r="E63" s="35">
        <f t="shared" si="18"/>
        <v>5925.758277865395</v>
      </c>
      <c r="F63" s="35">
        <f t="shared" si="18"/>
        <v>5925.758277865395</v>
      </c>
      <c r="G63" s="35">
        <f t="shared" si="18"/>
        <v>5925.758277865395</v>
      </c>
      <c r="H63" s="35">
        <f t="shared" si="18"/>
        <v>5925.758277865395</v>
      </c>
      <c r="I63" s="35">
        <f t="shared" si="18"/>
        <v>5925.758277865395</v>
      </c>
      <c r="J63" s="35">
        <f t="shared" si="18"/>
        <v>5925.758277865395</v>
      </c>
      <c r="K63" s="35">
        <f t="shared" si="18"/>
        <v>5925.758277865395</v>
      </c>
      <c r="L63" s="35">
        <f t="shared" si="18"/>
        <v>5925.758277865395</v>
      </c>
      <c r="M63" s="35">
        <f t="shared" si="18"/>
        <v>5925.758277865395</v>
      </c>
      <c r="N63" s="35">
        <f t="shared" si="18"/>
        <v>5925.758277865395</v>
      </c>
      <c r="O63" s="35">
        <f t="shared" si="18"/>
        <v>5925.758277865395</v>
      </c>
      <c r="P63" s="35">
        <f t="shared" si="18"/>
        <v>5925.758277865395</v>
      </c>
      <c r="Q63" s="35">
        <f t="shared" si="18"/>
        <v>5925.758277865395</v>
      </c>
      <c r="R63" s="35">
        <f t="shared" si="18"/>
        <v>5925.758277865395</v>
      </c>
      <c r="S63" s="35">
        <f t="shared" si="15"/>
        <v>5925.758277865395</v>
      </c>
      <c r="T63" s="35">
        <f t="shared" si="16"/>
        <v>5925.758277865395</v>
      </c>
      <c r="U63" s="35">
        <f t="shared" si="15"/>
        <v>5925.758277865395</v>
      </c>
      <c r="V63" s="35">
        <f t="shared" si="16"/>
        <v>5925.758277865395</v>
      </c>
      <c r="W63" s="35">
        <f t="shared" si="15"/>
        <v>5925.758277865395</v>
      </c>
      <c r="X63" s="35">
        <f t="shared" si="16"/>
        <v>5925.758277865395</v>
      </c>
      <c r="Y63" s="35">
        <f t="shared" si="15"/>
        <v>5925.758277865395</v>
      </c>
      <c r="Z63" s="35">
        <f t="shared" si="16"/>
        <v>5925.758277865395</v>
      </c>
      <c r="AA63" s="35">
        <f t="shared" si="17"/>
        <v>142218.19866876942</v>
      </c>
      <c r="AB63" s="28">
        <f t="shared" si="4"/>
        <v>31</v>
      </c>
      <c r="AC63" s="29">
        <v>4408764.1587318536</v>
      </c>
      <c r="AD63" s="37"/>
      <c r="AE63"/>
    </row>
    <row r="64" spans="1:31" ht="15">
      <c r="A64" s="23">
        <f t="shared" si="1"/>
        <v>2030</v>
      </c>
      <c r="B64" s="27">
        <v>47788</v>
      </c>
      <c r="C64" s="35">
        <f t="shared" si="18"/>
        <v>6594.2543949502251</v>
      </c>
      <c r="D64" s="35">
        <f t="shared" si="18"/>
        <v>6594.2543949502251</v>
      </c>
      <c r="E64" s="35">
        <f t="shared" si="18"/>
        <v>6594.2543949502251</v>
      </c>
      <c r="F64" s="35">
        <f t="shared" si="18"/>
        <v>6594.2543949502251</v>
      </c>
      <c r="G64" s="35">
        <f t="shared" si="18"/>
        <v>6594.2543949502251</v>
      </c>
      <c r="H64" s="35">
        <f t="shared" si="18"/>
        <v>6594.2543949502251</v>
      </c>
      <c r="I64" s="35">
        <f t="shared" si="18"/>
        <v>6594.2543949502251</v>
      </c>
      <c r="J64" s="35">
        <f t="shared" si="18"/>
        <v>6594.2543949502251</v>
      </c>
      <c r="K64" s="35">
        <f t="shared" si="18"/>
        <v>6594.2543949502251</v>
      </c>
      <c r="L64" s="35">
        <f t="shared" si="18"/>
        <v>6594.2543949502251</v>
      </c>
      <c r="M64" s="35">
        <f t="shared" si="18"/>
        <v>6594.2543949502251</v>
      </c>
      <c r="N64" s="35">
        <f t="shared" si="18"/>
        <v>6594.2543949502251</v>
      </c>
      <c r="O64" s="35">
        <f t="shared" si="18"/>
        <v>6594.2543949502251</v>
      </c>
      <c r="P64" s="35">
        <f t="shared" si="18"/>
        <v>6594.2543949502251</v>
      </c>
      <c r="Q64" s="35">
        <f t="shared" si="18"/>
        <v>6594.2543949502251</v>
      </c>
      <c r="R64" s="35">
        <f t="shared" si="18"/>
        <v>6594.2543949502251</v>
      </c>
      <c r="S64" s="35">
        <f t="shared" si="15"/>
        <v>6594.2543949502251</v>
      </c>
      <c r="T64" s="35">
        <f t="shared" si="16"/>
        <v>6594.2543949502251</v>
      </c>
      <c r="U64" s="35">
        <f t="shared" si="15"/>
        <v>6594.2543949502251</v>
      </c>
      <c r="V64" s="35">
        <f t="shared" si="16"/>
        <v>6594.2543949502251</v>
      </c>
      <c r="W64" s="35">
        <f t="shared" si="15"/>
        <v>6594.2543949502251</v>
      </c>
      <c r="X64" s="35">
        <f t="shared" si="16"/>
        <v>6594.2543949502251</v>
      </c>
      <c r="Y64" s="35">
        <f t="shared" si="15"/>
        <v>6594.2543949502251</v>
      </c>
      <c r="Z64" s="35">
        <f t="shared" si="16"/>
        <v>6594.2543949502251</v>
      </c>
      <c r="AA64" s="35">
        <f t="shared" si="17"/>
        <v>158262.10547880546</v>
      </c>
      <c r="AB64" s="28">
        <f t="shared" si="4"/>
        <v>30</v>
      </c>
      <c r="AC64" s="29">
        <v>4747863.1643641619</v>
      </c>
      <c r="AD64" s="37"/>
      <c r="AE64"/>
    </row>
    <row r="65" spans="1:31" ht="15">
      <c r="A65" s="23">
        <f t="shared" si="1"/>
        <v>2030</v>
      </c>
      <c r="B65" s="27">
        <v>47818</v>
      </c>
      <c r="C65" s="35">
        <f t="shared" si="18"/>
        <v>5925.758277865395</v>
      </c>
      <c r="D65" s="35">
        <f t="shared" si="18"/>
        <v>5925.758277865395</v>
      </c>
      <c r="E65" s="35">
        <f t="shared" si="18"/>
        <v>5925.758277865395</v>
      </c>
      <c r="F65" s="35">
        <f t="shared" si="18"/>
        <v>5925.758277865395</v>
      </c>
      <c r="G65" s="35">
        <f t="shared" si="18"/>
        <v>5925.758277865395</v>
      </c>
      <c r="H65" s="35">
        <f t="shared" si="18"/>
        <v>5925.758277865395</v>
      </c>
      <c r="I65" s="35">
        <f t="shared" si="18"/>
        <v>5925.758277865395</v>
      </c>
      <c r="J65" s="35">
        <f t="shared" si="18"/>
        <v>5925.758277865395</v>
      </c>
      <c r="K65" s="35">
        <f t="shared" si="18"/>
        <v>5925.758277865395</v>
      </c>
      <c r="L65" s="35">
        <f t="shared" si="18"/>
        <v>5925.758277865395</v>
      </c>
      <c r="M65" s="35">
        <f t="shared" si="18"/>
        <v>5925.758277865395</v>
      </c>
      <c r="N65" s="35">
        <f t="shared" si="18"/>
        <v>5925.758277865395</v>
      </c>
      <c r="O65" s="35">
        <f t="shared" si="18"/>
        <v>5925.758277865395</v>
      </c>
      <c r="P65" s="35">
        <f t="shared" si="18"/>
        <v>5925.758277865395</v>
      </c>
      <c r="Q65" s="35">
        <f t="shared" si="18"/>
        <v>5925.758277865395</v>
      </c>
      <c r="R65" s="35">
        <f t="shared" si="18"/>
        <v>5925.758277865395</v>
      </c>
      <c r="S65" s="35">
        <f t="shared" ref="S65:S125" si="19">($AC65/$AB65)/24</f>
        <v>5925.758277865395</v>
      </c>
      <c r="T65" s="35">
        <f t="shared" si="16"/>
        <v>5925.758277865395</v>
      </c>
      <c r="U65" s="35">
        <f t="shared" si="16"/>
        <v>5925.758277865395</v>
      </c>
      <c r="V65" s="35">
        <f t="shared" si="16"/>
        <v>5925.758277865395</v>
      </c>
      <c r="W65" s="35">
        <f t="shared" si="16"/>
        <v>5925.758277865395</v>
      </c>
      <c r="X65" s="35">
        <f t="shared" si="16"/>
        <v>5925.758277865395</v>
      </c>
      <c r="Y65" s="35">
        <f t="shared" si="16"/>
        <v>5925.758277865395</v>
      </c>
      <c r="Z65" s="35">
        <f t="shared" si="16"/>
        <v>5925.758277865395</v>
      </c>
      <c r="AA65" s="35">
        <f t="shared" si="17"/>
        <v>142218.19866876942</v>
      </c>
      <c r="AB65" s="28">
        <f t="shared" si="4"/>
        <v>31</v>
      </c>
      <c r="AC65" s="29">
        <v>4408764.1587318536</v>
      </c>
      <c r="AD65" s="37"/>
      <c r="AE65"/>
    </row>
    <row r="66" spans="1:31" ht="15">
      <c r="A66" s="23">
        <f t="shared" si="1"/>
        <v>2031</v>
      </c>
      <c r="B66" s="27">
        <v>47849</v>
      </c>
      <c r="C66" s="35">
        <f t="shared" si="18"/>
        <v>5925.758277865395</v>
      </c>
      <c r="D66" s="35">
        <f t="shared" si="18"/>
        <v>5925.758277865395</v>
      </c>
      <c r="E66" s="35">
        <f t="shared" si="18"/>
        <v>5925.758277865395</v>
      </c>
      <c r="F66" s="35">
        <f t="shared" si="18"/>
        <v>5925.758277865395</v>
      </c>
      <c r="G66" s="35">
        <f t="shared" si="18"/>
        <v>5925.758277865395</v>
      </c>
      <c r="H66" s="35">
        <f t="shared" si="18"/>
        <v>5925.758277865395</v>
      </c>
      <c r="I66" s="35">
        <f t="shared" si="18"/>
        <v>5925.758277865395</v>
      </c>
      <c r="J66" s="35">
        <f t="shared" si="18"/>
        <v>5925.758277865395</v>
      </c>
      <c r="K66" s="35">
        <f t="shared" si="18"/>
        <v>5925.758277865395</v>
      </c>
      <c r="L66" s="35">
        <f t="shared" si="18"/>
        <v>5925.758277865395</v>
      </c>
      <c r="M66" s="35">
        <f t="shared" si="18"/>
        <v>5925.758277865395</v>
      </c>
      <c r="N66" s="35">
        <f t="shared" si="18"/>
        <v>5925.758277865395</v>
      </c>
      <c r="O66" s="35">
        <f t="shared" si="18"/>
        <v>5925.758277865395</v>
      </c>
      <c r="P66" s="35">
        <f t="shared" si="18"/>
        <v>5925.758277865395</v>
      </c>
      <c r="Q66" s="35">
        <f t="shared" si="18"/>
        <v>5925.758277865395</v>
      </c>
      <c r="R66" s="35">
        <f t="shared" si="18"/>
        <v>5925.758277865395</v>
      </c>
      <c r="S66" s="35">
        <f t="shared" si="19"/>
        <v>5925.758277865395</v>
      </c>
      <c r="T66" s="35">
        <f t="shared" si="16"/>
        <v>5925.758277865395</v>
      </c>
      <c r="U66" s="35">
        <f t="shared" si="16"/>
        <v>5925.758277865395</v>
      </c>
      <c r="V66" s="35">
        <f t="shared" si="16"/>
        <v>5925.758277865395</v>
      </c>
      <c r="W66" s="35">
        <f t="shared" si="16"/>
        <v>5925.758277865395</v>
      </c>
      <c r="X66" s="35">
        <f t="shared" si="16"/>
        <v>5925.758277865395</v>
      </c>
      <c r="Y66" s="35">
        <f t="shared" si="16"/>
        <v>5925.758277865395</v>
      </c>
      <c r="Z66" s="35">
        <f t="shared" si="16"/>
        <v>5925.758277865395</v>
      </c>
      <c r="AA66" s="35">
        <f t="shared" si="17"/>
        <v>142218.19866876942</v>
      </c>
      <c r="AB66" s="28">
        <f t="shared" si="4"/>
        <v>31</v>
      </c>
      <c r="AC66" s="29">
        <v>4408764.1587318536</v>
      </c>
      <c r="AD66" s="37"/>
      <c r="AE66"/>
    </row>
    <row r="67" spans="1:31" ht="15">
      <c r="A67" s="23">
        <f t="shared" si="1"/>
        <v>2031</v>
      </c>
      <c r="B67" s="27">
        <v>47880</v>
      </c>
      <c r="C67" s="35">
        <f t="shared" si="18"/>
        <v>8074.4957970666264</v>
      </c>
      <c r="D67" s="35">
        <f t="shared" si="18"/>
        <v>8074.4957970666264</v>
      </c>
      <c r="E67" s="35">
        <f t="shared" si="18"/>
        <v>8074.4957970666264</v>
      </c>
      <c r="F67" s="35">
        <f t="shared" si="18"/>
        <v>8074.4957970666264</v>
      </c>
      <c r="G67" s="35">
        <f t="shared" si="18"/>
        <v>8074.4957970666264</v>
      </c>
      <c r="H67" s="35">
        <f t="shared" si="18"/>
        <v>8074.4957970666264</v>
      </c>
      <c r="I67" s="35">
        <f t="shared" si="18"/>
        <v>8074.4957970666264</v>
      </c>
      <c r="J67" s="35">
        <f t="shared" si="18"/>
        <v>8074.4957970666264</v>
      </c>
      <c r="K67" s="35">
        <f t="shared" si="18"/>
        <v>8074.4957970666264</v>
      </c>
      <c r="L67" s="35">
        <f t="shared" si="18"/>
        <v>8074.4957970666264</v>
      </c>
      <c r="M67" s="35">
        <f t="shared" si="18"/>
        <v>8074.4957970666264</v>
      </c>
      <c r="N67" s="35">
        <f t="shared" si="18"/>
        <v>8074.4957970666264</v>
      </c>
      <c r="O67" s="35">
        <f t="shared" si="18"/>
        <v>8074.4957970666264</v>
      </c>
      <c r="P67" s="35">
        <f t="shared" si="18"/>
        <v>8074.4957970666264</v>
      </c>
      <c r="Q67" s="35">
        <f t="shared" si="18"/>
        <v>8074.4957970666264</v>
      </c>
      <c r="R67" s="35">
        <f t="shared" si="18"/>
        <v>8074.4957970666264</v>
      </c>
      <c r="S67" s="35">
        <f t="shared" si="19"/>
        <v>8074.4957970666264</v>
      </c>
      <c r="T67" s="35">
        <f t="shared" si="16"/>
        <v>8074.4957970666264</v>
      </c>
      <c r="U67" s="35">
        <f t="shared" si="16"/>
        <v>8074.4957970666264</v>
      </c>
      <c r="V67" s="35">
        <f t="shared" si="16"/>
        <v>8074.4957970666264</v>
      </c>
      <c r="W67" s="35">
        <f t="shared" si="16"/>
        <v>8074.4957970666264</v>
      </c>
      <c r="X67" s="35">
        <f t="shared" si="16"/>
        <v>8074.4957970666264</v>
      </c>
      <c r="Y67" s="35">
        <f t="shared" si="16"/>
        <v>8074.4957970666264</v>
      </c>
      <c r="Z67" s="35">
        <f t="shared" si="16"/>
        <v>8074.4957970666264</v>
      </c>
      <c r="AA67" s="35">
        <f t="shared" ref="AA67:AA77" si="20">SUM(C67:Z67)</f>
        <v>193787.89912959907</v>
      </c>
      <c r="AB67" s="28">
        <f t="shared" si="4"/>
        <v>28</v>
      </c>
      <c r="AC67" s="29">
        <v>5426061.1756287729</v>
      </c>
      <c r="AD67" s="37"/>
      <c r="AE67"/>
    </row>
    <row r="68" spans="1:31" ht="15">
      <c r="A68" s="23">
        <f t="shared" si="1"/>
        <v>2031</v>
      </c>
      <c r="B68" s="27">
        <v>47908</v>
      </c>
      <c r="C68" s="35">
        <f t="shared" si="18"/>
        <v>5925.758277865395</v>
      </c>
      <c r="D68" s="35">
        <f t="shared" si="18"/>
        <v>5925.758277865395</v>
      </c>
      <c r="E68" s="35">
        <f t="shared" si="18"/>
        <v>5925.758277865395</v>
      </c>
      <c r="F68" s="35">
        <f t="shared" si="18"/>
        <v>5925.758277865395</v>
      </c>
      <c r="G68" s="35">
        <f t="shared" si="18"/>
        <v>5925.758277865395</v>
      </c>
      <c r="H68" s="35">
        <f t="shared" si="18"/>
        <v>5925.758277865395</v>
      </c>
      <c r="I68" s="35">
        <f t="shared" si="18"/>
        <v>5925.758277865395</v>
      </c>
      <c r="J68" s="35">
        <f t="shared" si="18"/>
        <v>5925.758277865395</v>
      </c>
      <c r="K68" s="35">
        <f t="shared" si="18"/>
        <v>5925.758277865395</v>
      </c>
      <c r="L68" s="35">
        <f t="shared" si="18"/>
        <v>5925.758277865395</v>
      </c>
      <c r="M68" s="35">
        <f t="shared" si="18"/>
        <v>5925.758277865395</v>
      </c>
      <c r="N68" s="35">
        <f t="shared" si="18"/>
        <v>5925.758277865395</v>
      </c>
      <c r="O68" s="35">
        <f t="shared" si="18"/>
        <v>5925.758277865395</v>
      </c>
      <c r="P68" s="35">
        <f t="shared" si="18"/>
        <v>5925.758277865395</v>
      </c>
      <c r="Q68" s="35">
        <f t="shared" si="18"/>
        <v>5925.758277865395</v>
      </c>
      <c r="R68" s="35">
        <f t="shared" si="18"/>
        <v>5925.758277865395</v>
      </c>
      <c r="S68" s="35">
        <f t="shared" si="19"/>
        <v>5925.758277865395</v>
      </c>
      <c r="T68" s="35">
        <f t="shared" si="16"/>
        <v>5925.758277865395</v>
      </c>
      <c r="U68" s="35">
        <f t="shared" si="16"/>
        <v>5925.758277865395</v>
      </c>
      <c r="V68" s="35">
        <f t="shared" si="16"/>
        <v>5925.758277865395</v>
      </c>
      <c r="W68" s="35">
        <f t="shared" si="16"/>
        <v>5925.758277865395</v>
      </c>
      <c r="X68" s="35">
        <f t="shared" si="16"/>
        <v>5925.758277865395</v>
      </c>
      <c r="Y68" s="35">
        <f t="shared" si="16"/>
        <v>5925.758277865395</v>
      </c>
      <c r="Z68" s="35">
        <f t="shared" si="16"/>
        <v>5925.758277865395</v>
      </c>
      <c r="AA68" s="35">
        <f t="shared" si="20"/>
        <v>142218.19866876942</v>
      </c>
      <c r="AB68" s="28">
        <f t="shared" si="4"/>
        <v>31</v>
      </c>
      <c r="AC68" s="29">
        <v>4408764.1587318536</v>
      </c>
      <c r="AD68" s="37"/>
      <c r="AE68"/>
    </row>
    <row r="69" spans="1:31" ht="15">
      <c r="A69" s="23">
        <f t="shared" si="1"/>
        <v>2031</v>
      </c>
      <c r="B69" s="27">
        <v>47939</v>
      </c>
      <c r="C69" s="35">
        <f t="shared" si="18"/>
        <v>6594.2543949502251</v>
      </c>
      <c r="D69" s="35">
        <f t="shared" si="18"/>
        <v>6594.2543949502251</v>
      </c>
      <c r="E69" s="35">
        <f t="shared" si="18"/>
        <v>6594.2543949502251</v>
      </c>
      <c r="F69" s="35">
        <f t="shared" si="18"/>
        <v>6594.2543949502251</v>
      </c>
      <c r="G69" s="35">
        <f t="shared" si="18"/>
        <v>6594.2543949502251</v>
      </c>
      <c r="H69" s="35">
        <f t="shared" si="18"/>
        <v>6594.2543949502251</v>
      </c>
      <c r="I69" s="35">
        <f t="shared" si="18"/>
        <v>6594.2543949502251</v>
      </c>
      <c r="J69" s="35">
        <f t="shared" si="18"/>
        <v>6594.2543949502251</v>
      </c>
      <c r="K69" s="35">
        <f t="shared" si="18"/>
        <v>6594.2543949502251</v>
      </c>
      <c r="L69" s="35">
        <f t="shared" si="18"/>
        <v>6594.2543949502251</v>
      </c>
      <c r="M69" s="35">
        <f t="shared" si="18"/>
        <v>6594.2543949502251</v>
      </c>
      <c r="N69" s="35">
        <f t="shared" si="18"/>
        <v>6594.2543949502251</v>
      </c>
      <c r="O69" s="35">
        <f t="shared" si="18"/>
        <v>6594.2543949502251</v>
      </c>
      <c r="P69" s="35">
        <f t="shared" si="18"/>
        <v>6594.2543949502251</v>
      </c>
      <c r="Q69" s="35">
        <f t="shared" si="18"/>
        <v>6594.2543949502251</v>
      </c>
      <c r="R69" s="35">
        <f t="shared" si="18"/>
        <v>6594.2543949502251</v>
      </c>
      <c r="S69" s="35">
        <f t="shared" si="19"/>
        <v>6594.2543949502251</v>
      </c>
      <c r="T69" s="35">
        <f t="shared" si="16"/>
        <v>6594.2543949502251</v>
      </c>
      <c r="U69" s="35">
        <f t="shared" si="16"/>
        <v>6594.2543949502251</v>
      </c>
      <c r="V69" s="35">
        <f t="shared" si="16"/>
        <v>6594.2543949502251</v>
      </c>
      <c r="W69" s="35">
        <f t="shared" si="16"/>
        <v>6594.2543949502251</v>
      </c>
      <c r="X69" s="35">
        <f t="shared" si="16"/>
        <v>6594.2543949502251</v>
      </c>
      <c r="Y69" s="35">
        <f t="shared" si="16"/>
        <v>6594.2543949502251</v>
      </c>
      <c r="Z69" s="35">
        <f t="shared" si="16"/>
        <v>6594.2543949502251</v>
      </c>
      <c r="AA69" s="35">
        <f t="shared" si="20"/>
        <v>158262.10547880546</v>
      </c>
      <c r="AB69" s="28">
        <f t="shared" si="4"/>
        <v>30</v>
      </c>
      <c r="AC69" s="29">
        <v>4747863.1643641619</v>
      </c>
      <c r="AD69" s="37"/>
      <c r="AE69"/>
    </row>
    <row r="70" spans="1:31" ht="15">
      <c r="A70" s="23">
        <f t="shared" si="1"/>
        <v>2031</v>
      </c>
      <c r="B70" s="27">
        <v>47969</v>
      </c>
      <c r="C70" s="35">
        <f t="shared" si="18"/>
        <v>5925.758277865395</v>
      </c>
      <c r="D70" s="35">
        <f t="shared" si="18"/>
        <v>5925.758277865395</v>
      </c>
      <c r="E70" s="35">
        <f t="shared" si="18"/>
        <v>5925.758277865395</v>
      </c>
      <c r="F70" s="35">
        <f t="shared" si="18"/>
        <v>5925.758277865395</v>
      </c>
      <c r="G70" s="35">
        <f t="shared" si="18"/>
        <v>5925.758277865395</v>
      </c>
      <c r="H70" s="35">
        <f t="shared" si="18"/>
        <v>5925.758277865395</v>
      </c>
      <c r="I70" s="35">
        <f t="shared" si="18"/>
        <v>5925.758277865395</v>
      </c>
      <c r="J70" s="35">
        <f t="shared" si="18"/>
        <v>5925.758277865395</v>
      </c>
      <c r="K70" s="35">
        <f t="shared" si="18"/>
        <v>5925.758277865395</v>
      </c>
      <c r="L70" s="35">
        <f t="shared" si="18"/>
        <v>5925.758277865395</v>
      </c>
      <c r="M70" s="35">
        <f t="shared" si="18"/>
        <v>5925.758277865395</v>
      </c>
      <c r="N70" s="35">
        <f t="shared" si="18"/>
        <v>5925.758277865395</v>
      </c>
      <c r="O70" s="35">
        <f t="shared" si="18"/>
        <v>5925.758277865395</v>
      </c>
      <c r="P70" s="35">
        <f t="shared" si="18"/>
        <v>5925.758277865395</v>
      </c>
      <c r="Q70" s="35">
        <f t="shared" si="18"/>
        <v>5925.758277865395</v>
      </c>
      <c r="R70" s="35">
        <f t="shared" ref="R70:Z85" si="21">($AC70/$AB70)/24</f>
        <v>5925.758277865395</v>
      </c>
      <c r="S70" s="35">
        <f t="shared" si="19"/>
        <v>5925.758277865395</v>
      </c>
      <c r="T70" s="35">
        <f t="shared" si="21"/>
        <v>5925.758277865395</v>
      </c>
      <c r="U70" s="35">
        <f t="shared" si="16"/>
        <v>5925.758277865395</v>
      </c>
      <c r="V70" s="35">
        <f t="shared" si="21"/>
        <v>5925.758277865395</v>
      </c>
      <c r="W70" s="35">
        <f t="shared" si="16"/>
        <v>5925.758277865395</v>
      </c>
      <c r="X70" s="35">
        <f t="shared" si="21"/>
        <v>5925.758277865395</v>
      </c>
      <c r="Y70" s="35">
        <f t="shared" si="16"/>
        <v>5925.758277865395</v>
      </c>
      <c r="Z70" s="35">
        <f t="shared" si="21"/>
        <v>5925.758277865395</v>
      </c>
      <c r="AA70" s="35">
        <f t="shared" si="20"/>
        <v>142218.19866876942</v>
      </c>
      <c r="AB70" s="28">
        <f t="shared" si="4"/>
        <v>31</v>
      </c>
      <c r="AC70" s="29">
        <v>4408764.1587318536</v>
      </c>
      <c r="AD70" s="37"/>
      <c r="AE70"/>
    </row>
    <row r="71" spans="1:31" ht="15">
      <c r="A71" s="23">
        <f t="shared" ref="A71:A125" si="22">YEAR(B71)</f>
        <v>2031</v>
      </c>
      <c r="B71" s="27">
        <v>48000</v>
      </c>
      <c r="C71" s="35">
        <f t="shared" ref="C71:R86" si="23">($AC71/$AB71)/24</f>
        <v>6594.2543949502251</v>
      </c>
      <c r="D71" s="35">
        <f t="shared" si="23"/>
        <v>6594.2543949502251</v>
      </c>
      <c r="E71" s="35">
        <f t="shared" si="23"/>
        <v>6594.2543949502251</v>
      </c>
      <c r="F71" s="35">
        <f t="shared" si="23"/>
        <v>6594.2543949502251</v>
      </c>
      <c r="G71" s="35">
        <f t="shared" si="23"/>
        <v>6594.2543949502251</v>
      </c>
      <c r="H71" s="35">
        <f t="shared" si="23"/>
        <v>6594.2543949502251</v>
      </c>
      <c r="I71" s="35">
        <f t="shared" si="23"/>
        <v>6594.2543949502251</v>
      </c>
      <c r="J71" s="35">
        <f t="shared" si="23"/>
        <v>6594.2543949502251</v>
      </c>
      <c r="K71" s="35">
        <f t="shared" si="23"/>
        <v>6594.2543949502251</v>
      </c>
      <c r="L71" s="35">
        <f t="shared" si="23"/>
        <v>6594.2543949502251</v>
      </c>
      <c r="M71" s="35">
        <f t="shared" si="23"/>
        <v>6594.2543949502251</v>
      </c>
      <c r="N71" s="35">
        <f t="shared" si="23"/>
        <v>6594.2543949502251</v>
      </c>
      <c r="O71" s="35">
        <f t="shared" si="23"/>
        <v>6594.2543949502251</v>
      </c>
      <c r="P71" s="35">
        <f t="shared" si="23"/>
        <v>6594.2543949502251</v>
      </c>
      <c r="Q71" s="35">
        <f t="shared" si="23"/>
        <v>6594.2543949502251</v>
      </c>
      <c r="R71" s="35">
        <f t="shared" si="23"/>
        <v>6594.2543949502251</v>
      </c>
      <c r="S71" s="35">
        <f t="shared" si="19"/>
        <v>6594.2543949502251</v>
      </c>
      <c r="T71" s="35">
        <f t="shared" si="21"/>
        <v>6594.2543949502251</v>
      </c>
      <c r="U71" s="35">
        <f t="shared" si="16"/>
        <v>6594.2543949502251</v>
      </c>
      <c r="V71" s="35">
        <f t="shared" si="21"/>
        <v>6594.2543949502251</v>
      </c>
      <c r="W71" s="35">
        <f t="shared" si="16"/>
        <v>6594.2543949502251</v>
      </c>
      <c r="X71" s="35">
        <f t="shared" si="21"/>
        <v>6594.2543949502251</v>
      </c>
      <c r="Y71" s="35">
        <f t="shared" si="16"/>
        <v>6594.2543949502251</v>
      </c>
      <c r="Z71" s="35">
        <f t="shared" si="21"/>
        <v>6594.2543949502251</v>
      </c>
      <c r="AA71" s="35">
        <f t="shared" si="20"/>
        <v>158262.10547880546</v>
      </c>
      <c r="AB71" s="28">
        <f t="shared" ref="AB71:AB125" si="24">DAY(EOMONTH(B71,0))</f>
        <v>30</v>
      </c>
      <c r="AC71" s="29">
        <v>4747863.1643641619</v>
      </c>
      <c r="AD71" s="37"/>
      <c r="AE71"/>
    </row>
    <row r="72" spans="1:31" ht="15">
      <c r="A72" s="23">
        <f t="shared" si="22"/>
        <v>2031</v>
      </c>
      <c r="B72" s="27">
        <v>48030</v>
      </c>
      <c r="C72" s="35">
        <f t="shared" si="23"/>
        <v>5925.758277865395</v>
      </c>
      <c r="D72" s="35">
        <f t="shared" si="23"/>
        <v>5925.758277865395</v>
      </c>
      <c r="E72" s="35">
        <f t="shared" si="23"/>
        <v>5925.758277865395</v>
      </c>
      <c r="F72" s="35">
        <f t="shared" si="23"/>
        <v>5925.758277865395</v>
      </c>
      <c r="G72" s="35">
        <f t="shared" si="23"/>
        <v>5925.758277865395</v>
      </c>
      <c r="H72" s="35">
        <f t="shared" si="23"/>
        <v>5925.758277865395</v>
      </c>
      <c r="I72" s="35">
        <f t="shared" si="23"/>
        <v>5925.758277865395</v>
      </c>
      <c r="J72" s="35">
        <f t="shared" si="23"/>
        <v>5925.758277865395</v>
      </c>
      <c r="K72" s="35">
        <f t="shared" si="23"/>
        <v>5925.758277865395</v>
      </c>
      <c r="L72" s="35">
        <f t="shared" si="23"/>
        <v>5925.758277865395</v>
      </c>
      <c r="M72" s="35">
        <f t="shared" si="23"/>
        <v>5925.758277865395</v>
      </c>
      <c r="N72" s="35">
        <f t="shared" si="23"/>
        <v>5925.758277865395</v>
      </c>
      <c r="O72" s="35">
        <f t="shared" si="23"/>
        <v>5925.758277865395</v>
      </c>
      <c r="P72" s="35">
        <f t="shared" si="23"/>
        <v>5925.758277865395</v>
      </c>
      <c r="Q72" s="35">
        <f t="shared" si="23"/>
        <v>5925.758277865395</v>
      </c>
      <c r="R72" s="35">
        <f t="shared" si="23"/>
        <v>5925.758277865395</v>
      </c>
      <c r="S72" s="35">
        <f t="shared" si="19"/>
        <v>5925.758277865395</v>
      </c>
      <c r="T72" s="35">
        <f t="shared" si="21"/>
        <v>5925.758277865395</v>
      </c>
      <c r="U72" s="35">
        <f t="shared" si="16"/>
        <v>5925.758277865395</v>
      </c>
      <c r="V72" s="35">
        <f t="shared" si="21"/>
        <v>5925.758277865395</v>
      </c>
      <c r="W72" s="35">
        <f t="shared" si="16"/>
        <v>5925.758277865395</v>
      </c>
      <c r="X72" s="35">
        <f t="shared" si="21"/>
        <v>5925.758277865395</v>
      </c>
      <c r="Y72" s="35">
        <f t="shared" si="16"/>
        <v>5925.758277865395</v>
      </c>
      <c r="Z72" s="35">
        <f t="shared" si="21"/>
        <v>5925.758277865395</v>
      </c>
      <c r="AA72" s="35">
        <f t="shared" si="20"/>
        <v>142218.19866876942</v>
      </c>
      <c r="AB72" s="28">
        <f t="shared" si="24"/>
        <v>31</v>
      </c>
      <c r="AC72" s="29">
        <v>4408764.1587318536</v>
      </c>
      <c r="AD72" s="37"/>
      <c r="AE72"/>
    </row>
    <row r="73" spans="1:31" ht="15">
      <c r="A73" s="23">
        <f t="shared" si="22"/>
        <v>2031</v>
      </c>
      <c r="B73" s="27">
        <v>48061</v>
      </c>
      <c r="C73" s="35">
        <f t="shared" si="23"/>
        <v>5925.758277865395</v>
      </c>
      <c r="D73" s="35">
        <f t="shared" si="23"/>
        <v>5925.758277865395</v>
      </c>
      <c r="E73" s="35">
        <f t="shared" si="23"/>
        <v>5925.758277865395</v>
      </c>
      <c r="F73" s="35">
        <f t="shared" si="23"/>
        <v>5925.758277865395</v>
      </c>
      <c r="G73" s="35">
        <f t="shared" si="23"/>
        <v>5925.758277865395</v>
      </c>
      <c r="H73" s="35">
        <f t="shared" si="23"/>
        <v>5925.758277865395</v>
      </c>
      <c r="I73" s="35">
        <f t="shared" si="23"/>
        <v>5925.758277865395</v>
      </c>
      <c r="J73" s="35">
        <f t="shared" si="23"/>
        <v>5925.758277865395</v>
      </c>
      <c r="K73" s="35">
        <f t="shared" si="23"/>
        <v>5925.758277865395</v>
      </c>
      <c r="L73" s="35">
        <f t="shared" si="23"/>
        <v>5925.758277865395</v>
      </c>
      <c r="M73" s="35">
        <f t="shared" si="23"/>
        <v>5925.758277865395</v>
      </c>
      <c r="N73" s="35">
        <f t="shared" si="23"/>
        <v>5925.758277865395</v>
      </c>
      <c r="O73" s="35">
        <f t="shared" si="23"/>
        <v>5925.758277865395</v>
      </c>
      <c r="P73" s="35">
        <f t="shared" si="23"/>
        <v>5925.758277865395</v>
      </c>
      <c r="Q73" s="35">
        <f t="shared" si="23"/>
        <v>5925.758277865395</v>
      </c>
      <c r="R73" s="35">
        <f t="shared" si="23"/>
        <v>5925.758277865395</v>
      </c>
      <c r="S73" s="35">
        <f t="shared" si="19"/>
        <v>5925.758277865395</v>
      </c>
      <c r="T73" s="35">
        <f t="shared" si="21"/>
        <v>5925.758277865395</v>
      </c>
      <c r="U73" s="35">
        <f t="shared" si="16"/>
        <v>5925.758277865395</v>
      </c>
      <c r="V73" s="35">
        <f t="shared" si="21"/>
        <v>5925.758277865395</v>
      </c>
      <c r="W73" s="35">
        <f t="shared" si="16"/>
        <v>5925.758277865395</v>
      </c>
      <c r="X73" s="35">
        <f t="shared" si="21"/>
        <v>5925.758277865395</v>
      </c>
      <c r="Y73" s="35">
        <f t="shared" si="16"/>
        <v>5925.758277865395</v>
      </c>
      <c r="Z73" s="35">
        <f t="shared" si="21"/>
        <v>5925.758277865395</v>
      </c>
      <c r="AA73" s="35">
        <f t="shared" si="20"/>
        <v>142218.19866876942</v>
      </c>
      <c r="AB73" s="28">
        <f t="shared" si="24"/>
        <v>31</v>
      </c>
      <c r="AC73" s="29">
        <v>4408764.1587318536</v>
      </c>
      <c r="AD73" s="37"/>
      <c r="AE73"/>
    </row>
    <row r="74" spans="1:31" ht="15">
      <c r="A74" s="23">
        <f t="shared" si="22"/>
        <v>2031</v>
      </c>
      <c r="B74" s="27">
        <v>48092</v>
      </c>
      <c r="C74" s="35">
        <f t="shared" si="23"/>
        <v>6594.2543949502251</v>
      </c>
      <c r="D74" s="35">
        <f t="shared" si="23"/>
        <v>6594.2543949502251</v>
      </c>
      <c r="E74" s="35">
        <f t="shared" si="23"/>
        <v>6594.2543949502251</v>
      </c>
      <c r="F74" s="35">
        <f t="shared" si="23"/>
        <v>6594.2543949502251</v>
      </c>
      <c r="G74" s="35">
        <f t="shared" si="23"/>
        <v>6594.2543949502251</v>
      </c>
      <c r="H74" s="35">
        <f t="shared" si="23"/>
        <v>6594.2543949502251</v>
      </c>
      <c r="I74" s="35">
        <f t="shared" si="23"/>
        <v>6594.2543949502251</v>
      </c>
      <c r="J74" s="35">
        <f t="shared" si="23"/>
        <v>6594.2543949502251</v>
      </c>
      <c r="K74" s="35">
        <f t="shared" si="23"/>
        <v>6594.2543949502251</v>
      </c>
      <c r="L74" s="35">
        <f t="shared" si="23"/>
        <v>6594.2543949502251</v>
      </c>
      <c r="M74" s="35">
        <f t="shared" si="23"/>
        <v>6594.2543949502251</v>
      </c>
      <c r="N74" s="35">
        <f t="shared" si="23"/>
        <v>6594.2543949502251</v>
      </c>
      <c r="O74" s="35">
        <f t="shared" si="23"/>
        <v>6594.2543949502251</v>
      </c>
      <c r="P74" s="35">
        <f t="shared" si="23"/>
        <v>6594.2543949502251</v>
      </c>
      <c r="Q74" s="35">
        <f t="shared" si="23"/>
        <v>6594.2543949502251</v>
      </c>
      <c r="R74" s="35">
        <f t="shared" si="23"/>
        <v>6594.2543949502251</v>
      </c>
      <c r="S74" s="35">
        <f t="shared" si="19"/>
        <v>6594.2543949502251</v>
      </c>
      <c r="T74" s="35">
        <f t="shared" si="21"/>
        <v>6594.2543949502251</v>
      </c>
      <c r="U74" s="35">
        <f t="shared" si="16"/>
        <v>6594.2543949502251</v>
      </c>
      <c r="V74" s="35">
        <f t="shared" si="21"/>
        <v>6594.2543949502251</v>
      </c>
      <c r="W74" s="35">
        <f t="shared" si="16"/>
        <v>6594.2543949502251</v>
      </c>
      <c r="X74" s="35">
        <f t="shared" si="21"/>
        <v>6594.2543949502251</v>
      </c>
      <c r="Y74" s="35">
        <f t="shared" si="16"/>
        <v>6594.2543949502251</v>
      </c>
      <c r="Z74" s="35">
        <f t="shared" si="21"/>
        <v>6594.2543949502251</v>
      </c>
      <c r="AA74" s="35">
        <f t="shared" si="20"/>
        <v>158262.10547880546</v>
      </c>
      <c r="AB74" s="28">
        <f t="shared" si="24"/>
        <v>30</v>
      </c>
      <c r="AC74" s="29">
        <v>4747863.1643641619</v>
      </c>
      <c r="AD74" s="37"/>
      <c r="AE74"/>
    </row>
    <row r="75" spans="1:31" ht="15">
      <c r="A75" s="23">
        <f t="shared" si="22"/>
        <v>2031</v>
      </c>
      <c r="B75" s="27">
        <v>48122</v>
      </c>
      <c r="C75" s="35">
        <f t="shared" si="23"/>
        <v>5925.758277865395</v>
      </c>
      <c r="D75" s="35">
        <f t="shared" si="23"/>
        <v>5925.758277865395</v>
      </c>
      <c r="E75" s="35">
        <f t="shared" si="23"/>
        <v>5925.758277865395</v>
      </c>
      <c r="F75" s="35">
        <f t="shared" si="23"/>
        <v>5925.758277865395</v>
      </c>
      <c r="G75" s="35">
        <f t="shared" si="23"/>
        <v>5925.758277865395</v>
      </c>
      <c r="H75" s="35">
        <f t="shared" si="23"/>
        <v>5925.758277865395</v>
      </c>
      <c r="I75" s="35">
        <f t="shared" si="23"/>
        <v>5925.758277865395</v>
      </c>
      <c r="J75" s="35">
        <f t="shared" si="23"/>
        <v>5925.758277865395</v>
      </c>
      <c r="K75" s="35">
        <f t="shared" si="23"/>
        <v>5925.758277865395</v>
      </c>
      <c r="L75" s="35">
        <f t="shared" si="23"/>
        <v>5925.758277865395</v>
      </c>
      <c r="M75" s="35">
        <f t="shared" si="23"/>
        <v>5925.758277865395</v>
      </c>
      <c r="N75" s="35">
        <f t="shared" si="23"/>
        <v>5925.758277865395</v>
      </c>
      <c r="O75" s="35">
        <f t="shared" si="23"/>
        <v>5925.758277865395</v>
      </c>
      <c r="P75" s="35">
        <f t="shared" si="23"/>
        <v>5925.758277865395</v>
      </c>
      <c r="Q75" s="35">
        <f t="shared" si="23"/>
        <v>5925.758277865395</v>
      </c>
      <c r="R75" s="35">
        <f t="shared" si="23"/>
        <v>5925.758277865395</v>
      </c>
      <c r="S75" s="35">
        <f t="shared" si="19"/>
        <v>5925.758277865395</v>
      </c>
      <c r="T75" s="35">
        <f t="shared" si="21"/>
        <v>5925.758277865395</v>
      </c>
      <c r="U75" s="35">
        <f t="shared" si="16"/>
        <v>5925.758277865395</v>
      </c>
      <c r="V75" s="35">
        <f t="shared" si="21"/>
        <v>5925.758277865395</v>
      </c>
      <c r="W75" s="35">
        <f t="shared" si="16"/>
        <v>5925.758277865395</v>
      </c>
      <c r="X75" s="35">
        <f t="shared" si="21"/>
        <v>5925.758277865395</v>
      </c>
      <c r="Y75" s="35">
        <f t="shared" si="16"/>
        <v>5925.758277865395</v>
      </c>
      <c r="Z75" s="35">
        <f t="shared" si="21"/>
        <v>5925.758277865395</v>
      </c>
      <c r="AA75" s="35">
        <f t="shared" si="20"/>
        <v>142218.19866876942</v>
      </c>
      <c r="AB75" s="28">
        <f t="shared" si="24"/>
        <v>31</v>
      </c>
      <c r="AC75" s="29">
        <v>4408764.1587318536</v>
      </c>
      <c r="AD75" s="37"/>
      <c r="AE75"/>
    </row>
    <row r="76" spans="1:31" ht="15">
      <c r="A76" s="23">
        <f t="shared" si="22"/>
        <v>2031</v>
      </c>
      <c r="B76" s="27">
        <v>48153</v>
      </c>
      <c r="C76" s="35">
        <f t="shared" si="23"/>
        <v>6594.2543949502251</v>
      </c>
      <c r="D76" s="35">
        <f t="shared" si="23"/>
        <v>6594.2543949502251</v>
      </c>
      <c r="E76" s="35">
        <f t="shared" si="23"/>
        <v>6594.2543949502251</v>
      </c>
      <c r="F76" s="35">
        <f t="shared" si="23"/>
        <v>6594.2543949502251</v>
      </c>
      <c r="G76" s="35">
        <f t="shared" si="23"/>
        <v>6594.2543949502251</v>
      </c>
      <c r="H76" s="35">
        <f t="shared" si="23"/>
        <v>6594.2543949502251</v>
      </c>
      <c r="I76" s="35">
        <f t="shared" si="23"/>
        <v>6594.2543949502251</v>
      </c>
      <c r="J76" s="35">
        <f t="shared" si="23"/>
        <v>6594.2543949502251</v>
      </c>
      <c r="K76" s="35">
        <f t="shared" si="23"/>
        <v>6594.2543949502251</v>
      </c>
      <c r="L76" s="35">
        <f t="shared" si="23"/>
        <v>6594.2543949502251</v>
      </c>
      <c r="M76" s="35">
        <f t="shared" si="23"/>
        <v>6594.2543949502251</v>
      </c>
      <c r="N76" s="35">
        <f t="shared" si="23"/>
        <v>6594.2543949502251</v>
      </c>
      <c r="O76" s="35">
        <f t="shared" si="23"/>
        <v>6594.2543949502251</v>
      </c>
      <c r="P76" s="35">
        <f t="shared" si="23"/>
        <v>6594.2543949502251</v>
      </c>
      <c r="Q76" s="35">
        <f t="shared" si="23"/>
        <v>6594.2543949502251</v>
      </c>
      <c r="R76" s="35">
        <f t="shared" si="23"/>
        <v>6594.2543949502251</v>
      </c>
      <c r="S76" s="35">
        <f t="shared" si="19"/>
        <v>6594.2543949502251</v>
      </c>
      <c r="T76" s="35">
        <f t="shared" si="21"/>
        <v>6594.2543949502251</v>
      </c>
      <c r="U76" s="35">
        <f t="shared" si="16"/>
        <v>6594.2543949502251</v>
      </c>
      <c r="V76" s="35">
        <f t="shared" si="21"/>
        <v>6594.2543949502251</v>
      </c>
      <c r="W76" s="35">
        <f t="shared" si="16"/>
        <v>6594.2543949502251</v>
      </c>
      <c r="X76" s="35">
        <f t="shared" si="21"/>
        <v>6594.2543949502251</v>
      </c>
      <c r="Y76" s="35">
        <f t="shared" si="16"/>
        <v>6594.2543949502251</v>
      </c>
      <c r="Z76" s="35">
        <f t="shared" si="21"/>
        <v>6594.2543949502251</v>
      </c>
      <c r="AA76" s="35">
        <f t="shared" si="20"/>
        <v>158262.10547880546</v>
      </c>
      <c r="AB76" s="28">
        <f t="shared" si="24"/>
        <v>30</v>
      </c>
      <c r="AC76" s="29">
        <v>4747863.1643641619</v>
      </c>
      <c r="AD76" s="37"/>
      <c r="AE76"/>
    </row>
    <row r="77" spans="1:31" ht="15">
      <c r="A77" s="23">
        <f t="shared" si="22"/>
        <v>2031</v>
      </c>
      <c r="B77" s="27">
        <v>48183</v>
      </c>
      <c r="C77" s="35">
        <f t="shared" si="23"/>
        <v>5925.758277865395</v>
      </c>
      <c r="D77" s="35">
        <f t="shared" si="23"/>
        <v>5925.758277865395</v>
      </c>
      <c r="E77" s="35">
        <f t="shared" si="23"/>
        <v>5925.758277865395</v>
      </c>
      <c r="F77" s="35">
        <f t="shared" si="23"/>
        <v>5925.758277865395</v>
      </c>
      <c r="G77" s="35">
        <f t="shared" si="23"/>
        <v>5925.758277865395</v>
      </c>
      <c r="H77" s="35">
        <f t="shared" si="23"/>
        <v>5925.758277865395</v>
      </c>
      <c r="I77" s="35">
        <f t="shared" si="23"/>
        <v>5925.758277865395</v>
      </c>
      <c r="J77" s="35">
        <f t="shared" si="23"/>
        <v>5925.758277865395</v>
      </c>
      <c r="K77" s="35">
        <f t="shared" si="23"/>
        <v>5925.758277865395</v>
      </c>
      <c r="L77" s="35">
        <f t="shared" si="23"/>
        <v>5925.758277865395</v>
      </c>
      <c r="M77" s="35">
        <f t="shared" si="23"/>
        <v>5925.758277865395</v>
      </c>
      <c r="N77" s="35">
        <f t="shared" si="23"/>
        <v>5925.758277865395</v>
      </c>
      <c r="O77" s="35">
        <f t="shared" si="23"/>
        <v>5925.758277865395</v>
      </c>
      <c r="P77" s="35">
        <f t="shared" si="23"/>
        <v>5925.758277865395</v>
      </c>
      <c r="Q77" s="35">
        <f t="shared" si="23"/>
        <v>5925.758277865395</v>
      </c>
      <c r="R77" s="35">
        <f t="shared" si="23"/>
        <v>5925.758277865395</v>
      </c>
      <c r="S77" s="35">
        <f t="shared" si="19"/>
        <v>5925.758277865395</v>
      </c>
      <c r="T77" s="35">
        <f t="shared" si="21"/>
        <v>5925.758277865395</v>
      </c>
      <c r="U77" s="35">
        <f t="shared" si="16"/>
        <v>5925.758277865395</v>
      </c>
      <c r="V77" s="35">
        <f t="shared" si="21"/>
        <v>5925.758277865395</v>
      </c>
      <c r="W77" s="35">
        <f t="shared" si="16"/>
        <v>5925.758277865395</v>
      </c>
      <c r="X77" s="35">
        <f t="shared" si="21"/>
        <v>5925.758277865395</v>
      </c>
      <c r="Y77" s="35">
        <f t="shared" si="16"/>
        <v>5925.758277865395</v>
      </c>
      <c r="Z77" s="35">
        <f t="shared" si="21"/>
        <v>5925.758277865395</v>
      </c>
      <c r="AA77" s="35">
        <f t="shared" si="20"/>
        <v>142218.19866876942</v>
      </c>
      <c r="AB77" s="28">
        <f t="shared" si="24"/>
        <v>31</v>
      </c>
      <c r="AC77" s="29">
        <v>4408764.1587318536</v>
      </c>
      <c r="AD77" s="37"/>
      <c r="AE77"/>
    </row>
    <row r="78" spans="1:31" ht="15">
      <c r="A78" s="23">
        <f t="shared" si="22"/>
        <v>2032</v>
      </c>
      <c r="B78" s="27">
        <v>48214</v>
      </c>
      <c r="C78" s="35">
        <f t="shared" si="23"/>
        <v>5951.393277865398</v>
      </c>
      <c r="D78" s="35">
        <f t="shared" si="23"/>
        <v>5951.393277865398</v>
      </c>
      <c r="E78" s="35">
        <f t="shared" si="23"/>
        <v>5951.393277865398</v>
      </c>
      <c r="F78" s="35">
        <f t="shared" si="23"/>
        <v>5951.393277865398</v>
      </c>
      <c r="G78" s="35">
        <f t="shared" si="23"/>
        <v>5951.393277865398</v>
      </c>
      <c r="H78" s="35">
        <f t="shared" si="23"/>
        <v>5951.393277865398</v>
      </c>
      <c r="I78" s="35">
        <f t="shared" si="23"/>
        <v>5951.393277865398</v>
      </c>
      <c r="J78" s="35">
        <f t="shared" si="23"/>
        <v>5951.393277865398</v>
      </c>
      <c r="K78" s="35">
        <f t="shared" si="23"/>
        <v>5951.393277865398</v>
      </c>
      <c r="L78" s="35">
        <f t="shared" si="23"/>
        <v>5951.393277865398</v>
      </c>
      <c r="M78" s="35">
        <f t="shared" si="23"/>
        <v>5951.393277865398</v>
      </c>
      <c r="N78" s="35">
        <f t="shared" si="23"/>
        <v>5951.393277865398</v>
      </c>
      <c r="O78" s="35">
        <f t="shared" si="23"/>
        <v>5951.393277865398</v>
      </c>
      <c r="P78" s="35">
        <f t="shared" si="23"/>
        <v>5951.393277865398</v>
      </c>
      <c r="Q78" s="35">
        <f t="shared" si="23"/>
        <v>5951.393277865398</v>
      </c>
      <c r="R78" s="35">
        <f t="shared" si="23"/>
        <v>5951.393277865398</v>
      </c>
      <c r="S78" s="35">
        <f t="shared" si="19"/>
        <v>5951.393277865398</v>
      </c>
      <c r="T78" s="35">
        <f t="shared" si="21"/>
        <v>5951.393277865398</v>
      </c>
      <c r="U78" s="35">
        <f t="shared" si="16"/>
        <v>5951.393277865398</v>
      </c>
      <c r="V78" s="35">
        <f t="shared" si="21"/>
        <v>5951.393277865398</v>
      </c>
      <c r="W78" s="35">
        <f t="shared" si="16"/>
        <v>5951.393277865398</v>
      </c>
      <c r="X78" s="35">
        <f t="shared" si="21"/>
        <v>5951.393277865398</v>
      </c>
      <c r="Y78" s="35">
        <f t="shared" si="16"/>
        <v>5951.393277865398</v>
      </c>
      <c r="Z78" s="35">
        <f t="shared" si="21"/>
        <v>5951.393277865398</v>
      </c>
      <c r="AA78" s="35">
        <f t="shared" ref="AA78" si="25">SUM(C78:Z78)</f>
        <v>142833.43866876955</v>
      </c>
      <c r="AB78" s="28">
        <f t="shared" si="24"/>
        <v>31</v>
      </c>
      <c r="AC78" s="29">
        <v>4427836.5987318559</v>
      </c>
      <c r="AD78" s="37"/>
      <c r="AE78"/>
    </row>
    <row r="79" spans="1:31" ht="15">
      <c r="A79" s="23">
        <f t="shared" si="22"/>
        <v>2032</v>
      </c>
      <c r="B79" s="27">
        <v>48245</v>
      </c>
      <c r="C79" s="35">
        <f t="shared" si="23"/>
        <v>7334.4886925236578</v>
      </c>
      <c r="D79" s="35">
        <f t="shared" si="23"/>
        <v>7334.4886925236578</v>
      </c>
      <c r="E79" s="35">
        <f t="shared" si="23"/>
        <v>7334.4886925236578</v>
      </c>
      <c r="F79" s="35">
        <f t="shared" si="23"/>
        <v>7334.4886925236578</v>
      </c>
      <c r="G79" s="35">
        <f t="shared" si="23"/>
        <v>7334.4886925236578</v>
      </c>
      <c r="H79" s="35">
        <f t="shared" si="23"/>
        <v>7334.4886925236578</v>
      </c>
      <c r="I79" s="35">
        <f t="shared" si="23"/>
        <v>7334.4886925236578</v>
      </c>
      <c r="J79" s="35">
        <f t="shared" si="23"/>
        <v>7334.4886925236578</v>
      </c>
      <c r="K79" s="35">
        <f t="shared" si="23"/>
        <v>7334.4886925236578</v>
      </c>
      <c r="L79" s="35">
        <f t="shared" si="23"/>
        <v>7334.4886925236578</v>
      </c>
      <c r="M79" s="35">
        <f t="shared" si="23"/>
        <v>7334.4886925236578</v>
      </c>
      <c r="N79" s="35">
        <f t="shared" si="23"/>
        <v>7334.4886925236578</v>
      </c>
      <c r="O79" s="35">
        <f t="shared" si="23"/>
        <v>7334.4886925236578</v>
      </c>
      <c r="P79" s="35">
        <f t="shared" si="23"/>
        <v>7334.4886925236578</v>
      </c>
      <c r="Q79" s="35">
        <f t="shared" si="23"/>
        <v>7334.4886925236578</v>
      </c>
      <c r="R79" s="35">
        <f t="shared" si="23"/>
        <v>7334.4886925236578</v>
      </c>
      <c r="S79" s="35">
        <f t="shared" si="19"/>
        <v>7334.4886925236578</v>
      </c>
      <c r="T79" s="35">
        <f t="shared" si="21"/>
        <v>7334.4886925236578</v>
      </c>
      <c r="U79" s="35">
        <f t="shared" si="16"/>
        <v>7334.4886925236578</v>
      </c>
      <c r="V79" s="35">
        <f t="shared" si="21"/>
        <v>7334.4886925236578</v>
      </c>
      <c r="W79" s="35">
        <f t="shared" si="16"/>
        <v>7334.4886925236578</v>
      </c>
      <c r="X79" s="35">
        <f t="shared" si="21"/>
        <v>7334.4886925236578</v>
      </c>
      <c r="Y79" s="35">
        <f t="shared" si="16"/>
        <v>7334.4886925236578</v>
      </c>
      <c r="Z79" s="35">
        <f t="shared" si="21"/>
        <v>7334.4886925236578</v>
      </c>
      <c r="AA79" s="35">
        <f t="shared" ref="AA79:AA89" si="26">SUM(C79:Z79)</f>
        <v>176027.7286205678</v>
      </c>
      <c r="AB79" s="28">
        <f t="shared" si="24"/>
        <v>29</v>
      </c>
      <c r="AC79" s="29">
        <v>5104804.1299964665</v>
      </c>
      <c r="AD79" s="37"/>
      <c r="AE79"/>
    </row>
    <row r="80" spans="1:31" ht="15">
      <c r="A80" s="23">
        <f t="shared" si="22"/>
        <v>2032</v>
      </c>
      <c r="B80" s="27">
        <v>48274</v>
      </c>
      <c r="C80" s="35">
        <f t="shared" si="23"/>
        <v>5951.393277865398</v>
      </c>
      <c r="D80" s="35">
        <f t="shared" si="23"/>
        <v>5951.393277865398</v>
      </c>
      <c r="E80" s="35">
        <f t="shared" si="23"/>
        <v>5951.393277865398</v>
      </c>
      <c r="F80" s="35">
        <f t="shared" si="23"/>
        <v>5951.393277865398</v>
      </c>
      <c r="G80" s="35">
        <f t="shared" si="23"/>
        <v>5951.393277865398</v>
      </c>
      <c r="H80" s="35">
        <f t="shared" si="23"/>
        <v>5951.393277865398</v>
      </c>
      <c r="I80" s="35">
        <f t="shared" si="23"/>
        <v>5951.393277865398</v>
      </c>
      <c r="J80" s="35">
        <f t="shared" si="23"/>
        <v>5951.393277865398</v>
      </c>
      <c r="K80" s="35">
        <f t="shared" si="23"/>
        <v>5951.393277865398</v>
      </c>
      <c r="L80" s="35">
        <f t="shared" si="23"/>
        <v>5951.393277865398</v>
      </c>
      <c r="M80" s="35">
        <f t="shared" si="23"/>
        <v>5951.393277865398</v>
      </c>
      <c r="N80" s="35">
        <f t="shared" si="23"/>
        <v>5951.393277865398</v>
      </c>
      <c r="O80" s="35">
        <f t="shared" si="23"/>
        <v>5951.393277865398</v>
      </c>
      <c r="P80" s="35">
        <f t="shared" si="23"/>
        <v>5951.393277865398</v>
      </c>
      <c r="Q80" s="35">
        <f t="shared" si="23"/>
        <v>5951.393277865398</v>
      </c>
      <c r="R80" s="35">
        <f t="shared" si="23"/>
        <v>5951.393277865398</v>
      </c>
      <c r="S80" s="35">
        <f t="shared" si="19"/>
        <v>5951.393277865398</v>
      </c>
      <c r="T80" s="35">
        <f t="shared" si="21"/>
        <v>5951.393277865398</v>
      </c>
      <c r="U80" s="35">
        <f t="shared" si="16"/>
        <v>5951.393277865398</v>
      </c>
      <c r="V80" s="35">
        <f t="shared" si="21"/>
        <v>5951.393277865398</v>
      </c>
      <c r="W80" s="35">
        <f t="shared" si="16"/>
        <v>5951.393277865398</v>
      </c>
      <c r="X80" s="35">
        <f t="shared" si="21"/>
        <v>5951.393277865398</v>
      </c>
      <c r="Y80" s="35">
        <f t="shared" si="16"/>
        <v>5951.393277865398</v>
      </c>
      <c r="Z80" s="35">
        <f t="shared" si="21"/>
        <v>5951.393277865398</v>
      </c>
      <c r="AA80" s="35">
        <f t="shared" si="26"/>
        <v>142833.43866876955</v>
      </c>
      <c r="AB80" s="28">
        <f t="shared" si="24"/>
        <v>31</v>
      </c>
      <c r="AC80" s="29">
        <v>4427836.5987318559</v>
      </c>
      <c r="AD80" s="37"/>
      <c r="AE80"/>
    </row>
    <row r="81" spans="1:31" ht="15">
      <c r="A81" s="23">
        <f t="shared" si="22"/>
        <v>2032</v>
      </c>
      <c r="B81" s="27">
        <v>48305</v>
      </c>
      <c r="C81" s="35">
        <f t="shared" si="23"/>
        <v>6619.8893949502235</v>
      </c>
      <c r="D81" s="35">
        <f t="shared" si="23"/>
        <v>6619.8893949502235</v>
      </c>
      <c r="E81" s="35">
        <f t="shared" si="23"/>
        <v>6619.8893949502235</v>
      </c>
      <c r="F81" s="35">
        <f t="shared" si="23"/>
        <v>6619.8893949502235</v>
      </c>
      <c r="G81" s="35">
        <f t="shared" si="23"/>
        <v>6619.8893949502235</v>
      </c>
      <c r="H81" s="35">
        <f t="shared" si="23"/>
        <v>6619.8893949502235</v>
      </c>
      <c r="I81" s="35">
        <f t="shared" si="23"/>
        <v>6619.8893949502235</v>
      </c>
      <c r="J81" s="35">
        <f t="shared" si="23"/>
        <v>6619.8893949502235</v>
      </c>
      <c r="K81" s="35">
        <f t="shared" si="23"/>
        <v>6619.8893949502235</v>
      </c>
      <c r="L81" s="35">
        <f t="shared" si="23"/>
        <v>6619.8893949502235</v>
      </c>
      <c r="M81" s="35">
        <f t="shared" si="23"/>
        <v>6619.8893949502235</v>
      </c>
      <c r="N81" s="35">
        <f t="shared" si="23"/>
        <v>6619.8893949502235</v>
      </c>
      <c r="O81" s="35">
        <f t="shared" si="23"/>
        <v>6619.8893949502235</v>
      </c>
      <c r="P81" s="35">
        <f t="shared" si="23"/>
        <v>6619.8893949502235</v>
      </c>
      <c r="Q81" s="35">
        <f t="shared" si="23"/>
        <v>6619.8893949502235</v>
      </c>
      <c r="R81" s="35">
        <f t="shared" si="23"/>
        <v>6619.8893949502235</v>
      </c>
      <c r="S81" s="35">
        <f t="shared" si="19"/>
        <v>6619.8893949502235</v>
      </c>
      <c r="T81" s="35">
        <f t="shared" si="21"/>
        <v>6619.8893949502235</v>
      </c>
      <c r="U81" s="35">
        <f t="shared" si="16"/>
        <v>6619.8893949502235</v>
      </c>
      <c r="V81" s="35">
        <f t="shared" si="21"/>
        <v>6619.8893949502235</v>
      </c>
      <c r="W81" s="35">
        <f t="shared" si="16"/>
        <v>6619.8893949502235</v>
      </c>
      <c r="X81" s="35">
        <f t="shared" si="21"/>
        <v>6619.8893949502235</v>
      </c>
      <c r="Y81" s="35">
        <f t="shared" si="16"/>
        <v>6619.8893949502235</v>
      </c>
      <c r="Z81" s="35">
        <f t="shared" si="21"/>
        <v>6619.8893949502235</v>
      </c>
      <c r="AA81" s="35">
        <f t="shared" si="26"/>
        <v>158877.34547880542</v>
      </c>
      <c r="AB81" s="28">
        <f t="shared" si="24"/>
        <v>30</v>
      </c>
      <c r="AC81" s="29">
        <v>4766320.3643641612</v>
      </c>
      <c r="AD81" s="37"/>
      <c r="AE81"/>
    </row>
    <row r="82" spans="1:31" ht="15">
      <c r="A82" s="23">
        <f t="shared" si="22"/>
        <v>2032</v>
      </c>
      <c r="B82" s="27">
        <v>48335</v>
      </c>
      <c r="C82" s="35">
        <f t="shared" si="23"/>
        <v>5951.393277865398</v>
      </c>
      <c r="D82" s="35">
        <f t="shared" si="23"/>
        <v>5951.393277865398</v>
      </c>
      <c r="E82" s="35">
        <f t="shared" si="23"/>
        <v>5951.393277865398</v>
      </c>
      <c r="F82" s="35">
        <f t="shared" si="23"/>
        <v>5951.393277865398</v>
      </c>
      <c r="G82" s="35">
        <f t="shared" si="23"/>
        <v>5951.393277865398</v>
      </c>
      <c r="H82" s="35">
        <f t="shared" si="23"/>
        <v>5951.393277865398</v>
      </c>
      <c r="I82" s="35">
        <f t="shared" si="23"/>
        <v>5951.393277865398</v>
      </c>
      <c r="J82" s="35">
        <f t="shared" si="23"/>
        <v>5951.393277865398</v>
      </c>
      <c r="K82" s="35">
        <f t="shared" si="23"/>
        <v>5951.393277865398</v>
      </c>
      <c r="L82" s="35">
        <f t="shared" si="23"/>
        <v>5951.393277865398</v>
      </c>
      <c r="M82" s="35">
        <f t="shared" si="23"/>
        <v>5951.393277865398</v>
      </c>
      <c r="N82" s="35">
        <f t="shared" si="23"/>
        <v>5951.393277865398</v>
      </c>
      <c r="O82" s="35">
        <f t="shared" si="23"/>
        <v>5951.393277865398</v>
      </c>
      <c r="P82" s="35">
        <f t="shared" si="23"/>
        <v>5951.393277865398</v>
      </c>
      <c r="Q82" s="35">
        <f t="shared" si="23"/>
        <v>5951.393277865398</v>
      </c>
      <c r="R82" s="35">
        <f t="shared" si="23"/>
        <v>5951.393277865398</v>
      </c>
      <c r="S82" s="35">
        <f t="shared" si="19"/>
        <v>5951.393277865398</v>
      </c>
      <c r="T82" s="35">
        <f t="shared" si="21"/>
        <v>5951.393277865398</v>
      </c>
      <c r="U82" s="35">
        <f t="shared" si="16"/>
        <v>5951.393277865398</v>
      </c>
      <c r="V82" s="35">
        <f t="shared" si="21"/>
        <v>5951.393277865398</v>
      </c>
      <c r="W82" s="35">
        <f t="shared" si="16"/>
        <v>5951.393277865398</v>
      </c>
      <c r="X82" s="35">
        <f t="shared" si="21"/>
        <v>5951.393277865398</v>
      </c>
      <c r="Y82" s="35">
        <f t="shared" si="16"/>
        <v>5951.393277865398</v>
      </c>
      <c r="Z82" s="35">
        <f t="shared" si="21"/>
        <v>5951.393277865398</v>
      </c>
      <c r="AA82" s="35">
        <f t="shared" si="26"/>
        <v>142833.43866876955</v>
      </c>
      <c r="AB82" s="28">
        <f t="shared" si="24"/>
        <v>31</v>
      </c>
      <c r="AC82" s="29">
        <v>4427836.5987318559</v>
      </c>
      <c r="AD82" s="37"/>
      <c r="AE82"/>
    </row>
    <row r="83" spans="1:31" ht="15">
      <c r="A83" s="23">
        <f t="shared" si="22"/>
        <v>2032</v>
      </c>
      <c r="B83" s="27">
        <v>48366</v>
      </c>
      <c r="C83" s="35">
        <f t="shared" si="23"/>
        <v>6619.8893949502235</v>
      </c>
      <c r="D83" s="35">
        <f t="shared" si="23"/>
        <v>6619.8893949502235</v>
      </c>
      <c r="E83" s="35">
        <f t="shared" si="23"/>
        <v>6619.8893949502235</v>
      </c>
      <c r="F83" s="35">
        <f t="shared" si="23"/>
        <v>6619.8893949502235</v>
      </c>
      <c r="G83" s="35">
        <f t="shared" si="23"/>
        <v>6619.8893949502235</v>
      </c>
      <c r="H83" s="35">
        <f t="shared" si="23"/>
        <v>6619.8893949502235</v>
      </c>
      <c r="I83" s="35">
        <f t="shared" si="23"/>
        <v>6619.8893949502235</v>
      </c>
      <c r="J83" s="35">
        <f t="shared" si="23"/>
        <v>6619.8893949502235</v>
      </c>
      <c r="K83" s="35">
        <f t="shared" si="23"/>
        <v>6619.8893949502235</v>
      </c>
      <c r="L83" s="35">
        <f t="shared" si="23"/>
        <v>6619.8893949502235</v>
      </c>
      <c r="M83" s="35">
        <f t="shared" si="23"/>
        <v>6619.8893949502235</v>
      </c>
      <c r="N83" s="35">
        <f t="shared" si="23"/>
        <v>6619.8893949502235</v>
      </c>
      <c r="O83" s="35">
        <f t="shared" si="23"/>
        <v>6619.8893949502235</v>
      </c>
      <c r="P83" s="35">
        <f t="shared" si="23"/>
        <v>6619.8893949502235</v>
      </c>
      <c r="Q83" s="35">
        <f t="shared" si="23"/>
        <v>6619.8893949502235</v>
      </c>
      <c r="R83" s="35">
        <f t="shared" si="23"/>
        <v>6619.8893949502235</v>
      </c>
      <c r="S83" s="35">
        <f t="shared" si="19"/>
        <v>6619.8893949502235</v>
      </c>
      <c r="T83" s="35">
        <f t="shared" si="21"/>
        <v>6619.8893949502235</v>
      </c>
      <c r="U83" s="35">
        <f t="shared" si="16"/>
        <v>6619.8893949502235</v>
      </c>
      <c r="V83" s="35">
        <f t="shared" si="21"/>
        <v>6619.8893949502235</v>
      </c>
      <c r="W83" s="35">
        <f t="shared" si="16"/>
        <v>6619.8893949502235</v>
      </c>
      <c r="X83" s="35">
        <f t="shared" si="21"/>
        <v>6619.8893949502235</v>
      </c>
      <c r="Y83" s="35">
        <f t="shared" si="16"/>
        <v>6619.8893949502235</v>
      </c>
      <c r="Z83" s="35">
        <f t="shared" si="21"/>
        <v>6619.8893949502235</v>
      </c>
      <c r="AA83" s="35">
        <f t="shared" si="26"/>
        <v>158877.34547880542</v>
      </c>
      <c r="AB83" s="28">
        <f t="shared" si="24"/>
        <v>30</v>
      </c>
      <c r="AC83" s="29">
        <v>4766320.3643641612</v>
      </c>
      <c r="AD83" s="37"/>
      <c r="AE83"/>
    </row>
    <row r="84" spans="1:31" ht="15">
      <c r="A84" s="23">
        <f t="shared" si="22"/>
        <v>2032</v>
      </c>
      <c r="B84" s="27">
        <v>48396</v>
      </c>
      <c r="C84" s="35">
        <f t="shared" si="23"/>
        <v>5951.393277865398</v>
      </c>
      <c r="D84" s="35">
        <f t="shared" si="23"/>
        <v>5951.393277865398</v>
      </c>
      <c r="E84" s="35">
        <f t="shared" si="23"/>
        <v>5951.393277865398</v>
      </c>
      <c r="F84" s="35">
        <f t="shared" si="23"/>
        <v>5951.393277865398</v>
      </c>
      <c r="G84" s="35">
        <f t="shared" si="23"/>
        <v>5951.393277865398</v>
      </c>
      <c r="H84" s="35">
        <f t="shared" si="23"/>
        <v>5951.393277865398</v>
      </c>
      <c r="I84" s="35">
        <f t="shared" si="23"/>
        <v>5951.393277865398</v>
      </c>
      <c r="J84" s="35">
        <f t="shared" si="23"/>
        <v>5951.393277865398</v>
      </c>
      <c r="K84" s="35">
        <f t="shared" si="23"/>
        <v>5951.393277865398</v>
      </c>
      <c r="L84" s="35">
        <f t="shared" si="23"/>
        <v>5951.393277865398</v>
      </c>
      <c r="M84" s="35">
        <f t="shared" si="23"/>
        <v>5951.393277865398</v>
      </c>
      <c r="N84" s="35">
        <f t="shared" si="23"/>
        <v>5951.393277865398</v>
      </c>
      <c r="O84" s="35">
        <f t="shared" si="23"/>
        <v>5951.393277865398</v>
      </c>
      <c r="P84" s="35">
        <f t="shared" si="23"/>
        <v>5951.393277865398</v>
      </c>
      <c r="Q84" s="35">
        <f t="shared" si="23"/>
        <v>5951.393277865398</v>
      </c>
      <c r="R84" s="35">
        <f t="shared" si="23"/>
        <v>5951.393277865398</v>
      </c>
      <c r="S84" s="35">
        <f t="shared" si="19"/>
        <v>5951.393277865398</v>
      </c>
      <c r="T84" s="35">
        <f t="shared" si="21"/>
        <v>5951.393277865398</v>
      </c>
      <c r="U84" s="35">
        <f t="shared" si="16"/>
        <v>5951.393277865398</v>
      </c>
      <c r="V84" s="35">
        <f t="shared" si="21"/>
        <v>5951.393277865398</v>
      </c>
      <c r="W84" s="35">
        <f t="shared" si="16"/>
        <v>5951.393277865398</v>
      </c>
      <c r="X84" s="35">
        <f t="shared" si="21"/>
        <v>5951.393277865398</v>
      </c>
      <c r="Y84" s="35">
        <f t="shared" si="16"/>
        <v>5951.393277865398</v>
      </c>
      <c r="Z84" s="35">
        <f t="shared" si="21"/>
        <v>5951.393277865398</v>
      </c>
      <c r="AA84" s="35">
        <f t="shared" si="26"/>
        <v>142833.43866876955</v>
      </c>
      <c r="AB84" s="28">
        <f t="shared" si="24"/>
        <v>31</v>
      </c>
      <c r="AC84" s="29">
        <v>4427836.5987318559</v>
      </c>
      <c r="AD84" s="37"/>
      <c r="AE84"/>
    </row>
    <row r="85" spans="1:31" ht="15">
      <c r="A85" s="23">
        <f t="shared" si="22"/>
        <v>2032</v>
      </c>
      <c r="B85" s="27">
        <v>48427</v>
      </c>
      <c r="C85" s="35">
        <f t="shared" si="23"/>
        <v>5951.393277865398</v>
      </c>
      <c r="D85" s="35">
        <f t="shared" si="23"/>
        <v>5951.393277865398</v>
      </c>
      <c r="E85" s="35">
        <f t="shared" si="23"/>
        <v>5951.393277865398</v>
      </c>
      <c r="F85" s="35">
        <f t="shared" si="23"/>
        <v>5951.393277865398</v>
      </c>
      <c r="G85" s="35">
        <f t="shared" si="23"/>
        <v>5951.393277865398</v>
      </c>
      <c r="H85" s="35">
        <f t="shared" si="23"/>
        <v>5951.393277865398</v>
      </c>
      <c r="I85" s="35">
        <f t="shared" si="23"/>
        <v>5951.393277865398</v>
      </c>
      <c r="J85" s="35">
        <f t="shared" si="23"/>
        <v>5951.393277865398</v>
      </c>
      <c r="K85" s="35">
        <f t="shared" si="23"/>
        <v>5951.393277865398</v>
      </c>
      <c r="L85" s="35">
        <f t="shared" si="23"/>
        <v>5951.393277865398</v>
      </c>
      <c r="M85" s="35">
        <f t="shared" si="23"/>
        <v>5951.393277865398</v>
      </c>
      <c r="N85" s="35">
        <f t="shared" si="23"/>
        <v>5951.393277865398</v>
      </c>
      <c r="O85" s="35">
        <f t="shared" si="23"/>
        <v>5951.393277865398</v>
      </c>
      <c r="P85" s="35">
        <f t="shared" si="23"/>
        <v>5951.393277865398</v>
      </c>
      <c r="Q85" s="35">
        <f t="shared" si="23"/>
        <v>5951.393277865398</v>
      </c>
      <c r="R85" s="35">
        <f t="shared" si="23"/>
        <v>5951.393277865398</v>
      </c>
      <c r="S85" s="35">
        <f t="shared" si="19"/>
        <v>5951.393277865398</v>
      </c>
      <c r="T85" s="35">
        <f t="shared" si="21"/>
        <v>5951.393277865398</v>
      </c>
      <c r="U85" s="35">
        <f t="shared" si="16"/>
        <v>5951.393277865398</v>
      </c>
      <c r="V85" s="35">
        <f t="shared" si="21"/>
        <v>5951.393277865398</v>
      </c>
      <c r="W85" s="35">
        <f t="shared" si="16"/>
        <v>5951.393277865398</v>
      </c>
      <c r="X85" s="35">
        <f t="shared" si="21"/>
        <v>5951.393277865398</v>
      </c>
      <c r="Y85" s="35">
        <f t="shared" si="16"/>
        <v>5951.393277865398</v>
      </c>
      <c r="Z85" s="35">
        <f t="shared" si="21"/>
        <v>5951.393277865398</v>
      </c>
      <c r="AA85" s="35">
        <f t="shared" si="26"/>
        <v>142833.43866876955</v>
      </c>
      <c r="AB85" s="28">
        <f t="shared" si="24"/>
        <v>31</v>
      </c>
      <c r="AC85" s="29">
        <v>4427836.5987318559</v>
      </c>
      <c r="AD85" s="37"/>
      <c r="AE85"/>
    </row>
    <row r="86" spans="1:31" ht="15">
      <c r="A86" s="23">
        <f t="shared" si="22"/>
        <v>2032</v>
      </c>
      <c r="B86" s="27">
        <v>48458</v>
      </c>
      <c r="C86" s="35">
        <f t="shared" si="23"/>
        <v>6619.8893949502235</v>
      </c>
      <c r="D86" s="35">
        <f t="shared" si="23"/>
        <v>6619.8893949502235</v>
      </c>
      <c r="E86" s="35">
        <f t="shared" si="23"/>
        <v>6619.8893949502235</v>
      </c>
      <c r="F86" s="35">
        <f t="shared" si="23"/>
        <v>6619.8893949502235</v>
      </c>
      <c r="G86" s="35">
        <f t="shared" si="23"/>
        <v>6619.8893949502235</v>
      </c>
      <c r="H86" s="35">
        <f t="shared" si="23"/>
        <v>6619.8893949502235</v>
      </c>
      <c r="I86" s="35">
        <f t="shared" si="23"/>
        <v>6619.8893949502235</v>
      </c>
      <c r="J86" s="35">
        <f t="shared" si="23"/>
        <v>6619.8893949502235</v>
      </c>
      <c r="K86" s="35">
        <f t="shared" si="23"/>
        <v>6619.8893949502235</v>
      </c>
      <c r="L86" s="35">
        <f t="shared" si="23"/>
        <v>6619.8893949502235</v>
      </c>
      <c r="M86" s="35">
        <f t="shared" si="23"/>
        <v>6619.8893949502235</v>
      </c>
      <c r="N86" s="35">
        <f t="shared" si="23"/>
        <v>6619.8893949502235</v>
      </c>
      <c r="O86" s="35">
        <f t="shared" si="23"/>
        <v>6619.8893949502235</v>
      </c>
      <c r="P86" s="35">
        <f t="shared" si="23"/>
        <v>6619.8893949502235</v>
      </c>
      <c r="Q86" s="35">
        <f t="shared" si="23"/>
        <v>6619.8893949502235</v>
      </c>
      <c r="R86" s="35">
        <f t="shared" ref="R86:Z101" si="27">($AC86/$AB86)/24</f>
        <v>6619.8893949502235</v>
      </c>
      <c r="S86" s="35">
        <f t="shared" si="19"/>
        <v>6619.8893949502235</v>
      </c>
      <c r="T86" s="35">
        <f t="shared" si="27"/>
        <v>6619.8893949502235</v>
      </c>
      <c r="U86" s="35">
        <f t="shared" si="16"/>
        <v>6619.8893949502235</v>
      </c>
      <c r="V86" s="35">
        <f t="shared" si="27"/>
        <v>6619.8893949502235</v>
      </c>
      <c r="W86" s="35">
        <f t="shared" si="16"/>
        <v>6619.8893949502235</v>
      </c>
      <c r="X86" s="35">
        <f t="shared" si="27"/>
        <v>6619.8893949502235</v>
      </c>
      <c r="Y86" s="35">
        <f t="shared" si="16"/>
        <v>6619.8893949502235</v>
      </c>
      <c r="Z86" s="35">
        <f t="shared" si="27"/>
        <v>6619.8893949502235</v>
      </c>
      <c r="AA86" s="35">
        <f t="shared" si="26"/>
        <v>158877.34547880542</v>
      </c>
      <c r="AB86" s="28">
        <f t="shared" si="24"/>
        <v>30</v>
      </c>
      <c r="AC86" s="29">
        <v>4766320.3643641612</v>
      </c>
      <c r="AD86" s="37"/>
      <c r="AE86"/>
    </row>
    <row r="87" spans="1:31" ht="15">
      <c r="A87" s="23">
        <f t="shared" si="22"/>
        <v>2032</v>
      </c>
      <c r="B87" s="27">
        <v>48488</v>
      </c>
      <c r="C87" s="35">
        <f t="shared" ref="C87:R102" si="28">($AC87/$AB87)/24</f>
        <v>5951.393277865398</v>
      </c>
      <c r="D87" s="35">
        <f t="shared" si="28"/>
        <v>5951.393277865398</v>
      </c>
      <c r="E87" s="35">
        <f t="shared" si="28"/>
        <v>5951.393277865398</v>
      </c>
      <c r="F87" s="35">
        <f t="shared" si="28"/>
        <v>5951.393277865398</v>
      </c>
      <c r="G87" s="35">
        <f t="shared" si="28"/>
        <v>5951.393277865398</v>
      </c>
      <c r="H87" s="35">
        <f t="shared" si="28"/>
        <v>5951.393277865398</v>
      </c>
      <c r="I87" s="35">
        <f t="shared" si="28"/>
        <v>5951.393277865398</v>
      </c>
      <c r="J87" s="35">
        <f t="shared" si="28"/>
        <v>5951.393277865398</v>
      </c>
      <c r="K87" s="35">
        <f t="shared" si="28"/>
        <v>5951.393277865398</v>
      </c>
      <c r="L87" s="35">
        <f t="shared" si="28"/>
        <v>5951.393277865398</v>
      </c>
      <c r="M87" s="35">
        <f t="shared" si="28"/>
        <v>5951.393277865398</v>
      </c>
      <c r="N87" s="35">
        <f t="shared" si="28"/>
        <v>5951.393277865398</v>
      </c>
      <c r="O87" s="35">
        <f t="shared" si="28"/>
        <v>5951.393277865398</v>
      </c>
      <c r="P87" s="35">
        <f t="shared" si="28"/>
        <v>5951.393277865398</v>
      </c>
      <c r="Q87" s="35">
        <f t="shared" si="28"/>
        <v>5951.393277865398</v>
      </c>
      <c r="R87" s="35">
        <f t="shared" si="28"/>
        <v>5951.393277865398</v>
      </c>
      <c r="S87" s="35">
        <f t="shared" si="19"/>
        <v>5951.393277865398</v>
      </c>
      <c r="T87" s="35">
        <f t="shared" si="27"/>
        <v>5951.393277865398</v>
      </c>
      <c r="U87" s="35">
        <f t="shared" si="16"/>
        <v>5951.393277865398</v>
      </c>
      <c r="V87" s="35">
        <f t="shared" si="27"/>
        <v>5951.393277865398</v>
      </c>
      <c r="W87" s="35">
        <f t="shared" si="16"/>
        <v>5951.393277865398</v>
      </c>
      <c r="X87" s="35">
        <f t="shared" si="27"/>
        <v>5951.393277865398</v>
      </c>
      <c r="Y87" s="35">
        <f t="shared" si="16"/>
        <v>5951.393277865398</v>
      </c>
      <c r="Z87" s="35">
        <f t="shared" si="27"/>
        <v>5951.393277865398</v>
      </c>
      <c r="AA87" s="35">
        <f t="shared" si="26"/>
        <v>142833.43866876955</v>
      </c>
      <c r="AB87" s="28">
        <f t="shared" si="24"/>
        <v>31</v>
      </c>
      <c r="AC87" s="29">
        <v>4427836.5987318559</v>
      </c>
      <c r="AD87" s="37"/>
      <c r="AE87"/>
    </row>
    <row r="88" spans="1:31" ht="15">
      <c r="A88" s="23">
        <f t="shared" si="22"/>
        <v>2032</v>
      </c>
      <c r="B88" s="27">
        <v>48519</v>
      </c>
      <c r="C88" s="35">
        <f t="shared" si="28"/>
        <v>6619.8893949502235</v>
      </c>
      <c r="D88" s="35">
        <f t="shared" si="28"/>
        <v>6619.8893949502235</v>
      </c>
      <c r="E88" s="35">
        <f t="shared" si="28"/>
        <v>6619.8893949502235</v>
      </c>
      <c r="F88" s="35">
        <f t="shared" si="28"/>
        <v>6619.8893949502235</v>
      </c>
      <c r="G88" s="35">
        <f t="shared" si="28"/>
        <v>6619.8893949502235</v>
      </c>
      <c r="H88" s="35">
        <f t="shared" si="28"/>
        <v>6619.8893949502235</v>
      </c>
      <c r="I88" s="35">
        <f t="shared" si="28"/>
        <v>6619.8893949502235</v>
      </c>
      <c r="J88" s="35">
        <f t="shared" si="28"/>
        <v>6619.8893949502235</v>
      </c>
      <c r="K88" s="35">
        <f t="shared" si="28"/>
        <v>6619.8893949502235</v>
      </c>
      <c r="L88" s="35">
        <f t="shared" si="28"/>
        <v>6619.8893949502235</v>
      </c>
      <c r="M88" s="35">
        <f t="shared" si="28"/>
        <v>6619.8893949502235</v>
      </c>
      <c r="N88" s="35">
        <f t="shared" si="28"/>
        <v>6619.8893949502235</v>
      </c>
      <c r="O88" s="35">
        <f t="shared" si="28"/>
        <v>6619.8893949502235</v>
      </c>
      <c r="P88" s="35">
        <f t="shared" si="28"/>
        <v>6619.8893949502235</v>
      </c>
      <c r="Q88" s="35">
        <f t="shared" si="28"/>
        <v>6619.8893949502235</v>
      </c>
      <c r="R88" s="35">
        <f t="shared" si="28"/>
        <v>6619.8893949502235</v>
      </c>
      <c r="S88" s="35">
        <f t="shared" si="19"/>
        <v>6619.8893949502235</v>
      </c>
      <c r="T88" s="35">
        <f t="shared" si="27"/>
        <v>6619.8893949502235</v>
      </c>
      <c r="U88" s="35">
        <f t="shared" si="16"/>
        <v>6619.8893949502235</v>
      </c>
      <c r="V88" s="35">
        <f t="shared" si="27"/>
        <v>6619.8893949502235</v>
      </c>
      <c r="W88" s="35">
        <f t="shared" si="16"/>
        <v>6619.8893949502235</v>
      </c>
      <c r="X88" s="35">
        <f t="shared" si="27"/>
        <v>6619.8893949502235</v>
      </c>
      <c r="Y88" s="35">
        <f t="shared" si="16"/>
        <v>6619.8893949502235</v>
      </c>
      <c r="Z88" s="35">
        <f t="shared" si="27"/>
        <v>6619.8893949502235</v>
      </c>
      <c r="AA88" s="35">
        <f t="shared" si="26"/>
        <v>158877.34547880542</v>
      </c>
      <c r="AB88" s="28">
        <f t="shared" si="24"/>
        <v>30</v>
      </c>
      <c r="AC88" s="29">
        <v>4766320.3643641612</v>
      </c>
      <c r="AD88" s="37"/>
      <c r="AE88"/>
    </row>
    <row r="89" spans="1:31" ht="15">
      <c r="A89" s="23">
        <f t="shared" si="22"/>
        <v>2032</v>
      </c>
      <c r="B89" s="27">
        <v>48549</v>
      </c>
      <c r="C89" s="35">
        <f t="shared" si="28"/>
        <v>5951.393277865398</v>
      </c>
      <c r="D89" s="35">
        <f t="shared" si="28"/>
        <v>5951.393277865398</v>
      </c>
      <c r="E89" s="35">
        <f t="shared" si="28"/>
        <v>5951.393277865398</v>
      </c>
      <c r="F89" s="35">
        <f t="shared" si="28"/>
        <v>5951.393277865398</v>
      </c>
      <c r="G89" s="35">
        <f t="shared" si="28"/>
        <v>5951.393277865398</v>
      </c>
      <c r="H89" s="35">
        <f t="shared" si="28"/>
        <v>5951.393277865398</v>
      </c>
      <c r="I89" s="35">
        <f t="shared" si="28"/>
        <v>5951.393277865398</v>
      </c>
      <c r="J89" s="35">
        <f t="shared" si="28"/>
        <v>5951.393277865398</v>
      </c>
      <c r="K89" s="35">
        <f t="shared" si="28"/>
        <v>5951.393277865398</v>
      </c>
      <c r="L89" s="35">
        <f t="shared" si="28"/>
        <v>5951.393277865398</v>
      </c>
      <c r="M89" s="35">
        <f t="shared" si="28"/>
        <v>5951.393277865398</v>
      </c>
      <c r="N89" s="35">
        <f t="shared" si="28"/>
        <v>5951.393277865398</v>
      </c>
      <c r="O89" s="35">
        <f t="shared" si="28"/>
        <v>5951.393277865398</v>
      </c>
      <c r="P89" s="35">
        <f t="shared" si="28"/>
        <v>5951.393277865398</v>
      </c>
      <c r="Q89" s="35">
        <f t="shared" si="28"/>
        <v>5951.393277865398</v>
      </c>
      <c r="R89" s="35">
        <f t="shared" si="28"/>
        <v>5951.393277865398</v>
      </c>
      <c r="S89" s="35">
        <f t="shared" si="19"/>
        <v>5951.393277865398</v>
      </c>
      <c r="T89" s="35">
        <f t="shared" si="27"/>
        <v>5951.393277865398</v>
      </c>
      <c r="U89" s="35">
        <f t="shared" si="16"/>
        <v>5951.393277865398</v>
      </c>
      <c r="V89" s="35">
        <f t="shared" si="27"/>
        <v>5951.393277865398</v>
      </c>
      <c r="W89" s="35">
        <f t="shared" si="16"/>
        <v>5951.393277865398</v>
      </c>
      <c r="X89" s="35">
        <f t="shared" si="27"/>
        <v>5951.393277865398</v>
      </c>
      <c r="Y89" s="35">
        <f t="shared" si="16"/>
        <v>5951.393277865398</v>
      </c>
      <c r="Z89" s="35">
        <f t="shared" si="27"/>
        <v>5951.393277865398</v>
      </c>
      <c r="AA89" s="35">
        <f t="shared" si="26"/>
        <v>142833.43866876955</v>
      </c>
      <c r="AB89" s="28">
        <f t="shared" si="24"/>
        <v>31</v>
      </c>
      <c r="AC89" s="29">
        <v>4427836.5987318559</v>
      </c>
      <c r="AD89" s="37"/>
      <c r="AE89"/>
    </row>
    <row r="90" spans="1:31" ht="15">
      <c r="A90" s="23">
        <f t="shared" si="22"/>
        <v>2033</v>
      </c>
      <c r="B90" s="27">
        <v>48580</v>
      </c>
      <c r="C90" s="35">
        <f t="shared" si="28"/>
        <v>7385.2982778653941</v>
      </c>
      <c r="D90" s="35">
        <f t="shared" si="28"/>
        <v>7385.2982778653941</v>
      </c>
      <c r="E90" s="35">
        <f t="shared" si="28"/>
        <v>7385.2982778653941</v>
      </c>
      <c r="F90" s="35">
        <f t="shared" si="28"/>
        <v>7385.2982778653941</v>
      </c>
      <c r="G90" s="35">
        <f t="shared" si="28"/>
        <v>7385.2982778653941</v>
      </c>
      <c r="H90" s="35">
        <f t="shared" si="28"/>
        <v>7385.2982778653941</v>
      </c>
      <c r="I90" s="35">
        <f t="shared" si="28"/>
        <v>7385.2982778653941</v>
      </c>
      <c r="J90" s="35">
        <f t="shared" si="28"/>
        <v>7385.2982778653941</v>
      </c>
      <c r="K90" s="35">
        <f t="shared" si="28"/>
        <v>7385.2982778653941</v>
      </c>
      <c r="L90" s="35">
        <f t="shared" si="28"/>
        <v>7385.2982778653941</v>
      </c>
      <c r="M90" s="35">
        <f t="shared" si="28"/>
        <v>7385.2982778653941</v>
      </c>
      <c r="N90" s="35">
        <f t="shared" si="28"/>
        <v>7385.2982778653941</v>
      </c>
      <c r="O90" s="35">
        <f t="shared" si="28"/>
        <v>7385.2982778653941</v>
      </c>
      <c r="P90" s="35">
        <f t="shared" si="28"/>
        <v>7385.2982778653941</v>
      </c>
      <c r="Q90" s="35">
        <f t="shared" si="28"/>
        <v>7385.2982778653941</v>
      </c>
      <c r="R90" s="35">
        <f t="shared" si="28"/>
        <v>7385.2982778653941</v>
      </c>
      <c r="S90" s="35">
        <f t="shared" si="19"/>
        <v>7385.2982778653941</v>
      </c>
      <c r="T90" s="35">
        <f t="shared" si="27"/>
        <v>7385.2982778653941</v>
      </c>
      <c r="U90" s="35">
        <f t="shared" si="16"/>
        <v>7385.2982778653941</v>
      </c>
      <c r="V90" s="35">
        <f t="shared" si="27"/>
        <v>7385.2982778653941</v>
      </c>
      <c r="W90" s="35">
        <f t="shared" si="16"/>
        <v>7385.2982778653941</v>
      </c>
      <c r="X90" s="35">
        <f t="shared" si="27"/>
        <v>7385.2982778653941</v>
      </c>
      <c r="Y90" s="35">
        <f t="shared" si="16"/>
        <v>7385.2982778653941</v>
      </c>
      <c r="Z90" s="35">
        <f t="shared" si="27"/>
        <v>7385.2982778653941</v>
      </c>
      <c r="AA90" s="35">
        <f t="shared" ref="AA90" si="29">SUM(C90:Z90)</f>
        <v>177247.15866876949</v>
      </c>
      <c r="AB90" s="28">
        <f t="shared" si="24"/>
        <v>31</v>
      </c>
      <c r="AC90" s="29">
        <v>5494661.9187318534</v>
      </c>
      <c r="AD90" s="37"/>
      <c r="AE90"/>
    </row>
    <row r="91" spans="1:31" ht="15">
      <c r="A91" s="23">
        <f t="shared" si="22"/>
        <v>2033</v>
      </c>
      <c r="B91" s="27">
        <v>48611</v>
      </c>
      <c r="C91" s="35">
        <f t="shared" si="28"/>
        <v>9534.0357970666282</v>
      </c>
      <c r="D91" s="35">
        <f t="shared" si="28"/>
        <v>9534.0357970666282</v>
      </c>
      <c r="E91" s="35">
        <f t="shared" si="28"/>
        <v>9534.0357970666282</v>
      </c>
      <c r="F91" s="35">
        <f t="shared" si="28"/>
        <v>9534.0357970666282</v>
      </c>
      <c r="G91" s="35">
        <f t="shared" si="28"/>
        <v>9534.0357970666282</v>
      </c>
      <c r="H91" s="35">
        <f t="shared" si="28"/>
        <v>9534.0357970666282</v>
      </c>
      <c r="I91" s="35">
        <f t="shared" si="28"/>
        <v>9534.0357970666282</v>
      </c>
      <c r="J91" s="35">
        <f t="shared" si="28"/>
        <v>9534.0357970666282</v>
      </c>
      <c r="K91" s="35">
        <f t="shared" si="28"/>
        <v>9534.0357970666282</v>
      </c>
      <c r="L91" s="35">
        <f t="shared" si="28"/>
        <v>9534.0357970666282</v>
      </c>
      <c r="M91" s="35">
        <f t="shared" si="28"/>
        <v>9534.0357970666282</v>
      </c>
      <c r="N91" s="35">
        <f t="shared" si="28"/>
        <v>9534.0357970666282</v>
      </c>
      <c r="O91" s="35">
        <f t="shared" si="28"/>
        <v>9534.0357970666282</v>
      </c>
      <c r="P91" s="35">
        <f t="shared" si="28"/>
        <v>9534.0357970666282</v>
      </c>
      <c r="Q91" s="35">
        <f t="shared" si="28"/>
        <v>9534.0357970666282</v>
      </c>
      <c r="R91" s="35">
        <f t="shared" si="28"/>
        <v>9534.0357970666282</v>
      </c>
      <c r="S91" s="35">
        <f t="shared" si="19"/>
        <v>9534.0357970666282</v>
      </c>
      <c r="T91" s="35">
        <f t="shared" si="27"/>
        <v>9534.0357970666282</v>
      </c>
      <c r="U91" s="35">
        <f t="shared" si="16"/>
        <v>9534.0357970666282</v>
      </c>
      <c r="V91" s="35">
        <f t="shared" si="27"/>
        <v>9534.0357970666282</v>
      </c>
      <c r="W91" s="35">
        <f t="shared" si="16"/>
        <v>9534.0357970666282</v>
      </c>
      <c r="X91" s="35">
        <f t="shared" si="27"/>
        <v>9534.0357970666282</v>
      </c>
      <c r="Y91" s="35">
        <f t="shared" si="16"/>
        <v>9534.0357970666282</v>
      </c>
      <c r="Z91" s="35">
        <f t="shared" si="27"/>
        <v>9534.0357970666282</v>
      </c>
      <c r="AA91" s="35">
        <f t="shared" ref="AA91:AA102" si="30">SUM(C91:Z91)</f>
        <v>228816.85912959915</v>
      </c>
      <c r="AB91" s="28">
        <f t="shared" si="24"/>
        <v>28</v>
      </c>
      <c r="AC91" s="29">
        <v>6406872.0556287738</v>
      </c>
      <c r="AD91" s="37"/>
      <c r="AE91"/>
    </row>
    <row r="92" spans="1:31" ht="15">
      <c r="A92" s="23">
        <f t="shared" si="22"/>
        <v>2033</v>
      </c>
      <c r="B92" s="27">
        <v>48639</v>
      </c>
      <c r="C92" s="35">
        <f t="shared" si="28"/>
        <v>7385.2982778653941</v>
      </c>
      <c r="D92" s="35">
        <f t="shared" si="28"/>
        <v>7385.2982778653941</v>
      </c>
      <c r="E92" s="35">
        <f t="shared" si="28"/>
        <v>7385.2982778653941</v>
      </c>
      <c r="F92" s="35">
        <f t="shared" si="28"/>
        <v>7385.2982778653941</v>
      </c>
      <c r="G92" s="35">
        <f t="shared" si="28"/>
        <v>7385.2982778653941</v>
      </c>
      <c r="H92" s="35">
        <f t="shared" si="28"/>
        <v>7385.2982778653941</v>
      </c>
      <c r="I92" s="35">
        <f t="shared" si="28"/>
        <v>7385.2982778653941</v>
      </c>
      <c r="J92" s="35">
        <f t="shared" si="28"/>
        <v>7385.2982778653941</v>
      </c>
      <c r="K92" s="35">
        <f t="shared" si="28"/>
        <v>7385.2982778653941</v>
      </c>
      <c r="L92" s="35">
        <f t="shared" si="28"/>
        <v>7385.2982778653941</v>
      </c>
      <c r="M92" s="35">
        <f t="shared" si="28"/>
        <v>7385.2982778653941</v>
      </c>
      <c r="N92" s="35">
        <f t="shared" si="28"/>
        <v>7385.2982778653941</v>
      </c>
      <c r="O92" s="35">
        <f t="shared" si="28"/>
        <v>7385.2982778653941</v>
      </c>
      <c r="P92" s="35">
        <f t="shared" si="28"/>
        <v>7385.2982778653941</v>
      </c>
      <c r="Q92" s="35">
        <f t="shared" si="28"/>
        <v>7385.2982778653941</v>
      </c>
      <c r="R92" s="35">
        <f t="shared" si="28"/>
        <v>7385.2982778653941</v>
      </c>
      <c r="S92" s="35">
        <f t="shared" si="19"/>
        <v>7385.2982778653941</v>
      </c>
      <c r="T92" s="35">
        <f t="shared" si="27"/>
        <v>7385.2982778653941</v>
      </c>
      <c r="U92" s="35">
        <f t="shared" si="16"/>
        <v>7385.2982778653941</v>
      </c>
      <c r="V92" s="35">
        <f t="shared" si="27"/>
        <v>7385.2982778653941</v>
      </c>
      <c r="W92" s="35">
        <f t="shared" si="16"/>
        <v>7385.2982778653941</v>
      </c>
      <c r="X92" s="35">
        <f t="shared" si="27"/>
        <v>7385.2982778653941</v>
      </c>
      <c r="Y92" s="35">
        <f t="shared" si="16"/>
        <v>7385.2982778653941</v>
      </c>
      <c r="Z92" s="35">
        <f t="shared" si="27"/>
        <v>7385.2982778653941</v>
      </c>
      <c r="AA92" s="35">
        <f t="shared" si="30"/>
        <v>177247.15866876949</v>
      </c>
      <c r="AB92" s="28">
        <f t="shared" si="24"/>
        <v>31</v>
      </c>
      <c r="AC92" s="29">
        <v>5494661.9187318534</v>
      </c>
      <c r="AD92" s="37"/>
      <c r="AE92"/>
    </row>
    <row r="93" spans="1:31" ht="15">
      <c r="A93" s="23">
        <f t="shared" si="22"/>
        <v>2033</v>
      </c>
      <c r="B93" s="27">
        <v>48670</v>
      </c>
      <c r="C93" s="35">
        <f t="shared" si="28"/>
        <v>8053.7943949502232</v>
      </c>
      <c r="D93" s="35">
        <f t="shared" si="28"/>
        <v>8053.7943949502232</v>
      </c>
      <c r="E93" s="35">
        <f t="shared" si="28"/>
        <v>8053.7943949502232</v>
      </c>
      <c r="F93" s="35">
        <f t="shared" si="28"/>
        <v>8053.7943949502232</v>
      </c>
      <c r="G93" s="35">
        <f t="shared" si="28"/>
        <v>8053.7943949502232</v>
      </c>
      <c r="H93" s="35">
        <f t="shared" si="28"/>
        <v>8053.7943949502232</v>
      </c>
      <c r="I93" s="35">
        <f t="shared" si="28"/>
        <v>8053.7943949502232</v>
      </c>
      <c r="J93" s="35">
        <f t="shared" si="28"/>
        <v>8053.7943949502232</v>
      </c>
      <c r="K93" s="35">
        <f t="shared" si="28"/>
        <v>8053.7943949502232</v>
      </c>
      <c r="L93" s="35">
        <f t="shared" si="28"/>
        <v>8053.7943949502232</v>
      </c>
      <c r="M93" s="35">
        <f t="shared" si="28"/>
        <v>8053.7943949502232</v>
      </c>
      <c r="N93" s="35">
        <f t="shared" si="28"/>
        <v>8053.7943949502232</v>
      </c>
      <c r="O93" s="35">
        <f t="shared" si="28"/>
        <v>8053.7943949502232</v>
      </c>
      <c r="P93" s="35">
        <f t="shared" si="28"/>
        <v>8053.7943949502232</v>
      </c>
      <c r="Q93" s="35">
        <f t="shared" si="28"/>
        <v>8053.7943949502232</v>
      </c>
      <c r="R93" s="35">
        <f t="shared" si="28"/>
        <v>8053.7943949502232</v>
      </c>
      <c r="S93" s="35">
        <f t="shared" si="19"/>
        <v>8053.7943949502232</v>
      </c>
      <c r="T93" s="35">
        <f t="shared" si="27"/>
        <v>8053.7943949502232</v>
      </c>
      <c r="U93" s="35">
        <f t="shared" si="16"/>
        <v>8053.7943949502232</v>
      </c>
      <c r="V93" s="35">
        <f t="shared" si="27"/>
        <v>8053.7943949502232</v>
      </c>
      <c r="W93" s="35">
        <f t="shared" si="16"/>
        <v>8053.7943949502232</v>
      </c>
      <c r="X93" s="35">
        <f t="shared" si="27"/>
        <v>8053.7943949502232</v>
      </c>
      <c r="Y93" s="35">
        <f t="shared" si="16"/>
        <v>8053.7943949502232</v>
      </c>
      <c r="Z93" s="35">
        <f t="shared" si="27"/>
        <v>8053.7943949502232</v>
      </c>
      <c r="AA93" s="35">
        <f t="shared" si="30"/>
        <v>193291.06547880545</v>
      </c>
      <c r="AB93" s="28">
        <f t="shared" si="24"/>
        <v>30</v>
      </c>
      <c r="AC93" s="29">
        <v>5798731.9643641608</v>
      </c>
      <c r="AD93" s="37"/>
      <c r="AE93"/>
    </row>
    <row r="94" spans="1:31" ht="15">
      <c r="A94" s="23">
        <f t="shared" si="22"/>
        <v>2033</v>
      </c>
      <c r="B94" s="27">
        <v>48700</v>
      </c>
      <c r="C94" s="35">
        <f t="shared" si="28"/>
        <v>7385.2982778653941</v>
      </c>
      <c r="D94" s="35">
        <f t="shared" si="28"/>
        <v>7385.2982778653941</v>
      </c>
      <c r="E94" s="35">
        <f t="shared" si="28"/>
        <v>7385.2982778653941</v>
      </c>
      <c r="F94" s="35">
        <f t="shared" si="28"/>
        <v>7385.2982778653941</v>
      </c>
      <c r="G94" s="35">
        <f t="shared" si="28"/>
        <v>7385.2982778653941</v>
      </c>
      <c r="H94" s="35">
        <f t="shared" si="28"/>
        <v>7385.2982778653941</v>
      </c>
      <c r="I94" s="35">
        <f t="shared" si="28"/>
        <v>7385.2982778653941</v>
      </c>
      <c r="J94" s="35">
        <f t="shared" si="28"/>
        <v>7385.2982778653941</v>
      </c>
      <c r="K94" s="35">
        <f t="shared" si="28"/>
        <v>7385.2982778653941</v>
      </c>
      <c r="L94" s="35">
        <f t="shared" si="28"/>
        <v>7385.2982778653941</v>
      </c>
      <c r="M94" s="35">
        <f t="shared" si="28"/>
        <v>7385.2982778653941</v>
      </c>
      <c r="N94" s="35">
        <f t="shared" si="28"/>
        <v>7385.2982778653941</v>
      </c>
      <c r="O94" s="35">
        <f t="shared" si="28"/>
        <v>7385.2982778653941</v>
      </c>
      <c r="P94" s="35">
        <f t="shared" si="28"/>
        <v>7385.2982778653941</v>
      </c>
      <c r="Q94" s="35">
        <f t="shared" si="28"/>
        <v>7385.2982778653941</v>
      </c>
      <c r="R94" s="35">
        <f t="shared" si="28"/>
        <v>7385.2982778653941</v>
      </c>
      <c r="S94" s="35">
        <f t="shared" si="19"/>
        <v>7385.2982778653941</v>
      </c>
      <c r="T94" s="35">
        <f t="shared" si="27"/>
        <v>7385.2982778653941</v>
      </c>
      <c r="U94" s="35">
        <f t="shared" si="16"/>
        <v>7385.2982778653941</v>
      </c>
      <c r="V94" s="35">
        <f t="shared" si="27"/>
        <v>7385.2982778653941</v>
      </c>
      <c r="W94" s="35">
        <f t="shared" si="16"/>
        <v>7385.2982778653941</v>
      </c>
      <c r="X94" s="35">
        <f t="shared" si="27"/>
        <v>7385.2982778653941</v>
      </c>
      <c r="Y94" s="35">
        <f t="shared" si="16"/>
        <v>7385.2982778653941</v>
      </c>
      <c r="Z94" s="35">
        <f t="shared" si="27"/>
        <v>7385.2982778653941</v>
      </c>
      <c r="AA94" s="35">
        <f t="shared" si="30"/>
        <v>177247.15866876949</v>
      </c>
      <c r="AB94" s="28">
        <f t="shared" si="24"/>
        <v>31</v>
      </c>
      <c r="AC94" s="29">
        <v>5494661.9187318534</v>
      </c>
      <c r="AD94" s="37"/>
      <c r="AE94"/>
    </row>
    <row r="95" spans="1:31" ht="15">
      <c r="A95" s="23">
        <f t="shared" si="22"/>
        <v>2033</v>
      </c>
      <c r="B95" s="27">
        <v>48731</v>
      </c>
      <c r="C95" s="35">
        <f t="shared" si="28"/>
        <v>8053.7943949502232</v>
      </c>
      <c r="D95" s="35">
        <f t="shared" si="28"/>
        <v>8053.7943949502232</v>
      </c>
      <c r="E95" s="35">
        <f t="shared" si="28"/>
        <v>8053.7943949502232</v>
      </c>
      <c r="F95" s="35">
        <f t="shared" si="28"/>
        <v>8053.7943949502232</v>
      </c>
      <c r="G95" s="35">
        <f t="shared" si="28"/>
        <v>8053.7943949502232</v>
      </c>
      <c r="H95" s="35">
        <f t="shared" si="28"/>
        <v>8053.7943949502232</v>
      </c>
      <c r="I95" s="35">
        <f t="shared" si="28"/>
        <v>8053.7943949502232</v>
      </c>
      <c r="J95" s="35">
        <f t="shared" si="28"/>
        <v>8053.7943949502232</v>
      </c>
      <c r="K95" s="35">
        <f t="shared" si="28"/>
        <v>8053.7943949502232</v>
      </c>
      <c r="L95" s="35">
        <f t="shared" si="28"/>
        <v>8053.7943949502232</v>
      </c>
      <c r="M95" s="35">
        <f t="shared" si="28"/>
        <v>8053.7943949502232</v>
      </c>
      <c r="N95" s="35">
        <f t="shared" si="28"/>
        <v>8053.7943949502232</v>
      </c>
      <c r="O95" s="35">
        <f t="shared" si="28"/>
        <v>8053.7943949502232</v>
      </c>
      <c r="P95" s="35">
        <f t="shared" si="28"/>
        <v>8053.7943949502232</v>
      </c>
      <c r="Q95" s="35">
        <f t="shared" si="28"/>
        <v>8053.7943949502232</v>
      </c>
      <c r="R95" s="35">
        <f t="shared" si="28"/>
        <v>8053.7943949502232</v>
      </c>
      <c r="S95" s="35">
        <f t="shared" si="19"/>
        <v>8053.7943949502232</v>
      </c>
      <c r="T95" s="35">
        <f t="shared" si="27"/>
        <v>8053.7943949502232</v>
      </c>
      <c r="U95" s="35">
        <f t="shared" si="16"/>
        <v>8053.7943949502232</v>
      </c>
      <c r="V95" s="35">
        <f t="shared" si="27"/>
        <v>8053.7943949502232</v>
      </c>
      <c r="W95" s="35">
        <f t="shared" si="16"/>
        <v>8053.7943949502232</v>
      </c>
      <c r="X95" s="35">
        <f t="shared" si="27"/>
        <v>8053.7943949502232</v>
      </c>
      <c r="Y95" s="35">
        <f t="shared" si="16"/>
        <v>8053.7943949502232</v>
      </c>
      <c r="Z95" s="35">
        <f t="shared" si="27"/>
        <v>8053.7943949502232</v>
      </c>
      <c r="AA95" s="35">
        <f t="shared" si="30"/>
        <v>193291.06547880545</v>
      </c>
      <c r="AB95" s="28">
        <f t="shared" si="24"/>
        <v>30</v>
      </c>
      <c r="AC95" s="29">
        <v>5798731.9643641608</v>
      </c>
      <c r="AD95" s="37"/>
      <c r="AE95"/>
    </row>
    <row r="96" spans="1:31" ht="15">
      <c r="A96" s="23">
        <f t="shared" si="22"/>
        <v>2033</v>
      </c>
      <c r="B96" s="27">
        <v>48761</v>
      </c>
      <c r="C96" s="35">
        <f t="shared" si="28"/>
        <v>7385.2982778653941</v>
      </c>
      <c r="D96" s="35">
        <f t="shared" si="28"/>
        <v>7385.2982778653941</v>
      </c>
      <c r="E96" s="35">
        <f t="shared" si="28"/>
        <v>7385.2982778653941</v>
      </c>
      <c r="F96" s="35">
        <f t="shared" si="28"/>
        <v>7385.2982778653941</v>
      </c>
      <c r="G96" s="35">
        <f t="shared" si="28"/>
        <v>7385.2982778653941</v>
      </c>
      <c r="H96" s="35">
        <f t="shared" si="28"/>
        <v>7385.2982778653941</v>
      </c>
      <c r="I96" s="35">
        <f t="shared" si="28"/>
        <v>7385.2982778653941</v>
      </c>
      <c r="J96" s="35">
        <f t="shared" si="28"/>
        <v>7385.2982778653941</v>
      </c>
      <c r="K96" s="35">
        <f t="shared" si="28"/>
        <v>7385.2982778653941</v>
      </c>
      <c r="L96" s="35">
        <f t="shared" si="28"/>
        <v>7385.2982778653941</v>
      </c>
      <c r="M96" s="35">
        <f t="shared" si="28"/>
        <v>7385.2982778653941</v>
      </c>
      <c r="N96" s="35">
        <f t="shared" si="28"/>
        <v>7385.2982778653941</v>
      </c>
      <c r="O96" s="35">
        <f t="shared" si="28"/>
        <v>7385.2982778653941</v>
      </c>
      <c r="P96" s="35">
        <f t="shared" si="28"/>
        <v>7385.2982778653941</v>
      </c>
      <c r="Q96" s="35">
        <f t="shared" si="28"/>
        <v>7385.2982778653941</v>
      </c>
      <c r="R96" s="35">
        <f t="shared" si="28"/>
        <v>7385.2982778653941</v>
      </c>
      <c r="S96" s="35">
        <f t="shared" si="19"/>
        <v>7385.2982778653941</v>
      </c>
      <c r="T96" s="35">
        <f t="shared" si="27"/>
        <v>7385.2982778653941</v>
      </c>
      <c r="U96" s="35">
        <f t="shared" si="16"/>
        <v>7385.2982778653941</v>
      </c>
      <c r="V96" s="35">
        <f t="shared" si="27"/>
        <v>7385.2982778653941</v>
      </c>
      <c r="W96" s="35">
        <f t="shared" si="16"/>
        <v>7385.2982778653941</v>
      </c>
      <c r="X96" s="35">
        <f t="shared" si="27"/>
        <v>7385.2982778653941</v>
      </c>
      <c r="Y96" s="35">
        <f t="shared" si="16"/>
        <v>7385.2982778653941</v>
      </c>
      <c r="Z96" s="35">
        <f t="shared" si="27"/>
        <v>7385.2982778653941</v>
      </c>
      <c r="AA96" s="35">
        <f t="shared" si="30"/>
        <v>177247.15866876949</v>
      </c>
      <c r="AB96" s="28">
        <f t="shared" si="24"/>
        <v>31</v>
      </c>
      <c r="AC96" s="29">
        <v>5494661.9187318534</v>
      </c>
      <c r="AD96" s="37"/>
      <c r="AE96"/>
    </row>
    <row r="97" spans="1:31" ht="15">
      <c r="A97" s="23">
        <f t="shared" si="22"/>
        <v>2033</v>
      </c>
      <c r="B97" s="27">
        <v>48792</v>
      </c>
      <c r="C97" s="35">
        <f t="shared" si="28"/>
        <v>7385.2982778653941</v>
      </c>
      <c r="D97" s="35">
        <f t="shared" si="28"/>
        <v>7385.2982778653941</v>
      </c>
      <c r="E97" s="35">
        <f t="shared" si="28"/>
        <v>7385.2982778653941</v>
      </c>
      <c r="F97" s="35">
        <f t="shared" si="28"/>
        <v>7385.2982778653941</v>
      </c>
      <c r="G97" s="35">
        <f t="shared" si="28"/>
        <v>7385.2982778653941</v>
      </c>
      <c r="H97" s="35">
        <f t="shared" si="28"/>
        <v>7385.2982778653941</v>
      </c>
      <c r="I97" s="35">
        <f t="shared" si="28"/>
        <v>7385.2982778653941</v>
      </c>
      <c r="J97" s="35">
        <f t="shared" si="28"/>
        <v>7385.2982778653941</v>
      </c>
      <c r="K97" s="35">
        <f t="shared" si="28"/>
        <v>7385.2982778653941</v>
      </c>
      <c r="L97" s="35">
        <f t="shared" si="28"/>
        <v>7385.2982778653941</v>
      </c>
      <c r="M97" s="35">
        <f t="shared" si="28"/>
        <v>7385.2982778653941</v>
      </c>
      <c r="N97" s="35">
        <f t="shared" si="28"/>
        <v>7385.2982778653941</v>
      </c>
      <c r="O97" s="35">
        <f t="shared" si="28"/>
        <v>7385.2982778653941</v>
      </c>
      <c r="P97" s="35">
        <f t="shared" si="28"/>
        <v>7385.2982778653941</v>
      </c>
      <c r="Q97" s="35">
        <f t="shared" si="28"/>
        <v>7385.2982778653941</v>
      </c>
      <c r="R97" s="35">
        <f t="shared" si="28"/>
        <v>7385.2982778653941</v>
      </c>
      <c r="S97" s="35">
        <f t="shared" si="19"/>
        <v>7385.2982778653941</v>
      </c>
      <c r="T97" s="35">
        <f t="shared" si="27"/>
        <v>7385.2982778653941</v>
      </c>
      <c r="U97" s="35">
        <f t="shared" si="16"/>
        <v>7385.2982778653941</v>
      </c>
      <c r="V97" s="35">
        <f t="shared" si="27"/>
        <v>7385.2982778653941</v>
      </c>
      <c r="W97" s="35">
        <f t="shared" si="16"/>
        <v>7385.2982778653941</v>
      </c>
      <c r="X97" s="35">
        <f t="shared" si="27"/>
        <v>7385.2982778653941</v>
      </c>
      <c r="Y97" s="35">
        <f t="shared" si="16"/>
        <v>7385.2982778653941</v>
      </c>
      <c r="Z97" s="35">
        <f t="shared" si="27"/>
        <v>7385.2982778653941</v>
      </c>
      <c r="AA97" s="35">
        <f t="shared" si="30"/>
        <v>177247.15866876949</v>
      </c>
      <c r="AB97" s="28">
        <f t="shared" si="24"/>
        <v>31</v>
      </c>
      <c r="AC97" s="29">
        <v>5494661.9187318534</v>
      </c>
      <c r="AD97" s="37"/>
      <c r="AE97"/>
    </row>
    <row r="98" spans="1:31" ht="15">
      <c r="A98" s="23">
        <f t="shared" si="22"/>
        <v>2033</v>
      </c>
      <c r="B98" s="27">
        <v>48823</v>
      </c>
      <c r="C98" s="35">
        <f t="shared" si="28"/>
        <v>8053.7943949502232</v>
      </c>
      <c r="D98" s="35">
        <f t="shared" si="28"/>
        <v>8053.7943949502232</v>
      </c>
      <c r="E98" s="35">
        <f t="shared" si="28"/>
        <v>8053.7943949502232</v>
      </c>
      <c r="F98" s="35">
        <f t="shared" si="28"/>
        <v>8053.7943949502232</v>
      </c>
      <c r="G98" s="35">
        <f t="shared" si="28"/>
        <v>8053.7943949502232</v>
      </c>
      <c r="H98" s="35">
        <f t="shared" si="28"/>
        <v>8053.7943949502232</v>
      </c>
      <c r="I98" s="35">
        <f t="shared" si="28"/>
        <v>8053.7943949502232</v>
      </c>
      <c r="J98" s="35">
        <f t="shared" si="28"/>
        <v>8053.7943949502232</v>
      </c>
      <c r="K98" s="35">
        <f t="shared" si="28"/>
        <v>8053.7943949502232</v>
      </c>
      <c r="L98" s="35">
        <f t="shared" si="28"/>
        <v>8053.7943949502232</v>
      </c>
      <c r="M98" s="35">
        <f t="shared" si="28"/>
        <v>8053.7943949502232</v>
      </c>
      <c r="N98" s="35">
        <f t="shared" si="28"/>
        <v>8053.7943949502232</v>
      </c>
      <c r="O98" s="35">
        <f t="shared" si="28"/>
        <v>8053.7943949502232</v>
      </c>
      <c r="P98" s="35">
        <f t="shared" si="28"/>
        <v>8053.7943949502232</v>
      </c>
      <c r="Q98" s="35">
        <f t="shared" si="28"/>
        <v>8053.7943949502232</v>
      </c>
      <c r="R98" s="35">
        <f t="shared" si="28"/>
        <v>8053.7943949502232</v>
      </c>
      <c r="S98" s="35">
        <f t="shared" si="19"/>
        <v>8053.7943949502232</v>
      </c>
      <c r="T98" s="35">
        <f t="shared" si="27"/>
        <v>8053.7943949502232</v>
      </c>
      <c r="U98" s="35">
        <f t="shared" si="16"/>
        <v>8053.7943949502232</v>
      </c>
      <c r="V98" s="35">
        <f t="shared" si="27"/>
        <v>8053.7943949502232</v>
      </c>
      <c r="W98" s="35">
        <f t="shared" si="16"/>
        <v>8053.7943949502232</v>
      </c>
      <c r="X98" s="35">
        <f t="shared" si="27"/>
        <v>8053.7943949502232</v>
      </c>
      <c r="Y98" s="35">
        <f t="shared" si="16"/>
        <v>8053.7943949502232</v>
      </c>
      <c r="Z98" s="35">
        <f t="shared" si="27"/>
        <v>8053.7943949502232</v>
      </c>
      <c r="AA98" s="35">
        <f t="shared" si="30"/>
        <v>193291.06547880545</v>
      </c>
      <c r="AB98" s="28">
        <f t="shared" si="24"/>
        <v>30</v>
      </c>
      <c r="AC98" s="29">
        <v>5798731.9643641608</v>
      </c>
      <c r="AD98" s="37"/>
      <c r="AE98"/>
    </row>
    <row r="99" spans="1:31" ht="15">
      <c r="A99" s="23">
        <f t="shared" si="22"/>
        <v>2033</v>
      </c>
      <c r="B99" s="27">
        <v>48853</v>
      </c>
      <c r="C99" s="35">
        <f t="shared" si="28"/>
        <v>7385.2982778653941</v>
      </c>
      <c r="D99" s="35">
        <f t="shared" si="28"/>
        <v>7385.2982778653941</v>
      </c>
      <c r="E99" s="35">
        <f t="shared" si="28"/>
        <v>7385.2982778653941</v>
      </c>
      <c r="F99" s="35">
        <f t="shared" si="28"/>
        <v>7385.2982778653941</v>
      </c>
      <c r="G99" s="35">
        <f t="shared" si="28"/>
        <v>7385.2982778653941</v>
      </c>
      <c r="H99" s="35">
        <f t="shared" si="28"/>
        <v>7385.2982778653941</v>
      </c>
      <c r="I99" s="35">
        <f t="shared" si="28"/>
        <v>7385.2982778653941</v>
      </c>
      <c r="J99" s="35">
        <f t="shared" si="28"/>
        <v>7385.2982778653941</v>
      </c>
      <c r="K99" s="35">
        <f t="shared" si="28"/>
        <v>7385.2982778653941</v>
      </c>
      <c r="L99" s="35">
        <f t="shared" si="28"/>
        <v>7385.2982778653941</v>
      </c>
      <c r="M99" s="35">
        <f t="shared" si="28"/>
        <v>7385.2982778653941</v>
      </c>
      <c r="N99" s="35">
        <f t="shared" si="28"/>
        <v>7385.2982778653941</v>
      </c>
      <c r="O99" s="35">
        <f t="shared" si="28"/>
        <v>7385.2982778653941</v>
      </c>
      <c r="P99" s="35">
        <f t="shared" si="28"/>
        <v>7385.2982778653941</v>
      </c>
      <c r="Q99" s="35">
        <f t="shared" si="28"/>
        <v>7385.2982778653941</v>
      </c>
      <c r="R99" s="35">
        <f t="shared" si="28"/>
        <v>7385.2982778653941</v>
      </c>
      <c r="S99" s="35">
        <f t="shared" si="19"/>
        <v>7385.2982778653941</v>
      </c>
      <c r="T99" s="35">
        <f t="shared" si="27"/>
        <v>7385.2982778653941</v>
      </c>
      <c r="U99" s="35">
        <f t="shared" si="16"/>
        <v>7385.2982778653941</v>
      </c>
      <c r="V99" s="35">
        <f t="shared" si="27"/>
        <v>7385.2982778653941</v>
      </c>
      <c r="W99" s="35">
        <f t="shared" si="16"/>
        <v>7385.2982778653941</v>
      </c>
      <c r="X99" s="35">
        <f t="shared" si="27"/>
        <v>7385.2982778653941</v>
      </c>
      <c r="Y99" s="35">
        <f t="shared" si="16"/>
        <v>7385.2982778653941</v>
      </c>
      <c r="Z99" s="35">
        <f t="shared" si="27"/>
        <v>7385.2982778653941</v>
      </c>
      <c r="AA99" s="35">
        <f t="shared" si="30"/>
        <v>177247.15866876949</v>
      </c>
      <c r="AB99" s="28">
        <f t="shared" si="24"/>
        <v>31</v>
      </c>
      <c r="AC99" s="29">
        <v>5494661.9187318534</v>
      </c>
      <c r="AD99" s="37"/>
      <c r="AE99"/>
    </row>
    <row r="100" spans="1:31" ht="15">
      <c r="A100" s="23">
        <f t="shared" si="22"/>
        <v>2033</v>
      </c>
      <c r="B100" s="27">
        <v>48884</v>
      </c>
      <c r="C100" s="35">
        <f t="shared" si="28"/>
        <v>8053.7943949502232</v>
      </c>
      <c r="D100" s="35">
        <f t="shared" si="28"/>
        <v>8053.7943949502232</v>
      </c>
      <c r="E100" s="35">
        <f t="shared" si="28"/>
        <v>8053.7943949502232</v>
      </c>
      <c r="F100" s="35">
        <f t="shared" si="28"/>
        <v>8053.7943949502232</v>
      </c>
      <c r="G100" s="35">
        <f t="shared" si="28"/>
        <v>8053.7943949502232</v>
      </c>
      <c r="H100" s="35">
        <f t="shared" si="28"/>
        <v>8053.7943949502232</v>
      </c>
      <c r="I100" s="35">
        <f t="shared" si="28"/>
        <v>8053.7943949502232</v>
      </c>
      <c r="J100" s="35">
        <f t="shared" si="28"/>
        <v>8053.7943949502232</v>
      </c>
      <c r="K100" s="35">
        <f t="shared" si="28"/>
        <v>8053.7943949502232</v>
      </c>
      <c r="L100" s="35">
        <f t="shared" si="28"/>
        <v>8053.7943949502232</v>
      </c>
      <c r="M100" s="35">
        <f t="shared" si="28"/>
        <v>8053.7943949502232</v>
      </c>
      <c r="N100" s="35">
        <f t="shared" si="28"/>
        <v>8053.7943949502232</v>
      </c>
      <c r="O100" s="35">
        <f t="shared" si="28"/>
        <v>8053.7943949502232</v>
      </c>
      <c r="P100" s="35">
        <f t="shared" si="28"/>
        <v>8053.7943949502232</v>
      </c>
      <c r="Q100" s="35">
        <f t="shared" si="28"/>
        <v>8053.7943949502232</v>
      </c>
      <c r="R100" s="35">
        <f t="shared" si="28"/>
        <v>8053.7943949502232</v>
      </c>
      <c r="S100" s="35">
        <f t="shared" si="19"/>
        <v>8053.7943949502232</v>
      </c>
      <c r="T100" s="35">
        <f t="shared" si="27"/>
        <v>8053.7943949502232</v>
      </c>
      <c r="U100" s="35">
        <f t="shared" si="16"/>
        <v>8053.7943949502232</v>
      </c>
      <c r="V100" s="35">
        <f t="shared" si="27"/>
        <v>8053.7943949502232</v>
      </c>
      <c r="W100" s="35">
        <f t="shared" si="16"/>
        <v>8053.7943949502232</v>
      </c>
      <c r="X100" s="35">
        <f t="shared" si="27"/>
        <v>8053.7943949502232</v>
      </c>
      <c r="Y100" s="35">
        <f t="shared" si="16"/>
        <v>8053.7943949502232</v>
      </c>
      <c r="Z100" s="35">
        <f t="shared" si="27"/>
        <v>8053.7943949502232</v>
      </c>
      <c r="AA100" s="35">
        <f t="shared" si="30"/>
        <v>193291.06547880545</v>
      </c>
      <c r="AB100" s="28">
        <f t="shared" si="24"/>
        <v>30</v>
      </c>
      <c r="AC100" s="29">
        <v>5798731.9643641608</v>
      </c>
      <c r="AD100" s="37"/>
      <c r="AE100"/>
    </row>
    <row r="101" spans="1:31" ht="15">
      <c r="A101" s="23">
        <f t="shared" si="22"/>
        <v>2033</v>
      </c>
      <c r="B101" s="27">
        <v>48914</v>
      </c>
      <c r="C101" s="35">
        <f t="shared" si="28"/>
        <v>7385.2982778653941</v>
      </c>
      <c r="D101" s="35">
        <f t="shared" si="28"/>
        <v>7385.2982778653941</v>
      </c>
      <c r="E101" s="35">
        <f t="shared" si="28"/>
        <v>7385.2982778653941</v>
      </c>
      <c r="F101" s="35">
        <f t="shared" si="28"/>
        <v>7385.2982778653941</v>
      </c>
      <c r="G101" s="35">
        <f t="shared" si="28"/>
        <v>7385.2982778653941</v>
      </c>
      <c r="H101" s="35">
        <f t="shared" si="28"/>
        <v>7385.2982778653941</v>
      </c>
      <c r="I101" s="35">
        <f t="shared" si="28"/>
        <v>7385.2982778653941</v>
      </c>
      <c r="J101" s="35">
        <f t="shared" si="28"/>
        <v>7385.2982778653941</v>
      </c>
      <c r="K101" s="35">
        <f t="shared" si="28"/>
        <v>7385.2982778653941</v>
      </c>
      <c r="L101" s="35">
        <f t="shared" si="28"/>
        <v>7385.2982778653941</v>
      </c>
      <c r="M101" s="35">
        <f t="shared" si="28"/>
        <v>7385.2982778653941</v>
      </c>
      <c r="N101" s="35">
        <f t="shared" si="28"/>
        <v>7385.2982778653941</v>
      </c>
      <c r="O101" s="35">
        <f t="shared" si="28"/>
        <v>7385.2982778653941</v>
      </c>
      <c r="P101" s="35">
        <f t="shared" si="28"/>
        <v>7385.2982778653941</v>
      </c>
      <c r="Q101" s="35">
        <f t="shared" si="28"/>
        <v>7385.2982778653941</v>
      </c>
      <c r="R101" s="35">
        <f t="shared" si="28"/>
        <v>7385.2982778653941</v>
      </c>
      <c r="S101" s="35">
        <f t="shared" si="19"/>
        <v>7385.2982778653941</v>
      </c>
      <c r="T101" s="35">
        <f t="shared" si="27"/>
        <v>7385.2982778653941</v>
      </c>
      <c r="U101" s="35">
        <f t="shared" si="16"/>
        <v>7385.2982778653941</v>
      </c>
      <c r="V101" s="35">
        <f t="shared" si="27"/>
        <v>7385.2982778653941</v>
      </c>
      <c r="W101" s="35">
        <f t="shared" si="16"/>
        <v>7385.2982778653941</v>
      </c>
      <c r="X101" s="35">
        <f t="shared" si="27"/>
        <v>7385.2982778653941</v>
      </c>
      <c r="Y101" s="35">
        <f t="shared" si="16"/>
        <v>7385.2982778653941</v>
      </c>
      <c r="Z101" s="35">
        <f t="shared" si="27"/>
        <v>7385.2982778653941</v>
      </c>
      <c r="AA101" s="35">
        <f t="shared" si="30"/>
        <v>177247.15866876949</v>
      </c>
      <c r="AB101" s="28">
        <f t="shared" si="24"/>
        <v>31</v>
      </c>
      <c r="AC101" s="29">
        <v>5494661.9187318534</v>
      </c>
      <c r="AD101" s="37"/>
      <c r="AE101"/>
    </row>
    <row r="102" spans="1:31" ht="15">
      <c r="A102" s="23">
        <f t="shared" si="22"/>
        <v>2034</v>
      </c>
      <c r="B102" s="27">
        <v>48945</v>
      </c>
      <c r="C102" s="35">
        <f t="shared" si="28"/>
        <v>16746.668277865396</v>
      </c>
      <c r="D102" s="35">
        <f t="shared" si="28"/>
        <v>16746.668277865396</v>
      </c>
      <c r="E102" s="35">
        <f t="shared" si="28"/>
        <v>16746.668277865396</v>
      </c>
      <c r="F102" s="35">
        <f t="shared" si="28"/>
        <v>16746.668277865396</v>
      </c>
      <c r="G102" s="35">
        <f t="shared" si="28"/>
        <v>16746.668277865396</v>
      </c>
      <c r="H102" s="35">
        <f t="shared" si="28"/>
        <v>16746.668277865396</v>
      </c>
      <c r="I102" s="35">
        <f t="shared" si="28"/>
        <v>16746.668277865396</v>
      </c>
      <c r="J102" s="35">
        <f t="shared" si="28"/>
        <v>16746.668277865396</v>
      </c>
      <c r="K102" s="35">
        <f t="shared" si="28"/>
        <v>16746.668277865396</v>
      </c>
      <c r="L102" s="35">
        <f t="shared" si="28"/>
        <v>16746.668277865396</v>
      </c>
      <c r="M102" s="35">
        <f t="shared" si="28"/>
        <v>16746.668277865396</v>
      </c>
      <c r="N102" s="35">
        <f t="shared" si="28"/>
        <v>16746.668277865396</v>
      </c>
      <c r="O102" s="35">
        <f t="shared" si="28"/>
        <v>16746.668277865396</v>
      </c>
      <c r="P102" s="35">
        <f t="shared" si="28"/>
        <v>16746.668277865396</v>
      </c>
      <c r="Q102" s="35">
        <f t="shared" si="28"/>
        <v>16746.668277865396</v>
      </c>
      <c r="R102" s="35">
        <f t="shared" ref="R102:Z117" si="31">($AC102/$AB102)/24</f>
        <v>16746.668277865396</v>
      </c>
      <c r="S102" s="35">
        <f t="shared" si="19"/>
        <v>16746.668277865396</v>
      </c>
      <c r="T102" s="35">
        <f t="shared" si="31"/>
        <v>16746.668277865396</v>
      </c>
      <c r="U102" s="35">
        <f t="shared" si="16"/>
        <v>16746.668277865396</v>
      </c>
      <c r="V102" s="35">
        <f t="shared" si="31"/>
        <v>16746.668277865396</v>
      </c>
      <c r="W102" s="35">
        <f t="shared" si="16"/>
        <v>16746.668277865396</v>
      </c>
      <c r="X102" s="35">
        <f t="shared" si="31"/>
        <v>16746.668277865396</v>
      </c>
      <c r="Y102" s="35">
        <f t="shared" si="16"/>
        <v>16746.668277865396</v>
      </c>
      <c r="Z102" s="35">
        <f t="shared" si="31"/>
        <v>16746.668277865396</v>
      </c>
      <c r="AA102" s="35">
        <f t="shared" si="30"/>
        <v>401920.03866876947</v>
      </c>
      <c r="AB102" s="28">
        <f t="shared" si="24"/>
        <v>31</v>
      </c>
      <c r="AC102" s="29">
        <v>12459521.198731855</v>
      </c>
      <c r="AD102" s="37"/>
      <c r="AE102"/>
    </row>
    <row r="103" spans="1:31" ht="15">
      <c r="A103" s="23">
        <f t="shared" si="22"/>
        <v>2034</v>
      </c>
      <c r="B103" s="27">
        <v>48976</v>
      </c>
      <c r="C103" s="35">
        <f t="shared" ref="C103:R118" si="32">($AC103/$AB103)/24</f>
        <v>18895.405797066625</v>
      </c>
      <c r="D103" s="35">
        <f t="shared" si="32"/>
        <v>18895.405797066625</v>
      </c>
      <c r="E103" s="35">
        <f t="shared" si="32"/>
        <v>18895.405797066625</v>
      </c>
      <c r="F103" s="35">
        <f t="shared" si="32"/>
        <v>18895.405797066625</v>
      </c>
      <c r="G103" s="35">
        <f t="shared" si="32"/>
        <v>18895.405797066625</v>
      </c>
      <c r="H103" s="35">
        <f t="shared" si="32"/>
        <v>18895.405797066625</v>
      </c>
      <c r="I103" s="35">
        <f t="shared" si="32"/>
        <v>18895.405797066625</v>
      </c>
      <c r="J103" s="35">
        <f t="shared" si="32"/>
        <v>18895.405797066625</v>
      </c>
      <c r="K103" s="35">
        <f t="shared" si="32"/>
        <v>18895.405797066625</v>
      </c>
      <c r="L103" s="35">
        <f t="shared" si="32"/>
        <v>18895.405797066625</v>
      </c>
      <c r="M103" s="35">
        <f t="shared" si="32"/>
        <v>18895.405797066625</v>
      </c>
      <c r="N103" s="35">
        <f t="shared" si="32"/>
        <v>18895.405797066625</v>
      </c>
      <c r="O103" s="35">
        <f t="shared" si="32"/>
        <v>18895.405797066625</v>
      </c>
      <c r="P103" s="35">
        <f t="shared" si="32"/>
        <v>18895.405797066625</v>
      </c>
      <c r="Q103" s="35">
        <f t="shared" si="32"/>
        <v>18895.405797066625</v>
      </c>
      <c r="R103" s="35">
        <f t="shared" si="32"/>
        <v>18895.405797066625</v>
      </c>
      <c r="S103" s="35">
        <f t="shared" si="19"/>
        <v>18895.405797066625</v>
      </c>
      <c r="T103" s="35">
        <f t="shared" si="31"/>
        <v>18895.405797066625</v>
      </c>
      <c r="U103" s="35">
        <f t="shared" si="16"/>
        <v>18895.405797066625</v>
      </c>
      <c r="V103" s="35">
        <f t="shared" si="31"/>
        <v>18895.405797066625</v>
      </c>
      <c r="W103" s="35">
        <f t="shared" si="16"/>
        <v>18895.405797066625</v>
      </c>
      <c r="X103" s="35">
        <f t="shared" si="31"/>
        <v>18895.405797066625</v>
      </c>
      <c r="Y103" s="35">
        <f t="shared" si="16"/>
        <v>18895.405797066625</v>
      </c>
      <c r="Z103" s="35">
        <f t="shared" si="31"/>
        <v>18895.405797066625</v>
      </c>
      <c r="AA103" s="35">
        <f t="shared" ref="AA103:AA114" si="33">SUM(C103:Z103)</f>
        <v>453489.73912959913</v>
      </c>
      <c r="AB103" s="28">
        <f t="shared" si="24"/>
        <v>28</v>
      </c>
      <c r="AC103" s="29">
        <v>12697712.695628772</v>
      </c>
      <c r="AD103" s="37"/>
      <c r="AE103"/>
    </row>
    <row r="104" spans="1:31" ht="15">
      <c r="A104" s="23">
        <f t="shared" si="22"/>
        <v>2034</v>
      </c>
      <c r="B104" s="27">
        <v>49004</v>
      </c>
      <c r="C104" s="35">
        <f t="shared" si="32"/>
        <v>16746.668277865396</v>
      </c>
      <c r="D104" s="35">
        <f t="shared" si="32"/>
        <v>16746.668277865396</v>
      </c>
      <c r="E104" s="35">
        <f t="shared" si="32"/>
        <v>16746.668277865396</v>
      </c>
      <c r="F104" s="35">
        <f t="shared" si="32"/>
        <v>16746.668277865396</v>
      </c>
      <c r="G104" s="35">
        <f t="shared" si="32"/>
        <v>16746.668277865396</v>
      </c>
      <c r="H104" s="35">
        <f t="shared" si="32"/>
        <v>16746.668277865396</v>
      </c>
      <c r="I104" s="35">
        <f t="shared" si="32"/>
        <v>16746.668277865396</v>
      </c>
      <c r="J104" s="35">
        <f t="shared" si="32"/>
        <v>16746.668277865396</v>
      </c>
      <c r="K104" s="35">
        <f t="shared" si="32"/>
        <v>16746.668277865396</v>
      </c>
      <c r="L104" s="35">
        <f t="shared" si="32"/>
        <v>16746.668277865396</v>
      </c>
      <c r="M104" s="35">
        <f t="shared" si="32"/>
        <v>16746.668277865396</v>
      </c>
      <c r="N104" s="35">
        <f t="shared" si="32"/>
        <v>16746.668277865396</v>
      </c>
      <c r="O104" s="35">
        <f t="shared" si="32"/>
        <v>16746.668277865396</v>
      </c>
      <c r="P104" s="35">
        <f t="shared" si="32"/>
        <v>16746.668277865396</v>
      </c>
      <c r="Q104" s="35">
        <f t="shared" si="32"/>
        <v>16746.668277865396</v>
      </c>
      <c r="R104" s="35">
        <f t="shared" si="32"/>
        <v>16746.668277865396</v>
      </c>
      <c r="S104" s="35">
        <f t="shared" si="19"/>
        <v>16746.668277865396</v>
      </c>
      <c r="T104" s="35">
        <f t="shared" si="31"/>
        <v>16746.668277865396</v>
      </c>
      <c r="U104" s="35">
        <f t="shared" si="16"/>
        <v>16746.668277865396</v>
      </c>
      <c r="V104" s="35">
        <f t="shared" si="31"/>
        <v>16746.668277865396</v>
      </c>
      <c r="W104" s="35">
        <f t="shared" si="16"/>
        <v>16746.668277865396</v>
      </c>
      <c r="X104" s="35">
        <f t="shared" si="31"/>
        <v>16746.668277865396</v>
      </c>
      <c r="Y104" s="35">
        <f t="shared" si="16"/>
        <v>16746.668277865396</v>
      </c>
      <c r="Z104" s="35">
        <f t="shared" si="31"/>
        <v>16746.668277865396</v>
      </c>
      <c r="AA104" s="35">
        <f t="shared" si="33"/>
        <v>401920.03866876947</v>
      </c>
      <c r="AB104" s="28">
        <f t="shared" si="24"/>
        <v>31</v>
      </c>
      <c r="AC104" s="29">
        <v>12459521.198731855</v>
      </c>
      <c r="AD104" s="37"/>
      <c r="AE104"/>
    </row>
    <row r="105" spans="1:31" ht="15">
      <c r="A105" s="23">
        <f t="shared" si="22"/>
        <v>2034</v>
      </c>
      <c r="B105" s="27">
        <v>49035</v>
      </c>
      <c r="C105" s="35">
        <f t="shared" si="32"/>
        <v>17415.164394950221</v>
      </c>
      <c r="D105" s="35">
        <f t="shared" si="32"/>
        <v>17415.164394950221</v>
      </c>
      <c r="E105" s="35">
        <f t="shared" si="32"/>
        <v>17415.164394950221</v>
      </c>
      <c r="F105" s="35">
        <f t="shared" si="32"/>
        <v>17415.164394950221</v>
      </c>
      <c r="G105" s="35">
        <f t="shared" si="32"/>
        <v>17415.164394950221</v>
      </c>
      <c r="H105" s="35">
        <f t="shared" si="32"/>
        <v>17415.164394950221</v>
      </c>
      <c r="I105" s="35">
        <f t="shared" si="32"/>
        <v>17415.164394950221</v>
      </c>
      <c r="J105" s="35">
        <f t="shared" si="32"/>
        <v>17415.164394950221</v>
      </c>
      <c r="K105" s="35">
        <f t="shared" si="32"/>
        <v>17415.164394950221</v>
      </c>
      <c r="L105" s="35">
        <f t="shared" si="32"/>
        <v>17415.164394950221</v>
      </c>
      <c r="M105" s="35">
        <f t="shared" si="32"/>
        <v>17415.164394950221</v>
      </c>
      <c r="N105" s="35">
        <f t="shared" si="32"/>
        <v>17415.164394950221</v>
      </c>
      <c r="O105" s="35">
        <f t="shared" si="32"/>
        <v>17415.164394950221</v>
      </c>
      <c r="P105" s="35">
        <f t="shared" si="32"/>
        <v>17415.164394950221</v>
      </c>
      <c r="Q105" s="35">
        <f t="shared" si="32"/>
        <v>17415.164394950221</v>
      </c>
      <c r="R105" s="35">
        <f t="shared" si="32"/>
        <v>17415.164394950221</v>
      </c>
      <c r="S105" s="35">
        <f t="shared" si="19"/>
        <v>17415.164394950221</v>
      </c>
      <c r="T105" s="35">
        <f t="shared" si="31"/>
        <v>17415.164394950221</v>
      </c>
      <c r="U105" s="35">
        <f t="shared" si="16"/>
        <v>17415.164394950221</v>
      </c>
      <c r="V105" s="35">
        <f t="shared" si="31"/>
        <v>17415.164394950221</v>
      </c>
      <c r="W105" s="35">
        <f t="shared" si="16"/>
        <v>17415.164394950221</v>
      </c>
      <c r="X105" s="35">
        <f t="shared" si="31"/>
        <v>17415.164394950221</v>
      </c>
      <c r="Y105" s="35">
        <f t="shared" si="16"/>
        <v>17415.164394950221</v>
      </c>
      <c r="Z105" s="35">
        <f t="shared" si="31"/>
        <v>17415.164394950221</v>
      </c>
      <c r="AA105" s="35">
        <f t="shared" si="33"/>
        <v>417963.94547880522</v>
      </c>
      <c r="AB105" s="28">
        <f t="shared" si="24"/>
        <v>30</v>
      </c>
      <c r="AC105" s="29">
        <v>12538918.364364158</v>
      </c>
      <c r="AD105" s="37"/>
      <c r="AE105"/>
    </row>
    <row r="106" spans="1:31" ht="15">
      <c r="A106" s="23">
        <f t="shared" si="22"/>
        <v>2034</v>
      </c>
      <c r="B106" s="27">
        <v>49065</v>
      </c>
      <c r="C106" s="35">
        <f t="shared" si="32"/>
        <v>16746.668277865396</v>
      </c>
      <c r="D106" s="35">
        <f t="shared" si="32"/>
        <v>16746.668277865396</v>
      </c>
      <c r="E106" s="35">
        <f t="shared" si="32"/>
        <v>16746.668277865396</v>
      </c>
      <c r="F106" s="35">
        <f t="shared" si="32"/>
        <v>16746.668277865396</v>
      </c>
      <c r="G106" s="35">
        <f t="shared" si="32"/>
        <v>16746.668277865396</v>
      </c>
      <c r="H106" s="35">
        <f t="shared" si="32"/>
        <v>16746.668277865396</v>
      </c>
      <c r="I106" s="35">
        <f t="shared" si="32"/>
        <v>16746.668277865396</v>
      </c>
      <c r="J106" s="35">
        <f t="shared" si="32"/>
        <v>16746.668277865396</v>
      </c>
      <c r="K106" s="35">
        <f t="shared" si="32"/>
        <v>16746.668277865396</v>
      </c>
      <c r="L106" s="35">
        <f t="shared" si="32"/>
        <v>16746.668277865396</v>
      </c>
      <c r="M106" s="35">
        <f t="shared" si="32"/>
        <v>16746.668277865396</v>
      </c>
      <c r="N106" s="35">
        <f t="shared" si="32"/>
        <v>16746.668277865396</v>
      </c>
      <c r="O106" s="35">
        <f t="shared" si="32"/>
        <v>16746.668277865396</v>
      </c>
      <c r="P106" s="35">
        <f t="shared" si="32"/>
        <v>16746.668277865396</v>
      </c>
      <c r="Q106" s="35">
        <f t="shared" si="32"/>
        <v>16746.668277865396</v>
      </c>
      <c r="R106" s="35">
        <f t="shared" si="32"/>
        <v>16746.668277865396</v>
      </c>
      <c r="S106" s="35">
        <f t="shared" si="19"/>
        <v>16746.668277865396</v>
      </c>
      <c r="T106" s="35">
        <f t="shared" si="31"/>
        <v>16746.668277865396</v>
      </c>
      <c r="U106" s="35">
        <f t="shared" si="16"/>
        <v>16746.668277865396</v>
      </c>
      <c r="V106" s="35">
        <f t="shared" si="31"/>
        <v>16746.668277865396</v>
      </c>
      <c r="W106" s="35">
        <f t="shared" si="16"/>
        <v>16746.668277865396</v>
      </c>
      <c r="X106" s="35">
        <f t="shared" si="31"/>
        <v>16746.668277865396</v>
      </c>
      <c r="Y106" s="35">
        <f t="shared" si="16"/>
        <v>16746.668277865396</v>
      </c>
      <c r="Z106" s="35">
        <f t="shared" si="31"/>
        <v>16746.668277865396</v>
      </c>
      <c r="AA106" s="35">
        <f t="shared" si="33"/>
        <v>401920.03866876947</v>
      </c>
      <c r="AB106" s="28">
        <f t="shared" si="24"/>
        <v>31</v>
      </c>
      <c r="AC106" s="29">
        <v>12459521.198731855</v>
      </c>
      <c r="AD106" s="37"/>
      <c r="AE106"/>
    </row>
    <row r="107" spans="1:31" ht="15">
      <c r="A107" s="23">
        <f t="shared" si="22"/>
        <v>2034</v>
      </c>
      <c r="B107" s="27">
        <v>49096</v>
      </c>
      <c r="C107" s="35">
        <f t="shared" si="32"/>
        <v>17415.164394950221</v>
      </c>
      <c r="D107" s="35">
        <f t="shared" si="32"/>
        <v>17415.164394950221</v>
      </c>
      <c r="E107" s="35">
        <f t="shared" si="32"/>
        <v>17415.164394950221</v>
      </c>
      <c r="F107" s="35">
        <f t="shared" si="32"/>
        <v>17415.164394950221</v>
      </c>
      <c r="G107" s="35">
        <f t="shared" si="32"/>
        <v>17415.164394950221</v>
      </c>
      <c r="H107" s="35">
        <f t="shared" si="32"/>
        <v>17415.164394950221</v>
      </c>
      <c r="I107" s="35">
        <f t="shared" si="32"/>
        <v>17415.164394950221</v>
      </c>
      <c r="J107" s="35">
        <f t="shared" si="32"/>
        <v>17415.164394950221</v>
      </c>
      <c r="K107" s="35">
        <f t="shared" si="32"/>
        <v>17415.164394950221</v>
      </c>
      <c r="L107" s="35">
        <f t="shared" si="32"/>
        <v>17415.164394950221</v>
      </c>
      <c r="M107" s="35">
        <f t="shared" si="32"/>
        <v>17415.164394950221</v>
      </c>
      <c r="N107" s="35">
        <f t="shared" si="32"/>
        <v>17415.164394950221</v>
      </c>
      <c r="O107" s="35">
        <f t="shared" si="32"/>
        <v>17415.164394950221</v>
      </c>
      <c r="P107" s="35">
        <f t="shared" si="32"/>
        <v>17415.164394950221</v>
      </c>
      <c r="Q107" s="35">
        <f t="shared" si="32"/>
        <v>17415.164394950221</v>
      </c>
      <c r="R107" s="35">
        <f t="shared" si="32"/>
        <v>17415.164394950221</v>
      </c>
      <c r="S107" s="35">
        <f t="shared" si="19"/>
        <v>17415.164394950221</v>
      </c>
      <c r="T107" s="35">
        <f t="shared" si="31"/>
        <v>17415.164394950221</v>
      </c>
      <c r="U107" s="35">
        <f t="shared" si="16"/>
        <v>17415.164394950221</v>
      </c>
      <c r="V107" s="35">
        <f t="shared" si="31"/>
        <v>17415.164394950221</v>
      </c>
      <c r="W107" s="35">
        <f t="shared" si="16"/>
        <v>17415.164394950221</v>
      </c>
      <c r="X107" s="35">
        <f t="shared" si="31"/>
        <v>17415.164394950221</v>
      </c>
      <c r="Y107" s="35">
        <f t="shared" si="16"/>
        <v>17415.164394950221</v>
      </c>
      <c r="Z107" s="35">
        <f t="shared" si="31"/>
        <v>17415.164394950221</v>
      </c>
      <c r="AA107" s="35">
        <f t="shared" si="33"/>
        <v>417963.94547880522</v>
      </c>
      <c r="AB107" s="28">
        <f t="shared" si="24"/>
        <v>30</v>
      </c>
      <c r="AC107" s="29">
        <v>12538918.364364158</v>
      </c>
      <c r="AD107" s="37"/>
      <c r="AE107"/>
    </row>
    <row r="108" spans="1:31" ht="15">
      <c r="A108" s="23">
        <f t="shared" si="22"/>
        <v>2034</v>
      </c>
      <c r="B108" s="27">
        <v>49126</v>
      </c>
      <c r="C108" s="35">
        <f t="shared" si="32"/>
        <v>16746.668277865396</v>
      </c>
      <c r="D108" s="35">
        <f t="shared" si="32"/>
        <v>16746.668277865396</v>
      </c>
      <c r="E108" s="35">
        <f t="shared" si="32"/>
        <v>16746.668277865396</v>
      </c>
      <c r="F108" s="35">
        <f t="shared" si="32"/>
        <v>16746.668277865396</v>
      </c>
      <c r="G108" s="35">
        <f t="shared" si="32"/>
        <v>16746.668277865396</v>
      </c>
      <c r="H108" s="35">
        <f t="shared" si="32"/>
        <v>16746.668277865396</v>
      </c>
      <c r="I108" s="35">
        <f t="shared" si="32"/>
        <v>16746.668277865396</v>
      </c>
      <c r="J108" s="35">
        <f t="shared" si="32"/>
        <v>16746.668277865396</v>
      </c>
      <c r="K108" s="35">
        <f t="shared" si="32"/>
        <v>16746.668277865396</v>
      </c>
      <c r="L108" s="35">
        <f t="shared" si="32"/>
        <v>16746.668277865396</v>
      </c>
      <c r="M108" s="35">
        <f t="shared" si="32"/>
        <v>16746.668277865396</v>
      </c>
      <c r="N108" s="35">
        <f t="shared" si="32"/>
        <v>16746.668277865396</v>
      </c>
      <c r="O108" s="35">
        <f t="shared" si="32"/>
        <v>16746.668277865396</v>
      </c>
      <c r="P108" s="35">
        <f t="shared" si="32"/>
        <v>16746.668277865396</v>
      </c>
      <c r="Q108" s="35">
        <f t="shared" si="32"/>
        <v>16746.668277865396</v>
      </c>
      <c r="R108" s="35">
        <f t="shared" si="32"/>
        <v>16746.668277865396</v>
      </c>
      <c r="S108" s="35">
        <f t="shared" si="19"/>
        <v>16746.668277865396</v>
      </c>
      <c r="T108" s="35">
        <f t="shared" si="31"/>
        <v>16746.668277865396</v>
      </c>
      <c r="U108" s="35">
        <f t="shared" si="16"/>
        <v>16746.668277865396</v>
      </c>
      <c r="V108" s="35">
        <f t="shared" si="31"/>
        <v>16746.668277865396</v>
      </c>
      <c r="W108" s="35">
        <f t="shared" si="16"/>
        <v>16746.668277865396</v>
      </c>
      <c r="X108" s="35">
        <f t="shared" si="31"/>
        <v>16746.668277865396</v>
      </c>
      <c r="Y108" s="35">
        <f t="shared" si="16"/>
        <v>16746.668277865396</v>
      </c>
      <c r="Z108" s="35">
        <f t="shared" si="31"/>
        <v>16746.668277865396</v>
      </c>
      <c r="AA108" s="35">
        <f t="shared" si="33"/>
        <v>401920.03866876947</v>
      </c>
      <c r="AB108" s="28">
        <f t="shared" si="24"/>
        <v>31</v>
      </c>
      <c r="AC108" s="29">
        <v>12459521.198731855</v>
      </c>
      <c r="AD108" s="37"/>
      <c r="AE108"/>
    </row>
    <row r="109" spans="1:31" ht="15">
      <c r="A109" s="23">
        <f t="shared" si="22"/>
        <v>2034</v>
      </c>
      <c r="B109" s="27">
        <v>49157</v>
      </c>
      <c r="C109" s="35">
        <f t="shared" si="32"/>
        <v>16853.075087901238</v>
      </c>
      <c r="D109" s="35">
        <f t="shared" si="32"/>
        <v>16853.075087901238</v>
      </c>
      <c r="E109" s="35">
        <f t="shared" si="32"/>
        <v>16853.075087901238</v>
      </c>
      <c r="F109" s="35">
        <f t="shared" si="32"/>
        <v>16853.075087901238</v>
      </c>
      <c r="G109" s="35">
        <f t="shared" si="32"/>
        <v>16853.075087901238</v>
      </c>
      <c r="H109" s="35">
        <f t="shared" si="32"/>
        <v>16853.075087901238</v>
      </c>
      <c r="I109" s="35">
        <f t="shared" si="32"/>
        <v>16853.075087901238</v>
      </c>
      <c r="J109" s="35">
        <f t="shared" si="32"/>
        <v>16853.075087901238</v>
      </c>
      <c r="K109" s="35">
        <f t="shared" si="32"/>
        <v>16853.075087901238</v>
      </c>
      <c r="L109" s="35">
        <f t="shared" si="32"/>
        <v>16853.075087901238</v>
      </c>
      <c r="M109" s="35">
        <f t="shared" si="32"/>
        <v>16853.075087901238</v>
      </c>
      <c r="N109" s="35">
        <f t="shared" si="32"/>
        <v>16853.075087901238</v>
      </c>
      <c r="O109" s="35">
        <f t="shared" si="32"/>
        <v>16853.075087901238</v>
      </c>
      <c r="P109" s="35">
        <f t="shared" si="32"/>
        <v>16853.075087901238</v>
      </c>
      <c r="Q109" s="35">
        <f t="shared" si="32"/>
        <v>16853.075087901238</v>
      </c>
      <c r="R109" s="35">
        <f t="shared" si="32"/>
        <v>16853.075087901238</v>
      </c>
      <c r="S109" s="35">
        <f t="shared" si="19"/>
        <v>16853.075087901238</v>
      </c>
      <c r="T109" s="35">
        <f t="shared" si="31"/>
        <v>16853.075087901238</v>
      </c>
      <c r="U109" s="35">
        <f t="shared" si="16"/>
        <v>16853.075087901238</v>
      </c>
      <c r="V109" s="35">
        <f t="shared" si="31"/>
        <v>16853.075087901238</v>
      </c>
      <c r="W109" s="35">
        <f t="shared" si="16"/>
        <v>16853.075087901238</v>
      </c>
      <c r="X109" s="35">
        <f t="shared" si="31"/>
        <v>16853.075087901238</v>
      </c>
      <c r="Y109" s="35">
        <f t="shared" si="16"/>
        <v>16853.075087901238</v>
      </c>
      <c r="Z109" s="35">
        <f t="shared" si="31"/>
        <v>16853.075087901238</v>
      </c>
      <c r="AA109" s="35">
        <f t="shared" si="33"/>
        <v>404473.80210962991</v>
      </c>
      <c r="AB109" s="28">
        <f t="shared" si="24"/>
        <v>31</v>
      </c>
      <c r="AC109" s="29">
        <v>12538687.865398522</v>
      </c>
      <c r="AD109" s="37"/>
      <c r="AE109"/>
    </row>
    <row r="110" spans="1:31" ht="15">
      <c r="A110" s="23">
        <f t="shared" si="22"/>
        <v>2034</v>
      </c>
      <c r="B110" s="27">
        <v>49188</v>
      </c>
      <c r="C110" s="35">
        <f t="shared" si="32"/>
        <v>17525.118098653926</v>
      </c>
      <c r="D110" s="35">
        <f t="shared" si="32"/>
        <v>17525.118098653926</v>
      </c>
      <c r="E110" s="35">
        <f t="shared" si="32"/>
        <v>17525.118098653926</v>
      </c>
      <c r="F110" s="35">
        <f t="shared" si="32"/>
        <v>17525.118098653926</v>
      </c>
      <c r="G110" s="35">
        <f t="shared" si="32"/>
        <v>17525.118098653926</v>
      </c>
      <c r="H110" s="35">
        <f t="shared" si="32"/>
        <v>17525.118098653926</v>
      </c>
      <c r="I110" s="35">
        <f t="shared" si="32"/>
        <v>17525.118098653926</v>
      </c>
      <c r="J110" s="35">
        <f t="shared" si="32"/>
        <v>17525.118098653926</v>
      </c>
      <c r="K110" s="35">
        <f t="shared" si="32"/>
        <v>17525.118098653926</v>
      </c>
      <c r="L110" s="35">
        <f t="shared" si="32"/>
        <v>17525.118098653926</v>
      </c>
      <c r="M110" s="35">
        <f t="shared" si="32"/>
        <v>17525.118098653926</v>
      </c>
      <c r="N110" s="35">
        <f t="shared" si="32"/>
        <v>17525.118098653926</v>
      </c>
      <c r="O110" s="35">
        <f t="shared" si="32"/>
        <v>17525.118098653926</v>
      </c>
      <c r="P110" s="35">
        <f t="shared" si="32"/>
        <v>17525.118098653926</v>
      </c>
      <c r="Q110" s="35">
        <f t="shared" si="32"/>
        <v>17525.118098653926</v>
      </c>
      <c r="R110" s="35">
        <f t="shared" si="32"/>
        <v>17525.118098653926</v>
      </c>
      <c r="S110" s="35">
        <f t="shared" si="19"/>
        <v>17525.118098653926</v>
      </c>
      <c r="T110" s="35">
        <f t="shared" si="31"/>
        <v>17525.118098653926</v>
      </c>
      <c r="U110" s="35">
        <f t="shared" si="16"/>
        <v>17525.118098653926</v>
      </c>
      <c r="V110" s="35">
        <f t="shared" si="31"/>
        <v>17525.118098653926</v>
      </c>
      <c r="W110" s="35">
        <f t="shared" si="16"/>
        <v>17525.118098653926</v>
      </c>
      <c r="X110" s="35">
        <f t="shared" si="31"/>
        <v>17525.118098653926</v>
      </c>
      <c r="Y110" s="35">
        <f t="shared" si="16"/>
        <v>17525.118098653926</v>
      </c>
      <c r="Z110" s="35">
        <f t="shared" si="31"/>
        <v>17525.118098653926</v>
      </c>
      <c r="AA110" s="35">
        <f t="shared" si="33"/>
        <v>420602.83436769398</v>
      </c>
      <c r="AB110" s="28">
        <f t="shared" si="24"/>
        <v>30</v>
      </c>
      <c r="AC110" s="29">
        <v>12618085.031030826</v>
      </c>
      <c r="AD110" s="37"/>
      <c r="AE110"/>
    </row>
    <row r="111" spans="1:31" ht="15">
      <c r="A111" s="23">
        <f t="shared" si="22"/>
        <v>2034</v>
      </c>
      <c r="B111" s="27">
        <v>49218</v>
      </c>
      <c r="C111" s="35">
        <f t="shared" si="32"/>
        <v>16853.075087901238</v>
      </c>
      <c r="D111" s="35">
        <f t="shared" si="32"/>
        <v>16853.075087901238</v>
      </c>
      <c r="E111" s="35">
        <f t="shared" si="32"/>
        <v>16853.075087901238</v>
      </c>
      <c r="F111" s="35">
        <f t="shared" si="32"/>
        <v>16853.075087901238</v>
      </c>
      <c r="G111" s="35">
        <f t="shared" si="32"/>
        <v>16853.075087901238</v>
      </c>
      <c r="H111" s="35">
        <f t="shared" si="32"/>
        <v>16853.075087901238</v>
      </c>
      <c r="I111" s="35">
        <f t="shared" si="32"/>
        <v>16853.075087901238</v>
      </c>
      <c r="J111" s="35">
        <f t="shared" si="32"/>
        <v>16853.075087901238</v>
      </c>
      <c r="K111" s="35">
        <f t="shared" si="32"/>
        <v>16853.075087901238</v>
      </c>
      <c r="L111" s="35">
        <f t="shared" si="32"/>
        <v>16853.075087901238</v>
      </c>
      <c r="M111" s="35">
        <f t="shared" si="32"/>
        <v>16853.075087901238</v>
      </c>
      <c r="N111" s="35">
        <f t="shared" si="32"/>
        <v>16853.075087901238</v>
      </c>
      <c r="O111" s="35">
        <f t="shared" si="32"/>
        <v>16853.075087901238</v>
      </c>
      <c r="P111" s="35">
        <f t="shared" si="32"/>
        <v>16853.075087901238</v>
      </c>
      <c r="Q111" s="35">
        <f t="shared" si="32"/>
        <v>16853.075087901238</v>
      </c>
      <c r="R111" s="35">
        <f t="shared" si="32"/>
        <v>16853.075087901238</v>
      </c>
      <c r="S111" s="35">
        <f t="shared" si="19"/>
        <v>16853.075087901238</v>
      </c>
      <c r="T111" s="35">
        <f t="shared" si="31"/>
        <v>16853.075087901238</v>
      </c>
      <c r="U111" s="35">
        <f t="shared" si="16"/>
        <v>16853.075087901238</v>
      </c>
      <c r="V111" s="35">
        <f t="shared" si="31"/>
        <v>16853.075087901238</v>
      </c>
      <c r="W111" s="35">
        <f t="shared" si="16"/>
        <v>16853.075087901238</v>
      </c>
      <c r="X111" s="35">
        <f t="shared" si="31"/>
        <v>16853.075087901238</v>
      </c>
      <c r="Y111" s="35">
        <f t="shared" si="16"/>
        <v>16853.075087901238</v>
      </c>
      <c r="Z111" s="35">
        <f t="shared" si="31"/>
        <v>16853.075087901238</v>
      </c>
      <c r="AA111" s="35">
        <f t="shared" si="33"/>
        <v>404473.80210962991</v>
      </c>
      <c r="AB111" s="28">
        <f t="shared" si="24"/>
        <v>31</v>
      </c>
      <c r="AC111" s="29">
        <v>12538687.865398522</v>
      </c>
      <c r="AD111" s="37"/>
      <c r="AE111"/>
    </row>
    <row r="112" spans="1:31" ht="15">
      <c r="A112" s="23">
        <f t="shared" si="22"/>
        <v>2034</v>
      </c>
      <c r="B112" s="27">
        <v>49249</v>
      </c>
      <c r="C112" s="35">
        <f t="shared" si="32"/>
        <v>17525.118098653926</v>
      </c>
      <c r="D112" s="35">
        <f t="shared" si="32"/>
        <v>17525.118098653926</v>
      </c>
      <c r="E112" s="35">
        <f t="shared" si="32"/>
        <v>17525.118098653926</v>
      </c>
      <c r="F112" s="35">
        <f t="shared" si="32"/>
        <v>17525.118098653926</v>
      </c>
      <c r="G112" s="35">
        <f t="shared" si="32"/>
        <v>17525.118098653926</v>
      </c>
      <c r="H112" s="35">
        <f t="shared" si="32"/>
        <v>17525.118098653926</v>
      </c>
      <c r="I112" s="35">
        <f t="shared" si="32"/>
        <v>17525.118098653926</v>
      </c>
      <c r="J112" s="35">
        <f t="shared" si="32"/>
        <v>17525.118098653926</v>
      </c>
      <c r="K112" s="35">
        <f t="shared" si="32"/>
        <v>17525.118098653926</v>
      </c>
      <c r="L112" s="35">
        <f t="shared" si="32"/>
        <v>17525.118098653926</v>
      </c>
      <c r="M112" s="35">
        <f t="shared" si="32"/>
        <v>17525.118098653926</v>
      </c>
      <c r="N112" s="35">
        <f t="shared" si="32"/>
        <v>17525.118098653926</v>
      </c>
      <c r="O112" s="35">
        <f t="shared" si="32"/>
        <v>17525.118098653926</v>
      </c>
      <c r="P112" s="35">
        <f t="shared" si="32"/>
        <v>17525.118098653926</v>
      </c>
      <c r="Q112" s="35">
        <f t="shared" si="32"/>
        <v>17525.118098653926</v>
      </c>
      <c r="R112" s="35">
        <f t="shared" si="32"/>
        <v>17525.118098653926</v>
      </c>
      <c r="S112" s="35">
        <f t="shared" si="19"/>
        <v>17525.118098653926</v>
      </c>
      <c r="T112" s="35">
        <f t="shared" si="31"/>
        <v>17525.118098653926</v>
      </c>
      <c r="U112" s="35">
        <f t="shared" si="16"/>
        <v>17525.118098653926</v>
      </c>
      <c r="V112" s="35">
        <f t="shared" si="31"/>
        <v>17525.118098653926</v>
      </c>
      <c r="W112" s="35">
        <f t="shared" si="16"/>
        <v>17525.118098653926</v>
      </c>
      <c r="X112" s="35">
        <f t="shared" si="31"/>
        <v>17525.118098653926</v>
      </c>
      <c r="Y112" s="35">
        <f t="shared" si="16"/>
        <v>17525.118098653926</v>
      </c>
      <c r="Z112" s="35">
        <f t="shared" si="31"/>
        <v>17525.118098653926</v>
      </c>
      <c r="AA112" s="35">
        <f t="shared" si="33"/>
        <v>420602.83436769398</v>
      </c>
      <c r="AB112" s="28">
        <f t="shared" si="24"/>
        <v>30</v>
      </c>
      <c r="AC112" s="29">
        <v>12618085.031030826</v>
      </c>
      <c r="AD112" s="37"/>
      <c r="AE112"/>
    </row>
    <row r="113" spans="1:31" ht="15">
      <c r="A113" s="23">
        <f t="shared" si="22"/>
        <v>2034</v>
      </c>
      <c r="B113" s="27">
        <v>49279</v>
      </c>
      <c r="C113" s="35">
        <f t="shared" si="32"/>
        <v>16853.075087901238</v>
      </c>
      <c r="D113" s="35">
        <f t="shared" si="32"/>
        <v>16853.075087901238</v>
      </c>
      <c r="E113" s="35">
        <f t="shared" si="32"/>
        <v>16853.075087901238</v>
      </c>
      <c r="F113" s="35">
        <f t="shared" si="32"/>
        <v>16853.075087901238</v>
      </c>
      <c r="G113" s="35">
        <f t="shared" si="32"/>
        <v>16853.075087901238</v>
      </c>
      <c r="H113" s="35">
        <f t="shared" si="32"/>
        <v>16853.075087901238</v>
      </c>
      <c r="I113" s="35">
        <f t="shared" si="32"/>
        <v>16853.075087901238</v>
      </c>
      <c r="J113" s="35">
        <f t="shared" si="32"/>
        <v>16853.075087901238</v>
      </c>
      <c r="K113" s="35">
        <f t="shared" si="32"/>
        <v>16853.075087901238</v>
      </c>
      <c r="L113" s="35">
        <f t="shared" si="32"/>
        <v>16853.075087901238</v>
      </c>
      <c r="M113" s="35">
        <f t="shared" si="32"/>
        <v>16853.075087901238</v>
      </c>
      <c r="N113" s="35">
        <f t="shared" si="32"/>
        <v>16853.075087901238</v>
      </c>
      <c r="O113" s="35">
        <f t="shared" si="32"/>
        <v>16853.075087901238</v>
      </c>
      <c r="P113" s="35">
        <f t="shared" si="32"/>
        <v>16853.075087901238</v>
      </c>
      <c r="Q113" s="35">
        <f t="shared" si="32"/>
        <v>16853.075087901238</v>
      </c>
      <c r="R113" s="35">
        <f t="shared" si="32"/>
        <v>16853.075087901238</v>
      </c>
      <c r="S113" s="35">
        <f t="shared" si="19"/>
        <v>16853.075087901238</v>
      </c>
      <c r="T113" s="35">
        <f t="shared" si="31"/>
        <v>16853.075087901238</v>
      </c>
      <c r="U113" s="35">
        <f t="shared" si="16"/>
        <v>16853.075087901238</v>
      </c>
      <c r="V113" s="35">
        <f t="shared" si="31"/>
        <v>16853.075087901238</v>
      </c>
      <c r="W113" s="35">
        <f t="shared" si="16"/>
        <v>16853.075087901238</v>
      </c>
      <c r="X113" s="35">
        <f t="shared" si="31"/>
        <v>16853.075087901238</v>
      </c>
      <c r="Y113" s="35">
        <f t="shared" si="16"/>
        <v>16853.075087901238</v>
      </c>
      <c r="Z113" s="35">
        <f t="shared" si="31"/>
        <v>16853.075087901238</v>
      </c>
      <c r="AA113" s="35">
        <f t="shared" si="33"/>
        <v>404473.80210962991</v>
      </c>
      <c r="AB113" s="28">
        <f t="shared" si="24"/>
        <v>31</v>
      </c>
      <c r="AC113" s="29">
        <v>12538687.865398521</v>
      </c>
      <c r="AD113" s="37"/>
      <c r="AE113"/>
    </row>
    <row r="114" spans="1:31" ht="15">
      <c r="A114" s="23">
        <f t="shared" si="22"/>
        <v>2035</v>
      </c>
      <c r="B114" s="27">
        <v>49310</v>
      </c>
      <c r="C114" s="35">
        <f t="shared" si="32"/>
        <v>16853.075087901238</v>
      </c>
      <c r="D114" s="35">
        <f t="shared" si="32"/>
        <v>16853.075087901238</v>
      </c>
      <c r="E114" s="35">
        <f t="shared" si="32"/>
        <v>16853.075087901238</v>
      </c>
      <c r="F114" s="35">
        <f t="shared" si="32"/>
        <v>16853.075087901238</v>
      </c>
      <c r="G114" s="35">
        <f t="shared" si="32"/>
        <v>16853.075087901238</v>
      </c>
      <c r="H114" s="35">
        <f t="shared" si="32"/>
        <v>16853.075087901238</v>
      </c>
      <c r="I114" s="35">
        <f t="shared" si="32"/>
        <v>16853.075087901238</v>
      </c>
      <c r="J114" s="35">
        <f t="shared" si="32"/>
        <v>16853.075087901238</v>
      </c>
      <c r="K114" s="35">
        <f t="shared" si="32"/>
        <v>16853.075087901238</v>
      </c>
      <c r="L114" s="35">
        <f t="shared" si="32"/>
        <v>16853.075087901238</v>
      </c>
      <c r="M114" s="35">
        <f t="shared" si="32"/>
        <v>16853.075087901238</v>
      </c>
      <c r="N114" s="35">
        <f t="shared" si="32"/>
        <v>16853.075087901238</v>
      </c>
      <c r="O114" s="35">
        <f t="shared" si="32"/>
        <v>16853.075087901238</v>
      </c>
      <c r="P114" s="35">
        <f t="shared" si="32"/>
        <v>16853.075087901238</v>
      </c>
      <c r="Q114" s="35">
        <f t="shared" si="32"/>
        <v>16853.075087901238</v>
      </c>
      <c r="R114" s="35">
        <f t="shared" si="32"/>
        <v>16853.075087901238</v>
      </c>
      <c r="S114" s="35">
        <f t="shared" si="19"/>
        <v>16853.075087901238</v>
      </c>
      <c r="T114" s="35">
        <f t="shared" si="31"/>
        <v>16853.075087901238</v>
      </c>
      <c r="U114" s="35">
        <f t="shared" si="16"/>
        <v>16853.075087901238</v>
      </c>
      <c r="V114" s="35">
        <f t="shared" si="31"/>
        <v>16853.075087901238</v>
      </c>
      <c r="W114" s="35">
        <f t="shared" si="16"/>
        <v>16853.075087901238</v>
      </c>
      <c r="X114" s="35">
        <f t="shared" si="31"/>
        <v>16853.075087901238</v>
      </c>
      <c r="Y114" s="35">
        <f t="shared" si="16"/>
        <v>16853.075087901238</v>
      </c>
      <c r="Z114" s="35">
        <f t="shared" si="31"/>
        <v>16853.075087901238</v>
      </c>
      <c r="AA114" s="35">
        <f t="shared" si="33"/>
        <v>404473.80210962991</v>
      </c>
      <c r="AB114" s="28">
        <f t="shared" si="24"/>
        <v>31</v>
      </c>
      <c r="AC114" s="29">
        <v>12538687.865398522</v>
      </c>
      <c r="AD114" s="37"/>
      <c r="AE114"/>
    </row>
    <row r="115" spans="1:31" ht="15">
      <c r="A115" s="23">
        <f t="shared" si="22"/>
        <v>2035</v>
      </c>
      <c r="B115" s="27">
        <v>49341</v>
      </c>
      <c r="C115" s="35">
        <f t="shared" si="32"/>
        <v>19013.213336749162</v>
      </c>
      <c r="D115" s="35">
        <f t="shared" si="32"/>
        <v>19013.213336749162</v>
      </c>
      <c r="E115" s="35">
        <f t="shared" si="32"/>
        <v>19013.213336749162</v>
      </c>
      <c r="F115" s="35">
        <f t="shared" si="32"/>
        <v>19013.213336749162</v>
      </c>
      <c r="G115" s="35">
        <f t="shared" si="32"/>
        <v>19013.213336749162</v>
      </c>
      <c r="H115" s="35">
        <f t="shared" si="32"/>
        <v>19013.213336749162</v>
      </c>
      <c r="I115" s="35">
        <f t="shared" si="32"/>
        <v>19013.213336749162</v>
      </c>
      <c r="J115" s="35">
        <f t="shared" si="32"/>
        <v>19013.213336749162</v>
      </c>
      <c r="K115" s="35">
        <f t="shared" si="32"/>
        <v>19013.213336749162</v>
      </c>
      <c r="L115" s="35">
        <f t="shared" si="32"/>
        <v>19013.213336749162</v>
      </c>
      <c r="M115" s="35">
        <f t="shared" si="32"/>
        <v>19013.213336749162</v>
      </c>
      <c r="N115" s="35">
        <f t="shared" si="32"/>
        <v>19013.213336749162</v>
      </c>
      <c r="O115" s="35">
        <f t="shared" si="32"/>
        <v>19013.213336749162</v>
      </c>
      <c r="P115" s="35">
        <f t="shared" si="32"/>
        <v>19013.213336749162</v>
      </c>
      <c r="Q115" s="35">
        <f t="shared" si="32"/>
        <v>19013.213336749162</v>
      </c>
      <c r="R115" s="35">
        <f t="shared" si="32"/>
        <v>19013.213336749162</v>
      </c>
      <c r="S115" s="35">
        <f t="shared" si="19"/>
        <v>19013.213336749162</v>
      </c>
      <c r="T115" s="35">
        <f t="shared" si="31"/>
        <v>19013.213336749162</v>
      </c>
      <c r="U115" s="35">
        <f t="shared" si="16"/>
        <v>19013.213336749162</v>
      </c>
      <c r="V115" s="35">
        <f t="shared" si="31"/>
        <v>19013.213336749162</v>
      </c>
      <c r="W115" s="35">
        <f t="shared" si="16"/>
        <v>19013.213336749162</v>
      </c>
      <c r="X115" s="35">
        <f t="shared" si="31"/>
        <v>19013.213336749162</v>
      </c>
      <c r="Y115" s="35">
        <f t="shared" si="16"/>
        <v>19013.213336749162</v>
      </c>
      <c r="Z115" s="35">
        <f t="shared" si="31"/>
        <v>19013.213336749162</v>
      </c>
      <c r="AA115" s="35">
        <f t="shared" ref="AA115:AA125" si="34">SUM(C115:Z115)</f>
        <v>456317.12008198013</v>
      </c>
      <c r="AB115" s="28">
        <f t="shared" si="24"/>
        <v>28</v>
      </c>
      <c r="AC115" s="29">
        <v>12776879.362295438</v>
      </c>
      <c r="AD115" s="37"/>
      <c r="AE115"/>
    </row>
    <row r="116" spans="1:31" ht="15">
      <c r="A116" s="23">
        <f t="shared" si="22"/>
        <v>2035</v>
      </c>
      <c r="B116" s="27">
        <v>49369</v>
      </c>
      <c r="C116" s="35">
        <f t="shared" si="32"/>
        <v>16853.075087901238</v>
      </c>
      <c r="D116" s="35">
        <f t="shared" si="32"/>
        <v>16853.075087901238</v>
      </c>
      <c r="E116" s="35">
        <f t="shared" si="32"/>
        <v>16853.075087901238</v>
      </c>
      <c r="F116" s="35">
        <f t="shared" si="32"/>
        <v>16853.075087901238</v>
      </c>
      <c r="G116" s="35">
        <f t="shared" si="32"/>
        <v>16853.075087901238</v>
      </c>
      <c r="H116" s="35">
        <f t="shared" si="32"/>
        <v>16853.075087901238</v>
      </c>
      <c r="I116" s="35">
        <f t="shared" si="32"/>
        <v>16853.075087901238</v>
      </c>
      <c r="J116" s="35">
        <f t="shared" si="32"/>
        <v>16853.075087901238</v>
      </c>
      <c r="K116" s="35">
        <f t="shared" si="32"/>
        <v>16853.075087901238</v>
      </c>
      <c r="L116" s="35">
        <f t="shared" si="32"/>
        <v>16853.075087901238</v>
      </c>
      <c r="M116" s="35">
        <f t="shared" si="32"/>
        <v>16853.075087901238</v>
      </c>
      <c r="N116" s="35">
        <f t="shared" si="32"/>
        <v>16853.075087901238</v>
      </c>
      <c r="O116" s="35">
        <f t="shared" si="32"/>
        <v>16853.075087901238</v>
      </c>
      <c r="P116" s="35">
        <f t="shared" si="32"/>
        <v>16853.075087901238</v>
      </c>
      <c r="Q116" s="35">
        <f t="shared" si="32"/>
        <v>16853.075087901238</v>
      </c>
      <c r="R116" s="35">
        <f t="shared" si="32"/>
        <v>16853.075087901238</v>
      </c>
      <c r="S116" s="35">
        <f t="shared" si="19"/>
        <v>16853.075087901238</v>
      </c>
      <c r="T116" s="35">
        <f t="shared" si="31"/>
        <v>16853.075087901238</v>
      </c>
      <c r="U116" s="35">
        <f t="shared" si="16"/>
        <v>16853.075087901238</v>
      </c>
      <c r="V116" s="35">
        <f t="shared" si="31"/>
        <v>16853.075087901238</v>
      </c>
      <c r="W116" s="35">
        <f t="shared" si="16"/>
        <v>16853.075087901238</v>
      </c>
      <c r="X116" s="35">
        <f t="shared" si="31"/>
        <v>16853.075087901238</v>
      </c>
      <c r="Y116" s="35">
        <f t="shared" si="16"/>
        <v>16853.075087901238</v>
      </c>
      <c r="Z116" s="35">
        <f t="shared" si="31"/>
        <v>16853.075087901238</v>
      </c>
      <c r="AA116" s="35">
        <f t="shared" si="34"/>
        <v>404473.80210962991</v>
      </c>
      <c r="AB116" s="28">
        <f t="shared" si="24"/>
        <v>31</v>
      </c>
      <c r="AC116" s="29">
        <v>12538687.865398522</v>
      </c>
      <c r="AD116" s="37"/>
      <c r="AE116"/>
    </row>
    <row r="117" spans="1:31" ht="15">
      <c r="A117" s="23">
        <f t="shared" si="22"/>
        <v>2035</v>
      </c>
      <c r="B117" s="27">
        <v>49400</v>
      </c>
      <c r="C117" s="35">
        <f t="shared" si="32"/>
        <v>17525.118098653926</v>
      </c>
      <c r="D117" s="35">
        <f t="shared" si="32"/>
        <v>17525.118098653926</v>
      </c>
      <c r="E117" s="35">
        <f t="shared" si="32"/>
        <v>17525.118098653926</v>
      </c>
      <c r="F117" s="35">
        <f t="shared" si="32"/>
        <v>17525.118098653926</v>
      </c>
      <c r="G117" s="35">
        <f t="shared" si="32"/>
        <v>17525.118098653926</v>
      </c>
      <c r="H117" s="35">
        <f t="shared" si="32"/>
        <v>17525.118098653926</v>
      </c>
      <c r="I117" s="35">
        <f t="shared" si="32"/>
        <v>17525.118098653926</v>
      </c>
      <c r="J117" s="35">
        <f t="shared" si="32"/>
        <v>17525.118098653926</v>
      </c>
      <c r="K117" s="35">
        <f t="shared" si="32"/>
        <v>17525.118098653926</v>
      </c>
      <c r="L117" s="35">
        <f t="shared" si="32"/>
        <v>17525.118098653926</v>
      </c>
      <c r="M117" s="35">
        <f t="shared" si="32"/>
        <v>17525.118098653926</v>
      </c>
      <c r="N117" s="35">
        <f t="shared" si="32"/>
        <v>17525.118098653926</v>
      </c>
      <c r="O117" s="35">
        <f t="shared" si="32"/>
        <v>17525.118098653926</v>
      </c>
      <c r="P117" s="35">
        <f t="shared" si="32"/>
        <v>17525.118098653926</v>
      </c>
      <c r="Q117" s="35">
        <f t="shared" si="32"/>
        <v>17525.118098653926</v>
      </c>
      <c r="R117" s="35">
        <f t="shared" si="32"/>
        <v>17525.118098653926</v>
      </c>
      <c r="S117" s="35">
        <f t="shared" si="19"/>
        <v>17525.118098653926</v>
      </c>
      <c r="T117" s="35">
        <f t="shared" si="31"/>
        <v>17525.118098653926</v>
      </c>
      <c r="U117" s="35">
        <f t="shared" si="16"/>
        <v>17525.118098653926</v>
      </c>
      <c r="V117" s="35">
        <f t="shared" si="31"/>
        <v>17525.118098653926</v>
      </c>
      <c r="W117" s="35">
        <f t="shared" si="16"/>
        <v>17525.118098653926</v>
      </c>
      <c r="X117" s="35">
        <f t="shared" si="31"/>
        <v>17525.118098653926</v>
      </c>
      <c r="Y117" s="35">
        <f t="shared" si="16"/>
        <v>17525.118098653926</v>
      </c>
      <c r="Z117" s="35">
        <f t="shared" si="31"/>
        <v>17525.118098653926</v>
      </c>
      <c r="AA117" s="35">
        <f t="shared" si="34"/>
        <v>420602.83436769398</v>
      </c>
      <c r="AB117" s="28">
        <f t="shared" si="24"/>
        <v>30</v>
      </c>
      <c r="AC117" s="29">
        <v>12618085.031030826</v>
      </c>
      <c r="AD117" s="37"/>
      <c r="AE117"/>
    </row>
    <row r="118" spans="1:31" ht="15">
      <c r="A118" s="23">
        <f t="shared" si="22"/>
        <v>2035</v>
      </c>
      <c r="B118" s="27">
        <v>49430</v>
      </c>
      <c r="C118" s="35">
        <f t="shared" si="32"/>
        <v>16853.075087901238</v>
      </c>
      <c r="D118" s="35">
        <f t="shared" si="32"/>
        <v>16853.075087901238</v>
      </c>
      <c r="E118" s="35">
        <f t="shared" si="32"/>
        <v>16853.075087901238</v>
      </c>
      <c r="F118" s="35">
        <f t="shared" si="32"/>
        <v>16853.075087901238</v>
      </c>
      <c r="G118" s="35">
        <f t="shared" si="32"/>
        <v>16853.075087901238</v>
      </c>
      <c r="H118" s="35">
        <f t="shared" si="32"/>
        <v>16853.075087901238</v>
      </c>
      <c r="I118" s="35">
        <f t="shared" si="32"/>
        <v>16853.075087901238</v>
      </c>
      <c r="J118" s="35">
        <f t="shared" si="32"/>
        <v>16853.075087901238</v>
      </c>
      <c r="K118" s="35">
        <f t="shared" si="32"/>
        <v>16853.075087901238</v>
      </c>
      <c r="L118" s="35">
        <f t="shared" si="32"/>
        <v>16853.075087901238</v>
      </c>
      <c r="M118" s="35">
        <f t="shared" si="32"/>
        <v>16853.075087901238</v>
      </c>
      <c r="N118" s="35">
        <f t="shared" si="32"/>
        <v>16853.075087901238</v>
      </c>
      <c r="O118" s="35">
        <f t="shared" si="32"/>
        <v>16853.075087901238</v>
      </c>
      <c r="P118" s="35">
        <f t="shared" si="32"/>
        <v>16853.075087901238</v>
      </c>
      <c r="Q118" s="35">
        <f t="shared" si="32"/>
        <v>16853.075087901238</v>
      </c>
      <c r="R118" s="35">
        <f t="shared" ref="R118:Z125" si="35">($AC118/$AB118)/24</f>
        <v>16853.075087901238</v>
      </c>
      <c r="S118" s="35">
        <f t="shared" si="19"/>
        <v>16853.075087901238</v>
      </c>
      <c r="T118" s="35">
        <f t="shared" si="35"/>
        <v>16853.075087901238</v>
      </c>
      <c r="U118" s="35">
        <f t="shared" si="35"/>
        <v>16853.075087901238</v>
      </c>
      <c r="V118" s="35">
        <f t="shared" si="35"/>
        <v>16853.075087901238</v>
      </c>
      <c r="W118" s="35">
        <f t="shared" si="35"/>
        <v>16853.075087901238</v>
      </c>
      <c r="X118" s="35">
        <f t="shared" si="35"/>
        <v>16853.075087901238</v>
      </c>
      <c r="Y118" s="35">
        <f t="shared" si="35"/>
        <v>16853.075087901238</v>
      </c>
      <c r="Z118" s="35">
        <f t="shared" si="35"/>
        <v>16853.075087901238</v>
      </c>
      <c r="AA118" s="35">
        <f t="shared" si="34"/>
        <v>404473.80210962991</v>
      </c>
      <c r="AB118" s="28">
        <f t="shared" si="24"/>
        <v>31</v>
      </c>
      <c r="AC118" s="29">
        <v>12538687.865398522</v>
      </c>
      <c r="AD118" s="37"/>
      <c r="AE118"/>
    </row>
    <row r="119" spans="1:31" ht="15">
      <c r="A119" s="23">
        <f t="shared" si="22"/>
        <v>2035</v>
      </c>
      <c r="B119" s="27">
        <v>49461</v>
      </c>
      <c r="C119" s="35">
        <f t="shared" ref="C119:R125" si="36">($AC119/$AB119)/24</f>
        <v>17525.118098653926</v>
      </c>
      <c r="D119" s="35">
        <f t="shared" si="36"/>
        <v>17525.118098653926</v>
      </c>
      <c r="E119" s="35">
        <f t="shared" si="36"/>
        <v>17525.118098653926</v>
      </c>
      <c r="F119" s="35">
        <f t="shared" si="36"/>
        <v>17525.118098653926</v>
      </c>
      <c r="G119" s="35">
        <f t="shared" si="36"/>
        <v>17525.118098653926</v>
      </c>
      <c r="H119" s="35">
        <f t="shared" si="36"/>
        <v>17525.118098653926</v>
      </c>
      <c r="I119" s="35">
        <f t="shared" si="36"/>
        <v>17525.118098653926</v>
      </c>
      <c r="J119" s="35">
        <f t="shared" si="36"/>
        <v>17525.118098653926</v>
      </c>
      <c r="K119" s="35">
        <f t="shared" si="36"/>
        <v>17525.118098653926</v>
      </c>
      <c r="L119" s="35">
        <f t="shared" si="36"/>
        <v>17525.118098653926</v>
      </c>
      <c r="M119" s="35">
        <f t="shared" si="36"/>
        <v>17525.118098653926</v>
      </c>
      <c r="N119" s="35">
        <f t="shared" si="36"/>
        <v>17525.118098653926</v>
      </c>
      <c r="O119" s="35">
        <f t="shared" si="36"/>
        <v>17525.118098653926</v>
      </c>
      <c r="P119" s="35">
        <f t="shared" si="36"/>
        <v>17525.118098653926</v>
      </c>
      <c r="Q119" s="35">
        <f t="shared" si="36"/>
        <v>17525.118098653926</v>
      </c>
      <c r="R119" s="35">
        <f t="shared" si="36"/>
        <v>17525.118098653926</v>
      </c>
      <c r="S119" s="35">
        <f t="shared" si="19"/>
        <v>17525.118098653926</v>
      </c>
      <c r="T119" s="35">
        <f t="shared" si="35"/>
        <v>17525.118098653926</v>
      </c>
      <c r="U119" s="35">
        <f t="shared" si="35"/>
        <v>17525.118098653926</v>
      </c>
      <c r="V119" s="35">
        <f t="shared" si="35"/>
        <v>17525.118098653926</v>
      </c>
      <c r="W119" s="35">
        <f t="shared" si="35"/>
        <v>17525.118098653926</v>
      </c>
      <c r="X119" s="35">
        <f t="shared" si="35"/>
        <v>17525.118098653926</v>
      </c>
      <c r="Y119" s="35">
        <f t="shared" si="35"/>
        <v>17525.118098653926</v>
      </c>
      <c r="Z119" s="35">
        <f t="shared" si="35"/>
        <v>17525.118098653926</v>
      </c>
      <c r="AA119" s="35">
        <f t="shared" si="34"/>
        <v>420602.83436769398</v>
      </c>
      <c r="AB119" s="28">
        <f t="shared" si="24"/>
        <v>30</v>
      </c>
      <c r="AC119" s="29">
        <v>12618085.031030826</v>
      </c>
      <c r="AD119" s="37"/>
      <c r="AE119"/>
    </row>
    <row r="120" spans="1:31" ht="15">
      <c r="A120" s="23">
        <f t="shared" si="22"/>
        <v>2035</v>
      </c>
      <c r="B120" s="27">
        <v>49491</v>
      </c>
      <c r="C120" s="35">
        <f t="shared" si="36"/>
        <v>16853.075087901238</v>
      </c>
      <c r="D120" s="35">
        <f t="shared" si="36"/>
        <v>16853.075087901238</v>
      </c>
      <c r="E120" s="35">
        <f t="shared" si="36"/>
        <v>16853.075087901238</v>
      </c>
      <c r="F120" s="35">
        <f t="shared" si="36"/>
        <v>16853.075087901238</v>
      </c>
      <c r="G120" s="35">
        <f t="shared" si="36"/>
        <v>16853.075087901238</v>
      </c>
      <c r="H120" s="35">
        <f t="shared" si="36"/>
        <v>16853.075087901238</v>
      </c>
      <c r="I120" s="35">
        <f t="shared" si="36"/>
        <v>16853.075087901238</v>
      </c>
      <c r="J120" s="35">
        <f t="shared" si="36"/>
        <v>16853.075087901238</v>
      </c>
      <c r="K120" s="35">
        <f t="shared" si="36"/>
        <v>16853.075087901238</v>
      </c>
      <c r="L120" s="35">
        <f t="shared" si="36"/>
        <v>16853.075087901238</v>
      </c>
      <c r="M120" s="35">
        <f t="shared" si="36"/>
        <v>16853.075087901238</v>
      </c>
      <c r="N120" s="35">
        <f t="shared" si="36"/>
        <v>16853.075087901238</v>
      </c>
      <c r="O120" s="35">
        <f t="shared" si="36"/>
        <v>16853.075087901238</v>
      </c>
      <c r="P120" s="35">
        <f t="shared" si="36"/>
        <v>16853.075087901238</v>
      </c>
      <c r="Q120" s="35">
        <f t="shared" si="36"/>
        <v>16853.075087901238</v>
      </c>
      <c r="R120" s="35">
        <f t="shared" si="36"/>
        <v>16853.075087901238</v>
      </c>
      <c r="S120" s="35">
        <f t="shared" si="19"/>
        <v>16853.075087901238</v>
      </c>
      <c r="T120" s="35">
        <f t="shared" si="35"/>
        <v>16853.075087901238</v>
      </c>
      <c r="U120" s="35">
        <f t="shared" si="35"/>
        <v>16853.075087901238</v>
      </c>
      <c r="V120" s="35">
        <f t="shared" si="35"/>
        <v>16853.075087901238</v>
      </c>
      <c r="W120" s="35">
        <f t="shared" si="35"/>
        <v>16853.075087901238</v>
      </c>
      <c r="X120" s="35">
        <f t="shared" si="35"/>
        <v>16853.075087901238</v>
      </c>
      <c r="Y120" s="35">
        <f t="shared" si="35"/>
        <v>16853.075087901238</v>
      </c>
      <c r="Z120" s="35">
        <f t="shared" si="35"/>
        <v>16853.075087901238</v>
      </c>
      <c r="AA120" s="35">
        <f t="shared" si="34"/>
        <v>404473.80210962991</v>
      </c>
      <c r="AB120" s="28">
        <f t="shared" si="24"/>
        <v>31</v>
      </c>
      <c r="AC120" s="29">
        <v>12538687.865398522</v>
      </c>
      <c r="AD120" s="37"/>
      <c r="AE120"/>
    </row>
    <row r="121" spans="1:31" ht="15">
      <c r="A121" s="23">
        <f t="shared" si="22"/>
        <v>2035</v>
      </c>
      <c r="B121" s="27">
        <v>49522</v>
      </c>
      <c r="C121" s="35">
        <f t="shared" si="36"/>
        <v>16853.075087901238</v>
      </c>
      <c r="D121" s="35">
        <f t="shared" si="36"/>
        <v>16853.075087901238</v>
      </c>
      <c r="E121" s="35">
        <f t="shared" si="36"/>
        <v>16853.075087901238</v>
      </c>
      <c r="F121" s="35">
        <f t="shared" si="36"/>
        <v>16853.075087901238</v>
      </c>
      <c r="G121" s="35">
        <f t="shared" si="36"/>
        <v>16853.075087901238</v>
      </c>
      <c r="H121" s="35">
        <f t="shared" si="36"/>
        <v>16853.075087901238</v>
      </c>
      <c r="I121" s="35">
        <f t="shared" si="36"/>
        <v>16853.075087901238</v>
      </c>
      <c r="J121" s="35">
        <f t="shared" si="36"/>
        <v>16853.075087901238</v>
      </c>
      <c r="K121" s="35">
        <f t="shared" si="36"/>
        <v>16853.075087901238</v>
      </c>
      <c r="L121" s="35">
        <f t="shared" si="36"/>
        <v>16853.075087901238</v>
      </c>
      <c r="M121" s="35">
        <f t="shared" si="36"/>
        <v>16853.075087901238</v>
      </c>
      <c r="N121" s="35">
        <f t="shared" si="36"/>
        <v>16853.075087901238</v>
      </c>
      <c r="O121" s="35">
        <f t="shared" si="36"/>
        <v>16853.075087901238</v>
      </c>
      <c r="P121" s="35">
        <f t="shared" si="36"/>
        <v>16853.075087901238</v>
      </c>
      <c r="Q121" s="35">
        <f t="shared" si="36"/>
        <v>16853.075087901238</v>
      </c>
      <c r="R121" s="35">
        <f t="shared" si="36"/>
        <v>16853.075087901238</v>
      </c>
      <c r="S121" s="35">
        <f t="shared" si="19"/>
        <v>16853.075087901238</v>
      </c>
      <c r="T121" s="35">
        <f t="shared" si="35"/>
        <v>16853.075087901238</v>
      </c>
      <c r="U121" s="35">
        <f t="shared" si="35"/>
        <v>16853.075087901238</v>
      </c>
      <c r="V121" s="35">
        <f t="shared" si="35"/>
        <v>16853.075087901238</v>
      </c>
      <c r="W121" s="35">
        <f t="shared" si="35"/>
        <v>16853.075087901238</v>
      </c>
      <c r="X121" s="35">
        <f t="shared" si="35"/>
        <v>16853.075087901238</v>
      </c>
      <c r="Y121" s="35">
        <f t="shared" si="35"/>
        <v>16853.075087901238</v>
      </c>
      <c r="Z121" s="35">
        <f t="shared" si="35"/>
        <v>16853.075087901238</v>
      </c>
      <c r="AA121" s="35">
        <f t="shared" si="34"/>
        <v>404473.80210962991</v>
      </c>
      <c r="AB121" s="28">
        <f t="shared" si="24"/>
        <v>31</v>
      </c>
      <c r="AC121" s="29">
        <v>12538687.865398522</v>
      </c>
      <c r="AD121" s="37"/>
      <c r="AE121"/>
    </row>
    <row r="122" spans="1:31" ht="15">
      <c r="A122" s="23">
        <f t="shared" si="22"/>
        <v>2035</v>
      </c>
      <c r="B122" s="27">
        <v>49553</v>
      </c>
      <c r="C122" s="35">
        <f t="shared" si="36"/>
        <v>17525.118098653926</v>
      </c>
      <c r="D122" s="35">
        <f t="shared" si="36"/>
        <v>17525.118098653926</v>
      </c>
      <c r="E122" s="35">
        <f t="shared" si="36"/>
        <v>17525.118098653926</v>
      </c>
      <c r="F122" s="35">
        <f t="shared" si="36"/>
        <v>17525.118098653926</v>
      </c>
      <c r="G122" s="35">
        <f t="shared" si="36"/>
        <v>17525.118098653926</v>
      </c>
      <c r="H122" s="35">
        <f t="shared" si="36"/>
        <v>17525.118098653926</v>
      </c>
      <c r="I122" s="35">
        <f t="shared" si="36"/>
        <v>17525.118098653926</v>
      </c>
      <c r="J122" s="35">
        <f t="shared" si="36"/>
        <v>17525.118098653926</v>
      </c>
      <c r="K122" s="35">
        <f t="shared" si="36"/>
        <v>17525.118098653926</v>
      </c>
      <c r="L122" s="35">
        <f t="shared" si="36"/>
        <v>17525.118098653926</v>
      </c>
      <c r="M122" s="35">
        <f t="shared" si="36"/>
        <v>17525.118098653926</v>
      </c>
      <c r="N122" s="35">
        <f t="shared" si="36"/>
        <v>17525.118098653926</v>
      </c>
      <c r="O122" s="35">
        <f t="shared" si="36"/>
        <v>17525.118098653926</v>
      </c>
      <c r="P122" s="35">
        <f t="shared" si="36"/>
        <v>17525.118098653926</v>
      </c>
      <c r="Q122" s="35">
        <f t="shared" si="36"/>
        <v>17525.118098653926</v>
      </c>
      <c r="R122" s="35">
        <f t="shared" si="36"/>
        <v>17525.118098653926</v>
      </c>
      <c r="S122" s="35">
        <f t="shared" si="19"/>
        <v>17525.118098653926</v>
      </c>
      <c r="T122" s="35">
        <f t="shared" si="35"/>
        <v>17525.118098653926</v>
      </c>
      <c r="U122" s="35">
        <f t="shared" si="35"/>
        <v>17525.118098653926</v>
      </c>
      <c r="V122" s="35">
        <f t="shared" si="35"/>
        <v>17525.118098653926</v>
      </c>
      <c r="W122" s="35">
        <f t="shared" si="35"/>
        <v>17525.118098653926</v>
      </c>
      <c r="X122" s="35">
        <f t="shared" si="35"/>
        <v>17525.118098653926</v>
      </c>
      <c r="Y122" s="35">
        <f t="shared" si="35"/>
        <v>17525.118098653926</v>
      </c>
      <c r="Z122" s="35">
        <f t="shared" si="35"/>
        <v>17525.118098653926</v>
      </c>
      <c r="AA122" s="35">
        <f t="shared" si="34"/>
        <v>420602.83436769398</v>
      </c>
      <c r="AB122" s="28">
        <f t="shared" si="24"/>
        <v>30</v>
      </c>
      <c r="AC122" s="29">
        <v>12618085.031030826</v>
      </c>
      <c r="AD122" s="37"/>
      <c r="AE122"/>
    </row>
    <row r="123" spans="1:31" ht="15">
      <c r="A123" s="23">
        <f t="shared" si="22"/>
        <v>2035</v>
      </c>
      <c r="B123" s="27">
        <v>49583</v>
      </c>
      <c r="C123" s="35">
        <f t="shared" si="36"/>
        <v>16853.075087901241</v>
      </c>
      <c r="D123" s="35">
        <f t="shared" si="36"/>
        <v>16853.075087901241</v>
      </c>
      <c r="E123" s="35">
        <f t="shared" si="36"/>
        <v>16853.075087901241</v>
      </c>
      <c r="F123" s="35">
        <f t="shared" si="36"/>
        <v>16853.075087901241</v>
      </c>
      <c r="G123" s="35">
        <f t="shared" si="36"/>
        <v>16853.075087901241</v>
      </c>
      <c r="H123" s="35">
        <f t="shared" si="36"/>
        <v>16853.075087901241</v>
      </c>
      <c r="I123" s="35">
        <f t="shared" si="36"/>
        <v>16853.075087901241</v>
      </c>
      <c r="J123" s="35">
        <f t="shared" si="36"/>
        <v>16853.075087901241</v>
      </c>
      <c r="K123" s="35">
        <f t="shared" si="36"/>
        <v>16853.075087901241</v>
      </c>
      <c r="L123" s="35">
        <f t="shared" si="36"/>
        <v>16853.075087901241</v>
      </c>
      <c r="M123" s="35">
        <f t="shared" si="36"/>
        <v>16853.075087901241</v>
      </c>
      <c r="N123" s="35">
        <f t="shared" si="36"/>
        <v>16853.075087901241</v>
      </c>
      <c r="O123" s="35">
        <f t="shared" si="36"/>
        <v>16853.075087901241</v>
      </c>
      <c r="P123" s="35">
        <f t="shared" si="36"/>
        <v>16853.075087901241</v>
      </c>
      <c r="Q123" s="35">
        <f t="shared" si="36"/>
        <v>16853.075087901241</v>
      </c>
      <c r="R123" s="35">
        <f t="shared" si="36"/>
        <v>16853.075087901241</v>
      </c>
      <c r="S123" s="35">
        <f t="shared" si="19"/>
        <v>16853.075087901241</v>
      </c>
      <c r="T123" s="35">
        <f t="shared" si="35"/>
        <v>16853.075087901241</v>
      </c>
      <c r="U123" s="35">
        <f t="shared" si="35"/>
        <v>16853.075087901241</v>
      </c>
      <c r="V123" s="35">
        <f t="shared" si="35"/>
        <v>16853.075087901241</v>
      </c>
      <c r="W123" s="35">
        <f t="shared" si="35"/>
        <v>16853.075087901241</v>
      </c>
      <c r="X123" s="35">
        <f t="shared" si="35"/>
        <v>16853.075087901241</v>
      </c>
      <c r="Y123" s="35">
        <f t="shared" si="35"/>
        <v>16853.075087901241</v>
      </c>
      <c r="Z123" s="35">
        <f t="shared" si="35"/>
        <v>16853.075087901241</v>
      </c>
      <c r="AA123" s="35">
        <f t="shared" si="34"/>
        <v>404473.80210962991</v>
      </c>
      <c r="AB123" s="28">
        <f t="shared" si="24"/>
        <v>31</v>
      </c>
      <c r="AC123" s="29">
        <v>12538687.865398524</v>
      </c>
      <c r="AD123" s="37"/>
      <c r="AE123"/>
    </row>
    <row r="124" spans="1:31" ht="15">
      <c r="A124" s="23">
        <f t="shared" si="22"/>
        <v>2035</v>
      </c>
      <c r="B124" s="27">
        <v>49614</v>
      </c>
      <c r="C124" s="35">
        <f t="shared" si="36"/>
        <v>17525.118098653926</v>
      </c>
      <c r="D124" s="35">
        <f t="shared" si="36"/>
        <v>17525.118098653926</v>
      </c>
      <c r="E124" s="35">
        <f t="shared" si="36"/>
        <v>17525.118098653926</v>
      </c>
      <c r="F124" s="35">
        <f t="shared" si="36"/>
        <v>17525.118098653926</v>
      </c>
      <c r="G124" s="35">
        <f t="shared" si="36"/>
        <v>17525.118098653926</v>
      </c>
      <c r="H124" s="35">
        <f t="shared" si="36"/>
        <v>17525.118098653926</v>
      </c>
      <c r="I124" s="35">
        <f t="shared" si="36"/>
        <v>17525.118098653926</v>
      </c>
      <c r="J124" s="35">
        <f t="shared" si="36"/>
        <v>17525.118098653926</v>
      </c>
      <c r="K124" s="35">
        <f t="shared" si="36"/>
        <v>17525.118098653926</v>
      </c>
      <c r="L124" s="35">
        <f t="shared" si="36"/>
        <v>17525.118098653926</v>
      </c>
      <c r="M124" s="35">
        <f t="shared" si="36"/>
        <v>17525.118098653926</v>
      </c>
      <c r="N124" s="35">
        <f t="shared" si="36"/>
        <v>17525.118098653926</v>
      </c>
      <c r="O124" s="35">
        <f t="shared" si="36"/>
        <v>17525.118098653926</v>
      </c>
      <c r="P124" s="35">
        <f t="shared" si="36"/>
        <v>17525.118098653926</v>
      </c>
      <c r="Q124" s="35">
        <f t="shared" si="36"/>
        <v>17525.118098653926</v>
      </c>
      <c r="R124" s="35">
        <f t="shared" si="36"/>
        <v>17525.118098653926</v>
      </c>
      <c r="S124" s="35">
        <f t="shared" si="19"/>
        <v>17525.118098653926</v>
      </c>
      <c r="T124" s="35">
        <f t="shared" si="35"/>
        <v>17525.118098653926</v>
      </c>
      <c r="U124" s="35">
        <f t="shared" si="35"/>
        <v>17525.118098653926</v>
      </c>
      <c r="V124" s="35">
        <f t="shared" si="35"/>
        <v>17525.118098653926</v>
      </c>
      <c r="W124" s="35">
        <f t="shared" si="35"/>
        <v>17525.118098653926</v>
      </c>
      <c r="X124" s="35">
        <f t="shared" si="35"/>
        <v>17525.118098653926</v>
      </c>
      <c r="Y124" s="35">
        <f t="shared" si="35"/>
        <v>17525.118098653926</v>
      </c>
      <c r="Z124" s="35">
        <f t="shared" si="35"/>
        <v>17525.118098653926</v>
      </c>
      <c r="AA124" s="35">
        <f t="shared" si="34"/>
        <v>420602.83436769398</v>
      </c>
      <c r="AB124" s="28">
        <f t="shared" si="24"/>
        <v>30</v>
      </c>
      <c r="AC124" s="29">
        <v>12618085.031030826</v>
      </c>
      <c r="AD124" s="37"/>
      <c r="AE124"/>
    </row>
    <row r="125" spans="1:31" ht="15">
      <c r="A125" s="23">
        <f t="shared" si="22"/>
        <v>2035</v>
      </c>
      <c r="B125" s="27">
        <v>49644</v>
      </c>
      <c r="C125" s="35">
        <f t="shared" si="36"/>
        <v>16853.075087901238</v>
      </c>
      <c r="D125" s="35">
        <f t="shared" si="36"/>
        <v>16853.075087901238</v>
      </c>
      <c r="E125" s="35">
        <f t="shared" si="36"/>
        <v>16853.075087901238</v>
      </c>
      <c r="F125" s="35">
        <f t="shared" si="36"/>
        <v>16853.075087901238</v>
      </c>
      <c r="G125" s="35">
        <f t="shared" si="36"/>
        <v>16853.075087901238</v>
      </c>
      <c r="H125" s="35">
        <f t="shared" si="36"/>
        <v>16853.075087901238</v>
      </c>
      <c r="I125" s="35">
        <f t="shared" si="36"/>
        <v>16853.075087901238</v>
      </c>
      <c r="J125" s="35">
        <f t="shared" si="36"/>
        <v>16853.075087901238</v>
      </c>
      <c r="K125" s="35">
        <f t="shared" si="36"/>
        <v>16853.075087901238</v>
      </c>
      <c r="L125" s="35">
        <f t="shared" si="36"/>
        <v>16853.075087901238</v>
      </c>
      <c r="M125" s="35">
        <f t="shared" si="36"/>
        <v>16853.075087901238</v>
      </c>
      <c r="N125" s="35">
        <f t="shared" si="36"/>
        <v>16853.075087901238</v>
      </c>
      <c r="O125" s="35">
        <f t="shared" si="36"/>
        <v>16853.075087901238</v>
      </c>
      <c r="P125" s="35">
        <f t="shared" si="36"/>
        <v>16853.075087901238</v>
      </c>
      <c r="Q125" s="35">
        <f t="shared" si="36"/>
        <v>16853.075087901238</v>
      </c>
      <c r="R125" s="35">
        <f t="shared" si="36"/>
        <v>16853.075087901238</v>
      </c>
      <c r="S125" s="35">
        <f t="shared" si="19"/>
        <v>16853.075087901238</v>
      </c>
      <c r="T125" s="35">
        <f t="shared" si="35"/>
        <v>16853.075087901238</v>
      </c>
      <c r="U125" s="35">
        <f t="shared" si="35"/>
        <v>16853.075087901238</v>
      </c>
      <c r="V125" s="35">
        <f t="shared" si="35"/>
        <v>16853.075087901238</v>
      </c>
      <c r="W125" s="35">
        <f t="shared" si="35"/>
        <v>16853.075087901238</v>
      </c>
      <c r="X125" s="35">
        <f t="shared" si="35"/>
        <v>16853.075087901238</v>
      </c>
      <c r="Y125" s="35">
        <f t="shared" si="35"/>
        <v>16853.075087901238</v>
      </c>
      <c r="Z125" s="35">
        <f t="shared" si="35"/>
        <v>16853.075087901238</v>
      </c>
      <c r="AA125" s="35">
        <f t="shared" si="34"/>
        <v>404473.80210962991</v>
      </c>
      <c r="AB125" s="28">
        <f t="shared" si="24"/>
        <v>31</v>
      </c>
      <c r="AC125" s="29">
        <v>12538687.865398522</v>
      </c>
      <c r="AD125" s="37"/>
      <c r="AE125"/>
    </row>
    <row r="126" spans="1:31" ht="15">
      <c r="B126" s="30" t="s">
        <v>45</v>
      </c>
      <c r="C126" s="31">
        <f t="shared" ref="C126:AC126" si="37">+SUM(C6:C125)</f>
        <v>1241147.8435851084</v>
      </c>
      <c r="D126" s="31">
        <f t="shared" si="37"/>
        <v>1241147.8435851084</v>
      </c>
      <c r="E126" s="31">
        <f t="shared" si="37"/>
        <v>1241147.8435851084</v>
      </c>
      <c r="F126" s="31">
        <f t="shared" si="37"/>
        <v>1241147.8435851084</v>
      </c>
      <c r="G126" s="31">
        <f t="shared" si="37"/>
        <v>1241147.8435851084</v>
      </c>
      <c r="H126" s="31">
        <f t="shared" si="37"/>
        <v>1241147.8435851084</v>
      </c>
      <c r="I126" s="31">
        <f t="shared" si="37"/>
        <v>1241147.8435851084</v>
      </c>
      <c r="J126" s="31">
        <f t="shared" si="37"/>
        <v>1241147.8435851084</v>
      </c>
      <c r="K126" s="31">
        <f t="shared" si="37"/>
        <v>1241147.8435851084</v>
      </c>
      <c r="L126" s="31">
        <f t="shared" si="37"/>
        <v>1241147.8435851084</v>
      </c>
      <c r="M126" s="31">
        <f t="shared" si="37"/>
        <v>1241147.8435851084</v>
      </c>
      <c r="N126" s="31">
        <f t="shared" si="37"/>
        <v>1241147.8435851084</v>
      </c>
      <c r="O126" s="31">
        <f t="shared" si="37"/>
        <v>1241147.8435851084</v>
      </c>
      <c r="P126" s="31">
        <f t="shared" si="37"/>
        <v>1241147.8435851084</v>
      </c>
      <c r="Q126" s="31">
        <f t="shared" si="37"/>
        <v>1241147.8435851084</v>
      </c>
      <c r="R126" s="31">
        <f t="shared" si="37"/>
        <v>1241147.8435851084</v>
      </c>
      <c r="S126" s="31">
        <f t="shared" si="37"/>
        <v>1241147.8435851084</v>
      </c>
      <c r="T126" s="31">
        <f t="shared" si="37"/>
        <v>1241147.8435851084</v>
      </c>
      <c r="U126" s="31">
        <f t="shared" si="37"/>
        <v>1241147.8435851084</v>
      </c>
      <c r="V126" s="31">
        <f t="shared" si="37"/>
        <v>1241147.8435851084</v>
      </c>
      <c r="W126" s="31">
        <f t="shared" si="37"/>
        <v>1241147.8435851084</v>
      </c>
      <c r="X126" s="31">
        <f t="shared" si="37"/>
        <v>1241147.8435851084</v>
      </c>
      <c r="Y126" s="31">
        <f t="shared" si="37"/>
        <v>1241147.8435851084</v>
      </c>
      <c r="Z126" s="31">
        <f t="shared" si="37"/>
        <v>1241147.8435851084</v>
      </c>
      <c r="AA126" s="31">
        <f t="shared" si="37"/>
        <v>29787548.246042587</v>
      </c>
      <c r="AB126" s="32">
        <f t="shared" si="37"/>
        <v>3652</v>
      </c>
      <c r="AC126" s="33">
        <f t="shared" si="37"/>
        <v>905351674.68118191</v>
      </c>
      <c r="AD126" s="37"/>
      <c r="AE126"/>
    </row>
    <row r="129" spans="29:29" ht="15.75">
      <c r="AC129" s="70"/>
    </row>
    <row r="130" spans="29:29" ht="15.75">
      <c r="AC130" s="70"/>
    </row>
    <row r="131" spans="29:29" ht="15.75">
      <c r="AC131" s="68"/>
    </row>
    <row r="132" spans="29:29" ht="15.75">
      <c r="AC132" s="69"/>
    </row>
  </sheetData>
  <mergeCells count="28">
    <mergeCell ref="P4:P5"/>
    <mergeCell ref="B1:AC2"/>
    <mergeCell ref="B4:B5"/>
    <mergeCell ref="C4:C5"/>
    <mergeCell ref="D4:D5"/>
    <mergeCell ref="E4:E5"/>
    <mergeCell ref="F4:F5"/>
    <mergeCell ref="G4:G5"/>
    <mergeCell ref="H4:H5"/>
    <mergeCell ref="I4:I5"/>
    <mergeCell ref="J4:J5"/>
    <mergeCell ref="K4:K5"/>
    <mergeCell ref="L4:L5"/>
    <mergeCell ref="M4:M5"/>
    <mergeCell ref="N4:N5"/>
    <mergeCell ref="O4:O5"/>
    <mergeCell ref="AC4:AC5"/>
    <mergeCell ref="Q4:Q5"/>
    <mergeCell ref="R4:R5"/>
    <mergeCell ref="S4:S5"/>
    <mergeCell ref="T4:T5"/>
    <mergeCell ref="U4:U5"/>
    <mergeCell ref="V4:V5"/>
    <mergeCell ref="W4:W5"/>
    <mergeCell ref="X4:X5"/>
    <mergeCell ref="Y4:Y5"/>
    <mergeCell ref="Z4:Z5"/>
    <mergeCell ref="AA4:AA5"/>
  </mergeCells>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5B03-3B7E-4354-AE21-CC7C004605C3}">
  <dimension ref="A1:AH126"/>
  <sheetViews>
    <sheetView showGridLines="0" zoomScale="85" zoomScaleNormal="85" workbookViewId="0">
      <pane xSplit="2" ySplit="5" topLeftCell="P6" activePane="bottomRight" state="frozen"/>
      <selection pane="topRight" activeCell="B1" sqref="B1"/>
      <selection pane="bottomLeft" activeCell="A6" sqref="A6"/>
      <selection pane="bottomRight" activeCell="B1" sqref="B1:AC2"/>
    </sheetView>
  </sheetViews>
  <sheetFormatPr baseColWidth="10" defaultColWidth="8" defaultRowHeight="9"/>
  <cols>
    <col min="1" max="1" width="4.5703125" style="23" customWidth="1"/>
    <col min="2" max="2" width="15.7109375" style="23" bestFit="1" customWidth="1"/>
    <col min="3" max="3" width="13.7109375" style="23" bestFit="1" customWidth="1"/>
    <col min="4" max="26" width="12.42578125" style="23" bestFit="1" customWidth="1"/>
    <col min="27" max="27" width="14.7109375" style="23" bestFit="1" customWidth="1"/>
    <col min="28" max="28" width="7.85546875" style="23" bestFit="1" customWidth="1"/>
    <col min="29" max="29" width="15" style="23" bestFit="1" customWidth="1"/>
    <col min="30" max="30" width="15.140625" style="23" customWidth="1"/>
    <col min="31" max="31" width="17.5703125" style="23" bestFit="1" customWidth="1"/>
    <col min="32" max="32" width="19.140625" style="23" bestFit="1" customWidth="1"/>
    <col min="33" max="33" width="11.5703125" style="23" bestFit="1" customWidth="1"/>
    <col min="34" max="34" width="11.28515625" style="23" bestFit="1" customWidth="1"/>
    <col min="35" max="16384" width="8" style="23"/>
  </cols>
  <sheetData>
    <row r="1" spans="1:34">
      <c r="B1" s="87" t="s">
        <v>49</v>
      </c>
      <c r="C1" s="88"/>
      <c r="D1" s="88"/>
      <c r="E1" s="88"/>
      <c r="F1" s="88"/>
      <c r="G1" s="88"/>
      <c r="H1" s="88"/>
      <c r="I1" s="88"/>
      <c r="J1" s="88"/>
      <c r="K1" s="88"/>
      <c r="L1" s="88"/>
      <c r="M1" s="88"/>
      <c r="N1" s="88"/>
      <c r="O1" s="88"/>
      <c r="P1" s="88"/>
      <c r="Q1" s="88"/>
      <c r="R1" s="88"/>
      <c r="S1" s="88"/>
      <c r="T1" s="88"/>
      <c r="U1" s="88"/>
      <c r="V1" s="88"/>
      <c r="W1" s="88"/>
      <c r="X1" s="88"/>
      <c r="Y1" s="88"/>
      <c r="Z1" s="88"/>
      <c r="AA1" s="88"/>
      <c r="AB1" s="88"/>
      <c r="AC1" s="89"/>
    </row>
    <row r="2" spans="1:34" ht="15">
      <c r="B2" s="90"/>
      <c r="C2" s="91"/>
      <c r="D2" s="91"/>
      <c r="E2" s="91"/>
      <c r="F2" s="91"/>
      <c r="G2" s="91"/>
      <c r="H2" s="91"/>
      <c r="I2" s="91"/>
      <c r="J2" s="91"/>
      <c r="K2" s="91"/>
      <c r="L2" s="91"/>
      <c r="M2" s="91"/>
      <c r="N2" s="91"/>
      <c r="O2" s="91"/>
      <c r="P2" s="91"/>
      <c r="Q2" s="91"/>
      <c r="R2" s="91"/>
      <c r="S2" s="91"/>
      <c r="T2" s="91"/>
      <c r="U2" s="91"/>
      <c r="V2" s="91"/>
      <c r="W2" s="91"/>
      <c r="X2" s="91"/>
      <c r="Y2" s="91"/>
      <c r="Z2" s="91"/>
      <c r="AA2" s="91"/>
      <c r="AB2" s="91"/>
      <c r="AC2" s="92"/>
      <c r="AE2"/>
      <c r="AF2"/>
      <c r="AG2"/>
    </row>
    <row r="3" spans="1:34" ht="15">
      <c r="AC3" s="24"/>
      <c r="AE3"/>
      <c r="AF3"/>
      <c r="AG3"/>
    </row>
    <row r="4" spans="1:34" ht="15" customHeight="1">
      <c r="B4" s="86" t="s">
        <v>16</v>
      </c>
      <c r="C4" s="86" t="s">
        <v>17</v>
      </c>
      <c r="D4" s="86" t="s">
        <v>18</v>
      </c>
      <c r="E4" s="86" t="s">
        <v>19</v>
      </c>
      <c r="F4" s="86" t="s">
        <v>20</v>
      </c>
      <c r="G4" s="86" t="s">
        <v>21</v>
      </c>
      <c r="H4" s="86" t="s">
        <v>22</v>
      </c>
      <c r="I4" s="86" t="s">
        <v>23</v>
      </c>
      <c r="J4" s="86" t="s">
        <v>24</v>
      </c>
      <c r="K4" s="86" t="s">
        <v>25</v>
      </c>
      <c r="L4" s="86" t="s">
        <v>26</v>
      </c>
      <c r="M4" s="86" t="s">
        <v>27</v>
      </c>
      <c r="N4" s="86" t="s">
        <v>28</v>
      </c>
      <c r="O4" s="86" t="s">
        <v>29</v>
      </c>
      <c r="P4" s="86" t="s">
        <v>30</v>
      </c>
      <c r="Q4" s="86" t="s">
        <v>31</v>
      </c>
      <c r="R4" s="86" t="s">
        <v>32</v>
      </c>
      <c r="S4" s="86" t="s">
        <v>33</v>
      </c>
      <c r="T4" s="86" t="s">
        <v>34</v>
      </c>
      <c r="U4" s="86" t="s">
        <v>35</v>
      </c>
      <c r="V4" s="86" t="s">
        <v>36</v>
      </c>
      <c r="W4" s="86" t="s">
        <v>37</v>
      </c>
      <c r="X4" s="86" t="s">
        <v>38</v>
      </c>
      <c r="Y4" s="86" t="s">
        <v>39</v>
      </c>
      <c r="Z4" s="86" t="s">
        <v>40</v>
      </c>
      <c r="AA4" s="86" t="s">
        <v>41</v>
      </c>
      <c r="AB4" s="26" t="s">
        <v>42</v>
      </c>
      <c r="AC4" s="86" t="s">
        <v>43</v>
      </c>
      <c r="AD4" s="86" t="s">
        <v>46</v>
      </c>
      <c r="AE4"/>
      <c r="AF4"/>
      <c r="AG4"/>
    </row>
    <row r="5" spans="1:34" ht="15.75" thickBot="1">
      <c r="B5" s="86"/>
      <c r="C5" s="86"/>
      <c r="D5" s="86"/>
      <c r="E5" s="86"/>
      <c r="F5" s="86"/>
      <c r="G5" s="86"/>
      <c r="H5" s="86"/>
      <c r="I5" s="86"/>
      <c r="J5" s="86"/>
      <c r="K5" s="86"/>
      <c r="L5" s="86"/>
      <c r="M5" s="86"/>
      <c r="N5" s="86"/>
      <c r="O5" s="86"/>
      <c r="P5" s="86"/>
      <c r="Q5" s="86"/>
      <c r="R5" s="86"/>
      <c r="S5" s="86"/>
      <c r="T5" s="86"/>
      <c r="U5" s="86"/>
      <c r="V5" s="86"/>
      <c r="W5" s="86"/>
      <c r="X5" s="86"/>
      <c r="Y5" s="86"/>
      <c r="Z5" s="86"/>
      <c r="AA5" s="86"/>
      <c r="AB5" s="26" t="s">
        <v>44</v>
      </c>
      <c r="AC5" s="86"/>
      <c r="AD5" s="93"/>
      <c r="AE5"/>
      <c r="AF5"/>
      <c r="AG5"/>
    </row>
    <row r="6" spans="1:34" ht="15.75" thickBot="1">
      <c r="A6" s="23">
        <f>YEAR(B6)</f>
        <v>2026</v>
      </c>
      <c r="B6" s="27">
        <v>46023</v>
      </c>
      <c r="C6" s="35">
        <f ca="1">(((_xlfn.XLOOKUP(YEAR($B6),'Oferta Producto 2'!$B$8:$B$19,'Oferta Producto 2'!$E$8:$E$19))*$AD6)/$AB6)/24</f>
        <v>0</v>
      </c>
      <c r="D6" s="35">
        <f ca="1">(((_xlfn.XLOOKUP(YEAR($B6),'Oferta Producto 2'!$B$8:$B$19,'Oferta Producto 2'!$E$8:$E$19))*$AD6)/$AB6)/24</f>
        <v>0</v>
      </c>
      <c r="E6" s="35">
        <f ca="1">(((_xlfn.XLOOKUP(YEAR($B6),'Oferta Producto 2'!$B$8:$B$19,'Oferta Producto 2'!$E$8:$E$19))*$AD6)/$AB6)/24</f>
        <v>0</v>
      </c>
      <c r="F6" s="35">
        <f ca="1">(((_xlfn.XLOOKUP(YEAR($B6),'Oferta Producto 2'!$B$8:$B$19,'Oferta Producto 2'!$E$8:$E$19))*$AD6)/$AB6)/24</f>
        <v>0</v>
      </c>
      <c r="G6" s="35">
        <f ca="1">(((_xlfn.XLOOKUP(YEAR($B6),'Oferta Producto 2'!$B$8:$B$19,'Oferta Producto 2'!$E$8:$E$19))*$AD6)/$AB6)/24</f>
        <v>0</v>
      </c>
      <c r="H6" s="35">
        <f ca="1">(((_xlfn.XLOOKUP(YEAR($B6),'Oferta Producto 2'!$B$8:$B$19,'Oferta Producto 2'!$E$8:$E$19))*$AD6)/$AB6)/24</f>
        <v>0</v>
      </c>
      <c r="I6" s="35">
        <f ca="1">(((_xlfn.XLOOKUP(YEAR($B6),'Oferta Producto 2'!$B$8:$B$19,'Oferta Producto 2'!$E$8:$E$19))*$AD6)/$AB6)/24</f>
        <v>0</v>
      </c>
      <c r="J6" s="35">
        <f ca="1">(((_xlfn.XLOOKUP(YEAR($B6),'Oferta Producto 2'!$B$8:$B$19,'Oferta Producto 2'!$E$8:$E$19))*$AD6)/$AB6)/24</f>
        <v>0</v>
      </c>
      <c r="K6" s="35">
        <f ca="1">(((_xlfn.XLOOKUP(YEAR($B6),'Oferta Producto 2'!$B$8:$B$19,'Oferta Producto 2'!$E$8:$E$19))*$AD6)/$AB6)/24</f>
        <v>0</v>
      </c>
      <c r="L6" s="35">
        <f ca="1">(((_xlfn.XLOOKUP(YEAR($B6),'Oferta Producto 2'!$B$8:$B$19,'Oferta Producto 2'!$E$8:$E$19))*$AD6)/$AB6)/24</f>
        <v>0</v>
      </c>
      <c r="M6" s="35">
        <f ca="1">(((_xlfn.XLOOKUP(YEAR($B6),'Oferta Producto 2'!$B$8:$B$19,'Oferta Producto 2'!$E$8:$E$19))*$AD6)/$AB6)/24</f>
        <v>0</v>
      </c>
      <c r="N6" s="35">
        <f ca="1">(((_xlfn.XLOOKUP(YEAR($B6),'Oferta Producto 2'!$B$8:$B$19,'Oferta Producto 2'!$E$8:$E$19))*$AD6)/$AB6)/24</f>
        <v>0</v>
      </c>
      <c r="O6" s="35">
        <f ca="1">(((_xlfn.XLOOKUP(YEAR($B6),'Oferta Producto 2'!$B$8:$B$19,'Oferta Producto 2'!$E$8:$E$19))*$AD6)/$AB6)/24</f>
        <v>0</v>
      </c>
      <c r="P6" s="35">
        <f ca="1">(((_xlfn.XLOOKUP(YEAR($B6),'Oferta Producto 2'!$B$8:$B$19,'Oferta Producto 2'!$E$8:$E$19))*$AD6)/$AB6)/24</f>
        <v>0</v>
      </c>
      <c r="Q6" s="35">
        <f ca="1">(((_xlfn.XLOOKUP(YEAR($B6),'Oferta Producto 2'!$B$8:$B$19,'Oferta Producto 2'!$E$8:$E$19))*$AD6)/$AB6)/24</f>
        <v>0</v>
      </c>
      <c r="R6" s="35">
        <f ca="1">(((_xlfn.XLOOKUP(YEAR($B6),'Oferta Producto 2'!$B$8:$B$19,'Oferta Producto 2'!$E$8:$E$19))*$AD6)/$AB6)/24</f>
        <v>0</v>
      </c>
      <c r="S6" s="35">
        <f ca="1">(((_xlfn.XLOOKUP(YEAR($B6),'Oferta Producto 2'!$B$8:$B$19,'Oferta Producto 2'!$E$8:$E$19))*$AD6)/$AB6)/24</f>
        <v>0</v>
      </c>
      <c r="T6" s="35">
        <f ca="1">(((_xlfn.XLOOKUP(YEAR($B6),'Oferta Producto 2'!$B$8:$B$19,'Oferta Producto 2'!$E$8:$E$19))*$AD6)/$AB6)/24</f>
        <v>0</v>
      </c>
      <c r="U6" s="35">
        <f ca="1">(((_xlfn.XLOOKUP(YEAR($B6),'Oferta Producto 2'!$B$8:$B$19,'Oferta Producto 2'!$E$8:$E$19))*$AD6)/$AB6)/24</f>
        <v>0</v>
      </c>
      <c r="V6" s="35">
        <f ca="1">(((_xlfn.XLOOKUP(YEAR($B6),'Oferta Producto 2'!$B$8:$B$19,'Oferta Producto 2'!$E$8:$E$19))*$AD6)/$AB6)/24</f>
        <v>0</v>
      </c>
      <c r="W6" s="35">
        <f ca="1">(((_xlfn.XLOOKUP(YEAR($B6),'Oferta Producto 2'!$B$8:$B$19,'Oferta Producto 2'!$E$8:$E$19))*$AD6)/$AB6)/24</f>
        <v>0</v>
      </c>
      <c r="X6" s="35">
        <f ca="1">(((_xlfn.XLOOKUP(YEAR($B6),'Oferta Producto 2'!$B$8:$B$19,'Oferta Producto 2'!$E$8:$E$19))*$AD6)/$AB6)/24</f>
        <v>0</v>
      </c>
      <c r="Y6" s="35">
        <f ca="1">(((_xlfn.XLOOKUP(YEAR($B6),'Oferta Producto 2'!$B$8:$B$19,'Oferta Producto 2'!$E$8:$E$19))*$AD6)/$AB6)/24</f>
        <v>0</v>
      </c>
      <c r="Z6" s="35">
        <f ca="1">(((_xlfn.XLOOKUP(YEAR($B6),'Oferta Producto 2'!$B$8:$B$19,'Oferta Producto 2'!$E$8:$E$19))*$AD6)/$AB6)/24</f>
        <v>0</v>
      </c>
      <c r="AA6" s="35">
        <f ca="1">SUM(C6:Z6)</f>
        <v>0</v>
      </c>
      <c r="AB6" s="28">
        <f>DAY(EOMONTH(B6,0))</f>
        <v>31</v>
      </c>
      <c r="AC6" s="42">
        <f ca="1">AA6*AB6</f>
        <v>0</v>
      </c>
      <c r="AD6" s="43">
        <v>5.0427170662760243E-2</v>
      </c>
      <c r="AE6" s="8"/>
      <c r="AF6" s="8"/>
      <c r="AG6" s="18"/>
      <c r="AH6" s="25"/>
    </row>
    <row r="7" spans="1:34" ht="15.75" thickBot="1">
      <c r="A7" s="23">
        <f t="shared" ref="A7:A70" si="0">YEAR(B7)</f>
        <v>2026</v>
      </c>
      <c r="B7" s="27">
        <v>46054</v>
      </c>
      <c r="C7" s="35">
        <f ca="1">(((_xlfn.XLOOKUP(YEAR($B7),'Oferta Producto 2'!$B$8:$B$19,'Oferta Producto 2'!$E$8:$E$19))*$AD7)/$AB7)/24</f>
        <v>0</v>
      </c>
      <c r="D7" s="35">
        <f ca="1">(((_xlfn.XLOOKUP(YEAR($B7),'Oferta Producto 2'!$B$8:$B$19,'Oferta Producto 2'!$E$8:$E$19))*$AD7)/$AB7)/24</f>
        <v>0</v>
      </c>
      <c r="E7" s="35">
        <f ca="1">(((_xlfn.XLOOKUP(YEAR($B7),'Oferta Producto 2'!$B$8:$B$19,'Oferta Producto 2'!$E$8:$E$19))*$AD7)/$AB7)/24</f>
        <v>0</v>
      </c>
      <c r="F7" s="35">
        <f ca="1">(((_xlfn.XLOOKUP(YEAR($B7),'Oferta Producto 2'!$B$8:$B$19,'Oferta Producto 2'!$E$8:$E$19))*$AD7)/$AB7)/24</f>
        <v>0</v>
      </c>
      <c r="G7" s="35">
        <f ca="1">(((_xlfn.XLOOKUP(YEAR($B7),'Oferta Producto 2'!$B$8:$B$19,'Oferta Producto 2'!$E$8:$E$19))*$AD7)/$AB7)/24</f>
        <v>0</v>
      </c>
      <c r="H7" s="35">
        <f ca="1">(((_xlfn.XLOOKUP(YEAR($B7),'Oferta Producto 2'!$B$8:$B$19,'Oferta Producto 2'!$E$8:$E$19))*$AD7)/$AB7)/24</f>
        <v>0</v>
      </c>
      <c r="I7" s="35">
        <f ca="1">(((_xlfn.XLOOKUP(YEAR($B7),'Oferta Producto 2'!$B$8:$B$19,'Oferta Producto 2'!$E$8:$E$19))*$AD7)/$AB7)/24</f>
        <v>0</v>
      </c>
      <c r="J7" s="35">
        <f ca="1">(((_xlfn.XLOOKUP(YEAR($B7),'Oferta Producto 2'!$B$8:$B$19,'Oferta Producto 2'!$E$8:$E$19))*$AD7)/$AB7)/24</f>
        <v>0</v>
      </c>
      <c r="K7" s="35">
        <f ca="1">(((_xlfn.XLOOKUP(YEAR($B7),'Oferta Producto 2'!$B$8:$B$19,'Oferta Producto 2'!$E$8:$E$19))*$AD7)/$AB7)/24</f>
        <v>0</v>
      </c>
      <c r="L7" s="35">
        <f ca="1">(((_xlfn.XLOOKUP(YEAR($B7),'Oferta Producto 2'!$B$8:$B$19,'Oferta Producto 2'!$E$8:$E$19))*$AD7)/$AB7)/24</f>
        <v>0</v>
      </c>
      <c r="M7" s="35">
        <f ca="1">(((_xlfn.XLOOKUP(YEAR($B7),'Oferta Producto 2'!$B$8:$B$19,'Oferta Producto 2'!$E$8:$E$19))*$AD7)/$AB7)/24</f>
        <v>0</v>
      </c>
      <c r="N7" s="35">
        <f ca="1">(((_xlfn.XLOOKUP(YEAR($B7),'Oferta Producto 2'!$B$8:$B$19,'Oferta Producto 2'!$E$8:$E$19))*$AD7)/$AB7)/24</f>
        <v>0</v>
      </c>
      <c r="O7" s="35">
        <f ca="1">(((_xlfn.XLOOKUP(YEAR($B7),'Oferta Producto 2'!$B$8:$B$19,'Oferta Producto 2'!$E$8:$E$19))*$AD7)/$AB7)/24</f>
        <v>0</v>
      </c>
      <c r="P7" s="35">
        <f ca="1">(((_xlfn.XLOOKUP(YEAR($B7),'Oferta Producto 2'!$B$8:$B$19,'Oferta Producto 2'!$E$8:$E$19))*$AD7)/$AB7)/24</f>
        <v>0</v>
      </c>
      <c r="Q7" s="35">
        <f ca="1">(((_xlfn.XLOOKUP(YEAR($B7),'Oferta Producto 2'!$B$8:$B$19,'Oferta Producto 2'!$E$8:$E$19))*$AD7)/$AB7)/24</f>
        <v>0</v>
      </c>
      <c r="R7" s="35">
        <f ca="1">(((_xlfn.XLOOKUP(YEAR($B7),'Oferta Producto 2'!$B$8:$B$19,'Oferta Producto 2'!$E$8:$E$19))*$AD7)/$AB7)/24</f>
        <v>0</v>
      </c>
      <c r="S7" s="35">
        <f ca="1">(((_xlfn.XLOOKUP(YEAR($B7),'Oferta Producto 2'!$B$8:$B$19,'Oferta Producto 2'!$E$8:$E$19))*$AD7)/$AB7)/24</f>
        <v>0</v>
      </c>
      <c r="T7" s="35">
        <f ca="1">(((_xlfn.XLOOKUP(YEAR($B7),'Oferta Producto 2'!$B$8:$B$19,'Oferta Producto 2'!$E$8:$E$19))*$AD7)/$AB7)/24</f>
        <v>0</v>
      </c>
      <c r="U7" s="35">
        <f ca="1">(((_xlfn.XLOOKUP(YEAR($B7),'Oferta Producto 2'!$B$8:$B$19,'Oferta Producto 2'!$E$8:$E$19))*$AD7)/$AB7)/24</f>
        <v>0</v>
      </c>
      <c r="V7" s="35">
        <f ca="1">(((_xlfn.XLOOKUP(YEAR($B7),'Oferta Producto 2'!$B$8:$B$19,'Oferta Producto 2'!$E$8:$E$19))*$AD7)/$AB7)/24</f>
        <v>0</v>
      </c>
      <c r="W7" s="35">
        <f ca="1">(((_xlfn.XLOOKUP(YEAR($B7),'Oferta Producto 2'!$B$8:$B$19,'Oferta Producto 2'!$E$8:$E$19))*$AD7)/$AB7)/24</f>
        <v>0</v>
      </c>
      <c r="X7" s="35">
        <f ca="1">(((_xlfn.XLOOKUP(YEAR($B7),'Oferta Producto 2'!$B$8:$B$19,'Oferta Producto 2'!$E$8:$E$19))*$AD7)/$AB7)/24</f>
        <v>0</v>
      </c>
      <c r="Y7" s="35">
        <f ca="1">(((_xlfn.XLOOKUP(YEAR($B7),'Oferta Producto 2'!$B$8:$B$19,'Oferta Producto 2'!$E$8:$E$19))*$AD7)/$AB7)/24</f>
        <v>0</v>
      </c>
      <c r="Z7" s="35">
        <f ca="1">(((_xlfn.XLOOKUP(YEAR($B7),'Oferta Producto 2'!$B$8:$B$19,'Oferta Producto 2'!$E$8:$E$19))*$AD7)/$AB7)/24</f>
        <v>0</v>
      </c>
      <c r="AA7" s="35">
        <f t="shared" ref="AA7:AA17" ca="1" si="1">SUM(C7:Z7)</f>
        <v>0</v>
      </c>
      <c r="AB7" s="28">
        <f t="shared" ref="AB7:AB70" si="2">DAY(EOMONTH(B7,0))</f>
        <v>28</v>
      </c>
      <c r="AC7" s="42">
        <f t="shared" ref="AC7:AC70" ca="1" si="3">AA7*AB7</f>
        <v>0</v>
      </c>
      <c r="AD7" s="43">
        <v>6.1616274433376111E-2</v>
      </c>
      <c r="AE7" s="8"/>
      <c r="AF7" s="8"/>
      <c r="AG7"/>
    </row>
    <row r="8" spans="1:34" ht="15.75" thickBot="1">
      <c r="A8" s="23">
        <f t="shared" si="0"/>
        <v>2026</v>
      </c>
      <c r="B8" s="27">
        <v>46082</v>
      </c>
      <c r="C8" s="35">
        <f ca="1">(((_xlfn.XLOOKUP(YEAR($B8),'Oferta Producto 2'!$B$8:$B$19,'Oferta Producto 2'!$E$8:$E$19))*$AD8)/$AB8)/24</f>
        <v>0</v>
      </c>
      <c r="D8" s="35">
        <f ca="1">(((_xlfn.XLOOKUP(YEAR($B8),'Oferta Producto 2'!$B$8:$B$19,'Oferta Producto 2'!$E$8:$E$19))*$AD8)/$AB8)/24</f>
        <v>0</v>
      </c>
      <c r="E8" s="35">
        <f ca="1">(((_xlfn.XLOOKUP(YEAR($B8),'Oferta Producto 2'!$B$8:$B$19,'Oferta Producto 2'!$E$8:$E$19))*$AD8)/$AB8)/24</f>
        <v>0</v>
      </c>
      <c r="F8" s="35">
        <f ca="1">(((_xlfn.XLOOKUP(YEAR($B8),'Oferta Producto 2'!$B$8:$B$19,'Oferta Producto 2'!$E$8:$E$19))*$AD8)/$AB8)/24</f>
        <v>0</v>
      </c>
      <c r="G8" s="35">
        <f ca="1">(((_xlfn.XLOOKUP(YEAR($B8),'Oferta Producto 2'!$B$8:$B$19,'Oferta Producto 2'!$E$8:$E$19))*$AD8)/$AB8)/24</f>
        <v>0</v>
      </c>
      <c r="H8" s="35">
        <f ca="1">(((_xlfn.XLOOKUP(YEAR($B8),'Oferta Producto 2'!$B$8:$B$19,'Oferta Producto 2'!$E$8:$E$19))*$AD8)/$AB8)/24</f>
        <v>0</v>
      </c>
      <c r="I8" s="35">
        <f ca="1">(((_xlfn.XLOOKUP(YEAR($B8),'Oferta Producto 2'!$B$8:$B$19,'Oferta Producto 2'!$E$8:$E$19))*$AD8)/$AB8)/24</f>
        <v>0</v>
      </c>
      <c r="J8" s="35">
        <f ca="1">(((_xlfn.XLOOKUP(YEAR($B8),'Oferta Producto 2'!$B$8:$B$19,'Oferta Producto 2'!$E$8:$E$19))*$AD8)/$AB8)/24</f>
        <v>0</v>
      </c>
      <c r="K8" s="35">
        <f ca="1">(((_xlfn.XLOOKUP(YEAR($B8),'Oferta Producto 2'!$B$8:$B$19,'Oferta Producto 2'!$E$8:$E$19))*$AD8)/$AB8)/24</f>
        <v>0</v>
      </c>
      <c r="L8" s="35">
        <f ca="1">(((_xlfn.XLOOKUP(YEAR($B8),'Oferta Producto 2'!$B$8:$B$19,'Oferta Producto 2'!$E$8:$E$19))*$AD8)/$AB8)/24</f>
        <v>0</v>
      </c>
      <c r="M8" s="35">
        <f ca="1">(((_xlfn.XLOOKUP(YEAR($B8),'Oferta Producto 2'!$B$8:$B$19,'Oferta Producto 2'!$E$8:$E$19))*$AD8)/$AB8)/24</f>
        <v>0</v>
      </c>
      <c r="N8" s="35">
        <f ca="1">(((_xlfn.XLOOKUP(YEAR($B8),'Oferta Producto 2'!$B$8:$B$19,'Oferta Producto 2'!$E$8:$E$19))*$AD8)/$AB8)/24</f>
        <v>0</v>
      </c>
      <c r="O8" s="35">
        <f ca="1">(((_xlfn.XLOOKUP(YEAR($B8),'Oferta Producto 2'!$B$8:$B$19,'Oferta Producto 2'!$E$8:$E$19))*$AD8)/$AB8)/24</f>
        <v>0</v>
      </c>
      <c r="P8" s="35">
        <f ca="1">(((_xlfn.XLOOKUP(YEAR($B8),'Oferta Producto 2'!$B$8:$B$19,'Oferta Producto 2'!$E$8:$E$19))*$AD8)/$AB8)/24</f>
        <v>0</v>
      </c>
      <c r="Q8" s="35">
        <f ca="1">(((_xlfn.XLOOKUP(YEAR($B8),'Oferta Producto 2'!$B$8:$B$19,'Oferta Producto 2'!$E$8:$E$19))*$AD8)/$AB8)/24</f>
        <v>0</v>
      </c>
      <c r="R8" s="35">
        <f ca="1">(((_xlfn.XLOOKUP(YEAR($B8),'Oferta Producto 2'!$B$8:$B$19,'Oferta Producto 2'!$E$8:$E$19))*$AD8)/$AB8)/24</f>
        <v>0</v>
      </c>
      <c r="S8" s="35">
        <f ca="1">(((_xlfn.XLOOKUP(YEAR($B8),'Oferta Producto 2'!$B$8:$B$19,'Oferta Producto 2'!$E$8:$E$19))*$AD8)/$AB8)/24</f>
        <v>0</v>
      </c>
      <c r="T8" s="35">
        <f ca="1">(((_xlfn.XLOOKUP(YEAR($B8),'Oferta Producto 2'!$B$8:$B$19,'Oferta Producto 2'!$E$8:$E$19))*$AD8)/$AB8)/24</f>
        <v>0</v>
      </c>
      <c r="U8" s="35">
        <f ca="1">(((_xlfn.XLOOKUP(YEAR($B8),'Oferta Producto 2'!$B$8:$B$19,'Oferta Producto 2'!$E$8:$E$19))*$AD8)/$AB8)/24</f>
        <v>0</v>
      </c>
      <c r="V8" s="35">
        <f ca="1">(((_xlfn.XLOOKUP(YEAR($B8),'Oferta Producto 2'!$B$8:$B$19,'Oferta Producto 2'!$E$8:$E$19))*$AD8)/$AB8)/24</f>
        <v>0</v>
      </c>
      <c r="W8" s="35">
        <f ca="1">(((_xlfn.XLOOKUP(YEAR($B8),'Oferta Producto 2'!$B$8:$B$19,'Oferta Producto 2'!$E$8:$E$19))*$AD8)/$AB8)/24</f>
        <v>0</v>
      </c>
      <c r="X8" s="35">
        <f ca="1">(((_xlfn.XLOOKUP(YEAR($B8),'Oferta Producto 2'!$B$8:$B$19,'Oferta Producto 2'!$E$8:$E$19))*$AD8)/$AB8)/24</f>
        <v>0</v>
      </c>
      <c r="Y8" s="35">
        <f ca="1">(((_xlfn.XLOOKUP(YEAR($B8),'Oferta Producto 2'!$B$8:$B$19,'Oferta Producto 2'!$E$8:$E$19))*$AD8)/$AB8)/24</f>
        <v>0</v>
      </c>
      <c r="Z8" s="35">
        <f ca="1">(((_xlfn.XLOOKUP(YEAR($B8),'Oferta Producto 2'!$B$8:$B$19,'Oferta Producto 2'!$E$8:$E$19))*$AD8)/$AB8)/24</f>
        <v>0</v>
      </c>
      <c r="AA8" s="35">
        <f t="shared" ca="1" si="1"/>
        <v>0</v>
      </c>
      <c r="AB8" s="28">
        <f t="shared" si="2"/>
        <v>31</v>
      </c>
      <c r="AC8" s="42">
        <f t="shared" ca="1" si="3"/>
        <v>0</v>
      </c>
      <c r="AD8" s="43">
        <v>6.0580728680022414E-2</v>
      </c>
      <c r="AE8" s="8"/>
      <c r="AF8" s="8"/>
      <c r="AG8"/>
    </row>
    <row r="9" spans="1:34" ht="15.75" thickBot="1">
      <c r="A9" s="23">
        <f t="shared" si="0"/>
        <v>2026</v>
      </c>
      <c r="B9" s="27">
        <v>46113</v>
      </c>
      <c r="C9" s="35">
        <f ca="1">(((_xlfn.XLOOKUP(YEAR($B9),'Oferta Producto 2'!$B$8:$B$19,'Oferta Producto 2'!$E$8:$E$19))*$AD9)/$AB9)/24</f>
        <v>0</v>
      </c>
      <c r="D9" s="35">
        <f ca="1">(((_xlfn.XLOOKUP(YEAR($B9),'Oferta Producto 2'!$B$8:$B$19,'Oferta Producto 2'!$E$8:$E$19))*$AD9)/$AB9)/24</f>
        <v>0</v>
      </c>
      <c r="E9" s="35">
        <f ca="1">(((_xlfn.XLOOKUP(YEAR($B9),'Oferta Producto 2'!$B$8:$B$19,'Oferta Producto 2'!$E$8:$E$19))*$AD9)/$AB9)/24</f>
        <v>0</v>
      </c>
      <c r="F9" s="35">
        <f ca="1">(((_xlfn.XLOOKUP(YEAR($B9),'Oferta Producto 2'!$B$8:$B$19,'Oferta Producto 2'!$E$8:$E$19))*$AD9)/$AB9)/24</f>
        <v>0</v>
      </c>
      <c r="G9" s="35">
        <f ca="1">(((_xlfn.XLOOKUP(YEAR($B9),'Oferta Producto 2'!$B$8:$B$19,'Oferta Producto 2'!$E$8:$E$19))*$AD9)/$AB9)/24</f>
        <v>0</v>
      </c>
      <c r="H9" s="35">
        <f ca="1">(((_xlfn.XLOOKUP(YEAR($B9),'Oferta Producto 2'!$B$8:$B$19,'Oferta Producto 2'!$E$8:$E$19))*$AD9)/$AB9)/24</f>
        <v>0</v>
      </c>
      <c r="I9" s="35">
        <f ca="1">(((_xlfn.XLOOKUP(YEAR($B9),'Oferta Producto 2'!$B$8:$B$19,'Oferta Producto 2'!$E$8:$E$19))*$AD9)/$AB9)/24</f>
        <v>0</v>
      </c>
      <c r="J9" s="35">
        <f ca="1">(((_xlfn.XLOOKUP(YEAR($B9),'Oferta Producto 2'!$B$8:$B$19,'Oferta Producto 2'!$E$8:$E$19))*$AD9)/$AB9)/24</f>
        <v>0</v>
      </c>
      <c r="K9" s="35">
        <f ca="1">(((_xlfn.XLOOKUP(YEAR($B9),'Oferta Producto 2'!$B$8:$B$19,'Oferta Producto 2'!$E$8:$E$19))*$AD9)/$AB9)/24</f>
        <v>0</v>
      </c>
      <c r="L9" s="35">
        <f ca="1">(((_xlfn.XLOOKUP(YEAR($B9),'Oferta Producto 2'!$B$8:$B$19,'Oferta Producto 2'!$E$8:$E$19))*$AD9)/$AB9)/24</f>
        <v>0</v>
      </c>
      <c r="M9" s="35">
        <f ca="1">(((_xlfn.XLOOKUP(YEAR($B9),'Oferta Producto 2'!$B$8:$B$19,'Oferta Producto 2'!$E$8:$E$19))*$AD9)/$AB9)/24</f>
        <v>0</v>
      </c>
      <c r="N9" s="35">
        <f ca="1">(((_xlfn.XLOOKUP(YEAR($B9),'Oferta Producto 2'!$B$8:$B$19,'Oferta Producto 2'!$E$8:$E$19))*$AD9)/$AB9)/24</f>
        <v>0</v>
      </c>
      <c r="O9" s="35">
        <f ca="1">(((_xlfn.XLOOKUP(YEAR($B9),'Oferta Producto 2'!$B$8:$B$19,'Oferta Producto 2'!$E$8:$E$19))*$AD9)/$AB9)/24</f>
        <v>0</v>
      </c>
      <c r="P9" s="35">
        <f ca="1">(((_xlfn.XLOOKUP(YEAR($B9),'Oferta Producto 2'!$B$8:$B$19,'Oferta Producto 2'!$E$8:$E$19))*$AD9)/$AB9)/24</f>
        <v>0</v>
      </c>
      <c r="Q9" s="35">
        <f ca="1">(((_xlfn.XLOOKUP(YEAR($B9),'Oferta Producto 2'!$B$8:$B$19,'Oferta Producto 2'!$E$8:$E$19))*$AD9)/$AB9)/24</f>
        <v>0</v>
      </c>
      <c r="R9" s="35">
        <f ca="1">(((_xlfn.XLOOKUP(YEAR($B9),'Oferta Producto 2'!$B$8:$B$19,'Oferta Producto 2'!$E$8:$E$19))*$AD9)/$AB9)/24</f>
        <v>0</v>
      </c>
      <c r="S9" s="35">
        <f ca="1">(((_xlfn.XLOOKUP(YEAR($B9),'Oferta Producto 2'!$B$8:$B$19,'Oferta Producto 2'!$E$8:$E$19))*$AD9)/$AB9)/24</f>
        <v>0</v>
      </c>
      <c r="T9" s="35">
        <f ca="1">(((_xlfn.XLOOKUP(YEAR($B9),'Oferta Producto 2'!$B$8:$B$19,'Oferta Producto 2'!$E$8:$E$19))*$AD9)/$AB9)/24</f>
        <v>0</v>
      </c>
      <c r="U9" s="35">
        <f ca="1">(((_xlfn.XLOOKUP(YEAR($B9),'Oferta Producto 2'!$B$8:$B$19,'Oferta Producto 2'!$E$8:$E$19))*$AD9)/$AB9)/24</f>
        <v>0</v>
      </c>
      <c r="V9" s="35">
        <f ca="1">(((_xlfn.XLOOKUP(YEAR($B9),'Oferta Producto 2'!$B$8:$B$19,'Oferta Producto 2'!$E$8:$E$19))*$AD9)/$AB9)/24</f>
        <v>0</v>
      </c>
      <c r="W9" s="35">
        <f ca="1">(((_xlfn.XLOOKUP(YEAR($B9),'Oferta Producto 2'!$B$8:$B$19,'Oferta Producto 2'!$E$8:$E$19))*$AD9)/$AB9)/24</f>
        <v>0</v>
      </c>
      <c r="X9" s="35">
        <f ca="1">(((_xlfn.XLOOKUP(YEAR($B9),'Oferta Producto 2'!$B$8:$B$19,'Oferta Producto 2'!$E$8:$E$19))*$AD9)/$AB9)/24</f>
        <v>0</v>
      </c>
      <c r="Y9" s="35">
        <f ca="1">(((_xlfn.XLOOKUP(YEAR($B9),'Oferta Producto 2'!$B$8:$B$19,'Oferta Producto 2'!$E$8:$E$19))*$AD9)/$AB9)/24</f>
        <v>0</v>
      </c>
      <c r="Z9" s="35">
        <f ca="1">(((_xlfn.XLOOKUP(YEAR($B9),'Oferta Producto 2'!$B$8:$B$19,'Oferta Producto 2'!$E$8:$E$19))*$AD9)/$AB9)/24</f>
        <v>0</v>
      </c>
      <c r="AA9" s="35">
        <f t="shared" ca="1" si="1"/>
        <v>0</v>
      </c>
      <c r="AB9" s="28">
        <f t="shared" si="2"/>
        <v>30</v>
      </c>
      <c r="AC9" s="42">
        <f t="shared" ca="1" si="3"/>
        <v>0</v>
      </c>
      <c r="AD9" s="43">
        <v>5.2778025989864683E-2</v>
      </c>
      <c r="AE9" s="8"/>
      <c r="AF9" s="8"/>
      <c r="AG9"/>
    </row>
    <row r="10" spans="1:34" ht="15.75" thickBot="1">
      <c r="A10" s="23">
        <f t="shared" si="0"/>
        <v>2026</v>
      </c>
      <c r="B10" s="27">
        <v>46143</v>
      </c>
      <c r="C10" s="35">
        <f ca="1">(((_xlfn.XLOOKUP(YEAR($B10),'Oferta Producto 2'!$B$8:$B$19,'Oferta Producto 2'!$E$8:$E$19))*$AD10)/$AB10)/24</f>
        <v>0</v>
      </c>
      <c r="D10" s="35">
        <f ca="1">(((_xlfn.XLOOKUP(YEAR($B10),'Oferta Producto 2'!$B$8:$B$19,'Oferta Producto 2'!$E$8:$E$19))*$AD10)/$AB10)/24</f>
        <v>0</v>
      </c>
      <c r="E10" s="35">
        <f ca="1">(((_xlfn.XLOOKUP(YEAR($B10),'Oferta Producto 2'!$B$8:$B$19,'Oferta Producto 2'!$E$8:$E$19))*$AD10)/$AB10)/24</f>
        <v>0</v>
      </c>
      <c r="F10" s="35">
        <f ca="1">(((_xlfn.XLOOKUP(YEAR($B10),'Oferta Producto 2'!$B$8:$B$19,'Oferta Producto 2'!$E$8:$E$19))*$AD10)/$AB10)/24</f>
        <v>0</v>
      </c>
      <c r="G10" s="35">
        <f ca="1">(((_xlfn.XLOOKUP(YEAR($B10),'Oferta Producto 2'!$B$8:$B$19,'Oferta Producto 2'!$E$8:$E$19))*$AD10)/$AB10)/24</f>
        <v>0</v>
      </c>
      <c r="H10" s="35">
        <f ca="1">(((_xlfn.XLOOKUP(YEAR($B10),'Oferta Producto 2'!$B$8:$B$19,'Oferta Producto 2'!$E$8:$E$19))*$AD10)/$AB10)/24</f>
        <v>0</v>
      </c>
      <c r="I10" s="35">
        <f ca="1">(((_xlfn.XLOOKUP(YEAR($B10),'Oferta Producto 2'!$B$8:$B$19,'Oferta Producto 2'!$E$8:$E$19))*$AD10)/$AB10)/24</f>
        <v>0</v>
      </c>
      <c r="J10" s="35">
        <f ca="1">(((_xlfn.XLOOKUP(YEAR($B10),'Oferta Producto 2'!$B$8:$B$19,'Oferta Producto 2'!$E$8:$E$19))*$AD10)/$AB10)/24</f>
        <v>0</v>
      </c>
      <c r="K10" s="35">
        <f ca="1">(((_xlfn.XLOOKUP(YEAR($B10),'Oferta Producto 2'!$B$8:$B$19,'Oferta Producto 2'!$E$8:$E$19))*$AD10)/$AB10)/24</f>
        <v>0</v>
      </c>
      <c r="L10" s="35">
        <f ca="1">(((_xlfn.XLOOKUP(YEAR($B10),'Oferta Producto 2'!$B$8:$B$19,'Oferta Producto 2'!$E$8:$E$19))*$AD10)/$AB10)/24</f>
        <v>0</v>
      </c>
      <c r="M10" s="35">
        <f ca="1">(((_xlfn.XLOOKUP(YEAR($B10),'Oferta Producto 2'!$B$8:$B$19,'Oferta Producto 2'!$E$8:$E$19))*$AD10)/$AB10)/24</f>
        <v>0</v>
      </c>
      <c r="N10" s="35">
        <f ca="1">(((_xlfn.XLOOKUP(YEAR($B10),'Oferta Producto 2'!$B$8:$B$19,'Oferta Producto 2'!$E$8:$E$19))*$AD10)/$AB10)/24</f>
        <v>0</v>
      </c>
      <c r="O10" s="35">
        <f ca="1">(((_xlfn.XLOOKUP(YEAR($B10),'Oferta Producto 2'!$B$8:$B$19,'Oferta Producto 2'!$E$8:$E$19))*$AD10)/$AB10)/24</f>
        <v>0</v>
      </c>
      <c r="P10" s="35">
        <f ca="1">(((_xlfn.XLOOKUP(YEAR($B10),'Oferta Producto 2'!$B$8:$B$19,'Oferta Producto 2'!$E$8:$E$19))*$AD10)/$AB10)/24</f>
        <v>0</v>
      </c>
      <c r="Q10" s="35">
        <f ca="1">(((_xlfn.XLOOKUP(YEAR($B10),'Oferta Producto 2'!$B$8:$B$19,'Oferta Producto 2'!$E$8:$E$19))*$AD10)/$AB10)/24</f>
        <v>0</v>
      </c>
      <c r="R10" s="35">
        <f ca="1">(((_xlfn.XLOOKUP(YEAR($B10),'Oferta Producto 2'!$B$8:$B$19,'Oferta Producto 2'!$E$8:$E$19))*$AD10)/$AB10)/24</f>
        <v>0</v>
      </c>
      <c r="S10" s="35">
        <f ca="1">(((_xlfn.XLOOKUP(YEAR($B10),'Oferta Producto 2'!$B$8:$B$19,'Oferta Producto 2'!$E$8:$E$19))*$AD10)/$AB10)/24</f>
        <v>0</v>
      </c>
      <c r="T10" s="35">
        <f ca="1">(((_xlfn.XLOOKUP(YEAR($B10),'Oferta Producto 2'!$B$8:$B$19,'Oferta Producto 2'!$E$8:$E$19))*$AD10)/$AB10)/24</f>
        <v>0</v>
      </c>
      <c r="U10" s="35">
        <f ca="1">(((_xlfn.XLOOKUP(YEAR($B10),'Oferta Producto 2'!$B$8:$B$19,'Oferta Producto 2'!$E$8:$E$19))*$AD10)/$AB10)/24</f>
        <v>0</v>
      </c>
      <c r="V10" s="35">
        <f ca="1">(((_xlfn.XLOOKUP(YEAR($B10),'Oferta Producto 2'!$B$8:$B$19,'Oferta Producto 2'!$E$8:$E$19))*$AD10)/$AB10)/24</f>
        <v>0</v>
      </c>
      <c r="W10" s="35">
        <f ca="1">(((_xlfn.XLOOKUP(YEAR($B10),'Oferta Producto 2'!$B$8:$B$19,'Oferta Producto 2'!$E$8:$E$19))*$AD10)/$AB10)/24</f>
        <v>0</v>
      </c>
      <c r="X10" s="35">
        <f ca="1">(((_xlfn.XLOOKUP(YEAR($B10),'Oferta Producto 2'!$B$8:$B$19,'Oferta Producto 2'!$E$8:$E$19))*$AD10)/$AB10)/24</f>
        <v>0</v>
      </c>
      <c r="Y10" s="35">
        <f ca="1">(((_xlfn.XLOOKUP(YEAR($B10),'Oferta Producto 2'!$B$8:$B$19,'Oferta Producto 2'!$E$8:$E$19))*$AD10)/$AB10)/24</f>
        <v>0</v>
      </c>
      <c r="Z10" s="35">
        <f ca="1">(((_xlfn.XLOOKUP(YEAR($B10),'Oferta Producto 2'!$B$8:$B$19,'Oferta Producto 2'!$E$8:$E$19))*$AD10)/$AB10)/24</f>
        <v>0</v>
      </c>
      <c r="AA10" s="35">
        <f t="shared" ca="1" si="1"/>
        <v>0</v>
      </c>
      <c r="AB10" s="28">
        <f t="shared" si="2"/>
        <v>31</v>
      </c>
      <c r="AC10" s="42">
        <f t="shared" ca="1" si="3"/>
        <v>0</v>
      </c>
      <c r="AD10" s="43">
        <v>6.0616534045259934E-2</v>
      </c>
      <c r="AE10" s="8"/>
      <c r="AF10" s="8"/>
      <c r="AG10"/>
    </row>
    <row r="11" spans="1:34" ht="15.75" thickBot="1">
      <c r="A11" s="23">
        <f t="shared" si="0"/>
        <v>2026</v>
      </c>
      <c r="B11" s="27">
        <v>46174</v>
      </c>
      <c r="C11" s="35">
        <f ca="1">(((_xlfn.XLOOKUP(YEAR($B11),'Oferta Producto 2'!$B$8:$B$19,'Oferta Producto 2'!$E$8:$E$19))*$AD11)/$AB11)/24</f>
        <v>0</v>
      </c>
      <c r="D11" s="35">
        <f ca="1">(((_xlfn.XLOOKUP(YEAR($B11),'Oferta Producto 2'!$B$8:$B$19,'Oferta Producto 2'!$E$8:$E$19))*$AD11)/$AB11)/24</f>
        <v>0</v>
      </c>
      <c r="E11" s="35">
        <f ca="1">(((_xlfn.XLOOKUP(YEAR($B11),'Oferta Producto 2'!$B$8:$B$19,'Oferta Producto 2'!$E$8:$E$19))*$AD11)/$AB11)/24</f>
        <v>0</v>
      </c>
      <c r="F11" s="35">
        <f ca="1">(((_xlfn.XLOOKUP(YEAR($B11),'Oferta Producto 2'!$B$8:$B$19,'Oferta Producto 2'!$E$8:$E$19))*$AD11)/$AB11)/24</f>
        <v>0</v>
      </c>
      <c r="G11" s="35">
        <f ca="1">(((_xlfn.XLOOKUP(YEAR($B11),'Oferta Producto 2'!$B$8:$B$19,'Oferta Producto 2'!$E$8:$E$19))*$AD11)/$AB11)/24</f>
        <v>0</v>
      </c>
      <c r="H11" s="35">
        <f ca="1">(((_xlfn.XLOOKUP(YEAR($B11),'Oferta Producto 2'!$B$8:$B$19,'Oferta Producto 2'!$E$8:$E$19))*$AD11)/$AB11)/24</f>
        <v>0</v>
      </c>
      <c r="I11" s="35">
        <f ca="1">(((_xlfn.XLOOKUP(YEAR($B11),'Oferta Producto 2'!$B$8:$B$19,'Oferta Producto 2'!$E$8:$E$19))*$AD11)/$AB11)/24</f>
        <v>0</v>
      </c>
      <c r="J11" s="35">
        <f ca="1">(((_xlfn.XLOOKUP(YEAR($B11),'Oferta Producto 2'!$B$8:$B$19,'Oferta Producto 2'!$E$8:$E$19))*$AD11)/$AB11)/24</f>
        <v>0</v>
      </c>
      <c r="K11" s="35">
        <f ca="1">(((_xlfn.XLOOKUP(YEAR($B11),'Oferta Producto 2'!$B$8:$B$19,'Oferta Producto 2'!$E$8:$E$19))*$AD11)/$AB11)/24</f>
        <v>0</v>
      </c>
      <c r="L11" s="35">
        <f ca="1">(((_xlfn.XLOOKUP(YEAR($B11),'Oferta Producto 2'!$B$8:$B$19,'Oferta Producto 2'!$E$8:$E$19))*$AD11)/$AB11)/24</f>
        <v>0</v>
      </c>
      <c r="M11" s="35">
        <f ca="1">(((_xlfn.XLOOKUP(YEAR($B11),'Oferta Producto 2'!$B$8:$B$19,'Oferta Producto 2'!$E$8:$E$19))*$AD11)/$AB11)/24</f>
        <v>0</v>
      </c>
      <c r="N11" s="35">
        <f ca="1">(((_xlfn.XLOOKUP(YEAR($B11),'Oferta Producto 2'!$B$8:$B$19,'Oferta Producto 2'!$E$8:$E$19))*$AD11)/$AB11)/24</f>
        <v>0</v>
      </c>
      <c r="O11" s="35">
        <f ca="1">(((_xlfn.XLOOKUP(YEAR($B11),'Oferta Producto 2'!$B$8:$B$19,'Oferta Producto 2'!$E$8:$E$19))*$AD11)/$AB11)/24</f>
        <v>0</v>
      </c>
      <c r="P11" s="35">
        <f ca="1">(((_xlfn.XLOOKUP(YEAR($B11),'Oferta Producto 2'!$B$8:$B$19,'Oferta Producto 2'!$E$8:$E$19))*$AD11)/$AB11)/24</f>
        <v>0</v>
      </c>
      <c r="Q11" s="35">
        <f ca="1">(((_xlfn.XLOOKUP(YEAR($B11),'Oferta Producto 2'!$B$8:$B$19,'Oferta Producto 2'!$E$8:$E$19))*$AD11)/$AB11)/24</f>
        <v>0</v>
      </c>
      <c r="R11" s="35">
        <f ca="1">(((_xlfn.XLOOKUP(YEAR($B11),'Oferta Producto 2'!$B$8:$B$19,'Oferta Producto 2'!$E$8:$E$19))*$AD11)/$AB11)/24</f>
        <v>0</v>
      </c>
      <c r="S11" s="35">
        <f ca="1">(((_xlfn.XLOOKUP(YEAR($B11),'Oferta Producto 2'!$B$8:$B$19,'Oferta Producto 2'!$E$8:$E$19))*$AD11)/$AB11)/24</f>
        <v>0</v>
      </c>
      <c r="T11" s="35">
        <f ca="1">(((_xlfn.XLOOKUP(YEAR($B11),'Oferta Producto 2'!$B$8:$B$19,'Oferta Producto 2'!$E$8:$E$19))*$AD11)/$AB11)/24</f>
        <v>0</v>
      </c>
      <c r="U11" s="35">
        <f ca="1">(((_xlfn.XLOOKUP(YEAR($B11),'Oferta Producto 2'!$B$8:$B$19,'Oferta Producto 2'!$E$8:$E$19))*$AD11)/$AB11)/24</f>
        <v>0</v>
      </c>
      <c r="V11" s="35">
        <f ca="1">(((_xlfn.XLOOKUP(YEAR($B11),'Oferta Producto 2'!$B$8:$B$19,'Oferta Producto 2'!$E$8:$E$19))*$AD11)/$AB11)/24</f>
        <v>0</v>
      </c>
      <c r="W11" s="35">
        <f ca="1">(((_xlfn.XLOOKUP(YEAR($B11),'Oferta Producto 2'!$B$8:$B$19,'Oferta Producto 2'!$E$8:$E$19))*$AD11)/$AB11)/24</f>
        <v>0</v>
      </c>
      <c r="X11" s="35">
        <f ca="1">(((_xlfn.XLOOKUP(YEAR($B11),'Oferta Producto 2'!$B$8:$B$19,'Oferta Producto 2'!$E$8:$E$19))*$AD11)/$AB11)/24</f>
        <v>0</v>
      </c>
      <c r="Y11" s="35">
        <f ca="1">(((_xlfn.XLOOKUP(YEAR($B11),'Oferta Producto 2'!$B$8:$B$19,'Oferta Producto 2'!$E$8:$E$19))*$AD11)/$AB11)/24</f>
        <v>0</v>
      </c>
      <c r="Z11" s="35">
        <f ca="1">(((_xlfn.XLOOKUP(YEAR($B11),'Oferta Producto 2'!$B$8:$B$19,'Oferta Producto 2'!$E$8:$E$19))*$AD11)/$AB11)/24</f>
        <v>0</v>
      </c>
      <c r="AA11" s="35">
        <f t="shared" ca="1" si="1"/>
        <v>0</v>
      </c>
      <c r="AB11" s="28">
        <f t="shared" si="2"/>
        <v>30</v>
      </c>
      <c r="AC11" s="42">
        <f t="shared" ca="1" si="3"/>
        <v>0</v>
      </c>
      <c r="AD11" s="43">
        <v>6.3820772679126628E-2</v>
      </c>
      <c r="AE11" s="8"/>
      <c r="AF11" s="8"/>
      <c r="AG11"/>
    </row>
    <row r="12" spans="1:34" ht="15.75" thickBot="1">
      <c r="A12" s="23">
        <f t="shared" si="0"/>
        <v>2026</v>
      </c>
      <c r="B12" s="27">
        <v>46204</v>
      </c>
      <c r="C12" s="35">
        <f ca="1">(((_xlfn.XLOOKUP(YEAR($B12),'Oferta Producto 2'!$B$8:$B$19,'Oferta Producto 2'!$E$8:$E$19))*$AD12)/$AB12)/24</f>
        <v>0</v>
      </c>
      <c r="D12" s="35">
        <f ca="1">(((_xlfn.XLOOKUP(YEAR($B12),'Oferta Producto 2'!$B$8:$B$19,'Oferta Producto 2'!$E$8:$E$19))*$AD12)/$AB12)/24</f>
        <v>0</v>
      </c>
      <c r="E12" s="35">
        <f ca="1">(((_xlfn.XLOOKUP(YEAR($B12),'Oferta Producto 2'!$B$8:$B$19,'Oferta Producto 2'!$E$8:$E$19))*$AD12)/$AB12)/24</f>
        <v>0</v>
      </c>
      <c r="F12" s="35">
        <f ca="1">(((_xlfn.XLOOKUP(YEAR($B12),'Oferta Producto 2'!$B$8:$B$19,'Oferta Producto 2'!$E$8:$E$19))*$AD12)/$AB12)/24</f>
        <v>0</v>
      </c>
      <c r="G12" s="35">
        <f ca="1">(((_xlfn.XLOOKUP(YEAR($B12),'Oferta Producto 2'!$B$8:$B$19,'Oferta Producto 2'!$E$8:$E$19))*$AD12)/$AB12)/24</f>
        <v>0</v>
      </c>
      <c r="H12" s="35">
        <f ca="1">(((_xlfn.XLOOKUP(YEAR($B12),'Oferta Producto 2'!$B$8:$B$19,'Oferta Producto 2'!$E$8:$E$19))*$AD12)/$AB12)/24</f>
        <v>0</v>
      </c>
      <c r="I12" s="35">
        <f ca="1">(((_xlfn.XLOOKUP(YEAR($B12),'Oferta Producto 2'!$B$8:$B$19,'Oferta Producto 2'!$E$8:$E$19))*$AD12)/$AB12)/24</f>
        <v>0</v>
      </c>
      <c r="J12" s="35">
        <f ca="1">(((_xlfn.XLOOKUP(YEAR($B12),'Oferta Producto 2'!$B$8:$B$19,'Oferta Producto 2'!$E$8:$E$19))*$AD12)/$AB12)/24</f>
        <v>0</v>
      </c>
      <c r="K12" s="35">
        <f ca="1">(((_xlfn.XLOOKUP(YEAR($B12),'Oferta Producto 2'!$B$8:$B$19,'Oferta Producto 2'!$E$8:$E$19))*$AD12)/$AB12)/24</f>
        <v>0</v>
      </c>
      <c r="L12" s="35">
        <f ca="1">(((_xlfn.XLOOKUP(YEAR($B12),'Oferta Producto 2'!$B$8:$B$19,'Oferta Producto 2'!$E$8:$E$19))*$AD12)/$AB12)/24</f>
        <v>0</v>
      </c>
      <c r="M12" s="35">
        <f ca="1">(((_xlfn.XLOOKUP(YEAR($B12),'Oferta Producto 2'!$B$8:$B$19,'Oferta Producto 2'!$E$8:$E$19))*$AD12)/$AB12)/24</f>
        <v>0</v>
      </c>
      <c r="N12" s="35">
        <f ca="1">(((_xlfn.XLOOKUP(YEAR($B12),'Oferta Producto 2'!$B$8:$B$19,'Oferta Producto 2'!$E$8:$E$19))*$AD12)/$AB12)/24</f>
        <v>0</v>
      </c>
      <c r="O12" s="35">
        <f ca="1">(((_xlfn.XLOOKUP(YEAR($B12),'Oferta Producto 2'!$B$8:$B$19,'Oferta Producto 2'!$E$8:$E$19))*$AD12)/$AB12)/24</f>
        <v>0</v>
      </c>
      <c r="P12" s="35">
        <f ca="1">(((_xlfn.XLOOKUP(YEAR($B12),'Oferta Producto 2'!$B$8:$B$19,'Oferta Producto 2'!$E$8:$E$19))*$AD12)/$AB12)/24</f>
        <v>0</v>
      </c>
      <c r="Q12" s="35">
        <f ca="1">(((_xlfn.XLOOKUP(YEAR($B12),'Oferta Producto 2'!$B$8:$B$19,'Oferta Producto 2'!$E$8:$E$19))*$AD12)/$AB12)/24</f>
        <v>0</v>
      </c>
      <c r="R12" s="35">
        <f ca="1">(((_xlfn.XLOOKUP(YEAR($B12),'Oferta Producto 2'!$B$8:$B$19,'Oferta Producto 2'!$E$8:$E$19))*$AD12)/$AB12)/24</f>
        <v>0</v>
      </c>
      <c r="S12" s="35">
        <f ca="1">(((_xlfn.XLOOKUP(YEAR($B12),'Oferta Producto 2'!$B$8:$B$19,'Oferta Producto 2'!$E$8:$E$19))*$AD12)/$AB12)/24</f>
        <v>0</v>
      </c>
      <c r="T12" s="35">
        <f ca="1">(((_xlfn.XLOOKUP(YEAR($B12),'Oferta Producto 2'!$B$8:$B$19,'Oferta Producto 2'!$E$8:$E$19))*$AD12)/$AB12)/24</f>
        <v>0</v>
      </c>
      <c r="U12" s="35">
        <f ca="1">(((_xlfn.XLOOKUP(YEAR($B12),'Oferta Producto 2'!$B$8:$B$19,'Oferta Producto 2'!$E$8:$E$19))*$AD12)/$AB12)/24</f>
        <v>0</v>
      </c>
      <c r="V12" s="35">
        <f ca="1">(((_xlfn.XLOOKUP(YEAR($B12),'Oferta Producto 2'!$B$8:$B$19,'Oferta Producto 2'!$E$8:$E$19))*$AD12)/$AB12)/24</f>
        <v>0</v>
      </c>
      <c r="W12" s="35">
        <f ca="1">(((_xlfn.XLOOKUP(YEAR($B12),'Oferta Producto 2'!$B$8:$B$19,'Oferta Producto 2'!$E$8:$E$19))*$AD12)/$AB12)/24</f>
        <v>0</v>
      </c>
      <c r="X12" s="35">
        <f ca="1">(((_xlfn.XLOOKUP(YEAR($B12),'Oferta Producto 2'!$B$8:$B$19,'Oferta Producto 2'!$E$8:$E$19))*$AD12)/$AB12)/24</f>
        <v>0</v>
      </c>
      <c r="Y12" s="35">
        <f ca="1">(((_xlfn.XLOOKUP(YEAR($B12),'Oferta Producto 2'!$B$8:$B$19,'Oferta Producto 2'!$E$8:$E$19))*$AD12)/$AB12)/24</f>
        <v>0</v>
      </c>
      <c r="Z12" s="35">
        <f ca="1">(((_xlfn.XLOOKUP(YEAR($B12),'Oferta Producto 2'!$B$8:$B$19,'Oferta Producto 2'!$E$8:$E$19))*$AD12)/$AB12)/24</f>
        <v>0</v>
      </c>
      <c r="AA12" s="35">
        <f t="shared" ca="1" si="1"/>
        <v>0</v>
      </c>
      <c r="AB12" s="28">
        <f t="shared" si="2"/>
        <v>31</v>
      </c>
      <c r="AC12" s="42">
        <f t="shared" ca="1" si="3"/>
        <v>0</v>
      </c>
      <c r="AD12" s="43">
        <v>6.3477989271648202E-2</v>
      </c>
      <c r="AE12" s="8"/>
      <c r="AF12" s="8"/>
      <c r="AG12"/>
    </row>
    <row r="13" spans="1:34" ht="15.75" thickBot="1">
      <c r="A13" s="23">
        <f t="shared" si="0"/>
        <v>2026</v>
      </c>
      <c r="B13" s="27">
        <v>46235</v>
      </c>
      <c r="C13" s="35">
        <f ca="1">(((_xlfn.XLOOKUP(YEAR($B13),'Oferta Producto 2'!$B$8:$B$19,'Oferta Producto 2'!$E$8:$E$19))*$AD13)/$AB13)/24</f>
        <v>0</v>
      </c>
      <c r="D13" s="35">
        <f ca="1">(((_xlfn.XLOOKUP(YEAR($B13),'Oferta Producto 2'!$B$8:$B$19,'Oferta Producto 2'!$E$8:$E$19))*$AD13)/$AB13)/24</f>
        <v>0</v>
      </c>
      <c r="E13" s="35">
        <f ca="1">(((_xlfn.XLOOKUP(YEAR($B13),'Oferta Producto 2'!$B$8:$B$19,'Oferta Producto 2'!$E$8:$E$19))*$AD13)/$AB13)/24</f>
        <v>0</v>
      </c>
      <c r="F13" s="35">
        <f ca="1">(((_xlfn.XLOOKUP(YEAR($B13),'Oferta Producto 2'!$B$8:$B$19,'Oferta Producto 2'!$E$8:$E$19))*$AD13)/$AB13)/24</f>
        <v>0</v>
      </c>
      <c r="G13" s="35">
        <f ca="1">(((_xlfn.XLOOKUP(YEAR($B13),'Oferta Producto 2'!$B$8:$B$19,'Oferta Producto 2'!$E$8:$E$19))*$AD13)/$AB13)/24</f>
        <v>0</v>
      </c>
      <c r="H13" s="35">
        <f ca="1">(((_xlfn.XLOOKUP(YEAR($B13),'Oferta Producto 2'!$B$8:$B$19,'Oferta Producto 2'!$E$8:$E$19))*$AD13)/$AB13)/24</f>
        <v>0</v>
      </c>
      <c r="I13" s="35">
        <f ca="1">(((_xlfn.XLOOKUP(YEAR($B13),'Oferta Producto 2'!$B$8:$B$19,'Oferta Producto 2'!$E$8:$E$19))*$AD13)/$AB13)/24</f>
        <v>0</v>
      </c>
      <c r="J13" s="35">
        <f ca="1">(((_xlfn.XLOOKUP(YEAR($B13),'Oferta Producto 2'!$B$8:$B$19,'Oferta Producto 2'!$E$8:$E$19))*$AD13)/$AB13)/24</f>
        <v>0</v>
      </c>
      <c r="K13" s="35">
        <f ca="1">(((_xlfn.XLOOKUP(YEAR($B13),'Oferta Producto 2'!$B$8:$B$19,'Oferta Producto 2'!$E$8:$E$19))*$AD13)/$AB13)/24</f>
        <v>0</v>
      </c>
      <c r="L13" s="35">
        <f ca="1">(((_xlfn.XLOOKUP(YEAR($B13),'Oferta Producto 2'!$B$8:$B$19,'Oferta Producto 2'!$E$8:$E$19))*$AD13)/$AB13)/24</f>
        <v>0</v>
      </c>
      <c r="M13" s="35">
        <f ca="1">(((_xlfn.XLOOKUP(YEAR($B13),'Oferta Producto 2'!$B$8:$B$19,'Oferta Producto 2'!$E$8:$E$19))*$AD13)/$AB13)/24</f>
        <v>0</v>
      </c>
      <c r="N13" s="35">
        <f ca="1">(((_xlfn.XLOOKUP(YEAR($B13),'Oferta Producto 2'!$B$8:$B$19,'Oferta Producto 2'!$E$8:$E$19))*$AD13)/$AB13)/24</f>
        <v>0</v>
      </c>
      <c r="O13" s="35">
        <f ca="1">(((_xlfn.XLOOKUP(YEAR($B13),'Oferta Producto 2'!$B$8:$B$19,'Oferta Producto 2'!$E$8:$E$19))*$AD13)/$AB13)/24</f>
        <v>0</v>
      </c>
      <c r="P13" s="35">
        <f ca="1">(((_xlfn.XLOOKUP(YEAR($B13),'Oferta Producto 2'!$B$8:$B$19,'Oferta Producto 2'!$E$8:$E$19))*$AD13)/$AB13)/24</f>
        <v>0</v>
      </c>
      <c r="Q13" s="35">
        <f ca="1">(((_xlfn.XLOOKUP(YEAR($B13),'Oferta Producto 2'!$B$8:$B$19,'Oferta Producto 2'!$E$8:$E$19))*$AD13)/$AB13)/24</f>
        <v>0</v>
      </c>
      <c r="R13" s="35">
        <f ca="1">(((_xlfn.XLOOKUP(YEAR($B13),'Oferta Producto 2'!$B$8:$B$19,'Oferta Producto 2'!$E$8:$E$19))*$AD13)/$AB13)/24</f>
        <v>0</v>
      </c>
      <c r="S13" s="35">
        <f ca="1">(((_xlfn.XLOOKUP(YEAR($B13),'Oferta Producto 2'!$B$8:$B$19,'Oferta Producto 2'!$E$8:$E$19))*$AD13)/$AB13)/24</f>
        <v>0</v>
      </c>
      <c r="T13" s="35">
        <f ca="1">(((_xlfn.XLOOKUP(YEAR($B13),'Oferta Producto 2'!$B$8:$B$19,'Oferta Producto 2'!$E$8:$E$19))*$AD13)/$AB13)/24</f>
        <v>0</v>
      </c>
      <c r="U13" s="35">
        <f ca="1">(((_xlfn.XLOOKUP(YEAR($B13),'Oferta Producto 2'!$B$8:$B$19,'Oferta Producto 2'!$E$8:$E$19))*$AD13)/$AB13)/24</f>
        <v>0</v>
      </c>
      <c r="V13" s="35">
        <f ca="1">(((_xlfn.XLOOKUP(YEAR($B13),'Oferta Producto 2'!$B$8:$B$19,'Oferta Producto 2'!$E$8:$E$19))*$AD13)/$AB13)/24</f>
        <v>0</v>
      </c>
      <c r="W13" s="35">
        <f ca="1">(((_xlfn.XLOOKUP(YEAR($B13),'Oferta Producto 2'!$B$8:$B$19,'Oferta Producto 2'!$E$8:$E$19))*$AD13)/$AB13)/24</f>
        <v>0</v>
      </c>
      <c r="X13" s="35">
        <f ca="1">(((_xlfn.XLOOKUP(YEAR($B13),'Oferta Producto 2'!$B$8:$B$19,'Oferta Producto 2'!$E$8:$E$19))*$AD13)/$AB13)/24</f>
        <v>0</v>
      </c>
      <c r="Y13" s="35">
        <f ca="1">(((_xlfn.XLOOKUP(YEAR($B13),'Oferta Producto 2'!$B$8:$B$19,'Oferta Producto 2'!$E$8:$E$19))*$AD13)/$AB13)/24</f>
        <v>0</v>
      </c>
      <c r="Z13" s="35">
        <f ca="1">(((_xlfn.XLOOKUP(YEAR($B13),'Oferta Producto 2'!$B$8:$B$19,'Oferta Producto 2'!$E$8:$E$19))*$AD13)/$AB13)/24</f>
        <v>0</v>
      </c>
      <c r="AA13" s="35">
        <f t="shared" ca="1" si="1"/>
        <v>0</v>
      </c>
      <c r="AB13" s="28">
        <f t="shared" si="2"/>
        <v>31</v>
      </c>
      <c r="AC13" s="42">
        <f t="shared" ca="1" si="3"/>
        <v>0</v>
      </c>
      <c r="AD13" s="43">
        <v>7.9291064342348117E-2</v>
      </c>
      <c r="AE13" s="8"/>
      <c r="AF13" s="8"/>
      <c r="AG13"/>
    </row>
    <row r="14" spans="1:34" ht="15.75" thickBot="1">
      <c r="A14" s="23">
        <f t="shared" si="0"/>
        <v>2026</v>
      </c>
      <c r="B14" s="27">
        <v>46266</v>
      </c>
      <c r="C14" s="35">
        <f ca="1">(((_xlfn.XLOOKUP(YEAR($B14),'Oferta Producto 2'!$B$8:$B$19,'Oferta Producto 2'!$E$8:$E$19))*$AD14)/$AB14)/24</f>
        <v>0</v>
      </c>
      <c r="D14" s="35">
        <f ca="1">(((_xlfn.XLOOKUP(YEAR($B14),'Oferta Producto 2'!$B$8:$B$19,'Oferta Producto 2'!$E$8:$E$19))*$AD14)/$AB14)/24</f>
        <v>0</v>
      </c>
      <c r="E14" s="35">
        <f ca="1">(((_xlfn.XLOOKUP(YEAR($B14),'Oferta Producto 2'!$B$8:$B$19,'Oferta Producto 2'!$E$8:$E$19))*$AD14)/$AB14)/24</f>
        <v>0</v>
      </c>
      <c r="F14" s="35">
        <f ca="1">(((_xlfn.XLOOKUP(YEAR($B14),'Oferta Producto 2'!$B$8:$B$19,'Oferta Producto 2'!$E$8:$E$19))*$AD14)/$AB14)/24</f>
        <v>0</v>
      </c>
      <c r="G14" s="35">
        <f ca="1">(((_xlfn.XLOOKUP(YEAR($B14),'Oferta Producto 2'!$B$8:$B$19,'Oferta Producto 2'!$E$8:$E$19))*$AD14)/$AB14)/24</f>
        <v>0</v>
      </c>
      <c r="H14" s="35">
        <f ca="1">(((_xlfn.XLOOKUP(YEAR($B14),'Oferta Producto 2'!$B$8:$B$19,'Oferta Producto 2'!$E$8:$E$19))*$AD14)/$AB14)/24</f>
        <v>0</v>
      </c>
      <c r="I14" s="35">
        <f ca="1">(((_xlfn.XLOOKUP(YEAR($B14),'Oferta Producto 2'!$B$8:$B$19,'Oferta Producto 2'!$E$8:$E$19))*$AD14)/$AB14)/24</f>
        <v>0</v>
      </c>
      <c r="J14" s="35">
        <f ca="1">(((_xlfn.XLOOKUP(YEAR($B14),'Oferta Producto 2'!$B$8:$B$19,'Oferta Producto 2'!$E$8:$E$19))*$AD14)/$AB14)/24</f>
        <v>0</v>
      </c>
      <c r="K14" s="35">
        <f ca="1">(((_xlfn.XLOOKUP(YEAR($B14),'Oferta Producto 2'!$B$8:$B$19,'Oferta Producto 2'!$E$8:$E$19))*$AD14)/$AB14)/24</f>
        <v>0</v>
      </c>
      <c r="L14" s="35">
        <f ca="1">(((_xlfn.XLOOKUP(YEAR($B14),'Oferta Producto 2'!$B$8:$B$19,'Oferta Producto 2'!$E$8:$E$19))*$AD14)/$AB14)/24</f>
        <v>0</v>
      </c>
      <c r="M14" s="35">
        <f ca="1">(((_xlfn.XLOOKUP(YEAR($B14),'Oferta Producto 2'!$B$8:$B$19,'Oferta Producto 2'!$E$8:$E$19))*$AD14)/$AB14)/24</f>
        <v>0</v>
      </c>
      <c r="N14" s="35">
        <f ca="1">(((_xlfn.XLOOKUP(YEAR($B14),'Oferta Producto 2'!$B$8:$B$19,'Oferta Producto 2'!$E$8:$E$19))*$AD14)/$AB14)/24</f>
        <v>0</v>
      </c>
      <c r="O14" s="35">
        <f ca="1">(((_xlfn.XLOOKUP(YEAR($B14),'Oferta Producto 2'!$B$8:$B$19,'Oferta Producto 2'!$E$8:$E$19))*$AD14)/$AB14)/24</f>
        <v>0</v>
      </c>
      <c r="P14" s="35">
        <f ca="1">(((_xlfn.XLOOKUP(YEAR($B14),'Oferta Producto 2'!$B$8:$B$19,'Oferta Producto 2'!$E$8:$E$19))*$AD14)/$AB14)/24</f>
        <v>0</v>
      </c>
      <c r="Q14" s="35">
        <f ca="1">(((_xlfn.XLOOKUP(YEAR($B14),'Oferta Producto 2'!$B$8:$B$19,'Oferta Producto 2'!$E$8:$E$19))*$AD14)/$AB14)/24</f>
        <v>0</v>
      </c>
      <c r="R14" s="35">
        <f ca="1">(((_xlfn.XLOOKUP(YEAR($B14),'Oferta Producto 2'!$B$8:$B$19,'Oferta Producto 2'!$E$8:$E$19))*$AD14)/$AB14)/24</f>
        <v>0</v>
      </c>
      <c r="S14" s="35">
        <f ca="1">(((_xlfn.XLOOKUP(YEAR($B14),'Oferta Producto 2'!$B$8:$B$19,'Oferta Producto 2'!$E$8:$E$19))*$AD14)/$AB14)/24</f>
        <v>0</v>
      </c>
      <c r="T14" s="35">
        <f ca="1">(((_xlfn.XLOOKUP(YEAR($B14),'Oferta Producto 2'!$B$8:$B$19,'Oferta Producto 2'!$E$8:$E$19))*$AD14)/$AB14)/24</f>
        <v>0</v>
      </c>
      <c r="U14" s="35">
        <f ca="1">(((_xlfn.XLOOKUP(YEAR($B14),'Oferta Producto 2'!$B$8:$B$19,'Oferta Producto 2'!$E$8:$E$19))*$AD14)/$AB14)/24</f>
        <v>0</v>
      </c>
      <c r="V14" s="35">
        <f ca="1">(((_xlfn.XLOOKUP(YEAR($B14),'Oferta Producto 2'!$B$8:$B$19,'Oferta Producto 2'!$E$8:$E$19))*$AD14)/$AB14)/24</f>
        <v>0</v>
      </c>
      <c r="W14" s="35">
        <f ca="1">(((_xlfn.XLOOKUP(YEAR($B14),'Oferta Producto 2'!$B$8:$B$19,'Oferta Producto 2'!$E$8:$E$19))*$AD14)/$AB14)/24</f>
        <v>0</v>
      </c>
      <c r="X14" s="35">
        <f ca="1">(((_xlfn.XLOOKUP(YEAR($B14),'Oferta Producto 2'!$B$8:$B$19,'Oferta Producto 2'!$E$8:$E$19))*$AD14)/$AB14)/24</f>
        <v>0</v>
      </c>
      <c r="Y14" s="35">
        <f ca="1">(((_xlfn.XLOOKUP(YEAR($B14),'Oferta Producto 2'!$B$8:$B$19,'Oferta Producto 2'!$E$8:$E$19))*$AD14)/$AB14)/24</f>
        <v>0</v>
      </c>
      <c r="Z14" s="35">
        <f ca="1">(((_xlfn.XLOOKUP(YEAR($B14),'Oferta Producto 2'!$B$8:$B$19,'Oferta Producto 2'!$E$8:$E$19))*$AD14)/$AB14)/24</f>
        <v>0</v>
      </c>
      <c r="AA14" s="35">
        <f t="shared" ca="1" si="1"/>
        <v>0</v>
      </c>
      <c r="AB14" s="28">
        <f t="shared" si="2"/>
        <v>30</v>
      </c>
      <c r="AC14" s="42">
        <f t="shared" ca="1" si="3"/>
        <v>0</v>
      </c>
      <c r="AD14" s="43">
        <v>0.12824536932837552</v>
      </c>
      <c r="AE14" s="8"/>
      <c r="AF14" s="8"/>
      <c r="AG14"/>
    </row>
    <row r="15" spans="1:34" ht="15.75" thickBot="1">
      <c r="A15" s="23">
        <f t="shared" si="0"/>
        <v>2026</v>
      </c>
      <c r="B15" s="27">
        <v>46296</v>
      </c>
      <c r="C15" s="35">
        <f ca="1">(((_xlfn.XLOOKUP(YEAR($B15),'Oferta Producto 2'!$B$8:$B$19,'Oferta Producto 2'!$E$8:$E$19))*$AD15)/$AB15)/24</f>
        <v>0</v>
      </c>
      <c r="D15" s="35">
        <f ca="1">(((_xlfn.XLOOKUP(YEAR($B15),'Oferta Producto 2'!$B$8:$B$19,'Oferta Producto 2'!$E$8:$E$19))*$AD15)/$AB15)/24</f>
        <v>0</v>
      </c>
      <c r="E15" s="35">
        <f ca="1">(((_xlfn.XLOOKUP(YEAR($B15),'Oferta Producto 2'!$B$8:$B$19,'Oferta Producto 2'!$E$8:$E$19))*$AD15)/$AB15)/24</f>
        <v>0</v>
      </c>
      <c r="F15" s="35">
        <f ca="1">(((_xlfn.XLOOKUP(YEAR($B15),'Oferta Producto 2'!$B$8:$B$19,'Oferta Producto 2'!$E$8:$E$19))*$AD15)/$AB15)/24</f>
        <v>0</v>
      </c>
      <c r="G15" s="35">
        <f ca="1">(((_xlfn.XLOOKUP(YEAR($B15),'Oferta Producto 2'!$B$8:$B$19,'Oferta Producto 2'!$E$8:$E$19))*$AD15)/$AB15)/24</f>
        <v>0</v>
      </c>
      <c r="H15" s="35">
        <f ca="1">(((_xlfn.XLOOKUP(YEAR($B15),'Oferta Producto 2'!$B$8:$B$19,'Oferta Producto 2'!$E$8:$E$19))*$AD15)/$AB15)/24</f>
        <v>0</v>
      </c>
      <c r="I15" s="35">
        <f ca="1">(((_xlfn.XLOOKUP(YEAR($B15),'Oferta Producto 2'!$B$8:$B$19,'Oferta Producto 2'!$E$8:$E$19))*$AD15)/$AB15)/24</f>
        <v>0</v>
      </c>
      <c r="J15" s="35">
        <f ca="1">(((_xlfn.XLOOKUP(YEAR($B15),'Oferta Producto 2'!$B$8:$B$19,'Oferta Producto 2'!$E$8:$E$19))*$AD15)/$AB15)/24</f>
        <v>0</v>
      </c>
      <c r="K15" s="35">
        <f ca="1">(((_xlfn.XLOOKUP(YEAR($B15),'Oferta Producto 2'!$B$8:$B$19,'Oferta Producto 2'!$E$8:$E$19))*$AD15)/$AB15)/24</f>
        <v>0</v>
      </c>
      <c r="L15" s="35">
        <f ca="1">(((_xlfn.XLOOKUP(YEAR($B15),'Oferta Producto 2'!$B$8:$B$19,'Oferta Producto 2'!$E$8:$E$19))*$AD15)/$AB15)/24</f>
        <v>0</v>
      </c>
      <c r="M15" s="35">
        <f ca="1">(((_xlfn.XLOOKUP(YEAR($B15),'Oferta Producto 2'!$B$8:$B$19,'Oferta Producto 2'!$E$8:$E$19))*$AD15)/$AB15)/24</f>
        <v>0</v>
      </c>
      <c r="N15" s="35">
        <f ca="1">(((_xlfn.XLOOKUP(YEAR($B15),'Oferta Producto 2'!$B$8:$B$19,'Oferta Producto 2'!$E$8:$E$19))*$AD15)/$AB15)/24</f>
        <v>0</v>
      </c>
      <c r="O15" s="35">
        <f ca="1">(((_xlfn.XLOOKUP(YEAR($B15),'Oferta Producto 2'!$B$8:$B$19,'Oferta Producto 2'!$E$8:$E$19))*$AD15)/$AB15)/24</f>
        <v>0</v>
      </c>
      <c r="P15" s="35">
        <f ca="1">(((_xlfn.XLOOKUP(YEAR($B15),'Oferta Producto 2'!$B$8:$B$19,'Oferta Producto 2'!$E$8:$E$19))*$AD15)/$AB15)/24</f>
        <v>0</v>
      </c>
      <c r="Q15" s="35">
        <f ca="1">(((_xlfn.XLOOKUP(YEAR($B15),'Oferta Producto 2'!$B$8:$B$19,'Oferta Producto 2'!$E$8:$E$19))*$AD15)/$AB15)/24</f>
        <v>0</v>
      </c>
      <c r="R15" s="35">
        <f ca="1">(((_xlfn.XLOOKUP(YEAR($B15),'Oferta Producto 2'!$B$8:$B$19,'Oferta Producto 2'!$E$8:$E$19))*$AD15)/$AB15)/24</f>
        <v>0</v>
      </c>
      <c r="S15" s="35">
        <f ca="1">(((_xlfn.XLOOKUP(YEAR($B15),'Oferta Producto 2'!$B$8:$B$19,'Oferta Producto 2'!$E$8:$E$19))*$AD15)/$AB15)/24</f>
        <v>0</v>
      </c>
      <c r="T15" s="35">
        <f ca="1">(((_xlfn.XLOOKUP(YEAR($B15),'Oferta Producto 2'!$B$8:$B$19,'Oferta Producto 2'!$E$8:$E$19))*$AD15)/$AB15)/24</f>
        <v>0</v>
      </c>
      <c r="U15" s="35">
        <f ca="1">(((_xlfn.XLOOKUP(YEAR($B15),'Oferta Producto 2'!$B$8:$B$19,'Oferta Producto 2'!$E$8:$E$19))*$AD15)/$AB15)/24</f>
        <v>0</v>
      </c>
      <c r="V15" s="35">
        <f ca="1">(((_xlfn.XLOOKUP(YEAR($B15),'Oferta Producto 2'!$B$8:$B$19,'Oferta Producto 2'!$E$8:$E$19))*$AD15)/$AB15)/24</f>
        <v>0</v>
      </c>
      <c r="W15" s="35">
        <f ca="1">(((_xlfn.XLOOKUP(YEAR($B15),'Oferta Producto 2'!$B$8:$B$19,'Oferta Producto 2'!$E$8:$E$19))*$AD15)/$AB15)/24</f>
        <v>0</v>
      </c>
      <c r="X15" s="35">
        <f ca="1">(((_xlfn.XLOOKUP(YEAR($B15),'Oferta Producto 2'!$B$8:$B$19,'Oferta Producto 2'!$E$8:$E$19))*$AD15)/$AB15)/24</f>
        <v>0</v>
      </c>
      <c r="Y15" s="35">
        <f ca="1">(((_xlfn.XLOOKUP(YEAR($B15),'Oferta Producto 2'!$B$8:$B$19,'Oferta Producto 2'!$E$8:$E$19))*$AD15)/$AB15)/24</f>
        <v>0</v>
      </c>
      <c r="Z15" s="35">
        <f ca="1">(((_xlfn.XLOOKUP(YEAR($B15),'Oferta Producto 2'!$B$8:$B$19,'Oferta Producto 2'!$E$8:$E$19))*$AD15)/$AB15)/24</f>
        <v>0</v>
      </c>
      <c r="AA15" s="35">
        <f t="shared" ca="1" si="1"/>
        <v>0</v>
      </c>
      <c r="AB15" s="28">
        <f t="shared" si="2"/>
        <v>31</v>
      </c>
      <c r="AC15" s="42">
        <f t="shared" ca="1" si="3"/>
        <v>0</v>
      </c>
      <c r="AD15" s="43">
        <v>0.12545035061942139</v>
      </c>
      <c r="AE15" s="8"/>
      <c r="AF15" s="8"/>
      <c r="AG15"/>
    </row>
    <row r="16" spans="1:34" ht="15.75" thickBot="1">
      <c r="A16" s="23">
        <f t="shared" si="0"/>
        <v>2026</v>
      </c>
      <c r="B16" s="27">
        <v>46327</v>
      </c>
      <c r="C16" s="35">
        <f ca="1">(((_xlfn.XLOOKUP(YEAR($B16),'Oferta Producto 2'!$B$8:$B$19,'Oferta Producto 2'!$E$8:$E$19))*$AD16)/$AB16)/24</f>
        <v>0</v>
      </c>
      <c r="D16" s="35">
        <f ca="1">(((_xlfn.XLOOKUP(YEAR($B16),'Oferta Producto 2'!$B$8:$B$19,'Oferta Producto 2'!$E$8:$E$19))*$AD16)/$AB16)/24</f>
        <v>0</v>
      </c>
      <c r="E16" s="35">
        <f ca="1">(((_xlfn.XLOOKUP(YEAR($B16),'Oferta Producto 2'!$B$8:$B$19,'Oferta Producto 2'!$E$8:$E$19))*$AD16)/$AB16)/24</f>
        <v>0</v>
      </c>
      <c r="F16" s="35">
        <f ca="1">(((_xlfn.XLOOKUP(YEAR($B16),'Oferta Producto 2'!$B$8:$B$19,'Oferta Producto 2'!$E$8:$E$19))*$AD16)/$AB16)/24</f>
        <v>0</v>
      </c>
      <c r="G16" s="35">
        <f ca="1">(((_xlfn.XLOOKUP(YEAR($B16),'Oferta Producto 2'!$B$8:$B$19,'Oferta Producto 2'!$E$8:$E$19))*$AD16)/$AB16)/24</f>
        <v>0</v>
      </c>
      <c r="H16" s="35">
        <f ca="1">(((_xlfn.XLOOKUP(YEAR($B16),'Oferta Producto 2'!$B$8:$B$19,'Oferta Producto 2'!$E$8:$E$19))*$AD16)/$AB16)/24</f>
        <v>0</v>
      </c>
      <c r="I16" s="35">
        <f ca="1">(((_xlfn.XLOOKUP(YEAR($B16),'Oferta Producto 2'!$B$8:$B$19,'Oferta Producto 2'!$E$8:$E$19))*$AD16)/$AB16)/24</f>
        <v>0</v>
      </c>
      <c r="J16" s="35">
        <f ca="1">(((_xlfn.XLOOKUP(YEAR($B16),'Oferta Producto 2'!$B$8:$B$19,'Oferta Producto 2'!$E$8:$E$19))*$AD16)/$AB16)/24</f>
        <v>0</v>
      </c>
      <c r="K16" s="35">
        <f ca="1">(((_xlfn.XLOOKUP(YEAR($B16),'Oferta Producto 2'!$B$8:$B$19,'Oferta Producto 2'!$E$8:$E$19))*$AD16)/$AB16)/24</f>
        <v>0</v>
      </c>
      <c r="L16" s="35">
        <f ca="1">(((_xlfn.XLOOKUP(YEAR($B16),'Oferta Producto 2'!$B$8:$B$19,'Oferta Producto 2'!$E$8:$E$19))*$AD16)/$AB16)/24</f>
        <v>0</v>
      </c>
      <c r="M16" s="35">
        <f ca="1">(((_xlfn.XLOOKUP(YEAR($B16),'Oferta Producto 2'!$B$8:$B$19,'Oferta Producto 2'!$E$8:$E$19))*$AD16)/$AB16)/24</f>
        <v>0</v>
      </c>
      <c r="N16" s="35">
        <f ca="1">(((_xlfn.XLOOKUP(YEAR($B16),'Oferta Producto 2'!$B$8:$B$19,'Oferta Producto 2'!$E$8:$E$19))*$AD16)/$AB16)/24</f>
        <v>0</v>
      </c>
      <c r="O16" s="35">
        <f ca="1">(((_xlfn.XLOOKUP(YEAR($B16),'Oferta Producto 2'!$B$8:$B$19,'Oferta Producto 2'!$E$8:$E$19))*$AD16)/$AB16)/24</f>
        <v>0</v>
      </c>
      <c r="P16" s="35">
        <f ca="1">(((_xlfn.XLOOKUP(YEAR($B16),'Oferta Producto 2'!$B$8:$B$19,'Oferta Producto 2'!$E$8:$E$19))*$AD16)/$AB16)/24</f>
        <v>0</v>
      </c>
      <c r="Q16" s="35">
        <f ca="1">(((_xlfn.XLOOKUP(YEAR($B16),'Oferta Producto 2'!$B$8:$B$19,'Oferta Producto 2'!$E$8:$E$19))*$AD16)/$AB16)/24</f>
        <v>0</v>
      </c>
      <c r="R16" s="35">
        <f ca="1">(((_xlfn.XLOOKUP(YEAR($B16),'Oferta Producto 2'!$B$8:$B$19,'Oferta Producto 2'!$E$8:$E$19))*$AD16)/$AB16)/24</f>
        <v>0</v>
      </c>
      <c r="S16" s="35">
        <f ca="1">(((_xlfn.XLOOKUP(YEAR($B16),'Oferta Producto 2'!$B$8:$B$19,'Oferta Producto 2'!$E$8:$E$19))*$AD16)/$AB16)/24</f>
        <v>0</v>
      </c>
      <c r="T16" s="35">
        <f ca="1">(((_xlfn.XLOOKUP(YEAR($B16),'Oferta Producto 2'!$B$8:$B$19,'Oferta Producto 2'!$E$8:$E$19))*$AD16)/$AB16)/24</f>
        <v>0</v>
      </c>
      <c r="U16" s="35">
        <f ca="1">(((_xlfn.XLOOKUP(YEAR($B16),'Oferta Producto 2'!$B$8:$B$19,'Oferta Producto 2'!$E$8:$E$19))*$AD16)/$AB16)/24</f>
        <v>0</v>
      </c>
      <c r="V16" s="35">
        <f ca="1">(((_xlfn.XLOOKUP(YEAR($B16),'Oferta Producto 2'!$B$8:$B$19,'Oferta Producto 2'!$E$8:$E$19))*$AD16)/$AB16)/24</f>
        <v>0</v>
      </c>
      <c r="W16" s="35">
        <f ca="1">(((_xlfn.XLOOKUP(YEAR($B16),'Oferta Producto 2'!$B$8:$B$19,'Oferta Producto 2'!$E$8:$E$19))*$AD16)/$AB16)/24</f>
        <v>0</v>
      </c>
      <c r="X16" s="35">
        <f ca="1">(((_xlfn.XLOOKUP(YEAR($B16),'Oferta Producto 2'!$B$8:$B$19,'Oferta Producto 2'!$E$8:$E$19))*$AD16)/$AB16)/24</f>
        <v>0</v>
      </c>
      <c r="Y16" s="35">
        <f ca="1">(((_xlfn.XLOOKUP(YEAR($B16),'Oferta Producto 2'!$B$8:$B$19,'Oferta Producto 2'!$E$8:$E$19))*$AD16)/$AB16)/24</f>
        <v>0</v>
      </c>
      <c r="Z16" s="35">
        <f ca="1">(((_xlfn.XLOOKUP(YEAR($B16),'Oferta Producto 2'!$B$8:$B$19,'Oferta Producto 2'!$E$8:$E$19))*$AD16)/$AB16)/24</f>
        <v>0</v>
      </c>
      <c r="AA16" s="35">
        <f t="shared" ca="1" si="1"/>
        <v>0</v>
      </c>
      <c r="AB16" s="28">
        <f t="shared" si="2"/>
        <v>30</v>
      </c>
      <c r="AC16" s="42">
        <f t="shared" ca="1" si="3"/>
        <v>0</v>
      </c>
      <c r="AD16" s="43">
        <v>0.12824536932837552</v>
      </c>
      <c r="AE16" s="8"/>
      <c r="AF16" s="8"/>
      <c r="AG16"/>
    </row>
    <row r="17" spans="1:33" ht="15.75" thickBot="1">
      <c r="A17" s="23">
        <f t="shared" si="0"/>
        <v>2026</v>
      </c>
      <c r="B17" s="27">
        <v>46357</v>
      </c>
      <c r="C17" s="35">
        <f ca="1">(((_xlfn.XLOOKUP(YEAR($B17),'Oferta Producto 2'!$B$8:$B$19,'Oferta Producto 2'!$E$8:$E$19))*$AD17)/$AB17)/24</f>
        <v>0</v>
      </c>
      <c r="D17" s="35">
        <f ca="1">(((_xlfn.XLOOKUP(YEAR($B17),'Oferta Producto 2'!$B$8:$B$19,'Oferta Producto 2'!$E$8:$E$19))*$AD17)/$AB17)/24</f>
        <v>0</v>
      </c>
      <c r="E17" s="35">
        <f ca="1">(((_xlfn.XLOOKUP(YEAR($B17),'Oferta Producto 2'!$B$8:$B$19,'Oferta Producto 2'!$E$8:$E$19))*$AD17)/$AB17)/24</f>
        <v>0</v>
      </c>
      <c r="F17" s="35">
        <f ca="1">(((_xlfn.XLOOKUP(YEAR($B17),'Oferta Producto 2'!$B$8:$B$19,'Oferta Producto 2'!$E$8:$E$19))*$AD17)/$AB17)/24</f>
        <v>0</v>
      </c>
      <c r="G17" s="35">
        <f ca="1">(((_xlfn.XLOOKUP(YEAR($B17),'Oferta Producto 2'!$B$8:$B$19,'Oferta Producto 2'!$E$8:$E$19))*$AD17)/$AB17)/24</f>
        <v>0</v>
      </c>
      <c r="H17" s="35">
        <f ca="1">(((_xlfn.XLOOKUP(YEAR($B17),'Oferta Producto 2'!$B$8:$B$19,'Oferta Producto 2'!$E$8:$E$19))*$AD17)/$AB17)/24</f>
        <v>0</v>
      </c>
      <c r="I17" s="35">
        <f ca="1">(((_xlfn.XLOOKUP(YEAR($B17),'Oferta Producto 2'!$B$8:$B$19,'Oferta Producto 2'!$E$8:$E$19))*$AD17)/$AB17)/24</f>
        <v>0</v>
      </c>
      <c r="J17" s="35">
        <f ca="1">(((_xlfn.XLOOKUP(YEAR($B17),'Oferta Producto 2'!$B$8:$B$19,'Oferta Producto 2'!$E$8:$E$19))*$AD17)/$AB17)/24</f>
        <v>0</v>
      </c>
      <c r="K17" s="35">
        <f ca="1">(((_xlfn.XLOOKUP(YEAR($B17),'Oferta Producto 2'!$B$8:$B$19,'Oferta Producto 2'!$E$8:$E$19))*$AD17)/$AB17)/24</f>
        <v>0</v>
      </c>
      <c r="L17" s="35">
        <f ca="1">(((_xlfn.XLOOKUP(YEAR($B17),'Oferta Producto 2'!$B$8:$B$19,'Oferta Producto 2'!$E$8:$E$19))*$AD17)/$AB17)/24</f>
        <v>0</v>
      </c>
      <c r="M17" s="35">
        <f ca="1">(((_xlfn.XLOOKUP(YEAR($B17),'Oferta Producto 2'!$B$8:$B$19,'Oferta Producto 2'!$E$8:$E$19))*$AD17)/$AB17)/24</f>
        <v>0</v>
      </c>
      <c r="N17" s="35">
        <f ca="1">(((_xlfn.XLOOKUP(YEAR($B17),'Oferta Producto 2'!$B$8:$B$19,'Oferta Producto 2'!$E$8:$E$19))*$AD17)/$AB17)/24</f>
        <v>0</v>
      </c>
      <c r="O17" s="35">
        <f ca="1">(((_xlfn.XLOOKUP(YEAR($B17),'Oferta Producto 2'!$B$8:$B$19,'Oferta Producto 2'!$E$8:$E$19))*$AD17)/$AB17)/24</f>
        <v>0</v>
      </c>
      <c r="P17" s="35">
        <f ca="1">(((_xlfn.XLOOKUP(YEAR($B17),'Oferta Producto 2'!$B$8:$B$19,'Oferta Producto 2'!$E$8:$E$19))*$AD17)/$AB17)/24</f>
        <v>0</v>
      </c>
      <c r="Q17" s="35">
        <f ca="1">(((_xlfn.XLOOKUP(YEAR($B17),'Oferta Producto 2'!$B$8:$B$19,'Oferta Producto 2'!$E$8:$E$19))*$AD17)/$AB17)/24</f>
        <v>0</v>
      </c>
      <c r="R17" s="35">
        <f ca="1">(((_xlfn.XLOOKUP(YEAR($B17),'Oferta Producto 2'!$B$8:$B$19,'Oferta Producto 2'!$E$8:$E$19))*$AD17)/$AB17)/24</f>
        <v>0</v>
      </c>
      <c r="S17" s="35">
        <f ca="1">(((_xlfn.XLOOKUP(YEAR($B17),'Oferta Producto 2'!$B$8:$B$19,'Oferta Producto 2'!$E$8:$E$19))*$AD17)/$AB17)/24</f>
        <v>0</v>
      </c>
      <c r="T17" s="35">
        <f ca="1">(((_xlfn.XLOOKUP(YEAR($B17),'Oferta Producto 2'!$B$8:$B$19,'Oferta Producto 2'!$E$8:$E$19))*$AD17)/$AB17)/24</f>
        <v>0</v>
      </c>
      <c r="U17" s="35">
        <f ca="1">(((_xlfn.XLOOKUP(YEAR($B17),'Oferta Producto 2'!$B$8:$B$19,'Oferta Producto 2'!$E$8:$E$19))*$AD17)/$AB17)/24</f>
        <v>0</v>
      </c>
      <c r="V17" s="35">
        <f ca="1">(((_xlfn.XLOOKUP(YEAR($B17),'Oferta Producto 2'!$B$8:$B$19,'Oferta Producto 2'!$E$8:$E$19))*$AD17)/$AB17)/24</f>
        <v>0</v>
      </c>
      <c r="W17" s="35">
        <f ca="1">(((_xlfn.XLOOKUP(YEAR($B17),'Oferta Producto 2'!$B$8:$B$19,'Oferta Producto 2'!$E$8:$E$19))*$AD17)/$AB17)/24</f>
        <v>0</v>
      </c>
      <c r="X17" s="35">
        <f ca="1">(((_xlfn.XLOOKUP(YEAR($B17),'Oferta Producto 2'!$B$8:$B$19,'Oferta Producto 2'!$E$8:$E$19))*$AD17)/$AB17)/24</f>
        <v>0</v>
      </c>
      <c r="Y17" s="35">
        <f ca="1">(((_xlfn.XLOOKUP(YEAR($B17),'Oferta Producto 2'!$B$8:$B$19,'Oferta Producto 2'!$E$8:$E$19))*$AD17)/$AB17)/24</f>
        <v>0</v>
      </c>
      <c r="Z17" s="35">
        <f ca="1">(((_xlfn.XLOOKUP(YEAR($B17),'Oferta Producto 2'!$B$8:$B$19,'Oferta Producto 2'!$E$8:$E$19))*$AD17)/$AB17)/24</f>
        <v>0</v>
      </c>
      <c r="AA17" s="35">
        <f t="shared" ca="1" si="1"/>
        <v>0</v>
      </c>
      <c r="AB17" s="28">
        <f t="shared" si="2"/>
        <v>31</v>
      </c>
      <c r="AC17" s="42">
        <f t="shared" ca="1" si="3"/>
        <v>0</v>
      </c>
      <c r="AD17" s="43">
        <v>0.12545035061942139</v>
      </c>
      <c r="AE17" s="8"/>
      <c r="AF17" s="8"/>
      <c r="AG17"/>
    </row>
    <row r="18" spans="1:33" ht="15.75" thickBot="1">
      <c r="A18" s="23">
        <f t="shared" si="0"/>
        <v>2027</v>
      </c>
      <c r="B18" s="27">
        <v>46388</v>
      </c>
      <c r="C18" s="35">
        <f ca="1">(((_xlfn.XLOOKUP(YEAR($B18),'Oferta Producto 2'!$B$8:$B$19,'Oferta Producto 2'!$E$8:$E$19))*$AD18)/$AB18)/24</f>
        <v>0</v>
      </c>
      <c r="D18" s="35">
        <f ca="1">(((_xlfn.XLOOKUP(YEAR($B18),'Oferta Producto 2'!$B$8:$B$19,'Oferta Producto 2'!$E$8:$E$19))*$AD18)/$AB18)/24</f>
        <v>0</v>
      </c>
      <c r="E18" s="35">
        <f ca="1">(((_xlfn.XLOOKUP(YEAR($B18),'Oferta Producto 2'!$B$8:$B$19,'Oferta Producto 2'!$E$8:$E$19))*$AD18)/$AB18)/24</f>
        <v>0</v>
      </c>
      <c r="F18" s="35">
        <f ca="1">(((_xlfn.XLOOKUP(YEAR($B18),'Oferta Producto 2'!$B$8:$B$19,'Oferta Producto 2'!$E$8:$E$19))*$AD18)/$AB18)/24</f>
        <v>0</v>
      </c>
      <c r="G18" s="35">
        <f ca="1">(((_xlfn.XLOOKUP(YEAR($B18),'Oferta Producto 2'!$B$8:$B$19,'Oferta Producto 2'!$E$8:$E$19))*$AD18)/$AB18)/24</f>
        <v>0</v>
      </c>
      <c r="H18" s="35">
        <f ca="1">(((_xlfn.XLOOKUP(YEAR($B18),'Oferta Producto 2'!$B$8:$B$19,'Oferta Producto 2'!$E$8:$E$19))*$AD18)/$AB18)/24</f>
        <v>0</v>
      </c>
      <c r="I18" s="35">
        <f ca="1">(((_xlfn.XLOOKUP(YEAR($B18),'Oferta Producto 2'!$B$8:$B$19,'Oferta Producto 2'!$E$8:$E$19))*$AD18)/$AB18)/24</f>
        <v>0</v>
      </c>
      <c r="J18" s="35">
        <f ca="1">(((_xlfn.XLOOKUP(YEAR($B18),'Oferta Producto 2'!$B$8:$B$19,'Oferta Producto 2'!$E$8:$E$19))*$AD18)/$AB18)/24</f>
        <v>0</v>
      </c>
      <c r="K18" s="35">
        <f ca="1">(((_xlfn.XLOOKUP(YEAR($B18),'Oferta Producto 2'!$B$8:$B$19,'Oferta Producto 2'!$E$8:$E$19))*$AD18)/$AB18)/24</f>
        <v>0</v>
      </c>
      <c r="L18" s="35">
        <f ca="1">(((_xlfn.XLOOKUP(YEAR($B18),'Oferta Producto 2'!$B$8:$B$19,'Oferta Producto 2'!$E$8:$E$19))*$AD18)/$AB18)/24</f>
        <v>0</v>
      </c>
      <c r="M18" s="35">
        <f ca="1">(((_xlfn.XLOOKUP(YEAR($B18),'Oferta Producto 2'!$B$8:$B$19,'Oferta Producto 2'!$E$8:$E$19))*$AD18)/$AB18)/24</f>
        <v>0</v>
      </c>
      <c r="N18" s="35">
        <f ca="1">(((_xlfn.XLOOKUP(YEAR($B18),'Oferta Producto 2'!$B$8:$B$19,'Oferta Producto 2'!$E$8:$E$19))*$AD18)/$AB18)/24</f>
        <v>0</v>
      </c>
      <c r="O18" s="35">
        <f ca="1">(((_xlfn.XLOOKUP(YEAR($B18),'Oferta Producto 2'!$B$8:$B$19,'Oferta Producto 2'!$E$8:$E$19))*$AD18)/$AB18)/24</f>
        <v>0</v>
      </c>
      <c r="P18" s="35">
        <f ca="1">(((_xlfn.XLOOKUP(YEAR($B18),'Oferta Producto 2'!$B$8:$B$19,'Oferta Producto 2'!$E$8:$E$19))*$AD18)/$AB18)/24</f>
        <v>0</v>
      </c>
      <c r="Q18" s="35">
        <f ca="1">(((_xlfn.XLOOKUP(YEAR($B18),'Oferta Producto 2'!$B$8:$B$19,'Oferta Producto 2'!$E$8:$E$19))*$AD18)/$AB18)/24</f>
        <v>0</v>
      </c>
      <c r="R18" s="35">
        <f ca="1">(((_xlfn.XLOOKUP(YEAR($B18),'Oferta Producto 2'!$B$8:$B$19,'Oferta Producto 2'!$E$8:$E$19))*$AD18)/$AB18)/24</f>
        <v>0</v>
      </c>
      <c r="S18" s="35">
        <f ca="1">(((_xlfn.XLOOKUP(YEAR($B18),'Oferta Producto 2'!$B$8:$B$19,'Oferta Producto 2'!$E$8:$E$19))*$AD18)/$AB18)/24</f>
        <v>0</v>
      </c>
      <c r="T18" s="35">
        <f ca="1">(((_xlfn.XLOOKUP(YEAR($B18),'Oferta Producto 2'!$B$8:$B$19,'Oferta Producto 2'!$E$8:$E$19))*$AD18)/$AB18)/24</f>
        <v>0</v>
      </c>
      <c r="U18" s="35">
        <f ca="1">(((_xlfn.XLOOKUP(YEAR($B18),'Oferta Producto 2'!$B$8:$B$19,'Oferta Producto 2'!$E$8:$E$19))*$AD18)/$AB18)/24</f>
        <v>0</v>
      </c>
      <c r="V18" s="35">
        <f ca="1">(((_xlfn.XLOOKUP(YEAR($B18),'Oferta Producto 2'!$B$8:$B$19,'Oferta Producto 2'!$E$8:$E$19))*$AD18)/$AB18)/24</f>
        <v>0</v>
      </c>
      <c r="W18" s="35">
        <f ca="1">(((_xlfn.XLOOKUP(YEAR($B18),'Oferta Producto 2'!$B$8:$B$19,'Oferta Producto 2'!$E$8:$E$19))*$AD18)/$AB18)/24</f>
        <v>0</v>
      </c>
      <c r="X18" s="35">
        <f ca="1">(((_xlfn.XLOOKUP(YEAR($B18),'Oferta Producto 2'!$B$8:$B$19,'Oferta Producto 2'!$E$8:$E$19))*$AD18)/$AB18)/24</f>
        <v>0</v>
      </c>
      <c r="Y18" s="35">
        <f ca="1">(((_xlfn.XLOOKUP(YEAR($B18),'Oferta Producto 2'!$B$8:$B$19,'Oferta Producto 2'!$E$8:$E$19))*$AD18)/$AB18)/24</f>
        <v>0</v>
      </c>
      <c r="Z18" s="35">
        <f ca="1">(((_xlfn.XLOOKUP(YEAR($B18),'Oferta Producto 2'!$B$8:$B$19,'Oferta Producto 2'!$E$8:$E$19))*$AD18)/$AB18)/24</f>
        <v>0</v>
      </c>
      <c r="AA18" s="35">
        <f ca="1">SUM(C18:Z18)</f>
        <v>0</v>
      </c>
      <c r="AB18" s="28">
        <f t="shared" si="2"/>
        <v>31</v>
      </c>
      <c r="AC18" s="42">
        <f t="shared" ca="1" si="3"/>
        <v>0</v>
      </c>
      <c r="AD18" s="43">
        <v>8.2264171374422282E-2</v>
      </c>
      <c r="AE18" s="8"/>
      <c r="AF18" s="8"/>
      <c r="AG18"/>
    </row>
    <row r="19" spans="1:33" ht="15.75" thickBot="1">
      <c r="A19" s="23">
        <f t="shared" si="0"/>
        <v>2027</v>
      </c>
      <c r="B19" s="27">
        <v>46419</v>
      </c>
      <c r="C19" s="35">
        <f ca="1">(((_xlfn.XLOOKUP(YEAR($B19),'Oferta Producto 2'!$B$8:$B$19,'Oferta Producto 2'!$E$8:$E$19))*$AD19)/$AB19)/24</f>
        <v>0</v>
      </c>
      <c r="D19" s="35">
        <f ca="1">(((_xlfn.XLOOKUP(YEAR($B19),'Oferta Producto 2'!$B$8:$B$19,'Oferta Producto 2'!$E$8:$E$19))*$AD19)/$AB19)/24</f>
        <v>0</v>
      </c>
      <c r="E19" s="35">
        <f ca="1">(((_xlfn.XLOOKUP(YEAR($B19),'Oferta Producto 2'!$B$8:$B$19,'Oferta Producto 2'!$E$8:$E$19))*$AD19)/$AB19)/24</f>
        <v>0</v>
      </c>
      <c r="F19" s="35">
        <f ca="1">(((_xlfn.XLOOKUP(YEAR($B19),'Oferta Producto 2'!$B$8:$B$19,'Oferta Producto 2'!$E$8:$E$19))*$AD19)/$AB19)/24</f>
        <v>0</v>
      </c>
      <c r="G19" s="35">
        <f ca="1">(((_xlfn.XLOOKUP(YEAR($B19),'Oferta Producto 2'!$B$8:$B$19,'Oferta Producto 2'!$E$8:$E$19))*$AD19)/$AB19)/24</f>
        <v>0</v>
      </c>
      <c r="H19" s="35">
        <f ca="1">(((_xlfn.XLOOKUP(YEAR($B19),'Oferta Producto 2'!$B$8:$B$19,'Oferta Producto 2'!$E$8:$E$19))*$AD19)/$AB19)/24</f>
        <v>0</v>
      </c>
      <c r="I19" s="35">
        <f ca="1">(((_xlfn.XLOOKUP(YEAR($B19),'Oferta Producto 2'!$B$8:$B$19,'Oferta Producto 2'!$E$8:$E$19))*$AD19)/$AB19)/24</f>
        <v>0</v>
      </c>
      <c r="J19" s="35">
        <f ca="1">(((_xlfn.XLOOKUP(YEAR($B19),'Oferta Producto 2'!$B$8:$B$19,'Oferta Producto 2'!$E$8:$E$19))*$AD19)/$AB19)/24</f>
        <v>0</v>
      </c>
      <c r="K19" s="35">
        <f ca="1">(((_xlfn.XLOOKUP(YEAR($B19),'Oferta Producto 2'!$B$8:$B$19,'Oferta Producto 2'!$E$8:$E$19))*$AD19)/$AB19)/24</f>
        <v>0</v>
      </c>
      <c r="L19" s="35">
        <f ca="1">(((_xlfn.XLOOKUP(YEAR($B19),'Oferta Producto 2'!$B$8:$B$19,'Oferta Producto 2'!$E$8:$E$19))*$AD19)/$AB19)/24</f>
        <v>0</v>
      </c>
      <c r="M19" s="35">
        <f ca="1">(((_xlfn.XLOOKUP(YEAR($B19),'Oferta Producto 2'!$B$8:$B$19,'Oferta Producto 2'!$E$8:$E$19))*$AD19)/$AB19)/24</f>
        <v>0</v>
      </c>
      <c r="N19" s="35">
        <f ca="1">(((_xlfn.XLOOKUP(YEAR($B19),'Oferta Producto 2'!$B$8:$B$19,'Oferta Producto 2'!$E$8:$E$19))*$AD19)/$AB19)/24</f>
        <v>0</v>
      </c>
      <c r="O19" s="35">
        <f ca="1">(((_xlfn.XLOOKUP(YEAR($B19),'Oferta Producto 2'!$B$8:$B$19,'Oferta Producto 2'!$E$8:$E$19))*$AD19)/$AB19)/24</f>
        <v>0</v>
      </c>
      <c r="P19" s="35">
        <f ca="1">(((_xlfn.XLOOKUP(YEAR($B19),'Oferta Producto 2'!$B$8:$B$19,'Oferta Producto 2'!$E$8:$E$19))*$AD19)/$AB19)/24</f>
        <v>0</v>
      </c>
      <c r="Q19" s="35">
        <f ca="1">(((_xlfn.XLOOKUP(YEAR($B19),'Oferta Producto 2'!$B$8:$B$19,'Oferta Producto 2'!$E$8:$E$19))*$AD19)/$AB19)/24</f>
        <v>0</v>
      </c>
      <c r="R19" s="35">
        <f ca="1">(((_xlfn.XLOOKUP(YEAR($B19),'Oferta Producto 2'!$B$8:$B$19,'Oferta Producto 2'!$E$8:$E$19))*$AD19)/$AB19)/24</f>
        <v>0</v>
      </c>
      <c r="S19" s="35">
        <f ca="1">(((_xlfn.XLOOKUP(YEAR($B19),'Oferta Producto 2'!$B$8:$B$19,'Oferta Producto 2'!$E$8:$E$19))*$AD19)/$AB19)/24</f>
        <v>0</v>
      </c>
      <c r="T19" s="35">
        <f ca="1">(((_xlfn.XLOOKUP(YEAR($B19),'Oferta Producto 2'!$B$8:$B$19,'Oferta Producto 2'!$E$8:$E$19))*$AD19)/$AB19)/24</f>
        <v>0</v>
      </c>
      <c r="U19" s="35">
        <f ca="1">(((_xlfn.XLOOKUP(YEAR($B19),'Oferta Producto 2'!$B$8:$B$19,'Oferta Producto 2'!$E$8:$E$19))*$AD19)/$AB19)/24</f>
        <v>0</v>
      </c>
      <c r="V19" s="35">
        <f ca="1">(((_xlfn.XLOOKUP(YEAR($B19),'Oferta Producto 2'!$B$8:$B$19,'Oferta Producto 2'!$E$8:$E$19))*$AD19)/$AB19)/24</f>
        <v>0</v>
      </c>
      <c r="W19" s="35">
        <f ca="1">(((_xlfn.XLOOKUP(YEAR($B19),'Oferta Producto 2'!$B$8:$B$19,'Oferta Producto 2'!$E$8:$E$19))*$AD19)/$AB19)/24</f>
        <v>0</v>
      </c>
      <c r="X19" s="35">
        <f ca="1">(((_xlfn.XLOOKUP(YEAR($B19),'Oferta Producto 2'!$B$8:$B$19,'Oferta Producto 2'!$E$8:$E$19))*$AD19)/$AB19)/24</f>
        <v>0</v>
      </c>
      <c r="Y19" s="35">
        <f ca="1">(((_xlfn.XLOOKUP(YEAR($B19),'Oferta Producto 2'!$B$8:$B$19,'Oferta Producto 2'!$E$8:$E$19))*$AD19)/$AB19)/24</f>
        <v>0</v>
      </c>
      <c r="Z19" s="35">
        <f ca="1">(((_xlfn.XLOOKUP(YEAR($B19),'Oferta Producto 2'!$B$8:$B$19,'Oferta Producto 2'!$E$8:$E$19))*$AD19)/$AB19)/24</f>
        <v>0</v>
      </c>
      <c r="AA19" s="35">
        <f t="shared" ref="AA19:AA29" ca="1" si="4">SUM(C19:Z19)</f>
        <v>0</v>
      </c>
      <c r="AB19" s="28">
        <f t="shared" si="2"/>
        <v>28</v>
      </c>
      <c r="AC19" s="42">
        <f t="shared" ca="1" si="3"/>
        <v>0</v>
      </c>
      <c r="AD19" s="43">
        <v>8.7762718591679195E-2</v>
      </c>
      <c r="AE19" s="8"/>
      <c r="AF19" s="8"/>
      <c r="AG19"/>
    </row>
    <row r="20" spans="1:33" ht="15.75" thickBot="1">
      <c r="A20" s="23">
        <f t="shared" si="0"/>
        <v>2027</v>
      </c>
      <c r="B20" s="27">
        <v>46447</v>
      </c>
      <c r="C20" s="35">
        <f ca="1">(((_xlfn.XLOOKUP(YEAR($B20),'Oferta Producto 2'!$B$8:$B$19,'Oferta Producto 2'!$E$8:$E$19))*$AD20)/$AB20)/24</f>
        <v>0</v>
      </c>
      <c r="D20" s="35">
        <f ca="1">(((_xlfn.XLOOKUP(YEAR($B20),'Oferta Producto 2'!$B$8:$B$19,'Oferta Producto 2'!$E$8:$E$19))*$AD20)/$AB20)/24</f>
        <v>0</v>
      </c>
      <c r="E20" s="35">
        <f ca="1">(((_xlfn.XLOOKUP(YEAR($B20),'Oferta Producto 2'!$B$8:$B$19,'Oferta Producto 2'!$E$8:$E$19))*$AD20)/$AB20)/24</f>
        <v>0</v>
      </c>
      <c r="F20" s="35">
        <f ca="1">(((_xlfn.XLOOKUP(YEAR($B20),'Oferta Producto 2'!$B$8:$B$19,'Oferta Producto 2'!$E$8:$E$19))*$AD20)/$AB20)/24</f>
        <v>0</v>
      </c>
      <c r="G20" s="35">
        <f ca="1">(((_xlfn.XLOOKUP(YEAR($B20),'Oferta Producto 2'!$B$8:$B$19,'Oferta Producto 2'!$E$8:$E$19))*$AD20)/$AB20)/24</f>
        <v>0</v>
      </c>
      <c r="H20" s="35">
        <f ca="1">(((_xlfn.XLOOKUP(YEAR($B20),'Oferta Producto 2'!$B$8:$B$19,'Oferta Producto 2'!$E$8:$E$19))*$AD20)/$AB20)/24</f>
        <v>0</v>
      </c>
      <c r="I20" s="35">
        <f ca="1">(((_xlfn.XLOOKUP(YEAR($B20),'Oferta Producto 2'!$B$8:$B$19,'Oferta Producto 2'!$E$8:$E$19))*$AD20)/$AB20)/24</f>
        <v>0</v>
      </c>
      <c r="J20" s="35">
        <f ca="1">(((_xlfn.XLOOKUP(YEAR($B20),'Oferta Producto 2'!$B$8:$B$19,'Oferta Producto 2'!$E$8:$E$19))*$AD20)/$AB20)/24</f>
        <v>0</v>
      </c>
      <c r="K20" s="35">
        <f ca="1">(((_xlfn.XLOOKUP(YEAR($B20),'Oferta Producto 2'!$B$8:$B$19,'Oferta Producto 2'!$E$8:$E$19))*$AD20)/$AB20)/24</f>
        <v>0</v>
      </c>
      <c r="L20" s="35">
        <f ca="1">(((_xlfn.XLOOKUP(YEAR($B20),'Oferta Producto 2'!$B$8:$B$19,'Oferta Producto 2'!$E$8:$E$19))*$AD20)/$AB20)/24</f>
        <v>0</v>
      </c>
      <c r="M20" s="35">
        <f ca="1">(((_xlfn.XLOOKUP(YEAR($B20),'Oferta Producto 2'!$B$8:$B$19,'Oferta Producto 2'!$E$8:$E$19))*$AD20)/$AB20)/24</f>
        <v>0</v>
      </c>
      <c r="N20" s="35">
        <f ca="1">(((_xlfn.XLOOKUP(YEAR($B20),'Oferta Producto 2'!$B$8:$B$19,'Oferta Producto 2'!$E$8:$E$19))*$AD20)/$AB20)/24</f>
        <v>0</v>
      </c>
      <c r="O20" s="35">
        <f ca="1">(((_xlfn.XLOOKUP(YEAR($B20),'Oferta Producto 2'!$B$8:$B$19,'Oferta Producto 2'!$E$8:$E$19))*$AD20)/$AB20)/24</f>
        <v>0</v>
      </c>
      <c r="P20" s="35">
        <f ca="1">(((_xlfn.XLOOKUP(YEAR($B20),'Oferta Producto 2'!$B$8:$B$19,'Oferta Producto 2'!$E$8:$E$19))*$AD20)/$AB20)/24</f>
        <v>0</v>
      </c>
      <c r="Q20" s="35">
        <f ca="1">(((_xlfn.XLOOKUP(YEAR($B20),'Oferta Producto 2'!$B$8:$B$19,'Oferta Producto 2'!$E$8:$E$19))*$AD20)/$AB20)/24</f>
        <v>0</v>
      </c>
      <c r="R20" s="35">
        <f ca="1">(((_xlfn.XLOOKUP(YEAR($B20),'Oferta Producto 2'!$B$8:$B$19,'Oferta Producto 2'!$E$8:$E$19))*$AD20)/$AB20)/24</f>
        <v>0</v>
      </c>
      <c r="S20" s="35">
        <f ca="1">(((_xlfn.XLOOKUP(YEAR($B20),'Oferta Producto 2'!$B$8:$B$19,'Oferta Producto 2'!$E$8:$E$19))*$AD20)/$AB20)/24</f>
        <v>0</v>
      </c>
      <c r="T20" s="35">
        <f ca="1">(((_xlfn.XLOOKUP(YEAR($B20),'Oferta Producto 2'!$B$8:$B$19,'Oferta Producto 2'!$E$8:$E$19))*$AD20)/$AB20)/24</f>
        <v>0</v>
      </c>
      <c r="U20" s="35">
        <f ca="1">(((_xlfn.XLOOKUP(YEAR($B20),'Oferta Producto 2'!$B$8:$B$19,'Oferta Producto 2'!$E$8:$E$19))*$AD20)/$AB20)/24</f>
        <v>0</v>
      </c>
      <c r="V20" s="35">
        <f ca="1">(((_xlfn.XLOOKUP(YEAR($B20),'Oferta Producto 2'!$B$8:$B$19,'Oferta Producto 2'!$E$8:$E$19))*$AD20)/$AB20)/24</f>
        <v>0</v>
      </c>
      <c r="W20" s="35">
        <f ca="1">(((_xlfn.XLOOKUP(YEAR($B20),'Oferta Producto 2'!$B$8:$B$19,'Oferta Producto 2'!$E$8:$E$19))*$AD20)/$AB20)/24</f>
        <v>0</v>
      </c>
      <c r="X20" s="35">
        <f ca="1">(((_xlfn.XLOOKUP(YEAR($B20),'Oferta Producto 2'!$B$8:$B$19,'Oferta Producto 2'!$E$8:$E$19))*$AD20)/$AB20)/24</f>
        <v>0</v>
      </c>
      <c r="Y20" s="35">
        <f ca="1">(((_xlfn.XLOOKUP(YEAR($B20),'Oferta Producto 2'!$B$8:$B$19,'Oferta Producto 2'!$E$8:$E$19))*$AD20)/$AB20)/24</f>
        <v>0</v>
      </c>
      <c r="Z20" s="35">
        <f ca="1">(((_xlfn.XLOOKUP(YEAR($B20),'Oferta Producto 2'!$B$8:$B$19,'Oferta Producto 2'!$E$8:$E$19))*$AD20)/$AB20)/24</f>
        <v>0</v>
      </c>
      <c r="AA20" s="35">
        <f t="shared" ca="1" si="4"/>
        <v>0</v>
      </c>
      <c r="AB20" s="28">
        <f t="shared" si="2"/>
        <v>31</v>
      </c>
      <c r="AC20" s="42">
        <f t="shared" ca="1" si="3"/>
        <v>0</v>
      </c>
      <c r="AD20" s="43">
        <v>8.2264171374422282E-2</v>
      </c>
      <c r="AE20" s="8"/>
      <c r="AF20" s="8"/>
      <c r="AG20"/>
    </row>
    <row r="21" spans="1:33" ht="15.75" thickBot="1">
      <c r="A21" s="23">
        <f t="shared" si="0"/>
        <v>2027</v>
      </c>
      <c r="B21" s="27">
        <v>46478</v>
      </c>
      <c r="C21" s="35">
        <f ca="1">(((_xlfn.XLOOKUP(YEAR($B21),'Oferta Producto 2'!$B$8:$B$19,'Oferta Producto 2'!$E$8:$E$19))*$AD21)/$AB21)/24</f>
        <v>0</v>
      </c>
      <c r="D21" s="35">
        <f ca="1">(((_xlfn.XLOOKUP(YEAR($B21),'Oferta Producto 2'!$B$8:$B$19,'Oferta Producto 2'!$E$8:$E$19))*$AD21)/$AB21)/24</f>
        <v>0</v>
      </c>
      <c r="E21" s="35">
        <f ca="1">(((_xlfn.XLOOKUP(YEAR($B21),'Oferta Producto 2'!$B$8:$B$19,'Oferta Producto 2'!$E$8:$E$19))*$AD21)/$AB21)/24</f>
        <v>0</v>
      </c>
      <c r="F21" s="35">
        <f ca="1">(((_xlfn.XLOOKUP(YEAR($B21),'Oferta Producto 2'!$B$8:$B$19,'Oferta Producto 2'!$E$8:$E$19))*$AD21)/$AB21)/24</f>
        <v>0</v>
      </c>
      <c r="G21" s="35">
        <f ca="1">(((_xlfn.XLOOKUP(YEAR($B21),'Oferta Producto 2'!$B$8:$B$19,'Oferta Producto 2'!$E$8:$E$19))*$AD21)/$AB21)/24</f>
        <v>0</v>
      </c>
      <c r="H21" s="35">
        <f ca="1">(((_xlfn.XLOOKUP(YEAR($B21),'Oferta Producto 2'!$B$8:$B$19,'Oferta Producto 2'!$E$8:$E$19))*$AD21)/$AB21)/24</f>
        <v>0</v>
      </c>
      <c r="I21" s="35">
        <f ca="1">(((_xlfn.XLOOKUP(YEAR($B21),'Oferta Producto 2'!$B$8:$B$19,'Oferta Producto 2'!$E$8:$E$19))*$AD21)/$AB21)/24</f>
        <v>0</v>
      </c>
      <c r="J21" s="35">
        <f ca="1">(((_xlfn.XLOOKUP(YEAR($B21),'Oferta Producto 2'!$B$8:$B$19,'Oferta Producto 2'!$E$8:$E$19))*$AD21)/$AB21)/24</f>
        <v>0</v>
      </c>
      <c r="K21" s="35">
        <f ca="1">(((_xlfn.XLOOKUP(YEAR($B21),'Oferta Producto 2'!$B$8:$B$19,'Oferta Producto 2'!$E$8:$E$19))*$AD21)/$AB21)/24</f>
        <v>0</v>
      </c>
      <c r="L21" s="35">
        <f ca="1">(((_xlfn.XLOOKUP(YEAR($B21),'Oferta Producto 2'!$B$8:$B$19,'Oferta Producto 2'!$E$8:$E$19))*$AD21)/$AB21)/24</f>
        <v>0</v>
      </c>
      <c r="M21" s="35">
        <f ca="1">(((_xlfn.XLOOKUP(YEAR($B21),'Oferta Producto 2'!$B$8:$B$19,'Oferta Producto 2'!$E$8:$E$19))*$AD21)/$AB21)/24</f>
        <v>0</v>
      </c>
      <c r="N21" s="35">
        <f ca="1">(((_xlfn.XLOOKUP(YEAR($B21),'Oferta Producto 2'!$B$8:$B$19,'Oferta Producto 2'!$E$8:$E$19))*$AD21)/$AB21)/24</f>
        <v>0</v>
      </c>
      <c r="O21" s="35">
        <f ca="1">(((_xlfn.XLOOKUP(YEAR($B21),'Oferta Producto 2'!$B$8:$B$19,'Oferta Producto 2'!$E$8:$E$19))*$AD21)/$AB21)/24</f>
        <v>0</v>
      </c>
      <c r="P21" s="35">
        <f ca="1">(((_xlfn.XLOOKUP(YEAR($B21),'Oferta Producto 2'!$B$8:$B$19,'Oferta Producto 2'!$E$8:$E$19))*$AD21)/$AB21)/24</f>
        <v>0</v>
      </c>
      <c r="Q21" s="35">
        <f ca="1">(((_xlfn.XLOOKUP(YEAR($B21),'Oferta Producto 2'!$B$8:$B$19,'Oferta Producto 2'!$E$8:$E$19))*$AD21)/$AB21)/24</f>
        <v>0</v>
      </c>
      <c r="R21" s="35">
        <f ca="1">(((_xlfn.XLOOKUP(YEAR($B21),'Oferta Producto 2'!$B$8:$B$19,'Oferta Producto 2'!$E$8:$E$19))*$AD21)/$AB21)/24</f>
        <v>0</v>
      </c>
      <c r="S21" s="35">
        <f ca="1">(((_xlfn.XLOOKUP(YEAR($B21),'Oferta Producto 2'!$B$8:$B$19,'Oferta Producto 2'!$E$8:$E$19))*$AD21)/$AB21)/24</f>
        <v>0</v>
      </c>
      <c r="T21" s="35">
        <f ca="1">(((_xlfn.XLOOKUP(YEAR($B21),'Oferta Producto 2'!$B$8:$B$19,'Oferta Producto 2'!$E$8:$E$19))*$AD21)/$AB21)/24</f>
        <v>0</v>
      </c>
      <c r="U21" s="35">
        <f ca="1">(((_xlfn.XLOOKUP(YEAR($B21),'Oferta Producto 2'!$B$8:$B$19,'Oferta Producto 2'!$E$8:$E$19))*$AD21)/$AB21)/24</f>
        <v>0</v>
      </c>
      <c r="V21" s="35">
        <f ca="1">(((_xlfn.XLOOKUP(YEAR($B21),'Oferta Producto 2'!$B$8:$B$19,'Oferta Producto 2'!$E$8:$E$19))*$AD21)/$AB21)/24</f>
        <v>0</v>
      </c>
      <c r="W21" s="35">
        <f ca="1">(((_xlfn.XLOOKUP(YEAR($B21),'Oferta Producto 2'!$B$8:$B$19,'Oferta Producto 2'!$E$8:$E$19))*$AD21)/$AB21)/24</f>
        <v>0</v>
      </c>
      <c r="X21" s="35">
        <f ca="1">(((_xlfn.XLOOKUP(YEAR($B21),'Oferta Producto 2'!$B$8:$B$19,'Oferta Producto 2'!$E$8:$E$19))*$AD21)/$AB21)/24</f>
        <v>0</v>
      </c>
      <c r="Y21" s="35">
        <f ca="1">(((_xlfn.XLOOKUP(YEAR($B21),'Oferta Producto 2'!$B$8:$B$19,'Oferta Producto 2'!$E$8:$E$19))*$AD21)/$AB21)/24</f>
        <v>0</v>
      </c>
      <c r="Z21" s="35">
        <f ca="1">(((_xlfn.XLOOKUP(YEAR($B21),'Oferta Producto 2'!$B$8:$B$19,'Oferta Producto 2'!$E$8:$E$19))*$AD21)/$AB21)/24</f>
        <v>0</v>
      </c>
      <c r="AA21" s="35">
        <f t="shared" ca="1" si="4"/>
        <v>0</v>
      </c>
      <c r="AB21" s="28">
        <f t="shared" si="2"/>
        <v>30</v>
      </c>
      <c r="AC21" s="42">
        <f t="shared" ca="1" si="3"/>
        <v>0</v>
      </c>
      <c r="AD21" s="43">
        <v>8.4097020446841267E-2</v>
      </c>
      <c r="AE21" s="8"/>
      <c r="AF21" s="8"/>
      <c r="AG21"/>
    </row>
    <row r="22" spans="1:33" ht="15.75" thickBot="1">
      <c r="A22" s="23">
        <f t="shared" si="0"/>
        <v>2027</v>
      </c>
      <c r="B22" s="27">
        <v>46508</v>
      </c>
      <c r="C22" s="35">
        <f ca="1">(((_xlfn.XLOOKUP(YEAR($B22),'Oferta Producto 2'!$B$8:$B$19,'Oferta Producto 2'!$E$8:$E$19))*$AD22)/$AB22)/24</f>
        <v>0</v>
      </c>
      <c r="D22" s="35">
        <f ca="1">(((_xlfn.XLOOKUP(YEAR($B22),'Oferta Producto 2'!$B$8:$B$19,'Oferta Producto 2'!$E$8:$E$19))*$AD22)/$AB22)/24</f>
        <v>0</v>
      </c>
      <c r="E22" s="35">
        <f ca="1">(((_xlfn.XLOOKUP(YEAR($B22),'Oferta Producto 2'!$B$8:$B$19,'Oferta Producto 2'!$E$8:$E$19))*$AD22)/$AB22)/24</f>
        <v>0</v>
      </c>
      <c r="F22" s="35">
        <f ca="1">(((_xlfn.XLOOKUP(YEAR($B22),'Oferta Producto 2'!$B$8:$B$19,'Oferta Producto 2'!$E$8:$E$19))*$AD22)/$AB22)/24</f>
        <v>0</v>
      </c>
      <c r="G22" s="35">
        <f ca="1">(((_xlfn.XLOOKUP(YEAR($B22),'Oferta Producto 2'!$B$8:$B$19,'Oferta Producto 2'!$E$8:$E$19))*$AD22)/$AB22)/24</f>
        <v>0</v>
      </c>
      <c r="H22" s="35">
        <f ca="1">(((_xlfn.XLOOKUP(YEAR($B22),'Oferta Producto 2'!$B$8:$B$19,'Oferta Producto 2'!$E$8:$E$19))*$AD22)/$AB22)/24</f>
        <v>0</v>
      </c>
      <c r="I22" s="35">
        <f ca="1">(((_xlfn.XLOOKUP(YEAR($B22),'Oferta Producto 2'!$B$8:$B$19,'Oferta Producto 2'!$E$8:$E$19))*$AD22)/$AB22)/24</f>
        <v>0</v>
      </c>
      <c r="J22" s="35">
        <f ca="1">(((_xlfn.XLOOKUP(YEAR($B22),'Oferta Producto 2'!$B$8:$B$19,'Oferta Producto 2'!$E$8:$E$19))*$AD22)/$AB22)/24</f>
        <v>0</v>
      </c>
      <c r="K22" s="35">
        <f ca="1">(((_xlfn.XLOOKUP(YEAR($B22),'Oferta Producto 2'!$B$8:$B$19,'Oferta Producto 2'!$E$8:$E$19))*$AD22)/$AB22)/24</f>
        <v>0</v>
      </c>
      <c r="L22" s="35">
        <f ca="1">(((_xlfn.XLOOKUP(YEAR($B22),'Oferta Producto 2'!$B$8:$B$19,'Oferta Producto 2'!$E$8:$E$19))*$AD22)/$AB22)/24</f>
        <v>0</v>
      </c>
      <c r="M22" s="35">
        <f ca="1">(((_xlfn.XLOOKUP(YEAR($B22),'Oferta Producto 2'!$B$8:$B$19,'Oferta Producto 2'!$E$8:$E$19))*$AD22)/$AB22)/24</f>
        <v>0</v>
      </c>
      <c r="N22" s="35">
        <f ca="1">(((_xlfn.XLOOKUP(YEAR($B22),'Oferta Producto 2'!$B$8:$B$19,'Oferta Producto 2'!$E$8:$E$19))*$AD22)/$AB22)/24</f>
        <v>0</v>
      </c>
      <c r="O22" s="35">
        <f ca="1">(((_xlfn.XLOOKUP(YEAR($B22),'Oferta Producto 2'!$B$8:$B$19,'Oferta Producto 2'!$E$8:$E$19))*$AD22)/$AB22)/24</f>
        <v>0</v>
      </c>
      <c r="P22" s="35">
        <f ca="1">(((_xlfn.XLOOKUP(YEAR($B22),'Oferta Producto 2'!$B$8:$B$19,'Oferta Producto 2'!$E$8:$E$19))*$AD22)/$AB22)/24</f>
        <v>0</v>
      </c>
      <c r="Q22" s="35">
        <f ca="1">(((_xlfn.XLOOKUP(YEAR($B22),'Oferta Producto 2'!$B$8:$B$19,'Oferta Producto 2'!$E$8:$E$19))*$AD22)/$AB22)/24</f>
        <v>0</v>
      </c>
      <c r="R22" s="35">
        <f ca="1">(((_xlfn.XLOOKUP(YEAR($B22),'Oferta Producto 2'!$B$8:$B$19,'Oferta Producto 2'!$E$8:$E$19))*$AD22)/$AB22)/24</f>
        <v>0</v>
      </c>
      <c r="S22" s="35">
        <f ca="1">(((_xlfn.XLOOKUP(YEAR($B22),'Oferta Producto 2'!$B$8:$B$19,'Oferta Producto 2'!$E$8:$E$19))*$AD22)/$AB22)/24</f>
        <v>0</v>
      </c>
      <c r="T22" s="35">
        <f ca="1">(((_xlfn.XLOOKUP(YEAR($B22),'Oferta Producto 2'!$B$8:$B$19,'Oferta Producto 2'!$E$8:$E$19))*$AD22)/$AB22)/24</f>
        <v>0</v>
      </c>
      <c r="U22" s="35">
        <f ca="1">(((_xlfn.XLOOKUP(YEAR($B22),'Oferta Producto 2'!$B$8:$B$19,'Oferta Producto 2'!$E$8:$E$19))*$AD22)/$AB22)/24</f>
        <v>0</v>
      </c>
      <c r="V22" s="35">
        <f ca="1">(((_xlfn.XLOOKUP(YEAR($B22),'Oferta Producto 2'!$B$8:$B$19,'Oferta Producto 2'!$E$8:$E$19))*$AD22)/$AB22)/24</f>
        <v>0</v>
      </c>
      <c r="W22" s="35">
        <f ca="1">(((_xlfn.XLOOKUP(YEAR($B22),'Oferta Producto 2'!$B$8:$B$19,'Oferta Producto 2'!$E$8:$E$19))*$AD22)/$AB22)/24</f>
        <v>0</v>
      </c>
      <c r="X22" s="35">
        <f ca="1">(((_xlfn.XLOOKUP(YEAR($B22),'Oferta Producto 2'!$B$8:$B$19,'Oferta Producto 2'!$E$8:$E$19))*$AD22)/$AB22)/24</f>
        <v>0</v>
      </c>
      <c r="Y22" s="35">
        <f ca="1">(((_xlfn.XLOOKUP(YEAR($B22),'Oferta Producto 2'!$B$8:$B$19,'Oferta Producto 2'!$E$8:$E$19))*$AD22)/$AB22)/24</f>
        <v>0</v>
      </c>
      <c r="Z22" s="35">
        <f ca="1">(((_xlfn.XLOOKUP(YEAR($B22),'Oferta Producto 2'!$B$8:$B$19,'Oferta Producto 2'!$E$8:$E$19))*$AD22)/$AB22)/24</f>
        <v>0</v>
      </c>
      <c r="AA22" s="35">
        <f t="shared" ca="1" si="4"/>
        <v>0</v>
      </c>
      <c r="AB22" s="28">
        <f t="shared" si="2"/>
        <v>31</v>
      </c>
      <c r="AC22" s="42">
        <f t="shared" ca="1" si="3"/>
        <v>0</v>
      </c>
      <c r="AD22" s="43">
        <v>8.2264171374422282E-2</v>
      </c>
      <c r="AE22" s="8"/>
      <c r="AF22" s="8"/>
    </row>
    <row r="23" spans="1:33" ht="15.75" thickBot="1">
      <c r="A23" s="23">
        <f t="shared" si="0"/>
        <v>2027</v>
      </c>
      <c r="B23" s="27">
        <v>46539</v>
      </c>
      <c r="C23" s="35">
        <f ca="1">(((_xlfn.XLOOKUP(YEAR($B23),'Oferta Producto 2'!$B$8:$B$19,'Oferta Producto 2'!$E$8:$E$19))*$AD23)/$AB23)/24</f>
        <v>0</v>
      </c>
      <c r="D23" s="35">
        <f ca="1">(((_xlfn.XLOOKUP(YEAR($B23),'Oferta Producto 2'!$B$8:$B$19,'Oferta Producto 2'!$E$8:$E$19))*$AD23)/$AB23)/24</f>
        <v>0</v>
      </c>
      <c r="E23" s="35">
        <f ca="1">(((_xlfn.XLOOKUP(YEAR($B23),'Oferta Producto 2'!$B$8:$B$19,'Oferta Producto 2'!$E$8:$E$19))*$AD23)/$AB23)/24</f>
        <v>0</v>
      </c>
      <c r="F23" s="35">
        <f ca="1">(((_xlfn.XLOOKUP(YEAR($B23),'Oferta Producto 2'!$B$8:$B$19,'Oferta Producto 2'!$E$8:$E$19))*$AD23)/$AB23)/24</f>
        <v>0</v>
      </c>
      <c r="G23" s="35">
        <f ca="1">(((_xlfn.XLOOKUP(YEAR($B23),'Oferta Producto 2'!$B$8:$B$19,'Oferta Producto 2'!$E$8:$E$19))*$AD23)/$AB23)/24</f>
        <v>0</v>
      </c>
      <c r="H23" s="35">
        <f ca="1">(((_xlfn.XLOOKUP(YEAR($B23),'Oferta Producto 2'!$B$8:$B$19,'Oferta Producto 2'!$E$8:$E$19))*$AD23)/$AB23)/24</f>
        <v>0</v>
      </c>
      <c r="I23" s="35">
        <f ca="1">(((_xlfn.XLOOKUP(YEAR($B23),'Oferta Producto 2'!$B$8:$B$19,'Oferta Producto 2'!$E$8:$E$19))*$AD23)/$AB23)/24</f>
        <v>0</v>
      </c>
      <c r="J23" s="35">
        <f ca="1">(((_xlfn.XLOOKUP(YEAR($B23),'Oferta Producto 2'!$B$8:$B$19,'Oferta Producto 2'!$E$8:$E$19))*$AD23)/$AB23)/24</f>
        <v>0</v>
      </c>
      <c r="K23" s="35">
        <f ca="1">(((_xlfn.XLOOKUP(YEAR($B23),'Oferta Producto 2'!$B$8:$B$19,'Oferta Producto 2'!$E$8:$E$19))*$AD23)/$AB23)/24</f>
        <v>0</v>
      </c>
      <c r="L23" s="35">
        <f ca="1">(((_xlfn.XLOOKUP(YEAR($B23),'Oferta Producto 2'!$B$8:$B$19,'Oferta Producto 2'!$E$8:$E$19))*$AD23)/$AB23)/24</f>
        <v>0</v>
      </c>
      <c r="M23" s="35">
        <f ca="1">(((_xlfn.XLOOKUP(YEAR($B23),'Oferta Producto 2'!$B$8:$B$19,'Oferta Producto 2'!$E$8:$E$19))*$AD23)/$AB23)/24</f>
        <v>0</v>
      </c>
      <c r="N23" s="35">
        <f ca="1">(((_xlfn.XLOOKUP(YEAR($B23),'Oferta Producto 2'!$B$8:$B$19,'Oferta Producto 2'!$E$8:$E$19))*$AD23)/$AB23)/24</f>
        <v>0</v>
      </c>
      <c r="O23" s="35">
        <f ca="1">(((_xlfn.XLOOKUP(YEAR($B23),'Oferta Producto 2'!$B$8:$B$19,'Oferta Producto 2'!$E$8:$E$19))*$AD23)/$AB23)/24</f>
        <v>0</v>
      </c>
      <c r="P23" s="35">
        <f ca="1">(((_xlfn.XLOOKUP(YEAR($B23),'Oferta Producto 2'!$B$8:$B$19,'Oferta Producto 2'!$E$8:$E$19))*$AD23)/$AB23)/24</f>
        <v>0</v>
      </c>
      <c r="Q23" s="35">
        <f ca="1">(((_xlfn.XLOOKUP(YEAR($B23),'Oferta Producto 2'!$B$8:$B$19,'Oferta Producto 2'!$E$8:$E$19))*$AD23)/$AB23)/24</f>
        <v>0</v>
      </c>
      <c r="R23" s="35">
        <f ca="1">(((_xlfn.XLOOKUP(YEAR($B23),'Oferta Producto 2'!$B$8:$B$19,'Oferta Producto 2'!$E$8:$E$19))*$AD23)/$AB23)/24</f>
        <v>0</v>
      </c>
      <c r="S23" s="35">
        <f ca="1">(((_xlfn.XLOOKUP(YEAR($B23),'Oferta Producto 2'!$B$8:$B$19,'Oferta Producto 2'!$E$8:$E$19))*$AD23)/$AB23)/24</f>
        <v>0</v>
      </c>
      <c r="T23" s="35">
        <f ca="1">(((_xlfn.XLOOKUP(YEAR($B23),'Oferta Producto 2'!$B$8:$B$19,'Oferta Producto 2'!$E$8:$E$19))*$AD23)/$AB23)/24</f>
        <v>0</v>
      </c>
      <c r="U23" s="35">
        <f ca="1">(((_xlfn.XLOOKUP(YEAR($B23),'Oferta Producto 2'!$B$8:$B$19,'Oferta Producto 2'!$E$8:$E$19))*$AD23)/$AB23)/24</f>
        <v>0</v>
      </c>
      <c r="V23" s="35">
        <f ca="1">(((_xlfn.XLOOKUP(YEAR($B23),'Oferta Producto 2'!$B$8:$B$19,'Oferta Producto 2'!$E$8:$E$19))*$AD23)/$AB23)/24</f>
        <v>0</v>
      </c>
      <c r="W23" s="35">
        <f ca="1">(((_xlfn.XLOOKUP(YEAR($B23),'Oferta Producto 2'!$B$8:$B$19,'Oferta Producto 2'!$E$8:$E$19))*$AD23)/$AB23)/24</f>
        <v>0</v>
      </c>
      <c r="X23" s="35">
        <f ca="1">(((_xlfn.XLOOKUP(YEAR($B23),'Oferta Producto 2'!$B$8:$B$19,'Oferta Producto 2'!$E$8:$E$19))*$AD23)/$AB23)/24</f>
        <v>0</v>
      </c>
      <c r="Y23" s="35">
        <f ca="1">(((_xlfn.XLOOKUP(YEAR($B23),'Oferta Producto 2'!$B$8:$B$19,'Oferta Producto 2'!$E$8:$E$19))*$AD23)/$AB23)/24</f>
        <v>0</v>
      </c>
      <c r="Z23" s="35">
        <f ca="1">(((_xlfn.XLOOKUP(YEAR($B23),'Oferta Producto 2'!$B$8:$B$19,'Oferta Producto 2'!$E$8:$E$19))*$AD23)/$AB23)/24</f>
        <v>0</v>
      </c>
      <c r="AA23" s="35">
        <f t="shared" ca="1" si="4"/>
        <v>0</v>
      </c>
      <c r="AB23" s="28">
        <f t="shared" si="2"/>
        <v>30</v>
      </c>
      <c r="AC23" s="42">
        <f t="shared" ca="1" si="3"/>
        <v>0</v>
      </c>
      <c r="AD23" s="43">
        <v>8.4097020446841267E-2</v>
      </c>
      <c r="AE23" s="8"/>
      <c r="AF23" s="8"/>
    </row>
    <row r="24" spans="1:33" ht="15.75" thickBot="1">
      <c r="A24" s="23">
        <f t="shared" si="0"/>
        <v>2027</v>
      </c>
      <c r="B24" s="27">
        <v>46569</v>
      </c>
      <c r="C24" s="35">
        <f ca="1">(((_xlfn.XLOOKUP(YEAR($B24),'Oferta Producto 2'!$B$8:$B$19,'Oferta Producto 2'!$E$8:$E$19))*$AD24)/$AB24)/24</f>
        <v>0</v>
      </c>
      <c r="D24" s="35">
        <f ca="1">(((_xlfn.XLOOKUP(YEAR($B24),'Oferta Producto 2'!$B$8:$B$19,'Oferta Producto 2'!$E$8:$E$19))*$AD24)/$AB24)/24</f>
        <v>0</v>
      </c>
      <c r="E24" s="35">
        <f ca="1">(((_xlfn.XLOOKUP(YEAR($B24),'Oferta Producto 2'!$B$8:$B$19,'Oferta Producto 2'!$E$8:$E$19))*$AD24)/$AB24)/24</f>
        <v>0</v>
      </c>
      <c r="F24" s="35">
        <f ca="1">(((_xlfn.XLOOKUP(YEAR($B24),'Oferta Producto 2'!$B$8:$B$19,'Oferta Producto 2'!$E$8:$E$19))*$AD24)/$AB24)/24</f>
        <v>0</v>
      </c>
      <c r="G24" s="35">
        <f ca="1">(((_xlfn.XLOOKUP(YEAR($B24),'Oferta Producto 2'!$B$8:$B$19,'Oferta Producto 2'!$E$8:$E$19))*$AD24)/$AB24)/24</f>
        <v>0</v>
      </c>
      <c r="H24" s="35">
        <f ca="1">(((_xlfn.XLOOKUP(YEAR($B24),'Oferta Producto 2'!$B$8:$B$19,'Oferta Producto 2'!$E$8:$E$19))*$AD24)/$AB24)/24</f>
        <v>0</v>
      </c>
      <c r="I24" s="35">
        <f ca="1">(((_xlfn.XLOOKUP(YEAR($B24),'Oferta Producto 2'!$B$8:$B$19,'Oferta Producto 2'!$E$8:$E$19))*$AD24)/$AB24)/24</f>
        <v>0</v>
      </c>
      <c r="J24" s="35">
        <f ca="1">(((_xlfn.XLOOKUP(YEAR($B24),'Oferta Producto 2'!$B$8:$B$19,'Oferta Producto 2'!$E$8:$E$19))*$AD24)/$AB24)/24</f>
        <v>0</v>
      </c>
      <c r="K24" s="35">
        <f ca="1">(((_xlfn.XLOOKUP(YEAR($B24),'Oferta Producto 2'!$B$8:$B$19,'Oferta Producto 2'!$E$8:$E$19))*$AD24)/$AB24)/24</f>
        <v>0</v>
      </c>
      <c r="L24" s="35">
        <f ca="1">(((_xlfn.XLOOKUP(YEAR($B24),'Oferta Producto 2'!$B$8:$B$19,'Oferta Producto 2'!$E$8:$E$19))*$AD24)/$AB24)/24</f>
        <v>0</v>
      </c>
      <c r="M24" s="35">
        <f ca="1">(((_xlfn.XLOOKUP(YEAR($B24),'Oferta Producto 2'!$B$8:$B$19,'Oferta Producto 2'!$E$8:$E$19))*$AD24)/$AB24)/24</f>
        <v>0</v>
      </c>
      <c r="N24" s="35">
        <f ca="1">(((_xlfn.XLOOKUP(YEAR($B24),'Oferta Producto 2'!$B$8:$B$19,'Oferta Producto 2'!$E$8:$E$19))*$AD24)/$AB24)/24</f>
        <v>0</v>
      </c>
      <c r="O24" s="35">
        <f ca="1">(((_xlfn.XLOOKUP(YEAR($B24),'Oferta Producto 2'!$B$8:$B$19,'Oferta Producto 2'!$E$8:$E$19))*$AD24)/$AB24)/24</f>
        <v>0</v>
      </c>
      <c r="P24" s="35">
        <f ca="1">(((_xlfn.XLOOKUP(YEAR($B24),'Oferta Producto 2'!$B$8:$B$19,'Oferta Producto 2'!$E$8:$E$19))*$AD24)/$AB24)/24</f>
        <v>0</v>
      </c>
      <c r="Q24" s="35">
        <f ca="1">(((_xlfn.XLOOKUP(YEAR($B24),'Oferta Producto 2'!$B$8:$B$19,'Oferta Producto 2'!$E$8:$E$19))*$AD24)/$AB24)/24</f>
        <v>0</v>
      </c>
      <c r="R24" s="35">
        <f ca="1">(((_xlfn.XLOOKUP(YEAR($B24),'Oferta Producto 2'!$B$8:$B$19,'Oferta Producto 2'!$E$8:$E$19))*$AD24)/$AB24)/24</f>
        <v>0</v>
      </c>
      <c r="S24" s="35">
        <f ca="1">(((_xlfn.XLOOKUP(YEAR($B24),'Oferta Producto 2'!$B$8:$B$19,'Oferta Producto 2'!$E$8:$E$19))*$AD24)/$AB24)/24</f>
        <v>0</v>
      </c>
      <c r="T24" s="35">
        <f ca="1">(((_xlfn.XLOOKUP(YEAR($B24),'Oferta Producto 2'!$B$8:$B$19,'Oferta Producto 2'!$E$8:$E$19))*$AD24)/$AB24)/24</f>
        <v>0</v>
      </c>
      <c r="U24" s="35">
        <f ca="1">(((_xlfn.XLOOKUP(YEAR($B24),'Oferta Producto 2'!$B$8:$B$19,'Oferta Producto 2'!$E$8:$E$19))*$AD24)/$AB24)/24</f>
        <v>0</v>
      </c>
      <c r="V24" s="35">
        <f ca="1">(((_xlfn.XLOOKUP(YEAR($B24),'Oferta Producto 2'!$B$8:$B$19,'Oferta Producto 2'!$E$8:$E$19))*$AD24)/$AB24)/24</f>
        <v>0</v>
      </c>
      <c r="W24" s="35">
        <f ca="1">(((_xlfn.XLOOKUP(YEAR($B24),'Oferta Producto 2'!$B$8:$B$19,'Oferta Producto 2'!$E$8:$E$19))*$AD24)/$AB24)/24</f>
        <v>0</v>
      </c>
      <c r="X24" s="35">
        <f ca="1">(((_xlfn.XLOOKUP(YEAR($B24),'Oferta Producto 2'!$B$8:$B$19,'Oferta Producto 2'!$E$8:$E$19))*$AD24)/$AB24)/24</f>
        <v>0</v>
      </c>
      <c r="Y24" s="35">
        <f ca="1">(((_xlfn.XLOOKUP(YEAR($B24),'Oferta Producto 2'!$B$8:$B$19,'Oferta Producto 2'!$E$8:$E$19))*$AD24)/$AB24)/24</f>
        <v>0</v>
      </c>
      <c r="Z24" s="35">
        <f ca="1">(((_xlfn.XLOOKUP(YEAR($B24),'Oferta Producto 2'!$B$8:$B$19,'Oferta Producto 2'!$E$8:$E$19))*$AD24)/$AB24)/24</f>
        <v>0</v>
      </c>
      <c r="AA24" s="35">
        <f t="shared" ca="1" si="4"/>
        <v>0</v>
      </c>
      <c r="AB24" s="28">
        <f t="shared" si="2"/>
        <v>31</v>
      </c>
      <c r="AC24" s="42">
        <f t="shared" ca="1" si="3"/>
        <v>0</v>
      </c>
      <c r="AD24" s="43">
        <v>8.2264171374422282E-2</v>
      </c>
      <c r="AE24" s="8"/>
      <c r="AF24" s="8"/>
    </row>
    <row r="25" spans="1:33" ht="15.75" thickBot="1">
      <c r="A25" s="23">
        <f t="shared" si="0"/>
        <v>2027</v>
      </c>
      <c r="B25" s="27">
        <v>46600</v>
      </c>
      <c r="C25" s="35">
        <f ca="1">(((_xlfn.XLOOKUP(YEAR($B25),'Oferta Producto 2'!$B$8:$B$19,'Oferta Producto 2'!$E$8:$E$19))*$AD25)/$AB25)/24</f>
        <v>0</v>
      </c>
      <c r="D25" s="35">
        <f ca="1">(((_xlfn.XLOOKUP(YEAR($B25),'Oferta Producto 2'!$B$8:$B$19,'Oferta Producto 2'!$E$8:$E$19))*$AD25)/$AB25)/24</f>
        <v>0</v>
      </c>
      <c r="E25" s="35">
        <f ca="1">(((_xlfn.XLOOKUP(YEAR($B25),'Oferta Producto 2'!$B$8:$B$19,'Oferta Producto 2'!$E$8:$E$19))*$AD25)/$AB25)/24</f>
        <v>0</v>
      </c>
      <c r="F25" s="35">
        <f ca="1">(((_xlfn.XLOOKUP(YEAR($B25),'Oferta Producto 2'!$B$8:$B$19,'Oferta Producto 2'!$E$8:$E$19))*$AD25)/$AB25)/24</f>
        <v>0</v>
      </c>
      <c r="G25" s="35">
        <f ca="1">(((_xlfn.XLOOKUP(YEAR($B25),'Oferta Producto 2'!$B$8:$B$19,'Oferta Producto 2'!$E$8:$E$19))*$AD25)/$AB25)/24</f>
        <v>0</v>
      </c>
      <c r="H25" s="35">
        <f ca="1">(((_xlfn.XLOOKUP(YEAR($B25),'Oferta Producto 2'!$B$8:$B$19,'Oferta Producto 2'!$E$8:$E$19))*$AD25)/$AB25)/24</f>
        <v>0</v>
      </c>
      <c r="I25" s="35">
        <f ca="1">(((_xlfn.XLOOKUP(YEAR($B25),'Oferta Producto 2'!$B$8:$B$19,'Oferta Producto 2'!$E$8:$E$19))*$AD25)/$AB25)/24</f>
        <v>0</v>
      </c>
      <c r="J25" s="35">
        <f ca="1">(((_xlfn.XLOOKUP(YEAR($B25),'Oferta Producto 2'!$B$8:$B$19,'Oferta Producto 2'!$E$8:$E$19))*$AD25)/$AB25)/24</f>
        <v>0</v>
      </c>
      <c r="K25" s="35">
        <f ca="1">(((_xlfn.XLOOKUP(YEAR($B25),'Oferta Producto 2'!$B$8:$B$19,'Oferta Producto 2'!$E$8:$E$19))*$AD25)/$AB25)/24</f>
        <v>0</v>
      </c>
      <c r="L25" s="35">
        <f ca="1">(((_xlfn.XLOOKUP(YEAR($B25),'Oferta Producto 2'!$B$8:$B$19,'Oferta Producto 2'!$E$8:$E$19))*$AD25)/$AB25)/24</f>
        <v>0</v>
      </c>
      <c r="M25" s="35">
        <f ca="1">(((_xlfn.XLOOKUP(YEAR($B25),'Oferta Producto 2'!$B$8:$B$19,'Oferta Producto 2'!$E$8:$E$19))*$AD25)/$AB25)/24</f>
        <v>0</v>
      </c>
      <c r="N25" s="35">
        <f ca="1">(((_xlfn.XLOOKUP(YEAR($B25),'Oferta Producto 2'!$B$8:$B$19,'Oferta Producto 2'!$E$8:$E$19))*$AD25)/$AB25)/24</f>
        <v>0</v>
      </c>
      <c r="O25" s="35">
        <f ca="1">(((_xlfn.XLOOKUP(YEAR($B25),'Oferta Producto 2'!$B$8:$B$19,'Oferta Producto 2'!$E$8:$E$19))*$AD25)/$AB25)/24</f>
        <v>0</v>
      </c>
      <c r="P25" s="35">
        <f ca="1">(((_xlfn.XLOOKUP(YEAR($B25),'Oferta Producto 2'!$B$8:$B$19,'Oferta Producto 2'!$E$8:$E$19))*$AD25)/$AB25)/24</f>
        <v>0</v>
      </c>
      <c r="Q25" s="35">
        <f ca="1">(((_xlfn.XLOOKUP(YEAR($B25),'Oferta Producto 2'!$B$8:$B$19,'Oferta Producto 2'!$E$8:$E$19))*$AD25)/$AB25)/24</f>
        <v>0</v>
      </c>
      <c r="R25" s="35">
        <f ca="1">(((_xlfn.XLOOKUP(YEAR($B25),'Oferta Producto 2'!$B$8:$B$19,'Oferta Producto 2'!$E$8:$E$19))*$AD25)/$AB25)/24</f>
        <v>0</v>
      </c>
      <c r="S25" s="35">
        <f ca="1">(((_xlfn.XLOOKUP(YEAR($B25),'Oferta Producto 2'!$B$8:$B$19,'Oferta Producto 2'!$E$8:$E$19))*$AD25)/$AB25)/24</f>
        <v>0</v>
      </c>
      <c r="T25" s="35">
        <f ca="1">(((_xlfn.XLOOKUP(YEAR($B25),'Oferta Producto 2'!$B$8:$B$19,'Oferta Producto 2'!$E$8:$E$19))*$AD25)/$AB25)/24</f>
        <v>0</v>
      </c>
      <c r="U25" s="35">
        <f ca="1">(((_xlfn.XLOOKUP(YEAR($B25),'Oferta Producto 2'!$B$8:$B$19,'Oferta Producto 2'!$E$8:$E$19))*$AD25)/$AB25)/24</f>
        <v>0</v>
      </c>
      <c r="V25" s="35">
        <f ca="1">(((_xlfn.XLOOKUP(YEAR($B25),'Oferta Producto 2'!$B$8:$B$19,'Oferta Producto 2'!$E$8:$E$19))*$AD25)/$AB25)/24</f>
        <v>0</v>
      </c>
      <c r="W25" s="35">
        <f ca="1">(((_xlfn.XLOOKUP(YEAR($B25),'Oferta Producto 2'!$B$8:$B$19,'Oferta Producto 2'!$E$8:$E$19))*$AD25)/$AB25)/24</f>
        <v>0</v>
      </c>
      <c r="X25" s="35">
        <f ca="1">(((_xlfn.XLOOKUP(YEAR($B25),'Oferta Producto 2'!$B$8:$B$19,'Oferta Producto 2'!$E$8:$E$19))*$AD25)/$AB25)/24</f>
        <v>0</v>
      </c>
      <c r="Y25" s="35">
        <f ca="1">(((_xlfn.XLOOKUP(YEAR($B25),'Oferta Producto 2'!$B$8:$B$19,'Oferta Producto 2'!$E$8:$E$19))*$AD25)/$AB25)/24</f>
        <v>0</v>
      </c>
      <c r="Z25" s="35">
        <f ca="1">(((_xlfn.XLOOKUP(YEAR($B25),'Oferta Producto 2'!$B$8:$B$19,'Oferta Producto 2'!$E$8:$E$19))*$AD25)/$AB25)/24</f>
        <v>0</v>
      </c>
      <c r="AA25" s="35">
        <f t="shared" ca="1" si="4"/>
        <v>0</v>
      </c>
      <c r="AB25" s="28">
        <f t="shared" si="2"/>
        <v>31</v>
      </c>
      <c r="AC25" s="42">
        <f t="shared" ca="1" si="3"/>
        <v>0</v>
      </c>
      <c r="AD25" s="43">
        <v>8.2264171374422282E-2</v>
      </c>
      <c r="AE25" s="8"/>
      <c r="AF25" s="8"/>
    </row>
    <row r="26" spans="1:33" ht="15.75" thickBot="1">
      <c r="A26" s="23">
        <f t="shared" si="0"/>
        <v>2027</v>
      </c>
      <c r="B26" s="27">
        <v>46631</v>
      </c>
      <c r="C26" s="35">
        <f ca="1">(((_xlfn.XLOOKUP(YEAR($B26),'Oferta Producto 2'!$B$8:$B$19,'Oferta Producto 2'!$E$8:$E$19))*$AD26)/$AB26)/24</f>
        <v>0</v>
      </c>
      <c r="D26" s="35">
        <f ca="1">(((_xlfn.XLOOKUP(YEAR($B26),'Oferta Producto 2'!$B$8:$B$19,'Oferta Producto 2'!$E$8:$E$19))*$AD26)/$AB26)/24</f>
        <v>0</v>
      </c>
      <c r="E26" s="35">
        <f ca="1">(((_xlfn.XLOOKUP(YEAR($B26),'Oferta Producto 2'!$B$8:$B$19,'Oferta Producto 2'!$E$8:$E$19))*$AD26)/$AB26)/24</f>
        <v>0</v>
      </c>
      <c r="F26" s="35">
        <f ca="1">(((_xlfn.XLOOKUP(YEAR($B26),'Oferta Producto 2'!$B$8:$B$19,'Oferta Producto 2'!$E$8:$E$19))*$AD26)/$AB26)/24</f>
        <v>0</v>
      </c>
      <c r="G26" s="35">
        <f ca="1">(((_xlfn.XLOOKUP(YEAR($B26),'Oferta Producto 2'!$B$8:$B$19,'Oferta Producto 2'!$E$8:$E$19))*$AD26)/$AB26)/24</f>
        <v>0</v>
      </c>
      <c r="H26" s="35">
        <f ca="1">(((_xlfn.XLOOKUP(YEAR($B26),'Oferta Producto 2'!$B$8:$B$19,'Oferta Producto 2'!$E$8:$E$19))*$AD26)/$AB26)/24</f>
        <v>0</v>
      </c>
      <c r="I26" s="35">
        <f ca="1">(((_xlfn.XLOOKUP(YEAR($B26),'Oferta Producto 2'!$B$8:$B$19,'Oferta Producto 2'!$E$8:$E$19))*$AD26)/$AB26)/24</f>
        <v>0</v>
      </c>
      <c r="J26" s="35">
        <f ca="1">(((_xlfn.XLOOKUP(YEAR($B26),'Oferta Producto 2'!$B$8:$B$19,'Oferta Producto 2'!$E$8:$E$19))*$AD26)/$AB26)/24</f>
        <v>0</v>
      </c>
      <c r="K26" s="35">
        <f ca="1">(((_xlfn.XLOOKUP(YEAR($B26),'Oferta Producto 2'!$B$8:$B$19,'Oferta Producto 2'!$E$8:$E$19))*$AD26)/$AB26)/24</f>
        <v>0</v>
      </c>
      <c r="L26" s="35">
        <f ca="1">(((_xlfn.XLOOKUP(YEAR($B26),'Oferta Producto 2'!$B$8:$B$19,'Oferta Producto 2'!$E$8:$E$19))*$AD26)/$AB26)/24</f>
        <v>0</v>
      </c>
      <c r="M26" s="35">
        <f ca="1">(((_xlfn.XLOOKUP(YEAR($B26),'Oferta Producto 2'!$B$8:$B$19,'Oferta Producto 2'!$E$8:$E$19))*$AD26)/$AB26)/24</f>
        <v>0</v>
      </c>
      <c r="N26" s="35">
        <f ca="1">(((_xlfn.XLOOKUP(YEAR($B26),'Oferta Producto 2'!$B$8:$B$19,'Oferta Producto 2'!$E$8:$E$19))*$AD26)/$AB26)/24</f>
        <v>0</v>
      </c>
      <c r="O26" s="35">
        <f ca="1">(((_xlfn.XLOOKUP(YEAR($B26),'Oferta Producto 2'!$B$8:$B$19,'Oferta Producto 2'!$E$8:$E$19))*$AD26)/$AB26)/24</f>
        <v>0</v>
      </c>
      <c r="P26" s="35">
        <f ca="1">(((_xlfn.XLOOKUP(YEAR($B26),'Oferta Producto 2'!$B$8:$B$19,'Oferta Producto 2'!$E$8:$E$19))*$AD26)/$AB26)/24</f>
        <v>0</v>
      </c>
      <c r="Q26" s="35">
        <f ca="1">(((_xlfn.XLOOKUP(YEAR($B26),'Oferta Producto 2'!$B$8:$B$19,'Oferta Producto 2'!$E$8:$E$19))*$AD26)/$AB26)/24</f>
        <v>0</v>
      </c>
      <c r="R26" s="35">
        <f ca="1">(((_xlfn.XLOOKUP(YEAR($B26),'Oferta Producto 2'!$B$8:$B$19,'Oferta Producto 2'!$E$8:$E$19))*$AD26)/$AB26)/24</f>
        <v>0</v>
      </c>
      <c r="S26" s="35">
        <f ca="1">(((_xlfn.XLOOKUP(YEAR($B26),'Oferta Producto 2'!$B$8:$B$19,'Oferta Producto 2'!$E$8:$E$19))*$AD26)/$AB26)/24</f>
        <v>0</v>
      </c>
      <c r="T26" s="35">
        <f ca="1">(((_xlfn.XLOOKUP(YEAR($B26),'Oferta Producto 2'!$B$8:$B$19,'Oferta Producto 2'!$E$8:$E$19))*$AD26)/$AB26)/24</f>
        <v>0</v>
      </c>
      <c r="U26" s="35">
        <f ca="1">(((_xlfn.XLOOKUP(YEAR($B26),'Oferta Producto 2'!$B$8:$B$19,'Oferta Producto 2'!$E$8:$E$19))*$AD26)/$AB26)/24</f>
        <v>0</v>
      </c>
      <c r="V26" s="35">
        <f ca="1">(((_xlfn.XLOOKUP(YEAR($B26),'Oferta Producto 2'!$B$8:$B$19,'Oferta Producto 2'!$E$8:$E$19))*$AD26)/$AB26)/24</f>
        <v>0</v>
      </c>
      <c r="W26" s="35">
        <f ca="1">(((_xlfn.XLOOKUP(YEAR($B26),'Oferta Producto 2'!$B$8:$B$19,'Oferta Producto 2'!$E$8:$E$19))*$AD26)/$AB26)/24</f>
        <v>0</v>
      </c>
      <c r="X26" s="35">
        <f ca="1">(((_xlfn.XLOOKUP(YEAR($B26),'Oferta Producto 2'!$B$8:$B$19,'Oferta Producto 2'!$E$8:$E$19))*$AD26)/$AB26)/24</f>
        <v>0</v>
      </c>
      <c r="Y26" s="35">
        <f ca="1">(((_xlfn.XLOOKUP(YEAR($B26),'Oferta Producto 2'!$B$8:$B$19,'Oferta Producto 2'!$E$8:$E$19))*$AD26)/$AB26)/24</f>
        <v>0</v>
      </c>
      <c r="Z26" s="35">
        <f ca="1">(((_xlfn.XLOOKUP(YEAR($B26),'Oferta Producto 2'!$B$8:$B$19,'Oferta Producto 2'!$E$8:$E$19))*$AD26)/$AB26)/24</f>
        <v>0</v>
      </c>
      <c r="AA26" s="35">
        <f t="shared" ca="1" si="4"/>
        <v>0</v>
      </c>
      <c r="AB26" s="28">
        <f t="shared" si="2"/>
        <v>30</v>
      </c>
      <c r="AC26" s="42">
        <f t="shared" ca="1" si="3"/>
        <v>0</v>
      </c>
      <c r="AD26" s="43">
        <v>8.4097020446841267E-2</v>
      </c>
      <c r="AE26" s="8"/>
      <c r="AF26" s="8"/>
    </row>
    <row r="27" spans="1:33" ht="15.75" thickBot="1">
      <c r="A27" s="23">
        <f t="shared" si="0"/>
        <v>2027</v>
      </c>
      <c r="B27" s="27">
        <v>46661</v>
      </c>
      <c r="C27" s="35">
        <f ca="1">(((_xlfn.XLOOKUP(YEAR($B27),'Oferta Producto 2'!$B$8:$B$19,'Oferta Producto 2'!$E$8:$E$19))*$AD27)/$AB27)/24</f>
        <v>0</v>
      </c>
      <c r="D27" s="35">
        <f ca="1">(((_xlfn.XLOOKUP(YEAR($B27),'Oferta Producto 2'!$B$8:$B$19,'Oferta Producto 2'!$E$8:$E$19))*$AD27)/$AB27)/24</f>
        <v>0</v>
      </c>
      <c r="E27" s="35">
        <f ca="1">(((_xlfn.XLOOKUP(YEAR($B27),'Oferta Producto 2'!$B$8:$B$19,'Oferta Producto 2'!$E$8:$E$19))*$AD27)/$AB27)/24</f>
        <v>0</v>
      </c>
      <c r="F27" s="35">
        <f ca="1">(((_xlfn.XLOOKUP(YEAR($B27),'Oferta Producto 2'!$B$8:$B$19,'Oferta Producto 2'!$E$8:$E$19))*$AD27)/$AB27)/24</f>
        <v>0</v>
      </c>
      <c r="G27" s="35">
        <f ca="1">(((_xlfn.XLOOKUP(YEAR($B27),'Oferta Producto 2'!$B$8:$B$19,'Oferta Producto 2'!$E$8:$E$19))*$AD27)/$AB27)/24</f>
        <v>0</v>
      </c>
      <c r="H27" s="35">
        <f ca="1">(((_xlfn.XLOOKUP(YEAR($B27),'Oferta Producto 2'!$B$8:$B$19,'Oferta Producto 2'!$E$8:$E$19))*$AD27)/$AB27)/24</f>
        <v>0</v>
      </c>
      <c r="I27" s="35">
        <f ca="1">(((_xlfn.XLOOKUP(YEAR($B27),'Oferta Producto 2'!$B$8:$B$19,'Oferta Producto 2'!$E$8:$E$19))*$AD27)/$AB27)/24</f>
        <v>0</v>
      </c>
      <c r="J27" s="35">
        <f ca="1">(((_xlfn.XLOOKUP(YEAR($B27),'Oferta Producto 2'!$B$8:$B$19,'Oferta Producto 2'!$E$8:$E$19))*$AD27)/$AB27)/24</f>
        <v>0</v>
      </c>
      <c r="K27" s="35">
        <f ca="1">(((_xlfn.XLOOKUP(YEAR($B27),'Oferta Producto 2'!$B$8:$B$19,'Oferta Producto 2'!$E$8:$E$19))*$AD27)/$AB27)/24</f>
        <v>0</v>
      </c>
      <c r="L27" s="35">
        <f ca="1">(((_xlfn.XLOOKUP(YEAR($B27),'Oferta Producto 2'!$B$8:$B$19,'Oferta Producto 2'!$E$8:$E$19))*$AD27)/$AB27)/24</f>
        <v>0</v>
      </c>
      <c r="M27" s="35">
        <f ca="1">(((_xlfn.XLOOKUP(YEAR($B27),'Oferta Producto 2'!$B$8:$B$19,'Oferta Producto 2'!$E$8:$E$19))*$AD27)/$AB27)/24</f>
        <v>0</v>
      </c>
      <c r="N27" s="35">
        <f ca="1">(((_xlfn.XLOOKUP(YEAR($B27),'Oferta Producto 2'!$B$8:$B$19,'Oferta Producto 2'!$E$8:$E$19))*$AD27)/$AB27)/24</f>
        <v>0</v>
      </c>
      <c r="O27" s="35">
        <f ca="1">(((_xlfn.XLOOKUP(YEAR($B27),'Oferta Producto 2'!$B$8:$B$19,'Oferta Producto 2'!$E$8:$E$19))*$AD27)/$AB27)/24</f>
        <v>0</v>
      </c>
      <c r="P27" s="35">
        <f ca="1">(((_xlfn.XLOOKUP(YEAR($B27),'Oferta Producto 2'!$B$8:$B$19,'Oferta Producto 2'!$E$8:$E$19))*$AD27)/$AB27)/24</f>
        <v>0</v>
      </c>
      <c r="Q27" s="35">
        <f ca="1">(((_xlfn.XLOOKUP(YEAR($B27),'Oferta Producto 2'!$B$8:$B$19,'Oferta Producto 2'!$E$8:$E$19))*$AD27)/$AB27)/24</f>
        <v>0</v>
      </c>
      <c r="R27" s="35">
        <f ca="1">(((_xlfn.XLOOKUP(YEAR($B27),'Oferta Producto 2'!$B$8:$B$19,'Oferta Producto 2'!$E$8:$E$19))*$AD27)/$AB27)/24</f>
        <v>0</v>
      </c>
      <c r="S27" s="35">
        <f ca="1">(((_xlfn.XLOOKUP(YEAR($B27),'Oferta Producto 2'!$B$8:$B$19,'Oferta Producto 2'!$E$8:$E$19))*$AD27)/$AB27)/24</f>
        <v>0</v>
      </c>
      <c r="T27" s="35">
        <f ca="1">(((_xlfn.XLOOKUP(YEAR($B27),'Oferta Producto 2'!$B$8:$B$19,'Oferta Producto 2'!$E$8:$E$19))*$AD27)/$AB27)/24</f>
        <v>0</v>
      </c>
      <c r="U27" s="35">
        <f ca="1">(((_xlfn.XLOOKUP(YEAR($B27),'Oferta Producto 2'!$B$8:$B$19,'Oferta Producto 2'!$E$8:$E$19))*$AD27)/$AB27)/24</f>
        <v>0</v>
      </c>
      <c r="V27" s="35">
        <f ca="1">(((_xlfn.XLOOKUP(YEAR($B27),'Oferta Producto 2'!$B$8:$B$19,'Oferta Producto 2'!$E$8:$E$19))*$AD27)/$AB27)/24</f>
        <v>0</v>
      </c>
      <c r="W27" s="35">
        <f ca="1">(((_xlfn.XLOOKUP(YEAR($B27),'Oferta Producto 2'!$B$8:$B$19,'Oferta Producto 2'!$E$8:$E$19))*$AD27)/$AB27)/24</f>
        <v>0</v>
      </c>
      <c r="X27" s="35">
        <f ca="1">(((_xlfn.XLOOKUP(YEAR($B27),'Oferta Producto 2'!$B$8:$B$19,'Oferta Producto 2'!$E$8:$E$19))*$AD27)/$AB27)/24</f>
        <v>0</v>
      </c>
      <c r="Y27" s="35">
        <f ca="1">(((_xlfn.XLOOKUP(YEAR($B27),'Oferta Producto 2'!$B$8:$B$19,'Oferta Producto 2'!$E$8:$E$19))*$AD27)/$AB27)/24</f>
        <v>0</v>
      </c>
      <c r="Z27" s="35">
        <f ca="1">(((_xlfn.XLOOKUP(YEAR($B27),'Oferta Producto 2'!$B$8:$B$19,'Oferta Producto 2'!$E$8:$E$19))*$AD27)/$AB27)/24</f>
        <v>0</v>
      </c>
      <c r="AA27" s="35">
        <f t="shared" ca="1" si="4"/>
        <v>0</v>
      </c>
      <c r="AB27" s="28">
        <f t="shared" si="2"/>
        <v>31</v>
      </c>
      <c r="AC27" s="42">
        <f t="shared" ca="1" si="3"/>
        <v>0</v>
      </c>
      <c r="AD27" s="43">
        <v>8.2264171374422282E-2</v>
      </c>
      <c r="AE27" s="8"/>
      <c r="AF27" s="8"/>
    </row>
    <row r="28" spans="1:33" ht="15.75" thickBot="1">
      <c r="A28" s="23">
        <f t="shared" si="0"/>
        <v>2027</v>
      </c>
      <c r="B28" s="27">
        <v>46692</v>
      </c>
      <c r="C28" s="35">
        <f ca="1">(((_xlfn.XLOOKUP(YEAR($B28),'Oferta Producto 2'!$B$8:$B$19,'Oferta Producto 2'!$E$8:$E$19))*$AD28)/$AB28)/24</f>
        <v>0</v>
      </c>
      <c r="D28" s="35">
        <f ca="1">(((_xlfn.XLOOKUP(YEAR($B28),'Oferta Producto 2'!$B$8:$B$19,'Oferta Producto 2'!$E$8:$E$19))*$AD28)/$AB28)/24</f>
        <v>0</v>
      </c>
      <c r="E28" s="35">
        <f ca="1">(((_xlfn.XLOOKUP(YEAR($B28),'Oferta Producto 2'!$B$8:$B$19,'Oferta Producto 2'!$E$8:$E$19))*$AD28)/$AB28)/24</f>
        <v>0</v>
      </c>
      <c r="F28" s="35">
        <f ca="1">(((_xlfn.XLOOKUP(YEAR($B28),'Oferta Producto 2'!$B$8:$B$19,'Oferta Producto 2'!$E$8:$E$19))*$AD28)/$AB28)/24</f>
        <v>0</v>
      </c>
      <c r="G28" s="35">
        <f ca="1">(((_xlfn.XLOOKUP(YEAR($B28),'Oferta Producto 2'!$B$8:$B$19,'Oferta Producto 2'!$E$8:$E$19))*$AD28)/$AB28)/24</f>
        <v>0</v>
      </c>
      <c r="H28" s="35">
        <f ca="1">(((_xlfn.XLOOKUP(YEAR($B28),'Oferta Producto 2'!$B$8:$B$19,'Oferta Producto 2'!$E$8:$E$19))*$AD28)/$AB28)/24</f>
        <v>0</v>
      </c>
      <c r="I28" s="35">
        <f ca="1">(((_xlfn.XLOOKUP(YEAR($B28),'Oferta Producto 2'!$B$8:$B$19,'Oferta Producto 2'!$E$8:$E$19))*$AD28)/$AB28)/24</f>
        <v>0</v>
      </c>
      <c r="J28" s="35">
        <f ca="1">(((_xlfn.XLOOKUP(YEAR($B28),'Oferta Producto 2'!$B$8:$B$19,'Oferta Producto 2'!$E$8:$E$19))*$AD28)/$AB28)/24</f>
        <v>0</v>
      </c>
      <c r="K28" s="35">
        <f ca="1">(((_xlfn.XLOOKUP(YEAR($B28),'Oferta Producto 2'!$B$8:$B$19,'Oferta Producto 2'!$E$8:$E$19))*$AD28)/$AB28)/24</f>
        <v>0</v>
      </c>
      <c r="L28" s="35">
        <f ca="1">(((_xlfn.XLOOKUP(YEAR($B28),'Oferta Producto 2'!$B$8:$B$19,'Oferta Producto 2'!$E$8:$E$19))*$AD28)/$AB28)/24</f>
        <v>0</v>
      </c>
      <c r="M28" s="35">
        <f ca="1">(((_xlfn.XLOOKUP(YEAR($B28),'Oferta Producto 2'!$B$8:$B$19,'Oferta Producto 2'!$E$8:$E$19))*$AD28)/$AB28)/24</f>
        <v>0</v>
      </c>
      <c r="N28" s="35">
        <f ca="1">(((_xlfn.XLOOKUP(YEAR($B28),'Oferta Producto 2'!$B$8:$B$19,'Oferta Producto 2'!$E$8:$E$19))*$AD28)/$AB28)/24</f>
        <v>0</v>
      </c>
      <c r="O28" s="35">
        <f ca="1">(((_xlfn.XLOOKUP(YEAR($B28),'Oferta Producto 2'!$B$8:$B$19,'Oferta Producto 2'!$E$8:$E$19))*$AD28)/$AB28)/24</f>
        <v>0</v>
      </c>
      <c r="P28" s="35">
        <f ca="1">(((_xlfn.XLOOKUP(YEAR($B28),'Oferta Producto 2'!$B$8:$B$19,'Oferta Producto 2'!$E$8:$E$19))*$AD28)/$AB28)/24</f>
        <v>0</v>
      </c>
      <c r="Q28" s="35">
        <f ca="1">(((_xlfn.XLOOKUP(YEAR($B28),'Oferta Producto 2'!$B$8:$B$19,'Oferta Producto 2'!$E$8:$E$19))*$AD28)/$AB28)/24</f>
        <v>0</v>
      </c>
      <c r="R28" s="35">
        <f ca="1">(((_xlfn.XLOOKUP(YEAR($B28),'Oferta Producto 2'!$B$8:$B$19,'Oferta Producto 2'!$E$8:$E$19))*$AD28)/$AB28)/24</f>
        <v>0</v>
      </c>
      <c r="S28" s="35">
        <f ca="1">(((_xlfn.XLOOKUP(YEAR($B28),'Oferta Producto 2'!$B$8:$B$19,'Oferta Producto 2'!$E$8:$E$19))*$AD28)/$AB28)/24</f>
        <v>0</v>
      </c>
      <c r="T28" s="35">
        <f ca="1">(((_xlfn.XLOOKUP(YEAR($B28),'Oferta Producto 2'!$B$8:$B$19,'Oferta Producto 2'!$E$8:$E$19))*$AD28)/$AB28)/24</f>
        <v>0</v>
      </c>
      <c r="U28" s="35">
        <f ca="1">(((_xlfn.XLOOKUP(YEAR($B28),'Oferta Producto 2'!$B$8:$B$19,'Oferta Producto 2'!$E$8:$E$19))*$AD28)/$AB28)/24</f>
        <v>0</v>
      </c>
      <c r="V28" s="35">
        <f ca="1">(((_xlfn.XLOOKUP(YEAR($B28),'Oferta Producto 2'!$B$8:$B$19,'Oferta Producto 2'!$E$8:$E$19))*$AD28)/$AB28)/24</f>
        <v>0</v>
      </c>
      <c r="W28" s="35">
        <f ca="1">(((_xlfn.XLOOKUP(YEAR($B28),'Oferta Producto 2'!$B$8:$B$19,'Oferta Producto 2'!$E$8:$E$19))*$AD28)/$AB28)/24</f>
        <v>0</v>
      </c>
      <c r="X28" s="35">
        <f ca="1">(((_xlfn.XLOOKUP(YEAR($B28),'Oferta Producto 2'!$B$8:$B$19,'Oferta Producto 2'!$E$8:$E$19))*$AD28)/$AB28)/24</f>
        <v>0</v>
      </c>
      <c r="Y28" s="35">
        <f ca="1">(((_xlfn.XLOOKUP(YEAR($B28),'Oferta Producto 2'!$B$8:$B$19,'Oferta Producto 2'!$E$8:$E$19))*$AD28)/$AB28)/24</f>
        <v>0</v>
      </c>
      <c r="Z28" s="35">
        <f ca="1">(((_xlfn.XLOOKUP(YEAR($B28),'Oferta Producto 2'!$B$8:$B$19,'Oferta Producto 2'!$E$8:$E$19))*$AD28)/$AB28)/24</f>
        <v>0</v>
      </c>
      <c r="AA28" s="35">
        <f t="shared" ca="1" si="4"/>
        <v>0</v>
      </c>
      <c r="AB28" s="28">
        <f t="shared" si="2"/>
        <v>30</v>
      </c>
      <c r="AC28" s="42">
        <f t="shared" ca="1" si="3"/>
        <v>0</v>
      </c>
      <c r="AD28" s="43">
        <v>8.4097020446841267E-2</v>
      </c>
      <c r="AE28" s="8"/>
      <c r="AF28" s="8"/>
    </row>
    <row r="29" spans="1:33" ht="15.75" thickBot="1">
      <c r="A29" s="23">
        <f t="shared" si="0"/>
        <v>2027</v>
      </c>
      <c r="B29" s="27">
        <v>46722</v>
      </c>
      <c r="C29" s="35">
        <f ca="1">(((_xlfn.XLOOKUP(YEAR($B29),'Oferta Producto 2'!$B$8:$B$19,'Oferta Producto 2'!$E$8:$E$19))*$AD29)/$AB29)/24</f>
        <v>0</v>
      </c>
      <c r="D29" s="35">
        <f ca="1">(((_xlfn.XLOOKUP(YEAR($B29),'Oferta Producto 2'!$B$8:$B$19,'Oferta Producto 2'!$E$8:$E$19))*$AD29)/$AB29)/24</f>
        <v>0</v>
      </c>
      <c r="E29" s="35">
        <f ca="1">(((_xlfn.XLOOKUP(YEAR($B29),'Oferta Producto 2'!$B$8:$B$19,'Oferta Producto 2'!$E$8:$E$19))*$AD29)/$AB29)/24</f>
        <v>0</v>
      </c>
      <c r="F29" s="35">
        <f ca="1">(((_xlfn.XLOOKUP(YEAR($B29),'Oferta Producto 2'!$B$8:$B$19,'Oferta Producto 2'!$E$8:$E$19))*$AD29)/$AB29)/24</f>
        <v>0</v>
      </c>
      <c r="G29" s="35">
        <f ca="1">(((_xlfn.XLOOKUP(YEAR($B29),'Oferta Producto 2'!$B$8:$B$19,'Oferta Producto 2'!$E$8:$E$19))*$AD29)/$AB29)/24</f>
        <v>0</v>
      </c>
      <c r="H29" s="35">
        <f ca="1">(((_xlfn.XLOOKUP(YEAR($B29),'Oferta Producto 2'!$B$8:$B$19,'Oferta Producto 2'!$E$8:$E$19))*$AD29)/$AB29)/24</f>
        <v>0</v>
      </c>
      <c r="I29" s="35">
        <f ca="1">(((_xlfn.XLOOKUP(YEAR($B29),'Oferta Producto 2'!$B$8:$B$19,'Oferta Producto 2'!$E$8:$E$19))*$AD29)/$AB29)/24</f>
        <v>0</v>
      </c>
      <c r="J29" s="35">
        <f ca="1">(((_xlfn.XLOOKUP(YEAR($B29),'Oferta Producto 2'!$B$8:$B$19,'Oferta Producto 2'!$E$8:$E$19))*$AD29)/$AB29)/24</f>
        <v>0</v>
      </c>
      <c r="K29" s="35">
        <f ca="1">(((_xlfn.XLOOKUP(YEAR($B29),'Oferta Producto 2'!$B$8:$B$19,'Oferta Producto 2'!$E$8:$E$19))*$AD29)/$AB29)/24</f>
        <v>0</v>
      </c>
      <c r="L29" s="35">
        <f ca="1">(((_xlfn.XLOOKUP(YEAR($B29),'Oferta Producto 2'!$B$8:$B$19,'Oferta Producto 2'!$E$8:$E$19))*$AD29)/$AB29)/24</f>
        <v>0</v>
      </c>
      <c r="M29" s="35">
        <f ca="1">(((_xlfn.XLOOKUP(YEAR($B29),'Oferta Producto 2'!$B$8:$B$19,'Oferta Producto 2'!$E$8:$E$19))*$AD29)/$AB29)/24</f>
        <v>0</v>
      </c>
      <c r="N29" s="35">
        <f ca="1">(((_xlfn.XLOOKUP(YEAR($B29),'Oferta Producto 2'!$B$8:$B$19,'Oferta Producto 2'!$E$8:$E$19))*$AD29)/$AB29)/24</f>
        <v>0</v>
      </c>
      <c r="O29" s="35">
        <f ca="1">(((_xlfn.XLOOKUP(YEAR($B29),'Oferta Producto 2'!$B$8:$B$19,'Oferta Producto 2'!$E$8:$E$19))*$AD29)/$AB29)/24</f>
        <v>0</v>
      </c>
      <c r="P29" s="35">
        <f ca="1">(((_xlfn.XLOOKUP(YEAR($B29),'Oferta Producto 2'!$B$8:$B$19,'Oferta Producto 2'!$E$8:$E$19))*$AD29)/$AB29)/24</f>
        <v>0</v>
      </c>
      <c r="Q29" s="35">
        <f ca="1">(((_xlfn.XLOOKUP(YEAR($B29),'Oferta Producto 2'!$B$8:$B$19,'Oferta Producto 2'!$E$8:$E$19))*$AD29)/$AB29)/24</f>
        <v>0</v>
      </c>
      <c r="R29" s="35">
        <f ca="1">(((_xlfn.XLOOKUP(YEAR($B29),'Oferta Producto 2'!$B$8:$B$19,'Oferta Producto 2'!$E$8:$E$19))*$AD29)/$AB29)/24</f>
        <v>0</v>
      </c>
      <c r="S29" s="35">
        <f ca="1">(((_xlfn.XLOOKUP(YEAR($B29),'Oferta Producto 2'!$B$8:$B$19,'Oferta Producto 2'!$E$8:$E$19))*$AD29)/$AB29)/24</f>
        <v>0</v>
      </c>
      <c r="T29" s="35">
        <f ca="1">(((_xlfn.XLOOKUP(YEAR($B29),'Oferta Producto 2'!$B$8:$B$19,'Oferta Producto 2'!$E$8:$E$19))*$AD29)/$AB29)/24</f>
        <v>0</v>
      </c>
      <c r="U29" s="35">
        <f ca="1">(((_xlfn.XLOOKUP(YEAR($B29),'Oferta Producto 2'!$B$8:$B$19,'Oferta Producto 2'!$E$8:$E$19))*$AD29)/$AB29)/24</f>
        <v>0</v>
      </c>
      <c r="V29" s="35">
        <f ca="1">(((_xlfn.XLOOKUP(YEAR($B29),'Oferta Producto 2'!$B$8:$B$19,'Oferta Producto 2'!$E$8:$E$19))*$AD29)/$AB29)/24</f>
        <v>0</v>
      </c>
      <c r="W29" s="35">
        <f ca="1">(((_xlfn.XLOOKUP(YEAR($B29),'Oferta Producto 2'!$B$8:$B$19,'Oferta Producto 2'!$E$8:$E$19))*$AD29)/$AB29)/24</f>
        <v>0</v>
      </c>
      <c r="X29" s="35">
        <f ca="1">(((_xlfn.XLOOKUP(YEAR($B29),'Oferta Producto 2'!$B$8:$B$19,'Oferta Producto 2'!$E$8:$E$19))*$AD29)/$AB29)/24</f>
        <v>0</v>
      </c>
      <c r="Y29" s="35">
        <f ca="1">(((_xlfn.XLOOKUP(YEAR($B29),'Oferta Producto 2'!$B$8:$B$19,'Oferta Producto 2'!$E$8:$E$19))*$AD29)/$AB29)/24</f>
        <v>0</v>
      </c>
      <c r="Z29" s="35">
        <f ca="1">(((_xlfn.XLOOKUP(YEAR($B29),'Oferta Producto 2'!$B$8:$B$19,'Oferta Producto 2'!$E$8:$E$19))*$AD29)/$AB29)/24</f>
        <v>0</v>
      </c>
      <c r="AA29" s="35">
        <f t="shared" ca="1" si="4"/>
        <v>0</v>
      </c>
      <c r="AB29" s="28">
        <f t="shared" si="2"/>
        <v>31</v>
      </c>
      <c r="AC29" s="42">
        <f t="shared" ca="1" si="3"/>
        <v>0</v>
      </c>
      <c r="AD29" s="43">
        <v>8.2264171374422282E-2</v>
      </c>
      <c r="AE29" s="8"/>
      <c r="AF29" s="8"/>
    </row>
    <row r="30" spans="1:33" ht="15.75" thickBot="1">
      <c r="A30" s="23">
        <f t="shared" si="0"/>
        <v>2028</v>
      </c>
      <c r="B30" s="27">
        <v>46753</v>
      </c>
      <c r="C30" s="35">
        <f ca="1">(((_xlfn.XLOOKUP(YEAR($B30),'Oferta Producto 2'!$B$8:$B$19,'Oferta Producto 2'!$E$8:$E$19))*$AD30)/$AB30)/24</f>
        <v>0</v>
      </c>
      <c r="D30" s="35">
        <f ca="1">(((_xlfn.XLOOKUP(YEAR($B30),'Oferta Producto 2'!$B$8:$B$19,'Oferta Producto 2'!$E$8:$E$19))*$AD30)/$AB30)/24</f>
        <v>0</v>
      </c>
      <c r="E30" s="35">
        <f ca="1">(((_xlfn.XLOOKUP(YEAR($B30),'Oferta Producto 2'!$B$8:$B$19,'Oferta Producto 2'!$E$8:$E$19))*$AD30)/$AB30)/24</f>
        <v>0</v>
      </c>
      <c r="F30" s="35">
        <f ca="1">(((_xlfn.XLOOKUP(YEAR($B30),'Oferta Producto 2'!$B$8:$B$19,'Oferta Producto 2'!$E$8:$E$19))*$AD30)/$AB30)/24</f>
        <v>0</v>
      </c>
      <c r="G30" s="35">
        <f ca="1">(((_xlfn.XLOOKUP(YEAR($B30),'Oferta Producto 2'!$B$8:$B$19,'Oferta Producto 2'!$E$8:$E$19))*$AD30)/$AB30)/24</f>
        <v>0</v>
      </c>
      <c r="H30" s="35">
        <f ca="1">(((_xlfn.XLOOKUP(YEAR($B30),'Oferta Producto 2'!$B$8:$B$19,'Oferta Producto 2'!$E$8:$E$19))*$AD30)/$AB30)/24</f>
        <v>0</v>
      </c>
      <c r="I30" s="35">
        <f ca="1">(((_xlfn.XLOOKUP(YEAR($B30),'Oferta Producto 2'!$B$8:$B$19,'Oferta Producto 2'!$E$8:$E$19))*$AD30)/$AB30)/24</f>
        <v>0</v>
      </c>
      <c r="J30" s="35">
        <f ca="1">(((_xlfn.XLOOKUP(YEAR($B30),'Oferta Producto 2'!$B$8:$B$19,'Oferta Producto 2'!$E$8:$E$19))*$AD30)/$AB30)/24</f>
        <v>0</v>
      </c>
      <c r="K30" s="35">
        <f ca="1">(((_xlfn.XLOOKUP(YEAR($B30),'Oferta Producto 2'!$B$8:$B$19,'Oferta Producto 2'!$E$8:$E$19))*$AD30)/$AB30)/24</f>
        <v>0</v>
      </c>
      <c r="L30" s="35">
        <f ca="1">(((_xlfn.XLOOKUP(YEAR($B30),'Oferta Producto 2'!$B$8:$B$19,'Oferta Producto 2'!$E$8:$E$19))*$AD30)/$AB30)/24</f>
        <v>0</v>
      </c>
      <c r="M30" s="35">
        <f ca="1">(((_xlfn.XLOOKUP(YEAR($B30),'Oferta Producto 2'!$B$8:$B$19,'Oferta Producto 2'!$E$8:$E$19))*$AD30)/$AB30)/24</f>
        <v>0</v>
      </c>
      <c r="N30" s="35">
        <f ca="1">(((_xlfn.XLOOKUP(YEAR($B30),'Oferta Producto 2'!$B$8:$B$19,'Oferta Producto 2'!$E$8:$E$19))*$AD30)/$AB30)/24</f>
        <v>0</v>
      </c>
      <c r="O30" s="35">
        <f ca="1">(((_xlfn.XLOOKUP(YEAR($B30),'Oferta Producto 2'!$B$8:$B$19,'Oferta Producto 2'!$E$8:$E$19))*$AD30)/$AB30)/24</f>
        <v>0</v>
      </c>
      <c r="P30" s="35">
        <f ca="1">(((_xlfn.XLOOKUP(YEAR($B30),'Oferta Producto 2'!$B$8:$B$19,'Oferta Producto 2'!$E$8:$E$19))*$AD30)/$AB30)/24</f>
        <v>0</v>
      </c>
      <c r="Q30" s="35">
        <f ca="1">(((_xlfn.XLOOKUP(YEAR($B30),'Oferta Producto 2'!$B$8:$B$19,'Oferta Producto 2'!$E$8:$E$19))*$AD30)/$AB30)/24</f>
        <v>0</v>
      </c>
      <c r="R30" s="35">
        <f ca="1">(((_xlfn.XLOOKUP(YEAR($B30),'Oferta Producto 2'!$B$8:$B$19,'Oferta Producto 2'!$E$8:$E$19))*$AD30)/$AB30)/24</f>
        <v>0</v>
      </c>
      <c r="S30" s="35">
        <f ca="1">(((_xlfn.XLOOKUP(YEAR($B30),'Oferta Producto 2'!$B$8:$B$19,'Oferta Producto 2'!$E$8:$E$19))*$AD30)/$AB30)/24</f>
        <v>0</v>
      </c>
      <c r="T30" s="35">
        <f ca="1">(((_xlfn.XLOOKUP(YEAR($B30),'Oferta Producto 2'!$B$8:$B$19,'Oferta Producto 2'!$E$8:$E$19))*$AD30)/$AB30)/24</f>
        <v>0</v>
      </c>
      <c r="U30" s="35">
        <f ca="1">(((_xlfn.XLOOKUP(YEAR($B30),'Oferta Producto 2'!$B$8:$B$19,'Oferta Producto 2'!$E$8:$E$19))*$AD30)/$AB30)/24</f>
        <v>0</v>
      </c>
      <c r="V30" s="35">
        <f ca="1">(((_xlfn.XLOOKUP(YEAR($B30),'Oferta Producto 2'!$B$8:$B$19,'Oferta Producto 2'!$E$8:$E$19))*$AD30)/$AB30)/24</f>
        <v>0</v>
      </c>
      <c r="W30" s="35">
        <f ca="1">(((_xlfn.XLOOKUP(YEAR($B30),'Oferta Producto 2'!$B$8:$B$19,'Oferta Producto 2'!$E$8:$E$19))*$AD30)/$AB30)/24</f>
        <v>0</v>
      </c>
      <c r="X30" s="35">
        <f ca="1">(((_xlfn.XLOOKUP(YEAR($B30),'Oferta Producto 2'!$B$8:$B$19,'Oferta Producto 2'!$E$8:$E$19))*$AD30)/$AB30)/24</f>
        <v>0</v>
      </c>
      <c r="Y30" s="35">
        <f ca="1">(((_xlfn.XLOOKUP(YEAR($B30),'Oferta Producto 2'!$B$8:$B$19,'Oferta Producto 2'!$E$8:$E$19))*$AD30)/$AB30)/24</f>
        <v>0</v>
      </c>
      <c r="Z30" s="35">
        <f ca="1">(((_xlfn.XLOOKUP(YEAR($B30),'Oferta Producto 2'!$B$8:$B$19,'Oferta Producto 2'!$E$8:$E$19))*$AD30)/$AB30)/24</f>
        <v>0</v>
      </c>
      <c r="AA30" s="35">
        <f ca="1">SUM(C30:Z30)</f>
        <v>0</v>
      </c>
      <c r="AB30" s="28">
        <f t="shared" si="2"/>
        <v>31</v>
      </c>
      <c r="AC30" s="42">
        <f t="shared" ca="1" si="3"/>
        <v>0</v>
      </c>
      <c r="AD30" s="43">
        <v>8.2916184886125746E-2</v>
      </c>
      <c r="AE30" s="8"/>
      <c r="AF30" s="8"/>
    </row>
    <row r="31" spans="1:33" ht="15.75" thickBot="1">
      <c r="A31" s="23">
        <f t="shared" si="0"/>
        <v>2028</v>
      </c>
      <c r="B31" s="27">
        <v>46784</v>
      </c>
      <c r="C31" s="35">
        <f ca="1">(((_xlfn.XLOOKUP(YEAR($B31),'Oferta Producto 2'!$B$8:$B$19,'Oferta Producto 2'!$E$8:$E$19))*$AD31)/$AB31)/24</f>
        <v>0</v>
      </c>
      <c r="D31" s="35">
        <f ca="1">(((_xlfn.XLOOKUP(YEAR($B31),'Oferta Producto 2'!$B$8:$B$19,'Oferta Producto 2'!$E$8:$E$19))*$AD31)/$AB31)/24</f>
        <v>0</v>
      </c>
      <c r="E31" s="35">
        <f ca="1">(((_xlfn.XLOOKUP(YEAR($B31),'Oferta Producto 2'!$B$8:$B$19,'Oferta Producto 2'!$E$8:$E$19))*$AD31)/$AB31)/24</f>
        <v>0</v>
      </c>
      <c r="F31" s="35">
        <f ca="1">(((_xlfn.XLOOKUP(YEAR($B31),'Oferta Producto 2'!$B$8:$B$19,'Oferta Producto 2'!$E$8:$E$19))*$AD31)/$AB31)/24</f>
        <v>0</v>
      </c>
      <c r="G31" s="35">
        <f ca="1">(((_xlfn.XLOOKUP(YEAR($B31),'Oferta Producto 2'!$B$8:$B$19,'Oferta Producto 2'!$E$8:$E$19))*$AD31)/$AB31)/24</f>
        <v>0</v>
      </c>
      <c r="H31" s="35">
        <f ca="1">(((_xlfn.XLOOKUP(YEAR($B31),'Oferta Producto 2'!$B$8:$B$19,'Oferta Producto 2'!$E$8:$E$19))*$AD31)/$AB31)/24</f>
        <v>0</v>
      </c>
      <c r="I31" s="35">
        <f ca="1">(((_xlfn.XLOOKUP(YEAR($B31),'Oferta Producto 2'!$B$8:$B$19,'Oferta Producto 2'!$E$8:$E$19))*$AD31)/$AB31)/24</f>
        <v>0</v>
      </c>
      <c r="J31" s="35">
        <f ca="1">(((_xlfn.XLOOKUP(YEAR($B31),'Oferta Producto 2'!$B$8:$B$19,'Oferta Producto 2'!$E$8:$E$19))*$AD31)/$AB31)/24</f>
        <v>0</v>
      </c>
      <c r="K31" s="35">
        <f ca="1">(((_xlfn.XLOOKUP(YEAR($B31),'Oferta Producto 2'!$B$8:$B$19,'Oferta Producto 2'!$E$8:$E$19))*$AD31)/$AB31)/24</f>
        <v>0</v>
      </c>
      <c r="L31" s="35">
        <f ca="1">(((_xlfn.XLOOKUP(YEAR($B31),'Oferta Producto 2'!$B$8:$B$19,'Oferta Producto 2'!$E$8:$E$19))*$AD31)/$AB31)/24</f>
        <v>0</v>
      </c>
      <c r="M31" s="35">
        <f ca="1">(((_xlfn.XLOOKUP(YEAR($B31),'Oferta Producto 2'!$B$8:$B$19,'Oferta Producto 2'!$E$8:$E$19))*$AD31)/$AB31)/24</f>
        <v>0</v>
      </c>
      <c r="N31" s="35">
        <f ca="1">(((_xlfn.XLOOKUP(YEAR($B31),'Oferta Producto 2'!$B$8:$B$19,'Oferta Producto 2'!$E$8:$E$19))*$AD31)/$AB31)/24</f>
        <v>0</v>
      </c>
      <c r="O31" s="35">
        <f ca="1">(((_xlfn.XLOOKUP(YEAR($B31),'Oferta Producto 2'!$B$8:$B$19,'Oferta Producto 2'!$E$8:$E$19))*$AD31)/$AB31)/24</f>
        <v>0</v>
      </c>
      <c r="P31" s="35">
        <f ca="1">(((_xlfn.XLOOKUP(YEAR($B31),'Oferta Producto 2'!$B$8:$B$19,'Oferta Producto 2'!$E$8:$E$19))*$AD31)/$AB31)/24</f>
        <v>0</v>
      </c>
      <c r="Q31" s="35">
        <f ca="1">(((_xlfn.XLOOKUP(YEAR($B31),'Oferta Producto 2'!$B$8:$B$19,'Oferta Producto 2'!$E$8:$E$19))*$AD31)/$AB31)/24</f>
        <v>0</v>
      </c>
      <c r="R31" s="35">
        <f ca="1">(((_xlfn.XLOOKUP(YEAR($B31),'Oferta Producto 2'!$B$8:$B$19,'Oferta Producto 2'!$E$8:$E$19))*$AD31)/$AB31)/24</f>
        <v>0</v>
      </c>
      <c r="S31" s="35">
        <f ca="1">(((_xlfn.XLOOKUP(YEAR($B31),'Oferta Producto 2'!$B$8:$B$19,'Oferta Producto 2'!$E$8:$E$19))*$AD31)/$AB31)/24</f>
        <v>0</v>
      </c>
      <c r="T31" s="35">
        <f ca="1">(((_xlfn.XLOOKUP(YEAR($B31),'Oferta Producto 2'!$B$8:$B$19,'Oferta Producto 2'!$E$8:$E$19))*$AD31)/$AB31)/24</f>
        <v>0</v>
      </c>
      <c r="U31" s="35">
        <f ca="1">(((_xlfn.XLOOKUP(YEAR($B31),'Oferta Producto 2'!$B$8:$B$19,'Oferta Producto 2'!$E$8:$E$19))*$AD31)/$AB31)/24</f>
        <v>0</v>
      </c>
      <c r="V31" s="35">
        <f ca="1">(((_xlfn.XLOOKUP(YEAR($B31),'Oferta Producto 2'!$B$8:$B$19,'Oferta Producto 2'!$E$8:$E$19))*$AD31)/$AB31)/24</f>
        <v>0</v>
      </c>
      <c r="W31" s="35">
        <f ca="1">(((_xlfn.XLOOKUP(YEAR($B31),'Oferta Producto 2'!$B$8:$B$19,'Oferta Producto 2'!$E$8:$E$19))*$AD31)/$AB31)/24</f>
        <v>0</v>
      </c>
      <c r="X31" s="35">
        <f ca="1">(((_xlfn.XLOOKUP(YEAR($B31),'Oferta Producto 2'!$B$8:$B$19,'Oferta Producto 2'!$E$8:$E$19))*$AD31)/$AB31)/24</f>
        <v>0</v>
      </c>
      <c r="Y31" s="35">
        <f ca="1">(((_xlfn.XLOOKUP(YEAR($B31),'Oferta Producto 2'!$B$8:$B$19,'Oferta Producto 2'!$E$8:$E$19))*$AD31)/$AB31)/24</f>
        <v>0</v>
      </c>
      <c r="Z31" s="35">
        <f ca="1">(((_xlfn.XLOOKUP(YEAR($B31),'Oferta Producto 2'!$B$8:$B$19,'Oferta Producto 2'!$E$8:$E$19))*$AD31)/$AB31)/24</f>
        <v>0</v>
      </c>
      <c r="AA31" s="35">
        <f t="shared" ref="AA31:AA94" ca="1" si="5">SUM(C31:Z31)</f>
        <v>0</v>
      </c>
      <c r="AB31" s="28">
        <f t="shared" si="2"/>
        <v>29</v>
      </c>
      <c r="AC31" s="42">
        <f t="shared" ca="1" si="3"/>
        <v>0</v>
      </c>
      <c r="AD31" s="43">
        <v>8.4584778674956104E-2</v>
      </c>
      <c r="AE31" s="8"/>
      <c r="AF31" s="8"/>
    </row>
    <row r="32" spans="1:33" ht="15.75" thickBot="1">
      <c r="A32" s="23">
        <f t="shared" si="0"/>
        <v>2028</v>
      </c>
      <c r="B32" s="27">
        <v>46813</v>
      </c>
      <c r="C32" s="35">
        <f ca="1">(((_xlfn.XLOOKUP(YEAR($B32),'Oferta Producto 2'!$B$8:$B$19,'Oferta Producto 2'!$E$8:$E$19))*$AD32)/$AB32)/24</f>
        <v>0</v>
      </c>
      <c r="D32" s="35">
        <f ca="1">(((_xlfn.XLOOKUP(YEAR($B32),'Oferta Producto 2'!$B$8:$B$19,'Oferta Producto 2'!$E$8:$E$19))*$AD32)/$AB32)/24</f>
        <v>0</v>
      </c>
      <c r="E32" s="35">
        <f ca="1">(((_xlfn.XLOOKUP(YEAR($B32),'Oferta Producto 2'!$B$8:$B$19,'Oferta Producto 2'!$E$8:$E$19))*$AD32)/$AB32)/24</f>
        <v>0</v>
      </c>
      <c r="F32" s="35">
        <f ca="1">(((_xlfn.XLOOKUP(YEAR($B32),'Oferta Producto 2'!$B$8:$B$19,'Oferta Producto 2'!$E$8:$E$19))*$AD32)/$AB32)/24</f>
        <v>0</v>
      </c>
      <c r="G32" s="35">
        <f ca="1">(((_xlfn.XLOOKUP(YEAR($B32),'Oferta Producto 2'!$B$8:$B$19,'Oferta Producto 2'!$E$8:$E$19))*$AD32)/$AB32)/24</f>
        <v>0</v>
      </c>
      <c r="H32" s="35">
        <f ca="1">(((_xlfn.XLOOKUP(YEAR($B32),'Oferta Producto 2'!$B$8:$B$19,'Oferta Producto 2'!$E$8:$E$19))*$AD32)/$AB32)/24</f>
        <v>0</v>
      </c>
      <c r="I32" s="35">
        <f ca="1">(((_xlfn.XLOOKUP(YEAR($B32),'Oferta Producto 2'!$B$8:$B$19,'Oferta Producto 2'!$E$8:$E$19))*$AD32)/$AB32)/24</f>
        <v>0</v>
      </c>
      <c r="J32" s="35">
        <f ca="1">(((_xlfn.XLOOKUP(YEAR($B32),'Oferta Producto 2'!$B$8:$B$19,'Oferta Producto 2'!$E$8:$E$19))*$AD32)/$AB32)/24</f>
        <v>0</v>
      </c>
      <c r="K32" s="35">
        <f ca="1">(((_xlfn.XLOOKUP(YEAR($B32),'Oferta Producto 2'!$B$8:$B$19,'Oferta Producto 2'!$E$8:$E$19))*$AD32)/$AB32)/24</f>
        <v>0</v>
      </c>
      <c r="L32" s="35">
        <f ca="1">(((_xlfn.XLOOKUP(YEAR($B32),'Oferta Producto 2'!$B$8:$B$19,'Oferta Producto 2'!$E$8:$E$19))*$AD32)/$AB32)/24</f>
        <v>0</v>
      </c>
      <c r="M32" s="35">
        <f ca="1">(((_xlfn.XLOOKUP(YEAR($B32),'Oferta Producto 2'!$B$8:$B$19,'Oferta Producto 2'!$E$8:$E$19))*$AD32)/$AB32)/24</f>
        <v>0</v>
      </c>
      <c r="N32" s="35">
        <f ca="1">(((_xlfn.XLOOKUP(YEAR($B32),'Oferta Producto 2'!$B$8:$B$19,'Oferta Producto 2'!$E$8:$E$19))*$AD32)/$AB32)/24</f>
        <v>0</v>
      </c>
      <c r="O32" s="35">
        <f ca="1">(((_xlfn.XLOOKUP(YEAR($B32),'Oferta Producto 2'!$B$8:$B$19,'Oferta Producto 2'!$E$8:$E$19))*$AD32)/$AB32)/24</f>
        <v>0</v>
      </c>
      <c r="P32" s="35">
        <f ca="1">(((_xlfn.XLOOKUP(YEAR($B32),'Oferta Producto 2'!$B$8:$B$19,'Oferta Producto 2'!$E$8:$E$19))*$AD32)/$AB32)/24</f>
        <v>0</v>
      </c>
      <c r="Q32" s="35">
        <f ca="1">(((_xlfn.XLOOKUP(YEAR($B32),'Oferta Producto 2'!$B$8:$B$19,'Oferta Producto 2'!$E$8:$E$19))*$AD32)/$AB32)/24</f>
        <v>0</v>
      </c>
      <c r="R32" s="35">
        <f ca="1">(((_xlfn.XLOOKUP(YEAR($B32),'Oferta Producto 2'!$B$8:$B$19,'Oferta Producto 2'!$E$8:$E$19))*$AD32)/$AB32)/24</f>
        <v>0</v>
      </c>
      <c r="S32" s="35">
        <f ca="1">(((_xlfn.XLOOKUP(YEAR($B32),'Oferta Producto 2'!$B$8:$B$19,'Oferta Producto 2'!$E$8:$E$19))*$AD32)/$AB32)/24</f>
        <v>0</v>
      </c>
      <c r="T32" s="35">
        <f ca="1">(((_xlfn.XLOOKUP(YEAR($B32),'Oferta Producto 2'!$B$8:$B$19,'Oferta Producto 2'!$E$8:$E$19))*$AD32)/$AB32)/24</f>
        <v>0</v>
      </c>
      <c r="U32" s="35">
        <f ca="1">(((_xlfn.XLOOKUP(YEAR($B32),'Oferta Producto 2'!$B$8:$B$19,'Oferta Producto 2'!$E$8:$E$19))*$AD32)/$AB32)/24</f>
        <v>0</v>
      </c>
      <c r="V32" s="35">
        <f ca="1">(((_xlfn.XLOOKUP(YEAR($B32),'Oferta Producto 2'!$B$8:$B$19,'Oferta Producto 2'!$E$8:$E$19))*$AD32)/$AB32)/24</f>
        <v>0</v>
      </c>
      <c r="W32" s="35">
        <f ca="1">(((_xlfn.XLOOKUP(YEAR($B32),'Oferta Producto 2'!$B$8:$B$19,'Oferta Producto 2'!$E$8:$E$19))*$AD32)/$AB32)/24</f>
        <v>0</v>
      </c>
      <c r="X32" s="35">
        <f ca="1">(((_xlfn.XLOOKUP(YEAR($B32),'Oferta Producto 2'!$B$8:$B$19,'Oferta Producto 2'!$E$8:$E$19))*$AD32)/$AB32)/24</f>
        <v>0</v>
      </c>
      <c r="Y32" s="35">
        <f ca="1">(((_xlfn.XLOOKUP(YEAR($B32),'Oferta Producto 2'!$B$8:$B$19,'Oferta Producto 2'!$E$8:$E$19))*$AD32)/$AB32)/24</f>
        <v>0</v>
      </c>
      <c r="Z32" s="35">
        <f ca="1">(((_xlfn.XLOOKUP(YEAR($B32),'Oferta Producto 2'!$B$8:$B$19,'Oferta Producto 2'!$E$8:$E$19))*$AD32)/$AB32)/24</f>
        <v>0</v>
      </c>
      <c r="AA32" s="35">
        <f t="shared" ca="1" si="5"/>
        <v>0</v>
      </c>
      <c r="AB32" s="28">
        <f t="shared" si="2"/>
        <v>31</v>
      </c>
      <c r="AC32" s="42">
        <f t="shared" ca="1" si="3"/>
        <v>0</v>
      </c>
      <c r="AD32" s="43">
        <v>8.2916184886125746E-2</v>
      </c>
      <c r="AE32" s="8"/>
      <c r="AF32" s="8"/>
    </row>
    <row r="33" spans="1:32" ht="15.75" thickBot="1">
      <c r="A33" s="23">
        <f t="shared" si="0"/>
        <v>2028</v>
      </c>
      <c r="B33" s="27">
        <v>46844</v>
      </c>
      <c r="C33" s="35">
        <f ca="1">(((_xlfn.XLOOKUP(YEAR($B33),'Oferta Producto 2'!$B$8:$B$19,'Oferta Producto 2'!$E$8:$E$19))*$AD33)/$AB33)/24</f>
        <v>0</v>
      </c>
      <c r="D33" s="35">
        <f ca="1">(((_xlfn.XLOOKUP(YEAR($B33),'Oferta Producto 2'!$B$8:$B$19,'Oferta Producto 2'!$E$8:$E$19))*$AD33)/$AB33)/24</f>
        <v>0</v>
      </c>
      <c r="E33" s="35">
        <f ca="1">(((_xlfn.XLOOKUP(YEAR($B33),'Oferta Producto 2'!$B$8:$B$19,'Oferta Producto 2'!$E$8:$E$19))*$AD33)/$AB33)/24</f>
        <v>0</v>
      </c>
      <c r="F33" s="35">
        <f ca="1">(((_xlfn.XLOOKUP(YEAR($B33),'Oferta Producto 2'!$B$8:$B$19,'Oferta Producto 2'!$E$8:$E$19))*$AD33)/$AB33)/24</f>
        <v>0</v>
      </c>
      <c r="G33" s="35">
        <f ca="1">(((_xlfn.XLOOKUP(YEAR($B33),'Oferta Producto 2'!$B$8:$B$19,'Oferta Producto 2'!$E$8:$E$19))*$AD33)/$AB33)/24</f>
        <v>0</v>
      </c>
      <c r="H33" s="35">
        <f ca="1">(((_xlfn.XLOOKUP(YEAR($B33),'Oferta Producto 2'!$B$8:$B$19,'Oferta Producto 2'!$E$8:$E$19))*$AD33)/$AB33)/24</f>
        <v>0</v>
      </c>
      <c r="I33" s="35">
        <f ca="1">(((_xlfn.XLOOKUP(YEAR($B33),'Oferta Producto 2'!$B$8:$B$19,'Oferta Producto 2'!$E$8:$E$19))*$AD33)/$AB33)/24</f>
        <v>0</v>
      </c>
      <c r="J33" s="35">
        <f ca="1">(((_xlfn.XLOOKUP(YEAR($B33),'Oferta Producto 2'!$B$8:$B$19,'Oferta Producto 2'!$E$8:$E$19))*$AD33)/$AB33)/24</f>
        <v>0</v>
      </c>
      <c r="K33" s="35">
        <f ca="1">(((_xlfn.XLOOKUP(YEAR($B33),'Oferta Producto 2'!$B$8:$B$19,'Oferta Producto 2'!$E$8:$E$19))*$AD33)/$AB33)/24</f>
        <v>0</v>
      </c>
      <c r="L33" s="35">
        <f ca="1">(((_xlfn.XLOOKUP(YEAR($B33),'Oferta Producto 2'!$B$8:$B$19,'Oferta Producto 2'!$E$8:$E$19))*$AD33)/$AB33)/24</f>
        <v>0</v>
      </c>
      <c r="M33" s="35">
        <f ca="1">(((_xlfn.XLOOKUP(YEAR($B33),'Oferta Producto 2'!$B$8:$B$19,'Oferta Producto 2'!$E$8:$E$19))*$AD33)/$AB33)/24</f>
        <v>0</v>
      </c>
      <c r="N33" s="35">
        <f ca="1">(((_xlfn.XLOOKUP(YEAR($B33),'Oferta Producto 2'!$B$8:$B$19,'Oferta Producto 2'!$E$8:$E$19))*$AD33)/$AB33)/24</f>
        <v>0</v>
      </c>
      <c r="O33" s="35">
        <f ca="1">(((_xlfn.XLOOKUP(YEAR($B33),'Oferta Producto 2'!$B$8:$B$19,'Oferta Producto 2'!$E$8:$E$19))*$AD33)/$AB33)/24</f>
        <v>0</v>
      </c>
      <c r="P33" s="35">
        <f ca="1">(((_xlfn.XLOOKUP(YEAR($B33),'Oferta Producto 2'!$B$8:$B$19,'Oferta Producto 2'!$E$8:$E$19))*$AD33)/$AB33)/24</f>
        <v>0</v>
      </c>
      <c r="Q33" s="35">
        <f ca="1">(((_xlfn.XLOOKUP(YEAR($B33),'Oferta Producto 2'!$B$8:$B$19,'Oferta Producto 2'!$E$8:$E$19))*$AD33)/$AB33)/24</f>
        <v>0</v>
      </c>
      <c r="R33" s="35">
        <f ca="1">(((_xlfn.XLOOKUP(YEAR($B33),'Oferta Producto 2'!$B$8:$B$19,'Oferta Producto 2'!$E$8:$E$19))*$AD33)/$AB33)/24</f>
        <v>0</v>
      </c>
      <c r="S33" s="35">
        <f ca="1">(((_xlfn.XLOOKUP(YEAR($B33),'Oferta Producto 2'!$B$8:$B$19,'Oferta Producto 2'!$E$8:$E$19))*$AD33)/$AB33)/24</f>
        <v>0</v>
      </c>
      <c r="T33" s="35">
        <f ca="1">(((_xlfn.XLOOKUP(YEAR($B33),'Oferta Producto 2'!$B$8:$B$19,'Oferta Producto 2'!$E$8:$E$19))*$AD33)/$AB33)/24</f>
        <v>0</v>
      </c>
      <c r="U33" s="35">
        <f ca="1">(((_xlfn.XLOOKUP(YEAR($B33),'Oferta Producto 2'!$B$8:$B$19,'Oferta Producto 2'!$E$8:$E$19))*$AD33)/$AB33)/24</f>
        <v>0</v>
      </c>
      <c r="V33" s="35">
        <f ca="1">(((_xlfn.XLOOKUP(YEAR($B33),'Oferta Producto 2'!$B$8:$B$19,'Oferta Producto 2'!$E$8:$E$19))*$AD33)/$AB33)/24</f>
        <v>0</v>
      </c>
      <c r="W33" s="35">
        <f ca="1">(((_xlfn.XLOOKUP(YEAR($B33),'Oferta Producto 2'!$B$8:$B$19,'Oferta Producto 2'!$E$8:$E$19))*$AD33)/$AB33)/24</f>
        <v>0</v>
      </c>
      <c r="X33" s="35">
        <f ca="1">(((_xlfn.XLOOKUP(YEAR($B33),'Oferta Producto 2'!$B$8:$B$19,'Oferta Producto 2'!$E$8:$E$19))*$AD33)/$AB33)/24</f>
        <v>0</v>
      </c>
      <c r="Y33" s="35">
        <f ca="1">(((_xlfn.XLOOKUP(YEAR($B33),'Oferta Producto 2'!$B$8:$B$19,'Oferta Producto 2'!$E$8:$E$19))*$AD33)/$AB33)/24</f>
        <v>0</v>
      </c>
      <c r="Z33" s="35">
        <f ca="1">(((_xlfn.XLOOKUP(YEAR($B33),'Oferta Producto 2'!$B$8:$B$19,'Oferta Producto 2'!$E$8:$E$19))*$AD33)/$AB33)/24</f>
        <v>0</v>
      </c>
      <c r="AA33" s="35">
        <f t="shared" ca="1" si="5"/>
        <v>0</v>
      </c>
      <c r="AB33" s="28">
        <f t="shared" si="2"/>
        <v>30</v>
      </c>
      <c r="AC33" s="42">
        <f t="shared" ca="1" si="3"/>
        <v>0</v>
      </c>
      <c r="AD33" s="43">
        <v>8.3750481780540911E-2</v>
      </c>
      <c r="AE33" s="8"/>
      <c r="AF33" s="8"/>
    </row>
    <row r="34" spans="1:32" ht="15.75" thickBot="1">
      <c r="A34" s="23">
        <f t="shared" si="0"/>
        <v>2028</v>
      </c>
      <c r="B34" s="27">
        <v>46874</v>
      </c>
      <c r="C34" s="35">
        <f ca="1">(((_xlfn.XLOOKUP(YEAR($B34),'Oferta Producto 2'!$B$8:$B$19,'Oferta Producto 2'!$E$8:$E$19))*$AD34)/$AB34)/24</f>
        <v>0</v>
      </c>
      <c r="D34" s="35">
        <f ca="1">(((_xlfn.XLOOKUP(YEAR($B34),'Oferta Producto 2'!$B$8:$B$19,'Oferta Producto 2'!$E$8:$E$19))*$AD34)/$AB34)/24</f>
        <v>0</v>
      </c>
      <c r="E34" s="35">
        <f ca="1">(((_xlfn.XLOOKUP(YEAR($B34),'Oferta Producto 2'!$B$8:$B$19,'Oferta Producto 2'!$E$8:$E$19))*$AD34)/$AB34)/24</f>
        <v>0</v>
      </c>
      <c r="F34" s="35">
        <f ca="1">(((_xlfn.XLOOKUP(YEAR($B34),'Oferta Producto 2'!$B$8:$B$19,'Oferta Producto 2'!$E$8:$E$19))*$AD34)/$AB34)/24</f>
        <v>0</v>
      </c>
      <c r="G34" s="35">
        <f ca="1">(((_xlfn.XLOOKUP(YEAR($B34),'Oferta Producto 2'!$B$8:$B$19,'Oferta Producto 2'!$E$8:$E$19))*$AD34)/$AB34)/24</f>
        <v>0</v>
      </c>
      <c r="H34" s="35">
        <f ca="1">(((_xlfn.XLOOKUP(YEAR($B34),'Oferta Producto 2'!$B$8:$B$19,'Oferta Producto 2'!$E$8:$E$19))*$AD34)/$AB34)/24</f>
        <v>0</v>
      </c>
      <c r="I34" s="35">
        <f ca="1">(((_xlfn.XLOOKUP(YEAR($B34),'Oferta Producto 2'!$B$8:$B$19,'Oferta Producto 2'!$E$8:$E$19))*$AD34)/$AB34)/24</f>
        <v>0</v>
      </c>
      <c r="J34" s="35">
        <f ca="1">(((_xlfn.XLOOKUP(YEAR($B34),'Oferta Producto 2'!$B$8:$B$19,'Oferta Producto 2'!$E$8:$E$19))*$AD34)/$AB34)/24</f>
        <v>0</v>
      </c>
      <c r="K34" s="35">
        <f ca="1">(((_xlfn.XLOOKUP(YEAR($B34),'Oferta Producto 2'!$B$8:$B$19,'Oferta Producto 2'!$E$8:$E$19))*$AD34)/$AB34)/24</f>
        <v>0</v>
      </c>
      <c r="L34" s="35">
        <f ca="1">(((_xlfn.XLOOKUP(YEAR($B34),'Oferta Producto 2'!$B$8:$B$19,'Oferta Producto 2'!$E$8:$E$19))*$AD34)/$AB34)/24</f>
        <v>0</v>
      </c>
      <c r="M34" s="35">
        <f ca="1">(((_xlfn.XLOOKUP(YEAR($B34),'Oferta Producto 2'!$B$8:$B$19,'Oferta Producto 2'!$E$8:$E$19))*$AD34)/$AB34)/24</f>
        <v>0</v>
      </c>
      <c r="N34" s="35">
        <f ca="1">(((_xlfn.XLOOKUP(YEAR($B34),'Oferta Producto 2'!$B$8:$B$19,'Oferta Producto 2'!$E$8:$E$19))*$AD34)/$AB34)/24</f>
        <v>0</v>
      </c>
      <c r="O34" s="35">
        <f ca="1">(((_xlfn.XLOOKUP(YEAR($B34),'Oferta Producto 2'!$B$8:$B$19,'Oferta Producto 2'!$E$8:$E$19))*$AD34)/$AB34)/24</f>
        <v>0</v>
      </c>
      <c r="P34" s="35">
        <f ca="1">(((_xlfn.XLOOKUP(YEAR($B34),'Oferta Producto 2'!$B$8:$B$19,'Oferta Producto 2'!$E$8:$E$19))*$AD34)/$AB34)/24</f>
        <v>0</v>
      </c>
      <c r="Q34" s="35">
        <f ca="1">(((_xlfn.XLOOKUP(YEAR($B34),'Oferta Producto 2'!$B$8:$B$19,'Oferta Producto 2'!$E$8:$E$19))*$AD34)/$AB34)/24</f>
        <v>0</v>
      </c>
      <c r="R34" s="35">
        <f ca="1">(((_xlfn.XLOOKUP(YEAR($B34),'Oferta Producto 2'!$B$8:$B$19,'Oferta Producto 2'!$E$8:$E$19))*$AD34)/$AB34)/24</f>
        <v>0</v>
      </c>
      <c r="S34" s="35">
        <f ca="1">(((_xlfn.XLOOKUP(YEAR($B34),'Oferta Producto 2'!$B$8:$B$19,'Oferta Producto 2'!$E$8:$E$19))*$AD34)/$AB34)/24</f>
        <v>0</v>
      </c>
      <c r="T34" s="35">
        <f ca="1">(((_xlfn.XLOOKUP(YEAR($B34),'Oferta Producto 2'!$B$8:$B$19,'Oferta Producto 2'!$E$8:$E$19))*$AD34)/$AB34)/24</f>
        <v>0</v>
      </c>
      <c r="U34" s="35">
        <f ca="1">(((_xlfn.XLOOKUP(YEAR($B34),'Oferta Producto 2'!$B$8:$B$19,'Oferta Producto 2'!$E$8:$E$19))*$AD34)/$AB34)/24</f>
        <v>0</v>
      </c>
      <c r="V34" s="35">
        <f ca="1">(((_xlfn.XLOOKUP(YEAR($B34),'Oferta Producto 2'!$B$8:$B$19,'Oferta Producto 2'!$E$8:$E$19))*$AD34)/$AB34)/24</f>
        <v>0</v>
      </c>
      <c r="W34" s="35">
        <f ca="1">(((_xlfn.XLOOKUP(YEAR($B34),'Oferta Producto 2'!$B$8:$B$19,'Oferta Producto 2'!$E$8:$E$19))*$AD34)/$AB34)/24</f>
        <v>0</v>
      </c>
      <c r="X34" s="35">
        <f ca="1">(((_xlfn.XLOOKUP(YEAR($B34),'Oferta Producto 2'!$B$8:$B$19,'Oferta Producto 2'!$E$8:$E$19))*$AD34)/$AB34)/24</f>
        <v>0</v>
      </c>
      <c r="Y34" s="35">
        <f ca="1">(((_xlfn.XLOOKUP(YEAR($B34),'Oferta Producto 2'!$B$8:$B$19,'Oferta Producto 2'!$E$8:$E$19))*$AD34)/$AB34)/24</f>
        <v>0</v>
      </c>
      <c r="Z34" s="35">
        <f ca="1">(((_xlfn.XLOOKUP(YEAR($B34),'Oferta Producto 2'!$B$8:$B$19,'Oferta Producto 2'!$E$8:$E$19))*$AD34)/$AB34)/24</f>
        <v>0</v>
      </c>
      <c r="AA34" s="35">
        <f t="shared" ca="1" si="5"/>
        <v>0</v>
      </c>
      <c r="AB34" s="28">
        <f t="shared" si="2"/>
        <v>31</v>
      </c>
      <c r="AC34" s="42">
        <f t="shared" ca="1" si="3"/>
        <v>0</v>
      </c>
      <c r="AD34" s="43">
        <v>8.2916184886125746E-2</v>
      </c>
      <c r="AE34" s="8"/>
      <c r="AF34" s="8"/>
    </row>
    <row r="35" spans="1:32" ht="15.75" thickBot="1">
      <c r="A35" s="23">
        <f t="shared" si="0"/>
        <v>2028</v>
      </c>
      <c r="B35" s="27">
        <v>46905</v>
      </c>
      <c r="C35" s="35">
        <f ca="1">(((_xlfn.XLOOKUP(YEAR($B35),'Oferta Producto 2'!$B$8:$B$19,'Oferta Producto 2'!$E$8:$E$19))*$AD35)/$AB35)/24</f>
        <v>0</v>
      </c>
      <c r="D35" s="35">
        <f ca="1">(((_xlfn.XLOOKUP(YEAR($B35),'Oferta Producto 2'!$B$8:$B$19,'Oferta Producto 2'!$E$8:$E$19))*$AD35)/$AB35)/24</f>
        <v>0</v>
      </c>
      <c r="E35" s="35">
        <f ca="1">(((_xlfn.XLOOKUP(YEAR($B35),'Oferta Producto 2'!$B$8:$B$19,'Oferta Producto 2'!$E$8:$E$19))*$AD35)/$AB35)/24</f>
        <v>0</v>
      </c>
      <c r="F35" s="35">
        <f ca="1">(((_xlfn.XLOOKUP(YEAR($B35),'Oferta Producto 2'!$B$8:$B$19,'Oferta Producto 2'!$E$8:$E$19))*$AD35)/$AB35)/24</f>
        <v>0</v>
      </c>
      <c r="G35" s="35">
        <f ca="1">(((_xlfn.XLOOKUP(YEAR($B35),'Oferta Producto 2'!$B$8:$B$19,'Oferta Producto 2'!$E$8:$E$19))*$AD35)/$AB35)/24</f>
        <v>0</v>
      </c>
      <c r="H35" s="35">
        <f ca="1">(((_xlfn.XLOOKUP(YEAR($B35),'Oferta Producto 2'!$B$8:$B$19,'Oferta Producto 2'!$E$8:$E$19))*$AD35)/$AB35)/24</f>
        <v>0</v>
      </c>
      <c r="I35" s="35">
        <f ca="1">(((_xlfn.XLOOKUP(YEAR($B35),'Oferta Producto 2'!$B$8:$B$19,'Oferta Producto 2'!$E$8:$E$19))*$AD35)/$AB35)/24</f>
        <v>0</v>
      </c>
      <c r="J35" s="35">
        <f ca="1">(((_xlfn.XLOOKUP(YEAR($B35),'Oferta Producto 2'!$B$8:$B$19,'Oferta Producto 2'!$E$8:$E$19))*$AD35)/$AB35)/24</f>
        <v>0</v>
      </c>
      <c r="K35" s="35">
        <f ca="1">(((_xlfn.XLOOKUP(YEAR($B35),'Oferta Producto 2'!$B$8:$B$19,'Oferta Producto 2'!$E$8:$E$19))*$AD35)/$AB35)/24</f>
        <v>0</v>
      </c>
      <c r="L35" s="35">
        <f ca="1">(((_xlfn.XLOOKUP(YEAR($B35),'Oferta Producto 2'!$B$8:$B$19,'Oferta Producto 2'!$E$8:$E$19))*$AD35)/$AB35)/24</f>
        <v>0</v>
      </c>
      <c r="M35" s="35">
        <f ca="1">(((_xlfn.XLOOKUP(YEAR($B35),'Oferta Producto 2'!$B$8:$B$19,'Oferta Producto 2'!$E$8:$E$19))*$AD35)/$AB35)/24</f>
        <v>0</v>
      </c>
      <c r="N35" s="35">
        <f ca="1">(((_xlfn.XLOOKUP(YEAR($B35),'Oferta Producto 2'!$B$8:$B$19,'Oferta Producto 2'!$E$8:$E$19))*$AD35)/$AB35)/24</f>
        <v>0</v>
      </c>
      <c r="O35" s="35">
        <f ca="1">(((_xlfn.XLOOKUP(YEAR($B35),'Oferta Producto 2'!$B$8:$B$19,'Oferta Producto 2'!$E$8:$E$19))*$AD35)/$AB35)/24</f>
        <v>0</v>
      </c>
      <c r="P35" s="35">
        <f ca="1">(((_xlfn.XLOOKUP(YEAR($B35),'Oferta Producto 2'!$B$8:$B$19,'Oferta Producto 2'!$E$8:$E$19))*$AD35)/$AB35)/24</f>
        <v>0</v>
      </c>
      <c r="Q35" s="35">
        <f ca="1">(((_xlfn.XLOOKUP(YEAR($B35),'Oferta Producto 2'!$B$8:$B$19,'Oferta Producto 2'!$E$8:$E$19))*$AD35)/$AB35)/24</f>
        <v>0</v>
      </c>
      <c r="R35" s="35">
        <f ca="1">(((_xlfn.XLOOKUP(YEAR($B35),'Oferta Producto 2'!$B$8:$B$19,'Oferta Producto 2'!$E$8:$E$19))*$AD35)/$AB35)/24</f>
        <v>0</v>
      </c>
      <c r="S35" s="35">
        <f ca="1">(((_xlfn.XLOOKUP(YEAR($B35),'Oferta Producto 2'!$B$8:$B$19,'Oferta Producto 2'!$E$8:$E$19))*$AD35)/$AB35)/24</f>
        <v>0</v>
      </c>
      <c r="T35" s="35">
        <f ca="1">(((_xlfn.XLOOKUP(YEAR($B35),'Oferta Producto 2'!$B$8:$B$19,'Oferta Producto 2'!$E$8:$E$19))*$AD35)/$AB35)/24</f>
        <v>0</v>
      </c>
      <c r="U35" s="35">
        <f ca="1">(((_xlfn.XLOOKUP(YEAR($B35),'Oferta Producto 2'!$B$8:$B$19,'Oferta Producto 2'!$E$8:$E$19))*$AD35)/$AB35)/24</f>
        <v>0</v>
      </c>
      <c r="V35" s="35">
        <f ca="1">(((_xlfn.XLOOKUP(YEAR($B35),'Oferta Producto 2'!$B$8:$B$19,'Oferta Producto 2'!$E$8:$E$19))*$AD35)/$AB35)/24</f>
        <v>0</v>
      </c>
      <c r="W35" s="35">
        <f ca="1">(((_xlfn.XLOOKUP(YEAR($B35),'Oferta Producto 2'!$B$8:$B$19,'Oferta Producto 2'!$E$8:$E$19))*$AD35)/$AB35)/24</f>
        <v>0</v>
      </c>
      <c r="X35" s="35">
        <f ca="1">(((_xlfn.XLOOKUP(YEAR($B35),'Oferta Producto 2'!$B$8:$B$19,'Oferta Producto 2'!$E$8:$E$19))*$AD35)/$AB35)/24</f>
        <v>0</v>
      </c>
      <c r="Y35" s="35">
        <f ca="1">(((_xlfn.XLOOKUP(YEAR($B35),'Oferta Producto 2'!$B$8:$B$19,'Oferta Producto 2'!$E$8:$E$19))*$AD35)/$AB35)/24</f>
        <v>0</v>
      </c>
      <c r="Z35" s="35">
        <f ca="1">(((_xlfn.XLOOKUP(YEAR($B35),'Oferta Producto 2'!$B$8:$B$19,'Oferta Producto 2'!$E$8:$E$19))*$AD35)/$AB35)/24</f>
        <v>0</v>
      </c>
      <c r="AA35" s="35">
        <f t="shared" ca="1" si="5"/>
        <v>0</v>
      </c>
      <c r="AB35" s="28">
        <f t="shared" si="2"/>
        <v>30</v>
      </c>
      <c r="AC35" s="42">
        <f t="shared" ca="1" si="3"/>
        <v>0</v>
      </c>
      <c r="AD35" s="43">
        <v>8.3750481780540911E-2</v>
      </c>
      <c r="AE35" s="8"/>
      <c r="AF35" s="8"/>
    </row>
    <row r="36" spans="1:32" ht="15.75" thickBot="1">
      <c r="A36" s="23">
        <f t="shared" si="0"/>
        <v>2028</v>
      </c>
      <c r="B36" s="27">
        <v>46935</v>
      </c>
      <c r="C36" s="35">
        <f ca="1">(((_xlfn.XLOOKUP(YEAR($B36),'Oferta Producto 2'!$B$8:$B$19,'Oferta Producto 2'!$E$8:$E$19))*$AD36)/$AB36)/24</f>
        <v>0</v>
      </c>
      <c r="D36" s="35">
        <f ca="1">(((_xlfn.XLOOKUP(YEAR($B36),'Oferta Producto 2'!$B$8:$B$19,'Oferta Producto 2'!$E$8:$E$19))*$AD36)/$AB36)/24</f>
        <v>0</v>
      </c>
      <c r="E36" s="35">
        <f ca="1">(((_xlfn.XLOOKUP(YEAR($B36),'Oferta Producto 2'!$B$8:$B$19,'Oferta Producto 2'!$E$8:$E$19))*$AD36)/$AB36)/24</f>
        <v>0</v>
      </c>
      <c r="F36" s="35">
        <f ca="1">(((_xlfn.XLOOKUP(YEAR($B36),'Oferta Producto 2'!$B$8:$B$19,'Oferta Producto 2'!$E$8:$E$19))*$AD36)/$AB36)/24</f>
        <v>0</v>
      </c>
      <c r="G36" s="35">
        <f ca="1">(((_xlfn.XLOOKUP(YEAR($B36),'Oferta Producto 2'!$B$8:$B$19,'Oferta Producto 2'!$E$8:$E$19))*$AD36)/$AB36)/24</f>
        <v>0</v>
      </c>
      <c r="H36" s="35">
        <f ca="1">(((_xlfn.XLOOKUP(YEAR($B36),'Oferta Producto 2'!$B$8:$B$19,'Oferta Producto 2'!$E$8:$E$19))*$AD36)/$AB36)/24</f>
        <v>0</v>
      </c>
      <c r="I36" s="35">
        <f ca="1">(((_xlfn.XLOOKUP(YEAR($B36),'Oferta Producto 2'!$B$8:$B$19,'Oferta Producto 2'!$E$8:$E$19))*$AD36)/$AB36)/24</f>
        <v>0</v>
      </c>
      <c r="J36" s="35">
        <f ca="1">(((_xlfn.XLOOKUP(YEAR($B36),'Oferta Producto 2'!$B$8:$B$19,'Oferta Producto 2'!$E$8:$E$19))*$AD36)/$AB36)/24</f>
        <v>0</v>
      </c>
      <c r="K36" s="35">
        <f ca="1">(((_xlfn.XLOOKUP(YEAR($B36),'Oferta Producto 2'!$B$8:$B$19,'Oferta Producto 2'!$E$8:$E$19))*$AD36)/$AB36)/24</f>
        <v>0</v>
      </c>
      <c r="L36" s="35">
        <f ca="1">(((_xlfn.XLOOKUP(YEAR($B36),'Oferta Producto 2'!$B$8:$B$19,'Oferta Producto 2'!$E$8:$E$19))*$AD36)/$AB36)/24</f>
        <v>0</v>
      </c>
      <c r="M36" s="35">
        <f ca="1">(((_xlfn.XLOOKUP(YEAR($B36),'Oferta Producto 2'!$B$8:$B$19,'Oferta Producto 2'!$E$8:$E$19))*$AD36)/$AB36)/24</f>
        <v>0</v>
      </c>
      <c r="N36" s="35">
        <f ca="1">(((_xlfn.XLOOKUP(YEAR($B36),'Oferta Producto 2'!$B$8:$B$19,'Oferta Producto 2'!$E$8:$E$19))*$AD36)/$AB36)/24</f>
        <v>0</v>
      </c>
      <c r="O36" s="35">
        <f ca="1">(((_xlfn.XLOOKUP(YEAR($B36),'Oferta Producto 2'!$B$8:$B$19,'Oferta Producto 2'!$E$8:$E$19))*$AD36)/$AB36)/24</f>
        <v>0</v>
      </c>
      <c r="P36" s="35">
        <f ca="1">(((_xlfn.XLOOKUP(YEAR($B36),'Oferta Producto 2'!$B$8:$B$19,'Oferta Producto 2'!$E$8:$E$19))*$AD36)/$AB36)/24</f>
        <v>0</v>
      </c>
      <c r="Q36" s="35">
        <f ca="1">(((_xlfn.XLOOKUP(YEAR($B36),'Oferta Producto 2'!$B$8:$B$19,'Oferta Producto 2'!$E$8:$E$19))*$AD36)/$AB36)/24</f>
        <v>0</v>
      </c>
      <c r="R36" s="35">
        <f ca="1">(((_xlfn.XLOOKUP(YEAR($B36),'Oferta Producto 2'!$B$8:$B$19,'Oferta Producto 2'!$E$8:$E$19))*$AD36)/$AB36)/24</f>
        <v>0</v>
      </c>
      <c r="S36" s="35">
        <f ca="1">(((_xlfn.XLOOKUP(YEAR($B36),'Oferta Producto 2'!$B$8:$B$19,'Oferta Producto 2'!$E$8:$E$19))*$AD36)/$AB36)/24</f>
        <v>0</v>
      </c>
      <c r="T36" s="35">
        <f ca="1">(((_xlfn.XLOOKUP(YEAR($B36),'Oferta Producto 2'!$B$8:$B$19,'Oferta Producto 2'!$E$8:$E$19))*$AD36)/$AB36)/24</f>
        <v>0</v>
      </c>
      <c r="U36" s="35">
        <f ca="1">(((_xlfn.XLOOKUP(YEAR($B36),'Oferta Producto 2'!$B$8:$B$19,'Oferta Producto 2'!$E$8:$E$19))*$AD36)/$AB36)/24</f>
        <v>0</v>
      </c>
      <c r="V36" s="35">
        <f ca="1">(((_xlfn.XLOOKUP(YEAR($B36),'Oferta Producto 2'!$B$8:$B$19,'Oferta Producto 2'!$E$8:$E$19))*$AD36)/$AB36)/24</f>
        <v>0</v>
      </c>
      <c r="W36" s="35">
        <f ca="1">(((_xlfn.XLOOKUP(YEAR($B36),'Oferta Producto 2'!$B$8:$B$19,'Oferta Producto 2'!$E$8:$E$19))*$AD36)/$AB36)/24</f>
        <v>0</v>
      </c>
      <c r="X36" s="35">
        <f ca="1">(((_xlfn.XLOOKUP(YEAR($B36),'Oferta Producto 2'!$B$8:$B$19,'Oferta Producto 2'!$E$8:$E$19))*$AD36)/$AB36)/24</f>
        <v>0</v>
      </c>
      <c r="Y36" s="35">
        <f ca="1">(((_xlfn.XLOOKUP(YEAR($B36),'Oferta Producto 2'!$B$8:$B$19,'Oferta Producto 2'!$E$8:$E$19))*$AD36)/$AB36)/24</f>
        <v>0</v>
      </c>
      <c r="Z36" s="35">
        <f ca="1">(((_xlfn.XLOOKUP(YEAR($B36),'Oferta Producto 2'!$B$8:$B$19,'Oferta Producto 2'!$E$8:$E$19))*$AD36)/$AB36)/24</f>
        <v>0</v>
      </c>
      <c r="AA36" s="35">
        <f t="shared" ca="1" si="5"/>
        <v>0</v>
      </c>
      <c r="AB36" s="28">
        <f t="shared" si="2"/>
        <v>31</v>
      </c>
      <c r="AC36" s="42">
        <f t="shared" ca="1" si="3"/>
        <v>0</v>
      </c>
      <c r="AD36" s="43">
        <v>8.2916184886125732E-2</v>
      </c>
      <c r="AE36" s="8"/>
      <c r="AF36" s="8"/>
    </row>
    <row r="37" spans="1:32" ht="15.75" thickBot="1">
      <c r="A37" s="23">
        <f t="shared" si="0"/>
        <v>2028</v>
      </c>
      <c r="B37" s="27">
        <v>46966</v>
      </c>
      <c r="C37" s="35">
        <f ca="1">(((_xlfn.XLOOKUP(YEAR($B37),'Oferta Producto 2'!$B$8:$B$19,'Oferta Producto 2'!$E$8:$E$19))*$AD37)/$AB37)/24</f>
        <v>0</v>
      </c>
      <c r="D37" s="35">
        <f ca="1">(((_xlfn.XLOOKUP(YEAR($B37),'Oferta Producto 2'!$B$8:$B$19,'Oferta Producto 2'!$E$8:$E$19))*$AD37)/$AB37)/24</f>
        <v>0</v>
      </c>
      <c r="E37" s="35">
        <f ca="1">(((_xlfn.XLOOKUP(YEAR($B37),'Oferta Producto 2'!$B$8:$B$19,'Oferta Producto 2'!$E$8:$E$19))*$AD37)/$AB37)/24</f>
        <v>0</v>
      </c>
      <c r="F37" s="35">
        <f ca="1">(((_xlfn.XLOOKUP(YEAR($B37),'Oferta Producto 2'!$B$8:$B$19,'Oferta Producto 2'!$E$8:$E$19))*$AD37)/$AB37)/24</f>
        <v>0</v>
      </c>
      <c r="G37" s="35">
        <f ca="1">(((_xlfn.XLOOKUP(YEAR($B37),'Oferta Producto 2'!$B$8:$B$19,'Oferta Producto 2'!$E$8:$E$19))*$AD37)/$AB37)/24</f>
        <v>0</v>
      </c>
      <c r="H37" s="35">
        <f ca="1">(((_xlfn.XLOOKUP(YEAR($B37),'Oferta Producto 2'!$B$8:$B$19,'Oferta Producto 2'!$E$8:$E$19))*$AD37)/$AB37)/24</f>
        <v>0</v>
      </c>
      <c r="I37" s="35">
        <f ca="1">(((_xlfn.XLOOKUP(YEAR($B37),'Oferta Producto 2'!$B$8:$B$19,'Oferta Producto 2'!$E$8:$E$19))*$AD37)/$AB37)/24</f>
        <v>0</v>
      </c>
      <c r="J37" s="35">
        <f ca="1">(((_xlfn.XLOOKUP(YEAR($B37),'Oferta Producto 2'!$B$8:$B$19,'Oferta Producto 2'!$E$8:$E$19))*$AD37)/$AB37)/24</f>
        <v>0</v>
      </c>
      <c r="K37" s="35">
        <f ca="1">(((_xlfn.XLOOKUP(YEAR($B37),'Oferta Producto 2'!$B$8:$B$19,'Oferta Producto 2'!$E$8:$E$19))*$AD37)/$AB37)/24</f>
        <v>0</v>
      </c>
      <c r="L37" s="35">
        <f ca="1">(((_xlfn.XLOOKUP(YEAR($B37),'Oferta Producto 2'!$B$8:$B$19,'Oferta Producto 2'!$E$8:$E$19))*$AD37)/$AB37)/24</f>
        <v>0</v>
      </c>
      <c r="M37" s="35">
        <f ca="1">(((_xlfn.XLOOKUP(YEAR($B37),'Oferta Producto 2'!$B$8:$B$19,'Oferta Producto 2'!$E$8:$E$19))*$AD37)/$AB37)/24</f>
        <v>0</v>
      </c>
      <c r="N37" s="35">
        <f ca="1">(((_xlfn.XLOOKUP(YEAR($B37),'Oferta Producto 2'!$B$8:$B$19,'Oferta Producto 2'!$E$8:$E$19))*$AD37)/$AB37)/24</f>
        <v>0</v>
      </c>
      <c r="O37" s="35">
        <f ca="1">(((_xlfn.XLOOKUP(YEAR($B37),'Oferta Producto 2'!$B$8:$B$19,'Oferta Producto 2'!$E$8:$E$19))*$AD37)/$AB37)/24</f>
        <v>0</v>
      </c>
      <c r="P37" s="35">
        <f ca="1">(((_xlfn.XLOOKUP(YEAR($B37),'Oferta Producto 2'!$B$8:$B$19,'Oferta Producto 2'!$E$8:$E$19))*$AD37)/$AB37)/24</f>
        <v>0</v>
      </c>
      <c r="Q37" s="35">
        <f ca="1">(((_xlfn.XLOOKUP(YEAR($B37),'Oferta Producto 2'!$B$8:$B$19,'Oferta Producto 2'!$E$8:$E$19))*$AD37)/$AB37)/24</f>
        <v>0</v>
      </c>
      <c r="R37" s="35">
        <f ca="1">(((_xlfn.XLOOKUP(YEAR($B37),'Oferta Producto 2'!$B$8:$B$19,'Oferta Producto 2'!$E$8:$E$19))*$AD37)/$AB37)/24</f>
        <v>0</v>
      </c>
      <c r="S37" s="35">
        <f ca="1">(((_xlfn.XLOOKUP(YEAR($B37),'Oferta Producto 2'!$B$8:$B$19,'Oferta Producto 2'!$E$8:$E$19))*$AD37)/$AB37)/24</f>
        <v>0</v>
      </c>
      <c r="T37" s="35">
        <f ca="1">(((_xlfn.XLOOKUP(YEAR($B37),'Oferta Producto 2'!$B$8:$B$19,'Oferta Producto 2'!$E$8:$E$19))*$AD37)/$AB37)/24</f>
        <v>0</v>
      </c>
      <c r="U37" s="35">
        <f ca="1">(((_xlfn.XLOOKUP(YEAR($B37),'Oferta Producto 2'!$B$8:$B$19,'Oferta Producto 2'!$E$8:$E$19))*$AD37)/$AB37)/24</f>
        <v>0</v>
      </c>
      <c r="V37" s="35">
        <f ca="1">(((_xlfn.XLOOKUP(YEAR($B37),'Oferta Producto 2'!$B$8:$B$19,'Oferta Producto 2'!$E$8:$E$19))*$AD37)/$AB37)/24</f>
        <v>0</v>
      </c>
      <c r="W37" s="35">
        <f ca="1">(((_xlfn.XLOOKUP(YEAR($B37),'Oferta Producto 2'!$B$8:$B$19,'Oferta Producto 2'!$E$8:$E$19))*$AD37)/$AB37)/24</f>
        <v>0</v>
      </c>
      <c r="X37" s="35">
        <f ca="1">(((_xlfn.XLOOKUP(YEAR($B37),'Oferta Producto 2'!$B$8:$B$19,'Oferta Producto 2'!$E$8:$E$19))*$AD37)/$AB37)/24</f>
        <v>0</v>
      </c>
      <c r="Y37" s="35">
        <f ca="1">(((_xlfn.XLOOKUP(YEAR($B37),'Oferta Producto 2'!$B$8:$B$19,'Oferta Producto 2'!$E$8:$E$19))*$AD37)/$AB37)/24</f>
        <v>0</v>
      </c>
      <c r="Z37" s="35">
        <f ca="1">(((_xlfn.XLOOKUP(YEAR($B37),'Oferta Producto 2'!$B$8:$B$19,'Oferta Producto 2'!$E$8:$E$19))*$AD37)/$AB37)/24</f>
        <v>0</v>
      </c>
      <c r="AA37" s="35">
        <f t="shared" ca="1" si="5"/>
        <v>0</v>
      </c>
      <c r="AB37" s="28">
        <f t="shared" si="2"/>
        <v>31</v>
      </c>
      <c r="AC37" s="42">
        <f t="shared" ca="1" si="3"/>
        <v>0</v>
      </c>
      <c r="AD37" s="43">
        <v>8.291618488612576E-2</v>
      </c>
      <c r="AE37" s="8"/>
      <c r="AF37" s="8"/>
    </row>
    <row r="38" spans="1:32" ht="15.75" thickBot="1">
      <c r="A38" s="23">
        <f t="shared" si="0"/>
        <v>2028</v>
      </c>
      <c r="B38" s="27">
        <v>46997</v>
      </c>
      <c r="C38" s="35">
        <f ca="1">(((_xlfn.XLOOKUP(YEAR($B38),'Oferta Producto 2'!$B$8:$B$19,'Oferta Producto 2'!$E$8:$E$19))*$AD38)/$AB38)/24</f>
        <v>0</v>
      </c>
      <c r="D38" s="35">
        <f ca="1">(((_xlfn.XLOOKUP(YEAR($B38),'Oferta Producto 2'!$B$8:$B$19,'Oferta Producto 2'!$E$8:$E$19))*$AD38)/$AB38)/24</f>
        <v>0</v>
      </c>
      <c r="E38" s="35">
        <f ca="1">(((_xlfn.XLOOKUP(YEAR($B38),'Oferta Producto 2'!$B$8:$B$19,'Oferta Producto 2'!$E$8:$E$19))*$AD38)/$AB38)/24</f>
        <v>0</v>
      </c>
      <c r="F38" s="35">
        <f ca="1">(((_xlfn.XLOOKUP(YEAR($B38),'Oferta Producto 2'!$B$8:$B$19,'Oferta Producto 2'!$E$8:$E$19))*$AD38)/$AB38)/24</f>
        <v>0</v>
      </c>
      <c r="G38" s="35">
        <f ca="1">(((_xlfn.XLOOKUP(YEAR($B38),'Oferta Producto 2'!$B$8:$B$19,'Oferta Producto 2'!$E$8:$E$19))*$AD38)/$AB38)/24</f>
        <v>0</v>
      </c>
      <c r="H38" s="35">
        <f ca="1">(((_xlfn.XLOOKUP(YEAR($B38),'Oferta Producto 2'!$B$8:$B$19,'Oferta Producto 2'!$E$8:$E$19))*$AD38)/$AB38)/24</f>
        <v>0</v>
      </c>
      <c r="I38" s="35">
        <f ca="1">(((_xlfn.XLOOKUP(YEAR($B38),'Oferta Producto 2'!$B$8:$B$19,'Oferta Producto 2'!$E$8:$E$19))*$AD38)/$AB38)/24</f>
        <v>0</v>
      </c>
      <c r="J38" s="35">
        <f ca="1">(((_xlfn.XLOOKUP(YEAR($B38),'Oferta Producto 2'!$B$8:$B$19,'Oferta Producto 2'!$E$8:$E$19))*$AD38)/$AB38)/24</f>
        <v>0</v>
      </c>
      <c r="K38" s="35">
        <f ca="1">(((_xlfn.XLOOKUP(YEAR($B38),'Oferta Producto 2'!$B$8:$B$19,'Oferta Producto 2'!$E$8:$E$19))*$AD38)/$AB38)/24</f>
        <v>0</v>
      </c>
      <c r="L38" s="35">
        <f ca="1">(((_xlfn.XLOOKUP(YEAR($B38),'Oferta Producto 2'!$B$8:$B$19,'Oferta Producto 2'!$E$8:$E$19))*$AD38)/$AB38)/24</f>
        <v>0</v>
      </c>
      <c r="M38" s="35">
        <f ca="1">(((_xlfn.XLOOKUP(YEAR($B38),'Oferta Producto 2'!$B$8:$B$19,'Oferta Producto 2'!$E$8:$E$19))*$AD38)/$AB38)/24</f>
        <v>0</v>
      </c>
      <c r="N38" s="35">
        <f ca="1">(((_xlfn.XLOOKUP(YEAR($B38),'Oferta Producto 2'!$B$8:$B$19,'Oferta Producto 2'!$E$8:$E$19))*$AD38)/$AB38)/24</f>
        <v>0</v>
      </c>
      <c r="O38" s="35">
        <f ca="1">(((_xlfn.XLOOKUP(YEAR($B38),'Oferta Producto 2'!$B$8:$B$19,'Oferta Producto 2'!$E$8:$E$19))*$AD38)/$AB38)/24</f>
        <v>0</v>
      </c>
      <c r="P38" s="35">
        <f ca="1">(((_xlfn.XLOOKUP(YEAR($B38),'Oferta Producto 2'!$B$8:$B$19,'Oferta Producto 2'!$E$8:$E$19))*$AD38)/$AB38)/24</f>
        <v>0</v>
      </c>
      <c r="Q38" s="35">
        <f ca="1">(((_xlfn.XLOOKUP(YEAR($B38),'Oferta Producto 2'!$B$8:$B$19,'Oferta Producto 2'!$E$8:$E$19))*$AD38)/$AB38)/24</f>
        <v>0</v>
      </c>
      <c r="R38" s="35">
        <f ca="1">(((_xlfn.XLOOKUP(YEAR($B38),'Oferta Producto 2'!$B$8:$B$19,'Oferta Producto 2'!$E$8:$E$19))*$AD38)/$AB38)/24</f>
        <v>0</v>
      </c>
      <c r="S38" s="35">
        <f ca="1">(((_xlfn.XLOOKUP(YEAR($B38),'Oferta Producto 2'!$B$8:$B$19,'Oferta Producto 2'!$E$8:$E$19))*$AD38)/$AB38)/24</f>
        <v>0</v>
      </c>
      <c r="T38" s="35">
        <f ca="1">(((_xlfn.XLOOKUP(YEAR($B38),'Oferta Producto 2'!$B$8:$B$19,'Oferta Producto 2'!$E$8:$E$19))*$AD38)/$AB38)/24</f>
        <v>0</v>
      </c>
      <c r="U38" s="35">
        <f ca="1">(((_xlfn.XLOOKUP(YEAR($B38),'Oferta Producto 2'!$B$8:$B$19,'Oferta Producto 2'!$E$8:$E$19))*$AD38)/$AB38)/24</f>
        <v>0</v>
      </c>
      <c r="V38" s="35">
        <f ca="1">(((_xlfn.XLOOKUP(YEAR($B38),'Oferta Producto 2'!$B$8:$B$19,'Oferta Producto 2'!$E$8:$E$19))*$AD38)/$AB38)/24</f>
        <v>0</v>
      </c>
      <c r="W38" s="35">
        <f ca="1">(((_xlfn.XLOOKUP(YEAR($B38),'Oferta Producto 2'!$B$8:$B$19,'Oferta Producto 2'!$E$8:$E$19))*$AD38)/$AB38)/24</f>
        <v>0</v>
      </c>
      <c r="X38" s="35">
        <f ca="1">(((_xlfn.XLOOKUP(YEAR($B38),'Oferta Producto 2'!$B$8:$B$19,'Oferta Producto 2'!$E$8:$E$19))*$AD38)/$AB38)/24</f>
        <v>0</v>
      </c>
      <c r="Y38" s="35">
        <f ca="1">(((_xlfn.XLOOKUP(YEAR($B38),'Oferta Producto 2'!$B$8:$B$19,'Oferta Producto 2'!$E$8:$E$19))*$AD38)/$AB38)/24</f>
        <v>0</v>
      </c>
      <c r="Z38" s="35">
        <f ca="1">(((_xlfn.XLOOKUP(YEAR($B38),'Oferta Producto 2'!$B$8:$B$19,'Oferta Producto 2'!$E$8:$E$19))*$AD38)/$AB38)/24</f>
        <v>0</v>
      </c>
      <c r="AA38" s="35">
        <f t="shared" ca="1" si="5"/>
        <v>0</v>
      </c>
      <c r="AB38" s="28">
        <f t="shared" si="2"/>
        <v>30</v>
      </c>
      <c r="AC38" s="42">
        <f t="shared" ca="1" si="3"/>
        <v>0</v>
      </c>
      <c r="AD38" s="43">
        <v>8.3750481780540897E-2</v>
      </c>
      <c r="AE38" s="8"/>
      <c r="AF38" s="8"/>
    </row>
    <row r="39" spans="1:32" ht="15.75" thickBot="1">
      <c r="A39" s="23">
        <f t="shared" si="0"/>
        <v>2028</v>
      </c>
      <c r="B39" s="27">
        <v>47027</v>
      </c>
      <c r="C39" s="35">
        <f ca="1">(((_xlfn.XLOOKUP(YEAR($B39),'Oferta Producto 2'!$B$8:$B$19,'Oferta Producto 2'!$E$8:$E$19))*$AD39)/$AB39)/24</f>
        <v>0</v>
      </c>
      <c r="D39" s="35">
        <f ca="1">(((_xlfn.XLOOKUP(YEAR($B39),'Oferta Producto 2'!$B$8:$B$19,'Oferta Producto 2'!$E$8:$E$19))*$AD39)/$AB39)/24</f>
        <v>0</v>
      </c>
      <c r="E39" s="35">
        <f ca="1">(((_xlfn.XLOOKUP(YEAR($B39),'Oferta Producto 2'!$B$8:$B$19,'Oferta Producto 2'!$E$8:$E$19))*$AD39)/$AB39)/24</f>
        <v>0</v>
      </c>
      <c r="F39" s="35">
        <f ca="1">(((_xlfn.XLOOKUP(YEAR($B39),'Oferta Producto 2'!$B$8:$B$19,'Oferta Producto 2'!$E$8:$E$19))*$AD39)/$AB39)/24</f>
        <v>0</v>
      </c>
      <c r="G39" s="35">
        <f ca="1">(((_xlfn.XLOOKUP(YEAR($B39),'Oferta Producto 2'!$B$8:$B$19,'Oferta Producto 2'!$E$8:$E$19))*$AD39)/$AB39)/24</f>
        <v>0</v>
      </c>
      <c r="H39" s="35">
        <f ca="1">(((_xlfn.XLOOKUP(YEAR($B39),'Oferta Producto 2'!$B$8:$B$19,'Oferta Producto 2'!$E$8:$E$19))*$AD39)/$AB39)/24</f>
        <v>0</v>
      </c>
      <c r="I39" s="35">
        <f ca="1">(((_xlfn.XLOOKUP(YEAR($B39),'Oferta Producto 2'!$B$8:$B$19,'Oferta Producto 2'!$E$8:$E$19))*$AD39)/$AB39)/24</f>
        <v>0</v>
      </c>
      <c r="J39" s="35">
        <f ca="1">(((_xlfn.XLOOKUP(YEAR($B39),'Oferta Producto 2'!$B$8:$B$19,'Oferta Producto 2'!$E$8:$E$19))*$AD39)/$AB39)/24</f>
        <v>0</v>
      </c>
      <c r="K39" s="35">
        <f ca="1">(((_xlfn.XLOOKUP(YEAR($B39),'Oferta Producto 2'!$B$8:$B$19,'Oferta Producto 2'!$E$8:$E$19))*$AD39)/$AB39)/24</f>
        <v>0</v>
      </c>
      <c r="L39" s="35">
        <f ca="1">(((_xlfn.XLOOKUP(YEAR($B39),'Oferta Producto 2'!$B$8:$B$19,'Oferta Producto 2'!$E$8:$E$19))*$AD39)/$AB39)/24</f>
        <v>0</v>
      </c>
      <c r="M39" s="35">
        <f ca="1">(((_xlfn.XLOOKUP(YEAR($B39),'Oferta Producto 2'!$B$8:$B$19,'Oferta Producto 2'!$E$8:$E$19))*$AD39)/$AB39)/24</f>
        <v>0</v>
      </c>
      <c r="N39" s="35">
        <f ca="1">(((_xlfn.XLOOKUP(YEAR($B39),'Oferta Producto 2'!$B$8:$B$19,'Oferta Producto 2'!$E$8:$E$19))*$AD39)/$AB39)/24</f>
        <v>0</v>
      </c>
      <c r="O39" s="35">
        <f ca="1">(((_xlfn.XLOOKUP(YEAR($B39),'Oferta Producto 2'!$B$8:$B$19,'Oferta Producto 2'!$E$8:$E$19))*$AD39)/$AB39)/24</f>
        <v>0</v>
      </c>
      <c r="P39" s="35">
        <f ca="1">(((_xlfn.XLOOKUP(YEAR($B39),'Oferta Producto 2'!$B$8:$B$19,'Oferta Producto 2'!$E$8:$E$19))*$AD39)/$AB39)/24</f>
        <v>0</v>
      </c>
      <c r="Q39" s="35">
        <f ca="1">(((_xlfn.XLOOKUP(YEAR($B39),'Oferta Producto 2'!$B$8:$B$19,'Oferta Producto 2'!$E$8:$E$19))*$AD39)/$AB39)/24</f>
        <v>0</v>
      </c>
      <c r="R39" s="35">
        <f ca="1">(((_xlfn.XLOOKUP(YEAR($B39),'Oferta Producto 2'!$B$8:$B$19,'Oferta Producto 2'!$E$8:$E$19))*$AD39)/$AB39)/24</f>
        <v>0</v>
      </c>
      <c r="S39" s="35">
        <f ca="1">(((_xlfn.XLOOKUP(YEAR($B39),'Oferta Producto 2'!$B$8:$B$19,'Oferta Producto 2'!$E$8:$E$19))*$AD39)/$AB39)/24</f>
        <v>0</v>
      </c>
      <c r="T39" s="35">
        <f ca="1">(((_xlfn.XLOOKUP(YEAR($B39),'Oferta Producto 2'!$B$8:$B$19,'Oferta Producto 2'!$E$8:$E$19))*$AD39)/$AB39)/24</f>
        <v>0</v>
      </c>
      <c r="U39" s="35">
        <f ca="1">(((_xlfn.XLOOKUP(YEAR($B39),'Oferta Producto 2'!$B$8:$B$19,'Oferta Producto 2'!$E$8:$E$19))*$AD39)/$AB39)/24</f>
        <v>0</v>
      </c>
      <c r="V39" s="35">
        <f ca="1">(((_xlfn.XLOOKUP(YEAR($B39),'Oferta Producto 2'!$B$8:$B$19,'Oferta Producto 2'!$E$8:$E$19))*$AD39)/$AB39)/24</f>
        <v>0</v>
      </c>
      <c r="W39" s="35">
        <f ca="1">(((_xlfn.XLOOKUP(YEAR($B39),'Oferta Producto 2'!$B$8:$B$19,'Oferta Producto 2'!$E$8:$E$19))*$AD39)/$AB39)/24</f>
        <v>0</v>
      </c>
      <c r="X39" s="35">
        <f ca="1">(((_xlfn.XLOOKUP(YEAR($B39),'Oferta Producto 2'!$B$8:$B$19,'Oferta Producto 2'!$E$8:$E$19))*$AD39)/$AB39)/24</f>
        <v>0</v>
      </c>
      <c r="Y39" s="35">
        <f ca="1">(((_xlfn.XLOOKUP(YEAR($B39),'Oferta Producto 2'!$B$8:$B$19,'Oferta Producto 2'!$E$8:$E$19))*$AD39)/$AB39)/24</f>
        <v>0</v>
      </c>
      <c r="Z39" s="35">
        <f ca="1">(((_xlfn.XLOOKUP(YEAR($B39),'Oferta Producto 2'!$B$8:$B$19,'Oferta Producto 2'!$E$8:$E$19))*$AD39)/$AB39)/24</f>
        <v>0</v>
      </c>
      <c r="AA39" s="35">
        <f t="shared" ca="1" si="5"/>
        <v>0</v>
      </c>
      <c r="AB39" s="28">
        <f t="shared" si="2"/>
        <v>31</v>
      </c>
      <c r="AC39" s="42">
        <f t="shared" ca="1" si="3"/>
        <v>0</v>
      </c>
      <c r="AD39" s="43">
        <v>8.2916184886125746E-2</v>
      </c>
      <c r="AE39" s="8"/>
      <c r="AF39" s="8"/>
    </row>
    <row r="40" spans="1:32" ht="15.75" thickBot="1">
      <c r="A40" s="23">
        <f t="shared" si="0"/>
        <v>2028</v>
      </c>
      <c r="B40" s="27">
        <v>47058</v>
      </c>
      <c r="C40" s="35">
        <f ca="1">(((_xlfn.XLOOKUP(YEAR($B40),'Oferta Producto 2'!$B$8:$B$19,'Oferta Producto 2'!$E$8:$E$19))*$AD40)/$AB40)/24</f>
        <v>0</v>
      </c>
      <c r="D40" s="35">
        <f ca="1">(((_xlfn.XLOOKUP(YEAR($B40),'Oferta Producto 2'!$B$8:$B$19,'Oferta Producto 2'!$E$8:$E$19))*$AD40)/$AB40)/24</f>
        <v>0</v>
      </c>
      <c r="E40" s="35">
        <f ca="1">(((_xlfn.XLOOKUP(YEAR($B40),'Oferta Producto 2'!$B$8:$B$19,'Oferta Producto 2'!$E$8:$E$19))*$AD40)/$AB40)/24</f>
        <v>0</v>
      </c>
      <c r="F40" s="35">
        <f ca="1">(((_xlfn.XLOOKUP(YEAR($B40),'Oferta Producto 2'!$B$8:$B$19,'Oferta Producto 2'!$E$8:$E$19))*$AD40)/$AB40)/24</f>
        <v>0</v>
      </c>
      <c r="G40" s="35">
        <f ca="1">(((_xlfn.XLOOKUP(YEAR($B40),'Oferta Producto 2'!$B$8:$B$19,'Oferta Producto 2'!$E$8:$E$19))*$AD40)/$AB40)/24</f>
        <v>0</v>
      </c>
      <c r="H40" s="35">
        <f ca="1">(((_xlfn.XLOOKUP(YEAR($B40),'Oferta Producto 2'!$B$8:$B$19,'Oferta Producto 2'!$E$8:$E$19))*$AD40)/$AB40)/24</f>
        <v>0</v>
      </c>
      <c r="I40" s="35">
        <f ca="1">(((_xlfn.XLOOKUP(YEAR($B40),'Oferta Producto 2'!$B$8:$B$19,'Oferta Producto 2'!$E$8:$E$19))*$AD40)/$AB40)/24</f>
        <v>0</v>
      </c>
      <c r="J40" s="35">
        <f ca="1">(((_xlfn.XLOOKUP(YEAR($B40),'Oferta Producto 2'!$B$8:$B$19,'Oferta Producto 2'!$E$8:$E$19))*$AD40)/$AB40)/24</f>
        <v>0</v>
      </c>
      <c r="K40" s="35">
        <f ca="1">(((_xlfn.XLOOKUP(YEAR($B40),'Oferta Producto 2'!$B$8:$B$19,'Oferta Producto 2'!$E$8:$E$19))*$AD40)/$AB40)/24</f>
        <v>0</v>
      </c>
      <c r="L40" s="35">
        <f ca="1">(((_xlfn.XLOOKUP(YEAR($B40),'Oferta Producto 2'!$B$8:$B$19,'Oferta Producto 2'!$E$8:$E$19))*$AD40)/$AB40)/24</f>
        <v>0</v>
      </c>
      <c r="M40" s="35">
        <f ca="1">(((_xlfn.XLOOKUP(YEAR($B40),'Oferta Producto 2'!$B$8:$B$19,'Oferta Producto 2'!$E$8:$E$19))*$AD40)/$AB40)/24</f>
        <v>0</v>
      </c>
      <c r="N40" s="35">
        <f ca="1">(((_xlfn.XLOOKUP(YEAR($B40),'Oferta Producto 2'!$B$8:$B$19,'Oferta Producto 2'!$E$8:$E$19))*$AD40)/$AB40)/24</f>
        <v>0</v>
      </c>
      <c r="O40" s="35">
        <f ca="1">(((_xlfn.XLOOKUP(YEAR($B40),'Oferta Producto 2'!$B$8:$B$19,'Oferta Producto 2'!$E$8:$E$19))*$AD40)/$AB40)/24</f>
        <v>0</v>
      </c>
      <c r="P40" s="35">
        <f ca="1">(((_xlfn.XLOOKUP(YEAR($B40),'Oferta Producto 2'!$B$8:$B$19,'Oferta Producto 2'!$E$8:$E$19))*$AD40)/$AB40)/24</f>
        <v>0</v>
      </c>
      <c r="Q40" s="35">
        <f ca="1">(((_xlfn.XLOOKUP(YEAR($B40),'Oferta Producto 2'!$B$8:$B$19,'Oferta Producto 2'!$E$8:$E$19))*$AD40)/$AB40)/24</f>
        <v>0</v>
      </c>
      <c r="R40" s="35">
        <f ca="1">(((_xlfn.XLOOKUP(YEAR($B40),'Oferta Producto 2'!$B$8:$B$19,'Oferta Producto 2'!$E$8:$E$19))*$AD40)/$AB40)/24</f>
        <v>0</v>
      </c>
      <c r="S40" s="35">
        <f ca="1">(((_xlfn.XLOOKUP(YEAR($B40),'Oferta Producto 2'!$B$8:$B$19,'Oferta Producto 2'!$E$8:$E$19))*$AD40)/$AB40)/24</f>
        <v>0</v>
      </c>
      <c r="T40" s="35">
        <f ca="1">(((_xlfn.XLOOKUP(YEAR($B40),'Oferta Producto 2'!$B$8:$B$19,'Oferta Producto 2'!$E$8:$E$19))*$AD40)/$AB40)/24</f>
        <v>0</v>
      </c>
      <c r="U40" s="35">
        <f ca="1">(((_xlfn.XLOOKUP(YEAR($B40),'Oferta Producto 2'!$B$8:$B$19,'Oferta Producto 2'!$E$8:$E$19))*$AD40)/$AB40)/24</f>
        <v>0</v>
      </c>
      <c r="V40" s="35">
        <f ca="1">(((_xlfn.XLOOKUP(YEAR($B40),'Oferta Producto 2'!$B$8:$B$19,'Oferta Producto 2'!$E$8:$E$19))*$AD40)/$AB40)/24</f>
        <v>0</v>
      </c>
      <c r="W40" s="35">
        <f ca="1">(((_xlfn.XLOOKUP(YEAR($B40),'Oferta Producto 2'!$B$8:$B$19,'Oferta Producto 2'!$E$8:$E$19))*$AD40)/$AB40)/24</f>
        <v>0</v>
      </c>
      <c r="X40" s="35">
        <f ca="1">(((_xlfn.XLOOKUP(YEAR($B40),'Oferta Producto 2'!$B$8:$B$19,'Oferta Producto 2'!$E$8:$E$19))*$AD40)/$AB40)/24</f>
        <v>0</v>
      </c>
      <c r="Y40" s="35">
        <f ca="1">(((_xlfn.XLOOKUP(YEAR($B40),'Oferta Producto 2'!$B$8:$B$19,'Oferta Producto 2'!$E$8:$E$19))*$AD40)/$AB40)/24</f>
        <v>0</v>
      </c>
      <c r="Z40" s="35">
        <f ca="1">(((_xlfn.XLOOKUP(YEAR($B40),'Oferta Producto 2'!$B$8:$B$19,'Oferta Producto 2'!$E$8:$E$19))*$AD40)/$AB40)/24</f>
        <v>0</v>
      </c>
      <c r="AA40" s="35">
        <f t="shared" ca="1" si="5"/>
        <v>0</v>
      </c>
      <c r="AB40" s="28">
        <f t="shared" si="2"/>
        <v>30</v>
      </c>
      <c r="AC40" s="42">
        <f t="shared" ca="1" si="3"/>
        <v>0</v>
      </c>
      <c r="AD40" s="43">
        <v>8.3750481780540911E-2</v>
      </c>
      <c r="AE40" s="8"/>
      <c r="AF40" s="8"/>
    </row>
    <row r="41" spans="1:32" ht="15.75" thickBot="1">
      <c r="A41" s="23">
        <f t="shared" si="0"/>
        <v>2028</v>
      </c>
      <c r="B41" s="27">
        <v>47088</v>
      </c>
      <c r="C41" s="35">
        <f ca="1">(((_xlfn.XLOOKUP(YEAR($B41),'Oferta Producto 2'!$B$8:$B$19,'Oferta Producto 2'!$E$8:$E$19))*$AD41)/$AB41)/24</f>
        <v>0</v>
      </c>
      <c r="D41" s="35">
        <f ca="1">(((_xlfn.XLOOKUP(YEAR($B41),'Oferta Producto 2'!$B$8:$B$19,'Oferta Producto 2'!$E$8:$E$19))*$AD41)/$AB41)/24</f>
        <v>0</v>
      </c>
      <c r="E41" s="35">
        <f ca="1">(((_xlfn.XLOOKUP(YEAR($B41),'Oferta Producto 2'!$B$8:$B$19,'Oferta Producto 2'!$E$8:$E$19))*$AD41)/$AB41)/24</f>
        <v>0</v>
      </c>
      <c r="F41" s="35">
        <f ca="1">(((_xlfn.XLOOKUP(YEAR($B41),'Oferta Producto 2'!$B$8:$B$19,'Oferta Producto 2'!$E$8:$E$19))*$AD41)/$AB41)/24</f>
        <v>0</v>
      </c>
      <c r="G41" s="35">
        <f ca="1">(((_xlfn.XLOOKUP(YEAR($B41),'Oferta Producto 2'!$B$8:$B$19,'Oferta Producto 2'!$E$8:$E$19))*$AD41)/$AB41)/24</f>
        <v>0</v>
      </c>
      <c r="H41" s="35">
        <f ca="1">(((_xlfn.XLOOKUP(YEAR($B41),'Oferta Producto 2'!$B$8:$B$19,'Oferta Producto 2'!$E$8:$E$19))*$AD41)/$AB41)/24</f>
        <v>0</v>
      </c>
      <c r="I41" s="35">
        <f ca="1">(((_xlfn.XLOOKUP(YEAR($B41),'Oferta Producto 2'!$B$8:$B$19,'Oferta Producto 2'!$E$8:$E$19))*$AD41)/$AB41)/24</f>
        <v>0</v>
      </c>
      <c r="J41" s="35">
        <f ca="1">(((_xlfn.XLOOKUP(YEAR($B41),'Oferta Producto 2'!$B$8:$B$19,'Oferta Producto 2'!$E$8:$E$19))*$AD41)/$AB41)/24</f>
        <v>0</v>
      </c>
      <c r="K41" s="35">
        <f ca="1">(((_xlfn.XLOOKUP(YEAR($B41),'Oferta Producto 2'!$B$8:$B$19,'Oferta Producto 2'!$E$8:$E$19))*$AD41)/$AB41)/24</f>
        <v>0</v>
      </c>
      <c r="L41" s="35">
        <f ca="1">(((_xlfn.XLOOKUP(YEAR($B41),'Oferta Producto 2'!$B$8:$B$19,'Oferta Producto 2'!$E$8:$E$19))*$AD41)/$AB41)/24</f>
        <v>0</v>
      </c>
      <c r="M41" s="35">
        <f ca="1">(((_xlfn.XLOOKUP(YEAR($B41),'Oferta Producto 2'!$B$8:$B$19,'Oferta Producto 2'!$E$8:$E$19))*$AD41)/$AB41)/24</f>
        <v>0</v>
      </c>
      <c r="N41" s="35">
        <f ca="1">(((_xlfn.XLOOKUP(YEAR($B41),'Oferta Producto 2'!$B$8:$B$19,'Oferta Producto 2'!$E$8:$E$19))*$AD41)/$AB41)/24</f>
        <v>0</v>
      </c>
      <c r="O41" s="35">
        <f ca="1">(((_xlfn.XLOOKUP(YEAR($B41),'Oferta Producto 2'!$B$8:$B$19,'Oferta Producto 2'!$E$8:$E$19))*$AD41)/$AB41)/24</f>
        <v>0</v>
      </c>
      <c r="P41" s="35">
        <f ca="1">(((_xlfn.XLOOKUP(YEAR($B41),'Oferta Producto 2'!$B$8:$B$19,'Oferta Producto 2'!$E$8:$E$19))*$AD41)/$AB41)/24</f>
        <v>0</v>
      </c>
      <c r="Q41" s="35">
        <f ca="1">(((_xlfn.XLOOKUP(YEAR($B41),'Oferta Producto 2'!$B$8:$B$19,'Oferta Producto 2'!$E$8:$E$19))*$AD41)/$AB41)/24</f>
        <v>0</v>
      </c>
      <c r="R41" s="35">
        <f ca="1">(((_xlfn.XLOOKUP(YEAR($B41),'Oferta Producto 2'!$B$8:$B$19,'Oferta Producto 2'!$E$8:$E$19))*$AD41)/$AB41)/24</f>
        <v>0</v>
      </c>
      <c r="S41" s="35">
        <f ca="1">(((_xlfn.XLOOKUP(YEAR($B41),'Oferta Producto 2'!$B$8:$B$19,'Oferta Producto 2'!$E$8:$E$19))*$AD41)/$AB41)/24</f>
        <v>0</v>
      </c>
      <c r="T41" s="35">
        <f ca="1">(((_xlfn.XLOOKUP(YEAR($B41),'Oferta Producto 2'!$B$8:$B$19,'Oferta Producto 2'!$E$8:$E$19))*$AD41)/$AB41)/24</f>
        <v>0</v>
      </c>
      <c r="U41" s="35">
        <f ca="1">(((_xlfn.XLOOKUP(YEAR($B41),'Oferta Producto 2'!$B$8:$B$19,'Oferta Producto 2'!$E$8:$E$19))*$AD41)/$AB41)/24</f>
        <v>0</v>
      </c>
      <c r="V41" s="35">
        <f ca="1">(((_xlfn.XLOOKUP(YEAR($B41),'Oferta Producto 2'!$B$8:$B$19,'Oferta Producto 2'!$E$8:$E$19))*$AD41)/$AB41)/24</f>
        <v>0</v>
      </c>
      <c r="W41" s="35">
        <f ca="1">(((_xlfn.XLOOKUP(YEAR($B41),'Oferta Producto 2'!$B$8:$B$19,'Oferta Producto 2'!$E$8:$E$19))*$AD41)/$AB41)/24</f>
        <v>0</v>
      </c>
      <c r="X41" s="35">
        <f ca="1">(((_xlfn.XLOOKUP(YEAR($B41),'Oferta Producto 2'!$B$8:$B$19,'Oferta Producto 2'!$E$8:$E$19))*$AD41)/$AB41)/24</f>
        <v>0</v>
      </c>
      <c r="Y41" s="35">
        <f ca="1">(((_xlfn.XLOOKUP(YEAR($B41),'Oferta Producto 2'!$B$8:$B$19,'Oferta Producto 2'!$E$8:$E$19))*$AD41)/$AB41)/24</f>
        <v>0</v>
      </c>
      <c r="Z41" s="35">
        <f ca="1">(((_xlfn.XLOOKUP(YEAR($B41),'Oferta Producto 2'!$B$8:$B$19,'Oferta Producto 2'!$E$8:$E$19))*$AD41)/$AB41)/24</f>
        <v>0</v>
      </c>
      <c r="AA41" s="35">
        <f t="shared" ca="1" si="5"/>
        <v>0</v>
      </c>
      <c r="AB41" s="28">
        <f t="shared" si="2"/>
        <v>31</v>
      </c>
      <c r="AC41" s="42">
        <f t="shared" ca="1" si="3"/>
        <v>0</v>
      </c>
      <c r="AD41" s="43">
        <v>8.2916184886125746E-2</v>
      </c>
      <c r="AE41" s="8"/>
      <c r="AF41" s="8"/>
    </row>
    <row r="42" spans="1:32" ht="15.75" thickBot="1">
      <c r="A42" s="23">
        <f t="shared" si="0"/>
        <v>2029</v>
      </c>
      <c r="B42" s="27">
        <v>47119</v>
      </c>
      <c r="C42" s="35">
        <f ca="1">(((_xlfn.XLOOKUP(YEAR($B42),'Oferta Producto 2'!$B$8:$B$19,'Oferta Producto 2'!$E$8:$E$19))*$AD42)/$AB42)/24</f>
        <v>0</v>
      </c>
      <c r="D42" s="35">
        <f ca="1">(((_xlfn.XLOOKUP(YEAR($B42),'Oferta Producto 2'!$B$8:$B$19,'Oferta Producto 2'!$E$8:$E$19))*$AD42)/$AB42)/24</f>
        <v>0</v>
      </c>
      <c r="E42" s="35">
        <f ca="1">(((_xlfn.XLOOKUP(YEAR($B42),'Oferta Producto 2'!$B$8:$B$19,'Oferta Producto 2'!$E$8:$E$19))*$AD42)/$AB42)/24</f>
        <v>0</v>
      </c>
      <c r="F42" s="35">
        <f ca="1">(((_xlfn.XLOOKUP(YEAR($B42),'Oferta Producto 2'!$B$8:$B$19,'Oferta Producto 2'!$E$8:$E$19))*$AD42)/$AB42)/24</f>
        <v>0</v>
      </c>
      <c r="G42" s="35">
        <f ca="1">(((_xlfn.XLOOKUP(YEAR($B42),'Oferta Producto 2'!$B$8:$B$19,'Oferta Producto 2'!$E$8:$E$19))*$AD42)/$AB42)/24</f>
        <v>0</v>
      </c>
      <c r="H42" s="35">
        <f ca="1">(((_xlfn.XLOOKUP(YEAR($B42),'Oferta Producto 2'!$B$8:$B$19,'Oferta Producto 2'!$E$8:$E$19))*$AD42)/$AB42)/24</f>
        <v>0</v>
      </c>
      <c r="I42" s="35">
        <f ca="1">(((_xlfn.XLOOKUP(YEAR($B42),'Oferta Producto 2'!$B$8:$B$19,'Oferta Producto 2'!$E$8:$E$19))*$AD42)/$AB42)/24</f>
        <v>0</v>
      </c>
      <c r="J42" s="35">
        <f ca="1">(((_xlfn.XLOOKUP(YEAR($B42),'Oferta Producto 2'!$B$8:$B$19,'Oferta Producto 2'!$E$8:$E$19))*$AD42)/$AB42)/24</f>
        <v>0</v>
      </c>
      <c r="K42" s="35">
        <f ca="1">(((_xlfn.XLOOKUP(YEAR($B42),'Oferta Producto 2'!$B$8:$B$19,'Oferta Producto 2'!$E$8:$E$19))*$AD42)/$AB42)/24</f>
        <v>0</v>
      </c>
      <c r="L42" s="35">
        <f ca="1">(((_xlfn.XLOOKUP(YEAR($B42),'Oferta Producto 2'!$B$8:$B$19,'Oferta Producto 2'!$E$8:$E$19))*$AD42)/$AB42)/24</f>
        <v>0</v>
      </c>
      <c r="M42" s="35">
        <f ca="1">(((_xlfn.XLOOKUP(YEAR($B42),'Oferta Producto 2'!$B$8:$B$19,'Oferta Producto 2'!$E$8:$E$19))*$AD42)/$AB42)/24</f>
        <v>0</v>
      </c>
      <c r="N42" s="35">
        <f ca="1">(((_xlfn.XLOOKUP(YEAR($B42),'Oferta Producto 2'!$B$8:$B$19,'Oferta Producto 2'!$E$8:$E$19))*$AD42)/$AB42)/24</f>
        <v>0</v>
      </c>
      <c r="O42" s="35">
        <f ca="1">(((_xlfn.XLOOKUP(YEAR($B42),'Oferta Producto 2'!$B$8:$B$19,'Oferta Producto 2'!$E$8:$E$19))*$AD42)/$AB42)/24</f>
        <v>0</v>
      </c>
      <c r="P42" s="35">
        <f ca="1">(((_xlfn.XLOOKUP(YEAR($B42),'Oferta Producto 2'!$B$8:$B$19,'Oferta Producto 2'!$E$8:$E$19))*$AD42)/$AB42)/24</f>
        <v>0</v>
      </c>
      <c r="Q42" s="35">
        <f ca="1">(((_xlfn.XLOOKUP(YEAR($B42),'Oferta Producto 2'!$B$8:$B$19,'Oferta Producto 2'!$E$8:$E$19))*$AD42)/$AB42)/24</f>
        <v>0</v>
      </c>
      <c r="R42" s="35">
        <f ca="1">(((_xlfn.XLOOKUP(YEAR($B42),'Oferta Producto 2'!$B$8:$B$19,'Oferta Producto 2'!$E$8:$E$19))*$AD42)/$AB42)/24</f>
        <v>0</v>
      </c>
      <c r="S42" s="35">
        <f ca="1">(((_xlfn.XLOOKUP(YEAR($B42),'Oferta Producto 2'!$B$8:$B$19,'Oferta Producto 2'!$E$8:$E$19))*$AD42)/$AB42)/24</f>
        <v>0</v>
      </c>
      <c r="T42" s="35">
        <f ca="1">(((_xlfn.XLOOKUP(YEAR($B42),'Oferta Producto 2'!$B$8:$B$19,'Oferta Producto 2'!$E$8:$E$19))*$AD42)/$AB42)/24</f>
        <v>0</v>
      </c>
      <c r="U42" s="35">
        <f ca="1">(((_xlfn.XLOOKUP(YEAR($B42),'Oferta Producto 2'!$B$8:$B$19,'Oferta Producto 2'!$E$8:$E$19))*$AD42)/$AB42)/24</f>
        <v>0</v>
      </c>
      <c r="V42" s="35">
        <f ca="1">(((_xlfn.XLOOKUP(YEAR($B42),'Oferta Producto 2'!$B$8:$B$19,'Oferta Producto 2'!$E$8:$E$19))*$AD42)/$AB42)/24</f>
        <v>0</v>
      </c>
      <c r="W42" s="35">
        <f ca="1">(((_xlfn.XLOOKUP(YEAR($B42),'Oferta Producto 2'!$B$8:$B$19,'Oferta Producto 2'!$E$8:$E$19))*$AD42)/$AB42)/24</f>
        <v>0</v>
      </c>
      <c r="X42" s="35">
        <f ca="1">(((_xlfn.XLOOKUP(YEAR($B42),'Oferta Producto 2'!$B$8:$B$19,'Oferta Producto 2'!$E$8:$E$19))*$AD42)/$AB42)/24</f>
        <v>0</v>
      </c>
      <c r="Y42" s="35">
        <f ca="1">(((_xlfn.XLOOKUP(YEAR($B42),'Oferta Producto 2'!$B$8:$B$19,'Oferta Producto 2'!$E$8:$E$19))*$AD42)/$AB42)/24</f>
        <v>0</v>
      </c>
      <c r="Z42" s="35">
        <f ca="1">(((_xlfn.XLOOKUP(YEAR($B42),'Oferta Producto 2'!$B$8:$B$19,'Oferta Producto 2'!$E$8:$E$19))*$AD42)/$AB42)/24</f>
        <v>0</v>
      </c>
      <c r="AA42" s="35">
        <f t="shared" ca="1" si="5"/>
        <v>0</v>
      </c>
      <c r="AB42" s="28">
        <f t="shared" si="2"/>
        <v>31</v>
      </c>
      <c r="AC42" s="42">
        <f t="shared" ca="1" si="3"/>
        <v>0</v>
      </c>
      <c r="AD42" s="43">
        <v>7.97553368803426E-2</v>
      </c>
      <c r="AE42" s="8"/>
      <c r="AF42" s="8"/>
    </row>
    <row r="43" spans="1:32" ht="15.75" thickBot="1">
      <c r="A43" s="23">
        <f t="shared" si="0"/>
        <v>2029</v>
      </c>
      <c r="B43" s="27">
        <v>47150</v>
      </c>
      <c r="C43" s="35">
        <f ca="1">(((_xlfn.XLOOKUP(YEAR($B43),'Oferta Producto 2'!$B$8:$B$19,'Oferta Producto 2'!$E$8:$E$19))*$AD43)/$AB43)/24</f>
        <v>0</v>
      </c>
      <c r="D43" s="35">
        <f ca="1">(((_xlfn.XLOOKUP(YEAR($B43),'Oferta Producto 2'!$B$8:$B$19,'Oferta Producto 2'!$E$8:$E$19))*$AD43)/$AB43)/24</f>
        <v>0</v>
      </c>
      <c r="E43" s="35">
        <f ca="1">(((_xlfn.XLOOKUP(YEAR($B43),'Oferta Producto 2'!$B$8:$B$19,'Oferta Producto 2'!$E$8:$E$19))*$AD43)/$AB43)/24</f>
        <v>0</v>
      </c>
      <c r="F43" s="35">
        <f ca="1">(((_xlfn.XLOOKUP(YEAR($B43),'Oferta Producto 2'!$B$8:$B$19,'Oferta Producto 2'!$E$8:$E$19))*$AD43)/$AB43)/24</f>
        <v>0</v>
      </c>
      <c r="G43" s="35">
        <f ca="1">(((_xlfn.XLOOKUP(YEAR($B43),'Oferta Producto 2'!$B$8:$B$19,'Oferta Producto 2'!$E$8:$E$19))*$AD43)/$AB43)/24</f>
        <v>0</v>
      </c>
      <c r="H43" s="35">
        <f ca="1">(((_xlfn.XLOOKUP(YEAR($B43),'Oferta Producto 2'!$B$8:$B$19,'Oferta Producto 2'!$E$8:$E$19))*$AD43)/$AB43)/24</f>
        <v>0</v>
      </c>
      <c r="I43" s="35">
        <f ca="1">(((_xlfn.XLOOKUP(YEAR($B43),'Oferta Producto 2'!$B$8:$B$19,'Oferta Producto 2'!$E$8:$E$19))*$AD43)/$AB43)/24</f>
        <v>0</v>
      </c>
      <c r="J43" s="35">
        <f ca="1">(((_xlfn.XLOOKUP(YEAR($B43),'Oferta Producto 2'!$B$8:$B$19,'Oferta Producto 2'!$E$8:$E$19))*$AD43)/$AB43)/24</f>
        <v>0</v>
      </c>
      <c r="K43" s="35">
        <f ca="1">(((_xlfn.XLOOKUP(YEAR($B43),'Oferta Producto 2'!$B$8:$B$19,'Oferta Producto 2'!$E$8:$E$19))*$AD43)/$AB43)/24</f>
        <v>0</v>
      </c>
      <c r="L43" s="35">
        <f ca="1">(((_xlfn.XLOOKUP(YEAR($B43),'Oferta Producto 2'!$B$8:$B$19,'Oferta Producto 2'!$E$8:$E$19))*$AD43)/$AB43)/24</f>
        <v>0</v>
      </c>
      <c r="M43" s="35">
        <f ca="1">(((_xlfn.XLOOKUP(YEAR($B43),'Oferta Producto 2'!$B$8:$B$19,'Oferta Producto 2'!$E$8:$E$19))*$AD43)/$AB43)/24</f>
        <v>0</v>
      </c>
      <c r="N43" s="35">
        <f ca="1">(((_xlfn.XLOOKUP(YEAR($B43),'Oferta Producto 2'!$B$8:$B$19,'Oferta Producto 2'!$E$8:$E$19))*$AD43)/$AB43)/24</f>
        <v>0</v>
      </c>
      <c r="O43" s="35">
        <f ca="1">(((_xlfn.XLOOKUP(YEAR($B43),'Oferta Producto 2'!$B$8:$B$19,'Oferta Producto 2'!$E$8:$E$19))*$AD43)/$AB43)/24</f>
        <v>0</v>
      </c>
      <c r="P43" s="35">
        <f ca="1">(((_xlfn.XLOOKUP(YEAR($B43),'Oferta Producto 2'!$B$8:$B$19,'Oferta Producto 2'!$E$8:$E$19))*$AD43)/$AB43)/24</f>
        <v>0</v>
      </c>
      <c r="Q43" s="35">
        <f ca="1">(((_xlfn.XLOOKUP(YEAR($B43),'Oferta Producto 2'!$B$8:$B$19,'Oferta Producto 2'!$E$8:$E$19))*$AD43)/$AB43)/24</f>
        <v>0</v>
      </c>
      <c r="R43" s="35">
        <f ca="1">(((_xlfn.XLOOKUP(YEAR($B43),'Oferta Producto 2'!$B$8:$B$19,'Oferta Producto 2'!$E$8:$E$19))*$AD43)/$AB43)/24</f>
        <v>0</v>
      </c>
      <c r="S43" s="35">
        <f ca="1">(((_xlfn.XLOOKUP(YEAR($B43),'Oferta Producto 2'!$B$8:$B$19,'Oferta Producto 2'!$E$8:$E$19))*$AD43)/$AB43)/24</f>
        <v>0</v>
      </c>
      <c r="T43" s="35">
        <f ca="1">(((_xlfn.XLOOKUP(YEAR($B43),'Oferta Producto 2'!$B$8:$B$19,'Oferta Producto 2'!$E$8:$E$19))*$AD43)/$AB43)/24</f>
        <v>0</v>
      </c>
      <c r="U43" s="35">
        <f ca="1">(((_xlfn.XLOOKUP(YEAR($B43),'Oferta Producto 2'!$B$8:$B$19,'Oferta Producto 2'!$E$8:$E$19))*$AD43)/$AB43)/24</f>
        <v>0</v>
      </c>
      <c r="V43" s="35">
        <f ca="1">(((_xlfn.XLOOKUP(YEAR($B43),'Oferta Producto 2'!$B$8:$B$19,'Oferta Producto 2'!$E$8:$E$19))*$AD43)/$AB43)/24</f>
        <v>0</v>
      </c>
      <c r="W43" s="35">
        <f ca="1">(((_xlfn.XLOOKUP(YEAR($B43),'Oferta Producto 2'!$B$8:$B$19,'Oferta Producto 2'!$E$8:$E$19))*$AD43)/$AB43)/24</f>
        <v>0</v>
      </c>
      <c r="X43" s="35">
        <f ca="1">(((_xlfn.XLOOKUP(YEAR($B43),'Oferta Producto 2'!$B$8:$B$19,'Oferta Producto 2'!$E$8:$E$19))*$AD43)/$AB43)/24</f>
        <v>0</v>
      </c>
      <c r="Y43" s="35">
        <f ca="1">(((_xlfn.XLOOKUP(YEAR($B43),'Oferta Producto 2'!$B$8:$B$19,'Oferta Producto 2'!$E$8:$E$19))*$AD43)/$AB43)/24</f>
        <v>0</v>
      </c>
      <c r="Z43" s="35">
        <f ca="1">(((_xlfn.XLOOKUP(YEAR($B43),'Oferta Producto 2'!$B$8:$B$19,'Oferta Producto 2'!$E$8:$E$19))*$AD43)/$AB43)/24</f>
        <v>0</v>
      </c>
      <c r="AA43" s="35">
        <f t="shared" ca="1" si="5"/>
        <v>0</v>
      </c>
      <c r="AB43" s="28">
        <f t="shared" si="2"/>
        <v>28</v>
      </c>
      <c r="AC43" s="42">
        <f t="shared" ca="1" si="3"/>
        <v>0</v>
      </c>
      <c r="AD43" s="43">
        <v>9.8156461495723546E-2</v>
      </c>
      <c r="AE43" s="8"/>
      <c r="AF43" s="8"/>
    </row>
    <row r="44" spans="1:32" ht="15.75" thickBot="1">
      <c r="A44" s="23">
        <f t="shared" si="0"/>
        <v>2029</v>
      </c>
      <c r="B44" s="27">
        <v>47178</v>
      </c>
      <c r="C44" s="35">
        <f ca="1">(((_xlfn.XLOOKUP(YEAR($B44),'Oferta Producto 2'!$B$8:$B$19,'Oferta Producto 2'!$E$8:$E$19))*$AD44)/$AB44)/24</f>
        <v>0</v>
      </c>
      <c r="D44" s="35">
        <f ca="1">(((_xlfn.XLOOKUP(YEAR($B44),'Oferta Producto 2'!$B$8:$B$19,'Oferta Producto 2'!$E$8:$E$19))*$AD44)/$AB44)/24</f>
        <v>0</v>
      </c>
      <c r="E44" s="35">
        <f ca="1">(((_xlfn.XLOOKUP(YEAR($B44),'Oferta Producto 2'!$B$8:$B$19,'Oferta Producto 2'!$E$8:$E$19))*$AD44)/$AB44)/24</f>
        <v>0</v>
      </c>
      <c r="F44" s="35">
        <f ca="1">(((_xlfn.XLOOKUP(YEAR($B44),'Oferta Producto 2'!$B$8:$B$19,'Oferta Producto 2'!$E$8:$E$19))*$AD44)/$AB44)/24</f>
        <v>0</v>
      </c>
      <c r="G44" s="35">
        <f ca="1">(((_xlfn.XLOOKUP(YEAR($B44),'Oferta Producto 2'!$B$8:$B$19,'Oferta Producto 2'!$E$8:$E$19))*$AD44)/$AB44)/24</f>
        <v>0</v>
      </c>
      <c r="H44" s="35">
        <f ca="1">(((_xlfn.XLOOKUP(YEAR($B44),'Oferta Producto 2'!$B$8:$B$19,'Oferta Producto 2'!$E$8:$E$19))*$AD44)/$AB44)/24</f>
        <v>0</v>
      </c>
      <c r="I44" s="35">
        <f ca="1">(((_xlfn.XLOOKUP(YEAR($B44),'Oferta Producto 2'!$B$8:$B$19,'Oferta Producto 2'!$E$8:$E$19))*$AD44)/$AB44)/24</f>
        <v>0</v>
      </c>
      <c r="J44" s="35">
        <f ca="1">(((_xlfn.XLOOKUP(YEAR($B44),'Oferta Producto 2'!$B$8:$B$19,'Oferta Producto 2'!$E$8:$E$19))*$AD44)/$AB44)/24</f>
        <v>0</v>
      </c>
      <c r="K44" s="35">
        <f ca="1">(((_xlfn.XLOOKUP(YEAR($B44),'Oferta Producto 2'!$B$8:$B$19,'Oferta Producto 2'!$E$8:$E$19))*$AD44)/$AB44)/24</f>
        <v>0</v>
      </c>
      <c r="L44" s="35">
        <f ca="1">(((_xlfn.XLOOKUP(YEAR($B44),'Oferta Producto 2'!$B$8:$B$19,'Oferta Producto 2'!$E$8:$E$19))*$AD44)/$AB44)/24</f>
        <v>0</v>
      </c>
      <c r="M44" s="35">
        <f ca="1">(((_xlfn.XLOOKUP(YEAR($B44),'Oferta Producto 2'!$B$8:$B$19,'Oferta Producto 2'!$E$8:$E$19))*$AD44)/$AB44)/24</f>
        <v>0</v>
      </c>
      <c r="N44" s="35">
        <f ca="1">(((_xlfn.XLOOKUP(YEAR($B44),'Oferta Producto 2'!$B$8:$B$19,'Oferta Producto 2'!$E$8:$E$19))*$AD44)/$AB44)/24</f>
        <v>0</v>
      </c>
      <c r="O44" s="35">
        <f ca="1">(((_xlfn.XLOOKUP(YEAR($B44),'Oferta Producto 2'!$B$8:$B$19,'Oferta Producto 2'!$E$8:$E$19))*$AD44)/$AB44)/24</f>
        <v>0</v>
      </c>
      <c r="P44" s="35">
        <f ca="1">(((_xlfn.XLOOKUP(YEAR($B44),'Oferta Producto 2'!$B$8:$B$19,'Oferta Producto 2'!$E$8:$E$19))*$AD44)/$AB44)/24</f>
        <v>0</v>
      </c>
      <c r="Q44" s="35">
        <f ca="1">(((_xlfn.XLOOKUP(YEAR($B44),'Oferta Producto 2'!$B$8:$B$19,'Oferta Producto 2'!$E$8:$E$19))*$AD44)/$AB44)/24</f>
        <v>0</v>
      </c>
      <c r="R44" s="35">
        <f ca="1">(((_xlfn.XLOOKUP(YEAR($B44),'Oferta Producto 2'!$B$8:$B$19,'Oferta Producto 2'!$E$8:$E$19))*$AD44)/$AB44)/24</f>
        <v>0</v>
      </c>
      <c r="S44" s="35">
        <f ca="1">(((_xlfn.XLOOKUP(YEAR($B44),'Oferta Producto 2'!$B$8:$B$19,'Oferta Producto 2'!$E$8:$E$19))*$AD44)/$AB44)/24</f>
        <v>0</v>
      </c>
      <c r="T44" s="35">
        <f ca="1">(((_xlfn.XLOOKUP(YEAR($B44),'Oferta Producto 2'!$B$8:$B$19,'Oferta Producto 2'!$E$8:$E$19))*$AD44)/$AB44)/24</f>
        <v>0</v>
      </c>
      <c r="U44" s="35">
        <f ca="1">(((_xlfn.XLOOKUP(YEAR($B44),'Oferta Producto 2'!$B$8:$B$19,'Oferta Producto 2'!$E$8:$E$19))*$AD44)/$AB44)/24</f>
        <v>0</v>
      </c>
      <c r="V44" s="35">
        <f ca="1">(((_xlfn.XLOOKUP(YEAR($B44),'Oferta Producto 2'!$B$8:$B$19,'Oferta Producto 2'!$E$8:$E$19))*$AD44)/$AB44)/24</f>
        <v>0</v>
      </c>
      <c r="W44" s="35">
        <f ca="1">(((_xlfn.XLOOKUP(YEAR($B44),'Oferta Producto 2'!$B$8:$B$19,'Oferta Producto 2'!$E$8:$E$19))*$AD44)/$AB44)/24</f>
        <v>0</v>
      </c>
      <c r="X44" s="35">
        <f ca="1">(((_xlfn.XLOOKUP(YEAR($B44),'Oferta Producto 2'!$B$8:$B$19,'Oferta Producto 2'!$E$8:$E$19))*$AD44)/$AB44)/24</f>
        <v>0</v>
      </c>
      <c r="Y44" s="35">
        <f ca="1">(((_xlfn.XLOOKUP(YEAR($B44),'Oferta Producto 2'!$B$8:$B$19,'Oferta Producto 2'!$E$8:$E$19))*$AD44)/$AB44)/24</f>
        <v>0</v>
      </c>
      <c r="Z44" s="35">
        <f ca="1">(((_xlfn.XLOOKUP(YEAR($B44),'Oferta Producto 2'!$B$8:$B$19,'Oferta Producto 2'!$E$8:$E$19))*$AD44)/$AB44)/24</f>
        <v>0</v>
      </c>
      <c r="AA44" s="35">
        <f t="shared" ca="1" si="5"/>
        <v>0</v>
      </c>
      <c r="AB44" s="28">
        <f t="shared" si="2"/>
        <v>31</v>
      </c>
      <c r="AC44" s="42">
        <f t="shared" ca="1" si="3"/>
        <v>0</v>
      </c>
      <c r="AD44" s="43">
        <v>7.97553368803426E-2</v>
      </c>
      <c r="AE44" s="8"/>
      <c r="AF44" s="8"/>
    </row>
    <row r="45" spans="1:32" ht="15.75" thickBot="1">
      <c r="A45" s="23">
        <f t="shared" si="0"/>
        <v>2029</v>
      </c>
      <c r="B45" s="27">
        <v>47209</v>
      </c>
      <c r="C45" s="35">
        <f ca="1">(((_xlfn.XLOOKUP(YEAR($B45),'Oferta Producto 2'!$B$8:$B$19,'Oferta Producto 2'!$E$8:$E$19))*$AD45)/$AB45)/24</f>
        <v>0</v>
      </c>
      <c r="D45" s="35">
        <f ca="1">(((_xlfn.XLOOKUP(YEAR($B45),'Oferta Producto 2'!$B$8:$B$19,'Oferta Producto 2'!$E$8:$E$19))*$AD45)/$AB45)/24</f>
        <v>0</v>
      </c>
      <c r="E45" s="35">
        <f ca="1">(((_xlfn.XLOOKUP(YEAR($B45),'Oferta Producto 2'!$B$8:$B$19,'Oferta Producto 2'!$E$8:$E$19))*$AD45)/$AB45)/24</f>
        <v>0</v>
      </c>
      <c r="F45" s="35">
        <f ca="1">(((_xlfn.XLOOKUP(YEAR($B45),'Oferta Producto 2'!$B$8:$B$19,'Oferta Producto 2'!$E$8:$E$19))*$AD45)/$AB45)/24</f>
        <v>0</v>
      </c>
      <c r="G45" s="35">
        <f ca="1">(((_xlfn.XLOOKUP(YEAR($B45),'Oferta Producto 2'!$B$8:$B$19,'Oferta Producto 2'!$E$8:$E$19))*$AD45)/$AB45)/24</f>
        <v>0</v>
      </c>
      <c r="H45" s="35">
        <f ca="1">(((_xlfn.XLOOKUP(YEAR($B45),'Oferta Producto 2'!$B$8:$B$19,'Oferta Producto 2'!$E$8:$E$19))*$AD45)/$AB45)/24</f>
        <v>0</v>
      </c>
      <c r="I45" s="35">
        <f ca="1">(((_xlfn.XLOOKUP(YEAR($B45),'Oferta Producto 2'!$B$8:$B$19,'Oferta Producto 2'!$E$8:$E$19))*$AD45)/$AB45)/24</f>
        <v>0</v>
      </c>
      <c r="J45" s="35">
        <f ca="1">(((_xlfn.XLOOKUP(YEAR($B45),'Oferta Producto 2'!$B$8:$B$19,'Oferta Producto 2'!$E$8:$E$19))*$AD45)/$AB45)/24</f>
        <v>0</v>
      </c>
      <c r="K45" s="35">
        <f ca="1">(((_xlfn.XLOOKUP(YEAR($B45),'Oferta Producto 2'!$B$8:$B$19,'Oferta Producto 2'!$E$8:$E$19))*$AD45)/$AB45)/24</f>
        <v>0</v>
      </c>
      <c r="L45" s="35">
        <f ca="1">(((_xlfn.XLOOKUP(YEAR($B45),'Oferta Producto 2'!$B$8:$B$19,'Oferta Producto 2'!$E$8:$E$19))*$AD45)/$AB45)/24</f>
        <v>0</v>
      </c>
      <c r="M45" s="35">
        <f ca="1">(((_xlfn.XLOOKUP(YEAR($B45),'Oferta Producto 2'!$B$8:$B$19,'Oferta Producto 2'!$E$8:$E$19))*$AD45)/$AB45)/24</f>
        <v>0</v>
      </c>
      <c r="N45" s="35">
        <f ca="1">(((_xlfn.XLOOKUP(YEAR($B45),'Oferta Producto 2'!$B$8:$B$19,'Oferta Producto 2'!$E$8:$E$19))*$AD45)/$AB45)/24</f>
        <v>0</v>
      </c>
      <c r="O45" s="35">
        <f ca="1">(((_xlfn.XLOOKUP(YEAR($B45),'Oferta Producto 2'!$B$8:$B$19,'Oferta Producto 2'!$E$8:$E$19))*$AD45)/$AB45)/24</f>
        <v>0</v>
      </c>
      <c r="P45" s="35">
        <f ca="1">(((_xlfn.XLOOKUP(YEAR($B45),'Oferta Producto 2'!$B$8:$B$19,'Oferta Producto 2'!$E$8:$E$19))*$AD45)/$AB45)/24</f>
        <v>0</v>
      </c>
      <c r="Q45" s="35">
        <f ca="1">(((_xlfn.XLOOKUP(YEAR($B45),'Oferta Producto 2'!$B$8:$B$19,'Oferta Producto 2'!$E$8:$E$19))*$AD45)/$AB45)/24</f>
        <v>0</v>
      </c>
      <c r="R45" s="35">
        <f ca="1">(((_xlfn.XLOOKUP(YEAR($B45),'Oferta Producto 2'!$B$8:$B$19,'Oferta Producto 2'!$E$8:$E$19))*$AD45)/$AB45)/24</f>
        <v>0</v>
      </c>
      <c r="S45" s="35">
        <f ca="1">(((_xlfn.XLOOKUP(YEAR($B45),'Oferta Producto 2'!$B$8:$B$19,'Oferta Producto 2'!$E$8:$E$19))*$AD45)/$AB45)/24</f>
        <v>0</v>
      </c>
      <c r="T45" s="35">
        <f ca="1">(((_xlfn.XLOOKUP(YEAR($B45),'Oferta Producto 2'!$B$8:$B$19,'Oferta Producto 2'!$E$8:$E$19))*$AD45)/$AB45)/24</f>
        <v>0</v>
      </c>
      <c r="U45" s="35">
        <f ca="1">(((_xlfn.XLOOKUP(YEAR($B45),'Oferta Producto 2'!$B$8:$B$19,'Oferta Producto 2'!$E$8:$E$19))*$AD45)/$AB45)/24</f>
        <v>0</v>
      </c>
      <c r="V45" s="35">
        <f ca="1">(((_xlfn.XLOOKUP(YEAR($B45),'Oferta Producto 2'!$B$8:$B$19,'Oferta Producto 2'!$E$8:$E$19))*$AD45)/$AB45)/24</f>
        <v>0</v>
      </c>
      <c r="W45" s="35">
        <f ca="1">(((_xlfn.XLOOKUP(YEAR($B45),'Oferta Producto 2'!$B$8:$B$19,'Oferta Producto 2'!$E$8:$E$19))*$AD45)/$AB45)/24</f>
        <v>0</v>
      </c>
      <c r="X45" s="35">
        <f ca="1">(((_xlfn.XLOOKUP(YEAR($B45),'Oferta Producto 2'!$B$8:$B$19,'Oferta Producto 2'!$E$8:$E$19))*$AD45)/$AB45)/24</f>
        <v>0</v>
      </c>
      <c r="Y45" s="35">
        <f ca="1">(((_xlfn.XLOOKUP(YEAR($B45),'Oferta Producto 2'!$B$8:$B$19,'Oferta Producto 2'!$E$8:$E$19))*$AD45)/$AB45)/24</f>
        <v>0</v>
      </c>
      <c r="Z45" s="35">
        <f ca="1">(((_xlfn.XLOOKUP(YEAR($B45),'Oferta Producto 2'!$B$8:$B$19,'Oferta Producto 2'!$E$8:$E$19))*$AD45)/$AB45)/24</f>
        <v>0</v>
      </c>
      <c r="AA45" s="35">
        <f t="shared" ca="1" si="5"/>
        <v>0</v>
      </c>
      <c r="AB45" s="28">
        <f t="shared" si="2"/>
        <v>30</v>
      </c>
      <c r="AC45" s="42">
        <f t="shared" ca="1" si="3"/>
        <v>0</v>
      </c>
      <c r="AD45" s="43">
        <v>8.5889045085469587E-2</v>
      </c>
      <c r="AE45" s="8"/>
      <c r="AF45" s="8"/>
    </row>
    <row r="46" spans="1:32" ht="15.75" thickBot="1">
      <c r="A46" s="23">
        <f t="shared" si="0"/>
        <v>2029</v>
      </c>
      <c r="B46" s="27">
        <v>47239</v>
      </c>
      <c r="C46" s="35">
        <f ca="1">(((_xlfn.XLOOKUP(YEAR($B46),'Oferta Producto 2'!$B$8:$B$19,'Oferta Producto 2'!$E$8:$E$19))*$AD46)/$AB46)/24</f>
        <v>0</v>
      </c>
      <c r="D46" s="35">
        <f ca="1">(((_xlfn.XLOOKUP(YEAR($B46),'Oferta Producto 2'!$B$8:$B$19,'Oferta Producto 2'!$E$8:$E$19))*$AD46)/$AB46)/24</f>
        <v>0</v>
      </c>
      <c r="E46" s="35">
        <f ca="1">(((_xlfn.XLOOKUP(YEAR($B46),'Oferta Producto 2'!$B$8:$B$19,'Oferta Producto 2'!$E$8:$E$19))*$AD46)/$AB46)/24</f>
        <v>0</v>
      </c>
      <c r="F46" s="35">
        <f ca="1">(((_xlfn.XLOOKUP(YEAR($B46),'Oferta Producto 2'!$B$8:$B$19,'Oferta Producto 2'!$E$8:$E$19))*$AD46)/$AB46)/24</f>
        <v>0</v>
      </c>
      <c r="G46" s="35">
        <f ca="1">(((_xlfn.XLOOKUP(YEAR($B46),'Oferta Producto 2'!$B$8:$B$19,'Oferta Producto 2'!$E$8:$E$19))*$AD46)/$AB46)/24</f>
        <v>0</v>
      </c>
      <c r="H46" s="35">
        <f ca="1">(((_xlfn.XLOOKUP(YEAR($B46),'Oferta Producto 2'!$B$8:$B$19,'Oferta Producto 2'!$E$8:$E$19))*$AD46)/$AB46)/24</f>
        <v>0</v>
      </c>
      <c r="I46" s="35">
        <f ca="1">(((_xlfn.XLOOKUP(YEAR($B46),'Oferta Producto 2'!$B$8:$B$19,'Oferta Producto 2'!$E$8:$E$19))*$AD46)/$AB46)/24</f>
        <v>0</v>
      </c>
      <c r="J46" s="35">
        <f ca="1">(((_xlfn.XLOOKUP(YEAR($B46),'Oferta Producto 2'!$B$8:$B$19,'Oferta Producto 2'!$E$8:$E$19))*$AD46)/$AB46)/24</f>
        <v>0</v>
      </c>
      <c r="K46" s="35">
        <f ca="1">(((_xlfn.XLOOKUP(YEAR($B46),'Oferta Producto 2'!$B$8:$B$19,'Oferta Producto 2'!$E$8:$E$19))*$AD46)/$AB46)/24</f>
        <v>0</v>
      </c>
      <c r="L46" s="35">
        <f ca="1">(((_xlfn.XLOOKUP(YEAR($B46),'Oferta Producto 2'!$B$8:$B$19,'Oferta Producto 2'!$E$8:$E$19))*$AD46)/$AB46)/24</f>
        <v>0</v>
      </c>
      <c r="M46" s="35">
        <f ca="1">(((_xlfn.XLOOKUP(YEAR($B46),'Oferta Producto 2'!$B$8:$B$19,'Oferta Producto 2'!$E$8:$E$19))*$AD46)/$AB46)/24</f>
        <v>0</v>
      </c>
      <c r="N46" s="35">
        <f ca="1">(((_xlfn.XLOOKUP(YEAR($B46),'Oferta Producto 2'!$B$8:$B$19,'Oferta Producto 2'!$E$8:$E$19))*$AD46)/$AB46)/24</f>
        <v>0</v>
      </c>
      <c r="O46" s="35">
        <f ca="1">(((_xlfn.XLOOKUP(YEAR($B46),'Oferta Producto 2'!$B$8:$B$19,'Oferta Producto 2'!$E$8:$E$19))*$AD46)/$AB46)/24</f>
        <v>0</v>
      </c>
      <c r="P46" s="35">
        <f ca="1">(((_xlfn.XLOOKUP(YEAR($B46),'Oferta Producto 2'!$B$8:$B$19,'Oferta Producto 2'!$E$8:$E$19))*$AD46)/$AB46)/24</f>
        <v>0</v>
      </c>
      <c r="Q46" s="35">
        <f ca="1">(((_xlfn.XLOOKUP(YEAR($B46),'Oferta Producto 2'!$B$8:$B$19,'Oferta Producto 2'!$E$8:$E$19))*$AD46)/$AB46)/24</f>
        <v>0</v>
      </c>
      <c r="R46" s="35">
        <f ca="1">(((_xlfn.XLOOKUP(YEAR($B46),'Oferta Producto 2'!$B$8:$B$19,'Oferta Producto 2'!$E$8:$E$19))*$AD46)/$AB46)/24</f>
        <v>0</v>
      </c>
      <c r="S46" s="35">
        <f ca="1">(((_xlfn.XLOOKUP(YEAR($B46),'Oferta Producto 2'!$B$8:$B$19,'Oferta Producto 2'!$E$8:$E$19))*$AD46)/$AB46)/24</f>
        <v>0</v>
      </c>
      <c r="T46" s="35">
        <f ca="1">(((_xlfn.XLOOKUP(YEAR($B46),'Oferta Producto 2'!$B$8:$B$19,'Oferta Producto 2'!$E$8:$E$19))*$AD46)/$AB46)/24</f>
        <v>0</v>
      </c>
      <c r="U46" s="35">
        <f ca="1">(((_xlfn.XLOOKUP(YEAR($B46),'Oferta Producto 2'!$B$8:$B$19,'Oferta Producto 2'!$E$8:$E$19))*$AD46)/$AB46)/24</f>
        <v>0</v>
      </c>
      <c r="V46" s="35">
        <f ca="1">(((_xlfn.XLOOKUP(YEAR($B46),'Oferta Producto 2'!$B$8:$B$19,'Oferta Producto 2'!$E$8:$E$19))*$AD46)/$AB46)/24</f>
        <v>0</v>
      </c>
      <c r="W46" s="35">
        <f ca="1">(((_xlfn.XLOOKUP(YEAR($B46),'Oferta Producto 2'!$B$8:$B$19,'Oferta Producto 2'!$E$8:$E$19))*$AD46)/$AB46)/24</f>
        <v>0</v>
      </c>
      <c r="X46" s="35">
        <f ca="1">(((_xlfn.XLOOKUP(YEAR($B46),'Oferta Producto 2'!$B$8:$B$19,'Oferta Producto 2'!$E$8:$E$19))*$AD46)/$AB46)/24</f>
        <v>0</v>
      </c>
      <c r="Y46" s="35">
        <f ca="1">(((_xlfn.XLOOKUP(YEAR($B46),'Oferta Producto 2'!$B$8:$B$19,'Oferta Producto 2'!$E$8:$E$19))*$AD46)/$AB46)/24</f>
        <v>0</v>
      </c>
      <c r="Z46" s="35">
        <f ca="1">(((_xlfn.XLOOKUP(YEAR($B46),'Oferta Producto 2'!$B$8:$B$19,'Oferta Producto 2'!$E$8:$E$19))*$AD46)/$AB46)/24</f>
        <v>0</v>
      </c>
      <c r="AA46" s="35">
        <f t="shared" ca="1" si="5"/>
        <v>0</v>
      </c>
      <c r="AB46" s="28">
        <f t="shared" si="2"/>
        <v>31</v>
      </c>
      <c r="AC46" s="42">
        <f t="shared" ca="1" si="3"/>
        <v>0</v>
      </c>
      <c r="AD46" s="43">
        <v>7.97553368803426E-2</v>
      </c>
      <c r="AE46" s="8"/>
      <c r="AF46" s="8"/>
    </row>
    <row r="47" spans="1:32" ht="15.75" thickBot="1">
      <c r="A47" s="23">
        <f t="shared" si="0"/>
        <v>2029</v>
      </c>
      <c r="B47" s="27">
        <v>47270</v>
      </c>
      <c r="C47" s="35">
        <f ca="1">(((_xlfn.XLOOKUP(YEAR($B47),'Oferta Producto 2'!$B$8:$B$19,'Oferta Producto 2'!$E$8:$E$19))*$AD47)/$AB47)/24</f>
        <v>0</v>
      </c>
      <c r="D47" s="35">
        <f ca="1">(((_xlfn.XLOOKUP(YEAR($B47),'Oferta Producto 2'!$B$8:$B$19,'Oferta Producto 2'!$E$8:$E$19))*$AD47)/$AB47)/24</f>
        <v>0</v>
      </c>
      <c r="E47" s="35">
        <f ca="1">(((_xlfn.XLOOKUP(YEAR($B47),'Oferta Producto 2'!$B$8:$B$19,'Oferta Producto 2'!$E$8:$E$19))*$AD47)/$AB47)/24</f>
        <v>0</v>
      </c>
      <c r="F47" s="35">
        <f ca="1">(((_xlfn.XLOOKUP(YEAR($B47),'Oferta Producto 2'!$B$8:$B$19,'Oferta Producto 2'!$E$8:$E$19))*$AD47)/$AB47)/24</f>
        <v>0</v>
      </c>
      <c r="G47" s="35">
        <f ca="1">(((_xlfn.XLOOKUP(YEAR($B47),'Oferta Producto 2'!$B$8:$B$19,'Oferta Producto 2'!$E$8:$E$19))*$AD47)/$AB47)/24</f>
        <v>0</v>
      </c>
      <c r="H47" s="35">
        <f ca="1">(((_xlfn.XLOOKUP(YEAR($B47),'Oferta Producto 2'!$B$8:$B$19,'Oferta Producto 2'!$E$8:$E$19))*$AD47)/$AB47)/24</f>
        <v>0</v>
      </c>
      <c r="I47" s="35">
        <f ca="1">(((_xlfn.XLOOKUP(YEAR($B47),'Oferta Producto 2'!$B$8:$B$19,'Oferta Producto 2'!$E$8:$E$19))*$AD47)/$AB47)/24</f>
        <v>0</v>
      </c>
      <c r="J47" s="35">
        <f ca="1">(((_xlfn.XLOOKUP(YEAR($B47),'Oferta Producto 2'!$B$8:$B$19,'Oferta Producto 2'!$E$8:$E$19))*$AD47)/$AB47)/24</f>
        <v>0</v>
      </c>
      <c r="K47" s="35">
        <f ca="1">(((_xlfn.XLOOKUP(YEAR($B47),'Oferta Producto 2'!$B$8:$B$19,'Oferta Producto 2'!$E$8:$E$19))*$AD47)/$AB47)/24</f>
        <v>0</v>
      </c>
      <c r="L47" s="35">
        <f ca="1">(((_xlfn.XLOOKUP(YEAR($B47),'Oferta Producto 2'!$B$8:$B$19,'Oferta Producto 2'!$E$8:$E$19))*$AD47)/$AB47)/24</f>
        <v>0</v>
      </c>
      <c r="M47" s="35">
        <f ca="1">(((_xlfn.XLOOKUP(YEAR($B47),'Oferta Producto 2'!$B$8:$B$19,'Oferta Producto 2'!$E$8:$E$19))*$AD47)/$AB47)/24</f>
        <v>0</v>
      </c>
      <c r="N47" s="35">
        <f ca="1">(((_xlfn.XLOOKUP(YEAR($B47),'Oferta Producto 2'!$B$8:$B$19,'Oferta Producto 2'!$E$8:$E$19))*$AD47)/$AB47)/24</f>
        <v>0</v>
      </c>
      <c r="O47" s="35">
        <f ca="1">(((_xlfn.XLOOKUP(YEAR($B47),'Oferta Producto 2'!$B$8:$B$19,'Oferta Producto 2'!$E$8:$E$19))*$AD47)/$AB47)/24</f>
        <v>0</v>
      </c>
      <c r="P47" s="35">
        <f ca="1">(((_xlfn.XLOOKUP(YEAR($B47),'Oferta Producto 2'!$B$8:$B$19,'Oferta Producto 2'!$E$8:$E$19))*$AD47)/$AB47)/24</f>
        <v>0</v>
      </c>
      <c r="Q47" s="35">
        <f ca="1">(((_xlfn.XLOOKUP(YEAR($B47),'Oferta Producto 2'!$B$8:$B$19,'Oferta Producto 2'!$E$8:$E$19))*$AD47)/$AB47)/24</f>
        <v>0</v>
      </c>
      <c r="R47" s="35">
        <f ca="1">(((_xlfn.XLOOKUP(YEAR($B47),'Oferta Producto 2'!$B$8:$B$19,'Oferta Producto 2'!$E$8:$E$19))*$AD47)/$AB47)/24</f>
        <v>0</v>
      </c>
      <c r="S47" s="35">
        <f ca="1">(((_xlfn.XLOOKUP(YEAR($B47),'Oferta Producto 2'!$B$8:$B$19,'Oferta Producto 2'!$E$8:$E$19))*$AD47)/$AB47)/24</f>
        <v>0</v>
      </c>
      <c r="T47" s="35">
        <f ca="1">(((_xlfn.XLOOKUP(YEAR($B47),'Oferta Producto 2'!$B$8:$B$19,'Oferta Producto 2'!$E$8:$E$19))*$AD47)/$AB47)/24</f>
        <v>0</v>
      </c>
      <c r="U47" s="35">
        <f ca="1">(((_xlfn.XLOOKUP(YEAR($B47),'Oferta Producto 2'!$B$8:$B$19,'Oferta Producto 2'!$E$8:$E$19))*$AD47)/$AB47)/24</f>
        <v>0</v>
      </c>
      <c r="V47" s="35">
        <f ca="1">(((_xlfn.XLOOKUP(YEAR($B47),'Oferta Producto 2'!$B$8:$B$19,'Oferta Producto 2'!$E$8:$E$19))*$AD47)/$AB47)/24</f>
        <v>0</v>
      </c>
      <c r="W47" s="35">
        <f ca="1">(((_xlfn.XLOOKUP(YEAR($B47),'Oferta Producto 2'!$B$8:$B$19,'Oferta Producto 2'!$E$8:$E$19))*$AD47)/$AB47)/24</f>
        <v>0</v>
      </c>
      <c r="X47" s="35">
        <f ca="1">(((_xlfn.XLOOKUP(YEAR($B47),'Oferta Producto 2'!$B$8:$B$19,'Oferta Producto 2'!$E$8:$E$19))*$AD47)/$AB47)/24</f>
        <v>0</v>
      </c>
      <c r="Y47" s="35">
        <f ca="1">(((_xlfn.XLOOKUP(YEAR($B47),'Oferta Producto 2'!$B$8:$B$19,'Oferta Producto 2'!$E$8:$E$19))*$AD47)/$AB47)/24</f>
        <v>0</v>
      </c>
      <c r="Z47" s="35">
        <f ca="1">(((_xlfn.XLOOKUP(YEAR($B47),'Oferta Producto 2'!$B$8:$B$19,'Oferta Producto 2'!$E$8:$E$19))*$AD47)/$AB47)/24</f>
        <v>0</v>
      </c>
      <c r="AA47" s="35">
        <f t="shared" ca="1" si="5"/>
        <v>0</v>
      </c>
      <c r="AB47" s="28">
        <f t="shared" si="2"/>
        <v>30</v>
      </c>
      <c r="AC47" s="42">
        <f t="shared" ca="1" si="3"/>
        <v>0</v>
      </c>
      <c r="AD47" s="43">
        <v>8.5889045085469587E-2</v>
      </c>
      <c r="AE47" s="8"/>
      <c r="AF47" s="8"/>
    </row>
    <row r="48" spans="1:32" ht="15.75" thickBot="1">
      <c r="A48" s="23">
        <f t="shared" si="0"/>
        <v>2029</v>
      </c>
      <c r="B48" s="27">
        <v>47300</v>
      </c>
      <c r="C48" s="35">
        <f ca="1">(((_xlfn.XLOOKUP(YEAR($B48),'Oferta Producto 2'!$B$8:$B$19,'Oferta Producto 2'!$E$8:$E$19))*$AD48)/$AB48)/24</f>
        <v>0</v>
      </c>
      <c r="D48" s="35">
        <f ca="1">(((_xlfn.XLOOKUP(YEAR($B48),'Oferta Producto 2'!$B$8:$B$19,'Oferta Producto 2'!$E$8:$E$19))*$AD48)/$AB48)/24</f>
        <v>0</v>
      </c>
      <c r="E48" s="35">
        <f ca="1">(((_xlfn.XLOOKUP(YEAR($B48),'Oferta Producto 2'!$B$8:$B$19,'Oferta Producto 2'!$E$8:$E$19))*$AD48)/$AB48)/24</f>
        <v>0</v>
      </c>
      <c r="F48" s="35">
        <f ca="1">(((_xlfn.XLOOKUP(YEAR($B48),'Oferta Producto 2'!$B$8:$B$19,'Oferta Producto 2'!$E$8:$E$19))*$AD48)/$AB48)/24</f>
        <v>0</v>
      </c>
      <c r="G48" s="35">
        <f ca="1">(((_xlfn.XLOOKUP(YEAR($B48),'Oferta Producto 2'!$B$8:$B$19,'Oferta Producto 2'!$E$8:$E$19))*$AD48)/$AB48)/24</f>
        <v>0</v>
      </c>
      <c r="H48" s="35">
        <f ca="1">(((_xlfn.XLOOKUP(YEAR($B48),'Oferta Producto 2'!$B$8:$B$19,'Oferta Producto 2'!$E$8:$E$19))*$AD48)/$AB48)/24</f>
        <v>0</v>
      </c>
      <c r="I48" s="35">
        <f ca="1">(((_xlfn.XLOOKUP(YEAR($B48),'Oferta Producto 2'!$B$8:$B$19,'Oferta Producto 2'!$E$8:$E$19))*$AD48)/$AB48)/24</f>
        <v>0</v>
      </c>
      <c r="J48" s="35">
        <f ca="1">(((_xlfn.XLOOKUP(YEAR($B48),'Oferta Producto 2'!$B$8:$B$19,'Oferta Producto 2'!$E$8:$E$19))*$AD48)/$AB48)/24</f>
        <v>0</v>
      </c>
      <c r="K48" s="35">
        <f ca="1">(((_xlfn.XLOOKUP(YEAR($B48),'Oferta Producto 2'!$B$8:$B$19,'Oferta Producto 2'!$E$8:$E$19))*$AD48)/$AB48)/24</f>
        <v>0</v>
      </c>
      <c r="L48" s="35">
        <f ca="1">(((_xlfn.XLOOKUP(YEAR($B48),'Oferta Producto 2'!$B$8:$B$19,'Oferta Producto 2'!$E$8:$E$19))*$AD48)/$AB48)/24</f>
        <v>0</v>
      </c>
      <c r="M48" s="35">
        <f ca="1">(((_xlfn.XLOOKUP(YEAR($B48),'Oferta Producto 2'!$B$8:$B$19,'Oferta Producto 2'!$E$8:$E$19))*$AD48)/$AB48)/24</f>
        <v>0</v>
      </c>
      <c r="N48" s="35">
        <f ca="1">(((_xlfn.XLOOKUP(YEAR($B48),'Oferta Producto 2'!$B$8:$B$19,'Oferta Producto 2'!$E$8:$E$19))*$AD48)/$AB48)/24</f>
        <v>0</v>
      </c>
      <c r="O48" s="35">
        <f ca="1">(((_xlfn.XLOOKUP(YEAR($B48),'Oferta Producto 2'!$B$8:$B$19,'Oferta Producto 2'!$E$8:$E$19))*$AD48)/$AB48)/24</f>
        <v>0</v>
      </c>
      <c r="P48" s="35">
        <f ca="1">(((_xlfn.XLOOKUP(YEAR($B48),'Oferta Producto 2'!$B$8:$B$19,'Oferta Producto 2'!$E$8:$E$19))*$AD48)/$AB48)/24</f>
        <v>0</v>
      </c>
      <c r="Q48" s="35">
        <f ca="1">(((_xlfn.XLOOKUP(YEAR($B48),'Oferta Producto 2'!$B$8:$B$19,'Oferta Producto 2'!$E$8:$E$19))*$AD48)/$AB48)/24</f>
        <v>0</v>
      </c>
      <c r="R48" s="35">
        <f ca="1">(((_xlfn.XLOOKUP(YEAR($B48),'Oferta Producto 2'!$B$8:$B$19,'Oferta Producto 2'!$E$8:$E$19))*$AD48)/$AB48)/24</f>
        <v>0</v>
      </c>
      <c r="S48" s="35">
        <f ca="1">(((_xlfn.XLOOKUP(YEAR($B48),'Oferta Producto 2'!$B$8:$B$19,'Oferta Producto 2'!$E$8:$E$19))*$AD48)/$AB48)/24</f>
        <v>0</v>
      </c>
      <c r="T48" s="35">
        <f ca="1">(((_xlfn.XLOOKUP(YEAR($B48),'Oferta Producto 2'!$B$8:$B$19,'Oferta Producto 2'!$E$8:$E$19))*$AD48)/$AB48)/24</f>
        <v>0</v>
      </c>
      <c r="U48" s="35">
        <f ca="1">(((_xlfn.XLOOKUP(YEAR($B48),'Oferta Producto 2'!$B$8:$B$19,'Oferta Producto 2'!$E$8:$E$19))*$AD48)/$AB48)/24</f>
        <v>0</v>
      </c>
      <c r="V48" s="35">
        <f ca="1">(((_xlfn.XLOOKUP(YEAR($B48),'Oferta Producto 2'!$B$8:$B$19,'Oferta Producto 2'!$E$8:$E$19))*$AD48)/$AB48)/24</f>
        <v>0</v>
      </c>
      <c r="W48" s="35">
        <f ca="1">(((_xlfn.XLOOKUP(YEAR($B48),'Oferta Producto 2'!$B$8:$B$19,'Oferta Producto 2'!$E$8:$E$19))*$AD48)/$AB48)/24</f>
        <v>0</v>
      </c>
      <c r="X48" s="35">
        <f ca="1">(((_xlfn.XLOOKUP(YEAR($B48),'Oferta Producto 2'!$B$8:$B$19,'Oferta Producto 2'!$E$8:$E$19))*$AD48)/$AB48)/24</f>
        <v>0</v>
      </c>
      <c r="Y48" s="35">
        <f ca="1">(((_xlfn.XLOOKUP(YEAR($B48),'Oferta Producto 2'!$B$8:$B$19,'Oferta Producto 2'!$E$8:$E$19))*$AD48)/$AB48)/24</f>
        <v>0</v>
      </c>
      <c r="Z48" s="35">
        <f ca="1">(((_xlfn.XLOOKUP(YEAR($B48),'Oferta Producto 2'!$B$8:$B$19,'Oferta Producto 2'!$E$8:$E$19))*$AD48)/$AB48)/24</f>
        <v>0</v>
      </c>
      <c r="AA48" s="35">
        <f t="shared" ca="1" si="5"/>
        <v>0</v>
      </c>
      <c r="AB48" s="28">
        <f t="shared" si="2"/>
        <v>31</v>
      </c>
      <c r="AC48" s="42">
        <f t="shared" ca="1" si="3"/>
        <v>0</v>
      </c>
      <c r="AD48" s="43">
        <v>7.97553368803426E-2</v>
      </c>
      <c r="AE48" s="8"/>
      <c r="AF48" s="8"/>
    </row>
    <row r="49" spans="1:32" ht="15.75" thickBot="1">
      <c r="A49" s="23">
        <f t="shared" si="0"/>
        <v>2029</v>
      </c>
      <c r="B49" s="27">
        <v>47331</v>
      </c>
      <c r="C49" s="35">
        <f ca="1">(((_xlfn.XLOOKUP(YEAR($B49),'Oferta Producto 2'!$B$8:$B$19,'Oferta Producto 2'!$E$8:$E$19))*$AD49)/$AB49)/24</f>
        <v>0</v>
      </c>
      <c r="D49" s="35">
        <f ca="1">(((_xlfn.XLOOKUP(YEAR($B49),'Oferta Producto 2'!$B$8:$B$19,'Oferta Producto 2'!$E$8:$E$19))*$AD49)/$AB49)/24</f>
        <v>0</v>
      </c>
      <c r="E49" s="35">
        <f ca="1">(((_xlfn.XLOOKUP(YEAR($B49),'Oferta Producto 2'!$B$8:$B$19,'Oferta Producto 2'!$E$8:$E$19))*$AD49)/$AB49)/24</f>
        <v>0</v>
      </c>
      <c r="F49" s="35">
        <f ca="1">(((_xlfn.XLOOKUP(YEAR($B49),'Oferta Producto 2'!$B$8:$B$19,'Oferta Producto 2'!$E$8:$E$19))*$AD49)/$AB49)/24</f>
        <v>0</v>
      </c>
      <c r="G49" s="35">
        <f ca="1">(((_xlfn.XLOOKUP(YEAR($B49),'Oferta Producto 2'!$B$8:$B$19,'Oferta Producto 2'!$E$8:$E$19))*$AD49)/$AB49)/24</f>
        <v>0</v>
      </c>
      <c r="H49" s="35">
        <f ca="1">(((_xlfn.XLOOKUP(YEAR($B49),'Oferta Producto 2'!$B$8:$B$19,'Oferta Producto 2'!$E$8:$E$19))*$AD49)/$AB49)/24</f>
        <v>0</v>
      </c>
      <c r="I49" s="35">
        <f ca="1">(((_xlfn.XLOOKUP(YEAR($B49),'Oferta Producto 2'!$B$8:$B$19,'Oferta Producto 2'!$E$8:$E$19))*$AD49)/$AB49)/24</f>
        <v>0</v>
      </c>
      <c r="J49" s="35">
        <f ca="1">(((_xlfn.XLOOKUP(YEAR($B49),'Oferta Producto 2'!$B$8:$B$19,'Oferta Producto 2'!$E$8:$E$19))*$AD49)/$AB49)/24</f>
        <v>0</v>
      </c>
      <c r="K49" s="35">
        <f ca="1">(((_xlfn.XLOOKUP(YEAR($B49),'Oferta Producto 2'!$B$8:$B$19,'Oferta Producto 2'!$E$8:$E$19))*$AD49)/$AB49)/24</f>
        <v>0</v>
      </c>
      <c r="L49" s="35">
        <f ca="1">(((_xlfn.XLOOKUP(YEAR($B49),'Oferta Producto 2'!$B$8:$B$19,'Oferta Producto 2'!$E$8:$E$19))*$AD49)/$AB49)/24</f>
        <v>0</v>
      </c>
      <c r="M49" s="35">
        <f ca="1">(((_xlfn.XLOOKUP(YEAR($B49),'Oferta Producto 2'!$B$8:$B$19,'Oferta Producto 2'!$E$8:$E$19))*$AD49)/$AB49)/24</f>
        <v>0</v>
      </c>
      <c r="N49" s="35">
        <f ca="1">(((_xlfn.XLOOKUP(YEAR($B49),'Oferta Producto 2'!$B$8:$B$19,'Oferta Producto 2'!$E$8:$E$19))*$AD49)/$AB49)/24</f>
        <v>0</v>
      </c>
      <c r="O49" s="35">
        <f ca="1">(((_xlfn.XLOOKUP(YEAR($B49),'Oferta Producto 2'!$B$8:$B$19,'Oferta Producto 2'!$E$8:$E$19))*$AD49)/$AB49)/24</f>
        <v>0</v>
      </c>
      <c r="P49" s="35">
        <f ca="1">(((_xlfn.XLOOKUP(YEAR($B49),'Oferta Producto 2'!$B$8:$B$19,'Oferta Producto 2'!$E$8:$E$19))*$AD49)/$AB49)/24</f>
        <v>0</v>
      </c>
      <c r="Q49" s="35">
        <f ca="1">(((_xlfn.XLOOKUP(YEAR($B49),'Oferta Producto 2'!$B$8:$B$19,'Oferta Producto 2'!$E$8:$E$19))*$AD49)/$AB49)/24</f>
        <v>0</v>
      </c>
      <c r="R49" s="35">
        <f ca="1">(((_xlfn.XLOOKUP(YEAR($B49),'Oferta Producto 2'!$B$8:$B$19,'Oferta Producto 2'!$E$8:$E$19))*$AD49)/$AB49)/24</f>
        <v>0</v>
      </c>
      <c r="S49" s="35">
        <f ca="1">(((_xlfn.XLOOKUP(YEAR($B49),'Oferta Producto 2'!$B$8:$B$19,'Oferta Producto 2'!$E$8:$E$19))*$AD49)/$AB49)/24</f>
        <v>0</v>
      </c>
      <c r="T49" s="35">
        <f ca="1">(((_xlfn.XLOOKUP(YEAR($B49),'Oferta Producto 2'!$B$8:$B$19,'Oferta Producto 2'!$E$8:$E$19))*$AD49)/$AB49)/24</f>
        <v>0</v>
      </c>
      <c r="U49" s="35">
        <f ca="1">(((_xlfn.XLOOKUP(YEAR($B49),'Oferta Producto 2'!$B$8:$B$19,'Oferta Producto 2'!$E$8:$E$19))*$AD49)/$AB49)/24</f>
        <v>0</v>
      </c>
      <c r="V49" s="35">
        <f ca="1">(((_xlfn.XLOOKUP(YEAR($B49),'Oferta Producto 2'!$B$8:$B$19,'Oferta Producto 2'!$E$8:$E$19))*$AD49)/$AB49)/24</f>
        <v>0</v>
      </c>
      <c r="W49" s="35">
        <f ca="1">(((_xlfn.XLOOKUP(YEAR($B49),'Oferta Producto 2'!$B$8:$B$19,'Oferta Producto 2'!$E$8:$E$19))*$AD49)/$AB49)/24</f>
        <v>0</v>
      </c>
      <c r="X49" s="35">
        <f ca="1">(((_xlfn.XLOOKUP(YEAR($B49),'Oferta Producto 2'!$B$8:$B$19,'Oferta Producto 2'!$E$8:$E$19))*$AD49)/$AB49)/24</f>
        <v>0</v>
      </c>
      <c r="Y49" s="35">
        <f ca="1">(((_xlfn.XLOOKUP(YEAR($B49),'Oferta Producto 2'!$B$8:$B$19,'Oferta Producto 2'!$E$8:$E$19))*$AD49)/$AB49)/24</f>
        <v>0</v>
      </c>
      <c r="Z49" s="35">
        <f ca="1">(((_xlfn.XLOOKUP(YEAR($B49),'Oferta Producto 2'!$B$8:$B$19,'Oferta Producto 2'!$E$8:$E$19))*$AD49)/$AB49)/24</f>
        <v>0</v>
      </c>
      <c r="AA49" s="35">
        <f t="shared" ca="1" si="5"/>
        <v>0</v>
      </c>
      <c r="AB49" s="28">
        <f t="shared" si="2"/>
        <v>31</v>
      </c>
      <c r="AC49" s="42">
        <f t="shared" ca="1" si="3"/>
        <v>0</v>
      </c>
      <c r="AD49" s="43">
        <v>7.97553368803426E-2</v>
      </c>
      <c r="AE49" s="8"/>
      <c r="AF49" s="8"/>
    </row>
    <row r="50" spans="1:32" ht="15.75" thickBot="1">
      <c r="A50" s="23">
        <f t="shared" si="0"/>
        <v>2029</v>
      </c>
      <c r="B50" s="27">
        <v>47362</v>
      </c>
      <c r="C50" s="35">
        <f ca="1">(((_xlfn.XLOOKUP(YEAR($B50),'Oferta Producto 2'!$B$8:$B$19,'Oferta Producto 2'!$E$8:$E$19))*$AD50)/$AB50)/24</f>
        <v>0</v>
      </c>
      <c r="D50" s="35">
        <f ca="1">(((_xlfn.XLOOKUP(YEAR($B50),'Oferta Producto 2'!$B$8:$B$19,'Oferta Producto 2'!$E$8:$E$19))*$AD50)/$AB50)/24</f>
        <v>0</v>
      </c>
      <c r="E50" s="35">
        <f ca="1">(((_xlfn.XLOOKUP(YEAR($B50),'Oferta Producto 2'!$B$8:$B$19,'Oferta Producto 2'!$E$8:$E$19))*$AD50)/$AB50)/24</f>
        <v>0</v>
      </c>
      <c r="F50" s="35">
        <f ca="1">(((_xlfn.XLOOKUP(YEAR($B50),'Oferta Producto 2'!$B$8:$B$19,'Oferta Producto 2'!$E$8:$E$19))*$AD50)/$AB50)/24</f>
        <v>0</v>
      </c>
      <c r="G50" s="35">
        <f ca="1">(((_xlfn.XLOOKUP(YEAR($B50),'Oferta Producto 2'!$B$8:$B$19,'Oferta Producto 2'!$E$8:$E$19))*$AD50)/$AB50)/24</f>
        <v>0</v>
      </c>
      <c r="H50" s="35">
        <f ca="1">(((_xlfn.XLOOKUP(YEAR($B50),'Oferta Producto 2'!$B$8:$B$19,'Oferta Producto 2'!$E$8:$E$19))*$AD50)/$AB50)/24</f>
        <v>0</v>
      </c>
      <c r="I50" s="35">
        <f ca="1">(((_xlfn.XLOOKUP(YEAR($B50),'Oferta Producto 2'!$B$8:$B$19,'Oferta Producto 2'!$E$8:$E$19))*$AD50)/$AB50)/24</f>
        <v>0</v>
      </c>
      <c r="J50" s="35">
        <f ca="1">(((_xlfn.XLOOKUP(YEAR($B50),'Oferta Producto 2'!$B$8:$B$19,'Oferta Producto 2'!$E$8:$E$19))*$AD50)/$AB50)/24</f>
        <v>0</v>
      </c>
      <c r="K50" s="35">
        <f ca="1">(((_xlfn.XLOOKUP(YEAR($B50),'Oferta Producto 2'!$B$8:$B$19,'Oferta Producto 2'!$E$8:$E$19))*$AD50)/$AB50)/24</f>
        <v>0</v>
      </c>
      <c r="L50" s="35">
        <f ca="1">(((_xlfn.XLOOKUP(YEAR($B50),'Oferta Producto 2'!$B$8:$B$19,'Oferta Producto 2'!$E$8:$E$19))*$AD50)/$AB50)/24</f>
        <v>0</v>
      </c>
      <c r="M50" s="35">
        <f ca="1">(((_xlfn.XLOOKUP(YEAR($B50),'Oferta Producto 2'!$B$8:$B$19,'Oferta Producto 2'!$E$8:$E$19))*$AD50)/$AB50)/24</f>
        <v>0</v>
      </c>
      <c r="N50" s="35">
        <f ca="1">(((_xlfn.XLOOKUP(YEAR($B50),'Oferta Producto 2'!$B$8:$B$19,'Oferta Producto 2'!$E$8:$E$19))*$AD50)/$AB50)/24</f>
        <v>0</v>
      </c>
      <c r="O50" s="35">
        <f ca="1">(((_xlfn.XLOOKUP(YEAR($B50),'Oferta Producto 2'!$B$8:$B$19,'Oferta Producto 2'!$E$8:$E$19))*$AD50)/$AB50)/24</f>
        <v>0</v>
      </c>
      <c r="P50" s="35">
        <f ca="1">(((_xlfn.XLOOKUP(YEAR($B50),'Oferta Producto 2'!$B$8:$B$19,'Oferta Producto 2'!$E$8:$E$19))*$AD50)/$AB50)/24</f>
        <v>0</v>
      </c>
      <c r="Q50" s="35">
        <f ca="1">(((_xlfn.XLOOKUP(YEAR($B50),'Oferta Producto 2'!$B$8:$B$19,'Oferta Producto 2'!$E$8:$E$19))*$AD50)/$AB50)/24</f>
        <v>0</v>
      </c>
      <c r="R50" s="35">
        <f ca="1">(((_xlfn.XLOOKUP(YEAR($B50),'Oferta Producto 2'!$B$8:$B$19,'Oferta Producto 2'!$E$8:$E$19))*$AD50)/$AB50)/24</f>
        <v>0</v>
      </c>
      <c r="S50" s="35">
        <f ca="1">(((_xlfn.XLOOKUP(YEAR($B50),'Oferta Producto 2'!$B$8:$B$19,'Oferta Producto 2'!$E$8:$E$19))*$AD50)/$AB50)/24</f>
        <v>0</v>
      </c>
      <c r="T50" s="35">
        <f ca="1">(((_xlfn.XLOOKUP(YEAR($B50),'Oferta Producto 2'!$B$8:$B$19,'Oferta Producto 2'!$E$8:$E$19))*$AD50)/$AB50)/24</f>
        <v>0</v>
      </c>
      <c r="U50" s="35">
        <f ca="1">(((_xlfn.XLOOKUP(YEAR($B50),'Oferta Producto 2'!$B$8:$B$19,'Oferta Producto 2'!$E$8:$E$19))*$AD50)/$AB50)/24</f>
        <v>0</v>
      </c>
      <c r="V50" s="35">
        <f ca="1">(((_xlfn.XLOOKUP(YEAR($B50),'Oferta Producto 2'!$B$8:$B$19,'Oferta Producto 2'!$E$8:$E$19))*$AD50)/$AB50)/24</f>
        <v>0</v>
      </c>
      <c r="W50" s="35">
        <f ca="1">(((_xlfn.XLOOKUP(YEAR($B50),'Oferta Producto 2'!$B$8:$B$19,'Oferta Producto 2'!$E$8:$E$19))*$AD50)/$AB50)/24</f>
        <v>0</v>
      </c>
      <c r="X50" s="35">
        <f ca="1">(((_xlfn.XLOOKUP(YEAR($B50),'Oferta Producto 2'!$B$8:$B$19,'Oferta Producto 2'!$E$8:$E$19))*$AD50)/$AB50)/24</f>
        <v>0</v>
      </c>
      <c r="Y50" s="35">
        <f ca="1">(((_xlfn.XLOOKUP(YEAR($B50),'Oferta Producto 2'!$B$8:$B$19,'Oferta Producto 2'!$E$8:$E$19))*$AD50)/$AB50)/24</f>
        <v>0</v>
      </c>
      <c r="Z50" s="35">
        <f ca="1">(((_xlfn.XLOOKUP(YEAR($B50),'Oferta Producto 2'!$B$8:$B$19,'Oferta Producto 2'!$E$8:$E$19))*$AD50)/$AB50)/24</f>
        <v>0</v>
      </c>
      <c r="AA50" s="35">
        <f t="shared" ca="1" si="5"/>
        <v>0</v>
      </c>
      <c r="AB50" s="28">
        <f t="shared" si="2"/>
        <v>30</v>
      </c>
      <c r="AC50" s="42">
        <f t="shared" ca="1" si="3"/>
        <v>0</v>
      </c>
      <c r="AD50" s="43">
        <v>8.5889045085469587E-2</v>
      </c>
      <c r="AE50" s="8"/>
      <c r="AF50" s="8"/>
    </row>
    <row r="51" spans="1:32" ht="15.75" thickBot="1">
      <c r="A51" s="23">
        <f t="shared" si="0"/>
        <v>2029</v>
      </c>
      <c r="B51" s="27">
        <v>47392</v>
      </c>
      <c r="C51" s="35">
        <f ca="1">(((_xlfn.XLOOKUP(YEAR($B51),'Oferta Producto 2'!$B$8:$B$19,'Oferta Producto 2'!$E$8:$E$19))*$AD51)/$AB51)/24</f>
        <v>0</v>
      </c>
      <c r="D51" s="35">
        <f ca="1">(((_xlfn.XLOOKUP(YEAR($B51),'Oferta Producto 2'!$B$8:$B$19,'Oferta Producto 2'!$E$8:$E$19))*$AD51)/$AB51)/24</f>
        <v>0</v>
      </c>
      <c r="E51" s="35">
        <f ca="1">(((_xlfn.XLOOKUP(YEAR($B51),'Oferta Producto 2'!$B$8:$B$19,'Oferta Producto 2'!$E$8:$E$19))*$AD51)/$AB51)/24</f>
        <v>0</v>
      </c>
      <c r="F51" s="35">
        <f ca="1">(((_xlfn.XLOOKUP(YEAR($B51),'Oferta Producto 2'!$B$8:$B$19,'Oferta Producto 2'!$E$8:$E$19))*$AD51)/$AB51)/24</f>
        <v>0</v>
      </c>
      <c r="G51" s="35">
        <f ca="1">(((_xlfn.XLOOKUP(YEAR($B51),'Oferta Producto 2'!$B$8:$B$19,'Oferta Producto 2'!$E$8:$E$19))*$AD51)/$AB51)/24</f>
        <v>0</v>
      </c>
      <c r="H51" s="35">
        <f ca="1">(((_xlfn.XLOOKUP(YEAR($B51),'Oferta Producto 2'!$B$8:$B$19,'Oferta Producto 2'!$E$8:$E$19))*$AD51)/$AB51)/24</f>
        <v>0</v>
      </c>
      <c r="I51" s="35">
        <f ca="1">(((_xlfn.XLOOKUP(YEAR($B51),'Oferta Producto 2'!$B$8:$B$19,'Oferta Producto 2'!$E$8:$E$19))*$AD51)/$AB51)/24</f>
        <v>0</v>
      </c>
      <c r="J51" s="35">
        <f ca="1">(((_xlfn.XLOOKUP(YEAR($B51),'Oferta Producto 2'!$B$8:$B$19,'Oferta Producto 2'!$E$8:$E$19))*$AD51)/$AB51)/24</f>
        <v>0</v>
      </c>
      <c r="K51" s="35">
        <f ca="1">(((_xlfn.XLOOKUP(YEAR($B51),'Oferta Producto 2'!$B$8:$B$19,'Oferta Producto 2'!$E$8:$E$19))*$AD51)/$AB51)/24</f>
        <v>0</v>
      </c>
      <c r="L51" s="35">
        <f ca="1">(((_xlfn.XLOOKUP(YEAR($B51),'Oferta Producto 2'!$B$8:$B$19,'Oferta Producto 2'!$E$8:$E$19))*$AD51)/$AB51)/24</f>
        <v>0</v>
      </c>
      <c r="M51" s="35">
        <f ca="1">(((_xlfn.XLOOKUP(YEAR($B51),'Oferta Producto 2'!$B$8:$B$19,'Oferta Producto 2'!$E$8:$E$19))*$AD51)/$AB51)/24</f>
        <v>0</v>
      </c>
      <c r="N51" s="35">
        <f ca="1">(((_xlfn.XLOOKUP(YEAR($B51),'Oferta Producto 2'!$B$8:$B$19,'Oferta Producto 2'!$E$8:$E$19))*$AD51)/$AB51)/24</f>
        <v>0</v>
      </c>
      <c r="O51" s="35">
        <f ca="1">(((_xlfn.XLOOKUP(YEAR($B51),'Oferta Producto 2'!$B$8:$B$19,'Oferta Producto 2'!$E$8:$E$19))*$AD51)/$AB51)/24</f>
        <v>0</v>
      </c>
      <c r="P51" s="35">
        <f ca="1">(((_xlfn.XLOOKUP(YEAR($B51),'Oferta Producto 2'!$B$8:$B$19,'Oferta Producto 2'!$E$8:$E$19))*$AD51)/$AB51)/24</f>
        <v>0</v>
      </c>
      <c r="Q51" s="35">
        <f ca="1">(((_xlfn.XLOOKUP(YEAR($B51),'Oferta Producto 2'!$B$8:$B$19,'Oferta Producto 2'!$E$8:$E$19))*$AD51)/$AB51)/24</f>
        <v>0</v>
      </c>
      <c r="R51" s="35">
        <f ca="1">(((_xlfn.XLOOKUP(YEAR($B51),'Oferta Producto 2'!$B$8:$B$19,'Oferta Producto 2'!$E$8:$E$19))*$AD51)/$AB51)/24</f>
        <v>0</v>
      </c>
      <c r="S51" s="35">
        <f ca="1">(((_xlfn.XLOOKUP(YEAR($B51),'Oferta Producto 2'!$B$8:$B$19,'Oferta Producto 2'!$E$8:$E$19))*$AD51)/$AB51)/24</f>
        <v>0</v>
      </c>
      <c r="T51" s="35">
        <f ca="1">(((_xlfn.XLOOKUP(YEAR($B51),'Oferta Producto 2'!$B$8:$B$19,'Oferta Producto 2'!$E$8:$E$19))*$AD51)/$AB51)/24</f>
        <v>0</v>
      </c>
      <c r="U51" s="35">
        <f ca="1">(((_xlfn.XLOOKUP(YEAR($B51),'Oferta Producto 2'!$B$8:$B$19,'Oferta Producto 2'!$E$8:$E$19))*$AD51)/$AB51)/24</f>
        <v>0</v>
      </c>
      <c r="V51" s="35">
        <f ca="1">(((_xlfn.XLOOKUP(YEAR($B51),'Oferta Producto 2'!$B$8:$B$19,'Oferta Producto 2'!$E$8:$E$19))*$AD51)/$AB51)/24</f>
        <v>0</v>
      </c>
      <c r="W51" s="35">
        <f ca="1">(((_xlfn.XLOOKUP(YEAR($B51),'Oferta Producto 2'!$B$8:$B$19,'Oferta Producto 2'!$E$8:$E$19))*$AD51)/$AB51)/24</f>
        <v>0</v>
      </c>
      <c r="X51" s="35">
        <f ca="1">(((_xlfn.XLOOKUP(YEAR($B51),'Oferta Producto 2'!$B$8:$B$19,'Oferta Producto 2'!$E$8:$E$19))*$AD51)/$AB51)/24</f>
        <v>0</v>
      </c>
      <c r="Y51" s="35">
        <f ca="1">(((_xlfn.XLOOKUP(YEAR($B51),'Oferta Producto 2'!$B$8:$B$19,'Oferta Producto 2'!$E$8:$E$19))*$AD51)/$AB51)/24</f>
        <v>0</v>
      </c>
      <c r="Z51" s="35">
        <f ca="1">(((_xlfn.XLOOKUP(YEAR($B51),'Oferta Producto 2'!$B$8:$B$19,'Oferta Producto 2'!$E$8:$E$19))*$AD51)/$AB51)/24</f>
        <v>0</v>
      </c>
      <c r="AA51" s="35">
        <f t="shared" ca="1" si="5"/>
        <v>0</v>
      </c>
      <c r="AB51" s="28">
        <f t="shared" si="2"/>
        <v>31</v>
      </c>
      <c r="AC51" s="42">
        <f t="shared" ca="1" si="3"/>
        <v>0</v>
      </c>
      <c r="AD51" s="43">
        <v>7.97553368803426E-2</v>
      </c>
      <c r="AE51" s="8"/>
      <c r="AF51" s="8"/>
    </row>
    <row r="52" spans="1:32" ht="15.75" thickBot="1">
      <c r="A52" s="23">
        <f t="shared" si="0"/>
        <v>2029</v>
      </c>
      <c r="B52" s="27">
        <v>47423</v>
      </c>
      <c r="C52" s="35">
        <f ca="1">(((_xlfn.XLOOKUP(YEAR($B52),'Oferta Producto 2'!$B$8:$B$19,'Oferta Producto 2'!$E$8:$E$19))*$AD52)/$AB52)/24</f>
        <v>0</v>
      </c>
      <c r="D52" s="35">
        <f ca="1">(((_xlfn.XLOOKUP(YEAR($B52),'Oferta Producto 2'!$B$8:$B$19,'Oferta Producto 2'!$E$8:$E$19))*$AD52)/$AB52)/24</f>
        <v>0</v>
      </c>
      <c r="E52" s="35">
        <f ca="1">(((_xlfn.XLOOKUP(YEAR($B52),'Oferta Producto 2'!$B$8:$B$19,'Oferta Producto 2'!$E$8:$E$19))*$AD52)/$AB52)/24</f>
        <v>0</v>
      </c>
      <c r="F52" s="35">
        <f ca="1">(((_xlfn.XLOOKUP(YEAR($B52),'Oferta Producto 2'!$B$8:$B$19,'Oferta Producto 2'!$E$8:$E$19))*$AD52)/$AB52)/24</f>
        <v>0</v>
      </c>
      <c r="G52" s="35">
        <f ca="1">(((_xlfn.XLOOKUP(YEAR($B52),'Oferta Producto 2'!$B$8:$B$19,'Oferta Producto 2'!$E$8:$E$19))*$AD52)/$AB52)/24</f>
        <v>0</v>
      </c>
      <c r="H52" s="35">
        <f ca="1">(((_xlfn.XLOOKUP(YEAR($B52),'Oferta Producto 2'!$B$8:$B$19,'Oferta Producto 2'!$E$8:$E$19))*$AD52)/$AB52)/24</f>
        <v>0</v>
      </c>
      <c r="I52" s="35">
        <f ca="1">(((_xlfn.XLOOKUP(YEAR($B52),'Oferta Producto 2'!$B$8:$B$19,'Oferta Producto 2'!$E$8:$E$19))*$AD52)/$AB52)/24</f>
        <v>0</v>
      </c>
      <c r="J52" s="35">
        <f ca="1">(((_xlfn.XLOOKUP(YEAR($B52),'Oferta Producto 2'!$B$8:$B$19,'Oferta Producto 2'!$E$8:$E$19))*$AD52)/$AB52)/24</f>
        <v>0</v>
      </c>
      <c r="K52" s="35">
        <f ca="1">(((_xlfn.XLOOKUP(YEAR($B52),'Oferta Producto 2'!$B$8:$B$19,'Oferta Producto 2'!$E$8:$E$19))*$AD52)/$AB52)/24</f>
        <v>0</v>
      </c>
      <c r="L52" s="35">
        <f ca="1">(((_xlfn.XLOOKUP(YEAR($B52),'Oferta Producto 2'!$B$8:$B$19,'Oferta Producto 2'!$E$8:$E$19))*$AD52)/$AB52)/24</f>
        <v>0</v>
      </c>
      <c r="M52" s="35">
        <f ca="1">(((_xlfn.XLOOKUP(YEAR($B52),'Oferta Producto 2'!$B$8:$B$19,'Oferta Producto 2'!$E$8:$E$19))*$AD52)/$AB52)/24</f>
        <v>0</v>
      </c>
      <c r="N52" s="35">
        <f ca="1">(((_xlfn.XLOOKUP(YEAR($B52),'Oferta Producto 2'!$B$8:$B$19,'Oferta Producto 2'!$E$8:$E$19))*$AD52)/$AB52)/24</f>
        <v>0</v>
      </c>
      <c r="O52" s="35">
        <f ca="1">(((_xlfn.XLOOKUP(YEAR($B52),'Oferta Producto 2'!$B$8:$B$19,'Oferta Producto 2'!$E$8:$E$19))*$AD52)/$AB52)/24</f>
        <v>0</v>
      </c>
      <c r="P52" s="35">
        <f ca="1">(((_xlfn.XLOOKUP(YEAR($B52),'Oferta Producto 2'!$B$8:$B$19,'Oferta Producto 2'!$E$8:$E$19))*$AD52)/$AB52)/24</f>
        <v>0</v>
      </c>
      <c r="Q52" s="35">
        <f ca="1">(((_xlfn.XLOOKUP(YEAR($B52),'Oferta Producto 2'!$B$8:$B$19,'Oferta Producto 2'!$E$8:$E$19))*$AD52)/$AB52)/24</f>
        <v>0</v>
      </c>
      <c r="R52" s="35">
        <f ca="1">(((_xlfn.XLOOKUP(YEAR($B52),'Oferta Producto 2'!$B$8:$B$19,'Oferta Producto 2'!$E$8:$E$19))*$AD52)/$AB52)/24</f>
        <v>0</v>
      </c>
      <c r="S52" s="35">
        <f ca="1">(((_xlfn.XLOOKUP(YEAR($B52),'Oferta Producto 2'!$B$8:$B$19,'Oferta Producto 2'!$E$8:$E$19))*$AD52)/$AB52)/24</f>
        <v>0</v>
      </c>
      <c r="T52" s="35">
        <f ca="1">(((_xlfn.XLOOKUP(YEAR($B52),'Oferta Producto 2'!$B$8:$B$19,'Oferta Producto 2'!$E$8:$E$19))*$AD52)/$AB52)/24</f>
        <v>0</v>
      </c>
      <c r="U52" s="35">
        <f ca="1">(((_xlfn.XLOOKUP(YEAR($B52),'Oferta Producto 2'!$B$8:$B$19,'Oferta Producto 2'!$E$8:$E$19))*$AD52)/$AB52)/24</f>
        <v>0</v>
      </c>
      <c r="V52" s="35">
        <f ca="1">(((_xlfn.XLOOKUP(YEAR($B52),'Oferta Producto 2'!$B$8:$B$19,'Oferta Producto 2'!$E$8:$E$19))*$AD52)/$AB52)/24</f>
        <v>0</v>
      </c>
      <c r="W52" s="35">
        <f ca="1">(((_xlfn.XLOOKUP(YEAR($B52),'Oferta Producto 2'!$B$8:$B$19,'Oferta Producto 2'!$E$8:$E$19))*$AD52)/$AB52)/24</f>
        <v>0</v>
      </c>
      <c r="X52" s="35">
        <f ca="1">(((_xlfn.XLOOKUP(YEAR($B52),'Oferta Producto 2'!$B$8:$B$19,'Oferta Producto 2'!$E$8:$E$19))*$AD52)/$AB52)/24</f>
        <v>0</v>
      </c>
      <c r="Y52" s="35">
        <f ca="1">(((_xlfn.XLOOKUP(YEAR($B52),'Oferta Producto 2'!$B$8:$B$19,'Oferta Producto 2'!$E$8:$E$19))*$AD52)/$AB52)/24</f>
        <v>0</v>
      </c>
      <c r="Z52" s="35">
        <f ca="1">(((_xlfn.XLOOKUP(YEAR($B52),'Oferta Producto 2'!$B$8:$B$19,'Oferta Producto 2'!$E$8:$E$19))*$AD52)/$AB52)/24</f>
        <v>0</v>
      </c>
      <c r="AA52" s="35">
        <f t="shared" ca="1" si="5"/>
        <v>0</v>
      </c>
      <c r="AB52" s="28">
        <f t="shared" si="2"/>
        <v>30</v>
      </c>
      <c r="AC52" s="42">
        <f t="shared" ca="1" si="3"/>
        <v>0</v>
      </c>
      <c r="AD52" s="43">
        <v>8.5889045085469587E-2</v>
      </c>
      <c r="AE52" s="8"/>
      <c r="AF52" s="8"/>
    </row>
    <row r="53" spans="1:32" ht="15.75" thickBot="1">
      <c r="A53" s="23">
        <f t="shared" si="0"/>
        <v>2029</v>
      </c>
      <c r="B53" s="27">
        <v>47453</v>
      </c>
      <c r="C53" s="35">
        <f ca="1">(((_xlfn.XLOOKUP(YEAR($B53),'Oferta Producto 2'!$B$8:$B$19,'Oferta Producto 2'!$E$8:$E$19))*$AD53)/$AB53)/24</f>
        <v>0</v>
      </c>
      <c r="D53" s="35">
        <f ca="1">(((_xlfn.XLOOKUP(YEAR($B53),'Oferta Producto 2'!$B$8:$B$19,'Oferta Producto 2'!$E$8:$E$19))*$AD53)/$AB53)/24</f>
        <v>0</v>
      </c>
      <c r="E53" s="35">
        <f ca="1">(((_xlfn.XLOOKUP(YEAR($B53),'Oferta Producto 2'!$B$8:$B$19,'Oferta Producto 2'!$E$8:$E$19))*$AD53)/$AB53)/24</f>
        <v>0</v>
      </c>
      <c r="F53" s="35">
        <f ca="1">(((_xlfn.XLOOKUP(YEAR($B53),'Oferta Producto 2'!$B$8:$B$19,'Oferta Producto 2'!$E$8:$E$19))*$AD53)/$AB53)/24</f>
        <v>0</v>
      </c>
      <c r="G53" s="35">
        <f ca="1">(((_xlfn.XLOOKUP(YEAR($B53),'Oferta Producto 2'!$B$8:$B$19,'Oferta Producto 2'!$E$8:$E$19))*$AD53)/$AB53)/24</f>
        <v>0</v>
      </c>
      <c r="H53" s="35">
        <f ca="1">(((_xlfn.XLOOKUP(YEAR($B53),'Oferta Producto 2'!$B$8:$B$19,'Oferta Producto 2'!$E$8:$E$19))*$AD53)/$AB53)/24</f>
        <v>0</v>
      </c>
      <c r="I53" s="35">
        <f ca="1">(((_xlfn.XLOOKUP(YEAR($B53),'Oferta Producto 2'!$B$8:$B$19,'Oferta Producto 2'!$E$8:$E$19))*$AD53)/$AB53)/24</f>
        <v>0</v>
      </c>
      <c r="J53" s="35">
        <f ca="1">(((_xlfn.XLOOKUP(YEAR($B53),'Oferta Producto 2'!$B$8:$B$19,'Oferta Producto 2'!$E$8:$E$19))*$AD53)/$AB53)/24</f>
        <v>0</v>
      </c>
      <c r="K53" s="35">
        <f ca="1">(((_xlfn.XLOOKUP(YEAR($B53),'Oferta Producto 2'!$B$8:$B$19,'Oferta Producto 2'!$E$8:$E$19))*$AD53)/$AB53)/24</f>
        <v>0</v>
      </c>
      <c r="L53" s="35">
        <f ca="1">(((_xlfn.XLOOKUP(YEAR($B53),'Oferta Producto 2'!$B$8:$B$19,'Oferta Producto 2'!$E$8:$E$19))*$AD53)/$AB53)/24</f>
        <v>0</v>
      </c>
      <c r="M53" s="35">
        <f ca="1">(((_xlfn.XLOOKUP(YEAR($B53),'Oferta Producto 2'!$B$8:$B$19,'Oferta Producto 2'!$E$8:$E$19))*$AD53)/$AB53)/24</f>
        <v>0</v>
      </c>
      <c r="N53" s="35">
        <f ca="1">(((_xlfn.XLOOKUP(YEAR($B53),'Oferta Producto 2'!$B$8:$B$19,'Oferta Producto 2'!$E$8:$E$19))*$AD53)/$AB53)/24</f>
        <v>0</v>
      </c>
      <c r="O53" s="35">
        <f ca="1">(((_xlfn.XLOOKUP(YEAR($B53),'Oferta Producto 2'!$B$8:$B$19,'Oferta Producto 2'!$E$8:$E$19))*$AD53)/$AB53)/24</f>
        <v>0</v>
      </c>
      <c r="P53" s="35">
        <f ca="1">(((_xlfn.XLOOKUP(YEAR($B53),'Oferta Producto 2'!$B$8:$B$19,'Oferta Producto 2'!$E$8:$E$19))*$AD53)/$AB53)/24</f>
        <v>0</v>
      </c>
      <c r="Q53" s="35">
        <f ca="1">(((_xlfn.XLOOKUP(YEAR($B53),'Oferta Producto 2'!$B$8:$B$19,'Oferta Producto 2'!$E$8:$E$19))*$AD53)/$AB53)/24</f>
        <v>0</v>
      </c>
      <c r="R53" s="35">
        <f ca="1">(((_xlfn.XLOOKUP(YEAR($B53),'Oferta Producto 2'!$B$8:$B$19,'Oferta Producto 2'!$E$8:$E$19))*$AD53)/$AB53)/24</f>
        <v>0</v>
      </c>
      <c r="S53" s="35">
        <f ca="1">(((_xlfn.XLOOKUP(YEAR($B53),'Oferta Producto 2'!$B$8:$B$19,'Oferta Producto 2'!$E$8:$E$19))*$AD53)/$AB53)/24</f>
        <v>0</v>
      </c>
      <c r="T53" s="35">
        <f ca="1">(((_xlfn.XLOOKUP(YEAR($B53),'Oferta Producto 2'!$B$8:$B$19,'Oferta Producto 2'!$E$8:$E$19))*$AD53)/$AB53)/24</f>
        <v>0</v>
      </c>
      <c r="U53" s="35">
        <f ca="1">(((_xlfn.XLOOKUP(YEAR($B53),'Oferta Producto 2'!$B$8:$B$19,'Oferta Producto 2'!$E$8:$E$19))*$AD53)/$AB53)/24</f>
        <v>0</v>
      </c>
      <c r="V53" s="35">
        <f ca="1">(((_xlfn.XLOOKUP(YEAR($B53),'Oferta Producto 2'!$B$8:$B$19,'Oferta Producto 2'!$E$8:$E$19))*$AD53)/$AB53)/24</f>
        <v>0</v>
      </c>
      <c r="W53" s="35">
        <f ca="1">(((_xlfn.XLOOKUP(YEAR($B53),'Oferta Producto 2'!$B$8:$B$19,'Oferta Producto 2'!$E$8:$E$19))*$AD53)/$AB53)/24</f>
        <v>0</v>
      </c>
      <c r="X53" s="35">
        <f ca="1">(((_xlfn.XLOOKUP(YEAR($B53),'Oferta Producto 2'!$B$8:$B$19,'Oferta Producto 2'!$E$8:$E$19))*$AD53)/$AB53)/24</f>
        <v>0</v>
      </c>
      <c r="Y53" s="35">
        <f ca="1">(((_xlfn.XLOOKUP(YEAR($B53),'Oferta Producto 2'!$B$8:$B$19,'Oferta Producto 2'!$E$8:$E$19))*$AD53)/$AB53)/24</f>
        <v>0</v>
      </c>
      <c r="Z53" s="35">
        <f ca="1">(((_xlfn.XLOOKUP(YEAR($B53),'Oferta Producto 2'!$B$8:$B$19,'Oferta Producto 2'!$E$8:$E$19))*$AD53)/$AB53)/24</f>
        <v>0</v>
      </c>
      <c r="AA53" s="35">
        <f t="shared" ca="1" si="5"/>
        <v>0</v>
      </c>
      <c r="AB53" s="28">
        <f t="shared" si="2"/>
        <v>31</v>
      </c>
      <c r="AC53" s="42">
        <f t="shared" ca="1" si="3"/>
        <v>0</v>
      </c>
      <c r="AD53" s="43">
        <v>7.97553368803426E-2</v>
      </c>
      <c r="AE53" s="8"/>
      <c r="AF53" s="8"/>
    </row>
    <row r="54" spans="1:32" ht="15.75" thickBot="1">
      <c r="A54" s="23">
        <f t="shared" si="0"/>
        <v>2030</v>
      </c>
      <c r="B54" s="27">
        <v>47484</v>
      </c>
      <c r="C54" s="35">
        <f ca="1">(((_xlfn.XLOOKUP(YEAR($B54),'Oferta Producto 2'!$B$8:$B$19,'Oferta Producto 2'!$E$8:$E$19))*$AD54)/$AB54)/24</f>
        <v>0</v>
      </c>
      <c r="D54" s="35">
        <f ca="1">(((_xlfn.XLOOKUP(YEAR($B54),'Oferta Producto 2'!$B$8:$B$19,'Oferta Producto 2'!$E$8:$E$19))*$AD54)/$AB54)/24</f>
        <v>0</v>
      </c>
      <c r="E54" s="35">
        <f ca="1">(((_xlfn.XLOOKUP(YEAR($B54),'Oferta Producto 2'!$B$8:$B$19,'Oferta Producto 2'!$E$8:$E$19))*$AD54)/$AB54)/24</f>
        <v>0</v>
      </c>
      <c r="F54" s="35">
        <f ca="1">(((_xlfn.XLOOKUP(YEAR($B54),'Oferta Producto 2'!$B$8:$B$19,'Oferta Producto 2'!$E$8:$E$19))*$AD54)/$AB54)/24</f>
        <v>0</v>
      </c>
      <c r="G54" s="35">
        <f ca="1">(((_xlfn.XLOOKUP(YEAR($B54),'Oferta Producto 2'!$B$8:$B$19,'Oferta Producto 2'!$E$8:$E$19))*$AD54)/$AB54)/24</f>
        <v>0</v>
      </c>
      <c r="H54" s="35">
        <f ca="1">(((_xlfn.XLOOKUP(YEAR($B54),'Oferta Producto 2'!$B$8:$B$19,'Oferta Producto 2'!$E$8:$E$19))*$AD54)/$AB54)/24</f>
        <v>0</v>
      </c>
      <c r="I54" s="35">
        <f ca="1">(((_xlfn.XLOOKUP(YEAR($B54),'Oferta Producto 2'!$B$8:$B$19,'Oferta Producto 2'!$E$8:$E$19))*$AD54)/$AB54)/24</f>
        <v>0</v>
      </c>
      <c r="J54" s="35">
        <f ca="1">(((_xlfn.XLOOKUP(YEAR($B54),'Oferta Producto 2'!$B$8:$B$19,'Oferta Producto 2'!$E$8:$E$19))*$AD54)/$AB54)/24</f>
        <v>0</v>
      </c>
      <c r="K54" s="35">
        <f ca="1">(((_xlfn.XLOOKUP(YEAR($B54),'Oferta Producto 2'!$B$8:$B$19,'Oferta Producto 2'!$E$8:$E$19))*$AD54)/$AB54)/24</f>
        <v>0</v>
      </c>
      <c r="L54" s="35">
        <f ca="1">(((_xlfn.XLOOKUP(YEAR($B54),'Oferta Producto 2'!$B$8:$B$19,'Oferta Producto 2'!$E$8:$E$19))*$AD54)/$AB54)/24</f>
        <v>0</v>
      </c>
      <c r="M54" s="35">
        <f ca="1">(((_xlfn.XLOOKUP(YEAR($B54),'Oferta Producto 2'!$B$8:$B$19,'Oferta Producto 2'!$E$8:$E$19))*$AD54)/$AB54)/24</f>
        <v>0</v>
      </c>
      <c r="N54" s="35">
        <f ca="1">(((_xlfn.XLOOKUP(YEAR($B54),'Oferta Producto 2'!$B$8:$B$19,'Oferta Producto 2'!$E$8:$E$19))*$AD54)/$AB54)/24</f>
        <v>0</v>
      </c>
      <c r="O54" s="35">
        <f ca="1">(((_xlfn.XLOOKUP(YEAR($B54),'Oferta Producto 2'!$B$8:$B$19,'Oferta Producto 2'!$E$8:$E$19))*$AD54)/$AB54)/24</f>
        <v>0</v>
      </c>
      <c r="P54" s="35">
        <f ca="1">(((_xlfn.XLOOKUP(YEAR($B54),'Oferta Producto 2'!$B$8:$B$19,'Oferta Producto 2'!$E$8:$E$19))*$AD54)/$AB54)/24</f>
        <v>0</v>
      </c>
      <c r="Q54" s="35">
        <f ca="1">(((_xlfn.XLOOKUP(YEAR($B54),'Oferta Producto 2'!$B$8:$B$19,'Oferta Producto 2'!$E$8:$E$19))*$AD54)/$AB54)/24</f>
        <v>0</v>
      </c>
      <c r="R54" s="35">
        <f ca="1">(((_xlfn.XLOOKUP(YEAR($B54),'Oferta Producto 2'!$B$8:$B$19,'Oferta Producto 2'!$E$8:$E$19))*$AD54)/$AB54)/24</f>
        <v>0</v>
      </c>
      <c r="S54" s="35">
        <f ca="1">(((_xlfn.XLOOKUP(YEAR($B54),'Oferta Producto 2'!$B$8:$B$19,'Oferta Producto 2'!$E$8:$E$19))*$AD54)/$AB54)/24</f>
        <v>0</v>
      </c>
      <c r="T54" s="35">
        <f ca="1">(((_xlfn.XLOOKUP(YEAR($B54),'Oferta Producto 2'!$B$8:$B$19,'Oferta Producto 2'!$E$8:$E$19))*$AD54)/$AB54)/24</f>
        <v>0</v>
      </c>
      <c r="U54" s="35">
        <f ca="1">(((_xlfn.XLOOKUP(YEAR($B54),'Oferta Producto 2'!$B$8:$B$19,'Oferta Producto 2'!$E$8:$E$19))*$AD54)/$AB54)/24</f>
        <v>0</v>
      </c>
      <c r="V54" s="35">
        <f ca="1">(((_xlfn.XLOOKUP(YEAR($B54),'Oferta Producto 2'!$B$8:$B$19,'Oferta Producto 2'!$E$8:$E$19))*$AD54)/$AB54)/24</f>
        <v>0</v>
      </c>
      <c r="W54" s="35">
        <f ca="1">(((_xlfn.XLOOKUP(YEAR($B54),'Oferta Producto 2'!$B$8:$B$19,'Oferta Producto 2'!$E$8:$E$19))*$AD54)/$AB54)/24</f>
        <v>0</v>
      </c>
      <c r="X54" s="35">
        <f ca="1">(((_xlfn.XLOOKUP(YEAR($B54),'Oferta Producto 2'!$B$8:$B$19,'Oferta Producto 2'!$E$8:$E$19))*$AD54)/$AB54)/24</f>
        <v>0</v>
      </c>
      <c r="Y54" s="35">
        <f ca="1">(((_xlfn.XLOOKUP(YEAR($B54),'Oferta Producto 2'!$B$8:$B$19,'Oferta Producto 2'!$E$8:$E$19))*$AD54)/$AB54)/24</f>
        <v>0</v>
      </c>
      <c r="Z54" s="35">
        <f ca="1">(((_xlfn.XLOOKUP(YEAR($B54),'Oferta Producto 2'!$B$8:$B$19,'Oferta Producto 2'!$E$8:$E$19))*$AD54)/$AB54)/24</f>
        <v>0</v>
      </c>
      <c r="AA54" s="35">
        <f t="shared" ca="1" si="5"/>
        <v>0</v>
      </c>
      <c r="AB54" s="28">
        <f t="shared" si="2"/>
        <v>31</v>
      </c>
      <c r="AC54" s="42">
        <f t="shared" ca="1" si="3"/>
        <v>0</v>
      </c>
      <c r="AD54" s="43">
        <v>7.9754971862961654E-2</v>
      </c>
      <c r="AE54" s="8"/>
      <c r="AF54" s="8"/>
    </row>
    <row r="55" spans="1:32" ht="15.75" thickBot="1">
      <c r="A55" s="23">
        <f t="shared" si="0"/>
        <v>2030</v>
      </c>
      <c r="B55" s="27">
        <v>47515</v>
      </c>
      <c r="C55" s="35">
        <f ca="1">(((_xlfn.XLOOKUP(YEAR($B55),'Oferta Producto 2'!$B$8:$B$19,'Oferta Producto 2'!$E$8:$E$19))*$AD55)/$AB55)/24</f>
        <v>0</v>
      </c>
      <c r="D55" s="35">
        <f ca="1">(((_xlfn.XLOOKUP(YEAR($B55),'Oferta Producto 2'!$B$8:$B$19,'Oferta Producto 2'!$E$8:$E$19))*$AD55)/$AB55)/24</f>
        <v>0</v>
      </c>
      <c r="E55" s="35">
        <f ca="1">(((_xlfn.XLOOKUP(YEAR($B55),'Oferta Producto 2'!$B$8:$B$19,'Oferta Producto 2'!$E$8:$E$19))*$AD55)/$AB55)/24</f>
        <v>0</v>
      </c>
      <c r="F55" s="35">
        <f ca="1">(((_xlfn.XLOOKUP(YEAR($B55),'Oferta Producto 2'!$B$8:$B$19,'Oferta Producto 2'!$E$8:$E$19))*$AD55)/$AB55)/24</f>
        <v>0</v>
      </c>
      <c r="G55" s="35">
        <f ca="1">(((_xlfn.XLOOKUP(YEAR($B55),'Oferta Producto 2'!$B$8:$B$19,'Oferta Producto 2'!$E$8:$E$19))*$AD55)/$AB55)/24</f>
        <v>0</v>
      </c>
      <c r="H55" s="35">
        <f ca="1">(((_xlfn.XLOOKUP(YEAR($B55),'Oferta Producto 2'!$B$8:$B$19,'Oferta Producto 2'!$E$8:$E$19))*$AD55)/$AB55)/24</f>
        <v>0</v>
      </c>
      <c r="I55" s="35">
        <f ca="1">(((_xlfn.XLOOKUP(YEAR($B55),'Oferta Producto 2'!$B$8:$B$19,'Oferta Producto 2'!$E$8:$E$19))*$AD55)/$AB55)/24</f>
        <v>0</v>
      </c>
      <c r="J55" s="35">
        <f ca="1">(((_xlfn.XLOOKUP(YEAR($B55),'Oferta Producto 2'!$B$8:$B$19,'Oferta Producto 2'!$E$8:$E$19))*$AD55)/$AB55)/24</f>
        <v>0</v>
      </c>
      <c r="K55" s="35">
        <f ca="1">(((_xlfn.XLOOKUP(YEAR($B55),'Oferta Producto 2'!$B$8:$B$19,'Oferta Producto 2'!$E$8:$E$19))*$AD55)/$AB55)/24</f>
        <v>0</v>
      </c>
      <c r="L55" s="35">
        <f ca="1">(((_xlfn.XLOOKUP(YEAR($B55),'Oferta Producto 2'!$B$8:$B$19,'Oferta Producto 2'!$E$8:$E$19))*$AD55)/$AB55)/24</f>
        <v>0</v>
      </c>
      <c r="M55" s="35">
        <f ca="1">(((_xlfn.XLOOKUP(YEAR($B55),'Oferta Producto 2'!$B$8:$B$19,'Oferta Producto 2'!$E$8:$E$19))*$AD55)/$AB55)/24</f>
        <v>0</v>
      </c>
      <c r="N55" s="35">
        <f ca="1">(((_xlfn.XLOOKUP(YEAR($B55),'Oferta Producto 2'!$B$8:$B$19,'Oferta Producto 2'!$E$8:$E$19))*$AD55)/$AB55)/24</f>
        <v>0</v>
      </c>
      <c r="O55" s="35">
        <f ca="1">(((_xlfn.XLOOKUP(YEAR($B55),'Oferta Producto 2'!$B$8:$B$19,'Oferta Producto 2'!$E$8:$E$19))*$AD55)/$AB55)/24</f>
        <v>0</v>
      </c>
      <c r="P55" s="35">
        <f ca="1">(((_xlfn.XLOOKUP(YEAR($B55),'Oferta Producto 2'!$B$8:$B$19,'Oferta Producto 2'!$E$8:$E$19))*$AD55)/$AB55)/24</f>
        <v>0</v>
      </c>
      <c r="Q55" s="35">
        <f ca="1">(((_xlfn.XLOOKUP(YEAR($B55),'Oferta Producto 2'!$B$8:$B$19,'Oferta Producto 2'!$E$8:$E$19))*$AD55)/$AB55)/24</f>
        <v>0</v>
      </c>
      <c r="R55" s="35">
        <f ca="1">(((_xlfn.XLOOKUP(YEAR($B55),'Oferta Producto 2'!$B$8:$B$19,'Oferta Producto 2'!$E$8:$E$19))*$AD55)/$AB55)/24</f>
        <v>0</v>
      </c>
      <c r="S55" s="35">
        <f ca="1">(((_xlfn.XLOOKUP(YEAR($B55),'Oferta Producto 2'!$B$8:$B$19,'Oferta Producto 2'!$E$8:$E$19))*$AD55)/$AB55)/24</f>
        <v>0</v>
      </c>
      <c r="T55" s="35">
        <f ca="1">(((_xlfn.XLOOKUP(YEAR($B55),'Oferta Producto 2'!$B$8:$B$19,'Oferta Producto 2'!$E$8:$E$19))*$AD55)/$AB55)/24</f>
        <v>0</v>
      </c>
      <c r="U55" s="35">
        <f ca="1">(((_xlfn.XLOOKUP(YEAR($B55),'Oferta Producto 2'!$B$8:$B$19,'Oferta Producto 2'!$E$8:$E$19))*$AD55)/$AB55)/24</f>
        <v>0</v>
      </c>
      <c r="V55" s="35">
        <f ca="1">(((_xlfn.XLOOKUP(YEAR($B55),'Oferta Producto 2'!$B$8:$B$19,'Oferta Producto 2'!$E$8:$E$19))*$AD55)/$AB55)/24</f>
        <v>0</v>
      </c>
      <c r="W55" s="35">
        <f ca="1">(((_xlfn.XLOOKUP(YEAR($B55),'Oferta Producto 2'!$B$8:$B$19,'Oferta Producto 2'!$E$8:$E$19))*$AD55)/$AB55)/24</f>
        <v>0</v>
      </c>
      <c r="X55" s="35">
        <f ca="1">(((_xlfn.XLOOKUP(YEAR($B55),'Oferta Producto 2'!$B$8:$B$19,'Oferta Producto 2'!$E$8:$E$19))*$AD55)/$AB55)/24</f>
        <v>0</v>
      </c>
      <c r="Y55" s="35">
        <f ca="1">(((_xlfn.XLOOKUP(YEAR($B55),'Oferta Producto 2'!$B$8:$B$19,'Oferta Producto 2'!$E$8:$E$19))*$AD55)/$AB55)/24</f>
        <v>0</v>
      </c>
      <c r="Z55" s="35">
        <f ca="1">(((_xlfn.XLOOKUP(YEAR($B55),'Oferta Producto 2'!$B$8:$B$19,'Oferta Producto 2'!$E$8:$E$19))*$AD55)/$AB55)/24</f>
        <v>0</v>
      </c>
      <c r="AA55" s="35">
        <f t="shared" ca="1" si="5"/>
        <v>0</v>
      </c>
      <c r="AB55" s="28">
        <f t="shared" si="2"/>
        <v>28</v>
      </c>
      <c r="AC55" s="42">
        <f t="shared" ca="1" si="3"/>
        <v>0</v>
      </c>
      <c r="AD55" s="43">
        <v>9.8157973710587432E-2</v>
      </c>
      <c r="AE55" s="8"/>
      <c r="AF55" s="8"/>
    </row>
    <row r="56" spans="1:32" ht="15.75" thickBot="1">
      <c r="A56" s="23">
        <f t="shared" si="0"/>
        <v>2030</v>
      </c>
      <c r="B56" s="27">
        <v>47543</v>
      </c>
      <c r="C56" s="35">
        <f ca="1">(((_xlfn.XLOOKUP(YEAR($B56),'Oferta Producto 2'!$B$8:$B$19,'Oferta Producto 2'!$E$8:$E$19))*$AD56)/$AB56)/24</f>
        <v>0</v>
      </c>
      <c r="D56" s="35">
        <f ca="1">(((_xlfn.XLOOKUP(YEAR($B56),'Oferta Producto 2'!$B$8:$B$19,'Oferta Producto 2'!$E$8:$E$19))*$AD56)/$AB56)/24</f>
        <v>0</v>
      </c>
      <c r="E56" s="35">
        <f ca="1">(((_xlfn.XLOOKUP(YEAR($B56),'Oferta Producto 2'!$B$8:$B$19,'Oferta Producto 2'!$E$8:$E$19))*$AD56)/$AB56)/24</f>
        <v>0</v>
      </c>
      <c r="F56" s="35">
        <f ca="1">(((_xlfn.XLOOKUP(YEAR($B56),'Oferta Producto 2'!$B$8:$B$19,'Oferta Producto 2'!$E$8:$E$19))*$AD56)/$AB56)/24</f>
        <v>0</v>
      </c>
      <c r="G56" s="35">
        <f ca="1">(((_xlfn.XLOOKUP(YEAR($B56),'Oferta Producto 2'!$B$8:$B$19,'Oferta Producto 2'!$E$8:$E$19))*$AD56)/$AB56)/24</f>
        <v>0</v>
      </c>
      <c r="H56" s="35">
        <f ca="1">(((_xlfn.XLOOKUP(YEAR($B56),'Oferta Producto 2'!$B$8:$B$19,'Oferta Producto 2'!$E$8:$E$19))*$AD56)/$AB56)/24</f>
        <v>0</v>
      </c>
      <c r="I56" s="35">
        <f ca="1">(((_xlfn.XLOOKUP(YEAR($B56),'Oferta Producto 2'!$B$8:$B$19,'Oferta Producto 2'!$E$8:$E$19))*$AD56)/$AB56)/24</f>
        <v>0</v>
      </c>
      <c r="J56" s="35">
        <f ca="1">(((_xlfn.XLOOKUP(YEAR($B56),'Oferta Producto 2'!$B$8:$B$19,'Oferta Producto 2'!$E$8:$E$19))*$AD56)/$AB56)/24</f>
        <v>0</v>
      </c>
      <c r="K56" s="35">
        <f ca="1">(((_xlfn.XLOOKUP(YEAR($B56),'Oferta Producto 2'!$B$8:$B$19,'Oferta Producto 2'!$E$8:$E$19))*$AD56)/$AB56)/24</f>
        <v>0</v>
      </c>
      <c r="L56" s="35">
        <f ca="1">(((_xlfn.XLOOKUP(YEAR($B56),'Oferta Producto 2'!$B$8:$B$19,'Oferta Producto 2'!$E$8:$E$19))*$AD56)/$AB56)/24</f>
        <v>0</v>
      </c>
      <c r="M56" s="35">
        <f ca="1">(((_xlfn.XLOOKUP(YEAR($B56),'Oferta Producto 2'!$B$8:$B$19,'Oferta Producto 2'!$E$8:$E$19))*$AD56)/$AB56)/24</f>
        <v>0</v>
      </c>
      <c r="N56" s="35">
        <f ca="1">(((_xlfn.XLOOKUP(YEAR($B56),'Oferta Producto 2'!$B$8:$B$19,'Oferta Producto 2'!$E$8:$E$19))*$AD56)/$AB56)/24</f>
        <v>0</v>
      </c>
      <c r="O56" s="35">
        <f ca="1">(((_xlfn.XLOOKUP(YEAR($B56),'Oferta Producto 2'!$B$8:$B$19,'Oferta Producto 2'!$E$8:$E$19))*$AD56)/$AB56)/24</f>
        <v>0</v>
      </c>
      <c r="P56" s="35">
        <f ca="1">(((_xlfn.XLOOKUP(YEAR($B56),'Oferta Producto 2'!$B$8:$B$19,'Oferta Producto 2'!$E$8:$E$19))*$AD56)/$AB56)/24</f>
        <v>0</v>
      </c>
      <c r="Q56" s="35">
        <f ca="1">(((_xlfn.XLOOKUP(YEAR($B56),'Oferta Producto 2'!$B$8:$B$19,'Oferta Producto 2'!$E$8:$E$19))*$AD56)/$AB56)/24</f>
        <v>0</v>
      </c>
      <c r="R56" s="35">
        <f ca="1">(((_xlfn.XLOOKUP(YEAR($B56),'Oferta Producto 2'!$B$8:$B$19,'Oferta Producto 2'!$E$8:$E$19))*$AD56)/$AB56)/24</f>
        <v>0</v>
      </c>
      <c r="S56" s="35">
        <f ca="1">(((_xlfn.XLOOKUP(YEAR($B56),'Oferta Producto 2'!$B$8:$B$19,'Oferta Producto 2'!$E$8:$E$19))*$AD56)/$AB56)/24</f>
        <v>0</v>
      </c>
      <c r="T56" s="35">
        <f ca="1">(((_xlfn.XLOOKUP(YEAR($B56),'Oferta Producto 2'!$B$8:$B$19,'Oferta Producto 2'!$E$8:$E$19))*$AD56)/$AB56)/24</f>
        <v>0</v>
      </c>
      <c r="U56" s="35">
        <f ca="1">(((_xlfn.XLOOKUP(YEAR($B56),'Oferta Producto 2'!$B$8:$B$19,'Oferta Producto 2'!$E$8:$E$19))*$AD56)/$AB56)/24</f>
        <v>0</v>
      </c>
      <c r="V56" s="35">
        <f ca="1">(((_xlfn.XLOOKUP(YEAR($B56),'Oferta Producto 2'!$B$8:$B$19,'Oferta Producto 2'!$E$8:$E$19))*$AD56)/$AB56)/24</f>
        <v>0</v>
      </c>
      <c r="W56" s="35">
        <f ca="1">(((_xlfn.XLOOKUP(YEAR($B56),'Oferta Producto 2'!$B$8:$B$19,'Oferta Producto 2'!$E$8:$E$19))*$AD56)/$AB56)/24</f>
        <v>0</v>
      </c>
      <c r="X56" s="35">
        <f ca="1">(((_xlfn.XLOOKUP(YEAR($B56),'Oferta Producto 2'!$B$8:$B$19,'Oferta Producto 2'!$E$8:$E$19))*$AD56)/$AB56)/24</f>
        <v>0</v>
      </c>
      <c r="Y56" s="35">
        <f ca="1">(((_xlfn.XLOOKUP(YEAR($B56),'Oferta Producto 2'!$B$8:$B$19,'Oferta Producto 2'!$E$8:$E$19))*$AD56)/$AB56)/24</f>
        <v>0</v>
      </c>
      <c r="Z56" s="35">
        <f ca="1">(((_xlfn.XLOOKUP(YEAR($B56),'Oferta Producto 2'!$B$8:$B$19,'Oferta Producto 2'!$E$8:$E$19))*$AD56)/$AB56)/24</f>
        <v>0</v>
      </c>
      <c r="AA56" s="35">
        <f t="shared" ca="1" si="5"/>
        <v>0</v>
      </c>
      <c r="AB56" s="28">
        <f t="shared" si="2"/>
        <v>31</v>
      </c>
      <c r="AC56" s="42">
        <f t="shared" ca="1" si="3"/>
        <v>0</v>
      </c>
      <c r="AD56" s="43">
        <v>7.9754971862961654E-2</v>
      </c>
      <c r="AE56" s="8"/>
      <c r="AF56" s="8"/>
    </row>
    <row r="57" spans="1:32" ht="15.75" thickBot="1">
      <c r="A57" s="23">
        <f t="shared" si="0"/>
        <v>2030</v>
      </c>
      <c r="B57" s="27">
        <v>47574</v>
      </c>
      <c r="C57" s="35">
        <f ca="1">(((_xlfn.XLOOKUP(YEAR($B57),'Oferta Producto 2'!$B$8:$B$19,'Oferta Producto 2'!$E$8:$E$19))*$AD57)/$AB57)/24</f>
        <v>0</v>
      </c>
      <c r="D57" s="35">
        <f ca="1">(((_xlfn.XLOOKUP(YEAR($B57),'Oferta Producto 2'!$B$8:$B$19,'Oferta Producto 2'!$E$8:$E$19))*$AD57)/$AB57)/24</f>
        <v>0</v>
      </c>
      <c r="E57" s="35">
        <f ca="1">(((_xlfn.XLOOKUP(YEAR($B57),'Oferta Producto 2'!$B$8:$B$19,'Oferta Producto 2'!$E$8:$E$19))*$AD57)/$AB57)/24</f>
        <v>0</v>
      </c>
      <c r="F57" s="35">
        <f ca="1">(((_xlfn.XLOOKUP(YEAR($B57),'Oferta Producto 2'!$B$8:$B$19,'Oferta Producto 2'!$E$8:$E$19))*$AD57)/$AB57)/24</f>
        <v>0</v>
      </c>
      <c r="G57" s="35">
        <f ca="1">(((_xlfn.XLOOKUP(YEAR($B57),'Oferta Producto 2'!$B$8:$B$19,'Oferta Producto 2'!$E$8:$E$19))*$AD57)/$AB57)/24</f>
        <v>0</v>
      </c>
      <c r="H57" s="35">
        <f ca="1">(((_xlfn.XLOOKUP(YEAR($B57),'Oferta Producto 2'!$B$8:$B$19,'Oferta Producto 2'!$E$8:$E$19))*$AD57)/$AB57)/24</f>
        <v>0</v>
      </c>
      <c r="I57" s="35">
        <f ca="1">(((_xlfn.XLOOKUP(YEAR($B57),'Oferta Producto 2'!$B$8:$B$19,'Oferta Producto 2'!$E$8:$E$19))*$AD57)/$AB57)/24</f>
        <v>0</v>
      </c>
      <c r="J57" s="35">
        <f ca="1">(((_xlfn.XLOOKUP(YEAR($B57),'Oferta Producto 2'!$B$8:$B$19,'Oferta Producto 2'!$E$8:$E$19))*$AD57)/$AB57)/24</f>
        <v>0</v>
      </c>
      <c r="K57" s="35">
        <f ca="1">(((_xlfn.XLOOKUP(YEAR($B57),'Oferta Producto 2'!$B$8:$B$19,'Oferta Producto 2'!$E$8:$E$19))*$AD57)/$AB57)/24</f>
        <v>0</v>
      </c>
      <c r="L57" s="35">
        <f ca="1">(((_xlfn.XLOOKUP(YEAR($B57),'Oferta Producto 2'!$B$8:$B$19,'Oferta Producto 2'!$E$8:$E$19))*$AD57)/$AB57)/24</f>
        <v>0</v>
      </c>
      <c r="M57" s="35">
        <f ca="1">(((_xlfn.XLOOKUP(YEAR($B57),'Oferta Producto 2'!$B$8:$B$19,'Oferta Producto 2'!$E$8:$E$19))*$AD57)/$AB57)/24</f>
        <v>0</v>
      </c>
      <c r="N57" s="35">
        <f ca="1">(((_xlfn.XLOOKUP(YEAR($B57),'Oferta Producto 2'!$B$8:$B$19,'Oferta Producto 2'!$E$8:$E$19))*$AD57)/$AB57)/24</f>
        <v>0</v>
      </c>
      <c r="O57" s="35">
        <f ca="1">(((_xlfn.XLOOKUP(YEAR($B57),'Oferta Producto 2'!$B$8:$B$19,'Oferta Producto 2'!$E$8:$E$19))*$AD57)/$AB57)/24</f>
        <v>0</v>
      </c>
      <c r="P57" s="35">
        <f ca="1">(((_xlfn.XLOOKUP(YEAR($B57),'Oferta Producto 2'!$B$8:$B$19,'Oferta Producto 2'!$E$8:$E$19))*$AD57)/$AB57)/24</f>
        <v>0</v>
      </c>
      <c r="Q57" s="35">
        <f ca="1">(((_xlfn.XLOOKUP(YEAR($B57),'Oferta Producto 2'!$B$8:$B$19,'Oferta Producto 2'!$E$8:$E$19))*$AD57)/$AB57)/24</f>
        <v>0</v>
      </c>
      <c r="R57" s="35">
        <f ca="1">(((_xlfn.XLOOKUP(YEAR($B57),'Oferta Producto 2'!$B$8:$B$19,'Oferta Producto 2'!$E$8:$E$19))*$AD57)/$AB57)/24</f>
        <v>0</v>
      </c>
      <c r="S57" s="35">
        <f ca="1">(((_xlfn.XLOOKUP(YEAR($B57),'Oferta Producto 2'!$B$8:$B$19,'Oferta Producto 2'!$E$8:$E$19))*$AD57)/$AB57)/24</f>
        <v>0</v>
      </c>
      <c r="T57" s="35">
        <f ca="1">(((_xlfn.XLOOKUP(YEAR($B57),'Oferta Producto 2'!$B$8:$B$19,'Oferta Producto 2'!$E$8:$E$19))*$AD57)/$AB57)/24</f>
        <v>0</v>
      </c>
      <c r="U57" s="35">
        <f ca="1">(((_xlfn.XLOOKUP(YEAR($B57),'Oferta Producto 2'!$B$8:$B$19,'Oferta Producto 2'!$E$8:$E$19))*$AD57)/$AB57)/24</f>
        <v>0</v>
      </c>
      <c r="V57" s="35">
        <f ca="1">(((_xlfn.XLOOKUP(YEAR($B57),'Oferta Producto 2'!$B$8:$B$19,'Oferta Producto 2'!$E$8:$E$19))*$AD57)/$AB57)/24</f>
        <v>0</v>
      </c>
      <c r="W57" s="35">
        <f ca="1">(((_xlfn.XLOOKUP(YEAR($B57),'Oferta Producto 2'!$B$8:$B$19,'Oferta Producto 2'!$E$8:$E$19))*$AD57)/$AB57)/24</f>
        <v>0</v>
      </c>
      <c r="X57" s="35">
        <f ca="1">(((_xlfn.XLOOKUP(YEAR($B57),'Oferta Producto 2'!$B$8:$B$19,'Oferta Producto 2'!$E$8:$E$19))*$AD57)/$AB57)/24</f>
        <v>0</v>
      </c>
      <c r="Y57" s="35">
        <f ca="1">(((_xlfn.XLOOKUP(YEAR($B57),'Oferta Producto 2'!$B$8:$B$19,'Oferta Producto 2'!$E$8:$E$19))*$AD57)/$AB57)/24</f>
        <v>0</v>
      </c>
      <c r="Z57" s="35">
        <f ca="1">(((_xlfn.XLOOKUP(YEAR($B57),'Oferta Producto 2'!$B$8:$B$19,'Oferta Producto 2'!$E$8:$E$19))*$AD57)/$AB57)/24</f>
        <v>0</v>
      </c>
      <c r="AA57" s="35">
        <f t="shared" ca="1" si="5"/>
        <v>0</v>
      </c>
      <c r="AB57" s="28">
        <f t="shared" si="2"/>
        <v>30</v>
      </c>
      <c r="AC57" s="42">
        <f t="shared" ca="1" si="3"/>
        <v>0</v>
      </c>
      <c r="AD57" s="43">
        <v>8.5889305812170275E-2</v>
      </c>
      <c r="AE57" s="8"/>
      <c r="AF57" s="8"/>
    </row>
    <row r="58" spans="1:32" ht="15.75" thickBot="1">
      <c r="A58" s="23">
        <f t="shared" si="0"/>
        <v>2030</v>
      </c>
      <c r="B58" s="27">
        <v>47604</v>
      </c>
      <c r="C58" s="35">
        <f ca="1">(((_xlfn.XLOOKUP(YEAR($B58),'Oferta Producto 2'!$B$8:$B$19,'Oferta Producto 2'!$E$8:$E$19))*$AD58)/$AB58)/24</f>
        <v>0</v>
      </c>
      <c r="D58" s="35">
        <f ca="1">(((_xlfn.XLOOKUP(YEAR($B58),'Oferta Producto 2'!$B$8:$B$19,'Oferta Producto 2'!$E$8:$E$19))*$AD58)/$AB58)/24</f>
        <v>0</v>
      </c>
      <c r="E58" s="35">
        <f ca="1">(((_xlfn.XLOOKUP(YEAR($B58),'Oferta Producto 2'!$B$8:$B$19,'Oferta Producto 2'!$E$8:$E$19))*$AD58)/$AB58)/24</f>
        <v>0</v>
      </c>
      <c r="F58" s="35">
        <f ca="1">(((_xlfn.XLOOKUP(YEAR($B58),'Oferta Producto 2'!$B$8:$B$19,'Oferta Producto 2'!$E$8:$E$19))*$AD58)/$AB58)/24</f>
        <v>0</v>
      </c>
      <c r="G58" s="35">
        <f ca="1">(((_xlfn.XLOOKUP(YEAR($B58),'Oferta Producto 2'!$B$8:$B$19,'Oferta Producto 2'!$E$8:$E$19))*$AD58)/$AB58)/24</f>
        <v>0</v>
      </c>
      <c r="H58" s="35">
        <f ca="1">(((_xlfn.XLOOKUP(YEAR($B58),'Oferta Producto 2'!$B$8:$B$19,'Oferta Producto 2'!$E$8:$E$19))*$AD58)/$AB58)/24</f>
        <v>0</v>
      </c>
      <c r="I58" s="35">
        <f ca="1">(((_xlfn.XLOOKUP(YEAR($B58),'Oferta Producto 2'!$B$8:$B$19,'Oferta Producto 2'!$E$8:$E$19))*$AD58)/$AB58)/24</f>
        <v>0</v>
      </c>
      <c r="J58" s="35">
        <f ca="1">(((_xlfn.XLOOKUP(YEAR($B58),'Oferta Producto 2'!$B$8:$B$19,'Oferta Producto 2'!$E$8:$E$19))*$AD58)/$AB58)/24</f>
        <v>0</v>
      </c>
      <c r="K58" s="35">
        <f ca="1">(((_xlfn.XLOOKUP(YEAR($B58),'Oferta Producto 2'!$B$8:$B$19,'Oferta Producto 2'!$E$8:$E$19))*$AD58)/$AB58)/24</f>
        <v>0</v>
      </c>
      <c r="L58" s="35">
        <f ca="1">(((_xlfn.XLOOKUP(YEAR($B58),'Oferta Producto 2'!$B$8:$B$19,'Oferta Producto 2'!$E$8:$E$19))*$AD58)/$AB58)/24</f>
        <v>0</v>
      </c>
      <c r="M58" s="35">
        <f ca="1">(((_xlfn.XLOOKUP(YEAR($B58),'Oferta Producto 2'!$B$8:$B$19,'Oferta Producto 2'!$E$8:$E$19))*$AD58)/$AB58)/24</f>
        <v>0</v>
      </c>
      <c r="N58" s="35">
        <f ca="1">(((_xlfn.XLOOKUP(YEAR($B58),'Oferta Producto 2'!$B$8:$B$19,'Oferta Producto 2'!$E$8:$E$19))*$AD58)/$AB58)/24</f>
        <v>0</v>
      </c>
      <c r="O58" s="35">
        <f ca="1">(((_xlfn.XLOOKUP(YEAR($B58),'Oferta Producto 2'!$B$8:$B$19,'Oferta Producto 2'!$E$8:$E$19))*$AD58)/$AB58)/24</f>
        <v>0</v>
      </c>
      <c r="P58" s="35">
        <f ca="1">(((_xlfn.XLOOKUP(YEAR($B58),'Oferta Producto 2'!$B$8:$B$19,'Oferta Producto 2'!$E$8:$E$19))*$AD58)/$AB58)/24</f>
        <v>0</v>
      </c>
      <c r="Q58" s="35">
        <f ca="1">(((_xlfn.XLOOKUP(YEAR($B58),'Oferta Producto 2'!$B$8:$B$19,'Oferta Producto 2'!$E$8:$E$19))*$AD58)/$AB58)/24</f>
        <v>0</v>
      </c>
      <c r="R58" s="35">
        <f ca="1">(((_xlfn.XLOOKUP(YEAR($B58),'Oferta Producto 2'!$B$8:$B$19,'Oferta Producto 2'!$E$8:$E$19))*$AD58)/$AB58)/24</f>
        <v>0</v>
      </c>
      <c r="S58" s="35">
        <f ca="1">(((_xlfn.XLOOKUP(YEAR($B58),'Oferta Producto 2'!$B$8:$B$19,'Oferta Producto 2'!$E$8:$E$19))*$AD58)/$AB58)/24</f>
        <v>0</v>
      </c>
      <c r="T58" s="35">
        <f ca="1">(((_xlfn.XLOOKUP(YEAR($B58),'Oferta Producto 2'!$B$8:$B$19,'Oferta Producto 2'!$E$8:$E$19))*$AD58)/$AB58)/24</f>
        <v>0</v>
      </c>
      <c r="U58" s="35">
        <f ca="1">(((_xlfn.XLOOKUP(YEAR($B58),'Oferta Producto 2'!$B$8:$B$19,'Oferta Producto 2'!$E$8:$E$19))*$AD58)/$AB58)/24</f>
        <v>0</v>
      </c>
      <c r="V58" s="35">
        <f ca="1">(((_xlfn.XLOOKUP(YEAR($B58),'Oferta Producto 2'!$B$8:$B$19,'Oferta Producto 2'!$E$8:$E$19))*$AD58)/$AB58)/24</f>
        <v>0</v>
      </c>
      <c r="W58" s="35">
        <f ca="1">(((_xlfn.XLOOKUP(YEAR($B58),'Oferta Producto 2'!$B$8:$B$19,'Oferta Producto 2'!$E$8:$E$19))*$AD58)/$AB58)/24</f>
        <v>0</v>
      </c>
      <c r="X58" s="35">
        <f ca="1">(((_xlfn.XLOOKUP(YEAR($B58),'Oferta Producto 2'!$B$8:$B$19,'Oferta Producto 2'!$E$8:$E$19))*$AD58)/$AB58)/24</f>
        <v>0</v>
      </c>
      <c r="Y58" s="35">
        <f ca="1">(((_xlfn.XLOOKUP(YEAR($B58),'Oferta Producto 2'!$B$8:$B$19,'Oferta Producto 2'!$E$8:$E$19))*$AD58)/$AB58)/24</f>
        <v>0</v>
      </c>
      <c r="Z58" s="35">
        <f ca="1">(((_xlfn.XLOOKUP(YEAR($B58),'Oferta Producto 2'!$B$8:$B$19,'Oferta Producto 2'!$E$8:$E$19))*$AD58)/$AB58)/24</f>
        <v>0</v>
      </c>
      <c r="AA58" s="35">
        <f t="shared" ca="1" si="5"/>
        <v>0</v>
      </c>
      <c r="AB58" s="28">
        <f t="shared" si="2"/>
        <v>31</v>
      </c>
      <c r="AC58" s="42">
        <f t="shared" ca="1" si="3"/>
        <v>0</v>
      </c>
      <c r="AD58" s="43">
        <v>7.9754971862961654E-2</v>
      </c>
      <c r="AE58" s="8"/>
      <c r="AF58" s="8"/>
    </row>
    <row r="59" spans="1:32" ht="15.75" thickBot="1">
      <c r="A59" s="23">
        <f t="shared" si="0"/>
        <v>2030</v>
      </c>
      <c r="B59" s="27">
        <v>47635</v>
      </c>
      <c r="C59" s="35">
        <f ca="1">(((_xlfn.XLOOKUP(YEAR($B59),'Oferta Producto 2'!$B$8:$B$19,'Oferta Producto 2'!$E$8:$E$19))*$AD59)/$AB59)/24</f>
        <v>0</v>
      </c>
      <c r="D59" s="35">
        <f ca="1">(((_xlfn.XLOOKUP(YEAR($B59),'Oferta Producto 2'!$B$8:$B$19,'Oferta Producto 2'!$E$8:$E$19))*$AD59)/$AB59)/24</f>
        <v>0</v>
      </c>
      <c r="E59" s="35">
        <f ca="1">(((_xlfn.XLOOKUP(YEAR($B59),'Oferta Producto 2'!$B$8:$B$19,'Oferta Producto 2'!$E$8:$E$19))*$AD59)/$AB59)/24</f>
        <v>0</v>
      </c>
      <c r="F59" s="35">
        <f ca="1">(((_xlfn.XLOOKUP(YEAR($B59),'Oferta Producto 2'!$B$8:$B$19,'Oferta Producto 2'!$E$8:$E$19))*$AD59)/$AB59)/24</f>
        <v>0</v>
      </c>
      <c r="G59" s="35">
        <f ca="1">(((_xlfn.XLOOKUP(YEAR($B59),'Oferta Producto 2'!$B$8:$B$19,'Oferta Producto 2'!$E$8:$E$19))*$AD59)/$AB59)/24</f>
        <v>0</v>
      </c>
      <c r="H59" s="35">
        <f ca="1">(((_xlfn.XLOOKUP(YEAR($B59),'Oferta Producto 2'!$B$8:$B$19,'Oferta Producto 2'!$E$8:$E$19))*$AD59)/$AB59)/24</f>
        <v>0</v>
      </c>
      <c r="I59" s="35">
        <f ca="1">(((_xlfn.XLOOKUP(YEAR($B59),'Oferta Producto 2'!$B$8:$B$19,'Oferta Producto 2'!$E$8:$E$19))*$AD59)/$AB59)/24</f>
        <v>0</v>
      </c>
      <c r="J59" s="35">
        <f ca="1">(((_xlfn.XLOOKUP(YEAR($B59),'Oferta Producto 2'!$B$8:$B$19,'Oferta Producto 2'!$E$8:$E$19))*$AD59)/$AB59)/24</f>
        <v>0</v>
      </c>
      <c r="K59" s="35">
        <f ca="1">(((_xlfn.XLOOKUP(YEAR($B59),'Oferta Producto 2'!$B$8:$B$19,'Oferta Producto 2'!$E$8:$E$19))*$AD59)/$AB59)/24</f>
        <v>0</v>
      </c>
      <c r="L59" s="35">
        <f ca="1">(((_xlfn.XLOOKUP(YEAR($B59),'Oferta Producto 2'!$B$8:$B$19,'Oferta Producto 2'!$E$8:$E$19))*$AD59)/$AB59)/24</f>
        <v>0</v>
      </c>
      <c r="M59" s="35">
        <f ca="1">(((_xlfn.XLOOKUP(YEAR($B59),'Oferta Producto 2'!$B$8:$B$19,'Oferta Producto 2'!$E$8:$E$19))*$AD59)/$AB59)/24</f>
        <v>0</v>
      </c>
      <c r="N59" s="35">
        <f ca="1">(((_xlfn.XLOOKUP(YEAR($B59),'Oferta Producto 2'!$B$8:$B$19,'Oferta Producto 2'!$E$8:$E$19))*$AD59)/$AB59)/24</f>
        <v>0</v>
      </c>
      <c r="O59" s="35">
        <f ca="1">(((_xlfn.XLOOKUP(YEAR($B59),'Oferta Producto 2'!$B$8:$B$19,'Oferta Producto 2'!$E$8:$E$19))*$AD59)/$AB59)/24</f>
        <v>0</v>
      </c>
      <c r="P59" s="35">
        <f ca="1">(((_xlfn.XLOOKUP(YEAR($B59),'Oferta Producto 2'!$B$8:$B$19,'Oferta Producto 2'!$E$8:$E$19))*$AD59)/$AB59)/24</f>
        <v>0</v>
      </c>
      <c r="Q59" s="35">
        <f ca="1">(((_xlfn.XLOOKUP(YEAR($B59),'Oferta Producto 2'!$B$8:$B$19,'Oferta Producto 2'!$E$8:$E$19))*$AD59)/$AB59)/24</f>
        <v>0</v>
      </c>
      <c r="R59" s="35">
        <f ca="1">(((_xlfn.XLOOKUP(YEAR($B59),'Oferta Producto 2'!$B$8:$B$19,'Oferta Producto 2'!$E$8:$E$19))*$AD59)/$AB59)/24</f>
        <v>0</v>
      </c>
      <c r="S59" s="35">
        <f ca="1">(((_xlfn.XLOOKUP(YEAR($B59),'Oferta Producto 2'!$B$8:$B$19,'Oferta Producto 2'!$E$8:$E$19))*$AD59)/$AB59)/24</f>
        <v>0</v>
      </c>
      <c r="T59" s="35">
        <f ca="1">(((_xlfn.XLOOKUP(YEAR($B59),'Oferta Producto 2'!$B$8:$B$19,'Oferta Producto 2'!$E$8:$E$19))*$AD59)/$AB59)/24</f>
        <v>0</v>
      </c>
      <c r="U59" s="35">
        <f ca="1">(((_xlfn.XLOOKUP(YEAR($B59),'Oferta Producto 2'!$B$8:$B$19,'Oferta Producto 2'!$E$8:$E$19))*$AD59)/$AB59)/24</f>
        <v>0</v>
      </c>
      <c r="V59" s="35">
        <f ca="1">(((_xlfn.XLOOKUP(YEAR($B59),'Oferta Producto 2'!$B$8:$B$19,'Oferta Producto 2'!$E$8:$E$19))*$AD59)/$AB59)/24</f>
        <v>0</v>
      </c>
      <c r="W59" s="35">
        <f ca="1">(((_xlfn.XLOOKUP(YEAR($B59),'Oferta Producto 2'!$B$8:$B$19,'Oferta Producto 2'!$E$8:$E$19))*$AD59)/$AB59)/24</f>
        <v>0</v>
      </c>
      <c r="X59" s="35">
        <f ca="1">(((_xlfn.XLOOKUP(YEAR($B59),'Oferta Producto 2'!$B$8:$B$19,'Oferta Producto 2'!$E$8:$E$19))*$AD59)/$AB59)/24</f>
        <v>0</v>
      </c>
      <c r="Y59" s="35">
        <f ca="1">(((_xlfn.XLOOKUP(YEAR($B59),'Oferta Producto 2'!$B$8:$B$19,'Oferta Producto 2'!$E$8:$E$19))*$AD59)/$AB59)/24</f>
        <v>0</v>
      </c>
      <c r="Z59" s="35">
        <f ca="1">(((_xlfn.XLOOKUP(YEAR($B59),'Oferta Producto 2'!$B$8:$B$19,'Oferta Producto 2'!$E$8:$E$19))*$AD59)/$AB59)/24</f>
        <v>0</v>
      </c>
      <c r="AA59" s="35">
        <f t="shared" ca="1" si="5"/>
        <v>0</v>
      </c>
      <c r="AB59" s="28">
        <f t="shared" si="2"/>
        <v>30</v>
      </c>
      <c r="AC59" s="42">
        <f t="shared" ca="1" si="3"/>
        <v>0</v>
      </c>
      <c r="AD59" s="43">
        <v>8.5889305812170275E-2</v>
      </c>
      <c r="AE59" s="8"/>
      <c r="AF59" s="8"/>
    </row>
    <row r="60" spans="1:32" ht="15.75" thickBot="1">
      <c r="A60" s="23">
        <f t="shared" si="0"/>
        <v>2030</v>
      </c>
      <c r="B60" s="27">
        <v>47665</v>
      </c>
      <c r="C60" s="35">
        <f ca="1">(((_xlfn.XLOOKUP(YEAR($B60),'Oferta Producto 2'!$B$8:$B$19,'Oferta Producto 2'!$E$8:$E$19))*$AD60)/$AB60)/24</f>
        <v>0</v>
      </c>
      <c r="D60" s="35">
        <f ca="1">(((_xlfn.XLOOKUP(YEAR($B60),'Oferta Producto 2'!$B$8:$B$19,'Oferta Producto 2'!$E$8:$E$19))*$AD60)/$AB60)/24</f>
        <v>0</v>
      </c>
      <c r="E60" s="35">
        <f ca="1">(((_xlfn.XLOOKUP(YEAR($B60),'Oferta Producto 2'!$B$8:$B$19,'Oferta Producto 2'!$E$8:$E$19))*$AD60)/$AB60)/24</f>
        <v>0</v>
      </c>
      <c r="F60" s="35">
        <f ca="1">(((_xlfn.XLOOKUP(YEAR($B60),'Oferta Producto 2'!$B$8:$B$19,'Oferta Producto 2'!$E$8:$E$19))*$AD60)/$AB60)/24</f>
        <v>0</v>
      </c>
      <c r="G60" s="35">
        <f ca="1">(((_xlfn.XLOOKUP(YEAR($B60),'Oferta Producto 2'!$B$8:$B$19,'Oferta Producto 2'!$E$8:$E$19))*$AD60)/$AB60)/24</f>
        <v>0</v>
      </c>
      <c r="H60" s="35">
        <f ca="1">(((_xlfn.XLOOKUP(YEAR($B60),'Oferta Producto 2'!$B$8:$B$19,'Oferta Producto 2'!$E$8:$E$19))*$AD60)/$AB60)/24</f>
        <v>0</v>
      </c>
      <c r="I60" s="35">
        <f ca="1">(((_xlfn.XLOOKUP(YEAR($B60),'Oferta Producto 2'!$B$8:$B$19,'Oferta Producto 2'!$E$8:$E$19))*$AD60)/$AB60)/24</f>
        <v>0</v>
      </c>
      <c r="J60" s="35">
        <f ca="1">(((_xlfn.XLOOKUP(YEAR($B60),'Oferta Producto 2'!$B$8:$B$19,'Oferta Producto 2'!$E$8:$E$19))*$AD60)/$AB60)/24</f>
        <v>0</v>
      </c>
      <c r="K60" s="35">
        <f ca="1">(((_xlfn.XLOOKUP(YEAR($B60),'Oferta Producto 2'!$B$8:$B$19,'Oferta Producto 2'!$E$8:$E$19))*$AD60)/$AB60)/24</f>
        <v>0</v>
      </c>
      <c r="L60" s="35">
        <f ca="1">(((_xlfn.XLOOKUP(YEAR($B60),'Oferta Producto 2'!$B$8:$B$19,'Oferta Producto 2'!$E$8:$E$19))*$AD60)/$AB60)/24</f>
        <v>0</v>
      </c>
      <c r="M60" s="35">
        <f ca="1">(((_xlfn.XLOOKUP(YEAR($B60),'Oferta Producto 2'!$B$8:$B$19,'Oferta Producto 2'!$E$8:$E$19))*$AD60)/$AB60)/24</f>
        <v>0</v>
      </c>
      <c r="N60" s="35">
        <f ca="1">(((_xlfn.XLOOKUP(YEAR($B60),'Oferta Producto 2'!$B$8:$B$19,'Oferta Producto 2'!$E$8:$E$19))*$AD60)/$AB60)/24</f>
        <v>0</v>
      </c>
      <c r="O60" s="35">
        <f ca="1">(((_xlfn.XLOOKUP(YEAR($B60),'Oferta Producto 2'!$B$8:$B$19,'Oferta Producto 2'!$E$8:$E$19))*$AD60)/$AB60)/24</f>
        <v>0</v>
      </c>
      <c r="P60" s="35">
        <f ca="1">(((_xlfn.XLOOKUP(YEAR($B60),'Oferta Producto 2'!$B$8:$B$19,'Oferta Producto 2'!$E$8:$E$19))*$AD60)/$AB60)/24</f>
        <v>0</v>
      </c>
      <c r="Q60" s="35">
        <f ca="1">(((_xlfn.XLOOKUP(YEAR($B60),'Oferta Producto 2'!$B$8:$B$19,'Oferta Producto 2'!$E$8:$E$19))*$AD60)/$AB60)/24</f>
        <v>0</v>
      </c>
      <c r="R60" s="35">
        <f ca="1">(((_xlfn.XLOOKUP(YEAR($B60),'Oferta Producto 2'!$B$8:$B$19,'Oferta Producto 2'!$E$8:$E$19))*$AD60)/$AB60)/24</f>
        <v>0</v>
      </c>
      <c r="S60" s="35">
        <f ca="1">(((_xlfn.XLOOKUP(YEAR($B60),'Oferta Producto 2'!$B$8:$B$19,'Oferta Producto 2'!$E$8:$E$19))*$AD60)/$AB60)/24</f>
        <v>0</v>
      </c>
      <c r="T60" s="35">
        <f ca="1">(((_xlfn.XLOOKUP(YEAR($B60),'Oferta Producto 2'!$B$8:$B$19,'Oferta Producto 2'!$E$8:$E$19))*$AD60)/$AB60)/24</f>
        <v>0</v>
      </c>
      <c r="U60" s="35">
        <f ca="1">(((_xlfn.XLOOKUP(YEAR($B60),'Oferta Producto 2'!$B$8:$B$19,'Oferta Producto 2'!$E$8:$E$19))*$AD60)/$AB60)/24</f>
        <v>0</v>
      </c>
      <c r="V60" s="35">
        <f ca="1">(((_xlfn.XLOOKUP(YEAR($B60),'Oferta Producto 2'!$B$8:$B$19,'Oferta Producto 2'!$E$8:$E$19))*$AD60)/$AB60)/24</f>
        <v>0</v>
      </c>
      <c r="W60" s="35">
        <f ca="1">(((_xlfn.XLOOKUP(YEAR($B60),'Oferta Producto 2'!$B$8:$B$19,'Oferta Producto 2'!$E$8:$E$19))*$AD60)/$AB60)/24</f>
        <v>0</v>
      </c>
      <c r="X60" s="35">
        <f ca="1">(((_xlfn.XLOOKUP(YEAR($B60),'Oferta Producto 2'!$B$8:$B$19,'Oferta Producto 2'!$E$8:$E$19))*$AD60)/$AB60)/24</f>
        <v>0</v>
      </c>
      <c r="Y60" s="35">
        <f ca="1">(((_xlfn.XLOOKUP(YEAR($B60),'Oferta Producto 2'!$B$8:$B$19,'Oferta Producto 2'!$E$8:$E$19))*$AD60)/$AB60)/24</f>
        <v>0</v>
      </c>
      <c r="Z60" s="35">
        <f ca="1">(((_xlfn.XLOOKUP(YEAR($B60),'Oferta Producto 2'!$B$8:$B$19,'Oferta Producto 2'!$E$8:$E$19))*$AD60)/$AB60)/24</f>
        <v>0</v>
      </c>
      <c r="AA60" s="35">
        <f t="shared" ca="1" si="5"/>
        <v>0</v>
      </c>
      <c r="AB60" s="28">
        <f t="shared" si="2"/>
        <v>31</v>
      </c>
      <c r="AC60" s="42">
        <f t="shared" ca="1" si="3"/>
        <v>0</v>
      </c>
      <c r="AD60" s="43">
        <v>7.9754971862961654E-2</v>
      </c>
      <c r="AE60" s="8"/>
      <c r="AF60" s="8"/>
    </row>
    <row r="61" spans="1:32" ht="15.75" thickBot="1">
      <c r="A61" s="23">
        <f t="shared" si="0"/>
        <v>2030</v>
      </c>
      <c r="B61" s="27">
        <v>47696</v>
      </c>
      <c r="C61" s="35">
        <f ca="1">(((_xlfn.XLOOKUP(YEAR($B61),'Oferta Producto 2'!$B$8:$B$19,'Oferta Producto 2'!$E$8:$E$19))*$AD61)/$AB61)/24</f>
        <v>0</v>
      </c>
      <c r="D61" s="35">
        <f ca="1">(((_xlfn.XLOOKUP(YEAR($B61),'Oferta Producto 2'!$B$8:$B$19,'Oferta Producto 2'!$E$8:$E$19))*$AD61)/$AB61)/24</f>
        <v>0</v>
      </c>
      <c r="E61" s="35">
        <f ca="1">(((_xlfn.XLOOKUP(YEAR($B61),'Oferta Producto 2'!$B$8:$B$19,'Oferta Producto 2'!$E$8:$E$19))*$AD61)/$AB61)/24</f>
        <v>0</v>
      </c>
      <c r="F61" s="35">
        <f ca="1">(((_xlfn.XLOOKUP(YEAR($B61),'Oferta Producto 2'!$B$8:$B$19,'Oferta Producto 2'!$E$8:$E$19))*$AD61)/$AB61)/24</f>
        <v>0</v>
      </c>
      <c r="G61" s="35">
        <f ca="1">(((_xlfn.XLOOKUP(YEAR($B61),'Oferta Producto 2'!$B$8:$B$19,'Oferta Producto 2'!$E$8:$E$19))*$AD61)/$AB61)/24</f>
        <v>0</v>
      </c>
      <c r="H61" s="35">
        <f ca="1">(((_xlfn.XLOOKUP(YEAR($B61),'Oferta Producto 2'!$B$8:$B$19,'Oferta Producto 2'!$E$8:$E$19))*$AD61)/$AB61)/24</f>
        <v>0</v>
      </c>
      <c r="I61" s="35">
        <f ca="1">(((_xlfn.XLOOKUP(YEAR($B61),'Oferta Producto 2'!$B$8:$B$19,'Oferta Producto 2'!$E$8:$E$19))*$AD61)/$AB61)/24</f>
        <v>0</v>
      </c>
      <c r="J61" s="35">
        <f ca="1">(((_xlfn.XLOOKUP(YEAR($B61),'Oferta Producto 2'!$B$8:$B$19,'Oferta Producto 2'!$E$8:$E$19))*$AD61)/$AB61)/24</f>
        <v>0</v>
      </c>
      <c r="K61" s="35">
        <f ca="1">(((_xlfn.XLOOKUP(YEAR($B61),'Oferta Producto 2'!$B$8:$B$19,'Oferta Producto 2'!$E$8:$E$19))*$AD61)/$AB61)/24</f>
        <v>0</v>
      </c>
      <c r="L61" s="35">
        <f ca="1">(((_xlfn.XLOOKUP(YEAR($B61),'Oferta Producto 2'!$B$8:$B$19,'Oferta Producto 2'!$E$8:$E$19))*$AD61)/$AB61)/24</f>
        <v>0</v>
      </c>
      <c r="M61" s="35">
        <f ca="1">(((_xlfn.XLOOKUP(YEAR($B61),'Oferta Producto 2'!$B$8:$B$19,'Oferta Producto 2'!$E$8:$E$19))*$AD61)/$AB61)/24</f>
        <v>0</v>
      </c>
      <c r="N61" s="35">
        <f ca="1">(((_xlfn.XLOOKUP(YEAR($B61),'Oferta Producto 2'!$B$8:$B$19,'Oferta Producto 2'!$E$8:$E$19))*$AD61)/$AB61)/24</f>
        <v>0</v>
      </c>
      <c r="O61" s="35">
        <f ca="1">(((_xlfn.XLOOKUP(YEAR($B61),'Oferta Producto 2'!$B$8:$B$19,'Oferta Producto 2'!$E$8:$E$19))*$AD61)/$AB61)/24</f>
        <v>0</v>
      </c>
      <c r="P61" s="35">
        <f ca="1">(((_xlfn.XLOOKUP(YEAR($B61),'Oferta Producto 2'!$B$8:$B$19,'Oferta Producto 2'!$E$8:$E$19))*$AD61)/$AB61)/24</f>
        <v>0</v>
      </c>
      <c r="Q61" s="35">
        <f ca="1">(((_xlfn.XLOOKUP(YEAR($B61),'Oferta Producto 2'!$B$8:$B$19,'Oferta Producto 2'!$E$8:$E$19))*$AD61)/$AB61)/24</f>
        <v>0</v>
      </c>
      <c r="R61" s="35">
        <f ca="1">(((_xlfn.XLOOKUP(YEAR($B61),'Oferta Producto 2'!$B$8:$B$19,'Oferta Producto 2'!$E$8:$E$19))*$AD61)/$AB61)/24</f>
        <v>0</v>
      </c>
      <c r="S61" s="35">
        <f ca="1">(((_xlfn.XLOOKUP(YEAR($B61),'Oferta Producto 2'!$B$8:$B$19,'Oferta Producto 2'!$E$8:$E$19))*$AD61)/$AB61)/24</f>
        <v>0</v>
      </c>
      <c r="T61" s="35">
        <f ca="1">(((_xlfn.XLOOKUP(YEAR($B61),'Oferta Producto 2'!$B$8:$B$19,'Oferta Producto 2'!$E$8:$E$19))*$AD61)/$AB61)/24</f>
        <v>0</v>
      </c>
      <c r="U61" s="35">
        <f ca="1">(((_xlfn.XLOOKUP(YEAR($B61),'Oferta Producto 2'!$B$8:$B$19,'Oferta Producto 2'!$E$8:$E$19))*$AD61)/$AB61)/24</f>
        <v>0</v>
      </c>
      <c r="V61" s="35">
        <f ca="1">(((_xlfn.XLOOKUP(YEAR($B61),'Oferta Producto 2'!$B$8:$B$19,'Oferta Producto 2'!$E$8:$E$19))*$AD61)/$AB61)/24</f>
        <v>0</v>
      </c>
      <c r="W61" s="35">
        <f ca="1">(((_xlfn.XLOOKUP(YEAR($B61),'Oferta Producto 2'!$B$8:$B$19,'Oferta Producto 2'!$E$8:$E$19))*$AD61)/$AB61)/24</f>
        <v>0</v>
      </c>
      <c r="X61" s="35">
        <f ca="1">(((_xlfn.XLOOKUP(YEAR($B61),'Oferta Producto 2'!$B$8:$B$19,'Oferta Producto 2'!$E$8:$E$19))*$AD61)/$AB61)/24</f>
        <v>0</v>
      </c>
      <c r="Y61" s="35">
        <f ca="1">(((_xlfn.XLOOKUP(YEAR($B61),'Oferta Producto 2'!$B$8:$B$19,'Oferta Producto 2'!$E$8:$E$19))*$AD61)/$AB61)/24</f>
        <v>0</v>
      </c>
      <c r="Z61" s="35">
        <f ca="1">(((_xlfn.XLOOKUP(YEAR($B61),'Oferta Producto 2'!$B$8:$B$19,'Oferta Producto 2'!$E$8:$E$19))*$AD61)/$AB61)/24</f>
        <v>0</v>
      </c>
      <c r="AA61" s="35">
        <f t="shared" ca="1" si="5"/>
        <v>0</v>
      </c>
      <c r="AB61" s="28">
        <f t="shared" si="2"/>
        <v>31</v>
      </c>
      <c r="AC61" s="42">
        <f t="shared" ca="1" si="3"/>
        <v>0</v>
      </c>
      <c r="AD61" s="43">
        <v>7.9754971862961654E-2</v>
      </c>
      <c r="AE61" s="8"/>
      <c r="AF61" s="8"/>
    </row>
    <row r="62" spans="1:32" ht="15.75" thickBot="1">
      <c r="A62" s="23">
        <f t="shared" si="0"/>
        <v>2030</v>
      </c>
      <c r="B62" s="27">
        <v>47727</v>
      </c>
      <c r="C62" s="35">
        <f ca="1">(((_xlfn.XLOOKUP(YEAR($B62),'Oferta Producto 2'!$B$8:$B$19,'Oferta Producto 2'!$E$8:$E$19))*$AD62)/$AB62)/24</f>
        <v>0</v>
      </c>
      <c r="D62" s="35">
        <f ca="1">(((_xlfn.XLOOKUP(YEAR($B62),'Oferta Producto 2'!$B$8:$B$19,'Oferta Producto 2'!$E$8:$E$19))*$AD62)/$AB62)/24</f>
        <v>0</v>
      </c>
      <c r="E62" s="35">
        <f ca="1">(((_xlfn.XLOOKUP(YEAR($B62),'Oferta Producto 2'!$B$8:$B$19,'Oferta Producto 2'!$E$8:$E$19))*$AD62)/$AB62)/24</f>
        <v>0</v>
      </c>
      <c r="F62" s="35">
        <f ca="1">(((_xlfn.XLOOKUP(YEAR($B62),'Oferta Producto 2'!$B$8:$B$19,'Oferta Producto 2'!$E$8:$E$19))*$AD62)/$AB62)/24</f>
        <v>0</v>
      </c>
      <c r="G62" s="35">
        <f ca="1">(((_xlfn.XLOOKUP(YEAR($B62),'Oferta Producto 2'!$B$8:$B$19,'Oferta Producto 2'!$E$8:$E$19))*$AD62)/$AB62)/24</f>
        <v>0</v>
      </c>
      <c r="H62" s="35">
        <f ca="1">(((_xlfn.XLOOKUP(YEAR($B62),'Oferta Producto 2'!$B$8:$B$19,'Oferta Producto 2'!$E$8:$E$19))*$AD62)/$AB62)/24</f>
        <v>0</v>
      </c>
      <c r="I62" s="35">
        <f ca="1">(((_xlfn.XLOOKUP(YEAR($B62),'Oferta Producto 2'!$B$8:$B$19,'Oferta Producto 2'!$E$8:$E$19))*$AD62)/$AB62)/24</f>
        <v>0</v>
      </c>
      <c r="J62" s="35">
        <f ca="1">(((_xlfn.XLOOKUP(YEAR($B62),'Oferta Producto 2'!$B$8:$B$19,'Oferta Producto 2'!$E$8:$E$19))*$AD62)/$AB62)/24</f>
        <v>0</v>
      </c>
      <c r="K62" s="35">
        <f ca="1">(((_xlfn.XLOOKUP(YEAR($B62),'Oferta Producto 2'!$B$8:$B$19,'Oferta Producto 2'!$E$8:$E$19))*$AD62)/$AB62)/24</f>
        <v>0</v>
      </c>
      <c r="L62" s="35">
        <f ca="1">(((_xlfn.XLOOKUP(YEAR($B62),'Oferta Producto 2'!$B$8:$B$19,'Oferta Producto 2'!$E$8:$E$19))*$AD62)/$AB62)/24</f>
        <v>0</v>
      </c>
      <c r="M62" s="35">
        <f ca="1">(((_xlfn.XLOOKUP(YEAR($B62),'Oferta Producto 2'!$B$8:$B$19,'Oferta Producto 2'!$E$8:$E$19))*$AD62)/$AB62)/24</f>
        <v>0</v>
      </c>
      <c r="N62" s="35">
        <f ca="1">(((_xlfn.XLOOKUP(YEAR($B62),'Oferta Producto 2'!$B$8:$B$19,'Oferta Producto 2'!$E$8:$E$19))*$AD62)/$AB62)/24</f>
        <v>0</v>
      </c>
      <c r="O62" s="35">
        <f ca="1">(((_xlfn.XLOOKUP(YEAR($B62),'Oferta Producto 2'!$B$8:$B$19,'Oferta Producto 2'!$E$8:$E$19))*$AD62)/$AB62)/24</f>
        <v>0</v>
      </c>
      <c r="P62" s="35">
        <f ca="1">(((_xlfn.XLOOKUP(YEAR($B62),'Oferta Producto 2'!$B$8:$B$19,'Oferta Producto 2'!$E$8:$E$19))*$AD62)/$AB62)/24</f>
        <v>0</v>
      </c>
      <c r="Q62" s="35">
        <f ca="1">(((_xlfn.XLOOKUP(YEAR($B62),'Oferta Producto 2'!$B$8:$B$19,'Oferta Producto 2'!$E$8:$E$19))*$AD62)/$AB62)/24</f>
        <v>0</v>
      </c>
      <c r="R62" s="35">
        <f ca="1">(((_xlfn.XLOOKUP(YEAR($B62),'Oferta Producto 2'!$B$8:$B$19,'Oferta Producto 2'!$E$8:$E$19))*$AD62)/$AB62)/24</f>
        <v>0</v>
      </c>
      <c r="S62" s="35">
        <f ca="1">(((_xlfn.XLOOKUP(YEAR($B62),'Oferta Producto 2'!$B$8:$B$19,'Oferta Producto 2'!$E$8:$E$19))*$AD62)/$AB62)/24</f>
        <v>0</v>
      </c>
      <c r="T62" s="35">
        <f ca="1">(((_xlfn.XLOOKUP(YEAR($B62),'Oferta Producto 2'!$B$8:$B$19,'Oferta Producto 2'!$E$8:$E$19))*$AD62)/$AB62)/24</f>
        <v>0</v>
      </c>
      <c r="U62" s="35">
        <f ca="1">(((_xlfn.XLOOKUP(YEAR($B62),'Oferta Producto 2'!$B$8:$B$19,'Oferta Producto 2'!$E$8:$E$19))*$AD62)/$AB62)/24</f>
        <v>0</v>
      </c>
      <c r="V62" s="35">
        <f ca="1">(((_xlfn.XLOOKUP(YEAR($B62),'Oferta Producto 2'!$B$8:$B$19,'Oferta Producto 2'!$E$8:$E$19))*$AD62)/$AB62)/24</f>
        <v>0</v>
      </c>
      <c r="W62" s="35">
        <f ca="1">(((_xlfn.XLOOKUP(YEAR($B62),'Oferta Producto 2'!$B$8:$B$19,'Oferta Producto 2'!$E$8:$E$19))*$AD62)/$AB62)/24</f>
        <v>0</v>
      </c>
      <c r="X62" s="35">
        <f ca="1">(((_xlfn.XLOOKUP(YEAR($B62),'Oferta Producto 2'!$B$8:$B$19,'Oferta Producto 2'!$E$8:$E$19))*$AD62)/$AB62)/24</f>
        <v>0</v>
      </c>
      <c r="Y62" s="35">
        <f ca="1">(((_xlfn.XLOOKUP(YEAR($B62),'Oferta Producto 2'!$B$8:$B$19,'Oferta Producto 2'!$E$8:$E$19))*$AD62)/$AB62)/24</f>
        <v>0</v>
      </c>
      <c r="Z62" s="35">
        <f ca="1">(((_xlfn.XLOOKUP(YEAR($B62),'Oferta Producto 2'!$B$8:$B$19,'Oferta Producto 2'!$E$8:$E$19))*$AD62)/$AB62)/24</f>
        <v>0</v>
      </c>
      <c r="AA62" s="35">
        <f t="shared" ca="1" si="5"/>
        <v>0</v>
      </c>
      <c r="AB62" s="28">
        <f t="shared" si="2"/>
        <v>30</v>
      </c>
      <c r="AC62" s="42">
        <f t="shared" ca="1" si="3"/>
        <v>0</v>
      </c>
      <c r="AD62" s="43">
        <v>8.5889305812170275E-2</v>
      </c>
      <c r="AE62" s="8"/>
      <c r="AF62" s="8"/>
    </row>
    <row r="63" spans="1:32" ht="15.75" thickBot="1">
      <c r="A63" s="23">
        <f t="shared" si="0"/>
        <v>2030</v>
      </c>
      <c r="B63" s="27">
        <v>47757</v>
      </c>
      <c r="C63" s="35">
        <f ca="1">(((_xlfn.XLOOKUP(YEAR($B63),'Oferta Producto 2'!$B$8:$B$19,'Oferta Producto 2'!$E$8:$E$19))*$AD63)/$AB63)/24</f>
        <v>0</v>
      </c>
      <c r="D63" s="35">
        <f ca="1">(((_xlfn.XLOOKUP(YEAR($B63),'Oferta Producto 2'!$B$8:$B$19,'Oferta Producto 2'!$E$8:$E$19))*$AD63)/$AB63)/24</f>
        <v>0</v>
      </c>
      <c r="E63" s="35">
        <f ca="1">(((_xlfn.XLOOKUP(YEAR($B63),'Oferta Producto 2'!$B$8:$B$19,'Oferta Producto 2'!$E$8:$E$19))*$AD63)/$AB63)/24</f>
        <v>0</v>
      </c>
      <c r="F63" s="35">
        <f ca="1">(((_xlfn.XLOOKUP(YEAR($B63),'Oferta Producto 2'!$B$8:$B$19,'Oferta Producto 2'!$E$8:$E$19))*$AD63)/$AB63)/24</f>
        <v>0</v>
      </c>
      <c r="G63" s="35">
        <f ca="1">(((_xlfn.XLOOKUP(YEAR($B63),'Oferta Producto 2'!$B$8:$B$19,'Oferta Producto 2'!$E$8:$E$19))*$AD63)/$AB63)/24</f>
        <v>0</v>
      </c>
      <c r="H63" s="35">
        <f ca="1">(((_xlfn.XLOOKUP(YEAR($B63),'Oferta Producto 2'!$B$8:$B$19,'Oferta Producto 2'!$E$8:$E$19))*$AD63)/$AB63)/24</f>
        <v>0</v>
      </c>
      <c r="I63" s="35">
        <f ca="1">(((_xlfn.XLOOKUP(YEAR($B63),'Oferta Producto 2'!$B$8:$B$19,'Oferta Producto 2'!$E$8:$E$19))*$AD63)/$AB63)/24</f>
        <v>0</v>
      </c>
      <c r="J63" s="35">
        <f ca="1">(((_xlfn.XLOOKUP(YEAR($B63),'Oferta Producto 2'!$B$8:$B$19,'Oferta Producto 2'!$E$8:$E$19))*$AD63)/$AB63)/24</f>
        <v>0</v>
      </c>
      <c r="K63" s="35">
        <f ca="1">(((_xlfn.XLOOKUP(YEAR($B63),'Oferta Producto 2'!$B$8:$B$19,'Oferta Producto 2'!$E$8:$E$19))*$AD63)/$AB63)/24</f>
        <v>0</v>
      </c>
      <c r="L63" s="35">
        <f ca="1">(((_xlfn.XLOOKUP(YEAR($B63),'Oferta Producto 2'!$B$8:$B$19,'Oferta Producto 2'!$E$8:$E$19))*$AD63)/$AB63)/24</f>
        <v>0</v>
      </c>
      <c r="M63" s="35">
        <f ca="1">(((_xlfn.XLOOKUP(YEAR($B63),'Oferta Producto 2'!$B$8:$B$19,'Oferta Producto 2'!$E$8:$E$19))*$AD63)/$AB63)/24</f>
        <v>0</v>
      </c>
      <c r="N63" s="35">
        <f ca="1">(((_xlfn.XLOOKUP(YEAR($B63),'Oferta Producto 2'!$B$8:$B$19,'Oferta Producto 2'!$E$8:$E$19))*$AD63)/$AB63)/24</f>
        <v>0</v>
      </c>
      <c r="O63" s="35">
        <f ca="1">(((_xlfn.XLOOKUP(YEAR($B63),'Oferta Producto 2'!$B$8:$B$19,'Oferta Producto 2'!$E$8:$E$19))*$AD63)/$AB63)/24</f>
        <v>0</v>
      </c>
      <c r="P63" s="35">
        <f ca="1">(((_xlfn.XLOOKUP(YEAR($B63),'Oferta Producto 2'!$B$8:$B$19,'Oferta Producto 2'!$E$8:$E$19))*$AD63)/$AB63)/24</f>
        <v>0</v>
      </c>
      <c r="Q63" s="35">
        <f ca="1">(((_xlfn.XLOOKUP(YEAR($B63),'Oferta Producto 2'!$B$8:$B$19,'Oferta Producto 2'!$E$8:$E$19))*$AD63)/$AB63)/24</f>
        <v>0</v>
      </c>
      <c r="R63" s="35">
        <f ca="1">(((_xlfn.XLOOKUP(YEAR($B63),'Oferta Producto 2'!$B$8:$B$19,'Oferta Producto 2'!$E$8:$E$19))*$AD63)/$AB63)/24</f>
        <v>0</v>
      </c>
      <c r="S63" s="35">
        <f ca="1">(((_xlfn.XLOOKUP(YEAR($B63),'Oferta Producto 2'!$B$8:$B$19,'Oferta Producto 2'!$E$8:$E$19))*$AD63)/$AB63)/24</f>
        <v>0</v>
      </c>
      <c r="T63" s="35">
        <f ca="1">(((_xlfn.XLOOKUP(YEAR($B63),'Oferta Producto 2'!$B$8:$B$19,'Oferta Producto 2'!$E$8:$E$19))*$AD63)/$AB63)/24</f>
        <v>0</v>
      </c>
      <c r="U63" s="35">
        <f ca="1">(((_xlfn.XLOOKUP(YEAR($B63),'Oferta Producto 2'!$B$8:$B$19,'Oferta Producto 2'!$E$8:$E$19))*$AD63)/$AB63)/24</f>
        <v>0</v>
      </c>
      <c r="V63" s="35">
        <f ca="1">(((_xlfn.XLOOKUP(YEAR($B63),'Oferta Producto 2'!$B$8:$B$19,'Oferta Producto 2'!$E$8:$E$19))*$AD63)/$AB63)/24</f>
        <v>0</v>
      </c>
      <c r="W63" s="35">
        <f ca="1">(((_xlfn.XLOOKUP(YEAR($B63),'Oferta Producto 2'!$B$8:$B$19,'Oferta Producto 2'!$E$8:$E$19))*$AD63)/$AB63)/24</f>
        <v>0</v>
      </c>
      <c r="X63" s="35">
        <f ca="1">(((_xlfn.XLOOKUP(YEAR($B63),'Oferta Producto 2'!$B$8:$B$19,'Oferta Producto 2'!$E$8:$E$19))*$AD63)/$AB63)/24</f>
        <v>0</v>
      </c>
      <c r="Y63" s="35">
        <f ca="1">(((_xlfn.XLOOKUP(YEAR($B63),'Oferta Producto 2'!$B$8:$B$19,'Oferta Producto 2'!$E$8:$E$19))*$AD63)/$AB63)/24</f>
        <v>0</v>
      </c>
      <c r="Z63" s="35">
        <f ca="1">(((_xlfn.XLOOKUP(YEAR($B63),'Oferta Producto 2'!$B$8:$B$19,'Oferta Producto 2'!$E$8:$E$19))*$AD63)/$AB63)/24</f>
        <v>0</v>
      </c>
      <c r="AA63" s="35">
        <f t="shared" ca="1" si="5"/>
        <v>0</v>
      </c>
      <c r="AB63" s="28">
        <f t="shared" si="2"/>
        <v>31</v>
      </c>
      <c r="AC63" s="42">
        <f t="shared" ca="1" si="3"/>
        <v>0</v>
      </c>
      <c r="AD63" s="43">
        <v>7.9754971862961654E-2</v>
      </c>
      <c r="AE63" s="8"/>
      <c r="AF63" s="8"/>
    </row>
    <row r="64" spans="1:32" ht="15.75" thickBot="1">
      <c r="A64" s="23">
        <f t="shared" si="0"/>
        <v>2030</v>
      </c>
      <c r="B64" s="27">
        <v>47788</v>
      </c>
      <c r="C64" s="35">
        <f ca="1">(((_xlfn.XLOOKUP(YEAR($B64),'Oferta Producto 2'!$B$8:$B$19,'Oferta Producto 2'!$E$8:$E$19))*$AD64)/$AB64)/24</f>
        <v>0</v>
      </c>
      <c r="D64" s="35">
        <f ca="1">(((_xlfn.XLOOKUP(YEAR($B64),'Oferta Producto 2'!$B$8:$B$19,'Oferta Producto 2'!$E$8:$E$19))*$AD64)/$AB64)/24</f>
        <v>0</v>
      </c>
      <c r="E64" s="35">
        <f ca="1">(((_xlfn.XLOOKUP(YEAR($B64),'Oferta Producto 2'!$B$8:$B$19,'Oferta Producto 2'!$E$8:$E$19))*$AD64)/$AB64)/24</f>
        <v>0</v>
      </c>
      <c r="F64" s="35">
        <f ca="1">(((_xlfn.XLOOKUP(YEAR($B64),'Oferta Producto 2'!$B$8:$B$19,'Oferta Producto 2'!$E$8:$E$19))*$AD64)/$AB64)/24</f>
        <v>0</v>
      </c>
      <c r="G64" s="35">
        <f ca="1">(((_xlfn.XLOOKUP(YEAR($B64),'Oferta Producto 2'!$B$8:$B$19,'Oferta Producto 2'!$E$8:$E$19))*$AD64)/$AB64)/24</f>
        <v>0</v>
      </c>
      <c r="H64" s="35">
        <f ca="1">(((_xlfn.XLOOKUP(YEAR($B64),'Oferta Producto 2'!$B$8:$B$19,'Oferta Producto 2'!$E$8:$E$19))*$AD64)/$AB64)/24</f>
        <v>0</v>
      </c>
      <c r="I64" s="35">
        <f ca="1">(((_xlfn.XLOOKUP(YEAR($B64),'Oferta Producto 2'!$B$8:$B$19,'Oferta Producto 2'!$E$8:$E$19))*$AD64)/$AB64)/24</f>
        <v>0</v>
      </c>
      <c r="J64" s="35">
        <f ca="1">(((_xlfn.XLOOKUP(YEAR($B64),'Oferta Producto 2'!$B$8:$B$19,'Oferta Producto 2'!$E$8:$E$19))*$AD64)/$AB64)/24</f>
        <v>0</v>
      </c>
      <c r="K64" s="35">
        <f ca="1">(((_xlfn.XLOOKUP(YEAR($B64),'Oferta Producto 2'!$B$8:$B$19,'Oferta Producto 2'!$E$8:$E$19))*$AD64)/$AB64)/24</f>
        <v>0</v>
      </c>
      <c r="L64" s="35">
        <f ca="1">(((_xlfn.XLOOKUP(YEAR($B64),'Oferta Producto 2'!$B$8:$B$19,'Oferta Producto 2'!$E$8:$E$19))*$AD64)/$AB64)/24</f>
        <v>0</v>
      </c>
      <c r="M64" s="35">
        <f ca="1">(((_xlfn.XLOOKUP(YEAR($B64),'Oferta Producto 2'!$B$8:$B$19,'Oferta Producto 2'!$E$8:$E$19))*$AD64)/$AB64)/24</f>
        <v>0</v>
      </c>
      <c r="N64" s="35">
        <f ca="1">(((_xlfn.XLOOKUP(YEAR($B64),'Oferta Producto 2'!$B$8:$B$19,'Oferta Producto 2'!$E$8:$E$19))*$AD64)/$AB64)/24</f>
        <v>0</v>
      </c>
      <c r="O64" s="35">
        <f ca="1">(((_xlfn.XLOOKUP(YEAR($B64),'Oferta Producto 2'!$B$8:$B$19,'Oferta Producto 2'!$E$8:$E$19))*$AD64)/$AB64)/24</f>
        <v>0</v>
      </c>
      <c r="P64" s="35">
        <f ca="1">(((_xlfn.XLOOKUP(YEAR($B64),'Oferta Producto 2'!$B$8:$B$19,'Oferta Producto 2'!$E$8:$E$19))*$AD64)/$AB64)/24</f>
        <v>0</v>
      </c>
      <c r="Q64" s="35">
        <f ca="1">(((_xlfn.XLOOKUP(YEAR($B64),'Oferta Producto 2'!$B$8:$B$19,'Oferta Producto 2'!$E$8:$E$19))*$AD64)/$AB64)/24</f>
        <v>0</v>
      </c>
      <c r="R64" s="35">
        <f ca="1">(((_xlfn.XLOOKUP(YEAR($B64),'Oferta Producto 2'!$B$8:$B$19,'Oferta Producto 2'!$E$8:$E$19))*$AD64)/$AB64)/24</f>
        <v>0</v>
      </c>
      <c r="S64" s="35">
        <f ca="1">(((_xlfn.XLOOKUP(YEAR($B64),'Oferta Producto 2'!$B$8:$B$19,'Oferta Producto 2'!$E$8:$E$19))*$AD64)/$AB64)/24</f>
        <v>0</v>
      </c>
      <c r="T64" s="35">
        <f ca="1">(((_xlfn.XLOOKUP(YEAR($B64),'Oferta Producto 2'!$B$8:$B$19,'Oferta Producto 2'!$E$8:$E$19))*$AD64)/$AB64)/24</f>
        <v>0</v>
      </c>
      <c r="U64" s="35">
        <f ca="1">(((_xlfn.XLOOKUP(YEAR($B64),'Oferta Producto 2'!$B$8:$B$19,'Oferta Producto 2'!$E$8:$E$19))*$AD64)/$AB64)/24</f>
        <v>0</v>
      </c>
      <c r="V64" s="35">
        <f ca="1">(((_xlfn.XLOOKUP(YEAR($B64),'Oferta Producto 2'!$B$8:$B$19,'Oferta Producto 2'!$E$8:$E$19))*$AD64)/$AB64)/24</f>
        <v>0</v>
      </c>
      <c r="W64" s="35">
        <f ca="1">(((_xlfn.XLOOKUP(YEAR($B64),'Oferta Producto 2'!$B$8:$B$19,'Oferta Producto 2'!$E$8:$E$19))*$AD64)/$AB64)/24</f>
        <v>0</v>
      </c>
      <c r="X64" s="35">
        <f ca="1">(((_xlfn.XLOOKUP(YEAR($B64),'Oferta Producto 2'!$B$8:$B$19,'Oferta Producto 2'!$E$8:$E$19))*$AD64)/$AB64)/24</f>
        <v>0</v>
      </c>
      <c r="Y64" s="35">
        <f ca="1">(((_xlfn.XLOOKUP(YEAR($B64),'Oferta Producto 2'!$B$8:$B$19,'Oferta Producto 2'!$E$8:$E$19))*$AD64)/$AB64)/24</f>
        <v>0</v>
      </c>
      <c r="Z64" s="35">
        <f ca="1">(((_xlfn.XLOOKUP(YEAR($B64),'Oferta Producto 2'!$B$8:$B$19,'Oferta Producto 2'!$E$8:$E$19))*$AD64)/$AB64)/24</f>
        <v>0</v>
      </c>
      <c r="AA64" s="35">
        <f t="shared" ca="1" si="5"/>
        <v>0</v>
      </c>
      <c r="AB64" s="28">
        <f t="shared" si="2"/>
        <v>30</v>
      </c>
      <c r="AC64" s="42">
        <f t="shared" ca="1" si="3"/>
        <v>0</v>
      </c>
      <c r="AD64" s="43">
        <v>8.5889305812170275E-2</v>
      </c>
      <c r="AE64" s="8"/>
      <c r="AF64" s="8"/>
    </row>
    <row r="65" spans="1:32" ht="15.75" thickBot="1">
      <c r="A65" s="23">
        <f t="shared" si="0"/>
        <v>2030</v>
      </c>
      <c r="B65" s="27">
        <v>47818</v>
      </c>
      <c r="C65" s="35">
        <f ca="1">(((_xlfn.XLOOKUP(YEAR($B65),'Oferta Producto 2'!$B$8:$B$19,'Oferta Producto 2'!$E$8:$E$19))*$AD65)/$AB65)/24</f>
        <v>0</v>
      </c>
      <c r="D65" s="35">
        <f ca="1">(((_xlfn.XLOOKUP(YEAR($B65),'Oferta Producto 2'!$B$8:$B$19,'Oferta Producto 2'!$E$8:$E$19))*$AD65)/$AB65)/24</f>
        <v>0</v>
      </c>
      <c r="E65" s="35">
        <f ca="1">(((_xlfn.XLOOKUP(YEAR($B65),'Oferta Producto 2'!$B$8:$B$19,'Oferta Producto 2'!$E$8:$E$19))*$AD65)/$AB65)/24</f>
        <v>0</v>
      </c>
      <c r="F65" s="35">
        <f ca="1">(((_xlfn.XLOOKUP(YEAR($B65),'Oferta Producto 2'!$B$8:$B$19,'Oferta Producto 2'!$E$8:$E$19))*$AD65)/$AB65)/24</f>
        <v>0</v>
      </c>
      <c r="G65" s="35">
        <f ca="1">(((_xlfn.XLOOKUP(YEAR($B65),'Oferta Producto 2'!$B$8:$B$19,'Oferta Producto 2'!$E$8:$E$19))*$AD65)/$AB65)/24</f>
        <v>0</v>
      </c>
      <c r="H65" s="35">
        <f ca="1">(((_xlfn.XLOOKUP(YEAR($B65),'Oferta Producto 2'!$B$8:$B$19,'Oferta Producto 2'!$E$8:$E$19))*$AD65)/$AB65)/24</f>
        <v>0</v>
      </c>
      <c r="I65" s="35">
        <f ca="1">(((_xlfn.XLOOKUP(YEAR($B65),'Oferta Producto 2'!$B$8:$B$19,'Oferta Producto 2'!$E$8:$E$19))*$AD65)/$AB65)/24</f>
        <v>0</v>
      </c>
      <c r="J65" s="35">
        <f ca="1">(((_xlfn.XLOOKUP(YEAR($B65),'Oferta Producto 2'!$B$8:$B$19,'Oferta Producto 2'!$E$8:$E$19))*$AD65)/$AB65)/24</f>
        <v>0</v>
      </c>
      <c r="K65" s="35">
        <f ca="1">(((_xlfn.XLOOKUP(YEAR($B65),'Oferta Producto 2'!$B$8:$B$19,'Oferta Producto 2'!$E$8:$E$19))*$AD65)/$AB65)/24</f>
        <v>0</v>
      </c>
      <c r="L65" s="35">
        <f ca="1">(((_xlfn.XLOOKUP(YEAR($B65),'Oferta Producto 2'!$B$8:$B$19,'Oferta Producto 2'!$E$8:$E$19))*$AD65)/$AB65)/24</f>
        <v>0</v>
      </c>
      <c r="M65" s="35">
        <f ca="1">(((_xlfn.XLOOKUP(YEAR($B65),'Oferta Producto 2'!$B$8:$B$19,'Oferta Producto 2'!$E$8:$E$19))*$AD65)/$AB65)/24</f>
        <v>0</v>
      </c>
      <c r="N65" s="35">
        <f ca="1">(((_xlfn.XLOOKUP(YEAR($B65),'Oferta Producto 2'!$B$8:$B$19,'Oferta Producto 2'!$E$8:$E$19))*$AD65)/$AB65)/24</f>
        <v>0</v>
      </c>
      <c r="O65" s="35">
        <f ca="1">(((_xlfn.XLOOKUP(YEAR($B65),'Oferta Producto 2'!$B$8:$B$19,'Oferta Producto 2'!$E$8:$E$19))*$AD65)/$AB65)/24</f>
        <v>0</v>
      </c>
      <c r="P65" s="35">
        <f ca="1">(((_xlfn.XLOOKUP(YEAR($B65),'Oferta Producto 2'!$B$8:$B$19,'Oferta Producto 2'!$E$8:$E$19))*$AD65)/$AB65)/24</f>
        <v>0</v>
      </c>
      <c r="Q65" s="35">
        <f ca="1">(((_xlfn.XLOOKUP(YEAR($B65),'Oferta Producto 2'!$B$8:$B$19,'Oferta Producto 2'!$E$8:$E$19))*$AD65)/$AB65)/24</f>
        <v>0</v>
      </c>
      <c r="R65" s="35">
        <f ca="1">(((_xlfn.XLOOKUP(YEAR($B65),'Oferta Producto 2'!$B$8:$B$19,'Oferta Producto 2'!$E$8:$E$19))*$AD65)/$AB65)/24</f>
        <v>0</v>
      </c>
      <c r="S65" s="35">
        <f ca="1">(((_xlfn.XLOOKUP(YEAR($B65),'Oferta Producto 2'!$B$8:$B$19,'Oferta Producto 2'!$E$8:$E$19))*$AD65)/$AB65)/24</f>
        <v>0</v>
      </c>
      <c r="T65" s="35">
        <f ca="1">(((_xlfn.XLOOKUP(YEAR($B65),'Oferta Producto 2'!$B$8:$B$19,'Oferta Producto 2'!$E$8:$E$19))*$AD65)/$AB65)/24</f>
        <v>0</v>
      </c>
      <c r="U65" s="35">
        <f ca="1">(((_xlfn.XLOOKUP(YEAR($B65),'Oferta Producto 2'!$B$8:$B$19,'Oferta Producto 2'!$E$8:$E$19))*$AD65)/$AB65)/24</f>
        <v>0</v>
      </c>
      <c r="V65" s="35">
        <f ca="1">(((_xlfn.XLOOKUP(YEAR($B65),'Oferta Producto 2'!$B$8:$B$19,'Oferta Producto 2'!$E$8:$E$19))*$AD65)/$AB65)/24</f>
        <v>0</v>
      </c>
      <c r="W65" s="35">
        <f ca="1">(((_xlfn.XLOOKUP(YEAR($B65),'Oferta Producto 2'!$B$8:$B$19,'Oferta Producto 2'!$E$8:$E$19))*$AD65)/$AB65)/24</f>
        <v>0</v>
      </c>
      <c r="X65" s="35">
        <f ca="1">(((_xlfn.XLOOKUP(YEAR($B65),'Oferta Producto 2'!$B$8:$B$19,'Oferta Producto 2'!$E$8:$E$19))*$AD65)/$AB65)/24</f>
        <v>0</v>
      </c>
      <c r="Y65" s="35">
        <f ca="1">(((_xlfn.XLOOKUP(YEAR($B65),'Oferta Producto 2'!$B$8:$B$19,'Oferta Producto 2'!$E$8:$E$19))*$AD65)/$AB65)/24</f>
        <v>0</v>
      </c>
      <c r="Z65" s="35">
        <f ca="1">(((_xlfn.XLOOKUP(YEAR($B65),'Oferta Producto 2'!$B$8:$B$19,'Oferta Producto 2'!$E$8:$E$19))*$AD65)/$AB65)/24</f>
        <v>0</v>
      </c>
      <c r="AA65" s="35">
        <f t="shared" ca="1" si="5"/>
        <v>0</v>
      </c>
      <c r="AB65" s="28">
        <f t="shared" si="2"/>
        <v>31</v>
      </c>
      <c r="AC65" s="42">
        <f t="shared" ca="1" si="3"/>
        <v>0</v>
      </c>
      <c r="AD65" s="43">
        <v>7.9754971862961654E-2</v>
      </c>
      <c r="AE65" s="8"/>
      <c r="AF65" s="8"/>
    </row>
    <row r="66" spans="1:32" ht="15.75" thickBot="1">
      <c r="A66" s="23">
        <f t="shared" si="0"/>
        <v>2031</v>
      </c>
      <c r="B66" s="27">
        <v>47849</v>
      </c>
      <c r="C66" s="35">
        <f ca="1">(((_xlfn.XLOOKUP(YEAR($B66),'Oferta Producto 2'!$B$8:$B$19,'Oferta Producto 2'!$E$8:$E$19))*$AD66)/$AB66)/24</f>
        <v>0</v>
      </c>
      <c r="D66" s="35">
        <f ca="1">(((_xlfn.XLOOKUP(YEAR($B66),'Oferta Producto 2'!$B$8:$B$19,'Oferta Producto 2'!$E$8:$E$19))*$AD66)/$AB66)/24</f>
        <v>0</v>
      </c>
      <c r="E66" s="35">
        <f ca="1">(((_xlfn.XLOOKUP(YEAR($B66),'Oferta Producto 2'!$B$8:$B$19,'Oferta Producto 2'!$E$8:$E$19))*$AD66)/$AB66)/24</f>
        <v>0</v>
      </c>
      <c r="F66" s="35">
        <f ca="1">(((_xlfn.XLOOKUP(YEAR($B66),'Oferta Producto 2'!$B$8:$B$19,'Oferta Producto 2'!$E$8:$E$19))*$AD66)/$AB66)/24</f>
        <v>0</v>
      </c>
      <c r="G66" s="35">
        <f ca="1">(((_xlfn.XLOOKUP(YEAR($B66),'Oferta Producto 2'!$B$8:$B$19,'Oferta Producto 2'!$E$8:$E$19))*$AD66)/$AB66)/24</f>
        <v>0</v>
      </c>
      <c r="H66" s="35">
        <f ca="1">(((_xlfn.XLOOKUP(YEAR($B66),'Oferta Producto 2'!$B$8:$B$19,'Oferta Producto 2'!$E$8:$E$19))*$AD66)/$AB66)/24</f>
        <v>0</v>
      </c>
      <c r="I66" s="35">
        <f ca="1">(((_xlfn.XLOOKUP(YEAR($B66),'Oferta Producto 2'!$B$8:$B$19,'Oferta Producto 2'!$E$8:$E$19))*$AD66)/$AB66)/24</f>
        <v>0</v>
      </c>
      <c r="J66" s="35">
        <f ca="1">(((_xlfn.XLOOKUP(YEAR($B66),'Oferta Producto 2'!$B$8:$B$19,'Oferta Producto 2'!$E$8:$E$19))*$AD66)/$AB66)/24</f>
        <v>0</v>
      </c>
      <c r="K66" s="35">
        <f ca="1">(((_xlfn.XLOOKUP(YEAR($B66),'Oferta Producto 2'!$B$8:$B$19,'Oferta Producto 2'!$E$8:$E$19))*$AD66)/$AB66)/24</f>
        <v>0</v>
      </c>
      <c r="L66" s="35">
        <f ca="1">(((_xlfn.XLOOKUP(YEAR($B66),'Oferta Producto 2'!$B$8:$B$19,'Oferta Producto 2'!$E$8:$E$19))*$AD66)/$AB66)/24</f>
        <v>0</v>
      </c>
      <c r="M66" s="35">
        <f ca="1">(((_xlfn.XLOOKUP(YEAR($B66),'Oferta Producto 2'!$B$8:$B$19,'Oferta Producto 2'!$E$8:$E$19))*$AD66)/$AB66)/24</f>
        <v>0</v>
      </c>
      <c r="N66" s="35">
        <f ca="1">(((_xlfn.XLOOKUP(YEAR($B66),'Oferta Producto 2'!$B$8:$B$19,'Oferta Producto 2'!$E$8:$E$19))*$AD66)/$AB66)/24</f>
        <v>0</v>
      </c>
      <c r="O66" s="35">
        <f ca="1">(((_xlfn.XLOOKUP(YEAR($B66),'Oferta Producto 2'!$B$8:$B$19,'Oferta Producto 2'!$E$8:$E$19))*$AD66)/$AB66)/24</f>
        <v>0</v>
      </c>
      <c r="P66" s="35">
        <f ca="1">(((_xlfn.XLOOKUP(YEAR($B66),'Oferta Producto 2'!$B$8:$B$19,'Oferta Producto 2'!$E$8:$E$19))*$AD66)/$AB66)/24</f>
        <v>0</v>
      </c>
      <c r="Q66" s="35">
        <f ca="1">(((_xlfn.XLOOKUP(YEAR($B66),'Oferta Producto 2'!$B$8:$B$19,'Oferta Producto 2'!$E$8:$E$19))*$AD66)/$AB66)/24</f>
        <v>0</v>
      </c>
      <c r="R66" s="35">
        <f ca="1">(((_xlfn.XLOOKUP(YEAR($B66),'Oferta Producto 2'!$B$8:$B$19,'Oferta Producto 2'!$E$8:$E$19))*$AD66)/$AB66)/24</f>
        <v>0</v>
      </c>
      <c r="S66" s="35">
        <f ca="1">(((_xlfn.XLOOKUP(YEAR($B66),'Oferta Producto 2'!$B$8:$B$19,'Oferta Producto 2'!$E$8:$E$19))*$AD66)/$AB66)/24</f>
        <v>0</v>
      </c>
      <c r="T66" s="35">
        <f ca="1">(((_xlfn.XLOOKUP(YEAR($B66),'Oferta Producto 2'!$B$8:$B$19,'Oferta Producto 2'!$E$8:$E$19))*$AD66)/$AB66)/24</f>
        <v>0</v>
      </c>
      <c r="U66" s="35">
        <f ca="1">(((_xlfn.XLOOKUP(YEAR($B66),'Oferta Producto 2'!$B$8:$B$19,'Oferta Producto 2'!$E$8:$E$19))*$AD66)/$AB66)/24</f>
        <v>0</v>
      </c>
      <c r="V66" s="35">
        <f ca="1">(((_xlfn.XLOOKUP(YEAR($B66),'Oferta Producto 2'!$B$8:$B$19,'Oferta Producto 2'!$E$8:$E$19))*$AD66)/$AB66)/24</f>
        <v>0</v>
      </c>
      <c r="W66" s="35">
        <f ca="1">(((_xlfn.XLOOKUP(YEAR($B66),'Oferta Producto 2'!$B$8:$B$19,'Oferta Producto 2'!$E$8:$E$19))*$AD66)/$AB66)/24</f>
        <v>0</v>
      </c>
      <c r="X66" s="35">
        <f ca="1">(((_xlfn.XLOOKUP(YEAR($B66),'Oferta Producto 2'!$B$8:$B$19,'Oferta Producto 2'!$E$8:$E$19))*$AD66)/$AB66)/24</f>
        <v>0</v>
      </c>
      <c r="Y66" s="35">
        <f ca="1">(((_xlfn.XLOOKUP(YEAR($B66),'Oferta Producto 2'!$B$8:$B$19,'Oferta Producto 2'!$E$8:$E$19))*$AD66)/$AB66)/24</f>
        <v>0</v>
      </c>
      <c r="Z66" s="35">
        <f ca="1">(((_xlfn.XLOOKUP(YEAR($B66),'Oferta Producto 2'!$B$8:$B$19,'Oferta Producto 2'!$E$8:$E$19))*$AD66)/$AB66)/24</f>
        <v>0</v>
      </c>
      <c r="AA66" s="35">
        <f t="shared" ca="1" si="5"/>
        <v>0</v>
      </c>
      <c r="AB66" s="28">
        <f t="shared" si="2"/>
        <v>31</v>
      </c>
      <c r="AC66" s="42">
        <f t="shared" ca="1" si="3"/>
        <v>0</v>
      </c>
      <c r="AD66" s="43">
        <v>7.9754971862961654E-2</v>
      </c>
      <c r="AE66" s="8"/>
      <c r="AF66" s="8"/>
    </row>
    <row r="67" spans="1:32" ht="15.75" thickBot="1">
      <c r="A67" s="23">
        <f t="shared" si="0"/>
        <v>2031</v>
      </c>
      <c r="B67" s="27">
        <v>47880</v>
      </c>
      <c r="C67" s="35">
        <f ca="1">(((_xlfn.XLOOKUP(YEAR($B67),'Oferta Producto 2'!$B$8:$B$19,'Oferta Producto 2'!$E$8:$E$19))*$AD67)/$AB67)/24</f>
        <v>0</v>
      </c>
      <c r="D67" s="35">
        <f ca="1">(((_xlfn.XLOOKUP(YEAR($B67),'Oferta Producto 2'!$B$8:$B$19,'Oferta Producto 2'!$E$8:$E$19))*$AD67)/$AB67)/24</f>
        <v>0</v>
      </c>
      <c r="E67" s="35">
        <f ca="1">(((_xlfn.XLOOKUP(YEAR($B67),'Oferta Producto 2'!$B$8:$B$19,'Oferta Producto 2'!$E$8:$E$19))*$AD67)/$AB67)/24</f>
        <v>0</v>
      </c>
      <c r="F67" s="35">
        <f ca="1">(((_xlfn.XLOOKUP(YEAR($B67),'Oferta Producto 2'!$B$8:$B$19,'Oferta Producto 2'!$E$8:$E$19))*$AD67)/$AB67)/24</f>
        <v>0</v>
      </c>
      <c r="G67" s="35">
        <f ca="1">(((_xlfn.XLOOKUP(YEAR($B67),'Oferta Producto 2'!$B$8:$B$19,'Oferta Producto 2'!$E$8:$E$19))*$AD67)/$AB67)/24</f>
        <v>0</v>
      </c>
      <c r="H67" s="35">
        <f ca="1">(((_xlfn.XLOOKUP(YEAR($B67),'Oferta Producto 2'!$B$8:$B$19,'Oferta Producto 2'!$E$8:$E$19))*$AD67)/$AB67)/24</f>
        <v>0</v>
      </c>
      <c r="I67" s="35">
        <f ca="1">(((_xlfn.XLOOKUP(YEAR($B67),'Oferta Producto 2'!$B$8:$B$19,'Oferta Producto 2'!$E$8:$E$19))*$AD67)/$AB67)/24</f>
        <v>0</v>
      </c>
      <c r="J67" s="35">
        <f ca="1">(((_xlfn.XLOOKUP(YEAR($B67),'Oferta Producto 2'!$B$8:$B$19,'Oferta Producto 2'!$E$8:$E$19))*$AD67)/$AB67)/24</f>
        <v>0</v>
      </c>
      <c r="K67" s="35">
        <f ca="1">(((_xlfn.XLOOKUP(YEAR($B67),'Oferta Producto 2'!$B$8:$B$19,'Oferta Producto 2'!$E$8:$E$19))*$AD67)/$AB67)/24</f>
        <v>0</v>
      </c>
      <c r="L67" s="35">
        <f ca="1">(((_xlfn.XLOOKUP(YEAR($B67),'Oferta Producto 2'!$B$8:$B$19,'Oferta Producto 2'!$E$8:$E$19))*$AD67)/$AB67)/24</f>
        <v>0</v>
      </c>
      <c r="M67" s="35">
        <f ca="1">(((_xlfn.XLOOKUP(YEAR($B67),'Oferta Producto 2'!$B$8:$B$19,'Oferta Producto 2'!$E$8:$E$19))*$AD67)/$AB67)/24</f>
        <v>0</v>
      </c>
      <c r="N67" s="35">
        <f ca="1">(((_xlfn.XLOOKUP(YEAR($B67),'Oferta Producto 2'!$B$8:$B$19,'Oferta Producto 2'!$E$8:$E$19))*$AD67)/$AB67)/24</f>
        <v>0</v>
      </c>
      <c r="O67" s="35">
        <f ca="1">(((_xlfn.XLOOKUP(YEAR($B67),'Oferta Producto 2'!$B$8:$B$19,'Oferta Producto 2'!$E$8:$E$19))*$AD67)/$AB67)/24</f>
        <v>0</v>
      </c>
      <c r="P67" s="35">
        <f ca="1">(((_xlfn.XLOOKUP(YEAR($B67),'Oferta Producto 2'!$B$8:$B$19,'Oferta Producto 2'!$E$8:$E$19))*$AD67)/$AB67)/24</f>
        <v>0</v>
      </c>
      <c r="Q67" s="35">
        <f ca="1">(((_xlfn.XLOOKUP(YEAR($B67),'Oferta Producto 2'!$B$8:$B$19,'Oferta Producto 2'!$E$8:$E$19))*$AD67)/$AB67)/24</f>
        <v>0</v>
      </c>
      <c r="R67" s="35">
        <f ca="1">(((_xlfn.XLOOKUP(YEAR($B67),'Oferta Producto 2'!$B$8:$B$19,'Oferta Producto 2'!$E$8:$E$19))*$AD67)/$AB67)/24</f>
        <v>0</v>
      </c>
      <c r="S67" s="35">
        <f ca="1">(((_xlfn.XLOOKUP(YEAR($B67),'Oferta Producto 2'!$B$8:$B$19,'Oferta Producto 2'!$E$8:$E$19))*$AD67)/$AB67)/24</f>
        <v>0</v>
      </c>
      <c r="T67" s="35">
        <f ca="1">(((_xlfn.XLOOKUP(YEAR($B67),'Oferta Producto 2'!$B$8:$B$19,'Oferta Producto 2'!$E$8:$E$19))*$AD67)/$AB67)/24</f>
        <v>0</v>
      </c>
      <c r="U67" s="35">
        <f ca="1">(((_xlfn.XLOOKUP(YEAR($B67),'Oferta Producto 2'!$B$8:$B$19,'Oferta Producto 2'!$E$8:$E$19))*$AD67)/$AB67)/24</f>
        <v>0</v>
      </c>
      <c r="V67" s="35">
        <f ca="1">(((_xlfn.XLOOKUP(YEAR($B67),'Oferta Producto 2'!$B$8:$B$19,'Oferta Producto 2'!$E$8:$E$19))*$AD67)/$AB67)/24</f>
        <v>0</v>
      </c>
      <c r="W67" s="35">
        <f ca="1">(((_xlfn.XLOOKUP(YEAR($B67),'Oferta Producto 2'!$B$8:$B$19,'Oferta Producto 2'!$E$8:$E$19))*$AD67)/$AB67)/24</f>
        <v>0</v>
      </c>
      <c r="X67" s="35">
        <f ca="1">(((_xlfn.XLOOKUP(YEAR($B67),'Oferta Producto 2'!$B$8:$B$19,'Oferta Producto 2'!$E$8:$E$19))*$AD67)/$AB67)/24</f>
        <v>0</v>
      </c>
      <c r="Y67" s="35">
        <f ca="1">(((_xlfn.XLOOKUP(YEAR($B67),'Oferta Producto 2'!$B$8:$B$19,'Oferta Producto 2'!$E$8:$E$19))*$AD67)/$AB67)/24</f>
        <v>0</v>
      </c>
      <c r="Z67" s="35">
        <f ca="1">(((_xlfn.XLOOKUP(YEAR($B67),'Oferta Producto 2'!$B$8:$B$19,'Oferta Producto 2'!$E$8:$E$19))*$AD67)/$AB67)/24</f>
        <v>0</v>
      </c>
      <c r="AA67" s="35">
        <f t="shared" ca="1" si="5"/>
        <v>0</v>
      </c>
      <c r="AB67" s="28">
        <f t="shared" si="2"/>
        <v>28</v>
      </c>
      <c r="AC67" s="42">
        <f t="shared" ca="1" si="3"/>
        <v>0</v>
      </c>
      <c r="AD67" s="43">
        <v>9.8157973710587432E-2</v>
      </c>
      <c r="AE67" s="8"/>
      <c r="AF67" s="8"/>
    </row>
    <row r="68" spans="1:32" ht="15.75" thickBot="1">
      <c r="A68" s="23">
        <f t="shared" si="0"/>
        <v>2031</v>
      </c>
      <c r="B68" s="27">
        <v>47908</v>
      </c>
      <c r="C68" s="35">
        <f ca="1">(((_xlfn.XLOOKUP(YEAR($B68),'Oferta Producto 2'!$B$8:$B$19,'Oferta Producto 2'!$E$8:$E$19))*$AD68)/$AB68)/24</f>
        <v>0</v>
      </c>
      <c r="D68" s="35">
        <f ca="1">(((_xlfn.XLOOKUP(YEAR($B68),'Oferta Producto 2'!$B$8:$B$19,'Oferta Producto 2'!$E$8:$E$19))*$AD68)/$AB68)/24</f>
        <v>0</v>
      </c>
      <c r="E68" s="35">
        <f ca="1">(((_xlfn.XLOOKUP(YEAR($B68),'Oferta Producto 2'!$B$8:$B$19,'Oferta Producto 2'!$E$8:$E$19))*$AD68)/$AB68)/24</f>
        <v>0</v>
      </c>
      <c r="F68" s="35">
        <f ca="1">(((_xlfn.XLOOKUP(YEAR($B68),'Oferta Producto 2'!$B$8:$B$19,'Oferta Producto 2'!$E$8:$E$19))*$AD68)/$AB68)/24</f>
        <v>0</v>
      </c>
      <c r="G68" s="35">
        <f ca="1">(((_xlfn.XLOOKUP(YEAR($B68),'Oferta Producto 2'!$B$8:$B$19,'Oferta Producto 2'!$E$8:$E$19))*$AD68)/$AB68)/24</f>
        <v>0</v>
      </c>
      <c r="H68" s="35">
        <f ca="1">(((_xlfn.XLOOKUP(YEAR($B68),'Oferta Producto 2'!$B$8:$B$19,'Oferta Producto 2'!$E$8:$E$19))*$AD68)/$AB68)/24</f>
        <v>0</v>
      </c>
      <c r="I68" s="35">
        <f ca="1">(((_xlfn.XLOOKUP(YEAR($B68),'Oferta Producto 2'!$B$8:$B$19,'Oferta Producto 2'!$E$8:$E$19))*$AD68)/$AB68)/24</f>
        <v>0</v>
      </c>
      <c r="J68" s="35">
        <f ca="1">(((_xlfn.XLOOKUP(YEAR($B68),'Oferta Producto 2'!$B$8:$B$19,'Oferta Producto 2'!$E$8:$E$19))*$AD68)/$AB68)/24</f>
        <v>0</v>
      </c>
      <c r="K68" s="35">
        <f ca="1">(((_xlfn.XLOOKUP(YEAR($B68),'Oferta Producto 2'!$B$8:$B$19,'Oferta Producto 2'!$E$8:$E$19))*$AD68)/$AB68)/24</f>
        <v>0</v>
      </c>
      <c r="L68" s="35">
        <f ca="1">(((_xlfn.XLOOKUP(YEAR($B68),'Oferta Producto 2'!$B$8:$B$19,'Oferta Producto 2'!$E$8:$E$19))*$AD68)/$AB68)/24</f>
        <v>0</v>
      </c>
      <c r="M68" s="35">
        <f ca="1">(((_xlfn.XLOOKUP(YEAR($B68),'Oferta Producto 2'!$B$8:$B$19,'Oferta Producto 2'!$E$8:$E$19))*$AD68)/$AB68)/24</f>
        <v>0</v>
      </c>
      <c r="N68" s="35">
        <f ca="1">(((_xlfn.XLOOKUP(YEAR($B68),'Oferta Producto 2'!$B$8:$B$19,'Oferta Producto 2'!$E$8:$E$19))*$AD68)/$AB68)/24</f>
        <v>0</v>
      </c>
      <c r="O68" s="35">
        <f ca="1">(((_xlfn.XLOOKUP(YEAR($B68),'Oferta Producto 2'!$B$8:$B$19,'Oferta Producto 2'!$E$8:$E$19))*$AD68)/$AB68)/24</f>
        <v>0</v>
      </c>
      <c r="P68" s="35">
        <f ca="1">(((_xlfn.XLOOKUP(YEAR($B68),'Oferta Producto 2'!$B$8:$B$19,'Oferta Producto 2'!$E$8:$E$19))*$AD68)/$AB68)/24</f>
        <v>0</v>
      </c>
      <c r="Q68" s="35">
        <f ca="1">(((_xlfn.XLOOKUP(YEAR($B68),'Oferta Producto 2'!$B$8:$B$19,'Oferta Producto 2'!$E$8:$E$19))*$AD68)/$AB68)/24</f>
        <v>0</v>
      </c>
      <c r="R68" s="35">
        <f ca="1">(((_xlfn.XLOOKUP(YEAR($B68),'Oferta Producto 2'!$B$8:$B$19,'Oferta Producto 2'!$E$8:$E$19))*$AD68)/$AB68)/24</f>
        <v>0</v>
      </c>
      <c r="S68" s="35">
        <f ca="1">(((_xlfn.XLOOKUP(YEAR($B68),'Oferta Producto 2'!$B$8:$B$19,'Oferta Producto 2'!$E$8:$E$19))*$AD68)/$AB68)/24</f>
        <v>0</v>
      </c>
      <c r="T68" s="35">
        <f ca="1">(((_xlfn.XLOOKUP(YEAR($B68),'Oferta Producto 2'!$B$8:$B$19,'Oferta Producto 2'!$E$8:$E$19))*$AD68)/$AB68)/24</f>
        <v>0</v>
      </c>
      <c r="U68" s="35">
        <f ca="1">(((_xlfn.XLOOKUP(YEAR($B68),'Oferta Producto 2'!$B$8:$B$19,'Oferta Producto 2'!$E$8:$E$19))*$AD68)/$AB68)/24</f>
        <v>0</v>
      </c>
      <c r="V68" s="35">
        <f ca="1">(((_xlfn.XLOOKUP(YEAR($B68),'Oferta Producto 2'!$B$8:$B$19,'Oferta Producto 2'!$E$8:$E$19))*$AD68)/$AB68)/24</f>
        <v>0</v>
      </c>
      <c r="W68" s="35">
        <f ca="1">(((_xlfn.XLOOKUP(YEAR($B68),'Oferta Producto 2'!$B$8:$B$19,'Oferta Producto 2'!$E$8:$E$19))*$AD68)/$AB68)/24</f>
        <v>0</v>
      </c>
      <c r="X68" s="35">
        <f ca="1">(((_xlfn.XLOOKUP(YEAR($B68),'Oferta Producto 2'!$B$8:$B$19,'Oferta Producto 2'!$E$8:$E$19))*$AD68)/$AB68)/24</f>
        <v>0</v>
      </c>
      <c r="Y68" s="35">
        <f ca="1">(((_xlfn.XLOOKUP(YEAR($B68),'Oferta Producto 2'!$B$8:$B$19,'Oferta Producto 2'!$E$8:$E$19))*$AD68)/$AB68)/24</f>
        <v>0</v>
      </c>
      <c r="Z68" s="35">
        <f ca="1">(((_xlfn.XLOOKUP(YEAR($B68),'Oferta Producto 2'!$B$8:$B$19,'Oferta Producto 2'!$E$8:$E$19))*$AD68)/$AB68)/24</f>
        <v>0</v>
      </c>
      <c r="AA68" s="35">
        <f t="shared" ca="1" si="5"/>
        <v>0</v>
      </c>
      <c r="AB68" s="28">
        <f t="shared" si="2"/>
        <v>31</v>
      </c>
      <c r="AC68" s="42">
        <f t="shared" ca="1" si="3"/>
        <v>0</v>
      </c>
      <c r="AD68" s="43">
        <v>7.9754971862961654E-2</v>
      </c>
      <c r="AE68" s="8"/>
      <c r="AF68" s="8"/>
    </row>
    <row r="69" spans="1:32" ht="15.75" thickBot="1">
      <c r="A69" s="23">
        <f t="shared" si="0"/>
        <v>2031</v>
      </c>
      <c r="B69" s="27">
        <v>47939</v>
      </c>
      <c r="C69" s="35">
        <f ca="1">(((_xlfn.XLOOKUP(YEAR($B69),'Oferta Producto 2'!$B$8:$B$19,'Oferta Producto 2'!$E$8:$E$19))*$AD69)/$AB69)/24</f>
        <v>0</v>
      </c>
      <c r="D69" s="35">
        <f ca="1">(((_xlfn.XLOOKUP(YEAR($B69),'Oferta Producto 2'!$B$8:$B$19,'Oferta Producto 2'!$E$8:$E$19))*$AD69)/$AB69)/24</f>
        <v>0</v>
      </c>
      <c r="E69" s="35">
        <f ca="1">(((_xlfn.XLOOKUP(YEAR($B69),'Oferta Producto 2'!$B$8:$B$19,'Oferta Producto 2'!$E$8:$E$19))*$AD69)/$AB69)/24</f>
        <v>0</v>
      </c>
      <c r="F69" s="35">
        <f ca="1">(((_xlfn.XLOOKUP(YEAR($B69),'Oferta Producto 2'!$B$8:$B$19,'Oferta Producto 2'!$E$8:$E$19))*$AD69)/$AB69)/24</f>
        <v>0</v>
      </c>
      <c r="G69" s="35">
        <f ca="1">(((_xlfn.XLOOKUP(YEAR($B69),'Oferta Producto 2'!$B$8:$B$19,'Oferta Producto 2'!$E$8:$E$19))*$AD69)/$AB69)/24</f>
        <v>0</v>
      </c>
      <c r="H69" s="35">
        <f ca="1">(((_xlfn.XLOOKUP(YEAR($B69),'Oferta Producto 2'!$B$8:$B$19,'Oferta Producto 2'!$E$8:$E$19))*$AD69)/$AB69)/24</f>
        <v>0</v>
      </c>
      <c r="I69" s="35">
        <f ca="1">(((_xlfn.XLOOKUP(YEAR($B69),'Oferta Producto 2'!$B$8:$B$19,'Oferta Producto 2'!$E$8:$E$19))*$AD69)/$AB69)/24</f>
        <v>0</v>
      </c>
      <c r="J69" s="35">
        <f ca="1">(((_xlfn.XLOOKUP(YEAR($B69),'Oferta Producto 2'!$B$8:$B$19,'Oferta Producto 2'!$E$8:$E$19))*$AD69)/$AB69)/24</f>
        <v>0</v>
      </c>
      <c r="K69" s="35">
        <f ca="1">(((_xlfn.XLOOKUP(YEAR($B69),'Oferta Producto 2'!$B$8:$B$19,'Oferta Producto 2'!$E$8:$E$19))*$AD69)/$AB69)/24</f>
        <v>0</v>
      </c>
      <c r="L69" s="35">
        <f ca="1">(((_xlfn.XLOOKUP(YEAR($B69),'Oferta Producto 2'!$B$8:$B$19,'Oferta Producto 2'!$E$8:$E$19))*$AD69)/$AB69)/24</f>
        <v>0</v>
      </c>
      <c r="M69" s="35">
        <f ca="1">(((_xlfn.XLOOKUP(YEAR($B69),'Oferta Producto 2'!$B$8:$B$19,'Oferta Producto 2'!$E$8:$E$19))*$AD69)/$AB69)/24</f>
        <v>0</v>
      </c>
      <c r="N69" s="35">
        <f ca="1">(((_xlfn.XLOOKUP(YEAR($B69),'Oferta Producto 2'!$B$8:$B$19,'Oferta Producto 2'!$E$8:$E$19))*$AD69)/$AB69)/24</f>
        <v>0</v>
      </c>
      <c r="O69" s="35">
        <f ca="1">(((_xlfn.XLOOKUP(YEAR($B69),'Oferta Producto 2'!$B$8:$B$19,'Oferta Producto 2'!$E$8:$E$19))*$AD69)/$AB69)/24</f>
        <v>0</v>
      </c>
      <c r="P69" s="35">
        <f ca="1">(((_xlfn.XLOOKUP(YEAR($B69),'Oferta Producto 2'!$B$8:$B$19,'Oferta Producto 2'!$E$8:$E$19))*$AD69)/$AB69)/24</f>
        <v>0</v>
      </c>
      <c r="Q69" s="35">
        <f ca="1">(((_xlfn.XLOOKUP(YEAR($B69),'Oferta Producto 2'!$B$8:$B$19,'Oferta Producto 2'!$E$8:$E$19))*$AD69)/$AB69)/24</f>
        <v>0</v>
      </c>
      <c r="R69" s="35">
        <f ca="1">(((_xlfn.XLOOKUP(YEAR($B69),'Oferta Producto 2'!$B$8:$B$19,'Oferta Producto 2'!$E$8:$E$19))*$AD69)/$AB69)/24</f>
        <v>0</v>
      </c>
      <c r="S69" s="35">
        <f ca="1">(((_xlfn.XLOOKUP(YEAR($B69),'Oferta Producto 2'!$B$8:$B$19,'Oferta Producto 2'!$E$8:$E$19))*$AD69)/$AB69)/24</f>
        <v>0</v>
      </c>
      <c r="T69" s="35">
        <f ca="1">(((_xlfn.XLOOKUP(YEAR($B69),'Oferta Producto 2'!$B$8:$B$19,'Oferta Producto 2'!$E$8:$E$19))*$AD69)/$AB69)/24</f>
        <v>0</v>
      </c>
      <c r="U69" s="35">
        <f ca="1">(((_xlfn.XLOOKUP(YEAR($B69),'Oferta Producto 2'!$B$8:$B$19,'Oferta Producto 2'!$E$8:$E$19))*$AD69)/$AB69)/24</f>
        <v>0</v>
      </c>
      <c r="V69" s="35">
        <f ca="1">(((_xlfn.XLOOKUP(YEAR($B69),'Oferta Producto 2'!$B$8:$B$19,'Oferta Producto 2'!$E$8:$E$19))*$AD69)/$AB69)/24</f>
        <v>0</v>
      </c>
      <c r="W69" s="35">
        <f ca="1">(((_xlfn.XLOOKUP(YEAR($B69),'Oferta Producto 2'!$B$8:$B$19,'Oferta Producto 2'!$E$8:$E$19))*$AD69)/$AB69)/24</f>
        <v>0</v>
      </c>
      <c r="X69" s="35">
        <f ca="1">(((_xlfn.XLOOKUP(YEAR($B69),'Oferta Producto 2'!$B$8:$B$19,'Oferta Producto 2'!$E$8:$E$19))*$AD69)/$AB69)/24</f>
        <v>0</v>
      </c>
      <c r="Y69" s="35">
        <f ca="1">(((_xlfn.XLOOKUP(YEAR($B69),'Oferta Producto 2'!$B$8:$B$19,'Oferta Producto 2'!$E$8:$E$19))*$AD69)/$AB69)/24</f>
        <v>0</v>
      </c>
      <c r="Z69" s="35">
        <f ca="1">(((_xlfn.XLOOKUP(YEAR($B69),'Oferta Producto 2'!$B$8:$B$19,'Oferta Producto 2'!$E$8:$E$19))*$AD69)/$AB69)/24</f>
        <v>0</v>
      </c>
      <c r="AA69" s="35">
        <f t="shared" ca="1" si="5"/>
        <v>0</v>
      </c>
      <c r="AB69" s="28">
        <f t="shared" si="2"/>
        <v>30</v>
      </c>
      <c r="AC69" s="42">
        <f t="shared" ca="1" si="3"/>
        <v>0</v>
      </c>
      <c r="AD69" s="43">
        <v>8.5889305812170275E-2</v>
      </c>
      <c r="AE69" s="8"/>
      <c r="AF69" s="8"/>
    </row>
    <row r="70" spans="1:32" ht="15.75" thickBot="1">
      <c r="A70" s="23">
        <f t="shared" si="0"/>
        <v>2031</v>
      </c>
      <c r="B70" s="27">
        <v>47969</v>
      </c>
      <c r="C70" s="35">
        <f ca="1">(((_xlfn.XLOOKUP(YEAR($B70),'Oferta Producto 2'!$B$8:$B$19,'Oferta Producto 2'!$E$8:$E$19))*$AD70)/$AB70)/24</f>
        <v>0</v>
      </c>
      <c r="D70" s="35">
        <f ca="1">(((_xlfn.XLOOKUP(YEAR($B70),'Oferta Producto 2'!$B$8:$B$19,'Oferta Producto 2'!$E$8:$E$19))*$AD70)/$AB70)/24</f>
        <v>0</v>
      </c>
      <c r="E70" s="35">
        <f ca="1">(((_xlfn.XLOOKUP(YEAR($B70),'Oferta Producto 2'!$B$8:$B$19,'Oferta Producto 2'!$E$8:$E$19))*$AD70)/$AB70)/24</f>
        <v>0</v>
      </c>
      <c r="F70" s="35">
        <f ca="1">(((_xlfn.XLOOKUP(YEAR($B70),'Oferta Producto 2'!$B$8:$B$19,'Oferta Producto 2'!$E$8:$E$19))*$AD70)/$AB70)/24</f>
        <v>0</v>
      </c>
      <c r="G70" s="35">
        <f ca="1">(((_xlfn.XLOOKUP(YEAR($B70),'Oferta Producto 2'!$B$8:$B$19,'Oferta Producto 2'!$E$8:$E$19))*$AD70)/$AB70)/24</f>
        <v>0</v>
      </c>
      <c r="H70" s="35">
        <f ca="1">(((_xlfn.XLOOKUP(YEAR($B70),'Oferta Producto 2'!$B$8:$B$19,'Oferta Producto 2'!$E$8:$E$19))*$AD70)/$AB70)/24</f>
        <v>0</v>
      </c>
      <c r="I70" s="35">
        <f ca="1">(((_xlfn.XLOOKUP(YEAR($B70),'Oferta Producto 2'!$B$8:$B$19,'Oferta Producto 2'!$E$8:$E$19))*$AD70)/$AB70)/24</f>
        <v>0</v>
      </c>
      <c r="J70" s="35">
        <f ca="1">(((_xlfn.XLOOKUP(YEAR($B70),'Oferta Producto 2'!$B$8:$B$19,'Oferta Producto 2'!$E$8:$E$19))*$AD70)/$AB70)/24</f>
        <v>0</v>
      </c>
      <c r="K70" s="35">
        <f ca="1">(((_xlfn.XLOOKUP(YEAR($B70),'Oferta Producto 2'!$B$8:$B$19,'Oferta Producto 2'!$E$8:$E$19))*$AD70)/$AB70)/24</f>
        <v>0</v>
      </c>
      <c r="L70" s="35">
        <f ca="1">(((_xlfn.XLOOKUP(YEAR($B70),'Oferta Producto 2'!$B$8:$B$19,'Oferta Producto 2'!$E$8:$E$19))*$AD70)/$AB70)/24</f>
        <v>0</v>
      </c>
      <c r="M70" s="35">
        <f ca="1">(((_xlfn.XLOOKUP(YEAR($B70),'Oferta Producto 2'!$B$8:$B$19,'Oferta Producto 2'!$E$8:$E$19))*$AD70)/$AB70)/24</f>
        <v>0</v>
      </c>
      <c r="N70" s="35">
        <f ca="1">(((_xlfn.XLOOKUP(YEAR($B70),'Oferta Producto 2'!$B$8:$B$19,'Oferta Producto 2'!$E$8:$E$19))*$AD70)/$AB70)/24</f>
        <v>0</v>
      </c>
      <c r="O70" s="35">
        <f ca="1">(((_xlfn.XLOOKUP(YEAR($B70),'Oferta Producto 2'!$B$8:$B$19,'Oferta Producto 2'!$E$8:$E$19))*$AD70)/$AB70)/24</f>
        <v>0</v>
      </c>
      <c r="P70" s="35">
        <f ca="1">(((_xlfn.XLOOKUP(YEAR($B70),'Oferta Producto 2'!$B$8:$B$19,'Oferta Producto 2'!$E$8:$E$19))*$AD70)/$AB70)/24</f>
        <v>0</v>
      </c>
      <c r="Q70" s="35">
        <f ca="1">(((_xlfn.XLOOKUP(YEAR($B70),'Oferta Producto 2'!$B$8:$B$19,'Oferta Producto 2'!$E$8:$E$19))*$AD70)/$AB70)/24</f>
        <v>0</v>
      </c>
      <c r="R70" s="35">
        <f ca="1">(((_xlfn.XLOOKUP(YEAR($B70),'Oferta Producto 2'!$B$8:$B$19,'Oferta Producto 2'!$E$8:$E$19))*$AD70)/$AB70)/24</f>
        <v>0</v>
      </c>
      <c r="S70" s="35">
        <f ca="1">(((_xlfn.XLOOKUP(YEAR($B70),'Oferta Producto 2'!$B$8:$B$19,'Oferta Producto 2'!$E$8:$E$19))*$AD70)/$AB70)/24</f>
        <v>0</v>
      </c>
      <c r="T70" s="35">
        <f ca="1">(((_xlfn.XLOOKUP(YEAR($B70),'Oferta Producto 2'!$B$8:$B$19,'Oferta Producto 2'!$E$8:$E$19))*$AD70)/$AB70)/24</f>
        <v>0</v>
      </c>
      <c r="U70" s="35">
        <f ca="1">(((_xlfn.XLOOKUP(YEAR($B70),'Oferta Producto 2'!$B$8:$B$19,'Oferta Producto 2'!$E$8:$E$19))*$AD70)/$AB70)/24</f>
        <v>0</v>
      </c>
      <c r="V70" s="35">
        <f ca="1">(((_xlfn.XLOOKUP(YEAR($B70),'Oferta Producto 2'!$B$8:$B$19,'Oferta Producto 2'!$E$8:$E$19))*$AD70)/$AB70)/24</f>
        <v>0</v>
      </c>
      <c r="W70" s="35">
        <f ca="1">(((_xlfn.XLOOKUP(YEAR($B70),'Oferta Producto 2'!$B$8:$B$19,'Oferta Producto 2'!$E$8:$E$19))*$AD70)/$AB70)/24</f>
        <v>0</v>
      </c>
      <c r="X70" s="35">
        <f ca="1">(((_xlfn.XLOOKUP(YEAR($B70),'Oferta Producto 2'!$B$8:$B$19,'Oferta Producto 2'!$E$8:$E$19))*$AD70)/$AB70)/24</f>
        <v>0</v>
      </c>
      <c r="Y70" s="35">
        <f ca="1">(((_xlfn.XLOOKUP(YEAR($B70),'Oferta Producto 2'!$B$8:$B$19,'Oferta Producto 2'!$E$8:$E$19))*$AD70)/$AB70)/24</f>
        <v>0</v>
      </c>
      <c r="Z70" s="35">
        <f ca="1">(((_xlfn.XLOOKUP(YEAR($B70),'Oferta Producto 2'!$B$8:$B$19,'Oferta Producto 2'!$E$8:$E$19))*$AD70)/$AB70)/24</f>
        <v>0</v>
      </c>
      <c r="AA70" s="35">
        <f t="shared" ca="1" si="5"/>
        <v>0</v>
      </c>
      <c r="AB70" s="28">
        <f t="shared" si="2"/>
        <v>31</v>
      </c>
      <c r="AC70" s="42">
        <f t="shared" ca="1" si="3"/>
        <v>0</v>
      </c>
      <c r="AD70" s="43">
        <v>7.9754971862961654E-2</v>
      </c>
      <c r="AE70" s="8"/>
      <c r="AF70" s="8"/>
    </row>
    <row r="71" spans="1:32" ht="15.75" thickBot="1">
      <c r="A71" s="23">
        <f t="shared" ref="A71:A125" si="6">YEAR(B71)</f>
        <v>2031</v>
      </c>
      <c r="B71" s="27">
        <v>48000</v>
      </c>
      <c r="C71" s="35">
        <f ca="1">(((_xlfn.XLOOKUP(YEAR($B71),'Oferta Producto 2'!$B$8:$B$19,'Oferta Producto 2'!$E$8:$E$19))*$AD71)/$AB71)/24</f>
        <v>0</v>
      </c>
      <c r="D71" s="35">
        <f ca="1">(((_xlfn.XLOOKUP(YEAR($B71),'Oferta Producto 2'!$B$8:$B$19,'Oferta Producto 2'!$E$8:$E$19))*$AD71)/$AB71)/24</f>
        <v>0</v>
      </c>
      <c r="E71" s="35">
        <f ca="1">(((_xlfn.XLOOKUP(YEAR($B71),'Oferta Producto 2'!$B$8:$B$19,'Oferta Producto 2'!$E$8:$E$19))*$AD71)/$AB71)/24</f>
        <v>0</v>
      </c>
      <c r="F71" s="35">
        <f ca="1">(((_xlfn.XLOOKUP(YEAR($B71),'Oferta Producto 2'!$B$8:$B$19,'Oferta Producto 2'!$E$8:$E$19))*$AD71)/$AB71)/24</f>
        <v>0</v>
      </c>
      <c r="G71" s="35">
        <f ca="1">(((_xlfn.XLOOKUP(YEAR($B71),'Oferta Producto 2'!$B$8:$B$19,'Oferta Producto 2'!$E$8:$E$19))*$AD71)/$AB71)/24</f>
        <v>0</v>
      </c>
      <c r="H71" s="35">
        <f ca="1">(((_xlfn.XLOOKUP(YEAR($B71),'Oferta Producto 2'!$B$8:$B$19,'Oferta Producto 2'!$E$8:$E$19))*$AD71)/$AB71)/24</f>
        <v>0</v>
      </c>
      <c r="I71" s="35">
        <f ca="1">(((_xlfn.XLOOKUP(YEAR($B71),'Oferta Producto 2'!$B$8:$B$19,'Oferta Producto 2'!$E$8:$E$19))*$AD71)/$AB71)/24</f>
        <v>0</v>
      </c>
      <c r="J71" s="35">
        <f ca="1">(((_xlfn.XLOOKUP(YEAR($B71),'Oferta Producto 2'!$B$8:$B$19,'Oferta Producto 2'!$E$8:$E$19))*$AD71)/$AB71)/24</f>
        <v>0</v>
      </c>
      <c r="K71" s="35">
        <f ca="1">(((_xlfn.XLOOKUP(YEAR($B71),'Oferta Producto 2'!$B$8:$B$19,'Oferta Producto 2'!$E$8:$E$19))*$AD71)/$AB71)/24</f>
        <v>0</v>
      </c>
      <c r="L71" s="35">
        <f ca="1">(((_xlfn.XLOOKUP(YEAR($B71),'Oferta Producto 2'!$B$8:$B$19,'Oferta Producto 2'!$E$8:$E$19))*$AD71)/$AB71)/24</f>
        <v>0</v>
      </c>
      <c r="M71" s="35">
        <f ca="1">(((_xlfn.XLOOKUP(YEAR($B71),'Oferta Producto 2'!$B$8:$B$19,'Oferta Producto 2'!$E$8:$E$19))*$AD71)/$AB71)/24</f>
        <v>0</v>
      </c>
      <c r="N71" s="35">
        <f ca="1">(((_xlfn.XLOOKUP(YEAR($B71),'Oferta Producto 2'!$B$8:$B$19,'Oferta Producto 2'!$E$8:$E$19))*$AD71)/$AB71)/24</f>
        <v>0</v>
      </c>
      <c r="O71" s="35">
        <f ca="1">(((_xlfn.XLOOKUP(YEAR($B71),'Oferta Producto 2'!$B$8:$B$19,'Oferta Producto 2'!$E$8:$E$19))*$AD71)/$AB71)/24</f>
        <v>0</v>
      </c>
      <c r="P71" s="35">
        <f ca="1">(((_xlfn.XLOOKUP(YEAR($B71),'Oferta Producto 2'!$B$8:$B$19,'Oferta Producto 2'!$E$8:$E$19))*$AD71)/$AB71)/24</f>
        <v>0</v>
      </c>
      <c r="Q71" s="35">
        <f ca="1">(((_xlfn.XLOOKUP(YEAR($B71),'Oferta Producto 2'!$B$8:$B$19,'Oferta Producto 2'!$E$8:$E$19))*$AD71)/$AB71)/24</f>
        <v>0</v>
      </c>
      <c r="R71" s="35">
        <f ca="1">(((_xlfn.XLOOKUP(YEAR($B71),'Oferta Producto 2'!$B$8:$B$19,'Oferta Producto 2'!$E$8:$E$19))*$AD71)/$AB71)/24</f>
        <v>0</v>
      </c>
      <c r="S71" s="35">
        <f ca="1">(((_xlfn.XLOOKUP(YEAR($B71),'Oferta Producto 2'!$B$8:$B$19,'Oferta Producto 2'!$E$8:$E$19))*$AD71)/$AB71)/24</f>
        <v>0</v>
      </c>
      <c r="T71" s="35">
        <f ca="1">(((_xlfn.XLOOKUP(YEAR($B71),'Oferta Producto 2'!$B$8:$B$19,'Oferta Producto 2'!$E$8:$E$19))*$AD71)/$AB71)/24</f>
        <v>0</v>
      </c>
      <c r="U71" s="35">
        <f ca="1">(((_xlfn.XLOOKUP(YEAR($B71),'Oferta Producto 2'!$B$8:$B$19,'Oferta Producto 2'!$E$8:$E$19))*$AD71)/$AB71)/24</f>
        <v>0</v>
      </c>
      <c r="V71" s="35">
        <f ca="1">(((_xlfn.XLOOKUP(YEAR($B71),'Oferta Producto 2'!$B$8:$B$19,'Oferta Producto 2'!$E$8:$E$19))*$AD71)/$AB71)/24</f>
        <v>0</v>
      </c>
      <c r="W71" s="35">
        <f ca="1">(((_xlfn.XLOOKUP(YEAR($B71),'Oferta Producto 2'!$B$8:$B$19,'Oferta Producto 2'!$E$8:$E$19))*$AD71)/$AB71)/24</f>
        <v>0</v>
      </c>
      <c r="X71" s="35">
        <f ca="1">(((_xlfn.XLOOKUP(YEAR($B71),'Oferta Producto 2'!$B$8:$B$19,'Oferta Producto 2'!$E$8:$E$19))*$AD71)/$AB71)/24</f>
        <v>0</v>
      </c>
      <c r="Y71" s="35">
        <f ca="1">(((_xlfn.XLOOKUP(YEAR($B71),'Oferta Producto 2'!$B$8:$B$19,'Oferta Producto 2'!$E$8:$E$19))*$AD71)/$AB71)/24</f>
        <v>0</v>
      </c>
      <c r="Z71" s="35">
        <f ca="1">(((_xlfn.XLOOKUP(YEAR($B71),'Oferta Producto 2'!$B$8:$B$19,'Oferta Producto 2'!$E$8:$E$19))*$AD71)/$AB71)/24</f>
        <v>0</v>
      </c>
      <c r="AA71" s="35">
        <f t="shared" ca="1" si="5"/>
        <v>0</v>
      </c>
      <c r="AB71" s="28">
        <f t="shared" ref="AB71:AB125" si="7">DAY(EOMONTH(B71,0))</f>
        <v>30</v>
      </c>
      <c r="AC71" s="42">
        <f t="shared" ref="AC71:AC125" ca="1" si="8">AA71*AB71</f>
        <v>0</v>
      </c>
      <c r="AD71" s="43">
        <v>8.5889305812170275E-2</v>
      </c>
      <c r="AE71" s="8"/>
      <c r="AF71" s="8"/>
    </row>
    <row r="72" spans="1:32" ht="15.75" thickBot="1">
      <c r="A72" s="23">
        <f t="shared" si="6"/>
        <v>2031</v>
      </c>
      <c r="B72" s="27">
        <v>48030</v>
      </c>
      <c r="C72" s="35">
        <f ca="1">(((_xlfn.XLOOKUP(YEAR($B72),'Oferta Producto 2'!$B$8:$B$19,'Oferta Producto 2'!$E$8:$E$19))*$AD72)/$AB72)/24</f>
        <v>0</v>
      </c>
      <c r="D72" s="35">
        <f ca="1">(((_xlfn.XLOOKUP(YEAR($B72),'Oferta Producto 2'!$B$8:$B$19,'Oferta Producto 2'!$E$8:$E$19))*$AD72)/$AB72)/24</f>
        <v>0</v>
      </c>
      <c r="E72" s="35">
        <f ca="1">(((_xlfn.XLOOKUP(YEAR($B72),'Oferta Producto 2'!$B$8:$B$19,'Oferta Producto 2'!$E$8:$E$19))*$AD72)/$AB72)/24</f>
        <v>0</v>
      </c>
      <c r="F72" s="35">
        <f ca="1">(((_xlfn.XLOOKUP(YEAR($B72),'Oferta Producto 2'!$B$8:$B$19,'Oferta Producto 2'!$E$8:$E$19))*$AD72)/$AB72)/24</f>
        <v>0</v>
      </c>
      <c r="G72" s="35">
        <f ca="1">(((_xlfn.XLOOKUP(YEAR($B72),'Oferta Producto 2'!$B$8:$B$19,'Oferta Producto 2'!$E$8:$E$19))*$AD72)/$AB72)/24</f>
        <v>0</v>
      </c>
      <c r="H72" s="35">
        <f ca="1">(((_xlfn.XLOOKUP(YEAR($B72),'Oferta Producto 2'!$B$8:$B$19,'Oferta Producto 2'!$E$8:$E$19))*$AD72)/$AB72)/24</f>
        <v>0</v>
      </c>
      <c r="I72" s="35">
        <f ca="1">(((_xlfn.XLOOKUP(YEAR($B72),'Oferta Producto 2'!$B$8:$B$19,'Oferta Producto 2'!$E$8:$E$19))*$AD72)/$AB72)/24</f>
        <v>0</v>
      </c>
      <c r="J72" s="35">
        <f ca="1">(((_xlfn.XLOOKUP(YEAR($B72),'Oferta Producto 2'!$B$8:$B$19,'Oferta Producto 2'!$E$8:$E$19))*$AD72)/$AB72)/24</f>
        <v>0</v>
      </c>
      <c r="K72" s="35">
        <f ca="1">(((_xlfn.XLOOKUP(YEAR($B72),'Oferta Producto 2'!$B$8:$B$19,'Oferta Producto 2'!$E$8:$E$19))*$AD72)/$AB72)/24</f>
        <v>0</v>
      </c>
      <c r="L72" s="35">
        <f ca="1">(((_xlfn.XLOOKUP(YEAR($B72),'Oferta Producto 2'!$B$8:$B$19,'Oferta Producto 2'!$E$8:$E$19))*$AD72)/$AB72)/24</f>
        <v>0</v>
      </c>
      <c r="M72" s="35">
        <f ca="1">(((_xlfn.XLOOKUP(YEAR($B72),'Oferta Producto 2'!$B$8:$B$19,'Oferta Producto 2'!$E$8:$E$19))*$AD72)/$AB72)/24</f>
        <v>0</v>
      </c>
      <c r="N72" s="35">
        <f ca="1">(((_xlfn.XLOOKUP(YEAR($B72),'Oferta Producto 2'!$B$8:$B$19,'Oferta Producto 2'!$E$8:$E$19))*$AD72)/$AB72)/24</f>
        <v>0</v>
      </c>
      <c r="O72" s="35">
        <f ca="1">(((_xlfn.XLOOKUP(YEAR($B72),'Oferta Producto 2'!$B$8:$B$19,'Oferta Producto 2'!$E$8:$E$19))*$AD72)/$AB72)/24</f>
        <v>0</v>
      </c>
      <c r="P72" s="35">
        <f ca="1">(((_xlfn.XLOOKUP(YEAR($B72),'Oferta Producto 2'!$B$8:$B$19,'Oferta Producto 2'!$E$8:$E$19))*$AD72)/$AB72)/24</f>
        <v>0</v>
      </c>
      <c r="Q72" s="35">
        <f ca="1">(((_xlfn.XLOOKUP(YEAR($B72),'Oferta Producto 2'!$B$8:$B$19,'Oferta Producto 2'!$E$8:$E$19))*$AD72)/$AB72)/24</f>
        <v>0</v>
      </c>
      <c r="R72" s="35">
        <f ca="1">(((_xlfn.XLOOKUP(YEAR($B72),'Oferta Producto 2'!$B$8:$B$19,'Oferta Producto 2'!$E$8:$E$19))*$AD72)/$AB72)/24</f>
        <v>0</v>
      </c>
      <c r="S72" s="35">
        <f ca="1">(((_xlfn.XLOOKUP(YEAR($B72),'Oferta Producto 2'!$B$8:$B$19,'Oferta Producto 2'!$E$8:$E$19))*$AD72)/$AB72)/24</f>
        <v>0</v>
      </c>
      <c r="T72" s="35">
        <f ca="1">(((_xlfn.XLOOKUP(YEAR($B72),'Oferta Producto 2'!$B$8:$B$19,'Oferta Producto 2'!$E$8:$E$19))*$AD72)/$AB72)/24</f>
        <v>0</v>
      </c>
      <c r="U72" s="35">
        <f ca="1">(((_xlfn.XLOOKUP(YEAR($B72),'Oferta Producto 2'!$B$8:$B$19,'Oferta Producto 2'!$E$8:$E$19))*$AD72)/$AB72)/24</f>
        <v>0</v>
      </c>
      <c r="V72" s="35">
        <f ca="1">(((_xlfn.XLOOKUP(YEAR($B72),'Oferta Producto 2'!$B$8:$B$19,'Oferta Producto 2'!$E$8:$E$19))*$AD72)/$AB72)/24</f>
        <v>0</v>
      </c>
      <c r="W72" s="35">
        <f ca="1">(((_xlfn.XLOOKUP(YEAR($B72),'Oferta Producto 2'!$B$8:$B$19,'Oferta Producto 2'!$E$8:$E$19))*$AD72)/$AB72)/24</f>
        <v>0</v>
      </c>
      <c r="X72" s="35">
        <f ca="1">(((_xlfn.XLOOKUP(YEAR($B72),'Oferta Producto 2'!$B$8:$B$19,'Oferta Producto 2'!$E$8:$E$19))*$AD72)/$AB72)/24</f>
        <v>0</v>
      </c>
      <c r="Y72" s="35">
        <f ca="1">(((_xlfn.XLOOKUP(YEAR($B72),'Oferta Producto 2'!$B$8:$B$19,'Oferta Producto 2'!$E$8:$E$19))*$AD72)/$AB72)/24</f>
        <v>0</v>
      </c>
      <c r="Z72" s="35">
        <f ca="1">(((_xlfn.XLOOKUP(YEAR($B72),'Oferta Producto 2'!$B$8:$B$19,'Oferta Producto 2'!$E$8:$E$19))*$AD72)/$AB72)/24</f>
        <v>0</v>
      </c>
      <c r="AA72" s="35">
        <f t="shared" ca="1" si="5"/>
        <v>0</v>
      </c>
      <c r="AB72" s="28">
        <f t="shared" si="7"/>
        <v>31</v>
      </c>
      <c r="AC72" s="42">
        <f t="shared" ca="1" si="8"/>
        <v>0</v>
      </c>
      <c r="AD72" s="43">
        <v>7.9754971862961654E-2</v>
      </c>
      <c r="AE72" s="8"/>
      <c r="AF72" s="8"/>
    </row>
    <row r="73" spans="1:32" ht="15.75" thickBot="1">
      <c r="A73" s="23">
        <f t="shared" si="6"/>
        <v>2031</v>
      </c>
      <c r="B73" s="27">
        <v>48061</v>
      </c>
      <c r="C73" s="35">
        <f ca="1">(((_xlfn.XLOOKUP(YEAR($B73),'Oferta Producto 2'!$B$8:$B$19,'Oferta Producto 2'!$E$8:$E$19))*$AD73)/$AB73)/24</f>
        <v>0</v>
      </c>
      <c r="D73" s="35">
        <f ca="1">(((_xlfn.XLOOKUP(YEAR($B73),'Oferta Producto 2'!$B$8:$B$19,'Oferta Producto 2'!$E$8:$E$19))*$AD73)/$AB73)/24</f>
        <v>0</v>
      </c>
      <c r="E73" s="35">
        <f ca="1">(((_xlfn.XLOOKUP(YEAR($B73),'Oferta Producto 2'!$B$8:$B$19,'Oferta Producto 2'!$E$8:$E$19))*$AD73)/$AB73)/24</f>
        <v>0</v>
      </c>
      <c r="F73" s="35">
        <f ca="1">(((_xlfn.XLOOKUP(YEAR($B73),'Oferta Producto 2'!$B$8:$B$19,'Oferta Producto 2'!$E$8:$E$19))*$AD73)/$AB73)/24</f>
        <v>0</v>
      </c>
      <c r="G73" s="35">
        <f ca="1">(((_xlfn.XLOOKUP(YEAR($B73),'Oferta Producto 2'!$B$8:$B$19,'Oferta Producto 2'!$E$8:$E$19))*$AD73)/$AB73)/24</f>
        <v>0</v>
      </c>
      <c r="H73" s="35">
        <f ca="1">(((_xlfn.XLOOKUP(YEAR($B73),'Oferta Producto 2'!$B$8:$B$19,'Oferta Producto 2'!$E$8:$E$19))*$AD73)/$AB73)/24</f>
        <v>0</v>
      </c>
      <c r="I73" s="35">
        <f ca="1">(((_xlfn.XLOOKUP(YEAR($B73),'Oferta Producto 2'!$B$8:$B$19,'Oferta Producto 2'!$E$8:$E$19))*$AD73)/$AB73)/24</f>
        <v>0</v>
      </c>
      <c r="J73" s="35">
        <f ca="1">(((_xlfn.XLOOKUP(YEAR($B73),'Oferta Producto 2'!$B$8:$B$19,'Oferta Producto 2'!$E$8:$E$19))*$AD73)/$AB73)/24</f>
        <v>0</v>
      </c>
      <c r="K73" s="35">
        <f ca="1">(((_xlfn.XLOOKUP(YEAR($B73),'Oferta Producto 2'!$B$8:$B$19,'Oferta Producto 2'!$E$8:$E$19))*$AD73)/$AB73)/24</f>
        <v>0</v>
      </c>
      <c r="L73" s="35">
        <f ca="1">(((_xlfn.XLOOKUP(YEAR($B73),'Oferta Producto 2'!$B$8:$B$19,'Oferta Producto 2'!$E$8:$E$19))*$AD73)/$AB73)/24</f>
        <v>0</v>
      </c>
      <c r="M73" s="35">
        <f ca="1">(((_xlfn.XLOOKUP(YEAR($B73),'Oferta Producto 2'!$B$8:$B$19,'Oferta Producto 2'!$E$8:$E$19))*$AD73)/$AB73)/24</f>
        <v>0</v>
      </c>
      <c r="N73" s="35">
        <f ca="1">(((_xlfn.XLOOKUP(YEAR($B73),'Oferta Producto 2'!$B$8:$B$19,'Oferta Producto 2'!$E$8:$E$19))*$AD73)/$AB73)/24</f>
        <v>0</v>
      </c>
      <c r="O73" s="35">
        <f ca="1">(((_xlfn.XLOOKUP(YEAR($B73),'Oferta Producto 2'!$B$8:$B$19,'Oferta Producto 2'!$E$8:$E$19))*$AD73)/$AB73)/24</f>
        <v>0</v>
      </c>
      <c r="P73" s="35">
        <f ca="1">(((_xlfn.XLOOKUP(YEAR($B73),'Oferta Producto 2'!$B$8:$B$19,'Oferta Producto 2'!$E$8:$E$19))*$AD73)/$AB73)/24</f>
        <v>0</v>
      </c>
      <c r="Q73" s="35">
        <f ca="1">(((_xlfn.XLOOKUP(YEAR($B73),'Oferta Producto 2'!$B$8:$B$19,'Oferta Producto 2'!$E$8:$E$19))*$AD73)/$AB73)/24</f>
        <v>0</v>
      </c>
      <c r="R73" s="35">
        <f ca="1">(((_xlfn.XLOOKUP(YEAR($B73),'Oferta Producto 2'!$B$8:$B$19,'Oferta Producto 2'!$E$8:$E$19))*$AD73)/$AB73)/24</f>
        <v>0</v>
      </c>
      <c r="S73" s="35">
        <f ca="1">(((_xlfn.XLOOKUP(YEAR($B73),'Oferta Producto 2'!$B$8:$B$19,'Oferta Producto 2'!$E$8:$E$19))*$AD73)/$AB73)/24</f>
        <v>0</v>
      </c>
      <c r="T73" s="35">
        <f ca="1">(((_xlfn.XLOOKUP(YEAR($B73),'Oferta Producto 2'!$B$8:$B$19,'Oferta Producto 2'!$E$8:$E$19))*$AD73)/$AB73)/24</f>
        <v>0</v>
      </c>
      <c r="U73" s="35">
        <f ca="1">(((_xlfn.XLOOKUP(YEAR($B73),'Oferta Producto 2'!$B$8:$B$19,'Oferta Producto 2'!$E$8:$E$19))*$AD73)/$AB73)/24</f>
        <v>0</v>
      </c>
      <c r="V73" s="35">
        <f ca="1">(((_xlfn.XLOOKUP(YEAR($B73),'Oferta Producto 2'!$B$8:$B$19,'Oferta Producto 2'!$E$8:$E$19))*$AD73)/$AB73)/24</f>
        <v>0</v>
      </c>
      <c r="W73" s="35">
        <f ca="1">(((_xlfn.XLOOKUP(YEAR($B73),'Oferta Producto 2'!$B$8:$B$19,'Oferta Producto 2'!$E$8:$E$19))*$AD73)/$AB73)/24</f>
        <v>0</v>
      </c>
      <c r="X73" s="35">
        <f ca="1">(((_xlfn.XLOOKUP(YEAR($B73),'Oferta Producto 2'!$B$8:$B$19,'Oferta Producto 2'!$E$8:$E$19))*$AD73)/$AB73)/24</f>
        <v>0</v>
      </c>
      <c r="Y73" s="35">
        <f ca="1">(((_xlfn.XLOOKUP(YEAR($B73),'Oferta Producto 2'!$B$8:$B$19,'Oferta Producto 2'!$E$8:$E$19))*$AD73)/$AB73)/24</f>
        <v>0</v>
      </c>
      <c r="Z73" s="35">
        <f ca="1">(((_xlfn.XLOOKUP(YEAR($B73),'Oferta Producto 2'!$B$8:$B$19,'Oferta Producto 2'!$E$8:$E$19))*$AD73)/$AB73)/24</f>
        <v>0</v>
      </c>
      <c r="AA73" s="35">
        <f t="shared" ca="1" si="5"/>
        <v>0</v>
      </c>
      <c r="AB73" s="28">
        <f t="shared" si="7"/>
        <v>31</v>
      </c>
      <c r="AC73" s="42">
        <f t="shared" ca="1" si="8"/>
        <v>0</v>
      </c>
      <c r="AD73" s="43">
        <v>7.9754971862961654E-2</v>
      </c>
      <c r="AE73" s="8"/>
      <c r="AF73" s="8"/>
    </row>
    <row r="74" spans="1:32" ht="15.75" thickBot="1">
      <c r="A74" s="23">
        <f t="shared" si="6"/>
        <v>2031</v>
      </c>
      <c r="B74" s="27">
        <v>48092</v>
      </c>
      <c r="C74" s="35">
        <f ca="1">(((_xlfn.XLOOKUP(YEAR($B74),'Oferta Producto 2'!$B$8:$B$19,'Oferta Producto 2'!$E$8:$E$19))*$AD74)/$AB74)/24</f>
        <v>0</v>
      </c>
      <c r="D74" s="35">
        <f ca="1">(((_xlfn.XLOOKUP(YEAR($B74),'Oferta Producto 2'!$B$8:$B$19,'Oferta Producto 2'!$E$8:$E$19))*$AD74)/$AB74)/24</f>
        <v>0</v>
      </c>
      <c r="E74" s="35">
        <f ca="1">(((_xlfn.XLOOKUP(YEAR($B74),'Oferta Producto 2'!$B$8:$B$19,'Oferta Producto 2'!$E$8:$E$19))*$AD74)/$AB74)/24</f>
        <v>0</v>
      </c>
      <c r="F74" s="35">
        <f ca="1">(((_xlfn.XLOOKUP(YEAR($B74),'Oferta Producto 2'!$B$8:$B$19,'Oferta Producto 2'!$E$8:$E$19))*$AD74)/$AB74)/24</f>
        <v>0</v>
      </c>
      <c r="G74" s="35">
        <f ca="1">(((_xlfn.XLOOKUP(YEAR($B74),'Oferta Producto 2'!$B$8:$B$19,'Oferta Producto 2'!$E$8:$E$19))*$AD74)/$AB74)/24</f>
        <v>0</v>
      </c>
      <c r="H74" s="35">
        <f ca="1">(((_xlfn.XLOOKUP(YEAR($B74),'Oferta Producto 2'!$B$8:$B$19,'Oferta Producto 2'!$E$8:$E$19))*$AD74)/$AB74)/24</f>
        <v>0</v>
      </c>
      <c r="I74" s="35">
        <f ca="1">(((_xlfn.XLOOKUP(YEAR($B74),'Oferta Producto 2'!$B$8:$B$19,'Oferta Producto 2'!$E$8:$E$19))*$AD74)/$AB74)/24</f>
        <v>0</v>
      </c>
      <c r="J74" s="35">
        <f ca="1">(((_xlfn.XLOOKUP(YEAR($B74),'Oferta Producto 2'!$B$8:$B$19,'Oferta Producto 2'!$E$8:$E$19))*$AD74)/$AB74)/24</f>
        <v>0</v>
      </c>
      <c r="K74" s="35">
        <f ca="1">(((_xlfn.XLOOKUP(YEAR($B74),'Oferta Producto 2'!$B$8:$B$19,'Oferta Producto 2'!$E$8:$E$19))*$AD74)/$AB74)/24</f>
        <v>0</v>
      </c>
      <c r="L74" s="35">
        <f ca="1">(((_xlfn.XLOOKUP(YEAR($B74),'Oferta Producto 2'!$B$8:$B$19,'Oferta Producto 2'!$E$8:$E$19))*$AD74)/$AB74)/24</f>
        <v>0</v>
      </c>
      <c r="M74" s="35">
        <f ca="1">(((_xlfn.XLOOKUP(YEAR($B74),'Oferta Producto 2'!$B$8:$B$19,'Oferta Producto 2'!$E$8:$E$19))*$AD74)/$AB74)/24</f>
        <v>0</v>
      </c>
      <c r="N74" s="35">
        <f ca="1">(((_xlfn.XLOOKUP(YEAR($B74),'Oferta Producto 2'!$B$8:$B$19,'Oferta Producto 2'!$E$8:$E$19))*$AD74)/$AB74)/24</f>
        <v>0</v>
      </c>
      <c r="O74" s="35">
        <f ca="1">(((_xlfn.XLOOKUP(YEAR($B74),'Oferta Producto 2'!$B$8:$B$19,'Oferta Producto 2'!$E$8:$E$19))*$AD74)/$AB74)/24</f>
        <v>0</v>
      </c>
      <c r="P74" s="35">
        <f ca="1">(((_xlfn.XLOOKUP(YEAR($B74),'Oferta Producto 2'!$B$8:$B$19,'Oferta Producto 2'!$E$8:$E$19))*$AD74)/$AB74)/24</f>
        <v>0</v>
      </c>
      <c r="Q74" s="35">
        <f ca="1">(((_xlfn.XLOOKUP(YEAR($B74),'Oferta Producto 2'!$B$8:$B$19,'Oferta Producto 2'!$E$8:$E$19))*$AD74)/$AB74)/24</f>
        <v>0</v>
      </c>
      <c r="R74" s="35">
        <f ca="1">(((_xlfn.XLOOKUP(YEAR($B74),'Oferta Producto 2'!$B$8:$B$19,'Oferta Producto 2'!$E$8:$E$19))*$AD74)/$AB74)/24</f>
        <v>0</v>
      </c>
      <c r="S74" s="35">
        <f ca="1">(((_xlfn.XLOOKUP(YEAR($B74),'Oferta Producto 2'!$B$8:$B$19,'Oferta Producto 2'!$E$8:$E$19))*$AD74)/$AB74)/24</f>
        <v>0</v>
      </c>
      <c r="T74" s="35">
        <f ca="1">(((_xlfn.XLOOKUP(YEAR($B74),'Oferta Producto 2'!$B$8:$B$19,'Oferta Producto 2'!$E$8:$E$19))*$AD74)/$AB74)/24</f>
        <v>0</v>
      </c>
      <c r="U74" s="35">
        <f ca="1">(((_xlfn.XLOOKUP(YEAR($B74),'Oferta Producto 2'!$B$8:$B$19,'Oferta Producto 2'!$E$8:$E$19))*$AD74)/$AB74)/24</f>
        <v>0</v>
      </c>
      <c r="V74" s="35">
        <f ca="1">(((_xlfn.XLOOKUP(YEAR($B74),'Oferta Producto 2'!$B$8:$B$19,'Oferta Producto 2'!$E$8:$E$19))*$AD74)/$AB74)/24</f>
        <v>0</v>
      </c>
      <c r="W74" s="35">
        <f ca="1">(((_xlfn.XLOOKUP(YEAR($B74),'Oferta Producto 2'!$B$8:$B$19,'Oferta Producto 2'!$E$8:$E$19))*$AD74)/$AB74)/24</f>
        <v>0</v>
      </c>
      <c r="X74" s="35">
        <f ca="1">(((_xlfn.XLOOKUP(YEAR($B74),'Oferta Producto 2'!$B$8:$B$19,'Oferta Producto 2'!$E$8:$E$19))*$AD74)/$AB74)/24</f>
        <v>0</v>
      </c>
      <c r="Y74" s="35">
        <f ca="1">(((_xlfn.XLOOKUP(YEAR($B74),'Oferta Producto 2'!$B$8:$B$19,'Oferta Producto 2'!$E$8:$E$19))*$AD74)/$AB74)/24</f>
        <v>0</v>
      </c>
      <c r="Z74" s="35">
        <f ca="1">(((_xlfn.XLOOKUP(YEAR($B74),'Oferta Producto 2'!$B$8:$B$19,'Oferta Producto 2'!$E$8:$E$19))*$AD74)/$AB74)/24</f>
        <v>0</v>
      </c>
      <c r="AA74" s="35">
        <f t="shared" ca="1" si="5"/>
        <v>0</v>
      </c>
      <c r="AB74" s="28">
        <f t="shared" si="7"/>
        <v>30</v>
      </c>
      <c r="AC74" s="42">
        <f t="shared" ca="1" si="8"/>
        <v>0</v>
      </c>
      <c r="AD74" s="43">
        <v>8.5889305812170275E-2</v>
      </c>
      <c r="AE74" s="8"/>
      <c r="AF74" s="8"/>
    </row>
    <row r="75" spans="1:32" ht="15.75" thickBot="1">
      <c r="A75" s="23">
        <f t="shared" si="6"/>
        <v>2031</v>
      </c>
      <c r="B75" s="27">
        <v>48122</v>
      </c>
      <c r="C75" s="35">
        <f ca="1">(((_xlfn.XLOOKUP(YEAR($B75),'Oferta Producto 2'!$B$8:$B$19,'Oferta Producto 2'!$E$8:$E$19))*$AD75)/$AB75)/24</f>
        <v>0</v>
      </c>
      <c r="D75" s="35">
        <f ca="1">(((_xlfn.XLOOKUP(YEAR($B75),'Oferta Producto 2'!$B$8:$B$19,'Oferta Producto 2'!$E$8:$E$19))*$AD75)/$AB75)/24</f>
        <v>0</v>
      </c>
      <c r="E75" s="35">
        <f ca="1">(((_xlfn.XLOOKUP(YEAR($B75),'Oferta Producto 2'!$B$8:$B$19,'Oferta Producto 2'!$E$8:$E$19))*$AD75)/$AB75)/24</f>
        <v>0</v>
      </c>
      <c r="F75" s="35">
        <f ca="1">(((_xlfn.XLOOKUP(YEAR($B75),'Oferta Producto 2'!$B$8:$B$19,'Oferta Producto 2'!$E$8:$E$19))*$AD75)/$AB75)/24</f>
        <v>0</v>
      </c>
      <c r="G75" s="35">
        <f ca="1">(((_xlfn.XLOOKUP(YEAR($B75),'Oferta Producto 2'!$B$8:$B$19,'Oferta Producto 2'!$E$8:$E$19))*$AD75)/$AB75)/24</f>
        <v>0</v>
      </c>
      <c r="H75" s="35">
        <f ca="1">(((_xlfn.XLOOKUP(YEAR($B75),'Oferta Producto 2'!$B$8:$B$19,'Oferta Producto 2'!$E$8:$E$19))*$AD75)/$AB75)/24</f>
        <v>0</v>
      </c>
      <c r="I75" s="35">
        <f ca="1">(((_xlfn.XLOOKUP(YEAR($B75),'Oferta Producto 2'!$B$8:$B$19,'Oferta Producto 2'!$E$8:$E$19))*$AD75)/$AB75)/24</f>
        <v>0</v>
      </c>
      <c r="J75" s="35">
        <f ca="1">(((_xlfn.XLOOKUP(YEAR($B75),'Oferta Producto 2'!$B$8:$B$19,'Oferta Producto 2'!$E$8:$E$19))*$AD75)/$AB75)/24</f>
        <v>0</v>
      </c>
      <c r="K75" s="35">
        <f ca="1">(((_xlfn.XLOOKUP(YEAR($B75),'Oferta Producto 2'!$B$8:$B$19,'Oferta Producto 2'!$E$8:$E$19))*$AD75)/$AB75)/24</f>
        <v>0</v>
      </c>
      <c r="L75" s="35">
        <f ca="1">(((_xlfn.XLOOKUP(YEAR($B75),'Oferta Producto 2'!$B$8:$B$19,'Oferta Producto 2'!$E$8:$E$19))*$AD75)/$AB75)/24</f>
        <v>0</v>
      </c>
      <c r="M75" s="35">
        <f ca="1">(((_xlfn.XLOOKUP(YEAR($B75),'Oferta Producto 2'!$B$8:$B$19,'Oferta Producto 2'!$E$8:$E$19))*$AD75)/$AB75)/24</f>
        <v>0</v>
      </c>
      <c r="N75" s="35">
        <f ca="1">(((_xlfn.XLOOKUP(YEAR($B75),'Oferta Producto 2'!$B$8:$B$19,'Oferta Producto 2'!$E$8:$E$19))*$AD75)/$AB75)/24</f>
        <v>0</v>
      </c>
      <c r="O75" s="35">
        <f ca="1">(((_xlfn.XLOOKUP(YEAR($B75),'Oferta Producto 2'!$B$8:$B$19,'Oferta Producto 2'!$E$8:$E$19))*$AD75)/$AB75)/24</f>
        <v>0</v>
      </c>
      <c r="P75" s="35">
        <f ca="1">(((_xlfn.XLOOKUP(YEAR($B75),'Oferta Producto 2'!$B$8:$B$19,'Oferta Producto 2'!$E$8:$E$19))*$AD75)/$AB75)/24</f>
        <v>0</v>
      </c>
      <c r="Q75" s="35">
        <f ca="1">(((_xlfn.XLOOKUP(YEAR($B75),'Oferta Producto 2'!$B$8:$B$19,'Oferta Producto 2'!$E$8:$E$19))*$AD75)/$AB75)/24</f>
        <v>0</v>
      </c>
      <c r="R75" s="35">
        <f ca="1">(((_xlfn.XLOOKUP(YEAR($B75),'Oferta Producto 2'!$B$8:$B$19,'Oferta Producto 2'!$E$8:$E$19))*$AD75)/$AB75)/24</f>
        <v>0</v>
      </c>
      <c r="S75" s="35">
        <f ca="1">(((_xlfn.XLOOKUP(YEAR($B75),'Oferta Producto 2'!$B$8:$B$19,'Oferta Producto 2'!$E$8:$E$19))*$AD75)/$AB75)/24</f>
        <v>0</v>
      </c>
      <c r="T75" s="35">
        <f ca="1">(((_xlfn.XLOOKUP(YEAR($B75),'Oferta Producto 2'!$B$8:$B$19,'Oferta Producto 2'!$E$8:$E$19))*$AD75)/$AB75)/24</f>
        <v>0</v>
      </c>
      <c r="U75" s="35">
        <f ca="1">(((_xlfn.XLOOKUP(YEAR($B75),'Oferta Producto 2'!$B$8:$B$19,'Oferta Producto 2'!$E$8:$E$19))*$AD75)/$AB75)/24</f>
        <v>0</v>
      </c>
      <c r="V75" s="35">
        <f ca="1">(((_xlfn.XLOOKUP(YEAR($B75),'Oferta Producto 2'!$B$8:$B$19,'Oferta Producto 2'!$E$8:$E$19))*$AD75)/$AB75)/24</f>
        <v>0</v>
      </c>
      <c r="W75" s="35">
        <f ca="1">(((_xlfn.XLOOKUP(YEAR($B75),'Oferta Producto 2'!$B$8:$B$19,'Oferta Producto 2'!$E$8:$E$19))*$AD75)/$AB75)/24</f>
        <v>0</v>
      </c>
      <c r="X75" s="35">
        <f ca="1">(((_xlfn.XLOOKUP(YEAR($B75),'Oferta Producto 2'!$B$8:$B$19,'Oferta Producto 2'!$E$8:$E$19))*$AD75)/$AB75)/24</f>
        <v>0</v>
      </c>
      <c r="Y75" s="35">
        <f ca="1">(((_xlfn.XLOOKUP(YEAR($B75),'Oferta Producto 2'!$B$8:$B$19,'Oferta Producto 2'!$E$8:$E$19))*$AD75)/$AB75)/24</f>
        <v>0</v>
      </c>
      <c r="Z75" s="35">
        <f ca="1">(((_xlfn.XLOOKUP(YEAR($B75),'Oferta Producto 2'!$B$8:$B$19,'Oferta Producto 2'!$E$8:$E$19))*$AD75)/$AB75)/24</f>
        <v>0</v>
      </c>
      <c r="AA75" s="35">
        <f t="shared" ca="1" si="5"/>
        <v>0</v>
      </c>
      <c r="AB75" s="28">
        <f t="shared" si="7"/>
        <v>31</v>
      </c>
      <c r="AC75" s="42">
        <f t="shared" ca="1" si="8"/>
        <v>0</v>
      </c>
      <c r="AD75" s="43">
        <v>7.9754971862961654E-2</v>
      </c>
      <c r="AE75" s="8"/>
      <c r="AF75" s="8"/>
    </row>
    <row r="76" spans="1:32" ht="15.75" thickBot="1">
      <c r="A76" s="23">
        <f t="shared" si="6"/>
        <v>2031</v>
      </c>
      <c r="B76" s="27">
        <v>48153</v>
      </c>
      <c r="C76" s="35">
        <f ca="1">(((_xlfn.XLOOKUP(YEAR($B76),'Oferta Producto 2'!$B$8:$B$19,'Oferta Producto 2'!$E$8:$E$19))*$AD76)/$AB76)/24</f>
        <v>0</v>
      </c>
      <c r="D76" s="35">
        <f ca="1">(((_xlfn.XLOOKUP(YEAR($B76),'Oferta Producto 2'!$B$8:$B$19,'Oferta Producto 2'!$E$8:$E$19))*$AD76)/$AB76)/24</f>
        <v>0</v>
      </c>
      <c r="E76" s="35">
        <f ca="1">(((_xlfn.XLOOKUP(YEAR($B76),'Oferta Producto 2'!$B$8:$B$19,'Oferta Producto 2'!$E$8:$E$19))*$AD76)/$AB76)/24</f>
        <v>0</v>
      </c>
      <c r="F76" s="35">
        <f ca="1">(((_xlfn.XLOOKUP(YEAR($B76),'Oferta Producto 2'!$B$8:$B$19,'Oferta Producto 2'!$E$8:$E$19))*$AD76)/$AB76)/24</f>
        <v>0</v>
      </c>
      <c r="G76" s="35">
        <f ca="1">(((_xlfn.XLOOKUP(YEAR($B76),'Oferta Producto 2'!$B$8:$B$19,'Oferta Producto 2'!$E$8:$E$19))*$AD76)/$AB76)/24</f>
        <v>0</v>
      </c>
      <c r="H76" s="35">
        <f ca="1">(((_xlfn.XLOOKUP(YEAR($B76),'Oferta Producto 2'!$B$8:$B$19,'Oferta Producto 2'!$E$8:$E$19))*$AD76)/$AB76)/24</f>
        <v>0</v>
      </c>
      <c r="I76" s="35">
        <f ca="1">(((_xlfn.XLOOKUP(YEAR($B76),'Oferta Producto 2'!$B$8:$B$19,'Oferta Producto 2'!$E$8:$E$19))*$AD76)/$AB76)/24</f>
        <v>0</v>
      </c>
      <c r="J76" s="35">
        <f ca="1">(((_xlfn.XLOOKUP(YEAR($B76),'Oferta Producto 2'!$B$8:$B$19,'Oferta Producto 2'!$E$8:$E$19))*$AD76)/$AB76)/24</f>
        <v>0</v>
      </c>
      <c r="K76" s="35">
        <f ca="1">(((_xlfn.XLOOKUP(YEAR($B76),'Oferta Producto 2'!$B$8:$B$19,'Oferta Producto 2'!$E$8:$E$19))*$AD76)/$AB76)/24</f>
        <v>0</v>
      </c>
      <c r="L76" s="35">
        <f ca="1">(((_xlfn.XLOOKUP(YEAR($B76),'Oferta Producto 2'!$B$8:$B$19,'Oferta Producto 2'!$E$8:$E$19))*$AD76)/$AB76)/24</f>
        <v>0</v>
      </c>
      <c r="M76" s="35">
        <f ca="1">(((_xlfn.XLOOKUP(YEAR($B76),'Oferta Producto 2'!$B$8:$B$19,'Oferta Producto 2'!$E$8:$E$19))*$AD76)/$AB76)/24</f>
        <v>0</v>
      </c>
      <c r="N76" s="35">
        <f ca="1">(((_xlfn.XLOOKUP(YEAR($B76),'Oferta Producto 2'!$B$8:$B$19,'Oferta Producto 2'!$E$8:$E$19))*$AD76)/$AB76)/24</f>
        <v>0</v>
      </c>
      <c r="O76" s="35">
        <f ca="1">(((_xlfn.XLOOKUP(YEAR($B76),'Oferta Producto 2'!$B$8:$B$19,'Oferta Producto 2'!$E$8:$E$19))*$AD76)/$AB76)/24</f>
        <v>0</v>
      </c>
      <c r="P76" s="35">
        <f ca="1">(((_xlfn.XLOOKUP(YEAR($B76),'Oferta Producto 2'!$B$8:$B$19,'Oferta Producto 2'!$E$8:$E$19))*$AD76)/$AB76)/24</f>
        <v>0</v>
      </c>
      <c r="Q76" s="35">
        <f ca="1">(((_xlfn.XLOOKUP(YEAR($B76),'Oferta Producto 2'!$B$8:$B$19,'Oferta Producto 2'!$E$8:$E$19))*$AD76)/$AB76)/24</f>
        <v>0</v>
      </c>
      <c r="R76" s="35">
        <f ca="1">(((_xlfn.XLOOKUP(YEAR($B76),'Oferta Producto 2'!$B$8:$B$19,'Oferta Producto 2'!$E$8:$E$19))*$AD76)/$AB76)/24</f>
        <v>0</v>
      </c>
      <c r="S76" s="35">
        <f ca="1">(((_xlfn.XLOOKUP(YEAR($B76),'Oferta Producto 2'!$B$8:$B$19,'Oferta Producto 2'!$E$8:$E$19))*$AD76)/$AB76)/24</f>
        <v>0</v>
      </c>
      <c r="T76" s="35">
        <f ca="1">(((_xlfn.XLOOKUP(YEAR($B76),'Oferta Producto 2'!$B$8:$B$19,'Oferta Producto 2'!$E$8:$E$19))*$AD76)/$AB76)/24</f>
        <v>0</v>
      </c>
      <c r="U76" s="35">
        <f ca="1">(((_xlfn.XLOOKUP(YEAR($B76),'Oferta Producto 2'!$B$8:$B$19,'Oferta Producto 2'!$E$8:$E$19))*$AD76)/$AB76)/24</f>
        <v>0</v>
      </c>
      <c r="V76" s="35">
        <f ca="1">(((_xlfn.XLOOKUP(YEAR($B76),'Oferta Producto 2'!$B$8:$B$19,'Oferta Producto 2'!$E$8:$E$19))*$AD76)/$AB76)/24</f>
        <v>0</v>
      </c>
      <c r="W76" s="35">
        <f ca="1">(((_xlfn.XLOOKUP(YEAR($B76),'Oferta Producto 2'!$B$8:$B$19,'Oferta Producto 2'!$E$8:$E$19))*$AD76)/$AB76)/24</f>
        <v>0</v>
      </c>
      <c r="X76" s="35">
        <f ca="1">(((_xlfn.XLOOKUP(YEAR($B76),'Oferta Producto 2'!$B$8:$B$19,'Oferta Producto 2'!$E$8:$E$19))*$AD76)/$AB76)/24</f>
        <v>0</v>
      </c>
      <c r="Y76" s="35">
        <f ca="1">(((_xlfn.XLOOKUP(YEAR($B76),'Oferta Producto 2'!$B$8:$B$19,'Oferta Producto 2'!$E$8:$E$19))*$AD76)/$AB76)/24</f>
        <v>0</v>
      </c>
      <c r="Z76" s="35">
        <f ca="1">(((_xlfn.XLOOKUP(YEAR($B76),'Oferta Producto 2'!$B$8:$B$19,'Oferta Producto 2'!$E$8:$E$19))*$AD76)/$AB76)/24</f>
        <v>0</v>
      </c>
      <c r="AA76" s="35">
        <f t="shared" ca="1" si="5"/>
        <v>0</v>
      </c>
      <c r="AB76" s="28">
        <f t="shared" si="7"/>
        <v>30</v>
      </c>
      <c r="AC76" s="42">
        <f t="shared" ca="1" si="8"/>
        <v>0</v>
      </c>
      <c r="AD76" s="43">
        <v>8.5889305812170275E-2</v>
      </c>
      <c r="AE76" s="8"/>
      <c r="AF76" s="8"/>
    </row>
    <row r="77" spans="1:32" ht="15.75" thickBot="1">
      <c r="A77" s="23">
        <f t="shared" si="6"/>
        <v>2031</v>
      </c>
      <c r="B77" s="27">
        <v>48183</v>
      </c>
      <c r="C77" s="35">
        <f ca="1">(((_xlfn.XLOOKUP(YEAR($B77),'Oferta Producto 2'!$B$8:$B$19,'Oferta Producto 2'!$E$8:$E$19))*$AD77)/$AB77)/24</f>
        <v>0</v>
      </c>
      <c r="D77" s="35">
        <f ca="1">(((_xlfn.XLOOKUP(YEAR($B77),'Oferta Producto 2'!$B$8:$B$19,'Oferta Producto 2'!$E$8:$E$19))*$AD77)/$AB77)/24</f>
        <v>0</v>
      </c>
      <c r="E77" s="35">
        <f ca="1">(((_xlfn.XLOOKUP(YEAR($B77),'Oferta Producto 2'!$B$8:$B$19,'Oferta Producto 2'!$E$8:$E$19))*$AD77)/$AB77)/24</f>
        <v>0</v>
      </c>
      <c r="F77" s="35">
        <f ca="1">(((_xlfn.XLOOKUP(YEAR($B77),'Oferta Producto 2'!$B$8:$B$19,'Oferta Producto 2'!$E$8:$E$19))*$AD77)/$AB77)/24</f>
        <v>0</v>
      </c>
      <c r="G77" s="35">
        <f ca="1">(((_xlfn.XLOOKUP(YEAR($B77),'Oferta Producto 2'!$B$8:$B$19,'Oferta Producto 2'!$E$8:$E$19))*$AD77)/$AB77)/24</f>
        <v>0</v>
      </c>
      <c r="H77" s="35">
        <f ca="1">(((_xlfn.XLOOKUP(YEAR($B77),'Oferta Producto 2'!$B$8:$B$19,'Oferta Producto 2'!$E$8:$E$19))*$AD77)/$AB77)/24</f>
        <v>0</v>
      </c>
      <c r="I77" s="35">
        <f ca="1">(((_xlfn.XLOOKUP(YEAR($B77),'Oferta Producto 2'!$B$8:$B$19,'Oferta Producto 2'!$E$8:$E$19))*$AD77)/$AB77)/24</f>
        <v>0</v>
      </c>
      <c r="J77" s="35">
        <f ca="1">(((_xlfn.XLOOKUP(YEAR($B77),'Oferta Producto 2'!$B$8:$B$19,'Oferta Producto 2'!$E$8:$E$19))*$AD77)/$AB77)/24</f>
        <v>0</v>
      </c>
      <c r="K77" s="35">
        <f ca="1">(((_xlfn.XLOOKUP(YEAR($B77),'Oferta Producto 2'!$B$8:$B$19,'Oferta Producto 2'!$E$8:$E$19))*$AD77)/$AB77)/24</f>
        <v>0</v>
      </c>
      <c r="L77" s="35">
        <f ca="1">(((_xlfn.XLOOKUP(YEAR($B77),'Oferta Producto 2'!$B$8:$B$19,'Oferta Producto 2'!$E$8:$E$19))*$AD77)/$AB77)/24</f>
        <v>0</v>
      </c>
      <c r="M77" s="35">
        <f ca="1">(((_xlfn.XLOOKUP(YEAR($B77),'Oferta Producto 2'!$B$8:$B$19,'Oferta Producto 2'!$E$8:$E$19))*$AD77)/$AB77)/24</f>
        <v>0</v>
      </c>
      <c r="N77" s="35">
        <f ca="1">(((_xlfn.XLOOKUP(YEAR($B77),'Oferta Producto 2'!$B$8:$B$19,'Oferta Producto 2'!$E$8:$E$19))*$AD77)/$AB77)/24</f>
        <v>0</v>
      </c>
      <c r="O77" s="35">
        <f ca="1">(((_xlfn.XLOOKUP(YEAR($B77),'Oferta Producto 2'!$B$8:$B$19,'Oferta Producto 2'!$E$8:$E$19))*$AD77)/$AB77)/24</f>
        <v>0</v>
      </c>
      <c r="P77" s="35">
        <f ca="1">(((_xlfn.XLOOKUP(YEAR($B77),'Oferta Producto 2'!$B$8:$B$19,'Oferta Producto 2'!$E$8:$E$19))*$AD77)/$AB77)/24</f>
        <v>0</v>
      </c>
      <c r="Q77" s="35">
        <f ca="1">(((_xlfn.XLOOKUP(YEAR($B77),'Oferta Producto 2'!$B$8:$B$19,'Oferta Producto 2'!$E$8:$E$19))*$AD77)/$AB77)/24</f>
        <v>0</v>
      </c>
      <c r="R77" s="35">
        <f ca="1">(((_xlfn.XLOOKUP(YEAR($B77),'Oferta Producto 2'!$B$8:$B$19,'Oferta Producto 2'!$E$8:$E$19))*$AD77)/$AB77)/24</f>
        <v>0</v>
      </c>
      <c r="S77" s="35">
        <f ca="1">(((_xlfn.XLOOKUP(YEAR($B77),'Oferta Producto 2'!$B$8:$B$19,'Oferta Producto 2'!$E$8:$E$19))*$AD77)/$AB77)/24</f>
        <v>0</v>
      </c>
      <c r="T77" s="35">
        <f ca="1">(((_xlfn.XLOOKUP(YEAR($B77),'Oferta Producto 2'!$B$8:$B$19,'Oferta Producto 2'!$E$8:$E$19))*$AD77)/$AB77)/24</f>
        <v>0</v>
      </c>
      <c r="U77" s="35">
        <f ca="1">(((_xlfn.XLOOKUP(YEAR($B77),'Oferta Producto 2'!$B$8:$B$19,'Oferta Producto 2'!$E$8:$E$19))*$AD77)/$AB77)/24</f>
        <v>0</v>
      </c>
      <c r="V77" s="35">
        <f ca="1">(((_xlfn.XLOOKUP(YEAR($B77),'Oferta Producto 2'!$B$8:$B$19,'Oferta Producto 2'!$E$8:$E$19))*$AD77)/$AB77)/24</f>
        <v>0</v>
      </c>
      <c r="W77" s="35">
        <f ca="1">(((_xlfn.XLOOKUP(YEAR($B77),'Oferta Producto 2'!$B$8:$B$19,'Oferta Producto 2'!$E$8:$E$19))*$AD77)/$AB77)/24</f>
        <v>0</v>
      </c>
      <c r="X77" s="35">
        <f ca="1">(((_xlfn.XLOOKUP(YEAR($B77),'Oferta Producto 2'!$B$8:$B$19,'Oferta Producto 2'!$E$8:$E$19))*$AD77)/$AB77)/24</f>
        <v>0</v>
      </c>
      <c r="Y77" s="35">
        <f ca="1">(((_xlfn.XLOOKUP(YEAR($B77),'Oferta Producto 2'!$B$8:$B$19,'Oferta Producto 2'!$E$8:$E$19))*$AD77)/$AB77)/24</f>
        <v>0</v>
      </c>
      <c r="Z77" s="35">
        <f ca="1">(((_xlfn.XLOOKUP(YEAR($B77),'Oferta Producto 2'!$B$8:$B$19,'Oferta Producto 2'!$E$8:$E$19))*$AD77)/$AB77)/24</f>
        <v>0</v>
      </c>
      <c r="AA77" s="35">
        <f t="shared" ca="1" si="5"/>
        <v>0</v>
      </c>
      <c r="AB77" s="28">
        <f t="shared" si="7"/>
        <v>31</v>
      </c>
      <c r="AC77" s="42">
        <f t="shared" ca="1" si="8"/>
        <v>0</v>
      </c>
      <c r="AD77" s="43">
        <v>7.9754971862961654E-2</v>
      </c>
      <c r="AE77" s="8"/>
      <c r="AF77" s="8"/>
    </row>
    <row r="78" spans="1:32" ht="15.75" thickBot="1">
      <c r="A78" s="23">
        <f t="shared" si="6"/>
        <v>2032</v>
      </c>
      <c r="B78" s="27">
        <v>48214</v>
      </c>
      <c r="C78" s="35">
        <f ca="1">(((_xlfn.XLOOKUP(YEAR($B78),'Oferta Producto 2'!$B$8:$B$19,'Oferta Producto 2'!$E$8:$E$19))*$AD78)/$AB78)/24</f>
        <v>0</v>
      </c>
      <c r="D78" s="35">
        <f ca="1">(((_xlfn.XLOOKUP(YEAR($B78),'Oferta Producto 2'!$B$8:$B$19,'Oferta Producto 2'!$E$8:$E$19))*$AD78)/$AB78)/24</f>
        <v>0</v>
      </c>
      <c r="E78" s="35">
        <f ca="1">(((_xlfn.XLOOKUP(YEAR($B78),'Oferta Producto 2'!$B$8:$B$19,'Oferta Producto 2'!$E$8:$E$19))*$AD78)/$AB78)/24</f>
        <v>0</v>
      </c>
      <c r="F78" s="35">
        <f ca="1">(((_xlfn.XLOOKUP(YEAR($B78),'Oferta Producto 2'!$B$8:$B$19,'Oferta Producto 2'!$E$8:$E$19))*$AD78)/$AB78)/24</f>
        <v>0</v>
      </c>
      <c r="G78" s="35">
        <f ca="1">(((_xlfn.XLOOKUP(YEAR($B78),'Oferta Producto 2'!$B$8:$B$19,'Oferta Producto 2'!$E$8:$E$19))*$AD78)/$AB78)/24</f>
        <v>0</v>
      </c>
      <c r="H78" s="35">
        <f ca="1">(((_xlfn.XLOOKUP(YEAR($B78),'Oferta Producto 2'!$B$8:$B$19,'Oferta Producto 2'!$E$8:$E$19))*$AD78)/$AB78)/24</f>
        <v>0</v>
      </c>
      <c r="I78" s="35">
        <f ca="1">(((_xlfn.XLOOKUP(YEAR($B78),'Oferta Producto 2'!$B$8:$B$19,'Oferta Producto 2'!$E$8:$E$19))*$AD78)/$AB78)/24</f>
        <v>0</v>
      </c>
      <c r="J78" s="35">
        <f ca="1">(((_xlfn.XLOOKUP(YEAR($B78),'Oferta Producto 2'!$B$8:$B$19,'Oferta Producto 2'!$E$8:$E$19))*$AD78)/$AB78)/24</f>
        <v>0</v>
      </c>
      <c r="K78" s="35">
        <f ca="1">(((_xlfn.XLOOKUP(YEAR($B78),'Oferta Producto 2'!$B$8:$B$19,'Oferta Producto 2'!$E$8:$E$19))*$AD78)/$AB78)/24</f>
        <v>0</v>
      </c>
      <c r="L78" s="35">
        <f ca="1">(((_xlfn.XLOOKUP(YEAR($B78),'Oferta Producto 2'!$B$8:$B$19,'Oferta Producto 2'!$E$8:$E$19))*$AD78)/$AB78)/24</f>
        <v>0</v>
      </c>
      <c r="M78" s="35">
        <f ca="1">(((_xlfn.XLOOKUP(YEAR($B78),'Oferta Producto 2'!$B$8:$B$19,'Oferta Producto 2'!$E$8:$E$19))*$AD78)/$AB78)/24</f>
        <v>0</v>
      </c>
      <c r="N78" s="35">
        <f ca="1">(((_xlfn.XLOOKUP(YEAR($B78),'Oferta Producto 2'!$B$8:$B$19,'Oferta Producto 2'!$E$8:$E$19))*$AD78)/$AB78)/24</f>
        <v>0</v>
      </c>
      <c r="O78" s="35">
        <f ca="1">(((_xlfn.XLOOKUP(YEAR($B78),'Oferta Producto 2'!$B$8:$B$19,'Oferta Producto 2'!$E$8:$E$19))*$AD78)/$AB78)/24</f>
        <v>0</v>
      </c>
      <c r="P78" s="35">
        <f ca="1">(((_xlfn.XLOOKUP(YEAR($B78),'Oferta Producto 2'!$B$8:$B$19,'Oferta Producto 2'!$E$8:$E$19))*$AD78)/$AB78)/24</f>
        <v>0</v>
      </c>
      <c r="Q78" s="35">
        <f ca="1">(((_xlfn.XLOOKUP(YEAR($B78),'Oferta Producto 2'!$B$8:$B$19,'Oferta Producto 2'!$E$8:$E$19))*$AD78)/$AB78)/24</f>
        <v>0</v>
      </c>
      <c r="R78" s="35">
        <f ca="1">(((_xlfn.XLOOKUP(YEAR($B78),'Oferta Producto 2'!$B$8:$B$19,'Oferta Producto 2'!$E$8:$E$19))*$AD78)/$AB78)/24</f>
        <v>0</v>
      </c>
      <c r="S78" s="35">
        <f ca="1">(((_xlfn.XLOOKUP(YEAR($B78),'Oferta Producto 2'!$B$8:$B$19,'Oferta Producto 2'!$E$8:$E$19))*$AD78)/$AB78)/24</f>
        <v>0</v>
      </c>
      <c r="T78" s="35">
        <f ca="1">(((_xlfn.XLOOKUP(YEAR($B78),'Oferta Producto 2'!$B$8:$B$19,'Oferta Producto 2'!$E$8:$E$19))*$AD78)/$AB78)/24</f>
        <v>0</v>
      </c>
      <c r="U78" s="35">
        <f ca="1">(((_xlfn.XLOOKUP(YEAR($B78),'Oferta Producto 2'!$B$8:$B$19,'Oferta Producto 2'!$E$8:$E$19))*$AD78)/$AB78)/24</f>
        <v>0</v>
      </c>
      <c r="V78" s="35">
        <f ca="1">(((_xlfn.XLOOKUP(YEAR($B78),'Oferta Producto 2'!$B$8:$B$19,'Oferta Producto 2'!$E$8:$E$19))*$AD78)/$AB78)/24</f>
        <v>0</v>
      </c>
      <c r="W78" s="35">
        <f ca="1">(((_xlfn.XLOOKUP(YEAR($B78),'Oferta Producto 2'!$B$8:$B$19,'Oferta Producto 2'!$E$8:$E$19))*$AD78)/$AB78)/24</f>
        <v>0</v>
      </c>
      <c r="X78" s="35">
        <f ca="1">(((_xlfn.XLOOKUP(YEAR($B78),'Oferta Producto 2'!$B$8:$B$19,'Oferta Producto 2'!$E$8:$E$19))*$AD78)/$AB78)/24</f>
        <v>0</v>
      </c>
      <c r="Y78" s="35">
        <f ca="1">(((_xlfn.XLOOKUP(YEAR($B78),'Oferta Producto 2'!$B$8:$B$19,'Oferta Producto 2'!$E$8:$E$19))*$AD78)/$AB78)/24</f>
        <v>0</v>
      </c>
      <c r="Z78" s="35">
        <f ca="1">(((_xlfn.XLOOKUP(YEAR($B78),'Oferta Producto 2'!$B$8:$B$19,'Oferta Producto 2'!$E$8:$E$19))*$AD78)/$AB78)/24</f>
        <v>0</v>
      </c>
      <c r="AA78" s="35">
        <f t="shared" ca="1" si="5"/>
        <v>0</v>
      </c>
      <c r="AB78" s="28">
        <f t="shared" si="7"/>
        <v>31</v>
      </c>
      <c r="AC78" s="42">
        <f t="shared" ca="1" si="8"/>
        <v>0</v>
      </c>
      <c r="AD78" s="43">
        <v>8.0265408717452039E-2</v>
      </c>
      <c r="AE78" s="8"/>
      <c r="AF78" s="8"/>
    </row>
    <row r="79" spans="1:32" ht="15.75" thickBot="1">
      <c r="A79" s="23">
        <f t="shared" si="6"/>
        <v>2032</v>
      </c>
      <c r="B79" s="27">
        <v>48245</v>
      </c>
      <c r="C79" s="35">
        <f ca="1">(((_xlfn.XLOOKUP(YEAR($B79),'Oferta Producto 2'!$B$8:$B$19,'Oferta Producto 2'!$E$8:$E$19))*$AD79)/$AB79)/24</f>
        <v>0</v>
      </c>
      <c r="D79" s="35">
        <f ca="1">(((_xlfn.XLOOKUP(YEAR($B79),'Oferta Producto 2'!$B$8:$B$19,'Oferta Producto 2'!$E$8:$E$19))*$AD79)/$AB79)/24</f>
        <v>0</v>
      </c>
      <c r="E79" s="35">
        <f ca="1">(((_xlfn.XLOOKUP(YEAR($B79),'Oferta Producto 2'!$B$8:$B$19,'Oferta Producto 2'!$E$8:$E$19))*$AD79)/$AB79)/24</f>
        <v>0</v>
      </c>
      <c r="F79" s="35">
        <f ca="1">(((_xlfn.XLOOKUP(YEAR($B79),'Oferta Producto 2'!$B$8:$B$19,'Oferta Producto 2'!$E$8:$E$19))*$AD79)/$AB79)/24</f>
        <v>0</v>
      </c>
      <c r="G79" s="35">
        <f ca="1">(((_xlfn.XLOOKUP(YEAR($B79),'Oferta Producto 2'!$B$8:$B$19,'Oferta Producto 2'!$E$8:$E$19))*$AD79)/$AB79)/24</f>
        <v>0</v>
      </c>
      <c r="H79" s="35">
        <f ca="1">(((_xlfn.XLOOKUP(YEAR($B79),'Oferta Producto 2'!$B$8:$B$19,'Oferta Producto 2'!$E$8:$E$19))*$AD79)/$AB79)/24</f>
        <v>0</v>
      </c>
      <c r="I79" s="35">
        <f ca="1">(((_xlfn.XLOOKUP(YEAR($B79),'Oferta Producto 2'!$B$8:$B$19,'Oferta Producto 2'!$E$8:$E$19))*$AD79)/$AB79)/24</f>
        <v>0</v>
      </c>
      <c r="J79" s="35">
        <f ca="1">(((_xlfn.XLOOKUP(YEAR($B79),'Oferta Producto 2'!$B$8:$B$19,'Oferta Producto 2'!$E$8:$E$19))*$AD79)/$AB79)/24</f>
        <v>0</v>
      </c>
      <c r="K79" s="35">
        <f ca="1">(((_xlfn.XLOOKUP(YEAR($B79),'Oferta Producto 2'!$B$8:$B$19,'Oferta Producto 2'!$E$8:$E$19))*$AD79)/$AB79)/24</f>
        <v>0</v>
      </c>
      <c r="L79" s="35">
        <f ca="1">(((_xlfn.XLOOKUP(YEAR($B79),'Oferta Producto 2'!$B$8:$B$19,'Oferta Producto 2'!$E$8:$E$19))*$AD79)/$AB79)/24</f>
        <v>0</v>
      </c>
      <c r="M79" s="35">
        <f ca="1">(((_xlfn.XLOOKUP(YEAR($B79),'Oferta Producto 2'!$B$8:$B$19,'Oferta Producto 2'!$E$8:$E$19))*$AD79)/$AB79)/24</f>
        <v>0</v>
      </c>
      <c r="N79" s="35">
        <f ca="1">(((_xlfn.XLOOKUP(YEAR($B79),'Oferta Producto 2'!$B$8:$B$19,'Oferta Producto 2'!$E$8:$E$19))*$AD79)/$AB79)/24</f>
        <v>0</v>
      </c>
      <c r="O79" s="35">
        <f ca="1">(((_xlfn.XLOOKUP(YEAR($B79),'Oferta Producto 2'!$B$8:$B$19,'Oferta Producto 2'!$E$8:$E$19))*$AD79)/$AB79)/24</f>
        <v>0</v>
      </c>
      <c r="P79" s="35">
        <f ca="1">(((_xlfn.XLOOKUP(YEAR($B79),'Oferta Producto 2'!$B$8:$B$19,'Oferta Producto 2'!$E$8:$E$19))*$AD79)/$AB79)/24</f>
        <v>0</v>
      </c>
      <c r="Q79" s="35">
        <f ca="1">(((_xlfn.XLOOKUP(YEAR($B79),'Oferta Producto 2'!$B$8:$B$19,'Oferta Producto 2'!$E$8:$E$19))*$AD79)/$AB79)/24</f>
        <v>0</v>
      </c>
      <c r="R79" s="35">
        <f ca="1">(((_xlfn.XLOOKUP(YEAR($B79),'Oferta Producto 2'!$B$8:$B$19,'Oferta Producto 2'!$E$8:$E$19))*$AD79)/$AB79)/24</f>
        <v>0</v>
      </c>
      <c r="S79" s="35">
        <f ca="1">(((_xlfn.XLOOKUP(YEAR($B79),'Oferta Producto 2'!$B$8:$B$19,'Oferta Producto 2'!$E$8:$E$19))*$AD79)/$AB79)/24</f>
        <v>0</v>
      </c>
      <c r="T79" s="35">
        <f ca="1">(((_xlfn.XLOOKUP(YEAR($B79),'Oferta Producto 2'!$B$8:$B$19,'Oferta Producto 2'!$E$8:$E$19))*$AD79)/$AB79)/24</f>
        <v>0</v>
      </c>
      <c r="U79" s="35">
        <f ca="1">(((_xlfn.XLOOKUP(YEAR($B79),'Oferta Producto 2'!$B$8:$B$19,'Oferta Producto 2'!$E$8:$E$19))*$AD79)/$AB79)/24</f>
        <v>0</v>
      </c>
      <c r="V79" s="35">
        <f ca="1">(((_xlfn.XLOOKUP(YEAR($B79),'Oferta Producto 2'!$B$8:$B$19,'Oferta Producto 2'!$E$8:$E$19))*$AD79)/$AB79)/24</f>
        <v>0</v>
      </c>
      <c r="W79" s="35">
        <f ca="1">(((_xlfn.XLOOKUP(YEAR($B79),'Oferta Producto 2'!$B$8:$B$19,'Oferta Producto 2'!$E$8:$E$19))*$AD79)/$AB79)/24</f>
        <v>0</v>
      </c>
      <c r="X79" s="35">
        <f ca="1">(((_xlfn.XLOOKUP(YEAR($B79),'Oferta Producto 2'!$B$8:$B$19,'Oferta Producto 2'!$E$8:$E$19))*$AD79)/$AB79)/24</f>
        <v>0</v>
      </c>
      <c r="Y79" s="35">
        <f ca="1">(((_xlfn.XLOOKUP(YEAR($B79),'Oferta Producto 2'!$B$8:$B$19,'Oferta Producto 2'!$E$8:$E$19))*$AD79)/$AB79)/24</f>
        <v>0</v>
      </c>
      <c r="Z79" s="35">
        <f ca="1">(((_xlfn.XLOOKUP(YEAR($B79),'Oferta Producto 2'!$B$8:$B$19,'Oferta Producto 2'!$E$8:$E$19))*$AD79)/$AB79)/24</f>
        <v>0</v>
      </c>
      <c r="AA79" s="35">
        <f t="shared" ca="1" si="5"/>
        <v>0</v>
      </c>
      <c r="AB79" s="28">
        <f t="shared" si="7"/>
        <v>29</v>
      </c>
      <c r="AC79" s="42">
        <f t="shared" ca="1" si="8"/>
        <v>0</v>
      </c>
      <c r="AD79" s="43">
        <v>9.2537107180977254E-2</v>
      </c>
      <c r="AE79" s="8"/>
      <c r="AF79" s="8"/>
    </row>
    <row r="80" spans="1:32" ht="15.75" thickBot="1">
      <c r="A80" s="23">
        <f t="shared" si="6"/>
        <v>2032</v>
      </c>
      <c r="B80" s="27">
        <v>48274</v>
      </c>
      <c r="C80" s="35">
        <f ca="1">(((_xlfn.XLOOKUP(YEAR($B80),'Oferta Producto 2'!$B$8:$B$19,'Oferta Producto 2'!$E$8:$E$19))*$AD80)/$AB80)/24</f>
        <v>0</v>
      </c>
      <c r="D80" s="35">
        <f ca="1">(((_xlfn.XLOOKUP(YEAR($B80),'Oferta Producto 2'!$B$8:$B$19,'Oferta Producto 2'!$E$8:$E$19))*$AD80)/$AB80)/24</f>
        <v>0</v>
      </c>
      <c r="E80" s="35">
        <f ca="1">(((_xlfn.XLOOKUP(YEAR($B80),'Oferta Producto 2'!$B$8:$B$19,'Oferta Producto 2'!$E$8:$E$19))*$AD80)/$AB80)/24</f>
        <v>0</v>
      </c>
      <c r="F80" s="35">
        <f ca="1">(((_xlfn.XLOOKUP(YEAR($B80),'Oferta Producto 2'!$B$8:$B$19,'Oferta Producto 2'!$E$8:$E$19))*$AD80)/$AB80)/24</f>
        <v>0</v>
      </c>
      <c r="G80" s="35">
        <f ca="1">(((_xlfn.XLOOKUP(YEAR($B80),'Oferta Producto 2'!$B$8:$B$19,'Oferta Producto 2'!$E$8:$E$19))*$AD80)/$AB80)/24</f>
        <v>0</v>
      </c>
      <c r="H80" s="35">
        <f ca="1">(((_xlfn.XLOOKUP(YEAR($B80),'Oferta Producto 2'!$B$8:$B$19,'Oferta Producto 2'!$E$8:$E$19))*$AD80)/$AB80)/24</f>
        <v>0</v>
      </c>
      <c r="I80" s="35">
        <f ca="1">(((_xlfn.XLOOKUP(YEAR($B80),'Oferta Producto 2'!$B$8:$B$19,'Oferta Producto 2'!$E$8:$E$19))*$AD80)/$AB80)/24</f>
        <v>0</v>
      </c>
      <c r="J80" s="35">
        <f ca="1">(((_xlfn.XLOOKUP(YEAR($B80),'Oferta Producto 2'!$B$8:$B$19,'Oferta Producto 2'!$E$8:$E$19))*$AD80)/$AB80)/24</f>
        <v>0</v>
      </c>
      <c r="K80" s="35">
        <f ca="1">(((_xlfn.XLOOKUP(YEAR($B80),'Oferta Producto 2'!$B$8:$B$19,'Oferta Producto 2'!$E$8:$E$19))*$AD80)/$AB80)/24</f>
        <v>0</v>
      </c>
      <c r="L80" s="35">
        <f ca="1">(((_xlfn.XLOOKUP(YEAR($B80),'Oferta Producto 2'!$B$8:$B$19,'Oferta Producto 2'!$E$8:$E$19))*$AD80)/$AB80)/24</f>
        <v>0</v>
      </c>
      <c r="M80" s="35">
        <f ca="1">(((_xlfn.XLOOKUP(YEAR($B80),'Oferta Producto 2'!$B$8:$B$19,'Oferta Producto 2'!$E$8:$E$19))*$AD80)/$AB80)/24</f>
        <v>0</v>
      </c>
      <c r="N80" s="35">
        <f ca="1">(((_xlfn.XLOOKUP(YEAR($B80),'Oferta Producto 2'!$B$8:$B$19,'Oferta Producto 2'!$E$8:$E$19))*$AD80)/$AB80)/24</f>
        <v>0</v>
      </c>
      <c r="O80" s="35">
        <f ca="1">(((_xlfn.XLOOKUP(YEAR($B80),'Oferta Producto 2'!$B$8:$B$19,'Oferta Producto 2'!$E$8:$E$19))*$AD80)/$AB80)/24</f>
        <v>0</v>
      </c>
      <c r="P80" s="35">
        <f ca="1">(((_xlfn.XLOOKUP(YEAR($B80),'Oferta Producto 2'!$B$8:$B$19,'Oferta Producto 2'!$E$8:$E$19))*$AD80)/$AB80)/24</f>
        <v>0</v>
      </c>
      <c r="Q80" s="35">
        <f ca="1">(((_xlfn.XLOOKUP(YEAR($B80),'Oferta Producto 2'!$B$8:$B$19,'Oferta Producto 2'!$E$8:$E$19))*$AD80)/$AB80)/24</f>
        <v>0</v>
      </c>
      <c r="R80" s="35">
        <f ca="1">(((_xlfn.XLOOKUP(YEAR($B80),'Oferta Producto 2'!$B$8:$B$19,'Oferta Producto 2'!$E$8:$E$19))*$AD80)/$AB80)/24</f>
        <v>0</v>
      </c>
      <c r="S80" s="35">
        <f ca="1">(((_xlfn.XLOOKUP(YEAR($B80),'Oferta Producto 2'!$B$8:$B$19,'Oferta Producto 2'!$E$8:$E$19))*$AD80)/$AB80)/24</f>
        <v>0</v>
      </c>
      <c r="T80" s="35">
        <f ca="1">(((_xlfn.XLOOKUP(YEAR($B80),'Oferta Producto 2'!$B$8:$B$19,'Oferta Producto 2'!$E$8:$E$19))*$AD80)/$AB80)/24</f>
        <v>0</v>
      </c>
      <c r="U80" s="35">
        <f ca="1">(((_xlfn.XLOOKUP(YEAR($B80),'Oferta Producto 2'!$B$8:$B$19,'Oferta Producto 2'!$E$8:$E$19))*$AD80)/$AB80)/24</f>
        <v>0</v>
      </c>
      <c r="V80" s="35">
        <f ca="1">(((_xlfn.XLOOKUP(YEAR($B80),'Oferta Producto 2'!$B$8:$B$19,'Oferta Producto 2'!$E$8:$E$19))*$AD80)/$AB80)/24</f>
        <v>0</v>
      </c>
      <c r="W80" s="35">
        <f ca="1">(((_xlfn.XLOOKUP(YEAR($B80),'Oferta Producto 2'!$B$8:$B$19,'Oferta Producto 2'!$E$8:$E$19))*$AD80)/$AB80)/24</f>
        <v>0</v>
      </c>
      <c r="X80" s="35">
        <f ca="1">(((_xlfn.XLOOKUP(YEAR($B80),'Oferta Producto 2'!$B$8:$B$19,'Oferta Producto 2'!$E$8:$E$19))*$AD80)/$AB80)/24</f>
        <v>0</v>
      </c>
      <c r="Y80" s="35">
        <f ca="1">(((_xlfn.XLOOKUP(YEAR($B80),'Oferta Producto 2'!$B$8:$B$19,'Oferta Producto 2'!$E$8:$E$19))*$AD80)/$AB80)/24</f>
        <v>0</v>
      </c>
      <c r="Z80" s="35">
        <f ca="1">(((_xlfn.XLOOKUP(YEAR($B80),'Oferta Producto 2'!$B$8:$B$19,'Oferta Producto 2'!$E$8:$E$19))*$AD80)/$AB80)/24</f>
        <v>0</v>
      </c>
      <c r="AA80" s="35">
        <f t="shared" ca="1" si="5"/>
        <v>0</v>
      </c>
      <c r="AB80" s="28">
        <f t="shared" si="7"/>
        <v>31</v>
      </c>
      <c r="AC80" s="42">
        <f t="shared" ca="1" si="8"/>
        <v>0</v>
      </c>
      <c r="AD80" s="43">
        <v>8.0265408717452039E-2</v>
      </c>
      <c r="AE80" s="8"/>
      <c r="AF80" s="8"/>
    </row>
    <row r="81" spans="1:32" ht="15.75" thickBot="1">
      <c r="A81" s="23">
        <f t="shared" si="6"/>
        <v>2032</v>
      </c>
      <c r="B81" s="27">
        <v>48305</v>
      </c>
      <c r="C81" s="35">
        <f ca="1">(((_xlfn.XLOOKUP(YEAR($B81),'Oferta Producto 2'!$B$8:$B$19,'Oferta Producto 2'!$E$8:$E$19))*$AD81)/$AB81)/24</f>
        <v>0</v>
      </c>
      <c r="D81" s="35">
        <f ca="1">(((_xlfn.XLOOKUP(YEAR($B81),'Oferta Producto 2'!$B$8:$B$19,'Oferta Producto 2'!$E$8:$E$19))*$AD81)/$AB81)/24</f>
        <v>0</v>
      </c>
      <c r="E81" s="35">
        <f ca="1">(((_xlfn.XLOOKUP(YEAR($B81),'Oferta Producto 2'!$B$8:$B$19,'Oferta Producto 2'!$E$8:$E$19))*$AD81)/$AB81)/24</f>
        <v>0</v>
      </c>
      <c r="F81" s="35">
        <f ca="1">(((_xlfn.XLOOKUP(YEAR($B81),'Oferta Producto 2'!$B$8:$B$19,'Oferta Producto 2'!$E$8:$E$19))*$AD81)/$AB81)/24</f>
        <v>0</v>
      </c>
      <c r="G81" s="35">
        <f ca="1">(((_xlfn.XLOOKUP(YEAR($B81),'Oferta Producto 2'!$B$8:$B$19,'Oferta Producto 2'!$E$8:$E$19))*$AD81)/$AB81)/24</f>
        <v>0</v>
      </c>
      <c r="H81" s="35">
        <f ca="1">(((_xlfn.XLOOKUP(YEAR($B81),'Oferta Producto 2'!$B$8:$B$19,'Oferta Producto 2'!$E$8:$E$19))*$AD81)/$AB81)/24</f>
        <v>0</v>
      </c>
      <c r="I81" s="35">
        <f ca="1">(((_xlfn.XLOOKUP(YEAR($B81),'Oferta Producto 2'!$B$8:$B$19,'Oferta Producto 2'!$E$8:$E$19))*$AD81)/$AB81)/24</f>
        <v>0</v>
      </c>
      <c r="J81" s="35">
        <f ca="1">(((_xlfn.XLOOKUP(YEAR($B81),'Oferta Producto 2'!$B$8:$B$19,'Oferta Producto 2'!$E$8:$E$19))*$AD81)/$AB81)/24</f>
        <v>0</v>
      </c>
      <c r="K81" s="35">
        <f ca="1">(((_xlfn.XLOOKUP(YEAR($B81),'Oferta Producto 2'!$B$8:$B$19,'Oferta Producto 2'!$E$8:$E$19))*$AD81)/$AB81)/24</f>
        <v>0</v>
      </c>
      <c r="L81" s="35">
        <f ca="1">(((_xlfn.XLOOKUP(YEAR($B81),'Oferta Producto 2'!$B$8:$B$19,'Oferta Producto 2'!$E$8:$E$19))*$AD81)/$AB81)/24</f>
        <v>0</v>
      </c>
      <c r="M81" s="35">
        <f ca="1">(((_xlfn.XLOOKUP(YEAR($B81),'Oferta Producto 2'!$B$8:$B$19,'Oferta Producto 2'!$E$8:$E$19))*$AD81)/$AB81)/24</f>
        <v>0</v>
      </c>
      <c r="N81" s="35">
        <f ca="1">(((_xlfn.XLOOKUP(YEAR($B81),'Oferta Producto 2'!$B$8:$B$19,'Oferta Producto 2'!$E$8:$E$19))*$AD81)/$AB81)/24</f>
        <v>0</v>
      </c>
      <c r="O81" s="35">
        <f ca="1">(((_xlfn.XLOOKUP(YEAR($B81),'Oferta Producto 2'!$B$8:$B$19,'Oferta Producto 2'!$E$8:$E$19))*$AD81)/$AB81)/24</f>
        <v>0</v>
      </c>
      <c r="P81" s="35">
        <f ca="1">(((_xlfn.XLOOKUP(YEAR($B81),'Oferta Producto 2'!$B$8:$B$19,'Oferta Producto 2'!$E$8:$E$19))*$AD81)/$AB81)/24</f>
        <v>0</v>
      </c>
      <c r="Q81" s="35">
        <f ca="1">(((_xlfn.XLOOKUP(YEAR($B81),'Oferta Producto 2'!$B$8:$B$19,'Oferta Producto 2'!$E$8:$E$19))*$AD81)/$AB81)/24</f>
        <v>0</v>
      </c>
      <c r="R81" s="35">
        <f ca="1">(((_xlfn.XLOOKUP(YEAR($B81),'Oferta Producto 2'!$B$8:$B$19,'Oferta Producto 2'!$E$8:$E$19))*$AD81)/$AB81)/24</f>
        <v>0</v>
      </c>
      <c r="S81" s="35">
        <f ca="1">(((_xlfn.XLOOKUP(YEAR($B81),'Oferta Producto 2'!$B$8:$B$19,'Oferta Producto 2'!$E$8:$E$19))*$AD81)/$AB81)/24</f>
        <v>0</v>
      </c>
      <c r="T81" s="35">
        <f ca="1">(((_xlfn.XLOOKUP(YEAR($B81),'Oferta Producto 2'!$B$8:$B$19,'Oferta Producto 2'!$E$8:$E$19))*$AD81)/$AB81)/24</f>
        <v>0</v>
      </c>
      <c r="U81" s="35">
        <f ca="1">(((_xlfn.XLOOKUP(YEAR($B81),'Oferta Producto 2'!$B$8:$B$19,'Oferta Producto 2'!$E$8:$E$19))*$AD81)/$AB81)/24</f>
        <v>0</v>
      </c>
      <c r="V81" s="35">
        <f ca="1">(((_xlfn.XLOOKUP(YEAR($B81),'Oferta Producto 2'!$B$8:$B$19,'Oferta Producto 2'!$E$8:$E$19))*$AD81)/$AB81)/24</f>
        <v>0</v>
      </c>
      <c r="W81" s="35">
        <f ca="1">(((_xlfn.XLOOKUP(YEAR($B81),'Oferta Producto 2'!$B$8:$B$19,'Oferta Producto 2'!$E$8:$E$19))*$AD81)/$AB81)/24</f>
        <v>0</v>
      </c>
      <c r="X81" s="35">
        <f ca="1">(((_xlfn.XLOOKUP(YEAR($B81),'Oferta Producto 2'!$B$8:$B$19,'Oferta Producto 2'!$E$8:$E$19))*$AD81)/$AB81)/24</f>
        <v>0</v>
      </c>
      <c r="Y81" s="35">
        <f ca="1">(((_xlfn.XLOOKUP(YEAR($B81),'Oferta Producto 2'!$B$8:$B$19,'Oferta Producto 2'!$E$8:$E$19))*$AD81)/$AB81)/24</f>
        <v>0</v>
      </c>
      <c r="Z81" s="35">
        <f ca="1">(((_xlfn.XLOOKUP(YEAR($B81),'Oferta Producto 2'!$B$8:$B$19,'Oferta Producto 2'!$E$8:$E$19))*$AD81)/$AB81)/24</f>
        <v>0</v>
      </c>
      <c r="AA81" s="35">
        <f t="shared" ca="1" si="5"/>
        <v>0</v>
      </c>
      <c r="AB81" s="28">
        <f t="shared" si="7"/>
        <v>30</v>
      </c>
      <c r="AC81" s="42">
        <f t="shared" ca="1" si="8"/>
        <v>0</v>
      </c>
      <c r="AD81" s="43">
        <v>8.6401257949214647E-2</v>
      </c>
      <c r="AE81" s="8"/>
      <c r="AF81" s="8"/>
    </row>
    <row r="82" spans="1:32" ht="15.75" thickBot="1">
      <c r="A82" s="23">
        <f t="shared" si="6"/>
        <v>2032</v>
      </c>
      <c r="B82" s="27">
        <v>48335</v>
      </c>
      <c r="C82" s="35">
        <f ca="1">(((_xlfn.XLOOKUP(YEAR($B82),'Oferta Producto 2'!$B$8:$B$19,'Oferta Producto 2'!$E$8:$E$19))*$AD82)/$AB82)/24</f>
        <v>0</v>
      </c>
      <c r="D82" s="35">
        <f ca="1">(((_xlfn.XLOOKUP(YEAR($B82),'Oferta Producto 2'!$B$8:$B$19,'Oferta Producto 2'!$E$8:$E$19))*$AD82)/$AB82)/24</f>
        <v>0</v>
      </c>
      <c r="E82" s="35">
        <f ca="1">(((_xlfn.XLOOKUP(YEAR($B82),'Oferta Producto 2'!$B$8:$B$19,'Oferta Producto 2'!$E$8:$E$19))*$AD82)/$AB82)/24</f>
        <v>0</v>
      </c>
      <c r="F82" s="35">
        <f ca="1">(((_xlfn.XLOOKUP(YEAR($B82),'Oferta Producto 2'!$B$8:$B$19,'Oferta Producto 2'!$E$8:$E$19))*$AD82)/$AB82)/24</f>
        <v>0</v>
      </c>
      <c r="G82" s="35">
        <f ca="1">(((_xlfn.XLOOKUP(YEAR($B82),'Oferta Producto 2'!$B$8:$B$19,'Oferta Producto 2'!$E$8:$E$19))*$AD82)/$AB82)/24</f>
        <v>0</v>
      </c>
      <c r="H82" s="35">
        <f ca="1">(((_xlfn.XLOOKUP(YEAR($B82),'Oferta Producto 2'!$B$8:$B$19,'Oferta Producto 2'!$E$8:$E$19))*$AD82)/$AB82)/24</f>
        <v>0</v>
      </c>
      <c r="I82" s="35">
        <f ca="1">(((_xlfn.XLOOKUP(YEAR($B82),'Oferta Producto 2'!$B$8:$B$19,'Oferta Producto 2'!$E$8:$E$19))*$AD82)/$AB82)/24</f>
        <v>0</v>
      </c>
      <c r="J82" s="35">
        <f ca="1">(((_xlfn.XLOOKUP(YEAR($B82),'Oferta Producto 2'!$B$8:$B$19,'Oferta Producto 2'!$E$8:$E$19))*$AD82)/$AB82)/24</f>
        <v>0</v>
      </c>
      <c r="K82" s="35">
        <f ca="1">(((_xlfn.XLOOKUP(YEAR($B82),'Oferta Producto 2'!$B$8:$B$19,'Oferta Producto 2'!$E$8:$E$19))*$AD82)/$AB82)/24</f>
        <v>0</v>
      </c>
      <c r="L82" s="35">
        <f ca="1">(((_xlfn.XLOOKUP(YEAR($B82),'Oferta Producto 2'!$B$8:$B$19,'Oferta Producto 2'!$E$8:$E$19))*$AD82)/$AB82)/24</f>
        <v>0</v>
      </c>
      <c r="M82" s="35">
        <f ca="1">(((_xlfn.XLOOKUP(YEAR($B82),'Oferta Producto 2'!$B$8:$B$19,'Oferta Producto 2'!$E$8:$E$19))*$AD82)/$AB82)/24</f>
        <v>0</v>
      </c>
      <c r="N82" s="35">
        <f ca="1">(((_xlfn.XLOOKUP(YEAR($B82),'Oferta Producto 2'!$B$8:$B$19,'Oferta Producto 2'!$E$8:$E$19))*$AD82)/$AB82)/24</f>
        <v>0</v>
      </c>
      <c r="O82" s="35">
        <f ca="1">(((_xlfn.XLOOKUP(YEAR($B82),'Oferta Producto 2'!$B$8:$B$19,'Oferta Producto 2'!$E$8:$E$19))*$AD82)/$AB82)/24</f>
        <v>0</v>
      </c>
      <c r="P82" s="35">
        <f ca="1">(((_xlfn.XLOOKUP(YEAR($B82),'Oferta Producto 2'!$B$8:$B$19,'Oferta Producto 2'!$E$8:$E$19))*$AD82)/$AB82)/24</f>
        <v>0</v>
      </c>
      <c r="Q82" s="35">
        <f ca="1">(((_xlfn.XLOOKUP(YEAR($B82),'Oferta Producto 2'!$B$8:$B$19,'Oferta Producto 2'!$E$8:$E$19))*$AD82)/$AB82)/24</f>
        <v>0</v>
      </c>
      <c r="R82" s="35">
        <f ca="1">(((_xlfn.XLOOKUP(YEAR($B82),'Oferta Producto 2'!$B$8:$B$19,'Oferta Producto 2'!$E$8:$E$19))*$AD82)/$AB82)/24</f>
        <v>0</v>
      </c>
      <c r="S82" s="35">
        <f ca="1">(((_xlfn.XLOOKUP(YEAR($B82),'Oferta Producto 2'!$B$8:$B$19,'Oferta Producto 2'!$E$8:$E$19))*$AD82)/$AB82)/24</f>
        <v>0</v>
      </c>
      <c r="T82" s="35">
        <f ca="1">(((_xlfn.XLOOKUP(YEAR($B82),'Oferta Producto 2'!$B$8:$B$19,'Oferta Producto 2'!$E$8:$E$19))*$AD82)/$AB82)/24</f>
        <v>0</v>
      </c>
      <c r="U82" s="35">
        <f ca="1">(((_xlfn.XLOOKUP(YEAR($B82),'Oferta Producto 2'!$B$8:$B$19,'Oferta Producto 2'!$E$8:$E$19))*$AD82)/$AB82)/24</f>
        <v>0</v>
      </c>
      <c r="V82" s="35">
        <f ca="1">(((_xlfn.XLOOKUP(YEAR($B82),'Oferta Producto 2'!$B$8:$B$19,'Oferta Producto 2'!$E$8:$E$19))*$AD82)/$AB82)/24</f>
        <v>0</v>
      </c>
      <c r="W82" s="35">
        <f ca="1">(((_xlfn.XLOOKUP(YEAR($B82),'Oferta Producto 2'!$B$8:$B$19,'Oferta Producto 2'!$E$8:$E$19))*$AD82)/$AB82)/24</f>
        <v>0</v>
      </c>
      <c r="X82" s="35">
        <f ca="1">(((_xlfn.XLOOKUP(YEAR($B82),'Oferta Producto 2'!$B$8:$B$19,'Oferta Producto 2'!$E$8:$E$19))*$AD82)/$AB82)/24</f>
        <v>0</v>
      </c>
      <c r="Y82" s="35">
        <f ca="1">(((_xlfn.XLOOKUP(YEAR($B82),'Oferta Producto 2'!$B$8:$B$19,'Oferta Producto 2'!$E$8:$E$19))*$AD82)/$AB82)/24</f>
        <v>0</v>
      </c>
      <c r="Z82" s="35">
        <f ca="1">(((_xlfn.XLOOKUP(YEAR($B82),'Oferta Producto 2'!$B$8:$B$19,'Oferta Producto 2'!$E$8:$E$19))*$AD82)/$AB82)/24</f>
        <v>0</v>
      </c>
      <c r="AA82" s="35">
        <f t="shared" ca="1" si="5"/>
        <v>0</v>
      </c>
      <c r="AB82" s="28">
        <f t="shared" si="7"/>
        <v>31</v>
      </c>
      <c r="AC82" s="42">
        <f t="shared" ca="1" si="8"/>
        <v>0</v>
      </c>
      <c r="AD82" s="43">
        <v>8.0265408717452039E-2</v>
      </c>
      <c r="AE82" s="8"/>
      <c r="AF82" s="8"/>
    </row>
    <row r="83" spans="1:32" ht="15.75" thickBot="1">
      <c r="A83" s="23">
        <f t="shared" si="6"/>
        <v>2032</v>
      </c>
      <c r="B83" s="27">
        <v>48366</v>
      </c>
      <c r="C83" s="35">
        <f ca="1">(((_xlfn.XLOOKUP(YEAR($B83),'Oferta Producto 2'!$B$8:$B$19,'Oferta Producto 2'!$E$8:$E$19))*$AD83)/$AB83)/24</f>
        <v>0</v>
      </c>
      <c r="D83" s="35">
        <f ca="1">(((_xlfn.XLOOKUP(YEAR($B83),'Oferta Producto 2'!$B$8:$B$19,'Oferta Producto 2'!$E$8:$E$19))*$AD83)/$AB83)/24</f>
        <v>0</v>
      </c>
      <c r="E83" s="35">
        <f ca="1">(((_xlfn.XLOOKUP(YEAR($B83),'Oferta Producto 2'!$B$8:$B$19,'Oferta Producto 2'!$E$8:$E$19))*$AD83)/$AB83)/24</f>
        <v>0</v>
      </c>
      <c r="F83" s="35">
        <f ca="1">(((_xlfn.XLOOKUP(YEAR($B83),'Oferta Producto 2'!$B$8:$B$19,'Oferta Producto 2'!$E$8:$E$19))*$AD83)/$AB83)/24</f>
        <v>0</v>
      </c>
      <c r="G83" s="35">
        <f ca="1">(((_xlfn.XLOOKUP(YEAR($B83),'Oferta Producto 2'!$B$8:$B$19,'Oferta Producto 2'!$E$8:$E$19))*$AD83)/$AB83)/24</f>
        <v>0</v>
      </c>
      <c r="H83" s="35">
        <f ca="1">(((_xlfn.XLOOKUP(YEAR($B83),'Oferta Producto 2'!$B$8:$B$19,'Oferta Producto 2'!$E$8:$E$19))*$AD83)/$AB83)/24</f>
        <v>0</v>
      </c>
      <c r="I83" s="35">
        <f ca="1">(((_xlfn.XLOOKUP(YEAR($B83),'Oferta Producto 2'!$B$8:$B$19,'Oferta Producto 2'!$E$8:$E$19))*$AD83)/$AB83)/24</f>
        <v>0</v>
      </c>
      <c r="J83" s="35">
        <f ca="1">(((_xlfn.XLOOKUP(YEAR($B83),'Oferta Producto 2'!$B$8:$B$19,'Oferta Producto 2'!$E$8:$E$19))*$AD83)/$AB83)/24</f>
        <v>0</v>
      </c>
      <c r="K83" s="35">
        <f ca="1">(((_xlfn.XLOOKUP(YEAR($B83),'Oferta Producto 2'!$B$8:$B$19,'Oferta Producto 2'!$E$8:$E$19))*$AD83)/$AB83)/24</f>
        <v>0</v>
      </c>
      <c r="L83" s="35">
        <f ca="1">(((_xlfn.XLOOKUP(YEAR($B83),'Oferta Producto 2'!$B$8:$B$19,'Oferta Producto 2'!$E$8:$E$19))*$AD83)/$AB83)/24</f>
        <v>0</v>
      </c>
      <c r="M83" s="35">
        <f ca="1">(((_xlfn.XLOOKUP(YEAR($B83),'Oferta Producto 2'!$B$8:$B$19,'Oferta Producto 2'!$E$8:$E$19))*$AD83)/$AB83)/24</f>
        <v>0</v>
      </c>
      <c r="N83" s="35">
        <f ca="1">(((_xlfn.XLOOKUP(YEAR($B83),'Oferta Producto 2'!$B$8:$B$19,'Oferta Producto 2'!$E$8:$E$19))*$AD83)/$AB83)/24</f>
        <v>0</v>
      </c>
      <c r="O83" s="35">
        <f ca="1">(((_xlfn.XLOOKUP(YEAR($B83),'Oferta Producto 2'!$B$8:$B$19,'Oferta Producto 2'!$E$8:$E$19))*$AD83)/$AB83)/24</f>
        <v>0</v>
      </c>
      <c r="P83" s="35">
        <f ca="1">(((_xlfn.XLOOKUP(YEAR($B83),'Oferta Producto 2'!$B$8:$B$19,'Oferta Producto 2'!$E$8:$E$19))*$AD83)/$AB83)/24</f>
        <v>0</v>
      </c>
      <c r="Q83" s="35">
        <f ca="1">(((_xlfn.XLOOKUP(YEAR($B83),'Oferta Producto 2'!$B$8:$B$19,'Oferta Producto 2'!$E$8:$E$19))*$AD83)/$AB83)/24</f>
        <v>0</v>
      </c>
      <c r="R83" s="35">
        <f ca="1">(((_xlfn.XLOOKUP(YEAR($B83),'Oferta Producto 2'!$B$8:$B$19,'Oferta Producto 2'!$E$8:$E$19))*$AD83)/$AB83)/24</f>
        <v>0</v>
      </c>
      <c r="S83" s="35">
        <f ca="1">(((_xlfn.XLOOKUP(YEAR($B83),'Oferta Producto 2'!$B$8:$B$19,'Oferta Producto 2'!$E$8:$E$19))*$AD83)/$AB83)/24</f>
        <v>0</v>
      </c>
      <c r="T83" s="35">
        <f ca="1">(((_xlfn.XLOOKUP(YEAR($B83),'Oferta Producto 2'!$B$8:$B$19,'Oferta Producto 2'!$E$8:$E$19))*$AD83)/$AB83)/24</f>
        <v>0</v>
      </c>
      <c r="U83" s="35">
        <f ca="1">(((_xlfn.XLOOKUP(YEAR($B83),'Oferta Producto 2'!$B$8:$B$19,'Oferta Producto 2'!$E$8:$E$19))*$AD83)/$AB83)/24</f>
        <v>0</v>
      </c>
      <c r="V83" s="35">
        <f ca="1">(((_xlfn.XLOOKUP(YEAR($B83),'Oferta Producto 2'!$B$8:$B$19,'Oferta Producto 2'!$E$8:$E$19))*$AD83)/$AB83)/24</f>
        <v>0</v>
      </c>
      <c r="W83" s="35">
        <f ca="1">(((_xlfn.XLOOKUP(YEAR($B83),'Oferta Producto 2'!$B$8:$B$19,'Oferta Producto 2'!$E$8:$E$19))*$AD83)/$AB83)/24</f>
        <v>0</v>
      </c>
      <c r="X83" s="35">
        <f ca="1">(((_xlfn.XLOOKUP(YEAR($B83),'Oferta Producto 2'!$B$8:$B$19,'Oferta Producto 2'!$E$8:$E$19))*$AD83)/$AB83)/24</f>
        <v>0</v>
      </c>
      <c r="Y83" s="35">
        <f ca="1">(((_xlfn.XLOOKUP(YEAR($B83),'Oferta Producto 2'!$B$8:$B$19,'Oferta Producto 2'!$E$8:$E$19))*$AD83)/$AB83)/24</f>
        <v>0</v>
      </c>
      <c r="Z83" s="35">
        <f ca="1">(((_xlfn.XLOOKUP(YEAR($B83),'Oferta Producto 2'!$B$8:$B$19,'Oferta Producto 2'!$E$8:$E$19))*$AD83)/$AB83)/24</f>
        <v>0</v>
      </c>
      <c r="AA83" s="35">
        <f t="shared" ca="1" si="5"/>
        <v>0</v>
      </c>
      <c r="AB83" s="28">
        <f t="shared" si="7"/>
        <v>30</v>
      </c>
      <c r="AC83" s="42">
        <f t="shared" ca="1" si="8"/>
        <v>0</v>
      </c>
      <c r="AD83" s="43">
        <v>8.6401257949214647E-2</v>
      </c>
      <c r="AE83" s="8"/>
      <c r="AF83" s="8"/>
    </row>
    <row r="84" spans="1:32" ht="15.75" thickBot="1">
      <c r="A84" s="23">
        <f t="shared" si="6"/>
        <v>2032</v>
      </c>
      <c r="B84" s="27">
        <v>48396</v>
      </c>
      <c r="C84" s="35">
        <f ca="1">(((_xlfn.XLOOKUP(YEAR($B84),'Oferta Producto 2'!$B$8:$B$19,'Oferta Producto 2'!$E$8:$E$19))*$AD84)/$AB84)/24</f>
        <v>0</v>
      </c>
      <c r="D84" s="35">
        <f ca="1">(((_xlfn.XLOOKUP(YEAR($B84),'Oferta Producto 2'!$B$8:$B$19,'Oferta Producto 2'!$E$8:$E$19))*$AD84)/$AB84)/24</f>
        <v>0</v>
      </c>
      <c r="E84" s="35">
        <f ca="1">(((_xlfn.XLOOKUP(YEAR($B84),'Oferta Producto 2'!$B$8:$B$19,'Oferta Producto 2'!$E$8:$E$19))*$AD84)/$AB84)/24</f>
        <v>0</v>
      </c>
      <c r="F84" s="35">
        <f ca="1">(((_xlfn.XLOOKUP(YEAR($B84),'Oferta Producto 2'!$B$8:$B$19,'Oferta Producto 2'!$E$8:$E$19))*$AD84)/$AB84)/24</f>
        <v>0</v>
      </c>
      <c r="G84" s="35">
        <f ca="1">(((_xlfn.XLOOKUP(YEAR($B84),'Oferta Producto 2'!$B$8:$B$19,'Oferta Producto 2'!$E$8:$E$19))*$AD84)/$AB84)/24</f>
        <v>0</v>
      </c>
      <c r="H84" s="35">
        <f ca="1">(((_xlfn.XLOOKUP(YEAR($B84),'Oferta Producto 2'!$B$8:$B$19,'Oferta Producto 2'!$E$8:$E$19))*$AD84)/$AB84)/24</f>
        <v>0</v>
      </c>
      <c r="I84" s="35">
        <f ca="1">(((_xlfn.XLOOKUP(YEAR($B84),'Oferta Producto 2'!$B$8:$B$19,'Oferta Producto 2'!$E$8:$E$19))*$AD84)/$AB84)/24</f>
        <v>0</v>
      </c>
      <c r="J84" s="35">
        <f ca="1">(((_xlfn.XLOOKUP(YEAR($B84),'Oferta Producto 2'!$B$8:$B$19,'Oferta Producto 2'!$E$8:$E$19))*$AD84)/$AB84)/24</f>
        <v>0</v>
      </c>
      <c r="K84" s="35">
        <f ca="1">(((_xlfn.XLOOKUP(YEAR($B84),'Oferta Producto 2'!$B$8:$B$19,'Oferta Producto 2'!$E$8:$E$19))*$AD84)/$AB84)/24</f>
        <v>0</v>
      </c>
      <c r="L84" s="35">
        <f ca="1">(((_xlfn.XLOOKUP(YEAR($B84),'Oferta Producto 2'!$B$8:$B$19,'Oferta Producto 2'!$E$8:$E$19))*$AD84)/$AB84)/24</f>
        <v>0</v>
      </c>
      <c r="M84" s="35">
        <f ca="1">(((_xlfn.XLOOKUP(YEAR($B84),'Oferta Producto 2'!$B$8:$B$19,'Oferta Producto 2'!$E$8:$E$19))*$AD84)/$AB84)/24</f>
        <v>0</v>
      </c>
      <c r="N84" s="35">
        <f ca="1">(((_xlfn.XLOOKUP(YEAR($B84),'Oferta Producto 2'!$B$8:$B$19,'Oferta Producto 2'!$E$8:$E$19))*$AD84)/$AB84)/24</f>
        <v>0</v>
      </c>
      <c r="O84" s="35">
        <f ca="1">(((_xlfn.XLOOKUP(YEAR($B84),'Oferta Producto 2'!$B$8:$B$19,'Oferta Producto 2'!$E$8:$E$19))*$AD84)/$AB84)/24</f>
        <v>0</v>
      </c>
      <c r="P84" s="35">
        <f ca="1">(((_xlfn.XLOOKUP(YEAR($B84),'Oferta Producto 2'!$B$8:$B$19,'Oferta Producto 2'!$E$8:$E$19))*$AD84)/$AB84)/24</f>
        <v>0</v>
      </c>
      <c r="Q84" s="35">
        <f ca="1">(((_xlfn.XLOOKUP(YEAR($B84),'Oferta Producto 2'!$B$8:$B$19,'Oferta Producto 2'!$E$8:$E$19))*$AD84)/$AB84)/24</f>
        <v>0</v>
      </c>
      <c r="R84" s="35">
        <f ca="1">(((_xlfn.XLOOKUP(YEAR($B84),'Oferta Producto 2'!$B$8:$B$19,'Oferta Producto 2'!$E$8:$E$19))*$AD84)/$AB84)/24</f>
        <v>0</v>
      </c>
      <c r="S84" s="35">
        <f ca="1">(((_xlfn.XLOOKUP(YEAR($B84),'Oferta Producto 2'!$B$8:$B$19,'Oferta Producto 2'!$E$8:$E$19))*$AD84)/$AB84)/24</f>
        <v>0</v>
      </c>
      <c r="T84" s="35">
        <f ca="1">(((_xlfn.XLOOKUP(YEAR($B84),'Oferta Producto 2'!$B$8:$B$19,'Oferta Producto 2'!$E$8:$E$19))*$AD84)/$AB84)/24</f>
        <v>0</v>
      </c>
      <c r="U84" s="35">
        <f ca="1">(((_xlfn.XLOOKUP(YEAR($B84),'Oferta Producto 2'!$B$8:$B$19,'Oferta Producto 2'!$E$8:$E$19))*$AD84)/$AB84)/24</f>
        <v>0</v>
      </c>
      <c r="V84" s="35">
        <f ca="1">(((_xlfn.XLOOKUP(YEAR($B84),'Oferta Producto 2'!$B$8:$B$19,'Oferta Producto 2'!$E$8:$E$19))*$AD84)/$AB84)/24</f>
        <v>0</v>
      </c>
      <c r="W84" s="35">
        <f ca="1">(((_xlfn.XLOOKUP(YEAR($B84),'Oferta Producto 2'!$B$8:$B$19,'Oferta Producto 2'!$E$8:$E$19))*$AD84)/$AB84)/24</f>
        <v>0</v>
      </c>
      <c r="X84" s="35">
        <f ca="1">(((_xlfn.XLOOKUP(YEAR($B84),'Oferta Producto 2'!$B$8:$B$19,'Oferta Producto 2'!$E$8:$E$19))*$AD84)/$AB84)/24</f>
        <v>0</v>
      </c>
      <c r="Y84" s="35">
        <f ca="1">(((_xlfn.XLOOKUP(YEAR($B84),'Oferta Producto 2'!$B$8:$B$19,'Oferta Producto 2'!$E$8:$E$19))*$AD84)/$AB84)/24</f>
        <v>0</v>
      </c>
      <c r="Z84" s="35">
        <f ca="1">(((_xlfn.XLOOKUP(YEAR($B84),'Oferta Producto 2'!$B$8:$B$19,'Oferta Producto 2'!$E$8:$E$19))*$AD84)/$AB84)/24</f>
        <v>0</v>
      </c>
      <c r="AA84" s="35">
        <f t="shared" ca="1" si="5"/>
        <v>0</v>
      </c>
      <c r="AB84" s="28">
        <f t="shared" si="7"/>
        <v>31</v>
      </c>
      <c r="AC84" s="42">
        <f t="shared" ca="1" si="8"/>
        <v>0</v>
      </c>
      <c r="AD84" s="43">
        <v>8.0265408717452039E-2</v>
      </c>
      <c r="AE84" s="8"/>
      <c r="AF84" s="8"/>
    </row>
    <row r="85" spans="1:32" ht="15.75" thickBot="1">
      <c r="A85" s="23">
        <f t="shared" si="6"/>
        <v>2032</v>
      </c>
      <c r="B85" s="27">
        <v>48427</v>
      </c>
      <c r="C85" s="35">
        <f ca="1">(((_xlfn.XLOOKUP(YEAR($B85),'Oferta Producto 2'!$B$8:$B$19,'Oferta Producto 2'!$E$8:$E$19))*$AD85)/$AB85)/24</f>
        <v>0</v>
      </c>
      <c r="D85" s="35">
        <f ca="1">(((_xlfn.XLOOKUP(YEAR($B85),'Oferta Producto 2'!$B$8:$B$19,'Oferta Producto 2'!$E$8:$E$19))*$AD85)/$AB85)/24</f>
        <v>0</v>
      </c>
      <c r="E85" s="35">
        <f ca="1">(((_xlfn.XLOOKUP(YEAR($B85),'Oferta Producto 2'!$B$8:$B$19,'Oferta Producto 2'!$E$8:$E$19))*$AD85)/$AB85)/24</f>
        <v>0</v>
      </c>
      <c r="F85" s="35">
        <f ca="1">(((_xlfn.XLOOKUP(YEAR($B85),'Oferta Producto 2'!$B$8:$B$19,'Oferta Producto 2'!$E$8:$E$19))*$AD85)/$AB85)/24</f>
        <v>0</v>
      </c>
      <c r="G85" s="35">
        <f ca="1">(((_xlfn.XLOOKUP(YEAR($B85),'Oferta Producto 2'!$B$8:$B$19,'Oferta Producto 2'!$E$8:$E$19))*$AD85)/$AB85)/24</f>
        <v>0</v>
      </c>
      <c r="H85" s="35">
        <f ca="1">(((_xlfn.XLOOKUP(YEAR($B85),'Oferta Producto 2'!$B$8:$B$19,'Oferta Producto 2'!$E$8:$E$19))*$AD85)/$AB85)/24</f>
        <v>0</v>
      </c>
      <c r="I85" s="35">
        <f ca="1">(((_xlfn.XLOOKUP(YEAR($B85),'Oferta Producto 2'!$B$8:$B$19,'Oferta Producto 2'!$E$8:$E$19))*$AD85)/$AB85)/24</f>
        <v>0</v>
      </c>
      <c r="J85" s="35">
        <f ca="1">(((_xlfn.XLOOKUP(YEAR($B85),'Oferta Producto 2'!$B$8:$B$19,'Oferta Producto 2'!$E$8:$E$19))*$AD85)/$AB85)/24</f>
        <v>0</v>
      </c>
      <c r="K85" s="35">
        <f ca="1">(((_xlfn.XLOOKUP(YEAR($B85),'Oferta Producto 2'!$B$8:$B$19,'Oferta Producto 2'!$E$8:$E$19))*$AD85)/$AB85)/24</f>
        <v>0</v>
      </c>
      <c r="L85" s="35">
        <f ca="1">(((_xlfn.XLOOKUP(YEAR($B85),'Oferta Producto 2'!$B$8:$B$19,'Oferta Producto 2'!$E$8:$E$19))*$AD85)/$AB85)/24</f>
        <v>0</v>
      </c>
      <c r="M85" s="35">
        <f ca="1">(((_xlfn.XLOOKUP(YEAR($B85),'Oferta Producto 2'!$B$8:$B$19,'Oferta Producto 2'!$E$8:$E$19))*$AD85)/$AB85)/24</f>
        <v>0</v>
      </c>
      <c r="N85" s="35">
        <f ca="1">(((_xlfn.XLOOKUP(YEAR($B85),'Oferta Producto 2'!$B$8:$B$19,'Oferta Producto 2'!$E$8:$E$19))*$AD85)/$AB85)/24</f>
        <v>0</v>
      </c>
      <c r="O85" s="35">
        <f ca="1">(((_xlfn.XLOOKUP(YEAR($B85),'Oferta Producto 2'!$B$8:$B$19,'Oferta Producto 2'!$E$8:$E$19))*$AD85)/$AB85)/24</f>
        <v>0</v>
      </c>
      <c r="P85" s="35">
        <f ca="1">(((_xlfn.XLOOKUP(YEAR($B85),'Oferta Producto 2'!$B$8:$B$19,'Oferta Producto 2'!$E$8:$E$19))*$AD85)/$AB85)/24</f>
        <v>0</v>
      </c>
      <c r="Q85" s="35">
        <f ca="1">(((_xlfn.XLOOKUP(YEAR($B85),'Oferta Producto 2'!$B$8:$B$19,'Oferta Producto 2'!$E$8:$E$19))*$AD85)/$AB85)/24</f>
        <v>0</v>
      </c>
      <c r="R85" s="35">
        <f ca="1">(((_xlfn.XLOOKUP(YEAR($B85),'Oferta Producto 2'!$B$8:$B$19,'Oferta Producto 2'!$E$8:$E$19))*$AD85)/$AB85)/24</f>
        <v>0</v>
      </c>
      <c r="S85" s="35">
        <f ca="1">(((_xlfn.XLOOKUP(YEAR($B85),'Oferta Producto 2'!$B$8:$B$19,'Oferta Producto 2'!$E$8:$E$19))*$AD85)/$AB85)/24</f>
        <v>0</v>
      </c>
      <c r="T85" s="35">
        <f ca="1">(((_xlfn.XLOOKUP(YEAR($B85),'Oferta Producto 2'!$B$8:$B$19,'Oferta Producto 2'!$E$8:$E$19))*$AD85)/$AB85)/24</f>
        <v>0</v>
      </c>
      <c r="U85" s="35">
        <f ca="1">(((_xlfn.XLOOKUP(YEAR($B85),'Oferta Producto 2'!$B$8:$B$19,'Oferta Producto 2'!$E$8:$E$19))*$AD85)/$AB85)/24</f>
        <v>0</v>
      </c>
      <c r="V85" s="35">
        <f ca="1">(((_xlfn.XLOOKUP(YEAR($B85),'Oferta Producto 2'!$B$8:$B$19,'Oferta Producto 2'!$E$8:$E$19))*$AD85)/$AB85)/24</f>
        <v>0</v>
      </c>
      <c r="W85" s="35">
        <f ca="1">(((_xlfn.XLOOKUP(YEAR($B85),'Oferta Producto 2'!$B$8:$B$19,'Oferta Producto 2'!$E$8:$E$19))*$AD85)/$AB85)/24</f>
        <v>0</v>
      </c>
      <c r="X85" s="35">
        <f ca="1">(((_xlfn.XLOOKUP(YEAR($B85),'Oferta Producto 2'!$B$8:$B$19,'Oferta Producto 2'!$E$8:$E$19))*$AD85)/$AB85)/24</f>
        <v>0</v>
      </c>
      <c r="Y85" s="35">
        <f ca="1">(((_xlfn.XLOOKUP(YEAR($B85),'Oferta Producto 2'!$B$8:$B$19,'Oferta Producto 2'!$E$8:$E$19))*$AD85)/$AB85)/24</f>
        <v>0</v>
      </c>
      <c r="Z85" s="35">
        <f ca="1">(((_xlfn.XLOOKUP(YEAR($B85),'Oferta Producto 2'!$B$8:$B$19,'Oferta Producto 2'!$E$8:$E$19))*$AD85)/$AB85)/24</f>
        <v>0</v>
      </c>
      <c r="AA85" s="35">
        <f t="shared" ca="1" si="5"/>
        <v>0</v>
      </c>
      <c r="AB85" s="28">
        <f t="shared" si="7"/>
        <v>31</v>
      </c>
      <c r="AC85" s="42">
        <f t="shared" ca="1" si="8"/>
        <v>0</v>
      </c>
      <c r="AD85" s="43">
        <v>8.0265408717452039E-2</v>
      </c>
      <c r="AE85" s="8"/>
      <c r="AF85" s="8"/>
    </row>
    <row r="86" spans="1:32" ht="15.75" thickBot="1">
      <c r="A86" s="23">
        <f t="shared" si="6"/>
        <v>2032</v>
      </c>
      <c r="B86" s="27">
        <v>48458</v>
      </c>
      <c r="C86" s="35">
        <f ca="1">(((_xlfn.XLOOKUP(YEAR($B86),'Oferta Producto 2'!$B$8:$B$19,'Oferta Producto 2'!$E$8:$E$19))*$AD86)/$AB86)/24</f>
        <v>0</v>
      </c>
      <c r="D86" s="35">
        <f ca="1">(((_xlfn.XLOOKUP(YEAR($B86),'Oferta Producto 2'!$B$8:$B$19,'Oferta Producto 2'!$E$8:$E$19))*$AD86)/$AB86)/24</f>
        <v>0</v>
      </c>
      <c r="E86" s="35">
        <f ca="1">(((_xlfn.XLOOKUP(YEAR($B86),'Oferta Producto 2'!$B$8:$B$19,'Oferta Producto 2'!$E$8:$E$19))*$AD86)/$AB86)/24</f>
        <v>0</v>
      </c>
      <c r="F86" s="35">
        <f ca="1">(((_xlfn.XLOOKUP(YEAR($B86),'Oferta Producto 2'!$B$8:$B$19,'Oferta Producto 2'!$E$8:$E$19))*$AD86)/$AB86)/24</f>
        <v>0</v>
      </c>
      <c r="G86" s="35">
        <f ca="1">(((_xlfn.XLOOKUP(YEAR($B86),'Oferta Producto 2'!$B$8:$B$19,'Oferta Producto 2'!$E$8:$E$19))*$AD86)/$AB86)/24</f>
        <v>0</v>
      </c>
      <c r="H86" s="35">
        <f ca="1">(((_xlfn.XLOOKUP(YEAR($B86),'Oferta Producto 2'!$B$8:$B$19,'Oferta Producto 2'!$E$8:$E$19))*$AD86)/$AB86)/24</f>
        <v>0</v>
      </c>
      <c r="I86" s="35">
        <f ca="1">(((_xlfn.XLOOKUP(YEAR($B86),'Oferta Producto 2'!$B$8:$B$19,'Oferta Producto 2'!$E$8:$E$19))*$AD86)/$AB86)/24</f>
        <v>0</v>
      </c>
      <c r="J86" s="35">
        <f ca="1">(((_xlfn.XLOOKUP(YEAR($B86),'Oferta Producto 2'!$B$8:$B$19,'Oferta Producto 2'!$E$8:$E$19))*$AD86)/$AB86)/24</f>
        <v>0</v>
      </c>
      <c r="K86" s="35">
        <f ca="1">(((_xlfn.XLOOKUP(YEAR($B86),'Oferta Producto 2'!$B$8:$B$19,'Oferta Producto 2'!$E$8:$E$19))*$AD86)/$AB86)/24</f>
        <v>0</v>
      </c>
      <c r="L86" s="35">
        <f ca="1">(((_xlfn.XLOOKUP(YEAR($B86),'Oferta Producto 2'!$B$8:$B$19,'Oferta Producto 2'!$E$8:$E$19))*$AD86)/$AB86)/24</f>
        <v>0</v>
      </c>
      <c r="M86" s="35">
        <f ca="1">(((_xlfn.XLOOKUP(YEAR($B86),'Oferta Producto 2'!$B$8:$B$19,'Oferta Producto 2'!$E$8:$E$19))*$AD86)/$AB86)/24</f>
        <v>0</v>
      </c>
      <c r="N86" s="35">
        <f ca="1">(((_xlfn.XLOOKUP(YEAR($B86),'Oferta Producto 2'!$B$8:$B$19,'Oferta Producto 2'!$E$8:$E$19))*$AD86)/$AB86)/24</f>
        <v>0</v>
      </c>
      <c r="O86" s="35">
        <f ca="1">(((_xlfn.XLOOKUP(YEAR($B86),'Oferta Producto 2'!$B$8:$B$19,'Oferta Producto 2'!$E$8:$E$19))*$AD86)/$AB86)/24</f>
        <v>0</v>
      </c>
      <c r="P86" s="35">
        <f ca="1">(((_xlfn.XLOOKUP(YEAR($B86),'Oferta Producto 2'!$B$8:$B$19,'Oferta Producto 2'!$E$8:$E$19))*$AD86)/$AB86)/24</f>
        <v>0</v>
      </c>
      <c r="Q86" s="35">
        <f ca="1">(((_xlfn.XLOOKUP(YEAR($B86),'Oferta Producto 2'!$B$8:$B$19,'Oferta Producto 2'!$E$8:$E$19))*$AD86)/$AB86)/24</f>
        <v>0</v>
      </c>
      <c r="R86" s="35">
        <f ca="1">(((_xlfn.XLOOKUP(YEAR($B86),'Oferta Producto 2'!$B$8:$B$19,'Oferta Producto 2'!$E$8:$E$19))*$AD86)/$AB86)/24</f>
        <v>0</v>
      </c>
      <c r="S86" s="35">
        <f ca="1">(((_xlfn.XLOOKUP(YEAR($B86),'Oferta Producto 2'!$B$8:$B$19,'Oferta Producto 2'!$E$8:$E$19))*$AD86)/$AB86)/24</f>
        <v>0</v>
      </c>
      <c r="T86" s="35">
        <f ca="1">(((_xlfn.XLOOKUP(YEAR($B86),'Oferta Producto 2'!$B$8:$B$19,'Oferta Producto 2'!$E$8:$E$19))*$AD86)/$AB86)/24</f>
        <v>0</v>
      </c>
      <c r="U86" s="35">
        <f ca="1">(((_xlfn.XLOOKUP(YEAR($B86),'Oferta Producto 2'!$B$8:$B$19,'Oferta Producto 2'!$E$8:$E$19))*$AD86)/$AB86)/24</f>
        <v>0</v>
      </c>
      <c r="V86" s="35">
        <f ca="1">(((_xlfn.XLOOKUP(YEAR($B86),'Oferta Producto 2'!$B$8:$B$19,'Oferta Producto 2'!$E$8:$E$19))*$AD86)/$AB86)/24</f>
        <v>0</v>
      </c>
      <c r="W86" s="35">
        <f ca="1">(((_xlfn.XLOOKUP(YEAR($B86),'Oferta Producto 2'!$B$8:$B$19,'Oferta Producto 2'!$E$8:$E$19))*$AD86)/$AB86)/24</f>
        <v>0</v>
      </c>
      <c r="X86" s="35">
        <f ca="1">(((_xlfn.XLOOKUP(YEAR($B86),'Oferta Producto 2'!$B$8:$B$19,'Oferta Producto 2'!$E$8:$E$19))*$AD86)/$AB86)/24</f>
        <v>0</v>
      </c>
      <c r="Y86" s="35">
        <f ca="1">(((_xlfn.XLOOKUP(YEAR($B86),'Oferta Producto 2'!$B$8:$B$19,'Oferta Producto 2'!$E$8:$E$19))*$AD86)/$AB86)/24</f>
        <v>0</v>
      </c>
      <c r="Z86" s="35">
        <f ca="1">(((_xlfn.XLOOKUP(YEAR($B86),'Oferta Producto 2'!$B$8:$B$19,'Oferta Producto 2'!$E$8:$E$19))*$AD86)/$AB86)/24</f>
        <v>0</v>
      </c>
      <c r="AA86" s="35">
        <f t="shared" ca="1" si="5"/>
        <v>0</v>
      </c>
      <c r="AB86" s="28">
        <f t="shared" si="7"/>
        <v>30</v>
      </c>
      <c r="AC86" s="42">
        <f t="shared" ca="1" si="8"/>
        <v>0</v>
      </c>
      <c r="AD86" s="43">
        <v>8.6401257949214647E-2</v>
      </c>
      <c r="AE86" s="8"/>
      <c r="AF86" s="8"/>
    </row>
    <row r="87" spans="1:32" ht="15.75" thickBot="1">
      <c r="A87" s="23">
        <f t="shared" si="6"/>
        <v>2032</v>
      </c>
      <c r="B87" s="27">
        <v>48488</v>
      </c>
      <c r="C87" s="35">
        <f ca="1">(((_xlfn.XLOOKUP(YEAR($B87),'Oferta Producto 2'!$B$8:$B$19,'Oferta Producto 2'!$E$8:$E$19))*$AD87)/$AB87)/24</f>
        <v>0</v>
      </c>
      <c r="D87" s="35">
        <f ca="1">(((_xlfn.XLOOKUP(YEAR($B87),'Oferta Producto 2'!$B$8:$B$19,'Oferta Producto 2'!$E$8:$E$19))*$AD87)/$AB87)/24</f>
        <v>0</v>
      </c>
      <c r="E87" s="35">
        <f ca="1">(((_xlfn.XLOOKUP(YEAR($B87),'Oferta Producto 2'!$B$8:$B$19,'Oferta Producto 2'!$E$8:$E$19))*$AD87)/$AB87)/24</f>
        <v>0</v>
      </c>
      <c r="F87" s="35">
        <f ca="1">(((_xlfn.XLOOKUP(YEAR($B87),'Oferta Producto 2'!$B$8:$B$19,'Oferta Producto 2'!$E$8:$E$19))*$AD87)/$AB87)/24</f>
        <v>0</v>
      </c>
      <c r="G87" s="35">
        <f ca="1">(((_xlfn.XLOOKUP(YEAR($B87),'Oferta Producto 2'!$B$8:$B$19,'Oferta Producto 2'!$E$8:$E$19))*$AD87)/$AB87)/24</f>
        <v>0</v>
      </c>
      <c r="H87" s="35">
        <f ca="1">(((_xlfn.XLOOKUP(YEAR($B87),'Oferta Producto 2'!$B$8:$B$19,'Oferta Producto 2'!$E$8:$E$19))*$AD87)/$AB87)/24</f>
        <v>0</v>
      </c>
      <c r="I87" s="35">
        <f ca="1">(((_xlfn.XLOOKUP(YEAR($B87),'Oferta Producto 2'!$B$8:$B$19,'Oferta Producto 2'!$E$8:$E$19))*$AD87)/$AB87)/24</f>
        <v>0</v>
      </c>
      <c r="J87" s="35">
        <f ca="1">(((_xlfn.XLOOKUP(YEAR($B87),'Oferta Producto 2'!$B$8:$B$19,'Oferta Producto 2'!$E$8:$E$19))*$AD87)/$AB87)/24</f>
        <v>0</v>
      </c>
      <c r="K87" s="35">
        <f ca="1">(((_xlfn.XLOOKUP(YEAR($B87),'Oferta Producto 2'!$B$8:$B$19,'Oferta Producto 2'!$E$8:$E$19))*$AD87)/$AB87)/24</f>
        <v>0</v>
      </c>
      <c r="L87" s="35">
        <f ca="1">(((_xlfn.XLOOKUP(YEAR($B87),'Oferta Producto 2'!$B$8:$B$19,'Oferta Producto 2'!$E$8:$E$19))*$AD87)/$AB87)/24</f>
        <v>0</v>
      </c>
      <c r="M87" s="35">
        <f ca="1">(((_xlfn.XLOOKUP(YEAR($B87),'Oferta Producto 2'!$B$8:$B$19,'Oferta Producto 2'!$E$8:$E$19))*$AD87)/$AB87)/24</f>
        <v>0</v>
      </c>
      <c r="N87" s="35">
        <f ca="1">(((_xlfn.XLOOKUP(YEAR($B87),'Oferta Producto 2'!$B$8:$B$19,'Oferta Producto 2'!$E$8:$E$19))*$AD87)/$AB87)/24</f>
        <v>0</v>
      </c>
      <c r="O87" s="35">
        <f ca="1">(((_xlfn.XLOOKUP(YEAR($B87),'Oferta Producto 2'!$B$8:$B$19,'Oferta Producto 2'!$E$8:$E$19))*$AD87)/$AB87)/24</f>
        <v>0</v>
      </c>
      <c r="P87" s="35">
        <f ca="1">(((_xlfn.XLOOKUP(YEAR($B87),'Oferta Producto 2'!$B$8:$B$19,'Oferta Producto 2'!$E$8:$E$19))*$AD87)/$AB87)/24</f>
        <v>0</v>
      </c>
      <c r="Q87" s="35">
        <f ca="1">(((_xlfn.XLOOKUP(YEAR($B87),'Oferta Producto 2'!$B$8:$B$19,'Oferta Producto 2'!$E$8:$E$19))*$AD87)/$AB87)/24</f>
        <v>0</v>
      </c>
      <c r="R87" s="35">
        <f ca="1">(((_xlfn.XLOOKUP(YEAR($B87),'Oferta Producto 2'!$B$8:$B$19,'Oferta Producto 2'!$E$8:$E$19))*$AD87)/$AB87)/24</f>
        <v>0</v>
      </c>
      <c r="S87" s="35">
        <f ca="1">(((_xlfn.XLOOKUP(YEAR($B87),'Oferta Producto 2'!$B$8:$B$19,'Oferta Producto 2'!$E$8:$E$19))*$AD87)/$AB87)/24</f>
        <v>0</v>
      </c>
      <c r="T87" s="35">
        <f ca="1">(((_xlfn.XLOOKUP(YEAR($B87),'Oferta Producto 2'!$B$8:$B$19,'Oferta Producto 2'!$E$8:$E$19))*$AD87)/$AB87)/24</f>
        <v>0</v>
      </c>
      <c r="U87" s="35">
        <f ca="1">(((_xlfn.XLOOKUP(YEAR($B87),'Oferta Producto 2'!$B$8:$B$19,'Oferta Producto 2'!$E$8:$E$19))*$AD87)/$AB87)/24</f>
        <v>0</v>
      </c>
      <c r="V87" s="35">
        <f ca="1">(((_xlfn.XLOOKUP(YEAR($B87),'Oferta Producto 2'!$B$8:$B$19,'Oferta Producto 2'!$E$8:$E$19))*$AD87)/$AB87)/24</f>
        <v>0</v>
      </c>
      <c r="W87" s="35">
        <f ca="1">(((_xlfn.XLOOKUP(YEAR($B87),'Oferta Producto 2'!$B$8:$B$19,'Oferta Producto 2'!$E$8:$E$19))*$AD87)/$AB87)/24</f>
        <v>0</v>
      </c>
      <c r="X87" s="35">
        <f ca="1">(((_xlfn.XLOOKUP(YEAR($B87),'Oferta Producto 2'!$B$8:$B$19,'Oferta Producto 2'!$E$8:$E$19))*$AD87)/$AB87)/24</f>
        <v>0</v>
      </c>
      <c r="Y87" s="35">
        <f ca="1">(((_xlfn.XLOOKUP(YEAR($B87),'Oferta Producto 2'!$B$8:$B$19,'Oferta Producto 2'!$E$8:$E$19))*$AD87)/$AB87)/24</f>
        <v>0</v>
      </c>
      <c r="Z87" s="35">
        <f ca="1">(((_xlfn.XLOOKUP(YEAR($B87),'Oferta Producto 2'!$B$8:$B$19,'Oferta Producto 2'!$E$8:$E$19))*$AD87)/$AB87)/24</f>
        <v>0</v>
      </c>
      <c r="AA87" s="35">
        <f t="shared" ca="1" si="5"/>
        <v>0</v>
      </c>
      <c r="AB87" s="28">
        <f t="shared" si="7"/>
        <v>31</v>
      </c>
      <c r="AC87" s="42">
        <f t="shared" ca="1" si="8"/>
        <v>0</v>
      </c>
      <c r="AD87" s="43">
        <v>8.0265408717452039E-2</v>
      </c>
      <c r="AE87" s="8"/>
      <c r="AF87" s="8"/>
    </row>
    <row r="88" spans="1:32" ht="15.75" thickBot="1">
      <c r="A88" s="23">
        <f t="shared" si="6"/>
        <v>2032</v>
      </c>
      <c r="B88" s="27">
        <v>48519</v>
      </c>
      <c r="C88" s="35">
        <f ca="1">(((_xlfn.XLOOKUP(YEAR($B88),'Oferta Producto 2'!$B$8:$B$19,'Oferta Producto 2'!$E$8:$E$19))*$AD88)/$AB88)/24</f>
        <v>0</v>
      </c>
      <c r="D88" s="35">
        <f ca="1">(((_xlfn.XLOOKUP(YEAR($B88),'Oferta Producto 2'!$B$8:$B$19,'Oferta Producto 2'!$E$8:$E$19))*$AD88)/$AB88)/24</f>
        <v>0</v>
      </c>
      <c r="E88" s="35">
        <f ca="1">(((_xlfn.XLOOKUP(YEAR($B88),'Oferta Producto 2'!$B$8:$B$19,'Oferta Producto 2'!$E$8:$E$19))*$AD88)/$AB88)/24</f>
        <v>0</v>
      </c>
      <c r="F88" s="35">
        <f ca="1">(((_xlfn.XLOOKUP(YEAR($B88),'Oferta Producto 2'!$B$8:$B$19,'Oferta Producto 2'!$E$8:$E$19))*$AD88)/$AB88)/24</f>
        <v>0</v>
      </c>
      <c r="G88" s="35">
        <f ca="1">(((_xlfn.XLOOKUP(YEAR($B88),'Oferta Producto 2'!$B$8:$B$19,'Oferta Producto 2'!$E$8:$E$19))*$AD88)/$AB88)/24</f>
        <v>0</v>
      </c>
      <c r="H88" s="35">
        <f ca="1">(((_xlfn.XLOOKUP(YEAR($B88),'Oferta Producto 2'!$B$8:$B$19,'Oferta Producto 2'!$E$8:$E$19))*$AD88)/$AB88)/24</f>
        <v>0</v>
      </c>
      <c r="I88" s="35">
        <f ca="1">(((_xlfn.XLOOKUP(YEAR($B88),'Oferta Producto 2'!$B$8:$B$19,'Oferta Producto 2'!$E$8:$E$19))*$AD88)/$AB88)/24</f>
        <v>0</v>
      </c>
      <c r="J88" s="35">
        <f ca="1">(((_xlfn.XLOOKUP(YEAR($B88),'Oferta Producto 2'!$B$8:$B$19,'Oferta Producto 2'!$E$8:$E$19))*$AD88)/$AB88)/24</f>
        <v>0</v>
      </c>
      <c r="K88" s="35">
        <f ca="1">(((_xlfn.XLOOKUP(YEAR($B88),'Oferta Producto 2'!$B$8:$B$19,'Oferta Producto 2'!$E$8:$E$19))*$AD88)/$AB88)/24</f>
        <v>0</v>
      </c>
      <c r="L88" s="35">
        <f ca="1">(((_xlfn.XLOOKUP(YEAR($B88),'Oferta Producto 2'!$B$8:$B$19,'Oferta Producto 2'!$E$8:$E$19))*$AD88)/$AB88)/24</f>
        <v>0</v>
      </c>
      <c r="M88" s="35">
        <f ca="1">(((_xlfn.XLOOKUP(YEAR($B88),'Oferta Producto 2'!$B$8:$B$19,'Oferta Producto 2'!$E$8:$E$19))*$AD88)/$AB88)/24</f>
        <v>0</v>
      </c>
      <c r="N88" s="35">
        <f ca="1">(((_xlfn.XLOOKUP(YEAR($B88),'Oferta Producto 2'!$B$8:$B$19,'Oferta Producto 2'!$E$8:$E$19))*$AD88)/$AB88)/24</f>
        <v>0</v>
      </c>
      <c r="O88" s="35">
        <f ca="1">(((_xlfn.XLOOKUP(YEAR($B88),'Oferta Producto 2'!$B$8:$B$19,'Oferta Producto 2'!$E$8:$E$19))*$AD88)/$AB88)/24</f>
        <v>0</v>
      </c>
      <c r="P88" s="35">
        <f ca="1">(((_xlfn.XLOOKUP(YEAR($B88),'Oferta Producto 2'!$B$8:$B$19,'Oferta Producto 2'!$E$8:$E$19))*$AD88)/$AB88)/24</f>
        <v>0</v>
      </c>
      <c r="Q88" s="35">
        <f ca="1">(((_xlfn.XLOOKUP(YEAR($B88),'Oferta Producto 2'!$B$8:$B$19,'Oferta Producto 2'!$E$8:$E$19))*$AD88)/$AB88)/24</f>
        <v>0</v>
      </c>
      <c r="R88" s="35">
        <f ca="1">(((_xlfn.XLOOKUP(YEAR($B88),'Oferta Producto 2'!$B$8:$B$19,'Oferta Producto 2'!$E$8:$E$19))*$AD88)/$AB88)/24</f>
        <v>0</v>
      </c>
      <c r="S88" s="35">
        <f ca="1">(((_xlfn.XLOOKUP(YEAR($B88),'Oferta Producto 2'!$B$8:$B$19,'Oferta Producto 2'!$E$8:$E$19))*$AD88)/$AB88)/24</f>
        <v>0</v>
      </c>
      <c r="T88" s="35">
        <f ca="1">(((_xlfn.XLOOKUP(YEAR($B88),'Oferta Producto 2'!$B$8:$B$19,'Oferta Producto 2'!$E$8:$E$19))*$AD88)/$AB88)/24</f>
        <v>0</v>
      </c>
      <c r="U88" s="35">
        <f ca="1">(((_xlfn.XLOOKUP(YEAR($B88),'Oferta Producto 2'!$B$8:$B$19,'Oferta Producto 2'!$E$8:$E$19))*$AD88)/$AB88)/24</f>
        <v>0</v>
      </c>
      <c r="V88" s="35">
        <f ca="1">(((_xlfn.XLOOKUP(YEAR($B88),'Oferta Producto 2'!$B$8:$B$19,'Oferta Producto 2'!$E$8:$E$19))*$AD88)/$AB88)/24</f>
        <v>0</v>
      </c>
      <c r="W88" s="35">
        <f ca="1">(((_xlfn.XLOOKUP(YEAR($B88),'Oferta Producto 2'!$B$8:$B$19,'Oferta Producto 2'!$E$8:$E$19))*$AD88)/$AB88)/24</f>
        <v>0</v>
      </c>
      <c r="X88" s="35">
        <f ca="1">(((_xlfn.XLOOKUP(YEAR($B88),'Oferta Producto 2'!$B$8:$B$19,'Oferta Producto 2'!$E$8:$E$19))*$AD88)/$AB88)/24</f>
        <v>0</v>
      </c>
      <c r="Y88" s="35">
        <f ca="1">(((_xlfn.XLOOKUP(YEAR($B88),'Oferta Producto 2'!$B$8:$B$19,'Oferta Producto 2'!$E$8:$E$19))*$AD88)/$AB88)/24</f>
        <v>0</v>
      </c>
      <c r="Z88" s="35">
        <f ca="1">(((_xlfn.XLOOKUP(YEAR($B88),'Oferta Producto 2'!$B$8:$B$19,'Oferta Producto 2'!$E$8:$E$19))*$AD88)/$AB88)/24</f>
        <v>0</v>
      </c>
      <c r="AA88" s="35">
        <f t="shared" ca="1" si="5"/>
        <v>0</v>
      </c>
      <c r="AB88" s="28">
        <f t="shared" si="7"/>
        <v>30</v>
      </c>
      <c r="AC88" s="42">
        <f t="shared" ca="1" si="8"/>
        <v>0</v>
      </c>
      <c r="AD88" s="43">
        <v>8.6401257949214647E-2</v>
      </c>
      <c r="AE88" s="8"/>
      <c r="AF88" s="8"/>
    </row>
    <row r="89" spans="1:32" ht="15.75" thickBot="1">
      <c r="A89" s="23">
        <f t="shared" si="6"/>
        <v>2032</v>
      </c>
      <c r="B89" s="27">
        <v>48549</v>
      </c>
      <c r="C89" s="35">
        <f ca="1">(((_xlfn.XLOOKUP(YEAR($B89),'Oferta Producto 2'!$B$8:$B$19,'Oferta Producto 2'!$E$8:$E$19))*$AD89)/$AB89)/24</f>
        <v>0</v>
      </c>
      <c r="D89" s="35">
        <f ca="1">(((_xlfn.XLOOKUP(YEAR($B89),'Oferta Producto 2'!$B$8:$B$19,'Oferta Producto 2'!$E$8:$E$19))*$AD89)/$AB89)/24</f>
        <v>0</v>
      </c>
      <c r="E89" s="35">
        <f ca="1">(((_xlfn.XLOOKUP(YEAR($B89),'Oferta Producto 2'!$B$8:$B$19,'Oferta Producto 2'!$E$8:$E$19))*$AD89)/$AB89)/24</f>
        <v>0</v>
      </c>
      <c r="F89" s="35">
        <f ca="1">(((_xlfn.XLOOKUP(YEAR($B89),'Oferta Producto 2'!$B$8:$B$19,'Oferta Producto 2'!$E$8:$E$19))*$AD89)/$AB89)/24</f>
        <v>0</v>
      </c>
      <c r="G89" s="35">
        <f ca="1">(((_xlfn.XLOOKUP(YEAR($B89),'Oferta Producto 2'!$B$8:$B$19,'Oferta Producto 2'!$E$8:$E$19))*$AD89)/$AB89)/24</f>
        <v>0</v>
      </c>
      <c r="H89" s="35">
        <f ca="1">(((_xlfn.XLOOKUP(YEAR($B89),'Oferta Producto 2'!$B$8:$B$19,'Oferta Producto 2'!$E$8:$E$19))*$AD89)/$AB89)/24</f>
        <v>0</v>
      </c>
      <c r="I89" s="35">
        <f ca="1">(((_xlfn.XLOOKUP(YEAR($B89),'Oferta Producto 2'!$B$8:$B$19,'Oferta Producto 2'!$E$8:$E$19))*$AD89)/$AB89)/24</f>
        <v>0</v>
      </c>
      <c r="J89" s="35">
        <f ca="1">(((_xlfn.XLOOKUP(YEAR($B89),'Oferta Producto 2'!$B$8:$B$19,'Oferta Producto 2'!$E$8:$E$19))*$AD89)/$AB89)/24</f>
        <v>0</v>
      </c>
      <c r="K89" s="35">
        <f ca="1">(((_xlfn.XLOOKUP(YEAR($B89),'Oferta Producto 2'!$B$8:$B$19,'Oferta Producto 2'!$E$8:$E$19))*$AD89)/$AB89)/24</f>
        <v>0</v>
      </c>
      <c r="L89" s="35">
        <f ca="1">(((_xlfn.XLOOKUP(YEAR($B89),'Oferta Producto 2'!$B$8:$B$19,'Oferta Producto 2'!$E$8:$E$19))*$AD89)/$AB89)/24</f>
        <v>0</v>
      </c>
      <c r="M89" s="35">
        <f ca="1">(((_xlfn.XLOOKUP(YEAR($B89),'Oferta Producto 2'!$B$8:$B$19,'Oferta Producto 2'!$E$8:$E$19))*$AD89)/$AB89)/24</f>
        <v>0</v>
      </c>
      <c r="N89" s="35">
        <f ca="1">(((_xlfn.XLOOKUP(YEAR($B89),'Oferta Producto 2'!$B$8:$B$19,'Oferta Producto 2'!$E$8:$E$19))*$AD89)/$AB89)/24</f>
        <v>0</v>
      </c>
      <c r="O89" s="35">
        <f ca="1">(((_xlfn.XLOOKUP(YEAR($B89),'Oferta Producto 2'!$B$8:$B$19,'Oferta Producto 2'!$E$8:$E$19))*$AD89)/$AB89)/24</f>
        <v>0</v>
      </c>
      <c r="P89" s="35">
        <f ca="1">(((_xlfn.XLOOKUP(YEAR($B89),'Oferta Producto 2'!$B$8:$B$19,'Oferta Producto 2'!$E$8:$E$19))*$AD89)/$AB89)/24</f>
        <v>0</v>
      </c>
      <c r="Q89" s="35">
        <f ca="1">(((_xlfn.XLOOKUP(YEAR($B89),'Oferta Producto 2'!$B$8:$B$19,'Oferta Producto 2'!$E$8:$E$19))*$AD89)/$AB89)/24</f>
        <v>0</v>
      </c>
      <c r="R89" s="35">
        <f ca="1">(((_xlfn.XLOOKUP(YEAR($B89),'Oferta Producto 2'!$B$8:$B$19,'Oferta Producto 2'!$E$8:$E$19))*$AD89)/$AB89)/24</f>
        <v>0</v>
      </c>
      <c r="S89" s="35">
        <f ca="1">(((_xlfn.XLOOKUP(YEAR($B89),'Oferta Producto 2'!$B$8:$B$19,'Oferta Producto 2'!$E$8:$E$19))*$AD89)/$AB89)/24</f>
        <v>0</v>
      </c>
      <c r="T89" s="35">
        <f ca="1">(((_xlfn.XLOOKUP(YEAR($B89),'Oferta Producto 2'!$B$8:$B$19,'Oferta Producto 2'!$E$8:$E$19))*$AD89)/$AB89)/24</f>
        <v>0</v>
      </c>
      <c r="U89" s="35">
        <f ca="1">(((_xlfn.XLOOKUP(YEAR($B89),'Oferta Producto 2'!$B$8:$B$19,'Oferta Producto 2'!$E$8:$E$19))*$AD89)/$AB89)/24</f>
        <v>0</v>
      </c>
      <c r="V89" s="35">
        <f ca="1">(((_xlfn.XLOOKUP(YEAR($B89),'Oferta Producto 2'!$B$8:$B$19,'Oferta Producto 2'!$E$8:$E$19))*$AD89)/$AB89)/24</f>
        <v>0</v>
      </c>
      <c r="W89" s="35">
        <f ca="1">(((_xlfn.XLOOKUP(YEAR($B89),'Oferta Producto 2'!$B$8:$B$19,'Oferta Producto 2'!$E$8:$E$19))*$AD89)/$AB89)/24</f>
        <v>0</v>
      </c>
      <c r="X89" s="35">
        <f ca="1">(((_xlfn.XLOOKUP(YEAR($B89),'Oferta Producto 2'!$B$8:$B$19,'Oferta Producto 2'!$E$8:$E$19))*$AD89)/$AB89)/24</f>
        <v>0</v>
      </c>
      <c r="Y89" s="35">
        <f ca="1">(((_xlfn.XLOOKUP(YEAR($B89),'Oferta Producto 2'!$B$8:$B$19,'Oferta Producto 2'!$E$8:$E$19))*$AD89)/$AB89)/24</f>
        <v>0</v>
      </c>
      <c r="Z89" s="35">
        <f ca="1">(((_xlfn.XLOOKUP(YEAR($B89),'Oferta Producto 2'!$B$8:$B$19,'Oferta Producto 2'!$E$8:$E$19))*$AD89)/$AB89)/24</f>
        <v>0</v>
      </c>
      <c r="AA89" s="35">
        <f t="shared" ca="1" si="5"/>
        <v>0</v>
      </c>
      <c r="AB89" s="28">
        <f t="shared" si="7"/>
        <v>31</v>
      </c>
      <c r="AC89" s="42">
        <f t="shared" ca="1" si="8"/>
        <v>0</v>
      </c>
      <c r="AD89" s="43">
        <v>8.0265408717452039E-2</v>
      </c>
      <c r="AE89" s="8"/>
      <c r="AF89" s="8"/>
    </row>
    <row r="90" spans="1:32" ht="15.75" thickBot="1">
      <c r="A90" s="23">
        <f t="shared" si="6"/>
        <v>2033</v>
      </c>
      <c r="B90" s="27">
        <v>48580</v>
      </c>
      <c r="C90" s="35">
        <f ca="1">(((_xlfn.XLOOKUP(YEAR($B90),'Oferta Producto 2'!$B$8:$B$19,'Oferta Producto 2'!$E$8:$E$19))*$AD90)/$AB90)/24</f>
        <v>0</v>
      </c>
      <c r="D90" s="35">
        <f ca="1">(((_xlfn.XLOOKUP(YEAR($B90),'Oferta Producto 2'!$B$8:$B$19,'Oferta Producto 2'!$E$8:$E$19))*$AD90)/$AB90)/24</f>
        <v>0</v>
      </c>
      <c r="E90" s="35">
        <f ca="1">(((_xlfn.XLOOKUP(YEAR($B90),'Oferta Producto 2'!$B$8:$B$19,'Oferta Producto 2'!$E$8:$E$19))*$AD90)/$AB90)/24</f>
        <v>0</v>
      </c>
      <c r="F90" s="35">
        <f ca="1">(((_xlfn.XLOOKUP(YEAR($B90),'Oferta Producto 2'!$B$8:$B$19,'Oferta Producto 2'!$E$8:$E$19))*$AD90)/$AB90)/24</f>
        <v>0</v>
      </c>
      <c r="G90" s="35">
        <f ca="1">(((_xlfn.XLOOKUP(YEAR($B90),'Oferta Producto 2'!$B$8:$B$19,'Oferta Producto 2'!$E$8:$E$19))*$AD90)/$AB90)/24</f>
        <v>0</v>
      </c>
      <c r="H90" s="35">
        <f ca="1">(((_xlfn.XLOOKUP(YEAR($B90),'Oferta Producto 2'!$B$8:$B$19,'Oferta Producto 2'!$E$8:$E$19))*$AD90)/$AB90)/24</f>
        <v>0</v>
      </c>
      <c r="I90" s="35">
        <f ca="1">(((_xlfn.XLOOKUP(YEAR($B90),'Oferta Producto 2'!$B$8:$B$19,'Oferta Producto 2'!$E$8:$E$19))*$AD90)/$AB90)/24</f>
        <v>0</v>
      </c>
      <c r="J90" s="35">
        <f ca="1">(((_xlfn.XLOOKUP(YEAR($B90),'Oferta Producto 2'!$B$8:$B$19,'Oferta Producto 2'!$E$8:$E$19))*$AD90)/$AB90)/24</f>
        <v>0</v>
      </c>
      <c r="K90" s="35">
        <f ca="1">(((_xlfn.XLOOKUP(YEAR($B90),'Oferta Producto 2'!$B$8:$B$19,'Oferta Producto 2'!$E$8:$E$19))*$AD90)/$AB90)/24</f>
        <v>0</v>
      </c>
      <c r="L90" s="35">
        <f ca="1">(((_xlfn.XLOOKUP(YEAR($B90),'Oferta Producto 2'!$B$8:$B$19,'Oferta Producto 2'!$E$8:$E$19))*$AD90)/$AB90)/24</f>
        <v>0</v>
      </c>
      <c r="M90" s="35">
        <f ca="1">(((_xlfn.XLOOKUP(YEAR($B90),'Oferta Producto 2'!$B$8:$B$19,'Oferta Producto 2'!$E$8:$E$19))*$AD90)/$AB90)/24</f>
        <v>0</v>
      </c>
      <c r="N90" s="35">
        <f ca="1">(((_xlfn.XLOOKUP(YEAR($B90),'Oferta Producto 2'!$B$8:$B$19,'Oferta Producto 2'!$E$8:$E$19))*$AD90)/$AB90)/24</f>
        <v>0</v>
      </c>
      <c r="O90" s="35">
        <f ca="1">(((_xlfn.XLOOKUP(YEAR($B90),'Oferta Producto 2'!$B$8:$B$19,'Oferta Producto 2'!$E$8:$E$19))*$AD90)/$AB90)/24</f>
        <v>0</v>
      </c>
      <c r="P90" s="35">
        <f ca="1">(((_xlfn.XLOOKUP(YEAR($B90),'Oferta Producto 2'!$B$8:$B$19,'Oferta Producto 2'!$E$8:$E$19))*$AD90)/$AB90)/24</f>
        <v>0</v>
      </c>
      <c r="Q90" s="35">
        <f ca="1">(((_xlfn.XLOOKUP(YEAR($B90),'Oferta Producto 2'!$B$8:$B$19,'Oferta Producto 2'!$E$8:$E$19))*$AD90)/$AB90)/24</f>
        <v>0</v>
      </c>
      <c r="R90" s="35">
        <f ca="1">(((_xlfn.XLOOKUP(YEAR($B90),'Oferta Producto 2'!$B$8:$B$19,'Oferta Producto 2'!$E$8:$E$19))*$AD90)/$AB90)/24</f>
        <v>0</v>
      </c>
      <c r="S90" s="35">
        <f ca="1">(((_xlfn.XLOOKUP(YEAR($B90),'Oferta Producto 2'!$B$8:$B$19,'Oferta Producto 2'!$E$8:$E$19))*$AD90)/$AB90)/24</f>
        <v>0</v>
      </c>
      <c r="T90" s="35">
        <f ca="1">(((_xlfn.XLOOKUP(YEAR($B90),'Oferta Producto 2'!$B$8:$B$19,'Oferta Producto 2'!$E$8:$E$19))*$AD90)/$AB90)/24</f>
        <v>0</v>
      </c>
      <c r="U90" s="35">
        <f ca="1">(((_xlfn.XLOOKUP(YEAR($B90),'Oferta Producto 2'!$B$8:$B$19,'Oferta Producto 2'!$E$8:$E$19))*$AD90)/$AB90)/24</f>
        <v>0</v>
      </c>
      <c r="V90" s="35">
        <f ca="1">(((_xlfn.XLOOKUP(YEAR($B90),'Oferta Producto 2'!$B$8:$B$19,'Oferta Producto 2'!$E$8:$E$19))*$AD90)/$AB90)/24</f>
        <v>0</v>
      </c>
      <c r="W90" s="35">
        <f ca="1">(((_xlfn.XLOOKUP(YEAR($B90),'Oferta Producto 2'!$B$8:$B$19,'Oferta Producto 2'!$E$8:$E$19))*$AD90)/$AB90)/24</f>
        <v>0</v>
      </c>
      <c r="X90" s="35">
        <f ca="1">(((_xlfn.XLOOKUP(YEAR($B90),'Oferta Producto 2'!$B$8:$B$19,'Oferta Producto 2'!$E$8:$E$19))*$AD90)/$AB90)/24</f>
        <v>0</v>
      </c>
      <c r="Y90" s="35">
        <f ca="1">(((_xlfn.XLOOKUP(YEAR($B90),'Oferta Producto 2'!$B$8:$B$19,'Oferta Producto 2'!$E$8:$E$19))*$AD90)/$AB90)/24</f>
        <v>0</v>
      </c>
      <c r="Z90" s="35">
        <f ca="1">(((_xlfn.XLOOKUP(YEAR($B90),'Oferta Producto 2'!$B$8:$B$19,'Oferta Producto 2'!$E$8:$E$19))*$AD90)/$AB90)/24</f>
        <v>0</v>
      </c>
      <c r="AA90" s="35">
        <f t="shared" ca="1" si="5"/>
        <v>0</v>
      </c>
      <c r="AB90" s="28">
        <f t="shared" si="7"/>
        <v>31</v>
      </c>
      <c r="AC90" s="42">
        <f t="shared" ca="1" si="8"/>
        <v>0</v>
      </c>
      <c r="AD90" s="43">
        <v>8.0727358603645744E-2</v>
      </c>
      <c r="AE90" s="8"/>
      <c r="AF90" s="8"/>
    </row>
    <row r="91" spans="1:32" ht="15.75" thickBot="1">
      <c r="A91" s="23">
        <f t="shared" si="6"/>
        <v>2033</v>
      </c>
      <c r="B91" s="27">
        <v>48611</v>
      </c>
      <c r="C91" s="35">
        <f ca="1">(((_xlfn.XLOOKUP(YEAR($B91),'Oferta Producto 2'!$B$8:$B$19,'Oferta Producto 2'!$E$8:$E$19))*$AD91)/$AB91)/24</f>
        <v>0</v>
      </c>
      <c r="D91" s="35">
        <f ca="1">(((_xlfn.XLOOKUP(YEAR($B91),'Oferta Producto 2'!$B$8:$B$19,'Oferta Producto 2'!$E$8:$E$19))*$AD91)/$AB91)/24</f>
        <v>0</v>
      </c>
      <c r="E91" s="35">
        <f ca="1">(((_xlfn.XLOOKUP(YEAR($B91),'Oferta Producto 2'!$B$8:$B$19,'Oferta Producto 2'!$E$8:$E$19))*$AD91)/$AB91)/24</f>
        <v>0</v>
      </c>
      <c r="F91" s="35">
        <f ca="1">(((_xlfn.XLOOKUP(YEAR($B91),'Oferta Producto 2'!$B$8:$B$19,'Oferta Producto 2'!$E$8:$E$19))*$AD91)/$AB91)/24</f>
        <v>0</v>
      </c>
      <c r="G91" s="35">
        <f ca="1">(((_xlfn.XLOOKUP(YEAR($B91),'Oferta Producto 2'!$B$8:$B$19,'Oferta Producto 2'!$E$8:$E$19))*$AD91)/$AB91)/24</f>
        <v>0</v>
      </c>
      <c r="H91" s="35">
        <f ca="1">(((_xlfn.XLOOKUP(YEAR($B91),'Oferta Producto 2'!$B$8:$B$19,'Oferta Producto 2'!$E$8:$E$19))*$AD91)/$AB91)/24</f>
        <v>0</v>
      </c>
      <c r="I91" s="35">
        <f ca="1">(((_xlfn.XLOOKUP(YEAR($B91),'Oferta Producto 2'!$B$8:$B$19,'Oferta Producto 2'!$E$8:$E$19))*$AD91)/$AB91)/24</f>
        <v>0</v>
      </c>
      <c r="J91" s="35">
        <f ca="1">(((_xlfn.XLOOKUP(YEAR($B91),'Oferta Producto 2'!$B$8:$B$19,'Oferta Producto 2'!$E$8:$E$19))*$AD91)/$AB91)/24</f>
        <v>0</v>
      </c>
      <c r="K91" s="35">
        <f ca="1">(((_xlfn.XLOOKUP(YEAR($B91),'Oferta Producto 2'!$B$8:$B$19,'Oferta Producto 2'!$E$8:$E$19))*$AD91)/$AB91)/24</f>
        <v>0</v>
      </c>
      <c r="L91" s="35">
        <f ca="1">(((_xlfn.XLOOKUP(YEAR($B91),'Oferta Producto 2'!$B$8:$B$19,'Oferta Producto 2'!$E$8:$E$19))*$AD91)/$AB91)/24</f>
        <v>0</v>
      </c>
      <c r="M91" s="35">
        <f ca="1">(((_xlfn.XLOOKUP(YEAR($B91),'Oferta Producto 2'!$B$8:$B$19,'Oferta Producto 2'!$E$8:$E$19))*$AD91)/$AB91)/24</f>
        <v>0</v>
      </c>
      <c r="N91" s="35">
        <f ca="1">(((_xlfn.XLOOKUP(YEAR($B91),'Oferta Producto 2'!$B$8:$B$19,'Oferta Producto 2'!$E$8:$E$19))*$AD91)/$AB91)/24</f>
        <v>0</v>
      </c>
      <c r="O91" s="35">
        <f ca="1">(((_xlfn.XLOOKUP(YEAR($B91),'Oferta Producto 2'!$B$8:$B$19,'Oferta Producto 2'!$E$8:$E$19))*$AD91)/$AB91)/24</f>
        <v>0</v>
      </c>
      <c r="P91" s="35">
        <f ca="1">(((_xlfn.XLOOKUP(YEAR($B91),'Oferta Producto 2'!$B$8:$B$19,'Oferta Producto 2'!$E$8:$E$19))*$AD91)/$AB91)/24</f>
        <v>0</v>
      </c>
      <c r="Q91" s="35">
        <f ca="1">(((_xlfn.XLOOKUP(YEAR($B91),'Oferta Producto 2'!$B$8:$B$19,'Oferta Producto 2'!$E$8:$E$19))*$AD91)/$AB91)/24</f>
        <v>0</v>
      </c>
      <c r="R91" s="35">
        <f ca="1">(((_xlfn.XLOOKUP(YEAR($B91),'Oferta Producto 2'!$B$8:$B$19,'Oferta Producto 2'!$E$8:$E$19))*$AD91)/$AB91)/24</f>
        <v>0</v>
      </c>
      <c r="S91" s="35">
        <f ca="1">(((_xlfn.XLOOKUP(YEAR($B91),'Oferta Producto 2'!$B$8:$B$19,'Oferta Producto 2'!$E$8:$E$19))*$AD91)/$AB91)/24</f>
        <v>0</v>
      </c>
      <c r="T91" s="35">
        <f ca="1">(((_xlfn.XLOOKUP(YEAR($B91),'Oferta Producto 2'!$B$8:$B$19,'Oferta Producto 2'!$E$8:$E$19))*$AD91)/$AB91)/24</f>
        <v>0</v>
      </c>
      <c r="U91" s="35">
        <f ca="1">(((_xlfn.XLOOKUP(YEAR($B91),'Oferta Producto 2'!$B$8:$B$19,'Oferta Producto 2'!$E$8:$E$19))*$AD91)/$AB91)/24</f>
        <v>0</v>
      </c>
      <c r="V91" s="35">
        <f ca="1">(((_xlfn.XLOOKUP(YEAR($B91),'Oferta Producto 2'!$B$8:$B$19,'Oferta Producto 2'!$E$8:$E$19))*$AD91)/$AB91)/24</f>
        <v>0</v>
      </c>
      <c r="W91" s="35">
        <f ca="1">(((_xlfn.XLOOKUP(YEAR($B91),'Oferta Producto 2'!$B$8:$B$19,'Oferta Producto 2'!$E$8:$E$19))*$AD91)/$AB91)/24</f>
        <v>0</v>
      </c>
      <c r="X91" s="35">
        <f ca="1">(((_xlfn.XLOOKUP(YEAR($B91),'Oferta Producto 2'!$B$8:$B$19,'Oferta Producto 2'!$E$8:$E$19))*$AD91)/$AB91)/24</f>
        <v>0</v>
      </c>
      <c r="Y91" s="35">
        <f ca="1">(((_xlfn.XLOOKUP(YEAR($B91),'Oferta Producto 2'!$B$8:$B$19,'Oferta Producto 2'!$E$8:$E$19))*$AD91)/$AB91)/24</f>
        <v>0</v>
      </c>
      <c r="Z91" s="35">
        <f ca="1">(((_xlfn.XLOOKUP(YEAR($B91),'Oferta Producto 2'!$B$8:$B$19,'Oferta Producto 2'!$E$8:$E$19))*$AD91)/$AB91)/24</f>
        <v>0</v>
      </c>
      <c r="AA91" s="35">
        <f t="shared" ca="1" si="5"/>
        <v>0</v>
      </c>
      <c r="AB91" s="28">
        <f t="shared" si="7"/>
        <v>28</v>
      </c>
      <c r="AC91" s="42">
        <f t="shared" ca="1" si="8"/>
        <v>0</v>
      </c>
      <c r="AD91" s="43">
        <v>9.4129514356324773E-2</v>
      </c>
      <c r="AE91" s="8"/>
      <c r="AF91" s="8"/>
    </row>
    <row r="92" spans="1:32" ht="15.75" thickBot="1">
      <c r="A92" s="23">
        <f t="shared" si="6"/>
        <v>2033</v>
      </c>
      <c r="B92" s="27">
        <v>48639</v>
      </c>
      <c r="C92" s="35">
        <f ca="1">(((_xlfn.XLOOKUP(YEAR($B92),'Oferta Producto 2'!$B$8:$B$19,'Oferta Producto 2'!$E$8:$E$19))*$AD92)/$AB92)/24</f>
        <v>0</v>
      </c>
      <c r="D92" s="35">
        <f ca="1">(((_xlfn.XLOOKUP(YEAR($B92),'Oferta Producto 2'!$B$8:$B$19,'Oferta Producto 2'!$E$8:$E$19))*$AD92)/$AB92)/24</f>
        <v>0</v>
      </c>
      <c r="E92" s="35">
        <f ca="1">(((_xlfn.XLOOKUP(YEAR($B92),'Oferta Producto 2'!$B$8:$B$19,'Oferta Producto 2'!$E$8:$E$19))*$AD92)/$AB92)/24</f>
        <v>0</v>
      </c>
      <c r="F92" s="35">
        <f ca="1">(((_xlfn.XLOOKUP(YEAR($B92),'Oferta Producto 2'!$B$8:$B$19,'Oferta Producto 2'!$E$8:$E$19))*$AD92)/$AB92)/24</f>
        <v>0</v>
      </c>
      <c r="G92" s="35">
        <f ca="1">(((_xlfn.XLOOKUP(YEAR($B92),'Oferta Producto 2'!$B$8:$B$19,'Oferta Producto 2'!$E$8:$E$19))*$AD92)/$AB92)/24</f>
        <v>0</v>
      </c>
      <c r="H92" s="35">
        <f ca="1">(((_xlfn.XLOOKUP(YEAR($B92),'Oferta Producto 2'!$B$8:$B$19,'Oferta Producto 2'!$E$8:$E$19))*$AD92)/$AB92)/24</f>
        <v>0</v>
      </c>
      <c r="I92" s="35">
        <f ca="1">(((_xlfn.XLOOKUP(YEAR($B92),'Oferta Producto 2'!$B$8:$B$19,'Oferta Producto 2'!$E$8:$E$19))*$AD92)/$AB92)/24</f>
        <v>0</v>
      </c>
      <c r="J92" s="35">
        <f ca="1">(((_xlfn.XLOOKUP(YEAR($B92),'Oferta Producto 2'!$B$8:$B$19,'Oferta Producto 2'!$E$8:$E$19))*$AD92)/$AB92)/24</f>
        <v>0</v>
      </c>
      <c r="K92" s="35">
        <f ca="1">(((_xlfn.XLOOKUP(YEAR($B92),'Oferta Producto 2'!$B$8:$B$19,'Oferta Producto 2'!$E$8:$E$19))*$AD92)/$AB92)/24</f>
        <v>0</v>
      </c>
      <c r="L92" s="35">
        <f ca="1">(((_xlfn.XLOOKUP(YEAR($B92),'Oferta Producto 2'!$B$8:$B$19,'Oferta Producto 2'!$E$8:$E$19))*$AD92)/$AB92)/24</f>
        <v>0</v>
      </c>
      <c r="M92" s="35">
        <f ca="1">(((_xlfn.XLOOKUP(YEAR($B92),'Oferta Producto 2'!$B$8:$B$19,'Oferta Producto 2'!$E$8:$E$19))*$AD92)/$AB92)/24</f>
        <v>0</v>
      </c>
      <c r="N92" s="35">
        <f ca="1">(((_xlfn.XLOOKUP(YEAR($B92),'Oferta Producto 2'!$B$8:$B$19,'Oferta Producto 2'!$E$8:$E$19))*$AD92)/$AB92)/24</f>
        <v>0</v>
      </c>
      <c r="O92" s="35">
        <f ca="1">(((_xlfn.XLOOKUP(YEAR($B92),'Oferta Producto 2'!$B$8:$B$19,'Oferta Producto 2'!$E$8:$E$19))*$AD92)/$AB92)/24</f>
        <v>0</v>
      </c>
      <c r="P92" s="35">
        <f ca="1">(((_xlfn.XLOOKUP(YEAR($B92),'Oferta Producto 2'!$B$8:$B$19,'Oferta Producto 2'!$E$8:$E$19))*$AD92)/$AB92)/24</f>
        <v>0</v>
      </c>
      <c r="Q92" s="35">
        <f ca="1">(((_xlfn.XLOOKUP(YEAR($B92),'Oferta Producto 2'!$B$8:$B$19,'Oferta Producto 2'!$E$8:$E$19))*$AD92)/$AB92)/24</f>
        <v>0</v>
      </c>
      <c r="R92" s="35">
        <f ca="1">(((_xlfn.XLOOKUP(YEAR($B92),'Oferta Producto 2'!$B$8:$B$19,'Oferta Producto 2'!$E$8:$E$19))*$AD92)/$AB92)/24</f>
        <v>0</v>
      </c>
      <c r="S92" s="35">
        <f ca="1">(((_xlfn.XLOOKUP(YEAR($B92),'Oferta Producto 2'!$B$8:$B$19,'Oferta Producto 2'!$E$8:$E$19))*$AD92)/$AB92)/24</f>
        <v>0</v>
      </c>
      <c r="T92" s="35">
        <f ca="1">(((_xlfn.XLOOKUP(YEAR($B92),'Oferta Producto 2'!$B$8:$B$19,'Oferta Producto 2'!$E$8:$E$19))*$AD92)/$AB92)/24</f>
        <v>0</v>
      </c>
      <c r="U92" s="35">
        <f ca="1">(((_xlfn.XLOOKUP(YEAR($B92),'Oferta Producto 2'!$B$8:$B$19,'Oferta Producto 2'!$E$8:$E$19))*$AD92)/$AB92)/24</f>
        <v>0</v>
      </c>
      <c r="V92" s="35">
        <f ca="1">(((_xlfn.XLOOKUP(YEAR($B92),'Oferta Producto 2'!$B$8:$B$19,'Oferta Producto 2'!$E$8:$E$19))*$AD92)/$AB92)/24</f>
        <v>0</v>
      </c>
      <c r="W92" s="35">
        <f ca="1">(((_xlfn.XLOOKUP(YEAR($B92),'Oferta Producto 2'!$B$8:$B$19,'Oferta Producto 2'!$E$8:$E$19))*$AD92)/$AB92)/24</f>
        <v>0</v>
      </c>
      <c r="X92" s="35">
        <f ca="1">(((_xlfn.XLOOKUP(YEAR($B92),'Oferta Producto 2'!$B$8:$B$19,'Oferta Producto 2'!$E$8:$E$19))*$AD92)/$AB92)/24</f>
        <v>0</v>
      </c>
      <c r="Y92" s="35">
        <f ca="1">(((_xlfn.XLOOKUP(YEAR($B92),'Oferta Producto 2'!$B$8:$B$19,'Oferta Producto 2'!$E$8:$E$19))*$AD92)/$AB92)/24</f>
        <v>0</v>
      </c>
      <c r="Z92" s="35">
        <f ca="1">(((_xlfn.XLOOKUP(YEAR($B92),'Oferta Producto 2'!$B$8:$B$19,'Oferta Producto 2'!$E$8:$E$19))*$AD92)/$AB92)/24</f>
        <v>0</v>
      </c>
      <c r="AA92" s="35">
        <f t="shared" ca="1" si="5"/>
        <v>0</v>
      </c>
      <c r="AB92" s="28">
        <f t="shared" si="7"/>
        <v>31</v>
      </c>
      <c r="AC92" s="42">
        <f t="shared" ca="1" si="8"/>
        <v>0</v>
      </c>
      <c r="AD92" s="43">
        <v>8.0727358603645744E-2</v>
      </c>
      <c r="AE92" s="8"/>
      <c r="AF92" s="8"/>
    </row>
    <row r="93" spans="1:32" ht="15.75" thickBot="1">
      <c r="A93" s="23">
        <f t="shared" si="6"/>
        <v>2033</v>
      </c>
      <c r="B93" s="27">
        <v>48670</v>
      </c>
      <c r="C93" s="35">
        <f ca="1">(((_xlfn.XLOOKUP(YEAR($B93),'Oferta Producto 2'!$B$8:$B$19,'Oferta Producto 2'!$E$8:$E$19))*$AD93)/$AB93)/24</f>
        <v>0</v>
      </c>
      <c r="D93" s="35">
        <f ca="1">(((_xlfn.XLOOKUP(YEAR($B93),'Oferta Producto 2'!$B$8:$B$19,'Oferta Producto 2'!$E$8:$E$19))*$AD93)/$AB93)/24</f>
        <v>0</v>
      </c>
      <c r="E93" s="35">
        <f ca="1">(((_xlfn.XLOOKUP(YEAR($B93),'Oferta Producto 2'!$B$8:$B$19,'Oferta Producto 2'!$E$8:$E$19))*$AD93)/$AB93)/24</f>
        <v>0</v>
      </c>
      <c r="F93" s="35">
        <f ca="1">(((_xlfn.XLOOKUP(YEAR($B93),'Oferta Producto 2'!$B$8:$B$19,'Oferta Producto 2'!$E$8:$E$19))*$AD93)/$AB93)/24</f>
        <v>0</v>
      </c>
      <c r="G93" s="35">
        <f ca="1">(((_xlfn.XLOOKUP(YEAR($B93),'Oferta Producto 2'!$B$8:$B$19,'Oferta Producto 2'!$E$8:$E$19))*$AD93)/$AB93)/24</f>
        <v>0</v>
      </c>
      <c r="H93" s="35">
        <f ca="1">(((_xlfn.XLOOKUP(YEAR($B93),'Oferta Producto 2'!$B$8:$B$19,'Oferta Producto 2'!$E$8:$E$19))*$AD93)/$AB93)/24</f>
        <v>0</v>
      </c>
      <c r="I93" s="35">
        <f ca="1">(((_xlfn.XLOOKUP(YEAR($B93),'Oferta Producto 2'!$B$8:$B$19,'Oferta Producto 2'!$E$8:$E$19))*$AD93)/$AB93)/24</f>
        <v>0</v>
      </c>
      <c r="J93" s="35">
        <f ca="1">(((_xlfn.XLOOKUP(YEAR($B93),'Oferta Producto 2'!$B$8:$B$19,'Oferta Producto 2'!$E$8:$E$19))*$AD93)/$AB93)/24</f>
        <v>0</v>
      </c>
      <c r="K93" s="35">
        <f ca="1">(((_xlfn.XLOOKUP(YEAR($B93),'Oferta Producto 2'!$B$8:$B$19,'Oferta Producto 2'!$E$8:$E$19))*$AD93)/$AB93)/24</f>
        <v>0</v>
      </c>
      <c r="L93" s="35">
        <f ca="1">(((_xlfn.XLOOKUP(YEAR($B93),'Oferta Producto 2'!$B$8:$B$19,'Oferta Producto 2'!$E$8:$E$19))*$AD93)/$AB93)/24</f>
        <v>0</v>
      </c>
      <c r="M93" s="35">
        <f ca="1">(((_xlfn.XLOOKUP(YEAR($B93),'Oferta Producto 2'!$B$8:$B$19,'Oferta Producto 2'!$E$8:$E$19))*$AD93)/$AB93)/24</f>
        <v>0</v>
      </c>
      <c r="N93" s="35">
        <f ca="1">(((_xlfn.XLOOKUP(YEAR($B93),'Oferta Producto 2'!$B$8:$B$19,'Oferta Producto 2'!$E$8:$E$19))*$AD93)/$AB93)/24</f>
        <v>0</v>
      </c>
      <c r="O93" s="35">
        <f ca="1">(((_xlfn.XLOOKUP(YEAR($B93),'Oferta Producto 2'!$B$8:$B$19,'Oferta Producto 2'!$E$8:$E$19))*$AD93)/$AB93)/24</f>
        <v>0</v>
      </c>
      <c r="P93" s="35">
        <f ca="1">(((_xlfn.XLOOKUP(YEAR($B93),'Oferta Producto 2'!$B$8:$B$19,'Oferta Producto 2'!$E$8:$E$19))*$AD93)/$AB93)/24</f>
        <v>0</v>
      </c>
      <c r="Q93" s="35">
        <f ca="1">(((_xlfn.XLOOKUP(YEAR($B93),'Oferta Producto 2'!$B$8:$B$19,'Oferta Producto 2'!$E$8:$E$19))*$AD93)/$AB93)/24</f>
        <v>0</v>
      </c>
      <c r="R93" s="35">
        <f ca="1">(((_xlfn.XLOOKUP(YEAR($B93),'Oferta Producto 2'!$B$8:$B$19,'Oferta Producto 2'!$E$8:$E$19))*$AD93)/$AB93)/24</f>
        <v>0</v>
      </c>
      <c r="S93" s="35">
        <f ca="1">(((_xlfn.XLOOKUP(YEAR($B93),'Oferta Producto 2'!$B$8:$B$19,'Oferta Producto 2'!$E$8:$E$19))*$AD93)/$AB93)/24</f>
        <v>0</v>
      </c>
      <c r="T93" s="35">
        <f ca="1">(((_xlfn.XLOOKUP(YEAR($B93),'Oferta Producto 2'!$B$8:$B$19,'Oferta Producto 2'!$E$8:$E$19))*$AD93)/$AB93)/24</f>
        <v>0</v>
      </c>
      <c r="U93" s="35">
        <f ca="1">(((_xlfn.XLOOKUP(YEAR($B93),'Oferta Producto 2'!$B$8:$B$19,'Oferta Producto 2'!$E$8:$E$19))*$AD93)/$AB93)/24</f>
        <v>0</v>
      </c>
      <c r="V93" s="35">
        <f ca="1">(((_xlfn.XLOOKUP(YEAR($B93),'Oferta Producto 2'!$B$8:$B$19,'Oferta Producto 2'!$E$8:$E$19))*$AD93)/$AB93)/24</f>
        <v>0</v>
      </c>
      <c r="W93" s="35">
        <f ca="1">(((_xlfn.XLOOKUP(YEAR($B93),'Oferta Producto 2'!$B$8:$B$19,'Oferta Producto 2'!$E$8:$E$19))*$AD93)/$AB93)/24</f>
        <v>0</v>
      </c>
      <c r="X93" s="35">
        <f ca="1">(((_xlfn.XLOOKUP(YEAR($B93),'Oferta Producto 2'!$B$8:$B$19,'Oferta Producto 2'!$E$8:$E$19))*$AD93)/$AB93)/24</f>
        <v>0</v>
      </c>
      <c r="Y93" s="35">
        <f ca="1">(((_xlfn.XLOOKUP(YEAR($B93),'Oferta Producto 2'!$B$8:$B$19,'Oferta Producto 2'!$E$8:$E$19))*$AD93)/$AB93)/24</f>
        <v>0</v>
      </c>
      <c r="Z93" s="35">
        <f ca="1">(((_xlfn.XLOOKUP(YEAR($B93),'Oferta Producto 2'!$B$8:$B$19,'Oferta Producto 2'!$E$8:$E$19))*$AD93)/$AB93)/24</f>
        <v>0</v>
      </c>
      <c r="AA93" s="35">
        <f t="shared" ca="1" si="5"/>
        <v>0</v>
      </c>
      <c r="AB93" s="28">
        <f t="shared" si="7"/>
        <v>30</v>
      </c>
      <c r="AC93" s="42">
        <f t="shared" ca="1" si="8"/>
        <v>0</v>
      </c>
      <c r="AD93" s="43">
        <v>8.5194743854538763E-2</v>
      </c>
      <c r="AE93" s="8"/>
      <c r="AF93" s="8"/>
    </row>
    <row r="94" spans="1:32" ht="15.75" thickBot="1">
      <c r="A94" s="23">
        <f t="shared" si="6"/>
        <v>2033</v>
      </c>
      <c r="B94" s="27">
        <v>48700</v>
      </c>
      <c r="C94" s="35">
        <f ca="1">(((_xlfn.XLOOKUP(YEAR($B94),'Oferta Producto 2'!$B$8:$B$19,'Oferta Producto 2'!$E$8:$E$19))*$AD94)/$AB94)/24</f>
        <v>0</v>
      </c>
      <c r="D94" s="35">
        <f ca="1">(((_xlfn.XLOOKUP(YEAR($B94),'Oferta Producto 2'!$B$8:$B$19,'Oferta Producto 2'!$E$8:$E$19))*$AD94)/$AB94)/24</f>
        <v>0</v>
      </c>
      <c r="E94" s="35">
        <f ca="1">(((_xlfn.XLOOKUP(YEAR($B94),'Oferta Producto 2'!$B$8:$B$19,'Oferta Producto 2'!$E$8:$E$19))*$AD94)/$AB94)/24</f>
        <v>0</v>
      </c>
      <c r="F94" s="35">
        <f ca="1">(((_xlfn.XLOOKUP(YEAR($B94),'Oferta Producto 2'!$B$8:$B$19,'Oferta Producto 2'!$E$8:$E$19))*$AD94)/$AB94)/24</f>
        <v>0</v>
      </c>
      <c r="G94" s="35">
        <f ca="1">(((_xlfn.XLOOKUP(YEAR($B94),'Oferta Producto 2'!$B$8:$B$19,'Oferta Producto 2'!$E$8:$E$19))*$AD94)/$AB94)/24</f>
        <v>0</v>
      </c>
      <c r="H94" s="35">
        <f ca="1">(((_xlfn.XLOOKUP(YEAR($B94),'Oferta Producto 2'!$B$8:$B$19,'Oferta Producto 2'!$E$8:$E$19))*$AD94)/$AB94)/24</f>
        <v>0</v>
      </c>
      <c r="I94" s="35">
        <f ca="1">(((_xlfn.XLOOKUP(YEAR($B94),'Oferta Producto 2'!$B$8:$B$19,'Oferta Producto 2'!$E$8:$E$19))*$AD94)/$AB94)/24</f>
        <v>0</v>
      </c>
      <c r="J94" s="35">
        <f ca="1">(((_xlfn.XLOOKUP(YEAR($B94),'Oferta Producto 2'!$B$8:$B$19,'Oferta Producto 2'!$E$8:$E$19))*$AD94)/$AB94)/24</f>
        <v>0</v>
      </c>
      <c r="K94" s="35">
        <f ca="1">(((_xlfn.XLOOKUP(YEAR($B94),'Oferta Producto 2'!$B$8:$B$19,'Oferta Producto 2'!$E$8:$E$19))*$AD94)/$AB94)/24</f>
        <v>0</v>
      </c>
      <c r="L94" s="35">
        <f ca="1">(((_xlfn.XLOOKUP(YEAR($B94),'Oferta Producto 2'!$B$8:$B$19,'Oferta Producto 2'!$E$8:$E$19))*$AD94)/$AB94)/24</f>
        <v>0</v>
      </c>
      <c r="M94" s="35">
        <f ca="1">(((_xlfn.XLOOKUP(YEAR($B94),'Oferta Producto 2'!$B$8:$B$19,'Oferta Producto 2'!$E$8:$E$19))*$AD94)/$AB94)/24</f>
        <v>0</v>
      </c>
      <c r="N94" s="35">
        <f ca="1">(((_xlfn.XLOOKUP(YEAR($B94),'Oferta Producto 2'!$B$8:$B$19,'Oferta Producto 2'!$E$8:$E$19))*$AD94)/$AB94)/24</f>
        <v>0</v>
      </c>
      <c r="O94" s="35">
        <f ca="1">(((_xlfn.XLOOKUP(YEAR($B94),'Oferta Producto 2'!$B$8:$B$19,'Oferta Producto 2'!$E$8:$E$19))*$AD94)/$AB94)/24</f>
        <v>0</v>
      </c>
      <c r="P94" s="35">
        <f ca="1">(((_xlfn.XLOOKUP(YEAR($B94),'Oferta Producto 2'!$B$8:$B$19,'Oferta Producto 2'!$E$8:$E$19))*$AD94)/$AB94)/24</f>
        <v>0</v>
      </c>
      <c r="Q94" s="35">
        <f ca="1">(((_xlfn.XLOOKUP(YEAR($B94),'Oferta Producto 2'!$B$8:$B$19,'Oferta Producto 2'!$E$8:$E$19))*$AD94)/$AB94)/24</f>
        <v>0</v>
      </c>
      <c r="R94" s="35">
        <f ca="1">(((_xlfn.XLOOKUP(YEAR($B94),'Oferta Producto 2'!$B$8:$B$19,'Oferta Producto 2'!$E$8:$E$19))*$AD94)/$AB94)/24</f>
        <v>0</v>
      </c>
      <c r="S94" s="35">
        <f ca="1">(((_xlfn.XLOOKUP(YEAR($B94),'Oferta Producto 2'!$B$8:$B$19,'Oferta Producto 2'!$E$8:$E$19))*$AD94)/$AB94)/24</f>
        <v>0</v>
      </c>
      <c r="T94" s="35">
        <f ca="1">(((_xlfn.XLOOKUP(YEAR($B94),'Oferta Producto 2'!$B$8:$B$19,'Oferta Producto 2'!$E$8:$E$19))*$AD94)/$AB94)/24</f>
        <v>0</v>
      </c>
      <c r="U94" s="35">
        <f ca="1">(((_xlfn.XLOOKUP(YEAR($B94),'Oferta Producto 2'!$B$8:$B$19,'Oferta Producto 2'!$E$8:$E$19))*$AD94)/$AB94)/24</f>
        <v>0</v>
      </c>
      <c r="V94" s="35">
        <f ca="1">(((_xlfn.XLOOKUP(YEAR($B94),'Oferta Producto 2'!$B$8:$B$19,'Oferta Producto 2'!$E$8:$E$19))*$AD94)/$AB94)/24</f>
        <v>0</v>
      </c>
      <c r="W94" s="35">
        <f ca="1">(((_xlfn.XLOOKUP(YEAR($B94),'Oferta Producto 2'!$B$8:$B$19,'Oferta Producto 2'!$E$8:$E$19))*$AD94)/$AB94)/24</f>
        <v>0</v>
      </c>
      <c r="X94" s="35">
        <f ca="1">(((_xlfn.XLOOKUP(YEAR($B94),'Oferta Producto 2'!$B$8:$B$19,'Oferta Producto 2'!$E$8:$E$19))*$AD94)/$AB94)/24</f>
        <v>0</v>
      </c>
      <c r="Y94" s="35">
        <f ca="1">(((_xlfn.XLOOKUP(YEAR($B94),'Oferta Producto 2'!$B$8:$B$19,'Oferta Producto 2'!$E$8:$E$19))*$AD94)/$AB94)/24</f>
        <v>0</v>
      </c>
      <c r="Z94" s="35">
        <f ca="1">(((_xlfn.XLOOKUP(YEAR($B94),'Oferta Producto 2'!$B$8:$B$19,'Oferta Producto 2'!$E$8:$E$19))*$AD94)/$AB94)/24</f>
        <v>0</v>
      </c>
      <c r="AA94" s="35">
        <f t="shared" ca="1" si="5"/>
        <v>0</v>
      </c>
      <c r="AB94" s="28">
        <f t="shared" si="7"/>
        <v>31</v>
      </c>
      <c r="AC94" s="42">
        <f t="shared" ca="1" si="8"/>
        <v>0</v>
      </c>
      <c r="AD94" s="43">
        <v>8.0727358603645744E-2</v>
      </c>
      <c r="AE94" s="8"/>
      <c r="AF94" s="8"/>
    </row>
    <row r="95" spans="1:32" ht="15.75" thickBot="1">
      <c r="A95" s="23">
        <f t="shared" si="6"/>
        <v>2033</v>
      </c>
      <c r="B95" s="27">
        <v>48731</v>
      </c>
      <c r="C95" s="35">
        <f ca="1">(((_xlfn.XLOOKUP(YEAR($B95),'Oferta Producto 2'!$B$8:$B$19,'Oferta Producto 2'!$E$8:$E$19))*$AD95)/$AB95)/24</f>
        <v>0</v>
      </c>
      <c r="D95" s="35">
        <f ca="1">(((_xlfn.XLOOKUP(YEAR($B95),'Oferta Producto 2'!$B$8:$B$19,'Oferta Producto 2'!$E$8:$E$19))*$AD95)/$AB95)/24</f>
        <v>0</v>
      </c>
      <c r="E95" s="35">
        <f ca="1">(((_xlfn.XLOOKUP(YEAR($B95),'Oferta Producto 2'!$B$8:$B$19,'Oferta Producto 2'!$E$8:$E$19))*$AD95)/$AB95)/24</f>
        <v>0</v>
      </c>
      <c r="F95" s="35">
        <f ca="1">(((_xlfn.XLOOKUP(YEAR($B95),'Oferta Producto 2'!$B$8:$B$19,'Oferta Producto 2'!$E$8:$E$19))*$AD95)/$AB95)/24</f>
        <v>0</v>
      </c>
      <c r="G95" s="35">
        <f ca="1">(((_xlfn.XLOOKUP(YEAR($B95),'Oferta Producto 2'!$B$8:$B$19,'Oferta Producto 2'!$E$8:$E$19))*$AD95)/$AB95)/24</f>
        <v>0</v>
      </c>
      <c r="H95" s="35">
        <f ca="1">(((_xlfn.XLOOKUP(YEAR($B95),'Oferta Producto 2'!$B$8:$B$19,'Oferta Producto 2'!$E$8:$E$19))*$AD95)/$AB95)/24</f>
        <v>0</v>
      </c>
      <c r="I95" s="35">
        <f ca="1">(((_xlfn.XLOOKUP(YEAR($B95),'Oferta Producto 2'!$B$8:$B$19,'Oferta Producto 2'!$E$8:$E$19))*$AD95)/$AB95)/24</f>
        <v>0</v>
      </c>
      <c r="J95" s="35">
        <f ca="1">(((_xlfn.XLOOKUP(YEAR($B95),'Oferta Producto 2'!$B$8:$B$19,'Oferta Producto 2'!$E$8:$E$19))*$AD95)/$AB95)/24</f>
        <v>0</v>
      </c>
      <c r="K95" s="35">
        <f ca="1">(((_xlfn.XLOOKUP(YEAR($B95),'Oferta Producto 2'!$B$8:$B$19,'Oferta Producto 2'!$E$8:$E$19))*$AD95)/$AB95)/24</f>
        <v>0</v>
      </c>
      <c r="L95" s="35">
        <f ca="1">(((_xlfn.XLOOKUP(YEAR($B95),'Oferta Producto 2'!$B$8:$B$19,'Oferta Producto 2'!$E$8:$E$19))*$AD95)/$AB95)/24</f>
        <v>0</v>
      </c>
      <c r="M95" s="35">
        <f ca="1">(((_xlfn.XLOOKUP(YEAR($B95),'Oferta Producto 2'!$B$8:$B$19,'Oferta Producto 2'!$E$8:$E$19))*$AD95)/$AB95)/24</f>
        <v>0</v>
      </c>
      <c r="N95" s="35">
        <f ca="1">(((_xlfn.XLOOKUP(YEAR($B95),'Oferta Producto 2'!$B$8:$B$19,'Oferta Producto 2'!$E$8:$E$19))*$AD95)/$AB95)/24</f>
        <v>0</v>
      </c>
      <c r="O95" s="35">
        <f ca="1">(((_xlfn.XLOOKUP(YEAR($B95),'Oferta Producto 2'!$B$8:$B$19,'Oferta Producto 2'!$E$8:$E$19))*$AD95)/$AB95)/24</f>
        <v>0</v>
      </c>
      <c r="P95" s="35">
        <f ca="1">(((_xlfn.XLOOKUP(YEAR($B95),'Oferta Producto 2'!$B$8:$B$19,'Oferta Producto 2'!$E$8:$E$19))*$AD95)/$AB95)/24</f>
        <v>0</v>
      </c>
      <c r="Q95" s="35">
        <f ca="1">(((_xlfn.XLOOKUP(YEAR($B95),'Oferta Producto 2'!$B$8:$B$19,'Oferta Producto 2'!$E$8:$E$19))*$AD95)/$AB95)/24</f>
        <v>0</v>
      </c>
      <c r="R95" s="35">
        <f ca="1">(((_xlfn.XLOOKUP(YEAR($B95),'Oferta Producto 2'!$B$8:$B$19,'Oferta Producto 2'!$E$8:$E$19))*$AD95)/$AB95)/24</f>
        <v>0</v>
      </c>
      <c r="S95" s="35">
        <f ca="1">(((_xlfn.XLOOKUP(YEAR($B95),'Oferta Producto 2'!$B$8:$B$19,'Oferta Producto 2'!$E$8:$E$19))*$AD95)/$AB95)/24</f>
        <v>0</v>
      </c>
      <c r="T95" s="35">
        <f ca="1">(((_xlfn.XLOOKUP(YEAR($B95),'Oferta Producto 2'!$B$8:$B$19,'Oferta Producto 2'!$E$8:$E$19))*$AD95)/$AB95)/24</f>
        <v>0</v>
      </c>
      <c r="U95" s="35">
        <f ca="1">(((_xlfn.XLOOKUP(YEAR($B95),'Oferta Producto 2'!$B$8:$B$19,'Oferta Producto 2'!$E$8:$E$19))*$AD95)/$AB95)/24</f>
        <v>0</v>
      </c>
      <c r="V95" s="35">
        <f ca="1">(((_xlfn.XLOOKUP(YEAR($B95),'Oferta Producto 2'!$B$8:$B$19,'Oferta Producto 2'!$E$8:$E$19))*$AD95)/$AB95)/24</f>
        <v>0</v>
      </c>
      <c r="W95" s="35">
        <f ca="1">(((_xlfn.XLOOKUP(YEAR($B95),'Oferta Producto 2'!$B$8:$B$19,'Oferta Producto 2'!$E$8:$E$19))*$AD95)/$AB95)/24</f>
        <v>0</v>
      </c>
      <c r="X95" s="35">
        <f ca="1">(((_xlfn.XLOOKUP(YEAR($B95),'Oferta Producto 2'!$B$8:$B$19,'Oferta Producto 2'!$E$8:$E$19))*$AD95)/$AB95)/24</f>
        <v>0</v>
      </c>
      <c r="Y95" s="35">
        <f ca="1">(((_xlfn.XLOOKUP(YEAR($B95),'Oferta Producto 2'!$B$8:$B$19,'Oferta Producto 2'!$E$8:$E$19))*$AD95)/$AB95)/24</f>
        <v>0</v>
      </c>
      <c r="Z95" s="35">
        <f ca="1">(((_xlfn.XLOOKUP(YEAR($B95),'Oferta Producto 2'!$B$8:$B$19,'Oferta Producto 2'!$E$8:$E$19))*$AD95)/$AB95)/24</f>
        <v>0</v>
      </c>
      <c r="AA95" s="35">
        <f t="shared" ref="AA95:AA125" ca="1" si="9">SUM(C95:Z95)</f>
        <v>0</v>
      </c>
      <c r="AB95" s="28">
        <f t="shared" si="7"/>
        <v>30</v>
      </c>
      <c r="AC95" s="42">
        <f t="shared" ca="1" si="8"/>
        <v>0</v>
      </c>
      <c r="AD95" s="43">
        <v>8.5194743854538763E-2</v>
      </c>
      <c r="AE95" s="8"/>
      <c r="AF95" s="8"/>
    </row>
    <row r="96" spans="1:32" ht="15.75" thickBot="1">
      <c r="A96" s="23">
        <f t="shared" si="6"/>
        <v>2033</v>
      </c>
      <c r="B96" s="27">
        <v>48761</v>
      </c>
      <c r="C96" s="35">
        <f ca="1">(((_xlfn.XLOOKUP(YEAR($B96),'Oferta Producto 2'!$B$8:$B$19,'Oferta Producto 2'!$E$8:$E$19))*$AD96)/$AB96)/24</f>
        <v>0</v>
      </c>
      <c r="D96" s="35">
        <f ca="1">(((_xlfn.XLOOKUP(YEAR($B96),'Oferta Producto 2'!$B$8:$B$19,'Oferta Producto 2'!$E$8:$E$19))*$AD96)/$AB96)/24</f>
        <v>0</v>
      </c>
      <c r="E96" s="35">
        <f ca="1">(((_xlfn.XLOOKUP(YEAR($B96),'Oferta Producto 2'!$B$8:$B$19,'Oferta Producto 2'!$E$8:$E$19))*$AD96)/$AB96)/24</f>
        <v>0</v>
      </c>
      <c r="F96" s="35">
        <f ca="1">(((_xlfn.XLOOKUP(YEAR($B96),'Oferta Producto 2'!$B$8:$B$19,'Oferta Producto 2'!$E$8:$E$19))*$AD96)/$AB96)/24</f>
        <v>0</v>
      </c>
      <c r="G96" s="35">
        <f ca="1">(((_xlfn.XLOOKUP(YEAR($B96),'Oferta Producto 2'!$B$8:$B$19,'Oferta Producto 2'!$E$8:$E$19))*$AD96)/$AB96)/24</f>
        <v>0</v>
      </c>
      <c r="H96" s="35">
        <f ca="1">(((_xlfn.XLOOKUP(YEAR($B96),'Oferta Producto 2'!$B$8:$B$19,'Oferta Producto 2'!$E$8:$E$19))*$AD96)/$AB96)/24</f>
        <v>0</v>
      </c>
      <c r="I96" s="35">
        <f ca="1">(((_xlfn.XLOOKUP(YEAR($B96),'Oferta Producto 2'!$B$8:$B$19,'Oferta Producto 2'!$E$8:$E$19))*$AD96)/$AB96)/24</f>
        <v>0</v>
      </c>
      <c r="J96" s="35">
        <f ca="1">(((_xlfn.XLOOKUP(YEAR($B96),'Oferta Producto 2'!$B$8:$B$19,'Oferta Producto 2'!$E$8:$E$19))*$AD96)/$AB96)/24</f>
        <v>0</v>
      </c>
      <c r="K96" s="35">
        <f ca="1">(((_xlfn.XLOOKUP(YEAR($B96),'Oferta Producto 2'!$B$8:$B$19,'Oferta Producto 2'!$E$8:$E$19))*$AD96)/$AB96)/24</f>
        <v>0</v>
      </c>
      <c r="L96" s="35">
        <f ca="1">(((_xlfn.XLOOKUP(YEAR($B96),'Oferta Producto 2'!$B$8:$B$19,'Oferta Producto 2'!$E$8:$E$19))*$AD96)/$AB96)/24</f>
        <v>0</v>
      </c>
      <c r="M96" s="35">
        <f ca="1">(((_xlfn.XLOOKUP(YEAR($B96),'Oferta Producto 2'!$B$8:$B$19,'Oferta Producto 2'!$E$8:$E$19))*$AD96)/$AB96)/24</f>
        <v>0</v>
      </c>
      <c r="N96" s="35">
        <f ca="1">(((_xlfn.XLOOKUP(YEAR($B96),'Oferta Producto 2'!$B$8:$B$19,'Oferta Producto 2'!$E$8:$E$19))*$AD96)/$AB96)/24</f>
        <v>0</v>
      </c>
      <c r="O96" s="35">
        <f ca="1">(((_xlfn.XLOOKUP(YEAR($B96),'Oferta Producto 2'!$B$8:$B$19,'Oferta Producto 2'!$E$8:$E$19))*$AD96)/$AB96)/24</f>
        <v>0</v>
      </c>
      <c r="P96" s="35">
        <f ca="1">(((_xlfn.XLOOKUP(YEAR($B96),'Oferta Producto 2'!$B$8:$B$19,'Oferta Producto 2'!$E$8:$E$19))*$AD96)/$AB96)/24</f>
        <v>0</v>
      </c>
      <c r="Q96" s="35">
        <f ca="1">(((_xlfn.XLOOKUP(YEAR($B96),'Oferta Producto 2'!$B$8:$B$19,'Oferta Producto 2'!$E$8:$E$19))*$AD96)/$AB96)/24</f>
        <v>0</v>
      </c>
      <c r="R96" s="35">
        <f ca="1">(((_xlfn.XLOOKUP(YEAR($B96),'Oferta Producto 2'!$B$8:$B$19,'Oferta Producto 2'!$E$8:$E$19))*$AD96)/$AB96)/24</f>
        <v>0</v>
      </c>
      <c r="S96" s="35">
        <f ca="1">(((_xlfn.XLOOKUP(YEAR($B96),'Oferta Producto 2'!$B$8:$B$19,'Oferta Producto 2'!$E$8:$E$19))*$AD96)/$AB96)/24</f>
        <v>0</v>
      </c>
      <c r="T96" s="35">
        <f ca="1">(((_xlfn.XLOOKUP(YEAR($B96),'Oferta Producto 2'!$B$8:$B$19,'Oferta Producto 2'!$E$8:$E$19))*$AD96)/$AB96)/24</f>
        <v>0</v>
      </c>
      <c r="U96" s="35">
        <f ca="1">(((_xlfn.XLOOKUP(YEAR($B96),'Oferta Producto 2'!$B$8:$B$19,'Oferta Producto 2'!$E$8:$E$19))*$AD96)/$AB96)/24</f>
        <v>0</v>
      </c>
      <c r="V96" s="35">
        <f ca="1">(((_xlfn.XLOOKUP(YEAR($B96),'Oferta Producto 2'!$B$8:$B$19,'Oferta Producto 2'!$E$8:$E$19))*$AD96)/$AB96)/24</f>
        <v>0</v>
      </c>
      <c r="W96" s="35">
        <f ca="1">(((_xlfn.XLOOKUP(YEAR($B96),'Oferta Producto 2'!$B$8:$B$19,'Oferta Producto 2'!$E$8:$E$19))*$AD96)/$AB96)/24</f>
        <v>0</v>
      </c>
      <c r="X96" s="35">
        <f ca="1">(((_xlfn.XLOOKUP(YEAR($B96),'Oferta Producto 2'!$B$8:$B$19,'Oferta Producto 2'!$E$8:$E$19))*$AD96)/$AB96)/24</f>
        <v>0</v>
      </c>
      <c r="Y96" s="35">
        <f ca="1">(((_xlfn.XLOOKUP(YEAR($B96),'Oferta Producto 2'!$B$8:$B$19,'Oferta Producto 2'!$E$8:$E$19))*$AD96)/$AB96)/24</f>
        <v>0</v>
      </c>
      <c r="Z96" s="35">
        <f ca="1">(((_xlfn.XLOOKUP(YEAR($B96),'Oferta Producto 2'!$B$8:$B$19,'Oferta Producto 2'!$E$8:$E$19))*$AD96)/$AB96)/24</f>
        <v>0</v>
      </c>
      <c r="AA96" s="35">
        <f t="shared" ca="1" si="9"/>
        <v>0</v>
      </c>
      <c r="AB96" s="28">
        <f t="shared" si="7"/>
        <v>31</v>
      </c>
      <c r="AC96" s="42">
        <f t="shared" ca="1" si="8"/>
        <v>0</v>
      </c>
      <c r="AD96" s="43">
        <v>8.0727358603645744E-2</v>
      </c>
      <c r="AE96" s="8"/>
      <c r="AF96" s="8"/>
    </row>
    <row r="97" spans="1:32" ht="15.75" thickBot="1">
      <c r="A97" s="23">
        <f t="shared" si="6"/>
        <v>2033</v>
      </c>
      <c r="B97" s="27">
        <v>48792</v>
      </c>
      <c r="C97" s="35">
        <f ca="1">(((_xlfn.XLOOKUP(YEAR($B97),'Oferta Producto 2'!$B$8:$B$19,'Oferta Producto 2'!$E$8:$E$19))*$AD97)/$AB97)/24</f>
        <v>0</v>
      </c>
      <c r="D97" s="35">
        <f ca="1">(((_xlfn.XLOOKUP(YEAR($B97),'Oferta Producto 2'!$B$8:$B$19,'Oferta Producto 2'!$E$8:$E$19))*$AD97)/$AB97)/24</f>
        <v>0</v>
      </c>
      <c r="E97" s="35">
        <f ca="1">(((_xlfn.XLOOKUP(YEAR($B97),'Oferta Producto 2'!$B$8:$B$19,'Oferta Producto 2'!$E$8:$E$19))*$AD97)/$AB97)/24</f>
        <v>0</v>
      </c>
      <c r="F97" s="35">
        <f ca="1">(((_xlfn.XLOOKUP(YEAR($B97),'Oferta Producto 2'!$B$8:$B$19,'Oferta Producto 2'!$E$8:$E$19))*$AD97)/$AB97)/24</f>
        <v>0</v>
      </c>
      <c r="G97" s="35">
        <f ca="1">(((_xlfn.XLOOKUP(YEAR($B97),'Oferta Producto 2'!$B$8:$B$19,'Oferta Producto 2'!$E$8:$E$19))*$AD97)/$AB97)/24</f>
        <v>0</v>
      </c>
      <c r="H97" s="35">
        <f ca="1">(((_xlfn.XLOOKUP(YEAR($B97),'Oferta Producto 2'!$B$8:$B$19,'Oferta Producto 2'!$E$8:$E$19))*$AD97)/$AB97)/24</f>
        <v>0</v>
      </c>
      <c r="I97" s="35">
        <f ca="1">(((_xlfn.XLOOKUP(YEAR($B97),'Oferta Producto 2'!$B$8:$B$19,'Oferta Producto 2'!$E$8:$E$19))*$AD97)/$AB97)/24</f>
        <v>0</v>
      </c>
      <c r="J97" s="35">
        <f ca="1">(((_xlfn.XLOOKUP(YEAR($B97),'Oferta Producto 2'!$B$8:$B$19,'Oferta Producto 2'!$E$8:$E$19))*$AD97)/$AB97)/24</f>
        <v>0</v>
      </c>
      <c r="K97" s="35">
        <f ca="1">(((_xlfn.XLOOKUP(YEAR($B97),'Oferta Producto 2'!$B$8:$B$19,'Oferta Producto 2'!$E$8:$E$19))*$AD97)/$AB97)/24</f>
        <v>0</v>
      </c>
      <c r="L97" s="35">
        <f ca="1">(((_xlfn.XLOOKUP(YEAR($B97),'Oferta Producto 2'!$B$8:$B$19,'Oferta Producto 2'!$E$8:$E$19))*$AD97)/$AB97)/24</f>
        <v>0</v>
      </c>
      <c r="M97" s="35">
        <f ca="1">(((_xlfn.XLOOKUP(YEAR($B97),'Oferta Producto 2'!$B$8:$B$19,'Oferta Producto 2'!$E$8:$E$19))*$AD97)/$AB97)/24</f>
        <v>0</v>
      </c>
      <c r="N97" s="35">
        <f ca="1">(((_xlfn.XLOOKUP(YEAR($B97),'Oferta Producto 2'!$B$8:$B$19,'Oferta Producto 2'!$E$8:$E$19))*$AD97)/$AB97)/24</f>
        <v>0</v>
      </c>
      <c r="O97" s="35">
        <f ca="1">(((_xlfn.XLOOKUP(YEAR($B97),'Oferta Producto 2'!$B$8:$B$19,'Oferta Producto 2'!$E$8:$E$19))*$AD97)/$AB97)/24</f>
        <v>0</v>
      </c>
      <c r="P97" s="35">
        <f ca="1">(((_xlfn.XLOOKUP(YEAR($B97),'Oferta Producto 2'!$B$8:$B$19,'Oferta Producto 2'!$E$8:$E$19))*$AD97)/$AB97)/24</f>
        <v>0</v>
      </c>
      <c r="Q97" s="35">
        <f ca="1">(((_xlfn.XLOOKUP(YEAR($B97),'Oferta Producto 2'!$B$8:$B$19,'Oferta Producto 2'!$E$8:$E$19))*$AD97)/$AB97)/24</f>
        <v>0</v>
      </c>
      <c r="R97" s="35">
        <f ca="1">(((_xlfn.XLOOKUP(YEAR($B97),'Oferta Producto 2'!$B$8:$B$19,'Oferta Producto 2'!$E$8:$E$19))*$AD97)/$AB97)/24</f>
        <v>0</v>
      </c>
      <c r="S97" s="35">
        <f ca="1">(((_xlfn.XLOOKUP(YEAR($B97),'Oferta Producto 2'!$B$8:$B$19,'Oferta Producto 2'!$E$8:$E$19))*$AD97)/$AB97)/24</f>
        <v>0</v>
      </c>
      <c r="T97" s="35">
        <f ca="1">(((_xlfn.XLOOKUP(YEAR($B97),'Oferta Producto 2'!$B$8:$B$19,'Oferta Producto 2'!$E$8:$E$19))*$AD97)/$AB97)/24</f>
        <v>0</v>
      </c>
      <c r="U97" s="35">
        <f ca="1">(((_xlfn.XLOOKUP(YEAR($B97),'Oferta Producto 2'!$B$8:$B$19,'Oferta Producto 2'!$E$8:$E$19))*$AD97)/$AB97)/24</f>
        <v>0</v>
      </c>
      <c r="V97" s="35">
        <f ca="1">(((_xlfn.XLOOKUP(YEAR($B97),'Oferta Producto 2'!$B$8:$B$19,'Oferta Producto 2'!$E$8:$E$19))*$AD97)/$AB97)/24</f>
        <v>0</v>
      </c>
      <c r="W97" s="35">
        <f ca="1">(((_xlfn.XLOOKUP(YEAR($B97),'Oferta Producto 2'!$B$8:$B$19,'Oferta Producto 2'!$E$8:$E$19))*$AD97)/$AB97)/24</f>
        <v>0</v>
      </c>
      <c r="X97" s="35">
        <f ca="1">(((_xlfn.XLOOKUP(YEAR($B97),'Oferta Producto 2'!$B$8:$B$19,'Oferta Producto 2'!$E$8:$E$19))*$AD97)/$AB97)/24</f>
        <v>0</v>
      </c>
      <c r="Y97" s="35">
        <f ca="1">(((_xlfn.XLOOKUP(YEAR($B97),'Oferta Producto 2'!$B$8:$B$19,'Oferta Producto 2'!$E$8:$E$19))*$AD97)/$AB97)/24</f>
        <v>0</v>
      </c>
      <c r="Z97" s="35">
        <f ca="1">(((_xlfn.XLOOKUP(YEAR($B97),'Oferta Producto 2'!$B$8:$B$19,'Oferta Producto 2'!$E$8:$E$19))*$AD97)/$AB97)/24</f>
        <v>0</v>
      </c>
      <c r="AA97" s="35">
        <f t="shared" ca="1" si="9"/>
        <v>0</v>
      </c>
      <c r="AB97" s="28">
        <f t="shared" si="7"/>
        <v>31</v>
      </c>
      <c r="AC97" s="42">
        <f t="shared" ca="1" si="8"/>
        <v>0</v>
      </c>
      <c r="AD97" s="43">
        <v>8.0727358603645744E-2</v>
      </c>
      <c r="AE97" s="8"/>
      <c r="AF97" s="8"/>
    </row>
    <row r="98" spans="1:32" ht="15.75" thickBot="1">
      <c r="A98" s="23">
        <f t="shared" si="6"/>
        <v>2033</v>
      </c>
      <c r="B98" s="27">
        <v>48823</v>
      </c>
      <c r="C98" s="35">
        <f ca="1">(((_xlfn.XLOOKUP(YEAR($B98),'Oferta Producto 2'!$B$8:$B$19,'Oferta Producto 2'!$E$8:$E$19))*$AD98)/$AB98)/24</f>
        <v>0</v>
      </c>
      <c r="D98" s="35">
        <f ca="1">(((_xlfn.XLOOKUP(YEAR($B98),'Oferta Producto 2'!$B$8:$B$19,'Oferta Producto 2'!$E$8:$E$19))*$AD98)/$AB98)/24</f>
        <v>0</v>
      </c>
      <c r="E98" s="35">
        <f ca="1">(((_xlfn.XLOOKUP(YEAR($B98),'Oferta Producto 2'!$B$8:$B$19,'Oferta Producto 2'!$E$8:$E$19))*$AD98)/$AB98)/24</f>
        <v>0</v>
      </c>
      <c r="F98" s="35">
        <f ca="1">(((_xlfn.XLOOKUP(YEAR($B98),'Oferta Producto 2'!$B$8:$B$19,'Oferta Producto 2'!$E$8:$E$19))*$AD98)/$AB98)/24</f>
        <v>0</v>
      </c>
      <c r="G98" s="35">
        <f ca="1">(((_xlfn.XLOOKUP(YEAR($B98),'Oferta Producto 2'!$B$8:$B$19,'Oferta Producto 2'!$E$8:$E$19))*$AD98)/$AB98)/24</f>
        <v>0</v>
      </c>
      <c r="H98" s="35">
        <f ca="1">(((_xlfn.XLOOKUP(YEAR($B98),'Oferta Producto 2'!$B$8:$B$19,'Oferta Producto 2'!$E$8:$E$19))*$AD98)/$AB98)/24</f>
        <v>0</v>
      </c>
      <c r="I98" s="35">
        <f ca="1">(((_xlfn.XLOOKUP(YEAR($B98),'Oferta Producto 2'!$B$8:$B$19,'Oferta Producto 2'!$E$8:$E$19))*$AD98)/$AB98)/24</f>
        <v>0</v>
      </c>
      <c r="J98" s="35">
        <f ca="1">(((_xlfn.XLOOKUP(YEAR($B98),'Oferta Producto 2'!$B$8:$B$19,'Oferta Producto 2'!$E$8:$E$19))*$AD98)/$AB98)/24</f>
        <v>0</v>
      </c>
      <c r="K98" s="35">
        <f ca="1">(((_xlfn.XLOOKUP(YEAR($B98),'Oferta Producto 2'!$B$8:$B$19,'Oferta Producto 2'!$E$8:$E$19))*$AD98)/$AB98)/24</f>
        <v>0</v>
      </c>
      <c r="L98" s="35">
        <f ca="1">(((_xlfn.XLOOKUP(YEAR($B98),'Oferta Producto 2'!$B$8:$B$19,'Oferta Producto 2'!$E$8:$E$19))*$AD98)/$AB98)/24</f>
        <v>0</v>
      </c>
      <c r="M98" s="35">
        <f ca="1">(((_xlfn.XLOOKUP(YEAR($B98),'Oferta Producto 2'!$B$8:$B$19,'Oferta Producto 2'!$E$8:$E$19))*$AD98)/$AB98)/24</f>
        <v>0</v>
      </c>
      <c r="N98" s="35">
        <f ca="1">(((_xlfn.XLOOKUP(YEAR($B98),'Oferta Producto 2'!$B$8:$B$19,'Oferta Producto 2'!$E$8:$E$19))*$AD98)/$AB98)/24</f>
        <v>0</v>
      </c>
      <c r="O98" s="35">
        <f ca="1">(((_xlfn.XLOOKUP(YEAR($B98),'Oferta Producto 2'!$B$8:$B$19,'Oferta Producto 2'!$E$8:$E$19))*$AD98)/$AB98)/24</f>
        <v>0</v>
      </c>
      <c r="P98" s="35">
        <f ca="1">(((_xlfn.XLOOKUP(YEAR($B98),'Oferta Producto 2'!$B$8:$B$19,'Oferta Producto 2'!$E$8:$E$19))*$AD98)/$AB98)/24</f>
        <v>0</v>
      </c>
      <c r="Q98" s="35">
        <f ca="1">(((_xlfn.XLOOKUP(YEAR($B98),'Oferta Producto 2'!$B$8:$B$19,'Oferta Producto 2'!$E$8:$E$19))*$AD98)/$AB98)/24</f>
        <v>0</v>
      </c>
      <c r="R98" s="35">
        <f ca="1">(((_xlfn.XLOOKUP(YEAR($B98),'Oferta Producto 2'!$B$8:$B$19,'Oferta Producto 2'!$E$8:$E$19))*$AD98)/$AB98)/24</f>
        <v>0</v>
      </c>
      <c r="S98" s="35">
        <f ca="1">(((_xlfn.XLOOKUP(YEAR($B98),'Oferta Producto 2'!$B$8:$B$19,'Oferta Producto 2'!$E$8:$E$19))*$AD98)/$AB98)/24</f>
        <v>0</v>
      </c>
      <c r="T98" s="35">
        <f ca="1">(((_xlfn.XLOOKUP(YEAR($B98),'Oferta Producto 2'!$B$8:$B$19,'Oferta Producto 2'!$E$8:$E$19))*$AD98)/$AB98)/24</f>
        <v>0</v>
      </c>
      <c r="U98" s="35">
        <f ca="1">(((_xlfn.XLOOKUP(YEAR($B98),'Oferta Producto 2'!$B$8:$B$19,'Oferta Producto 2'!$E$8:$E$19))*$AD98)/$AB98)/24</f>
        <v>0</v>
      </c>
      <c r="V98" s="35">
        <f ca="1">(((_xlfn.XLOOKUP(YEAR($B98),'Oferta Producto 2'!$B$8:$B$19,'Oferta Producto 2'!$E$8:$E$19))*$AD98)/$AB98)/24</f>
        <v>0</v>
      </c>
      <c r="W98" s="35">
        <f ca="1">(((_xlfn.XLOOKUP(YEAR($B98),'Oferta Producto 2'!$B$8:$B$19,'Oferta Producto 2'!$E$8:$E$19))*$AD98)/$AB98)/24</f>
        <v>0</v>
      </c>
      <c r="X98" s="35">
        <f ca="1">(((_xlfn.XLOOKUP(YEAR($B98),'Oferta Producto 2'!$B$8:$B$19,'Oferta Producto 2'!$E$8:$E$19))*$AD98)/$AB98)/24</f>
        <v>0</v>
      </c>
      <c r="Y98" s="35">
        <f ca="1">(((_xlfn.XLOOKUP(YEAR($B98),'Oferta Producto 2'!$B$8:$B$19,'Oferta Producto 2'!$E$8:$E$19))*$AD98)/$AB98)/24</f>
        <v>0</v>
      </c>
      <c r="Z98" s="35">
        <f ca="1">(((_xlfn.XLOOKUP(YEAR($B98),'Oferta Producto 2'!$B$8:$B$19,'Oferta Producto 2'!$E$8:$E$19))*$AD98)/$AB98)/24</f>
        <v>0</v>
      </c>
      <c r="AA98" s="35">
        <f t="shared" ca="1" si="9"/>
        <v>0</v>
      </c>
      <c r="AB98" s="28">
        <f t="shared" si="7"/>
        <v>30</v>
      </c>
      <c r="AC98" s="42">
        <f t="shared" ca="1" si="8"/>
        <v>0</v>
      </c>
      <c r="AD98" s="43">
        <v>8.5194743854538763E-2</v>
      </c>
      <c r="AE98" s="8"/>
      <c r="AF98" s="8"/>
    </row>
    <row r="99" spans="1:32" ht="15.75" thickBot="1">
      <c r="A99" s="23">
        <f t="shared" si="6"/>
        <v>2033</v>
      </c>
      <c r="B99" s="27">
        <v>48853</v>
      </c>
      <c r="C99" s="35">
        <f ca="1">(((_xlfn.XLOOKUP(YEAR($B99),'Oferta Producto 2'!$B$8:$B$19,'Oferta Producto 2'!$E$8:$E$19))*$AD99)/$AB99)/24</f>
        <v>0</v>
      </c>
      <c r="D99" s="35">
        <f ca="1">(((_xlfn.XLOOKUP(YEAR($B99),'Oferta Producto 2'!$B$8:$B$19,'Oferta Producto 2'!$E$8:$E$19))*$AD99)/$AB99)/24</f>
        <v>0</v>
      </c>
      <c r="E99" s="35">
        <f ca="1">(((_xlfn.XLOOKUP(YEAR($B99),'Oferta Producto 2'!$B$8:$B$19,'Oferta Producto 2'!$E$8:$E$19))*$AD99)/$AB99)/24</f>
        <v>0</v>
      </c>
      <c r="F99" s="35">
        <f ca="1">(((_xlfn.XLOOKUP(YEAR($B99),'Oferta Producto 2'!$B$8:$B$19,'Oferta Producto 2'!$E$8:$E$19))*$AD99)/$AB99)/24</f>
        <v>0</v>
      </c>
      <c r="G99" s="35">
        <f ca="1">(((_xlfn.XLOOKUP(YEAR($B99),'Oferta Producto 2'!$B$8:$B$19,'Oferta Producto 2'!$E$8:$E$19))*$AD99)/$AB99)/24</f>
        <v>0</v>
      </c>
      <c r="H99" s="35">
        <f ca="1">(((_xlfn.XLOOKUP(YEAR($B99),'Oferta Producto 2'!$B$8:$B$19,'Oferta Producto 2'!$E$8:$E$19))*$AD99)/$AB99)/24</f>
        <v>0</v>
      </c>
      <c r="I99" s="35">
        <f ca="1">(((_xlfn.XLOOKUP(YEAR($B99),'Oferta Producto 2'!$B$8:$B$19,'Oferta Producto 2'!$E$8:$E$19))*$AD99)/$AB99)/24</f>
        <v>0</v>
      </c>
      <c r="J99" s="35">
        <f ca="1">(((_xlfn.XLOOKUP(YEAR($B99),'Oferta Producto 2'!$B$8:$B$19,'Oferta Producto 2'!$E$8:$E$19))*$AD99)/$AB99)/24</f>
        <v>0</v>
      </c>
      <c r="K99" s="35">
        <f ca="1">(((_xlfn.XLOOKUP(YEAR($B99),'Oferta Producto 2'!$B$8:$B$19,'Oferta Producto 2'!$E$8:$E$19))*$AD99)/$AB99)/24</f>
        <v>0</v>
      </c>
      <c r="L99" s="35">
        <f ca="1">(((_xlfn.XLOOKUP(YEAR($B99),'Oferta Producto 2'!$B$8:$B$19,'Oferta Producto 2'!$E$8:$E$19))*$AD99)/$AB99)/24</f>
        <v>0</v>
      </c>
      <c r="M99" s="35">
        <f ca="1">(((_xlfn.XLOOKUP(YEAR($B99),'Oferta Producto 2'!$B$8:$B$19,'Oferta Producto 2'!$E$8:$E$19))*$AD99)/$AB99)/24</f>
        <v>0</v>
      </c>
      <c r="N99" s="35">
        <f ca="1">(((_xlfn.XLOOKUP(YEAR($B99),'Oferta Producto 2'!$B$8:$B$19,'Oferta Producto 2'!$E$8:$E$19))*$AD99)/$AB99)/24</f>
        <v>0</v>
      </c>
      <c r="O99" s="35">
        <f ca="1">(((_xlfn.XLOOKUP(YEAR($B99),'Oferta Producto 2'!$B$8:$B$19,'Oferta Producto 2'!$E$8:$E$19))*$AD99)/$AB99)/24</f>
        <v>0</v>
      </c>
      <c r="P99" s="35">
        <f ca="1">(((_xlfn.XLOOKUP(YEAR($B99),'Oferta Producto 2'!$B$8:$B$19,'Oferta Producto 2'!$E$8:$E$19))*$AD99)/$AB99)/24</f>
        <v>0</v>
      </c>
      <c r="Q99" s="35">
        <f ca="1">(((_xlfn.XLOOKUP(YEAR($B99),'Oferta Producto 2'!$B$8:$B$19,'Oferta Producto 2'!$E$8:$E$19))*$AD99)/$AB99)/24</f>
        <v>0</v>
      </c>
      <c r="R99" s="35">
        <f ca="1">(((_xlfn.XLOOKUP(YEAR($B99),'Oferta Producto 2'!$B$8:$B$19,'Oferta Producto 2'!$E$8:$E$19))*$AD99)/$AB99)/24</f>
        <v>0</v>
      </c>
      <c r="S99" s="35">
        <f ca="1">(((_xlfn.XLOOKUP(YEAR($B99),'Oferta Producto 2'!$B$8:$B$19,'Oferta Producto 2'!$E$8:$E$19))*$AD99)/$AB99)/24</f>
        <v>0</v>
      </c>
      <c r="T99" s="35">
        <f ca="1">(((_xlfn.XLOOKUP(YEAR($B99),'Oferta Producto 2'!$B$8:$B$19,'Oferta Producto 2'!$E$8:$E$19))*$AD99)/$AB99)/24</f>
        <v>0</v>
      </c>
      <c r="U99" s="35">
        <f ca="1">(((_xlfn.XLOOKUP(YEAR($B99),'Oferta Producto 2'!$B$8:$B$19,'Oferta Producto 2'!$E$8:$E$19))*$AD99)/$AB99)/24</f>
        <v>0</v>
      </c>
      <c r="V99" s="35">
        <f ca="1">(((_xlfn.XLOOKUP(YEAR($B99),'Oferta Producto 2'!$B$8:$B$19,'Oferta Producto 2'!$E$8:$E$19))*$AD99)/$AB99)/24</f>
        <v>0</v>
      </c>
      <c r="W99" s="35">
        <f ca="1">(((_xlfn.XLOOKUP(YEAR($B99),'Oferta Producto 2'!$B$8:$B$19,'Oferta Producto 2'!$E$8:$E$19))*$AD99)/$AB99)/24</f>
        <v>0</v>
      </c>
      <c r="X99" s="35">
        <f ca="1">(((_xlfn.XLOOKUP(YEAR($B99),'Oferta Producto 2'!$B$8:$B$19,'Oferta Producto 2'!$E$8:$E$19))*$AD99)/$AB99)/24</f>
        <v>0</v>
      </c>
      <c r="Y99" s="35">
        <f ca="1">(((_xlfn.XLOOKUP(YEAR($B99),'Oferta Producto 2'!$B$8:$B$19,'Oferta Producto 2'!$E$8:$E$19))*$AD99)/$AB99)/24</f>
        <v>0</v>
      </c>
      <c r="Z99" s="35">
        <f ca="1">(((_xlfn.XLOOKUP(YEAR($B99),'Oferta Producto 2'!$B$8:$B$19,'Oferta Producto 2'!$E$8:$E$19))*$AD99)/$AB99)/24</f>
        <v>0</v>
      </c>
      <c r="AA99" s="35">
        <f t="shared" ca="1" si="9"/>
        <v>0</v>
      </c>
      <c r="AB99" s="28">
        <f t="shared" si="7"/>
        <v>31</v>
      </c>
      <c r="AC99" s="42">
        <f t="shared" ca="1" si="8"/>
        <v>0</v>
      </c>
      <c r="AD99" s="43">
        <v>8.0727358603645744E-2</v>
      </c>
      <c r="AE99" s="8"/>
      <c r="AF99" s="8"/>
    </row>
    <row r="100" spans="1:32" ht="15.75" thickBot="1">
      <c r="A100" s="23">
        <f t="shared" si="6"/>
        <v>2033</v>
      </c>
      <c r="B100" s="27">
        <v>48884</v>
      </c>
      <c r="C100" s="35">
        <f ca="1">(((_xlfn.XLOOKUP(YEAR($B100),'Oferta Producto 2'!$B$8:$B$19,'Oferta Producto 2'!$E$8:$E$19))*$AD100)/$AB100)/24</f>
        <v>0</v>
      </c>
      <c r="D100" s="35">
        <f ca="1">(((_xlfn.XLOOKUP(YEAR($B100),'Oferta Producto 2'!$B$8:$B$19,'Oferta Producto 2'!$E$8:$E$19))*$AD100)/$AB100)/24</f>
        <v>0</v>
      </c>
      <c r="E100" s="35">
        <f ca="1">(((_xlfn.XLOOKUP(YEAR($B100),'Oferta Producto 2'!$B$8:$B$19,'Oferta Producto 2'!$E$8:$E$19))*$AD100)/$AB100)/24</f>
        <v>0</v>
      </c>
      <c r="F100" s="35">
        <f ca="1">(((_xlfn.XLOOKUP(YEAR($B100),'Oferta Producto 2'!$B$8:$B$19,'Oferta Producto 2'!$E$8:$E$19))*$AD100)/$AB100)/24</f>
        <v>0</v>
      </c>
      <c r="G100" s="35">
        <f ca="1">(((_xlfn.XLOOKUP(YEAR($B100),'Oferta Producto 2'!$B$8:$B$19,'Oferta Producto 2'!$E$8:$E$19))*$AD100)/$AB100)/24</f>
        <v>0</v>
      </c>
      <c r="H100" s="35">
        <f ca="1">(((_xlfn.XLOOKUP(YEAR($B100),'Oferta Producto 2'!$B$8:$B$19,'Oferta Producto 2'!$E$8:$E$19))*$AD100)/$AB100)/24</f>
        <v>0</v>
      </c>
      <c r="I100" s="35">
        <f ca="1">(((_xlfn.XLOOKUP(YEAR($B100),'Oferta Producto 2'!$B$8:$B$19,'Oferta Producto 2'!$E$8:$E$19))*$AD100)/$AB100)/24</f>
        <v>0</v>
      </c>
      <c r="J100" s="35">
        <f ca="1">(((_xlfn.XLOOKUP(YEAR($B100),'Oferta Producto 2'!$B$8:$B$19,'Oferta Producto 2'!$E$8:$E$19))*$AD100)/$AB100)/24</f>
        <v>0</v>
      </c>
      <c r="K100" s="35">
        <f ca="1">(((_xlfn.XLOOKUP(YEAR($B100),'Oferta Producto 2'!$B$8:$B$19,'Oferta Producto 2'!$E$8:$E$19))*$AD100)/$AB100)/24</f>
        <v>0</v>
      </c>
      <c r="L100" s="35">
        <f ca="1">(((_xlfn.XLOOKUP(YEAR($B100),'Oferta Producto 2'!$B$8:$B$19,'Oferta Producto 2'!$E$8:$E$19))*$AD100)/$AB100)/24</f>
        <v>0</v>
      </c>
      <c r="M100" s="35">
        <f ca="1">(((_xlfn.XLOOKUP(YEAR($B100),'Oferta Producto 2'!$B$8:$B$19,'Oferta Producto 2'!$E$8:$E$19))*$AD100)/$AB100)/24</f>
        <v>0</v>
      </c>
      <c r="N100" s="35">
        <f ca="1">(((_xlfn.XLOOKUP(YEAR($B100),'Oferta Producto 2'!$B$8:$B$19,'Oferta Producto 2'!$E$8:$E$19))*$AD100)/$AB100)/24</f>
        <v>0</v>
      </c>
      <c r="O100" s="35">
        <f ca="1">(((_xlfn.XLOOKUP(YEAR($B100),'Oferta Producto 2'!$B$8:$B$19,'Oferta Producto 2'!$E$8:$E$19))*$AD100)/$AB100)/24</f>
        <v>0</v>
      </c>
      <c r="P100" s="35">
        <f ca="1">(((_xlfn.XLOOKUP(YEAR($B100),'Oferta Producto 2'!$B$8:$B$19,'Oferta Producto 2'!$E$8:$E$19))*$AD100)/$AB100)/24</f>
        <v>0</v>
      </c>
      <c r="Q100" s="35">
        <f ca="1">(((_xlfn.XLOOKUP(YEAR($B100),'Oferta Producto 2'!$B$8:$B$19,'Oferta Producto 2'!$E$8:$E$19))*$AD100)/$AB100)/24</f>
        <v>0</v>
      </c>
      <c r="R100" s="35">
        <f ca="1">(((_xlfn.XLOOKUP(YEAR($B100),'Oferta Producto 2'!$B$8:$B$19,'Oferta Producto 2'!$E$8:$E$19))*$AD100)/$AB100)/24</f>
        <v>0</v>
      </c>
      <c r="S100" s="35">
        <f ca="1">(((_xlfn.XLOOKUP(YEAR($B100),'Oferta Producto 2'!$B$8:$B$19,'Oferta Producto 2'!$E$8:$E$19))*$AD100)/$AB100)/24</f>
        <v>0</v>
      </c>
      <c r="T100" s="35">
        <f ca="1">(((_xlfn.XLOOKUP(YEAR($B100),'Oferta Producto 2'!$B$8:$B$19,'Oferta Producto 2'!$E$8:$E$19))*$AD100)/$AB100)/24</f>
        <v>0</v>
      </c>
      <c r="U100" s="35">
        <f ca="1">(((_xlfn.XLOOKUP(YEAR($B100),'Oferta Producto 2'!$B$8:$B$19,'Oferta Producto 2'!$E$8:$E$19))*$AD100)/$AB100)/24</f>
        <v>0</v>
      </c>
      <c r="V100" s="35">
        <f ca="1">(((_xlfn.XLOOKUP(YEAR($B100),'Oferta Producto 2'!$B$8:$B$19,'Oferta Producto 2'!$E$8:$E$19))*$AD100)/$AB100)/24</f>
        <v>0</v>
      </c>
      <c r="W100" s="35">
        <f ca="1">(((_xlfn.XLOOKUP(YEAR($B100),'Oferta Producto 2'!$B$8:$B$19,'Oferta Producto 2'!$E$8:$E$19))*$AD100)/$AB100)/24</f>
        <v>0</v>
      </c>
      <c r="X100" s="35">
        <f ca="1">(((_xlfn.XLOOKUP(YEAR($B100),'Oferta Producto 2'!$B$8:$B$19,'Oferta Producto 2'!$E$8:$E$19))*$AD100)/$AB100)/24</f>
        <v>0</v>
      </c>
      <c r="Y100" s="35">
        <f ca="1">(((_xlfn.XLOOKUP(YEAR($B100),'Oferta Producto 2'!$B$8:$B$19,'Oferta Producto 2'!$E$8:$E$19))*$AD100)/$AB100)/24</f>
        <v>0</v>
      </c>
      <c r="Z100" s="35">
        <f ca="1">(((_xlfn.XLOOKUP(YEAR($B100),'Oferta Producto 2'!$B$8:$B$19,'Oferta Producto 2'!$E$8:$E$19))*$AD100)/$AB100)/24</f>
        <v>0</v>
      </c>
      <c r="AA100" s="35">
        <f t="shared" ca="1" si="9"/>
        <v>0</v>
      </c>
      <c r="AB100" s="28">
        <f t="shared" si="7"/>
        <v>30</v>
      </c>
      <c r="AC100" s="42">
        <f t="shared" ca="1" si="8"/>
        <v>0</v>
      </c>
      <c r="AD100" s="43">
        <v>8.5194743854538763E-2</v>
      </c>
      <c r="AE100" s="8"/>
      <c r="AF100" s="8"/>
    </row>
    <row r="101" spans="1:32" ht="15.75" thickBot="1">
      <c r="A101" s="23">
        <f t="shared" si="6"/>
        <v>2033</v>
      </c>
      <c r="B101" s="27">
        <v>48914</v>
      </c>
      <c r="C101" s="35">
        <f ca="1">(((_xlfn.XLOOKUP(YEAR($B101),'Oferta Producto 2'!$B$8:$B$19,'Oferta Producto 2'!$E$8:$E$19))*$AD101)/$AB101)/24</f>
        <v>0</v>
      </c>
      <c r="D101" s="35">
        <f ca="1">(((_xlfn.XLOOKUP(YEAR($B101),'Oferta Producto 2'!$B$8:$B$19,'Oferta Producto 2'!$E$8:$E$19))*$AD101)/$AB101)/24</f>
        <v>0</v>
      </c>
      <c r="E101" s="35">
        <f ca="1">(((_xlfn.XLOOKUP(YEAR($B101),'Oferta Producto 2'!$B$8:$B$19,'Oferta Producto 2'!$E$8:$E$19))*$AD101)/$AB101)/24</f>
        <v>0</v>
      </c>
      <c r="F101" s="35">
        <f ca="1">(((_xlfn.XLOOKUP(YEAR($B101),'Oferta Producto 2'!$B$8:$B$19,'Oferta Producto 2'!$E$8:$E$19))*$AD101)/$AB101)/24</f>
        <v>0</v>
      </c>
      <c r="G101" s="35">
        <f ca="1">(((_xlfn.XLOOKUP(YEAR($B101),'Oferta Producto 2'!$B$8:$B$19,'Oferta Producto 2'!$E$8:$E$19))*$AD101)/$AB101)/24</f>
        <v>0</v>
      </c>
      <c r="H101" s="35">
        <f ca="1">(((_xlfn.XLOOKUP(YEAR($B101),'Oferta Producto 2'!$B$8:$B$19,'Oferta Producto 2'!$E$8:$E$19))*$AD101)/$AB101)/24</f>
        <v>0</v>
      </c>
      <c r="I101" s="35">
        <f ca="1">(((_xlfn.XLOOKUP(YEAR($B101),'Oferta Producto 2'!$B$8:$B$19,'Oferta Producto 2'!$E$8:$E$19))*$AD101)/$AB101)/24</f>
        <v>0</v>
      </c>
      <c r="J101" s="35">
        <f ca="1">(((_xlfn.XLOOKUP(YEAR($B101),'Oferta Producto 2'!$B$8:$B$19,'Oferta Producto 2'!$E$8:$E$19))*$AD101)/$AB101)/24</f>
        <v>0</v>
      </c>
      <c r="K101" s="35">
        <f ca="1">(((_xlfn.XLOOKUP(YEAR($B101),'Oferta Producto 2'!$B$8:$B$19,'Oferta Producto 2'!$E$8:$E$19))*$AD101)/$AB101)/24</f>
        <v>0</v>
      </c>
      <c r="L101" s="35">
        <f ca="1">(((_xlfn.XLOOKUP(YEAR($B101),'Oferta Producto 2'!$B$8:$B$19,'Oferta Producto 2'!$E$8:$E$19))*$AD101)/$AB101)/24</f>
        <v>0</v>
      </c>
      <c r="M101" s="35">
        <f ca="1">(((_xlfn.XLOOKUP(YEAR($B101),'Oferta Producto 2'!$B$8:$B$19,'Oferta Producto 2'!$E$8:$E$19))*$AD101)/$AB101)/24</f>
        <v>0</v>
      </c>
      <c r="N101" s="35">
        <f ca="1">(((_xlfn.XLOOKUP(YEAR($B101),'Oferta Producto 2'!$B$8:$B$19,'Oferta Producto 2'!$E$8:$E$19))*$AD101)/$AB101)/24</f>
        <v>0</v>
      </c>
      <c r="O101" s="35">
        <f ca="1">(((_xlfn.XLOOKUP(YEAR($B101),'Oferta Producto 2'!$B$8:$B$19,'Oferta Producto 2'!$E$8:$E$19))*$AD101)/$AB101)/24</f>
        <v>0</v>
      </c>
      <c r="P101" s="35">
        <f ca="1">(((_xlfn.XLOOKUP(YEAR($B101),'Oferta Producto 2'!$B$8:$B$19,'Oferta Producto 2'!$E$8:$E$19))*$AD101)/$AB101)/24</f>
        <v>0</v>
      </c>
      <c r="Q101" s="35">
        <f ca="1">(((_xlfn.XLOOKUP(YEAR($B101),'Oferta Producto 2'!$B$8:$B$19,'Oferta Producto 2'!$E$8:$E$19))*$AD101)/$AB101)/24</f>
        <v>0</v>
      </c>
      <c r="R101" s="35">
        <f ca="1">(((_xlfn.XLOOKUP(YEAR($B101),'Oferta Producto 2'!$B$8:$B$19,'Oferta Producto 2'!$E$8:$E$19))*$AD101)/$AB101)/24</f>
        <v>0</v>
      </c>
      <c r="S101" s="35">
        <f ca="1">(((_xlfn.XLOOKUP(YEAR($B101),'Oferta Producto 2'!$B$8:$B$19,'Oferta Producto 2'!$E$8:$E$19))*$AD101)/$AB101)/24</f>
        <v>0</v>
      </c>
      <c r="T101" s="35">
        <f ca="1">(((_xlfn.XLOOKUP(YEAR($B101),'Oferta Producto 2'!$B$8:$B$19,'Oferta Producto 2'!$E$8:$E$19))*$AD101)/$AB101)/24</f>
        <v>0</v>
      </c>
      <c r="U101" s="35">
        <f ca="1">(((_xlfn.XLOOKUP(YEAR($B101),'Oferta Producto 2'!$B$8:$B$19,'Oferta Producto 2'!$E$8:$E$19))*$AD101)/$AB101)/24</f>
        <v>0</v>
      </c>
      <c r="V101" s="35">
        <f ca="1">(((_xlfn.XLOOKUP(YEAR($B101),'Oferta Producto 2'!$B$8:$B$19,'Oferta Producto 2'!$E$8:$E$19))*$AD101)/$AB101)/24</f>
        <v>0</v>
      </c>
      <c r="W101" s="35">
        <f ca="1">(((_xlfn.XLOOKUP(YEAR($B101),'Oferta Producto 2'!$B$8:$B$19,'Oferta Producto 2'!$E$8:$E$19))*$AD101)/$AB101)/24</f>
        <v>0</v>
      </c>
      <c r="X101" s="35">
        <f ca="1">(((_xlfn.XLOOKUP(YEAR($B101),'Oferta Producto 2'!$B$8:$B$19,'Oferta Producto 2'!$E$8:$E$19))*$AD101)/$AB101)/24</f>
        <v>0</v>
      </c>
      <c r="Y101" s="35">
        <f ca="1">(((_xlfn.XLOOKUP(YEAR($B101),'Oferta Producto 2'!$B$8:$B$19,'Oferta Producto 2'!$E$8:$E$19))*$AD101)/$AB101)/24</f>
        <v>0</v>
      </c>
      <c r="Z101" s="35">
        <f ca="1">(((_xlfn.XLOOKUP(YEAR($B101),'Oferta Producto 2'!$B$8:$B$19,'Oferta Producto 2'!$E$8:$E$19))*$AD101)/$AB101)/24</f>
        <v>0</v>
      </c>
      <c r="AA101" s="35">
        <f t="shared" ca="1" si="9"/>
        <v>0</v>
      </c>
      <c r="AB101" s="28">
        <f t="shared" si="7"/>
        <v>31</v>
      </c>
      <c r="AC101" s="42">
        <f t="shared" ca="1" si="8"/>
        <v>0</v>
      </c>
      <c r="AD101" s="43">
        <v>8.0727358603645744E-2</v>
      </c>
      <c r="AE101" s="8"/>
      <c r="AF101" s="8"/>
    </row>
    <row r="102" spans="1:32" ht="15.75" thickBot="1">
      <c r="A102" s="23">
        <f t="shared" si="6"/>
        <v>2034</v>
      </c>
      <c r="B102" s="27">
        <v>48945</v>
      </c>
      <c r="C102" s="35">
        <f ca="1">(((_xlfn.XLOOKUP(YEAR($B102),'Oferta Producto 2'!$B$8:$B$19,'Oferta Producto 2'!$E$8:$E$19))*$AD102)/$AB102)/24</f>
        <v>0</v>
      </c>
      <c r="D102" s="35">
        <f ca="1">(((_xlfn.XLOOKUP(YEAR($B102),'Oferta Producto 2'!$B$8:$B$19,'Oferta Producto 2'!$E$8:$E$19))*$AD102)/$AB102)/24</f>
        <v>0</v>
      </c>
      <c r="E102" s="35">
        <f ca="1">(((_xlfn.XLOOKUP(YEAR($B102),'Oferta Producto 2'!$B$8:$B$19,'Oferta Producto 2'!$E$8:$E$19))*$AD102)/$AB102)/24</f>
        <v>0</v>
      </c>
      <c r="F102" s="35">
        <f ca="1">(((_xlfn.XLOOKUP(YEAR($B102),'Oferta Producto 2'!$B$8:$B$19,'Oferta Producto 2'!$E$8:$E$19))*$AD102)/$AB102)/24</f>
        <v>0</v>
      </c>
      <c r="G102" s="35">
        <f ca="1">(((_xlfn.XLOOKUP(YEAR($B102),'Oferta Producto 2'!$B$8:$B$19,'Oferta Producto 2'!$E$8:$E$19))*$AD102)/$AB102)/24</f>
        <v>0</v>
      </c>
      <c r="H102" s="35">
        <f ca="1">(((_xlfn.XLOOKUP(YEAR($B102),'Oferta Producto 2'!$B$8:$B$19,'Oferta Producto 2'!$E$8:$E$19))*$AD102)/$AB102)/24</f>
        <v>0</v>
      </c>
      <c r="I102" s="35">
        <f ca="1">(((_xlfn.XLOOKUP(YEAR($B102),'Oferta Producto 2'!$B$8:$B$19,'Oferta Producto 2'!$E$8:$E$19))*$AD102)/$AB102)/24</f>
        <v>0</v>
      </c>
      <c r="J102" s="35">
        <f ca="1">(((_xlfn.XLOOKUP(YEAR($B102),'Oferta Producto 2'!$B$8:$B$19,'Oferta Producto 2'!$E$8:$E$19))*$AD102)/$AB102)/24</f>
        <v>0</v>
      </c>
      <c r="K102" s="35">
        <f ca="1">(((_xlfn.XLOOKUP(YEAR($B102),'Oferta Producto 2'!$B$8:$B$19,'Oferta Producto 2'!$E$8:$E$19))*$AD102)/$AB102)/24</f>
        <v>0</v>
      </c>
      <c r="L102" s="35">
        <f ca="1">(((_xlfn.XLOOKUP(YEAR($B102),'Oferta Producto 2'!$B$8:$B$19,'Oferta Producto 2'!$E$8:$E$19))*$AD102)/$AB102)/24</f>
        <v>0</v>
      </c>
      <c r="M102" s="35">
        <f ca="1">(((_xlfn.XLOOKUP(YEAR($B102),'Oferta Producto 2'!$B$8:$B$19,'Oferta Producto 2'!$E$8:$E$19))*$AD102)/$AB102)/24</f>
        <v>0</v>
      </c>
      <c r="N102" s="35">
        <f ca="1">(((_xlfn.XLOOKUP(YEAR($B102),'Oferta Producto 2'!$B$8:$B$19,'Oferta Producto 2'!$E$8:$E$19))*$AD102)/$AB102)/24</f>
        <v>0</v>
      </c>
      <c r="O102" s="35">
        <f ca="1">(((_xlfn.XLOOKUP(YEAR($B102),'Oferta Producto 2'!$B$8:$B$19,'Oferta Producto 2'!$E$8:$E$19))*$AD102)/$AB102)/24</f>
        <v>0</v>
      </c>
      <c r="P102" s="35">
        <f ca="1">(((_xlfn.XLOOKUP(YEAR($B102),'Oferta Producto 2'!$B$8:$B$19,'Oferta Producto 2'!$E$8:$E$19))*$AD102)/$AB102)/24</f>
        <v>0</v>
      </c>
      <c r="Q102" s="35">
        <f ca="1">(((_xlfn.XLOOKUP(YEAR($B102),'Oferta Producto 2'!$B$8:$B$19,'Oferta Producto 2'!$E$8:$E$19))*$AD102)/$AB102)/24</f>
        <v>0</v>
      </c>
      <c r="R102" s="35">
        <f ca="1">(((_xlfn.XLOOKUP(YEAR($B102),'Oferta Producto 2'!$B$8:$B$19,'Oferta Producto 2'!$E$8:$E$19))*$AD102)/$AB102)/24</f>
        <v>0</v>
      </c>
      <c r="S102" s="35">
        <f ca="1">(((_xlfn.XLOOKUP(YEAR($B102),'Oferta Producto 2'!$B$8:$B$19,'Oferta Producto 2'!$E$8:$E$19))*$AD102)/$AB102)/24</f>
        <v>0</v>
      </c>
      <c r="T102" s="35">
        <f ca="1">(((_xlfn.XLOOKUP(YEAR($B102),'Oferta Producto 2'!$B$8:$B$19,'Oferta Producto 2'!$E$8:$E$19))*$AD102)/$AB102)/24</f>
        <v>0</v>
      </c>
      <c r="U102" s="35">
        <f ca="1">(((_xlfn.XLOOKUP(YEAR($B102),'Oferta Producto 2'!$B$8:$B$19,'Oferta Producto 2'!$E$8:$E$19))*$AD102)/$AB102)/24</f>
        <v>0</v>
      </c>
      <c r="V102" s="35">
        <f ca="1">(((_xlfn.XLOOKUP(YEAR($B102),'Oferta Producto 2'!$B$8:$B$19,'Oferta Producto 2'!$E$8:$E$19))*$AD102)/$AB102)/24</f>
        <v>0</v>
      </c>
      <c r="W102" s="35">
        <f ca="1">(((_xlfn.XLOOKUP(YEAR($B102),'Oferta Producto 2'!$B$8:$B$19,'Oferta Producto 2'!$E$8:$E$19))*$AD102)/$AB102)/24</f>
        <v>0</v>
      </c>
      <c r="X102" s="35">
        <f ca="1">(((_xlfn.XLOOKUP(YEAR($B102),'Oferta Producto 2'!$B$8:$B$19,'Oferta Producto 2'!$E$8:$E$19))*$AD102)/$AB102)/24</f>
        <v>0</v>
      </c>
      <c r="Y102" s="35">
        <f ca="1">(((_xlfn.XLOOKUP(YEAR($B102),'Oferta Producto 2'!$B$8:$B$19,'Oferta Producto 2'!$E$8:$E$19))*$AD102)/$AB102)/24</f>
        <v>0</v>
      </c>
      <c r="Z102" s="35">
        <f ca="1">(((_xlfn.XLOOKUP(YEAR($B102),'Oferta Producto 2'!$B$8:$B$19,'Oferta Producto 2'!$E$8:$E$19))*$AD102)/$AB102)/24</f>
        <v>0</v>
      </c>
      <c r="AA102" s="35">
        <f t="shared" ca="1" si="9"/>
        <v>0</v>
      </c>
      <c r="AB102" s="28">
        <f t="shared" si="7"/>
        <v>31</v>
      </c>
      <c r="AC102" s="42">
        <f t="shared" ca="1" si="8"/>
        <v>0</v>
      </c>
      <c r="AD102" s="43">
        <v>8.2806296035670815E-2</v>
      </c>
      <c r="AE102" s="8"/>
      <c r="AF102" s="8"/>
    </row>
    <row r="103" spans="1:32" ht="15.75" thickBot="1">
      <c r="A103" s="23">
        <f t="shared" si="6"/>
        <v>2034</v>
      </c>
      <c r="B103" s="27">
        <v>48976</v>
      </c>
      <c r="C103" s="35">
        <f ca="1">(((_xlfn.XLOOKUP(YEAR($B103),'Oferta Producto 2'!$B$8:$B$19,'Oferta Producto 2'!$E$8:$E$19))*$AD103)/$AB103)/24</f>
        <v>0</v>
      </c>
      <c r="D103" s="35">
        <f ca="1">(((_xlfn.XLOOKUP(YEAR($B103),'Oferta Producto 2'!$B$8:$B$19,'Oferta Producto 2'!$E$8:$E$19))*$AD103)/$AB103)/24</f>
        <v>0</v>
      </c>
      <c r="E103" s="35">
        <f ca="1">(((_xlfn.XLOOKUP(YEAR($B103),'Oferta Producto 2'!$B$8:$B$19,'Oferta Producto 2'!$E$8:$E$19))*$AD103)/$AB103)/24</f>
        <v>0</v>
      </c>
      <c r="F103" s="35">
        <f ca="1">(((_xlfn.XLOOKUP(YEAR($B103),'Oferta Producto 2'!$B$8:$B$19,'Oferta Producto 2'!$E$8:$E$19))*$AD103)/$AB103)/24</f>
        <v>0</v>
      </c>
      <c r="G103" s="35">
        <f ca="1">(((_xlfn.XLOOKUP(YEAR($B103),'Oferta Producto 2'!$B$8:$B$19,'Oferta Producto 2'!$E$8:$E$19))*$AD103)/$AB103)/24</f>
        <v>0</v>
      </c>
      <c r="H103" s="35">
        <f ca="1">(((_xlfn.XLOOKUP(YEAR($B103),'Oferta Producto 2'!$B$8:$B$19,'Oferta Producto 2'!$E$8:$E$19))*$AD103)/$AB103)/24</f>
        <v>0</v>
      </c>
      <c r="I103" s="35">
        <f ca="1">(((_xlfn.XLOOKUP(YEAR($B103),'Oferta Producto 2'!$B$8:$B$19,'Oferta Producto 2'!$E$8:$E$19))*$AD103)/$AB103)/24</f>
        <v>0</v>
      </c>
      <c r="J103" s="35">
        <f ca="1">(((_xlfn.XLOOKUP(YEAR($B103),'Oferta Producto 2'!$B$8:$B$19,'Oferta Producto 2'!$E$8:$E$19))*$AD103)/$AB103)/24</f>
        <v>0</v>
      </c>
      <c r="K103" s="35">
        <f ca="1">(((_xlfn.XLOOKUP(YEAR($B103),'Oferta Producto 2'!$B$8:$B$19,'Oferta Producto 2'!$E$8:$E$19))*$AD103)/$AB103)/24</f>
        <v>0</v>
      </c>
      <c r="L103" s="35">
        <f ca="1">(((_xlfn.XLOOKUP(YEAR($B103),'Oferta Producto 2'!$B$8:$B$19,'Oferta Producto 2'!$E$8:$E$19))*$AD103)/$AB103)/24</f>
        <v>0</v>
      </c>
      <c r="M103" s="35">
        <f ca="1">(((_xlfn.XLOOKUP(YEAR($B103),'Oferta Producto 2'!$B$8:$B$19,'Oferta Producto 2'!$E$8:$E$19))*$AD103)/$AB103)/24</f>
        <v>0</v>
      </c>
      <c r="N103" s="35">
        <f ca="1">(((_xlfn.XLOOKUP(YEAR($B103),'Oferta Producto 2'!$B$8:$B$19,'Oferta Producto 2'!$E$8:$E$19))*$AD103)/$AB103)/24</f>
        <v>0</v>
      </c>
      <c r="O103" s="35">
        <f ca="1">(((_xlfn.XLOOKUP(YEAR($B103),'Oferta Producto 2'!$B$8:$B$19,'Oferta Producto 2'!$E$8:$E$19))*$AD103)/$AB103)/24</f>
        <v>0</v>
      </c>
      <c r="P103" s="35">
        <f ca="1">(((_xlfn.XLOOKUP(YEAR($B103),'Oferta Producto 2'!$B$8:$B$19,'Oferta Producto 2'!$E$8:$E$19))*$AD103)/$AB103)/24</f>
        <v>0</v>
      </c>
      <c r="Q103" s="35">
        <f ca="1">(((_xlfn.XLOOKUP(YEAR($B103),'Oferta Producto 2'!$B$8:$B$19,'Oferta Producto 2'!$E$8:$E$19))*$AD103)/$AB103)/24</f>
        <v>0</v>
      </c>
      <c r="R103" s="35">
        <f ca="1">(((_xlfn.XLOOKUP(YEAR($B103),'Oferta Producto 2'!$B$8:$B$19,'Oferta Producto 2'!$E$8:$E$19))*$AD103)/$AB103)/24</f>
        <v>0</v>
      </c>
      <c r="S103" s="35">
        <f ca="1">(((_xlfn.XLOOKUP(YEAR($B103),'Oferta Producto 2'!$B$8:$B$19,'Oferta Producto 2'!$E$8:$E$19))*$AD103)/$AB103)/24</f>
        <v>0</v>
      </c>
      <c r="T103" s="35">
        <f ca="1">(((_xlfn.XLOOKUP(YEAR($B103),'Oferta Producto 2'!$B$8:$B$19,'Oferta Producto 2'!$E$8:$E$19))*$AD103)/$AB103)/24</f>
        <v>0</v>
      </c>
      <c r="U103" s="35">
        <f ca="1">(((_xlfn.XLOOKUP(YEAR($B103),'Oferta Producto 2'!$B$8:$B$19,'Oferta Producto 2'!$E$8:$E$19))*$AD103)/$AB103)/24</f>
        <v>0</v>
      </c>
      <c r="V103" s="35">
        <f ca="1">(((_xlfn.XLOOKUP(YEAR($B103),'Oferta Producto 2'!$B$8:$B$19,'Oferta Producto 2'!$E$8:$E$19))*$AD103)/$AB103)/24</f>
        <v>0</v>
      </c>
      <c r="W103" s="35">
        <f ca="1">(((_xlfn.XLOOKUP(YEAR($B103),'Oferta Producto 2'!$B$8:$B$19,'Oferta Producto 2'!$E$8:$E$19))*$AD103)/$AB103)/24</f>
        <v>0</v>
      </c>
      <c r="X103" s="35">
        <f ca="1">(((_xlfn.XLOOKUP(YEAR($B103),'Oferta Producto 2'!$B$8:$B$19,'Oferta Producto 2'!$E$8:$E$19))*$AD103)/$AB103)/24</f>
        <v>0</v>
      </c>
      <c r="Y103" s="35">
        <f ca="1">(((_xlfn.XLOOKUP(YEAR($B103),'Oferta Producto 2'!$B$8:$B$19,'Oferta Producto 2'!$E$8:$E$19))*$AD103)/$AB103)/24</f>
        <v>0</v>
      </c>
      <c r="Z103" s="35">
        <f ca="1">(((_xlfn.XLOOKUP(YEAR($B103),'Oferta Producto 2'!$B$8:$B$19,'Oferta Producto 2'!$E$8:$E$19))*$AD103)/$AB103)/24</f>
        <v>0</v>
      </c>
      <c r="AA103" s="35">
        <f t="shared" ca="1" si="9"/>
        <v>0</v>
      </c>
      <c r="AB103" s="28">
        <f t="shared" si="7"/>
        <v>28</v>
      </c>
      <c r="AC103" s="42">
        <f t="shared" ca="1" si="8"/>
        <v>0</v>
      </c>
      <c r="AD103" s="43">
        <v>8.4389322806172493E-2</v>
      </c>
      <c r="AE103" s="8"/>
      <c r="AF103" s="8"/>
    </row>
    <row r="104" spans="1:32" ht="15.75" thickBot="1">
      <c r="A104" s="23">
        <f t="shared" si="6"/>
        <v>2034</v>
      </c>
      <c r="B104" s="27">
        <v>49004</v>
      </c>
      <c r="C104" s="35">
        <f ca="1">(((_xlfn.XLOOKUP(YEAR($B104),'Oferta Producto 2'!$B$8:$B$19,'Oferta Producto 2'!$E$8:$E$19))*$AD104)/$AB104)/24</f>
        <v>0</v>
      </c>
      <c r="D104" s="35">
        <f ca="1">(((_xlfn.XLOOKUP(YEAR($B104),'Oferta Producto 2'!$B$8:$B$19,'Oferta Producto 2'!$E$8:$E$19))*$AD104)/$AB104)/24</f>
        <v>0</v>
      </c>
      <c r="E104" s="35">
        <f ca="1">(((_xlfn.XLOOKUP(YEAR($B104),'Oferta Producto 2'!$B$8:$B$19,'Oferta Producto 2'!$E$8:$E$19))*$AD104)/$AB104)/24</f>
        <v>0</v>
      </c>
      <c r="F104" s="35">
        <f ca="1">(((_xlfn.XLOOKUP(YEAR($B104),'Oferta Producto 2'!$B$8:$B$19,'Oferta Producto 2'!$E$8:$E$19))*$AD104)/$AB104)/24</f>
        <v>0</v>
      </c>
      <c r="G104" s="35">
        <f ca="1">(((_xlfn.XLOOKUP(YEAR($B104),'Oferta Producto 2'!$B$8:$B$19,'Oferta Producto 2'!$E$8:$E$19))*$AD104)/$AB104)/24</f>
        <v>0</v>
      </c>
      <c r="H104" s="35">
        <f ca="1">(((_xlfn.XLOOKUP(YEAR($B104),'Oferta Producto 2'!$B$8:$B$19,'Oferta Producto 2'!$E$8:$E$19))*$AD104)/$AB104)/24</f>
        <v>0</v>
      </c>
      <c r="I104" s="35">
        <f ca="1">(((_xlfn.XLOOKUP(YEAR($B104),'Oferta Producto 2'!$B$8:$B$19,'Oferta Producto 2'!$E$8:$E$19))*$AD104)/$AB104)/24</f>
        <v>0</v>
      </c>
      <c r="J104" s="35">
        <f ca="1">(((_xlfn.XLOOKUP(YEAR($B104),'Oferta Producto 2'!$B$8:$B$19,'Oferta Producto 2'!$E$8:$E$19))*$AD104)/$AB104)/24</f>
        <v>0</v>
      </c>
      <c r="K104" s="35">
        <f ca="1">(((_xlfn.XLOOKUP(YEAR($B104),'Oferta Producto 2'!$B$8:$B$19,'Oferta Producto 2'!$E$8:$E$19))*$AD104)/$AB104)/24</f>
        <v>0</v>
      </c>
      <c r="L104" s="35">
        <f ca="1">(((_xlfn.XLOOKUP(YEAR($B104),'Oferta Producto 2'!$B$8:$B$19,'Oferta Producto 2'!$E$8:$E$19))*$AD104)/$AB104)/24</f>
        <v>0</v>
      </c>
      <c r="M104" s="35">
        <f ca="1">(((_xlfn.XLOOKUP(YEAR($B104),'Oferta Producto 2'!$B$8:$B$19,'Oferta Producto 2'!$E$8:$E$19))*$AD104)/$AB104)/24</f>
        <v>0</v>
      </c>
      <c r="N104" s="35">
        <f ca="1">(((_xlfn.XLOOKUP(YEAR($B104),'Oferta Producto 2'!$B$8:$B$19,'Oferta Producto 2'!$E$8:$E$19))*$AD104)/$AB104)/24</f>
        <v>0</v>
      </c>
      <c r="O104" s="35">
        <f ca="1">(((_xlfn.XLOOKUP(YEAR($B104),'Oferta Producto 2'!$B$8:$B$19,'Oferta Producto 2'!$E$8:$E$19))*$AD104)/$AB104)/24</f>
        <v>0</v>
      </c>
      <c r="P104" s="35">
        <f ca="1">(((_xlfn.XLOOKUP(YEAR($B104),'Oferta Producto 2'!$B$8:$B$19,'Oferta Producto 2'!$E$8:$E$19))*$AD104)/$AB104)/24</f>
        <v>0</v>
      </c>
      <c r="Q104" s="35">
        <f ca="1">(((_xlfn.XLOOKUP(YEAR($B104),'Oferta Producto 2'!$B$8:$B$19,'Oferta Producto 2'!$E$8:$E$19))*$AD104)/$AB104)/24</f>
        <v>0</v>
      </c>
      <c r="R104" s="35">
        <f ca="1">(((_xlfn.XLOOKUP(YEAR($B104),'Oferta Producto 2'!$B$8:$B$19,'Oferta Producto 2'!$E$8:$E$19))*$AD104)/$AB104)/24</f>
        <v>0</v>
      </c>
      <c r="S104" s="35">
        <f ca="1">(((_xlfn.XLOOKUP(YEAR($B104),'Oferta Producto 2'!$B$8:$B$19,'Oferta Producto 2'!$E$8:$E$19))*$AD104)/$AB104)/24</f>
        <v>0</v>
      </c>
      <c r="T104" s="35">
        <f ca="1">(((_xlfn.XLOOKUP(YEAR($B104),'Oferta Producto 2'!$B$8:$B$19,'Oferta Producto 2'!$E$8:$E$19))*$AD104)/$AB104)/24</f>
        <v>0</v>
      </c>
      <c r="U104" s="35">
        <f ca="1">(((_xlfn.XLOOKUP(YEAR($B104),'Oferta Producto 2'!$B$8:$B$19,'Oferta Producto 2'!$E$8:$E$19))*$AD104)/$AB104)/24</f>
        <v>0</v>
      </c>
      <c r="V104" s="35">
        <f ca="1">(((_xlfn.XLOOKUP(YEAR($B104),'Oferta Producto 2'!$B$8:$B$19,'Oferta Producto 2'!$E$8:$E$19))*$AD104)/$AB104)/24</f>
        <v>0</v>
      </c>
      <c r="W104" s="35">
        <f ca="1">(((_xlfn.XLOOKUP(YEAR($B104),'Oferta Producto 2'!$B$8:$B$19,'Oferta Producto 2'!$E$8:$E$19))*$AD104)/$AB104)/24</f>
        <v>0</v>
      </c>
      <c r="X104" s="35">
        <f ca="1">(((_xlfn.XLOOKUP(YEAR($B104),'Oferta Producto 2'!$B$8:$B$19,'Oferta Producto 2'!$E$8:$E$19))*$AD104)/$AB104)/24</f>
        <v>0</v>
      </c>
      <c r="Y104" s="35">
        <f ca="1">(((_xlfn.XLOOKUP(YEAR($B104),'Oferta Producto 2'!$B$8:$B$19,'Oferta Producto 2'!$E$8:$E$19))*$AD104)/$AB104)/24</f>
        <v>0</v>
      </c>
      <c r="Z104" s="35">
        <f ca="1">(((_xlfn.XLOOKUP(YEAR($B104),'Oferta Producto 2'!$B$8:$B$19,'Oferta Producto 2'!$E$8:$E$19))*$AD104)/$AB104)/24</f>
        <v>0</v>
      </c>
      <c r="AA104" s="35">
        <f t="shared" ca="1" si="9"/>
        <v>0</v>
      </c>
      <c r="AB104" s="28">
        <f t="shared" si="7"/>
        <v>31</v>
      </c>
      <c r="AC104" s="42">
        <f t="shared" ca="1" si="8"/>
        <v>0</v>
      </c>
      <c r="AD104" s="43">
        <v>8.2806296035670815E-2</v>
      </c>
      <c r="AE104" s="8"/>
      <c r="AF104" s="8"/>
    </row>
    <row r="105" spans="1:32" ht="15.75" thickBot="1">
      <c r="A105" s="23">
        <f t="shared" si="6"/>
        <v>2034</v>
      </c>
      <c r="B105" s="27">
        <v>49035</v>
      </c>
      <c r="C105" s="35">
        <f ca="1">(((_xlfn.XLOOKUP(YEAR($B105),'Oferta Producto 2'!$B$8:$B$19,'Oferta Producto 2'!$E$8:$E$19))*$AD105)/$AB105)/24</f>
        <v>0</v>
      </c>
      <c r="D105" s="35">
        <f ca="1">(((_xlfn.XLOOKUP(YEAR($B105),'Oferta Producto 2'!$B$8:$B$19,'Oferta Producto 2'!$E$8:$E$19))*$AD105)/$AB105)/24</f>
        <v>0</v>
      </c>
      <c r="E105" s="35">
        <f ca="1">(((_xlfn.XLOOKUP(YEAR($B105),'Oferta Producto 2'!$B$8:$B$19,'Oferta Producto 2'!$E$8:$E$19))*$AD105)/$AB105)/24</f>
        <v>0</v>
      </c>
      <c r="F105" s="35">
        <f ca="1">(((_xlfn.XLOOKUP(YEAR($B105),'Oferta Producto 2'!$B$8:$B$19,'Oferta Producto 2'!$E$8:$E$19))*$AD105)/$AB105)/24</f>
        <v>0</v>
      </c>
      <c r="G105" s="35">
        <f ca="1">(((_xlfn.XLOOKUP(YEAR($B105),'Oferta Producto 2'!$B$8:$B$19,'Oferta Producto 2'!$E$8:$E$19))*$AD105)/$AB105)/24</f>
        <v>0</v>
      </c>
      <c r="H105" s="35">
        <f ca="1">(((_xlfn.XLOOKUP(YEAR($B105),'Oferta Producto 2'!$B$8:$B$19,'Oferta Producto 2'!$E$8:$E$19))*$AD105)/$AB105)/24</f>
        <v>0</v>
      </c>
      <c r="I105" s="35">
        <f ca="1">(((_xlfn.XLOOKUP(YEAR($B105),'Oferta Producto 2'!$B$8:$B$19,'Oferta Producto 2'!$E$8:$E$19))*$AD105)/$AB105)/24</f>
        <v>0</v>
      </c>
      <c r="J105" s="35">
        <f ca="1">(((_xlfn.XLOOKUP(YEAR($B105),'Oferta Producto 2'!$B$8:$B$19,'Oferta Producto 2'!$E$8:$E$19))*$AD105)/$AB105)/24</f>
        <v>0</v>
      </c>
      <c r="K105" s="35">
        <f ca="1">(((_xlfn.XLOOKUP(YEAR($B105),'Oferta Producto 2'!$B$8:$B$19,'Oferta Producto 2'!$E$8:$E$19))*$AD105)/$AB105)/24</f>
        <v>0</v>
      </c>
      <c r="L105" s="35">
        <f ca="1">(((_xlfn.XLOOKUP(YEAR($B105),'Oferta Producto 2'!$B$8:$B$19,'Oferta Producto 2'!$E$8:$E$19))*$AD105)/$AB105)/24</f>
        <v>0</v>
      </c>
      <c r="M105" s="35">
        <f ca="1">(((_xlfn.XLOOKUP(YEAR($B105),'Oferta Producto 2'!$B$8:$B$19,'Oferta Producto 2'!$E$8:$E$19))*$AD105)/$AB105)/24</f>
        <v>0</v>
      </c>
      <c r="N105" s="35">
        <f ca="1">(((_xlfn.XLOOKUP(YEAR($B105),'Oferta Producto 2'!$B$8:$B$19,'Oferta Producto 2'!$E$8:$E$19))*$AD105)/$AB105)/24</f>
        <v>0</v>
      </c>
      <c r="O105" s="35">
        <f ca="1">(((_xlfn.XLOOKUP(YEAR($B105),'Oferta Producto 2'!$B$8:$B$19,'Oferta Producto 2'!$E$8:$E$19))*$AD105)/$AB105)/24</f>
        <v>0</v>
      </c>
      <c r="P105" s="35">
        <f ca="1">(((_xlfn.XLOOKUP(YEAR($B105),'Oferta Producto 2'!$B$8:$B$19,'Oferta Producto 2'!$E$8:$E$19))*$AD105)/$AB105)/24</f>
        <v>0</v>
      </c>
      <c r="Q105" s="35">
        <f ca="1">(((_xlfn.XLOOKUP(YEAR($B105),'Oferta Producto 2'!$B$8:$B$19,'Oferta Producto 2'!$E$8:$E$19))*$AD105)/$AB105)/24</f>
        <v>0</v>
      </c>
      <c r="R105" s="35">
        <f ca="1">(((_xlfn.XLOOKUP(YEAR($B105),'Oferta Producto 2'!$B$8:$B$19,'Oferta Producto 2'!$E$8:$E$19))*$AD105)/$AB105)/24</f>
        <v>0</v>
      </c>
      <c r="S105" s="35">
        <f ca="1">(((_xlfn.XLOOKUP(YEAR($B105),'Oferta Producto 2'!$B$8:$B$19,'Oferta Producto 2'!$E$8:$E$19))*$AD105)/$AB105)/24</f>
        <v>0</v>
      </c>
      <c r="T105" s="35">
        <f ca="1">(((_xlfn.XLOOKUP(YEAR($B105),'Oferta Producto 2'!$B$8:$B$19,'Oferta Producto 2'!$E$8:$E$19))*$AD105)/$AB105)/24</f>
        <v>0</v>
      </c>
      <c r="U105" s="35">
        <f ca="1">(((_xlfn.XLOOKUP(YEAR($B105),'Oferta Producto 2'!$B$8:$B$19,'Oferta Producto 2'!$E$8:$E$19))*$AD105)/$AB105)/24</f>
        <v>0</v>
      </c>
      <c r="V105" s="35">
        <f ca="1">(((_xlfn.XLOOKUP(YEAR($B105),'Oferta Producto 2'!$B$8:$B$19,'Oferta Producto 2'!$E$8:$E$19))*$AD105)/$AB105)/24</f>
        <v>0</v>
      </c>
      <c r="W105" s="35">
        <f ca="1">(((_xlfn.XLOOKUP(YEAR($B105),'Oferta Producto 2'!$B$8:$B$19,'Oferta Producto 2'!$E$8:$E$19))*$AD105)/$AB105)/24</f>
        <v>0</v>
      </c>
      <c r="X105" s="35">
        <f ca="1">(((_xlfn.XLOOKUP(YEAR($B105),'Oferta Producto 2'!$B$8:$B$19,'Oferta Producto 2'!$E$8:$E$19))*$AD105)/$AB105)/24</f>
        <v>0</v>
      </c>
      <c r="Y105" s="35">
        <f ca="1">(((_xlfn.XLOOKUP(YEAR($B105),'Oferta Producto 2'!$B$8:$B$19,'Oferta Producto 2'!$E$8:$E$19))*$AD105)/$AB105)/24</f>
        <v>0</v>
      </c>
      <c r="Z105" s="35">
        <f ca="1">(((_xlfn.XLOOKUP(YEAR($B105),'Oferta Producto 2'!$B$8:$B$19,'Oferta Producto 2'!$E$8:$E$19))*$AD105)/$AB105)/24</f>
        <v>0</v>
      </c>
      <c r="AA105" s="35">
        <f t="shared" ca="1" si="9"/>
        <v>0</v>
      </c>
      <c r="AB105" s="28">
        <f t="shared" si="7"/>
        <v>30</v>
      </c>
      <c r="AC105" s="42">
        <f t="shared" ca="1" si="8"/>
        <v>0</v>
      </c>
      <c r="AD105" s="43">
        <v>8.3333971625838027E-2</v>
      </c>
      <c r="AE105" s="8"/>
      <c r="AF105" s="8"/>
    </row>
    <row r="106" spans="1:32" ht="15.75" thickBot="1">
      <c r="A106" s="23">
        <f t="shared" si="6"/>
        <v>2034</v>
      </c>
      <c r="B106" s="27">
        <v>49065</v>
      </c>
      <c r="C106" s="35">
        <f ca="1">(((_xlfn.XLOOKUP(YEAR($B106),'Oferta Producto 2'!$B$8:$B$19,'Oferta Producto 2'!$E$8:$E$19))*$AD106)/$AB106)/24</f>
        <v>0</v>
      </c>
      <c r="D106" s="35">
        <f ca="1">(((_xlfn.XLOOKUP(YEAR($B106),'Oferta Producto 2'!$B$8:$B$19,'Oferta Producto 2'!$E$8:$E$19))*$AD106)/$AB106)/24</f>
        <v>0</v>
      </c>
      <c r="E106" s="35">
        <f ca="1">(((_xlfn.XLOOKUP(YEAR($B106),'Oferta Producto 2'!$B$8:$B$19,'Oferta Producto 2'!$E$8:$E$19))*$AD106)/$AB106)/24</f>
        <v>0</v>
      </c>
      <c r="F106" s="35">
        <f ca="1">(((_xlfn.XLOOKUP(YEAR($B106),'Oferta Producto 2'!$B$8:$B$19,'Oferta Producto 2'!$E$8:$E$19))*$AD106)/$AB106)/24</f>
        <v>0</v>
      </c>
      <c r="G106" s="35">
        <f ca="1">(((_xlfn.XLOOKUP(YEAR($B106),'Oferta Producto 2'!$B$8:$B$19,'Oferta Producto 2'!$E$8:$E$19))*$AD106)/$AB106)/24</f>
        <v>0</v>
      </c>
      <c r="H106" s="35">
        <f ca="1">(((_xlfn.XLOOKUP(YEAR($B106),'Oferta Producto 2'!$B$8:$B$19,'Oferta Producto 2'!$E$8:$E$19))*$AD106)/$AB106)/24</f>
        <v>0</v>
      </c>
      <c r="I106" s="35">
        <f ca="1">(((_xlfn.XLOOKUP(YEAR($B106),'Oferta Producto 2'!$B$8:$B$19,'Oferta Producto 2'!$E$8:$E$19))*$AD106)/$AB106)/24</f>
        <v>0</v>
      </c>
      <c r="J106" s="35">
        <f ca="1">(((_xlfn.XLOOKUP(YEAR($B106),'Oferta Producto 2'!$B$8:$B$19,'Oferta Producto 2'!$E$8:$E$19))*$AD106)/$AB106)/24</f>
        <v>0</v>
      </c>
      <c r="K106" s="35">
        <f ca="1">(((_xlfn.XLOOKUP(YEAR($B106),'Oferta Producto 2'!$B$8:$B$19,'Oferta Producto 2'!$E$8:$E$19))*$AD106)/$AB106)/24</f>
        <v>0</v>
      </c>
      <c r="L106" s="35">
        <f ca="1">(((_xlfn.XLOOKUP(YEAR($B106),'Oferta Producto 2'!$B$8:$B$19,'Oferta Producto 2'!$E$8:$E$19))*$AD106)/$AB106)/24</f>
        <v>0</v>
      </c>
      <c r="M106" s="35">
        <f ca="1">(((_xlfn.XLOOKUP(YEAR($B106),'Oferta Producto 2'!$B$8:$B$19,'Oferta Producto 2'!$E$8:$E$19))*$AD106)/$AB106)/24</f>
        <v>0</v>
      </c>
      <c r="N106" s="35">
        <f ca="1">(((_xlfn.XLOOKUP(YEAR($B106),'Oferta Producto 2'!$B$8:$B$19,'Oferta Producto 2'!$E$8:$E$19))*$AD106)/$AB106)/24</f>
        <v>0</v>
      </c>
      <c r="O106" s="35">
        <f ca="1">(((_xlfn.XLOOKUP(YEAR($B106),'Oferta Producto 2'!$B$8:$B$19,'Oferta Producto 2'!$E$8:$E$19))*$AD106)/$AB106)/24</f>
        <v>0</v>
      </c>
      <c r="P106" s="35">
        <f ca="1">(((_xlfn.XLOOKUP(YEAR($B106),'Oferta Producto 2'!$B$8:$B$19,'Oferta Producto 2'!$E$8:$E$19))*$AD106)/$AB106)/24</f>
        <v>0</v>
      </c>
      <c r="Q106" s="35">
        <f ca="1">(((_xlfn.XLOOKUP(YEAR($B106),'Oferta Producto 2'!$B$8:$B$19,'Oferta Producto 2'!$E$8:$E$19))*$AD106)/$AB106)/24</f>
        <v>0</v>
      </c>
      <c r="R106" s="35">
        <f ca="1">(((_xlfn.XLOOKUP(YEAR($B106),'Oferta Producto 2'!$B$8:$B$19,'Oferta Producto 2'!$E$8:$E$19))*$AD106)/$AB106)/24</f>
        <v>0</v>
      </c>
      <c r="S106" s="35">
        <f ca="1">(((_xlfn.XLOOKUP(YEAR($B106),'Oferta Producto 2'!$B$8:$B$19,'Oferta Producto 2'!$E$8:$E$19))*$AD106)/$AB106)/24</f>
        <v>0</v>
      </c>
      <c r="T106" s="35">
        <f ca="1">(((_xlfn.XLOOKUP(YEAR($B106),'Oferta Producto 2'!$B$8:$B$19,'Oferta Producto 2'!$E$8:$E$19))*$AD106)/$AB106)/24</f>
        <v>0</v>
      </c>
      <c r="U106" s="35">
        <f ca="1">(((_xlfn.XLOOKUP(YEAR($B106),'Oferta Producto 2'!$B$8:$B$19,'Oferta Producto 2'!$E$8:$E$19))*$AD106)/$AB106)/24</f>
        <v>0</v>
      </c>
      <c r="V106" s="35">
        <f ca="1">(((_xlfn.XLOOKUP(YEAR($B106),'Oferta Producto 2'!$B$8:$B$19,'Oferta Producto 2'!$E$8:$E$19))*$AD106)/$AB106)/24</f>
        <v>0</v>
      </c>
      <c r="W106" s="35">
        <f ca="1">(((_xlfn.XLOOKUP(YEAR($B106),'Oferta Producto 2'!$B$8:$B$19,'Oferta Producto 2'!$E$8:$E$19))*$AD106)/$AB106)/24</f>
        <v>0</v>
      </c>
      <c r="X106" s="35">
        <f ca="1">(((_xlfn.XLOOKUP(YEAR($B106),'Oferta Producto 2'!$B$8:$B$19,'Oferta Producto 2'!$E$8:$E$19))*$AD106)/$AB106)/24</f>
        <v>0</v>
      </c>
      <c r="Y106" s="35">
        <f ca="1">(((_xlfn.XLOOKUP(YEAR($B106),'Oferta Producto 2'!$B$8:$B$19,'Oferta Producto 2'!$E$8:$E$19))*$AD106)/$AB106)/24</f>
        <v>0</v>
      </c>
      <c r="Z106" s="35">
        <f ca="1">(((_xlfn.XLOOKUP(YEAR($B106),'Oferta Producto 2'!$B$8:$B$19,'Oferta Producto 2'!$E$8:$E$19))*$AD106)/$AB106)/24</f>
        <v>0</v>
      </c>
      <c r="AA106" s="35">
        <f t="shared" ca="1" si="9"/>
        <v>0</v>
      </c>
      <c r="AB106" s="28">
        <f t="shared" si="7"/>
        <v>31</v>
      </c>
      <c r="AC106" s="42">
        <f t="shared" ca="1" si="8"/>
        <v>0</v>
      </c>
      <c r="AD106" s="43">
        <v>8.2806296035670815E-2</v>
      </c>
      <c r="AE106" s="8"/>
      <c r="AF106" s="8"/>
    </row>
    <row r="107" spans="1:32" ht="15.75" thickBot="1">
      <c r="A107" s="23">
        <f t="shared" si="6"/>
        <v>2034</v>
      </c>
      <c r="B107" s="27">
        <v>49096</v>
      </c>
      <c r="C107" s="35">
        <f ca="1">(((_xlfn.XLOOKUP(YEAR($B107),'Oferta Producto 2'!$B$8:$B$19,'Oferta Producto 2'!$E$8:$E$19))*$AD107)/$AB107)/24</f>
        <v>0</v>
      </c>
      <c r="D107" s="35">
        <f ca="1">(((_xlfn.XLOOKUP(YEAR($B107),'Oferta Producto 2'!$B$8:$B$19,'Oferta Producto 2'!$E$8:$E$19))*$AD107)/$AB107)/24</f>
        <v>0</v>
      </c>
      <c r="E107" s="35">
        <f ca="1">(((_xlfn.XLOOKUP(YEAR($B107),'Oferta Producto 2'!$B$8:$B$19,'Oferta Producto 2'!$E$8:$E$19))*$AD107)/$AB107)/24</f>
        <v>0</v>
      </c>
      <c r="F107" s="35">
        <f ca="1">(((_xlfn.XLOOKUP(YEAR($B107),'Oferta Producto 2'!$B$8:$B$19,'Oferta Producto 2'!$E$8:$E$19))*$AD107)/$AB107)/24</f>
        <v>0</v>
      </c>
      <c r="G107" s="35">
        <f ca="1">(((_xlfn.XLOOKUP(YEAR($B107),'Oferta Producto 2'!$B$8:$B$19,'Oferta Producto 2'!$E$8:$E$19))*$AD107)/$AB107)/24</f>
        <v>0</v>
      </c>
      <c r="H107" s="35">
        <f ca="1">(((_xlfn.XLOOKUP(YEAR($B107),'Oferta Producto 2'!$B$8:$B$19,'Oferta Producto 2'!$E$8:$E$19))*$AD107)/$AB107)/24</f>
        <v>0</v>
      </c>
      <c r="I107" s="35">
        <f ca="1">(((_xlfn.XLOOKUP(YEAR($B107),'Oferta Producto 2'!$B$8:$B$19,'Oferta Producto 2'!$E$8:$E$19))*$AD107)/$AB107)/24</f>
        <v>0</v>
      </c>
      <c r="J107" s="35">
        <f ca="1">(((_xlfn.XLOOKUP(YEAR($B107),'Oferta Producto 2'!$B$8:$B$19,'Oferta Producto 2'!$E$8:$E$19))*$AD107)/$AB107)/24</f>
        <v>0</v>
      </c>
      <c r="K107" s="35">
        <f ca="1">(((_xlfn.XLOOKUP(YEAR($B107),'Oferta Producto 2'!$B$8:$B$19,'Oferta Producto 2'!$E$8:$E$19))*$AD107)/$AB107)/24</f>
        <v>0</v>
      </c>
      <c r="L107" s="35">
        <f ca="1">(((_xlfn.XLOOKUP(YEAR($B107),'Oferta Producto 2'!$B$8:$B$19,'Oferta Producto 2'!$E$8:$E$19))*$AD107)/$AB107)/24</f>
        <v>0</v>
      </c>
      <c r="M107" s="35">
        <f ca="1">(((_xlfn.XLOOKUP(YEAR($B107),'Oferta Producto 2'!$B$8:$B$19,'Oferta Producto 2'!$E$8:$E$19))*$AD107)/$AB107)/24</f>
        <v>0</v>
      </c>
      <c r="N107" s="35">
        <f ca="1">(((_xlfn.XLOOKUP(YEAR($B107),'Oferta Producto 2'!$B$8:$B$19,'Oferta Producto 2'!$E$8:$E$19))*$AD107)/$AB107)/24</f>
        <v>0</v>
      </c>
      <c r="O107" s="35">
        <f ca="1">(((_xlfn.XLOOKUP(YEAR($B107),'Oferta Producto 2'!$B$8:$B$19,'Oferta Producto 2'!$E$8:$E$19))*$AD107)/$AB107)/24</f>
        <v>0</v>
      </c>
      <c r="P107" s="35">
        <f ca="1">(((_xlfn.XLOOKUP(YEAR($B107),'Oferta Producto 2'!$B$8:$B$19,'Oferta Producto 2'!$E$8:$E$19))*$AD107)/$AB107)/24</f>
        <v>0</v>
      </c>
      <c r="Q107" s="35">
        <f ca="1">(((_xlfn.XLOOKUP(YEAR($B107),'Oferta Producto 2'!$B$8:$B$19,'Oferta Producto 2'!$E$8:$E$19))*$AD107)/$AB107)/24</f>
        <v>0</v>
      </c>
      <c r="R107" s="35">
        <f ca="1">(((_xlfn.XLOOKUP(YEAR($B107),'Oferta Producto 2'!$B$8:$B$19,'Oferta Producto 2'!$E$8:$E$19))*$AD107)/$AB107)/24</f>
        <v>0</v>
      </c>
      <c r="S107" s="35">
        <f ca="1">(((_xlfn.XLOOKUP(YEAR($B107),'Oferta Producto 2'!$B$8:$B$19,'Oferta Producto 2'!$E$8:$E$19))*$AD107)/$AB107)/24</f>
        <v>0</v>
      </c>
      <c r="T107" s="35">
        <f ca="1">(((_xlfn.XLOOKUP(YEAR($B107),'Oferta Producto 2'!$B$8:$B$19,'Oferta Producto 2'!$E$8:$E$19))*$AD107)/$AB107)/24</f>
        <v>0</v>
      </c>
      <c r="U107" s="35">
        <f ca="1">(((_xlfn.XLOOKUP(YEAR($B107),'Oferta Producto 2'!$B$8:$B$19,'Oferta Producto 2'!$E$8:$E$19))*$AD107)/$AB107)/24</f>
        <v>0</v>
      </c>
      <c r="V107" s="35">
        <f ca="1">(((_xlfn.XLOOKUP(YEAR($B107),'Oferta Producto 2'!$B$8:$B$19,'Oferta Producto 2'!$E$8:$E$19))*$AD107)/$AB107)/24</f>
        <v>0</v>
      </c>
      <c r="W107" s="35">
        <f ca="1">(((_xlfn.XLOOKUP(YEAR($B107),'Oferta Producto 2'!$B$8:$B$19,'Oferta Producto 2'!$E$8:$E$19))*$AD107)/$AB107)/24</f>
        <v>0</v>
      </c>
      <c r="X107" s="35">
        <f ca="1">(((_xlfn.XLOOKUP(YEAR($B107),'Oferta Producto 2'!$B$8:$B$19,'Oferta Producto 2'!$E$8:$E$19))*$AD107)/$AB107)/24</f>
        <v>0</v>
      </c>
      <c r="Y107" s="35">
        <f ca="1">(((_xlfn.XLOOKUP(YEAR($B107),'Oferta Producto 2'!$B$8:$B$19,'Oferta Producto 2'!$E$8:$E$19))*$AD107)/$AB107)/24</f>
        <v>0</v>
      </c>
      <c r="Z107" s="35">
        <f ca="1">(((_xlfn.XLOOKUP(YEAR($B107),'Oferta Producto 2'!$B$8:$B$19,'Oferta Producto 2'!$E$8:$E$19))*$AD107)/$AB107)/24</f>
        <v>0</v>
      </c>
      <c r="AA107" s="35">
        <f t="shared" ca="1" si="9"/>
        <v>0</v>
      </c>
      <c r="AB107" s="28">
        <f t="shared" si="7"/>
        <v>30</v>
      </c>
      <c r="AC107" s="42">
        <f t="shared" ca="1" si="8"/>
        <v>0</v>
      </c>
      <c r="AD107" s="43">
        <v>8.3333971625838027E-2</v>
      </c>
      <c r="AE107" s="8"/>
      <c r="AF107" s="8"/>
    </row>
    <row r="108" spans="1:32" ht="15.75" thickBot="1">
      <c r="A108" s="23">
        <f t="shared" si="6"/>
        <v>2034</v>
      </c>
      <c r="B108" s="27">
        <v>49126</v>
      </c>
      <c r="C108" s="35">
        <f ca="1">(((_xlfn.XLOOKUP(YEAR($B108),'Oferta Producto 2'!$B$8:$B$19,'Oferta Producto 2'!$E$8:$E$19))*$AD108)/$AB108)/24</f>
        <v>0</v>
      </c>
      <c r="D108" s="35">
        <f ca="1">(((_xlfn.XLOOKUP(YEAR($B108),'Oferta Producto 2'!$B$8:$B$19,'Oferta Producto 2'!$E$8:$E$19))*$AD108)/$AB108)/24</f>
        <v>0</v>
      </c>
      <c r="E108" s="35">
        <f ca="1">(((_xlfn.XLOOKUP(YEAR($B108),'Oferta Producto 2'!$B$8:$B$19,'Oferta Producto 2'!$E$8:$E$19))*$AD108)/$AB108)/24</f>
        <v>0</v>
      </c>
      <c r="F108" s="35">
        <f ca="1">(((_xlfn.XLOOKUP(YEAR($B108),'Oferta Producto 2'!$B$8:$B$19,'Oferta Producto 2'!$E$8:$E$19))*$AD108)/$AB108)/24</f>
        <v>0</v>
      </c>
      <c r="G108" s="35">
        <f ca="1">(((_xlfn.XLOOKUP(YEAR($B108),'Oferta Producto 2'!$B$8:$B$19,'Oferta Producto 2'!$E$8:$E$19))*$AD108)/$AB108)/24</f>
        <v>0</v>
      </c>
      <c r="H108" s="35">
        <f ca="1">(((_xlfn.XLOOKUP(YEAR($B108),'Oferta Producto 2'!$B$8:$B$19,'Oferta Producto 2'!$E$8:$E$19))*$AD108)/$AB108)/24</f>
        <v>0</v>
      </c>
      <c r="I108" s="35">
        <f ca="1">(((_xlfn.XLOOKUP(YEAR($B108),'Oferta Producto 2'!$B$8:$B$19,'Oferta Producto 2'!$E$8:$E$19))*$AD108)/$AB108)/24</f>
        <v>0</v>
      </c>
      <c r="J108" s="35">
        <f ca="1">(((_xlfn.XLOOKUP(YEAR($B108),'Oferta Producto 2'!$B$8:$B$19,'Oferta Producto 2'!$E$8:$E$19))*$AD108)/$AB108)/24</f>
        <v>0</v>
      </c>
      <c r="K108" s="35">
        <f ca="1">(((_xlfn.XLOOKUP(YEAR($B108),'Oferta Producto 2'!$B$8:$B$19,'Oferta Producto 2'!$E$8:$E$19))*$AD108)/$AB108)/24</f>
        <v>0</v>
      </c>
      <c r="L108" s="35">
        <f ca="1">(((_xlfn.XLOOKUP(YEAR($B108),'Oferta Producto 2'!$B$8:$B$19,'Oferta Producto 2'!$E$8:$E$19))*$AD108)/$AB108)/24</f>
        <v>0</v>
      </c>
      <c r="M108" s="35">
        <f ca="1">(((_xlfn.XLOOKUP(YEAR($B108),'Oferta Producto 2'!$B$8:$B$19,'Oferta Producto 2'!$E$8:$E$19))*$AD108)/$AB108)/24</f>
        <v>0</v>
      </c>
      <c r="N108" s="35">
        <f ca="1">(((_xlfn.XLOOKUP(YEAR($B108),'Oferta Producto 2'!$B$8:$B$19,'Oferta Producto 2'!$E$8:$E$19))*$AD108)/$AB108)/24</f>
        <v>0</v>
      </c>
      <c r="O108" s="35">
        <f ca="1">(((_xlfn.XLOOKUP(YEAR($B108),'Oferta Producto 2'!$B$8:$B$19,'Oferta Producto 2'!$E$8:$E$19))*$AD108)/$AB108)/24</f>
        <v>0</v>
      </c>
      <c r="P108" s="35">
        <f ca="1">(((_xlfn.XLOOKUP(YEAR($B108),'Oferta Producto 2'!$B$8:$B$19,'Oferta Producto 2'!$E$8:$E$19))*$AD108)/$AB108)/24</f>
        <v>0</v>
      </c>
      <c r="Q108" s="35">
        <f ca="1">(((_xlfn.XLOOKUP(YEAR($B108),'Oferta Producto 2'!$B$8:$B$19,'Oferta Producto 2'!$E$8:$E$19))*$AD108)/$AB108)/24</f>
        <v>0</v>
      </c>
      <c r="R108" s="35">
        <f ca="1">(((_xlfn.XLOOKUP(YEAR($B108),'Oferta Producto 2'!$B$8:$B$19,'Oferta Producto 2'!$E$8:$E$19))*$AD108)/$AB108)/24</f>
        <v>0</v>
      </c>
      <c r="S108" s="35">
        <f ca="1">(((_xlfn.XLOOKUP(YEAR($B108),'Oferta Producto 2'!$B$8:$B$19,'Oferta Producto 2'!$E$8:$E$19))*$AD108)/$AB108)/24</f>
        <v>0</v>
      </c>
      <c r="T108" s="35">
        <f ca="1">(((_xlfn.XLOOKUP(YEAR($B108),'Oferta Producto 2'!$B$8:$B$19,'Oferta Producto 2'!$E$8:$E$19))*$AD108)/$AB108)/24</f>
        <v>0</v>
      </c>
      <c r="U108" s="35">
        <f ca="1">(((_xlfn.XLOOKUP(YEAR($B108),'Oferta Producto 2'!$B$8:$B$19,'Oferta Producto 2'!$E$8:$E$19))*$AD108)/$AB108)/24</f>
        <v>0</v>
      </c>
      <c r="V108" s="35">
        <f ca="1">(((_xlfn.XLOOKUP(YEAR($B108),'Oferta Producto 2'!$B$8:$B$19,'Oferta Producto 2'!$E$8:$E$19))*$AD108)/$AB108)/24</f>
        <v>0</v>
      </c>
      <c r="W108" s="35">
        <f ca="1">(((_xlfn.XLOOKUP(YEAR($B108),'Oferta Producto 2'!$B$8:$B$19,'Oferta Producto 2'!$E$8:$E$19))*$AD108)/$AB108)/24</f>
        <v>0</v>
      </c>
      <c r="X108" s="35">
        <f ca="1">(((_xlfn.XLOOKUP(YEAR($B108),'Oferta Producto 2'!$B$8:$B$19,'Oferta Producto 2'!$E$8:$E$19))*$AD108)/$AB108)/24</f>
        <v>0</v>
      </c>
      <c r="Y108" s="35">
        <f ca="1">(((_xlfn.XLOOKUP(YEAR($B108),'Oferta Producto 2'!$B$8:$B$19,'Oferta Producto 2'!$E$8:$E$19))*$AD108)/$AB108)/24</f>
        <v>0</v>
      </c>
      <c r="Z108" s="35">
        <f ca="1">(((_xlfn.XLOOKUP(YEAR($B108),'Oferta Producto 2'!$B$8:$B$19,'Oferta Producto 2'!$E$8:$E$19))*$AD108)/$AB108)/24</f>
        <v>0</v>
      </c>
      <c r="AA108" s="35">
        <f t="shared" ca="1" si="9"/>
        <v>0</v>
      </c>
      <c r="AB108" s="28">
        <f t="shared" si="7"/>
        <v>31</v>
      </c>
      <c r="AC108" s="42">
        <f t="shared" ca="1" si="8"/>
        <v>0</v>
      </c>
      <c r="AD108" s="43">
        <v>8.2806296035670815E-2</v>
      </c>
      <c r="AE108" s="8"/>
      <c r="AF108" s="8"/>
    </row>
    <row r="109" spans="1:32" ht="15.75" thickBot="1">
      <c r="A109" s="23">
        <f t="shared" si="6"/>
        <v>2034</v>
      </c>
      <c r="B109" s="27">
        <v>49157</v>
      </c>
      <c r="C109" s="35">
        <f ca="1">(((_xlfn.XLOOKUP(YEAR($B109),'Oferta Producto 2'!$B$8:$B$19,'Oferta Producto 2'!$E$8:$E$19))*$AD109)/$AB109)/24</f>
        <v>0</v>
      </c>
      <c r="D109" s="35">
        <f ca="1">(((_xlfn.XLOOKUP(YEAR($B109),'Oferta Producto 2'!$B$8:$B$19,'Oferta Producto 2'!$E$8:$E$19))*$AD109)/$AB109)/24</f>
        <v>0</v>
      </c>
      <c r="E109" s="35">
        <f ca="1">(((_xlfn.XLOOKUP(YEAR($B109),'Oferta Producto 2'!$B$8:$B$19,'Oferta Producto 2'!$E$8:$E$19))*$AD109)/$AB109)/24</f>
        <v>0</v>
      </c>
      <c r="F109" s="35">
        <f ca="1">(((_xlfn.XLOOKUP(YEAR($B109),'Oferta Producto 2'!$B$8:$B$19,'Oferta Producto 2'!$E$8:$E$19))*$AD109)/$AB109)/24</f>
        <v>0</v>
      </c>
      <c r="G109" s="35">
        <f ca="1">(((_xlfn.XLOOKUP(YEAR($B109),'Oferta Producto 2'!$B$8:$B$19,'Oferta Producto 2'!$E$8:$E$19))*$AD109)/$AB109)/24</f>
        <v>0</v>
      </c>
      <c r="H109" s="35">
        <f ca="1">(((_xlfn.XLOOKUP(YEAR($B109),'Oferta Producto 2'!$B$8:$B$19,'Oferta Producto 2'!$E$8:$E$19))*$AD109)/$AB109)/24</f>
        <v>0</v>
      </c>
      <c r="I109" s="35">
        <f ca="1">(((_xlfn.XLOOKUP(YEAR($B109),'Oferta Producto 2'!$B$8:$B$19,'Oferta Producto 2'!$E$8:$E$19))*$AD109)/$AB109)/24</f>
        <v>0</v>
      </c>
      <c r="J109" s="35">
        <f ca="1">(((_xlfn.XLOOKUP(YEAR($B109),'Oferta Producto 2'!$B$8:$B$19,'Oferta Producto 2'!$E$8:$E$19))*$AD109)/$AB109)/24</f>
        <v>0</v>
      </c>
      <c r="K109" s="35">
        <f ca="1">(((_xlfn.XLOOKUP(YEAR($B109),'Oferta Producto 2'!$B$8:$B$19,'Oferta Producto 2'!$E$8:$E$19))*$AD109)/$AB109)/24</f>
        <v>0</v>
      </c>
      <c r="L109" s="35">
        <f ca="1">(((_xlfn.XLOOKUP(YEAR($B109),'Oferta Producto 2'!$B$8:$B$19,'Oferta Producto 2'!$E$8:$E$19))*$AD109)/$AB109)/24</f>
        <v>0</v>
      </c>
      <c r="M109" s="35">
        <f ca="1">(((_xlfn.XLOOKUP(YEAR($B109),'Oferta Producto 2'!$B$8:$B$19,'Oferta Producto 2'!$E$8:$E$19))*$AD109)/$AB109)/24</f>
        <v>0</v>
      </c>
      <c r="N109" s="35">
        <f ca="1">(((_xlfn.XLOOKUP(YEAR($B109),'Oferta Producto 2'!$B$8:$B$19,'Oferta Producto 2'!$E$8:$E$19))*$AD109)/$AB109)/24</f>
        <v>0</v>
      </c>
      <c r="O109" s="35">
        <f ca="1">(((_xlfn.XLOOKUP(YEAR($B109),'Oferta Producto 2'!$B$8:$B$19,'Oferta Producto 2'!$E$8:$E$19))*$AD109)/$AB109)/24</f>
        <v>0</v>
      </c>
      <c r="P109" s="35">
        <f ca="1">(((_xlfn.XLOOKUP(YEAR($B109),'Oferta Producto 2'!$B$8:$B$19,'Oferta Producto 2'!$E$8:$E$19))*$AD109)/$AB109)/24</f>
        <v>0</v>
      </c>
      <c r="Q109" s="35">
        <f ca="1">(((_xlfn.XLOOKUP(YEAR($B109),'Oferta Producto 2'!$B$8:$B$19,'Oferta Producto 2'!$E$8:$E$19))*$AD109)/$AB109)/24</f>
        <v>0</v>
      </c>
      <c r="R109" s="35">
        <f ca="1">(((_xlfn.XLOOKUP(YEAR($B109),'Oferta Producto 2'!$B$8:$B$19,'Oferta Producto 2'!$E$8:$E$19))*$AD109)/$AB109)/24</f>
        <v>0</v>
      </c>
      <c r="S109" s="35">
        <f ca="1">(((_xlfn.XLOOKUP(YEAR($B109),'Oferta Producto 2'!$B$8:$B$19,'Oferta Producto 2'!$E$8:$E$19))*$AD109)/$AB109)/24</f>
        <v>0</v>
      </c>
      <c r="T109" s="35">
        <f ca="1">(((_xlfn.XLOOKUP(YEAR($B109),'Oferta Producto 2'!$B$8:$B$19,'Oferta Producto 2'!$E$8:$E$19))*$AD109)/$AB109)/24</f>
        <v>0</v>
      </c>
      <c r="U109" s="35">
        <f ca="1">(((_xlfn.XLOOKUP(YEAR($B109),'Oferta Producto 2'!$B$8:$B$19,'Oferta Producto 2'!$E$8:$E$19))*$AD109)/$AB109)/24</f>
        <v>0</v>
      </c>
      <c r="V109" s="35">
        <f ca="1">(((_xlfn.XLOOKUP(YEAR($B109),'Oferta Producto 2'!$B$8:$B$19,'Oferta Producto 2'!$E$8:$E$19))*$AD109)/$AB109)/24</f>
        <v>0</v>
      </c>
      <c r="W109" s="35">
        <f ca="1">(((_xlfn.XLOOKUP(YEAR($B109),'Oferta Producto 2'!$B$8:$B$19,'Oferta Producto 2'!$E$8:$E$19))*$AD109)/$AB109)/24</f>
        <v>0</v>
      </c>
      <c r="X109" s="35">
        <f ca="1">(((_xlfn.XLOOKUP(YEAR($B109),'Oferta Producto 2'!$B$8:$B$19,'Oferta Producto 2'!$E$8:$E$19))*$AD109)/$AB109)/24</f>
        <v>0</v>
      </c>
      <c r="Y109" s="35">
        <f ca="1">(((_xlfn.XLOOKUP(YEAR($B109),'Oferta Producto 2'!$B$8:$B$19,'Oferta Producto 2'!$E$8:$E$19))*$AD109)/$AB109)/24</f>
        <v>0</v>
      </c>
      <c r="Z109" s="35">
        <f ca="1">(((_xlfn.XLOOKUP(YEAR($B109),'Oferta Producto 2'!$B$8:$B$19,'Oferta Producto 2'!$E$8:$E$19))*$AD109)/$AB109)/24</f>
        <v>0</v>
      </c>
      <c r="AA109" s="35">
        <f t="shared" ca="1" si="9"/>
        <v>0</v>
      </c>
      <c r="AB109" s="28">
        <f t="shared" si="7"/>
        <v>31</v>
      </c>
      <c r="AC109" s="42">
        <f t="shared" ca="1" si="8"/>
        <v>0</v>
      </c>
      <c r="AD109" s="43">
        <v>8.3332439723826715E-2</v>
      </c>
      <c r="AE109" s="8"/>
      <c r="AF109" s="8"/>
    </row>
    <row r="110" spans="1:32" ht="15.75" thickBot="1">
      <c r="A110" s="23">
        <f t="shared" si="6"/>
        <v>2034</v>
      </c>
      <c r="B110" s="27">
        <v>49188</v>
      </c>
      <c r="C110" s="35">
        <f ca="1">(((_xlfn.XLOOKUP(YEAR($B110),'Oferta Producto 2'!$B$8:$B$19,'Oferta Producto 2'!$E$8:$E$19))*$AD110)/$AB110)/24</f>
        <v>0</v>
      </c>
      <c r="D110" s="35">
        <f ca="1">(((_xlfn.XLOOKUP(YEAR($B110),'Oferta Producto 2'!$B$8:$B$19,'Oferta Producto 2'!$E$8:$E$19))*$AD110)/$AB110)/24</f>
        <v>0</v>
      </c>
      <c r="E110" s="35">
        <f ca="1">(((_xlfn.XLOOKUP(YEAR($B110),'Oferta Producto 2'!$B$8:$B$19,'Oferta Producto 2'!$E$8:$E$19))*$AD110)/$AB110)/24</f>
        <v>0</v>
      </c>
      <c r="F110" s="35">
        <f ca="1">(((_xlfn.XLOOKUP(YEAR($B110),'Oferta Producto 2'!$B$8:$B$19,'Oferta Producto 2'!$E$8:$E$19))*$AD110)/$AB110)/24</f>
        <v>0</v>
      </c>
      <c r="G110" s="35">
        <f ca="1">(((_xlfn.XLOOKUP(YEAR($B110),'Oferta Producto 2'!$B$8:$B$19,'Oferta Producto 2'!$E$8:$E$19))*$AD110)/$AB110)/24</f>
        <v>0</v>
      </c>
      <c r="H110" s="35">
        <f ca="1">(((_xlfn.XLOOKUP(YEAR($B110),'Oferta Producto 2'!$B$8:$B$19,'Oferta Producto 2'!$E$8:$E$19))*$AD110)/$AB110)/24</f>
        <v>0</v>
      </c>
      <c r="I110" s="35">
        <f ca="1">(((_xlfn.XLOOKUP(YEAR($B110),'Oferta Producto 2'!$B$8:$B$19,'Oferta Producto 2'!$E$8:$E$19))*$AD110)/$AB110)/24</f>
        <v>0</v>
      </c>
      <c r="J110" s="35">
        <f ca="1">(((_xlfn.XLOOKUP(YEAR($B110),'Oferta Producto 2'!$B$8:$B$19,'Oferta Producto 2'!$E$8:$E$19))*$AD110)/$AB110)/24</f>
        <v>0</v>
      </c>
      <c r="K110" s="35">
        <f ca="1">(((_xlfn.XLOOKUP(YEAR($B110),'Oferta Producto 2'!$B$8:$B$19,'Oferta Producto 2'!$E$8:$E$19))*$AD110)/$AB110)/24</f>
        <v>0</v>
      </c>
      <c r="L110" s="35">
        <f ca="1">(((_xlfn.XLOOKUP(YEAR($B110),'Oferta Producto 2'!$B$8:$B$19,'Oferta Producto 2'!$E$8:$E$19))*$AD110)/$AB110)/24</f>
        <v>0</v>
      </c>
      <c r="M110" s="35">
        <f ca="1">(((_xlfn.XLOOKUP(YEAR($B110),'Oferta Producto 2'!$B$8:$B$19,'Oferta Producto 2'!$E$8:$E$19))*$AD110)/$AB110)/24</f>
        <v>0</v>
      </c>
      <c r="N110" s="35">
        <f ca="1">(((_xlfn.XLOOKUP(YEAR($B110),'Oferta Producto 2'!$B$8:$B$19,'Oferta Producto 2'!$E$8:$E$19))*$AD110)/$AB110)/24</f>
        <v>0</v>
      </c>
      <c r="O110" s="35">
        <f ca="1">(((_xlfn.XLOOKUP(YEAR($B110),'Oferta Producto 2'!$B$8:$B$19,'Oferta Producto 2'!$E$8:$E$19))*$AD110)/$AB110)/24</f>
        <v>0</v>
      </c>
      <c r="P110" s="35">
        <f ca="1">(((_xlfn.XLOOKUP(YEAR($B110),'Oferta Producto 2'!$B$8:$B$19,'Oferta Producto 2'!$E$8:$E$19))*$AD110)/$AB110)/24</f>
        <v>0</v>
      </c>
      <c r="Q110" s="35">
        <f ca="1">(((_xlfn.XLOOKUP(YEAR($B110),'Oferta Producto 2'!$B$8:$B$19,'Oferta Producto 2'!$E$8:$E$19))*$AD110)/$AB110)/24</f>
        <v>0</v>
      </c>
      <c r="R110" s="35">
        <f ca="1">(((_xlfn.XLOOKUP(YEAR($B110),'Oferta Producto 2'!$B$8:$B$19,'Oferta Producto 2'!$E$8:$E$19))*$AD110)/$AB110)/24</f>
        <v>0</v>
      </c>
      <c r="S110" s="35">
        <f ca="1">(((_xlfn.XLOOKUP(YEAR($B110),'Oferta Producto 2'!$B$8:$B$19,'Oferta Producto 2'!$E$8:$E$19))*$AD110)/$AB110)/24</f>
        <v>0</v>
      </c>
      <c r="T110" s="35">
        <f ca="1">(((_xlfn.XLOOKUP(YEAR($B110),'Oferta Producto 2'!$B$8:$B$19,'Oferta Producto 2'!$E$8:$E$19))*$AD110)/$AB110)/24</f>
        <v>0</v>
      </c>
      <c r="U110" s="35">
        <f ca="1">(((_xlfn.XLOOKUP(YEAR($B110),'Oferta Producto 2'!$B$8:$B$19,'Oferta Producto 2'!$E$8:$E$19))*$AD110)/$AB110)/24</f>
        <v>0</v>
      </c>
      <c r="V110" s="35">
        <f ca="1">(((_xlfn.XLOOKUP(YEAR($B110),'Oferta Producto 2'!$B$8:$B$19,'Oferta Producto 2'!$E$8:$E$19))*$AD110)/$AB110)/24</f>
        <v>0</v>
      </c>
      <c r="W110" s="35">
        <f ca="1">(((_xlfn.XLOOKUP(YEAR($B110),'Oferta Producto 2'!$B$8:$B$19,'Oferta Producto 2'!$E$8:$E$19))*$AD110)/$AB110)/24</f>
        <v>0</v>
      </c>
      <c r="X110" s="35">
        <f ca="1">(((_xlfn.XLOOKUP(YEAR($B110),'Oferta Producto 2'!$B$8:$B$19,'Oferta Producto 2'!$E$8:$E$19))*$AD110)/$AB110)/24</f>
        <v>0</v>
      </c>
      <c r="Y110" s="35">
        <f ca="1">(((_xlfn.XLOOKUP(YEAR($B110),'Oferta Producto 2'!$B$8:$B$19,'Oferta Producto 2'!$E$8:$E$19))*$AD110)/$AB110)/24</f>
        <v>0</v>
      </c>
      <c r="Z110" s="35">
        <f ca="1">(((_xlfn.XLOOKUP(YEAR($B110),'Oferta Producto 2'!$B$8:$B$19,'Oferta Producto 2'!$E$8:$E$19))*$AD110)/$AB110)/24</f>
        <v>0</v>
      </c>
      <c r="AA110" s="35">
        <f t="shared" ca="1" si="9"/>
        <v>0</v>
      </c>
      <c r="AB110" s="28">
        <f t="shared" si="7"/>
        <v>30</v>
      </c>
      <c r="AC110" s="42">
        <f t="shared" ca="1" si="8"/>
        <v>0</v>
      </c>
      <c r="AD110" s="43">
        <v>8.3860115313993927E-2</v>
      </c>
      <c r="AE110" s="8"/>
      <c r="AF110" s="8"/>
    </row>
    <row r="111" spans="1:32" ht="15.75" thickBot="1">
      <c r="A111" s="23">
        <f t="shared" si="6"/>
        <v>2034</v>
      </c>
      <c r="B111" s="27">
        <v>49218</v>
      </c>
      <c r="C111" s="35">
        <f ca="1">(((_xlfn.XLOOKUP(YEAR($B111),'Oferta Producto 2'!$B$8:$B$19,'Oferta Producto 2'!$E$8:$E$19))*$AD111)/$AB111)/24</f>
        <v>0</v>
      </c>
      <c r="D111" s="35">
        <f ca="1">(((_xlfn.XLOOKUP(YEAR($B111),'Oferta Producto 2'!$B$8:$B$19,'Oferta Producto 2'!$E$8:$E$19))*$AD111)/$AB111)/24</f>
        <v>0</v>
      </c>
      <c r="E111" s="35">
        <f ca="1">(((_xlfn.XLOOKUP(YEAR($B111),'Oferta Producto 2'!$B$8:$B$19,'Oferta Producto 2'!$E$8:$E$19))*$AD111)/$AB111)/24</f>
        <v>0</v>
      </c>
      <c r="F111" s="35">
        <f ca="1">(((_xlfn.XLOOKUP(YEAR($B111),'Oferta Producto 2'!$B$8:$B$19,'Oferta Producto 2'!$E$8:$E$19))*$AD111)/$AB111)/24</f>
        <v>0</v>
      </c>
      <c r="G111" s="35">
        <f ca="1">(((_xlfn.XLOOKUP(YEAR($B111),'Oferta Producto 2'!$B$8:$B$19,'Oferta Producto 2'!$E$8:$E$19))*$AD111)/$AB111)/24</f>
        <v>0</v>
      </c>
      <c r="H111" s="35">
        <f ca="1">(((_xlfn.XLOOKUP(YEAR($B111),'Oferta Producto 2'!$B$8:$B$19,'Oferta Producto 2'!$E$8:$E$19))*$AD111)/$AB111)/24</f>
        <v>0</v>
      </c>
      <c r="I111" s="35">
        <f ca="1">(((_xlfn.XLOOKUP(YEAR($B111),'Oferta Producto 2'!$B$8:$B$19,'Oferta Producto 2'!$E$8:$E$19))*$AD111)/$AB111)/24</f>
        <v>0</v>
      </c>
      <c r="J111" s="35">
        <f ca="1">(((_xlfn.XLOOKUP(YEAR($B111),'Oferta Producto 2'!$B$8:$B$19,'Oferta Producto 2'!$E$8:$E$19))*$AD111)/$AB111)/24</f>
        <v>0</v>
      </c>
      <c r="K111" s="35">
        <f ca="1">(((_xlfn.XLOOKUP(YEAR($B111),'Oferta Producto 2'!$B$8:$B$19,'Oferta Producto 2'!$E$8:$E$19))*$AD111)/$AB111)/24</f>
        <v>0</v>
      </c>
      <c r="L111" s="35">
        <f ca="1">(((_xlfn.XLOOKUP(YEAR($B111),'Oferta Producto 2'!$B$8:$B$19,'Oferta Producto 2'!$E$8:$E$19))*$AD111)/$AB111)/24</f>
        <v>0</v>
      </c>
      <c r="M111" s="35">
        <f ca="1">(((_xlfn.XLOOKUP(YEAR($B111),'Oferta Producto 2'!$B$8:$B$19,'Oferta Producto 2'!$E$8:$E$19))*$AD111)/$AB111)/24</f>
        <v>0</v>
      </c>
      <c r="N111" s="35">
        <f ca="1">(((_xlfn.XLOOKUP(YEAR($B111),'Oferta Producto 2'!$B$8:$B$19,'Oferta Producto 2'!$E$8:$E$19))*$AD111)/$AB111)/24</f>
        <v>0</v>
      </c>
      <c r="O111" s="35">
        <f ca="1">(((_xlfn.XLOOKUP(YEAR($B111),'Oferta Producto 2'!$B$8:$B$19,'Oferta Producto 2'!$E$8:$E$19))*$AD111)/$AB111)/24</f>
        <v>0</v>
      </c>
      <c r="P111" s="35">
        <f ca="1">(((_xlfn.XLOOKUP(YEAR($B111),'Oferta Producto 2'!$B$8:$B$19,'Oferta Producto 2'!$E$8:$E$19))*$AD111)/$AB111)/24</f>
        <v>0</v>
      </c>
      <c r="Q111" s="35">
        <f ca="1">(((_xlfn.XLOOKUP(YEAR($B111),'Oferta Producto 2'!$B$8:$B$19,'Oferta Producto 2'!$E$8:$E$19))*$AD111)/$AB111)/24</f>
        <v>0</v>
      </c>
      <c r="R111" s="35">
        <f ca="1">(((_xlfn.XLOOKUP(YEAR($B111),'Oferta Producto 2'!$B$8:$B$19,'Oferta Producto 2'!$E$8:$E$19))*$AD111)/$AB111)/24</f>
        <v>0</v>
      </c>
      <c r="S111" s="35">
        <f ca="1">(((_xlfn.XLOOKUP(YEAR($B111),'Oferta Producto 2'!$B$8:$B$19,'Oferta Producto 2'!$E$8:$E$19))*$AD111)/$AB111)/24</f>
        <v>0</v>
      </c>
      <c r="T111" s="35">
        <f ca="1">(((_xlfn.XLOOKUP(YEAR($B111),'Oferta Producto 2'!$B$8:$B$19,'Oferta Producto 2'!$E$8:$E$19))*$AD111)/$AB111)/24</f>
        <v>0</v>
      </c>
      <c r="U111" s="35">
        <f ca="1">(((_xlfn.XLOOKUP(YEAR($B111),'Oferta Producto 2'!$B$8:$B$19,'Oferta Producto 2'!$E$8:$E$19))*$AD111)/$AB111)/24</f>
        <v>0</v>
      </c>
      <c r="V111" s="35">
        <f ca="1">(((_xlfn.XLOOKUP(YEAR($B111),'Oferta Producto 2'!$B$8:$B$19,'Oferta Producto 2'!$E$8:$E$19))*$AD111)/$AB111)/24</f>
        <v>0</v>
      </c>
      <c r="W111" s="35">
        <f ca="1">(((_xlfn.XLOOKUP(YEAR($B111),'Oferta Producto 2'!$B$8:$B$19,'Oferta Producto 2'!$E$8:$E$19))*$AD111)/$AB111)/24</f>
        <v>0</v>
      </c>
      <c r="X111" s="35">
        <f ca="1">(((_xlfn.XLOOKUP(YEAR($B111),'Oferta Producto 2'!$B$8:$B$19,'Oferta Producto 2'!$E$8:$E$19))*$AD111)/$AB111)/24</f>
        <v>0</v>
      </c>
      <c r="Y111" s="35">
        <f ca="1">(((_xlfn.XLOOKUP(YEAR($B111),'Oferta Producto 2'!$B$8:$B$19,'Oferta Producto 2'!$E$8:$E$19))*$AD111)/$AB111)/24</f>
        <v>0</v>
      </c>
      <c r="Z111" s="35">
        <f ca="1">(((_xlfn.XLOOKUP(YEAR($B111),'Oferta Producto 2'!$B$8:$B$19,'Oferta Producto 2'!$E$8:$E$19))*$AD111)/$AB111)/24</f>
        <v>0</v>
      </c>
      <c r="AA111" s="35">
        <f t="shared" ca="1" si="9"/>
        <v>0</v>
      </c>
      <c r="AB111" s="28">
        <f t="shared" si="7"/>
        <v>31</v>
      </c>
      <c r="AC111" s="42">
        <f t="shared" ca="1" si="8"/>
        <v>0</v>
      </c>
      <c r="AD111" s="43">
        <v>8.3332439723826715E-2</v>
      </c>
      <c r="AE111" s="8"/>
      <c r="AF111" s="8"/>
    </row>
    <row r="112" spans="1:32" ht="15.75" thickBot="1">
      <c r="A112" s="23">
        <f t="shared" si="6"/>
        <v>2034</v>
      </c>
      <c r="B112" s="27">
        <v>49249</v>
      </c>
      <c r="C112" s="35">
        <f ca="1">(((_xlfn.XLOOKUP(YEAR($B112),'Oferta Producto 2'!$B$8:$B$19,'Oferta Producto 2'!$E$8:$E$19))*$AD112)/$AB112)/24</f>
        <v>0</v>
      </c>
      <c r="D112" s="35">
        <f ca="1">(((_xlfn.XLOOKUP(YEAR($B112),'Oferta Producto 2'!$B$8:$B$19,'Oferta Producto 2'!$E$8:$E$19))*$AD112)/$AB112)/24</f>
        <v>0</v>
      </c>
      <c r="E112" s="35">
        <f ca="1">(((_xlfn.XLOOKUP(YEAR($B112),'Oferta Producto 2'!$B$8:$B$19,'Oferta Producto 2'!$E$8:$E$19))*$AD112)/$AB112)/24</f>
        <v>0</v>
      </c>
      <c r="F112" s="35">
        <f ca="1">(((_xlfn.XLOOKUP(YEAR($B112),'Oferta Producto 2'!$B$8:$B$19,'Oferta Producto 2'!$E$8:$E$19))*$AD112)/$AB112)/24</f>
        <v>0</v>
      </c>
      <c r="G112" s="35">
        <f ca="1">(((_xlfn.XLOOKUP(YEAR($B112),'Oferta Producto 2'!$B$8:$B$19,'Oferta Producto 2'!$E$8:$E$19))*$AD112)/$AB112)/24</f>
        <v>0</v>
      </c>
      <c r="H112" s="35">
        <f ca="1">(((_xlfn.XLOOKUP(YEAR($B112),'Oferta Producto 2'!$B$8:$B$19,'Oferta Producto 2'!$E$8:$E$19))*$AD112)/$AB112)/24</f>
        <v>0</v>
      </c>
      <c r="I112" s="35">
        <f ca="1">(((_xlfn.XLOOKUP(YEAR($B112),'Oferta Producto 2'!$B$8:$B$19,'Oferta Producto 2'!$E$8:$E$19))*$AD112)/$AB112)/24</f>
        <v>0</v>
      </c>
      <c r="J112" s="35">
        <f ca="1">(((_xlfn.XLOOKUP(YEAR($B112),'Oferta Producto 2'!$B$8:$B$19,'Oferta Producto 2'!$E$8:$E$19))*$AD112)/$AB112)/24</f>
        <v>0</v>
      </c>
      <c r="K112" s="35">
        <f ca="1">(((_xlfn.XLOOKUP(YEAR($B112),'Oferta Producto 2'!$B$8:$B$19,'Oferta Producto 2'!$E$8:$E$19))*$AD112)/$AB112)/24</f>
        <v>0</v>
      </c>
      <c r="L112" s="35">
        <f ca="1">(((_xlfn.XLOOKUP(YEAR($B112),'Oferta Producto 2'!$B$8:$B$19,'Oferta Producto 2'!$E$8:$E$19))*$AD112)/$AB112)/24</f>
        <v>0</v>
      </c>
      <c r="M112" s="35">
        <f ca="1">(((_xlfn.XLOOKUP(YEAR($B112),'Oferta Producto 2'!$B$8:$B$19,'Oferta Producto 2'!$E$8:$E$19))*$AD112)/$AB112)/24</f>
        <v>0</v>
      </c>
      <c r="N112" s="35">
        <f ca="1">(((_xlfn.XLOOKUP(YEAR($B112),'Oferta Producto 2'!$B$8:$B$19,'Oferta Producto 2'!$E$8:$E$19))*$AD112)/$AB112)/24</f>
        <v>0</v>
      </c>
      <c r="O112" s="35">
        <f ca="1">(((_xlfn.XLOOKUP(YEAR($B112),'Oferta Producto 2'!$B$8:$B$19,'Oferta Producto 2'!$E$8:$E$19))*$AD112)/$AB112)/24</f>
        <v>0</v>
      </c>
      <c r="P112" s="35">
        <f ca="1">(((_xlfn.XLOOKUP(YEAR($B112),'Oferta Producto 2'!$B$8:$B$19,'Oferta Producto 2'!$E$8:$E$19))*$AD112)/$AB112)/24</f>
        <v>0</v>
      </c>
      <c r="Q112" s="35">
        <f ca="1">(((_xlfn.XLOOKUP(YEAR($B112),'Oferta Producto 2'!$B$8:$B$19,'Oferta Producto 2'!$E$8:$E$19))*$AD112)/$AB112)/24</f>
        <v>0</v>
      </c>
      <c r="R112" s="35">
        <f ca="1">(((_xlfn.XLOOKUP(YEAR($B112),'Oferta Producto 2'!$B$8:$B$19,'Oferta Producto 2'!$E$8:$E$19))*$AD112)/$AB112)/24</f>
        <v>0</v>
      </c>
      <c r="S112" s="35">
        <f ca="1">(((_xlfn.XLOOKUP(YEAR($B112),'Oferta Producto 2'!$B$8:$B$19,'Oferta Producto 2'!$E$8:$E$19))*$AD112)/$AB112)/24</f>
        <v>0</v>
      </c>
      <c r="T112" s="35">
        <f ca="1">(((_xlfn.XLOOKUP(YEAR($B112),'Oferta Producto 2'!$B$8:$B$19,'Oferta Producto 2'!$E$8:$E$19))*$AD112)/$AB112)/24</f>
        <v>0</v>
      </c>
      <c r="U112" s="35">
        <f ca="1">(((_xlfn.XLOOKUP(YEAR($B112),'Oferta Producto 2'!$B$8:$B$19,'Oferta Producto 2'!$E$8:$E$19))*$AD112)/$AB112)/24</f>
        <v>0</v>
      </c>
      <c r="V112" s="35">
        <f ca="1">(((_xlfn.XLOOKUP(YEAR($B112),'Oferta Producto 2'!$B$8:$B$19,'Oferta Producto 2'!$E$8:$E$19))*$AD112)/$AB112)/24</f>
        <v>0</v>
      </c>
      <c r="W112" s="35">
        <f ca="1">(((_xlfn.XLOOKUP(YEAR($B112),'Oferta Producto 2'!$B$8:$B$19,'Oferta Producto 2'!$E$8:$E$19))*$AD112)/$AB112)/24</f>
        <v>0</v>
      </c>
      <c r="X112" s="35">
        <f ca="1">(((_xlfn.XLOOKUP(YEAR($B112),'Oferta Producto 2'!$B$8:$B$19,'Oferta Producto 2'!$E$8:$E$19))*$AD112)/$AB112)/24</f>
        <v>0</v>
      </c>
      <c r="Y112" s="35">
        <f ca="1">(((_xlfn.XLOOKUP(YEAR($B112),'Oferta Producto 2'!$B$8:$B$19,'Oferta Producto 2'!$E$8:$E$19))*$AD112)/$AB112)/24</f>
        <v>0</v>
      </c>
      <c r="Z112" s="35">
        <f ca="1">(((_xlfn.XLOOKUP(YEAR($B112),'Oferta Producto 2'!$B$8:$B$19,'Oferta Producto 2'!$E$8:$E$19))*$AD112)/$AB112)/24</f>
        <v>0</v>
      </c>
      <c r="AA112" s="35">
        <f t="shared" ca="1" si="9"/>
        <v>0</v>
      </c>
      <c r="AB112" s="28">
        <f t="shared" si="7"/>
        <v>30</v>
      </c>
      <c r="AC112" s="42">
        <f t="shared" ca="1" si="8"/>
        <v>0</v>
      </c>
      <c r="AD112" s="43">
        <v>8.3860115313993927E-2</v>
      </c>
      <c r="AE112" s="8"/>
      <c r="AF112" s="8"/>
    </row>
    <row r="113" spans="1:32" ht="15.75" thickBot="1">
      <c r="A113" s="23">
        <f t="shared" si="6"/>
        <v>2034</v>
      </c>
      <c r="B113" s="27">
        <v>49279</v>
      </c>
      <c r="C113" s="35">
        <f ca="1">(((_xlfn.XLOOKUP(YEAR($B113),'Oferta Producto 2'!$B$8:$B$19,'Oferta Producto 2'!$E$8:$E$19))*$AD113)/$AB113)/24</f>
        <v>0</v>
      </c>
      <c r="D113" s="35">
        <f ca="1">(((_xlfn.XLOOKUP(YEAR($B113),'Oferta Producto 2'!$B$8:$B$19,'Oferta Producto 2'!$E$8:$E$19))*$AD113)/$AB113)/24</f>
        <v>0</v>
      </c>
      <c r="E113" s="35">
        <f ca="1">(((_xlfn.XLOOKUP(YEAR($B113),'Oferta Producto 2'!$B$8:$B$19,'Oferta Producto 2'!$E$8:$E$19))*$AD113)/$AB113)/24</f>
        <v>0</v>
      </c>
      <c r="F113" s="35">
        <f ca="1">(((_xlfn.XLOOKUP(YEAR($B113),'Oferta Producto 2'!$B$8:$B$19,'Oferta Producto 2'!$E$8:$E$19))*$AD113)/$AB113)/24</f>
        <v>0</v>
      </c>
      <c r="G113" s="35">
        <f ca="1">(((_xlfn.XLOOKUP(YEAR($B113),'Oferta Producto 2'!$B$8:$B$19,'Oferta Producto 2'!$E$8:$E$19))*$AD113)/$AB113)/24</f>
        <v>0</v>
      </c>
      <c r="H113" s="35">
        <f ca="1">(((_xlfn.XLOOKUP(YEAR($B113),'Oferta Producto 2'!$B$8:$B$19,'Oferta Producto 2'!$E$8:$E$19))*$AD113)/$AB113)/24</f>
        <v>0</v>
      </c>
      <c r="I113" s="35">
        <f ca="1">(((_xlfn.XLOOKUP(YEAR($B113),'Oferta Producto 2'!$B$8:$B$19,'Oferta Producto 2'!$E$8:$E$19))*$AD113)/$AB113)/24</f>
        <v>0</v>
      </c>
      <c r="J113" s="35">
        <f ca="1">(((_xlfn.XLOOKUP(YEAR($B113),'Oferta Producto 2'!$B$8:$B$19,'Oferta Producto 2'!$E$8:$E$19))*$AD113)/$AB113)/24</f>
        <v>0</v>
      </c>
      <c r="K113" s="35">
        <f ca="1">(((_xlfn.XLOOKUP(YEAR($B113),'Oferta Producto 2'!$B$8:$B$19,'Oferta Producto 2'!$E$8:$E$19))*$AD113)/$AB113)/24</f>
        <v>0</v>
      </c>
      <c r="L113" s="35">
        <f ca="1">(((_xlfn.XLOOKUP(YEAR($B113),'Oferta Producto 2'!$B$8:$B$19,'Oferta Producto 2'!$E$8:$E$19))*$AD113)/$AB113)/24</f>
        <v>0</v>
      </c>
      <c r="M113" s="35">
        <f ca="1">(((_xlfn.XLOOKUP(YEAR($B113),'Oferta Producto 2'!$B$8:$B$19,'Oferta Producto 2'!$E$8:$E$19))*$AD113)/$AB113)/24</f>
        <v>0</v>
      </c>
      <c r="N113" s="35">
        <f ca="1">(((_xlfn.XLOOKUP(YEAR($B113),'Oferta Producto 2'!$B$8:$B$19,'Oferta Producto 2'!$E$8:$E$19))*$AD113)/$AB113)/24</f>
        <v>0</v>
      </c>
      <c r="O113" s="35">
        <f ca="1">(((_xlfn.XLOOKUP(YEAR($B113),'Oferta Producto 2'!$B$8:$B$19,'Oferta Producto 2'!$E$8:$E$19))*$AD113)/$AB113)/24</f>
        <v>0</v>
      </c>
      <c r="P113" s="35">
        <f ca="1">(((_xlfn.XLOOKUP(YEAR($B113),'Oferta Producto 2'!$B$8:$B$19,'Oferta Producto 2'!$E$8:$E$19))*$AD113)/$AB113)/24</f>
        <v>0</v>
      </c>
      <c r="Q113" s="35">
        <f ca="1">(((_xlfn.XLOOKUP(YEAR($B113),'Oferta Producto 2'!$B$8:$B$19,'Oferta Producto 2'!$E$8:$E$19))*$AD113)/$AB113)/24</f>
        <v>0</v>
      </c>
      <c r="R113" s="35">
        <f ca="1">(((_xlfn.XLOOKUP(YEAR($B113),'Oferta Producto 2'!$B$8:$B$19,'Oferta Producto 2'!$E$8:$E$19))*$AD113)/$AB113)/24</f>
        <v>0</v>
      </c>
      <c r="S113" s="35">
        <f ca="1">(((_xlfn.XLOOKUP(YEAR($B113),'Oferta Producto 2'!$B$8:$B$19,'Oferta Producto 2'!$E$8:$E$19))*$AD113)/$AB113)/24</f>
        <v>0</v>
      </c>
      <c r="T113" s="35">
        <f ca="1">(((_xlfn.XLOOKUP(YEAR($B113),'Oferta Producto 2'!$B$8:$B$19,'Oferta Producto 2'!$E$8:$E$19))*$AD113)/$AB113)/24</f>
        <v>0</v>
      </c>
      <c r="U113" s="35">
        <f ca="1">(((_xlfn.XLOOKUP(YEAR($B113),'Oferta Producto 2'!$B$8:$B$19,'Oferta Producto 2'!$E$8:$E$19))*$AD113)/$AB113)/24</f>
        <v>0</v>
      </c>
      <c r="V113" s="35">
        <f ca="1">(((_xlfn.XLOOKUP(YEAR($B113),'Oferta Producto 2'!$B$8:$B$19,'Oferta Producto 2'!$E$8:$E$19))*$AD113)/$AB113)/24</f>
        <v>0</v>
      </c>
      <c r="W113" s="35">
        <f ca="1">(((_xlfn.XLOOKUP(YEAR($B113),'Oferta Producto 2'!$B$8:$B$19,'Oferta Producto 2'!$E$8:$E$19))*$AD113)/$AB113)/24</f>
        <v>0</v>
      </c>
      <c r="X113" s="35">
        <f ca="1">(((_xlfn.XLOOKUP(YEAR($B113),'Oferta Producto 2'!$B$8:$B$19,'Oferta Producto 2'!$E$8:$E$19))*$AD113)/$AB113)/24</f>
        <v>0</v>
      </c>
      <c r="Y113" s="35">
        <f ca="1">(((_xlfn.XLOOKUP(YEAR($B113),'Oferta Producto 2'!$B$8:$B$19,'Oferta Producto 2'!$E$8:$E$19))*$AD113)/$AB113)/24</f>
        <v>0</v>
      </c>
      <c r="Z113" s="35">
        <f ca="1">(((_xlfn.XLOOKUP(YEAR($B113),'Oferta Producto 2'!$B$8:$B$19,'Oferta Producto 2'!$E$8:$E$19))*$AD113)/$AB113)/24</f>
        <v>0</v>
      </c>
      <c r="AA113" s="35">
        <f t="shared" ca="1" si="9"/>
        <v>0</v>
      </c>
      <c r="AB113" s="28">
        <f t="shared" si="7"/>
        <v>31</v>
      </c>
      <c r="AC113" s="42">
        <f t="shared" ca="1" si="8"/>
        <v>0</v>
      </c>
      <c r="AD113" s="43">
        <v>8.3332439723826701E-2</v>
      </c>
      <c r="AE113" s="8"/>
      <c r="AF113" s="8"/>
    </row>
    <row r="114" spans="1:32" ht="15.75" thickBot="1">
      <c r="A114" s="23">
        <f t="shared" si="6"/>
        <v>2035</v>
      </c>
      <c r="B114" s="27">
        <v>49310</v>
      </c>
      <c r="C114" s="35">
        <f ca="1">(((_xlfn.XLOOKUP(YEAR($B114),'Oferta Producto 2'!$B$8:$B$19,'Oferta Producto 2'!$E$8:$E$19))*$AD114)/$AB114)/24</f>
        <v>0</v>
      </c>
      <c r="D114" s="35">
        <f ca="1">(((_xlfn.XLOOKUP(YEAR($B114),'Oferta Producto 2'!$B$8:$B$19,'Oferta Producto 2'!$E$8:$E$19))*$AD114)/$AB114)/24</f>
        <v>0</v>
      </c>
      <c r="E114" s="35">
        <f ca="1">(((_xlfn.XLOOKUP(YEAR($B114),'Oferta Producto 2'!$B$8:$B$19,'Oferta Producto 2'!$E$8:$E$19))*$AD114)/$AB114)/24</f>
        <v>0</v>
      </c>
      <c r="F114" s="35">
        <f ca="1">(((_xlfn.XLOOKUP(YEAR($B114),'Oferta Producto 2'!$B$8:$B$19,'Oferta Producto 2'!$E$8:$E$19))*$AD114)/$AB114)/24</f>
        <v>0</v>
      </c>
      <c r="G114" s="35">
        <f ca="1">(((_xlfn.XLOOKUP(YEAR($B114),'Oferta Producto 2'!$B$8:$B$19,'Oferta Producto 2'!$E$8:$E$19))*$AD114)/$AB114)/24</f>
        <v>0</v>
      </c>
      <c r="H114" s="35">
        <f ca="1">(((_xlfn.XLOOKUP(YEAR($B114),'Oferta Producto 2'!$B$8:$B$19,'Oferta Producto 2'!$E$8:$E$19))*$AD114)/$AB114)/24</f>
        <v>0</v>
      </c>
      <c r="I114" s="35">
        <f ca="1">(((_xlfn.XLOOKUP(YEAR($B114),'Oferta Producto 2'!$B$8:$B$19,'Oferta Producto 2'!$E$8:$E$19))*$AD114)/$AB114)/24</f>
        <v>0</v>
      </c>
      <c r="J114" s="35">
        <f ca="1">(((_xlfn.XLOOKUP(YEAR($B114),'Oferta Producto 2'!$B$8:$B$19,'Oferta Producto 2'!$E$8:$E$19))*$AD114)/$AB114)/24</f>
        <v>0</v>
      </c>
      <c r="K114" s="35">
        <f ca="1">(((_xlfn.XLOOKUP(YEAR($B114),'Oferta Producto 2'!$B$8:$B$19,'Oferta Producto 2'!$E$8:$E$19))*$AD114)/$AB114)/24</f>
        <v>0</v>
      </c>
      <c r="L114" s="35">
        <f ca="1">(((_xlfn.XLOOKUP(YEAR($B114),'Oferta Producto 2'!$B$8:$B$19,'Oferta Producto 2'!$E$8:$E$19))*$AD114)/$AB114)/24</f>
        <v>0</v>
      </c>
      <c r="M114" s="35">
        <f ca="1">(((_xlfn.XLOOKUP(YEAR($B114),'Oferta Producto 2'!$B$8:$B$19,'Oferta Producto 2'!$E$8:$E$19))*$AD114)/$AB114)/24</f>
        <v>0</v>
      </c>
      <c r="N114" s="35">
        <f ca="1">(((_xlfn.XLOOKUP(YEAR($B114),'Oferta Producto 2'!$B$8:$B$19,'Oferta Producto 2'!$E$8:$E$19))*$AD114)/$AB114)/24</f>
        <v>0</v>
      </c>
      <c r="O114" s="35">
        <f ca="1">(((_xlfn.XLOOKUP(YEAR($B114),'Oferta Producto 2'!$B$8:$B$19,'Oferta Producto 2'!$E$8:$E$19))*$AD114)/$AB114)/24</f>
        <v>0</v>
      </c>
      <c r="P114" s="35">
        <f ca="1">(((_xlfn.XLOOKUP(YEAR($B114),'Oferta Producto 2'!$B$8:$B$19,'Oferta Producto 2'!$E$8:$E$19))*$AD114)/$AB114)/24</f>
        <v>0</v>
      </c>
      <c r="Q114" s="35">
        <f ca="1">(((_xlfn.XLOOKUP(YEAR($B114),'Oferta Producto 2'!$B$8:$B$19,'Oferta Producto 2'!$E$8:$E$19))*$AD114)/$AB114)/24</f>
        <v>0</v>
      </c>
      <c r="R114" s="35">
        <f ca="1">(((_xlfn.XLOOKUP(YEAR($B114),'Oferta Producto 2'!$B$8:$B$19,'Oferta Producto 2'!$E$8:$E$19))*$AD114)/$AB114)/24</f>
        <v>0</v>
      </c>
      <c r="S114" s="35">
        <f ca="1">(((_xlfn.XLOOKUP(YEAR($B114),'Oferta Producto 2'!$B$8:$B$19,'Oferta Producto 2'!$E$8:$E$19))*$AD114)/$AB114)/24</f>
        <v>0</v>
      </c>
      <c r="T114" s="35">
        <f ca="1">(((_xlfn.XLOOKUP(YEAR($B114),'Oferta Producto 2'!$B$8:$B$19,'Oferta Producto 2'!$E$8:$E$19))*$AD114)/$AB114)/24</f>
        <v>0</v>
      </c>
      <c r="U114" s="35">
        <f ca="1">(((_xlfn.XLOOKUP(YEAR($B114),'Oferta Producto 2'!$B$8:$B$19,'Oferta Producto 2'!$E$8:$E$19))*$AD114)/$AB114)/24</f>
        <v>0</v>
      </c>
      <c r="V114" s="35">
        <f ca="1">(((_xlfn.XLOOKUP(YEAR($B114),'Oferta Producto 2'!$B$8:$B$19,'Oferta Producto 2'!$E$8:$E$19))*$AD114)/$AB114)/24</f>
        <v>0</v>
      </c>
      <c r="W114" s="35">
        <f ca="1">(((_xlfn.XLOOKUP(YEAR($B114),'Oferta Producto 2'!$B$8:$B$19,'Oferta Producto 2'!$E$8:$E$19))*$AD114)/$AB114)/24</f>
        <v>0</v>
      </c>
      <c r="X114" s="35">
        <f ca="1">(((_xlfn.XLOOKUP(YEAR($B114),'Oferta Producto 2'!$B$8:$B$19,'Oferta Producto 2'!$E$8:$E$19))*$AD114)/$AB114)/24</f>
        <v>0</v>
      </c>
      <c r="Y114" s="35">
        <f ca="1">(((_xlfn.XLOOKUP(YEAR($B114),'Oferta Producto 2'!$B$8:$B$19,'Oferta Producto 2'!$E$8:$E$19))*$AD114)/$AB114)/24</f>
        <v>0</v>
      </c>
      <c r="Z114" s="35">
        <f ca="1">(((_xlfn.XLOOKUP(YEAR($B114),'Oferta Producto 2'!$B$8:$B$19,'Oferta Producto 2'!$E$8:$E$19))*$AD114)/$AB114)/24</f>
        <v>0</v>
      </c>
      <c r="AA114" s="35">
        <f t="shared" ca="1" si="9"/>
        <v>0</v>
      </c>
      <c r="AB114" s="28">
        <f t="shared" si="7"/>
        <v>31</v>
      </c>
      <c r="AC114" s="42">
        <f t="shared" ca="1" si="8"/>
        <v>0</v>
      </c>
      <c r="AD114" s="43">
        <v>8.3026652081237898E-2</v>
      </c>
      <c r="AE114" s="8"/>
      <c r="AF114" s="8"/>
    </row>
    <row r="115" spans="1:32" ht="15.75" thickBot="1">
      <c r="A115" s="23">
        <f t="shared" si="6"/>
        <v>2035</v>
      </c>
      <c r="B115" s="27">
        <v>49341</v>
      </c>
      <c r="C115" s="35">
        <f ca="1">(((_xlfn.XLOOKUP(YEAR($B115),'Oferta Producto 2'!$B$8:$B$19,'Oferta Producto 2'!$E$8:$E$19))*$AD115)/$AB115)/24</f>
        <v>0</v>
      </c>
      <c r="D115" s="35">
        <f ca="1">(((_xlfn.XLOOKUP(YEAR($B115),'Oferta Producto 2'!$B$8:$B$19,'Oferta Producto 2'!$E$8:$E$19))*$AD115)/$AB115)/24</f>
        <v>0</v>
      </c>
      <c r="E115" s="35">
        <f ca="1">(((_xlfn.XLOOKUP(YEAR($B115),'Oferta Producto 2'!$B$8:$B$19,'Oferta Producto 2'!$E$8:$E$19))*$AD115)/$AB115)/24</f>
        <v>0</v>
      </c>
      <c r="F115" s="35">
        <f ca="1">(((_xlfn.XLOOKUP(YEAR($B115),'Oferta Producto 2'!$B$8:$B$19,'Oferta Producto 2'!$E$8:$E$19))*$AD115)/$AB115)/24</f>
        <v>0</v>
      </c>
      <c r="G115" s="35">
        <f ca="1">(((_xlfn.XLOOKUP(YEAR($B115),'Oferta Producto 2'!$B$8:$B$19,'Oferta Producto 2'!$E$8:$E$19))*$AD115)/$AB115)/24</f>
        <v>0</v>
      </c>
      <c r="H115" s="35">
        <f ca="1">(((_xlfn.XLOOKUP(YEAR($B115),'Oferta Producto 2'!$B$8:$B$19,'Oferta Producto 2'!$E$8:$E$19))*$AD115)/$AB115)/24</f>
        <v>0</v>
      </c>
      <c r="I115" s="35">
        <f ca="1">(((_xlfn.XLOOKUP(YEAR($B115),'Oferta Producto 2'!$B$8:$B$19,'Oferta Producto 2'!$E$8:$E$19))*$AD115)/$AB115)/24</f>
        <v>0</v>
      </c>
      <c r="J115" s="35">
        <f ca="1">(((_xlfn.XLOOKUP(YEAR($B115),'Oferta Producto 2'!$B$8:$B$19,'Oferta Producto 2'!$E$8:$E$19))*$AD115)/$AB115)/24</f>
        <v>0</v>
      </c>
      <c r="K115" s="35">
        <f ca="1">(((_xlfn.XLOOKUP(YEAR($B115),'Oferta Producto 2'!$B$8:$B$19,'Oferta Producto 2'!$E$8:$E$19))*$AD115)/$AB115)/24</f>
        <v>0</v>
      </c>
      <c r="L115" s="35">
        <f ca="1">(((_xlfn.XLOOKUP(YEAR($B115),'Oferta Producto 2'!$B$8:$B$19,'Oferta Producto 2'!$E$8:$E$19))*$AD115)/$AB115)/24</f>
        <v>0</v>
      </c>
      <c r="M115" s="35">
        <f ca="1">(((_xlfn.XLOOKUP(YEAR($B115),'Oferta Producto 2'!$B$8:$B$19,'Oferta Producto 2'!$E$8:$E$19))*$AD115)/$AB115)/24</f>
        <v>0</v>
      </c>
      <c r="N115" s="35">
        <f ca="1">(((_xlfn.XLOOKUP(YEAR($B115),'Oferta Producto 2'!$B$8:$B$19,'Oferta Producto 2'!$E$8:$E$19))*$AD115)/$AB115)/24</f>
        <v>0</v>
      </c>
      <c r="O115" s="35">
        <f ca="1">(((_xlfn.XLOOKUP(YEAR($B115),'Oferta Producto 2'!$B$8:$B$19,'Oferta Producto 2'!$E$8:$E$19))*$AD115)/$AB115)/24</f>
        <v>0</v>
      </c>
      <c r="P115" s="35">
        <f ca="1">(((_xlfn.XLOOKUP(YEAR($B115),'Oferta Producto 2'!$B$8:$B$19,'Oferta Producto 2'!$E$8:$E$19))*$AD115)/$AB115)/24</f>
        <v>0</v>
      </c>
      <c r="Q115" s="35">
        <f ca="1">(((_xlfn.XLOOKUP(YEAR($B115),'Oferta Producto 2'!$B$8:$B$19,'Oferta Producto 2'!$E$8:$E$19))*$AD115)/$AB115)/24</f>
        <v>0</v>
      </c>
      <c r="R115" s="35">
        <f ca="1">(((_xlfn.XLOOKUP(YEAR($B115),'Oferta Producto 2'!$B$8:$B$19,'Oferta Producto 2'!$E$8:$E$19))*$AD115)/$AB115)/24</f>
        <v>0</v>
      </c>
      <c r="S115" s="35">
        <f ca="1">(((_xlfn.XLOOKUP(YEAR($B115),'Oferta Producto 2'!$B$8:$B$19,'Oferta Producto 2'!$E$8:$E$19))*$AD115)/$AB115)/24</f>
        <v>0</v>
      </c>
      <c r="T115" s="35">
        <f ca="1">(((_xlfn.XLOOKUP(YEAR($B115),'Oferta Producto 2'!$B$8:$B$19,'Oferta Producto 2'!$E$8:$E$19))*$AD115)/$AB115)/24</f>
        <v>0</v>
      </c>
      <c r="U115" s="35">
        <f ca="1">(((_xlfn.XLOOKUP(YEAR($B115),'Oferta Producto 2'!$B$8:$B$19,'Oferta Producto 2'!$E$8:$E$19))*$AD115)/$AB115)/24</f>
        <v>0</v>
      </c>
      <c r="V115" s="35">
        <f ca="1">(((_xlfn.XLOOKUP(YEAR($B115),'Oferta Producto 2'!$B$8:$B$19,'Oferta Producto 2'!$E$8:$E$19))*$AD115)/$AB115)/24</f>
        <v>0</v>
      </c>
      <c r="W115" s="35">
        <f ca="1">(((_xlfn.XLOOKUP(YEAR($B115),'Oferta Producto 2'!$B$8:$B$19,'Oferta Producto 2'!$E$8:$E$19))*$AD115)/$AB115)/24</f>
        <v>0</v>
      </c>
      <c r="X115" s="35">
        <f ca="1">(((_xlfn.XLOOKUP(YEAR($B115),'Oferta Producto 2'!$B$8:$B$19,'Oferta Producto 2'!$E$8:$E$19))*$AD115)/$AB115)/24</f>
        <v>0</v>
      </c>
      <c r="Y115" s="35">
        <f ca="1">(((_xlfn.XLOOKUP(YEAR($B115),'Oferta Producto 2'!$B$8:$B$19,'Oferta Producto 2'!$E$8:$E$19))*$AD115)/$AB115)/24</f>
        <v>0</v>
      </c>
      <c r="Z115" s="35">
        <f ca="1">(((_xlfn.XLOOKUP(YEAR($B115),'Oferta Producto 2'!$B$8:$B$19,'Oferta Producto 2'!$E$8:$E$19))*$AD115)/$AB115)/24</f>
        <v>0</v>
      </c>
      <c r="AA115" s="35">
        <f t="shared" ca="1" si="9"/>
        <v>0</v>
      </c>
      <c r="AB115" s="28">
        <f t="shared" si="7"/>
        <v>28</v>
      </c>
      <c r="AC115" s="42">
        <f t="shared" ca="1" si="8"/>
        <v>0</v>
      </c>
      <c r="AD115" s="43">
        <v>8.4603869949157195E-2</v>
      </c>
      <c r="AE115" s="8"/>
      <c r="AF115" s="8"/>
    </row>
    <row r="116" spans="1:32" ht="15.75" thickBot="1">
      <c r="A116" s="23">
        <f t="shared" si="6"/>
        <v>2035</v>
      </c>
      <c r="B116" s="27">
        <v>49369</v>
      </c>
      <c r="C116" s="35">
        <f ca="1">(((_xlfn.XLOOKUP(YEAR($B116),'Oferta Producto 2'!$B$8:$B$19,'Oferta Producto 2'!$E$8:$E$19))*$AD116)/$AB116)/24</f>
        <v>0</v>
      </c>
      <c r="D116" s="35">
        <f ca="1">(((_xlfn.XLOOKUP(YEAR($B116),'Oferta Producto 2'!$B$8:$B$19,'Oferta Producto 2'!$E$8:$E$19))*$AD116)/$AB116)/24</f>
        <v>0</v>
      </c>
      <c r="E116" s="35">
        <f ca="1">(((_xlfn.XLOOKUP(YEAR($B116),'Oferta Producto 2'!$B$8:$B$19,'Oferta Producto 2'!$E$8:$E$19))*$AD116)/$AB116)/24</f>
        <v>0</v>
      </c>
      <c r="F116" s="35">
        <f ca="1">(((_xlfn.XLOOKUP(YEAR($B116),'Oferta Producto 2'!$B$8:$B$19,'Oferta Producto 2'!$E$8:$E$19))*$AD116)/$AB116)/24</f>
        <v>0</v>
      </c>
      <c r="G116" s="35">
        <f ca="1">(((_xlfn.XLOOKUP(YEAR($B116),'Oferta Producto 2'!$B$8:$B$19,'Oferta Producto 2'!$E$8:$E$19))*$AD116)/$AB116)/24</f>
        <v>0</v>
      </c>
      <c r="H116" s="35">
        <f ca="1">(((_xlfn.XLOOKUP(YEAR($B116),'Oferta Producto 2'!$B$8:$B$19,'Oferta Producto 2'!$E$8:$E$19))*$AD116)/$AB116)/24</f>
        <v>0</v>
      </c>
      <c r="I116" s="35">
        <f ca="1">(((_xlfn.XLOOKUP(YEAR($B116),'Oferta Producto 2'!$B$8:$B$19,'Oferta Producto 2'!$E$8:$E$19))*$AD116)/$AB116)/24</f>
        <v>0</v>
      </c>
      <c r="J116" s="35">
        <f ca="1">(((_xlfn.XLOOKUP(YEAR($B116),'Oferta Producto 2'!$B$8:$B$19,'Oferta Producto 2'!$E$8:$E$19))*$AD116)/$AB116)/24</f>
        <v>0</v>
      </c>
      <c r="K116" s="35">
        <f ca="1">(((_xlfn.XLOOKUP(YEAR($B116),'Oferta Producto 2'!$B$8:$B$19,'Oferta Producto 2'!$E$8:$E$19))*$AD116)/$AB116)/24</f>
        <v>0</v>
      </c>
      <c r="L116" s="35">
        <f ca="1">(((_xlfn.XLOOKUP(YEAR($B116),'Oferta Producto 2'!$B$8:$B$19,'Oferta Producto 2'!$E$8:$E$19))*$AD116)/$AB116)/24</f>
        <v>0</v>
      </c>
      <c r="M116" s="35">
        <f ca="1">(((_xlfn.XLOOKUP(YEAR($B116),'Oferta Producto 2'!$B$8:$B$19,'Oferta Producto 2'!$E$8:$E$19))*$AD116)/$AB116)/24</f>
        <v>0</v>
      </c>
      <c r="N116" s="35">
        <f ca="1">(((_xlfn.XLOOKUP(YEAR($B116),'Oferta Producto 2'!$B$8:$B$19,'Oferta Producto 2'!$E$8:$E$19))*$AD116)/$AB116)/24</f>
        <v>0</v>
      </c>
      <c r="O116" s="35">
        <f ca="1">(((_xlfn.XLOOKUP(YEAR($B116),'Oferta Producto 2'!$B$8:$B$19,'Oferta Producto 2'!$E$8:$E$19))*$AD116)/$AB116)/24</f>
        <v>0</v>
      </c>
      <c r="P116" s="35">
        <f ca="1">(((_xlfn.XLOOKUP(YEAR($B116),'Oferta Producto 2'!$B$8:$B$19,'Oferta Producto 2'!$E$8:$E$19))*$AD116)/$AB116)/24</f>
        <v>0</v>
      </c>
      <c r="Q116" s="35">
        <f ca="1">(((_xlfn.XLOOKUP(YEAR($B116),'Oferta Producto 2'!$B$8:$B$19,'Oferta Producto 2'!$E$8:$E$19))*$AD116)/$AB116)/24</f>
        <v>0</v>
      </c>
      <c r="R116" s="35">
        <f ca="1">(((_xlfn.XLOOKUP(YEAR($B116),'Oferta Producto 2'!$B$8:$B$19,'Oferta Producto 2'!$E$8:$E$19))*$AD116)/$AB116)/24</f>
        <v>0</v>
      </c>
      <c r="S116" s="35">
        <f ca="1">(((_xlfn.XLOOKUP(YEAR($B116),'Oferta Producto 2'!$B$8:$B$19,'Oferta Producto 2'!$E$8:$E$19))*$AD116)/$AB116)/24</f>
        <v>0</v>
      </c>
      <c r="T116" s="35">
        <f ca="1">(((_xlfn.XLOOKUP(YEAR($B116),'Oferta Producto 2'!$B$8:$B$19,'Oferta Producto 2'!$E$8:$E$19))*$AD116)/$AB116)/24</f>
        <v>0</v>
      </c>
      <c r="U116" s="35">
        <f ca="1">(((_xlfn.XLOOKUP(YEAR($B116),'Oferta Producto 2'!$B$8:$B$19,'Oferta Producto 2'!$E$8:$E$19))*$AD116)/$AB116)/24</f>
        <v>0</v>
      </c>
      <c r="V116" s="35">
        <f ca="1">(((_xlfn.XLOOKUP(YEAR($B116),'Oferta Producto 2'!$B$8:$B$19,'Oferta Producto 2'!$E$8:$E$19))*$AD116)/$AB116)/24</f>
        <v>0</v>
      </c>
      <c r="W116" s="35">
        <f ca="1">(((_xlfn.XLOOKUP(YEAR($B116),'Oferta Producto 2'!$B$8:$B$19,'Oferta Producto 2'!$E$8:$E$19))*$AD116)/$AB116)/24</f>
        <v>0</v>
      </c>
      <c r="X116" s="35">
        <f ca="1">(((_xlfn.XLOOKUP(YEAR($B116),'Oferta Producto 2'!$B$8:$B$19,'Oferta Producto 2'!$E$8:$E$19))*$AD116)/$AB116)/24</f>
        <v>0</v>
      </c>
      <c r="Y116" s="35">
        <f ca="1">(((_xlfn.XLOOKUP(YEAR($B116),'Oferta Producto 2'!$B$8:$B$19,'Oferta Producto 2'!$E$8:$E$19))*$AD116)/$AB116)/24</f>
        <v>0</v>
      </c>
      <c r="Z116" s="35">
        <f ca="1">(((_xlfn.XLOOKUP(YEAR($B116),'Oferta Producto 2'!$B$8:$B$19,'Oferta Producto 2'!$E$8:$E$19))*$AD116)/$AB116)/24</f>
        <v>0</v>
      </c>
      <c r="AA116" s="35">
        <f t="shared" ca="1" si="9"/>
        <v>0</v>
      </c>
      <c r="AB116" s="28">
        <f t="shared" si="7"/>
        <v>31</v>
      </c>
      <c r="AC116" s="42">
        <f t="shared" ca="1" si="8"/>
        <v>0</v>
      </c>
      <c r="AD116" s="43">
        <v>8.3026652081237898E-2</v>
      </c>
      <c r="AE116" s="8"/>
      <c r="AF116" s="8"/>
    </row>
    <row r="117" spans="1:32" ht="15.75" thickBot="1">
      <c r="A117" s="23">
        <f t="shared" si="6"/>
        <v>2035</v>
      </c>
      <c r="B117" s="27">
        <v>49400</v>
      </c>
      <c r="C117" s="35">
        <f ca="1">(((_xlfn.XLOOKUP(YEAR($B117),'Oferta Producto 2'!$B$8:$B$19,'Oferta Producto 2'!$E$8:$E$19))*$AD117)/$AB117)/24</f>
        <v>0</v>
      </c>
      <c r="D117" s="35">
        <f ca="1">(((_xlfn.XLOOKUP(YEAR($B117),'Oferta Producto 2'!$B$8:$B$19,'Oferta Producto 2'!$E$8:$E$19))*$AD117)/$AB117)/24</f>
        <v>0</v>
      </c>
      <c r="E117" s="35">
        <f ca="1">(((_xlfn.XLOOKUP(YEAR($B117),'Oferta Producto 2'!$B$8:$B$19,'Oferta Producto 2'!$E$8:$E$19))*$AD117)/$AB117)/24</f>
        <v>0</v>
      </c>
      <c r="F117" s="35">
        <f ca="1">(((_xlfn.XLOOKUP(YEAR($B117),'Oferta Producto 2'!$B$8:$B$19,'Oferta Producto 2'!$E$8:$E$19))*$AD117)/$AB117)/24</f>
        <v>0</v>
      </c>
      <c r="G117" s="35">
        <f ca="1">(((_xlfn.XLOOKUP(YEAR($B117),'Oferta Producto 2'!$B$8:$B$19,'Oferta Producto 2'!$E$8:$E$19))*$AD117)/$AB117)/24</f>
        <v>0</v>
      </c>
      <c r="H117" s="35">
        <f ca="1">(((_xlfn.XLOOKUP(YEAR($B117),'Oferta Producto 2'!$B$8:$B$19,'Oferta Producto 2'!$E$8:$E$19))*$AD117)/$AB117)/24</f>
        <v>0</v>
      </c>
      <c r="I117" s="35">
        <f ca="1">(((_xlfn.XLOOKUP(YEAR($B117),'Oferta Producto 2'!$B$8:$B$19,'Oferta Producto 2'!$E$8:$E$19))*$AD117)/$AB117)/24</f>
        <v>0</v>
      </c>
      <c r="J117" s="35">
        <f ca="1">(((_xlfn.XLOOKUP(YEAR($B117),'Oferta Producto 2'!$B$8:$B$19,'Oferta Producto 2'!$E$8:$E$19))*$AD117)/$AB117)/24</f>
        <v>0</v>
      </c>
      <c r="K117" s="35">
        <f ca="1">(((_xlfn.XLOOKUP(YEAR($B117),'Oferta Producto 2'!$B$8:$B$19,'Oferta Producto 2'!$E$8:$E$19))*$AD117)/$AB117)/24</f>
        <v>0</v>
      </c>
      <c r="L117" s="35">
        <f ca="1">(((_xlfn.XLOOKUP(YEAR($B117),'Oferta Producto 2'!$B$8:$B$19,'Oferta Producto 2'!$E$8:$E$19))*$AD117)/$AB117)/24</f>
        <v>0</v>
      </c>
      <c r="M117" s="35">
        <f ca="1">(((_xlfn.XLOOKUP(YEAR($B117),'Oferta Producto 2'!$B$8:$B$19,'Oferta Producto 2'!$E$8:$E$19))*$AD117)/$AB117)/24</f>
        <v>0</v>
      </c>
      <c r="N117" s="35">
        <f ca="1">(((_xlfn.XLOOKUP(YEAR($B117),'Oferta Producto 2'!$B$8:$B$19,'Oferta Producto 2'!$E$8:$E$19))*$AD117)/$AB117)/24</f>
        <v>0</v>
      </c>
      <c r="O117" s="35">
        <f ca="1">(((_xlfn.XLOOKUP(YEAR($B117),'Oferta Producto 2'!$B$8:$B$19,'Oferta Producto 2'!$E$8:$E$19))*$AD117)/$AB117)/24</f>
        <v>0</v>
      </c>
      <c r="P117" s="35">
        <f ca="1">(((_xlfn.XLOOKUP(YEAR($B117),'Oferta Producto 2'!$B$8:$B$19,'Oferta Producto 2'!$E$8:$E$19))*$AD117)/$AB117)/24</f>
        <v>0</v>
      </c>
      <c r="Q117" s="35">
        <f ca="1">(((_xlfn.XLOOKUP(YEAR($B117),'Oferta Producto 2'!$B$8:$B$19,'Oferta Producto 2'!$E$8:$E$19))*$AD117)/$AB117)/24</f>
        <v>0</v>
      </c>
      <c r="R117" s="35">
        <f ca="1">(((_xlfn.XLOOKUP(YEAR($B117),'Oferta Producto 2'!$B$8:$B$19,'Oferta Producto 2'!$E$8:$E$19))*$AD117)/$AB117)/24</f>
        <v>0</v>
      </c>
      <c r="S117" s="35">
        <f ca="1">(((_xlfn.XLOOKUP(YEAR($B117),'Oferta Producto 2'!$B$8:$B$19,'Oferta Producto 2'!$E$8:$E$19))*$AD117)/$AB117)/24</f>
        <v>0</v>
      </c>
      <c r="T117" s="35">
        <f ca="1">(((_xlfn.XLOOKUP(YEAR($B117),'Oferta Producto 2'!$B$8:$B$19,'Oferta Producto 2'!$E$8:$E$19))*$AD117)/$AB117)/24</f>
        <v>0</v>
      </c>
      <c r="U117" s="35">
        <f ca="1">(((_xlfn.XLOOKUP(YEAR($B117),'Oferta Producto 2'!$B$8:$B$19,'Oferta Producto 2'!$E$8:$E$19))*$AD117)/$AB117)/24</f>
        <v>0</v>
      </c>
      <c r="V117" s="35">
        <f ca="1">(((_xlfn.XLOOKUP(YEAR($B117),'Oferta Producto 2'!$B$8:$B$19,'Oferta Producto 2'!$E$8:$E$19))*$AD117)/$AB117)/24</f>
        <v>0</v>
      </c>
      <c r="W117" s="35">
        <f ca="1">(((_xlfn.XLOOKUP(YEAR($B117),'Oferta Producto 2'!$B$8:$B$19,'Oferta Producto 2'!$E$8:$E$19))*$AD117)/$AB117)/24</f>
        <v>0</v>
      </c>
      <c r="X117" s="35">
        <f ca="1">(((_xlfn.XLOOKUP(YEAR($B117),'Oferta Producto 2'!$B$8:$B$19,'Oferta Producto 2'!$E$8:$E$19))*$AD117)/$AB117)/24</f>
        <v>0</v>
      </c>
      <c r="Y117" s="35">
        <f ca="1">(((_xlfn.XLOOKUP(YEAR($B117),'Oferta Producto 2'!$B$8:$B$19,'Oferta Producto 2'!$E$8:$E$19))*$AD117)/$AB117)/24</f>
        <v>0</v>
      </c>
      <c r="Z117" s="35">
        <f ca="1">(((_xlfn.XLOOKUP(YEAR($B117),'Oferta Producto 2'!$B$8:$B$19,'Oferta Producto 2'!$E$8:$E$19))*$AD117)/$AB117)/24</f>
        <v>0</v>
      </c>
      <c r="AA117" s="35">
        <f t="shared" ca="1" si="9"/>
        <v>0</v>
      </c>
      <c r="AB117" s="28">
        <f t="shared" si="7"/>
        <v>30</v>
      </c>
      <c r="AC117" s="42">
        <f t="shared" ca="1" si="8"/>
        <v>0</v>
      </c>
      <c r="AD117" s="43">
        <v>8.3552391370544321E-2</v>
      </c>
      <c r="AE117" s="8"/>
      <c r="AF117" s="8"/>
    </row>
    <row r="118" spans="1:32" ht="15.75" thickBot="1">
      <c r="A118" s="23">
        <f t="shared" si="6"/>
        <v>2035</v>
      </c>
      <c r="B118" s="27">
        <v>49430</v>
      </c>
      <c r="C118" s="35">
        <f ca="1">(((_xlfn.XLOOKUP(YEAR($B118),'Oferta Producto 2'!$B$8:$B$19,'Oferta Producto 2'!$E$8:$E$19))*$AD118)/$AB118)/24</f>
        <v>0</v>
      </c>
      <c r="D118" s="35">
        <f ca="1">(((_xlfn.XLOOKUP(YEAR($B118),'Oferta Producto 2'!$B$8:$B$19,'Oferta Producto 2'!$E$8:$E$19))*$AD118)/$AB118)/24</f>
        <v>0</v>
      </c>
      <c r="E118" s="35">
        <f ca="1">(((_xlfn.XLOOKUP(YEAR($B118),'Oferta Producto 2'!$B$8:$B$19,'Oferta Producto 2'!$E$8:$E$19))*$AD118)/$AB118)/24</f>
        <v>0</v>
      </c>
      <c r="F118" s="35">
        <f ca="1">(((_xlfn.XLOOKUP(YEAR($B118),'Oferta Producto 2'!$B$8:$B$19,'Oferta Producto 2'!$E$8:$E$19))*$AD118)/$AB118)/24</f>
        <v>0</v>
      </c>
      <c r="G118" s="35">
        <f ca="1">(((_xlfn.XLOOKUP(YEAR($B118),'Oferta Producto 2'!$B$8:$B$19,'Oferta Producto 2'!$E$8:$E$19))*$AD118)/$AB118)/24</f>
        <v>0</v>
      </c>
      <c r="H118" s="35">
        <f ca="1">(((_xlfn.XLOOKUP(YEAR($B118),'Oferta Producto 2'!$B$8:$B$19,'Oferta Producto 2'!$E$8:$E$19))*$AD118)/$AB118)/24</f>
        <v>0</v>
      </c>
      <c r="I118" s="35">
        <f ca="1">(((_xlfn.XLOOKUP(YEAR($B118),'Oferta Producto 2'!$B$8:$B$19,'Oferta Producto 2'!$E$8:$E$19))*$AD118)/$AB118)/24</f>
        <v>0</v>
      </c>
      <c r="J118" s="35">
        <f ca="1">(((_xlfn.XLOOKUP(YEAR($B118),'Oferta Producto 2'!$B$8:$B$19,'Oferta Producto 2'!$E$8:$E$19))*$AD118)/$AB118)/24</f>
        <v>0</v>
      </c>
      <c r="K118" s="35">
        <f ca="1">(((_xlfn.XLOOKUP(YEAR($B118),'Oferta Producto 2'!$B$8:$B$19,'Oferta Producto 2'!$E$8:$E$19))*$AD118)/$AB118)/24</f>
        <v>0</v>
      </c>
      <c r="L118" s="35">
        <f ca="1">(((_xlfn.XLOOKUP(YEAR($B118),'Oferta Producto 2'!$B$8:$B$19,'Oferta Producto 2'!$E$8:$E$19))*$AD118)/$AB118)/24</f>
        <v>0</v>
      </c>
      <c r="M118" s="35">
        <f ca="1">(((_xlfn.XLOOKUP(YEAR($B118),'Oferta Producto 2'!$B$8:$B$19,'Oferta Producto 2'!$E$8:$E$19))*$AD118)/$AB118)/24</f>
        <v>0</v>
      </c>
      <c r="N118" s="35">
        <f ca="1">(((_xlfn.XLOOKUP(YEAR($B118),'Oferta Producto 2'!$B$8:$B$19,'Oferta Producto 2'!$E$8:$E$19))*$AD118)/$AB118)/24</f>
        <v>0</v>
      </c>
      <c r="O118" s="35">
        <f ca="1">(((_xlfn.XLOOKUP(YEAR($B118),'Oferta Producto 2'!$B$8:$B$19,'Oferta Producto 2'!$E$8:$E$19))*$AD118)/$AB118)/24</f>
        <v>0</v>
      </c>
      <c r="P118" s="35">
        <f ca="1">(((_xlfn.XLOOKUP(YEAR($B118),'Oferta Producto 2'!$B$8:$B$19,'Oferta Producto 2'!$E$8:$E$19))*$AD118)/$AB118)/24</f>
        <v>0</v>
      </c>
      <c r="Q118" s="35">
        <f ca="1">(((_xlfn.XLOOKUP(YEAR($B118),'Oferta Producto 2'!$B$8:$B$19,'Oferta Producto 2'!$E$8:$E$19))*$AD118)/$AB118)/24</f>
        <v>0</v>
      </c>
      <c r="R118" s="35">
        <f ca="1">(((_xlfn.XLOOKUP(YEAR($B118),'Oferta Producto 2'!$B$8:$B$19,'Oferta Producto 2'!$E$8:$E$19))*$AD118)/$AB118)/24</f>
        <v>0</v>
      </c>
      <c r="S118" s="35">
        <f ca="1">(((_xlfn.XLOOKUP(YEAR($B118),'Oferta Producto 2'!$B$8:$B$19,'Oferta Producto 2'!$E$8:$E$19))*$AD118)/$AB118)/24</f>
        <v>0</v>
      </c>
      <c r="T118" s="35">
        <f ca="1">(((_xlfn.XLOOKUP(YEAR($B118),'Oferta Producto 2'!$B$8:$B$19,'Oferta Producto 2'!$E$8:$E$19))*$AD118)/$AB118)/24</f>
        <v>0</v>
      </c>
      <c r="U118" s="35">
        <f ca="1">(((_xlfn.XLOOKUP(YEAR($B118),'Oferta Producto 2'!$B$8:$B$19,'Oferta Producto 2'!$E$8:$E$19))*$AD118)/$AB118)/24</f>
        <v>0</v>
      </c>
      <c r="V118" s="35">
        <f ca="1">(((_xlfn.XLOOKUP(YEAR($B118),'Oferta Producto 2'!$B$8:$B$19,'Oferta Producto 2'!$E$8:$E$19))*$AD118)/$AB118)/24</f>
        <v>0</v>
      </c>
      <c r="W118" s="35">
        <f ca="1">(((_xlfn.XLOOKUP(YEAR($B118),'Oferta Producto 2'!$B$8:$B$19,'Oferta Producto 2'!$E$8:$E$19))*$AD118)/$AB118)/24</f>
        <v>0</v>
      </c>
      <c r="X118" s="35">
        <f ca="1">(((_xlfn.XLOOKUP(YEAR($B118),'Oferta Producto 2'!$B$8:$B$19,'Oferta Producto 2'!$E$8:$E$19))*$AD118)/$AB118)/24</f>
        <v>0</v>
      </c>
      <c r="Y118" s="35">
        <f ca="1">(((_xlfn.XLOOKUP(YEAR($B118),'Oferta Producto 2'!$B$8:$B$19,'Oferta Producto 2'!$E$8:$E$19))*$AD118)/$AB118)/24</f>
        <v>0</v>
      </c>
      <c r="Z118" s="35">
        <f ca="1">(((_xlfn.XLOOKUP(YEAR($B118),'Oferta Producto 2'!$B$8:$B$19,'Oferta Producto 2'!$E$8:$E$19))*$AD118)/$AB118)/24</f>
        <v>0</v>
      </c>
      <c r="AA118" s="35">
        <f t="shared" ca="1" si="9"/>
        <v>0</v>
      </c>
      <c r="AB118" s="28">
        <f t="shared" si="7"/>
        <v>31</v>
      </c>
      <c r="AC118" s="42">
        <f t="shared" ca="1" si="8"/>
        <v>0</v>
      </c>
      <c r="AD118" s="43">
        <v>8.3026652081237898E-2</v>
      </c>
      <c r="AE118" s="8"/>
      <c r="AF118" s="8"/>
    </row>
    <row r="119" spans="1:32" ht="15.75" thickBot="1">
      <c r="A119" s="23">
        <f t="shared" si="6"/>
        <v>2035</v>
      </c>
      <c r="B119" s="27">
        <v>49461</v>
      </c>
      <c r="C119" s="35">
        <f ca="1">(((_xlfn.XLOOKUP(YEAR($B119),'Oferta Producto 2'!$B$8:$B$19,'Oferta Producto 2'!$E$8:$E$19))*$AD119)/$AB119)/24</f>
        <v>0</v>
      </c>
      <c r="D119" s="35">
        <f ca="1">(((_xlfn.XLOOKUP(YEAR($B119),'Oferta Producto 2'!$B$8:$B$19,'Oferta Producto 2'!$E$8:$E$19))*$AD119)/$AB119)/24</f>
        <v>0</v>
      </c>
      <c r="E119" s="35">
        <f ca="1">(((_xlfn.XLOOKUP(YEAR($B119),'Oferta Producto 2'!$B$8:$B$19,'Oferta Producto 2'!$E$8:$E$19))*$AD119)/$AB119)/24</f>
        <v>0</v>
      </c>
      <c r="F119" s="35">
        <f ca="1">(((_xlfn.XLOOKUP(YEAR($B119),'Oferta Producto 2'!$B$8:$B$19,'Oferta Producto 2'!$E$8:$E$19))*$AD119)/$AB119)/24</f>
        <v>0</v>
      </c>
      <c r="G119" s="35">
        <f ca="1">(((_xlfn.XLOOKUP(YEAR($B119),'Oferta Producto 2'!$B$8:$B$19,'Oferta Producto 2'!$E$8:$E$19))*$AD119)/$AB119)/24</f>
        <v>0</v>
      </c>
      <c r="H119" s="35">
        <f ca="1">(((_xlfn.XLOOKUP(YEAR($B119),'Oferta Producto 2'!$B$8:$B$19,'Oferta Producto 2'!$E$8:$E$19))*$AD119)/$AB119)/24</f>
        <v>0</v>
      </c>
      <c r="I119" s="35">
        <f ca="1">(((_xlfn.XLOOKUP(YEAR($B119),'Oferta Producto 2'!$B$8:$B$19,'Oferta Producto 2'!$E$8:$E$19))*$AD119)/$AB119)/24</f>
        <v>0</v>
      </c>
      <c r="J119" s="35">
        <f ca="1">(((_xlfn.XLOOKUP(YEAR($B119),'Oferta Producto 2'!$B$8:$B$19,'Oferta Producto 2'!$E$8:$E$19))*$AD119)/$AB119)/24</f>
        <v>0</v>
      </c>
      <c r="K119" s="35">
        <f ca="1">(((_xlfn.XLOOKUP(YEAR($B119),'Oferta Producto 2'!$B$8:$B$19,'Oferta Producto 2'!$E$8:$E$19))*$AD119)/$AB119)/24</f>
        <v>0</v>
      </c>
      <c r="L119" s="35">
        <f ca="1">(((_xlfn.XLOOKUP(YEAR($B119),'Oferta Producto 2'!$B$8:$B$19,'Oferta Producto 2'!$E$8:$E$19))*$AD119)/$AB119)/24</f>
        <v>0</v>
      </c>
      <c r="M119" s="35">
        <f ca="1">(((_xlfn.XLOOKUP(YEAR($B119),'Oferta Producto 2'!$B$8:$B$19,'Oferta Producto 2'!$E$8:$E$19))*$AD119)/$AB119)/24</f>
        <v>0</v>
      </c>
      <c r="N119" s="35">
        <f ca="1">(((_xlfn.XLOOKUP(YEAR($B119),'Oferta Producto 2'!$B$8:$B$19,'Oferta Producto 2'!$E$8:$E$19))*$AD119)/$AB119)/24</f>
        <v>0</v>
      </c>
      <c r="O119" s="35">
        <f ca="1">(((_xlfn.XLOOKUP(YEAR($B119),'Oferta Producto 2'!$B$8:$B$19,'Oferta Producto 2'!$E$8:$E$19))*$AD119)/$AB119)/24</f>
        <v>0</v>
      </c>
      <c r="P119" s="35">
        <f ca="1">(((_xlfn.XLOOKUP(YEAR($B119),'Oferta Producto 2'!$B$8:$B$19,'Oferta Producto 2'!$E$8:$E$19))*$AD119)/$AB119)/24</f>
        <v>0</v>
      </c>
      <c r="Q119" s="35">
        <f ca="1">(((_xlfn.XLOOKUP(YEAR($B119),'Oferta Producto 2'!$B$8:$B$19,'Oferta Producto 2'!$E$8:$E$19))*$AD119)/$AB119)/24</f>
        <v>0</v>
      </c>
      <c r="R119" s="35">
        <f ca="1">(((_xlfn.XLOOKUP(YEAR($B119),'Oferta Producto 2'!$B$8:$B$19,'Oferta Producto 2'!$E$8:$E$19))*$AD119)/$AB119)/24</f>
        <v>0</v>
      </c>
      <c r="S119" s="35">
        <f ca="1">(((_xlfn.XLOOKUP(YEAR($B119),'Oferta Producto 2'!$B$8:$B$19,'Oferta Producto 2'!$E$8:$E$19))*$AD119)/$AB119)/24</f>
        <v>0</v>
      </c>
      <c r="T119" s="35">
        <f ca="1">(((_xlfn.XLOOKUP(YEAR($B119),'Oferta Producto 2'!$B$8:$B$19,'Oferta Producto 2'!$E$8:$E$19))*$AD119)/$AB119)/24</f>
        <v>0</v>
      </c>
      <c r="U119" s="35">
        <f ca="1">(((_xlfn.XLOOKUP(YEAR($B119),'Oferta Producto 2'!$B$8:$B$19,'Oferta Producto 2'!$E$8:$E$19))*$AD119)/$AB119)/24</f>
        <v>0</v>
      </c>
      <c r="V119" s="35">
        <f ca="1">(((_xlfn.XLOOKUP(YEAR($B119),'Oferta Producto 2'!$B$8:$B$19,'Oferta Producto 2'!$E$8:$E$19))*$AD119)/$AB119)/24</f>
        <v>0</v>
      </c>
      <c r="W119" s="35">
        <f ca="1">(((_xlfn.XLOOKUP(YEAR($B119),'Oferta Producto 2'!$B$8:$B$19,'Oferta Producto 2'!$E$8:$E$19))*$AD119)/$AB119)/24</f>
        <v>0</v>
      </c>
      <c r="X119" s="35">
        <f ca="1">(((_xlfn.XLOOKUP(YEAR($B119),'Oferta Producto 2'!$B$8:$B$19,'Oferta Producto 2'!$E$8:$E$19))*$AD119)/$AB119)/24</f>
        <v>0</v>
      </c>
      <c r="Y119" s="35">
        <f ca="1">(((_xlfn.XLOOKUP(YEAR($B119),'Oferta Producto 2'!$B$8:$B$19,'Oferta Producto 2'!$E$8:$E$19))*$AD119)/$AB119)/24</f>
        <v>0</v>
      </c>
      <c r="Z119" s="35">
        <f ca="1">(((_xlfn.XLOOKUP(YEAR($B119),'Oferta Producto 2'!$B$8:$B$19,'Oferta Producto 2'!$E$8:$E$19))*$AD119)/$AB119)/24</f>
        <v>0</v>
      </c>
      <c r="AA119" s="35">
        <f t="shared" ca="1" si="9"/>
        <v>0</v>
      </c>
      <c r="AB119" s="28">
        <f t="shared" si="7"/>
        <v>30</v>
      </c>
      <c r="AC119" s="42">
        <f t="shared" ca="1" si="8"/>
        <v>0</v>
      </c>
      <c r="AD119" s="43">
        <v>8.3552391370544321E-2</v>
      </c>
      <c r="AE119" s="8"/>
      <c r="AF119" s="8"/>
    </row>
    <row r="120" spans="1:32" ht="15.75" thickBot="1">
      <c r="A120" s="23">
        <f t="shared" si="6"/>
        <v>2035</v>
      </c>
      <c r="B120" s="27">
        <v>49491</v>
      </c>
      <c r="C120" s="35">
        <f ca="1">(((_xlfn.XLOOKUP(YEAR($B120),'Oferta Producto 2'!$B$8:$B$19,'Oferta Producto 2'!$E$8:$E$19))*$AD120)/$AB120)/24</f>
        <v>0</v>
      </c>
      <c r="D120" s="35">
        <f ca="1">(((_xlfn.XLOOKUP(YEAR($B120),'Oferta Producto 2'!$B$8:$B$19,'Oferta Producto 2'!$E$8:$E$19))*$AD120)/$AB120)/24</f>
        <v>0</v>
      </c>
      <c r="E120" s="35">
        <f ca="1">(((_xlfn.XLOOKUP(YEAR($B120),'Oferta Producto 2'!$B$8:$B$19,'Oferta Producto 2'!$E$8:$E$19))*$AD120)/$AB120)/24</f>
        <v>0</v>
      </c>
      <c r="F120" s="35">
        <f ca="1">(((_xlfn.XLOOKUP(YEAR($B120),'Oferta Producto 2'!$B$8:$B$19,'Oferta Producto 2'!$E$8:$E$19))*$AD120)/$AB120)/24</f>
        <v>0</v>
      </c>
      <c r="G120" s="35">
        <f ca="1">(((_xlfn.XLOOKUP(YEAR($B120),'Oferta Producto 2'!$B$8:$B$19,'Oferta Producto 2'!$E$8:$E$19))*$AD120)/$AB120)/24</f>
        <v>0</v>
      </c>
      <c r="H120" s="35">
        <f ca="1">(((_xlfn.XLOOKUP(YEAR($B120),'Oferta Producto 2'!$B$8:$B$19,'Oferta Producto 2'!$E$8:$E$19))*$AD120)/$AB120)/24</f>
        <v>0</v>
      </c>
      <c r="I120" s="35">
        <f ca="1">(((_xlfn.XLOOKUP(YEAR($B120),'Oferta Producto 2'!$B$8:$B$19,'Oferta Producto 2'!$E$8:$E$19))*$AD120)/$AB120)/24</f>
        <v>0</v>
      </c>
      <c r="J120" s="35">
        <f ca="1">(((_xlfn.XLOOKUP(YEAR($B120),'Oferta Producto 2'!$B$8:$B$19,'Oferta Producto 2'!$E$8:$E$19))*$AD120)/$AB120)/24</f>
        <v>0</v>
      </c>
      <c r="K120" s="35">
        <f ca="1">(((_xlfn.XLOOKUP(YEAR($B120),'Oferta Producto 2'!$B$8:$B$19,'Oferta Producto 2'!$E$8:$E$19))*$AD120)/$AB120)/24</f>
        <v>0</v>
      </c>
      <c r="L120" s="35">
        <f ca="1">(((_xlfn.XLOOKUP(YEAR($B120),'Oferta Producto 2'!$B$8:$B$19,'Oferta Producto 2'!$E$8:$E$19))*$AD120)/$AB120)/24</f>
        <v>0</v>
      </c>
      <c r="M120" s="35">
        <f ca="1">(((_xlfn.XLOOKUP(YEAR($B120),'Oferta Producto 2'!$B$8:$B$19,'Oferta Producto 2'!$E$8:$E$19))*$AD120)/$AB120)/24</f>
        <v>0</v>
      </c>
      <c r="N120" s="35">
        <f ca="1">(((_xlfn.XLOOKUP(YEAR($B120),'Oferta Producto 2'!$B$8:$B$19,'Oferta Producto 2'!$E$8:$E$19))*$AD120)/$AB120)/24</f>
        <v>0</v>
      </c>
      <c r="O120" s="35">
        <f ca="1">(((_xlfn.XLOOKUP(YEAR($B120),'Oferta Producto 2'!$B$8:$B$19,'Oferta Producto 2'!$E$8:$E$19))*$AD120)/$AB120)/24</f>
        <v>0</v>
      </c>
      <c r="P120" s="35">
        <f ca="1">(((_xlfn.XLOOKUP(YEAR($B120),'Oferta Producto 2'!$B$8:$B$19,'Oferta Producto 2'!$E$8:$E$19))*$AD120)/$AB120)/24</f>
        <v>0</v>
      </c>
      <c r="Q120" s="35">
        <f ca="1">(((_xlfn.XLOOKUP(YEAR($B120),'Oferta Producto 2'!$B$8:$B$19,'Oferta Producto 2'!$E$8:$E$19))*$AD120)/$AB120)/24</f>
        <v>0</v>
      </c>
      <c r="R120" s="35">
        <f ca="1">(((_xlfn.XLOOKUP(YEAR($B120),'Oferta Producto 2'!$B$8:$B$19,'Oferta Producto 2'!$E$8:$E$19))*$AD120)/$AB120)/24</f>
        <v>0</v>
      </c>
      <c r="S120" s="35">
        <f ca="1">(((_xlfn.XLOOKUP(YEAR($B120),'Oferta Producto 2'!$B$8:$B$19,'Oferta Producto 2'!$E$8:$E$19))*$AD120)/$AB120)/24</f>
        <v>0</v>
      </c>
      <c r="T120" s="35">
        <f ca="1">(((_xlfn.XLOOKUP(YEAR($B120),'Oferta Producto 2'!$B$8:$B$19,'Oferta Producto 2'!$E$8:$E$19))*$AD120)/$AB120)/24</f>
        <v>0</v>
      </c>
      <c r="U120" s="35">
        <f ca="1">(((_xlfn.XLOOKUP(YEAR($B120),'Oferta Producto 2'!$B$8:$B$19,'Oferta Producto 2'!$E$8:$E$19))*$AD120)/$AB120)/24</f>
        <v>0</v>
      </c>
      <c r="V120" s="35">
        <f ca="1">(((_xlfn.XLOOKUP(YEAR($B120),'Oferta Producto 2'!$B$8:$B$19,'Oferta Producto 2'!$E$8:$E$19))*$AD120)/$AB120)/24</f>
        <v>0</v>
      </c>
      <c r="W120" s="35">
        <f ca="1">(((_xlfn.XLOOKUP(YEAR($B120),'Oferta Producto 2'!$B$8:$B$19,'Oferta Producto 2'!$E$8:$E$19))*$AD120)/$AB120)/24</f>
        <v>0</v>
      </c>
      <c r="X120" s="35">
        <f ca="1">(((_xlfn.XLOOKUP(YEAR($B120),'Oferta Producto 2'!$B$8:$B$19,'Oferta Producto 2'!$E$8:$E$19))*$AD120)/$AB120)/24</f>
        <v>0</v>
      </c>
      <c r="Y120" s="35">
        <f ca="1">(((_xlfn.XLOOKUP(YEAR($B120),'Oferta Producto 2'!$B$8:$B$19,'Oferta Producto 2'!$E$8:$E$19))*$AD120)/$AB120)/24</f>
        <v>0</v>
      </c>
      <c r="Z120" s="35">
        <f ca="1">(((_xlfn.XLOOKUP(YEAR($B120),'Oferta Producto 2'!$B$8:$B$19,'Oferta Producto 2'!$E$8:$E$19))*$AD120)/$AB120)/24</f>
        <v>0</v>
      </c>
      <c r="AA120" s="35">
        <f t="shared" ca="1" si="9"/>
        <v>0</v>
      </c>
      <c r="AB120" s="28">
        <f t="shared" si="7"/>
        <v>31</v>
      </c>
      <c r="AC120" s="42">
        <f t="shared" ca="1" si="8"/>
        <v>0</v>
      </c>
      <c r="AD120" s="43">
        <v>8.3026652081237898E-2</v>
      </c>
      <c r="AE120" s="8"/>
      <c r="AF120" s="8"/>
    </row>
    <row r="121" spans="1:32" ht="15.75" thickBot="1">
      <c r="A121" s="23">
        <f t="shared" si="6"/>
        <v>2035</v>
      </c>
      <c r="B121" s="27">
        <v>49522</v>
      </c>
      <c r="C121" s="35">
        <f ca="1">(((_xlfn.XLOOKUP(YEAR($B121),'Oferta Producto 2'!$B$8:$B$19,'Oferta Producto 2'!$E$8:$E$19))*$AD121)/$AB121)/24</f>
        <v>0</v>
      </c>
      <c r="D121" s="35">
        <f ca="1">(((_xlfn.XLOOKUP(YEAR($B121),'Oferta Producto 2'!$B$8:$B$19,'Oferta Producto 2'!$E$8:$E$19))*$AD121)/$AB121)/24</f>
        <v>0</v>
      </c>
      <c r="E121" s="35">
        <f ca="1">(((_xlfn.XLOOKUP(YEAR($B121),'Oferta Producto 2'!$B$8:$B$19,'Oferta Producto 2'!$E$8:$E$19))*$AD121)/$AB121)/24</f>
        <v>0</v>
      </c>
      <c r="F121" s="35">
        <f ca="1">(((_xlfn.XLOOKUP(YEAR($B121),'Oferta Producto 2'!$B$8:$B$19,'Oferta Producto 2'!$E$8:$E$19))*$AD121)/$AB121)/24</f>
        <v>0</v>
      </c>
      <c r="G121" s="35">
        <f ca="1">(((_xlfn.XLOOKUP(YEAR($B121),'Oferta Producto 2'!$B$8:$B$19,'Oferta Producto 2'!$E$8:$E$19))*$AD121)/$AB121)/24</f>
        <v>0</v>
      </c>
      <c r="H121" s="35">
        <f ca="1">(((_xlfn.XLOOKUP(YEAR($B121),'Oferta Producto 2'!$B$8:$B$19,'Oferta Producto 2'!$E$8:$E$19))*$AD121)/$AB121)/24</f>
        <v>0</v>
      </c>
      <c r="I121" s="35">
        <f ca="1">(((_xlfn.XLOOKUP(YEAR($B121),'Oferta Producto 2'!$B$8:$B$19,'Oferta Producto 2'!$E$8:$E$19))*$AD121)/$AB121)/24</f>
        <v>0</v>
      </c>
      <c r="J121" s="35">
        <f ca="1">(((_xlfn.XLOOKUP(YEAR($B121),'Oferta Producto 2'!$B$8:$B$19,'Oferta Producto 2'!$E$8:$E$19))*$AD121)/$AB121)/24</f>
        <v>0</v>
      </c>
      <c r="K121" s="35">
        <f ca="1">(((_xlfn.XLOOKUP(YEAR($B121),'Oferta Producto 2'!$B$8:$B$19,'Oferta Producto 2'!$E$8:$E$19))*$AD121)/$AB121)/24</f>
        <v>0</v>
      </c>
      <c r="L121" s="35">
        <f ca="1">(((_xlfn.XLOOKUP(YEAR($B121),'Oferta Producto 2'!$B$8:$B$19,'Oferta Producto 2'!$E$8:$E$19))*$AD121)/$AB121)/24</f>
        <v>0</v>
      </c>
      <c r="M121" s="35">
        <f ca="1">(((_xlfn.XLOOKUP(YEAR($B121),'Oferta Producto 2'!$B$8:$B$19,'Oferta Producto 2'!$E$8:$E$19))*$AD121)/$AB121)/24</f>
        <v>0</v>
      </c>
      <c r="N121" s="35">
        <f ca="1">(((_xlfn.XLOOKUP(YEAR($B121),'Oferta Producto 2'!$B$8:$B$19,'Oferta Producto 2'!$E$8:$E$19))*$AD121)/$AB121)/24</f>
        <v>0</v>
      </c>
      <c r="O121" s="35">
        <f ca="1">(((_xlfn.XLOOKUP(YEAR($B121),'Oferta Producto 2'!$B$8:$B$19,'Oferta Producto 2'!$E$8:$E$19))*$AD121)/$AB121)/24</f>
        <v>0</v>
      </c>
      <c r="P121" s="35">
        <f ca="1">(((_xlfn.XLOOKUP(YEAR($B121),'Oferta Producto 2'!$B$8:$B$19,'Oferta Producto 2'!$E$8:$E$19))*$AD121)/$AB121)/24</f>
        <v>0</v>
      </c>
      <c r="Q121" s="35">
        <f ca="1">(((_xlfn.XLOOKUP(YEAR($B121),'Oferta Producto 2'!$B$8:$B$19,'Oferta Producto 2'!$E$8:$E$19))*$AD121)/$AB121)/24</f>
        <v>0</v>
      </c>
      <c r="R121" s="35">
        <f ca="1">(((_xlfn.XLOOKUP(YEAR($B121),'Oferta Producto 2'!$B$8:$B$19,'Oferta Producto 2'!$E$8:$E$19))*$AD121)/$AB121)/24</f>
        <v>0</v>
      </c>
      <c r="S121" s="35">
        <f ca="1">(((_xlfn.XLOOKUP(YEAR($B121),'Oferta Producto 2'!$B$8:$B$19,'Oferta Producto 2'!$E$8:$E$19))*$AD121)/$AB121)/24</f>
        <v>0</v>
      </c>
      <c r="T121" s="35">
        <f ca="1">(((_xlfn.XLOOKUP(YEAR($B121),'Oferta Producto 2'!$B$8:$B$19,'Oferta Producto 2'!$E$8:$E$19))*$AD121)/$AB121)/24</f>
        <v>0</v>
      </c>
      <c r="U121" s="35">
        <f ca="1">(((_xlfn.XLOOKUP(YEAR($B121),'Oferta Producto 2'!$B$8:$B$19,'Oferta Producto 2'!$E$8:$E$19))*$AD121)/$AB121)/24</f>
        <v>0</v>
      </c>
      <c r="V121" s="35">
        <f ca="1">(((_xlfn.XLOOKUP(YEAR($B121),'Oferta Producto 2'!$B$8:$B$19,'Oferta Producto 2'!$E$8:$E$19))*$AD121)/$AB121)/24</f>
        <v>0</v>
      </c>
      <c r="W121" s="35">
        <f ca="1">(((_xlfn.XLOOKUP(YEAR($B121),'Oferta Producto 2'!$B$8:$B$19,'Oferta Producto 2'!$E$8:$E$19))*$AD121)/$AB121)/24</f>
        <v>0</v>
      </c>
      <c r="X121" s="35">
        <f ca="1">(((_xlfn.XLOOKUP(YEAR($B121),'Oferta Producto 2'!$B$8:$B$19,'Oferta Producto 2'!$E$8:$E$19))*$AD121)/$AB121)/24</f>
        <v>0</v>
      </c>
      <c r="Y121" s="35">
        <f ca="1">(((_xlfn.XLOOKUP(YEAR($B121),'Oferta Producto 2'!$B$8:$B$19,'Oferta Producto 2'!$E$8:$E$19))*$AD121)/$AB121)/24</f>
        <v>0</v>
      </c>
      <c r="Z121" s="35">
        <f ca="1">(((_xlfn.XLOOKUP(YEAR($B121),'Oferta Producto 2'!$B$8:$B$19,'Oferta Producto 2'!$E$8:$E$19))*$AD121)/$AB121)/24</f>
        <v>0</v>
      </c>
      <c r="AA121" s="35">
        <f t="shared" ca="1" si="9"/>
        <v>0</v>
      </c>
      <c r="AB121" s="28">
        <f t="shared" si="7"/>
        <v>31</v>
      </c>
      <c r="AC121" s="42">
        <f t="shared" ca="1" si="8"/>
        <v>0</v>
      </c>
      <c r="AD121" s="43">
        <v>8.3026652081237898E-2</v>
      </c>
      <c r="AE121" s="8"/>
      <c r="AF121" s="8"/>
    </row>
    <row r="122" spans="1:32" ht="15.75" thickBot="1">
      <c r="A122" s="23">
        <f t="shared" si="6"/>
        <v>2035</v>
      </c>
      <c r="B122" s="27">
        <v>49553</v>
      </c>
      <c r="C122" s="35">
        <f ca="1">(((_xlfn.XLOOKUP(YEAR($B122),'Oferta Producto 2'!$B$8:$B$19,'Oferta Producto 2'!$E$8:$E$19))*$AD122)/$AB122)/24</f>
        <v>0</v>
      </c>
      <c r="D122" s="35">
        <f ca="1">(((_xlfn.XLOOKUP(YEAR($B122),'Oferta Producto 2'!$B$8:$B$19,'Oferta Producto 2'!$E$8:$E$19))*$AD122)/$AB122)/24</f>
        <v>0</v>
      </c>
      <c r="E122" s="35">
        <f ca="1">(((_xlfn.XLOOKUP(YEAR($B122),'Oferta Producto 2'!$B$8:$B$19,'Oferta Producto 2'!$E$8:$E$19))*$AD122)/$AB122)/24</f>
        <v>0</v>
      </c>
      <c r="F122" s="35">
        <f ca="1">(((_xlfn.XLOOKUP(YEAR($B122),'Oferta Producto 2'!$B$8:$B$19,'Oferta Producto 2'!$E$8:$E$19))*$AD122)/$AB122)/24</f>
        <v>0</v>
      </c>
      <c r="G122" s="35">
        <f ca="1">(((_xlfn.XLOOKUP(YEAR($B122),'Oferta Producto 2'!$B$8:$B$19,'Oferta Producto 2'!$E$8:$E$19))*$AD122)/$AB122)/24</f>
        <v>0</v>
      </c>
      <c r="H122" s="35">
        <f ca="1">(((_xlfn.XLOOKUP(YEAR($B122),'Oferta Producto 2'!$B$8:$B$19,'Oferta Producto 2'!$E$8:$E$19))*$AD122)/$AB122)/24</f>
        <v>0</v>
      </c>
      <c r="I122" s="35">
        <f ca="1">(((_xlfn.XLOOKUP(YEAR($B122),'Oferta Producto 2'!$B$8:$B$19,'Oferta Producto 2'!$E$8:$E$19))*$AD122)/$AB122)/24</f>
        <v>0</v>
      </c>
      <c r="J122" s="35">
        <f ca="1">(((_xlfn.XLOOKUP(YEAR($B122),'Oferta Producto 2'!$B$8:$B$19,'Oferta Producto 2'!$E$8:$E$19))*$AD122)/$AB122)/24</f>
        <v>0</v>
      </c>
      <c r="K122" s="35">
        <f ca="1">(((_xlfn.XLOOKUP(YEAR($B122),'Oferta Producto 2'!$B$8:$B$19,'Oferta Producto 2'!$E$8:$E$19))*$AD122)/$AB122)/24</f>
        <v>0</v>
      </c>
      <c r="L122" s="35">
        <f ca="1">(((_xlfn.XLOOKUP(YEAR($B122),'Oferta Producto 2'!$B$8:$B$19,'Oferta Producto 2'!$E$8:$E$19))*$AD122)/$AB122)/24</f>
        <v>0</v>
      </c>
      <c r="M122" s="35">
        <f ca="1">(((_xlfn.XLOOKUP(YEAR($B122),'Oferta Producto 2'!$B$8:$B$19,'Oferta Producto 2'!$E$8:$E$19))*$AD122)/$AB122)/24</f>
        <v>0</v>
      </c>
      <c r="N122" s="35">
        <f ca="1">(((_xlfn.XLOOKUP(YEAR($B122),'Oferta Producto 2'!$B$8:$B$19,'Oferta Producto 2'!$E$8:$E$19))*$AD122)/$AB122)/24</f>
        <v>0</v>
      </c>
      <c r="O122" s="35">
        <f ca="1">(((_xlfn.XLOOKUP(YEAR($B122),'Oferta Producto 2'!$B$8:$B$19,'Oferta Producto 2'!$E$8:$E$19))*$AD122)/$AB122)/24</f>
        <v>0</v>
      </c>
      <c r="P122" s="35">
        <f ca="1">(((_xlfn.XLOOKUP(YEAR($B122),'Oferta Producto 2'!$B$8:$B$19,'Oferta Producto 2'!$E$8:$E$19))*$AD122)/$AB122)/24</f>
        <v>0</v>
      </c>
      <c r="Q122" s="35">
        <f ca="1">(((_xlfn.XLOOKUP(YEAR($B122),'Oferta Producto 2'!$B$8:$B$19,'Oferta Producto 2'!$E$8:$E$19))*$AD122)/$AB122)/24</f>
        <v>0</v>
      </c>
      <c r="R122" s="35">
        <f ca="1">(((_xlfn.XLOOKUP(YEAR($B122),'Oferta Producto 2'!$B$8:$B$19,'Oferta Producto 2'!$E$8:$E$19))*$AD122)/$AB122)/24</f>
        <v>0</v>
      </c>
      <c r="S122" s="35">
        <f ca="1">(((_xlfn.XLOOKUP(YEAR($B122),'Oferta Producto 2'!$B$8:$B$19,'Oferta Producto 2'!$E$8:$E$19))*$AD122)/$AB122)/24</f>
        <v>0</v>
      </c>
      <c r="T122" s="35">
        <f ca="1">(((_xlfn.XLOOKUP(YEAR($B122),'Oferta Producto 2'!$B$8:$B$19,'Oferta Producto 2'!$E$8:$E$19))*$AD122)/$AB122)/24</f>
        <v>0</v>
      </c>
      <c r="U122" s="35">
        <f ca="1">(((_xlfn.XLOOKUP(YEAR($B122),'Oferta Producto 2'!$B$8:$B$19,'Oferta Producto 2'!$E$8:$E$19))*$AD122)/$AB122)/24</f>
        <v>0</v>
      </c>
      <c r="V122" s="35">
        <f ca="1">(((_xlfn.XLOOKUP(YEAR($B122),'Oferta Producto 2'!$B$8:$B$19,'Oferta Producto 2'!$E$8:$E$19))*$AD122)/$AB122)/24</f>
        <v>0</v>
      </c>
      <c r="W122" s="35">
        <f ca="1">(((_xlfn.XLOOKUP(YEAR($B122),'Oferta Producto 2'!$B$8:$B$19,'Oferta Producto 2'!$E$8:$E$19))*$AD122)/$AB122)/24</f>
        <v>0</v>
      </c>
      <c r="X122" s="35">
        <f ca="1">(((_xlfn.XLOOKUP(YEAR($B122),'Oferta Producto 2'!$B$8:$B$19,'Oferta Producto 2'!$E$8:$E$19))*$AD122)/$AB122)/24</f>
        <v>0</v>
      </c>
      <c r="Y122" s="35">
        <f ca="1">(((_xlfn.XLOOKUP(YEAR($B122),'Oferta Producto 2'!$B$8:$B$19,'Oferta Producto 2'!$E$8:$E$19))*$AD122)/$AB122)/24</f>
        <v>0</v>
      </c>
      <c r="Z122" s="35">
        <f ca="1">(((_xlfn.XLOOKUP(YEAR($B122),'Oferta Producto 2'!$B$8:$B$19,'Oferta Producto 2'!$E$8:$E$19))*$AD122)/$AB122)/24</f>
        <v>0</v>
      </c>
      <c r="AA122" s="35">
        <f t="shared" ca="1" si="9"/>
        <v>0</v>
      </c>
      <c r="AB122" s="28">
        <f t="shared" si="7"/>
        <v>30</v>
      </c>
      <c r="AC122" s="42">
        <f t="shared" ca="1" si="8"/>
        <v>0</v>
      </c>
      <c r="AD122" s="43">
        <v>8.3552391370544321E-2</v>
      </c>
      <c r="AE122" s="8"/>
      <c r="AF122" s="8"/>
    </row>
    <row r="123" spans="1:32" ht="15.75" thickBot="1">
      <c r="A123" s="23">
        <f t="shared" si="6"/>
        <v>2035</v>
      </c>
      <c r="B123" s="27">
        <v>49583</v>
      </c>
      <c r="C123" s="35">
        <f ca="1">(((_xlfn.XLOOKUP(YEAR($B123),'Oferta Producto 2'!$B$8:$B$19,'Oferta Producto 2'!$E$8:$E$19))*$AD123)/$AB123)/24</f>
        <v>0</v>
      </c>
      <c r="D123" s="35">
        <f ca="1">(((_xlfn.XLOOKUP(YEAR($B123),'Oferta Producto 2'!$B$8:$B$19,'Oferta Producto 2'!$E$8:$E$19))*$AD123)/$AB123)/24</f>
        <v>0</v>
      </c>
      <c r="E123" s="35">
        <f ca="1">(((_xlfn.XLOOKUP(YEAR($B123),'Oferta Producto 2'!$B$8:$B$19,'Oferta Producto 2'!$E$8:$E$19))*$AD123)/$AB123)/24</f>
        <v>0</v>
      </c>
      <c r="F123" s="35">
        <f ca="1">(((_xlfn.XLOOKUP(YEAR($B123),'Oferta Producto 2'!$B$8:$B$19,'Oferta Producto 2'!$E$8:$E$19))*$AD123)/$AB123)/24</f>
        <v>0</v>
      </c>
      <c r="G123" s="35">
        <f ca="1">(((_xlfn.XLOOKUP(YEAR($B123),'Oferta Producto 2'!$B$8:$B$19,'Oferta Producto 2'!$E$8:$E$19))*$AD123)/$AB123)/24</f>
        <v>0</v>
      </c>
      <c r="H123" s="35">
        <f ca="1">(((_xlfn.XLOOKUP(YEAR($B123),'Oferta Producto 2'!$B$8:$B$19,'Oferta Producto 2'!$E$8:$E$19))*$AD123)/$AB123)/24</f>
        <v>0</v>
      </c>
      <c r="I123" s="35">
        <f ca="1">(((_xlfn.XLOOKUP(YEAR($B123),'Oferta Producto 2'!$B$8:$B$19,'Oferta Producto 2'!$E$8:$E$19))*$AD123)/$AB123)/24</f>
        <v>0</v>
      </c>
      <c r="J123" s="35">
        <f ca="1">(((_xlfn.XLOOKUP(YEAR($B123),'Oferta Producto 2'!$B$8:$B$19,'Oferta Producto 2'!$E$8:$E$19))*$AD123)/$AB123)/24</f>
        <v>0</v>
      </c>
      <c r="K123" s="35">
        <f ca="1">(((_xlfn.XLOOKUP(YEAR($B123),'Oferta Producto 2'!$B$8:$B$19,'Oferta Producto 2'!$E$8:$E$19))*$AD123)/$AB123)/24</f>
        <v>0</v>
      </c>
      <c r="L123" s="35">
        <f ca="1">(((_xlfn.XLOOKUP(YEAR($B123),'Oferta Producto 2'!$B$8:$B$19,'Oferta Producto 2'!$E$8:$E$19))*$AD123)/$AB123)/24</f>
        <v>0</v>
      </c>
      <c r="M123" s="35">
        <f ca="1">(((_xlfn.XLOOKUP(YEAR($B123),'Oferta Producto 2'!$B$8:$B$19,'Oferta Producto 2'!$E$8:$E$19))*$AD123)/$AB123)/24</f>
        <v>0</v>
      </c>
      <c r="N123" s="35">
        <f ca="1">(((_xlfn.XLOOKUP(YEAR($B123),'Oferta Producto 2'!$B$8:$B$19,'Oferta Producto 2'!$E$8:$E$19))*$AD123)/$AB123)/24</f>
        <v>0</v>
      </c>
      <c r="O123" s="35">
        <f ca="1">(((_xlfn.XLOOKUP(YEAR($B123),'Oferta Producto 2'!$B$8:$B$19,'Oferta Producto 2'!$E$8:$E$19))*$AD123)/$AB123)/24</f>
        <v>0</v>
      </c>
      <c r="P123" s="35">
        <f ca="1">(((_xlfn.XLOOKUP(YEAR($B123),'Oferta Producto 2'!$B$8:$B$19,'Oferta Producto 2'!$E$8:$E$19))*$AD123)/$AB123)/24</f>
        <v>0</v>
      </c>
      <c r="Q123" s="35">
        <f ca="1">(((_xlfn.XLOOKUP(YEAR($B123),'Oferta Producto 2'!$B$8:$B$19,'Oferta Producto 2'!$E$8:$E$19))*$AD123)/$AB123)/24</f>
        <v>0</v>
      </c>
      <c r="R123" s="35">
        <f ca="1">(((_xlfn.XLOOKUP(YEAR($B123),'Oferta Producto 2'!$B$8:$B$19,'Oferta Producto 2'!$E$8:$E$19))*$AD123)/$AB123)/24</f>
        <v>0</v>
      </c>
      <c r="S123" s="35">
        <f ca="1">(((_xlfn.XLOOKUP(YEAR($B123),'Oferta Producto 2'!$B$8:$B$19,'Oferta Producto 2'!$E$8:$E$19))*$AD123)/$AB123)/24</f>
        <v>0</v>
      </c>
      <c r="T123" s="35">
        <f ca="1">(((_xlfn.XLOOKUP(YEAR($B123),'Oferta Producto 2'!$B$8:$B$19,'Oferta Producto 2'!$E$8:$E$19))*$AD123)/$AB123)/24</f>
        <v>0</v>
      </c>
      <c r="U123" s="35">
        <f ca="1">(((_xlfn.XLOOKUP(YEAR($B123),'Oferta Producto 2'!$B$8:$B$19,'Oferta Producto 2'!$E$8:$E$19))*$AD123)/$AB123)/24</f>
        <v>0</v>
      </c>
      <c r="V123" s="35">
        <f ca="1">(((_xlfn.XLOOKUP(YEAR($B123),'Oferta Producto 2'!$B$8:$B$19,'Oferta Producto 2'!$E$8:$E$19))*$AD123)/$AB123)/24</f>
        <v>0</v>
      </c>
      <c r="W123" s="35">
        <f ca="1">(((_xlfn.XLOOKUP(YEAR($B123),'Oferta Producto 2'!$B$8:$B$19,'Oferta Producto 2'!$E$8:$E$19))*$AD123)/$AB123)/24</f>
        <v>0</v>
      </c>
      <c r="X123" s="35">
        <f ca="1">(((_xlfn.XLOOKUP(YEAR($B123),'Oferta Producto 2'!$B$8:$B$19,'Oferta Producto 2'!$E$8:$E$19))*$AD123)/$AB123)/24</f>
        <v>0</v>
      </c>
      <c r="Y123" s="35">
        <f ca="1">(((_xlfn.XLOOKUP(YEAR($B123),'Oferta Producto 2'!$B$8:$B$19,'Oferta Producto 2'!$E$8:$E$19))*$AD123)/$AB123)/24</f>
        <v>0</v>
      </c>
      <c r="Z123" s="35">
        <f ca="1">(((_xlfn.XLOOKUP(YEAR($B123),'Oferta Producto 2'!$B$8:$B$19,'Oferta Producto 2'!$E$8:$E$19))*$AD123)/$AB123)/24</f>
        <v>0</v>
      </c>
      <c r="AA123" s="35">
        <f t="shared" ca="1" si="9"/>
        <v>0</v>
      </c>
      <c r="AB123" s="28">
        <f t="shared" si="7"/>
        <v>31</v>
      </c>
      <c r="AC123" s="42">
        <f t="shared" ca="1" si="8"/>
        <v>0</v>
      </c>
      <c r="AD123" s="43">
        <v>8.3026652081237912E-2</v>
      </c>
      <c r="AE123" s="8"/>
      <c r="AF123" s="8"/>
    </row>
    <row r="124" spans="1:32" ht="15.75" thickBot="1">
      <c r="A124" s="23">
        <f t="shared" si="6"/>
        <v>2035</v>
      </c>
      <c r="B124" s="27">
        <v>49614</v>
      </c>
      <c r="C124" s="35">
        <f ca="1">(((_xlfn.XLOOKUP(YEAR($B124),'Oferta Producto 2'!$B$8:$B$19,'Oferta Producto 2'!$E$8:$E$19))*$AD124)/$AB124)/24</f>
        <v>0</v>
      </c>
      <c r="D124" s="35">
        <f ca="1">(((_xlfn.XLOOKUP(YEAR($B124),'Oferta Producto 2'!$B$8:$B$19,'Oferta Producto 2'!$E$8:$E$19))*$AD124)/$AB124)/24</f>
        <v>0</v>
      </c>
      <c r="E124" s="35">
        <f ca="1">(((_xlfn.XLOOKUP(YEAR($B124),'Oferta Producto 2'!$B$8:$B$19,'Oferta Producto 2'!$E$8:$E$19))*$AD124)/$AB124)/24</f>
        <v>0</v>
      </c>
      <c r="F124" s="35">
        <f ca="1">(((_xlfn.XLOOKUP(YEAR($B124),'Oferta Producto 2'!$B$8:$B$19,'Oferta Producto 2'!$E$8:$E$19))*$AD124)/$AB124)/24</f>
        <v>0</v>
      </c>
      <c r="G124" s="35">
        <f ca="1">(((_xlfn.XLOOKUP(YEAR($B124),'Oferta Producto 2'!$B$8:$B$19,'Oferta Producto 2'!$E$8:$E$19))*$AD124)/$AB124)/24</f>
        <v>0</v>
      </c>
      <c r="H124" s="35">
        <f ca="1">(((_xlfn.XLOOKUP(YEAR($B124),'Oferta Producto 2'!$B$8:$B$19,'Oferta Producto 2'!$E$8:$E$19))*$AD124)/$AB124)/24</f>
        <v>0</v>
      </c>
      <c r="I124" s="35">
        <f ca="1">(((_xlfn.XLOOKUP(YEAR($B124),'Oferta Producto 2'!$B$8:$B$19,'Oferta Producto 2'!$E$8:$E$19))*$AD124)/$AB124)/24</f>
        <v>0</v>
      </c>
      <c r="J124" s="35">
        <f ca="1">(((_xlfn.XLOOKUP(YEAR($B124),'Oferta Producto 2'!$B$8:$B$19,'Oferta Producto 2'!$E$8:$E$19))*$AD124)/$AB124)/24</f>
        <v>0</v>
      </c>
      <c r="K124" s="35">
        <f ca="1">(((_xlfn.XLOOKUP(YEAR($B124),'Oferta Producto 2'!$B$8:$B$19,'Oferta Producto 2'!$E$8:$E$19))*$AD124)/$AB124)/24</f>
        <v>0</v>
      </c>
      <c r="L124" s="35">
        <f ca="1">(((_xlfn.XLOOKUP(YEAR($B124),'Oferta Producto 2'!$B$8:$B$19,'Oferta Producto 2'!$E$8:$E$19))*$AD124)/$AB124)/24</f>
        <v>0</v>
      </c>
      <c r="M124" s="35">
        <f ca="1">(((_xlfn.XLOOKUP(YEAR($B124),'Oferta Producto 2'!$B$8:$B$19,'Oferta Producto 2'!$E$8:$E$19))*$AD124)/$AB124)/24</f>
        <v>0</v>
      </c>
      <c r="N124" s="35">
        <f ca="1">(((_xlfn.XLOOKUP(YEAR($B124),'Oferta Producto 2'!$B$8:$B$19,'Oferta Producto 2'!$E$8:$E$19))*$AD124)/$AB124)/24</f>
        <v>0</v>
      </c>
      <c r="O124" s="35">
        <f ca="1">(((_xlfn.XLOOKUP(YEAR($B124),'Oferta Producto 2'!$B$8:$B$19,'Oferta Producto 2'!$E$8:$E$19))*$AD124)/$AB124)/24</f>
        <v>0</v>
      </c>
      <c r="P124" s="35">
        <f ca="1">(((_xlfn.XLOOKUP(YEAR($B124),'Oferta Producto 2'!$B$8:$B$19,'Oferta Producto 2'!$E$8:$E$19))*$AD124)/$AB124)/24</f>
        <v>0</v>
      </c>
      <c r="Q124" s="35">
        <f ca="1">(((_xlfn.XLOOKUP(YEAR($B124),'Oferta Producto 2'!$B$8:$B$19,'Oferta Producto 2'!$E$8:$E$19))*$AD124)/$AB124)/24</f>
        <v>0</v>
      </c>
      <c r="R124" s="35">
        <f ca="1">(((_xlfn.XLOOKUP(YEAR($B124),'Oferta Producto 2'!$B$8:$B$19,'Oferta Producto 2'!$E$8:$E$19))*$AD124)/$AB124)/24</f>
        <v>0</v>
      </c>
      <c r="S124" s="35">
        <f ca="1">(((_xlfn.XLOOKUP(YEAR($B124),'Oferta Producto 2'!$B$8:$B$19,'Oferta Producto 2'!$E$8:$E$19))*$AD124)/$AB124)/24</f>
        <v>0</v>
      </c>
      <c r="T124" s="35">
        <f ca="1">(((_xlfn.XLOOKUP(YEAR($B124),'Oferta Producto 2'!$B$8:$B$19,'Oferta Producto 2'!$E$8:$E$19))*$AD124)/$AB124)/24</f>
        <v>0</v>
      </c>
      <c r="U124" s="35">
        <f ca="1">(((_xlfn.XLOOKUP(YEAR($B124),'Oferta Producto 2'!$B$8:$B$19,'Oferta Producto 2'!$E$8:$E$19))*$AD124)/$AB124)/24</f>
        <v>0</v>
      </c>
      <c r="V124" s="35">
        <f ca="1">(((_xlfn.XLOOKUP(YEAR($B124),'Oferta Producto 2'!$B$8:$B$19,'Oferta Producto 2'!$E$8:$E$19))*$AD124)/$AB124)/24</f>
        <v>0</v>
      </c>
      <c r="W124" s="35">
        <f ca="1">(((_xlfn.XLOOKUP(YEAR($B124),'Oferta Producto 2'!$B$8:$B$19,'Oferta Producto 2'!$E$8:$E$19))*$AD124)/$AB124)/24</f>
        <v>0</v>
      </c>
      <c r="X124" s="35">
        <f ca="1">(((_xlfn.XLOOKUP(YEAR($B124),'Oferta Producto 2'!$B$8:$B$19,'Oferta Producto 2'!$E$8:$E$19))*$AD124)/$AB124)/24</f>
        <v>0</v>
      </c>
      <c r="Y124" s="35">
        <f ca="1">(((_xlfn.XLOOKUP(YEAR($B124),'Oferta Producto 2'!$B$8:$B$19,'Oferta Producto 2'!$E$8:$E$19))*$AD124)/$AB124)/24</f>
        <v>0</v>
      </c>
      <c r="Z124" s="35">
        <f ca="1">(((_xlfn.XLOOKUP(YEAR($B124),'Oferta Producto 2'!$B$8:$B$19,'Oferta Producto 2'!$E$8:$E$19))*$AD124)/$AB124)/24</f>
        <v>0</v>
      </c>
      <c r="AA124" s="35">
        <f t="shared" ca="1" si="9"/>
        <v>0</v>
      </c>
      <c r="AB124" s="28">
        <f t="shared" si="7"/>
        <v>30</v>
      </c>
      <c r="AC124" s="42">
        <f t="shared" ca="1" si="8"/>
        <v>0</v>
      </c>
      <c r="AD124" s="43">
        <v>8.3552391370544321E-2</v>
      </c>
      <c r="AE124" s="8"/>
      <c r="AF124" s="8"/>
    </row>
    <row r="125" spans="1:32" ht="15.75" thickBot="1">
      <c r="A125" s="23">
        <f t="shared" si="6"/>
        <v>2035</v>
      </c>
      <c r="B125" s="27">
        <v>49644</v>
      </c>
      <c r="C125" s="35">
        <f ca="1">(((_xlfn.XLOOKUP(YEAR($B125),'Oferta Producto 2'!$B$8:$B$19,'Oferta Producto 2'!$E$8:$E$19))*$AD125)/$AB125)/24</f>
        <v>0</v>
      </c>
      <c r="D125" s="35">
        <f ca="1">(((_xlfn.XLOOKUP(YEAR($B125),'Oferta Producto 2'!$B$8:$B$19,'Oferta Producto 2'!$E$8:$E$19))*$AD125)/$AB125)/24</f>
        <v>0</v>
      </c>
      <c r="E125" s="35">
        <f ca="1">(((_xlfn.XLOOKUP(YEAR($B125),'Oferta Producto 2'!$B$8:$B$19,'Oferta Producto 2'!$E$8:$E$19))*$AD125)/$AB125)/24</f>
        <v>0</v>
      </c>
      <c r="F125" s="35">
        <f ca="1">(((_xlfn.XLOOKUP(YEAR($B125),'Oferta Producto 2'!$B$8:$B$19,'Oferta Producto 2'!$E$8:$E$19))*$AD125)/$AB125)/24</f>
        <v>0</v>
      </c>
      <c r="G125" s="35">
        <f ca="1">(((_xlfn.XLOOKUP(YEAR($B125),'Oferta Producto 2'!$B$8:$B$19,'Oferta Producto 2'!$E$8:$E$19))*$AD125)/$AB125)/24</f>
        <v>0</v>
      </c>
      <c r="H125" s="35">
        <f ca="1">(((_xlfn.XLOOKUP(YEAR($B125),'Oferta Producto 2'!$B$8:$B$19,'Oferta Producto 2'!$E$8:$E$19))*$AD125)/$AB125)/24</f>
        <v>0</v>
      </c>
      <c r="I125" s="35">
        <f ca="1">(((_xlfn.XLOOKUP(YEAR($B125),'Oferta Producto 2'!$B$8:$B$19,'Oferta Producto 2'!$E$8:$E$19))*$AD125)/$AB125)/24</f>
        <v>0</v>
      </c>
      <c r="J125" s="35">
        <f ca="1">(((_xlfn.XLOOKUP(YEAR($B125),'Oferta Producto 2'!$B$8:$B$19,'Oferta Producto 2'!$E$8:$E$19))*$AD125)/$AB125)/24</f>
        <v>0</v>
      </c>
      <c r="K125" s="35">
        <f ca="1">(((_xlfn.XLOOKUP(YEAR($B125),'Oferta Producto 2'!$B$8:$B$19,'Oferta Producto 2'!$E$8:$E$19))*$AD125)/$AB125)/24</f>
        <v>0</v>
      </c>
      <c r="L125" s="35">
        <f ca="1">(((_xlfn.XLOOKUP(YEAR($B125),'Oferta Producto 2'!$B$8:$B$19,'Oferta Producto 2'!$E$8:$E$19))*$AD125)/$AB125)/24</f>
        <v>0</v>
      </c>
      <c r="M125" s="35">
        <f ca="1">(((_xlfn.XLOOKUP(YEAR($B125),'Oferta Producto 2'!$B$8:$B$19,'Oferta Producto 2'!$E$8:$E$19))*$AD125)/$AB125)/24</f>
        <v>0</v>
      </c>
      <c r="N125" s="35">
        <f ca="1">(((_xlfn.XLOOKUP(YEAR($B125),'Oferta Producto 2'!$B$8:$B$19,'Oferta Producto 2'!$E$8:$E$19))*$AD125)/$AB125)/24</f>
        <v>0</v>
      </c>
      <c r="O125" s="35">
        <f ca="1">(((_xlfn.XLOOKUP(YEAR($B125),'Oferta Producto 2'!$B$8:$B$19,'Oferta Producto 2'!$E$8:$E$19))*$AD125)/$AB125)/24</f>
        <v>0</v>
      </c>
      <c r="P125" s="35">
        <f ca="1">(((_xlfn.XLOOKUP(YEAR($B125),'Oferta Producto 2'!$B$8:$B$19,'Oferta Producto 2'!$E$8:$E$19))*$AD125)/$AB125)/24</f>
        <v>0</v>
      </c>
      <c r="Q125" s="35">
        <f ca="1">(((_xlfn.XLOOKUP(YEAR($B125),'Oferta Producto 2'!$B$8:$B$19,'Oferta Producto 2'!$E$8:$E$19))*$AD125)/$AB125)/24</f>
        <v>0</v>
      </c>
      <c r="R125" s="35">
        <f ca="1">(((_xlfn.XLOOKUP(YEAR($B125),'Oferta Producto 2'!$B$8:$B$19,'Oferta Producto 2'!$E$8:$E$19))*$AD125)/$AB125)/24</f>
        <v>0</v>
      </c>
      <c r="S125" s="35">
        <f ca="1">(((_xlfn.XLOOKUP(YEAR($B125),'Oferta Producto 2'!$B$8:$B$19,'Oferta Producto 2'!$E$8:$E$19))*$AD125)/$AB125)/24</f>
        <v>0</v>
      </c>
      <c r="T125" s="35">
        <f ca="1">(((_xlfn.XLOOKUP(YEAR($B125),'Oferta Producto 2'!$B$8:$B$19,'Oferta Producto 2'!$E$8:$E$19))*$AD125)/$AB125)/24</f>
        <v>0</v>
      </c>
      <c r="U125" s="35">
        <f ca="1">(((_xlfn.XLOOKUP(YEAR($B125),'Oferta Producto 2'!$B$8:$B$19,'Oferta Producto 2'!$E$8:$E$19))*$AD125)/$AB125)/24</f>
        <v>0</v>
      </c>
      <c r="V125" s="35">
        <f ca="1">(((_xlfn.XLOOKUP(YEAR($B125),'Oferta Producto 2'!$B$8:$B$19,'Oferta Producto 2'!$E$8:$E$19))*$AD125)/$AB125)/24</f>
        <v>0</v>
      </c>
      <c r="W125" s="35">
        <f ca="1">(((_xlfn.XLOOKUP(YEAR($B125),'Oferta Producto 2'!$B$8:$B$19,'Oferta Producto 2'!$E$8:$E$19))*$AD125)/$AB125)/24</f>
        <v>0</v>
      </c>
      <c r="X125" s="35">
        <f ca="1">(((_xlfn.XLOOKUP(YEAR($B125),'Oferta Producto 2'!$B$8:$B$19,'Oferta Producto 2'!$E$8:$E$19))*$AD125)/$AB125)/24</f>
        <v>0</v>
      </c>
      <c r="Y125" s="35">
        <f ca="1">(((_xlfn.XLOOKUP(YEAR($B125),'Oferta Producto 2'!$B$8:$B$19,'Oferta Producto 2'!$E$8:$E$19))*$AD125)/$AB125)/24</f>
        <v>0</v>
      </c>
      <c r="Z125" s="35">
        <f ca="1">(((_xlfn.XLOOKUP(YEAR($B125),'Oferta Producto 2'!$B$8:$B$19,'Oferta Producto 2'!$E$8:$E$19))*$AD125)/$AB125)/24</f>
        <v>0</v>
      </c>
      <c r="AA125" s="35">
        <f t="shared" ca="1" si="9"/>
        <v>0</v>
      </c>
      <c r="AB125" s="28">
        <f t="shared" si="7"/>
        <v>31</v>
      </c>
      <c r="AC125" s="42">
        <f t="shared" ca="1" si="8"/>
        <v>0</v>
      </c>
      <c r="AD125" s="43">
        <v>8.3026652081237898E-2</v>
      </c>
      <c r="AE125" s="8"/>
      <c r="AF125" s="8"/>
    </row>
    <row r="126" spans="1:32" ht="15">
      <c r="B126" s="30" t="s">
        <v>45</v>
      </c>
      <c r="C126" s="31">
        <f t="shared" ref="C126:AC126" ca="1" si="10">+SUM(C6:C125)</f>
        <v>0</v>
      </c>
      <c r="D126" s="31">
        <f t="shared" ca="1" si="10"/>
        <v>0</v>
      </c>
      <c r="E126" s="31">
        <f t="shared" ca="1" si="10"/>
        <v>0</v>
      </c>
      <c r="F126" s="31">
        <f t="shared" ca="1" si="10"/>
        <v>0</v>
      </c>
      <c r="G126" s="31">
        <f t="shared" ca="1" si="10"/>
        <v>0</v>
      </c>
      <c r="H126" s="31">
        <f t="shared" ca="1" si="10"/>
        <v>0</v>
      </c>
      <c r="I126" s="31">
        <f t="shared" ca="1" si="10"/>
        <v>0</v>
      </c>
      <c r="J126" s="31">
        <f t="shared" ca="1" si="10"/>
        <v>0</v>
      </c>
      <c r="K126" s="31">
        <f t="shared" ca="1" si="10"/>
        <v>0</v>
      </c>
      <c r="L126" s="31">
        <f t="shared" ca="1" si="10"/>
        <v>0</v>
      </c>
      <c r="M126" s="31">
        <f t="shared" ca="1" si="10"/>
        <v>0</v>
      </c>
      <c r="N126" s="31">
        <f t="shared" ca="1" si="10"/>
        <v>0</v>
      </c>
      <c r="O126" s="31">
        <f t="shared" ca="1" si="10"/>
        <v>0</v>
      </c>
      <c r="P126" s="31">
        <f t="shared" ca="1" si="10"/>
        <v>0</v>
      </c>
      <c r="Q126" s="31">
        <f t="shared" ca="1" si="10"/>
        <v>0</v>
      </c>
      <c r="R126" s="31">
        <f t="shared" ca="1" si="10"/>
        <v>0</v>
      </c>
      <c r="S126" s="31">
        <f t="shared" ca="1" si="10"/>
        <v>0</v>
      </c>
      <c r="T126" s="31">
        <f t="shared" ca="1" si="10"/>
        <v>0</v>
      </c>
      <c r="U126" s="31">
        <f t="shared" ca="1" si="10"/>
        <v>0</v>
      </c>
      <c r="V126" s="31">
        <f t="shared" ca="1" si="10"/>
        <v>0</v>
      </c>
      <c r="W126" s="31">
        <f t="shared" ca="1" si="10"/>
        <v>0</v>
      </c>
      <c r="X126" s="31">
        <f t="shared" ca="1" si="10"/>
        <v>0</v>
      </c>
      <c r="Y126" s="31">
        <f t="shared" ca="1" si="10"/>
        <v>0</v>
      </c>
      <c r="Z126" s="31">
        <f t="shared" ca="1" si="10"/>
        <v>0</v>
      </c>
      <c r="AA126" s="31">
        <f t="shared" ca="1" si="10"/>
        <v>0</v>
      </c>
      <c r="AB126" s="32">
        <f t="shared" si="10"/>
        <v>3652</v>
      </c>
      <c r="AC126" s="33">
        <f t="shared" ca="1" si="10"/>
        <v>0</v>
      </c>
      <c r="AD126" s="37"/>
      <c r="AE126" s="8"/>
      <c r="AF126" s="8"/>
    </row>
  </sheetData>
  <mergeCells count="29">
    <mergeCell ref="B1:AC2"/>
    <mergeCell ref="B4:B5"/>
    <mergeCell ref="C4:C5"/>
    <mergeCell ref="D4:D5"/>
    <mergeCell ref="E4:E5"/>
    <mergeCell ref="F4:F5"/>
    <mergeCell ref="G4:G5"/>
    <mergeCell ref="H4:H5"/>
    <mergeCell ref="I4:I5"/>
    <mergeCell ref="J4:J5"/>
    <mergeCell ref="V4:V5"/>
    <mergeCell ref="K4:K5"/>
    <mergeCell ref="L4:L5"/>
    <mergeCell ref="M4:M5"/>
    <mergeCell ref="N4:N5"/>
    <mergeCell ref="O4:O5"/>
    <mergeCell ref="P4:P5"/>
    <mergeCell ref="Q4:Q5"/>
    <mergeCell ref="R4:R5"/>
    <mergeCell ref="S4:S5"/>
    <mergeCell ref="T4:T5"/>
    <mergeCell ref="U4:U5"/>
    <mergeCell ref="AD4:AD5"/>
    <mergeCell ref="W4:W5"/>
    <mergeCell ref="X4:X5"/>
    <mergeCell ref="Y4:Y5"/>
    <mergeCell ref="Z4:Z5"/>
    <mergeCell ref="AA4:AA5"/>
    <mergeCell ref="AC4:AC5"/>
  </mergeCells>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E063-339D-49FF-A69F-839BC52F6AE4}">
  <dimension ref="B3:K27"/>
  <sheetViews>
    <sheetView showGridLines="0" tabSelected="1" view="pageBreakPreview" topLeftCell="A15" zoomScaleNormal="100" zoomScaleSheetLayoutView="100" workbookViewId="0">
      <selection activeCell="B25" sqref="B25"/>
    </sheetView>
  </sheetViews>
  <sheetFormatPr baseColWidth="10" defaultColWidth="11.42578125" defaultRowHeight="15"/>
  <cols>
    <col min="1" max="1" width="7.7109375" customWidth="1"/>
    <col min="2" max="6" width="14.7109375" customWidth="1"/>
    <col min="7" max="7" width="16.85546875" customWidth="1"/>
    <col min="8" max="8" width="14.140625" bestFit="1" customWidth="1"/>
    <col min="10" max="10" width="13.140625" bestFit="1" customWidth="1"/>
  </cols>
  <sheetData>
    <row r="3" spans="2:11">
      <c r="B3" s="74" t="s">
        <v>50</v>
      </c>
      <c r="C3" s="74"/>
      <c r="D3" s="74"/>
      <c r="E3" s="74"/>
      <c r="F3" s="74"/>
      <c r="G3" s="1"/>
    </row>
    <row r="4" spans="2:11">
      <c r="B4" s="74" t="s">
        <v>51</v>
      </c>
      <c r="C4" s="74"/>
      <c r="D4" s="74"/>
      <c r="E4" s="74"/>
      <c r="F4" s="74"/>
      <c r="G4" s="1"/>
    </row>
    <row r="5" spans="2:11">
      <c r="B5" s="74" t="s">
        <v>2</v>
      </c>
      <c r="C5" s="74"/>
      <c r="D5" s="74"/>
      <c r="E5" s="74"/>
      <c r="F5" s="74"/>
      <c r="G5" s="1"/>
    </row>
    <row r="6" spans="2:11">
      <c r="B6" s="2"/>
      <c r="C6" s="2"/>
      <c r="D6" s="2"/>
      <c r="E6" s="2"/>
      <c r="F6" s="2"/>
      <c r="G6" s="2"/>
    </row>
    <row r="7" spans="2:11" ht="15.75" thickBot="1"/>
    <row r="8" spans="2:11" ht="15" customHeight="1">
      <c r="B8" s="75" t="s">
        <v>3</v>
      </c>
      <c r="C8" s="77" t="s">
        <v>4</v>
      </c>
      <c r="D8" s="77" t="s">
        <v>5</v>
      </c>
      <c r="E8" s="77" t="s">
        <v>6</v>
      </c>
      <c r="F8" s="79" t="s">
        <v>7</v>
      </c>
      <c r="G8" s="3"/>
    </row>
    <row r="9" spans="2:11" ht="23.1" customHeight="1">
      <c r="B9" s="76"/>
      <c r="C9" s="78"/>
      <c r="D9" s="78"/>
      <c r="E9" s="78"/>
      <c r="F9" s="80"/>
      <c r="G9" s="3"/>
    </row>
    <row r="10" spans="2:11" ht="15.75" thickBot="1">
      <c r="B10" s="20">
        <v>2026</v>
      </c>
      <c r="C10" s="4">
        <f ca="1">SUMIF('Curvas Prod 3'!A:AC,'Oferta Producto 3'!B10,'Curvas Prod 3'!AC:AC)</f>
        <v>36500000</v>
      </c>
      <c r="D10" s="63"/>
      <c r="E10" s="4">
        <f ca="1">ROUND(C10*D10,2)</f>
        <v>0</v>
      </c>
      <c r="F10" s="102"/>
      <c r="G10" s="5"/>
      <c r="H10" s="6"/>
      <c r="K10" s="17"/>
    </row>
    <row r="11" spans="2:11" ht="15.75" thickBot="1">
      <c r="B11" s="20">
        <v>2027</v>
      </c>
      <c r="C11" s="4">
        <f ca="1">SUMIF('Curvas Prod 3'!A:AC,'Oferta Producto 3'!B11,'Curvas Prod 3'!AC:AC)</f>
        <v>36500000</v>
      </c>
      <c r="D11" s="62"/>
      <c r="E11" s="4">
        <f ca="1">ROUND(C11*D11,2)</f>
        <v>0</v>
      </c>
      <c r="F11" s="103"/>
      <c r="G11" s="5"/>
      <c r="H11" s="6"/>
    </row>
    <row r="12" spans="2:11" ht="15.75" thickBot="1">
      <c r="B12" s="20">
        <v>2028</v>
      </c>
      <c r="C12" s="4">
        <f ca="1">SUMIF('Curvas Prod 3'!A:AC,'Oferta Producto 3'!B12,'Curvas Prod 3'!AC:AC)</f>
        <v>36600000</v>
      </c>
      <c r="D12" s="101"/>
      <c r="E12" s="4">
        <f ca="1">ROUND(C12*$D$12,2)</f>
        <v>0</v>
      </c>
      <c r="F12" s="103"/>
      <c r="G12" s="5"/>
      <c r="H12" s="18"/>
      <c r="I12" s="19"/>
    </row>
    <row r="13" spans="2:11" ht="15.75" thickBot="1">
      <c r="B13" s="20">
        <v>2029</v>
      </c>
      <c r="C13" s="4">
        <f ca="1">SUMIF('Curvas Prod 3'!A:AC,'Oferta Producto 3'!B13,'Curvas Prod 3'!AC:AC)</f>
        <v>36500000</v>
      </c>
      <c r="D13" s="101"/>
      <c r="E13" s="4">
        <f t="shared" ref="E13:E19" ca="1" si="0">ROUND(C13*$D$12,2)</f>
        <v>0</v>
      </c>
      <c r="F13" s="103"/>
      <c r="G13" s="5"/>
      <c r="H13" s="18"/>
      <c r="I13" s="19"/>
    </row>
    <row r="14" spans="2:11" ht="15.75" thickBot="1">
      <c r="B14" s="20">
        <v>2030</v>
      </c>
      <c r="C14" s="4">
        <f ca="1">SUMIF('Curvas Prod 3'!A:AC,'Oferta Producto 3'!B14,'Curvas Prod 3'!AC:AC)</f>
        <v>36500000</v>
      </c>
      <c r="D14" s="101"/>
      <c r="E14" s="4">
        <f t="shared" ca="1" si="0"/>
        <v>0</v>
      </c>
      <c r="F14" s="103"/>
      <c r="G14" s="5"/>
      <c r="H14" s="18"/>
      <c r="I14" s="19"/>
    </row>
    <row r="15" spans="2:11" ht="15.75" thickBot="1">
      <c r="B15" s="20">
        <v>2031</v>
      </c>
      <c r="C15" s="4">
        <f ca="1">SUMIF('Curvas Prod 3'!A:AC,'Oferta Producto 3'!B15,'Curvas Prod 3'!AC:AC)</f>
        <v>36500000</v>
      </c>
      <c r="D15" s="101"/>
      <c r="E15" s="4">
        <f t="shared" ca="1" si="0"/>
        <v>0</v>
      </c>
      <c r="F15" s="103"/>
      <c r="G15" s="5"/>
      <c r="H15" s="18"/>
      <c r="I15" s="60"/>
    </row>
    <row r="16" spans="2:11" ht="15.75" thickBot="1">
      <c r="B16" s="20">
        <v>2032</v>
      </c>
      <c r="C16" s="4">
        <f ca="1">SUMIF('Curvas Prod 3'!A:AC,'Oferta Producto 3'!B16,'Curvas Prod 3'!AC:AC)</f>
        <v>36600000</v>
      </c>
      <c r="D16" s="101"/>
      <c r="E16" s="4">
        <f t="shared" ca="1" si="0"/>
        <v>0</v>
      </c>
      <c r="F16" s="103"/>
      <c r="G16" s="5"/>
      <c r="H16" s="18"/>
      <c r="I16" s="19"/>
    </row>
    <row r="17" spans="2:10" ht="15.75" thickBot="1">
      <c r="B17" s="20">
        <v>2033</v>
      </c>
      <c r="C17" s="4">
        <f ca="1">SUMIF('Curvas Prod 3'!A:AC,'Oferta Producto 3'!B17,'Curvas Prod 3'!AC:AC)</f>
        <v>36500000</v>
      </c>
      <c r="D17" s="101"/>
      <c r="E17" s="4">
        <f t="shared" ca="1" si="0"/>
        <v>0</v>
      </c>
      <c r="F17" s="103"/>
      <c r="G17" s="5"/>
      <c r="H17" s="18"/>
      <c r="I17" s="19"/>
    </row>
    <row r="18" spans="2:10" ht="15.75" thickBot="1">
      <c r="B18" s="20">
        <v>2034</v>
      </c>
      <c r="C18" s="4">
        <f ca="1">SUMIF('Curvas Prod 3'!A:AC,'Oferta Producto 3'!B18,'Curvas Prod 3'!AC:AC)</f>
        <v>36500000</v>
      </c>
      <c r="D18" s="101"/>
      <c r="E18" s="4">
        <f t="shared" ca="1" si="0"/>
        <v>0</v>
      </c>
      <c r="F18" s="103"/>
      <c r="G18" s="5"/>
      <c r="H18" s="18"/>
      <c r="I18" s="19"/>
    </row>
    <row r="19" spans="2:10" ht="15.75" thickBot="1">
      <c r="B19" s="20">
        <v>2035</v>
      </c>
      <c r="C19" s="4">
        <f ca="1">SUMIF('Curvas Prod 3'!A:AC,'Oferta Producto 3'!B19,'Curvas Prod 3'!AC:AC)</f>
        <v>36500000</v>
      </c>
      <c r="D19" s="101"/>
      <c r="E19" s="4">
        <f t="shared" ca="1" si="0"/>
        <v>0</v>
      </c>
      <c r="F19" s="103"/>
      <c r="G19" s="5"/>
      <c r="H19" s="18"/>
      <c r="I19" s="19"/>
    </row>
    <row r="20" spans="2:10" ht="15.75" thickBot="1">
      <c r="B20" s="20">
        <v>2036</v>
      </c>
      <c r="C20" s="4">
        <f ca="1">SUMIF('Curvas Prod 3'!A:AC,'Oferta Producto 3'!B20,'Curvas Prod 3'!AC:AC)</f>
        <v>36600000</v>
      </c>
      <c r="D20" s="64"/>
      <c r="E20" s="4">
        <f ca="1">ROUND(C20*D20,2)</f>
        <v>0</v>
      </c>
      <c r="F20" s="103"/>
      <c r="G20" s="5"/>
      <c r="H20" s="18"/>
      <c r="I20" s="19"/>
    </row>
    <row r="21" spans="2:10" ht="15.75" thickBot="1">
      <c r="B21" s="65">
        <v>2037</v>
      </c>
      <c r="C21" s="66">
        <f ca="1">SUMIF('Curvas Prod 3'!A:AC,'Oferta Producto 3'!B21,'Curvas Prod 3'!AC:AC)</f>
        <v>36500000</v>
      </c>
      <c r="D21" s="67"/>
      <c r="E21" s="66">
        <f ca="1">ROUND(C21*D21,2)</f>
        <v>0</v>
      </c>
      <c r="F21" s="104"/>
      <c r="G21" s="5"/>
      <c r="H21" s="18"/>
      <c r="I21" s="19"/>
    </row>
    <row r="22" spans="2:10" ht="15.75" thickBot="1">
      <c r="B22" s="51" t="s">
        <v>8</v>
      </c>
      <c r="C22" s="52">
        <f ca="1">+SUM(C10:C19)</f>
        <v>365200000</v>
      </c>
      <c r="D22" s="36"/>
      <c r="E22" s="52">
        <f ca="1">SUM(E10:E19)</f>
        <v>0</v>
      </c>
      <c r="F22" s="50">
        <f>F10</f>
        <v>0</v>
      </c>
      <c r="G22" s="7"/>
      <c r="H22" s="8"/>
      <c r="J22" s="18"/>
    </row>
    <row r="23" spans="2:10">
      <c r="B23" s="9"/>
      <c r="C23" s="10"/>
      <c r="D23" s="11"/>
      <c r="E23" s="12"/>
      <c r="F23" s="13"/>
      <c r="G23" s="13"/>
      <c r="H23" s="8"/>
    </row>
    <row r="24" spans="2:10" ht="24.75" customHeight="1">
      <c r="B24" s="72" t="s">
        <v>52</v>
      </c>
      <c r="C24" s="72"/>
      <c r="D24" s="72"/>
      <c r="E24" s="72"/>
      <c r="F24" s="72"/>
      <c r="G24" s="13"/>
      <c r="H24" s="8"/>
    </row>
    <row r="25" spans="2:10">
      <c r="B25" s="14" t="s">
        <v>58</v>
      </c>
      <c r="C25" s="71"/>
      <c r="D25" s="71"/>
      <c r="E25" s="71"/>
      <c r="F25" s="71"/>
      <c r="G25" s="13"/>
      <c r="H25" s="8"/>
    </row>
    <row r="26" spans="2:10">
      <c r="B26" s="14" t="s">
        <v>53</v>
      </c>
      <c r="C26" s="10"/>
      <c r="D26" s="13"/>
      <c r="E26" s="12"/>
      <c r="F26" s="13"/>
      <c r="G26" s="13"/>
      <c r="H26" s="8"/>
    </row>
    <row r="27" spans="2:10">
      <c r="B27" s="14" t="s">
        <v>54</v>
      </c>
      <c r="C27" s="10"/>
      <c r="D27" s="13"/>
      <c r="E27" s="12"/>
      <c r="F27" s="13"/>
      <c r="G27" s="13"/>
      <c r="H27" s="8"/>
    </row>
  </sheetData>
  <mergeCells count="11">
    <mergeCell ref="B24:F24"/>
    <mergeCell ref="D12:D19"/>
    <mergeCell ref="F10:F21"/>
    <mergeCell ref="B3:F3"/>
    <mergeCell ref="B4:F4"/>
    <mergeCell ref="B5:F5"/>
    <mergeCell ref="B8:B9"/>
    <mergeCell ref="C8:C9"/>
    <mergeCell ref="D8:D9"/>
    <mergeCell ref="E8:E9"/>
    <mergeCell ref="F8:F9"/>
  </mergeCells>
  <printOptions horizontalCentered="1"/>
  <pageMargins left="0.70866141732283472" right="0.70866141732283472" top="0.74803149606299213" bottom="0.74803149606299213" header="0.31496062992125984" footer="0.31496062992125984"/>
  <pageSetup scale="8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5DE-BA4D-47A0-84B7-A4DE50D4B1D4}">
  <dimension ref="A1:AG152"/>
  <sheetViews>
    <sheetView showGridLines="0" zoomScale="85" zoomScaleNormal="85" workbookViewId="0">
      <pane xSplit="2" ySplit="7" topLeftCell="J8" activePane="bottomRight" state="frozen"/>
      <selection pane="topRight" activeCell="B1" sqref="B1"/>
      <selection pane="bottomLeft" activeCell="A6" sqref="A6"/>
      <selection pane="bottomRight" activeCell="P8" sqref="P8"/>
    </sheetView>
  </sheetViews>
  <sheetFormatPr baseColWidth="10" defaultColWidth="8" defaultRowHeight="9"/>
  <cols>
    <col min="1" max="1" width="4.5703125" style="23" customWidth="1"/>
    <col min="2" max="2" width="15.7109375" style="23" bestFit="1" customWidth="1"/>
    <col min="3" max="26" width="12.42578125" style="23" bestFit="1" customWidth="1"/>
    <col min="27" max="27" width="14.7109375" style="23" bestFit="1" customWidth="1"/>
    <col min="28" max="28" width="7.85546875" style="23" bestFit="1" customWidth="1"/>
    <col min="29" max="29" width="15" style="23" bestFit="1" customWidth="1"/>
    <col min="30" max="30" width="10.28515625" style="23" bestFit="1" customWidth="1"/>
    <col min="31" max="31" width="17.5703125" style="23" bestFit="1" customWidth="1"/>
    <col min="32" max="32" width="19" style="23" bestFit="1" customWidth="1"/>
    <col min="33" max="16384" width="8" style="23"/>
  </cols>
  <sheetData>
    <row r="1" spans="1:33">
      <c r="A1" s="23">
        <f>COLUMN()</f>
        <v>1</v>
      </c>
      <c r="B1" s="23">
        <f>COLUMN()</f>
        <v>2</v>
      </c>
      <c r="C1" s="23">
        <f>COLUMN()</f>
        <v>3</v>
      </c>
      <c r="D1" s="23">
        <f>COLUMN()</f>
        <v>4</v>
      </c>
      <c r="E1" s="23">
        <f>COLUMN()</f>
        <v>5</v>
      </c>
      <c r="F1" s="23">
        <f>COLUMN()</f>
        <v>6</v>
      </c>
      <c r="G1" s="23">
        <f>COLUMN()</f>
        <v>7</v>
      </c>
      <c r="H1" s="23">
        <f>COLUMN()</f>
        <v>8</v>
      </c>
      <c r="I1" s="23">
        <f>COLUMN()</f>
        <v>9</v>
      </c>
      <c r="J1" s="23">
        <f>COLUMN()</f>
        <v>10</v>
      </c>
      <c r="K1" s="23">
        <f>COLUMN()</f>
        <v>11</v>
      </c>
      <c r="L1" s="23">
        <f>COLUMN()</f>
        <v>12</v>
      </c>
      <c r="M1" s="23">
        <f>COLUMN()</f>
        <v>13</v>
      </c>
      <c r="N1" s="23">
        <f>COLUMN()</f>
        <v>14</v>
      </c>
      <c r="O1" s="23">
        <f>COLUMN()</f>
        <v>15</v>
      </c>
      <c r="P1" s="23">
        <f>COLUMN()</f>
        <v>16</v>
      </c>
      <c r="Q1" s="23">
        <f>COLUMN()</f>
        <v>17</v>
      </c>
      <c r="R1" s="23">
        <f>COLUMN()</f>
        <v>18</v>
      </c>
      <c r="S1" s="23">
        <f>COLUMN()</f>
        <v>19</v>
      </c>
      <c r="T1" s="23">
        <f>COLUMN()</f>
        <v>20</v>
      </c>
      <c r="U1" s="23">
        <f>COLUMN()</f>
        <v>21</v>
      </c>
      <c r="V1" s="23">
        <f>COLUMN()</f>
        <v>22</v>
      </c>
      <c r="W1" s="23">
        <f>COLUMN()</f>
        <v>23</v>
      </c>
      <c r="X1" s="23">
        <f>COLUMN()</f>
        <v>24</v>
      </c>
      <c r="Y1" s="23">
        <f>COLUMN()</f>
        <v>25</v>
      </c>
      <c r="Z1" s="23">
        <f>COLUMN()</f>
        <v>26</v>
      </c>
      <c r="AA1" s="23">
        <f>COLUMN()</f>
        <v>27</v>
      </c>
      <c r="AB1" s="23">
        <f>COLUMN()</f>
        <v>28</v>
      </c>
      <c r="AC1" s="23">
        <f>COLUMN()</f>
        <v>29</v>
      </c>
    </row>
    <row r="3" spans="1:33">
      <c r="B3" s="87" t="s">
        <v>55</v>
      </c>
      <c r="C3" s="88"/>
      <c r="D3" s="88"/>
      <c r="E3" s="88"/>
      <c r="F3" s="88"/>
      <c r="G3" s="88"/>
      <c r="H3" s="88"/>
      <c r="I3" s="88"/>
      <c r="J3" s="88"/>
      <c r="K3" s="88"/>
      <c r="L3" s="88"/>
      <c r="M3" s="88"/>
      <c r="N3" s="88"/>
      <c r="O3" s="88"/>
      <c r="P3" s="88"/>
      <c r="Q3" s="88"/>
      <c r="R3" s="88"/>
      <c r="S3" s="88"/>
      <c r="T3" s="88"/>
      <c r="U3" s="88"/>
      <c r="V3" s="88"/>
      <c r="W3" s="88"/>
      <c r="X3" s="88"/>
      <c r="Y3" s="88"/>
      <c r="Z3" s="88"/>
      <c r="AA3" s="88"/>
      <c r="AB3" s="88"/>
      <c r="AC3" s="89"/>
    </row>
    <row r="4" spans="1:33" ht="15">
      <c r="B4" s="90"/>
      <c r="C4" s="91"/>
      <c r="D4" s="91"/>
      <c r="E4" s="91"/>
      <c r="F4" s="91"/>
      <c r="G4" s="91"/>
      <c r="H4" s="91"/>
      <c r="I4" s="91"/>
      <c r="J4" s="91"/>
      <c r="K4" s="91"/>
      <c r="L4" s="91"/>
      <c r="M4" s="91"/>
      <c r="N4" s="91"/>
      <c r="O4" s="91"/>
      <c r="P4" s="91"/>
      <c r="Q4" s="91"/>
      <c r="R4" s="91"/>
      <c r="S4" s="91"/>
      <c r="T4" s="91"/>
      <c r="U4" s="91"/>
      <c r="V4" s="91"/>
      <c r="W4" s="91"/>
      <c r="X4" s="91"/>
      <c r="Y4" s="91"/>
      <c r="Z4" s="91"/>
      <c r="AA4" s="91"/>
      <c r="AB4" s="91"/>
      <c r="AC4" s="92"/>
      <c r="AE4"/>
      <c r="AF4"/>
      <c r="AG4"/>
    </row>
    <row r="5" spans="1:33" ht="15">
      <c r="C5" s="46">
        <v>0</v>
      </c>
      <c r="D5" s="46">
        <v>0</v>
      </c>
      <c r="E5" s="46">
        <v>0</v>
      </c>
      <c r="F5" s="46">
        <v>0</v>
      </c>
      <c r="G5" s="46">
        <v>0</v>
      </c>
      <c r="H5" s="46">
        <v>0</v>
      </c>
      <c r="I5" s="46">
        <v>0</v>
      </c>
      <c r="J5" s="46">
        <v>0</v>
      </c>
      <c r="K5" s="46">
        <v>8.2251751504185455E-2</v>
      </c>
      <c r="L5" s="46">
        <v>9.0581343505926629E-2</v>
      </c>
      <c r="M5" s="46">
        <v>9.9397224420285896E-2</v>
      </c>
      <c r="N5" s="46">
        <v>0.10310271469389617</v>
      </c>
      <c r="O5" s="46">
        <v>0.10414476616203402</v>
      </c>
      <c r="P5" s="46">
        <v>0.10552450127735256</v>
      </c>
      <c r="Q5" s="46">
        <v>0.10652898101122887</v>
      </c>
      <c r="R5" s="46">
        <v>0.10595708637272766</v>
      </c>
      <c r="S5" s="46">
        <v>0.10375342522607379</v>
      </c>
      <c r="T5" s="46">
        <v>9.8758205826288872E-2</v>
      </c>
      <c r="U5" s="46">
        <v>0</v>
      </c>
      <c r="V5" s="46">
        <v>0</v>
      </c>
      <c r="W5" s="46">
        <v>0</v>
      </c>
      <c r="X5" s="46">
        <v>0</v>
      </c>
      <c r="Y5" s="46">
        <v>0</v>
      </c>
      <c r="Z5" s="46">
        <v>0</v>
      </c>
      <c r="AC5" s="24"/>
      <c r="AE5"/>
      <c r="AF5"/>
      <c r="AG5"/>
    </row>
    <row r="6" spans="1:33" ht="15" customHeight="1">
      <c r="B6" s="86" t="s">
        <v>16</v>
      </c>
      <c r="C6" s="86" t="s">
        <v>17</v>
      </c>
      <c r="D6" s="86" t="s">
        <v>18</v>
      </c>
      <c r="E6" s="86" t="s">
        <v>19</v>
      </c>
      <c r="F6" s="86" t="s">
        <v>20</v>
      </c>
      <c r="G6" s="86" t="s">
        <v>21</v>
      </c>
      <c r="H6" s="86" t="s">
        <v>22</v>
      </c>
      <c r="I6" s="86" t="s">
        <v>23</v>
      </c>
      <c r="J6" s="86" t="s">
        <v>24</v>
      </c>
      <c r="K6" s="86" t="s">
        <v>25</v>
      </c>
      <c r="L6" s="86" t="s">
        <v>26</v>
      </c>
      <c r="M6" s="86" t="s">
        <v>27</v>
      </c>
      <c r="N6" s="86" t="s">
        <v>28</v>
      </c>
      <c r="O6" s="86" t="s">
        <v>29</v>
      </c>
      <c r="P6" s="86" t="s">
        <v>30</v>
      </c>
      <c r="Q6" s="86" t="s">
        <v>31</v>
      </c>
      <c r="R6" s="86" t="s">
        <v>32</v>
      </c>
      <c r="S6" s="86" t="s">
        <v>33</v>
      </c>
      <c r="T6" s="86" t="s">
        <v>34</v>
      </c>
      <c r="U6" s="86" t="s">
        <v>35</v>
      </c>
      <c r="V6" s="86" t="s">
        <v>36</v>
      </c>
      <c r="W6" s="86" t="s">
        <v>37</v>
      </c>
      <c r="X6" s="86" t="s">
        <v>38</v>
      </c>
      <c r="Y6" s="86" t="s">
        <v>39</v>
      </c>
      <c r="Z6" s="86" t="s">
        <v>40</v>
      </c>
      <c r="AA6" s="86" t="s">
        <v>41</v>
      </c>
      <c r="AB6" s="26" t="s">
        <v>42</v>
      </c>
      <c r="AC6" s="86" t="s">
        <v>43</v>
      </c>
      <c r="AE6"/>
      <c r="AF6"/>
      <c r="AG6"/>
    </row>
    <row r="7" spans="1:33" ht="15">
      <c r="B7" s="86"/>
      <c r="C7" s="86"/>
      <c r="D7" s="86"/>
      <c r="E7" s="86"/>
      <c r="F7" s="86"/>
      <c r="G7" s="86"/>
      <c r="H7" s="86"/>
      <c r="I7" s="86"/>
      <c r="J7" s="86"/>
      <c r="K7" s="86"/>
      <c r="L7" s="86"/>
      <c r="M7" s="86"/>
      <c r="N7" s="86"/>
      <c r="O7" s="86"/>
      <c r="P7" s="86"/>
      <c r="Q7" s="86"/>
      <c r="R7" s="86"/>
      <c r="S7" s="86"/>
      <c r="T7" s="86"/>
      <c r="U7" s="86"/>
      <c r="V7" s="86"/>
      <c r="W7" s="86"/>
      <c r="X7" s="86"/>
      <c r="Y7" s="86"/>
      <c r="Z7" s="86"/>
      <c r="AA7" s="86"/>
      <c r="AB7" s="26" t="s">
        <v>44</v>
      </c>
      <c r="AC7" s="86"/>
      <c r="AE7"/>
      <c r="AF7"/>
      <c r="AG7"/>
    </row>
    <row r="8" spans="1:33" ht="15">
      <c r="A8" s="23">
        <f>YEAR(B8)</f>
        <v>2026</v>
      </c>
      <c r="B8" s="27">
        <v>46023</v>
      </c>
      <c r="C8" s="35">
        <f>IF(AND(COLUMN()&gt;=11,COLUMN()&lt;=20),($AC8/$AB8)*C$5,0)</f>
        <v>0</v>
      </c>
      <c r="D8" s="35">
        <f t="shared" ref="D8:Z18" si="0">IF(AND(COLUMN()&gt;=11,COLUMN()&lt;=20),($AC8/$AB8)*D$5,0)</f>
        <v>0</v>
      </c>
      <c r="E8" s="35">
        <f t="shared" si="0"/>
        <v>0</v>
      </c>
      <c r="F8" s="35">
        <f t="shared" si="0"/>
        <v>0</v>
      </c>
      <c r="G8" s="35">
        <f t="shared" si="0"/>
        <v>0</v>
      </c>
      <c r="H8" s="35">
        <f t="shared" si="0"/>
        <v>0</v>
      </c>
      <c r="I8" s="35">
        <f t="shared" si="0"/>
        <v>0</v>
      </c>
      <c r="J8" s="35">
        <f t="shared" si="0"/>
        <v>0</v>
      </c>
      <c r="K8" s="35">
        <f t="shared" si="0"/>
        <v>8225.1751504185449</v>
      </c>
      <c r="L8" s="35">
        <f t="shared" si="0"/>
        <v>9058.1343505926634</v>
      </c>
      <c r="M8" s="35">
        <f t="shared" si="0"/>
        <v>9939.7224420285893</v>
      </c>
      <c r="N8" s="35">
        <f t="shared" si="0"/>
        <v>10310.271469389618</v>
      </c>
      <c r="O8" s="35">
        <f t="shared" si="0"/>
        <v>10414.476616203403</v>
      </c>
      <c r="P8" s="35">
        <f t="shared" si="0"/>
        <v>10552.450127735256</v>
      </c>
      <c r="Q8" s="35">
        <f t="shared" si="0"/>
        <v>10652.898101122888</v>
      </c>
      <c r="R8" s="35">
        <f t="shared" si="0"/>
        <v>10595.708637272766</v>
      </c>
      <c r="S8" s="35">
        <f t="shared" si="0"/>
        <v>10375.34252260738</v>
      </c>
      <c r="T8" s="35">
        <f t="shared" si="0"/>
        <v>9875.8205826288868</v>
      </c>
      <c r="U8" s="35">
        <f t="shared" si="0"/>
        <v>0</v>
      </c>
      <c r="V8" s="35">
        <f t="shared" si="0"/>
        <v>0</v>
      </c>
      <c r="W8" s="35">
        <f t="shared" si="0"/>
        <v>0</v>
      </c>
      <c r="X8" s="35">
        <f t="shared" si="0"/>
        <v>0</v>
      </c>
      <c r="Y8" s="35">
        <f t="shared" si="0"/>
        <v>0</v>
      </c>
      <c r="Z8" s="35">
        <f t="shared" si="0"/>
        <v>0</v>
      </c>
      <c r="AA8" s="35">
        <f>SUM(C8:Z8)</f>
        <v>99999.999999999985</v>
      </c>
      <c r="AB8" s="28">
        <f>DAY(EOMONTH(B8,0))</f>
        <v>31</v>
      </c>
      <c r="AC8" s="29">
        <f>100000*AB8</f>
        <v>3100000</v>
      </c>
      <c r="AD8" s="47"/>
      <c r="AE8" s="45"/>
      <c r="AF8"/>
      <c r="AG8"/>
    </row>
    <row r="9" spans="1:33" ht="15">
      <c r="A9" s="23">
        <f t="shared" ref="A9:A72" si="1">YEAR(B9)</f>
        <v>2026</v>
      </c>
      <c r="B9" s="27">
        <v>46054</v>
      </c>
      <c r="C9" s="35">
        <f t="shared" ref="C9:R34" si="2">IF(AND(COLUMN()&gt;=11,COLUMN()&lt;=20),($AC9/$AB9)*C$5,0)</f>
        <v>0</v>
      </c>
      <c r="D9" s="35">
        <f t="shared" si="0"/>
        <v>0</v>
      </c>
      <c r="E9" s="35">
        <f t="shared" si="0"/>
        <v>0</v>
      </c>
      <c r="F9" s="35">
        <f t="shared" si="0"/>
        <v>0</v>
      </c>
      <c r="G9" s="35">
        <f t="shared" si="0"/>
        <v>0</v>
      </c>
      <c r="H9" s="35">
        <f t="shared" si="0"/>
        <v>0</v>
      </c>
      <c r="I9" s="35">
        <f t="shared" si="0"/>
        <v>0</v>
      </c>
      <c r="J9" s="35">
        <f t="shared" si="0"/>
        <v>0</v>
      </c>
      <c r="K9" s="35">
        <f t="shared" si="0"/>
        <v>8225.1751504185449</v>
      </c>
      <c r="L9" s="35">
        <f t="shared" si="0"/>
        <v>9058.1343505926634</v>
      </c>
      <c r="M9" s="35">
        <f t="shared" si="0"/>
        <v>9939.7224420285893</v>
      </c>
      <c r="N9" s="35">
        <f t="shared" si="0"/>
        <v>10310.271469389618</v>
      </c>
      <c r="O9" s="35">
        <f t="shared" si="0"/>
        <v>10414.476616203403</v>
      </c>
      <c r="P9" s="35">
        <f t="shared" si="0"/>
        <v>10552.450127735256</v>
      </c>
      <c r="Q9" s="35">
        <f t="shared" si="0"/>
        <v>10652.898101122888</v>
      </c>
      <c r="R9" s="35">
        <f t="shared" si="0"/>
        <v>10595.708637272766</v>
      </c>
      <c r="S9" s="35">
        <f t="shared" si="0"/>
        <v>10375.34252260738</v>
      </c>
      <c r="T9" s="35">
        <f t="shared" si="0"/>
        <v>9875.8205826288868</v>
      </c>
      <c r="U9" s="35">
        <f t="shared" si="0"/>
        <v>0</v>
      </c>
      <c r="V9" s="35">
        <f t="shared" si="0"/>
        <v>0</v>
      </c>
      <c r="W9" s="35">
        <f t="shared" si="0"/>
        <v>0</v>
      </c>
      <c r="X9" s="35">
        <f t="shared" si="0"/>
        <v>0</v>
      </c>
      <c r="Y9" s="35">
        <f t="shared" si="0"/>
        <v>0</v>
      </c>
      <c r="Z9" s="35">
        <f t="shared" si="0"/>
        <v>0</v>
      </c>
      <c r="AA9" s="35">
        <f t="shared" ref="AA9:AA19" si="3">SUM(C9:Z9)</f>
        <v>99999.999999999985</v>
      </c>
      <c r="AB9" s="28">
        <f t="shared" ref="AB9:AB72" si="4">DAY(EOMONTH(B9,0))</f>
        <v>28</v>
      </c>
      <c r="AC9" s="29">
        <f t="shared" ref="AC9:AC72" si="5">100000*AB9</f>
        <v>2800000</v>
      </c>
      <c r="AD9" s="61"/>
      <c r="AE9" s="45"/>
      <c r="AF9"/>
      <c r="AG9"/>
    </row>
    <row r="10" spans="1:33" ht="15">
      <c r="A10" s="23">
        <f t="shared" si="1"/>
        <v>2026</v>
      </c>
      <c r="B10" s="27">
        <v>46082</v>
      </c>
      <c r="C10" s="35">
        <f t="shared" si="2"/>
        <v>0</v>
      </c>
      <c r="D10" s="35">
        <f t="shared" si="0"/>
        <v>0</v>
      </c>
      <c r="E10" s="35">
        <f t="shared" si="0"/>
        <v>0</v>
      </c>
      <c r="F10" s="35">
        <f t="shared" si="0"/>
        <v>0</v>
      </c>
      <c r="G10" s="35">
        <f t="shared" si="0"/>
        <v>0</v>
      </c>
      <c r="H10" s="35">
        <f t="shared" si="0"/>
        <v>0</v>
      </c>
      <c r="I10" s="35">
        <f t="shared" si="0"/>
        <v>0</v>
      </c>
      <c r="J10" s="35">
        <f t="shared" si="0"/>
        <v>0</v>
      </c>
      <c r="K10" s="35">
        <f>IF(AND(COLUMN()&gt;=11,COLUMN()&lt;=20),($AC10/$AB10)*K$5,0)</f>
        <v>8225.1751504185449</v>
      </c>
      <c r="L10" s="35">
        <f t="shared" si="0"/>
        <v>9058.1343505926634</v>
      </c>
      <c r="M10" s="35">
        <f t="shared" si="0"/>
        <v>9939.7224420285893</v>
      </c>
      <c r="N10" s="35">
        <f t="shared" si="0"/>
        <v>10310.271469389618</v>
      </c>
      <c r="O10" s="35">
        <f t="shared" si="0"/>
        <v>10414.476616203403</v>
      </c>
      <c r="P10" s="35">
        <f t="shared" si="0"/>
        <v>10552.450127735256</v>
      </c>
      <c r="Q10" s="35">
        <f t="shared" si="0"/>
        <v>10652.898101122888</v>
      </c>
      <c r="R10" s="35">
        <f t="shared" si="0"/>
        <v>10595.708637272766</v>
      </c>
      <c r="S10" s="35">
        <f t="shared" si="0"/>
        <v>10375.34252260738</v>
      </c>
      <c r="T10" s="35">
        <f t="shared" si="0"/>
        <v>9875.8205826288868</v>
      </c>
      <c r="U10" s="35">
        <f t="shared" si="0"/>
        <v>0</v>
      </c>
      <c r="V10" s="35">
        <f t="shared" si="0"/>
        <v>0</v>
      </c>
      <c r="W10" s="35">
        <f t="shared" si="0"/>
        <v>0</v>
      </c>
      <c r="X10" s="35">
        <f t="shared" si="0"/>
        <v>0</v>
      </c>
      <c r="Y10" s="35">
        <f t="shared" si="0"/>
        <v>0</v>
      </c>
      <c r="Z10" s="35">
        <f t="shared" si="0"/>
        <v>0</v>
      </c>
      <c r="AA10" s="35">
        <f t="shared" si="3"/>
        <v>99999.999999999985</v>
      </c>
      <c r="AB10" s="28">
        <f t="shared" si="4"/>
        <v>31</v>
      </c>
      <c r="AC10" s="29">
        <f t="shared" si="5"/>
        <v>3100000</v>
      </c>
      <c r="AD10" s="61"/>
      <c r="AE10" s="45"/>
      <c r="AF10"/>
      <c r="AG10"/>
    </row>
    <row r="11" spans="1:33" ht="15">
      <c r="A11" s="23">
        <f t="shared" si="1"/>
        <v>2026</v>
      </c>
      <c r="B11" s="27">
        <v>46113</v>
      </c>
      <c r="C11" s="35">
        <f t="shared" si="2"/>
        <v>0</v>
      </c>
      <c r="D11" s="35">
        <f t="shared" si="0"/>
        <v>0</v>
      </c>
      <c r="E11" s="35">
        <f t="shared" si="0"/>
        <v>0</v>
      </c>
      <c r="F11" s="35">
        <f t="shared" si="0"/>
        <v>0</v>
      </c>
      <c r="G11" s="35">
        <f t="shared" si="0"/>
        <v>0</v>
      </c>
      <c r="H11" s="35">
        <f t="shared" si="0"/>
        <v>0</v>
      </c>
      <c r="I11" s="35">
        <f t="shared" si="0"/>
        <v>0</v>
      </c>
      <c r="J11" s="35">
        <f t="shared" si="0"/>
        <v>0</v>
      </c>
      <c r="K11" s="35">
        <f t="shared" si="0"/>
        <v>8225.1751504185449</v>
      </c>
      <c r="L11" s="35">
        <f t="shared" si="0"/>
        <v>9058.1343505926634</v>
      </c>
      <c r="M11" s="35">
        <f t="shared" si="0"/>
        <v>9939.7224420285893</v>
      </c>
      <c r="N11" s="35">
        <f t="shared" si="0"/>
        <v>10310.271469389618</v>
      </c>
      <c r="O11" s="35">
        <f t="shared" si="0"/>
        <v>10414.476616203403</v>
      </c>
      <c r="P11" s="35">
        <f t="shared" si="0"/>
        <v>10552.450127735256</v>
      </c>
      <c r="Q11" s="35">
        <f t="shared" si="0"/>
        <v>10652.898101122888</v>
      </c>
      <c r="R11" s="35">
        <f t="shared" si="0"/>
        <v>10595.708637272766</v>
      </c>
      <c r="S11" s="35">
        <f t="shared" si="0"/>
        <v>10375.34252260738</v>
      </c>
      <c r="T11" s="35">
        <f t="shared" si="0"/>
        <v>9875.8205826288868</v>
      </c>
      <c r="U11" s="35">
        <f t="shared" si="0"/>
        <v>0</v>
      </c>
      <c r="V11" s="35">
        <f t="shared" si="0"/>
        <v>0</v>
      </c>
      <c r="W11" s="35">
        <f t="shared" si="0"/>
        <v>0</v>
      </c>
      <c r="X11" s="35">
        <f t="shared" si="0"/>
        <v>0</v>
      </c>
      <c r="Y11" s="35">
        <f t="shared" si="0"/>
        <v>0</v>
      </c>
      <c r="Z11" s="35">
        <f t="shared" si="0"/>
        <v>0</v>
      </c>
      <c r="AA11" s="35">
        <f t="shared" si="3"/>
        <v>99999.999999999985</v>
      </c>
      <c r="AB11" s="28">
        <f t="shared" si="4"/>
        <v>30</v>
      </c>
      <c r="AC11" s="29">
        <f t="shared" si="5"/>
        <v>3000000</v>
      </c>
      <c r="AD11" s="61"/>
      <c r="AE11" s="45"/>
      <c r="AF11"/>
      <c r="AG11"/>
    </row>
    <row r="12" spans="1:33" ht="15">
      <c r="A12" s="23">
        <f t="shared" si="1"/>
        <v>2026</v>
      </c>
      <c r="B12" s="27">
        <v>46143</v>
      </c>
      <c r="C12" s="35">
        <f t="shared" si="2"/>
        <v>0</v>
      </c>
      <c r="D12" s="35">
        <f t="shared" si="0"/>
        <v>0</v>
      </c>
      <c r="E12" s="35">
        <f t="shared" si="0"/>
        <v>0</v>
      </c>
      <c r="F12" s="35">
        <f t="shared" si="0"/>
        <v>0</v>
      </c>
      <c r="G12" s="35">
        <f t="shared" si="0"/>
        <v>0</v>
      </c>
      <c r="H12" s="35">
        <f t="shared" si="0"/>
        <v>0</v>
      </c>
      <c r="I12" s="35">
        <f t="shared" si="0"/>
        <v>0</v>
      </c>
      <c r="J12" s="35">
        <f t="shared" si="0"/>
        <v>0</v>
      </c>
      <c r="K12" s="35">
        <f t="shared" si="0"/>
        <v>8225.1751504185449</v>
      </c>
      <c r="L12" s="35">
        <f t="shared" si="0"/>
        <v>9058.1343505926634</v>
      </c>
      <c r="M12" s="35">
        <f t="shared" si="0"/>
        <v>9939.7224420285893</v>
      </c>
      <c r="N12" s="35">
        <f t="shared" si="0"/>
        <v>10310.271469389618</v>
      </c>
      <c r="O12" s="35">
        <f t="shared" si="0"/>
        <v>10414.476616203403</v>
      </c>
      <c r="P12" s="35">
        <f t="shared" si="0"/>
        <v>10552.450127735256</v>
      </c>
      <c r="Q12" s="35">
        <f t="shared" si="0"/>
        <v>10652.898101122888</v>
      </c>
      <c r="R12" s="35">
        <f t="shared" si="0"/>
        <v>10595.708637272766</v>
      </c>
      <c r="S12" s="35">
        <f t="shared" si="0"/>
        <v>10375.34252260738</v>
      </c>
      <c r="T12" s="35">
        <f t="shared" si="0"/>
        <v>9875.8205826288868</v>
      </c>
      <c r="U12" s="35">
        <f t="shared" si="0"/>
        <v>0</v>
      </c>
      <c r="V12" s="35">
        <f t="shared" si="0"/>
        <v>0</v>
      </c>
      <c r="W12" s="35">
        <f t="shared" si="0"/>
        <v>0</v>
      </c>
      <c r="X12" s="35">
        <f t="shared" si="0"/>
        <v>0</v>
      </c>
      <c r="Y12" s="35">
        <f t="shared" si="0"/>
        <v>0</v>
      </c>
      <c r="Z12" s="35">
        <f t="shared" si="0"/>
        <v>0</v>
      </c>
      <c r="AA12" s="35">
        <f t="shared" si="3"/>
        <v>99999.999999999985</v>
      </c>
      <c r="AB12" s="28">
        <f t="shared" si="4"/>
        <v>31</v>
      </c>
      <c r="AC12" s="29">
        <f t="shared" si="5"/>
        <v>3100000</v>
      </c>
      <c r="AD12" s="61"/>
      <c r="AE12" s="45"/>
      <c r="AF12"/>
      <c r="AG12"/>
    </row>
    <row r="13" spans="1:33" ht="15">
      <c r="A13" s="23">
        <f t="shared" si="1"/>
        <v>2026</v>
      </c>
      <c r="B13" s="27">
        <v>46174</v>
      </c>
      <c r="C13" s="35">
        <f t="shared" si="2"/>
        <v>0</v>
      </c>
      <c r="D13" s="35">
        <f t="shared" si="0"/>
        <v>0</v>
      </c>
      <c r="E13" s="35">
        <f t="shared" si="0"/>
        <v>0</v>
      </c>
      <c r="F13" s="35">
        <f t="shared" si="0"/>
        <v>0</v>
      </c>
      <c r="G13" s="35">
        <f t="shared" si="0"/>
        <v>0</v>
      </c>
      <c r="H13" s="35">
        <f t="shared" si="0"/>
        <v>0</v>
      </c>
      <c r="I13" s="35">
        <f t="shared" si="0"/>
        <v>0</v>
      </c>
      <c r="J13" s="35">
        <f t="shared" si="0"/>
        <v>0</v>
      </c>
      <c r="K13" s="35">
        <f t="shared" si="0"/>
        <v>8225.1751504185449</v>
      </c>
      <c r="L13" s="35">
        <f t="shared" si="0"/>
        <v>9058.1343505926634</v>
      </c>
      <c r="M13" s="35">
        <f t="shared" si="0"/>
        <v>9939.7224420285893</v>
      </c>
      <c r="N13" s="35">
        <f t="shared" si="0"/>
        <v>10310.271469389618</v>
      </c>
      <c r="O13" s="35">
        <f t="shared" si="0"/>
        <v>10414.476616203403</v>
      </c>
      <c r="P13" s="35">
        <f t="shared" si="0"/>
        <v>10552.450127735256</v>
      </c>
      <c r="Q13" s="35">
        <f t="shared" si="0"/>
        <v>10652.898101122888</v>
      </c>
      <c r="R13" s="35">
        <f t="shared" si="0"/>
        <v>10595.708637272766</v>
      </c>
      <c r="S13" s="35">
        <f t="shared" si="0"/>
        <v>10375.34252260738</v>
      </c>
      <c r="T13" s="35">
        <f t="shared" si="0"/>
        <v>9875.8205826288868</v>
      </c>
      <c r="U13" s="35">
        <f t="shared" si="0"/>
        <v>0</v>
      </c>
      <c r="V13" s="35">
        <f t="shared" si="0"/>
        <v>0</v>
      </c>
      <c r="W13" s="35">
        <f t="shared" si="0"/>
        <v>0</v>
      </c>
      <c r="X13" s="35">
        <f t="shared" si="0"/>
        <v>0</v>
      </c>
      <c r="Y13" s="35">
        <f t="shared" si="0"/>
        <v>0</v>
      </c>
      <c r="Z13" s="35">
        <f t="shared" si="0"/>
        <v>0</v>
      </c>
      <c r="AA13" s="35">
        <f t="shared" si="3"/>
        <v>99999.999999999985</v>
      </c>
      <c r="AB13" s="28">
        <f t="shared" si="4"/>
        <v>30</v>
      </c>
      <c r="AC13" s="29">
        <f t="shared" si="5"/>
        <v>3000000</v>
      </c>
      <c r="AD13" s="61"/>
      <c r="AE13" s="45"/>
      <c r="AF13"/>
      <c r="AG13"/>
    </row>
    <row r="14" spans="1:33" ht="15">
      <c r="A14" s="23">
        <f t="shared" si="1"/>
        <v>2026</v>
      </c>
      <c r="B14" s="27">
        <v>46204</v>
      </c>
      <c r="C14" s="35">
        <f t="shared" si="2"/>
        <v>0</v>
      </c>
      <c r="D14" s="35">
        <f t="shared" si="0"/>
        <v>0</v>
      </c>
      <c r="E14" s="35">
        <f t="shared" si="0"/>
        <v>0</v>
      </c>
      <c r="F14" s="35">
        <f t="shared" si="0"/>
        <v>0</v>
      </c>
      <c r="G14" s="35">
        <f t="shared" si="0"/>
        <v>0</v>
      </c>
      <c r="H14" s="35">
        <f t="shared" si="0"/>
        <v>0</v>
      </c>
      <c r="I14" s="35">
        <f t="shared" si="0"/>
        <v>0</v>
      </c>
      <c r="J14" s="35">
        <f t="shared" si="0"/>
        <v>0</v>
      </c>
      <c r="K14" s="35">
        <f t="shared" si="0"/>
        <v>8225.1751504185449</v>
      </c>
      <c r="L14" s="35">
        <f t="shared" si="0"/>
        <v>9058.1343505926634</v>
      </c>
      <c r="M14" s="35">
        <f t="shared" si="0"/>
        <v>9939.7224420285893</v>
      </c>
      <c r="N14" s="35">
        <f t="shared" si="0"/>
        <v>10310.271469389618</v>
      </c>
      <c r="O14" s="35">
        <f t="shared" si="0"/>
        <v>10414.476616203403</v>
      </c>
      <c r="P14" s="35">
        <f t="shared" si="0"/>
        <v>10552.450127735256</v>
      </c>
      <c r="Q14" s="35">
        <f t="shared" si="0"/>
        <v>10652.898101122888</v>
      </c>
      <c r="R14" s="35">
        <f t="shared" si="0"/>
        <v>10595.708637272766</v>
      </c>
      <c r="S14" s="35">
        <f t="shared" si="0"/>
        <v>10375.34252260738</v>
      </c>
      <c r="T14" s="35">
        <f t="shared" si="0"/>
        <v>9875.8205826288868</v>
      </c>
      <c r="U14" s="35">
        <f t="shared" si="0"/>
        <v>0</v>
      </c>
      <c r="V14" s="35">
        <f t="shared" si="0"/>
        <v>0</v>
      </c>
      <c r="W14" s="35">
        <f t="shared" si="0"/>
        <v>0</v>
      </c>
      <c r="X14" s="35">
        <f t="shared" si="0"/>
        <v>0</v>
      </c>
      <c r="Y14" s="35">
        <f t="shared" si="0"/>
        <v>0</v>
      </c>
      <c r="Z14" s="35">
        <f t="shared" si="0"/>
        <v>0</v>
      </c>
      <c r="AA14" s="35">
        <f t="shared" si="3"/>
        <v>99999.999999999985</v>
      </c>
      <c r="AB14" s="28">
        <f t="shared" si="4"/>
        <v>31</v>
      </c>
      <c r="AC14" s="29">
        <f t="shared" si="5"/>
        <v>3100000</v>
      </c>
      <c r="AD14" s="61"/>
      <c r="AE14" s="45"/>
      <c r="AF14"/>
      <c r="AG14"/>
    </row>
    <row r="15" spans="1:33" ht="15">
      <c r="A15" s="23">
        <f t="shared" si="1"/>
        <v>2026</v>
      </c>
      <c r="B15" s="27">
        <v>46235</v>
      </c>
      <c r="C15" s="35">
        <f t="shared" si="2"/>
        <v>0</v>
      </c>
      <c r="D15" s="35">
        <f t="shared" si="0"/>
        <v>0</v>
      </c>
      <c r="E15" s="35">
        <f t="shared" si="0"/>
        <v>0</v>
      </c>
      <c r="F15" s="35">
        <f t="shared" si="0"/>
        <v>0</v>
      </c>
      <c r="G15" s="35">
        <f t="shared" si="0"/>
        <v>0</v>
      </c>
      <c r="H15" s="35">
        <f t="shared" si="0"/>
        <v>0</v>
      </c>
      <c r="I15" s="35">
        <f t="shared" si="0"/>
        <v>0</v>
      </c>
      <c r="J15" s="35">
        <f t="shared" si="0"/>
        <v>0</v>
      </c>
      <c r="K15" s="35">
        <f t="shared" si="0"/>
        <v>8225.1751504185449</v>
      </c>
      <c r="L15" s="35">
        <f t="shared" si="0"/>
        <v>9058.1343505926634</v>
      </c>
      <c r="M15" s="35">
        <f t="shared" si="0"/>
        <v>9939.7224420285893</v>
      </c>
      <c r="N15" s="35">
        <f t="shared" si="0"/>
        <v>10310.271469389618</v>
      </c>
      <c r="O15" s="35">
        <f t="shared" si="0"/>
        <v>10414.476616203403</v>
      </c>
      <c r="P15" s="35">
        <f t="shared" si="0"/>
        <v>10552.450127735256</v>
      </c>
      <c r="Q15" s="35">
        <f t="shared" si="0"/>
        <v>10652.898101122888</v>
      </c>
      <c r="R15" s="35">
        <f t="shared" si="0"/>
        <v>10595.708637272766</v>
      </c>
      <c r="S15" s="35">
        <f t="shared" si="0"/>
        <v>10375.34252260738</v>
      </c>
      <c r="T15" s="35">
        <f t="shared" si="0"/>
        <v>9875.8205826288868</v>
      </c>
      <c r="U15" s="35">
        <f t="shared" si="0"/>
        <v>0</v>
      </c>
      <c r="V15" s="35">
        <f t="shared" si="0"/>
        <v>0</v>
      </c>
      <c r="W15" s="35">
        <f t="shared" si="0"/>
        <v>0</v>
      </c>
      <c r="X15" s="35">
        <f t="shared" si="0"/>
        <v>0</v>
      </c>
      <c r="Y15" s="35">
        <f t="shared" si="0"/>
        <v>0</v>
      </c>
      <c r="Z15" s="35">
        <f t="shared" si="0"/>
        <v>0</v>
      </c>
      <c r="AA15" s="35">
        <f t="shared" si="3"/>
        <v>99999.999999999985</v>
      </c>
      <c r="AB15" s="28">
        <f t="shared" si="4"/>
        <v>31</v>
      </c>
      <c r="AC15" s="29">
        <f t="shared" si="5"/>
        <v>3100000</v>
      </c>
      <c r="AD15" s="61"/>
      <c r="AE15" s="45"/>
      <c r="AF15"/>
      <c r="AG15"/>
    </row>
    <row r="16" spans="1:33" ht="15">
      <c r="A16" s="23">
        <f t="shared" si="1"/>
        <v>2026</v>
      </c>
      <c r="B16" s="27">
        <v>46266</v>
      </c>
      <c r="C16" s="35">
        <f t="shared" si="2"/>
        <v>0</v>
      </c>
      <c r="D16" s="35">
        <f t="shared" si="0"/>
        <v>0</v>
      </c>
      <c r="E16" s="35">
        <f t="shared" si="0"/>
        <v>0</v>
      </c>
      <c r="F16" s="35">
        <f t="shared" si="0"/>
        <v>0</v>
      </c>
      <c r="G16" s="35">
        <f t="shared" si="0"/>
        <v>0</v>
      </c>
      <c r="H16" s="35">
        <f t="shared" si="0"/>
        <v>0</v>
      </c>
      <c r="I16" s="35">
        <f t="shared" si="0"/>
        <v>0</v>
      </c>
      <c r="J16" s="35">
        <f t="shared" si="0"/>
        <v>0</v>
      </c>
      <c r="K16" s="35">
        <f t="shared" si="0"/>
        <v>8225.1751504185449</v>
      </c>
      <c r="L16" s="35">
        <f t="shared" si="0"/>
        <v>9058.1343505926634</v>
      </c>
      <c r="M16" s="35">
        <f t="shared" si="0"/>
        <v>9939.7224420285893</v>
      </c>
      <c r="N16" s="35">
        <f t="shared" si="0"/>
        <v>10310.271469389618</v>
      </c>
      <c r="O16" s="35">
        <f t="shared" si="0"/>
        <v>10414.476616203403</v>
      </c>
      <c r="P16" s="35">
        <f t="shared" si="0"/>
        <v>10552.450127735256</v>
      </c>
      <c r="Q16" s="35">
        <f t="shared" si="0"/>
        <v>10652.898101122888</v>
      </c>
      <c r="R16" s="35">
        <f t="shared" si="0"/>
        <v>10595.708637272766</v>
      </c>
      <c r="S16" s="35">
        <f t="shared" si="0"/>
        <v>10375.34252260738</v>
      </c>
      <c r="T16" s="35">
        <f t="shared" si="0"/>
        <v>9875.8205826288868</v>
      </c>
      <c r="U16" s="35">
        <f t="shared" si="0"/>
        <v>0</v>
      </c>
      <c r="V16" s="35">
        <f t="shared" si="0"/>
        <v>0</v>
      </c>
      <c r="W16" s="35">
        <f t="shared" si="0"/>
        <v>0</v>
      </c>
      <c r="X16" s="35">
        <f t="shared" si="0"/>
        <v>0</v>
      </c>
      <c r="Y16" s="35">
        <f t="shared" si="0"/>
        <v>0</v>
      </c>
      <c r="Z16" s="35">
        <f t="shared" si="0"/>
        <v>0</v>
      </c>
      <c r="AA16" s="35">
        <f t="shared" si="3"/>
        <v>99999.999999999985</v>
      </c>
      <c r="AB16" s="28">
        <f t="shared" si="4"/>
        <v>30</v>
      </c>
      <c r="AC16" s="29">
        <f t="shared" si="5"/>
        <v>3000000</v>
      </c>
      <c r="AD16" s="61"/>
      <c r="AE16" s="45"/>
      <c r="AF16"/>
      <c r="AG16"/>
    </row>
    <row r="17" spans="1:33" ht="15">
      <c r="A17" s="23">
        <f t="shared" si="1"/>
        <v>2026</v>
      </c>
      <c r="B17" s="27">
        <v>46296</v>
      </c>
      <c r="C17" s="35">
        <f t="shared" si="2"/>
        <v>0</v>
      </c>
      <c r="D17" s="35">
        <f t="shared" si="0"/>
        <v>0</v>
      </c>
      <c r="E17" s="35">
        <f t="shared" si="0"/>
        <v>0</v>
      </c>
      <c r="F17" s="35">
        <f t="shared" si="0"/>
        <v>0</v>
      </c>
      <c r="G17" s="35">
        <f t="shared" si="0"/>
        <v>0</v>
      </c>
      <c r="H17" s="35">
        <f t="shared" si="0"/>
        <v>0</v>
      </c>
      <c r="I17" s="35">
        <f t="shared" si="0"/>
        <v>0</v>
      </c>
      <c r="J17" s="35">
        <f t="shared" si="0"/>
        <v>0</v>
      </c>
      <c r="K17" s="35">
        <f t="shared" si="0"/>
        <v>8225.1751504185449</v>
      </c>
      <c r="L17" s="35">
        <f t="shared" si="0"/>
        <v>9058.1343505926634</v>
      </c>
      <c r="M17" s="35">
        <f t="shared" si="0"/>
        <v>9939.7224420285893</v>
      </c>
      <c r="N17" s="35">
        <f t="shared" si="0"/>
        <v>10310.271469389618</v>
      </c>
      <c r="O17" s="35">
        <f t="shared" si="0"/>
        <v>10414.476616203403</v>
      </c>
      <c r="P17" s="35">
        <f t="shared" si="0"/>
        <v>10552.450127735256</v>
      </c>
      <c r="Q17" s="35">
        <f t="shared" si="0"/>
        <v>10652.898101122888</v>
      </c>
      <c r="R17" s="35">
        <f t="shared" si="0"/>
        <v>10595.708637272766</v>
      </c>
      <c r="S17" s="35">
        <f t="shared" si="0"/>
        <v>10375.34252260738</v>
      </c>
      <c r="T17" s="35">
        <f t="shared" si="0"/>
        <v>9875.8205826288868</v>
      </c>
      <c r="U17" s="35">
        <f t="shared" si="0"/>
        <v>0</v>
      </c>
      <c r="V17" s="35">
        <f t="shared" si="0"/>
        <v>0</v>
      </c>
      <c r="W17" s="35">
        <f t="shared" si="0"/>
        <v>0</v>
      </c>
      <c r="X17" s="35">
        <f t="shared" si="0"/>
        <v>0</v>
      </c>
      <c r="Y17" s="35">
        <f t="shared" si="0"/>
        <v>0</v>
      </c>
      <c r="Z17" s="35">
        <f t="shared" si="0"/>
        <v>0</v>
      </c>
      <c r="AA17" s="35">
        <f t="shared" si="3"/>
        <v>99999.999999999985</v>
      </c>
      <c r="AB17" s="28">
        <f t="shared" si="4"/>
        <v>31</v>
      </c>
      <c r="AC17" s="29">
        <f t="shared" si="5"/>
        <v>3100000</v>
      </c>
      <c r="AD17" s="61"/>
      <c r="AE17" s="45"/>
      <c r="AF17"/>
      <c r="AG17"/>
    </row>
    <row r="18" spans="1:33" ht="15">
      <c r="A18" s="23">
        <f t="shared" si="1"/>
        <v>2026</v>
      </c>
      <c r="B18" s="27">
        <v>46327</v>
      </c>
      <c r="C18" s="35">
        <f t="shared" si="2"/>
        <v>0</v>
      </c>
      <c r="D18" s="35">
        <f t="shared" si="0"/>
        <v>0</v>
      </c>
      <c r="E18" s="35">
        <f t="shared" si="0"/>
        <v>0</v>
      </c>
      <c r="F18" s="35">
        <f t="shared" ref="F18:U33" si="6">IF(AND(COLUMN()&gt;=11,COLUMN()&lt;=20),($AC18/$AB18)*F$5,0)</f>
        <v>0</v>
      </c>
      <c r="G18" s="35">
        <f t="shared" si="6"/>
        <v>0</v>
      </c>
      <c r="H18" s="35">
        <f t="shared" si="6"/>
        <v>0</v>
      </c>
      <c r="I18" s="35">
        <f t="shared" si="6"/>
        <v>0</v>
      </c>
      <c r="J18" s="35">
        <f t="shared" si="6"/>
        <v>0</v>
      </c>
      <c r="K18" s="35">
        <f t="shared" si="6"/>
        <v>8225.1751504185449</v>
      </c>
      <c r="L18" s="35">
        <f t="shared" si="6"/>
        <v>9058.1343505926634</v>
      </c>
      <c r="M18" s="35">
        <f t="shared" si="6"/>
        <v>9939.7224420285893</v>
      </c>
      <c r="N18" s="35">
        <f t="shared" si="6"/>
        <v>10310.271469389618</v>
      </c>
      <c r="O18" s="35">
        <f t="shared" si="6"/>
        <v>10414.476616203403</v>
      </c>
      <c r="P18" s="35">
        <f t="shared" si="6"/>
        <v>10552.450127735256</v>
      </c>
      <c r="Q18" s="35">
        <f t="shared" si="6"/>
        <v>10652.898101122888</v>
      </c>
      <c r="R18" s="35">
        <f t="shared" si="6"/>
        <v>10595.708637272766</v>
      </c>
      <c r="S18" s="35">
        <f t="shared" si="6"/>
        <v>10375.34252260738</v>
      </c>
      <c r="T18" s="35">
        <f t="shared" si="6"/>
        <v>9875.8205826288868</v>
      </c>
      <c r="U18" s="35">
        <f t="shared" si="6"/>
        <v>0</v>
      </c>
      <c r="V18" s="35">
        <f t="shared" ref="V18:Z49" si="7">IF(AND(COLUMN()&gt;=11,COLUMN()&lt;=20),($AC18/$AB18)*V$5,0)</f>
        <v>0</v>
      </c>
      <c r="W18" s="35">
        <f t="shared" si="7"/>
        <v>0</v>
      </c>
      <c r="X18" s="35">
        <f t="shared" si="7"/>
        <v>0</v>
      </c>
      <c r="Y18" s="35">
        <f t="shared" si="7"/>
        <v>0</v>
      </c>
      <c r="Z18" s="35">
        <f t="shared" si="7"/>
        <v>0</v>
      </c>
      <c r="AA18" s="35">
        <f t="shared" si="3"/>
        <v>99999.999999999985</v>
      </c>
      <c r="AB18" s="28">
        <f t="shared" si="4"/>
        <v>30</v>
      </c>
      <c r="AC18" s="29">
        <f t="shared" si="5"/>
        <v>3000000</v>
      </c>
      <c r="AD18" s="61"/>
      <c r="AE18" s="45"/>
      <c r="AF18"/>
      <c r="AG18"/>
    </row>
    <row r="19" spans="1:33" ht="15">
      <c r="A19" s="23">
        <f t="shared" si="1"/>
        <v>2026</v>
      </c>
      <c r="B19" s="27">
        <v>46357</v>
      </c>
      <c r="C19" s="35">
        <f t="shared" si="2"/>
        <v>0</v>
      </c>
      <c r="D19" s="35">
        <f t="shared" si="2"/>
        <v>0</v>
      </c>
      <c r="E19" s="35">
        <f t="shared" si="2"/>
        <v>0</v>
      </c>
      <c r="F19" s="35">
        <f t="shared" si="2"/>
        <v>0</v>
      </c>
      <c r="G19" s="35">
        <f t="shared" si="2"/>
        <v>0</v>
      </c>
      <c r="H19" s="35">
        <f t="shared" si="2"/>
        <v>0</v>
      </c>
      <c r="I19" s="35">
        <f t="shared" si="2"/>
        <v>0</v>
      </c>
      <c r="J19" s="35">
        <f t="shared" si="2"/>
        <v>0</v>
      </c>
      <c r="K19" s="35">
        <f t="shared" si="2"/>
        <v>8225.1751504185449</v>
      </c>
      <c r="L19" s="35">
        <f t="shared" si="2"/>
        <v>9058.1343505926634</v>
      </c>
      <c r="M19" s="35">
        <f t="shared" si="2"/>
        <v>9939.7224420285893</v>
      </c>
      <c r="N19" s="35">
        <f t="shared" si="2"/>
        <v>10310.271469389618</v>
      </c>
      <c r="O19" s="35">
        <f t="shared" si="2"/>
        <v>10414.476616203403</v>
      </c>
      <c r="P19" s="35">
        <f t="shared" si="2"/>
        <v>10552.450127735256</v>
      </c>
      <c r="Q19" s="35">
        <f t="shared" si="2"/>
        <v>10652.898101122888</v>
      </c>
      <c r="R19" s="35">
        <f t="shared" si="2"/>
        <v>10595.708637272766</v>
      </c>
      <c r="S19" s="35">
        <f t="shared" si="6"/>
        <v>10375.34252260738</v>
      </c>
      <c r="T19" s="35">
        <f t="shared" si="6"/>
        <v>9875.8205826288868</v>
      </c>
      <c r="U19" s="35">
        <f t="shared" si="6"/>
        <v>0</v>
      </c>
      <c r="V19" s="35">
        <f t="shared" si="7"/>
        <v>0</v>
      </c>
      <c r="W19" s="35">
        <f t="shared" si="7"/>
        <v>0</v>
      </c>
      <c r="X19" s="35">
        <f t="shared" si="7"/>
        <v>0</v>
      </c>
      <c r="Y19" s="35">
        <f t="shared" si="7"/>
        <v>0</v>
      </c>
      <c r="Z19" s="35">
        <f t="shared" si="7"/>
        <v>0</v>
      </c>
      <c r="AA19" s="35">
        <f t="shared" si="3"/>
        <v>99999.999999999985</v>
      </c>
      <c r="AB19" s="28">
        <f t="shared" si="4"/>
        <v>31</v>
      </c>
      <c r="AC19" s="29">
        <f t="shared" si="5"/>
        <v>3100000</v>
      </c>
      <c r="AD19" s="61"/>
      <c r="AE19" s="45"/>
      <c r="AF19"/>
      <c r="AG19"/>
    </row>
    <row r="20" spans="1:33" ht="15">
      <c r="A20" s="23">
        <f t="shared" si="1"/>
        <v>2027</v>
      </c>
      <c r="B20" s="27">
        <v>46388</v>
      </c>
      <c r="C20" s="35">
        <f t="shared" si="2"/>
        <v>0</v>
      </c>
      <c r="D20" s="35">
        <f t="shared" si="2"/>
        <v>0</v>
      </c>
      <c r="E20" s="35">
        <f t="shared" si="2"/>
        <v>0</v>
      </c>
      <c r="F20" s="35">
        <f t="shared" si="2"/>
        <v>0</v>
      </c>
      <c r="G20" s="35">
        <f t="shared" si="2"/>
        <v>0</v>
      </c>
      <c r="H20" s="35">
        <f t="shared" si="2"/>
        <v>0</v>
      </c>
      <c r="I20" s="35">
        <f t="shared" si="2"/>
        <v>0</v>
      </c>
      <c r="J20" s="35">
        <f t="shared" si="2"/>
        <v>0</v>
      </c>
      <c r="K20" s="35">
        <f t="shared" si="2"/>
        <v>8225.1751504185449</v>
      </c>
      <c r="L20" s="35">
        <f t="shared" si="2"/>
        <v>9058.1343505926634</v>
      </c>
      <c r="M20" s="35">
        <f t="shared" si="2"/>
        <v>9939.7224420285893</v>
      </c>
      <c r="N20" s="35">
        <f t="shared" si="2"/>
        <v>10310.271469389618</v>
      </c>
      <c r="O20" s="35">
        <f t="shared" si="2"/>
        <v>10414.476616203403</v>
      </c>
      <c r="P20" s="35">
        <f t="shared" si="2"/>
        <v>10552.450127735256</v>
      </c>
      <c r="Q20" s="35">
        <f t="shared" si="2"/>
        <v>10652.898101122888</v>
      </c>
      <c r="R20" s="35">
        <f t="shared" si="2"/>
        <v>10595.708637272766</v>
      </c>
      <c r="S20" s="35">
        <f t="shared" si="6"/>
        <v>10375.34252260738</v>
      </c>
      <c r="T20" s="35">
        <f t="shared" si="6"/>
        <v>9875.8205826288868</v>
      </c>
      <c r="U20" s="35">
        <f t="shared" si="6"/>
        <v>0</v>
      </c>
      <c r="V20" s="35">
        <f t="shared" si="7"/>
        <v>0</v>
      </c>
      <c r="W20" s="35">
        <f t="shared" si="7"/>
        <v>0</v>
      </c>
      <c r="X20" s="35">
        <f t="shared" si="7"/>
        <v>0</v>
      </c>
      <c r="Y20" s="35">
        <f t="shared" si="7"/>
        <v>0</v>
      </c>
      <c r="Z20" s="35">
        <f t="shared" si="7"/>
        <v>0</v>
      </c>
      <c r="AA20" s="35">
        <f>SUM(C20:Z20)</f>
        <v>99999.999999999985</v>
      </c>
      <c r="AB20" s="28">
        <f t="shared" si="4"/>
        <v>31</v>
      </c>
      <c r="AC20" s="29">
        <f t="shared" si="5"/>
        <v>3100000</v>
      </c>
      <c r="AD20" s="61"/>
      <c r="AE20" s="45"/>
      <c r="AF20"/>
      <c r="AG20"/>
    </row>
    <row r="21" spans="1:33" ht="15">
      <c r="A21" s="23">
        <f t="shared" si="1"/>
        <v>2027</v>
      </c>
      <c r="B21" s="27">
        <v>46419</v>
      </c>
      <c r="C21" s="35">
        <f t="shared" si="2"/>
        <v>0</v>
      </c>
      <c r="D21" s="35">
        <f t="shared" si="2"/>
        <v>0</v>
      </c>
      <c r="E21" s="35">
        <f t="shared" si="2"/>
        <v>0</v>
      </c>
      <c r="F21" s="35">
        <f t="shared" si="2"/>
        <v>0</v>
      </c>
      <c r="G21" s="35">
        <f t="shared" si="2"/>
        <v>0</v>
      </c>
      <c r="H21" s="35">
        <f t="shared" si="2"/>
        <v>0</v>
      </c>
      <c r="I21" s="35">
        <f t="shared" si="2"/>
        <v>0</v>
      </c>
      <c r="J21" s="35">
        <f t="shared" si="2"/>
        <v>0</v>
      </c>
      <c r="K21" s="35">
        <f t="shared" si="2"/>
        <v>8225.1751504185449</v>
      </c>
      <c r="L21" s="35">
        <f t="shared" si="2"/>
        <v>9058.1343505926634</v>
      </c>
      <c r="M21" s="35">
        <f t="shared" si="2"/>
        <v>9939.7224420285893</v>
      </c>
      <c r="N21" s="35">
        <f t="shared" si="2"/>
        <v>10310.271469389618</v>
      </c>
      <c r="O21" s="35">
        <f t="shared" si="2"/>
        <v>10414.476616203403</v>
      </c>
      <c r="P21" s="35">
        <f t="shared" si="2"/>
        <v>10552.450127735256</v>
      </c>
      <c r="Q21" s="35">
        <f t="shared" si="2"/>
        <v>10652.898101122888</v>
      </c>
      <c r="R21" s="35">
        <f t="shared" si="2"/>
        <v>10595.708637272766</v>
      </c>
      <c r="S21" s="35">
        <f t="shared" si="6"/>
        <v>10375.34252260738</v>
      </c>
      <c r="T21" s="35">
        <f t="shared" si="6"/>
        <v>9875.8205826288868</v>
      </c>
      <c r="U21" s="35">
        <f t="shared" si="6"/>
        <v>0</v>
      </c>
      <c r="V21" s="35">
        <f t="shared" si="7"/>
        <v>0</v>
      </c>
      <c r="W21" s="35">
        <f t="shared" si="7"/>
        <v>0</v>
      </c>
      <c r="X21" s="35">
        <f t="shared" si="7"/>
        <v>0</v>
      </c>
      <c r="Y21" s="35">
        <f t="shared" si="7"/>
        <v>0</v>
      </c>
      <c r="Z21" s="35">
        <f t="shared" si="7"/>
        <v>0</v>
      </c>
      <c r="AA21" s="35">
        <f t="shared" ref="AA21:AA31" si="8">SUM(C21:Z21)</f>
        <v>99999.999999999985</v>
      </c>
      <c r="AB21" s="28">
        <f t="shared" si="4"/>
        <v>28</v>
      </c>
      <c r="AC21" s="29">
        <f t="shared" si="5"/>
        <v>2800000</v>
      </c>
      <c r="AD21" s="61"/>
      <c r="AE21" s="45"/>
      <c r="AF21"/>
      <c r="AG21"/>
    </row>
    <row r="22" spans="1:33" ht="15">
      <c r="A22" s="23">
        <f t="shared" si="1"/>
        <v>2027</v>
      </c>
      <c r="B22" s="27">
        <v>46447</v>
      </c>
      <c r="C22" s="35">
        <f t="shared" si="2"/>
        <v>0</v>
      </c>
      <c r="D22" s="35">
        <f t="shared" si="2"/>
        <v>0</v>
      </c>
      <c r="E22" s="35">
        <f t="shared" si="2"/>
        <v>0</v>
      </c>
      <c r="F22" s="35">
        <f t="shared" si="2"/>
        <v>0</v>
      </c>
      <c r="G22" s="35">
        <f t="shared" si="2"/>
        <v>0</v>
      </c>
      <c r="H22" s="35">
        <f t="shared" si="2"/>
        <v>0</v>
      </c>
      <c r="I22" s="35">
        <f t="shared" si="2"/>
        <v>0</v>
      </c>
      <c r="J22" s="35">
        <f t="shared" si="2"/>
        <v>0</v>
      </c>
      <c r="K22" s="35">
        <f t="shared" si="2"/>
        <v>8225.1751504185449</v>
      </c>
      <c r="L22" s="35">
        <f t="shared" si="2"/>
        <v>9058.1343505926634</v>
      </c>
      <c r="M22" s="35">
        <f t="shared" si="2"/>
        <v>9939.7224420285893</v>
      </c>
      <c r="N22" s="35">
        <f t="shared" si="2"/>
        <v>10310.271469389618</v>
      </c>
      <c r="O22" s="35">
        <f t="shared" si="2"/>
        <v>10414.476616203403</v>
      </c>
      <c r="P22" s="35">
        <f t="shared" si="2"/>
        <v>10552.450127735256</v>
      </c>
      <c r="Q22" s="35">
        <f t="shared" si="2"/>
        <v>10652.898101122888</v>
      </c>
      <c r="R22" s="35">
        <f t="shared" si="2"/>
        <v>10595.708637272766</v>
      </c>
      <c r="S22" s="35">
        <f t="shared" si="6"/>
        <v>10375.34252260738</v>
      </c>
      <c r="T22" s="35">
        <f t="shared" si="6"/>
        <v>9875.8205826288868</v>
      </c>
      <c r="U22" s="35">
        <f t="shared" si="6"/>
        <v>0</v>
      </c>
      <c r="V22" s="35">
        <f t="shared" si="7"/>
        <v>0</v>
      </c>
      <c r="W22" s="35">
        <f t="shared" si="7"/>
        <v>0</v>
      </c>
      <c r="X22" s="35">
        <f t="shared" si="7"/>
        <v>0</v>
      </c>
      <c r="Y22" s="35">
        <f t="shared" si="7"/>
        <v>0</v>
      </c>
      <c r="Z22" s="35">
        <f t="shared" si="7"/>
        <v>0</v>
      </c>
      <c r="AA22" s="35">
        <f t="shared" si="8"/>
        <v>99999.999999999985</v>
      </c>
      <c r="AB22" s="28">
        <f t="shared" si="4"/>
        <v>31</v>
      </c>
      <c r="AC22" s="29">
        <f t="shared" si="5"/>
        <v>3100000</v>
      </c>
      <c r="AD22" s="61"/>
      <c r="AE22" s="45"/>
      <c r="AF22"/>
      <c r="AG22"/>
    </row>
    <row r="23" spans="1:33" ht="15">
      <c r="A23" s="23">
        <f t="shared" si="1"/>
        <v>2027</v>
      </c>
      <c r="B23" s="27">
        <v>46478</v>
      </c>
      <c r="C23" s="35">
        <f t="shared" si="2"/>
        <v>0</v>
      </c>
      <c r="D23" s="35">
        <f t="shared" si="2"/>
        <v>0</v>
      </c>
      <c r="E23" s="35">
        <f t="shared" si="2"/>
        <v>0</v>
      </c>
      <c r="F23" s="35">
        <f t="shared" si="2"/>
        <v>0</v>
      </c>
      <c r="G23" s="35">
        <f t="shared" si="2"/>
        <v>0</v>
      </c>
      <c r="H23" s="35">
        <f t="shared" si="2"/>
        <v>0</v>
      </c>
      <c r="I23" s="35">
        <f t="shared" si="2"/>
        <v>0</v>
      </c>
      <c r="J23" s="35">
        <f t="shared" si="2"/>
        <v>0</v>
      </c>
      <c r="K23" s="35">
        <f t="shared" si="2"/>
        <v>8225.1751504185449</v>
      </c>
      <c r="L23" s="35">
        <f t="shared" si="2"/>
        <v>9058.1343505926634</v>
      </c>
      <c r="M23" s="35">
        <f t="shared" si="2"/>
        <v>9939.7224420285893</v>
      </c>
      <c r="N23" s="35">
        <f t="shared" si="2"/>
        <v>10310.271469389618</v>
      </c>
      <c r="O23" s="35">
        <f t="shared" si="2"/>
        <v>10414.476616203403</v>
      </c>
      <c r="P23" s="35">
        <f t="shared" si="2"/>
        <v>10552.450127735256</v>
      </c>
      <c r="Q23" s="35">
        <f t="shared" si="2"/>
        <v>10652.898101122888</v>
      </c>
      <c r="R23" s="35">
        <f t="shared" si="2"/>
        <v>10595.708637272766</v>
      </c>
      <c r="S23" s="35">
        <f t="shared" si="6"/>
        <v>10375.34252260738</v>
      </c>
      <c r="T23" s="35">
        <f t="shared" si="6"/>
        <v>9875.8205826288868</v>
      </c>
      <c r="U23" s="35">
        <f t="shared" si="6"/>
        <v>0</v>
      </c>
      <c r="V23" s="35">
        <f t="shared" si="7"/>
        <v>0</v>
      </c>
      <c r="W23" s="35">
        <f t="shared" si="7"/>
        <v>0</v>
      </c>
      <c r="X23" s="35">
        <f t="shared" si="7"/>
        <v>0</v>
      </c>
      <c r="Y23" s="35">
        <f t="shared" si="7"/>
        <v>0</v>
      </c>
      <c r="Z23" s="35">
        <f t="shared" si="7"/>
        <v>0</v>
      </c>
      <c r="AA23" s="35">
        <f t="shared" si="8"/>
        <v>99999.999999999985</v>
      </c>
      <c r="AB23" s="28">
        <f t="shared" si="4"/>
        <v>30</v>
      </c>
      <c r="AC23" s="29">
        <f t="shared" si="5"/>
        <v>3000000</v>
      </c>
      <c r="AD23" s="61"/>
      <c r="AE23" s="45"/>
      <c r="AF23"/>
      <c r="AG23"/>
    </row>
    <row r="24" spans="1:33" ht="15">
      <c r="A24" s="23">
        <f t="shared" si="1"/>
        <v>2027</v>
      </c>
      <c r="B24" s="27">
        <v>46508</v>
      </c>
      <c r="C24" s="35">
        <f t="shared" si="2"/>
        <v>0</v>
      </c>
      <c r="D24" s="35">
        <f t="shared" si="2"/>
        <v>0</v>
      </c>
      <c r="E24" s="35">
        <f t="shared" si="2"/>
        <v>0</v>
      </c>
      <c r="F24" s="35">
        <f t="shared" si="2"/>
        <v>0</v>
      </c>
      <c r="G24" s="35">
        <f t="shared" si="2"/>
        <v>0</v>
      </c>
      <c r="H24" s="35">
        <f t="shared" si="2"/>
        <v>0</v>
      </c>
      <c r="I24" s="35">
        <f t="shared" si="2"/>
        <v>0</v>
      </c>
      <c r="J24" s="35">
        <f t="shared" si="2"/>
        <v>0</v>
      </c>
      <c r="K24" s="35">
        <f t="shared" si="2"/>
        <v>8225.1751504185449</v>
      </c>
      <c r="L24" s="35">
        <f t="shared" si="2"/>
        <v>9058.1343505926634</v>
      </c>
      <c r="M24" s="35">
        <f t="shared" si="2"/>
        <v>9939.7224420285893</v>
      </c>
      <c r="N24" s="35">
        <f t="shared" si="2"/>
        <v>10310.271469389618</v>
      </c>
      <c r="O24" s="35">
        <f t="shared" si="2"/>
        <v>10414.476616203403</v>
      </c>
      <c r="P24" s="35">
        <f t="shared" si="2"/>
        <v>10552.450127735256</v>
      </c>
      <c r="Q24" s="35">
        <f t="shared" si="2"/>
        <v>10652.898101122888</v>
      </c>
      <c r="R24" s="35">
        <f t="shared" si="2"/>
        <v>10595.708637272766</v>
      </c>
      <c r="S24" s="35">
        <f t="shared" si="6"/>
        <v>10375.34252260738</v>
      </c>
      <c r="T24" s="35">
        <f t="shared" si="6"/>
        <v>9875.8205826288868</v>
      </c>
      <c r="U24" s="35">
        <f t="shared" si="6"/>
        <v>0</v>
      </c>
      <c r="V24" s="35">
        <f t="shared" si="7"/>
        <v>0</v>
      </c>
      <c r="W24" s="35">
        <f t="shared" si="7"/>
        <v>0</v>
      </c>
      <c r="X24" s="35">
        <f t="shared" si="7"/>
        <v>0</v>
      </c>
      <c r="Y24" s="35">
        <f t="shared" si="7"/>
        <v>0</v>
      </c>
      <c r="Z24" s="35">
        <f t="shared" si="7"/>
        <v>0</v>
      </c>
      <c r="AA24" s="35">
        <f t="shared" si="8"/>
        <v>99999.999999999985</v>
      </c>
      <c r="AB24" s="28">
        <f t="shared" si="4"/>
        <v>31</v>
      </c>
      <c r="AC24" s="29">
        <f t="shared" si="5"/>
        <v>3100000</v>
      </c>
      <c r="AD24" s="61"/>
      <c r="AE24" s="45"/>
    </row>
    <row r="25" spans="1:33" ht="15">
      <c r="A25" s="23">
        <f t="shared" si="1"/>
        <v>2027</v>
      </c>
      <c r="B25" s="27">
        <v>46539</v>
      </c>
      <c r="C25" s="35">
        <f t="shared" si="2"/>
        <v>0</v>
      </c>
      <c r="D25" s="35">
        <f t="shared" si="2"/>
        <v>0</v>
      </c>
      <c r="E25" s="35">
        <f t="shared" si="2"/>
        <v>0</v>
      </c>
      <c r="F25" s="35">
        <f t="shared" si="2"/>
        <v>0</v>
      </c>
      <c r="G25" s="35">
        <f t="shared" si="2"/>
        <v>0</v>
      </c>
      <c r="H25" s="35">
        <f t="shared" si="2"/>
        <v>0</v>
      </c>
      <c r="I25" s="35">
        <f t="shared" si="2"/>
        <v>0</v>
      </c>
      <c r="J25" s="35">
        <f t="shared" si="2"/>
        <v>0</v>
      </c>
      <c r="K25" s="35">
        <f t="shared" si="2"/>
        <v>8225.1751504185449</v>
      </c>
      <c r="L25" s="35">
        <f t="shared" si="2"/>
        <v>9058.1343505926634</v>
      </c>
      <c r="M25" s="35">
        <f t="shared" si="2"/>
        <v>9939.7224420285893</v>
      </c>
      <c r="N25" s="35">
        <f t="shared" si="2"/>
        <v>10310.271469389618</v>
      </c>
      <c r="O25" s="35">
        <f t="shared" si="2"/>
        <v>10414.476616203403</v>
      </c>
      <c r="P25" s="35">
        <f t="shared" si="2"/>
        <v>10552.450127735256</v>
      </c>
      <c r="Q25" s="35">
        <f t="shared" si="2"/>
        <v>10652.898101122888</v>
      </c>
      <c r="R25" s="35">
        <f t="shared" si="2"/>
        <v>10595.708637272766</v>
      </c>
      <c r="S25" s="35">
        <f t="shared" si="6"/>
        <v>10375.34252260738</v>
      </c>
      <c r="T25" s="35">
        <f t="shared" si="6"/>
        <v>9875.8205826288868</v>
      </c>
      <c r="U25" s="35">
        <f t="shared" si="6"/>
        <v>0</v>
      </c>
      <c r="V25" s="35">
        <f t="shared" si="7"/>
        <v>0</v>
      </c>
      <c r="W25" s="35">
        <f t="shared" si="7"/>
        <v>0</v>
      </c>
      <c r="X25" s="35">
        <f t="shared" si="7"/>
        <v>0</v>
      </c>
      <c r="Y25" s="35">
        <f t="shared" si="7"/>
        <v>0</v>
      </c>
      <c r="Z25" s="35">
        <f t="shared" si="7"/>
        <v>0</v>
      </c>
      <c r="AA25" s="35">
        <f t="shared" si="8"/>
        <v>99999.999999999985</v>
      </c>
      <c r="AB25" s="28">
        <f t="shared" si="4"/>
        <v>30</v>
      </c>
      <c r="AC25" s="29">
        <f t="shared" si="5"/>
        <v>3000000</v>
      </c>
      <c r="AD25" s="61"/>
      <c r="AE25" s="45"/>
    </row>
    <row r="26" spans="1:33" ht="15">
      <c r="A26" s="23">
        <f t="shared" si="1"/>
        <v>2027</v>
      </c>
      <c r="B26" s="27">
        <v>46569</v>
      </c>
      <c r="C26" s="35">
        <f t="shared" si="2"/>
        <v>0</v>
      </c>
      <c r="D26" s="35">
        <f t="shared" si="2"/>
        <v>0</v>
      </c>
      <c r="E26" s="35">
        <f t="shared" si="2"/>
        <v>0</v>
      </c>
      <c r="F26" s="35">
        <f t="shared" si="2"/>
        <v>0</v>
      </c>
      <c r="G26" s="35">
        <f t="shared" si="2"/>
        <v>0</v>
      </c>
      <c r="H26" s="35">
        <f t="shared" si="2"/>
        <v>0</v>
      </c>
      <c r="I26" s="35">
        <f t="shared" si="2"/>
        <v>0</v>
      </c>
      <c r="J26" s="35">
        <f t="shared" si="2"/>
        <v>0</v>
      </c>
      <c r="K26" s="35">
        <f t="shared" si="2"/>
        <v>8225.1751504185449</v>
      </c>
      <c r="L26" s="35">
        <f t="shared" si="2"/>
        <v>9058.1343505926634</v>
      </c>
      <c r="M26" s="35">
        <f t="shared" si="2"/>
        <v>9939.7224420285893</v>
      </c>
      <c r="N26" s="35">
        <f t="shared" si="2"/>
        <v>10310.271469389618</v>
      </c>
      <c r="O26" s="35">
        <f t="shared" si="2"/>
        <v>10414.476616203403</v>
      </c>
      <c r="P26" s="35">
        <f t="shared" si="2"/>
        <v>10552.450127735256</v>
      </c>
      <c r="Q26" s="35">
        <f t="shared" si="2"/>
        <v>10652.898101122888</v>
      </c>
      <c r="R26" s="35">
        <f t="shared" si="2"/>
        <v>10595.708637272766</v>
      </c>
      <c r="S26" s="35">
        <f t="shared" si="6"/>
        <v>10375.34252260738</v>
      </c>
      <c r="T26" s="35">
        <f t="shared" si="6"/>
        <v>9875.8205826288868</v>
      </c>
      <c r="U26" s="35">
        <f t="shared" si="6"/>
        <v>0</v>
      </c>
      <c r="V26" s="35">
        <f t="shared" si="7"/>
        <v>0</v>
      </c>
      <c r="W26" s="35">
        <f t="shared" si="7"/>
        <v>0</v>
      </c>
      <c r="X26" s="35">
        <f t="shared" si="7"/>
        <v>0</v>
      </c>
      <c r="Y26" s="35">
        <f t="shared" si="7"/>
        <v>0</v>
      </c>
      <c r="Z26" s="35">
        <f t="shared" si="7"/>
        <v>0</v>
      </c>
      <c r="AA26" s="35">
        <f t="shared" si="8"/>
        <v>99999.999999999985</v>
      </c>
      <c r="AB26" s="28">
        <f t="shared" si="4"/>
        <v>31</v>
      </c>
      <c r="AC26" s="29">
        <f t="shared" si="5"/>
        <v>3100000</v>
      </c>
      <c r="AD26" s="61"/>
      <c r="AE26" s="45"/>
    </row>
    <row r="27" spans="1:33" ht="15">
      <c r="A27" s="23">
        <f t="shared" si="1"/>
        <v>2027</v>
      </c>
      <c r="B27" s="27">
        <v>46600</v>
      </c>
      <c r="C27" s="35">
        <f t="shared" si="2"/>
        <v>0</v>
      </c>
      <c r="D27" s="35">
        <f t="shared" si="2"/>
        <v>0</v>
      </c>
      <c r="E27" s="35">
        <f t="shared" si="2"/>
        <v>0</v>
      </c>
      <c r="F27" s="35">
        <f t="shared" si="2"/>
        <v>0</v>
      </c>
      <c r="G27" s="35">
        <f t="shared" si="2"/>
        <v>0</v>
      </c>
      <c r="H27" s="35">
        <f t="shared" si="2"/>
        <v>0</v>
      </c>
      <c r="I27" s="35">
        <f t="shared" si="2"/>
        <v>0</v>
      </c>
      <c r="J27" s="35">
        <f t="shared" si="2"/>
        <v>0</v>
      </c>
      <c r="K27" s="35">
        <f t="shared" si="2"/>
        <v>8225.1751504185449</v>
      </c>
      <c r="L27" s="35">
        <f t="shared" si="2"/>
        <v>9058.1343505926634</v>
      </c>
      <c r="M27" s="35">
        <f t="shared" si="2"/>
        <v>9939.7224420285893</v>
      </c>
      <c r="N27" s="35">
        <f t="shared" si="2"/>
        <v>10310.271469389618</v>
      </c>
      <c r="O27" s="35">
        <f t="shared" si="2"/>
        <v>10414.476616203403</v>
      </c>
      <c r="P27" s="35">
        <f t="shared" si="2"/>
        <v>10552.450127735256</v>
      </c>
      <c r="Q27" s="35">
        <f t="shared" si="2"/>
        <v>10652.898101122888</v>
      </c>
      <c r="R27" s="35">
        <f t="shared" si="2"/>
        <v>10595.708637272766</v>
      </c>
      <c r="S27" s="35">
        <f t="shared" si="6"/>
        <v>10375.34252260738</v>
      </c>
      <c r="T27" s="35">
        <f t="shared" si="6"/>
        <v>9875.8205826288868</v>
      </c>
      <c r="U27" s="35">
        <f t="shared" si="6"/>
        <v>0</v>
      </c>
      <c r="V27" s="35">
        <f t="shared" si="7"/>
        <v>0</v>
      </c>
      <c r="W27" s="35">
        <f t="shared" si="7"/>
        <v>0</v>
      </c>
      <c r="X27" s="35">
        <f t="shared" si="7"/>
        <v>0</v>
      </c>
      <c r="Y27" s="35">
        <f t="shared" si="7"/>
        <v>0</v>
      </c>
      <c r="Z27" s="35">
        <f t="shared" si="7"/>
        <v>0</v>
      </c>
      <c r="AA27" s="35">
        <f t="shared" si="8"/>
        <v>99999.999999999985</v>
      </c>
      <c r="AB27" s="28">
        <f t="shared" si="4"/>
        <v>31</v>
      </c>
      <c r="AC27" s="29">
        <f t="shared" si="5"/>
        <v>3100000</v>
      </c>
      <c r="AD27" s="61"/>
      <c r="AE27" s="45"/>
    </row>
    <row r="28" spans="1:33" ht="15">
      <c r="A28" s="23">
        <f t="shared" si="1"/>
        <v>2027</v>
      </c>
      <c r="B28" s="27">
        <v>46631</v>
      </c>
      <c r="C28" s="35">
        <f t="shared" si="2"/>
        <v>0</v>
      </c>
      <c r="D28" s="35">
        <f t="shared" si="2"/>
        <v>0</v>
      </c>
      <c r="E28" s="35">
        <f t="shared" si="2"/>
        <v>0</v>
      </c>
      <c r="F28" s="35">
        <f t="shared" si="2"/>
        <v>0</v>
      </c>
      <c r="G28" s="35">
        <f t="shared" si="2"/>
        <v>0</v>
      </c>
      <c r="H28" s="35">
        <f t="shared" si="2"/>
        <v>0</v>
      </c>
      <c r="I28" s="35">
        <f t="shared" si="2"/>
        <v>0</v>
      </c>
      <c r="J28" s="35">
        <f t="shared" si="2"/>
        <v>0</v>
      </c>
      <c r="K28" s="35">
        <f t="shared" si="2"/>
        <v>8225.1751504185449</v>
      </c>
      <c r="L28" s="35">
        <f t="shared" si="2"/>
        <v>9058.1343505926634</v>
      </c>
      <c r="M28" s="35">
        <f t="shared" si="2"/>
        <v>9939.7224420285893</v>
      </c>
      <c r="N28" s="35">
        <f t="shared" si="2"/>
        <v>10310.271469389618</v>
      </c>
      <c r="O28" s="35">
        <f t="shared" si="2"/>
        <v>10414.476616203403</v>
      </c>
      <c r="P28" s="35">
        <f t="shared" si="2"/>
        <v>10552.450127735256</v>
      </c>
      <c r="Q28" s="35">
        <f t="shared" si="2"/>
        <v>10652.898101122888</v>
      </c>
      <c r="R28" s="35">
        <f t="shared" si="2"/>
        <v>10595.708637272766</v>
      </c>
      <c r="S28" s="35">
        <f t="shared" si="6"/>
        <v>10375.34252260738</v>
      </c>
      <c r="T28" s="35">
        <f t="shared" si="6"/>
        <v>9875.8205826288868</v>
      </c>
      <c r="U28" s="35">
        <f t="shared" si="6"/>
        <v>0</v>
      </c>
      <c r="V28" s="35">
        <f t="shared" si="7"/>
        <v>0</v>
      </c>
      <c r="W28" s="35">
        <f t="shared" si="7"/>
        <v>0</v>
      </c>
      <c r="X28" s="35">
        <f t="shared" si="7"/>
        <v>0</v>
      </c>
      <c r="Y28" s="35">
        <f t="shared" si="7"/>
        <v>0</v>
      </c>
      <c r="Z28" s="35">
        <f t="shared" si="7"/>
        <v>0</v>
      </c>
      <c r="AA28" s="35">
        <f t="shared" si="8"/>
        <v>99999.999999999985</v>
      </c>
      <c r="AB28" s="28">
        <f t="shared" si="4"/>
        <v>30</v>
      </c>
      <c r="AC28" s="29">
        <f t="shared" si="5"/>
        <v>3000000</v>
      </c>
      <c r="AD28" s="61"/>
      <c r="AE28" s="45"/>
    </row>
    <row r="29" spans="1:33" ht="15">
      <c r="A29" s="23">
        <f t="shared" si="1"/>
        <v>2027</v>
      </c>
      <c r="B29" s="27">
        <v>46661</v>
      </c>
      <c r="C29" s="35">
        <f t="shared" si="2"/>
        <v>0</v>
      </c>
      <c r="D29" s="35">
        <f t="shared" si="2"/>
        <v>0</v>
      </c>
      <c r="E29" s="35">
        <f t="shared" si="2"/>
        <v>0</v>
      </c>
      <c r="F29" s="35">
        <f t="shared" si="2"/>
        <v>0</v>
      </c>
      <c r="G29" s="35">
        <f t="shared" si="2"/>
        <v>0</v>
      </c>
      <c r="H29" s="35">
        <f t="shared" si="2"/>
        <v>0</v>
      </c>
      <c r="I29" s="35">
        <f t="shared" si="2"/>
        <v>0</v>
      </c>
      <c r="J29" s="35">
        <f t="shared" si="2"/>
        <v>0</v>
      </c>
      <c r="K29" s="35">
        <f t="shared" si="2"/>
        <v>8225.1751504185449</v>
      </c>
      <c r="L29" s="35">
        <f t="shared" si="2"/>
        <v>9058.1343505926634</v>
      </c>
      <c r="M29" s="35">
        <f t="shared" si="2"/>
        <v>9939.7224420285893</v>
      </c>
      <c r="N29" s="35">
        <f t="shared" si="2"/>
        <v>10310.271469389618</v>
      </c>
      <c r="O29" s="35">
        <f t="shared" si="2"/>
        <v>10414.476616203403</v>
      </c>
      <c r="P29" s="35">
        <f t="shared" si="2"/>
        <v>10552.450127735256</v>
      </c>
      <c r="Q29" s="35">
        <f t="shared" si="2"/>
        <v>10652.898101122888</v>
      </c>
      <c r="R29" s="35">
        <f t="shared" si="2"/>
        <v>10595.708637272766</v>
      </c>
      <c r="S29" s="35">
        <f t="shared" si="6"/>
        <v>10375.34252260738</v>
      </c>
      <c r="T29" s="35">
        <f t="shared" si="6"/>
        <v>9875.8205826288868</v>
      </c>
      <c r="U29" s="35">
        <f t="shared" si="6"/>
        <v>0</v>
      </c>
      <c r="V29" s="35">
        <f t="shared" si="7"/>
        <v>0</v>
      </c>
      <c r="W29" s="35">
        <f t="shared" si="7"/>
        <v>0</v>
      </c>
      <c r="X29" s="35">
        <f t="shared" si="7"/>
        <v>0</v>
      </c>
      <c r="Y29" s="35">
        <f t="shared" si="7"/>
        <v>0</v>
      </c>
      <c r="Z29" s="35">
        <f t="shared" si="7"/>
        <v>0</v>
      </c>
      <c r="AA29" s="35">
        <f t="shared" si="8"/>
        <v>99999.999999999985</v>
      </c>
      <c r="AB29" s="28">
        <f t="shared" si="4"/>
        <v>31</v>
      </c>
      <c r="AC29" s="29">
        <f t="shared" si="5"/>
        <v>3100000</v>
      </c>
      <c r="AD29" s="61"/>
      <c r="AE29" s="45"/>
    </row>
    <row r="30" spans="1:33" ht="15">
      <c r="A30" s="23">
        <f t="shared" si="1"/>
        <v>2027</v>
      </c>
      <c r="B30" s="27">
        <v>46692</v>
      </c>
      <c r="C30" s="35">
        <f t="shared" si="2"/>
        <v>0</v>
      </c>
      <c r="D30" s="35">
        <f t="shared" si="2"/>
        <v>0</v>
      </c>
      <c r="E30" s="35">
        <f t="shared" si="2"/>
        <v>0</v>
      </c>
      <c r="F30" s="35">
        <f t="shared" si="2"/>
        <v>0</v>
      </c>
      <c r="G30" s="35">
        <f t="shared" si="2"/>
        <v>0</v>
      </c>
      <c r="H30" s="35">
        <f t="shared" si="2"/>
        <v>0</v>
      </c>
      <c r="I30" s="35">
        <f t="shared" si="2"/>
        <v>0</v>
      </c>
      <c r="J30" s="35">
        <f t="shared" si="2"/>
        <v>0</v>
      </c>
      <c r="K30" s="35">
        <f t="shared" si="2"/>
        <v>8225.1751504185449</v>
      </c>
      <c r="L30" s="35">
        <f t="shared" si="2"/>
        <v>9058.1343505926634</v>
      </c>
      <c r="M30" s="35">
        <f t="shared" si="2"/>
        <v>9939.7224420285893</v>
      </c>
      <c r="N30" s="35">
        <f t="shared" si="2"/>
        <v>10310.271469389618</v>
      </c>
      <c r="O30" s="35">
        <f t="shared" si="2"/>
        <v>10414.476616203403</v>
      </c>
      <c r="P30" s="35">
        <f t="shared" si="2"/>
        <v>10552.450127735256</v>
      </c>
      <c r="Q30" s="35">
        <f t="shared" si="2"/>
        <v>10652.898101122888</v>
      </c>
      <c r="R30" s="35">
        <f t="shared" si="2"/>
        <v>10595.708637272766</v>
      </c>
      <c r="S30" s="35">
        <f t="shared" si="6"/>
        <v>10375.34252260738</v>
      </c>
      <c r="T30" s="35">
        <f t="shared" si="6"/>
        <v>9875.8205826288868</v>
      </c>
      <c r="U30" s="35">
        <f t="shared" si="6"/>
        <v>0</v>
      </c>
      <c r="V30" s="35">
        <f t="shared" si="7"/>
        <v>0</v>
      </c>
      <c r="W30" s="35">
        <f t="shared" si="7"/>
        <v>0</v>
      </c>
      <c r="X30" s="35">
        <f t="shared" si="7"/>
        <v>0</v>
      </c>
      <c r="Y30" s="35">
        <f t="shared" si="7"/>
        <v>0</v>
      </c>
      <c r="Z30" s="35">
        <f t="shared" si="7"/>
        <v>0</v>
      </c>
      <c r="AA30" s="35">
        <f t="shared" si="8"/>
        <v>99999.999999999985</v>
      </c>
      <c r="AB30" s="28">
        <f t="shared" si="4"/>
        <v>30</v>
      </c>
      <c r="AC30" s="29">
        <f t="shared" si="5"/>
        <v>3000000</v>
      </c>
      <c r="AD30" s="61"/>
      <c r="AE30" s="45"/>
    </row>
    <row r="31" spans="1:33" ht="15">
      <c r="A31" s="23">
        <f t="shared" si="1"/>
        <v>2027</v>
      </c>
      <c r="B31" s="27">
        <v>46722</v>
      </c>
      <c r="C31" s="35">
        <f t="shared" si="2"/>
        <v>0</v>
      </c>
      <c r="D31" s="35">
        <f t="shared" si="2"/>
        <v>0</v>
      </c>
      <c r="E31" s="35">
        <f t="shared" si="2"/>
        <v>0</v>
      </c>
      <c r="F31" s="35">
        <f t="shared" si="2"/>
        <v>0</v>
      </c>
      <c r="G31" s="35">
        <f t="shared" si="2"/>
        <v>0</v>
      </c>
      <c r="H31" s="35">
        <f t="shared" si="2"/>
        <v>0</v>
      </c>
      <c r="I31" s="35">
        <f t="shared" si="2"/>
        <v>0</v>
      </c>
      <c r="J31" s="35">
        <f t="shared" si="2"/>
        <v>0</v>
      </c>
      <c r="K31" s="35">
        <f t="shared" si="2"/>
        <v>8225.1751504185449</v>
      </c>
      <c r="L31" s="35">
        <f t="shared" si="2"/>
        <v>9058.1343505926634</v>
      </c>
      <c r="M31" s="35">
        <f t="shared" si="2"/>
        <v>9939.7224420285893</v>
      </c>
      <c r="N31" s="35">
        <f t="shared" si="2"/>
        <v>10310.271469389618</v>
      </c>
      <c r="O31" s="35">
        <f t="shared" si="2"/>
        <v>10414.476616203403</v>
      </c>
      <c r="P31" s="35">
        <f t="shared" si="2"/>
        <v>10552.450127735256</v>
      </c>
      <c r="Q31" s="35">
        <f t="shared" si="2"/>
        <v>10652.898101122888</v>
      </c>
      <c r="R31" s="35">
        <f t="shared" si="2"/>
        <v>10595.708637272766</v>
      </c>
      <c r="S31" s="35">
        <f t="shared" si="6"/>
        <v>10375.34252260738</v>
      </c>
      <c r="T31" s="35">
        <f t="shared" si="6"/>
        <v>9875.8205826288868</v>
      </c>
      <c r="U31" s="35">
        <f t="shared" si="6"/>
        <v>0</v>
      </c>
      <c r="V31" s="35">
        <f t="shared" si="7"/>
        <v>0</v>
      </c>
      <c r="W31" s="35">
        <f t="shared" si="7"/>
        <v>0</v>
      </c>
      <c r="X31" s="35">
        <f t="shared" si="7"/>
        <v>0</v>
      </c>
      <c r="Y31" s="35">
        <f t="shared" si="7"/>
        <v>0</v>
      </c>
      <c r="Z31" s="35">
        <f t="shared" si="7"/>
        <v>0</v>
      </c>
      <c r="AA31" s="35">
        <f t="shared" si="8"/>
        <v>99999.999999999985</v>
      </c>
      <c r="AB31" s="28">
        <f t="shared" si="4"/>
        <v>31</v>
      </c>
      <c r="AC31" s="29">
        <f t="shared" si="5"/>
        <v>3100000</v>
      </c>
      <c r="AD31" s="61"/>
      <c r="AE31" s="45"/>
    </row>
    <row r="32" spans="1:33" ht="15">
      <c r="A32" s="23">
        <f t="shared" si="1"/>
        <v>2028</v>
      </c>
      <c r="B32" s="27">
        <v>46753</v>
      </c>
      <c r="C32" s="35">
        <f t="shared" si="2"/>
        <v>0</v>
      </c>
      <c r="D32" s="35">
        <f t="shared" si="2"/>
        <v>0</v>
      </c>
      <c r="E32" s="35">
        <f t="shared" si="2"/>
        <v>0</v>
      </c>
      <c r="F32" s="35">
        <f t="shared" si="2"/>
        <v>0</v>
      </c>
      <c r="G32" s="35">
        <f t="shared" si="2"/>
        <v>0</v>
      </c>
      <c r="H32" s="35">
        <f t="shared" si="2"/>
        <v>0</v>
      </c>
      <c r="I32" s="35">
        <f t="shared" si="2"/>
        <v>0</v>
      </c>
      <c r="J32" s="35">
        <f t="shared" si="2"/>
        <v>0</v>
      </c>
      <c r="K32" s="35">
        <f t="shared" si="2"/>
        <v>8225.1751504185449</v>
      </c>
      <c r="L32" s="35">
        <f t="shared" si="2"/>
        <v>9058.1343505926634</v>
      </c>
      <c r="M32" s="35">
        <f t="shared" si="2"/>
        <v>9939.7224420285893</v>
      </c>
      <c r="N32" s="35">
        <f t="shared" si="2"/>
        <v>10310.271469389618</v>
      </c>
      <c r="O32" s="35">
        <f t="shared" si="2"/>
        <v>10414.476616203403</v>
      </c>
      <c r="P32" s="35">
        <f t="shared" si="2"/>
        <v>10552.450127735256</v>
      </c>
      <c r="Q32" s="35">
        <f t="shared" si="2"/>
        <v>10652.898101122888</v>
      </c>
      <c r="R32" s="35">
        <f t="shared" si="2"/>
        <v>10595.708637272766</v>
      </c>
      <c r="S32" s="35">
        <f t="shared" si="6"/>
        <v>10375.34252260738</v>
      </c>
      <c r="T32" s="35">
        <f t="shared" si="6"/>
        <v>9875.8205826288868</v>
      </c>
      <c r="U32" s="35">
        <f t="shared" si="6"/>
        <v>0</v>
      </c>
      <c r="V32" s="35">
        <f t="shared" si="7"/>
        <v>0</v>
      </c>
      <c r="W32" s="35">
        <f t="shared" si="7"/>
        <v>0</v>
      </c>
      <c r="X32" s="35">
        <f t="shared" si="7"/>
        <v>0</v>
      </c>
      <c r="Y32" s="35">
        <f t="shared" si="7"/>
        <v>0</v>
      </c>
      <c r="Z32" s="35">
        <f t="shared" si="7"/>
        <v>0</v>
      </c>
      <c r="AA32" s="35">
        <f>SUM(C32:Z32)</f>
        <v>99999.999999999985</v>
      </c>
      <c r="AB32" s="28">
        <f t="shared" si="4"/>
        <v>31</v>
      </c>
      <c r="AC32" s="29">
        <f t="shared" si="5"/>
        <v>3100000</v>
      </c>
      <c r="AD32" s="61"/>
      <c r="AE32" s="45"/>
    </row>
    <row r="33" spans="1:31" ht="15">
      <c r="A33" s="23">
        <f t="shared" si="1"/>
        <v>2028</v>
      </c>
      <c r="B33" s="27">
        <v>46784</v>
      </c>
      <c r="C33" s="35">
        <f t="shared" si="2"/>
        <v>0</v>
      </c>
      <c r="D33" s="35">
        <f t="shared" si="2"/>
        <v>0</v>
      </c>
      <c r="E33" s="35">
        <f t="shared" si="2"/>
        <v>0</v>
      </c>
      <c r="F33" s="35">
        <f t="shared" si="2"/>
        <v>0</v>
      </c>
      <c r="G33" s="35">
        <f t="shared" si="2"/>
        <v>0</v>
      </c>
      <c r="H33" s="35">
        <f t="shared" si="2"/>
        <v>0</v>
      </c>
      <c r="I33" s="35">
        <f t="shared" si="2"/>
        <v>0</v>
      </c>
      <c r="J33" s="35">
        <f t="shared" si="2"/>
        <v>0</v>
      </c>
      <c r="K33" s="35">
        <f t="shared" si="2"/>
        <v>8225.1751504185449</v>
      </c>
      <c r="L33" s="35">
        <f t="shared" si="2"/>
        <v>9058.1343505926634</v>
      </c>
      <c r="M33" s="35">
        <f t="shared" si="2"/>
        <v>9939.7224420285893</v>
      </c>
      <c r="N33" s="35">
        <f t="shared" si="2"/>
        <v>10310.271469389618</v>
      </c>
      <c r="O33" s="35">
        <f t="shared" si="2"/>
        <v>10414.476616203403</v>
      </c>
      <c r="P33" s="35">
        <f t="shared" si="2"/>
        <v>10552.450127735256</v>
      </c>
      <c r="Q33" s="35">
        <f t="shared" si="2"/>
        <v>10652.898101122888</v>
      </c>
      <c r="R33" s="35">
        <f t="shared" si="2"/>
        <v>10595.708637272766</v>
      </c>
      <c r="S33" s="35">
        <f t="shared" si="6"/>
        <v>10375.34252260738</v>
      </c>
      <c r="T33" s="35">
        <f t="shared" si="6"/>
        <v>9875.8205826288868</v>
      </c>
      <c r="U33" s="35">
        <f t="shared" si="6"/>
        <v>0</v>
      </c>
      <c r="V33" s="35">
        <f t="shared" si="7"/>
        <v>0</v>
      </c>
      <c r="W33" s="35">
        <f t="shared" si="7"/>
        <v>0</v>
      </c>
      <c r="X33" s="35">
        <f t="shared" si="7"/>
        <v>0</v>
      </c>
      <c r="Y33" s="35">
        <f t="shared" si="7"/>
        <v>0</v>
      </c>
      <c r="Z33" s="35">
        <f t="shared" si="7"/>
        <v>0</v>
      </c>
      <c r="AA33" s="35">
        <f t="shared" ref="AA33:AA42" si="9">SUM(C33:Z33)</f>
        <v>99999.999999999985</v>
      </c>
      <c r="AB33" s="28">
        <f t="shared" si="4"/>
        <v>29</v>
      </c>
      <c r="AC33" s="29">
        <f t="shared" si="5"/>
        <v>2900000</v>
      </c>
      <c r="AD33" s="61"/>
      <c r="AE33" s="45"/>
    </row>
    <row r="34" spans="1:31" ht="15">
      <c r="A34" s="23">
        <f t="shared" si="1"/>
        <v>2028</v>
      </c>
      <c r="B34" s="27">
        <v>46813</v>
      </c>
      <c r="C34" s="35">
        <f t="shared" si="2"/>
        <v>0</v>
      </c>
      <c r="D34" s="35">
        <f t="shared" si="2"/>
        <v>0</v>
      </c>
      <c r="E34" s="35">
        <f t="shared" si="2"/>
        <v>0</v>
      </c>
      <c r="F34" s="35">
        <f t="shared" si="2"/>
        <v>0</v>
      </c>
      <c r="G34" s="35">
        <f t="shared" si="2"/>
        <v>0</v>
      </c>
      <c r="H34" s="35">
        <f t="shared" ref="H34:W49" si="10">IF(AND(COLUMN()&gt;=11,COLUMN()&lt;=20),($AC34/$AB34)*H$5,0)</f>
        <v>0</v>
      </c>
      <c r="I34" s="35">
        <f t="shared" si="10"/>
        <v>0</v>
      </c>
      <c r="J34" s="35">
        <f t="shared" si="10"/>
        <v>0</v>
      </c>
      <c r="K34" s="35">
        <f t="shared" si="10"/>
        <v>8225.1751504185449</v>
      </c>
      <c r="L34" s="35">
        <f t="shared" si="10"/>
        <v>9058.1343505926634</v>
      </c>
      <c r="M34" s="35">
        <f t="shared" si="10"/>
        <v>9939.7224420285893</v>
      </c>
      <c r="N34" s="35">
        <f t="shared" si="10"/>
        <v>10310.271469389618</v>
      </c>
      <c r="O34" s="35">
        <f t="shared" si="10"/>
        <v>10414.476616203403</v>
      </c>
      <c r="P34" s="35">
        <f t="shared" si="10"/>
        <v>10552.450127735256</v>
      </c>
      <c r="Q34" s="35">
        <f t="shared" si="10"/>
        <v>10652.898101122888</v>
      </c>
      <c r="R34" s="35">
        <f t="shared" si="10"/>
        <v>10595.708637272766</v>
      </c>
      <c r="S34" s="35">
        <f t="shared" si="10"/>
        <v>10375.34252260738</v>
      </c>
      <c r="T34" s="35">
        <f t="shared" si="10"/>
        <v>9875.8205826288868</v>
      </c>
      <c r="U34" s="35">
        <f t="shared" si="10"/>
        <v>0</v>
      </c>
      <c r="V34" s="35">
        <f t="shared" si="10"/>
        <v>0</v>
      </c>
      <c r="W34" s="35">
        <f t="shared" si="10"/>
        <v>0</v>
      </c>
      <c r="X34" s="35">
        <f t="shared" si="7"/>
        <v>0</v>
      </c>
      <c r="Y34" s="35">
        <f t="shared" si="7"/>
        <v>0</v>
      </c>
      <c r="Z34" s="35">
        <f t="shared" si="7"/>
        <v>0</v>
      </c>
      <c r="AA34" s="35">
        <f t="shared" si="9"/>
        <v>99999.999999999985</v>
      </c>
      <c r="AB34" s="28">
        <f t="shared" si="4"/>
        <v>31</v>
      </c>
      <c r="AC34" s="29">
        <f t="shared" si="5"/>
        <v>3100000</v>
      </c>
      <c r="AD34" s="61"/>
      <c r="AE34" s="45"/>
    </row>
    <row r="35" spans="1:31" ht="15">
      <c r="A35" s="23">
        <f t="shared" si="1"/>
        <v>2028</v>
      </c>
      <c r="B35" s="27">
        <v>46844</v>
      </c>
      <c r="C35" s="35">
        <f t="shared" ref="C35:R50" si="11">IF(AND(COLUMN()&gt;=11,COLUMN()&lt;=20),($AC35/$AB35)*C$5,0)</f>
        <v>0</v>
      </c>
      <c r="D35" s="35">
        <f t="shared" si="11"/>
        <v>0</v>
      </c>
      <c r="E35" s="35">
        <f t="shared" si="11"/>
        <v>0</v>
      </c>
      <c r="F35" s="35">
        <f t="shared" si="11"/>
        <v>0</v>
      </c>
      <c r="G35" s="35">
        <f t="shared" si="11"/>
        <v>0</v>
      </c>
      <c r="H35" s="35">
        <f t="shared" si="11"/>
        <v>0</v>
      </c>
      <c r="I35" s="35">
        <f t="shared" si="11"/>
        <v>0</v>
      </c>
      <c r="J35" s="35">
        <f t="shared" si="11"/>
        <v>0</v>
      </c>
      <c r="K35" s="35">
        <f t="shared" si="11"/>
        <v>8225.1751504185449</v>
      </c>
      <c r="L35" s="35">
        <f t="shared" si="11"/>
        <v>9058.1343505926634</v>
      </c>
      <c r="M35" s="35">
        <f t="shared" si="11"/>
        <v>9939.7224420285893</v>
      </c>
      <c r="N35" s="35">
        <f t="shared" si="11"/>
        <v>10310.271469389618</v>
      </c>
      <c r="O35" s="35">
        <f t="shared" si="11"/>
        <v>10414.476616203403</v>
      </c>
      <c r="P35" s="35">
        <f t="shared" si="11"/>
        <v>10552.450127735256</v>
      </c>
      <c r="Q35" s="35">
        <f t="shared" si="11"/>
        <v>10652.898101122888</v>
      </c>
      <c r="R35" s="35">
        <f t="shared" si="11"/>
        <v>10595.708637272766</v>
      </c>
      <c r="S35" s="35">
        <f t="shared" si="10"/>
        <v>10375.34252260738</v>
      </c>
      <c r="T35" s="35">
        <f t="shared" si="10"/>
        <v>9875.8205826288868</v>
      </c>
      <c r="U35" s="35">
        <f t="shared" si="10"/>
        <v>0</v>
      </c>
      <c r="V35" s="35">
        <f t="shared" si="10"/>
        <v>0</v>
      </c>
      <c r="W35" s="35">
        <f t="shared" si="10"/>
        <v>0</v>
      </c>
      <c r="X35" s="35">
        <f t="shared" si="7"/>
        <v>0</v>
      </c>
      <c r="Y35" s="35">
        <f t="shared" si="7"/>
        <v>0</v>
      </c>
      <c r="Z35" s="35">
        <f t="shared" si="7"/>
        <v>0</v>
      </c>
      <c r="AA35" s="35">
        <f t="shared" si="9"/>
        <v>99999.999999999985</v>
      </c>
      <c r="AB35" s="28">
        <f t="shared" si="4"/>
        <v>30</v>
      </c>
      <c r="AC35" s="29">
        <f t="shared" si="5"/>
        <v>3000000</v>
      </c>
      <c r="AD35" s="61"/>
      <c r="AE35" s="45"/>
    </row>
    <row r="36" spans="1:31" ht="15">
      <c r="A36" s="23">
        <f t="shared" si="1"/>
        <v>2028</v>
      </c>
      <c r="B36" s="27">
        <v>46874</v>
      </c>
      <c r="C36" s="35">
        <f t="shared" si="11"/>
        <v>0</v>
      </c>
      <c r="D36" s="35">
        <f t="shared" si="11"/>
        <v>0</v>
      </c>
      <c r="E36" s="35">
        <f t="shared" si="11"/>
        <v>0</v>
      </c>
      <c r="F36" s="35">
        <f t="shared" si="11"/>
        <v>0</v>
      </c>
      <c r="G36" s="35">
        <f t="shared" si="11"/>
        <v>0</v>
      </c>
      <c r="H36" s="35">
        <f t="shared" si="11"/>
        <v>0</v>
      </c>
      <c r="I36" s="35">
        <f t="shared" si="11"/>
        <v>0</v>
      </c>
      <c r="J36" s="35">
        <f t="shared" si="11"/>
        <v>0</v>
      </c>
      <c r="K36" s="35">
        <f t="shared" si="11"/>
        <v>8225.1751504185449</v>
      </c>
      <c r="L36" s="35">
        <f t="shared" si="11"/>
        <v>9058.1343505926634</v>
      </c>
      <c r="M36" s="35">
        <f t="shared" si="11"/>
        <v>9939.7224420285893</v>
      </c>
      <c r="N36" s="35">
        <f t="shared" si="11"/>
        <v>10310.271469389618</v>
      </c>
      <c r="O36" s="35">
        <f t="shared" si="11"/>
        <v>10414.476616203403</v>
      </c>
      <c r="P36" s="35">
        <f t="shared" si="11"/>
        <v>10552.450127735256</v>
      </c>
      <c r="Q36" s="35">
        <f t="shared" si="11"/>
        <v>10652.898101122888</v>
      </c>
      <c r="R36" s="35">
        <f t="shared" si="11"/>
        <v>10595.708637272766</v>
      </c>
      <c r="S36" s="35">
        <f t="shared" si="10"/>
        <v>10375.34252260738</v>
      </c>
      <c r="T36" s="35">
        <f t="shared" si="10"/>
        <v>9875.8205826288868</v>
      </c>
      <c r="U36" s="35">
        <f t="shared" si="10"/>
        <v>0</v>
      </c>
      <c r="V36" s="35">
        <f t="shared" si="10"/>
        <v>0</v>
      </c>
      <c r="W36" s="35">
        <f t="shared" si="10"/>
        <v>0</v>
      </c>
      <c r="X36" s="35">
        <f t="shared" si="7"/>
        <v>0</v>
      </c>
      <c r="Y36" s="35">
        <f t="shared" si="7"/>
        <v>0</v>
      </c>
      <c r="Z36" s="35">
        <f t="shared" si="7"/>
        <v>0</v>
      </c>
      <c r="AA36" s="35">
        <f t="shared" si="9"/>
        <v>99999.999999999985</v>
      </c>
      <c r="AB36" s="28">
        <f t="shared" si="4"/>
        <v>31</v>
      </c>
      <c r="AC36" s="29">
        <f t="shared" si="5"/>
        <v>3100000</v>
      </c>
      <c r="AD36" s="61"/>
      <c r="AE36" s="45"/>
    </row>
    <row r="37" spans="1:31" ht="15">
      <c r="A37" s="23">
        <f t="shared" si="1"/>
        <v>2028</v>
      </c>
      <c r="B37" s="27">
        <v>46905</v>
      </c>
      <c r="C37" s="35">
        <f t="shared" si="11"/>
        <v>0</v>
      </c>
      <c r="D37" s="35">
        <f t="shared" si="11"/>
        <v>0</v>
      </c>
      <c r="E37" s="35">
        <f t="shared" si="11"/>
        <v>0</v>
      </c>
      <c r="F37" s="35">
        <f t="shared" si="11"/>
        <v>0</v>
      </c>
      <c r="G37" s="35">
        <f t="shared" si="11"/>
        <v>0</v>
      </c>
      <c r="H37" s="35">
        <f t="shared" si="11"/>
        <v>0</v>
      </c>
      <c r="I37" s="35">
        <f t="shared" si="11"/>
        <v>0</v>
      </c>
      <c r="J37" s="35">
        <f t="shared" si="11"/>
        <v>0</v>
      </c>
      <c r="K37" s="35">
        <f t="shared" si="11"/>
        <v>8225.1751504185449</v>
      </c>
      <c r="L37" s="35">
        <f t="shared" si="11"/>
        <v>9058.1343505926634</v>
      </c>
      <c r="M37" s="35">
        <f t="shared" si="11"/>
        <v>9939.7224420285893</v>
      </c>
      <c r="N37" s="35">
        <f t="shared" si="11"/>
        <v>10310.271469389618</v>
      </c>
      <c r="O37" s="35">
        <f t="shared" si="11"/>
        <v>10414.476616203403</v>
      </c>
      <c r="P37" s="35">
        <f t="shared" si="11"/>
        <v>10552.450127735256</v>
      </c>
      <c r="Q37" s="35">
        <f t="shared" si="11"/>
        <v>10652.898101122888</v>
      </c>
      <c r="R37" s="35">
        <f t="shared" si="11"/>
        <v>10595.708637272766</v>
      </c>
      <c r="S37" s="35">
        <f t="shared" si="10"/>
        <v>10375.34252260738</v>
      </c>
      <c r="T37" s="35">
        <f t="shared" si="10"/>
        <v>9875.8205826288868</v>
      </c>
      <c r="U37" s="35">
        <f t="shared" si="10"/>
        <v>0</v>
      </c>
      <c r="V37" s="35">
        <f t="shared" si="10"/>
        <v>0</v>
      </c>
      <c r="W37" s="35">
        <f t="shared" si="10"/>
        <v>0</v>
      </c>
      <c r="X37" s="35">
        <f t="shared" si="7"/>
        <v>0</v>
      </c>
      <c r="Y37" s="35">
        <f t="shared" si="7"/>
        <v>0</v>
      </c>
      <c r="Z37" s="35">
        <f t="shared" si="7"/>
        <v>0</v>
      </c>
      <c r="AA37" s="35">
        <f t="shared" si="9"/>
        <v>99999.999999999985</v>
      </c>
      <c r="AB37" s="28">
        <f t="shared" si="4"/>
        <v>30</v>
      </c>
      <c r="AC37" s="29">
        <f t="shared" si="5"/>
        <v>3000000</v>
      </c>
      <c r="AD37" s="61"/>
      <c r="AE37" s="45"/>
    </row>
    <row r="38" spans="1:31" ht="15">
      <c r="A38" s="23">
        <f t="shared" si="1"/>
        <v>2028</v>
      </c>
      <c r="B38" s="27">
        <v>46935</v>
      </c>
      <c r="C38" s="35">
        <f t="shared" si="11"/>
        <v>0</v>
      </c>
      <c r="D38" s="35">
        <f t="shared" si="11"/>
        <v>0</v>
      </c>
      <c r="E38" s="35">
        <f t="shared" si="11"/>
        <v>0</v>
      </c>
      <c r="F38" s="35">
        <f t="shared" si="11"/>
        <v>0</v>
      </c>
      <c r="G38" s="35">
        <f t="shared" si="11"/>
        <v>0</v>
      </c>
      <c r="H38" s="35">
        <f t="shared" si="11"/>
        <v>0</v>
      </c>
      <c r="I38" s="35">
        <f t="shared" si="11"/>
        <v>0</v>
      </c>
      <c r="J38" s="35">
        <f t="shared" si="11"/>
        <v>0</v>
      </c>
      <c r="K38" s="35">
        <f t="shared" si="11"/>
        <v>8225.1751504185449</v>
      </c>
      <c r="L38" s="35">
        <f t="shared" si="11"/>
        <v>9058.1343505926634</v>
      </c>
      <c r="M38" s="35">
        <f t="shared" si="11"/>
        <v>9939.7224420285893</v>
      </c>
      <c r="N38" s="35">
        <f t="shared" si="11"/>
        <v>10310.271469389618</v>
      </c>
      <c r="O38" s="35">
        <f t="shared" si="11"/>
        <v>10414.476616203403</v>
      </c>
      <c r="P38" s="35">
        <f t="shared" si="11"/>
        <v>10552.450127735256</v>
      </c>
      <c r="Q38" s="35">
        <f t="shared" si="11"/>
        <v>10652.898101122888</v>
      </c>
      <c r="R38" s="35">
        <f t="shared" si="11"/>
        <v>10595.708637272766</v>
      </c>
      <c r="S38" s="35">
        <f t="shared" si="10"/>
        <v>10375.34252260738</v>
      </c>
      <c r="T38" s="35">
        <f t="shared" si="10"/>
        <v>9875.8205826288868</v>
      </c>
      <c r="U38" s="35">
        <f t="shared" si="10"/>
        <v>0</v>
      </c>
      <c r="V38" s="35">
        <f t="shared" si="10"/>
        <v>0</v>
      </c>
      <c r="W38" s="35">
        <f t="shared" si="10"/>
        <v>0</v>
      </c>
      <c r="X38" s="35">
        <f t="shared" si="7"/>
        <v>0</v>
      </c>
      <c r="Y38" s="35">
        <f t="shared" si="7"/>
        <v>0</v>
      </c>
      <c r="Z38" s="35">
        <f t="shared" si="7"/>
        <v>0</v>
      </c>
      <c r="AA38" s="35">
        <f t="shared" si="9"/>
        <v>99999.999999999985</v>
      </c>
      <c r="AB38" s="28">
        <f t="shared" si="4"/>
        <v>31</v>
      </c>
      <c r="AC38" s="29">
        <f t="shared" si="5"/>
        <v>3100000</v>
      </c>
      <c r="AD38" s="61"/>
      <c r="AE38" s="45"/>
    </row>
    <row r="39" spans="1:31" ht="15">
      <c r="A39" s="23">
        <f t="shared" si="1"/>
        <v>2028</v>
      </c>
      <c r="B39" s="27">
        <v>46966</v>
      </c>
      <c r="C39" s="35">
        <f t="shared" si="11"/>
        <v>0</v>
      </c>
      <c r="D39" s="35">
        <f t="shared" si="11"/>
        <v>0</v>
      </c>
      <c r="E39" s="35">
        <f t="shared" si="11"/>
        <v>0</v>
      </c>
      <c r="F39" s="35">
        <f t="shared" si="11"/>
        <v>0</v>
      </c>
      <c r="G39" s="35">
        <f t="shared" si="11"/>
        <v>0</v>
      </c>
      <c r="H39" s="35">
        <f t="shared" si="11"/>
        <v>0</v>
      </c>
      <c r="I39" s="35">
        <f t="shared" si="11"/>
        <v>0</v>
      </c>
      <c r="J39" s="35">
        <f t="shared" si="11"/>
        <v>0</v>
      </c>
      <c r="K39" s="35">
        <f t="shared" si="11"/>
        <v>8225.1751504185449</v>
      </c>
      <c r="L39" s="35">
        <f t="shared" si="11"/>
        <v>9058.1343505926634</v>
      </c>
      <c r="M39" s="35">
        <f t="shared" si="11"/>
        <v>9939.7224420285893</v>
      </c>
      <c r="N39" s="35">
        <f t="shared" si="11"/>
        <v>10310.271469389618</v>
      </c>
      <c r="O39" s="35">
        <f t="shared" si="11"/>
        <v>10414.476616203403</v>
      </c>
      <c r="P39" s="35">
        <f t="shared" si="11"/>
        <v>10552.450127735256</v>
      </c>
      <c r="Q39" s="35">
        <f t="shared" si="11"/>
        <v>10652.898101122888</v>
      </c>
      <c r="R39" s="35">
        <f t="shared" si="11"/>
        <v>10595.708637272766</v>
      </c>
      <c r="S39" s="35">
        <f t="shared" si="10"/>
        <v>10375.34252260738</v>
      </c>
      <c r="T39" s="35">
        <f t="shared" si="10"/>
        <v>9875.8205826288868</v>
      </c>
      <c r="U39" s="35">
        <f t="shared" si="10"/>
        <v>0</v>
      </c>
      <c r="V39" s="35">
        <f t="shared" si="10"/>
        <v>0</v>
      </c>
      <c r="W39" s="35">
        <f t="shared" si="10"/>
        <v>0</v>
      </c>
      <c r="X39" s="35">
        <f t="shared" si="7"/>
        <v>0</v>
      </c>
      <c r="Y39" s="35">
        <f t="shared" si="7"/>
        <v>0</v>
      </c>
      <c r="Z39" s="35">
        <f t="shared" si="7"/>
        <v>0</v>
      </c>
      <c r="AA39" s="35">
        <f t="shared" si="9"/>
        <v>99999.999999999985</v>
      </c>
      <c r="AB39" s="28">
        <f t="shared" si="4"/>
        <v>31</v>
      </c>
      <c r="AC39" s="29">
        <f t="shared" si="5"/>
        <v>3100000</v>
      </c>
      <c r="AD39" s="61"/>
      <c r="AE39" s="45"/>
    </row>
    <row r="40" spans="1:31" ht="15">
      <c r="A40" s="23">
        <f t="shared" si="1"/>
        <v>2028</v>
      </c>
      <c r="B40" s="27">
        <v>46997</v>
      </c>
      <c r="C40" s="35">
        <f t="shared" si="11"/>
        <v>0</v>
      </c>
      <c r="D40" s="35">
        <f t="shared" si="11"/>
        <v>0</v>
      </c>
      <c r="E40" s="35">
        <f t="shared" si="11"/>
        <v>0</v>
      </c>
      <c r="F40" s="35">
        <f t="shared" si="11"/>
        <v>0</v>
      </c>
      <c r="G40" s="35">
        <f t="shared" si="11"/>
        <v>0</v>
      </c>
      <c r="H40" s="35">
        <f t="shared" si="11"/>
        <v>0</v>
      </c>
      <c r="I40" s="35">
        <f t="shared" si="11"/>
        <v>0</v>
      </c>
      <c r="J40" s="35">
        <f t="shared" si="11"/>
        <v>0</v>
      </c>
      <c r="K40" s="35">
        <f t="shared" si="11"/>
        <v>8225.1751504185449</v>
      </c>
      <c r="L40" s="35">
        <f t="shared" si="11"/>
        <v>9058.1343505926634</v>
      </c>
      <c r="M40" s="35">
        <f t="shared" si="11"/>
        <v>9939.7224420285893</v>
      </c>
      <c r="N40" s="35">
        <f t="shared" si="11"/>
        <v>10310.271469389618</v>
      </c>
      <c r="O40" s="35">
        <f t="shared" si="11"/>
        <v>10414.476616203403</v>
      </c>
      <c r="P40" s="35">
        <f t="shared" si="11"/>
        <v>10552.450127735256</v>
      </c>
      <c r="Q40" s="35">
        <f t="shared" si="11"/>
        <v>10652.898101122888</v>
      </c>
      <c r="R40" s="35">
        <f t="shared" si="11"/>
        <v>10595.708637272766</v>
      </c>
      <c r="S40" s="35">
        <f t="shared" si="10"/>
        <v>10375.34252260738</v>
      </c>
      <c r="T40" s="35">
        <f t="shared" si="10"/>
        <v>9875.8205826288868</v>
      </c>
      <c r="U40" s="35">
        <f t="shared" si="10"/>
        <v>0</v>
      </c>
      <c r="V40" s="35">
        <f t="shared" si="10"/>
        <v>0</v>
      </c>
      <c r="W40" s="35">
        <f t="shared" si="10"/>
        <v>0</v>
      </c>
      <c r="X40" s="35">
        <f t="shared" si="7"/>
        <v>0</v>
      </c>
      <c r="Y40" s="35">
        <f t="shared" si="7"/>
        <v>0</v>
      </c>
      <c r="Z40" s="35">
        <f t="shared" si="7"/>
        <v>0</v>
      </c>
      <c r="AA40" s="35">
        <f t="shared" si="9"/>
        <v>99999.999999999985</v>
      </c>
      <c r="AB40" s="28">
        <f t="shared" si="4"/>
        <v>30</v>
      </c>
      <c r="AC40" s="29">
        <f t="shared" si="5"/>
        <v>3000000</v>
      </c>
      <c r="AD40" s="61"/>
      <c r="AE40" s="45"/>
    </row>
    <row r="41" spans="1:31" ht="15">
      <c r="A41" s="23">
        <f t="shared" si="1"/>
        <v>2028</v>
      </c>
      <c r="B41" s="27">
        <v>47027</v>
      </c>
      <c r="C41" s="35">
        <f t="shared" si="11"/>
        <v>0</v>
      </c>
      <c r="D41" s="35">
        <f t="shared" si="11"/>
        <v>0</v>
      </c>
      <c r="E41" s="35">
        <f t="shared" si="11"/>
        <v>0</v>
      </c>
      <c r="F41" s="35">
        <f t="shared" si="11"/>
        <v>0</v>
      </c>
      <c r="G41" s="35">
        <f t="shared" si="11"/>
        <v>0</v>
      </c>
      <c r="H41" s="35">
        <f t="shared" si="11"/>
        <v>0</v>
      </c>
      <c r="I41" s="35">
        <f t="shared" si="11"/>
        <v>0</v>
      </c>
      <c r="J41" s="35">
        <f t="shared" si="11"/>
        <v>0</v>
      </c>
      <c r="K41" s="35">
        <f t="shared" si="11"/>
        <v>8225.1751504185449</v>
      </c>
      <c r="L41" s="35">
        <f t="shared" si="11"/>
        <v>9058.1343505926634</v>
      </c>
      <c r="M41" s="35">
        <f t="shared" si="11"/>
        <v>9939.7224420285893</v>
      </c>
      <c r="N41" s="35">
        <f t="shared" si="11"/>
        <v>10310.271469389618</v>
      </c>
      <c r="O41" s="35">
        <f t="shared" si="11"/>
        <v>10414.476616203403</v>
      </c>
      <c r="P41" s="35">
        <f t="shared" si="11"/>
        <v>10552.450127735256</v>
      </c>
      <c r="Q41" s="35">
        <f t="shared" si="11"/>
        <v>10652.898101122888</v>
      </c>
      <c r="R41" s="35">
        <f t="shared" si="11"/>
        <v>10595.708637272766</v>
      </c>
      <c r="S41" s="35">
        <f t="shared" si="10"/>
        <v>10375.34252260738</v>
      </c>
      <c r="T41" s="35">
        <f t="shared" si="10"/>
        <v>9875.8205826288868</v>
      </c>
      <c r="U41" s="35">
        <f t="shared" si="10"/>
        <v>0</v>
      </c>
      <c r="V41" s="35">
        <f t="shared" si="10"/>
        <v>0</v>
      </c>
      <c r="W41" s="35">
        <f t="shared" si="10"/>
        <v>0</v>
      </c>
      <c r="X41" s="35">
        <f t="shared" si="7"/>
        <v>0</v>
      </c>
      <c r="Y41" s="35">
        <f t="shared" si="7"/>
        <v>0</v>
      </c>
      <c r="Z41" s="35">
        <f t="shared" si="7"/>
        <v>0</v>
      </c>
      <c r="AA41" s="35">
        <f t="shared" si="9"/>
        <v>99999.999999999985</v>
      </c>
      <c r="AB41" s="28">
        <f t="shared" si="4"/>
        <v>31</v>
      </c>
      <c r="AC41" s="29">
        <f t="shared" si="5"/>
        <v>3100000</v>
      </c>
      <c r="AD41" s="61"/>
      <c r="AE41" s="45"/>
    </row>
    <row r="42" spans="1:31" ht="15">
      <c r="A42" s="23">
        <f t="shared" si="1"/>
        <v>2028</v>
      </c>
      <c r="B42" s="27">
        <v>47058</v>
      </c>
      <c r="C42" s="35">
        <f t="shared" si="11"/>
        <v>0</v>
      </c>
      <c r="D42" s="35">
        <f t="shared" si="11"/>
        <v>0</v>
      </c>
      <c r="E42" s="35">
        <f t="shared" si="11"/>
        <v>0</v>
      </c>
      <c r="F42" s="35">
        <f t="shared" si="11"/>
        <v>0</v>
      </c>
      <c r="G42" s="35">
        <f t="shared" si="11"/>
        <v>0</v>
      </c>
      <c r="H42" s="35">
        <f t="shared" si="11"/>
        <v>0</v>
      </c>
      <c r="I42" s="35">
        <f t="shared" si="11"/>
        <v>0</v>
      </c>
      <c r="J42" s="35">
        <f t="shared" si="11"/>
        <v>0</v>
      </c>
      <c r="K42" s="35">
        <f t="shared" si="11"/>
        <v>8225.1751504185449</v>
      </c>
      <c r="L42" s="35">
        <f t="shared" si="11"/>
        <v>9058.1343505926634</v>
      </c>
      <c r="M42" s="35">
        <f t="shared" si="11"/>
        <v>9939.7224420285893</v>
      </c>
      <c r="N42" s="35">
        <f t="shared" si="11"/>
        <v>10310.271469389618</v>
      </c>
      <c r="O42" s="35">
        <f t="shared" si="11"/>
        <v>10414.476616203403</v>
      </c>
      <c r="P42" s="35">
        <f t="shared" si="11"/>
        <v>10552.450127735256</v>
      </c>
      <c r="Q42" s="35">
        <f t="shared" si="11"/>
        <v>10652.898101122888</v>
      </c>
      <c r="R42" s="35">
        <f t="shared" si="11"/>
        <v>10595.708637272766</v>
      </c>
      <c r="S42" s="35">
        <f t="shared" si="10"/>
        <v>10375.34252260738</v>
      </c>
      <c r="T42" s="35">
        <f t="shared" si="10"/>
        <v>9875.8205826288868</v>
      </c>
      <c r="U42" s="35">
        <f t="shared" si="10"/>
        <v>0</v>
      </c>
      <c r="V42" s="35">
        <f t="shared" si="10"/>
        <v>0</v>
      </c>
      <c r="W42" s="35">
        <f t="shared" si="10"/>
        <v>0</v>
      </c>
      <c r="X42" s="35">
        <f t="shared" si="7"/>
        <v>0</v>
      </c>
      <c r="Y42" s="35">
        <f t="shared" si="7"/>
        <v>0</v>
      </c>
      <c r="Z42" s="35">
        <f t="shared" si="7"/>
        <v>0</v>
      </c>
      <c r="AA42" s="35">
        <f t="shared" si="9"/>
        <v>99999.999999999985</v>
      </c>
      <c r="AB42" s="28">
        <f t="shared" si="4"/>
        <v>30</v>
      </c>
      <c r="AC42" s="29">
        <f t="shared" si="5"/>
        <v>3000000</v>
      </c>
      <c r="AD42" s="61"/>
      <c r="AE42" s="45"/>
    </row>
    <row r="43" spans="1:31" ht="15">
      <c r="A43" s="23">
        <f t="shared" si="1"/>
        <v>2028</v>
      </c>
      <c r="B43" s="27">
        <v>47088</v>
      </c>
      <c r="C43" s="35">
        <f t="shared" si="11"/>
        <v>0</v>
      </c>
      <c r="D43" s="35">
        <f t="shared" si="11"/>
        <v>0</v>
      </c>
      <c r="E43" s="35">
        <f t="shared" si="11"/>
        <v>0</v>
      </c>
      <c r="F43" s="35">
        <f t="shared" si="11"/>
        <v>0</v>
      </c>
      <c r="G43" s="35">
        <f t="shared" si="11"/>
        <v>0</v>
      </c>
      <c r="H43" s="35">
        <f t="shared" si="11"/>
        <v>0</v>
      </c>
      <c r="I43" s="35">
        <f t="shared" si="11"/>
        <v>0</v>
      </c>
      <c r="J43" s="35">
        <f t="shared" si="11"/>
        <v>0</v>
      </c>
      <c r="K43" s="35">
        <f t="shared" si="11"/>
        <v>8225.1751504185449</v>
      </c>
      <c r="L43" s="35">
        <f t="shared" si="11"/>
        <v>9058.1343505926634</v>
      </c>
      <c r="M43" s="35">
        <f t="shared" si="11"/>
        <v>9939.7224420285893</v>
      </c>
      <c r="N43" s="35">
        <f t="shared" si="11"/>
        <v>10310.271469389618</v>
      </c>
      <c r="O43" s="35">
        <f t="shared" si="11"/>
        <v>10414.476616203403</v>
      </c>
      <c r="P43" s="35">
        <f t="shared" si="11"/>
        <v>10552.450127735256</v>
      </c>
      <c r="Q43" s="35">
        <f t="shared" si="11"/>
        <v>10652.898101122888</v>
      </c>
      <c r="R43" s="35">
        <f t="shared" si="11"/>
        <v>10595.708637272766</v>
      </c>
      <c r="S43" s="35">
        <f t="shared" si="10"/>
        <v>10375.34252260738</v>
      </c>
      <c r="T43" s="35">
        <f t="shared" si="10"/>
        <v>9875.8205826288868</v>
      </c>
      <c r="U43" s="35">
        <f t="shared" si="10"/>
        <v>0</v>
      </c>
      <c r="V43" s="35">
        <f t="shared" si="10"/>
        <v>0</v>
      </c>
      <c r="W43" s="35">
        <f t="shared" si="10"/>
        <v>0</v>
      </c>
      <c r="X43" s="35">
        <f t="shared" si="7"/>
        <v>0</v>
      </c>
      <c r="Y43" s="35">
        <f t="shared" si="7"/>
        <v>0</v>
      </c>
      <c r="Z43" s="35">
        <f t="shared" si="7"/>
        <v>0</v>
      </c>
      <c r="AA43" s="35">
        <f t="shared" ref="AA43:AA44" si="12">SUM(C43:Z43)</f>
        <v>99999.999999999985</v>
      </c>
      <c r="AB43" s="28">
        <f t="shared" si="4"/>
        <v>31</v>
      </c>
      <c r="AC43" s="29">
        <f t="shared" si="5"/>
        <v>3100000</v>
      </c>
      <c r="AD43" s="61"/>
      <c r="AE43" s="45"/>
    </row>
    <row r="44" spans="1:31" ht="15">
      <c r="A44" s="23">
        <f t="shared" si="1"/>
        <v>2029</v>
      </c>
      <c r="B44" s="27">
        <v>47119</v>
      </c>
      <c r="C44" s="35">
        <f t="shared" si="11"/>
        <v>0</v>
      </c>
      <c r="D44" s="35">
        <f t="shared" si="11"/>
        <v>0</v>
      </c>
      <c r="E44" s="35">
        <f t="shared" si="11"/>
        <v>0</v>
      </c>
      <c r="F44" s="35">
        <f t="shared" si="11"/>
        <v>0</v>
      </c>
      <c r="G44" s="35">
        <f t="shared" si="11"/>
        <v>0</v>
      </c>
      <c r="H44" s="35">
        <f t="shared" si="11"/>
        <v>0</v>
      </c>
      <c r="I44" s="35">
        <f t="shared" si="11"/>
        <v>0</v>
      </c>
      <c r="J44" s="35">
        <f t="shared" si="11"/>
        <v>0</v>
      </c>
      <c r="K44" s="35">
        <f t="shared" si="11"/>
        <v>8225.1751504185449</v>
      </c>
      <c r="L44" s="35">
        <f t="shared" si="11"/>
        <v>9058.1343505926634</v>
      </c>
      <c r="M44" s="35">
        <f t="shared" si="11"/>
        <v>9939.7224420285893</v>
      </c>
      <c r="N44" s="35">
        <f t="shared" si="11"/>
        <v>10310.271469389618</v>
      </c>
      <c r="O44" s="35">
        <f t="shared" si="11"/>
        <v>10414.476616203403</v>
      </c>
      <c r="P44" s="35">
        <f t="shared" si="11"/>
        <v>10552.450127735256</v>
      </c>
      <c r="Q44" s="35">
        <f t="shared" si="11"/>
        <v>10652.898101122888</v>
      </c>
      <c r="R44" s="35">
        <f t="shared" si="11"/>
        <v>10595.708637272766</v>
      </c>
      <c r="S44" s="35">
        <f t="shared" si="10"/>
        <v>10375.34252260738</v>
      </c>
      <c r="T44" s="35">
        <f t="shared" si="10"/>
        <v>9875.8205826288868</v>
      </c>
      <c r="U44" s="35">
        <f t="shared" si="10"/>
        <v>0</v>
      </c>
      <c r="V44" s="35">
        <f t="shared" si="10"/>
        <v>0</v>
      </c>
      <c r="W44" s="35">
        <f t="shared" si="10"/>
        <v>0</v>
      </c>
      <c r="X44" s="35">
        <f t="shared" si="7"/>
        <v>0</v>
      </c>
      <c r="Y44" s="35">
        <f t="shared" si="7"/>
        <v>0</v>
      </c>
      <c r="Z44" s="35">
        <f t="shared" si="7"/>
        <v>0</v>
      </c>
      <c r="AA44" s="35">
        <f t="shared" si="12"/>
        <v>99999.999999999985</v>
      </c>
      <c r="AB44" s="28">
        <f t="shared" si="4"/>
        <v>31</v>
      </c>
      <c r="AC44" s="29">
        <f t="shared" si="5"/>
        <v>3100000</v>
      </c>
      <c r="AD44" s="61"/>
      <c r="AE44" s="45"/>
    </row>
    <row r="45" spans="1:31" ht="15">
      <c r="A45" s="23">
        <f t="shared" si="1"/>
        <v>2029</v>
      </c>
      <c r="B45" s="27">
        <v>47150</v>
      </c>
      <c r="C45" s="35">
        <f t="shared" si="11"/>
        <v>0</v>
      </c>
      <c r="D45" s="35">
        <f t="shared" si="11"/>
        <v>0</v>
      </c>
      <c r="E45" s="35">
        <f t="shared" si="11"/>
        <v>0</v>
      </c>
      <c r="F45" s="35">
        <f t="shared" si="11"/>
        <v>0</v>
      </c>
      <c r="G45" s="35">
        <f t="shared" si="11"/>
        <v>0</v>
      </c>
      <c r="H45" s="35">
        <f t="shared" si="11"/>
        <v>0</v>
      </c>
      <c r="I45" s="35">
        <f t="shared" si="11"/>
        <v>0</v>
      </c>
      <c r="J45" s="35">
        <f t="shared" si="11"/>
        <v>0</v>
      </c>
      <c r="K45" s="35">
        <f t="shared" si="11"/>
        <v>8225.1751504185449</v>
      </c>
      <c r="L45" s="35">
        <f t="shared" si="11"/>
        <v>9058.1343505926634</v>
      </c>
      <c r="M45" s="35">
        <f t="shared" si="11"/>
        <v>9939.7224420285893</v>
      </c>
      <c r="N45" s="35">
        <f t="shared" si="11"/>
        <v>10310.271469389618</v>
      </c>
      <c r="O45" s="35">
        <f t="shared" si="11"/>
        <v>10414.476616203403</v>
      </c>
      <c r="P45" s="35">
        <f t="shared" si="11"/>
        <v>10552.450127735256</v>
      </c>
      <c r="Q45" s="35">
        <f t="shared" si="11"/>
        <v>10652.898101122888</v>
      </c>
      <c r="R45" s="35">
        <f t="shared" si="11"/>
        <v>10595.708637272766</v>
      </c>
      <c r="S45" s="35">
        <f t="shared" si="10"/>
        <v>10375.34252260738</v>
      </c>
      <c r="T45" s="35">
        <f t="shared" si="10"/>
        <v>9875.8205826288868</v>
      </c>
      <c r="U45" s="35">
        <f t="shared" si="10"/>
        <v>0</v>
      </c>
      <c r="V45" s="35">
        <f t="shared" si="10"/>
        <v>0</v>
      </c>
      <c r="W45" s="35">
        <f t="shared" si="10"/>
        <v>0</v>
      </c>
      <c r="X45" s="35">
        <f t="shared" si="7"/>
        <v>0</v>
      </c>
      <c r="Y45" s="35">
        <f t="shared" si="7"/>
        <v>0</v>
      </c>
      <c r="Z45" s="35">
        <f t="shared" si="7"/>
        <v>0</v>
      </c>
      <c r="AA45" s="35">
        <f t="shared" ref="AA45:AA55" si="13">SUM(C45:Z45)</f>
        <v>99999.999999999985</v>
      </c>
      <c r="AB45" s="28">
        <f t="shared" si="4"/>
        <v>28</v>
      </c>
      <c r="AC45" s="29">
        <f t="shared" si="5"/>
        <v>2800000</v>
      </c>
      <c r="AD45" s="61"/>
      <c r="AE45" s="45"/>
    </row>
    <row r="46" spans="1:31" ht="15">
      <c r="A46" s="23">
        <f t="shared" si="1"/>
        <v>2029</v>
      </c>
      <c r="B46" s="27">
        <v>47178</v>
      </c>
      <c r="C46" s="35">
        <f t="shared" si="11"/>
        <v>0</v>
      </c>
      <c r="D46" s="35">
        <f t="shared" si="11"/>
        <v>0</v>
      </c>
      <c r="E46" s="35">
        <f t="shared" si="11"/>
        <v>0</v>
      </c>
      <c r="F46" s="35">
        <f t="shared" si="11"/>
        <v>0</v>
      </c>
      <c r="G46" s="35">
        <f t="shared" si="11"/>
        <v>0</v>
      </c>
      <c r="H46" s="35">
        <f t="shared" si="11"/>
        <v>0</v>
      </c>
      <c r="I46" s="35">
        <f t="shared" si="11"/>
        <v>0</v>
      </c>
      <c r="J46" s="35">
        <f t="shared" si="11"/>
        <v>0</v>
      </c>
      <c r="K46" s="35">
        <f t="shared" si="11"/>
        <v>8225.1751504185449</v>
      </c>
      <c r="L46" s="35">
        <f t="shared" si="11"/>
        <v>9058.1343505926634</v>
      </c>
      <c r="M46" s="35">
        <f t="shared" si="11"/>
        <v>9939.7224420285893</v>
      </c>
      <c r="N46" s="35">
        <f t="shared" si="11"/>
        <v>10310.271469389618</v>
      </c>
      <c r="O46" s="35">
        <f t="shared" si="11"/>
        <v>10414.476616203403</v>
      </c>
      <c r="P46" s="35">
        <f t="shared" si="11"/>
        <v>10552.450127735256</v>
      </c>
      <c r="Q46" s="35">
        <f t="shared" si="11"/>
        <v>10652.898101122888</v>
      </c>
      <c r="R46" s="35">
        <f t="shared" si="11"/>
        <v>10595.708637272766</v>
      </c>
      <c r="S46" s="35">
        <f t="shared" si="10"/>
        <v>10375.34252260738</v>
      </c>
      <c r="T46" s="35">
        <f t="shared" si="10"/>
        <v>9875.8205826288868</v>
      </c>
      <c r="U46" s="35">
        <f t="shared" si="10"/>
        <v>0</v>
      </c>
      <c r="V46" s="35">
        <f t="shared" si="10"/>
        <v>0</v>
      </c>
      <c r="W46" s="35">
        <f t="shared" si="10"/>
        <v>0</v>
      </c>
      <c r="X46" s="35">
        <f t="shared" si="7"/>
        <v>0</v>
      </c>
      <c r="Y46" s="35">
        <f t="shared" si="7"/>
        <v>0</v>
      </c>
      <c r="Z46" s="35">
        <f t="shared" si="7"/>
        <v>0</v>
      </c>
      <c r="AA46" s="35">
        <f t="shared" si="13"/>
        <v>99999.999999999985</v>
      </c>
      <c r="AB46" s="28">
        <f t="shared" si="4"/>
        <v>31</v>
      </c>
      <c r="AC46" s="29">
        <f t="shared" si="5"/>
        <v>3100000</v>
      </c>
      <c r="AD46" s="61"/>
      <c r="AE46" s="45"/>
    </row>
    <row r="47" spans="1:31" ht="15">
      <c r="A47" s="23">
        <f t="shared" si="1"/>
        <v>2029</v>
      </c>
      <c r="B47" s="27">
        <v>47209</v>
      </c>
      <c r="C47" s="35">
        <f t="shared" si="11"/>
        <v>0</v>
      </c>
      <c r="D47" s="35">
        <f t="shared" si="11"/>
        <v>0</v>
      </c>
      <c r="E47" s="35">
        <f t="shared" si="11"/>
        <v>0</v>
      </c>
      <c r="F47" s="35">
        <f t="shared" si="11"/>
        <v>0</v>
      </c>
      <c r="G47" s="35">
        <f t="shared" si="11"/>
        <v>0</v>
      </c>
      <c r="H47" s="35">
        <f t="shared" si="11"/>
        <v>0</v>
      </c>
      <c r="I47" s="35">
        <f t="shared" si="11"/>
        <v>0</v>
      </c>
      <c r="J47" s="35">
        <f t="shared" si="11"/>
        <v>0</v>
      </c>
      <c r="K47" s="35">
        <f t="shared" si="11"/>
        <v>8225.1751504185449</v>
      </c>
      <c r="L47" s="35">
        <f t="shared" si="11"/>
        <v>9058.1343505926634</v>
      </c>
      <c r="M47" s="35">
        <f t="shared" si="11"/>
        <v>9939.7224420285893</v>
      </c>
      <c r="N47" s="35">
        <f t="shared" si="11"/>
        <v>10310.271469389618</v>
      </c>
      <c r="O47" s="35">
        <f t="shared" si="11"/>
        <v>10414.476616203403</v>
      </c>
      <c r="P47" s="35">
        <f t="shared" si="11"/>
        <v>10552.450127735256</v>
      </c>
      <c r="Q47" s="35">
        <f t="shared" si="11"/>
        <v>10652.898101122888</v>
      </c>
      <c r="R47" s="35">
        <f t="shared" si="11"/>
        <v>10595.708637272766</v>
      </c>
      <c r="S47" s="35">
        <f t="shared" si="10"/>
        <v>10375.34252260738</v>
      </c>
      <c r="T47" s="35">
        <f t="shared" si="10"/>
        <v>9875.8205826288868</v>
      </c>
      <c r="U47" s="35">
        <f t="shared" si="10"/>
        <v>0</v>
      </c>
      <c r="V47" s="35">
        <f t="shared" si="10"/>
        <v>0</v>
      </c>
      <c r="W47" s="35">
        <f t="shared" si="10"/>
        <v>0</v>
      </c>
      <c r="X47" s="35">
        <f t="shared" si="7"/>
        <v>0</v>
      </c>
      <c r="Y47" s="35">
        <f t="shared" si="7"/>
        <v>0</v>
      </c>
      <c r="Z47" s="35">
        <f t="shared" si="7"/>
        <v>0</v>
      </c>
      <c r="AA47" s="35">
        <f t="shared" si="13"/>
        <v>99999.999999999985</v>
      </c>
      <c r="AB47" s="28">
        <f t="shared" si="4"/>
        <v>30</v>
      </c>
      <c r="AC47" s="29">
        <f t="shared" si="5"/>
        <v>3000000</v>
      </c>
      <c r="AD47" s="61"/>
      <c r="AE47" s="45"/>
    </row>
    <row r="48" spans="1:31" ht="15">
      <c r="A48" s="23">
        <f t="shared" si="1"/>
        <v>2029</v>
      </c>
      <c r="B48" s="27">
        <v>47239</v>
      </c>
      <c r="C48" s="35">
        <f t="shared" si="11"/>
        <v>0</v>
      </c>
      <c r="D48" s="35">
        <f t="shared" si="11"/>
        <v>0</v>
      </c>
      <c r="E48" s="35">
        <f t="shared" si="11"/>
        <v>0</v>
      </c>
      <c r="F48" s="35">
        <f t="shared" si="11"/>
        <v>0</v>
      </c>
      <c r="G48" s="35">
        <f t="shared" si="11"/>
        <v>0</v>
      </c>
      <c r="H48" s="35">
        <f t="shared" si="11"/>
        <v>0</v>
      </c>
      <c r="I48" s="35">
        <f t="shared" si="11"/>
        <v>0</v>
      </c>
      <c r="J48" s="35">
        <f t="shared" si="11"/>
        <v>0</v>
      </c>
      <c r="K48" s="35">
        <f t="shared" si="11"/>
        <v>8225.1751504185449</v>
      </c>
      <c r="L48" s="35">
        <f t="shared" si="11"/>
        <v>9058.1343505926634</v>
      </c>
      <c r="M48" s="35">
        <f t="shared" si="11"/>
        <v>9939.7224420285893</v>
      </c>
      <c r="N48" s="35">
        <f t="shared" si="11"/>
        <v>10310.271469389618</v>
      </c>
      <c r="O48" s="35">
        <f t="shared" si="11"/>
        <v>10414.476616203403</v>
      </c>
      <c r="P48" s="35">
        <f t="shared" si="11"/>
        <v>10552.450127735256</v>
      </c>
      <c r="Q48" s="35">
        <f t="shared" si="11"/>
        <v>10652.898101122888</v>
      </c>
      <c r="R48" s="35">
        <f t="shared" si="11"/>
        <v>10595.708637272766</v>
      </c>
      <c r="S48" s="35">
        <f t="shared" si="10"/>
        <v>10375.34252260738</v>
      </c>
      <c r="T48" s="35">
        <f t="shared" si="10"/>
        <v>9875.8205826288868</v>
      </c>
      <c r="U48" s="35">
        <f t="shared" si="10"/>
        <v>0</v>
      </c>
      <c r="V48" s="35">
        <f t="shared" si="10"/>
        <v>0</v>
      </c>
      <c r="W48" s="35">
        <f t="shared" si="10"/>
        <v>0</v>
      </c>
      <c r="X48" s="35">
        <f t="shared" si="7"/>
        <v>0</v>
      </c>
      <c r="Y48" s="35">
        <f t="shared" si="7"/>
        <v>0</v>
      </c>
      <c r="Z48" s="35">
        <f t="shared" si="7"/>
        <v>0</v>
      </c>
      <c r="AA48" s="35">
        <f t="shared" si="13"/>
        <v>99999.999999999985</v>
      </c>
      <c r="AB48" s="28">
        <f t="shared" si="4"/>
        <v>31</v>
      </c>
      <c r="AC48" s="29">
        <f t="shared" si="5"/>
        <v>3100000</v>
      </c>
      <c r="AD48" s="61"/>
      <c r="AE48" s="45"/>
    </row>
    <row r="49" spans="1:31" ht="15">
      <c r="A49" s="23">
        <f t="shared" si="1"/>
        <v>2029</v>
      </c>
      <c r="B49" s="27">
        <v>47270</v>
      </c>
      <c r="C49" s="35">
        <f t="shared" si="11"/>
        <v>0</v>
      </c>
      <c r="D49" s="35">
        <f t="shared" si="11"/>
        <v>0</v>
      </c>
      <c r="E49" s="35">
        <f t="shared" si="11"/>
        <v>0</v>
      </c>
      <c r="F49" s="35">
        <f t="shared" si="11"/>
        <v>0</v>
      </c>
      <c r="G49" s="35">
        <f t="shared" si="11"/>
        <v>0</v>
      </c>
      <c r="H49" s="35">
        <f t="shared" si="11"/>
        <v>0</v>
      </c>
      <c r="I49" s="35">
        <f t="shared" si="11"/>
        <v>0</v>
      </c>
      <c r="J49" s="35">
        <f t="shared" si="11"/>
        <v>0</v>
      </c>
      <c r="K49" s="35">
        <f t="shared" si="11"/>
        <v>8225.1751504185449</v>
      </c>
      <c r="L49" s="35">
        <f t="shared" si="11"/>
        <v>9058.1343505926634</v>
      </c>
      <c r="M49" s="35">
        <f t="shared" si="11"/>
        <v>9939.7224420285893</v>
      </c>
      <c r="N49" s="35">
        <f t="shared" si="11"/>
        <v>10310.271469389618</v>
      </c>
      <c r="O49" s="35">
        <f t="shared" si="11"/>
        <v>10414.476616203403</v>
      </c>
      <c r="P49" s="35">
        <f t="shared" si="11"/>
        <v>10552.450127735256</v>
      </c>
      <c r="Q49" s="35">
        <f t="shared" si="11"/>
        <v>10652.898101122888</v>
      </c>
      <c r="R49" s="35">
        <f t="shared" si="11"/>
        <v>10595.708637272766</v>
      </c>
      <c r="S49" s="35">
        <f t="shared" si="10"/>
        <v>10375.34252260738</v>
      </c>
      <c r="T49" s="35">
        <f t="shared" si="10"/>
        <v>9875.8205826288868</v>
      </c>
      <c r="U49" s="35">
        <f t="shared" si="10"/>
        <v>0</v>
      </c>
      <c r="V49" s="35">
        <f t="shared" si="10"/>
        <v>0</v>
      </c>
      <c r="W49" s="35">
        <f t="shared" si="10"/>
        <v>0</v>
      </c>
      <c r="X49" s="35">
        <f t="shared" si="7"/>
        <v>0</v>
      </c>
      <c r="Y49" s="35">
        <f t="shared" si="7"/>
        <v>0</v>
      </c>
      <c r="Z49" s="35">
        <f t="shared" si="7"/>
        <v>0</v>
      </c>
      <c r="AA49" s="35">
        <f t="shared" si="13"/>
        <v>99999.999999999985</v>
      </c>
      <c r="AB49" s="28">
        <f t="shared" si="4"/>
        <v>30</v>
      </c>
      <c r="AC49" s="29">
        <f t="shared" si="5"/>
        <v>3000000</v>
      </c>
      <c r="AD49" s="61"/>
      <c r="AE49" s="45"/>
    </row>
    <row r="50" spans="1:31" ht="15">
      <c r="A50" s="23">
        <f t="shared" si="1"/>
        <v>2029</v>
      </c>
      <c r="B50" s="27">
        <v>47300</v>
      </c>
      <c r="C50" s="35">
        <f t="shared" si="11"/>
        <v>0</v>
      </c>
      <c r="D50" s="35">
        <f t="shared" si="11"/>
        <v>0</v>
      </c>
      <c r="E50" s="35">
        <f t="shared" si="11"/>
        <v>0</v>
      </c>
      <c r="F50" s="35">
        <f t="shared" si="11"/>
        <v>0</v>
      </c>
      <c r="G50" s="35">
        <f t="shared" si="11"/>
        <v>0</v>
      </c>
      <c r="H50" s="35">
        <f t="shared" si="11"/>
        <v>0</v>
      </c>
      <c r="I50" s="35">
        <f t="shared" si="11"/>
        <v>0</v>
      </c>
      <c r="J50" s="35">
        <f t="shared" si="11"/>
        <v>0</v>
      </c>
      <c r="K50" s="35">
        <f t="shared" si="11"/>
        <v>8225.1751504185449</v>
      </c>
      <c r="L50" s="35">
        <f t="shared" si="11"/>
        <v>9058.1343505926634</v>
      </c>
      <c r="M50" s="35">
        <f t="shared" si="11"/>
        <v>9939.7224420285893</v>
      </c>
      <c r="N50" s="35">
        <f t="shared" si="11"/>
        <v>10310.271469389618</v>
      </c>
      <c r="O50" s="35">
        <f t="shared" si="11"/>
        <v>10414.476616203403</v>
      </c>
      <c r="P50" s="35">
        <f t="shared" si="11"/>
        <v>10552.450127735256</v>
      </c>
      <c r="Q50" s="35">
        <f t="shared" si="11"/>
        <v>10652.898101122888</v>
      </c>
      <c r="R50" s="35">
        <f t="shared" ref="R50:Z65" si="14">IF(AND(COLUMN()&gt;=11,COLUMN()&lt;=20),($AC50/$AB50)*R$5,0)</f>
        <v>10595.708637272766</v>
      </c>
      <c r="S50" s="35">
        <f t="shared" si="14"/>
        <v>10375.34252260738</v>
      </c>
      <c r="T50" s="35">
        <f t="shared" si="14"/>
        <v>9875.8205826288868</v>
      </c>
      <c r="U50" s="35">
        <f t="shared" si="14"/>
        <v>0</v>
      </c>
      <c r="V50" s="35">
        <f t="shared" si="14"/>
        <v>0</v>
      </c>
      <c r="W50" s="35">
        <f t="shared" si="14"/>
        <v>0</v>
      </c>
      <c r="X50" s="35">
        <f t="shared" si="14"/>
        <v>0</v>
      </c>
      <c r="Y50" s="35">
        <f t="shared" si="14"/>
        <v>0</v>
      </c>
      <c r="Z50" s="35">
        <f t="shared" si="14"/>
        <v>0</v>
      </c>
      <c r="AA50" s="35">
        <f t="shared" si="13"/>
        <v>99999.999999999985</v>
      </c>
      <c r="AB50" s="28">
        <f t="shared" si="4"/>
        <v>31</v>
      </c>
      <c r="AC50" s="29">
        <f t="shared" si="5"/>
        <v>3100000</v>
      </c>
      <c r="AD50" s="61"/>
      <c r="AE50" s="45"/>
    </row>
    <row r="51" spans="1:31" ht="15">
      <c r="A51" s="23">
        <f t="shared" si="1"/>
        <v>2029</v>
      </c>
      <c r="B51" s="27">
        <v>47331</v>
      </c>
      <c r="C51" s="35">
        <f t="shared" ref="C51:R66" si="15">IF(AND(COLUMN()&gt;=11,COLUMN()&lt;=20),($AC51/$AB51)*C$5,0)</f>
        <v>0</v>
      </c>
      <c r="D51" s="35">
        <f t="shared" si="15"/>
        <v>0</v>
      </c>
      <c r="E51" s="35">
        <f t="shared" si="15"/>
        <v>0</v>
      </c>
      <c r="F51" s="35">
        <f t="shared" si="15"/>
        <v>0</v>
      </c>
      <c r="G51" s="35">
        <f t="shared" si="15"/>
        <v>0</v>
      </c>
      <c r="H51" s="35">
        <f t="shared" si="15"/>
        <v>0</v>
      </c>
      <c r="I51" s="35">
        <f t="shared" si="15"/>
        <v>0</v>
      </c>
      <c r="J51" s="35">
        <f t="shared" si="15"/>
        <v>0</v>
      </c>
      <c r="K51" s="35">
        <f t="shared" si="15"/>
        <v>8225.1751504185449</v>
      </c>
      <c r="L51" s="35">
        <f t="shared" si="15"/>
        <v>9058.1343505926634</v>
      </c>
      <c r="M51" s="35">
        <f t="shared" si="15"/>
        <v>9939.7224420285893</v>
      </c>
      <c r="N51" s="35">
        <f t="shared" si="15"/>
        <v>10310.271469389618</v>
      </c>
      <c r="O51" s="35">
        <f t="shared" si="15"/>
        <v>10414.476616203403</v>
      </c>
      <c r="P51" s="35">
        <f t="shared" si="15"/>
        <v>10552.450127735256</v>
      </c>
      <c r="Q51" s="35">
        <f t="shared" si="15"/>
        <v>10652.898101122888</v>
      </c>
      <c r="R51" s="35">
        <f t="shared" si="15"/>
        <v>10595.708637272766</v>
      </c>
      <c r="S51" s="35">
        <f t="shared" si="14"/>
        <v>10375.34252260738</v>
      </c>
      <c r="T51" s="35">
        <f t="shared" si="14"/>
        <v>9875.8205826288868</v>
      </c>
      <c r="U51" s="35">
        <f t="shared" si="14"/>
        <v>0</v>
      </c>
      <c r="V51" s="35">
        <f t="shared" si="14"/>
        <v>0</v>
      </c>
      <c r="W51" s="35">
        <f t="shared" si="14"/>
        <v>0</v>
      </c>
      <c r="X51" s="35">
        <f t="shared" si="14"/>
        <v>0</v>
      </c>
      <c r="Y51" s="35">
        <f t="shared" si="14"/>
        <v>0</v>
      </c>
      <c r="Z51" s="35">
        <f t="shared" si="14"/>
        <v>0</v>
      </c>
      <c r="AA51" s="35">
        <f t="shared" si="13"/>
        <v>99999.999999999985</v>
      </c>
      <c r="AB51" s="28">
        <f t="shared" si="4"/>
        <v>31</v>
      </c>
      <c r="AC51" s="29">
        <f t="shared" si="5"/>
        <v>3100000</v>
      </c>
      <c r="AD51" s="61"/>
      <c r="AE51" s="45"/>
    </row>
    <row r="52" spans="1:31" ht="15">
      <c r="A52" s="23">
        <f t="shared" si="1"/>
        <v>2029</v>
      </c>
      <c r="B52" s="27">
        <v>47362</v>
      </c>
      <c r="C52" s="35">
        <f t="shared" si="15"/>
        <v>0</v>
      </c>
      <c r="D52" s="35">
        <f t="shared" si="15"/>
        <v>0</v>
      </c>
      <c r="E52" s="35">
        <f t="shared" si="15"/>
        <v>0</v>
      </c>
      <c r="F52" s="35">
        <f t="shared" si="15"/>
        <v>0</v>
      </c>
      <c r="G52" s="35">
        <f t="shared" si="15"/>
        <v>0</v>
      </c>
      <c r="H52" s="35">
        <f t="shared" si="15"/>
        <v>0</v>
      </c>
      <c r="I52" s="35">
        <f t="shared" si="15"/>
        <v>0</v>
      </c>
      <c r="J52" s="35">
        <f t="shared" si="15"/>
        <v>0</v>
      </c>
      <c r="K52" s="35">
        <f t="shared" si="15"/>
        <v>8225.1751504185449</v>
      </c>
      <c r="L52" s="35">
        <f t="shared" si="15"/>
        <v>9058.1343505926634</v>
      </c>
      <c r="M52" s="35">
        <f t="shared" si="15"/>
        <v>9939.7224420285893</v>
      </c>
      <c r="N52" s="35">
        <f t="shared" si="15"/>
        <v>10310.271469389618</v>
      </c>
      <c r="O52" s="35">
        <f t="shared" si="15"/>
        <v>10414.476616203403</v>
      </c>
      <c r="P52" s="35">
        <f t="shared" si="15"/>
        <v>10552.450127735256</v>
      </c>
      <c r="Q52" s="35">
        <f t="shared" si="15"/>
        <v>10652.898101122888</v>
      </c>
      <c r="R52" s="35">
        <f t="shared" si="15"/>
        <v>10595.708637272766</v>
      </c>
      <c r="S52" s="35">
        <f t="shared" si="14"/>
        <v>10375.34252260738</v>
      </c>
      <c r="T52" s="35">
        <f t="shared" si="14"/>
        <v>9875.8205826288868</v>
      </c>
      <c r="U52" s="35">
        <f t="shared" si="14"/>
        <v>0</v>
      </c>
      <c r="V52" s="35">
        <f t="shared" si="14"/>
        <v>0</v>
      </c>
      <c r="W52" s="35">
        <f t="shared" si="14"/>
        <v>0</v>
      </c>
      <c r="X52" s="35">
        <f t="shared" si="14"/>
        <v>0</v>
      </c>
      <c r="Y52" s="35">
        <f t="shared" si="14"/>
        <v>0</v>
      </c>
      <c r="Z52" s="35">
        <f t="shared" si="14"/>
        <v>0</v>
      </c>
      <c r="AA52" s="35">
        <f t="shared" si="13"/>
        <v>99999.999999999985</v>
      </c>
      <c r="AB52" s="28">
        <f t="shared" si="4"/>
        <v>30</v>
      </c>
      <c r="AC52" s="29">
        <f t="shared" si="5"/>
        <v>3000000</v>
      </c>
      <c r="AD52" s="61"/>
      <c r="AE52" s="45"/>
    </row>
    <row r="53" spans="1:31" ht="15">
      <c r="A53" s="23">
        <f t="shared" si="1"/>
        <v>2029</v>
      </c>
      <c r="B53" s="27">
        <v>47392</v>
      </c>
      <c r="C53" s="35">
        <f t="shared" si="15"/>
        <v>0</v>
      </c>
      <c r="D53" s="35">
        <f t="shared" si="15"/>
        <v>0</v>
      </c>
      <c r="E53" s="35">
        <f t="shared" si="15"/>
        <v>0</v>
      </c>
      <c r="F53" s="35">
        <f t="shared" si="15"/>
        <v>0</v>
      </c>
      <c r="G53" s="35">
        <f t="shared" si="15"/>
        <v>0</v>
      </c>
      <c r="H53" s="35">
        <f t="shared" si="15"/>
        <v>0</v>
      </c>
      <c r="I53" s="35">
        <f t="shared" si="15"/>
        <v>0</v>
      </c>
      <c r="J53" s="35">
        <f t="shared" si="15"/>
        <v>0</v>
      </c>
      <c r="K53" s="35">
        <f t="shared" si="15"/>
        <v>8225.1751504185449</v>
      </c>
      <c r="L53" s="35">
        <f t="shared" si="15"/>
        <v>9058.1343505926634</v>
      </c>
      <c r="M53" s="35">
        <f t="shared" si="15"/>
        <v>9939.7224420285893</v>
      </c>
      <c r="N53" s="35">
        <f t="shared" si="15"/>
        <v>10310.271469389618</v>
      </c>
      <c r="O53" s="35">
        <f t="shared" si="15"/>
        <v>10414.476616203403</v>
      </c>
      <c r="P53" s="35">
        <f t="shared" si="15"/>
        <v>10552.450127735256</v>
      </c>
      <c r="Q53" s="35">
        <f t="shared" si="15"/>
        <v>10652.898101122888</v>
      </c>
      <c r="R53" s="35">
        <f t="shared" si="15"/>
        <v>10595.708637272766</v>
      </c>
      <c r="S53" s="35">
        <f t="shared" si="14"/>
        <v>10375.34252260738</v>
      </c>
      <c r="T53" s="35">
        <f t="shared" si="14"/>
        <v>9875.8205826288868</v>
      </c>
      <c r="U53" s="35">
        <f t="shared" si="14"/>
        <v>0</v>
      </c>
      <c r="V53" s="35">
        <f t="shared" si="14"/>
        <v>0</v>
      </c>
      <c r="W53" s="35">
        <f t="shared" si="14"/>
        <v>0</v>
      </c>
      <c r="X53" s="35">
        <f t="shared" si="14"/>
        <v>0</v>
      </c>
      <c r="Y53" s="35">
        <f t="shared" si="14"/>
        <v>0</v>
      </c>
      <c r="Z53" s="35">
        <f t="shared" si="14"/>
        <v>0</v>
      </c>
      <c r="AA53" s="35">
        <f t="shared" si="13"/>
        <v>99999.999999999985</v>
      </c>
      <c r="AB53" s="28">
        <f t="shared" si="4"/>
        <v>31</v>
      </c>
      <c r="AC53" s="29">
        <f t="shared" si="5"/>
        <v>3100000</v>
      </c>
      <c r="AD53" s="61"/>
      <c r="AE53" s="45"/>
    </row>
    <row r="54" spans="1:31" ht="15">
      <c r="A54" s="23">
        <f t="shared" si="1"/>
        <v>2029</v>
      </c>
      <c r="B54" s="27">
        <v>47423</v>
      </c>
      <c r="C54" s="35">
        <f t="shared" si="15"/>
        <v>0</v>
      </c>
      <c r="D54" s="35">
        <f t="shared" si="15"/>
        <v>0</v>
      </c>
      <c r="E54" s="35">
        <f t="shared" si="15"/>
        <v>0</v>
      </c>
      <c r="F54" s="35">
        <f t="shared" si="15"/>
        <v>0</v>
      </c>
      <c r="G54" s="35">
        <f t="shared" si="15"/>
        <v>0</v>
      </c>
      <c r="H54" s="35">
        <f t="shared" si="15"/>
        <v>0</v>
      </c>
      <c r="I54" s="35">
        <f t="shared" si="15"/>
        <v>0</v>
      </c>
      <c r="J54" s="35">
        <f t="shared" si="15"/>
        <v>0</v>
      </c>
      <c r="K54" s="35">
        <f t="shared" si="15"/>
        <v>8225.1751504185449</v>
      </c>
      <c r="L54" s="35">
        <f t="shared" si="15"/>
        <v>9058.1343505926634</v>
      </c>
      <c r="M54" s="35">
        <f t="shared" si="15"/>
        <v>9939.7224420285893</v>
      </c>
      <c r="N54" s="35">
        <f t="shared" si="15"/>
        <v>10310.271469389618</v>
      </c>
      <c r="O54" s="35">
        <f t="shared" si="15"/>
        <v>10414.476616203403</v>
      </c>
      <c r="P54" s="35">
        <f t="shared" si="15"/>
        <v>10552.450127735256</v>
      </c>
      <c r="Q54" s="35">
        <f t="shared" si="15"/>
        <v>10652.898101122888</v>
      </c>
      <c r="R54" s="35">
        <f t="shared" si="15"/>
        <v>10595.708637272766</v>
      </c>
      <c r="S54" s="35">
        <f t="shared" si="14"/>
        <v>10375.34252260738</v>
      </c>
      <c r="T54" s="35">
        <f t="shared" si="14"/>
        <v>9875.8205826288868</v>
      </c>
      <c r="U54" s="35">
        <f t="shared" si="14"/>
        <v>0</v>
      </c>
      <c r="V54" s="35">
        <f t="shared" si="14"/>
        <v>0</v>
      </c>
      <c r="W54" s="35">
        <f t="shared" si="14"/>
        <v>0</v>
      </c>
      <c r="X54" s="35">
        <f t="shared" si="14"/>
        <v>0</v>
      </c>
      <c r="Y54" s="35">
        <f t="shared" si="14"/>
        <v>0</v>
      </c>
      <c r="Z54" s="35">
        <f t="shared" si="14"/>
        <v>0</v>
      </c>
      <c r="AA54" s="35">
        <f t="shared" si="13"/>
        <v>99999.999999999985</v>
      </c>
      <c r="AB54" s="28">
        <f t="shared" si="4"/>
        <v>30</v>
      </c>
      <c r="AC54" s="29">
        <f t="shared" si="5"/>
        <v>3000000</v>
      </c>
      <c r="AD54" s="61"/>
      <c r="AE54" s="45"/>
    </row>
    <row r="55" spans="1:31" ht="15">
      <c r="A55" s="23">
        <f t="shared" si="1"/>
        <v>2029</v>
      </c>
      <c r="B55" s="27">
        <v>47453</v>
      </c>
      <c r="C55" s="35">
        <f t="shared" si="15"/>
        <v>0</v>
      </c>
      <c r="D55" s="35">
        <f t="shared" si="15"/>
        <v>0</v>
      </c>
      <c r="E55" s="35">
        <f t="shared" si="15"/>
        <v>0</v>
      </c>
      <c r="F55" s="35">
        <f t="shared" si="15"/>
        <v>0</v>
      </c>
      <c r="G55" s="35">
        <f t="shared" si="15"/>
        <v>0</v>
      </c>
      <c r="H55" s="35">
        <f t="shared" si="15"/>
        <v>0</v>
      </c>
      <c r="I55" s="35">
        <f t="shared" si="15"/>
        <v>0</v>
      </c>
      <c r="J55" s="35">
        <f t="shared" si="15"/>
        <v>0</v>
      </c>
      <c r="K55" s="35">
        <f t="shared" si="15"/>
        <v>8225.1751504185449</v>
      </c>
      <c r="L55" s="35">
        <f t="shared" si="15"/>
        <v>9058.1343505926634</v>
      </c>
      <c r="M55" s="35">
        <f t="shared" si="15"/>
        <v>9939.7224420285893</v>
      </c>
      <c r="N55" s="35">
        <f t="shared" si="15"/>
        <v>10310.271469389618</v>
      </c>
      <c r="O55" s="35">
        <f t="shared" si="15"/>
        <v>10414.476616203403</v>
      </c>
      <c r="P55" s="35">
        <f t="shared" si="15"/>
        <v>10552.450127735256</v>
      </c>
      <c r="Q55" s="35">
        <f t="shared" si="15"/>
        <v>10652.898101122888</v>
      </c>
      <c r="R55" s="35">
        <f t="shared" si="15"/>
        <v>10595.708637272766</v>
      </c>
      <c r="S55" s="35">
        <f t="shared" si="14"/>
        <v>10375.34252260738</v>
      </c>
      <c r="T55" s="35">
        <f t="shared" si="14"/>
        <v>9875.8205826288868</v>
      </c>
      <c r="U55" s="35">
        <f t="shared" si="14"/>
        <v>0</v>
      </c>
      <c r="V55" s="35">
        <f t="shared" si="14"/>
        <v>0</v>
      </c>
      <c r="W55" s="35">
        <f t="shared" si="14"/>
        <v>0</v>
      </c>
      <c r="X55" s="35">
        <f t="shared" si="14"/>
        <v>0</v>
      </c>
      <c r="Y55" s="35">
        <f t="shared" si="14"/>
        <v>0</v>
      </c>
      <c r="Z55" s="35">
        <f t="shared" si="14"/>
        <v>0</v>
      </c>
      <c r="AA55" s="35">
        <f t="shared" si="13"/>
        <v>99999.999999999985</v>
      </c>
      <c r="AB55" s="28">
        <f t="shared" si="4"/>
        <v>31</v>
      </c>
      <c r="AC55" s="29">
        <f t="shared" si="5"/>
        <v>3100000</v>
      </c>
      <c r="AD55" s="61"/>
      <c r="AE55" s="45"/>
    </row>
    <row r="56" spans="1:31" ht="15">
      <c r="A56" s="23">
        <f t="shared" si="1"/>
        <v>2030</v>
      </c>
      <c r="B56" s="27">
        <v>47484</v>
      </c>
      <c r="C56" s="35">
        <f t="shared" si="15"/>
        <v>0</v>
      </c>
      <c r="D56" s="35">
        <f t="shared" si="15"/>
        <v>0</v>
      </c>
      <c r="E56" s="35">
        <f t="shared" si="15"/>
        <v>0</v>
      </c>
      <c r="F56" s="35">
        <f t="shared" si="15"/>
        <v>0</v>
      </c>
      <c r="G56" s="35">
        <f t="shared" si="15"/>
        <v>0</v>
      </c>
      <c r="H56" s="35">
        <f t="shared" si="15"/>
        <v>0</v>
      </c>
      <c r="I56" s="35">
        <f t="shared" si="15"/>
        <v>0</v>
      </c>
      <c r="J56" s="35">
        <f t="shared" si="15"/>
        <v>0</v>
      </c>
      <c r="K56" s="35">
        <f t="shared" si="15"/>
        <v>8225.1751504185449</v>
      </c>
      <c r="L56" s="35">
        <f t="shared" si="15"/>
        <v>9058.1343505926634</v>
      </c>
      <c r="M56" s="35">
        <f t="shared" si="15"/>
        <v>9939.7224420285893</v>
      </c>
      <c r="N56" s="35">
        <f t="shared" si="15"/>
        <v>10310.271469389618</v>
      </c>
      <c r="O56" s="35">
        <f t="shared" si="15"/>
        <v>10414.476616203403</v>
      </c>
      <c r="P56" s="35">
        <f t="shared" si="15"/>
        <v>10552.450127735256</v>
      </c>
      <c r="Q56" s="35">
        <f t="shared" si="15"/>
        <v>10652.898101122888</v>
      </c>
      <c r="R56" s="35">
        <f t="shared" si="15"/>
        <v>10595.708637272766</v>
      </c>
      <c r="S56" s="35">
        <f t="shared" si="14"/>
        <v>10375.34252260738</v>
      </c>
      <c r="T56" s="35">
        <f t="shared" si="14"/>
        <v>9875.8205826288868</v>
      </c>
      <c r="U56" s="35">
        <f t="shared" si="14"/>
        <v>0</v>
      </c>
      <c r="V56" s="35">
        <f t="shared" si="14"/>
        <v>0</v>
      </c>
      <c r="W56" s="35">
        <f t="shared" si="14"/>
        <v>0</v>
      </c>
      <c r="X56" s="35">
        <f t="shared" si="14"/>
        <v>0</v>
      </c>
      <c r="Y56" s="35">
        <f t="shared" si="14"/>
        <v>0</v>
      </c>
      <c r="Z56" s="35">
        <f t="shared" si="14"/>
        <v>0</v>
      </c>
      <c r="AA56" s="35">
        <f t="shared" ref="AA56:AA79" si="16">SUM(C56:Z56)</f>
        <v>99999.999999999985</v>
      </c>
      <c r="AB56" s="28">
        <f t="shared" si="4"/>
        <v>31</v>
      </c>
      <c r="AC56" s="29">
        <f t="shared" si="5"/>
        <v>3100000</v>
      </c>
      <c r="AD56" s="61"/>
      <c r="AE56" s="45"/>
    </row>
    <row r="57" spans="1:31" ht="15">
      <c r="A57" s="23">
        <f t="shared" si="1"/>
        <v>2030</v>
      </c>
      <c r="B57" s="27">
        <v>47515</v>
      </c>
      <c r="C57" s="35">
        <f t="shared" si="15"/>
        <v>0</v>
      </c>
      <c r="D57" s="35">
        <f t="shared" si="15"/>
        <v>0</v>
      </c>
      <c r="E57" s="35">
        <f t="shared" si="15"/>
        <v>0</v>
      </c>
      <c r="F57" s="35">
        <f t="shared" si="15"/>
        <v>0</v>
      </c>
      <c r="G57" s="35">
        <f t="shared" si="15"/>
        <v>0</v>
      </c>
      <c r="H57" s="35">
        <f t="shared" si="15"/>
        <v>0</v>
      </c>
      <c r="I57" s="35">
        <f t="shared" si="15"/>
        <v>0</v>
      </c>
      <c r="J57" s="35">
        <f t="shared" si="15"/>
        <v>0</v>
      </c>
      <c r="K57" s="35">
        <f t="shared" si="15"/>
        <v>8225.1751504185449</v>
      </c>
      <c r="L57" s="35">
        <f t="shared" si="15"/>
        <v>9058.1343505926634</v>
      </c>
      <c r="M57" s="35">
        <f t="shared" si="15"/>
        <v>9939.7224420285893</v>
      </c>
      <c r="N57" s="35">
        <f t="shared" si="15"/>
        <v>10310.271469389618</v>
      </c>
      <c r="O57" s="35">
        <f t="shared" si="15"/>
        <v>10414.476616203403</v>
      </c>
      <c r="P57" s="35">
        <f t="shared" si="15"/>
        <v>10552.450127735256</v>
      </c>
      <c r="Q57" s="35">
        <f t="shared" si="15"/>
        <v>10652.898101122888</v>
      </c>
      <c r="R57" s="35">
        <f t="shared" si="15"/>
        <v>10595.708637272766</v>
      </c>
      <c r="S57" s="35">
        <f t="shared" si="14"/>
        <v>10375.34252260738</v>
      </c>
      <c r="T57" s="35">
        <f t="shared" si="14"/>
        <v>9875.8205826288868</v>
      </c>
      <c r="U57" s="35">
        <f t="shared" si="14"/>
        <v>0</v>
      </c>
      <c r="V57" s="35">
        <f t="shared" si="14"/>
        <v>0</v>
      </c>
      <c r="W57" s="35">
        <f t="shared" si="14"/>
        <v>0</v>
      </c>
      <c r="X57" s="35">
        <f t="shared" si="14"/>
        <v>0</v>
      </c>
      <c r="Y57" s="35">
        <f t="shared" si="14"/>
        <v>0</v>
      </c>
      <c r="Z57" s="35">
        <f t="shared" si="14"/>
        <v>0</v>
      </c>
      <c r="AA57" s="35">
        <f t="shared" si="16"/>
        <v>99999.999999999985</v>
      </c>
      <c r="AB57" s="28">
        <f t="shared" si="4"/>
        <v>28</v>
      </c>
      <c r="AC57" s="29">
        <f t="shared" si="5"/>
        <v>2800000</v>
      </c>
      <c r="AD57" s="61"/>
      <c r="AE57" s="45"/>
    </row>
    <row r="58" spans="1:31" ht="15">
      <c r="A58" s="23">
        <f t="shared" si="1"/>
        <v>2030</v>
      </c>
      <c r="B58" s="27">
        <v>47543</v>
      </c>
      <c r="C58" s="35">
        <f t="shared" si="15"/>
        <v>0</v>
      </c>
      <c r="D58" s="35">
        <f t="shared" si="15"/>
        <v>0</v>
      </c>
      <c r="E58" s="35">
        <f t="shared" si="15"/>
        <v>0</v>
      </c>
      <c r="F58" s="35">
        <f t="shared" si="15"/>
        <v>0</v>
      </c>
      <c r="G58" s="35">
        <f t="shared" si="15"/>
        <v>0</v>
      </c>
      <c r="H58" s="35">
        <f t="shared" si="15"/>
        <v>0</v>
      </c>
      <c r="I58" s="35">
        <f t="shared" si="15"/>
        <v>0</v>
      </c>
      <c r="J58" s="35">
        <f t="shared" si="15"/>
        <v>0</v>
      </c>
      <c r="K58" s="35">
        <f t="shared" si="15"/>
        <v>8225.1751504185449</v>
      </c>
      <c r="L58" s="35">
        <f t="shared" si="15"/>
        <v>9058.1343505926634</v>
      </c>
      <c r="M58" s="35">
        <f t="shared" si="15"/>
        <v>9939.7224420285893</v>
      </c>
      <c r="N58" s="35">
        <f t="shared" si="15"/>
        <v>10310.271469389618</v>
      </c>
      <c r="O58" s="35">
        <f t="shared" si="15"/>
        <v>10414.476616203403</v>
      </c>
      <c r="P58" s="35">
        <f t="shared" si="15"/>
        <v>10552.450127735256</v>
      </c>
      <c r="Q58" s="35">
        <f t="shared" si="15"/>
        <v>10652.898101122888</v>
      </c>
      <c r="R58" s="35">
        <f t="shared" si="15"/>
        <v>10595.708637272766</v>
      </c>
      <c r="S58" s="35">
        <f t="shared" si="14"/>
        <v>10375.34252260738</v>
      </c>
      <c r="T58" s="35">
        <f t="shared" si="14"/>
        <v>9875.8205826288868</v>
      </c>
      <c r="U58" s="35">
        <f t="shared" si="14"/>
        <v>0</v>
      </c>
      <c r="V58" s="35">
        <f t="shared" si="14"/>
        <v>0</v>
      </c>
      <c r="W58" s="35">
        <f t="shared" si="14"/>
        <v>0</v>
      </c>
      <c r="X58" s="35">
        <f t="shared" si="14"/>
        <v>0</v>
      </c>
      <c r="Y58" s="35">
        <f t="shared" si="14"/>
        <v>0</v>
      </c>
      <c r="Z58" s="35">
        <f t="shared" si="14"/>
        <v>0</v>
      </c>
      <c r="AA58" s="35">
        <f t="shared" si="16"/>
        <v>99999.999999999985</v>
      </c>
      <c r="AB58" s="28">
        <f t="shared" si="4"/>
        <v>31</v>
      </c>
      <c r="AC58" s="29">
        <f t="shared" si="5"/>
        <v>3100000</v>
      </c>
      <c r="AD58" s="61"/>
      <c r="AE58" s="45"/>
    </row>
    <row r="59" spans="1:31" ht="15">
      <c r="A59" s="23">
        <f t="shared" si="1"/>
        <v>2030</v>
      </c>
      <c r="B59" s="27">
        <v>47574</v>
      </c>
      <c r="C59" s="35">
        <f t="shared" si="15"/>
        <v>0</v>
      </c>
      <c r="D59" s="35">
        <f t="shared" si="15"/>
        <v>0</v>
      </c>
      <c r="E59" s="35">
        <f t="shared" si="15"/>
        <v>0</v>
      </c>
      <c r="F59" s="35">
        <f t="shared" si="15"/>
        <v>0</v>
      </c>
      <c r="G59" s="35">
        <f t="shared" si="15"/>
        <v>0</v>
      </c>
      <c r="H59" s="35">
        <f t="shared" si="15"/>
        <v>0</v>
      </c>
      <c r="I59" s="35">
        <f t="shared" si="15"/>
        <v>0</v>
      </c>
      <c r="J59" s="35">
        <f t="shared" si="15"/>
        <v>0</v>
      </c>
      <c r="K59" s="35">
        <f t="shared" si="15"/>
        <v>8225.1751504185449</v>
      </c>
      <c r="L59" s="35">
        <f t="shared" si="15"/>
        <v>9058.1343505926634</v>
      </c>
      <c r="M59" s="35">
        <f t="shared" si="15"/>
        <v>9939.7224420285893</v>
      </c>
      <c r="N59" s="35">
        <f t="shared" si="15"/>
        <v>10310.271469389618</v>
      </c>
      <c r="O59" s="35">
        <f t="shared" si="15"/>
        <v>10414.476616203403</v>
      </c>
      <c r="P59" s="35">
        <f t="shared" si="15"/>
        <v>10552.450127735256</v>
      </c>
      <c r="Q59" s="35">
        <f t="shared" si="15"/>
        <v>10652.898101122888</v>
      </c>
      <c r="R59" s="35">
        <f t="shared" si="15"/>
        <v>10595.708637272766</v>
      </c>
      <c r="S59" s="35">
        <f t="shared" si="14"/>
        <v>10375.34252260738</v>
      </c>
      <c r="T59" s="35">
        <f t="shared" si="14"/>
        <v>9875.8205826288868</v>
      </c>
      <c r="U59" s="35">
        <f t="shared" si="14"/>
        <v>0</v>
      </c>
      <c r="V59" s="35">
        <f t="shared" si="14"/>
        <v>0</v>
      </c>
      <c r="W59" s="35">
        <f t="shared" si="14"/>
        <v>0</v>
      </c>
      <c r="X59" s="35">
        <f t="shared" si="14"/>
        <v>0</v>
      </c>
      <c r="Y59" s="35">
        <f t="shared" si="14"/>
        <v>0</v>
      </c>
      <c r="Z59" s="35">
        <f t="shared" si="14"/>
        <v>0</v>
      </c>
      <c r="AA59" s="35">
        <f t="shared" si="16"/>
        <v>99999.999999999985</v>
      </c>
      <c r="AB59" s="28">
        <f t="shared" si="4"/>
        <v>30</v>
      </c>
      <c r="AC59" s="29">
        <f t="shared" si="5"/>
        <v>3000000</v>
      </c>
      <c r="AD59" s="61"/>
      <c r="AE59" s="45"/>
    </row>
    <row r="60" spans="1:31" ht="15">
      <c r="A60" s="23">
        <f t="shared" si="1"/>
        <v>2030</v>
      </c>
      <c r="B60" s="27">
        <v>47604</v>
      </c>
      <c r="C60" s="35">
        <f t="shared" si="15"/>
        <v>0</v>
      </c>
      <c r="D60" s="35">
        <f t="shared" si="15"/>
        <v>0</v>
      </c>
      <c r="E60" s="35">
        <f t="shared" si="15"/>
        <v>0</v>
      </c>
      <c r="F60" s="35">
        <f t="shared" si="15"/>
        <v>0</v>
      </c>
      <c r="G60" s="35">
        <f t="shared" si="15"/>
        <v>0</v>
      </c>
      <c r="H60" s="35">
        <f t="shared" si="15"/>
        <v>0</v>
      </c>
      <c r="I60" s="35">
        <f t="shared" si="15"/>
        <v>0</v>
      </c>
      <c r="J60" s="35">
        <f t="shared" si="15"/>
        <v>0</v>
      </c>
      <c r="K60" s="35">
        <f t="shared" si="15"/>
        <v>8225.1751504185449</v>
      </c>
      <c r="L60" s="35">
        <f t="shared" si="15"/>
        <v>9058.1343505926634</v>
      </c>
      <c r="M60" s="35">
        <f t="shared" si="15"/>
        <v>9939.7224420285893</v>
      </c>
      <c r="N60" s="35">
        <f t="shared" si="15"/>
        <v>10310.271469389618</v>
      </c>
      <c r="O60" s="35">
        <f t="shared" si="15"/>
        <v>10414.476616203403</v>
      </c>
      <c r="P60" s="35">
        <f t="shared" si="15"/>
        <v>10552.450127735256</v>
      </c>
      <c r="Q60" s="35">
        <f t="shared" si="15"/>
        <v>10652.898101122888</v>
      </c>
      <c r="R60" s="35">
        <f t="shared" si="15"/>
        <v>10595.708637272766</v>
      </c>
      <c r="S60" s="35">
        <f t="shared" si="14"/>
        <v>10375.34252260738</v>
      </c>
      <c r="T60" s="35">
        <f t="shared" si="14"/>
        <v>9875.8205826288868</v>
      </c>
      <c r="U60" s="35">
        <f t="shared" si="14"/>
        <v>0</v>
      </c>
      <c r="V60" s="35">
        <f t="shared" si="14"/>
        <v>0</v>
      </c>
      <c r="W60" s="35">
        <f t="shared" si="14"/>
        <v>0</v>
      </c>
      <c r="X60" s="35">
        <f t="shared" si="14"/>
        <v>0</v>
      </c>
      <c r="Y60" s="35">
        <f t="shared" si="14"/>
        <v>0</v>
      </c>
      <c r="Z60" s="35">
        <f t="shared" si="14"/>
        <v>0</v>
      </c>
      <c r="AA60" s="35">
        <f t="shared" si="16"/>
        <v>99999.999999999985</v>
      </c>
      <c r="AB60" s="28">
        <f t="shared" si="4"/>
        <v>31</v>
      </c>
      <c r="AC60" s="29">
        <f t="shared" si="5"/>
        <v>3100000</v>
      </c>
      <c r="AD60" s="61"/>
      <c r="AE60" s="45"/>
    </row>
    <row r="61" spans="1:31" ht="15">
      <c r="A61" s="23">
        <f t="shared" si="1"/>
        <v>2030</v>
      </c>
      <c r="B61" s="27">
        <v>47635</v>
      </c>
      <c r="C61" s="35">
        <f t="shared" si="15"/>
        <v>0</v>
      </c>
      <c r="D61" s="35">
        <f t="shared" si="15"/>
        <v>0</v>
      </c>
      <c r="E61" s="35">
        <f t="shared" si="15"/>
        <v>0</v>
      </c>
      <c r="F61" s="35">
        <f t="shared" si="15"/>
        <v>0</v>
      </c>
      <c r="G61" s="35">
        <f t="shared" si="15"/>
        <v>0</v>
      </c>
      <c r="H61" s="35">
        <f t="shared" si="15"/>
        <v>0</v>
      </c>
      <c r="I61" s="35">
        <f t="shared" si="15"/>
        <v>0</v>
      </c>
      <c r="J61" s="35">
        <f t="shared" si="15"/>
        <v>0</v>
      </c>
      <c r="K61" s="35">
        <f t="shared" si="15"/>
        <v>8225.1751504185449</v>
      </c>
      <c r="L61" s="35">
        <f t="shared" si="15"/>
        <v>9058.1343505926634</v>
      </c>
      <c r="M61" s="35">
        <f t="shared" si="15"/>
        <v>9939.7224420285893</v>
      </c>
      <c r="N61" s="35">
        <f t="shared" si="15"/>
        <v>10310.271469389618</v>
      </c>
      <c r="O61" s="35">
        <f t="shared" si="15"/>
        <v>10414.476616203403</v>
      </c>
      <c r="P61" s="35">
        <f t="shared" si="15"/>
        <v>10552.450127735256</v>
      </c>
      <c r="Q61" s="35">
        <f t="shared" si="15"/>
        <v>10652.898101122888</v>
      </c>
      <c r="R61" s="35">
        <f t="shared" si="15"/>
        <v>10595.708637272766</v>
      </c>
      <c r="S61" s="35">
        <f t="shared" si="14"/>
        <v>10375.34252260738</v>
      </c>
      <c r="T61" s="35">
        <f t="shared" si="14"/>
        <v>9875.8205826288868</v>
      </c>
      <c r="U61" s="35">
        <f t="shared" si="14"/>
        <v>0</v>
      </c>
      <c r="V61" s="35">
        <f t="shared" si="14"/>
        <v>0</v>
      </c>
      <c r="W61" s="35">
        <f t="shared" si="14"/>
        <v>0</v>
      </c>
      <c r="X61" s="35">
        <f t="shared" si="14"/>
        <v>0</v>
      </c>
      <c r="Y61" s="35">
        <f t="shared" si="14"/>
        <v>0</v>
      </c>
      <c r="Z61" s="35">
        <f t="shared" si="14"/>
        <v>0</v>
      </c>
      <c r="AA61" s="35">
        <f t="shared" si="16"/>
        <v>99999.999999999985</v>
      </c>
      <c r="AB61" s="28">
        <f t="shared" si="4"/>
        <v>30</v>
      </c>
      <c r="AC61" s="29">
        <f t="shared" si="5"/>
        <v>3000000</v>
      </c>
      <c r="AD61" s="61"/>
      <c r="AE61" s="45"/>
    </row>
    <row r="62" spans="1:31" ht="15">
      <c r="A62" s="23">
        <f t="shared" si="1"/>
        <v>2030</v>
      </c>
      <c r="B62" s="27">
        <v>47665</v>
      </c>
      <c r="C62" s="35">
        <f t="shared" si="15"/>
        <v>0</v>
      </c>
      <c r="D62" s="35">
        <f t="shared" si="15"/>
        <v>0</v>
      </c>
      <c r="E62" s="35">
        <f t="shared" si="15"/>
        <v>0</v>
      </c>
      <c r="F62" s="35">
        <f t="shared" si="15"/>
        <v>0</v>
      </c>
      <c r="G62" s="35">
        <f t="shared" si="15"/>
        <v>0</v>
      </c>
      <c r="H62" s="35">
        <f t="shared" si="15"/>
        <v>0</v>
      </c>
      <c r="I62" s="35">
        <f t="shared" si="15"/>
        <v>0</v>
      </c>
      <c r="J62" s="35">
        <f t="shared" si="15"/>
        <v>0</v>
      </c>
      <c r="K62" s="35">
        <f t="shared" si="15"/>
        <v>8225.1751504185449</v>
      </c>
      <c r="L62" s="35">
        <f t="shared" si="15"/>
        <v>9058.1343505926634</v>
      </c>
      <c r="M62" s="35">
        <f t="shared" si="15"/>
        <v>9939.7224420285893</v>
      </c>
      <c r="N62" s="35">
        <f t="shared" si="15"/>
        <v>10310.271469389618</v>
      </c>
      <c r="O62" s="35">
        <f t="shared" si="15"/>
        <v>10414.476616203403</v>
      </c>
      <c r="P62" s="35">
        <f t="shared" si="15"/>
        <v>10552.450127735256</v>
      </c>
      <c r="Q62" s="35">
        <f t="shared" si="15"/>
        <v>10652.898101122888</v>
      </c>
      <c r="R62" s="35">
        <f t="shared" si="15"/>
        <v>10595.708637272766</v>
      </c>
      <c r="S62" s="35">
        <f t="shared" si="14"/>
        <v>10375.34252260738</v>
      </c>
      <c r="T62" s="35">
        <f t="shared" si="14"/>
        <v>9875.8205826288868</v>
      </c>
      <c r="U62" s="35">
        <f t="shared" si="14"/>
        <v>0</v>
      </c>
      <c r="V62" s="35">
        <f t="shared" si="14"/>
        <v>0</v>
      </c>
      <c r="W62" s="35">
        <f t="shared" si="14"/>
        <v>0</v>
      </c>
      <c r="X62" s="35">
        <f t="shared" si="14"/>
        <v>0</v>
      </c>
      <c r="Y62" s="35">
        <f t="shared" si="14"/>
        <v>0</v>
      </c>
      <c r="Z62" s="35">
        <f t="shared" si="14"/>
        <v>0</v>
      </c>
      <c r="AA62" s="35">
        <f t="shared" si="16"/>
        <v>99999.999999999985</v>
      </c>
      <c r="AB62" s="28">
        <f t="shared" si="4"/>
        <v>31</v>
      </c>
      <c r="AC62" s="29">
        <f t="shared" si="5"/>
        <v>3100000</v>
      </c>
      <c r="AD62" s="61"/>
      <c r="AE62" s="45"/>
    </row>
    <row r="63" spans="1:31" ht="15">
      <c r="A63" s="23">
        <f t="shared" si="1"/>
        <v>2030</v>
      </c>
      <c r="B63" s="27">
        <v>47696</v>
      </c>
      <c r="C63" s="35">
        <f t="shared" si="15"/>
        <v>0</v>
      </c>
      <c r="D63" s="35">
        <f t="shared" si="15"/>
        <v>0</v>
      </c>
      <c r="E63" s="35">
        <f t="shared" si="15"/>
        <v>0</v>
      </c>
      <c r="F63" s="35">
        <f t="shared" si="15"/>
        <v>0</v>
      </c>
      <c r="G63" s="35">
        <f t="shared" si="15"/>
        <v>0</v>
      </c>
      <c r="H63" s="35">
        <f t="shared" si="15"/>
        <v>0</v>
      </c>
      <c r="I63" s="35">
        <f t="shared" si="15"/>
        <v>0</v>
      </c>
      <c r="J63" s="35">
        <f t="shared" si="15"/>
        <v>0</v>
      </c>
      <c r="K63" s="35">
        <f t="shared" si="15"/>
        <v>8225.1751504185449</v>
      </c>
      <c r="L63" s="35">
        <f t="shared" si="15"/>
        <v>9058.1343505926634</v>
      </c>
      <c r="M63" s="35">
        <f t="shared" si="15"/>
        <v>9939.7224420285893</v>
      </c>
      <c r="N63" s="35">
        <f t="shared" si="15"/>
        <v>10310.271469389618</v>
      </c>
      <c r="O63" s="35">
        <f t="shared" si="15"/>
        <v>10414.476616203403</v>
      </c>
      <c r="P63" s="35">
        <f t="shared" si="15"/>
        <v>10552.450127735256</v>
      </c>
      <c r="Q63" s="35">
        <f t="shared" si="15"/>
        <v>10652.898101122888</v>
      </c>
      <c r="R63" s="35">
        <f t="shared" si="15"/>
        <v>10595.708637272766</v>
      </c>
      <c r="S63" s="35">
        <f t="shared" si="14"/>
        <v>10375.34252260738</v>
      </c>
      <c r="T63" s="35">
        <f t="shared" si="14"/>
        <v>9875.8205826288868</v>
      </c>
      <c r="U63" s="35">
        <f t="shared" si="14"/>
        <v>0</v>
      </c>
      <c r="V63" s="35">
        <f t="shared" si="14"/>
        <v>0</v>
      </c>
      <c r="W63" s="35">
        <f t="shared" si="14"/>
        <v>0</v>
      </c>
      <c r="X63" s="35">
        <f t="shared" si="14"/>
        <v>0</v>
      </c>
      <c r="Y63" s="35">
        <f t="shared" si="14"/>
        <v>0</v>
      </c>
      <c r="Z63" s="35">
        <f t="shared" si="14"/>
        <v>0</v>
      </c>
      <c r="AA63" s="35">
        <f t="shared" si="16"/>
        <v>99999.999999999985</v>
      </c>
      <c r="AB63" s="28">
        <f t="shared" si="4"/>
        <v>31</v>
      </c>
      <c r="AC63" s="29">
        <f t="shared" si="5"/>
        <v>3100000</v>
      </c>
      <c r="AD63" s="61"/>
      <c r="AE63" s="45"/>
    </row>
    <row r="64" spans="1:31" ht="15">
      <c r="A64" s="23">
        <f t="shared" si="1"/>
        <v>2030</v>
      </c>
      <c r="B64" s="27">
        <v>47727</v>
      </c>
      <c r="C64" s="35">
        <f t="shared" si="15"/>
        <v>0</v>
      </c>
      <c r="D64" s="35">
        <f t="shared" si="15"/>
        <v>0</v>
      </c>
      <c r="E64" s="35">
        <f t="shared" si="15"/>
        <v>0</v>
      </c>
      <c r="F64" s="35">
        <f t="shared" si="15"/>
        <v>0</v>
      </c>
      <c r="G64" s="35">
        <f t="shared" si="15"/>
        <v>0</v>
      </c>
      <c r="H64" s="35">
        <f t="shared" si="15"/>
        <v>0</v>
      </c>
      <c r="I64" s="35">
        <f t="shared" si="15"/>
        <v>0</v>
      </c>
      <c r="J64" s="35">
        <f t="shared" si="15"/>
        <v>0</v>
      </c>
      <c r="K64" s="35">
        <f t="shared" si="15"/>
        <v>8225.1751504185449</v>
      </c>
      <c r="L64" s="35">
        <f t="shared" si="15"/>
        <v>9058.1343505926634</v>
      </c>
      <c r="M64" s="35">
        <f t="shared" si="15"/>
        <v>9939.7224420285893</v>
      </c>
      <c r="N64" s="35">
        <f t="shared" si="15"/>
        <v>10310.271469389618</v>
      </c>
      <c r="O64" s="35">
        <f t="shared" si="15"/>
        <v>10414.476616203403</v>
      </c>
      <c r="P64" s="35">
        <f t="shared" si="15"/>
        <v>10552.450127735256</v>
      </c>
      <c r="Q64" s="35">
        <f t="shared" si="15"/>
        <v>10652.898101122888</v>
      </c>
      <c r="R64" s="35">
        <f t="shared" si="15"/>
        <v>10595.708637272766</v>
      </c>
      <c r="S64" s="35">
        <f t="shared" si="14"/>
        <v>10375.34252260738</v>
      </c>
      <c r="T64" s="35">
        <f t="shared" si="14"/>
        <v>9875.8205826288868</v>
      </c>
      <c r="U64" s="35">
        <f t="shared" si="14"/>
        <v>0</v>
      </c>
      <c r="V64" s="35">
        <f t="shared" si="14"/>
        <v>0</v>
      </c>
      <c r="W64" s="35">
        <f t="shared" si="14"/>
        <v>0</v>
      </c>
      <c r="X64" s="35">
        <f t="shared" si="14"/>
        <v>0</v>
      </c>
      <c r="Y64" s="35">
        <f t="shared" si="14"/>
        <v>0</v>
      </c>
      <c r="Z64" s="35">
        <f t="shared" si="14"/>
        <v>0</v>
      </c>
      <c r="AA64" s="35">
        <f t="shared" si="16"/>
        <v>99999.999999999985</v>
      </c>
      <c r="AB64" s="28">
        <f t="shared" si="4"/>
        <v>30</v>
      </c>
      <c r="AC64" s="29">
        <f t="shared" si="5"/>
        <v>3000000</v>
      </c>
      <c r="AD64" s="61"/>
      <c r="AE64" s="45"/>
    </row>
    <row r="65" spans="1:31" ht="15">
      <c r="A65" s="23">
        <f t="shared" si="1"/>
        <v>2030</v>
      </c>
      <c r="B65" s="27">
        <v>47757</v>
      </c>
      <c r="C65" s="35">
        <f t="shared" si="15"/>
        <v>0</v>
      </c>
      <c r="D65" s="35">
        <f t="shared" si="15"/>
        <v>0</v>
      </c>
      <c r="E65" s="35">
        <f t="shared" si="15"/>
        <v>0</v>
      </c>
      <c r="F65" s="35">
        <f t="shared" si="15"/>
        <v>0</v>
      </c>
      <c r="G65" s="35">
        <f t="shared" si="15"/>
        <v>0</v>
      </c>
      <c r="H65" s="35">
        <f t="shared" si="15"/>
        <v>0</v>
      </c>
      <c r="I65" s="35">
        <f t="shared" si="15"/>
        <v>0</v>
      </c>
      <c r="J65" s="35">
        <f t="shared" si="15"/>
        <v>0</v>
      </c>
      <c r="K65" s="35">
        <f t="shared" si="15"/>
        <v>8225.1751504185449</v>
      </c>
      <c r="L65" s="35">
        <f t="shared" si="15"/>
        <v>9058.1343505926634</v>
      </c>
      <c r="M65" s="35">
        <f t="shared" si="15"/>
        <v>9939.7224420285893</v>
      </c>
      <c r="N65" s="35">
        <f t="shared" si="15"/>
        <v>10310.271469389618</v>
      </c>
      <c r="O65" s="35">
        <f t="shared" si="15"/>
        <v>10414.476616203403</v>
      </c>
      <c r="P65" s="35">
        <f t="shared" si="15"/>
        <v>10552.450127735256</v>
      </c>
      <c r="Q65" s="35">
        <f t="shared" si="15"/>
        <v>10652.898101122888</v>
      </c>
      <c r="R65" s="35">
        <f t="shared" si="15"/>
        <v>10595.708637272766</v>
      </c>
      <c r="S65" s="35">
        <f t="shared" si="14"/>
        <v>10375.34252260738</v>
      </c>
      <c r="T65" s="35">
        <f t="shared" si="14"/>
        <v>9875.8205826288868</v>
      </c>
      <c r="U65" s="35">
        <f t="shared" si="14"/>
        <v>0</v>
      </c>
      <c r="V65" s="35">
        <f t="shared" si="14"/>
        <v>0</v>
      </c>
      <c r="W65" s="35">
        <f t="shared" si="14"/>
        <v>0</v>
      </c>
      <c r="X65" s="35">
        <f t="shared" si="14"/>
        <v>0</v>
      </c>
      <c r="Y65" s="35">
        <f t="shared" si="14"/>
        <v>0</v>
      </c>
      <c r="Z65" s="35">
        <f t="shared" si="14"/>
        <v>0</v>
      </c>
      <c r="AA65" s="35">
        <f t="shared" si="16"/>
        <v>99999.999999999985</v>
      </c>
      <c r="AB65" s="28">
        <f t="shared" si="4"/>
        <v>31</v>
      </c>
      <c r="AC65" s="29">
        <f t="shared" si="5"/>
        <v>3100000</v>
      </c>
      <c r="AD65" s="61"/>
      <c r="AE65" s="45"/>
    </row>
    <row r="66" spans="1:31" ht="15">
      <c r="A66" s="23">
        <f t="shared" si="1"/>
        <v>2030</v>
      </c>
      <c r="B66" s="27">
        <v>47788</v>
      </c>
      <c r="C66" s="35">
        <f t="shared" si="15"/>
        <v>0</v>
      </c>
      <c r="D66" s="35">
        <f t="shared" si="15"/>
        <v>0</v>
      </c>
      <c r="E66" s="35">
        <f t="shared" si="15"/>
        <v>0</v>
      </c>
      <c r="F66" s="35">
        <f t="shared" si="15"/>
        <v>0</v>
      </c>
      <c r="G66" s="35">
        <f t="shared" si="15"/>
        <v>0</v>
      </c>
      <c r="H66" s="35">
        <f t="shared" si="15"/>
        <v>0</v>
      </c>
      <c r="I66" s="35">
        <f t="shared" si="15"/>
        <v>0</v>
      </c>
      <c r="J66" s="35">
        <f t="shared" si="15"/>
        <v>0</v>
      </c>
      <c r="K66" s="35">
        <f t="shared" si="15"/>
        <v>8225.1751504185449</v>
      </c>
      <c r="L66" s="35">
        <f t="shared" si="15"/>
        <v>9058.1343505926634</v>
      </c>
      <c r="M66" s="35">
        <f t="shared" si="15"/>
        <v>9939.7224420285893</v>
      </c>
      <c r="N66" s="35">
        <f t="shared" si="15"/>
        <v>10310.271469389618</v>
      </c>
      <c r="O66" s="35">
        <f t="shared" si="15"/>
        <v>10414.476616203403</v>
      </c>
      <c r="P66" s="35">
        <f t="shared" si="15"/>
        <v>10552.450127735256</v>
      </c>
      <c r="Q66" s="35">
        <f t="shared" si="15"/>
        <v>10652.898101122888</v>
      </c>
      <c r="R66" s="35">
        <f t="shared" ref="R66:Z81" si="17">IF(AND(COLUMN()&gt;=11,COLUMN()&lt;=20),($AC66/$AB66)*R$5,0)</f>
        <v>10595.708637272766</v>
      </c>
      <c r="S66" s="35">
        <f t="shared" si="17"/>
        <v>10375.34252260738</v>
      </c>
      <c r="T66" s="35">
        <f t="shared" si="17"/>
        <v>9875.8205826288868</v>
      </c>
      <c r="U66" s="35">
        <f t="shared" si="17"/>
        <v>0</v>
      </c>
      <c r="V66" s="35">
        <f t="shared" si="17"/>
        <v>0</v>
      </c>
      <c r="W66" s="35">
        <f t="shared" si="17"/>
        <v>0</v>
      </c>
      <c r="X66" s="35">
        <f t="shared" si="17"/>
        <v>0</v>
      </c>
      <c r="Y66" s="35">
        <f t="shared" si="17"/>
        <v>0</v>
      </c>
      <c r="Z66" s="35">
        <f t="shared" si="17"/>
        <v>0</v>
      </c>
      <c r="AA66" s="35">
        <f t="shared" si="16"/>
        <v>99999.999999999985</v>
      </c>
      <c r="AB66" s="28">
        <f t="shared" si="4"/>
        <v>30</v>
      </c>
      <c r="AC66" s="29">
        <f t="shared" si="5"/>
        <v>3000000</v>
      </c>
      <c r="AD66" s="61"/>
      <c r="AE66" s="45"/>
    </row>
    <row r="67" spans="1:31" ht="15">
      <c r="A67" s="23">
        <f t="shared" si="1"/>
        <v>2030</v>
      </c>
      <c r="B67" s="27">
        <v>47818</v>
      </c>
      <c r="C67" s="35">
        <f t="shared" ref="C67:R82" si="18">IF(AND(COLUMN()&gt;=11,COLUMN()&lt;=20),($AC67/$AB67)*C$5,0)</f>
        <v>0</v>
      </c>
      <c r="D67" s="35">
        <f t="shared" si="18"/>
        <v>0</v>
      </c>
      <c r="E67" s="35">
        <f t="shared" si="18"/>
        <v>0</v>
      </c>
      <c r="F67" s="35">
        <f t="shared" si="18"/>
        <v>0</v>
      </c>
      <c r="G67" s="35">
        <f t="shared" si="18"/>
        <v>0</v>
      </c>
      <c r="H67" s="35">
        <f t="shared" si="18"/>
        <v>0</v>
      </c>
      <c r="I67" s="35">
        <f t="shared" si="18"/>
        <v>0</v>
      </c>
      <c r="J67" s="35">
        <f t="shared" si="18"/>
        <v>0</v>
      </c>
      <c r="K67" s="35">
        <f t="shared" si="18"/>
        <v>8225.1751504185449</v>
      </c>
      <c r="L67" s="35">
        <f t="shared" si="18"/>
        <v>9058.1343505926634</v>
      </c>
      <c r="M67" s="35">
        <f t="shared" si="18"/>
        <v>9939.7224420285893</v>
      </c>
      <c r="N67" s="35">
        <f t="shared" si="18"/>
        <v>10310.271469389618</v>
      </c>
      <c r="O67" s="35">
        <f t="shared" si="18"/>
        <v>10414.476616203403</v>
      </c>
      <c r="P67" s="35">
        <f t="shared" si="18"/>
        <v>10552.450127735256</v>
      </c>
      <c r="Q67" s="35">
        <f t="shared" si="18"/>
        <v>10652.898101122888</v>
      </c>
      <c r="R67" s="35">
        <f t="shared" si="18"/>
        <v>10595.708637272766</v>
      </c>
      <c r="S67" s="35">
        <f t="shared" si="17"/>
        <v>10375.34252260738</v>
      </c>
      <c r="T67" s="35">
        <f t="shared" si="17"/>
        <v>9875.8205826288868</v>
      </c>
      <c r="U67" s="35">
        <f t="shared" si="17"/>
        <v>0</v>
      </c>
      <c r="V67" s="35">
        <f t="shared" si="17"/>
        <v>0</v>
      </c>
      <c r="W67" s="35">
        <f t="shared" si="17"/>
        <v>0</v>
      </c>
      <c r="X67" s="35">
        <f t="shared" si="17"/>
        <v>0</v>
      </c>
      <c r="Y67" s="35">
        <f t="shared" si="17"/>
        <v>0</v>
      </c>
      <c r="Z67" s="35">
        <f t="shared" si="17"/>
        <v>0</v>
      </c>
      <c r="AA67" s="35">
        <f t="shared" si="16"/>
        <v>99999.999999999985</v>
      </c>
      <c r="AB67" s="28">
        <f t="shared" si="4"/>
        <v>31</v>
      </c>
      <c r="AC67" s="29">
        <f t="shared" si="5"/>
        <v>3100000</v>
      </c>
      <c r="AD67" s="61"/>
      <c r="AE67" s="45"/>
    </row>
    <row r="68" spans="1:31" ht="15">
      <c r="A68" s="23">
        <f t="shared" si="1"/>
        <v>2031</v>
      </c>
      <c r="B68" s="27">
        <v>47849</v>
      </c>
      <c r="C68" s="35">
        <f t="shared" si="18"/>
        <v>0</v>
      </c>
      <c r="D68" s="35">
        <f t="shared" si="18"/>
        <v>0</v>
      </c>
      <c r="E68" s="35">
        <f t="shared" si="18"/>
        <v>0</v>
      </c>
      <c r="F68" s="35">
        <f t="shared" si="18"/>
        <v>0</v>
      </c>
      <c r="G68" s="35">
        <f t="shared" si="18"/>
        <v>0</v>
      </c>
      <c r="H68" s="35">
        <f t="shared" si="18"/>
        <v>0</v>
      </c>
      <c r="I68" s="35">
        <f t="shared" si="18"/>
        <v>0</v>
      </c>
      <c r="J68" s="35">
        <f t="shared" si="18"/>
        <v>0</v>
      </c>
      <c r="K68" s="35">
        <f t="shared" si="18"/>
        <v>8225.1751504185449</v>
      </c>
      <c r="L68" s="35">
        <f t="shared" si="18"/>
        <v>9058.1343505926634</v>
      </c>
      <c r="M68" s="35">
        <f t="shared" si="18"/>
        <v>9939.7224420285893</v>
      </c>
      <c r="N68" s="35">
        <f t="shared" si="18"/>
        <v>10310.271469389618</v>
      </c>
      <c r="O68" s="35">
        <f t="shared" si="18"/>
        <v>10414.476616203403</v>
      </c>
      <c r="P68" s="35">
        <f t="shared" si="18"/>
        <v>10552.450127735256</v>
      </c>
      <c r="Q68" s="35">
        <f t="shared" si="18"/>
        <v>10652.898101122888</v>
      </c>
      <c r="R68" s="35">
        <f t="shared" si="18"/>
        <v>10595.708637272766</v>
      </c>
      <c r="S68" s="35">
        <f t="shared" si="17"/>
        <v>10375.34252260738</v>
      </c>
      <c r="T68" s="35">
        <f t="shared" si="17"/>
        <v>9875.8205826288868</v>
      </c>
      <c r="U68" s="35">
        <f t="shared" si="17"/>
        <v>0</v>
      </c>
      <c r="V68" s="35">
        <f t="shared" si="17"/>
        <v>0</v>
      </c>
      <c r="W68" s="35">
        <f t="shared" si="17"/>
        <v>0</v>
      </c>
      <c r="X68" s="35">
        <f t="shared" si="17"/>
        <v>0</v>
      </c>
      <c r="Y68" s="35">
        <f t="shared" si="17"/>
        <v>0</v>
      </c>
      <c r="Z68" s="35">
        <f t="shared" si="17"/>
        <v>0</v>
      </c>
      <c r="AA68" s="35">
        <f t="shared" si="16"/>
        <v>99999.999999999985</v>
      </c>
      <c r="AB68" s="28">
        <f t="shared" si="4"/>
        <v>31</v>
      </c>
      <c r="AC68" s="29">
        <f t="shared" si="5"/>
        <v>3100000</v>
      </c>
      <c r="AD68" s="61"/>
      <c r="AE68" s="45"/>
    </row>
    <row r="69" spans="1:31" ht="15">
      <c r="A69" s="23">
        <f t="shared" si="1"/>
        <v>2031</v>
      </c>
      <c r="B69" s="27">
        <v>47880</v>
      </c>
      <c r="C69" s="35">
        <f t="shared" si="18"/>
        <v>0</v>
      </c>
      <c r="D69" s="35">
        <f t="shared" si="18"/>
        <v>0</v>
      </c>
      <c r="E69" s="35">
        <f t="shared" si="18"/>
        <v>0</v>
      </c>
      <c r="F69" s="35">
        <f t="shared" si="18"/>
        <v>0</v>
      </c>
      <c r="G69" s="35">
        <f t="shared" si="18"/>
        <v>0</v>
      </c>
      <c r="H69" s="35">
        <f t="shared" si="18"/>
        <v>0</v>
      </c>
      <c r="I69" s="35">
        <f t="shared" si="18"/>
        <v>0</v>
      </c>
      <c r="J69" s="35">
        <f t="shared" si="18"/>
        <v>0</v>
      </c>
      <c r="K69" s="35">
        <f t="shared" si="18"/>
        <v>8225.1751504185449</v>
      </c>
      <c r="L69" s="35">
        <f t="shared" si="18"/>
        <v>9058.1343505926634</v>
      </c>
      <c r="M69" s="35">
        <f t="shared" si="18"/>
        <v>9939.7224420285893</v>
      </c>
      <c r="N69" s="35">
        <f t="shared" si="18"/>
        <v>10310.271469389618</v>
      </c>
      <c r="O69" s="35">
        <f t="shared" si="18"/>
        <v>10414.476616203403</v>
      </c>
      <c r="P69" s="35">
        <f t="shared" si="18"/>
        <v>10552.450127735256</v>
      </c>
      <c r="Q69" s="35">
        <f t="shared" si="18"/>
        <v>10652.898101122888</v>
      </c>
      <c r="R69" s="35">
        <f t="shared" si="18"/>
        <v>10595.708637272766</v>
      </c>
      <c r="S69" s="35">
        <f t="shared" si="17"/>
        <v>10375.34252260738</v>
      </c>
      <c r="T69" s="35">
        <f t="shared" si="17"/>
        <v>9875.8205826288868</v>
      </c>
      <c r="U69" s="35">
        <f t="shared" si="17"/>
        <v>0</v>
      </c>
      <c r="V69" s="35">
        <f t="shared" si="17"/>
        <v>0</v>
      </c>
      <c r="W69" s="35">
        <f t="shared" si="17"/>
        <v>0</v>
      </c>
      <c r="X69" s="35">
        <f t="shared" si="17"/>
        <v>0</v>
      </c>
      <c r="Y69" s="35">
        <f t="shared" si="17"/>
        <v>0</v>
      </c>
      <c r="Z69" s="35">
        <f t="shared" si="17"/>
        <v>0</v>
      </c>
      <c r="AA69" s="35">
        <f t="shared" si="16"/>
        <v>99999.999999999985</v>
      </c>
      <c r="AB69" s="28">
        <f t="shared" si="4"/>
        <v>28</v>
      </c>
      <c r="AC69" s="29">
        <f t="shared" si="5"/>
        <v>2800000</v>
      </c>
      <c r="AD69" s="61"/>
      <c r="AE69" s="45"/>
    </row>
    <row r="70" spans="1:31" ht="15">
      <c r="A70" s="23">
        <f t="shared" si="1"/>
        <v>2031</v>
      </c>
      <c r="B70" s="27">
        <v>47908</v>
      </c>
      <c r="C70" s="35">
        <f t="shared" si="18"/>
        <v>0</v>
      </c>
      <c r="D70" s="35">
        <f t="shared" si="18"/>
        <v>0</v>
      </c>
      <c r="E70" s="35">
        <f t="shared" si="18"/>
        <v>0</v>
      </c>
      <c r="F70" s="35">
        <f t="shared" si="18"/>
        <v>0</v>
      </c>
      <c r="G70" s="35">
        <f t="shared" si="18"/>
        <v>0</v>
      </c>
      <c r="H70" s="35">
        <f t="shared" si="18"/>
        <v>0</v>
      </c>
      <c r="I70" s="35">
        <f t="shared" si="18"/>
        <v>0</v>
      </c>
      <c r="J70" s="35">
        <f t="shared" si="18"/>
        <v>0</v>
      </c>
      <c r="K70" s="35">
        <f t="shared" si="18"/>
        <v>8225.1751504185449</v>
      </c>
      <c r="L70" s="35">
        <f t="shared" si="18"/>
        <v>9058.1343505926634</v>
      </c>
      <c r="M70" s="35">
        <f t="shared" si="18"/>
        <v>9939.7224420285893</v>
      </c>
      <c r="N70" s="35">
        <f t="shared" si="18"/>
        <v>10310.271469389618</v>
      </c>
      <c r="O70" s="35">
        <f t="shared" si="18"/>
        <v>10414.476616203403</v>
      </c>
      <c r="P70" s="35">
        <f t="shared" si="18"/>
        <v>10552.450127735256</v>
      </c>
      <c r="Q70" s="35">
        <f t="shared" si="18"/>
        <v>10652.898101122888</v>
      </c>
      <c r="R70" s="35">
        <f t="shared" si="18"/>
        <v>10595.708637272766</v>
      </c>
      <c r="S70" s="35">
        <f t="shared" si="17"/>
        <v>10375.34252260738</v>
      </c>
      <c r="T70" s="35">
        <f t="shared" si="17"/>
        <v>9875.8205826288868</v>
      </c>
      <c r="U70" s="35">
        <f t="shared" si="17"/>
        <v>0</v>
      </c>
      <c r="V70" s="35">
        <f t="shared" si="17"/>
        <v>0</v>
      </c>
      <c r="W70" s="35">
        <f t="shared" si="17"/>
        <v>0</v>
      </c>
      <c r="X70" s="35">
        <f t="shared" si="17"/>
        <v>0</v>
      </c>
      <c r="Y70" s="35">
        <f t="shared" si="17"/>
        <v>0</v>
      </c>
      <c r="Z70" s="35">
        <f t="shared" si="17"/>
        <v>0</v>
      </c>
      <c r="AA70" s="35">
        <f t="shared" si="16"/>
        <v>99999.999999999985</v>
      </c>
      <c r="AB70" s="28">
        <f t="shared" si="4"/>
        <v>31</v>
      </c>
      <c r="AC70" s="29">
        <f t="shared" si="5"/>
        <v>3100000</v>
      </c>
      <c r="AD70" s="61"/>
      <c r="AE70" s="45"/>
    </row>
    <row r="71" spans="1:31" ht="15">
      <c r="A71" s="23">
        <f t="shared" si="1"/>
        <v>2031</v>
      </c>
      <c r="B71" s="27">
        <v>47939</v>
      </c>
      <c r="C71" s="35">
        <f t="shared" si="18"/>
        <v>0</v>
      </c>
      <c r="D71" s="35">
        <f t="shared" si="18"/>
        <v>0</v>
      </c>
      <c r="E71" s="35">
        <f t="shared" si="18"/>
        <v>0</v>
      </c>
      <c r="F71" s="35">
        <f t="shared" si="18"/>
        <v>0</v>
      </c>
      <c r="G71" s="35">
        <f t="shared" si="18"/>
        <v>0</v>
      </c>
      <c r="H71" s="35">
        <f t="shared" si="18"/>
        <v>0</v>
      </c>
      <c r="I71" s="35">
        <f t="shared" si="18"/>
        <v>0</v>
      </c>
      <c r="J71" s="35">
        <f t="shared" si="18"/>
        <v>0</v>
      </c>
      <c r="K71" s="35">
        <f t="shared" si="18"/>
        <v>8225.1751504185449</v>
      </c>
      <c r="L71" s="35">
        <f t="shared" si="18"/>
        <v>9058.1343505926634</v>
      </c>
      <c r="M71" s="35">
        <f t="shared" si="18"/>
        <v>9939.7224420285893</v>
      </c>
      <c r="N71" s="35">
        <f t="shared" si="18"/>
        <v>10310.271469389618</v>
      </c>
      <c r="O71" s="35">
        <f t="shared" si="18"/>
        <v>10414.476616203403</v>
      </c>
      <c r="P71" s="35">
        <f t="shared" si="18"/>
        <v>10552.450127735256</v>
      </c>
      <c r="Q71" s="35">
        <f t="shared" si="18"/>
        <v>10652.898101122888</v>
      </c>
      <c r="R71" s="35">
        <f t="shared" si="18"/>
        <v>10595.708637272766</v>
      </c>
      <c r="S71" s="35">
        <f t="shared" si="17"/>
        <v>10375.34252260738</v>
      </c>
      <c r="T71" s="35">
        <f t="shared" si="17"/>
        <v>9875.8205826288868</v>
      </c>
      <c r="U71" s="35">
        <f t="shared" si="17"/>
        <v>0</v>
      </c>
      <c r="V71" s="35">
        <f t="shared" si="17"/>
        <v>0</v>
      </c>
      <c r="W71" s="35">
        <f t="shared" si="17"/>
        <v>0</v>
      </c>
      <c r="X71" s="35">
        <f t="shared" si="17"/>
        <v>0</v>
      </c>
      <c r="Y71" s="35">
        <f t="shared" si="17"/>
        <v>0</v>
      </c>
      <c r="Z71" s="35">
        <f t="shared" si="17"/>
        <v>0</v>
      </c>
      <c r="AA71" s="35">
        <f t="shared" si="16"/>
        <v>99999.999999999985</v>
      </c>
      <c r="AB71" s="28">
        <f t="shared" si="4"/>
        <v>30</v>
      </c>
      <c r="AC71" s="29">
        <f t="shared" si="5"/>
        <v>3000000</v>
      </c>
      <c r="AD71" s="61"/>
      <c r="AE71" s="45"/>
    </row>
    <row r="72" spans="1:31" ht="15">
      <c r="A72" s="23">
        <f t="shared" si="1"/>
        <v>2031</v>
      </c>
      <c r="B72" s="27">
        <v>47969</v>
      </c>
      <c r="C72" s="35">
        <f t="shared" si="18"/>
        <v>0</v>
      </c>
      <c r="D72" s="35">
        <f t="shared" si="18"/>
        <v>0</v>
      </c>
      <c r="E72" s="35">
        <f t="shared" si="18"/>
        <v>0</v>
      </c>
      <c r="F72" s="35">
        <f t="shared" si="18"/>
        <v>0</v>
      </c>
      <c r="G72" s="35">
        <f t="shared" si="18"/>
        <v>0</v>
      </c>
      <c r="H72" s="35">
        <f t="shared" si="18"/>
        <v>0</v>
      </c>
      <c r="I72" s="35">
        <f t="shared" si="18"/>
        <v>0</v>
      </c>
      <c r="J72" s="35">
        <f t="shared" si="18"/>
        <v>0</v>
      </c>
      <c r="K72" s="35">
        <f t="shared" si="18"/>
        <v>8225.1751504185449</v>
      </c>
      <c r="L72" s="35">
        <f t="shared" si="18"/>
        <v>9058.1343505926634</v>
      </c>
      <c r="M72" s="35">
        <f t="shared" si="18"/>
        <v>9939.7224420285893</v>
      </c>
      <c r="N72" s="35">
        <f t="shared" si="18"/>
        <v>10310.271469389618</v>
      </c>
      <c r="O72" s="35">
        <f t="shared" si="18"/>
        <v>10414.476616203403</v>
      </c>
      <c r="P72" s="35">
        <f t="shared" si="18"/>
        <v>10552.450127735256</v>
      </c>
      <c r="Q72" s="35">
        <f t="shared" si="18"/>
        <v>10652.898101122888</v>
      </c>
      <c r="R72" s="35">
        <f t="shared" si="18"/>
        <v>10595.708637272766</v>
      </c>
      <c r="S72" s="35">
        <f t="shared" si="17"/>
        <v>10375.34252260738</v>
      </c>
      <c r="T72" s="35">
        <f t="shared" si="17"/>
        <v>9875.8205826288868</v>
      </c>
      <c r="U72" s="35">
        <f t="shared" si="17"/>
        <v>0</v>
      </c>
      <c r="V72" s="35">
        <f t="shared" si="17"/>
        <v>0</v>
      </c>
      <c r="W72" s="35">
        <f t="shared" si="17"/>
        <v>0</v>
      </c>
      <c r="X72" s="35">
        <f t="shared" si="17"/>
        <v>0</v>
      </c>
      <c r="Y72" s="35">
        <f t="shared" si="17"/>
        <v>0</v>
      </c>
      <c r="Z72" s="35">
        <f t="shared" si="17"/>
        <v>0</v>
      </c>
      <c r="AA72" s="35">
        <f t="shared" si="16"/>
        <v>99999.999999999985</v>
      </c>
      <c r="AB72" s="28">
        <f t="shared" si="4"/>
        <v>31</v>
      </c>
      <c r="AC72" s="29">
        <f t="shared" si="5"/>
        <v>3100000</v>
      </c>
      <c r="AD72" s="61"/>
      <c r="AE72" s="45"/>
    </row>
    <row r="73" spans="1:31" ht="15">
      <c r="A73" s="23">
        <f t="shared" ref="A73:A127" si="19">YEAR(B73)</f>
        <v>2031</v>
      </c>
      <c r="B73" s="27">
        <v>48000</v>
      </c>
      <c r="C73" s="35">
        <f t="shared" si="18"/>
        <v>0</v>
      </c>
      <c r="D73" s="35">
        <f t="shared" si="18"/>
        <v>0</v>
      </c>
      <c r="E73" s="35">
        <f t="shared" si="18"/>
        <v>0</v>
      </c>
      <c r="F73" s="35">
        <f t="shared" si="18"/>
        <v>0</v>
      </c>
      <c r="G73" s="35">
        <f t="shared" si="18"/>
        <v>0</v>
      </c>
      <c r="H73" s="35">
        <f t="shared" si="18"/>
        <v>0</v>
      </c>
      <c r="I73" s="35">
        <f t="shared" si="18"/>
        <v>0</v>
      </c>
      <c r="J73" s="35">
        <f t="shared" si="18"/>
        <v>0</v>
      </c>
      <c r="K73" s="35">
        <f t="shared" si="18"/>
        <v>8225.1751504185449</v>
      </c>
      <c r="L73" s="35">
        <f t="shared" si="18"/>
        <v>9058.1343505926634</v>
      </c>
      <c r="M73" s="35">
        <f t="shared" si="18"/>
        <v>9939.7224420285893</v>
      </c>
      <c r="N73" s="35">
        <f t="shared" si="18"/>
        <v>10310.271469389618</v>
      </c>
      <c r="O73" s="35">
        <f t="shared" si="18"/>
        <v>10414.476616203403</v>
      </c>
      <c r="P73" s="35">
        <f t="shared" si="18"/>
        <v>10552.450127735256</v>
      </c>
      <c r="Q73" s="35">
        <f t="shared" si="18"/>
        <v>10652.898101122888</v>
      </c>
      <c r="R73" s="35">
        <f t="shared" si="18"/>
        <v>10595.708637272766</v>
      </c>
      <c r="S73" s="35">
        <f t="shared" si="17"/>
        <v>10375.34252260738</v>
      </c>
      <c r="T73" s="35">
        <f t="shared" si="17"/>
        <v>9875.8205826288868</v>
      </c>
      <c r="U73" s="35">
        <f t="shared" si="17"/>
        <v>0</v>
      </c>
      <c r="V73" s="35">
        <f t="shared" si="17"/>
        <v>0</v>
      </c>
      <c r="W73" s="35">
        <f t="shared" si="17"/>
        <v>0</v>
      </c>
      <c r="X73" s="35">
        <f t="shared" si="17"/>
        <v>0</v>
      </c>
      <c r="Y73" s="35">
        <f t="shared" si="17"/>
        <v>0</v>
      </c>
      <c r="Z73" s="35">
        <f t="shared" si="17"/>
        <v>0</v>
      </c>
      <c r="AA73" s="35">
        <f t="shared" si="16"/>
        <v>99999.999999999985</v>
      </c>
      <c r="AB73" s="28">
        <f t="shared" ref="AB73:AB127" si="20">DAY(EOMONTH(B73,0))</f>
        <v>30</v>
      </c>
      <c r="AC73" s="29">
        <f t="shared" ref="AC73:AC136" si="21">100000*AB73</f>
        <v>3000000</v>
      </c>
      <c r="AD73" s="61"/>
      <c r="AE73" s="45"/>
    </row>
    <row r="74" spans="1:31" ht="15">
      <c r="A74" s="23">
        <f t="shared" si="19"/>
        <v>2031</v>
      </c>
      <c r="B74" s="27">
        <v>48030</v>
      </c>
      <c r="C74" s="35">
        <f t="shared" si="18"/>
        <v>0</v>
      </c>
      <c r="D74" s="35">
        <f t="shared" si="18"/>
        <v>0</v>
      </c>
      <c r="E74" s="35">
        <f t="shared" si="18"/>
        <v>0</v>
      </c>
      <c r="F74" s="35">
        <f t="shared" si="18"/>
        <v>0</v>
      </c>
      <c r="G74" s="35">
        <f t="shared" si="18"/>
        <v>0</v>
      </c>
      <c r="H74" s="35">
        <f t="shared" si="18"/>
        <v>0</v>
      </c>
      <c r="I74" s="35">
        <f t="shared" si="18"/>
        <v>0</v>
      </c>
      <c r="J74" s="35">
        <f t="shared" si="18"/>
        <v>0</v>
      </c>
      <c r="K74" s="35">
        <f t="shared" si="18"/>
        <v>8225.1751504185449</v>
      </c>
      <c r="L74" s="35">
        <f t="shared" si="18"/>
        <v>9058.1343505926634</v>
      </c>
      <c r="M74" s="35">
        <f t="shared" si="18"/>
        <v>9939.7224420285893</v>
      </c>
      <c r="N74" s="35">
        <f t="shared" si="18"/>
        <v>10310.271469389618</v>
      </c>
      <c r="O74" s="35">
        <f t="shared" si="18"/>
        <v>10414.476616203403</v>
      </c>
      <c r="P74" s="35">
        <f t="shared" si="18"/>
        <v>10552.450127735256</v>
      </c>
      <c r="Q74" s="35">
        <f t="shared" si="18"/>
        <v>10652.898101122888</v>
      </c>
      <c r="R74" s="35">
        <f t="shared" si="18"/>
        <v>10595.708637272766</v>
      </c>
      <c r="S74" s="35">
        <f t="shared" si="17"/>
        <v>10375.34252260738</v>
      </c>
      <c r="T74" s="35">
        <f t="shared" si="17"/>
        <v>9875.8205826288868</v>
      </c>
      <c r="U74" s="35">
        <f t="shared" si="17"/>
        <v>0</v>
      </c>
      <c r="V74" s="35">
        <f t="shared" si="17"/>
        <v>0</v>
      </c>
      <c r="W74" s="35">
        <f t="shared" si="17"/>
        <v>0</v>
      </c>
      <c r="X74" s="35">
        <f t="shared" si="17"/>
        <v>0</v>
      </c>
      <c r="Y74" s="35">
        <f t="shared" si="17"/>
        <v>0</v>
      </c>
      <c r="Z74" s="35">
        <f t="shared" si="17"/>
        <v>0</v>
      </c>
      <c r="AA74" s="35">
        <f t="shared" si="16"/>
        <v>99999.999999999985</v>
      </c>
      <c r="AB74" s="28">
        <f t="shared" si="20"/>
        <v>31</v>
      </c>
      <c r="AC74" s="29">
        <f t="shared" si="21"/>
        <v>3100000</v>
      </c>
      <c r="AD74" s="61"/>
      <c r="AE74" s="45"/>
    </row>
    <row r="75" spans="1:31" ht="15">
      <c r="A75" s="23">
        <f t="shared" si="19"/>
        <v>2031</v>
      </c>
      <c r="B75" s="27">
        <v>48061</v>
      </c>
      <c r="C75" s="35">
        <f t="shared" si="18"/>
        <v>0</v>
      </c>
      <c r="D75" s="35">
        <f t="shared" si="18"/>
        <v>0</v>
      </c>
      <c r="E75" s="35">
        <f t="shared" si="18"/>
        <v>0</v>
      </c>
      <c r="F75" s="35">
        <f t="shared" si="18"/>
        <v>0</v>
      </c>
      <c r="G75" s="35">
        <f t="shared" si="18"/>
        <v>0</v>
      </c>
      <c r="H75" s="35">
        <f t="shared" si="18"/>
        <v>0</v>
      </c>
      <c r="I75" s="35">
        <f t="shared" si="18"/>
        <v>0</v>
      </c>
      <c r="J75" s="35">
        <f t="shared" si="18"/>
        <v>0</v>
      </c>
      <c r="K75" s="35">
        <f t="shared" si="18"/>
        <v>8225.1751504185449</v>
      </c>
      <c r="L75" s="35">
        <f t="shared" si="18"/>
        <v>9058.1343505926634</v>
      </c>
      <c r="M75" s="35">
        <f t="shared" si="18"/>
        <v>9939.7224420285893</v>
      </c>
      <c r="N75" s="35">
        <f t="shared" si="18"/>
        <v>10310.271469389618</v>
      </c>
      <c r="O75" s="35">
        <f t="shared" si="18"/>
        <v>10414.476616203403</v>
      </c>
      <c r="P75" s="35">
        <f t="shared" si="18"/>
        <v>10552.450127735256</v>
      </c>
      <c r="Q75" s="35">
        <f t="shared" si="18"/>
        <v>10652.898101122888</v>
      </c>
      <c r="R75" s="35">
        <f t="shared" si="18"/>
        <v>10595.708637272766</v>
      </c>
      <c r="S75" s="35">
        <f t="shared" si="17"/>
        <v>10375.34252260738</v>
      </c>
      <c r="T75" s="35">
        <f t="shared" si="17"/>
        <v>9875.8205826288868</v>
      </c>
      <c r="U75" s="35">
        <f t="shared" si="17"/>
        <v>0</v>
      </c>
      <c r="V75" s="35">
        <f t="shared" si="17"/>
        <v>0</v>
      </c>
      <c r="W75" s="35">
        <f t="shared" si="17"/>
        <v>0</v>
      </c>
      <c r="X75" s="35">
        <f t="shared" si="17"/>
        <v>0</v>
      </c>
      <c r="Y75" s="35">
        <f t="shared" si="17"/>
        <v>0</v>
      </c>
      <c r="Z75" s="35">
        <f t="shared" si="17"/>
        <v>0</v>
      </c>
      <c r="AA75" s="35">
        <f t="shared" si="16"/>
        <v>99999.999999999985</v>
      </c>
      <c r="AB75" s="28">
        <f t="shared" si="20"/>
        <v>31</v>
      </c>
      <c r="AC75" s="29">
        <f t="shared" si="21"/>
        <v>3100000</v>
      </c>
      <c r="AD75" s="61"/>
      <c r="AE75" s="45"/>
    </row>
    <row r="76" spans="1:31" ht="15">
      <c r="A76" s="23">
        <f t="shared" si="19"/>
        <v>2031</v>
      </c>
      <c r="B76" s="27">
        <v>48092</v>
      </c>
      <c r="C76" s="35">
        <f t="shared" si="18"/>
        <v>0</v>
      </c>
      <c r="D76" s="35">
        <f t="shared" si="18"/>
        <v>0</v>
      </c>
      <c r="E76" s="35">
        <f t="shared" si="18"/>
        <v>0</v>
      </c>
      <c r="F76" s="35">
        <f t="shared" si="18"/>
        <v>0</v>
      </c>
      <c r="G76" s="35">
        <f t="shared" si="18"/>
        <v>0</v>
      </c>
      <c r="H76" s="35">
        <f t="shared" si="18"/>
        <v>0</v>
      </c>
      <c r="I76" s="35">
        <f t="shared" si="18"/>
        <v>0</v>
      </c>
      <c r="J76" s="35">
        <f t="shared" si="18"/>
        <v>0</v>
      </c>
      <c r="K76" s="35">
        <f t="shared" si="18"/>
        <v>8225.1751504185449</v>
      </c>
      <c r="L76" s="35">
        <f t="shared" si="18"/>
        <v>9058.1343505926634</v>
      </c>
      <c r="M76" s="35">
        <f t="shared" si="18"/>
        <v>9939.7224420285893</v>
      </c>
      <c r="N76" s="35">
        <f t="shared" si="18"/>
        <v>10310.271469389618</v>
      </c>
      <c r="O76" s="35">
        <f t="shared" si="18"/>
        <v>10414.476616203403</v>
      </c>
      <c r="P76" s="35">
        <f t="shared" si="18"/>
        <v>10552.450127735256</v>
      </c>
      <c r="Q76" s="35">
        <f t="shared" si="18"/>
        <v>10652.898101122888</v>
      </c>
      <c r="R76" s="35">
        <f t="shared" si="18"/>
        <v>10595.708637272766</v>
      </c>
      <c r="S76" s="35">
        <f t="shared" si="17"/>
        <v>10375.34252260738</v>
      </c>
      <c r="T76" s="35">
        <f t="shared" si="17"/>
        <v>9875.8205826288868</v>
      </c>
      <c r="U76" s="35">
        <f t="shared" si="17"/>
        <v>0</v>
      </c>
      <c r="V76" s="35">
        <f t="shared" si="17"/>
        <v>0</v>
      </c>
      <c r="W76" s="35">
        <f t="shared" si="17"/>
        <v>0</v>
      </c>
      <c r="X76" s="35">
        <f t="shared" si="17"/>
        <v>0</v>
      </c>
      <c r="Y76" s="35">
        <f t="shared" si="17"/>
        <v>0</v>
      </c>
      <c r="Z76" s="35">
        <f t="shared" si="17"/>
        <v>0</v>
      </c>
      <c r="AA76" s="35">
        <f t="shared" si="16"/>
        <v>99999.999999999985</v>
      </c>
      <c r="AB76" s="28">
        <f t="shared" si="20"/>
        <v>30</v>
      </c>
      <c r="AC76" s="29">
        <f t="shared" si="21"/>
        <v>3000000</v>
      </c>
      <c r="AD76" s="61"/>
      <c r="AE76" s="45"/>
    </row>
    <row r="77" spans="1:31" ht="15">
      <c r="A77" s="23">
        <f t="shared" si="19"/>
        <v>2031</v>
      </c>
      <c r="B77" s="27">
        <v>48122</v>
      </c>
      <c r="C77" s="35">
        <f t="shared" si="18"/>
        <v>0</v>
      </c>
      <c r="D77" s="35">
        <f t="shared" si="18"/>
        <v>0</v>
      </c>
      <c r="E77" s="35">
        <f t="shared" si="18"/>
        <v>0</v>
      </c>
      <c r="F77" s="35">
        <f t="shared" si="18"/>
        <v>0</v>
      </c>
      <c r="G77" s="35">
        <f t="shared" si="18"/>
        <v>0</v>
      </c>
      <c r="H77" s="35">
        <f t="shared" si="18"/>
        <v>0</v>
      </c>
      <c r="I77" s="35">
        <f t="shared" si="18"/>
        <v>0</v>
      </c>
      <c r="J77" s="35">
        <f t="shared" si="18"/>
        <v>0</v>
      </c>
      <c r="K77" s="35">
        <f t="shared" si="18"/>
        <v>8225.1751504185449</v>
      </c>
      <c r="L77" s="35">
        <f t="shared" si="18"/>
        <v>9058.1343505926634</v>
      </c>
      <c r="M77" s="35">
        <f t="shared" si="18"/>
        <v>9939.7224420285893</v>
      </c>
      <c r="N77" s="35">
        <f t="shared" si="18"/>
        <v>10310.271469389618</v>
      </c>
      <c r="O77" s="35">
        <f t="shared" si="18"/>
        <v>10414.476616203403</v>
      </c>
      <c r="P77" s="35">
        <f t="shared" si="18"/>
        <v>10552.450127735256</v>
      </c>
      <c r="Q77" s="35">
        <f t="shared" si="18"/>
        <v>10652.898101122888</v>
      </c>
      <c r="R77" s="35">
        <f t="shared" si="18"/>
        <v>10595.708637272766</v>
      </c>
      <c r="S77" s="35">
        <f t="shared" si="17"/>
        <v>10375.34252260738</v>
      </c>
      <c r="T77" s="35">
        <f t="shared" si="17"/>
        <v>9875.8205826288868</v>
      </c>
      <c r="U77" s="35">
        <f t="shared" si="17"/>
        <v>0</v>
      </c>
      <c r="V77" s="35">
        <f t="shared" si="17"/>
        <v>0</v>
      </c>
      <c r="W77" s="35">
        <f t="shared" si="17"/>
        <v>0</v>
      </c>
      <c r="X77" s="35">
        <f t="shared" si="17"/>
        <v>0</v>
      </c>
      <c r="Y77" s="35">
        <f t="shared" si="17"/>
        <v>0</v>
      </c>
      <c r="Z77" s="35">
        <f t="shared" si="17"/>
        <v>0</v>
      </c>
      <c r="AA77" s="35">
        <f t="shared" si="16"/>
        <v>99999.999999999985</v>
      </c>
      <c r="AB77" s="28">
        <f t="shared" si="20"/>
        <v>31</v>
      </c>
      <c r="AC77" s="29">
        <f t="shared" si="21"/>
        <v>3100000</v>
      </c>
      <c r="AD77" s="61"/>
      <c r="AE77" s="45"/>
    </row>
    <row r="78" spans="1:31" ht="15">
      <c r="A78" s="23">
        <f t="shared" si="19"/>
        <v>2031</v>
      </c>
      <c r="B78" s="27">
        <v>48153</v>
      </c>
      <c r="C78" s="35">
        <f t="shared" si="18"/>
        <v>0</v>
      </c>
      <c r="D78" s="35">
        <f t="shared" si="18"/>
        <v>0</v>
      </c>
      <c r="E78" s="35">
        <f t="shared" si="18"/>
        <v>0</v>
      </c>
      <c r="F78" s="35">
        <f t="shared" si="18"/>
        <v>0</v>
      </c>
      <c r="G78" s="35">
        <f t="shared" si="18"/>
        <v>0</v>
      </c>
      <c r="H78" s="35">
        <f t="shared" si="18"/>
        <v>0</v>
      </c>
      <c r="I78" s="35">
        <f t="shared" si="18"/>
        <v>0</v>
      </c>
      <c r="J78" s="35">
        <f t="shared" si="18"/>
        <v>0</v>
      </c>
      <c r="K78" s="35">
        <f t="shared" si="18"/>
        <v>8225.1751504185449</v>
      </c>
      <c r="L78" s="35">
        <f t="shared" si="18"/>
        <v>9058.1343505926634</v>
      </c>
      <c r="M78" s="35">
        <f t="shared" si="18"/>
        <v>9939.7224420285893</v>
      </c>
      <c r="N78" s="35">
        <f t="shared" si="18"/>
        <v>10310.271469389618</v>
      </c>
      <c r="O78" s="35">
        <f t="shared" si="18"/>
        <v>10414.476616203403</v>
      </c>
      <c r="P78" s="35">
        <f t="shared" si="18"/>
        <v>10552.450127735256</v>
      </c>
      <c r="Q78" s="35">
        <f t="shared" si="18"/>
        <v>10652.898101122888</v>
      </c>
      <c r="R78" s="35">
        <f t="shared" si="18"/>
        <v>10595.708637272766</v>
      </c>
      <c r="S78" s="35">
        <f t="shared" si="17"/>
        <v>10375.34252260738</v>
      </c>
      <c r="T78" s="35">
        <f t="shared" si="17"/>
        <v>9875.8205826288868</v>
      </c>
      <c r="U78" s="35">
        <f t="shared" si="17"/>
        <v>0</v>
      </c>
      <c r="V78" s="35">
        <f t="shared" si="17"/>
        <v>0</v>
      </c>
      <c r="W78" s="35">
        <f t="shared" si="17"/>
        <v>0</v>
      </c>
      <c r="X78" s="35">
        <f t="shared" si="17"/>
        <v>0</v>
      </c>
      <c r="Y78" s="35">
        <f t="shared" si="17"/>
        <v>0</v>
      </c>
      <c r="Z78" s="35">
        <f t="shared" si="17"/>
        <v>0</v>
      </c>
      <c r="AA78" s="35">
        <f t="shared" si="16"/>
        <v>99999.999999999985</v>
      </c>
      <c r="AB78" s="28">
        <f t="shared" si="20"/>
        <v>30</v>
      </c>
      <c r="AC78" s="29">
        <f t="shared" si="21"/>
        <v>3000000</v>
      </c>
      <c r="AD78" s="61"/>
      <c r="AE78" s="45"/>
    </row>
    <row r="79" spans="1:31" ht="15">
      <c r="A79" s="23">
        <f t="shared" si="19"/>
        <v>2031</v>
      </c>
      <c r="B79" s="27">
        <v>48183</v>
      </c>
      <c r="C79" s="35">
        <f t="shared" si="18"/>
        <v>0</v>
      </c>
      <c r="D79" s="35">
        <f t="shared" si="18"/>
        <v>0</v>
      </c>
      <c r="E79" s="35">
        <f t="shared" si="18"/>
        <v>0</v>
      </c>
      <c r="F79" s="35">
        <f t="shared" si="18"/>
        <v>0</v>
      </c>
      <c r="G79" s="35">
        <f t="shared" si="18"/>
        <v>0</v>
      </c>
      <c r="H79" s="35">
        <f t="shared" si="18"/>
        <v>0</v>
      </c>
      <c r="I79" s="35">
        <f t="shared" si="18"/>
        <v>0</v>
      </c>
      <c r="J79" s="35">
        <f t="shared" si="18"/>
        <v>0</v>
      </c>
      <c r="K79" s="35">
        <f t="shared" si="18"/>
        <v>8225.1751504185449</v>
      </c>
      <c r="L79" s="35">
        <f t="shared" si="18"/>
        <v>9058.1343505926634</v>
      </c>
      <c r="M79" s="35">
        <f t="shared" si="18"/>
        <v>9939.7224420285893</v>
      </c>
      <c r="N79" s="35">
        <f t="shared" si="18"/>
        <v>10310.271469389618</v>
      </c>
      <c r="O79" s="35">
        <f t="shared" si="18"/>
        <v>10414.476616203403</v>
      </c>
      <c r="P79" s="35">
        <f t="shared" si="18"/>
        <v>10552.450127735256</v>
      </c>
      <c r="Q79" s="35">
        <f t="shared" si="18"/>
        <v>10652.898101122888</v>
      </c>
      <c r="R79" s="35">
        <f t="shared" si="18"/>
        <v>10595.708637272766</v>
      </c>
      <c r="S79" s="35">
        <f t="shared" si="17"/>
        <v>10375.34252260738</v>
      </c>
      <c r="T79" s="35">
        <f t="shared" si="17"/>
        <v>9875.8205826288868</v>
      </c>
      <c r="U79" s="35">
        <f t="shared" si="17"/>
        <v>0</v>
      </c>
      <c r="V79" s="35">
        <f t="shared" si="17"/>
        <v>0</v>
      </c>
      <c r="W79" s="35">
        <f t="shared" si="17"/>
        <v>0</v>
      </c>
      <c r="X79" s="35">
        <f t="shared" si="17"/>
        <v>0</v>
      </c>
      <c r="Y79" s="35">
        <f t="shared" si="17"/>
        <v>0</v>
      </c>
      <c r="Z79" s="35">
        <f t="shared" si="17"/>
        <v>0</v>
      </c>
      <c r="AA79" s="35">
        <f t="shared" si="16"/>
        <v>99999.999999999985</v>
      </c>
      <c r="AB79" s="28">
        <f t="shared" si="20"/>
        <v>31</v>
      </c>
      <c r="AC79" s="29">
        <f t="shared" si="21"/>
        <v>3100000</v>
      </c>
      <c r="AD79" s="61"/>
      <c r="AE79" s="45"/>
    </row>
    <row r="80" spans="1:31" ht="15">
      <c r="A80" s="23">
        <f t="shared" si="19"/>
        <v>2032</v>
      </c>
      <c r="B80" s="27">
        <v>48214</v>
      </c>
      <c r="C80" s="35">
        <f t="shared" si="18"/>
        <v>0</v>
      </c>
      <c r="D80" s="35">
        <f t="shared" si="18"/>
        <v>0</v>
      </c>
      <c r="E80" s="35">
        <f t="shared" si="18"/>
        <v>0</v>
      </c>
      <c r="F80" s="35">
        <f t="shared" si="18"/>
        <v>0</v>
      </c>
      <c r="G80" s="35">
        <f t="shared" si="18"/>
        <v>0</v>
      </c>
      <c r="H80" s="35">
        <f t="shared" si="18"/>
        <v>0</v>
      </c>
      <c r="I80" s="35">
        <f t="shared" si="18"/>
        <v>0</v>
      </c>
      <c r="J80" s="35">
        <f t="shared" si="18"/>
        <v>0</v>
      </c>
      <c r="K80" s="35">
        <f t="shared" si="18"/>
        <v>8225.1751504185449</v>
      </c>
      <c r="L80" s="35">
        <f t="shared" si="18"/>
        <v>9058.1343505926634</v>
      </c>
      <c r="M80" s="35">
        <f t="shared" si="18"/>
        <v>9939.7224420285893</v>
      </c>
      <c r="N80" s="35">
        <f t="shared" si="18"/>
        <v>10310.271469389618</v>
      </c>
      <c r="O80" s="35">
        <f t="shared" si="18"/>
        <v>10414.476616203403</v>
      </c>
      <c r="P80" s="35">
        <f t="shared" si="18"/>
        <v>10552.450127735256</v>
      </c>
      <c r="Q80" s="35">
        <f t="shared" si="18"/>
        <v>10652.898101122888</v>
      </c>
      <c r="R80" s="35">
        <f t="shared" si="18"/>
        <v>10595.708637272766</v>
      </c>
      <c r="S80" s="35">
        <f t="shared" si="17"/>
        <v>10375.34252260738</v>
      </c>
      <c r="T80" s="35">
        <f t="shared" si="17"/>
        <v>9875.8205826288868</v>
      </c>
      <c r="U80" s="35">
        <f t="shared" si="17"/>
        <v>0</v>
      </c>
      <c r="V80" s="35">
        <f t="shared" si="17"/>
        <v>0</v>
      </c>
      <c r="W80" s="35">
        <f t="shared" si="17"/>
        <v>0</v>
      </c>
      <c r="X80" s="35">
        <f t="shared" si="17"/>
        <v>0</v>
      </c>
      <c r="Y80" s="35">
        <f t="shared" si="17"/>
        <v>0</v>
      </c>
      <c r="Z80" s="35">
        <f t="shared" si="17"/>
        <v>0</v>
      </c>
      <c r="AA80" s="35">
        <f t="shared" ref="AA80:AA91" si="22">SUM(C80:Z80)</f>
        <v>99999.999999999985</v>
      </c>
      <c r="AB80" s="28">
        <f t="shared" si="20"/>
        <v>31</v>
      </c>
      <c r="AC80" s="29">
        <f t="shared" si="21"/>
        <v>3100000</v>
      </c>
      <c r="AD80" s="61"/>
      <c r="AE80" s="45"/>
    </row>
    <row r="81" spans="1:31" ht="15">
      <c r="A81" s="23">
        <f t="shared" si="19"/>
        <v>2032</v>
      </c>
      <c r="B81" s="27">
        <v>48245</v>
      </c>
      <c r="C81" s="35">
        <f t="shared" si="18"/>
        <v>0</v>
      </c>
      <c r="D81" s="35">
        <f t="shared" si="18"/>
        <v>0</v>
      </c>
      <c r="E81" s="35">
        <f t="shared" si="18"/>
        <v>0</v>
      </c>
      <c r="F81" s="35">
        <f t="shared" si="18"/>
        <v>0</v>
      </c>
      <c r="G81" s="35">
        <f t="shared" si="18"/>
        <v>0</v>
      </c>
      <c r="H81" s="35">
        <f t="shared" si="18"/>
        <v>0</v>
      </c>
      <c r="I81" s="35">
        <f t="shared" si="18"/>
        <v>0</v>
      </c>
      <c r="J81" s="35">
        <f t="shared" si="18"/>
        <v>0</v>
      </c>
      <c r="K81" s="35">
        <f t="shared" si="18"/>
        <v>8225.1751504185449</v>
      </c>
      <c r="L81" s="35">
        <f t="shared" si="18"/>
        <v>9058.1343505926634</v>
      </c>
      <c r="M81" s="35">
        <f t="shared" si="18"/>
        <v>9939.7224420285893</v>
      </c>
      <c r="N81" s="35">
        <f t="shared" si="18"/>
        <v>10310.271469389618</v>
      </c>
      <c r="O81" s="35">
        <f t="shared" si="18"/>
        <v>10414.476616203403</v>
      </c>
      <c r="P81" s="35">
        <f t="shared" si="18"/>
        <v>10552.450127735256</v>
      </c>
      <c r="Q81" s="35">
        <f t="shared" si="18"/>
        <v>10652.898101122888</v>
      </c>
      <c r="R81" s="35">
        <f t="shared" si="18"/>
        <v>10595.708637272766</v>
      </c>
      <c r="S81" s="35">
        <f t="shared" si="17"/>
        <v>10375.34252260738</v>
      </c>
      <c r="T81" s="35">
        <f t="shared" si="17"/>
        <v>9875.8205826288868</v>
      </c>
      <c r="U81" s="35">
        <f t="shared" si="17"/>
        <v>0</v>
      </c>
      <c r="V81" s="35">
        <f t="shared" si="17"/>
        <v>0</v>
      </c>
      <c r="W81" s="35">
        <f t="shared" si="17"/>
        <v>0</v>
      </c>
      <c r="X81" s="35">
        <f t="shared" si="17"/>
        <v>0</v>
      </c>
      <c r="Y81" s="35">
        <f t="shared" si="17"/>
        <v>0</v>
      </c>
      <c r="Z81" s="35">
        <f t="shared" si="17"/>
        <v>0</v>
      </c>
      <c r="AA81" s="35">
        <f t="shared" si="22"/>
        <v>99999.999999999985</v>
      </c>
      <c r="AB81" s="28">
        <f t="shared" si="20"/>
        <v>29</v>
      </c>
      <c r="AC81" s="29">
        <f t="shared" si="21"/>
        <v>2900000</v>
      </c>
      <c r="AD81" s="61"/>
      <c r="AE81" s="45"/>
    </row>
    <row r="82" spans="1:31" ht="15">
      <c r="A82" s="23">
        <f t="shared" si="19"/>
        <v>2032</v>
      </c>
      <c r="B82" s="27">
        <v>48274</v>
      </c>
      <c r="C82" s="35">
        <f t="shared" si="18"/>
        <v>0</v>
      </c>
      <c r="D82" s="35">
        <f t="shared" si="18"/>
        <v>0</v>
      </c>
      <c r="E82" s="35">
        <f t="shared" si="18"/>
        <v>0</v>
      </c>
      <c r="F82" s="35">
        <f t="shared" si="18"/>
        <v>0</v>
      </c>
      <c r="G82" s="35">
        <f t="shared" si="18"/>
        <v>0</v>
      </c>
      <c r="H82" s="35">
        <f t="shared" si="18"/>
        <v>0</v>
      </c>
      <c r="I82" s="35">
        <f t="shared" si="18"/>
        <v>0</v>
      </c>
      <c r="J82" s="35">
        <f t="shared" si="18"/>
        <v>0</v>
      </c>
      <c r="K82" s="35">
        <f t="shared" si="18"/>
        <v>8225.1751504185449</v>
      </c>
      <c r="L82" s="35">
        <f t="shared" si="18"/>
        <v>9058.1343505926634</v>
      </c>
      <c r="M82" s="35">
        <f t="shared" si="18"/>
        <v>9939.7224420285893</v>
      </c>
      <c r="N82" s="35">
        <f t="shared" si="18"/>
        <v>10310.271469389618</v>
      </c>
      <c r="O82" s="35">
        <f t="shared" si="18"/>
        <v>10414.476616203403</v>
      </c>
      <c r="P82" s="35">
        <f t="shared" si="18"/>
        <v>10552.450127735256</v>
      </c>
      <c r="Q82" s="35">
        <f t="shared" si="18"/>
        <v>10652.898101122888</v>
      </c>
      <c r="R82" s="35">
        <f t="shared" ref="R82:Z97" si="23">IF(AND(COLUMN()&gt;=11,COLUMN()&lt;=20),($AC82/$AB82)*R$5,0)</f>
        <v>10595.708637272766</v>
      </c>
      <c r="S82" s="35">
        <f t="shared" si="23"/>
        <v>10375.34252260738</v>
      </c>
      <c r="T82" s="35">
        <f t="shared" si="23"/>
        <v>9875.8205826288868</v>
      </c>
      <c r="U82" s="35">
        <f t="shared" si="23"/>
        <v>0</v>
      </c>
      <c r="V82" s="35">
        <f t="shared" si="23"/>
        <v>0</v>
      </c>
      <c r="W82" s="35">
        <f t="shared" si="23"/>
        <v>0</v>
      </c>
      <c r="X82" s="35">
        <f t="shared" si="23"/>
        <v>0</v>
      </c>
      <c r="Y82" s="35">
        <f t="shared" si="23"/>
        <v>0</v>
      </c>
      <c r="Z82" s="35">
        <f t="shared" si="23"/>
        <v>0</v>
      </c>
      <c r="AA82" s="35">
        <f t="shared" si="22"/>
        <v>99999.999999999985</v>
      </c>
      <c r="AB82" s="28">
        <f t="shared" si="20"/>
        <v>31</v>
      </c>
      <c r="AC82" s="29">
        <f t="shared" si="21"/>
        <v>3100000</v>
      </c>
      <c r="AD82" s="61"/>
      <c r="AE82" s="45"/>
    </row>
    <row r="83" spans="1:31" ht="15">
      <c r="A83" s="23">
        <f t="shared" si="19"/>
        <v>2032</v>
      </c>
      <c r="B83" s="27">
        <v>48305</v>
      </c>
      <c r="C83" s="35">
        <f t="shared" ref="C83:R98" si="24">IF(AND(COLUMN()&gt;=11,COLUMN()&lt;=20),($AC83/$AB83)*C$5,0)</f>
        <v>0</v>
      </c>
      <c r="D83" s="35">
        <f t="shared" si="24"/>
        <v>0</v>
      </c>
      <c r="E83" s="35">
        <f t="shared" si="24"/>
        <v>0</v>
      </c>
      <c r="F83" s="35">
        <f t="shared" si="24"/>
        <v>0</v>
      </c>
      <c r="G83" s="35">
        <f t="shared" si="24"/>
        <v>0</v>
      </c>
      <c r="H83" s="35">
        <f t="shared" si="24"/>
        <v>0</v>
      </c>
      <c r="I83" s="35">
        <f t="shared" si="24"/>
        <v>0</v>
      </c>
      <c r="J83" s="35">
        <f t="shared" si="24"/>
        <v>0</v>
      </c>
      <c r="K83" s="35">
        <f t="shared" si="24"/>
        <v>8225.1751504185449</v>
      </c>
      <c r="L83" s="35">
        <f t="shared" si="24"/>
        <v>9058.1343505926634</v>
      </c>
      <c r="M83" s="35">
        <f t="shared" si="24"/>
        <v>9939.7224420285893</v>
      </c>
      <c r="N83" s="35">
        <f t="shared" si="24"/>
        <v>10310.271469389618</v>
      </c>
      <c r="O83" s="35">
        <f t="shared" si="24"/>
        <v>10414.476616203403</v>
      </c>
      <c r="P83" s="35">
        <f t="shared" si="24"/>
        <v>10552.450127735256</v>
      </c>
      <c r="Q83" s="35">
        <f t="shared" si="24"/>
        <v>10652.898101122888</v>
      </c>
      <c r="R83" s="35">
        <f t="shared" si="24"/>
        <v>10595.708637272766</v>
      </c>
      <c r="S83" s="35">
        <f t="shared" si="23"/>
        <v>10375.34252260738</v>
      </c>
      <c r="T83" s="35">
        <f t="shared" si="23"/>
        <v>9875.8205826288868</v>
      </c>
      <c r="U83" s="35">
        <f t="shared" si="23"/>
        <v>0</v>
      </c>
      <c r="V83" s="35">
        <f t="shared" si="23"/>
        <v>0</v>
      </c>
      <c r="W83" s="35">
        <f t="shared" si="23"/>
        <v>0</v>
      </c>
      <c r="X83" s="35">
        <f t="shared" si="23"/>
        <v>0</v>
      </c>
      <c r="Y83" s="35">
        <f t="shared" si="23"/>
        <v>0</v>
      </c>
      <c r="Z83" s="35">
        <f t="shared" si="23"/>
        <v>0</v>
      </c>
      <c r="AA83" s="35">
        <f t="shared" si="22"/>
        <v>99999.999999999985</v>
      </c>
      <c r="AB83" s="28">
        <f t="shared" si="20"/>
        <v>30</v>
      </c>
      <c r="AC83" s="29">
        <f t="shared" si="21"/>
        <v>3000000</v>
      </c>
      <c r="AD83" s="61"/>
      <c r="AE83" s="45"/>
    </row>
    <row r="84" spans="1:31" ht="15">
      <c r="A84" s="23">
        <f t="shared" si="19"/>
        <v>2032</v>
      </c>
      <c r="B84" s="27">
        <v>48335</v>
      </c>
      <c r="C84" s="35">
        <f t="shared" si="24"/>
        <v>0</v>
      </c>
      <c r="D84" s="35">
        <f t="shared" si="24"/>
        <v>0</v>
      </c>
      <c r="E84" s="35">
        <f t="shared" si="24"/>
        <v>0</v>
      </c>
      <c r="F84" s="35">
        <f t="shared" si="24"/>
        <v>0</v>
      </c>
      <c r="G84" s="35">
        <f t="shared" si="24"/>
        <v>0</v>
      </c>
      <c r="H84" s="35">
        <f t="shared" si="24"/>
        <v>0</v>
      </c>
      <c r="I84" s="35">
        <f t="shared" si="24"/>
        <v>0</v>
      </c>
      <c r="J84" s="35">
        <f t="shared" si="24"/>
        <v>0</v>
      </c>
      <c r="K84" s="35">
        <f t="shared" si="24"/>
        <v>8225.1751504185449</v>
      </c>
      <c r="L84" s="35">
        <f t="shared" si="24"/>
        <v>9058.1343505926634</v>
      </c>
      <c r="M84" s="35">
        <f t="shared" si="24"/>
        <v>9939.7224420285893</v>
      </c>
      <c r="N84" s="35">
        <f t="shared" si="24"/>
        <v>10310.271469389618</v>
      </c>
      <c r="O84" s="35">
        <f t="shared" si="24"/>
        <v>10414.476616203403</v>
      </c>
      <c r="P84" s="35">
        <f t="shared" si="24"/>
        <v>10552.450127735256</v>
      </c>
      <c r="Q84" s="35">
        <f t="shared" si="24"/>
        <v>10652.898101122888</v>
      </c>
      <c r="R84" s="35">
        <f t="shared" si="24"/>
        <v>10595.708637272766</v>
      </c>
      <c r="S84" s="35">
        <f t="shared" si="23"/>
        <v>10375.34252260738</v>
      </c>
      <c r="T84" s="35">
        <f t="shared" si="23"/>
        <v>9875.8205826288868</v>
      </c>
      <c r="U84" s="35">
        <f t="shared" si="23"/>
        <v>0</v>
      </c>
      <c r="V84" s="35">
        <f t="shared" si="23"/>
        <v>0</v>
      </c>
      <c r="W84" s="35">
        <f t="shared" si="23"/>
        <v>0</v>
      </c>
      <c r="X84" s="35">
        <f t="shared" si="23"/>
        <v>0</v>
      </c>
      <c r="Y84" s="35">
        <f t="shared" si="23"/>
        <v>0</v>
      </c>
      <c r="Z84" s="35">
        <f t="shared" si="23"/>
        <v>0</v>
      </c>
      <c r="AA84" s="35">
        <f t="shared" si="22"/>
        <v>99999.999999999985</v>
      </c>
      <c r="AB84" s="28">
        <f t="shared" si="20"/>
        <v>31</v>
      </c>
      <c r="AC84" s="29">
        <f t="shared" si="21"/>
        <v>3100000</v>
      </c>
      <c r="AD84" s="61"/>
      <c r="AE84" s="45"/>
    </row>
    <row r="85" spans="1:31" ht="15">
      <c r="A85" s="23">
        <f t="shared" si="19"/>
        <v>2032</v>
      </c>
      <c r="B85" s="27">
        <v>48366</v>
      </c>
      <c r="C85" s="35">
        <f t="shared" si="24"/>
        <v>0</v>
      </c>
      <c r="D85" s="35">
        <f t="shared" si="24"/>
        <v>0</v>
      </c>
      <c r="E85" s="35">
        <f t="shared" si="24"/>
        <v>0</v>
      </c>
      <c r="F85" s="35">
        <f t="shared" si="24"/>
        <v>0</v>
      </c>
      <c r="G85" s="35">
        <f t="shared" si="24"/>
        <v>0</v>
      </c>
      <c r="H85" s="35">
        <f t="shared" si="24"/>
        <v>0</v>
      </c>
      <c r="I85" s="35">
        <f t="shared" si="24"/>
        <v>0</v>
      </c>
      <c r="J85" s="35">
        <f t="shared" si="24"/>
        <v>0</v>
      </c>
      <c r="K85" s="35">
        <f t="shared" si="24"/>
        <v>8225.1751504185449</v>
      </c>
      <c r="L85" s="35">
        <f t="shared" si="24"/>
        <v>9058.1343505926634</v>
      </c>
      <c r="M85" s="35">
        <f t="shared" si="24"/>
        <v>9939.7224420285893</v>
      </c>
      <c r="N85" s="35">
        <f t="shared" si="24"/>
        <v>10310.271469389618</v>
      </c>
      <c r="O85" s="35">
        <f t="shared" si="24"/>
        <v>10414.476616203403</v>
      </c>
      <c r="P85" s="35">
        <f t="shared" si="24"/>
        <v>10552.450127735256</v>
      </c>
      <c r="Q85" s="35">
        <f t="shared" si="24"/>
        <v>10652.898101122888</v>
      </c>
      <c r="R85" s="35">
        <f t="shared" si="24"/>
        <v>10595.708637272766</v>
      </c>
      <c r="S85" s="35">
        <f t="shared" si="23"/>
        <v>10375.34252260738</v>
      </c>
      <c r="T85" s="35">
        <f t="shared" si="23"/>
        <v>9875.8205826288868</v>
      </c>
      <c r="U85" s="35">
        <f t="shared" si="23"/>
        <v>0</v>
      </c>
      <c r="V85" s="35">
        <f t="shared" si="23"/>
        <v>0</v>
      </c>
      <c r="W85" s="35">
        <f t="shared" si="23"/>
        <v>0</v>
      </c>
      <c r="X85" s="35">
        <f t="shared" si="23"/>
        <v>0</v>
      </c>
      <c r="Y85" s="35">
        <f t="shared" si="23"/>
        <v>0</v>
      </c>
      <c r="Z85" s="35">
        <f t="shared" si="23"/>
        <v>0</v>
      </c>
      <c r="AA85" s="35">
        <f t="shared" si="22"/>
        <v>99999.999999999985</v>
      </c>
      <c r="AB85" s="28">
        <f t="shared" si="20"/>
        <v>30</v>
      </c>
      <c r="AC85" s="29">
        <f t="shared" si="21"/>
        <v>3000000</v>
      </c>
      <c r="AD85" s="61"/>
      <c r="AE85" s="45"/>
    </row>
    <row r="86" spans="1:31" ht="15">
      <c r="A86" s="23">
        <f t="shared" si="19"/>
        <v>2032</v>
      </c>
      <c r="B86" s="27">
        <v>48396</v>
      </c>
      <c r="C86" s="35">
        <f t="shared" si="24"/>
        <v>0</v>
      </c>
      <c r="D86" s="35">
        <f t="shared" si="24"/>
        <v>0</v>
      </c>
      <c r="E86" s="35">
        <f t="shared" si="24"/>
        <v>0</v>
      </c>
      <c r="F86" s="35">
        <f t="shared" si="24"/>
        <v>0</v>
      </c>
      <c r="G86" s="35">
        <f t="shared" si="24"/>
        <v>0</v>
      </c>
      <c r="H86" s="35">
        <f t="shared" si="24"/>
        <v>0</v>
      </c>
      <c r="I86" s="35">
        <f t="shared" si="24"/>
        <v>0</v>
      </c>
      <c r="J86" s="35">
        <f t="shared" si="24"/>
        <v>0</v>
      </c>
      <c r="K86" s="35">
        <f t="shared" si="24"/>
        <v>8225.1751504185449</v>
      </c>
      <c r="L86" s="35">
        <f t="shared" si="24"/>
        <v>9058.1343505926634</v>
      </c>
      <c r="M86" s="35">
        <f t="shared" si="24"/>
        <v>9939.7224420285893</v>
      </c>
      <c r="N86" s="35">
        <f t="shared" si="24"/>
        <v>10310.271469389618</v>
      </c>
      <c r="O86" s="35">
        <f t="shared" si="24"/>
        <v>10414.476616203403</v>
      </c>
      <c r="P86" s="35">
        <f t="shared" si="24"/>
        <v>10552.450127735256</v>
      </c>
      <c r="Q86" s="35">
        <f t="shared" si="24"/>
        <v>10652.898101122888</v>
      </c>
      <c r="R86" s="35">
        <f t="shared" si="24"/>
        <v>10595.708637272766</v>
      </c>
      <c r="S86" s="35">
        <f t="shared" si="23"/>
        <v>10375.34252260738</v>
      </c>
      <c r="T86" s="35">
        <f t="shared" si="23"/>
        <v>9875.8205826288868</v>
      </c>
      <c r="U86" s="35">
        <f t="shared" si="23"/>
        <v>0</v>
      </c>
      <c r="V86" s="35">
        <f t="shared" si="23"/>
        <v>0</v>
      </c>
      <c r="W86" s="35">
        <f t="shared" si="23"/>
        <v>0</v>
      </c>
      <c r="X86" s="35">
        <f t="shared" si="23"/>
        <v>0</v>
      </c>
      <c r="Y86" s="35">
        <f t="shared" si="23"/>
        <v>0</v>
      </c>
      <c r="Z86" s="35">
        <f t="shared" si="23"/>
        <v>0</v>
      </c>
      <c r="AA86" s="35">
        <f t="shared" si="22"/>
        <v>99999.999999999985</v>
      </c>
      <c r="AB86" s="28">
        <f t="shared" si="20"/>
        <v>31</v>
      </c>
      <c r="AC86" s="29">
        <f t="shared" si="21"/>
        <v>3100000</v>
      </c>
      <c r="AD86" s="61"/>
      <c r="AE86" s="45"/>
    </row>
    <row r="87" spans="1:31" ht="15">
      <c r="A87" s="23">
        <f t="shared" si="19"/>
        <v>2032</v>
      </c>
      <c r="B87" s="27">
        <v>48427</v>
      </c>
      <c r="C87" s="35">
        <f t="shared" si="24"/>
        <v>0</v>
      </c>
      <c r="D87" s="35">
        <f t="shared" si="24"/>
        <v>0</v>
      </c>
      <c r="E87" s="35">
        <f t="shared" si="24"/>
        <v>0</v>
      </c>
      <c r="F87" s="35">
        <f t="shared" si="24"/>
        <v>0</v>
      </c>
      <c r="G87" s="35">
        <f t="shared" si="24"/>
        <v>0</v>
      </c>
      <c r="H87" s="35">
        <f t="shared" si="24"/>
        <v>0</v>
      </c>
      <c r="I87" s="35">
        <f t="shared" si="24"/>
        <v>0</v>
      </c>
      <c r="J87" s="35">
        <f t="shared" si="24"/>
        <v>0</v>
      </c>
      <c r="K87" s="35">
        <f t="shared" si="24"/>
        <v>8225.1751504185449</v>
      </c>
      <c r="L87" s="35">
        <f t="shared" si="24"/>
        <v>9058.1343505926634</v>
      </c>
      <c r="M87" s="35">
        <f t="shared" si="24"/>
        <v>9939.7224420285893</v>
      </c>
      <c r="N87" s="35">
        <f t="shared" si="24"/>
        <v>10310.271469389618</v>
      </c>
      <c r="O87" s="35">
        <f t="shared" si="24"/>
        <v>10414.476616203403</v>
      </c>
      <c r="P87" s="35">
        <f t="shared" si="24"/>
        <v>10552.450127735256</v>
      </c>
      <c r="Q87" s="35">
        <f t="shared" si="24"/>
        <v>10652.898101122888</v>
      </c>
      <c r="R87" s="35">
        <f t="shared" si="24"/>
        <v>10595.708637272766</v>
      </c>
      <c r="S87" s="35">
        <f t="shared" si="23"/>
        <v>10375.34252260738</v>
      </c>
      <c r="T87" s="35">
        <f t="shared" si="23"/>
        <v>9875.8205826288868</v>
      </c>
      <c r="U87" s="35">
        <f t="shared" si="23"/>
        <v>0</v>
      </c>
      <c r="V87" s="35">
        <f t="shared" si="23"/>
        <v>0</v>
      </c>
      <c r="W87" s="35">
        <f t="shared" si="23"/>
        <v>0</v>
      </c>
      <c r="X87" s="35">
        <f t="shared" si="23"/>
        <v>0</v>
      </c>
      <c r="Y87" s="35">
        <f t="shared" si="23"/>
        <v>0</v>
      </c>
      <c r="Z87" s="35">
        <f t="shared" si="23"/>
        <v>0</v>
      </c>
      <c r="AA87" s="35">
        <f t="shared" si="22"/>
        <v>99999.999999999985</v>
      </c>
      <c r="AB87" s="28">
        <f t="shared" si="20"/>
        <v>31</v>
      </c>
      <c r="AC87" s="29">
        <f t="shared" si="21"/>
        <v>3100000</v>
      </c>
      <c r="AD87" s="61"/>
      <c r="AE87" s="45"/>
    </row>
    <row r="88" spans="1:31" ht="15">
      <c r="A88" s="23">
        <f t="shared" si="19"/>
        <v>2032</v>
      </c>
      <c r="B88" s="27">
        <v>48458</v>
      </c>
      <c r="C88" s="35">
        <f t="shared" si="24"/>
        <v>0</v>
      </c>
      <c r="D88" s="35">
        <f t="shared" si="24"/>
        <v>0</v>
      </c>
      <c r="E88" s="35">
        <f t="shared" si="24"/>
        <v>0</v>
      </c>
      <c r="F88" s="35">
        <f t="shared" si="24"/>
        <v>0</v>
      </c>
      <c r="G88" s="35">
        <f t="shared" si="24"/>
        <v>0</v>
      </c>
      <c r="H88" s="35">
        <f t="shared" si="24"/>
        <v>0</v>
      </c>
      <c r="I88" s="35">
        <f t="shared" si="24"/>
        <v>0</v>
      </c>
      <c r="J88" s="35">
        <f t="shared" si="24"/>
        <v>0</v>
      </c>
      <c r="K88" s="35">
        <f t="shared" si="24"/>
        <v>8225.1751504185449</v>
      </c>
      <c r="L88" s="35">
        <f t="shared" si="24"/>
        <v>9058.1343505926634</v>
      </c>
      <c r="M88" s="35">
        <f t="shared" si="24"/>
        <v>9939.7224420285893</v>
      </c>
      <c r="N88" s="35">
        <f t="shared" si="24"/>
        <v>10310.271469389618</v>
      </c>
      <c r="O88" s="35">
        <f t="shared" si="24"/>
        <v>10414.476616203403</v>
      </c>
      <c r="P88" s="35">
        <f t="shared" si="24"/>
        <v>10552.450127735256</v>
      </c>
      <c r="Q88" s="35">
        <f t="shared" si="24"/>
        <v>10652.898101122888</v>
      </c>
      <c r="R88" s="35">
        <f t="shared" si="24"/>
        <v>10595.708637272766</v>
      </c>
      <c r="S88" s="35">
        <f t="shared" si="23"/>
        <v>10375.34252260738</v>
      </c>
      <c r="T88" s="35">
        <f t="shared" si="23"/>
        <v>9875.8205826288868</v>
      </c>
      <c r="U88" s="35">
        <f t="shared" si="23"/>
        <v>0</v>
      </c>
      <c r="V88" s="35">
        <f t="shared" si="23"/>
        <v>0</v>
      </c>
      <c r="W88" s="35">
        <f t="shared" si="23"/>
        <v>0</v>
      </c>
      <c r="X88" s="35">
        <f t="shared" si="23"/>
        <v>0</v>
      </c>
      <c r="Y88" s="35">
        <f t="shared" si="23"/>
        <v>0</v>
      </c>
      <c r="Z88" s="35">
        <f t="shared" si="23"/>
        <v>0</v>
      </c>
      <c r="AA88" s="35">
        <f t="shared" si="22"/>
        <v>99999.999999999985</v>
      </c>
      <c r="AB88" s="28">
        <f t="shared" si="20"/>
        <v>30</v>
      </c>
      <c r="AC88" s="29">
        <f t="shared" si="21"/>
        <v>3000000</v>
      </c>
      <c r="AD88" s="61"/>
      <c r="AE88" s="45"/>
    </row>
    <row r="89" spans="1:31" ht="15">
      <c r="A89" s="23">
        <f t="shared" si="19"/>
        <v>2032</v>
      </c>
      <c r="B89" s="27">
        <v>48488</v>
      </c>
      <c r="C89" s="35">
        <f t="shared" si="24"/>
        <v>0</v>
      </c>
      <c r="D89" s="35">
        <f t="shared" si="24"/>
        <v>0</v>
      </c>
      <c r="E89" s="35">
        <f t="shared" si="24"/>
        <v>0</v>
      </c>
      <c r="F89" s="35">
        <f t="shared" si="24"/>
        <v>0</v>
      </c>
      <c r="G89" s="35">
        <f t="shared" si="24"/>
        <v>0</v>
      </c>
      <c r="H89" s="35">
        <f t="shared" si="24"/>
        <v>0</v>
      </c>
      <c r="I89" s="35">
        <f t="shared" si="24"/>
        <v>0</v>
      </c>
      <c r="J89" s="35">
        <f t="shared" si="24"/>
        <v>0</v>
      </c>
      <c r="K89" s="35">
        <f t="shared" si="24"/>
        <v>8225.1751504185449</v>
      </c>
      <c r="L89" s="35">
        <f t="shared" si="24"/>
        <v>9058.1343505926634</v>
      </c>
      <c r="M89" s="35">
        <f t="shared" si="24"/>
        <v>9939.7224420285893</v>
      </c>
      <c r="N89" s="35">
        <f t="shared" si="24"/>
        <v>10310.271469389618</v>
      </c>
      <c r="O89" s="35">
        <f t="shared" si="24"/>
        <v>10414.476616203403</v>
      </c>
      <c r="P89" s="35">
        <f t="shared" si="24"/>
        <v>10552.450127735256</v>
      </c>
      <c r="Q89" s="35">
        <f t="shared" si="24"/>
        <v>10652.898101122888</v>
      </c>
      <c r="R89" s="35">
        <f t="shared" si="24"/>
        <v>10595.708637272766</v>
      </c>
      <c r="S89" s="35">
        <f t="shared" si="23"/>
        <v>10375.34252260738</v>
      </c>
      <c r="T89" s="35">
        <f t="shared" si="23"/>
        <v>9875.8205826288868</v>
      </c>
      <c r="U89" s="35">
        <f t="shared" si="23"/>
        <v>0</v>
      </c>
      <c r="V89" s="35">
        <f t="shared" si="23"/>
        <v>0</v>
      </c>
      <c r="W89" s="35">
        <f t="shared" si="23"/>
        <v>0</v>
      </c>
      <c r="X89" s="35">
        <f t="shared" si="23"/>
        <v>0</v>
      </c>
      <c r="Y89" s="35">
        <f t="shared" si="23"/>
        <v>0</v>
      </c>
      <c r="Z89" s="35">
        <f t="shared" si="23"/>
        <v>0</v>
      </c>
      <c r="AA89" s="35">
        <f t="shared" si="22"/>
        <v>99999.999999999985</v>
      </c>
      <c r="AB89" s="28">
        <f t="shared" si="20"/>
        <v>31</v>
      </c>
      <c r="AC89" s="29">
        <f t="shared" si="21"/>
        <v>3100000</v>
      </c>
      <c r="AD89" s="61"/>
      <c r="AE89" s="45"/>
    </row>
    <row r="90" spans="1:31" ht="15">
      <c r="A90" s="23">
        <f t="shared" si="19"/>
        <v>2032</v>
      </c>
      <c r="B90" s="27">
        <v>48519</v>
      </c>
      <c r="C90" s="35">
        <f t="shared" si="24"/>
        <v>0</v>
      </c>
      <c r="D90" s="35">
        <f t="shared" si="24"/>
        <v>0</v>
      </c>
      <c r="E90" s="35">
        <f t="shared" si="24"/>
        <v>0</v>
      </c>
      <c r="F90" s="35">
        <f t="shared" si="24"/>
        <v>0</v>
      </c>
      <c r="G90" s="35">
        <f t="shared" si="24"/>
        <v>0</v>
      </c>
      <c r="H90" s="35">
        <f t="shared" si="24"/>
        <v>0</v>
      </c>
      <c r="I90" s="35">
        <f t="shared" si="24"/>
        <v>0</v>
      </c>
      <c r="J90" s="35">
        <f t="shared" si="24"/>
        <v>0</v>
      </c>
      <c r="K90" s="35">
        <f t="shared" si="24"/>
        <v>8225.1751504185449</v>
      </c>
      <c r="L90" s="35">
        <f t="shared" si="24"/>
        <v>9058.1343505926634</v>
      </c>
      <c r="M90" s="35">
        <f t="shared" si="24"/>
        <v>9939.7224420285893</v>
      </c>
      <c r="N90" s="35">
        <f t="shared" si="24"/>
        <v>10310.271469389618</v>
      </c>
      <c r="O90" s="35">
        <f t="shared" si="24"/>
        <v>10414.476616203403</v>
      </c>
      <c r="P90" s="35">
        <f t="shared" si="24"/>
        <v>10552.450127735256</v>
      </c>
      <c r="Q90" s="35">
        <f t="shared" si="24"/>
        <v>10652.898101122888</v>
      </c>
      <c r="R90" s="35">
        <f t="shared" si="24"/>
        <v>10595.708637272766</v>
      </c>
      <c r="S90" s="35">
        <f t="shared" si="23"/>
        <v>10375.34252260738</v>
      </c>
      <c r="T90" s="35">
        <f t="shared" si="23"/>
        <v>9875.8205826288868</v>
      </c>
      <c r="U90" s="35">
        <f t="shared" si="23"/>
        <v>0</v>
      </c>
      <c r="V90" s="35">
        <f t="shared" si="23"/>
        <v>0</v>
      </c>
      <c r="W90" s="35">
        <f t="shared" si="23"/>
        <v>0</v>
      </c>
      <c r="X90" s="35">
        <f t="shared" si="23"/>
        <v>0</v>
      </c>
      <c r="Y90" s="35">
        <f t="shared" si="23"/>
        <v>0</v>
      </c>
      <c r="Z90" s="35">
        <f t="shared" si="23"/>
        <v>0</v>
      </c>
      <c r="AA90" s="35">
        <f t="shared" si="22"/>
        <v>99999.999999999985</v>
      </c>
      <c r="AB90" s="28">
        <f t="shared" si="20"/>
        <v>30</v>
      </c>
      <c r="AC90" s="29">
        <f t="shared" si="21"/>
        <v>3000000</v>
      </c>
      <c r="AD90" s="61"/>
      <c r="AE90" s="45"/>
    </row>
    <row r="91" spans="1:31" ht="15">
      <c r="A91" s="23">
        <f t="shared" si="19"/>
        <v>2032</v>
      </c>
      <c r="B91" s="27">
        <v>48549</v>
      </c>
      <c r="C91" s="35">
        <f t="shared" si="24"/>
        <v>0</v>
      </c>
      <c r="D91" s="35">
        <f t="shared" si="24"/>
        <v>0</v>
      </c>
      <c r="E91" s="35">
        <f t="shared" si="24"/>
        <v>0</v>
      </c>
      <c r="F91" s="35">
        <f t="shared" si="24"/>
        <v>0</v>
      </c>
      <c r="G91" s="35">
        <f t="shared" si="24"/>
        <v>0</v>
      </c>
      <c r="H91" s="35">
        <f t="shared" si="24"/>
        <v>0</v>
      </c>
      <c r="I91" s="35">
        <f t="shared" si="24"/>
        <v>0</v>
      </c>
      <c r="J91" s="35">
        <f t="shared" si="24"/>
        <v>0</v>
      </c>
      <c r="K91" s="35">
        <f t="shared" si="24"/>
        <v>8225.1751504185449</v>
      </c>
      <c r="L91" s="35">
        <f t="shared" si="24"/>
        <v>9058.1343505926634</v>
      </c>
      <c r="M91" s="35">
        <f t="shared" si="24"/>
        <v>9939.7224420285893</v>
      </c>
      <c r="N91" s="35">
        <f t="shared" si="24"/>
        <v>10310.271469389618</v>
      </c>
      <c r="O91" s="35">
        <f t="shared" si="24"/>
        <v>10414.476616203403</v>
      </c>
      <c r="P91" s="35">
        <f t="shared" si="24"/>
        <v>10552.450127735256</v>
      </c>
      <c r="Q91" s="35">
        <f t="shared" si="24"/>
        <v>10652.898101122888</v>
      </c>
      <c r="R91" s="35">
        <f t="shared" si="24"/>
        <v>10595.708637272766</v>
      </c>
      <c r="S91" s="35">
        <f t="shared" si="23"/>
        <v>10375.34252260738</v>
      </c>
      <c r="T91" s="35">
        <f t="shared" si="23"/>
        <v>9875.8205826288868</v>
      </c>
      <c r="U91" s="35">
        <f t="shared" si="23"/>
        <v>0</v>
      </c>
      <c r="V91" s="35">
        <f t="shared" si="23"/>
        <v>0</v>
      </c>
      <c r="W91" s="35">
        <f t="shared" si="23"/>
        <v>0</v>
      </c>
      <c r="X91" s="35">
        <f t="shared" si="23"/>
        <v>0</v>
      </c>
      <c r="Y91" s="35">
        <f t="shared" si="23"/>
        <v>0</v>
      </c>
      <c r="Z91" s="35">
        <f t="shared" si="23"/>
        <v>0</v>
      </c>
      <c r="AA91" s="35">
        <f t="shared" si="22"/>
        <v>99999.999999999985</v>
      </c>
      <c r="AB91" s="28">
        <f t="shared" si="20"/>
        <v>31</v>
      </c>
      <c r="AC91" s="29">
        <f t="shared" si="21"/>
        <v>3100000</v>
      </c>
      <c r="AD91" s="61"/>
      <c r="AE91" s="45"/>
    </row>
    <row r="92" spans="1:31" ht="15">
      <c r="A92" s="23">
        <f t="shared" si="19"/>
        <v>2033</v>
      </c>
      <c r="B92" s="27">
        <v>48580</v>
      </c>
      <c r="C92" s="35">
        <f t="shared" si="24"/>
        <v>0</v>
      </c>
      <c r="D92" s="35">
        <f t="shared" si="24"/>
        <v>0</v>
      </c>
      <c r="E92" s="35">
        <f t="shared" si="24"/>
        <v>0</v>
      </c>
      <c r="F92" s="35">
        <f t="shared" si="24"/>
        <v>0</v>
      </c>
      <c r="G92" s="35">
        <f t="shared" si="24"/>
        <v>0</v>
      </c>
      <c r="H92" s="35">
        <f t="shared" si="24"/>
        <v>0</v>
      </c>
      <c r="I92" s="35">
        <f t="shared" si="24"/>
        <v>0</v>
      </c>
      <c r="J92" s="35">
        <f t="shared" si="24"/>
        <v>0</v>
      </c>
      <c r="K92" s="35">
        <f t="shared" si="24"/>
        <v>8225.1751504185449</v>
      </c>
      <c r="L92" s="35">
        <f t="shared" si="24"/>
        <v>9058.1343505926634</v>
      </c>
      <c r="M92" s="35">
        <f t="shared" si="24"/>
        <v>9939.7224420285893</v>
      </c>
      <c r="N92" s="35">
        <f t="shared" si="24"/>
        <v>10310.271469389618</v>
      </c>
      <c r="O92" s="35">
        <f t="shared" si="24"/>
        <v>10414.476616203403</v>
      </c>
      <c r="P92" s="35">
        <f t="shared" si="24"/>
        <v>10552.450127735256</v>
      </c>
      <c r="Q92" s="35">
        <f t="shared" si="24"/>
        <v>10652.898101122888</v>
      </c>
      <c r="R92" s="35">
        <f t="shared" si="24"/>
        <v>10595.708637272766</v>
      </c>
      <c r="S92" s="35">
        <f t="shared" si="23"/>
        <v>10375.34252260738</v>
      </c>
      <c r="T92" s="35">
        <f t="shared" si="23"/>
        <v>9875.8205826288868</v>
      </c>
      <c r="U92" s="35">
        <f t="shared" si="23"/>
        <v>0</v>
      </c>
      <c r="V92" s="35">
        <f t="shared" si="23"/>
        <v>0</v>
      </c>
      <c r="W92" s="35">
        <f t="shared" si="23"/>
        <v>0</v>
      </c>
      <c r="X92" s="35">
        <f t="shared" si="23"/>
        <v>0</v>
      </c>
      <c r="Y92" s="35">
        <f t="shared" si="23"/>
        <v>0</v>
      </c>
      <c r="Z92" s="35">
        <f t="shared" si="23"/>
        <v>0</v>
      </c>
      <c r="AA92" s="35">
        <f t="shared" ref="AA92" si="25">SUM(C92:Z92)</f>
        <v>99999.999999999985</v>
      </c>
      <c r="AB92" s="28">
        <f t="shared" si="20"/>
        <v>31</v>
      </c>
      <c r="AC92" s="29">
        <f t="shared" si="21"/>
        <v>3100000</v>
      </c>
      <c r="AD92" s="61"/>
      <c r="AE92" s="45"/>
    </row>
    <row r="93" spans="1:31" ht="15">
      <c r="A93" s="23">
        <f t="shared" si="19"/>
        <v>2033</v>
      </c>
      <c r="B93" s="27">
        <v>48611</v>
      </c>
      <c r="C93" s="35">
        <f t="shared" si="24"/>
        <v>0</v>
      </c>
      <c r="D93" s="35">
        <f t="shared" si="24"/>
        <v>0</v>
      </c>
      <c r="E93" s="35">
        <f t="shared" si="24"/>
        <v>0</v>
      </c>
      <c r="F93" s="35">
        <f t="shared" si="24"/>
        <v>0</v>
      </c>
      <c r="G93" s="35">
        <f t="shared" si="24"/>
        <v>0</v>
      </c>
      <c r="H93" s="35">
        <f t="shared" si="24"/>
        <v>0</v>
      </c>
      <c r="I93" s="35">
        <f t="shared" si="24"/>
        <v>0</v>
      </c>
      <c r="J93" s="35">
        <f t="shared" si="24"/>
        <v>0</v>
      </c>
      <c r="K93" s="35">
        <f t="shared" si="24"/>
        <v>8225.1751504185449</v>
      </c>
      <c r="L93" s="35">
        <f t="shared" si="24"/>
        <v>9058.1343505926634</v>
      </c>
      <c r="M93" s="35">
        <f t="shared" si="24"/>
        <v>9939.7224420285893</v>
      </c>
      <c r="N93" s="35">
        <f t="shared" si="24"/>
        <v>10310.271469389618</v>
      </c>
      <c r="O93" s="35">
        <f t="shared" si="24"/>
        <v>10414.476616203403</v>
      </c>
      <c r="P93" s="35">
        <f t="shared" si="24"/>
        <v>10552.450127735256</v>
      </c>
      <c r="Q93" s="35">
        <f t="shared" si="24"/>
        <v>10652.898101122888</v>
      </c>
      <c r="R93" s="35">
        <f t="shared" si="24"/>
        <v>10595.708637272766</v>
      </c>
      <c r="S93" s="35">
        <f t="shared" si="23"/>
        <v>10375.34252260738</v>
      </c>
      <c r="T93" s="35">
        <f t="shared" si="23"/>
        <v>9875.8205826288868</v>
      </c>
      <c r="U93" s="35">
        <f t="shared" si="23"/>
        <v>0</v>
      </c>
      <c r="V93" s="35">
        <f t="shared" si="23"/>
        <v>0</v>
      </c>
      <c r="W93" s="35">
        <f t="shared" si="23"/>
        <v>0</v>
      </c>
      <c r="X93" s="35">
        <f t="shared" si="23"/>
        <v>0</v>
      </c>
      <c r="Y93" s="35">
        <f t="shared" si="23"/>
        <v>0</v>
      </c>
      <c r="Z93" s="35">
        <f t="shared" si="23"/>
        <v>0</v>
      </c>
      <c r="AA93" s="35">
        <f t="shared" ref="AA93:AA104" si="26">SUM(C93:Z93)</f>
        <v>99999.999999999985</v>
      </c>
      <c r="AB93" s="28">
        <f t="shared" si="20"/>
        <v>28</v>
      </c>
      <c r="AC93" s="29">
        <f t="shared" si="21"/>
        <v>2800000</v>
      </c>
      <c r="AD93" s="61"/>
      <c r="AE93" s="45"/>
    </row>
    <row r="94" spans="1:31" ht="15">
      <c r="A94" s="23">
        <f t="shared" si="19"/>
        <v>2033</v>
      </c>
      <c r="B94" s="27">
        <v>48639</v>
      </c>
      <c r="C94" s="35">
        <f t="shared" si="24"/>
        <v>0</v>
      </c>
      <c r="D94" s="35">
        <f t="shared" si="24"/>
        <v>0</v>
      </c>
      <c r="E94" s="35">
        <f t="shared" si="24"/>
        <v>0</v>
      </c>
      <c r="F94" s="35">
        <f t="shared" si="24"/>
        <v>0</v>
      </c>
      <c r="G94" s="35">
        <f t="shared" si="24"/>
        <v>0</v>
      </c>
      <c r="H94" s="35">
        <f t="shared" si="24"/>
        <v>0</v>
      </c>
      <c r="I94" s="35">
        <f t="shared" si="24"/>
        <v>0</v>
      </c>
      <c r="J94" s="35">
        <f t="shared" si="24"/>
        <v>0</v>
      </c>
      <c r="K94" s="35">
        <f t="shared" si="24"/>
        <v>8225.1751504185449</v>
      </c>
      <c r="L94" s="35">
        <f t="shared" si="24"/>
        <v>9058.1343505926634</v>
      </c>
      <c r="M94" s="35">
        <f t="shared" si="24"/>
        <v>9939.7224420285893</v>
      </c>
      <c r="N94" s="35">
        <f t="shared" si="24"/>
        <v>10310.271469389618</v>
      </c>
      <c r="O94" s="35">
        <f t="shared" si="24"/>
        <v>10414.476616203403</v>
      </c>
      <c r="P94" s="35">
        <f t="shared" si="24"/>
        <v>10552.450127735256</v>
      </c>
      <c r="Q94" s="35">
        <f t="shared" si="24"/>
        <v>10652.898101122888</v>
      </c>
      <c r="R94" s="35">
        <f t="shared" si="24"/>
        <v>10595.708637272766</v>
      </c>
      <c r="S94" s="35">
        <f t="shared" si="23"/>
        <v>10375.34252260738</v>
      </c>
      <c r="T94" s="35">
        <f t="shared" si="23"/>
        <v>9875.8205826288868</v>
      </c>
      <c r="U94" s="35">
        <f t="shared" si="23"/>
        <v>0</v>
      </c>
      <c r="V94" s="35">
        <f t="shared" si="23"/>
        <v>0</v>
      </c>
      <c r="W94" s="35">
        <f t="shared" si="23"/>
        <v>0</v>
      </c>
      <c r="X94" s="35">
        <f t="shared" si="23"/>
        <v>0</v>
      </c>
      <c r="Y94" s="35">
        <f t="shared" si="23"/>
        <v>0</v>
      </c>
      <c r="Z94" s="35">
        <f t="shared" si="23"/>
        <v>0</v>
      </c>
      <c r="AA94" s="35">
        <f t="shared" si="26"/>
        <v>99999.999999999985</v>
      </c>
      <c r="AB94" s="28">
        <f t="shared" si="20"/>
        <v>31</v>
      </c>
      <c r="AC94" s="29">
        <f t="shared" si="21"/>
        <v>3100000</v>
      </c>
      <c r="AD94" s="61"/>
      <c r="AE94" s="45"/>
    </row>
    <row r="95" spans="1:31" ht="15">
      <c r="A95" s="23">
        <f t="shared" si="19"/>
        <v>2033</v>
      </c>
      <c r="B95" s="27">
        <v>48670</v>
      </c>
      <c r="C95" s="35">
        <f t="shared" si="24"/>
        <v>0</v>
      </c>
      <c r="D95" s="35">
        <f t="shared" si="24"/>
        <v>0</v>
      </c>
      <c r="E95" s="35">
        <f t="shared" si="24"/>
        <v>0</v>
      </c>
      <c r="F95" s="35">
        <f t="shared" si="24"/>
        <v>0</v>
      </c>
      <c r="G95" s="35">
        <f t="shared" si="24"/>
        <v>0</v>
      </c>
      <c r="H95" s="35">
        <f t="shared" si="24"/>
        <v>0</v>
      </c>
      <c r="I95" s="35">
        <f t="shared" si="24"/>
        <v>0</v>
      </c>
      <c r="J95" s="35">
        <f t="shared" si="24"/>
        <v>0</v>
      </c>
      <c r="K95" s="35">
        <f t="shared" si="24"/>
        <v>8225.1751504185449</v>
      </c>
      <c r="L95" s="35">
        <f t="shared" si="24"/>
        <v>9058.1343505926634</v>
      </c>
      <c r="M95" s="35">
        <f t="shared" si="24"/>
        <v>9939.7224420285893</v>
      </c>
      <c r="N95" s="35">
        <f t="shared" si="24"/>
        <v>10310.271469389618</v>
      </c>
      <c r="O95" s="35">
        <f t="shared" si="24"/>
        <v>10414.476616203403</v>
      </c>
      <c r="P95" s="35">
        <f t="shared" si="24"/>
        <v>10552.450127735256</v>
      </c>
      <c r="Q95" s="35">
        <f t="shared" si="24"/>
        <v>10652.898101122888</v>
      </c>
      <c r="R95" s="35">
        <f t="shared" si="24"/>
        <v>10595.708637272766</v>
      </c>
      <c r="S95" s="35">
        <f t="shared" si="23"/>
        <v>10375.34252260738</v>
      </c>
      <c r="T95" s="35">
        <f t="shared" si="23"/>
        <v>9875.8205826288868</v>
      </c>
      <c r="U95" s="35">
        <f t="shared" si="23"/>
        <v>0</v>
      </c>
      <c r="V95" s="35">
        <f t="shared" si="23"/>
        <v>0</v>
      </c>
      <c r="W95" s="35">
        <f t="shared" si="23"/>
        <v>0</v>
      </c>
      <c r="X95" s="35">
        <f t="shared" si="23"/>
        <v>0</v>
      </c>
      <c r="Y95" s="35">
        <f t="shared" si="23"/>
        <v>0</v>
      </c>
      <c r="Z95" s="35">
        <f t="shared" si="23"/>
        <v>0</v>
      </c>
      <c r="AA95" s="35">
        <f t="shared" si="26"/>
        <v>99999.999999999985</v>
      </c>
      <c r="AB95" s="28">
        <f t="shared" si="20"/>
        <v>30</v>
      </c>
      <c r="AC95" s="29">
        <f t="shared" si="21"/>
        <v>3000000</v>
      </c>
      <c r="AD95" s="61"/>
      <c r="AE95" s="45"/>
    </row>
    <row r="96" spans="1:31" ht="15">
      <c r="A96" s="23">
        <f t="shared" si="19"/>
        <v>2033</v>
      </c>
      <c r="B96" s="27">
        <v>48700</v>
      </c>
      <c r="C96" s="35">
        <f t="shared" si="24"/>
        <v>0</v>
      </c>
      <c r="D96" s="35">
        <f t="shared" si="24"/>
        <v>0</v>
      </c>
      <c r="E96" s="35">
        <f t="shared" si="24"/>
        <v>0</v>
      </c>
      <c r="F96" s="35">
        <f t="shared" si="24"/>
        <v>0</v>
      </c>
      <c r="G96" s="35">
        <f t="shared" si="24"/>
        <v>0</v>
      </c>
      <c r="H96" s="35">
        <f t="shared" si="24"/>
        <v>0</v>
      </c>
      <c r="I96" s="35">
        <f t="shared" si="24"/>
        <v>0</v>
      </c>
      <c r="J96" s="35">
        <f t="shared" si="24"/>
        <v>0</v>
      </c>
      <c r="K96" s="35">
        <f t="shared" si="24"/>
        <v>8225.1751504185449</v>
      </c>
      <c r="L96" s="35">
        <f t="shared" si="24"/>
        <v>9058.1343505926634</v>
      </c>
      <c r="M96" s="35">
        <f t="shared" si="24"/>
        <v>9939.7224420285893</v>
      </c>
      <c r="N96" s="35">
        <f t="shared" si="24"/>
        <v>10310.271469389618</v>
      </c>
      <c r="O96" s="35">
        <f t="shared" si="24"/>
        <v>10414.476616203403</v>
      </c>
      <c r="P96" s="35">
        <f t="shared" si="24"/>
        <v>10552.450127735256</v>
      </c>
      <c r="Q96" s="35">
        <f t="shared" si="24"/>
        <v>10652.898101122888</v>
      </c>
      <c r="R96" s="35">
        <f t="shared" si="24"/>
        <v>10595.708637272766</v>
      </c>
      <c r="S96" s="35">
        <f t="shared" si="23"/>
        <v>10375.34252260738</v>
      </c>
      <c r="T96" s="35">
        <f t="shared" si="23"/>
        <v>9875.8205826288868</v>
      </c>
      <c r="U96" s="35">
        <f t="shared" si="23"/>
        <v>0</v>
      </c>
      <c r="V96" s="35">
        <f t="shared" si="23"/>
        <v>0</v>
      </c>
      <c r="W96" s="35">
        <f t="shared" si="23"/>
        <v>0</v>
      </c>
      <c r="X96" s="35">
        <f t="shared" si="23"/>
        <v>0</v>
      </c>
      <c r="Y96" s="35">
        <f t="shared" si="23"/>
        <v>0</v>
      </c>
      <c r="Z96" s="35">
        <f t="shared" si="23"/>
        <v>0</v>
      </c>
      <c r="AA96" s="35">
        <f t="shared" si="26"/>
        <v>99999.999999999985</v>
      </c>
      <c r="AB96" s="28">
        <f t="shared" si="20"/>
        <v>31</v>
      </c>
      <c r="AC96" s="29">
        <f t="shared" si="21"/>
        <v>3100000</v>
      </c>
      <c r="AD96" s="61"/>
      <c r="AE96" s="45"/>
    </row>
    <row r="97" spans="1:31" ht="15">
      <c r="A97" s="23">
        <f t="shared" si="19"/>
        <v>2033</v>
      </c>
      <c r="B97" s="27">
        <v>48731</v>
      </c>
      <c r="C97" s="35">
        <f t="shared" si="24"/>
        <v>0</v>
      </c>
      <c r="D97" s="35">
        <f t="shared" si="24"/>
        <v>0</v>
      </c>
      <c r="E97" s="35">
        <f t="shared" si="24"/>
        <v>0</v>
      </c>
      <c r="F97" s="35">
        <f t="shared" si="24"/>
        <v>0</v>
      </c>
      <c r="G97" s="35">
        <f t="shared" si="24"/>
        <v>0</v>
      </c>
      <c r="H97" s="35">
        <f t="shared" si="24"/>
        <v>0</v>
      </c>
      <c r="I97" s="35">
        <f t="shared" si="24"/>
        <v>0</v>
      </c>
      <c r="J97" s="35">
        <f t="shared" si="24"/>
        <v>0</v>
      </c>
      <c r="K97" s="35">
        <f t="shared" si="24"/>
        <v>8225.1751504185449</v>
      </c>
      <c r="L97" s="35">
        <f t="shared" si="24"/>
        <v>9058.1343505926634</v>
      </c>
      <c r="M97" s="35">
        <f t="shared" si="24"/>
        <v>9939.7224420285893</v>
      </c>
      <c r="N97" s="35">
        <f t="shared" si="24"/>
        <v>10310.271469389618</v>
      </c>
      <c r="O97" s="35">
        <f t="shared" si="24"/>
        <v>10414.476616203403</v>
      </c>
      <c r="P97" s="35">
        <f t="shared" si="24"/>
        <v>10552.450127735256</v>
      </c>
      <c r="Q97" s="35">
        <f t="shared" si="24"/>
        <v>10652.898101122888</v>
      </c>
      <c r="R97" s="35">
        <f t="shared" si="24"/>
        <v>10595.708637272766</v>
      </c>
      <c r="S97" s="35">
        <f t="shared" si="23"/>
        <v>10375.34252260738</v>
      </c>
      <c r="T97" s="35">
        <f t="shared" si="23"/>
        <v>9875.8205826288868</v>
      </c>
      <c r="U97" s="35">
        <f t="shared" si="23"/>
        <v>0</v>
      </c>
      <c r="V97" s="35">
        <f t="shared" si="23"/>
        <v>0</v>
      </c>
      <c r="W97" s="35">
        <f t="shared" si="23"/>
        <v>0</v>
      </c>
      <c r="X97" s="35">
        <f t="shared" si="23"/>
        <v>0</v>
      </c>
      <c r="Y97" s="35">
        <f t="shared" si="23"/>
        <v>0</v>
      </c>
      <c r="Z97" s="35">
        <f t="shared" si="23"/>
        <v>0</v>
      </c>
      <c r="AA97" s="35">
        <f t="shared" si="26"/>
        <v>99999.999999999985</v>
      </c>
      <c r="AB97" s="28">
        <f t="shared" si="20"/>
        <v>30</v>
      </c>
      <c r="AC97" s="29">
        <f t="shared" si="21"/>
        <v>3000000</v>
      </c>
      <c r="AD97" s="61"/>
      <c r="AE97" s="45"/>
    </row>
    <row r="98" spans="1:31" ht="15">
      <c r="A98" s="23">
        <f t="shared" si="19"/>
        <v>2033</v>
      </c>
      <c r="B98" s="27">
        <v>48761</v>
      </c>
      <c r="C98" s="35">
        <f t="shared" si="24"/>
        <v>0</v>
      </c>
      <c r="D98" s="35">
        <f t="shared" si="24"/>
        <v>0</v>
      </c>
      <c r="E98" s="35">
        <f t="shared" si="24"/>
        <v>0</v>
      </c>
      <c r="F98" s="35">
        <f t="shared" si="24"/>
        <v>0</v>
      </c>
      <c r="G98" s="35">
        <f t="shared" si="24"/>
        <v>0</v>
      </c>
      <c r="H98" s="35">
        <f t="shared" si="24"/>
        <v>0</v>
      </c>
      <c r="I98" s="35">
        <f t="shared" si="24"/>
        <v>0</v>
      </c>
      <c r="J98" s="35">
        <f t="shared" si="24"/>
        <v>0</v>
      </c>
      <c r="K98" s="35">
        <f t="shared" si="24"/>
        <v>8225.1751504185449</v>
      </c>
      <c r="L98" s="35">
        <f t="shared" si="24"/>
        <v>9058.1343505926634</v>
      </c>
      <c r="M98" s="35">
        <f t="shared" si="24"/>
        <v>9939.7224420285893</v>
      </c>
      <c r="N98" s="35">
        <f t="shared" si="24"/>
        <v>10310.271469389618</v>
      </c>
      <c r="O98" s="35">
        <f t="shared" si="24"/>
        <v>10414.476616203403</v>
      </c>
      <c r="P98" s="35">
        <f t="shared" si="24"/>
        <v>10552.450127735256</v>
      </c>
      <c r="Q98" s="35">
        <f t="shared" si="24"/>
        <v>10652.898101122888</v>
      </c>
      <c r="R98" s="35">
        <f t="shared" ref="R98:Z113" si="27">IF(AND(COLUMN()&gt;=11,COLUMN()&lt;=20),($AC98/$AB98)*R$5,0)</f>
        <v>10595.708637272766</v>
      </c>
      <c r="S98" s="35">
        <f t="shared" si="27"/>
        <v>10375.34252260738</v>
      </c>
      <c r="T98" s="35">
        <f t="shared" si="27"/>
        <v>9875.8205826288868</v>
      </c>
      <c r="U98" s="35">
        <f t="shared" si="27"/>
        <v>0</v>
      </c>
      <c r="V98" s="35">
        <f t="shared" si="27"/>
        <v>0</v>
      </c>
      <c r="W98" s="35">
        <f t="shared" si="27"/>
        <v>0</v>
      </c>
      <c r="X98" s="35">
        <f t="shared" si="27"/>
        <v>0</v>
      </c>
      <c r="Y98" s="35">
        <f t="shared" si="27"/>
        <v>0</v>
      </c>
      <c r="Z98" s="35">
        <f t="shared" si="27"/>
        <v>0</v>
      </c>
      <c r="AA98" s="35">
        <f t="shared" si="26"/>
        <v>99999.999999999985</v>
      </c>
      <c r="AB98" s="28">
        <f t="shared" si="20"/>
        <v>31</v>
      </c>
      <c r="AC98" s="29">
        <f t="shared" si="21"/>
        <v>3100000</v>
      </c>
      <c r="AD98" s="61"/>
      <c r="AE98" s="45"/>
    </row>
    <row r="99" spans="1:31" ht="15">
      <c r="A99" s="23">
        <f t="shared" si="19"/>
        <v>2033</v>
      </c>
      <c r="B99" s="27">
        <v>48792</v>
      </c>
      <c r="C99" s="35">
        <f t="shared" ref="C99:R114" si="28">IF(AND(COLUMN()&gt;=11,COLUMN()&lt;=20),($AC99/$AB99)*C$5,0)</f>
        <v>0</v>
      </c>
      <c r="D99" s="35">
        <f t="shared" si="28"/>
        <v>0</v>
      </c>
      <c r="E99" s="35">
        <f t="shared" si="28"/>
        <v>0</v>
      </c>
      <c r="F99" s="35">
        <f t="shared" si="28"/>
        <v>0</v>
      </c>
      <c r="G99" s="35">
        <f t="shared" si="28"/>
        <v>0</v>
      </c>
      <c r="H99" s="35">
        <f t="shared" si="28"/>
        <v>0</v>
      </c>
      <c r="I99" s="35">
        <f t="shared" si="28"/>
        <v>0</v>
      </c>
      <c r="J99" s="35">
        <f t="shared" si="28"/>
        <v>0</v>
      </c>
      <c r="K99" s="35">
        <f t="shared" si="28"/>
        <v>8225.1751504185449</v>
      </c>
      <c r="L99" s="35">
        <f t="shared" si="28"/>
        <v>9058.1343505926634</v>
      </c>
      <c r="M99" s="35">
        <f t="shared" si="28"/>
        <v>9939.7224420285893</v>
      </c>
      <c r="N99" s="35">
        <f t="shared" si="28"/>
        <v>10310.271469389618</v>
      </c>
      <c r="O99" s="35">
        <f t="shared" si="28"/>
        <v>10414.476616203403</v>
      </c>
      <c r="P99" s="35">
        <f t="shared" si="28"/>
        <v>10552.450127735256</v>
      </c>
      <c r="Q99" s="35">
        <f t="shared" si="28"/>
        <v>10652.898101122888</v>
      </c>
      <c r="R99" s="35">
        <f t="shared" si="28"/>
        <v>10595.708637272766</v>
      </c>
      <c r="S99" s="35">
        <f t="shared" si="27"/>
        <v>10375.34252260738</v>
      </c>
      <c r="T99" s="35">
        <f t="shared" si="27"/>
        <v>9875.8205826288868</v>
      </c>
      <c r="U99" s="35">
        <f t="shared" si="27"/>
        <v>0</v>
      </c>
      <c r="V99" s="35">
        <f t="shared" si="27"/>
        <v>0</v>
      </c>
      <c r="W99" s="35">
        <f t="shared" si="27"/>
        <v>0</v>
      </c>
      <c r="X99" s="35">
        <f t="shared" si="27"/>
        <v>0</v>
      </c>
      <c r="Y99" s="35">
        <f t="shared" si="27"/>
        <v>0</v>
      </c>
      <c r="Z99" s="35">
        <f t="shared" si="27"/>
        <v>0</v>
      </c>
      <c r="AA99" s="35">
        <f t="shared" si="26"/>
        <v>99999.999999999985</v>
      </c>
      <c r="AB99" s="28">
        <f t="shared" si="20"/>
        <v>31</v>
      </c>
      <c r="AC99" s="29">
        <f t="shared" si="21"/>
        <v>3100000</v>
      </c>
      <c r="AD99" s="61"/>
      <c r="AE99" s="45"/>
    </row>
    <row r="100" spans="1:31" ht="15">
      <c r="A100" s="23">
        <f t="shared" si="19"/>
        <v>2033</v>
      </c>
      <c r="B100" s="27">
        <v>48823</v>
      </c>
      <c r="C100" s="35">
        <f t="shared" si="28"/>
        <v>0</v>
      </c>
      <c r="D100" s="35">
        <f t="shared" si="28"/>
        <v>0</v>
      </c>
      <c r="E100" s="35">
        <f t="shared" si="28"/>
        <v>0</v>
      </c>
      <c r="F100" s="35">
        <f t="shared" si="28"/>
        <v>0</v>
      </c>
      <c r="G100" s="35">
        <f t="shared" si="28"/>
        <v>0</v>
      </c>
      <c r="H100" s="35">
        <f t="shared" si="28"/>
        <v>0</v>
      </c>
      <c r="I100" s="35">
        <f t="shared" si="28"/>
        <v>0</v>
      </c>
      <c r="J100" s="35">
        <f t="shared" si="28"/>
        <v>0</v>
      </c>
      <c r="K100" s="35">
        <f t="shared" si="28"/>
        <v>8225.1751504185449</v>
      </c>
      <c r="L100" s="35">
        <f t="shared" si="28"/>
        <v>9058.1343505926634</v>
      </c>
      <c r="M100" s="35">
        <f t="shared" si="28"/>
        <v>9939.7224420285893</v>
      </c>
      <c r="N100" s="35">
        <f t="shared" si="28"/>
        <v>10310.271469389618</v>
      </c>
      <c r="O100" s="35">
        <f t="shared" si="28"/>
        <v>10414.476616203403</v>
      </c>
      <c r="P100" s="35">
        <f t="shared" si="28"/>
        <v>10552.450127735256</v>
      </c>
      <c r="Q100" s="35">
        <f t="shared" si="28"/>
        <v>10652.898101122888</v>
      </c>
      <c r="R100" s="35">
        <f t="shared" si="28"/>
        <v>10595.708637272766</v>
      </c>
      <c r="S100" s="35">
        <f t="shared" si="27"/>
        <v>10375.34252260738</v>
      </c>
      <c r="T100" s="35">
        <f t="shared" si="27"/>
        <v>9875.8205826288868</v>
      </c>
      <c r="U100" s="35">
        <f t="shared" si="27"/>
        <v>0</v>
      </c>
      <c r="V100" s="35">
        <f t="shared" si="27"/>
        <v>0</v>
      </c>
      <c r="W100" s="35">
        <f t="shared" si="27"/>
        <v>0</v>
      </c>
      <c r="X100" s="35">
        <f t="shared" si="27"/>
        <v>0</v>
      </c>
      <c r="Y100" s="35">
        <f t="shared" si="27"/>
        <v>0</v>
      </c>
      <c r="Z100" s="35">
        <f t="shared" si="27"/>
        <v>0</v>
      </c>
      <c r="AA100" s="35">
        <f t="shared" si="26"/>
        <v>99999.999999999985</v>
      </c>
      <c r="AB100" s="28">
        <f t="shared" si="20"/>
        <v>30</v>
      </c>
      <c r="AC100" s="29">
        <f t="shared" si="21"/>
        <v>3000000</v>
      </c>
      <c r="AD100" s="61"/>
      <c r="AE100" s="45"/>
    </row>
    <row r="101" spans="1:31" ht="15">
      <c r="A101" s="23">
        <f t="shared" si="19"/>
        <v>2033</v>
      </c>
      <c r="B101" s="27">
        <v>48853</v>
      </c>
      <c r="C101" s="35">
        <f t="shared" si="28"/>
        <v>0</v>
      </c>
      <c r="D101" s="35">
        <f t="shared" si="28"/>
        <v>0</v>
      </c>
      <c r="E101" s="35">
        <f t="shared" si="28"/>
        <v>0</v>
      </c>
      <c r="F101" s="35">
        <f t="shared" si="28"/>
        <v>0</v>
      </c>
      <c r="G101" s="35">
        <f t="shared" si="28"/>
        <v>0</v>
      </c>
      <c r="H101" s="35">
        <f t="shared" si="28"/>
        <v>0</v>
      </c>
      <c r="I101" s="35">
        <f t="shared" si="28"/>
        <v>0</v>
      </c>
      <c r="J101" s="35">
        <f t="shared" si="28"/>
        <v>0</v>
      </c>
      <c r="K101" s="35">
        <f t="shared" si="28"/>
        <v>8225.1751504185449</v>
      </c>
      <c r="L101" s="35">
        <f t="shared" si="28"/>
        <v>9058.1343505926634</v>
      </c>
      <c r="M101" s="35">
        <f t="shared" si="28"/>
        <v>9939.7224420285893</v>
      </c>
      <c r="N101" s="35">
        <f t="shared" si="28"/>
        <v>10310.271469389618</v>
      </c>
      <c r="O101" s="35">
        <f t="shared" si="28"/>
        <v>10414.476616203403</v>
      </c>
      <c r="P101" s="35">
        <f t="shared" si="28"/>
        <v>10552.450127735256</v>
      </c>
      <c r="Q101" s="35">
        <f t="shared" si="28"/>
        <v>10652.898101122888</v>
      </c>
      <c r="R101" s="35">
        <f t="shared" si="28"/>
        <v>10595.708637272766</v>
      </c>
      <c r="S101" s="35">
        <f t="shared" si="27"/>
        <v>10375.34252260738</v>
      </c>
      <c r="T101" s="35">
        <f t="shared" si="27"/>
        <v>9875.8205826288868</v>
      </c>
      <c r="U101" s="35">
        <f t="shared" si="27"/>
        <v>0</v>
      </c>
      <c r="V101" s="35">
        <f t="shared" si="27"/>
        <v>0</v>
      </c>
      <c r="W101" s="35">
        <f t="shared" si="27"/>
        <v>0</v>
      </c>
      <c r="X101" s="35">
        <f t="shared" si="27"/>
        <v>0</v>
      </c>
      <c r="Y101" s="35">
        <f t="shared" si="27"/>
        <v>0</v>
      </c>
      <c r="Z101" s="35">
        <f t="shared" si="27"/>
        <v>0</v>
      </c>
      <c r="AA101" s="35">
        <f t="shared" si="26"/>
        <v>99999.999999999985</v>
      </c>
      <c r="AB101" s="28">
        <f t="shared" si="20"/>
        <v>31</v>
      </c>
      <c r="AC101" s="29">
        <f t="shared" si="21"/>
        <v>3100000</v>
      </c>
      <c r="AD101" s="61"/>
      <c r="AE101" s="45"/>
    </row>
    <row r="102" spans="1:31" ht="15">
      <c r="A102" s="23">
        <f t="shared" si="19"/>
        <v>2033</v>
      </c>
      <c r="B102" s="27">
        <v>48884</v>
      </c>
      <c r="C102" s="35">
        <f t="shared" si="28"/>
        <v>0</v>
      </c>
      <c r="D102" s="35">
        <f t="shared" si="28"/>
        <v>0</v>
      </c>
      <c r="E102" s="35">
        <f t="shared" si="28"/>
        <v>0</v>
      </c>
      <c r="F102" s="35">
        <f t="shared" si="28"/>
        <v>0</v>
      </c>
      <c r="G102" s="35">
        <f t="shared" si="28"/>
        <v>0</v>
      </c>
      <c r="H102" s="35">
        <f t="shared" si="28"/>
        <v>0</v>
      </c>
      <c r="I102" s="35">
        <f t="shared" si="28"/>
        <v>0</v>
      </c>
      <c r="J102" s="35">
        <f t="shared" si="28"/>
        <v>0</v>
      </c>
      <c r="K102" s="35">
        <f t="shared" si="28"/>
        <v>8225.1751504185449</v>
      </c>
      <c r="L102" s="35">
        <f t="shared" si="28"/>
        <v>9058.1343505926634</v>
      </c>
      <c r="M102" s="35">
        <f t="shared" si="28"/>
        <v>9939.7224420285893</v>
      </c>
      <c r="N102" s="35">
        <f t="shared" si="28"/>
        <v>10310.271469389618</v>
      </c>
      <c r="O102" s="35">
        <f t="shared" si="28"/>
        <v>10414.476616203403</v>
      </c>
      <c r="P102" s="35">
        <f t="shared" si="28"/>
        <v>10552.450127735256</v>
      </c>
      <c r="Q102" s="35">
        <f t="shared" si="28"/>
        <v>10652.898101122888</v>
      </c>
      <c r="R102" s="35">
        <f t="shared" si="28"/>
        <v>10595.708637272766</v>
      </c>
      <c r="S102" s="35">
        <f t="shared" si="27"/>
        <v>10375.34252260738</v>
      </c>
      <c r="T102" s="35">
        <f t="shared" si="27"/>
        <v>9875.8205826288868</v>
      </c>
      <c r="U102" s="35">
        <f t="shared" si="27"/>
        <v>0</v>
      </c>
      <c r="V102" s="35">
        <f t="shared" si="27"/>
        <v>0</v>
      </c>
      <c r="W102" s="35">
        <f t="shared" si="27"/>
        <v>0</v>
      </c>
      <c r="X102" s="35">
        <f t="shared" si="27"/>
        <v>0</v>
      </c>
      <c r="Y102" s="35">
        <f t="shared" si="27"/>
        <v>0</v>
      </c>
      <c r="Z102" s="35">
        <f t="shared" si="27"/>
        <v>0</v>
      </c>
      <c r="AA102" s="35">
        <f t="shared" si="26"/>
        <v>99999.999999999985</v>
      </c>
      <c r="AB102" s="28">
        <f t="shared" si="20"/>
        <v>30</v>
      </c>
      <c r="AC102" s="29">
        <f t="shared" si="21"/>
        <v>3000000</v>
      </c>
      <c r="AD102" s="61"/>
      <c r="AE102" s="45"/>
    </row>
    <row r="103" spans="1:31" ht="15">
      <c r="A103" s="23">
        <f t="shared" si="19"/>
        <v>2033</v>
      </c>
      <c r="B103" s="27">
        <v>48914</v>
      </c>
      <c r="C103" s="35">
        <f t="shared" si="28"/>
        <v>0</v>
      </c>
      <c r="D103" s="35">
        <f t="shared" si="28"/>
        <v>0</v>
      </c>
      <c r="E103" s="35">
        <f t="shared" si="28"/>
        <v>0</v>
      </c>
      <c r="F103" s="35">
        <f t="shared" si="28"/>
        <v>0</v>
      </c>
      <c r="G103" s="35">
        <f t="shared" si="28"/>
        <v>0</v>
      </c>
      <c r="H103" s="35">
        <f t="shared" si="28"/>
        <v>0</v>
      </c>
      <c r="I103" s="35">
        <f t="shared" si="28"/>
        <v>0</v>
      </c>
      <c r="J103" s="35">
        <f t="shared" si="28"/>
        <v>0</v>
      </c>
      <c r="K103" s="35">
        <f t="shared" si="28"/>
        <v>8225.1751504185449</v>
      </c>
      <c r="L103" s="35">
        <f t="shared" si="28"/>
        <v>9058.1343505926634</v>
      </c>
      <c r="M103" s="35">
        <f t="shared" si="28"/>
        <v>9939.7224420285893</v>
      </c>
      <c r="N103" s="35">
        <f t="shared" si="28"/>
        <v>10310.271469389618</v>
      </c>
      <c r="O103" s="35">
        <f t="shared" si="28"/>
        <v>10414.476616203403</v>
      </c>
      <c r="P103" s="35">
        <f t="shared" si="28"/>
        <v>10552.450127735256</v>
      </c>
      <c r="Q103" s="35">
        <f t="shared" si="28"/>
        <v>10652.898101122888</v>
      </c>
      <c r="R103" s="35">
        <f t="shared" si="28"/>
        <v>10595.708637272766</v>
      </c>
      <c r="S103" s="35">
        <f t="shared" si="27"/>
        <v>10375.34252260738</v>
      </c>
      <c r="T103" s="35">
        <f t="shared" si="27"/>
        <v>9875.8205826288868</v>
      </c>
      <c r="U103" s="35">
        <f t="shared" si="27"/>
        <v>0</v>
      </c>
      <c r="V103" s="35">
        <f t="shared" si="27"/>
        <v>0</v>
      </c>
      <c r="W103" s="35">
        <f t="shared" si="27"/>
        <v>0</v>
      </c>
      <c r="X103" s="35">
        <f t="shared" si="27"/>
        <v>0</v>
      </c>
      <c r="Y103" s="35">
        <f t="shared" si="27"/>
        <v>0</v>
      </c>
      <c r="Z103" s="35">
        <f t="shared" si="27"/>
        <v>0</v>
      </c>
      <c r="AA103" s="35">
        <f t="shared" si="26"/>
        <v>99999.999999999985</v>
      </c>
      <c r="AB103" s="28">
        <f t="shared" si="20"/>
        <v>31</v>
      </c>
      <c r="AC103" s="29">
        <f t="shared" si="21"/>
        <v>3100000</v>
      </c>
      <c r="AD103" s="61"/>
      <c r="AE103" s="45"/>
    </row>
    <row r="104" spans="1:31" ht="15">
      <c r="A104" s="23">
        <f t="shared" si="19"/>
        <v>2034</v>
      </c>
      <c r="B104" s="27">
        <v>48945</v>
      </c>
      <c r="C104" s="35">
        <f t="shared" si="28"/>
        <v>0</v>
      </c>
      <c r="D104" s="35">
        <f t="shared" si="28"/>
        <v>0</v>
      </c>
      <c r="E104" s="35">
        <f t="shared" si="28"/>
        <v>0</v>
      </c>
      <c r="F104" s="35">
        <f t="shared" si="28"/>
        <v>0</v>
      </c>
      <c r="G104" s="35">
        <f t="shared" si="28"/>
        <v>0</v>
      </c>
      <c r="H104" s="35">
        <f t="shared" si="28"/>
        <v>0</v>
      </c>
      <c r="I104" s="35">
        <f t="shared" si="28"/>
        <v>0</v>
      </c>
      <c r="J104" s="35">
        <f t="shared" si="28"/>
        <v>0</v>
      </c>
      <c r="K104" s="35">
        <f t="shared" si="28"/>
        <v>8225.1751504185449</v>
      </c>
      <c r="L104" s="35">
        <f t="shared" si="28"/>
        <v>9058.1343505926634</v>
      </c>
      <c r="M104" s="35">
        <f t="shared" si="28"/>
        <v>9939.7224420285893</v>
      </c>
      <c r="N104" s="35">
        <f t="shared" si="28"/>
        <v>10310.271469389618</v>
      </c>
      <c r="O104" s="35">
        <f t="shared" si="28"/>
        <v>10414.476616203403</v>
      </c>
      <c r="P104" s="35">
        <f t="shared" si="28"/>
        <v>10552.450127735256</v>
      </c>
      <c r="Q104" s="35">
        <f t="shared" si="28"/>
        <v>10652.898101122888</v>
      </c>
      <c r="R104" s="35">
        <f t="shared" si="28"/>
        <v>10595.708637272766</v>
      </c>
      <c r="S104" s="35">
        <f t="shared" si="27"/>
        <v>10375.34252260738</v>
      </c>
      <c r="T104" s="35">
        <f t="shared" si="27"/>
        <v>9875.8205826288868</v>
      </c>
      <c r="U104" s="35">
        <f t="shared" si="27"/>
        <v>0</v>
      </c>
      <c r="V104" s="35">
        <f t="shared" si="27"/>
        <v>0</v>
      </c>
      <c r="W104" s="35">
        <f t="shared" si="27"/>
        <v>0</v>
      </c>
      <c r="X104" s="35">
        <f t="shared" si="27"/>
        <v>0</v>
      </c>
      <c r="Y104" s="35">
        <f t="shared" si="27"/>
        <v>0</v>
      </c>
      <c r="Z104" s="35">
        <f t="shared" si="27"/>
        <v>0</v>
      </c>
      <c r="AA104" s="35">
        <f t="shared" si="26"/>
        <v>99999.999999999985</v>
      </c>
      <c r="AB104" s="28">
        <f t="shared" si="20"/>
        <v>31</v>
      </c>
      <c r="AC104" s="29">
        <f t="shared" si="21"/>
        <v>3100000</v>
      </c>
      <c r="AD104" s="61"/>
      <c r="AE104" s="45"/>
    </row>
    <row r="105" spans="1:31" ht="15">
      <c r="A105" s="23">
        <f t="shared" si="19"/>
        <v>2034</v>
      </c>
      <c r="B105" s="27">
        <v>48976</v>
      </c>
      <c r="C105" s="35">
        <f t="shared" si="28"/>
        <v>0</v>
      </c>
      <c r="D105" s="35">
        <f t="shared" si="28"/>
        <v>0</v>
      </c>
      <c r="E105" s="35">
        <f t="shared" si="28"/>
        <v>0</v>
      </c>
      <c r="F105" s="35">
        <f t="shared" si="28"/>
        <v>0</v>
      </c>
      <c r="G105" s="35">
        <f t="shared" si="28"/>
        <v>0</v>
      </c>
      <c r="H105" s="35">
        <f t="shared" si="28"/>
        <v>0</v>
      </c>
      <c r="I105" s="35">
        <f t="shared" si="28"/>
        <v>0</v>
      </c>
      <c r="J105" s="35">
        <f t="shared" si="28"/>
        <v>0</v>
      </c>
      <c r="K105" s="35">
        <f t="shared" si="28"/>
        <v>8225.1751504185449</v>
      </c>
      <c r="L105" s="35">
        <f t="shared" si="28"/>
        <v>9058.1343505926634</v>
      </c>
      <c r="M105" s="35">
        <f t="shared" si="28"/>
        <v>9939.7224420285893</v>
      </c>
      <c r="N105" s="35">
        <f t="shared" si="28"/>
        <v>10310.271469389618</v>
      </c>
      <c r="O105" s="35">
        <f t="shared" si="28"/>
        <v>10414.476616203403</v>
      </c>
      <c r="P105" s="35">
        <f t="shared" si="28"/>
        <v>10552.450127735256</v>
      </c>
      <c r="Q105" s="35">
        <f t="shared" si="28"/>
        <v>10652.898101122888</v>
      </c>
      <c r="R105" s="35">
        <f t="shared" si="28"/>
        <v>10595.708637272766</v>
      </c>
      <c r="S105" s="35">
        <f t="shared" si="27"/>
        <v>10375.34252260738</v>
      </c>
      <c r="T105" s="35">
        <f t="shared" si="27"/>
        <v>9875.8205826288868</v>
      </c>
      <c r="U105" s="35">
        <f t="shared" si="27"/>
        <v>0</v>
      </c>
      <c r="V105" s="35">
        <f t="shared" si="27"/>
        <v>0</v>
      </c>
      <c r="W105" s="35">
        <f t="shared" si="27"/>
        <v>0</v>
      </c>
      <c r="X105" s="35">
        <f t="shared" si="27"/>
        <v>0</v>
      </c>
      <c r="Y105" s="35">
        <f t="shared" si="27"/>
        <v>0</v>
      </c>
      <c r="Z105" s="35">
        <f t="shared" si="27"/>
        <v>0</v>
      </c>
      <c r="AA105" s="35">
        <f t="shared" ref="AA105:AA116" si="29">SUM(C105:Z105)</f>
        <v>99999.999999999985</v>
      </c>
      <c r="AB105" s="28">
        <f t="shared" si="20"/>
        <v>28</v>
      </c>
      <c r="AC105" s="29">
        <f t="shared" si="21"/>
        <v>2800000</v>
      </c>
      <c r="AD105" s="61"/>
      <c r="AE105" s="45"/>
    </row>
    <row r="106" spans="1:31" ht="15">
      <c r="A106" s="23">
        <f t="shared" si="19"/>
        <v>2034</v>
      </c>
      <c r="B106" s="27">
        <v>49004</v>
      </c>
      <c r="C106" s="35">
        <f t="shared" si="28"/>
        <v>0</v>
      </c>
      <c r="D106" s="35">
        <f t="shared" si="28"/>
        <v>0</v>
      </c>
      <c r="E106" s="35">
        <f t="shared" si="28"/>
        <v>0</v>
      </c>
      <c r="F106" s="35">
        <f t="shared" si="28"/>
        <v>0</v>
      </c>
      <c r="G106" s="35">
        <f t="shared" si="28"/>
        <v>0</v>
      </c>
      <c r="H106" s="35">
        <f t="shared" si="28"/>
        <v>0</v>
      </c>
      <c r="I106" s="35">
        <f t="shared" si="28"/>
        <v>0</v>
      </c>
      <c r="J106" s="35">
        <f t="shared" si="28"/>
        <v>0</v>
      </c>
      <c r="K106" s="35">
        <f t="shared" si="28"/>
        <v>8225.1751504185449</v>
      </c>
      <c r="L106" s="35">
        <f t="shared" si="28"/>
        <v>9058.1343505926634</v>
      </c>
      <c r="M106" s="35">
        <f t="shared" si="28"/>
        <v>9939.7224420285893</v>
      </c>
      <c r="N106" s="35">
        <f t="shared" si="28"/>
        <v>10310.271469389618</v>
      </c>
      <c r="O106" s="35">
        <f t="shared" si="28"/>
        <v>10414.476616203403</v>
      </c>
      <c r="P106" s="35">
        <f t="shared" si="28"/>
        <v>10552.450127735256</v>
      </c>
      <c r="Q106" s="35">
        <f t="shared" si="28"/>
        <v>10652.898101122888</v>
      </c>
      <c r="R106" s="35">
        <f t="shared" si="28"/>
        <v>10595.708637272766</v>
      </c>
      <c r="S106" s="35">
        <f t="shared" si="27"/>
        <v>10375.34252260738</v>
      </c>
      <c r="T106" s="35">
        <f t="shared" si="27"/>
        <v>9875.8205826288868</v>
      </c>
      <c r="U106" s="35">
        <f t="shared" si="27"/>
        <v>0</v>
      </c>
      <c r="V106" s="35">
        <f t="shared" si="27"/>
        <v>0</v>
      </c>
      <c r="W106" s="35">
        <f t="shared" si="27"/>
        <v>0</v>
      </c>
      <c r="X106" s="35">
        <f t="shared" si="27"/>
        <v>0</v>
      </c>
      <c r="Y106" s="35">
        <f t="shared" si="27"/>
        <v>0</v>
      </c>
      <c r="Z106" s="35">
        <f t="shared" si="27"/>
        <v>0</v>
      </c>
      <c r="AA106" s="35">
        <f t="shared" si="29"/>
        <v>99999.999999999985</v>
      </c>
      <c r="AB106" s="28">
        <f t="shared" si="20"/>
        <v>31</v>
      </c>
      <c r="AC106" s="29">
        <f t="shared" si="21"/>
        <v>3100000</v>
      </c>
      <c r="AD106" s="61"/>
      <c r="AE106" s="45"/>
    </row>
    <row r="107" spans="1:31" ht="15">
      <c r="A107" s="23">
        <f t="shared" si="19"/>
        <v>2034</v>
      </c>
      <c r="B107" s="27">
        <v>49035</v>
      </c>
      <c r="C107" s="35">
        <f t="shared" si="28"/>
        <v>0</v>
      </c>
      <c r="D107" s="35">
        <f t="shared" si="28"/>
        <v>0</v>
      </c>
      <c r="E107" s="35">
        <f t="shared" si="28"/>
        <v>0</v>
      </c>
      <c r="F107" s="35">
        <f t="shared" si="28"/>
        <v>0</v>
      </c>
      <c r="G107" s="35">
        <f t="shared" si="28"/>
        <v>0</v>
      </c>
      <c r="H107" s="35">
        <f t="shared" si="28"/>
        <v>0</v>
      </c>
      <c r="I107" s="35">
        <f t="shared" si="28"/>
        <v>0</v>
      </c>
      <c r="J107" s="35">
        <f t="shared" si="28"/>
        <v>0</v>
      </c>
      <c r="K107" s="35">
        <f t="shared" si="28"/>
        <v>8225.1751504185449</v>
      </c>
      <c r="L107" s="35">
        <f t="shared" si="28"/>
        <v>9058.1343505926634</v>
      </c>
      <c r="M107" s="35">
        <f t="shared" si="28"/>
        <v>9939.7224420285893</v>
      </c>
      <c r="N107" s="35">
        <f t="shared" si="28"/>
        <v>10310.271469389618</v>
      </c>
      <c r="O107" s="35">
        <f t="shared" si="28"/>
        <v>10414.476616203403</v>
      </c>
      <c r="P107" s="35">
        <f t="shared" si="28"/>
        <v>10552.450127735256</v>
      </c>
      <c r="Q107" s="35">
        <f t="shared" si="28"/>
        <v>10652.898101122888</v>
      </c>
      <c r="R107" s="35">
        <f t="shared" si="28"/>
        <v>10595.708637272766</v>
      </c>
      <c r="S107" s="35">
        <f t="shared" si="27"/>
        <v>10375.34252260738</v>
      </c>
      <c r="T107" s="35">
        <f t="shared" si="27"/>
        <v>9875.8205826288868</v>
      </c>
      <c r="U107" s="35">
        <f t="shared" si="27"/>
        <v>0</v>
      </c>
      <c r="V107" s="35">
        <f t="shared" si="27"/>
        <v>0</v>
      </c>
      <c r="W107" s="35">
        <f t="shared" si="27"/>
        <v>0</v>
      </c>
      <c r="X107" s="35">
        <f t="shared" si="27"/>
        <v>0</v>
      </c>
      <c r="Y107" s="35">
        <f t="shared" si="27"/>
        <v>0</v>
      </c>
      <c r="Z107" s="35">
        <f t="shared" si="27"/>
        <v>0</v>
      </c>
      <c r="AA107" s="35">
        <f t="shared" si="29"/>
        <v>99999.999999999985</v>
      </c>
      <c r="AB107" s="28">
        <f t="shared" si="20"/>
        <v>30</v>
      </c>
      <c r="AC107" s="29">
        <f t="shared" si="21"/>
        <v>3000000</v>
      </c>
      <c r="AD107" s="61"/>
      <c r="AE107" s="45"/>
    </row>
    <row r="108" spans="1:31" ht="15">
      <c r="A108" s="23">
        <f t="shared" si="19"/>
        <v>2034</v>
      </c>
      <c r="B108" s="27">
        <v>49065</v>
      </c>
      <c r="C108" s="35">
        <f t="shared" si="28"/>
        <v>0</v>
      </c>
      <c r="D108" s="35">
        <f t="shared" si="28"/>
        <v>0</v>
      </c>
      <c r="E108" s="35">
        <f t="shared" si="28"/>
        <v>0</v>
      </c>
      <c r="F108" s="35">
        <f t="shared" si="28"/>
        <v>0</v>
      </c>
      <c r="G108" s="35">
        <f t="shared" si="28"/>
        <v>0</v>
      </c>
      <c r="H108" s="35">
        <f t="shared" si="28"/>
        <v>0</v>
      </c>
      <c r="I108" s="35">
        <f t="shared" si="28"/>
        <v>0</v>
      </c>
      <c r="J108" s="35">
        <f t="shared" si="28"/>
        <v>0</v>
      </c>
      <c r="K108" s="35">
        <f t="shared" si="28"/>
        <v>8225.1751504185449</v>
      </c>
      <c r="L108" s="35">
        <f t="shared" si="28"/>
        <v>9058.1343505926634</v>
      </c>
      <c r="M108" s="35">
        <f t="shared" si="28"/>
        <v>9939.7224420285893</v>
      </c>
      <c r="N108" s="35">
        <f t="shared" si="28"/>
        <v>10310.271469389618</v>
      </c>
      <c r="O108" s="35">
        <f t="shared" si="28"/>
        <v>10414.476616203403</v>
      </c>
      <c r="P108" s="35">
        <f t="shared" si="28"/>
        <v>10552.450127735256</v>
      </c>
      <c r="Q108" s="35">
        <f t="shared" si="28"/>
        <v>10652.898101122888</v>
      </c>
      <c r="R108" s="35">
        <f t="shared" si="28"/>
        <v>10595.708637272766</v>
      </c>
      <c r="S108" s="35">
        <f t="shared" si="27"/>
        <v>10375.34252260738</v>
      </c>
      <c r="T108" s="35">
        <f t="shared" si="27"/>
        <v>9875.8205826288868</v>
      </c>
      <c r="U108" s="35">
        <f t="shared" si="27"/>
        <v>0</v>
      </c>
      <c r="V108" s="35">
        <f t="shared" si="27"/>
        <v>0</v>
      </c>
      <c r="W108" s="35">
        <f t="shared" si="27"/>
        <v>0</v>
      </c>
      <c r="X108" s="35">
        <f t="shared" si="27"/>
        <v>0</v>
      </c>
      <c r="Y108" s="35">
        <f t="shared" si="27"/>
        <v>0</v>
      </c>
      <c r="Z108" s="35">
        <f t="shared" si="27"/>
        <v>0</v>
      </c>
      <c r="AA108" s="35">
        <f t="shared" si="29"/>
        <v>99999.999999999985</v>
      </c>
      <c r="AB108" s="28">
        <f t="shared" si="20"/>
        <v>31</v>
      </c>
      <c r="AC108" s="29">
        <f t="shared" si="21"/>
        <v>3100000</v>
      </c>
      <c r="AD108" s="61"/>
      <c r="AE108" s="45"/>
    </row>
    <row r="109" spans="1:31" ht="15">
      <c r="A109" s="23">
        <f t="shared" si="19"/>
        <v>2034</v>
      </c>
      <c r="B109" s="27">
        <v>49096</v>
      </c>
      <c r="C109" s="35">
        <f t="shared" si="28"/>
        <v>0</v>
      </c>
      <c r="D109" s="35">
        <f t="shared" si="28"/>
        <v>0</v>
      </c>
      <c r="E109" s="35">
        <f t="shared" si="28"/>
        <v>0</v>
      </c>
      <c r="F109" s="35">
        <f t="shared" si="28"/>
        <v>0</v>
      </c>
      <c r="G109" s="35">
        <f t="shared" si="28"/>
        <v>0</v>
      </c>
      <c r="H109" s="35">
        <f t="shared" si="28"/>
        <v>0</v>
      </c>
      <c r="I109" s="35">
        <f t="shared" si="28"/>
        <v>0</v>
      </c>
      <c r="J109" s="35">
        <f t="shared" si="28"/>
        <v>0</v>
      </c>
      <c r="K109" s="35">
        <f t="shared" si="28"/>
        <v>8225.1751504185449</v>
      </c>
      <c r="L109" s="35">
        <f t="shared" si="28"/>
        <v>9058.1343505926634</v>
      </c>
      <c r="M109" s="35">
        <f t="shared" si="28"/>
        <v>9939.7224420285893</v>
      </c>
      <c r="N109" s="35">
        <f t="shared" si="28"/>
        <v>10310.271469389618</v>
      </c>
      <c r="O109" s="35">
        <f t="shared" si="28"/>
        <v>10414.476616203403</v>
      </c>
      <c r="P109" s="35">
        <f t="shared" si="28"/>
        <v>10552.450127735256</v>
      </c>
      <c r="Q109" s="35">
        <f t="shared" si="28"/>
        <v>10652.898101122888</v>
      </c>
      <c r="R109" s="35">
        <f t="shared" si="28"/>
        <v>10595.708637272766</v>
      </c>
      <c r="S109" s="35">
        <f t="shared" si="27"/>
        <v>10375.34252260738</v>
      </c>
      <c r="T109" s="35">
        <f t="shared" si="27"/>
        <v>9875.8205826288868</v>
      </c>
      <c r="U109" s="35">
        <f t="shared" si="27"/>
        <v>0</v>
      </c>
      <c r="V109" s="35">
        <f t="shared" si="27"/>
        <v>0</v>
      </c>
      <c r="W109" s="35">
        <f t="shared" si="27"/>
        <v>0</v>
      </c>
      <c r="X109" s="35">
        <f t="shared" si="27"/>
        <v>0</v>
      </c>
      <c r="Y109" s="35">
        <f t="shared" si="27"/>
        <v>0</v>
      </c>
      <c r="Z109" s="35">
        <f t="shared" si="27"/>
        <v>0</v>
      </c>
      <c r="AA109" s="35">
        <f t="shared" si="29"/>
        <v>99999.999999999985</v>
      </c>
      <c r="AB109" s="28">
        <f t="shared" si="20"/>
        <v>30</v>
      </c>
      <c r="AC109" s="29">
        <f t="shared" si="21"/>
        <v>3000000</v>
      </c>
      <c r="AD109" s="61"/>
      <c r="AE109" s="45"/>
    </row>
    <row r="110" spans="1:31" ht="15">
      <c r="A110" s="23">
        <f t="shared" si="19"/>
        <v>2034</v>
      </c>
      <c r="B110" s="27">
        <v>49126</v>
      </c>
      <c r="C110" s="35">
        <f t="shared" si="28"/>
        <v>0</v>
      </c>
      <c r="D110" s="35">
        <f t="shared" si="28"/>
        <v>0</v>
      </c>
      <c r="E110" s="35">
        <f t="shared" si="28"/>
        <v>0</v>
      </c>
      <c r="F110" s="35">
        <f t="shared" si="28"/>
        <v>0</v>
      </c>
      <c r="G110" s="35">
        <f t="shared" si="28"/>
        <v>0</v>
      </c>
      <c r="H110" s="35">
        <f t="shared" si="28"/>
        <v>0</v>
      </c>
      <c r="I110" s="35">
        <f t="shared" si="28"/>
        <v>0</v>
      </c>
      <c r="J110" s="35">
        <f t="shared" si="28"/>
        <v>0</v>
      </c>
      <c r="K110" s="35">
        <f t="shared" si="28"/>
        <v>8225.1751504185449</v>
      </c>
      <c r="L110" s="35">
        <f t="shared" si="28"/>
        <v>9058.1343505926634</v>
      </c>
      <c r="M110" s="35">
        <f t="shared" si="28"/>
        <v>9939.7224420285893</v>
      </c>
      <c r="N110" s="35">
        <f t="shared" si="28"/>
        <v>10310.271469389618</v>
      </c>
      <c r="O110" s="35">
        <f t="shared" si="28"/>
        <v>10414.476616203403</v>
      </c>
      <c r="P110" s="35">
        <f t="shared" si="28"/>
        <v>10552.450127735256</v>
      </c>
      <c r="Q110" s="35">
        <f t="shared" si="28"/>
        <v>10652.898101122888</v>
      </c>
      <c r="R110" s="35">
        <f t="shared" si="28"/>
        <v>10595.708637272766</v>
      </c>
      <c r="S110" s="35">
        <f t="shared" si="27"/>
        <v>10375.34252260738</v>
      </c>
      <c r="T110" s="35">
        <f t="shared" si="27"/>
        <v>9875.8205826288868</v>
      </c>
      <c r="U110" s="35">
        <f t="shared" si="27"/>
        <v>0</v>
      </c>
      <c r="V110" s="35">
        <f t="shared" si="27"/>
        <v>0</v>
      </c>
      <c r="W110" s="35">
        <f t="shared" si="27"/>
        <v>0</v>
      </c>
      <c r="X110" s="35">
        <f t="shared" si="27"/>
        <v>0</v>
      </c>
      <c r="Y110" s="35">
        <f t="shared" si="27"/>
        <v>0</v>
      </c>
      <c r="Z110" s="35">
        <f t="shared" si="27"/>
        <v>0</v>
      </c>
      <c r="AA110" s="35">
        <f t="shared" si="29"/>
        <v>99999.999999999985</v>
      </c>
      <c r="AB110" s="28">
        <f t="shared" si="20"/>
        <v>31</v>
      </c>
      <c r="AC110" s="29">
        <f t="shared" si="21"/>
        <v>3100000</v>
      </c>
      <c r="AD110" s="61"/>
      <c r="AE110" s="45"/>
    </row>
    <row r="111" spans="1:31" ht="15">
      <c r="A111" s="23">
        <f t="shared" si="19"/>
        <v>2034</v>
      </c>
      <c r="B111" s="27">
        <v>49157</v>
      </c>
      <c r="C111" s="35">
        <f t="shared" si="28"/>
        <v>0</v>
      </c>
      <c r="D111" s="35">
        <f t="shared" si="28"/>
        <v>0</v>
      </c>
      <c r="E111" s="35">
        <f t="shared" si="28"/>
        <v>0</v>
      </c>
      <c r="F111" s="35">
        <f t="shared" si="28"/>
        <v>0</v>
      </c>
      <c r="G111" s="35">
        <f t="shared" si="28"/>
        <v>0</v>
      </c>
      <c r="H111" s="35">
        <f t="shared" si="28"/>
        <v>0</v>
      </c>
      <c r="I111" s="35">
        <f t="shared" si="28"/>
        <v>0</v>
      </c>
      <c r="J111" s="35">
        <f t="shared" si="28"/>
        <v>0</v>
      </c>
      <c r="K111" s="35">
        <f t="shared" si="28"/>
        <v>8225.1751504185449</v>
      </c>
      <c r="L111" s="35">
        <f t="shared" si="28"/>
        <v>9058.1343505926634</v>
      </c>
      <c r="M111" s="35">
        <f t="shared" si="28"/>
        <v>9939.7224420285893</v>
      </c>
      <c r="N111" s="35">
        <f t="shared" si="28"/>
        <v>10310.271469389618</v>
      </c>
      <c r="O111" s="35">
        <f t="shared" si="28"/>
        <v>10414.476616203403</v>
      </c>
      <c r="P111" s="35">
        <f t="shared" si="28"/>
        <v>10552.450127735256</v>
      </c>
      <c r="Q111" s="35">
        <f t="shared" si="28"/>
        <v>10652.898101122888</v>
      </c>
      <c r="R111" s="35">
        <f t="shared" si="28"/>
        <v>10595.708637272766</v>
      </c>
      <c r="S111" s="35">
        <f t="shared" si="27"/>
        <v>10375.34252260738</v>
      </c>
      <c r="T111" s="35">
        <f t="shared" si="27"/>
        <v>9875.8205826288868</v>
      </c>
      <c r="U111" s="35">
        <f t="shared" si="27"/>
        <v>0</v>
      </c>
      <c r="V111" s="35">
        <f t="shared" si="27"/>
        <v>0</v>
      </c>
      <c r="W111" s="35">
        <f t="shared" si="27"/>
        <v>0</v>
      </c>
      <c r="X111" s="35">
        <f t="shared" si="27"/>
        <v>0</v>
      </c>
      <c r="Y111" s="35">
        <f t="shared" si="27"/>
        <v>0</v>
      </c>
      <c r="Z111" s="35">
        <f t="shared" si="27"/>
        <v>0</v>
      </c>
      <c r="AA111" s="35">
        <f t="shared" si="29"/>
        <v>99999.999999999985</v>
      </c>
      <c r="AB111" s="28">
        <f t="shared" si="20"/>
        <v>31</v>
      </c>
      <c r="AC111" s="29">
        <f t="shared" si="21"/>
        <v>3100000</v>
      </c>
      <c r="AD111" s="61"/>
      <c r="AE111" s="45"/>
    </row>
    <row r="112" spans="1:31" ht="15">
      <c r="A112" s="23">
        <f t="shared" si="19"/>
        <v>2034</v>
      </c>
      <c r="B112" s="27">
        <v>49188</v>
      </c>
      <c r="C112" s="35">
        <f t="shared" si="28"/>
        <v>0</v>
      </c>
      <c r="D112" s="35">
        <f t="shared" si="28"/>
        <v>0</v>
      </c>
      <c r="E112" s="35">
        <f t="shared" si="28"/>
        <v>0</v>
      </c>
      <c r="F112" s="35">
        <f t="shared" si="28"/>
        <v>0</v>
      </c>
      <c r="G112" s="35">
        <f t="shared" si="28"/>
        <v>0</v>
      </c>
      <c r="H112" s="35">
        <f t="shared" si="28"/>
        <v>0</v>
      </c>
      <c r="I112" s="35">
        <f t="shared" si="28"/>
        <v>0</v>
      </c>
      <c r="J112" s="35">
        <f t="shared" si="28"/>
        <v>0</v>
      </c>
      <c r="K112" s="35">
        <f t="shared" si="28"/>
        <v>8225.1751504185449</v>
      </c>
      <c r="L112" s="35">
        <f t="shared" si="28"/>
        <v>9058.1343505926634</v>
      </c>
      <c r="M112" s="35">
        <f t="shared" si="28"/>
        <v>9939.7224420285893</v>
      </c>
      <c r="N112" s="35">
        <f t="shared" si="28"/>
        <v>10310.271469389618</v>
      </c>
      <c r="O112" s="35">
        <f t="shared" si="28"/>
        <v>10414.476616203403</v>
      </c>
      <c r="P112" s="35">
        <f t="shared" si="28"/>
        <v>10552.450127735256</v>
      </c>
      <c r="Q112" s="35">
        <f t="shared" si="28"/>
        <v>10652.898101122888</v>
      </c>
      <c r="R112" s="35">
        <f t="shared" si="28"/>
        <v>10595.708637272766</v>
      </c>
      <c r="S112" s="35">
        <f t="shared" si="27"/>
        <v>10375.34252260738</v>
      </c>
      <c r="T112" s="35">
        <f t="shared" si="27"/>
        <v>9875.8205826288868</v>
      </c>
      <c r="U112" s="35">
        <f t="shared" si="27"/>
        <v>0</v>
      </c>
      <c r="V112" s="35">
        <f t="shared" si="27"/>
        <v>0</v>
      </c>
      <c r="W112" s="35">
        <f t="shared" si="27"/>
        <v>0</v>
      </c>
      <c r="X112" s="35">
        <f t="shared" si="27"/>
        <v>0</v>
      </c>
      <c r="Y112" s="35">
        <f t="shared" si="27"/>
        <v>0</v>
      </c>
      <c r="Z112" s="35">
        <f t="shared" si="27"/>
        <v>0</v>
      </c>
      <c r="AA112" s="35">
        <f t="shared" si="29"/>
        <v>99999.999999999985</v>
      </c>
      <c r="AB112" s="28">
        <f t="shared" si="20"/>
        <v>30</v>
      </c>
      <c r="AC112" s="29">
        <f t="shared" si="21"/>
        <v>3000000</v>
      </c>
      <c r="AD112" s="61"/>
      <c r="AE112" s="45"/>
    </row>
    <row r="113" spans="1:31" ht="15">
      <c r="A113" s="23">
        <f t="shared" si="19"/>
        <v>2034</v>
      </c>
      <c r="B113" s="27">
        <v>49218</v>
      </c>
      <c r="C113" s="35">
        <f t="shared" si="28"/>
        <v>0</v>
      </c>
      <c r="D113" s="35">
        <f t="shared" si="28"/>
        <v>0</v>
      </c>
      <c r="E113" s="35">
        <f t="shared" si="28"/>
        <v>0</v>
      </c>
      <c r="F113" s="35">
        <f t="shared" si="28"/>
        <v>0</v>
      </c>
      <c r="G113" s="35">
        <f t="shared" si="28"/>
        <v>0</v>
      </c>
      <c r="H113" s="35">
        <f t="shared" si="28"/>
        <v>0</v>
      </c>
      <c r="I113" s="35">
        <f t="shared" si="28"/>
        <v>0</v>
      </c>
      <c r="J113" s="35">
        <f t="shared" si="28"/>
        <v>0</v>
      </c>
      <c r="K113" s="35">
        <f t="shared" si="28"/>
        <v>8225.1751504185449</v>
      </c>
      <c r="L113" s="35">
        <f t="shared" si="28"/>
        <v>9058.1343505926634</v>
      </c>
      <c r="M113" s="35">
        <f t="shared" si="28"/>
        <v>9939.7224420285893</v>
      </c>
      <c r="N113" s="35">
        <f t="shared" si="28"/>
        <v>10310.271469389618</v>
      </c>
      <c r="O113" s="35">
        <f t="shared" si="28"/>
        <v>10414.476616203403</v>
      </c>
      <c r="P113" s="35">
        <f t="shared" si="28"/>
        <v>10552.450127735256</v>
      </c>
      <c r="Q113" s="35">
        <f t="shared" si="28"/>
        <v>10652.898101122888</v>
      </c>
      <c r="R113" s="35">
        <f t="shared" si="28"/>
        <v>10595.708637272766</v>
      </c>
      <c r="S113" s="35">
        <f t="shared" si="27"/>
        <v>10375.34252260738</v>
      </c>
      <c r="T113" s="35">
        <f t="shared" si="27"/>
        <v>9875.8205826288868</v>
      </c>
      <c r="U113" s="35">
        <f t="shared" si="27"/>
        <v>0</v>
      </c>
      <c r="V113" s="35">
        <f t="shared" si="27"/>
        <v>0</v>
      </c>
      <c r="W113" s="35">
        <f t="shared" si="27"/>
        <v>0</v>
      </c>
      <c r="X113" s="35">
        <f t="shared" si="27"/>
        <v>0</v>
      </c>
      <c r="Y113" s="35">
        <f t="shared" si="27"/>
        <v>0</v>
      </c>
      <c r="Z113" s="35">
        <f t="shared" si="27"/>
        <v>0</v>
      </c>
      <c r="AA113" s="35">
        <f t="shared" si="29"/>
        <v>99999.999999999985</v>
      </c>
      <c r="AB113" s="28">
        <f t="shared" si="20"/>
        <v>31</v>
      </c>
      <c r="AC113" s="29">
        <f t="shared" si="21"/>
        <v>3100000</v>
      </c>
      <c r="AD113" s="61"/>
      <c r="AE113" s="45"/>
    </row>
    <row r="114" spans="1:31" ht="15">
      <c r="A114" s="23">
        <f t="shared" si="19"/>
        <v>2034</v>
      </c>
      <c r="B114" s="27">
        <v>49249</v>
      </c>
      <c r="C114" s="35">
        <f t="shared" si="28"/>
        <v>0</v>
      </c>
      <c r="D114" s="35">
        <f t="shared" si="28"/>
        <v>0</v>
      </c>
      <c r="E114" s="35">
        <f t="shared" si="28"/>
        <v>0</v>
      </c>
      <c r="F114" s="35">
        <f t="shared" si="28"/>
        <v>0</v>
      </c>
      <c r="G114" s="35">
        <f t="shared" si="28"/>
        <v>0</v>
      </c>
      <c r="H114" s="35">
        <f t="shared" si="28"/>
        <v>0</v>
      </c>
      <c r="I114" s="35">
        <f t="shared" si="28"/>
        <v>0</v>
      </c>
      <c r="J114" s="35">
        <f t="shared" si="28"/>
        <v>0</v>
      </c>
      <c r="K114" s="35">
        <f t="shared" si="28"/>
        <v>8225.1751504185449</v>
      </c>
      <c r="L114" s="35">
        <f t="shared" si="28"/>
        <v>9058.1343505926634</v>
      </c>
      <c r="M114" s="35">
        <f t="shared" si="28"/>
        <v>9939.7224420285893</v>
      </c>
      <c r="N114" s="35">
        <f t="shared" si="28"/>
        <v>10310.271469389618</v>
      </c>
      <c r="O114" s="35">
        <f t="shared" si="28"/>
        <v>10414.476616203403</v>
      </c>
      <c r="P114" s="35">
        <f t="shared" si="28"/>
        <v>10552.450127735256</v>
      </c>
      <c r="Q114" s="35">
        <f t="shared" si="28"/>
        <v>10652.898101122888</v>
      </c>
      <c r="R114" s="35">
        <f t="shared" ref="R114:Z129" si="30">IF(AND(COLUMN()&gt;=11,COLUMN()&lt;=20),($AC114/$AB114)*R$5,0)</f>
        <v>10595.708637272766</v>
      </c>
      <c r="S114" s="35">
        <f t="shared" si="30"/>
        <v>10375.34252260738</v>
      </c>
      <c r="T114" s="35">
        <f t="shared" si="30"/>
        <v>9875.8205826288868</v>
      </c>
      <c r="U114" s="35">
        <f t="shared" si="30"/>
        <v>0</v>
      </c>
      <c r="V114" s="35">
        <f t="shared" si="30"/>
        <v>0</v>
      </c>
      <c r="W114" s="35">
        <f t="shared" si="30"/>
        <v>0</v>
      </c>
      <c r="X114" s="35">
        <f t="shared" si="30"/>
        <v>0</v>
      </c>
      <c r="Y114" s="35">
        <f t="shared" si="30"/>
        <v>0</v>
      </c>
      <c r="Z114" s="35">
        <f t="shared" si="30"/>
        <v>0</v>
      </c>
      <c r="AA114" s="35">
        <f t="shared" si="29"/>
        <v>99999.999999999985</v>
      </c>
      <c r="AB114" s="28">
        <f t="shared" si="20"/>
        <v>30</v>
      </c>
      <c r="AC114" s="29">
        <f t="shared" si="21"/>
        <v>3000000</v>
      </c>
      <c r="AD114" s="61"/>
      <c r="AE114" s="45"/>
    </row>
    <row r="115" spans="1:31" ht="15">
      <c r="A115" s="23">
        <f t="shared" si="19"/>
        <v>2034</v>
      </c>
      <c r="B115" s="27">
        <v>49279</v>
      </c>
      <c r="C115" s="35">
        <f t="shared" ref="C115:R130" si="31">IF(AND(COLUMN()&gt;=11,COLUMN()&lt;=20),($AC115/$AB115)*C$5,0)</f>
        <v>0</v>
      </c>
      <c r="D115" s="35">
        <f t="shared" si="31"/>
        <v>0</v>
      </c>
      <c r="E115" s="35">
        <f t="shared" si="31"/>
        <v>0</v>
      </c>
      <c r="F115" s="35">
        <f t="shared" si="31"/>
        <v>0</v>
      </c>
      <c r="G115" s="35">
        <f t="shared" si="31"/>
        <v>0</v>
      </c>
      <c r="H115" s="35">
        <f t="shared" si="31"/>
        <v>0</v>
      </c>
      <c r="I115" s="35">
        <f t="shared" si="31"/>
        <v>0</v>
      </c>
      <c r="J115" s="35">
        <f t="shared" si="31"/>
        <v>0</v>
      </c>
      <c r="K115" s="35">
        <f t="shared" si="31"/>
        <v>8225.1751504185449</v>
      </c>
      <c r="L115" s="35">
        <f t="shared" si="31"/>
        <v>9058.1343505926634</v>
      </c>
      <c r="M115" s="35">
        <f t="shared" si="31"/>
        <v>9939.7224420285893</v>
      </c>
      <c r="N115" s="35">
        <f t="shared" si="31"/>
        <v>10310.271469389618</v>
      </c>
      <c r="O115" s="35">
        <f t="shared" si="31"/>
        <v>10414.476616203403</v>
      </c>
      <c r="P115" s="35">
        <f t="shared" si="31"/>
        <v>10552.450127735256</v>
      </c>
      <c r="Q115" s="35">
        <f t="shared" si="31"/>
        <v>10652.898101122888</v>
      </c>
      <c r="R115" s="35">
        <f t="shared" si="31"/>
        <v>10595.708637272766</v>
      </c>
      <c r="S115" s="35">
        <f t="shared" si="30"/>
        <v>10375.34252260738</v>
      </c>
      <c r="T115" s="35">
        <f t="shared" si="30"/>
        <v>9875.8205826288868</v>
      </c>
      <c r="U115" s="35">
        <f t="shared" si="30"/>
        <v>0</v>
      </c>
      <c r="V115" s="35">
        <f t="shared" si="30"/>
        <v>0</v>
      </c>
      <c r="W115" s="35">
        <f t="shared" si="30"/>
        <v>0</v>
      </c>
      <c r="X115" s="35">
        <f t="shared" si="30"/>
        <v>0</v>
      </c>
      <c r="Y115" s="35">
        <f t="shared" si="30"/>
        <v>0</v>
      </c>
      <c r="Z115" s="35">
        <f t="shared" si="30"/>
        <v>0</v>
      </c>
      <c r="AA115" s="35">
        <f t="shared" si="29"/>
        <v>99999.999999999985</v>
      </c>
      <c r="AB115" s="28">
        <f t="shared" si="20"/>
        <v>31</v>
      </c>
      <c r="AC115" s="29">
        <f t="shared" si="21"/>
        <v>3100000</v>
      </c>
      <c r="AD115" s="61"/>
      <c r="AE115" s="45"/>
    </row>
    <row r="116" spans="1:31" ht="15">
      <c r="A116" s="23">
        <f t="shared" si="19"/>
        <v>2035</v>
      </c>
      <c r="B116" s="27">
        <v>49310</v>
      </c>
      <c r="C116" s="35">
        <f t="shared" si="31"/>
        <v>0</v>
      </c>
      <c r="D116" s="35">
        <f t="shared" si="31"/>
        <v>0</v>
      </c>
      <c r="E116" s="35">
        <f t="shared" si="31"/>
        <v>0</v>
      </c>
      <c r="F116" s="35">
        <f t="shared" si="31"/>
        <v>0</v>
      </c>
      <c r="G116" s="35">
        <f t="shared" si="31"/>
        <v>0</v>
      </c>
      <c r="H116" s="35">
        <f t="shared" si="31"/>
        <v>0</v>
      </c>
      <c r="I116" s="35">
        <f t="shared" si="31"/>
        <v>0</v>
      </c>
      <c r="J116" s="35">
        <f t="shared" si="31"/>
        <v>0</v>
      </c>
      <c r="K116" s="35">
        <f t="shared" si="31"/>
        <v>8225.1751504185449</v>
      </c>
      <c r="L116" s="35">
        <f t="shared" si="31"/>
        <v>9058.1343505926634</v>
      </c>
      <c r="M116" s="35">
        <f t="shared" si="31"/>
        <v>9939.7224420285893</v>
      </c>
      <c r="N116" s="35">
        <f t="shared" si="31"/>
        <v>10310.271469389618</v>
      </c>
      <c r="O116" s="35">
        <f t="shared" si="31"/>
        <v>10414.476616203403</v>
      </c>
      <c r="P116" s="35">
        <f t="shared" si="31"/>
        <v>10552.450127735256</v>
      </c>
      <c r="Q116" s="35">
        <f t="shared" si="31"/>
        <v>10652.898101122888</v>
      </c>
      <c r="R116" s="35">
        <f t="shared" si="31"/>
        <v>10595.708637272766</v>
      </c>
      <c r="S116" s="35">
        <f t="shared" si="30"/>
        <v>10375.34252260738</v>
      </c>
      <c r="T116" s="35">
        <f t="shared" si="30"/>
        <v>9875.8205826288868</v>
      </c>
      <c r="U116" s="35">
        <f t="shared" si="30"/>
        <v>0</v>
      </c>
      <c r="V116" s="35">
        <f t="shared" si="30"/>
        <v>0</v>
      </c>
      <c r="W116" s="35">
        <f t="shared" si="30"/>
        <v>0</v>
      </c>
      <c r="X116" s="35">
        <f t="shared" si="30"/>
        <v>0</v>
      </c>
      <c r="Y116" s="35">
        <f t="shared" si="30"/>
        <v>0</v>
      </c>
      <c r="Z116" s="35">
        <f t="shared" si="30"/>
        <v>0</v>
      </c>
      <c r="AA116" s="35">
        <f t="shared" si="29"/>
        <v>99999.999999999985</v>
      </c>
      <c r="AB116" s="28">
        <f t="shared" si="20"/>
        <v>31</v>
      </c>
      <c r="AC116" s="29">
        <f t="shared" si="21"/>
        <v>3100000</v>
      </c>
      <c r="AD116" s="61"/>
      <c r="AE116" s="45"/>
    </row>
    <row r="117" spans="1:31" ht="15">
      <c r="A117" s="23">
        <f t="shared" si="19"/>
        <v>2035</v>
      </c>
      <c r="B117" s="27">
        <v>49341</v>
      </c>
      <c r="C117" s="35">
        <f t="shared" si="31"/>
        <v>0</v>
      </c>
      <c r="D117" s="35">
        <f t="shared" si="31"/>
        <v>0</v>
      </c>
      <c r="E117" s="35">
        <f t="shared" si="31"/>
        <v>0</v>
      </c>
      <c r="F117" s="35">
        <f t="shared" si="31"/>
        <v>0</v>
      </c>
      <c r="G117" s="35">
        <f t="shared" si="31"/>
        <v>0</v>
      </c>
      <c r="H117" s="35">
        <f t="shared" si="31"/>
        <v>0</v>
      </c>
      <c r="I117" s="35">
        <f t="shared" si="31"/>
        <v>0</v>
      </c>
      <c r="J117" s="35">
        <f t="shared" si="31"/>
        <v>0</v>
      </c>
      <c r="K117" s="35">
        <f t="shared" si="31"/>
        <v>8225.1751504185449</v>
      </c>
      <c r="L117" s="35">
        <f t="shared" si="31"/>
        <v>9058.1343505926634</v>
      </c>
      <c r="M117" s="35">
        <f t="shared" si="31"/>
        <v>9939.7224420285893</v>
      </c>
      <c r="N117" s="35">
        <f t="shared" si="31"/>
        <v>10310.271469389618</v>
      </c>
      <c r="O117" s="35">
        <f t="shared" si="31"/>
        <v>10414.476616203403</v>
      </c>
      <c r="P117" s="35">
        <f t="shared" si="31"/>
        <v>10552.450127735256</v>
      </c>
      <c r="Q117" s="35">
        <f t="shared" si="31"/>
        <v>10652.898101122888</v>
      </c>
      <c r="R117" s="35">
        <f t="shared" si="31"/>
        <v>10595.708637272766</v>
      </c>
      <c r="S117" s="35">
        <f t="shared" si="30"/>
        <v>10375.34252260738</v>
      </c>
      <c r="T117" s="35">
        <f t="shared" si="30"/>
        <v>9875.8205826288868</v>
      </c>
      <c r="U117" s="35">
        <f t="shared" si="30"/>
        <v>0</v>
      </c>
      <c r="V117" s="35">
        <f t="shared" si="30"/>
        <v>0</v>
      </c>
      <c r="W117" s="35">
        <f t="shared" si="30"/>
        <v>0</v>
      </c>
      <c r="X117" s="35">
        <f t="shared" si="30"/>
        <v>0</v>
      </c>
      <c r="Y117" s="35">
        <f t="shared" si="30"/>
        <v>0</v>
      </c>
      <c r="Z117" s="35">
        <f t="shared" si="30"/>
        <v>0</v>
      </c>
      <c r="AA117" s="35">
        <f t="shared" ref="AA117:AA127" si="32">SUM(C117:Z117)</f>
        <v>99999.999999999985</v>
      </c>
      <c r="AB117" s="28">
        <f t="shared" si="20"/>
        <v>28</v>
      </c>
      <c r="AC117" s="29">
        <f t="shared" si="21"/>
        <v>2800000</v>
      </c>
      <c r="AD117" s="61"/>
      <c r="AE117" s="45"/>
    </row>
    <row r="118" spans="1:31" ht="15">
      <c r="A118" s="23">
        <f t="shared" si="19"/>
        <v>2035</v>
      </c>
      <c r="B118" s="27">
        <v>49369</v>
      </c>
      <c r="C118" s="35">
        <f t="shared" si="31"/>
        <v>0</v>
      </c>
      <c r="D118" s="35">
        <f t="shared" si="31"/>
        <v>0</v>
      </c>
      <c r="E118" s="35">
        <f t="shared" si="31"/>
        <v>0</v>
      </c>
      <c r="F118" s="35">
        <f t="shared" si="31"/>
        <v>0</v>
      </c>
      <c r="G118" s="35">
        <f t="shared" si="31"/>
        <v>0</v>
      </c>
      <c r="H118" s="35">
        <f t="shared" si="31"/>
        <v>0</v>
      </c>
      <c r="I118" s="35">
        <f t="shared" si="31"/>
        <v>0</v>
      </c>
      <c r="J118" s="35">
        <f t="shared" si="31"/>
        <v>0</v>
      </c>
      <c r="K118" s="35">
        <f t="shared" si="31"/>
        <v>8225.1751504185449</v>
      </c>
      <c r="L118" s="35">
        <f t="shared" si="31"/>
        <v>9058.1343505926634</v>
      </c>
      <c r="M118" s="35">
        <f t="shared" si="31"/>
        <v>9939.7224420285893</v>
      </c>
      <c r="N118" s="35">
        <f t="shared" si="31"/>
        <v>10310.271469389618</v>
      </c>
      <c r="O118" s="35">
        <f t="shared" si="31"/>
        <v>10414.476616203403</v>
      </c>
      <c r="P118" s="35">
        <f t="shared" si="31"/>
        <v>10552.450127735256</v>
      </c>
      <c r="Q118" s="35">
        <f t="shared" si="31"/>
        <v>10652.898101122888</v>
      </c>
      <c r="R118" s="35">
        <f t="shared" si="31"/>
        <v>10595.708637272766</v>
      </c>
      <c r="S118" s="35">
        <f t="shared" si="30"/>
        <v>10375.34252260738</v>
      </c>
      <c r="T118" s="35">
        <f t="shared" si="30"/>
        <v>9875.8205826288868</v>
      </c>
      <c r="U118" s="35">
        <f t="shared" si="30"/>
        <v>0</v>
      </c>
      <c r="V118" s="35">
        <f t="shared" si="30"/>
        <v>0</v>
      </c>
      <c r="W118" s="35">
        <f t="shared" si="30"/>
        <v>0</v>
      </c>
      <c r="X118" s="35">
        <f t="shared" si="30"/>
        <v>0</v>
      </c>
      <c r="Y118" s="35">
        <f t="shared" si="30"/>
        <v>0</v>
      </c>
      <c r="Z118" s="35">
        <f t="shared" si="30"/>
        <v>0</v>
      </c>
      <c r="AA118" s="35">
        <f t="shared" si="32"/>
        <v>99999.999999999985</v>
      </c>
      <c r="AB118" s="28">
        <f t="shared" si="20"/>
        <v>31</v>
      </c>
      <c r="AC118" s="29">
        <f t="shared" si="21"/>
        <v>3100000</v>
      </c>
      <c r="AD118" s="61"/>
      <c r="AE118" s="45"/>
    </row>
    <row r="119" spans="1:31" ht="15">
      <c r="A119" s="23">
        <f t="shared" si="19"/>
        <v>2035</v>
      </c>
      <c r="B119" s="27">
        <v>49400</v>
      </c>
      <c r="C119" s="35">
        <f t="shared" si="31"/>
        <v>0</v>
      </c>
      <c r="D119" s="35">
        <f t="shared" si="31"/>
        <v>0</v>
      </c>
      <c r="E119" s="35">
        <f t="shared" si="31"/>
        <v>0</v>
      </c>
      <c r="F119" s="35">
        <f t="shared" si="31"/>
        <v>0</v>
      </c>
      <c r="G119" s="35">
        <f t="shared" si="31"/>
        <v>0</v>
      </c>
      <c r="H119" s="35">
        <f t="shared" si="31"/>
        <v>0</v>
      </c>
      <c r="I119" s="35">
        <f t="shared" si="31"/>
        <v>0</v>
      </c>
      <c r="J119" s="35">
        <f t="shared" si="31"/>
        <v>0</v>
      </c>
      <c r="K119" s="35">
        <f t="shared" si="31"/>
        <v>8225.1751504185449</v>
      </c>
      <c r="L119" s="35">
        <f t="shared" si="31"/>
        <v>9058.1343505926634</v>
      </c>
      <c r="M119" s="35">
        <f t="shared" si="31"/>
        <v>9939.7224420285893</v>
      </c>
      <c r="N119" s="35">
        <f t="shared" si="31"/>
        <v>10310.271469389618</v>
      </c>
      <c r="O119" s="35">
        <f t="shared" si="31"/>
        <v>10414.476616203403</v>
      </c>
      <c r="P119" s="35">
        <f t="shared" si="31"/>
        <v>10552.450127735256</v>
      </c>
      <c r="Q119" s="35">
        <f t="shared" si="31"/>
        <v>10652.898101122888</v>
      </c>
      <c r="R119" s="35">
        <f t="shared" si="31"/>
        <v>10595.708637272766</v>
      </c>
      <c r="S119" s="35">
        <f t="shared" si="30"/>
        <v>10375.34252260738</v>
      </c>
      <c r="T119" s="35">
        <f t="shared" si="30"/>
        <v>9875.8205826288868</v>
      </c>
      <c r="U119" s="35">
        <f t="shared" si="30"/>
        <v>0</v>
      </c>
      <c r="V119" s="35">
        <f t="shared" si="30"/>
        <v>0</v>
      </c>
      <c r="W119" s="35">
        <f t="shared" si="30"/>
        <v>0</v>
      </c>
      <c r="X119" s="35">
        <f t="shared" si="30"/>
        <v>0</v>
      </c>
      <c r="Y119" s="35">
        <f t="shared" si="30"/>
        <v>0</v>
      </c>
      <c r="Z119" s="35">
        <f t="shared" si="30"/>
        <v>0</v>
      </c>
      <c r="AA119" s="35">
        <f t="shared" si="32"/>
        <v>99999.999999999985</v>
      </c>
      <c r="AB119" s="28">
        <f t="shared" si="20"/>
        <v>30</v>
      </c>
      <c r="AC119" s="29">
        <f t="shared" si="21"/>
        <v>3000000</v>
      </c>
      <c r="AD119" s="61"/>
      <c r="AE119" s="45"/>
    </row>
    <row r="120" spans="1:31" ht="15">
      <c r="A120" s="23">
        <f t="shared" si="19"/>
        <v>2035</v>
      </c>
      <c r="B120" s="27">
        <v>49430</v>
      </c>
      <c r="C120" s="35">
        <f t="shared" si="31"/>
        <v>0</v>
      </c>
      <c r="D120" s="35">
        <f t="shared" si="31"/>
        <v>0</v>
      </c>
      <c r="E120" s="35">
        <f t="shared" si="31"/>
        <v>0</v>
      </c>
      <c r="F120" s="35">
        <f t="shared" si="31"/>
        <v>0</v>
      </c>
      <c r="G120" s="35">
        <f t="shared" si="31"/>
        <v>0</v>
      </c>
      <c r="H120" s="35">
        <f t="shared" si="31"/>
        <v>0</v>
      </c>
      <c r="I120" s="35">
        <f t="shared" si="31"/>
        <v>0</v>
      </c>
      <c r="J120" s="35">
        <f t="shared" si="31"/>
        <v>0</v>
      </c>
      <c r="K120" s="35">
        <f t="shared" si="31"/>
        <v>8225.1751504185449</v>
      </c>
      <c r="L120" s="35">
        <f t="shared" si="31"/>
        <v>9058.1343505926634</v>
      </c>
      <c r="M120" s="35">
        <f t="shared" si="31"/>
        <v>9939.7224420285893</v>
      </c>
      <c r="N120" s="35">
        <f t="shared" si="31"/>
        <v>10310.271469389618</v>
      </c>
      <c r="O120" s="35">
        <f t="shared" si="31"/>
        <v>10414.476616203403</v>
      </c>
      <c r="P120" s="35">
        <f t="shared" si="31"/>
        <v>10552.450127735256</v>
      </c>
      <c r="Q120" s="35">
        <f t="shared" si="31"/>
        <v>10652.898101122888</v>
      </c>
      <c r="R120" s="35">
        <f t="shared" si="31"/>
        <v>10595.708637272766</v>
      </c>
      <c r="S120" s="35">
        <f t="shared" si="30"/>
        <v>10375.34252260738</v>
      </c>
      <c r="T120" s="35">
        <f t="shared" si="30"/>
        <v>9875.8205826288868</v>
      </c>
      <c r="U120" s="35">
        <f t="shared" si="30"/>
        <v>0</v>
      </c>
      <c r="V120" s="35">
        <f t="shared" si="30"/>
        <v>0</v>
      </c>
      <c r="W120" s="35">
        <f t="shared" si="30"/>
        <v>0</v>
      </c>
      <c r="X120" s="35">
        <f t="shared" si="30"/>
        <v>0</v>
      </c>
      <c r="Y120" s="35">
        <f t="shared" si="30"/>
        <v>0</v>
      </c>
      <c r="Z120" s="35">
        <f t="shared" si="30"/>
        <v>0</v>
      </c>
      <c r="AA120" s="35">
        <f t="shared" si="32"/>
        <v>99999.999999999985</v>
      </c>
      <c r="AB120" s="28">
        <f t="shared" si="20"/>
        <v>31</v>
      </c>
      <c r="AC120" s="29">
        <f t="shared" si="21"/>
        <v>3100000</v>
      </c>
      <c r="AD120" s="61"/>
      <c r="AE120" s="45"/>
    </row>
    <row r="121" spans="1:31" ht="15">
      <c r="A121" s="23">
        <f t="shared" si="19"/>
        <v>2035</v>
      </c>
      <c r="B121" s="27">
        <v>49461</v>
      </c>
      <c r="C121" s="35">
        <f t="shared" si="31"/>
        <v>0</v>
      </c>
      <c r="D121" s="35">
        <f t="shared" si="31"/>
        <v>0</v>
      </c>
      <c r="E121" s="35">
        <f t="shared" si="31"/>
        <v>0</v>
      </c>
      <c r="F121" s="35">
        <f t="shared" si="31"/>
        <v>0</v>
      </c>
      <c r="G121" s="35">
        <f t="shared" si="31"/>
        <v>0</v>
      </c>
      <c r="H121" s="35">
        <f t="shared" si="31"/>
        <v>0</v>
      </c>
      <c r="I121" s="35">
        <f t="shared" si="31"/>
        <v>0</v>
      </c>
      <c r="J121" s="35">
        <f t="shared" si="31"/>
        <v>0</v>
      </c>
      <c r="K121" s="35">
        <f t="shared" si="31"/>
        <v>8225.1751504185449</v>
      </c>
      <c r="L121" s="35">
        <f t="shared" si="31"/>
        <v>9058.1343505926634</v>
      </c>
      <c r="M121" s="35">
        <f t="shared" si="31"/>
        <v>9939.7224420285893</v>
      </c>
      <c r="N121" s="35">
        <f t="shared" si="31"/>
        <v>10310.271469389618</v>
      </c>
      <c r="O121" s="35">
        <f t="shared" si="31"/>
        <v>10414.476616203403</v>
      </c>
      <c r="P121" s="35">
        <f t="shared" si="31"/>
        <v>10552.450127735256</v>
      </c>
      <c r="Q121" s="35">
        <f t="shared" si="31"/>
        <v>10652.898101122888</v>
      </c>
      <c r="R121" s="35">
        <f t="shared" si="31"/>
        <v>10595.708637272766</v>
      </c>
      <c r="S121" s="35">
        <f t="shared" si="30"/>
        <v>10375.34252260738</v>
      </c>
      <c r="T121" s="35">
        <f t="shared" si="30"/>
        <v>9875.8205826288868</v>
      </c>
      <c r="U121" s="35">
        <f t="shared" si="30"/>
        <v>0</v>
      </c>
      <c r="V121" s="35">
        <f t="shared" si="30"/>
        <v>0</v>
      </c>
      <c r="W121" s="35">
        <f t="shared" si="30"/>
        <v>0</v>
      </c>
      <c r="X121" s="35">
        <f t="shared" si="30"/>
        <v>0</v>
      </c>
      <c r="Y121" s="35">
        <f t="shared" si="30"/>
        <v>0</v>
      </c>
      <c r="Z121" s="35">
        <f t="shared" si="30"/>
        <v>0</v>
      </c>
      <c r="AA121" s="35">
        <f t="shared" si="32"/>
        <v>99999.999999999985</v>
      </c>
      <c r="AB121" s="28">
        <f t="shared" si="20"/>
        <v>30</v>
      </c>
      <c r="AC121" s="29">
        <f t="shared" si="21"/>
        <v>3000000</v>
      </c>
      <c r="AD121" s="61"/>
      <c r="AE121" s="45"/>
    </row>
    <row r="122" spans="1:31" ht="15">
      <c r="A122" s="23">
        <f t="shared" si="19"/>
        <v>2035</v>
      </c>
      <c r="B122" s="27">
        <v>49491</v>
      </c>
      <c r="C122" s="35">
        <f t="shared" si="31"/>
        <v>0</v>
      </c>
      <c r="D122" s="35">
        <f t="shared" si="31"/>
        <v>0</v>
      </c>
      <c r="E122" s="35">
        <f t="shared" si="31"/>
        <v>0</v>
      </c>
      <c r="F122" s="35">
        <f t="shared" si="31"/>
        <v>0</v>
      </c>
      <c r="G122" s="35">
        <f t="shared" si="31"/>
        <v>0</v>
      </c>
      <c r="H122" s="35">
        <f t="shared" si="31"/>
        <v>0</v>
      </c>
      <c r="I122" s="35">
        <f t="shared" si="31"/>
        <v>0</v>
      </c>
      <c r="J122" s="35">
        <f t="shared" si="31"/>
        <v>0</v>
      </c>
      <c r="K122" s="35">
        <f t="shared" si="31"/>
        <v>8225.1751504185449</v>
      </c>
      <c r="L122" s="35">
        <f t="shared" si="31"/>
        <v>9058.1343505926634</v>
      </c>
      <c r="M122" s="35">
        <f t="shared" si="31"/>
        <v>9939.7224420285893</v>
      </c>
      <c r="N122" s="35">
        <f t="shared" si="31"/>
        <v>10310.271469389618</v>
      </c>
      <c r="O122" s="35">
        <f t="shared" si="31"/>
        <v>10414.476616203403</v>
      </c>
      <c r="P122" s="35">
        <f t="shared" si="31"/>
        <v>10552.450127735256</v>
      </c>
      <c r="Q122" s="35">
        <f t="shared" si="31"/>
        <v>10652.898101122888</v>
      </c>
      <c r="R122" s="35">
        <f t="shared" si="31"/>
        <v>10595.708637272766</v>
      </c>
      <c r="S122" s="35">
        <f t="shared" si="30"/>
        <v>10375.34252260738</v>
      </c>
      <c r="T122" s="35">
        <f t="shared" si="30"/>
        <v>9875.8205826288868</v>
      </c>
      <c r="U122" s="35">
        <f t="shared" si="30"/>
        <v>0</v>
      </c>
      <c r="V122" s="35">
        <f t="shared" si="30"/>
        <v>0</v>
      </c>
      <c r="W122" s="35">
        <f t="shared" si="30"/>
        <v>0</v>
      </c>
      <c r="X122" s="35">
        <f t="shared" si="30"/>
        <v>0</v>
      </c>
      <c r="Y122" s="35">
        <f t="shared" si="30"/>
        <v>0</v>
      </c>
      <c r="Z122" s="35">
        <f t="shared" si="30"/>
        <v>0</v>
      </c>
      <c r="AA122" s="35">
        <f t="shared" si="32"/>
        <v>99999.999999999985</v>
      </c>
      <c r="AB122" s="28">
        <f t="shared" si="20"/>
        <v>31</v>
      </c>
      <c r="AC122" s="29">
        <f t="shared" si="21"/>
        <v>3100000</v>
      </c>
      <c r="AD122" s="61"/>
      <c r="AE122" s="45"/>
    </row>
    <row r="123" spans="1:31" ht="15">
      <c r="A123" s="23">
        <f t="shared" si="19"/>
        <v>2035</v>
      </c>
      <c r="B123" s="27">
        <v>49522</v>
      </c>
      <c r="C123" s="35">
        <f t="shared" si="31"/>
        <v>0</v>
      </c>
      <c r="D123" s="35">
        <f t="shared" si="31"/>
        <v>0</v>
      </c>
      <c r="E123" s="35">
        <f t="shared" si="31"/>
        <v>0</v>
      </c>
      <c r="F123" s="35">
        <f t="shared" si="31"/>
        <v>0</v>
      </c>
      <c r="G123" s="35">
        <f t="shared" si="31"/>
        <v>0</v>
      </c>
      <c r="H123" s="35">
        <f t="shared" si="31"/>
        <v>0</v>
      </c>
      <c r="I123" s="35">
        <f t="shared" si="31"/>
        <v>0</v>
      </c>
      <c r="J123" s="35">
        <f t="shared" si="31"/>
        <v>0</v>
      </c>
      <c r="K123" s="35">
        <f t="shared" si="31"/>
        <v>8225.1751504185449</v>
      </c>
      <c r="L123" s="35">
        <f t="shared" si="31"/>
        <v>9058.1343505926634</v>
      </c>
      <c r="M123" s="35">
        <f t="shared" si="31"/>
        <v>9939.7224420285893</v>
      </c>
      <c r="N123" s="35">
        <f t="shared" si="31"/>
        <v>10310.271469389618</v>
      </c>
      <c r="O123" s="35">
        <f t="shared" si="31"/>
        <v>10414.476616203403</v>
      </c>
      <c r="P123" s="35">
        <f t="shared" si="31"/>
        <v>10552.450127735256</v>
      </c>
      <c r="Q123" s="35">
        <f t="shared" si="31"/>
        <v>10652.898101122888</v>
      </c>
      <c r="R123" s="35">
        <f t="shared" si="31"/>
        <v>10595.708637272766</v>
      </c>
      <c r="S123" s="35">
        <f t="shared" si="30"/>
        <v>10375.34252260738</v>
      </c>
      <c r="T123" s="35">
        <f t="shared" si="30"/>
        <v>9875.8205826288868</v>
      </c>
      <c r="U123" s="35">
        <f t="shared" si="30"/>
        <v>0</v>
      </c>
      <c r="V123" s="35">
        <f t="shared" si="30"/>
        <v>0</v>
      </c>
      <c r="W123" s="35">
        <f t="shared" si="30"/>
        <v>0</v>
      </c>
      <c r="X123" s="35">
        <f t="shared" si="30"/>
        <v>0</v>
      </c>
      <c r="Y123" s="35">
        <f t="shared" si="30"/>
        <v>0</v>
      </c>
      <c r="Z123" s="35">
        <f t="shared" si="30"/>
        <v>0</v>
      </c>
      <c r="AA123" s="35">
        <f t="shared" si="32"/>
        <v>99999.999999999985</v>
      </c>
      <c r="AB123" s="28">
        <f t="shared" si="20"/>
        <v>31</v>
      </c>
      <c r="AC123" s="29">
        <f t="shared" si="21"/>
        <v>3100000</v>
      </c>
      <c r="AD123" s="61"/>
      <c r="AE123" s="45"/>
    </row>
    <row r="124" spans="1:31" ht="15">
      <c r="A124" s="23">
        <f t="shared" si="19"/>
        <v>2035</v>
      </c>
      <c r="B124" s="27">
        <v>49553</v>
      </c>
      <c r="C124" s="35">
        <f t="shared" si="31"/>
        <v>0</v>
      </c>
      <c r="D124" s="35">
        <f t="shared" si="31"/>
        <v>0</v>
      </c>
      <c r="E124" s="35">
        <f t="shared" si="31"/>
        <v>0</v>
      </c>
      <c r="F124" s="35">
        <f t="shared" si="31"/>
        <v>0</v>
      </c>
      <c r="G124" s="35">
        <f t="shared" si="31"/>
        <v>0</v>
      </c>
      <c r="H124" s="35">
        <f t="shared" si="31"/>
        <v>0</v>
      </c>
      <c r="I124" s="35">
        <f t="shared" si="31"/>
        <v>0</v>
      </c>
      <c r="J124" s="35">
        <f t="shared" si="31"/>
        <v>0</v>
      </c>
      <c r="K124" s="35">
        <f t="shared" si="31"/>
        <v>8225.1751504185449</v>
      </c>
      <c r="L124" s="35">
        <f t="shared" si="31"/>
        <v>9058.1343505926634</v>
      </c>
      <c r="M124" s="35">
        <f t="shared" si="31"/>
        <v>9939.7224420285893</v>
      </c>
      <c r="N124" s="35">
        <f t="shared" si="31"/>
        <v>10310.271469389618</v>
      </c>
      <c r="O124" s="35">
        <f t="shared" si="31"/>
        <v>10414.476616203403</v>
      </c>
      <c r="P124" s="35">
        <f t="shared" si="31"/>
        <v>10552.450127735256</v>
      </c>
      <c r="Q124" s="35">
        <f t="shared" si="31"/>
        <v>10652.898101122888</v>
      </c>
      <c r="R124" s="35">
        <f t="shared" si="31"/>
        <v>10595.708637272766</v>
      </c>
      <c r="S124" s="35">
        <f t="shared" si="30"/>
        <v>10375.34252260738</v>
      </c>
      <c r="T124" s="35">
        <f t="shared" si="30"/>
        <v>9875.8205826288868</v>
      </c>
      <c r="U124" s="35">
        <f t="shared" si="30"/>
        <v>0</v>
      </c>
      <c r="V124" s="35">
        <f t="shared" si="30"/>
        <v>0</v>
      </c>
      <c r="W124" s="35">
        <f t="shared" si="30"/>
        <v>0</v>
      </c>
      <c r="X124" s="35">
        <f t="shared" si="30"/>
        <v>0</v>
      </c>
      <c r="Y124" s="35">
        <f t="shared" si="30"/>
        <v>0</v>
      </c>
      <c r="Z124" s="35">
        <f t="shared" si="30"/>
        <v>0</v>
      </c>
      <c r="AA124" s="35">
        <f t="shared" si="32"/>
        <v>99999.999999999985</v>
      </c>
      <c r="AB124" s="28">
        <f t="shared" si="20"/>
        <v>30</v>
      </c>
      <c r="AC124" s="29">
        <f t="shared" si="21"/>
        <v>3000000</v>
      </c>
      <c r="AD124" s="61"/>
      <c r="AE124" s="45"/>
    </row>
    <row r="125" spans="1:31" ht="15">
      <c r="A125" s="23">
        <f t="shared" si="19"/>
        <v>2035</v>
      </c>
      <c r="B125" s="27">
        <v>49583</v>
      </c>
      <c r="C125" s="35">
        <f t="shared" si="31"/>
        <v>0</v>
      </c>
      <c r="D125" s="35">
        <f t="shared" si="31"/>
        <v>0</v>
      </c>
      <c r="E125" s="35">
        <f t="shared" si="31"/>
        <v>0</v>
      </c>
      <c r="F125" s="35">
        <f t="shared" si="31"/>
        <v>0</v>
      </c>
      <c r="G125" s="35">
        <f t="shared" si="31"/>
        <v>0</v>
      </c>
      <c r="H125" s="35">
        <f t="shared" si="31"/>
        <v>0</v>
      </c>
      <c r="I125" s="35">
        <f t="shared" si="31"/>
        <v>0</v>
      </c>
      <c r="J125" s="35">
        <f t="shared" si="31"/>
        <v>0</v>
      </c>
      <c r="K125" s="35">
        <f t="shared" si="31"/>
        <v>8225.1751504185449</v>
      </c>
      <c r="L125" s="35">
        <f t="shared" si="31"/>
        <v>9058.1343505926634</v>
      </c>
      <c r="M125" s="35">
        <f t="shared" si="31"/>
        <v>9939.7224420285893</v>
      </c>
      <c r="N125" s="35">
        <f t="shared" si="31"/>
        <v>10310.271469389618</v>
      </c>
      <c r="O125" s="35">
        <f t="shared" si="31"/>
        <v>10414.476616203403</v>
      </c>
      <c r="P125" s="35">
        <f t="shared" si="31"/>
        <v>10552.450127735256</v>
      </c>
      <c r="Q125" s="35">
        <f t="shared" si="31"/>
        <v>10652.898101122888</v>
      </c>
      <c r="R125" s="35">
        <f t="shared" si="31"/>
        <v>10595.708637272766</v>
      </c>
      <c r="S125" s="35">
        <f t="shared" si="30"/>
        <v>10375.34252260738</v>
      </c>
      <c r="T125" s="35">
        <f t="shared" si="30"/>
        <v>9875.8205826288868</v>
      </c>
      <c r="U125" s="35">
        <f t="shared" si="30"/>
        <v>0</v>
      </c>
      <c r="V125" s="35">
        <f t="shared" si="30"/>
        <v>0</v>
      </c>
      <c r="W125" s="35">
        <f t="shared" si="30"/>
        <v>0</v>
      </c>
      <c r="X125" s="35">
        <f t="shared" si="30"/>
        <v>0</v>
      </c>
      <c r="Y125" s="35">
        <f t="shared" si="30"/>
        <v>0</v>
      </c>
      <c r="Z125" s="35">
        <f t="shared" si="30"/>
        <v>0</v>
      </c>
      <c r="AA125" s="35">
        <f t="shared" si="32"/>
        <v>99999.999999999985</v>
      </c>
      <c r="AB125" s="28">
        <f t="shared" si="20"/>
        <v>31</v>
      </c>
      <c r="AC125" s="29">
        <f t="shared" si="21"/>
        <v>3100000</v>
      </c>
      <c r="AD125" s="61"/>
      <c r="AE125" s="45"/>
    </row>
    <row r="126" spans="1:31" ht="15">
      <c r="A126" s="23">
        <f t="shared" si="19"/>
        <v>2035</v>
      </c>
      <c r="B126" s="27">
        <v>49614</v>
      </c>
      <c r="C126" s="35">
        <f t="shared" si="31"/>
        <v>0</v>
      </c>
      <c r="D126" s="35">
        <f t="shared" si="31"/>
        <v>0</v>
      </c>
      <c r="E126" s="35">
        <f t="shared" si="31"/>
        <v>0</v>
      </c>
      <c r="F126" s="35">
        <f t="shared" si="31"/>
        <v>0</v>
      </c>
      <c r="G126" s="35">
        <f t="shared" si="31"/>
        <v>0</v>
      </c>
      <c r="H126" s="35">
        <f t="shared" si="31"/>
        <v>0</v>
      </c>
      <c r="I126" s="35">
        <f t="shared" si="31"/>
        <v>0</v>
      </c>
      <c r="J126" s="35">
        <f t="shared" si="31"/>
        <v>0</v>
      </c>
      <c r="K126" s="35">
        <f t="shared" si="31"/>
        <v>8225.1751504185449</v>
      </c>
      <c r="L126" s="35">
        <f t="shared" si="31"/>
        <v>9058.1343505926634</v>
      </c>
      <c r="M126" s="35">
        <f t="shared" si="31"/>
        <v>9939.7224420285893</v>
      </c>
      <c r="N126" s="35">
        <f t="shared" si="31"/>
        <v>10310.271469389618</v>
      </c>
      <c r="O126" s="35">
        <f t="shared" si="31"/>
        <v>10414.476616203403</v>
      </c>
      <c r="P126" s="35">
        <f t="shared" si="31"/>
        <v>10552.450127735256</v>
      </c>
      <c r="Q126" s="35">
        <f t="shared" si="31"/>
        <v>10652.898101122888</v>
      </c>
      <c r="R126" s="35">
        <f t="shared" si="31"/>
        <v>10595.708637272766</v>
      </c>
      <c r="S126" s="35">
        <f t="shared" si="30"/>
        <v>10375.34252260738</v>
      </c>
      <c r="T126" s="35">
        <f t="shared" si="30"/>
        <v>9875.8205826288868</v>
      </c>
      <c r="U126" s="35">
        <f t="shared" si="30"/>
        <v>0</v>
      </c>
      <c r="V126" s="35">
        <f t="shared" si="30"/>
        <v>0</v>
      </c>
      <c r="W126" s="35">
        <f t="shared" si="30"/>
        <v>0</v>
      </c>
      <c r="X126" s="35">
        <f t="shared" si="30"/>
        <v>0</v>
      </c>
      <c r="Y126" s="35">
        <f t="shared" si="30"/>
        <v>0</v>
      </c>
      <c r="Z126" s="35">
        <f t="shared" si="30"/>
        <v>0</v>
      </c>
      <c r="AA126" s="35">
        <f t="shared" si="32"/>
        <v>99999.999999999985</v>
      </c>
      <c r="AB126" s="28">
        <f t="shared" si="20"/>
        <v>30</v>
      </c>
      <c r="AC126" s="29">
        <f t="shared" si="21"/>
        <v>3000000</v>
      </c>
      <c r="AD126" s="61"/>
      <c r="AE126" s="45"/>
    </row>
    <row r="127" spans="1:31" ht="15">
      <c r="A127" s="23">
        <f t="shared" si="19"/>
        <v>2035</v>
      </c>
      <c r="B127" s="27">
        <v>49644</v>
      </c>
      <c r="C127" s="35">
        <f t="shared" si="31"/>
        <v>0</v>
      </c>
      <c r="D127" s="35">
        <f t="shared" si="31"/>
        <v>0</v>
      </c>
      <c r="E127" s="35">
        <f t="shared" si="31"/>
        <v>0</v>
      </c>
      <c r="F127" s="35">
        <f t="shared" si="31"/>
        <v>0</v>
      </c>
      <c r="G127" s="35">
        <f t="shared" si="31"/>
        <v>0</v>
      </c>
      <c r="H127" s="35">
        <f t="shared" si="31"/>
        <v>0</v>
      </c>
      <c r="I127" s="35">
        <f t="shared" si="31"/>
        <v>0</v>
      </c>
      <c r="J127" s="35">
        <f t="shared" si="31"/>
        <v>0</v>
      </c>
      <c r="K127" s="35">
        <f t="shared" si="31"/>
        <v>8225.1751504185449</v>
      </c>
      <c r="L127" s="35">
        <f t="shared" si="31"/>
        <v>9058.1343505926634</v>
      </c>
      <c r="M127" s="35">
        <f t="shared" si="31"/>
        <v>9939.7224420285893</v>
      </c>
      <c r="N127" s="35">
        <f t="shared" si="31"/>
        <v>10310.271469389618</v>
      </c>
      <c r="O127" s="35">
        <f t="shared" si="31"/>
        <v>10414.476616203403</v>
      </c>
      <c r="P127" s="35">
        <f t="shared" si="31"/>
        <v>10552.450127735256</v>
      </c>
      <c r="Q127" s="35">
        <f t="shared" si="31"/>
        <v>10652.898101122888</v>
      </c>
      <c r="R127" s="35">
        <f t="shared" si="31"/>
        <v>10595.708637272766</v>
      </c>
      <c r="S127" s="35">
        <f t="shared" si="30"/>
        <v>10375.34252260738</v>
      </c>
      <c r="T127" s="35">
        <f t="shared" si="30"/>
        <v>9875.8205826288868</v>
      </c>
      <c r="U127" s="35">
        <f t="shared" si="30"/>
        <v>0</v>
      </c>
      <c r="V127" s="35">
        <f t="shared" si="30"/>
        <v>0</v>
      </c>
      <c r="W127" s="35">
        <f t="shared" si="30"/>
        <v>0</v>
      </c>
      <c r="X127" s="35">
        <f t="shared" si="30"/>
        <v>0</v>
      </c>
      <c r="Y127" s="35">
        <f t="shared" si="30"/>
        <v>0</v>
      </c>
      <c r="Z127" s="35">
        <f t="shared" si="30"/>
        <v>0</v>
      </c>
      <c r="AA127" s="35">
        <f t="shared" si="32"/>
        <v>99999.999999999985</v>
      </c>
      <c r="AB127" s="28">
        <f t="shared" si="20"/>
        <v>31</v>
      </c>
      <c r="AC127" s="29">
        <f t="shared" si="21"/>
        <v>3100000</v>
      </c>
      <c r="AD127" s="61"/>
      <c r="AE127" s="45"/>
    </row>
    <row r="128" spans="1:31" ht="15">
      <c r="A128" s="23">
        <f t="shared" ref="A128:A151" si="33">YEAR(B128)</f>
        <v>2036</v>
      </c>
      <c r="B128" s="27">
        <v>49675</v>
      </c>
      <c r="C128" s="35">
        <f t="shared" si="31"/>
        <v>0</v>
      </c>
      <c r="D128" s="35">
        <f t="shared" si="31"/>
        <v>0</v>
      </c>
      <c r="E128" s="35">
        <f t="shared" si="31"/>
        <v>0</v>
      </c>
      <c r="F128" s="35">
        <f t="shared" si="31"/>
        <v>0</v>
      </c>
      <c r="G128" s="35">
        <f t="shared" si="31"/>
        <v>0</v>
      </c>
      <c r="H128" s="35">
        <f t="shared" si="31"/>
        <v>0</v>
      </c>
      <c r="I128" s="35">
        <f t="shared" si="31"/>
        <v>0</v>
      </c>
      <c r="J128" s="35">
        <f t="shared" si="31"/>
        <v>0</v>
      </c>
      <c r="K128" s="35">
        <f t="shared" si="31"/>
        <v>8225.1751504185449</v>
      </c>
      <c r="L128" s="35">
        <f t="shared" si="31"/>
        <v>9058.1343505926634</v>
      </c>
      <c r="M128" s="35">
        <f t="shared" si="31"/>
        <v>9939.7224420285893</v>
      </c>
      <c r="N128" s="35">
        <f t="shared" si="31"/>
        <v>10310.271469389618</v>
      </c>
      <c r="O128" s="35">
        <f t="shared" si="31"/>
        <v>10414.476616203403</v>
      </c>
      <c r="P128" s="35">
        <f t="shared" si="31"/>
        <v>10552.450127735256</v>
      </c>
      <c r="Q128" s="35">
        <f t="shared" si="31"/>
        <v>10652.898101122888</v>
      </c>
      <c r="R128" s="35">
        <f t="shared" si="31"/>
        <v>10595.708637272766</v>
      </c>
      <c r="S128" s="35">
        <f t="shared" si="30"/>
        <v>10375.34252260738</v>
      </c>
      <c r="T128" s="35">
        <f t="shared" si="30"/>
        <v>9875.8205826288868</v>
      </c>
      <c r="U128" s="35">
        <f t="shared" si="30"/>
        <v>0</v>
      </c>
      <c r="V128" s="35">
        <f t="shared" si="30"/>
        <v>0</v>
      </c>
      <c r="W128" s="35">
        <f t="shared" si="30"/>
        <v>0</v>
      </c>
      <c r="X128" s="35">
        <f t="shared" si="30"/>
        <v>0</v>
      </c>
      <c r="Y128" s="35">
        <f t="shared" si="30"/>
        <v>0</v>
      </c>
      <c r="Z128" s="35">
        <f t="shared" si="30"/>
        <v>0</v>
      </c>
      <c r="AA128" s="35">
        <f t="shared" ref="AA128:AA151" si="34">SUM(C128:Z128)</f>
        <v>99999.999999999985</v>
      </c>
      <c r="AB128" s="28">
        <f t="shared" ref="AB128:AB151" si="35">DAY(EOMONTH(B128,0))</f>
        <v>31</v>
      </c>
      <c r="AC128" s="29">
        <f t="shared" si="21"/>
        <v>3100000</v>
      </c>
      <c r="AD128" s="61"/>
      <c r="AE128" s="45"/>
    </row>
    <row r="129" spans="1:31" ht="15">
      <c r="A129" s="23">
        <f t="shared" si="33"/>
        <v>2036</v>
      </c>
      <c r="B129" s="27">
        <v>49706</v>
      </c>
      <c r="C129" s="35">
        <f t="shared" si="31"/>
        <v>0</v>
      </c>
      <c r="D129" s="35">
        <f t="shared" si="31"/>
        <v>0</v>
      </c>
      <c r="E129" s="35">
        <f t="shared" si="31"/>
        <v>0</v>
      </c>
      <c r="F129" s="35">
        <f t="shared" si="31"/>
        <v>0</v>
      </c>
      <c r="G129" s="35">
        <f t="shared" si="31"/>
        <v>0</v>
      </c>
      <c r="H129" s="35">
        <f t="shared" si="31"/>
        <v>0</v>
      </c>
      <c r="I129" s="35">
        <f t="shared" si="31"/>
        <v>0</v>
      </c>
      <c r="J129" s="35">
        <f t="shared" si="31"/>
        <v>0</v>
      </c>
      <c r="K129" s="35">
        <f t="shared" si="31"/>
        <v>8225.1751504185449</v>
      </c>
      <c r="L129" s="35">
        <f t="shared" si="31"/>
        <v>9058.1343505926634</v>
      </c>
      <c r="M129" s="35">
        <f t="shared" si="31"/>
        <v>9939.7224420285893</v>
      </c>
      <c r="N129" s="35">
        <f t="shared" si="31"/>
        <v>10310.271469389618</v>
      </c>
      <c r="O129" s="35">
        <f t="shared" si="31"/>
        <v>10414.476616203403</v>
      </c>
      <c r="P129" s="35">
        <f t="shared" si="31"/>
        <v>10552.450127735256</v>
      </c>
      <c r="Q129" s="35">
        <f t="shared" si="31"/>
        <v>10652.898101122888</v>
      </c>
      <c r="R129" s="35">
        <f t="shared" si="31"/>
        <v>10595.708637272766</v>
      </c>
      <c r="S129" s="35">
        <f t="shared" si="30"/>
        <v>10375.34252260738</v>
      </c>
      <c r="T129" s="35">
        <f t="shared" si="30"/>
        <v>9875.8205826288868</v>
      </c>
      <c r="U129" s="35">
        <f t="shared" si="30"/>
        <v>0</v>
      </c>
      <c r="V129" s="35">
        <f t="shared" si="30"/>
        <v>0</v>
      </c>
      <c r="W129" s="35">
        <f t="shared" si="30"/>
        <v>0</v>
      </c>
      <c r="X129" s="35">
        <f t="shared" si="30"/>
        <v>0</v>
      </c>
      <c r="Y129" s="35">
        <f t="shared" si="30"/>
        <v>0</v>
      </c>
      <c r="Z129" s="35">
        <f t="shared" si="30"/>
        <v>0</v>
      </c>
      <c r="AA129" s="35">
        <f t="shared" si="34"/>
        <v>99999.999999999985</v>
      </c>
      <c r="AB129" s="28">
        <f t="shared" si="35"/>
        <v>29</v>
      </c>
      <c r="AC129" s="29">
        <f t="shared" si="21"/>
        <v>2900000</v>
      </c>
      <c r="AD129" s="61"/>
      <c r="AE129" s="45"/>
    </row>
    <row r="130" spans="1:31" ht="15">
      <c r="A130" s="23">
        <f t="shared" si="33"/>
        <v>2036</v>
      </c>
      <c r="B130" s="27">
        <v>49735</v>
      </c>
      <c r="C130" s="35">
        <f t="shared" si="31"/>
        <v>0</v>
      </c>
      <c r="D130" s="35">
        <f t="shared" si="31"/>
        <v>0</v>
      </c>
      <c r="E130" s="35">
        <f t="shared" si="31"/>
        <v>0</v>
      </c>
      <c r="F130" s="35">
        <f t="shared" si="31"/>
        <v>0</v>
      </c>
      <c r="G130" s="35">
        <f t="shared" si="31"/>
        <v>0</v>
      </c>
      <c r="H130" s="35">
        <f t="shared" si="31"/>
        <v>0</v>
      </c>
      <c r="I130" s="35">
        <f t="shared" si="31"/>
        <v>0</v>
      </c>
      <c r="J130" s="35">
        <f t="shared" si="31"/>
        <v>0</v>
      </c>
      <c r="K130" s="35">
        <f t="shared" si="31"/>
        <v>8225.1751504185449</v>
      </c>
      <c r="L130" s="35">
        <f t="shared" si="31"/>
        <v>9058.1343505926634</v>
      </c>
      <c r="M130" s="35">
        <f t="shared" si="31"/>
        <v>9939.7224420285893</v>
      </c>
      <c r="N130" s="35">
        <f t="shared" si="31"/>
        <v>10310.271469389618</v>
      </c>
      <c r="O130" s="35">
        <f t="shared" si="31"/>
        <v>10414.476616203403</v>
      </c>
      <c r="P130" s="35">
        <f t="shared" si="31"/>
        <v>10552.450127735256</v>
      </c>
      <c r="Q130" s="35">
        <f t="shared" si="31"/>
        <v>10652.898101122888</v>
      </c>
      <c r="R130" s="35">
        <f t="shared" ref="R130:Z145" si="36">IF(AND(COLUMN()&gt;=11,COLUMN()&lt;=20),($AC130/$AB130)*R$5,0)</f>
        <v>10595.708637272766</v>
      </c>
      <c r="S130" s="35">
        <f t="shared" si="36"/>
        <v>10375.34252260738</v>
      </c>
      <c r="T130" s="35">
        <f t="shared" si="36"/>
        <v>9875.8205826288868</v>
      </c>
      <c r="U130" s="35">
        <f t="shared" si="36"/>
        <v>0</v>
      </c>
      <c r="V130" s="35">
        <f t="shared" si="36"/>
        <v>0</v>
      </c>
      <c r="W130" s="35">
        <f t="shared" si="36"/>
        <v>0</v>
      </c>
      <c r="X130" s="35">
        <f t="shared" si="36"/>
        <v>0</v>
      </c>
      <c r="Y130" s="35">
        <f t="shared" si="36"/>
        <v>0</v>
      </c>
      <c r="Z130" s="35">
        <f t="shared" si="36"/>
        <v>0</v>
      </c>
      <c r="AA130" s="35">
        <f t="shared" si="34"/>
        <v>99999.999999999985</v>
      </c>
      <c r="AB130" s="28">
        <f t="shared" si="35"/>
        <v>31</v>
      </c>
      <c r="AC130" s="29">
        <f t="shared" si="21"/>
        <v>3100000</v>
      </c>
      <c r="AD130" s="61"/>
      <c r="AE130" s="45"/>
    </row>
    <row r="131" spans="1:31" ht="15">
      <c r="A131" s="23">
        <f t="shared" si="33"/>
        <v>2036</v>
      </c>
      <c r="B131" s="27">
        <v>49766</v>
      </c>
      <c r="C131" s="35">
        <f t="shared" ref="C131:R146" si="37">IF(AND(COLUMN()&gt;=11,COLUMN()&lt;=20),($AC131/$AB131)*C$5,0)</f>
        <v>0</v>
      </c>
      <c r="D131" s="35">
        <f t="shared" si="37"/>
        <v>0</v>
      </c>
      <c r="E131" s="35">
        <f t="shared" si="37"/>
        <v>0</v>
      </c>
      <c r="F131" s="35">
        <f t="shared" si="37"/>
        <v>0</v>
      </c>
      <c r="G131" s="35">
        <f t="shared" si="37"/>
        <v>0</v>
      </c>
      <c r="H131" s="35">
        <f t="shared" si="37"/>
        <v>0</v>
      </c>
      <c r="I131" s="35">
        <f t="shared" si="37"/>
        <v>0</v>
      </c>
      <c r="J131" s="35">
        <f t="shared" si="37"/>
        <v>0</v>
      </c>
      <c r="K131" s="35">
        <f t="shared" si="37"/>
        <v>8225.1751504185449</v>
      </c>
      <c r="L131" s="35">
        <f t="shared" si="37"/>
        <v>9058.1343505926634</v>
      </c>
      <c r="M131" s="35">
        <f t="shared" si="37"/>
        <v>9939.7224420285893</v>
      </c>
      <c r="N131" s="35">
        <f t="shared" si="37"/>
        <v>10310.271469389618</v>
      </c>
      <c r="O131" s="35">
        <f t="shared" si="37"/>
        <v>10414.476616203403</v>
      </c>
      <c r="P131" s="35">
        <f t="shared" si="37"/>
        <v>10552.450127735256</v>
      </c>
      <c r="Q131" s="35">
        <f t="shared" si="37"/>
        <v>10652.898101122888</v>
      </c>
      <c r="R131" s="35">
        <f t="shared" si="37"/>
        <v>10595.708637272766</v>
      </c>
      <c r="S131" s="35">
        <f t="shared" si="36"/>
        <v>10375.34252260738</v>
      </c>
      <c r="T131" s="35">
        <f t="shared" si="36"/>
        <v>9875.8205826288868</v>
      </c>
      <c r="U131" s="35">
        <f t="shared" si="36"/>
        <v>0</v>
      </c>
      <c r="V131" s="35">
        <f t="shared" si="36"/>
        <v>0</v>
      </c>
      <c r="W131" s="35">
        <f t="shared" si="36"/>
        <v>0</v>
      </c>
      <c r="X131" s="35">
        <f t="shared" si="36"/>
        <v>0</v>
      </c>
      <c r="Y131" s="35">
        <f t="shared" si="36"/>
        <v>0</v>
      </c>
      <c r="Z131" s="35">
        <f t="shared" si="36"/>
        <v>0</v>
      </c>
      <c r="AA131" s="35">
        <f t="shared" si="34"/>
        <v>99999.999999999985</v>
      </c>
      <c r="AB131" s="28">
        <f t="shared" si="35"/>
        <v>30</v>
      </c>
      <c r="AC131" s="29">
        <f t="shared" si="21"/>
        <v>3000000</v>
      </c>
      <c r="AD131" s="61"/>
      <c r="AE131" s="45"/>
    </row>
    <row r="132" spans="1:31" ht="15">
      <c r="A132" s="23">
        <f t="shared" si="33"/>
        <v>2036</v>
      </c>
      <c r="B132" s="27">
        <v>49796</v>
      </c>
      <c r="C132" s="35">
        <f t="shared" si="37"/>
        <v>0</v>
      </c>
      <c r="D132" s="35">
        <f t="shared" si="37"/>
        <v>0</v>
      </c>
      <c r="E132" s="35">
        <f t="shared" si="37"/>
        <v>0</v>
      </c>
      <c r="F132" s="35">
        <f t="shared" si="37"/>
        <v>0</v>
      </c>
      <c r="G132" s="35">
        <f t="shared" si="37"/>
        <v>0</v>
      </c>
      <c r="H132" s="35">
        <f t="shared" si="37"/>
        <v>0</v>
      </c>
      <c r="I132" s="35">
        <f t="shared" si="37"/>
        <v>0</v>
      </c>
      <c r="J132" s="35">
        <f t="shared" si="37"/>
        <v>0</v>
      </c>
      <c r="K132" s="35">
        <f t="shared" si="37"/>
        <v>8225.1751504185449</v>
      </c>
      <c r="L132" s="35">
        <f t="shared" si="37"/>
        <v>9058.1343505926634</v>
      </c>
      <c r="M132" s="35">
        <f t="shared" si="37"/>
        <v>9939.7224420285893</v>
      </c>
      <c r="N132" s="35">
        <f t="shared" si="37"/>
        <v>10310.271469389618</v>
      </c>
      <c r="O132" s="35">
        <f t="shared" si="37"/>
        <v>10414.476616203403</v>
      </c>
      <c r="P132" s="35">
        <f t="shared" si="37"/>
        <v>10552.450127735256</v>
      </c>
      <c r="Q132" s="35">
        <f t="shared" si="37"/>
        <v>10652.898101122888</v>
      </c>
      <c r="R132" s="35">
        <f t="shared" si="37"/>
        <v>10595.708637272766</v>
      </c>
      <c r="S132" s="35">
        <f t="shared" si="36"/>
        <v>10375.34252260738</v>
      </c>
      <c r="T132" s="35">
        <f t="shared" si="36"/>
        <v>9875.8205826288868</v>
      </c>
      <c r="U132" s="35">
        <f t="shared" si="36"/>
        <v>0</v>
      </c>
      <c r="V132" s="35">
        <f t="shared" si="36"/>
        <v>0</v>
      </c>
      <c r="W132" s="35">
        <f t="shared" si="36"/>
        <v>0</v>
      </c>
      <c r="X132" s="35">
        <f t="shared" si="36"/>
        <v>0</v>
      </c>
      <c r="Y132" s="35">
        <f t="shared" si="36"/>
        <v>0</v>
      </c>
      <c r="Z132" s="35">
        <f t="shared" si="36"/>
        <v>0</v>
      </c>
      <c r="AA132" s="35">
        <f t="shared" si="34"/>
        <v>99999.999999999985</v>
      </c>
      <c r="AB132" s="28">
        <f t="shared" si="35"/>
        <v>31</v>
      </c>
      <c r="AC132" s="29">
        <f t="shared" si="21"/>
        <v>3100000</v>
      </c>
      <c r="AD132" s="61"/>
      <c r="AE132" s="45"/>
    </row>
    <row r="133" spans="1:31" ht="15">
      <c r="A133" s="23">
        <f t="shared" si="33"/>
        <v>2036</v>
      </c>
      <c r="B133" s="27">
        <v>49827</v>
      </c>
      <c r="C133" s="35">
        <f t="shared" si="37"/>
        <v>0</v>
      </c>
      <c r="D133" s="35">
        <f t="shared" si="37"/>
        <v>0</v>
      </c>
      <c r="E133" s="35">
        <f t="shared" si="37"/>
        <v>0</v>
      </c>
      <c r="F133" s="35">
        <f t="shared" si="37"/>
        <v>0</v>
      </c>
      <c r="G133" s="35">
        <f t="shared" si="37"/>
        <v>0</v>
      </c>
      <c r="H133" s="35">
        <f t="shared" si="37"/>
        <v>0</v>
      </c>
      <c r="I133" s="35">
        <f t="shared" si="37"/>
        <v>0</v>
      </c>
      <c r="J133" s="35">
        <f t="shared" si="37"/>
        <v>0</v>
      </c>
      <c r="K133" s="35">
        <f t="shared" si="37"/>
        <v>8225.1751504185449</v>
      </c>
      <c r="L133" s="35">
        <f t="shared" si="37"/>
        <v>9058.1343505926634</v>
      </c>
      <c r="M133" s="35">
        <f t="shared" si="37"/>
        <v>9939.7224420285893</v>
      </c>
      <c r="N133" s="35">
        <f t="shared" si="37"/>
        <v>10310.271469389618</v>
      </c>
      <c r="O133" s="35">
        <f t="shared" si="37"/>
        <v>10414.476616203403</v>
      </c>
      <c r="P133" s="35">
        <f t="shared" si="37"/>
        <v>10552.450127735256</v>
      </c>
      <c r="Q133" s="35">
        <f t="shared" si="37"/>
        <v>10652.898101122888</v>
      </c>
      <c r="R133" s="35">
        <f t="shared" si="37"/>
        <v>10595.708637272766</v>
      </c>
      <c r="S133" s="35">
        <f t="shared" si="36"/>
        <v>10375.34252260738</v>
      </c>
      <c r="T133" s="35">
        <f t="shared" si="36"/>
        <v>9875.8205826288868</v>
      </c>
      <c r="U133" s="35">
        <f t="shared" si="36"/>
        <v>0</v>
      </c>
      <c r="V133" s="35">
        <f t="shared" si="36"/>
        <v>0</v>
      </c>
      <c r="W133" s="35">
        <f t="shared" si="36"/>
        <v>0</v>
      </c>
      <c r="X133" s="35">
        <f t="shared" si="36"/>
        <v>0</v>
      </c>
      <c r="Y133" s="35">
        <f t="shared" si="36"/>
        <v>0</v>
      </c>
      <c r="Z133" s="35">
        <f t="shared" si="36"/>
        <v>0</v>
      </c>
      <c r="AA133" s="35">
        <f t="shared" si="34"/>
        <v>99999.999999999985</v>
      </c>
      <c r="AB133" s="28">
        <f t="shared" si="35"/>
        <v>30</v>
      </c>
      <c r="AC133" s="29">
        <f t="shared" si="21"/>
        <v>3000000</v>
      </c>
      <c r="AD133" s="61"/>
      <c r="AE133" s="45"/>
    </row>
    <row r="134" spans="1:31" ht="15">
      <c r="A134" s="23">
        <f t="shared" si="33"/>
        <v>2036</v>
      </c>
      <c r="B134" s="27">
        <v>49857</v>
      </c>
      <c r="C134" s="35">
        <f t="shared" si="37"/>
        <v>0</v>
      </c>
      <c r="D134" s="35">
        <f t="shared" si="37"/>
        <v>0</v>
      </c>
      <c r="E134" s="35">
        <f t="shared" si="37"/>
        <v>0</v>
      </c>
      <c r="F134" s="35">
        <f t="shared" si="37"/>
        <v>0</v>
      </c>
      <c r="G134" s="35">
        <f t="shared" si="37"/>
        <v>0</v>
      </c>
      <c r="H134" s="35">
        <f t="shared" si="37"/>
        <v>0</v>
      </c>
      <c r="I134" s="35">
        <f t="shared" si="37"/>
        <v>0</v>
      </c>
      <c r="J134" s="35">
        <f t="shared" si="37"/>
        <v>0</v>
      </c>
      <c r="K134" s="35">
        <f t="shared" si="37"/>
        <v>8225.1751504185449</v>
      </c>
      <c r="L134" s="35">
        <f t="shared" si="37"/>
        <v>9058.1343505926634</v>
      </c>
      <c r="M134" s="35">
        <f t="shared" si="37"/>
        <v>9939.7224420285893</v>
      </c>
      <c r="N134" s="35">
        <f t="shared" si="37"/>
        <v>10310.271469389618</v>
      </c>
      <c r="O134" s="35">
        <f t="shared" si="37"/>
        <v>10414.476616203403</v>
      </c>
      <c r="P134" s="35">
        <f t="shared" si="37"/>
        <v>10552.450127735256</v>
      </c>
      <c r="Q134" s="35">
        <f t="shared" si="37"/>
        <v>10652.898101122888</v>
      </c>
      <c r="R134" s="35">
        <f t="shared" si="37"/>
        <v>10595.708637272766</v>
      </c>
      <c r="S134" s="35">
        <f t="shared" si="36"/>
        <v>10375.34252260738</v>
      </c>
      <c r="T134" s="35">
        <f t="shared" si="36"/>
        <v>9875.8205826288868</v>
      </c>
      <c r="U134" s="35">
        <f t="shared" si="36"/>
        <v>0</v>
      </c>
      <c r="V134" s="35">
        <f t="shared" si="36"/>
        <v>0</v>
      </c>
      <c r="W134" s="35">
        <f t="shared" si="36"/>
        <v>0</v>
      </c>
      <c r="X134" s="35">
        <f t="shared" si="36"/>
        <v>0</v>
      </c>
      <c r="Y134" s="35">
        <f t="shared" si="36"/>
        <v>0</v>
      </c>
      <c r="Z134" s="35">
        <f t="shared" si="36"/>
        <v>0</v>
      </c>
      <c r="AA134" s="35">
        <f t="shared" si="34"/>
        <v>99999.999999999985</v>
      </c>
      <c r="AB134" s="28">
        <f t="shared" si="35"/>
        <v>31</v>
      </c>
      <c r="AC134" s="29">
        <f t="shared" si="21"/>
        <v>3100000</v>
      </c>
      <c r="AD134" s="61"/>
      <c r="AE134" s="45"/>
    </row>
    <row r="135" spans="1:31" ht="15">
      <c r="A135" s="23">
        <f t="shared" si="33"/>
        <v>2036</v>
      </c>
      <c r="B135" s="27">
        <v>49888</v>
      </c>
      <c r="C135" s="35">
        <f t="shared" si="37"/>
        <v>0</v>
      </c>
      <c r="D135" s="35">
        <f t="shared" si="37"/>
        <v>0</v>
      </c>
      <c r="E135" s="35">
        <f t="shared" si="37"/>
        <v>0</v>
      </c>
      <c r="F135" s="35">
        <f t="shared" si="37"/>
        <v>0</v>
      </c>
      <c r="G135" s="35">
        <f t="shared" si="37"/>
        <v>0</v>
      </c>
      <c r="H135" s="35">
        <f t="shared" si="37"/>
        <v>0</v>
      </c>
      <c r="I135" s="35">
        <f t="shared" si="37"/>
        <v>0</v>
      </c>
      <c r="J135" s="35">
        <f t="shared" si="37"/>
        <v>0</v>
      </c>
      <c r="K135" s="35">
        <f t="shared" si="37"/>
        <v>8225.1751504185449</v>
      </c>
      <c r="L135" s="35">
        <f t="shared" si="37"/>
        <v>9058.1343505926634</v>
      </c>
      <c r="M135" s="35">
        <f t="shared" si="37"/>
        <v>9939.7224420285893</v>
      </c>
      <c r="N135" s="35">
        <f t="shared" si="37"/>
        <v>10310.271469389618</v>
      </c>
      <c r="O135" s="35">
        <f t="shared" si="37"/>
        <v>10414.476616203403</v>
      </c>
      <c r="P135" s="35">
        <f t="shared" si="37"/>
        <v>10552.450127735256</v>
      </c>
      <c r="Q135" s="35">
        <f t="shared" si="37"/>
        <v>10652.898101122888</v>
      </c>
      <c r="R135" s="35">
        <f t="shared" si="37"/>
        <v>10595.708637272766</v>
      </c>
      <c r="S135" s="35">
        <f t="shared" si="36"/>
        <v>10375.34252260738</v>
      </c>
      <c r="T135" s="35">
        <f t="shared" si="36"/>
        <v>9875.8205826288868</v>
      </c>
      <c r="U135" s="35">
        <f t="shared" si="36"/>
        <v>0</v>
      </c>
      <c r="V135" s="35">
        <f t="shared" si="36"/>
        <v>0</v>
      </c>
      <c r="W135" s="35">
        <f t="shared" si="36"/>
        <v>0</v>
      </c>
      <c r="X135" s="35">
        <f t="shared" si="36"/>
        <v>0</v>
      </c>
      <c r="Y135" s="35">
        <f t="shared" si="36"/>
        <v>0</v>
      </c>
      <c r="Z135" s="35">
        <f t="shared" si="36"/>
        <v>0</v>
      </c>
      <c r="AA135" s="35">
        <f t="shared" si="34"/>
        <v>99999.999999999985</v>
      </c>
      <c r="AB135" s="28">
        <f t="shared" si="35"/>
        <v>31</v>
      </c>
      <c r="AC135" s="29">
        <f t="shared" si="21"/>
        <v>3100000</v>
      </c>
      <c r="AD135" s="61"/>
      <c r="AE135" s="45"/>
    </row>
    <row r="136" spans="1:31" ht="15">
      <c r="A136" s="23">
        <f t="shared" si="33"/>
        <v>2036</v>
      </c>
      <c r="B136" s="27">
        <v>49919</v>
      </c>
      <c r="C136" s="35">
        <f t="shared" si="37"/>
        <v>0</v>
      </c>
      <c r="D136" s="35">
        <f t="shared" si="37"/>
        <v>0</v>
      </c>
      <c r="E136" s="35">
        <f t="shared" si="37"/>
        <v>0</v>
      </c>
      <c r="F136" s="35">
        <f t="shared" si="37"/>
        <v>0</v>
      </c>
      <c r="G136" s="35">
        <f t="shared" si="37"/>
        <v>0</v>
      </c>
      <c r="H136" s="35">
        <f t="shared" si="37"/>
        <v>0</v>
      </c>
      <c r="I136" s="35">
        <f t="shared" si="37"/>
        <v>0</v>
      </c>
      <c r="J136" s="35">
        <f t="shared" si="37"/>
        <v>0</v>
      </c>
      <c r="K136" s="35">
        <f t="shared" si="37"/>
        <v>8225.1751504185449</v>
      </c>
      <c r="L136" s="35">
        <f t="shared" si="37"/>
        <v>9058.1343505926634</v>
      </c>
      <c r="M136" s="35">
        <f t="shared" si="37"/>
        <v>9939.7224420285893</v>
      </c>
      <c r="N136" s="35">
        <f t="shared" si="37"/>
        <v>10310.271469389618</v>
      </c>
      <c r="O136" s="35">
        <f t="shared" si="37"/>
        <v>10414.476616203403</v>
      </c>
      <c r="P136" s="35">
        <f t="shared" si="37"/>
        <v>10552.450127735256</v>
      </c>
      <c r="Q136" s="35">
        <f t="shared" si="37"/>
        <v>10652.898101122888</v>
      </c>
      <c r="R136" s="35">
        <f t="shared" si="37"/>
        <v>10595.708637272766</v>
      </c>
      <c r="S136" s="35">
        <f t="shared" si="36"/>
        <v>10375.34252260738</v>
      </c>
      <c r="T136" s="35">
        <f t="shared" si="36"/>
        <v>9875.8205826288868</v>
      </c>
      <c r="U136" s="35">
        <f t="shared" si="36"/>
        <v>0</v>
      </c>
      <c r="V136" s="35">
        <f t="shared" si="36"/>
        <v>0</v>
      </c>
      <c r="W136" s="35">
        <f t="shared" si="36"/>
        <v>0</v>
      </c>
      <c r="X136" s="35">
        <f t="shared" si="36"/>
        <v>0</v>
      </c>
      <c r="Y136" s="35">
        <f t="shared" si="36"/>
        <v>0</v>
      </c>
      <c r="Z136" s="35">
        <f t="shared" si="36"/>
        <v>0</v>
      </c>
      <c r="AA136" s="35">
        <f t="shared" si="34"/>
        <v>99999.999999999985</v>
      </c>
      <c r="AB136" s="28">
        <f t="shared" si="35"/>
        <v>30</v>
      </c>
      <c r="AC136" s="29">
        <f t="shared" si="21"/>
        <v>3000000</v>
      </c>
      <c r="AD136" s="61"/>
      <c r="AE136" s="45"/>
    </row>
    <row r="137" spans="1:31" ht="15">
      <c r="A137" s="23">
        <f t="shared" si="33"/>
        <v>2036</v>
      </c>
      <c r="B137" s="27">
        <v>49949</v>
      </c>
      <c r="C137" s="35">
        <f t="shared" si="37"/>
        <v>0</v>
      </c>
      <c r="D137" s="35">
        <f t="shared" si="37"/>
        <v>0</v>
      </c>
      <c r="E137" s="35">
        <f t="shared" si="37"/>
        <v>0</v>
      </c>
      <c r="F137" s="35">
        <f t="shared" si="37"/>
        <v>0</v>
      </c>
      <c r="G137" s="35">
        <f t="shared" si="37"/>
        <v>0</v>
      </c>
      <c r="H137" s="35">
        <f t="shared" si="37"/>
        <v>0</v>
      </c>
      <c r="I137" s="35">
        <f t="shared" si="37"/>
        <v>0</v>
      </c>
      <c r="J137" s="35">
        <f t="shared" si="37"/>
        <v>0</v>
      </c>
      <c r="K137" s="35">
        <f t="shared" si="37"/>
        <v>8225.1751504185449</v>
      </c>
      <c r="L137" s="35">
        <f t="shared" si="37"/>
        <v>9058.1343505926634</v>
      </c>
      <c r="M137" s="35">
        <f t="shared" si="37"/>
        <v>9939.7224420285893</v>
      </c>
      <c r="N137" s="35">
        <f t="shared" si="37"/>
        <v>10310.271469389618</v>
      </c>
      <c r="O137" s="35">
        <f t="shared" si="37"/>
        <v>10414.476616203403</v>
      </c>
      <c r="P137" s="35">
        <f t="shared" si="37"/>
        <v>10552.450127735256</v>
      </c>
      <c r="Q137" s="35">
        <f t="shared" si="37"/>
        <v>10652.898101122888</v>
      </c>
      <c r="R137" s="35">
        <f t="shared" si="37"/>
        <v>10595.708637272766</v>
      </c>
      <c r="S137" s="35">
        <f t="shared" si="36"/>
        <v>10375.34252260738</v>
      </c>
      <c r="T137" s="35">
        <f t="shared" si="36"/>
        <v>9875.8205826288868</v>
      </c>
      <c r="U137" s="35">
        <f t="shared" si="36"/>
        <v>0</v>
      </c>
      <c r="V137" s="35">
        <f t="shared" si="36"/>
        <v>0</v>
      </c>
      <c r="W137" s="35">
        <f t="shared" si="36"/>
        <v>0</v>
      </c>
      <c r="X137" s="35">
        <f t="shared" si="36"/>
        <v>0</v>
      </c>
      <c r="Y137" s="35">
        <f t="shared" si="36"/>
        <v>0</v>
      </c>
      <c r="Z137" s="35">
        <f t="shared" si="36"/>
        <v>0</v>
      </c>
      <c r="AA137" s="35">
        <f t="shared" si="34"/>
        <v>99999.999999999985</v>
      </c>
      <c r="AB137" s="28">
        <f t="shared" si="35"/>
        <v>31</v>
      </c>
      <c r="AC137" s="29">
        <f t="shared" ref="AC137:AC151" si="38">100000*AB137</f>
        <v>3100000</v>
      </c>
      <c r="AD137" s="61"/>
      <c r="AE137" s="45"/>
    </row>
    <row r="138" spans="1:31" ht="15">
      <c r="A138" s="23">
        <f t="shared" si="33"/>
        <v>2036</v>
      </c>
      <c r="B138" s="27">
        <v>49980</v>
      </c>
      <c r="C138" s="35">
        <f t="shared" si="37"/>
        <v>0</v>
      </c>
      <c r="D138" s="35">
        <f t="shared" si="37"/>
        <v>0</v>
      </c>
      <c r="E138" s="35">
        <f t="shared" si="37"/>
        <v>0</v>
      </c>
      <c r="F138" s="35">
        <f t="shared" si="37"/>
        <v>0</v>
      </c>
      <c r="G138" s="35">
        <f t="shared" si="37"/>
        <v>0</v>
      </c>
      <c r="H138" s="35">
        <f t="shared" si="37"/>
        <v>0</v>
      </c>
      <c r="I138" s="35">
        <f t="shared" si="37"/>
        <v>0</v>
      </c>
      <c r="J138" s="35">
        <f t="shared" si="37"/>
        <v>0</v>
      </c>
      <c r="K138" s="35">
        <f t="shared" si="37"/>
        <v>8225.1751504185449</v>
      </c>
      <c r="L138" s="35">
        <f t="shared" si="37"/>
        <v>9058.1343505926634</v>
      </c>
      <c r="M138" s="35">
        <f t="shared" si="37"/>
        <v>9939.7224420285893</v>
      </c>
      <c r="N138" s="35">
        <f t="shared" si="37"/>
        <v>10310.271469389618</v>
      </c>
      <c r="O138" s="35">
        <f t="shared" si="37"/>
        <v>10414.476616203403</v>
      </c>
      <c r="P138" s="35">
        <f t="shared" si="37"/>
        <v>10552.450127735256</v>
      </c>
      <c r="Q138" s="35">
        <f t="shared" si="37"/>
        <v>10652.898101122888</v>
      </c>
      <c r="R138" s="35">
        <f t="shared" si="37"/>
        <v>10595.708637272766</v>
      </c>
      <c r="S138" s="35">
        <f t="shared" si="36"/>
        <v>10375.34252260738</v>
      </c>
      <c r="T138" s="35">
        <f t="shared" si="36"/>
        <v>9875.8205826288868</v>
      </c>
      <c r="U138" s="35">
        <f t="shared" si="36"/>
        <v>0</v>
      </c>
      <c r="V138" s="35">
        <f t="shared" si="36"/>
        <v>0</v>
      </c>
      <c r="W138" s="35">
        <f t="shared" si="36"/>
        <v>0</v>
      </c>
      <c r="X138" s="35">
        <f t="shared" si="36"/>
        <v>0</v>
      </c>
      <c r="Y138" s="35">
        <f t="shared" si="36"/>
        <v>0</v>
      </c>
      <c r="Z138" s="35">
        <f t="shared" si="36"/>
        <v>0</v>
      </c>
      <c r="AA138" s="35">
        <f t="shared" si="34"/>
        <v>99999.999999999985</v>
      </c>
      <c r="AB138" s="28">
        <f t="shared" si="35"/>
        <v>30</v>
      </c>
      <c r="AC138" s="29">
        <f t="shared" si="38"/>
        <v>3000000</v>
      </c>
      <c r="AD138" s="61"/>
      <c r="AE138" s="45"/>
    </row>
    <row r="139" spans="1:31" ht="15">
      <c r="A139" s="23">
        <f t="shared" si="33"/>
        <v>2036</v>
      </c>
      <c r="B139" s="27">
        <v>50010</v>
      </c>
      <c r="C139" s="35">
        <f t="shared" si="37"/>
        <v>0</v>
      </c>
      <c r="D139" s="35">
        <f t="shared" si="37"/>
        <v>0</v>
      </c>
      <c r="E139" s="35">
        <f t="shared" si="37"/>
        <v>0</v>
      </c>
      <c r="F139" s="35">
        <f t="shared" si="37"/>
        <v>0</v>
      </c>
      <c r="G139" s="35">
        <f t="shared" si="37"/>
        <v>0</v>
      </c>
      <c r="H139" s="35">
        <f t="shared" si="37"/>
        <v>0</v>
      </c>
      <c r="I139" s="35">
        <f t="shared" si="37"/>
        <v>0</v>
      </c>
      <c r="J139" s="35">
        <f t="shared" si="37"/>
        <v>0</v>
      </c>
      <c r="K139" s="35">
        <f t="shared" si="37"/>
        <v>8225.1751504185449</v>
      </c>
      <c r="L139" s="35">
        <f t="shared" si="37"/>
        <v>9058.1343505926634</v>
      </c>
      <c r="M139" s="35">
        <f t="shared" si="37"/>
        <v>9939.7224420285893</v>
      </c>
      <c r="N139" s="35">
        <f t="shared" si="37"/>
        <v>10310.271469389618</v>
      </c>
      <c r="O139" s="35">
        <f t="shared" si="37"/>
        <v>10414.476616203403</v>
      </c>
      <c r="P139" s="35">
        <f t="shared" si="37"/>
        <v>10552.450127735256</v>
      </c>
      <c r="Q139" s="35">
        <f t="shared" si="37"/>
        <v>10652.898101122888</v>
      </c>
      <c r="R139" s="35">
        <f t="shared" si="37"/>
        <v>10595.708637272766</v>
      </c>
      <c r="S139" s="35">
        <f t="shared" si="36"/>
        <v>10375.34252260738</v>
      </c>
      <c r="T139" s="35">
        <f t="shared" si="36"/>
        <v>9875.8205826288868</v>
      </c>
      <c r="U139" s="35">
        <f t="shared" si="36"/>
        <v>0</v>
      </c>
      <c r="V139" s="35">
        <f t="shared" si="36"/>
        <v>0</v>
      </c>
      <c r="W139" s="35">
        <f t="shared" si="36"/>
        <v>0</v>
      </c>
      <c r="X139" s="35">
        <f t="shared" si="36"/>
        <v>0</v>
      </c>
      <c r="Y139" s="35">
        <f t="shared" si="36"/>
        <v>0</v>
      </c>
      <c r="Z139" s="35">
        <f t="shared" si="36"/>
        <v>0</v>
      </c>
      <c r="AA139" s="35">
        <f t="shared" si="34"/>
        <v>99999.999999999985</v>
      </c>
      <c r="AB139" s="28">
        <f t="shared" si="35"/>
        <v>31</v>
      </c>
      <c r="AC139" s="29">
        <f t="shared" si="38"/>
        <v>3100000</v>
      </c>
      <c r="AD139" s="61"/>
      <c r="AE139" s="45"/>
    </row>
    <row r="140" spans="1:31" ht="15">
      <c r="A140" s="23">
        <f t="shared" si="33"/>
        <v>2037</v>
      </c>
      <c r="B140" s="27">
        <v>50041</v>
      </c>
      <c r="C140" s="35">
        <f t="shared" si="37"/>
        <v>0</v>
      </c>
      <c r="D140" s="35">
        <f t="shared" si="37"/>
        <v>0</v>
      </c>
      <c r="E140" s="35">
        <f t="shared" si="37"/>
        <v>0</v>
      </c>
      <c r="F140" s="35">
        <f t="shared" si="37"/>
        <v>0</v>
      </c>
      <c r="G140" s="35">
        <f t="shared" si="37"/>
        <v>0</v>
      </c>
      <c r="H140" s="35">
        <f t="shared" si="37"/>
        <v>0</v>
      </c>
      <c r="I140" s="35">
        <f t="shared" si="37"/>
        <v>0</v>
      </c>
      <c r="J140" s="35">
        <f t="shared" si="37"/>
        <v>0</v>
      </c>
      <c r="K140" s="35">
        <f t="shared" si="37"/>
        <v>8225.1751504185449</v>
      </c>
      <c r="L140" s="35">
        <f t="shared" si="37"/>
        <v>9058.1343505926634</v>
      </c>
      <c r="M140" s="35">
        <f t="shared" si="37"/>
        <v>9939.7224420285893</v>
      </c>
      <c r="N140" s="35">
        <f t="shared" si="37"/>
        <v>10310.271469389618</v>
      </c>
      <c r="O140" s="35">
        <f t="shared" si="37"/>
        <v>10414.476616203403</v>
      </c>
      <c r="P140" s="35">
        <f t="shared" si="37"/>
        <v>10552.450127735256</v>
      </c>
      <c r="Q140" s="35">
        <f t="shared" si="37"/>
        <v>10652.898101122888</v>
      </c>
      <c r="R140" s="35">
        <f t="shared" si="37"/>
        <v>10595.708637272766</v>
      </c>
      <c r="S140" s="35">
        <f t="shared" si="36"/>
        <v>10375.34252260738</v>
      </c>
      <c r="T140" s="35">
        <f t="shared" si="36"/>
        <v>9875.8205826288868</v>
      </c>
      <c r="U140" s="35">
        <f t="shared" si="36"/>
        <v>0</v>
      </c>
      <c r="V140" s="35">
        <f t="shared" si="36"/>
        <v>0</v>
      </c>
      <c r="W140" s="35">
        <f t="shared" si="36"/>
        <v>0</v>
      </c>
      <c r="X140" s="35">
        <f t="shared" si="36"/>
        <v>0</v>
      </c>
      <c r="Y140" s="35">
        <f t="shared" si="36"/>
        <v>0</v>
      </c>
      <c r="Z140" s="35">
        <f t="shared" si="36"/>
        <v>0</v>
      </c>
      <c r="AA140" s="35">
        <f t="shared" si="34"/>
        <v>99999.999999999985</v>
      </c>
      <c r="AB140" s="28">
        <f t="shared" si="35"/>
        <v>31</v>
      </c>
      <c r="AC140" s="29">
        <f t="shared" si="38"/>
        <v>3100000</v>
      </c>
      <c r="AD140" s="61"/>
      <c r="AE140" s="45"/>
    </row>
    <row r="141" spans="1:31" ht="15">
      <c r="A141" s="23">
        <f t="shared" si="33"/>
        <v>2037</v>
      </c>
      <c r="B141" s="27">
        <v>50072</v>
      </c>
      <c r="C141" s="35">
        <f t="shared" si="37"/>
        <v>0</v>
      </c>
      <c r="D141" s="35">
        <f t="shared" si="37"/>
        <v>0</v>
      </c>
      <c r="E141" s="35">
        <f t="shared" si="37"/>
        <v>0</v>
      </c>
      <c r="F141" s="35">
        <f t="shared" si="37"/>
        <v>0</v>
      </c>
      <c r="G141" s="35">
        <f t="shared" si="37"/>
        <v>0</v>
      </c>
      <c r="H141" s="35">
        <f t="shared" si="37"/>
        <v>0</v>
      </c>
      <c r="I141" s="35">
        <f t="shared" si="37"/>
        <v>0</v>
      </c>
      <c r="J141" s="35">
        <f t="shared" si="37"/>
        <v>0</v>
      </c>
      <c r="K141" s="35">
        <f t="shared" si="37"/>
        <v>8225.1751504185449</v>
      </c>
      <c r="L141" s="35">
        <f t="shared" si="37"/>
        <v>9058.1343505926634</v>
      </c>
      <c r="M141" s="35">
        <f t="shared" si="37"/>
        <v>9939.7224420285893</v>
      </c>
      <c r="N141" s="35">
        <f t="shared" si="37"/>
        <v>10310.271469389618</v>
      </c>
      <c r="O141" s="35">
        <f t="shared" si="37"/>
        <v>10414.476616203403</v>
      </c>
      <c r="P141" s="35">
        <f t="shared" si="37"/>
        <v>10552.450127735256</v>
      </c>
      <c r="Q141" s="35">
        <f t="shared" si="37"/>
        <v>10652.898101122888</v>
      </c>
      <c r="R141" s="35">
        <f t="shared" si="37"/>
        <v>10595.708637272766</v>
      </c>
      <c r="S141" s="35">
        <f t="shared" si="36"/>
        <v>10375.34252260738</v>
      </c>
      <c r="T141" s="35">
        <f t="shared" si="36"/>
        <v>9875.8205826288868</v>
      </c>
      <c r="U141" s="35">
        <f t="shared" si="36"/>
        <v>0</v>
      </c>
      <c r="V141" s="35">
        <f t="shared" si="36"/>
        <v>0</v>
      </c>
      <c r="W141" s="35">
        <f t="shared" si="36"/>
        <v>0</v>
      </c>
      <c r="X141" s="35">
        <f t="shared" si="36"/>
        <v>0</v>
      </c>
      <c r="Y141" s="35">
        <f t="shared" si="36"/>
        <v>0</v>
      </c>
      <c r="Z141" s="35">
        <f t="shared" si="36"/>
        <v>0</v>
      </c>
      <c r="AA141" s="35">
        <f t="shared" si="34"/>
        <v>99999.999999999985</v>
      </c>
      <c r="AB141" s="28">
        <f t="shared" si="35"/>
        <v>28</v>
      </c>
      <c r="AC141" s="29">
        <f t="shared" si="38"/>
        <v>2800000</v>
      </c>
      <c r="AD141" s="61"/>
      <c r="AE141" s="45"/>
    </row>
    <row r="142" spans="1:31" ht="15">
      <c r="A142" s="23">
        <f t="shared" si="33"/>
        <v>2037</v>
      </c>
      <c r="B142" s="27">
        <v>50100</v>
      </c>
      <c r="C142" s="35">
        <f t="shared" si="37"/>
        <v>0</v>
      </c>
      <c r="D142" s="35">
        <f t="shared" si="37"/>
        <v>0</v>
      </c>
      <c r="E142" s="35">
        <f t="shared" si="37"/>
        <v>0</v>
      </c>
      <c r="F142" s="35">
        <f t="shared" si="37"/>
        <v>0</v>
      </c>
      <c r="G142" s="35">
        <f t="shared" si="37"/>
        <v>0</v>
      </c>
      <c r="H142" s="35">
        <f t="shared" si="37"/>
        <v>0</v>
      </c>
      <c r="I142" s="35">
        <f t="shared" si="37"/>
        <v>0</v>
      </c>
      <c r="J142" s="35">
        <f t="shared" si="37"/>
        <v>0</v>
      </c>
      <c r="K142" s="35">
        <f t="shared" si="37"/>
        <v>8225.1751504185449</v>
      </c>
      <c r="L142" s="35">
        <f t="shared" si="37"/>
        <v>9058.1343505926634</v>
      </c>
      <c r="M142" s="35">
        <f t="shared" si="37"/>
        <v>9939.7224420285893</v>
      </c>
      <c r="N142" s="35">
        <f t="shared" si="37"/>
        <v>10310.271469389618</v>
      </c>
      <c r="O142" s="35">
        <f t="shared" si="37"/>
        <v>10414.476616203403</v>
      </c>
      <c r="P142" s="35">
        <f t="shared" si="37"/>
        <v>10552.450127735256</v>
      </c>
      <c r="Q142" s="35">
        <f t="shared" si="37"/>
        <v>10652.898101122888</v>
      </c>
      <c r="R142" s="35">
        <f t="shared" si="37"/>
        <v>10595.708637272766</v>
      </c>
      <c r="S142" s="35">
        <f t="shared" si="36"/>
        <v>10375.34252260738</v>
      </c>
      <c r="T142" s="35">
        <f t="shared" si="36"/>
        <v>9875.8205826288868</v>
      </c>
      <c r="U142" s="35">
        <f t="shared" si="36"/>
        <v>0</v>
      </c>
      <c r="V142" s="35">
        <f t="shared" si="36"/>
        <v>0</v>
      </c>
      <c r="W142" s="35">
        <f t="shared" si="36"/>
        <v>0</v>
      </c>
      <c r="X142" s="35">
        <f t="shared" si="36"/>
        <v>0</v>
      </c>
      <c r="Y142" s="35">
        <f t="shared" si="36"/>
        <v>0</v>
      </c>
      <c r="Z142" s="35">
        <f t="shared" si="36"/>
        <v>0</v>
      </c>
      <c r="AA142" s="35">
        <f t="shared" si="34"/>
        <v>99999.999999999985</v>
      </c>
      <c r="AB142" s="28">
        <f t="shared" si="35"/>
        <v>31</v>
      </c>
      <c r="AC142" s="29">
        <f t="shared" si="38"/>
        <v>3100000</v>
      </c>
      <c r="AD142" s="61"/>
      <c r="AE142" s="45"/>
    </row>
    <row r="143" spans="1:31" ht="15">
      <c r="A143" s="23">
        <f t="shared" si="33"/>
        <v>2037</v>
      </c>
      <c r="B143" s="27">
        <v>50131</v>
      </c>
      <c r="C143" s="35">
        <f t="shared" si="37"/>
        <v>0</v>
      </c>
      <c r="D143" s="35">
        <f t="shared" si="37"/>
        <v>0</v>
      </c>
      <c r="E143" s="35">
        <f t="shared" si="37"/>
        <v>0</v>
      </c>
      <c r="F143" s="35">
        <f t="shared" si="37"/>
        <v>0</v>
      </c>
      <c r="G143" s="35">
        <f t="shared" si="37"/>
        <v>0</v>
      </c>
      <c r="H143" s="35">
        <f t="shared" si="37"/>
        <v>0</v>
      </c>
      <c r="I143" s="35">
        <f t="shared" si="37"/>
        <v>0</v>
      </c>
      <c r="J143" s="35">
        <f t="shared" si="37"/>
        <v>0</v>
      </c>
      <c r="K143" s="35">
        <f t="shared" si="37"/>
        <v>8225.1751504185449</v>
      </c>
      <c r="L143" s="35">
        <f t="shared" si="37"/>
        <v>9058.1343505926634</v>
      </c>
      <c r="M143" s="35">
        <f t="shared" si="37"/>
        <v>9939.7224420285893</v>
      </c>
      <c r="N143" s="35">
        <f t="shared" si="37"/>
        <v>10310.271469389618</v>
      </c>
      <c r="O143" s="35">
        <f t="shared" si="37"/>
        <v>10414.476616203403</v>
      </c>
      <c r="P143" s="35">
        <f t="shared" si="37"/>
        <v>10552.450127735256</v>
      </c>
      <c r="Q143" s="35">
        <f t="shared" si="37"/>
        <v>10652.898101122888</v>
      </c>
      <c r="R143" s="35">
        <f t="shared" si="37"/>
        <v>10595.708637272766</v>
      </c>
      <c r="S143" s="35">
        <f t="shared" si="36"/>
        <v>10375.34252260738</v>
      </c>
      <c r="T143" s="35">
        <f t="shared" si="36"/>
        <v>9875.8205826288868</v>
      </c>
      <c r="U143" s="35">
        <f t="shared" si="36"/>
        <v>0</v>
      </c>
      <c r="V143" s="35">
        <f t="shared" si="36"/>
        <v>0</v>
      </c>
      <c r="W143" s="35">
        <f t="shared" si="36"/>
        <v>0</v>
      </c>
      <c r="X143" s="35">
        <f t="shared" si="36"/>
        <v>0</v>
      </c>
      <c r="Y143" s="35">
        <f t="shared" si="36"/>
        <v>0</v>
      </c>
      <c r="Z143" s="35">
        <f t="shared" si="36"/>
        <v>0</v>
      </c>
      <c r="AA143" s="35">
        <f t="shared" si="34"/>
        <v>99999.999999999985</v>
      </c>
      <c r="AB143" s="28">
        <f t="shared" si="35"/>
        <v>30</v>
      </c>
      <c r="AC143" s="29">
        <f t="shared" si="38"/>
        <v>3000000</v>
      </c>
      <c r="AD143" s="61"/>
      <c r="AE143" s="45"/>
    </row>
    <row r="144" spans="1:31" ht="15">
      <c r="A144" s="23">
        <f t="shared" si="33"/>
        <v>2037</v>
      </c>
      <c r="B144" s="27">
        <v>50161</v>
      </c>
      <c r="C144" s="35">
        <f t="shared" si="37"/>
        <v>0</v>
      </c>
      <c r="D144" s="35">
        <f t="shared" si="37"/>
        <v>0</v>
      </c>
      <c r="E144" s="35">
        <f t="shared" si="37"/>
        <v>0</v>
      </c>
      <c r="F144" s="35">
        <f t="shared" si="37"/>
        <v>0</v>
      </c>
      <c r="G144" s="35">
        <f t="shared" si="37"/>
        <v>0</v>
      </c>
      <c r="H144" s="35">
        <f t="shared" si="37"/>
        <v>0</v>
      </c>
      <c r="I144" s="35">
        <f t="shared" si="37"/>
        <v>0</v>
      </c>
      <c r="J144" s="35">
        <f t="shared" si="37"/>
        <v>0</v>
      </c>
      <c r="K144" s="35">
        <f t="shared" si="37"/>
        <v>8225.1751504185449</v>
      </c>
      <c r="L144" s="35">
        <f t="shared" si="37"/>
        <v>9058.1343505926634</v>
      </c>
      <c r="M144" s="35">
        <f t="shared" si="37"/>
        <v>9939.7224420285893</v>
      </c>
      <c r="N144" s="35">
        <f t="shared" si="37"/>
        <v>10310.271469389618</v>
      </c>
      <c r="O144" s="35">
        <f t="shared" si="37"/>
        <v>10414.476616203403</v>
      </c>
      <c r="P144" s="35">
        <f t="shared" si="37"/>
        <v>10552.450127735256</v>
      </c>
      <c r="Q144" s="35">
        <f t="shared" si="37"/>
        <v>10652.898101122888</v>
      </c>
      <c r="R144" s="35">
        <f t="shared" si="37"/>
        <v>10595.708637272766</v>
      </c>
      <c r="S144" s="35">
        <f t="shared" si="36"/>
        <v>10375.34252260738</v>
      </c>
      <c r="T144" s="35">
        <f t="shared" si="36"/>
        <v>9875.8205826288868</v>
      </c>
      <c r="U144" s="35">
        <f t="shared" si="36"/>
        <v>0</v>
      </c>
      <c r="V144" s="35">
        <f t="shared" si="36"/>
        <v>0</v>
      </c>
      <c r="W144" s="35">
        <f t="shared" si="36"/>
        <v>0</v>
      </c>
      <c r="X144" s="35">
        <f t="shared" si="36"/>
        <v>0</v>
      </c>
      <c r="Y144" s="35">
        <f t="shared" si="36"/>
        <v>0</v>
      </c>
      <c r="Z144" s="35">
        <f t="shared" si="36"/>
        <v>0</v>
      </c>
      <c r="AA144" s="35">
        <f t="shared" si="34"/>
        <v>99999.999999999985</v>
      </c>
      <c r="AB144" s="28">
        <f t="shared" si="35"/>
        <v>31</v>
      </c>
      <c r="AC144" s="29">
        <f t="shared" si="38"/>
        <v>3100000</v>
      </c>
      <c r="AD144" s="61"/>
      <c r="AE144" s="45"/>
    </row>
    <row r="145" spans="1:31" ht="15">
      <c r="A145" s="23">
        <f t="shared" si="33"/>
        <v>2037</v>
      </c>
      <c r="B145" s="27">
        <v>50192</v>
      </c>
      <c r="C145" s="35">
        <f t="shared" si="37"/>
        <v>0</v>
      </c>
      <c r="D145" s="35">
        <f t="shared" si="37"/>
        <v>0</v>
      </c>
      <c r="E145" s="35">
        <f t="shared" si="37"/>
        <v>0</v>
      </c>
      <c r="F145" s="35">
        <f t="shared" si="37"/>
        <v>0</v>
      </c>
      <c r="G145" s="35">
        <f t="shared" si="37"/>
        <v>0</v>
      </c>
      <c r="H145" s="35">
        <f t="shared" si="37"/>
        <v>0</v>
      </c>
      <c r="I145" s="35">
        <f t="shared" si="37"/>
        <v>0</v>
      </c>
      <c r="J145" s="35">
        <f t="shared" si="37"/>
        <v>0</v>
      </c>
      <c r="K145" s="35">
        <f t="shared" si="37"/>
        <v>8225.1751504185449</v>
      </c>
      <c r="L145" s="35">
        <f t="shared" si="37"/>
        <v>9058.1343505926634</v>
      </c>
      <c r="M145" s="35">
        <f t="shared" si="37"/>
        <v>9939.7224420285893</v>
      </c>
      <c r="N145" s="35">
        <f t="shared" si="37"/>
        <v>10310.271469389618</v>
      </c>
      <c r="O145" s="35">
        <f t="shared" si="37"/>
        <v>10414.476616203403</v>
      </c>
      <c r="P145" s="35">
        <f t="shared" si="37"/>
        <v>10552.450127735256</v>
      </c>
      <c r="Q145" s="35">
        <f t="shared" si="37"/>
        <v>10652.898101122888</v>
      </c>
      <c r="R145" s="35">
        <f t="shared" si="37"/>
        <v>10595.708637272766</v>
      </c>
      <c r="S145" s="35">
        <f t="shared" si="36"/>
        <v>10375.34252260738</v>
      </c>
      <c r="T145" s="35">
        <f t="shared" si="36"/>
        <v>9875.8205826288868</v>
      </c>
      <c r="U145" s="35">
        <f t="shared" si="36"/>
        <v>0</v>
      </c>
      <c r="V145" s="35">
        <f t="shared" si="36"/>
        <v>0</v>
      </c>
      <c r="W145" s="35">
        <f t="shared" si="36"/>
        <v>0</v>
      </c>
      <c r="X145" s="35">
        <f t="shared" si="36"/>
        <v>0</v>
      </c>
      <c r="Y145" s="35">
        <f t="shared" si="36"/>
        <v>0</v>
      </c>
      <c r="Z145" s="35">
        <f t="shared" si="36"/>
        <v>0</v>
      </c>
      <c r="AA145" s="35">
        <f t="shared" si="34"/>
        <v>99999.999999999985</v>
      </c>
      <c r="AB145" s="28">
        <f t="shared" si="35"/>
        <v>30</v>
      </c>
      <c r="AC145" s="29">
        <f t="shared" si="38"/>
        <v>3000000</v>
      </c>
      <c r="AD145" s="61"/>
      <c r="AE145" s="45"/>
    </row>
    <row r="146" spans="1:31" ht="15">
      <c r="A146" s="23">
        <f t="shared" si="33"/>
        <v>2037</v>
      </c>
      <c r="B146" s="27">
        <v>50222</v>
      </c>
      <c r="C146" s="35">
        <f t="shared" si="37"/>
        <v>0</v>
      </c>
      <c r="D146" s="35">
        <f t="shared" si="37"/>
        <v>0</v>
      </c>
      <c r="E146" s="35">
        <f t="shared" si="37"/>
        <v>0</v>
      </c>
      <c r="F146" s="35">
        <f t="shared" si="37"/>
        <v>0</v>
      </c>
      <c r="G146" s="35">
        <f t="shared" si="37"/>
        <v>0</v>
      </c>
      <c r="H146" s="35">
        <f t="shared" si="37"/>
        <v>0</v>
      </c>
      <c r="I146" s="35">
        <f t="shared" si="37"/>
        <v>0</v>
      </c>
      <c r="J146" s="35">
        <f t="shared" si="37"/>
        <v>0</v>
      </c>
      <c r="K146" s="35">
        <f t="shared" si="37"/>
        <v>8225.1751504185449</v>
      </c>
      <c r="L146" s="35">
        <f t="shared" si="37"/>
        <v>9058.1343505926634</v>
      </c>
      <c r="M146" s="35">
        <f t="shared" si="37"/>
        <v>9939.7224420285893</v>
      </c>
      <c r="N146" s="35">
        <f t="shared" si="37"/>
        <v>10310.271469389618</v>
      </c>
      <c r="O146" s="35">
        <f t="shared" si="37"/>
        <v>10414.476616203403</v>
      </c>
      <c r="P146" s="35">
        <f t="shared" si="37"/>
        <v>10552.450127735256</v>
      </c>
      <c r="Q146" s="35">
        <f t="shared" si="37"/>
        <v>10652.898101122888</v>
      </c>
      <c r="R146" s="35">
        <f t="shared" ref="R146:Z151" si="39">IF(AND(COLUMN()&gt;=11,COLUMN()&lt;=20),($AC146/$AB146)*R$5,0)</f>
        <v>10595.708637272766</v>
      </c>
      <c r="S146" s="35">
        <f t="shared" si="39"/>
        <v>10375.34252260738</v>
      </c>
      <c r="T146" s="35">
        <f t="shared" si="39"/>
        <v>9875.8205826288868</v>
      </c>
      <c r="U146" s="35">
        <f t="shared" si="39"/>
        <v>0</v>
      </c>
      <c r="V146" s="35">
        <f t="shared" si="39"/>
        <v>0</v>
      </c>
      <c r="W146" s="35">
        <f t="shared" si="39"/>
        <v>0</v>
      </c>
      <c r="X146" s="35">
        <f t="shared" si="39"/>
        <v>0</v>
      </c>
      <c r="Y146" s="35">
        <f t="shared" si="39"/>
        <v>0</v>
      </c>
      <c r="Z146" s="35">
        <f t="shared" si="39"/>
        <v>0</v>
      </c>
      <c r="AA146" s="35">
        <f t="shared" si="34"/>
        <v>99999.999999999985</v>
      </c>
      <c r="AB146" s="28">
        <f t="shared" si="35"/>
        <v>31</v>
      </c>
      <c r="AC146" s="29">
        <f t="shared" si="38"/>
        <v>3100000</v>
      </c>
      <c r="AD146" s="61"/>
      <c r="AE146" s="45"/>
    </row>
    <row r="147" spans="1:31" ht="15">
      <c r="A147" s="23">
        <f t="shared" si="33"/>
        <v>2037</v>
      </c>
      <c r="B147" s="27">
        <v>50253</v>
      </c>
      <c r="C147" s="35">
        <f t="shared" ref="C147:R151" si="40">IF(AND(COLUMN()&gt;=11,COLUMN()&lt;=20),($AC147/$AB147)*C$5,0)</f>
        <v>0</v>
      </c>
      <c r="D147" s="35">
        <f t="shared" si="40"/>
        <v>0</v>
      </c>
      <c r="E147" s="35">
        <f t="shared" si="40"/>
        <v>0</v>
      </c>
      <c r="F147" s="35">
        <f t="shared" si="40"/>
        <v>0</v>
      </c>
      <c r="G147" s="35">
        <f t="shared" si="40"/>
        <v>0</v>
      </c>
      <c r="H147" s="35">
        <f t="shared" si="40"/>
        <v>0</v>
      </c>
      <c r="I147" s="35">
        <f t="shared" si="40"/>
        <v>0</v>
      </c>
      <c r="J147" s="35">
        <f t="shared" si="40"/>
        <v>0</v>
      </c>
      <c r="K147" s="35">
        <f t="shared" si="40"/>
        <v>8225.1751504185449</v>
      </c>
      <c r="L147" s="35">
        <f t="shared" si="40"/>
        <v>9058.1343505926634</v>
      </c>
      <c r="M147" s="35">
        <f t="shared" si="40"/>
        <v>9939.7224420285893</v>
      </c>
      <c r="N147" s="35">
        <f t="shared" si="40"/>
        <v>10310.271469389618</v>
      </c>
      <c r="O147" s="35">
        <f t="shared" si="40"/>
        <v>10414.476616203403</v>
      </c>
      <c r="P147" s="35">
        <f t="shared" si="40"/>
        <v>10552.450127735256</v>
      </c>
      <c r="Q147" s="35">
        <f t="shared" si="40"/>
        <v>10652.898101122888</v>
      </c>
      <c r="R147" s="35">
        <f t="shared" si="40"/>
        <v>10595.708637272766</v>
      </c>
      <c r="S147" s="35">
        <f t="shared" si="39"/>
        <v>10375.34252260738</v>
      </c>
      <c r="T147" s="35">
        <f t="shared" si="39"/>
        <v>9875.8205826288868</v>
      </c>
      <c r="U147" s="35">
        <f t="shared" si="39"/>
        <v>0</v>
      </c>
      <c r="V147" s="35">
        <f t="shared" si="39"/>
        <v>0</v>
      </c>
      <c r="W147" s="35">
        <f t="shared" si="39"/>
        <v>0</v>
      </c>
      <c r="X147" s="35">
        <f t="shared" si="39"/>
        <v>0</v>
      </c>
      <c r="Y147" s="35">
        <f t="shared" si="39"/>
        <v>0</v>
      </c>
      <c r="Z147" s="35">
        <f t="shared" si="39"/>
        <v>0</v>
      </c>
      <c r="AA147" s="35">
        <f t="shared" si="34"/>
        <v>99999.999999999985</v>
      </c>
      <c r="AB147" s="28">
        <f t="shared" si="35"/>
        <v>31</v>
      </c>
      <c r="AC147" s="29">
        <f t="shared" si="38"/>
        <v>3100000</v>
      </c>
      <c r="AD147" s="61"/>
      <c r="AE147" s="45"/>
    </row>
    <row r="148" spans="1:31" ht="15">
      <c r="A148" s="23">
        <f t="shared" si="33"/>
        <v>2037</v>
      </c>
      <c r="B148" s="27">
        <v>50284</v>
      </c>
      <c r="C148" s="35">
        <f t="shared" si="40"/>
        <v>0</v>
      </c>
      <c r="D148" s="35">
        <f t="shared" si="40"/>
        <v>0</v>
      </c>
      <c r="E148" s="35">
        <f t="shared" si="40"/>
        <v>0</v>
      </c>
      <c r="F148" s="35">
        <f t="shared" si="40"/>
        <v>0</v>
      </c>
      <c r="G148" s="35">
        <f t="shared" si="40"/>
        <v>0</v>
      </c>
      <c r="H148" s="35">
        <f t="shared" si="40"/>
        <v>0</v>
      </c>
      <c r="I148" s="35">
        <f t="shared" si="40"/>
        <v>0</v>
      </c>
      <c r="J148" s="35">
        <f t="shared" si="40"/>
        <v>0</v>
      </c>
      <c r="K148" s="35">
        <f t="shared" si="40"/>
        <v>8225.1751504185449</v>
      </c>
      <c r="L148" s="35">
        <f t="shared" si="40"/>
        <v>9058.1343505926634</v>
      </c>
      <c r="M148" s="35">
        <f t="shared" si="40"/>
        <v>9939.7224420285893</v>
      </c>
      <c r="N148" s="35">
        <f t="shared" si="40"/>
        <v>10310.271469389618</v>
      </c>
      <c r="O148" s="35">
        <f t="shared" si="40"/>
        <v>10414.476616203403</v>
      </c>
      <c r="P148" s="35">
        <f t="shared" si="40"/>
        <v>10552.450127735256</v>
      </c>
      <c r="Q148" s="35">
        <f t="shared" si="40"/>
        <v>10652.898101122888</v>
      </c>
      <c r="R148" s="35">
        <f t="shared" si="40"/>
        <v>10595.708637272766</v>
      </c>
      <c r="S148" s="35">
        <f t="shared" si="39"/>
        <v>10375.34252260738</v>
      </c>
      <c r="T148" s="35">
        <f t="shared" si="39"/>
        <v>9875.8205826288868</v>
      </c>
      <c r="U148" s="35">
        <f t="shared" si="39"/>
        <v>0</v>
      </c>
      <c r="V148" s="35">
        <f t="shared" si="39"/>
        <v>0</v>
      </c>
      <c r="W148" s="35">
        <f t="shared" si="39"/>
        <v>0</v>
      </c>
      <c r="X148" s="35">
        <f t="shared" si="39"/>
        <v>0</v>
      </c>
      <c r="Y148" s="35">
        <f t="shared" si="39"/>
        <v>0</v>
      </c>
      <c r="Z148" s="35">
        <f t="shared" si="39"/>
        <v>0</v>
      </c>
      <c r="AA148" s="35">
        <f t="shared" si="34"/>
        <v>99999.999999999985</v>
      </c>
      <c r="AB148" s="28">
        <f t="shared" si="35"/>
        <v>30</v>
      </c>
      <c r="AC148" s="29">
        <f t="shared" si="38"/>
        <v>3000000</v>
      </c>
      <c r="AD148" s="61"/>
      <c r="AE148" s="45"/>
    </row>
    <row r="149" spans="1:31" ht="15">
      <c r="A149" s="23">
        <f t="shared" si="33"/>
        <v>2037</v>
      </c>
      <c r="B149" s="27">
        <v>50314</v>
      </c>
      <c r="C149" s="35">
        <f t="shared" si="40"/>
        <v>0</v>
      </c>
      <c r="D149" s="35">
        <f t="shared" si="40"/>
        <v>0</v>
      </c>
      <c r="E149" s="35">
        <f t="shared" si="40"/>
        <v>0</v>
      </c>
      <c r="F149" s="35">
        <f t="shared" si="40"/>
        <v>0</v>
      </c>
      <c r="G149" s="35">
        <f t="shared" si="40"/>
        <v>0</v>
      </c>
      <c r="H149" s="35">
        <f t="shared" si="40"/>
        <v>0</v>
      </c>
      <c r="I149" s="35">
        <f t="shared" si="40"/>
        <v>0</v>
      </c>
      <c r="J149" s="35">
        <f t="shared" si="40"/>
        <v>0</v>
      </c>
      <c r="K149" s="35">
        <f t="shared" si="40"/>
        <v>8225.1751504185449</v>
      </c>
      <c r="L149" s="35">
        <f t="shared" si="40"/>
        <v>9058.1343505926634</v>
      </c>
      <c r="M149" s="35">
        <f t="shared" si="40"/>
        <v>9939.7224420285893</v>
      </c>
      <c r="N149" s="35">
        <f t="shared" si="40"/>
        <v>10310.271469389618</v>
      </c>
      <c r="O149" s="35">
        <f t="shared" si="40"/>
        <v>10414.476616203403</v>
      </c>
      <c r="P149" s="35">
        <f t="shared" si="40"/>
        <v>10552.450127735256</v>
      </c>
      <c r="Q149" s="35">
        <f t="shared" si="40"/>
        <v>10652.898101122888</v>
      </c>
      <c r="R149" s="35">
        <f t="shared" si="40"/>
        <v>10595.708637272766</v>
      </c>
      <c r="S149" s="35">
        <f t="shared" si="39"/>
        <v>10375.34252260738</v>
      </c>
      <c r="T149" s="35">
        <f t="shared" si="39"/>
        <v>9875.8205826288868</v>
      </c>
      <c r="U149" s="35">
        <f t="shared" si="39"/>
        <v>0</v>
      </c>
      <c r="V149" s="35">
        <f t="shared" si="39"/>
        <v>0</v>
      </c>
      <c r="W149" s="35">
        <f t="shared" si="39"/>
        <v>0</v>
      </c>
      <c r="X149" s="35">
        <f t="shared" si="39"/>
        <v>0</v>
      </c>
      <c r="Y149" s="35">
        <f t="shared" si="39"/>
        <v>0</v>
      </c>
      <c r="Z149" s="35">
        <f t="shared" si="39"/>
        <v>0</v>
      </c>
      <c r="AA149" s="35">
        <f t="shared" si="34"/>
        <v>99999.999999999985</v>
      </c>
      <c r="AB149" s="28">
        <f t="shared" si="35"/>
        <v>31</v>
      </c>
      <c r="AC149" s="29">
        <f t="shared" si="38"/>
        <v>3100000</v>
      </c>
      <c r="AD149" s="61"/>
      <c r="AE149" s="45"/>
    </row>
    <row r="150" spans="1:31" ht="15">
      <c r="A150" s="23">
        <f t="shared" si="33"/>
        <v>2037</v>
      </c>
      <c r="B150" s="27">
        <v>50345</v>
      </c>
      <c r="C150" s="35">
        <f t="shared" si="40"/>
        <v>0</v>
      </c>
      <c r="D150" s="35">
        <f t="shared" si="40"/>
        <v>0</v>
      </c>
      <c r="E150" s="35">
        <f t="shared" si="40"/>
        <v>0</v>
      </c>
      <c r="F150" s="35">
        <f t="shared" si="40"/>
        <v>0</v>
      </c>
      <c r="G150" s="35">
        <f t="shared" si="40"/>
        <v>0</v>
      </c>
      <c r="H150" s="35">
        <f t="shared" si="40"/>
        <v>0</v>
      </c>
      <c r="I150" s="35">
        <f t="shared" si="40"/>
        <v>0</v>
      </c>
      <c r="J150" s="35">
        <f t="shared" si="40"/>
        <v>0</v>
      </c>
      <c r="K150" s="35">
        <f t="shared" si="40"/>
        <v>8225.1751504185449</v>
      </c>
      <c r="L150" s="35">
        <f t="shared" si="40"/>
        <v>9058.1343505926634</v>
      </c>
      <c r="M150" s="35">
        <f t="shared" si="40"/>
        <v>9939.7224420285893</v>
      </c>
      <c r="N150" s="35">
        <f t="shared" si="40"/>
        <v>10310.271469389618</v>
      </c>
      <c r="O150" s="35">
        <f t="shared" si="40"/>
        <v>10414.476616203403</v>
      </c>
      <c r="P150" s="35">
        <f t="shared" si="40"/>
        <v>10552.450127735256</v>
      </c>
      <c r="Q150" s="35">
        <f t="shared" si="40"/>
        <v>10652.898101122888</v>
      </c>
      <c r="R150" s="35">
        <f t="shared" si="40"/>
        <v>10595.708637272766</v>
      </c>
      <c r="S150" s="35">
        <f t="shared" si="39"/>
        <v>10375.34252260738</v>
      </c>
      <c r="T150" s="35">
        <f t="shared" si="39"/>
        <v>9875.8205826288868</v>
      </c>
      <c r="U150" s="35">
        <f t="shared" si="39"/>
        <v>0</v>
      </c>
      <c r="V150" s="35">
        <f t="shared" si="39"/>
        <v>0</v>
      </c>
      <c r="W150" s="35">
        <f t="shared" si="39"/>
        <v>0</v>
      </c>
      <c r="X150" s="35">
        <f t="shared" si="39"/>
        <v>0</v>
      </c>
      <c r="Y150" s="35">
        <f t="shared" si="39"/>
        <v>0</v>
      </c>
      <c r="Z150" s="35">
        <f t="shared" si="39"/>
        <v>0</v>
      </c>
      <c r="AA150" s="35">
        <f t="shared" si="34"/>
        <v>99999.999999999985</v>
      </c>
      <c r="AB150" s="28">
        <f t="shared" si="35"/>
        <v>30</v>
      </c>
      <c r="AC150" s="29">
        <f t="shared" si="38"/>
        <v>3000000</v>
      </c>
      <c r="AD150" s="61"/>
      <c r="AE150" s="45"/>
    </row>
    <row r="151" spans="1:31" ht="15">
      <c r="A151" s="23">
        <f t="shared" si="33"/>
        <v>2037</v>
      </c>
      <c r="B151" s="27">
        <v>50375</v>
      </c>
      <c r="C151" s="35">
        <f t="shared" si="40"/>
        <v>0</v>
      </c>
      <c r="D151" s="35">
        <f t="shared" si="40"/>
        <v>0</v>
      </c>
      <c r="E151" s="35">
        <f t="shared" si="40"/>
        <v>0</v>
      </c>
      <c r="F151" s="35">
        <f t="shared" si="40"/>
        <v>0</v>
      </c>
      <c r="G151" s="35">
        <f t="shared" si="40"/>
        <v>0</v>
      </c>
      <c r="H151" s="35">
        <f t="shared" si="40"/>
        <v>0</v>
      </c>
      <c r="I151" s="35">
        <f t="shared" si="40"/>
        <v>0</v>
      </c>
      <c r="J151" s="35">
        <f t="shared" si="40"/>
        <v>0</v>
      </c>
      <c r="K151" s="35">
        <f t="shared" si="40"/>
        <v>8225.1751504185449</v>
      </c>
      <c r="L151" s="35">
        <f t="shared" si="40"/>
        <v>9058.1343505926634</v>
      </c>
      <c r="M151" s="35">
        <f t="shared" si="40"/>
        <v>9939.7224420285893</v>
      </c>
      <c r="N151" s="35">
        <f t="shared" si="40"/>
        <v>10310.271469389618</v>
      </c>
      <c r="O151" s="35">
        <f t="shared" si="40"/>
        <v>10414.476616203403</v>
      </c>
      <c r="P151" s="35">
        <f t="shared" si="40"/>
        <v>10552.450127735256</v>
      </c>
      <c r="Q151" s="35">
        <f t="shared" si="40"/>
        <v>10652.898101122888</v>
      </c>
      <c r="R151" s="35">
        <f t="shared" si="40"/>
        <v>10595.708637272766</v>
      </c>
      <c r="S151" s="35">
        <f t="shared" si="39"/>
        <v>10375.34252260738</v>
      </c>
      <c r="T151" s="35">
        <f t="shared" si="39"/>
        <v>9875.8205826288868</v>
      </c>
      <c r="U151" s="35">
        <f t="shared" si="39"/>
        <v>0</v>
      </c>
      <c r="V151" s="35">
        <f t="shared" si="39"/>
        <v>0</v>
      </c>
      <c r="W151" s="35">
        <f t="shared" si="39"/>
        <v>0</v>
      </c>
      <c r="X151" s="35">
        <f t="shared" si="39"/>
        <v>0</v>
      </c>
      <c r="Y151" s="35">
        <f t="shared" si="39"/>
        <v>0</v>
      </c>
      <c r="Z151" s="35">
        <f t="shared" si="39"/>
        <v>0</v>
      </c>
      <c r="AA151" s="35">
        <f t="shared" si="34"/>
        <v>99999.999999999985</v>
      </c>
      <c r="AB151" s="28">
        <f t="shared" si="35"/>
        <v>31</v>
      </c>
      <c r="AC151" s="29">
        <f t="shared" si="38"/>
        <v>3100000</v>
      </c>
      <c r="AD151" s="61"/>
      <c r="AE151" s="45"/>
    </row>
    <row r="152" spans="1:31" ht="15">
      <c r="B152" s="30" t="s">
        <v>45</v>
      </c>
      <c r="C152" s="31">
        <f>+SUM(C8:C151)</f>
        <v>0</v>
      </c>
      <c r="D152" s="31">
        <f t="shared" ref="D152:Z152" si="41">+SUM(D8:D151)</f>
        <v>0</v>
      </c>
      <c r="E152" s="31">
        <f t="shared" si="41"/>
        <v>0</v>
      </c>
      <c r="F152" s="31">
        <f t="shared" si="41"/>
        <v>0</v>
      </c>
      <c r="G152" s="31">
        <f t="shared" si="41"/>
        <v>0</v>
      </c>
      <c r="H152" s="31">
        <f t="shared" si="41"/>
        <v>0</v>
      </c>
      <c r="I152" s="31">
        <f t="shared" si="41"/>
        <v>0</v>
      </c>
      <c r="J152" s="31">
        <f t="shared" si="41"/>
        <v>0</v>
      </c>
      <c r="K152" s="31">
        <f t="shared" si="41"/>
        <v>1184425.2216602715</v>
      </c>
      <c r="L152" s="31">
        <f t="shared" si="41"/>
        <v>1304371.3464853438</v>
      </c>
      <c r="M152" s="31">
        <f t="shared" si="41"/>
        <v>1431320.0316521155</v>
      </c>
      <c r="N152" s="31">
        <f t="shared" si="41"/>
        <v>1484679.0915921046</v>
      </c>
      <c r="O152" s="31">
        <f t="shared" si="41"/>
        <v>1499684.6327332875</v>
      </c>
      <c r="P152" s="31">
        <f t="shared" si="41"/>
        <v>1519552.8183938784</v>
      </c>
      <c r="Q152" s="31">
        <f t="shared" si="41"/>
        <v>1534017.3265616945</v>
      </c>
      <c r="R152" s="31">
        <f t="shared" si="41"/>
        <v>1525782.0437672783</v>
      </c>
      <c r="S152" s="31">
        <f t="shared" si="41"/>
        <v>1494049.3232554658</v>
      </c>
      <c r="T152" s="31">
        <f t="shared" si="41"/>
        <v>1422118.1638985593</v>
      </c>
      <c r="U152" s="31">
        <f t="shared" si="41"/>
        <v>0</v>
      </c>
      <c r="V152" s="31">
        <f t="shared" si="41"/>
        <v>0</v>
      </c>
      <c r="W152" s="31">
        <f t="shared" si="41"/>
        <v>0</v>
      </c>
      <c r="X152" s="31">
        <f t="shared" si="41"/>
        <v>0</v>
      </c>
      <c r="Y152" s="31">
        <f t="shared" si="41"/>
        <v>0</v>
      </c>
      <c r="Z152" s="31">
        <f t="shared" si="41"/>
        <v>0</v>
      </c>
      <c r="AA152" s="31">
        <f>+SUM(AA8:AA151)</f>
        <v>14399999.999999998</v>
      </c>
      <c r="AB152" s="32">
        <f>+SUM(AB8:AB151)</f>
        <v>4383</v>
      </c>
      <c r="AC152" s="33">
        <f>+SUM(AC8:AC151)</f>
        <v>438300000</v>
      </c>
      <c r="AD152" s="37"/>
      <c r="AE152"/>
    </row>
  </sheetData>
  <mergeCells count="28">
    <mergeCell ref="AC6:AC7"/>
    <mergeCell ref="Q6:Q7"/>
    <mergeCell ref="R6:R7"/>
    <mergeCell ref="S6:S7"/>
    <mergeCell ref="T6:T7"/>
    <mergeCell ref="U6:U7"/>
    <mergeCell ref="V6:V7"/>
    <mergeCell ref="W6:W7"/>
    <mergeCell ref="X6:X7"/>
    <mergeCell ref="Y6:Y7"/>
    <mergeCell ref="Z6:Z7"/>
    <mergeCell ref="AA6:AA7"/>
    <mergeCell ref="P6:P7"/>
    <mergeCell ref="B3:AC4"/>
    <mergeCell ref="B6:B7"/>
    <mergeCell ref="C6:C7"/>
    <mergeCell ref="D6:D7"/>
    <mergeCell ref="E6:E7"/>
    <mergeCell ref="F6:F7"/>
    <mergeCell ref="G6:G7"/>
    <mergeCell ref="H6:H7"/>
    <mergeCell ref="I6:I7"/>
    <mergeCell ref="J6:J7"/>
    <mergeCell ref="K6:K7"/>
    <mergeCell ref="L6:L7"/>
    <mergeCell ref="M6:M7"/>
    <mergeCell ref="N6:N7"/>
    <mergeCell ref="O6:O7"/>
  </mergeCells>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3073C-758F-456B-BA00-00238C030957}">
  <dimension ref="A1:AK128"/>
  <sheetViews>
    <sheetView showGridLines="0" zoomScale="85" zoomScaleNormal="85" workbookViewId="0">
      <pane xSplit="2" ySplit="7" topLeftCell="T8" activePane="bottomRight" state="frozen"/>
      <selection pane="topRight" activeCell="B1" sqref="B1"/>
      <selection pane="bottomLeft" activeCell="A6" sqref="A6"/>
      <selection pane="bottomRight" activeCell="AD8" sqref="AD8"/>
    </sheetView>
  </sheetViews>
  <sheetFormatPr baseColWidth="10" defaultColWidth="8" defaultRowHeight="9"/>
  <cols>
    <col min="1" max="1" width="4.5703125" style="23" customWidth="1"/>
    <col min="2" max="2" width="15.7109375" style="23" bestFit="1" customWidth="1"/>
    <col min="3" max="26" width="12.42578125" style="23" bestFit="1" customWidth="1"/>
    <col min="27" max="27" width="14.7109375" style="23" bestFit="1" customWidth="1"/>
    <col min="28" max="28" width="7.85546875" style="23" bestFit="1" customWidth="1"/>
    <col min="29" max="29" width="15" style="23" bestFit="1" customWidth="1"/>
    <col min="30" max="30" width="15.42578125" style="23" customWidth="1"/>
    <col min="31" max="31" width="17.5703125" style="23" bestFit="1" customWidth="1"/>
    <col min="32" max="32" width="19" style="23" bestFit="1" customWidth="1"/>
    <col min="33" max="34" width="10.28515625" style="23" bestFit="1" customWidth="1"/>
    <col min="35" max="16384" width="8" style="23"/>
  </cols>
  <sheetData>
    <row r="1" spans="1:37">
      <c r="A1" s="23">
        <f>COLUMN()</f>
        <v>1</v>
      </c>
      <c r="B1" s="23">
        <f>COLUMN()</f>
        <v>2</v>
      </c>
      <c r="C1" s="23">
        <f>COLUMN()</f>
        <v>3</v>
      </c>
      <c r="D1" s="23">
        <f>COLUMN()</f>
        <v>4</v>
      </c>
      <c r="E1" s="23">
        <f>COLUMN()</f>
        <v>5</v>
      </c>
      <c r="F1" s="23">
        <f>COLUMN()</f>
        <v>6</v>
      </c>
      <c r="G1" s="23">
        <f>COLUMN()</f>
        <v>7</v>
      </c>
      <c r="H1" s="23">
        <f>COLUMN()</f>
        <v>8</v>
      </c>
      <c r="I1" s="23">
        <f>COLUMN()</f>
        <v>9</v>
      </c>
      <c r="J1" s="23">
        <f>COLUMN()</f>
        <v>10</v>
      </c>
      <c r="K1" s="23">
        <f>COLUMN()</f>
        <v>11</v>
      </c>
      <c r="L1" s="23">
        <f>COLUMN()</f>
        <v>12</v>
      </c>
      <c r="M1" s="23">
        <f>COLUMN()</f>
        <v>13</v>
      </c>
      <c r="N1" s="23">
        <f>COLUMN()</f>
        <v>14</v>
      </c>
      <c r="O1" s="23">
        <f>COLUMN()</f>
        <v>15</v>
      </c>
      <c r="P1" s="23">
        <f>COLUMN()</f>
        <v>16</v>
      </c>
      <c r="Q1" s="23">
        <f>COLUMN()</f>
        <v>17</v>
      </c>
      <c r="R1" s="23">
        <f>COLUMN()</f>
        <v>18</v>
      </c>
      <c r="S1" s="23">
        <f>COLUMN()</f>
        <v>19</v>
      </c>
      <c r="T1" s="23">
        <f>COLUMN()</f>
        <v>20</v>
      </c>
      <c r="U1" s="23">
        <f>COLUMN()</f>
        <v>21</v>
      </c>
      <c r="V1" s="23">
        <f>COLUMN()</f>
        <v>22</v>
      </c>
      <c r="W1" s="23">
        <f>COLUMN()</f>
        <v>23</v>
      </c>
      <c r="X1" s="23">
        <f>COLUMN()</f>
        <v>24</v>
      </c>
      <c r="Y1" s="23">
        <f>COLUMN()</f>
        <v>25</v>
      </c>
      <c r="Z1" s="23">
        <f>COLUMN()</f>
        <v>26</v>
      </c>
      <c r="AA1" s="23">
        <f>COLUMN()</f>
        <v>27</v>
      </c>
      <c r="AB1" s="23">
        <f>COLUMN()</f>
        <v>28</v>
      </c>
      <c r="AC1" s="23">
        <f>COLUMN()</f>
        <v>29</v>
      </c>
    </row>
    <row r="3" spans="1:37">
      <c r="B3" s="87" t="s">
        <v>56</v>
      </c>
      <c r="C3" s="88"/>
      <c r="D3" s="88"/>
      <c r="E3" s="88"/>
      <c r="F3" s="88"/>
      <c r="G3" s="88"/>
      <c r="H3" s="88"/>
      <c r="I3" s="88"/>
      <c r="J3" s="88"/>
      <c r="K3" s="88"/>
      <c r="L3" s="88"/>
      <c r="M3" s="88"/>
      <c r="N3" s="88"/>
      <c r="O3" s="88"/>
      <c r="P3" s="88"/>
      <c r="Q3" s="88"/>
      <c r="R3" s="88"/>
      <c r="S3" s="88"/>
      <c r="T3" s="88"/>
      <c r="U3" s="88"/>
      <c r="V3" s="88"/>
      <c r="W3" s="88"/>
      <c r="X3" s="88"/>
      <c r="Y3" s="88"/>
      <c r="Z3" s="88"/>
      <c r="AA3" s="88"/>
      <c r="AB3" s="88"/>
      <c r="AC3" s="89"/>
    </row>
    <row r="4" spans="1:37" ht="15">
      <c r="B4" s="90"/>
      <c r="C4" s="91"/>
      <c r="D4" s="91"/>
      <c r="E4" s="91"/>
      <c r="F4" s="91"/>
      <c r="G4" s="91"/>
      <c r="H4" s="91"/>
      <c r="I4" s="91"/>
      <c r="J4" s="91"/>
      <c r="K4" s="91"/>
      <c r="L4" s="91"/>
      <c r="M4" s="91"/>
      <c r="N4" s="91"/>
      <c r="O4" s="91"/>
      <c r="P4" s="91"/>
      <c r="Q4" s="91"/>
      <c r="R4" s="91"/>
      <c r="S4" s="91"/>
      <c r="T4" s="91"/>
      <c r="U4" s="91"/>
      <c r="V4" s="91"/>
      <c r="W4" s="91"/>
      <c r="X4" s="91"/>
      <c r="Y4" s="91"/>
      <c r="Z4" s="91"/>
      <c r="AA4" s="91"/>
      <c r="AB4" s="91"/>
      <c r="AC4" s="92"/>
      <c r="AE4"/>
      <c r="AF4"/>
      <c r="AG4"/>
    </row>
    <row r="5" spans="1:37" ht="15">
      <c r="C5" s="46">
        <v>0</v>
      </c>
      <c r="D5" s="46">
        <v>0</v>
      </c>
      <c r="E5" s="46">
        <v>0</v>
      </c>
      <c r="F5" s="46">
        <v>0</v>
      </c>
      <c r="G5" s="46">
        <v>0</v>
      </c>
      <c r="H5" s="46">
        <v>0</v>
      </c>
      <c r="I5" s="46">
        <v>0</v>
      </c>
      <c r="J5" s="46">
        <v>0</v>
      </c>
      <c r="K5" s="46">
        <v>8.2251751504185455E-2</v>
      </c>
      <c r="L5" s="46">
        <v>9.0581343505926629E-2</v>
      </c>
      <c r="M5" s="46">
        <v>9.9397224420285896E-2</v>
      </c>
      <c r="N5" s="46">
        <v>0.10310271469389617</v>
      </c>
      <c r="O5" s="46">
        <v>0.10414476616203402</v>
      </c>
      <c r="P5" s="46">
        <v>0.10552450127735256</v>
      </c>
      <c r="Q5" s="46">
        <v>0.10652898101122887</v>
      </c>
      <c r="R5" s="46">
        <v>0.10595708637272766</v>
      </c>
      <c r="S5" s="46">
        <v>0.10375342522607379</v>
      </c>
      <c r="T5" s="46">
        <v>9.8758205826288872E-2</v>
      </c>
      <c r="U5" s="46">
        <v>0</v>
      </c>
      <c r="V5" s="46">
        <v>0</v>
      </c>
      <c r="W5" s="46">
        <v>0</v>
      </c>
      <c r="X5" s="46">
        <v>0</v>
      </c>
      <c r="Y5" s="46">
        <v>0</v>
      </c>
      <c r="Z5" s="46">
        <v>0</v>
      </c>
      <c r="AC5" s="24"/>
      <c r="AE5"/>
      <c r="AF5"/>
      <c r="AG5"/>
    </row>
    <row r="6" spans="1:37" ht="15" customHeight="1">
      <c r="B6" s="86" t="s">
        <v>16</v>
      </c>
      <c r="C6" s="86" t="s">
        <v>17</v>
      </c>
      <c r="D6" s="86" t="s">
        <v>18</v>
      </c>
      <c r="E6" s="86" t="s">
        <v>19</v>
      </c>
      <c r="F6" s="86" t="s">
        <v>20</v>
      </c>
      <c r="G6" s="86" t="s">
        <v>21</v>
      </c>
      <c r="H6" s="86" t="s">
        <v>22</v>
      </c>
      <c r="I6" s="86" t="s">
        <v>23</v>
      </c>
      <c r="J6" s="86" t="s">
        <v>24</v>
      </c>
      <c r="K6" s="86" t="s">
        <v>25</v>
      </c>
      <c r="L6" s="86" t="s">
        <v>26</v>
      </c>
      <c r="M6" s="86" t="s">
        <v>27</v>
      </c>
      <c r="N6" s="86" t="s">
        <v>28</v>
      </c>
      <c r="O6" s="86" t="s">
        <v>29</v>
      </c>
      <c r="P6" s="86" t="s">
        <v>30</v>
      </c>
      <c r="Q6" s="86" t="s">
        <v>31</v>
      </c>
      <c r="R6" s="86" t="s">
        <v>32</v>
      </c>
      <c r="S6" s="86" t="s">
        <v>33</v>
      </c>
      <c r="T6" s="86" t="s">
        <v>34</v>
      </c>
      <c r="U6" s="86" t="s">
        <v>35</v>
      </c>
      <c r="V6" s="86" t="s">
        <v>36</v>
      </c>
      <c r="W6" s="86" t="s">
        <v>37</v>
      </c>
      <c r="X6" s="86" t="s">
        <v>38</v>
      </c>
      <c r="Y6" s="86" t="s">
        <v>39</v>
      </c>
      <c r="Z6" s="86" t="s">
        <v>40</v>
      </c>
      <c r="AA6" s="86" t="s">
        <v>41</v>
      </c>
      <c r="AB6" s="26" t="s">
        <v>42</v>
      </c>
      <c r="AC6" s="86" t="s">
        <v>43</v>
      </c>
      <c r="AD6" s="93" t="s">
        <v>46</v>
      </c>
      <c r="AE6"/>
      <c r="AF6"/>
      <c r="AG6"/>
    </row>
    <row r="7" spans="1:37" ht="15">
      <c r="B7" s="86"/>
      <c r="C7" s="86"/>
      <c r="D7" s="86"/>
      <c r="E7" s="86"/>
      <c r="F7" s="86"/>
      <c r="G7" s="86"/>
      <c r="H7" s="86"/>
      <c r="I7" s="86"/>
      <c r="J7" s="86"/>
      <c r="K7" s="86"/>
      <c r="L7" s="86"/>
      <c r="M7" s="86"/>
      <c r="N7" s="86"/>
      <c r="O7" s="86"/>
      <c r="P7" s="86"/>
      <c r="Q7" s="86"/>
      <c r="R7" s="86"/>
      <c r="S7" s="86"/>
      <c r="T7" s="86"/>
      <c r="U7" s="86"/>
      <c r="V7" s="86"/>
      <c r="W7" s="86"/>
      <c r="X7" s="86"/>
      <c r="Y7" s="86"/>
      <c r="Z7" s="86"/>
      <c r="AA7" s="86"/>
      <c r="AB7" s="26" t="s">
        <v>44</v>
      </c>
      <c r="AC7" s="86"/>
      <c r="AD7" s="105"/>
      <c r="AE7"/>
      <c r="AF7"/>
      <c r="AG7"/>
    </row>
    <row r="8" spans="1:37" ht="15">
      <c r="A8" s="23">
        <f>YEAR(B8)</f>
        <v>2026</v>
      </c>
      <c r="B8" s="27">
        <v>46023</v>
      </c>
      <c r="C8" s="35">
        <f>IF(AND(COLUMN()&gt;=11,COLUMN()&lt;=20),(_xlfn.XLOOKUP($A8,'Oferta Producto 3'!$B$10:$B$21,'Oferta Producto 3'!$E$10:$E$21))/SUMIF($A$7:$AC$128,$A8,$AB$6:$AB$127)*C$5,0)</f>
        <v>0</v>
      </c>
      <c r="D8" s="35">
        <f>IF(AND(COLUMN()&gt;=11,COLUMN()&lt;=20),(_xlfn.XLOOKUP($A8,'Oferta Producto 3'!$B$10:$B$21,'Oferta Producto 3'!$E$10:$E$21))/SUMIF($A$7:$AC$128,$A8,$AB$6:$AB$127)*D$5,0)</f>
        <v>0</v>
      </c>
      <c r="E8" s="35">
        <f>IF(AND(COLUMN()&gt;=11,COLUMN()&lt;=20),(_xlfn.XLOOKUP($A8,'Oferta Producto 3'!$B$10:$B$21,'Oferta Producto 3'!$E$10:$E$21))/SUMIF($A$7:$AC$128,$A8,$AB$6:$AB$127)*E$5,0)</f>
        <v>0</v>
      </c>
      <c r="F8" s="35">
        <f>IF(AND(COLUMN()&gt;=11,COLUMN()&lt;=20),(_xlfn.XLOOKUP($A8,'Oferta Producto 3'!$B$10:$B$21,'Oferta Producto 3'!$E$10:$E$21))/SUMIF($A$7:$AC$128,$A8,$AB$6:$AB$127)*F$5,0)</f>
        <v>0</v>
      </c>
      <c r="G8" s="35">
        <f>IF(AND(COLUMN()&gt;=11,COLUMN()&lt;=20),(_xlfn.XLOOKUP($A8,'Oferta Producto 3'!$B$10:$B$21,'Oferta Producto 3'!$E$10:$E$21))/SUMIF($A$7:$AC$128,$A8,$AB$6:$AB$127)*G$5,0)</f>
        <v>0</v>
      </c>
      <c r="H8" s="35">
        <f>IF(AND(COLUMN()&gt;=11,COLUMN()&lt;=20),(_xlfn.XLOOKUP($A8,'Oferta Producto 3'!$B$10:$B$21,'Oferta Producto 3'!$E$10:$E$21))/SUMIF($A$7:$AC$128,$A8,$AB$6:$AB$127)*H$5,0)</f>
        <v>0</v>
      </c>
      <c r="I8" s="35">
        <f>IF(AND(COLUMN()&gt;=11,COLUMN()&lt;=20),(_xlfn.XLOOKUP($A8,'Oferta Producto 3'!$B$10:$B$21,'Oferta Producto 3'!$E$10:$E$21))/SUMIF($A$7:$AC$128,$A8,$AB$6:$AB$127)*I$5,0)</f>
        <v>0</v>
      </c>
      <c r="J8" s="35">
        <f>IF(AND(COLUMN()&gt;=11,COLUMN()&lt;=20),(_xlfn.XLOOKUP($A8,'Oferta Producto 3'!$B$10:$B$21,'Oferta Producto 3'!$E$10:$E$21))/SUMIF($A$7:$AC$128,$A8,$AB$6:$AB$127)*J$5,0)</f>
        <v>0</v>
      </c>
      <c r="K8" s="35">
        <f ca="1">IF(AND(COLUMN()&gt;=11,COLUMN()&lt;=20),(_xlfn.XLOOKUP($A8,'Oferta Producto 3'!$B$10:$B$21,'Oferta Producto 3'!$E$10:$E$21))/SUMIF($A$7:$AC$128,$A8,$AB$6:$AB$127)*K$5,0)</f>
        <v>0</v>
      </c>
      <c r="L8" s="35">
        <f ca="1">IF(AND(COLUMN()&gt;=11,COLUMN()&lt;=20),(_xlfn.XLOOKUP($A8,'Oferta Producto 3'!$B$10:$B$21,'Oferta Producto 3'!$E$10:$E$21))/SUMIF($A$7:$AC$128,$A8,$AB$6:$AB$127)*L$5,0)</f>
        <v>0</v>
      </c>
      <c r="M8" s="35">
        <f ca="1">IF(AND(COLUMN()&gt;=11,COLUMN()&lt;=20),(_xlfn.XLOOKUP($A8,'Oferta Producto 3'!$B$10:$B$21,'Oferta Producto 3'!$E$10:$E$21))/SUMIF($A$7:$AC$128,$A8,$AB$6:$AB$127)*M$5,0)</f>
        <v>0</v>
      </c>
      <c r="N8" s="35">
        <f ca="1">IF(AND(COLUMN()&gt;=11,COLUMN()&lt;=20),(_xlfn.XLOOKUP($A8,'Oferta Producto 3'!$B$10:$B$21,'Oferta Producto 3'!$E$10:$E$21))/SUMIF($A$7:$AC$128,$A8,$AB$6:$AB$127)*N$5,0)</f>
        <v>0</v>
      </c>
      <c r="O8" s="35">
        <f ca="1">IF(AND(COLUMN()&gt;=11,COLUMN()&lt;=20),(_xlfn.XLOOKUP($A8,'Oferta Producto 3'!$B$10:$B$21,'Oferta Producto 3'!$E$10:$E$21))/SUMIF($A$7:$AC$128,$A8,$AB$6:$AB$127)*O$5,0)</f>
        <v>0</v>
      </c>
      <c r="P8" s="35">
        <f ca="1">IF(AND(COLUMN()&gt;=11,COLUMN()&lt;=20),(_xlfn.XLOOKUP($A8,'Oferta Producto 3'!$B$10:$B$21,'Oferta Producto 3'!$E$10:$E$21))/SUMIF($A$7:$AC$128,$A8,$AB$6:$AB$127)*P$5,0)</f>
        <v>0</v>
      </c>
      <c r="Q8" s="35">
        <f ca="1">IF(AND(COLUMN()&gt;=11,COLUMN()&lt;=20),(_xlfn.XLOOKUP($A8,'Oferta Producto 3'!$B$10:$B$21,'Oferta Producto 3'!$E$10:$E$21))/SUMIF($A$7:$AC$128,$A8,$AB$6:$AB$127)*Q$5,0)</f>
        <v>0</v>
      </c>
      <c r="R8" s="35">
        <f ca="1">IF(AND(COLUMN()&gt;=11,COLUMN()&lt;=20),(_xlfn.XLOOKUP($A8,'Oferta Producto 3'!$B$10:$B$21,'Oferta Producto 3'!$E$10:$E$21))/SUMIF($A$7:$AC$128,$A8,$AB$6:$AB$127)*R$5,0)</f>
        <v>0</v>
      </c>
      <c r="S8" s="35">
        <f ca="1">IF(AND(COLUMN()&gt;=11,COLUMN()&lt;=20),(_xlfn.XLOOKUP($A8,'Oferta Producto 3'!$B$10:$B$21,'Oferta Producto 3'!$E$10:$E$21))/SUMIF($A$7:$AC$128,$A8,$AB$6:$AB$127)*S$5,0)</f>
        <v>0</v>
      </c>
      <c r="T8" s="35">
        <f ca="1">IF(AND(COLUMN()&gt;=11,COLUMN()&lt;=20),(_xlfn.XLOOKUP($A8,'Oferta Producto 3'!$B$10:$B$21,'Oferta Producto 3'!$E$10:$E$21))/SUMIF($A$7:$AC$128,$A8,$AB$6:$AB$127)*T$5,0)</f>
        <v>0</v>
      </c>
      <c r="U8" s="35">
        <f>IF(AND(COLUMN()&gt;=11,COLUMN()&lt;=20),(_xlfn.XLOOKUP($A8,'Oferta Producto 3'!$B$10:$B$21,'Oferta Producto 3'!$E$10:$E$21))/SUMIF($A$7:$AC$128,$A8,$AB$6:$AB$127)*U$5,0)</f>
        <v>0</v>
      </c>
      <c r="V8" s="35">
        <f>IF(AND(COLUMN()&gt;=11,COLUMN()&lt;=20),(_xlfn.XLOOKUP($A8,'Oferta Producto 3'!$B$10:$B$21,'Oferta Producto 3'!$E$10:$E$21))/SUMIF($A$7:$AC$128,$A8,$AB$6:$AB$127)*V$5,0)</f>
        <v>0</v>
      </c>
      <c r="W8" s="35">
        <f>IF(AND(COLUMN()&gt;=11,COLUMN()&lt;=20),(_xlfn.XLOOKUP($A8,'Oferta Producto 3'!$B$10:$B$21,'Oferta Producto 3'!$E$10:$E$21))/SUMIF($A$7:$AC$128,$A8,$AB$6:$AB$127)*W$5,0)</f>
        <v>0</v>
      </c>
      <c r="X8" s="35">
        <f>IF(AND(COLUMN()&gt;=11,COLUMN()&lt;=20),(_xlfn.XLOOKUP($A8,'Oferta Producto 3'!$B$10:$B$21,'Oferta Producto 3'!$E$10:$E$21))/SUMIF($A$7:$AC$128,$A8,$AB$6:$AB$127)*X$5,0)</f>
        <v>0</v>
      </c>
      <c r="Y8" s="35">
        <f>IF(AND(COLUMN()&gt;=11,COLUMN()&lt;=20),(_xlfn.XLOOKUP($A8,'Oferta Producto 3'!$B$10:$B$21,'Oferta Producto 3'!$E$10:$E$21))/SUMIF($A$7:$AC$128,$A8,$AB$6:$AB$127)*Y$5,0)</f>
        <v>0</v>
      </c>
      <c r="Z8" s="35">
        <f>IF(AND(COLUMN()&gt;=11,COLUMN()&lt;=20),(_xlfn.XLOOKUP($A8,'Oferta Producto 3'!$B$10:$B$21,'Oferta Producto 3'!$E$10:$E$21))/SUMIF($A$7:$AC$128,$A8,$AB$6:$AB$127)*Z$5,0)</f>
        <v>0</v>
      </c>
      <c r="AA8" s="35">
        <f ca="1">SUM(C8:Z8)</f>
        <v>0</v>
      </c>
      <c r="AB8" s="28">
        <f>DAY(EOMONTH(B8,0))</f>
        <v>31</v>
      </c>
      <c r="AC8" s="29">
        <f ca="1">AA8*AB8</f>
        <v>0</v>
      </c>
      <c r="AD8" s="48">
        <f ca="1">'Curvas Prod 3'!AC8/SUMIF('Curvas Prod 3'!A6:AC151,'Curva de la oferta Prod 3'!$A8,'Curvas Prod 3'!AC6:AC151)</f>
        <v>8.4931506849315067E-2</v>
      </c>
      <c r="AE8" s="45"/>
      <c r="AF8" s="49"/>
      <c r="AG8" s="49"/>
      <c r="AH8" s="49"/>
      <c r="AI8" s="49"/>
      <c r="AJ8" s="49"/>
      <c r="AK8" s="49"/>
    </row>
    <row r="9" spans="1:37" ht="15">
      <c r="A9" s="23">
        <f t="shared" ref="A9:A72" si="0">YEAR(B9)</f>
        <v>2026</v>
      </c>
      <c r="B9" s="27">
        <v>46054</v>
      </c>
      <c r="C9" s="35">
        <f>IF(AND(COLUMN()&gt;=11,COLUMN()&lt;=20),(_xlfn.XLOOKUP($A9,'Oferta Producto 3'!$B$10:$B$21,'Oferta Producto 3'!$E$10:$E$21))/SUMIF($A$7:$AC$128,$A9,$AB$6:$AB$127)*C$5,0)</f>
        <v>0</v>
      </c>
      <c r="D9" s="35">
        <f>IF(AND(COLUMN()&gt;=11,COLUMN()&lt;=20),(_xlfn.XLOOKUP($A9,'Oferta Producto 3'!$B$10:$B$21,'Oferta Producto 3'!$E$10:$E$21))/SUMIF($A$7:$AC$128,$A9,$AB$6:$AB$127)*D$5,0)</f>
        <v>0</v>
      </c>
      <c r="E9" s="35">
        <f>IF(AND(COLUMN()&gt;=11,COLUMN()&lt;=20),(_xlfn.XLOOKUP($A9,'Oferta Producto 3'!$B$10:$B$21,'Oferta Producto 3'!$E$10:$E$21))/SUMIF($A$7:$AC$128,$A9,$AB$6:$AB$127)*E$5,0)</f>
        <v>0</v>
      </c>
      <c r="F9" s="35">
        <f>IF(AND(COLUMN()&gt;=11,COLUMN()&lt;=20),(_xlfn.XLOOKUP($A9,'Oferta Producto 3'!$B$10:$B$21,'Oferta Producto 3'!$E$10:$E$21))/SUMIF($A$7:$AC$128,$A9,$AB$6:$AB$127)*F$5,0)</f>
        <v>0</v>
      </c>
      <c r="G9" s="35">
        <f>IF(AND(COLUMN()&gt;=11,COLUMN()&lt;=20),(_xlfn.XLOOKUP($A9,'Oferta Producto 3'!$B$10:$B$21,'Oferta Producto 3'!$E$10:$E$21))/SUMIF($A$7:$AC$128,$A9,$AB$6:$AB$127)*G$5,0)</f>
        <v>0</v>
      </c>
      <c r="H9" s="35">
        <f>IF(AND(COLUMN()&gt;=11,COLUMN()&lt;=20),(_xlfn.XLOOKUP($A9,'Oferta Producto 3'!$B$10:$B$21,'Oferta Producto 3'!$E$10:$E$21))/SUMIF($A$7:$AC$128,$A9,$AB$6:$AB$127)*H$5,0)</f>
        <v>0</v>
      </c>
      <c r="I9" s="35">
        <f>IF(AND(COLUMN()&gt;=11,COLUMN()&lt;=20),(_xlfn.XLOOKUP($A9,'Oferta Producto 3'!$B$10:$B$21,'Oferta Producto 3'!$E$10:$E$21))/SUMIF($A$7:$AC$128,$A9,$AB$6:$AB$127)*I$5,0)</f>
        <v>0</v>
      </c>
      <c r="J9" s="35">
        <f>IF(AND(COLUMN()&gt;=11,COLUMN()&lt;=20),(_xlfn.XLOOKUP($A9,'Oferta Producto 3'!$B$10:$B$21,'Oferta Producto 3'!$E$10:$E$21))/SUMIF($A$7:$AC$128,$A9,$AB$6:$AB$127)*J$5,0)</f>
        <v>0</v>
      </c>
      <c r="K9" s="35">
        <f ca="1">IF(AND(COLUMN()&gt;=11,COLUMN()&lt;=20),(_xlfn.XLOOKUP($A9,'Oferta Producto 3'!$B$10:$B$21,'Oferta Producto 3'!$E$10:$E$21))/SUMIF($A$7:$AC$128,$A9,$AB$6:$AB$127)*K$5,0)</f>
        <v>0</v>
      </c>
      <c r="L9" s="35">
        <f ca="1">IF(AND(COLUMN()&gt;=11,COLUMN()&lt;=20),(_xlfn.XLOOKUP($A9,'Oferta Producto 3'!$B$10:$B$21,'Oferta Producto 3'!$E$10:$E$21))/SUMIF($A$7:$AC$128,$A9,$AB$6:$AB$127)*L$5,0)</f>
        <v>0</v>
      </c>
      <c r="M9" s="35">
        <f ca="1">IF(AND(COLUMN()&gt;=11,COLUMN()&lt;=20),(_xlfn.XLOOKUP($A9,'Oferta Producto 3'!$B$10:$B$21,'Oferta Producto 3'!$E$10:$E$21))/SUMIF($A$7:$AC$128,$A9,$AB$6:$AB$127)*M$5,0)</f>
        <v>0</v>
      </c>
      <c r="N9" s="35">
        <f ca="1">IF(AND(COLUMN()&gt;=11,COLUMN()&lt;=20),(_xlfn.XLOOKUP($A9,'Oferta Producto 3'!$B$10:$B$21,'Oferta Producto 3'!$E$10:$E$21))/SUMIF($A$7:$AC$128,$A9,$AB$6:$AB$127)*N$5,0)</f>
        <v>0</v>
      </c>
      <c r="O9" s="35">
        <f ca="1">IF(AND(COLUMN()&gt;=11,COLUMN()&lt;=20),(_xlfn.XLOOKUP($A9,'Oferta Producto 3'!$B$10:$B$21,'Oferta Producto 3'!$E$10:$E$21))/SUMIF($A$7:$AC$128,$A9,$AB$6:$AB$127)*O$5,0)</f>
        <v>0</v>
      </c>
      <c r="P9" s="35">
        <f ca="1">IF(AND(COLUMN()&gt;=11,COLUMN()&lt;=20),(_xlfn.XLOOKUP($A9,'Oferta Producto 3'!$B$10:$B$21,'Oferta Producto 3'!$E$10:$E$21))/SUMIF($A$7:$AC$128,$A9,$AB$6:$AB$127)*P$5,0)</f>
        <v>0</v>
      </c>
      <c r="Q9" s="35">
        <f ca="1">IF(AND(COLUMN()&gt;=11,COLUMN()&lt;=20),(_xlfn.XLOOKUP($A9,'Oferta Producto 3'!$B$10:$B$21,'Oferta Producto 3'!$E$10:$E$21))/SUMIF($A$7:$AC$128,$A9,$AB$6:$AB$127)*Q$5,0)</f>
        <v>0</v>
      </c>
      <c r="R9" s="35">
        <f ca="1">IF(AND(COLUMN()&gt;=11,COLUMN()&lt;=20),(_xlfn.XLOOKUP($A9,'Oferta Producto 3'!$B$10:$B$21,'Oferta Producto 3'!$E$10:$E$21))/SUMIF($A$7:$AC$128,$A9,$AB$6:$AB$127)*R$5,0)</f>
        <v>0</v>
      </c>
      <c r="S9" s="35">
        <f ca="1">IF(AND(COLUMN()&gt;=11,COLUMN()&lt;=20),(_xlfn.XLOOKUP($A9,'Oferta Producto 3'!$B$10:$B$21,'Oferta Producto 3'!$E$10:$E$21))/SUMIF($A$7:$AC$128,$A9,$AB$6:$AB$127)*S$5,0)</f>
        <v>0</v>
      </c>
      <c r="T9" s="35">
        <f ca="1">IF(AND(COLUMN()&gt;=11,COLUMN()&lt;=20),(_xlfn.XLOOKUP($A9,'Oferta Producto 3'!$B$10:$B$21,'Oferta Producto 3'!$E$10:$E$21))/SUMIF($A$7:$AC$128,$A9,$AB$6:$AB$127)*T$5,0)</f>
        <v>0</v>
      </c>
      <c r="U9" s="35">
        <f>IF(AND(COLUMN()&gt;=11,COLUMN()&lt;=20),(_xlfn.XLOOKUP($A9,'Oferta Producto 3'!$B$10:$B$21,'Oferta Producto 3'!$E$10:$E$21))/SUMIF($A$7:$AC$128,$A9,$AB$6:$AB$127)*U$5,0)</f>
        <v>0</v>
      </c>
      <c r="V9" s="35">
        <f>IF(AND(COLUMN()&gt;=11,COLUMN()&lt;=20),(_xlfn.XLOOKUP($A9,'Oferta Producto 3'!$B$10:$B$21,'Oferta Producto 3'!$E$10:$E$21))/SUMIF($A$7:$AC$128,$A9,$AB$6:$AB$127)*V$5,0)</f>
        <v>0</v>
      </c>
      <c r="W9" s="35">
        <f>IF(AND(COLUMN()&gt;=11,COLUMN()&lt;=20),(_xlfn.XLOOKUP($A9,'Oferta Producto 3'!$B$10:$B$21,'Oferta Producto 3'!$E$10:$E$21))/SUMIF($A$7:$AC$128,$A9,$AB$6:$AB$127)*W$5,0)</f>
        <v>0</v>
      </c>
      <c r="X9" s="35">
        <f>IF(AND(COLUMN()&gt;=11,COLUMN()&lt;=20),(_xlfn.XLOOKUP($A9,'Oferta Producto 3'!$B$10:$B$21,'Oferta Producto 3'!$E$10:$E$21))/SUMIF($A$7:$AC$128,$A9,$AB$6:$AB$127)*X$5,0)</f>
        <v>0</v>
      </c>
      <c r="Y9" s="35">
        <f>IF(AND(COLUMN()&gt;=11,COLUMN()&lt;=20),(_xlfn.XLOOKUP($A9,'Oferta Producto 3'!$B$10:$B$21,'Oferta Producto 3'!$E$10:$E$21))/SUMIF($A$7:$AC$128,$A9,$AB$6:$AB$127)*Y$5,0)</f>
        <v>0</v>
      </c>
      <c r="Z9" s="35">
        <f>IF(AND(COLUMN()&gt;=11,COLUMN()&lt;=20),(_xlfn.XLOOKUP($A9,'Oferta Producto 3'!$B$10:$B$21,'Oferta Producto 3'!$E$10:$E$21))/SUMIF($A$7:$AC$128,$A9,$AB$6:$AB$127)*Z$5,0)</f>
        <v>0</v>
      </c>
      <c r="AA9" s="35">
        <f t="shared" ref="AA9:AA19" ca="1" si="1">SUM(C9:Z9)</f>
        <v>0</v>
      </c>
      <c r="AB9" s="28">
        <f t="shared" ref="AB9:AB72" si="2">DAY(EOMONTH(B9,0))</f>
        <v>28</v>
      </c>
      <c r="AC9" s="29">
        <f t="shared" ref="AC9:AC72" ca="1" si="3">AA9*AB9</f>
        <v>0</v>
      </c>
      <c r="AD9" s="48">
        <f ca="1">'Curvas Prod 3'!AC9/SUMIF('Curvas Prod 3'!A7:AC152,'Curva de la oferta Prod 3'!$A9,'Curvas Prod 3'!AC7:AC152)</f>
        <v>7.6712328767123292E-2</v>
      </c>
      <c r="AE9" s="45"/>
      <c r="AF9" s="49"/>
      <c r="AG9" s="49"/>
      <c r="AH9" s="49"/>
      <c r="AI9" s="49"/>
      <c r="AJ9" s="49"/>
      <c r="AK9" s="49"/>
    </row>
    <row r="10" spans="1:37" ht="15">
      <c r="A10" s="23">
        <f t="shared" si="0"/>
        <v>2026</v>
      </c>
      <c r="B10" s="27">
        <v>46082</v>
      </c>
      <c r="C10" s="35">
        <f>IF(AND(COLUMN()&gt;=11,COLUMN()&lt;=20),(_xlfn.XLOOKUP($A10,'Oferta Producto 3'!$B$10:$B$21,'Oferta Producto 3'!$E$10:$E$21))/SUMIF($A$7:$AC$128,$A10,$AB$6:$AB$127)*C$5,0)</f>
        <v>0</v>
      </c>
      <c r="D10" s="35">
        <f>IF(AND(COLUMN()&gt;=11,COLUMN()&lt;=20),(_xlfn.XLOOKUP($A10,'Oferta Producto 3'!$B$10:$B$21,'Oferta Producto 3'!$E$10:$E$21))/SUMIF($A$7:$AC$128,$A10,$AB$6:$AB$127)*D$5,0)</f>
        <v>0</v>
      </c>
      <c r="E10" s="35">
        <f>IF(AND(COLUMN()&gt;=11,COLUMN()&lt;=20),(_xlfn.XLOOKUP($A10,'Oferta Producto 3'!$B$10:$B$21,'Oferta Producto 3'!$E$10:$E$21))/SUMIF($A$7:$AC$128,$A10,$AB$6:$AB$127)*E$5,0)</f>
        <v>0</v>
      </c>
      <c r="F10" s="35">
        <f>IF(AND(COLUMN()&gt;=11,COLUMN()&lt;=20),(_xlfn.XLOOKUP($A10,'Oferta Producto 3'!$B$10:$B$21,'Oferta Producto 3'!$E$10:$E$21))/SUMIF($A$7:$AC$128,$A10,$AB$6:$AB$127)*F$5,0)</f>
        <v>0</v>
      </c>
      <c r="G10" s="35">
        <f>IF(AND(COLUMN()&gt;=11,COLUMN()&lt;=20),(_xlfn.XLOOKUP($A10,'Oferta Producto 3'!$B$10:$B$21,'Oferta Producto 3'!$E$10:$E$21))/SUMIF($A$7:$AC$128,$A10,$AB$6:$AB$127)*G$5,0)</f>
        <v>0</v>
      </c>
      <c r="H10" s="35">
        <f>IF(AND(COLUMN()&gt;=11,COLUMN()&lt;=20),(_xlfn.XLOOKUP($A10,'Oferta Producto 3'!$B$10:$B$21,'Oferta Producto 3'!$E$10:$E$21))/SUMIF($A$7:$AC$128,$A10,$AB$6:$AB$127)*H$5,0)</f>
        <v>0</v>
      </c>
      <c r="I10" s="35">
        <f>IF(AND(COLUMN()&gt;=11,COLUMN()&lt;=20),(_xlfn.XLOOKUP($A10,'Oferta Producto 3'!$B$10:$B$21,'Oferta Producto 3'!$E$10:$E$21))/SUMIF($A$7:$AC$128,$A10,$AB$6:$AB$127)*I$5,0)</f>
        <v>0</v>
      </c>
      <c r="J10" s="35">
        <f>IF(AND(COLUMN()&gt;=11,COLUMN()&lt;=20),(_xlfn.XLOOKUP($A10,'Oferta Producto 3'!$B$10:$B$21,'Oferta Producto 3'!$E$10:$E$21))/SUMIF($A$7:$AC$128,$A10,$AB$6:$AB$127)*J$5,0)</f>
        <v>0</v>
      </c>
      <c r="K10" s="35">
        <f ca="1">IF(AND(COLUMN()&gt;=11,COLUMN()&lt;=20),(_xlfn.XLOOKUP($A10,'Oferta Producto 3'!$B$10:$B$21,'Oferta Producto 3'!$E$10:$E$21))/SUMIF($A$7:$AC$128,$A10,$AB$6:$AB$127)*K$5,0)</f>
        <v>0</v>
      </c>
      <c r="L10" s="35">
        <f ca="1">IF(AND(COLUMN()&gt;=11,COLUMN()&lt;=20),(_xlfn.XLOOKUP($A10,'Oferta Producto 3'!$B$10:$B$21,'Oferta Producto 3'!$E$10:$E$21))/SUMIF($A$7:$AC$128,$A10,$AB$6:$AB$127)*L$5,0)</f>
        <v>0</v>
      </c>
      <c r="M10" s="35">
        <f ca="1">IF(AND(COLUMN()&gt;=11,COLUMN()&lt;=20),(_xlfn.XLOOKUP($A10,'Oferta Producto 3'!$B$10:$B$21,'Oferta Producto 3'!$E$10:$E$21))/SUMIF($A$7:$AC$128,$A10,$AB$6:$AB$127)*M$5,0)</f>
        <v>0</v>
      </c>
      <c r="N10" s="35">
        <f ca="1">IF(AND(COLUMN()&gt;=11,COLUMN()&lt;=20),(_xlfn.XLOOKUP($A10,'Oferta Producto 3'!$B$10:$B$21,'Oferta Producto 3'!$E$10:$E$21))/SUMIF($A$7:$AC$128,$A10,$AB$6:$AB$127)*N$5,0)</f>
        <v>0</v>
      </c>
      <c r="O10" s="35">
        <f ca="1">IF(AND(COLUMN()&gt;=11,COLUMN()&lt;=20),(_xlfn.XLOOKUP($A10,'Oferta Producto 3'!$B$10:$B$21,'Oferta Producto 3'!$E$10:$E$21))/SUMIF($A$7:$AC$128,$A10,$AB$6:$AB$127)*O$5,0)</f>
        <v>0</v>
      </c>
      <c r="P10" s="35">
        <f ca="1">IF(AND(COLUMN()&gt;=11,COLUMN()&lt;=20),(_xlfn.XLOOKUP($A10,'Oferta Producto 3'!$B$10:$B$21,'Oferta Producto 3'!$E$10:$E$21))/SUMIF($A$7:$AC$128,$A10,$AB$6:$AB$127)*P$5,0)</f>
        <v>0</v>
      </c>
      <c r="Q10" s="35">
        <f ca="1">IF(AND(COLUMN()&gt;=11,COLUMN()&lt;=20),(_xlfn.XLOOKUP($A10,'Oferta Producto 3'!$B$10:$B$21,'Oferta Producto 3'!$E$10:$E$21))/SUMIF($A$7:$AC$128,$A10,$AB$6:$AB$127)*Q$5,0)</f>
        <v>0</v>
      </c>
      <c r="R10" s="35">
        <f ca="1">IF(AND(COLUMN()&gt;=11,COLUMN()&lt;=20),(_xlfn.XLOOKUP($A10,'Oferta Producto 3'!$B$10:$B$21,'Oferta Producto 3'!$E$10:$E$21))/SUMIF($A$7:$AC$128,$A10,$AB$6:$AB$127)*R$5,0)</f>
        <v>0</v>
      </c>
      <c r="S10" s="35">
        <f ca="1">IF(AND(COLUMN()&gt;=11,COLUMN()&lt;=20),(_xlfn.XLOOKUP($A10,'Oferta Producto 3'!$B$10:$B$21,'Oferta Producto 3'!$E$10:$E$21))/SUMIF($A$7:$AC$128,$A10,$AB$6:$AB$127)*S$5,0)</f>
        <v>0</v>
      </c>
      <c r="T10" s="35">
        <f ca="1">IF(AND(COLUMN()&gt;=11,COLUMN()&lt;=20),(_xlfn.XLOOKUP($A10,'Oferta Producto 3'!$B$10:$B$21,'Oferta Producto 3'!$E$10:$E$21))/SUMIF($A$7:$AC$128,$A10,$AB$6:$AB$127)*T$5,0)</f>
        <v>0</v>
      </c>
      <c r="U10" s="35">
        <f>IF(AND(COLUMN()&gt;=11,COLUMN()&lt;=20),(_xlfn.XLOOKUP($A10,'Oferta Producto 3'!$B$10:$B$21,'Oferta Producto 3'!$E$10:$E$21))/SUMIF($A$7:$AC$128,$A10,$AB$6:$AB$127)*U$5,0)</f>
        <v>0</v>
      </c>
      <c r="V10" s="35">
        <f>IF(AND(COLUMN()&gt;=11,COLUMN()&lt;=20),(_xlfn.XLOOKUP($A10,'Oferta Producto 3'!$B$10:$B$21,'Oferta Producto 3'!$E$10:$E$21))/SUMIF($A$7:$AC$128,$A10,$AB$6:$AB$127)*V$5,0)</f>
        <v>0</v>
      </c>
      <c r="W10" s="35">
        <f>IF(AND(COLUMN()&gt;=11,COLUMN()&lt;=20),(_xlfn.XLOOKUP($A10,'Oferta Producto 3'!$B$10:$B$21,'Oferta Producto 3'!$E$10:$E$21))/SUMIF($A$7:$AC$128,$A10,$AB$6:$AB$127)*W$5,0)</f>
        <v>0</v>
      </c>
      <c r="X10" s="35">
        <f>IF(AND(COLUMN()&gt;=11,COLUMN()&lt;=20),(_xlfn.XLOOKUP($A10,'Oferta Producto 3'!$B$10:$B$21,'Oferta Producto 3'!$E$10:$E$21))/SUMIF($A$7:$AC$128,$A10,$AB$6:$AB$127)*X$5,0)</f>
        <v>0</v>
      </c>
      <c r="Y10" s="35">
        <f>IF(AND(COLUMN()&gt;=11,COLUMN()&lt;=20),(_xlfn.XLOOKUP($A10,'Oferta Producto 3'!$B$10:$B$21,'Oferta Producto 3'!$E$10:$E$21))/SUMIF($A$7:$AC$128,$A10,$AB$6:$AB$127)*Y$5,0)</f>
        <v>0</v>
      </c>
      <c r="Z10" s="35">
        <f>IF(AND(COLUMN()&gt;=11,COLUMN()&lt;=20),(_xlfn.XLOOKUP($A10,'Oferta Producto 3'!$B$10:$B$21,'Oferta Producto 3'!$E$10:$E$21))/SUMIF($A$7:$AC$128,$A10,$AB$6:$AB$127)*Z$5,0)</f>
        <v>0</v>
      </c>
      <c r="AA10" s="35">
        <f t="shared" ca="1" si="1"/>
        <v>0</v>
      </c>
      <c r="AB10" s="28">
        <f t="shared" si="2"/>
        <v>31</v>
      </c>
      <c r="AC10" s="29">
        <f t="shared" ca="1" si="3"/>
        <v>0</v>
      </c>
      <c r="AD10" s="48">
        <f ca="1">'Curvas Prod 3'!AC10/SUMIF('Curvas Prod 3'!A8:AC153,'Curva de la oferta Prod 3'!$A10,'Curvas Prod 3'!AC8:AC153)</f>
        <v>8.4931506849315067E-2</v>
      </c>
      <c r="AE10" s="45"/>
      <c r="AF10" s="49"/>
      <c r="AG10" s="49"/>
      <c r="AH10" s="49"/>
      <c r="AI10" s="49"/>
      <c r="AJ10" s="49"/>
      <c r="AK10" s="49"/>
    </row>
    <row r="11" spans="1:37" ht="15">
      <c r="A11" s="23">
        <f t="shared" si="0"/>
        <v>2026</v>
      </c>
      <c r="B11" s="27">
        <v>46113</v>
      </c>
      <c r="C11" s="35">
        <f>IF(AND(COLUMN()&gt;=11,COLUMN()&lt;=20),(_xlfn.XLOOKUP($A11,'Oferta Producto 3'!$B$10:$B$21,'Oferta Producto 3'!$E$10:$E$21))/SUMIF($A$7:$AC$128,$A11,$AB$6:$AB$127)*C$5,0)</f>
        <v>0</v>
      </c>
      <c r="D11" s="35">
        <f>IF(AND(COLUMN()&gt;=11,COLUMN()&lt;=20),(_xlfn.XLOOKUP($A11,'Oferta Producto 3'!$B$10:$B$21,'Oferta Producto 3'!$E$10:$E$21))/SUMIF($A$7:$AC$128,$A11,$AB$6:$AB$127)*D$5,0)</f>
        <v>0</v>
      </c>
      <c r="E11" s="35">
        <f>IF(AND(COLUMN()&gt;=11,COLUMN()&lt;=20),(_xlfn.XLOOKUP($A11,'Oferta Producto 3'!$B$10:$B$21,'Oferta Producto 3'!$E$10:$E$21))/SUMIF($A$7:$AC$128,$A11,$AB$6:$AB$127)*E$5,0)</f>
        <v>0</v>
      </c>
      <c r="F11" s="35">
        <f>IF(AND(COLUMN()&gt;=11,COLUMN()&lt;=20),(_xlfn.XLOOKUP($A11,'Oferta Producto 3'!$B$10:$B$21,'Oferta Producto 3'!$E$10:$E$21))/SUMIF($A$7:$AC$128,$A11,$AB$6:$AB$127)*F$5,0)</f>
        <v>0</v>
      </c>
      <c r="G11" s="35">
        <f>IF(AND(COLUMN()&gt;=11,COLUMN()&lt;=20),(_xlfn.XLOOKUP($A11,'Oferta Producto 3'!$B$10:$B$21,'Oferta Producto 3'!$E$10:$E$21))/SUMIF($A$7:$AC$128,$A11,$AB$6:$AB$127)*G$5,0)</f>
        <v>0</v>
      </c>
      <c r="H11" s="35">
        <f>IF(AND(COLUMN()&gt;=11,COLUMN()&lt;=20),(_xlfn.XLOOKUP($A11,'Oferta Producto 3'!$B$10:$B$21,'Oferta Producto 3'!$E$10:$E$21))/SUMIF($A$7:$AC$128,$A11,$AB$6:$AB$127)*H$5,0)</f>
        <v>0</v>
      </c>
      <c r="I11" s="35">
        <f>IF(AND(COLUMN()&gt;=11,COLUMN()&lt;=20),(_xlfn.XLOOKUP($A11,'Oferta Producto 3'!$B$10:$B$21,'Oferta Producto 3'!$E$10:$E$21))/SUMIF($A$7:$AC$128,$A11,$AB$6:$AB$127)*I$5,0)</f>
        <v>0</v>
      </c>
      <c r="J11" s="35">
        <f>IF(AND(COLUMN()&gt;=11,COLUMN()&lt;=20),(_xlfn.XLOOKUP($A11,'Oferta Producto 3'!$B$10:$B$21,'Oferta Producto 3'!$E$10:$E$21))/SUMIF($A$7:$AC$128,$A11,$AB$6:$AB$127)*J$5,0)</f>
        <v>0</v>
      </c>
      <c r="K11" s="35">
        <f ca="1">IF(AND(COLUMN()&gt;=11,COLUMN()&lt;=20),(_xlfn.XLOOKUP($A11,'Oferta Producto 3'!$B$10:$B$21,'Oferta Producto 3'!$E$10:$E$21))/SUMIF($A$7:$AC$128,$A11,$AB$6:$AB$127)*K$5,0)</f>
        <v>0</v>
      </c>
      <c r="L11" s="35">
        <f ca="1">IF(AND(COLUMN()&gt;=11,COLUMN()&lt;=20),(_xlfn.XLOOKUP($A11,'Oferta Producto 3'!$B$10:$B$21,'Oferta Producto 3'!$E$10:$E$21))/SUMIF($A$7:$AC$128,$A11,$AB$6:$AB$127)*L$5,0)</f>
        <v>0</v>
      </c>
      <c r="M11" s="35">
        <f ca="1">IF(AND(COLUMN()&gt;=11,COLUMN()&lt;=20),(_xlfn.XLOOKUP($A11,'Oferta Producto 3'!$B$10:$B$21,'Oferta Producto 3'!$E$10:$E$21))/SUMIF($A$7:$AC$128,$A11,$AB$6:$AB$127)*M$5,0)</f>
        <v>0</v>
      </c>
      <c r="N11" s="35">
        <f ca="1">IF(AND(COLUMN()&gt;=11,COLUMN()&lt;=20),(_xlfn.XLOOKUP($A11,'Oferta Producto 3'!$B$10:$B$21,'Oferta Producto 3'!$E$10:$E$21))/SUMIF($A$7:$AC$128,$A11,$AB$6:$AB$127)*N$5,0)</f>
        <v>0</v>
      </c>
      <c r="O11" s="35">
        <f ca="1">IF(AND(COLUMN()&gt;=11,COLUMN()&lt;=20),(_xlfn.XLOOKUP($A11,'Oferta Producto 3'!$B$10:$B$21,'Oferta Producto 3'!$E$10:$E$21))/SUMIF($A$7:$AC$128,$A11,$AB$6:$AB$127)*O$5,0)</f>
        <v>0</v>
      </c>
      <c r="P11" s="35">
        <f ca="1">IF(AND(COLUMN()&gt;=11,COLUMN()&lt;=20),(_xlfn.XLOOKUP($A11,'Oferta Producto 3'!$B$10:$B$21,'Oferta Producto 3'!$E$10:$E$21))/SUMIF($A$7:$AC$128,$A11,$AB$6:$AB$127)*P$5,0)</f>
        <v>0</v>
      </c>
      <c r="Q11" s="35">
        <f ca="1">IF(AND(COLUMN()&gt;=11,COLUMN()&lt;=20),(_xlfn.XLOOKUP($A11,'Oferta Producto 3'!$B$10:$B$21,'Oferta Producto 3'!$E$10:$E$21))/SUMIF($A$7:$AC$128,$A11,$AB$6:$AB$127)*Q$5,0)</f>
        <v>0</v>
      </c>
      <c r="R11" s="35">
        <f ca="1">IF(AND(COLUMN()&gt;=11,COLUMN()&lt;=20),(_xlfn.XLOOKUP($A11,'Oferta Producto 3'!$B$10:$B$21,'Oferta Producto 3'!$E$10:$E$21))/SUMIF($A$7:$AC$128,$A11,$AB$6:$AB$127)*R$5,0)</f>
        <v>0</v>
      </c>
      <c r="S11" s="35">
        <f ca="1">IF(AND(COLUMN()&gt;=11,COLUMN()&lt;=20),(_xlfn.XLOOKUP($A11,'Oferta Producto 3'!$B$10:$B$21,'Oferta Producto 3'!$E$10:$E$21))/SUMIF($A$7:$AC$128,$A11,$AB$6:$AB$127)*S$5,0)</f>
        <v>0</v>
      </c>
      <c r="T11" s="35">
        <f ca="1">IF(AND(COLUMN()&gt;=11,COLUMN()&lt;=20),(_xlfn.XLOOKUP($A11,'Oferta Producto 3'!$B$10:$B$21,'Oferta Producto 3'!$E$10:$E$21))/SUMIF($A$7:$AC$128,$A11,$AB$6:$AB$127)*T$5,0)</f>
        <v>0</v>
      </c>
      <c r="U11" s="35">
        <f>IF(AND(COLUMN()&gt;=11,COLUMN()&lt;=20),(_xlfn.XLOOKUP($A11,'Oferta Producto 3'!$B$10:$B$21,'Oferta Producto 3'!$E$10:$E$21))/SUMIF($A$7:$AC$128,$A11,$AB$6:$AB$127)*U$5,0)</f>
        <v>0</v>
      </c>
      <c r="V11" s="35">
        <f>IF(AND(COLUMN()&gt;=11,COLUMN()&lt;=20),(_xlfn.XLOOKUP($A11,'Oferta Producto 3'!$B$10:$B$21,'Oferta Producto 3'!$E$10:$E$21))/SUMIF($A$7:$AC$128,$A11,$AB$6:$AB$127)*V$5,0)</f>
        <v>0</v>
      </c>
      <c r="W11" s="35">
        <f>IF(AND(COLUMN()&gt;=11,COLUMN()&lt;=20),(_xlfn.XLOOKUP($A11,'Oferta Producto 3'!$B$10:$B$21,'Oferta Producto 3'!$E$10:$E$21))/SUMIF($A$7:$AC$128,$A11,$AB$6:$AB$127)*W$5,0)</f>
        <v>0</v>
      </c>
      <c r="X11" s="35">
        <f>IF(AND(COLUMN()&gt;=11,COLUMN()&lt;=20),(_xlfn.XLOOKUP($A11,'Oferta Producto 3'!$B$10:$B$21,'Oferta Producto 3'!$E$10:$E$21))/SUMIF($A$7:$AC$128,$A11,$AB$6:$AB$127)*X$5,0)</f>
        <v>0</v>
      </c>
      <c r="Y11" s="35">
        <f>IF(AND(COLUMN()&gt;=11,COLUMN()&lt;=20),(_xlfn.XLOOKUP($A11,'Oferta Producto 3'!$B$10:$B$21,'Oferta Producto 3'!$E$10:$E$21))/SUMIF($A$7:$AC$128,$A11,$AB$6:$AB$127)*Y$5,0)</f>
        <v>0</v>
      </c>
      <c r="Z11" s="35">
        <f>IF(AND(COLUMN()&gt;=11,COLUMN()&lt;=20),(_xlfn.XLOOKUP($A11,'Oferta Producto 3'!$B$10:$B$21,'Oferta Producto 3'!$E$10:$E$21))/SUMIF($A$7:$AC$128,$A11,$AB$6:$AB$127)*Z$5,0)</f>
        <v>0</v>
      </c>
      <c r="AA11" s="35">
        <f t="shared" ca="1" si="1"/>
        <v>0</v>
      </c>
      <c r="AB11" s="28">
        <f t="shared" si="2"/>
        <v>30</v>
      </c>
      <c r="AC11" s="29">
        <f t="shared" ca="1" si="3"/>
        <v>0</v>
      </c>
      <c r="AD11" s="48">
        <f ca="1">'Curvas Prod 3'!AC11/SUMIF('Curvas Prod 3'!A9:AC154,'Curva de la oferta Prod 3'!$A11,'Curvas Prod 3'!AC9:AC154)</f>
        <v>8.9820359281437126E-2</v>
      </c>
      <c r="AE11" s="45"/>
      <c r="AF11" s="49"/>
      <c r="AG11" s="49"/>
      <c r="AH11" s="49"/>
      <c r="AI11" s="49"/>
      <c r="AJ11" s="49"/>
      <c r="AK11" s="49"/>
    </row>
    <row r="12" spans="1:37" ht="15">
      <c r="A12" s="23">
        <f t="shared" si="0"/>
        <v>2026</v>
      </c>
      <c r="B12" s="27">
        <v>46143</v>
      </c>
      <c r="C12" s="35">
        <f>IF(AND(COLUMN()&gt;=11,COLUMN()&lt;=20),(_xlfn.XLOOKUP($A12,'Oferta Producto 3'!$B$10:$B$21,'Oferta Producto 3'!$E$10:$E$21))/SUMIF($A$7:$AC$128,$A12,$AB$6:$AB$127)*C$5,0)</f>
        <v>0</v>
      </c>
      <c r="D12" s="35">
        <f>IF(AND(COLUMN()&gt;=11,COLUMN()&lt;=20),(_xlfn.XLOOKUP($A12,'Oferta Producto 3'!$B$10:$B$21,'Oferta Producto 3'!$E$10:$E$21))/SUMIF($A$7:$AC$128,$A12,$AB$6:$AB$127)*D$5,0)</f>
        <v>0</v>
      </c>
      <c r="E12" s="35">
        <f>IF(AND(COLUMN()&gt;=11,COLUMN()&lt;=20),(_xlfn.XLOOKUP($A12,'Oferta Producto 3'!$B$10:$B$21,'Oferta Producto 3'!$E$10:$E$21))/SUMIF($A$7:$AC$128,$A12,$AB$6:$AB$127)*E$5,0)</f>
        <v>0</v>
      </c>
      <c r="F12" s="35">
        <f>IF(AND(COLUMN()&gt;=11,COLUMN()&lt;=20),(_xlfn.XLOOKUP($A12,'Oferta Producto 3'!$B$10:$B$21,'Oferta Producto 3'!$E$10:$E$21))/SUMIF($A$7:$AC$128,$A12,$AB$6:$AB$127)*F$5,0)</f>
        <v>0</v>
      </c>
      <c r="G12" s="35">
        <f>IF(AND(COLUMN()&gt;=11,COLUMN()&lt;=20),(_xlfn.XLOOKUP($A12,'Oferta Producto 3'!$B$10:$B$21,'Oferta Producto 3'!$E$10:$E$21))/SUMIF($A$7:$AC$128,$A12,$AB$6:$AB$127)*G$5,0)</f>
        <v>0</v>
      </c>
      <c r="H12" s="35">
        <f>IF(AND(COLUMN()&gt;=11,COLUMN()&lt;=20),(_xlfn.XLOOKUP($A12,'Oferta Producto 3'!$B$10:$B$21,'Oferta Producto 3'!$E$10:$E$21))/SUMIF($A$7:$AC$128,$A12,$AB$6:$AB$127)*H$5,0)</f>
        <v>0</v>
      </c>
      <c r="I12" s="35">
        <f>IF(AND(COLUMN()&gt;=11,COLUMN()&lt;=20),(_xlfn.XLOOKUP($A12,'Oferta Producto 3'!$B$10:$B$21,'Oferta Producto 3'!$E$10:$E$21))/SUMIF($A$7:$AC$128,$A12,$AB$6:$AB$127)*I$5,0)</f>
        <v>0</v>
      </c>
      <c r="J12" s="35">
        <f>IF(AND(COLUMN()&gt;=11,COLUMN()&lt;=20),(_xlfn.XLOOKUP($A12,'Oferta Producto 3'!$B$10:$B$21,'Oferta Producto 3'!$E$10:$E$21))/SUMIF($A$7:$AC$128,$A12,$AB$6:$AB$127)*J$5,0)</f>
        <v>0</v>
      </c>
      <c r="K12" s="35">
        <f ca="1">IF(AND(COLUMN()&gt;=11,COLUMN()&lt;=20),(_xlfn.XLOOKUP($A12,'Oferta Producto 3'!$B$10:$B$21,'Oferta Producto 3'!$E$10:$E$21))/SUMIF($A$7:$AC$128,$A12,$AB$6:$AB$127)*K$5,0)</f>
        <v>0</v>
      </c>
      <c r="L12" s="35">
        <f ca="1">IF(AND(COLUMN()&gt;=11,COLUMN()&lt;=20),(_xlfn.XLOOKUP($A12,'Oferta Producto 3'!$B$10:$B$21,'Oferta Producto 3'!$E$10:$E$21))/SUMIF($A$7:$AC$128,$A12,$AB$6:$AB$127)*L$5,0)</f>
        <v>0</v>
      </c>
      <c r="M12" s="35">
        <f ca="1">IF(AND(COLUMN()&gt;=11,COLUMN()&lt;=20),(_xlfn.XLOOKUP($A12,'Oferta Producto 3'!$B$10:$B$21,'Oferta Producto 3'!$E$10:$E$21))/SUMIF($A$7:$AC$128,$A12,$AB$6:$AB$127)*M$5,0)</f>
        <v>0</v>
      </c>
      <c r="N12" s="35">
        <f ca="1">IF(AND(COLUMN()&gt;=11,COLUMN()&lt;=20),(_xlfn.XLOOKUP($A12,'Oferta Producto 3'!$B$10:$B$21,'Oferta Producto 3'!$E$10:$E$21))/SUMIF($A$7:$AC$128,$A12,$AB$6:$AB$127)*N$5,0)</f>
        <v>0</v>
      </c>
      <c r="O12" s="35">
        <f ca="1">IF(AND(COLUMN()&gt;=11,COLUMN()&lt;=20),(_xlfn.XLOOKUP($A12,'Oferta Producto 3'!$B$10:$B$21,'Oferta Producto 3'!$E$10:$E$21))/SUMIF($A$7:$AC$128,$A12,$AB$6:$AB$127)*O$5,0)</f>
        <v>0</v>
      </c>
      <c r="P12" s="35">
        <f ca="1">IF(AND(COLUMN()&gt;=11,COLUMN()&lt;=20),(_xlfn.XLOOKUP($A12,'Oferta Producto 3'!$B$10:$B$21,'Oferta Producto 3'!$E$10:$E$21))/SUMIF($A$7:$AC$128,$A12,$AB$6:$AB$127)*P$5,0)</f>
        <v>0</v>
      </c>
      <c r="Q12" s="35">
        <f ca="1">IF(AND(COLUMN()&gt;=11,COLUMN()&lt;=20),(_xlfn.XLOOKUP($A12,'Oferta Producto 3'!$B$10:$B$21,'Oferta Producto 3'!$E$10:$E$21))/SUMIF($A$7:$AC$128,$A12,$AB$6:$AB$127)*Q$5,0)</f>
        <v>0</v>
      </c>
      <c r="R12" s="35">
        <f ca="1">IF(AND(COLUMN()&gt;=11,COLUMN()&lt;=20),(_xlfn.XLOOKUP($A12,'Oferta Producto 3'!$B$10:$B$21,'Oferta Producto 3'!$E$10:$E$21))/SUMIF($A$7:$AC$128,$A12,$AB$6:$AB$127)*R$5,0)</f>
        <v>0</v>
      </c>
      <c r="S12" s="35">
        <f ca="1">IF(AND(COLUMN()&gt;=11,COLUMN()&lt;=20),(_xlfn.XLOOKUP($A12,'Oferta Producto 3'!$B$10:$B$21,'Oferta Producto 3'!$E$10:$E$21))/SUMIF($A$7:$AC$128,$A12,$AB$6:$AB$127)*S$5,0)</f>
        <v>0</v>
      </c>
      <c r="T12" s="35">
        <f ca="1">IF(AND(COLUMN()&gt;=11,COLUMN()&lt;=20),(_xlfn.XLOOKUP($A12,'Oferta Producto 3'!$B$10:$B$21,'Oferta Producto 3'!$E$10:$E$21))/SUMIF($A$7:$AC$128,$A12,$AB$6:$AB$127)*T$5,0)</f>
        <v>0</v>
      </c>
      <c r="U12" s="35">
        <f>IF(AND(COLUMN()&gt;=11,COLUMN()&lt;=20),(_xlfn.XLOOKUP($A12,'Oferta Producto 3'!$B$10:$B$21,'Oferta Producto 3'!$E$10:$E$21))/SUMIF($A$7:$AC$128,$A12,$AB$6:$AB$127)*U$5,0)</f>
        <v>0</v>
      </c>
      <c r="V12" s="35">
        <f>IF(AND(COLUMN()&gt;=11,COLUMN()&lt;=20),(_xlfn.XLOOKUP($A12,'Oferta Producto 3'!$B$10:$B$21,'Oferta Producto 3'!$E$10:$E$21))/SUMIF($A$7:$AC$128,$A12,$AB$6:$AB$127)*V$5,0)</f>
        <v>0</v>
      </c>
      <c r="W12" s="35">
        <f>IF(AND(COLUMN()&gt;=11,COLUMN()&lt;=20),(_xlfn.XLOOKUP($A12,'Oferta Producto 3'!$B$10:$B$21,'Oferta Producto 3'!$E$10:$E$21))/SUMIF($A$7:$AC$128,$A12,$AB$6:$AB$127)*W$5,0)</f>
        <v>0</v>
      </c>
      <c r="X12" s="35">
        <f>IF(AND(COLUMN()&gt;=11,COLUMN()&lt;=20),(_xlfn.XLOOKUP($A12,'Oferta Producto 3'!$B$10:$B$21,'Oferta Producto 3'!$E$10:$E$21))/SUMIF($A$7:$AC$128,$A12,$AB$6:$AB$127)*X$5,0)</f>
        <v>0</v>
      </c>
      <c r="Y12" s="35">
        <f>IF(AND(COLUMN()&gt;=11,COLUMN()&lt;=20),(_xlfn.XLOOKUP($A12,'Oferta Producto 3'!$B$10:$B$21,'Oferta Producto 3'!$E$10:$E$21))/SUMIF($A$7:$AC$128,$A12,$AB$6:$AB$127)*Y$5,0)</f>
        <v>0</v>
      </c>
      <c r="Z12" s="35">
        <f>IF(AND(COLUMN()&gt;=11,COLUMN()&lt;=20),(_xlfn.XLOOKUP($A12,'Oferta Producto 3'!$B$10:$B$21,'Oferta Producto 3'!$E$10:$E$21))/SUMIF($A$7:$AC$128,$A12,$AB$6:$AB$127)*Z$5,0)</f>
        <v>0</v>
      </c>
      <c r="AA12" s="35">
        <f t="shared" ca="1" si="1"/>
        <v>0</v>
      </c>
      <c r="AB12" s="28">
        <f t="shared" si="2"/>
        <v>31</v>
      </c>
      <c r="AC12" s="29">
        <f t="shared" ca="1" si="3"/>
        <v>0</v>
      </c>
      <c r="AD12" s="48">
        <f ca="1">'Curvas Prod 3'!AC12/SUMIF('Curvas Prod 3'!A10:AC155,'Curva de la oferta Prod 3'!$A12,'Curvas Prod 3'!AC10:AC155)</f>
        <v>0.10130718954248366</v>
      </c>
      <c r="AE12" s="45"/>
      <c r="AF12" s="49"/>
      <c r="AG12" s="49"/>
      <c r="AH12" s="49"/>
      <c r="AI12" s="49"/>
      <c r="AJ12" s="49"/>
      <c r="AK12" s="49"/>
    </row>
    <row r="13" spans="1:37" ht="15">
      <c r="A13" s="23">
        <f t="shared" si="0"/>
        <v>2026</v>
      </c>
      <c r="B13" s="27">
        <v>46174</v>
      </c>
      <c r="C13" s="35">
        <f>IF(AND(COLUMN()&gt;=11,COLUMN()&lt;=20),(_xlfn.XLOOKUP($A13,'Oferta Producto 3'!$B$10:$B$21,'Oferta Producto 3'!$E$10:$E$21))/SUMIF($A$7:$AC$128,$A13,$AB$6:$AB$127)*C$5,0)</f>
        <v>0</v>
      </c>
      <c r="D13" s="35">
        <f>IF(AND(COLUMN()&gt;=11,COLUMN()&lt;=20),(_xlfn.XLOOKUP($A13,'Oferta Producto 3'!$B$10:$B$21,'Oferta Producto 3'!$E$10:$E$21))/SUMIF($A$7:$AC$128,$A13,$AB$6:$AB$127)*D$5,0)</f>
        <v>0</v>
      </c>
      <c r="E13" s="35">
        <f>IF(AND(COLUMN()&gt;=11,COLUMN()&lt;=20),(_xlfn.XLOOKUP($A13,'Oferta Producto 3'!$B$10:$B$21,'Oferta Producto 3'!$E$10:$E$21))/SUMIF($A$7:$AC$128,$A13,$AB$6:$AB$127)*E$5,0)</f>
        <v>0</v>
      </c>
      <c r="F13" s="35">
        <f>IF(AND(COLUMN()&gt;=11,COLUMN()&lt;=20),(_xlfn.XLOOKUP($A13,'Oferta Producto 3'!$B$10:$B$21,'Oferta Producto 3'!$E$10:$E$21))/SUMIF($A$7:$AC$128,$A13,$AB$6:$AB$127)*F$5,0)</f>
        <v>0</v>
      </c>
      <c r="G13" s="35">
        <f>IF(AND(COLUMN()&gt;=11,COLUMN()&lt;=20),(_xlfn.XLOOKUP($A13,'Oferta Producto 3'!$B$10:$B$21,'Oferta Producto 3'!$E$10:$E$21))/SUMIF($A$7:$AC$128,$A13,$AB$6:$AB$127)*G$5,0)</f>
        <v>0</v>
      </c>
      <c r="H13" s="35">
        <f>IF(AND(COLUMN()&gt;=11,COLUMN()&lt;=20),(_xlfn.XLOOKUP($A13,'Oferta Producto 3'!$B$10:$B$21,'Oferta Producto 3'!$E$10:$E$21))/SUMIF($A$7:$AC$128,$A13,$AB$6:$AB$127)*H$5,0)</f>
        <v>0</v>
      </c>
      <c r="I13" s="35">
        <f>IF(AND(COLUMN()&gt;=11,COLUMN()&lt;=20),(_xlfn.XLOOKUP($A13,'Oferta Producto 3'!$B$10:$B$21,'Oferta Producto 3'!$E$10:$E$21))/SUMIF($A$7:$AC$128,$A13,$AB$6:$AB$127)*I$5,0)</f>
        <v>0</v>
      </c>
      <c r="J13" s="35">
        <f>IF(AND(COLUMN()&gt;=11,COLUMN()&lt;=20),(_xlfn.XLOOKUP($A13,'Oferta Producto 3'!$B$10:$B$21,'Oferta Producto 3'!$E$10:$E$21))/SUMIF($A$7:$AC$128,$A13,$AB$6:$AB$127)*J$5,0)</f>
        <v>0</v>
      </c>
      <c r="K13" s="35">
        <f ca="1">IF(AND(COLUMN()&gt;=11,COLUMN()&lt;=20),(_xlfn.XLOOKUP($A13,'Oferta Producto 3'!$B$10:$B$21,'Oferta Producto 3'!$E$10:$E$21))/SUMIF($A$7:$AC$128,$A13,$AB$6:$AB$127)*K$5,0)</f>
        <v>0</v>
      </c>
      <c r="L13" s="35">
        <f ca="1">IF(AND(COLUMN()&gt;=11,COLUMN()&lt;=20),(_xlfn.XLOOKUP($A13,'Oferta Producto 3'!$B$10:$B$21,'Oferta Producto 3'!$E$10:$E$21))/SUMIF($A$7:$AC$128,$A13,$AB$6:$AB$127)*L$5,0)</f>
        <v>0</v>
      </c>
      <c r="M13" s="35">
        <f ca="1">IF(AND(COLUMN()&gt;=11,COLUMN()&lt;=20),(_xlfn.XLOOKUP($A13,'Oferta Producto 3'!$B$10:$B$21,'Oferta Producto 3'!$E$10:$E$21))/SUMIF($A$7:$AC$128,$A13,$AB$6:$AB$127)*M$5,0)</f>
        <v>0</v>
      </c>
      <c r="N13" s="35">
        <f ca="1">IF(AND(COLUMN()&gt;=11,COLUMN()&lt;=20),(_xlfn.XLOOKUP($A13,'Oferta Producto 3'!$B$10:$B$21,'Oferta Producto 3'!$E$10:$E$21))/SUMIF($A$7:$AC$128,$A13,$AB$6:$AB$127)*N$5,0)</f>
        <v>0</v>
      </c>
      <c r="O13" s="35">
        <f ca="1">IF(AND(COLUMN()&gt;=11,COLUMN()&lt;=20),(_xlfn.XLOOKUP($A13,'Oferta Producto 3'!$B$10:$B$21,'Oferta Producto 3'!$E$10:$E$21))/SUMIF($A$7:$AC$128,$A13,$AB$6:$AB$127)*O$5,0)</f>
        <v>0</v>
      </c>
      <c r="P13" s="35">
        <f ca="1">IF(AND(COLUMN()&gt;=11,COLUMN()&lt;=20),(_xlfn.XLOOKUP($A13,'Oferta Producto 3'!$B$10:$B$21,'Oferta Producto 3'!$E$10:$E$21))/SUMIF($A$7:$AC$128,$A13,$AB$6:$AB$127)*P$5,0)</f>
        <v>0</v>
      </c>
      <c r="Q13" s="35">
        <f ca="1">IF(AND(COLUMN()&gt;=11,COLUMN()&lt;=20),(_xlfn.XLOOKUP($A13,'Oferta Producto 3'!$B$10:$B$21,'Oferta Producto 3'!$E$10:$E$21))/SUMIF($A$7:$AC$128,$A13,$AB$6:$AB$127)*Q$5,0)</f>
        <v>0</v>
      </c>
      <c r="R13" s="35">
        <f ca="1">IF(AND(COLUMN()&gt;=11,COLUMN()&lt;=20),(_xlfn.XLOOKUP($A13,'Oferta Producto 3'!$B$10:$B$21,'Oferta Producto 3'!$E$10:$E$21))/SUMIF($A$7:$AC$128,$A13,$AB$6:$AB$127)*R$5,0)</f>
        <v>0</v>
      </c>
      <c r="S13" s="35">
        <f ca="1">IF(AND(COLUMN()&gt;=11,COLUMN()&lt;=20),(_xlfn.XLOOKUP($A13,'Oferta Producto 3'!$B$10:$B$21,'Oferta Producto 3'!$E$10:$E$21))/SUMIF($A$7:$AC$128,$A13,$AB$6:$AB$127)*S$5,0)</f>
        <v>0</v>
      </c>
      <c r="T13" s="35">
        <f ca="1">IF(AND(COLUMN()&gt;=11,COLUMN()&lt;=20),(_xlfn.XLOOKUP($A13,'Oferta Producto 3'!$B$10:$B$21,'Oferta Producto 3'!$E$10:$E$21))/SUMIF($A$7:$AC$128,$A13,$AB$6:$AB$127)*T$5,0)</f>
        <v>0</v>
      </c>
      <c r="U13" s="35">
        <f>IF(AND(COLUMN()&gt;=11,COLUMN()&lt;=20),(_xlfn.XLOOKUP($A13,'Oferta Producto 3'!$B$10:$B$21,'Oferta Producto 3'!$E$10:$E$21))/SUMIF($A$7:$AC$128,$A13,$AB$6:$AB$127)*U$5,0)</f>
        <v>0</v>
      </c>
      <c r="V13" s="35">
        <f>IF(AND(COLUMN()&gt;=11,COLUMN()&lt;=20),(_xlfn.XLOOKUP($A13,'Oferta Producto 3'!$B$10:$B$21,'Oferta Producto 3'!$E$10:$E$21))/SUMIF($A$7:$AC$128,$A13,$AB$6:$AB$127)*V$5,0)</f>
        <v>0</v>
      </c>
      <c r="W13" s="35">
        <f>IF(AND(COLUMN()&gt;=11,COLUMN()&lt;=20),(_xlfn.XLOOKUP($A13,'Oferta Producto 3'!$B$10:$B$21,'Oferta Producto 3'!$E$10:$E$21))/SUMIF($A$7:$AC$128,$A13,$AB$6:$AB$127)*W$5,0)</f>
        <v>0</v>
      </c>
      <c r="X13" s="35">
        <f>IF(AND(COLUMN()&gt;=11,COLUMN()&lt;=20),(_xlfn.XLOOKUP($A13,'Oferta Producto 3'!$B$10:$B$21,'Oferta Producto 3'!$E$10:$E$21))/SUMIF($A$7:$AC$128,$A13,$AB$6:$AB$127)*X$5,0)</f>
        <v>0</v>
      </c>
      <c r="Y13" s="35">
        <f>IF(AND(COLUMN()&gt;=11,COLUMN()&lt;=20),(_xlfn.XLOOKUP($A13,'Oferta Producto 3'!$B$10:$B$21,'Oferta Producto 3'!$E$10:$E$21))/SUMIF($A$7:$AC$128,$A13,$AB$6:$AB$127)*Y$5,0)</f>
        <v>0</v>
      </c>
      <c r="Z13" s="35">
        <f>IF(AND(COLUMN()&gt;=11,COLUMN()&lt;=20),(_xlfn.XLOOKUP($A13,'Oferta Producto 3'!$B$10:$B$21,'Oferta Producto 3'!$E$10:$E$21))/SUMIF($A$7:$AC$128,$A13,$AB$6:$AB$127)*Z$5,0)</f>
        <v>0</v>
      </c>
      <c r="AA13" s="35">
        <f t="shared" ca="1" si="1"/>
        <v>0</v>
      </c>
      <c r="AB13" s="28">
        <f t="shared" si="2"/>
        <v>30</v>
      </c>
      <c r="AC13" s="29">
        <f t="shared" ca="1" si="3"/>
        <v>0</v>
      </c>
      <c r="AD13" s="48">
        <f ca="1">'Curvas Prod 3'!AC13/SUMIF('Curvas Prod 3'!A11:AC156,'Curva de la oferta Prod 3'!$A13,'Curvas Prod 3'!AC11:AC156)</f>
        <v>0.10909090909090909</v>
      </c>
      <c r="AE13" s="45"/>
      <c r="AF13" s="49"/>
      <c r="AG13" s="49"/>
      <c r="AH13" s="49"/>
      <c r="AI13" s="49"/>
      <c r="AJ13" s="49"/>
      <c r="AK13" s="49"/>
    </row>
    <row r="14" spans="1:37" ht="15">
      <c r="A14" s="23">
        <f t="shared" si="0"/>
        <v>2026</v>
      </c>
      <c r="B14" s="27">
        <v>46204</v>
      </c>
      <c r="C14" s="35">
        <f>IF(AND(COLUMN()&gt;=11,COLUMN()&lt;=20),(_xlfn.XLOOKUP($A14,'Oferta Producto 3'!$B$10:$B$21,'Oferta Producto 3'!$E$10:$E$21))/SUMIF($A$7:$AC$128,$A14,$AB$6:$AB$127)*C$5,0)</f>
        <v>0</v>
      </c>
      <c r="D14" s="35">
        <f>IF(AND(COLUMN()&gt;=11,COLUMN()&lt;=20),(_xlfn.XLOOKUP($A14,'Oferta Producto 3'!$B$10:$B$21,'Oferta Producto 3'!$E$10:$E$21))/SUMIF($A$7:$AC$128,$A14,$AB$6:$AB$127)*D$5,0)</f>
        <v>0</v>
      </c>
      <c r="E14" s="35">
        <f>IF(AND(COLUMN()&gt;=11,COLUMN()&lt;=20),(_xlfn.XLOOKUP($A14,'Oferta Producto 3'!$B$10:$B$21,'Oferta Producto 3'!$E$10:$E$21))/SUMIF($A$7:$AC$128,$A14,$AB$6:$AB$127)*E$5,0)</f>
        <v>0</v>
      </c>
      <c r="F14" s="35">
        <f>IF(AND(COLUMN()&gt;=11,COLUMN()&lt;=20),(_xlfn.XLOOKUP($A14,'Oferta Producto 3'!$B$10:$B$21,'Oferta Producto 3'!$E$10:$E$21))/SUMIF($A$7:$AC$128,$A14,$AB$6:$AB$127)*F$5,0)</f>
        <v>0</v>
      </c>
      <c r="G14" s="35">
        <f>IF(AND(COLUMN()&gt;=11,COLUMN()&lt;=20),(_xlfn.XLOOKUP($A14,'Oferta Producto 3'!$B$10:$B$21,'Oferta Producto 3'!$E$10:$E$21))/SUMIF($A$7:$AC$128,$A14,$AB$6:$AB$127)*G$5,0)</f>
        <v>0</v>
      </c>
      <c r="H14" s="35">
        <f>IF(AND(COLUMN()&gt;=11,COLUMN()&lt;=20),(_xlfn.XLOOKUP($A14,'Oferta Producto 3'!$B$10:$B$21,'Oferta Producto 3'!$E$10:$E$21))/SUMIF($A$7:$AC$128,$A14,$AB$6:$AB$127)*H$5,0)</f>
        <v>0</v>
      </c>
      <c r="I14" s="35">
        <f>IF(AND(COLUMN()&gt;=11,COLUMN()&lt;=20),(_xlfn.XLOOKUP($A14,'Oferta Producto 3'!$B$10:$B$21,'Oferta Producto 3'!$E$10:$E$21))/SUMIF($A$7:$AC$128,$A14,$AB$6:$AB$127)*I$5,0)</f>
        <v>0</v>
      </c>
      <c r="J14" s="35">
        <f>IF(AND(COLUMN()&gt;=11,COLUMN()&lt;=20),(_xlfn.XLOOKUP($A14,'Oferta Producto 3'!$B$10:$B$21,'Oferta Producto 3'!$E$10:$E$21))/SUMIF($A$7:$AC$128,$A14,$AB$6:$AB$127)*J$5,0)</f>
        <v>0</v>
      </c>
      <c r="K14" s="35">
        <f ca="1">IF(AND(COLUMN()&gt;=11,COLUMN()&lt;=20),(_xlfn.XLOOKUP($A14,'Oferta Producto 3'!$B$10:$B$21,'Oferta Producto 3'!$E$10:$E$21))/SUMIF($A$7:$AC$128,$A14,$AB$6:$AB$127)*K$5,0)</f>
        <v>0</v>
      </c>
      <c r="L14" s="35">
        <f ca="1">IF(AND(COLUMN()&gt;=11,COLUMN()&lt;=20),(_xlfn.XLOOKUP($A14,'Oferta Producto 3'!$B$10:$B$21,'Oferta Producto 3'!$E$10:$E$21))/SUMIF($A$7:$AC$128,$A14,$AB$6:$AB$127)*L$5,0)</f>
        <v>0</v>
      </c>
      <c r="M14" s="35">
        <f ca="1">IF(AND(COLUMN()&gt;=11,COLUMN()&lt;=20),(_xlfn.XLOOKUP($A14,'Oferta Producto 3'!$B$10:$B$21,'Oferta Producto 3'!$E$10:$E$21))/SUMIF($A$7:$AC$128,$A14,$AB$6:$AB$127)*M$5,0)</f>
        <v>0</v>
      </c>
      <c r="N14" s="35">
        <f ca="1">IF(AND(COLUMN()&gt;=11,COLUMN()&lt;=20),(_xlfn.XLOOKUP($A14,'Oferta Producto 3'!$B$10:$B$21,'Oferta Producto 3'!$E$10:$E$21))/SUMIF($A$7:$AC$128,$A14,$AB$6:$AB$127)*N$5,0)</f>
        <v>0</v>
      </c>
      <c r="O14" s="35">
        <f ca="1">IF(AND(COLUMN()&gt;=11,COLUMN()&lt;=20),(_xlfn.XLOOKUP($A14,'Oferta Producto 3'!$B$10:$B$21,'Oferta Producto 3'!$E$10:$E$21))/SUMIF($A$7:$AC$128,$A14,$AB$6:$AB$127)*O$5,0)</f>
        <v>0</v>
      </c>
      <c r="P14" s="35">
        <f ca="1">IF(AND(COLUMN()&gt;=11,COLUMN()&lt;=20),(_xlfn.XLOOKUP($A14,'Oferta Producto 3'!$B$10:$B$21,'Oferta Producto 3'!$E$10:$E$21))/SUMIF($A$7:$AC$128,$A14,$AB$6:$AB$127)*P$5,0)</f>
        <v>0</v>
      </c>
      <c r="Q14" s="35">
        <f ca="1">IF(AND(COLUMN()&gt;=11,COLUMN()&lt;=20),(_xlfn.XLOOKUP($A14,'Oferta Producto 3'!$B$10:$B$21,'Oferta Producto 3'!$E$10:$E$21))/SUMIF($A$7:$AC$128,$A14,$AB$6:$AB$127)*Q$5,0)</f>
        <v>0</v>
      </c>
      <c r="R14" s="35">
        <f ca="1">IF(AND(COLUMN()&gt;=11,COLUMN()&lt;=20),(_xlfn.XLOOKUP($A14,'Oferta Producto 3'!$B$10:$B$21,'Oferta Producto 3'!$E$10:$E$21))/SUMIF($A$7:$AC$128,$A14,$AB$6:$AB$127)*R$5,0)</f>
        <v>0</v>
      </c>
      <c r="S14" s="35">
        <f ca="1">IF(AND(COLUMN()&gt;=11,COLUMN()&lt;=20),(_xlfn.XLOOKUP($A14,'Oferta Producto 3'!$B$10:$B$21,'Oferta Producto 3'!$E$10:$E$21))/SUMIF($A$7:$AC$128,$A14,$AB$6:$AB$127)*S$5,0)</f>
        <v>0</v>
      </c>
      <c r="T14" s="35">
        <f ca="1">IF(AND(COLUMN()&gt;=11,COLUMN()&lt;=20),(_xlfn.XLOOKUP($A14,'Oferta Producto 3'!$B$10:$B$21,'Oferta Producto 3'!$E$10:$E$21))/SUMIF($A$7:$AC$128,$A14,$AB$6:$AB$127)*T$5,0)</f>
        <v>0</v>
      </c>
      <c r="U14" s="35">
        <f>IF(AND(COLUMN()&gt;=11,COLUMN()&lt;=20),(_xlfn.XLOOKUP($A14,'Oferta Producto 3'!$B$10:$B$21,'Oferta Producto 3'!$E$10:$E$21))/SUMIF($A$7:$AC$128,$A14,$AB$6:$AB$127)*U$5,0)</f>
        <v>0</v>
      </c>
      <c r="V14" s="35">
        <f>IF(AND(COLUMN()&gt;=11,COLUMN()&lt;=20),(_xlfn.XLOOKUP($A14,'Oferta Producto 3'!$B$10:$B$21,'Oferta Producto 3'!$E$10:$E$21))/SUMIF($A$7:$AC$128,$A14,$AB$6:$AB$127)*V$5,0)</f>
        <v>0</v>
      </c>
      <c r="W14" s="35">
        <f>IF(AND(COLUMN()&gt;=11,COLUMN()&lt;=20),(_xlfn.XLOOKUP($A14,'Oferta Producto 3'!$B$10:$B$21,'Oferta Producto 3'!$E$10:$E$21))/SUMIF($A$7:$AC$128,$A14,$AB$6:$AB$127)*W$5,0)</f>
        <v>0</v>
      </c>
      <c r="X14" s="35">
        <f>IF(AND(COLUMN()&gt;=11,COLUMN()&lt;=20),(_xlfn.XLOOKUP($A14,'Oferta Producto 3'!$B$10:$B$21,'Oferta Producto 3'!$E$10:$E$21))/SUMIF($A$7:$AC$128,$A14,$AB$6:$AB$127)*X$5,0)</f>
        <v>0</v>
      </c>
      <c r="Y14" s="35">
        <f>IF(AND(COLUMN()&gt;=11,COLUMN()&lt;=20),(_xlfn.XLOOKUP($A14,'Oferta Producto 3'!$B$10:$B$21,'Oferta Producto 3'!$E$10:$E$21))/SUMIF($A$7:$AC$128,$A14,$AB$6:$AB$127)*Y$5,0)</f>
        <v>0</v>
      </c>
      <c r="Z14" s="35">
        <f>IF(AND(COLUMN()&gt;=11,COLUMN()&lt;=20),(_xlfn.XLOOKUP($A14,'Oferta Producto 3'!$B$10:$B$21,'Oferta Producto 3'!$E$10:$E$21))/SUMIF($A$7:$AC$128,$A14,$AB$6:$AB$127)*Z$5,0)</f>
        <v>0</v>
      </c>
      <c r="AA14" s="35">
        <f t="shared" ca="1" si="1"/>
        <v>0</v>
      </c>
      <c r="AB14" s="28">
        <f t="shared" si="2"/>
        <v>31</v>
      </c>
      <c r="AC14" s="29">
        <f t="shared" ca="1" si="3"/>
        <v>0</v>
      </c>
      <c r="AD14" s="48">
        <f ca="1">'Curvas Prod 3'!AC14/SUMIF('Curvas Prod 3'!A12:AC157,'Curva de la oferta Prod 3'!$A14,'Curvas Prod 3'!AC12:AC157)</f>
        <v>0.12653061224489795</v>
      </c>
      <c r="AE14" s="45"/>
      <c r="AF14" s="49"/>
      <c r="AG14" s="49"/>
      <c r="AH14" s="49"/>
      <c r="AI14" s="49"/>
      <c r="AJ14" s="49"/>
      <c r="AK14" s="49"/>
    </row>
    <row r="15" spans="1:37" ht="15">
      <c r="A15" s="23">
        <f t="shared" si="0"/>
        <v>2026</v>
      </c>
      <c r="B15" s="27">
        <v>46235</v>
      </c>
      <c r="C15" s="35">
        <f>IF(AND(COLUMN()&gt;=11,COLUMN()&lt;=20),(_xlfn.XLOOKUP($A15,'Oferta Producto 3'!$B$10:$B$21,'Oferta Producto 3'!$E$10:$E$21))/SUMIF($A$7:$AC$128,$A15,$AB$6:$AB$127)*C$5,0)</f>
        <v>0</v>
      </c>
      <c r="D15" s="35">
        <f>IF(AND(COLUMN()&gt;=11,COLUMN()&lt;=20),(_xlfn.XLOOKUP($A15,'Oferta Producto 3'!$B$10:$B$21,'Oferta Producto 3'!$E$10:$E$21))/SUMIF($A$7:$AC$128,$A15,$AB$6:$AB$127)*D$5,0)</f>
        <v>0</v>
      </c>
      <c r="E15" s="35">
        <f>IF(AND(COLUMN()&gt;=11,COLUMN()&lt;=20),(_xlfn.XLOOKUP($A15,'Oferta Producto 3'!$B$10:$B$21,'Oferta Producto 3'!$E$10:$E$21))/SUMIF($A$7:$AC$128,$A15,$AB$6:$AB$127)*E$5,0)</f>
        <v>0</v>
      </c>
      <c r="F15" s="35">
        <f>IF(AND(COLUMN()&gt;=11,COLUMN()&lt;=20),(_xlfn.XLOOKUP($A15,'Oferta Producto 3'!$B$10:$B$21,'Oferta Producto 3'!$E$10:$E$21))/SUMIF($A$7:$AC$128,$A15,$AB$6:$AB$127)*F$5,0)</f>
        <v>0</v>
      </c>
      <c r="G15" s="35">
        <f>IF(AND(COLUMN()&gt;=11,COLUMN()&lt;=20),(_xlfn.XLOOKUP($A15,'Oferta Producto 3'!$B$10:$B$21,'Oferta Producto 3'!$E$10:$E$21))/SUMIF($A$7:$AC$128,$A15,$AB$6:$AB$127)*G$5,0)</f>
        <v>0</v>
      </c>
      <c r="H15" s="35">
        <f>IF(AND(COLUMN()&gt;=11,COLUMN()&lt;=20),(_xlfn.XLOOKUP($A15,'Oferta Producto 3'!$B$10:$B$21,'Oferta Producto 3'!$E$10:$E$21))/SUMIF($A$7:$AC$128,$A15,$AB$6:$AB$127)*H$5,0)</f>
        <v>0</v>
      </c>
      <c r="I15" s="35">
        <f>IF(AND(COLUMN()&gt;=11,COLUMN()&lt;=20),(_xlfn.XLOOKUP($A15,'Oferta Producto 3'!$B$10:$B$21,'Oferta Producto 3'!$E$10:$E$21))/SUMIF($A$7:$AC$128,$A15,$AB$6:$AB$127)*I$5,0)</f>
        <v>0</v>
      </c>
      <c r="J15" s="35">
        <f>IF(AND(COLUMN()&gt;=11,COLUMN()&lt;=20),(_xlfn.XLOOKUP($A15,'Oferta Producto 3'!$B$10:$B$21,'Oferta Producto 3'!$E$10:$E$21))/SUMIF($A$7:$AC$128,$A15,$AB$6:$AB$127)*J$5,0)</f>
        <v>0</v>
      </c>
      <c r="K15" s="35">
        <f ca="1">IF(AND(COLUMN()&gt;=11,COLUMN()&lt;=20),(_xlfn.XLOOKUP($A15,'Oferta Producto 3'!$B$10:$B$21,'Oferta Producto 3'!$E$10:$E$21))/SUMIF($A$7:$AC$128,$A15,$AB$6:$AB$127)*K$5,0)</f>
        <v>0</v>
      </c>
      <c r="L15" s="35">
        <f ca="1">IF(AND(COLUMN()&gt;=11,COLUMN()&lt;=20),(_xlfn.XLOOKUP($A15,'Oferta Producto 3'!$B$10:$B$21,'Oferta Producto 3'!$E$10:$E$21))/SUMIF($A$7:$AC$128,$A15,$AB$6:$AB$127)*L$5,0)</f>
        <v>0</v>
      </c>
      <c r="M15" s="35">
        <f ca="1">IF(AND(COLUMN()&gt;=11,COLUMN()&lt;=20),(_xlfn.XLOOKUP($A15,'Oferta Producto 3'!$B$10:$B$21,'Oferta Producto 3'!$E$10:$E$21))/SUMIF($A$7:$AC$128,$A15,$AB$6:$AB$127)*M$5,0)</f>
        <v>0</v>
      </c>
      <c r="N15" s="35">
        <f ca="1">IF(AND(COLUMN()&gt;=11,COLUMN()&lt;=20),(_xlfn.XLOOKUP($A15,'Oferta Producto 3'!$B$10:$B$21,'Oferta Producto 3'!$E$10:$E$21))/SUMIF($A$7:$AC$128,$A15,$AB$6:$AB$127)*N$5,0)</f>
        <v>0</v>
      </c>
      <c r="O15" s="35">
        <f ca="1">IF(AND(COLUMN()&gt;=11,COLUMN()&lt;=20),(_xlfn.XLOOKUP($A15,'Oferta Producto 3'!$B$10:$B$21,'Oferta Producto 3'!$E$10:$E$21))/SUMIF($A$7:$AC$128,$A15,$AB$6:$AB$127)*O$5,0)</f>
        <v>0</v>
      </c>
      <c r="P15" s="35">
        <f ca="1">IF(AND(COLUMN()&gt;=11,COLUMN()&lt;=20),(_xlfn.XLOOKUP($A15,'Oferta Producto 3'!$B$10:$B$21,'Oferta Producto 3'!$E$10:$E$21))/SUMIF($A$7:$AC$128,$A15,$AB$6:$AB$127)*P$5,0)</f>
        <v>0</v>
      </c>
      <c r="Q15" s="35">
        <f ca="1">IF(AND(COLUMN()&gt;=11,COLUMN()&lt;=20),(_xlfn.XLOOKUP($A15,'Oferta Producto 3'!$B$10:$B$21,'Oferta Producto 3'!$E$10:$E$21))/SUMIF($A$7:$AC$128,$A15,$AB$6:$AB$127)*Q$5,0)</f>
        <v>0</v>
      </c>
      <c r="R15" s="35">
        <f ca="1">IF(AND(COLUMN()&gt;=11,COLUMN()&lt;=20),(_xlfn.XLOOKUP($A15,'Oferta Producto 3'!$B$10:$B$21,'Oferta Producto 3'!$E$10:$E$21))/SUMIF($A$7:$AC$128,$A15,$AB$6:$AB$127)*R$5,0)</f>
        <v>0</v>
      </c>
      <c r="S15" s="35">
        <f ca="1">IF(AND(COLUMN()&gt;=11,COLUMN()&lt;=20),(_xlfn.XLOOKUP($A15,'Oferta Producto 3'!$B$10:$B$21,'Oferta Producto 3'!$E$10:$E$21))/SUMIF($A$7:$AC$128,$A15,$AB$6:$AB$127)*S$5,0)</f>
        <v>0</v>
      </c>
      <c r="T15" s="35">
        <f ca="1">IF(AND(COLUMN()&gt;=11,COLUMN()&lt;=20),(_xlfn.XLOOKUP($A15,'Oferta Producto 3'!$B$10:$B$21,'Oferta Producto 3'!$E$10:$E$21))/SUMIF($A$7:$AC$128,$A15,$AB$6:$AB$127)*T$5,0)</f>
        <v>0</v>
      </c>
      <c r="U15" s="35">
        <f>IF(AND(COLUMN()&gt;=11,COLUMN()&lt;=20),(_xlfn.XLOOKUP($A15,'Oferta Producto 3'!$B$10:$B$21,'Oferta Producto 3'!$E$10:$E$21))/SUMIF($A$7:$AC$128,$A15,$AB$6:$AB$127)*U$5,0)</f>
        <v>0</v>
      </c>
      <c r="V15" s="35">
        <f>IF(AND(COLUMN()&gt;=11,COLUMN()&lt;=20),(_xlfn.XLOOKUP($A15,'Oferta Producto 3'!$B$10:$B$21,'Oferta Producto 3'!$E$10:$E$21))/SUMIF($A$7:$AC$128,$A15,$AB$6:$AB$127)*V$5,0)</f>
        <v>0</v>
      </c>
      <c r="W15" s="35">
        <f>IF(AND(COLUMN()&gt;=11,COLUMN()&lt;=20),(_xlfn.XLOOKUP($A15,'Oferta Producto 3'!$B$10:$B$21,'Oferta Producto 3'!$E$10:$E$21))/SUMIF($A$7:$AC$128,$A15,$AB$6:$AB$127)*W$5,0)</f>
        <v>0</v>
      </c>
      <c r="X15" s="35">
        <f>IF(AND(COLUMN()&gt;=11,COLUMN()&lt;=20),(_xlfn.XLOOKUP($A15,'Oferta Producto 3'!$B$10:$B$21,'Oferta Producto 3'!$E$10:$E$21))/SUMIF($A$7:$AC$128,$A15,$AB$6:$AB$127)*X$5,0)</f>
        <v>0</v>
      </c>
      <c r="Y15" s="35">
        <f>IF(AND(COLUMN()&gt;=11,COLUMN()&lt;=20),(_xlfn.XLOOKUP($A15,'Oferta Producto 3'!$B$10:$B$21,'Oferta Producto 3'!$E$10:$E$21))/SUMIF($A$7:$AC$128,$A15,$AB$6:$AB$127)*Y$5,0)</f>
        <v>0</v>
      </c>
      <c r="Z15" s="35">
        <f>IF(AND(COLUMN()&gt;=11,COLUMN()&lt;=20),(_xlfn.XLOOKUP($A15,'Oferta Producto 3'!$B$10:$B$21,'Oferta Producto 3'!$E$10:$E$21))/SUMIF($A$7:$AC$128,$A15,$AB$6:$AB$127)*Z$5,0)</f>
        <v>0</v>
      </c>
      <c r="AA15" s="35">
        <f t="shared" ca="1" si="1"/>
        <v>0</v>
      </c>
      <c r="AB15" s="28">
        <f t="shared" si="2"/>
        <v>31</v>
      </c>
      <c r="AC15" s="29">
        <f t="shared" ca="1" si="3"/>
        <v>0</v>
      </c>
      <c r="AD15" s="48">
        <f ca="1">'Curvas Prod 3'!AC15/SUMIF('Curvas Prod 3'!A13:AC158,'Curva de la oferta Prod 3'!$A15,'Curvas Prod 3'!AC13:AC158)</f>
        <v>0.14485981308411214</v>
      </c>
      <c r="AE15" s="45"/>
      <c r="AF15" s="49"/>
      <c r="AG15" s="49"/>
      <c r="AH15" s="49"/>
      <c r="AI15" s="49"/>
      <c r="AJ15" s="49"/>
      <c r="AK15" s="49"/>
    </row>
    <row r="16" spans="1:37" ht="15">
      <c r="A16" s="23">
        <f t="shared" si="0"/>
        <v>2026</v>
      </c>
      <c r="B16" s="27">
        <v>46266</v>
      </c>
      <c r="C16" s="35">
        <f>IF(AND(COLUMN()&gt;=11,COLUMN()&lt;=20),(_xlfn.XLOOKUP($A16,'Oferta Producto 3'!$B$10:$B$21,'Oferta Producto 3'!$E$10:$E$21))/SUMIF($A$7:$AC$128,$A16,$AB$6:$AB$127)*C$5,0)</f>
        <v>0</v>
      </c>
      <c r="D16" s="35">
        <f>IF(AND(COLUMN()&gt;=11,COLUMN()&lt;=20),(_xlfn.XLOOKUP($A16,'Oferta Producto 3'!$B$10:$B$21,'Oferta Producto 3'!$E$10:$E$21))/SUMIF($A$7:$AC$128,$A16,$AB$6:$AB$127)*D$5,0)</f>
        <v>0</v>
      </c>
      <c r="E16" s="35">
        <f>IF(AND(COLUMN()&gt;=11,COLUMN()&lt;=20),(_xlfn.XLOOKUP($A16,'Oferta Producto 3'!$B$10:$B$21,'Oferta Producto 3'!$E$10:$E$21))/SUMIF($A$7:$AC$128,$A16,$AB$6:$AB$127)*E$5,0)</f>
        <v>0</v>
      </c>
      <c r="F16" s="35">
        <f>IF(AND(COLUMN()&gt;=11,COLUMN()&lt;=20),(_xlfn.XLOOKUP($A16,'Oferta Producto 3'!$B$10:$B$21,'Oferta Producto 3'!$E$10:$E$21))/SUMIF($A$7:$AC$128,$A16,$AB$6:$AB$127)*F$5,0)</f>
        <v>0</v>
      </c>
      <c r="G16" s="35">
        <f>IF(AND(COLUMN()&gt;=11,COLUMN()&lt;=20),(_xlfn.XLOOKUP($A16,'Oferta Producto 3'!$B$10:$B$21,'Oferta Producto 3'!$E$10:$E$21))/SUMIF($A$7:$AC$128,$A16,$AB$6:$AB$127)*G$5,0)</f>
        <v>0</v>
      </c>
      <c r="H16" s="35">
        <f>IF(AND(COLUMN()&gt;=11,COLUMN()&lt;=20),(_xlfn.XLOOKUP($A16,'Oferta Producto 3'!$B$10:$B$21,'Oferta Producto 3'!$E$10:$E$21))/SUMIF($A$7:$AC$128,$A16,$AB$6:$AB$127)*H$5,0)</f>
        <v>0</v>
      </c>
      <c r="I16" s="35">
        <f>IF(AND(COLUMN()&gt;=11,COLUMN()&lt;=20),(_xlfn.XLOOKUP($A16,'Oferta Producto 3'!$B$10:$B$21,'Oferta Producto 3'!$E$10:$E$21))/SUMIF($A$7:$AC$128,$A16,$AB$6:$AB$127)*I$5,0)</f>
        <v>0</v>
      </c>
      <c r="J16" s="35">
        <f>IF(AND(COLUMN()&gt;=11,COLUMN()&lt;=20),(_xlfn.XLOOKUP($A16,'Oferta Producto 3'!$B$10:$B$21,'Oferta Producto 3'!$E$10:$E$21))/SUMIF($A$7:$AC$128,$A16,$AB$6:$AB$127)*J$5,0)</f>
        <v>0</v>
      </c>
      <c r="K16" s="35">
        <f ca="1">IF(AND(COLUMN()&gt;=11,COLUMN()&lt;=20),(_xlfn.XLOOKUP($A16,'Oferta Producto 3'!$B$10:$B$21,'Oferta Producto 3'!$E$10:$E$21))/SUMIF($A$7:$AC$128,$A16,$AB$6:$AB$127)*K$5,0)</f>
        <v>0</v>
      </c>
      <c r="L16" s="35">
        <f ca="1">IF(AND(COLUMN()&gt;=11,COLUMN()&lt;=20),(_xlfn.XLOOKUP($A16,'Oferta Producto 3'!$B$10:$B$21,'Oferta Producto 3'!$E$10:$E$21))/SUMIF($A$7:$AC$128,$A16,$AB$6:$AB$127)*L$5,0)</f>
        <v>0</v>
      </c>
      <c r="M16" s="35">
        <f ca="1">IF(AND(COLUMN()&gt;=11,COLUMN()&lt;=20),(_xlfn.XLOOKUP($A16,'Oferta Producto 3'!$B$10:$B$21,'Oferta Producto 3'!$E$10:$E$21))/SUMIF($A$7:$AC$128,$A16,$AB$6:$AB$127)*M$5,0)</f>
        <v>0</v>
      </c>
      <c r="N16" s="35">
        <f ca="1">IF(AND(COLUMN()&gt;=11,COLUMN()&lt;=20),(_xlfn.XLOOKUP($A16,'Oferta Producto 3'!$B$10:$B$21,'Oferta Producto 3'!$E$10:$E$21))/SUMIF($A$7:$AC$128,$A16,$AB$6:$AB$127)*N$5,0)</f>
        <v>0</v>
      </c>
      <c r="O16" s="35">
        <f ca="1">IF(AND(COLUMN()&gt;=11,COLUMN()&lt;=20),(_xlfn.XLOOKUP($A16,'Oferta Producto 3'!$B$10:$B$21,'Oferta Producto 3'!$E$10:$E$21))/SUMIF($A$7:$AC$128,$A16,$AB$6:$AB$127)*O$5,0)</f>
        <v>0</v>
      </c>
      <c r="P16" s="35">
        <f ca="1">IF(AND(COLUMN()&gt;=11,COLUMN()&lt;=20),(_xlfn.XLOOKUP($A16,'Oferta Producto 3'!$B$10:$B$21,'Oferta Producto 3'!$E$10:$E$21))/SUMIF($A$7:$AC$128,$A16,$AB$6:$AB$127)*P$5,0)</f>
        <v>0</v>
      </c>
      <c r="Q16" s="35">
        <f ca="1">IF(AND(COLUMN()&gt;=11,COLUMN()&lt;=20),(_xlfn.XLOOKUP($A16,'Oferta Producto 3'!$B$10:$B$21,'Oferta Producto 3'!$E$10:$E$21))/SUMIF($A$7:$AC$128,$A16,$AB$6:$AB$127)*Q$5,0)</f>
        <v>0</v>
      </c>
      <c r="R16" s="35">
        <f ca="1">IF(AND(COLUMN()&gt;=11,COLUMN()&lt;=20),(_xlfn.XLOOKUP($A16,'Oferta Producto 3'!$B$10:$B$21,'Oferta Producto 3'!$E$10:$E$21))/SUMIF($A$7:$AC$128,$A16,$AB$6:$AB$127)*R$5,0)</f>
        <v>0</v>
      </c>
      <c r="S16" s="35">
        <f ca="1">IF(AND(COLUMN()&gt;=11,COLUMN()&lt;=20),(_xlfn.XLOOKUP($A16,'Oferta Producto 3'!$B$10:$B$21,'Oferta Producto 3'!$E$10:$E$21))/SUMIF($A$7:$AC$128,$A16,$AB$6:$AB$127)*S$5,0)</f>
        <v>0</v>
      </c>
      <c r="T16" s="35">
        <f ca="1">IF(AND(COLUMN()&gt;=11,COLUMN()&lt;=20),(_xlfn.XLOOKUP($A16,'Oferta Producto 3'!$B$10:$B$21,'Oferta Producto 3'!$E$10:$E$21))/SUMIF($A$7:$AC$128,$A16,$AB$6:$AB$127)*T$5,0)</f>
        <v>0</v>
      </c>
      <c r="U16" s="35">
        <f>IF(AND(COLUMN()&gt;=11,COLUMN()&lt;=20),(_xlfn.XLOOKUP($A16,'Oferta Producto 3'!$B$10:$B$21,'Oferta Producto 3'!$E$10:$E$21))/SUMIF($A$7:$AC$128,$A16,$AB$6:$AB$127)*U$5,0)</f>
        <v>0</v>
      </c>
      <c r="V16" s="35">
        <f>IF(AND(COLUMN()&gt;=11,COLUMN()&lt;=20),(_xlfn.XLOOKUP($A16,'Oferta Producto 3'!$B$10:$B$21,'Oferta Producto 3'!$E$10:$E$21))/SUMIF($A$7:$AC$128,$A16,$AB$6:$AB$127)*V$5,0)</f>
        <v>0</v>
      </c>
      <c r="W16" s="35">
        <f>IF(AND(COLUMN()&gt;=11,COLUMN()&lt;=20),(_xlfn.XLOOKUP($A16,'Oferta Producto 3'!$B$10:$B$21,'Oferta Producto 3'!$E$10:$E$21))/SUMIF($A$7:$AC$128,$A16,$AB$6:$AB$127)*W$5,0)</f>
        <v>0</v>
      </c>
      <c r="X16" s="35">
        <f>IF(AND(COLUMN()&gt;=11,COLUMN()&lt;=20),(_xlfn.XLOOKUP($A16,'Oferta Producto 3'!$B$10:$B$21,'Oferta Producto 3'!$E$10:$E$21))/SUMIF($A$7:$AC$128,$A16,$AB$6:$AB$127)*X$5,0)</f>
        <v>0</v>
      </c>
      <c r="Y16" s="35">
        <f>IF(AND(COLUMN()&gt;=11,COLUMN()&lt;=20),(_xlfn.XLOOKUP($A16,'Oferta Producto 3'!$B$10:$B$21,'Oferta Producto 3'!$E$10:$E$21))/SUMIF($A$7:$AC$128,$A16,$AB$6:$AB$127)*Y$5,0)</f>
        <v>0</v>
      </c>
      <c r="Z16" s="35">
        <f>IF(AND(COLUMN()&gt;=11,COLUMN()&lt;=20),(_xlfn.XLOOKUP($A16,'Oferta Producto 3'!$B$10:$B$21,'Oferta Producto 3'!$E$10:$E$21))/SUMIF($A$7:$AC$128,$A16,$AB$6:$AB$127)*Z$5,0)</f>
        <v>0</v>
      </c>
      <c r="AA16" s="35">
        <f t="shared" ca="1" si="1"/>
        <v>0</v>
      </c>
      <c r="AB16" s="28">
        <f t="shared" si="2"/>
        <v>30</v>
      </c>
      <c r="AC16" s="29">
        <f t="shared" ca="1" si="3"/>
        <v>0</v>
      </c>
      <c r="AD16" s="48">
        <f ca="1">'Curvas Prod 3'!AC16/SUMIF('Curvas Prod 3'!A14:AC159,'Curva de la oferta Prod 3'!$A16,'Curvas Prod 3'!AC14:AC159)</f>
        <v>0.16304347826086957</v>
      </c>
      <c r="AE16" s="45"/>
      <c r="AF16" s="49"/>
      <c r="AG16" s="49"/>
      <c r="AH16" s="49"/>
      <c r="AI16" s="49"/>
      <c r="AJ16" s="49"/>
      <c r="AK16" s="49"/>
    </row>
    <row r="17" spans="1:37" ht="15">
      <c r="A17" s="23">
        <f t="shared" si="0"/>
        <v>2026</v>
      </c>
      <c r="B17" s="27">
        <v>46296</v>
      </c>
      <c r="C17" s="35">
        <f>IF(AND(COLUMN()&gt;=11,COLUMN()&lt;=20),(_xlfn.XLOOKUP($A17,'Oferta Producto 3'!$B$10:$B$21,'Oferta Producto 3'!$E$10:$E$21))/SUMIF($A$7:$AC$128,$A17,$AB$6:$AB$127)*C$5,0)</f>
        <v>0</v>
      </c>
      <c r="D17" s="35">
        <f>IF(AND(COLUMN()&gt;=11,COLUMN()&lt;=20),(_xlfn.XLOOKUP($A17,'Oferta Producto 3'!$B$10:$B$21,'Oferta Producto 3'!$E$10:$E$21))/SUMIF($A$7:$AC$128,$A17,$AB$6:$AB$127)*D$5,0)</f>
        <v>0</v>
      </c>
      <c r="E17" s="35">
        <f>IF(AND(COLUMN()&gt;=11,COLUMN()&lt;=20),(_xlfn.XLOOKUP($A17,'Oferta Producto 3'!$B$10:$B$21,'Oferta Producto 3'!$E$10:$E$21))/SUMIF($A$7:$AC$128,$A17,$AB$6:$AB$127)*E$5,0)</f>
        <v>0</v>
      </c>
      <c r="F17" s="35">
        <f>IF(AND(COLUMN()&gt;=11,COLUMN()&lt;=20),(_xlfn.XLOOKUP($A17,'Oferta Producto 3'!$B$10:$B$21,'Oferta Producto 3'!$E$10:$E$21))/SUMIF($A$7:$AC$128,$A17,$AB$6:$AB$127)*F$5,0)</f>
        <v>0</v>
      </c>
      <c r="G17" s="35">
        <f>IF(AND(COLUMN()&gt;=11,COLUMN()&lt;=20),(_xlfn.XLOOKUP($A17,'Oferta Producto 3'!$B$10:$B$21,'Oferta Producto 3'!$E$10:$E$21))/SUMIF($A$7:$AC$128,$A17,$AB$6:$AB$127)*G$5,0)</f>
        <v>0</v>
      </c>
      <c r="H17" s="35">
        <f>IF(AND(COLUMN()&gt;=11,COLUMN()&lt;=20),(_xlfn.XLOOKUP($A17,'Oferta Producto 3'!$B$10:$B$21,'Oferta Producto 3'!$E$10:$E$21))/SUMIF($A$7:$AC$128,$A17,$AB$6:$AB$127)*H$5,0)</f>
        <v>0</v>
      </c>
      <c r="I17" s="35">
        <f>IF(AND(COLUMN()&gt;=11,COLUMN()&lt;=20),(_xlfn.XLOOKUP($A17,'Oferta Producto 3'!$B$10:$B$21,'Oferta Producto 3'!$E$10:$E$21))/SUMIF($A$7:$AC$128,$A17,$AB$6:$AB$127)*I$5,0)</f>
        <v>0</v>
      </c>
      <c r="J17" s="35">
        <f>IF(AND(COLUMN()&gt;=11,COLUMN()&lt;=20),(_xlfn.XLOOKUP($A17,'Oferta Producto 3'!$B$10:$B$21,'Oferta Producto 3'!$E$10:$E$21))/SUMIF($A$7:$AC$128,$A17,$AB$6:$AB$127)*J$5,0)</f>
        <v>0</v>
      </c>
      <c r="K17" s="35">
        <f ca="1">IF(AND(COLUMN()&gt;=11,COLUMN()&lt;=20),(_xlfn.XLOOKUP($A17,'Oferta Producto 3'!$B$10:$B$21,'Oferta Producto 3'!$E$10:$E$21))/SUMIF($A$7:$AC$128,$A17,$AB$6:$AB$127)*K$5,0)</f>
        <v>0</v>
      </c>
      <c r="L17" s="35">
        <f ca="1">IF(AND(COLUMN()&gt;=11,COLUMN()&lt;=20),(_xlfn.XLOOKUP($A17,'Oferta Producto 3'!$B$10:$B$21,'Oferta Producto 3'!$E$10:$E$21))/SUMIF($A$7:$AC$128,$A17,$AB$6:$AB$127)*L$5,0)</f>
        <v>0</v>
      </c>
      <c r="M17" s="35">
        <f ca="1">IF(AND(COLUMN()&gt;=11,COLUMN()&lt;=20),(_xlfn.XLOOKUP($A17,'Oferta Producto 3'!$B$10:$B$21,'Oferta Producto 3'!$E$10:$E$21))/SUMIF($A$7:$AC$128,$A17,$AB$6:$AB$127)*M$5,0)</f>
        <v>0</v>
      </c>
      <c r="N17" s="35">
        <f ca="1">IF(AND(COLUMN()&gt;=11,COLUMN()&lt;=20),(_xlfn.XLOOKUP($A17,'Oferta Producto 3'!$B$10:$B$21,'Oferta Producto 3'!$E$10:$E$21))/SUMIF($A$7:$AC$128,$A17,$AB$6:$AB$127)*N$5,0)</f>
        <v>0</v>
      </c>
      <c r="O17" s="35">
        <f ca="1">IF(AND(COLUMN()&gt;=11,COLUMN()&lt;=20),(_xlfn.XLOOKUP($A17,'Oferta Producto 3'!$B$10:$B$21,'Oferta Producto 3'!$E$10:$E$21))/SUMIF($A$7:$AC$128,$A17,$AB$6:$AB$127)*O$5,0)</f>
        <v>0</v>
      </c>
      <c r="P17" s="35">
        <f ca="1">IF(AND(COLUMN()&gt;=11,COLUMN()&lt;=20),(_xlfn.XLOOKUP($A17,'Oferta Producto 3'!$B$10:$B$21,'Oferta Producto 3'!$E$10:$E$21))/SUMIF($A$7:$AC$128,$A17,$AB$6:$AB$127)*P$5,0)</f>
        <v>0</v>
      </c>
      <c r="Q17" s="35">
        <f ca="1">IF(AND(COLUMN()&gt;=11,COLUMN()&lt;=20),(_xlfn.XLOOKUP($A17,'Oferta Producto 3'!$B$10:$B$21,'Oferta Producto 3'!$E$10:$E$21))/SUMIF($A$7:$AC$128,$A17,$AB$6:$AB$127)*Q$5,0)</f>
        <v>0</v>
      </c>
      <c r="R17" s="35">
        <f ca="1">IF(AND(COLUMN()&gt;=11,COLUMN()&lt;=20),(_xlfn.XLOOKUP($A17,'Oferta Producto 3'!$B$10:$B$21,'Oferta Producto 3'!$E$10:$E$21))/SUMIF($A$7:$AC$128,$A17,$AB$6:$AB$127)*R$5,0)</f>
        <v>0</v>
      </c>
      <c r="S17" s="35">
        <f ca="1">IF(AND(COLUMN()&gt;=11,COLUMN()&lt;=20),(_xlfn.XLOOKUP($A17,'Oferta Producto 3'!$B$10:$B$21,'Oferta Producto 3'!$E$10:$E$21))/SUMIF($A$7:$AC$128,$A17,$AB$6:$AB$127)*S$5,0)</f>
        <v>0</v>
      </c>
      <c r="T17" s="35">
        <f ca="1">IF(AND(COLUMN()&gt;=11,COLUMN()&lt;=20),(_xlfn.XLOOKUP($A17,'Oferta Producto 3'!$B$10:$B$21,'Oferta Producto 3'!$E$10:$E$21))/SUMIF($A$7:$AC$128,$A17,$AB$6:$AB$127)*T$5,0)</f>
        <v>0</v>
      </c>
      <c r="U17" s="35">
        <f>IF(AND(COLUMN()&gt;=11,COLUMN()&lt;=20),(_xlfn.XLOOKUP($A17,'Oferta Producto 3'!$B$10:$B$21,'Oferta Producto 3'!$E$10:$E$21))/SUMIF($A$7:$AC$128,$A17,$AB$6:$AB$127)*U$5,0)</f>
        <v>0</v>
      </c>
      <c r="V17" s="35">
        <f>IF(AND(COLUMN()&gt;=11,COLUMN()&lt;=20),(_xlfn.XLOOKUP($A17,'Oferta Producto 3'!$B$10:$B$21,'Oferta Producto 3'!$E$10:$E$21))/SUMIF($A$7:$AC$128,$A17,$AB$6:$AB$127)*V$5,0)</f>
        <v>0</v>
      </c>
      <c r="W17" s="35">
        <f>IF(AND(COLUMN()&gt;=11,COLUMN()&lt;=20),(_xlfn.XLOOKUP($A17,'Oferta Producto 3'!$B$10:$B$21,'Oferta Producto 3'!$E$10:$E$21))/SUMIF($A$7:$AC$128,$A17,$AB$6:$AB$127)*W$5,0)</f>
        <v>0</v>
      </c>
      <c r="X17" s="35">
        <f>IF(AND(COLUMN()&gt;=11,COLUMN()&lt;=20),(_xlfn.XLOOKUP($A17,'Oferta Producto 3'!$B$10:$B$21,'Oferta Producto 3'!$E$10:$E$21))/SUMIF($A$7:$AC$128,$A17,$AB$6:$AB$127)*X$5,0)</f>
        <v>0</v>
      </c>
      <c r="Y17" s="35">
        <f>IF(AND(COLUMN()&gt;=11,COLUMN()&lt;=20),(_xlfn.XLOOKUP($A17,'Oferta Producto 3'!$B$10:$B$21,'Oferta Producto 3'!$E$10:$E$21))/SUMIF($A$7:$AC$128,$A17,$AB$6:$AB$127)*Y$5,0)</f>
        <v>0</v>
      </c>
      <c r="Z17" s="35">
        <f>IF(AND(COLUMN()&gt;=11,COLUMN()&lt;=20),(_xlfn.XLOOKUP($A17,'Oferta Producto 3'!$B$10:$B$21,'Oferta Producto 3'!$E$10:$E$21))/SUMIF($A$7:$AC$128,$A17,$AB$6:$AB$127)*Z$5,0)</f>
        <v>0</v>
      </c>
      <c r="AA17" s="35">
        <f t="shared" ca="1" si="1"/>
        <v>0</v>
      </c>
      <c r="AB17" s="28">
        <f t="shared" si="2"/>
        <v>31</v>
      </c>
      <c r="AC17" s="29">
        <f t="shared" ca="1" si="3"/>
        <v>0</v>
      </c>
      <c r="AD17" s="48">
        <f ca="1">'Curvas Prod 3'!AC17/SUMIF('Curvas Prod 3'!A15:AC160,'Curva de la oferta Prod 3'!$A17,'Curvas Prod 3'!AC15:AC160)</f>
        <v>0.20261437908496732</v>
      </c>
      <c r="AE17" s="45"/>
      <c r="AF17" s="49"/>
      <c r="AG17" s="49"/>
      <c r="AH17" s="49"/>
      <c r="AI17" s="49"/>
      <c r="AJ17" s="49"/>
      <c r="AK17" s="49"/>
    </row>
    <row r="18" spans="1:37" ht="15">
      <c r="A18" s="23">
        <f t="shared" si="0"/>
        <v>2026</v>
      </c>
      <c r="B18" s="27">
        <v>46327</v>
      </c>
      <c r="C18" s="35">
        <f>IF(AND(COLUMN()&gt;=11,COLUMN()&lt;=20),(_xlfn.XLOOKUP($A18,'Oferta Producto 3'!$B$10:$B$21,'Oferta Producto 3'!$E$10:$E$21))/SUMIF($A$7:$AC$128,$A18,$AB$6:$AB$127)*C$5,0)</f>
        <v>0</v>
      </c>
      <c r="D18" s="35">
        <f>IF(AND(COLUMN()&gt;=11,COLUMN()&lt;=20),(_xlfn.XLOOKUP($A18,'Oferta Producto 3'!$B$10:$B$21,'Oferta Producto 3'!$E$10:$E$21))/SUMIF($A$7:$AC$128,$A18,$AB$6:$AB$127)*D$5,0)</f>
        <v>0</v>
      </c>
      <c r="E18" s="35">
        <f>IF(AND(COLUMN()&gt;=11,COLUMN()&lt;=20),(_xlfn.XLOOKUP($A18,'Oferta Producto 3'!$B$10:$B$21,'Oferta Producto 3'!$E$10:$E$21))/SUMIF($A$7:$AC$128,$A18,$AB$6:$AB$127)*E$5,0)</f>
        <v>0</v>
      </c>
      <c r="F18" s="35">
        <f>IF(AND(COLUMN()&gt;=11,COLUMN()&lt;=20),(_xlfn.XLOOKUP($A18,'Oferta Producto 3'!$B$10:$B$21,'Oferta Producto 3'!$E$10:$E$21))/SUMIF($A$7:$AC$128,$A18,$AB$6:$AB$127)*F$5,0)</f>
        <v>0</v>
      </c>
      <c r="G18" s="35">
        <f>IF(AND(COLUMN()&gt;=11,COLUMN()&lt;=20),(_xlfn.XLOOKUP($A18,'Oferta Producto 3'!$B$10:$B$21,'Oferta Producto 3'!$E$10:$E$21))/SUMIF($A$7:$AC$128,$A18,$AB$6:$AB$127)*G$5,0)</f>
        <v>0</v>
      </c>
      <c r="H18" s="35">
        <f>IF(AND(COLUMN()&gt;=11,COLUMN()&lt;=20),(_xlfn.XLOOKUP($A18,'Oferta Producto 3'!$B$10:$B$21,'Oferta Producto 3'!$E$10:$E$21))/SUMIF($A$7:$AC$128,$A18,$AB$6:$AB$127)*H$5,0)</f>
        <v>0</v>
      </c>
      <c r="I18" s="35">
        <f>IF(AND(COLUMN()&gt;=11,COLUMN()&lt;=20),(_xlfn.XLOOKUP($A18,'Oferta Producto 3'!$B$10:$B$21,'Oferta Producto 3'!$E$10:$E$21))/SUMIF($A$7:$AC$128,$A18,$AB$6:$AB$127)*I$5,0)</f>
        <v>0</v>
      </c>
      <c r="J18" s="35">
        <f>IF(AND(COLUMN()&gt;=11,COLUMN()&lt;=20),(_xlfn.XLOOKUP($A18,'Oferta Producto 3'!$B$10:$B$21,'Oferta Producto 3'!$E$10:$E$21))/SUMIF($A$7:$AC$128,$A18,$AB$6:$AB$127)*J$5,0)</f>
        <v>0</v>
      </c>
      <c r="K18" s="35">
        <f ca="1">IF(AND(COLUMN()&gt;=11,COLUMN()&lt;=20),(_xlfn.XLOOKUP($A18,'Oferta Producto 3'!$B$10:$B$21,'Oferta Producto 3'!$E$10:$E$21))/SUMIF($A$7:$AC$128,$A18,$AB$6:$AB$127)*K$5,0)</f>
        <v>0</v>
      </c>
      <c r="L18" s="35">
        <f ca="1">IF(AND(COLUMN()&gt;=11,COLUMN()&lt;=20),(_xlfn.XLOOKUP($A18,'Oferta Producto 3'!$B$10:$B$21,'Oferta Producto 3'!$E$10:$E$21))/SUMIF($A$7:$AC$128,$A18,$AB$6:$AB$127)*L$5,0)</f>
        <v>0</v>
      </c>
      <c r="M18" s="35">
        <f ca="1">IF(AND(COLUMN()&gt;=11,COLUMN()&lt;=20),(_xlfn.XLOOKUP($A18,'Oferta Producto 3'!$B$10:$B$21,'Oferta Producto 3'!$E$10:$E$21))/SUMIF($A$7:$AC$128,$A18,$AB$6:$AB$127)*M$5,0)</f>
        <v>0</v>
      </c>
      <c r="N18" s="35">
        <f ca="1">IF(AND(COLUMN()&gt;=11,COLUMN()&lt;=20),(_xlfn.XLOOKUP($A18,'Oferta Producto 3'!$B$10:$B$21,'Oferta Producto 3'!$E$10:$E$21))/SUMIF($A$7:$AC$128,$A18,$AB$6:$AB$127)*N$5,0)</f>
        <v>0</v>
      </c>
      <c r="O18" s="35">
        <f ca="1">IF(AND(COLUMN()&gt;=11,COLUMN()&lt;=20),(_xlfn.XLOOKUP($A18,'Oferta Producto 3'!$B$10:$B$21,'Oferta Producto 3'!$E$10:$E$21))/SUMIF($A$7:$AC$128,$A18,$AB$6:$AB$127)*O$5,0)</f>
        <v>0</v>
      </c>
      <c r="P18" s="35">
        <f ca="1">IF(AND(COLUMN()&gt;=11,COLUMN()&lt;=20),(_xlfn.XLOOKUP($A18,'Oferta Producto 3'!$B$10:$B$21,'Oferta Producto 3'!$E$10:$E$21))/SUMIF($A$7:$AC$128,$A18,$AB$6:$AB$127)*P$5,0)</f>
        <v>0</v>
      </c>
      <c r="Q18" s="35">
        <f ca="1">IF(AND(COLUMN()&gt;=11,COLUMN()&lt;=20),(_xlfn.XLOOKUP($A18,'Oferta Producto 3'!$B$10:$B$21,'Oferta Producto 3'!$E$10:$E$21))/SUMIF($A$7:$AC$128,$A18,$AB$6:$AB$127)*Q$5,0)</f>
        <v>0</v>
      </c>
      <c r="R18" s="35">
        <f ca="1">IF(AND(COLUMN()&gt;=11,COLUMN()&lt;=20),(_xlfn.XLOOKUP($A18,'Oferta Producto 3'!$B$10:$B$21,'Oferta Producto 3'!$E$10:$E$21))/SUMIF($A$7:$AC$128,$A18,$AB$6:$AB$127)*R$5,0)</f>
        <v>0</v>
      </c>
      <c r="S18" s="35">
        <f ca="1">IF(AND(COLUMN()&gt;=11,COLUMN()&lt;=20),(_xlfn.XLOOKUP($A18,'Oferta Producto 3'!$B$10:$B$21,'Oferta Producto 3'!$E$10:$E$21))/SUMIF($A$7:$AC$128,$A18,$AB$6:$AB$127)*S$5,0)</f>
        <v>0</v>
      </c>
      <c r="T18" s="35">
        <f ca="1">IF(AND(COLUMN()&gt;=11,COLUMN()&lt;=20),(_xlfn.XLOOKUP($A18,'Oferta Producto 3'!$B$10:$B$21,'Oferta Producto 3'!$E$10:$E$21))/SUMIF($A$7:$AC$128,$A18,$AB$6:$AB$127)*T$5,0)</f>
        <v>0</v>
      </c>
      <c r="U18" s="35">
        <f>IF(AND(COLUMN()&gt;=11,COLUMN()&lt;=20),(_xlfn.XLOOKUP($A18,'Oferta Producto 3'!$B$10:$B$21,'Oferta Producto 3'!$E$10:$E$21))/SUMIF($A$7:$AC$128,$A18,$AB$6:$AB$127)*U$5,0)</f>
        <v>0</v>
      </c>
      <c r="V18" s="35">
        <f>IF(AND(COLUMN()&gt;=11,COLUMN()&lt;=20),(_xlfn.XLOOKUP($A18,'Oferta Producto 3'!$B$10:$B$21,'Oferta Producto 3'!$E$10:$E$21))/SUMIF($A$7:$AC$128,$A18,$AB$6:$AB$127)*V$5,0)</f>
        <v>0</v>
      </c>
      <c r="W18" s="35">
        <f>IF(AND(COLUMN()&gt;=11,COLUMN()&lt;=20),(_xlfn.XLOOKUP($A18,'Oferta Producto 3'!$B$10:$B$21,'Oferta Producto 3'!$E$10:$E$21))/SUMIF($A$7:$AC$128,$A18,$AB$6:$AB$127)*W$5,0)</f>
        <v>0</v>
      </c>
      <c r="X18" s="35">
        <f>IF(AND(COLUMN()&gt;=11,COLUMN()&lt;=20),(_xlfn.XLOOKUP($A18,'Oferta Producto 3'!$B$10:$B$21,'Oferta Producto 3'!$E$10:$E$21))/SUMIF($A$7:$AC$128,$A18,$AB$6:$AB$127)*X$5,0)</f>
        <v>0</v>
      </c>
      <c r="Y18" s="35">
        <f>IF(AND(COLUMN()&gt;=11,COLUMN()&lt;=20),(_xlfn.XLOOKUP($A18,'Oferta Producto 3'!$B$10:$B$21,'Oferta Producto 3'!$E$10:$E$21))/SUMIF($A$7:$AC$128,$A18,$AB$6:$AB$127)*Y$5,0)</f>
        <v>0</v>
      </c>
      <c r="Z18" s="35">
        <f>IF(AND(COLUMN()&gt;=11,COLUMN()&lt;=20),(_xlfn.XLOOKUP($A18,'Oferta Producto 3'!$B$10:$B$21,'Oferta Producto 3'!$E$10:$E$21))/SUMIF($A$7:$AC$128,$A18,$AB$6:$AB$127)*Z$5,0)</f>
        <v>0</v>
      </c>
      <c r="AA18" s="35">
        <f t="shared" ca="1" si="1"/>
        <v>0</v>
      </c>
      <c r="AB18" s="28">
        <f t="shared" si="2"/>
        <v>30</v>
      </c>
      <c r="AC18" s="29">
        <f t="shared" ca="1" si="3"/>
        <v>0</v>
      </c>
      <c r="AD18" s="48">
        <f ca="1">'Curvas Prod 3'!AC18/SUMIF('Curvas Prod 3'!A16:AC161,'Curva de la oferta Prod 3'!$A18,'Curvas Prod 3'!AC16:AC161)</f>
        <v>0.24590163934426229</v>
      </c>
      <c r="AE18" s="45"/>
      <c r="AF18" s="49"/>
      <c r="AG18" s="49"/>
      <c r="AH18" s="49"/>
      <c r="AI18" s="49"/>
      <c r="AJ18" s="49"/>
      <c r="AK18" s="49"/>
    </row>
    <row r="19" spans="1:37" ht="15">
      <c r="A19" s="23">
        <f t="shared" si="0"/>
        <v>2026</v>
      </c>
      <c r="B19" s="27">
        <v>46357</v>
      </c>
      <c r="C19" s="35">
        <f>IF(AND(COLUMN()&gt;=11,COLUMN()&lt;=20),(_xlfn.XLOOKUP($A19,'Oferta Producto 3'!$B$10:$B$21,'Oferta Producto 3'!$E$10:$E$21))/SUMIF($A$7:$AC$128,$A19,$AB$6:$AB$127)*C$5,0)</f>
        <v>0</v>
      </c>
      <c r="D19" s="35">
        <f>IF(AND(COLUMN()&gt;=11,COLUMN()&lt;=20),(_xlfn.XLOOKUP($A19,'Oferta Producto 3'!$B$10:$B$21,'Oferta Producto 3'!$E$10:$E$21))/SUMIF($A$7:$AC$128,$A19,$AB$6:$AB$127)*D$5,0)</f>
        <v>0</v>
      </c>
      <c r="E19" s="35">
        <f>IF(AND(COLUMN()&gt;=11,COLUMN()&lt;=20),(_xlfn.XLOOKUP($A19,'Oferta Producto 3'!$B$10:$B$21,'Oferta Producto 3'!$E$10:$E$21))/SUMIF($A$7:$AC$128,$A19,$AB$6:$AB$127)*E$5,0)</f>
        <v>0</v>
      </c>
      <c r="F19" s="35">
        <f>IF(AND(COLUMN()&gt;=11,COLUMN()&lt;=20),(_xlfn.XLOOKUP($A19,'Oferta Producto 3'!$B$10:$B$21,'Oferta Producto 3'!$E$10:$E$21))/SUMIF($A$7:$AC$128,$A19,$AB$6:$AB$127)*F$5,0)</f>
        <v>0</v>
      </c>
      <c r="G19" s="35">
        <f>IF(AND(COLUMN()&gt;=11,COLUMN()&lt;=20),(_xlfn.XLOOKUP($A19,'Oferta Producto 3'!$B$10:$B$21,'Oferta Producto 3'!$E$10:$E$21))/SUMIF($A$7:$AC$128,$A19,$AB$6:$AB$127)*G$5,0)</f>
        <v>0</v>
      </c>
      <c r="H19" s="35">
        <f>IF(AND(COLUMN()&gt;=11,COLUMN()&lt;=20),(_xlfn.XLOOKUP($A19,'Oferta Producto 3'!$B$10:$B$21,'Oferta Producto 3'!$E$10:$E$21))/SUMIF($A$7:$AC$128,$A19,$AB$6:$AB$127)*H$5,0)</f>
        <v>0</v>
      </c>
      <c r="I19" s="35">
        <f>IF(AND(COLUMN()&gt;=11,COLUMN()&lt;=20),(_xlfn.XLOOKUP($A19,'Oferta Producto 3'!$B$10:$B$21,'Oferta Producto 3'!$E$10:$E$21))/SUMIF($A$7:$AC$128,$A19,$AB$6:$AB$127)*I$5,0)</f>
        <v>0</v>
      </c>
      <c r="J19" s="35">
        <f>IF(AND(COLUMN()&gt;=11,COLUMN()&lt;=20),(_xlfn.XLOOKUP($A19,'Oferta Producto 3'!$B$10:$B$21,'Oferta Producto 3'!$E$10:$E$21))/SUMIF($A$7:$AC$128,$A19,$AB$6:$AB$127)*J$5,0)</f>
        <v>0</v>
      </c>
      <c r="K19" s="35">
        <f ca="1">IF(AND(COLUMN()&gt;=11,COLUMN()&lt;=20),(_xlfn.XLOOKUP($A19,'Oferta Producto 3'!$B$10:$B$21,'Oferta Producto 3'!$E$10:$E$21))/SUMIF($A$7:$AC$128,$A19,$AB$6:$AB$127)*K$5,0)</f>
        <v>0</v>
      </c>
      <c r="L19" s="35">
        <f ca="1">IF(AND(COLUMN()&gt;=11,COLUMN()&lt;=20),(_xlfn.XLOOKUP($A19,'Oferta Producto 3'!$B$10:$B$21,'Oferta Producto 3'!$E$10:$E$21))/SUMIF($A$7:$AC$128,$A19,$AB$6:$AB$127)*L$5,0)</f>
        <v>0</v>
      </c>
      <c r="M19" s="35">
        <f ca="1">IF(AND(COLUMN()&gt;=11,COLUMN()&lt;=20),(_xlfn.XLOOKUP($A19,'Oferta Producto 3'!$B$10:$B$21,'Oferta Producto 3'!$E$10:$E$21))/SUMIF($A$7:$AC$128,$A19,$AB$6:$AB$127)*M$5,0)</f>
        <v>0</v>
      </c>
      <c r="N19" s="35">
        <f ca="1">IF(AND(COLUMN()&gt;=11,COLUMN()&lt;=20),(_xlfn.XLOOKUP($A19,'Oferta Producto 3'!$B$10:$B$21,'Oferta Producto 3'!$E$10:$E$21))/SUMIF($A$7:$AC$128,$A19,$AB$6:$AB$127)*N$5,0)</f>
        <v>0</v>
      </c>
      <c r="O19" s="35">
        <f ca="1">IF(AND(COLUMN()&gt;=11,COLUMN()&lt;=20),(_xlfn.XLOOKUP($A19,'Oferta Producto 3'!$B$10:$B$21,'Oferta Producto 3'!$E$10:$E$21))/SUMIF($A$7:$AC$128,$A19,$AB$6:$AB$127)*O$5,0)</f>
        <v>0</v>
      </c>
      <c r="P19" s="35">
        <f ca="1">IF(AND(COLUMN()&gt;=11,COLUMN()&lt;=20),(_xlfn.XLOOKUP($A19,'Oferta Producto 3'!$B$10:$B$21,'Oferta Producto 3'!$E$10:$E$21))/SUMIF($A$7:$AC$128,$A19,$AB$6:$AB$127)*P$5,0)</f>
        <v>0</v>
      </c>
      <c r="Q19" s="35">
        <f ca="1">IF(AND(COLUMN()&gt;=11,COLUMN()&lt;=20),(_xlfn.XLOOKUP($A19,'Oferta Producto 3'!$B$10:$B$21,'Oferta Producto 3'!$E$10:$E$21))/SUMIF($A$7:$AC$128,$A19,$AB$6:$AB$127)*Q$5,0)</f>
        <v>0</v>
      </c>
      <c r="R19" s="35">
        <f ca="1">IF(AND(COLUMN()&gt;=11,COLUMN()&lt;=20),(_xlfn.XLOOKUP($A19,'Oferta Producto 3'!$B$10:$B$21,'Oferta Producto 3'!$E$10:$E$21))/SUMIF($A$7:$AC$128,$A19,$AB$6:$AB$127)*R$5,0)</f>
        <v>0</v>
      </c>
      <c r="S19" s="35">
        <f ca="1">IF(AND(COLUMN()&gt;=11,COLUMN()&lt;=20),(_xlfn.XLOOKUP($A19,'Oferta Producto 3'!$B$10:$B$21,'Oferta Producto 3'!$E$10:$E$21))/SUMIF($A$7:$AC$128,$A19,$AB$6:$AB$127)*S$5,0)</f>
        <v>0</v>
      </c>
      <c r="T19" s="35">
        <f ca="1">IF(AND(COLUMN()&gt;=11,COLUMN()&lt;=20),(_xlfn.XLOOKUP($A19,'Oferta Producto 3'!$B$10:$B$21,'Oferta Producto 3'!$E$10:$E$21))/SUMIF($A$7:$AC$128,$A19,$AB$6:$AB$127)*T$5,0)</f>
        <v>0</v>
      </c>
      <c r="U19" s="35">
        <f>IF(AND(COLUMN()&gt;=11,COLUMN()&lt;=20),(_xlfn.XLOOKUP($A19,'Oferta Producto 3'!$B$10:$B$21,'Oferta Producto 3'!$E$10:$E$21))/SUMIF($A$7:$AC$128,$A19,$AB$6:$AB$127)*U$5,0)</f>
        <v>0</v>
      </c>
      <c r="V19" s="35">
        <f>IF(AND(COLUMN()&gt;=11,COLUMN()&lt;=20),(_xlfn.XLOOKUP($A19,'Oferta Producto 3'!$B$10:$B$21,'Oferta Producto 3'!$E$10:$E$21))/SUMIF($A$7:$AC$128,$A19,$AB$6:$AB$127)*V$5,0)</f>
        <v>0</v>
      </c>
      <c r="W19" s="35">
        <f>IF(AND(COLUMN()&gt;=11,COLUMN()&lt;=20),(_xlfn.XLOOKUP($A19,'Oferta Producto 3'!$B$10:$B$21,'Oferta Producto 3'!$E$10:$E$21))/SUMIF($A$7:$AC$128,$A19,$AB$6:$AB$127)*W$5,0)</f>
        <v>0</v>
      </c>
      <c r="X19" s="35">
        <f>IF(AND(COLUMN()&gt;=11,COLUMN()&lt;=20),(_xlfn.XLOOKUP($A19,'Oferta Producto 3'!$B$10:$B$21,'Oferta Producto 3'!$E$10:$E$21))/SUMIF($A$7:$AC$128,$A19,$AB$6:$AB$127)*X$5,0)</f>
        <v>0</v>
      </c>
      <c r="Y19" s="35">
        <f>IF(AND(COLUMN()&gt;=11,COLUMN()&lt;=20),(_xlfn.XLOOKUP($A19,'Oferta Producto 3'!$B$10:$B$21,'Oferta Producto 3'!$E$10:$E$21))/SUMIF($A$7:$AC$128,$A19,$AB$6:$AB$127)*Y$5,0)</f>
        <v>0</v>
      </c>
      <c r="Z19" s="35">
        <f>IF(AND(COLUMN()&gt;=11,COLUMN()&lt;=20),(_xlfn.XLOOKUP($A19,'Oferta Producto 3'!$B$10:$B$21,'Oferta Producto 3'!$E$10:$E$21))/SUMIF($A$7:$AC$128,$A19,$AB$6:$AB$127)*Z$5,0)</f>
        <v>0</v>
      </c>
      <c r="AA19" s="35">
        <f t="shared" ca="1" si="1"/>
        <v>0</v>
      </c>
      <c r="AB19" s="28">
        <f t="shared" si="2"/>
        <v>31</v>
      </c>
      <c r="AC19" s="29">
        <f t="shared" ca="1" si="3"/>
        <v>0</v>
      </c>
      <c r="AD19" s="48">
        <f ca="1">'Curvas Prod 3'!AC19/SUMIF('Curvas Prod 3'!A17:AC162,'Curva de la oferta Prod 3'!$A19,'Curvas Prod 3'!AC17:AC162)</f>
        <v>0.33695652173913043</v>
      </c>
      <c r="AE19" s="45"/>
      <c r="AF19" s="49"/>
      <c r="AG19" s="49"/>
      <c r="AH19" s="49"/>
      <c r="AI19" s="49"/>
      <c r="AJ19" s="49"/>
      <c r="AK19" s="49"/>
    </row>
    <row r="20" spans="1:37" ht="15">
      <c r="A20" s="23">
        <f t="shared" si="0"/>
        <v>2027</v>
      </c>
      <c r="B20" s="27">
        <v>46388</v>
      </c>
      <c r="C20" s="35">
        <f>IF(AND(COLUMN()&gt;=11,COLUMN()&lt;=20),(_xlfn.XLOOKUP($A20,'Oferta Producto 3'!$B$10:$B$21,'Oferta Producto 3'!$E$10:$E$21))/SUMIF($A$7:$AC$128,$A20,$AB$6:$AB$127)*C$5,0)</f>
        <v>0</v>
      </c>
      <c r="D20" s="35">
        <f>IF(AND(COLUMN()&gt;=11,COLUMN()&lt;=20),(_xlfn.XLOOKUP($A20,'Oferta Producto 3'!$B$10:$B$21,'Oferta Producto 3'!$E$10:$E$21))/SUMIF($A$7:$AC$128,$A20,$AB$6:$AB$127)*D$5,0)</f>
        <v>0</v>
      </c>
      <c r="E20" s="35">
        <f>IF(AND(COLUMN()&gt;=11,COLUMN()&lt;=20),(_xlfn.XLOOKUP($A20,'Oferta Producto 3'!$B$10:$B$21,'Oferta Producto 3'!$E$10:$E$21))/SUMIF($A$7:$AC$128,$A20,$AB$6:$AB$127)*E$5,0)</f>
        <v>0</v>
      </c>
      <c r="F20" s="35">
        <f>IF(AND(COLUMN()&gt;=11,COLUMN()&lt;=20),(_xlfn.XLOOKUP($A20,'Oferta Producto 3'!$B$10:$B$21,'Oferta Producto 3'!$E$10:$E$21))/SUMIF($A$7:$AC$128,$A20,$AB$6:$AB$127)*F$5,0)</f>
        <v>0</v>
      </c>
      <c r="G20" s="35">
        <f>IF(AND(COLUMN()&gt;=11,COLUMN()&lt;=20),(_xlfn.XLOOKUP($A20,'Oferta Producto 3'!$B$10:$B$21,'Oferta Producto 3'!$E$10:$E$21))/SUMIF($A$7:$AC$128,$A20,$AB$6:$AB$127)*G$5,0)</f>
        <v>0</v>
      </c>
      <c r="H20" s="35">
        <f>IF(AND(COLUMN()&gt;=11,COLUMN()&lt;=20),(_xlfn.XLOOKUP($A20,'Oferta Producto 3'!$B$10:$B$21,'Oferta Producto 3'!$E$10:$E$21))/SUMIF($A$7:$AC$128,$A20,$AB$6:$AB$127)*H$5,0)</f>
        <v>0</v>
      </c>
      <c r="I20" s="35">
        <f>IF(AND(COLUMN()&gt;=11,COLUMN()&lt;=20),(_xlfn.XLOOKUP($A20,'Oferta Producto 3'!$B$10:$B$21,'Oferta Producto 3'!$E$10:$E$21))/SUMIF($A$7:$AC$128,$A20,$AB$6:$AB$127)*I$5,0)</f>
        <v>0</v>
      </c>
      <c r="J20" s="35">
        <f>IF(AND(COLUMN()&gt;=11,COLUMN()&lt;=20),(_xlfn.XLOOKUP($A20,'Oferta Producto 3'!$B$10:$B$21,'Oferta Producto 3'!$E$10:$E$21))/SUMIF($A$7:$AC$128,$A20,$AB$6:$AB$127)*J$5,0)</f>
        <v>0</v>
      </c>
      <c r="K20" s="35">
        <f ca="1">IF(AND(COLUMN()&gt;=11,COLUMN()&lt;=20),(_xlfn.XLOOKUP($A20,'Oferta Producto 3'!$B$10:$B$21,'Oferta Producto 3'!$E$10:$E$21))/SUMIF($A$7:$AC$128,$A20,$AB$6:$AB$127)*K$5,0)</f>
        <v>0</v>
      </c>
      <c r="L20" s="35">
        <f ca="1">IF(AND(COLUMN()&gt;=11,COLUMN()&lt;=20),(_xlfn.XLOOKUP($A20,'Oferta Producto 3'!$B$10:$B$21,'Oferta Producto 3'!$E$10:$E$21))/SUMIF($A$7:$AC$128,$A20,$AB$6:$AB$127)*L$5,0)</f>
        <v>0</v>
      </c>
      <c r="M20" s="35">
        <f ca="1">IF(AND(COLUMN()&gt;=11,COLUMN()&lt;=20),(_xlfn.XLOOKUP($A20,'Oferta Producto 3'!$B$10:$B$21,'Oferta Producto 3'!$E$10:$E$21))/SUMIF($A$7:$AC$128,$A20,$AB$6:$AB$127)*M$5,0)</f>
        <v>0</v>
      </c>
      <c r="N20" s="35">
        <f ca="1">IF(AND(COLUMN()&gt;=11,COLUMN()&lt;=20),(_xlfn.XLOOKUP($A20,'Oferta Producto 3'!$B$10:$B$21,'Oferta Producto 3'!$E$10:$E$21))/SUMIF($A$7:$AC$128,$A20,$AB$6:$AB$127)*N$5,0)</f>
        <v>0</v>
      </c>
      <c r="O20" s="35">
        <f ca="1">IF(AND(COLUMN()&gt;=11,COLUMN()&lt;=20),(_xlfn.XLOOKUP($A20,'Oferta Producto 3'!$B$10:$B$21,'Oferta Producto 3'!$E$10:$E$21))/SUMIF($A$7:$AC$128,$A20,$AB$6:$AB$127)*O$5,0)</f>
        <v>0</v>
      </c>
      <c r="P20" s="35">
        <f ca="1">IF(AND(COLUMN()&gt;=11,COLUMN()&lt;=20),(_xlfn.XLOOKUP($A20,'Oferta Producto 3'!$B$10:$B$21,'Oferta Producto 3'!$E$10:$E$21))/SUMIF($A$7:$AC$128,$A20,$AB$6:$AB$127)*P$5,0)</f>
        <v>0</v>
      </c>
      <c r="Q20" s="35">
        <f ca="1">IF(AND(COLUMN()&gt;=11,COLUMN()&lt;=20),(_xlfn.XLOOKUP($A20,'Oferta Producto 3'!$B$10:$B$21,'Oferta Producto 3'!$E$10:$E$21))/SUMIF($A$7:$AC$128,$A20,$AB$6:$AB$127)*Q$5,0)</f>
        <v>0</v>
      </c>
      <c r="R20" s="35">
        <f ca="1">IF(AND(COLUMN()&gt;=11,COLUMN()&lt;=20),(_xlfn.XLOOKUP($A20,'Oferta Producto 3'!$B$10:$B$21,'Oferta Producto 3'!$E$10:$E$21))/SUMIF($A$7:$AC$128,$A20,$AB$6:$AB$127)*R$5,0)</f>
        <v>0</v>
      </c>
      <c r="S20" s="35">
        <f ca="1">IF(AND(COLUMN()&gt;=11,COLUMN()&lt;=20),(_xlfn.XLOOKUP($A20,'Oferta Producto 3'!$B$10:$B$21,'Oferta Producto 3'!$E$10:$E$21))/SUMIF($A$7:$AC$128,$A20,$AB$6:$AB$127)*S$5,0)</f>
        <v>0</v>
      </c>
      <c r="T20" s="35">
        <f ca="1">IF(AND(COLUMN()&gt;=11,COLUMN()&lt;=20),(_xlfn.XLOOKUP($A20,'Oferta Producto 3'!$B$10:$B$21,'Oferta Producto 3'!$E$10:$E$21))/SUMIF($A$7:$AC$128,$A20,$AB$6:$AB$127)*T$5,0)</f>
        <v>0</v>
      </c>
      <c r="U20" s="35">
        <f>IF(AND(COLUMN()&gt;=11,COLUMN()&lt;=20),(_xlfn.XLOOKUP($A20,'Oferta Producto 3'!$B$10:$B$21,'Oferta Producto 3'!$E$10:$E$21))/SUMIF($A$7:$AC$128,$A20,$AB$6:$AB$127)*U$5,0)</f>
        <v>0</v>
      </c>
      <c r="V20" s="35">
        <f>IF(AND(COLUMN()&gt;=11,COLUMN()&lt;=20),(_xlfn.XLOOKUP($A20,'Oferta Producto 3'!$B$10:$B$21,'Oferta Producto 3'!$E$10:$E$21))/SUMIF($A$7:$AC$128,$A20,$AB$6:$AB$127)*V$5,0)</f>
        <v>0</v>
      </c>
      <c r="W20" s="35">
        <f>IF(AND(COLUMN()&gt;=11,COLUMN()&lt;=20),(_xlfn.XLOOKUP($A20,'Oferta Producto 3'!$B$10:$B$21,'Oferta Producto 3'!$E$10:$E$21))/SUMIF($A$7:$AC$128,$A20,$AB$6:$AB$127)*W$5,0)</f>
        <v>0</v>
      </c>
      <c r="X20" s="35">
        <f>IF(AND(COLUMN()&gt;=11,COLUMN()&lt;=20),(_xlfn.XLOOKUP($A20,'Oferta Producto 3'!$B$10:$B$21,'Oferta Producto 3'!$E$10:$E$21))/SUMIF($A$7:$AC$128,$A20,$AB$6:$AB$127)*X$5,0)</f>
        <v>0</v>
      </c>
      <c r="Y20" s="35">
        <f>IF(AND(COLUMN()&gt;=11,COLUMN()&lt;=20),(_xlfn.XLOOKUP($A20,'Oferta Producto 3'!$B$10:$B$21,'Oferta Producto 3'!$E$10:$E$21))/SUMIF($A$7:$AC$128,$A20,$AB$6:$AB$127)*Y$5,0)</f>
        <v>0</v>
      </c>
      <c r="Z20" s="35">
        <f>IF(AND(COLUMN()&gt;=11,COLUMN()&lt;=20),(_xlfn.XLOOKUP($A20,'Oferta Producto 3'!$B$10:$B$21,'Oferta Producto 3'!$E$10:$E$21))/SUMIF($A$7:$AC$128,$A20,$AB$6:$AB$127)*Z$5,0)</f>
        <v>0</v>
      </c>
      <c r="AA20" s="35">
        <f ca="1">SUM(C20:Z20)</f>
        <v>0</v>
      </c>
      <c r="AB20" s="28">
        <f t="shared" si="2"/>
        <v>31</v>
      </c>
      <c r="AC20" s="29">
        <f t="shared" ca="1" si="3"/>
        <v>0</v>
      </c>
      <c r="AD20" s="48">
        <f ca="1">'Curvas Prod 3'!AC20/SUMIF('Curvas Prod 3'!A18:AC163,'Curva de la oferta Prod 3'!$A20,'Curvas Prod 3'!AC18:AC163)</f>
        <v>8.4931506849315067E-2</v>
      </c>
      <c r="AE20" s="45"/>
      <c r="AF20" s="49"/>
      <c r="AG20" s="49"/>
      <c r="AH20" s="49"/>
      <c r="AI20" s="49"/>
      <c r="AJ20" s="49"/>
      <c r="AK20" s="49"/>
    </row>
    <row r="21" spans="1:37" ht="15">
      <c r="A21" s="23">
        <f t="shared" si="0"/>
        <v>2027</v>
      </c>
      <c r="B21" s="27">
        <v>46419</v>
      </c>
      <c r="C21" s="35">
        <f>IF(AND(COLUMN()&gt;=11,COLUMN()&lt;=20),(_xlfn.XLOOKUP($A21,'Oferta Producto 3'!$B$10:$B$21,'Oferta Producto 3'!$E$10:$E$21))/SUMIF($A$7:$AC$128,$A21,$AB$6:$AB$127)*C$5,0)</f>
        <v>0</v>
      </c>
      <c r="D21" s="35">
        <f>IF(AND(COLUMN()&gt;=11,COLUMN()&lt;=20),(_xlfn.XLOOKUP($A21,'Oferta Producto 3'!$B$10:$B$21,'Oferta Producto 3'!$E$10:$E$21))/SUMIF($A$7:$AC$128,$A21,$AB$6:$AB$127)*D$5,0)</f>
        <v>0</v>
      </c>
      <c r="E21" s="35">
        <f>IF(AND(COLUMN()&gt;=11,COLUMN()&lt;=20),(_xlfn.XLOOKUP($A21,'Oferta Producto 3'!$B$10:$B$21,'Oferta Producto 3'!$E$10:$E$21))/SUMIF($A$7:$AC$128,$A21,$AB$6:$AB$127)*E$5,0)</f>
        <v>0</v>
      </c>
      <c r="F21" s="35">
        <f>IF(AND(COLUMN()&gt;=11,COLUMN()&lt;=20),(_xlfn.XLOOKUP($A21,'Oferta Producto 3'!$B$10:$B$21,'Oferta Producto 3'!$E$10:$E$21))/SUMIF($A$7:$AC$128,$A21,$AB$6:$AB$127)*F$5,0)</f>
        <v>0</v>
      </c>
      <c r="G21" s="35">
        <f>IF(AND(COLUMN()&gt;=11,COLUMN()&lt;=20),(_xlfn.XLOOKUP($A21,'Oferta Producto 3'!$B$10:$B$21,'Oferta Producto 3'!$E$10:$E$21))/SUMIF($A$7:$AC$128,$A21,$AB$6:$AB$127)*G$5,0)</f>
        <v>0</v>
      </c>
      <c r="H21" s="35">
        <f>IF(AND(COLUMN()&gt;=11,COLUMN()&lt;=20),(_xlfn.XLOOKUP($A21,'Oferta Producto 3'!$B$10:$B$21,'Oferta Producto 3'!$E$10:$E$21))/SUMIF($A$7:$AC$128,$A21,$AB$6:$AB$127)*H$5,0)</f>
        <v>0</v>
      </c>
      <c r="I21" s="35">
        <f>IF(AND(COLUMN()&gt;=11,COLUMN()&lt;=20),(_xlfn.XLOOKUP($A21,'Oferta Producto 3'!$B$10:$B$21,'Oferta Producto 3'!$E$10:$E$21))/SUMIF($A$7:$AC$128,$A21,$AB$6:$AB$127)*I$5,0)</f>
        <v>0</v>
      </c>
      <c r="J21" s="35">
        <f>IF(AND(COLUMN()&gt;=11,COLUMN()&lt;=20),(_xlfn.XLOOKUP($A21,'Oferta Producto 3'!$B$10:$B$21,'Oferta Producto 3'!$E$10:$E$21))/SUMIF($A$7:$AC$128,$A21,$AB$6:$AB$127)*J$5,0)</f>
        <v>0</v>
      </c>
      <c r="K21" s="35">
        <f ca="1">IF(AND(COLUMN()&gt;=11,COLUMN()&lt;=20),(_xlfn.XLOOKUP($A21,'Oferta Producto 3'!$B$10:$B$21,'Oferta Producto 3'!$E$10:$E$21))/SUMIF($A$7:$AC$128,$A21,$AB$6:$AB$127)*K$5,0)</f>
        <v>0</v>
      </c>
      <c r="L21" s="35">
        <f ca="1">IF(AND(COLUMN()&gt;=11,COLUMN()&lt;=20),(_xlfn.XLOOKUP($A21,'Oferta Producto 3'!$B$10:$B$21,'Oferta Producto 3'!$E$10:$E$21))/SUMIF($A$7:$AC$128,$A21,$AB$6:$AB$127)*L$5,0)</f>
        <v>0</v>
      </c>
      <c r="M21" s="35">
        <f ca="1">IF(AND(COLUMN()&gt;=11,COLUMN()&lt;=20),(_xlfn.XLOOKUP($A21,'Oferta Producto 3'!$B$10:$B$21,'Oferta Producto 3'!$E$10:$E$21))/SUMIF($A$7:$AC$128,$A21,$AB$6:$AB$127)*M$5,0)</f>
        <v>0</v>
      </c>
      <c r="N21" s="35">
        <f ca="1">IF(AND(COLUMN()&gt;=11,COLUMN()&lt;=20),(_xlfn.XLOOKUP($A21,'Oferta Producto 3'!$B$10:$B$21,'Oferta Producto 3'!$E$10:$E$21))/SUMIF($A$7:$AC$128,$A21,$AB$6:$AB$127)*N$5,0)</f>
        <v>0</v>
      </c>
      <c r="O21" s="35">
        <f ca="1">IF(AND(COLUMN()&gt;=11,COLUMN()&lt;=20),(_xlfn.XLOOKUP($A21,'Oferta Producto 3'!$B$10:$B$21,'Oferta Producto 3'!$E$10:$E$21))/SUMIF($A$7:$AC$128,$A21,$AB$6:$AB$127)*O$5,0)</f>
        <v>0</v>
      </c>
      <c r="P21" s="35">
        <f ca="1">IF(AND(COLUMN()&gt;=11,COLUMN()&lt;=20),(_xlfn.XLOOKUP($A21,'Oferta Producto 3'!$B$10:$B$21,'Oferta Producto 3'!$E$10:$E$21))/SUMIF($A$7:$AC$128,$A21,$AB$6:$AB$127)*P$5,0)</f>
        <v>0</v>
      </c>
      <c r="Q21" s="35">
        <f ca="1">IF(AND(COLUMN()&gt;=11,COLUMN()&lt;=20),(_xlfn.XLOOKUP($A21,'Oferta Producto 3'!$B$10:$B$21,'Oferta Producto 3'!$E$10:$E$21))/SUMIF($A$7:$AC$128,$A21,$AB$6:$AB$127)*Q$5,0)</f>
        <v>0</v>
      </c>
      <c r="R21" s="35">
        <f ca="1">IF(AND(COLUMN()&gt;=11,COLUMN()&lt;=20),(_xlfn.XLOOKUP($A21,'Oferta Producto 3'!$B$10:$B$21,'Oferta Producto 3'!$E$10:$E$21))/SUMIF($A$7:$AC$128,$A21,$AB$6:$AB$127)*R$5,0)</f>
        <v>0</v>
      </c>
      <c r="S21" s="35">
        <f ca="1">IF(AND(COLUMN()&gt;=11,COLUMN()&lt;=20),(_xlfn.XLOOKUP($A21,'Oferta Producto 3'!$B$10:$B$21,'Oferta Producto 3'!$E$10:$E$21))/SUMIF($A$7:$AC$128,$A21,$AB$6:$AB$127)*S$5,0)</f>
        <v>0</v>
      </c>
      <c r="T21" s="35">
        <f ca="1">IF(AND(COLUMN()&gt;=11,COLUMN()&lt;=20),(_xlfn.XLOOKUP($A21,'Oferta Producto 3'!$B$10:$B$21,'Oferta Producto 3'!$E$10:$E$21))/SUMIF($A$7:$AC$128,$A21,$AB$6:$AB$127)*T$5,0)</f>
        <v>0</v>
      </c>
      <c r="U21" s="35">
        <f>IF(AND(COLUMN()&gt;=11,COLUMN()&lt;=20),(_xlfn.XLOOKUP($A21,'Oferta Producto 3'!$B$10:$B$21,'Oferta Producto 3'!$E$10:$E$21))/SUMIF($A$7:$AC$128,$A21,$AB$6:$AB$127)*U$5,0)</f>
        <v>0</v>
      </c>
      <c r="V21" s="35">
        <f>IF(AND(COLUMN()&gt;=11,COLUMN()&lt;=20),(_xlfn.XLOOKUP($A21,'Oferta Producto 3'!$B$10:$B$21,'Oferta Producto 3'!$E$10:$E$21))/SUMIF($A$7:$AC$128,$A21,$AB$6:$AB$127)*V$5,0)</f>
        <v>0</v>
      </c>
      <c r="W21" s="35">
        <f>IF(AND(COLUMN()&gt;=11,COLUMN()&lt;=20),(_xlfn.XLOOKUP($A21,'Oferta Producto 3'!$B$10:$B$21,'Oferta Producto 3'!$E$10:$E$21))/SUMIF($A$7:$AC$128,$A21,$AB$6:$AB$127)*W$5,0)</f>
        <v>0</v>
      </c>
      <c r="X21" s="35">
        <f>IF(AND(COLUMN()&gt;=11,COLUMN()&lt;=20),(_xlfn.XLOOKUP($A21,'Oferta Producto 3'!$B$10:$B$21,'Oferta Producto 3'!$E$10:$E$21))/SUMIF($A$7:$AC$128,$A21,$AB$6:$AB$127)*X$5,0)</f>
        <v>0</v>
      </c>
      <c r="Y21" s="35">
        <f>IF(AND(COLUMN()&gt;=11,COLUMN()&lt;=20),(_xlfn.XLOOKUP($A21,'Oferta Producto 3'!$B$10:$B$21,'Oferta Producto 3'!$E$10:$E$21))/SUMIF($A$7:$AC$128,$A21,$AB$6:$AB$127)*Y$5,0)</f>
        <v>0</v>
      </c>
      <c r="Z21" s="35">
        <f>IF(AND(COLUMN()&gt;=11,COLUMN()&lt;=20),(_xlfn.XLOOKUP($A21,'Oferta Producto 3'!$B$10:$B$21,'Oferta Producto 3'!$E$10:$E$21))/SUMIF($A$7:$AC$128,$A21,$AB$6:$AB$127)*Z$5,0)</f>
        <v>0</v>
      </c>
      <c r="AA21" s="35">
        <f t="shared" ref="AA21:AA31" ca="1" si="4">SUM(C21:Z21)</f>
        <v>0</v>
      </c>
      <c r="AB21" s="28">
        <f t="shared" si="2"/>
        <v>28</v>
      </c>
      <c r="AC21" s="29">
        <f t="shared" ca="1" si="3"/>
        <v>0</v>
      </c>
      <c r="AD21" s="48">
        <f ca="1">'Curvas Prod 3'!AC21/SUMIF('Curvas Prod 3'!A19:AC164,'Curva de la oferta Prod 3'!$A21,'Curvas Prod 3'!AC19:AC164)</f>
        <v>7.6712328767123292E-2</v>
      </c>
      <c r="AE21" s="45"/>
      <c r="AF21" s="49"/>
      <c r="AG21" s="49"/>
      <c r="AH21" s="49"/>
      <c r="AI21" s="49"/>
      <c r="AJ21" s="49"/>
      <c r="AK21" s="49"/>
    </row>
    <row r="22" spans="1:37" ht="15">
      <c r="A22" s="23">
        <f t="shared" si="0"/>
        <v>2027</v>
      </c>
      <c r="B22" s="27">
        <v>46447</v>
      </c>
      <c r="C22" s="35">
        <f>IF(AND(COLUMN()&gt;=11,COLUMN()&lt;=20),(_xlfn.XLOOKUP($A22,'Oferta Producto 3'!$B$10:$B$21,'Oferta Producto 3'!$E$10:$E$21))/SUMIF($A$7:$AC$128,$A22,$AB$6:$AB$127)*C$5,0)</f>
        <v>0</v>
      </c>
      <c r="D22" s="35">
        <f>IF(AND(COLUMN()&gt;=11,COLUMN()&lt;=20),(_xlfn.XLOOKUP($A22,'Oferta Producto 3'!$B$10:$B$21,'Oferta Producto 3'!$E$10:$E$21))/SUMIF($A$7:$AC$128,$A22,$AB$6:$AB$127)*D$5,0)</f>
        <v>0</v>
      </c>
      <c r="E22" s="35">
        <f>IF(AND(COLUMN()&gt;=11,COLUMN()&lt;=20),(_xlfn.XLOOKUP($A22,'Oferta Producto 3'!$B$10:$B$21,'Oferta Producto 3'!$E$10:$E$21))/SUMIF($A$7:$AC$128,$A22,$AB$6:$AB$127)*E$5,0)</f>
        <v>0</v>
      </c>
      <c r="F22" s="35">
        <f>IF(AND(COLUMN()&gt;=11,COLUMN()&lt;=20),(_xlfn.XLOOKUP($A22,'Oferta Producto 3'!$B$10:$B$21,'Oferta Producto 3'!$E$10:$E$21))/SUMIF($A$7:$AC$128,$A22,$AB$6:$AB$127)*F$5,0)</f>
        <v>0</v>
      </c>
      <c r="G22" s="35">
        <f>IF(AND(COLUMN()&gt;=11,COLUMN()&lt;=20),(_xlfn.XLOOKUP($A22,'Oferta Producto 3'!$B$10:$B$21,'Oferta Producto 3'!$E$10:$E$21))/SUMIF($A$7:$AC$128,$A22,$AB$6:$AB$127)*G$5,0)</f>
        <v>0</v>
      </c>
      <c r="H22" s="35">
        <f>IF(AND(COLUMN()&gt;=11,COLUMN()&lt;=20),(_xlfn.XLOOKUP($A22,'Oferta Producto 3'!$B$10:$B$21,'Oferta Producto 3'!$E$10:$E$21))/SUMIF($A$7:$AC$128,$A22,$AB$6:$AB$127)*H$5,0)</f>
        <v>0</v>
      </c>
      <c r="I22" s="35">
        <f>IF(AND(COLUMN()&gt;=11,COLUMN()&lt;=20),(_xlfn.XLOOKUP($A22,'Oferta Producto 3'!$B$10:$B$21,'Oferta Producto 3'!$E$10:$E$21))/SUMIF($A$7:$AC$128,$A22,$AB$6:$AB$127)*I$5,0)</f>
        <v>0</v>
      </c>
      <c r="J22" s="35">
        <f>IF(AND(COLUMN()&gt;=11,COLUMN()&lt;=20),(_xlfn.XLOOKUP($A22,'Oferta Producto 3'!$B$10:$B$21,'Oferta Producto 3'!$E$10:$E$21))/SUMIF($A$7:$AC$128,$A22,$AB$6:$AB$127)*J$5,0)</f>
        <v>0</v>
      </c>
      <c r="K22" s="35">
        <f ca="1">IF(AND(COLUMN()&gt;=11,COLUMN()&lt;=20),(_xlfn.XLOOKUP($A22,'Oferta Producto 3'!$B$10:$B$21,'Oferta Producto 3'!$E$10:$E$21))/SUMIF($A$7:$AC$128,$A22,$AB$6:$AB$127)*K$5,0)</f>
        <v>0</v>
      </c>
      <c r="L22" s="35">
        <f ca="1">IF(AND(COLUMN()&gt;=11,COLUMN()&lt;=20),(_xlfn.XLOOKUP($A22,'Oferta Producto 3'!$B$10:$B$21,'Oferta Producto 3'!$E$10:$E$21))/SUMIF($A$7:$AC$128,$A22,$AB$6:$AB$127)*L$5,0)</f>
        <v>0</v>
      </c>
      <c r="M22" s="35">
        <f ca="1">IF(AND(COLUMN()&gt;=11,COLUMN()&lt;=20),(_xlfn.XLOOKUP($A22,'Oferta Producto 3'!$B$10:$B$21,'Oferta Producto 3'!$E$10:$E$21))/SUMIF($A$7:$AC$128,$A22,$AB$6:$AB$127)*M$5,0)</f>
        <v>0</v>
      </c>
      <c r="N22" s="35">
        <f ca="1">IF(AND(COLUMN()&gt;=11,COLUMN()&lt;=20),(_xlfn.XLOOKUP($A22,'Oferta Producto 3'!$B$10:$B$21,'Oferta Producto 3'!$E$10:$E$21))/SUMIF($A$7:$AC$128,$A22,$AB$6:$AB$127)*N$5,0)</f>
        <v>0</v>
      </c>
      <c r="O22" s="35">
        <f ca="1">IF(AND(COLUMN()&gt;=11,COLUMN()&lt;=20),(_xlfn.XLOOKUP($A22,'Oferta Producto 3'!$B$10:$B$21,'Oferta Producto 3'!$E$10:$E$21))/SUMIF($A$7:$AC$128,$A22,$AB$6:$AB$127)*O$5,0)</f>
        <v>0</v>
      </c>
      <c r="P22" s="35">
        <f ca="1">IF(AND(COLUMN()&gt;=11,COLUMN()&lt;=20),(_xlfn.XLOOKUP($A22,'Oferta Producto 3'!$B$10:$B$21,'Oferta Producto 3'!$E$10:$E$21))/SUMIF($A$7:$AC$128,$A22,$AB$6:$AB$127)*P$5,0)</f>
        <v>0</v>
      </c>
      <c r="Q22" s="35">
        <f ca="1">IF(AND(COLUMN()&gt;=11,COLUMN()&lt;=20),(_xlfn.XLOOKUP($A22,'Oferta Producto 3'!$B$10:$B$21,'Oferta Producto 3'!$E$10:$E$21))/SUMIF($A$7:$AC$128,$A22,$AB$6:$AB$127)*Q$5,0)</f>
        <v>0</v>
      </c>
      <c r="R22" s="35">
        <f ca="1">IF(AND(COLUMN()&gt;=11,COLUMN()&lt;=20),(_xlfn.XLOOKUP($A22,'Oferta Producto 3'!$B$10:$B$21,'Oferta Producto 3'!$E$10:$E$21))/SUMIF($A$7:$AC$128,$A22,$AB$6:$AB$127)*R$5,0)</f>
        <v>0</v>
      </c>
      <c r="S22" s="35">
        <f ca="1">IF(AND(COLUMN()&gt;=11,COLUMN()&lt;=20),(_xlfn.XLOOKUP($A22,'Oferta Producto 3'!$B$10:$B$21,'Oferta Producto 3'!$E$10:$E$21))/SUMIF($A$7:$AC$128,$A22,$AB$6:$AB$127)*S$5,0)</f>
        <v>0</v>
      </c>
      <c r="T22" s="35">
        <f ca="1">IF(AND(COLUMN()&gt;=11,COLUMN()&lt;=20),(_xlfn.XLOOKUP($A22,'Oferta Producto 3'!$B$10:$B$21,'Oferta Producto 3'!$E$10:$E$21))/SUMIF($A$7:$AC$128,$A22,$AB$6:$AB$127)*T$5,0)</f>
        <v>0</v>
      </c>
      <c r="U22" s="35">
        <f>IF(AND(COLUMN()&gt;=11,COLUMN()&lt;=20),(_xlfn.XLOOKUP($A22,'Oferta Producto 3'!$B$10:$B$21,'Oferta Producto 3'!$E$10:$E$21))/SUMIF($A$7:$AC$128,$A22,$AB$6:$AB$127)*U$5,0)</f>
        <v>0</v>
      </c>
      <c r="V22" s="35">
        <f>IF(AND(COLUMN()&gt;=11,COLUMN()&lt;=20),(_xlfn.XLOOKUP($A22,'Oferta Producto 3'!$B$10:$B$21,'Oferta Producto 3'!$E$10:$E$21))/SUMIF($A$7:$AC$128,$A22,$AB$6:$AB$127)*V$5,0)</f>
        <v>0</v>
      </c>
      <c r="W22" s="35">
        <f>IF(AND(COLUMN()&gt;=11,COLUMN()&lt;=20),(_xlfn.XLOOKUP($A22,'Oferta Producto 3'!$B$10:$B$21,'Oferta Producto 3'!$E$10:$E$21))/SUMIF($A$7:$AC$128,$A22,$AB$6:$AB$127)*W$5,0)</f>
        <v>0</v>
      </c>
      <c r="X22" s="35">
        <f>IF(AND(COLUMN()&gt;=11,COLUMN()&lt;=20),(_xlfn.XLOOKUP($A22,'Oferta Producto 3'!$B$10:$B$21,'Oferta Producto 3'!$E$10:$E$21))/SUMIF($A$7:$AC$128,$A22,$AB$6:$AB$127)*X$5,0)</f>
        <v>0</v>
      </c>
      <c r="Y22" s="35">
        <f>IF(AND(COLUMN()&gt;=11,COLUMN()&lt;=20),(_xlfn.XLOOKUP($A22,'Oferta Producto 3'!$B$10:$B$21,'Oferta Producto 3'!$E$10:$E$21))/SUMIF($A$7:$AC$128,$A22,$AB$6:$AB$127)*Y$5,0)</f>
        <v>0</v>
      </c>
      <c r="Z22" s="35">
        <f>IF(AND(COLUMN()&gt;=11,COLUMN()&lt;=20),(_xlfn.XLOOKUP($A22,'Oferta Producto 3'!$B$10:$B$21,'Oferta Producto 3'!$E$10:$E$21))/SUMIF($A$7:$AC$128,$A22,$AB$6:$AB$127)*Z$5,0)</f>
        <v>0</v>
      </c>
      <c r="AA22" s="35">
        <f t="shared" ca="1" si="4"/>
        <v>0</v>
      </c>
      <c r="AB22" s="28">
        <f t="shared" si="2"/>
        <v>31</v>
      </c>
      <c r="AC22" s="29">
        <f t="shared" ca="1" si="3"/>
        <v>0</v>
      </c>
      <c r="AD22" s="48">
        <f ca="1">'Curvas Prod 3'!AC22/SUMIF('Curvas Prod 3'!A20:AC165,'Curva de la oferta Prod 3'!$A22,'Curvas Prod 3'!AC20:AC165)</f>
        <v>8.4931506849315067E-2</v>
      </c>
      <c r="AE22" s="45"/>
      <c r="AF22" s="49"/>
      <c r="AG22" s="49"/>
      <c r="AH22" s="49"/>
      <c r="AI22" s="49"/>
      <c r="AJ22" s="49"/>
      <c r="AK22" s="49"/>
    </row>
    <row r="23" spans="1:37" ht="15">
      <c r="A23" s="23">
        <f t="shared" si="0"/>
        <v>2027</v>
      </c>
      <c r="B23" s="27">
        <v>46478</v>
      </c>
      <c r="C23" s="35">
        <f>IF(AND(COLUMN()&gt;=11,COLUMN()&lt;=20),(_xlfn.XLOOKUP($A23,'Oferta Producto 3'!$B$10:$B$21,'Oferta Producto 3'!$E$10:$E$21))/SUMIF($A$7:$AC$128,$A23,$AB$6:$AB$127)*C$5,0)</f>
        <v>0</v>
      </c>
      <c r="D23" s="35">
        <f>IF(AND(COLUMN()&gt;=11,COLUMN()&lt;=20),(_xlfn.XLOOKUP($A23,'Oferta Producto 3'!$B$10:$B$21,'Oferta Producto 3'!$E$10:$E$21))/SUMIF($A$7:$AC$128,$A23,$AB$6:$AB$127)*D$5,0)</f>
        <v>0</v>
      </c>
      <c r="E23" s="35">
        <f>IF(AND(COLUMN()&gt;=11,COLUMN()&lt;=20),(_xlfn.XLOOKUP($A23,'Oferta Producto 3'!$B$10:$B$21,'Oferta Producto 3'!$E$10:$E$21))/SUMIF($A$7:$AC$128,$A23,$AB$6:$AB$127)*E$5,0)</f>
        <v>0</v>
      </c>
      <c r="F23" s="35">
        <f>IF(AND(COLUMN()&gt;=11,COLUMN()&lt;=20),(_xlfn.XLOOKUP($A23,'Oferta Producto 3'!$B$10:$B$21,'Oferta Producto 3'!$E$10:$E$21))/SUMIF($A$7:$AC$128,$A23,$AB$6:$AB$127)*F$5,0)</f>
        <v>0</v>
      </c>
      <c r="G23" s="35">
        <f>IF(AND(COLUMN()&gt;=11,COLUMN()&lt;=20),(_xlfn.XLOOKUP($A23,'Oferta Producto 3'!$B$10:$B$21,'Oferta Producto 3'!$E$10:$E$21))/SUMIF($A$7:$AC$128,$A23,$AB$6:$AB$127)*G$5,0)</f>
        <v>0</v>
      </c>
      <c r="H23" s="35">
        <f>IF(AND(COLUMN()&gt;=11,COLUMN()&lt;=20),(_xlfn.XLOOKUP($A23,'Oferta Producto 3'!$B$10:$B$21,'Oferta Producto 3'!$E$10:$E$21))/SUMIF($A$7:$AC$128,$A23,$AB$6:$AB$127)*H$5,0)</f>
        <v>0</v>
      </c>
      <c r="I23" s="35">
        <f>IF(AND(COLUMN()&gt;=11,COLUMN()&lt;=20),(_xlfn.XLOOKUP($A23,'Oferta Producto 3'!$B$10:$B$21,'Oferta Producto 3'!$E$10:$E$21))/SUMIF($A$7:$AC$128,$A23,$AB$6:$AB$127)*I$5,0)</f>
        <v>0</v>
      </c>
      <c r="J23" s="35">
        <f>IF(AND(COLUMN()&gt;=11,COLUMN()&lt;=20),(_xlfn.XLOOKUP($A23,'Oferta Producto 3'!$B$10:$B$21,'Oferta Producto 3'!$E$10:$E$21))/SUMIF($A$7:$AC$128,$A23,$AB$6:$AB$127)*J$5,0)</f>
        <v>0</v>
      </c>
      <c r="K23" s="35">
        <f ca="1">IF(AND(COLUMN()&gt;=11,COLUMN()&lt;=20),(_xlfn.XLOOKUP($A23,'Oferta Producto 3'!$B$10:$B$21,'Oferta Producto 3'!$E$10:$E$21))/SUMIF($A$7:$AC$128,$A23,$AB$6:$AB$127)*K$5,0)</f>
        <v>0</v>
      </c>
      <c r="L23" s="35">
        <f ca="1">IF(AND(COLUMN()&gt;=11,COLUMN()&lt;=20),(_xlfn.XLOOKUP($A23,'Oferta Producto 3'!$B$10:$B$21,'Oferta Producto 3'!$E$10:$E$21))/SUMIF($A$7:$AC$128,$A23,$AB$6:$AB$127)*L$5,0)</f>
        <v>0</v>
      </c>
      <c r="M23" s="35">
        <f ca="1">IF(AND(COLUMN()&gt;=11,COLUMN()&lt;=20),(_xlfn.XLOOKUP($A23,'Oferta Producto 3'!$B$10:$B$21,'Oferta Producto 3'!$E$10:$E$21))/SUMIF($A$7:$AC$128,$A23,$AB$6:$AB$127)*M$5,0)</f>
        <v>0</v>
      </c>
      <c r="N23" s="35">
        <f ca="1">IF(AND(COLUMN()&gt;=11,COLUMN()&lt;=20),(_xlfn.XLOOKUP($A23,'Oferta Producto 3'!$B$10:$B$21,'Oferta Producto 3'!$E$10:$E$21))/SUMIF($A$7:$AC$128,$A23,$AB$6:$AB$127)*N$5,0)</f>
        <v>0</v>
      </c>
      <c r="O23" s="35">
        <f ca="1">IF(AND(COLUMN()&gt;=11,COLUMN()&lt;=20),(_xlfn.XLOOKUP($A23,'Oferta Producto 3'!$B$10:$B$21,'Oferta Producto 3'!$E$10:$E$21))/SUMIF($A$7:$AC$128,$A23,$AB$6:$AB$127)*O$5,0)</f>
        <v>0</v>
      </c>
      <c r="P23" s="35">
        <f ca="1">IF(AND(COLUMN()&gt;=11,COLUMN()&lt;=20),(_xlfn.XLOOKUP($A23,'Oferta Producto 3'!$B$10:$B$21,'Oferta Producto 3'!$E$10:$E$21))/SUMIF($A$7:$AC$128,$A23,$AB$6:$AB$127)*P$5,0)</f>
        <v>0</v>
      </c>
      <c r="Q23" s="35">
        <f ca="1">IF(AND(COLUMN()&gt;=11,COLUMN()&lt;=20),(_xlfn.XLOOKUP($A23,'Oferta Producto 3'!$B$10:$B$21,'Oferta Producto 3'!$E$10:$E$21))/SUMIF($A$7:$AC$128,$A23,$AB$6:$AB$127)*Q$5,0)</f>
        <v>0</v>
      </c>
      <c r="R23" s="35">
        <f ca="1">IF(AND(COLUMN()&gt;=11,COLUMN()&lt;=20),(_xlfn.XLOOKUP($A23,'Oferta Producto 3'!$B$10:$B$21,'Oferta Producto 3'!$E$10:$E$21))/SUMIF($A$7:$AC$128,$A23,$AB$6:$AB$127)*R$5,0)</f>
        <v>0</v>
      </c>
      <c r="S23" s="35">
        <f ca="1">IF(AND(COLUMN()&gt;=11,COLUMN()&lt;=20),(_xlfn.XLOOKUP($A23,'Oferta Producto 3'!$B$10:$B$21,'Oferta Producto 3'!$E$10:$E$21))/SUMIF($A$7:$AC$128,$A23,$AB$6:$AB$127)*S$5,0)</f>
        <v>0</v>
      </c>
      <c r="T23" s="35">
        <f ca="1">IF(AND(COLUMN()&gt;=11,COLUMN()&lt;=20),(_xlfn.XLOOKUP($A23,'Oferta Producto 3'!$B$10:$B$21,'Oferta Producto 3'!$E$10:$E$21))/SUMIF($A$7:$AC$128,$A23,$AB$6:$AB$127)*T$5,0)</f>
        <v>0</v>
      </c>
      <c r="U23" s="35">
        <f>IF(AND(COLUMN()&gt;=11,COLUMN()&lt;=20),(_xlfn.XLOOKUP($A23,'Oferta Producto 3'!$B$10:$B$21,'Oferta Producto 3'!$E$10:$E$21))/SUMIF($A$7:$AC$128,$A23,$AB$6:$AB$127)*U$5,0)</f>
        <v>0</v>
      </c>
      <c r="V23" s="35">
        <f>IF(AND(COLUMN()&gt;=11,COLUMN()&lt;=20),(_xlfn.XLOOKUP($A23,'Oferta Producto 3'!$B$10:$B$21,'Oferta Producto 3'!$E$10:$E$21))/SUMIF($A$7:$AC$128,$A23,$AB$6:$AB$127)*V$5,0)</f>
        <v>0</v>
      </c>
      <c r="W23" s="35">
        <f>IF(AND(COLUMN()&gt;=11,COLUMN()&lt;=20),(_xlfn.XLOOKUP($A23,'Oferta Producto 3'!$B$10:$B$21,'Oferta Producto 3'!$E$10:$E$21))/SUMIF($A$7:$AC$128,$A23,$AB$6:$AB$127)*W$5,0)</f>
        <v>0</v>
      </c>
      <c r="X23" s="35">
        <f>IF(AND(COLUMN()&gt;=11,COLUMN()&lt;=20),(_xlfn.XLOOKUP($A23,'Oferta Producto 3'!$B$10:$B$21,'Oferta Producto 3'!$E$10:$E$21))/SUMIF($A$7:$AC$128,$A23,$AB$6:$AB$127)*X$5,0)</f>
        <v>0</v>
      </c>
      <c r="Y23" s="35">
        <f>IF(AND(COLUMN()&gt;=11,COLUMN()&lt;=20),(_xlfn.XLOOKUP($A23,'Oferta Producto 3'!$B$10:$B$21,'Oferta Producto 3'!$E$10:$E$21))/SUMIF($A$7:$AC$128,$A23,$AB$6:$AB$127)*Y$5,0)</f>
        <v>0</v>
      </c>
      <c r="Z23" s="35">
        <f>IF(AND(COLUMN()&gt;=11,COLUMN()&lt;=20),(_xlfn.XLOOKUP($A23,'Oferta Producto 3'!$B$10:$B$21,'Oferta Producto 3'!$E$10:$E$21))/SUMIF($A$7:$AC$128,$A23,$AB$6:$AB$127)*Z$5,0)</f>
        <v>0</v>
      </c>
      <c r="AA23" s="35">
        <f t="shared" ca="1" si="4"/>
        <v>0</v>
      </c>
      <c r="AB23" s="28">
        <f t="shared" si="2"/>
        <v>30</v>
      </c>
      <c r="AC23" s="29">
        <f t="shared" ca="1" si="3"/>
        <v>0</v>
      </c>
      <c r="AD23" s="48">
        <f ca="1">'Curvas Prod 3'!AC23/SUMIF('Curvas Prod 3'!A21:AC166,'Curva de la oferta Prod 3'!$A23,'Curvas Prod 3'!AC21:AC166)</f>
        <v>8.9820359281437126E-2</v>
      </c>
      <c r="AE23" s="45"/>
      <c r="AF23" s="49"/>
      <c r="AG23" s="49"/>
      <c r="AH23" s="49"/>
      <c r="AI23" s="49"/>
      <c r="AJ23" s="49"/>
      <c r="AK23" s="49"/>
    </row>
    <row r="24" spans="1:37" ht="15">
      <c r="A24" s="23">
        <f t="shared" si="0"/>
        <v>2027</v>
      </c>
      <c r="B24" s="27">
        <v>46508</v>
      </c>
      <c r="C24" s="35">
        <f>IF(AND(COLUMN()&gt;=11,COLUMN()&lt;=20),(_xlfn.XLOOKUP($A24,'Oferta Producto 3'!$B$10:$B$21,'Oferta Producto 3'!$E$10:$E$21))/SUMIF($A$7:$AC$128,$A24,$AB$6:$AB$127)*C$5,0)</f>
        <v>0</v>
      </c>
      <c r="D24" s="35">
        <f>IF(AND(COLUMN()&gt;=11,COLUMN()&lt;=20),(_xlfn.XLOOKUP($A24,'Oferta Producto 3'!$B$10:$B$21,'Oferta Producto 3'!$E$10:$E$21))/SUMIF($A$7:$AC$128,$A24,$AB$6:$AB$127)*D$5,0)</f>
        <v>0</v>
      </c>
      <c r="E24" s="35">
        <f>IF(AND(COLUMN()&gt;=11,COLUMN()&lt;=20),(_xlfn.XLOOKUP($A24,'Oferta Producto 3'!$B$10:$B$21,'Oferta Producto 3'!$E$10:$E$21))/SUMIF($A$7:$AC$128,$A24,$AB$6:$AB$127)*E$5,0)</f>
        <v>0</v>
      </c>
      <c r="F24" s="35">
        <f>IF(AND(COLUMN()&gt;=11,COLUMN()&lt;=20),(_xlfn.XLOOKUP($A24,'Oferta Producto 3'!$B$10:$B$21,'Oferta Producto 3'!$E$10:$E$21))/SUMIF($A$7:$AC$128,$A24,$AB$6:$AB$127)*F$5,0)</f>
        <v>0</v>
      </c>
      <c r="G24" s="35">
        <f>IF(AND(COLUMN()&gt;=11,COLUMN()&lt;=20),(_xlfn.XLOOKUP($A24,'Oferta Producto 3'!$B$10:$B$21,'Oferta Producto 3'!$E$10:$E$21))/SUMIF($A$7:$AC$128,$A24,$AB$6:$AB$127)*G$5,0)</f>
        <v>0</v>
      </c>
      <c r="H24" s="35">
        <f>IF(AND(COLUMN()&gt;=11,COLUMN()&lt;=20),(_xlfn.XLOOKUP($A24,'Oferta Producto 3'!$B$10:$B$21,'Oferta Producto 3'!$E$10:$E$21))/SUMIF($A$7:$AC$128,$A24,$AB$6:$AB$127)*H$5,0)</f>
        <v>0</v>
      </c>
      <c r="I24" s="35">
        <f>IF(AND(COLUMN()&gt;=11,COLUMN()&lt;=20),(_xlfn.XLOOKUP($A24,'Oferta Producto 3'!$B$10:$B$21,'Oferta Producto 3'!$E$10:$E$21))/SUMIF($A$7:$AC$128,$A24,$AB$6:$AB$127)*I$5,0)</f>
        <v>0</v>
      </c>
      <c r="J24" s="35">
        <f>IF(AND(COLUMN()&gt;=11,COLUMN()&lt;=20),(_xlfn.XLOOKUP($A24,'Oferta Producto 3'!$B$10:$B$21,'Oferta Producto 3'!$E$10:$E$21))/SUMIF($A$7:$AC$128,$A24,$AB$6:$AB$127)*J$5,0)</f>
        <v>0</v>
      </c>
      <c r="K24" s="35">
        <f ca="1">IF(AND(COLUMN()&gt;=11,COLUMN()&lt;=20),(_xlfn.XLOOKUP($A24,'Oferta Producto 3'!$B$10:$B$21,'Oferta Producto 3'!$E$10:$E$21))/SUMIF($A$7:$AC$128,$A24,$AB$6:$AB$127)*K$5,0)</f>
        <v>0</v>
      </c>
      <c r="L24" s="35">
        <f ca="1">IF(AND(COLUMN()&gt;=11,COLUMN()&lt;=20),(_xlfn.XLOOKUP($A24,'Oferta Producto 3'!$B$10:$B$21,'Oferta Producto 3'!$E$10:$E$21))/SUMIF($A$7:$AC$128,$A24,$AB$6:$AB$127)*L$5,0)</f>
        <v>0</v>
      </c>
      <c r="M24" s="35">
        <f ca="1">IF(AND(COLUMN()&gt;=11,COLUMN()&lt;=20),(_xlfn.XLOOKUP($A24,'Oferta Producto 3'!$B$10:$B$21,'Oferta Producto 3'!$E$10:$E$21))/SUMIF($A$7:$AC$128,$A24,$AB$6:$AB$127)*M$5,0)</f>
        <v>0</v>
      </c>
      <c r="N24" s="35">
        <f ca="1">IF(AND(COLUMN()&gt;=11,COLUMN()&lt;=20),(_xlfn.XLOOKUP($A24,'Oferta Producto 3'!$B$10:$B$21,'Oferta Producto 3'!$E$10:$E$21))/SUMIF($A$7:$AC$128,$A24,$AB$6:$AB$127)*N$5,0)</f>
        <v>0</v>
      </c>
      <c r="O24" s="35">
        <f ca="1">IF(AND(COLUMN()&gt;=11,COLUMN()&lt;=20),(_xlfn.XLOOKUP($A24,'Oferta Producto 3'!$B$10:$B$21,'Oferta Producto 3'!$E$10:$E$21))/SUMIF($A$7:$AC$128,$A24,$AB$6:$AB$127)*O$5,0)</f>
        <v>0</v>
      </c>
      <c r="P24" s="35">
        <f ca="1">IF(AND(COLUMN()&gt;=11,COLUMN()&lt;=20),(_xlfn.XLOOKUP($A24,'Oferta Producto 3'!$B$10:$B$21,'Oferta Producto 3'!$E$10:$E$21))/SUMIF($A$7:$AC$128,$A24,$AB$6:$AB$127)*P$5,0)</f>
        <v>0</v>
      </c>
      <c r="Q24" s="35">
        <f ca="1">IF(AND(COLUMN()&gt;=11,COLUMN()&lt;=20),(_xlfn.XLOOKUP($A24,'Oferta Producto 3'!$B$10:$B$21,'Oferta Producto 3'!$E$10:$E$21))/SUMIF($A$7:$AC$128,$A24,$AB$6:$AB$127)*Q$5,0)</f>
        <v>0</v>
      </c>
      <c r="R24" s="35">
        <f ca="1">IF(AND(COLUMN()&gt;=11,COLUMN()&lt;=20),(_xlfn.XLOOKUP($A24,'Oferta Producto 3'!$B$10:$B$21,'Oferta Producto 3'!$E$10:$E$21))/SUMIF($A$7:$AC$128,$A24,$AB$6:$AB$127)*R$5,0)</f>
        <v>0</v>
      </c>
      <c r="S24" s="35">
        <f ca="1">IF(AND(COLUMN()&gt;=11,COLUMN()&lt;=20),(_xlfn.XLOOKUP($A24,'Oferta Producto 3'!$B$10:$B$21,'Oferta Producto 3'!$E$10:$E$21))/SUMIF($A$7:$AC$128,$A24,$AB$6:$AB$127)*S$5,0)</f>
        <v>0</v>
      </c>
      <c r="T24" s="35">
        <f ca="1">IF(AND(COLUMN()&gt;=11,COLUMN()&lt;=20),(_xlfn.XLOOKUP($A24,'Oferta Producto 3'!$B$10:$B$21,'Oferta Producto 3'!$E$10:$E$21))/SUMIF($A$7:$AC$128,$A24,$AB$6:$AB$127)*T$5,0)</f>
        <v>0</v>
      </c>
      <c r="U24" s="35">
        <f>IF(AND(COLUMN()&gt;=11,COLUMN()&lt;=20),(_xlfn.XLOOKUP($A24,'Oferta Producto 3'!$B$10:$B$21,'Oferta Producto 3'!$E$10:$E$21))/SUMIF($A$7:$AC$128,$A24,$AB$6:$AB$127)*U$5,0)</f>
        <v>0</v>
      </c>
      <c r="V24" s="35">
        <f>IF(AND(COLUMN()&gt;=11,COLUMN()&lt;=20),(_xlfn.XLOOKUP($A24,'Oferta Producto 3'!$B$10:$B$21,'Oferta Producto 3'!$E$10:$E$21))/SUMIF($A$7:$AC$128,$A24,$AB$6:$AB$127)*V$5,0)</f>
        <v>0</v>
      </c>
      <c r="W24" s="35">
        <f>IF(AND(COLUMN()&gt;=11,COLUMN()&lt;=20),(_xlfn.XLOOKUP($A24,'Oferta Producto 3'!$B$10:$B$21,'Oferta Producto 3'!$E$10:$E$21))/SUMIF($A$7:$AC$128,$A24,$AB$6:$AB$127)*W$5,0)</f>
        <v>0</v>
      </c>
      <c r="X24" s="35">
        <f>IF(AND(COLUMN()&gt;=11,COLUMN()&lt;=20),(_xlfn.XLOOKUP($A24,'Oferta Producto 3'!$B$10:$B$21,'Oferta Producto 3'!$E$10:$E$21))/SUMIF($A$7:$AC$128,$A24,$AB$6:$AB$127)*X$5,0)</f>
        <v>0</v>
      </c>
      <c r="Y24" s="35">
        <f>IF(AND(COLUMN()&gt;=11,COLUMN()&lt;=20),(_xlfn.XLOOKUP($A24,'Oferta Producto 3'!$B$10:$B$21,'Oferta Producto 3'!$E$10:$E$21))/SUMIF($A$7:$AC$128,$A24,$AB$6:$AB$127)*Y$5,0)</f>
        <v>0</v>
      </c>
      <c r="Z24" s="35">
        <f>IF(AND(COLUMN()&gt;=11,COLUMN()&lt;=20),(_xlfn.XLOOKUP($A24,'Oferta Producto 3'!$B$10:$B$21,'Oferta Producto 3'!$E$10:$E$21))/SUMIF($A$7:$AC$128,$A24,$AB$6:$AB$127)*Z$5,0)</f>
        <v>0</v>
      </c>
      <c r="AA24" s="35">
        <f t="shared" ca="1" si="4"/>
        <v>0</v>
      </c>
      <c r="AB24" s="28">
        <f t="shared" si="2"/>
        <v>31</v>
      </c>
      <c r="AC24" s="29">
        <f t="shared" ca="1" si="3"/>
        <v>0</v>
      </c>
      <c r="AD24" s="48">
        <f ca="1">'Curvas Prod 3'!AC24/SUMIF('Curvas Prod 3'!A22:AC167,'Curva de la oferta Prod 3'!$A24,'Curvas Prod 3'!AC22:AC167)</f>
        <v>0.10130718954248366</v>
      </c>
      <c r="AE24" s="45"/>
      <c r="AF24" s="49"/>
      <c r="AG24" s="49"/>
      <c r="AH24" s="49"/>
      <c r="AI24" s="49"/>
      <c r="AJ24" s="49"/>
      <c r="AK24" s="49"/>
    </row>
    <row r="25" spans="1:37" ht="15">
      <c r="A25" s="23">
        <f t="shared" si="0"/>
        <v>2027</v>
      </c>
      <c r="B25" s="27">
        <v>46539</v>
      </c>
      <c r="C25" s="35">
        <f>IF(AND(COLUMN()&gt;=11,COLUMN()&lt;=20),(_xlfn.XLOOKUP($A25,'Oferta Producto 3'!$B$10:$B$21,'Oferta Producto 3'!$E$10:$E$21))/SUMIF($A$7:$AC$128,$A25,$AB$6:$AB$127)*C$5,0)</f>
        <v>0</v>
      </c>
      <c r="D25" s="35">
        <f>IF(AND(COLUMN()&gt;=11,COLUMN()&lt;=20),(_xlfn.XLOOKUP($A25,'Oferta Producto 3'!$B$10:$B$21,'Oferta Producto 3'!$E$10:$E$21))/SUMIF($A$7:$AC$128,$A25,$AB$6:$AB$127)*D$5,0)</f>
        <v>0</v>
      </c>
      <c r="E25" s="35">
        <f>IF(AND(COLUMN()&gt;=11,COLUMN()&lt;=20),(_xlfn.XLOOKUP($A25,'Oferta Producto 3'!$B$10:$B$21,'Oferta Producto 3'!$E$10:$E$21))/SUMIF($A$7:$AC$128,$A25,$AB$6:$AB$127)*E$5,0)</f>
        <v>0</v>
      </c>
      <c r="F25" s="35">
        <f>IF(AND(COLUMN()&gt;=11,COLUMN()&lt;=20),(_xlfn.XLOOKUP($A25,'Oferta Producto 3'!$B$10:$B$21,'Oferta Producto 3'!$E$10:$E$21))/SUMIF($A$7:$AC$128,$A25,$AB$6:$AB$127)*F$5,0)</f>
        <v>0</v>
      </c>
      <c r="G25" s="35">
        <f>IF(AND(COLUMN()&gt;=11,COLUMN()&lt;=20),(_xlfn.XLOOKUP($A25,'Oferta Producto 3'!$B$10:$B$21,'Oferta Producto 3'!$E$10:$E$21))/SUMIF($A$7:$AC$128,$A25,$AB$6:$AB$127)*G$5,0)</f>
        <v>0</v>
      </c>
      <c r="H25" s="35">
        <f>IF(AND(COLUMN()&gt;=11,COLUMN()&lt;=20),(_xlfn.XLOOKUP($A25,'Oferta Producto 3'!$B$10:$B$21,'Oferta Producto 3'!$E$10:$E$21))/SUMIF($A$7:$AC$128,$A25,$AB$6:$AB$127)*H$5,0)</f>
        <v>0</v>
      </c>
      <c r="I25" s="35">
        <f>IF(AND(COLUMN()&gt;=11,COLUMN()&lt;=20),(_xlfn.XLOOKUP($A25,'Oferta Producto 3'!$B$10:$B$21,'Oferta Producto 3'!$E$10:$E$21))/SUMIF($A$7:$AC$128,$A25,$AB$6:$AB$127)*I$5,0)</f>
        <v>0</v>
      </c>
      <c r="J25" s="35">
        <f>IF(AND(COLUMN()&gt;=11,COLUMN()&lt;=20),(_xlfn.XLOOKUP($A25,'Oferta Producto 3'!$B$10:$B$21,'Oferta Producto 3'!$E$10:$E$21))/SUMIF($A$7:$AC$128,$A25,$AB$6:$AB$127)*J$5,0)</f>
        <v>0</v>
      </c>
      <c r="K25" s="35">
        <f ca="1">IF(AND(COLUMN()&gt;=11,COLUMN()&lt;=20),(_xlfn.XLOOKUP($A25,'Oferta Producto 3'!$B$10:$B$21,'Oferta Producto 3'!$E$10:$E$21))/SUMIF($A$7:$AC$128,$A25,$AB$6:$AB$127)*K$5,0)</f>
        <v>0</v>
      </c>
      <c r="L25" s="35">
        <f ca="1">IF(AND(COLUMN()&gt;=11,COLUMN()&lt;=20),(_xlfn.XLOOKUP($A25,'Oferta Producto 3'!$B$10:$B$21,'Oferta Producto 3'!$E$10:$E$21))/SUMIF($A$7:$AC$128,$A25,$AB$6:$AB$127)*L$5,0)</f>
        <v>0</v>
      </c>
      <c r="M25" s="35">
        <f ca="1">IF(AND(COLUMN()&gt;=11,COLUMN()&lt;=20),(_xlfn.XLOOKUP($A25,'Oferta Producto 3'!$B$10:$B$21,'Oferta Producto 3'!$E$10:$E$21))/SUMIF($A$7:$AC$128,$A25,$AB$6:$AB$127)*M$5,0)</f>
        <v>0</v>
      </c>
      <c r="N25" s="35">
        <f ca="1">IF(AND(COLUMN()&gt;=11,COLUMN()&lt;=20),(_xlfn.XLOOKUP($A25,'Oferta Producto 3'!$B$10:$B$21,'Oferta Producto 3'!$E$10:$E$21))/SUMIF($A$7:$AC$128,$A25,$AB$6:$AB$127)*N$5,0)</f>
        <v>0</v>
      </c>
      <c r="O25" s="35">
        <f ca="1">IF(AND(COLUMN()&gt;=11,COLUMN()&lt;=20),(_xlfn.XLOOKUP($A25,'Oferta Producto 3'!$B$10:$B$21,'Oferta Producto 3'!$E$10:$E$21))/SUMIF($A$7:$AC$128,$A25,$AB$6:$AB$127)*O$5,0)</f>
        <v>0</v>
      </c>
      <c r="P25" s="35">
        <f ca="1">IF(AND(COLUMN()&gt;=11,COLUMN()&lt;=20),(_xlfn.XLOOKUP($A25,'Oferta Producto 3'!$B$10:$B$21,'Oferta Producto 3'!$E$10:$E$21))/SUMIF($A$7:$AC$128,$A25,$AB$6:$AB$127)*P$5,0)</f>
        <v>0</v>
      </c>
      <c r="Q25" s="35">
        <f ca="1">IF(AND(COLUMN()&gt;=11,COLUMN()&lt;=20),(_xlfn.XLOOKUP($A25,'Oferta Producto 3'!$B$10:$B$21,'Oferta Producto 3'!$E$10:$E$21))/SUMIF($A$7:$AC$128,$A25,$AB$6:$AB$127)*Q$5,0)</f>
        <v>0</v>
      </c>
      <c r="R25" s="35">
        <f ca="1">IF(AND(COLUMN()&gt;=11,COLUMN()&lt;=20),(_xlfn.XLOOKUP($A25,'Oferta Producto 3'!$B$10:$B$21,'Oferta Producto 3'!$E$10:$E$21))/SUMIF($A$7:$AC$128,$A25,$AB$6:$AB$127)*R$5,0)</f>
        <v>0</v>
      </c>
      <c r="S25" s="35">
        <f ca="1">IF(AND(COLUMN()&gt;=11,COLUMN()&lt;=20),(_xlfn.XLOOKUP($A25,'Oferta Producto 3'!$B$10:$B$21,'Oferta Producto 3'!$E$10:$E$21))/SUMIF($A$7:$AC$128,$A25,$AB$6:$AB$127)*S$5,0)</f>
        <v>0</v>
      </c>
      <c r="T25" s="35">
        <f ca="1">IF(AND(COLUMN()&gt;=11,COLUMN()&lt;=20),(_xlfn.XLOOKUP($A25,'Oferta Producto 3'!$B$10:$B$21,'Oferta Producto 3'!$E$10:$E$21))/SUMIF($A$7:$AC$128,$A25,$AB$6:$AB$127)*T$5,0)</f>
        <v>0</v>
      </c>
      <c r="U25" s="35">
        <f>IF(AND(COLUMN()&gt;=11,COLUMN()&lt;=20),(_xlfn.XLOOKUP($A25,'Oferta Producto 3'!$B$10:$B$21,'Oferta Producto 3'!$E$10:$E$21))/SUMIF($A$7:$AC$128,$A25,$AB$6:$AB$127)*U$5,0)</f>
        <v>0</v>
      </c>
      <c r="V25" s="35">
        <f>IF(AND(COLUMN()&gt;=11,COLUMN()&lt;=20),(_xlfn.XLOOKUP($A25,'Oferta Producto 3'!$B$10:$B$21,'Oferta Producto 3'!$E$10:$E$21))/SUMIF($A$7:$AC$128,$A25,$AB$6:$AB$127)*V$5,0)</f>
        <v>0</v>
      </c>
      <c r="W25" s="35">
        <f>IF(AND(COLUMN()&gt;=11,COLUMN()&lt;=20),(_xlfn.XLOOKUP($A25,'Oferta Producto 3'!$B$10:$B$21,'Oferta Producto 3'!$E$10:$E$21))/SUMIF($A$7:$AC$128,$A25,$AB$6:$AB$127)*W$5,0)</f>
        <v>0</v>
      </c>
      <c r="X25" s="35">
        <f>IF(AND(COLUMN()&gt;=11,COLUMN()&lt;=20),(_xlfn.XLOOKUP($A25,'Oferta Producto 3'!$B$10:$B$21,'Oferta Producto 3'!$E$10:$E$21))/SUMIF($A$7:$AC$128,$A25,$AB$6:$AB$127)*X$5,0)</f>
        <v>0</v>
      </c>
      <c r="Y25" s="35">
        <f>IF(AND(COLUMN()&gt;=11,COLUMN()&lt;=20),(_xlfn.XLOOKUP($A25,'Oferta Producto 3'!$B$10:$B$21,'Oferta Producto 3'!$E$10:$E$21))/SUMIF($A$7:$AC$128,$A25,$AB$6:$AB$127)*Y$5,0)</f>
        <v>0</v>
      </c>
      <c r="Z25" s="35">
        <f>IF(AND(COLUMN()&gt;=11,COLUMN()&lt;=20),(_xlfn.XLOOKUP($A25,'Oferta Producto 3'!$B$10:$B$21,'Oferta Producto 3'!$E$10:$E$21))/SUMIF($A$7:$AC$128,$A25,$AB$6:$AB$127)*Z$5,0)</f>
        <v>0</v>
      </c>
      <c r="AA25" s="35">
        <f t="shared" ca="1" si="4"/>
        <v>0</v>
      </c>
      <c r="AB25" s="28">
        <f t="shared" si="2"/>
        <v>30</v>
      </c>
      <c r="AC25" s="29">
        <f t="shared" ca="1" si="3"/>
        <v>0</v>
      </c>
      <c r="AD25" s="48">
        <f ca="1">'Curvas Prod 3'!AC25/SUMIF('Curvas Prod 3'!A23:AC168,'Curva de la oferta Prod 3'!$A25,'Curvas Prod 3'!AC23:AC168)</f>
        <v>0.10909090909090909</v>
      </c>
      <c r="AE25" s="45"/>
      <c r="AF25" s="49"/>
      <c r="AG25" s="49"/>
      <c r="AH25" s="49"/>
      <c r="AI25" s="49"/>
      <c r="AJ25" s="49"/>
      <c r="AK25" s="49"/>
    </row>
    <row r="26" spans="1:37" ht="15">
      <c r="A26" s="23">
        <f t="shared" si="0"/>
        <v>2027</v>
      </c>
      <c r="B26" s="27">
        <v>46569</v>
      </c>
      <c r="C26" s="35">
        <f>IF(AND(COLUMN()&gt;=11,COLUMN()&lt;=20),(_xlfn.XLOOKUP($A26,'Oferta Producto 3'!$B$10:$B$21,'Oferta Producto 3'!$E$10:$E$21))/SUMIF($A$7:$AC$128,$A26,$AB$6:$AB$127)*C$5,0)</f>
        <v>0</v>
      </c>
      <c r="D26" s="35">
        <f>IF(AND(COLUMN()&gt;=11,COLUMN()&lt;=20),(_xlfn.XLOOKUP($A26,'Oferta Producto 3'!$B$10:$B$21,'Oferta Producto 3'!$E$10:$E$21))/SUMIF($A$7:$AC$128,$A26,$AB$6:$AB$127)*D$5,0)</f>
        <v>0</v>
      </c>
      <c r="E26" s="35">
        <f>IF(AND(COLUMN()&gt;=11,COLUMN()&lt;=20),(_xlfn.XLOOKUP($A26,'Oferta Producto 3'!$B$10:$B$21,'Oferta Producto 3'!$E$10:$E$21))/SUMIF($A$7:$AC$128,$A26,$AB$6:$AB$127)*E$5,0)</f>
        <v>0</v>
      </c>
      <c r="F26" s="35">
        <f>IF(AND(COLUMN()&gt;=11,COLUMN()&lt;=20),(_xlfn.XLOOKUP($A26,'Oferta Producto 3'!$B$10:$B$21,'Oferta Producto 3'!$E$10:$E$21))/SUMIF($A$7:$AC$128,$A26,$AB$6:$AB$127)*F$5,0)</f>
        <v>0</v>
      </c>
      <c r="G26" s="35">
        <f>IF(AND(COLUMN()&gt;=11,COLUMN()&lt;=20),(_xlfn.XLOOKUP($A26,'Oferta Producto 3'!$B$10:$B$21,'Oferta Producto 3'!$E$10:$E$21))/SUMIF($A$7:$AC$128,$A26,$AB$6:$AB$127)*G$5,0)</f>
        <v>0</v>
      </c>
      <c r="H26" s="35">
        <f>IF(AND(COLUMN()&gt;=11,COLUMN()&lt;=20),(_xlfn.XLOOKUP($A26,'Oferta Producto 3'!$B$10:$B$21,'Oferta Producto 3'!$E$10:$E$21))/SUMIF($A$7:$AC$128,$A26,$AB$6:$AB$127)*H$5,0)</f>
        <v>0</v>
      </c>
      <c r="I26" s="35">
        <f>IF(AND(COLUMN()&gt;=11,COLUMN()&lt;=20),(_xlfn.XLOOKUP($A26,'Oferta Producto 3'!$B$10:$B$21,'Oferta Producto 3'!$E$10:$E$21))/SUMIF($A$7:$AC$128,$A26,$AB$6:$AB$127)*I$5,0)</f>
        <v>0</v>
      </c>
      <c r="J26" s="35">
        <f>IF(AND(COLUMN()&gt;=11,COLUMN()&lt;=20),(_xlfn.XLOOKUP($A26,'Oferta Producto 3'!$B$10:$B$21,'Oferta Producto 3'!$E$10:$E$21))/SUMIF($A$7:$AC$128,$A26,$AB$6:$AB$127)*J$5,0)</f>
        <v>0</v>
      </c>
      <c r="K26" s="35">
        <f ca="1">IF(AND(COLUMN()&gt;=11,COLUMN()&lt;=20),(_xlfn.XLOOKUP($A26,'Oferta Producto 3'!$B$10:$B$21,'Oferta Producto 3'!$E$10:$E$21))/SUMIF($A$7:$AC$128,$A26,$AB$6:$AB$127)*K$5,0)</f>
        <v>0</v>
      </c>
      <c r="L26" s="35">
        <f ca="1">IF(AND(COLUMN()&gt;=11,COLUMN()&lt;=20),(_xlfn.XLOOKUP($A26,'Oferta Producto 3'!$B$10:$B$21,'Oferta Producto 3'!$E$10:$E$21))/SUMIF($A$7:$AC$128,$A26,$AB$6:$AB$127)*L$5,0)</f>
        <v>0</v>
      </c>
      <c r="M26" s="35">
        <f ca="1">IF(AND(COLUMN()&gt;=11,COLUMN()&lt;=20),(_xlfn.XLOOKUP($A26,'Oferta Producto 3'!$B$10:$B$21,'Oferta Producto 3'!$E$10:$E$21))/SUMIF($A$7:$AC$128,$A26,$AB$6:$AB$127)*M$5,0)</f>
        <v>0</v>
      </c>
      <c r="N26" s="35">
        <f ca="1">IF(AND(COLUMN()&gt;=11,COLUMN()&lt;=20),(_xlfn.XLOOKUP($A26,'Oferta Producto 3'!$B$10:$B$21,'Oferta Producto 3'!$E$10:$E$21))/SUMIF($A$7:$AC$128,$A26,$AB$6:$AB$127)*N$5,0)</f>
        <v>0</v>
      </c>
      <c r="O26" s="35">
        <f ca="1">IF(AND(COLUMN()&gt;=11,COLUMN()&lt;=20),(_xlfn.XLOOKUP($A26,'Oferta Producto 3'!$B$10:$B$21,'Oferta Producto 3'!$E$10:$E$21))/SUMIF($A$7:$AC$128,$A26,$AB$6:$AB$127)*O$5,0)</f>
        <v>0</v>
      </c>
      <c r="P26" s="35">
        <f ca="1">IF(AND(COLUMN()&gt;=11,COLUMN()&lt;=20),(_xlfn.XLOOKUP($A26,'Oferta Producto 3'!$B$10:$B$21,'Oferta Producto 3'!$E$10:$E$21))/SUMIF($A$7:$AC$128,$A26,$AB$6:$AB$127)*P$5,0)</f>
        <v>0</v>
      </c>
      <c r="Q26" s="35">
        <f ca="1">IF(AND(COLUMN()&gt;=11,COLUMN()&lt;=20),(_xlfn.XLOOKUP($A26,'Oferta Producto 3'!$B$10:$B$21,'Oferta Producto 3'!$E$10:$E$21))/SUMIF($A$7:$AC$128,$A26,$AB$6:$AB$127)*Q$5,0)</f>
        <v>0</v>
      </c>
      <c r="R26" s="35">
        <f ca="1">IF(AND(COLUMN()&gt;=11,COLUMN()&lt;=20),(_xlfn.XLOOKUP($A26,'Oferta Producto 3'!$B$10:$B$21,'Oferta Producto 3'!$E$10:$E$21))/SUMIF($A$7:$AC$128,$A26,$AB$6:$AB$127)*R$5,0)</f>
        <v>0</v>
      </c>
      <c r="S26" s="35">
        <f ca="1">IF(AND(COLUMN()&gt;=11,COLUMN()&lt;=20),(_xlfn.XLOOKUP($A26,'Oferta Producto 3'!$B$10:$B$21,'Oferta Producto 3'!$E$10:$E$21))/SUMIF($A$7:$AC$128,$A26,$AB$6:$AB$127)*S$5,0)</f>
        <v>0</v>
      </c>
      <c r="T26" s="35">
        <f ca="1">IF(AND(COLUMN()&gt;=11,COLUMN()&lt;=20),(_xlfn.XLOOKUP($A26,'Oferta Producto 3'!$B$10:$B$21,'Oferta Producto 3'!$E$10:$E$21))/SUMIF($A$7:$AC$128,$A26,$AB$6:$AB$127)*T$5,0)</f>
        <v>0</v>
      </c>
      <c r="U26" s="35">
        <f>IF(AND(COLUMN()&gt;=11,COLUMN()&lt;=20),(_xlfn.XLOOKUP($A26,'Oferta Producto 3'!$B$10:$B$21,'Oferta Producto 3'!$E$10:$E$21))/SUMIF($A$7:$AC$128,$A26,$AB$6:$AB$127)*U$5,0)</f>
        <v>0</v>
      </c>
      <c r="V26" s="35">
        <f>IF(AND(COLUMN()&gt;=11,COLUMN()&lt;=20),(_xlfn.XLOOKUP($A26,'Oferta Producto 3'!$B$10:$B$21,'Oferta Producto 3'!$E$10:$E$21))/SUMIF($A$7:$AC$128,$A26,$AB$6:$AB$127)*V$5,0)</f>
        <v>0</v>
      </c>
      <c r="W26" s="35">
        <f>IF(AND(COLUMN()&gt;=11,COLUMN()&lt;=20),(_xlfn.XLOOKUP($A26,'Oferta Producto 3'!$B$10:$B$21,'Oferta Producto 3'!$E$10:$E$21))/SUMIF($A$7:$AC$128,$A26,$AB$6:$AB$127)*W$5,0)</f>
        <v>0</v>
      </c>
      <c r="X26" s="35">
        <f>IF(AND(COLUMN()&gt;=11,COLUMN()&lt;=20),(_xlfn.XLOOKUP($A26,'Oferta Producto 3'!$B$10:$B$21,'Oferta Producto 3'!$E$10:$E$21))/SUMIF($A$7:$AC$128,$A26,$AB$6:$AB$127)*X$5,0)</f>
        <v>0</v>
      </c>
      <c r="Y26" s="35">
        <f>IF(AND(COLUMN()&gt;=11,COLUMN()&lt;=20),(_xlfn.XLOOKUP($A26,'Oferta Producto 3'!$B$10:$B$21,'Oferta Producto 3'!$E$10:$E$21))/SUMIF($A$7:$AC$128,$A26,$AB$6:$AB$127)*Y$5,0)</f>
        <v>0</v>
      </c>
      <c r="Z26" s="35">
        <f>IF(AND(COLUMN()&gt;=11,COLUMN()&lt;=20),(_xlfn.XLOOKUP($A26,'Oferta Producto 3'!$B$10:$B$21,'Oferta Producto 3'!$E$10:$E$21))/SUMIF($A$7:$AC$128,$A26,$AB$6:$AB$127)*Z$5,0)</f>
        <v>0</v>
      </c>
      <c r="AA26" s="35">
        <f t="shared" ca="1" si="4"/>
        <v>0</v>
      </c>
      <c r="AB26" s="28">
        <f t="shared" si="2"/>
        <v>31</v>
      </c>
      <c r="AC26" s="29">
        <f t="shared" ca="1" si="3"/>
        <v>0</v>
      </c>
      <c r="AD26" s="48">
        <f ca="1">'Curvas Prod 3'!AC26/SUMIF('Curvas Prod 3'!A24:AC169,'Curva de la oferta Prod 3'!$A26,'Curvas Prod 3'!AC24:AC169)</f>
        <v>0.12653061224489795</v>
      </c>
      <c r="AE26" s="45"/>
      <c r="AF26" s="49"/>
      <c r="AG26" s="49"/>
      <c r="AH26" s="49"/>
      <c r="AI26" s="49"/>
      <c r="AJ26" s="49"/>
      <c r="AK26" s="49"/>
    </row>
    <row r="27" spans="1:37" ht="15">
      <c r="A27" s="23">
        <f t="shared" si="0"/>
        <v>2027</v>
      </c>
      <c r="B27" s="27">
        <v>46600</v>
      </c>
      <c r="C27" s="35">
        <f>IF(AND(COLUMN()&gt;=11,COLUMN()&lt;=20),(_xlfn.XLOOKUP($A27,'Oferta Producto 3'!$B$10:$B$21,'Oferta Producto 3'!$E$10:$E$21))/SUMIF($A$7:$AC$128,$A27,$AB$6:$AB$127)*C$5,0)</f>
        <v>0</v>
      </c>
      <c r="D27" s="35">
        <f>IF(AND(COLUMN()&gt;=11,COLUMN()&lt;=20),(_xlfn.XLOOKUP($A27,'Oferta Producto 3'!$B$10:$B$21,'Oferta Producto 3'!$E$10:$E$21))/SUMIF($A$7:$AC$128,$A27,$AB$6:$AB$127)*D$5,0)</f>
        <v>0</v>
      </c>
      <c r="E27" s="35">
        <f>IF(AND(COLUMN()&gt;=11,COLUMN()&lt;=20),(_xlfn.XLOOKUP($A27,'Oferta Producto 3'!$B$10:$B$21,'Oferta Producto 3'!$E$10:$E$21))/SUMIF($A$7:$AC$128,$A27,$AB$6:$AB$127)*E$5,0)</f>
        <v>0</v>
      </c>
      <c r="F27" s="35">
        <f>IF(AND(COLUMN()&gt;=11,COLUMN()&lt;=20),(_xlfn.XLOOKUP($A27,'Oferta Producto 3'!$B$10:$B$21,'Oferta Producto 3'!$E$10:$E$21))/SUMIF($A$7:$AC$128,$A27,$AB$6:$AB$127)*F$5,0)</f>
        <v>0</v>
      </c>
      <c r="G27" s="35">
        <f>IF(AND(COLUMN()&gt;=11,COLUMN()&lt;=20),(_xlfn.XLOOKUP($A27,'Oferta Producto 3'!$B$10:$B$21,'Oferta Producto 3'!$E$10:$E$21))/SUMIF($A$7:$AC$128,$A27,$AB$6:$AB$127)*G$5,0)</f>
        <v>0</v>
      </c>
      <c r="H27" s="35">
        <f>IF(AND(COLUMN()&gt;=11,COLUMN()&lt;=20),(_xlfn.XLOOKUP($A27,'Oferta Producto 3'!$B$10:$B$21,'Oferta Producto 3'!$E$10:$E$21))/SUMIF($A$7:$AC$128,$A27,$AB$6:$AB$127)*H$5,0)</f>
        <v>0</v>
      </c>
      <c r="I27" s="35">
        <f>IF(AND(COLUMN()&gt;=11,COLUMN()&lt;=20),(_xlfn.XLOOKUP($A27,'Oferta Producto 3'!$B$10:$B$21,'Oferta Producto 3'!$E$10:$E$21))/SUMIF($A$7:$AC$128,$A27,$AB$6:$AB$127)*I$5,0)</f>
        <v>0</v>
      </c>
      <c r="J27" s="35">
        <f>IF(AND(COLUMN()&gt;=11,COLUMN()&lt;=20),(_xlfn.XLOOKUP($A27,'Oferta Producto 3'!$B$10:$B$21,'Oferta Producto 3'!$E$10:$E$21))/SUMIF($A$7:$AC$128,$A27,$AB$6:$AB$127)*J$5,0)</f>
        <v>0</v>
      </c>
      <c r="K27" s="35">
        <f ca="1">IF(AND(COLUMN()&gt;=11,COLUMN()&lt;=20),(_xlfn.XLOOKUP($A27,'Oferta Producto 3'!$B$10:$B$21,'Oferta Producto 3'!$E$10:$E$21))/SUMIF($A$7:$AC$128,$A27,$AB$6:$AB$127)*K$5,0)</f>
        <v>0</v>
      </c>
      <c r="L27" s="35">
        <f ca="1">IF(AND(COLUMN()&gt;=11,COLUMN()&lt;=20),(_xlfn.XLOOKUP($A27,'Oferta Producto 3'!$B$10:$B$21,'Oferta Producto 3'!$E$10:$E$21))/SUMIF($A$7:$AC$128,$A27,$AB$6:$AB$127)*L$5,0)</f>
        <v>0</v>
      </c>
      <c r="M27" s="35">
        <f ca="1">IF(AND(COLUMN()&gt;=11,COLUMN()&lt;=20),(_xlfn.XLOOKUP($A27,'Oferta Producto 3'!$B$10:$B$21,'Oferta Producto 3'!$E$10:$E$21))/SUMIF($A$7:$AC$128,$A27,$AB$6:$AB$127)*M$5,0)</f>
        <v>0</v>
      </c>
      <c r="N27" s="35">
        <f ca="1">IF(AND(COLUMN()&gt;=11,COLUMN()&lt;=20),(_xlfn.XLOOKUP($A27,'Oferta Producto 3'!$B$10:$B$21,'Oferta Producto 3'!$E$10:$E$21))/SUMIF($A$7:$AC$128,$A27,$AB$6:$AB$127)*N$5,0)</f>
        <v>0</v>
      </c>
      <c r="O27" s="35">
        <f ca="1">IF(AND(COLUMN()&gt;=11,COLUMN()&lt;=20),(_xlfn.XLOOKUP($A27,'Oferta Producto 3'!$B$10:$B$21,'Oferta Producto 3'!$E$10:$E$21))/SUMIF($A$7:$AC$128,$A27,$AB$6:$AB$127)*O$5,0)</f>
        <v>0</v>
      </c>
      <c r="P27" s="35">
        <f ca="1">IF(AND(COLUMN()&gt;=11,COLUMN()&lt;=20),(_xlfn.XLOOKUP($A27,'Oferta Producto 3'!$B$10:$B$21,'Oferta Producto 3'!$E$10:$E$21))/SUMIF($A$7:$AC$128,$A27,$AB$6:$AB$127)*P$5,0)</f>
        <v>0</v>
      </c>
      <c r="Q27" s="35">
        <f ca="1">IF(AND(COLUMN()&gt;=11,COLUMN()&lt;=20),(_xlfn.XLOOKUP($A27,'Oferta Producto 3'!$B$10:$B$21,'Oferta Producto 3'!$E$10:$E$21))/SUMIF($A$7:$AC$128,$A27,$AB$6:$AB$127)*Q$5,0)</f>
        <v>0</v>
      </c>
      <c r="R27" s="35">
        <f ca="1">IF(AND(COLUMN()&gt;=11,COLUMN()&lt;=20),(_xlfn.XLOOKUP($A27,'Oferta Producto 3'!$B$10:$B$21,'Oferta Producto 3'!$E$10:$E$21))/SUMIF($A$7:$AC$128,$A27,$AB$6:$AB$127)*R$5,0)</f>
        <v>0</v>
      </c>
      <c r="S27" s="35">
        <f ca="1">IF(AND(COLUMN()&gt;=11,COLUMN()&lt;=20),(_xlfn.XLOOKUP($A27,'Oferta Producto 3'!$B$10:$B$21,'Oferta Producto 3'!$E$10:$E$21))/SUMIF($A$7:$AC$128,$A27,$AB$6:$AB$127)*S$5,0)</f>
        <v>0</v>
      </c>
      <c r="T27" s="35">
        <f ca="1">IF(AND(COLUMN()&gt;=11,COLUMN()&lt;=20),(_xlfn.XLOOKUP($A27,'Oferta Producto 3'!$B$10:$B$21,'Oferta Producto 3'!$E$10:$E$21))/SUMIF($A$7:$AC$128,$A27,$AB$6:$AB$127)*T$5,0)</f>
        <v>0</v>
      </c>
      <c r="U27" s="35">
        <f>IF(AND(COLUMN()&gt;=11,COLUMN()&lt;=20),(_xlfn.XLOOKUP($A27,'Oferta Producto 3'!$B$10:$B$21,'Oferta Producto 3'!$E$10:$E$21))/SUMIF($A$7:$AC$128,$A27,$AB$6:$AB$127)*U$5,0)</f>
        <v>0</v>
      </c>
      <c r="V27" s="35">
        <f>IF(AND(COLUMN()&gt;=11,COLUMN()&lt;=20),(_xlfn.XLOOKUP($A27,'Oferta Producto 3'!$B$10:$B$21,'Oferta Producto 3'!$E$10:$E$21))/SUMIF($A$7:$AC$128,$A27,$AB$6:$AB$127)*V$5,0)</f>
        <v>0</v>
      </c>
      <c r="W27" s="35">
        <f>IF(AND(COLUMN()&gt;=11,COLUMN()&lt;=20),(_xlfn.XLOOKUP($A27,'Oferta Producto 3'!$B$10:$B$21,'Oferta Producto 3'!$E$10:$E$21))/SUMIF($A$7:$AC$128,$A27,$AB$6:$AB$127)*W$5,0)</f>
        <v>0</v>
      </c>
      <c r="X27" s="35">
        <f>IF(AND(COLUMN()&gt;=11,COLUMN()&lt;=20),(_xlfn.XLOOKUP($A27,'Oferta Producto 3'!$B$10:$B$21,'Oferta Producto 3'!$E$10:$E$21))/SUMIF($A$7:$AC$128,$A27,$AB$6:$AB$127)*X$5,0)</f>
        <v>0</v>
      </c>
      <c r="Y27" s="35">
        <f>IF(AND(COLUMN()&gt;=11,COLUMN()&lt;=20),(_xlfn.XLOOKUP($A27,'Oferta Producto 3'!$B$10:$B$21,'Oferta Producto 3'!$E$10:$E$21))/SUMIF($A$7:$AC$128,$A27,$AB$6:$AB$127)*Y$5,0)</f>
        <v>0</v>
      </c>
      <c r="Z27" s="35">
        <f>IF(AND(COLUMN()&gt;=11,COLUMN()&lt;=20),(_xlfn.XLOOKUP($A27,'Oferta Producto 3'!$B$10:$B$21,'Oferta Producto 3'!$E$10:$E$21))/SUMIF($A$7:$AC$128,$A27,$AB$6:$AB$127)*Z$5,0)</f>
        <v>0</v>
      </c>
      <c r="AA27" s="35">
        <f t="shared" ca="1" si="4"/>
        <v>0</v>
      </c>
      <c r="AB27" s="28">
        <f t="shared" si="2"/>
        <v>31</v>
      </c>
      <c r="AC27" s="29">
        <f t="shared" ca="1" si="3"/>
        <v>0</v>
      </c>
      <c r="AD27" s="48">
        <f ca="1">'Curvas Prod 3'!AC27/SUMIF('Curvas Prod 3'!A25:AC170,'Curva de la oferta Prod 3'!$A27,'Curvas Prod 3'!AC25:AC170)</f>
        <v>0.14485981308411214</v>
      </c>
      <c r="AE27" s="45"/>
      <c r="AF27" s="49"/>
      <c r="AG27" s="49"/>
      <c r="AH27" s="49"/>
      <c r="AI27" s="49"/>
      <c r="AJ27" s="49"/>
      <c r="AK27" s="49"/>
    </row>
    <row r="28" spans="1:37" ht="15">
      <c r="A28" s="23">
        <f t="shared" si="0"/>
        <v>2027</v>
      </c>
      <c r="B28" s="27">
        <v>46631</v>
      </c>
      <c r="C28" s="35">
        <f>IF(AND(COLUMN()&gt;=11,COLUMN()&lt;=20),(_xlfn.XLOOKUP($A28,'Oferta Producto 3'!$B$10:$B$21,'Oferta Producto 3'!$E$10:$E$21))/SUMIF($A$7:$AC$128,$A28,$AB$6:$AB$127)*C$5,0)</f>
        <v>0</v>
      </c>
      <c r="D28" s="35">
        <f>IF(AND(COLUMN()&gt;=11,COLUMN()&lt;=20),(_xlfn.XLOOKUP($A28,'Oferta Producto 3'!$B$10:$B$21,'Oferta Producto 3'!$E$10:$E$21))/SUMIF($A$7:$AC$128,$A28,$AB$6:$AB$127)*D$5,0)</f>
        <v>0</v>
      </c>
      <c r="E28" s="35">
        <f>IF(AND(COLUMN()&gt;=11,COLUMN()&lt;=20),(_xlfn.XLOOKUP($A28,'Oferta Producto 3'!$B$10:$B$21,'Oferta Producto 3'!$E$10:$E$21))/SUMIF($A$7:$AC$128,$A28,$AB$6:$AB$127)*E$5,0)</f>
        <v>0</v>
      </c>
      <c r="F28" s="35">
        <f>IF(AND(COLUMN()&gt;=11,COLUMN()&lt;=20),(_xlfn.XLOOKUP($A28,'Oferta Producto 3'!$B$10:$B$21,'Oferta Producto 3'!$E$10:$E$21))/SUMIF($A$7:$AC$128,$A28,$AB$6:$AB$127)*F$5,0)</f>
        <v>0</v>
      </c>
      <c r="G28" s="35">
        <f>IF(AND(COLUMN()&gt;=11,COLUMN()&lt;=20),(_xlfn.XLOOKUP($A28,'Oferta Producto 3'!$B$10:$B$21,'Oferta Producto 3'!$E$10:$E$21))/SUMIF($A$7:$AC$128,$A28,$AB$6:$AB$127)*G$5,0)</f>
        <v>0</v>
      </c>
      <c r="H28" s="35">
        <f>IF(AND(COLUMN()&gt;=11,COLUMN()&lt;=20),(_xlfn.XLOOKUP($A28,'Oferta Producto 3'!$B$10:$B$21,'Oferta Producto 3'!$E$10:$E$21))/SUMIF($A$7:$AC$128,$A28,$AB$6:$AB$127)*H$5,0)</f>
        <v>0</v>
      </c>
      <c r="I28" s="35">
        <f>IF(AND(COLUMN()&gt;=11,COLUMN()&lt;=20),(_xlfn.XLOOKUP($A28,'Oferta Producto 3'!$B$10:$B$21,'Oferta Producto 3'!$E$10:$E$21))/SUMIF($A$7:$AC$128,$A28,$AB$6:$AB$127)*I$5,0)</f>
        <v>0</v>
      </c>
      <c r="J28" s="35">
        <f>IF(AND(COLUMN()&gt;=11,COLUMN()&lt;=20),(_xlfn.XLOOKUP($A28,'Oferta Producto 3'!$B$10:$B$21,'Oferta Producto 3'!$E$10:$E$21))/SUMIF($A$7:$AC$128,$A28,$AB$6:$AB$127)*J$5,0)</f>
        <v>0</v>
      </c>
      <c r="K28" s="35">
        <f ca="1">IF(AND(COLUMN()&gt;=11,COLUMN()&lt;=20),(_xlfn.XLOOKUP($A28,'Oferta Producto 3'!$B$10:$B$21,'Oferta Producto 3'!$E$10:$E$21))/SUMIF($A$7:$AC$128,$A28,$AB$6:$AB$127)*K$5,0)</f>
        <v>0</v>
      </c>
      <c r="L28" s="35">
        <f ca="1">IF(AND(COLUMN()&gt;=11,COLUMN()&lt;=20),(_xlfn.XLOOKUP($A28,'Oferta Producto 3'!$B$10:$B$21,'Oferta Producto 3'!$E$10:$E$21))/SUMIF($A$7:$AC$128,$A28,$AB$6:$AB$127)*L$5,0)</f>
        <v>0</v>
      </c>
      <c r="M28" s="35">
        <f ca="1">IF(AND(COLUMN()&gt;=11,COLUMN()&lt;=20),(_xlfn.XLOOKUP($A28,'Oferta Producto 3'!$B$10:$B$21,'Oferta Producto 3'!$E$10:$E$21))/SUMIF($A$7:$AC$128,$A28,$AB$6:$AB$127)*M$5,0)</f>
        <v>0</v>
      </c>
      <c r="N28" s="35">
        <f ca="1">IF(AND(COLUMN()&gt;=11,COLUMN()&lt;=20),(_xlfn.XLOOKUP($A28,'Oferta Producto 3'!$B$10:$B$21,'Oferta Producto 3'!$E$10:$E$21))/SUMIF($A$7:$AC$128,$A28,$AB$6:$AB$127)*N$5,0)</f>
        <v>0</v>
      </c>
      <c r="O28" s="35">
        <f ca="1">IF(AND(COLUMN()&gt;=11,COLUMN()&lt;=20),(_xlfn.XLOOKUP($A28,'Oferta Producto 3'!$B$10:$B$21,'Oferta Producto 3'!$E$10:$E$21))/SUMIF($A$7:$AC$128,$A28,$AB$6:$AB$127)*O$5,0)</f>
        <v>0</v>
      </c>
      <c r="P28" s="35">
        <f ca="1">IF(AND(COLUMN()&gt;=11,COLUMN()&lt;=20),(_xlfn.XLOOKUP($A28,'Oferta Producto 3'!$B$10:$B$21,'Oferta Producto 3'!$E$10:$E$21))/SUMIF($A$7:$AC$128,$A28,$AB$6:$AB$127)*P$5,0)</f>
        <v>0</v>
      </c>
      <c r="Q28" s="35">
        <f ca="1">IF(AND(COLUMN()&gt;=11,COLUMN()&lt;=20),(_xlfn.XLOOKUP($A28,'Oferta Producto 3'!$B$10:$B$21,'Oferta Producto 3'!$E$10:$E$21))/SUMIF($A$7:$AC$128,$A28,$AB$6:$AB$127)*Q$5,0)</f>
        <v>0</v>
      </c>
      <c r="R28" s="35">
        <f ca="1">IF(AND(COLUMN()&gt;=11,COLUMN()&lt;=20),(_xlfn.XLOOKUP($A28,'Oferta Producto 3'!$B$10:$B$21,'Oferta Producto 3'!$E$10:$E$21))/SUMIF($A$7:$AC$128,$A28,$AB$6:$AB$127)*R$5,0)</f>
        <v>0</v>
      </c>
      <c r="S28" s="35">
        <f ca="1">IF(AND(COLUMN()&gt;=11,COLUMN()&lt;=20),(_xlfn.XLOOKUP($A28,'Oferta Producto 3'!$B$10:$B$21,'Oferta Producto 3'!$E$10:$E$21))/SUMIF($A$7:$AC$128,$A28,$AB$6:$AB$127)*S$5,0)</f>
        <v>0</v>
      </c>
      <c r="T28" s="35">
        <f ca="1">IF(AND(COLUMN()&gt;=11,COLUMN()&lt;=20),(_xlfn.XLOOKUP($A28,'Oferta Producto 3'!$B$10:$B$21,'Oferta Producto 3'!$E$10:$E$21))/SUMIF($A$7:$AC$128,$A28,$AB$6:$AB$127)*T$5,0)</f>
        <v>0</v>
      </c>
      <c r="U28" s="35">
        <f>IF(AND(COLUMN()&gt;=11,COLUMN()&lt;=20),(_xlfn.XLOOKUP($A28,'Oferta Producto 3'!$B$10:$B$21,'Oferta Producto 3'!$E$10:$E$21))/SUMIF($A$7:$AC$128,$A28,$AB$6:$AB$127)*U$5,0)</f>
        <v>0</v>
      </c>
      <c r="V28" s="35">
        <f>IF(AND(COLUMN()&gt;=11,COLUMN()&lt;=20),(_xlfn.XLOOKUP($A28,'Oferta Producto 3'!$B$10:$B$21,'Oferta Producto 3'!$E$10:$E$21))/SUMIF($A$7:$AC$128,$A28,$AB$6:$AB$127)*V$5,0)</f>
        <v>0</v>
      </c>
      <c r="W28" s="35">
        <f>IF(AND(COLUMN()&gt;=11,COLUMN()&lt;=20),(_xlfn.XLOOKUP($A28,'Oferta Producto 3'!$B$10:$B$21,'Oferta Producto 3'!$E$10:$E$21))/SUMIF($A$7:$AC$128,$A28,$AB$6:$AB$127)*W$5,0)</f>
        <v>0</v>
      </c>
      <c r="X28" s="35">
        <f>IF(AND(COLUMN()&gt;=11,COLUMN()&lt;=20),(_xlfn.XLOOKUP($A28,'Oferta Producto 3'!$B$10:$B$21,'Oferta Producto 3'!$E$10:$E$21))/SUMIF($A$7:$AC$128,$A28,$AB$6:$AB$127)*X$5,0)</f>
        <v>0</v>
      </c>
      <c r="Y28" s="35">
        <f>IF(AND(COLUMN()&gt;=11,COLUMN()&lt;=20),(_xlfn.XLOOKUP($A28,'Oferta Producto 3'!$B$10:$B$21,'Oferta Producto 3'!$E$10:$E$21))/SUMIF($A$7:$AC$128,$A28,$AB$6:$AB$127)*Y$5,0)</f>
        <v>0</v>
      </c>
      <c r="Z28" s="35">
        <f>IF(AND(COLUMN()&gt;=11,COLUMN()&lt;=20),(_xlfn.XLOOKUP($A28,'Oferta Producto 3'!$B$10:$B$21,'Oferta Producto 3'!$E$10:$E$21))/SUMIF($A$7:$AC$128,$A28,$AB$6:$AB$127)*Z$5,0)</f>
        <v>0</v>
      </c>
      <c r="AA28" s="35">
        <f t="shared" ca="1" si="4"/>
        <v>0</v>
      </c>
      <c r="AB28" s="28">
        <f t="shared" si="2"/>
        <v>30</v>
      </c>
      <c r="AC28" s="29">
        <f t="shared" ca="1" si="3"/>
        <v>0</v>
      </c>
      <c r="AD28" s="48">
        <f ca="1">'Curvas Prod 3'!AC28/SUMIF('Curvas Prod 3'!A26:AC171,'Curva de la oferta Prod 3'!$A28,'Curvas Prod 3'!AC26:AC171)</f>
        <v>0.16304347826086957</v>
      </c>
      <c r="AE28" s="45"/>
      <c r="AF28" s="49"/>
      <c r="AG28" s="49"/>
      <c r="AH28" s="49"/>
      <c r="AI28" s="49"/>
      <c r="AJ28" s="49"/>
      <c r="AK28" s="49"/>
    </row>
    <row r="29" spans="1:37" ht="15">
      <c r="A29" s="23">
        <f t="shared" si="0"/>
        <v>2027</v>
      </c>
      <c r="B29" s="27">
        <v>46661</v>
      </c>
      <c r="C29" s="35">
        <f>IF(AND(COLUMN()&gt;=11,COLUMN()&lt;=20),(_xlfn.XLOOKUP($A29,'Oferta Producto 3'!$B$10:$B$21,'Oferta Producto 3'!$E$10:$E$21))/SUMIF($A$7:$AC$128,$A29,$AB$6:$AB$127)*C$5,0)</f>
        <v>0</v>
      </c>
      <c r="D29" s="35">
        <f>IF(AND(COLUMN()&gt;=11,COLUMN()&lt;=20),(_xlfn.XLOOKUP($A29,'Oferta Producto 3'!$B$10:$B$21,'Oferta Producto 3'!$E$10:$E$21))/SUMIF($A$7:$AC$128,$A29,$AB$6:$AB$127)*D$5,0)</f>
        <v>0</v>
      </c>
      <c r="E29" s="35">
        <f>IF(AND(COLUMN()&gt;=11,COLUMN()&lt;=20),(_xlfn.XLOOKUP($A29,'Oferta Producto 3'!$B$10:$B$21,'Oferta Producto 3'!$E$10:$E$21))/SUMIF($A$7:$AC$128,$A29,$AB$6:$AB$127)*E$5,0)</f>
        <v>0</v>
      </c>
      <c r="F29" s="35">
        <f>IF(AND(COLUMN()&gt;=11,COLUMN()&lt;=20),(_xlfn.XLOOKUP($A29,'Oferta Producto 3'!$B$10:$B$21,'Oferta Producto 3'!$E$10:$E$21))/SUMIF($A$7:$AC$128,$A29,$AB$6:$AB$127)*F$5,0)</f>
        <v>0</v>
      </c>
      <c r="G29" s="35">
        <f>IF(AND(COLUMN()&gt;=11,COLUMN()&lt;=20),(_xlfn.XLOOKUP($A29,'Oferta Producto 3'!$B$10:$B$21,'Oferta Producto 3'!$E$10:$E$21))/SUMIF($A$7:$AC$128,$A29,$AB$6:$AB$127)*G$5,0)</f>
        <v>0</v>
      </c>
      <c r="H29" s="35">
        <f>IF(AND(COLUMN()&gt;=11,COLUMN()&lt;=20),(_xlfn.XLOOKUP($A29,'Oferta Producto 3'!$B$10:$B$21,'Oferta Producto 3'!$E$10:$E$21))/SUMIF($A$7:$AC$128,$A29,$AB$6:$AB$127)*H$5,0)</f>
        <v>0</v>
      </c>
      <c r="I29" s="35">
        <f>IF(AND(COLUMN()&gt;=11,COLUMN()&lt;=20),(_xlfn.XLOOKUP($A29,'Oferta Producto 3'!$B$10:$B$21,'Oferta Producto 3'!$E$10:$E$21))/SUMIF($A$7:$AC$128,$A29,$AB$6:$AB$127)*I$5,0)</f>
        <v>0</v>
      </c>
      <c r="J29" s="35">
        <f>IF(AND(COLUMN()&gt;=11,COLUMN()&lt;=20),(_xlfn.XLOOKUP($A29,'Oferta Producto 3'!$B$10:$B$21,'Oferta Producto 3'!$E$10:$E$21))/SUMIF($A$7:$AC$128,$A29,$AB$6:$AB$127)*J$5,0)</f>
        <v>0</v>
      </c>
      <c r="K29" s="35">
        <f ca="1">IF(AND(COLUMN()&gt;=11,COLUMN()&lt;=20),(_xlfn.XLOOKUP($A29,'Oferta Producto 3'!$B$10:$B$21,'Oferta Producto 3'!$E$10:$E$21))/SUMIF($A$7:$AC$128,$A29,$AB$6:$AB$127)*K$5,0)</f>
        <v>0</v>
      </c>
      <c r="L29" s="35">
        <f ca="1">IF(AND(COLUMN()&gt;=11,COLUMN()&lt;=20),(_xlfn.XLOOKUP($A29,'Oferta Producto 3'!$B$10:$B$21,'Oferta Producto 3'!$E$10:$E$21))/SUMIF($A$7:$AC$128,$A29,$AB$6:$AB$127)*L$5,0)</f>
        <v>0</v>
      </c>
      <c r="M29" s="35">
        <f ca="1">IF(AND(COLUMN()&gt;=11,COLUMN()&lt;=20),(_xlfn.XLOOKUP($A29,'Oferta Producto 3'!$B$10:$B$21,'Oferta Producto 3'!$E$10:$E$21))/SUMIF($A$7:$AC$128,$A29,$AB$6:$AB$127)*M$5,0)</f>
        <v>0</v>
      </c>
      <c r="N29" s="35">
        <f ca="1">IF(AND(COLUMN()&gt;=11,COLUMN()&lt;=20),(_xlfn.XLOOKUP($A29,'Oferta Producto 3'!$B$10:$B$21,'Oferta Producto 3'!$E$10:$E$21))/SUMIF($A$7:$AC$128,$A29,$AB$6:$AB$127)*N$5,0)</f>
        <v>0</v>
      </c>
      <c r="O29" s="35">
        <f ca="1">IF(AND(COLUMN()&gt;=11,COLUMN()&lt;=20),(_xlfn.XLOOKUP($A29,'Oferta Producto 3'!$B$10:$B$21,'Oferta Producto 3'!$E$10:$E$21))/SUMIF($A$7:$AC$128,$A29,$AB$6:$AB$127)*O$5,0)</f>
        <v>0</v>
      </c>
      <c r="P29" s="35">
        <f ca="1">IF(AND(COLUMN()&gt;=11,COLUMN()&lt;=20),(_xlfn.XLOOKUP($A29,'Oferta Producto 3'!$B$10:$B$21,'Oferta Producto 3'!$E$10:$E$21))/SUMIF($A$7:$AC$128,$A29,$AB$6:$AB$127)*P$5,0)</f>
        <v>0</v>
      </c>
      <c r="Q29" s="35">
        <f ca="1">IF(AND(COLUMN()&gt;=11,COLUMN()&lt;=20),(_xlfn.XLOOKUP($A29,'Oferta Producto 3'!$B$10:$B$21,'Oferta Producto 3'!$E$10:$E$21))/SUMIF($A$7:$AC$128,$A29,$AB$6:$AB$127)*Q$5,0)</f>
        <v>0</v>
      </c>
      <c r="R29" s="35">
        <f ca="1">IF(AND(COLUMN()&gt;=11,COLUMN()&lt;=20),(_xlfn.XLOOKUP($A29,'Oferta Producto 3'!$B$10:$B$21,'Oferta Producto 3'!$E$10:$E$21))/SUMIF($A$7:$AC$128,$A29,$AB$6:$AB$127)*R$5,0)</f>
        <v>0</v>
      </c>
      <c r="S29" s="35">
        <f ca="1">IF(AND(COLUMN()&gt;=11,COLUMN()&lt;=20),(_xlfn.XLOOKUP($A29,'Oferta Producto 3'!$B$10:$B$21,'Oferta Producto 3'!$E$10:$E$21))/SUMIF($A$7:$AC$128,$A29,$AB$6:$AB$127)*S$5,0)</f>
        <v>0</v>
      </c>
      <c r="T29" s="35">
        <f ca="1">IF(AND(COLUMN()&gt;=11,COLUMN()&lt;=20),(_xlfn.XLOOKUP($A29,'Oferta Producto 3'!$B$10:$B$21,'Oferta Producto 3'!$E$10:$E$21))/SUMIF($A$7:$AC$128,$A29,$AB$6:$AB$127)*T$5,0)</f>
        <v>0</v>
      </c>
      <c r="U29" s="35">
        <f>IF(AND(COLUMN()&gt;=11,COLUMN()&lt;=20),(_xlfn.XLOOKUP($A29,'Oferta Producto 3'!$B$10:$B$21,'Oferta Producto 3'!$E$10:$E$21))/SUMIF($A$7:$AC$128,$A29,$AB$6:$AB$127)*U$5,0)</f>
        <v>0</v>
      </c>
      <c r="V29" s="35">
        <f>IF(AND(COLUMN()&gt;=11,COLUMN()&lt;=20),(_xlfn.XLOOKUP($A29,'Oferta Producto 3'!$B$10:$B$21,'Oferta Producto 3'!$E$10:$E$21))/SUMIF($A$7:$AC$128,$A29,$AB$6:$AB$127)*V$5,0)</f>
        <v>0</v>
      </c>
      <c r="W29" s="35">
        <f>IF(AND(COLUMN()&gt;=11,COLUMN()&lt;=20),(_xlfn.XLOOKUP($A29,'Oferta Producto 3'!$B$10:$B$21,'Oferta Producto 3'!$E$10:$E$21))/SUMIF($A$7:$AC$128,$A29,$AB$6:$AB$127)*W$5,0)</f>
        <v>0</v>
      </c>
      <c r="X29" s="35">
        <f>IF(AND(COLUMN()&gt;=11,COLUMN()&lt;=20),(_xlfn.XLOOKUP($A29,'Oferta Producto 3'!$B$10:$B$21,'Oferta Producto 3'!$E$10:$E$21))/SUMIF($A$7:$AC$128,$A29,$AB$6:$AB$127)*X$5,0)</f>
        <v>0</v>
      </c>
      <c r="Y29" s="35">
        <f>IF(AND(COLUMN()&gt;=11,COLUMN()&lt;=20),(_xlfn.XLOOKUP($A29,'Oferta Producto 3'!$B$10:$B$21,'Oferta Producto 3'!$E$10:$E$21))/SUMIF($A$7:$AC$128,$A29,$AB$6:$AB$127)*Y$5,0)</f>
        <v>0</v>
      </c>
      <c r="Z29" s="35">
        <f>IF(AND(COLUMN()&gt;=11,COLUMN()&lt;=20),(_xlfn.XLOOKUP($A29,'Oferta Producto 3'!$B$10:$B$21,'Oferta Producto 3'!$E$10:$E$21))/SUMIF($A$7:$AC$128,$A29,$AB$6:$AB$127)*Z$5,0)</f>
        <v>0</v>
      </c>
      <c r="AA29" s="35">
        <f t="shared" ca="1" si="4"/>
        <v>0</v>
      </c>
      <c r="AB29" s="28">
        <f t="shared" si="2"/>
        <v>31</v>
      </c>
      <c r="AC29" s="29">
        <f t="shared" ca="1" si="3"/>
        <v>0</v>
      </c>
      <c r="AD29" s="48">
        <f ca="1">'Curvas Prod 3'!AC29/SUMIF('Curvas Prod 3'!A27:AC172,'Curva de la oferta Prod 3'!$A29,'Curvas Prod 3'!AC27:AC172)</f>
        <v>0.20261437908496732</v>
      </c>
      <c r="AE29" s="45"/>
      <c r="AF29" s="49"/>
      <c r="AG29" s="49"/>
      <c r="AH29" s="49"/>
      <c r="AI29" s="49"/>
      <c r="AJ29" s="49"/>
      <c r="AK29" s="49"/>
    </row>
    <row r="30" spans="1:37" ht="15">
      <c r="A30" s="23">
        <f t="shared" si="0"/>
        <v>2027</v>
      </c>
      <c r="B30" s="27">
        <v>46692</v>
      </c>
      <c r="C30" s="35">
        <f>IF(AND(COLUMN()&gt;=11,COLUMN()&lt;=20),(_xlfn.XLOOKUP($A30,'Oferta Producto 3'!$B$10:$B$21,'Oferta Producto 3'!$E$10:$E$21))/SUMIF($A$7:$AC$128,$A30,$AB$6:$AB$127)*C$5,0)</f>
        <v>0</v>
      </c>
      <c r="D30" s="35">
        <f>IF(AND(COLUMN()&gt;=11,COLUMN()&lt;=20),(_xlfn.XLOOKUP($A30,'Oferta Producto 3'!$B$10:$B$21,'Oferta Producto 3'!$E$10:$E$21))/SUMIF($A$7:$AC$128,$A30,$AB$6:$AB$127)*D$5,0)</f>
        <v>0</v>
      </c>
      <c r="E30" s="35">
        <f>IF(AND(COLUMN()&gt;=11,COLUMN()&lt;=20),(_xlfn.XLOOKUP($A30,'Oferta Producto 3'!$B$10:$B$21,'Oferta Producto 3'!$E$10:$E$21))/SUMIF($A$7:$AC$128,$A30,$AB$6:$AB$127)*E$5,0)</f>
        <v>0</v>
      </c>
      <c r="F30" s="35">
        <f>IF(AND(COLUMN()&gt;=11,COLUMN()&lt;=20),(_xlfn.XLOOKUP($A30,'Oferta Producto 3'!$B$10:$B$21,'Oferta Producto 3'!$E$10:$E$21))/SUMIF($A$7:$AC$128,$A30,$AB$6:$AB$127)*F$5,0)</f>
        <v>0</v>
      </c>
      <c r="G30" s="35">
        <f>IF(AND(COLUMN()&gt;=11,COLUMN()&lt;=20),(_xlfn.XLOOKUP($A30,'Oferta Producto 3'!$B$10:$B$21,'Oferta Producto 3'!$E$10:$E$21))/SUMIF($A$7:$AC$128,$A30,$AB$6:$AB$127)*G$5,0)</f>
        <v>0</v>
      </c>
      <c r="H30" s="35">
        <f>IF(AND(COLUMN()&gt;=11,COLUMN()&lt;=20),(_xlfn.XLOOKUP($A30,'Oferta Producto 3'!$B$10:$B$21,'Oferta Producto 3'!$E$10:$E$21))/SUMIF($A$7:$AC$128,$A30,$AB$6:$AB$127)*H$5,0)</f>
        <v>0</v>
      </c>
      <c r="I30" s="35">
        <f>IF(AND(COLUMN()&gt;=11,COLUMN()&lt;=20),(_xlfn.XLOOKUP($A30,'Oferta Producto 3'!$B$10:$B$21,'Oferta Producto 3'!$E$10:$E$21))/SUMIF($A$7:$AC$128,$A30,$AB$6:$AB$127)*I$5,0)</f>
        <v>0</v>
      </c>
      <c r="J30" s="35">
        <f>IF(AND(COLUMN()&gt;=11,COLUMN()&lt;=20),(_xlfn.XLOOKUP($A30,'Oferta Producto 3'!$B$10:$B$21,'Oferta Producto 3'!$E$10:$E$21))/SUMIF($A$7:$AC$128,$A30,$AB$6:$AB$127)*J$5,0)</f>
        <v>0</v>
      </c>
      <c r="K30" s="35">
        <f ca="1">IF(AND(COLUMN()&gt;=11,COLUMN()&lt;=20),(_xlfn.XLOOKUP($A30,'Oferta Producto 3'!$B$10:$B$21,'Oferta Producto 3'!$E$10:$E$21))/SUMIF($A$7:$AC$128,$A30,$AB$6:$AB$127)*K$5,0)</f>
        <v>0</v>
      </c>
      <c r="L30" s="35">
        <f ca="1">IF(AND(COLUMN()&gt;=11,COLUMN()&lt;=20),(_xlfn.XLOOKUP($A30,'Oferta Producto 3'!$B$10:$B$21,'Oferta Producto 3'!$E$10:$E$21))/SUMIF($A$7:$AC$128,$A30,$AB$6:$AB$127)*L$5,0)</f>
        <v>0</v>
      </c>
      <c r="M30" s="35">
        <f ca="1">IF(AND(COLUMN()&gt;=11,COLUMN()&lt;=20),(_xlfn.XLOOKUP($A30,'Oferta Producto 3'!$B$10:$B$21,'Oferta Producto 3'!$E$10:$E$21))/SUMIF($A$7:$AC$128,$A30,$AB$6:$AB$127)*M$5,0)</f>
        <v>0</v>
      </c>
      <c r="N30" s="35">
        <f ca="1">IF(AND(COLUMN()&gt;=11,COLUMN()&lt;=20),(_xlfn.XLOOKUP($A30,'Oferta Producto 3'!$B$10:$B$21,'Oferta Producto 3'!$E$10:$E$21))/SUMIF($A$7:$AC$128,$A30,$AB$6:$AB$127)*N$5,0)</f>
        <v>0</v>
      </c>
      <c r="O30" s="35">
        <f ca="1">IF(AND(COLUMN()&gt;=11,COLUMN()&lt;=20),(_xlfn.XLOOKUP($A30,'Oferta Producto 3'!$B$10:$B$21,'Oferta Producto 3'!$E$10:$E$21))/SUMIF($A$7:$AC$128,$A30,$AB$6:$AB$127)*O$5,0)</f>
        <v>0</v>
      </c>
      <c r="P30" s="35">
        <f ca="1">IF(AND(COLUMN()&gt;=11,COLUMN()&lt;=20),(_xlfn.XLOOKUP($A30,'Oferta Producto 3'!$B$10:$B$21,'Oferta Producto 3'!$E$10:$E$21))/SUMIF($A$7:$AC$128,$A30,$AB$6:$AB$127)*P$5,0)</f>
        <v>0</v>
      </c>
      <c r="Q30" s="35">
        <f ca="1">IF(AND(COLUMN()&gt;=11,COLUMN()&lt;=20),(_xlfn.XLOOKUP($A30,'Oferta Producto 3'!$B$10:$B$21,'Oferta Producto 3'!$E$10:$E$21))/SUMIF($A$7:$AC$128,$A30,$AB$6:$AB$127)*Q$5,0)</f>
        <v>0</v>
      </c>
      <c r="R30" s="35">
        <f ca="1">IF(AND(COLUMN()&gt;=11,COLUMN()&lt;=20),(_xlfn.XLOOKUP($A30,'Oferta Producto 3'!$B$10:$B$21,'Oferta Producto 3'!$E$10:$E$21))/SUMIF($A$7:$AC$128,$A30,$AB$6:$AB$127)*R$5,0)</f>
        <v>0</v>
      </c>
      <c r="S30" s="35">
        <f ca="1">IF(AND(COLUMN()&gt;=11,COLUMN()&lt;=20),(_xlfn.XLOOKUP($A30,'Oferta Producto 3'!$B$10:$B$21,'Oferta Producto 3'!$E$10:$E$21))/SUMIF($A$7:$AC$128,$A30,$AB$6:$AB$127)*S$5,0)</f>
        <v>0</v>
      </c>
      <c r="T30" s="35">
        <f ca="1">IF(AND(COLUMN()&gt;=11,COLUMN()&lt;=20),(_xlfn.XLOOKUP($A30,'Oferta Producto 3'!$B$10:$B$21,'Oferta Producto 3'!$E$10:$E$21))/SUMIF($A$7:$AC$128,$A30,$AB$6:$AB$127)*T$5,0)</f>
        <v>0</v>
      </c>
      <c r="U30" s="35">
        <f>IF(AND(COLUMN()&gt;=11,COLUMN()&lt;=20),(_xlfn.XLOOKUP($A30,'Oferta Producto 3'!$B$10:$B$21,'Oferta Producto 3'!$E$10:$E$21))/SUMIF($A$7:$AC$128,$A30,$AB$6:$AB$127)*U$5,0)</f>
        <v>0</v>
      </c>
      <c r="V30" s="35">
        <f>IF(AND(COLUMN()&gt;=11,COLUMN()&lt;=20),(_xlfn.XLOOKUP($A30,'Oferta Producto 3'!$B$10:$B$21,'Oferta Producto 3'!$E$10:$E$21))/SUMIF($A$7:$AC$128,$A30,$AB$6:$AB$127)*V$5,0)</f>
        <v>0</v>
      </c>
      <c r="W30" s="35">
        <f>IF(AND(COLUMN()&gt;=11,COLUMN()&lt;=20),(_xlfn.XLOOKUP($A30,'Oferta Producto 3'!$B$10:$B$21,'Oferta Producto 3'!$E$10:$E$21))/SUMIF($A$7:$AC$128,$A30,$AB$6:$AB$127)*W$5,0)</f>
        <v>0</v>
      </c>
      <c r="X30" s="35">
        <f>IF(AND(COLUMN()&gt;=11,COLUMN()&lt;=20),(_xlfn.XLOOKUP($A30,'Oferta Producto 3'!$B$10:$B$21,'Oferta Producto 3'!$E$10:$E$21))/SUMIF($A$7:$AC$128,$A30,$AB$6:$AB$127)*X$5,0)</f>
        <v>0</v>
      </c>
      <c r="Y30" s="35">
        <f>IF(AND(COLUMN()&gt;=11,COLUMN()&lt;=20),(_xlfn.XLOOKUP($A30,'Oferta Producto 3'!$B$10:$B$21,'Oferta Producto 3'!$E$10:$E$21))/SUMIF($A$7:$AC$128,$A30,$AB$6:$AB$127)*Y$5,0)</f>
        <v>0</v>
      </c>
      <c r="Z30" s="35">
        <f>IF(AND(COLUMN()&gt;=11,COLUMN()&lt;=20),(_xlfn.XLOOKUP($A30,'Oferta Producto 3'!$B$10:$B$21,'Oferta Producto 3'!$E$10:$E$21))/SUMIF($A$7:$AC$128,$A30,$AB$6:$AB$127)*Z$5,0)</f>
        <v>0</v>
      </c>
      <c r="AA30" s="35">
        <f t="shared" ca="1" si="4"/>
        <v>0</v>
      </c>
      <c r="AB30" s="28">
        <f t="shared" si="2"/>
        <v>30</v>
      </c>
      <c r="AC30" s="29">
        <f t="shared" ca="1" si="3"/>
        <v>0</v>
      </c>
      <c r="AD30" s="48">
        <f ca="1">'Curvas Prod 3'!AC30/SUMIF('Curvas Prod 3'!A28:AC173,'Curva de la oferta Prod 3'!$A30,'Curvas Prod 3'!AC28:AC173)</f>
        <v>0.24590163934426229</v>
      </c>
      <c r="AE30" s="45"/>
      <c r="AF30" s="49"/>
      <c r="AG30" s="49"/>
      <c r="AH30" s="49"/>
      <c r="AI30" s="49"/>
      <c r="AJ30" s="49"/>
      <c r="AK30" s="49"/>
    </row>
    <row r="31" spans="1:37" ht="15">
      <c r="A31" s="23">
        <f t="shared" si="0"/>
        <v>2027</v>
      </c>
      <c r="B31" s="27">
        <v>46722</v>
      </c>
      <c r="C31" s="35">
        <f>IF(AND(COLUMN()&gt;=11,COLUMN()&lt;=20),(_xlfn.XLOOKUP($A31,'Oferta Producto 3'!$B$10:$B$21,'Oferta Producto 3'!$E$10:$E$21))/SUMIF($A$7:$AC$128,$A31,$AB$6:$AB$127)*C$5,0)</f>
        <v>0</v>
      </c>
      <c r="D31" s="35">
        <f>IF(AND(COLUMN()&gt;=11,COLUMN()&lt;=20),(_xlfn.XLOOKUP($A31,'Oferta Producto 3'!$B$10:$B$21,'Oferta Producto 3'!$E$10:$E$21))/SUMIF($A$7:$AC$128,$A31,$AB$6:$AB$127)*D$5,0)</f>
        <v>0</v>
      </c>
      <c r="E31" s="35">
        <f>IF(AND(COLUMN()&gt;=11,COLUMN()&lt;=20),(_xlfn.XLOOKUP($A31,'Oferta Producto 3'!$B$10:$B$21,'Oferta Producto 3'!$E$10:$E$21))/SUMIF($A$7:$AC$128,$A31,$AB$6:$AB$127)*E$5,0)</f>
        <v>0</v>
      </c>
      <c r="F31" s="35">
        <f>IF(AND(COLUMN()&gt;=11,COLUMN()&lt;=20),(_xlfn.XLOOKUP($A31,'Oferta Producto 3'!$B$10:$B$21,'Oferta Producto 3'!$E$10:$E$21))/SUMIF($A$7:$AC$128,$A31,$AB$6:$AB$127)*F$5,0)</f>
        <v>0</v>
      </c>
      <c r="G31" s="35">
        <f>IF(AND(COLUMN()&gt;=11,COLUMN()&lt;=20),(_xlfn.XLOOKUP($A31,'Oferta Producto 3'!$B$10:$B$21,'Oferta Producto 3'!$E$10:$E$21))/SUMIF($A$7:$AC$128,$A31,$AB$6:$AB$127)*G$5,0)</f>
        <v>0</v>
      </c>
      <c r="H31" s="35">
        <f>IF(AND(COLUMN()&gt;=11,COLUMN()&lt;=20),(_xlfn.XLOOKUP($A31,'Oferta Producto 3'!$B$10:$B$21,'Oferta Producto 3'!$E$10:$E$21))/SUMIF($A$7:$AC$128,$A31,$AB$6:$AB$127)*H$5,0)</f>
        <v>0</v>
      </c>
      <c r="I31" s="35">
        <f>IF(AND(COLUMN()&gt;=11,COLUMN()&lt;=20),(_xlfn.XLOOKUP($A31,'Oferta Producto 3'!$B$10:$B$21,'Oferta Producto 3'!$E$10:$E$21))/SUMIF($A$7:$AC$128,$A31,$AB$6:$AB$127)*I$5,0)</f>
        <v>0</v>
      </c>
      <c r="J31" s="35">
        <f>IF(AND(COLUMN()&gt;=11,COLUMN()&lt;=20),(_xlfn.XLOOKUP($A31,'Oferta Producto 3'!$B$10:$B$21,'Oferta Producto 3'!$E$10:$E$21))/SUMIF($A$7:$AC$128,$A31,$AB$6:$AB$127)*J$5,0)</f>
        <v>0</v>
      </c>
      <c r="K31" s="35">
        <f ca="1">IF(AND(COLUMN()&gt;=11,COLUMN()&lt;=20),(_xlfn.XLOOKUP($A31,'Oferta Producto 3'!$B$10:$B$21,'Oferta Producto 3'!$E$10:$E$21))/SUMIF($A$7:$AC$128,$A31,$AB$6:$AB$127)*K$5,0)</f>
        <v>0</v>
      </c>
      <c r="L31" s="35">
        <f ca="1">IF(AND(COLUMN()&gt;=11,COLUMN()&lt;=20),(_xlfn.XLOOKUP($A31,'Oferta Producto 3'!$B$10:$B$21,'Oferta Producto 3'!$E$10:$E$21))/SUMIF($A$7:$AC$128,$A31,$AB$6:$AB$127)*L$5,0)</f>
        <v>0</v>
      </c>
      <c r="M31" s="35">
        <f ca="1">IF(AND(COLUMN()&gt;=11,COLUMN()&lt;=20),(_xlfn.XLOOKUP($A31,'Oferta Producto 3'!$B$10:$B$21,'Oferta Producto 3'!$E$10:$E$21))/SUMIF($A$7:$AC$128,$A31,$AB$6:$AB$127)*M$5,0)</f>
        <v>0</v>
      </c>
      <c r="N31" s="35">
        <f ca="1">IF(AND(COLUMN()&gt;=11,COLUMN()&lt;=20),(_xlfn.XLOOKUP($A31,'Oferta Producto 3'!$B$10:$B$21,'Oferta Producto 3'!$E$10:$E$21))/SUMIF($A$7:$AC$128,$A31,$AB$6:$AB$127)*N$5,0)</f>
        <v>0</v>
      </c>
      <c r="O31" s="35">
        <f ca="1">IF(AND(COLUMN()&gt;=11,COLUMN()&lt;=20),(_xlfn.XLOOKUP($A31,'Oferta Producto 3'!$B$10:$B$21,'Oferta Producto 3'!$E$10:$E$21))/SUMIF($A$7:$AC$128,$A31,$AB$6:$AB$127)*O$5,0)</f>
        <v>0</v>
      </c>
      <c r="P31" s="35">
        <f ca="1">IF(AND(COLUMN()&gt;=11,COLUMN()&lt;=20),(_xlfn.XLOOKUP($A31,'Oferta Producto 3'!$B$10:$B$21,'Oferta Producto 3'!$E$10:$E$21))/SUMIF($A$7:$AC$128,$A31,$AB$6:$AB$127)*P$5,0)</f>
        <v>0</v>
      </c>
      <c r="Q31" s="35">
        <f ca="1">IF(AND(COLUMN()&gt;=11,COLUMN()&lt;=20),(_xlfn.XLOOKUP($A31,'Oferta Producto 3'!$B$10:$B$21,'Oferta Producto 3'!$E$10:$E$21))/SUMIF($A$7:$AC$128,$A31,$AB$6:$AB$127)*Q$5,0)</f>
        <v>0</v>
      </c>
      <c r="R31" s="35">
        <f ca="1">IF(AND(COLUMN()&gt;=11,COLUMN()&lt;=20),(_xlfn.XLOOKUP($A31,'Oferta Producto 3'!$B$10:$B$21,'Oferta Producto 3'!$E$10:$E$21))/SUMIF($A$7:$AC$128,$A31,$AB$6:$AB$127)*R$5,0)</f>
        <v>0</v>
      </c>
      <c r="S31" s="35">
        <f ca="1">IF(AND(COLUMN()&gt;=11,COLUMN()&lt;=20),(_xlfn.XLOOKUP($A31,'Oferta Producto 3'!$B$10:$B$21,'Oferta Producto 3'!$E$10:$E$21))/SUMIF($A$7:$AC$128,$A31,$AB$6:$AB$127)*S$5,0)</f>
        <v>0</v>
      </c>
      <c r="T31" s="35">
        <f ca="1">IF(AND(COLUMN()&gt;=11,COLUMN()&lt;=20),(_xlfn.XLOOKUP($A31,'Oferta Producto 3'!$B$10:$B$21,'Oferta Producto 3'!$E$10:$E$21))/SUMIF($A$7:$AC$128,$A31,$AB$6:$AB$127)*T$5,0)</f>
        <v>0</v>
      </c>
      <c r="U31" s="35">
        <f>IF(AND(COLUMN()&gt;=11,COLUMN()&lt;=20),(_xlfn.XLOOKUP($A31,'Oferta Producto 3'!$B$10:$B$21,'Oferta Producto 3'!$E$10:$E$21))/SUMIF($A$7:$AC$128,$A31,$AB$6:$AB$127)*U$5,0)</f>
        <v>0</v>
      </c>
      <c r="V31" s="35">
        <f>IF(AND(COLUMN()&gt;=11,COLUMN()&lt;=20),(_xlfn.XLOOKUP($A31,'Oferta Producto 3'!$B$10:$B$21,'Oferta Producto 3'!$E$10:$E$21))/SUMIF($A$7:$AC$128,$A31,$AB$6:$AB$127)*V$5,0)</f>
        <v>0</v>
      </c>
      <c r="W31" s="35">
        <f>IF(AND(COLUMN()&gt;=11,COLUMN()&lt;=20),(_xlfn.XLOOKUP($A31,'Oferta Producto 3'!$B$10:$B$21,'Oferta Producto 3'!$E$10:$E$21))/SUMIF($A$7:$AC$128,$A31,$AB$6:$AB$127)*W$5,0)</f>
        <v>0</v>
      </c>
      <c r="X31" s="35">
        <f>IF(AND(COLUMN()&gt;=11,COLUMN()&lt;=20),(_xlfn.XLOOKUP($A31,'Oferta Producto 3'!$B$10:$B$21,'Oferta Producto 3'!$E$10:$E$21))/SUMIF($A$7:$AC$128,$A31,$AB$6:$AB$127)*X$5,0)</f>
        <v>0</v>
      </c>
      <c r="Y31" s="35">
        <f>IF(AND(COLUMN()&gt;=11,COLUMN()&lt;=20),(_xlfn.XLOOKUP($A31,'Oferta Producto 3'!$B$10:$B$21,'Oferta Producto 3'!$E$10:$E$21))/SUMIF($A$7:$AC$128,$A31,$AB$6:$AB$127)*Y$5,0)</f>
        <v>0</v>
      </c>
      <c r="Z31" s="35">
        <f>IF(AND(COLUMN()&gt;=11,COLUMN()&lt;=20),(_xlfn.XLOOKUP($A31,'Oferta Producto 3'!$B$10:$B$21,'Oferta Producto 3'!$E$10:$E$21))/SUMIF($A$7:$AC$128,$A31,$AB$6:$AB$127)*Z$5,0)</f>
        <v>0</v>
      </c>
      <c r="AA31" s="35">
        <f t="shared" ca="1" si="4"/>
        <v>0</v>
      </c>
      <c r="AB31" s="28">
        <f t="shared" si="2"/>
        <v>31</v>
      </c>
      <c r="AC31" s="29">
        <f t="shared" ca="1" si="3"/>
        <v>0</v>
      </c>
      <c r="AD31" s="48">
        <f ca="1">'Curvas Prod 3'!AC31/SUMIF('Curvas Prod 3'!A29:AC174,'Curva de la oferta Prod 3'!$A31,'Curvas Prod 3'!AC29:AC174)</f>
        <v>0.33695652173913043</v>
      </c>
      <c r="AE31" s="45"/>
      <c r="AF31" s="49"/>
      <c r="AG31" s="49"/>
      <c r="AH31" s="49"/>
      <c r="AI31" s="49"/>
      <c r="AJ31" s="49"/>
      <c r="AK31" s="49"/>
    </row>
    <row r="32" spans="1:37" ht="15">
      <c r="A32" s="23">
        <f t="shared" si="0"/>
        <v>2028</v>
      </c>
      <c r="B32" s="27">
        <v>46753</v>
      </c>
      <c r="C32" s="35">
        <f>IF(AND(COLUMN()&gt;=11,COLUMN()&lt;=20),(_xlfn.XLOOKUP($A32,'Oferta Producto 3'!$B$10:$B$21,'Oferta Producto 3'!$E$10:$E$21))/SUMIF($A$7:$AC$128,$A32,$AB$6:$AB$127)*C$5,0)</f>
        <v>0</v>
      </c>
      <c r="D32" s="35">
        <f>IF(AND(COLUMN()&gt;=11,COLUMN()&lt;=20),(_xlfn.XLOOKUP($A32,'Oferta Producto 3'!$B$10:$B$21,'Oferta Producto 3'!$E$10:$E$21))/SUMIF($A$7:$AC$128,$A32,$AB$6:$AB$127)*D$5,0)</f>
        <v>0</v>
      </c>
      <c r="E32" s="35">
        <f>IF(AND(COLUMN()&gt;=11,COLUMN()&lt;=20),(_xlfn.XLOOKUP($A32,'Oferta Producto 3'!$B$10:$B$21,'Oferta Producto 3'!$E$10:$E$21))/SUMIF($A$7:$AC$128,$A32,$AB$6:$AB$127)*E$5,0)</f>
        <v>0</v>
      </c>
      <c r="F32" s="35">
        <f>IF(AND(COLUMN()&gt;=11,COLUMN()&lt;=20),(_xlfn.XLOOKUP($A32,'Oferta Producto 3'!$B$10:$B$21,'Oferta Producto 3'!$E$10:$E$21))/SUMIF($A$7:$AC$128,$A32,$AB$6:$AB$127)*F$5,0)</f>
        <v>0</v>
      </c>
      <c r="G32" s="35">
        <f>IF(AND(COLUMN()&gt;=11,COLUMN()&lt;=20),(_xlfn.XLOOKUP($A32,'Oferta Producto 3'!$B$10:$B$21,'Oferta Producto 3'!$E$10:$E$21))/SUMIF($A$7:$AC$128,$A32,$AB$6:$AB$127)*G$5,0)</f>
        <v>0</v>
      </c>
      <c r="H32" s="35">
        <f>IF(AND(COLUMN()&gt;=11,COLUMN()&lt;=20),(_xlfn.XLOOKUP($A32,'Oferta Producto 3'!$B$10:$B$21,'Oferta Producto 3'!$E$10:$E$21))/SUMIF($A$7:$AC$128,$A32,$AB$6:$AB$127)*H$5,0)</f>
        <v>0</v>
      </c>
      <c r="I32" s="35">
        <f>IF(AND(COLUMN()&gt;=11,COLUMN()&lt;=20),(_xlfn.XLOOKUP($A32,'Oferta Producto 3'!$B$10:$B$21,'Oferta Producto 3'!$E$10:$E$21))/SUMIF($A$7:$AC$128,$A32,$AB$6:$AB$127)*I$5,0)</f>
        <v>0</v>
      </c>
      <c r="J32" s="35">
        <f>IF(AND(COLUMN()&gt;=11,COLUMN()&lt;=20),(_xlfn.XLOOKUP($A32,'Oferta Producto 3'!$B$10:$B$21,'Oferta Producto 3'!$E$10:$E$21))/SUMIF($A$7:$AC$128,$A32,$AB$6:$AB$127)*J$5,0)</f>
        <v>0</v>
      </c>
      <c r="K32" s="35">
        <f ca="1">IF(AND(COLUMN()&gt;=11,COLUMN()&lt;=20),(_xlfn.XLOOKUP($A32,'Oferta Producto 3'!$B$10:$B$21,'Oferta Producto 3'!$E$10:$E$21))/SUMIF($A$7:$AC$128,$A32,$AB$6:$AB$127)*K$5,0)</f>
        <v>0</v>
      </c>
      <c r="L32" s="35">
        <f ca="1">IF(AND(COLUMN()&gt;=11,COLUMN()&lt;=20),(_xlfn.XLOOKUP($A32,'Oferta Producto 3'!$B$10:$B$21,'Oferta Producto 3'!$E$10:$E$21))/SUMIF($A$7:$AC$128,$A32,$AB$6:$AB$127)*L$5,0)</f>
        <v>0</v>
      </c>
      <c r="M32" s="35">
        <f ca="1">IF(AND(COLUMN()&gt;=11,COLUMN()&lt;=20),(_xlfn.XLOOKUP($A32,'Oferta Producto 3'!$B$10:$B$21,'Oferta Producto 3'!$E$10:$E$21))/SUMIF($A$7:$AC$128,$A32,$AB$6:$AB$127)*M$5,0)</f>
        <v>0</v>
      </c>
      <c r="N32" s="35">
        <f ca="1">IF(AND(COLUMN()&gt;=11,COLUMN()&lt;=20),(_xlfn.XLOOKUP($A32,'Oferta Producto 3'!$B$10:$B$21,'Oferta Producto 3'!$E$10:$E$21))/SUMIF($A$7:$AC$128,$A32,$AB$6:$AB$127)*N$5,0)</f>
        <v>0</v>
      </c>
      <c r="O32" s="35">
        <f ca="1">IF(AND(COLUMN()&gt;=11,COLUMN()&lt;=20),(_xlfn.XLOOKUP($A32,'Oferta Producto 3'!$B$10:$B$21,'Oferta Producto 3'!$E$10:$E$21))/SUMIF($A$7:$AC$128,$A32,$AB$6:$AB$127)*O$5,0)</f>
        <v>0</v>
      </c>
      <c r="P32" s="35">
        <f ca="1">IF(AND(COLUMN()&gt;=11,COLUMN()&lt;=20),(_xlfn.XLOOKUP($A32,'Oferta Producto 3'!$B$10:$B$21,'Oferta Producto 3'!$E$10:$E$21))/SUMIF($A$7:$AC$128,$A32,$AB$6:$AB$127)*P$5,0)</f>
        <v>0</v>
      </c>
      <c r="Q32" s="35">
        <f ca="1">IF(AND(COLUMN()&gt;=11,COLUMN()&lt;=20),(_xlfn.XLOOKUP($A32,'Oferta Producto 3'!$B$10:$B$21,'Oferta Producto 3'!$E$10:$E$21))/SUMIF($A$7:$AC$128,$A32,$AB$6:$AB$127)*Q$5,0)</f>
        <v>0</v>
      </c>
      <c r="R32" s="35">
        <f ca="1">IF(AND(COLUMN()&gt;=11,COLUMN()&lt;=20),(_xlfn.XLOOKUP($A32,'Oferta Producto 3'!$B$10:$B$21,'Oferta Producto 3'!$E$10:$E$21))/SUMIF($A$7:$AC$128,$A32,$AB$6:$AB$127)*R$5,0)</f>
        <v>0</v>
      </c>
      <c r="S32" s="35">
        <f ca="1">IF(AND(COLUMN()&gt;=11,COLUMN()&lt;=20),(_xlfn.XLOOKUP($A32,'Oferta Producto 3'!$B$10:$B$21,'Oferta Producto 3'!$E$10:$E$21))/SUMIF($A$7:$AC$128,$A32,$AB$6:$AB$127)*S$5,0)</f>
        <v>0</v>
      </c>
      <c r="T32" s="35">
        <f ca="1">IF(AND(COLUMN()&gt;=11,COLUMN()&lt;=20),(_xlfn.XLOOKUP($A32,'Oferta Producto 3'!$B$10:$B$21,'Oferta Producto 3'!$E$10:$E$21))/SUMIF($A$7:$AC$128,$A32,$AB$6:$AB$127)*T$5,0)</f>
        <v>0</v>
      </c>
      <c r="U32" s="35">
        <f>IF(AND(COLUMN()&gt;=11,COLUMN()&lt;=20),(_xlfn.XLOOKUP($A32,'Oferta Producto 3'!$B$10:$B$21,'Oferta Producto 3'!$E$10:$E$21))/SUMIF($A$7:$AC$128,$A32,$AB$6:$AB$127)*U$5,0)</f>
        <v>0</v>
      </c>
      <c r="V32" s="35">
        <f>IF(AND(COLUMN()&gt;=11,COLUMN()&lt;=20),(_xlfn.XLOOKUP($A32,'Oferta Producto 3'!$B$10:$B$21,'Oferta Producto 3'!$E$10:$E$21))/SUMIF($A$7:$AC$128,$A32,$AB$6:$AB$127)*V$5,0)</f>
        <v>0</v>
      </c>
      <c r="W32" s="35">
        <f>IF(AND(COLUMN()&gt;=11,COLUMN()&lt;=20),(_xlfn.XLOOKUP($A32,'Oferta Producto 3'!$B$10:$B$21,'Oferta Producto 3'!$E$10:$E$21))/SUMIF($A$7:$AC$128,$A32,$AB$6:$AB$127)*W$5,0)</f>
        <v>0</v>
      </c>
      <c r="X32" s="35">
        <f>IF(AND(COLUMN()&gt;=11,COLUMN()&lt;=20),(_xlfn.XLOOKUP($A32,'Oferta Producto 3'!$B$10:$B$21,'Oferta Producto 3'!$E$10:$E$21))/SUMIF($A$7:$AC$128,$A32,$AB$6:$AB$127)*X$5,0)</f>
        <v>0</v>
      </c>
      <c r="Y32" s="35">
        <f>IF(AND(COLUMN()&gt;=11,COLUMN()&lt;=20),(_xlfn.XLOOKUP($A32,'Oferta Producto 3'!$B$10:$B$21,'Oferta Producto 3'!$E$10:$E$21))/SUMIF($A$7:$AC$128,$A32,$AB$6:$AB$127)*Y$5,0)</f>
        <v>0</v>
      </c>
      <c r="Z32" s="35">
        <f>IF(AND(COLUMN()&gt;=11,COLUMN()&lt;=20),(_xlfn.XLOOKUP($A32,'Oferta Producto 3'!$B$10:$B$21,'Oferta Producto 3'!$E$10:$E$21))/SUMIF($A$7:$AC$128,$A32,$AB$6:$AB$127)*Z$5,0)</f>
        <v>0</v>
      </c>
      <c r="AA32" s="35">
        <f ca="1">SUM(C32:Z32)</f>
        <v>0</v>
      </c>
      <c r="AB32" s="28">
        <f t="shared" si="2"/>
        <v>31</v>
      </c>
      <c r="AC32" s="29">
        <f t="shared" ca="1" si="3"/>
        <v>0</v>
      </c>
      <c r="AD32" s="48">
        <f ca="1">'Curvas Prod 3'!AC32/SUMIF('Curvas Prod 3'!A30:AC175,'Curva de la oferta Prod 3'!$A32,'Curvas Prod 3'!AC30:AC175)</f>
        <v>8.4699453551912565E-2</v>
      </c>
      <c r="AE32" s="45"/>
      <c r="AF32" s="49"/>
      <c r="AG32" s="49"/>
      <c r="AH32" s="49"/>
      <c r="AI32" s="49"/>
      <c r="AJ32" s="49"/>
      <c r="AK32" s="49"/>
    </row>
    <row r="33" spans="1:37" ht="15">
      <c r="A33" s="23">
        <f t="shared" si="0"/>
        <v>2028</v>
      </c>
      <c r="B33" s="27">
        <v>46784</v>
      </c>
      <c r="C33" s="35">
        <f>IF(AND(COLUMN()&gt;=11,COLUMN()&lt;=20),(_xlfn.XLOOKUP($A33,'Oferta Producto 3'!$B$10:$B$21,'Oferta Producto 3'!$E$10:$E$21))/SUMIF($A$7:$AC$128,$A33,$AB$6:$AB$127)*C$5,0)</f>
        <v>0</v>
      </c>
      <c r="D33" s="35">
        <f>IF(AND(COLUMN()&gt;=11,COLUMN()&lt;=20),(_xlfn.XLOOKUP($A33,'Oferta Producto 3'!$B$10:$B$21,'Oferta Producto 3'!$E$10:$E$21))/SUMIF($A$7:$AC$128,$A33,$AB$6:$AB$127)*D$5,0)</f>
        <v>0</v>
      </c>
      <c r="E33" s="35">
        <f>IF(AND(COLUMN()&gt;=11,COLUMN()&lt;=20),(_xlfn.XLOOKUP($A33,'Oferta Producto 3'!$B$10:$B$21,'Oferta Producto 3'!$E$10:$E$21))/SUMIF($A$7:$AC$128,$A33,$AB$6:$AB$127)*E$5,0)</f>
        <v>0</v>
      </c>
      <c r="F33" s="35">
        <f>IF(AND(COLUMN()&gt;=11,COLUMN()&lt;=20),(_xlfn.XLOOKUP($A33,'Oferta Producto 3'!$B$10:$B$21,'Oferta Producto 3'!$E$10:$E$21))/SUMIF($A$7:$AC$128,$A33,$AB$6:$AB$127)*F$5,0)</f>
        <v>0</v>
      </c>
      <c r="G33" s="35">
        <f>IF(AND(COLUMN()&gt;=11,COLUMN()&lt;=20),(_xlfn.XLOOKUP($A33,'Oferta Producto 3'!$B$10:$B$21,'Oferta Producto 3'!$E$10:$E$21))/SUMIF($A$7:$AC$128,$A33,$AB$6:$AB$127)*G$5,0)</f>
        <v>0</v>
      </c>
      <c r="H33" s="35">
        <f>IF(AND(COLUMN()&gt;=11,COLUMN()&lt;=20),(_xlfn.XLOOKUP($A33,'Oferta Producto 3'!$B$10:$B$21,'Oferta Producto 3'!$E$10:$E$21))/SUMIF($A$7:$AC$128,$A33,$AB$6:$AB$127)*H$5,0)</f>
        <v>0</v>
      </c>
      <c r="I33" s="35">
        <f>IF(AND(COLUMN()&gt;=11,COLUMN()&lt;=20),(_xlfn.XLOOKUP($A33,'Oferta Producto 3'!$B$10:$B$21,'Oferta Producto 3'!$E$10:$E$21))/SUMIF($A$7:$AC$128,$A33,$AB$6:$AB$127)*I$5,0)</f>
        <v>0</v>
      </c>
      <c r="J33" s="35">
        <f>IF(AND(COLUMN()&gt;=11,COLUMN()&lt;=20),(_xlfn.XLOOKUP($A33,'Oferta Producto 3'!$B$10:$B$21,'Oferta Producto 3'!$E$10:$E$21))/SUMIF($A$7:$AC$128,$A33,$AB$6:$AB$127)*J$5,0)</f>
        <v>0</v>
      </c>
      <c r="K33" s="35">
        <f ca="1">IF(AND(COLUMN()&gt;=11,COLUMN()&lt;=20),(_xlfn.XLOOKUP($A33,'Oferta Producto 3'!$B$10:$B$21,'Oferta Producto 3'!$E$10:$E$21))/SUMIF($A$7:$AC$128,$A33,$AB$6:$AB$127)*K$5,0)</f>
        <v>0</v>
      </c>
      <c r="L33" s="35">
        <f ca="1">IF(AND(COLUMN()&gt;=11,COLUMN()&lt;=20),(_xlfn.XLOOKUP($A33,'Oferta Producto 3'!$B$10:$B$21,'Oferta Producto 3'!$E$10:$E$21))/SUMIF($A$7:$AC$128,$A33,$AB$6:$AB$127)*L$5,0)</f>
        <v>0</v>
      </c>
      <c r="M33" s="35">
        <f ca="1">IF(AND(COLUMN()&gt;=11,COLUMN()&lt;=20),(_xlfn.XLOOKUP($A33,'Oferta Producto 3'!$B$10:$B$21,'Oferta Producto 3'!$E$10:$E$21))/SUMIF($A$7:$AC$128,$A33,$AB$6:$AB$127)*M$5,0)</f>
        <v>0</v>
      </c>
      <c r="N33" s="35">
        <f ca="1">IF(AND(COLUMN()&gt;=11,COLUMN()&lt;=20),(_xlfn.XLOOKUP($A33,'Oferta Producto 3'!$B$10:$B$21,'Oferta Producto 3'!$E$10:$E$21))/SUMIF($A$7:$AC$128,$A33,$AB$6:$AB$127)*N$5,0)</f>
        <v>0</v>
      </c>
      <c r="O33" s="35">
        <f ca="1">IF(AND(COLUMN()&gt;=11,COLUMN()&lt;=20),(_xlfn.XLOOKUP($A33,'Oferta Producto 3'!$B$10:$B$21,'Oferta Producto 3'!$E$10:$E$21))/SUMIF($A$7:$AC$128,$A33,$AB$6:$AB$127)*O$5,0)</f>
        <v>0</v>
      </c>
      <c r="P33" s="35">
        <f ca="1">IF(AND(COLUMN()&gt;=11,COLUMN()&lt;=20),(_xlfn.XLOOKUP($A33,'Oferta Producto 3'!$B$10:$B$21,'Oferta Producto 3'!$E$10:$E$21))/SUMIF($A$7:$AC$128,$A33,$AB$6:$AB$127)*P$5,0)</f>
        <v>0</v>
      </c>
      <c r="Q33" s="35">
        <f ca="1">IF(AND(COLUMN()&gt;=11,COLUMN()&lt;=20),(_xlfn.XLOOKUP($A33,'Oferta Producto 3'!$B$10:$B$21,'Oferta Producto 3'!$E$10:$E$21))/SUMIF($A$7:$AC$128,$A33,$AB$6:$AB$127)*Q$5,0)</f>
        <v>0</v>
      </c>
      <c r="R33" s="35">
        <f ca="1">IF(AND(COLUMN()&gt;=11,COLUMN()&lt;=20),(_xlfn.XLOOKUP($A33,'Oferta Producto 3'!$B$10:$B$21,'Oferta Producto 3'!$E$10:$E$21))/SUMIF($A$7:$AC$128,$A33,$AB$6:$AB$127)*R$5,0)</f>
        <v>0</v>
      </c>
      <c r="S33" s="35">
        <f ca="1">IF(AND(COLUMN()&gt;=11,COLUMN()&lt;=20),(_xlfn.XLOOKUP($A33,'Oferta Producto 3'!$B$10:$B$21,'Oferta Producto 3'!$E$10:$E$21))/SUMIF($A$7:$AC$128,$A33,$AB$6:$AB$127)*S$5,0)</f>
        <v>0</v>
      </c>
      <c r="T33" s="35">
        <f ca="1">IF(AND(COLUMN()&gt;=11,COLUMN()&lt;=20),(_xlfn.XLOOKUP($A33,'Oferta Producto 3'!$B$10:$B$21,'Oferta Producto 3'!$E$10:$E$21))/SUMIF($A$7:$AC$128,$A33,$AB$6:$AB$127)*T$5,0)</f>
        <v>0</v>
      </c>
      <c r="U33" s="35">
        <f>IF(AND(COLUMN()&gt;=11,COLUMN()&lt;=20),(_xlfn.XLOOKUP($A33,'Oferta Producto 3'!$B$10:$B$21,'Oferta Producto 3'!$E$10:$E$21))/SUMIF($A$7:$AC$128,$A33,$AB$6:$AB$127)*U$5,0)</f>
        <v>0</v>
      </c>
      <c r="V33" s="35">
        <f>IF(AND(COLUMN()&gt;=11,COLUMN()&lt;=20),(_xlfn.XLOOKUP($A33,'Oferta Producto 3'!$B$10:$B$21,'Oferta Producto 3'!$E$10:$E$21))/SUMIF($A$7:$AC$128,$A33,$AB$6:$AB$127)*V$5,0)</f>
        <v>0</v>
      </c>
      <c r="W33" s="35">
        <f>IF(AND(COLUMN()&gt;=11,COLUMN()&lt;=20),(_xlfn.XLOOKUP($A33,'Oferta Producto 3'!$B$10:$B$21,'Oferta Producto 3'!$E$10:$E$21))/SUMIF($A$7:$AC$128,$A33,$AB$6:$AB$127)*W$5,0)</f>
        <v>0</v>
      </c>
      <c r="X33" s="35">
        <f>IF(AND(COLUMN()&gt;=11,COLUMN()&lt;=20),(_xlfn.XLOOKUP($A33,'Oferta Producto 3'!$B$10:$B$21,'Oferta Producto 3'!$E$10:$E$21))/SUMIF($A$7:$AC$128,$A33,$AB$6:$AB$127)*X$5,0)</f>
        <v>0</v>
      </c>
      <c r="Y33" s="35">
        <f>IF(AND(COLUMN()&gt;=11,COLUMN()&lt;=20),(_xlfn.XLOOKUP($A33,'Oferta Producto 3'!$B$10:$B$21,'Oferta Producto 3'!$E$10:$E$21))/SUMIF($A$7:$AC$128,$A33,$AB$6:$AB$127)*Y$5,0)</f>
        <v>0</v>
      </c>
      <c r="Z33" s="35">
        <f>IF(AND(COLUMN()&gt;=11,COLUMN()&lt;=20),(_xlfn.XLOOKUP($A33,'Oferta Producto 3'!$B$10:$B$21,'Oferta Producto 3'!$E$10:$E$21))/SUMIF($A$7:$AC$128,$A33,$AB$6:$AB$127)*Z$5,0)</f>
        <v>0</v>
      </c>
      <c r="AA33" s="35">
        <f t="shared" ref="AA33:AA42" ca="1" si="5">SUM(C33:Z33)</f>
        <v>0</v>
      </c>
      <c r="AB33" s="28">
        <f t="shared" si="2"/>
        <v>29</v>
      </c>
      <c r="AC33" s="29">
        <f t="shared" ca="1" si="3"/>
        <v>0</v>
      </c>
      <c r="AD33" s="48">
        <f ca="1">'Curvas Prod 3'!AC33/SUMIF('Curvas Prod 3'!A31:AC176,'Curva de la oferta Prod 3'!$A33,'Curvas Prod 3'!AC31:AC176)</f>
        <v>7.9234972677595633E-2</v>
      </c>
      <c r="AE33" s="45"/>
      <c r="AF33" s="49"/>
      <c r="AG33" s="49"/>
      <c r="AH33" s="49"/>
      <c r="AI33" s="49"/>
      <c r="AJ33" s="49"/>
      <c r="AK33" s="49"/>
    </row>
    <row r="34" spans="1:37" ht="15">
      <c r="A34" s="23">
        <f t="shared" si="0"/>
        <v>2028</v>
      </c>
      <c r="B34" s="27">
        <v>46813</v>
      </c>
      <c r="C34" s="35">
        <f>IF(AND(COLUMN()&gt;=11,COLUMN()&lt;=20),(_xlfn.XLOOKUP($A34,'Oferta Producto 3'!$B$10:$B$21,'Oferta Producto 3'!$E$10:$E$21))/SUMIF($A$7:$AC$128,$A34,$AB$6:$AB$127)*C$5,0)</f>
        <v>0</v>
      </c>
      <c r="D34" s="35">
        <f>IF(AND(COLUMN()&gt;=11,COLUMN()&lt;=20),(_xlfn.XLOOKUP($A34,'Oferta Producto 3'!$B$10:$B$21,'Oferta Producto 3'!$E$10:$E$21))/SUMIF($A$7:$AC$128,$A34,$AB$6:$AB$127)*D$5,0)</f>
        <v>0</v>
      </c>
      <c r="E34" s="35">
        <f>IF(AND(COLUMN()&gt;=11,COLUMN()&lt;=20),(_xlfn.XLOOKUP($A34,'Oferta Producto 3'!$B$10:$B$21,'Oferta Producto 3'!$E$10:$E$21))/SUMIF($A$7:$AC$128,$A34,$AB$6:$AB$127)*E$5,0)</f>
        <v>0</v>
      </c>
      <c r="F34" s="35">
        <f>IF(AND(COLUMN()&gt;=11,COLUMN()&lt;=20),(_xlfn.XLOOKUP($A34,'Oferta Producto 3'!$B$10:$B$21,'Oferta Producto 3'!$E$10:$E$21))/SUMIF($A$7:$AC$128,$A34,$AB$6:$AB$127)*F$5,0)</f>
        <v>0</v>
      </c>
      <c r="G34" s="35">
        <f>IF(AND(COLUMN()&gt;=11,COLUMN()&lt;=20),(_xlfn.XLOOKUP($A34,'Oferta Producto 3'!$B$10:$B$21,'Oferta Producto 3'!$E$10:$E$21))/SUMIF($A$7:$AC$128,$A34,$AB$6:$AB$127)*G$5,0)</f>
        <v>0</v>
      </c>
      <c r="H34" s="35">
        <f>IF(AND(COLUMN()&gt;=11,COLUMN()&lt;=20),(_xlfn.XLOOKUP($A34,'Oferta Producto 3'!$B$10:$B$21,'Oferta Producto 3'!$E$10:$E$21))/SUMIF($A$7:$AC$128,$A34,$AB$6:$AB$127)*H$5,0)</f>
        <v>0</v>
      </c>
      <c r="I34" s="35">
        <f>IF(AND(COLUMN()&gt;=11,COLUMN()&lt;=20),(_xlfn.XLOOKUP($A34,'Oferta Producto 3'!$B$10:$B$21,'Oferta Producto 3'!$E$10:$E$21))/SUMIF($A$7:$AC$128,$A34,$AB$6:$AB$127)*I$5,0)</f>
        <v>0</v>
      </c>
      <c r="J34" s="35">
        <f>IF(AND(COLUMN()&gt;=11,COLUMN()&lt;=20),(_xlfn.XLOOKUP($A34,'Oferta Producto 3'!$B$10:$B$21,'Oferta Producto 3'!$E$10:$E$21))/SUMIF($A$7:$AC$128,$A34,$AB$6:$AB$127)*J$5,0)</f>
        <v>0</v>
      </c>
      <c r="K34" s="35">
        <f ca="1">IF(AND(COLUMN()&gt;=11,COLUMN()&lt;=20),(_xlfn.XLOOKUP($A34,'Oferta Producto 3'!$B$10:$B$21,'Oferta Producto 3'!$E$10:$E$21))/SUMIF($A$7:$AC$128,$A34,$AB$6:$AB$127)*K$5,0)</f>
        <v>0</v>
      </c>
      <c r="L34" s="35">
        <f ca="1">IF(AND(COLUMN()&gt;=11,COLUMN()&lt;=20),(_xlfn.XLOOKUP($A34,'Oferta Producto 3'!$B$10:$B$21,'Oferta Producto 3'!$E$10:$E$21))/SUMIF($A$7:$AC$128,$A34,$AB$6:$AB$127)*L$5,0)</f>
        <v>0</v>
      </c>
      <c r="M34" s="35">
        <f ca="1">IF(AND(COLUMN()&gt;=11,COLUMN()&lt;=20),(_xlfn.XLOOKUP($A34,'Oferta Producto 3'!$B$10:$B$21,'Oferta Producto 3'!$E$10:$E$21))/SUMIF($A$7:$AC$128,$A34,$AB$6:$AB$127)*M$5,0)</f>
        <v>0</v>
      </c>
      <c r="N34" s="35">
        <f ca="1">IF(AND(COLUMN()&gt;=11,COLUMN()&lt;=20),(_xlfn.XLOOKUP($A34,'Oferta Producto 3'!$B$10:$B$21,'Oferta Producto 3'!$E$10:$E$21))/SUMIF($A$7:$AC$128,$A34,$AB$6:$AB$127)*N$5,0)</f>
        <v>0</v>
      </c>
      <c r="O34" s="35">
        <f ca="1">IF(AND(COLUMN()&gt;=11,COLUMN()&lt;=20),(_xlfn.XLOOKUP($A34,'Oferta Producto 3'!$B$10:$B$21,'Oferta Producto 3'!$E$10:$E$21))/SUMIF($A$7:$AC$128,$A34,$AB$6:$AB$127)*O$5,0)</f>
        <v>0</v>
      </c>
      <c r="P34" s="35">
        <f ca="1">IF(AND(COLUMN()&gt;=11,COLUMN()&lt;=20),(_xlfn.XLOOKUP($A34,'Oferta Producto 3'!$B$10:$B$21,'Oferta Producto 3'!$E$10:$E$21))/SUMIF($A$7:$AC$128,$A34,$AB$6:$AB$127)*P$5,0)</f>
        <v>0</v>
      </c>
      <c r="Q34" s="35">
        <f ca="1">IF(AND(COLUMN()&gt;=11,COLUMN()&lt;=20),(_xlfn.XLOOKUP($A34,'Oferta Producto 3'!$B$10:$B$21,'Oferta Producto 3'!$E$10:$E$21))/SUMIF($A$7:$AC$128,$A34,$AB$6:$AB$127)*Q$5,0)</f>
        <v>0</v>
      </c>
      <c r="R34" s="35">
        <f ca="1">IF(AND(COLUMN()&gt;=11,COLUMN()&lt;=20),(_xlfn.XLOOKUP($A34,'Oferta Producto 3'!$B$10:$B$21,'Oferta Producto 3'!$E$10:$E$21))/SUMIF($A$7:$AC$128,$A34,$AB$6:$AB$127)*R$5,0)</f>
        <v>0</v>
      </c>
      <c r="S34" s="35">
        <f ca="1">IF(AND(COLUMN()&gt;=11,COLUMN()&lt;=20),(_xlfn.XLOOKUP($A34,'Oferta Producto 3'!$B$10:$B$21,'Oferta Producto 3'!$E$10:$E$21))/SUMIF($A$7:$AC$128,$A34,$AB$6:$AB$127)*S$5,0)</f>
        <v>0</v>
      </c>
      <c r="T34" s="35">
        <f ca="1">IF(AND(COLUMN()&gt;=11,COLUMN()&lt;=20),(_xlfn.XLOOKUP($A34,'Oferta Producto 3'!$B$10:$B$21,'Oferta Producto 3'!$E$10:$E$21))/SUMIF($A$7:$AC$128,$A34,$AB$6:$AB$127)*T$5,0)</f>
        <v>0</v>
      </c>
      <c r="U34" s="35">
        <f>IF(AND(COLUMN()&gt;=11,COLUMN()&lt;=20),(_xlfn.XLOOKUP($A34,'Oferta Producto 3'!$B$10:$B$21,'Oferta Producto 3'!$E$10:$E$21))/SUMIF($A$7:$AC$128,$A34,$AB$6:$AB$127)*U$5,0)</f>
        <v>0</v>
      </c>
      <c r="V34" s="35">
        <f>IF(AND(COLUMN()&gt;=11,COLUMN()&lt;=20),(_xlfn.XLOOKUP($A34,'Oferta Producto 3'!$B$10:$B$21,'Oferta Producto 3'!$E$10:$E$21))/SUMIF($A$7:$AC$128,$A34,$AB$6:$AB$127)*V$5,0)</f>
        <v>0</v>
      </c>
      <c r="W34" s="35">
        <f>IF(AND(COLUMN()&gt;=11,COLUMN()&lt;=20),(_xlfn.XLOOKUP($A34,'Oferta Producto 3'!$B$10:$B$21,'Oferta Producto 3'!$E$10:$E$21))/SUMIF($A$7:$AC$128,$A34,$AB$6:$AB$127)*W$5,0)</f>
        <v>0</v>
      </c>
      <c r="X34" s="35">
        <f>IF(AND(COLUMN()&gt;=11,COLUMN()&lt;=20),(_xlfn.XLOOKUP($A34,'Oferta Producto 3'!$B$10:$B$21,'Oferta Producto 3'!$E$10:$E$21))/SUMIF($A$7:$AC$128,$A34,$AB$6:$AB$127)*X$5,0)</f>
        <v>0</v>
      </c>
      <c r="Y34" s="35">
        <f>IF(AND(COLUMN()&gt;=11,COLUMN()&lt;=20),(_xlfn.XLOOKUP($A34,'Oferta Producto 3'!$B$10:$B$21,'Oferta Producto 3'!$E$10:$E$21))/SUMIF($A$7:$AC$128,$A34,$AB$6:$AB$127)*Y$5,0)</f>
        <v>0</v>
      </c>
      <c r="Z34" s="35">
        <f>IF(AND(COLUMN()&gt;=11,COLUMN()&lt;=20),(_xlfn.XLOOKUP($A34,'Oferta Producto 3'!$B$10:$B$21,'Oferta Producto 3'!$E$10:$E$21))/SUMIF($A$7:$AC$128,$A34,$AB$6:$AB$127)*Z$5,0)</f>
        <v>0</v>
      </c>
      <c r="AA34" s="35">
        <f t="shared" ca="1" si="5"/>
        <v>0</v>
      </c>
      <c r="AB34" s="28">
        <f t="shared" si="2"/>
        <v>31</v>
      </c>
      <c r="AC34" s="29">
        <f t="shared" ca="1" si="3"/>
        <v>0</v>
      </c>
      <c r="AD34" s="48">
        <f ca="1">'Curvas Prod 3'!AC34/SUMIF('Curvas Prod 3'!A32:AC177,'Curva de la oferta Prod 3'!$A34,'Curvas Prod 3'!AC32:AC177)</f>
        <v>8.4699453551912565E-2</v>
      </c>
      <c r="AE34" s="45"/>
      <c r="AF34" s="49"/>
      <c r="AG34" s="49"/>
      <c r="AH34" s="49"/>
      <c r="AI34" s="49"/>
      <c r="AJ34" s="49"/>
      <c r="AK34" s="49"/>
    </row>
    <row r="35" spans="1:37" ht="15">
      <c r="A35" s="23">
        <f t="shared" si="0"/>
        <v>2028</v>
      </c>
      <c r="B35" s="27">
        <v>46844</v>
      </c>
      <c r="C35" s="35">
        <f>IF(AND(COLUMN()&gt;=11,COLUMN()&lt;=20),(_xlfn.XLOOKUP($A35,'Oferta Producto 3'!$B$10:$B$21,'Oferta Producto 3'!$E$10:$E$21))/SUMIF($A$7:$AC$128,$A35,$AB$6:$AB$127)*C$5,0)</f>
        <v>0</v>
      </c>
      <c r="D35" s="35">
        <f>IF(AND(COLUMN()&gt;=11,COLUMN()&lt;=20),(_xlfn.XLOOKUP($A35,'Oferta Producto 3'!$B$10:$B$21,'Oferta Producto 3'!$E$10:$E$21))/SUMIF($A$7:$AC$128,$A35,$AB$6:$AB$127)*D$5,0)</f>
        <v>0</v>
      </c>
      <c r="E35" s="35">
        <f>IF(AND(COLUMN()&gt;=11,COLUMN()&lt;=20),(_xlfn.XLOOKUP($A35,'Oferta Producto 3'!$B$10:$B$21,'Oferta Producto 3'!$E$10:$E$21))/SUMIF($A$7:$AC$128,$A35,$AB$6:$AB$127)*E$5,0)</f>
        <v>0</v>
      </c>
      <c r="F35" s="35">
        <f>IF(AND(COLUMN()&gt;=11,COLUMN()&lt;=20),(_xlfn.XLOOKUP($A35,'Oferta Producto 3'!$B$10:$B$21,'Oferta Producto 3'!$E$10:$E$21))/SUMIF($A$7:$AC$128,$A35,$AB$6:$AB$127)*F$5,0)</f>
        <v>0</v>
      </c>
      <c r="G35" s="35">
        <f>IF(AND(COLUMN()&gt;=11,COLUMN()&lt;=20),(_xlfn.XLOOKUP($A35,'Oferta Producto 3'!$B$10:$B$21,'Oferta Producto 3'!$E$10:$E$21))/SUMIF($A$7:$AC$128,$A35,$AB$6:$AB$127)*G$5,0)</f>
        <v>0</v>
      </c>
      <c r="H35" s="35">
        <f>IF(AND(COLUMN()&gt;=11,COLUMN()&lt;=20),(_xlfn.XLOOKUP($A35,'Oferta Producto 3'!$B$10:$B$21,'Oferta Producto 3'!$E$10:$E$21))/SUMIF($A$7:$AC$128,$A35,$AB$6:$AB$127)*H$5,0)</f>
        <v>0</v>
      </c>
      <c r="I35" s="35">
        <f>IF(AND(COLUMN()&gt;=11,COLUMN()&lt;=20),(_xlfn.XLOOKUP($A35,'Oferta Producto 3'!$B$10:$B$21,'Oferta Producto 3'!$E$10:$E$21))/SUMIF($A$7:$AC$128,$A35,$AB$6:$AB$127)*I$5,0)</f>
        <v>0</v>
      </c>
      <c r="J35" s="35">
        <f>IF(AND(COLUMN()&gt;=11,COLUMN()&lt;=20),(_xlfn.XLOOKUP($A35,'Oferta Producto 3'!$B$10:$B$21,'Oferta Producto 3'!$E$10:$E$21))/SUMIF($A$7:$AC$128,$A35,$AB$6:$AB$127)*J$5,0)</f>
        <v>0</v>
      </c>
      <c r="K35" s="35">
        <f ca="1">IF(AND(COLUMN()&gt;=11,COLUMN()&lt;=20),(_xlfn.XLOOKUP($A35,'Oferta Producto 3'!$B$10:$B$21,'Oferta Producto 3'!$E$10:$E$21))/SUMIF($A$7:$AC$128,$A35,$AB$6:$AB$127)*K$5,0)</f>
        <v>0</v>
      </c>
      <c r="L35" s="35">
        <f ca="1">IF(AND(COLUMN()&gt;=11,COLUMN()&lt;=20),(_xlfn.XLOOKUP($A35,'Oferta Producto 3'!$B$10:$B$21,'Oferta Producto 3'!$E$10:$E$21))/SUMIF($A$7:$AC$128,$A35,$AB$6:$AB$127)*L$5,0)</f>
        <v>0</v>
      </c>
      <c r="M35" s="35">
        <f ca="1">IF(AND(COLUMN()&gt;=11,COLUMN()&lt;=20),(_xlfn.XLOOKUP($A35,'Oferta Producto 3'!$B$10:$B$21,'Oferta Producto 3'!$E$10:$E$21))/SUMIF($A$7:$AC$128,$A35,$AB$6:$AB$127)*M$5,0)</f>
        <v>0</v>
      </c>
      <c r="N35" s="35">
        <f ca="1">IF(AND(COLUMN()&gt;=11,COLUMN()&lt;=20),(_xlfn.XLOOKUP($A35,'Oferta Producto 3'!$B$10:$B$21,'Oferta Producto 3'!$E$10:$E$21))/SUMIF($A$7:$AC$128,$A35,$AB$6:$AB$127)*N$5,0)</f>
        <v>0</v>
      </c>
      <c r="O35" s="35">
        <f ca="1">IF(AND(COLUMN()&gt;=11,COLUMN()&lt;=20),(_xlfn.XLOOKUP($A35,'Oferta Producto 3'!$B$10:$B$21,'Oferta Producto 3'!$E$10:$E$21))/SUMIF($A$7:$AC$128,$A35,$AB$6:$AB$127)*O$5,0)</f>
        <v>0</v>
      </c>
      <c r="P35" s="35">
        <f ca="1">IF(AND(COLUMN()&gt;=11,COLUMN()&lt;=20),(_xlfn.XLOOKUP($A35,'Oferta Producto 3'!$B$10:$B$21,'Oferta Producto 3'!$E$10:$E$21))/SUMIF($A$7:$AC$128,$A35,$AB$6:$AB$127)*P$5,0)</f>
        <v>0</v>
      </c>
      <c r="Q35" s="35">
        <f ca="1">IF(AND(COLUMN()&gt;=11,COLUMN()&lt;=20),(_xlfn.XLOOKUP($A35,'Oferta Producto 3'!$B$10:$B$21,'Oferta Producto 3'!$E$10:$E$21))/SUMIF($A$7:$AC$128,$A35,$AB$6:$AB$127)*Q$5,0)</f>
        <v>0</v>
      </c>
      <c r="R35" s="35">
        <f ca="1">IF(AND(COLUMN()&gt;=11,COLUMN()&lt;=20),(_xlfn.XLOOKUP($A35,'Oferta Producto 3'!$B$10:$B$21,'Oferta Producto 3'!$E$10:$E$21))/SUMIF($A$7:$AC$128,$A35,$AB$6:$AB$127)*R$5,0)</f>
        <v>0</v>
      </c>
      <c r="S35" s="35">
        <f ca="1">IF(AND(COLUMN()&gt;=11,COLUMN()&lt;=20),(_xlfn.XLOOKUP($A35,'Oferta Producto 3'!$B$10:$B$21,'Oferta Producto 3'!$E$10:$E$21))/SUMIF($A$7:$AC$128,$A35,$AB$6:$AB$127)*S$5,0)</f>
        <v>0</v>
      </c>
      <c r="T35" s="35">
        <f ca="1">IF(AND(COLUMN()&gt;=11,COLUMN()&lt;=20),(_xlfn.XLOOKUP($A35,'Oferta Producto 3'!$B$10:$B$21,'Oferta Producto 3'!$E$10:$E$21))/SUMIF($A$7:$AC$128,$A35,$AB$6:$AB$127)*T$5,0)</f>
        <v>0</v>
      </c>
      <c r="U35" s="35">
        <f>IF(AND(COLUMN()&gt;=11,COLUMN()&lt;=20),(_xlfn.XLOOKUP($A35,'Oferta Producto 3'!$B$10:$B$21,'Oferta Producto 3'!$E$10:$E$21))/SUMIF($A$7:$AC$128,$A35,$AB$6:$AB$127)*U$5,0)</f>
        <v>0</v>
      </c>
      <c r="V35" s="35">
        <f>IF(AND(COLUMN()&gt;=11,COLUMN()&lt;=20),(_xlfn.XLOOKUP($A35,'Oferta Producto 3'!$B$10:$B$21,'Oferta Producto 3'!$E$10:$E$21))/SUMIF($A$7:$AC$128,$A35,$AB$6:$AB$127)*V$5,0)</f>
        <v>0</v>
      </c>
      <c r="W35" s="35">
        <f>IF(AND(COLUMN()&gt;=11,COLUMN()&lt;=20),(_xlfn.XLOOKUP($A35,'Oferta Producto 3'!$B$10:$B$21,'Oferta Producto 3'!$E$10:$E$21))/SUMIF($A$7:$AC$128,$A35,$AB$6:$AB$127)*W$5,0)</f>
        <v>0</v>
      </c>
      <c r="X35" s="35">
        <f>IF(AND(COLUMN()&gt;=11,COLUMN()&lt;=20),(_xlfn.XLOOKUP($A35,'Oferta Producto 3'!$B$10:$B$21,'Oferta Producto 3'!$E$10:$E$21))/SUMIF($A$7:$AC$128,$A35,$AB$6:$AB$127)*X$5,0)</f>
        <v>0</v>
      </c>
      <c r="Y35" s="35">
        <f>IF(AND(COLUMN()&gt;=11,COLUMN()&lt;=20),(_xlfn.XLOOKUP($A35,'Oferta Producto 3'!$B$10:$B$21,'Oferta Producto 3'!$E$10:$E$21))/SUMIF($A$7:$AC$128,$A35,$AB$6:$AB$127)*Y$5,0)</f>
        <v>0</v>
      </c>
      <c r="Z35" s="35">
        <f>IF(AND(COLUMN()&gt;=11,COLUMN()&lt;=20),(_xlfn.XLOOKUP($A35,'Oferta Producto 3'!$B$10:$B$21,'Oferta Producto 3'!$E$10:$E$21))/SUMIF($A$7:$AC$128,$A35,$AB$6:$AB$127)*Z$5,0)</f>
        <v>0</v>
      </c>
      <c r="AA35" s="35">
        <f t="shared" ca="1" si="5"/>
        <v>0</v>
      </c>
      <c r="AB35" s="28">
        <f t="shared" si="2"/>
        <v>30</v>
      </c>
      <c r="AC35" s="29">
        <f t="shared" ca="1" si="3"/>
        <v>0</v>
      </c>
      <c r="AD35" s="48">
        <f ca="1">'Curvas Prod 3'!AC35/SUMIF('Curvas Prod 3'!A33:AC178,'Curva de la oferta Prod 3'!$A35,'Curvas Prod 3'!AC33:AC178)</f>
        <v>8.9552238805970144E-2</v>
      </c>
      <c r="AE35" s="45"/>
      <c r="AF35" s="49"/>
      <c r="AG35" s="49"/>
      <c r="AH35" s="49"/>
      <c r="AI35" s="49"/>
      <c r="AJ35" s="49"/>
      <c r="AK35" s="49"/>
    </row>
    <row r="36" spans="1:37" ht="15">
      <c r="A36" s="23">
        <f t="shared" si="0"/>
        <v>2028</v>
      </c>
      <c r="B36" s="27">
        <v>46874</v>
      </c>
      <c r="C36" s="35">
        <f>IF(AND(COLUMN()&gt;=11,COLUMN()&lt;=20),(_xlfn.XLOOKUP($A36,'Oferta Producto 3'!$B$10:$B$21,'Oferta Producto 3'!$E$10:$E$21))/SUMIF($A$7:$AC$128,$A36,$AB$6:$AB$127)*C$5,0)</f>
        <v>0</v>
      </c>
      <c r="D36" s="35">
        <f>IF(AND(COLUMN()&gt;=11,COLUMN()&lt;=20),(_xlfn.XLOOKUP($A36,'Oferta Producto 3'!$B$10:$B$21,'Oferta Producto 3'!$E$10:$E$21))/SUMIF($A$7:$AC$128,$A36,$AB$6:$AB$127)*D$5,0)</f>
        <v>0</v>
      </c>
      <c r="E36" s="35">
        <f>IF(AND(COLUMN()&gt;=11,COLUMN()&lt;=20),(_xlfn.XLOOKUP($A36,'Oferta Producto 3'!$B$10:$B$21,'Oferta Producto 3'!$E$10:$E$21))/SUMIF($A$7:$AC$128,$A36,$AB$6:$AB$127)*E$5,0)</f>
        <v>0</v>
      </c>
      <c r="F36" s="35">
        <f>IF(AND(COLUMN()&gt;=11,COLUMN()&lt;=20),(_xlfn.XLOOKUP($A36,'Oferta Producto 3'!$B$10:$B$21,'Oferta Producto 3'!$E$10:$E$21))/SUMIF($A$7:$AC$128,$A36,$AB$6:$AB$127)*F$5,0)</f>
        <v>0</v>
      </c>
      <c r="G36" s="35">
        <f>IF(AND(COLUMN()&gt;=11,COLUMN()&lt;=20),(_xlfn.XLOOKUP($A36,'Oferta Producto 3'!$B$10:$B$21,'Oferta Producto 3'!$E$10:$E$21))/SUMIF($A$7:$AC$128,$A36,$AB$6:$AB$127)*G$5,0)</f>
        <v>0</v>
      </c>
      <c r="H36" s="35">
        <f>IF(AND(COLUMN()&gt;=11,COLUMN()&lt;=20),(_xlfn.XLOOKUP($A36,'Oferta Producto 3'!$B$10:$B$21,'Oferta Producto 3'!$E$10:$E$21))/SUMIF($A$7:$AC$128,$A36,$AB$6:$AB$127)*H$5,0)</f>
        <v>0</v>
      </c>
      <c r="I36" s="35">
        <f>IF(AND(COLUMN()&gt;=11,COLUMN()&lt;=20),(_xlfn.XLOOKUP($A36,'Oferta Producto 3'!$B$10:$B$21,'Oferta Producto 3'!$E$10:$E$21))/SUMIF($A$7:$AC$128,$A36,$AB$6:$AB$127)*I$5,0)</f>
        <v>0</v>
      </c>
      <c r="J36" s="35">
        <f>IF(AND(COLUMN()&gt;=11,COLUMN()&lt;=20),(_xlfn.XLOOKUP($A36,'Oferta Producto 3'!$B$10:$B$21,'Oferta Producto 3'!$E$10:$E$21))/SUMIF($A$7:$AC$128,$A36,$AB$6:$AB$127)*J$5,0)</f>
        <v>0</v>
      </c>
      <c r="K36" s="35">
        <f ca="1">IF(AND(COLUMN()&gt;=11,COLUMN()&lt;=20),(_xlfn.XLOOKUP($A36,'Oferta Producto 3'!$B$10:$B$21,'Oferta Producto 3'!$E$10:$E$21))/SUMIF($A$7:$AC$128,$A36,$AB$6:$AB$127)*K$5,0)</f>
        <v>0</v>
      </c>
      <c r="L36" s="35">
        <f ca="1">IF(AND(COLUMN()&gt;=11,COLUMN()&lt;=20),(_xlfn.XLOOKUP($A36,'Oferta Producto 3'!$B$10:$B$21,'Oferta Producto 3'!$E$10:$E$21))/SUMIF($A$7:$AC$128,$A36,$AB$6:$AB$127)*L$5,0)</f>
        <v>0</v>
      </c>
      <c r="M36" s="35">
        <f ca="1">IF(AND(COLUMN()&gt;=11,COLUMN()&lt;=20),(_xlfn.XLOOKUP($A36,'Oferta Producto 3'!$B$10:$B$21,'Oferta Producto 3'!$E$10:$E$21))/SUMIF($A$7:$AC$128,$A36,$AB$6:$AB$127)*M$5,0)</f>
        <v>0</v>
      </c>
      <c r="N36" s="35">
        <f ca="1">IF(AND(COLUMN()&gt;=11,COLUMN()&lt;=20),(_xlfn.XLOOKUP($A36,'Oferta Producto 3'!$B$10:$B$21,'Oferta Producto 3'!$E$10:$E$21))/SUMIF($A$7:$AC$128,$A36,$AB$6:$AB$127)*N$5,0)</f>
        <v>0</v>
      </c>
      <c r="O36" s="35">
        <f ca="1">IF(AND(COLUMN()&gt;=11,COLUMN()&lt;=20),(_xlfn.XLOOKUP($A36,'Oferta Producto 3'!$B$10:$B$21,'Oferta Producto 3'!$E$10:$E$21))/SUMIF($A$7:$AC$128,$A36,$AB$6:$AB$127)*O$5,0)</f>
        <v>0</v>
      </c>
      <c r="P36" s="35">
        <f ca="1">IF(AND(COLUMN()&gt;=11,COLUMN()&lt;=20),(_xlfn.XLOOKUP($A36,'Oferta Producto 3'!$B$10:$B$21,'Oferta Producto 3'!$E$10:$E$21))/SUMIF($A$7:$AC$128,$A36,$AB$6:$AB$127)*P$5,0)</f>
        <v>0</v>
      </c>
      <c r="Q36" s="35">
        <f ca="1">IF(AND(COLUMN()&gt;=11,COLUMN()&lt;=20),(_xlfn.XLOOKUP($A36,'Oferta Producto 3'!$B$10:$B$21,'Oferta Producto 3'!$E$10:$E$21))/SUMIF($A$7:$AC$128,$A36,$AB$6:$AB$127)*Q$5,0)</f>
        <v>0</v>
      </c>
      <c r="R36" s="35">
        <f ca="1">IF(AND(COLUMN()&gt;=11,COLUMN()&lt;=20),(_xlfn.XLOOKUP($A36,'Oferta Producto 3'!$B$10:$B$21,'Oferta Producto 3'!$E$10:$E$21))/SUMIF($A$7:$AC$128,$A36,$AB$6:$AB$127)*R$5,0)</f>
        <v>0</v>
      </c>
      <c r="S36" s="35">
        <f ca="1">IF(AND(COLUMN()&gt;=11,COLUMN()&lt;=20),(_xlfn.XLOOKUP($A36,'Oferta Producto 3'!$B$10:$B$21,'Oferta Producto 3'!$E$10:$E$21))/SUMIF($A$7:$AC$128,$A36,$AB$6:$AB$127)*S$5,0)</f>
        <v>0</v>
      </c>
      <c r="T36" s="35">
        <f ca="1">IF(AND(COLUMN()&gt;=11,COLUMN()&lt;=20),(_xlfn.XLOOKUP($A36,'Oferta Producto 3'!$B$10:$B$21,'Oferta Producto 3'!$E$10:$E$21))/SUMIF($A$7:$AC$128,$A36,$AB$6:$AB$127)*T$5,0)</f>
        <v>0</v>
      </c>
      <c r="U36" s="35">
        <f>IF(AND(COLUMN()&gt;=11,COLUMN()&lt;=20),(_xlfn.XLOOKUP($A36,'Oferta Producto 3'!$B$10:$B$21,'Oferta Producto 3'!$E$10:$E$21))/SUMIF($A$7:$AC$128,$A36,$AB$6:$AB$127)*U$5,0)</f>
        <v>0</v>
      </c>
      <c r="V36" s="35">
        <f>IF(AND(COLUMN()&gt;=11,COLUMN()&lt;=20),(_xlfn.XLOOKUP($A36,'Oferta Producto 3'!$B$10:$B$21,'Oferta Producto 3'!$E$10:$E$21))/SUMIF($A$7:$AC$128,$A36,$AB$6:$AB$127)*V$5,0)</f>
        <v>0</v>
      </c>
      <c r="W36" s="35">
        <f>IF(AND(COLUMN()&gt;=11,COLUMN()&lt;=20),(_xlfn.XLOOKUP($A36,'Oferta Producto 3'!$B$10:$B$21,'Oferta Producto 3'!$E$10:$E$21))/SUMIF($A$7:$AC$128,$A36,$AB$6:$AB$127)*W$5,0)</f>
        <v>0</v>
      </c>
      <c r="X36" s="35">
        <f>IF(AND(COLUMN()&gt;=11,COLUMN()&lt;=20),(_xlfn.XLOOKUP($A36,'Oferta Producto 3'!$B$10:$B$21,'Oferta Producto 3'!$E$10:$E$21))/SUMIF($A$7:$AC$128,$A36,$AB$6:$AB$127)*X$5,0)</f>
        <v>0</v>
      </c>
      <c r="Y36" s="35">
        <f>IF(AND(COLUMN()&gt;=11,COLUMN()&lt;=20),(_xlfn.XLOOKUP($A36,'Oferta Producto 3'!$B$10:$B$21,'Oferta Producto 3'!$E$10:$E$21))/SUMIF($A$7:$AC$128,$A36,$AB$6:$AB$127)*Y$5,0)</f>
        <v>0</v>
      </c>
      <c r="Z36" s="35">
        <f>IF(AND(COLUMN()&gt;=11,COLUMN()&lt;=20),(_xlfn.XLOOKUP($A36,'Oferta Producto 3'!$B$10:$B$21,'Oferta Producto 3'!$E$10:$E$21))/SUMIF($A$7:$AC$128,$A36,$AB$6:$AB$127)*Z$5,0)</f>
        <v>0</v>
      </c>
      <c r="AA36" s="35">
        <f t="shared" ca="1" si="5"/>
        <v>0</v>
      </c>
      <c r="AB36" s="28">
        <f t="shared" si="2"/>
        <v>31</v>
      </c>
      <c r="AC36" s="29">
        <f t="shared" ca="1" si="3"/>
        <v>0</v>
      </c>
      <c r="AD36" s="48">
        <f ca="1">'Curvas Prod 3'!AC36/SUMIF('Curvas Prod 3'!A34:AC179,'Curva de la oferta Prod 3'!$A36,'Curvas Prod 3'!AC34:AC179)</f>
        <v>0.10130718954248366</v>
      </c>
      <c r="AE36" s="45"/>
      <c r="AF36" s="49"/>
      <c r="AG36" s="49"/>
      <c r="AH36" s="49"/>
      <c r="AI36" s="49"/>
      <c r="AJ36" s="49"/>
      <c r="AK36" s="49"/>
    </row>
    <row r="37" spans="1:37" ht="15">
      <c r="A37" s="23">
        <f t="shared" si="0"/>
        <v>2028</v>
      </c>
      <c r="B37" s="27">
        <v>46905</v>
      </c>
      <c r="C37" s="35">
        <f>IF(AND(COLUMN()&gt;=11,COLUMN()&lt;=20),(_xlfn.XLOOKUP($A37,'Oferta Producto 3'!$B$10:$B$21,'Oferta Producto 3'!$E$10:$E$21))/SUMIF($A$7:$AC$128,$A37,$AB$6:$AB$127)*C$5,0)</f>
        <v>0</v>
      </c>
      <c r="D37" s="35">
        <f>IF(AND(COLUMN()&gt;=11,COLUMN()&lt;=20),(_xlfn.XLOOKUP($A37,'Oferta Producto 3'!$B$10:$B$21,'Oferta Producto 3'!$E$10:$E$21))/SUMIF($A$7:$AC$128,$A37,$AB$6:$AB$127)*D$5,0)</f>
        <v>0</v>
      </c>
      <c r="E37" s="35">
        <f>IF(AND(COLUMN()&gt;=11,COLUMN()&lt;=20),(_xlfn.XLOOKUP($A37,'Oferta Producto 3'!$B$10:$B$21,'Oferta Producto 3'!$E$10:$E$21))/SUMIF($A$7:$AC$128,$A37,$AB$6:$AB$127)*E$5,0)</f>
        <v>0</v>
      </c>
      <c r="F37" s="35">
        <f>IF(AND(COLUMN()&gt;=11,COLUMN()&lt;=20),(_xlfn.XLOOKUP($A37,'Oferta Producto 3'!$B$10:$B$21,'Oferta Producto 3'!$E$10:$E$21))/SUMIF($A$7:$AC$128,$A37,$AB$6:$AB$127)*F$5,0)</f>
        <v>0</v>
      </c>
      <c r="G37" s="35">
        <f>IF(AND(COLUMN()&gt;=11,COLUMN()&lt;=20),(_xlfn.XLOOKUP($A37,'Oferta Producto 3'!$B$10:$B$21,'Oferta Producto 3'!$E$10:$E$21))/SUMIF($A$7:$AC$128,$A37,$AB$6:$AB$127)*G$5,0)</f>
        <v>0</v>
      </c>
      <c r="H37" s="35">
        <f>IF(AND(COLUMN()&gt;=11,COLUMN()&lt;=20),(_xlfn.XLOOKUP($A37,'Oferta Producto 3'!$B$10:$B$21,'Oferta Producto 3'!$E$10:$E$21))/SUMIF($A$7:$AC$128,$A37,$AB$6:$AB$127)*H$5,0)</f>
        <v>0</v>
      </c>
      <c r="I37" s="35">
        <f>IF(AND(COLUMN()&gt;=11,COLUMN()&lt;=20),(_xlfn.XLOOKUP($A37,'Oferta Producto 3'!$B$10:$B$21,'Oferta Producto 3'!$E$10:$E$21))/SUMIF($A$7:$AC$128,$A37,$AB$6:$AB$127)*I$5,0)</f>
        <v>0</v>
      </c>
      <c r="J37" s="35">
        <f>IF(AND(COLUMN()&gt;=11,COLUMN()&lt;=20),(_xlfn.XLOOKUP($A37,'Oferta Producto 3'!$B$10:$B$21,'Oferta Producto 3'!$E$10:$E$21))/SUMIF($A$7:$AC$128,$A37,$AB$6:$AB$127)*J$5,0)</f>
        <v>0</v>
      </c>
      <c r="K37" s="35">
        <f ca="1">IF(AND(COLUMN()&gt;=11,COLUMN()&lt;=20),(_xlfn.XLOOKUP($A37,'Oferta Producto 3'!$B$10:$B$21,'Oferta Producto 3'!$E$10:$E$21))/SUMIF($A$7:$AC$128,$A37,$AB$6:$AB$127)*K$5,0)</f>
        <v>0</v>
      </c>
      <c r="L37" s="35">
        <f ca="1">IF(AND(COLUMN()&gt;=11,COLUMN()&lt;=20),(_xlfn.XLOOKUP($A37,'Oferta Producto 3'!$B$10:$B$21,'Oferta Producto 3'!$E$10:$E$21))/SUMIF($A$7:$AC$128,$A37,$AB$6:$AB$127)*L$5,0)</f>
        <v>0</v>
      </c>
      <c r="M37" s="35">
        <f ca="1">IF(AND(COLUMN()&gt;=11,COLUMN()&lt;=20),(_xlfn.XLOOKUP($A37,'Oferta Producto 3'!$B$10:$B$21,'Oferta Producto 3'!$E$10:$E$21))/SUMIF($A$7:$AC$128,$A37,$AB$6:$AB$127)*M$5,0)</f>
        <v>0</v>
      </c>
      <c r="N37" s="35">
        <f ca="1">IF(AND(COLUMN()&gt;=11,COLUMN()&lt;=20),(_xlfn.XLOOKUP($A37,'Oferta Producto 3'!$B$10:$B$21,'Oferta Producto 3'!$E$10:$E$21))/SUMIF($A$7:$AC$128,$A37,$AB$6:$AB$127)*N$5,0)</f>
        <v>0</v>
      </c>
      <c r="O37" s="35">
        <f ca="1">IF(AND(COLUMN()&gt;=11,COLUMN()&lt;=20),(_xlfn.XLOOKUP($A37,'Oferta Producto 3'!$B$10:$B$21,'Oferta Producto 3'!$E$10:$E$21))/SUMIF($A$7:$AC$128,$A37,$AB$6:$AB$127)*O$5,0)</f>
        <v>0</v>
      </c>
      <c r="P37" s="35">
        <f ca="1">IF(AND(COLUMN()&gt;=11,COLUMN()&lt;=20),(_xlfn.XLOOKUP($A37,'Oferta Producto 3'!$B$10:$B$21,'Oferta Producto 3'!$E$10:$E$21))/SUMIF($A$7:$AC$128,$A37,$AB$6:$AB$127)*P$5,0)</f>
        <v>0</v>
      </c>
      <c r="Q37" s="35">
        <f ca="1">IF(AND(COLUMN()&gt;=11,COLUMN()&lt;=20),(_xlfn.XLOOKUP($A37,'Oferta Producto 3'!$B$10:$B$21,'Oferta Producto 3'!$E$10:$E$21))/SUMIF($A$7:$AC$128,$A37,$AB$6:$AB$127)*Q$5,0)</f>
        <v>0</v>
      </c>
      <c r="R37" s="35">
        <f ca="1">IF(AND(COLUMN()&gt;=11,COLUMN()&lt;=20),(_xlfn.XLOOKUP($A37,'Oferta Producto 3'!$B$10:$B$21,'Oferta Producto 3'!$E$10:$E$21))/SUMIF($A$7:$AC$128,$A37,$AB$6:$AB$127)*R$5,0)</f>
        <v>0</v>
      </c>
      <c r="S37" s="35">
        <f ca="1">IF(AND(COLUMN()&gt;=11,COLUMN()&lt;=20),(_xlfn.XLOOKUP($A37,'Oferta Producto 3'!$B$10:$B$21,'Oferta Producto 3'!$E$10:$E$21))/SUMIF($A$7:$AC$128,$A37,$AB$6:$AB$127)*S$5,0)</f>
        <v>0</v>
      </c>
      <c r="T37" s="35">
        <f ca="1">IF(AND(COLUMN()&gt;=11,COLUMN()&lt;=20),(_xlfn.XLOOKUP($A37,'Oferta Producto 3'!$B$10:$B$21,'Oferta Producto 3'!$E$10:$E$21))/SUMIF($A$7:$AC$128,$A37,$AB$6:$AB$127)*T$5,0)</f>
        <v>0</v>
      </c>
      <c r="U37" s="35">
        <f>IF(AND(COLUMN()&gt;=11,COLUMN()&lt;=20),(_xlfn.XLOOKUP($A37,'Oferta Producto 3'!$B$10:$B$21,'Oferta Producto 3'!$E$10:$E$21))/SUMIF($A$7:$AC$128,$A37,$AB$6:$AB$127)*U$5,0)</f>
        <v>0</v>
      </c>
      <c r="V37" s="35">
        <f>IF(AND(COLUMN()&gt;=11,COLUMN()&lt;=20),(_xlfn.XLOOKUP($A37,'Oferta Producto 3'!$B$10:$B$21,'Oferta Producto 3'!$E$10:$E$21))/SUMIF($A$7:$AC$128,$A37,$AB$6:$AB$127)*V$5,0)</f>
        <v>0</v>
      </c>
      <c r="W37" s="35">
        <f>IF(AND(COLUMN()&gt;=11,COLUMN()&lt;=20),(_xlfn.XLOOKUP($A37,'Oferta Producto 3'!$B$10:$B$21,'Oferta Producto 3'!$E$10:$E$21))/SUMIF($A$7:$AC$128,$A37,$AB$6:$AB$127)*W$5,0)</f>
        <v>0</v>
      </c>
      <c r="X37" s="35">
        <f>IF(AND(COLUMN()&gt;=11,COLUMN()&lt;=20),(_xlfn.XLOOKUP($A37,'Oferta Producto 3'!$B$10:$B$21,'Oferta Producto 3'!$E$10:$E$21))/SUMIF($A$7:$AC$128,$A37,$AB$6:$AB$127)*X$5,0)</f>
        <v>0</v>
      </c>
      <c r="Y37" s="35">
        <f>IF(AND(COLUMN()&gt;=11,COLUMN()&lt;=20),(_xlfn.XLOOKUP($A37,'Oferta Producto 3'!$B$10:$B$21,'Oferta Producto 3'!$E$10:$E$21))/SUMIF($A$7:$AC$128,$A37,$AB$6:$AB$127)*Y$5,0)</f>
        <v>0</v>
      </c>
      <c r="Z37" s="35">
        <f>IF(AND(COLUMN()&gt;=11,COLUMN()&lt;=20),(_xlfn.XLOOKUP($A37,'Oferta Producto 3'!$B$10:$B$21,'Oferta Producto 3'!$E$10:$E$21))/SUMIF($A$7:$AC$128,$A37,$AB$6:$AB$127)*Z$5,0)</f>
        <v>0</v>
      </c>
      <c r="AA37" s="35">
        <f t="shared" ca="1" si="5"/>
        <v>0</v>
      </c>
      <c r="AB37" s="28">
        <f t="shared" si="2"/>
        <v>30</v>
      </c>
      <c r="AC37" s="29">
        <f t="shared" ca="1" si="3"/>
        <v>0</v>
      </c>
      <c r="AD37" s="48">
        <f ca="1">'Curvas Prod 3'!AC37/SUMIF('Curvas Prod 3'!A35:AC180,'Curva de la oferta Prod 3'!$A37,'Curvas Prod 3'!AC35:AC180)</f>
        <v>0.10909090909090909</v>
      </c>
      <c r="AE37" s="45"/>
      <c r="AF37" s="49"/>
      <c r="AG37" s="49"/>
      <c r="AH37" s="49"/>
      <c r="AI37" s="49"/>
      <c r="AJ37" s="49"/>
      <c r="AK37" s="49"/>
    </row>
    <row r="38" spans="1:37" ht="15">
      <c r="A38" s="23">
        <f t="shared" si="0"/>
        <v>2028</v>
      </c>
      <c r="B38" s="27">
        <v>46935</v>
      </c>
      <c r="C38" s="35">
        <f>IF(AND(COLUMN()&gt;=11,COLUMN()&lt;=20),(_xlfn.XLOOKUP($A38,'Oferta Producto 3'!$B$10:$B$21,'Oferta Producto 3'!$E$10:$E$21))/SUMIF($A$7:$AC$128,$A38,$AB$6:$AB$127)*C$5,0)</f>
        <v>0</v>
      </c>
      <c r="D38" s="35">
        <f>IF(AND(COLUMN()&gt;=11,COLUMN()&lt;=20),(_xlfn.XLOOKUP($A38,'Oferta Producto 3'!$B$10:$B$21,'Oferta Producto 3'!$E$10:$E$21))/SUMIF($A$7:$AC$128,$A38,$AB$6:$AB$127)*D$5,0)</f>
        <v>0</v>
      </c>
      <c r="E38" s="35">
        <f>IF(AND(COLUMN()&gt;=11,COLUMN()&lt;=20),(_xlfn.XLOOKUP($A38,'Oferta Producto 3'!$B$10:$B$21,'Oferta Producto 3'!$E$10:$E$21))/SUMIF($A$7:$AC$128,$A38,$AB$6:$AB$127)*E$5,0)</f>
        <v>0</v>
      </c>
      <c r="F38" s="35">
        <f>IF(AND(COLUMN()&gt;=11,COLUMN()&lt;=20),(_xlfn.XLOOKUP($A38,'Oferta Producto 3'!$B$10:$B$21,'Oferta Producto 3'!$E$10:$E$21))/SUMIF($A$7:$AC$128,$A38,$AB$6:$AB$127)*F$5,0)</f>
        <v>0</v>
      </c>
      <c r="G38" s="35">
        <f>IF(AND(COLUMN()&gt;=11,COLUMN()&lt;=20),(_xlfn.XLOOKUP($A38,'Oferta Producto 3'!$B$10:$B$21,'Oferta Producto 3'!$E$10:$E$21))/SUMIF($A$7:$AC$128,$A38,$AB$6:$AB$127)*G$5,0)</f>
        <v>0</v>
      </c>
      <c r="H38" s="35">
        <f>IF(AND(COLUMN()&gt;=11,COLUMN()&lt;=20),(_xlfn.XLOOKUP($A38,'Oferta Producto 3'!$B$10:$B$21,'Oferta Producto 3'!$E$10:$E$21))/SUMIF($A$7:$AC$128,$A38,$AB$6:$AB$127)*H$5,0)</f>
        <v>0</v>
      </c>
      <c r="I38" s="35">
        <f>IF(AND(COLUMN()&gt;=11,COLUMN()&lt;=20),(_xlfn.XLOOKUP($A38,'Oferta Producto 3'!$B$10:$B$21,'Oferta Producto 3'!$E$10:$E$21))/SUMIF($A$7:$AC$128,$A38,$AB$6:$AB$127)*I$5,0)</f>
        <v>0</v>
      </c>
      <c r="J38" s="35">
        <f>IF(AND(COLUMN()&gt;=11,COLUMN()&lt;=20),(_xlfn.XLOOKUP($A38,'Oferta Producto 3'!$B$10:$B$21,'Oferta Producto 3'!$E$10:$E$21))/SUMIF($A$7:$AC$128,$A38,$AB$6:$AB$127)*J$5,0)</f>
        <v>0</v>
      </c>
      <c r="K38" s="35">
        <f ca="1">IF(AND(COLUMN()&gt;=11,COLUMN()&lt;=20),(_xlfn.XLOOKUP($A38,'Oferta Producto 3'!$B$10:$B$21,'Oferta Producto 3'!$E$10:$E$21))/SUMIF($A$7:$AC$128,$A38,$AB$6:$AB$127)*K$5,0)</f>
        <v>0</v>
      </c>
      <c r="L38" s="35">
        <f ca="1">IF(AND(COLUMN()&gt;=11,COLUMN()&lt;=20),(_xlfn.XLOOKUP($A38,'Oferta Producto 3'!$B$10:$B$21,'Oferta Producto 3'!$E$10:$E$21))/SUMIF($A$7:$AC$128,$A38,$AB$6:$AB$127)*L$5,0)</f>
        <v>0</v>
      </c>
      <c r="M38" s="35">
        <f ca="1">IF(AND(COLUMN()&gt;=11,COLUMN()&lt;=20),(_xlfn.XLOOKUP($A38,'Oferta Producto 3'!$B$10:$B$21,'Oferta Producto 3'!$E$10:$E$21))/SUMIF($A$7:$AC$128,$A38,$AB$6:$AB$127)*M$5,0)</f>
        <v>0</v>
      </c>
      <c r="N38" s="35">
        <f ca="1">IF(AND(COLUMN()&gt;=11,COLUMN()&lt;=20),(_xlfn.XLOOKUP($A38,'Oferta Producto 3'!$B$10:$B$21,'Oferta Producto 3'!$E$10:$E$21))/SUMIF($A$7:$AC$128,$A38,$AB$6:$AB$127)*N$5,0)</f>
        <v>0</v>
      </c>
      <c r="O38" s="35">
        <f ca="1">IF(AND(COLUMN()&gt;=11,COLUMN()&lt;=20),(_xlfn.XLOOKUP($A38,'Oferta Producto 3'!$B$10:$B$21,'Oferta Producto 3'!$E$10:$E$21))/SUMIF($A$7:$AC$128,$A38,$AB$6:$AB$127)*O$5,0)</f>
        <v>0</v>
      </c>
      <c r="P38" s="35">
        <f ca="1">IF(AND(COLUMN()&gt;=11,COLUMN()&lt;=20),(_xlfn.XLOOKUP($A38,'Oferta Producto 3'!$B$10:$B$21,'Oferta Producto 3'!$E$10:$E$21))/SUMIF($A$7:$AC$128,$A38,$AB$6:$AB$127)*P$5,0)</f>
        <v>0</v>
      </c>
      <c r="Q38" s="35">
        <f ca="1">IF(AND(COLUMN()&gt;=11,COLUMN()&lt;=20),(_xlfn.XLOOKUP($A38,'Oferta Producto 3'!$B$10:$B$21,'Oferta Producto 3'!$E$10:$E$21))/SUMIF($A$7:$AC$128,$A38,$AB$6:$AB$127)*Q$5,0)</f>
        <v>0</v>
      </c>
      <c r="R38" s="35">
        <f ca="1">IF(AND(COLUMN()&gt;=11,COLUMN()&lt;=20),(_xlfn.XLOOKUP($A38,'Oferta Producto 3'!$B$10:$B$21,'Oferta Producto 3'!$E$10:$E$21))/SUMIF($A$7:$AC$128,$A38,$AB$6:$AB$127)*R$5,0)</f>
        <v>0</v>
      </c>
      <c r="S38" s="35">
        <f ca="1">IF(AND(COLUMN()&gt;=11,COLUMN()&lt;=20),(_xlfn.XLOOKUP($A38,'Oferta Producto 3'!$B$10:$B$21,'Oferta Producto 3'!$E$10:$E$21))/SUMIF($A$7:$AC$128,$A38,$AB$6:$AB$127)*S$5,0)</f>
        <v>0</v>
      </c>
      <c r="T38" s="35">
        <f ca="1">IF(AND(COLUMN()&gt;=11,COLUMN()&lt;=20),(_xlfn.XLOOKUP($A38,'Oferta Producto 3'!$B$10:$B$21,'Oferta Producto 3'!$E$10:$E$21))/SUMIF($A$7:$AC$128,$A38,$AB$6:$AB$127)*T$5,0)</f>
        <v>0</v>
      </c>
      <c r="U38" s="35">
        <f>IF(AND(COLUMN()&gt;=11,COLUMN()&lt;=20),(_xlfn.XLOOKUP($A38,'Oferta Producto 3'!$B$10:$B$21,'Oferta Producto 3'!$E$10:$E$21))/SUMIF($A$7:$AC$128,$A38,$AB$6:$AB$127)*U$5,0)</f>
        <v>0</v>
      </c>
      <c r="V38" s="35">
        <f>IF(AND(COLUMN()&gt;=11,COLUMN()&lt;=20),(_xlfn.XLOOKUP($A38,'Oferta Producto 3'!$B$10:$B$21,'Oferta Producto 3'!$E$10:$E$21))/SUMIF($A$7:$AC$128,$A38,$AB$6:$AB$127)*V$5,0)</f>
        <v>0</v>
      </c>
      <c r="W38" s="35">
        <f>IF(AND(COLUMN()&gt;=11,COLUMN()&lt;=20),(_xlfn.XLOOKUP($A38,'Oferta Producto 3'!$B$10:$B$21,'Oferta Producto 3'!$E$10:$E$21))/SUMIF($A$7:$AC$128,$A38,$AB$6:$AB$127)*W$5,0)</f>
        <v>0</v>
      </c>
      <c r="X38" s="35">
        <f>IF(AND(COLUMN()&gt;=11,COLUMN()&lt;=20),(_xlfn.XLOOKUP($A38,'Oferta Producto 3'!$B$10:$B$21,'Oferta Producto 3'!$E$10:$E$21))/SUMIF($A$7:$AC$128,$A38,$AB$6:$AB$127)*X$5,0)</f>
        <v>0</v>
      </c>
      <c r="Y38" s="35">
        <f>IF(AND(COLUMN()&gt;=11,COLUMN()&lt;=20),(_xlfn.XLOOKUP($A38,'Oferta Producto 3'!$B$10:$B$21,'Oferta Producto 3'!$E$10:$E$21))/SUMIF($A$7:$AC$128,$A38,$AB$6:$AB$127)*Y$5,0)</f>
        <v>0</v>
      </c>
      <c r="Z38" s="35">
        <f>IF(AND(COLUMN()&gt;=11,COLUMN()&lt;=20),(_xlfn.XLOOKUP($A38,'Oferta Producto 3'!$B$10:$B$21,'Oferta Producto 3'!$E$10:$E$21))/SUMIF($A$7:$AC$128,$A38,$AB$6:$AB$127)*Z$5,0)</f>
        <v>0</v>
      </c>
      <c r="AA38" s="35">
        <f t="shared" ca="1" si="5"/>
        <v>0</v>
      </c>
      <c r="AB38" s="28">
        <f t="shared" si="2"/>
        <v>31</v>
      </c>
      <c r="AC38" s="29">
        <f t="shared" ca="1" si="3"/>
        <v>0</v>
      </c>
      <c r="AD38" s="48">
        <f ca="1">'Curvas Prod 3'!AC38/SUMIF('Curvas Prod 3'!A36:AC181,'Curva de la oferta Prod 3'!$A38,'Curvas Prod 3'!AC36:AC181)</f>
        <v>0.12653061224489795</v>
      </c>
      <c r="AE38" s="45"/>
      <c r="AF38" s="49"/>
      <c r="AG38" s="49"/>
      <c r="AH38" s="49"/>
      <c r="AI38" s="49"/>
      <c r="AJ38" s="49"/>
      <c r="AK38" s="49"/>
    </row>
    <row r="39" spans="1:37" ht="15">
      <c r="A39" s="23">
        <f t="shared" si="0"/>
        <v>2028</v>
      </c>
      <c r="B39" s="27">
        <v>46966</v>
      </c>
      <c r="C39" s="35">
        <f>IF(AND(COLUMN()&gt;=11,COLUMN()&lt;=20),(_xlfn.XLOOKUP($A39,'Oferta Producto 3'!$B$10:$B$21,'Oferta Producto 3'!$E$10:$E$21))/SUMIF($A$7:$AC$128,$A39,$AB$6:$AB$127)*C$5,0)</f>
        <v>0</v>
      </c>
      <c r="D39" s="35">
        <f>IF(AND(COLUMN()&gt;=11,COLUMN()&lt;=20),(_xlfn.XLOOKUP($A39,'Oferta Producto 3'!$B$10:$B$21,'Oferta Producto 3'!$E$10:$E$21))/SUMIF($A$7:$AC$128,$A39,$AB$6:$AB$127)*D$5,0)</f>
        <v>0</v>
      </c>
      <c r="E39" s="35">
        <f>IF(AND(COLUMN()&gt;=11,COLUMN()&lt;=20),(_xlfn.XLOOKUP($A39,'Oferta Producto 3'!$B$10:$B$21,'Oferta Producto 3'!$E$10:$E$21))/SUMIF($A$7:$AC$128,$A39,$AB$6:$AB$127)*E$5,0)</f>
        <v>0</v>
      </c>
      <c r="F39" s="35">
        <f>IF(AND(COLUMN()&gt;=11,COLUMN()&lt;=20),(_xlfn.XLOOKUP($A39,'Oferta Producto 3'!$B$10:$B$21,'Oferta Producto 3'!$E$10:$E$21))/SUMIF($A$7:$AC$128,$A39,$AB$6:$AB$127)*F$5,0)</f>
        <v>0</v>
      </c>
      <c r="G39" s="35">
        <f>IF(AND(COLUMN()&gt;=11,COLUMN()&lt;=20),(_xlfn.XLOOKUP($A39,'Oferta Producto 3'!$B$10:$B$21,'Oferta Producto 3'!$E$10:$E$21))/SUMIF($A$7:$AC$128,$A39,$AB$6:$AB$127)*G$5,0)</f>
        <v>0</v>
      </c>
      <c r="H39" s="35">
        <f>IF(AND(COLUMN()&gt;=11,COLUMN()&lt;=20),(_xlfn.XLOOKUP($A39,'Oferta Producto 3'!$B$10:$B$21,'Oferta Producto 3'!$E$10:$E$21))/SUMIF($A$7:$AC$128,$A39,$AB$6:$AB$127)*H$5,0)</f>
        <v>0</v>
      </c>
      <c r="I39" s="35">
        <f>IF(AND(COLUMN()&gt;=11,COLUMN()&lt;=20),(_xlfn.XLOOKUP($A39,'Oferta Producto 3'!$B$10:$B$21,'Oferta Producto 3'!$E$10:$E$21))/SUMIF($A$7:$AC$128,$A39,$AB$6:$AB$127)*I$5,0)</f>
        <v>0</v>
      </c>
      <c r="J39" s="35">
        <f>IF(AND(COLUMN()&gt;=11,COLUMN()&lt;=20),(_xlfn.XLOOKUP($A39,'Oferta Producto 3'!$B$10:$B$21,'Oferta Producto 3'!$E$10:$E$21))/SUMIF($A$7:$AC$128,$A39,$AB$6:$AB$127)*J$5,0)</f>
        <v>0</v>
      </c>
      <c r="K39" s="35">
        <f ca="1">IF(AND(COLUMN()&gt;=11,COLUMN()&lt;=20),(_xlfn.XLOOKUP($A39,'Oferta Producto 3'!$B$10:$B$21,'Oferta Producto 3'!$E$10:$E$21))/SUMIF($A$7:$AC$128,$A39,$AB$6:$AB$127)*K$5,0)</f>
        <v>0</v>
      </c>
      <c r="L39" s="35">
        <f ca="1">IF(AND(COLUMN()&gt;=11,COLUMN()&lt;=20),(_xlfn.XLOOKUP($A39,'Oferta Producto 3'!$B$10:$B$21,'Oferta Producto 3'!$E$10:$E$21))/SUMIF($A$7:$AC$128,$A39,$AB$6:$AB$127)*L$5,0)</f>
        <v>0</v>
      </c>
      <c r="M39" s="35">
        <f ca="1">IF(AND(COLUMN()&gt;=11,COLUMN()&lt;=20),(_xlfn.XLOOKUP($A39,'Oferta Producto 3'!$B$10:$B$21,'Oferta Producto 3'!$E$10:$E$21))/SUMIF($A$7:$AC$128,$A39,$AB$6:$AB$127)*M$5,0)</f>
        <v>0</v>
      </c>
      <c r="N39" s="35">
        <f ca="1">IF(AND(COLUMN()&gt;=11,COLUMN()&lt;=20),(_xlfn.XLOOKUP($A39,'Oferta Producto 3'!$B$10:$B$21,'Oferta Producto 3'!$E$10:$E$21))/SUMIF($A$7:$AC$128,$A39,$AB$6:$AB$127)*N$5,0)</f>
        <v>0</v>
      </c>
      <c r="O39" s="35">
        <f ca="1">IF(AND(COLUMN()&gt;=11,COLUMN()&lt;=20),(_xlfn.XLOOKUP($A39,'Oferta Producto 3'!$B$10:$B$21,'Oferta Producto 3'!$E$10:$E$21))/SUMIF($A$7:$AC$128,$A39,$AB$6:$AB$127)*O$5,0)</f>
        <v>0</v>
      </c>
      <c r="P39" s="35">
        <f ca="1">IF(AND(COLUMN()&gt;=11,COLUMN()&lt;=20),(_xlfn.XLOOKUP($A39,'Oferta Producto 3'!$B$10:$B$21,'Oferta Producto 3'!$E$10:$E$21))/SUMIF($A$7:$AC$128,$A39,$AB$6:$AB$127)*P$5,0)</f>
        <v>0</v>
      </c>
      <c r="Q39" s="35">
        <f ca="1">IF(AND(COLUMN()&gt;=11,COLUMN()&lt;=20),(_xlfn.XLOOKUP($A39,'Oferta Producto 3'!$B$10:$B$21,'Oferta Producto 3'!$E$10:$E$21))/SUMIF($A$7:$AC$128,$A39,$AB$6:$AB$127)*Q$5,0)</f>
        <v>0</v>
      </c>
      <c r="R39" s="35">
        <f ca="1">IF(AND(COLUMN()&gt;=11,COLUMN()&lt;=20),(_xlfn.XLOOKUP($A39,'Oferta Producto 3'!$B$10:$B$21,'Oferta Producto 3'!$E$10:$E$21))/SUMIF($A$7:$AC$128,$A39,$AB$6:$AB$127)*R$5,0)</f>
        <v>0</v>
      </c>
      <c r="S39" s="35">
        <f ca="1">IF(AND(COLUMN()&gt;=11,COLUMN()&lt;=20),(_xlfn.XLOOKUP($A39,'Oferta Producto 3'!$B$10:$B$21,'Oferta Producto 3'!$E$10:$E$21))/SUMIF($A$7:$AC$128,$A39,$AB$6:$AB$127)*S$5,0)</f>
        <v>0</v>
      </c>
      <c r="T39" s="35">
        <f ca="1">IF(AND(COLUMN()&gt;=11,COLUMN()&lt;=20),(_xlfn.XLOOKUP($A39,'Oferta Producto 3'!$B$10:$B$21,'Oferta Producto 3'!$E$10:$E$21))/SUMIF($A$7:$AC$128,$A39,$AB$6:$AB$127)*T$5,0)</f>
        <v>0</v>
      </c>
      <c r="U39" s="35">
        <f>IF(AND(COLUMN()&gt;=11,COLUMN()&lt;=20),(_xlfn.XLOOKUP($A39,'Oferta Producto 3'!$B$10:$B$21,'Oferta Producto 3'!$E$10:$E$21))/SUMIF($A$7:$AC$128,$A39,$AB$6:$AB$127)*U$5,0)</f>
        <v>0</v>
      </c>
      <c r="V39" s="35">
        <f>IF(AND(COLUMN()&gt;=11,COLUMN()&lt;=20),(_xlfn.XLOOKUP($A39,'Oferta Producto 3'!$B$10:$B$21,'Oferta Producto 3'!$E$10:$E$21))/SUMIF($A$7:$AC$128,$A39,$AB$6:$AB$127)*V$5,0)</f>
        <v>0</v>
      </c>
      <c r="W39" s="35">
        <f>IF(AND(COLUMN()&gt;=11,COLUMN()&lt;=20),(_xlfn.XLOOKUP($A39,'Oferta Producto 3'!$B$10:$B$21,'Oferta Producto 3'!$E$10:$E$21))/SUMIF($A$7:$AC$128,$A39,$AB$6:$AB$127)*W$5,0)</f>
        <v>0</v>
      </c>
      <c r="X39" s="35">
        <f>IF(AND(COLUMN()&gt;=11,COLUMN()&lt;=20),(_xlfn.XLOOKUP($A39,'Oferta Producto 3'!$B$10:$B$21,'Oferta Producto 3'!$E$10:$E$21))/SUMIF($A$7:$AC$128,$A39,$AB$6:$AB$127)*X$5,0)</f>
        <v>0</v>
      </c>
      <c r="Y39" s="35">
        <f>IF(AND(COLUMN()&gt;=11,COLUMN()&lt;=20),(_xlfn.XLOOKUP($A39,'Oferta Producto 3'!$B$10:$B$21,'Oferta Producto 3'!$E$10:$E$21))/SUMIF($A$7:$AC$128,$A39,$AB$6:$AB$127)*Y$5,0)</f>
        <v>0</v>
      </c>
      <c r="Z39" s="35">
        <f>IF(AND(COLUMN()&gt;=11,COLUMN()&lt;=20),(_xlfn.XLOOKUP($A39,'Oferta Producto 3'!$B$10:$B$21,'Oferta Producto 3'!$E$10:$E$21))/SUMIF($A$7:$AC$128,$A39,$AB$6:$AB$127)*Z$5,0)</f>
        <v>0</v>
      </c>
      <c r="AA39" s="35">
        <f t="shared" ca="1" si="5"/>
        <v>0</v>
      </c>
      <c r="AB39" s="28">
        <f t="shared" si="2"/>
        <v>31</v>
      </c>
      <c r="AC39" s="29">
        <f t="shared" ca="1" si="3"/>
        <v>0</v>
      </c>
      <c r="AD39" s="48">
        <f ca="1">'Curvas Prod 3'!AC39/SUMIF('Curvas Prod 3'!A37:AC182,'Curva de la oferta Prod 3'!$A39,'Curvas Prod 3'!AC37:AC182)</f>
        <v>0.14485981308411214</v>
      </c>
      <c r="AE39" s="45"/>
      <c r="AF39" s="49"/>
      <c r="AG39" s="49"/>
      <c r="AH39" s="49"/>
      <c r="AI39" s="49"/>
      <c r="AJ39" s="49"/>
      <c r="AK39" s="49"/>
    </row>
    <row r="40" spans="1:37" ht="15">
      <c r="A40" s="23">
        <f t="shared" si="0"/>
        <v>2028</v>
      </c>
      <c r="B40" s="27">
        <v>46997</v>
      </c>
      <c r="C40" s="35">
        <f>IF(AND(COLUMN()&gt;=11,COLUMN()&lt;=20),(_xlfn.XLOOKUP($A40,'Oferta Producto 3'!$B$10:$B$21,'Oferta Producto 3'!$E$10:$E$21))/SUMIF($A$7:$AC$128,$A40,$AB$6:$AB$127)*C$5,0)</f>
        <v>0</v>
      </c>
      <c r="D40" s="35">
        <f>IF(AND(COLUMN()&gt;=11,COLUMN()&lt;=20),(_xlfn.XLOOKUP($A40,'Oferta Producto 3'!$B$10:$B$21,'Oferta Producto 3'!$E$10:$E$21))/SUMIF($A$7:$AC$128,$A40,$AB$6:$AB$127)*D$5,0)</f>
        <v>0</v>
      </c>
      <c r="E40" s="35">
        <f>IF(AND(COLUMN()&gt;=11,COLUMN()&lt;=20),(_xlfn.XLOOKUP($A40,'Oferta Producto 3'!$B$10:$B$21,'Oferta Producto 3'!$E$10:$E$21))/SUMIF($A$7:$AC$128,$A40,$AB$6:$AB$127)*E$5,0)</f>
        <v>0</v>
      </c>
      <c r="F40" s="35">
        <f>IF(AND(COLUMN()&gt;=11,COLUMN()&lt;=20),(_xlfn.XLOOKUP($A40,'Oferta Producto 3'!$B$10:$B$21,'Oferta Producto 3'!$E$10:$E$21))/SUMIF($A$7:$AC$128,$A40,$AB$6:$AB$127)*F$5,0)</f>
        <v>0</v>
      </c>
      <c r="G40" s="35">
        <f>IF(AND(COLUMN()&gt;=11,COLUMN()&lt;=20),(_xlfn.XLOOKUP($A40,'Oferta Producto 3'!$B$10:$B$21,'Oferta Producto 3'!$E$10:$E$21))/SUMIF($A$7:$AC$128,$A40,$AB$6:$AB$127)*G$5,0)</f>
        <v>0</v>
      </c>
      <c r="H40" s="35">
        <f>IF(AND(COLUMN()&gt;=11,COLUMN()&lt;=20),(_xlfn.XLOOKUP($A40,'Oferta Producto 3'!$B$10:$B$21,'Oferta Producto 3'!$E$10:$E$21))/SUMIF($A$7:$AC$128,$A40,$AB$6:$AB$127)*H$5,0)</f>
        <v>0</v>
      </c>
      <c r="I40" s="35">
        <f>IF(AND(COLUMN()&gt;=11,COLUMN()&lt;=20),(_xlfn.XLOOKUP($A40,'Oferta Producto 3'!$B$10:$B$21,'Oferta Producto 3'!$E$10:$E$21))/SUMIF($A$7:$AC$128,$A40,$AB$6:$AB$127)*I$5,0)</f>
        <v>0</v>
      </c>
      <c r="J40" s="35">
        <f>IF(AND(COLUMN()&gt;=11,COLUMN()&lt;=20),(_xlfn.XLOOKUP($A40,'Oferta Producto 3'!$B$10:$B$21,'Oferta Producto 3'!$E$10:$E$21))/SUMIF($A$7:$AC$128,$A40,$AB$6:$AB$127)*J$5,0)</f>
        <v>0</v>
      </c>
      <c r="K40" s="35">
        <f ca="1">IF(AND(COLUMN()&gt;=11,COLUMN()&lt;=20),(_xlfn.XLOOKUP($A40,'Oferta Producto 3'!$B$10:$B$21,'Oferta Producto 3'!$E$10:$E$21))/SUMIF($A$7:$AC$128,$A40,$AB$6:$AB$127)*K$5,0)</f>
        <v>0</v>
      </c>
      <c r="L40" s="35">
        <f ca="1">IF(AND(COLUMN()&gt;=11,COLUMN()&lt;=20),(_xlfn.XLOOKUP($A40,'Oferta Producto 3'!$B$10:$B$21,'Oferta Producto 3'!$E$10:$E$21))/SUMIF($A$7:$AC$128,$A40,$AB$6:$AB$127)*L$5,0)</f>
        <v>0</v>
      </c>
      <c r="M40" s="35">
        <f ca="1">IF(AND(COLUMN()&gt;=11,COLUMN()&lt;=20),(_xlfn.XLOOKUP($A40,'Oferta Producto 3'!$B$10:$B$21,'Oferta Producto 3'!$E$10:$E$21))/SUMIF($A$7:$AC$128,$A40,$AB$6:$AB$127)*M$5,0)</f>
        <v>0</v>
      </c>
      <c r="N40" s="35">
        <f ca="1">IF(AND(COLUMN()&gt;=11,COLUMN()&lt;=20),(_xlfn.XLOOKUP($A40,'Oferta Producto 3'!$B$10:$B$21,'Oferta Producto 3'!$E$10:$E$21))/SUMIF($A$7:$AC$128,$A40,$AB$6:$AB$127)*N$5,0)</f>
        <v>0</v>
      </c>
      <c r="O40" s="35">
        <f ca="1">IF(AND(COLUMN()&gt;=11,COLUMN()&lt;=20),(_xlfn.XLOOKUP($A40,'Oferta Producto 3'!$B$10:$B$21,'Oferta Producto 3'!$E$10:$E$21))/SUMIF($A$7:$AC$128,$A40,$AB$6:$AB$127)*O$5,0)</f>
        <v>0</v>
      </c>
      <c r="P40" s="35">
        <f ca="1">IF(AND(COLUMN()&gt;=11,COLUMN()&lt;=20),(_xlfn.XLOOKUP($A40,'Oferta Producto 3'!$B$10:$B$21,'Oferta Producto 3'!$E$10:$E$21))/SUMIF($A$7:$AC$128,$A40,$AB$6:$AB$127)*P$5,0)</f>
        <v>0</v>
      </c>
      <c r="Q40" s="35">
        <f ca="1">IF(AND(COLUMN()&gt;=11,COLUMN()&lt;=20),(_xlfn.XLOOKUP($A40,'Oferta Producto 3'!$B$10:$B$21,'Oferta Producto 3'!$E$10:$E$21))/SUMIF($A$7:$AC$128,$A40,$AB$6:$AB$127)*Q$5,0)</f>
        <v>0</v>
      </c>
      <c r="R40" s="35">
        <f ca="1">IF(AND(COLUMN()&gt;=11,COLUMN()&lt;=20),(_xlfn.XLOOKUP($A40,'Oferta Producto 3'!$B$10:$B$21,'Oferta Producto 3'!$E$10:$E$21))/SUMIF($A$7:$AC$128,$A40,$AB$6:$AB$127)*R$5,0)</f>
        <v>0</v>
      </c>
      <c r="S40" s="35">
        <f ca="1">IF(AND(COLUMN()&gt;=11,COLUMN()&lt;=20),(_xlfn.XLOOKUP($A40,'Oferta Producto 3'!$B$10:$B$21,'Oferta Producto 3'!$E$10:$E$21))/SUMIF($A$7:$AC$128,$A40,$AB$6:$AB$127)*S$5,0)</f>
        <v>0</v>
      </c>
      <c r="T40" s="35">
        <f ca="1">IF(AND(COLUMN()&gt;=11,COLUMN()&lt;=20),(_xlfn.XLOOKUP($A40,'Oferta Producto 3'!$B$10:$B$21,'Oferta Producto 3'!$E$10:$E$21))/SUMIF($A$7:$AC$128,$A40,$AB$6:$AB$127)*T$5,0)</f>
        <v>0</v>
      </c>
      <c r="U40" s="35">
        <f>IF(AND(COLUMN()&gt;=11,COLUMN()&lt;=20),(_xlfn.XLOOKUP($A40,'Oferta Producto 3'!$B$10:$B$21,'Oferta Producto 3'!$E$10:$E$21))/SUMIF($A$7:$AC$128,$A40,$AB$6:$AB$127)*U$5,0)</f>
        <v>0</v>
      </c>
      <c r="V40" s="35">
        <f>IF(AND(COLUMN()&gt;=11,COLUMN()&lt;=20),(_xlfn.XLOOKUP($A40,'Oferta Producto 3'!$B$10:$B$21,'Oferta Producto 3'!$E$10:$E$21))/SUMIF($A$7:$AC$128,$A40,$AB$6:$AB$127)*V$5,0)</f>
        <v>0</v>
      </c>
      <c r="W40" s="35">
        <f>IF(AND(COLUMN()&gt;=11,COLUMN()&lt;=20),(_xlfn.XLOOKUP($A40,'Oferta Producto 3'!$B$10:$B$21,'Oferta Producto 3'!$E$10:$E$21))/SUMIF($A$7:$AC$128,$A40,$AB$6:$AB$127)*W$5,0)</f>
        <v>0</v>
      </c>
      <c r="X40" s="35">
        <f>IF(AND(COLUMN()&gt;=11,COLUMN()&lt;=20),(_xlfn.XLOOKUP($A40,'Oferta Producto 3'!$B$10:$B$21,'Oferta Producto 3'!$E$10:$E$21))/SUMIF($A$7:$AC$128,$A40,$AB$6:$AB$127)*X$5,0)</f>
        <v>0</v>
      </c>
      <c r="Y40" s="35">
        <f>IF(AND(COLUMN()&gt;=11,COLUMN()&lt;=20),(_xlfn.XLOOKUP($A40,'Oferta Producto 3'!$B$10:$B$21,'Oferta Producto 3'!$E$10:$E$21))/SUMIF($A$7:$AC$128,$A40,$AB$6:$AB$127)*Y$5,0)</f>
        <v>0</v>
      </c>
      <c r="Z40" s="35">
        <f>IF(AND(COLUMN()&gt;=11,COLUMN()&lt;=20),(_xlfn.XLOOKUP($A40,'Oferta Producto 3'!$B$10:$B$21,'Oferta Producto 3'!$E$10:$E$21))/SUMIF($A$7:$AC$128,$A40,$AB$6:$AB$127)*Z$5,0)</f>
        <v>0</v>
      </c>
      <c r="AA40" s="35">
        <f t="shared" ca="1" si="5"/>
        <v>0</v>
      </c>
      <c r="AB40" s="28">
        <f t="shared" si="2"/>
        <v>30</v>
      </c>
      <c r="AC40" s="29">
        <f t="shared" ca="1" si="3"/>
        <v>0</v>
      </c>
      <c r="AD40" s="48">
        <f ca="1">'Curvas Prod 3'!AC40/SUMIF('Curvas Prod 3'!A38:AC183,'Curva de la oferta Prod 3'!$A40,'Curvas Prod 3'!AC38:AC183)</f>
        <v>0.16304347826086957</v>
      </c>
      <c r="AE40" s="45"/>
      <c r="AF40" s="49"/>
      <c r="AG40" s="49"/>
      <c r="AH40" s="49"/>
      <c r="AI40" s="49"/>
      <c r="AJ40" s="49"/>
      <c r="AK40" s="49"/>
    </row>
    <row r="41" spans="1:37" ht="15">
      <c r="A41" s="23">
        <f t="shared" si="0"/>
        <v>2028</v>
      </c>
      <c r="B41" s="27">
        <v>47027</v>
      </c>
      <c r="C41" s="35">
        <f>IF(AND(COLUMN()&gt;=11,COLUMN()&lt;=20),(_xlfn.XLOOKUP($A41,'Oferta Producto 3'!$B$10:$B$21,'Oferta Producto 3'!$E$10:$E$21))/SUMIF($A$7:$AC$128,$A41,$AB$6:$AB$127)*C$5,0)</f>
        <v>0</v>
      </c>
      <c r="D41" s="35">
        <f>IF(AND(COLUMN()&gt;=11,COLUMN()&lt;=20),(_xlfn.XLOOKUP($A41,'Oferta Producto 3'!$B$10:$B$21,'Oferta Producto 3'!$E$10:$E$21))/SUMIF($A$7:$AC$128,$A41,$AB$6:$AB$127)*D$5,0)</f>
        <v>0</v>
      </c>
      <c r="E41" s="35">
        <f>IF(AND(COLUMN()&gt;=11,COLUMN()&lt;=20),(_xlfn.XLOOKUP($A41,'Oferta Producto 3'!$B$10:$B$21,'Oferta Producto 3'!$E$10:$E$21))/SUMIF($A$7:$AC$128,$A41,$AB$6:$AB$127)*E$5,0)</f>
        <v>0</v>
      </c>
      <c r="F41" s="35">
        <f>IF(AND(COLUMN()&gt;=11,COLUMN()&lt;=20),(_xlfn.XLOOKUP($A41,'Oferta Producto 3'!$B$10:$B$21,'Oferta Producto 3'!$E$10:$E$21))/SUMIF($A$7:$AC$128,$A41,$AB$6:$AB$127)*F$5,0)</f>
        <v>0</v>
      </c>
      <c r="G41" s="35">
        <f>IF(AND(COLUMN()&gt;=11,COLUMN()&lt;=20),(_xlfn.XLOOKUP($A41,'Oferta Producto 3'!$B$10:$B$21,'Oferta Producto 3'!$E$10:$E$21))/SUMIF($A$7:$AC$128,$A41,$AB$6:$AB$127)*G$5,0)</f>
        <v>0</v>
      </c>
      <c r="H41" s="35">
        <f>IF(AND(COLUMN()&gt;=11,COLUMN()&lt;=20),(_xlfn.XLOOKUP($A41,'Oferta Producto 3'!$B$10:$B$21,'Oferta Producto 3'!$E$10:$E$21))/SUMIF($A$7:$AC$128,$A41,$AB$6:$AB$127)*H$5,0)</f>
        <v>0</v>
      </c>
      <c r="I41" s="35">
        <f>IF(AND(COLUMN()&gt;=11,COLUMN()&lt;=20),(_xlfn.XLOOKUP($A41,'Oferta Producto 3'!$B$10:$B$21,'Oferta Producto 3'!$E$10:$E$21))/SUMIF($A$7:$AC$128,$A41,$AB$6:$AB$127)*I$5,0)</f>
        <v>0</v>
      </c>
      <c r="J41" s="35">
        <f>IF(AND(COLUMN()&gt;=11,COLUMN()&lt;=20),(_xlfn.XLOOKUP($A41,'Oferta Producto 3'!$B$10:$B$21,'Oferta Producto 3'!$E$10:$E$21))/SUMIF($A$7:$AC$128,$A41,$AB$6:$AB$127)*J$5,0)</f>
        <v>0</v>
      </c>
      <c r="K41" s="35">
        <f ca="1">IF(AND(COLUMN()&gt;=11,COLUMN()&lt;=20),(_xlfn.XLOOKUP($A41,'Oferta Producto 3'!$B$10:$B$21,'Oferta Producto 3'!$E$10:$E$21))/SUMIF($A$7:$AC$128,$A41,$AB$6:$AB$127)*K$5,0)</f>
        <v>0</v>
      </c>
      <c r="L41" s="35">
        <f ca="1">IF(AND(COLUMN()&gt;=11,COLUMN()&lt;=20),(_xlfn.XLOOKUP($A41,'Oferta Producto 3'!$B$10:$B$21,'Oferta Producto 3'!$E$10:$E$21))/SUMIF($A$7:$AC$128,$A41,$AB$6:$AB$127)*L$5,0)</f>
        <v>0</v>
      </c>
      <c r="M41" s="35">
        <f ca="1">IF(AND(COLUMN()&gt;=11,COLUMN()&lt;=20),(_xlfn.XLOOKUP($A41,'Oferta Producto 3'!$B$10:$B$21,'Oferta Producto 3'!$E$10:$E$21))/SUMIF($A$7:$AC$128,$A41,$AB$6:$AB$127)*M$5,0)</f>
        <v>0</v>
      </c>
      <c r="N41" s="35">
        <f ca="1">IF(AND(COLUMN()&gt;=11,COLUMN()&lt;=20),(_xlfn.XLOOKUP($A41,'Oferta Producto 3'!$B$10:$B$21,'Oferta Producto 3'!$E$10:$E$21))/SUMIF($A$7:$AC$128,$A41,$AB$6:$AB$127)*N$5,0)</f>
        <v>0</v>
      </c>
      <c r="O41" s="35">
        <f ca="1">IF(AND(COLUMN()&gt;=11,COLUMN()&lt;=20),(_xlfn.XLOOKUP($A41,'Oferta Producto 3'!$B$10:$B$21,'Oferta Producto 3'!$E$10:$E$21))/SUMIF($A$7:$AC$128,$A41,$AB$6:$AB$127)*O$5,0)</f>
        <v>0</v>
      </c>
      <c r="P41" s="35">
        <f ca="1">IF(AND(COLUMN()&gt;=11,COLUMN()&lt;=20),(_xlfn.XLOOKUP($A41,'Oferta Producto 3'!$B$10:$B$21,'Oferta Producto 3'!$E$10:$E$21))/SUMIF($A$7:$AC$128,$A41,$AB$6:$AB$127)*P$5,0)</f>
        <v>0</v>
      </c>
      <c r="Q41" s="35">
        <f ca="1">IF(AND(COLUMN()&gt;=11,COLUMN()&lt;=20),(_xlfn.XLOOKUP($A41,'Oferta Producto 3'!$B$10:$B$21,'Oferta Producto 3'!$E$10:$E$21))/SUMIF($A$7:$AC$128,$A41,$AB$6:$AB$127)*Q$5,0)</f>
        <v>0</v>
      </c>
      <c r="R41" s="35">
        <f ca="1">IF(AND(COLUMN()&gt;=11,COLUMN()&lt;=20),(_xlfn.XLOOKUP($A41,'Oferta Producto 3'!$B$10:$B$21,'Oferta Producto 3'!$E$10:$E$21))/SUMIF($A$7:$AC$128,$A41,$AB$6:$AB$127)*R$5,0)</f>
        <v>0</v>
      </c>
      <c r="S41" s="35">
        <f ca="1">IF(AND(COLUMN()&gt;=11,COLUMN()&lt;=20),(_xlfn.XLOOKUP($A41,'Oferta Producto 3'!$B$10:$B$21,'Oferta Producto 3'!$E$10:$E$21))/SUMIF($A$7:$AC$128,$A41,$AB$6:$AB$127)*S$5,0)</f>
        <v>0</v>
      </c>
      <c r="T41" s="35">
        <f ca="1">IF(AND(COLUMN()&gt;=11,COLUMN()&lt;=20),(_xlfn.XLOOKUP($A41,'Oferta Producto 3'!$B$10:$B$21,'Oferta Producto 3'!$E$10:$E$21))/SUMIF($A$7:$AC$128,$A41,$AB$6:$AB$127)*T$5,0)</f>
        <v>0</v>
      </c>
      <c r="U41" s="35">
        <f>IF(AND(COLUMN()&gt;=11,COLUMN()&lt;=20),(_xlfn.XLOOKUP($A41,'Oferta Producto 3'!$B$10:$B$21,'Oferta Producto 3'!$E$10:$E$21))/SUMIF($A$7:$AC$128,$A41,$AB$6:$AB$127)*U$5,0)</f>
        <v>0</v>
      </c>
      <c r="V41" s="35">
        <f>IF(AND(COLUMN()&gt;=11,COLUMN()&lt;=20),(_xlfn.XLOOKUP($A41,'Oferta Producto 3'!$B$10:$B$21,'Oferta Producto 3'!$E$10:$E$21))/SUMIF($A$7:$AC$128,$A41,$AB$6:$AB$127)*V$5,0)</f>
        <v>0</v>
      </c>
      <c r="W41" s="35">
        <f>IF(AND(COLUMN()&gt;=11,COLUMN()&lt;=20),(_xlfn.XLOOKUP($A41,'Oferta Producto 3'!$B$10:$B$21,'Oferta Producto 3'!$E$10:$E$21))/SUMIF($A$7:$AC$128,$A41,$AB$6:$AB$127)*W$5,0)</f>
        <v>0</v>
      </c>
      <c r="X41" s="35">
        <f>IF(AND(COLUMN()&gt;=11,COLUMN()&lt;=20),(_xlfn.XLOOKUP($A41,'Oferta Producto 3'!$B$10:$B$21,'Oferta Producto 3'!$E$10:$E$21))/SUMIF($A$7:$AC$128,$A41,$AB$6:$AB$127)*X$5,0)</f>
        <v>0</v>
      </c>
      <c r="Y41" s="35">
        <f>IF(AND(COLUMN()&gt;=11,COLUMN()&lt;=20),(_xlfn.XLOOKUP($A41,'Oferta Producto 3'!$B$10:$B$21,'Oferta Producto 3'!$E$10:$E$21))/SUMIF($A$7:$AC$128,$A41,$AB$6:$AB$127)*Y$5,0)</f>
        <v>0</v>
      </c>
      <c r="Z41" s="35">
        <f>IF(AND(COLUMN()&gt;=11,COLUMN()&lt;=20),(_xlfn.XLOOKUP($A41,'Oferta Producto 3'!$B$10:$B$21,'Oferta Producto 3'!$E$10:$E$21))/SUMIF($A$7:$AC$128,$A41,$AB$6:$AB$127)*Z$5,0)</f>
        <v>0</v>
      </c>
      <c r="AA41" s="35">
        <f t="shared" ca="1" si="5"/>
        <v>0</v>
      </c>
      <c r="AB41" s="28">
        <f t="shared" si="2"/>
        <v>31</v>
      </c>
      <c r="AC41" s="29">
        <f t="shared" ca="1" si="3"/>
        <v>0</v>
      </c>
      <c r="AD41" s="48">
        <f ca="1">'Curvas Prod 3'!AC41/SUMIF('Curvas Prod 3'!A39:AC184,'Curva de la oferta Prod 3'!$A41,'Curvas Prod 3'!AC39:AC184)</f>
        <v>0.20261437908496732</v>
      </c>
      <c r="AE41" s="45"/>
      <c r="AF41" s="49"/>
      <c r="AG41" s="49"/>
      <c r="AH41" s="49"/>
      <c r="AI41" s="49"/>
      <c r="AJ41" s="49"/>
      <c r="AK41" s="49"/>
    </row>
    <row r="42" spans="1:37" ht="15">
      <c r="A42" s="23">
        <f t="shared" si="0"/>
        <v>2028</v>
      </c>
      <c r="B42" s="27">
        <v>47058</v>
      </c>
      <c r="C42" s="35">
        <f>IF(AND(COLUMN()&gt;=11,COLUMN()&lt;=20),(_xlfn.XLOOKUP($A42,'Oferta Producto 3'!$B$10:$B$21,'Oferta Producto 3'!$E$10:$E$21))/SUMIF($A$7:$AC$128,$A42,$AB$6:$AB$127)*C$5,0)</f>
        <v>0</v>
      </c>
      <c r="D42" s="35">
        <f>IF(AND(COLUMN()&gt;=11,COLUMN()&lt;=20),(_xlfn.XLOOKUP($A42,'Oferta Producto 3'!$B$10:$B$21,'Oferta Producto 3'!$E$10:$E$21))/SUMIF($A$7:$AC$128,$A42,$AB$6:$AB$127)*D$5,0)</f>
        <v>0</v>
      </c>
      <c r="E42" s="35">
        <f>IF(AND(COLUMN()&gt;=11,COLUMN()&lt;=20),(_xlfn.XLOOKUP($A42,'Oferta Producto 3'!$B$10:$B$21,'Oferta Producto 3'!$E$10:$E$21))/SUMIF($A$7:$AC$128,$A42,$AB$6:$AB$127)*E$5,0)</f>
        <v>0</v>
      </c>
      <c r="F42" s="35">
        <f>IF(AND(COLUMN()&gt;=11,COLUMN()&lt;=20),(_xlfn.XLOOKUP($A42,'Oferta Producto 3'!$B$10:$B$21,'Oferta Producto 3'!$E$10:$E$21))/SUMIF($A$7:$AC$128,$A42,$AB$6:$AB$127)*F$5,0)</f>
        <v>0</v>
      </c>
      <c r="G42" s="35">
        <f>IF(AND(COLUMN()&gt;=11,COLUMN()&lt;=20),(_xlfn.XLOOKUP($A42,'Oferta Producto 3'!$B$10:$B$21,'Oferta Producto 3'!$E$10:$E$21))/SUMIF($A$7:$AC$128,$A42,$AB$6:$AB$127)*G$5,0)</f>
        <v>0</v>
      </c>
      <c r="H42" s="35">
        <f>IF(AND(COLUMN()&gt;=11,COLUMN()&lt;=20),(_xlfn.XLOOKUP($A42,'Oferta Producto 3'!$B$10:$B$21,'Oferta Producto 3'!$E$10:$E$21))/SUMIF($A$7:$AC$128,$A42,$AB$6:$AB$127)*H$5,0)</f>
        <v>0</v>
      </c>
      <c r="I42" s="35">
        <f>IF(AND(COLUMN()&gt;=11,COLUMN()&lt;=20),(_xlfn.XLOOKUP($A42,'Oferta Producto 3'!$B$10:$B$21,'Oferta Producto 3'!$E$10:$E$21))/SUMIF($A$7:$AC$128,$A42,$AB$6:$AB$127)*I$5,0)</f>
        <v>0</v>
      </c>
      <c r="J42" s="35">
        <f>IF(AND(COLUMN()&gt;=11,COLUMN()&lt;=20),(_xlfn.XLOOKUP($A42,'Oferta Producto 3'!$B$10:$B$21,'Oferta Producto 3'!$E$10:$E$21))/SUMIF($A$7:$AC$128,$A42,$AB$6:$AB$127)*J$5,0)</f>
        <v>0</v>
      </c>
      <c r="K42" s="35">
        <f ca="1">IF(AND(COLUMN()&gt;=11,COLUMN()&lt;=20),(_xlfn.XLOOKUP($A42,'Oferta Producto 3'!$B$10:$B$21,'Oferta Producto 3'!$E$10:$E$21))/SUMIF($A$7:$AC$128,$A42,$AB$6:$AB$127)*K$5,0)</f>
        <v>0</v>
      </c>
      <c r="L42" s="35">
        <f ca="1">IF(AND(COLUMN()&gt;=11,COLUMN()&lt;=20),(_xlfn.XLOOKUP($A42,'Oferta Producto 3'!$B$10:$B$21,'Oferta Producto 3'!$E$10:$E$21))/SUMIF($A$7:$AC$128,$A42,$AB$6:$AB$127)*L$5,0)</f>
        <v>0</v>
      </c>
      <c r="M42" s="35">
        <f ca="1">IF(AND(COLUMN()&gt;=11,COLUMN()&lt;=20),(_xlfn.XLOOKUP($A42,'Oferta Producto 3'!$B$10:$B$21,'Oferta Producto 3'!$E$10:$E$21))/SUMIF($A$7:$AC$128,$A42,$AB$6:$AB$127)*M$5,0)</f>
        <v>0</v>
      </c>
      <c r="N42" s="35">
        <f ca="1">IF(AND(COLUMN()&gt;=11,COLUMN()&lt;=20),(_xlfn.XLOOKUP($A42,'Oferta Producto 3'!$B$10:$B$21,'Oferta Producto 3'!$E$10:$E$21))/SUMIF($A$7:$AC$128,$A42,$AB$6:$AB$127)*N$5,0)</f>
        <v>0</v>
      </c>
      <c r="O42" s="35">
        <f ca="1">IF(AND(COLUMN()&gt;=11,COLUMN()&lt;=20),(_xlfn.XLOOKUP($A42,'Oferta Producto 3'!$B$10:$B$21,'Oferta Producto 3'!$E$10:$E$21))/SUMIF($A$7:$AC$128,$A42,$AB$6:$AB$127)*O$5,0)</f>
        <v>0</v>
      </c>
      <c r="P42" s="35">
        <f ca="1">IF(AND(COLUMN()&gt;=11,COLUMN()&lt;=20),(_xlfn.XLOOKUP($A42,'Oferta Producto 3'!$B$10:$B$21,'Oferta Producto 3'!$E$10:$E$21))/SUMIF($A$7:$AC$128,$A42,$AB$6:$AB$127)*P$5,0)</f>
        <v>0</v>
      </c>
      <c r="Q42" s="35">
        <f ca="1">IF(AND(COLUMN()&gt;=11,COLUMN()&lt;=20),(_xlfn.XLOOKUP($A42,'Oferta Producto 3'!$B$10:$B$21,'Oferta Producto 3'!$E$10:$E$21))/SUMIF($A$7:$AC$128,$A42,$AB$6:$AB$127)*Q$5,0)</f>
        <v>0</v>
      </c>
      <c r="R42" s="35">
        <f ca="1">IF(AND(COLUMN()&gt;=11,COLUMN()&lt;=20),(_xlfn.XLOOKUP($A42,'Oferta Producto 3'!$B$10:$B$21,'Oferta Producto 3'!$E$10:$E$21))/SUMIF($A$7:$AC$128,$A42,$AB$6:$AB$127)*R$5,0)</f>
        <v>0</v>
      </c>
      <c r="S42" s="35">
        <f ca="1">IF(AND(COLUMN()&gt;=11,COLUMN()&lt;=20),(_xlfn.XLOOKUP($A42,'Oferta Producto 3'!$B$10:$B$21,'Oferta Producto 3'!$E$10:$E$21))/SUMIF($A$7:$AC$128,$A42,$AB$6:$AB$127)*S$5,0)</f>
        <v>0</v>
      </c>
      <c r="T42" s="35">
        <f ca="1">IF(AND(COLUMN()&gt;=11,COLUMN()&lt;=20),(_xlfn.XLOOKUP($A42,'Oferta Producto 3'!$B$10:$B$21,'Oferta Producto 3'!$E$10:$E$21))/SUMIF($A$7:$AC$128,$A42,$AB$6:$AB$127)*T$5,0)</f>
        <v>0</v>
      </c>
      <c r="U42" s="35">
        <f>IF(AND(COLUMN()&gt;=11,COLUMN()&lt;=20),(_xlfn.XLOOKUP($A42,'Oferta Producto 3'!$B$10:$B$21,'Oferta Producto 3'!$E$10:$E$21))/SUMIF($A$7:$AC$128,$A42,$AB$6:$AB$127)*U$5,0)</f>
        <v>0</v>
      </c>
      <c r="V42" s="35">
        <f>IF(AND(COLUMN()&gt;=11,COLUMN()&lt;=20),(_xlfn.XLOOKUP($A42,'Oferta Producto 3'!$B$10:$B$21,'Oferta Producto 3'!$E$10:$E$21))/SUMIF($A$7:$AC$128,$A42,$AB$6:$AB$127)*V$5,0)</f>
        <v>0</v>
      </c>
      <c r="W42" s="35">
        <f>IF(AND(COLUMN()&gt;=11,COLUMN()&lt;=20),(_xlfn.XLOOKUP($A42,'Oferta Producto 3'!$B$10:$B$21,'Oferta Producto 3'!$E$10:$E$21))/SUMIF($A$7:$AC$128,$A42,$AB$6:$AB$127)*W$5,0)</f>
        <v>0</v>
      </c>
      <c r="X42" s="35">
        <f>IF(AND(COLUMN()&gt;=11,COLUMN()&lt;=20),(_xlfn.XLOOKUP($A42,'Oferta Producto 3'!$B$10:$B$21,'Oferta Producto 3'!$E$10:$E$21))/SUMIF($A$7:$AC$128,$A42,$AB$6:$AB$127)*X$5,0)</f>
        <v>0</v>
      </c>
      <c r="Y42" s="35">
        <f>IF(AND(COLUMN()&gt;=11,COLUMN()&lt;=20),(_xlfn.XLOOKUP($A42,'Oferta Producto 3'!$B$10:$B$21,'Oferta Producto 3'!$E$10:$E$21))/SUMIF($A$7:$AC$128,$A42,$AB$6:$AB$127)*Y$5,0)</f>
        <v>0</v>
      </c>
      <c r="Z42" s="35">
        <f>IF(AND(COLUMN()&gt;=11,COLUMN()&lt;=20),(_xlfn.XLOOKUP($A42,'Oferta Producto 3'!$B$10:$B$21,'Oferta Producto 3'!$E$10:$E$21))/SUMIF($A$7:$AC$128,$A42,$AB$6:$AB$127)*Z$5,0)</f>
        <v>0</v>
      </c>
      <c r="AA42" s="35">
        <f t="shared" ca="1" si="5"/>
        <v>0</v>
      </c>
      <c r="AB42" s="28">
        <f t="shared" si="2"/>
        <v>30</v>
      </c>
      <c r="AC42" s="29">
        <f t="shared" ca="1" si="3"/>
        <v>0</v>
      </c>
      <c r="AD42" s="48">
        <f ca="1">'Curvas Prod 3'!AC42/SUMIF('Curvas Prod 3'!A40:AC185,'Curva de la oferta Prod 3'!$A42,'Curvas Prod 3'!AC40:AC185)</f>
        <v>0.24590163934426229</v>
      </c>
      <c r="AE42" s="45"/>
      <c r="AF42" s="49"/>
      <c r="AG42" s="49"/>
      <c r="AH42" s="49"/>
      <c r="AI42" s="49"/>
      <c r="AJ42" s="49"/>
      <c r="AK42" s="49"/>
    </row>
    <row r="43" spans="1:37" ht="15">
      <c r="A43" s="23">
        <f t="shared" si="0"/>
        <v>2028</v>
      </c>
      <c r="B43" s="27">
        <v>47088</v>
      </c>
      <c r="C43" s="35">
        <f>IF(AND(COLUMN()&gt;=11,COLUMN()&lt;=20),(_xlfn.XLOOKUP($A43,'Oferta Producto 3'!$B$10:$B$21,'Oferta Producto 3'!$E$10:$E$21))/SUMIF($A$7:$AC$128,$A43,$AB$6:$AB$127)*C$5,0)</f>
        <v>0</v>
      </c>
      <c r="D43" s="35">
        <f>IF(AND(COLUMN()&gt;=11,COLUMN()&lt;=20),(_xlfn.XLOOKUP($A43,'Oferta Producto 3'!$B$10:$B$21,'Oferta Producto 3'!$E$10:$E$21))/SUMIF($A$7:$AC$128,$A43,$AB$6:$AB$127)*D$5,0)</f>
        <v>0</v>
      </c>
      <c r="E43" s="35">
        <f>IF(AND(COLUMN()&gt;=11,COLUMN()&lt;=20),(_xlfn.XLOOKUP($A43,'Oferta Producto 3'!$B$10:$B$21,'Oferta Producto 3'!$E$10:$E$21))/SUMIF($A$7:$AC$128,$A43,$AB$6:$AB$127)*E$5,0)</f>
        <v>0</v>
      </c>
      <c r="F43" s="35">
        <f>IF(AND(COLUMN()&gt;=11,COLUMN()&lt;=20),(_xlfn.XLOOKUP($A43,'Oferta Producto 3'!$B$10:$B$21,'Oferta Producto 3'!$E$10:$E$21))/SUMIF($A$7:$AC$128,$A43,$AB$6:$AB$127)*F$5,0)</f>
        <v>0</v>
      </c>
      <c r="G43" s="35">
        <f>IF(AND(COLUMN()&gt;=11,COLUMN()&lt;=20),(_xlfn.XLOOKUP($A43,'Oferta Producto 3'!$B$10:$B$21,'Oferta Producto 3'!$E$10:$E$21))/SUMIF($A$7:$AC$128,$A43,$AB$6:$AB$127)*G$5,0)</f>
        <v>0</v>
      </c>
      <c r="H43" s="35">
        <f>IF(AND(COLUMN()&gt;=11,COLUMN()&lt;=20),(_xlfn.XLOOKUP($A43,'Oferta Producto 3'!$B$10:$B$21,'Oferta Producto 3'!$E$10:$E$21))/SUMIF($A$7:$AC$128,$A43,$AB$6:$AB$127)*H$5,0)</f>
        <v>0</v>
      </c>
      <c r="I43" s="35">
        <f>IF(AND(COLUMN()&gt;=11,COLUMN()&lt;=20),(_xlfn.XLOOKUP($A43,'Oferta Producto 3'!$B$10:$B$21,'Oferta Producto 3'!$E$10:$E$21))/SUMIF($A$7:$AC$128,$A43,$AB$6:$AB$127)*I$5,0)</f>
        <v>0</v>
      </c>
      <c r="J43" s="35">
        <f>IF(AND(COLUMN()&gt;=11,COLUMN()&lt;=20),(_xlfn.XLOOKUP($A43,'Oferta Producto 3'!$B$10:$B$21,'Oferta Producto 3'!$E$10:$E$21))/SUMIF($A$7:$AC$128,$A43,$AB$6:$AB$127)*J$5,0)</f>
        <v>0</v>
      </c>
      <c r="K43" s="35">
        <f ca="1">IF(AND(COLUMN()&gt;=11,COLUMN()&lt;=20),(_xlfn.XLOOKUP($A43,'Oferta Producto 3'!$B$10:$B$21,'Oferta Producto 3'!$E$10:$E$21))/SUMIF($A$7:$AC$128,$A43,$AB$6:$AB$127)*K$5,0)</f>
        <v>0</v>
      </c>
      <c r="L43" s="35">
        <f ca="1">IF(AND(COLUMN()&gt;=11,COLUMN()&lt;=20),(_xlfn.XLOOKUP($A43,'Oferta Producto 3'!$B$10:$B$21,'Oferta Producto 3'!$E$10:$E$21))/SUMIF($A$7:$AC$128,$A43,$AB$6:$AB$127)*L$5,0)</f>
        <v>0</v>
      </c>
      <c r="M43" s="35">
        <f ca="1">IF(AND(COLUMN()&gt;=11,COLUMN()&lt;=20),(_xlfn.XLOOKUP($A43,'Oferta Producto 3'!$B$10:$B$21,'Oferta Producto 3'!$E$10:$E$21))/SUMIF($A$7:$AC$128,$A43,$AB$6:$AB$127)*M$5,0)</f>
        <v>0</v>
      </c>
      <c r="N43" s="35">
        <f ca="1">IF(AND(COLUMN()&gt;=11,COLUMN()&lt;=20),(_xlfn.XLOOKUP($A43,'Oferta Producto 3'!$B$10:$B$21,'Oferta Producto 3'!$E$10:$E$21))/SUMIF($A$7:$AC$128,$A43,$AB$6:$AB$127)*N$5,0)</f>
        <v>0</v>
      </c>
      <c r="O43" s="35">
        <f ca="1">IF(AND(COLUMN()&gt;=11,COLUMN()&lt;=20),(_xlfn.XLOOKUP($A43,'Oferta Producto 3'!$B$10:$B$21,'Oferta Producto 3'!$E$10:$E$21))/SUMIF($A$7:$AC$128,$A43,$AB$6:$AB$127)*O$5,0)</f>
        <v>0</v>
      </c>
      <c r="P43" s="35">
        <f ca="1">IF(AND(COLUMN()&gt;=11,COLUMN()&lt;=20),(_xlfn.XLOOKUP($A43,'Oferta Producto 3'!$B$10:$B$21,'Oferta Producto 3'!$E$10:$E$21))/SUMIF($A$7:$AC$128,$A43,$AB$6:$AB$127)*P$5,0)</f>
        <v>0</v>
      </c>
      <c r="Q43" s="35">
        <f ca="1">IF(AND(COLUMN()&gt;=11,COLUMN()&lt;=20),(_xlfn.XLOOKUP($A43,'Oferta Producto 3'!$B$10:$B$21,'Oferta Producto 3'!$E$10:$E$21))/SUMIF($A$7:$AC$128,$A43,$AB$6:$AB$127)*Q$5,0)</f>
        <v>0</v>
      </c>
      <c r="R43" s="35">
        <f ca="1">IF(AND(COLUMN()&gt;=11,COLUMN()&lt;=20),(_xlfn.XLOOKUP($A43,'Oferta Producto 3'!$B$10:$B$21,'Oferta Producto 3'!$E$10:$E$21))/SUMIF($A$7:$AC$128,$A43,$AB$6:$AB$127)*R$5,0)</f>
        <v>0</v>
      </c>
      <c r="S43" s="35">
        <f ca="1">IF(AND(COLUMN()&gt;=11,COLUMN()&lt;=20),(_xlfn.XLOOKUP($A43,'Oferta Producto 3'!$B$10:$B$21,'Oferta Producto 3'!$E$10:$E$21))/SUMIF($A$7:$AC$128,$A43,$AB$6:$AB$127)*S$5,0)</f>
        <v>0</v>
      </c>
      <c r="T43" s="35">
        <f ca="1">IF(AND(COLUMN()&gt;=11,COLUMN()&lt;=20),(_xlfn.XLOOKUP($A43,'Oferta Producto 3'!$B$10:$B$21,'Oferta Producto 3'!$E$10:$E$21))/SUMIF($A$7:$AC$128,$A43,$AB$6:$AB$127)*T$5,0)</f>
        <v>0</v>
      </c>
      <c r="U43" s="35">
        <f>IF(AND(COLUMN()&gt;=11,COLUMN()&lt;=20),(_xlfn.XLOOKUP($A43,'Oferta Producto 3'!$B$10:$B$21,'Oferta Producto 3'!$E$10:$E$21))/SUMIF($A$7:$AC$128,$A43,$AB$6:$AB$127)*U$5,0)</f>
        <v>0</v>
      </c>
      <c r="V43" s="35">
        <f>IF(AND(COLUMN()&gt;=11,COLUMN()&lt;=20),(_xlfn.XLOOKUP($A43,'Oferta Producto 3'!$B$10:$B$21,'Oferta Producto 3'!$E$10:$E$21))/SUMIF($A$7:$AC$128,$A43,$AB$6:$AB$127)*V$5,0)</f>
        <v>0</v>
      </c>
      <c r="W43" s="35">
        <f>IF(AND(COLUMN()&gt;=11,COLUMN()&lt;=20),(_xlfn.XLOOKUP($A43,'Oferta Producto 3'!$B$10:$B$21,'Oferta Producto 3'!$E$10:$E$21))/SUMIF($A$7:$AC$128,$A43,$AB$6:$AB$127)*W$5,0)</f>
        <v>0</v>
      </c>
      <c r="X43" s="35">
        <f>IF(AND(COLUMN()&gt;=11,COLUMN()&lt;=20),(_xlfn.XLOOKUP($A43,'Oferta Producto 3'!$B$10:$B$21,'Oferta Producto 3'!$E$10:$E$21))/SUMIF($A$7:$AC$128,$A43,$AB$6:$AB$127)*X$5,0)</f>
        <v>0</v>
      </c>
      <c r="Y43" s="35">
        <f>IF(AND(COLUMN()&gt;=11,COLUMN()&lt;=20),(_xlfn.XLOOKUP($A43,'Oferta Producto 3'!$B$10:$B$21,'Oferta Producto 3'!$E$10:$E$21))/SUMIF($A$7:$AC$128,$A43,$AB$6:$AB$127)*Y$5,0)</f>
        <v>0</v>
      </c>
      <c r="Z43" s="35">
        <f>IF(AND(COLUMN()&gt;=11,COLUMN()&lt;=20),(_xlfn.XLOOKUP($A43,'Oferta Producto 3'!$B$10:$B$21,'Oferta Producto 3'!$E$10:$E$21))/SUMIF($A$7:$AC$128,$A43,$AB$6:$AB$127)*Z$5,0)</f>
        <v>0</v>
      </c>
      <c r="AA43" s="35">
        <f t="shared" ref="AA43:AA44" ca="1" si="6">SUM(C43:Z43)</f>
        <v>0</v>
      </c>
      <c r="AB43" s="28">
        <f t="shared" si="2"/>
        <v>31</v>
      </c>
      <c r="AC43" s="29">
        <f t="shared" ca="1" si="3"/>
        <v>0</v>
      </c>
      <c r="AD43" s="48">
        <f ca="1">'Curvas Prod 3'!AC43/SUMIF('Curvas Prod 3'!A41:AC186,'Curva de la oferta Prod 3'!$A43,'Curvas Prod 3'!AC41:AC186)</f>
        <v>0.33695652173913043</v>
      </c>
      <c r="AE43" s="45"/>
      <c r="AF43" s="49"/>
      <c r="AG43" s="49"/>
      <c r="AH43" s="49"/>
      <c r="AI43" s="49"/>
      <c r="AJ43" s="49"/>
      <c r="AK43" s="49"/>
    </row>
    <row r="44" spans="1:37" ht="15">
      <c r="A44" s="23">
        <f t="shared" si="0"/>
        <v>2029</v>
      </c>
      <c r="B44" s="27">
        <v>47119</v>
      </c>
      <c r="C44" s="35">
        <f>IF(AND(COLUMN()&gt;=11,COLUMN()&lt;=20),(_xlfn.XLOOKUP($A44,'Oferta Producto 3'!$B$10:$B$21,'Oferta Producto 3'!$E$10:$E$21))/SUMIF($A$7:$AC$128,$A44,$AB$6:$AB$127)*C$5,0)</f>
        <v>0</v>
      </c>
      <c r="D44" s="35">
        <f>IF(AND(COLUMN()&gt;=11,COLUMN()&lt;=20),(_xlfn.XLOOKUP($A44,'Oferta Producto 3'!$B$10:$B$21,'Oferta Producto 3'!$E$10:$E$21))/SUMIF($A$7:$AC$128,$A44,$AB$6:$AB$127)*D$5,0)</f>
        <v>0</v>
      </c>
      <c r="E44" s="35">
        <f>IF(AND(COLUMN()&gt;=11,COLUMN()&lt;=20),(_xlfn.XLOOKUP($A44,'Oferta Producto 3'!$B$10:$B$21,'Oferta Producto 3'!$E$10:$E$21))/SUMIF($A$7:$AC$128,$A44,$AB$6:$AB$127)*E$5,0)</f>
        <v>0</v>
      </c>
      <c r="F44" s="35">
        <f>IF(AND(COLUMN()&gt;=11,COLUMN()&lt;=20),(_xlfn.XLOOKUP($A44,'Oferta Producto 3'!$B$10:$B$21,'Oferta Producto 3'!$E$10:$E$21))/SUMIF($A$7:$AC$128,$A44,$AB$6:$AB$127)*F$5,0)</f>
        <v>0</v>
      </c>
      <c r="G44" s="35">
        <f>IF(AND(COLUMN()&gt;=11,COLUMN()&lt;=20),(_xlfn.XLOOKUP($A44,'Oferta Producto 3'!$B$10:$B$21,'Oferta Producto 3'!$E$10:$E$21))/SUMIF($A$7:$AC$128,$A44,$AB$6:$AB$127)*G$5,0)</f>
        <v>0</v>
      </c>
      <c r="H44" s="35">
        <f>IF(AND(COLUMN()&gt;=11,COLUMN()&lt;=20),(_xlfn.XLOOKUP($A44,'Oferta Producto 3'!$B$10:$B$21,'Oferta Producto 3'!$E$10:$E$21))/SUMIF($A$7:$AC$128,$A44,$AB$6:$AB$127)*H$5,0)</f>
        <v>0</v>
      </c>
      <c r="I44" s="35">
        <f>IF(AND(COLUMN()&gt;=11,COLUMN()&lt;=20),(_xlfn.XLOOKUP($A44,'Oferta Producto 3'!$B$10:$B$21,'Oferta Producto 3'!$E$10:$E$21))/SUMIF($A$7:$AC$128,$A44,$AB$6:$AB$127)*I$5,0)</f>
        <v>0</v>
      </c>
      <c r="J44" s="35">
        <f>IF(AND(COLUMN()&gt;=11,COLUMN()&lt;=20),(_xlfn.XLOOKUP($A44,'Oferta Producto 3'!$B$10:$B$21,'Oferta Producto 3'!$E$10:$E$21))/SUMIF($A$7:$AC$128,$A44,$AB$6:$AB$127)*J$5,0)</f>
        <v>0</v>
      </c>
      <c r="K44" s="35">
        <f ca="1">IF(AND(COLUMN()&gt;=11,COLUMN()&lt;=20),(_xlfn.XLOOKUP($A44,'Oferta Producto 3'!$B$10:$B$21,'Oferta Producto 3'!$E$10:$E$21))/SUMIF($A$7:$AC$128,$A44,$AB$6:$AB$127)*K$5,0)</f>
        <v>0</v>
      </c>
      <c r="L44" s="35">
        <f ca="1">IF(AND(COLUMN()&gt;=11,COLUMN()&lt;=20),(_xlfn.XLOOKUP($A44,'Oferta Producto 3'!$B$10:$B$21,'Oferta Producto 3'!$E$10:$E$21))/SUMIF($A$7:$AC$128,$A44,$AB$6:$AB$127)*L$5,0)</f>
        <v>0</v>
      </c>
      <c r="M44" s="35">
        <f ca="1">IF(AND(COLUMN()&gt;=11,COLUMN()&lt;=20),(_xlfn.XLOOKUP($A44,'Oferta Producto 3'!$B$10:$B$21,'Oferta Producto 3'!$E$10:$E$21))/SUMIF($A$7:$AC$128,$A44,$AB$6:$AB$127)*M$5,0)</f>
        <v>0</v>
      </c>
      <c r="N44" s="35">
        <f ca="1">IF(AND(COLUMN()&gt;=11,COLUMN()&lt;=20),(_xlfn.XLOOKUP($A44,'Oferta Producto 3'!$B$10:$B$21,'Oferta Producto 3'!$E$10:$E$21))/SUMIF($A$7:$AC$128,$A44,$AB$6:$AB$127)*N$5,0)</f>
        <v>0</v>
      </c>
      <c r="O44" s="35">
        <f ca="1">IF(AND(COLUMN()&gt;=11,COLUMN()&lt;=20),(_xlfn.XLOOKUP($A44,'Oferta Producto 3'!$B$10:$B$21,'Oferta Producto 3'!$E$10:$E$21))/SUMIF($A$7:$AC$128,$A44,$AB$6:$AB$127)*O$5,0)</f>
        <v>0</v>
      </c>
      <c r="P44" s="35">
        <f ca="1">IF(AND(COLUMN()&gt;=11,COLUMN()&lt;=20),(_xlfn.XLOOKUP($A44,'Oferta Producto 3'!$B$10:$B$21,'Oferta Producto 3'!$E$10:$E$21))/SUMIF($A$7:$AC$128,$A44,$AB$6:$AB$127)*P$5,0)</f>
        <v>0</v>
      </c>
      <c r="Q44" s="35">
        <f ca="1">IF(AND(COLUMN()&gt;=11,COLUMN()&lt;=20),(_xlfn.XLOOKUP($A44,'Oferta Producto 3'!$B$10:$B$21,'Oferta Producto 3'!$E$10:$E$21))/SUMIF($A$7:$AC$128,$A44,$AB$6:$AB$127)*Q$5,0)</f>
        <v>0</v>
      </c>
      <c r="R44" s="35">
        <f ca="1">IF(AND(COLUMN()&gt;=11,COLUMN()&lt;=20),(_xlfn.XLOOKUP($A44,'Oferta Producto 3'!$B$10:$B$21,'Oferta Producto 3'!$E$10:$E$21))/SUMIF($A$7:$AC$128,$A44,$AB$6:$AB$127)*R$5,0)</f>
        <v>0</v>
      </c>
      <c r="S44" s="35">
        <f ca="1">IF(AND(COLUMN()&gt;=11,COLUMN()&lt;=20),(_xlfn.XLOOKUP($A44,'Oferta Producto 3'!$B$10:$B$21,'Oferta Producto 3'!$E$10:$E$21))/SUMIF($A$7:$AC$128,$A44,$AB$6:$AB$127)*S$5,0)</f>
        <v>0</v>
      </c>
      <c r="T44" s="35">
        <f ca="1">IF(AND(COLUMN()&gt;=11,COLUMN()&lt;=20),(_xlfn.XLOOKUP($A44,'Oferta Producto 3'!$B$10:$B$21,'Oferta Producto 3'!$E$10:$E$21))/SUMIF($A$7:$AC$128,$A44,$AB$6:$AB$127)*T$5,0)</f>
        <v>0</v>
      </c>
      <c r="U44" s="35">
        <f>IF(AND(COLUMN()&gt;=11,COLUMN()&lt;=20),(_xlfn.XLOOKUP($A44,'Oferta Producto 3'!$B$10:$B$21,'Oferta Producto 3'!$E$10:$E$21))/SUMIF($A$7:$AC$128,$A44,$AB$6:$AB$127)*U$5,0)</f>
        <v>0</v>
      </c>
      <c r="V44" s="35">
        <f>IF(AND(COLUMN()&gt;=11,COLUMN()&lt;=20),(_xlfn.XLOOKUP($A44,'Oferta Producto 3'!$B$10:$B$21,'Oferta Producto 3'!$E$10:$E$21))/SUMIF($A$7:$AC$128,$A44,$AB$6:$AB$127)*V$5,0)</f>
        <v>0</v>
      </c>
      <c r="W44" s="35">
        <f>IF(AND(COLUMN()&gt;=11,COLUMN()&lt;=20),(_xlfn.XLOOKUP($A44,'Oferta Producto 3'!$B$10:$B$21,'Oferta Producto 3'!$E$10:$E$21))/SUMIF($A$7:$AC$128,$A44,$AB$6:$AB$127)*W$5,0)</f>
        <v>0</v>
      </c>
      <c r="X44" s="35">
        <f>IF(AND(COLUMN()&gt;=11,COLUMN()&lt;=20),(_xlfn.XLOOKUP($A44,'Oferta Producto 3'!$B$10:$B$21,'Oferta Producto 3'!$E$10:$E$21))/SUMIF($A$7:$AC$128,$A44,$AB$6:$AB$127)*X$5,0)</f>
        <v>0</v>
      </c>
      <c r="Y44" s="35">
        <f>IF(AND(COLUMN()&gt;=11,COLUMN()&lt;=20),(_xlfn.XLOOKUP($A44,'Oferta Producto 3'!$B$10:$B$21,'Oferta Producto 3'!$E$10:$E$21))/SUMIF($A$7:$AC$128,$A44,$AB$6:$AB$127)*Y$5,0)</f>
        <v>0</v>
      </c>
      <c r="Z44" s="35">
        <f>IF(AND(COLUMN()&gt;=11,COLUMN()&lt;=20),(_xlfn.XLOOKUP($A44,'Oferta Producto 3'!$B$10:$B$21,'Oferta Producto 3'!$E$10:$E$21))/SUMIF($A$7:$AC$128,$A44,$AB$6:$AB$127)*Z$5,0)</f>
        <v>0</v>
      </c>
      <c r="AA44" s="35">
        <f t="shared" ca="1" si="6"/>
        <v>0</v>
      </c>
      <c r="AB44" s="28">
        <f t="shared" si="2"/>
        <v>31</v>
      </c>
      <c r="AC44" s="29">
        <f t="shared" ca="1" si="3"/>
        <v>0</v>
      </c>
      <c r="AD44" s="48">
        <f ca="1">'Curvas Prod 3'!AC44/SUMIF('Curvas Prod 3'!A42:AC187,'Curva de la oferta Prod 3'!$A44,'Curvas Prod 3'!AC42:AC187)</f>
        <v>8.4931506849315067E-2</v>
      </c>
      <c r="AE44" s="45"/>
      <c r="AF44" s="49"/>
      <c r="AG44" s="49"/>
      <c r="AH44" s="49"/>
      <c r="AI44" s="49"/>
      <c r="AJ44" s="49"/>
      <c r="AK44" s="49"/>
    </row>
    <row r="45" spans="1:37" ht="15">
      <c r="A45" s="23">
        <f t="shared" si="0"/>
        <v>2029</v>
      </c>
      <c r="B45" s="27">
        <v>47150</v>
      </c>
      <c r="C45" s="35">
        <f>IF(AND(COLUMN()&gt;=11,COLUMN()&lt;=20),(_xlfn.XLOOKUP($A45,'Oferta Producto 3'!$B$10:$B$21,'Oferta Producto 3'!$E$10:$E$21))/SUMIF($A$7:$AC$128,$A45,$AB$6:$AB$127)*C$5,0)</f>
        <v>0</v>
      </c>
      <c r="D45" s="35">
        <f>IF(AND(COLUMN()&gt;=11,COLUMN()&lt;=20),(_xlfn.XLOOKUP($A45,'Oferta Producto 3'!$B$10:$B$21,'Oferta Producto 3'!$E$10:$E$21))/SUMIF($A$7:$AC$128,$A45,$AB$6:$AB$127)*D$5,0)</f>
        <v>0</v>
      </c>
      <c r="E45" s="35">
        <f>IF(AND(COLUMN()&gt;=11,COLUMN()&lt;=20),(_xlfn.XLOOKUP($A45,'Oferta Producto 3'!$B$10:$B$21,'Oferta Producto 3'!$E$10:$E$21))/SUMIF($A$7:$AC$128,$A45,$AB$6:$AB$127)*E$5,0)</f>
        <v>0</v>
      </c>
      <c r="F45" s="35">
        <f>IF(AND(COLUMN()&gt;=11,COLUMN()&lt;=20),(_xlfn.XLOOKUP($A45,'Oferta Producto 3'!$B$10:$B$21,'Oferta Producto 3'!$E$10:$E$21))/SUMIF($A$7:$AC$128,$A45,$AB$6:$AB$127)*F$5,0)</f>
        <v>0</v>
      </c>
      <c r="G45" s="35">
        <f>IF(AND(COLUMN()&gt;=11,COLUMN()&lt;=20),(_xlfn.XLOOKUP($A45,'Oferta Producto 3'!$B$10:$B$21,'Oferta Producto 3'!$E$10:$E$21))/SUMIF($A$7:$AC$128,$A45,$AB$6:$AB$127)*G$5,0)</f>
        <v>0</v>
      </c>
      <c r="H45" s="35">
        <f>IF(AND(COLUMN()&gt;=11,COLUMN()&lt;=20),(_xlfn.XLOOKUP($A45,'Oferta Producto 3'!$B$10:$B$21,'Oferta Producto 3'!$E$10:$E$21))/SUMIF($A$7:$AC$128,$A45,$AB$6:$AB$127)*H$5,0)</f>
        <v>0</v>
      </c>
      <c r="I45" s="35">
        <f>IF(AND(COLUMN()&gt;=11,COLUMN()&lt;=20),(_xlfn.XLOOKUP($A45,'Oferta Producto 3'!$B$10:$B$21,'Oferta Producto 3'!$E$10:$E$21))/SUMIF($A$7:$AC$128,$A45,$AB$6:$AB$127)*I$5,0)</f>
        <v>0</v>
      </c>
      <c r="J45" s="35">
        <f>IF(AND(COLUMN()&gt;=11,COLUMN()&lt;=20),(_xlfn.XLOOKUP($A45,'Oferta Producto 3'!$B$10:$B$21,'Oferta Producto 3'!$E$10:$E$21))/SUMIF($A$7:$AC$128,$A45,$AB$6:$AB$127)*J$5,0)</f>
        <v>0</v>
      </c>
      <c r="K45" s="35">
        <f ca="1">IF(AND(COLUMN()&gt;=11,COLUMN()&lt;=20),(_xlfn.XLOOKUP($A45,'Oferta Producto 3'!$B$10:$B$21,'Oferta Producto 3'!$E$10:$E$21))/SUMIF($A$7:$AC$128,$A45,$AB$6:$AB$127)*K$5,0)</f>
        <v>0</v>
      </c>
      <c r="L45" s="35">
        <f ca="1">IF(AND(COLUMN()&gt;=11,COLUMN()&lt;=20),(_xlfn.XLOOKUP($A45,'Oferta Producto 3'!$B$10:$B$21,'Oferta Producto 3'!$E$10:$E$21))/SUMIF($A$7:$AC$128,$A45,$AB$6:$AB$127)*L$5,0)</f>
        <v>0</v>
      </c>
      <c r="M45" s="35">
        <f ca="1">IF(AND(COLUMN()&gt;=11,COLUMN()&lt;=20),(_xlfn.XLOOKUP($A45,'Oferta Producto 3'!$B$10:$B$21,'Oferta Producto 3'!$E$10:$E$21))/SUMIF($A$7:$AC$128,$A45,$AB$6:$AB$127)*M$5,0)</f>
        <v>0</v>
      </c>
      <c r="N45" s="35">
        <f ca="1">IF(AND(COLUMN()&gt;=11,COLUMN()&lt;=20),(_xlfn.XLOOKUP($A45,'Oferta Producto 3'!$B$10:$B$21,'Oferta Producto 3'!$E$10:$E$21))/SUMIF($A$7:$AC$128,$A45,$AB$6:$AB$127)*N$5,0)</f>
        <v>0</v>
      </c>
      <c r="O45" s="35">
        <f ca="1">IF(AND(COLUMN()&gt;=11,COLUMN()&lt;=20),(_xlfn.XLOOKUP($A45,'Oferta Producto 3'!$B$10:$B$21,'Oferta Producto 3'!$E$10:$E$21))/SUMIF($A$7:$AC$128,$A45,$AB$6:$AB$127)*O$5,0)</f>
        <v>0</v>
      </c>
      <c r="P45" s="35">
        <f ca="1">IF(AND(COLUMN()&gt;=11,COLUMN()&lt;=20),(_xlfn.XLOOKUP($A45,'Oferta Producto 3'!$B$10:$B$21,'Oferta Producto 3'!$E$10:$E$21))/SUMIF($A$7:$AC$128,$A45,$AB$6:$AB$127)*P$5,0)</f>
        <v>0</v>
      </c>
      <c r="Q45" s="35">
        <f ca="1">IF(AND(COLUMN()&gt;=11,COLUMN()&lt;=20),(_xlfn.XLOOKUP($A45,'Oferta Producto 3'!$B$10:$B$21,'Oferta Producto 3'!$E$10:$E$21))/SUMIF($A$7:$AC$128,$A45,$AB$6:$AB$127)*Q$5,0)</f>
        <v>0</v>
      </c>
      <c r="R45" s="35">
        <f ca="1">IF(AND(COLUMN()&gt;=11,COLUMN()&lt;=20),(_xlfn.XLOOKUP($A45,'Oferta Producto 3'!$B$10:$B$21,'Oferta Producto 3'!$E$10:$E$21))/SUMIF($A$7:$AC$128,$A45,$AB$6:$AB$127)*R$5,0)</f>
        <v>0</v>
      </c>
      <c r="S45" s="35">
        <f ca="1">IF(AND(COLUMN()&gt;=11,COLUMN()&lt;=20),(_xlfn.XLOOKUP($A45,'Oferta Producto 3'!$B$10:$B$21,'Oferta Producto 3'!$E$10:$E$21))/SUMIF($A$7:$AC$128,$A45,$AB$6:$AB$127)*S$5,0)</f>
        <v>0</v>
      </c>
      <c r="T45" s="35">
        <f ca="1">IF(AND(COLUMN()&gt;=11,COLUMN()&lt;=20),(_xlfn.XLOOKUP($A45,'Oferta Producto 3'!$B$10:$B$21,'Oferta Producto 3'!$E$10:$E$21))/SUMIF($A$7:$AC$128,$A45,$AB$6:$AB$127)*T$5,0)</f>
        <v>0</v>
      </c>
      <c r="U45" s="35">
        <f>IF(AND(COLUMN()&gt;=11,COLUMN()&lt;=20),(_xlfn.XLOOKUP($A45,'Oferta Producto 3'!$B$10:$B$21,'Oferta Producto 3'!$E$10:$E$21))/SUMIF($A$7:$AC$128,$A45,$AB$6:$AB$127)*U$5,0)</f>
        <v>0</v>
      </c>
      <c r="V45" s="35">
        <f>IF(AND(COLUMN()&gt;=11,COLUMN()&lt;=20),(_xlfn.XLOOKUP($A45,'Oferta Producto 3'!$B$10:$B$21,'Oferta Producto 3'!$E$10:$E$21))/SUMIF($A$7:$AC$128,$A45,$AB$6:$AB$127)*V$5,0)</f>
        <v>0</v>
      </c>
      <c r="W45" s="35">
        <f>IF(AND(COLUMN()&gt;=11,COLUMN()&lt;=20),(_xlfn.XLOOKUP($A45,'Oferta Producto 3'!$B$10:$B$21,'Oferta Producto 3'!$E$10:$E$21))/SUMIF($A$7:$AC$128,$A45,$AB$6:$AB$127)*W$5,0)</f>
        <v>0</v>
      </c>
      <c r="X45" s="35">
        <f>IF(AND(COLUMN()&gt;=11,COLUMN()&lt;=20),(_xlfn.XLOOKUP($A45,'Oferta Producto 3'!$B$10:$B$21,'Oferta Producto 3'!$E$10:$E$21))/SUMIF($A$7:$AC$128,$A45,$AB$6:$AB$127)*X$5,0)</f>
        <v>0</v>
      </c>
      <c r="Y45" s="35">
        <f>IF(AND(COLUMN()&gt;=11,COLUMN()&lt;=20),(_xlfn.XLOOKUP($A45,'Oferta Producto 3'!$B$10:$B$21,'Oferta Producto 3'!$E$10:$E$21))/SUMIF($A$7:$AC$128,$A45,$AB$6:$AB$127)*Y$5,0)</f>
        <v>0</v>
      </c>
      <c r="Z45" s="35">
        <f>IF(AND(COLUMN()&gt;=11,COLUMN()&lt;=20),(_xlfn.XLOOKUP($A45,'Oferta Producto 3'!$B$10:$B$21,'Oferta Producto 3'!$E$10:$E$21))/SUMIF($A$7:$AC$128,$A45,$AB$6:$AB$127)*Z$5,0)</f>
        <v>0</v>
      </c>
      <c r="AA45" s="35">
        <f t="shared" ref="AA45:AA55" ca="1" si="7">SUM(C45:Z45)</f>
        <v>0</v>
      </c>
      <c r="AB45" s="28">
        <f t="shared" si="2"/>
        <v>28</v>
      </c>
      <c r="AC45" s="29">
        <f t="shared" ca="1" si="3"/>
        <v>0</v>
      </c>
      <c r="AD45" s="48">
        <f ca="1">'Curvas Prod 3'!AC45/SUMIF('Curvas Prod 3'!A43:AC188,'Curva de la oferta Prod 3'!$A45,'Curvas Prod 3'!AC43:AC188)</f>
        <v>7.6712328767123292E-2</v>
      </c>
      <c r="AE45" s="45"/>
      <c r="AF45" s="49"/>
      <c r="AG45" s="49"/>
      <c r="AH45" s="49"/>
      <c r="AI45" s="49"/>
      <c r="AJ45" s="49"/>
      <c r="AK45" s="49"/>
    </row>
    <row r="46" spans="1:37" ht="15">
      <c r="A46" s="23">
        <f t="shared" si="0"/>
        <v>2029</v>
      </c>
      <c r="B46" s="27">
        <v>47178</v>
      </c>
      <c r="C46" s="35">
        <f>IF(AND(COLUMN()&gt;=11,COLUMN()&lt;=20),(_xlfn.XLOOKUP($A46,'Oferta Producto 3'!$B$10:$B$21,'Oferta Producto 3'!$E$10:$E$21))/SUMIF($A$7:$AC$128,$A46,$AB$6:$AB$127)*C$5,0)</f>
        <v>0</v>
      </c>
      <c r="D46" s="35">
        <f>IF(AND(COLUMN()&gt;=11,COLUMN()&lt;=20),(_xlfn.XLOOKUP($A46,'Oferta Producto 3'!$B$10:$B$21,'Oferta Producto 3'!$E$10:$E$21))/SUMIF($A$7:$AC$128,$A46,$AB$6:$AB$127)*D$5,0)</f>
        <v>0</v>
      </c>
      <c r="E46" s="35">
        <f>IF(AND(COLUMN()&gt;=11,COLUMN()&lt;=20),(_xlfn.XLOOKUP($A46,'Oferta Producto 3'!$B$10:$B$21,'Oferta Producto 3'!$E$10:$E$21))/SUMIF($A$7:$AC$128,$A46,$AB$6:$AB$127)*E$5,0)</f>
        <v>0</v>
      </c>
      <c r="F46" s="35">
        <f>IF(AND(COLUMN()&gt;=11,COLUMN()&lt;=20),(_xlfn.XLOOKUP($A46,'Oferta Producto 3'!$B$10:$B$21,'Oferta Producto 3'!$E$10:$E$21))/SUMIF($A$7:$AC$128,$A46,$AB$6:$AB$127)*F$5,0)</f>
        <v>0</v>
      </c>
      <c r="G46" s="35">
        <f>IF(AND(COLUMN()&gt;=11,COLUMN()&lt;=20),(_xlfn.XLOOKUP($A46,'Oferta Producto 3'!$B$10:$B$21,'Oferta Producto 3'!$E$10:$E$21))/SUMIF($A$7:$AC$128,$A46,$AB$6:$AB$127)*G$5,0)</f>
        <v>0</v>
      </c>
      <c r="H46" s="35">
        <f>IF(AND(COLUMN()&gt;=11,COLUMN()&lt;=20),(_xlfn.XLOOKUP($A46,'Oferta Producto 3'!$B$10:$B$21,'Oferta Producto 3'!$E$10:$E$21))/SUMIF($A$7:$AC$128,$A46,$AB$6:$AB$127)*H$5,0)</f>
        <v>0</v>
      </c>
      <c r="I46" s="35">
        <f>IF(AND(COLUMN()&gt;=11,COLUMN()&lt;=20),(_xlfn.XLOOKUP($A46,'Oferta Producto 3'!$B$10:$B$21,'Oferta Producto 3'!$E$10:$E$21))/SUMIF($A$7:$AC$128,$A46,$AB$6:$AB$127)*I$5,0)</f>
        <v>0</v>
      </c>
      <c r="J46" s="35">
        <f>IF(AND(COLUMN()&gt;=11,COLUMN()&lt;=20),(_xlfn.XLOOKUP($A46,'Oferta Producto 3'!$B$10:$B$21,'Oferta Producto 3'!$E$10:$E$21))/SUMIF($A$7:$AC$128,$A46,$AB$6:$AB$127)*J$5,0)</f>
        <v>0</v>
      </c>
      <c r="K46" s="35">
        <f ca="1">IF(AND(COLUMN()&gt;=11,COLUMN()&lt;=20),(_xlfn.XLOOKUP($A46,'Oferta Producto 3'!$B$10:$B$21,'Oferta Producto 3'!$E$10:$E$21))/SUMIF($A$7:$AC$128,$A46,$AB$6:$AB$127)*K$5,0)</f>
        <v>0</v>
      </c>
      <c r="L46" s="35">
        <f ca="1">IF(AND(COLUMN()&gt;=11,COLUMN()&lt;=20),(_xlfn.XLOOKUP($A46,'Oferta Producto 3'!$B$10:$B$21,'Oferta Producto 3'!$E$10:$E$21))/SUMIF($A$7:$AC$128,$A46,$AB$6:$AB$127)*L$5,0)</f>
        <v>0</v>
      </c>
      <c r="M46" s="35">
        <f ca="1">IF(AND(COLUMN()&gt;=11,COLUMN()&lt;=20),(_xlfn.XLOOKUP($A46,'Oferta Producto 3'!$B$10:$B$21,'Oferta Producto 3'!$E$10:$E$21))/SUMIF($A$7:$AC$128,$A46,$AB$6:$AB$127)*M$5,0)</f>
        <v>0</v>
      </c>
      <c r="N46" s="35">
        <f ca="1">IF(AND(COLUMN()&gt;=11,COLUMN()&lt;=20),(_xlfn.XLOOKUP($A46,'Oferta Producto 3'!$B$10:$B$21,'Oferta Producto 3'!$E$10:$E$21))/SUMIF($A$7:$AC$128,$A46,$AB$6:$AB$127)*N$5,0)</f>
        <v>0</v>
      </c>
      <c r="O46" s="35">
        <f ca="1">IF(AND(COLUMN()&gt;=11,COLUMN()&lt;=20),(_xlfn.XLOOKUP($A46,'Oferta Producto 3'!$B$10:$B$21,'Oferta Producto 3'!$E$10:$E$21))/SUMIF($A$7:$AC$128,$A46,$AB$6:$AB$127)*O$5,0)</f>
        <v>0</v>
      </c>
      <c r="P46" s="35">
        <f ca="1">IF(AND(COLUMN()&gt;=11,COLUMN()&lt;=20),(_xlfn.XLOOKUP($A46,'Oferta Producto 3'!$B$10:$B$21,'Oferta Producto 3'!$E$10:$E$21))/SUMIF($A$7:$AC$128,$A46,$AB$6:$AB$127)*P$5,0)</f>
        <v>0</v>
      </c>
      <c r="Q46" s="35">
        <f ca="1">IF(AND(COLUMN()&gt;=11,COLUMN()&lt;=20),(_xlfn.XLOOKUP($A46,'Oferta Producto 3'!$B$10:$B$21,'Oferta Producto 3'!$E$10:$E$21))/SUMIF($A$7:$AC$128,$A46,$AB$6:$AB$127)*Q$5,0)</f>
        <v>0</v>
      </c>
      <c r="R46" s="35">
        <f ca="1">IF(AND(COLUMN()&gt;=11,COLUMN()&lt;=20),(_xlfn.XLOOKUP($A46,'Oferta Producto 3'!$B$10:$B$21,'Oferta Producto 3'!$E$10:$E$21))/SUMIF($A$7:$AC$128,$A46,$AB$6:$AB$127)*R$5,0)</f>
        <v>0</v>
      </c>
      <c r="S46" s="35">
        <f ca="1">IF(AND(COLUMN()&gt;=11,COLUMN()&lt;=20),(_xlfn.XLOOKUP($A46,'Oferta Producto 3'!$B$10:$B$21,'Oferta Producto 3'!$E$10:$E$21))/SUMIF($A$7:$AC$128,$A46,$AB$6:$AB$127)*S$5,0)</f>
        <v>0</v>
      </c>
      <c r="T46" s="35">
        <f ca="1">IF(AND(COLUMN()&gt;=11,COLUMN()&lt;=20),(_xlfn.XLOOKUP($A46,'Oferta Producto 3'!$B$10:$B$21,'Oferta Producto 3'!$E$10:$E$21))/SUMIF($A$7:$AC$128,$A46,$AB$6:$AB$127)*T$5,0)</f>
        <v>0</v>
      </c>
      <c r="U46" s="35">
        <f>IF(AND(COLUMN()&gt;=11,COLUMN()&lt;=20),(_xlfn.XLOOKUP($A46,'Oferta Producto 3'!$B$10:$B$21,'Oferta Producto 3'!$E$10:$E$21))/SUMIF($A$7:$AC$128,$A46,$AB$6:$AB$127)*U$5,0)</f>
        <v>0</v>
      </c>
      <c r="V46" s="35">
        <f>IF(AND(COLUMN()&gt;=11,COLUMN()&lt;=20),(_xlfn.XLOOKUP($A46,'Oferta Producto 3'!$B$10:$B$21,'Oferta Producto 3'!$E$10:$E$21))/SUMIF($A$7:$AC$128,$A46,$AB$6:$AB$127)*V$5,0)</f>
        <v>0</v>
      </c>
      <c r="W46" s="35">
        <f>IF(AND(COLUMN()&gt;=11,COLUMN()&lt;=20),(_xlfn.XLOOKUP($A46,'Oferta Producto 3'!$B$10:$B$21,'Oferta Producto 3'!$E$10:$E$21))/SUMIF($A$7:$AC$128,$A46,$AB$6:$AB$127)*W$5,0)</f>
        <v>0</v>
      </c>
      <c r="X46" s="35">
        <f>IF(AND(COLUMN()&gt;=11,COLUMN()&lt;=20),(_xlfn.XLOOKUP($A46,'Oferta Producto 3'!$B$10:$B$21,'Oferta Producto 3'!$E$10:$E$21))/SUMIF($A$7:$AC$128,$A46,$AB$6:$AB$127)*X$5,0)</f>
        <v>0</v>
      </c>
      <c r="Y46" s="35">
        <f>IF(AND(COLUMN()&gt;=11,COLUMN()&lt;=20),(_xlfn.XLOOKUP($A46,'Oferta Producto 3'!$B$10:$B$21,'Oferta Producto 3'!$E$10:$E$21))/SUMIF($A$7:$AC$128,$A46,$AB$6:$AB$127)*Y$5,0)</f>
        <v>0</v>
      </c>
      <c r="Z46" s="35">
        <f>IF(AND(COLUMN()&gt;=11,COLUMN()&lt;=20),(_xlfn.XLOOKUP($A46,'Oferta Producto 3'!$B$10:$B$21,'Oferta Producto 3'!$E$10:$E$21))/SUMIF($A$7:$AC$128,$A46,$AB$6:$AB$127)*Z$5,0)</f>
        <v>0</v>
      </c>
      <c r="AA46" s="35">
        <f t="shared" ca="1" si="7"/>
        <v>0</v>
      </c>
      <c r="AB46" s="28">
        <f t="shared" si="2"/>
        <v>31</v>
      </c>
      <c r="AC46" s="29">
        <f t="shared" ca="1" si="3"/>
        <v>0</v>
      </c>
      <c r="AD46" s="48">
        <f ca="1">'Curvas Prod 3'!AC46/SUMIF('Curvas Prod 3'!A44:AC189,'Curva de la oferta Prod 3'!$A46,'Curvas Prod 3'!AC44:AC189)</f>
        <v>8.4931506849315067E-2</v>
      </c>
      <c r="AE46" s="45"/>
      <c r="AF46" s="49"/>
      <c r="AG46" s="49"/>
      <c r="AH46" s="49"/>
      <c r="AI46" s="49"/>
      <c r="AJ46" s="49"/>
      <c r="AK46" s="49"/>
    </row>
    <row r="47" spans="1:37" ht="15">
      <c r="A47" s="23">
        <f t="shared" si="0"/>
        <v>2029</v>
      </c>
      <c r="B47" s="27">
        <v>47209</v>
      </c>
      <c r="C47" s="35">
        <f>IF(AND(COLUMN()&gt;=11,COLUMN()&lt;=20),(_xlfn.XLOOKUP($A47,'Oferta Producto 3'!$B$10:$B$21,'Oferta Producto 3'!$E$10:$E$21))/SUMIF($A$7:$AC$128,$A47,$AB$6:$AB$127)*C$5,0)</f>
        <v>0</v>
      </c>
      <c r="D47" s="35">
        <f>IF(AND(COLUMN()&gt;=11,COLUMN()&lt;=20),(_xlfn.XLOOKUP($A47,'Oferta Producto 3'!$B$10:$B$21,'Oferta Producto 3'!$E$10:$E$21))/SUMIF($A$7:$AC$128,$A47,$AB$6:$AB$127)*D$5,0)</f>
        <v>0</v>
      </c>
      <c r="E47" s="35">
        <f>IF(AND(COLUMN()&gt;=11,COLUMN()&lt;=20),(_xlfn.XLOOKUP($A47,'Oferta Producto 3'!$B$10:$B$21,'Oferta Producto 3'!$E$10:$E$21))/SUMIF($A$7:$AC$128,$A47,$AB$6:$AB$127)*E$5,0)</f>
        <v>0</v>
      </c>
      <c r="F47" s="35">
        <f>IF(AND(COLUMN()&gt;=11,COLUMN()&lt;=20),(_xlfn.XLOOKUP($A47,'Oferta Producto 3'!$B$10:$B$21,'Oferta Producto 3'!$E$10:$E$21))/SUMIF($A$7:$AC$128,$A47,$AB$6:$AB$127)*F$5,0)</f>
        <v>0</v>
      </c>
      <c r="G47" s="35">
        <f>IF(AND(COLUMN()&gt;=11,COLUMN()&lt;=20),(_xlfn.XLOOKUP($A47,'Oferta Producto 3'!$B$10:$B$21,'Oferta Producto 3'!$E$10:$E$21))/SUMIF($A$7:$AC$128,$A47,$AB$6:$AB$127)*G$5,0)</f>
        <v>0</v>
      </c>
      <c r="H47" s="35">
        <f>IF(AND(COLUMN()&gt;=11,COLUMN()&lt;=20),(_xlfn.XLOOKUP($A47,'Oferta Producto 3'!$B$10:$B$21,'Oferta Producto 3'!$E$10:$E$21))/SUMIF($A$7:$AC$128,$A47,$AB$6:$AB$127)*H$5,0)</f>
        <v>0</v>
      </c>
      <c r="I47" s="35">
        <f>IF(AND(COLUMN()&gt;=11,COLUMN()&lt;=20),(_xlfn.XLOOKUP($A47,'Oferta Producto 3'!$B$10:$B$21,'Oferta Producto 3'!$E$10:$E$21))/SUMIF($A$7:$AC$128,$A47,$AB$6:$AB$127)*I$5,0)</f>
        <v>0</v>
      </c>
      <c r="J47" s="35">
        <f>IF(AND(COLUMN()&gt;=11,COLUMN()&lt;=20),(_xlfn.XLOOKUP($A47,'Oferta Producto 3'!$B$10:$B$21,'Oferta Producto 3'!$E$10:$E$21))/SUMIF($A$7:$AC$128,$A47,$AB$6:$AB$127)*J$5,0)</f>
        <v>0</v>
      </c>
      <c r="K47" s="35">
        <f ca="1">IF(AND(COLUMN()&gt;=11,COLUMN()&lt;=20),(_xlfn.XLOOKUP($A47,'Oferta Producto 3'!$B$10:$B$21,'Oferta Producto 3'!$E$10:$E$21))/SUMIF($A$7:$AC$128,$A47,$AB$6:$AB$127)*K$5,0)</f>
        <v>0</v>
      </c>
      <c r="L47" s="35">
        <f ca="1">IF(AND(COLUMN()&gt;=11,COLUMN()&lt;=20),(_xlfn.XLOOKUP($A47,'Oferta Producto 3'!$B$10:$B$21,'Oferta Producto 3'!$E$10:$E$21))/SUMIF($A$7:$AC$128,$A47,$AB$6:$AB$127)*L$5,0)</f>
        <v>0</v>
      </c>
      <c r="M47" s="35">
        <f ca="1">IF(AND(COLUMN()&gt;=11,COLUMN()&lt;=20),(_xlfn.XLOOKUP($A47,'Oferta Producto 3'!$B$10:$B$21,'Oferta Producto 3'!$E$10:$E$21))/SUMIF($A$7:$AC$128,$A47,$AB$6:$AB$127)*M$5,0)</f>
        <v>0</v>
      </c>
      <c r="N47" s="35">
        <f ca="1">IF(AND(COLUMN()&gt;=11,COLUMN()&lt;=20),(_xlfn.XLOOKUP($A47,'Oferta Producto 3'!$B$10:$B$21,'Oferta Producto 3'!$E$10:$E$21))/SUMIF($A$7:$AC$128,$A47,$AB$6:$AB$127)*N$5,0)</f>
        <v>0</v>
      </c>
      <c r="O47" s="35">
        <f ca="1">IF(AND(COLUMN()&gt;=11,COLUMN()&lt;=20),(_xlfn.XLOOKUP($A47,'Oferta Producto 3'!$B$10:$B$21,'Oferta Producto 3'!$E$10:$E$21))/SUMIF($A$7:$AC$128,$A47,$AB$6:$AB$127)*O$5,0)</f>
        <v>0</v>
      </c>
      <c r="P47" s="35">
        <f ca="1">IF(AND(COLUMN()&gt;=11,COLUMN()&lt;=20),(_xlfn.XLOOKUP($A47,'Oferta Producto 3'!$B$10:$B$21,'Oferta Producto 3'!$E$10:$E$21))/SUMIF($A$7:$AC$128,$A47,$AB$6:$AB$127)*P$5,0)</f>
        <v>0</v>
      </c>
      <c r="Q47" s="35">
        <f ca="1">IF(AND(COLUMN()&gt;=11,COLUMN()&lt;=20),(_xlfn.XLOOKUP($A47,'Oferta Producto 3'!$B$10:$B$21,'Oferta Producto 3'!$E$10:$E$21))/SUMIF($A$7:$AC$128,$A47,$AB$6:$AB$127)*Q$5,0)</f>
        <v>0</v>
      </c>
      <c r="R47" s="35">
        <f ca="1">IF(AND(COLUMN()&gt;=11,COLUMN()&lt;=20),(_xlfn.XLOOKUP($A47,'Oferta Producto 3'!$B$10:$B$21,'Oferta Producto 3'!$E$10:$E$21))/SUMIF($A$7:$AC$128,$A47,$AB$6:$AB$127)*R$5,0)</f>
        <v>0</v>
      </c>
      <c r="S47" s="35">
        <f ca="1">IF(AND(COLUMN()&gt;=11,COLUMN()&lt;=20),(_xlfn.XLOOKUP($A47,'Oferta Producto 3'!$B$10:$B$21,'Oferta Producto 3'!$E$10:$E$21))/SUMIF($A$7:$AC$128,$A47,$AB$6:$AB$127)*S$5,0)</f>
        <v>0</v>
      </c>
      <c r="T47" s="35">
        <f ca="1">IF(AND(COLUMN()&gt;=11,COLUMN()&lt;=20),(_xlfn.XLOOKUP($A47,'Oferta Producto 3'!$B$10:$B$21,'Oferta Producto 3'!$E$10:$E$21))/SUMIF($A$7:$AC$128,$A47,$AB$6:$AB$127)*T$5,0)</f>
        <v>0</v>
      </c>
      <c r="U47" s="35">
        <f>IF(AND(COLUMN()&gt;=11,COLUMN()&lt;=20),(_xlfn.XLOOKUP($A47,'Oferta Producto 3'!$B$10:$B$21,'Oferta Producto 3'!$E$10:$E$21))/SUMIF($A$7:$AC$128,$A47,$AB$6:$AB$127)*U$5,0)</f>
        <v>0</v>
      </c>
      <c r="V47" s="35">
        <f>IF(AND(COLUMN()&gt;=11,COLUMN()&lt;=20),(_xlfn.XLOOKUP($A47,'Oferta Producto 3'!$B$10:$B$21,'Oferta Producto 3'!$E$10:$E$21))/SUMIF($A$7:$AC$128,$A47,$AB$6:$AB$127)*V$5,0)</f>
        <v>0</v>
      </c>
      <c r="W47" s="35">
        <f>IF(AND(COLUMN()&gt;=11,COLUMN()&lt;=20),(_xlfn.XLOOKUP($A47,'Oferta Producto 3'!$B$10:$B$21,'Oferta Producto 3'!$E$10:$E$21))/SUMIF($A$7:$AC$128,$A47,$AB$6:$AB$127)*W$5,0)</f>
        <v>0</v>
      </c>
      <c r="X47" s="35">
        <f>IF(AND(COLUMN()&gt;=11,COLUMN()&lt;=20),(_xlfn.XLOOKUP($A47,'Oferta Producto 3'!$B$10:$B$21,'Oferta Producto 3'!$E$10:$E$21))/SUMIF($A$7:$AC$128,$A47,$AB$6:$AB$127)*X$5,0)</f>
        <v>0</v>
      </c>
      <c r="Y47" s="35">
        <f>IF(AND(COLUMN()&gt;=11,COLUMN()&lt;=20),(_xlfn.XLOOKUP($A47,'Oferta Producto 3'!$B$10:$B$21,'Oferta Producto 3'!$E$10:$E$21))/SUMIF($A$7:$AC$128,$A47,$AB$6:$AB$127)*Y$5,0)</f>
        <v>0</v>
      </c>
      <c r="Z47" s="35">
        <f>IF(AND(COLUMN()&gt;=11,COLUMN()&lt;=20),(_xlfn.XLOOKUP($A47,'Oferta Producto 3'!$B$10:$B$21,'Oferta Producto 3'!$E$10:$E$21))/SUMIF($A$7:$AC$128,$A47,$AB$6:$AB$127)*Z$5,0)</f>
        <v>0</v>
      </c>
      <c r="AA47" s="35">
        <f t="shared" ca="1" si="7"/>
        <v>0</v>
      </c>
      <c r="AB47" s="28">
        <f t="shared" si="2"/>
        <v>30</v>
      </c>
      <c r="AC47" s="29">
        <f t="shared" ca="1" si="3"/>
        <v>0</v>
      </c>
      <c r="AD47" s="48">
        <f ca="1">'Curvas Prod 3'!AC47/SUMIF('Curvas Prod 3'!A45:AC190,'Curva de la oferta Prod 3'!$A47,'Curvas Prod 3'!AC45:AC190)</f>
        <v>8.9820359281437126E-2</v>
      </c>
      <c r="AE47" s="45"/>
      <c r="AF47" s="49"/>
      <c r="AG47" s="49"/>
      <c r="AH47" s="49"/>
      <c r="AI47" s="49"/>
      <c r="AJ47" s="49"/>
      <c r="AK47" s="49"/>
    </row>
    <row r="48" spans="1:37" ht="15">
      <c r="A48" s="23">
        <f t="shared" si="0"/>
        <v>2029</v>
      </c>
      <c r="B48" s="27">
        <v>47239</v>
      </c>
      <c r="C48" s="35">
        <f>IF(AND(COLUMN()&gt;=11,COLUMN()&lt;=20),(_xlfn.XLOOKUP($A48,'Oferta Producto 3'!$B$10:$B$21,'Oferta Producto 3'!$E$10:$E$21))/SUMIF($A$7:$AC$128,$A48,$AB$6:$AB$127)*C$5,0)</f>
        <v>0</v>
      </c>
      <c r="D48" s="35">
        <f>IF(AND(COLUMN()&gt;=11,COLUMN()&lt;=20),(_xlfn.XLOOKUP($A48,'Oferta Producto 3'!$B$10:$B$21,'Oferta Producto 3'!$E$10:$E$21))/SUMIF($A$7:$AC$128,$A48,$AB$6:$AB$127)*D$5,0)</f>
        <v>0</v>
      </c>
      <c r="E48" s="35">
        <f>IF(AND(COLUMN()&gt;=11,COLUMN()&lt;=20),(_xlfn.XLOOKUP($A48,'Oferta Producto 3'!$B$10:$B$21,'Oferta Producto 3'!$E$10:$E$21))/SUMIF($A$7:$AC$128,$A48,$AB$6:$AB$127)*E$5,0)</f>
        <v>0</v>
      </c>
      <c r="F48" s="35">
        <f>IF(AND(COLUMN()&gt;=11,COLUMN()&lt;=20),(_xlfn.XLOOKUP($A48,'Oferta Producto 3'!$B$10:$B$21,'Oferta Producto 3'!$E$10:$E$21))/SUMIF($A$7:$AC$128,$A48,$AB$6:$AB$127)*F$5,0)</f>
        <v>0</v>
      </c>
      <c r="G48" s="35">
        <f>IF(AND(COLUMN()&gt;=11,COLUMN()&lt;=20),(_xlfn.XLOOKUP($A48,'Oferta Producto 3'!$B$10:$B$21,'Oferta Producto 3'!$E$10:$E$21))/SUMIF($A$7:$AC$128,$A48,$AB$6:$AB$127)*G$5,0)</f>
        <v>0</v>
      </c>
      <c r="H48" s="35">
        <f>IF(AND(COLUMN()&gt;=11,COLUMN()&lt;=20),(_xlfn.XLOOKUP($A48,'Oferta Producto 3'!$B$10:$B$21,'Oferta Producto 3'!$E$10:$E$21))/SUMIF($A$7:$AC$128,$A48,$AB$6:$AB$127)*H$5,0)</f>
        <v>0</v>
      </c>
      <c r="I48" s="35">
        <f>IF(AND(COLUMN()&gt;=11,COLUMN()&lt;=20),(_xlfn.XLOOKUP($A48,'Oferta Producto 3'!$B$10:$B$21,'Oferta Producto 3'!$E$10:$E$21))/SUMIF($A$7:$AC$128,$A48,$AB$6:$AB$127)*I$5,0)</f>
        <v>0</v>
      </c>
      <c r="J48" s="35">
        <f>IF(AND(COLUMN()&gt;=11,COLUMN()&lt;=20),(_xlfn.XLOOKUP($A48,'Oferta Producto 3'!$B$10:$B$21,'Oferta Producto 3'!$E$10:$E$21))/SUMIF($A$7:$AC$128,$A48,$AB$6:$AB$127)*J$5,0)</f>
        <v>0</v>
      </c>
      <c r="K48" s="35">
        <f ca="1">IF(AND(COLUMN()&gt;=11,COLUMN()&lt;=20),(_xlfn.XLOOKUP($A48,'Oferta Producto 3'!$B$10:$B$21,'Oferta Producto 3'!$E$10:$E$21))/SUMIF($A$7:$AC$128,$A48,$AB$6:$AB$127)*K$5,0)</f>
        <v>0</v>
      </c>
      <c r="L48" s="35">
        <f ca="1">IF(AND(COLUMN()&gt;=11,COLUMN()&lt;=20),(_xlfn.XLOOKUP($A48,'Oferta Producto 3'!$B$10:$B$21,'Oferta Producto 3'!$E$10:$E$21))/SUMIF($A$7:$AC$128,$A48,$AB$6:$AB$127)*L$5,0)</f>
        <v>0</v>
      </c>
      <c r="M48" s="35">
        <f ca="1">IF(AND(COLUMN()&gt;=11,COLUMN()&lt;=20),(_xlfn.XLOOKUP($A48,'Oferta Producto 3'!$B$10:$B$21,'Oferta Producto 3'!$E$10:$E$21))/SUMIF($A$7:$AC$128,$A48,$AB$6:$AB$127)*M$5,0)</f>
        <v>0</v>
      </c>
      <c r="N48" s="35">
        <f ca="1">IF(AND(COLUMN()&gt;=11,COLUMN()&lt;=20),(_xlfn.XLOOKUP($A48,'Oferta Producto 3'!$B$10:$B$21,'Oferta Producto 3'!$E$10:$E$21))/SUMIF($A$7:$AC$128,$A48,$AB$6:$AB$127)*N$5,0)</f>
        <v>0</v>
      </c>
      <c r="O48" s="35">
        <f ca="1">IF(AND(COLUMN()&gt;=11,COLUMN()&lt;=20),(_xlfn.XLOOKUP($A48,'Oferta Producto 3'!$B$10:$B$21,'Oferta Producto 3'!$E$10:$E$21))/SUMIF($A$7:$AC$128,$A48,$AB$6:$AB$127)*O$5,0)</f>
        <v>0</v>
      </c>
      <c r="P48" s="35">
        <f ca="1">IF(AND(COLUMN()&gt;=11,COLUMN()&lt;=20),(_xlfn.XLOOKUP($A48,'Oferta Producto 3'!$B$10:$B$21,'Oferta Producto 3'!$E$10:$E$21))/SUMIF($A$7:$AC$128,$A48,$AB$6:$AB$127)*P$5,0)</f>
        <v>0</v>
      </c>
      <c r="Q48" s="35">
        <f ca="1">IF(AND(COLUMN()&gt;=11,COLUMN()&lt;=20),(_xlfn.XLOOKUP($A48,'Oferta Producto 3'!$B$10:$B$21,'Oferta Producto 3'!$E$10:$E$21))/SUMIF($A$7:$AC$128,$A48,$AB$6:$AB$127)*Q$5,0)</f>
        <v>0</v>
      </c>
      <c r="R48" s="35">
        <f ca="1">IF(AND(COLUMN()&gt;=11,COLUMN()&lt;=20),(_xlfn.XLOOKUP($A48,'Oferta Producto 3'!$B$10:$B$21,'Oferta Producto 3'!$E$10:$E$21))/SUMIF($A$7:$AC$128,$A48,$AB$6:$AB$127)*R$5,0)</f>
        <v>0</v>
      </c>
      <c r="S48" s="35">
        <f ca="1">IF(AND(COLUMN()&gt;=11,COLUMN()&lt;=20),(_xlfn.XLOOKUP($A48,'Oferta Producto 3'!$B$10:$B$21,'Oferta Producto 3'!$E$10:$E$21))/SUMIF($A$7:$AC$128,$A48,$AB$6:$AB$127)*S$5,0)</f>
        <v>0</v>
      </c>
      <c r="T48" s="35">
        <f ca="1">IF(AND(COLUMN()&gt;=11,COLUMN()&lt;=20),(_xlfn.XLOOKUP($A48,'Oferta Producto 3'!$B$10:$B$21,'Oferta Producto 3'!$E$10:$E$21))/SUMIF($A$7:$AC$128,$A48,$AB$6:$AB$127)*T$5,0)</f>
        <v>0</v>
      </c>
      <c r="U48" s="35">
        <f>IF(AND(COLUMN()&gt;=11,COLUMN()&lt;=20),(_xlfn.XLOOKUP($A48,'Oferta Producto 3'!$B$10:$B$21,'Oferta Producto 3'!$E$10:$E$21))/SUMIF($A$7:$AC$128,$A48,$AB$6:$AB$127)*U$5,0)</f>
        <v>0</v>
      </c>
      <c r="V48" s="35">
        <f>IF(AND(COLUMN()&gt;=11,COLUMN()&lt;=20),(_xlfn.XLOOKUP($A48,'Oferta Producto 3'!$B$10:$B$21,'Oferta Producto 3'!$E$10:$E$21))/SUMIF($A$7:$AC$128,$A48,$AB$6:$AB$127)*V$5,0)</f>
        <v>0</v>
      </c>
      <c r="W48" s="35">
        <f>IF(AND(COLUMN()&gt;=11,COLUMN()&lt;=20),(_xlfn.XLOOKUP($A48,'Oferta Producto 3'!$B$10:$B$21,'Oferta Producto 3'!$E$10:$E$21))/SUMIF($A$7:$AC$128,$A48,$AB$6:$AB$127)*W$5,0)</f>
        <v>0</v>
      </c>
      <c r="X48" s="35">
        <f>IF(AND(COLUMN()&gt;=11,COLUMN()&lt;=20),(_xlfn.XLOOKUP($A48,'Oferta Producto 3'!$B$10:$B$21,'Oferta Producto 3'!$E$10:$E$21))/SUMIF($A$7:$AC$128,$A48,$AB$6:$AB$127)*X$5,0)</f>
        <v>0</v>
      </c>
      <c r="Y48" s="35">
        <f>IF(AND(COLUMN()&gt;=11,COLUMN()&lt;=20),(_xlfn.XLOOKUP($A48,'Oferta Producto 3'!$B$10:$B$21,'Oferta Producto 3'!$E$10:$E$21))/SUMIF($A$7:$AC$128,$A48,$AB$6:$AB$127)*Y$5,0)</f>
        <v>0</v>
      </c>
      <c r="Z48" s="35">
        <f>IF(AND(COLUMN()&gt;=11,COLUMN()&lt;=20),(_xlfn.XLOOKUP($A48,'Oferta Producto 3'!$B$10:$B$21,'Oferta Producto 3'!$E$10:$E$21))/SUMIF($A$7:$AC$128,$A48,$AB$6:$AB$127)*Z$5,0)</f>
        <v>0</v>
      </c>
      <c r="AA48" s="35">
        <f t="shared" ca="1" si="7"/>
        <v>0</v>
      </c>
      <c r="AB48" s="28">
        <f t="shared" si="2"/>
        <v>31</v>
      </c>
      <c r="AC48" s="29">
        <f t="shared" ca="1" si="3"/>
        <v>0</v>
      </c>
      <c r="AD48" s="48">
        <f ca="1">'Curvas Prod 3'!AC48/SUMIF('Curvas Prod 3'!A46:AC191,'Curva de la oferta Prod 3'!$A48,'Curvas Prod 3'!AC46:AC191)</f>
        <v>0.10130718954248366</v>
      </c>
      <c r="AE48" s="45"/>
      <c r="AF48" s="49"/>
      <c r="AG48" s="49"/>
      <c r="AH48" s="49"/>
      <c r="AI48" s="49"/>
      <c r="AJ48" s="49"/>
      <c r="AK48" s="49"/>
    </row>
    <row r="49" spans="1:37" ht="15">
      <c r="A49" s="23">
        <f t="shared" si="0"/>
        <v>2029</v>
      </c>
      <c r="B49" s="27">
        <v>47270</v>
      </c>
      <c r="C49" s="35">
        <f>IF(AND(COLUMN()&gt;=11,COLUMN()&lt;=20),(_xlfn.XLOOKUP($A49,'Oferta Producto 3'!$B$10:$B$21,'Oferta Producto 3'!$E$10:$E$21))/SUMIF($A$7:$AC$128,$A49,$AB$6:$AB$127)*C$5,0)</f>
        <v>0</v>
      </c>
      <c r="D49" s="35">
        <f>IF(AND(COLUMN()&gt;=11,COLUMN()&lt;=20),(_xlfn.XLOOKUP($A49,'Oferta Producto 3'!$B$10:$B$21,'Oferta Producto 3'!$E$10:$E$21))/SUMIF($A$7:$AC$128,$A49,$AB$6:$AB$127)*D$5,0)</f>
        <v>0</v>
      </c>
      <c r="E49" s="35">
        <f>IF(AND(COLUMN()&gt;=11,COLUMN()&lt;=20),(_xlfn.XLOOKUP($A49,'Oferta Producto 3'!$B$10:$B$21,'Oferta Producto 3'!$E$10:$E$21))/SUMIF($A$7:$AC$128,$A49,$AB$6:$AB$127)*E$5,0)</f>
        <v>0</v>
      </c>
      <c r="F49" s="35">
        <f>IF(AND(COLUMN()&gt;=11,COLUMN()&lt;=20),(_xlfn.XLOOKUP($A49,'Oferta Producto 3'!$B$10:$B$21,'Oferta Producto 3'!$E$10:$E$21))/SUMIF($A$7:$AC$128,$A49,$AB$6:$AB$127)*F$5,0)</f>
        <v>0</v>
      </c>
      <c r="G49" s="35">
        <f>IF(AND(COLUMN()&gt;=11,COLUMN()&lt;=20),(_xlfn.XLOOKUP($A49,'Oferta Producto 3'!$B$10:$B$21,'Oferta Producto 3'!$E$10:$E$21))/SUMIF($A$7:$AC$128,$A49,$AB$6:$AB$127)*G$5,0)</f>
        <v>0</v>
      </c>
      <c r="H49" s="35">
        <f>IF(AND(COLUMN()&gt;=11,COLUMN()&lt;=20),(_xlfn.XLOOKUP($A49,'Oferta Producto 3'!$B$10:$B$21,'Oferta Producto 3'!$E$10:$E$21))/SUMIF($A$7:$AC$128,$A49,$AB$6:$AB$127)*H$5,0)</f>
        <v>0</v>
      </c>
      <c r="I49" s="35">
        <f>IF(AND(COLUMN()&gt;=11,COLUMN()&lt;=20),(_xlfn.XLOOKUP($A49,'Oferta Producto 3'!$B$10:$B$21,'Oferta Producto 3'!$E$10:$E$21))/SUMIF($A$7:$AC$128,$A49,$AB$6:$AB$127)*I$5,0)</f>
        <v>0</v>
      </c>
      <c r="J49" s="35">
        <f>IF(AND(COLUMN()&gt;=11,COLUMN()&lt;=20),(_xlfn.XLOOKUP($A49,'Oferta Producto 3'!$B$10:$B$21,'Oferta Producto 3'!$E$10:$E$21))/SUMIF($A$7:$AC$128,$A49,$AB$6:$AB$127)*J$5,0)</f>
        <v>0</v>
      </c>
      <c r="K49" s="35">
        <f ca="1">IF(AND(COLUMN()&gt;=11,COLUMN()&lt;=20),(_xlfn.XLOOKUP($A49,'Oferta Producto 3'!$B$10:$B$21,'Oferta Producto 3'!$E$10:$E$21))/SUMIF($A$7:$AC$128,$A49,$AB$6:$AB$127)*K$5,0)</f>
        <v>0</v>
      </c>
      <c r="L49" s="35">
        <f ca="1">IF(AND(COLUMN()&gt;=11,COLUMN()&lt;=20),(_xlfn.XLOOKUP($A49,'Oferta Producto 3'!$B$10:$B$21,'Oferta Producto 3'!$E$10:$E$21))/SUMIF($A$7:$AC$128,$A49,$AB$6:$AB$127)*L$5,0)</f>
        <v>0</v>
      </c>
      <c r="M49" s="35">
        <f ca="1">IF(AND(COLUMN()&gt;=11,COLUMN()&lt;=20),(_xlfn.XLOOKUP($A49,'Oferta Producto 3'!$B$10:$B$21,'Oferta Producto 3'!$E$10:$E$21))/SUMIF($A$7:$AC$128,$A49,$AB$6:$AB$127)*M$5,0)</f>
        <v>0</v>
      </c>
      <c r="N49" s="35">
        <f ca="1">IF(AND(COLUMN()&gt;=11,COLUMN()&lt;=20),(_xlfn.XLOOKUP($A49,'Oferta Producto 3'!$B$10:$B$21,'Oferta Producto 3'!$E$10:$E$21))/SUMIF($A$7:$AC$128,$A49,$AB$6:$AB$127)*N$5,0)</f>
        <v>0</v>
      </c>
      <c r="O49" s="35">
        <f ca="1">IF(AND(COLUMN()&gt;=11,COLUMN()&lt;=20),(_xlfn.XLOOKUP($A49,'Oferta Producto 3'!$B$10:$B$21,'Oferta Producto 3'!$E$10:$E$21))/SUMIF($A$7:$AC$128,$A49,$AB$6:$AB$127)*O$5,0)</f>
        <v>0</v>
      </c>
      <c r="P49" s="35">
        <f ca="1">IF(AND(COLUMN()&gt;=11,COLUMN()&lt;=20),(_xlfn.XLOOKUP($A49,'Oferta Producto 3'!$B$10:$B$21,'Oferta Producto 3'!$E$10:$E$21))/SUMIF($A$7:$AC$128,$A49,$AB$6:$AB$127)*P$5,0)</f>
        <v>0</v>
      </c>
      <c r="Q49" s="35">
        <f ca="1">IF(AND(COLUMN()&gt;=11,COLUMN()&lt;=20),(_xlfn.XLOOKUP($A49,'Oferta Producto 3'!$B$10:$B$21,'Oferta Producto 3'!$E$10:$E$21))/SUMIF($A$7:$AC$128,$A49,$AB$6:$AB$127)*Q$5,0)</f>
        <v>0</v>
      </c>
      <c r="R49" s="35">
        <f ca="1">IF(AND(COLUMN()&gt;=11,COLUMN()&lt;=20),(_xlfn.XLOOKUP($A49,'Oferta Producto 3'!$B$10:$B$21,'Oferta Producto 3'!$E$10:$E$21))/SUMIF($A$7:$AC$128,$A49,$AB$6:$AB$127)*R$5,0)</f>
        <v>0</v>
      </c>
      <c r="S49" s="35">
        <f ca="1">IF(AND(COLUMN()&gt;=11,COLUMN()&lt;=20),(_xlfn.XLOOKUP($A49,'Oferta Producto 3'!$B$10:$B$21,'Oferta Producto 3'!$E$10:$E$21))/SUMIF($A$7:$AC$128,$A49,$AB$6:$AB$127)*S$5,0)</f>
        <v>0</v>
      </c>
      <c r="T49" s="35">
        <f ca="1">IF(AND(COLUMN()&gt;=11,COLUMN()&lt;=20),(_xlfn.XLOOKUP($A49,'Oferta Producto 3'!$B$10:$B$21,'Oferta Producto 3'!$E$10:$E$21))/SUMIF($A$7:$AC$128,$A49,$AB$6:$AB$127)*T$5,0)</f>
        <v>0</v>
      </c>
      <c r="U49" s="35">
        <f>IF(AND(COLUMN()&gt;=11,COLUMN()&lt;=20),(_xlfn.XLOOKUP($A49,'Oferta Producto 3'!$B$10:$B$21,'Oferta Producto 3'!$E$10:$E$21))/SUMIF($A$7:$AC$128,$A49,$AB$6:$AB$127)*U$5,0)</f>
        <v>0</v>
      </c>
      <c r="V49" s="35">
        <f>IF(AND(COLUMN()&gt;=11,COLUMN()&lt;=20),(_xlfn.XLOOKUP($A49,'Oferta Producto 3'!$B$10:$B$21,'Oferta Producto 3'!$E$10:$E$21))/SUMIF($A$7:$AC$128,$A49,$AB$6:$AB$127)*V$5,0)</f>
        <v>0</v>
      </c>
      <c r="W49" s="35">
        <f>IF(AND(COLUMN()&gt;=11,COLUMN()&lt;=20),(_xlfn.XLOOKUP($A49,'Oferta Producto 3'!$B$10:$B$21,'Oferta Producto 3'!$E$10:$E$21))/SUMIF($A$7:$AC$128,$A49,$AB$6:$AB$127)*W$5,0)</f>
        <v>0</v>
      </c>
      <c r="X49" s="35">
        <f>IF(AND(COLUMN()&gt;=11,COLUMN()&lt;=20),(_xlfn.XLOOKUP($A49,'Oferta Producto 3'!$B$10:$B$21,'Oferta Producto 3'!$E$10:$E$21))/SUMIF($A$7:$AC$128,$A49,$AB$6:$AB$127)*X$5,0)</f>
        <v>0</v>
      </c>
      <c r="Y49" s="35">
        <f>IF(AND(COLUMN()&gt;=11,COLUMN()&lt;=20),(_xlfn.XLOOKUP($A49,'Oferta Producto 3'!$B$10:$B$21,'Oferta Producto 3'!$E$10:$E$21))/SUMIF($A$7:$AC$128,$A49,$AB$6:$AB$127)*Y$5,0)</f>
        <v>0</v>
      </c>
      <c r="Z49" s="35">
        <f>IF(AND(COLUMN()&gt;=11,COLUMN()&lt;=20),(_xlfn.XLOOKUP($A49,'Oferta Producto 3'!$B$10:$B$21,'Oferta Producto 3'!$E$10:$E$21))/SUMIF($A$7:$AC$128,$A49,$AB$6:$AB$127)*Z$5,0)</f>
        <v>0</v>
      </c>
      <c r="AA49" s="35">
        <f t="shared" ca="1" si="7"/>
        <v>0</v>
      </c>
      <c r="AB49" s="28">
        <f t="shared" si="2"/>
        <v>30</v>
      </c>
      <c r="AC49" s="29">
        <f t="shared" ca="1" si="3"/>
        <v>0</v>
      </c>
      <c r="AD49" s="48">
        <f ca="1">'Curvas Prod 3'!AC49/SUMIF('Curvas Prod 3'!A47:AC192,'Curva de la oferta Prod 3'!$A49,'Curvas Prod 3'!AC47:AC192)</f>
        <v>0.10909090909090909</v>
      </c>
      <c r="AE49" s="45"/>
      <c r="AF49" s="49"/>
      <c r="AG49" s="49"/>
      <c r="AH49" s="49"/>
      <c r="AI49" s="49"/>
      <c r="AJ49" s="49"/>
      <c r="AK49" s="49"/>
    </row>
    <row r="50" spans="1:37" ht="15">
      <c r="A50" s="23">
        <f t="shared" si="0"/>
        <v>2029</v>
      </c>
      <c r="B50" s="27">
        <v>47300</v>
      </c>
      <c r="C50" s="35">
        <f>IF(AND(COLUMN()&gt;=11,COLUMN()&lt;=20),(_xlfn.XLOOKUP($A50,'Oferta Producto 3'!$B$10:$B$21,'Oferta Producto 3'!$E$10:$E$21))/SUMIF($A$7:$AC$128,$A50,$AB$6:$AB$127)*C$5,0)</f>
        <v>0</v>
      </c>
      <c r="D50" s="35">
        <f>IF(AND(COLUMN()&gt;=11,COLUMN()&lt;=20),(_xlfn.XLOOKUP($A50,'Oferta Producto 3'!$B$10:$B$21,'Oferta Producto 3'!$E$10:$E$21))/SUMIF($A$7:$AC$128,$A50,$AB$6:$AB$127)*D$5,0)</f>
        <v>0</v>
      </c>
      <c r="E50" s="35">
        <f>IF(AND(COLUMN()&gt;=11,COLUMN()&lt;=20),(_xlfn.XLOOKUP($A50,'Oferta Producto 3'!$B$10:$B$21,'Oferta Producto 3'!$E$10:$E$21))/SUMIF($A$7:$AC$128,$A50,$AB$6:$AB$127)*E$5,0)</f>
        <v>0</v>
      </c>
      <c r="F50" s="35">
        <f>IF(AND(COLUMN()&gt;=11,COLUMN()&lt;=20),(_xlfn.XLOOKUP($A50,'Oferta Producto 3'!$B$10:$B$21,'Oferta Producto 3'!$E$10:$E$21))/SUMIF($A$7:$AC$128,$A50,$AB$6:$AB$127)*F$5,0)</f>
        <v>0</v>
      </c>
      <c r="G50" s="35">
        <f>IF(AND(COLUMN()&gt;=11,COLUMN()&lt;=20),(_xlfn.XLOOKUP($A50,'Oferta Producto 3'!$B$10:$B$21,'Oferta Producto 3'!$E$10:$E$21))/SUMIF($A$7:$AC$128,$A50,$AB$6:$AB$127)*G$5,0)</f>
        <v>0</v>
      </c>
      <c r="H50" s="35">
        <f>IF(AND(COLUMN()&gt;=11,COLUMN()&lt;=20),(_xlfn.XLOOKUP($A50,'Oferta Producto 3'!$B$10:$B$21,'Oferta Producto 3'!$E$10:$E$21))/SUMIF($A$7:$AC$128,$A50,$AB$6:$AB$127)*H$5,0)</f>
        <v>0</v>
      </c>
      <c r="I50" s="35">
        <f>IF(AND(COLUMN()&gt;=11,COLUMN()&lt;=20),(_xlfn.XLOOKUP($A50,'Oferta Producto 3'!$B$10:$B$21,'Oferta Producto 3'!$E$10:$E$21))/SUMIF($A$7:$AC$128,$A50,$AB$6:$AB$127)*I$5,0)</f>
        <v>0</v>
      </c>
      <c r="J50" s="35">
        <f>IF(AND(COLUMN()&gt;=11,COLUMN()&lt;=20),(_xlfn.XLOOKUP($A50,'Oferta Producto 3'!$B$10:$B$21,'Oferta Producto 3'!$E$10:$E$21))/SUMIF($A$7:$AC$128,$A50,$AB$6:$AB$127)*J$5,0)</f>
        <v>0</v>
      </c>
      <c r="K50" s="35">
        <f ca="1">IF(AND(COLUMN()&gt;=11,COLUMN()&lt;=20),(_xlfn.XLOOKUP($A50,'Oferta Producto 3'!$B$10:$B$21,'Oferta Producto 3'!$E$10:$E$21))/SUMIF($A$7:$AC$128,$A50,$AB$6:$AB$127)*K$5,0)</f>
        <v>0</v>
      </c>
      <c r="L50" s="35">
        <f ca="1">IF(AND(COLUMN()&gt;=11,COLUMN()&lt;=20),(_xlfn.XLOOKUP($A50,'Oferta Producto 3'!$B$10:$B$21,'Oferta Producto 3'!$E$10:$E$21))/SUMIF($A$7:$AC$128,$A50,$AB$6:$AB$127)*L$5,0)</f>
        <v>0</v>
      </c>
      <c r="M50" s="35">
        <f ca="1">IF(AND(COLUMN()&gt;=11,COLUMN()&lt;=20),(_xlfn.XLOOKUP($A50,'Oferta Producto 3'!$B$10:$B$21,'Oferta Producto 3'!$E$10:$E$21))/SUMIF($A$7:$AC$128,$A50,$AB$6:$AB$127)*M$5,0)</f>
        <v>0</v>
      </c>
      <c r="N50" s="35">
        <f ca="1">IF(AND(COLUMN()&gt;=11,COLUMN()&lt;=20),(_xlfn.XLOOKUP($A50,'Oferta Producto 3'!$B$10:$B$21,'Oferta Producto 3'!$E$10:$E$21))/SUMIF($A$7:$AC$128,$A50,$AB$6:$AB$127)*N$5,0)</f>
        <v>0</v>
      </c>
      <c r="O50" s="35">
        <f ca="1">IF(AND(COLUMN()&gt;=11,COLUMN()&lt;=20),(_xlfn.XLOOKUP($A50,'Oferta Producto 3'!$B$10:$B$21,'Oferta Producto 3'!$E$10:$E$21))/SUMIF($A$7:$AC$128,$A50,$AB$6:$AB$127)*O$5,0)</f>
        <v>0</v>
      </c>
      <c r="P50" s="35">
        <f ca="1">IF(AND(COLUMN()&gt;=11,COLUMN()&lt;=20),(_xlfn.XLOOKUP($A50,'Oferta Producto 3'!$B$10:$B$21,'Oferta Producto 3'!$E$10:$E$21))/SUMIF($A$7:$AC$128,$A50,$AB$6:$AB$127)*P$5,0)</f>
        <v>0</v>
      </c>
      <c r="Q50" s="35">
        <f ca="1">IF(AND(COLUMN()&gt;=11,COLUMN()&lt;=20),(_xlfn.XLOOKUP($A50,'Oferta Producto 3'!$B$10:$B$21,'Oferta Producto 3'!$E$10:$E$21))/SUMIF($A$7:$AC$128,$A50,$AB$6:$AB$127)*Q$5,0)</f>
        <v>0</v>
      </c>
      <c r="R50" s="35">
        <f ca="1">IF(AND(COLUMN()&gt;=11,COLUMN()&lt;=20),(_xlfn.XLOOKUP($A50,'Oferta Producto 3'!$B$10:$B$21,'Oferta Producto 3'!$E$10:$E$21))/SUMIF($A$7:$AC$128,$A50,$AB$6:$AB$127)*R$5,0)</f>
        <v>0</v>
      </c>
      <c r="S50" s="35">
        <f ca="1">IF(AND(COLUMN()&gt;=11,COLUMN()&lt;=20),(_xlfn.XLOOKUP($A50,'Oferta Producto 3'!$B$10:$B$21,'Oferta Producto 3'!$E$10:$E$21))/SUMIF($A$7:$AC$128,$A50,$AB$6:$AB$127)*S$5,0)</f>
        <v>0</v>
      </c>
      <c r="T50" s="35">
        <f ca="1">IF(AND(COLUMN()&gt;=11,COLUMN()&lt;=20),(_xlfn.XLOOKUP($A50,'Oferta Producto 3'!$B$10:$B$21,'Oferta Producto 3'!$E$10:$E$21))/SUMIF($A$7:$AC$128,$A50,$AB$6:$AB$127)*T$5,0)</f>
        <v>0</v>
      </c>
      <c r="U50" s="35">
        <f>IF(AND(COLUMN()&gt;=11,COLUMN()&lt;=20),(_xlfn.XLOOKUP($A50,'Oferta Producto 3'!$B$10:$B$21,'Oferta Producto 3'!$E$10:$E$21))/SUMIF($A$7:$AC$128,$A50,$AB$6:$AB$127)*U$5,0)</f>
        <v>0</v>
      </c>
      <c r="V50" s="35">
        <f>IF(AND(COLUMN()&gt;=11,COLUMN()&lt;=20),(_xlfn.XLOOKUP($A50,'Oferta Producto 3'!$B$10:$B$21,'Oferta Producto 3'!$E$10:$E$21))/SUMIF($A$7:$AC$128,$A50,$AB$6:$AB$127)*V$5,0)</f>
        <v>0</v>
      </c>
      <c r="W50" s="35">
        <f>IF(AND(COLUMN()&gt;=11,COLUMN()&lt;=20),(_xlfn.XLOOKUP($A50,'Oferta Producto 3'!$B$10:$B$21,'Oferta Producto 3'!$E$10:$E$21))/SUMIF($A$7:$AC$128,$A50,$AB$6:$AB$127)*W$5,0)</f>
        <v>0</v>
      </c>
      <c r="X50" s="35">
        <f>IF(AND(COLUMN()&gt;=11,COLUMN()&lt;=20),(_xlfn.XLOOKUP($A50,'Oferta Producto 3'!$B$10:$B$21,'Oferta Producto 3'!$E$10:$E$21))/SUMIF($A$7:$AC$128,$A50,$AB$6:$AB$127)*X$5,0)</f>
        <v>0</v>
      </c>
      <c r="Y50" s="35">
        <f>IF(AND(COLUMN()&gt;=11,COLUMN()&lt;=20),(_xlfn.XLOOKUP($A50,'Oferta Producto 3'!$B$10:$B$21,'Oferta Producto 3'!$E$10:$E$21))/SUMIF($A$7:$AC$128,$A50,$AB$6:$AB$127)*Y$5,0)</f>
        <v>0</v>
      </c>
      <c r="Z50" s="35">
        <f>IF(AND(COLUMN()&gt;=11,COLUMN()&lt;=20),(_xlfn.XLOOKUP($A50,'Oferta Producto 3'!$B$10:$B$21,'Oferta Producto 3'!$E$10:$E$21))/SUMIF($A$7:$AC$128,$A50,$AB$6:$AB$127)*Z$5,0)</f>
        <v>0</v>
      </c>
      <c r="AA50" s="35">
        <f t="shared" ca="1" si="7"/>
        <v>0</v>
      </c>
      <c r="AB50" s="28">
        <f t="shared" si="2"/>
        <v>31</v>
      </c>
      <c r="AC50" s="29">
        <f t="shared" ca="1" si="3"/>
        <v>0</v>
      </c>
      <c r="AD50" s="48">
        <f ca="1">'Curvas Prod 3'!AC50/SUMIF('Curvas Prod 3'!A48:AC193,'Curva de la oferta Prod 3'!$A50,'Curvas Prod 3'!AC48:AC193)</f>
        <v>0.12653061224489795</v>
      </c>
      <c r="AE50" s="45"/>
      <c r="AF50" s="49"/>
      <c r="AG50" s="49"/>
      <c r="AH50" s="49"/>
      <c r="AI50" s="49"/>
      <c r="AJ50" s="49"/>
      <c r="AK50" s="49"/>
    </row>
    <row r="51" spans="1:37" ht="15">
      <c r="A51" s="23">
        <f t="shared" si="0"/>
        <v>2029</v>
      </c>
      <c r="B51" s="27">
        <v>47331</v>
      </c>
      <c r="C51" s="35">
        <f>IF(AND(COLUMN()&gt;=11,COLUMN()&lt;=20),(_xlfn.XLOOKUP($A51,'Oferta Producto 3'!$B$10:$B$21,'Oferta Producto 3'!$E$10:$E$21))/SUMIF($A$7:$AC$128,$A51,$AB$6:$AB$127)*C$5,0)</f>
        <v>0</v>
      </c>
      <c r="D51" s="35">
        <f>IF(AND(COLUMN()&gt;=11,COLUMN()&lt;=20),(_xlfn.XLOOKUP($A51,'Oferta Producto 3'!$B$10:$B$21,'Oferta Producto 3'!$E$10:$E$21))/SUMIF($A$7:$AC$128,$A51,$AB$6:$AB$127)*D$5,0)</f>
        <v>0</v>
      </c>
      <c r="E51" s="35">
        <f>IF(AND(COLUMN()&gt;=11,COLUMN()&lt;=20),(_xlfn.XLOOKUP($A51,'Oferta Producto 3'!$B$10:$B$21,'Oferta Producto 3'!$E$10:$E$21))/SUMIF($A$7:$AC$128,$A51,$AB$6:$AB$127)*E$5,0)</f>
        <v>0</v>
      </c>
      <c r="F51" s="35">
        <f>IF(AND(COLUMN()&gt;=11,COLUMN()&lt;=20),(_xlfn.XLOOKUP($A51,'Oferta Producto 3'!$B$10:$B$21,'Oferta Producto 3'!$E$10:$E$21))/SUMIF($A$7:$AC$128,$A51,$AB$6:$AB$127)*F$5,0)</f>
        <v>0</v>
      </c>
      <c r="G51" s="35">
        <f>IF(AND(COLUMN()&gt;=11,COLUMN()&lt;=20),(_xlfn.XLOOKUP($A51,'Oferta Producto 3'!$B$10:$B$21,'Oferta Producto 3'!$E$10:$E$21))/SUMIF($A$7:$AC$128,$A51,$AB$6:$AB$127)*G$5,0)</f>
        <v>0</v>
      </c>
      <c r="H51" s="35">
        <f>IF(AND(COLUMN()&gt;=11,COLUMN()&lt;=20),(_xlfn.XLOOKUP($A51,'Oferta Producto 3'!$B$10:$B$21,'Oferta Producto 3'!$E$10:$E$21))/SUMIF($A$7:$AC$128,$A51,$AB$6:$AB$127)*H$5,0)</f>
        <v>0</v>
      </c>
      <c r="I51" s="35">
        <f>IF(AND(COLUMN()&gt;=11,COLUMN()&lt;=20),(_xlfn.XLOOKUP($A51,'Oferta Producto 3'!$B$10:$B$21,'Oferta Producto 3'!$E$10:$E$21))/SUMIF($A$7:$AC$128,$A51,$AB$6:$AB$127)*I$5,0)</f>
        <v>0</v>
      </c>
      <c r="J51" s="35">
        <f>IF(AND(COLUMN()&gt;=11,COLUMN()&lt;=20),(_xlfn.XLOOKUP($A51,'Oferta Producto 3'!$B$10:$B$21,'Oferta Producto 3'!$E$10:$E$21))/SUMIF($A$7:$AC$128,$A51,$AB$6:$AB$127)*J$5,0)</f>
        <v>0</v>
      </c>
      <c r="K51" s="35">
        <f ca="1">IF(AND(COLUMN()&gt;=11,COLUMN()&lt;=20),(_xlfn.XLOOKUP($A51,'Oferta Producto 3'!$B$10:$B$21,'Oferta Producto 3'!$E$10:$E$21))/SUMIF($A$7:$AC$128,$A51,$AB$6:$AB$127)*K$5,0)</f>
        <v>0</v>
      </c>
      <c r="L51" s="35">
        <f ca="1">IF(AND(COLUMN()&gt;=11,COLUMN()&lt;=20),(_xlfn.XLOOKUP($A51,'Oferta Producto 3'!$B$10:$B$21,'Oferta Producto 3'!$E$10:$E$21))/SUMIF($A$7:$AC$128,$A51,$AB$6:$AB$127)*L$5,0)</f>
        <v>0</v>
      </c>
      <c r="M51" s="35">
        <f ca="1">IF(AND(COLUMN()&gt;=11,COLUMN()&lt;=20),(_xlfn.XLOOKUP($A51,'Oferta Producto 3'!$B$10:$B$21,'Oferta Producto 3'!$E$10:$E$21))/SUMIF($A$7:$AC$128,$A51,$AB$6:$AB$127)*M$5,0)</f>
        <v>0</v>
      </c>
      <c r="N51" s="35">
        <f ca="1">IF(AND(COLUMN()&gt;=11,COLUMN()&lt;=20),(_xlfn.XLOOKUP($A51,'Oferta Producto 3'!$B$10:$B$21,'Oferta Producto 3'!$E$10:$E$21))/SUMIF($A$7:$AC$128,$A51,$AB$6:$AB$127)*N$5,0)</f>
        <v>0</v>
      </c>
      <c r="O51" s="35">
        <f ca="1">IF(AND(COLUMN()&gt;=11,COLUMN()&lt;=20),(_xlfn.XLOOKUP($A51,'Oferta Producto 3'!$B$10:$B$21,'Oferta Producto 3'!$E$10:$E$21))/SUMIF($A$7:$AC$128,$A51,$AB$6:$AB$127)*O$5,0)</f>
        <v>0</v>
      </c>
      <c r="P51" s="35">
        <f ca="1">IF(AND(COLUMN()&gt;=11,COLUMN()&lt;=20),(_xlfn.XLOOKUP($A51,'Oferta Producto 3'!$B$10:$B$21,'Oferta Producto 3'!$E$10:$E$21))/SUMIF($A$7:$AC$128,$A51,$AB$6:$AB$127)*P$5,0)</f>
        <v>0</v>
      </c>
      <c r="Q51" s="35">
        <f ca="1">IF(AND(COLUMN()&gt;=11,COLUMN()&lt;=20),(_xlfn.XLOOKUP($A51,'Oferta Producto 3'!$B$10:$B$21,'Oferta Producto 3'!$E$10:$E$21))/SUMIF($A$7:$AC$128,$A51,$AB$6:$AB$127)*Q$5,0)</f>
        <v>0</v>
      </c>
      <c r="R51" s="35">
        <f ca="1">IF(AND(COLUMN()&gt;=11,COLUMN()&lt;=20),(_xlfn.XLOOKUP($A51,'Oferta Producto 3'!$B$10:$B$21,'Oferta Producto 3'!$E$10:$E$21))/SUMIF($A$7:$AC$128,$A51,$AB$6:$AB$127)*R$5,0)</f>
        <v>0</v>
      </c>
      <c r="S51" s="35">
        <f ca="1">IF(AND(COLUMN()&gt;=11,COLUMN()&lt;=20),(_xlfn.XLOOKUP($A51,'Oferta Producto 3'!$B$10:$B$21,'Oferta Producto 3'!$E$10:$E$21))/SUMIF($A$7:$AC$128,$A51,$AB$6:$AB$127)*S$5,0)</f>
        <v>0</v>
      </c>
      <c r="T51" s="35">
        <f ca="1">IF(AND(COLUMN()&gt;=11,COLUMN()&lt;=20),(_xlfn.XLOOKUP($A51,'Oferta Producto 3'!$B$10:$B$21,'Oferta Producto 3'!$E$10:$E$21))/SUMIF($A$7:$AC$128,$A51,$AB$6:$AB$127)*T$5,0)</f>
        <v>0</v>
      </c>
      <c r="U51" s="35">
        <f>IF(AND(COLUMN()&gt;=11,COLUMN()&lt;=20),(_xlfn.XLOOKUP($A51,'Oferta Producto 3'!$B$10:$B$21,'Oferta Producto 3'!$E$10:$E$21))/SUMIF($A$7:$AC$128,$A51,$AB$6:$AB$127)*U$5,0)</f>
        <v>0</v>
      </c>
      <c r="V51" s="35">
        <f>IF(AND(COLUMN()&gt;=11,COLUMN()&lt;=20),(_xlfn.XLOOKUP($A51,'Oferta Producto 3'!$B$10:$B$21,'Oferta Producto 3'!$E$10:$E$21))/SUMIF($A$7:$AC$128,$A51,$AB$6:$AB$127)*V$5,0)</f>
        <v>0</v>
      </c>
      <c r="W51" s="35">
        <f>IF(AND(COLUMN()&gt;=11,COLUMN()&lt;=20),(_xlfn.XLOOKUP($A51,'Oferta Producto 3'!$B$10:$B$21,'Oferta Producto 3'!$E$10:$E$21))/SUMIF($A$7:$AC$128,$A51,$AB$6:$AB$127)*W$5,0)</f>
        <v>0</v>
      </c>
      <c r="X51" s="35">
        <f>IF(AND(COLUMN()&gt;=11,COLUMN()&lt;=20),(_xlfn.XLOOKUP($A51,'Oferta Producto 3'!$B$10:$B$21,'Oferta Producto 3'!$E$10:$E$21))/SUMIF($A$7:$AC$128,$A51,$AB$6:$AB$127)*X$5,0)</f>
        <v>0</v>
      </c>
      <c r="Y51" s="35">
        <f>IF(AND(COLUMN()&gt;=11,COLUMN()&lt;=20),(_xlfn.XLOOKUP($A51,'Oferta Producto 3'!$B$10:$B$21,'Oferta Producto 3'!$E$10:$E$21))/SUMIF($A$7:$AC$128,$A51,$AB$6:$AB$127)*Y$5,0)</f>
        <v>0</v>
      </c>
      <c r="Z51" s="35">
        <f>IF(AND(COLUMN()&gt;=11,COLUMN()&lt;=20),(_xlfn.XLOOKUP($A51,'Oferta Producto 3'!$B$10:$B$21,'Oferta Producto 3'!$E$10:$E$21))/SUMIF($A$7:$AC$128,$A51,$AB$6:$AB$127)*Z$5,0)</f>
        <v>0</v>
      </c>
      <c r="AA51" s="35">
        <f t="shared" ca="1" si="7"/>
        <v>0</v>
      </c>
      <c r="AB51" s="28">
        <f t="shared" si="2"/>
        <v>31</v>
      </c>
      <c r="AC51" s="29">
        <f t="shared" ca="1" si="3"/>
        <v>0</v>
      </c>
      <c r="AD51" s="48">
        <f ca="1">'Curvas Prod 3'!AC51/SUMIF('Curvas Prod 3'!A49:AC194,'Curva de la oferta Prod 3'!$A51,'Curvas Prod 3'!AC49:AC194)</f>
        <v>0.14485981308411214</v>
      </c>
      <c r="AE51" s="45"/>
      <c r="AF51" s="49"/>
      <c r="AG51" s="49"/>
      <c r="AH51" s="49"/>
      <c r="AI51" s="49"/>
      <c r="AJ51" s="49"/>
      <c r="AK51" s="49"/>
    </row>
    <row r="52" spans="1:37" ht="15">
      <c r="A52" s="23">
        <f t="shared" si="0"/>
        <v>2029</v>
      </c>
      <c r="B52" s="27">
        <v>47362</v>
      </c>
      <c r="C52" s="35">
        <f>IF(AND(COLUMN()&gt;=11,COLUMN()&lt;=20),(_xlfn.XLOOKUP($A52,'Oferta Producto 3'!$B$10:$B$21,'Oferta Producto 3'!$E$10:$E$21))/SUMIF($A$7:$AC$128,$A52,$AB$6:$AB$127)*C$5,0)</f>
        <v>0</v>
      </c>
      <c r="D52" s="35">
        <f>IF(AND(COLUMN()&gt;=11,COLUMN()&lt;=20),(_xlfn.XLOOKUP($A52,'Oferta Producto 3'!$B$10:$B$21,'Oferta Producto 3'!$E$10:$E$21))/SUMIF($A$7:$AC$128,$A52,$AB$6:$AB$127)*D$5,0)</f>
        <v>0</v>
      </c>
      <c r="E52" s="35">
        <f>IF(AND(COLUMN()&gt;=11,COLUMN()&lt;=20),(_xlfn.XLOOKUP($A52,'Oferta Producto 3'!$B$10:$B$21,'Oferta Producto 3'!$E$10:$E$21))/SUMIF($A$7:$AC$128,$A52,$AB$6:$AB$127)*E$5,0)</f>
        <v>0</v>
      </c>
      <c r="F52" s="35">
        <f>IF(AND(COLUMN()&gt;=11,COLUMN()&lt;=20),(_xlfn.XLOOKUP($A52,'Oferta Producto 3'!$B$10:$B$21,'Oferta Producto 3'!$E$10:$E$21))/SUMIF($A$7:$AC$128,$A52,$AB$6:$AB$127)*F$5,0)</f>
        <v>0</v>
      </c>
      <c r="G52" s="35">
        <f>IF(AND(COLUMN()&gt;=11,COLUMN()&lt;=20),(_xlfn.XLOOKUP($A52,'Oferta Producto 3'!$B$10:$B$21,'Oferta Producto 3'!$E$10:$E$21))/SUMIF($A$7:$AC$128,$A52,$AB$6:$AB$127)*G$5,0)</f>
        <v>0</v>
      </c>
      <c r="H52" s="35">
        <f>IF(AND(COLUMN()&gt;=11,COLUMN()&lt;=20),(_xlfn.XLOOKUP($A52,'Oferta Producto 3'!$B$10:$B$21,'Oferta Producto 3'!$E$10:$E$21))/SUMIF($A$7:$AC$128,$A52,$AB$6:$AB$127)*H$5,0)</f>
        <v>0</v>
      </c>
      <c r="I52" s="35">
        <f>IF(AND(COLUMN()&gt;=11,COLUMN()&lt;=20),(_xlfn.XLOOKUP($A52,'Oferta Producto 3'!$B$10:$B$21,'Oferta Producto 3'!$E$10:$E$21))/SUMIF($A$7:$AC$128,$A52,$AB$6:$AB$127)*I$5,0)</f>
        <v>0</v>
      </c>
      <c r="J52" s="35">
        <f>IF(AND(COLUMN()&gt;=11,COLUMN()&lt;=20),(_xlfn.XLOOKUP($A52,'Oferta Producto 3'!$B$10:$B$21,'Oferta Producto 3'!$E$10:$E$21))/SUMIF($A$7:$AC$128,$A52,$AB$6:$AB$127)*J$5,0)</f>
        <v>0</v>
      </c>
      <c r="K52" s="35">
        <f ca="1">IF(AND(COLUMN()&gt;=11,COLUMN()&lt;=20),(_xlfn.XLOOKUP($A52,'Oferta Producto 3'!$B$10:$B$21,'Oferta Producto 3'!$E$10:$E$21))/SUMIF($A$7:$AC$128,$A52,$AB$6:$AB$127)*K$5,0)</f>
        <v>0</v>
      </c>
      <c r="L52" s="35">
        <f ca="1">IF(AND(COLUMN()&gt;=11,COLUMN()&lt;=20),(_xlfn.XLOOKUP($A52,'Oferta Producto 3'!$B$10:$B$21,'Oferta Producto 3'!$E$10:$E$21))/SUMIF($A$7:$AC$128,$A52,$AB$6:$AB$127)*L$5,0)</f>
        <v>0</v>
      </c>
      <c r="M52" s="35">
        <f ca="1">IF(AND(COLUMN()&gt;=11,COLUMN()&lt;=20),(_xlfn.XLOOKUP($A52,'Oferta Producto 3'!$B$10:$B$21,'Oferta Producto 3'!$E$10:$E$21))/SUMIF($A$7:$AC$128,$A52,$AB$6:$AB$127)*M$5,0)</f>
        <v>0</v>
      </c>
      <c r="N52" s="35">
        <f ca="1">IF(AND(COLUMN()&gt;=11,COLUMN()&lt;=20),(_xlfn.XLOOKUP($A52,'Oferta Producto 3'!$B$10:$B$21,'Oferta Producto 3'!$E$10:$E$21))/SUMIF($A$7:$AC$128,$A52,$AB$6:$AB$127)*N$5,0)</f>
        <v>0</v>
      </c>
      <c r="O52" s="35">
        <f ca="1">IF(AND(COLUMN()&gt;=11,COLUMN()&lt;=20),(_xlfn.XLOOKUP($A52,'Oferta Producto 3'!$B$10:$B$21,'Oferta Producto 3'!$E$10:$E$21))/SUMIF($A$7:$AC$128,$A52,$AB$6:$AB$127)*O$5,0)</f>
        <v>0</v>
      </c>
      <c r="P52" s="35">
        <f ca="1">IF(AND(COLUMN()&gt;=11,COLUMN()&lt;=20),(_xlfn.XLOOKUP($A52,'Oferta Producto 3'!$B$10:$B$21,'Oferta Producto 3'!$E$10:$E$21))/SUMIF($A$7:$AC$128,$A52,$AB$6:$AB$127)*P$5,0)</f>
        <v>0</v>
      </c>
      <c r="Q52" s="35">
        <f ca="1">IF(AND(COLUMN()&gt;=11,COLUMN()&lt;=20),(_xlfn.XLOOKUP($A52,'Oferta Producto 3'!$B$10:$B$21,'Oferta Producto 3'!$E$10:$E$21))/SUMIF($A$7:$AC$128,$A52,$AB$6:$AB$127)*Q$5,0)</f>
        <v>0</v>
      </c>
      <c r="R52" s="35">
        <f ca="1">IF(AND(COLUMN()&gt;=11,COLUMN()&lt;=20),(_xlfn.XLOOKUP($A52,'Oferta Producto 3'!$B$10:$B$21,'Oferta Producto 3'!$E$10:$E$21))/SUMIF($A$7:$AC$128,$A52,$AB$6:$AB$127)*R$5,0)</f>
        <v>0</v>
      </c>
      <c r="S52" s="35">
        <f ca="1">IF(AND(COLUMN()&gt;=11,COLUMN()&lt;=20),(_xlfn.XLOOKUP($A52,'Oferta Producto 3'!$B$10:$B$21,'Oferta Producto 3'!$E$10:$E$21))/SUMIF($A$7:$AC$128,$A52,$AB$6:$AB$127)*S$5,0)</f>
        <v>0</v>
      </c>
      <c r="T52" s="35">
        <f ca="1">IF(AND(COLUMN()&gt;=11,COLUMN()&lt;=20),(_xlfn.XLOOKUP($A52,'Oferta Producto 3'!$B$10:$B$21,'Oferta Producto 3'!$E$10:$E$21))/SUMIF($A$7:$AC$128,$A52,$AB$6:$AB$127)*T$5,0)</f>
        <v>0</v>
      </c>
      <c r="U52" s="35">
        <f>IF(AND(COLUMN()&gt;=11,COLUMN()&lt;=20),(_xlfn.XLOOKUP($A52,'Oferta Producto 3'!$B$10:$B$21,'Oferta Producto 3'!$E$10:$E$21))/SUMIF($A$7:$AC$128,$A52,$AB$6:$AB$127)*U$5,0)</f>
        <v>0</v>
      </c>
      <c r="V52" s="35">
        <f>IF(AND(COLUMN()&gt;=11,COLUMN()&lt;=20),(_xlfn.XLOOKUP($A52,'Oferta Producto 3'!$B$10:$B$21,'Oferta Producto 3'!$E$10:$E$21))/SUMIF($A$7:$AC$128,$A52,$AB$6:$AB$127)*V$5,0)</f>
        <v>0</v>
      </c>
      <c r="W52" s="35">
        <f>IF(AND(COLUMN()&gt;=11,COLUMN()&lt;=20),(_xlfn.XLOOKUP($A52,'Oferta Producto 3'!$B$10:$B$21,'Oferta Producto 3'!$E$10:$E$21))/SUMIF($A$7:$AC$128,$A52,$AB$6:$AB$127)*W$5,0)</f>
        <v>0</v>
      </c>
      <c r="X52" s="35">
        <f>IF(AND(COLUMN()&gt;=11,COLUMN()&lt;=20),(_xlfn.XLOOKUP($A52,'Oferta Producto 3'!$B$10:$B$21,'Oferta Producto 3'!$E$10:$E$21))/SUMIF($A$7:$AC$128,$A52,$AB$6:$AB$127)*X$5,0)</f>
        <v>0</v>
      </c>
      <c r="Y52" s="35">
        <f>IF(AND(COLUMN()&gt;=11,COLUMN()&lt;=20),(_xlfn.XLOOKUP($A52,'Oferta Producto 3'!$B$10:$B$21,'Oferta Producto 3'!$E$10:$E$21))/SUMIF($A$7:$AC$128,$A52,$AB$6:$AB$127)*Y$5,0)</f>
        <v>0</v>
      </c>
      <c r="Z52" s="35">
        <f>IF(AND(COLUMN()&gt;=11,COLUMN()&lt;=20),(_xlfn.XLOOKUP($A52,'Oferta Producto 3'!$B$10:$B$21,'Oferta Producto 3'!$E$10:$E$21))/SUMIF($A$7:$AC$128,$A52,$AB$6:$AB$127)*Z$5,0)</f>
        <v>0</v>
      </c>
      <c r="AA52" s="35">
        <f t="shared" ca="1" si="7"/>
        <v>0</v>
      </c>
      <c r="AB52" s="28">
        <f t="shared" si="2"/>
        <v>30</v>
      </c>
      <c r="AC52" s="29">
        <f t="shared" ca="1" si="3"/>
        <v>0</v>
      </c>
      <c r="AD52" s="48">
        <f ca="1">'Curvas Prod 3'!AC52/SUMIF('Curvas Prod 3'!A50:AC195,'Curva de la oferta Prod 3'!$A52,'Curvas Prod 3'!AC50:AC195)</f>
        <v>0.16304347826086957</v>
      </c>
      <c r="AE52" s="45"/>
      <c r="AF52" s="49"/>
      <c r="AG52" s="49"/>
      <c r="AH52" s="49"/>
      <c r="AI52" s="49"/>
      <c r="AJ52" s="49"/>
      <c r="AK52" s="49"/>
    </row>
    <row r="53" spans="1:37" ht="15">
      <c r="A53" s="23">
        <f t="shared" si="0"/>
        <v>2029</v>
      </c>
      <c r="B53" s="27">
        <v>47392</v>
      </c>
      <c r="C53" s="35">
        <f>IF(AND(COLUMN()&gt;=11,COLUMN()&lt;=20),(_xlfn.XLOOKUP($A53,'Oferta Producto 3'!$B$10:$B$21,'Oferta Producto 3'!$E$10:$E$21))/SUMIF($A$7:$AC$128,$A53,$AB$6:$AB$127)*C$5,0)</f>
        <v>0</v>
      </c>
      <c r="D53" s="35">
        <f>IF(AND(COLUMN()&gt;=11,COLUMN()&lt;=20),(_xlfn.XLOOKUP($A53,'Oferta Producto 3'!$B$10:$B$21,'Oferta Producto 3'!$E$10:$E$21))/SUMIF($A$7:$AC$128,$A53,$AB$6:$AB$127)*D$5,0)</f>
        <v>0</v>
      </c>
      <c r="E53" s="35">
        <f>IF(AND(COLUMN()&gt;=11,COLUMN()&lt;=20),(_xlfn.XLOOKUP($A53,'Oferta Producto 3'!$B$10:$B$21,'Oferta Producto 3'!$E$10:$E$21))/SUMIF($A$7:$AC$128,$A53,$AB$6:$AB$127)*E$5,0)</f>
        <v>0</v>
      </c>
      <c r="F53" s="35">
        <f>IF(AND(COLUMN()&gt;=11,COLUMN()&lt;=20),(_xlfn.XLOOKUP($A53,'Oferta Producto 3'!$B$10:$B$21,'Oferta Producto 3'!$E$10:$E$21))/SUMIF($A$7:$AC$128,$A53,$AB$6:$AB$127)*F$5,0)</f>
        <v>0</v>
      </c>
      <c r="G53" s="35">
        <f>IF(AND(COLUMN()&gt;=11,COLUMN()&lt;=20),(_xlfn.XLOOKUP($A53,'Oferta Producto 3'!$B$10:$B$21,'Oferta Producto 3'!$E$10:$E$21))/SUMIF($A$7:$AC$128,$A53,$AB$6:$AB$127)*G$5,0)</f>
        <v>0</v>
      </c>
      <c r="H53" s="35">
        <f>IF(AND(COLUMN()&gt;=11,COLUMN()&lt;=20),(_xlfn.XLOOKUP($A53,'Oferta Producto 3'!$B$10:$B$21,'Oferta Producto 3'!$E$10:$E$21))/SUMIF($A$7:$AC$128,$A53,$AB$6:$AB$127)*H$5,0)</f>
        <v>0</v>
      </c>
      <c r="I53" s="35">
        <f>IF(AND(COLUMN()&gt;=11,COLUMN()&lt;=20),(_xlfn.XLOOKUP($A53,'Oferta Producto 3'!$B$10:$B$21,'Oferta Producto 3'!$E$10:$E$21))/SUMIF($A$7:$AC$128,$A53,$AB$6:$AB$127)*I$5,0)</f>
        <v>0</v>
      </c>
      <c r="J53" s="35">
        <f>IF(AND(COLUMN()&gt;=11,COLUMN()&lt;=20),(_xlfn.XLOOKUP($A53,'Oferta Producto 3'!$B$10:$B$21,'Oferta Producto 3'!$E$10:$E$21))/SUMIF($A$7:$AC$128,$A53,$AB$6:$AB$127)*J$5,0)</f>
        <v>0</v>
      </c>
      <c r="K53" s="35">
        <f ca="1">IF(AND(COLUMN()&gt;=11,COLUMN()&lt;=20),(_xlfn.XLOOKUP($A53,'Oferta Producto 3'!$B$10:$B$21,'Oferta Producto 3'!$E$10:$E$21))/SUMIF($A$7:$AC$128,$A53,$AB$6:$AB$127)*K$5,0)</f>
        <v>0</v>
      </c>
      <c r="L53" s="35">
        <f ca="1">IF(AND(COLUMN()&gt;=11,COLUMN()&lt;=20),(_xlfn.XLOOKUP($A53,'Oferta Producto 3'!$B$10:$B$21,'Oferta Producto 3'!$E$10:$E$21))/SUMIF($A$7:$AC$128,$A53,$AB$6:$AB$127)*L$5,0)</f>
        <v>0</v>
      </c>
      <c r="M53" s="35">
        <f ca="1">IF(AND(COLUMN()&gt;=11,COLUMN()&lt;=20),(_xlfn.XLOOKUP($A53,'Oferta Producto 3'!$B$10:$B$21,'Oferta Producto 3'!$E$10:$E$21))/SUMIF($A$7:$AC$128,$A53,$AB$6:$AB$127)*M$5,0)</f>
        <v>0</v>
      </c>
      <c r="N53" s="35">
        <f ca="1">IF(AND(COLUMN()&gt;=11,COLUMN()&lt;=20),(_xlfn.XLOOKUP($A53,'Oferta Producto 3'!$B$10:$B$21,'Oferta Producto 3'!$E$10:$E$21))/SUMIF($A$7:$AC$128,$A53,$AB$6:$AB$127)*N$5,0)</f>
        <v>0</v>
      </c>
      <c r="O53" s="35">
        <f ca="1">IF(AND(COLUMN()&gt;=11,COLUMN()&lt;=20),(_xlfn.XLOOKUP($A53,'Oferta Producto 3'!$B$10:$B$21,'Oferta Producto 3'!$E$10:$E$21))/SUMIF($A$7:$AC$128,$A53,$AB$6:$AB$127)*O$5,0)</f>
        <v>0</v>
      </c>
      <c r="P53" s="35">
        <f ca="1">IF(AND(COLUMN()&gt;=11,COLUMN()&lt;=20),(_xlfn.XLOOKUP($A53,'Oferta Producto 3'!$B$10:$B$21,'Oferta Producto 3'!$E$10:$E$21))/SUMIF($A$7:$AC$128,$A53,$AB$6:$AB$127)*P$5,0)</f>
        <v>0</v>
      </c>
      <c r="Q53" s="35">
        <f ca="1">IF(AND(COLUMN()&gt;=11,COLUMN()&lt;=20),(_xlfn.XLOOKUP($A53,'Oferta Producto 3'!$B$10:$B$21,'Oferta Producto 3'!$E$10:$E$21))/SUMIF($A$7:$AC$128,$A53,$AB$6:$AB$127)*Q$5,0)</f>
        <v>0</v>
      </c>
      <c r="R53" s="35">
        <f ca="1">IF(AND(COLUMN()&gt;=11,COLUMN()&lt;=20),(_xlfn.XLOOKUP($A53,'Oferta Producto 3'!$B$10:$B$21,'Oferta Producto 3'!$E$10:$E$21))/SUMIF($A$7:$AC$128,$A53,$AB$6:$AB$127)*R$5,0)</f>
        <v>0</v>
      </c>
      <c r="S53" s="35">
        <f ca="1">IF(AND(COLUMN()&gt;=11,COLUMN()&lt;=20),(_xlfn.XLOOKUP($A53,'Oferta Producto 3'!$B$10:$B$21,'Oferta Producto 3'!$E$10:$E$21))/SUMIF($A$7:$AC$128,$A53,$AB$6:$AB$127)*S$5,0)</f>
        <v>0</v>
      </c>
      <c r="T53" s="35">
        <f ca="1">IF(AND(COLUMN()&gt;=11,COLUMN()&lt;=20),(_xlfn.XLOOKUP($A53,'Oferta Producto 3'!$B$10:$B$21,'Oferta Producto 3'!$E$10:$E$21))/SUMIF($A$7:$AC$128,$A53,$AB$6:$AB$127)*T$5,0)</f>
        <v>0</v>
      </c>
      <c r="U53" s="35">
        <f>IF(AND(COLUMN()&gt;=11,COLUMN()&lt;=20),(_xlfn.XLOOKUP($A53,'Oferta Producto 3'!$B$10:$B$21,'Oferta Producto 3'!$E$10:$E$21))/SUMIF($A$7:$AC$128,$A53,$AB$6:$AB$127)*U$5,0)</f>
        <v>0</v>
      </c>
      <c r="V53" s="35">
        <f>IF(AND(COLUMN()&gt;=11,COLUMN()&lt;=20),(_xlfn.XLOOKUP($A53,'Oferta Producto 3'!$B$10:$B$21,'Oferta Producto 3'!$E$10:$E$21))/SUMIF($A$7:$AC$128,$A53,$AB$6:$AB$127)*V$5,0)</f>
        <v>0</v>
      </c>
      <c r="W53" s="35">
        <f>IF(AND(COLUMN()&gt;=11,COLUMN()&lt;=20),(_xlfn.XLOOKUP($A53,'Oferta Producto 3'!$B$10:$B$21,'Oferta Producto 3'!$E$10:$E$21))/SUMIF($A$7:$AC$128,$A53,$AB$6:$AB$127)*W$5,0)</f>
        <v>0</v>
      </c>
      <c r="X53" s="35">
        <f>IF(AND(COLUMN()&gt;=11,COLUMN()&lt;=20),(_xlfn.XLOOKUP($A53,'Oferta Producto 3'!$B$10:$B$21,'Oferta Producto 3'!$E$10:$E$21))/SUMIF($A$7:$AC$128,$A53,$AB$6:$AB$127)*X$5,0)</f>
        <v>0</v>
      </c>
      <c r="Y53" s="35">
        <f>IF(AND(COLUMN()&gt;=11,COLUMN()&lt;=20),(_xlfn.XLOOKUP($A53,'Oferta Producto 3'!$B$10:$B$21,'Oferta Producto 3'!$E$10:$E$21))/SUMIF($A$7:$AC$128,$A53,$AB$6:$AB$127)*Y$5,0)</f>
        <v>0</v>
      </c>
      <c r="Z53" s="35">
        <f>IF(AND(COLUMN()&gt;=11,COLUMN()&lt;=20),(_xlfn.XLOOKUP($A53,'Oferta Producto 3'!$B$10:$B$21,'Oferta Producto 3'!$E$10:$E$21))/SUMIF($A$7:$AC$128,$A53,$AB$6:$AB$127)*Z$5,0)</f>
        <v>0</v>
      </c>
      <c r="AA53" s="35">
        <f t="shared" ca="1" si="7"/>
        <v>0</v>
      </c>
      <c r="AB53" s="28">
        <f t="shared" si="2"/>
        <v>31</v>
      </c>
      <c r="AC53" s="29">
        <f t="shared" ca="1" si="3"/>
        <v>0</v>
      </c>
      <c r="AD53" s="48">
        <f ca="1">'Curvas Prod 3'!AC53/SUMIF('Curvas Prod 3'!A51:AC196,'Curva de la oferta Prod 3'!$A53,'Curvas Prod 3'!AC51:AC196)</f>
        <v>0.20261437908496732</v>
      </c>
      <c r="AE53" s="45"/>
      <c r="AF53" s="49"/>
      <c r="AG53" s="49"/>
      <c r="AH53" s="49"/>
      <c r="AI53" s="49"/>
      <c r="AJ53" s="49"/>
      <c r="AK53" s="49"/>
    </row>
    <row r="54" spans="1:37" ht="15">
      <c r="A54" s="23">
        <f t="shared" si="0"/>
        <v>2029</v>
      </c>
      <c r="B54" s="27">
        <v>47423</v>
      </c>
      <c r="C54" s="35">
        <f>IF(AND(COLUMN()&gt;=11,COLUMN()&lt;=20),(_xlfn.XLOOKUP($A54,'Oferta Producto 3'!$B$10:$B$21,'Oferta Producto 3'!$E$10:$E$21))/SUMIF($A$7:$AC$128,$A54,$AB$6:$AB$127)*C$5,0)</f>
        <v>0</v>
      </c>
      <c r="D54" s="35">
        <f>IF(AND(COLUMN()&gt;=11,COLUMN()&lt;=20),(_xlfn.XLOOKUP($A54,'Oferta Producto 3'!$B$10:$B$21,'Oferta Producto 3'!$E$10:$E$21))/SUMIF($A$7:$AC$128,$A54,$AB$6:$AB$127)*D$5,0)</f>
        <v>0</v>
      </c>
      <c r="E54" s="35">
        <f>IF(AND(COLUMN()&gt;=11,COLUMN()&lt;=20),(_xlfn.XLOOKUP($A54,'Oferta Producto 3'!$B$10:$B$21,'Oferta Producto 3'!$E$10:$E$21))/SUMIF($A$7:$AC$128,$A54,$AB$6:$AB$127)*E$5,0)</f>
        <v>0</v>
      </c>
      <c r="F54" s="35">
        <f>IF(AND(COLUMN()&gt;=11,COLUMN()&lt;=20),(_xlfn.XLOOKUP($A54,'Oferta Producto 3'!$B$10:$B$21,'Oferta Producto 3'!$E$10:$E$21))/SUMIF($A$7:$AC$128,$A54,$AB$6:$AB$127)*F$5,0)</f>
        <v>0</v>
      </c>
      <c r="G54" s="35">
        <f>IF(AND(COLUMN()&gt;=11,COLUMN()&lt;=20),(_xlfn.XLOOKUP($A54,'Oferta Producto 3'!$B$10:$B$21,'Oferta Producto 3'!$E$10:$E$21))/SUMIF($A$7:$AC$128,$A54,$AB$6:$AB$127)*G$5,0)</f>
        <v>0</v>
      </c>
      <c r="H54" s="35">
        <f>IF(AND(COLUMN()&gt;=11,COLUMN()&lt;=20),(_xlfn.XLOOKUP($A54,'Oferta Producto 3'!$B$10:$B$21,'Oferta Producto 3'!$E$10:$E$21))/SUMIF($A$7:$AC$128,$A54,$AB$6:$AB$127)*H$5,0)</f>
        <v>0</v>
      </c>
      <c r="I54" s="35">
        <f>IF(AND(COLUMN()&gt;=11,COLUMN()&lt;=20),(_xlfn.XLOOKUP($A54,'Oferta Producto 3'!$B$10:$B$21,'Oferta Producto 3'!$E$10:$E$21))/SUMIF($A$7:$AC$128,$A54,$AB$6:$AB$127)*I$5,0)</f>
        <v>0</v>
      </c>
      <c r="J54" s="35">
        <f>IF(AND(COLUMN()&gt;=11,COLUMN()&lt;=20),(_xlfn.XLOOKUP($A54,'Oferta Producto 3'!$B$10:$B$21,'Oferta Producto 3'!$E$10:$E$21))/SUMIF($A$7:$AC$128,$A54,$AB$6:$AB$127)*J$5,0)</f>
        <v>0</v>
      </c>
      <c r="K54" s="35">
        <f ca="1">IF(AND(COLUMN()&gt;=11,COLUMN()&lt;=20),(_xlfn.XLOOKUP($A54,'Oferta Producto 3'!$B$10:$B$21,'Oferta Producto 3'!$E$10:$E$21))/SUMIF($A$7:$AC$128,$A54,$AB$6:$AB$127)*K$5,0)</f>
        <v>0</v>
      </c>
      <c r="L54" s="35">
        <f ca="1">IF(AND(COLUMN()&gt;=11,COLUMN()&lt;=20),(_xlfn.XLOOKUP($A54,'Oferta Producto 3'!$B$10:$B$21,'Oferta Producto 3'!$E$10:$E$21))/SUMIF($A$7:$AC$128,$A54,$AB$6:$AB$127)*L$5,0)</f>
        <v>0</v>
      </c>
      <c r="M54" s="35">
        <f ca="1">IF(AND(COLUMN()&gt;=11,COLUMN()&lt;=20),(_xlfn.XLOOKUP($A54,'Oferta Producto 3'!$B$10:$B$21,'Oferta Producto 3'!$E$10:$E$21))/SUMIF($A$7:$AC$128,$A54,$AB$6:$AB$127)*M$5,0)</f>
        <v>0</v>
      </c>
      <c r="N54" s="35">
        <f ca="1">IF(AND(COLUMN()&gt;=11,COLUMN()&lt;=20),(_xlfn.XLOOKUP($A54,'Oferta Producto 3'!$B$10:$B$21,'Oferta Producto 3'!$E$10:$E$21))/SUMIF($A$7:$AC$128,$A54,$AB$6:$AB$127)*N$5,0)</f>
        <v>0</v>
      </c>
      <c r="O54" s="35">
        <f ca="1">IF(AND(COLUMN()&gt;=11,COLUMN()&lt;=20),(_xlfn.XLOOKUP($A54,'Oferta Producto 3'!$B$10:$B$21,'Oferta Producto 3'!$E$10:$E$21))/SUMIF($A$7:$AC$128,$A54,$AB$6:$AB$127)*O$5,0)</f>
        <v>0</v>
      </c>
      <c r="P54" s="35">
        <f ca="1">IF(AND(COLUMN()&gt;=11,COLUMN()&lt;=20),(_xlfn.XLOOKUP($A54,'Oferta Producto 3'!$B$10:$B$21,'Oferta Producto 3'!$E$10:$E$21))/SUMIF($A$7:$AC$128,$A54,$AB$6:$AB$127)*P$5,0)</f>
        <v>0</v>
      </c>
      <c r="Q54" s="35">
        <f ca="1">IF(AND(COLUMN()&gt;=11,COLUMN()&lt;=20),(_xlfn.XLOOKUP($A54,'Oferta Producto 3'!$B$10:$B$21,'Oferta Producto 3'!$E$10:$E$21))/SUMIF($A$7:$AC$128,$A54,$AB$6:$AB$127)*Q$5,0)</f>
        <v>0</v>
      </c>
      <c r="R54" s="35">
        <f ca="1">IF(AND(COLUMN()&gt;=11,COLUMN()&lt;=20),(_xlfn.XLOOKUP($A54,'Oferta Producto 3'!$B$10:$B$21,'Oferta Producto 3'!$E$10:$E$21))/SUMIF($A$7:$AC$128,$A54,$AB$6:$AB$127)*R$5,0)</f>
        <v>0</v>
      </c>
      <c r="S54" s="35">
        <f ca="1">IF(AND(COLUMN()&gt;=11,COLUMN()&lt;=20),(_xlfn.XLOOKUP($A54,'Oferta Producto 3'!$B$10:$B$21,'Oferta Producto 3'!$E$10:$E$21))/SUMIF($A$7:$AC$128,$A54,$AB$6:$AB$127)*S$5,0)</f>
        <v>0</v>
      </c>
      <c r="T54" s="35">
        <f ca="1">IF(AND(COLUMN()&gt;=11,COLUMN()&lt;=20),(_xlfn.XLOOKUP($A54,'Oferta Producto 3'!$B$10:$B$21,'Oferta Producto 3'!$E$10:$E$21))/SUMIF($A$7:$AC$128,$A54,$AB$6:$AB$127)*T$5,0)</f>
        <v>0</v>
      </c>
      <c r="U54" s="35">
        <f>IF(AND(COLUMN()&gt;=11,COLUMN()&lt;=20),(_xlfn.XLOOKUP($A54,'Oferta Producto 3'!$B$10:$B$21,'Oferta Producto 3'!$E$10:$E$21))/SUMIF($A$7:$AC$128,$A54,$AB$6:$AB$127)*U$5,0)</f>
        <v>0</v>
      </c>
      <c r="V54" s="35">
        <f>IF(AND(COLUMN()&gt;=11,COLUMN()&lt;=20),(_xlfn.XLOOKUP($A54,'Oferta Producto 3'!$B$10:$B$21,'Oferta Producto 3'!$E$10:$E$21))/SUMIF($A$7:$AC$128,$A54,$AB$6:$AB$127)*V$5,0)</f>
        <v>0</v>
      </c>
      <c r="W54" s="35">
        <f>IF(AND(COLUMN()&gt;=11,COLUMN()&lt;=20),(_xlfn.XLOOKUP($A54,'Oferta Producto 3'!$B$10:$B$21,'Oferta Producto 3'!$E$10:$E$21))/SUMIF($A$7:$AC$128,$A54,$AB$6:$AB$127)*W$5,0)</f>
        <v>0</v>
      </c>
      <c r="X54" s="35">
        <f>IF(AND(COLUMN()&gt;=11,COLUMN()&lt;=20),(_xlfn.XLOOKUP($A54,'Oferta Producto 3'!$B$10:$B$21,'Oferta Producto 3'!$E$10:$E$21))/SUMIF($A$7:$AC$128,$A54,$AB$6:$AB$127)*X$5,0)</f>
        <v>0</v>
      </c>
      <c r="Y54" s="35">
        <f>IF(AND(COLUMN()&gt;=11,COLUMN()&lt;=20),(_xlfn.XLOOKUP($A54,'Oferta Producto 3'!$B$10:$B$21,'Oferta Producto 3'!$E$10:$E$21))/SUMIF($A$7:$AC$128,$A54,$AB$6:$AB$127)*Y$5,0)</f>
        <v>0</v>
      </c>
      <c r="Z54" s="35">
        <f>IF(AND(COLUMN()&gt;=11,COLUMN()&lt;=20),(_xlfn.XLOOKUP($A54,'Oferta Producto 3'!$B$10:$B$21,'Oferta Producto 3'!$E$10:$E$21))/SUMIF($A$7:$AC$128,$A54,$AB$6:$AB$127)*Z$5,0)</f>
        <v>0</v>
      </c>
      <c r="AA54" s="35">
        <f t="shared" ca="1" si="7"/>
        <v>0</v>
      </c>
      <c r="AB54" s="28">
        <f t="shared" si="2"/>
        <v>30</v>
      </c>
      <c r="AC54" s="29">
        <f t="shared" ca="1" si="3"/>
        <v>0</v>
      </c>
      <c r="AD54" s="48">
        <f ca="1">'Curvas Prod 3'!AC54/SUMIF('Curvas Prod 3'!A52:AC197,'Curva de la oferta Prod 3'!$A54,'Curvas Prod 3'!AC52:AC197)</f>
        <v>0.24590163934426229</v>
      </c>
      <c r="AE54" s="45"/>
      <c r="AF54" s="49"/>
      <c r="AG54" s="49"/>
      <c r="AH54" s="49"/>
      <c r="AI54" s="49"/>
      <c r="AJ54" s="49"/>
      <c r="AK54" s="49"/>
    </row>
    <row r="55" spans="1:37" ht="15">
      <c r="A55" s="23">
        <f t="shared" si="0"/>
        <v>2029</v>
      </c>
      <c r="B55" s="27">
        <v>47453</v>
      </c>
      <c r="C55" s="35">
        <f>IF(AND(COLUMN()&gt;=11,COLUMN()&lt;=20),(_xlfn.XLOOKUP($A55,'Oferta Producto 3'!$B$10:$B$21,'Oferta Producto 3'!$E$10:$E$21))/SUMIF($A$7:$AC$128,$A55,$AB$6:$AB$127)*C$5,0)</f>
        <v>0</v>
      </c>
      <c r="D55" s="35">
        <f>IF(AND(COLUMN()&gt;=11,COLUMN()&lt;=20),(_xlfn.XLOOKUP($A55,'Oferta Producto 3'!$B$10:$B$21,'Oferta Producto 3'!$E$10:$E$21))/SUMIF($A$7:$AC$128,$A55,$AB$6:$AB$127)*D$5,0)</f>
        <v>0</v>
      </c>
      <c r="E55" s="35">
        <f>IF(AND(COLUMN()&gt;=11,COLUMN()&lt;=20),(_xlfn.XLOOKUP($A55,'Oferta Producto 3'!$B$10:$B$21,'Oferta Producto 3'!$E$10:$E$21))/SUMIF($A$7:$AC$128,$A55,$AB$6:$AB$127)*E$5,0)</f>
        <v>0</v>
      </c>
      <c r="F55" s="35">
        <f>IF(AND(COLUMN()&gt;=11,COLUMN()&lt;=20),(_xlfn.XLOOKUP($A55,'Oferta Producto 3'!$B$10:$B$21,'Oferta Producto 3'!$E$10:$E$21))/SUMIF($A$7:$AC$128,$A55,$AB$6:$AB$127)*F$5,0)</f>
        <v>0</v>
      </c>
      <c r="G55" s="35">
        <f>IF(AND(COLUMN()&gt;=11,COLUMN()&lt;=20),(_xlfn.XLOOKUP($A55,'Oferta Producto 3'!$B$10:$B$21,'Oferta Producto 3'!$E$10:$E$21))/SUMIF($A$7:$AC$128,$A55,$AB$6:$AB$127)*G$5,0)</f>
        <v>0</v>
      </c>
      <c r="H55" s="35">
        <f>IF(AND(COLUMN()&gt;=11,COLUMN()&lt;=20),(_xlfn.XLOOKUP($A55,'Oferta Producto 3'!$B$10:$B$21,'Oferta Producto 3'!$E$10:$E$21))/SUMIF($A$7:$AC$128,$A55,$AB$6:$AB$127)*H$5,0)</f>
        <v>0</v>
      </c>
      <c r="I55" s="35">
        <f>IF(AND(COLUMN()&gt;=11,COLUMN()&lt;=20),(_xlfn.XLOOKUP($A55,'Oferta Producto 3'!$B$10:$B$21,'Oferta Producto 3'!$E$10:$E$21))/SUMIF($A$7:$AC$128,$A55,$AB$6:$AB$127)*I$5,0)</f>
        <v>0</v>
      </c>
      <c r="J55" s="35">
        <f>IF(AND(COLUMN()&gt;=11,COLUMN()&lt;=20),(_xlfn.XLOOKUP($A55,'Oferta Producto 3'!$B$10:$B$21,'Oferta Producto 3'!$E$10:$E$21))/SUMIF($A$7:$AC$128,$A55,$AB$6:$AB$127)*J$5,0)</f>
        <v>0</v>
      </c>
      <c r="K55" s="35">
        <f ca="1">IF(AND(COLUMN()&gt;=11,COLUMN()&lt;=20),(_xlfn.XLOOKUP($A55,'Oferta Producto 3'!$B$10:$B$21,'Oferta Producto 3'!$E$10:$E$21))/SUMIF($A$7:$AC$128,$A55,$AB$6:$AB$127)*K$5,0)</f>
        <v>0</v>
      </c>
      <c r="L55" s="35">
        <f ca="1">IF(AND(COLUMN()&gt;=11,COLUMN()&lt;=20),(_xlfn.XLOOKUP($A55,'Oferta Producto 3'!$B$10:$B$21,'Oferta Producto 3'!$E$10:$E$21))/SUMIF($A$7:$AC$128,$A55,$AB$6:$AB$127)*L$5,0)</f>
        <v>0</v>
      </c>
      <c r="M55" s="35">
        <f ca="1">IF(AND(COLUMN()&gt;=11,COLUMN()&lt;=20),(_xlfn.XLOOKUP($A55,'Oferta Producto 3'!$B$10:$B$21,'Oferta Producto 3'!$E$10:$E$21))/SUMIF($A$7:$AC$128,$A55,$AB$6:$AB$127)*M$5,0)</f>
        <v>0</v>
      </c>
      <c r="N55" s="35">
        <f ca="1">IF(AND(COLUMN()&gt;=11,COLUMN()&lt;=20),(_xlfn.XLOOKUP($A55,'Oferta Producto 3'!$B$10:$B$21,'Oferta Producto 3'!$E$10:$E$21))/SUMIF($A$7:$AC$128,$A55,$AB$6:$AB$127)*N$5,0)</f>
        <v>0</v>
      </c>
      <c r="O55" s="35">
        <f ca="1">IF(AND(COLUMN()&gt;=11,COLUMN()&lt;=20),(_xlfn.XLOOKUP($A55,'Oferta Producto 3'!$B$10:$B$21,'Oferta Producto 3'!$E$10:$E$21))/SUMIF($A$7:$AC$128,$A55,$AB$6:$AB$127)*O$5,0)</f>
        <v>0</v>
      </c>
      <c r="P55" s="35">
        <f ca="1">IF(AND(COLUMN()&gt;=11,COLUMN()&lt;=20),(_xlfn.XLOOKUP($A55,'Oferta Producto 3'!$B$10:$B$21,'Oferta Producto 3'!$E$10:$E$21))/SUMIF($A$7:$AC$128,$A55,$AB$6:$AB$127)*P$5,0)</f>
        <v>0</v>
      </c>
      <c r="Q55" s="35">
        <f ca="1">IF(AND(COLUMN()&gt;=11,COLUMN()&lt;=20),(_xlfn.XLOOKUP($A55,'Oferta Producto 3'!$B$10:$B$21,'Oferta Producto 3'!$E$10:$E$21))/SUMIF($A$7:$AC$128,$A55,$AB$6:$AB$127)*Q$5,0)</f>
        <v>0</v>
      </c>
      <c r="R55" s="35">
        <f ca="1">IF(AND(COLUMN()&gt;=11,COLUMN()&lt;=20),(_xlfn.XLOOKUP($A55,'Oferta Producto 3'!$B$10:$B$21,'Oferta Producto 3'!$E$10:$E$21))/SUMIF($A$7:$AC$128,$A55,$AB$6:$AB$127)*R$5,0)</f>
        <v>0</v>
      </c>
      <c r="S55" s="35">
        <f ca="1">IF(AND(COLUMN()&gt;=11,COLUMN()&lt;=20),(_xlfn.XLOOKUP($A55,'Oferta Producto 3'!$B$10:$B$21,'Oferta Producto 3'!$E$10:$E$21))/SUMIF($A$7:$AC$128,$A55,$AB$6:$AB$127)*S$5,0)</f>
        <v>0</v>
      </c>
      <c r="T55" s="35">
        <f ca="1">IF(AND(COLUMN()&gt;=11,COLUMN()&lt;=20),(_xlfn.XLOOKUP($A55,'Oferta Producto 3'!$B$10:$B$21,'Oferta Producto 3'!$E$10:$E$21))/SUMIF($A$7:$AC$128,$A55,$AB$6:$AB$127)*T$5,0)</f>
        <v>0</v>
      </c>
      <c r="U55" s="35">
        <f>IF(AND(COLUMN()&gt;=11,COLUMN()&lt;=20),(_xlfn.XLOOKUP($A55,'Oferta Producto 3'!$B$10:$B$21,'Oferta Producto 3'!$E$10:$E$21))/SUMIF($A$7:$AC$128,$A55,$AB$6:$AB$127)*U$5,0)</f>
        <v>0</v>
      </c>
      <c r="V55" s="35">
        <f>IF(AND(COLUMN()&gt;=11,COLUMN()&lt;=20),(_xlfn.XLOOKUP($A55,'Oferta Producto 3'!$B$10:$B$21,'Oferta Producto 3'!$E$10:$E$21))/SUMIF($A$7:$AC$128,$A55,$AB$6:$AB$127)*V$5,0)</f>
        <v>0</v>
      </c>
      <c r="W55" s="35">
        <f>IF(AND(COLUMN()&gt;=11,COLUMN()&lt;=20),(_xlfn.XLOOKUP($A55,'Oferta Producto 3'!$B$10:$B$21,'Oferta Producto 3'!$E$10:$E$21))/SUMIF($A$7:$AC$128,$A55,$AB$6:$AB$127)*W$5,0)</f>
        <v>0</v>
      </c>
      <c r="X55" s="35">
        <f>IF(AND(COLUMN()&gt;=11,COLUMN()&lt;=20),(_xlfn.XLOOKUP($A55,'Oferta Producto 3'!$B$10:$B$21,'Oferta Producto 3'!$E$10:$E$21))/SUMIF($A$7:$AC$128,$A55,$AB$6:$AB$127)*X$5,0)</f>
        <v>0</v>
      </c>
      <c r="Y55" s="35">
        <f>IF(AND(COLUMN()&gt;=11,COLUMN()&lt;=20),(_xlfn.XLOOKUP($A55,'Oferta Producto 3'!$B$10:$B$21,'Oferta Producto 3'!$E$10:$E$21))/SUMIF($A$7:$AC$128,$A55,$AB$6:$AB$127)*Y$5,0)</f>
        <v>0</v>
      </c>
      <c r="Z55" s="35">
        <f>IF(AND(COLUMN()&gt;=11,COLUMN()&lt;=20),(_xlfn.XLOOKUP($A55,'Oferta Producto 3'!$B$10:$B$21,'Oferta Producto 3'!$E$10:$E$21))/SUMIF($A$7:$AC$128,$A55,$AB$6:$AB$127)*Z$5,0)</f>
        <v>0</v>
      </c>
      <c r="AA55" s="35">
        <f t="shared" ca="1" si="7"/>
        <v>0</v>
      </c>
      <c r="AB55" s="28">
        <f t="shared" si="2"/>
        <v>31</v>
      </c>
      <c r="AC55" s="29">
        <f t="shared" ca="1" si="3"/>
        <v>0</v>
      </c>
      <c r="AD55" s="48">
        <f ca="1">'Curvas Prod 3'!AC55/SUMIF('Curvas Prod 3'!A53:AC198,'Curva de la oferta Prod 3'!$A55,'Curvas Prod 3'!AC53:AC198)</f>
        <v>0.33695652173913043</v>
      </c>
      <c r="AE55" s="45"/>
      <c r="AF55" s="49"/>
      <c r="AG55" s="49"/>
      <c r="AH55" s="49"/>
      <c r="AI55" s="49"/>
      <c r="AJ55" s="49"/>
      <c r="AK55" s="49"/>
    </row>
    <row r="56" spans="1:37" ht="15">
      <c r="A56" s="23">
        <f t="shared" si="0"/>
        <v>2030</v>
      </c>
      <c r="B56" s="27">
        <v>47484</v>
      </c>
      <c r="C56" s="35">
        <f>IF(AND(COLUMN()&gt;=11,COLUMN()&lt;=20),(_xlfn.XLOOKUP($A56,'Oferta Producto 3'!$B$10:$B$21,'Oferta Producto 3'!$E$10:$E$21))/SUMIF($A$7:$AC$128,$A56,$AB$6:$AB$127)*C$5,0)</f>
        <v>0</v>
      </c>
      <c r="D56" s="35">
        <f>IF(AND(COLUMN()&gt;=11,COLUMN()&lt;=20),(_xlfn.XLOOKUP($A56,'Oferta Producto 3'!$B$10:$B$21,'Oferta Producto 3'!$E$10:$E$21))/SUMIF($A$7:$AC$128,$A56,$AB$6:$AB$127)*D$5,0)</f>
        <v>0</v>
      </c>
      <c r="E56" s="35">
        <f>IF(AND(COLUMN()&gt;=11,COLUMN()&lt;=20),(_xlfn.XLOOKUP($A56,'Oferta Producto 3'!$B$10:$B$21,'Oferta Producto 3'!$E$10:$E$21))/SUMIF($A$7:$AC$128,$A56,$AB$6:$AB$127)*E$5,0)</f>
        <v>0</v>
      </c>
      <c r="F56" s="35">
        <f>IF(AND(COLUMN()&gt;=11,COLUMN()&lt;=20),(_xlfn.XLOOKUP($A56,'Oferta Producto 3'!$B$10:$B$21,'Oferta Producto 3'!$E$10:$E$21))/SUMIF($A$7:$AC$128,$A56,$AB$6:$AB$127)*F$5,0)</f>
        <v>0</v>
      </c>
      <c r="G56" s="35">
        <f>IF(AND(COLUMN()&gt;=11,COLUMN()&lt;=20),(_xlfn.XLOOKUP($A56,'Oferta Producto 3'!$B$10:$B$21,'Oferta Producto 3'!$E$10:$E$21))/SUMIF($A$7:$AC$128,$A56,$AB$6:$AB$127)*G$5,0)</f>
        <v>0</v>
      </c>
      <c r="H56" s="35">
        <f>IF(AND(COLUMN()&gt;=11,COLUMN()&lt;=20),(_xlfn.XLOOKUP($A56,'Oferta Producto 3'!$B$10:$B$21,'Oferta Producto 3'!$E$10:$E$21))/SUMIF($A$7:$AC$128,$A56,$AB$6:$AB$127)*H$5,0)</f>
        <v>0</v>
      </c>
      <c r="I56" s="35">
        <f>IF(AND(COLUMN()&gt;=11,COLUMN()&lt;=20),(_xlfn.XLOOKUP($A56,'Oferta Producto 3'!$B$10:$B$21,'Oferta Producto 3'!$E$10:$E$21))/SUMIF($A$7:$AC$128,$A56,$AB$6:$AB$127)*I$5,0)</f>
        <v>0</v>
      </c>
      <c r="J56" s="35">
        <f>IF(AND(COLUMN()&gt;=11,COLUMN()&lt;=20),(_xlfn.XLOOKUP($A56,'Oferta Producto 3'!$B$10:$B$21,'Oferta Producto 3'!$E$10:$E$21))/SUMIF($A$7:$AC$128,$A56,$AB$6:$AB$127)*J$5,0)</f>
        <v>0</v>
      </c>
      <c r="K56" s="35">
        <f ca="1">IF(AND(COLUMN()&gt;=11,COLUMN()&lt;=20),(_xlfn.XLOOKUP($A56,'Oferta Producto 3'!$B$10:$B$21,'Oferta Producto 3'!$E$10:$E$21))/SUMIF($A$7:$AC$128,$A56,$AB$6:$AB$127)*K$5,0)</f>
        <v>0</v>
      </c>
      <c r="L56" s="35">
        <f ca="1">IF(AND(COLUMN()&gt;=11,COLUMN()&lt;=20),(_xlfn.XLOOKUP($A56,'Oferta Producto 3'!$B$10:$B$21,'Oferta Producto 3'!$E$10:$E$21))/SUMIF($A$7:$AC$128,$A56,$AB$6:$AB$127)*L$5,0)</f>
        <v>0</v>
      </c>
      <c r="M56" s="35">
        <f ca="1">IF(AND(COLUMN()&gt;=11,COLUMN()&lt;=20),(_xlfn.XLOOKUP($A56,'Oferta Producto 3'!$B$10:$B$21,'Oferta Producto 3'!$E$10:$E$21))/SUMIF($A$7:$AC$128,$A56,$AB$6:$AB$127)*M$5,0)</f>
        <v>0</v>
      </c>
      <c r="N56" s="35">
        <f ca="1">IF(AND(COLUMN()&gt;=11,COLUMN()&lt;=20),(_xlfn.XLOOKUP($A56,'Oferta Producto 3'!$B$10:$B$21,'Oferta Producto 3'!$E$10:$E$21))/SUMIF($A$7:$AC$128,$A56,$AB$6:$AB$127)*N$5,0)</f>
        <v>0</v>
      </c>
      <c r="O56" s="35">
        <f ca="1">IF(AND(COLUMN()&gt;=11,COLUMN()&lt;=20),(_xlfn.XLOOKUP($A56,'Oferta Producto 3'!$B$10:$B$21,'Oferta Producto 3'!$E$10:$E$21))/SUMIF($A$7:$AC$128,$A56,$AB$6:$AB$127)*O$5,0)</f>
        <v>0</v>
      </c>
      <c r="P56" s="35">
        <f ca="1">IF(AND(COLUMN()&gt;=11,COLUMN()&lt;=20),(_xlfn.XLOOKUP($A56,'Oferta Producto 3'!$B$10:$B$21,'Oferta Producto 3'!$E$10:$E$21))/SUMIF($A$7:$AC$128,$A56,$AB$6:$AB$127)*P$5,0)</f>
        <v>0</v>
      </c>
      <c r="Q56" s="35">
        <f ca="1">IF(AND(COLUMN()&gt;=11,COLUMN()&lt;=20),(_xlfn.XLOOKUP($A56,'Oferta Producto 3'!$B$10:$B$21,'Oferta Producto 3'!$E$10:$E$21))/SUMIF($A$7:$AC$128,$A56,$AB$6:$AB$127)*Q$5,0)</f>
        <v>0</v>
      </c>
      <c r="R56" s="35">
        <f ca="1">IF(AND(COLUMN()&gt;=11,COLUMN()&lt;=20),(_xlfn.XLOOKUP($A56,'Oferta Producto 3'!$B$10:$B$21,'Oferta Producto 3'!$E$10:$E$21))/SUMIF($A$7:$AC$128,$A56,$AB$6:$AB$127)*R$5,0)</f>
        <v>0</v>
      </c>
      <c r="S56" s="35">
        <f ca="1">IF(AND(COLUMN()&gt;=11,COLUMN()&lt;=20),(_xlfn.XLOOKUP($A56,'Oferta Producto 3'!$B$10:$B$21,'Oferta Producto 3'!$E$10:$E$21))/SUMIF($A$7:$AC$128,$A56,$AB$6:$AB$127)*S$5,0)</f>
        <v>0</v>
      </c>
      <c r="T56" s="35">
        <f ca="1">IF(AND(COLUMN()&gt;=11,COLUMN()&lt;=20),(_xlfn.XLOOKUP($A56,'Oferta Producto 3'!$B$10:$B$21,'Oferta Producto 3'!$E$10:$E$21))/SUMIF($A$7:$AC$128,$A56,$AB$6:$AB$127)*T$5,0)</f>
        <v>0</v>
      </c>
      <c r="U56" s="35">
        <f>IF(AND(COLUMN()&gt;=11,COLUMN()&lt;=20),(_xlfn.XLOOKUP($A56,'Oferta Producto 3'!$B$10:$B$21,'Oferta Producto 3'!$E$10:$E$21))/SUMIF($A$7:$AC$128,$A56,$AB$6:$AB$127)*U$5,0)</f>
        <v>0</v>
      </c>
      <c r="V56" s="35">
        <f>IF(AND(COLUMN()&gt;=11,COLUMN()&lt;=20),(_xlfn.XLOOKUP($A56,'Oferta Producto 3'!$B$10:$B$21,'Oferta Producto 3'!$E$10:$E$21))/SUMIF($A$7:$AC$128,$A56,$AB$6:$AB$127)*V$5,0)</f>
        <v>0</v>
      </c>
      <c r="W56" s="35">
        <f>IF(AND(COLUMN()&gt;=11,COLUMN()&lt;=20),(_xlfn.XLOOKUP($A56,'Oferta Producto 3'!$B$10:$B$21,'Oferta Producto 3'!$E$10:$E$21))/SUMIF($A$7:$AC$128,$A56,$AB$6:$AB$127)*W$5,0)</f>
        <v>0</v>
      </c>
      <c r="X56" s="35">
        <f>IF(AND(COLUMN()&gt;=11,COLUMN()&lt;=20),(_xlfn.XLOOKUP($A56,'Oferta Producto 3'!$B$10:$B$21,'Oferta Producto 3'!$E$10:$E$21))/SUMIF($A$7:$AC$128,$A56,$AB$6:$AB$127)*X$5,0)</f>
        <v>0</v>
      </c>
      <c r="Y56" s="35">
        <f>IF(AND(COLUMN()&gt;=11,COLUMN()&lt;=20),(_xlfn.XLOOKUP($A56,'Oferta Producto 3'!$B$10:$B$21,'Oferta Producto 3'!$E$10:$E$21))/SUMIF($A$7:$AC$128,$A56,$AB$6:$AB$127)*Y$5,0)</f>
        <v>0</v>
      </c>
      <c r="Z56" s="35">
        <f>IF(AND(COLUMN()&gt;=11,COLUMN()&lt;=20),(_xlfn.XLOOKUP($A56,'Oferta Producto 3'!$B$10:$B$21,'Oferta Producto 3'!$E$10:$E$21))/SUMIF($A$7:$AC$128,$A56,$AB$6:$AB$127)*Z$5,0)</f>
        <v>0</v>
      </c>
      <c r="AA56" s="35">
        <f t="shared" ref="AA56:AA79" ca="1" si="8">SUM(C56:Z56)</f>
        <v>0</v>
      </c>
      <c r="AB56" s="28">
        <f t="shared" si="2"/>
        <v>31</v>
      </c>
      <c r="AC56" s="29">
        <f t="shared" ca="1" si="3"/>
        <v>0</v>
      </c>
      <c r="AD56" s="48">
        <f ca="1">'Curvas Prod 3'!AC56/SUMIF('Curvas Prod 3'!A54:AC199,'Curva de la oferta Prod 3'!$A56,'Curvas Prod 3'!AC54:AC199)</f>
        <v>8.4931506849315067E-2</v>
      </c>
      <c r="AE56" s="45"/>
      <c r="AF56" s="49"/>
      <c r="AG56" s="49"/>
      <c r="AH56" s="49"/>
      <c r="AI56" s="49"/>
      <c r="AJ56" s="49"/>
      <c r="AK56" s="49"/>
    </row>
    <row r="57" spans="1:37" ht="15">
      <c r="A57" s="23">
        <f t="shared" si="0"/>
        <v>2030</v>
      </c>
      <c r="B57" s="27">
        <v>47515</v>
      </c>
      <c r="C57" s="35">
        <f>IF(AND(COLUMN()&gt;=11,COLUMN()&lt;=20),(_xlfn.XLOOKUP($A57,'Oferta Producto 3'!$B$10:$B$21,'Oferta Producto 3'!$E$10:$E$21))/SUMIF($A$7:$AC$128,$A57,$AB$6:$AB$127)*C$5,0)</f>
        <v>0</v>
      </c>
      <c r="D57" s="35">
        <f>IF(AND(COLUMN()&gt;=11,COLUMN()&lt;=20),(_xlfn.XLOOKUP($A57,'Oferta Producto 3'!$B$10:$B$21,'Oferta Producto 3'!$E$10:$E$21))/SUMIF($A$7:$AC$128,$A57,$AB$6:$AB$127)*D$5,0)</f>
        <v>0</v>
      </c>
      <c r="E57" s="35">
        <f>IF(AND(COLUMN()&gt;=11,COLUMN()&lt;=20),(_xlfn.XLOOKUP($A57,'Oferta Producto 3'!$B$10:$B$21,'Oferta Producto 3'!$E$10:$E$21))/SUMIF($A$7:$AC$128,$A57,$AB$6:$AB$127)*E$5,0)</f>
        <v>0</v>
      </c>
      <c r="F57" s="35">
        <f>IF(AND(COLUMN()&gt;=11,COLUMN()&lt;=20),(_xlfn.XLOOKUP($A57,'Oferta Producto 3'!$B$10:$B$21,'Oferta Producto 3'!$E$10:$E$21))/SUMIF($A$7:$AC$128,$A57,$AB$6:$AB$127)*F$5,0)</f>
        <v>0</v>
      </c>
      <c r="G57" s="35">
        <f>IF(AND(COLUMN()&gt;=11,COLUMN()&lt;=20),(_xlfn.XLOOKUP($A57,'Oferta Producto 3'!$B$10:$B$21,'Oferta Producto 3'!$E$10:$E$21))/SUMIF($A$7:$AC$128,$A57,$AB$6:$AB$127)*G$5,0)</f>
        <v>0</v>
      </c>
      <c r="H57" s="35">
        <f>IF(AND(COLUMN()&gt;=11,COLUMN()&lt;=20),(_xlfn.XLOOKUP($A57,'Oferta Producto 3'!$B$10:$B$21,'Oferta Producto 3'!$E$10:$E$21))/SUMIF($A$7:$AC$128,$A57,$AB$6:$AB$127)*H$5,0)</f>
        <v>0</v>
      </c>
      <c r="I57" s="35">
        <f>IF(AND(COLUMN()&gt;=11,COLUMN()&lt;=20),(_xlfn.XLOOKUP($A57,'Oferta Producto 3'!$B$10:$B$21,'Oferta Producto 3'!$E$10:$E$21))/SUMIF($A$7:$AC$128,$A57,$AB$6:$AB$127)*I$5,0)</f>
        <v>0</v>
      </c>
      <c r="J57" s="35">
        <f>IF(AND(COLUMN()&gt;=11,COLUMN()&lt;=20),(_xlfn.XLOOKUP($A57,'Oferta Producto 3'!$B$10:$B$21,'Oferta Producto 3'!$E$10:$E$21))/SUMIF($A$7:$AC$128,$A57,$AB$6:$AB$127)*J$5,0)</f>
        <v>0</v>
      </c>
      <c r="K57" s="35">
        <f ca="1">IF(AND(COLUMN()&gt;=11,COLUMN()&lt;=20),(_xlfn.XLOOKUP($A57,'Oferta Producto 3'!$B$10:$B$21,'Oferta Producto 3'!$E$10:$E$21))/SUMIF($A$7:$AC$128,$A57,$AB$6:$AB$127)*K$5,0)</f>
        <v>0</v>
      </c>
      <c r="L57" s="35">
        <f ca="1">IF(AND(COLUMN()&gt;=11,COLUMN()&lt;=20),(_xlfn.XLOOKUP($A57,'Oferta Producto 3'!$B$10:$B$21,'Oferta Producto 3'!$E$10:$E$21))/SUMIF($A$7:$AC$128,$A57,$AB$6:$AB$127)*L$5,0)</f>
        <v>0</v>
      </c>
      <c r="M57" s="35">
        <f ca="1">IF(AND(COLUMN()&gt;=11,COLUMN()&lt;=20),(_xlfn.XLOOKUP($A57,'Oferta Producto 3'!$B$10:$B$21,'Oferta Producto 3'!$E$10:$E$21))/SUMIF($A$7:$AC$128,$A57,$AB$6:$AB$127)*M$5,0)</f>
        <v>0</v>
      </c>
      <c r="N57" s="35">
        <f ca="1">IF(AND(COLUMN()&gt;=11,COLUMN()&lt;=20),(_xlfn.XLOOKUP($A57,'Oferta Producto 3'!$B$10:$B$21,'Oferta Producto 3'!$E$10:$E$21))/SUMIF($A$7:$AC$128,$A57,$AB$6:$AB$127)*N$5,0)</f>
        <v>0</v>
      </c>
      <c r="O57" s="35">
        <f ca="1">IF(AND(COLUMN()&gt;=11,COLUMN()&lt;=20),(_xlfn.XLOOKUP($A57,'Oferta Producto 3'!$B$10:$B$21,'Oferta Producto 3'!$E$10:$E$21))/SUMIF($A$7:$AC$128,$A57,$AB$6:$AB$127)*O$5,0)</f>
        <v>0</v>
      </c>
      <c r="P57" s="35">
        <f ca="1">IF(AND(COLUMN()&gt;=11,COLUMN()&lt;=20),(_xlfn.XLOOKUP($A57,'Oferta Producto 3'!$B$10:$B$21,'Oferta Producto 3'!$E$10:$E$21))/SUMIF($A$7:$AC$128,$A57,$AB$6:$AB$127)*P$5,0)</f>
        <v>0</v>
      </c>
      <c r="Q57" s="35">
        <f ca="1">IF(AND(COLUMN()&gt;=11,COLUMN()&lt;=20),(_xlfn.XLOOKUP($A57,'Oferta Producto 3'!$B$10:$B$21,'Oferta Producto 3'!$E$10:$E$21))/SUMIF($A$7:$AC$128,$A57,$AB$6:$AB$127)*Q$5,0)</f>
        <v>0</v>
      </c>
      <c r="R57" s="35">
        <f ca="1">IF(AND(COLUMN()&gt;=11,COLUMN()&lt;=20),(_xlfn.XLOOKUP($A57,'Oferta Producto 3'!$B$10:$B$21,'Oferta Producto 3'!$E$10:$E$21))/SUMIF($A$7:$AC$128,$A57,$AB$6:$AB$127)*R$5,0)</f>
        <v>0</v>
      </c>
      <c r="S57" s="35">
        <f ca="1">IF(AND(COLUMN()&gt;=11,COLUMN()&lt;=20),(_xlfn.XLOOKUP($A57,'Oferta Producto 3'!$B$10:$B$21,'Oferta Producto 3'!$E$10:$E$21))/SUMIF($A$7:$AC$128,$A57,$AB$6:$AB$127)*S$5,0)</f>
        <v>0</v>
      </c>
      <c r="T57" s="35">
        <f ca="1">IF(AND(COLUMN()&gt;=11,COLUMN()&lt;=20),(_xlfn.XLOOKUP($A57,'Oferta Producto 3'!$B$10:$B$21,'Oferta Producto 3'!$E$10:$E$21))/SUMIF($A$7:$AC$128,$A57,$AB$6:$AB$127)*T$5,0)</f>
        <v>0</v>
      </c>
      <c r="U57" s="35">
        <f>IF(AND(COLUMN()&gt;=11,COLUMN()&lt;=20),(_xlfn.XLOOKUP($A57,'Oferta Producto 3'!$B$10:$B$21,'Oferta Producto 3'!$E$10:$E$21))/SUMIF($A$7:$AC$128,$A57,$AB$6:$AB$127)*U$5,0)</f>
        <v>0</v>
      </c>
      <c r="V57" s="35">
        <f>IF(AND(COLUMN()&gt;=11,COLUMN()&lt;=20),(_xlfn.XLOOKUP($A57,'Oferta Producto 3'!$B$10:$B$21,'Oferta Producto 3'!$E$10:$E$21))/SUMIF($A$7:$AC$128,$A57,$AB$6:$AB$127)*V$5,0)</f>
        <v>0</v>
      </c>
      <c r="W57" s="35">
        <f>IF(AND(COLUMN()&gt;=11,COLUMN()&lt;=20),(_xlfn.XLOOKUP($A57,'Oferta Producto 3'!$B$10:$B$21,'Oferta Producto 3'!$E$10:$E$21))/SUMIF($A$7:$AC$128,$A57,$AB$6:$AB$127)*W$5,0)</f>
        <v>0</v>
      </c>
      <c r="X57" s="35">
        <f>IF(AND(COLUMN()&gt;=11,COLUMN()&lt;=20),(_xlfn.XLOOKUP($A57,'Oferta Producto 3'!$B$10:$B$21,'Oferta Producto 3'!$E$10:$E$21))/SUMIF($A$7:$AC$128,$A57,$AB$6:$AB$127)*X$5,0)</f>
        <v>0</v>
      </c>
      <c r="Y57" s="35">
        <f>IF(AND(COLUMN()&gt;=11,COLUMN()&lt;=20),(_xlfn.XLOOKUP($A57,'Oferta Producto 3'!$B$10:$B$21,'Oferta Producto 3'!$E$10:$E$21))/SUMIF($A$7:$AC$128,$A57,$AB$6:$AB$127)*Y$5,0)</f>
        <v>0</v>
      </c>
      <c r="Z57" s="35">
        <f>IF(AND(COLUMN()&gt;=11,COLUMN()&lt;=20),(_xlfn.XLOOKUP($A57,'Oferta Producto 3'!$B$10:$B$21,'Oferta Producto 3'!$E$10:$E$21))/SUMIF($A$7:$AC$128,$A57,$AB$6:$AB$127)*Z$5,0)</f>
        <v>0</v>
      </c>
      <c r="AA57" s="35">
        <f t="shared" ca="1" si="8"/>
        <v>0</v>
      </c>
      <c r="AB57" s="28">
        <f t="shared" si="2"/>
        <v>28</v>
      </c>
      <c r="AC57" s="29">
        <f t="shared" ca="1" si="3"/>
        <v>0</v>
      </c>
      <c r="AD57" s="48">
        <f ca="1">'Curvas Prod 3'!AC57/SUMIF('Curvas Prod 3'!A55:AC200,'Curva de la oferta Prod 3'!$A57,'Curvas Prod 3'!AC55:AC200)</f>
        <v>7.6712328767123292E-2</v>
      </c>
      <c r="AE57" s="45"/>
      <c r="AF57" s="49"/>
      <c r="AG57" s="49"/>
      <c r="AH57" s="49"/>
      <c r="AI57" s="49"/>
      <c r="AJ57" s="49"/>
      <c r="AK57" s="49"/>
    </row>
    <row r="58" spans="1:37" ht="15">
      <c r="A58" s="23">
        <f t="shared" si="0"/>
        <v>2030</v>
      </c>
      <c r="B58" s="27">
        <v>47543</v>
      </c>
      <c r="C58" s="35">
        <f>IF(AND(COLUMN()&gt;=11,COLUMN()&lt;=20),(_xlfn.XLOOKUP($A58,'Oferta Producto 3'!$B$10:$B$21,'Oferta Producto 3'!$E$10:$E$21))/SUMIF($A$7:$AC$128,$A58,$AB$6:$AB$127)*C$5,0)</f>
        <v>0</v>
      </c>
      <c r="D58" s="35">
        <f>IF(AND(COLUMN()&gt;=11,COLUMN()&lt;=20),(_xlfn.XLOOKUP($A58,'Oferta Producto 3'!$B$10:$B$21,'Oferta Producto 3'!$E$10:$E$21))/SUMIF($A$7:$AC$128,$A58,$AB$6:$AB$127)*D$5,0)</f>
        <v>0</v>
      </c>
      <c r="E58" s="35">
        <f>IF(AND(COLUMN()&gt;=11,COLUMN()&lt;=20),(_xlfn.XLOOKUP($A58,'Oferta Producto 3'!$B$10:$B$21,'Oferta Producto 3'!$E$10:$E$21))/SUMIF($A$7:$AC$128,$A58,$AB$6:$AB$127)*E$5,0)</f>
        <v>0</v>
      </c>
      <c r="F58" s="35">
        <f>IF(AND(COLUMN()&gt;=11,COLUMN()&lt;=20),(_xlfn.XLOOKUP($A58,'Oferta Producto 3'!$B$10:$B$21,'Oferta Producto 3'!$E$10:$E$21))/SUMIF($A$7:$AC$128,$A58,$AB$6:$AB$127)*F$5,0)</f>
        <v>0</v>
      </c>
      <c r="G58" s="35">
        <f>IF(AND(COLUMN()&gt;=11,COLUMN()&lt;=20),(_xlfn.XLOOKUP($A58,'Oferta Producto 3'!$B$10:$B$21,'Oferta Producto 3'!$E$10:$E$21))/SUMIF($A$7:$AC$128,$A58,$AB$6:$AB$127)*G$5,0)</f>
        <v>0</v>
      </c>
      <c r="H58" s="35">
        <f>IF(AND(COLUMN()&gt;=11,COLUMN()&lt;=20),(_xlfn.XLOOKUP($A58,'Oferta Producto 3'!$B$10:$B$21,'Oferta Producto 3'!$E$10:$E$21))/SUMIF($A$7:$AC$128,$A58,$AB$6:$AB$127)*H$5,0)</f>
        <v>0</v>
      </c>
      <c r="I58" s="35">
        <f>IF(AND(COLUMN()&gt;=11,COLUMN()&lt;=20),(_xlfn.XLOOKUP($A58,'Oferta Producto 3'!$B$10:$B$21,'Oferta Producto 3'!$E$10:$E$21))/SUMIF($A$7:$AC$128,$A58,$AB$6:$AB$127)*I$5,0)</f>
        <v>0</v>
      </c>
      <c r="J58" s="35">
        <f>IF(AND(COLUMN()&gt;=11,COLUMN()&lt;=20),(_xlfn.XLOOKUP($A58,'Oferta Producto 3'!$B$10:$B$21,'Oferta Producto 3'!$E$10:$E$21))/SUMIF($A$7:$AC$128,$A58,$AB$6:$AB$127)*J$5,0)</f>
        <v>0</v>
      </c>
      <c r="K58" s="35">
        <f ca="1">IF(AND(COLUMN()&gt;=11,COLUMN()&lt;=20),(_xlfn.XLOOKUP($A58,'Oferta Producto 3'!$B$10:$B$21,'Oferta Producto 3'!$E$10:$E$21))/SUMIF($A$7:$AC$128,$A58,$AB$6:$AB$127)*K$5,0)</f>
        <v>0</v>
      </c>
      <c r="L58" s="35">
        <f ca="1">IF(AND(COLUMN()&gt;=11,COLUMN()&lt;=20),(_xlfn.XLOOKUP($A58,'Oferta Producto 3'!$B$10:$B$21,'Oferta Producto 3'!$E$10:$E$21))/SUMIF($A$7:$AC$128,$A58,$AB$6:$AB$127)*L$5,0)</f>
        <v>0</v>
      </c>
      <c r="M58" s="35">
        <f ca="1">IF(AND(COLUMN()&gt;=11,COLUMN()&lt;=20),(_xlfn.XLOOKUP($A58,'Oferta Producto 3'!$B$10:$B$21,'Oferta Producto 3'!$E$10:$E$21))/SUMIF($A$7:$AC$128,$A58,$AB$6:$AB$127)*M$5,0)</f>
        <v>0</v>
      </c>
      <c r="N58" s="35">
        <f ca="1">IF(AND(COLUMN()&gt;=11,COLUMN()&lt;=20),(_xlfn.XLOOKUP($A58,'Oferta Producto 3'!$B$10:$B$21,'Oferta Producto 3'!$E$10:$E$21))/SUMIF($A$7:$AC$128,$A58,$AB$6:$AB$127)*N$5,0)</f>
        <v>0</v>
      </c>
      <c r="O58" s="35">
        <f ca="1">IF(AND(COLUMN()&gt;=11,COLUMN()&lt;=20),(_xlfn.XLOOKUP($A58,'Oferta Producto 3'!$B$10:$B$21,'Oferta Producto 3'!$E$10:$E$21))/SUMIF($A$7:$AC$128,$A58,$AB$6:$AB$127)*O$5,0)</f>
        <v>0</v>
      </c>
      <c r="P58" s="35">
        <f ca="1">IF(AND(COLUMN()&gt;=11,COLUMN()&lt;=20),(_xlfn.XLOOKUP($A58,'Oferta Producto 3'!$B$10:$B$21,'Oferta Producto 3'!$E$10:$E$21))/SUMIF($A$7:$AC$128,$A58,$AB$6:$AB$127)*P$5,0)</f>
        <v>0</v>
      </c>
      <c r="Q58" s="35">
        <f ca="1">IF(AND(COLUMN()&gt;=11,COLUMN()&lt;=20),(_xlfn.XLOOKUP($A58,'Oferta Producto 3'!$B$10:$B$21,'Oferta Producto 3'!$E$10:$E$21))/SUMIF($A$7:$AC$128,$A58,$AB$6:$AB$127)*Q$5,0)</f>
        <v>0</v>
      </c>
      <c r="R58" s="35">
        <f ca="1">IF(AND(COLUMN()&gt;=11,COLUMN()&lt;=20),(_xlfn.XLOOKUP($A58,'Oferta Producto 3'!$B$10:$B$21,'Oferta Producto 3'!$E$10:$E$21))/SUMIF($A$7:$AC$128,$A58,$AB$6:$AB$127)*R$5,0)</f>
        <v>0</v>
      </c>
      <c r="S58" s="35">
        <f ca="1">IF(AND(COLUMN()&gt;=11,COLUMN()&lt;=20),(_xlfn.XLOOKUP($A58,'Oferta Producto 3'!$B$10:$B$21,'Oferta Producto 3'!$E$10:$E$21))/SUMIF($A$7:$AC$128,$A58,$AB$6:$AB$127)*S$5,0)</f>
        <v>0</v>
      </c>
      <c r="T58" s="35">
        <f ca="1">IF(AND(COLUMN()&gt;=11,COLUMN()&lt;=20),(_xlfn.XLOOKUP($A58,'Oferta Producto 3'!$B$10:$B$21,'Oferta Producto 3'!$E$10:$E$21))/SUMIF($A$7:$AC$128,$A58,$AB$6:$AB$127)*T$5,0)</f>
        <v>0</v>
      </c>
      <c r="U58" s="35">
        <f>IF(AND(COLUMN()&gt;=11,COLUMN()&lt;=20),(_xlfn.XLOOKUP($A58,'Oferta Producto 3'!$B$10:$B$21,'Oferta Producto 3'!$E$10:$E$21))/SUMIF($A$7:$AC$128,$A58,$AB$6:$AB$127)*U$5,0)</f>
        <v>0</v>
      </c>
      <c r="V58" s="35">
        <f>IF(AND(COLUMN()&gt;=11,COLUMN()&lt;=20),(_xlfn.XLOOKUP($A58,'Oferta Producto 3'!$B$10:$B$21,'Oferta Producto 3'!$E$10:$E$21))/SUMIF($A$7:$AC$128,$A58,$AB$6:$AB$127)*V$5,0)</f>
        <v>0</v>
      </c>
      <c r="W58" s="35">
        <f>IF(AND(COLUMN()&gt;=11,COLUMN()&lt;=20),(_xlfn.XLOOKUP($A58,'Oferta Producto 3'!$B$10:$B$21,'Oferta Producto 3'!$E$10:$E$21))/SUMIF($A$7:$AC$128,$A58,$AB$6:$AB$127)*W$5,0)</f>
        <v>0</v>
      </c>
      <c r="X58" s="35">
        <f>IF(AND(COLUMN()&gt;=11,COLUMN()&lt;=20),(_xlfn.XLOOKUP($A58,'Oferta Producto 3'!$B$10:$B$21,'Oferta Producto 3'!$E$10:$E$21))/SUMIF($A$7:$AC$128,$A58,$AB$6:$AB$127)*X$5,0)</f>
        <v>0</v>
      </c>
      <c r="Y58" s="35">
        <f>IF(AND(COLUMN()&gt;=11,COLUMN()&lt;=20),(_xlfn.XLOOKUP($A58,'Oferta Producto 3'!$B$10:$B$21,'Oferta Producto 3'!$E$10:$E$21))/SUMIF($A$7:$AC$128,$A58,$AB$6:$AB$127)*Y$5,0)</f>
        <v>0</v>
      </c>
      <c r="Z58" s="35">
        <f>IF(AND(COLUMN()&gt;=11,COLUMN()&lt;=20),(_xlfn.XLOOKUP($A58,'Oferta Producto 3'!$B$10:$B$21,'Oferta Producto 3'!$E$10:$E$21))/SUMIF($A$7:$AC$128,$A58,$AB$6:$AB$127)*Z$5,0)</f>
        <v>0</v>
      </c>
      <c r="AA58" s="35">
        <f t="shared" ca="1" si="8"/>
        <v>0</v>
      </c>
      <c r="AB58" s="28">
        <f t="shared" si="2"/>
        <v>31</v>
      </c>
      <c r="AC58" s="29">
        <f t="shared" ca="1" si="3"/>
        <v>0</v>
      </c>
      <c r="AD58" s="48">
        <f ca="1">'Curvas Prod 3'!AC58/SUMIF('Curvas Prod 3'!A56:AC201,'Curva de la oferta Prod 3'!$A58,'Curvas Prod 3'!AC56:AC201)</f>
        <v>8.4931506849315067E-2</v>
      </c>
      <c r="AE58" s="45"/>
      <c r="AF58" s="49"/>
      <c r="AG58" s="49"/>
      <c r="AH58" s="49"/>
      <c r="AI58" s="49"/>
      <c r="AJ58" s="49"/>
      <c r="AK58" s="49"/>
    </row>
    <row r="59" spans="1:37" ht="15">
      <c r="A59" s="23">
        <f t="shared" si="0"/>
        <v>2030</v>
      </c>
      <c r="B59" s="27">
        <v>47574</v>
      </c>
      <c r="C59" s="35">
        <f>IF(AND(COLUMN()&gt;=11,COLUMN()&lt;=20),(_xlfn.XLOOKUP($A59,'Oferta Producto 3'!$B$10:$B$21,'Oferta Producto 3'!$E$10:$E$21))/SUMIF($A$7:$AC$128,$A59,$AB$6:$AB$127)*C$5,0)</f>
        <v>0</v>
      </c>
      <c r="D59" s="35">
        <f>IF(AND(COLUMN()&gt;=11,COLUMN()&lt;=20),(_xlfn.XLOOKUP($A59,'Oferta Producto 3'!$B$10:$B$21,'Oferta Producto 3'!$E$10:$E$21))/SUMIF($A$7:$AC$128,$A59,$AB$6:$AB$127)*D$5,0)</f>
        <v>0</v>
      </c>
      <c r="E59" s="35">
        <f>IF(AND(COLUMN()&gt;=11,COLUMN()&lt;=20),(_xlfn.XLOOKUP($A59,'Oferta Producto 3'!$B$10:$B$21,'Oferta Producto 3'!$E$10:$E$21))/SUMIF($A$7:$AC$128,$A59,$AB$6:$AB$127)*E$5,0)</f>
        <v>0</v>
      </c>
      <c r="F59" s="35">
        <f>IF(AND(COLUMN()&gt;=11,COLUMN()&lt;=20),(_xlfn.XLOOKUP($A59,'Oferta Producto 3'!$B$10:$B$21,'Oferta Producto 3'!$E$10:$E$21))/SUMIF($A$7:$AC$128,$A59,$AB$6:$AB$127)*F$5,0)</f>
        <v>0</v>
      </c>
      <c r="G59" s="35">
        <f>IF(AND(COLUMN()&gt;=11,COLUMN()&lt;=20),(_xlfn.XLOOKUP($A59,'Oferta Producto 3'!$B$10:$B$21,'Oferta Producto 3'!$E$10:$E$21))/SUMIF($A$7:$AC$128,$A59,$AB$6:$AB$127)*G$5,0)</f>
        <v>0</v>
      </c>
      <c r="H59" s="35">
        <f>IF(AND(COLUMN()&gt;=11,COLUMN()&lt;=20),(_xlfn.XLOOKUP($A59,'Oferta Producto 3'!$B$10:$B$21,'Oferta Producto 3'!$E$10:$E$21))/SUMIF($A$7:$AC$128,$A59,$AB$6:$AB$127)*H$5,0)</f>
        <v>0</v>
      </c>
      <c r="I59" s="35">
        <f>IF(AND(COLUMN()&gt;=11,COLUMN()&lt;=20),(_xlfn.XLOOKUP($A59,'Oferta Producto 3'!$B$10:$B$21,'Oferta Producto 3'!$E$10:$E$21))/SUMIF($A$7:$AC$128,$A59,$AB$6:$AB$127)*I$5,0)</f>
        <v>0</v>
      </c>
      <c r="J59" s="35">
        <f>IF(AND(COLUMN()&gt;=11,COLUMN()&lt;=20),(_xlfn.XLOOKUP($A59,'Oferta Producto 3'!$B$10:$B$21,'Oferta Producto 3'!$E$10:$E$21))/SUMIF($A$7:$AC$128,$A59,$AB$6:$AB$127)*J$5,0)</f>
        <v>0</v>
      </c>
      <c r="K59" s="35">
        <f ca="1">IF(AND(COLUMN()&gt;=11,COLUMN()&lt;=20),(_xlfn.XLOOKUP($A59,'Oferta Producto 3'!$B$10:$B$21,'Oferta Producto 3'!$E$10:$E$21))/SUMIF($A$7:$AC$128,$A59,$AB$6:$AB$127)*K$5,0)</f>
        <v>0</v>
      </c>
      <c r="L59" s="35">
        <f ca="1">IF(AND(COLUMN()&gt;=11,COLUMN()&lt;=20),(_xlfn.XLOOKUP($A59,'Oferta Producto 3'!$B$10:$B$21,'Oferta Producto 3'!$E$10:$E$21))/SUMIF($A$7:$AC$128,$A59,$AB$6:$AB$127)*L$5,0)</f>
        <v>0</v>
      </c>
      <c r="M59" s="35">
        <f ca="1">IF(AND(COLUMN()&gt;=11,COLUMN()&lt;=20),(_xlfn.XLOOKUP($A59,'Oferta Producto 3'!$B$10:$B$21,'Oferta Producto 3'!$E$10:$E$21))/SUMIF($A$7:$AC$128,$A59,$AB$6:$AB$127)*M$5,0)</f>
        <v>0</v>
      </c>
      <c r="N59" s="35">
        <f ca="1">IF(AND(COLUMN()&gt;=11,COLUMN()&lt;=20),(_xlfn.XLOOKUP($A59,'Oferta Producto 3'!$B$10:$B$21,'Oferta Producto 3'!$E$10:$E$21))/SUMIF($A$7:$AC$128,$A59,$AB$6:$AB$127)*N$5,0)</f>
        <v>0</v>
      </c>
      <c r="O59" s="35">
        <f ca="1">IF(AND(COLUMN()&gt;=11,COLUMN()&lt;=20),(_xlfn.XLOOKUP($A59,'Oferta Producto 3'!$B$10:$B$21,'Oferta Producto 3'!$E$10:$E$21))/SUMIF($A$7:$AC$128,$A59,$AB$6:$AB$127)*O$5,0)</f>
        <v>0</v>
      </c>
      <c r="P59" s="35">
        <f ca="1">IF(AND(COLUMN()&gt;=11,COLUMN()&lt;=20),(_xlfn.XLOOKUP($A59,'Oferta Producto 3'!$B$10:$B$21,'Oferta Producto 3'!$E$10:$E$21))/SUMIF($A$7:$AC$128,$A59,$AB$6:$AB$127)*P$5,0)</f>
        <v>0</v>
      </c>
      <c r="Q59" s="35">
        <f ca="1">IF(AND(COLUMN()&gt;=11,COLUMN()&lt;=20),(_xlfn.XLOOKUP($A59,'Oferta Producto 3'!$B$10:$B$21,'Oferta Producto 3'!$E$10:$E$21))/SUMIF($A$7:$AC$128,$A59,$AB$6:$AB$127)*Q$5,0)</f>
        <v>0</v>
      </c>
      <c r="R59" s="35">
        <f ca="1">IF(AND(COLUMN()&gt;=11,COLUMN()&lt;=20),(_xlfn.XLOOKUP($A59,'Oferta Producto 3'!$B$10:$B$21,'Oferta Producto 3'!$E$10:$E$21))/SUMIF($A$7:$AC$128,$A59,$AB$6:$AB$127)*R$5,0)</f>
        <v>0</v>
      </c>
      <c r="S59" s="35">
        <f ca="1">IF(AND(COLUMN()&gt;=11,COLUMN()&lt;=20),(_xlfn.XLOOKUP($A59,'Oferta Producto 3'!$B$10:$B$21,'Oferta Producto 3'!$E$10:$E$21))/SUMIF($A$7:$AC$128,$A59,$AB$6:$AB$127)*S$5,0)</f>
        <v>0</v>
      </c>
      <c r="T59" s="35">
        <f ca="1">IF(AND(COLUMN()&gt;=11,COLUMN()&lt;=20),(_xlfn.XLOOKUP($A59,'Oferta Producto 3'!$B$10:$B$21,'Oferta Producto 3'!$E$10:$E$21))/SUMIF($A$7:$AC$128,$A59,$AB$6:$AB$127)*T$5,0)</f>
        <v>0</v>
      </c>
      <c r="U59" s="35">
        <f>IF(AND(COLUMN()&gt;=11,COLUMN()&lt;=20),(_xlfn.XLOOKUP($A59,'Oferta Producto 3'!$B$10:$B$21,'Oferta Producto 3'!$E$10:$E$21))/SUMIF($A$7:$AC$128,$A59,$AB$6:$AB$127)*U$5,0)</f>
        <v>0</v>
      </c>
      <c r="V59" s="35">
        <f>IF(AND(COLUMN()&gt;=11,COLUMN()&lt;=20),(_xlfn.XLOOKUP($A59,'Oferta Producto 3'!$B$10:$B$21,'Oferta Producto 3'!$E$10:$E$21))/SUMIF($A$7:$AC$128,$A59,$AB$6:$AB$127)*V$5,0)</f>
        <v>0</v>
      </c>
      <c r="W59" s="35">
        <f>IF(AND(COLUMN()&gt;=11,COLUMN()&lt;=20),(_xlfn.XLOOKUP($A59,'Oferta Producto 3'!$B$10:$B$21,'Oferta Producto 3'!$E$10:$E$21))/SUMIF($A$7:$AC$128,$A59,$AB$6:$AB$127)*W$5,0)</f>
        <v>0</v>
      </c>
      <c r="X59" s="35">
        <f>IF(AND(COLUMN()&gt;=11,COLUMN()&lt;=20),(_xlfn.XLOOKUP($A59,'Oferta Producto 3'!$B$10:$B$21,'Oferta Producto 3'!$E$10:$E$21))/SUMIF($A$7:$AC$128,$A59,$AB$6:$AB$127)*X$5,0)</f>
        <v>0</v>
      </c>
      <c r="Y59" s="35">
        <f>IF(AND(COLUMN()&gt;=11,COLUMN()&lt;=20),(_xlfn.XLOOKUP($A59,'Oferta Producto 3'!$B$10:$B$21,'Oferta Producto 3'!$E$10:$E$21))/SUMIF($A$7:$AC$128,$A59,$AB$6:$AB$127)*Y$5,0)</f>
        <v>0</v>
      </c>
      <c r="Z59" s="35">
        <f>IF(AND(COLUMN()&gt;=11,COLUMN()&lt;=20),(_xlfn.XLOOKUP($A59,'Oferta Producto 3'!$B$10:$B$21,'Oferta Producto 3'!$E$10:$E$21))/SUMIF($A$7:$AC$128,$A59,$AB$6:$AB$127)*Z$5,0)</f>
        <v>0</v>
      </c>
      <c r="AA59" s="35">
        <f t="shared" ca="1" si="8"/>
        <v>0</v>
      </c>
      <c r="AB59" s="28">
        <f t="shared" si="2"/>
        <v>30</v>
      </c>
      <c r="AC59" s="29">
        <f t="shared" ca="1" si="3"/>
        <v>0</v>
      </c>
      <c r="AD59" s="48">
        <f ca="1">'Curvas Prod 3'!AC59/SUMIF('Curvas Prod 3'!A57:AC202,'Curva de la oferta Prod 3'!$A59,'Curvas Prod 3'!AC57:AC202)</f>
        <v>8.9820359281437126E-2</v>
      </c>
      <c r="AE59" s="45"/>
      <c r="AF59" s="49"/>
      <c r="AG59" s="49"/>
      <c r="AH59" s="49"/>
      <c r="AI59" s="49"/>
      <c r="AJ59" s="49"/>
      <c r="AK59" s="49"/>
    </row>
    <row r="60" spans="1:37" ht="15">
      <c r="A60" s="23">
        <f t="shared" si="0"/>
        <v>2030</v>
      </c>
      <c r="B60" s="27">
        <v>47604</v>
      </c>
      <c r="C60" s="35">
        <f>IF(AND(COLUMN()&gt;=11,COLUMN()&lt;=20),(_xlfn.XLOOKUP($A60,'Oferta Producto 3'!$B$10:$B$21,'Oferta Producto 3'!$E$10:$E$21))/SUMIF($A$7:$AC$128,$A60,$AB$6:$AB$127)*C$5,0)</f>
        <v>0</v>
      </c>
      <c r="D60" s="35">
        <f>IF(AND(COLUMN()&gt;=11,COLUMN()&lt;=20),(_xlfn.XLOOKUP($A60,'Oferta Producto 3'!$B$10:$B$21,'Oferta Producto 3'!$E$10:$E$21))/SUMIF($A$7:$AC$128,$A60,$AB$6:$AB$127)*D$5,0)</f>
        <v>0</v>
      </c>
      <c r="E60" s="35">
        <f>IF(AND(COLUMN()&gt;=11,COLUMN()&lt;=20),(_xlfn.XLOOKUP($A60,'Oferta Producto 3'!$B$10:$B$21,'Oferta Producto 3'!$E$10:$E$21))/SUMIF($A$7:$AC$128,$A60,$AB$6:$AB$127)*E$5,0)</f>
        <v>0</v>
      </c>
      <c r="F60" s="35">
        <f>IF(AND(COLUMN()&gt;=11,COLUMN()&lt;=20),(_xlfn.XLOOKUP($A60,'Oferta Producto 3'!$B$10:$B$21,'Oferta Producto 3'!$E$10:$E$21))/SUMIF($A$7:$AC$128,$A60,$AB$6:$AB$127)*F$5,0)</f>
        <v>0</v>
      </c>
      <c r="G60" s="35">
        <f>IF(AND(COLUMN()&gt;=11,COLUMN()&lt;=20),(_xlfn.XLOOKUP($A60,'Oferta Producto 3'!$B$10:$B$21,'Oferta Producto 3'!$E$10:$E$21))/SUMIF($A$7:$AC$128,$A60,$AB$6:$AB$127)*G$5,0)</f>
        <v>0</v>
      </c>
      <c r="H60" s="35">
        <f>IF(AND(COLUMN()&gt;=11,COLUMN()&lt;=20),(_xlfn.XLOOKUP($A60,'Oferta Producto 3'!$B$10:$B$21,'Oferta Producto 3'!$E$10:$E$21))/SUMIF($A$7:$AC$128,$A60,$AB$6:$AB$127)*H$5,0)</f>
        <v>0</v>
      </c>
      <c r="I60" s="35">
        <f>IF(AND(COLUMN()&gt;=11,COLUMN()&lt;=20),(_xlfn.XLOOKUP($A60,'Oferta Producto 3'!$B$10:$B$21,'Oferta Producto 3'!$E$10:$E$21))/SUMIF($A$7:$AC$128,$A60,$AB$6:$AB$127)*I$5,0)</f>
        <v>0</v>
      </c>
      <c r="J60" s="35">
        <f>IF(AND(COLUMN()&gt;=11,COLUMN()&lt;=20),(_xlfn.XLOOKUP($A60,'Oferta Producto 3'!$B$10:$B$21,'Oferta Producto 3'!$E$10:$E$21))/SUMIF($A$7:$AC$128,$A60,$AB$6:$AB$127)*J$5,0)</f>
        <v>0</v>
      </c>
      <c r="K60" s="35">
        <f ca="1">IF(AND(COLUMN()&gt;=11,COLUMN()&lt;=20),(_xlfn.XLOOKUP($A60,'Oferta Producto 3'!$B$10:$B$21,'Oferta Producto 3'!$E$10:$E$21))/SUMIF($A$7:$AC$128,$A60,$AB$6:$AB$127)*K$5,0)</f>
        <v>0</v>
      </c>
      <c r="L60" s="35">
        <f ca="1">IF(AND(COLUMN()&gt;=11,COLUMN()&lt;=20),(_xlfn.XLOOKUP($A60,'Oferta Producto 3'!$B$10:$B$21,'Oferta Producto 3'!$E$10:$E$21))/SUMIF($A$7:$AC$128,$A60,$AB$6:$AB$127)*L$5,0)</f>
        <v>0</v>
      </c>
      <c r="M60" s="35">
        <f ca="1">IF(AND(COLUMN()&gt;=11,COLUMN()&lt;=20),(_xlfn.XLOOKUP($A60,'Oferta Producto 3'!$B$10:$B$21,'Oferta Producto 3'!$E$10:$E$21))/SUMIF($A$7:$AC$128,$A60,$AB$6:$AB$127)*M$5,0)</f>
        <v>0</v>
      </c>
      <c r="N60" s="35">
        <f ca="1">IF(AND(COLUMN()&gt;=11,COLUMN()&lt;=20),(_xlfn.XLOOKUP($A60,'Oferta Producto 3'!$B$10:$B$21,'Oferta Producto 3'!$E$10:$E$21))/SUMIF($A$7:$AC$128,$A60,$AB$6:$AB$127)*N$5,0)</f>
        <v>0</v>
      </c>
      <c r="O60" s="35">
        <f ca="1">IF(AND(COLUMN()&gt;=11,COLUMN()&lt;=20),(_xlfn.XLOOKUP($A60,'Oferta Producto 3'!$B$10:$B$21,'Oferta Producto 3'!$E$10:$E$21))/SUMIF($A$7:$AC$128,$A60,$AB$6:$AB$127)*O$5,0)</f>
        <v>0</v>
      </c>
      <c r="P60" s="35">
        <f ca="1">IF(AND(COLUMN()&gt;=11,COLUMN()&lt;=20),(_xlfn.XLOOKUP($A60,'Oferta Producto 3'!$B$10:$B$21,'Oferta Producto 3'!$E$10:$E$21))/SUMIF($A$7:$AC$128,$A60,$AB$6:$AB$127)*P$5,0)</f>
        <v>0</v>
      </c>
      <c r="Q60" s="35">
        <f ca="1">IF(AND(COLUMN()&gt;=11,COLUMN()&lt;=20),(_xlfn.XLOOKUP($A60,'Oferta Producto 3'!$B$10:$B$21,'Oferta Producto 3'!$E$10:$E$21))/SUMIF($A$7:$AC$128,$A60,$AB$6:$AB$127)*Q$5,0)</f>
        <v>0</v>
      </c>
      <c r="R60" s="35">
        <f ca="1">IF(AND(COLUMN()&gt;=11,COLUMN()&lt;=20),(_xlfn.XLOOKUP($A60,'Oferta Producto 3'!$B$10:$B$21,'Oferta Producto 3'!$E$10:$E$21))/SUMIF($A$7:$AC$128,$A60,$AB$6:$AB$127)*R$5,0)</f>
        <v>0</v>
      </c>
      <c r="S60" s="35">
        <f ca="1">IF(AND(COLUMN()&gt;=11,COLUMN()&lt;=20),(_xlfn.XLOOKUP($A60,'Oferta Producto 3'!$B$10:$B$21,'Oferta Producto 3'!$E$10:$E$21))/SUMIF($A$7:$AC$128,$A60,$AB$6:$AB$127)*S$5,0)</f>
        <v>0</v>
      </c>
      <c r="T60" s="35">
        <f ca="1">IF(AND(COLUMN()&gt;=11,COLUMN()&lt;=20),(_xlfn.XLOOKUP($A60,'Oferta Producto 3'!$B$10:$B$21,'Oferta Producto 3'!$E$10:$E$21))/SUMIF($A$7:$AC$128,$A60,$AB$6:$AB$127)*T$5,0)</f>
        <v>0</v>
      </c>
      <c r="U60" s="35">
        <f>IF(AND(COLUMN()&gt;=11,COLUMN()&lt;=20),(_xlfn.XLOOKUP($A60,'Oferta Producto 3'!$B$10:$B$21,'Oferta Producto 3'!$E$10:$E$21))/SUMIF($A$7:$AC$128,$A60,$AB$6:$AB$127)*U$5,0)</f>
        <v>0</v>
      </c>
      <c r="V60" s="35">
        <f>IF(AND(COLUMN()&gt;=11,COLUMN()&lt;=20),(_xlfn.XLOOKUP($A60,'Oferta Producto 3'!$B$10:$B$21,'Oferta Producto 3'!$E$10:$E$21))/SUMIF($A$7:$AC$128,$A60,$AB$6:$AB$127)*V$5,0)</f>
        <v>0</v>
      </c>
      <c r="W60" s="35">
        <f>IF(AND(COLUMN()&gt;=11,COLUMN()&lt;=20),(_xlfn.XLOOKUP($A60,'Oferta Producto 3'!$B$10:$B$21,'Oferta Producto 3'!$E$10:$E$21))/SUMIF($A$7:$AC$128,$A60,$AB$6:$AB$127)*W$5,0)</f>
        <v>0</v>
      </c>
      <c r="X60" s="35">
        <f>IF(AND(COLUMN()&gt;=11,COLUMN()&lt;=20),(_xlfn.XLOOKUP($A60,'Oferta Producto 3'!$B$10:$B$21,'Oferta Producto 3'!$E$10:$E$21))/SUMIF($A$7:$AC$128,$A60,$AB$6:$AB$127)*X$5,0)</f>
        <v>0</v>
      </c>
      <c r="Y60" s="35">
        <f>IF(AND(COLUMN()&gt;=11,COLUMN()&lt;=20),(_xlfn.XLOOKUP($A60,'Oferta Producto 3'!$B$10:$B$21,'Oferta Producto 3'!$E$10:$E$21))/SUMIF($A$7:$AC$128,$A60,$AB$6:$AB$127)*Y$5,0)</f>
        <v>0</v>
      </c>
      <c r="Z60" s="35">
        <f>IF(AND(COLUMN()&gt;=11,COLUMN()&lt;=20),(_xlfn.XLOOKUP($A60,'Oferta Producto 3'!$B$10:$B$21,'Oferta Producto 3'!$E$10:$E$21))/SUMIF($A$7:$AC$128,$A60,$AB$6:$AB$127)*Z$5,0)</f>
        <v>0</v>
      </c>
      <c r="AA60" s="35">
        <f t="shared" ca="1" si="8"/>
        <v>0</v>
      </c>
      <c r="AB60" s="28">
        <f t="shared" si="2"/>
        <v>31</v>
      </c>
      <c r="AC60" s="29">
        <f t="shared" ca="1" si="3"/>
        <v>0</v>
      </c>
      <c r="AD60" s="48">
        <f ca="1">'Curvas Prod 3'!AC60/SUMIF('Curvas Prod 3'!A58:AC203,'Curva de la oferta Prod 3'!$A60,'Curvas Prod 3'!AC58:AC203)</f>
        <v>0.10130718954248366</v>
      </c>
      <c r="AE60" s="45"/>
      <c r="AF60" s="49"/>
      <c r="AG60" s="49"/>
      <c r="AH60" s="49"/>
      <c r="AI60" s="49"/>
      <c r="AJ60" s="49"/>
      <c r="AK60" s="49"/>
    </row>
    <row r="61" spans="1:37" ht="15">
      <c r="A61" s="23">
        <f t="shared" si="0"/>
        <v>2030</v>
      </c>
      <c r="B61" s="27">
        <v>47635</v>
      </c>
      <c r="C61" s="35">
        <f>IF(AND(COLUMN()&gt;=11,COLUMN()&lt;=20),(_xlfn.XLOOKUP($A61,'Oferta Producto 3'!$B$10:$B$21,'Oferta Producto 3'!$E$10:$E$21))/SUMIF($A$7:$AC$128,$A61,$AB$6:$AB$127)*C$5,0)</f>
        <v>0</v>
      </c>
      <c r="D61" s="35">
        <f>IF(AND(COLUMN()&gt;=11,COLUMN()&lt;=20),(_xlfn.XLOOKUP($A61,'Oferta Producto 3'!$B$10:$B$21,'Oferta Producto 3'!$E$10:$E$21))/SUMIF($A$7:$AC$128,$A61,$AB$6:$AB$127)*D$5,0)</f>
        <v>0</v>
      </c>
      <c r="E61" s="35">
        <f>IF(AND(COLUMN()&gt;=11,COLUMN()&lt;=20),(_xlfn.XLOOKUP($A61,'Oferta Producto 3'!$B$10:$B$21,'Oferta Producto 3'!$E$10:$E$21))/SUMIF($A$7:$AC$128,$A61,$AB$6:$AB$127)*E$5,0)</f>
        <v>0</v>
      </c>
      <c r="F61" s="35">
        <f>IF(AND(COLUMN()&gt;=11,COLUMN()&lt;=20),(_xlfn.XLOOKUP($A61,'Oferta Producto 3'!$B$10:$B$21,'Oferta Producto 3'!$E$10:$E$21))/SUMIF($A$7:$AC$128,$A61,$AB$6:$AB$127)*F$5,0)</f>
        <v>0</v>
      </c>
      <c r="G61" s="35">
        <f>IF(AND(COLUMN()&gt;=11,COLUMN()&lt;=20),(_xlfn.XLOOKUP($A61,'Oferta Producto 3'!$B$10:$B$21,'Oferta Producto 3'!$E$10:$E$21))/SUMIF($A$7:$AC$128,$A61,$AB$6:$AB$127)*G$5,0)</f>
        <v>0</v>
      </c>
      <c r="H61" s="35">
        <f>IF(AND(COLUMN()&gt;=11,COLUMN()&lt;=20),(_xlfn.XLOOKUP($A61,'Oferta Producto 3'!$B$10:$B$21,'Oferta Producto 3'!$E$10:$E$21))/SUMIF($A$7:$AC$128,$A61,$AB$6:$AB$127)*H$5,0)</f>
        <v>0</v>
      </c>
      <c r="I61" s="35">
        <f>IF(AND(COLUMN()&gt;=11,COLUMN()&lt;=20),(_xlfn.XLOOKUP($A61,'Oferta Producto 3'!$B$10:$B$21,'Oferta Producto 3'!$E$10:$E$21))/SUMIF($A$7:$AC$128,$A61,$AB$6:$AB$127)*I$5,0)</f>
        <v>0</v>
      </c>
      <c r="J61" s="35">
        <f>IF(AND(COLUMN()&gt;=11,COLUMN()&lt;=20),(_xlfn.XLOOKUP($A61,'Oferta Producto 3'!$B$10:$B$21,'Oferta Producto 3'!$E$10:$E$21))/SUMIF($A$7:$AC$128,$A61,$AB$6:$AB$127)*J$5,0)</f>
        <v>0</v>
      </c>
      <c r="K61" s="35">
        <f ca="1">IF(AND(COLUMN()&gt;=11,COLUMN()&lt;=20),(_xlfn.XLOOKUP($A61,'Oferta Producto 3'!$B$10:$B$21,'Oferta Producto 3'!$E$10:$E$21))/SUMIF($A$7:$AC$128,$A61,$AB$6:$AB$127)*K$5,0)</f>
        <v>0</v>
      </c>
      <c r="L61" s="35">
        <f ca="1">IF(AND(COLUMN()&gt;=11,COLUMN()&lt;=20),(_xlfn.XLOOKUP($A61,'Oferta Producto 3'!$B$10:$B$21,'Oferta Producto 3'!$E$10:$E$21))/SUMIF($A$7:$AC$128,$A61,$AB$6:$AB$127)*L$5,0)</f>
        <v>0</v>
      </c>
      <c r="M61" s="35">
        <f ca="1">IF(AND(COLUMN()&gt;=11,COLUMN()&lt;=20),(_xlfn.XLOOKUP($A61,'Oferta Producto 3'!$B$10:$B$21,'Oferta Producto 3'!$E$10:$E$21))/SUMIF($A$7:$AC$128,$A61,$AB$6:$AB$127)*M$5,0)</f>
        <v>0</v>
      </c>
      <c r="N61" s="35">
        <f ca="1">IF(AND(COLUMN()&gt;=11,COLUMN()&lt;=20),(_xlfn.XLOOKUP($A61,'Oferta Producto 3'!$B$10:$B$21,'Oferta Producto 3'!$E$10:$E$21))/SUMIF($A$7:$AC$128,$A61,$AB$6:$AB$127)*N$5,0)</f>
        <v>0</v>
      </c>
      <c r="O61" s="35">
        <f ca="1">IF(AND(COLUMN()&gt;=11,COLUMN()&lt;=20),(_xlfn.XLOOKUP($A61,'Oferta Producto 3'!$B$10:$B$21,'Oferta Producto 3'!$E$10:$E$21))/SUMIF($A$7:$AC$128,$A61,$AB$6:$AB$127)*O$5,0)</f>
        <v>0</v>
      </c>
      <c r="P61" s="35">
        <f ca="1">IF(AND(COLUMN()&gt;=11,COLUMN()&lt;=20),(_xlfn.XLOOKUP($A61,'Oferta Producto 3'!$B$10:$B$21,'Oferta Producto 3'!$E$10:$E$21))/SUMIF($A$7:$AC$128,$A61,$AB$6:$AB$127)*P$5,0)</f>
        <v>0</v>
      </c>
      <c r="Q61" s="35">
        <f ca="1">IF(AND(COLUMN()&gt;=11,COLUMN()&lt;=20),(_xlfn.XLOOKUP($A61,'Oferta Producto 3'!$B$10:$B$21,'Oferta Producto 3'!$E$10:$E$21))/SUMIF($A$7:$AC$128,$A61,$AB$6:$AB$127)*Q$5,0)</f>
        <v>0</v>
      </c>
      <c r="R61" s="35">
        <f ca="1">IF(AND(COLUMN()&gt;=11,COLUMN()&lt;=20),(_xlfn.XLOOKUP($A61,'Oferta Producto 3'!$B$10:$B$21,'Oferta Producto 3'!$E$10:$E$21))/SUMIF($A$7:$AC$128,$A61,$AB$6:$AB$127)*R$5,0)</f>
        <v>0</v>
      </c>
      <c r="S61" s="35">
        <f ca="1">IF(AND(COLUMN()&gt;=11,COLUMN()&lt;=20),(_xlfn.XLOOKUP($A61,'Oferta Producto 3'!$B$10:$B$21,'Oferta Producto 3'!$E$10:$E$21))/SUMIF($A$7:$AC$128,$A61,$AB$6:$AB$127)*S$5,0)</f>
        <v>0</v>
      </c>
      <c r="T61" s="35">
        <f ca="1">IF(AND(COLUMN()&gt;=11,COLUMN()&lt;=20),(_xlfn.XLOOKUP($A61,'Oferta Producto 3'!$B$10:$B$21,'Oferta Producto 3'!$E$10:$E$21))/SUMIF($A$7:$AC$128,$A61,$AB$6:$AB$127)*T$5,0)</f>
        <v>0</v>
      </c>
      <c r="U61" s="35">
        <f>IF(AND(COLUMN()&gt;=11,COLUMN()&lt;=20),(_xlfn.XLOOKUP($A61,'Oferta Producto 3'!$B$10:$B$21,'Oferta Producto 3'!$E$10:$E$21))/SUMIF($A$7:$AC$128,$A61,$AB$6:$AB$127)*U$5,0)</f>
        <v>0</v>
      </c>
      <c r="V61" s="35">
        <f>IF(AND(COLUMN()&gt;=11,COLUMN()&lt;=20),(_xlfn.XLOOKUP($A61,'Oferta Producto 3'!$B$10:$B$21,'Oferta Producto 3'!$E$10:$E$21))/SUMIF($A$7:$AC$128,$A61,$AB$6:$AB$127)*V$5,0)</f>
        <v>0</v>
      </c>
      <c r="W61" s="35">
        <f>IF(AND(COLUMN()&gt;=11,COLUMN()&lt;=20),(_xlfn.XLOOKUP($A61,'Oferta Producto 3'!$B$10:$B$21,'Oferta Producto 3'!$E$10:$E$21))/SUMIF($A$7:$AC$128,$A61,$AB$6:$AB$127)*W$5,0)</f>
        <v>0</v>
      </c>
      <c r="X61" s="35">
        <f>IF(AND(COLUMN()&gt;=11,COLUMN()&lt;=20),(_xlfn.XLOOKUP($A61,'Oferta Producto 3'!$B$10:$B$21,'Oferta Producto 3'!$E$10:$E$21))/SUMIF($A$7:$AC$128,$A61,$AB$6:$AB$127)*X$5,0)</f>
        <v>0</v>
      </c>
      <c r="Y61" s="35">
        <f>IF(AND(COLUMN()&gt;=11,COLUMN()&lt;=20),(_xlfn.XLOOKUP($A61,'Oferta Producto 3'!$B$10:$B$21,'Oferta Producto 3'!$E$10:$E$21))/SUMIF($A$7:$AC$128,$A61,$AB$6:$AB$127)*Y$5,0)</f>
        <v>0</v>
      </c>
      <c r="Z61" s="35">
        <f>IF(AND(COLUMN()&gt;=11,COLUMN()&lt;=20),(_xlfn.XLOOKUP($A61,'Oferta Producto 3'!$B$10:$B$21,'Oferta Producto 3'!$E$10:$E$21))/SUMIF($A$7:$AC$128,$A61,$AB$6:$AB$127)*Z$5,0)</f>
        <v>0</v>
      </c>
      <c r="AA61" s="35">
        <f t="shared" ca="1" si="8"/>
        <v>0</v>
      </c>
      <c r="AB61" s="28">
        <f t="shared" si="2"/>
        <v>30</v>
      </c>
      <c r="AC61" s="29">
        <f t="shared" ca="1" si="3"/>
        <v>0</v>
      </c>
      <c r="AD61" s="48">
        <f ca="1">'Curvas Prod 3'!AC61/SUMIF('Curvas Prod 3'!A59:AC204,'Curva de la oferta Prod 3'!$A61,'Curvas Prod 3'!AC59:AC204)</f>
        <v>0.10909090909090909</v>
      </c>
      <c r="AE61" s="45"/>
      <c r="AF61" s="49"/>
      <c r="AG61" s="49"/>
      <c r="AH61" s="49"/>
      <c r="AI61" s="49"/>
      <c r="AJ61" s="49"/>
      <c r="AK61" s="49"/>
    </row>
    <row r="62" spans="1:37" ht="15">
      <c r="A62" s="23">
        <f t="shared" si="0"/>
        <v>2030</v>
      </c>
      <c r="B62" s="27">
        <v>47665</v>
      </c>
      <c r="C62" s="35">
        <f>IF(AND(COLUMN()&gt;=11,COLUMN()&lt;=20),(_xlfn.XLOOKUP($A62,'Oferta Producto 3'!$B$10:$B$21,'Oferta Producto 3'!$E$10:$E$21))/SUMIF($A$7:$AC$128,$A62,$AB$6:$AB$127)*C$5,0)</f>
        <v>0</v>
      </c>
      <c r="D62" s="35">
        <f>IF(AND(COLUMN()&gt;=11,COLUMN()&lt;=20),(_xlfn.XLOOKUP($A62,'Oferta Producto 3'!$B$10:$B$21,'Oferta Producto 3'!$E$10:$E$21))/SUMIF($A$7:$AC$128,$A62,$AB$6:$AB$127)*D$5,0)</f>
        <v>0</v>
      </c>
      <c r="E62" s="35">
        <f>IF(AND(COLUMN()&gt;=11,COLUMN()&lt;=20),(_xlfn.XLOOKUP($A62,'Oferta Producto 3'!$B$10:$B$21,'Oferta Producto 3'!$E$10:$E$21))/SUMIF($A$7:$AC$128,$A62,$AB$6:$AB$127)*E$5,0)</f>
        <v>0</v>
      </c>
      <c r="F62" s="35">
        <f>IF(AND(COLUMN()&gt;=11,COLUMN()&lt;=20),(_xlfn.XLOOKUP($A62,'Oferta Producto 3'!$B$10:$B$21,'Oferta Producto 3'!$E$10:$E$21))/SUMIF($A$7:$AC$128,$A62,$AB$6:$AB$127)*F$5,0)</f>
        <v>0</v>
      </c>
      <c r="G62" s="35">
        <f>IF(AND(COLUMN()&gt;=11,COLUMN()&lt;=20),(_xlfn.XLOOKUP($A62,'Oferta Producto 3'!$B$10:$B$21,'Oferta Producto 3'!$E$10:$E$21))/SUMIF($A$7:$AC$128,$A62,$AB$6:$AB$127)*G$5,0)</f>
        <v>0</v>
      </c>
      <c r="H62" s="35">
        <f>IF(AND(COLUMN()&gt;=11,COLUMN()&lt;=20),(_xlfn.XLOOKUP($A62,'Oferta Producto 3'!$B$10:$B$21,'Oferta Producto 3'!$E$10:$E$21))/SUMIF($A$7:$AC$128,$A62,$AB$6:$AB$127)*H$5,0)</f>
        <v>0</v>
      </c>
      <c r="I62" s="35">
        <f>IF(AND(COLUMN()&gt;=11,COLUMN()&lt;=20),(_xlfn.XLOOKUP($A62,'Oferta Producto 3'!$B$10:$B$21,'Oferta Producto 3'!$E$10:$E$21))/SUMIF($A$7:$AC$128,$A62,$AB$6:$AB$127)*I$5,0)</f>
        <v>0</v>
      </c>
      <c r="J62" s="35">
        <f>IF(AND(COLUMN()&gt;=11,COLUMN()&lt;=20),(_xlfn.XLOOKUP($A62,'Oferta Producto 3'!$B$10:$B$21,'Oferta Producto 3'!$E$10:$E$21))/SUMIF($A$7:$AC$128,$A62,$AB$6:$AB$127)*J$5,0)</f>
        <v>0</v>
      </c>
      <c r="K62" s="35">
        <f ca="1">IF(AND(COLUMN()&gt;=11,COLUMN()&lt;=20),(_xlfn.XLOOKUP($A62,'Oferta Producto 3'!$B$10:$B$21,'Oferta Producto 3'!$E$10:$E$21))/SUMIF($A$7:$AC$128,$A62,$AB$6:$AB$127)*K$5,0)</f>
        <v>0</v>
      </c>
      <c r="L62" s="35">
        <f ca="1">IF(AND(COLUMN()&gt;=11,COLUMN()&lt;=20),(_xlfn.XLOOKUP($A62,'Oferta Producto 3'!$B$10:$B$21,'Oferta Producto 3'!$E$10:$E$21))/SUMIF($A$7:$AC$128,$A62,$AB$6:$AB$127)*L$5,0)</f>
        <v>0</v>
      </c>
      <c r="M62" s="35">
        <f ca="1">IF(AND(COLUMN()&gt;=11,COLUMN()&lt;=20),(_xlfn.XLOOKUP($A62,'Oferta Producto 3'!$B$10:$B$21,'Oferta Producto 3'!$E$10:$E$21))/SUMIF($A$7:$AC$128,$A62,$AB$6:$AB$127)*M$5,0)</f>
        <v>0</v>
      </c>
      <c r="N62" s="35">
        <f ca="1">IF(AND(COLUMN()&gt;=11,COLUMN()&lt;=20),(_xlfn.XLOOKUP($A62,'Oferta Producto 3'!$B$10:$B$21,'Oferta Producto 3'!$E$10:$E$21))/SUMIF($A$7:$AC$128,$A62,$AB$6:$AB$127)*N$5,0)</f>
        <v>0</v>
      </c>
      <c r="O62" s="35">
        <f ca="1">IF(AND(COLUMN()&gt;=11,COLUMN()&lt;=20),(_xlfn.XLOOKUP($A62,'Oferta Producto 3'!$B$10:$B$21,'Oferta Producto 3'!$E$10:$E$21))/SUMIF($A$7:$AC$128,$A62,$AB$6:$AB$127)*O$5,0)</f>
        <v>0</v>
      </c>
      <c r="P62" s="35">
        <f ca="1">IF(AND(COLUMN()&gt;=11,COLUMN()&lt;=20),(_xlfn.XLOOKUP($A62,'Oferta Producto 3'!$B$10:$B$21,'Oferta Producto 3'!$E$10:$E$21))/SUMIF($A$7:$AC$128,$A62,$AB$6:$AB$127)*P$5,0)</f>
        <v>0</v>
      </c>
      <c r="Q62" s="35">
        <f ca="1">IF(AND(COLUMN()&gt;=11,COLUMN()&lt;=20),(_xlfn.XLOOKUP($A62,'Oferta Producto 3'!$B$10:$B$21,'Oferta Producto 3'!$E$10:$E$21))/SUMIF($A$7:$AC$128,$A62,$AB$6:$AB$127)*Q$5,0)</f>
        <v>0</v>
      </c>
      <c r="R62" s="35">
        <f ca="1">IF(AND(COLUMN()&gt;=11,COLUMN()&lt;=20),(_xlfn.XLOOKUP($A62,'Oferta Producto 3'!$B$10:$B$21,'Oferta Producto 3'!$E$10:$E$21))/SUMIF($A$7:$AC$128,$A62,$AB$6:$AB$127)*R$5,0)</f>
        <v>0</v>
      </c>
      <c r="S62" s="35">
        <f ca="1">IF(AND(COLUMN()&gt;=11,COLUMN()&lt;=20),(_xlfn.XLOOKUP($A62,'Oferta Producto 3'!$B$10:$B$21,'Oferta Producto 3'!$E$10:$E$21))/SUMIF($A$7:$AC$128,$A62,$AB$6:$AB$127)*S$5,0)</f>
        <v>0</v>
      </c>
      <c r="T62" s="35">
        <f ca="1">IF(AND(COLUMN()&gt;=11,COLUMN()&lt;=20),(_xlfn.XLOOKUP($A62,'Oferta Producto 3'!$B$10:$B$21,'Oferta Producto 3'!$E$10:$E$21))/SUMIF($A$7:$AC$128,$A62,$AB$6:$AB$127)*T$5,0)</f>
        <v>0</v>
      </c>
      <c r="U62" s="35">
        <f>IF(AND(COLUMN()&gt;=11,COLUMN()&lt;=20),(_xlfn.XLOOKUP($A62,'Oferta Producto 3'!$B$10:$B$21,'Oferta Producto 3'!$E$10:$E$21))/SUMIF($A$7:$AC$128,$A62,$AB$6:$AB$127)*U$5,0)</f>
        <v>0</v>
      </c>
      <c r="V62" s="35">
        <f>IF(AND(COLUMN()&gt;=11,COLUMN()&lt;=20),(_xlfn.XLOOKUP($A62,'Oferta Producto 3'!$B$10:$B$21,'Oferta Producto 3'!$E$10:$E$21))/SUMIF($A$7:$AC$128,$A62,$AB$6:$AB$127)*V$5,0)</f>
        <v>0</v>
      </c>
      <c r="W62" s="35">
        <f>IF(AND(COLUMN()&gt;=11,COLUMN()&lt;=20),(_xlfn.XLOOKUP($A62,'Oferta Producto 3'!$B$10:$B$21,'Oferta Producto 3'!$E$10:$E$21))/SUMIF($A$7:$AC$128,$A62,$AB$6:$AB$127)*W$5,0)</f>
        <v>0</v>
      </c>
      <c r="X62" s="35">
        <f>IF(AND(COLUMN()&gt;=11,COLUMN()&lt;=20),(_xlfn.XLOOKUP($A62,'Oferta Producto 3'!$B$10:$B$21,'Oferta Producto 3'!$E$10:$E$21))/SUMIF($A$7:$AC$128,$A62,$AB$6:$AB$127)*X$5,0)</f>
        <v>0</v>
      </c>
      <c r="Y62" s="35">
        <f>IF(AND(COLUMN()&gt;=11,COLUMN()&lt;=20),(_xlfn.XLOOKUP($A62,'Oferta Producto 3'!$B$10:$B$21,'Oferta Producto 3'!$E$10:$E$21))/SUMIF($A$7:$AC$128,$A62,$AB$6:$AB$127)*Y$5,0)</f>
        <v>0</v>
      </c>
      <c r="Z62" s="35">
        <f>IF(AND(COLUMN()&gt;=11,COLUMN()&lt;=20),(_xlfn.XLOOKUP($A62,'Oferta Producto 3'!$B$10:$B$21,'Oferta Producto 3'!$E$10:$E$21))/SUMIF($A$7:$AC$128,$A62,$AB$6:$AB$127)*Z$5,0)</f>
        <v>0</v>
      </c>
      <c r="AA62" s="35">
        <f t="shared" ca="1" si="8"/>
        <v>0</v>
      </c>
      <c r="AB62" s="28">
        <f t="shared" si="2"/>
        <v>31</v>
      </c>
      <c r="AC62" s="29">
        <f t="shared" ca="1" si="3"/>
        <v>0</v>
      </c>
      <c r="AD62" s="48">
        <f ca="1">'Curvas Prod 3'!AC62/SUMIF('Curvas Prod 3'!A60:AC205,'Curva de la oferta Prod 3'!$A62,'Curvas Prod 3'!AC60:AC205)</f>
        <v>0.12653061224489795</v>
      </c>
      <c r="AE62" s="45"/>
      <c r="AF62" s="49"/>
      <c r="AG62" s="49"/>
      <c r="AH62" s="49"/>
      <c r="AI62" s="49"/>
      <c r="AJ62" s="49"/>
      <c r="AK62" s="49"/>
    </row>
    <row r="63" spans="1:37" ht="15">
      <c r="A63" s="23">
        <f t="shared" si="0"/>
        <v>2030</v>
      </c>
      <c r="B63" s="27">
        <v>47696</v>
      </c>
      <c r="C63" s="35">
        <f>IF(AND(COLUMN()&gt;=11,COLUMN()&lt;=20),(_xlfn.XLOOKUP($A63,'Oferta Producto 3'!$B$10:$B$21,'Oferta Producto 3'!$E$10:$E$21))/SUMIF($A$7:$AC$128,$A63,$AB$6:$AB$127)*C$5,0)</f>
        <v>0</v>
      </c>
      <c r="D63" s="35">
        <f>IF(AND(COLUMN()&gt;=11,COLUMN()&lt;=20),(_xlfn.XLOOKUP($A63,'Oferta Producto 3'!$B$10:$B$21,'Oferta Producto 3'!$E$10:$E$21))/SUMIF($A$7:$AC$128,$A63,$AB$6:$AB$127)*D$5,0)</f>
        <v>0</v>
      </c>
      <c r="E63" s="35">
        <f>IF(AND(COLUMN()&gt;=11,COLUMN()&lt;=20),(_xlfn.XLOOKUP($A63,'Oferta Producto 3'!$B$10:$B$21,'Oferta Producto 3'!$E$10:$E$21))/SUMIF($A$7:$AC$128,$A63,$AB$6:$AB$127)*E$5,0)</f>
        <v>0</v>
      </c>
      <c r="F63" s="35">
        <f>IF(AND(COLUMN()&gt;=11,COLUMN()&lt;=20),(_xlfn.XLOOKUP($A63,'Oferta Producto 3'!$B$10:$B$21,'Oferta Producto 3'!$E$10:$E$21))/SUMIF($A$7:$AC$128,$A63,$AB$6:$AB$127)*F$5,0)</f>
        <v>0</v>
      </c>
      <c r="G63" s="35">
        <f>IF(AND(COLUMN()&gt;=11,COLUMN()&lt;=20),(_xlfn.XLOOKUP($A63,'Oferta Producto 3'!$B$10:$B$21,'Oferta Producto 3'!$E$10:$E$21))/SUMIF($A$7:$AC$128,$A63,$AB$6:$AB$127)*G$5,0)</f>
        <v>0</v>
      </c>
      <c r="H63" s="35">
        <f>IF(AND(COLUMN()&gt;=11,COLUMN()&lt;=20),(_xlfn.XLOOKUP($A63,'Oferta Producto 3'!$B$10:$B$21,'Oferta Producto 3'!$E$10:$E$21))/SUMIF($A$7:$AC$128,$A63,$AB$6:$AB$127)*H$5,0)</f>
        <v>0</v>
      </c>
      <c r="I63" s="35">
        <f>IF(AND(COLUMN()&gt;=11,COLUMN()&lt;=20),(_xlfn.XLOOKUP($A63,'Oferta Producto 3'!$B$10:$B$21,'Oferta Producto 3'!$E$10:$E$21))/SUMIF($A$7:$AC$128,$A63,$AB$6:$AB$127)*I$5,0)</f>
        <v>0</v>
      </c>
      <c r="J63" s="35">
        <f>IF(AND(COLUMN()&gt;=11,COLUMN()&lt;=20),(_xlfn.XLOOKUP($A63,'Oferta Producto 3'!$B$10:$B$21,'Oferta Producto 3'!$E$10:$E$21))/SUMIF($A$7:$AC$128,$A63,$AB$6:$AB$127)*J$5,0)</f>
        <v>0</v>
      </c>
      <c r="K63" s="35">
        <f ca="1">IF(AND(COLUMN()&gt;=11,COLUMN()&lt;=20),(_xlfn.XLOOKUP($A63,'Oferta Producto 3'!$B$10:$B$21,'Oferta Producto 3'!$E$10:$E$21))/SUMIF($A$7:$AC$128,$A63,$AB$6:$AB$127)*K$5,0)</f>
        <v>0</v>
      </c>
      <c r="L63" s="35">
        <f ca="1">IF(AND(COLUMN()&gt;=11,COLUMN()&lt;=20),(_xlfn.XLOOKUP($A63,'Oferta Producto 3'!$B$10:$B$21,'Oferta Producto 3'!$E$10:$E$21))/SUMIF($A$7:$AC$128,$A63,$AB$6:$AB$127)*L$5,0)</f>
        <v>0</v>
      </c>
      <c r="M63" s="35">
        <f ca="1">IF(AND(COLUMN()&gt;=11,COLUMN()&lt;=20),(_xlfn.XLOOKUP($A63,'Oferta Producto 3'!$B$10:$B$21,'Oferta Producto 3'!$E$10:$E$21))/SUMIF($A$7:$AC$128,$A63,$AB$6:$AB$127)*M$5,0)</f>
        <v>0</v>
      </c>
      <c r="N63" s="35">
        <f ca="1">IF(AND(COLUMN()&gt;=11,COLUMN()&lt;=20),(_xlfn.XLOOKUP($A63,'Oferta Producto 3'!$B$10:$B$21,'Oferta Producto 3'!$E$10:$E$21))/SUMIF($A$7:$AC$128,$A63,$AB$6:$AB$127)*N$5,0)</f>
        <v>0</v>
      </c>
      <c r="O63" s="35">
        <f ca="1">IF(AND(COLUMN()&gt;=11,COLUMN()&lt;=20),(_xlfn.XLOOKUP($A63,'Oferta Producto 3'!$B$10:$B$21,'Oferta Producto 3'!$E$10:$E$21))/SUMIF($A$7:$AC$128,$A63,$AB$6:$AB$127)*O$5,0)</f>
        <v>0</v>
      </c>
      <c r="P63" s="35">
        <f ca="1">IF(AND(COLUMN()&gt;=11,COLUMN()&lt;=20),(_xlfn.XLOOKUP($A63,'Oferta Producto 3'!$B$10:$B$21,'Oferta Producto 3'!$E$10:$E$21))/SUMIF($A$7:$AC$128,$A63,$AB$6:$AB$127)*P$5,0)</f>
        <v>0</v>
      </c>
      <c r="Q63" s="35">
        <f ca="1">IF(AND(COLUMN()&gt;=11,COLUMN()&lt;=20),(_xlfn.XLOOKUP($A63,'Oferta Producto 3'!$B$10:$B$21,'Oferta Producto 3'!$E$10:$E$21))/SUMIF($A$7:$AC$128,$A63,$AB$6:$AB$127)*Q$5,0)</f>
        <v>0</v>
      </c>
      <c r="R63" s="35">
        <f ca="1">IF(AND(COLUMN()&gt;=11,COLUMN()&lt;=20),(_xlfn.XLOOKUP($A63,'Oferta Producto 3'!$B$10:$B$21,'Oferta Producto 3'!$E$10:$E$21))/SUMIF($A$7:$AC$128,$A63,$AB$6:$AB$127)*R$5,0)</f>
        <v>0</v>
      </c>
      <c r="S63" s="35">
        <f ca="1">IF(AND(COLUMN()&gt;=11,COLUMN()&lt;=20),(_xlfn.XLOOKUP($A63,'Oferta Producto 3'!$B$10:$B$21,'Oferta Producto 3'!$E$10:$E$21))/SUMIF($A$7:$AC$128,$A63,$AB$6:$AB$127)*S$5,0)</f>
        <v>0</v>
      </c>
      <c r="T63" s="35">
        <f ca="1">IF(AND(COLUMN()&gt;=11,COLUMN()&lt;=20),(_xlfn.XLOOKUP($A63,'Oferta Producto 3'!$B$10:$B$21,'Oferta Producto 3'!$E$10:$E$21))/SUMIF($A$7:$AC$128,$A63,$AB$6:$AB$127)*T$5,0)</f>
        <v>0</v>
      </c>
      <c r="U63" s="35">
        <f>IF(AND(COLUMN()&gt;=11,COLUMN()&lt;=20),(_xlfn.XLOOKUP($A63,'Oferta Producto 3'!$B$10:$B$21,'Oferta Producto 3'!$E$10:$E$21))/SUMIF($A$7:$AC$128,$A63,$AB$6:$AB$127)*U$5,0)</f>
        <v>0</v>
      </c>
      <c r="V63" s="35">
        <f>IF(AND(COLUMN()&gt;=11,COLUMN()&lt;=20),(_xlfn.XLOOKUP($A63,'Oferta Producto 3'!$B$10:$B$21,'Oferta Producto 3'!$E$10:$E$21))/SUMIF($A$7:$AC$128,$A63,$AB$6:$AB$127)*V$5,0)</f>
        <v>0</v>
      </c>
      <c r="W63" s="35">
        <f>IF(AND(COLUMN()&gt;=11,COLUMN()&lt;=20),(_xlfn.XLOOKUP($A63,'Oferta Producto 3'!$B$10:$B$21,'Oferta Producto 3'!$E$10:$E$21))/SUMIF($A$7:$AC$128,$A63,$AB$6:$AB$127)*W$5,0)</f>
        <v>0</v>
      </c>
      <c r="X63" s="35">
        <f>IF(AND(COLUMN()&gt;=11,COLUMN()&lt;=20),(_xlfn.XLOOKUP($A63,'Oferta Producto 3'!$B$10:$B$21,'Oferta Producto 3'!$E$10:$E$21))/SUMIF($A$7:$AC$128,$A63,$AB$6:$AB$127)*X$5,0)</f>
        <v>0</v>
      </c>
      <c r="Y63" s="35">
        <f>IF(AND(COLUMN()&gt;=11,COLUMN()&lt;=20),(_xlfn.XLOOKUP($A63,'Oferta Producto 3'!$B$10:$B$21,'Oferta Producto 3'!$E$10:$E$21))/SUMIF($A$7:$AC$128,$A63,$AB$6:$AB$127)*Y$5,0)</f>
        <v>0</v>
      </c>
      <c r="Z63" s="35">
        <f>IF(AND(COLUMN()&gt;=11,COLUMN()&lt;=20),(_xlfn.XLOOKUP($A63,'Oferta Producto 3'!$B$10:$B$21,'Oferta Producto 3'!$E$10:$E$21))/SUMIF($A$7:$AC$128,$A63,$AB$6:$AB$127)*Z$5,0)</f>
        <v>0</v>
      </c>
      <c r="AA63" s="35">
        <f t="shared" ca="1" si="8"/>
        <v>0</v>
      </c>
      <c r="AB63" s="28">
        <f t="shared" si="2"/>
        <v>31</v>
      </c>
      <c r="AC63" s="29">
        <f t="shared" ca="1" si="3"/>
        <v>0</v>
      </c>
      <c r="AD63" s="48">
        <f ca="1">'Curvas Prod 3'!AC63/SUMIF('Curvas Prod 3'!A61:AC206,'Curva de la oferta Prod 3'!$A63,'Curvas Prod 3'!AC61:AC206)</f>
        <v>0.14485981308411214</v>
      </c>
      <c r="AE63" s="45"/>
      <c r="AF63" s="49"/>
      <c r="AG63" s="49"/>
      <c r="AH63" s="49"/>
      <c r="AI63" s="49"/>
      <c r="AJ63" s="49"/>
      <c r="AK63" s="49"/>
    </row>
    <row r="64" spans="1:37" ht="15">
      <c r="A64" s="23">
        <f t="shared" si="0"/>
        <v>2030</v>
      </c>
      <c r="B64" s="27">
        <v>47727</v>
      </c>
      <c r="C64" s="35">
        <f>IF(AND(COLUMN()&gt;=11,COLUMN()&lt;=20),(_xlfn.XLOOKUP($A64,'Oferta Producto 3'!$B$10:$B$21,'Oferta Producto 3'!$E$10:$E$21))/SUMIF($A$7:$AC$128,$A64,$AB$6:$AB$127)*C$5,0)</f>
        <v>0</v>
      </c>
      <c r="D64" s="35">
        <f>IF(AND(COLUMN()&gt;=11,COLUMN()&lt;=20),(_xlfn.XLOOKUP($A64,'Oferta Producto 3'!$B$10:$B$21,'Oferta Producto 3'!$E$10:$E$21))/SUMIF($A$7:$AC$128,$A64,$AB$6:$AB$127)*D$5,0)</f>
        <v>0</v>
      </c>
      <c r="E64" s="35">
        <f>IF(AND(COLUMN()&gt;=11,COLUMN()&lt;=20),(_xlfn.XLOOKUP($A64,'Oferta Producto 3'!$B$10:$B$21,'Oferta Producto 3'!$E$10:$E$21))/SUMIF($A$7:$AC$128,$A64,$AB$6:$AB$127)*E$5,0)</f>
        <v>0</v>
      </c>
      <c r="F64" s="35">
        <f>IF(AND(COLUMN()&gt;=11,COLUMN()&lt;=20),(_xlfn.XLOOKUP($A64,'Oferta Producto 3'!$B$10:$B$21,'Oferta Producto 3'!$E$10:$E$21))/SUMIF($A$7:$AC$128,$A64,$AB$6:$AB$127)*F$5,0)</f>
        <v>0</v>
      </c>
      <c r="G64" s="35">
        <f>IF(AND(COLUMN()&gt;=11,COLUMN()&lt;=20),(_xlfn.XLOOKUP($A64,'Oferta Producto 3'!$B$10:$B$21,'Oferta Producto 3'!$E$10:$E$21))/SUMIF($A$7:$AC$128,$A64,$AB$6:$AB$127)*G$5,0)</f>
        <v>0</v>
      </c>
      <c r="H64" s="35">
        <f>IF(AND(COLUMN()&gt;=11,COLUMN()&lt;=20),(_xlfn.XLOOKUP($A64,'Oferta Producto 3'!$B$10:$B$21,'Oferta Producto 3'!$E$10:$E$21))/SUMIF($A$7:$AC$128,$A64,$AB$6:$AB$127)*H$5,0)</f>
        <v>0</v>
      </c>
      <c r="I64" s="35">
        <f>IF(AND(COLUMN()&gt;=11,COLUMN()&lt;=20),(_xlfn.XLOOKUP($A64,'Oferta Producto 3'!$B$10:$B$21,'Oferta Producto 3'!$E$10:$E$21))/SUMIF($A$7:$AC$128,$A64,$AB$6:$AB$127)*I$5,0)</f>
        <v>0</v>
      </c>
      <c r="J64" s="35">
        <f>IF(AND(COLUMN()&gt;=11,COLUMN()&lt;=20),(_xlfn.XLOOKUP($A64,'Oferta Producto 3'!$B$10:$B$21,'Oferta Producto 3'!$E$10:$E$21))/SUMIF($A$7:$AC$128,$A64,$AB$6:$AB$127)*J$5,0)</f>
        <v>0</v>
      </c>
      <c r="K64" s="35">
        <f ca="1">IF(AND(COLUMN()&gt;=11,COLUMN()&lt;=20),(_xlfn.XLOOKUP($A64,'Oferta Producto 3'!$B$10:$B$21,'Oferta Producto 3'!$E$10:$E$21))/SUMIF($A$7:$AC$128,$A64,$AB$6:$AB$127)*K$5,0)</f>
        <v>0</v>
      </c>
      <c r="L64" s="35">
        <f ca="1">IF(AND(COLUMN()&gt;=11,COLUMN()&lt;=20),(_xlfn.XLOOKUP($A64,'Oferta Producto 3'!$B$10:$B$21,'Oferta Producto 3'!$E$10:$E$21))/SUMIF($A$7:$AC$128,$A64,$AB$6:$AB$127)*L$5,0)</f>
        <v>0</v>
      </c>
      <c r="M64" s="35">
        <f ca="1">IF(AND(COLUMN()&gt;=11,COLUMN()&lt;=20),(_xlfn.XLOOKUP($A64,'Oferta Producto 3'!$B$10:$B$21,'Oferta Producto 3'!$E$10:$E$21))/SUMIF($A$7:$AC$128,$A64,$AB$6:$AB$127)*M$5,0)</f>
        <v>0</v>
      </c>
      <c r="N64" s="35">
        <f ca="1">IF(AND(COLUMN()&gt;=11,COLUMN()&lt;=20),(_xlfn.XLOOKUP($A64,'Oferta Producto 3'!$B$10:$B$21,'Oferta Producto 3'!$E$10:$E$21))/SUMIF($A$7:$AC$128,$A64,$AB$6:$AB$127)*N$5,0)</f>
        <v>0</v>
      </c>
      <c r="O64" s="35">
        <f ca="1">IF(AND(COLUMN()&gt;=11,COLUMN()&lt;=20),(_xlfn.XLOOKUP($A64,'Oferta Producto 3'!$B$10:$B$21,'Oferta Producto 3'!$E$10:$E$21))/SUMIF($A$7:$AC$128,$A64,$AB$6:$AB$127)*O$5,0)</f>
        <v>0</v>
      </c>
      <c r="P64" s="35">
        <f ca="1">IF(AND(COLUMN()&gt;=11,COLUMN()&lt;=20),(_xlfn.XLOOKUP($A64,'Oferta Producto 3'!$B$10:$B$21,'Oferta Producto 3'!$E$10:$E$21))/SUMIF($A$7:$AC$128,$A64,$AB$6:$AB$127)*P$5,0)</f>
        <v>0</v>
      </c>
      <c r="Q64" s="35">
        <f ca="1">IF(AND(COLUMN()&gt;=11,COLUMN()&lt;=20),(_xlfn.XLOOKUP($A64,'Oferta Producto 3'!$B$10:$B$21,'Oferta Producto 3'!$E$10:$E$21))/SUMIF($A$7:$AC$128,$A64,$AB$6:$AB$127)*Q$5,0)</f>
        <v>0</v>
      </c>
      <c r="R64" s="35">
        <f ca="1">IF(AND(COLUMN()&gt;=11,COLUMN()&lt;=20),(_xlfn.XLOOKUP($A64,'Oferta Producto 3'!$B$10:$B$21,'Oferta Producto 3'!$E$10:$E$21))/SUMIF($A$7:$AC$128,$A64,$AB$6:$AB$127)*R$5,0)</f>
        <v>0</v>
      </c>
      <c r="S64" s="35">
        <f ca="1">IF(AND(COLUMN()&gt;=11,COLUMN()&lt;=20),(_xlfn.XLOOKUP($A64,'Oferta Producto 3'!$B$10:$B$21,'Oferta Producto 3'!$E$10:$E$21))/SUMIF($A$7:$AC$128,$A64,$AB$6:$AB$127)*S$5,0)</f>
        <v>0</v>
      </c>
      <c r="T64" s="35">
        <f ca="1">IF(AND(COLUMN()&gt;=11,COLUMN()&lt;=20),(_xlfn.XLOOKUP($A64,'Oferta Producto 3'!$B$10:$B$21,'Oferta Producto 3'!$E$10:$E$21))/SUMIF($A$7:$AC$128,$A64,$AB$6:$AB$127)*T$5,0)</f>
        <v>0</v>
      </c>
      <c r="U64" s="35">
        <f>IF(AND(COLUMN()&gt;=11,COLUMN()&lt;=20),(_xlfn.XLOOKUP($A64,'Oferta Producto 3'!$B$10:$B$21,'Oferta Producto 3'!$E$10:$E$21))/SUMIF($A$7:$AC$128,$A64,$AB$6:$AB$127)*U$5,0)</f>
        <v>0</v>
      </c>
      <c r="V64" s="35">
        <f>IF(AND(COLUMN()&gt;=11,COLUMN()&lt;=20),(_xlfn.XLOOKUP($A64,'Oferta Producto 3'!$B$10:$B$21,'Oferta Producto 3'!$E$10:$E$21))/SUMIF($A$7:$AC$128,$A64,$AB$6:$AB$127)*V$5,0)</f>
        <v>0</v>
      </c>
      <c r="W64" s="35">
        <f>IF(AND(COLUMN()&gt;=11,COLUMN()&lt;=20),(_xlfn.XLOOKUP($A64,'Oferta Producto 3'!$B$10:$B$21,'Oferta Producto 3'!$E$10:$E$21))/SUMIF($A$7:$AC$128,$A64,$AB$6:$AB$127)*W$5,0)</f>
        <v>0</v>
      </c>
      <c r="X64" s="35">
        <f>IF(AND(COLUMN()&gt;=11,COLUMN()&lt;=20),(_xlfn.XLOOKUP($A64,'Oferta Producto 3'!$B$10:$B$21,'Oferta Producto 3'!$E$10:$E$21))/SUMIF($A$7:$AC$128,$A64,$AB$6:$AB$127)*X$5,0)</f>
        <v>0</v>
      </c>
      <c r="Y64" s="35">
        <f>IF(AND(COLUMN()&gt;=11,COLUMN()&lt;=20),(_xlfn.XLOOKUP($A64,'Oferta Producto 3'!$B$10:$B$21,'Oferta Producto 3'!$E$10:$E$21))/SUMIF($A$7:$AC$128,$A64,$AB$6:$AB$127)*Y$5,0)</f>
        <v>0</v>
      </c>
      <c r="Z64" s="35">
        <f>IF(AND(COLUMN()&gt;=11,COLUMN()&lt;=20),(_xlfn.XLOOKUP($A64,'Oferta Producto 3'!$B$10:$B$21,'Oferta Producto 3'!$E$10:$E$21))/SUMIF($A$7:$AC$128,$A64,$AB$6:$AB$127)*Z$5,0)</f>
        <v>0</v>
      </c>
      <c r="AA64" s="35">
        <f t="shared" ca="1" si="8"/>
        <v>0</v>
      </c>
      <c r="AB64" s="28">
        <f t="shared" si="2"/>
        <v>30</v>
      </c>
      <c r="AC64" s="29">
        <f t="shared" ca="1" si="3"/>
        <v>0</v>
      </c>
      <c r="AD64" s="48">
        <f ca="1">'Curvas Prod 3'!AC64/SUMIF('Curvas Prod 3'!A62:AC207,'Curva de la oferta Prod 3'!$A64,'Curvas Prod 3'!AC62:AC207)</f>
        <v>0.16304347826086957</v>
      </c>
      <c r="AE64" s="45"/>
      <c r="AF64" s="49"/>
      <c r="AG64" s="49"/>
      <c r="AH64" s="49"/>
      <c r="AI64" s="49"/>
      <c r="AJ64" s="49"/>
      <c r="AK64" s="49"/>
    </row>
    <row r="65" spans="1:37" ht="15">
      <c r="A65" s="23">
        <f t="shared" si="0"/>
        <v>2030</v>
      </c>
      <c r="B65" s="27">
        <v>47757</v>
      </c>
      <c r="C65" s="35">
        <f>IF(AND(COLUMN()&gt;=11,COLUMN()&lt;=20),(_xlfn.XLOOKUP($A65,'Oferta Producto 3'!$B$10:$B$21,'Oferta Producto 3'!$E$10:$E$21))/SUMIF($A$7:$AC$128,$A65,$AB$6:$AB$127)*C$5,0)</f>
        <v>0</v>
      </c>
      <c r="D65" s="35">
        <f>IF(AND(COLUMN()&gt;=11,COLUMN()&lt;=20),(_xlfn.XLOOKUP($A65,'Oferta Producto 3'!$B$10:$B$21,'Oferta Producto 3'!$E$10:$E$21))/SUMIF($A$7:$AC$128,$A65,$AB$6:$AB$127)*D$5,0)</f>
        <v>0</v>
      </c>
      <c r="E65" s="35">
        <f>IF(AND(COLUMN()&gt;=11,COLUMN()&lt;=20),(_xlfn.XLOOKUP($A65,'Oferta Producto 3'!$B$10:$B$21,'Oferta Producto 3'!$E$10:$E$21))/SUMIF($A$7:$AC$128,$A65,$AB$6:$AB$127)*E$5,0)</f>
        <v>0</v>
      </c>
      <c r="F65" s="35">
        <f>IF(AND(COLUMN()&gt;=11,COLUMN()&lt;=20),(_xlfn.XLOOKUP($A65,'Oferta Producto 3'!$B$10:$B$21,'Oferta Producto 3'!$E$10:$E$21))/SUMIF($A$7:$AC$128,$A65,$AB$6:$AB$127)*F$5,0)</f>
        <v>0</v>
      </c>
      <c r="G65" s="35">
        <f>IF(AND(COLUMN()&gt;=11,COLUMN()&lt;=20),(_xlfn.XLOOKUP($A65,'Oferta Producto 3'!$B$10:$B$21,'Oferta Producto 3'!$E$10:$E$21))/SUMIF($A$7:$AC$128,$A65,$AB$6:$AB$127)*G$5,0)</f>
        <v>0</v>
      </c>
      <c r="H65" s="35">
        <f>IF(AND(COLUMN()&gt;=11,COLUMN()&lt;=20),(_xlfn.XLOOKUP($A65,'Oferta Producto 3'!$B$10:$B$21,'Oferta Producto 3'!$E$10:$E$21))/SUMIF($A$7:$AC$128,$A65,$AB$6:$AB$127)*H$5,0)</f>
        <v>0</v>
      </c>
      <c r="I65" s="35">
        <f>IF(AND(COLUMN()&gt;=11,COLUMN()&lt;=20),(_xlfn.XLOOKUP($A65,'Oferta Producto 3'!$B$10:$B$21,'Oferta Producto 3'!$E$10:$E$21))/SUMIF($A$7:$AC$128,$A65,$AB$6:$AB$127)*I$5,0)</f>
        <v>0</v>
      </c>
      <c r="J65" s="35">
        <f>IF(AND(COLUMN()&gt;=11,COLUMN()&lt;=20),(_xlfn.XLOOKUP($A65,'Oferta Producto 3'!$B$10:$B$21,'Oferta Producto 3'!$E$10:$E$21))/SUMIF($A$7:$AC$128,$A65,$AB$6:$AB$127)*J$5,0)</f>
        <v>0</v>
      </c>
      <c r="K65" s="35">
        <f ca="1">IF(AND(COLUMN()&gt;=11,COLUMN()&lt;=20),(_xlfn.XLOOKUP($A65,'Oferta Producto 3'!$B$10:$B$21,'Oferta Producto 3'!$E$10:$E$21))/SUMIF($A$7:$AC$128,$A65,$AB$6:$AB$127)*K$5,0)</f>
        <v>0</v>
      </c>
      <c r="L65" s="35">
        <f ca="1">IF(AND(COLUMN()&gt;=11,COLUMN()&lt;=20),(_xlfn.XLOOKUP($A65,'Oferta Producto 3'!$B$10:$B$21,'Oferta Producto 3'!$E$10:$E$21))/SUMIF($A$7:$AC$128,$A65,$AB$6:$AB$127)*L$5,0)</f>
        <v>0</v>
      </c>
      <c r="M65" s="35">
        <f ca="1">IF(AND(COLUMN()&gt;=11,COLUMN()&lt;=20),(_xlfn.XLOOKUP($A65,'Oferta Producto 3'!$B$10:$B$21,'Oferta Producto 3'!$E$10:$E$21))/SUMIF($A$7:$AC$128,$A65,$AB$6:$AB$127)*M$5,0)</f>
        <v>0</v>
      </c>
      <c r="N65" s="35">
        <f ca="1">IF(AND(COLUMN()&gt;=11,COLUMN()&lt;=20),(_xlfn.XLOOKUP($A65,'Oferta Producto 3'!$B$10:$B$21,'Oferta Producto 3'!$E$10:$E$21))/SUMIF($A$7:$AC$128,$A65,$AB$6:$AB$127)*N$5,0)</f>
        <v>0</v>
      </c>
      <c r="O65" s="35">
        <f ca="1">IF(AND(COLUMN()&gt;=11,COLUMN()&lt;=20),(_xlfn.XLOOKUP($A65,'Oferta Producto 3'!$B$10:$B$21,'Oferta Producto 3'!$E$10:$E$21))/SUMIF($A$7:$AC$128,$A65,$AB$6:$AB$127)*O$5,0)</f>
        <v>0</v>
      </c>
      <c r="P65" s="35">
        <f ca="1">IF(AND(COLUMN()&gt;=11,COLUMN()&lt;=20),(_xlfn.XLOOKUP($A65,'Oferta Producto 3'!$B$10:$B$21,'Oferta Producto 3'!$E$10:$E$21))/SUMIF($A$7:$AC$128,$A65,$AB$6:$AB$127)*P$5,0)</f>
        <v>0</v>
      </c>
      <c r="Q65" s="35">
        <f ca="1">IF(AND(COLUMN()&gt;=11,COLUMN()&lt;=20),(_xlfn.XLOOKUP($A65,'Oferta Producto 3'!$B$10:$B$21,'Oferta Producto 3'!$E$10:$E$21))/SUMIF($A$7:$AC$128,$A65,$AB$6:$AB$127)*Q$5,0)</f>
        <v>0</v>
      </c>
      <c r="R65" s="35">
        <f ca="1">IF(AND(COLUMN()&gt;=11,COLUMN()&lt;=20),(_xlfn.XLOOKUP($A65,'Oferta Producto 3'!$B$10:$B$21,'Oferta Producto 3'!$E$10:$E$21))/SUMIF($A$7:$AC$128,$A65,$AB$6:$AB$127)*R$5,0)</f>
        <v>0</v>
      </c>
      <c r="S65" s="35">
        <f ca="1">IF(AND(COLUMN()&gt;=11,COLUMN()&lt;=20),(_xlfn.XLOOKUP($A65,'Oferta Producto 3'!$B$10:$B$21,'Oferta Producto 3'!$E$10:$E$21))/SUMIF($A$7:$AC$128,$A65,$AB$6:$AB$127)*S$5,0)</f>
        <v>0</v>
      </c>
      <c r="T65" s="35">
        <f ca="1">IF(AND(COLUMN()&gt;=11,COLUMN()&lt;=20),(_xlfn.XLOOKUP($A65,'Oferta Producto 3'!$B$10:$B$21,'Oferta Producto 3'!$E$10:$E$21))/SUMIF($A$7:$AC$128,$A65,$AB$6:$AB$127)*T$5,0)</f>
        <v>0</v>
      </c>
      <c r="U65" s="35">
        <f>IF(AND(COLUMN()&gt;=11,COLUMN()&lt;=20),(_xlfn.XLOOKUP($A65,'Oferta Producto 3'!$B$10:$B$21,'Oferta Producto 3'!$E$10:$E$21))/SUMIF($A$7:$AC$128,$A65,$AB$6:$AB$127)*U$5,0)</f>
        <v>0</v>
      </c>
      <c r="V65" s="35">
        <f>IF(AND(COLUMN()&gt;=11,COLUMN()&lt;=20),(_xlfn.XLOOKUP($A65,'Oferta Producto 3'!$B$10:$B$21,'Oferta Producto 3'!$E$10:$E$21))/SUMIF($A$7:$AC$128,$A65,$AB$6:$AB$127)*V$5,0)</f>
        <v>0</v>
      </c>
      <c r="W65" s="35">
        <f>IF(AND(COLUMN()&gt;=11,COLUMN()&lt;=20),(_xlfn.XLOOKUP($A65,'Oferta Producto 3'!$B$10:$B$21,'Oferta Producto 3'!$E$10:$E$21))/SUMIF($A$7:$AC$128,$A65,$AB$6:$AB$127)*W$5,0)</f>
        <v>0</v>
      </c>
      <c r="X65" s="35">
        <f>IF(AND(COLUMN()&gt;=11,COLUMN()&lt;=20),(_xlfn.XLOOKUP($A65,'Oferta Producto 3'!$B$10:$B$21,'Oferta Producto 3'!$E$10:$E$21))/SUMIF($A$7:$AC$128,$A65,$AB$6:$AB$127)*X$5,0)</f>
        <v>0</v>
      </c>
      <c r="Y65" s="35">
        <f>IF(AND(COLUMN()&gt;=11,COLUMN()&lt;=20),(_xlfn.XLOOKUP($A65,'Oferta Producto 3'!$B$10:$B$21,'Oferta Producto 3'!$E$10:$E$21))/SUMIF($A$7:$AC$128,$A65,$AB$6:$AB$127)*Y$5,0)</f>
        <v>0</v>
      </c>
      <c r="Z65" s="35">
        <f>IF(AND(COLUMN()&gt;=11,COLUMN()&lt;=20),(_xlfn.XLOOKUP($A65,'Oferta Producto 3'!$B$10:$B$21,'Oferta Producto 3'!$E$10:$E$21))/SUMIF($A$7:$AC$128,$A65,$AB$6:$AB$127)*Z$5,0)</f>
        <v>0</v>
      </c>
      <c r="AA65" s="35">
        <f t="shared" ca="1" si="8"/>
        <v>0</v>
      </c>
      <c r="AB65" s="28">
        <f t="shared" si="2"/>
        <v>31</v>
      </c>
      <c r="AC65" s="29">
        <f t="shared" ca="1" si="3"/>
        <v>0</v>
      </c>
      <c r="AD65" s="48">
        <f ca="1">'Curvas Prod 3'!AC65/SUMIF('Curvas Prod 3'!A63:AC208,'Curva de la oferta Prod 3'!$A65,'Curvas Prod 3'!AC63:AC208)</f>
        <v>0.20261437908496732</v>
      </c>
      <c r="AE65" s="45"/>
      <c r="AF65" s="49"/>
      <c r="AG65" s="49"/>
      <c r="AH65" s="49"/>
      <c r="AI65" s="49"/>
      <c r="AJ65" s="49"/>
      <c r="AK65" s="49"/>
    </row>
    <row r="66" spans="1:37" ht="15">
      <c r="A66" s="23">
        <f t="shared" si="0"/>
        <v>2030</v>
      </c>
      <c r="B66" s="27">
        <v>47788</v>
      </c>
      <c r="C66" s="35">
        <f>IF(AND(COLUMN()&gt;=11,COLUMN()&lt;=20),(_xlfn.XLOOKUP($A66,'Oferta Producto 3'!$B$10:$B$21,'Oferta Producto 3'!$E$10:$E$21))/SUMIF($A$7:$AC$128,$A66,$AB$6:$AB$127)*C$5,0)</f>
        <v>0</v>
      </c>
      <c r="D66" s="35">
        <f>IF(AND(COLUMN()&gt;=11,COLUMN()&lt;=20),(_xlfn.XLOOKUP($A66,'Oferta Producto 3'!$B$10:$B$21,'Oferta Producto 3'!$E$10:$E$21))/SUMIF($A$7:$AC$128,$A66,$AB$6:$AB$127)*D$5,0)</f>
        <v>0</v>
      </c>
      <c r="E66" s="35">
        <f>IF(AND(COLUMN()&gt;=11,COLUMN()&lt;=20),(_xlfn.XLOOKUP($A66,'Oferta Producto 3'!$B$10:$B$21,'Oferta Producto 3'!$E$10:$E$21))/SUMIF($A$7:$AC$128,$A66,$AB$6:$AB$127)*E$5,0)</f>
        <v>0</v>
      </c>
      <c r="F66" s="35">
        <f>IF(AND(COLUMN()&gt;=11,COLUMN()&lt;=20),(_xlfn.XLOOKUP($A66,'Oferta Producto 3'!$B$10:$B$21,'Oferta Producto 3'!$E$10:$E$21))/SUMIF($A$7:$AC$128,$A66,$AB$6:$AB$127)*F$5,0)</f>
        <v>0</v>
      </c>
      <c r="G66" s="35">
        <f>IF(AND(COLUMN()&gt;=11,COLUMN()&lt;=20),(_xlfn.XLOOKUP($A66,'Oferta Producto 3'!$B$10:$B$21,'Oferta Producto 3'!$E$10:$E$21))/SUMIF($A$7:$AC$128,$A66,$AB$6:$AB$127)*G$5,0)</f>
        <v>0</v>
      </c>
      <c r="H66" s="35">
        <f>IF(AND(COLUMN()&gt;=11,COLUMN()&lt;=20),(_xlfn.XLOOKUP($A66,'Oferta Producto 3'!$B$10:$B$21,'Oferta Producto 3'!$E$10:$E$21))/SUMIF($A$7:$AC$128,$A66,$AB$6:$AB$127)*H$5,0)</f>
        <v>0</v>
      </c>
      <c r="I66" s="35">
        <f>IF(AND(COLUMN()&gt;=11,COLUMN()&lt;=20),(_xlfn.XLOOKUP($A66,'Oferta Producto 3'!$B$10:$B$21,'Oferta Producto 3'!$E$10:$E$21))/SUMIF($A$7:$AC$128,$A66,$AB$6:$AB$127)*I$5,0)</f>
        <v>0</v>
      </c>
      <c r="J66" s="35">
        <f>IF(AND(COLUMN()&gt;=11,COLUMN()&lt;=20),(_xlfn.XLOOKUP($A66,'Oferta Producto 3'!$B$10:$B$21,'Oferta Producto 3'!$E$10:$E$21))/SUMIF($A$7:$AC$128,$A66,$AB$6:$AB$127)*J$5,0)</f>
        <v>0</v>
      </c>
      <c r="K66" s="35">
        <f ca="1">IF(AND(COLUMN()&gt;=11,COLUMN()&lt;=20),(_xlfn.XLOOKUP($A66,'Oferta Producto 3'!$B$10:$B$21,'Oferta Producto 3'!$E$10:$E$21))/SUMIF($A$7:$AC$128,$A66,$AB$6:$AB$127)*K$5,0)</f>
        <v>0</v>
      </c>
      <c r="L66" s="35">
        <f ca="1">IF(AND(COLUMN()&gt;=11,COLUMN()&lt;=20),(_xlfn.XLOOKUP($A66,'Oferta Producto 3'!$B$10:$B$21,'Oferta Producto 3'!$E$10:$E$21))/SUMIF($A$7:$AC$128,$A66,$AB$6:$AB$127)*L$5,0)</f>
        <v>0</v>
      </c>
      <c r="M66" s="35">
        <f ca="1">IF(AND(COLUMN()&gt;=11,COLUMN()&lt;=20),(_xlfn.XLOOKUP($A66,'Oferta Producto 3'!$B$10:$B$21,'Oferta Producto 3'!$E$10:$E$21))/SUMIF($A$7:$AC$128,$A66,$AB$6:$AB$127)*M$5,0)</f>
        <v>0</v>
      </c>
      <c r="N66" s="35">
        <f ca="1">IF(AND(COLUMN()&gt;=11,COLUMN()&lt;=20),(_xlfn.XLOOKUP($A66,'Oferta Producto 3'!$B$10:$B$21,'Oferta Producto 3'!$E$10:$E$21))/SUMIF($A$7:$AC$128,$A66,$AB$6:$AB$127)*N$5,0)</f>
        <v>0</v>
      </c>
      <c r="O66" s="35">
        <f ca="1">IF(AND(COLUMN()&gt;=11,COLUMN()&lt;=20),(_xlfn.XLOOKUP($A66,'Oferta Producto 3'!$B$10:$B$21,'Oferta Producto 3'!$E$10:$E$21))/SUMIF($A$7:$AC$128,$A66,$AB$6:$AB$127)*O$5,0)</f>
        <v>0</v>
      </c>
      <c r="P66" s="35">
        <f ca="1">IF(AND(COLUMN()&gt;=11,COLUMN()&lt;=20),(_xlfn.XLOOKUP($A66,'Oferta Producto 3'!$B$10:$B$21,'Oferta Producto 3'!$E$10:$E$21))/SUMIF($A$7:$AC$128,$A66,$AB$6:$AB$127)*P$5,0)</f>
        <v>0</v>
      </c>
      <c r="Q66" s="35">
        <f ca="1">IF(AND(COLUMN()&gt;=11,COLUMN()&lt;=20),(_xlfn.XLOOKUP($A66,'Oferta Producto 3'!$B$10:$B$21,'Oferta Producto 3'!$E$10:$E$21))/SUMIF($A$7:$AC$128,$A66,$AB$6:$AB$127)*Q$5,0)</f>
        <v>0</v>
      </c>
      <c r="R66" s="35">
        <f ca="1">IF(AND(COLUMN()&gt;=11,COLUMN()&lt;=20),(_xlfn.XLOOKUP($A66,'Oferta Producto 3'!$B$10:$B$21,'Oferta Producto 3'!$E$10:$E$21))/SUMIF($A$7:$AC$128,$A66,$AB$6:$AB$127)*R$5,0)</f>
        <v>0</v>
      </c>
      <c r="S66" s="35">
        <f ca="1">IF(AND(COLUMN()&gt;=11,COLUMN()&lt;=20),(_xlfn.XLOOKUP($A66,'Oferta Producto 3'!$B$10:$B$21,'Oferta Producto 3'!$E$10:$E$21))/SUMIF($A$7:$AC$128,$A66,$AB$6:$AB$127)*S$5,0)</f>
        <v>0</v>
      </c>
      <c r="T66" s="35">
        <f ca="1">IF(AND(COLUMN()&gt;=11,COLUMN()&lt;=20),(_xlfn.XLOOKUP($A66,'Oferta Producto 3'!$B$10:$B$21,'Oferta Producto 3'!$E$10:$E$21))/SUMIF($A$7:$AC$128,$A66,$AB$6:$AB$127)*T$5,0)</f>
        <v>0</v>
      </c>
      <c r="U66" s="35">
        <f>IF(AND(COLUMN()&gt;=11,COLUMN()&lt;=20),(_xlfn.XLOOKUP($A66,'Oferta Producto 3'!$B$10:$B$21,'Oferta Producto 3'!$E$10:$E$21))/SUMIF($A$7:$AC$128,$A66,$AB$6:$AB$127)*U$5,0)</f>
        <v>0</v>
      </c>
      <c r="V66" s="35">
        <f>IF(AND(COLUMN()&gt;=11,COLUMN()&lt;=20),(_xlfn.XLOOKUP($A66,'Oferta Producto 3'!$B$10:$B$21,'Oferta Producto 3'!$E$10:$E$21))/SUMIF($A$7:$AC$128,$A66,$AB$6:$AB$127)*V$5,0)</f>
        <v>0</v>
      </c>
      <c r="W66" s="35">
        <f>IF(AND(COLUMN()&gt;=11,COLUMN()&lt;=20),(_xlfn.XLOOKUP($A66,'Oferta Producto 3'!$B$10:$B$21,'Oferta Producto 3'!$E$10:$E$21))/SUMIF($A$7:$AC$128,$A66,$AB$6:$AB$127)*W$5,0)</f>
        <v>0</v>
      </c>
      <c r="X66" s="35">
        <f>IF(AND(COLUMN()&gt;=11,COLUMN()&lt;=20),(_xlfn.XLOOKUP($A66,'Oferta Producto 3'!$B$10:$B$21,'Oferta Producto 3'!$E$10:$E$21))/SUMIF($A$7:$AC$128,$A66,$AB$6:$AB$127)*X$5,0)</f>
        <v>0</v>
      </c>
      <c r="Y66" s="35">
        <f>IF(AND(COLUMN()&gt;=11,COLUMN()&lt;=20),(_xlfn.XLOOKUP($A66,'Oferta Producto 3'!$B$10:$B$21,'Oferta Producto 3'!$E$10:$E$21))/SUMIF($A$7:$AC$128,$A66,$AB$6:$AB$127)*Y$5,0)</f>
        <v>0</v>
      </c>
      <c r="Z66" s="35">
        <f>IF(AND(COLUMN()&gt;=11,COLUMN()&lt;=20),(_xlfn.XLOOKUP($A66,'Oferta Producto 3'!$B$10:$B$21,'Oferta Producto 3'!$E$10:$E$21))/SUMIF($A$7:$AC$128,$A66,$AB$6:$AB$127)*Z$5,0)</f>
        <v>0</v>
      </c>
      <c r="AA66" s="35">
        <f t="shared" ca="1" si="8"/>
        <v>0</v>
      </c>
      <c r="AB66" s="28">
        <f t="shared" si="2"/>
        <v>30</v>
      </c>
      <c r="AC66" s="29">
        <f t="shared" ca="1" si="3"/>
        <v>0</v>
      </c>
      <c r="AD66" s="48">
        <f ca="1">'Curvas Prod 3'!AC66/SUMIF('Curvas Prod 3'!A64:AC209,'Curva de la oferta Prod 3'!$A66,'Curvas Prod 3'!AC64:AC209)</f>
        <v>0.24590163934426229</v>
      </c>
      <c r="AE66" s="45"/>
      <c r="AF66" s="49"/>
      <c r="AG66" s="49"/>
      <c r="AH66" s="49"/>
      <c r="AI66" s="49"/>
      <c r="AJ66" s="49"/>
      <c r="AK66" s="49"/>
    </row>
    <row r="67" spans="1:37" ht="15">
      <c r="A67" s="23">
        <f t="shared" si="0"/>
        <v>2030</v>
      </c>
      <c r="B67" s="27">
        <v>47818</v>
      </c>
      <c r="C67" s="35">
        <f>IF(AND(COLUMN()&gt;=11,COLUMN()&lt;=20),(_xlfn.XLOOKUP($A67,'Oferta Producto 3'!$B$10:$B$21,'Oferta Producto 3'!$E$10:$E$21))/SUMIF($A$7:$AC$128,$A67,$AB$6:$AB$127)*C$5,0)</f>
        <v>0</v>
      </c>
      <c r="D67" s="35">
        <f>IF(AND(COLUMN()&gt;=11,COLUMN()&lt;=20),(_xlfn.XLOOKUP($A67,'Oferta Producto 3'!$B$10:$B$21,'Oferta Producto 3'!$E$10:$E$21))/SUMIF($A$7:$AC$128,$A67,$AB$6:$AB$127)*D$5,0)</f>
        <v>0</v>
      </c>
      <c r="E67" s="35">
        <f>IF(AND(COLUMN()&gt;=11,COLUMN()&lt;=20),(_xlfn.XLOOKUP($A67,'Oferta Producto 3'!$B$10:$B$21,'Oferta Producto 3'!$E$10:$E$21))/SUMIF($A$7:$AC$128,$A67,$AB$6:$AB$127)*E$5,0)</f>
        <v>0</v>
      </c>
      <c r="F67" s="35">
        <f>IF(AND(COLUMN()&gt;=11,COLUMN()&lt;=20),(_xlfn.XLOOKUP($A67,'Oferta Producto 3'!$B$10:$B$21,'Oferta Producto 3'!$E$10:$E$21))/SUMIF($A$7:$AC$128,$A67,$AB$6:$AB$127)*F$5,0)</f>
        <v>0</v>
      </c>
      <c r="G67" s="35">
        <f>IF(AND(COLUMN()&gt;=11,COLUMN()&lt;=20),(_xlfn.XLOOKUP($A67,'Oferta Producto 3'!$B$10:$B$21,'Oferta Producto 3'!$E$10:$E$21))/SUMIF($A$7:$AC$128,$A67,$AB$6:$AB$127)*G$5,0)</f>
        <v>0</v>
      </c>
      <c r="H67" s="35">
        <f>IF(AND(COLUMN()&gt;=11,COLUMN()&lt;=20),(_xlfn.XLOOKUP($A67,'Oferta Producto 3'!$B$10:$B$21,'Oferta Producto 3'!$E$10:$E$21))/SUMIF($A$7:$AC$128,$A67,$AB$6:$AB$127)*H$5,0)</f>
        <v>0</v>
      </c>
      <c r="I67" s="35">
        <f>IF(AND(COLUMN()&gt;=11,COLUMN()&lt;=20),(_xlfn.XLOOKUP($A67,'Oferta Producto 3'!$B$10:$B$21,'Oferta Producto 3'!$E$10:$E$21))/SUMIF($A$7:$AC$128,$A67,$AB$6:$AB$127)*I$5,0)</f>
        <v>0</v>
      </c>
      <c r="J67" s="35">
        <f>IF(AND(COLUMN()&gt;=11,COLUMN()&lt;=20),(_xlfn.XLOOKUP($A67,'Oferta Producto 3'!$B$10:$B$21,'Oferta Producto 3'!$E$10:$E$21))/SUMIF($A$7:$AC$128,$A67,$AB$6:$AB$127)*J$5,0)</f>
        <v>0</v>
      </c>
      <c r="K67" s="35">
        <f ca="1">IF(AND(COLUMN()&gt;=11,COLUMN()&lt;=20),(_xlfn.XLOOKUP($A67,'Oferta Producto 3'!$B$10:$B$21,'Oferta Producto 3'!$E$10:$E$21))/SUMIF($A$7:$AC$128,$A67,$AB$6:$AB$127)*K$5,0)</f>
        <v>0</v>
      </c>
      <c r="L67" s="35">
        <f ca="1">IF(AND(COLUMN()&gt;=11,COLUMN()&lt;=20),(_xlfn.XLOOKUP($A67,'Oferta Producto 3'!$B$10:$B$21,'Oferta Producto 3'!$E$10:$E$21))/SUMIF($A$7:$AC$128,$A67,$AB$6:$AB$127)*L$5,0)</f>
        <v>0</v>
      </c>
      <c r="M67" s="35">
        <f ca="1">IF(AND(COLUMN()&gt;=11,COLUMN()&lt;=20),(_xlfn.XLOOKUP($A67,'Oferta Producto 3'!$B$10:$B$21,'Oferta Producto 3'!$E$10:$E$21))/SUMIF($A$7:$AC$128,$A67,$AB$6:$AB$127)*M$5,0)</f>
        <v>0</v>
      </c>
      <c r="N67" s="35">
        <f ca="1">IF(AND(COLUMN()&gt;=11,COLUMN()&lt;=20),(_xlfn.XLOOKUP($A67,'Oferta Producto 3'!$B$10:$B$21,'Oferta Producto 3'!$E$10:$E$21))/SUMIF($A$7:$AC$128,$A67,$AB$6:$AB$127)*N$5,0)</f>
        <v>0</v>
      </c>
      <c r="O67" s="35">
        <f ca="1">IF(AND(COLUMN()&gt;=11,COLUMN()&lt;=20),(_xlfn.XLOOKUP($A67,'Oferta Producto 3'!$B$10:$B$21,'Oferta Producto 3'!$E$10:$E$21))/SUMIF($A$7:$AC$128,$A67,$AB$6:$AB$127)*O$5,0)</f>
        <v>0</v>
      </c>
      <c r="P67" s="35">
        <f ca="1">IF(AND(COLUMN()&gt;=11,COLUMN()&lt;=20),(_xlfn.XLOOKUP($A67,'Oferta Producto 3'!$B$10:$B$21,'Oferta Producto 3'!$E$10:$E$21))/SUMIF($A$7:$AC$128,$A67,$AB$6:$AB$127)*P$5,0)</f>
        <v>0</v>
      </c>
      <c r="Q67" s="35">
        <f ca="1">IF(AND(COLUMN()&gt;=11,COLUMN()&lt;=20),(_xlfn.XLOOKUP($A67,'Oferta Producto 3'!$B$10:$B$21,'Oferta Producto 3'!$E$10:$E$21))/SUMIF($A$7:$AC$128,$A67,$AB$6:$AB$127)*Q$5,0)</f>
        <v>0</v>
      </c>
      <c r="R67" s="35">
        <f ca="1">IF(AND(COLUMN()&gt;=11,COLUMN()&lt;=20),(_xlfn.XLOOKUP($A67,'Oferta Producto 3'!$B$10:$B$21,'Oferta Producto 3'!$E$10:$E$21))/SUMIF($A$7:$AC$128,$A67,$AB$6:$AB$127)*R$5,0)</f>
        <v>0</v>
      </c>
      <c r="S67" s="35">
        <f ca="1">IF(AND(COLUMN()&gt;=11,COLUMN()&lt;=20),(_xlfn.XLOOKUP($A67,'Oferta Producto 3'!$B$10:$B$21,'Oferta Producto 3'!$E$10:$E$21))/SUMIF($A$7:$AC$128,$A67,$AB$6:$AB$127)*S$5,0)</f>
        <v>0</v>
      </c>
      <c r="T67" s="35">
        <f ca="1">IF(AND(COLUMN()&gt;=11,COLUMN()&lt;=20),(_xlfn.XLOOKUP($A67,'Oferta Producto 3'!$B$10:$B$21,'Oferta Producto 3'!$E$10:$E$21))/SUMIF($A$7:$AC$128,$A67,$AB$6:$AB$127)*T$5,0)</f>
        <v>0</v>
      </c>
      <c r="U67" s="35">
        <f>IF(AND(COLUMN()&gt;=11,COLUMN()&lt;=20),(_xlfn.XLOOKUP($A67,'Oferta Producto 3'!$B$10:$B$21,'Oferta Producto 3'!$E$10:$E$21))/SUMIF($A$7:$AC$128,$A67,$AB$6:$AB$127)*U$5,0)</f>
        <v>0</v>
      </c>
      <c r="V67" s="35">
        <f>IF(AND(COLUMN()&gt;=11,COLUMN()&lt;=20),(_xlfn.XLOOKUP($A67,'Oferta Producto 3'!$B$10:$B$21,'Oferta Producto 3'!$E$10:$E$21))/SUMIF($A$7:$AC$128,$A67,$AB$6:$AB$127)*V$5,0)</f>
        <v>0</v>
      </c>
      <c r="W67" s="35">
        <f>IF(AND(COLUMN()&gt;=11,COLUMN()&lt;=20),(_xlfn.XLOOKUP($A67,'Oferta Producto 3'!$B$10:$B$21,'Oferta Producto 3'!$E$10:$E$21))/SUMIF($A$7:$AC$128,$A67,$AB$6:$AB$127)*W$5,0)</f>
        <v>0</v>
      </c>
      <c r="X67" s="35">
        <f>IF(AND(COLUMN()&gt;=11,COLUMN()&lt;=20),(_xlfn.XLOOKUP($A67,'Oferta Producto 3'!$B$10:$B$21,'Oferta Producto 3'!$E$10:$E$21))/SUMIF($A$7:$AC$128,$A67,$AB$6:$AB$127)*X$5,0)</f>
        <v>0</v>
      </c>
      <c r="Y67" s="35">
        <f>IF(AND(COLUMN()&gt;=11,COLUMN()&lt;=20),(_xlfn.XLOOKUP($A67,'Oferta Producto 3'!$B$10:$B$21,'Oferta Producto 3'!$E$10:$E$21))/SUMIF($A$7:$AC$128,$A67,$AB$6:$AB$127)*Y$5,0)</f>
        <v>0</v>
      </c>
      <c r="Z67" s="35">
        <f>IF(AND(COLUMN()&gt;=11,COLUMN()&lt;=20),(_xlfn.XLOOKUP($A67,'Oferta Producto 3'!$B$10:$B$21,'Oferta Producto 3'!$E$10:$E$21))/SUMIF($A$7:$AC$128,$A67,$AB$6:$AB$127)*Z$5,0)</f>
        <v>0</v>
      </c>
      <c r="AA67" s="35">
        <f t="shared" ca="1" si="8"/>
        <v>0</v>
      </c>
      <c r="AB67" s="28">
        <f t="shared" si="2"/>
        <v>31</v>
      </c>
      <c r="AC67" s="29">
        <f t="shared" ca="1" si="3"/>
        <v>0</v>
      </c>
      <c r="AD67" s="48">
        <f ca="1">'Curvas Prod 3'!AC67/SUMIF('Curvas Prod 3'!A65:AC210,'Curva de la oferta Prod 3'!$A67,'Curvas Prod 3'!AC65:AC210)</f>
        <v>0.33695652173913043</v>
      </c>
      <c r="AE67" s="45"/>
      <c r="AF67" s="49"/>
      <c r="AG67" s="49"/>
      <c r="AH67" s="49"/>
      <c r="AI67" s="49"/>
      <c r="AJ67" s="49"/>
      <c r="AK67" s="49"/>
    </row>
    <row r="68" spans="1:37" ht="15">
      <c r="A68" s="23">
        <f t="shared" si="0"/>
        <v>2031</v>
      </c>
      <c r="B68" s="27">
        <v>47849</v>
      </c>
      <c r="C68" s="35">
        <f>IF(AND(COLUMN()&gt;=11,COLUMN()&lt;=20),(_xlfn.XLOOKUP($A68,'Oferta Producto 3'!$B$10:$B$21,'Oferta Producto 3'!$E$10:$E$21))/SUMIF($A$7:$AC$128,$A68,$AB$6:$AB$127)*C$5,0)</f>
        <v>0</v>
      </c>
      <c r="D68" s="35">
        <f>IF(AND(COLUMN()&gt;=11,COLUMN()&lt;=20),(_xlfn.XLOOKUP($A68,'Oferta Producto 3'!$B$10:$B$21,'Oferta Producto 3'!$E$10:$E$21))/SUMIF($A$7:$AC$128,$A68,$AB$6:$AB$127)*D$5,0)</f>
        <v>0</v>
      </c>
      <c r="E68" s="35">
        <f>IF(AND(COLUMN()&gt;=11,COLUMN()&lt;=20),(_xlfn.XLOOKUP($A68,'Oferta Producto 3'!$B$10:$B$21,'Oferta Producto 3'!$E$10:$E$21))/SUMIF($A$7:$AC$128,$A68,$AB$6:$AB$127)*E$5,0)</f>
        <v>0</v>
      </c>
      <c r="F68" s="35">
        <f>IF(AND(COLUMN()&gt;=11,COLUMN()&lt;=20),(_xlfn.XLOOKUP($A68,'Oferta Producto 3'!$B$10:$B$21,'Oferta Producto 3'!$E$10:$E$21))/SUMIF($A$7:$AC$128,$A68,$AB$6:$AB$127)*F$5,0)</f>
        <v>0</v>
      </c>
      <c r="G68" s="35">
        <f>IF(AND(COLUMN()&gt;=11,COLUMN()&lt;=20),(_xlfn.XLOOKUP($A68,'Oferta Producto 3'!$B$10:$B$21,'Oferta Producto 3'!$E$10:$E$21))/SUMIF($A$7:$AC$128,$A68,$AB$6:$AB$127)*G$5,0)</f>
        <v>0</v>
      </c>
      <c r="H68" s="35">
        <f>IF(AND(COLUMN()&gt;=11,COLUMN()&lt;=20),(_xlfn.XLOOKUP($A68,'Oferta Producto 3'!$B$10:$B$21,'Oferta Producto 3'!$E$10:$E$21))/SUMIF($A$7:$AC$128,$A68,$AB$6:$AB$127)*H$5,0)</f>
        <v>0</v>
      </c>
      <c r="I68" s="35">
        <f>IF(AND(COLUMN()&gt;=11,COLUMN()&lt;=20),(_xlfn.XLOOKUP($A68,'Oferta Producto 3'!$B$10:$B$21,'Oferta Producto 3'!$E$10:$E$21))/SUMIF($A$7:$AC$128,$A68,$AB$6:$AB$127)*I$5,0)</f>
        <v>0</v>
      </c>
      <c r="J68" s="35">
        <f>IF(AND(COLUMN()&gt;=11,COLUMN()&lt;=20),(_xlfn.XLOOKUP($A68,'Oferta Producto 3'!$B$10:$B$21,'Oferta Producto 3'!$E$10:$E$21))/SUMIF($A$7:$AC$128,$A68,$AB$6:$AB$127)*J$5,0)</f>
        <v>0</v>
      </c>
      <c r="K68" s="35">
        <f ca="1">IF(AND(COLUMN()&gt;=11,COLUMN()&lt;=20),(_xlfn.XLOOKUP($A68,'Oferta Producto 3'!$B$10:$B$21,'Oferta Producto 3'!$E$10:$E$21))/SUMIF($A$7:$AC$128,$A68,$AB$6:$AB$127)*K$5,0)</f>
        <v>0</v>
      </c>
      <c r="L68" s="35">
        <f ca="1">IF(AND(COLUMN()&gt;=11,COLUMN()&lt;=20),(_xlfn.XLOOKUP($A68,'Oferta Producto 3'!$B$10:$B$21,'Oferta Producto 3'!$E$10:$E$21))/SUMIF($A$7:$AC$128,$A68,$AB$6:$AB$127)*L$5,0)</f>
        <v>0</v>
      </c>
      <c r="M68" s="35">
        <f ca="1">IF(AND(COLUMN()&gt;=11,COLUMN()&lt;=20),(_xlfn.XLOOKUP($A68,'Oferta Producto 3'!$B$10:$B$21,'Oferta Producto 3'!$E$10:$E$21))/SUMIF($A$7:$AC$128,$A68,$AB$6:$AB$127)*M$5,0)</f>
        <v>0</v>
      </c>
      <c r="N68" s="35">
        <f ca="1">IF(AND(COLUMN()&gt;=11,COLUMN()&lt;=20),(_xlfn.XLOOKUP($A68,'Oferta Producto 3'!$B$10:$B$21,'Oferta Producto 3'!$E$10:$E$21))/SUMIF($A$7:$AC$128,$A68,$AB$6:$AB$127)*N$5,0)</f>
        <v>0</v>
      </c>
      <c r="O68" s="35">
        <f ca="1">IF(AND(COLUMN()&gt;=11,COLUMN()&lt;=20),(_xlfn.XLOOKUP($A68,'Oferta Producto 3'!$B$10:$B$21,'Oferta Producto 3'!$E$10:$E$21))/SUMIF($A$7:$AC$128,$A68,$AB$6:$AB$127)*O$5,0)</f>
        <v>0</v>
      </c>
      <c r="P68" s="35">
        <f ca="1">IF(AND(COLUMN()&gt;=11,COLUMN()&lt;=20),(_xlfn.XLOOKUP($A68,'Oferta Producto 3'!$B$10:$B$21,'Oferta Producto 3'!$E$10:$E$21))/SUMIF($A$7:$AC$128,$A68,$AB$6:$AB$127)*P$5,0)</f>
        <v>0</v>
      </c>
      <c r="Q68" s="35">
        <f ca="1">IF(AND(COLUMN()&gt;=11,COLUMN()&lt;=20),(_xlfn.XLOOKUP($A68,'Oferta Producto 3'!$B$10:$B$21,'Oferta Producto 3'!$E$10:$E$21))/SUMIF($A$7:$AC$128,$A68,$AB$6:$AB$127)*Q$5,0)</f>
        <v>0</v>
      </c>
      <c r="R68" s="35">
        <f ca="1">IF(AND(COLUMN()&gt;=11,COLUMN()&lt;=20),(_xlfn.XLOOKUP($A68,'Oferta Producto 3'!$B$10:$B$21,'Oferta Producto 3'!$E$10:$E$21))/SUMIF($A$7:$AC$128,$A68,$AB$6:$AB$127)*R$5,0)</f>
        <v>0</v>
      </c>
      <c r="S68" s="35">
        <f ca="1">IF(AND(COLUMN()&gt;=11,COLUMN()&lt;=20),(_xlfn.XLOOKUP($A68,'Oferta Producto 3'!$B$10:$B$21,'Oferta Producto 3'!$E$10:$E$21))/SUMIF($A$7:$AC$128,$A68,$AB$6:$AB$127)*S$5,0)</f>
        <v>0</v>
      </c>
      <c r="T68" s="35">
        <f ca="1">IF(AND(COLUMN()&gt;=11,COLUMN()&lt;=20),(_xlfn.XLOOKUP($A68,'Oferta Producto 3'!$B$10:$B$21,'Oferta Producto 3'!$E$10:$E$21))/SUMIF($A$7:$AC$128,$A68,$AB$6:$AB$127)*T$5,0)</f>
        <v>0</v>
      </c>
      <c r="U68" s="35">
        <f>IF(AND(COLUMN()&gt;=11,COLUMN()&lt;=20),(_xlfn.XLOOKUP($A68,'Oferta Producto 3'!$B$10:$B$21,'Oferta Producto 3'!$E$10:$E$21))/SUMIF($A$7:$AC$128,$A68,$AB$6:$AB$127)*U$5,0)</f>
        <v>0</v>
      </c>
      <c r="V68" s="35">
        <f>IF(AND(COLUMN()&gt;=11,COLUMN()&lt;=20),(_xlfn.XLOOKUP($A68,'Oferta Producto 3'!$B$10:$B$21,'Oferta Producto 3'!$E$10:$E$21))/SUMIF($A$7:$AC$128,$A68,$AB$6:$AB$127)*V$5,0)</f>
        <v>0</v>
      </c>
      <c r="W68" s="35">
        <f>IF(AND(COLUMN()&gt;=11,COLUMN()&lt;=20),(_xlfn.XLOOKUP($A68,'Oferta Producto 3'!$B$10:$B$21,'Oferta Producto 3'!$E$10:$E$21))/SUMIF($A$7:$AC$128,$A68,$AB$6:$AB$127)*W$5,0)</f>
        <v>0</v>
      </c>
      <c r="X68" s="35">
        <f>IF(AND(COLUMN()&gt;=11,COLUMN()&lt;=20),(_xlfn.XLOOKUP($A68,'Oferta Producto 3'!$B$10:$B$21,'Oferta Producto 3'!$E$10:$E$21))/SUMIF($A$7:$AC$128,$A68,$AB$6:$AB$127)*X$5,0)</f>
        <v>0</v>
      </c>
      <c r="Y68" s="35">
        <f>IF(AND(COLUMN()&gt;=11,COLUMN()&lt;=20),(_xlfn.XLOOKUP($A68,'Oferta Producto 3'!$B$10:$B$21,'Oferta Producto 3'!$E$10:$E$21))/SUMIF($A$7:$AC$128,$A68,$AB$6:$AB$127)*Y$5,0)</f>
        <v>0</v>
      </c>
      <c r="Z68" s="35">
        <f>IF(AND(COLUMN()&gt;=11,COLUMN()&lt;=20),(_xlfn.XLOOKUP($A68,'Oferta Producto 3'!$B$10:$B$21,'Oferta Producto 3'!$E$10:$E$21))/SUMIF($A$7:$AC$128,$A68,$AB$6:$AB$127)*Z$5,0)</f>
        <v>0</v>
      </c>
      <c r="AA68" s="35">
        <f t="shared" ca="1" si="8"/>
        <v>0</v>
      </c>
      <c r="AB68" s="28">
        <f t="shared" si="2"/>
        <v>31</v>
      </c>
      <c r="AC68" s="29">
        <f t="shared" ca="1" si="3"/>
        <v>0</v>
      </c>
      <c r="AD68" s="48">
        <f ca="1">'Curvas Prod 3'!AC68/SUMIF('Curvas Prod 3'!A66:AC211,'Curva de la oferta Prod 3'!$A68,'Curvas Prod 3'!AC66:AC211)</f>
        <v>8.4931506849315067E-2</v>
      </c>
      <c r="AE68" s="45"/>
      <c r="AF68" s="49"/>
      <c r="AG68" s="49"/>
      <c r="AH68" s="49"/>
      <c r="AI68" s="49"/>
      <c r="AJ68" s="49"/>
      <c r="AK68" s="49"/>
    </row>
    <row r="69" spans="1:37" ht="15">
      <c r="A69" s="23">
        <f t="shared" si="0"/>
        <v>2031</v>
      </c>
      <c r="B69" s="27">
        <v>47880</v>
      </c>
      <c r="C69" s="35">
        <f>IF(AND(COLUMN()&gt;=11,COLUMN()&lt;=20),(_xlfn.XLOOKUP($A69,'Oferta Producto 3'!$B$10:$B$21,'Oferta Producto 3'!$E$10:$E$21))/SUMIF($A$7:$AC$128,$A69,$AB$6:$AB$127)*C$5,0)</f>
        <v>0</v>
      </c>
      <c r="D69" s="35">
        <f>IF(AND(COLUMN()&gt;=11,COLUMN()&lt;=20),(_xlfn.XLOOKUP($A69,'Oferta Producto 3'!$B$10:$B$21,'Oferta Producto 3'!$E$10:$E$21))/SUMIF($A$7:$AC$128,$A69,$AB$6:$AB$127)*D$5,0)</f>
        <v>0</v>
      </c>
      <c r="E69" s="35">
        <f>IF(AND(COLUMN()&gt;=11,COLUMN()&lt;=20),(_xlfn.XLOOKUP($A69,'Oferta Producto 3'!$B$10:$B$21,'Oferta Producto 3'!$E$10:$E$21))/SUMIF($A$7:$AC$128,$A69,$AB$6:$AB$127)*E$5,0)</f>
        <v>0</v>
      </c>
      <c r="F69" s="35">
        <f>IF(AND(COLUMN()&gt;=11,COLUMN()&lt;=20),(_xlfn.XLOOKUP($A69,'Oferta Producto 3'!$B$10:$B$21,'Oferta Producto 3'!$E$10:$E$21))/SUMIF($A$7:$AC$128,$A69,$AB$6:$AB$127)*F$5,0)</f>
        <v>0</v>
      </c>
      <c r="G69" s="35">
        <f>IF(AND(COLUMN()&gt;=11,COLUMN()&lt;=20),(_xlfn.XLOOKUP($A69,'Oferta Producto 3'!$B$10:$B$21,'Oferta Producto 3'!$E$10:$E$21))/SUMIF($A$7:$AC$128,$A69,$AB$6:$AB$127)*G$5,0)</f>
        <v>0</v>
      </c>
      <c r="H69" s="35">
        <f>IF(AND(COLUMN()&gt;=11,COLUMN()&lt;=20),(_xlfn.XLOOKUP($A69,'Oferta Producto 3'!$B$10:$B$21,'Oferta Producto 3'!$E$10:$E$21))/SUMIF($A$7:$AC$128,$A69,$AB$6:$AB$127)*H$5,0)</f>
        <v>0</v>
      </c>
      <c r="I69" s="35">
        <f>IF(AND(COLUMN()&gt;=11,COLUMN()&lt;=20),(_xlfn.XLOOKUP($A69,'Oferta Producto 3'!$B$10:$B$21,'Oferta Producto 3'!$E$10:$E$21))/SUMIF($A$7:$AC$128,$A69,$AB$6:$AB$127)*I$5,0)</f>
        <v>0</v>
      </c>
      <c r="J69" s="35">
        <f>IF(AND(COLUMN()&gt;=11,COLUMN()&lt;=20),(_xlfn.XLOOKUP($A69,'Oferta Producto 3'!$B$10:$B$21,'Oferta Producto 3'!$E$10:$E$21))/SUMIF($A$7:$AC$128,$A69,$AB$6:$AB$127)*J$5,0)</f>
        <v>0</v>
      </c>
      <c r="K69" s="35">
        <f ca="1">IF(AND(COLUMN()&gt;=11,COLUMN()&lt;=20),(_xlfn.XLOOKUP($A69,'Oferta Producto 3'!$B$10:$B$21,'Oferta Producto 3'!$E$10:$E$21))/SUMIF($A$7:$AC$128,$A69,$AB$6:$AB$127)*K$5,0)</f>
        <v>0</v>
      </c>
      <c r="L69" s="35">
        <f ca="1">IF(AND(COLUMN()&gt;=11,COLUMN()&lt;=20),(_xlfn.XLOOKUP($A69,'Oferta Producto 3'!$B$10:$B$21,'Oferta Producto 3'!$E$10:$E$21))/SUMIF($A$7:$AC$128,$A69,$AB$6:$AB$127)*L$5,0)</f>
        <v>0</v>
      </c>
      <c r="M69" s="35">
        <f ca="1">IF(AND(COLUMN()&gt;=11,COLUMN()&lt;=20),(_xlfn.XLOOKUP($A69,'Oferta Producto 3'!$B$10:$B$21,'Oferta Producto 3'!$E$10:$E$21))/SUMIF($A$7:$AC$128,$A69,$AB$6:$AB$127)*M$5,0)</f>
        <v>0</v>
      </c>
      <c r="N69" s="35">
        <f ca="1">IF(AND(COLUMN()&gt;=11,COLUMN()&lt;=20),(_xlfn.XLOOKUP($A69,'Oferta Producto 3'!$B$10:$B$21,'Oferta Producto 3'!$E$10:$E$21))/SUMIF($A$7:$AC$128,$A69,$AB$6:$AB$127)*N$5,0)</f>
        <v>0</v>
      </c>
      <c r="O69" s="35">
        <f ca="1">IF(AND(COLUMN()&gt;=11,COLUMN()&lt;=20),(_xlfn.XLOOKUP($A69,'Oferta Producto 3'!$B$10:$B$21,'Oferta Producto 3'!$E$10:$E$21))/SUMIF($A$7:$AC$128,$A69,$AB$6:$AB$127)*O$5,0)</f>
        <v>0</v>
      </c>
      <c r="P69" s="35">
        <f ca="1">IF(AND(COLUMN()&gt;=11,COLUMN()&lt;=20),(_xlfn.XLOOKUP($A69,'Oferta Producto 3'!$B$10:$B$21,'Oferta Producto 3'!$E$10:$E$21))/SUMIF($A$7:$AC$128,$A69,$AB$6:$AB$127)*P$5,0)</f>
        <v>0</v>
      </c>
      <c r="Q69" s="35">
        <f ca="1">IF(AND(COLUMN()&gt;=11,COLUMN()&lt;=20),(_xlfn.XLOOKUP($A69,'Oferta Producto 3'!$B$10:$B$21,'Oferta Producto 3'!$E$10:$E$21))/SUMIF($A$7:$AC$128,$A69,$AB$6:$AB$127)*Q$5,0)</f>
        <v>0</v>
      </c>
      <c r="R69" s="35">
        <f ca="1">IF(AND(COLUMN()&gt;=11,COLUMN()&lt;=20),(_xlfn.XLOOKUP($A69,'Oferta Producto 3'!$B$10:$B$21,'Oferta Producto 3'!$E$10:$E$21))/SUMIF($A$7:$AC$128,$A69,$AB$6:$AB$127)*R$5,0)</f>
        <v>0</v>
      </c>
      <c r="S69" s="35">
        <f ca="1">IF(AND(COLUMN()&gt;=11,COLUMN()&lt;=20),(_xlfn.XLOOKUP($A69,'Oferta Producto 3'!$B$10:$B$21,'Oferta Producto 3'!$E$10:$E$21))/SUMIF($A$7:$AC$128,$A69,$AB$6:$AB$127)*S$5,0)</f>
        <v>0</v>
      </c>
      <c r="T69" s="35">
        <f ca="1">IF(AND(COLUMN()&gt;=11,COLUMN()&lt;=20),(_xlfn.XLOOKUP($A69,'Oferta Producto 3'!$B$10:$B$21,'Oferta Producto 3'!$E$10:$E$21))/SUMIF($A$7:$AC$128,$A69,$AB$6:$AB$127)*T$5,0)</f>
        <v>0</v>
      </c>
      <c r="U69" s="35">
        <f>IF(AND(COLUMN()&gt;=11,COLUMN()&lt;=20),(_xlfn.XLOOKUP($A69,'Oferta Producto 3'!$B$10:$B$21,'Oferta Producto 3'!$E$10:$E$21))/SUMIF($A$7:$AC$128,$A69,$AB$6:$AB$127)*U$5,0)</f>
        <v>0</v>
      </c>
      <c r="V69" s="35">
        <f>IF(AND(COLUMN()&gt;=11,COLUMN()&lt;=20),(_xlfn.XLOOKUP($A69,'Oferta Producto 3'!$B$10:$B$21,'Oferta Producto 3'!$E$10:$E$21))/SUMIF($A$7:$AC$128,$A69,$AB$6:$AB$127)*V$5,0)</f>
        <v>0</v>
      </c>
      <c r="W69" s="35">
        <f>IF(AND(COLUMN()&gt;=11,COLUMN()&lt;=20),(_xlfn.XLOOKUP($A69,'Oferta Producto 3'!$B$10:$B$21,'Oferta Producto 3'!$E$10:$E$21))/SUMIF($A$7:$AC$128,$A69,$AB$6:$AB$127)*W$5,0)</f>
        <v>0</v>
      </c>
      <c r="X69" s="35">
        <f>IF(AND(COLUMN()&gt;=11,COLUMN()&lt;=20),(_xlfn.XLOOKUP($A69,'Oferta Producto 3'!$B$10:$B$21,'Oferta Producto 3'!$E$10:$E$21))/SUMIF($A$7:$AC$128,$A69,$AB$6:$AB$127)*X$5,0)</f>
        <v>0</v>
      </c>
      <c r="Y69" s="35">
        <f>IF(AND(COLUMN()&gt;=11,COLUMN()&lt;=20),(_xlfn.XLOOKUP($A69,'Oferta Producto 3'!$B$10:$B$21,'Oferta Producto 3'!$E$10:$E$21))/SUMIF($A$7:$AC$128,$A69,$AB$6:$AB$127)*Y$5,0)</f>
        <v>0</v>
      </c>
      <c r="Z69" s="35">
        <f>IF(AND(COLUMN()&gt;=11,COLUMN()&lt;=20),(_xlfn.XLOOKUP($A69,'Oferta Producto 3'!$B$10:$B$21,'Oferta Producto 3'!$E$10:$E$21))/SUMIF($A$7:$AC$128,$A69,$AB$6:$AB$127)*Z$5,0)</f>
        <v>0</v>
      </c>
      <c r="AA69" s="35">
        <f t="shared" ca="1" si="8"/>
        <v>0</v>
      </c>
      <c r="AB69" s="28">
        <f t="shared" si="2"/>
        <v>28</v>
      </c>
      <c r="AC69" s="29">
        <f t="shared" ca="1" si="3"/>
        <v>0</v>
      </c>
      <c r="AD69" s="48">
        <f ca="1">'Curvas Prod 3'!AC69/SUMIF('Curvas Prod 3'!A67:AC212,'Curva de la oferta Prod 3'!$A69,'Curvas Prod 3'!AC67:AC212)</f>
        <v>7.6712328767123292E-2</v>
      </c>
      <c r="AE69" s="45"/>
      <c r="AF69" s="49"/>
      <c r="AG69" s="49"/>
      <c r="AH69" s="49"/>
      <c r="AI69" s="49"/>
      <c r="AJ69" s="49"/>
      <c r="AK69" s="49"/>
    </row>
    <row r="70" spans="1:37" ht="15">
      <c r="A70" s="23">
        <f t="shared" si="0"/>
        <v>2031</v>
      </c>
      <c r="B70" s="27">
        <v>47908</v>
      </c>
      <c r="C70" s="35">
        <f>IF(AND(COLUMN()&gt;=11,COLUMN()&lt;=20),(_xlfn.XLOOKUP($A70,'Oferta Producto 3'!$B$10:$B$21,'Oferta Producto 3'!$E$10:$E$21))/SUMIF($A$7:$AC$128,$A70,$AB$6:$AB$127)*C$5,0)</f>
        <v>0</v>
      </c>
      <c r="D70" s="35">
        <f>IF(AND(COLUMN()&gt;=11,COLUMN()&lt;=20),(_xlfn.XLOOKUP($A70,'Oferta Producto 3'!$B$10:$B$21,'Oferta Producto 3'!$E$10:$E$21))/SUMIF($A$7:$AC$128,$A70,$AB$6:$AB$127)*D$5,0)</f>
        <v>0</v>
      </c>
      <c r="E70" s="35">
        <f>IF(AND(COLUMN()&gt;=11,COLUMN()&lt;=20),(_xlfn.XLOOKUP($A70,'Oferta Producto 3'!$B$10:$B$21,'Oferta Producto 3'!$E$10:$E$21))/SUMIF($A$7:$AC$128,$A70,$AB$6:$AB$127)*E$5,0)</f>
        <v>0</v>
      </c>
      <c r="F70" s="35">
        <f>IF(AND(COLUMN()&gt;=11,COLUMN()&lt;=20),(_xlfn.XLOOKUP($A70,'Oferta Producto 3'!$B$10:$B$21,'Oferta Producto 3'!$E$10:$E$21))/SUMIF($A$7:$AC$128,$A70,$AB$6:$AB$127)*F$5,0)</f>
        <v>0</v>
      </c>
      <c r="G70" s="35">
        <f>IF(AND(COLUMN()&gt;=11,COLUMN()&lt;=20),(_xlfn.XLOOKUP($A70,'Oferta Producto 3'!$B$10:$B$21,'Oferta Producto 3'!$E$10:$E$21))/SUMIF($A$7:$AC$128,$A70,$AB$6:$AB$127)*G$5,0)</f>
        <v>0</v>
      </c>
      <c r="H70" s="35">
        <f>IF(AND(COLUMN()&gt;=11,COLUMN()&lt;=20),(_xlfn.XLOOKUP($A70,'Oferta Producto 3'!$B$10:$B$21,'Oferta Producto 3'!$E$10:$E$21))/SUMIF($A$7:$AC$128,$A70,$AB$6:$AB$127)*H$5,0)</f>
        <v>0</v>
      </c>
      <c r="I70" s="35">
        <f>IF(AND(COLUMN()&gt;=11,COLUMN()&lt;=20),(_xlfn.XLOOKUP($A70,'Oferta Producto 3'!$B$10:$B$21,'Oferta Producto 3'!$E$10:$E$21))/SUMIF($A$7:$AC$128,$A70,$AB$6:$AB$127)*I$5,0)</f>
        <v>0</v>
      </c>
      <c r="J70" s="35">
        <f>IF(AND(COLUMN()&gt;=11,COLUMN()&lt;=20),(_xlfn.XLOOKUP($A70,'Oferta Producto 3'!$B$10:$B$21,'Oferta Producto 3'!$E$10:$E$21))/SUMIF($A$7:$AC$128,$A70,$AB$6:$AB$127)*J$5,0)</f>
        <v>0</v>
      </c>
      <c r="K70" s="35">
        <f ca="1">IF(AND(COLUMN()&gt;=11,COLUMN()&lt;=20),(_xlfn.XLOOKUP($A70,'Oferta Producto 3'!$B$10:$B$21,'Oferta Producto 3'!$E$10:$E$21))/SUMIF($A$7:$AC$128,$A70,$AB$6:$AB$127)*K$5,0)</f>
        <v>0</v>
      </c>
      <c r="L70" s="35">
        <f ca="1">IF(AND(COLUMN()&gt;=11,COLUMN()&lt;=20),(_xlfn.XLOOKUP($A70,'Oferta Producto 3'!$B$10:$B$21,'Oferta Producto 3'!$E$10:$E$21))/SUMIF($A$7:$AC$128,$A70,$AB$6:$AB$127)*L$5,0)</f>
        <v>0</v>
      </c>
      <c r="M70" s="35">
        <f ca="1">IF(AND(COLUMN()&gt;=11,COLUMN()&lt;=20),(_xlfn.XLOOKUP($A70,'Oferta Producto 3'!$B$10:$B$21,'Oferta Producto 3'!$E$10:$E$21))/SUMIF($A$7:$AC$128,$A70,$AB$6:$AB$127)*M$5,0)</f>
        <v>0</v>
      </c>
      <c r="N70" s="35">
        <f ca="1">IF(AND(COLUMN()&gt;=11,COLUMN()&lt;=20),(_xlfn.XLOOKUP($A70,'Oferta Producto 3'!$B$10:$B$21,'Oferta Producto 3'!$E$10:$E$21))/SUMIF($A$7:$AC$128,$A70,$AB$6:$AB$127)*N$5,0)</f>
        <v>0</v>
      </c>
      <c r="O70" s="35">
        <f ca="1">IF(AND(COLUMN()&gt;=11,COLUMN()&lt;=20),(_xlfn.XLOOKUP($A70,'Oferta Producto 3'!$B$10:$B$21,'Oferta Producto 3'!$E$10:$E$21))/SUMIF($A$7:$AC$128,$A70,$AB$6:$AB$127)*O$5,0)</f>
        <v>0</v>
      </c>
      <c r="P70" s="35">
        <f ca="1">IF(AND(COLUMN()&gt;=11,COLUMN()&lt;=20),(_xlfn.XLOOKUP($A70,'Oferta Producto 3'!$B$10:$B$21,'Oferta Producto 3'!$E$10:$E$21))/SUMIF($A$7:$AC$128,$A70,$AB$6:$AB$127)*P$5,0)</f>
        <v>0</v>
      </c>
      <c r="Q70" s="35">
        <f ca="1">IF(AND(COLUMN()&gt;=11,COLUMN()&lt;=20),(_xlfn.XLOOKUP($A70,'Oferta Producto 3'!$B$10:$B$21,'Oferta Producto 3'!$E$10:$E$21))/SUMIF($A$7:$AC$128,$A70,$AB$6:$AB$127)*Q$5,0)</f>
        <v>0</v>
      </c>
      <c r="R70" s="35">
        <f ca="1">IF(AND(COLUMN()&gt;=11,COLUMN()&lt;=20),(_xlfn.XLOOKUP($A70,'Oferta Producto 3'!$B$10:$B$21,'Oferta Producto 3'!$E$10:$E$21))/SUMIF($A$7:$AC$128,$A70,$AB$6:$AB$127)*R$5,0)</f>
        <v>0</v>
      </c>
      <c r="S70" s="35">
        <f ca="1">IF(AND(COLUMN()&gt;=11,COLUMN()&lt;=20),(_xlfn.XLOOKUP($A70,'Oferta Producto 3'!$B$10:$B$21,'Oferta Producto 3'!$E$10:$E$21))/SUMIF($A$7:$AC$128,$A70,$AB$6:$AB$127)*S$5,0)</f>
        <v>0</v>
      </c>
      <c r="T70" s="35">
        <f ca="1">IF(AND(COLUMN()&gt;=11,COLUMN()&lt;=20),(_xlfn.XLOOKUP($A70,'Oferta Producto 3'!$B$10:$B$21,'Oferta Producto 3'!$E$10:$E$21))/SUMIF($A$7:$AC$128,$A70,$AB$6:$AB$127)*T$5,0)</f>
        <v>0</v>
      </c>
      <c r="U70" s="35">
        <f>IF(AND(COLUMN()&gt;=11,COLUMN()&lt;=20),(_xlfn.XLOOKUP($A70,'Oferta Producto 3'!$B$10:$B$21,'Oferta Producto 3'!$E$10:$E$21))/SUMIF($A$7:$AC$128,$A70,$AB$6:$AB$127)*U$5,0)</f>
        <v>0</v>
      </c>
      <c r="V70" s="35">
        <f>IF(AND(COLUMN()&gt;=11,COLUMN()&lt;=20),(_xlfn.XLOOKUP($A70,'Oferta Producto 3'!$B$10:$B$21,'Oferta Producto 3'!$E$10:$E$21))/SUMIF($A$7:$AC$128,$A70,$AB$6:$AB$127)*V$5,0)</f>
        <v>0</v>
      </c>
      <c r="W70" s="35">
        <f>IF(AND(COLUMN()&gt;=11,COLUMN()&lt;=20),(_xlfn.XLOOKUP($A70,'Oferta Producto 3'!$B$10:$B$21,'Oferta Producto 3'!$E$10:$E$21))/SUMIF($A$7:$AC$128,$A70,$AB$6:$AB$127)*W$5,0)</f>
        <v>0</v>
      </c>
      <c r="X70" s="35">
        <f>IF(AND(COLUMN()&gt;=11,COLUMN()&lt;=20),(_xlfn.XLOOKUP($A70,'Oferta Producto 3'!$B$10:$B$21,'Oferta Producto 3'!$E$10:$E$21))/SUMIF($A$7:$AC$128,$A70,$AB$6:$AB$127)*X$5,0)</f>
        <v>0</v>
      </c>
      <c r="Y70" s="35">
        <f>IF(AND(COLUMN()&gt;=11,COLUMN()&lt;=20),(_xlfn.XLOOKUP($A70,'Oferta Producto 3'!$B$10:$B$21,'Oferta Producto 3'!$E$10:$E$21))/SUMIF($A$7:$AC$128,$A70,$AB$6:$AB$127)*Y$5,0)</f>
        <v>0</v>
      </c>
      <c r="Z70" s="35">
        <f>IF(AND(COLUMN()&gt;=11,COLUMN()&lt;=20),(_xlfn.XLOOKUP($A70,'Oferta Producto 3'!$B$10:$B$21,'Oferta Producto 3'!$E$10:$E$21))/SUMIF($A$7:$AC$128,$A70,$AB$6:$AB$127)*Z$5,0)</f>
        <v>0</v>
      </c>
      <c r="AA70" s="35">
        <f t="shared" ca="1" si="8"/>
        <v>0</v>
      </c>
      <c r="AB70" s="28">
        <f t="shared" si="2"/>
        <v>31</v>
      </c>
      <c r="AC70" s="29">
        <f t="shared" ca="1" si="3"/>
        <v>0</v>
      </c>
      <c r="AD70" s="48">
        <f ca="1">'Curvas Prod 3'!AC70/SUMIF('Curvas Prod 3'!A68:AC213,'Curva de la oferta Prod 3'!$A70,'Curvas Prod 3'!AC68:AC213)</f>
        <v>8.4931506849315067E-2</v>
      </c>
      <c r="AE70" s="45"/>
      <c r="AF70" s="49"/>
      <c r="AG70" s="49"/>
      <c r="AH70" s="49"/>
      <c r="AI70" s="49"/>
      <c r="AJ70" s="49"/>
      <c r="AK70" s="49"/>
    </row>
    <row r="71" spans="1:37" ht="15">
      <c r="A71" s="23">
        <f t="shared" si="0"/>
        <v>2031</v>
      </c>
      <c r="B71" s="27">
        <v>47939</v>
      </c>
      <c r="C71" s="35">
        <f>IF(AND(COLUMN()&gt;=11,COLUMN()&lt;=20),(_xlfn.XLOOKUP($A71,'Oferta Producto 3'!$B$10:$B$21,'Oferta Producto 3'!$E$10:$E$21))/SUMIF($A$7:$AC$128,$A71,$AB$6:$AB$127)*C$5,0)</f>
        <v>0</v>
      </c>
      <c r="D71" s="35">
        <f>IF(AND(COLUMN()&gt;=11,COLUMN()&lt;=20),(_xlfn.XLOOKUP($A71,'Oferta Producto 3'!$B$10:$B$21,'Oferta Producto 3'!$E$10:$E$21))/SUMIF($A$7:$AC$128,$A71,$AB$6:$AB$127)*D$5,0)</f>
        <v>0</v>
      </c>
      <c r="E71" s="35">
        <f>IF(AND(COLUMN()&gt;=11,COLUMN()&lt;=20),(_xlfn.XLOOKUP($A71,'Oferta Producto 3'!$B$10:$B$21,'Oferta Producto 3'!$E$10:$E$21))/SUMIF($A$7:$AC$128,$A71,$AB$6:$AB$127)*E$5,0)</f>
        <v>0</v>
      </c>
      <c r="F71" s="35">
        <f>IF(AND(COLUMN()&gt;=11,COLUMN()&lt;=20),(_xlfn.XLOOKUP($A71,'Oferta Producto 3'!$B$10:$B$21,'Oferta Producto 3'!$E$10:$E$21))/SUMIF($A$7:$AC$128,$A71,$AB$6:$AB$127)*F$5,0)</f>
        <v>0</v>
      </c>
      <c r="G71" s="35">
        <f>IF(AND(COLUMN()&gt;=11,COLUMN()&lt;=20),(_xlfn.XLOOKUP($A71,'Oferta Producto 3'!$B$10:$B$21,'Oferta Producto 3'!$E$10:$E$21))/SUMIF($A$7:$AC$128,$A71,$AB$6:$AB$127)*G$5,0)</f>
        <v>0</v>
      </c>
      <c r="H71" s="35">
        <f>IF(AND(COLUMN()&gt;=11,COLUMN()&lt;=20),(_xlfn.XLOOKUP($A71,'Oferta Producto 3'!$B$10:$B$21,'Oferta Producto 3'!$E$10:$E$21))/SUMIF($A$7:$AC$128,$A71,$AB$6:$AB$127)*H$5,0)</f>
        <v>0</v>
      </c>
      <c r="I71" s="35">
        <f>IF(AND(COLUMN()&gt;=11,COLUMN()&lt;=20),(_xlfn.XLOOKUP($A71,'Oferta Producto 3'!$B$10:$B$21,'Oferta Producto 3'!$E$10:$E$21))/SUMIF($A$7:$AC$128,$A71,$AB$6:$AB$127)*I$5,0)</f>
        <v>0</v>
      </c>
      <c r="J71" s="35">
        <f>IF(AND(COLUMN()&gt;=11,COLUMN()&lt;=20),(_xlfn.XLOOKUP($A71,'Oferta Producto 3'!$B$10:$B$21,'Oferta Producto 3'!$E$10:$E$21))/SUMIF($A$7:$AC$128,$A71,$AB$6:$AB$127)*J$5,0)</f>
        <v>0</v>
      </c>
      <c r="K71" s="35">
        <f ca="1">IF(AND(COLUMN()&gt;=11,COLUMN()&lt;=20),(_xlfn.XLOOKUP($A71,'Oferta Producto 3'!$B$10:$B$21,'Oferta Producto 3'!$E$10:$E$21))/SUMIF($A$7:$AC$128,$A71,$AB$6:$AB$127)*K$5,0)</f>
        <v>0</v>
      </c>
      <c r="L71" s="35">
        <f ca="1">IF(AND(COLUMN()&gt;=11,COLUMN()&lt;=20),(_xlfn.XLOOKUP($A71,'Oferta Producto 3'!$B$10:$B$21,'Oferta Producto 3'!$E$10:$E$21))/SUMIF($A$7:$AC$128,$A71,$AB$6:$AB$127)*L$5,0)</f>
        <v>0</v>
      </c>
      <c r="M71" s="35">
        <f ca="1">IF(AND(COLUMN()&gt;=11,COLUMN()&lt;=20),(_xlfn.XLOOKUP($A71,'Oferta Producto 3'!$B$10:$B$21,'Oferta Producto 3'!$E$10:$E$21))/SUMIF($A$7:$AC$128,$A71,$AB$6:$AB$127)*M$5,0)</f>
        <v>0</v>
      </c>
      <c r="N71" s="35">
        <f ca="1">IF(AND(COLUMN()&gt;=11,COLUMN()&lt;=20),(_xlfn.XLOOKUP($A71,'Oferta Producto 3'!$B$10:$B$21,'Oferta Producto 3'!$E$10:$E$21))/SUMIF($A$7:$AC$128,$A71,$AB$6:$AB$127)*N$5,0)</f>
        <v>0</v>
      </c>
      <c r="O71" s="35">
        <f ca="1">IF(AND(COLUMN()&gt;=11,COLUMN()&lt;=20),(_xlfn.XLOOKUP($A71,'Oferta Producto 3'!$B$10:$B$21,'Oferta Producto 3'!$E$10:$E$21))/SUMIF($A$7:$AC$128,$A71,$AB$6:$AB$127)*O$5,0)</f>
        <v>0</v>
      </c>
      <c r="P71" s="35">
        <f ca="1">IF(AND(COLUMN()&gt;=11,COLUMN()&lt;=20),(_xlfn.XLOOKUP($A71,'Oferta Producto 3'!$B$10:$B$21,'Oferta Producto 3'!$E$10:$E$21))/SUMIF($A$7:$AC$128,$A71,$AB$6:$AB$127)*P$5,0)</f>
        <v>0</v>
      </c>
      <c r="Q71" s="35">
        <f ca="1">IF(AND(COLUMN()&gt;=11,COLUMN()&lt;=20),(_xlfn.XLOOKUP($A71,'Oferta Producto 3'!$B$10:$B$21,'Oferta Producto 3'!$E$10:$E$21))/SUMIF($A$7:$AC$128,$A71,$AB$6:$AB$127)*Q$5,0)</f>
        <v>0</v>
      </c>
      <c r="R71" s="35">
        <f ca="1">IF(AND(COLUMN()&gt;=11,COLUMN()&lt;=20),(_xlfn.XLOOKUP($A71,'Oferta Producto 3'!$B$10:$B$21,'Oferta Producto 3'!$E$10:$E$21))/SUMIF($A$7:$AC$128,$A71,$AB$6:$AB$127)*R$5,0)</f>
        <v>0</v>
      </c>
      <c r="S71" s="35">
        <f ca="1">IF(AND(COLUMN()&gt;=11,COLUMN()&lt;=20),(_xlfn.XLOOKUP($A71,'Oferta Producto 3'!$B$10:$B$21,'Oferta Producto 3'!$E$10:$E$21))/SUMIF($A$7:$AC$128,$A71,$AB$6:$AB$127)*S$5,0)</f>
        <v>0</v>
      </c>
      <c r="T71" s="35">
        <f ca="1">IF(AND(COLUMN()&gt;=11,COLUMN()&lt;=20),(_xlfn.XLOOKUP($A71,'Oferta Producto 3'!$B$10:$B$21,'Oferta Producto 3'!$E$10:$E$21))/SUMIF($A$7:$AC$128,$A71,$AB$6:$AB$127)*T$5,0)</f>
        <v>0</v>
      </c>
      <c r="U71" s="35">
        <f>IF(AND(COLUMN()&gt;=11,COLUMN()&lt;=20),(_xlfn.XLOOKUP($A71,'Oferta Producto 3'!$B$10:$B$21,'Oferta Producto 3'!$E$10:$E$21))/SUMIF($A$7:$AC$128,$A71,$AB$6:$AB$127)*U$5,0)</f>
        <v>0</v>
      </c>
      <c r="V71" s="35">
        <f>IF(AND(COLUMN()&gt;=11,COLUMN()&lt;=20),(_xlfn.XLOOKUP($A71,'Oferta Producto 3'!$B$10:$B$21,'Oferta Producto 3'!$E$10:$E$21))/SUMIF($A$7:$AC$128,$A71,$AB$6:$AB$127)*V$5,0)</f>
        <v>0</v>
      </c>
      <c r="W71" s="35">
        <f>IF(AND(COLUMN()&gt;=11,COLUMN()&lt;=20),(_xlfn.XLOOKUP($A71,'Oferta Producto 3'!$B$10:$B$21,'Oferta Producto 3'!$E$10:$E$21))/SUMIF($A$7:$AC$128,$A71,$AB$6:$AB$127)*W$5,0)</f>
        <v>0</v>
      </c>
      <c r="X71" s="35">
        <f>IF(AND(COLUMN()&gt;=11,COLUMN()&lt;=20),(_xlfn.XLOOKUP($A71,'Oferta Producto 3'!$B$10:$B$21,'Oferta Producto 3'!$E$10:$E$21))/SUMIF($A$7:$AC$128,$A71,$AB$6:$AB$127)*X$5,0)</f>
        <v>0</v>
      </c>
      <c r="Y71" s="35">
        <f>IF(AND(COLUMN()&gt;=11,COLUMN()&lt;=20),(_xlfn.XLOOKUP($A71,'Oferta Producto 3'!$B$10:$B$21,'Oferta Producto 3'!$E$10:$E$21))/SUMIF($A$7:$AC$128,$A71,$AB$6:$AB$127)*Y$5,0)</f>
        <v>0</v>
      </c>
      <c r="Z71" s="35">
        <f>IF(AND(COLUMN()&gt;=11,COLUMN()&lt;=20),(_xlfn.XLOOKUP($A71,'Oferta Producto 3'!$B$10:$B$21,'Oferta Producto 3'!$E$10:$E$21))/SUMIF($A$7:$AC$128,$A71,$AB$6:$AB$127)*Z$5,0)</f>
        <v>0</v>
      </c>
      <c r="AA71" s="35">
        <f t="shared" ca="1" si="8"/>
        <v>0</v>
      </c>
      <c r="AB71" s="28">
        <f t="shared" si="2"/>
        <v>30</v>
      </c>
      <c r="AC71" s="29">
        <f t="shared" ca="1" si="3"/>
        <v>0</v>
      </c>
      <c r="AD71" s="48">
        <f ca="1">'Curvas Prod 3'!AC71/SUMIF('Curvas Prod 3'!A69:AC214,'Curva de la oferta Prod 3'!$A71,'Curvas Prod 3'!AC69:AC214)</f>
        <v>8.9820359281437126E-2</v>
      </c>
      <c r="AE71" s="45"/>
      <c r="AF71" s="49"/>
      <c r="AG71" s="49"/>
      <c r="AH71" s="49"/>
      <c r="AI71" s="49"/>
      <c r="AJ71" s="49"/>
      <c r="AK71" s="49"/>
    </row>
    <row r="72" spans="1:37" ht="15">
      <c r="A72" s="23">
        <f t="shared" si="0"/>
        <v>2031</v>
      </c>
      <c r="B72" s="27">
        <v>47969</v>
      </c>
      <c r="C72" s="35">
        <f>IF(AND(COLUMN()&gt;=11,COLUMN()&lt;=20),(_xlfn.XLOOKUP($A72,'Oferta Producto 3'!$B$10:$B$21,'Oferta Producto 3'!$E$10:$E$21))/SUMIF($A$7:$AC$128,$A72,$AB$6:$AB$127)*C$5,0)</f>
        <v>0</v>
      </c>
      <c r="D72" s="35">
        <f>IF(AND(COLUMN()&gt;=11,COLUMN()&lt;=20),(_xlfn.XLOOKUP($A72,'Oferta Producto 3'!$B$10:$B$21,'Oferta Producto 3'!$E$10:$E$21))/SUMIF($A$7:$AC$128,$A72,$AB$6:$AB$127)*D$5,0)</f>
        <v>0</v>
      </c>
      <c r="E72" s="35">
        <f>IF(AND(COLUMN()&gt;=11,COLUMN()&lt;=20),(_xlfn.XLOOKUP($A72,'Oferta Producto 3'!$B$10:$B$21,'Oferta Producto 3'!$E$10:$E$21))/SUMIF($A$7:$AC$128,$A72,$AB$6:$AB$127)*E$5,0)</f>
        <v>0</v>
      </c>
      <c r="F72" s="35">
        <f>IF(AND(COLUMN()&gt;=11,COLUMN()&lt;=20),(_xlfn.XLOOKUP($A72,'Oferta Producto 3'!$B$10:$B$21,'Oferta Producto 3'!$E$10:$E$21))/SUMIF($A$7:$AC$128,$A72,$AB$6:$AB$127)*F$5,0)</f>
        <v>0</v>
      </c>
      <c r="G72" s="35">
        <f>IF(AND(COLUMN()&gt;=11,COLUMN()&lt;=20),(_xlfn.XLOOKUP($A72,'Oferta Producto 3'!$B$10:$B$21,'Oferta Producto 3'!$E$10:$E$21))/SUMIF($A$7:$AC$128,$A72,$AB$6:$AB$127)*G$5,0)</f>
        <v>0</v>
      </c>
      <c r="H72" s="35">
        <f>IF(AND(COLUMN()&gt;=11,COLUMN()&lt;=20),(_xlfn.XLOOKUP($A72,'Oferta Producto 3'!$B$10:$B$21,'Oferta Producto 3'!$E$10:$E$21))/SUMIF($A$7:$AC$128,$A72,$AB$6:$AB$127)*H$5,0)</f>
        <v>0</v>
      </c>
      <c r="I72" s="35">
        <f>IF(AND(COLUMN()&gt;=11,COLUMN()&lt;=20),(_xlfn.XLOOKUP($A72,'Oferta Producto 3'!$B$10:$B$21,'Oferta Producto 3'!$E$10:$E$21))/SUMIF($A$7:$AC$128,$A72,$AB$6:$AB$127)*I$5,0)</f>
        <v>0</v>
      </c>
      <c r="J72" s="35">
        <f>IF(AND(COLUMN()&gt;=11,COLUMN()&lt;=20),(_xlfn.XLOOKUP($A72,'Oferta Producto 3'!$B$10:$B$21,'Oferta Producto 3'!$E$10:$E$21))/SUMIF($A$7:$AC$128,$A72,$AB$6:$AB$127)*J$5,0)</f>
        <v>0</v>
      </c>
      <c r="K72" s="35">
        <f ca="1">IF(AND(COLUMN()&gt;=11,COLUMN()&lt;=20),(_xlfn.XLOOKUP($A72,'Oferta Producto 3'!$B$10:$B$21,'Oferta Producto 3'!$E$10:$E$21))/SUMIF($A$7:$AC$128,$A72,$AB$6:$AB$127)*K$5,0)</f>
        <v>0</v>
      </c>
      <c r="L72" s="35">
        <f ca="1">IF(AND(COLUMN()&gt;=11,COLUMN()&lt;=20),(_xlfn.XLOOKUP($A72,'Oferta Producto 3'!$B$10:$B$21,'Oferta Producto 3'!$E$10:$E$21))/SUMIF($A$7:$AC$128,$A72,$AB$6:$AB$127)*L$5,0)</f>
        <v>0</v>
      </c>
      <c r="M72" s="35">
        <f ca="1">IF(AND(COLUMN()&gt;=11,COLUMN()&lt;=20),(_xlfn.XLOOKUP($A72,'Oferta Producto 3'!$B$10:$B$21,'Oferta Producto 3'!$E$10:$E$21))/SUMIF($A$7:$AC$128,$A72,$AB$6:$AB$127)*M$5,0)</f>
        <v>0</v>
      </c>
      <c r="N72" s="35">
        <f ca="1">IF(AND(COLUMN()&gt;=11,COLUMN()&lt;=20),(_xlfn.XLOOKUP($A72,'Oferta Producto 3'!$B$10:$B$21,'Oferta Producto 3'!$E$10:$E$21))/SUMIF($A$7:$AC$128,$A72,$AB$6:$AB$127)*N$5,0)</f>
        <v>0</v>
      </c>
      <c r="O72" s="35">
        <f ca="1">IF(AND(COLUMN()&gt;=11,COLUMN()&lt;=20),(_xlfn.XLOOKUP($A72,'Oferta Producto 3'!$B$10:$B$21,'Oferta Producto 3'!$E$10:$E$21))/SUMIF($A$7:$AC$128,$A72,$AB$6:$AB$127)*O$5,0)</f>
        <v>0</v>
      </c>
      <c r="P72" s="35">
        <f ca="1">IF(AND(COLUMN()&gt;=11,COLUMN()&lt;=20),(_xlfn.XLOOKUP($A72,'Oferta Producto 3'!$B$10:$B$21,'Oferta Producto 3'!$E$10:$E$21))/SUMIF($A$7:$AC$128,$A72,$AB$6:$AB$127)*P$5,0)</f>
        <v>0</v>
      </c>
      <c r="Q72" s="35">
        <f ca="1">IF(AND(COLUMN()&gt;=11,COLUMN()&lt;=20),(_xlfn.XLOOKUP($A72,'Oferta Producto 3'!$B$10:$B$21,'Oferta Producto 3'!$E$10:$E$21))/SUMIF($A$7:$AC$128,$A72,$AB$6:$AB$127)*Q$5,0)</f>
        <v>0</v>
      </c>
      <c r="R72" s="35">
        <f ca="1">IF(AND(COLUMN()&gt;=11,COLUMN()&lt;=20),(_xlfn.XLOOKUP($A72,'Oferta Producto 3'!$B$10:$B$21,'Oferta Producto 3'!$E$10:$E$21))/SUMIF($A$7:$AC$128,$A72,$AB$6:$AB$127)*R$5,0)</f>
        <v>0</v>
      </c>
      <c r="S72" s="35">
        <f ca="1">IF(AND(COLUMN()&gt;=11,COLUMN()&lt;=20),(_xlfn.XLOOKUP($A72,'Oferta Producto 3'!$B$10:$B$21,'Oferta Producto 3'!$E$10:$E$21))/SUMIF($A$7:$AC$128,$A72,$AB$6:$AB$127)*S$5,0)</f>
        <v>0</v>
      </c>
      <c r="T72" s="35">
        <f ca="1">IF(AND(COLUMN()&gt;=11,COLUMN()&lt;=20),(_xlfn.XLOOKUP($A72,'Oferta Producto 3'!$B$10:$B$21,'Oferta Producto 3'!$E$10:$E$21))/SUMIF($A$7:$AC$128,$A72,$AB$6:$AB$127)*T$5,0)</f>
        <v>0</v>
      </c>
      <c r="U72" s="35">
        <f>IF(AND(COLUMN()&gt;=11,COLUMN()&lt;=20),(_xlfn.XLOOKUP($A72,'Oferta Producto 3'!$B$10:$B$21,'Oferta Producto 3'!$E$10:$E$21))/SUMIF($A$7:$AC$128,$A72,$AB$6:$AB$127)*U$5,0)</f>
        <v>0</v>
      </c>
      <c r="V72" s="35">
        <f>IF(AND(COLUMN()&gt;=11,COLUMN()&lt;=20),(_xlfn.XLOOKUP($A72,'Oferta Producto 3'!$B$10:$B$21,'Oferta Producto 3'!$E$10:$E$21))/SUMIF($A$7:$AC$128,$A72,$AB$6:$AB$127)*V$5,0)</f>
        <v>0</v>
      </c>
      <c r="W72" s="35">
        <f>IF(AND(COLUMN()&gt;=11,COLUMN()&lt;=20),(_xlfn.XLOOKUP($A72,'Oferta Producto 3'!$B$10:$B$21,'Oferta Producto 3'!$E$10:$E$21))/SUMIF($A$7:$AC$128,$A72,$AB$6:$AB$127)*W$5,0)</f>
        <v>0</v>
      </c>
      <c r="X72" s="35">
        <f>IF(AND(COLUMN()&gt;=11,COLUMN()&lt;=20),(_xlfn.XLOOKUP($A72,'Oferta Producto 3'!$B$10:$B$21,'Oferta Producto 3'!$E$10:$E$21))/SUMIF($A$7:$AC$128,$A72,$AB$6:$AB$127)*X$5,0)</f>
        <v>0</v>
      </c>
      <c r="Y72" s="35">
        <f>IF(AND(COLUMN()&gt;=11,COLUMN()&lt;=20),(_xlfn.XLOOKUP($A72,'Oferta Producto 3'!$B$10:$B$21,'Oferta Producto 3'!$E$10:$E$21))/SUMIF($A$7:$AC$128,$A72,$AB$6:$AB$127)*Y$5,0)</f>
        <v>0</v>
      </c>
      <c r="Z72" s="35">
        <f>IF(AND(COLUMN()&gt;=11,COLUMN()&lt;=20),(_xlfn.XLOOKUP($A72,'Oferta Producto 3'!$B$10:$B$21,'Oferta Producto 3'!$E$10:$E$21))/SUMIF($A$7:$AC$128,$A72,$AB$6:$AB$127)*Z$5,0)</f>
        <v>0</v>
      </c>
      <c r="AA72" s="35">
        <f t="shared" ca="1" si="8"/>
        <v>0</v>
      </c>
      <c r="AB72" s="28">
        <f t="shared" si="2"/>
        <v>31</v>
      </c>
      <c r="AC72" s="29">
        <f t="shared" ca="1" si="3"/>
        <v>0</v>
      </c>
      <c r="AD72" s="48">
        <f ca="1">'Curvas Prod 3'!AC72/SUMIF('Curvas Prod 3'!A70:AC215,'Curva de la oferta Prod 3'!$A72,'Curvas Prod 3'!AC70:AC215)</f>
        <v>0.10130718954248366</v>
      </c>
      <c r="AE72" s="45"/>
      <c r="AF72" s="49"/>
      <c r="AG72" s="49"/>
      <c r="AH72" s="49"/>
      <c r="AI72" s="49"/>
      <c r="AJ72" s="49"/>
      <c r="AK72" s="49"/>
    </row>
    <row r="73" spans="1:37" ht="15">
      <c r="A73" s="23">
        <f t="shared" ref="A73:A127" si="9">YEAR(B73)</f>
        <v>2031</v>
      </c>
      <c r="B73" s="27">
        <v>48000</v>
      </c>
      <c r="C73" s="35">
        <f>IF(AND(COLUMN()&gt;=11,COLUMN()&lt;=20),(_xlfn.XLOOKUP($A73,'Oferta Producto 3'!$B$10:$B$21,'Oferta Producto 3'!$E$10:$E$21))/SUMIF($A$7:$AC$128,$A73,$AB$6:$AB$127)*C$5,0)</f>
        <v>0</v>
      </c>
      <c r="D73" s="35">
        <f>IF(AND(COLUMN()&gt;=11,COLUMN()&lt;=20),(_xlfn.XLOOKUP($A73,'Oferta Producto 3'!$B$10:$B$21,'Oferta Producto 3'!$E$10:$E$21))/SUMIF($A$7:$AC$128,$A73,$AB$6:$AB$127)*D$5,0)</f>
        <v>0</v>
      </c>
      <c r="E73" s="35">
        <f>IF(AND(COLUMN()&gt;=11,COLUMN()&lt;=20),(_xlfn.XLOOKUP($A73,'Oferta Producto 3'!$B$10:$B$21,'Oferta Producto 3'!$E$10:$E$21))/SUMIF($A$7:$AC$128,$A73,$AB$6:$AB$127)*E$5,0)</f>
        <v>0</v>
      </c>
      <c r="F73" s="35">
        <f>IF(AND(COLUMN()&gt;=11,COLUMN()&lt;=20),(_xlfn.XLOOKUP($A73,'Oferta Producto 3'!$B$10:$B$21,'Oferta Producto 3'!$E$10:$E$21))/SUMIF($A$7:$AC$128,$A73,$AB$6:$AB$127)*F$5,0)</f>
        <v>0</v>
      </c>
      <c r="G73" s="35">
        <f>IF(AND(COLUMN()&gt;=11,COLUMN()&lt;=20),(_xlfn.XLOOKUP($A73,'Oferta Producto 3'!$B$10:$B$21,'Oferta Producto 3'!$E$10:$E$21))/SUMIF($A$7:$AC$128,$A73,$AB$6:$AB$127)*G$5,0)</f>
        <v>0</v>
      </c>
      <c r="H73" s="35">
        <f>IF(AND(COLUMN()&gt;=11,COLUMN()&lt;=20),(_xlfn.XLOOKUP($A73,'Oferta Producto 3'!$B$10:$B$21,'Oferta Producto 3'!$E$10:$E$21))/SUMIF($A$7:$AC$128,$A73,$AB$6:$AB$127)*H$5,0)</f>
        <v>0</v>
      </c>
      <c r="I73" s="35">
        <f>IF(AND(COLUMN()&gt;=11,COLUMN()&lt;=20),(_xlfn.XLOOKUP($A73,'Oferta Producto 3'!$B$10:$B$21,'Oferta Producto 3'!$E$10:$E$21))/SUMIF($A$7:$AC$128,$A73,$AB$6:$AB$127)*I$5,0)</f>
        <v>0</v>
      </c>
      <c r="J73" s="35">
        <f>IF(AND(COLUMN()&gt;=11,COLUMN()&lt;=20),(_xlfn.XLOOKUP($A73,'Oferta Producto 3'!$B$10:$B$21,'Oferta Producto 3'!$E$10:$E$21))/SUMIF($A$7:$AC$128,$A73,$AB$6:$AB$127)*J$5,0)</f>
        <v>0</v>
      </c>
      <c r="K73" s="35">
        <f ca="1">IF(AND(COLUMN()&gt;=11,COLUMN()&lt;=20),(_xlfn.XLOOKUP($A73,'Oferta Producto 3'!$B$10:$B$21,'Oferta Producto 3'!$E$10:$E$21))/SUMIF($A$7:$AC$128,$A73,$AB$6:$AB$127)*K$5,0)</f>
        <v>0</v>
      </c>
      <c r="L73" s="35">
        <f ca="1">IF(AND(COLUMN()&gt;=11,COLUMN()&lt;=20),(_xlfn.XLOOKUP($A73,'Oferta Producto 3'!$B$10:$B$21,'Oferta Producto 3'!$E$10:$E$21))/SUMIF($A$7:$AC$128,$A73,$AB$6:$AB$127)*L$5,0)</f>
        <v>0</v>
      </c>
      <c r="M73" s="35">
        <f ca="1">IF(AND(COLUMN()&gt;=11,COLUMN()&lt;=20),(_xlfn.XLOOKUP($A73,'Oferta Producto 3'!$B$10:$B$21,'Oferta Producto 3'!$E$10:$E$21))/SUMIF($A$7:$AC$128,$A73,$AB$6:$AB$127)*M$5,0)</f>
        <v>0</v>
      </c>
      <c r="N73" s="35">
        <f ca="1">IF(AND(COLUMN()&gt;=11,COLUMN()&lt;=20),(_xlfn.XLOOKUP($A73,'Oferta Producto 3'!$B$10:$B$21,'Oferta Producto 3'!$E$10:$E$21))/SUMIF($A$7:$AC$128,$A73,$AB$6:$AB$127)*N$5,0)</f>
        <v>0</v>
      </c>
      <c r="O73" s="35">
        <f ca="1">IF(AND(COLUMN()&gt;=11,COLUMN()&lt;=20),(_xlfn.XLOOKUP($A73,'Oferta Producto 3'!$B$10:$B$21,'Oferta Producto 3'!$E$10:$E$21))/SUMIF($A$7:$AC$128,$A73,$AB$6:$AB$127)*O$5,0)</f>
        <v>0</v>
      </c>
      <c r="P73" s="35">
        <f ca="1">IF(AND(COLUMN()&gt;=11,COLUMN()&lt;=20),(_xlfn.XLOOKUP($A73,'Oferta Producto 3'!$B$10:$B$21,'Oferta Producto 3'!$E$10:$E$21))/SUMIF($A$7:$AC$128,$A73,$AB$6:$AB$127)*P$5,0)</f>
        <v>0</v>
      </c>
      <c r="Q73" s="35">
        <f ca="1">IF(AND(COLUMN()&gt;=11,COLUMN()&lt;=20),(_xlfn.XLOOKUP($A73,'Oferta Producto 3'!$B$10:$B$21,'Oferta Producto 3'!$E$10:$E$21))/SUMIF($A$7:$AC$128,$A73,$AB$6:$AB$127)*Q$5,0)</f>
        <v>0</v>
      </c>
      <c r="R73" s="35">
        <f ca="1">IF(AND(COLUMN()&gt;=11,COLUMN()&lt;=20),(_xlfn.XLOOKUP($A73,'Oferta Producto 3'!$B$10:$B$21,'Oferta Producto 3'!$E$10:$E$21))/SUMIF($A$7:$AC$128,$A73,$AB$6:$AB$127)*R$5,0)</f>
        <v>0</v>
      </c>
      <c r="S73" s="35">
        <f ca="1">IF(AND(COLUMN()&gt;=11,COLUMN()&lt;=20),(_xlfn.XLOOKUP($A73,'Oferta Producto 3'!$B$10:$B$21,'Oferta Producto 3'!$E$10:$E$21))/SUMIF($A$7:$AC$128,$A73,$AB$6:$AB$127)*S$5,0)</f>
        <v>0</v>
      </c>
      <c r="T73" s="35">
        <f ca="1">IF(AND(COLUMN()&gt;=11,COLUMN()&lt;=20),(_xlfn.XLOOKUP($A73,'Oferta Producto 3'!$B$10:$B$21,'Oferta Producto 3'!$E$10:$E$21))/SUMIF($A$7:$AC$128,$A73,$AB$6:$AB$127)*T$5,0)</f>
        <v>0</v>
      </c>
      <c r="U73" s="35">
        <f>IF(AND(COLUMN()&gt;=11,COLUMN()&lt;=20),(_xlfn.XLOOKUP($A73,'Oferta Producto 3'!$B$10:$B$21,'Oferta Producto 3'!$E$10:$E$21))/SUMIF($A$7:$AC$128,$A73,$AB$6:$AB$127)*U$5,0)</f>
        <v>0</v>
      </c>
      <c r="V73" s="35">
        <f>IF(AND(COLUMN()&gt;=11,COLUMN()&lt;=20),(_xlfn.XLOOKUP($A73,'Oferta Producto 3'!$B$10:$B$21,'Oferta Producto 3'!$E$10:$E$21))/SUMIF($A$7:$AC$128,$A73,$AB$6:$AB$127)*V$5,0)</f>
        <v>0</v>
      </c>
      <c r="W73" s="35">
        <f>IF(AND(COLUMN()&gt;=11,COLUMN()&lt;=20),(_xlfn.XLOOKUP($A73,'Oferta Producto 3'!$B$10:$B$21,'Oferta Producto 3'!$E$10:$E$21))/SUMIF($A$7:$AC$128,$A73,$AB$6:$AB$127)*W$5,0)</f>
        <v>0</v>
      </c>
      <c r="X73" s="35">
        <f>IF(AND(COLUMN()&gt;=11,COLUMN()&lt;=20),(_xlfn.XLOOKUP($A73,'Oferta Producto 3'!$B$10:$B$21,'Oferta Producto 3'!$E$10:$E$21))/SUMIF($A$7:$AC$128,$A73,$AB$6:$AB$127)*X$5,0)</f>
        <v>0</v>
      </c>
      <c r="Y73" s="35">
        <f>IF(AND(COLUMN()&gt;=11,COLUMN()&lt;=20),(_xlfn.XLOOKUP($A73,'Oferta Producto 3'!$B$10:$B$21,'Oferta Producto 3'!$E$10:$E$21))/SUMIF($A$7:$AC$128,$A73,$AB$6:$AB$127)*Y$5,0)</f>
        <v>0</v>
      </c>
      <c r="Z73" s="35">
        <f>IF(AND(COLUMN()&gt;=11,COLUMN()&lt;=20),(_xlfn.XLOOKUP($A73,'Oferta Producto 3'!$B$10:$B$21,'Oferta Producto 3'!$E$10:$E$21))/SUMIF($A$7:$AC$128,$A73,$AB$6:$AB$127)*Z$5,0)</f>
        <v>0</v>
      </c>
      <c r="AA73" s="35">
        <f t="shared" ca="1" si="8"/>
        <v>0</v>
      </c>
      <c r="AB73" s="28">
        <f t="shared" ref="AB73:AB127" si="10">DAY(EOMONTH(B73,0))</f>
        <v>30</v>
      </c>
      <c r="AC73" s="29">
        <f t="shared" ref="AC73:AC127" ca="1" si="11">AA73*AB73</f>
        <v>0</v>
      </c>
      <c r="AD73" s="48">
        <f ca="1">'Curvas Prod 3'!AC73/SUMIF('Curvas Prod 3'!A71:AC216,'Curva de la oferta Prod 3'!$A73,'Curvas Prod 3'!AC71:AC216)</f>
        <v>0.10909090909090909</v>
      </c>
      <c r="AE73" s="45"/>
      <c r="AF73" s="49"/>
      <c r="AG73" s="49"/>
      <c r="AH73" s="49"/>
      <c r="AI73" s="49"/>
      <c r="AJ73" s="49"/>
      <c r="AK73" s="49"/>
    </row>
    <row r="74" spans="1:37" ht="15">
      <c r="A74" s="23">
        <f t="shared" si="9"/>
        <v>2031</v>
      </c>
      <c r="B74" s="27">
        <v>48030</v>
      </c>
      <c r="C74" s="35">
        <f>IF(AND(COLUMN()&gt;=11,COLUMN()&lt;=20),(_xlfn.XLOOKUP($A74,'Oferta Producto 3'!$B$10:$B$21,'Oferta Producto 3'!$E$10:$E$21))/SUMIF($A$7:$AC$128,$A74,$AB$6:$AB$127)*C$5,0)</f>
        <v>0</v>
      </c>
      <c r="D74" s="35">
        <f>IF(AND(COLUMN()&gt;=11,COLUMN()&lt;=20),(_xlfn.XLOOKUP($A74,'Oferta Producto 3'!$B$10:$B$21,'Oferta Producto 3'!$E$10:$E$21))/SUMIF($A$7:$AC$128,$A74,$AB$6:$AB$127)*D$5,0)</f>
        <v>0</v>
      </c>
      <c r="E74" s="35">
        <f>IF(AND(COLUMN()&gt;=11,COLUMN()&lt;=20),(_xlfn.XLOOKUP($A74,'Oferta Producto 3'!$B$10:$B$21,'Oferta Producto 3'!$E$10:$E$21))/SUMIF($A$7:$AC$128,$A74,$AB$6:$AB$127)*E$5,0)</f>
        <v>0</v>
      </c>
      <c r="F74" s="35">
        <f>IF(AND(COLUMN()&gt;=11,COLUMN()&lt;=20),(_xlfn.XLOOKUP($A74,'Oferta Producto 3'!$B$10:$B$21,'Oferta Producto 3'!$E$10:$E$21))/SUMIF($A$7:$AC$128,$A74,$AB$6:$AB$127)*F$5,0)</f>
        <v>0</v>
      </c>
      <c r="G74" s="35">
        <f>IF(AND(COLUMN()&gt;=11,COLUMN()&lt;=20),(_xlfn.XLOOKUP($A74,'Oferta Producto 3'!$B$10:$B$21,'Oferta Producto 3'!$E$10:$E$21))/SUMIF($A$7:$AC$128,$A74,$AB$6:$AB$127)*G$5,0)</f>
        <v>0</v>
      </c>
      <c r="H74" s="35">
        <f>IF(AND(COLUMN()&gt;=11,COLUMN()&lt;=20),(_xlfn.XLOOKUP($A74,'Oferta Producto 3'!$B$10:$B$21,'Oferta Producto 3'!$E$10:$E$21))/SUMIF($A$7:$AC$128,$A74,$AB$6:$AB$127)*H$5,0)</f>
        <v>0</v>
      </c>
      <c r="I74" s="35">
        <f>IF(AND(COLUMN()&gt;=11,COLUMN()&lt;=20),(_xlfn.XLOOKUP($A74,'Oferta Producto 3'!$B$10:$B$21,'Oferta Producto 3'!$E$10:$E$21))/SUMIF($A$7:$AC$128,$A74,$AB$6:$AB$127)*I$5,0)</f>
        <v>0</v>
      </c>
      <c r="J74" s="35">
        <f>IF(AND(COLUMN()&gt;=11,COLUMN()&lt;=20),(_xlfn.XLOOKUP($A74,'Oferta Producto 3'!$B$10:$B$21,'Oferta Producto 3'!$E$10:$E$21))/SUMIF($A$7:$AC$128,$A74,$AB$6:$AB$127)*J$5,0)</f>
        <v>0</v>
      </c>
      <c r="K74" s="35">
        <f ca="1">IF(AND(COLUMN()&gt;=11,COLUMN()&lt;=20),(_xlfn.XLOOKUP($A74,'Oferta Producto 3'!$B$10:$B$21,'Oferta Producto 3'!$E$10:$E$21))/SUMIF($A$7:$AC$128,$A74,$AB$6:$AB$127)*K$5,0)</f>
        <v>0</v>
      </c>
      <c r="L74" s="35">
        <f ca="1">IF(AND(COLUMN()&gt;=11,COLUMN()&lt;=20),(_xlfn.XLOOKUP($A74,'Oferta Producto 3'!$B$10:$B$21,'Oferta Producto 3'!$E$10:$E$21))/SUMIF($A$7:$AC$128,$A74,$AB$6:$AB$127)*L$5,0)</f>
        <v>0</v>
      </c>
      <c r="M74" s="35">
        <f ca="1">IF(AND(COLUMN()&gt;=11,COLUMN()&lt;=20),(_xlfn.XLOOKUP($A74,'Oferta Producto 3'!$B$10:$B$21,'Oferta Producto 3'!$E$10:$E$21))/SUMIF($A$7:$AC$128,$A74,$AB$6:$AB$127)*M$5,0)</f>
        <v>0</v>
      </c>
      <c r="N74" s="35">
        <f ca="1">IF(AND(COLUMN()&gt;=11,COLUMN()&lt;=20),(_xlfn.XLOOKUP($A74,'Oferta Producto 3'!$B$10:$B$21,'Oferta Producto 3'!$E$10:$E$21))/SUMIF($A$7:$AC$128,$A74,$AB$6:$AB$127)*N$5,0)</f>
        <v>0</v>
      </c>
      <c r="O74" s="35">
        <f ca="1">IF(AND(COLUMN()&gt;=11,COLUMN()&lt;=20),(_xlfn.XLOOKUP($A74,'Oferta Producto 3'!$B$10:$B$21,'Oferta Producto 3'!$E$10:$E$21))/SUMIF($A$7:$AC$128,$A74,$AB$6:$AB$127)*O$5,0)</f>
        <v>0</v>
      </c>
      <c r="P74" s="35">
        <f ca="1">IF(AND(COLUMN()&gt;=11,COLUMN()&lt;=20),(_xlfn.XLOOKUP($A74,'Oferta Producto 3'!$B$10:$B$21,'Oferta Producto 3'!$E$10:$E$21))/SUMIF($A$7:$AC$128,$A74,$AB$6:$AB$127)*P$5,0)</f>
        <v>0</v>
      </c>
      <c r="Q74" s="35">
        <f ca="1">IF(AND(COLUMN()&gt;=11,COLUMN()&lt;=20),(_xlfn.XLOOKUP($A74,'Oferta Producto 3'!$B$10:$B$21,'Oferta Producto 3'!$E$10:$E$21))/SUMIF($A$7:$AC$128,$A74,$AB$6:$AB$127)*Q$5,0)</f>
        <v>0</v>
      </c>
      <c r="R74" s="35">
        <f ca="1">IF(AND(COLUMN()&gt;=11,COLUMN()&lt;=20),(_xlfn.XLOOKUP($A74,'Oferta Producto 3'!$B$10:$B$21,'Oferta Producto 3'!$E$10:$E$21))/SUMIF($A$7:$AC$128,$A74,$AB$6:$AB$127)*R$5,0)</f>
        <v>0</v>
      </c>
      <c r="S74" s="35">
        <f ca="1">IF(AND(COLUMN()&gt;=11,COLUMN()&lt;=20),(_xlfn.XLOOKUP($A74,'Oferta Producto 3'!$B$10:$B$21,'Oferta Producto 3'!$E$10:$E$21))/SUMIF($A$7:$AC$128,$A74,$AB$6:$AB$127)*S$5,0)</f>
        <v>0</v>
      </c>
      <c r="T74" s="35">
        <f ca="1">IF(AND(COLUMN()&gt;=11,COLUMN()&lt;=20),(_xlfn.XLOOKUP($A74,'Oferta Producto 3'!$B$10:$B$21,'Oferta Producto 3'!$E$10:$E$21))/SUMIF($A$7:$AC$128,$A74,$AB$6:$AB$127)*T$5,0)</f>
        <v>0</v>
      </c>
      <c r="U74" s="35">
        <f>IF(AND(COLUMN()&gt;=11,COLUMN()&lt;=20),(_xlfn.XLOOKUP($A74,'Oferta Producto 3'!$B$10:$B$21,'Oferta Producto 3'!$E$10:$E$21))/SUMIF($A$7:$AC$128,$A74,$AB$6:$AB$127)*U$5,0)</f>
        <v>0</v>
      </c>
      <c r="V74" s="35">
        <f>IF(AND(COLUMN()&gt;=11,COLUMN()&lt;=20),(_xlfn.XLOOKUP($A74,'Oferta Producto 3'!$B$10:$B$21,'Oferta Producto 3'!$E$10:$E$21))/SUMIF($A$7:$AC$128,$A74,$AB$6:$AB$127)*V$5,0)</f>
        <v>0</v>
      </c>
      <c r="W74" s="35">
        <f>IF(AND(COLUMN()&gt;=11,COLUMN()&lt;=20),(_xlfn.XLOOKUP($A74,'Oferta Producto 3'!$B$10:$B$21,'Oferta Producto 3'!$E$10:$E$21))/SUMIF($A$7:$AC$128,$A74,$AB$6:$AB$127)*W$5,0)</f>
        <v>0</v>
      </c>
      <c r="X74" s="35">
        <f>IF(AND(COLUMN()&gt;=11,COLUMN()&lt;=20),(_xlfn.XLOOKUP($A74,'Oferta Producto 3'!$B$10:$B$21,'Oferta Producto 3'!$E$10:$E$21))/SUMIF($A$7:$AC$128,$A74,$AB$6:$AB$127)*X$5,0)</f>
        <v>0</v>
      </c>
      <c r="Y74" s="35">
        <f>IF(AND(COLUMN()&gt;=11,COLUMN()&lt;=20),(_xlfn.XLOOKUP($A74,'Oferta Producto 3'!$B$10:$B$21,'Oferta Producto 3'!$E$10:$E$21))/SUMIF($A$7:$AC$128,$A74,$AB$6:$AB$127)*Y$5,0)</f>
        <v>0</v>
      </c>
      <c r="Z74" s="35">
        <f>IF(AND(COLUMN()&gt;=11,COLUMN()&lt;=20),(_xlfn.XLOOKUP($A74,'Oferta Producto 3'!$B$10:$B$21,'Oferta Producto 3'!$E$10:$E$21))/SUMIF($A$7:$AC$128,$A74,$AB$6:$AB$127)*Z$5,0)</f>
        <v>0</v>
      </c>
      <c r="AA74" s="35">
        <f t="shared" ca="1" si="8"/>
        <v>0</v>
      </c>
      <c r="AB74" s="28">
        <f t="shared" si="10"/>
        <v>31</v>
      </c>
      <c r="AC74" s="29">
        <f t="shared" ca="1" si="11"/>
        <v>0</v>
      </c>
      <c r="AD74" s="48">
        <f ca="1">'Curvas Prod 3'!AC74/SUMIF('Curvas Prod 3'!A72:AC217,'Curva de la oferta Prod 3'!$A74,'Curvas Prod 3'!AC72:AC217)</f>
        <v>0.12653061224489795</v>
      </c>
      <c r="AE74" s="45"/>
      <c r="AF74" s="49"/>
      <c r="AG74" s="49"/>
      <c r="AH74" s="49"/>
      <c r="AI74" s="49"/>
      <c r="AJ74" s="49"/>
      <c r="AK74" s="49"/>
    </row>
    <row r="75" spans="1:37" ht="15">
      <c r="A75" s="23">
        <f t="shared" si="9"/>
        <v>2031</v>
      </c>
      <c r="B75" s="27">
        <v>48061</v>
      </c>
      <c r="C75" s="35">
        <f>IF(AND(COLUMN()&gt;=11,COLUMN()&lt;=20),(_xlfn.XLOOKUP($A75,'Oferta Producto 3'!$B$10:$B$21,'Oferta Producto 3'!$E$10:$E$21))/SUMIF($A$7:$AC$128,$A75,$AB$6:$AB$127)*C$5,0)</f>
        <v>0</v>
      </c>
      <c r="D75" s="35">
        <f>IF(AND(COLUMN()&gt;=11,COLUMN()&lt;=20),(_xlfn.XLOOKUP($A75,'Oferta Producto 3'!$B$10:$B$21,'Oferta Producto 3'!$E$10:$E$21))/SUMIF($A$7:$AC$128,$A75,$AB$6:$AB$127)*D$5,0)</f>
        <v>0</v>
      </c>
      <c r="E75" s="35">
        <f>IF(AND(COLUMN()&gt;=11,COLUMN()&lt;=20),(_xlfn.XLOOKUP($A75,'Oferta Producto 3'!$B$10:$B$21,'Oferta Producto 3'!$E$10:$E$21))/SUMIF($A$7:$AC$128,$A75,$AB$6:$AB$127)*E$5,0)</f>
        <v>0</v>
      </c>
      <c r="F75" s="35">
        <f>IF(AND(COLUMN()&gt;=11,COLUMN()&lt;=20),(_xlfn.XLOOKUP($A75,'Oferta Producto 3'!$B$10:$B$21,'Oferta Producto 3'!$E$10:$E$21))/SUMIF($A$7:$AC$128,$A75,$AB$6:$AB$127)*F$5,0)</f>
        <v>0</v>
      </c>
      <c r="G75" s="35">
        <f>IF(AND(COLUMN()&gt;=11,COLUMN()&lt;=20),(_xlfn.XLOOKUP($A75,'Oferta Producto 3'!$B$10:$B$21,'Oferta Producto 3'!$E$10:$E$21))/SUMIF($A$7:$AC$128,$A75,$AB$6:$AB$127)*G$5,0)</f>
        <v>0</v>
      </c>
      <c r="H75" s="35">
        <f>IF(AND(COLUMN()&gt;=11,COLUMN()&lt;=20),(_xlfn.XLOOKUP($A75,'Oferta Producto 3'!$B$10:$B$21,'Oferta Producto 3'!$E$10:$E$21))/SUMIF($A$7:$AC$128,$A75,$AB$6:$AB$127)*H$5,0)</f>
        <v>0</v>
      </c>
      <c r="I75" s="35">
        <f>IF(AND(COLUMN()&gt;=11,COLUMN()&lt;=20),(_xlfn.XLOOKUP($A75,'Oferta Producto 3'!$B$10:$B$21,'Oferta Producto 3'!$E$10:$E$21))/SUMIF($A$7:$AC$128,$A75,$AB$6:$AB$127)*I$5,0)</f>
        <v>0</v>
      </c>
      <c r="J75" s="35">
        <f>IF(AND(COLUMN()&gt;=11,COLUMN()&lt;=20),(_xlfn.XLOOKUP($A75,'Oferta Producto 3'!$B$10:$B$21,'Oferta Producto 3'!$E$10:$E$21))/SUMIF($A$7:$AC$128,$A75,$AB$6:$AB$127)*J$5,0)</f>
        <v>0</v>
      </c>
      <c r="K75" s="35">
        <f ca="1">IF(AND(COLUMN()&gt;=11,COLUMN()&lt;=20),(_xlfn.XLOOKUP($A75,'Oferta Producto 3'!$B$10:$B$21,'Oferta Producto 3'!$E$10:$E$21))/SUMIF($A$7:$AC$128,$A75,$AB$6:$AB$127)*K$5,0)</f>
        <v>0</v>
      </c>
      <c r="L75" s="35">
        <f ca="1">IF(AND(COLUMN()&gt;=11,COLUMN()&lt;=20),(_xlfn.XLOOKUP($A75,'Oferta Producto 3'!$B$10:$B$21,'Oferta Producto 3'!$E$10:$E$21))/SUMIF($A$7:$AC$128,$A75,$AB$6:$AB$127)*L$5,0)</f>
        <v>0</v>
      </c>
      <c r="M75" s="35">
        <f ca="1">IF(AND(COLUMN()&gt;=11,COLUMN()&lt;=20),(_xlfn.XLOOKUP($A75,'Oferta Producto 3'!$B$10:$B$21,'Oferta Producto 3'!$E$10:$E$21))/SUMIF($A$7:$AC$128,$A75,$AB$6:$AB$127)*M$5,0)</f>
        <v>0</v>
      </c>
      <c r="N75" s="35">
        <f ca="1">IF(AND(COLUMN()&gt;=11,COLUMN()&lt;=20),(_xlfn.XLOOKUP($A75,'Oferta Producto 3'!$B$10:$B$21,'Oferta Producto 3'!$E$10:$E$21))/SUMIF($A$7:$AC$128,$A75,$AB$6:$AB$127)*N$5,0)</f>
        <v>0</v>
      </c>
      <c r="O75" s="35">
        <f ca="1">IF(AND(COLUMN()&gt;=11,COLUMN()&lt;=20),(_xlfn.XLOOKUP($A75,'Oferta Producto 3'!$B$10:$B$21,'Oferta Producto 3'!$E$10:$E$21))/SUMIF($A$7:$AC$128,$A75,$AB$6:$AB$127)*O$5,0)</f>
        <v>0</v>
      </c>
      <c r="P75" s="35">
        <f ca="1">IF(AND(COLUMN()&gt;=11,COLUMN()&lt;=20),(_xlfn.XLOOKUP($A75,'Oferta Producto 3'!$B$10:$B$21,'Oferta Producto 3'!$E$10:$E$21))/SUMIF($A$7:$AC$128,$A75,$AB$6:$AB$127)*P$5,0)</f>
        <v>0</v>
      </c>
      <c r="Q75" s="35">
        <f ca="1">IF(AND(COLUMN()&gt;=11,COLUMN()&lt;=20),(_xlfn.XLOOKUP($A75,'Oferta Producto 3'!$B$10:$B$21,'Oferta Producto 3'!$E$10:$E$21))/SUMIF($A$7:$AC$128,$A75,$AB$6:$AB$127)*Q$5,0)</f>
        <v>0</v>
      </c>
      <c r="R75" s="35">
        <f ca="1">IF(AND(COLUMN()&gt;=11,COLUMN()&lt;=20),(_xlfn.XLOOKUP($A75,'Oferta Producto 3'!$B$10:$B$21,'Oferta Producto 3'!$E$10:$E$21))/SUMIF($A$7:$AC$128,$A75,$AB$6:$AB$127)*R$5,0)</f>
        <v>0</v>
      </c>
      <c r="S75" s="35">
        <f ca="1">IF(AND(COLUMN()&gt;=11,COLUMN()&lt;=20),(_xlfn.XLOOKUP($A75,'Oferta Producto 3'!$B$10:$B$21,'Oferta Producto 3'!$E$10:$E$21))/SUMIF($A$7:$AC$128,$A75,$AB$6:$AB$127)*S$5,0)</f>
        <v>0</v>
      </c>
      <c r="T75" s="35">
        <f ca="1">IF(AND(COLUMN()&gt;=11,COLUMN()&lt;=20),(_xlfn.XLOOKUP($A75,'Oferta Producto 3'!$B$10:$B$21,'Oferta Producto 3'!$E$10:$E$21))/SUMIF($A$7:$AC$128,$A75,$AB$6:$AB$127)*T$5,0)</f>
        <v>0</v>
      </c>
      <c r="U75" s="35">
        <f>IF(AND(COLUMN()&gt;=11,COLUMN()&lt;=20),(_xlfn.XLOOKUP($A75,'Oferta Producto 3'!$B$10:$B$21,'Oferta Producto 3'!$E$10:$E$21))/SUMIF($A$7:$AC$128,$A75,$AB$6:$AB$127)*U$5,0)</f>
        <v>0</v>
      </c>
      <c r="V75" s="35">
        <f>IF(AND(COLUMN()&gt;=11,COLUMN()&lt;=20),(_xlfn.XLOOKUP($A75,'Oferta Producto 3'!$B$10:$B$21,'Oferta Producto 3'!$E$10:$E$21))/SUMIF($A$7:$AC$128,$A75,$AB$6:$AB$127)*V$5,0)</f>
        <v>0</v>
      </c>
      <c r="W75" s="35">
        <f>IF(AND(COLUMN()&gt;=11,COLUMN()&lt;=20),(_xlfn.XLOOKUP($A75,'Oferta Producto 3'!$B$10:$B$21,'Oferta Producto 3'!$E$10:$E$21))/SUMIF($A$7:$AC$128,$A75,$AB$6:$AB$127)*W$5,0)</f>
        <v>0</v>
      </c>
      <c r="X75" s="35">
        <f>IF(AND(COLUMN()&gt;=11,COLUMN()&lt;=20),(_xlfn.XLOOKUP($A75,'Oferta Producto 3'!$B$10:$B$21,'Oferta Producto 3'!$E$10:$E$21))/SUMIF($A$7:$AC$128,$A75,$AB$6:$AB$127)*X$5,0)</f>
        <v>0</v>
      </c>
      <c r="Y75" s="35">
        <f>IF(AND(COLUMN()&gt;=11,COLUMN()&lt;=20),(_xlfn.XLOOKUP($A75,'Oferta Producto 3'!$B$10:$B$21,'Oferta Producto 3'!$E$10:$E$21))/SUMIF($A$7:$AC$128,$A75,$AB$6:$AB$127)*Y$5,0)</f>
        <v>0</v>
      </c>
      <c r="Z75" s="35">
        <f>IF(AND(COLUMN()&gt;=11,COLUMN()&lt;=20),(_xlfn.XLOOKUP($A75,'Oferta Producto 3'!$B$10:$B$21,'Oferta Producto 3'!$E$10:$E$21))/SUMIF($A$7:$AC$128,$A75,$AB$6:$AB$127)*Z$5,0)</f>
        <v>0</v>
      </c>
      <c r="AA75" s="35">
        <f t="shared" ca="1" si="8"/>
        <v>0</v>
      </c>
      <c r="AB75" s="28">
        <f t="shared" si="10"/>
        <v>31</v>
      </c>
      <c r="AC75" s="29">
        <f t="shared" ca="1" si="11"/>
        <v>0</v>
      </c>
      <c r="AD75" s="48">
        <f ca="1">'Curvas Prod 3'!AC75/SUMIF('Curvas Prod 3'!A73:AC218,'Curva de la oferta Prod 3'!$A75,'Curvas Prod 3'!AC73:AC218)</f>
        <v>0.14485981308411214</v>
      </c>
      <c r="AE75" s="45"/>
      <c r="AF75" s="49"/>
      <c r="AG75" s="49"/>
      <c r="AH75" s="49"/>
      <c r="AI75" s="49"/>
      <c r="AJ75" s="49"/>
      <c r="AK75" s="49"/>
    </row>
    <row r="76" spans="1:37" ht="15">
      <c r="A76" s="23">
        <f t="shared" si="9"/>
        <v>2031</v>
      </c>
      <c r="B76" s="27">
        <v>48092</v>
      </c>
      <c r="C76" s="35">
        <f>IF(AND(COLUMN()&gt;=11,COLUMN()&lt;=20),(_xlfn.XLOOKUP($A76,'Oferta Producto 3'!$B$10:$B$21,'Oferta Producto 3'!$E$10:$E$21))/SUMIF($A$7:$AC$128,$A76,$AB$6:$AB$127)*C$5,0)</f>
        <v>0</v>
      </c>
      <c r="D76" s="35">
        <f>IF(AND(COLUMN()&gt;=11,COLUMN()&lt;=20),(_xlfn.XLOOKUP($A76,'Oferta Producto 3'!$B$10:$B$21,'Oferta Producto 3'!$E$10:$E$21))/SUMIF($A$7:$AC$128,$A76,$AB$6:$AB$127)*D$5,0)</f>
        <v>0</v>
      </c>
      <c r="E76" s="35">
        <f>IF(AND(COLUMN()&gt;=11,COLUMN()&lt;=20),(_xlfn.XLOOKUP($A76,'Oferta Producto 3'!$B$10:$B$21,'Oferta Producto 3'!$E$10:$E$21))/SUMIF($A$7:$AC$128,$A76,$AB$6:$AB$127)*E$5,0)</f>
        <v>0</v>
      </c>
      <c r="F76" s="35">
        <f>IF(AND(COLUMN()&gt;=11,COLUMN()&lt;=20),(_xlfn.XLOOKUP($A76,'Oferta Producto 3'!$B$10:$B$21,'Oferta Producto 3'!$E$10:$E$21))/SUMIF($A$7:$AC$128,$A76,$AB$6:$AB$127)*F$5,0)</f>
        <v>0</v>
      </c>
      <c r="G76" s="35">
        <f>IF(AND(COLUMN()&gt;=11,COLUMN()&lt;=20),(_xlfn.XLOOKUP($A76,'Oferta Producto 3'!$B$10:$B$21,'Oferta Producto 3'!$E$10:$E$21))/SUMIF($A$7:$AC$128,$A76,$AB$6:$AB$127)*G$5,0)</f>
        <v>0</v>
      </c>
      <c r="H76" s="35">
        <f>IF(AND(COLUMN()&gt;=11,COLUMN()&lt;=20),(_xlfn.XLOOKUP($A76,'Oferta Producto 3'!$B$10:$B$21,'Oferta Producto 3'!$E$10:$E$21))/SUMIF($A$7:$AC$128,$A76,$AB$6:$AB$127)*H$5,0)</f>
        <v>0</v>
      </c>
      <c r="I76" s="35">
        <f>IF(AND(COLUMN()&gt;=11,COLUMN()&lt;=20),(_xlfn.XLOOKUP($A76,'Oferta Producto 3'!$B$10:$B$21,'Oferta Producto 3'!$E$10:$E$21))/SUMIF($A$7:$AC$128,$A76,$AB$6:$AB$127)*I$5,0)</f>
        <v>0</v>
      </c>
      <c r="J76" s="35">
        <f>IF(AND(COLUMN()&gt;=11,COLUMN()&lt;=20),(_xlfn.XLOOKUP($A76,'Oferta Producto 3'!$B$10:$B$21,'Oferta Producto 3'!$E$10:$E$21))/SUMIF($A$7:$AC$128,$A76,$AB$6:$AB$127)*J$5,0)</f>
        <v>0</v>
      </c>
      <c r="K76" s="35">
        <f ca="1">IF(AND(COLUMN()&gt;=11,COLUMN()&lt;=20),(_xlfn.XLOOKUP($A76,'Oferta Producto 3'!$B$10:$B$21,'Oferta Producto 3'!$E$10:$E$21))/SUMIF($A$7:$AC$128,$A76,$AB$6:$AB$127)*K$5,0)</f>
        <v>0</v>
      </c>
      <c r="L76" s="35">
        <f ca="1">IF(AND(COLUMN()&gt;=11,COLUMN()&lt;=20),(_xlfn.XLOOKUP($A76,'Oferta Producto 3'!$B$10:$B$21,'Oferta Producto 3'!$E$10:$E$21))/SUMIF($A$7:$AC$128,$A76,$AB$6:$AB$127)*L$5,0)</f>
        <v>0</v>
      </c>
      <c r="M76" s="35">
        <f ca="1">IF(AND(COLUMN()&gt;=11,COLUMN()&lt;=20),(_xlfn.XLOOKUP($A76,'Oferta Producto 3'!$B$10:$B$21,'Oferta Producto 3'!$E$10:$E$21))/SUMIF($A$7:$AC$128,$A76,$AB$6:$AB$127)*M$5,0)</f>
        <v>0</v>
      </c>
      <c r="N76" s="35">
        <f ca="1">IF(AND(COLUMN()&gt;=11,COLUMN()&lt;=20),(_xlfn.XLOOKUP($A76,'Oferta Producto 3'!$B$10:$B$21,'Oferta Producto 3'!$E$10:$E$21))/SUMIF($A$7:$AC$128,$A76,$AB$6:$AB$127)*N$5,0)</f>
        <v>0</v>
      </c>
      <c r="O76" s="35">
        <f ca="1">IF(AND(COLUMN()&gt;=11,COLUMN()&lt;=20),(_xlfn.XLOOKUP($A76,'Oferta Producto 3'!$B$10:$B$21,'Oferta Producto 3'!$E$10:$E$21))/SUMIF($A$7:$AC$128,$A76,$AB$6:$AB$127)*O$5,0)</f>
        <v>0</v>
      </c>
      <c r="P76" s="35">
        <f ca="1">IF(AND(COLUMN()&gt;=11,COLUMN()&lt;=20),(_xlfn.XLOOKUP($A76,'Oferta Producto 3'!$B$10:$B$21,'Oferta Producto 3'!$E$10:$E$21))/SUMIF($A$7:$AC$128,$A76,$AB$6:$AB$127)*P$5,0)</f>
        <v>0</v>
      </c>
      <c r="Q76" s="35">
        <f ca="1">IF(AND(COLUMN()&gt;=11,COLUMN()&lt;=20),(_xlfn.XLOOKUP($A76,'Oferta Producto 3'!$B$10:$B$21,'Oferta Producto 3'!$E$10:$E$21))/SUMIF($A$7:$AC$128,$A76,$AB$6:$AB$127)*Q$5,0)</f>
        <v>0</v>
      </c>
      <c r="R76" s="35">
        <f ca="1">IF(AND(COLUMN()&gt;=11,COLUMN()&lt;=20),(_xlfn.XLOOKUP($A76,'Oferta Producto 3'!$B$10:$B$21,'Oferta Producto 3'!$E$10:$E$21))/SUMIF($A$7:$AC$128,$A76,$AB$6:$AB$127)*R$5,0)</f>
        <v>0</v>
      </c>
      <c r="S76" s="35">
        <f ca="1">IF(AND(COLUMN()&gt;=11,COLUMN()&lt;=20),(_xlfn.XLOOKUP($A76,'Oferta Producto 3'!$B$10:$B$21,'Oferta Producto 3'!$E$10:$E$21))/SUMIF($A$7:$AC$128,$A76,$AB$6:$AB$127)*S$5,0)</f>
        <v>0</v>
      </c>
      <c r="T76" s="35">
        <f ca="1">IF(AND(COLUMN()&gt;=11,COLUMN()&lt;=20),(_xlfn.XLOOKUP($A76,'Oferta Producto 3'!$B$10:$B$21,'Oferta Producto 3'!$E$10:$E$21))/SUMIF($A$7:$AC$128,$A76,$AB$6:$AB$127)*T$5,0)</f>
        <v>0</v>
      </c>
      <c r="U76" s="35">
        <f>IF(AND(COLUMN()&gt;=11,COLUMN()&lt;=20),(_xlfn.XLOOKUP($A76,'Oferta Producto 3'!$B$10:$B$21,'Oferta Producto 3'!$E$10:$E$21))/SUMIF($A$7:$AC$128,$A76,$AB$6:$AB$127)*U$5,0)</f>
        <v>0</v>
      </c>
      <c r="V76" s="35">
        <f>IF(AND(COLUMN()&gt;=11,COLUMN()&lt;=20),(_xlfn.XLOOKUP($A76,'Oferta Producto 3'!$B$10:$B$21,'Oferta Producto 3'!$E$10:$E$21))/SUMIF($A$7:$AC$128,$A76,$AB$6:$AB$127)*V$5,0)</f>
        <v>0</v>
      </c>
      <c r="W76" s="35">
        <f>IF(AND(COLUMN()&gt;=11,COLUMN()&lt;=20),(_xlfn.XLOOKUP($A76,'Oferta Producto 3'!$B$10:$B$21,'Oferta Producto 3'!$E$10:$E$21))/SUMIF($A$7:$AC$128,$A76,$AB$6:$AB$127)*W$5,0)</f>
        <v>0</v>
      </c>
      <c r="X76" s="35">
        <f>IF(AND(COLUMN()&gt;=11,COLUMN()&lt;=20),(_xlfn.XLOOKUP($A76,'Oferta Producto 3'!$B$10:$B$21,'Oferta Producto 3'!$E$10:$E$21))/SUMIF($A$7:$AC$128,$A76,$AB$6:$AB$127)*X$5,0)</f>
        <v>0</v>
      </c>
      <c r="Y76" s="35">
        <f>IF(AND(COLUMN()&gt;=11,COLUMN()&lt;=20),(_xlfn.XLOOKUP($A76,'Oferta Producto 3'!$B$10:$B$21,'Oferta Producto 3'!$E$10:$E$21))/SUMIF($A$7:$AC$128,$A76,$AB$6:$AB$127)*Y$5,0)</f>
        <v>0</v>
      </c>
      <c r="Z76" s="35">
        <f>IF(AND(COLUMN()&gt;=11,COLUMN()&lt;=20),(_xlfn.XLOOKUP($A76,'Oferta Producto 3'!$B$10:$B$21,'Oferta Producto 3'!$E$10:$E$21))/SUMIF($A$7:$AC$128,$A76,$AB$6:$AB$127)*Z$5,0)</f>
        <v>0</v>
      </c>
      <c r="AA76" s="35">
        <f t="shared" ca="1" si="8"/>
        <v>0</v>
      </c>
      <c r="AB76" s="28">
        <f t="shared" si="10"/>
        <v>30</v>
      </c>
      <c r="AC76" s="29">
        <f t="shared" ca="1" si="11"/>
        <v>0</v>
      </c>
      <c r="AD76" s="48">
        <f ca="1">'Curvas Prod 3'!AC76/SUMIF('Curvas Prod 3'!A74:AC219,'Curva de la oferta Prod 3'!$A76,'Curvas Prod 3'!AC74:AC219)</f>
        <v>0.16304347826086957</v>
      </c>
      <c r="AE76" s="45"/>
      <c r="AF76" s="49"/>
      <c r="AG76" s="49"/>
      <c r="AH76" s="49"/>
      <c r="AI76" s="49"/>
      <c r="AJ76" s="49"/>
      <c r="AK76" s="49"/>
    </row>
    <row r="77" spans="1:37" ht="15">
      <c r="A77" s="23">
        <f t="shared" si="9"/>
        <v>2031</v>
      </c>
      <c r="B77" s="27">
        <v>48122</v>
      </c>
      <c r="C77" s="35">
        <f>IF(AND(COLUMN()&gt;=11,COLUMN()&lt;=20),(_xlfn.XLOOKUP($A77,'Oferta Producto 3'!$B$10:$B$21,'Oferta Producto 3'!$E$10:$E$21))/SUMIF($A$7:$AC$128,$A77,$AB$6:$AB$127)*C$5,0)</f>
        <v>0</v>
      </c>
      <c r="D77" s="35">
        <f>IF(AND(COLUMN()&gt;=11,COLUMN()&lt;=20),(_xlfn.XLOOKUP($A77,'Oferta Producto 3'!$B$10:$B$21,'Oferta Producto 3'!$E$10:$E$21))/SUMIF($A$7:$AC$128,$A77,$AB$6:$AB$127)*D$5,0)</f>
        <v>0</v>
      </c>
      <c r="E77" s="35">
        <f>IF(AND(COLUMN()&gt;=11,COLUMN()&lt;=20),(_xlfn.XLOOKUP($A77,'Oferta Producto 3'!$B$10:$B$21,'Oferta Producto 3'!$E$10:$E$21))/SUMIF($A$7:$AC$128,$A77,$AB$6:$AB$127)*E$5,0)</f>
        <v>0</v>
      </c>
      <c r="F77" s="35">
        <f>IF(AND(COLUMN()&gt;=11,COLUMN()&lt;=20),(_xlfn.XLOOKUP($A77,'Oferta Producto 3'!$B$10:$B$21,'Oferta Producto 3'!$E$10:$E$21))/SUMIF($A$7:$AC$128,$A77,$AB$6:$AB$127)*F$5,0)</f>
        <v>0</v>
      </c>
      <c r="G77" s="35">
        <f>IF(AND(COLUMN()&gt;=11,COLUMN()&lt;=20),(_xlfn.XLOOKUP($A77,'Oferta Producto 3'!$B$10:$B$21,'Oferta Producto 3'!$E$10:$E$21))/SUMIF($A$7:$AC$128,$A77,$AB$6:$AB$127)*G$5,0)</f>
        <v>0</v>
      </c>
      <c r="H77" s="35">
        <f>IF(AND(COLUMN()&gt;=11,COLUMN()&lt;=20),(_xlfn.XLOOKUP($A77,'Oferta Producto 3'!$B$10:$B$21,'Oferta Producto 3'!$E$10:$E$21))/SUMIF($A$7:$AC$128,$A77,$AB$6:$AB$127)*H$5,0)</f>
        <v>0</v>
      </c>
      <c r="I77" s="35">
        <f>IF(AND(COLUMN()&gt;=11,COLUMN()&lt;=20),(_xlfn.XLOOKUP($A77,'Oferta Producto 3'!$B$10:$B$21,'Oferta Producto 3'!$E$10:$E$21))/SUMIF($A$7:$AC$128,$A77,$AB$6:$AB$127)*I$5,0)</f>
        <v>0</v>
      </c>
      <c r="J77" s="35">
        <f>IF(AND(COLUMN()&gt;=11,COLUMN()&lt;=20),(_xlfn.XLOOKUP($A77,'Oferta Producto 3'!$B$10:$B$21,'Oferta Producto 3'!$E$10:$E$21))/SUMIF($A$7:$AC$128,$A77,$AB$6:$AB$127)*J$5,0)</f>
        <v>0</v>
      </c>
      <c r="K77" s="35">
        <f ca="1">IF(AND(COLUMN()&gt;=11,COLUMN()&lt;=20),(_xlfn.XLOOKUP($A77,'Oferta Producto 3'!$B$10:$B$21,'Oferta Producto 3'!$E$10:$E$21))/SUMIF($A$7:$AC$128,$A77,$AB$6:$AB$127)*K$5,0)</f>
        <v>0</v>
      </c>
      <c r="L77" s="35">
        <f ca="1">IF(AND(COLUMN()&gt;=11,COLUMN()&lt;=20),(_xlfn.XLOOKUP($A77,'Oferta Producto 3'!$B$10:$B$21,'Oferta Producto 3'!$E$10:$E$21))/SUMIF($A$7:$AC$128,$A77,$AB$6:$AB$127)*L$5,0)</f>
        <v>0</v>
      </c>
      <c r="M77" s="35">
        <f ca="1">IF(AND(COLUMN()&gt;=11,COLUMN()&lt;=20),(_xlfn.XLOOKUP($A77,'Oferta Producto 3'!$B$10:$B$21,'Oferta Producto 3'!$E$10:$E$21))/SUMIF($A$7:$AC$128,$A77,$AB$6:$AB$127)*M$5,0)</f>
        <v>0</v>
      </c>
      <c r="N77" s="35">
        <f ca="1">IF(AND(COLUMN()&gt;=11,COLUMN()&lt;=20),(_xlfn.XLOOKUP($A77,'Oferta Producto 3'!$B$10:$B$21,'Oferta Producto 3'!$E$10:$E$21))/SUMIF($A$7:$AC$128,$A77,$AB$6:$AB$127)*N$5,0)</f>
        <v>0</v>
      </c>
      <c r="O77" s="35">
        <f ca="1">IF(AND(COLUMN()&gt;=11,COLUMN()&lt;=20),(_xlfn.XLOOKUP($A77,'Oferta Producto 3'!$B$10:$B$21,'Oferta Producto 3'!$E$10:$E$21))/SUMIF($A$7:$AC$128,$A77,$AB$6:$AB$127)*O$5,0)</f>
        <v>0</v>
      </c>
      <c r="P77" s="35">
        <f ca="1">IF(AND(COLUMN()&gt;=11,COLUMN()&lt;=20),(_xlfn.XLOOKUP($A77,'Oferta Producto 3'!$B$10:$B$21,'Oferta Producto 3'!$E$10:$E$21))/SUMIF($A$7:$AC$128,$A77,$AB$6:$AB$127)*P$5,0)</f>
        <v>0</v>
      </c>
      <c r="Q77" s="35">
        <f ca="1">IF(AND(COLUMN()&gt;=11,COLUMN()&lt;=20),(_xlfn.XLOOKUP($A77,'Oferta Producto 3'!$B$10:$B$21,'Oferta Producto 3'!$E$10:$E$21))/SUMIF($A$7:$AC$128,$A77,$AB$6:$AB$127)*Q$5,0)</f>
        <v>0</v>
      </c>
      <c r="R77" s="35">
        <f ca="1">IF(AND(COLUMN()&gt;=11,COLUMN()&lt;=20),(_xlfn.XLOOKUP($A77,'Oferta Producto 3'!$B$10:$B$21,'Oferta Producto 3'!$E$10:$E$21))/SUMIF($A$7:$AC$128,$A77,$AB$6:$AB$127)*R$5,0)</f>
        <v>0</v>
      </c>
      <c r="S77" s="35">
        <f ca="1">IF(AND(COLUMN()&gt;=11,COLUMN()&lt;=20),(_xlfn.XLOOKUP($A77,'Oferta Producto 3'!$B$10:$B$21,'Oferta Producto 3'!$E$10:$E$21))/SUMIF($A$7:$AC$128,$A77,$AB$6:$AB$127)*S$5,0)</f>
        <v>0</v>
      </c>
      <c r="T77" s="35">
        <f ca="1">IF(AND(COLUMN()&gt;=11,COLUMN()&lt;=20),(_xlfn.XLOOKUP($A77,'Oferta Producto 3'!$B$10:$B$21,'Oferta Producto 3'!$E$10:$E$21))/SUMIF($A$7:$AC$128,$A77,$AB$6:$AB$127)*T$5,0)</f>
        <v>0</v>
      </c>
      <c r="U77" s="35">
        <f>IF(AND(COLUMN()&gt;=11,COLUMN()&lt;=20),(_xlfn.XLOOKUP($A77,'Oferta Producto 3'!$B$10:$B$21,'Oferta Producto 3'!$E$10:$E$21))/SUMIF($A$7:$AC$128,$A77,$AB$6:$AB$127)*U$5,0)</f>
        <v>0</v>
      </c>
      <c r="V77" s="35">
        <f>IF(AND(COLUMN()&gt;=11,COLUMN()&lt;=20),(_xlfn.XLOOKUP($A77,'Oferta Producto 3'!$B$10:$B$21,'Oferta Producto 3'!$E$10:$E$21))/SUMIF($A$7:$AC$128,$A77,$AB$6:$AB$127)*V$5,0)</f>
        <v>0</v>
      </c>
      <c r="W77" s="35">
        <f>IF(AND(COLUMN()&gt;=11,COLUMN()&lt;=20),(_xlfn.XLOOKUP($A77,'Oferta Producto 3'!$B$10:$B$21,'Oferta Producto 3'!$E$10:$E$21))/SUMIF($A$7:$AC$128,$A77,$AB$6:$AB$127)*W$5,0)</f>
        <v>0</v>
      </c>
      <c r="X77" s="35">
        <f>IF(AND(COLUMN()&gt;=11,COLUMN()&lt;=20),(_xlfn.XLOOKUP($A77,'Oferta Producto 3'!$B$10:$B$21,'Oferta Producto 3'!$E$10:$E$21))/SUMIF($A$7:$AC$128,$A77,$AB$6:$AB$127)*X$5,0)</f>
        <v>0</v>
      </c>
      <c r="Y77" s="35">
        <f>IF(AND(COLUMN()&gt;=11,COLUMN()&lt;=20),(_xlfn.XLOOKUP($A77,'Oferta Producto 3'!$B$10:$B$21,'Oferta Producto 3'!$E$10:$E$21))/SUMIF($A$7:$AC$128,$A77,$AB$6:$AB$127)*Y$5,0)</f>
        <v>0</v>
      </c>
      <c r="Z77" s="35">
        <f>IF(AND(COLUMN()&gt;=11,COLUMN()&lt;=20),(_xlfn.XLOOKUP($A77,'Oferta Producto 3'!$B$10:$B$21,'Oferta Producto 3'!$E$10:$E$21))/SUMIF($A$7:$AC$128,$A77,$AB$6:$AB$127)*Z$5,0)</f>
        <v>0</v>
      </c>
      <c r="AA77" s="35">
        <f t="shared" ca="1" si="8"/>
        <v>0</v>
      </c>
      <c r="AB77" s="28">
        <f t="shared" si="10"/>
        <v>31</v>
      </c>
      <c r="AC77" s="29">
        <f t="shared" ca="1" si="11"/>
        <v>0</v>
      </c>
      <c r="AD77" s="48">
        <f ca="1">'Curvas Prod 3'!AC77/SUMIF('Curvas Prod 3'!A75:AC220,'Curva de la oferta Prod 3'!$A77,'Curvas Prod 3'!AC75:AC220)</f>
        <v>0.20261437908496732</v>
      </c>
      <c r="AE77" s="45"/>
      <c r="AF77" s="49"/>
      <c r="AG77" s="49"/>
      <c r="AH77" s="49"/>
      <c r="AI77" s="49"/>
      <c r="AJ77" s="49"/>
      <c r="AK77" s="49"/>
    </row>
    <row r="78" spans="1:37" ht="15">
      <c r="A78" s="23">
        <f t="shared" si="9"/>
        <v>2031</v>
      </c>
      <c r="B78" s="27">
        <v>48153</v>
      </c>
      <c r="C78" s="35">
        <f>IF(AND(COLUMN()&gt;=11,COLUMN()&lt;=20),(_xlfn.XLOOKUP($A78,'Oferta Producto 3'!$B$10:$B$21,'Oferta Producto 3'!$E$10:$E$21))/SUMIF($A$7:$AC$128,$A78,$AB$6:$AB$127)*C$5,0)</f>
        <v>0</v>
      </c>
      <c r="D78" s="35">
        <f>IF(AND(COLUMN()&gt;=11,COLUMN()&lt;=20),(_xlfn.XLOOKUP($A78,'Oferta Producto 3'!$B$10:$B$21,'Oferta Producto 3'!$E$10:$E$21))/SUMIF($A$7:$AC$128,$A78,$AB$6:$AB$127)*D$5,0)</f>
        <v>0</v>
      </c>
      <c r="E78" s="35">
        <f>IF(AND(COLUMN()&gt;=11,COLUMN()&lt;=20),(_xlfn.XLOOKUP($A78,'Oferta Producto 3'!$B$10:$B$21,'Oferta Producto 3'!$E$10:$E$21))/SUMIF($A$7:$AC$128,$A78,$AB$6:$AB$127)*E$5,0)</f>
        <v>0</v>
      </c>
      <c r="F78" s="35">
        <f>IF(AND(COLUMN()&gt;=11,COLUMN()&lt;=20),(_xlfn.XLOOKUP($A78,'Oferta Producto 3'!$B$10:$B$21,'Oferta Producto 3'!$E$10:$E$21))/SUMIF($A$7:$AC$128,$A78,$AB$6:$AB$127)*F$5,0)</f>
        <v>0</v>
      </c>
      <c r="G78" s="35">
        <f>IF(AND(COLUMN()&gt;=11,COLUMN()&lt;=20),(_xlfn.XLOOKUP($A78,'Oferta Producto 3'!$B$10:$B$21,'Oferta Producto 3'!$E$10:$E$21))/SUMIF($A$7:$AC$128,$A78,$AB$6:$AB$127)*G$5,0)</f>
        <v>0</v>
      </c>
      <c r="H78" s="35">
        <f>IF(AND(COLUMN()&gt;=11,COLUMN()&lt;=20),(_xlfn.XLOOKUP($A78,'Oferta Producto 3'!$B$10:$B$21,'Oferta Producto 3'!$E$10:$E$21))/SUMIF($A$7:$AC$128,$A78,$AB$6:$AB$127)*H$5,0)</f>
        <v>0</v>
      </c>
      <c r="I78" s="35">
        <f>IF(AND(COLUMN()&gt;=11,COLUMN()&lt;=20),(_xlfn.XLOOKUP($A78,'Oferta Producto 3'!$B$10:$B$21,'Oferta Producto 3'!$E$10:$E$21))/SUMIF($A$7:$AC$128,$A78,$AB$6:$AB$127)*I$5,0)</f>
        <v>0</v>
      </c>
      <c r="J78" s="35">
        <f>IF(AND(COLUMN()&gt;=11,COLUMN()&lt;=20),(_xlfn.XLOOKUP($A78,'Oferta Producto 3'!$B$10:$B$21,'Oferta Producto 3'!$E$10:$E$21))/SUMIF($A$7:$AC$128,$A78,$AB$6:$AB$127)*J$5,0)</f>
        <v>0</v>
      </c>
      <c r="K78" s="35">
        <f ca="1">IF(AND(COLUMN()&gt;=11,COLUMN()&lt;=20),(_xlfn.XLOOKUP($A78,'Oferta Producto 3'!$B$10:$B$21,'Oferta Producto 3'!$E$10:$E$21))/SUMIF($A$7:$AC$128,$A78,$AB$6:$AB$127)*K$5,0)</f>
        <v>0</v>
      </c>
      <c r="L78" s="35">
        <f ca="1">IF(AND(COLUMN()&gt;=11,COLUMN()&lt;=20),(_xlfn.XLOOKUP($A78,'Oferta Producto 3'!$B$10:$B$21,'Oferta Producto 3'!$E$10:$E$21))/SUMIF($A$7:$AC$128,$A78,$AB$6:$AB$127)*L$5,0)</f>
        <v>0</v>
      </c>
      <c r="M78" s="35">
        <f ca="1">IF(AND(COLUMN()&gt;=11,COLUMN()&lt;=20),(_xlfn.XLOOKUP($A78,'Oferta Producto 3'!$B$10:$B$21,'Oferta Producto 3'!$E$10:$E$21))/SUMIF($A$7:$AC$128,$A78,$AB$6:$AB$127)*M$5,0)</f>
        <v>0</v>
      </c>
      <c r="N78" s="35">
        <f ca="1">IF(AND(COLUMN()&gt;=11,COLUMN()&lt;=20),(_xlfn.XLOOKUP($A78,'Oferta Producto 3'!$B$10:$B$21,'Oferta Producto 3'!$E$10:$E$21))/SUMIF($A$7:$AC$128,$A78,$AB$6:$AB$127)*N$5,0)</f>
        <v>0</v>
      </c>
      <c r="O78" s="35">
        <f ca="1">IF(AND(COLUMN()&gt;=11,COLUMN()&lt;=20),(_xlfn.XLOOKUP($A78,'Oferta Producto 3'!$B$10:$B$21,'Oferta Producto 3'!$E$10:$E$21))/SUMIF($A$7:$AC$128,$A78,$AB$6:$AB$127)*O$5,0)</f>
        <v>0</v>
      </c>
      <c r="P78" s="35">
        <f ca="1">IF(AND(COLUMN()&gt;=11,COLUMN()&lt;=20),(_xlfn.XLOOKUP($A78,'Oferta Producto 3'!$B$10:$B$21,'Oferta Producto 3'!$E$10:$E$21))/SUMIF($A$7:$AC$128,$A78,$AB$6:$AB$127)*P$5,0)</f>
        <v>0</v>
      </c>
      <c r="Q78" s="35">
        <f ca="1">IF(AND(COLUMN()&gt;=11,COLUMN()&lt;=20),(_xlfn.XLOOKUP($A78,'Oferta Producto 3'!$B$10:$B$21,'Oferta Producto 3'!$E$10:$E$21))/SUMIF($A$7:$AC$128,$A78,$AB$6:$AB$127)*Q$5,0)</f>
        <v>0</v>
      </c>
      <c r="R78" s="35">
        <f ca="1">IF(AND(COLUMN()&gt;=11,COLUMN()&lt;=20),(_xlfn.XLOOKUP($A78,'Oferta Producto 3'!$B$10:$B$21,'Oferta Producto 3'!$E$10:$E$21))/SUMIF($A$7:$AC$128,$A78,$AB$6:$AB$127)*R$5,0)</f>
        <v>0</v>
      </c>
      <c r="S78" s="35">
        <f ca="1">IF(AND(COLUMN()&gt;=11,COLUMN()&lt;=20),(_xlfn.XLOOKUP($A78,'Oferta Producto 3'!$B$10:$B$21,'Oferta Producto 3'!$E$10:$E$21))/SUMIF($A$7:$AC$128,$A78,$AB$6:$AB$127)*S$5,0)</f>
        <v>0</v>
      </c>
      <c r="T78" s="35">
        <f ca="1">IF(AND(COLUMN()&gt;=11,COLUMN()&lt;=20),(_xlfn.XLOOKUP($A78,'Oferta Producto 3'!$B$10:$B$21,'Oferta Producto 3'!$E$10:$E$21))/SUMIF($A$7:$AC$128,$A78,$AB$6:$AB$127)*T$5,0)</f>
        <v>0</v>
      </c>
      <c r="U78" s="35">
        <f>IF(AND(COLUMN()&gt;=11,COLUMN()&lt;=20),(_xlfn.XLOOKUP($A78,'Oferta Producto 3'!$B$10:$B$21,'Oferta Producto 3'!$E$10:$E$21))/SUMIF($A$7:$AC$128,$A78,$AB$6:$AB$127)*U$5,0)</f>
        <v>0</v>
      </c>
      <c r="V78" s="35">
        <f>IF(AND(COLUMN()&gt;=11,COLUMN()&lt;=20),(_xlfn.XLOOKUP($A78,'Oferta Producto 3'!$B$10:$B$21,'Oferta Producto 3'!$E$10:$E$21))/SUMIF($A$7:$AC$128,$A78,$AB$6:$AB$127)*V$5,0)</f>
        <v>0</v>
      </c>
      <c r="W78" s="35">
        <f>IF(AND(COLUMN()&gt;=11,COLUMN()&lt;=20),(_xlfn.XLOOKUP($A78,'Oferta Producto 3'!$B$10:$B$21,'Oferta Producto 3'!$E$10:$E$21))/SUMIF($A$7:$AC$128,$A78,$AB$6:$AB$127)*W$5,0)</f>
        <v>0</v>
      </c>
      <c r="X78" s="35">
        <f>IF(AND(COLUMN()&gt;=11,COLUMN()&lt;=20),(_xlfn.XLOOKUP($A78,'Oferta Producto 3'!$B$10:$B$21,'Oferta Producto 3'!$E$10:$E$21))/SUMIF($A$7:$AC$128,$A78,$AB$6:$AB$127)*X$5,0)</f>
        <v>0</v>
      </c>
      <c r="Y78" s="35">
        <f>IF(AND(COLUMN()&gt;=11,COLUMN()&lt;=20),(_xlfn.XLOOKUP($A78,'Oferta Producto 3'!$B$10:$B$21,'Oferta Producto 3'!$E$10:$E$21))/SUMIF($A$7:$AC$128,$A78,$AB$6:$AB$127)*Y$5,0)</f>
        <v>0</v>
      </c>
      <c r="Z78" s="35">
        <f>IF(AND(COLUMN()&gt;=11,COLUMN()&lt;=20),(_xlfn.XLOOKUP($A78,'Oferta Producto 3'!$B$10:$B$21,'Oferta Producto 3'!$E$10:$E$21))/SUMIF($A$7:$AC$128,$A78,$AB$6:$AB$127)*Z$5,0)</f>
        <v>0</v>
      </c>
      <c r="AA78" s="35">
        <f t="shared" ca="1" si="8"/>
        <v>0</v>
      </c>
      <c r="AB78" s="28">
        <f t="shared" si="10"/>
        <v>30</v>
      </c>
      <c r="AC78" s="29">
        <f t="shared" ca="1" si="11"/>
        <v>0</v>
      </c>
      <c r="AD78" s="48">
        <f ca="1">'Curvas Prod 3'!AC78/SUMIF('Curvas Prod 3'!A76:AC221,'Curva de la oferta Prod 3'!$A78,'Curvas Prod 3'!AC76:AC221)</f>
        <v>0.24590163934426229</v>
      </c>
      <c r="AE78" s="45"/>
      <c r="AF78" s="49"/>
      <c r="AG78" s="49"/>
      <c r="AH78" s="49"/>
      <c r="AI78" s="49"/>
      <c r="AJ78" s="49"/>
      <c r="AK78" s="49"/>
    </row>
    <row r="79" spans="1:37" ht="15">
      <c r="A79" s="23">
        <f t="shared" si="9"/>
        <v>2031</v>
      </c>
      <c r="B79" s="27">
        <v>48183</v>
      </c>
      <c r="C79" s="35">
        <f>IF(AND(COLUMN()&gt;=11,COLUMN()&lt;=20),(_xlfn.XLOOKUP($A79,'Oferta Producto 3'!$B$10:$B$21,'Oferta Producto 3'!$E$10:$E$21))/SUMIF($A$7:$AC$128,$A79,$AB$6:$AB$127)*C$5,0)</f>
        <v>0</v>
      </c>
      <c r="D79" s="35">
        <f>IF(AND(COLUMN()&gt;=11,COLUMN()&lt;=20),(_xlfn.XLOOKUP($A79,'Oferta Producto 3'!$B$10:$B$21,'Oferta Producto 3'!$E$10:$E$21))/SUMIF($A$7:$AC$128,$A79,$AB$6:$AB$127)*D$5,0)</f>
        <v>0</v>
      </c>
      <c r="E79" s="35">
        <f>IF(AND(COLUMN()&gt;=11,COLUMN()&lt;=20),(_xlfn.XLOOKUP($A79,'Oferta Producto 3'!$B$10:$B$21,'Oferta Producto 3'!$E$10:$E$21))/SUMIF($A$7:$AC$128,$A79,$AB$6:$AB$127)*E$5,0)</f>
        <v>0</v>
      </c>
      <c r="F79" s="35">
        <f>IF(AND(COLUMN()&gt;=11,COLUMN()&lt;=20),(_xlfn.XLOOKUP($A79,'Oferta Producto 3'!$B$10:$B$21,'Oferta Producto 3'!$E$10:$E$21))/SUMIF($A$7:$AC$128,$A79,$AB$6:$AB$127)*F$5,0)</f>
        <v>0</v>
      </c>
      <c r="G79" s="35">
        <f>IF(AND(COLUMN()&gt;=11,COLUMN()&lt;=20),(_xlfn.XLOOKUP($A79,'Oferta Producto 3'!$B$10:$B$21,'Oferta Producto 3'!$E$10:$E$21))/SUMIF($A$7:$AC$128,$A79,$AB$6:$AB$127)*G$5,0)</f>
        <v>0</v>
      </c>
      <c r="H79" s="35">
        <f>IF(AND(COLUMN()&gt;=11,COLUMN()&lt;=20),(_xlfn.XLOOKUP($A79,'Oferta Producto 3'!$B$10:$B$21,'Oferta Producto 3'!$E$10:$E$21))/SUMIF($A$7:$AC$128,$A79,$AB$6:$AB$127)*H$5,0)</f>
        <v>0</v>
      </c>
      <c r="I79" s="35">
        <f>IF(AND(COLUMN()&gt;=11,COLUMN()&lt;=20),(_xlfn.XLOOKUP($A79,'Oferta Producto 3'!$B$10:$B$21,'Oferta Producto 3'!$E$10:$E$21))/SUMIF($A$7:$AC$128,$A79,$AB$6:$AB$127)*I$5,0)</f>
        <v>0</v>
      </c>
      <c r="J79" s="35">
        <f>IF(AND(COLUMN()&gt;=11,COLUMN()&lt;=20),(_xlfn.XLOOKUP($A79,'Oferta Producto 3'!$B$10:$B$21,'Oferta Producto 3'!$E$10:$E$21))/SUMIF($A$7:$AC$128,$A79,$AB$6:$AB$127)*J$5,0)</f>
        <v>0</v>
      </c>
      <c r="K79" s="35">
        <f ca="1">IF(AND(COLUMN()&gt;=11,COLUMN()&lt;=20),(_xlfn.XLOOKUP($A79,'Oferta Producto 3'!$B$10:$B$21,'Oferta Producto 3'!$E$10:$E$21))/SUMIF($A$7:$AC$128,$A79,$AB$6:$AB$127)*K$5,0)</f>
        <v>0</v>
      </c>
      <c r="L79" s="35">
        <f ca="1">IF(AND(COLUMN()&gt;=11,COLUMN()&lt;=20),(_xlfn.XLOOKUP($A79,'Oferta Producto 3'!$B$10:$B$21,'Oferta Producto 3'!$E$10:$E$21))/SUMIF($A$7:$AC$128,$A79,$AB$6:$AB$127)*L$5,0)</f>
        <v>0</v>
      </c>
      <c r="M79" s="35">
        <f ca="1">IF(AND(COLUMN()&gt;=11,COLUMN()&lt;=20),(_xlfn.XLOOKUP($A79,'Oferta Producto 3'!$B$10:$B$21,'Oferta Producto 3'!$E$10:$E$21))/SUMIF($A$7:$AC$128,$A79,$AB$6:$AB$127)*M$5,0)</f>
        <v>0</v>
      </c>
      <c r="N79" s="35">
        <f ca="1">IF(AND(COLUMN()&gt;=11,COLUMN()&lt;=20),(_xlfn.XLOOKUP($A79,'Oferta Producto 3'!$B$10:$B$21,'Oferta Producto 3'!$E$10:$E$21))/SUMIF($A$7:$AC$128,$A79,$AB$6:$AB$127)*N$5,0)</f>
        <v>0</v>
      </c>
      <c r="O79" s="35">
        <f ca="1">IF(AND(COLUMN()&gt;=11,COLUMN()&lt;=20),(_xlfn.XLOOKUP($A79,'Oferta Producto 3'!$B$10:$B$21,'Oferta Producto 3'!$E$10:$E$21))/SUMIF($A$7:$AC$128,$A79,$AB$6:$AB$127)*O$5,0)</f>
        <v>0</v>
      </c>
      <c r="P79" s="35">
        <f ca="1">IF(AND(COLUMN()&gt;=11,COLUMN()&lt;=20),(_xlfn.XLOOKUP($A79,'Oferta Producto 3'!$B$10:$B$21,'Oferta Producto 3'!$E$10:$E$21))/SUMIF($A$7:$AC$128,$A79,$AB$6:$AB$127)*P$5,0)</f>
        <v>0</v>
      </c>
      <c r="Q79" s="35">
        <f ca="1">IF(AND(COLUMN()&gt;=11,COLUMN()&lt;=20),(_xlfn.XLOOKUP($A79,'Oferta Producto 3'!$B$10:$B$21,'Oferta Producto 3'!$E$10:$E$21))/SUMIF($A$7:$AC$128,$A79,$AB$6:$AB$127)*Q$5,0)</f>
        <v>0</v>
      </c>
      <c r="R79" s="35">
        <f ca="1">IF(AND(COLUMN()&gt;=11,COLUMN()&lt;=20),(_xlfn.XLOOKUP($A79,'Oferta Producto 3'!$B$10:$B$21,'Oferta Producto 3'!$E$10:$E$21))/SUMIF($A$7:$AC$128,$A79,$AB$6:$AB$127)*R$5,0)</f>
        <v>0</v>
      </c>
      <c r="S79" s="35">
        <f ca="1">IF(AND(COLUMN()&gt;=11,COLUMN()&lt;=20),(_xlfn.XLOOKUP($A79,'Oferta Producto 3'!$B$10:$B$21,'Oferta Producto 3'!$E$10:$E$21))/SUMIF($A$7:$AC$128,$A79,$AB$6:$AB$127)*S$5,0)</f>
        <v>0</v>
      </c>
      <c r="T79" s="35">
        <f ca="1">IF(AND(COLUMN()&gt;=11,COLUMN()&lt;=20),(_xlfn.XLOOKUP($A79,'Oferta Producto 3'!$B$10:$B$21,'Oferta Producto 3'!$E$10:$E$21))/SUMIF($A$7:$AC$128,$A79,$AB$6:$AB$127)*T$5,0)</f>
        <v>0</v>
      </c>
      <c r="U79" s="35">
        <f>IF(AND(COLUMN()&gt;=11,COLUMN()&lt;=20),(_xlfn.XLOOKUP($A79,'Oferta Producto 3'!$B$10:$B$21,'Oferta Producto 3'!$E$10:$E$21))/SUMIF($A$7:$AC$128,$A79,$AB$6:$AB$127)*U$5,0)</f>
        <v>0</v>
      </c>
      <c r="V79" s="35">
        <f>IF(AND(COLUMN()&gt;=11,COLUMN()&lt;=20),(_xlfn.XLOOKUP($A79,'Oferta Producto 3'!$B$10:$B$21,'Oferta Producto 3'!$E$10:$E$21))/SUMIF($A$7:$AC$128,$A79,$AB$6:$AB$127)*V$5,0)</f>
        <v>0</v>
      </c>
      <c r="W79" s="35">
        <f>IF(AND(COLUMN()&gt;=11,COLUMN()&lt;=20),(_xlfn.XLOOKUP($A79,'Oferta Producto 3'!$B$10:$B$21,'Oferta Producto 3'!$E$10:$E$21))/SUMIF($A$7:$AC$128,$A79,$AB$6:$AB$127)*W$5,0)</f>
        <v>0</v>
      </c>
      <c r="X79" s="35">
        <f>IF(AND(COLUMN()&gt;=11,COLUMN()&lt;=20),(_xlfn.XLOOKUP($A79,'Oferta Producto 3'!$B$10:$B$21,'Oferta Producto 3'!$E$10:$E$21))/SUMIF($A$7:$AC$128,$A79,$AB$6:$AB$127)*X$5,0)</f>
        <v>0</v>
      </c>
      <c r="Y79" s="35">
        <f>IF(AND(COLUMN()&gt;=11,COLUMN()&lt;=20),(_xlfn.XLOOKUP($A79,'Oferta Producto 3'!$B$10:$B$21,'Oferta Producto 3'!$E$10:$E$21))/SUMIF($A$7:$AC$128,$A79,$AB$6:$AB$127)*Y$5,0)</f>
        <v>0</v>
      </c>
      <c r="Z79" s="35">
        <f>IF(AND(COLUMN()&gt;=11,COLUMN()&lt;=20),(_xlfn.XLOOKUP($A79,'Oferta Producto 3'!$B$10:$B$21,'Oferta Producto 3'!$E$10:$E$21))/SUMIF($A$7:$AC$128,$A79,$AB$6:$AB$127)*Z$5,0)</f>
        <v>0</v>
      </c>
      <c r="AA79" s="35">
        <f t="shared" ca="1" si="8"/>
        <v>0</v>
      </c>
      <c r="AB79" s="28">
        <f t="shared" si="10"/>
        <v>31</v>
      </c>
      <c r="AC79" s="29">
        <f t="shared" ca="1" si="11"/>
        <v>0</v>
      </c>
      <c r="AD79" s="48">
        <f ca="1">'Curvas Prod 3'!AC79/SUMIF('Curvas Prod 3'!A77:AC222,'Curva de la oferta Prod 3'!$A79,'Curvas Prod 3'!AC77:AC222)</f>
        <v>0.33695652173913043</v>
      </c>
      <c r="AE79" s="45"/>
      <c r="AF79" s="49"/>
      <c r="AG79" s="49"/>
      <c r="AH79" s="49"/>
      <c r="AI79" s="49"/>
      <c r="AJ79" s="49"/>
      <c r="AK79" s="49"/>
    </row>
    <row r="80" spans="1:37" ht="15">
      <c r="A80" s="23">
        <f t="shared" si="9"/>
        <v>2032</v>
      </c>
      <c r="B80" s="27">
        <v>48214</v>
      </c>
      <c r="C80" s="35">
        <f>IF(AND(COLUMN()&gt;=11,COLUMN()&lt;=20),(_xlfn.XLOOKUP($A80,'Oferta Producto 3'!$B$10:$B$21,'Oferta Producto 3'!$E$10:$E$21))/SUMIF($A$7:$AC$128,$A80,$AB$6:$AB$127)*C$5,0)</f>
        <v>0</v>
      </c>
      <c r="D80" s="35">
        <f>IF(AND(COLUMN()&gt;=11,COLUMN()&lt;=20),(_xlfn.XLOOKUP($A80,'Oferta Producto 3'!$B$10:$B$21,'Oferta Producto 3'!$E$10:$E$21))/SUMIF($A$7:$AC$128,$A80,$AB$6:$AB$127)*D$5,0)</f>
        <v>0</v>
      </c>
      <c r="E80" s="35">
        <f>IF(AND(COLUMN()&gt;=11,COLUMN()&lt;=20),(_xlfn.XLOOKUP($A80,'Oferta Producto 3'!$B$10:$B$21,'Oferta Producto 3'!$E$10:$E$21))/SUMIF($A$7:$AC$128,$A80,$AB$6:$AB$127)*E$5,0)</f>
        <v>0</v>
      </c>
      <c r="F80" s="35">
        <f>IF(AND(COLUMN()&gt;=11,COLUMN()&lt;=20),(_xlfn.XLOOKUP($A80,'Oferta Producto 3'!$B$10:$B$21,'Oferta Producto 3'!$E$10:$E$21))/SUMIF($A$7:$AC$128,$A80,$AB$6:$AB$127)*F$5,0)</f>
        <v>0</v>
      </c>
      <c r="G80" s="35">
        <f>IF(AND(COLUMN()&gt;=11,COLUMN()&lt;=20),(_xlfn.XLOOKUP($A80,'Oferta Producto 3'!$B$10:$B$21,'Oferta Producto 3'!$E$10:$E$21))/SUMIF($A$7:$AC$128,$A80,$AB$6:$AB$127)*G$5,0)</f>
        <v>0</v>
      </c>
      <c r="H80" s="35">
        <f>IF(AND(COLUMN()&gt;=11,COLUMN()&lt;=20),(_xlfn.XLOOKUP($A80,'Oferta Producto 3'!$B$10:$B$21,'Oferta Producto 3'!$E$10:$E$21))/SUMIF($A$7:$AC$128,$A80,$AB$6:$AB$127)*H$5,0)</f>
        <v>0</v>
      </c>
      <c r="I80" s="35">
        <f>IF(AND(COLUMN()&gt;=11,COLUMN()&lt;=20),(_xlfn.XLOOKUP($A80,'Oferta Producto 3'!$B$10:$B$21,'Oferta Producto 3'!$E$10:$E$21))/SUMIF($A$7:$AC$128,$A80,$AB$6:$AB$127)*I$5,0)</f>
        <v>0</v>
      </c>
      <c r="J80" s="35">
        <f>IF(AND(COLUMN()&gt;=11,COLUMN()&lt;=20),(_xlfn.XLOOKUP($A80,'Oferta Producto 3'!$B$10:$B$21,'Oferta Producto 3'!$E$10:$E$21))/SUMIF($A$7:$AC$128,$A80,$AB$6:$AB$127)*J$5,0)</f>
        <v>0</v>
      </c>
      <c r="K80" s="35">
        <f ca="1">IF(AND(COLUMN()&gt;=11,COLUMN()&lt;=20),(_xlfn.XLOOKUP($A80,'Oferta Producto 3'!$B$10:$B$21,'Oferta Producto 3'!$E$10:$E$21))/SUMIF($A$7:$AC$128,$A80,$AB$6:$AB$127)*K$5,0)</f>
        <v>0</v>
      </c>
      <c r="L80" s="35">
        <f ca="1">IF(AND(COLUMN()&gt;=11,COLUMN()&lt;=20),(_xlfn.XLOOKUP($A80,'Oferta Producto 3'!$B$10:$B$21,'Oferta Producto 3'!$E$10:$E$21))/SUMIF($A$7:$AC$128,$A80,$AB$6:$AB$127)*L$5,0)</f>
        <v>0</v>
      </c>
      <c r="M80" s="35">
        <f ca="1">IF(AND(COLUMN()&gt;=11,COLUMN()&lt;=20),(_xlfn.XLOOKUP($A80,'Oferta Producto 3'!$B$10:$B$21,'Oferta Producto 3'!$E$10:$E$21))/SUMIF($A$7:$AC$128,$A80,$AB$6:$AB$127)*M$5,0)</f>
        <v>0</v>
      </c>
      <c r="N80" s="35">
        <f ca="1">IF(AND(COLUMN()&gt;=11,COLUMN()&lt;=20),(_xlfn.XLOOKUP($A80,'Oferta Producto 3'!$B$10:$B$21,'Oferta Producto 3'!$E$10:$E$21))/SUMIF($A$7:$AC$128,$A80,$AB$6:$AB$127)*N$5,0)</f>
        <v>0</v>
      </c>
      <c r="O80" s="35">
        <f ca="1">IF(AND(COLUMN()&gt;=11,COLUMN()&lt;=20),(_xlfn.XLOOKUP($A80,'Oferta Producto 3'!$B$10:$B$21,'Oferta Producto 3'!$E$10:$E$21))/SUMIF($A$7:$AC$128,$A80,$AB$6:$AB$127)*O$5,0)</f>
        <v>0</v>
      </c>
      <c r="P80" s="35">
        <f ca="1">IF(AND(COLUMN()&gt;=11,COLUMN()&lt;=20),(_xlfn.XLOOKUP($A80,'Oferta Producto 3'!$B$10:$B$21,'Oferta Producto 3'!$E$10:$E$21))/SUMIF($A$7:$AC$128,$A80,$AB$6:$AB$127)*P$5,0)</f>
        <v>0</v>
      </c>
      <c r="Q80" s="35">
        <f ca="1">IF(AND(COLUMN()&gt;=11,COLUMN()&lt;=20),(_xlfn.XLOOKUP($A80,'Oferta Producto 3'!$B$10:$B$21,'Oferta Producto 3'!$E$10:$E$21))/SUMIF($A$7:$AC$128,$A80,$AB$6:$AB$127)*Q$5,0)</f>
        <v>0</v>
      </c>
      <c r="R80" s="35">
        <f ca="1">IF(AND(COLUMN()&gt;=11,COLUMN()&lt;=20),(_xlfn.XLOOKUP($A80,'Oferta Producto 3'!$B$10:$B$21,'Oferta Producto 3'!$E$10:$E$21))/SUMIF($A$7:$AC$128,$A80,$AB$6:$AB$127)*R$5,0)</f>
        <v>0</v>
      </c>
      <c r="S80" s="35">
        <f ca="1">IF(AND(COLUMN()&gt;=11,COLUMN()&lt;=20),(_xlfn.XLOOKUP($A80,'Oferta Producto 3'!$B$10:$B$21,'Oferta Producto 3'!$E$10:$E$21))/SUMIF($A$7:$AC$128,$A80,$AB$6:$AB$127)*S$5,0)</f>
        <v>0</v>
      </c>
      <c r="T80" s="35">
        <f ca="1">IF(AND(COLUMN()&gt;=11,COLUMN()&lt;=20),(_xlfn.XLOOKUP($A80,'Oferta Producto 3'!$B$10:$B$21,'Oferta Producto 3'!$E$10:$E$21))/SUMIF($A$7:$AC$128,$A80,$AB$6:$AB$127)*T$5,0)</f>
        <v>0</v>
      </c>
      <c r="U80" s="35">
        <f>IF(AND(COLUMN()&gt;=11,COLUMN()&lt;=20),(_xlfn.XLOOKUP($A80,'Oferta Producto 3'!$B$10:$B$21,'Oferta Producto 3'!$E$10:$E$21))/SUMIF($A$7:$AC$128,$A80,$AB$6:$AB$127)*U$5,0)</f>
        <v>0</v>
      </c>
      <c r="V80" s="35">
        <f>IF(AND(COLUMN()&gt;=11,COLUMN()&lt;=20),(_xlfn.XLOOKUP($A80,'Oferta Producto 3'!$B$10:$B$21,'Oferta Producto 3'!$E$10:$E$21))/SUMIF($A$7:$AC$128,$A80,$AB$6:$AB$127)*V$5,0)</f>
        <v>0</v>
      </c>
      <c r="W80" s="35">
        <f>IF(AND(COLUMN()&gt;=11,COLUMN()&lt;=20),(_xlfn.XLOOKUP($A80,'Oferta Producto 3'!$B$10:$B$21,'Oferta Producto 3'!$E$10:$E$21))/SUMIF($A$7:$AC$128,$A80,$AB$6:$AB$127)*W$5,0)</f>
        <v>0</v>
      </c>
      <c r="X80" s="35">
        <f>IF(AND(COLUMN()&gt;=11,COLUMN()&lt;=20),(_xlfn.XLOOKUP($A80,'Oferta Producto 3'!$B$10:$B$21,'Oferta Producto 3'!$E$10:$E$21))/SUMIF($A$7:$AC$128,$A80,$AB$6:$AB$127)*X$5,0)</f>
        <v>0</v>
      </c>
      <c r="Y80" s="35">
        <f>IF(AND(COLUMN()&gt;=11,COLUMN()&lt;=20),(_xlfn.XLOOKUP($A80,'Oferta Producto 3'!$B$10:$B$21,'Oferta Producto 3'!$E$10:$E$21))/SUMIF($A$7:$AC$128,$A80,$AB$6:$AB$127)*Y$5,0)</f>
        <v>0</v>
      </c>
      <c r="Z80" s="35">
        <f>IF(AND(COLUMN()&gt;=11,COLUMN()&lt;=20),(_xlfn.XLOOKUP($A80,'Oferta Producto 3'!$B$10:$B$21,'Oferta Producto 3'!$E$10:$E$21))/SUMIF($A$7:$AC$128,$A80,$AB$6:$AB$127)*Z$5,0)</f>
        <v>0</v>
      </c>
      <c r="AA80" s="35">
        <f t="shared" ref="AA80:AA91" ca="1" si="12">SUM(C80:Z80)</f>
        <v>0</v>
      </c>
      <c r="AB80" s="28">
        <f t="shared" si="10"/>
        <v>31</v>
      </c>
      <c r="AC80" s="29">
        <f t="shared" ca="1" si="11"/>
        <v>0</v>
      </c>
      <c r="AD80" s="48">
        <f ca="1">'Curvas Prod 3'!AC80/SUMIF('Curvas Prod 3'!A78:AC223,'Curva de la oferta Prod 3'!$A80,'Curvas Prod 3'!AC78:AC223)</f>
        <v>8.4699453551912565E-2</v>
      </c>
      <c r="AE80" s="45"/>
      <c r="AF80" s="49"/>
      <c r="AG80" s="49"/>
      <c r="AH80" s="49"/>
      <c r="AI80" s="49"/>
      <c r="AJ80" s="49"/>
      <c r="AK80" s="49"/>
    </row>
    <row r="81" spans="1:37" ht="15">
      <c r="A81" s="23">
        <f t="shared" si="9"/>
        <v>2032</v>
      </c>
      <c r="B81" s="27">
        <v>48245</v>
      </c>
      <c r="C81" s="35">
        <f>IF(AND(COLUMN()&gt;=11,COLUMN()&lt;=20),(_xlfn.XLOOKUP($A81,'Oferta Producto 3'!$B$10:$B$21,'Oferta Producto 3'!$E$10:$E$21))/SUMIF($A$7:$AC$128,$A81,$AB$6:$AB$127)*C$5,0)</f>
        <v>0</v>
      </c>
      <c r="D81" s="35">
        <f>IF(AND(COLUMN()&gt;=11,COLUMN()&lt;=20),(_xlfn.XLOOKUP($A81,'Oferta Producto 3'!$B$10:$B$21,'Oferta Producto 3'!$E$10:$E$21))/SUMIF($A$7:$AC$128,$A81,$AB$6:$AB$127)*D$5,0)</f>
        <v>0</v>
      </c>
      <c r="E81" s="35">
        <f>IF(AND(COLUMN()&gt;=11,COLUMN()&lt;=20),(_xlfn.XLOOKUP($A81,'Oferta Producto 3'!$B$10:$B$21,'Oferta Producto 3'!$E$10:$E$21))/SUMIF($A$7:$AC$128,$A81,$AB$6:$AB$127)*E$5,0)</f>
        <v>0</v>
      </c>
      <c r="F81" s="35">
        <f>IF(AND(COLUMN()&gt;=11,COLUMN()&lt;=20),(_xlfn.XLOOKUP($A81,'Oferta Producto 3'!$B$10:$B$21,'Oferta Producto 3'!$E$10:$E$21))/SUMIF($A$7:$AC$128,$A81,$AB$6:$AB$127)*F$5,0)</f>
        <v>0</v>
      </c>
      <c r="G81" s="35">
        <f>IF(AND(COLUMN()&gt;=11,COLUMN()&lt;=20),(_xlfn.XLOOKUP($A81,'Oferta Producto 3'!$B$10:$B$21,'Oferta Producto 3'!$E$10:$E$21))/SUMIF($A$7:$AC$128,$A81,$AB$6:$AB$127)*G$5,0)</f>
        <v>0</v>
      </c>
      <c r="H81" s="35">
        <f>IF(AND(COLUMN()&gt;=11,COLUMN()&lt;=20),(_xlfn.XLOOKUP($A81,'Oferta Producto 3'!$B$10:$B$21,'Oferta Producto 3'!$E$10:$E$21))/SUMIF($A$7:$AC$128,$A81,$AB$6:$AB$127)*H$5,0)</f>
        <v>0</v>
      </c>
      <c r="I81" s="35">
        <f>IF(AND(COLUMN()&gt;=11,COLUMN()&lt;=20),(_xlfn.XLOOKUP($A81,'Oferta Producto 3'!$B$10:$B$21,'Oferta Producto 3'!$E$10:$E$21))/SUMIF($A$7:$AC$128,$A81,$AB$6:$AB$127)*I$5,0)</f>
        <v>0</v>
      </c>
      <c r="J81" s="35">
        <f>IF(AND(COLUMN()&gt;=11,COLUMN()&lt;=20),(_xlfn.XLOOKUP($A81,'Oferta Producto 3'!$B$10:$B$21,'Oferta Producto 3'!$E$10:$E$21))/SUMIF($A$7:$AC$128,$A81,$AB$6:$AB$127)*J$5,0)</f>
        <v>0</v>
      </c>
      <c r="K81" s="35">
        <f ca="1">IF(AND(COLUMN()&gt;=11,COLUMN()&lt;=20),(_xlfn.XLOOKUP($A81,'Oferta Producto 3'!$B$10:$B$21,'Oferta Producto 3'!$E$10:$E$21))/SUMIF($A$7:$AC$128,$A81,$AB$6:$AB$127)*K$5,0)</f>
        <v>0</v>
      </c>
      <c r="L81" s="35">
        <f ca="1">IF(AND(COLUMN()&gt;=11,COLUMN()&lt;=20),(_xlfn.XLOOKUP($A81,'Oferta Producto 3'!$B$10:$B$21,'Oferta Producto 3'!$E$10:$E$21))/SUMIF($A$7:$AC$128,$A81,$AB$6:$AB$127)*L$5,0)</f>
        <v>0</v>
      </c>
      <c r="M81" s="35">
        <f ca="1">IF(AND(COLUMN()&gt;=11,COLUMN()&lt;=20),(_xlfn.XLOOKUP($A81,'Oferta Producto 3'!$B$10:$B$21,'Oferta Producto 3'!$E$10:$E$21))/SUMIF($A$7:$AC$128,$A81,$AB$6:$AB$127)*M$5,0)</f>
        <v>0</v>
      </c>
      <c r="N81" s="35">
        <f ca="1">IF(AND(COLUMN()&gt;=11,COLUMN()&lt;=20),(_xlfn.XLOOKUP($A81,'Oferta Producto 3'!$B$10:$B$21,'Oferta Producto 3'!$E$10:$E$21))/SUMIF($A$7:$AC$128,$A81,$AB$6:$AB$127)*N$5,0)</f>
        <v>0</v>
      </c>
      <c r="O81" s="35">
        <f ca="1">IF(AND(COLUMN()&gt;=11,COLUMN()&lt;=20),(_xlfn.XLOOKUP($A81,'Oferta Producto 3'!$B$10:$B$21,'Oferta Producto 3'!$E$10:$E$21))/SUMIF($A$7:$AC$128,$A81,$AB$6:$AB$127)*O$5,0)</f>
        <v>0</v>
      </c>
      <c r="P81" s="35">
        <f ca="1">IF(AND(COLUMN()&gt;=11,COLUMN()&lt;=20),(_xlfn.XLOOKUP($A81,'Oferta Producto 3'!$B$10:$B$21,'Oferta Producto 3'!$E$10:$E$21))/SUMIF($A$7:$AC$128,$A81,$AB$6:$AB$127)*P$5,0)</f>
        <v>0</v>
      </c>
      <c r="Q81" s="35">
        <f ca="1">IF(AND(COLUMN()&gt;=11,COLUMN()&lt;=20),(_xlfn.XLOOKUP($A81,'Oferta Producto 3'!$B$10:$B$21,'Oferta Producto 3'!$E$10:$E$21))/SUMIF($A$7:$AC$128,$A81,$AB$6:$AB$127)*Q$5,0)</f>
        <v>0</v>
      </c>
      <c r="R81" s="35">
        <f ca="1">IF(AND(COLUMN()&gt;=11,COLUMN()&lt;=20),(_xlfn.XLOOKUP($A81,'Oferta Producto 3'!$B$10:$B$21,'Oferta Producto 3'!$E$10:$E$21))/SUMIF($A$7:$AC$128,$A81,$AB$6:$AB$127)*R$5,0)</f>
        <v>0</v>
      </c>
      <c r="S81" s="35">
        <f ca="1">IF(AND(COLUMN()&gt;=11,COLUMN()&lt;=20),(_xlfn.XLOOKUP($A81,'Oferta Producto 3'!$B$10:$B$21,'Oferta Producto 3'!$E$10:$E$21))/SUMIF($A$7:$AC$128,$A81,$AB$6:$AB$127)*S$5,0)</f>
        <v>0</v>
      </c>
      <c r="T81" s="35">
        <f ca="1">IF(AND(COLUMN()&gt;=11,COLUMN()&lt;=20),(_xlfn.XLOOKUP($A81,'Oferta Producto 3'!$B$10:$B$21,'Oferta Producto 3'!$E$10:$E$21))/SUMIF($A$7:$AC$128,$A81,$AB$6:$AB$127)*T$5,0)</f>
        <v>0</v>
      </c>
      <c r="U81" s="35">
        <f>IF(AND(COLUMN()&gt;=11,COLUMN()&lt;=20),(_xlfn.XLOOKUP($A81,'Oferta Producto 3'!$B$10:$B$21,'Oferta Producto 3'!$E$10:$E$21))/SUMIF($A$7:$AC$128,$A81,$AB$6:$AB$127)*U$5,0)</f>
        <v>0</v>
      </c>
      <c r="V81" s="35">
        <f>IF(AND(COLUMN()&gt;=11,COLUMN()&lt;=20),(_xlfn.XLOOKUP($A81,'Oferta Producto 3'!$B$10:$B$21,'Oferta Producto 3'!$E$10:$E$21))/SUMIF($A$7:$AC$128,$A81,$AB$6:$AB$127)*V$5,0)</f>
        <v>0</v>
      </c>
      <c r="W81" s="35">
        <f>IF(AND(COLUMN()&gt;=11,COLUMN()&lt;=20),(_xlfn.XLOOKUP($A81,'Oferta Producto 3'!$B$10:$B$21,'Oferta Producto 3'!$E$10:$E$21))/SUMIF($A$7:$AC$128,$A81,$AB$6:$AB$127)*W$5,0)</f>
        <v>0</v>
      </c>
      <c r="X81" s="35">
        <f>IF(AND(COLUMN()&gt;=11,COLUMN()&lt;=20),(_xlfn.XLOOKUP($A81,'Oferta Producto 3'!$B$10:$B$21,'Oferta Producto 3'!$E$10:$E$21))/SUMIF($A$7:$AC$128,$A81,$AB$6:$AB$127)*X$5,0)</f>
        <v>0</v>
      </c>
      <c r="Y81" s="35">
        <f>IF(AND(COLUMN()&gt;=11,COLUMN()&lt;=20),(_xlfn.XLOOKUP($A81,'Oferta Producto 3'!$B$10:$B$21,'Oferta Producto 3'!$E$10:$E$21))/SUMIF($A$7:$AC$128,$A81,$AB$6:$AB$127)*Y$5,0)</f>
        <v>0</v>
      </c>
      <c r="Z81" s="35">
        <f>IF(AND(COLUMN()&gt;=11,COLUMN()&lt;=20),(_xlfn.XLOOKUP($A81,'Oferta Producto 3'!$B$10:$B$21,'Oferta Producto 3'!$E$10:$E$21))/SUMIF($A$7:$AC$128,$A81,$AB$6:$AB$127)*Z$5,0)</f>
        <v>0</v>
      </c>
      <c r="AA81" s="35">
        <f t="shared" ca="1" si="12"/>
        <v>0</v>
      </c>
      <c r="AB81" s="28">
        <f t="shared" si="10"/>
        <v>29</v>
      </c>
      <c r="AC81" s="29">
        <f t="shared" ca="1" si="11"/>
        <v>0</v>
      </c>
      <c r="AD81" s="48">
        <f ca="1">'Curvas Prod 3'!AC81/SUMIF('Curvas Prod 3'!A79:AC224,'Curva de la oferta Prod 3'!$A81,'Curvas Prod 3'!AC79:AC224)</f>
        <v>7.9234972677595633E-2</v>
      </c>
      <c r="AE81" s="45"/>
      <c r="AF81" s="49"/>
      <c r="AG81" s="49"/>
      <c r="AH81" s="49"/>
      <c r="AI81" s="49"/>
      <c r="AJ81" s="49"/>
      <c r="AK81" s="49"/>
    </row>
    <row r="82" spans="1:37" ht="15">
      <c r="A82" s="23">
        <f t="shared" si="9"/>
        <v>2032</v>
      </c>
      <c r="B82" s="27">
        <v>48274</v>
      </c>
      <c r="C82" s="35">
        <f>IF(AND(COLUMN()&gt;=11,COLUMN()&lt;=20),(_xlfn.XLOOKUP($A82,'Oferta Producto 3'!$B$10:$B$21,'Oferta Producto 3'!$E$10:$E$21))/SUMIF($A$7:$AC$128,$A82,$AB$6:$AB$127)*C$5,0)</f>
        <v>0</v>
      </c>
      <c r="D82" s="35">
        <f>IF(AND(COLUMN()&gt;=11,COLUMN()&lt;=20),(_xlfn.XLOOKUP($A82,'Oferta Producto 3'!$B$10:$B$21,'Oferta Producto 3'!$E$10:$E$21))/SUMIF($A$7:$AC$128,$A82,$AB$6:$AB$127)*D$5,0)</f>
        <v>0</v>
      </c>
      <c r="E82" s="35">
        <f>IF(AND(COLUMN()&gt;=11,COLUMN()&lt;=20),(_xlfn.XLOOKUP($A82,'Oferta Producto 3'!$B$10:$B$21,'Oferta Producto 3'!$E$10:$E$21))/SUMIF($A$7:$AC$128,$A82,$AB$6:$AB$127)*E$5,0)</f>
        <v>0</v>
      </c>
      <c r="F82" s="35">
        <f>IF(AND(COLUMN()&gt;=11,COLUMN()&lt;=20),(_xlfn.XLOOKUP($A82,'Oferta Producto 3'!$B$10:$B$21,'Oferta Producto 3'!$E$10:$E$21))/SUMIF($A$7:$AC$128,$A82,$AB$6:$AB$127)*F$5,0)</f>
        <v>0</v>
      </c>
      <c r="G82" s="35">
        <f>IF(AND(COLUMN()&gt;=11,COLUMN()&lt;=20),(_xlfn.XLOOKUP($A82,'Oferta Producto 3'!$B$10:$B$21,'Oferta Producto 3'!$E$10:$E$21))/SUMIF($A$7:$AC$128,$A82,$AB$6:$AB$127)*G$5,0)</f>
        <v>0</v>
      </c>
      <c r="H82" s="35">
        <f>IF(AND(COLUMN()&gt;=11,COLUMN()&lt;=20),(_xlfn.XLOOKUP($A82,'Oferta Producto 3'!$B$10:$B$21,'Oferta Producto 3'!$E$10:$E$21))/SUMIF($A$7:$AC$128,$A82,$AB$6:$AB$127)*H$5,0)</f>
        <v>0</v>
      </c>
      <c r="I82" s="35">
        <f>IF(AND(COLUMN()&gt;=11,COLUMN()&lt;=20),(_xlfn.XLOOKUP($A82,'Oferta Producto 3'!$B$10:$B$21,'Oferta Producto 3'!$E$10:$E$21))/SUMIF($A$7:$AC$128,$A82,$AB$6:$AB$127)*I$5,0)</f>
        <v>0</v>
      </c>
      <c r="J82" s="35">
        <f>IF(AND(COLUMN()&gt;=11,COLUMN()&lt;=20),(_xlfn.XLOOKUP($A82,'Oferta Producto 3'!$B$10:$B$21,'Oferta Producto 3'!$E$10:$E$21))/SUMIF($A$7:$AC$128,$A82,$AB$6:$AB$127)*J$5,0)</f>
        <v>0</v>
      </c>
      <c r="K82" s="35">
        <f ca="1">IF(AND(COLUMN()&gt;=11,COLUMN()&lt;=20),(_xlfn.XLOOKUP($A82,'Oferta Producto 3'!$B$10:$B$21,'Oferta Producto 3'!$E$10:$E$21))/SUMIF($A$7:$AC$128,$A82,$AB$6:$AB$127)*K$5,0)</f>
        <v>0</v>
      </c>
      <c r="L82" s="35">
        <f ca="1">IF(AND(COLUMN()&gt;=11,COLUMN()&lt;=20),(_xlfn.XLOOKUP($A82,'Oferta Producto 3'!$B$10:$B$21,'Oferta Producto 3'!$E$10:$E$21))/SUMIF($A$7:$AC$128,$A82,$AB$6:$AB$127)*L$5,0)</f>
        <v>0</v>
      </c>
      <c r="M82" s="35">
        <f ca="1">IF(AND(COLUMN()&gt;=11,COLUMN()&lt;=20),(_xlfn.XLOOKUP($A82,'Oferta Producto 3'!$B$10:$B$21,'Oferta Producto 3'!$E$10:$E$21))/SUMIF($A$7:$AC$128,$A82,$AB$6:$AB$127)*M$5,0)</f>
        <v>0</v>
      </c>
      <c r="N82" s="35">
        <f ca="1">IF(AND(COLUMN()&gt;=11,COLUMN()&lt;=20),(_xlfn.XLOOKUP($A82,'Oferta Producto 3'!$B$10:$B$21,'Oferta Producto 3'!$E$10:$E$21))/SUMIF($A$7:$AC$128,$A82,$AB$6:$AB$127)*N$5,0)</f>
        <v>0</v>
      </c>
      <c r="O82" s="35">
        <f ca="1">IF(AND(COLUMN()&gt;=11,COLUMN()&lt;=20),(_xlfn.XLOOKUP($A82,'Oferta Producto 3'!$B$10:$B$21,'Oferta Producto 3'!$E$10:$E$21))/SUMIF($A$7:$AC$128,$A82,$AB$6:$AB$127)*O$5,0)</f>
        <v>0</v>
      </c>
      <c r="P82" s="35">
        <f ca="1">IF(AND(COLUMN()&gt;=11,COLUMN()&lt;=20),(_xlfn.XLOOKUP($A82,'Oferta Producto 3'!$B$10:$B$21,'Oferta Producto 3'!$E$10:$E$21))/SUMIF($A$7:$AC$128,$A82,$AB$6:$AB$127)*P$5,0)</f>
        <v>0</v>
      </c>
      <c r="Q82" s="35">
        <f ca="1">IF(AND(COLUMN()&gt;=11,COLUMN()&lt;=20),(_xlfn.XLOOKUP($A82,'Oferta Producto 3'!$B$10:$B$21,'Oferta Producto 3'!$E$10:$E$21))/SUMIF($A$7:$AC$128,$A82,$AB$6:$AB$127)*Q$5,0)</f>
        <v>0</v>
      </c>
      <c r="R82" s="35">
        <f ca="1">IF(AND(COLUMN()&gt;=11,COLUMN()&lt;=20),(_xlfn.XLOOKUP($A82,'Oferta Producto 3'!$B$10:$B$21,'Oferta Producto 3'!$E$10:$E$21))/SUMIF($A$7:$AC$128,$A82,$AB$6:$AB$127)*R$5,0)</f>
        <v>0</v>
      </c>
      <c r="S82" s="35">
        <f ca="1">IF(AND(COLUMN()&gt;=11,COLUMN()&lt;=20),(_xlfn.XLOOKUP($A82,'Oferta Producto 3'!$B$10:$B$21,'Oferta Producto 3'!$E$10:$E$21))/SUMIF($A$7:$AC$128,$A82,$AB$6:$AB$127)*S$5,0)</f>
        <v>0</v>
      </c>
      <c r="T82" s="35">
        <f ca="1">IF(AND(COLUMN()&gt;=11,COLUMN()&lt;=20),(_xlfn.XLOOKUP($A82,'Oferta Producto 3'!$B$10:$B$21,'Oferta Producto 3'!$E$10:$E$21))/SUMIF($A$7:$AC$128,$A82,$AB$6:$AB$127)*T$5,0)</f>
        <v>0</v>
      </c>
      <c r="U82" s="35">
        <f>IF(AND(COLUMN()&gt;=11,COLUMN()&lt;=20),(_xlfn.XLOOKUP($A82,'Oferta Producto 3'!$B$10:$B$21,'Oferta Producto 3'!$E$10:$E$21))/SUMIF($A$7:$AC$128,$A82,$AB$6:$AB$127)*U$5,0)</f>
        <v>0</v>
      </c>
      <c r="V82" s="35">
        <f>IF(AND(COLUMN()&gt;=11,COLUMN()&lt;=20),(_xlfn.XLOOKUP($A82,'Oferta Producto 3'!$B$10:$B$21,'Oferta Producto 3'!$E$10:$E$21))/SUMIF($A$7:$AC$128,$A82,$AB$6:$AB$127)*V$5,0)</f>
        <v>0</v>
      </c>
      <c r="W82" s="35">
        <f>IF(AND(COLUMN()&gt;=11,COLUMN()&lt;=20),(_xlfn.XLOOKUP($A82,'Oferta Producto 3'!$B$10:$B$21,'Oferta Producto 3'!$E$10:$E$21))/SUMIF($A$7:$AC$128,$A82,$AB$6:$AB$127)*W$5,0)</f>
        <v>0</v>
      </c>
      <c r="X82" s="35">
        <f>IF(AND(COLUMN()&gt;=11,COLUMN()&lt;=20),(_xlfn.XLOOKUP($A82,'Oferta Producto 3'!$B$10:$B$21,'Oferta Producto 3'!$E$10:$E$21))/SUMIF($A$7:$AC$128,$A82,$AB$6:$AB$127)*X$5,0)</f>
        <v>0</v>
      </c>
      <c r="Y82" s="35">
        <f>IF(AND(COLUMN()&gt;=11,COLUMN()&lt;=20),(_xlfn.XLOOKUP($A82,'Oferta Producto 3'!$B$10:$B$21,'Oferta Producto 3'!$E$10:$E$21))/SUMIF($A$7:$AC$128,$A82,$AB$6:$AB$127)*Y$5,0)</f>
        <v>0</v>
      </c>
      <c r="Z82" s="35">
        <f>IF(AND(COLUMN()&gt;=11,COLUMN()&lt;=20),(_xlfn.XLOOKUP($A82,'Oferta Producto 3'!$B$10:$B$21,'Oferta Producto 3'!$E$10:$E$21))/SUMIF($A$7:$AC$128,$A82,$AB$6:$AB$127)*Z$5,0)</f>
        <v>0</v>
      </c>
      <c r="AA82" s="35">
        <f t="shared" ca="1" si="12"/>
        <v>0</v>
      </c>
      <c r="AB82" s="28">
        <f t="shared" si="10"/>
        <v>31</v>
      </c>
      <c r="AC82" s="29">
        <f t="shared" ca="1" si="11"/>
        <v>0</v>
      </c>
      <c r="AD82" s="48">
        <f ca="1">'Curvas Prod 3'!AC82/SUMIF('Curvas Prod 3'!A80:AC225,'Curva de la oferta Prod 3'!$A82,'Curvas Prod 3'!AC80:AC225)</f>
        <v>8.4699453551912565E-2</v>
      </c>
      <c r="AE82" s="45"/>
      <c r="AF82" s="49"/>
      <c r="AG82" s="49"/>
      <c r="AH82" s="49"/>
      <c r="AI82" s="49"/>
      <c r="AJ82" s="49"/>
      <c r="AK82" s="49"/>
    </row>
    <row r="83" spans="1:37" ht="15">
      <c r="A83" s="23">
        <f t="shared" si="9"/>
        <v>2032</v>
      </c>
      <c r="B83" s="27">
        <v>48305</v>
      </c>
      <c r="C83" s="35">
        <f>IF(AND(COLUMN()&gt;=11,COLUMN()&lt;=20),(_xlfn.XLOOKUP($A83,'Oferta Producto 3'!$B$10:$B$21,'Oferta Producto 3'!$E$10:$E$21))/SUMIF($A$7:$AC$128,$A83,$AB$6:$AB$127)*C$5,0)</f>
        <v>0</v>
      </c>
      <c r="D83" s="35">
        <f>IF(AND(COLUMN()&gt;=11,COLUMN()&lt;=20),(_xlfn.XLOOKUP($A83,'Oferta Producto 3'!$B$10:$B$21,'Oferta Producto 3'!$E$10:$E$21))/SUMIF($A$7:$AC$128,$A83,$AB$6:$AB$127)*D$5,0)</f>
        <v>0</v>
      </c>
      <c r="E83" s="35">
        <f>IF(AND(COLUMN()&gt;=11,COLUMN()&lt;=20),(_xlfn.XLOOKUP($A83,'Oferta Producto 3'!$B$10:$B$21,'Oferta Producto 3'!$E$10:$E$21))/SUMIF($A$7:$AC$128,$A83,$AB$6:$AB$127)*E$5,0)</f>
        <v>0</v>
      </c>
      <c r="F83" s="35">
        <f>IF(AND(COLUMN()&gt;=11,COLUMN()&lt;=20),(_xlfn.XLOOKUP($A83,'Oferta Producto 3'!$B$10:$B$21,'Oferta Producto 3'!$E$10:$E$21))/SUMIF($A$7:$AC$128,$A83,$AB$6:$AB$127)*F$5,0)</f>
        <v>0</v>
      </c>
      <c r="G83" s="35">
        <f>IF(AND(COLUMN()&gt;=11,COLUMN()&lt;=20),(_xlfn.XLOOKUP($A83,'Oferta Producto 3'!$B$10:$B$21,'Oferta Producto 3'!$E$10:$E$21))/SUMIF($A$7:$AC$128,$A83,$AB$6:$AB$127)*G$5,0)</f>
        <v>0</v>
      </c>
      <c r="H83" s="35">
        <f>IF(AND(COLUMN()&gt;=11,COLUMN()&lt;=20),(_xlfn.XLOOKUP($A83,'Oferta Producto 3'!$B$10:$B$21,'Oferta Producto 3'!$E$10:$E$21))/SUMIF($A$7:$AC$128,$A83,$AB$6:$AB$127)*H$5,0)</f>
        <v>0</v>
      </c>
      <c r="I83" s="35">
        <f>IF(AND(COLUMN()&gt;=11,COLUMN()&lt;=20),(_xlfn.XLOOKUP($A83,'Oferta Producto 3'!$B$10:$B$21,'Oferta Producto 3'!$E$10:$E$21))/SUMIF($A$7:$AC$128,$A83,$AB$6:$AB$127)*I$5,0)</f>
        <v>0</v>
      </c>
      <c r="J83" s="35">
        <f>IF(AND(COLUMN()&gt;=11,COLUMN()&lt;=20),(_xlfn.XLOOKUP($A83,'Oferta Producto 3'!$B$10:$B$21,'Oferta Producto 3'!$E$10:$E$21))/SUMIF($A$7:$AC$128,$A83,$AB$6:$AB$127)*J$5,0)</f>
        <v>0</v>
      </c>
      <c r="K83" s="35">
        <f ca="1">IF(AND(COLUMN()&gt;=11,COLUMN()&lt;=20),(_xlfn.XLOOKUP($A83,'Oferta Producto 3'!$B$10:$B$21,'Oferta Producto 3'!$E$10:$E$21))/SUMIF($A$7:$AC$128,$A83,$AB$6:$AB$127)*K$5,0)</f>
        <v>0</v>
      </c>
      <c r="L83" s="35">
        <f ca="1">IF(AND(COLUMN()&gt;=11,COLUMN()&lt;=20),(_xlfn.XLOOKUP($A83,'Oferta Producto 3'!$B$10:$B$21,'Oferta Producto 3'!$E$10:$E$21))/SUMIF($A$7:$AC$128,$A83,$AB$6:$AB$127)*L$5,0)</f>
        <v>0</v>
      </c>
      <c r="M83" s="35">
        <f ca="1">IF(AND(COLUMN()&gt;=11,COLUMN()&lt;=20),(_xlfn.XLOOKUP($A83,'Oferta Producto 3'!$B$10:$B$21,'Oferta Producto 3'!$E$10:$E$21))/SUMIF($A$7:$AC$128,$A83,$AB$6:$AB$127)*M$5,0)</f>
        <v>0</v>
      </c>
      <c r="N83" s="35">
        <f ca="1">IF(AND(COLUMN()&gt;=11,COLUMN()&lt;=20),(_xlfn.XLOOKUP($A83,'Oferta Producto 3'!$B$10:$B$21,'Oferta Producto 3'!$E$10:$E$21))/SUMIF($A$7:$AC$128,$A83,$AB$6:$AB$127)*N$5,0)</f>
        <v>0</v>
      </c>
      <c r="O83" s="35">
        <f ca="1">IF(AND(COLUMN()&gt;=11,COLUMN()&lt;=20),(_xlfn.XLOOKUP($A83,'Oferta Producto 3'!$B$10:$B$21,'Oferta Producto 3'!$E$10:$E$21))/SUMIF($A$7:$AC$128,$A83,$AB$6:$AB$127)*O$5,0)</f>
        <v>0</v>
      </c>
      <c r="P83" s="35">
        <f ca="1">IF(AND(COLUMN()&gt;=11,COLUMN()&lt;=20),(_xlfn.XLOOKUP($A83,'Oferta Producto 3'!$B$10:$B$21,'Oferta Producto 3'!$E$10:$E$21))/SUMIF($A$7:$AC$128,$A83,$AB$6:$AB$127)*P$5,0)</f>
        <v>0</v>
      </c>
      <c r="Q83" s="35">
        <f ca="1">IF(AND(COLUMN()&gt;=11,COLUMN()&lt;=20),(_xlfn.XLOOKUP($A83,'Oferta Producto 3'!$B$10:$B$21,'Oferta Producto 3'!$E$10:$E$21))/SUMIF($A$7:$AC$128,$A83,$AB$6:$AB$127)*Q$5,0)</f>
        <v>0</v>
      </c>
      <c r="R83" s="35">
        <f ca="1">IF(AND(COLUMN()&gt;=11,COLUMN()&lt;=20),(_xlfn.XLOOKUP($A83,'Oferta Producto 3'!$B$10:$B$21,'Oferta Producto 3'!$E$10:$E$21))/SUMIF($A$7:$AC$128,$A83,$AB$6:$AB$127)*R$5,0)</f>
        <v>0</v>
      </c>
      <c r="S83" s="35">
        <f ca="1">IF(AND(COLUMN()&gt;=11,COLUMN()&lt;=20),(_xlfn.XLOOKUP($A83,'Oferta Producto 3'!$B$10:$B$21,'Oferta Producto 3'!$E$10:$E$21))/SUMIF($A$7:$AC$128,$A83,$AB$6:$AB$127)*S$5,0)</f>
        <v>0</v>
      </c>
      <c r="T83" s="35">
        <f ca="1">IF(AND(COLUMN()&gt;=11,COLUMN()&lt;=20),(_xlfn.XLOOKUP($A83,'Oferta Producto 3'!$B$10:$B$21,'Oferta Producto 3'!$E$10:$E$21))/SUMIF($A$7:$AC$128,$A83,$AB$6:$AB$127)*T$5,0)</f>
        <v>0</v>
      </c>
      <c r="U83" s="35">
        <f>IF(AND(COLUMN()&gt;=11,COLUMN()&lt;=20),(_xlfn.XLOOKUP($A83,'Oferta Producto 3'!$B$10:$B$21,'Oferta Producto 3'!$E$10:$E$21))/SUMIF($A$7:$AC$128,$A83,$AB$6:$AB$127)*U$5,0)</f>
        <v>0</v>
      </c>
      <c r="V83" s="35">
        <f>IF(AND(COLUMN()&gt;=11,COLUMN()&lt;=20),(_xlfn.XLOOKUP($A83,'Oferta Producto 3'!$B$10:$B$21,'Oferta Producto 3'!$E$10:$E$21))/SUMIF($A$7:$AC$128,$A83,$AB$6:$AB$127)*V$5,0)</f>
        <v>0</v>
      </c>
      <c r="W83" s="35">
        <f>IF(AND(COLUMN()&gt;=11,COLUMN()&lt;=20),(_xlfn.XLOOKUP($A83,'Oferta Producto 3'!$B$10:$B$21,'Oferta Producto 3'!$E$10:$E$21))/SUMIF($A$7:$AC$128,$A83,$AB$6:$AB$127)*W$5,0)</f>
        <v>0</v>
      </c>
      <c r="X83" s="35">
        <f>IF(AND(COLUMN()&gt;=11,COLUMN()&lt;=20),(_xlfn.XLOOKUP($A83,'Oferta Producto 3'!$B$10:$B$21,'Oferta Producto 3'!$E$10:$E$21))/SUMIF($A$7:$AC$128,$A83,$AB$6:$AB$127)*X$5,0)</f>
        <v>0</v>
      </c>
      <c r="Y83" s="35">
        <f>IF(AND(COLUMN()&gt;=11,COLUMN()&lt;=20),(_xlfn.XLOOKUP($A83,'Oferta Producto 3'!$B$10:$B$21,'Oferta Producto 3'!$E$10:$E$21))/SUMIF($A$7:$AC$128,$A83,$AB$6:$AB$127)*Y$5,0)</f>
        <v>0</v>
      </c>
      <c r="Z83" s="35">
        <f>IF(AND(COLUMN()&gt;=11,COLUMN()&lt;=20),(_xlfn.XLOOKUP($A83,'Oferta Producto 3'!$B$10:$B$21,'Oferta Producto 3'!$E$10:$E$21))/SUMIF($A$7:$AC$128,$A83,$AB$6:$AB$127)*Z$5,0)</f>
        <v>0</v>
      </c>
      <c r="AA83" s="35">
        <f t="shared" ca="1" si="12"/>
        <v>0</v>
      </c>
      <c r="AB83" s="28">
        <f t="shared" si="10"/>
        <v>30</v>
      </c>
      <c r="AC83" s="29">
        <f t="shared" ca="1" si="11"/>
        <v>0</v>
      </c>
      <c r="AD83" s="48">
        <f ca="1">'Curvas Prod 3'!AC83/SUMIF('Curvas Prod 3'!A81:AC226,'Curva de la oferta Prod 3'!$A83,'Curvas Prod 3'!AC81:AC226)</f>
        <v>8.9552238805970144E-2</v>
      </c>
      <c r="AE83" s="45"/>
      <c r="AF83" s="49"/>
      <c r="AG83" s="49"/>
      <c r="AH83" s="49"/>
      <c r="AI83" s="49"/>
      <c r="AJ83" s="49"/>
      <c r="AK83" s="49"/>
    </row>
    <row r="84" spans="1:37" ht="15">
      <c r="A84" s="23">
        <f t="shared" si="9"/>
        <v>2032</v>
      </c>
      <c r="B84" s="27">
        <v>48335</v>
      </c>
      <c r="C84" s="35">
        <f>IF(AND(COLUMN()&gt;=11,COLUMN()&lt;=20),(_xlfn.XLOOKUP($A84,'Oferta Producto 3'!$B$10:$B$21,'Oferta Producto 3'!$E$10:$E$21))/SUMIF($A$7:$AC$128,$A84,$AB$6:$AB$127)*C$5,0)</f>
        <v>0</v>
      </c>
      <c r="D84" s="35">
        <f>IF(AND(COLUMN()&gt;=11,COLUMN()&lt;=20),(_xlfn.XLOOKUP($A84,'Oferta Producto 3'!$B$10:$B$21,'Oferta Producto 3'!$E$10:$E$21))/SUMIF($A$7:$AC$128,$A84,$AB$6:$AB$127)*D$5,0)</f>
        <v>0</v>
      </c>
      <c r="E84" s="35">
        <f>IF(AND(COLUMN()&gt;=11,COLUMN()&lt;=20),(_xlfn.XLOOKUP($A84,'Oferta Producto 3'!$B$10:$B$21,'Oferta Producto 3'!$E$10:$E$21))/SUMIF($A$7:$AC$128,$A84,$AB$6:$AB$127)*E$5,0)</f>
        <v>0</v>
      </c>
      <c r="F84" s="35">
        <f>IF(AND(COLUMN()&gt;=11,COLUMN()&lt;=20),(_xlfn.XLOOKUP($A84,'Oferta Producto 3'!$B$10:$B$21,'Oferta Producto 3'!$E$10:$E$21))/SUMIF($A$7:$AC$128,$A84,$AB$6:$AB$127)*F$5,0)</f>
        <v>0</v>
      </c>
      <c r="G84" s="35">
        <f>IF(AND(COLUMN()&gt;=11,COLUMN()&lt;=20),(_xlfn.XLOOKUP($A84,'Oferta Producto 3'!$B$10:$B$21,'Oferta Producto 3'!$E$10:$E$21))/SUMIF($A$7:$AC$128,$A84,$AB$6:$AB$127)*G$5,0)</f>
        <v>0</v>
      </c>
      <c r="H84" s="35">
        <f>IF(AND(COLUMN()&gt;=11,COLUMN()&lt;=20),(_xlfn.XLOOKUP($A84,'Oferta Producto 3'!$B$10:$B$21,'Oferta Producto 3'!$E$10:$E$21))/SUMIF($A$7:$AC$128,$A84,$AB$6:$AB$127)*H$5,0)</f>
        <v>0</v>
      </c>
      <c r="I84" s="35">
        <f>IF(AND(COLUMN()&gt;=11,COLUMN()&lt;=20),(_xlfn.XLOOKUP($A84,'Oferta Producto 3'!$B$10:$B$21,'Oferta Producto 3'!$E$10:$E$21))/SUMIF($A$7:$AC$128,$A84,$AB$6:$AB$127)*I$5,0)</f>
        <v>0</v>
      </c>
      <c r="J84" s="35">
        <f>IF(AND(COLUMN()&gt;=11,COLUMN()&lt;=20),(_xlfn.XLOOKUP($A84,'Oferta Producto 3'!$B$10:$B$21,'Oferta Producto 3'!$E$10:$E$21))/SUMIF($A$7:$AC$128,$A84,$AB$6:$AB$127)*J$5,0)</f>
        <v>0</v>
      </c>
      <c r="K84" s="35">
        <f ca="1">IF(AND(COLUMN()&gt;=11,COLUMN()&lt;=20),(_xlfn.XLOOKUP($A84,'Oferta Producto 3'!$B$10:$B$21,'Oferta Producto 3'!$E$10:$E$21))/SUMIF($A$7:$AC$128,$A84,$AB$6:$AB$127)*K$5,0)</f>
        <v>0</v>
      </c>
      <c r="L84" s="35">
        <f ca="1">IF(AND(COLUMN()&gt;=11,COLUMN()&lt;=20),(_xlfn.XLOOKUP($A84,'Oferta Producto 3'!$B$10:$B$21,'Oferta Producto 3'!$E$10:$E$21))/SUMIF($A$7:$AC$128,$A84,$AB$6:$AB$127)*L$5,0)</f>
        <v>0</v>
      </c>
      <c r="M84" s="35">
        <f ca="1">IF(AND(COLUMN()&gt;=11,COLUMN()&lt;=20),(_xlfn.XLOOKUP($A84,'Oferta Producto 3'!$B$10:$B$21,'Oferta Producto 3'!$E$10:$E$21))/SUMIF($A$7:$AC$128,$A84,$AB$6:$AB$127)*M$5,0)</f>
        <v>0</v>
      </c>
      <c r="N84" s="35">
        <f ca="1">IF(AND(COLUMN()&gt;=11,COLUMN()&lt;=20),(_xlfn.XLOOKUP($A84,'Oferta Producto 3'!$B$10:$B$21,'Oferta Producto 3'!$E$10:$E$21))/SUMIF($A$7:$AC$128,$A84,$AB$6:$AB$127)*N$5,0)</f>
        <v>0</v>
      </c>
      <c r="O84" s="35">
        <f ca="1">IF(AND(COLUMN()&gt;=11,COLUMN()&lt;=20),(_xlfn.XLOOKUP($A84,'Oferta Producto 3'!$B$10:$B$21,'Oferta Producto 3'!$E$10:$E$21))/SUMIF($A$7:$AC$128,$A84,$AB$6:$AB$127)*O$5,0)</f>
        <v>0</v>
      </c>
      <c r="P84" s="35">
        <f ca="1">IF(AND(COLUMN()&gt;=11,COLUMN()&lt;=20),(_xlfn.XLOOKUP($A84,'Oferta Producto 3'!$B$10:$B$21,'Oferta Producto 3'!$E$10:$E$21))/SUMIF($A$7:$AC$128,$A84,$AB$6:$AB$127)*P$5,0)</f>
        <v>0</v>
      </c>
      <c r="Q84" s="35">
        <f ca="1">IF(AND(COLUMN()&gt;=11,COLUMN()&lt;=20),(_xlfn.XLOOKUP($A84,'Oferta Producto 3'!$B$10:$B$21,'Oferta Producto 3'!$E$10:$E$21))/SUMIF($A$7:$AC$128,$A84,$AB$6:$AB$127)*Q$5,0)</f>
        <v>0</v>
      </c>
      <c r="R84" s="35">
        <f ca="1">IF(AND(COLUMN()&gt;=11,COLUMN()&lt;=20),(_xlfn.XLOOKUP($A84,'Oferta Producto 3'!$B$10:$B$21,'Oferta Producto 3'!$E$10:$E$21))/SUMIF($A$7:$AC$128,$A84,$AB$6:$AB$127)*R$5,0)</f>
        <v>0</v>
      </c>
      <c r="S84" s="35">
        <f ca="1">IF(AND(COLUMN()&gt;=11,COLUMN()&lt;=20),(_xlfn.XLOOKUP($A84,'Oferta Producto 3'!$B$10:$B$21,'Oferta Producto 3'!$E$10:$E$21))/SUMIF($A$7:$AC$128,$A84,$AB$6:$AB$127)*S$5,0)</f>
        <v>0</v>
      </c>
      <c r="T84" s="35">
        <f ca="1">IF(AND(COLUMN()&gt;=11,COLUMN()&lt;=20),(_xlfn.XLOOKUP($A84,'Oferta Producto 3'!$B$10:$B$21,'Oferta Producto 3'!$E$10:$E$21))/SUMIF($A$7:$AC$128,$A84,$AB$6:$AB$127)*T$5,0)</f>
        <v>0</v>
      </c>
      <c r="U84" s="35">
        <f>IF(AND(COLUMN()&gt;=11,COLUMN()&lt;=20),(_xlfn.XLOOKUP($A84,'Oferta Producto 3'!$B$10:$B$21,'Oferta Producto 3'!$E$10:$E$21))/SUMIF($A$7:$AC$128,$A84,$AB$6:$AB$127)*U$5,0)</f>
        <v>0</v>
      </c>
      <c r="V84" s="35">
        <f>IF(AND(COLUMN()&gt;=11,COLUMN()&lt;=20),(_xlfn.XLOOKUP($A84,'Oferta Producto 3'!$B$10:$B$21,'Oferta Producto 3'!$E$10:$E$21))/SUMIF($A$7:$AC$128,$A84,$AB$6:$AB$127)*V$5,0)</f>
        <v>0</v>
      </c>
      <c r="W84" s="35">
        <f>IF(AND(COLUMN()&gt;=11,COLUMN()&lt;=20),(_xlfn.XLOOKUP($A84,'Oferta Producto 3'!$B$10:$B$21,'Oferta Producto 3'!$E$10:$E$21))/SUMIF($A$7:$AC$128,$A84,$AB$6:$AB$127)*W$5,0)</f>
        <v>0</v>
      </c>
      <c r="X84" s="35">
        <f>IF(AND(COLUMN()&gt;=11,COLUMN()&lt;=20),(_xlfn.XLOOKUP($A84,'Oferta Producto 3'!$B$10:$B$21,'Oferta Producto 3'!$E$10:$E$21))/SUMIF($A$7:$AC$128,$A84,$AB$6:$AB$127)*X$5,0)</f>
        <v>0</v>
      </c>
      <c r="Y84" s="35">
        <f>IF(AND(COLUMN()&gt;=11,COLUMN()&lt;=20),(_xlfn.XLOOKUP($A84,'Oferta Producto 3'!$B$10:$B$21,'Oferta Producto 3'!$E$10:$E$21))/SUMIF($A$7:$AC$128,$A84,$AB$6:$AB$127)*Y$5,0)</f>
        <v>0</v>
      </c>
      <c r="Z84" s="35">
        <f>IF(AND(COLUMN()&gt;=11,COLUMN()&lt;=20),(_xlfn.XLOOKUP($A84,'Oferta Producto 3'!$B$10:$B$21,'Oferta Producto 3'!$E$10:$E$21))/SUMIF($A$7:$AC$128,$A84,$AB$6:$AB$127)*Z$5,0)</f>
        <v>0</v>
      </c>
      <c r="AA84" s="35">
        <f t="shared" ca="1" si="12"/>
        <v>0</v>
      </c>
      <c r="AB84" s="28">
        <f t="shared" si="10"/>
        <v>31</v>
      </c>
      <c r="AC84" s="29">
        <f t="shared" ca="1" si="11"/>
        <v>0</v>
      </c>
      <c r="AD84" s="48">
        <f ca="1">'Curvas Prod 3'!AC84/SUMIF('Curvas Prod 3'!A82:AC227,'Curva de la oferta Prod 3'!$A84,'Curvas Prod 3'!AC82:AC227)</f>
        <v>0.10130718954248366</v>
      </c>
      <c r="AE84" s="45"/>
      <c r="AF84" s="49"/>
      <c r="AG84" s="49"/>
      <c r="AH84" s="49"/>
      <c r="AI84" s="49"/>
      <c r="AJ84" s="49"/>
      <c r="AK84" s="49"/>
    </row>
    <row r="85" spans="1:37" ht="15">
      <c r="A85" s="23">
        <f t="shared" si="9"/>
        <v>2032</v>
      </c>
      <c r="B85" s="27">
        <v>48366</v>
      </c>
      <c r="C85" s="35">
        <f>IF(AND(COLUMN()&gt;=11,COLUMN()&lt;=20),(_xlfn.XLOOKUP($A85,'Oferta Producto 3'!$B$10:$B$21,'Oferta Producto 3'!$E$10:$E$21))/SUMIF($A$7:$AC$128,$A85,$AB$6:$AB$127)*C$5,0)</f>
        <v>0</v>
      </c>
      <c r="D85" s="35">
        <f>IF(AND(COLUMN()&gt;=11,COLUMN()&lt;=20),(_xlfn.XLOOKUP($A85,'Oferta Producto 3'!$B$10:$B$21,'Oferta Producto 3'!$E$10:$E$21))/SUMIF($A$7:$AC$128,$A85,$AB$6:$AB$127)*D$5,0)</f>
        <v>0</v>
      </c>
      <c r="E85" s="35">
        <f>IF(AND(COLUMN()&gt;=11,COLUMN()&lt;=20),(_xlfn.XLOOKUP($A85,'Oferta Producto 3'!$B$10:$B$21,'Oferta Producto 3'!$E$10:$E$21))/SUMIF($A$7:$AC$128,$A85,$AB$6:$AB$127)*E$5,0)</f>
        <v>0</v>
      </c>
      <c r="F85" s="35">
        <f>IF(AND(COLUMN()&gt;=11,COLUMN()&lt;=20),(_xlfn.XLOOKUP($A85,'Oferta Producto 3'!$B$10:$B$21,'Oferta Producto 3'!$E$10:$E$21))/SUMIF($A$7:$AC$128,$A85,$AB$6:$AB$127)*F$5,0)</f>
        <v>0</v>
      </c>
      <c r="G85" s="35">
        <f>IF(AND(COLUMN()&gt;=11,COLUMN()&lt;=20),(_xlfn.XLOOKUP($A85,'Oferta Producto 3'!$B$10:$B$21,'Oferta Producto 3'!$E$10:$E$21))/SUMIF($A$7:$AC$128,$A85,$AB$6:$AB$127)*G$5,0)</f>
        <v>0</v>
      </c>
      <c r="H85" s="35">
        <f>IF(AND(COLUMN()&gt;=11,COLUMN()&lt;=20),(_xlfn.XLOOKUP($A85,'Oferta Producto 3'!$B$10:$B$21,'Oferta Producto 3'!$E$10:$E$21))/SUMIF($A$7:$AC$128,$A85,$AB$6:$AB$127)*H$5,0)</f>
        <v>0</v>
      </c>
      <c r="I85" s="35">
        <f>IF(AND(COLUMN()&gt;=11,COLUMN()&lt;=20),(_xlfn.XLOOKUP($A85,'Oferta Producto 3'!$B$10:$B$21,'Oferta Producto 3'!$E$10:$E$21))/SUMIF($A$7:$AC$128,$A85,$AB$6:$AB$127)*I$5,0)</f>
        <v>0</v>
      </c>
      <c r="J85" s="35">
        <f>IF(AND(COLUMN()&gt;=11,COLUMN()&lt;=20),(_xlfn.XLOOKUP($A85,'Oferta Producto 3'!$B$10:$B$21,'Oferta Producto 3'!$E$10:$E$21))/SUMIF($A$7:$AC$128,$A85,$AB$6:$AB$127)*J$5,0)</f>
        <v>0</v>
      </c>
      <c r="K85" s="35">
        <f ca="1">IF(AND(COLUMN()&gt;=11,COLUMN()&lt;=20),(_xlfn.XLOOKUP($A85,'Oferta Producto 3'!$B$10:$B$21,'Oferta Producto 3'!$E$10:$E$21))/SUMIF($A$7:$AC$128,$A85,$AB$6:$AB$127)*K$5,0)</f>
        <v>0</v>
      </c>
      <c r="L85" s="35">
        <f ca="1">IF(AND(COLUMN()&gt;=11,COLUMN()&lt;=20),(_xlfn.XLOOKUP($A85,'Oferta Producto 3'!$B$10:$B$21,'Oferta Producto 3'!$E$10:$E$21))/SUMIF($A$7:$AC$128,$A85,$AB$6:$AB$127)*L$5,0)</f>
        <v>0</v>
      </c>
      <c r="M85" s="35">
        <f ca="1">IF(AND(COLUMN()&gt;=11,COLUMN()&lt;=20),(_xlfn.XLOOKUP($A85,'Oferta Producto 3'!$B$10:$B$21,'Oferta Producto 3'!$E$10:$E$21))/SUMIF($A$7:$AC$128,$A85,$AB$6:$AB$127)*M$5,0)</f>
        <v>0</v>
      </c>
      <c r="N85" s="35">
        <f ca="1">IF(AND(COLUMN()&gt;=11,COLUMN()&lt;=20),(_xlfn.XLOOKUP($A85,'Oferta Producto 3'!$B$10:$B$21,'Oferta Producto 3'!$E$10:$E$21))/SUMIF($A$7:$AC$128,$A85,$AB$6:$AB$127)*N$5,0)</f>
        <v>0</v>
      </c>
      <c r="O85" s="35">
        <f ca="1">IF(AND(COLUMN()&gt;=11,COLUMN()&lt;=20),(_xlfn.XLOOKUP($A85,'Oferta Producto 3'!$B$10:$B$21,'Oferta Producto 3'!$E$10:$E$21))/SUMIF($A$7:$AC$128,$A85,$AB$6:$AB$127)*O$5,0)</f>
        <v>0</v>
      </c>
      <c r="P85" s="35">
        <f ca="1">IF(AND(COLUMN()&gt;=11,COLUMN()&lt;=20),(_xlfn.XLOOKUP($A85,'Oferta Producto 3'!$B$10:$B$21,'Oferta Producto 3'!$E$10:$E$21))/SUMIF($A$7:$AC$128,$A85,$AB$6:$AB$127)*P$5,0)</f>
        <v>0</v>
      </c>
      <c r="Q85" s="35">
        <f ca="1">IF(AND(COLUMN()&gt;=11,COLUMN()&lt;=20),(_xlfn.XLOOKUP($A85,'Oferta Producto 3'!$B$10:$B$21,'Oferta Producto 3'!$E$10:$E$21))/SUMIF($A$7:$AC$128,$A85,$AB$6:$AB$127)*Q$5,0)</f>
        <v>0</v>
      </c>
      <c r="R85" s="35">
        <f ca="1">IF(AND(COLUMN()&gt;=11,COLUMN()&lt;=20),(_xlfn.XLOOKUP($A85,'Oferta Producto 3'!$B$10:$B$21,'Oferta Producto 3'!$E$10:$E$21))/SUMIF($A$7:$AC$128,$A85,$AB$6:$AB$127)*R$5,0)</f>
        <v>0</v>
      </c>
      <c r="S85" s="35">
        <f ca="1">IF(AND(COLUMN()&gt;=11,COLUMN()&lt;=20),(_xlfn.XLOOKUP($A85,'Oferta Producto 3'!$B$10:$B$21,'Oferta Producto 3'!$E$10:$E$21))/SUMIF($A$7:$AC$128,$A85,$AB$6:$AB$127)*S$5,0)</f>
        <v>0</v>
      </c>
      <c r="T85" s="35">
        <f ca="1">IF(AND(COLUMN()&gt;=11,COLUMN()&lt;=20),(_xlfn.XLOOKUP($A85,'Oferta Producto 3'!$B$10:$B$21,'Oferta Producto 3'!$E$10:$E$21))/SUMIF($A$7:$AC$128,$A85,$AB$6:$AB$127)*T$5,0)</f>
        <v>0</v>
      </c>
      <c r="U85" s="35">
        <f>IF(AND(COLUMN()&gt;=11,COLUMN()&lt;=20),(_xlfn.XLOOKUP($A85,'Oferta Producto 3'!$B$10:$B$21,'Oferta Producto 3'!$E$10:$E$21))/SUMIF($A$7:$AC$128,$A85,$AB$6:$AB$127)*U$5,0)</f>
        <v>0</v>
      </c>
      <c r="V85" s="35">
        <f>IF(AND(COLUMN()&gt;=11,COLUMN()&lt;=20),(_xlfn.XLOOKUP($A85,'Oferta Producto 3'!$B$10:$B$21,'Oferta Producto 3'!$E$10:$E$21))/SUMIF($A$7:$AC$128,$A85,$AB$6:$AB$127)*V$5,0)</f>
        <v>0</v>
      </c>
      <c r="W85" s="35">
        <f>IF(AND(COLUMN()&gt;=11,COLUMN()&lt;=20),(_xlfn.XLOOKUP($A85,'Oferta Producto 3'!$B$10:$B$21,'Oferta Producto 3'!$E$10:$E$21))/SUMIF($A$7:$AC$128,$A85,$AB$6:$AB$127)*W$5,0)</f>
        <v>0</v>
      </c>
      <c r="X85" s="35">
        <f>IF(AND(COLUMN()&gt;=11,COLUMN()&lt;=20),(_xlfn.XLOOKUP($A85,'Oferta Producto 3'!$B$10:$B$21,'Oferta Producto 3'!$E$10:$E$21))/SUMIF($A$7:$AC$128,$A85,$AB$6:$AB$127)*X$5,0)</f>
        <v>0</v>
      </c>
      <c r="Y85" s="35">
        <f>IF(AND(COLUMN()&gt;=11,COLUMN()&lt;=20),(_xlfn.XLOOKUP($A85,'Oferta Producto 3'!$B$10:$B$21,'Oferta Producto 3'!$E$10:$E$21))/SUMIF($A$7:$AC$128,$A85,$AB$6:$AB$127)*Y$5,0)</f>
        <v>0</v>
      </c>
      <c r="Z85" s="35">
        <f>IF(AND(COLUMN()&gt;=11,COLUMN()&lt;=20),(_xlfn.XLOOKUP($A85,'Oferta Producto 3'!$B$10:$B$21,'Oferta Producto 3'!$E$10:$E$21))/SUMIF($A$7:$AC$128,$A85,$AB$6:$AB$127)*Z$5,0)</f>
        <v>0</v>
      </c>
      <c r="AA85" s="35">
        <f t="shared" ca="1" si="12"/>
        <v>0</v>
      </c>
      <c r="AB85" s="28">
        <f t="shared" si="10"/>
        <v>30</v>
      </c>
      <c r="AC85" s="29">
        <f t="shared" ca="1" si="11"/>
        <v>0</v>
      </c>
      <c r="AD85" s="48">
        <f ca="1">'Curvas Prod 3'!AC85/SUMIF('Curvas Prod 3'!A83:AC228,'Curva de la oferta Prod 3'!$A85,'Curvas Prod 3'!AC83:AC228)</f>
        <v>0.10909090909090909</v>
      </c>
      <c r="AE85" s="45"/>
      <c r="AF85" s="49"/>
      <c r="AG85" s="49"/>
      <c r="AH85" s="49"/>
      <c r="AI85" s="49"/>
      <c r="AJ85" s="49"/>
      <c r="AK85" s="49"/>
    </row>
    <row r="86" spans="1:37" ht="15">
      <c r="A86" s="23">
        <f t="shared" si="9"/>
        <v>2032</v>
      </c>
      <c r="B86" s="27">
        <v>48396</v>
      </c>
      <c r="C86" s="35">
        <f>IF(AND(COLUMN()&gt;=11,COLUMN()&lt;=20),(_xlfn.XLOOKUP($A86,'Oferta Producto 3'!$B$10:$B$21,'Oferta Producto 3'!$E$10:$E$21))/SUMIF($A$7:$AC$128,$A86,$AB$6:$AB$127)*C$5,0)</f>
        <v>0</v>
      </c>
      <c r="D86" s="35">
        <f>IF(AND(COLUMN()&gt;=11,COLUMN()&lt;=20),(_xlfn.XLOOKUP($A86,'Oferta Producto 3'!$B$10:$B$21,'Oferta Producto 3'!$E$10:$E$21))/SUMIF($A$7:$AC$128,$A86,$AB$6:$AB$127)*D$5,0)</f>
        <v>0</v>
      </c>
      <c r="E86" s="35">
        <f>IF(AND(COLUMN()&gt;=11,COLUMN()&lt;=20),(_xlfn.XLOOKUP($A86,'Oferta Producto 3'!$B$10:$B$21,'Oferta Producto 3'!$E$10:$E$21))/SUMIF($A$7:$AC$128,$A86,$AB$6:$AB$127)*E$5,0)</f>
        <v>0</v>
      </c>
      <c r="F86" s="35">
        <f>IF(AND(COLUMN()&gt;=11,COLUMN()&lt;=20),(_xlfn.XLOOKUP($A86,'Oferta Producto 3'!$B$10:$B$21,'Oferta Producto 3'!$E$10:$E$21))/SUMIF($A$7:$AC$128,$A86,$AB$6:$AB$127)*F$5,0)</f>
        <v>0</v>
      </c>
      <c r="G86" s="35">
        <f>IF(AND(COLUMN()&gt;=11,COLUMN()&lt;=20),(_xlfn.XLOOKUP($A86,'Oferta Producto 3'!$B$10:$B$21,'Oferta Producto 3'!$E$10:$E$21))/SUMIF($A$7:$AC$128,$A86,$AB$6:$AB$127)*G$5,0)</f>
        <v>0</v>
      </c>
      <c r="H86" s="35">
        <f>IF(AND(COLUMN()&gt;=11,COLUMN()&lt;=20),(_xlfn.XLOOKUP($A86,'Oferta Producto 3'!$B$10:$B$21,'Oferta Producto 3'!$E$10:$E$21))/SUMIF($A$7:$AC$128,$A86,$AB$6:$AB$127)*H$5,0)</f>
        <v>0</v>
      </c>
      <c r="I86" s="35">
        <f>IF(AND(COLUMN()&gt;=11,COLUMN()&lt;=20),(_xlfn.XLOOKUP($A86,'Oferta Producto 3'!$B$10:$B$21,'Oferta Producto 3'!$E$10:$E$21))/SUMIF($A$7:$AC$128,$A86,$AB$6:$AB$127)*I$5,0)</f>
        <v>0</v>
      </c>
      <c r="J86" s="35">
        <f>IF(AND(COLUMN()&gt;=11,COLUMN()&lt;=20),(_xlfn.XLOOKUP($A86,'Oferta Producto 3'!$B$10:$B$21,'Oferta Producto 3'!$E$10:$E$21))/SUMIF($A$7:$AC$128,$A86,$AB$6:$AB$127)*J$5,0)</f>
        <v>0</v>
      </c>
      <c r="K86" s="35">
        <f ca="1">IF(AND(COLUMN()&gt;=11,COLUMN()&lt;=20),(_xlfn.XLOOKUP($A86,'Oferta Producto 3'!$B$10:$B$21,'Oferta Producto 3'!$E$10:$E$21))/SUMIF($A$7:$AC$128,$A86,$AB$6:$AB$127)*K$5,0)</f>
        <v>0</v>
      </c>
      <c r="L86" s="35">
        <f ca="1">IF(AND(COLUMN()&gt;=11,COLUMN()&lt;=20),(_xlfn.XLOOKUP($A86,'Oferta Producto 3'!$B$10:$B$21,'Oferta Producto 3'!$E$10:$E$21))/SUMIF($A$7:$AC$128,$A86,$AB$6:$AB$127)*L$5,0)</f>
        <v>0</v>
      </c>
      <c r="M86" s="35">
        <f ca="1">IF(AND(COLUMN()&gt;=11,COLUMN()&lt;=20),(_xlfn.XLOOKUP($A86,'Oferta Producto 3'!$B$10:$B$21,'Oferta Producto 3'!$E$10:$E$21))/SUMIF($A$7:$AC$128,$A86,$AB$6:$AB$127)*M$5,0)</f>
        <v>0</v>
      </c>
      <c r="N86" s="35">
        <f ca="1">IF(AND(COLUMN()&gt;=11,COLUMN()&lt;=20),(_xlfn.XLOOKUP($A86,'Oferta Producto 3'!$B$10:$B$21,'Oferta Producto 3'!$E$10:$E$21))/SUMIF($A$7:$AC$128,$A86,$AB$6:$AB$127)*N$5,0)</f>
        <v>0</v>
      </c>
      <c r="O86" s="35">
        <f ca="1">IF(AND(COLUMN()&gt;=11,COLUMN()&lt;=20),(_xlfn.XLOOKUP($A86,'Oferta Producto 3'!$B$10:$B$21,'Oferta Producto 3'!$E$10:$E$21))/SUMIF($A$7:$AC$128,$A86,$AB$6:$AB$127)*O$5,0)</f>
        <v>0</v>
      </c>
      <c r="P86" s="35">
        <f ca="1">IF(AND(COLUMN()&gt;=11,COLUMN()&lt;=20),(_xlfn.XLOOKUP($A86,'Oferta Producto 3'!$B$10:$B$21,'Oferta Producto 3'!$E$10:$E$21))/SUMIF($A$7:$AC$128,$A86,$AB$6:$AB$127)*P$5,0)</f>
        <v>0</v>
      </c>
      <c r="Q86" s="35">
        <f ca="1">IF(AND(COLUMN()&gt;=11,COLUMN()&lt;=20),(_xlfn.XLOOKUP($A86,'Oferta Producto 3'!$B$10:$B$21,'Oferta Producto 3'!$E$10:$E$21))/SUMIF($A$7:$AC$128,$A86,$AB$6:$AB$127)*Q$5,0)</f>
        <v>0</v>
      </c>
      <c r="R86" s="35">
        <f ca="1">IF(AND(COLUMN()&gt;=11,COLUMN()&lt;=20),(_xlfn.XLOOKUP($A86,'Oferta Producto 3'!$B$10:$B$21,'Oferta Producto 3'!$E$10:$E$21))/SUMIF($A$7:$AC$128,$A86,$AB$6:$AB$127)*R$5,0)</f>
        <v>0</v>
      </c>
      <c r="S86" s="35">
        <f ca="1">IF(AND(COLUMN()&gt;=11,COLUMN()&lt;=20),(_xlfn.XLOOKUP($A86,'Oferta Producto 3'!$B$10:$B$21,'Oferta Producto 3'!$E$10:$E$21))/SUMIF($A$7:$AC$128,$A86,$AB$6:$AB$127)*S$5,0)</f>
        <v>0</v>
      </c>
      <c r="T86" s="35">
        <f ca="1">IF(AND(COLUMN()&gt;=11,COLUMN()&lt;=20),(_xlfn.XLOOKUP($A86,'Oferta Producto 3'!$B$10:$B$21,'Oferta Producto 3'!$E$10:$E$21))/SUMIF($A$7:$AC$128,$A86,$AB$6:$AB$127)*T$5,0)</f>
        <v>0</v>
      </c>
      <c r="U86" s="35">
        <f>IF(AND(COLUMN()&gt;=11,COLUMN()&lt;=20),(_xlfn.XLOOKUP($A86,'Oferta Producto 3'!$B$10:$B$21,'Oferta Producto 3'!$E$10:$E$21))/SUMIF($A$7:$AC$128,$A86,$AB$6:$AB$127)*U$5,0)</f>
        <v>0</v>
      </c>
      <c r="V86" s="35">
        <f>IF(AND(COLUMN()&gt;=11,COLUMN()&lt;=20),(_xlfn.XLOOKUP($A86,'Oferta Producto 3'!$B$10:$B$21,'Oferta Producto 3'!$E$10:$E$21))/SUMIF($A$7:$AC$128,$A86,$AB$6:$AB$127)*V$5,0)</f>
        <v>0</v>
      </c>
      <c r="W86" s="35">
        <f>IF(AND(COLUMN()&gt;=11,COLUMN()&lt;=20),(_xlfn.XLOOKUP($A86,'Oferta Producto 3'!$B$10:$B$21,'Oferta Producto 3'!$E$10:$E$21))/SUMIF($A$7:$AC$128,$A86,$AB$6:$AB$127)*W$5,0)</f>
        <v>0</v>
      </c>
      <c r="X86" s="35">
        <f>IF(AND(COLUMN()&gt;=11,COLUMN()&lt;=20),(_xlfn.XLOOKUP($A86,'Oferta Producto 3'!$B$10:$B$21,'Oferta Producto 3'!$E$10:$E$21))/SUMIF($A$7:$AC$128,$A86,$AB$6:$AB$127)*X$5,0)</f>
        <v>0</v>
      </c>
      <c r="Y86" s="35">
        <f>IF(AND(COLUMN()&gt;=11,COLUMN()&lt;=20),(_xlfn.XLOOKUP($A86,'Oferta Producto 3'!$B$10:$B$21,'Oferta Producto 3'!$E$10:$E$21))/SUMIF($A$7:$AC$128,$A86,$AB$6:$AB$127)*Y$5,0)</f>
        <v>0</v>
      </c>
      <c r="Z86" s="35">
        <f>IF(AND(COLUMN()&gt;=11,COLUMN()&lt;=20),(_xlfn.XLOOKUP($A86,'Oferta Producto 3'!$B$10:$B$21,'Oferta Producto 3'!$E$10:$E$21))/SUMIF($A$7:$AC$128,$A86,$AB$6:$AB$127)*Z$5,0)</f>
        <v>0</v>
      </c>
      <c r="AA86" s="35">
        <f t="shared" ca="1" si="12"/>
        <v>0</v>
      </c>
      <c r="AB86" s="28">
        <f t="shared" si="10"/>
        <v>31</v>
      </c>
      <c r="AC86" s="29">
        <f t="shared" ca="1" si="11"/>
        <v>0</v>
      </c>
      <c r="AD86" s="48">
        <f ca="1">'Curvas Prod 3'!AC86/SUMIF('Curvas Prod 3'!A84:AC229,'Curva de la oferta Prod 3'!$A86,'Curvas Prod 3'!AC84:AC229)</f>
        <v>0.12653061224489795</v>
      </c>
      <c r="AE86" s="45"/>
      <c r="AF86" s="49"/>
      <c r="AG86" s="49"/>
      <c r="AH86" s="49"/>
      <c r="AI86" s="49"/>
      <c r="AJ86" s="49"/>
      <c r="AK86" s="49"/>
    </row>
    <row r="87" spans="1:37" ht="15">
      <c r="A87" s="23">
        <f t="shared" si="9"/>
        <v>2032</v>
      </c>
      <c r="B87" s="27">
        <v>48427</v>
      </c>
      <c r="C87" s="35">
        <f>IF(AND(COLUMN()&gt;=11,COLUMN()&lt;=20),(_xlfn.XLOOKUP($A87,'Oferta Producto 3'!$B$10:$B$21,'Oferta Producto 3'!$E$10:$E$21))/SUMIF($A$7:$AC$128,$A87,$AB$6:$AB$127)*C$5,0)</f>
        <v>0</v>
      </c>
      <c r="D87" s="35">
        <f>IF(AND(COLUMN()&gt;=11,COLUMN()&lt;=20),(_xlfn.XLOOKUP($A87,'Oferta Producto 3'!$B$10:$B$21,'Oferta Producto 3'!$E$10:$E$21))/SUMIF($A$7:$AC$128,$A87,$AB$6:$AB$127)*D$5,0)</f>
        <v>0</v>
      </c>
      <c r="E87" s="35">
        <f>IF(AND(COLUMN()&gt;=11,COLUMN()&lt;=20),(_xlfn.XLOOKUP($A87,'Oferta Producto 3'!$B$10:$B$21,'Oferta Producto 3'!$E$10:$E$21))/SUMIF($A$7:$AC$128,$A87,$AB$6:$AB$127)*E$5,0)</f>
        <v>0</v>
      </c>
      <c r="F87" s="35">
        <f>IF(AND(COLUMN()&gt;=11,COLUMN()&lt;=20),(_xlfn.XLOOKUP($A87,'Oferta Producto 3'!$B$10:$B$21,'Oferta Producto 3'!$E$10:$E$21))/SUMIF($A$7:$AC$128,$A87,$AB$6:$AB$127)*F$5,0)</f>
        <v>0</v>
      </c>
      <c r="G87" s="35">
        <f>IF(AND(COLUMN()&gt;=11,COLUMN()&lt;=20),(_xlfn.XLOOKUP($A87,'Oferta Producto 3'!$B$10:$B$21,'Oferta Producto 3'!$E$10:$E$21))/SUMIF($A$7:$AC$128,$A87,$AB$6:$AB$127)*G$5,0)</f>
        <v>0</v>
      </c>
      <c r="H87" s="35">
        <f>IF(AND(COLUMN()&gt;=11,COLUMN()&lt;=20),(_xlfn.XLOOKUP($A87,'Oferta Producto 3'!$B$10:$B$21,'Oferta Producto 3'!$E$10:$E$21))/SUMIF($A$7:$AC$128,$A87,$AB$6:$AB$127)*H$5,0)</f>
        <v>0</v>
      </c>
      <c r="I87" s="35">
        <f>IF(AND(COLUMN()&gt;=11,COLUMN()&lt;=20),(_xlfn.XLOOKUP($A87,'Oferta Producto 3'!$B$10:$B$21,'Oferta Producto 3'!$E$10:$E$21))/SUMIF($A$7:$AC$128,$A87,$AB$6:$AB$127)*I$5,0)</f>
        <v>0</v>
      </c>
      <c r="J87" s="35">
        <f>IF(AND(COLUMN()&gt;=11,COLUMN()&lt;=20),(_xlfn.XLOOKUP($A87,'Oferta Producto 3'!$B$10:$B$21,'Oferta Producto 3'!$E$10:$E$21))/SUMIF($A$7:$AC$128,$A87,$AB$6:$AB$127)*J$5,0)</f>
        <v>0</v>
      </c>
      <c r="K87" s="35">
        <f ca="1">IF(AND(COLUMN()&gt;=11,COLUMN()&lt;=20),(_xlfn.XLOOKUP($A87,'Oferta Producto 3'!$B$10:$B$21,'Oferta Producto 3'!$E$10:$E$21))/SUMIF($A$7:$AC$128,$A87,$AB$6:$AB$127)*K$5,0)</f>
        <v>0</v>
      </c>
      <c r="L87" s="35">
        <f ca="1">IF(AND(COLUMN()&gt;=11,COLUMN()&lt;=20),(_xlfn.XLOOKUP($A87,'Oferta Producto 3'!$B$10:$B$21,'Oferta Producto 3'!$E$10:$E$21))/SUMIF($A$7:$AC$128,$A87,$AB$6:$AB$127)*L$5,0)</f>
        <v>0</v>
      </c>
      <c r="M87" s="35">
        <f ca="1">IF(AND(COLUMN()&gt;=11,COLUMN()&lt;=20),(_xlfn.XLOOKUP($A87,'Oferta Producto 3'!$B$10:$B$21,'Oferta Producto 3'!$E$10:$E$21))/SUMIF($A$7:$AC$128,$A87,$AB$6:$AB$127)*M$5,0)</f>
        <v>0</v>
      </c>
      <c r="N87" s="35">
        <f ca="1">IF(AND(COLUMN()&gt;=11,COLUMN()&lt;=20),(_xlfn.XLOOKUP($A87,'Oferta Producto 3'!$B$10:$B$21,'Oferta Producto 3'!$E$10:$E$21))/SUMIF($A$7:$AC$128,$A87,$AB$6:$AB$127)*N$5,0)</f>
        <v>0</v>
      </c>
      <c r="O87" s="35">
        <f ca="1">IF(AND(COLUMN()&gt;=11,COLUMN()&lt;=20),(_xlfn.XLOOKUP($A87,'Oferta Producto 3'!$B$10:$B$21,'Oferta Producto 3'!$E$10:$E$21))/SUMIF($A$7:$AC$128,$A87,$AB$6:$AB$127)*O$5,0)</f>
        <v>0</v>
      </c>
      <c r="P87" s="35">
        <f ca="1">IF(AND(COLUMN()&gt;=11,COLUMN()&lt;=20),(_xlfn.XLOOKUP($A87,'Oferta Producto 3'!$B$10:$B$21,'Oferta Producto 3'!$E$10:$E$21))/SUMIF($A$7:$AC$128,$A87,$AB$6:$AB$127)*P$5,0)</f>
        <v>0</v>
      </c>
      <c r="Q87" s="35">
        <f ca="1">IF(AND(COLUMN()&gt;=11,COLUMN()&lt;=20),(_xlfn.XLOOKUP($A87,'Oferta Producto 3'!$B$10:$B$21,'Oferta Producto 3'!$E$10:$E$21))/SUMIF($A$7:$AC$128,$A87,$AB$6:$AB$127)*Q$5,0)</f>
        <v>0</v>
      </c>
      <c r="R87" s="35">
        <f ca="1">IF(AND(COLUMN()&gt;=11,COLUMN()&lt;=20),(_xlfn.XLOOKUP($A87,'Oferta Producto 3'!$B$10:$B$21,'Oferta Producto 3'!$E$10:$E$21))/SUMIF($A$7:$AC$128,$A87,$AB$6:$AB$127)*R$5,0)</f>
        <v>0</v>
      </c>
      <c r="S87" s="35">
        <f ca="1">IF(AND(COLUMN()&gt;=11,COLUMN()&lt;=20),(_xlfn.XLOOKUP($A87,'Oferta Producto 3'!$B$10:$B$21,'Oferta Producto 3'!$E$10:$E$21))/SUMIF($A$7:$AC$128,$A87,$AB$6:$AB$127)*S$5,0)</f>
        <v>0</v>
      </c>
      <c r="T87" s="35">
        <f ca="1">IF(AND(COLUMN()&gt;=11,COLUMN()&lt;=20),(_xlfn.XLOOKUP($A87,'Oferta Producto 3'!$B$10:$B$21,'Oferta Producto 3'!$E$10:$E$21))/SUMIF($A$7:$AC$128,$A87,$AB$6:$AB$127)*T$5,0)</f>
        <v>0</v>
      </c>
      <c r="U87" s="35">
        <f>IF(AND(COLUMN()&gt;=11,COLUMN()&lt;=20),(_xlfn.XLOOKUP($A87,'Oferta Producto 3'!$B$10:$B$21,'Oferta Producto 3'!$E$10:$E$21))/SUMIF($A$7:$AC$128,$A87,$AB$6:$AB$127)*U$5,0)</f>
        <v>0</v>
      </c>
      <c r="V87" s="35">
        <f>IF(AND(COLUMN()&gt;=11,COLUMN()&lt;=20),(_xlfn.XLOOKUP($A87,'Oferta Producto 3'!$B$10:$B$21,'Oferta Producto 3'!$E$10:$E$21))/SUMIF($A$7:$AC$128,$A87,$AB$6:$AB$127)*V$5,0)</f>
        <v>0</v>
      </c>
      <c r="W87" s="35">
        <f>IF(AND(COLUMN()&gt;=11,COLUMN()&lt;=20),(_xlfn.XLOOKUP($A87,'Oferta Producto 3'!$B$10:$B$21,'Oferta Producto 3'!$E$10:$E$21))/SUMIF($A$7:$AC$128,$A87,$AB$6:$AB$127)*W$5,0)</f>
        <v>0</v>
      </c>
      <c r="X87" s="35">
        <f>IF(AND(COLUMN()&gt;=11,COLUMN()&lt;=20),(_xlfn.XLOOKUP($A87,'Oferta Producto 3'!$B$10:$B$21,'Oferta Producto 3'!$E$10:$E$21))/SUMIF($A$7:$AC$128,$A87,$AB$6:$AB$127)*X$5,0)</f>
        <v>0</v>
      </c>
      <c r="Y87" s="35">
        <f>IF(AND(COLUMN()&gt;=11,COLUMN()&lt;=20),(_xlfn.XLOOKUP($A87,'Oferta Producto 3'!$B$10:$B$21,'Oferta Producto 3'!$E$10:$E$21))/SUMIF($A$7:$AC$128,$A87,$AB$6:$AB$127)*Y$5,0)</f>
        <v>0</v>
      </c>
      <c r="Z87" s="35">
        <f>IF(AND(COLUMN()&gt;=11,COLUMN()&lt;=20),(_xlfn.XLOOKUP($A87,'Oferta Producto 3'!$B$10:$B$21,'Oferta Producto 3'!$E$10:$E$21))/SUMIF($A$7:$AC$128,$A87,$AB$6:$AB$127)*Z$5,0)</f>
        <v>0</v>
      </c>
      <c r="AA87" s="35">
        <f t="shared" ca="1" si="12"/>
        <v>0</v>
      </c>
      <c r="AB87" s="28">
        <f t="shared" si="10"/>
        <v>31</v>
      </c>
      <c r="AC87" s="29">
        <f t="shared" ca="1" si="11"/>
        <v>0</v>
      </c>
      <c r="AD87" s="48">
        <f ca="1">'Curvas Prod 3'!AC87/SUMIF('Curvas Prod 3'!A85:AC230,'Curva de la oferta Prod 3'!$A87,'Curvas Prod 3'!AC85:AC230)</f>
        <v>0.14485981308411214</v>
      </c>
      <c r="AE87" s="45"/>
      <c r="AF87" s="49"/>
      <c r="AG87" s="49"/>
      <c r="AH87" s="49"/>
      <c r="AI87" s="49"/>
      <c r="AJ87" s="49"/>
      <c r="AK87" s="49"/>
    </row>
    <row r="88" spans="1:37" ht="15">
      <c r="A88" s="23">
        <f t="shared" si="9"/>
        <v>2032</v>
      </c>
      <c r="B88" s="27">
        <v>48458</v>
      </c>
      <c r="C88" s="35">
        <f>IF(AND(COLUMN()&gt;=11,COLUMN()&lt;=20),(_xlfn.XLOOKUP($A88,'Oferta Producto 3'!$B$10:$B$21,'Oferta Producto 3'!$E$10:$E$21))/SUMIF($A$7:$AC$128,$A88,$AB$6:$AB$127)*C$5,0)</f>
        <v>0</v>
      </c>
      <c r="D88" s="35">
        <f>IF(AND(COLUMN()&gt;=11,COLUMN()&lt;=20),(_xlfn.XLOOKUP($A88,'Oferta Producto 3'!$B$10:$B$21,'Oferta Producto 3'!$E$10:$E$21))/SUMIF($A$7:$AC$128,$A88,$AB$6:$AB$127)*D$5,0)</f>
        <v>0</v>
      </c>
      <c r="E88" s="35">
        <f>IF(AND(COLUMN()&gt;=11,COLUMN()&lt;=20),(_xlfn.XLOOKUP($A88,'Oferta Producto 3'!$B$10:$B$21,'Oferta Producto 3'!$E$10:$E$21))/SUMIF($A$7:$AC$128,$A88,$AB$6:$AB$127)*E$5,0)</f>
        <v>0</v>
      </c>
      <c r="F88" s="35">
        <f>IF(AND(COLUMN()&gt;=11,COLUMN()&lt;=20),(_xlfn.XLOOKUP($A88,'Oferta Producto 3'!$B$10:$B$21,'Oferta Producto 3'!$E$10:$E$21))/SUMIF($A$7:$AC$128,$A88,$AB$6:$AB$127)*F$5,0)</f>
        <v>0</v>
      </c>
      <c r="G88" s="35">
        <f>IF(AND(COLUMN()&gt;=11,COLUMN()&lt;=20),(_xlfn.XLOOKUP($A88,'Oferta Producto 3'!$B$10:$B$21,'Oferta Producto 3'!$E$10:$E$21))/SUMIF($A$7:$AC$128,$A88,$AB$6:$AB$127)*G$5,0)</f>
        <v>0</v>
      </c>
      <c r="H88" s="35">
        <f>IF(AND(COLUMN()&gt;=11,COLUMN()&lt;=20),(_xlfn.XLOOKUP($A88,'Oferta Producto 3'!$B$10:$B$21,'Oferta Producto 3'!$E$10:$E$21))/SUMIF($A$7:$AC$128,$A88,$AB$6:$AB$127)*H$5,0)</f>
        <v>0</v>
      </c>
      <c r="I88" s="35">
        <f>IF(AND(COLUMN()&gt;=11,COLUMN()&lt;=20),(_xlfn.XLOOKUP($A88,'Oferta Producto 3'!$B$10:$B$21,'Oferta Producto 3'!$E$10:$E$21))/SUMIF($A$7:$AC$128,$A88,$AB$6:$AB$127)*I$5,0)</f>
        <v>0</v>
      </c>
      <c r="J88" s="35">
        <f>IF(AND(COLUMN()&gt;=11,COLUMN()&lt;=20),(_xlfn.XLOOKUP($A88,'Oferta Producto 3'!$B$10:$B$21,'Oferta Producto 3'!$E$10:$E$21))/SUMIF($A$7:$AC$128,$A88,$AB$6:$AB$127)*J$5,0)</f>
        <v>0</v>
      </c>
      <c r="K88" s="35">
        <f ca="1">IF(AND(COLUMN()&gt;=11,COLUMN()&lt;=20),(_xlfn.XLOOKUP($A88,'Oferta Producto 3'!$B$10:$B$21,'Oferta Producto 3'!$E$10:$E$21))/SUMIF($A$7:$AC$128,$A88,$AB$6:$AB$127)*K$5,0)</f>
        <v>0</v>
      </c>
      <c r="L88" s="35">
        <f ca="1">IF(AND(COLUMN()&gt;=11,COLUMN()&lt;=20),(_xlfn.XLOOKUP($A88,'Oferta Producto 3'!$B$10:$B$21,'Oferta Producto 3'!$E$10:$E$21))/SUMIF($A$7:$AC$128,$A88,$AB$6:$AB$127)*L$5,0)</f>
        <v>0</v>
      </c>
      <c r="M88" s="35">
        <f ca="1">IF(AND(COLUMN()&gt;=11,COLUMN()&lt;=20),(_xlfn.XLOOKUP($A88,'Oferta Producto 3'!$B$10:$B$21,'Oferta Producto 3'!$E$10:$E$21))/SUMIF($A$7:$AC$128,$A88,$AB$6:$AB$127)*M$5,0)</f>
        <v>0</v>
      </c>
      <c r="N88" s="35">
        <f ca="1">IF(AND(COLUMN()&gt;=11,COLUMN()&lt;=20),(_xlfn.XLOOKUP($A88,'Oferta Producto 3'!$B$10:$B$21,'Oferta Producto 3'!$E$10:$E$21))/SUMIF($A$7:$AC$128,$A88,$AB$6:$AB$127)*N$5,0)</f>
        <v>0</v>
      </c>
      <c r="O88" s="35">
        <f ca="1">IF(AND(COLUMN()&gt;=11,COLUMN()&lt;=20),(_xlfn.XLOOKUP($A88,'Oferta Producto 3'!$B$10:$B$21,'Oferta Producto 3'!$E$10:$E$21))/SUMIF($A$7:$AC$128,$A88,$AB$6:$AB$127)*O$5,0)</f>
        <v>0</v>
      </c>
      <c r="P88" s="35">
        <f ca="1">IF(AND(COLUMN()&gt;=11,COLUMN()&lt;=20),(_xlfn.XLOOKUP($A88,'Oferta Producto 3'!$B$10:$B$21,'Oferta Producto 3'!$E$10:$E$21))/SUMIF($A$7:$AC$128,$A88,$AB$6:$AB$127)*P$5,0)</f>
        <v>0</v>
      </c>
      <c r="Q88" s="35">
        <f ca="1">IF(AND(COLUMN()&gt;=11,COLUMN()&lt;=20),(_xlfn.XLOOKUP($A88,'Oferta Producto 3'!$B$10:$B$21,'Oferta Producto 3'!$E$10:$E$21))/SUMIF($A$7:$AC$128,$A88,$AB$6:$AB$127)*Q$5,0)</f>
        <v>0</v>
      </c>
      <c r="R88" s="35">
        <f ca="1">IF(AND(COLUMN()&gt;=11,COLUMN()&lt;=20),(_xlfn.XLOOKUP($A88,'Oferta Producto 3'!$B$10:$B$21,'Oferta Producto 3'!$E$10:$E$21))/SUMIF($A$7:$AC$128,$A88,$AB$6:$AB$127)*R$5,0)</f>
        <v>0</v>
      </c>
      <c r="S88" s="35">
        <f ca="1">IF(AND(COLUMN()&gt;=11,COLUMN()&lt;=20),(_xlfn.XLOOKUP($A88,'Oferta Producto 3'!$B$10:$B$21,'Oferta Producto 3'!$E$10:$E$21))/SUMIF($A$7:$AC$128,$A88,$AB$6:$AB$127)*S$5,0)</f>
        <v>0</v>
      </c>
      <c r="T88" s="35">
        <f ca="1">IF(AND(COLUMN()&gt;=11,COLUMN()&lt;=20),(_xlfn.XLOOKUP($A88,'Oferta Producto 3'!$B$10:$B$21,'Oferta Producto 3'!$E$10:$E$21))/SUMIF($A$7:$AC$128,$A88,$AB$6:$AB$127)*T$5,0)</f>
        <v>0</v>
      </c>
      <c r="U88" s="35">
        <f>IF(AND(COLUMN()&gt;=11,COLUMN()&lt;=20),(_xlfn.XLOOKUP($A88,'Oferta Producto 3'!$B$10:$B$21,'Oferta Producto 3'!$E$10:$E$21))/SUMIF($A$7:$AC$128,$A88,$AB$6:$AB$127)*U$5,0)</f>
        <v>0</v>
      </c>
      <c r="V88" s="35">
        <f>IF(AND(COLUMN()&gt;=11,COLUMN()&lt;=20),(_xlfn.XLOOKUP($A88,'Oferta Producto 3'!$B$10:$B$21,'Oferta Producto 3'!$E$10:$E$21))/SUMIF($A$7:$AC$128,$A88,$AB$6:$AB$127)*V$5,0)</f>
        <v>0</v>
      </c>
      <c r="W88" s="35">
        <f>IF(AND(COLUMN()&gt;=11,COLUMN()&lt;=20),(_xlfn.XLOOKUP($A88,'Oferta Producto 3'!$B$10:$B$21,'Oferta Producto 3'!$E$10:$E$21))/SUMIF($A$7:$AC$128,$A88,$AB$6:$AB$127)*W$5,0)</f>
        <v>0</v>
      </c>
      <c r="X88" s="35">
        <f>IF(AND(COLUMN()&gt;=11,COLUMN()&lt;=20),(_xlfn.XLOOKUP($A88,'Oferta Producto 3'!$B$10:$B$21,'Oferta Producto 3'!$E$10:$E$21))/SUMIF($A$7:$AC$128,$A88,$AB$6:$AB$127)*X$5,0)</f>
        <v>0</v>
      </c>
      <c r="Y88" s="35">
        <f>IF(AND(COLUMN()&gt;=11,COLUMN()&lt;=20),(_xlfn.XLOOKUP($A88,'Oferta Producto 3'!$B$10:$B$21,'Oferta Producto 3'!$E$10:$E$21))/SUMIF($A$7:$AC$128,$A88,$AB$6:$AB$127)*Y$5,0)</f>
        <v>0</v>
      </c>
      <c r="Z88" s="35">
        <f>IF(AND(COLUMN()&gt;=11,COLUMN()&lt;=20),(_xlfn.XLOOKUP($A88,'Oferta Producto 3'!$B$10:$B$21,'Oferta Producto 3'!$E$10:$E$21))/SUMIF($A$7:$AC$128,$A88,$AB$6:$AB$127)*Z$5,0)</f>
        <v>0</v>
      </c>
      <c r="AA88" s="35">
        <f t="shared" ca="1" si="12"/>
        <v>0</v>
      </c>
      <c r="AB88" s="28">
        <f t="shared" si="10"/>
        <v>30</v>
      </c>
      <c r="AC88" s="29">
        <f t="shared" ca="1" si="11"/>
        <v>0</v>
      </c>
      <c r="AD88" s="48">
        <f ca="1">'Curvas Prod 3'!AC88/SUMIF('Curvas Prod 3'!A86:AC231,'Curva de la oferta Prod 3'!$A88,'Curvas Prod 3'!AC86:AC231)</f>
        <v>0.16304347826086957</v>
      </c>
      <c r="AE88" s="45"/>
      <c r="AF88" s="49"/>
      <c r="AG88" s="49"/>
      <c r="AH88" s="49"/>
      <c r="AI88" s="49"/>
      <c r="AJ88" s="49"/>
      <c r="AK88" s="49"/>
    </row>
    <row r="89" spans="1:37" ht="15">
      <c r="A89" s="23">
        <f t="shared" si="9"/>
        <v>2032</v>
      </c>
      <c r="B89" s="27">
        <v>48488</v>
      </c>
      <c r="C89" s="35">
        <f>IF(AND(COLUMN()&gt;=11,COLUMN()&lt;=20),(_xlfn.XLOOKUP($A89,'Oferta Producto 3'!$B$10:$B$21,'Oferta Producto 3'!$E$10:$E$21))/SUMIF($A$7:$AC$128,$A89,$AB$6:$AB$127)*C$5,0)</f>
        <v>0</v>
      </c>
      <c r="D89" s="35">
        <f>IF(AND(COLUMN()&gt;=11,COLUMN()&lt;=20),(_xlfn.XLOOKUP($A89,'Oferta Producto 3'!$B$10:$B$21,'Oferta Producto 3'!$E$10:$E$21))/SUMIF($A$7:$AC$128,$A89,$AB$6:$AB$127)*D$5,0)</f>
        <v>0</v>
      </c>
      <c r="E89" s="35">
        <f>IF(AND(COLUMN()&gt;=11,COLUMN()&lt;=20),(_xlfn.XLOOKUP($A89,'Oferta Producto 3'!$B$10:$B$21,'Oferta Producto 3'!$E$10:$E$21))/SUMIF($A$7:$AC$128,$A89,$AB$6:$AB$127)*E$5,0)</f>
        <v>0</v>
      </c>
      <c r="F89" s="35">
        <f>IF(AND(COLUMN()&gt;=11,COLUMN()&lt;=20),(_xlfn.XLOOKUP($A89,'Oferta Producto 3'!$B$10:$B$21,'Oferta Producto 3'!$E$10:$E$21))/SUMIF($A$7:$AC$128,$A89,$AB$6:$AB$127)*F$5,0)</f>
        <v>0</v>
      </c>
      <c r="G89" s="35">
        <f>IF(AND(COLUMN()&gt;=11,COLUMN()&lt;=20),(_xlfn.XLOOKUP($A89,'Oferta Producto 3'!$B$10:$B$21,'Oferta Producto 3'!$E$10:$E$21))/SUMIF($A$7:$AC$128,$A89,$AB$6:$AB$127)*G$5,0)</f>
        <v>0</v>
      </c>
      <c r="H89" s="35">
        <f>IF(AND(COLUMN()&gt;=11,COLUMN()&lt;=20),(_xlfn.XLOOKUP($A89,'Oferta Producto 3'!$B$10:$B$21,'Oferta Producto 3'!$E$10:$E$21))/SUMIF($A$7:$AC$128,$A89,$AB$6:$AB$127)*H$5,0)</f>
        <v>0</v>
      </c>
      <c r="I89" s="35">
        <f>IF(AND(COLUMN()&gt;=11,COLUMN()&lt;=20),(_xlfn.XLOOKUP($A89,'Oferta Producto 3'!$B$10:$B$21,'Oferta Producto 3'!$E$10:$E$21))/SUMIF($A$7:$AC$128,$A89,$AB$6:$AB$127)*I$5,0)</f>
        <v>0</v>
      </c>
      <c r="J89" s="35">
        <f>IF(AND(COLUMN()&gt;=11,COLUMN()&lt;=20),(_xlfn.XLOOKUP($A89,'Oferta Producto 3'!$B$10:$B$21,'Oferta Producto 3'!$E$10:$E$21))/SUMIF($A$7:$AC$128,$A89,$AB$6:$AB$127)*J$5,0)</f>
        <v>0</v>
      </c>
      <c r="K89" s="35">
        <f ca="1">IF(AND(COLUMN()&gt;=11,COLUMN()&lt;=20),(_xlfn.XLOOKUP($A89,'Oferta Producto 3'!$B$10:$B$21,'Oferta Producto 3'!$E$10:$E$21))/SUMIF($A$7:$AC$128,$A89,$AB$6:$AB$127)*K$5,0)</f>
        <v>0</v>
      </c>
      <c r="L89" s="35">
        <f ca="1">IF(AND(COLUMN()&gt;=11,COLUMN()&lt;=20),(_xlfn.XLOOKUP($A89,'Oferta Producto 3'!$B$10:$B$21,'Oferta Producto 3'!$E$10:$E$21))/SUMIF($A$7:$AC$128,$A89,$AB$6:$AB$127)*L$5,0)</f>
        <v>0</v>
      </c>
      <c r="M89" s="35">
        <f ca="1">IF(AND(COLUMN()&gt;=11,COLUMN()&lt;=20),(_xlfn.XLOOKUP($A89,'Oferta Producto 3'!$B$10:$B$21,'Oferta Producto 3'!$E$10:$E$21))/SUMIF($A$7:$AC$128,$A89,$AB$6:$AB$127)*M$5,0)</f>
        <v>0</v>
      </c>
      <c r="N89" s="35">
        <f ca="1">IF(AND(COLUMN()&gt;=11,COLUMN()&lt;=20),(_xlfn.XLOOKUP($A89,'Oferta Producto 3'!$B$10:$B$21,'Oferta Producto 3'!$E$10:$E$21))/SUMIF($A$7:$AC$128,$A89,$AB$6:$AB$127)*N$5,0)</f>
        <v>0</v>
      </c>
      <c r="O89" s="35">
        <f ca="1">IF(AND(COLUMN()&gt;=11,COLUMN()&lt;=20),(_xlfn.XLOOKUP($A89,'Oferta Producto 3'!$B$10:$B$21,'Oferta Producto 3'!$E$10:$E$21))/SUMIF($A$7:$AC$128,$A89,$AB$6:$AB$127)*O$5,0)</f>
        <v>0</v>
      </c>
      <c r="P89" s="35">
        <f ca="1">IF(AND(COLUMN()&gt;=11,COLUMN()&lt;=20),(_xlfn.XLOOKUP($A89,'Oferta Producto 3'!$B$10:$B$21,'Oferta Producto 3'!$E$10:$E$21))/SUMIF($A$7:$AC$128,$A89,$AB$6:$AB$127)*P$5,0)</f>
        <v>0</v>
      </c>
      <c r="Q89" s="35">
        <f ca="1">IF(AND(COLUMN()&gt;=11,COLUMN()&lt;=20),(_xlfn.XLOOKUP($A89,'Oferta Producto 3'!$B$10:$B$21,'Oferta Producto 3'!$E$10:$E$21))/SUMIF($A$7:$AC$128,$A89,$AB$6:$AB$127)*Q$5,0)</f>
        <v>0</v>
      </c>
      <c r="R89" s="35">
        <f ca="1">IF(AND(COLUMN()&gt;=11,COLUMN()&lt;=20),(_xlfn.XLOOKUP($A89,'Oferta Producto 3'!$B$10:$B$21,'Oferta Producto 3'!$E$10:$E$21))/SUMIF($A$7:$AC$128,$A89,$AB$6:$AB$127)*R$5,0)</f>
        <v>0</v>
      </c>
      <c r="S89" s="35">
        <f ca="1">IF(AND(COLUMN()&gt;=11,COLUMN()&lt;=20),(_xlfn.XLOOKUP($A89,'Oferta Producto 3'!$B$10:$B$21,'Oferta Producto 3'!$E$10:$E$21))/SUMIF($A$7:$AC$128,$A89,$AB$6:$AB$127)*S$5,0)</f>
        <v>0</v>
      </c>
      <c r="T89" s="35">
        <f ca="1">IF(AND(COLUMN()&gt;=11,COLUMN()&lt;=20),(_xlfn.XLOOKUP($A89,'Oferta Producto 3'!$B$10:$B$21,'Oferta Producto 3'!$E$10:$E$21))/SUMIF($A$7:$AC$128,$A89,$AB$6:$AB$127)*T$5,0)</f>
        <v>0</v>
      </c>
      <c r="U89" s="35">
        <f>IF(AND(COLUMN()&gt;=11,COLUMN()&lt;=20),(_xlfn.XLOOKUP($A89,'Oferta Producto 3'!$B$10:$B$21,'Oferta Producto 3'!$E$10:$E$21))/SUMIF($A$7:$AC$128,$A89,$AB$6:$AB$127)*U$5,0)</f>
        <v>0</v>
      </c>
      <c r="V89" s="35">
        <f>IF(AND(COLUMN()&gt;=11,COLUMN()&lt;=20),(_xlfn.XLOOKUP($A89,'Oferta Producto 3'!$B$10:$B$21,'Oferta Producto 3'!$E$10:$E$21))/SUMIF($A$7:$AC$128,$A89,$AB$6:$AB$127)*V$5,0)</f>
        <v>0</v>
      </c>
      <c r="W89" s="35">
        <f>IF(AND(COLUMN()&gt;=11,COLUMN()&lt;=20),(_xlfn.XLOOKUP($A89,'Oferta Producto 3'!$B$10:$B$21,'Oferta Producto 3'!$E$10:$E$21))/SUMIF($A$7:$AC$128,$A89,$AB$6:$AB$127)*W$5,0)</f>
        <v>0</v>
      </c>
      <c r="X89" s="35">
        <f>IF(AND(COLUMN()&gt;=11,COLUMN()&lt;=20),(_xlfn.XLOOKUP($A89,'Oferta Producto 3'!$B$10:$B$21,'Oferta Producto 3'!$E$10:$E$21))/SUMIF($A$7:$AC$128,$A89,$AB$6:$AB$127)*X$5,0)</f>
        <v>0</v>
      </c>
      <c r="Y89" s="35">
        <f>IF(AND(COLUMN()&gt;=11,COLUMN()&lt;=20),(_xlfn.XLOOKUP($A89,'Oferta Producto 3'!$B$10:$B$21,'Oferta Producto 3'!$E$10:$E$21))/SUMIF($A$7:$AC$128,$A89,$AB$6:$AB$127)*Y$5,0)</f>
        <v>0</v>
      </c>
      <c r="Z89" s="35">
        <f>IF(AND(COLUMN()&gt;=11,COLUMN()&lt;=20),(_xlfn.XLOOKUP($A89,'Oferta Producto 3'!$B$10:$B$21,'Oferta Producto 3'!$E$10:$E$21))/SUMIF($A$7:$AC$128,$A89,$AB$6:$AB$127)*Z$5,0)</f>
        <v>0</v>
      </c>
      <c r="AA89" s="35">
        <f t="shared" ca="1" si="12"/>
        <v>0</v>
      </c>
      <c r="AB89" s="28">
        <f t="shared" si="10"/>
        <v>31</v>
      </c>
      <c r="AC89" s="29">
        <f t="shared" ca="1" si="11"/>
        <v>0</v>
      </c>
      <c r="AD89" s="48">
        <f ca="1">'Curvas Prod 3'!AC89/SUMIF('Curvas Prod 3'!A87:AC232,'Curva de la oferta Prod 3'!$A89,'Curvas Prod 3'!AC87:AC232)</f>
        <v>0.20261437908496732</v>
      </c>
      <c r="AE89" s="45"/>
      <c r="AF89" s="49"/>
      <c r="AG89" s="49"/>
      <c r="AH89" s="49"/>
      <c r="AI89" s="49"/>
      <c r="AJ89" s="49"/>
      <c r="AK89" s="49"/>
    </row>
    <row r="90" spans="1:37" ht="15">
      <c r="A90" s="23">
        <f t="shared" si="9"/>
        <v>2032</v>
      </c>
      <c r="B90" s="27">
        <v>48519</v>
      </c>
      <c r="C90" s="35">
        <f>IF(AND(COLUMN()&gt;=11,COLUMN()&lt;=20),(_xlfn.XLOOKUP($A90,'Oferta Producto 3'!$B$10:$B$21,'Oferta Producto 3'!$E$10:$E$21))/SUMIF($A$7:$AC$128,$A90,$AB$6:$AB$127)*C$5,0)</f>
        <v>0</v>
      </c>
      <c r="D90" s="35">
        <f>IF(AND(COLUMN()&gt;=11,COLUMN()&lt;=20),(_xlfn.XLOOKUP($A90,'Oferta Producto 3'!$B$10:$B$21,'Oferta Producto 3'!$E$10:$E$21))/SUMIF($A$7:$AC$128,$A90,$AB$6:$AB$127)*D$5,0)</f>
        <v>0</v>
      </c>
      <c r="E90" s="35">
        <f>IF(AND(COLUMN()&gt;=11,COLUMN()&lt;=20),(_xlfn.XLOOKUP($A90,'Oferta Producto 3'!$B$10:$B$21,'Oferta Producto 3'!$E$10:$E$21))/SUMIF($A$7:$AC$128,$A90,$AB$6:$AB$127)*E$5,0)</f>
        <v>0</v>
      </c>
      <c r="F90" s="35">
        <f>IF(AND(COLUMN()&gt;=11,COLUMN()&lt;=20),(_xlfn.XLOOKUP($A90,'Oferta Producto 3'!$B$10:$B$21,'Oferta Producto 3'!$E$10:$E$21))/SUMIF($A$7:$AC$128,$A90,$AB$6:$AB$127)*F$5,0)</f>
        <v>0</v>
      </c>
      <c r="G90" s="35">
        <f>IF(AND(COLUMN()&gt;=11,COLUMN()&lt;=20),(_xlfn.XLOOKUP($A90,'Oferta Producto 3'!$B$10:$B$21,'Oferta Producto 3'!$E$10:$E$21))/SUMIF($A$7:$AC$128,$A90,$AB$6:$AB$127)*G$5,0)</f>
        <v>0</v>
      </c>
      <c r="H90" s="35">
        <f>IF(AND(COLUMN()&gt;=11,COLUMN()&lt;=20),(_xlfn.XLOOKUP($A90,'Oferta Producto 3'!$B$10:$B$21,'Oferta Producto 3'!$E$10:$E$21))/SUMIF($A$7:$AC$128,$A90,$AB$6:$AB$127)*H$5,0)</f>
        <v>0</v>
      </c>
      <c r="I90" s="35">
        <f>IF(AND(COLUMN()&gt;=11,COLUMN()&lt;=20),(_xlfn.XLOOKUP($A90,'Oferta Producto 3'!$B$10:$B$21,'Oferta Producto 3'!$E$10:$E$21))/SUMIF($A$7:$AC$128,$A90,$AB$6:$AB$127)*I$5,0)</f>
        <v>0</v>
      </c>
      <c r="J90" s="35">
        <f>IF(AND(COLUMN()&gt;=11,COLUMN()&lt;=20),(_xlfn.XLOOKUP($A90,'Oferta Producto 3'!$B$10:$B$21,'Oferta Producto 3'!$E$10:$E$21))/SUMIF($A$7:$AC$128,$A90,$AB$6:$AB$127)*J$5,0)</f>
        <v>0</v>
      </c>
      <c r="K90" s="35">
        <f ca="1">IF(AND(COLUMN()&gt;=11,COLUMN()&lt;=20),(_xlfn.XLOOKUP($A90,'Oferta Producto 3'!$B$10:$B$21,'Oferta Producto 3'!$E$10:$E$21))/SUMIF($A$7:$AC$128,$A90,$AB$6:$AB$127)*K$5,0)</f>
        <v>0</v>
      </c>
      <c r="L90" s="35">
        <f ca="1">IF(AND(COLUMN()&gt;=11,COLUMN()&lt;=20),(_xlfn.XLOOKUP($A90,'Oferta Producto 3'!$B$10:$B$21,'Oferta Producto 3'!$E$10:$E$21))/SUMIF($A$7:$AC$128,$A90,$AB$6:$AB$127)*L$5,0)</f>
        <v>0</v>
      </c>
      <c r="M90" s="35">
        <f ca="1">IF(AND(COLUMN()&gt;=11,COLUMN()&lt;=20),(_xlfn.XLOOKUP($A90,'Oferta Producto 3'!$B$10:$B$21,'Oferta Producto 3'!$E$10:$E$21))/SUMIF($A$7:$AC$128,$A90,$AB$6:$AB$127)*M$5,0)</f>
        <v>0</v>
      </c>
      <c r="N90" s="35">
        <f ca="1">IF(AND(COLUMN()&gt;=11,COLUMN()&lt;=20),(_xlfn.XLOOKUP($A90,'Oferta Producto 3'!$B$10:$B$21,'Oferta Producto 3'!$E$10:$E$21))/SUMIF($A$7:$AC$128,$A90,$AB$6:$AB$127)*N$5,0)</f>
        <v>0</v>
      </c>
      <c r="O90" s="35">
        <f ca="1">IF(AND(COLUMN()&gt;=11,COLUMN()&lt;=20),(_xlfn.XLOOKUP($A90,'Oferta Producto 3'!$B$10:$B$21,'Oferta Producto 3'!$E$10:$E$21))/SUMIF($A$7:$AC$128,$A90,$AB$6:$AB$127)*O$5,0)</f>
        <v>0</v>
      </c>
      <c r="P90" s="35">
        <f ca="1">IF(AND(COLUMN()&gt;=11,COLUMN()&lt;=20),(_xlfn.XLOOKUP($A90,'Oferta Producto 3'!$B$10:$B$21,'Oferta Producto 3'!$E$10:$E$21))/SUMIF($A$7:$AC$128,$A90,$AB$6:$AB$127)*P$5,0)</f>
        <v>0</v>
      </c>
      <c r="Q90" s="35">
        <f ca="1">IF(AND(COLUMN()&gt;=11,COLUMN()&lt;=20),(_xlfn.XLOOKUP($A90,'Oferta Producto 3'!$B$10:$B$21,'Oferta Producto 3'!$E$10:$E$21))/SUMIF($A$7:$AC$128,$A90,$AB$6:$AB$127)*Q$5,0)</f>
        <v>0</v>
      </c>
      <c r="R90" s="35">
        <f ca="1">IF(AND(COLUMN()&gt;=11,COLUMN()&lt;=20),(_xlfn.XLOOKUP($A90,'Oferta Producto 3'!$B$10:$B$21,'Oferta Producto 3'!$E$10:$E$21))/SUMIF($A$7:$AC$128,$A90,$AB$6:$AB$127)*R$5,0)</f>
        <v>0</v>
      </c>
      <c r="S90" s="35">
        <f ca="1">IF(AND(COLUMN()&gt;=11,COLUMN()&lt;=20),(_xlfn.XLOOKUP($A90,'Oferta Producto 3'!$B$10:$B$21,'Oferta Producto 3'!$E$10:$E$21))/SUMIF($A$7:$AC$128,$A90,$AB$6:$AB$127)*S$5,0)</f>
        <v>0</v>
      </c>
      <c r="T90" s="35">
        <f ca="1">IF(AND(COLUMN()&gt;=11,COLUMN()&lt;=20),(_xlfn.XLOOKUP($A90,'Oferta Producto 3'!$B$10:$B$21,'Oferta Producto 3'!$E$10:$E$21))/SUMIF($A$7:$AC$128,$A90,$AB$6:$AB$127)*T$5,0)</f>
        <v>0</v>
      </c>
      <c r="U90" s="35">
        <f>IF(AND(COLUMN()&gt;=11,COLUMN()&lt;=20),(_xlfn.XLOOKUP($A90,'Oferta Producto 3'!$B$10:$B$21,'Oferta Producto 3'!$E$10:$E$21))/SUMIF($A$7:$AC$128,$A90,$AB$6:$AB$127)*U$5,0)</f>
        <v>0</v>
      </c>
      <c r="V90" s="35">
        <f>IF(AND(COLUMN()&gt;=11,COLUMN()&lt;=20),(_xlfn.XLOOKUP($A90,'Oferta Producto 3'!$B$10:$B$21,'Oferta Producto 3'!$E$10:$E$21))/SUMIF($A$7:$AC$128,$A90,$AB$6:$AB$127)*V$5,0)</f>
        <v>0</v>
      </c>
      <c r="W90" s="35">
        <f>IF(AND(COLUMN()&gt;=11,COLUMN()&lt;=20),(_xlfn.XLOOKUP($A90,'Oferta Producto 3'!$B$10:$B$21,'Oferta Producto 3'!$E$10:$E$21))/SUMIF($A$7:$AC$128,$A90,$AB$6:$AB$127)*W$5,0)</f>
        <v>0</v>
      </c>
      <c r="X90" s="35">
        <f>IF(AND(COLUMN()&gt;=11,COLUMN()&lt;=20),(_xlfn.XLOOKUP($A90,'Oferta Producto 3'!$B$10:$B$21,'Oferta Producto 3'!$E$10:$E$21))/SUMIF($A$7:$AC$128,$A90,$AB$6:$AB$127)*X$5,0)</f>
        <v>0</v>
      </c>
      <c r="Y90" s="35">
        <f>IF(AND(COLUMN()&gt;=11,COLUMN()&lt;=20),(_xlfn.XLOOKUP($A90,'Oferta Producto 3'!$B$10:$B$21,'Oferta Producto 3'!$E$10:$E$21))/SUMIF($A$7:$AC$128,$A90,$AB$6:$AB$127)*Y$5,0)</f>
        <v>0</v>
      </c>
      <c r="Z90" s="35">
        <f>IF(AND(COLUMN()&gt;=11,COLUMN()&lt;=20),(_xlfn.XLOOKUP($A90,'Oferta Producto 3'!$B$10:$B$21,'Oferta Producto 3'!$E$10:$E$21))/SUMIF($A$7:$AC$128,$A90,$AB$6:$AB$127)*Z$5,0)</f>
        <v>0</v>
      </c>
      <c r="AA90" s="35">
        <f t="shared" ca="1" si="12"/>
        <v>0</v>
      </c>
      <c r="AB90" s="28">
        <f t="shared" si="10"/>
        <v>30</v>
      </c>
      <c r="AC90" s="29">
        <f t="shared" ca="1" si="11"/>
        <v>0</v>
      </c>
      <c r="AD90" s="48">
        <f ca="1">'Curvas Prod 3'!AC90/SUMIF('Curvas Prod 3'!A88:AC233,'Curva de la oferta Prod 3'!$A90,'Curvas Prod 3'!AC88:AC233)</f>
        <v>0.24590163934426229</v>
      </c>
      <c r="AE90" s="45"/>
      <c r="AF90" s="49"/>
      <c r="AG90" s="49"/>
      <c r="AH90" s="49"/>
      <c r="AI90" s="49"/>
      <c r="AJ90" s="49"/>
      <c r="AK90" s="49"/>
    </row>
    <row r="91" spans="1:37" ht="15">
      <c r="A91" s="23">
        <f t="shared" si="9"/>
        <v>2032</v>
      </c>
      <c r="B91" s="27">
        <v>48549</v>
      </c>
      <c r="C91" s="35">
        <f>IF(AND(COLUMN()&gt;=11,COLUMN()&lt;=20),(_xlfn.XLOOKUP($A91,'Oferta Producto 3'!$B$10:$B$21,'Oferta Producto 3'!$E$10:$E$21))/SUMIF($A$7:$AC$128,$A91,$AB$6:$AB$127)*C$5,0)</f>
        <v>0</v>
      </c>
      <c r="D91" s="35">
        <f>IF(AND(COLUMN()&gt;=11,COLUMN()&lt;=20),(_xlfn.XLOOKUP($A91,'Oferta Producto 3'!$B$10:$B$21,'Oferta Producto 3'!$E$10:$E$21))/SUMIF($A$7:$AC$128,$A91,$AB$6:$AB$127)*D$5,0)</f>
        <v>0</v>
      </c>
      <c r="E91" s="35">
        <f>IF(AND(COLUMN()&gt;=11,COLUMN()&lt;=20),(_xlfn.XLOOKUP($A91,'Oferta Producto 3'!$B$10:$B$21,'Oferta Producto 3'!$E$10:$E$21))/SUMIF($A$7:$AC$128,$A91,$AB$6:$AB$127)*E$5,0)</f>
        <v>0</v>
      </c>
      <c r="F91" s="35">
        <f>IF(AND(COLUMN()&gt;=11,COLUMN()&lt;=20),(_xlfn.XLOOKUP($A91,'Oferta Producto 3'!$B$10:$B$21,'Oferta Producto 3'!$E$10:$E$21))/SUMIF($A$7:$AC$128,$A91,$AB$6:$AB$127)*F$5,0)</f>
        <v>0</v>
      </c>
      <c r="G91" s="35">
        <f>IF(AND(COLUMN()&gt;=11,COLUMN()&lt;=20),(_xlfn.XLOOKUP($A91,'Oferta Producto 3'!$B$10:$B$21,'Oferta Producto 3'!$E$10:$E$21))/SUMIF($A$7:$AC$128,$A91,$AB$6:$AB$127)*G$5,0)</f>
        <v>0</v>
      </c>
      <c r="H91" s="35">
        <f>IF(AND(COLUMN()&gt;=11,COLUMN()&lt;=20),(_xlfn.XLOOKUP($A91,'Oferta Producto 3'!$B$10:$B$21,'Oferta Producto 3'!$E$10:$E$21))/SUMIF($A$7:$AC$128,$A91,$AB$6:$AB$127)*H$5,0)</f>
        <v>0</v>
      </c>
      <c r="I91" s="35">
        <f>IF(AND(COLUMN()&gt;=11,COLUMN()&lt;=20),(_xlfn.XLOOKUP($A91,'Oferta Producto 3'!$B$10:$B$21,'Oferta Producto 3'!$E$10:$E$21))/SUMIF($A$7:$AC$128,$A91,$AB$6:$AB$127)*I$5,0)</f>
        <v>0</v>
      </c>
      <c r="J91" s="35">
        <f>IF(AND(COLUMN()&gt;=11,COLUMN()&lt;=20),(_xlfn.XLOOKUP($A91,'Oferta Producto 3'!$B$10:$B$21,'Oferta Producto 3'!$E$10:$E$21))/SUMIF($A$7:$AC$128,$A91,$AB$6:$AB$127)*J$5,0)</f>
        <v>0</v>
      </c>
      <c r="K91" s="35">
        <f ca="1">IF(AND(COLUMN()&gt;=11,COLUMN()&lt;=20),(_xlfn.XLOOKUP($A91,'Oferta Producto 3'!$B$10:$B$21,'Oferta Producto 3'!$E$10:$E$21))/SUMIF($A$7:$AC$128,$A91,$AB$6:$AB$127)*K$5,0)</f>
        <v>0</v>
      </c>
      <c r="L91" s="35">
        <f ca="1">IF(AND(COLUMN()&gt;=11,COLUMN()&lt;=20),(_xlfn.XLOOKUP($A91,'Oferta Producto 3'!$B$10:$B$21,'Oferta Producto 3'!$E$10:$E$21))/SUMIF($A$7:$AC$128,$A91,$AB$6:$AB$127)*L$5,0)</f>
        <v>0</v>
      </c>
      <c r="M91" s="35">
        <f ca="1">IF(AND(COLUMN()&gt;=11,COLUMN()&lt;=20),(_xlfn.XLOOKUP($A91,'Oferta Producto 3'!$B$10:$B$21,'Oferta Producto 3'!$E$10:$E$21))/SUMIF($A$7:$AC$128,$A91,$AB$6:$AB$127)*M$5,0)</f>
        <v>0</v>
      </c>
      <c r="N91" s="35">
        <f ca="1">IF(AND(COLUMN()&gt;=11,COLUMN()&lt;=20),(_xlfn.XLOOKUP($A91,'Oferta Producto 3'!$B$10:$B$21,'Oferta Producto 3'!$E$10:$E$21))/SUMIF($A$7:$AC$128,$A91,$AB$6:$AB$127)*N$5,0)</f>
        <v>0</v>
      </c>
      <c r="O91" s="35">
        <f ca="1">IF(AND(COLUMN()&gt;=11,COLUMN()&lt;=20),(_xlfn.XLOOKUP($A91,'Oferta Producto 3'!$B$10:$B$21,'Oferta Producto 3'!$E$10:$E$21))/SUMIF($A$7:$AC$128,$A91,$AB$6:$AB$127)*O$5,0)</f>
        <v>0</v>
      </c>
      <c r="P91" s="35">
        <f ca="1">IF(AND(COLUMN()&gt;=11,COLUMN()&lt;=20),(_xlfn.XLOOKUP($A91,'Oferta Producto 3'!$B$10:$B$21,'Oferta Producto 3'!$E$10:$E$21))/SUMIF($A$7:$AC$128,$A91,$AB$6:$AB$127)*P$5,0)</f>
        <v>0</v>
      </c>
      <c r="Q91" s="35">
        <f ca="1">IF(AND(COLUMN()&gt;=11,COLUMN()&lt;=20),(_xlfn.XLOOKUP($A91,'Oferta Producto 3'!$B$10:$B$21,'Oferta Producto 3'!$E$10:$E$21))/SUMIF($A$7:$AC$128,$A91,$AB$6:$AB$127)*Q$5,0)</f>
        <v>0</v>
      </c>
      <c r="R91" s="35">
        <f ca="1">IF(AND(COLUMN()&gt;=11,COLUMN()&lt;=20),(_xlfn.XLOOKUP($A91,'Oferta Producto 3'!$B$10:$B$21,'Oferta Producto 3'!$E$10:$E$21))/SUMIF($A$7:$AC$128,$A91,$AB$6:$AB$127)*R$5,0)</f>
        <v>0</v>
      </c>
      <c r="S91" s="35">
        <f ca="1">IF(AND(COLUMN()&gt;=11,COLUMN()&lt;=20),(_xlfn.XLOOKUP($A91,'Oferta Producto 3'!$B$10:$B$21,'Oferta Producto 3'!$E$10:$E$21))/SUMIF($A$7:$AC$128,$A91,$AB$6:$AB$127)*S$5,0)</f>
        <v>0</v>
      </c>
      <c r="T91" s="35">
        <f ca="1">IF(AND(COLUMN()&gt;=11,COLUMN()&lt;=20),(_xlfn.XLOOKUP($A91,'Oferta Producto 3'!$B$10:$B$21,'Oferta Producto 3'!$E$10:$E$21))/SUMIF($A$7:$AC$128,$A91,$AB$6:$AB$127)*T$5,0)</f>
        <v>0</v>
      </c>
      <c r="U91" s="35">
        <f>IF(AND(COLUMN()&gt;=11,COLUMN()&lt;=20),(_xlfn.XLOOKUP($A91,'Oferta Producto 3'!$B$10:$B$21,'Oferta Producto 3'!$E$10:$E$21))/SUMIF($A$7:$AC$128,$A91,$AB$6:$AB$127)*U$5,0)</f>
        <v>0</v>
      </c>
      <c r="V91" s="35">
        <f>IF(AND(COLUMN()&gt;=11,COLUMN()&lt;=20),(_xlfn.XLOOKUP($A91,'Oferta Producto 3'!$B$10:$B$21,'Oferta Producto 3'!$E$10:$E$21))/SUMIF($A$7:$AC$128,$A91,$AB$6:$AB$127)*V$5,0)</f>
        <v>0</v>
      </c>
      <c r="W91" s="35">
        <f>IF(AND(COLUMN()&gt;=11,COLUMN()&lt;=20),(_xlfn.XLOOKUP($A91,'Oferta Producto 3'!$B$10:$B$21,'Oferta Producto 3'!$E$10:$E$21))/SUMIF($A$7:$AC$128,$A91,$AB$6:$AB$127)*W$5,0)</f>
        <v>0</v>
      </c>
      <c r="X91" s="35">
        <f>IF(AND(COLUMN()&gt;=11,COLUMN()&lt;=20),(_xlfn.XLOOKUP($A91,'Oferta Producto 3'!$B$10:$B$21,'Oferta Producto 3'!$E$10:$E$21))/SUMIF($A$7:$AC$128,$A91,$AB$6:$AB$127)*X$5,0)</f>
        <v>0</v>
      </c>
      <c r="Y91" s="35">
        <f>IF(AND(COLUMN()&gt;=11,COLUMN()&lt;=20),(_xlfn.XLOOKUP($A91,'Oferta Producto 3'!$B$10:$B$21,'Oferta Producto 3'!$E$10:$E$21))/SUMIF($A$7:$AC$128,$A91,$AB$6:$AB$127)*Y$5,0)</f>
        <v>0</v>
      </c>
      <c r="Z91" s="35">
        <f>IF(AND(COLUMN()&gt;=11,COLUMN()&lt;=20),(_xlfn.XLOOKUP($A91,'Oferta Producto 3'!$B$10:$B$21,'Oferta Producto 3'!$E$10:$E$21))/SUMIF($A$7:$AC$128,$A91,$AB$6:$AB$127)*Z$5,0)</f>
        <v>0</v>
      </c>
      <c r="AA91" s="35">
        <f t="shared" ca="1" si="12"/>
        <v>0</v>
      </c>
      <c r="AB91" s="28">
        <f t="shared" si="10"/>
        <v>31</v>
      </c>
      <c r="AC91" s="29">
        <f t="shared" ca="1" si="11"/>
        <v>0</v>
      </c>
      <c r="AD91" s="48">
        <f ca="1">'Curvas Prod 3'!AC91/SUMIF('Curvas Prod 3'!A89:AC234,'Curva de la oferta Prod 3'!$A91,'Curvas Prod 3'!AC89:AC234)</f>
        <v>0.33695652173913043</v>
      </c>
      <c r="AE91" s="45"/>
      <c r="AF91" s="49"/>
      <c r="AG91" s="49"/>
      <c r="AH91" s="49"/>
      <c r="AI91" s="49"/>
      <c r="AJ91" s="49"/>
      <c r="AK91" s="49"/>
    </row>
    <row r="92" spans="1:37" ht="15">
      <c r="A92" s="23">
        <f t="shared" si="9"/>
        <v>2033</v>
      </c>
      <c r="B92" s="27">
        <v>48580</v>
      </c>
      <c r="C92" s="35">
        <f>IF(AND(COLUMN()&gt;=11,COLUMN()&lt;=20),(_xlfn.XLOOKUP($A92,'Oferta Producto 3'!$B$10:$B$21,'Oferta Producto 3'!$E$10:$E$21))/SUMIF($A$7:$AC$128,$A92,$AB$6:$AB$127)*C$5,0)</f>
        <v>0</v>
      </c>
      <c r="D92" s="35">
        <f>IF(AND(COLUMN()&gt;=11,COLUMN()&lt;=20),(_xlfn.XLOOKUP($A92,'Oferta Producto 3'!$B$10:$B$21,'Oferta Producto 3'!$E$10:$E$21))/SUMIF($A$7:$AC$128,$A92,$AB$6:$AB$127)*D$5,0)</f>
        <v>0</v>
      </c>
      <c r="E92" s="35">
        <f>IF(AND(COLUMN()&gt;=11,COLUMN()&lt;=20),(_xlfn.XLOOKUP($A92,'Oferta Producto 3'!$B$10:$B$21,'Oferta Producto 3'!$E$10:$E$21))/SUMIF($A$7:$AC$128,$A92,$AB$6:$AB$127)*E$5,0)</f>
        <v>0</v>
      </c>
      <c r="F92" s="35">
        <f>IF(AND(COLUMN()&gt;=11,COLUMN()&lt;=20),(_xlfn.XLOOKUP($A92,'Oferta Producto 3'!$B$10:$B$21,'Oferta Producto 3'!$E$10:$E$21))/SUMIF($A$7:$AC$128,$A92,$AB$6:$AB$127)*F$5,0)</f>
        <v>0</v>
      </c>
      <c r="G92" s="35">
        <f>IF(AND(COLUMN()&gt;=11,COLUMN()&lt;=20),(_xlfn.XLOOKUP($A92,'Oferta Producto 3'!$B$10:$B$21,'Oferta Producto 3'!$E$10:$E$21))/SUMIF($A$7:$AC$128,$A92,$AB$6:$AB$127)*G$5,0)</f>
        <v>0</v>
      </c>
      <c r="H92" s="35">
        <f>IF(AND(COLUMN()&gt;=11,COLUMN()&lt;=20),(_xlfn.XLOOKUP($A92,'Oferta Producto 3'!$B$10:$B$21,'Oferta Producto 3'!$E$10:$E$21))/SUMIF($A$7:$AC$128,$A92,$AB$6:$AB$127)*H$5,0)</f>
        <v>0</v>
      </c>
      <c r="I92" s="35">
        <f>IF(AND(COLUMN()&gt;=11,COLUMN()&lt;=20),(_xlfn.XLOOKUP($A92,'Oferta Producto 3'!$B$10:$B$21,'Oferta Producto 3'!$E$10:$E$21))/SUMIF($A$7:$AC$128,$A92,$AB$6:$AB$127)*I$5,0)</f>
        <v>0</v>
      </c>
      <c r="J92" s="35">
        <f>IF(AND(COLUMN()&gt;=11,COLUMN()&lt;=20),(_xlfn.XLOOKUP($A92,'Oferta Producto 3'!$B$10:$B$21,'Oferta Producto 3'!$E$10:$E$21))/SUMIF($A$7:$AC$128,$A92,$AB$6:$AB$127)*J$5,0)</f>
        <v>0</v>
      </c>
      <c r="K92" s="35">
        <f ca="1">IF(AND(COLUMN()&gt;=11,COLUMN()&lt;=20),(_xlfn.XLOOKUP($A92,'Oferta Producto 3'!$B$10:$B$21,'Oferta Producto 3'!$E$10:$E$21))/SUMIF($A$7:$AC$128,$A92,$AB$6:$AB$127)*K$5,0)</f>
        <v>0</v>
      </c>
      <c r="L92" s="35">
        <f ca="1">IF(AND(COLUMN()&gt;=11,COLUMN()&lt;=20),(_xlfn.XLOOKUP($A92,'Oferta Producto 3'!$B$10:$B$21,'Oferta Producto 3'!$E$10:$E$21))/SUMIF($A$7:$AC$128,$A92,$AB$6:$AB$127)*L$5,0)</f>
        <v>0</v>
      </c>
      <c r="M92" s="35">
        <f ca="1">IF(AND(COLUMN()&gt;=11,COLUMN()&lt;=20),(_xlfn.XLOOKUP($A92,'Oferta Producto 3'!$B$10:$B$21,'Oferta Producto 3'!$E$10:$E$21))/SUMIF($A$7:$AC$128,$A92,$AB$6:$AB$127)*M$5,0)</f>
        <v>0</v>
      </c>
      <c r="N92" s="35">
        <f ca="1">IF(AND(COLUMN()&gt;=11,COLUMN()&lt;=20),(_xlfn.XLOOKUP($A92,'Oferta Producto 3'!$B$10:$B$21,'Oferta Producto 3'!$E$10:$E$21))/SUMIF($A$7:$AC$128,$A92,$AB$6:$AB$127)*N$5,0)</f>
        <v>0</v>
      </c>
      <c r="O92" s="35">
        <f ca="1">IF(AND(COLUMN()&gt;=11,COLUMN()&lt;=20),(_xlfn.XLOOKUP($A92,'Oferta Producto 3'!$B$10:$B$21,'Oferta Producto 3'!$E$10:$E$21))/SUMIF($A$7:$AC$128,$A92,$AB$6:$AB$127)*O$5,0)</f>
        <v>0</v>
      </c>
      <c r="P92" s="35">
        <f ca="1">IF(AND(COLUMN()&gt;=11,COLUMN()&lt;=20),(_xlfn.XLOOKUP($A92,'Oferta Producto 3'!$B$10:$B$21,'Oferta Producto 3'!$E$10:$E$21))/SUMIF($A$7:$AC$128,$A92,$AB$6:$AB$127)*P$5,0)</f>
        <v>0</v>
      </c>
      <c r="Q92" s="35">
        <f ca="1">IF(AND(COLUMN()&gt;=11,COLUMN()&lt;=20),(_xlfn.XLOOKUP($A92,'Oferta Producto 3'!$B$10:$B$21,'Oferta Producto 3'!$E$10:$E$21))/SUMIF($A$7:$AC$128,$A92,$AB$6:$AB$127)*Q$5,0)</f>
        <v>0</v>
      </c>
      <c r="R92" s="35">
        <f ca="1">IF(AND(COLUMN()&gt;=11,COLUMN()&lt;=20),(_xlfn.XLOOKUP($A92,'Oferta Producto 3'!$B$10:$B$21,'Oferta Producto 3'!$E$10:$E$21))/SUMIF($A$7:$AC$128,$A92,$AB$6:$AB$127)*R$5,0)</f>
        <v>0</v>
      </c>
      <c r="S92" s="35">
        <f ca="1">IF(AND(COLUMN()&gt;=11,COLUMN()&lt;=20),(_xlfn.XLOOKUP($A92,'Oferta Producto 3'!$B$10:$B$21,'Oferta Producto 3'!$E$10:$E$21))/SUMIF($A$7:$AC$128,$A92,$AB$6:$AB$127)*S$5,0)</f>
        <v>0</v>
      </c>
      <c r="T92" s="35">
        <f ca="1">IF(AND(COLUMN()&gt;=11,COLUMN()&lt;=20),(_xlfn.XLOOKUP($A92,'Oferta Producto 3'!$B$10:$B$21,'Oferta Producto 3'!$E$10:$E$21))/SUMIF($A$7:$AC$128,$A92,$AB$6:$AB$127)*T$5,0)</f>
        <v>0</v>
      </c>
      <c r="U92" s="35">
        <f>IF(AND(COLUMN()&gt;=11,COLUMN()&lt;=20),(_xlfn.XLOOKUP($A92,'Oferta Producto 3'!$B$10:$B$21,'Oferta Producto 3'!$E$10:$E$21))/SUMIF($A$7:$AC$128,$A92,$AB$6:$AB$127)*U$5,0)</f>
        <v>0</v>
      </c>
      <c r="V92" s="35">
        <f>IF(AND(COLUMN()&gt;=11,COLUMN()&lt;=20),(_xlfn.XLOOKUP($A92,'Oferta Producto 3'!$B$10:$B$21,'Oferta Producto 3'!$E$10:$E$21))/SUMIF($A$7:$AC$128,$A92,$AB$6:$AB$127)*V$5,0)</f>
        <v>0</v>
      </c>
      <c r="W92" s="35">
        <f>IF(AND(COLUMN()&gt;=11,COLUMN()&lt;=20),(_xlfn.XLOOKUP($A92,'Oferta Producto 3'!$B$10:$B$21,'Oferta Producto 3'!$E$10:$E$21))/SUMIF($A$7:$AC$128,$A92,$AB$6:$AB$127)*W$5,0)</f>
        <v>0</v>
      </c>
      <c r="X92" s="35">
        <f>IF(AND(COLUMN()&gt;=11,COLUMN()&lt;=20),(_xlfn.XLOOKUP($A92,'Oferta Producto 3'!$B$10:$B$21,'Oferta Producto 3'!$E$10:$E$21))/SUMIF($A$7:$AC$128,$A92,$AB$6:$AB$127)*X$5,0)</f>
        <v>0</v>
      </c>
      <c r="Y92" s="35">
        <f>IF(AND(COLUMN()&gt;=11,COLUMN()&lt;=20),(_xlfn.XLOOKUP($A92,'Oferta Producto 3'!$B$10:$B$21,'Oferta Producto 3'!$E$10:$E$21))/SUMIF($A$7:$AC$128,$A92,$AB$6:$AB$127)*Y$5,0)</f>
        <v>0</v>
      </c>
      <c r="Z92" s="35">
        <f>IF(AND(COLUMN()&gt;=11,COLUMN()&lt;=20),(_xlfn.XLOOKUP($A92,'Oferta Producto 3'!$B$10:$B$21,'Oferta Producto 3'!$E$10:$E$21))/SUMIF($A$7:$AC$128,$A92,$AB$6:$AB$127)*Z$5,0)</f>
        <v>0</v>
      </c>
      <c r="AA92" s="35">
        <f t="shared" ref="AA92" ca="1" si="13">SUM(C92:Z92)</f>
        <v>0</v>
      </c>
      <c r="AB92" s="28">
        <f t="shared" si="10"/>
        <v>31</v>
      </c>
      <c r="AC92" s="29">
        <f t="shared" ca="1" si="11"/>
        <v>0</v>
      </c>
      <c r="AD92" s="48">
        <f ca="1">'Curvas Prod 3'!AC92/SUMIF('Curvas Prod 3'!A90:AC235,'Curva de la oferta Prod 3'!$A92,'Curvas Prod 3'!AC90:AC235)</f>
        <v>8.4931506849315067E-2</v>
      </c>
      <c r="AE92" s="45"/>
      <c r="AF92" s="49"/>
      <c r="AG92" s="49"/>
      <c r="AH92" s="49"/>
      <c r="AI92" s="49"/>
      <c r="AJ92" s="49"/>
      <c r="AK92" s="49"/>
    </row>
    <row r="93" spans="1:37" ht="15">
      <c r="A93" s="23">
        <f t="shared" si="9"/>
        <v>2033</v>
      </c>
      <c r="B93" s="27">
        <v>48611</v>
      </c>
      <c r="C93" s="35">
        <f>IF(AND(COLUMN()&gt;=11,COLUMN()&lt;=20),(_xlfn.XLOOKUP($A93,'Oferta Producto 3'!$B$10:$B$21,'Oferta Producto 3'!$E$10:$E$21))/SUMIF($A$7:$AC$128,$A93,$AB$6:$AB$127)*C$5,0)</f>
        <v>0</v>
      </c>
      <c r="D93" s="35">
        <f>IF(AND(COLUMN()&gt;=11,COLUMN()&lt;=20),(_xlfn.XLOOKUP($A93,'Oferta Producto 3'!$B$10:$B$21,'Oferta Producto 3'!$E$10:$E$21))/SUMIF($A$7:$AC$128,$A93,$AB$6:$AB$127)*D$5,0)</f>
        <v>0</v>
      </c>
      <c r="E93" s="35">
        <f>IF(AND(COLUMN()&gt;=11,COLUMN()&lt;=20),(_xlfn.XLOOKUP($A93,'Oferta Producto 3'!$B$10:$B$21,'Oferta Producto 3'!$E$10:$E$21))/SUMIF($A$7:$AC$128,$A93,$AB$6:$AB$127)*E$5,0)</f>
        <v>0</v>
      </c>
      <c r="F93" s="35">
        <f>IF(AND(COLUMN()&gt;=11,COLUMN()&lt;=20),(_xlfn.XLOOKUP($A93,'Oferta Producto 3'!$B$10:$B$21,'Oferta Producto 3'!$E$10:$E$21))/SUMIF($A$7:$AC$128,$A93,$AB$6:$AB$127)*F$5,0)</f>
        <v>0</v>
      </c>
      <c r="G93" s="35">
        <f>IF(AND(COLUMN()&gt;=11,COLUMN()&lt;=20),(_xlfn.XLOOKUP($A93,'Oferta Producto 3'!$B$10:$B$21,'Oferta Producto 3'!$E$10:$E$21))/SUMIF($A$7:$AC$128,$A93,$AB$6:$AB$127)*G$5,0)</f>
        <v>0</v>
      </c>
      <c r="H93" s="35">
        <f>IF(AND(COLUMN()&gt;=11,COLUMN()&lt;=20),(_xlfn.XLOOKUP($A93,'Oferta Producto 3'!$B$10:$B$21,'Oferta Producto 3'!$E$10:$E$21))/SUMIF($A$7:$AC$128,$A93,$AB$6:$AB$127)*H$5,0)</f>
        <v>0</v>
      </c>
      <c r="I93" s="35">
        <f>IF(AND(COLUMN()&gt;=11,COLUMN()&lt;=20),(_xlfn.XLOOKUP($A93,'Oferta Producto 3'!$B$10:$B$21,'Oferta Producto 3'!$E$10:$E$21))/SUMIF($A$7:$AC$128,$A93,$AB$6:$AB$127)*I$5,0)</f>
        <v>0</v>
      </c>
      <c r="J93" s="35">
        <f>IF(AND(COLUMN()&gt;=11,COLUMN()&lt;=20),(_xlfn.XLOOKUP($A93,'Oferta Producto 3'!$B$10:$B$21,'Oferta Producto 3'!$E$10:$E$21))/SUMIF($A$7:$AC$128,$A93,$AB$6:$AB$127)*J$5,0)</f>
        <v>0</v>
      </c>
      <c r="K93" s="35">
        <f ca="1">IF(AND(COLUMN()&gt;=11,COLUMN()&lt;=20),(_xlfn.XLOOKUP($A93,'Oferta Producto 3'!$B$10:$B$21,'Oferta Producto 3'!$E$10:$E$21))/SUMIF($A$7:$AC$128,$A93,$AB$6:$AB$127)*K$5,0)</f>
        <v>0</v>
      </c>
      <c r="L93" s="35">
        <f ca="1">IF(AND(COLUMN()&gt;=11,COLUMN()&lt;=20),(_xlfn.XLOOKUP($A93,'Oferta Producto 3'!$B$10:$B$21,'Oferta Producto 3'!$E$10:$E$21))/SUMIF($A$7:$AC$128,$A93,$AB$6:$AB$127)*L$5,0)</f>
        <v>0</v>
      </c>
      <c r="M93" s="35">
        <f ca="1">IF(AND(COLUMN()&gt;=11,COLUMN()&lt;=20),(_xlfn.XLOOKUP($A93,'Oferta Producto 3'!$B$10:$B$21,'Oferta Producto 3'!$E$10:$E$21))/SUMIF($A$7:$AC$128,$A93,$AB$6:$AB$127)*M$5,0)</f>
        <v>0</v>
      </c>
      <c r="N93" s="35">
        <f ca="1">IF(AND(COLUMN()&gt;=11,COLUMN()&lt;=20),(_xlfn.XLOOKUP($A93,'Oferta Producto 3'!$B$10:$B$21,'Oferta Producto 3'!$E$10:$E$21))/SUMIF($A$7:$AC$128,$A93,$AB$6:$AB$127)*N$5,0)</f>
        <v>0</v>
      </c>
      <c r="O93" s="35">
        <f ca="1">IF(AND(COLUMN()&gt;=11,COLUMN()&lt;=20),(_xlfn.XLOOKUP($A93,'Oferta Producto 3'!$B$10:$B$21,'Oferta Producto 3'!$E$10:$E$21))/SUMIF($A$7:$AC$128,$A93,$AB$6:$AB$127)*O$5,0)</f>
        <v>0</v>
      </c>
      <c r="P93" s="35">
        <f ca="1">IF(AND(COLUMN()&gt;=11,COLUMN()&lt;=20),(_xlfn.XLOOKUP($A93,'Oferta Producto 3'!$B$10:$B$21,'Oferta Producto 3'!$E$10:$E$21))/SUMIF($A$7:$AC$128,$A93,$AB$6:$AB$127)*P$5,0)</f>
        <v>0</v>
      </c>
      <c r="Q93" s="35">
        <f ca="1">IF(AND(COLUMN()&gt;=11,COLUMN()&lt;=20),(_xlfn.XLOOKUP($A93,'Oferta Producto 3'!$B$10:$B$21,'Oferta Producto 3'!$E$10:$E$21))/SUMIF($A$7:$AC$128,$A93,$AB$6:$AB$127)*Q$5,0)</f>
        <v>0</v>
      </c>
      <c r="R93" s="35">
        <f ca="1">IF(AND(COLUMN()&gt;=11,COLUMN()&lt;=20),(_xlfn.XLOOKUP($A93,'Oferta Producto 3'!$B$10:$B$21,'Oferta Producto 3'!$E$10:$E$21))/SUMIF($A$7:$AC$128,$A93,$AB$6:$AB$127)*R$5,0)</f>
        <v>0</v>
      </c>
      <c r="S93" s="35">
        <f ca="1">IF(AND(COLUMN()&gt;=11,COLUMN()&lt;=20),(_xlfn.XLOOKUP($A93,'Oferta Producto 3'!$B$10:$B$21,'Oferta Producto 3'!$E$10:$E$21))/SUMIF($A$7:$AC$128,$A93,$AB$6:$AB$127)*S$5,0)</f>
        <v>0</v>
      </c>
      <c r="T93" s="35">
        <f ca="1">IF(AND(COLUMN()&gt;=11,COLUMN()&lt;=20),(_xlfn.XLOOKUP($A93,'Oferta Producto 3'!$B$10:$B$21,'Oferta Producto 3'!$E$10:$E$21))/SUMIF($A$7:$AC$128,$A93,$AB$6:$AB$127)*T$5,0)</f>
        <v>0</v>
      </c>
      <c r="U93" s="35">
        <f>IF(AND(COLUMN()&gt;=11,COLUMN()&lt;=20),(_xlfn.XLOOKUP($A93,'Oferta Producto 3'!$B$10:$B$21,'Oferta Producto 3'!$E$10:$E$21))/SUMIF($A$7:$AC$128,$A93,$AB$6:$AB$127)*U$5,0)</f>
        <v>0</v>
      </c>
      <c r="V93" s="35">
        <f>IF(AND(COLUMN()&gt;=11,COLUMN()&lt;=20),(_xlfn.XLOOKUP($A93,'Oferta Producto 3'!$B$10:$B$21,'Oferta Producto 3'!$E$10:$E$21))/SUMIF($A$7:$AC$128,$A93,$AB$6:$AB$127)*V$5,0)</f>
        <v>0</v>
      </c>
      <c r="W93" s="35">
        <f>IF(AND(COLUMN()&gt;=11,COLUMN()&lt;=20),(_xlfn.XLOOKUP($A93,'Oferta Producto 3'!$B$10:$B$21,'Oferta Producto 3'!$E$10:$E$21))/SUMIF($A$7:$AC$128,$A93,$AB$6:$AB$127)*W$5,0)</f>
        <v>0</v>
      </c>
      <c r="X93" s="35">
        <f>IF(AND(COLUMN()&gt;=11,COLUMN()&lt;=20),(_xlfn.XLOOKUP($A93,'Oferta Producto 3'!$B$10:$B$21,'Oferta Producto 3'!$E$10:$E$21))/SUMIF($A$7:$AC$128,$A93,$AB$6:$AB$127)*X$5,0)</f>
        <v>0</v>
      </c>
      <c r="Y93" s="35">
        <f>IF(AND(COLUMN()&gt;=11,COLUMN()&lt;=20),(_xlfn.XLOOKUP($A93,'Oferta Producto 3'!$B$10:$B$21,'Oferta Producto 3'!$E$10:$E$21))/SUMIF($A$7:$AC$128,$A93,$AB$6:$AB$127)*Y$5,0)</f>
        <v>0</v>
      </c>
      <c r="Z93" s="35">
        <f>IF(AND(COLUMN()&gt;=11,COLUMN()&lt;=20),(_xlfn.XLOOKUP($A93,'Oferta Producto 3'!$B$10:$B$21,'Oferta Producto 3'!$E$10:$E$21))/SUMIF($A$7:$AC$128,$A93,$AB$6:$AB$127)*Z$5,0)</f>
        <v>0</v>
      </c>
      <c r="AA93" s="35">
        <f t="shared" ref="AA93:AA104" ca="1" si="14">SUM(C93:Z93)</f>
        <v>0</v>
      </c>
      <c r="AB93" s="28">
        <f t="shared" si="10"/>
        <v>28</v>
      </c>
      <c r="AC93" s="29">
        <f t="shared" ca="1" si="11"/>
        <v>0</v>
      </c>
      <c r="AD93" s="48">
        <f ca="1">'Curvas Prod 3'!AC93/SUMIF('Curvas Prod 3'!A91:AC236,'Curva de la oferta Prod 3'!$A93,'Curvas Prod 3'!AC91:AC236)</f>
        <v>7.6712328767123292E-2</v>
      </c>
      <c r="AE93" s="45"/>
      <c r="AF93" s="49"/>
      <c r="AG93" s="49"/>
      <c r="AH93" s="49"/>
      <c r="AI93" s="49"/>
      <c r="AJ93" s="49"/>
      <c r="AK93" s="49"/>
    </row>
    <row r="94" spans="1:37" ht="15">
      <c r="A94" s="23">
        <f t="shared" si="9"/>
        <v>2033</v>
      </c>
      <c r="B94" s="27">
        <v>48639</v>
      </c>
      <c r="C94" s="35">
        <f>IF(AND(COLUMN()&gt;=11,COLUMN()&lt;=20),(_xlfn.XLOOKUP($A94,'Oferta Producto 3'!$B$10:$B$21,'Oferta Producto 3'!$E$10:$E$21))/SUMIF($A$7:$AC$128,$A94,$AB$6:$AB$127)*C$5,0)</f>
        <v>0</v>
      </c>
      <c r="D94" s="35">
        <f>IF(AND(COLUMN()&gt;=11,COLUMN()&lt;=20),(_xlfn.XLOOKUP($A94,'Oferta Producto 3'!$B$10:$B$21,'Oferta Producto 3'!$E$10:$E$21))/SUMIF($A$7:$AC$128,$A94,$AB$6:$AB$127)*D$5,0)</f>
        <v>0</v>
      </c>
      <c r="E94" s="35">
        <f>IF(AND(COLUMN()&gt;=11,COLUMN()&lt;=20),(_xlfn.XLOOKUP($A94,'Oferta Producto 3'!$B$10:$B$21,'Oferta Producto 3'!$E$10:$E$21))/SUMIF($A$7:$AC$128,$A94,$AB$6:$AB$127)*E$5,0)</f>
        <v>0</v>
      </c>
      <c r="F94" s="35">
        <f>IF(AND(COLUMN()&gt;=11,COLUMN()&lt;=20),(_xlfn.XLOOKUP($A94,'Oferta Producto 3'!$B$10:$B$21,'Oferta Producto 3'!$E$10:$E$21))/SUMIF($A$7:$AC$128,$A94,$AB$6:$AB$127)*F$5,0)</f>
        <v>0</v>
      </c>
      <c r="G94" s="35">
        <f>IF(AND(COLUMN()&gt;=11,COLUMN()&lt;=20),(_xlfn.XLOOKUP($A94,'Oferta Producto 3'!$B$10:$B$21,'Oferta Producto 3'!$E$10:$E$21))/SUMIF($A$7:$AC$128,$A94,$AB$6:$AB$127)*G$5,0)</f>
        <v>0</v>
      </c>
      <c r="H94" s="35">
        <f>IF(AND(COLUMN()&gt;=11,COLUMN()&lt;=20),(_xlfn.XLOOKUP($A94,'Oferta Producto 3'!$B$10:$B$21,'Oferta Producto 3'!$E$10:$E$21))/SUMIF($A$7:$AC$128,$A94,$AB$6:$AB$127)*H$5,0)</f>
        <v>0</v>
      </c>
      <c r="I94" s="35">
        <f>IF(AND(COLUMN()&gt;=11,COLUMN()&lt;=20),(_xlfn.XLOOKUP($A94,'Oferta Producto 3'!$B$10:$B$21,'Oferta Producto 3'!$E$10:$E$21))/SUMIF($A$7:$AC$128,$A94,$AB$6:$AB$127)*I$5,0)</f>
        <v>0</v>
      </c>
      <c r="J94" s="35">
        <f>IF(AND(COLUMN()&gt;=11,COLUMN()&lt;=20),(_xlfn.XLOOKUP($A94,'Oferta Producto 3'!$B$10:$B$21,'Oferta Producto 3'!$E$10:$E$21))/SUMIF($A$7:$AC$128,$A94,$AB$6:$AB$127)*J$5,0)</f>
        <v>0</v>
      </c>
      <c r="K94" s="35">
        <f ca="1">IF(AND(COLUMN()&gt;=11,COLUMN()&lt;=20),(_xlfn.XLOOKUP($A94,'Oferta Producto 3'!$B$10:$B$21,'Oferta Producto 3'!$E$10:$E$21))/SUMIF($A$7:$AC$128,$A94,$AB$6:$AB$127)*K$5,0)</f>
        <v>0</v>
      </c>
      <c r="L94" s="35">
        <f ca="1">IF(AND(COLUMN()&gt;=11,COLUMN()&lt;=20),(_xlfn.XLOOKUP($A94,'Oferta Producto 3'!$B$10:$B$21,'Oferta Producto 3'!$E$10:$E$21))/SUMIF($A$7:$AC$128,$A94,$AB$6:$AB$127)*L$5,0)</f>
        <v>0</v>
      </c>
      <c r="M94" s="35">
        <f ca="1">IF(AND(COLUMN()&gt;=11,COLUMN()&lt;=20),(_xlfn.XLOOKUP($A94,'Oferta Producto 3'!$B$10:$B$21,'Oferta Producto 3'!$E$10:$E$21))/SUMIF($A$7:$AC$128,$A94,$AB$6:$AB$127)*M$5,0)</f>
        <v>0</v>
      </c>
      <c r="N94" s="35">
        <f ca="1">IF(AND(COLUMN()&gt;=11,COLUMN()&lt;=20),(_xlfn.XLOOKUP($A94,'Oferta Producto 3'!$B$10:$B$21,'Oferta Producto 3'!$E$10:$E$21))/SUMIF($A$7:$AC$128,$A94,$AB$6:$AB$127)*N$5,0)</f>
        <v>0</v>
      </c>
      <c r="O94" s="35">
        <f ca="1">IF(AND(COLUMN()&gt;=11,COLUMN()&lt;=20),(_xlfn.XLOOKUP($A94,'Oferta Producto 3'!$B$10:$B$21,'Oferta Producto 3'!$E$10:$E$21))/SUMIF($A$7:$AC$128,$A94,$AB$6:$AB$127)*O$5,0)</f>
        <v>0</v>
      </c>
      <c r="P94" s="35">
        <f ca="1">IF(AND(COLUMN()&gt;=11,COLUMN()&lt;=20),(_xlfn.XLOOKUP($A94,'Oferta Producto 3'!$B$10:$B$21,'Oferta Producto 3'!$E$10:$E$21))/SUMIF($A$7:$AC$128,$A94,$AB$6:$AB$127)*P$5,0)</f>
        <v>0</v>
      </c>
      <c r="Q94" s="35">
        <f ca="1">IF(AND(COLUMN()&gt;=11,COLUMN()&lt;=20),(_xlfn.XLOOKUP($A94,'Oferta Producto 3'!$B$10:$B$21,'Oferta Producto 3'!$E$10:$E$21))/SUMIF($A$7:$AC$128,$A94,$AB$6:$AB$127)*Q$5,0)</f>
        <v>0</v>
      </c>
      <c r="R94" s="35">
        <f ca="1">IF(AND(COLUMN()&gt;=11,COLUMN()&lt;=20),(_xlfn.XLOOKUP($A94,'Oferta Producto 3'!$B$10:$B$21,'Oferta Producto 3'!$E$10:$E$21))/SUMIF($A$7:$AC$128,$A94,$AB$6:$AB$127)*R$5,0)</f>
        <v>0</v>
      </c>
      <c r="S94" s="35">
        <f ca="1">IF(AND(COLUMN()&gt;=11,COLUMN()&lt;=20),(_xlfn.XLOOKUP($A94,'Oferta Producto 3'!$B$10:$B$21,'Oferta Producto 3'!$E$10:$E$21))/SUMIF($A$7:$AC$128,$A94,$AB$6:$AB$127)*S$5,0)</f>
        <v>0</v>
      </c>
      <c r="T94" s="35">
        <f ca="1">IF(AND(COLUMN()&gt;=11,COLUMN()&lt;=20),(_xlfn.XLOOKUP($A94,'Oferta Producto 3'!$B$10:$B$21,'Oferta Producto 3'!$E$10:$E$21))/SUMIF($A$7:$AC$128,$A94,$AB$6:$AB$127)*T$5,0)</f>
        <v>0</v>
      </c>
      <c r="U94" s="35">
        <f>IF(AND(COLUMN()&gt;=11,COLUMN()&lt;=20),(_xlfn.XLOOKUP($A94,'Oferta Producto 3'!$B$10:$B$21,'Oferta Producto 3'!$E$10:$E$21))/SUMIF($A$7:$AC$128,$A94,$AB$6:$AB$127)*U$5,0)</f>
        <v>0</v>
      </c>
      <c r="V94" s="35">
        <f>IF(AND(COLUMN()&gt;=11,COLUMN()&lt;=20),(_xlfn.XLOOKUP($A94,'Oferta Producto 3'!$B$10:$B$21,'Oferta Producto 3'!$E$10:$E$21))/SUMIF($A$7:$AC$128,$A94,$AB$6:$AB$127)*V$5,0)</f>
        <v>0</v>
      </c>
      <c r="W94" s="35">
        <f>IF(AND(COLUMN()&gt;=11,COLUMN()&lt;=20),(_xlfn.XLOOKUP($A94,'Oferta Producto 3'!$B$10:$B$21,'Oferta Producto 3'!$E$10:$E$21))/SUMIF($A$7:$AC$128,$A94,$AB$6:$AB$127)*W$5,0)</f>
        <v>0</v>
      </c>
      <c r="X94" s="35">
        <f>IF(AND(COLUMN()&gt;=11,COLUMN()&lt;=20),(_xlfn.XLOOKUP($A94,'Oferta Producto 3'!$B$10:$B$21,'Oferta Producto 3'!$E$10:$E$21))/SUMIF($A$7:$AC$128,$A94,$AB$6:$AB$127)*X$5,0)</f>
        <v>0</v>
      </c>
      <c r="Y94" s="35">
        <f>IF(AND(COLUMN()&gt;=11,COLUMN()&lt;=20),(_xlfn.XLOOKUP($A94,'Oferta Producto 3'!$B$10:$B$21,'Oferta Producto 3'!$E$10:$E$21))/SUMIF($A$7:$AC$128,$A94,$AB$6:$AB$127)*Y$5,0)</f>
        <v>0</v>
      </c>
      <c r="Z94" s="35">
        <f>IF(AND(COLUMN()&gt;=11,COLUMN()&lt;=20),(_xlfn.XLOOKUP($A94,'Oferta Producto 3'!$B$10:$B$21,'Oferta Producto 3'!$E$10:$E$21))/SUMIF($A$7:$AC$128,$A94,$AB$6:$AB$127)*Z$5,0)</f>
        <v>0</v>
      </c>
      <c r="AA94" s="35">
        <f t="shared" ca="1" si="14"/>
        <v>0</v>
      </c>
      <c r="AB94" s="28">
        <f t="shared" si="10"/>
        <v>31</v>
      </c>
      <c r="AC94" s="29">
        <f t="shared" ca="1" si="11"/>
        <v>0</v>
      </c>
      <c r="AD94" s="48">
        <f ca="1">'Curvas Prod 3'!AC94/SUMIF('Curvas Prod 3'!A92:AC237,'Curva de la oferta Prod 3'!$A94,'Curvas Prod 3'!AC92:AC237)</f>
        <v>8.4931506849315067E-2</v>
      </c>
      <c r="AE94" s="45"/>
      <c r="AF94" s="49"/>
      <c r="AG94" s="49"/>
      <c r="AH94" s="49"/>
      <c r="AI94" s="49"/>
      <c r="AJ94" s="49"/>
      <c r="AK94" s="49"/>
    </row>
    <row r="95" spans="1:37" ht="15">
      <c r="A95" s="23">
        <f t="shared" si="9"/>
        <v>2033</v>
      </c>
      <c r="B95" s="27">
        <v>48670</v>
      </c>
      <c r="C95" s="35">
        <f>IF(AND(COLUMN()&gt;=11,COLUMN()&lt;=20),(_xlfn.XLOOKUP($A95,'Oferta Producto 3'!$B$10:$B$21,'Oferta Producto 3'!$E$10:$E$21))/SUMIF($A$7:$AC$128,$A95,$AB$6:$AB$127)*C$5,0)</f>
        <v>0</v>
      </c>
      <c r="D95" s="35">
        <f>IF(AND(COLUMN()&gt;=11,COLUMN()&lt;=20),(_xlfn.XLOOKUP($A95,'Oferta Producto 3'!$B$10:$B$21,'Oferta Producto 3'!$E$10:$E$21))/SUMIF($A$7:$AC$128,$A95,$AB$6:$AB$127)*D$5,0)</f>
        <v>0</v>
      </c>
      <c r="E95" s="35">
        <f>IF(AND(COLUMN()&gt;=11,COLUMN()&lt;=20),(_xlfn.XLOOKUP($A95,'Oferta Producto 3'!$B$10:$B$21,'Oferta Producto 3'!$E$10:$E$21))/SUMIF($A$7:$AC$128,$A95,$AB$6:$AB$127)*E$5,0)</f>
        <v>0</v>
      </c>
      <c r="F95" s="35">
        <f>IF(AND(COLUMN()&gt;=11,COLUMN()&lt;=20),(_xlfn.XLOOKUP($A95,'Oferta Producto 3'!$B$10:$B$21,'Oferta Producto 3'!$E$10:$E$21))/SUMIF($A$7:$AC$128,$A95,$AB$6:$AB$127)*F$5,0)</f>
        <v>0</v>
      </c>
      <c r="G95" s="35">
        <f>IF(AND(COLUMN()&gt;=11,COLUMN()&lt;=20),(_xlfn.XLOOKUP($A95,'Oferta Producto 3'!$B$10:$B$21,'Oferta Producto 3'!$E$10:$E$21))/SUMIF($A$7:$AC$128,$A95,$AB$6:$AB$127)*G$5,0)</f>
        <v>0</v>
      </c>
      <c r="H95" s="35">
        <f>IF(AND(COLUMN()&gt;=11,COLUMN()&lt;=20),(_xlfn.XLOOKUP($A95,'Oferta Producto 3'!$B$10:$B$21,'Oferta Producto 3'!$E$10:$E$21))/SUMIF($A$7:$AC$128,$A95,$AB$6:$AB$127)*H$5,0)</f>
        <v>0</v>
      </c>
      <c r="I95" s="35">
        <f>IF(AND(COLUMN()&gt;=11,COLUMN()&lt;=20),(_xlfn.XLOOKUP($A95,'Oferta Producto 3'!$B$10:$B$21,'Oferta Producto 3'!$E$10:$E$21))/SUMIF($A$7:$AC$128,$A95,$AB$6:$AB$127)*I$5,0)</f>
        <v>0</v>
      </c>
      <c r="J95" s="35">
        <f>IF(AND(COLUMN()&gt;=11,COLUMN()&lt;=20),(_xlfn.XLOOKUP($A95,'Oferta Producto 3'!$B$10:$B$21,'Oferta Producto 3'!$E$10:$E$21))/SUMIF($A$7:$AC$128,$A95,$AB$6:$AB$127)*J$5,0)</f>
        <v>0</v>
      </c>
      <c r="K95" s="35">
        <f ca="1">IF(AND(COLUMN()&gt;=11,COLUMN()&lt;=20),(_xlfn.XLOOKUP($A95,'Oferta Producto 3'!$B$10:$B$21,'Oferta Producto 3'!$E$10:$E$21))/SUMIF($A$7:$AC$128,$A95,$AB$6:$AB$127)*K$5,0)</f>
        <v>0</v>
      </c>
      <c r="L95" s="35">
        <f ca="1">IF(AND(COLUMN()&gt;=11,COLUMN()&lt;=20),(_xlfn.XLOOKUP($A95,'Oferta Producto 3'!$B$10:$B$21,'Oferta Producto 3'!$E$10:$E$21))/SUMIF($A$7:$AC$128,$A95,$AB$6:$AB$127)*L$5,0)</f>
        <v>0</v>
      </c>
      <c r="M95" s="35">
        <f ca="1">IF(AND(COLUMN()&gt;=11,COLUMN()&lt;=20),(_xlfn.XLOOKUP($A95,'Oferta Producto 3'!$B$10:$B$21,'Oferta Producto 3'!$E$10:$E$21))/SUMIF($A$7:$AC$128,$A95,$AB$6:$AB$127)*M$5,0)</f>
        <v>0</v>
      </c>
      <c r="N95" s="35">
        <f ca="1">IF(AND(COLUMN()&gt;=11,COLUMN()&lt;=20),(_xlfn.XLOOKUP($A95,'Oferta Producto 3'!$B$10:$B$21,'Oferta Producto 3'!$E$10:$E$21))/SUMIF($A$7:$AC$128,$A95,$AB$6:$AB$127)*N$5,0)</f>
        <v>0</v>
      </c>
      <c r="O95" s="35">
        <f ca="1">IF(AND(COLUMN()&gt;=11,COLUMN()&lt;=20),(_xlfn.XLOOKUP($A95,'Oferta Producto 3'!$B$10:$B$21,'Oferta Producto 3'!$E$10:$E$21))/SUMIF($A$7:$AC$128,$A95,$AB$6:$AB$127)*O$5,0)</f>
        <v>0</v>
      </c>
      <c r="P95" s="35">
        <f ca="1">IF(AND(COLUMN()&gt;=11,COLUMN()&lt;=20),(_xlfn.XLOOKUP($A95,'Oferta Producto 3'!$B$10:$B$21,'Oferta Producto 3'!$E$10:$E$21))/SUMIF($A$7:$AC$128,$A95,$AB$6:$AB$127)*P$5,0)</f>
        <v>0</v>
      </c>
      <c r="Q95" s="35">
        <f ca="1">IF(AND(COLUMN()&gt;=11,COLUMN()&lt;=20),(_xlfn.XLOOKUP($A95,'Oferta Producto 3'!$B$10:$B$21,'Oferta Producto 3'!$E$10:$E$21))/SUMIF($A$7:$AC$128,$A95,$AB$6:$AB$127)*Q$5,0)</f>
        <v>0</v>
      </c>
      <c r="R95" s="35">
        <f ca="1">IF(AND(COLUMN()&gt;=11,COLUMN()&lt;=20),(_xlfn.XLOOKUP($A95,'Oferta Producto 3'!$B$10:$B$21,'Oferta Producto 3'!$E$10:$E$21))/SUMIF($A$7:$AC$128,$A95,$AB$6:$AB$127)*R$5,0)</f>
        <v>0</v>
      </c>
      <c r="S95" s="35">
        <f ca="1">IF(AND(COLUMN()&gt;=11,COLUMN()&lt;=20),(_xlfn.XLOOKUP($A95,'Oferta Producto 3'!$B$10:$B$21,'Oferta Producto 3'!$E$10:$E$21))/SUMIF($A$7:$AC$128,$A95,$AB$6:$AB$127)*S$5,0)</f>
        <v>0</v>
      </c>
      <c r="T95" s="35">
        <f ca="1">IF(AND(COLUMN()&gt;=11,COLUMN()&lt;=20),(_xlfn.XLOOKUP($A95,'Oferta Producto 3'!$B$10:$B$21,'Oferta Producto 3'!$E$10:$E$21))/SUMIF($A$7:$AC$128,$A95,$AB$6:$AB$127)*T$5,0)</f>
        <v>0</v>
      </c>
      <c r="U95" s="35">
        <f>IF(AND(COLUMN()&gt;=11,COLUMN()&lt;=20),(_xlfn.XLOOKUP($A95,'Oferta Producto 3'!$B$10:$B$21,'Oferta Producto 3'!$E$10:$E$21))/SUMIF($A$7:$AC$128,$A95,$AB$6:$AB$127)*U$5,0)</f>
        <v>0</v>
      </c>
      <c r="V95" s="35">
        <f>IF(AND(COLUMN()&gt;=11,COLUMN()&lt;=20),(_xlfn.XLOOKUP($A95,'Oferta Producto 3'!$B$10:$B$21,'Oferta Producto 3'!$E$10:$E$21))/SUMIF($A$7:$AC$128,$A95,$AB$6:$AB$127)*V$5,0)</f>
        <v>0</v>
      </c>
      <c r="W95" s="35">
        <f>IF(AND(COLUMN()&gt;=11,COLUMN()&lt;=20),(_xlfn.XLOOKUP($A95,'Oferta Producto 3'!$B$10:$B$21,'Oferta Producto 3'!$E$10:$E$21))/SUMIF($A$7:$AC$128,$A95,$AB$6:$AB$127)*W$5,0)</f>
        <v>0</v>
      </c>
      <c r="X95" s="35">
        <f>IF(AND(COLUMN()&gt;=11,COLUMN()&lt;=20),(_xlfn.XLOOKUP($A95,'Oferta Producto 3'!$B$10:$B$21,'Oferta Producto 3'!$E$10:$E$21))/SUMIF($A$7:$AC$128,$A95,$AB$6:$AB$127)*X$5,0)</f>
        <v>0</v>
      </c>
      <c r="Y95" s="35">
        <f>IF(AND(COLUMN()&gt;=11,COLUMN()&lt;=20),(_xlfn.XLOOKUP($A95,'Oferta Producto 3'!$B$10:$B$21,'Oferta Producto 3'!$E$10:$E$21))/SUMIF($A$7:$AC$128,$A95,$AB$6:$AB$127)*Y$5,0)</f>
        <v>0</v>
      </c>
      <c r="Z95" s="35">
        <f>IF(AND(COLUMN()&gt;=11,COLUMN()&lt;=20),(_xlfn.XLOOKUP($A95,'Oferta Producto 3'!$B$10:$B$21,'Oferta Producto 3'!$E$10:$E$21))/SUMIF($A$7:$AC$128,$A95,$AB$6:$AB$127)*Z$5,0)</f>
        <v>0</v>
      </c>
      <c r="AA95" s="35">
        <f t="shared" ca="1" si="14"/>
        <v>0</v>
      </c>
      <c r="AB95" s="28">
        <f t="shared" si="10"/>
        <v>30</v>
      </c>
      <c r="AC95" s="29">
        <f t="shared" ca="1" si="11"/>
        <v>0</v>
      </c>
      <c r="AD95" s="48">
        <f ca="1">'Curvas Prod 3'!AC95/SUMIF('Curvas Prod 3'!A93:AC238,'Curva de la oferta Prod 3'!$A95,'Curvas Prod 3'!AC93:AC238)</f>
        <v>8.9820359281437126E-2</v>
      </c>
      <c r="AE95" s="45"/>
      <c r="AF95" s="49"/>
      <c r="AG95" s="49"/>
      <c r="AH95" s="49"/>
      <c r="AI95" s="49"/>
      <c r="AJ95" s="49"/>
      <c r="AK95" s="49"/>
    </row>
    <row r="96" spans="1:37" ht="15">
      <c r="A96" s="23">
        <f t="shared" si="9"/>
        <v>2033</v>
      </c>
      <c r="B96" s="27">
        <v>48700</v>
      </c>
      <c r="C96" s="35">
        <f>IF(AND(COLUMN()&gt;=11,COLUMN()&lt;=20),(_xlfn.XLOOKUP($A96,'Oferta Producto 3'!$B$10:$B$21,'Oferta Producto 3'!$E$10:$E$21))/SUMIF($A$7:$AC$128,$A96,$AB$6:$AB$127)*C$5,0)</f>
        <v>0</v>
      </c>
      <c r="D96" s="35">
        <f>IF(AND(COLUMN()&gt;=11,COLUMN()&lt;=20),(_xlfn.XLOOKUP($A96,'Oferta Producto 3'!$B$10:$B$21,'Oferta Producto 3'!$E$10:$E$21))/SUMIF($A$7:$AC$128,$A96,$AB$6:$AB$127)*D$5,0)</f>
        <v>0</v>
      </c>
      <c r="E96" s="35">
        <f>IF(AND(COLUMN()&gt;=11,COLUMN()&lt;=20),(_xlfn.XLOOKUP($A96,'Oferta Producto 3'!$B$10:$B$21,'Oferta Producto 3'!$E$10:$E$21))/SUMIF($A$7:$AC$128,$A96,$AB$6:$AB$127)*E$5,0)</f>
        <v>0</v>
      </c>
      <c r="F96" s="35">
        <f>IF(AND(COLUMN()&gt;=11,COLUMN()&lt;=20),(_xlfn.XLOOKUP($A96,'Oferta Producto 3'!$B$10:$B$21,'Oferta Producto 3'!$E$10:$E$21))/SUMIF($A$7:$AC$128,$A96,$AB$6:$AB$127)*F$5,0)</f>
        <v>0</v>
      </c>
      <c r="G96" s="35">
        <f>IF(AND(COLUMN()&gt;=11,COLUMN()&lt;=20),(_xlfn.XLOOKUP($A96,'Oferta Producto 3'!$B$10:$B$21,'Oferta Producto 3'!$E$10:$E$21))/SUMIF($A$7:$AC$128,$A96,$AB$6:$AB$127)*G$5,0)</f>
        <v>0</v>
      </c>
      <c r="H96" s="35">
        <f>IF(AND(COLUMN()&gt;=11,COLUMN()&lt;=20),(_xlfn.XLOOKUP($A96,'Oferta Producto 3'!$B$10:$B$21,'Oferta Producto 3'!$E$10:$E$21))/SUMIF($A$7:$AC$128,$A96,$AB$6:$AB$127)*H$5,0)</f>
        <v>0</v>
      </c>
      <c r="I96" s="35">
        <f>IF(AND(COLUMN()&gt;=11,COLUMN()&lt;=20),(_xlfn.XLOOKUP($A96,'Oferta Producto 3'!$B$10:$B$21,'Oferta Producto 3'!$E$10:$E$21))/SUMIF($A$7:$AC$128,$A96,$AB$6:$AB$127)*I$5,0)</f>
        <v>0</v>
      </c>
      <c r="J96" s="35">
        <f>IF(AND(COLUMN()&gt;=11,COLUMN()&lt;=20),(_xlfn.XLOOKUP($A96,'Oferta Producto 3'!$B$10:$B$21,'Oferta Producto 3'!$E$10:$E$21))/SUMIF($A$7:$AC$128,$A96,$AB$6:$AB$127)*J$5,0)</f>
        <v>0</v>
      </c>
      <c r="K96" s="35">
        <f ca="1">IF(AND(COLUMN()&gt;=11,COLUMN()&lt;=20),(_xlfn.XLOOKUP($A96,'Oferta Producto 3'!$B$10:$B$21,'Oferta Producto 3'!$E$10:$E$21))/SUMIF($A$7:$AC$128,$A96,$AB$6:$AB$127)*K$5,0)</f>
        <v>0</v>
      </c>
      <c r="L96" s="35">
        <f ca="1">IF(AND(COLUMN()&gt;=11,COLUMN()&lt;=20),(_xlfn.XLOOKUP($A96,'Oferta Producto 3'!$B$10:$B$21,'Oferta Producto 3'!$E$10:$E$21))/SUMIF($A$7:$AC$128,$A96,$AB$6:$AB$127)*L$5,0)</f>
        <v>0</v>
      </c>
      <c r="M96" s="35">
        <f ca="1">IF(AND(COLUMN()&gt;=11,COLUMN()&lt;=20),(_xlfn.XLOOKUP($A96,'Oferta Producto 3'!$B$10:$B$21,'Oferta Producto 3'!$E$10:$E$21))/SUMIF($A$7:$AC$128,$A96,$AB$6:$AB$127)*M$5,0)</f>
        <v>0</v>
      </c>
      <c r="N96" s="35">
        <f ca="1">IF(AND(COLUMN()&gt;=11,COLUMN()&lt;=20),(_xlfn.XLOOKUP($A96,'Oferta Producto 3'!$B$10:$B$21,'Oferta Producto 3'!$E$10:$E$21))/SUMIF($A$7:$AC$128,$A96,$AB$6:$AB$127)*N$5,0)</f>
        <v>0</v>
      </c>
      <c r="O96" s="35">
        <f ca="1">IF(AND(COLUMN()&gt;=11,COLUMN()&lt;=20),(_xlfn.XLOOKUP($A96,'Oferta Producto 3'!$B$10:$B$21,'Oferta Producto 3'!$E$10:$E$21))/SUMIF($A$7:$AC$128,$A96,$AB$6:$AB$127)*O$5,0)</f>
        <v>0</v>
      </c>
      <c r="P96" s="35">
        <f ca="1">IF(AND(COLUMN()&gt;=11,COLUMN()&lt;=20),(_xlfn.XLOOKUP($A96,'Oferta Producto 3'!$B$10:$B$21,'Oferta Producto 3'!$E$10:$E$21))/SUMIF($A$7:$AC$128,$A96,$AB$6:$AB$127)*P$5,0)</f>
        <v>0</v>
      </c>
      <c r="Q96" s="35">
        <f ca="1">IF(AND(COLUMN()&gt;=11,COLUMN()&lt;=20),(_xlfn.XLOOKUP($A96,'Oferta Producto 3'!$B$10:$B$21,'Oferta Producto 3'!$E$10:$E$21))/SUMIF($A$7:$AC$128,$A96,$AB$6:$AB$127)*Q$5,0)</f>
        <v>0</v>
      </c>
      <c r="R96" s="35">
        <f ca="1">IF(AND(COLUMN()&gt;=11,COLUMN()&lt;=20),(_xlfn.XLOOKUP($A96,'Oferta Producto 3'!$B$10:$B$21,'Oferta Producto 3'!$E$10:$E$21))/SUMIF($A$7:$AC$128,$A96,$AB$6:$AB$127)*R$5,0)</f>
        <v>0</v>
      </c>
      <c r="S96" s="35">
        <f ca="1">IF(AND(COLUMN()&gt;=11,COLUMN()&lt;=20),(_xlfn.XLOOKUP($A96,'Oferta Producto 3'!$B$10:$B$21,'Oferta Producto 3'!$E$10:$E$21))/SUMIF($A$7:$AC$128,$A96,$AB$6:$AB$127)*S$5,0)</f>
        <v>0</v>
      </c>
      <c r="T96" s="35">
        <f ca="1">IF(AND(COLUMN()&gt;=11,COLUMN()&lt;=20),(_xlfn.XLOOKUP($A96,'Oferta Producto 3'!$B$10:$B$21,'Oferta Producto 3'!$E$10:$E$21))/SUMIF($A$7:$AC$128,$A96,$AB$6:$AB$127)*T$5,0)</f>
        <v>0</v>
      </c>
      <c r="U96" s="35">
        <f>IF(AND(COLUMN()&gt;=11,COLUMN()&lt;=20),(_xlfn.XLOOKUP($A96,'Oferta Producto 3'!$B$10:$B$21,'Oferta Producto 3'!$E$10:$E$21))/SUMIF($A$7:$AC$128,$A96,$AB$6:$AB$127)*U$5,0)</f>
        <v>0</v>
      </c>
      <c r="V96" s="35">
        <f>IF(AND(COLUMN()&gt;=11,COLUMN()&lt;=20),(_xlfn.XLOOKUP($A96,'Oferta Producto 3'!$B$10:$B$21,'Oferta Producto 3'!$E$10:$E$21))/SUMIF($A$7:$AC$128,$A96,$AB$6:$AB$127)*V$5,0)</f>
        <v>0</v>
      </c>
      <c r="W96" s="35">
        <f>IF(AND(COLUMN()&gt;=11,COLUMN()&lt;=20),(_xlfn.XLOOKUP($A96,'Oferta Producto 3'!$B$10:$B$21,'Oferta Producto 3'!$E$10:$E$21))/SUMIF($A$7:$AC$128,$A96,$AB$6:$AB$127)*W$5,0)</f>
        <v>0</v>
      </c>
      <c r="X96" s="35">
        <f>IF(AND(COLUMN()&gt;=11,COLUMN()&lt;=20),(_xlfn.XLOOKUP($A96,'Oferta Producto 3'!$B$10:$B$21,'Oferta Producto 3'!$E$10:$E$21))/SUMIF($A$7:$AC$128,$A96,$AB$6:$AB$127)*X$5,0)</f>
        <v>0</v>
      </c>
      <c r="Y96" s="35">
        <f>IF(AND(COLUMN()&gt;=11,COLUMN()&lt;=20),(_xlfn.XLOOKUP($A96,'Oferta Producto 3'!$B$10:$B$21,'Oferta Producto 3'!$E$10:$E$21))/SUMIF($A$7:$AC$128,$A96,$AB$6:$AB$127)*Y$5,0)</f>
        <v>0</v>
      </c>
      <c r="Z96" s="35">
        <f>IF(AND(COLUMN()&gt;=11,COLUMN()&lt;=20),(_xlfn.XLOOKUP($A96,'Oferta Producto 3'!$B$10:$B$21,'Oferta Producto 3'!$E$10:$E$21))/SUMIF($A$7:$AC$128,$A96,$AB$6:$AB$127)*Z$5,0)</f>
        <v>0</v>
      </c>
      <c r="AA96" s="35">
        <f t="shared" ca="1" si="14"/>
        <v>0</v>
      </c>
      <c r="AB96" s="28">
        <f t="shared" si="10"/>
        <v>31</v>
      </c>
      <c r="AC96" s="29">
        <f t="shared" ca="1" si="11"/>
        <v>0</v>
      </c>
      <c r="AD96" s="48">
        <f ca="1">'Curvas Prod 3'!AC96/SUMIF('Curvas Prod 3'!A94:AC239,'Curva de la oferta Prod 3'!$A96,'Curvas Prod 3'!AC94:AC239)</f>
        <v>0.10130718954248366</v>
      </c>
      <c r="AE96" s="45"/>
      <c r="AF96" s="49"/>
      <c r="AG96" s="49"/>
      <c r="AH96" s="49"/>
      <c r="AI96" s="49"/>
      <c r="AJ96" s="49"/>
      <c r="AK96" s="49"/>
    </row>
    <row r="97" spans="1:37" ht="15">
      <c r="A97" s="23">
        <f t="shared" si="9"/>
        <v>2033</v>
      </c>
      <c r="B97" s="27">
        <v>48731</v>
      </c>
      <c r="C97" s="35">
        <f>IF(AND(COLUMN()&gt;=11,COLUMN()&lt;=20),(_xlfn.XLOOKUP($A97,'Oferta Producto 3'!$B$10:$B$21,'Oferta Producto 3'!$E$10:$E$21))/SUMIF($A$7:$AC$128,$A97,$AB$6:$AB$127)*C$5,0)</f>
        <v>0</v>
      </c>
      <c r="D97" s="35">
        <f>IF(AND(COLUMN()&gt;=11,COLUMN()&lt;=20),(_xlfn.XLOOKUP($A97,'Oferta Producto 3'!$B$10:$B$21,'Oferta Producto 3'!$E$10:$E$21))/SUMIF($A$7:$AC$128,$A97,$AB$6:$AB$127)*D$5,0)</f>
        <v>0</v>
      </c>
      <c r="E97" s="35">
        <f>IF(AND(COLUMN()&gt;=11,COLUMN()&lt;=20),(_xlfn.XLOOKUP($A97,'Oferta Producto 3'!$B$10:$B$21,'Oferta Producto 3'!$E$10:$E$21))/SUMIF($A$7:$AC$128,$A97,$AB$6:$AB$127)*E$5,0)</f>
        <v>0</v>
      </c>
      <c r="F97" s="35">
        <f>IF(AND(COLUMN()&gt;=11,COLUMN()&lt;=20),(_xlfn.XLOOKUP($A97,'Oferta Producto 3'!$B$10:$B$21,'Oferta Producto 3'!$E$10:$E$21))/SUMIF($A$7:$AC$128,$A97,$AB$6:$AB$127)*F$5,0)</f>
        <v>0</v>
      </c>
      <c r="G97" s="35">
        <f>IF(AND(COLUMN()&gt;=11,COLUMN()&lt;=20),(_xlfn.XLOOKUP($A97,'Oferta Producto 3'!$B$10:$B$21,'Oferta Producto 3'!$E$10:$E$21))/SUMIF($A$7:$AC$128,$A97,$AB$6:$AB$127)*G$5,0)</f>
        <v>0</v>
      </c>
      <c r="H97" s="35">
        <f>IF(AND(COLUMN()&gt;=11,COLUMN()&lt;=20),(_xlfn.XLOOKUP($A97,'Oferta Producto 3'!$B$10:$B$21,'Oferta Producto 3'!$E$10:$E$21))/SUMIF($A$7:$AC$128,$A97,$AB$6:$AB$127)*H$5,0)</f>
        <v>0</v>
      </c>
      <c r="I97" s="35">
        <f>IF(AND(COLUMN()&gt;=11,COLUMN()&lt;=20),(_xlfn.XLOOKUP($A97,'Oferta Producto 3'!$B$10:$B$21,'Oferta Producto 3'!$E$10:$E$21))/SUMIF($A$7:$AC$128,$A97,$AB$6:$AB$127)*I$5,0)</f>
        <v>0</v>
      </c>
      <c r="J97" s="35">
        <f>IF(AND(COLUMN()&gt;=11,COLUMN()&lt;=20),(_xlfn.XLOOKUP($A97,'Oferta Producto 3'!$B$10:$B$21,'Oferta Producto 3'!$E$10:$E$21))/SUMIF($A$7:$AC$128,$A97,$AB$6:$AB$127)*J$5,0)</f>
        <v>0</v>
      </c>
      <c r="K97" s="35">
        <f ca="1">IF(AND(COLUMN()&gt;=11,COLUMN()&lt;=20),(_xlfn.XLOOKUP($A97,'Oferta Producto 3'!$B$10:$B$21,'Oferta Producto 3'!$E$10:$E$21))/SUMIF($A$7:$AC$128,$A97,$AB$6:$AB$127)*K$5,0)</f>
        <v>0</v>
      </c>
      <c r="L97" s="35">
        <f ca="1">IF(AND(COLUMN()&gt;=11,COLUMN()&lt;=20),(_xlfn.XLOOKUP($A97,'Oferta Producto 3'!$B$10:$B$21,'Oferta Producto 3'!$E$10:$E$21))/SUMIF($A$7:$AC$128,$A97,$AB$6:$AB$127)*L$5,0)</f>
        <v>0</v>
      </c>
      <c r="M97" s="35">
        <f ca="1">IF(AND(COLUMN()&gt;=11,COLUMN()&lt;=20),(_xlfn.XLOOKUP($A97,'Oferta Producto 3'!$B$10:$B$21,'Oferta Producto 3'!$E$10:$E$21))/SUMIF($A$7:$AC$128,$A97,$AB$6:$AB$127)*M$5,0)</f>
        <v>0</v>
      </c>
      <c r="N97" s="35">
        <f ca="1">IF(AND(COLUMN()&gt;=11,COLUMN()&lt;=20),(_xlfn.XLOOKUP($A97,'Oferta Producto 3'!$B$10:$B$21,'Oferta Producto 3'!$E$10:$E$21))/SUMIF($A$7:$AC$128,$A97,$AB$6:$AB$127)*N$5,0)</f>
        <v>0</v>
      </c>
      <c r="O97" s="35">
        <f ca="1">IF(AND(COLUMN()&gt;=11,COLUMN()&lt;=20),(_xlfn.XLOOKUP($A97,'Oferta Producto 3'!$B$10:$B$21,'Oferta Producto 3'!$E$10:$E$21))/SUMIF($A$7:$AC$128,$A97,$AB$6:$AB$127)*O$5,0)</f>
        <v>0</v>
      </c>
      <c r="P97" s="35">
        <f ca="1">IF(AND(COLUMN()&gt;=11,COLUMN()&lt;=20),(_xlfn.XLOOKUP($A97,'Oferta Producto 3'!$B$10:$B$21,'Oferta Producto 3'!$E$10:$E$21))/SUMIF($A$7:$AC$128,$A97,$AB$6:$AB$127)*P$5,0)</f>
        <v>0</v>
      </c>
      <c r="Q97" s="35">
        <f ca="1">IF(AND(COLUMN()&gt;=11,COLUMN()&lt;=20),(_xlfn.XLOOKUP($A97,'Oferta Producto 3'!$B$10:$B$21,'Oferta Producto 3'!$E$10:$E$21))/SUMIF($A$7:$AC$128,$A97,$AB$6:$AB$127)*Q$5,0)</f>
        <v>0</v>
      </c>
      <c r="R97" s="35">
        <f ca="1">IF(AND(COLUMN()&gt;=11,COLUMN()&lt;=20),(_xlfn.XLOOKUP($A97,'Oferta Producto 3'!$B$10:$B$21,'Oferta Producto 3'!$E$10:$E$21))/SUMIF($A$7:$AC$128,$A97,$AB$6:$AB$127)*R$5,0)</f>
        <v>0</v>
      </c>
      <c r="S97" s="35">
        <f ca="1">IF(AND(COLUMN()&gt;=11,COLUMN()&lt;=20),(_xlfn.XLOOKUP($A97,'Oferta Producto 3'!$B$10:$B$21,'Oferta Producto 3'!$E$10:$E$21))/SUMIF($A$7:$AC$128,$A97,$AB$6:$AB$127)*S$5,0)</f>
        <v>0</v>
      </c>
      <c r="T97" s="35">
        <f ca="1">IF(AND(COLUMN()&gt;=11,COLUMN()&lt;=20),(_xlfn.XLOOKUP($A97,'Oferta Producto 3'!$B$10:$B$21,'Oferta Producto 3'!$E$10:$E$21))/SUMIF($A$7:$AC$128,$A97,$AB$6:$AB$127)*T$5,0)</f>
        <v>0</v>
      </c>
      <c r="U97" s="35">
        <f>IF(AND(COLUMN()&gt;=11,COLUMN()&lt;=20),(_xlfn.XLOOKUP($A97,'Oferta Producto 3'!$B$10:$B$21,'Oferta Producto 3'!$E$10:$E$21))/SUMIF($A$7:$AC$128,$A97,$AB$6:$AB$127)*U$5,0)</f>
        <v>0</v>
      </c>
      <c r="V97" s="35">
        <f>IF(AND(COLUMN()&gt;=11,COLUMN()&lt;=20),(_xlfn.XLOOKUP($A97,'Oferta Producto 3'!$B$10:$B$21,'Oferta Producto 3'!$E$10:$E$21))/SUMIF($A$7:$AC$128,$A97,$AB$6:$AB$127)*V$5,0)</f>
        <v>0</v>
      </c>
      <c r="W97" s="35">
        <f>IF(AND(COLUMN()&gt;=11,COLUMN()&lt;=20),(_xlfn.XLOOKUP($A97,'Oferta Producto 3'!$B$10:$B$21,'Oferta Producto 3'!$E$10:$E$21))/SUMIF($A$7:$AC$128,$A97,$AB$6:$AB$127)*W$5,0)</f>
        <v>0</v>
      </c>
      <c r="X97" s="35">
        <f>IF(AND(COLUMN()&gt;=11,COLUMN()&lt;=20),(_xlfn.XLOOKUP($A97,'Oferta Producto 3'!$B$10:$B$21,'Oferta Producto 3'!$E$10:$E$21))/SUMIF($A$7:$AC$128,$A97,$AB$6:$AB$127)*X$5,0)</f>
        <v>0</v>
      </c>
      <c r="Y97" s="35">
        <f>IF(AND(COLUMN()&gt;=11,COLUMN()&lt;=20),(_xlfn.XLOOKUP($A97,'Oferta Producto 3'!$B$10:$B$21,'Oferta Producto 3'!$E$10:$E$21))/SUMIF($A$7:$AC$128,$A97,$AB$6:$AB$127)*Y$5,0)</f>
        <v>0</v>
      </c>
      <c r="Z97" s="35">
        <f>IF(AND(COLUMN()&gt;=11,COLUMN()&lt;=20),(_xlfn.XLOOKUP($A97,'Oferta Producto 3'!$B$10:$B$21,'Oferta Producto 3'!$E$10:$E$21))/SUMIF($A$7:$AC$128,$A97,$AB$6:$AB$127)*Z$5,0)</f>
        <v>0</v>
      </c>
      <c r="AA97" s="35">
        <f t="shared" ca="1" si="14"/>
        <v>0</v>
      </c>
      <c r="AB97" s="28">
        <f t="shared" si="10"/>
        <v>30</v>
      </c>
      <c r="AC97" s="29">
        <f t="shared" ca="1" si="11"/>
        <v>0</v>
      </c>
      <c r="AD97" s="48">
        <f ca="1">'Curvas Prod 3'!AC97/SUMIF('Curvas Prod 3'!A95:AC240,'Curva de la oferta Prod 3'!$A97,'Curvas Prod 3'!AC95:AC240)</f>
        <v>0.10909090909090909</v>
      </c>
      <c r="AE97" s="45"/>
      <c r="AF97" s="49"/>
      <c r="AG97" s="49"/>
      <c r="AH97" s="49"/>
      <c r="AI97" s="49"/>
      <c r="AJ97" s="49"/>
      <c r="AK97" s="49"/>
    </row>
    <row r="98" spans="1:37" ht="15">
      <c r="A98" s="23">
        <f t="shared" si="9"/>
        <v>2033</v>
      </c>
      <c r="B98" s="27">
        <v>48761</v>
      </c>
      <c r="C98" s="35">
        <f>IF(AND(COLUMN()&gt;=11,COLUMN()&lt;=20),(_xlfn.XLOOKUP($A98,'Oferta Producto 3'!$B$10:$B$21,'Oferta Producto 3'!$E$10:$E$21))/SUMIF($A$7:$AC$128,$A98,$AB$6:$AB$127)*C$5,0)</f>
        <v>0</v>
      </c>
      <c r="D98" s="35">
        <f>IF(AND(COLUMN()&gt;=11,COLUMN()&lt;=20),(_xlfn.XLOOKUP($A98,'Oferta Producto 3'!$B$10:$B$21,'Oferta Producto 3'!$E$10:$E$21))/SUMIF($A$7:$AC$128,$A98,$AB$6:$AB$127)*D$5,0)</f>
        <v>0</v>
      </c>
      <c r="E98" s="35">
        <f>IF(AND(COLUMN()&gt;=11,COLUMN()&lt;=20),(_xlfn.XLOOKUP($A98,'Oferta Producto 3'!$B$10:$B$21,'Oferta Producto 3'!$E$10:$E$21))/SUMIF($A$7:$AC$128,$A98,$AB$6:$AB$127)*E$5,0)</f>
        <v>0</v>
      </c>
      <c r="F98" s="35">
        <f>IF(AND(COLUMN()&gt;=11,COLUMN()&lt;=20),(_xlfn.XLOOKUP($A98,'Oferta Producto 3'!$B$10:$B$21,'Oferta Producto 3'!$E$10:$E$21))/SUMIF($A$7:$AC$128,$A98,$AB$6:$AB$127)*F$5,0)</f>
        <v>0</v>
      </c>
      <c r="G98" s="35">
        <f>IF(AND(COLUMN()&gt;=11,COLUMN()&lt;=20),(_xlfn.XLOOKUP($A98,'Oferta Producto 3'!$B$10:$B$21,'Oferta Producto 3'!$E$10:$E$21))/SUMIF($A$7:$AC$128,$A98,$AB$6:$AB$127)*G$5,0)</f>
        <v>0</v>
      </c>
      <c r="H98" s="35">
        <f>IF(AND(COLUMN()&gt;=11,COLUMN()&lt;=20),(_xlfn.XLOOKUP($A98,'Oferta Producto 3'!$B$10:$B$21,'Oferta Producto 3'!$E$10:$E$21))/SUMIF($A$7:$AC$128,$A98,$AB$6:$AB$127)*H$5,0)</f>
        <v>0</v>
      </c>
      <c r="I98" s="35">
        <f>IF(AND(COLUMN()&gt;=11,COLUMN()&lt;=20),(_xlfn.XLOOKUP($A98,'Oferta Producto 3'!$B$10:$B$21,'Oferta Producto 3'!$E$10:$E$21))/SUMIF($A$7:$AC$128,$A98,$AB$6:$AB$127)*I$5,0)</f>
        <v>0</v>
      </c>
      <c r="J98" s="35">
        <f>IF(AND(COLUMN()&gt;=11,COLUMN()&lt;=20),(_xlfn.XLOOKUP($A98,'Oferta Producto 3'!$B$10:$B$21,'Oferta Producto 3'!$E$10:$E$21))/SUMIF($A$7:$AC$128,$A98,$AB$6:$AB$127)*J$5,0)</f>
        <v>0</v>
      </c>
      <c r="K98" s="35">
        <f ca="1">IF(AND(COLUMN()&gt;=11,COLUMN()&lt;=20),(_xlfn.XLOOKUP($A98,'Oferta Producto 3'!$B$10:$B$21,'Oferta Producto 3'!$E$10:$E$21))/SUMIF($A$7:$AC$128,$A98,$AB$6:$AB$127)*K$5,0)</f>
        <v>0</v>
      </c>
      <c r="L98" s="35">
        <f ca="1">IF(AND(COLUMN()&gt;=11,COLUMN()&lt;=20),(_xlfn.XLOOKUP($A98,'Oferta Producto 3'!$B$10:$B$21,'Oferta Producto 3'!$E$10:$E$21))/SUMIF($A$7:$AC$128,$A98,$AB$6:$AB$127)*L$5,0)</f>
        <v>0</v>
      </c>
      <c r="M98" s="35">
        <f ca="1">IF(AND(COLUMN()&gt;=11,COLUMN()&lt;=20),(_xlfn.XLOOKUP($A98,'Oferta Producto 3'!$B$10:$B$21,'Oferta Producto 3'!$E$10:$E$21))/SUMIF($A$7:$AC$128,$A98,$AB$6:$AB$127)*M$5,0)</f>
        <v>0</v>
      </c>
      <c r="N98" s="35">
        <f ca="1">IF(AND(COLUMN()&gt;=11,COLUMN()&lt;=20),(_xlfn.XLOOKUP($A98,'Oferta Producto 3'!$B$10:$B$21,'Oferta Producto 3'!$E$10:$E$21))/SUMIF($A$7:$AC$128,$A98,$AB$6:$AB$127)*N$5,0)</f>
        <v>0</v>
      </c>
      <c r="O98" s="35">
        <f ca="1">IF(AND(COLUMN()&gt;=11,COLUMN()&lt;=20),(_xlfn.XLOOKUP($A98,'Oferta Producto 3'!$B$10:$B$21,'Oferta Producto 3'!$E$10:$E$21))/SUMIF($A$7:$AC$128,$A98,$AB$6:$AB$127)*O$5,0)</f>
        <v>0</v>
      </c>
      <c r="P98" s="35">
        <f ca="1">IF(AND(COLUMN()&gt;=11,COLUMN()&lt;=20),(_xlfn.XLOOKUP($A98,'Oferta Producto 3'!$B$10:$B$21,'Oferta Producto 3'!$E$10:$E$21))/SUMIF($A$7:$AC$128,$A98,$AB$6:$AB$127)*P$5,0)</f>
        <v>0</v>
      </c>
      <c r="Q98" s="35">
        <f ca="1">IF(AND(COLUMN()&gt;=11,COLUMN()&lt;=20),(_xlfn.XLOOKUP($A98,'Oferta Producto 3'!$B$10:$B$21,'Oferta Producto 3'!$E$10:$E$21))/SUMIF($A$7:$AC$128,$A98,$AB$6:$AB$127)*Q$5,0)</f>
        <v>0</v>
      </c>
      <c r="R98" s="35">
        <f ca="1">IF(AND(COLUMN()&gt;=11,COLUMN()&lt;=20),(_xlfn.XLOOKUP($A98,'Oferta Producto 3'!$B$10:$B$21,'Oferta Producto 3'!$E$10:$E$21))/SUMIF($A$7:$AC$128,$A98,$AB$6:$AB$127)*R$5,0)</f>
        <v>0</v>
      </c>
      <c r="S98" s="35">
        <f ca="1">IF(AND(COLUMN()&gt;=11,COLUMN()&lt;=20),(_xlfn.XLOOKUP($A98,'Oferta Producto 3'!$B$10:$B$21,'Oferta Producto 3'!$E$10:$E$21))/SUMIF($A$7:$AC$128,$A98,$AB$6:$AB$127)*S$5,0)</f>
        <v>0</v>
      </c>
      <c r="T98" s="35">
        <f ca="1">IF(AND(COLUMN()&gt;=11,COLUMN()&lt;=20),(_xlfn.XLOOKUP($A98,'Oferta Producto 3'!$B$10:$B$21,'Oferta Producto 3'!$E$10:$E$21))/SUMIF($A$7:$AC$128,$A98,$AB$6:$AB$127)*T$5,0)</f>
        <v>0</v>
      </c>
      <c r="U98" s="35">
        <f>IF(AND(COLUMN()&gt;=11,COLUMN()&lt;=20),(_xlfn.XLOOKUP($A98,'Oferta Producto 3'!$B$10:$B$21,'Oferta Producto 3'!$E$10:$E$21))/SUMIF($A$7:$AC$128,$A98,$AB$6:$AB$127)*U$5,0)</f>
        <v>0</v>
      </c>
      <c r="V98" s="35">
        <f>IF(AND(COLUMN()&gt;=11,COLUMN()&lt;=20),(_xlfn.XLOOKUP($A98,'Oferta Producto 3'!$B$10:$B$21,'Oferta Producto 3'!$E$10:$E$21))/SUMIF($A$7:$AC$128,$A98,$AB$6:$AB$127)*V$5,0)</f>
        <v>0</v>
      </c>
      <c r="W98" s="35">
        <f>IF(AND(COLUMN()&gt;=11,COLUMN()&lt;=20),(_xlfn.XLOOKUP($A98,'Oferta Producto 3'!$B$10:$B$21,'Oferta Producto 3'!$E$10:$E$21))/SUMIF($A$7:$AC$128,$A98,$AB$6:$AB$127)*W$5,0)</f>
        <v>0</v>
      </c>
      <c r="X98" s="35">
        <f>IF(AND(COLUMN()&gt;=11,COLUMN()&lt;=20),(_xlfn.XLOOKUP($A98,'Oferta Producto 3'!$B$10:$B$21,'Oferta Producto 3'!$E$10:$E$21))/SUMIF($A$7:$AC$128,$A98,$AB$6:$AB$127)*X$5,0)</f>
        <v>0</v>
      </c>
      <c r="Y98" s="35">
        <f>IF(AND(COLUMN()&gt;=11,COLUMN()&lt;=20),(_xlfn.XLOOKUP($A98,'Oferta Producto 3'!$B$10:$B$21,'Oferta Producto 3'!$E$10:$E$21))/SUMIF($A$7:$AC$128,$A98,$AB$6:$AB$127)*Y$5,0)</f>
        <v>0</v>
      </c>
      <c r="Z98" s="35">
        <f>IF(AND(COLUMN()&gt;=11,COLUMN()&lt;=20),(_xlfn.XLOOKUP($A98,'Oferta Producto 3'!$B$10:$B$21,'Oferta Producto 3'!$E$10:$E$21))/SUMIF($A$7:$AC$128,$A98,$AB$6:$AB$127)*Z$5,0)</f>
        <v>0</v>
      </c>
      <c r="AA98" s="35">
        <f t="shared" ca="1" si="14"/>
        <v>0</v>
      </c>
      <c r="AB98" s="28">
        <f t="shared" si="10"/>
        <v>31</v>
      </c>
      <c r="AC98" s="29">
        <f t="shared" ca="1" si="11"/>
        <v>0</v>
      </c>
      <c r="AD98" s="48">
        <f ca="1">'Curvas Prod 3'!AC98/SUMIF('Curvas Prod 3'!A96:AC241,'Curva de la oferta Prod 3'!$A98,'Curvas Prod 3'!AC96:AC241)</f>
        <v>0.12653061224489795</v>
      </c>
      <c r="AE98" s="45"/>
      <c r="AF98" s="49"/>
      <c r="AG98" s="49"/>
      <c r="AH98" s="49"/>
      <c r="AI98" s="49"/>
      <c r="AJ98" s="49"/>
      <c r="AK98" s="49"/>
    </row>
    <row r="99" spans="1:37" ht="15">
      <c r="A99" s="23">
        <f t="shared" si="9"/>
        <v>2033</v>
      </c>
      <c r="B99" s="27">
        <v>48792</v>
      </c>
      <c r="C99" s="35">
        <f>IF(AND(COLUMN()&gt;=11,COLUMN()&lt;=20),(_xlfn.XLOOKUP($A99,'Oferta Producto 3'!$B$10:$B$21,'Oferta Producto 3'!$E$10:$E$21))/SUMIF($A$7:$AC$128,$A99,$AB$6:$AB$127)*C$5,0)</f>
        <v>0</v>
      </c>
      <c r="D99" s="35">
        <f>IF(AND(COLUMN()&gt;=11,COLUMN()&lt;=20),(_xlfn.XLOOKUP($A99,'Oferta Producto 3'!$B$10:$B$21,'Oferta Producto 3'!$E$10:$E$21))/SUMIF($A$7:$AC$128,$A99,$AB$6:$AB$127)*D$5,0)</f>
        <v>0</v>
      </c>
      <c r="E99" s="35">
        <f>IF(AND(COLUMN()&gt;=11,COLUMN()&lt;=20),(_xlfn.XLOOKUP($A99,'Oferta Producto 3'!$B$10:$B$21,'Oferta Producto 3'!$E$10:$E$21))/SUMIF($A$7:$AC$128,$A99,$AB$6:$AB$127)*E$5,0)</f>
        <v>0</v>
      </c>
      <c r="F99" s="35">
        <f>IF(AND(COLUMN()&gt;=11,COLUMN()&lt;=20),(_xlfn.XLOOKUP($A99,'Oferta Producto 3'!$B$10:$B$21,'Oferta Producto 3'!$E$10:$E$21))/SUMIF($A$7:$AC$128,$A99,$AB$6:$AB$127)*F$5,0)</f>
        <v>0</v>
      </c>
      <c r="G99" s="35">
        <f>IF(AND(COLUMN()&gt;=11,COLUMN()&lt;=20),(_xlfn.XLOOKUP($A99,'Oferta Producto 3'!$B$10:$B$21,'Oferta Producto 3'!$E$10:$E$21))/SUMIF($A$7:$AC$128,$A99,$AB$6:$AB$127)*G$5,0)</f>
        <v>0</v>
      </c>
      <c r="H99" s="35">
        <f>IF(AND(COLUMN()&gt;=11,COLUMN()&lt;=20),(_xlfn.XLOOKUP($A99,'Oferta Producto 3'!$B$10:$B$21,'Oferta Producto 3'!$E$10:$E$21))/SUMIF($A$7:$AC$128,$A99,$AB$6:$AB$127)*H$5,0)</f>
        <v>0</v>
      </c>
      <c r="I99" s="35">
        <f>IF(AND(COLUMN()&gt;=11,COLUMN()&lt;=20),(_xlfn.XLOOKUP($A99,'Oferta Producto 3'!$B$10:$B$21,'Oferta Producto 3'!$E$10:$E$21))/SUMIF($A$7:$AC$128,$A99,$AB$6:$AB$127)*I$5,0)</f>
        <v>0</v>
      </c>
      <c r="J99" s="35">
        <f>IF(AND(COLUMN()&gt;=11,COLUMN()&lt;=20),(_xlfn.XLOOKUP($A99,'Oferta Producto 3'!$B$10:$B$21,'Oferta Producto 3'!$E$10:$E$21))/SUMIF($A$7:$AC$128,$A99,$AB$6:$AB$127)*J$5,0)</f>
        <v>0</v>
      </c>
      <c r="K99" s="35">
        <f ca="1">IF(AND(COLUMN()&gt;=11,COLUMN()&lt;=20),(_xlfn.XLOOKUP($A99,'Oferta Producto 3'!$B$10:$B$21,'Oferta Producto 3'!$E$10:$E$21))/SUMIF($A$7:$AC$128,$A99,$AB$6:$AB$127)*K$5,0)</f>
        <v>0</v>
      </c>
      <c r="L99" s="35">
        <f ca="1">IF(AND(COLUMN()&gt;=11,COLUMN()&lt;=20),(_xlfn.XLOOKUP($A99,'Oferta Producto 3'!$B$10:$B$21,'Oferta Producto 3'!$E$10:$E$21))/SUMIF($A$7:$AC$128,$A99,$AB$6:$AB$127)*L$5,0)</f>
        <v>0</v>
      </c>
      <c r="M99" s="35">
        <f ca="1">IF(AND(COLUMN()&gt;=11,COLUMN()&lt;=20),(_xlfn.XLOOKUP($A99,'Oferta Producto 3'!$B$10:$B$21,'Oferta Producto 3'!$E$10:$E$21))/SUMIF($A$7:$AC$128,$A99,$AB$6:$AB$127)*M$5,0)</f>
        <v>0</v>
      </c>
      <c r="N99" s="35">
        <f ca="1">IF(AND(COLUMN()&gt;=11,COLUMN()&lt;=20),(_xlfn.XLOOKUP($A99,'Oferta Producto 3'!$B$10:$B$21,'Oferta Producto 3'!$E$10:$E$21))/SUMIF($A$7:$AC$128,$A99,$AB$6:$AB$127)*N$5,0)</f>
        <v>0</v>
      </c>
      <c r="O99" s="35">
        <f ca="1">IF(AND(COLUMN()&gt;=11,COLUMN()&lt;=20),(_xlfn.XLOOKUP($A99,'Oferta Producto 3'!$B$10:$B$21,'Oferta Producto 3'!$E$10:$E$21))/SUMIF($A$7:$AC$128,$A99,$AB$6:$AB$127)*O$5,0)</f>
        <v>0</v>
      </c>
      <c r="P99" s="35">
        <f ca="1">IF(AND(COLUMN()&gt;=11,COLUMN()&lt;=20),(_xlfn.XLOOKUP($A99,'Oferta Producto 3'!$B$10:$B$21,'Oferta Producto 3'!$E$10:$E$21))/SUMIF($A$7:$AC$128,$A99,$AB$6:$AB$127)*P$5,0)</f>
        <v>0</v>
      </c>
      <c r="Q99" s="35">
        <f ca="1">IF(AND(COLUMN()&gt;=11,COLUMN()&lt;=20),(_xlfn.XLOOKUP($A99,'Oferta Producto 3'!$B$10:$B$21,'Oferta Producto 3'!$E$10:$E$21))/SUMIF($A$7:$AC$128,$A99,$AB$6:$AB$127)*Q$5,0)</f>
        <v>0</v>
      </c>
      <c r="R99" s="35">
        <f ca="1">IF(AND(COLUMN()&gt;=11,COLUMN()&lt;=20),(_xlfn.XLOOKUP($A99,'Oferta Producto 3'!$B$10:$B$21,'Oferta Producto 3'!$E$10:$E$21))/SUMIF($A$7:$AC$128,$A99,$AB$6:$AB$127)*R$5,0)</f>
        <v>0</v>
      </c>
      <c r="S99" s="35">
        <f ca="1">IF(AND(COLUMN()&gt;=11,COLUMN()&lt;=20),(_xlfn.XLOOKUP($A99,'Oferta Producto 3'!$B$10:$B$21,'Oferta Producto 3'!$E$10:$E$21))/SUMIF($A$7:$AC$128,$A99,$AB$6:$AB$127)*S$5,0)</f>
        <v>0</v>
      </c>
      <c r="T99" s="35">
        <f ca="1">IF(AND(COLUMN()&gt;=11,COLUMN()&lt;=20),(_xlfn.XLOOKUP($A99,'Oferta Producto 3'!$B$10:$B$21,'Oferta Producto 3'!$E$10:$E$21))/SUMIF($A$7:$AC$128,$A99,$AB$6:$AB$127)*T$5,0)</f>
        <v>0</v>
      </c>
      <c r="U99" s="35">
        <f>IF(AND(COLUMN()&gt;=11,COLUMN()&lt;=20),(_xlfn.XLOOKUP($A99,'Oferta Producto 3'!$B$10:$B$21,'Oferta Producto 3'!$E$10:$E$21))/SUMIF($A$7:$AC$128,$A99,$AB$6:$AB$127)*U$5,0)</f>
        <v>0</v>
      </c>
      <c r="V99" s="35">
        <f>IF(AND(COLUMN()&gt;=11,COLUMN()&lt;=20),(_xlfn.XLOOKUP($A99,'Oferta Producto 3'!$B$10:$B$21,'Oferta Producto 3'!$E$10:$E$21))/SUMIF($A$7:$AC$128,$A99,$AB$6:$AB$127)*V$5,0)</f>
        <v>0</v>
      </c>
      <c r="W99" s="35">
        <f>IF(AND(COLUMN()&gt;=11,COLUMN()&lt;=20),(_xlfn.XLOOKUP($A99,'Oferta Producto 3'!$B$10:$B$21,'Oferta Producto 3'!$E$10:$E$21))/SUMIF($A$7:$AC$128,$A99,$AB$6:$AB$127)*W$5,0)</f>
        <v>0</v>
      </c>
      <c r="X99" s="35">
        <f>IF(AND(COLUMN()&gt;=11,COLUMN()&lt;=20),(_xlfn.XLOOKUP($A99,'Oferta Producto 3'!$B$10:$B$21,'Oferta Producto 3'!$E$10:$E$21))/SUMIF($A$7:$AC$128,$A99,$AB$6:$AB$127)*X$5,0)</f>
        <v>0</v>
      </c>
      <c r="Y99" s="35">
        <f>IF(AND(COLUMN()&gt;=11,COLUMN()&lt;=20),(_xlfn.XLOOKUP($A99,'Oferta Producto 3'!$B$10:$B$21,'Oferta Producto 3'!$E$10:$E$21))/SUMIF($A$7:$AC$128,$A99,$AB$6:$AB$127)*Y$5,0)</f>
        <v>0</v>
      </c>
      <c r="Z99" s="35">
        <f>IF(AND(COLUMN()&gt;=11,COLUMN()&lt;=20),(_xlfn.XLOOKUP($A99,'Oferta Producto 3'!$B$10:$B$21,'Oferta Producto 3'!$E$10:$E$21))/SUMIF($A$7:$AC$128,$A99,$AB$6:$AB$127)*Z$5,0)</f>
        <v>0</v>
      </c>
      <c r="AA99" s="35">
        <f t="shared" ca="1" si="14"/>
        <v>0</v>
      </c>
      <c r="AB99" s="28">
        <f t="shared" si="10"/>
        <v>31</v>
      </c>
      <c r="AC99" s="29">
        <f t="shared" ca="1" si="11"/>
        <v>0</v>
      </c>
      <c r="AD99" s="48">
        <f ca="1">'Curvas Prod 3'!AC99/SUMIF('Curvas Prod 3'!A97:AC242,'Curva de la oferta Prod 3'!$A99,'Curvas Prod 3'!AC97:AC242)</f>
        <v>0.14485981308411214</v>
      </c>
      <c r="AE99" s="45"/>
      <c r="AF99" s="49"/>
      <c r="AG99" s="49"/>
      <c r="AH99" s="49"/>
      <c r="AI99" s="49"/>
      <c r="AJ99" s="49"/>
      <c r="AK99" s="49"/>
    </row>
    <row r="100" spans="1:37" ht="15">
      <c r="A100" s="23">
        <f t="shared" si="9"/>
        <v>2033</v>
      </c>
      <c r="B100" s="27">
        <v>48823</v>
      </c>
      <c r="C100" s="35">
        <f>IF(AND(COLUMN()&gt;=11,COLUMN()&lt;=20),(_xlfn.XLOOKUP($A100,'Oferta Producto 3'!$B$10:$B$21,'Oferta Producto 3'!$E$10:$E$21))/SUMIF($A$7:$AC$128,$A100,$AB$6:$AB$127)*C$5,0)</f>
        <v>0</v>
      </c>
      <c r="D100" s="35">
        <f>IF(AND(COLUMN()&gt;=11,COLUMN()&lt;=20),(_xlfn.XLOOKUP($A100,'Oferta Producto 3'!$B$10:$B$21,'Oferta Producto 3'!$E$10:$E$21))/SUMIF($A$7:$AC$128,$A100,$AB$6:$AB$127)*D$5,0)</f>
        <v>0</v>
      </c>
      <c r="E100" s="35">
        <f>IF(AND(COLUMN()&gt;=11,COLUMN()&lt;=20),(_xlfn.XLOOKUP($A100,'Oferta Producto 3'!$B$10:$B$21,'Oferta Producto 3'!$E$10:$E$21))/SUMIF($A$7:$AC$128,$A100,$AB$6:$AB$127)*E$5,0)</f>
        <v>0</v>
      </c>
      <c r="F100" s="35">
        <f>IF(AND(COLUMN()&gt;=11,COLUMN()&lt;=20),(_xlfn.XLOOKUP($A100,'Oferta Producto 3'!$B$10:$B$21,'Oferta Producto 3'!$E$10:$E$21))/SUMIF($A$7:$AC$128,$A100,$AB$6:$AB$127)*F$5,0)</f>
        <v>0</v>
      </c>
      <c r="G100" s="35">
        <f>IF(AND(COLUMN()&gt;=11,COLUMN()&lt;=20),(_xlfn.XLOOKUP($A100,'Oferta Producto 3'!$B$10:$B$21,'Oferta Producto 3'!$E$10:$E$21))/SUMIF($A$7:$AC$128,$A100,$AB$6:$AB$127)*G$5,0)</f>
        <v>0</v>
      </c>
      <c r="H100" s="35">
        <f>IF(AND(COLUMN()&gt;=11,COLUMN()&lt;=20),(_xlfn.XLOOKUP($A100,'Oferta Producto 3'!$B$10:$B$21,'Oferta Producto 3'!$E$10:$E$21))/SUMIF($A$7:$AC$128,$A100,$AB$6:$AB$127)*H$5,0)</f>
        <v>0</v>
      </c>
      <c r="I100" s="35">
        <f>IF(AND(COLUMN()&gt;=11,COLUMN()&lt;=20),(_xlfn.XLOOKUP($A100,'Oferta Producto 3'!$B$10:$B$21,'Oferta Producto 3'!$E$10:$E$21))/SUMIF($A$7:$AC$128,$A100,$AB$6:$AB$127)*I$5,0)</f>
        <v>0</v>
      </c>
      <c r="J100" s="35">
        <f>IF(AND(COLUMN()&gt;=11,COLUMN()&lt;=20),(_xlfn.XLOOKUP($A100,'Oferta Producto 3'!$B$10:$B$21,'Oferta Producto 3'!$E$10:$E$21))/SUMIF($A$7:$AC$128,$A100,$AB$6:$AB$127)*J$5,0)</f>
        <v>0</v>
      </c>
      <c r="K100" s="35">
        <f ca="1">IF(AND(COLUMN()&gt;=11,COLUMN()&lt;=20),(_xlfn.XLOOKUP($A100,'Oferta Producto 3'!$B$10:$B$21,'Oferta Producto 3'!$E$10:$E$21))/SUMIF($A$7:$AC$128,$A100,$AB$6:$AB$127)*K$5,0)</f>
        <v>0</v>
      </c>
      <c r="L100" s="35">
        <f ca="1">IF(AND(COLUMN()&gt;=11,COLUMN()&lt;=20),(_xlfn.XLOOKUP($A100,'Oferta Producto 3'!$B$10:$B$21,'Oferta Producto 3'!$E$10:$E$21))/SUMIF($A$7:$AC$128,$A100,$AB$6:$AB$127)*L$5,0)</f>
        <v>0</v>
      </c>
      <c r="M100" s="35">
        <f ca="1">IF(AND(COLUMN()&gt;=11,COLUMN()&lt;=20),(_xlfn.XLOOKUP($A100,'Oferta Producto 3'!$B$10:$B$21,'Oferta Producto 3'!$E$10:$E$21))/SUMIF($A$7:$AC$128,$A100,$AB$6:$AB$127)*M$5,0)</f>
        <v>0</v>
      </c>
      <c r="N100" s="35">
        <f ca="1">IF(AND(COLUMN()&gt;=11,COLUMN()&lt;=20),(_xlfn.XLOOKUP($A100,'Oferta Producto 3'!$B$10:$B$21,'Oferta Producto 3'!$E$10:$E$21))/SUMIF($A$7:$AC$128,$A100,$AB$6:$AB$127)*N$5,0)</f>
        <v>0</v>
      </c>
      <c r="O100" s="35">
        <f ca="1">IF(AND(COLUMN()&gt;=11,COLUMN()&lt;=20),(_xlfn.XLOOKUP($A100,'Oferta Producto 3'!$B$10:$B$21,'Oferta Producto 3'!$E$10:$E$21))/SUMIF($A$7:$AC$128,$A100,$AB$6:$AB$127)*O$5,0)</f>
        <v>0</v>
      </c>
      <c r="P100" s="35">
        <f ca="1">IF(AND(COLUMN()&gt;=11,COLUMN()&lt;=20),(_xlfn.XLOOKUP($A100,'Oferta Producto 3'!$B$10:$B$21,'Oferta Producto 3'!$E$10:$E$21))/SUMIF($A$7:$AC$128,$A100,$AB$6:$AB$127)*P$5,0)</f>
        <v>0</v>
      </c>
      <c r="Q100" s="35">
        <f ca="1">IF(AND(COLUMN()&gt;=11,COLUMN()&lt;=20),(_xlfn.XLOOKUP($A100,'Oferta Producto 3'!$B$10:$B$21,'Oferta Producto 3'!$E$10:$E$21))/SUMIF($A$7:$AC$128,$A100,$AB$6:$AB$127)*Q$5,0)</f>
        <v>0</v>
      </c>
      <c r="R100" s="35">
        <f ca="1">IF(AND(COLUMN()&gt;=11,COLUMN()&lt;=20),(_xlfn.XLOOKUP($A100,'Oferta Producto 3'!$B$10:$B$21,'Oferta Producto 3'!$E$10:$E$21))/SUMIF($A$7:$AC$128,$A100,$AB$6:$AB$127)*R$5,0)</f>
        <v>0</v>
      </c>
      <c r="S100" s="35">
        <f ca="1">IF(AND(COLUMN()&gt;=11,COLUMN()&lt;=20),(_xlfn.XLOOKUP($A100,'Oferta Producto 3'!$B$10:$B$21,'Oferta Producto 3'!$E$10:$E$21))/SUMIF($A$7:$AC$128,$A100,$AB$6:$AB$127)*S$5,0)</f>
        <v>0</v>
      </c>
      <c r="T100" s="35">
        <f ca="1">IF(AND(COLUMN()&gt;=11,COLUMN()&lt;=20),(_xlfn.XLOOKUP($A100,'Oferta Producto 3'!$B$10:$B$21,'Oferta Producto 3'!$E$10:$E$21))/SUMIF($A$7:$AC$128,$A100,$AB$6:$AB$127)*T$5,0)</f>
        <v>0</v>
      </c>
      <c r="U100" s="35">
        <f>IF(AND(COLUMN()&gt;=11,COLUMN()&lt;=20),(_xlfn.XLOOKUP($A100,'Oferta Producto 3'!$B$10:$B$21,'Oferta Producto 3'!$E$10:$E$21))/SUMIF($A$7:$AC$128,$A100,$AB$6:$AB$127)*U$5,0)</f>
        <v>0</v>
      </c>
      <c r="V100" s="35">
        <f>IF(AND(COLUMN()&gt;=11,COLUMN()&lt;=20),(_xlfn.XLOOKUP($A100,'Oferta Producto 3'!$B$10:$B$21,'Oferta Producto 3'!$E$10:$E$21))/SUMIF($A$7:$AC$128,$A100,$AB$6:$AB$127)*V$5,0)</f>
        <v>0</v>
      </c>
      <c r="W100" s="35">
        <f>IF(AND(COLUMN()&gt;=11,COLUMN()&lt;=20),(_xlfn.XLOOKUP($A100,'Oferta Producto 3'!$B$10:$B$21,'Oferta Producto 3'!$E$10:$E$21))/SUMIF($A$7:$AC$128,$A100,$AB$6:$AB$127)*W$5,0)</f>
        <v>0</v>
      </c>
      <c r="X100" s="35">
        <f>IF(AND(COLUMN()&gt;=11,COLUMN()&lt;=20),(_xlfn.XLOOKUP($A100,'Oferta Producto 3'!$B$10:$B$21,'Oferta Producto 3'!$E$10:$E$21))/SUMIF($A$7:$AC$128,$A100,$AB$6:$AB$127)*X$5,0)</f>
        <v>0</v>
      </c>
      <c r="Y100" s="35">
        <f>IF(AND(COLUMN()&gt;=11,COLUMN()&lt;=20),(_xlfn.XLOOKUP($A100,'Oferta Producto 3'!$B$10:$B$21,'Oferta Producto 3'!$E$10:$E$21))/SUMIF($A$7:$AC$128,$A100,$AB$6:$AB$127)*Y$5,0)</f>
        <v>0</v>
      </c>
      <c r="Z100" s="35">
        <f>IF(AND(COLUMN()&gt;=11,COLUMN()&lt;=20),(_xlfn.XLOOKUP($A100,'Oferta Producto 3'!$B$10:$B$21,'Oferta Producto 3'!$E$10:$E$21))/SUMIF($A$7:$AC$128,$A100,$AB$6:$AB$127)*Z$5,0)</f>
        <v>0</v>
      </c>
      <c r="AA100" s="35">
        <f t="shared" ca="1" si="14"/>
        <v>0</v>
      </c>
      <c r="AB100" s="28">
        <f t="shared" si="10"/>
        <v>30</v>
      </c>
      <c r="AC100" s="29">
        <f t="shared" ca="1" si="11"/>
        <v>0</v>
      </c>
      <c r="AD100" s="48">
        <f ca="1">'Curvas Prod 3'!AC100/SUMIF('Curvas Prod 3'!A98:AC243,'Curva de la oferta Prod 3'!$A100,'Curvas Prod 3'!AC98:AC243)</f>
        <v>0.16304347826086957</v>
      </c>
      <c r="AE100" s="45"/>
      <c r="AF100" s="49"/>
      <c r="AG100" s="49"/>
      <c r="AH100" s="49"/>
      <c r="AI100" s="49"/>
      <c r="AJ100" s="49"/>
      <c r="AK100" s="49"/>
    </row>
    <row r="101" spans="1:37" ht="15">
      <c r="A101" s="23">
        <f t="shared" si="9"/>
        <v>2033</v>
      </c>
      <c r="B101" s="27">
        <v>48853</v>
      </c>
      <c r="C101" s="35">
        <f>IF(AND(COLUMN()&gt;=11,COLUMN()&lt;=20),(_xlfn.XLOOKUP($A101,'Oferta Producto 3'!$B$10:$B$21,'Oferta Producto 3'!$E$10:$E$21))/SUMIF($A$7:$AC$128,$A101,$AB$6:$AB$127)*C$5,0)</f>
        <v>0</v>
      </c>
      <c r="D101" s="35">
        <f>IF(AND(COLUMN()&gt;=11,COLUMN()&lt;=20),(_xlfn.XLOOKUP($A101,'Oferta Producto 3'!$B$10:$B$21,'Oferta Producto 3'!$E$10:$E$21))/SUMIF($A$7:$AC$128,$A101,$AB$6:$AB$127)*D$5,0)</f>
        <v>0</v>
      </c>
      <c r="E101" s="35">
        <f>IF(AND(COLUMN()&gt;=11,COLUMN()&lt;=20),(_xlfn.XLOOKUP($A101,'Oferta Producto 3'!$B$10:$B$21,'Oferta Producto 3'!$E$10:$E$21))/SUMIF($A$7:$AC$128,$A101,$AB$6:$AB$127)*E$5,0)</f>
        <v>0</v>
      </c>
      <c r="F101" s="35">
        <f>IF(AND(COLUMN()&gt;=11,COLUMN()&lt;=20),(_xlfn.XLOOKUP($A101,'Oferta Producto 3'!$B$10:$B$21,'Oferta Producto 3'!$E$10:$E$21))/SUMIF($A$7:$AC$128,$A101,$AB$6:$AB$127)*F$5,0)</f>
        <v>0</v>
      </c>
      <c r="G101" s="35">
        <f>IF(AND(COLUMN()&gt;=11,COLUMN()&lt;=20),(_xlfn.XLOOKUP($A101,'Oferta Producto 3'!$B$10:$B$21,'Oferta Producto 3'!$E$10:$E$21))/SUMIF($A$7:$AC$128,$A101,$AB$6:$AB$127)*G$5,0)</f>
        <v>0</v>
      </c>
      <c r="H101" s="35">
        <f>IF(AND(COLUMN()&gt;=11,COLUMN()&lt;=20),(_xlfn.XLOOKUP($A101,'Oferta Producto 3'!$B$10:$B$21,'Oferta Producto 3'!$E$10:$E$21))/SUMIF($A$7:$AC$128,$A101,$AB$6:$AB$127)*H$5,0)</f>
        <v>0</v>
      </c>
      <c r="I101" s="35">
        <f>IF(AND(COLUMN()&gt;=11,COLUMN()&lt;=20),(_xlfn.XLOOKUP($A101,'Oferta Producto 3'!$B$10:$B$21,'Oferta Producto 3'!$E$10:$E$21))/SUMIF($A$7:$AC$128,$A101,$AB$6:$AB$127)*I$5,0)</f>
        <v>0</v>
      </c>
      <c r="J101" s="35">
        <f>IF(AND(COLUMN()&gt;=11,COLUMN()&lt;=20),(_xlfn.XLOOKUP($A101,'Oferta Producto 3'!$B$10:$B$21,'Oferta Producto 3'!$E$10:$E$21))/SUMIF($A$7:$AC$128,$A101,$AB$6:$AB$127)*J$5,0)</f>
        <v>0</v>
      </c>
      <c r="K101" s="35">
        <f ca="1">IF(AND(COLUMN()&gt;=11,COLUMN()&lt;=20),(_xlfn.XLOOKUP($A101,'Oferta Producto 3'!$B$10:$B$21,'Oferta Producto 3'!$E$10:$E$21))/SUMIF($A$7:$AC$128,$A101,$AB$6:$AB$127)*K$5,0)</f>
        <v>0</v>
      </c>
      <c r="L101" s="35">
        <f ca="1">IF(AND(COLUMN()&gt;=11,COLUMN()&lt;=20),(_xlfn.XLOOKUP($A101,'Oferta Producto 3'!$B$10:$B$21,'Oferta Producto 3'!$E$10:$E$21))/SUMIF($A$7:$AC$128,$A101,$AB$6:$AB$127)*L$5,0)</f>
        <v>0</v>
      </c>
      <c r="M101" s="35">
        <f ca="1">IF(AND(COLUMN()&gt;=11,COLUMN()&lt;=20),(_xlfn.XLOOKUP($A101,'Oferta Producto 3'!$B$10:$B$21,'Oferta Producto 3'!$E$10:$E$21))/SUMIF($A$7:$AC$128,$A101,$AB$6:$AB$127)*M$5,0)</f>
        <v>0</v>
      </c>
      <c r="N101" s="35">
        <f ca="1">IF(AND(COLUMN()&gt;=11,COLUMN()&lt;=20),(_xlfn.XLOOKUP($A101,'Oferta Producto 3'!$B$10:$B$21,'Oferta Producto 3'!$E$10:$E$21))/SUMIF($A$7:$AC$128,$A101,$AB$6:$AB$127)*N$5,0)</f>
        <v>0</v>
      </c>
      <c r="O101" s="35">
        <f ca="1">IF(AND(COLUMN()&gt;=11,COLUMN()&lt;=20),(_xlfn.XLOOKUP($A101,'Oferta Producto 3'!$B$10:$B$21,'Oferta Producto 3'!$E$10:$E$21))/SUMIF($A$7:$AC$128,$A101,$AB$6:$AB$127)*O$5,0)</f>
        <v>0</v>
      </c>
      <c r="P101" s="35">
        <f ca="1">IF(AND(COLUMN()&gt;=11,COLUMN()&lt;=20),(_xlfn.XLOOKUP($A101,'Oferta Producto 3'!$B$10:$B$21,'Oferta Producto 3'!$E$10:$E$21))/SUMIF($A$7:$AC$128,$A101,$AB$6:$AB$127)*P$5,0)</f>
        <v>0</v>
      </c>
      <c r="Q101" s="35">
        <f ca="1">IF(AND(COLUMN()&gt;=11,COLUMN()&lt;=20),(_xlfn.XLOOKUP($A101,'Oferta Producto 3'!$B$10:$B$21,'Oferta Producto 3'!$E$10:$E$21))/SUMIF($A$7:$AC$128,$A101,$AB$6:$AB$127)*Q$5,0)</f>
        <v>0</v>
      </c>
      <c r="R101" s="35">
        <f ca="1">IF(AND(COLUMN()&gt;=11,COLUMN()&lt;=20),(_xlfn.XLOOKUP($A101,'Oferta Producto 3'!$B$10:$B$21,'Oferta Producto 3'!$E$10:$E$21))/SUMIF($A$7:$AC$128,$A101,$AB$6:$AB$127)*R$5,0)</f>
        <v>0</v>
      </c>
      <c r="S101" s="35">
        <f ca="1">IF(AND(COLUMN()&gt;=11,COLUMN()&lt;=20),(_xlfn.XLOOKUP($A101,'Oferta Producto 3'!$B$10:$B$21,'Oferta Producto 3'!$E$10:$E$21))/SUMIF($A$7:$AC$128,$A101,$AB$6:$AB$127)*S$5,0)</f>
        <v>0</v>
      </c>
      <c r="T101" s="35">
        <f ca="1">IF(AND(COLUMN()&gt;=11,COLUMN()&lt;=20),(_xlfn.XLOOKUP($A101,'Oferta Producto 3'!$B$10:$B$21,'Oferta Producto 3'!$E$10:$E$21))/SUMIF($A$7:$AC$128,$A101,$AB$6:$AB$127)*T$5,0)</f>
        <v>0</v>
      </c>
      <c r="U101" s="35">
        <f>IF(AND(COLUMN()&gt;=11,COLUMN()&lt;=20),(_xlfn.XLOOKUP($A101,'Oferta Producto 3'!$B$10:$B$21,'Oferta Producto 3'!$E$10:$E$21))/SUMIF($A$7:$AC$128,$A101,$AB$6:$AB$127)*U$5,0)</f>
        <v>0</v>
      </c>
      <c r="V101" s="35">
        <f>IF(AND(COLUMN()&gt;=11,COLUMN()&lt;=20),(_xlfn.XLOOKUP($A101,'Oferta Producto 3'!$B$10:$B$21,'Oferta Producto 3'!$E$10:$E$21))/SUMIF($A$7:$AC$128,$A101,$AB$6:$AB$127)*V$5,0)</f>
        <v>0</v>
      </c>
      <c r="W101" s="35">
        <f>IF(AND(COLUMN()&gt;=11,COLUMN()&lt;=20),(_xlfn.XLOOKUP($A101,'Oferta Producto 3'!$B$10:$B$21,'Oferta Producto 3'!$E$10:$E$21))/SUMIF($A$7:$AC$128,$A101,$AB$6:$AB$127)*W$5,0)</f>
        <v>0</v>
      </c>
      <c r="X101" s="35">
        <f>IF(AND(COLUMN()&gt;=11,COLUMN()&lt;=20),(_xlfn.XLOOKUP($A101,'Oferta Producto 3'!$B$10:$B$21,'Oferta Producto 3'!$E$10:$E$21))/SUMIF($A$7:$AC$128,$A101,$AB$6:$AB$127)*X$5,0)</f>
        <v>0</v>
      </c>
      <c r="Y101" s="35">
        <f>IF(AND(COLUMN()&gt;=11,COLUMN()&lt;=20),(_xlfn.XLOOKUP($A101,'Oferta Producto 3'!$B$10:$B$21,'Oferta Producto 3'!$E$10:$E$21))/SUMIF($A$7:$AC$128,$A101,$AB$6:$AB$127)*Y$5,0)</f>
        <v>0</v>
      </c>
      <c r="Z101" s="35">
        <f>IF(AND(COLUMN()&gt;=11,COLUMN()&lt;=20),(_xlfn.XLOOKUP($A101,'Oferta Producto 3'!$B$10:$B$21,'Oferta Producto 3'!$E$10:$E$21))/SUMIF($A$7:$AC$128,$A101,$AB$6:$AB$127)*Z$5,0)</f>
        <v>0</v>
      </c>
      <c r="AA101" s="35">
        <f t="shared" ca="1" si="14"/>
        <v>0</v>
      </c>
      <c r="AB101" s="28">
        <f t="shared" si="10"/>
        <v>31</v>
      </c>
      <c r="AC101" s="29">
        <f t="shared" ca="1" si="11"/>
        <v>0</v>
      </c>
      <c r="AD101" s="48">
        <f ca="1">'Curvas Prod 3'!AC101/SUMIF('Curvas Prod 3'!A99:AC244,'Curva de la oferta Prod 3'!$A101,'Curvas Prod 3'!AC99:AC244)</f>
        <v>0.20261437908496732</v>
      </c>
      <c r="AE101" s="45"/>
      <c r="AF101" s="49"/>
      <c r="AG101" s="49"/>
      <c r="AH101" s="49"/>
      <c r="AI101" s="49"/>
      <c r="AJ101" s="49"/>
      <c r="AK101" s="49"/>
    </row>
    <row r="102" spans="1:37" ht="15">
      <c r="A102" s="23">
        <f t="shared" si="9"/>
        <v>2033</v>
      </c>
      <c r="B102" s="27">
        <v>48884</v>
      </c>
      <c r="C102" s="35">
        <f>IF(AND(COLUMN()&gt;=11,COLUMN()&lt;=20),(_xlfn.XLOOKUP($A102,'Oferta Producto 3'!$B$10:$B$21,'Oferta Producto 3'!$E$10:$E$21))/SUMIF($A$7:$AC$128,$A102,$AB$6:$AB$127)*C$5,0)</f>
        <v>0</v>
      </c>
      <c r="D102" s="35">
        <f>IF(AND(COLUMN()&gt;=11,COLUMN()&lt;=20),(_xlfn.XLOOKUP($A102,'Oferta Producto 3'!$B$10:$B$21,'Oferta Producto 3'!$E$10:$E$21))/SUMIF($A$7:$AC$128,$A102,$AB$6:$AB$127)*D$5,0)</f>
        <v>0</v>
      </c>
      <c r="E102" s="35">
        <f>IF(AND(COLUMN()&gt;=11,COLUMN()&lt;=20),(_xlfn.XLOOKUP($A102,'Oferta Producto 3'!$B$10:$B$21,'Oferta Producto 3'!$E$10:$E$21))/SUMIF($A$7:$AC$128,$A102,$AB$6:$AB$127)*E$5,0)</f>
        <v>0</v>
      </c>
      <c r="F102" s="35">
        <f>IF(AND(COLUMN()&gt;=11,COLUMN()&lt;=20),(_xlfn.XLOOKUP($A102,'Oferta Producto 3'!$B$10:$B$21,'Oferta Producto 3'!$E$10:$E$21))/SUMIF($A$7:$AC$128,$A102,$AB$6:$AB$127)*F$5,0)</f>
        <v>0</v>
      </c>
      <c r="G102" s="35">
        <f>IF(AND(COLUMN()&gt;=11,COLUMN()&lt;=20),(_xlfn.XLOOKUP($A102,'Oferta Producto 3'!$B$10:$B$21,'Oferta Producto 3'!$E$10:$E$21))/SUMIF($A$7:$AC$128,$A102,$AB$6:$AB$127)*G$5,0)</f>
        <v>0</v>
      </c>
      <c r="H102" s="35">
        <f>IF(AND(COLUMN()&gt;=11,COLUMN()&lt;=20),(_xlfn.XLOOKUP($A102,'Oferta Producto 3'!$B$10:$B$21,'Oferta Producto 3'!$E$10:$E$21))/SUMIF($A$7:$AC$128,$A102,$AB$6:$AB$127)*H$5,0)</f>
        <v>0</v>
      </c>
      <c r="I102" s="35">
        <f>IF(AND(COLUMN()&gt;=11,COLUMN()&lt;=20),(_xlfn.XLOOKUP($A102,'Oferta Producto 3'!$B$10:$B$21,'Oferta Producto 3'!$E$10:$E$21))/SUMIF($A$7:$AC$128,$A102,$AB$6:$AB$127)*I$5,0)</f>
        <v>0</v>
      </c>
      <c r="J102" s="35">
        <f>IF(AND(COLUMN()&gt;=11,COLUMN()&lt;=20),(_xlfn.XLOOKUP($A102,'Oferta Producto 3'!$B$10:$B$21,'Oferta Producto 3'!$E$10:$E$21))/SUMIF($A$7:$AC$128,$A102,$AB$6:$AB$127)*J$5,0)</f>
        <v>0</v>
      </c>
      <c r="K102" s="35">
        <f ca="1">IF(AND(COLUMN()&gt;=11,COLUMN()&lt;=20),(_xlfn.XLOOKUP($A102,'Oferta Producto 3'!$B$10:$B$21,'Oferta Producto 3'!$E$10:$E$21))/SUMIF($A$7:$AC$128,$A102,$AB$6:$AB$127)*K$5,0)</f>
        <v>0</v>
      </c>
      <c r="L102" s="35">
        <f ca="1">IF(AND(COLUMN()&gt;=11,COLUMN()&lt;=20),(_xlfn.XLOOKUP($A102,'Oferta Producto 3'!$B$10:$B$21,'Oferta Producto 3'!$E$10:$E$21))/SUMIF($A$7:$AC$128,$A102,$AB$6:$AB$127)*L$5,0)</f>
        <v>0</v>
      </c>
      <c r="M102" s="35">
        <f ca="1">IF(AND(COLUMN()&gt;=11,COLUMN()&lt;=20),(_xlfn.XLOOKUP($A102,'Oferta Producto 3'!$B$10:$B$21,'Oferta Producto 3'!$E$10:$E$21))/SUMIF($A$7:$AC$128,$A102,$AB$6:$AB$127)*M$5,0)</f>
        <v>0</v>
      </c>
      <c r="N102" s="35">
        <f ca="1">IF(AND(COLUMN()&gt;=11,COLUMN()&lt;=20),(_xlfn.XLOOKUP($A102,'Oferta Producto 3'!$B$10:$B$21,'Oferta Producto 3'!$E$10:$E$21))/SUMIF($A$7:$AC$128,$A102,$AB$6:$AB$127)*N$5,0)</f>
        <v>0</v>
      </c>
      <c r="O102" s="35">
        <f ca="1">IF(AND(COLUMN()&gt;=11,COLUMN()&lt;=20),(_xlfn.XLOOKUP($A102,'Oferta Producto 3'!$B$10:$B$21,'Oferta Producto 3'!$E$10:$E$21))/SUMIF($A$7:$AC$128,$A102,$AB$6:$AB$127)*O$5,0)</f>
        <v>0</v>
      </c>
      <c r="P102" s="35">
        <f ca="1">IF(AND(COLUMN()&gt;=11,COLUMN()&lt;=20),(_xlfn.XLOOKUP($A102,'Oferta Producto 3'!$B$10:$B$21,'Oferta Producto 3'!$E$10:$E$21))/SUMIF($A$7:$AC$128,$A102,$AB$6:$AB$127)*P$5,0)</f>
        <v>0</v>
      </c>
      <c r="Q102" s="35">
        <f ca="1">IF(AND(COLUMN()&gt;=11,COLUMN()&lt;=20),(_xlfn.XLOOKUP($A102,'Oferta Producto 3'!$B$10:$B$21,'Oferta Producto 3'!$E$10:$E$21))/SUMIF($A$7:$AC$128,$A102,$AB$6:$AB$127)*Q$5,0)</f>
        <v>0</v>
      </c>
      <c r="R102" s="35">
        <f ca="1">IF(AND(COLUMN()&gt;=11,COLUMN()&lt;=20),(_xlfn.XLOOKUP($A102,'Oferta Producto 3'!$B$10:$B$21,'Oferta Producto 3'!$E$10:$E$21))/SUMIF($A$7:$AC$128,$A102,$AB$6:$AB$127)*R$5,0)</f>
        <v>0</v>
      </c>
      <c r="S102" s="35">
        <f ca="1">IF(AND(COLUMN()&gt;=11,COLUMN()&lt;=20),(_xlfn.XLOOKUP($A102,'Oferta Producto 3'!$B$10:$B$21,'Oferta Producto 3'!$E$10:$E$21))/SUMIF($A$7:$AC$128,$A102,$AB$6:$AB$127)*S$5,0)</f>
        <v>0</v>
      </c>
      <c r="T102" s="35">
        <f ca="1">IF(AND(COLUMN()&gt;=11,COLUMN()&lt;=20),(_xlfn.XLOOKUP($A102,'Oferta Producto 3'!$B$10:$B$21,'Oferta Producto 3'!$E$10:$E$21))/SUMIF($A$7:$AC$128,$A102,$AB$6:$AB$127)*T$5,0)</f>
        <v>0</v>
      </c>
      <c r="U102" s="35">
        <f>IF(AND(COLUMN()&gt;=11,COLUMN()&lt;=20),(_xlfn.XLOOKUP($A102,'Oferta Producto 3'!$B$10:$B$21,'Oferta Producto 3'!$E$10:$E$21))/SUMIF($A$7:$AC$128,$A102,$AB$6:$AB$127)*U$5,0)</f>
        <v>0</v>
      </c>
      <c r="V102" s="35">
        <f>IF(AND(COLUMN()&gt;=11,COLUMN()&lt;=20),(_xlfn.XLOOKUP($A102,'Oferta Producto 3'!$B$10:$B$21,'Oferta Producto 3'!$E$10:$E$21))/SUMIF($A$7:$AC$128,$A102,$AB$6:$AB$127)*V$5,0)</f>
        <v>0</v>
      </c>
      <c r="W102" s="35">
        <f>IF(AND(COLUMN()&gt;=11,COLUMN()&lt;=20),(_xlfn.XLOOKUP($A102,'Oferta Producto 3'!$B$10:$B$21,'Oferta Producto 3'!$E$10:$E$21))/SUMIF($A$7:$AC$128,$A102,$AB$6:$AB$127)*W$5,0)</f>
        <v>0</v>
      </c>
      <c r="X102" s="35">
        <f>IF(AND(COLUMN()&gt;=11,COLUMN()&lt;=20),(_xlfn.XLOOKUP($A102,'Oferta Producto 3'!$B$10:$B$21,'Oferta Producto 3'!$E$10:$E$21))/SUMIF($A$7:$AC$128,$A102,$AB$6:$AB$127)*X$5,0)</f>
        <v>0</v>
      </c>
      <c r="Y102" s="35">
        <f>IF(AND(COLUMN()&gt;=11,COLUMN()&lt;=20),(_xlfn.XLOOKUP($A102,'Oferta Producto 3'!$B$10:$B$21,'Oferta Producto 3'!$E$10:$E$21))/SUMIF($A$7:$AC$128,$A102,$AB$6:$AB$127)*Y$5,0)</f>
        <v>0</v>
      </c>
      <c r="Z102" s="35">
        <f>IF(AND(COLUMN()&gt;=11,COLUMN()&lt;=20),(_xlfn.XLOOKUP($A102,'Oferta Producto 3'!$B$10:$B$21,'Oferta Producto 3'!$E$10:$E$21))/SUMIF($A$7:$AC$128,$A102,$AB$6:$AB$127)*Z$5,0)</f>
        <v>0</v>
      </c>
      <c r="AA102" s="35">
        <f t="shared" ca="1" si="14"/>
        <v>0</v>
      </c>
      <c r="AB102" s="28">
        <f t="shared" si="10"/>
        <v>30</v>
      </c>
      <c r="AC102" s="29">
        <f t="shared" ca="1" si="11"/>
        <v>0</v>
      </c>
      <c r="AD102" s="48">
        <f ca="1">'Curvas Prod 3'!AC102/SUMIF('Curvas Prod 3'!A100:AC245,'Curva de la oferta Prod 3'!$A102,'Curvas Prod 3'!AC100:AC245)</f>
        <v>0.24590163934426229</v>
      </c>
      <c r="AE102" s="45"/>
      <c r="AF102" s="49"/>
      <c r="AG102" s="49"/>
      <c r="AH102" s="49"/>
      <c r="AI102" s="49"/>
      <c r="AJ102" s="49"/>
      <c r="AK102" s="49"/>
    </row>
    <row r="103" spans="1:37" ht="15">
      <c r="A103" s="23">
        <f t="shared" si="9"/>
        <v>2033</v>
      </c>
      <c r="B103" s="27">
        <v>48914</v>
      </c>
      <c r="C103" s="35">
        <f>IF(AND(COLUMN()&gt;=11,COLUMN()&lt;=20),(_xlfn.XLOOKUP($A103,'Oferta Producto 3'!$B$10:$B$21,'Oferta Producto 3'!$E$10:$E$21))/SUMIF($A$7:$AC$128,$A103,$AB$6:$AB$127)*C$5,0)</f>
        <v>0</v>
      </c>
      <c r="D103" s="35">
        <f>IF(AND(COLUMN()&gt;=11,COLUMN()&lt;=20),(_xlfn.XLOOKUP($A103,'Oferta Producto 3'!$B$10:$B$21,'Oferta Producto 3'!$E$10:$E$21))/SUMIF($A$7:$AC$128,$A103,$AB$6:$AB$127)*D$5,0)</f>
        <v>0</v>
      </c>
      <c r="E103" s="35">
        <f>IF(AND(COLUMN()&gt;=11,COLUMN()&lt;=20),(_xlfn.XLOOKUP($A103,'Oferta Producto 3'!$B$10:$B$21,'Oferta Producto 3'!$E$10:$E$21))/SUMIF($A$7:$AC$128,$A103,$AB$6:$AB$127)*E$5,0)</f>
        <v>0</v>
      </c>
      <c r="F103" s="35">
        <f>IF(AND(COLUMN()&gt;=11,COLUMN()&lt;=20),(_xlfn.XLOOKUP($A103,'Oferta Producto 3'!$B$10:$B$21,'Oferta Producto 3'!$E$10:$E$21))/SUMIF($A$7:$AC$128,$A103,$AB$6:$AB$127)*F$5,0)</f>
        <v>0</v>
      </c>
      <c r="G103" s="35">
        <f>IF(AND(COLUMN()&gt;=11,COLUMN()&lt;=20),(_xlfn.XLOOKUP($A103,'Oferta Producto 3'!$B$10:$B$21,'Oferta Producto 3'!$E$10:$E$21))/SUMIF($A$7:$AC$128,$A103,$AB$6:$AB$127)*G$5,0)</f>
        <v>0</v>
      </c>
      <c r="H103" s="35">
        <f>IF(AND(COLUMN()&gt;=11,COLUMN()&lt;=20),(_xlfn.XLOOKUP($A103,'Oferta Producto 3'!$B$10:$B$21,'Oferta Producto 3'!$E$10:$E$21))/SUMIF($A$7:$AC$128,$A103,$AB$6:$AB$127)*H$5,0)</f>
        <v>0</v>
      </c>
      <c r="I103" s="35">
        <f>IF(AND(COLUMN()&gt;=11,COLUMN()&lt;=20),(_xlfn.XLOOKUP($A103,'Oferta Producto 3'!$B$10:$B$21,'Oferta Producto 3'!$E$10:$E$21))/SUMIF($A$7:$AC$128,$A103,$AB$6:$AB$127)*I$5,0)</f>
        <v>0</v>
      </c>
      <c r="J103" s="35">
        <f>IF(AND(COLUMN()&gt;=11,COLUMN()&lt;=20),(_xlfn.XLOOKUP($A103,'Oferta Producto 3'!$B$10:$B$21,'Oferta Producto 3'!$E$10:$E$21))/SUMIF($A$7:$AC$128,$A103,$AB$6:$AB$127)*J$5,0)</f>
        <v>0</v>
      </c>
      <c r="K103" s="35">
        <f ca="1">IF(AND(COLUMN()&gt;=11,COLUMN()&lt;=20),(_xlfn.XLOOKUP($A103,'Oferta Producto 3'!$B$10:$B$21,'Oferta Producto 3'!$E$10:$E$21))/SUMIF($A$7:$AC$128,$A103,$AB$6:$AB$127)*K$5,0)</f>
        <v>0</v>
      </c>
      <c r="L103" s="35">
        <f ca="1">IF(AND(COLUMN()&gt;=11,COLUMN()&lt;=20),(_xlfn.XLOOKUP($A103,'Oferta Producto 3'!$B$10:$B$21,'Oferta Producto 3'!$E$10:$E$21))/SUMIF($A$7:$AC$128,$A103,$AB$6:$AB$127)*L$5,0)</f>
        <v>0</v>
      </c>
      <c r="M103" s="35">
        <f ca="1">IF(AND(COLUMN()&gt;=11,COLUMN()&lt;=20),(_xlfn.XLOOKUP($A103,'Oferta Producto 3'!$B$10:$B$21,'Oferta Producto 3'!$E$10:$E$21))/SUMIF($A$7:$AC$128,$A103,$AB$6:$AB$127)*M$5,0)</f>
        <v>0</v>
      </c>
      <c r="N103" s="35">
        <f ca="1">IF(AND(COLUMN()&gt;=11,COLUMN()&lt;=20),(_xlfn.XLOOKUP($A103,'Oferta Producto 3'!$B$10:$B$21,'Oferta Producto 3'!$E$10:$E$21))/SUMIF($A$7:$AC$128,$A103,$AB$6:$AB$127)*N$5,0)</f>
        <v>0</v>
      </c>
      <c r="O103" s="35">
        <f ca="1">IF(AND(COLUMN()&gt;=11,COLUMN()&lt;=20),(_xlfn.XLOOKUP($A103,'Oferta Producto 3'!$B$10:$B$21,'Oferta Producto 3'!$E$10:$E$21))/SUMIF($A$7:$AC$128,$A103,$AB$6:$AB$127)*O$5,0)</f>
        <v>0</v>
      </c>
      <c r="P103" s="35">
        <f ca="1">IF(AND(COLUMN()&gt;=11,COLUMN()&lt;=20),(_xlfn.XLOOKUP($A103,'Oferta Producto 3'!$B$10:$B$21,'Oferta Producto 3'!$E$10:$E$21))/SUMIF($A$7:$AC$128,$A103,$AB$6:$AB$127)*P$5,0)</f>
        <v>0</v>
      </c>
      <c r="Q103" s="35">
        <f ca="1">IF(AND(COLUMN()&gt;=11,COLUMN()&lt;=20),(_xlfn.XLOOKUP($A103,'Oferta Producto 3'!$B$10:$B$21,'Oferta Producto 3'!$E$10:$E$21))/SUMIF($A$7:$AC$128,$A103,$AB$6:$AB$127)*Q$5,0)</f>
        <v>0</v>
      </c>
      <c r="R103" s="35">
        <f ca="1">IF(AND(COLUMN()&gt;=11,COLUMN()&lt;=20),(_xlfn.XLOOKUP($A103,'Oferta Producto 3'!$B$10:$B$21,'Oferta Producto 3'!$E$10:$E$21))/SUMIF($A$7:$AC$128,$A103,$AB$6:$AB$127)*R$5,0)</f>
        <v>0</v>
      </c>
      <c r="S103" s="35">
        <f ca="1">IF(AND(COLUMN()&gt;=11,COLUMN()&lt;=20),(_xlfn.XLOOKUP($A103,'Oferta Producto 3'!$B$10:$B$21,'Oferta Producto 3'!$E$10:$E$21))/SUMIF($A$7:$AC$128,$A103,$AB$6:$AB$127)*S$5,0)</f>
        <v>0</v>
      </c>
      <c r="T103" s="35">
        <f ca="1">IF(AND(COLUMN()&gt;=11,COLUMN()&lt;=20),(_xlfn.XLOOKUP($A103,'Oferta Producto 3'!$B$10:$B$21,'Oferta Producto 3'!$E$10:$E$21))/SUMIF($A$7:$AC$128,$A103,$AB$6:$AB$127)*T$5,0)</f>
        <v>0</v>
      </c>
      <c r="U103" s="35">
        <f>IF(AND(COLUMN()&gt;=11,COLUMN()&lt;=20),(_xlfn.XLOOKUP($A103,'Oferta Producto 3'!$B$10:$B$21,'Oferta Producto 3'!$E$10:$E$21))/SUMIF($A$7:$AC$128,$A103,$AB$6:$AB$127)*U$5,0)</f>
        <v>0</v>
      </c>
      <c r="V103" s="35">
        <f>IF(AND(COLUMN()&gt;=11,COLUMN()&lt;=20),(_xlfn.XLOOKUP($A103,'Oferta Producto 3'!$B$10:$B$21,'Oferta Producto 3'!$E$10:$E$21))/SUMIF($A$7:$AC$128,$A103,$AB$6:$AB$127)*V$5,0)</f>
        <v>0</v>
      </c>
      <c r="W103" s="35">
        <f>IF(AND(COLUMN()&gt;=11,COLUMN()&lt;=20),(_xlfn.XLOOKUP($A103,'Oferta Producto 3'!$B$10:$B$21,'Oferta Producto 3'!$E$10:$E$21))/SUMIF($A$7:$AC$128,$A103,$AB$6:$AB$127)*W$5,0)</f>
        <v>0</v>
      </c>
      <c r="X103" s="35">
        <f>IF(AND(COLUMN()&gt;=11,COLUMN()&lt;=20),(_xlfn.XLOOKUP($A103,'Oferta Producto 3'!$B$10:$B$21,'Oferta Producto 3'!$E$10:$E$21))/SUMIF($A$7:$AC$128,$A103,$AB$6:$AB$127)*X$5,0)</f>
        <v>0</v>
      </c>
      <c r="Y103" s="35">
        <f>IF(AND(COLUMN()&gt;=11,COLUMN()&lt;=20),(_xlfn.XLOOKUP($A103,'Oferta Producto 3'!$B$10:$B$21,'Oferta Producto 3'!$E$10:$E$21))/SUMIF($A$7:$AC$128,$A103,$AB$6:$AB$127)*Y$5,0)</f>
        <v>0</v>
      </c>
      <c r="Z103" s="35">
        <f>IF(AND(COLUMN()&gt;=11,COLUMN()&lt;=20),(_xlfn.XLOOKUP($A103,'Oferta Producto 3'!$B$10:$B$21,'Oferta Producto 3'!$E$10:$E$21))/SUMIF($A$7:$AC$128,$A103,$AB$6:$AB$127)*Z$5,0)</f>
        <v>0</v>
      </c>
      <c r="AA103" s="35">
        <f t="shared" ca="1" si="14"/>
        <v>0</v>
      </c>
      <c r="AB103" s="28">
        <f t="shared" si="10"/>
        <v>31</v>
      </c>
      <c r="AC103" s="29">
        <f t="shared" ca="1" si="11"/>
        <v>0</v>
      </c>
      <c r="AD103" s="48">
        <f ca="1">'Curvas Prod 3'!AC103/SUMIF('Curvas Prod 3'!A101:AC246,'Curva de la oferta Prod 3'!$A103,'Curvas Prod 3'!AC101:AC246)</f>
        <v>0.33695652173913043</v>
      </c>
      <c r="AE103" s="45"/>
      <c r="AF103" s="49"/>
      <c r="AG103" s="49"/>
      <c r="AH103" s="49"/>
      <c r="AI103" s="49"/>
      <c r="AJ103" s="49"/>
      <c r="AK103" s="49"/>
    </row>
    <row r="104" spans="1:37" ht="15">
      <c r="A104" s="23">
        <f t="shared" si="9"/>
        <v>2034</v>
      </c>
      <c r="B104" s="27">
        <v>48945</v>
      </c>
      <c r="C104" s="35">
        <f>IF(AND(COLUMN()&gt;=11,COLUMN()&lt;=20),(_xlfn.XLOOKUP($A104,'Oferta Producto 3'!$B$10:$B$21,'Oferta Producto 3'!$E$10:$E$21))/SUMIF($A$7:$AC$128,$A104,$AB$6:$AB$127)*C$5,0)</f>
        <v>0</v>
      </c>
      <c r="D104" s="35">
        <f>IF(AND(COLUMN()&gt;=11,COLUMN()&lt;=20),(_xlfn.XLOOKUP($A104,'Oferta Producto 3'!$B$10:$B$21,'Oferta Producto 3'!$E$10:$E$21))/SUMIF($A$7:$AC$128,$A104,$AB$6:$AB$127)*D$5,0)</f>
        <v>0</v>
      </c>
      <c r="E104" s="35">
        <f>IF(AND(COLUMN()&gt;=11,COLUMN()&lt;=20),(_xlfn.XLOOKUP($A104,'Oferta Producto 3'!$B$10:$B$21,'Oferta Producto 3'!$E$10:$E$21))/SUMIF($A$7:$AC$128,$A104,$AB$6:$AB$127)*E$5,0)</f>
        <v>0</v>
      </c>
      <c r="F104" s="35">
        <f>IF(AND(COLUMN()&gt;=11,COLUMN()&lt;=20),(_xlfn.XLOOKUP($A104,'Oferta Producto 3'!$B$10:$B$21,'Oferta Producto 3'!$E$10:$E$21))/SUMIF($A$7:$AC$128,$A104,$AB$6:$AB$127)*F$5,0)</f>
        <v>0</v>
      </c>
      <c r="G104" s="35">
        <f>IF(AND(COLUMN()&gt;=11,COLUMN()&lt;=20),(_xlfn.XLOOKUP($A104,'Oferta Producto 3'!$B$10:$B$21,'Oferta Producto 3'!$E$10:$E$21))/SUMIF($A$7:$AC$128,$A104,$AB$6:$AB$127)*G$5,0)</f>
        <v>0</v>
      </c>
      <c r="H104" s="35">
        <f>IF(AND(COLUMN()&gt;=11,COLUMN()&lt;=20),(_xlfn.XLOOKUP($A104,'Oferta Producto 3'!$B$10:$B$21,'Oferta Producto 3'!$E$10:$E$21))/SUMIF($A$7:$AC$128,$A104,$AB$6:$AB$127)*H$5,0)</f>
        <v>0</v>
      </c>
      <c r="I104" s="35">
        <f>IF(AND(COLUMN()&gt;=11,COLUMN()&lt;=20),(_xlfn.XLOOKUP($A104,'Oferta Producto 3'!$B$10:$B$21,'Oferta Producto 3'!$E$10:$E$21))/SUMIF($A$7:$AC$128,$A104,$AB$6:$AB$127)*I$5,0)</f>
        <v>0</v>
      </c>
      <c r="J104" s="35">
        <f>IF(AND(COLUMN()&gt;=11,COLUMN()&lt;=20),(_xlfn.XLOOKUP($A104,'Oferta Producto 3'!$B$10:$B$21,'Oferta Producto 3'!$E$10:$E$21))/SUMIF($A$7:$AC$128,$A104,$AB$6:$AB$127)*J$5,0)</f>
        <v>0</v>
      </c>
      <c r="K104" s="35">
        <f ca="1">IF(AND(COLUMN()&gt;=11,COLUMN()&lt;=20),(_xlfn.XLOOKUP($A104,'Oferta Producto 3'!$B$10:$B$21,'Oferta Producto 3'!$E$10:$E$21))/SUMIF($A$7:$AC$128,$A104,$AB$6:$AB$127)*K$5,0)</f>
        <v>0</v>
      </c>
      <c r="L104" s="35">
        <f ca="1">IF(AND(COLUMN()&gt;=11,COLUMN()&lt;=20),(_xlfn.XLOOKUP($A104,'Oferta Producto 3'!$B$10:$B$21,'Oferta Producto 3'!$E$10:$E$21))/SUMIF($A$7:$AC$128,$A104,$AB$6:$AB$127)*L$5,0)</f>
        <v>0</v>
      </c>
      <c r="M104" s="35">
        <f ca="1">IF(AND(COLUMN()&gt;=11,COLUMN()&lt;=20),(_xlfn.XLOOKUP($A104,'Oferta Producto 3'!$B$10:$B$21,'Oferta Producto 3'!$E$10:$E$21))/SUMIF($A$7:$AC$128,$A104,$AB$6:$AB$127)*M$5,0)</f>
        <v>0</v>
      </c>
      <c r="N104" s="35">
        <f ca="1">IF(AND(COLUMN()&gt;=11,COLUMN()&lt;=20),(_xlfn.XLOOKUP($A104,'Oferta Producto 3'!$B$10:$B$21,'Oferta Producto 3'!$E$10:$E$21))/SUMIF($A$7:$AC$128,$A104,$AB$6:$AB$127)*N$5,0)</f>
        <v>0</v>
      </c>
      <c r="O104" s="35">
        <f ca="1">IF(AND(COLUMN()&gt;=11,COLUMN()&lt;=20),(_xlfn.XLOOKUP($A104,'Oferta Producto 3'!$B$10:$B$21,'Oferta Producto 3'!$E$10:$E$21))/SUMIF($A$7:$AC$128,$A104,$AB$6:$AB$127)*O$5,0)</f>
        <v>0</v>
      </c>
      <c r="P104" s="35">
        <f ca="1">IF(AND(COLUMN()&gt;=11,COLUMN()&lt;=20),(_xlfn.XLOOKUP($A104,'Oferta Producto 3'!$B$10:$B$21,'Oferta Producto 3'!$E$10:$E$21))/SUMIF($A$7:$AC$128,$A104,$AB$6:$AB$127)*P$5,0)</f>
        <v>0</v>
      </c>
      <c r="Q104" s="35">
        <f ca="1">IF(AND(COLUMN()&gt;=11,COLUMN()&lt;=20),(_xlfn.XLOOKUP($A104,'Oferta Producto 3'!$B$10:$B$21,'Oferta Producto 3'!$E$10:$E$21))/SUMIF($A$7:$AC$128,$A104,$AB$6:$AB$127)*Q$5,0)</f>
        <v>0</v>
      </c>
      <c r="R104" s="35">
        <f ca="1">IF(AND(COLUMN()&gt;=11,COLUMN()&lt;=20),(_xlfn.XLOOKUP($A104,'Oferta Producto 3'!$B$10:$B$21,'Oferta Producto 3'!$E$10:$E$21))/SUMIF($A$7:$AC$128,$A104,$AB$6:$AB$127)*R$5,0)</f>
        <v>0</v>
      </c>
      <c r="S104" s="35">
        <f ca="1">IF(AND(COLUMN()&gt;=11,COLUMN()&lt;=20),(_xlfn.XLOOKUP($A104,'Oferta Producto 3'!$B$10:$B$21,'Oferta Producto 3'!$E$10:$E$21))/SUMIF($A$7:$AC$128,$A104,$AB$6:$AB$127)*S$5,0)</f>
        <v>0</v>
      </c>
      <c r="T104" s="35">
        <f ca="1">IF(AND(COLUMN()&gt;=11,COLUMN()&lt;=20),(_xlfn.XLOOKUP($A104,'Oferta Producto 3'!$B$10:$B$21,'Oferta Producto 3'!$E$10:$E$21))/SUMIF($A$7:$AC$128,$A104,$AB$6:$AB$127)*T$5,0)</f>
        <v>0</v>
      </c>
      <c r="U104" s="35">
        <f>IF(AND(COLUMN()&gt;=11,COLUMN()&lt;=20),(_xlfn.XLOOKUP($A104,'Oferta Producto 3'!$B$10:$B$21,'Oferta Producto 3'!$E$10:$E$21))/SUMIF($A$7:$AC$128,$A104,$AB$6:$AB$127)*U$5,0)</f>
        <v>0</v>
      </c>
      <c r="V104" s="35">
        <f>IF(AND(COLUMN()&gt;=11,COLUMN()&lt;=20),(_xlfn.XLOOKUP($A104,'Oferta Producto 3'!$B$10:$B$21,'Oferta Producto 3'!$E$10:$E$21))/SUMIF($A$7:$AC$128,$A104,$AB$6:$AB$127)*V$5,0)</f>
        <v>0</v>
      </c>
      <c r="W104" s="35">
        <f>IF(AND(COLUMN()&gt;=11,COLUMN()&lt;=20),(_xlfn.XLOOKUP($A104,'Oferta Producto 3'!$B$10:$B$21,'Oferta Producto 3'!$E$10:$E$21))/SUMIF($A$7:$AC$128,$A104,$AB$6:$AB$127)*W$5,0)</f>
        <v>0</v>
      </c>
      <c r="X104" s="35">
        <f>IF(AND(COLUMN()&gt;=11,COLUMN()&lt;=20),(_xlfn.XLOOKUP($A104,'Oferta Producto 3'!$B$10:$B$21,'Oferta Producto 3'!$E$10:$E$21))/SUMIF($A$7:$AC$128,$A104,$AB$6:$AB$127)*X$5,0)</f>
        <v>0</v>
      </c>
      <c r="Y104" s="35">
        <f>IF(AND(COLUMN()&gt;=11,COLUMN()&lt;=20),(_xlfn.XLOOKUP($A104,'Oferta Producto 3'!$B$10:$B$21,'Oferta Producto 3'!$E$10:$E$21))/SUMIF($A$7:$AC$128,$A104,$AB$6:$AB$127)*Y$5,0)</f>
        <v>0</v>
      </c>
      <c r="Z104" s="35">
        <f>IF(AND(COLUMN()&gt;=11,COLUMN()&lt;=20),(_xlfn.XLOOKUP($A104,'Oferta Producto 3'!$B$10:$B$21,'Oferta Producto 3'!$E$10:$E$21))/SUMIF($A$7:$AC$128,$A104,$AB$6:$AB$127)*Z$5,0)</f>
        <v>0</v>
      </c>
      <c r="AA104" s="35">
        <f t="shared" ca="1" si="14"/>
        <v>0</v>
      </c>
      <c r="AB104" s="28">
        <f t="shared" si="10"/>
        <v>31</v>
      </c>
      <c r="AC104" s="29">
        <f t="shared" ca="1" si="11"/>
        <v>0</v>
      </c>
      <c r="AD104" s="48">
        <f ca="1">'Curvas Prod 3'!AC104/SUMIF('Curvas Prod 3'!A102:AC247,'Curva de la oferta Prod 3'!$A104,'Curvas Prod 3'!AC102:AC247)</f>
        <v>8.4931506849315067E-2</v>
      </c>
      <c r="AE104" s="45"/>
      <c r="AF104" s="49"/>
      <c r="AG104" s="49"/>
      <c r="AH104" s="49"/>
      <c r="AI104" s="49"/>
      <c r="AJ104" s="49"/>
      <c r="AK104" s="49"/>
    </row>
    <row r="105" spans="1:37" ht="15">
      <c r="A105" s="23">
        <f t="shared" si="9"/>
        <v>2034</v>
      </c>
      <c r="B105" s="27">
        <v>48976</v>
      </c>
      <c r="C105" s="35">
        <f>IF(AND(COLUMN()&gt;=11,COLUMN()&lt;=20),(_xlfn.XLOOKUP($A105,'Oferta Producto 3'!$B$10:$B$21,'Oferta Producto 3'!$E$10:$E$21))/SUMIF($A$7:$AC$128,$A105,$AB$6:$AB$127)*C$5,0)</f>
        <v>0</v>
      </c>
      <c r="D105" s="35">
        <f>IF(AND(COLUMN()&gt;=11,COLUMN()&lt;=20),(_xlfn.XLOOKUP($A105,'Oferta Producto 3'!$B$10:$B$21,'Oferta Producto 3'!$E$10:$E$21))/SUMIF($A$7:$AC$128,$A105,$AB$6:$AB$127)*D$5,0)</f>
        <v>0</v>
      </c>
      <c r="E105" s="35">
        <f>IF(AND(COLUMN()&gt;=11,COLUMN()&lt;=20),(_xlfn.XLOOKUP($A105,'Oferta Producto 3'!$B$10:$B$21,'Oferta Producto 3'!$E$10:$E$21))/SUMIF($A$7:$AC$128,$A105,$AB$6:$AB$127)*E$5,0)</f>
        <v>0</v>
      </c>
      <c r="F105" s="35">
        <f>IF(AND(COLUMN()&gt;=11,COLUMN()&lt;=20),(_xlfn.XLOOKUP($A105,'Oferta Producto 3'!$B$10:$B$21,'Oferta Producto 3'!$E$10:$E$21))/SUMIF($A$7:$AC$128,$A105,$AB$6:$AB$127)*F$5,0)</f>
        <v>0</v>
      </c>
      <c r="G105" s="35">
        <f>IF(AND(COLUMN()&gt;=11,COLUMN()&lt;=20),(_xlfn.XLOOKUP($A105,'Oferta Producto 3'!$B$10:$B$21,'Oferta Producto 3'!$E$10:$E$21))/SUMIF($A$7:$AC$128,$A105,$AB$6:$AB$127)*G$5,0)</f>
        <v>0</v>
      </c>
      <c r="H105" s="35">
        <f>IF(AND(COLUMN()&gt;=11,COLUMN()&lt;=20),(_xlfn.XLOOKUP($A105,'Oferta Producto 3'!$B$10:$B$21,'Oferta Producto 3'!$E$10:$E$21))/SUMIF($A$7:$AC$128,$A105,$AB$6:$AB$127)*H$5,0)</f>
        <v>0</v>
      </c>
      <c r="I105" s="35">
        <f>IF(AND(COLUMN()&gt;=11,COLUMN()&lt;=20),(_xlfn.XLOOKUP($A105,'Oferta Producto 3'!$B$10:$B$21,'Oferta Producto 3'!$E$10:$E$21))/SUMIF($A$7:$AC$128,$A105,$AB$6:$AB$127)*I$5,0)</f>
        <v>0</v>
      </c>
      <c r="J105" s="35">
        <f>IF(AND(COLUMN()&gt;=11,COLUMN()&lt;=20),(_xlfn.XLOOKUP($A105,'Oferta Producto 3'!$B$10:$B$21,'Oferta Producto 3'!$E$10:$E$21))/SUMIF($A$7:$AC$128,$A105,$AB$6:$AB$127)*J$5,0)</f>
        <v>0</v>
      </c>
      <c r="K105" s="35">
        <f ca="1">IF(AND(COLUMN()&gt;=11,COLUMN()&lt;=20),(_xlfn.XLOOKUP($A105,'Oferta Producto 3'!$B$10:$B$21,'Oferta Producto 3'!$E$10:$E$21))/SUMIF($A$7:$AC$128,$A105,$AB$6:$AB$127)*K$5,0)</f>
        <v>0</v>
      </c>
      <c r="L105" s="35">
        <f ca="1">IF(AND(COLUMN()&gt;=11,COLUMN()&lt;=20),(_xlfn.XLOOKUP($A105,'Oferta Producto 3'!$B$10:$B$21,'Oferta Producto 3'!$E$10:$E$21))/SUMIF($A$7:$AC$128,$A105,$AB$6:$AB$127)*L$5,0)</f>
        <v>0</v>
      </c>
      <c r="M105" s="35">
        <f ca="1">IF(AND(COLUMN()&gt;=11,COLUMN()&lt;=20),(_xlfn.XLOOKUP($A105,'Oferta Producto 3'!$B$10:$B$21,'Oferta Producto 3'!$E$10:$E$21))/SUMIF($A$7:$AC$128,$A105,$AB$6:$AB$127)*M$5,0)</f>
        <v>0</v>
      </c>
      <c r="N105" s="35">
        <f ca="1">IF(AND(COLUMN()&gt;=11,COLUMN()&lt;=20),(_xlfn.XLOOKUP($A105,'Oferta Producto 3'!$B$10:$B$21,'Oferta Producto 3'!$E$10:$E$21))/SUMIF($A$7:$AC$128,$A105,$AB$6:$AB$127)*N$5,0)</f>
        <v>0</v>
      </c>
      <c r="O105" s="35">
        <f ca="1">IF(AND(COLUMN()&gt;=11,COLUMN()&lt;=20),(_xlfn.XLOOKUP($A105,'Oferta Producto 3'!$B$10:$B$21,'Oferta Producto 3'!$E$10:$E$21))/SUMIF($A$7:$AC$128,$A105,$AB$6:$AB$127)*O$5,0)</f>
        <v>0</v>
      </c>
      <c r="P105" s="35">
        <f ca="1">IF(AND(COLUMN()&gt;=11,COLUMN()&lt;=20),(_xlfn.XLOOKUP($A105,'Oferta Producto 3'!$B$10:$B$21,'Oferta Producto 3'!$E$10:$E$21))/SUMIF($A$7:$AC$128,$A105,$AB$6:$AB$127)*P$5,0)</f>
        <v>0</v>
      </c>
      <c r="Q105" s="35">
        <f ca="1">IF(AND(COLUMN()&gt;=11,COLUMN()&lt;=20),(_xlfn.XLOOKUP($A105,'Oferta Producto 3'!$B$10:$B$21,'Oferta Producto 3'!$E$10:$E$21))/SUMIF($A$7:$AC$128,$A105,$AB$6:$AB$127)*Q$5,0)</f>
        <v>0</v>
      </c>
      <c r="R105" s="35">
        <f ca="1">IF(AND(COLUMN()&gt;=11,COLUMN()&lt;=20),(_xlfn.XLOOKUP($A105,'Oferta Producto 3'!$B$10:$B$21,'Oferta Producto 3'!$E$10:$E$21))/SUMIF($A$7:$AC$128,$A105,$AB$6:$AB$127)*R$5,0)</f>
        <v>0</v>
      </c>
      <c r="S105" s="35">
        <f ca="1">IF(AND(COLUMN()&gt;=11,COLUMN()&lt;=20),(_xlfn.XLOOKUP($A105,'Oferta Producto 3'!$B$10:$B$21,'Oferta Producto 3'!$E$10:$E$21))/SUMIF($A$7:$AC$128,$A105,$AB$6:$AB$127)*S$5,0)</f>
        <v>0</v>
      </c>
      <c r="T105" s="35">
        <f ca="1">IF(AND(COLUMN()&gt;=11,COLUMN()&lt;=20),(_xlfn.XLOOKUP($A105,'Oferta Producto 3'!$B$10:$B$21,'Oferta Producto 3'!$E$10:$E$21))/SUMIF($A$7:$AC$128,$A105,$AB$6:$AB$127)*T$5,0)</f>
        <v>0</v>
      </c>
      <c r="U105" s="35">
        <f>IF(AND(COLUMN()&gt;=11,COLUMN()&lt;=20),(_xlfn.XLOOKUP($A105,'Oferta Producto 3'!$B$10:$B$21,'Oferta Producto 3'!$E$10:$E$21))/SUMIF($A$7:$AC$128,$A105,$AB$6:$AB$127)*U$5,0)</f>
        <v>0</v>
      </c>
      <c r="V105" s="35">
        <f>IF(AND(COLUMN()&gt;=11,COLUMN()&lt;=20),(_xlfn.XLOOKUP($A105,'Oferta Producto 3'!$B$10:$B$21,'Oferta Producto 3'!$E$10:$E$21))/SUMIF($A$7:$AC$128,$A105,$AB$6:$AB$127)*V$5,0)</f>
        <v>0</v>
      </c>
      <c r="W105" s="35">
        <f>IF(AND(COLUMN()&gt;=11,COLUMN()&lt;=20),(_xlfn.XLOOKUP($A105,'Oferta Producto 3'!$B$10:$B$21,'Oferta Producto 3'!$E$10:$E$21))/SUMIF($A$7:$AC$128,$A105,$AB$6:$AB$127)*W$5,0)</f>
        <v>0</v>
      </c>
      <c r="X105" s="35">
        <f>IF(AND(COLUMN()&gt;=11,COLUMN()&lt;=20),(_xlfn.XLOOKUP($A105,'Oferta Producto 3'!$B$10:$B$21,'Oferta Producto 3'!$E$10:$E$21))/SUMIF($A$7:$AC$128,$A105,$AB$6:$AB$127)*X$5,0)</f>
        <v>0</v>
      </c>
      <c r="Y105" s="35">
        <f>IF(AND(COLUMN()&gt;=11,COLUMN()&lt;=20),(_xlfn.XLOOKUP($A105,'Oferta Producto 3'!$B$10:$B$21,'Oferta Producto 3'!$E$10:$E$21))/SUMIF($A$7:$AC$128,$A105,$AB$6:$AB$127)*Y$5,0)</f>
        <v>0</v>
      </c>
      <c r="Z105" s="35">
        <f>IF(AND(COLUMN()&gt;=11,COLUMN()&lt;=20),(_xlfn.XLOOKUP($A105,'Oferta Producto 3'!$B$10:$B$21,'Oferta Producto 3'!$E$10:$E$21))/SUMIF($A$7:$AC$128,$A105,$AB$6:$AB$127)*Z$5,0)</f>
        <v>0</v>
      </c>
      <c r="AA105" s="35">
        <f t="shared" ref="AA105:AA116" ca="1" si="15">SUM(C105:Z105)</f>
        <v>0</v>
      </c>
      <c r="AB105" s="28">
        <f t="shared" si="10"/>
        <v>28</v>
      </c>
      <c r="AC105" s="29">
        <f t="shared" ca="1" si="11"/>
        <v>0</v>
      </c>
      <c r="AD105" s="48">
        <f ca="1">'Curvas Prod 3'!AC105/SUMIF('Curvas Prod 3'!A103:AC248,'Curva de la oferta Prod 3'!$A105,'Curvas Prod 3'!AC103:AC248)</f>
        <v>7.6712328767123292E-2</v>
      </c>
      <c r="AE105" s="45"/>
      <c r="AF105" s="49"/>
      <c r="AG105" s="49"/>
      <c r="AH105" s="49"/>
      <c r="AI105" s="49"/>
      <c r="AJ105" s="49"/>
      <c r="AK105" s="49"/>
    </row>
    <row r="106" spans="1:37" ht="15">
      <c r="A106" s="23">
        <f t="shared" si="9"/>
        <v>2034</v>
      </c>
      <c r="B106" s="27">
        <v>49004</v>
      </c>
      <c r="C106" s="35">
        <f>IF(AND(COLUMN()&gt;=11,COLUMN()&lt;=20),(_xlfn.XLOOKUP($A106,'Oferta Producto 3'!$B$10:$B$21,'Oferta Producto 3'!$E$10:$E$21))/SUMIF($A$7:$AC$128,$A106,$AB$6:$AB$127)*C$5,0)</f>
        <v>0</v>
      </c>
      <c r="D106" s="35">
        <f>IF(AND(COLUMN()&gt;=11,COLUMN()&lt;=20),(_xlfn.XLOOKUP($A106,'Oferta Producto 3'!$B$10:$B$21,'Oferta Producto 3'!$E$10:$E$21))/SUMIF($A$7:$AC$128,$A106,$AB$6:$AB$127)*D$5,0)</f>
        <v>0</v>
      </c>
      <c r="E106" s="35">
        <f>IF(AND(COLUMN()&gt;=11,COLUMN()&lt;=20),(_xlfn.XLOOKUP($A106,'Oferta Producto 3'!$B$10:$B$21,'Oferta Producto 3'!$E$10:$E$21))/SUMIF($A$7:$AC$128,$A106,$AB$6:$AB$127)*E$5,0)</f>
        <v>0</v>
      </c>
      <c r="F106" s="35">
        <f>IF(AND(COLUMN()&gt;=11,COLUMN()&lt;=20),(_xlfn.XLOOKUP($A106,'Oferta Producto 3'!$B$10:$B$21,'Oferta Producto 3'!$E$10:$E$21))/SUMIF($A$7:$AC$128,$A106,$AB$6:$AB$127)*F$5,0)</f>
        <v>0</v>
      </c>
      <c r="G106" s="35">
        <f>IF(AND(COLUMN()&gt;=11,COLUMN()&lt;=20),(_xlfn.XLOOKUP($A106,'Oferta Producto 3'!$B$10:$B$21,'Oferta Producto 3'!$E$10:$E$21))/SUMIF($A$7:$AC$128,$A106,$AB$6:$AB$127)*G$5,0)</f>
        <v>0</v>
      </c>
      <c r="H106" s="35">
        <f>IF(AND(COLUMN()&gt;=11,COLUMN()&lt;=20),(_xlfn.XLOOKUP($A106,'Oferta Producto 3'!$B$10:$B$21,'Oferta Producto 3'!$E$10:$E$21))/SUMIF($A$7:$AC$128,$A106,$AB$6:$AB$127)*H$5,0)</f>
        <v>0</v>
      </c>
      <c r="I106" s="35">
        <f>IF(AND(COLUMN()&gt;=11,COLUMN()&lt;=20),(_xlfn.XLOOKUP($A106,'Oferta Producto 3'!$B$10:$B$21,'Oferta Producto 3'!$E$10:$E$21))/SUMIF($A$7:$AC$128,$A106,$AB$6:$AB$127)*I$5,0)</f>
        <v>0</v>
      </c>
      <c r="J106" s="35">
        <f>IF(AND(COLUMN()&gt;=11,COLUMN()&lt;=20),(_xlfn.XLOOKUP($A106,'Oferta Producto 3'!$B$10:$B$21,'Oferta Producto 3'!$E$10:$E$21))/SUMIF($A$7:$AC$128,$A106,$AB$6:$AB$127)*J$5,0)</f>
        <v>0</v>
      </c>
      <c r="K106" s="35">
        <f ca="1">IF(AND(COLUMN()&gt;=11,COLUMN()&lt;=20),(_xlfn.XLOOKUP($A106,'Oferta Producto 3'!$B$10:$B$21,'Oferta Producto 3'!$E$10:$E$21))/SUMIF($A$7:$AC$128,$A106,$AB$6:$AB$127)*K$5,0)</f>
        <v>0</v>
      </c>
      <c r="L106" s="35">
        <f ca="1">IF(AND(COLUMN()&gt;=11,COLUMN()&lt;=20),(_xlfn.XLOOKUP($A106,'Oferta Producto 3'!$B$10:$B$21,'Oferta Producto 3'!$E$10:$E$21))/SUMIF($A$7:$AC$128,$A106,$AB$6:$AB$127)*L$5,0)</f>
        <v>0</v>
      </c>
      <c r="M106" s="35">
        <f ca="1">IF(AND(COLUMN()&gt;=11,COLUMN()&lt;=20),(_xlfn.XLOOKUP($A106,'Oferta Producto 3'!$B$10:$B$21,'Oferta Producto 3'!$E$10:$E$21))/SUMIF($A$7:$AC$128,$A106,$AB$6:$AB$127)*M$5,0)</f>
        <v>0</v>
      </c>
      <c r="N106" s="35">
        <f ca="1">IF(AND(COLUMN()&gt;=11,COLUMN()&lt;=20),(_xlfn.XLOOKUP($A106,'Oferta Producto 3'!$B$10:$B$21,'Oferta Producto 3'!$E$10:$E$21))/SUMIF($A$7:$AC$128,$A106,$AB$6:$AB$127)*N$5,0)</f>
        <v>0</v>
      </c>
      <c r="O106" s="35">
        <f ca="1">IF(AND(COLUMN()&gt;=11,COLUMN()&lt;=20),(_xlfn.XLOOKUP($A106,'Oferta Producto 3'!$B$10:$B$21,'Oferta Producto 3'!$E$10:$E$21))/SUMIF($A$7:$AC$128,$A106,$AB$6:$AB$127)*O$5,0)</f>
        <v>0</v>
      </c>
      <c r="P106" s="35">
        <f ca="1">IF(AND(COLUMN()&gt;=11,COLUMN()&lt;=20),(_xlfn.XLOOKUP($A106,'Oferta Producto 3'!$B$10:$B$21,'Oferta Producto 3'!$E$10:$E$21))/SUMIF($A$7:$AC$128,$A106,$AB$6:$AB$127)*P$5,0)</f>
        <v>0</v>
      </c>
      <c r="Q106" s="35">
        <f ca="1">IF(AND(COLUMN()&gt;=11,COLUMN()&lt;=20),(_xlfn.XLOOKUP($A106,'Oferta Producto 3'!$B$10:$B$21,'Oferta Producto 3'!$E$10:$E$21))/SUMIF($A$7:$AC$128,$A106,$AB$6:$AB$127)*Q$5,0)</f>
        <v>0</v>
      </c>
      <c r="R106" s="35">
        <f ca="1">IF(AND(COLUMN()&gt;=11,COLUMN()&lt;=20),(_xlfn.XLOOKUP($A106,'Oferta Producto 3'!$B$10:$B$21,'Oferta Producto 3'!$E$10:$E$21))/SUMIF($A$7:$AC$128,$A106,$AB$6:$AB$127)*R$5,0)</f>
        <v>0</v>
      </c>
      <c r="S106" s="35">
        <f ca="1">IF(AND(COLUMN()&gt;=11,COLUMN()&lt;=20),(_xlfn.XLOOKUP($A106,'Oferta Producto 3'!$B$10:$B$21,'Oferta Producto 3'!$E$10:$E$21))/SUMIF($A$7:$AC$128,$A106,$AB$6:$AB$127)*S$5,0)</f>
        <v>0</v>
      </c>
      <c r="T106" s="35">
        <f ca="1">IF(AND(COLUMN()&gt;=11,COLUMN()&lt;=20),(_xlfn.XLOOKUP($A106,'Oferta Producto 3'!$B$10:$B$21,'Oferta Producto 3'!$E$10:$E$21))/SUMIF($A$7:$AC$128,$A106,$AB$6:$AB$127)*T$5,0)</f>
        <v>0</v>
      </c>
      <c r="U106" s="35">
        <f>IF(AND(COLUMN()&gt;=11,COLUMN()&lt;=20),(_xlfn.XLOOKUP($A106,'Oferta Producto 3'!$B$10:$B$21,'Oferta Producto 3'!$E$10:$E$21))/SUMIF($A$7:$AC$128,$A106,$AB$6:$AB$127)*U$5,0)</f>
        <v>0</v>
      </c>
      <c r="V106" s="35">
        <f>IF(AND(COLUMN()&gt;=11,COLUMN()&lt;=20),(_xlfn.XLOOKUP($A106,'Oferta Producto 3'!$B$10:$B$21,'Oferta Producto 3'!$E$10:$E$21))/SUMIF($A$7:$AC$128,$A106,$AB$6:$AB$127)*V$5,0)</f>
        <v>0</v>
      </c>
      <c r="W106" s="35">
        <f>IF(AND(COLUMN()&gt;=11,COLUMN()&lt;=20),(_xlfn.XLOOKUP($A106,'Oferta Producto 3'!$B$10:$B$21,'Oferta Producto 3'!$E$10:$E$21))/SUMIF($A$7:$AC$128,$A106,$AB$6:$AB$127)*W$5,0)</f>
        <v>0</v>
      </c>
      <c r="X106" s="35">
        <f>IF(AND(COLUMN()&gt;=11,COLUMN()&lt;=20),(_xlfn.XLOOKUP($A106,'Oferta Producto 3'!$B$10:$B$21,'Oferta Producto 3'!$E$10:$E$21))/SUMIF($A$7:$AC$128,$A106,$AB$6:$AB$127)*X$5,0)</f>
        <v>0</v>
      </c>
      <c r="Y106" s="35">
        <f>IF(AND(COLUMN()&gt;=11,COLUMN()&lt;=20),(_xlfn.XLOOKUP($A106,'Oferta Producto 3'!$B$10:$B$21,'Oferta Producto 3'!$E$10:$E$21))/SUMIF($A$7:$AC$128,$A106,$AB$6:$AB$127)*Y$5,0)</f>
        <v>0</v>
      </c>
      <c r="Z106" s="35">
        <f>IF(AND(COLUMN()&gt;=11,COLUMN()&lt;=20),(_xlfn.XLOOKUP($A106,'Oferta Producto 3'!$B$10:$B$21,'Oferta Producto 3'!$E$10:$E$21))/SUMIF($A$7:$AC$128,$A106,$AB$6:$AB$127)*Z$5,0)</f>
        <v>0</v>
      </c>
      <c r="AA106" s="35">
        <f t="shared" ca="1" si="15"/>
        <v>0</v>
      </c>
      <c r="AB106" s="28">
        <f t="shared" si="10"/>
        <v>31</v>
      </c>
      <c r="AC106" s="29">
        <f t="shared" ca="1" si="11"/>
        <v>0</v>
      </c>
      <c r="AD106" s="48">
        <f ca="1">'Curvas Prod 3'!AC106/SUMIF('Curvas Prod 3'!A104:AC249,'Curva de la oferta Prod 3'!$A106,'Curvas Prod 3'!AC104:AC249)</f>
        <v>8.4931506849315067E-2</v>
      </c>
      <c r="AE106" s="45"/>
      <c r="AF106" s="49"/>
      <c r="AG106" s="49"/>
      <c r="AH106" s="49"/>
      <c r="AI106" s="49"/>
      <c r="AJ106" s="49"/>
      <c r="AK106" s="49"/>
    </row>
    <row r="107" spans="1:37" ht="15">
      <c r="A107" s="23">
        <f t="shared" si="9"/>
        <v>2034</v>
      </c>
      <c r="B107" s="27">
        <v>49035</v>
      </c>
      <c r="C107" s="35">
        <f>IF(AND(COLUMN()&gt;=11,COLUMN()&lt;=20),(_xlfn.XLOOKUP($A107,'Oferta Producto 3'!$B$10:$B$21,'Oferta Producto 3'!$E$10:$E$21))/SUMIF($A$7:$AC$128,$A107,$AB$6:$AB$127)*C$5,0)</f>
        <v>0</v>
      </c>
      <c r="D107" s="35">
        <f>IF(AND(COLUMN()&gt;=11,COLUMN()&lt;=20),(_xlfn.XLOOKUP($A107,'Oferta Producto 3'!$B$10:$B$21,'Oferta Producto 3'!$E$10:$E$21))/SUMIF($A$7:$AC$128,$A107,$AB$6:$AB$127)*D$5,0)</f>
        <v>0</v>
      </c>
      <c r="E107" s="35">
        <f>IF(AND(COLUMN()&gt;=11,COLUMN()&lt;=20),(_xlfn.XLOOKUP($A107,'Oferta Producto 3'!$B$10:$B$21,'Oferta Producto 3'!$E$10:$E$21))/SUMIF($A$7:$AC$128,$A107,$AB$6:$AB$127)*E$5,0)</f>
        <v>0</v>
      </c>
      <c r="F107" s="35">
        <f>IF(AND(COLUMN()&gt;=11,COLUMN()&lt;=20),(_xlfn.XLOOKUP($A107,'Oferta Producto 3'!$B$10:$B$21,'Oferta Producto 3'!$E$10:$E$21))/SUMIF($A$7:$AC$128,$A107,$AB$6:$AB$127)*F$5,0)</f>
        <v>0</v>
      </c>
      <c r="G107" s="35">
        <f>IF(AND(COLUMN()&gt;=11,COLUMN()&lt;=20),(_xlfn.XLOOKUP($A107,'Oferta Producto 3'!$B$10:$B$21,'Oferta Producto 3'!$E$10:$E$21))/SUMIF($A$7:$AC$128,$A107,$AB$6:$AB$127)*G$5,0)</f>
        <v>0</v>
      </c>
      <c r="H107" s="35">
        <f>IF(AND(COLUMN()&gt;=11,COLUMN()&lt;=20),(_xlfn.XLOOKUP($A107,'Oferta Producto 3'!$B$10:$B$21,'Oferta Producto 3'!$E$10:$E$21))/SUMIF($A$7:$AC$128,$A107,$AB$6:$AB$127)*H$5,0)</f>
        <v>0</v>
      </c>
      <c r="I107" s="35">
        <f>IF(AND(COLUMN()&gt;=11,COLUMN()&lt;=20),(_xlfn.XLOOKUP($A107,'Oferta Producto 3'!$B$10:$B$21,'Oferta Producto 3'!$E$10:$E$21))/SUMIF($A$7:$AC$128,$A107,$AB$6:$AB$127)*I$5,0)</f>
        <v>0</v>
      </c>
      <c r="J107" s="35">
        <f>IF(AND(COLUMN()&gt;=11,COLUMN()&lt;=20),(_xlfn.XLOOKUP($A107,'Oferta Producto 3'!$B$10:$B$21,'Oferta Producto 3'!$E$10:$E$21))/SUMIF($A$7:$AC$128,$A107,$AB$6:$AB$127)*J$5,0)</f>
        <v>0</v>
      </c>
      <c r="K107" s="35">
        <f ca="1">IF(AND(COLUMN()&gt;=11,COLUMN()&lt;=20),(_xlfn.XLOOKUP($A107,'Oferta Producto 3'!$B$10:$B$21,'Oferta Producto 3'!$E$10:$E$21))/SUMIF($A$7:$AC$128,$A107,$AB$6:$AB$127)*K$5,0)</f>
        <v>0</v>
      </c>
      <c r="L107" s="35">
        <f ca="1">IF(AND(COLUMN()&gt;=11,COLUMN()&lt;=20),(_xlfn.XLOOKUP($A107,'Oferta Producto 3'!$B$10:$B$21,'Oferta Producto 3'!$E$10:$E$21))/SUMIF($A$7:$AC$128,$A107,$AB$6:$AB$127)*L$5,0)</f>
        <v>0</v>
      </c>
      <c r="M107" s="35">
        <f ca="1">IF(AND(COLUMN()&gt;=11,COLUMN()&lt;=20),(_xlfn.XLOOKUP($A107,'Oferta Producto 3'!$B$10:$B$21,'Oferta Producto 3'!$E$10:$E$21))/SUMIF($A$7:$AC$128,$A107,$AB$6:$AB$127)*M$5,0)</f>
        <v>0</v>
      </c>
      <c r="N107" s="35">
        <f ca="1">IF(AND(COLUMN()&gt;=11,COLUMN()&lt;=20),(_xlfn.XLOOKUP($A107,'Oferta Producto 3'!$B$10:$B$21,'Oferta Producto 3'!$E$10:$E$21))/SUMIF($A$7:$AC$128,$A107,$AB$6:$AB$127)*N$5,0)</f>
        <v>0</v>
      </c>
      <c r="O107" s="35">
        <f ca="1">IF(AND(COLUMN()&gt;=11,COLUMN()&lt;=20),(_xlfn.XLOOKUP($A107,'Oferta Producto 3'!$B$10:$B$21,'Oferta Producto 3'!$E$10:$E$21))/SUMIF($A$7:$AC$128,$A107,$AB$6:$AB$127)*O$5,0)</f>
        <v>0</v>
      </c>
      <c r="P107" s="35">
        <f ca="1">IF(AND(COLUMN()&gt;=11,COLUMN()&lt;=20),(_xlfn.XLOOKUP($A107,'Oferta Producto 3'!$B$10:$B$21,'Oferta Producto 3'!$E$10:$E$21))/SUMIF($A$7:$AC$128,$A107,$AB$6:$AB$127)*P$5,0)</f>
        <v>0</v>
      </c>
      <c r="Q107" s="35">
        <f ca="1">IF(AND(COLUMN()&gt;=11,COLUMN()&lt;=20),(_xlfn.XLOOKUP($A107,'Oferta Producto 3'!$B$10:$B$21,'Oferta Producto 3'!$E$10:$E$21))/SUMIF($A$7:$AC$128,$A107,$AB$6:$AB$127)*Q$5,0)</f>
        <v>0</v>
      </c>
      <c r="R107" s="35">
        <f ca="1">IF(AND(COLUMN()&gt;=11,COLUMN()&lt;=20),(_xlfn.XLOOKUP($A107,'Oferta Producto 3'!$B$10:$B$21,'Oferta Producto 3'!$E$10:$E$21))/SUMIF($A$7:$AC$128,$A107,$AB$6:$AB$127)*R$5,0)</f>
        <v>0</v>
      </c>
      <c r="S107" s="35">
        <f ca="1">IF(AND(COLUMN()&gt;=11,COLUMN()&lt;=20),(_xlfn.XLOOKUP($A107,'Oferta Producto 3'!$B$10:$B$21,'Oferta Producto 3'!$E$10:$E$21))/SUMIF($A$7:$AC$128,$A107,$AB$6:$AB$127)*S$5,0)</f>
        <v>0</v>
      </c>
      <c r="T107" s="35">
        <f ca="1">IF(AND(COLUMN()&gt;=11,COLUMN()&lt;=20),(_xlfn.XLOOKUP($A107,'Oferta Producto 3'!$B$10:$B$21,'Oferta Producto 3'!$E$10:$E$21))/SUMIF($A$7:$AC$128,$A107,$AB$6:$AB$127)*T$5,0)</f>
        <v>0</v>
      </c>
      <c r="U107" s="35">
        <f>IF(AND(COLUMN()&gt;=11,COLUMN()&lt;=20),(_xlfn.XLOOKUP($A107,'Oferta Producto 3'!$B$10:$B$21,'Oferta Producto 3'!$E$10:$E$21))/SUMIF($A$7:$AC$128,$A107,$AB$6:$AB$127)*U$5,0)</f>
        <v>0</v>
      </c>
      <c r="V107" s="35">
        <f>IF(AND(COLUMN()&gt;=11,COLUMN()&lt;=20),(_xlfn.XLOOKUP($A107,'Oferta Producto 3'!$B$10:$B$21,'Oferta Producto 3'!$E$10:$E$21))/SUMIF($A$7:$AC$128,$A107,$AB$6:$AB$127)*V$5,0)</f>
        <v>0</v>
      </c>
      <c r="W107" s="35">
        <f>IF(AND(COLUMN()&gt;=11,COLUMN()&lt;=20),(_xlfn.XLOOKUP($A107,'Oferta Producto 3'!$B$10:$B$21,'Oferta Producto 3'!$E$10:$E$21))/SUMIF($A$7:$AC$128,$A107,$AB$6:$AB$127)*W$5,0)</f>
        <v>0</v>
      </c>
      <c r="X107" s="35">
        <f>IF(AND(COLUMN()&gt;=11,COLUMN()&lt;=20),(_xlfn.XLOOKUP($A107,'Oferta Producto 3'!$B$10:$B$21,'Oferta Producto 3'!$E$10:$E$21))/SUMIF($A$7:$AC$128,$A107,$AB$6:$AB$127)*X$5,0)</f>
        <v>0</v>
      </c>
      <c r="Y107" s="35">
        <f>IF(AND(COLUMN()&gt;=11,COLUMN()&lt;=20),(_xlfn.XLOOKUP($A107,'Oferta Producto 3'!$B$10:$B$21,'Oferta Producto 3'!$E$10:$E$21))/SUMIF($A$7:$AC$128,$A107,$AB$6:$AB$127)*Y$5,0)</f>
        <v>0</v>
      </c>
      <c r="Z107" s="35">
        <f>IF(AND(COLUMN()&gt;=11,COLUMN()&lt;=20),(_xlfn.XLOOKUP($A107,'Oferta Producto 3'!$B$10:$B$21,'Oferta Producto 3'!$E$10:$E$21))/SUMIF($A$7:$AC$128,$A107,$AB$6:$AB$127)*Z$5,0)</f>
        <v>0</v>
      </c>
      <c r="AA107" s="35">
        <f t="shared" ca="1" si="15"/>
        <v>0</v>
      </c>
      <c r="AB107" s="28">
        <f t="shared" si="10"/>
        <v>30</v>
      </c>
      <c r="AC107" s="29">
        <f t="shared" ca="1" si="11"/>
        <v>0</v>
      </c>
      <c r="AD107" s="48">
        <f ca="1">'Curvas Prod 3'!AC107/SUMIF('Curvas Prod 3'!A105:AC250,'Curva de la oferta Prod 3'!$A107,'Curvas Prod 3'!AC105:AC250)</f>
        <v>8.9820359281437126E-2</v>
      </c>
      <c r="AE107" s="45"/>
      <c r="AF107" s="49"/>
      <c r="AG107" s="49"/>
      <c r="AH107" s="49"/>
      <c r="AI107" s="49"/>
      <c r="AJ107" s="49"/>
      <c r="AK107" s="49"/>
    </row>
    <row r="108" spans="1:37" ht="15">
      <c r="A108" s="23">
        <f t="shared" si="9"/>
        <v>2034</v>
      </c>
      <c r="B108" s="27">
        <v>49065</v>
      </c>
      <c r="C108" s="35">
        <f>IF(AND(COLUMN()&gt;=11,COLUMN()&lt;=20),(_xlfn.XLOOKUP($A108,'Oferta Producto 3'!$B$10:$B$21,'Oferta Producto 3'!$E$10:$E$21))/SUMIF($A$7:$AC$128,$A108,$AB$6:$AB$127)*C$5,0)</f>
        <v>0</v>
      </c>
      <c r="D108" s="35">
        <f>IF(AND(COLUMN()&gt;=11,COLUMN()&lt;=20),(_xlfn.XLOOKUP($A108,'Oferta Producto 3'!$B$10:$B$21,'Oferta Producto 3'!$E$10:$E$21))/SUMIF($A$7:$AC$128,$A108,$AB$6:$AB$127)*D$5,0)</f>
        <v>0</v>
      </c>
      <c r="E108" s="35">
        <f>IF(AND(COLUMN()&gt;=11,COLUMN()&lt;=20),(_xlfn.XLOOKUP($A108,'Oferta Producto 3'!$B$10:$B$21,'Oferta Producto 3'!$E$10:$E$21))/SUMIF($A$7:$AC$128,$A108,$AB$6:$AB$127)*E$5,0)</f>
        <v>0</v>
      </c>
      <c r="F108" s="35">
        <f>IF(AND(COLUMN()&gt;=11,COLUMN()&lt;=20),(_xlfn.XLOOKUP($A108,'Oferta Producto 3'!$B$10:$B$21,'Oferta Producto 3'!$E$10:$E$21))/SUMIF($A$7:$AC$128,$A108,$AB$6:$AB$127)*F$5,0)</f>
        <v>0</v>
      </c>
      <c r="G108" s="35">
        <f>IF(AND(COLUMN()&gt;=11,COLUMN()&lt;=20),(_xlfn.XLOOKUP($A108,'Oferta Producto 3'!$B$10:$B$21,'Oferta Producto 3'!$E$10:$E$21))/SUMIF($A$7:$AC$128,$A108,$AB$6:$AB$127)*G$5,0)</f>
        <v>0</v>
      </c>
      <c r="H108" s="35">
        <f>IF(AND(COLUMN()&gt;=11,COLUMN()&lt;=20),(_xlfn.XLOOKUP($A108,'Oferta Producto 3'!$B$10:$B$21,'Oferta Producto 3'!$E$10:$E$21))/SUMIF($A$7:$AC$128,$A108,$AB$6:$AB$127)*H$5,0)</f>
        <v>0</v>
      </c>
      <c r="I108" s="35">
        <f>IF(AND(COLUMN()&gt;=11,COLUMN()&lt;=20),(_xlfn.XLOOKUP($A108,'Oferta Producto 3'!$B$10:$B$21,'Oferta Producto 3'!$E$10:$E$21))/SUMIF($A$7:$AC$128,$A108,$AB$6:$AB$127)*I$5,0)</f>
        <v>0</v>
      </c>
      <c r="J108" s="35">
        <f>IF(AND(COLUMN()&gt;=11,COLUMN()&lt;=20),(_xlfn.XLOOKUP($A108,'Oferta Producto 3'!$B$10:$B$21,'Oferta Producto 3'!$E$10:$E$21))/SUMIF($A$7:$AC$128,$A108,$AB$6:$AB$127)*J$5,0)</f>
        <v>0</v>
      </c>
      <c r="K108" s="35">
        <f ca="1">IF(AND(COLUMN()&gt;=11,COLUMN()&lt;=20),(_xlfn.XLOOKUP($A108,'Oferta Producto 3'!$B$10:$B$21,'Oferta Producto 3'!$E$10:$E$21))/SUMIF($A$7:$AC$128,$A108,$AB$6:$AB$127)*K$5,0)</f>
        <v>0</v>
      </c>
      <c r="L108" s="35">
        <f ca="1">IF(AND(COLUMN()&gt;=11,COLUMN()&lt;=20),(_xlfn.XLOOKUP($A108,'Oferta Producto 3'!$B$10:$B$21,'Oferta Producto 3'!$E$10:$E$21))/SUMIF($A$7:$AC$128,$A108,$AB$6:$AB$127)*L$5,0)</f>
        <v>0</v>
      </c>
      <c r="M108" s="35">
        <f ca="1">IF(AND(COLUMN()&gt;=11,COLUMN()&lt;=20),(_xlfn.XLOOKUP($A108,'Oferta Producto 3'!$B$10:$B$21,'Oferta Producto 3'!$E$10:$E$21))/SUMIF($A$7:$AC$128,$A108,$AB$6:$AB$127)*M$5,0)</f>
        <v>0</v>
      </c>
      <c r="N108" s="35">
        <f ca="1">IF(AND(COLUMN()&gt;=11,COLUMN()&lt;=20),(_xlfn.XLOOKUP($A108,'Oferta Producto 3'!$B$10:$B$21,'Oferta Producto 3'!$E$10:$E$21))/SUMIF($A$7:$AC$128,$A108,$AB$6:$AB$127)*N$5,0)</f>
        <v>0</v>
      </c>
      <c r="O108" s="35">
        <f ca="1">IF(AND(COLUMN()&gt;=11,COLUMN()&lt;=20),(_xlfn.XLOOKUP($A108,'Oferta Producto 3'!$B$10:$B$21,'Oferta Producto 3'!$E$10:$E$21))/SUMIF($A$7:$AC$128,$A108,$AB$6:$AB$127)*O$5,0)</f>
        <v>0</v>
      </c>
      <c r="P108" s="35">
        <f ca="1">IF(AND(COLUMN()&gt;=11,COLUMN()&lt;=20),(_xlfn.XLOOKUP($A108,'Oferta Producto 3'!$B$10:$B$21,'Oferta Producto 3'!$E$10:$E$21))/SUMIF($A$7:$AC$128,$A108,$AB$6:$AB$127)*P$5,0)</f>
        <v>0</v>
      </c>
      <c r="Q108" s="35">
        <f ca="1">IF(AND(COLUMN()&gt;=11,COLUMN()&lt;=20),(_xlfn.XLOOKUP($A108,'Oferta Producto 3'!$B$10:$B$21,'Oferta Producto 3'!$E$10:$E$21))/SUMIF($A$7:$AC$128,$A108,$AB$6:$AB$127)*Q$5,0)</f>
        <v>0</v>
      </c>
      <c r="R108" s="35">
        <f ca="1">IF(AND(COLUMN()&gt;=11,COLUMN()&lt;=20),(_xlfn.XLOOKUP($A108,'Oferta Producto 3'!$B$10:$B$21,'Oferta Producto 3'!$E$10:$E$21))/SUMIF($A$7:$AC$128,$A108,$AB$6:$AB$127)*R$5,0)</f>
        <v>0</v>
      </c>
      <c r="S108" s="35">
        <f ca="1">IF(AND(COLUMN()&gt;=11,COLUMN()&lt;=20),(_xlfn.XLOOKUP($A108,'Oferta Producto 3'!$B$10:$B$21,'Oferta Producto 3'!$E$10:$E$21))/SUMIF($A$7:$AC$128,$A108,$AB$6:$AB$127)*S$5,0)</f>
        <v>0</v>
      </c>
      <c r="T108" s="35">
        <f ca="1">IF(AND(COLUMN()&gt;=11,COLUMN()&lt;=20),(_xlfn.XLOOKUP($A108,'Oferta Producto 3'!$B$10:$B$21,'Oferta Producto 3'!$E$10:$E$21))/SUMIF($A$7:$AC$128,$A108,$AB$6:$AB$127)*T$5,0)</f>
        <v>0</v>
      </c>
      <c r="U108" s="35">
        <f>IF(AND(COLUMN()&gt;=11,COLUMN()&lt;=20),(_xlfn.XLOOKUP($A108,'Oferta Producto 3'!$B$10:$B$21,'Oferta Producto 3'!$E$10:$E$21))/SUMIF($A$7:$AC$128,$A108,$AB$6:$AB$127)*U$5,0)</f>
        <v>0</v>
      </c>
      <c r="V108" s="35">
        <f>IF(AND(COLUMN()&gt;=11,COLUMN()&lt;=20),(_xlfn.XLOOKUP($A108,'Oferta Producto 3'!$B$10:$B$21,'Oferta Producto 3'!$E$10:$E$21))/SUMIF($A$7:$AC$128,$A108,$AB$6:$AB$127)*V$5,0)</f>
        <v>0</v>
      </c>
      <c r="W108" s="35">
        <f>IF(AND(COLUMN()&gt;=11,COLUMN()&lt;=20),(_xlfn.XLOOKUP($A108,'Oferta Producto 3'!$B$10:$B$21,'Oferta Producto 3'!$E$10:$E$21))/SUMIF($A$7:$AC$128,$A108,$AB$6:$AB$127)*W$5,0)</f>
        <v>0</v>
      </c>
      <c r="X108" s="35">
        <f>IF(AND(COLUMN()&gt;=11,COLUMN()&lt;=20),(_xlfn.XLOOKUP($A108,'Oferta Producto 3'!$B$10:$B$21,'Oferta Producto 3'!$E$10:$E$21))/SUMIF($A$7:$AC$128,$A108,$AB$6:$AB$127)*X$5,0)</f>
        <v>0</v>
      </c>
      <c r="Y108" s="35">
        <f>IF(AND(COLUMN()&gt;=11,COLUMN()&lt;=20),(_xlfn.XLOOKUP($A108,'Oferta Producto 3'!$B$10:$B$21,'Oferta Producto 3'!$E$10:$E$21))/SUMIF($A$7:$AC$128,$A108,$AB$6:$AB$127)*Y$5,0)</f>
        <v>0</v>
      </c>
      <c r="Z108" s="35">
        <f>IF(AND(COLUMN()&gt;=11,COLUMN()&lt;=20),(_xlfn.XLOOKUP($A108,'Oferta Producto 3'!$B$10:$B$21,'Oferta Producto 3'!$E$10:$E$21))/SUMIF($A$7:$AC$128,$A108,$AB$6:$AB$127)*Z$5,0)</f>
        <v>0</v>
      </c>
      <c r="AA108" s="35">
        <f t="shared" ca="1" si="15"/>
        <v>0</v>
      </c>
      <c r="AB108" s="28">
        <f t="shared" si="10"/>
        <v>31</v>
      </c>
      <c r="AC108" s="29">
        <f t="shared" ca="1" si="11"/>
        <v>0</v>
      </c>
      <c r="AD108" s="48">
        <f ca="1">'Curvas Prod 3'!AC108/SUMIF('Curvas Prod 3'!A106:AC251,'Curva de la oferta Prod 3'!$A108,'Curvas Prod 3'!AC106:AC251)</f>
        <v>0.10130718954248366</v>
      </c>
      <c r="AE108" s="45"/>
      <c r="AF108" s="49"/>
      <c r="AG108" s="49"/>
      <c r="AH108" s="49"/>
      <c r="AI108" s="49"/>
      <c r="AJ108" s="49"/>
      <c r="AK108" s="49"/>
    </row>
    <row r="109" spans="1:37" ht="15">
      <c r="A109" s="23">
        <f t="shared" si="9"/>
        <v>2034</v>
      </c>
      <c r="B109" s="27">
        <v>49096</v>
      </c>
      <c r="C109" s="35">
        <f>IF(AND(COLUMN()&gt;=11,COLUMN()&lt;=20),(_xlfn.XLOOKUP($A109,'Oferta Producto 3'!$B$10:$B$21,'Oferta Producto 3'!$E$10:$E$21))/SUMIF($A$7:$AC$128,$A109,$AB$6:$AB$127)*C$5,0)</f>
        <v>0</v>
      </c>
      <c r="D109" s="35">
        <f>IF(AND(COLUMN()&gt;=11,COLUMN()&lt;=20),(_xlfn.XLOOKUP($A109,'Oferta Producto 3'!$B$10:$B$21,'Oferta Producto 3'!$E$10:$E$21))/SUMIF($A$7:$AC$128,$A109,$AB$6:$AB$127)*D$5,0)</f>
        <v>0</v>
      </c>
      <c r="E109" s="35">
        <f>IF(AND(COLUMN()&gt;=11,COLUMN()&lt;=20),(_xlfn.XLOOKUP($A109,'Oferta Producto 3'!$B$10:$B$21,'Oferta Producto 3'!$E$10:$E$21))/SUMIF($A$7:$AC$128,$A109,$AB$6:$AB$127)*E$5,0)</f>
        <v>0</v>
      </c>
      <c r="F109" s="35">
        <f>IF(AND(COLUMN()&gt;=11,COLUMN()&lt;=20),(_xlfn.XLOOKUP($A109,'Oferta Producto 3'!$B$10:$B$21,'Oferta Producto 3'!$E$10:$E$21))/SUMIF($A$7:$AC$128,$A109,$AB$6:$AB$127)*F$5,0)</f>
        <v>0</v>
      </c>
      <c r="G109" s="35">
        <f>IF(AND(COLUMN()&gt;=11,COLUMN()&lt;=20),(_xlfn.XLOOKUP($A109,'Oferta Producto 3'!$B$10:$B$21,'Oferta Producto 3'!$E$10:$E$21))/SUMIF($A$7:$AC$128,$A109,$AB$6:$AB$127)*G$5,0)</f>
        <v>0</v>
      </c>
      <c r="H109" s="35">
        <f>IF(AND(COLUMN()&gt;=11,COLUMN()&lt;=20),(_xlfn.XLOOKUP($A109,'Oferta Producto 3'!$B$10:$B$21,'Oferta Producto 3'!$E$10:$E$21))/SUMIF($A$7:$AC$128,$A109,$AB$6:$AB$127)*H$5,0)</f>
        <v>0</v>
      </c>
      <c r="I109" s="35">
        <f>IF(AND(COLUMN()&gt;=11,COLUMN()&lt;=20),(_xlfn.XLOOKUP($A109,'Oferta Producto 3'!$B$10:$B$21,'Oferta Producto 3'!$E$10:$E$21))/SUMIF($A$7:$AC$128,$A109,$AB$6:$AB$127)*I$5,0)</f>
        <v>0</v>
      </c>
      <c r="J109" s="35">
        <f>IF(AND(COLUMN()&gt;=11,COLUMN()&lt;=20),(_xlfn.XLOOKUP($A109,'Oferta Producto 3'!$B$10:$B$21,'Oferta Producto 3'!$E$10:$E$21))/SUMIF($A$7:$AC$128,$A109,$AB$6:$AB$127)*J$5,0)</f>
        <v>0</v>
      </c>
      <c r="K109" s="35">
        <f ca="1">IF(AND(COLUMN()&gt;=11,COLUMN()&lt;=20),(_xlfn.XLOOKUP($A109,'Oferta Producto 3'!$B$10:$B$21,'Oferta Producto 3'!$E$10:$E$21))/SUMIF($A$7:$AC$128,$A109,$AB$6:$AB$127)*K$5,0)</f>
        <v>0</v>
      </c>
      <c r="L109" s="35">
        <f ca="1">IF(AND(COLUMN()&gt;=11,COLUMN()&lt;=20),(_xlfn.XLOOKUP($A109,'Oferta Producto 3'!$B$10:$B$21,'Oferta Producto 3'!$E$10:$E$21))/SUMIF($A$7:$AC$128,$A109,$AB$6:$AB$127)*L$5,0)</f>
        <v>0</v>
      </c>
      <c r="M109" s="35">
        <f ca="1">IF(AND(COLUMN()&gt;=11,COLUMN()&lt;=20),(_xlfn.XLOOKUP($A109,'Oferta Producto 3'!$B$10:$B$21,'Oferta Producto 3'!$E$10:$E$21))/SUMIF($A$7:$AC$128,$A109,$AB$6:$AB$127)*M$5,0)</f>
        <v>0</v>
      </c>
      <c r="N109" s="35">
        <f ca="1">IF(AND(COLUMN()&gt;=11,COLUMN()&lt;=20),(_xlfn.XLOOKUP($A109,'Oferta Producto 3'!$B$10:$B$21,'Oferta Producto 3'!$E$10:$E$21))/SUMIF($A$7:$AC$128,$A109,$AB$6:$AB$127)*N$5,0)</f>
        <v>0</v>
      </c>
      <c r="O109" s="35">
        <f ca="1">IF(AND(COLUMN()&gt;=11,COLUMN()&lt;=20),(_xlfn.XLOOKUP($A109,'Oferta Producto 3'!$B$10:$B$21,'Oferta Producto 3'!$E$10:$E$21))/SUMIF($A$7:$AC$128,$A109,$AB$6:$AB$127)*O$5,0)</f>
        <v>0</v>
      </c>
      <c r="P109" s="35">
        <f ca="1">IF(AND(COLUMN()&gt;=11,COLUMN()&lt;=20),(_xlfn.XLOOKUP($A109,'Oferta Producto 3'!$B$10:$B$21,'Oferta Producto 3'!$E$10:$E$21))/SUMIF($A$7:$AC$128,$A109,$AB$6:$AB$127)*P$5,0)</f>
        <v>0</v>
      </c>
      <c r="Q109" s="35">
        <f ca="1">IF(AND(COLUMN()&gt;=11,COLUMN()&lt;=20),(_xlfn.XLOOKUP($A109,'Oferta Producto 3'!$B$10:$B$21,'Oferta Producto 3'!$E$10:$E$21))/SUMIF($A$7:$AC$128,$A109,$AB$6:$AB$127)*Q$5,0)</f>
        <v>0</v>
      </c>
      <c r="R109" s="35">
        <f ca="1">IF(AND(COLUMN()&gt;=11,COLUMN()&lt;=20),(_xlfn.XLOOKUP($A109,'Oferta Producto 3'!$B$10:$B$21,'Oferta Producto 3'!$E$10:$E$21))/SUMIF($A$7:$AC$128,$A109,$AB$6:$AB$127)*R$5,0)</f>
        <v>0</v>
      </c>
      <c r="S109" s="35">
        <f ca="1">IF(AND(COLUMN()&gt;=11,COLUMN()&lt;=20),(_xlfn.XLOOKUP($A109,'Oferta Producto 3'!$B$10:$B$21,'Oferta Producto 3'!$E$10:$E$21))/SUMIF($A$7:$AC$128,$A109,$AB$6:$AB$127)*S$5,0)</f>
        <v>0</v>
      </c>
      <c r="T109" s="35">
        <f ca="1">IF(AND(COLUMN()&gt;=11,COLUMN()&lt;=20),(_xlfn.XLOOKUP($A109,'Oferta Producto 3'!$B$10:$B$21,'Oferta Producto 3'!$E$10:$E$21))/SUMIF($A$7:$AC$128,$A109,$AB$6:$AB$127)*T$5,0)</f>
        <v>0</v>
      </c>
      <c r="U109" s="35">
        <f>IF(AND(COLUMN()&gt;=11,COLUMN()&lt;=20),(_xlfn.XLOOKUP($A109,'Oferta Producto 3'!$B$10:$B$21,'Oferta Producto 3'!$E$10:$E$21))/SUMIF($A$7:$AC$128,$A109,$AB$6:$AB$127)*U$5,0)</f>
        <v>0</v>
      </c>
      <c r="V109" s="35">
        <f>IF(AND(COLUMN()&gt;=11,COLUMN()&lt;=20),(_xlfn.XLOOKUP($A109,'Oferta Producto 3'!$B$10:$B$21,'Oferta Producto 3'!$E$10:$E$21))/SUMIF($A$7:$AC$128,$A109,$AB$6:$AB$127)*V$5,0)</f>
        <v>0</v>
      </c>
      <c r="W109" s="35">
        <f>IF(AND(COLUMN()&gt;=11,COLUMN()&lt;=20),(_xlfn.XLOOKUP($A109,'Oferta Producto 3'!$B$10:$B$21,'Oferta Producto 3'!$E$10:$E$21))/SUMIF($A$7:$AC$128,$A109,$AB$6:$AB$127)*W$5,0)</f>
        <v>0</v>
      </c>
      <c r="X109" s="35">
        <f>IF(AND(COLUMN()&gt;=11,COLUMN()&lt;=20),(_xlfn.XLOOKUP($A109,'Oferta Producto 3'!$B$10:$B$21,'Oferta Producto 3'!$E$10:$E$21))/SUMIF($A$7:$AC$128,$A109,$AB$6:$AB$127)*X$5,0)</f>
        <v>0</v>
      </c>
      <c r="Y109" s="35">
        <f>IF(AND(COLUMN()&gt;=11,COLUMN()&lt;=20),(_xlfn.XLOOKUP($A109,'Oferta Producto 3'!$B$10:$B$21,'Oferta Producto 3'!$E$10:$E$21))/SUMIF($A$7:$AC$128,$A109,$AB$6:$AB$127)*Y$5,0)</f>
        <v>0</v>
      </c>
      <c r="Z109" s="35">
        <f>IF(AND(COLUMN()&gt;=11,COLUMN()&lt;=20),(_xlfn.XLOOKUP($A109,'Oferta Producto 3'!$B$10:$B$21,'Oferta Producto 3'!$E$10:$E$21))/SUMIF($A$7:$AC$128,$A109,$AB$6:$AB$127)*Z$5,0)</f>
        <v>0</v>
      </c>
      <c r="AA109" s="35">
        <f t="shared" ca="1" si="15"/>
        <v>0</v>
      </c>
      <c r="AB109" s="28">
        <f t="shared" si="10"/>
        <v>30</v>
      </c>
      <c r="AC109" s="29">
        <f t="shared" ca="1" si="11"/>
        <v>0</v>
      </c>
      <c r="AD109" s="48">
        <f ca="1">'Curvas Prod 3'!AC109/SUMIF('Curvas Prod 3'!A107:AC252,'Curva de la oferta Prod 3'!$A109,'Curvas Prod 3'!AC107:AC252)</f>
        <v>0.10909090909090909</v>
      </c>
      <c r="AE109" s="45"/>
      <c r="AF109" s="49"/>
      <c r="AG109" s="49"/>
      <c r="AH109" s="49"/>
      <c r="AI109" s="49"/>
      <c r="AJ109" s="49"/>
      <c r="AK109" s="49"/>
    </row>
    <row r="110" spans="1:37" ht="15">
      <c r="A110" s="23">
        <f t="shared" si="9"/>
        <v>2034</v>
      </c>
      <c r="B110" s="27">
        <v>49126</v>
      </c>
      <c r="C110" s="35">
        <f>IF(AND(COLUMN()&gt;=11,COLUMN()&lt;=20),(_xlfn.XLOOKUP($A110,'Oferta Producto 3'!$B$10:$B$21,'Oferta Producto 3'!$E$10:$E$21))/SUMIF($A$7:$AC$128,$A110,$AB$6:$AB$127)*C$5,0)</f>
        <v>0</v>
      </c>
      <c r="D110" s="35">
        <f>IF(AND(COLUMN()&gt;=11,COLUMN()&lt;=20),(_xlfn.XLOOKUP($A110,'Oferta Producto 3'!$B$10:$B$21,'Oferta Producto 3'!$E$10:$E$21))/SUMIF($A$7:$AC$128,$A110,$AB$6:$AB$127)*D$5,0)</f>
        <v>0</v>
      </c>
      <c r="E110" s="35">
        <f>IF(AND(COLUMN()&gt;=11,COLUMN()&lt;=20),(_xlfn.XLOOKUP($A110,'Oferta Producto 3'!$B$10:$B$21,'Oferta Producto 3'!$E$10:$E$21))/SUMIF($A$7:$AC$128,$A110,$AB$6:$AB$127)*E$5,0)</f>
        <v>0</v>
      </c>
      <c r="F110" s="35">
        <f>IF(AND(COLUMN()&gt;=11,COLUMN()&lt;=20),(_xlfn.XLOOKUP($A110,'Oferta Producto 3'!$B$10:$B$21,'Oferta Producto 3'!$E$10:$E$21))/SUMIF($A$7:$AC$128,$A110,$AB$6:$AB$127)*F$5,0)</f>
        <v>0</v>
      </c>
      <c r="G110" s="35">
        <f>IF(AND(COLUMN()&gt;=11,COLUMN()&lt;=20),(_xlfn.XLOOKUP($A110,'Oferta Producto 3'!$B$10:$B$21,'Oferta Producto 3'!$E$10:$E$21))/SUMIF($A$7:$AC$128,$A110,$AB$6:$AB$127)*G$5,0)</f>
        <v>0</v>
      </c>
      <c r="H110" s="35">
        <f>IF(AND(COLUMN()&gt;=11,COLUMN()&lt;=20),(_xlfn.XLOOKUP($A110,'Oferta Producto 3'!$B$10:$B$21,'Oferta Producto 3'!$E$10:$E$21))/SUMIF($A$7:$AC$128,$A110,$AB$6:$AB$127)*H$5,0)</f>
        <v>0</v>
      </c>
      <c r="I110" s="35">
        <f>IF(AND(COLUMN()&gt;=11,COLUMN()&lt;=20),(_xlfn.XLOOKUP($A110,'Oferta Producto 3'!$B$10:$B$21,'Oferta Producto 3'!$E$10:$E$21))/SUMIF($A$7:$AC$128,$A110,$AB$6:$AB$127)*I$5,0)</f>
        <v>0</v>
      </c>
      <c r="J110" s="35">
        <f>IF(AND(COLUMN()&gt;=11,COLUMN()&lt;=20),(_xlfn.XLOOKUP($A110,'Oferta Producto 3'!$B$10:$B$21,'Oferta Producto 3'!$E$10:$E$21))/SUMIF($A$7:$AC$128,$A110,$AB$6:$AB$127)*J$5,0)</f>
        <v>0</v>
      </c>
      <c r="K110" s="35">
        <f ca="1">IF(AND(COLUMN()&gt;=11,COLUMN()&lt;=20),(_xlfn.XLOOKUP($A110,'Oferta Producto 3'!$B$10:$B$21,'Oferta Producto 3'!$E$10:$E$21))/SUMIF($A$7:$AC$128,$A110,$AB$6:$AB$127)*K$5,0)</f>
        <v>0</v>
      </c>
      <c r="L110" s="35">
        <f ca="1">IF(AND(COLUMN()&gt;=11,COLUMN()&lt;=20),(_xlfn.XLOOKUP($A110,'Oferta Producto 3'!$B$10:$B$21,'Oferta Producto 3'!$E$10:$E$21))/SUMIF($A$7:$AC$128,$A110,$AB$6:$AB$127)*L$5,0)</f>
        <v>0</v>
      </c>
      <c r="M110" s="35">
        <f ca="1">IF(AND(COLUMN()&gt;=11,COLUMN()&lt;=20),(_xlfn.XLOOKUP($A110,'Oferta Producto 3'!$B$10:$B$21,'Oferta Producto 3'!$E$10:$E$21))/SUMIF($A$7:$AC$128,$A110,$AB$6:$AB$127)*M$5,0)</f>
        <v>0</v>
      </c>
      <c r="N110" s="35">
        <f ca="1">IF(AND(COLUMN()&gt;=11,COLUMN()&lt;=20),(_xlfn.XLOOKUP($A110,'Oferta Producto 3'!$B$10:$B$21,'Oferta Producto 3'!$E$10:$E$21))/SUMIF($A$7:$AC$128,$A110,$AB$6:$AB$127)*N$5,0)</f>
        <v>0</v>
      </c>
      <c r="O110" s="35">
        <f ca="1">IF(AND(COLUMN()&gt;=11,COLUMN()&lt;=20),(_xlfn.XLOOKUP($A110,'Oferta Producto 3'!$B$10:$B$21,'Oferta Producto 3'!$E$10:$E$21))/SUMIF($A$7:$AC$128,$A110,$AB$6:$AB$127)*O$5,0)</f>
        <v>0</v>
      </c>
      <c r="P110" s="35">
        <f ca="1">IF(AND(COLUMN()&gt;=11,COLUMN()&lt;=20),(_xlfn.XLOOKUP($A110,'Oferta Producto 3'!$B$10:$B$21,'Oferta Producto 3'!$E$10:$E$21))/SUMIF($A$7:$AC$128,$A110,$AB$6:$AB$127)*P$5,0)</f>
        <v>0</v>
      </c>
      <c r="Q110" s="35">
        <f ca="1">IF(AND(COLUMN()&gt;=11,COLUMN()&lt;=20),(_xlfn.XLOOKUP($A110,'Oferta Producto 3'!$B$10:$B$21,'Oferta Producto 3'!$E$10:$E$21))/SUMIF($A$7:$AC$128,$A110,$AB$6:$AB$127)*Q$5,0)</f>
        <v>0</v>
      </c>
      <c r="R110" s="35">
        <f ca="1">IF(AND(COLUMN()&gt;=11,COLUMN()&lt;=20),(_xlfn.XLOOKUP($A110,'Oferta Producto 3'!$B$10:$B$21,'Oferta Producto 3'!$E$10:$E$21))/SUMIF($A$7:$AC$128,$A110,$AB$6:$AB$127)*R$5,0)</f>
        <v>0</v>
      </c>
      <c r="S110" s="35">
        <f ca="1">IF(AND(COLUMN()&gt;=11,COLUMN()&lt;=20),(_xlfn.XLOOKUP($A110,'Oferta Producto 3'!$B$10:$B$21,'Oferta Producto 3'!$E$10:$E$21))/SUMIF($A$7:$AC$128,$A110,$AB$6:$AB$127)*S$5,0)</f>
        <v>0</v>
      </c>
      <c r="T110" s="35">
        <f ca="1">IF(AND(COLUMN()&gt;=11,COLUMN()&lt;=20),(_xlfn.XLOOKUP($A110,'Oferta Producto 3'!$B$10:$B$21,'Oferta Producto 3'!$E$10:$E$21))/SUMIF($A$7:$AC$128,$A110,$AB$6:$AB$127)*T$5,0)</f>
        <v>0</v>
      </c>
      <c r="U110" s="35">
        <f>IF(AND(COLUMN()&gt;=11,COLUMN()&lt;=20),(_xlfn.XLOOKUP($A110,'Oferta Producto 3'!$B$10:$B$21,'Oferta Producto 3'!$E$10:$E$21))/SUMIF($A$7:$AC$128,$A110,$AB$6:$AB$127)*U$5,0)</f>
        <v>0</v>
      </c>
      <c r="V110" s="35">
        <f>IF(AND(COLUMN()&gt;=11,COLUMN()&lt;=20),(_xlfn.XLOOKUP($A110,'Oferta Producto 3'!$B$10:$B$21,'Oferta Producto 3'!$E$10:$E$21))/SUMIF($A$7:$AC$128,$A110,$AB$6:$AB$127)*V$5,0)</f>
        <v>0</v>
      </c>
      <c r="W110" s="35">
        <f>IF(AND(COLUMN()&gt;=11,COLUMN()&lt;=20),(_xlfn.XLOOKUP($A110,'Oferta Producto 3'!$B$10:$B$21,'Oferta Producto 3'!$E$10:$E$21))/SUMIF($A$7:$AC$128,$A110,$AB$6:$AB$127)*W$5,0)</f>
        <v>0</v>
      </c>
      <c r="X110" s="35">
        <f>IF(AND(COLUMN()&gt;=11,COLUMN()&lt;=20),(_xlfn.XLOOKUP($A110,'Oferta Producto 3'!$B$10:$B$21,'Oferta Producto 3'!$E$10:$E$21))/SUMIF($A$7:$AC$128,$A110,$AB$6:$AB$127)*X$5,0)</f>
        <v>0</v>
      </c>
      <c r="Y110" s="35">
        <f>IF(AND(COLUMN()&gt;=11,COLUMN()&lt;=20),(_xlfn.XLOOKUP($A110,'Oferta Producto 3'!$B$10:$B$21,'Oferta Producto 3'!$E$10:$E$21))/SUMIF($A$7:$AC$128,$A110,$AB$6:$AB$127)*Y$5,0)</f>
        <v>0</v>
      </c>
      <c r="Z110" s="35">
        <f>IF(AND(COLUMN()&gt;=11,COLUMN()&lt;=20),(_xlfn.XLOOKUP($A110,'Oferta Producto 3'!$B$10:$B$21,'Oferta Producto 3'!$E$10:$E$21))/SUMIF($A$7:$AC$128,$A110,$AB$6:$AB$127)*Z$5,0)</f>
        <v>0</v>
      </c>
      <c r="AA110" s="35">
        <f t="shared" ca="1" si="15"/>
        <v>0</v>
      </c>
      <c r="AB110" s="28">
        <f t="shared" si="10"/>
        <v>31</v>
      </c>
      <c r="AC110" s="29">
        <f t="shared" ca="1" si="11"/>
        <v>0</v>
      </c>
      <c r="AD110" s="48">
        <f ca="1">'Curvas Prod 3'!AC110/SUMIF('Curvas Prod 3'!A108:AC253,'Curva de la oferta Prod 3'!$A110,'Curvas Prod 3'!AC108:AC253)</f>
        <v>0.12653061224489795</v>
      </c>
      <c r="AE110" s="45"/>
      <c r="AF110" s="49"/>
      <c r="AG110" s="49"/>
      <c r="AH110" s="49"/>
      <c r="AI110" s="49"/>
      <c r="AJ110" s="49"/>
      <c r="AK110" s="49"/>
    </row>
    <row r="111" spans="1:37" ht="15">
      <c r="A111" s="23">
        <f t="shared" si="9"/>
        <v>2034</v>
      </c>
      <c r="B111" s="27">
        <v>49157</v>
      </c>
      <c r="C111" s="35">
        <f>IF(AND(COLUMN()&gt;=11,COLUMN()&lt;=20),(_xlfn.XLOOKUP($A111,'Oferta Producto 3'!$B$10:$B$21,'Oferta Producto 3'!$E$10:$E$21))/SUMIF($A$7:$AC$128,$A111,$AB$6:$AB$127)*C$5,0)</f>
        <v>0</v>
      </c>
      <c r="D111" s="35">
        <f>IF(AND(COLUMN()&gt;=11,COLUMN()&lt;=20),(_xlfn.XLOOKUP($A111,'Oferta Producto 3'!$B$10:$B$21,'Oferta Producto 3'!$E$10:$E$21))/SUMIF($A$7:$AC$128,$A111,$AB$6:$AB$127)*D$5,0)</f>
        <v>0</v>
      </c>
      <c r="E111" s="35">
        <f>IF(AND(COLUMN()&gt;=11,COLUMN()&lt;=20),(_xlfn.XLOOKUP($A111,'Oferta Producto 3'!$B$10:$B$21,'Oferta Producto 3'!$E$10:$E$21))/SUMIF($A$7:$AC$128,$A111,$AB$6:$AB$127)*E$5,0)</f>
        <v>0</v>
      </c>
      <c r="F111" s="35">
        <f>IF(AND(COLUMN()&gt;=11,COLUMN()&lt;=20),(_xlfn.XLOOKUP($A111,'Oferta Producto 3'!$B$10:$B$21,'Oferta Producto 3'!$E$10:$E$21))/SUMIF($A$7:$AC$128,$A111,$AB$6:$AB$127)*F$5,0)</f>
        <v>0</v>
      </c>
      <c r="G111" s="35">
        <f>IF(AND(COLUMN()&gt;=11,COLUMN()&lt;=20),(_xlfn.XLOOKUP($A111,'Oferta Producto 3'!$B$10:$B$21,'Oferta Producto 3'!$E$10:$E$21))/SUMIF($A$7:$AC$128,$A111,$AB$6:$AB$127)*G$5,0)</f>
        <v>0</v>
      </c>
      <c r="H111" s="35">
        <f>IF(AND(COLUMN()&gt;=11,COLUMN()&lt;=20),(_xlfn.XLOOKUP($A111,'Oferta Producto 3'!$B$10:$B$21,'Oferta Producto 3'!$E$10:$E$21))/SUMIF($A$7:$AC$128,$A111,$AB$6:$AB$127)*H$5,0)</f>
        <v>0</v>
      </c>
      <c r="I111" s="35">
        <f>IF(AND(COLUMN()&gt;=11,COLUMN()&lt;=20),(_xlfn.XLOOKUP($A111,'Oferta Producto 3'!$B$10:$B$21,'Oferta Producto 3'!$E$10:$E$21))/SUMIF($A$7:$AC$128,$A111,$AB$6:$AB$127)*I$5,0)</f>
        <v>0</v>
      </c>
      <c r="J111" s="35">
        <f>IF(AND(COLUMN()&gt;=11,COLUMN()&lt;=20),(_xlfn.XLOOKUP($A111,'Oferta Producto 3'!$B$10:$B$21,'Oferta Producto 3'!$E$10:$E$21))/SUMIF($A$7:$AC$128,$A111,$AB$6:$AB$127)*J$5,0)</f>
        <v>0</v>
      </c>
      <c r="K111" s="35">
        <f ca="1">IF(AND(COLUMN()&gt;=11,COLUMN()&lt;=20),(_xlfn.XLOOKUP($A111,'Oferta Producto 3'!$B$10:$B$21,'Oferta Producto 3'!$E$10:$E$21))/SUMIF($A$7:$AC$128,$A111,$AB$6:$AB$127)*K$5,0)</f>
        <v>0</v>
      </c>
      <c r="L111" s="35">
        <f ca="1">IF(AND(COLUMN()&gt;=11,COLUMN()&lt;=20),(_xlfn.XLOOKUP($A111,'Oferta Producto 3'!$B$10:$B$21,'Oferta Producto 3'!$E$10:$E$21))/SUMIF($A$7:$AC$128,$A111,$AB$6:$AB$127)*L$5,0)</f>
        <v>0</v>
      </c>
      <c r="M111" s="35">
        <f ca="1">IF(AND(COLUMN()&gt;=11,COLUMN()&lt;=20),(_xlfn.XLOOKUP($A111,'Oferta Producto 3'!$B$10:$B$21,'Oferta Producto 3'!$E$10:$E$21))/SUMIF($A$7:$AC$128,$A111,$AB$6:$AB$127)*M$5,0)</f>
        <v>0</v>
      </c>
      <c r="N111" s="35">
        <f ca="1">IF(AND(COLUMN()&gt;=11,COLUMN()&lt;=20),(_xlfn.XLOOKUP($A111,'Oferta Producto 3'!$B$10:$B$21,'Oferta Producto 3'!$E$10:$E$21))/SUMIF($A$7:$AC$128,$A111,$AB$6:$AB$127)*N$5,0)</f>
        <v>0</v>
      </c>
      <c r="O111" s="35">
        <f ca="1">IF(AND(COLUMN()&gt;=11,COLUMN()&lt;=20),(_xlfn.XLOOKUP($A111,'Oferta Producto 3'!$B$10:$B$21,'Oferta Producto 3'!$E$10:$E$21))/SUMIF($A$7:$AC$128,$A111,$AB$6:$AB$127)*O$5,0)</f>
        <v>0</v>
      </c>
      <c r="P111" s="35">
        <f ca="1">IF(AND(COLUMN()&gt;=11,COLUMN()&lt;=20),(_xlfn.XLOOKUP($A111,'Oferta Producto 3'!$B$10:$B$21,'Oferta Producto 3'!$E$10:$E$21))/SUMIF($A$7:$AC$128,$A111,$AB$6:$AB$127)*P$5,0)</f>
        <v>0</v>
      </c>
      <c r="Q111" s="35">
        <f ca="1">IF(AND(COLUMN()&gt;=11,COLUMN()&lt;=20),(_xlfn.XLOOKUP($A111,'Oferta Producto 3'!$B$10:$B$21,'Oferta Producto 3'!$E$10:$E$21))/SUMIF($A$7:$AC$128,$A111,$AB$6:$AB$127)*Q$5,0)</f>
        <v>0</v>
      </c>
      <c r="R111" s="35">
        <f ca="1">IF(AND(COLUMN()&gt;=11,COLUMN()&lt;=20),(_xlfn.XLOOKUP($A111,'Oferta Producto 3'!$B$10:$B$21,'Oferta Producto 3'!$E$10:$E$21))/SUMIF($A$7:$AC$128,$A111,$AB$6:$AB$127)*R$5,0)</f>
        <v>0</v>
      </c>
      <c r="S111" s="35">
        <f ca="1">IF(AND(COLUMN()&gt;=11,COLUMN()&lt;=20),(_xlfn.XLOOKUP($A111,'Oferta Producto 3'!$B$10:$B$21,'Oferta Producto 3'!$E$10:$E$21))/SUMIF($A$7:$AC$128,$A111,$AB$6:$AB$127)*S$5,0)</f>
        <v>0</v>
      </c>
      <c r="T111" s="35">
        <f ca="1">IF(AND(COLUMN()&gt;=11,COLUMN()&lt;=20),(_xlfn.XLOOKUP($A111,'Oferta Producto 3'!$B$10:$B$21,'Oferta Producto 3'!$E$10:$E$21))/SUMIF($A$7:$AC$128,$A111,$AB$6:$AB$127)*T$5,0)</f>
        <v>0</v>
      </c>
      <c r="U111" s="35">
        <f>IF(AND(COLUMN()&gt;=11,COLUMN()&lt;=20),(_xlfn.XLOOKUP($A111,'Oferta Producto 3'!$B$10:$B$21,'Oferta Producto 3'!$E$10:$E$21))/SUMIF($A$7:$AC$128,$A111,$AB$6:$AB$127)*U$5,0)</f>
        <v>0</v>
      </c>
      <c r="V111" s="35">
        <f>IF(AND(COLUMN()&gt;=11,COLUMN()&lt;=20),(_xlfn.XLOOKUP($A111,'Oferta Producto 3'!$B$10:$B$21,'Oferta Producto 3'!$E$10:$E$21))/SUMIF($A$7:$AC$128,$A111,$AB$6:$AB$127)*V$5,0)</f>
        <v>0</v>
      </c>
      <c r="W111" s="35">
        <f>IF(AND(COLUMN()&gt;=11,COLUMN()&lt;=20),(_xlfn.XLOOKUP($A111,'Oferta Producto 3'!$B$10:$B$21,'Oferta Producto 3'!$E$10:$E$21))/SUMIF($A$7:$AC$128,$A111,$AB$6:$AB$127)*W$5,0)</f>
        <v>0</v>
      </c>
      <c r="X111" s="35">
        <f>IF(AND(COLUMN()&gt;=11,COLUMN()&lt;=20),(_xlfn.XLOOKUP($A111,'Oferta Producto 3'!$B$10:$B$21,'Oferta Producto 3'!$E$10:$E$21))/SUMIF($A$7:$AC$128,$A111,$AB$6:$AB$127)*X$5,0)</f>
        <v>0</v>
      </c>
      <c r="Y111" s="35">
        <f>IF(AND(COLUMN()&gt;=11,COLUMN()&lt;=20),(_xlfn.XLOOKUP($A111,'Oferta Producto 3'!$B$10:$B$21,'Oferta Producto 3'!$E$10:$E$21))/SUMIF($A$7:$AC$128,$A111,$AB$6:$AB$127)*Y$5,0)</f>
        <v>0</v>
      </c>
      <c r="Z111" s="35">
        <f>IF(AND(COLUMN()&gt;=11,COLUMN()&lt;=20),(_xlfn.XLOOKUP($A111,'Oferta Producto 3'!$B$10:$B$21,'Oferta Producto 3'!$E$10:$E$21))/SUMIF($A$7:$AC$128,$A111,$AB$6:$AB$127)*Z$5,0)</f>
        <v>0</v>
      </c>
      <c r="AA111" s="35">
        <f t="shared" ca="1" si="15"/>
        <v>0</v>
      </c>
      <c r="AB111" s="28">
        <f t="shared" si="10"/>
        <v>31</v>
      </c>
      <c r="AC111" s="29">
        <f t="shared" ca="1" si="11"/>
        <v>0</v>
      </c>
      <c r="AD111" s="48">
        <f ca="1">'Curvas Prod 3'!AC111/SUMIF('Curvas Prod 3'!A109:AC254,'Curva de la oferta Prod 3'!$A111,'Curvas Prod 3'!AC109:AC254)</f>
        <v>0.14485981308411214</v>
      </c>
      <c r="AE111" s="45"/>
      <c r="AF111" s="49"/>
      <c r="AG111" s="49"/>
      <c r="AH111" s="49"/>
      <c r="AI111" s="49"/>
      <c r="AJ111" s="49"/>
      <c r="AK111" s="49"/>
    </row>
    <row r="112" spans="1:37" ht="15">
      <c r="A112" s="23">
        <f t="shared" si="9"/>
        <v>2034</v>
      </c>
      <c r="B112" s="27">
        <v>49188</v>
      </c>
      <c r="C112" s="35">
        <f>IF(AND(COLUMN()&gt;=11,COLUMN()&lt;=20),(_xlfn.XLOOKUP($A112,'Oferta Producto 3'!$B$10:$B$21,'Oferta Producto 3'!$E$10:$E$21))/SUMIF($A$7:$AC$128,$A112,$AB$6:$AB$127)*C$5,0)</f>
        <v>0</v>
      </c>
      <c r="D112" s="35">
        <f>IF(AND(COLUMN()&gt;=11,COLUMN()&lt;=20),(_xlfn.XLOOKUP($A112,'Oferta Producto 3'!$B$10:$B$21,'Oferta Producto 3'!$E$10:$E$21))/SUMIF($A$7:$AC$128,$A112,$AB$6:$AB$127)*D$5,0)</f>
        <v>0</v>
      </c>
      <c r="E112" s="35">
        <f>IF(AND(COLUMN()&gt;=11,COLUMN()&lt;=20),(_xlfn.XLOOKUP($A112,'Oferta Producto 3'!$B$10:$B$21,'Oferta Producto 3'!$E$10:$E$21))/SUMIF($A$7:$AC$128,$A112,$AB$6:$AB$127)*E$5,0)</f>
        <v>0</v>
      </c>
      <c r="F112" s="35">
        <f>IF(AND(COLUMN()&gt;=11,COLUMN()&lt;=20),(_xlfn.XLOOKUP($A112,'Oferta Producto 3'!$B$10:$B$21,'Oferta Producto 3'!$E$10:$E$21))/SUMIF($A$7:$AC$128,$A112,$AB$6:$AB$127)*F$5,0)</f>
        <v>0</v>
      </c>
      <c r="G112" s="35">
        <f>IF(AND(COLUMN()&gt;=11,COLUMN()&lt;=20),(_xlfn.XLOOKUP($A112,'Oferta Producto 3'!$B$10:$B$21,'Oferta Producto 3'!$E$10:$E$21))/SUMIF($A$7:$AC$128,$A112,$AB$6:$AB$127)*G$5,0)</f>
        <v>0</v>
      </c>
      <c r="H112" s="35">
        <f>IF(AND(COLUMN()&gt;=11,COLUMN()&lt;=20),(_xlfn.XLOOKUP($A112,'Oferta Producto 3'!$B$10:$B$21,'Oferta Producto 3'!$E$10:$E$21))/SUMIF($A$7:$AC$128,$A112,$AB$6:$AB$127)*H$5,0)</f>
        <v>0</v>
      </c>
      <c r="I112" s="35">
        <f>IF(AND(COLUMN()&gt;=11,COLUMN()&lt;=20),(_xlfn.XLOOKUP($A112,'Oferta Producto 3'!$B$10:$B$21,'Oferta Producto 3'!$E$10:$E$21))/SUMIF($A$7:$AC$128,$A112,$AB$6:$AB$127)*I$5,0)</f>
        <v>0</v>
      </c>
      <c r="J112" s="35">
        <f>IF(AND(COLUMN()&gt;=11,COLUMN()&lt;=20),(_xlfn.XLOOKUP($A112,'Oferta Producto 3'!$B$10:$B$21,'Oferta Producto 3'!$E$10:$E$21))/SUMIF($A$7:$AC$128,$A112,$AB$6:$AB$127)*J$5,0)</f>
        <v>0</v>
      </c>
      <c r="K112" s="35">
        <f ca="1">IF(AND(COLUMN()&gt;=11,COLUMN()&lt;=20),(_xlfn.XLOOKUP($A112,'Oferta Producto 3'!$B$10:$B$21,'Oferta Producto 3'!$E$10:$E$21))/SUMIF($A$7:$AC$128,$A112,$AB$6:$AB$127)*K$5,0)</f>
        <v>0</v>
      </c>
      <c r="L112" s="35">
        <f ca="1">IF(AND(COLUMN()&gt;=11,COLUMN()&lt;=20),(_xlfn.XLOOKUP($A112,'Oferta Producto 3'!$B$10:$B$21,'Oferta Producto 3'!$E$10:$E$21))/SUMIF($A$7:$AC$128,$A112,$AB$6:$AB$127)*L$5,0)</f>
        <v>0</v>
      </c>
      <c r="M112" s="35">
        <f ca="1">IF(AND(COLUMN()&gt;=11,COLUMN()&lt;=20),(_xlfn.XLOOKUP($A112,'Oferta Producto 3'!$B$10:$B$21,'Oferta Producto 3'!$E$10:$E$21))/SUMIF($A$7:$AC$128,$A112,$AB$6:$AB$127)*M$5,0)</f>
        <v>0</v>
      </c>
      <c r="N112" s="35">
        <f ca="1">IF(AND(COLUMN()&gt;=11,COLUMN()&lt;=20),(_xlfn.XLOOKUP($A112,'Oferta Producto 3'!$B$10:$B$21,'Oferta Producto 3'!$E$10:$E$21))/SUMIF($A$7:$AC$128,$A112,$AB$6:$AB$127)*N$5,0)</f>
        <v>0</v>
      </c>
      <c r="O112" s="35">
        <f ca="1">IF(AND(COLUMN()&gt;=11,COLUMN()&lt;=20),(_xlfn.XLOOKUP($A112,'Oferta Producto 3'!$B$10:$B$21,'Oferta Producto 3'!$E$10:$E$21))/SUMIF($A$7:$AC$128,$A112,$AB$6:$AB$127)*O$5,0)</f>
        <v>0</v>
      </c>
      <c r="P112" s="35">
        <f ca="1">IF(AND(COLUMN()&gt;=11,COLUMN()&lt;=20),(_xlfn.XLOOKUP($A112,'Oferta Producto 3'!$B$10:$B$21,'Oferta Producto 3'!$E$10:$E$21))/SUMIF($A$7:$AC$128,$A112,$AB$6:$AB$127)*P$5,0)</f>
        <v>0</v>
      </c>
      <c r="Q112" s="35">
        <f ca="1">IF(AND(COLUMN()&gt;=11,COLUMN()&lt;=20),(_xlfn.XLOOKUP($A112,'Oferta Producto 3'!$B$10:$B$21,'Oferta Producto 3'!$E$10:$E$21))/SUMIF($A$7:$AC$128,$A112,$AB$6:$AB$127)*Q$5,0)</f>
        <v>0</v>
      </c>
      <c r="R112" s="35">
        <f ca="1">IF(AND(COLUMN()&gt;=11,COLUMN()&lt;=20),(_xlfn.XLOOKUP($A112,'Oferta Producto 3'!$B$10:$B$21,'Oferta Producto 3'!$E$10:$E$21))/SUMIF($A$7:$AC$128,$A112,$AB$6:$AB$127)*R$5,0)</f>
        <v>0</v>
      </c>
      <c r="S112" s="35">
        <f ca="1">IF(AND(COLUMN()&gt;=11,COLUMN()&lt;=20),(_xlfn.XLOOKUP($A112,'Oferta Producto 3'!$B$10:$B$21,'Oferta Producto 3'!$E$10:$E$21))/SUMIF($A$7:$AC$128,$A112,$AB$6:$AB$127)*S$5,0)</f>
        <v>0</v>
      </c>
      <c r="T112" s="35">
        <f ca="1">IF(AND(COLUMN()&gt;=11,COLUMN()&lt;=20),(_xlfn.XLOOKUP($A112,'Oferta Producto 3'!$B$10:$B$21,'Oferta Producto 3'!$E$10:$E$21))/SUMIF($A$7:$AC$128,$A112,$AB$6:$AB$127)*T$5,0)</f>
        <v>0</v>
      </c>
      <c r="U112" s="35">
        <f>IF(AND(COLUMN()&gt;=11,COLUMN()&lt;=20),(_xlfn.XLOOKUP($A112,'Oferta Producto 3'!$B$10:$B$21,'Oferta Producto 3'!$E$10:$E$21))/SUMIF($A$7:$AC$128,$A112,$AB$6:$AB$127)*U$5,0)</f>
        <v>0</v>
      </c>
      <c r="V112" s="35">
        <f>IF(AND(COLUMN()&gt;=11,COLUMN()&lt;=20),(_xlfn.XLOOKUP($A112,'Oferta Producto 3'!$B$10:$B$21,'Oferta Producto 3'!$E$10:$E$21))/SUMIF($A$7:$AC$128,$A112,$AB$6:$AB$127)*V$5,0)</f>
        <v>0</v>
      </c>
      <c r="W112" s="35">
        <f>IF(AND(COLUMN()&gt;=11,COLUMN()&lt;=20),(_xlfn.XLOOKUP($A112,'Oferta Producto 3'!$B$10:$B$21,'Oferta Producto 3'!$E$10:$E$21))/SUMIF($A$7:$AC$128,$A112,$AB$6:$AB$127)*W$5,0)</f>
        <v>0</v>
      </c>
      <c r="X112" s="35">
        <f>IF(AND(COLUMN()&gt;=11,COLUMN()&lt;=20),(_xlfn.XLOOKUP($A112,'Oferta Producto 3'!$B$10:$B$21,'Oferta Producto 3'!$E$10:$E$21))/SUMIF($A$7:$AC$128,$A112,$AB$6:$AB$127)*X$5,0)</f>
        <v>0</v>
      </c>
      <c r="Y112" s="35">
        <f>IF(AND(COLUMN()&gt;=11,COLUMN()&lt;=20),(_xlfn.XLOOKUP($A112,'Oferta Producto 3'!$B$10:$B$21,'Oferta Producto 3'!$E$10:$E$21))/SUMIF($A$7:$AC$128,$A112,$AB$6:$AB$127)*Y$5,0)</f>
        <v>0</v>
      </c>
      <c r="Z112" s="35">
        <f>IF(AND(COLUMN()&gt;=11,COLUMN()&lt;=20),(_xlfn.XLOOKUP($A112,'Oferta Producto 3'!$B$10:$B$21,'Oferta Producto 3'!$E$10:$E$21))/SUMIF($A$7:$AC$128,$A112,$AB$6:$AB$127)*Z$5,0)</f>
        <v>0</v>
      </c>
      <c r="AA112" s="35">
        <f t="shared" ca="1" si="15"/>
        <v>0</v>
      </c>
      <c r="AB112" s="28">
        <f t="shared" si="10"/>
        <v>30</v>
      </c>
      <c r="AC112" s="29">
        <f t="shared" ca="1" si="11"/>
        <v>0</v>
      </c>
      <c r="AD112" s="48">
        <f ca="1">'Curvas Prod 3'!AC112/SUMIF('Curvas Prod 3'!A110:AC255,'Curva de la oferta Prod 3'!$A112,'Curvas Prod 3'!AC110:AC255)</f>
        <v>0.16304347826086957</v>
      </c>
      <c r="AE112" s="45"/>
      <c r="AF112" s="49"/>
      <c r="AG112" s="49"/>
      <c r="AH112" s="49"/>
      <c r="AI112" s="49"/>
      <c r="AJ112" s="49"/>
      <c r="AK112" s="49"/>
    </row>
    <row r="113" spans="1:37" ht="15">
      <c r="A113" s="23">
        <f t="shared" si="9"/>
        <v>2034</v>
      </c>
      <c r="B113" s="27">
        <v>49218</v>
      </c>
      <c r="C113" s="35">
        <f>IF(AND(COLUMN()&gt;=11,COLUMN()&lt;=20),(_xlfn.XLOOKUP($A113,'Oferta Producto 3'!$B$10:$B$21,'Oferta Producto 3'!$E$10:$E$21))/SUMIF($A$7:$AC$128,$A113,$AB$6:$AB$127)*C$5,0)</f>
        <v>0</v>
      </c>
      <c r="D113" s="35">
        <f>IF(AND(COLUMN()&gt;=11,COLUMN()&lt;=20),(_xlfn.XLOOKUP($A113,'Oferta Producto 3'!$B$10:$B$21,'Oferta Producto 3'!$E$10:$E$21))/SUMIF($A$7:$AC$128,$A113,$AB$6:$AB$127)*D$5,0)</f>
        <v>0</v>
      </c>
      <c r="E113" s="35">
        <f>IF(AND(COLUMN()&gt;=11,COLUMN()&lt;=20),(_xlfn.XLOOKUP($A113,'Oferta Producto 3'!$B$10:$B$21,'Oferta Producto 3'!$E$10:$E$21))/SUMIF($A$7:$AC$128,$A113,$AB$6:$AB$127)*E$5,0)</f>
        <v>0</v>
      </c>
      <c r="F113" s="35">
        <f>IF(AND(COLUMN()&gt;=11,COLUMN()&lt;=20),(_xlfn.XLOOKUP($A113,'Oferta Producto 3'!$B$10:$B$21,'Oferta Producto 3'!$E$10:$E$21))/SUMIF($A$7:$AC$128,$A113,$AB$6:$AB$127)*F$5,0)</f>
        <v>0</v>
      </c>
      <c r="G113" s="35">
        <f>IF(AND(COLUMN()&gt;=11,COLUMN()&lt;=20),(_xlfn.XLOOKUP($A113,'Oferta Producto 3'!$B$10:$B$21,'Oferta Producto 3'!$E$10:$E$21))/SUMIF($A$7:$AC$128,$A113,$AB$6:$AB$127)*G$5,0)</f>
        <v>0</v>
      </c>
      <c r="H113" s="35">
        <f>IF(AND(COLUMN()&gt;=11,COLUMN()&lt;=20),(_xlfn.XLOOKUP($A113,'Oferta Producto 3'!$B$10:$B$21,'Oferta Producto 3'!$E$10:$E$21))/SUMIF($A$7:$AC$128,$A113,$AB$6:$AB$127)*H$5,0)</f>
        <v>0</v>
      </c>
      <c r="I113" s="35">
        <f>IF(AND(COLUMN()&gt;=11,COLUMN()&lt;=20),(_xlfn.XLOOKUP($A113,'Oferta Producto 3'!$B$10:$B$21,'Oferta Producto 3'!$E$10:$E$21))/SUMIF($A$7:$AC$128,$A113,$AB$6:$AB$127)*I$5,0)</f>
        <v>0</v>
      </c>
      <c r="J113" s="35">
        <f>IF(AND(COLUMN()&gt;=11,COLUMN()&lt;=20),(_xlfn.XLOOKUP($A113,'Oferta Producto 3'!$B$10:$B$21,'Oferta Producto 3'!$E$10:$E$21))/SUMIF($A$7:$AC$128,$A113,$AB$6:$AB$127)*J$5,0)</f>
        <v>0</v>
      </c>
      <c r="K113" s="35">
        <f ca="1">IF(AND(COLUMN()&gt;=11,COLUMN()&lt;=20),(_xlfn.XLOOKUP($A113,'Oferta Producto 3'!$B$10:$B$21,'Oferta Producto 3'!$E$10:$E$21))/SUMIF($A$7:$AC$128,$A113,$AB$6:$AB$127)*K$5,0)</f>
        <v>0</v>
      </c>
      <c r="L113" s="35">
        <f ca="1">IF(AND(COLUMN()&gt;=11,COLUMN()&lt;=20),(_xlfn.XLOOKUP($A113,'Oferta Producto 3'!$B$10:$B$21,'Oferta Producto 3'!$E$10:$E$21))/SUMIF($A$7:$AC$128,$A113,$AB$6:$AB$127)*L$5,0)</f>
        <v>0</v>
      </c>
      <c r="M113" s="35">
        <f ca="1">IF(AND(COLUMN()&gt;=11,COLUMN()&lt;=20),(_xlfn.XLOOKUP($A113,'Oferta Producto 3'!$B$10:$B$21,'Oferta Producto 3'!$E$10:$E$21))/SUMIF($A$7:$AC$128,$A113,$AB$6:$AB$127)*M$5,0)</f>
        <v>0</v>
      </c>
      <c r="N113" s="35">
        <f ca="1">IF(AND(COLUMN()&gt;=11,COLUMN()&lt;=20),(_xlfn.XLOOKUP($A113,'Oferta Producto 3'!$B$10:$B$21,'Oferta Producto 3'!$E$10:$E$21))/SUMIF($A$7:$AC$128,$A113,$AB$6:$AB$127)*N$5,0)</f>
        <v>0</v>
      </c>
      <c r="O113" s="35">
        <f ca="1">IF(AND(COLUMN()&gt;=11,COLUMN()&lt;=20),(_xlfn.XLOOKUP($A113,'Oferta Producto 3'!$B$10:$B$21,'Oferta Producto 3'!$E$10:$E$21))/SUMIF($A$7:$AC$128,$A113,$AB$6:$AB$127)*O$5,0)</f>
        <v>0</v>
      </c>
      <c r="P113" s="35">
        <f ca="1">IF(AND(COLUMN()&gt;=11,COLUMN()&lt;=20),(_xlfn.XLOOKUP($A113,'Oferta Producto 3'!$B$10:$B$21,'Oferta Producto 3'!$E$10:$E$21))/SUMIF($A$7:$AC$128,$A113,$AB$6:$AB$127)*P$5,0)</f>
        <v>0</v>
      </c>
      <c r="Q113" s="35">
        <f ca="1">IF(AND(COLUMN()&gt;=11,COLUMN()&lt;=20),(_xlfn.XLOOKUP($A113,'Oferta Producto 3'!$B$10:$B$21,'Oferta Producto 3'!$E$10:$E$21))/SUMIF($A$7:$AC$128,$A113,$AB$6:$AB$127)*Q$5,0)</f>
        <v>0</v>
      </c>
      <c r="R113" s="35">
        <f ca="1">IF(AND(COLUMN()&gt;=11,COLUMN()&lt;=20),(_xlfn.XLOOKUP($A113,'Oferta Producto 3'!$B$10:$B$21,'Oferta Producto 3'!$E$10:$E$21))/SUMIF($A$7:$AC$128,$A113,$AB$6:$AB$127)*R$5,0)</f>
        <v>0</v>
      </c>
      <c r="S113" s="35">
        <f ca="1">IF(AND(COLUMN()&gt;=11,COLUMN()&lt;=20),(_xlfn.XLOOKUP($A113,'Oferta Producto 3'!$B$10:$B$21,'Oferta Producto 3'!$E$10:$E$21))/SUMIF($A$7:$AC$128,$A113,$AB$6:$AB$127)*S$5,0)</f>
        <v>0</v>
      </c>
      <c r="T113" s="35">
        <f ca="1">IF(AND(COLUMN()&gt;=11,COLUMN()&lt;=20),(_xlfn.XLOOKUP($A113,'Oferta Producto 3'!$B$10:$B$21,'Oferta Producto 3'!$E$10:$E$21))/SUMIF($A$7:$AC$128,$A113,$AB$6:$AB$127)*T$5,0)</f>
        <v>0</v>
      </c>
      <c r="U113" s="35">
        <f>IF(AND(COLUMN()&gt;=11,COLUMN()&lt;=20),(_xlfn.XLOOKUP($A113,'Oferta Producto 3'!$B$10:$B$21,'Oferta Producto 3'!$E$10:$E$21))/SUMIF($A$7:$AC$128,$A113,$AB$6:$AB$127)*U$5,0)</f>
        <v>0</v>
      </c>
      <c r="V113" s="35">
        <f>IF(AND(COLUMN()&gt;=11,COLUMN()&lt;=20),(_xlfn.XLOOKUP($A113,'Oferta Producto 3'!$B$10:$B$21,'Oferta Producto 3'!$E$10:$E$21))/SUMIF($A$7:$AC$128,$A113,$AB$6:$AB$127)*V$5,0)</f>
        <v>0</v>
      </c>
      <c r="W113" s="35">
        <f>IF(AND(COLUMN()&gt;=11,COLUMN()&lt;=20),(_xlfn.XLOOKUP($A113,'Oferta Producto 3'!$B$10:$B$21,'Oferta Producto 3'!$E$10:$E$21))/SUMIF($A$7:$AC$128,$A113,$AB$6:$AB$127)*W$5,0)</f>
        <v>0</v>
      </c>
      <c r="X113" s="35">
        <f>IF(AND(COLUMN()&gt;=11,COLUMN()&lt;=20),(_xlfn.XLOOKUP($A113,'Oferta Producto 3'!$B$10:$B$21,'Oferta Producto 3'!$E$10:$E$21))/SUMIF($A$7:$AC$128,$A113,$AB$6:$AB$127)*X$5,0)</f>
        <v>0</v>
      </c>
      <c r="Y113" s="35">
        <f>IF(AND(COLUMN()&gt;=11,COLUMN()&lt;=20),(_xlfn.XLOOKUP($A113,'Oferta Producto 3'!$B$10:$B$21,'Oferta Producto 3'!$E$10:$E$21))/SUMIF($A$7:$AC$128,$A113,$AB$6:$AB$127)*Y$5,0)</f>
        <v>0</v>
      </c>
      <c r="Z113" s="35">
        <f>IF(AND(COLUMN()&gt;=11,COLUMN()&lt;=20),(_xlfn.XLOOKUP($A113,'Oferta Producto 3'!$B$10:$B$21,'Oferta Producto 3'!$E$10:$E$21))/SUMIF($A$7:$AC$128,$A113,$AB$6:$AB$127)*Z$5,0)</f>
        <v>0</v>
      </c>
      <c r="AA113" s="35">
        <f t="shared" ca="1" si="15"/>
        <v>0</v>
      </c>
      <c r="AB113" s="28">
        <f t="shared" si="10"/>
        <v>31</v>
      </c>
      <c r="AC113" s="29">
        <f t="shared" ca="1" si="11"/>
        <v>0</v>
      </c>
      <c r="AD113" s="48">
        <f ca="1">'Curvas Prod 3'!AC113/SUMIF('Curvas Prod 3'!A111:AC256,'Curva de la oferta Prod 3'!$A113,'Curvas Prod 3'!AC111:AC256)</f>
        <v>0.20261437908496732</v>
      </c>
      <c r="AE113" s="45"/>
      <c r="AF113" s="49"/>
      <c r="AG113" s="49"/>
      <c r="AH113" s="49"/>
      <c r="AI113" s="49"/>
      <c r="AJ113" s="49"/>
      <c r="AK113" s="49"/>
    </row>
    <row r="114" spans="1:37" ht="15">
      <c r="A114" s="23">
        <f t="shared" si="9"/>
        <v>2034</v>
      </c>
      <c r="B114" s="27">
        <v>49249</v>
      </c>
      <c r="C114" s="35">
        <f>IF(AND(COLUMN()&gt;=11,COLUMN()&lt;=20),(_xlfn.XLOOKUP($A114,'Oferta Producto 3'!$B$10:$B$21,'Oferta Producto 3'!$E$10:$E$21))/SUMIF($A$7:$AC$128,$A114,$AB$6:$AB$127)*C$5,0)</f>
        <v>0</v>
      </c>
      <c r="D114" s="35">
        <f>IF(AND(COLUMN()&gt;=11,COLUMN()&lt;=20),(_xlfn.XLOOKUP($A114,'Oferta Producto 3'!$B$10:$B$21,'Oferta Producto 3'!$E$10:$E$21))/SUMIF($A$7:$AC$128,$A114,$AB$6:$AB$127)*D$5,0)</f>
        <v>0</v>
      </c>
      <c r="E114" s="35">
        <f>IF(AND(COLUMN()&gt;=11,COLUMN()&lt;=20),(_xlfn.XLOOKUP($A114,'Oferta Producto 3'!$B$10:$B$21,'Oferta Producto 3'!$E$10:$E$21))/SUMIF($A$7:$AC$128,$A114,$AB$6:$AB$127)*E$5,0)</f>
        <v>0</v>
      </c>
      <c r="F114" s="35">
        <f>IF(AND(COLUMN()&gt;=11,COLUMN()&lt;=20),(_xlfn.XLOOKUP($A114,'Oferta Producto 3'!$B$10:$B$21,'Oferta Producto 3'!$E$10:$E$21))/SUMIF($A$7:$AC$128,$A114,$AB$6:$AB$127)*F$5,0)</f>
        <v>0</v>
      </c>
      <c r="G114" s="35">
        <f>IF(AND(COLUMN()&gt;=11,COLUMN()&lt;=20),(_xlfn.XLOOKUP($A114,'Oferta Producto 3'!$B$10:$B$21,'Oferta Producto 3'!$E$10:$E$21))/SUMIF($A$7:$AC$128,$A114,$AB$6:$AB$127)*G$5,0)</f>
        <v>0</v>
      </c>
      <c r="H114" s="35">
        <f>IF(AND(COLUMN()&gt;=11,COLUMN()&lt;=20),(_xlfn.XLOOKUP($A114,'Oferta Producto 3'!$B$10:$B$21,'Oferta Producto 3'!$E$10:$E$21))/SUMIF($A$7:$AC$128,$A114,$AB$6:$AB$127)*H$5,0)</f>
        <v>0</v>
      </c>
      <c r="I114" s="35">
        <f>IF(AND(COLUMN()&gt;=11,COLUMN()&lt;=20),(_xlfn.XLOOKUP($A114,'Oferta Producto 3'!$B$10:$B$21,'Oferta Producto 3'!$E$10:$E$21))/SUMIF($A$7:$AC$128,$A114,$AB$6:$AB$127)*I$5,0)</f>
        <v>0</v>
      </c>
      <c r="J114" s="35">
        <f>IF(AND(COLUMN()&gt;=11,COLUMN()&lt;=20),(_xlfn.XLOOKUP($A114,'Oferta Producto 3'!$B$10:$B$21,'Oferta Producto 3'!$E$10:$E$21))/SUMIF($A$7:$AC$128,$A114,$AB$6:$AB$127)*J$5,0)</f>
        <v>0</v>
      </c>
      <c r="K114" s="35">
        <f ca="1">IF(AND(COLUMN()&gt;=11,COLUMN()&lt;=20),(_xlfn.XLOOKUP($A114,'Oferta Producto 3'!$B$10:$B$21,'Oferta Producto 3'!$E$10:$E$21))/SUMIF($A$7:$AC$128,$A114,$AB$6:$AB$127)*K$5,0)</f>
        <v>0</v>
      </c>
      <c r="L114" s="35">
        <f ca="1">IF(AND(COLUMN()&gt;=11,COLUMN()&lt;=20),(_xlfn.XLOOKUP($A114,'Oferta Producto 3'!$B$10:$B$21,'Oferta Producto 3'!$E$10:$E$21))/SUMIF($A$7:$AC$128,$A114,$AB$6:$AB$127)*L$5,0)</f>
        <v>0</v>
      </c>
      <c r="M114" s="35">
        <f ca="1">IF(AND(COLUMN()&gt;=11,COLUMN()&lt;=20),(_xlfn.XLOOKUP($A114,'Oferta Producto 3'!$B$10:$B$21,'Oferta Producto 3'!$E$10:$E$21))/SUMIF($A$7:$AC$128,$A114,$AB$6:$AB$127)*M$5,0)</f>
        <v>0</v>
      </c>
      <c r="N114" s="35">
        <f ca="1">IF(AND(COLUMN()&gt;=11,COLUMN()&lt;=20),(_xlfn.XLOOKUP($A114,'Oferta Producto 3'!$B$10:$B$21,'Oferta Producto 3'!$E$10:$E$21))/SUMIF($A$7:$AC$128,$A114,$AB$6:$AB$127)*N$5,0)</f>
        <v>0</v>
      </c>
      <c r="O114" s="35">
        <f ca="1">IF(AND(COLUMN()&gt;=11,COLUMN()&lt;=20),(_xlfn.XLOOKUP($A114,'Oferta Producto 3'!$B$10:$B$21,'Oferta Producto 3'!$E$10:$E$21))/SUMIF($A$7:$AC$128,$A114,$AB$6:$AB$127)*O$5,0)</f>
        <v>0</v>
      </c>
      <c r="P114" s="35">
        <f ca="1">IF(AND(COLUMN()&gt;=11,COLUMN()&lt;=20),(_xlfn.XLOOKUP($A114,'Oferta Producto 3'!$B$10:$B$21,'Oferta Producto 3'!$E$10:$E$21))/SUMIF($A$7:$AC$128,$A114,$AB$6:$AB$127)*P$5,0)</f>
        <v>0</v>
      </c>
      <c r="Q114" s="35">
        <f ca="1">IF(AND(COLUMN()&gt;=11,COLUMN()&lt;=20),(_xlfn.XLOOKUP($A114,'Oferta Producto 3'!$B$10:$B$21,'Oferta Producto 3'!$E$10:$E$21))/SUMIF($A$7:$AC$128,$A114,$AB$6:$AB$127)*Q$5,0)</f>
        <v>0</v>
      </c>
      <c r="R114" s="35">
        <f ca="1">IF(AND(COLUMN()&gt;=11,COLUMN()&lt;=20),(_xlfn.XLOOKUP($A114,'Oferta Producto 3'!$B$10:$B$21,'Oferta Producto 3'!$E$10:$E$21))/SUMIF($A$7:$AC$128,$A114,$AB$6:$AB$127)*R$5,0)</f>
        <v>0</v>
      </c>
      <c r="S114" s="35">
        <f ca="1">IF(AND(COLUMN()&gt;=11,COLUMN()&lt;=20),(_xlfn.XLOOKUP($A114,'Oferta Producto 3'!$B$10:$B$21,'Oferta Producto 3'!$E$10:$E$21))/SUMIF($A$7:$AC$128,$A114,$AB$6:$AB$127)*S$5,0)</f>
        <v>0</v>
      </c>
      <c r="T114" s="35">
        <f ca="1">IF(AND(COLUMN()&gt;=11,COLUMN()&lt;=20),(_xlfn.XLOOKUP($A114,'Oferta Producto 3'!$B$10:$B$21,'Oferta Producto 3'!$E$10:$E$21))/SUMIF($A$7:$AC$128,$A114,$AB$6:$AB$127)*T$5,0)</f>
        <v>0</v>
      </c>
      <c r="U114" s="35">
        <f>IF(AND(COLUMN()&gt;=11,COLUMN()&lt;=20),(_xlfn.XLOOKUP($A114,'Oferta Producto 3'!$B$10:$B$21,'Oferta Producto 3'!$E$10:$E$21))/SUMIF($A$7:$AC$128,$A114,$AB$6:$AB$127)*U$5,0)</f>
        <v>0</v>
      </c>
      <c r="V114" s="35">
        <f>IF(AND(COLUMN()&gt;=11,COLUMN()&lt;=20),(_xlfn.XLOOKUP($A114,'Oferta Producto 3'!$B$10:$B$21,'Oferta Producto 3'!$E$10:$E$21))/SUMIF($A$7:$AC$128,$A114,$AB$6:$AB$127)*V$5,0)</f>
        <v>0</v>
      </c>
      <c r="W114" s="35">
        <f>IF(AND(COLUMN()&gt;=11,COLUMN()&lt;=20),(_xlfn.XLOOKUP($A114,'Oferta Producto 3'!$B$10:$B$21,'Oferta Producto 3'!$E$10:$E$21))/SUMIF($A$7:$AC$128,$A114,$AB$6:$AB$127)*W$5,0)</f>
        <v>0</v>
      </c>
      <c r="X114" s="35">
        <f>IF(AND(COLUMN()&gt;=11,COLUMN()&lt;=20),(_xlfn.XLOOKUP($A114,'Oferta Producto 3'!$B$10:$B$21,'Oferta Producto 3'!$E$10:$E$21))/SUMIF($A$7:$AC$128,$A114,$AB$6:$AB$127)*X$5,0)</f>
        <v>0</v>
      </c>
      <c r="Y114" s="35">
        <f>IF(AND(COLUMN()&gt;=11,COLUMN()&lt;=20),(_xlfn.XLOOKUP($A114,'Oferta Producto 3'!$B$10:$B$21,'Oferta Producto 3'!$E$10:$E$21))/SUMIF($A$7:$AC$128,$A114,$AB$6:$AB$127)*Y$5,0)</f>
        <v>0</v>
      </c>
      <c r="Z114" s="35">
        <f>IF(AND(COLUMN()&gt;=11,COLUMN()&lt;=20),(_xlfn.XLOOKUP($A114,'Oferta Producto 3'!$B$10:$B$21,'Oferta Producto 3'!$E$10:$E$21))/SUMIF($A$7:$AC$128,$A114,$AB$6:$AB$127)*Z$5,0)</f>
        <v>0</v>
      </c>
      <c r="AA114" s="35">
        <f t="shared" ca="1" si="15"/>
        <v>0</v>
      </c>
      <c r="AB114" s="28">
        <f t="shared" si="10"/>
        <v>30</v>
      </c>
      <c r="AC114" s="29">
        <f t="shared" ca="1" si="11"/>
        <v>0</v>
      </c>
      <c r="AD114" s="48">
        <f ca="1">'Curvas Prod 3'!AC114/SUMIF('Curvas Prod 3'!A112:AC257,'Curva de la oferta Prod 3'!$A114,'Curvas Prod 3'!AC112:AC257)</f>
        <v>0.24590163934426229</v>
      </c>
      <c r="AE114" s="45"/>
      <c r="AF114" s="49"/>
      <c r="AG114" s="49"/>
      <c r="AH114" s="49"/>
      <c r="AI114" s="49"/>
      <c r="AJ114" s="49"/>
      <c r="AK114" s="49"/>
    </row>
    <row r="115" spans="1:37" ht="15">
      <c r="A115" s="23">
        <f t="shared" si="9"/>
        <v>2034</v>
      </c>
      <c r="B115" s="27">
        <v>49279</v>
      </c>
      <c r="C115" s="35">
        <f>IF(AND(COLUMN()&gt;=11,COLUMN()&lt;=20),(_xlfn.XLOOKUP($A115,'Oferta Producto 3'!$B$10:$B$21,'Oferta Producto 3'!$E$10:$E$21))/SUMIF($A$7:$AC$128,$A115,$AB$6:$AB$127)*C$5,0)</f>
        <v>0</v>
      </c>
      <c r="D115" s="35">
        <f>IF(AND(COLUMN()&gt;=11,COLUMN()&lt;=20),(_xlfn.XLOOKUP($A115,'Oferta Producto 3'!$B$10:$B$21,'Oferta Producto 3'!$E$10:$E$21))/SUMIF($A$7:$AC$128,$A115,$AB$6:$AB$127)*D$5,0)</f>
        <v>0</v>
      </c>
      <c r="E115" s="35">
        <f>IF(AND(COLUMN()&gt;=11,COLUMN()&lt;=20),(_xlfn.XLOOKUP($A115,'Oferta Producto 3'!$B$10:$B$21,'Oferta Producto 3'!$E$10:$E$21))/SUMIF($A$7:$AC$128,$A115,$AB$6:$AB$127)*E$5,0)</f>
        <v>0</v>
      </c>
      <c r="F115" s="35">
        <f>IF(AND(COLUMN()&gt;=11,COLUMN()&lt;=20),(_xlfn.XLOOKUP($A115,'Oferta Producto 3'!$B$10:$B$21,'Oferta Producto 3'!$E$10:$E$21))/SUMIF($A$7:$AC$128,$A115,$AB$6:$AB$127)*F$5,0)</f>
        <v>0</v>
      </c>
      <c r="G115" s="35">
        <f>IF(AND(COLUMN()&gt;=11,COLUMN()&lt;=20),(_xlfn.XLOOKUP($A115,'Oferta Producto 3'!$B$10:$B$21,'Oferta Producto 3'!$E$10:$E$21))/SUMIF($A$7:$AC$128,$A115,$AB$6:$AB$127)*G$5,0)</f>
        <v>0</v>
      </c>
      <c r="H115" s="35">
        <f>IF(AND(COLUMN()&gt;=11,COLUMN()&lt;=20),(_xlfn.XLOOKUP($A115,'Oferta Producto 3'!$B$10:$B$21,'Oferta Producto 3'!$E$10:$E$21))/SUMIF($A$7:$AC$128,$A115,$AB$6:$AB$127)*H$5,0)</f>
        <v>0</v>
      </c>
      <c r="I115" s="35">
        <f>IF(AND(COLUMN()&gt;=11,COLUMN()&lt;=20),(_xlfn.XLOOKUP($A115,'Oferta Producto 3'!$B$10:$B$21,'Oferta Producto 3'!$E$10:$E$21))/SUMIF($A$7:$AC$128,$A115,$AB$6:$AB$127)*I$5,0)</f>
        <v>0</v>
      </c>
      <c r="J115" s="35">
        <f>IF(AND(COLUMN()&gt;=11,COLUMN()&lt;=20),(_xlfn.XLOOKUP($A115,'Oferta Producto 3'!$B$10:$B$21,'Oferta Producto 3'!$E$10:$E$21))/SUMIF($A$7:$AC$128,$A115,$AB$6:$AB$127)*J$5,0)</f>
        <v>0</v>
      </c>
      <c r="K115" s="35">
        <f ca="1">IF(AND(COLUMN()&gt;=11,COLUMN()&lt;=20),(_xlfn.XLOOKUP($A115,'Oferta Producto 3'!$B$10:$B$21,'Oferta Producto 3'!$E$10:$E$21))/SUMIF($A$7:$AC$128,$A115,$AB$6:$AB$127)*K$5,0)</f>
        <v>0</v>
      </c>
      <c r="L115" s="35">
        <f ca="1">IF(AND(COLUMN()&gt;=11,COLUMN()&lt;=20),(_xlfn.XLOOKUP($A115,'Oferta Producto 3'!$B$10:$B$21,'Oferta Producto 3'!$E$10:$E$21))/SUMIF($A$7:$AC$128,$A115,$AB$6:$AB$127)*L$5,0)</f>
        <v>0</v>
      </c>
      <c r="M115" s="35">
        <f ca="1">IF(AND(COLUMN()&gt;=11,COLUMN()&lt;=20),(_xlfn.XLOOKUP($A115,'Oferta Producto 3'!$B$10:$B$21,'Oferta Producto 3'!$E$10:$E$21))/SUMIF($A$7:$AC$128,$A115,$AB$6:$AB$127)*M$5,0)</f>
        <v>0</v>
      </c>
      <c r="N115" s="35">
        <f ca="1">IF(AND(COLUMN()&gt;=11,COLUMN()&lt;=20),(_xlfn.XLOOKUP($A115,'Oferta Producto 3'!$B$10:$B$21,'Oferta Producto 3'!$E$10:$E$21))/SUMIF($A$7:$AC$128,$A115,$AB$6:$AB$127)*N$5,0)</f>
        <v>0</v>
      </c>
      <c r="O115" s="35">
        <f ca="1">IF(AND(COLUMN()&gt;=11,COLUMN()&lt;=20),(_xlfn.XLOOKUP($A115,'Oferta Producto 3'!$B$10:$B$21,'Oferta Producto 3'!$E$10:$E$21))/SUMIF($A$7:$AC$128,$A115,$AB$6:$AB$127)*O$5,0)</f>
        <v>0</v>
      </c>
      <c r="P115" s="35">
        <f ca="1">IF(AND(COLUMN()&gt;=11,COLUMN()&lt;=20),(_xlfn.XLOOKUP($A115,'Oferta Producto 3'!$B$10:$B$21,'Oferta Producto 3'!$E$10:$E$21))/SUMIF($A$7:$AC$128,$A115,$AB$6:$AB$127)*P$5,0)</f>
        <v>0</v>
      </c>
      <c r="Q115" s="35">
        <f ca="1">IF(AND(COLUMN()&gt;=11,COLUMN()&lt;=20),(_xlfn.XLOOKUP($A115,'Oferta Producto 3'!$B$10:$B$21,'Oferta Producto 3'!$E$10:$E$21))/SUMIF($A$7:$AC$128,$A115,$AB$6:$AB$127)*Q$5,0)</f>
        <v>0</v>
      </c>
      <c r="R115" s="35">
        <f ca="1">IF(AND(COLUMN()&gt;=11,COLUMN()&lt;=20),(_xlfn.XLOOKUP($A115,'Oferta Producto 3'!$B$10:$B$21,'Oferta Producto 3'!$E$10:$E$21))/SUMIF($A$7:$AC$128,$A115,$AB$6:$AB$127)*R$5,0)</f>
        <v>0</v>
      </c>
      <c r="S115" s="35">
        <f ca="1">IF(AND(COLUMN()&gt;=11,COLUMN()&lt;=20),(_xlfn.XLOOKUP($A115,'Oferta Producto 3'!$B$10:$B$21,'Oferta Producto 3'!$E$10:$E$21))/SUMIF($A$7:$AC$128,$A115,$AB$6:$AB$127)*S$5,0)</f>
        <v>0</v>
      </c>
      <c r="T115" s="35">
        <f ca="1">IF(AND(COLUMN()&gt;=11,COLUMN()&lt;=20),(_xlfn.XLOOKUP($A115,'Oferta Producto 3'!$B$10:$B$21,'Oferta Producto 3'!$E$10:$E$21))/SUMIF($A$7:$AC$128,$A115,$AB$6:$AB$127)*T$5,0)</f>
        <v>0</v>
      </c>
      <c r="U115" s="35">
        <f>IF(AND(COLUMN()&gt;=11,COLUMN()&lt;=20),(_xlfn.XLOOKUP($A115,'Oferta Producto 3'!$B$10:$B$21,'Oferta Producto 3'!$E$10:$E$21))/SUMIF($A$7:$AC$128,$A115,$AB$6:$AB$127)*U$5,0)</f>
        <v>0</v>
      </c>
      <c r="V115" s="35">
        <f>IF(AND(COLUMN()&gt;=11,COLUMN()&lt;=20),(_xlfn.XLOOKUP($A115,'Oferta Producto 3'!$B$10:$B$21,'Oferta Producto 3'!$E$10:$E$21))/SUMIF($A$7:$AC$128,$A115,$AB$6:$AB$127)*V$5,0)</f>
        <v>0</v>
      </c>
      <c r="W115" s="35">
        <f>IF(AND(COLUMN()&gt;=11,COLUMN()&lt;=20),(_xlfn.XLOOKUP($A115,'Oferta Producto 3'!$B$10:$B$21,'Oferta Producto 3'!$E$10:$E$21))/SUMIF($A$7:$AC$128,$A115,$AB$6:$AB$127)*W$5,0)</f>
        <v>0</v>
      </c>
      <c r="X115" s="35">
        <f>IF(AND(COLUMN()&gt;=11,COLUMN()&lt;=20),(_xlfn.XLOOKUP($A115,'Oferta Producto 3'!$B$10:$B$21,'Oferta Producto 3'!$E$10:$E$21))/SUMIF($A$7:$AC$128,$A115,$AB$6:$AB$127)*X$5,0)</f>
        <v>0</v>
      </c>
      <c r="Y115" s="35">
        <f>IF(AND(COLUMN()&gt;=11,COLUMN()&lt;=20),(_xlfn.XLOOKUP($A115,'Oferta Producto 3'!$B$10:$B$21,'Oferta Producto 3'!$E$10:$E$21))/SUMIF($A$7:$AC$128,$A115,$AB$6:$AB$127)*Y$5,0)</f>
        <v>0</v>
      </c>
      <c r="Z115" s="35">
        <f>IF(AND(COLUMN()&gt;=11,COLUMN()&lt;=20),(_xlfn.XLOOKUP($A115,'Oferta Producto 3'!$B$10:$B$21,'Oferta Producto 3'!$E$10:$E$21))/SUMIF($A$7:$AC$128,$A115,$AB$6:$AB$127)*Z$5,0)</f>
        <v>0</v>
      </c>
      <c r="AA115" s="35">
        <f t="shared" ca="1" si="15"/>
        <v>0</v>
      </c>
      <c r="AB115" s="28">
        <f t="shared" si="10"/>
        <v>31</v>
      </c>
      <c r="AC115" s="29">
        <f t="shared" ca="1" si="11"/>
        <v>0</v>
      </c>
      <c r="AD115" s="48">
        <f ca="1">'Curvas Prod 3'!AC115/SUMIF('Curvas Prod 3'!A113:AC258,'Curva de la oferta Prod 3'!$A115,'Curvas Prod 3'!AC113:AC258)</f>
        <v>0.33695652173913043</v>
      </c>
      <c r="AE115" s="45"/>
      <c r="AF115" s="49"/>
      <c r="AG115" s="49"/>
      <c r="AH115" s="49"/>
      <c r="AI115" s="49"/>
      <c r="AJ115" s="49"/>
      <c r="AK115" s="49"/>
    </row>
    <row r="116" spans="1:37" ht="15">
      <c r="A116" s="23">
        <f t="shared" si="9"/>
        <v>2035</v>
      </c>
      <c r="B116" s="27">
        <v>49310</v>
      </c>
      <c r="C116" s="35">
        <f>IF(AND(COLUMN()&gt;=11,COLUMN()&lt;=20),(_xlfn.XLOOKUP($A116,'Oferta Producto 3'!$B$10:$B$21,'Oferta Producto 3'!$E$10:$E$21))/SUMIF($A$7:$AC$128,$A116,$AB$6:$AB$127)*C$5,0)</f>
        <v>0</v>
      </c>
      <c r="D116" s="35">
        <f>IF(AND(COLUMN()&gt;=11,COLUMN()&lt;=20),(_xlfn.XLOOKUP($A116,'Oferta Producto 3'!$B$10:$B$21,'Oferta Producto 3'!$E$10:$E$21))/SUMIF($A$7:$AC$128,$A116,$AB$6:$AB$127)*D$5,0)</f>
        <v>0</v>
      </c>
      <c r="E116" s="35">
        <f>IF(AND(COLUMN()&gt;=11,COLUMN()&lt;=20),(_xlfn.XLOOKUP($A116,'Oferta Producto 3'!$B$10:$B$21,'Oferta Producto 3'!$E$10:$E$21))/SUMIF($A$7:$AC$128,$A116,$AB$6:$AB$127)*E$5,0)</f>
        <v>0</v>
      </c>
      <c r="F116" s="35">
        <f>IF(AND(COLUMN()&gt;=11,COLUMN()&lt;=20),(_xlfn.XLOOKUP($A116,'Oferta Producto 3'!$B$10:$B$21,'Oferta Producto 3'!$E$10:$E$21))/SUMIF($A$7:$AC$128,$A116,$AB$6:$AB$127)*F$5,0)</f>
        <v>0</v>
      </c>
      <c r="G116" s="35">
        <f>IF(AND(COLUMN()&gt;=11,COLUMN()&lt;=20),(_xlfn.XLOOKUP($A116,'Oferta Producto 3'!$B$10:$B$21,'Oferta Producto 3'!$E$10:$E$21))/SUMIF($A$7:$AC$128,$A116,$AB$6:$AB$127)*G$5,0)</f>
        <v>0</v>
      </c>
      <c r="H116" s="35">
        <f>IF(AND(COLUMN()&gt;=11,COLUMN()&lt;=20),(_xlfn.XLOOKUP($A116,'Oferta Producto 3'!$B$10:$B$21,'Oferta Producto 3'!$E$10:$E$21))/SUMIF($A$7:$AC$128,$A116,$AB$6:$AB$127)*H$5,0)</f>
        <v>0</v>
      </c>
      <c r="I116" s="35">
        <f>IF(AND(COLUMN()&gt;=11,COLUMN()&lt;=20),(_xlfn.XLOOKUP($A116,'Oferta Producto 3'!$B$10:$B$21,'Oferta Producto 3'!$E$10:$E$21))/SUMIF($A$7:$AC$128,$A116,$AB$6:$AB$127)*I$5,0)</f>
        <v>0</v>
      </c>
      <c r="J116" s="35">
        <f>IF(AND(COLUMN()&gt;=11,COLUMN()&lt;=20),(_xlfn.XLOOKUP($A116,'Oferta Producto 3'!$B$10:$B$21,'Oferta Producto 3'!$E$10:$E$21))/SUMIF($A$7:$AC$128,$A116,$AB$6:$AB$127)*J$5,0)</f>
        <v>0</v>
      </c>
      <c r="K116" s="35">
        <f ca="1">IF(AND(COLUMN()&gt;=11,COLUMN()&lt;=20),(_xlfn.XLOOKUP($A116,'Oferta Producto 3'!$B$10:$B$21,'Oferta Producto 3'!$E$10:$E$21))/SUMIF($A$7:$AC$128,$A116,$AB$6:$AB$127)*K$5,0)</f>
        <v>0</v>
      </c>
      <c r="L116" s="35">
        <f ca="1">IF(AND(COLUMN()&gt;=11,COLUMN()&lt;=20),(_xlfn.XLOOKUP($A116,'Oferta Producto 3'!$B$10:$B$21,'Oferta Producto 3'!$E$10:$E$21))/SUMIF($A$7:$AC$128,$A116,$AB$6:$AB$127)*L$5,0)</f>
        <v>0</v>
      </c>
      <c r="M116" s="35">
        <f ca="1">IF(AND(COLUMN()&gt;=11,COLUMN()&lt;=20),(_xlfn.XLOOKUP($A116,'Oferta Producto 3'!$B$10:$B$21,'Oferta Producto 3'!$E$10:$E$21))/SUMIF($A$7:$AC$128,$A116,$AB$6:$AB$127)*M$5,0)</f>
        <v>0</v>
      </c>
      <c r="N116" s="35">
        <f ca="1">IF(AND(COLUMN()&gt;=11,COLUMN()&lt;=20),(_xlfn.XLOOKUP($A116,'Oferta Producto 3'!$B$10:$B$21,'Oferta Producto 3'!$E$10:$E$21))/SUMIF($A$7:$AC$128,$A116,$AB$6:$AB$127)*N$5,0)</f>
        <v>0</v>
      </c>
      <c r="O116" s="35">
        <f ca="1">IF(AND(COLUMN()&gt;=11,COLUMN()&lt;=20),(_xlfn.XLOOKUP($A116,'Oferta Producto 3'!$B$10:$B$21,'Oferta Producto 3'!$E$10:$E$21))/SUMIF($A$7:$AC$128,$A116,$AB$6:$AB$127)*O$5,0)</f>
        <v>0</v>
      </c>
      <c r="P116" s="35">
        <f ca="1">IF(AND(COLUMN()&gt;=11,COLUMN()&lt;=20),(_xlfn.XLOOKUP($A116,'Oferta Producto 3'!$B$10:$B$21,'Oferta Producto 3'!$E$10:$E$21))/SUMIF($A$7:$AC$128,$A116,$AB$6:$AB$127)*P$5,0)</f>
        <v>0</v>
      </c>
      <c r="Q116" s="35">
        <f ca="1">IF(AND(COLUMN()&gt;=11,COLUMN()&lt;=20),(_xlfn.XLOOKUP($A116,'Oferta Producto 3'!$B$10:$B$21,'Oferta Producto 3'!$E$10:$E$21))/SUMIF($A$7:$AC$128,$A116,$AB$6:$AB$127)*Q$5,0)</f>
        <v>0</v>
      </c>
      <c r="R116" s="35">
        <f ca="1">IF(AND(COLUMN()&gt;=11,COLUMN()&lt;=20),(_xlfn.XLOOKUP($A116,'Oferta Producto 3'!$B$10:$B$21,'Oferta Producto 3'!$E$10:$E$21))/SUMIF($A$7:$AC$128,$A116,$AB$6:$AB$127)*R$5,0)</f>
        <v>0</v>
      </c>
      <c r="S116" s="35">
        <f ca="1">IF(AND(COLUMN()&gt;=11,COLUMN()&lt;=20),(_xlfn.XLOOKUP($A116,'Oferta Producto 3'!$B$10:$B$21,'Oferta Producto 3'!$E$10:$E$21))/SUMIF($A$7:$AC$128,$A116,$AB$6:$AB$127)*S$5,0)</f>
        <v>0</v>
      </c>
      <c r="T116" s="35">
        <f ca="1">IF(AND(COLUMN()&gt;=11,COLUMN()&lt;=20),(_xlfn.XLOOKUP($A116,'Oferta Producto 3'!$B$10:$B$21,'Oferta Producto 3'!$E$10:$E$21))/SUMIF($A$7:$AC$128,$A116,$AB$6:$AB$127)*T$5,0)</f>
        <v>0</v>
      </c>
      <c r="U116" s="35">
        <f>IF(AND(COLUMN()&gt;=11,COLUMN()&lt;=20),(_xlfn.XLOOKUP($A116,'Oferta Producto 3'!$B$10:$B$21,'Oferta Producto 3'!$E$10:$E$21))/SUMIF($A$7:$AC$128,$A116,$AB$6:$AB$127)*U$5,0)</f>
        <v>0</v>
      </c>
      <c r="V116" s="35">
        <f>IF(AND(COLUMN()&gt;=11,COLUMN()&lt;=20),(_xlfn.XLOOKUP($A116,'Oferta Producto 3'!$B$10:$B$21,'Oferta Producto 3'!$E$10:$E$21))/SUMIF($A$7:$AC$128,$A116,$AB$6:$AB$127)*V$5,0)</f>
        <v>0</v>
      </c>
      <c r="W116" s="35">
        <f>IF(AND(COLUMN()&gt;=11,COLUMN()&lt;=20),(_xlfn.XLOOKUP($A116,'Oferta Producto 3'!$B$10:$B$21,'Oferta Producto 3'!$E$10:$E$21))/SUMIF($A$7:$AC$128,$A116,$AB$6:$AB$127)*W$5,0)</f>
        <v>0</v>
      </c>
      <c r="X116" s="35">
        <f>IF(AND(COLUMN()&gt;=11,COLUMN()&lt;=20),(_xlfn.XLOOKUP($A116,'Oferta Producto 3'!$B$10:$B$21,'Oferta Producto 3'!$E$10:$E$21))/SUMIF($A$7:$AC$128,$A116,$AB$6:$AB$127)*X$5,0)</f>
        <v>0</v>
      </c>
      <c r="Y116" s="35">
        <f>IF(AND(COLUMN()&gt;=11,COLUMN()&lt;=20),(_xlfn.XLOOKUP($A116,'Oferta Producto 3'!$B$10:$B$21,'Oferta Producto 3'!$E$10:$E$21))/SUMIF($A$7:$AC$128,$A116,$AB$6:$AB$127)*Y$5,0)</f>
        <v>0</v>
      </c>
      <c r="Z116" s="35">
        <f>IF(AND(COLUMN()&gt;=11,COLUMN()&lt;=20),(_xlfn.XLOOKUP($A116,'Oferta Producto 3'!$B$10:$B$21,'Oferta Producto 3'!$E$10:$E$21))/SUMIF($A$7:$AC$128,$A116,$AB$6:$AB$127)*Z$5,0)</f>
        <v>0</v>
      </c>
      <c r="AA116" s="35">
        <f t="shared" ca="1" si="15"/>
        <v>0</v>
      </c>
      <c r="AB116" s="28">
        <f t="shared" si="10"/>
        <v>31</v>
      </c>
      <c r="AC116" s="29">
        <f t="shared" ca="1" si="11"/>
        <v>0</v>
      </c>
      <c r="AD116" s="48">
        <f ca="1">'Curvas Prod 3'!AC116/SUMIF('Curvas Prod 3'!A114:AC259,'Curva de la oferta Prod 3'!$A116,'Curvas Prod 3'!AC114:AC259)</f>
        <v>8.4931506849315067E-2</v>
      </c>
      <c r="AE116" s="45"/>
      <c r="AF116" s="49"/>
      <c r="AG116" s="49"/>
      <c r="AH116" s="49"/>
      <c r="AI116" s="49"/>
      <c r="AJ116" s="49"/>
      <c r="AK116" s="49"/>
    </row>
    <row r="117" spans="1:37" ht="15">
      <c r="A117" s="23">
        <f t="shared" si="9"/>
        <v>2035</v>
      </c>
      <c r="B117" s="27">
        <v>49341</v>
      </c>
      <c r="C117" s="35">
        <f>IF(AND(COLUMN()&gt;=11,COLUMN()&lt;=20),(_xlfn.XLOOKUP($A117,'Oferta Producto 3'!$B$10:$B$21,'Oferta Producto 3'!$E$10:$E$21))/SUMIF($A$7:$AC$128,$A117,$AB$6:$AB$127)*C$5,0)</f>
        <v>0</v>
      </c>
      <c r="D117" s="35">
        <f>IF(AND(COLUMN()&gt;=11,COLUMN()&lt;=20),(_xlfn.XLOOKUP($A117,'Oferta Producto 3'!$B$10:$B$21,'Oferta Producto 3'!$E$10:$E$21))/SUMIF($A$7:$AC$128,$A117,$AB$6:$AB$127)*D$5,0)</f>
        <v>0</v>
      </c>
      <c r="E117" s="35">
        <f>IF(AND(COLUMN()&gt;=11,COLUMN()&lt;=20),(_xlfn.XLOOKUP($A117,'Oferta Producto 3'!$B$10:$B$21,'Oferta Producto 3'!$E$10:$E$21))/SUMIF($A$7:$AC$128,$A117,$AB$6:$AB$127)*E$5,0)</f>
        <v>0</v>
      </c>
      <c r="F117" s="35">
        <f>IF(AND(COLUMN()&gt;=11,COLUMN()&lt;=20),(_xlfn.XLOOKUP($A117,'Oferta Producto 3'!$B$10:$B$21,'Oferta Producto 3'!$E$10:$E$21))/SUMIF($A$7:$AC$128,$A117,$AB$6:$AB$127)*F$5,0)</f>
        <v>0</v>
      </c>
      <c r="G117" s="35">
        <f>IF(AND(COLUMN()&gt;=11,COLUMN()&lt;=20),(_xlfn.XLOOKUP($A117,'Oferta Producto 3'!$B$10:$B$21,'Oferta Producto 3'!$E$10:$E$21))/SUMIF($A$7:$AC$128,$A117,$AB$6:$AB$127)*G$5,0)</f>
        <v>0</v>
      </c>
      <c r="H117" s="35">
        <f>IF(AND(COLUMN()&gt;=11,COLUMN()&lt;=20),(_xlfn.XLOOKUP($A117,'Oferta Producto 3'!$B$10:$B$21,'Oferta Producto 3'!$E$10:$E$21))/SUMIF($A$7:$AC$128,$A117,$AB$6:$AB$127)*H$5,0)</f>
        <v>0</v>
      </c>
      <c r="I117" s="35">
        <f>IF(AND(COLUMN()&gt;=11,COLUMN()&lt;=20),(_xlfn.XLOOKUP($A117,'Oferta Producto 3'!$B$10:$B$21,'Oferta Producto 3'!$E$10:$E$21))/SUMIF($A$7:$AC$128,$A117,$AB$6:$AB$127)*I$5,0)</f>
        <v>0</v>
      </c>
      <c r="J117" s="35">
        <f>IF(AND(COLUMN()&gt;=11,COLUMN()&lt;=20),(_xlfn.XLOOKUP($A117,'Oferta Producto 3'!$B$10:$B$21,'Oferta Producto 3'!$E$10:$E$21))/SUMIF($A$7:$AC$128,$A117,$AB$6:$AB$127)*J$5,0)</f>
        <v>0</v>
      </c>
      <c r="K117" s="35">
        <f ca="1">IF(AND(COLUMN()&gt;=11,COLUMN()&lt;=20),(_xlfn.XLOOKUP($A117,'Oferta Producto 3'!$B$10:$B$21,'Oferta Producto 3'!$E$10:$E$21))/SUMIF($A$7:$AC$128,$A117,$AB$6:$AB$127)*K$5,0)</f>
        <v>0</v>
      </c>
      <c r="L117" s="35">
        <f ca="1">IF(AND(COLUMN()&gt;=11,COLUMN()&lt;=20),(_xlfn.XLOOKUP($A117,'Oferta Producto 3'!$B$10:$B$21,'Oferta Producto 3'!$E$10:$E$21))/SUMIF($A$7:$AC$128,$A117,$AB$6:$AB$127)*L$5,0)</f>
        <v>0</v>
      </c>
      <c r="M117" s="35">
        <f ca="1">IF(AND(COLUMN()&gt;=11,COLUMN()&lt;=20),(_xlfn.XLOOKUP($A117,'Oferta Producto 3'!$B$10:$B$21,'Oferta Producto 3'!$E$10:$E$21))/SUMIF($A$7:$AC$128,$A117,$AB$6:$AB$127)*M$5,0)</f>
        <v>0</v>
      </c>
      <c r="N117" s="35">
        <f ca="1">IF(AND(COLUMN()&gt;=11,COLUMN()&lt;=20),(_xlfn.XLOOKUP($A117,'Oferta Producto 3'!$B$10:$B$21,'Oferta Producto 3'!$E$10:$E$21))/SUMIF($A$7:$AC$128,$A117,$AB$6:$AB$127)*N$5,0)</f>
        <v>0</v>
      </c>
      <c r="O117" s="35">
        <f ca="1">IF(AND(COLUMN()&gt;=11,COLUMN()&lt;=20),(_xlfn.XLOOKUP($A117,'Oferta Producto 3'!$B$10:$B$21,'Oferta Producto 3'!$E$10:$E$21))/SUMIF($A$7:$AC$128,$A117,$AB$6:$AB$127)*O$5,0)</f>
        <v>0</v>
      </c>
      <c r="P117" s="35">
        <f ca="1">IF(AND(COLUMN()&gt;=11,COLUMN()&lt;=20),(_xlfn.XLOOKUP($A117,'Oferta Producto 3'!$B$10:$B$21,'Oferta Producto 3'!$E$10:$E$21))/SUMIF($A$7:$AC$128,$A117,$AB$6:$AB$127)*P$5,0)</f>
        <v>0</v>
      </c>
      <c r="Q117" s="35">
        <f ca="1">IF(AND(COLUMN()&gt;=11,COLUMN()&lt;=20),(_xlfn.XLOOKUP($A117,'Oferta Producto 3'!$B$10:$B$21,'Oferta Producto 3'!$E$10:$E$21))/SUMIF($A$7:$AC$128,$A117,$AB$6:$AB$127)*Q$5,0)</f>
        <v>0</v>
      </c>
      <c r="R117" s="35">
        <f ca="1">IF(AND(COLUMN()&gt;=11,COLUMN()&lt;=20),(_xlfn.XLOOKUP($A117,'Oferta Producto 3'!$B$10:$B$21,'Oferta Producto 3'!$E$10:$E$21))/SUMIF($A$7:$AC$128,$A117,$AB$6:$AB$127)*R$5,0)</f>
        <v>0</v>
      </c>
      <c r="S117" s="35">
        <f ca="1">IF(AND(COLUMN()&gt;=11,COLUMN()&lt;=20),(_xlfn.XLOOKUP($A117,'Oferta Producto 3'!$B$10:$B$21,'Oferta Producto 3'!$E$10:$E$21))/SUMIF($A$7:$AC$128,$A117,$AB$6:$AB$127)*S$5,0)</f>
        <v>0</v>
      </c>
      <c r="T117" s="35">
        <f ca="1">IF(AND(COLUMN()&gt;=11,COLUMN()&lt;=20),(_xlfn.XLOOKUP($A117,'Oferta Producto 3'!$B$10:$B$21,'Oferta Producto 3'!$E$10:$E$21))/SUMIF($A$7:$AC$128,$A117,$AB$6:$AB$127)*T$5,0)</f>
        <v>0</v>
      </c>
      <c r="U117" s="35">
        <f>IF(AND(COLUMN()&gt;=11,COLUMN()&lt;=20),(_xlfn.XLOOKUP($A117,'Oferta Producto 3'!$B$10:$B$21,'Oferta Producto 3'!$E$10:$E$21))/SUMIF($A$7:$AC$128,$A117,$AB$6:$AB$127)*U$5,0)</f>
        <v>0</v>
      </c>
      <c r="V117" s="35">
        <f>IF(AND(COLUMN()&gt;=11,COLUMN()&lt;=20),(_xlfn.XLOOKUP($A117,'Oferta Producto 3'!$B$10:$B$21,'Oferta Producto 3'!$E$10:$E$21))/SUMIF($A$7:$AC$128,$A117,$AB$6:$AB$127)*V$5,0)</f>
        <v>0</v>
      </c>
      <c r="W117" s="35">
        <f>IF(AND(COLUMN()&gt;=11,COLUMN()&lt;=20),(_xlfn.XLOOKUP($A117,'Oferta Producto 3'!$B$10:$B$21,'Oferta Producto 3'!$E$10:$E$21))/SUMIF($A$7:$AC$128,$A117,$AB$6:$AB$127)*W$5,0)</f>
        <v>0</v>
      </c>
      <c r="X117" s="35">
        <f>IF(AND(COLUMN()&gt;=11,COLUMN()&lt;=20),(_xlfn.XLOOKUP($A117,'Oferta Producto 3'!$B$10:$B$21,'Oferta Producto 3'!$E$10:$E$21))/SUMIF($A$7:$AC$128,$A117,$AB$6:$AB$127)*X$5,0)</f>
        <v>0</v>
      </c>
      <c r="Y117" s="35">
        <f>IF(AND(COLUMN()&gt;=11,COLUMN()&lt;=20),(_xlfn.XLOOKUP($A117,'Oferta Producto 3'!$B$10:$B$21,'Oferta Producto 3'!$E$10:$E$21))/SUMIF($A$7:$AC$128,$A117,$AB$6:$AB$127)*Y$5,0)</f>
        <v>0</v>
      </c>
      <c r="Z117" s="35">
        <f>IF(AND(COLUMN()&gt;=11,COLUMN()&lt;=20),(_xlfn.XLOOKUP($A117,'Oferta Producto 3'!$B$10:$B$21,'Oferta Producto 3'!$E$10:$E$21))/SUMIF($A$7:$AC$128,$A117,$AB$6:$AB$127)*Z$5,0)</f>
        <v>0</v>
      </c>
      <c r="AA117" s="35">
        <f t="shared" ref="AA117:AA127" ca="1" si="16">SUM(C117:Z117)</f>
        <v>0</v>
      </c>
      <c r="AB117" s="28">
        <f t="shared" si="10"/>
        <v>28</v>
      </c>
      <c r="AC117" s="29">
        <f t="shared" ca="1" si="11"/>
        <v>0</v>
      </c>
      <c r="AD117" s="48">
        <f ca="1">'Curvas Prod 3'!AC117/SUMIF('Curvas Prod 3'!A115:AC260,'Curva de la oferta Prod 3'!$A117,'Curvas Prod 3'!AC115:AC260)</f>
        <v>7.6712328767123292E-2</v>
      </c>
      <c r="AE117" s="45"/>
      <c r="AF117" s="49"/>
      <c r="AG117" s="49"/>
      <c r="AH117" s="49"/>
      <c r="AI117" s="49"/>
      <c r="AJ117" s="49"/>
      <c r="AK117" s="49"/>
    </row>
    <row r="118" spans="1:37" ht="15">
      <c r="A118" s="23">
        <f t="shared" si="9"/>
        <v>2035</v>
      </c>
      <c r="B118" s="27">
        <v>49369</v>
      </c>
      <c r="C118" s="35">
        <f>IF(AND(COLUMN()&gt;=11,COLUMN()&lt;=20),(_xlfn.XLOOKUP($A118,'Oferta Producto 3'!$B$10:$B$21,'Oferta Producto 3'!$E$10:$E$21))/SUMIF($A$7:$AC$128,$A118,$AB$6:$AB$127)*C$5,0)</f>
        <v>0</v>
      </c>
      <c r="D118" s="35">
        <f>IF(AND(COLUMN()&gt;=11,COLUMN()&lt;=20),(_xlfn.XLOOKUP($A118,'Oferta Producto 3'!$B$10:$B$21,'Oferta Producto 3'!$E$10:$E$21))/SUMIF($A$7:$AC$128,$A118,$AB$6:$AB$127)*D$5,0)</f>
        <v>0</v>
      </c>
      <c r="E118" s="35">
        <f>IF(AND(COLUMN()&gt;=11,COLUMN()&lt;=20),(_xlfn.XLOOKUP($A118,'Oferta Producto 3'!$B$10:$B$21,'Oferta Producto 3'!$E$10:$E$21))/SUMIF($A$7:$AC$128,$A118,$AB$6:$AB$127)*E$5,0)</f>
        <v>0</v>
      </c>
      <c r="F118" s="35">
        <f>IF(AND(COLUMN()&gt;=11,COLUMN()&lt;=20),(_xlfn.XLOOKUP($A118,'Oferta Producto 3'!$B$10:$B$21,'Oferta Producto 3'!$E$10:$E$21))/SUMIF($A$7:$AC$128,$A118,$AB$6:$AB$127)*F$5,0)</f>
        <v>0</v>
      </c>
      <c r="G118" s="35">
        <f>IF(AND(COLUMN()&gt;=11,COLUMN()&lt;=20),(_xlfn.XLOOKUP($A118,'Oferta Producto 3'!$B$10:$B$21,'Oferta Producto 3'!$E$10:$E$21))/SUMIF($A$7:$AC$128,$A118,$AB$6:$AB$127)*G$5,0)</f>
        <v>0</v>
      </c>
      <c r="H118" s="35">
        <f>IF(AND(COLUMN()&gt;=11,COLUMN()&lt;=20),(_xlfn.XLOOKUP($A118,'Oferta Producto 3'!$B$10:$B$21,'Oferta Producto 3'!$E$10:$E$21))/SUMIF($A$7:$AC$128,$A118,$AB$6:$AB$127)*H$5,0)</f>
        <v>0</v>
      </c>
      <c r="I118" s="35">
        <f>IF(AND(COLUMN()&gt;=11,COLUMN()&lt;=20),(_xlfn.XLOOKUP($A118,'Oferta Producto 3'!$B$10:$B$21,'Oferta Producto 3'!$E$10:$E$21))/SUMIF($A$7:$AC$128,$A118,$AB$6:$AB$127)*I$5,0)</f>
        <v>0</v>
      </c>
      <c r="J118" s="35">
        <f>IF(AND(COLUMN()&gt;=11,COLUMN()&lt;=20),(_xlfn.XLOOKUP($A118,'Oferta Producto 3'!$B$10:$B$21,'Oferta Producto 3'!$E$10:$E$21))/SUMIF($A$7:$AC$128,$A118,$AB$6:$AB$127)*J$5,0)</f>
        <v>0</v>
      </c>
      <c r="K118" s="35">
        <f ca="1">IF(AND(COLUMN()&gt;=11,COLUMN()&lt;=20),(_xlfn.XLOOKUP($A118,'Oferta Producto 3'!$B$10:$B$21,'Oferta Producto 3'!$E$10:$E$21))/SUMIF($A$7:$AC$128,$A118,$AB$6:$AB$127)*K$5,0)</f>
        <v>0</v>
      </c>
      <c r="L118" s="35">
        <f ca="1">IF(AND(COLUMN()&gt;=11,COLUMN()&lt;=20),(_xlfn.XLOOKUP($A118,'Oferta Producto 3'!$B$10:$B$21,'Oferta Producto 3'!$E$10:$E$21))/SUMIF($A$7:$AC$128,$A118,$AB$6:$AB$127)*L$5,0)</f>
        <v>0</v>
      </c>
      <c r="M118" s="35">
        <f ca="1">IF(AND(COLUMN()&gt;=11,COLUMN()&lt;=20),(_xlfn.XLOOKUP($A118,'Oferta Producto 3'!$B$10:$B$21,'Oferta Producto 3'!$E$10:$E$21))/SUMIF($A$7:$AC$128,$A118,$AB$6:$AB$127)*M$5,0)</f>
        <v>0</v>
      </c>
      <c r="N118" s="35">
        <f ca="1">IF(AND(COLUMN()&gt;=11,COLUMN()&lt;=20),(_xlfn.XLOOKUP($A118,'Oferta Producto 3'!$B$10:$B$21,'Oferta Producto 3'!$E$10:$E$21))/SUMIF($A$7:$AC$128,$A118,$AB$6:$AB$127)*N$5,0)</f>
        <v>0</v>
      </c>
      <c r="O118" s="35">
        <f ca="1">IF(AND(COLUMN()&gt;=11,COLUMN()&lt;=20),(_xlfn.XLOOKUP($A118,'Oferta Producto 3'!$B$10:$B$21,'Oferta Producto 3'!$E$10:$E$21))/SUMIF($A$7:$AC$128,$A118,$AB$6:$AB$127)*O$5,0)</f>
        <v>0</v>
      </c>
      <c r="P118" s="35">
        <f ca="1">IF(AND(COLUMN()&gt;=11,COLUMN()&lt;=20),(_xlfn.XLOOKUP($A118,'Oferta Producto 3'!$B$10:$B$21,'Oferta Producto 3'!$E$10:$E$21))/SUMIF($A$7:$AC$128,$A118,$AB$6:$AB$127)*P$5,0)</f>
        <v>0</v>
      </c>
      <c r="Q118" s="35">
        <f ca="1">IF(AND(COLUMN()&gt;=11,COLUMN()&lt;=20),(_xlfn.XLOOKUP($A118,'Oferta Producto 3'!$B$10:$B$21,'Oferta Producto 3'!$E$10:$E$21))/SUMIF($A$7:$AC$128,$A118,$AB$6:$AB$127)*Q$5,0)</f>
        <v>0</v>
      </c>
      <c r="R118" s="35">
        <f ca="1">IF(AND(COLUMN()&gt;=11,COLUMN()&lt;=20),(_xlfn.XLOOKUP($A118,'Oferta Producto 3'!$B$10:$B$21,'Oferta Producto 3'!$E$10:$E$21))/SUMIF($A$7:$AC$128,$A118,$AB$6:$AB$127)*R$5,0)</f>
        <v>0</v>
      </c>
      <c r="S118" s="35">
        <f ca="1">IF(AND(COLUMN()&gt;=11,COLUMN()&lt;=20),(_xlfn.XLOOKUP($A118,'Oferta Producto 3'!$B$10:$B$21,'Oferta Producto 3'!$E$10:$E$21))/SUMIF($A$7:$AC$128,$A118,$AB$6:$AB$127)*S$5,0)</f>
        <v>0</v>
      </c>
      <c r="T118" s="35">
        <f ca="1">IF(AND(COLUMN()&gt;=11,COLUMN()&lt;=20),(_xlfn.XLOOKUP($A118,'Oferta Producto 3'!$B$10:$B$21,'Oferta Producto 3'!$E$10:$E$21))/SUMIF($A$7:$AC$128,$A118,$AB$6:$AB$127)*T$5,0)</f>
        <v>0</v>
      </c>
      <c r="U118" s="35">
        <f>IF(AND(COLUMN()&gt;=11,COLUMN()&lt;=20),(_xlfn.XLOOKUP($A118,'Oferta Producto 3'!$B$10:$B$21,'Oferta Producto 3'!$E$10:$E$21))/SUMIF($A$7:$AC$128,$A118,$AB$6:$AB$127)*U$5,0)</f>
        <v>0</v>
      </c>
      <c r="V118" s="35">
        <f>IF(AND(COLUMN()&gt;=11,COLUMN()&lt;=20),(_xlfn.XLOOKUP($A118,'Oferta Producto 3'!$B$10:$B$21,'Oferta Producto 3'!$E$10:$E$21))/SUMIF($A$7:$AC$128,$A118,$AB$6:$AB$127)*V$5,0)</f>
        <v>0</v>
      </c>
      <c r="W118" s="35">
        <f>IF(AND(COLUMN()&gt;=11,COLUMN()&lt;=20),(_xlfn.XLOOKUP($A118,'Oferta Producto 3'!$B$10:$B$21,'Oferta Producto 3'!$E$10:$E$21))/SUMIF($A$7:$AC$128,$A118,$AB$6:$AB$127)*W$5,0)</f>
        <v>0</v>
      </c>
      <c r="X118" s="35">
        <f>IF(AND(COLUMN()&gt;=11,COLUMN()&lt;=20),(_xlfn.XLOOKUP($A118,'Oferta Producto 3'!$B$10:$B$21,'Oferta Producto 3'!$E$10:$E$21))/SUMIF($A$7:$AC$128,$A118,$AB$6:$AB$127)*X$5,0)</f>
        <v>0</v>
      </c>
      <c r="Y118" s="35">
        <f>IF(AND(COLUMN()&gt;=11,COLUMN()&lt;=20),(_xlfn.XLOOKUP($A118,'Oferta Producto 3'!$B$10:$B$21,'Oferta Producto 3'!$E$10:$E$21))/SUMIF($A$7:$AC$128,$A118,$AB$6:$AB$127)*Y$5,0)</f>
        <v>0</v>
      </c>
      <c r="Z118" s="35">
        <f>IF(AND(COLUMN()&gt;=11,COLUMN()&lt;=20),(_xlfn.XLOOKUP($A118,'Oferta Producto 3'!$B$10:$B$21,'Oferta Producto 3'!$E$10:$E$21))/SUMIF($A$7:$AC$128,$A118,$AB$6:$AB$127)*Z$5,0)</f>
        <v>0</v>
      </c>
      <c r="AA118" s="35">
        <f t="shared" ca="1" si="16"/>
        <v>0</v>
      </c>
      <c r="AB118" s="28">
        <f t="shared" si="10"/>
        <v>31</v>
      </c>
      <c r="AC118" s="29">
        <f t="shared" ca="1" si="11"/>
        <v>0</v>
      </c>
      <c r="AD118" s="48">
        <f ca="1">'Curvas Prod 3'!AC118/SUMIF('Curvas Prod 3'!A116:AC261,'Curva de la oferta Prod 3'!$A118,'Curvas Prod 3'!AC116:AC261)</f>
        <v>8.4931506849315067E-2</v>
      </c>
      <c r="AE118" s="45"/>
      <c r="AF118" s="49"/>
      <c r="AG118" s="49"/>
      <c r="AH118" s="49"/>
      <c r="AI118" s="49"/>
      <c r="AJ118" s="49"/>
      <c r="AK118" s="49"/>
    </row>
    <row r="119" spans="1:37" ht="15">
      <c r="A119" s="23">
        <f t="shared" si="9"/>
        <v>2035</v>
      </c>
      <c r="B119" s="27">
        <v>49400</v>
      </c>
      <c r="C119" s="35">
        <f>IF(AND(COLUMN()&gt;=11,COLUMN()&lt;=20),(_xlfn.XLOOKUP($A119,'Oferta Producto 3'!$B$10:$B$21,'Oferta Producto 3'!$E$10:$E$21))/SUMIF($A$7:$AC$128,$A119,$AB$6:$AB$127)*C$5,0)</f>
        <v>0</v>
      </c>
      <c r="D119" s="35">
        <f>IF(AND(COLUMN()&gt;=11,COLUMN()&lt;=20),(_xlfn.XLOOKUP($A119,'Oferta Producto 3'!$B$10:$B$21,'Oferta Producto 3'!$E$10:$E$21))/SUMIF($A$7:$AC$128,$A119,$AB$6:$AB$127)*D$5,0)</f>
        <v>0</v>
      </c>
      <c r="E119" s="35">
        <f>IF(AND(COLUMN()&gt;=11,COLUMN()&lt;=20),(_xlfn.XLOOKUP($A119,'Oferta Producto 3'!$B$10:$B$21,'Oferta Producto 3'!$E$10:$E$21))/SUMIF($A$7:$AC$128,$A119,$AB$6:$AB$127)*E$5,0)</f>
        <v>0</v>
      </c>
      <c r="F119" s="35">
        <f>IF(AND(COLUMN()&gt;=11,COLUMN()&lt;=20),(_xlfn.XLOOKUP($A119,'Oferta Producto 3'!$B$10:$B$21,'Oferta Producto 3'!$E$10:$E$21))/SUMIF($A$7:$AC$128,$A119,$AB$6:$AB$127)*F$5,0)</f>
        <v>0</v>
      </c>
      <c r="G119" s="35">
        <f>IF(AND(COLUMN()&gt;=11,COLUMN()&lt;=20),(_xlfn.XLOOKUP($A119,'Oferta Producto 3'!$B$10:$B$21,'Oferta Producto 3'!$E$10:$E$21))/SUMIF($A$7:$AC$128,$A119,$AB$6:$AB$127)*G$5,0)</f>
        <v>0</v>
      </c>
      <c r="H119" s="35">
        <f>IF(AND(COLUMN()&gt;=11,COLUMN()&lt;=20),(_xlfn.XLOOKUP($A119,'Oferta Producto 3'!$B$10:$B$21,'Oferta Producto 3'!$E$10:$E$21))/SUMIF($A$7:$AC$128,$A119,$AB$6:$AB$127)*H$5,0)</f>
        <v>0</v>
      </c>
      <c r="I119" s="35">
        <f>IF(AND(COLUMN()&gt;=11,COLUMN()&lt;=20),(_xlfn.XLOOKUP($A119,'Oferta Producto 3'!$B$10:$B$21,'Oferta Producto 3'!$E$10:$E$21))/SUMIF($A$7:$AC$128,$A119,$AB$6:$AB$127)*I$5,0)</f>
        <v>0</v>
      </c>
      <c r="J119" s="35">
        <f>IF(AND(COLUMN()&gt;=11,COLUMN()&lt;=20),(_xlfn.XLOOKUP($A119,'Oferta Producto 3'!$B$10:$B$21,'Oferta Producto 3'!$E$10:$E$21))/SUMIF($A$7:$AC$128,$A119,$AB$6:$AB$127)*J$5,0)</f>
        <v>0</v>
      </c>
      <c r="K119" s="35">
        <f ca="1">IF(AND(COLUMN()&gt;=11,COLUMN()&lt;=20),(_xlfn.XLOOKUP($A119,'Oferta Producto 3'!$B$10:$B$21,'Oferta Producto 3'!$E$10:$E$21))/SUMIF($A$7:$AC$128,$A119,$AB$6:$AB$127)*K$5,0)</f>
        <v>0</v>
      </c>
      <c r="L119" s="35">
        <f ca="1">IF(AND(COLUMN()&gt;=11,COLUMN()&lt;=20),(_xlfn.XLOOKUP($A119,'Oferta Producto 3'!$B$10:$B$21,'Oferta Producto 3'!$E$10:$E$21))/SUMIF($A$7:$AC$128,$A119,$AB$6:$AB$127)*L$5,0)</f>
        <v>0</v>
      </c>
      <c r="M119" s="35">
        <f ca="1">IF(AND(COLUMN()&gt;=11,COLUMN()&lt;=20),(_xlfn.XLOOKUP($A119,'Oferta Producto 3'!$B$10:$B$21,'Oferta Producto 3'!$E$10:$E$21))/SUMIF($A$7:$AC$128,$A119,$AB$6:$AB$127)*M$5,0)</f>
        <v>0</v>
      </c>
      <c r="N119" s="35">
        <f ca="1">IF(AND(COLUMN()&gt;=11,COLUMN()&lt;=20),(_xlfn.XLOOKUP($A119,'Oferta Producto 3'!$B$10:$B$21,'Oferta Producto 3'!$E$10:$E$21))/SUMIF($A$7:$AC$128,$A119,$AB$6:$AB$127)*N$5,0)</f>
        <v>0</v>
      </c>
      <c r="O119" s="35">
        <f ca="1">IF(AND(COLUMN()&gt;=11,COLUMN()&lt;=20),(_xlfn.XLOOKUP($A119,'Oferta Producto 3'!$B$10:$B$21,'Oferta Producto 3'!$E$10:$E$21))/SUMIF($A$7:$AC$128,$A119,$AB$6:$AB$127)*O$5,0)</f>
        <v>0</v>
      </c>
      <c r="P119" s="35">
        <f ca="1">IF(AND(COLUMN()&gt;=11,COLUMN()&lt;=20),(_xlfn.XLOOKUP($A119,'Oferta Producto 3'!$B$10:$B$21,'Oferta Producto 3'!$E$10:$E$21))/SUMIF($A$7:$AC$128,$A119,$AB$6:$AB$127)*P$5,0)</f>
        <v>0</v>
      </c>
      <c r="Q119" s="35">
        <f ca="1">IF(AND(COLUMN()&gt;=11,COLUMN()&lt;=20),(_xlfn.XLOOKUP($A119,'Oferta Producto 3'!$B$10:$B$21,'Oferta Producto 3'!$E$10:$E$21))/SUMIF($A$7:$AC$128,$A119,$AB$6:$AB$127)*Q$5,0)</f>
        <v>0</v>
      </c>
      <c r="R119" s="35">
        <f ca="1">IF(AND(COLUMN()&gt;=11,COLUMN()&lt;=20),(_xlfn.XLOOKUP($A119,'Oferta Producto 3'!$B$10:$B$21,'Oferta Producto 3'!$E$10:$E$21))/SUMIF($A$7:$AC$128,$A119,$AB$6:$AB$127)*R$5,0)</f>
        <v>0</v>
      </c>
      <c r="S119" s="35">
        <f ca="1">IF(AND(COLUMN()&gt;=11,COLUMN()&lt;=20),(_xlfn.XLOOKUP($A119,'Oferta Producto 3'!$B$10:$B$21,'Oferta Producto 3'!$E$10:$E$21))/SUMIF($A$7:$AC$128,$A119,$AB$6:$AB$127)*S$5,0)</f>
        <v>0</v>
      </c>
      <c r="T119" s="35">
        <f ca="1">IF(AND(COLUMN()&gt;=11,COLUMN()&lt;=20),(_xlfn.XLOOKUP($A119,'Oferta Producto 3'!$B$10:$B$21,'Oferta Producto 3'!$E$10:$E$21))/SUMIF($A$7:$AC$128,$A119,$AB$6:$AB$127)*T$5,0)</f>
        <v>0</v>
      </c>
      <c r="U119" s="35">
        <f>IF(AND(COLUMN()&gt;=11,COLUMN()&lt;=20),(_xlfn.XLOOKUP($A119,'Oferta Producto 3'!$B$10:$B$21,'Oferta Producto 3'!$E$10:$E$21))/SUMIF($A$7:$AC$128,$A119,$AB$6:$AB$127)*U$5,0)</f>
        <v>0</v>
      </c>
      <c r="V119" s="35">
        <f>IF(AND(COLUMN()&gt;=11,COLUMN()&lt;=20),(_xlfn.XLOOKUP($A119,'Oferta Producto 3'!$B$10:$B$21,'Oferta Producto 3'!$E$10:$E$21))/SUMIF($A$7:$AC$128,$A119,$AB$6:$AB$127)*V$5,0)</f>
        <v>0</v>
      </c>
      <c r="W119" s="35">
        <f>IF(AND(COLUMN()&gt;=11,COLUMN()&lt;=20),(_xlfn.XLOOKUP($A119,'Oferta Producto 3'!$B$10:$B$21,'Oferta Producto 3'!$E$10:$E$21))/SUMIF($A$7:$AC$128,$A119,$AB$6:$AB$127)*W$5,0)</f>
        <v>0</v>
      </c>
      <c r="X119" s="35">
        <f>IF(AND(COLUMN()&gt;=11,COLUMN()&lt;=20),(_xlfn.XLOOKUP($A119,'Oferta Producto 3'!$B$10:$B$21,'Oferta Producto 3'!$E$10:$E$21))/SUMIF($A$7:$AC$128,$A119,$AB$6:$AB$127)*X$5,0)</f>
        <v>0</v>
      </c>
      <c r="Y119" s="35">
        <f>IF(AND(COLUMN()&gt;=11,COLUMN()&lt;=20),(_xlfn.XLOOKUP($A119,'Oferta Producto 3'!$B$10:$B$21,'Oferta Producto 3'!$E$10:$E$21))/SUMIF($A$7:$AC$128,$A119,$AB$6:$AB$127)*Y$5,0)</f>
        <v>0</v>
      </c>
      <c r="Z119" s="35">
        <f>IF(AND(COLUMN()&gt;=11,COLUMN()&lt;=20),(_xlfn.XLOOKUP($A119,'Oferta Producto 3'!$B$10:$B$21,'Oferta Producto 3'!$E$10:$E$21))/SUMIF($A$7:$AC$128,$A119,$AB$6:$AB$127)*Z$5,0)</f>
        <v>0</v>
      </c>
      <c r="AA119" s="35">
        <f t="shared" ca="1" si="16"/>
        <v>0</v>
      </c>
      <c r="AB119" s="28">
        <f t="shared" si="10"/>
        <v>30</v>
      </c>
      <c r="AC119" s="29">
        <f t="shared" ca="1" si="11"/>
        <v>0</v>
      </c>
      <c r="AD119" s="48">
        <f ca="1">'Curvas Prod 3'!AC119/SUMIF('Curvas Prod 3'!A117:AC262,'Curva de la oferta Prod 3'!$A119,'Curvas Prod 3'!AC117:AC262)</f>
        <v>8.9820359281437126E-2</v>
      </c>
      <c r="AE119" s="45"/>
      <c r="AF119" s="49"/>
      <c r="AG119" s="49"/>
      <c r="AH119" s="49"/>
      <c r="AI119" s="49"/>
      <c r="AJ119" s="49"/>
      <c r="AK119" s="49"/>
    </row>
    <row r="120" spans="1:37" ht="15">
      <c r="A120" s="23">
        <f t="shared" si="9"/>
        <v>2035</v>
      </c>
      <c r="B120" s="27">
        <v>49430</v>
      </c>
      <c r="C120" s="35">
        <f>IF(AND(COLUMN()&gt;=11,COLUMN()&lt;=20),(_xlfn.XLOOKUP($A120,'Oferta Producto 3'!$B$10:$B$21,'Oferta Producto 3'!$E$10:$E$21))/SUMIF($A$7:$AC$128,$A120,$AB$6:$AB$127)*C$5,0)</f>
        <v>0</v>
      </c>
      <c r="D120" s="35">
        <f>IF(AND(COLUMN()&gt;=11,COLUMN()&lt;=20),(_xlfn.XLOOKUP($A120,'Oferta Producto 3'!$B$10:$B$21,'Oferta Producto 3'!$E$10:$E$21))/SUMIF($A$7:$AC$128,$A120,$AB$6:$AB$127)*D$5,0)</f>
        <v>0</v>
      </c>
      <c r="E120" s="35">
        <f>IF(AND(COLUMN()&gt;=11,COLUMN()&lt;=20),(_xlfn.XLOOKUP($A120,'Oferta Producto 3'!$B$10:$B$21,'Oferta Producto 3'!$E$10:$E$21))/SUMIF($A$7:$AC$128,$A120,$AB$6:$AB$127)*E$5,0)</f>
        <v>0</v>
      </c>
      <c r="F120" s="35">
        <f>IF(AND(COLUMN()&gt;=11,COLUMN()&lt;=20),(_xlfn.XLOOKUP($A120,'Oferta Producto 3'!$B$10:$B$21,'Oferta Producto 3'!$E$10:$E$21))/SUMIF($A$7:$AC$128,$A120,$AB$6:$AB$127)*F$5,0)</f>
        <v>0</v>
      </c>
      <c r="G120" s="35">
        <f>IF(AND(COLUMN()&gt;=11,COLUMN()&lt;=20),(_xlfn.XLOOKUP($A120,'Oferta Producto 3'!$B$10:$B$21,'Oferta Producto 3'!$E$10:$E$21))/SUMIF($A$7:$AC$128,$A120,$AB$6:$AB$127)*G$5,0)</f>
        <v>0</v>
      </c>
      <c r="H120" s="35">
        <f>IF(AND(COLUMN()&gt;=11,COLUMN()&lt;=20),(_xlfn.XLOOKUP($A120,'Oferta Producto 3'!$B$10:$B$21,'Oferta Producto 3'!$E$10:$E$21))/SUMIF($A$7:$AC$128,$A120,$AB$6:$AB$127)*H$5,0)</f>
        <v>0</v>
      </c>
      <c r="I120" s="35">
        <f>IF(AND(COLUMN()&gt;=11,COLUMN()&lt;=20),(_xlfn.XLOOKUP($A120,'Oferta Producto 3'!$B$10:$B$21,'Oferta Producto 3'!$E$10:$E$21))/SUMIF($A$7:$AC$128,$A120,$AB$6:$AB$127)*I$5,0)</f>
        <v>0</v>
      </c>
      <c r="J120" s="35">
        <f>IF(AND(COLUMN()&gt;=11,COLUMN()&lt;=20),(_xlfn.XLOOKUP($A120,'Oferta Producto 3'!$B$10:$B$21,'Oferta Producto 3'!$E$10:$E$21))/SUMIF($A$7:$AC$128,$A120,$AB$6:$AB$127)*J$5,0)</f>
        <v>0</v>
      </c>
      <c r="K120" s="35">
        <f ca="1">IF(AND(COLUMN()&gt;=11,COLUMN()&lt;=20),(_xlfn.XLOOKUP($A120,'Oferta Producto 3'!$B$10:$B$21,'Oferta Producto 3'!$E$10:$E$21))/SUMIF($A$7:$AC$128,$A120,$AB$6:$AB$127)*K$5,0)</f>
        <v>0</v>
      </c>
      <c r="L120" s="35">
        <f ca="1">IF(AND(COLUMN()&gt;=11,COLUMN()&lt;=20),(_xlfn.XLOOKUP($A120,'Oferta Producto 3'!$B$10:$B$21,'Oferta Producto 3'!$E$10:$E$21))/SUMIF($A$7:$AC$128,$A120,$AB$6:$AB$127)*L$5,0)</f>
        <v>0</v>
      </c>
      <c r="M120" s="35">
        <f ca="1">IF(AND(COLUMN()&gt;=11,COLUMN()&lt;=20),(_xlfn.XLOOKUP($A120,'Oferta Producto 3'!$B$10:$B$21,'Oferta Producto 3'!$E$10:$E$21))/SUMIF($A$7:$AC$128,$A120,$AB$6:$AB$127)*M$5,0)</f>
        <v>0</v>
      </c>
      <c r="N120" s="35">
        <f ca="1">IF(AND(COLUMN()&gt;=11,COLUMN()&lt;=20),(_xlfn.XLOOKUP($A120,'Oferta Producto 3'!$B$10:$B$21,'Oferta Producto 3'!$E$10:$E$21))/SUMIF($A$7:$AC$128,$A120,$AB$6:$AB$127)*N$5,0)</f>
        <v>0</v>
      </c>
      <c r="O120" s="35">
        <f ca="1">IF(AND(COLUMN()&gt;=11,COLUMN()&lt;=20),(_xlfn.XLOOKUP($A120,'Oferta Producto 3'!$B$10:$B$21,'Oferta Producto 3'!$E$10:$E$21))/SUMIF($A$7:$AC$128,$A120,$AB$6:$AB$127)*O$5,0)</f>
        <v>0</v>
      </c>
      <c r="P120" s="35">
        <f ca="1">IF(AND(COLUMN()&gt;=11,COLUMN()&lt;=20),(_xlfn.XLOOKUP($A120,'Oferta Producto 3'!$B$10:$B$21,'Oferta Producto 3'!$E$10:$E$21))/SUMIF($A$7:$AC$128,$A120,$AB$6:$AB$127)*P$5,0)</f>
        <v>0</v>
      </c>
      <c r="Q120" s="35">
        <f ca="1">IF(AND(COLUMN()&gt;=11,COLUMN()&lt;=20),(_xlfn.XLOOKUP($A120,'Oferta Producto 3'!$B$10:$B$21,'Oferta Producto 3'!$E$10:$E$21))/SUMIF($A$7:$AC$128,$A120,$AB$6:$AB$127)*Q$5,0)</f>
        <v>0</v>
      </c>
      <c r="R120" s="35">
        <f ca="1">IF(AND(COLUMN()&gt;=11,COLUMN()&lt;=20),(_xlfn.XLOOKUP($A120,'Oferta Producto 3'!$B$10:$B$21,'Oferta Producto 3'!$E$10:$E$21))/SUMIF($A$7:$AC$128,$A120,$AB$6:$AB$127)*R$5,0)</f>
        <v>0</v>
      </c>
      <c r="S120" s="35">
        <f ca="1">IF(AND(COLUMN()&gt;=11,COLUMN()&lt;=20),(_xlfn.XLOOKUP($A120,'Oferta Producto 3'!$B$10:$B$21,'Oferta Producto 3'!$E$10:$E$21))/SUMIF($A$7:$AC$128,$A120,$AB$6:$AB$127)*S$5,0)</f>
        <v>0</v>
      </c>
      <c r="T120" s="35">
        <f ca="1">IF(AND(COLUMN()&gt;=11,COLUMN()&lt;=20),(_xlfn.XLOOKUP($A120,'Oferta Producto 3'!$B$10:$B$21,'Oferta Producto 3'!$E$10:$E$21))/SUMIF($A$7:$AC$128,$A120,$AB$6:$AB$127)*T$5,0)</f>
        <v>0</v>
      </c>
      <c r="U120" s="35">
        <f>IF(AND(COLUMN()&gt;=11,COLUMN()&lt;=20),(_xlfn.XLOOKUP($A120,'Oferta Producto 3'!$B$10:$B$21,'Oferta Producto 3'!$E$10:$E$21))/SUMIF($A$7:$AC$128,$A120,$AB$6:$AB$127)*U$5,0)</f>
        <v>0</v>
      </c>
      <c r="V120" s="35">
        <f>IF(AND(COLUMN()&gt;=11,COLUMN()&lt;=20),(_xlfn.XLOOKUP($A120,'Oferta Producto 3'!$B$10:$B$21,'Oferta Producto 3'!$E$10:$E$21))/SUMIF($A$7:$AC$128,$A120,$AB$6:$AB$127)*V$5,0)</f>
        <v>0</v>
      </c>
      <c r="W120" s="35">
        <f>IF(AND(COLUMN()&gt;=11,COLUMN()&lt;=20),(_xlfn.XLOOKUP($A120,'Oferta Producto 3'!$B$10:$B$21,'Oferta Producto 3'!$E$10:$E$21))/SUMIF($A$7:$AC$128,$A120,$AB$6:$AB$127)*W$5,0)</f>
        <v>0</v>
      </c>
      <c r="X120" s="35">
        <f>IF(AND(COLUMN()&gt;=11,COLUMN()&lt;=20),(_xlfn.XLOOKUP($A120,'Oferta Producto 3'!$B$10:$B$21,'Oferta Producto 3'!$E$10:$E$21))/SUMIF($A$7:$AC$128,$A120,$AB$6:$AB$127)*X$5,0)</f>
        <v>0</v>
      </c>
      <c r="Y120" s="35">
        <f>IF(AND(COLUMN()&gt;=11,COLUMN()&lt;=20),(_xlfn.XLOOKUP($A120,'Oferta Producto 3'!$B$10:$B$21,'Oferta Producto 3'!$E$10:$E$21))/SUMIF($A$7:$AC$128,$A120,$AB$6:$AB$127)*Y$5,0)</f>
        <v>0</v>
      </c>
      <c r="Z120" s="35">
        <f>IF(AND(COLUMN()&gt;=11,COLUMN()&lt;=20),(_xlfn.XLOOKUP($A120,'Oferta Producto 3'!$B$10:$B$21,'Oferta Producto 3'!$E$10:$E$21))/SUMIF($A$7:$AC$128,$A120,$AB$6:$AB$127)*Z$5,0)</f>
        <v>0</v>
      </c>
      <c r="AA120" s="35">
        <f t="shared" ca="1" si="16"/>
        <v>0</v>
      </c>
      <c r="AB120" s="28">
        <f t="shared" si="10"/>
        <v>31</v>
      </c>
      <c r="AC120" s="29">
        <f t="shared" ca="1" si="11"/>
        <v>0</v>
      </c>
      <c r="AD120" s="48">
        <f ca="1">'Curvas Prod 3'!AC120/SUMIF('Curvas Prod 3'!A118:AC263,'Curva de la oferta Prod 3'!$A120,'Curvas Prod 3'!AC118:AC263)</f>
        <v>0.10130718954248366</v>
      </c>
      <c r="AE120" s="45"/>
      <c r="AF120" s="49"/>
      <c r="AG120" s="49"/>
      <c r="AH120" s="49"/>
      <c r="AI120" s="49"/>
      <c r="AJ120" s="49"/>
      <c r="AK120" s="49"/>
    </row>
    <row r="121" spans="1:37" ht="15">
      <c r="A121" s="23">
        <f t="shared" si="9"/>
        <v>2035</v>
      </c>
      <c r="B121" s="27">
        <v>49461</v>
      </c>
      <c r="C121" s="35">
        <f>IF(AND(COLUMN()&gt;=11,COLUMN()&lt;=20),(_xlfn.XLOOKUP($A121,'Oferta Producto 3'!$B$10:$B$21,'Oferta Producto 3'!$E$10:$E$21))/SUMIF($A$7:$AC$128,$A121,$AB$6:$AB$127)*C$5,0)</f>
        <v>0</v>
      </c>
      <c r="D121" s="35">
        <f>IF(AND(COLUMN()&gt;=11,COLUMN()&lt;=20),(_xlfn.XLOOKUP($A121,'Oferta Producto 3'!$B$10:$B$21,'Oferta Producto 3'!$E$10:$E$21))/SUMIF($A$7:$AC$128,$A121,$AB$6:$AB$127)*D$5,0)</f>
        <v>0</v>
      </c>
      <c r="E121" s="35">
        <f>IF(AND(COLUMN()&gt;=11,COLUMN()&lt;=20),(_xlfn.XLOOKUP($A121,'Oferta Producto 3'!$B$10:$B$21,'Oferta Producto 3'!$E$10:$E$21))/SUMIF($A$7:$AC$128,$A121,$AB$6:$AB$127)*E$5,0)</f>
        <v>0</v>
      </c>
      <c r="F121" s="35">
        <f>IF(AND(COLUMN()&gt;=11,COLUMN()&lt;=20),(_xlfn.XLOOKUP($A121,'Oferta Producto 3'!$B$10:$B$21,'Oferta Producto 3'!$E$10:$E$21))/SUMIF($A$7:$AC$128,$A121,$AB$6:$AB$127)*F$5,0)</f>
        <v>0</v>
      </c>
      <c r="G121" s="35">
        <f>IF(AND(COLUMN()&gt;=11,COLUMN()&lt;=20),(_xlfn.XLOOKUP($A121,'Oferta Producto 3'!$B$10:$B$21,'Oferta Producto 3'!$E$10:$E$21))/SUMIF($A$7:$AC$128,$A121,$AB$6:$AB$127)*G$5,0)</f>
        <v>0</v>
      </c>
      <c r="H121" s="35">
        <f>IF(AND(COLUMN()&gt;=11,COLUMN()&lt;=20),(_xlfn.XLOOKUP($A121,'Oferta Producto 3'!$B$10:$B$21,'Oferta Producto 3'!$E$10:$E$21))/SUMIF($A$7:$AC$128,$A121,$AB$6:$AB$127)*H$5,0)</f>
        <v>0</v>
      </c>
      <c r="I121" s="35">
        <f>IF(AND(COLUMN()&gt;=11,COLUMN()&lt;=20),(_xlfn.XLOOKUP($A121,'Oferta Producto 3'!$B$10:$B$21,'Oferta Producto 3'!$E$10:$E$21))/SUMIF($A$7:$AC$128,$A121,$AB$6:$AB$127)*I$5,0)</f>
        <v>0</v>
      </c>
      <c r="J121" s="35">
        <f>IF(AND(COLUMN()&gt;=11,COLUMN()&lt;=20),(_xlfn.XLOOKUP($A121,'Oferta Producto 3'!$B$10:$B$21,'Oferta Producto 3'!$E$10:$E$21))/SUMIF($A$7:$AC$128,$A121,$AB$6:$AB$127)*J$5,0)</f>
        <v>0</v>
      </c>
      <c r="K121" s="35">
        <f ca="1">IF(AND(COLUMN()&gt;=11,COLUMN()&lt;=20),(_xlfn.XLOOKUP($A121,'Oferta Producto 3'!$B$10:$B$21,'Oferta Producto 3'!$E$10:$E$21))/SUMIF($A$7:$AC$128,$A121,$AB$6:$AB$127)*K$5,0)</f>
        <v>0</v>
      </c>
      <c r="L121" s="35">
        <f ca="1">IF(AND(COLUMN()&gt;=11,COLUMN()&lt;=20),(_xlfn.XLOOKUP($A121,'Oferta Producto 3'!$B$10:$B$21,'Oferta Producto 3'!$E$10:$E$21))/SUMIF($A$7:$AC$128,$A121,$AB$6:$AB$127)*L$5,0)</f>
        <v>0</v>
      </c>
      <c r="M121" s="35">
        <f ca="1">IF(AND(COLUMN()&gt;=11,COLUMN()&lt;=20),(_xlfn.XLOOKUP($A121,'Oferta Producto 3'!$B$10:$B$21,'Oferta Producto 3'!$E$10:$E$21))/SUMIF($A$7:$AC$128,$A121,$AB$6:$AB$127)*M$5,0)</f>
        <v>0</v>
      </c>
      <c r="N121" s="35">
        <f ca="1">IF(AND(COLUMN()&gt;=11,COLUMN()&lt;=20),(_xlfn.XLOOKUP($A121,'Oferta Producto 3'!$B$10:$B$21,'Oferta Producto 3'!$E$10:$E$21))/SUMIF($A$7:$AC$128,$A121,$AB$6:$AB$127)*N$5,0)</f>
        <v>0</v>
      </c>
      <c r="O121" s="35">
        <f ca="1">IF(AND(COLUMN()&gt;=11,COLUMN()&lt;=20),(_xlfn.XLOOKUP($A121,'Oferta Producto 3'!$B$10:$B$21,'Oferta Producto 3'!$E$10:$E$21))/SUMIF($A$7:$AC$128,$A121,$AB$6:$AB$127)*O$5,0)</f>
        <v>0</v>
      </c>
      <c r="P121" s="35">
        <f ca="1">IF(AND(COLUMN()&gt;=11,COLUMN()&lt;=20),(_xlfn.XLOOKUP($A121,'Oferta Producto 3'!$B$10:$B$21,'Oferta Producto 3'!$E$10:$E$21))/SUMIF($A$7:$AC$128,$A121,$AB$6:$AB$127)*P$5,0)</f>
        <v>0</v>
      </c>
      <c r="Q121" s="35">
        <f ca="1">IF(AND(COLUMN()&gt;=11,COLUMN()&lt;=20),(_xlfn.XLOOKUP($A121,'Oferta Producto 3'!$B$10:$B$21,'Oferta Producto 3'!$E$10:$E$21))/SUMIF($A$7:$AC$128,$A121,$AB$6:$AB$127)*Q$5,0)</f>
        <v>0</v>
      </c>
      <c r="R121" s="35">
        <f ca="1">IF(AND(COLUMN()&gt;=11,COLUMN()&lt;=20),(_xlfn.XLOOKUP($A121,'Oferta Producto 3'!$B$10:$B$21,'Oferta Producto 3'!$E$10:$E$21))/SUMIF($A$7:$AC$128,$A121,$AB$6:$AB$127)*R$5,0)</f>
        <v>0</v>
      </c>
      <c r="S121" s="35">
        <f ca="1">IF(AND(COLUMN()&gt;=11,COLUMN()&lt;=20),(_xlfn.XLOOKUP($A121,'Oferta Producto 3'!$B$10:$B$21,'Oferta Producto 3'!$E$10:$E$21))/SUMIF($A$7:$AC$128,$A121,$AB$6:$AB$127)*S$5,0)</f>
        <v>0</v>
      </c>
      <c r="T121" s="35">
        <f ca="1">IF(AND(COLUMN()&gt;=11,COLUMN()&lt;=20),(_xlfn.XLOOKUP($A121,'Oferta Producto 3'!$B$10:$B$21,'Oferta Producto 3'!$E$10:$E$21))/SUMIF($A$7:$AC$128,$A121,$AB$6:$AB$127)*T$5,0)</f>
        <v>0</v>
      </c>
      <c r="U121" s="35">
        <f>IF(AND(COLUMN()&gt;=11,COLUMN()&lt;=20),(_xlfn.XLOOKUP($A121,'Oferta Producto 3'!$B$10:$B$21,'Oferta Producto 3'!$E$10:$E$21))/SUMIF($A$7:$AC$128,$A121,$AB$6:$AB$127)*U$5,0)</f>
        <v>0</v>
      </c>
      <c r="V121" s="35">
        <f>IF(AND(COLUMN()&gt;=11,COLUMN()&lt;=20),(_xlfn.XLOOKUP($A121,'Oferta Producto 3'!$B$10:$B$21,'Oferta Producto 3'!$E$10:$E$21))/SUMIF($A$7:$AC$128,$A121,$AB$6:$AB$127)*V$5,0)</f>
        <v>0</v>
      </c>
      <c r="W121" s="35">
        <f>IF(AND(COLUMN()&gt;=11,COLUMN()&lt;=20),(_xlfn.XLOOKUP($A121,'Oferta Producto 3'!$B$10:$B$21,'Oferta Producto 3'!$E$10:$E$21))/SUMIF($A$7:$AC$128,$A121,$AB$6:$AB$127)*W$5,0)</f>
        <v>0</v>
      </c>
      <c r="X121" s="35">
        <f>IF(AND(COLUMN()&gt;=11,COLUMN()&lt;=20),(_xlfn.XLOOKUP($A121,'Oferta Producto 3'!$B$10:$B$21,'Oferta Producto 3'!$E$10:$E$21))/SUMIF($A$7:$AC$128,$A121,$AB$6:$AB$127)*X$5,0)</f>
        <v>0</v>
      </c>
      <c r="Y121" s="35">
        <f>IF(AND(COLUMN()&gt;=11,COLUMN()&lt;=20),(_xlfn.XLOOKUP($A121,'Oferta Producto 3'!$B$10:$B$21,'Oferta Producto 3'!$E$10:$E$21))/SUMIF($A$7:$AC$128,$A121,$AB$6:$AB$127)*Y$5,0)</f>
        <v>0</v>
      </c>
      <c r="Z121" s="35">
        <f>IF(AND(COLUMN()&gt;=11,COLUMN()&lt;=20),(_xlfn.XLOOKUP($A121,'Oferta Producto 3'!$B$10:$B$21,'Oferta Producto 3'!$E$10:$E$21))/SUMIF($A$7:$AC$128,$A121,$AB$6:$AB$127)*Z$5,0)</f>
        <v>0</v>
      </c>
      <c r="AA121" s="35">
        <f t="shared" ca="1" si="16"/>
        <v>0</v>
      </c>
      <c r="AB121" s="28">
        <f t="shared" si="10"/>
        <v>30</v>
      </c>
      <c r="AC121" s="29">
        <f t="shared" ca="1" si="11"/>
        <v>0</v>
      </c>
      <c r="AD121" s="48">
        <f ca="1">'Curvas Prod 3'!AC121/SUMIF('Curvas Prod 3'!A119:AC264,'Curva de la oferta Prod 3'!$A121,'Curvas Prod 3'!AC119:AC264)</f>
        <v>0.10909090909090909</v>
      </c>
      <c r="AE121" s="45"/>
      <c r="AF121" s="49"/>
      <c r="AG121" s="49"/>
      <c r="AH121" s="49"/>
      <c r="AI121" s="49"/>
      <c r="AJ121" s="49"/>
      <c r="AK121" s="49"/>
    </row>
    <row r="122" spans="1:37" ht="15">
      <c r="A122" s="23">
        <f t="shared" si="9"/>
        <v>2035</v>
      </c>
      <c r="B122" s="27">
        <v>49491</v>
      </c>
      <c r="C122" s="35">
        <f>IF(AND(COLUMN()&gt;=11,COLUMN()&lt;=20),(_xlfn.XLOOKUP($A122,'Oferta Producto 3'!$B$10:$B$21,'Oferta Producto 3'!$E$10:$E$21))/SUMIF($A$7:$AC$128,$A122,$AB$6:$AB$127)*C$5,0)</f>
        <v>0</v>
      </c>
      <c r="D122" s="35">
        <f>IF(AND(COLUMN()&gt;=11,COLUMN()&lt;=20),(_xlfn.XLOOKUP($A122,'Oferta Producto 3'!$B$10:$B$21,'Oferta Producto 3'!$E$10:$E$21))/SUMIF($A$7:$AC$128,$A122,$AB$6:$AB$127)*D$5,0)</f>
        <v>0</v>
      </c>
      <c r="E122" s="35">
        <f>IF(AND(COLUMN()&gt;=11,COLUMN()&lt;=20),(_xlfn.XLOOKUP($A122,'Oferta Producto 3'!$B$10:$B$21,'Oferta Producto 3'!$E$10:$E$21))/SUMIF($A$7:$AC$128,$A122,$AB$6:$AB$127)*E$5,0)</f>
        <v>0</v>
      </c>
      <c r="F122" s="35">
        <f>IF(AND(COLUMN()&gt;=11,COLUMN()&lt;=20),(_xlfn.XLOOKUP($A122,'Oferta Producto 3'!$B$10:$B$21,'Oferta Producto 3'!$E$10:$E$21))/SUMIF($A$7:$AC$128,$A122,$AB$6:$AB$127)*F$5,0)</f>
        <v>0</v>
      </c>
      <c r="G122" s="35">
        <f>IF(AND(COLUMN()&gt;=11,COLUMN()&lt;=20),(_xlfn.XLOOKUP($A122,'Oferta Producto 3'!$B$10:$B$21,'Oferta Producto 3'!$E$10:$E$21))/SUMIF($A$7:$AC$128,$A122,$AB$6:$AB$127)*G$5,0)</f>
        <v>0</v>
      </c>
      <c r="H122" s="35">
        <f>IF(AND(COLUMN()&gt;=11,COLUMN()&lt;=20),(_xlfn.XLOOKUP($A122,'Oferta Producto 3'!$B$10:$B$21,'Oferta Producto 3'!$E$10:$E$21))/SUMIF($A$7:$AC$128,$A122,$AB$6:$AB$127)*H$5,0)</f>
        <v>0</v>
      </c>
      <c r="I122" s="35">
        <f>IF(AND(COLUMN()&gt;=11,COLUMN()&lt;=20),(_xlfn.XLOOKUP($A122,'Oferta Producto 3'!$B$10:$B$21,'Oferta Producto 3'!$E$10:$E$21))/SUMIF($A$7:$AC$128,$A122,$AB$6:$AB$127)*I$5,0)</f>
        <v>0</v>
      </c>
      <c r="J122" s="35">
        <f>IF(AND(COLUMN()&gt;=11,COLUMN()&lt;=20),(_xlfn.XLOOKUP($A122,'Oferta Producto 3'!$B$10:$B$21,'Oferta Producto 3'!$E$10:$E$21))/SUMIF($A$7:$AC$128,$A122,$AB$6:$AB$127)*J$5,0)</f>
        <v>0</v>
      </c>
      <c r="K122" s="35">
        <f ca="1">IF(AND(COLUMN()&gt;=11,COLUMN()&lt;=20),(_xlfn.XLOOKUP($A122,'Oferta Producto 3'!$B$10:$B$21,'Oferta Producto 3'!$E$10:$E$21))/SUMIF($A$7:$AC$128,$A122,$AB$6:$AB$127)*K$5,0)</f>
        <v>0</v>
      </c>
      <c r="L122" s="35">
        <f ca="1">IF(AND(COLUMN()&gt;=11,COLUMN()&lt;=20),(_xlfn.XLOOKUP($A122,'Oferta Producto 3'!$B$10:$B$21,'Oferta Producto 3'!$E$10:$E$21))/SUMIF($A$7:$AC$128,$A122,$AB$6:$AB$127)*L$5,0)</f>
        <v>0</v>
      </c>
      <c r="M122" s="35">
        <f ca="1">IF(AND(COLUMN()&gt;=11,COLUMN()&lt;=20),(_xlfn.XLOOKUP($A122,'Oferta Producto 3'!$B$10:$B$21,'Oferta Producto 3'!$E$10:$E$21))/SUMIF($A$7:$AC$128,$A122,$AB$6:$AB$127)*M$5,0)</f>
        <v>0</v>
      </c>
      <c r="N122" s="35">
        <f ca="1">IF(AND(COLUMN()&gt;=11,COLUMN()&lt;=20),(_xlfn.XLOOKUP($A122,'Oferta Producto 3'!$B$10:$B$21,'Oferta Producto 3'!$E$10:$E$21))/SUMIF($A$7:$AC$128,$A122,$AB$6:$AB$127)*N$5,0)</f>
        <v>0</v>
      </c>
      <c r="O122" s="35">
        <f ca="1">IF(AND(COLUMN()&gt;=11,COLUMN()&lt;=20),(_xlfn.XLOOKUP($A122,'Oferta Producto 3'!$B$10:$B$21,'Oferta Producto 3'!$E$10:$E$21))/SUMIF($A$7:$AC$128,$A122,$AB$6:$AB$127)*O$5,0)</f>
        <v>0</v>
      </c>
      <c r="P122" s="35">
        <f ca="1">IF(AND(COLUMN()&gt;=11,COLUMN()&lt;=20),(_xlfn.XLOOKUP($A122,'Oferta Producto 3'!$B$10:$B$21,'Oferta Producto 3'!$E$10:$E$21))/SUMIF($A$7:$AC$128,$A122,$AB$6:$AB$127)*P$5,0)</f>
        <v>0</v>
      </c>
      <c r="Q122" s="35">
        <f ca="1">IF(AND(COLUMN()&gt;=11,COLUMN()&lt;=20),(_xlfn.XLOOKUP($A122,'Oferta Producto 3'!$B$10:$B$21,'Oferta Producto 3'!$E$10:$E$21))/SUMIF($A$7:$AC$128,$A122,$AB$6:$AB$127)*Q$5,0)</f>
        <v>0</v>
      </c>
      <c r="R122" s="35">
        <f ca="1">IF(AND(COLUMN()&gt;=11,COLUMN()&lt;=20),(_xlfn.XLOOKUP($A122,'Oferta Producto 3'!$B$10:$B$21,'Oferta Producto 3'!$E$10:$E$21))/SUMIF($A$7:$AC$128,$A122,$AB$6:$AB$127)*R$5,0)</f>
        <v>0</v>
      </c>
      <c r="S122" s="35">
        <f ca="1">IF(AND(COLUMN()&gt;=11,COLUMN()&lt;=20),(_xlfn.XLOOKUP($A122,'Oferta Producto 3'!$B$10:$B$21,'Oferta Producto 3'!$E$10:$E$21))/SUMIF($A$7:$AC$128,$A122,$AB$6:$AB$127)*S$5,0)</f>
        <v>0</v>
      </c>
      <c r="T122" s="35">
        <f ca="1">IF(AND(COLUMN()&gt;=11,COLUMN()&lt;=20),(_xlfn.XLOOKUP($A122,'Oferta Producto 3'!$B$10:$B$21,'Oferta Producto 3'!$E$10:$E$21))/SUMIF($A$7:$AC$128,$A122,$AB$6:$AB$127)*T$5,0)</f>
        <v>0</v>
      </c>
      <c r="U122" s="35">
        <f>IF(AND(COLUMN()&gt;=11,COLUMN()&lt;=20),(_xlfn.XLOOKUP($A122,'Oferta Producto 3'!$B$10:$B$21,'Oferta Producto 3'!$E$10:$E$21))/SUMIF($A$7:$AC$128,$A122,$AB$6:$AB$127)*U$5,0)</f>
        <v>0</v>
      </c>
      <c r="V122" s="35">
        <f>IF(AND(COLUMN()&gt;=11,COLUMN()&lt;=20),(_xlfn.XLOOKUP($A122,'Oferta Producto 3'!$B$10:$B$21,'Oferta Producto 3'!$E$10:$E$21))/SUMIF($A$7:$AC$128,$A122,$AB$6:$AB$127)*V$5,0)</f>
        <v>0</v>
      </c>
      <c r="W122" s="35">
        <f>IF(AND(COLUMN()&gt;=11,COLUMN()&lt;=20),(_xlfn.XLOOKUP($A122,'Oferta Producto 3'!$B$10:$B$21,'Oferta Producto 3'!$E$10:$E$21))/SUMIF($A$7:$AC$128,$A122,$AB$6:$AB$127)*W$5,0)</f>
        <v>0</v>
      </c>
      <c r="X122" s="35">
        <f>IF(AND(COLUMN()&gt;=11,COLUMN()&lt;=20),(_xlfn.XLOOKUP($A122,'Oferta Producto 3'!$B$10:$B$21,'Oferta Producto 3'!$E$10:$E$21))/SUMIF($A$7:$AC$128,$A122,$AB$6:$AB$127)*X$5,0)</f>
        <v>0</v>
      </c>
      <c r="Y122" s="35">
        <f>IF(AND(COLUMN()&gt;=11,COLUMN()&lt;=20),(_xlfn.XLOOKUP($A122,'Oferta Producto 3'!$B$10:$B$21,'Oferta Producto 3'!$E$10:$E$21))/SUMIF($A$7:$AC$128,$A122,$AB$6:$AB$127)*Y$5,0)</f>
        <v>0</v>
      </c>
      <c r="Z122" s="35">
        <f>IF(AND(COLUMN()&gt;=11,COLUMN()&lt;=20),(_xlfn.XLOOKUP($A122,'Oferta Producto 3'!$B$10:$B$21,'Oferta Producto 3'!$E$10:$E$21))/SUMIF($A$7:$AC$128,$A122,$AB$6:$AB$127)*Z$5,0)</f>
        <v>0</v>
      </c>
      <c r="AA122" s="35">
        <f t="shared" ca="1" si="16"/>
        <v>0</v>
      </c>
      <c r="AB122" s="28">
        <f t="shared" si="10"/>
        <v>31</v>
      </c>
      <c r="AC122" s="29">
        <f t="shared" ca="1" si="11"/>
        <v>0</v>
      </c>
      <c r="AD122" s="48">
        <f ca="1">'Curvas Prod 3'!AC122/SUMIF('Curvas Prod 3'!A120:AC265,'Curva de la oferta Prod 3'!$A122,'Curvas Prod 3'!AC120:AC265)</f>
        <v>0.12653061224489795</v>
      </c>
      <c r="AE122" s="45"/>
      <c r="AF122" s="49"/>
      <c r="AG122" s="49"/>
      <c r="AH122" s="49"/>
      <c r="AI122" s="49"/>
      <c r="AJ122" s="49"/>
      <c r="AK122" s="49"/>
    </row>
    <row r="123" spans="1:37" ht="15">
      <c r="A123" s="23">
        <f t="shared" si="9"/>
        <v>2035</v>
      </c>
      <c r="B123" s="27">
        <v>49522</v>
      </c>
      <c r="C123" s="35">
        <f>IF(AND(COLUMN()&gt;=11,COLUMN()&lt;=20),(_xlfn.XLOOKUP($A123,'Oferta Producto 3'!$B$10:$B$21,'Oferta Producto 3'!$E$10:$E$21))/SUMIF($A$7:$AC$128,$A123,$AB$6:$AB$127)*C$5,0)</f>
        <v>0</v>
      </c>
      <c r="D123" s="35">
        <f>IF(AND(COLUMN()&gt;=11,COLUMN()&lt;=20),(_xlfn.XLOOKUP($A123,'Oferta Producto 3'!$B$10:$B$21,'Oferta Producto 3'!$E$10:$E$21))/SUMIF($A$7:$AC$128,$A123,$AB$6:$AB$127)*D$5,0)</f>
        <v>0</v>
      </c>
      <c r="E123" s="35">
        <f>IF(AND(COLUMN()&gt;=11,COLUMN()&lt;=20),(_xlfn.XLOOKUP($A123,'Oferta Producto 3'!$B$10:$B$21,'Oferta Producto 3'!$E$10:$E$21))/SUMIF($A$7:$AC$128,$A123,$AB$6:$AB$127)*E$5,0)</f>
        <v>0</v>
      </c>
      <c r="F123" s="35">
        <f>IF(AND(COLUMN()&gt;=11,COLUMN()&lt;=20),(_xlfn.XLOOKUP($A123,'Oferta Producto 3'!$B$10:$B$21,'Oferta Producto 3'!$E$10:$E$21))/SUMIF($A$7:$AC$128,$A123,$AB$6:$AB$127)*F$5,0)</f>
        <v>0</v>
      </c>
      <c r="G123" s="35">
        <f>IF(AND(COLUMN()&gt;=11,COLUMN()&lt;=20),(_xlfn.XLOOKUP($A123,'Oferta Producto 3'!$B$10:$B$21,'Oferta Producto 3'!$E$10:$E$21))/SUMIF($A$7:$AC$128,$A123,$AB$6:$AB$127)*G$5,0)</f>
        <v>0</v>
      </c>
      <c r="H123" s="35">
        <f>IF(AND(COLUMN()&gt;=11,COLUMN()&lt;=20),(_xlfn.XLOOKUP($A123,'Oferta Producto 3'!$B$10:$B$21,'Oferta Producto 3'!$E$10:$E$21))/SUMIF($A$7:$AC$128,$A123,$AB$6:$AB$127)*H$5,0)</f>
        <v>0</v>
      </c>
      <c r="I123" s="35">
        <f>IF(AND(COLUMN()&gt;=11,COLUMN()&lt;=20),(_xlfn.XLOOKUP($A123,'Oferta Producto 3'!$B$10:$B$21,'Oferta Producto 3'!$E$10:$E$21))/SUMIF($A$7:$AC$128,$A123,$AB$6:$AB$127)*I$5,0)</f>
        <v>0</v>
      </c>
      <c r="J123" s="35">
        <f>IF(AND(COLUMN()&gt;=11,COLUMN()&lt;=20),(_xlfn.XLOOKUP($A123,'Oferta Producto 3'!$B$10:$B$21,'Oferta Producto 3'!$E$10:$E$21))/SUMIF($A$7:$AC$128,$A123,$AB$6:$AB$127)*J$5,0)</f>
        <v>0</v>
      </c>
      <c r="K123" s="35">
        <f ca="1">IF(AND(COLUMN()&gt;=11,COLUMN()&lt;=20),(_xlfn.XLOOKUP($A123,'Oferta Producto 3'!$B$10:$B$21,'Oferta Producto 3'!$E$10:$E$21))/SUMIF($A$7:$AC$128,$A123,$AB$6:$AB$127)*K$5,0)</f>
        <v>0</v>
      </c>
      <c r="L123" s="35">
        <f ca="1">IF(AND(COLUMN()&gt;=11,COLUMN()&lt;=20),(_xlfn.XLOOKUP($A123,'Oferta Producto 3'!$B$10:$B$21,'Oferta Producto 3'!$E$10:$E$21))/SUMIF($A$7:$AC$128,$A123,$AB$6:$AB$127)*L$5,0)</f>
        <v>0</v>
      </c>
      <c r="M123" s="35">
        <f ca="1">IF(AND(COLUMN()&gt;=11,COLUMN()&lt;=20),(_xlfn.XLOOKUP($A123,'Oferta Producto 3'!$B$10:$B$21,'Oferta Producto 3'!$E$10:$E$21))/SUMIF($A$7:$AC$128,$A123,$AB$6:$AB$127)*M$5,0)</f>
        <v>0</v>
      </c>
      <c r="N123" s="35">
        <f ca="1">IF(AND(COLUMN()&gt;=11,COLUMN()&lt;=20),(_xlfn.XLOOKUP($A123,'Oferta Producto 3'!$B$10:$B$21,'Oferta Producto 3'!$E$10:$E$21))/SUMIF($A$7:$AC$128,$A123,$AB$6:$AB$127)*N$5,0)</f>
        <v>0</v>
      </c>
      <c r="O123" s="35">
        <f ca="1">IF(AND(COLUMN()&gt;=11,COLUMN()&lt;=20),(_xlfn.XLOOKUP($A123,'Oferta Producto 3'!$B$10:$B$21,'Oferta Producto 3'!$E$10:$E$21))/SUMIF($A$7:$AC$128,$A123,$AB$6:$AB$127)*O$5,0)</f>
        <v>0</v>
      </c>
      <c r="P123" s="35">
        <f ca="1">IF(AND(COLUMN()&gt;=11,COLUMN()&lt;=20),(_xlfn.XLOOKUP($A123,'Oferta Producto 3'!$B$10:$B$21,'Oferta Producto 3'!$E$10:$E$21))/SUMIF($A$7:$AC$128,$A123,$AB$6:$AB$127)*P$5,0)</f>
        <v>0</v>
      </c>
      <c r="Q123" s="35">
        <f ca="1">IF(AND(COLUMN()&gt;=11,COLUMN()&lt;=20),(_xlfn.XLOOKUP($A123,'Oferta Producto 3'!$B$10:$B$21,'Oferta Producto 3'!$E$10:$E$21))/SUMIF($A$7:$AC$128,$A123,$AB$6:$AB$127)*Q$5,0)</f>
        <v>0</v>
      </c>
      <c r="R123" s="35">
        <f ca="1">IF(AND(COLUMN()&gt;=11,COLUMN()&lt;=20),(_xlfn.XLOOKUP($A123,'Oferta Producto 3'!$B$10:$B$21,'Oferta Producto 3'!$E$10:$E$21))/SUMIF($A$7:$AC$128,$A123,$AB$6:$AB$127)*R$5,0)</f>
        <v>0</v>
      </c>
      <c r="S123" s="35">
        <f ca="1">IF(AND(COLUMN()&gt;=11,COLUMN()&lt;=20),(_xlfn.XLOOKUP($A123,'Oferta Producto 3'!$B$10:$B$21,'Oferta Producto 3'!$E$10:$E$21))/SUMIF($A$7:$AC$128,$A123,$AB$6:$AB$127)*S$5,0)</f>
        <v>0</v>
      </c>
      <c r="T123" s="35">
        <f ca="1">IF(AND(COLUMN()&gt;=11,COLUMN()&lt;=20),(_xlfn.XLOOKUP($A123,'Oferta Producto 3'!$B$10:$B$21,'Oferta Producto 3'!$E$10:$E$21))/SUMIF($A$7:$AC$128,$A123,$AB$6:$AB$127)*T$5,0)</f>
        <v>0</v>
      </c>
      <c r="U123" s="35">
        <f>IF(AND(COLUMN()&gt;=11,COLUMN()&lt;=20),(_xlfn.XLOOKUP($A123,'Oferta Producto 3'!$B$10:$B$21,'Oferta Producto 3'!$E$10:$E$21))/SUMIF($A$7:$AC$128,$A123,$AB$6:$AB$127)*U$5,0)</f>
        <v>0</v>
      </c>
      <c r="V123" s="35">
        <f>IF(AND(COLUMN()&gt;=11,COLUMN()&lt;=20),(_xlfn.XLOOKUP($A123,'Oferta Producto 3'!$B$10:$B$21,'Oferta Producto 3'!$E$10:$E$21))/SUMIF($A$7:$AC$128,$A123,$AB$6:$AB$127)*V$5,0)</f>
        <v>0</v>
      </c>
      <c r="W123" s="35">
        <f>IF(AND(COLUMN()&gt;=11,COLUMN()&lt;=20),(_xlfn.XLOOKUP($A123,'Oferta Producto 3'!$B$10:$B$21,'Oferta Producto 3'!$E$10:$E$21))/SUMIF($A$7:$AC$128,$A123,$AB$6:$AB$127)*W$5,0)</f>
        <v>0</v>
      </c>
      <c r="X123" s="35">
        <f>IF(AND(COLUMN()&gt;=11,COLUMN()&lt;=20),(_xlfn.XLOOKUP($A123,'Oferta Producto 3'!$B$10:$B$21,'Oferta Producto 3'!$E$10:$E$21))/SUMIF($A$7:$AC$128,$A123,$AB$6:$AB$127)*X$5,0)</f>
        <v>0</v>
      </c>
      <c r="Y123" s="35">
        <f>IF(AND(COLUMN()&gt;=11,COLUMN()&lt;=20),(_xlfn.XLOOKUP($A123,'Oferta Producto 3'!$B$10:$B$21,'Oferta Producto 3'!$E$10:$E$21))/SUMIF($A$7:$AC$128,$A123,$AB$6:$AB$127)*Y$5,0)</f>
        <v>0</v>
      </c>
      <c r="Z123" s="35">
        <f>IF(AND(COLUMN()&gt;=11,COLUMN()&lt;=20),(_xlfn.XLOOKUP($A123,'Oferta Producto 3'!$B$10:$B$21,'Oferta Producto 3'!$E$10:$E$21))/SUMIF($A$7:$AC$128,$A123,$AB$6:$AB$127)*Z$5,0)</f>
        <v>0</v>
      </c>
      <c r="AA123" s="35">
        <f t="shared" ca="1" si="16"/>
        <v>0</v>
      </c>
      <c r="AB123" s="28">
        <f t="shared" si="10"/>
        <v>31</v>
      </c>
      <c r="AC123" s="29">
        <f t="shared" ca="1" si="11"/>
        <v>0</v>
      </c>
      <c r="AD123" s="48">
        <f ca="1">'Curvas Prod 3'!AC123/SUMIF('Curvas Prod 3'!A121:AC266,'Curva de la oferta Prod 3'!$A123,'Curvas Prod 3'!AC121:AC266)</f>
        <v>0.14485981308411214</v>
      </c>
      <c r="AE123" s="45"/>
    </row>
    <row r="124" spans="1:37" ht="15">
      <c r="A124" s="23">
        <f t="shared" si="9"/>
        <v>2035</v>
      </c>
      <c r="B124" s="27">
        <v>49553</v>
      </c>
      <c r="C124" s="35">
        <f>IF(AND(COLUMN()&gt;=11,COLUMN()&lt;=20),(_xlfn.XLOOKUP($A124,'Oferta Producto 3'!$B$10:$B$21,'Oferta Producto 3'!$E$10:$E$21))/SUMIF($A$7:$AC$128,$A124,$AB$6:$AB$127)*C$5,0)</f>
        <v>0</v>
      </c>
      <c r="D124" s="35">
        <f>IF(AND(COLUMN()&gt;=11,COLUMN()&lt;=20),(_xlfn.XLOOKUP($A124,'Oferta Producto 3'!$B$10:$B$21,'Oferta Producto 3'!$E$10:$E$21))/SUMIF($A$7:$AC$128,$A124,$AB$6:$AB$127)*D$5,0)</f>
        <v>0</v>
      </c>
      <c r="E124" s="35">
        <f>IF(AND(COLUMN()&gt;=11,COLUMN()&lt;=20),(_xlfn.XLOOKUP($A124,'Oferta Producto 3'!$B$10:$B$21,'Oferta Producto 3'!$E$10:$E$21))/SUMIF($A$7:$AC$128,$A124,$AB$6:$AB$127)*E$5,0)</f>
        <v>0</v>
      </c>
      <c r="F124" s="35">
        <f>IF(AND(COLUMN()&gt;=11,COLUMN()&lt;=20),(_xlfn.XLOOKUP($A124,'Oferta Producto 3'!$B$10:$B$21,'Oferta Producto 3'!$E$10:$E$21))/SUMIF($A$7:$AC$128,$A124,$AB$6:$AB$127)*F$5,0)</f>
        <v>0</v>
      </c>
      <c r="G124" s="35">
        <f>IF(AND(COLUMN()&gt;=11,COLUMN()&lt;=20),(_xlfn.XLOOKUP($A124,'Oferta Producto 3'!$B$10:$B$21,'Oferta Producto 3'!$E$10:$E$21))/SUMIF($A$7:$AC$128,$A124,$AB$6:$AB$127)*G$5,0)</f>
        <v>0</v>
      </c>
      <c r="H124" s="35">
        <f>IF(AND(COLUMN()&gt;=11,COLUMN()&lt;=20),(_xlfn.XLOOKUP($A124,'Oferta Producto 3'!$B$10:$B$21,'Oferta Producto 3'!$E$10:$E$21))/SUMIF($A$7:$AC$128,$A124,$AB$6:$AB$127)*H$5,0)</f>
        <v>0</v>
      </c>
      <c r="I124" s="35">
        <f>IF(AND(COLUMN()&gt;=11,COLUMN()&lt;=20),(_xlfn.XLOOKUP($A124,'Oferta Producto 3'!$B$10:$B$21,'Oferta Producto 3'!$E$10:$E$21))/SUMIF($A$7:$AC$128,$A124,$AB$6:$AB$127)*I$5,0)</f>
        <v>0</v>
      </c>
      <c r="J124" s="35">
        <f>IF(AND(COLUMN()&gt;=11,COLUMN()&lt;=20),(_xlfn.XLOOKUP($A124,'Oferta Producto 3'!$B$10:$B$21,'Oferta Producto 3'!$E$10:$E$21))/SUMIF($A$7:$AC$128,$A124,$AB$6:$AB$127)*J$5,0)</f>
        <v>0</v>
      </c>
      <c r="K124" s="35">
        <f ca="1">IF(AND(COLUMN()&gt;=11,COLUMN()&lt;=20),(_xlfn.XLOOKUP($A124,'Oferta Producto 3'!$B$10:$B$21,'Oferta Producto 3'!$E$10:$E$21))/SUMIF($A$7:$AC$128,$A124,$AB$6:$AB$127)*K$5,0)</f>
        <v>0</v>
      </c>
      <c r="L124" s="35">
        <f ca="1">IF(AND(COLUMN()&gt;=11,COLUMN()&lt;=20),(_xlfn.XLOOKUP($A124,'Oferta Producto 3'!$B$10:$B$21,'Oferta Producto 3'!$E$10:$E$21))/SUMIF($A$7:$AC$128,$A124,$AB$6:$AB$127)*L$5,0)</f>
        <v>0</v>
      </c>
      <c r="M124" s="35">
        <f ca="1">IF(AND(COLUMN()&gt;=11,COLUMN()&lt;=20),(_xlfn.XLOOKUP($A124,'Oferta Producto 3'!$B$10:$B$21,'Oferta Producto 3'!$E$10:$E$21))/SUMIF($A$7:$AC$128,$A124,$AB$6:$AB$127)*M$5,0)</f>
        <v>0</v>
      </c>
      <c r="N124" s="35">
        <f ca="1">IF(AND(COLUMN()&gt;=11,COLUMN()&lt;=20),(_xlfn.XLOOKUP($A124,'Oferta Producto 3'!$B$10:$B$21,'Oferta Producto 3'!$E$10:$E$21))/SUMIF($A$7:$AC$128,$A124,$AB$6:$AB$127)*N$5,0)</f>
        <v>0</v>
      </c>
      <c r="O124" s="35">
        <f ca="1">IF(AND(COLUMN()&gt;=11,COLUMN()&lt;=20),(_xlfn.XLOOKUP($A124,'Oferta Producto 3'!$B$10:$B$21,'Oferta Producto 3'!$E$10:$E$21))/SUMIF($A$7:$AC$128,$A124,$AB$6:$AB$127)*O$5,0)</f>
        <v>0</v>
      </c>
      <c r="P124" s="35">
        <f ca="1">IF(AND(COLUMN()&gt;=11,COLUMN()&lt;=20),(_xlfn.XLOOKUP($A124,'Oferta Producto 3'!$B$10:$B$21,'Oferta Producto 3'!$E$10:$E$21))/SUMIF($A$7:$AC$128,$A124,$AB$6:$AB$127)*P$5,0)</f>
        <v>0</v>
      </c>
      <c r="Q124" s="35">
        <f ca="1">IF(AND(COLUMN()&gt;=11,COLUMN()&lt;=20),(_xlfn.XLOOKUP($A124,'Oferta Producto 3'!$B$10:$B$21,'Oferta Producto 3'!$E$10:$E$21))/SUMIF($A$7:$AC$128,$A124,$AB$6:$AB$127)*Q$5,0)</f>
        <v>0</v>
      </c>
      <c r="R124" s="35">
        <f ca="1">IF(AND(COLUMN()&gt;=11,COLUMN()&lt;=20),(_xlfn.XLOOKUP($A124,'Oferta Producto 3'!$B$10:$B$21,'Oferta Producto 3'!$E$10:$E$21))/SUMIF($A$7:$AC$128,$A124,$AB$6:$AB$127)*R$5,0)</f>
        <v>0</v>
      </c>
      <c r="S124" s="35">
        <f ca="1">IF(AND(COLUMN()&gt;=11,COLUMN()&lt;=20),(_xlfn.XLOOKUP($A124,'Oferta Producto 3'!$B$10:$B$21,'Oferta Producto 3'!$E$10:$E$21))/SUMIF($A$7:$AC$128,$A124,$AB$6:$AB$127)*S$5,0)</f>
        <v>0</v>
      </c>
      <c r="T124" s="35">
        <f ca="1">IF(AND(COLUMN()&gt;=11,COLUMN()&lt;=20),(_xlfn.XLOOKUP($A124,'Oferta Producto 3'!$B$10:$B$21,'Oferta Producto 3'!$E$10:$E$21))/SUMIF($A$7:$AC$128,$A124,$AB$6:$AB$127)*T$5,0)</f>
        <v>0</v>
      </c>
      <c r="U124" s="35">
        <f>IF(AND(COLUMN()&gt;=11,COLUMN()&lt;=20),(_xlfn.XLOOKUP($A124,'Oferta Producto 3'!$B$10:$B$21,'Oferta Producto 3'!$E$10:$E$21))/SUMIF($A$7:$AC$128,$A124,$AB$6:$AB$127)*U$5,0)</f>
        <v>0</v>
      </c>
      <c r="V124" s="35">
        <f>IF(AND(COLUMN()&gt;=11,COLUMN()&lt;=20),(_xlfn.XLOOKUP($A124,'Oferta Producto 3'!$B$10:$B$21,'Oferta Producto 3'!$E$10:$E$21))/SUMIF($A$7:$AC$128,$A124,$AB$6:$AB$127)*V$5,0)</f>
        <v>0</v>
      </c>
      <c r="W124" s="35">
        <f>IF(AND(COLUMN()&gt;=11,COLUMN()&lt;=20),(_xlfn.XLOOKUP($A124,'Oferta Producto 3'!$B$10:$B$21,'Oferta Producto 3'!$E$10:$E$21))/SUMIF($A$7:$AC$128,$A124,$AB$6:$AB$127)*W$5,0)</f>
        <v>0</v>
      </c>
      <c r="X124" s="35">
        <f>IF(AND(COLUMN()&gt;=11,COLUMN()&lt;=20),(_xlfn.XLOOKUP($A124,'Oferta Producto 3'!$B$10:$B$21,'Oferta Producto 3'!$E$10:$E$21))/SUMIF($A$7:$AC$128,$A124,$AB$6:$AB$127)*X$5,0)</f>
        <v>0</v>
      </c>
      <c r="Y124" s="35">
        <f>IF(AND(COLUMN()&gt;=11,COLUMN()&lt;=20),(_xlfn.XLOOKUP($A124,'Oferta Producto 3'!$B$10:$B$21,'Oferta Producto 3'!$E$10:$E$21))/SUMIF($A$7:$AC$128,$A124,$AB$6:$AB$127)*Y$5,0)</f>
        <v>0</v>
      </c>
      <c r="Z124" s="35">
        <f>IF(AND(COLUMN()&gt;=11,COLUMN()&lt;=20),(_xlfn.XLOOKUP($A124,'Oferta Producto 3'!$B$10:$B$21,'Oferta Producto 3'!$E$10:$E$21))/SUMIF($A$7:$AC$128,$A124,$AB$6:$AB$127)*Z$5,0)</f>
        <v>0</v>
      </c>
      <c r="AA124" s="35">
        <f t="shared" ca="1" si="16"/>
        <v>0</v>
      </c>
      <c r="AB124" s="28">
        <f t="shared" si="10"/>
        <v>30</v>
      </c>
      <c r="AC124" s="29">
        <f t="shared" ca="1" si="11"/>
        <v>0</v>
      </c>
      <c r="AD124" s="48">
        <f ca="1">'Curvas Prod 3'!AC124/SUMIF('Curvas Prod 3'!A122:AC267,'Curva de la oferta Prod 3'!$A124,'Curvas Prod 3'!AC122:AC267)</f>
        <v>0.16304347826086957</v>
      </c>
      <c r="AE124" s="45"/>
    </row>
    <row r="125" spans="1:37" ht="15">
      <c r="A125" s="23">
        <f t="shared" si="9"/>
        <v>2035</v>
      </c>
      <c r="B125" s="27">
        <v>49583</v>
      </c>
      <c r="C125" s="35">
        <f>IF(AND(COLUMN()&gt;=11,COLUMN()&lt;=20),(_xlfn.XLOOKUP($A125,'Oferta Producto 3'!$B$10:$B$21,'Oferta Producto 3'!$E$10:$E$21))/SUMIF($A$7:$AC$128,$A125,$AB$6:$AB$127)*C$5,0)</f>
        <v>0</v>
      </c>
      <c r="D125" s="35">
        <f>IF(AND(COLUMN()&gt;=11,COLUMN()&lt;=20),(_xlfn.XLOOKUP($A125,'Oferta Producto 3'!$B$10:$B$21,'Oferta Producto 3'!$E$10:$E$21))/SUMIF($A$7:$AC$128,$A125,$AB$6:$AB$127)*D$5,0)</f>
        <v>0</v>
      </c>
      <c r="E125" s="35">
        <f>IF(AND(COLUMN()&gt;=11,COLUMN()&lt;=20),(_xlfn.XLOOKUP($A125,'Oferta Producto 3'!$B$10:$B$21,'Oferta Producto 3'!$E$10:$E$21))/SUMIF($A$7:$AC$128,$A125,$AB$6:$AB$127)*E$5,0)</f>
        <v>0</v>
      </c>
      <c r="F125" s="35">
        <f>IF(AND(COLUMN()&gt;=11,COLUMN()&lt;=20),(_xlfn.XLOOKUP($A125,'Oferta Producto 3'!$B$10:$B$21,'Oferta Producto 3'!$E$10:$E$21))/SUMIF($A$7:$AC$128,$A125,$AB$6:$AB$127)*F$5,0)</f>
        <v>0</v>
      </c>
      <c r="G125" s="35">
        <f>IF(AND(COLUMN()&gt;=11,COLUMN()&lt;=20),(_xlfn.XLOOKUP($A125,'Oferta Producto 3'!$B$10:$B$21,'Oferta Producto 3'!$E$10:$E$21))/SUMIF($A$7:$AC$128,$A125,$AB$6:$AB$127)*G$5,0)</f>
        <v>0</v>
      </c>
      <c r="H125" s="35">
        <f>IF(AND(COLUMN()&gt;=11,COLUMN()&lt;=20),(_xlfn.XLOOKUP($A125,'Oferta Producto 3'!$B$10:$B$21,'Oferta Producto 3'!$E$10:$E$21))/SUMIF($A$7:$AC$128,$A125,$AB$6:$AB$127)*H$5,0)</f>
        <v>0</v>
      </c>
      <c r="I125" s="35">
        <f>IF(AND(COLUMN()&gt;=11,COLUMN()&lt;=20),(_xlfn.XLOOKUP($A125,'Oferta Producto 3'!$B$10:$B$21,'Oferta Producto 3'!$E$10:$E$21))/SUMIF($A$7:$AC$128,$A125,$AB$6:$AB$127)*I$5,0)</f>
        <v>0</v>
      </c>
      <c r="J125" s="35">
        <f>IF(AND(COLUMN()&gt;=11,COLUMN()&lt;=20),(_xlfn.XLOOKUP($A125,'Oferta Producto 3'!$B$10:$B$21,'Oferta Producto 3'!$E$10:$E$21))/SUMIF($A$7:$AC$128,$A125,$AB$6:$AB$127)*J$5,0)</f>
        <v>0</v>
      </c>
      <c r="K125" s="35">
        <f ca="1">IF(AND(COLUMN()&gt;=11,COLUMN()&lt;=20),(_xlfn.XLOOKUP($A125,'Oferta Producto 3'!$B$10:$B$21,'Oferta Producto 3'!$E$10:$E$21))/SUMIF($A$7:$AC$128,$A125,$AB$6:$AB$127)*K$5,0)</f>
        <v>0</v>
      </c>
      <c r="L125" s="35">
        <f ca="1">IF(AND(COLUMN()&gt;=11,COLUMN()&lt;=20),(_xlfn.XLOOKUP($A125,'Oferta Producto 3'!$B$10:$B$21,'Oferta Producto 3'!$E$10:$E$21))/SUMIF($A$7:$AC$128,$A125,$AB$6:$AB$127)*L$5,0)</f>
        <v>0</v>
      </c>
      <c r="M125" s="35">
        <f ca="1">IF(AND(COLUMN()&gt;=11,COLUMN()&lt;=20),(_xlfn.XLOOKUP($A125,'Oferta Producto 3'!$B$10:$B$21,'Oferta Producto 3'!$E$10:$E$21))/SUMIF($A$7:$AC$128,$A125,$AB$6:$AB$127)*M$5,0)</f>
        <v>0</v>
      </c>
      <c r="N125" s="35">
        <f ca="1">IF(AND(COLUMN()&gt;=11,COLUMN()&lt;=20),(_xlfn.XLOOKUP($A125,'Oferta Producto 3'!$B$10:$B$21,'Oferta Producto 3'!$E$10:$E$21))/SUMIF($A$7:$AC$128,$A125,$AB$6:$AB$127)*N$5,0)</f>
        <v>0</v>
      </c>
      <c r="O125" s="35">
        <f ca="1">IF(AND(COLUMN()&gt;=11,COLUMN()&lt;=20),(_xlfn.XLOOKUP($A125,'Oferta Producto 3'!$B$10:$B$21,'Oferta Producto 3'!$E$10:$E$21))/SUMIF($A$7:$AC$128,$A125,$AB$6:$AB$127)*O$5,0)</f>
        <v>0</v>
      </c>
      <c r="P125" s="35">
        <f ca="1">IF(AND(COLUMN()&gt;=11,COLUMN()&lt;=20),(_xlfn.XLOOKUP($A125,'Oferta Producto 3'!$B$10:$B$21,'Oferta Producto 3'!$E$10:$E$21))/SUMIF($A$7:$AC$128,$A125,$AB$6:$AB$127)*P$5,0)</f>
        <v>0</v>
      </c>
      <c r="Q125" s="35">
        <f ca="1">IF(AND(COLUMN()&gt;=11,COLUMN()&lt;=20),(_xlfn.XLOOKUP($A125,'Oferta Producto 3'!$B$10:$B$21,'Oferta Producto 3'!$E$10:$E$21))/SUMIF($A$7:$AC$128,$A125,$AB$6:$AB$127)*Q$5,0)</f>
        <v>0</v>
      </c>
      <c r="R125" s="35">
        <f ca="1">IF(AND(COLUMN()&gt;=11,COLUMN()&lt;=20),(_xlfn.XLOOKUP($A125,'Oferta Producto 3'!$B$10:$B$21,'Oferta Producto 3'!$E$10:$E$21))/SUMIF($A$7:$AC$128,$A125,$AB$6:$AB$127)*R$5,0)</f>
        <v>0</v>
      </c>
      <c r="S125" s="35">
        <f ca="1">IF(AND(COLUMN()&gt;=11,COLUMN()&lt;=20),(_xlfn.XLOOKUP($A125,'Oferta Producto 3'!$B$10:$B$21,'Oferta Producto 3'!$E$10:$E$21))/SUMIF($A$7:$AC$128,$A125,$AB$6:$AB$127)*S$5,0)</f>
        <v>0</v>
      </c>
      <c r="T125" s="35">
        <f ca="1">IF(AND(COLUMN()&gt;=11,COLUMN()&lt;=20),(_xlfn.XLOOKUP($A125,'Oferta Producto 3'!$B$10:$B$21,'Oferta Producto 3'!$E$10:$E$21))/SUMIF($A$7:$AC$128,$A125,$AB$6:$AB$127)*T$5,0)</f>
        <v>0</v>
      </c>
      <c r="U125" s="35">
        <f>IF(AND(COLUMN()&gt;=11,COLUMN()&lt;=20),(_xlfn.XLOOKUP($A125,'Oferta Producto 3'!$B$10:$B$21,'Oferta Producto 3'!$E$10:$E$21))/SUMIF($A$7:$AC$128,$A125,$AB$6:$AB$127)*U$5,0)</f>
        <v>0</v>
      </c>
      <c r="V125" s="35">
        <f>IF(AND(COLUMN()&gt;=11,COLUMN()&lt;=20),(_xlfn.XLOOKUP($A125,'Oferta Producto 3'!$B$10:$B$21,'Oferta Producto 3'!$E$10:$E$21))/SUMIF($A$7:$AC$128,$A125,$AB$6:$AB$127)*V$5,0)</f>
        <v>0</v>
      </c>
      <c r="W125" s="35">
        <f>IF(AND(COLUMN()&gt;=11,COLUMN()&lt;=20),(_xlfn.XLOOKUP($A125,'Oferta Producto 3'!$B$10:$B$21,'Oferta Producto 3'!$E$10:$E$21))/SUMIF($A$7:$AC$128,$A125,$AB$6:$AB$127)*W$5,0)</f>
        <v>0</v>
      </c>
      <c r="X125" s="35">
        <f>IF(AND(COLUMN()&gt;=11,COLUMN()&lt;=20),(_xlfn.XLOOKUP($A125,'Oferta Producto 3'!$B$10:$B$21,'Oferta Producto 3'!$E$10:$E$21))/SUMIF($A$7:$AC$128,$A125,$AB$6:$AB$127)*X$5,0)</f>
        <v>0</v>
      </c>
      <c r="Y125" s="35">
        <f>IF(AND(COLUMN()&gt;=11,COLUMN()&lt;=20),(_xlfn.XLOOKUP($A125,'Oferta Producto 3'!$B$10:$B$21,'Oferta Producto 3'!$E$10:$E$21))/SUMIF($A$7:$AC$128,$A125,$AB$6:$AB$127)*Y$5,0)</f>
        <v>0</v>
      </c>
      <c r="Z125" s="35">
        <f>IF(AND(COLUMN()&gt;=11,COLUMN()&lt;=20),(_xlfn.XLOOKUP($A125,'Oferta Producto 3'!$B$10:$B$21,'Oferta Producto 3'!$E$10:$E$21))/SUMIF($A$7:$AC$128,$A125,$AB$6:$AB$127)*Z$5,0)</f>
        <v>0</v>
      </c>
      <c r="AA125" s="35">
        <f t="shared" ca="1" si="16"/>
        <v>0</v>
      </c>
      <c r="AB125" s="28">
        <f t="shared" si="10"/>
        <v>31</v>
      </c>
      <c r="AC125" s="29">
        <f t="shared" ca="1" si="11"/>
        <v>0</v>
      </c>
      <c r="AD125" s="48">
        <f ca="1">'Curvas Prod 3'!AC125/SUMIF('Curvas Prod 3'!A123:AC268,'Curva de la oferta Prod 3'!$A125,'Curvas Prod 3'!AC123:AC268)</f>
        <v>0.20261437908496732</v>
      </c>
      <c r="AE125" s="45"/>
    </row>
    <row r="126" spans="1:37" ht="15">
      <c r="A126" s="23">
        <f t="shared" si="9"/>
        <v>2035</v>
      </c>
      <c r="B126" s="27">
        <v>49614</v>
      </c>
      <c r="C126" s="35">
        <f>IF(AND(COLUMN()&gt;=11,COLUMN()&lt;=20),(_xlfn.XLOOKUP($A126,'Oferta Producto 3'!$B$10:$B$21,'Oferta Producto 3'!$E$10:$E$21))/SUMIF($A$7:$AC$128,$A126,$AB$6:$AB$127)*C$5,0)</f>
        <v>0</v>
      </c>
      <c r="D126" s="35">
        <f>IF(AND(COLUMN()&gt;=11,COLUMN()&lt;=20),(_xlfn.XLOOKUP($A126,'Oferta Producto 3'!$B$10:$B$21,'Oferta Producto 3'!$E$10:$E$21))/SUMIF($A$7:$AC$128,$A126,$AB$6:$AB$127)*D$5,0)</f>
        <v>0</v>
      </c>
      <c r="E126" s="35">
        <f>IF(AND(COLUMN()&gt;=11,COLUMN()&lt;=20),(_xlfn.XLOOKUP($A126,'Oferta Producto 3'!$B$10:$B$21,'Oferta Producto 3'!$E$10:$E$21))/SUMIF($A$7:$AC$128,$A126,$AB$6:$AB$127)*E$5,0)</f>
        <v>0</v>
      </c>
      <c r="F126" s="35">
        <f>IF(AND(COLUMN()&gt;=11,COLUMN()&lt;=20),(_xlfn.XLOOKUP($A126,'Oferta Producto 3'!$B$10:$B$21,'Oferta Producto 3'!$E$10:$E$21))/SUMIF($A$7:$AC$128,$A126,$AB$6:$AB$127)*F$5,0)</f>
        <v>0</v>
      </c>
      <c r="G126" s="35">
        <f>IF(AND(COLUMN()&gt;=11,COLUMN()&lt;=20),(_xlfn.XLOOKUP($A126,'Oferta Producto 3'!$B$10:$B$21,'Oferta Producto 3'!$E$10:$E$21))/SUMIF($A$7:$AC$128,$A126,$AB$6:$AB$127)*G$5,0)</f>
        <v>0</v>
      </c>
      <c r="H126" s="35">
        <f>IF(AND(COLUMN()&gt;=11,COLUMN()&lt;=20),(_xlfn.XLOOKUP($A126,'Oferta Producto 3'!$B$10:$B$21,'Oferta Producto 3'!$E$10:$E$21))/SUMIF($A$7:$AC$128,$A126,$AB$6:$AB$127)*H$5,0)</f>
        <v>0</v>
      </c>
      <c r="I126" s="35">
        <f>IF(AND(COLUMN()&gt;=11,COLUMN()&lt;=20),(_xlfn.XLOOKUP($A126,'Oferta Producto 3'!$B$10:$B$21,'Oferta Producto 3'!$E$10:$E$21))/SUMIF($A$7:$AC$128,$A126,$AB$6:$AB$127)*I$5,0)</f>
        <v>0</v>
      </c>
      <c r="J126" s="35">
        <f>IF(AND(COLUMN()&gt;=11,COLUMN()&lt;=20),(_xlfn.XLOOKUP($A126,'Oferta Producto 3'!$B$10:$B$21,'Oferta Producto 3'!$E$10:$E$21))/SUMIF($A$7:$AC$128,$A126,$AB$6:$AB$127)*J$5,0)</f>
        <v>0</v>
      </c>
      <c r="K126" s="35">
        <f ca="1">IF(AND(COLUMN()&gt;=11,COLUMN()&lt;=20),(_xlfn.XLOOKUP($A126,'Oferta Producto 3'!$B$10:$B$21,'Oferta Producto 3'!$E$10:$E$21))/SUMIF($A$7:$AC$128,$A126,$AB$6:$AB$127)*K$5,0)</f>
        <v>0</v>
      </c>
      <c r="L126" s="35">
        <f ca="1">IF(AND(COLUMN()&gt;=11,COLUMN()&lt;=20),(_xlfn.XLOOKUP($A126,'Oferta Producto 3'!$B$10:$B$21,'Oferta Producto 3'!$E$10:$E$21))/SUMIF($A$7:$AC$128,$A126,$AB$6:$AB$127)*L$5,0)</f>
        <v>0</v>
      </c>
      <c r="M126" s="35">
        <f ca="1">IF(AND(COLUMN()&gt;=11,COLUMN()&lt;=20),(_xlfn.XLOOKUP($A126,'Oferta Producto 3'!$B$10:$B$21,'Oferta Producto 3'!$E$10:$E$21))/SUMIF($A$7:$AC$128,$A126,$AB$6:$AB$127)*M$5,0)</f>
        <v>0</v>
      </c>
      <c r="N126" s="35">
        <f ca="1">IF(AND(COLUMN()&gt;=11,COLUMN()&lt;=20),(_xlfn.XLOOKUP($A126,'Oferta Producto 3'!$B$10:$B$21,'Oferta Producto 3'!$E$10:$E$21))/SUMIF($A$7:$AC$128,$A126,$AB$6:$AB$127)*N$5,0)</f>
        <v>0</v>
      </c>
      <c r="O126" s="35">
        <f ca="1">IF(AND(COLUMN()&gt;=11,COLUMN()&lt;=20),(_xlfn.XLOOKUP($A126,'Oferta Producto 3'!$B$10:$B$21,'Oferta Producto 3'!$E$10:$E$21))/SUMIF($A$7:$AC$128,$A126,$AB$6:$AB$127)*O$5,0)</f>
        <v>0</v>
      </c>
      <c r="P126" s="35">
        <f ca="1">IF(AND(COLUMN()&gt;=11,COLUMN()&lt;=20),(_xlfn.XLOOKUP($A126,'Oferta Producto 3'!$B$10:$B$21,'Oferta Producto 3'!$E$10:$E$21))/SUMIF($A$7:$AC$128,$A126,$AB$6:$AB$127)*P$5,0)</f>
        <v>0</v>
      </c>
      <c r="Q126" s="35">
        <f ca="1">IF(AND(COLUMN()&gt;=11,COLUMN()&lt;=20),(_xlfn.XLOOKUP($A126,'Oferta Producto 3'!$B$10:$B$21,'Oferta Producto 3'!$E$10:$E$21))/SUMIF($A$7:$AC$128,$A126,$AB$6:$AB$127)*Q$5,0)</f>
        <v>0</v>
      </c>
      <c r="R126" s="35">
        <f ca="1">IF(AND(COLUMN()&gt;=11,COLUMN()&lt;=20),(_xlfn.XLOOKUP($A126,'Oferta Producto 3'!$B$10:$B$21,'Oferta Producto 3'!$E$10:$E$21))/SUMIF($A$7:$AC$128,$A126,$AB$6:$AB$127)*R$5,0)</f>
        <v>0</v>
      </c>
      <c r="S126" s="35">
        <f ca="1">IF(AND(COLUMN()&gt;=11,COLUMN()&lt;=20),(_xlfn.XLOOKUP($A126,'Oferta Producto 3'!$B$10:$B$21,'Oferta Producto 3'!$E$10:$E$21))/SUMIF($A$7:$AC$128,$A126,$AB$6:$AB$127)*S$5,0)</f>
        <v>0</v>
      </c>
      <c r="T126" s="35">
        <f ca="1">IF(AND(COLUMN()&gt;=11,COLUMN()&lt;=20),(_xlfn.XLOOKUP($A126,'Oferta Producto 3'!$B$10:$B$21,'Oferta Producto 3'!$E$10:$E$21))/SUMIF($A$7:$AC$128,$A126,$AB$6:$AB$127)*T$5,0)</f>
        <v>0</v>
      </c>
      <c r="U126" s="35">
        <f>IF(AND(COLUMN()&gt;=11,COLUMN()&lt;=20),(_xlfn.XLOOKUP($A126,'Oferta Producto 3'!$B$10:$B$21,'Oferta Producto 3'!$E$10:$E$21))/SUMIF($A$7:$AC$128,$A126,$AB$6:$AB$127)*U$5,0)</f>
        <v>0</v>
      </c>
      <c r="V126" s="35">
        <f>IF(AND(COLUMN()&gt;=11,COLUMN()&lt;=20),(_xlfn.XLOOKUP($A126,'Oferta Producto 3'!$B$10:$B$21,'Oferta Producto 3'!$E$10:$E$21))/SUMIF($A$7:$AC$128,$A126,$AB$6:$AB$127)*V$5,0)</f>
        <v>0</v>
      </c>
      <c r="W126" s="35">
        <f>IF(AND(COLUMN()&gt;=11,COLUMN()&lt;=20),(_xlfn.XLOOKUP($A126,'Oferta Producto 3'!$B$10:$B$21,'Oferta Producto 3'!$E$10:$E$21))/SUMIF($A$7:$AC$128,$A126,$AB$6:$AB$127)*W$5,0)</f>
        <v>0</v>
      </c>
      <c r="X126" s="35">
        <f>IF(AND(COLUMN()&gt;=11,COLUMN()&lt;=20),(_xlfn.XLOOKUP($A126,'Oferta Producto 3'!$B$10:$B$21,'Oferta Producto 3'!$E$10:$E$21))/SUMIF($A$7:$AC$128,$A126,$AB$6:$AB$127)*X$5,0)</f>
        <v>0</v>
      </c>
      <c r="Y126" s="35">
        <f>IF(AND(COLUMN()&gt;=11,COLUMN()&lt;=20),(_xlfn.XLOOKUP($A126,'Oferta Producto 3'!$B$10:$B$21,'Oferta Producto 3'!$E$10:$E$21))/SUMIF($A$7:$AC$128,$A126,$AB$6:$AB$127)*Y$5,0)</f>
        <v>0</v>
      </c>
      <c r="Z126" s="35">
        <f>IF(AND(COLUMN()&gt;=11,COLUMN()&lt;=20),(_xlfn.XLOOKUP($A126,'Oferta Producto 3'!$B$10:$B$21,'Oferta Producto 3'!$E$10:$E$21))/SUMIF($A$7:$AC$128,$A126,$AB$6:$AB$127)*Z$5,0)</f>
        <v>0</v>
      </c>
      <c r="AA126" s="35">
        <f t="shared" ca="1" si="16"/>
        <v>0</v>
      </c>
      <c r="AB126" s="28">
        <f t="shared" si="10"/>
        <v>30</v>
      </c>
      <c r="AC126" s="29">
        <f t="shared" ca="1" si="11"/>
        <v>0</v>
      </c>
      <c r="AD126" s="48">
        <f ca="1">'Curvas Prod 3'!AC126/SUMIF('Curvas Prod 3'!A124:AC269,'Curva de la oferta Prod 3'!$A126,'Curvas Prod 3'!AC124:AC269)</f>
        <v>0.24590163934426229</v>
      </c>
      <c r="AE126" s="45"/>
    </row>
    <row r="127" spans="1:37" ht="15">
      <c r="A127" s="23">
        <f t="shared" si="9"/>
        <v>2035</v>
      </c>
      <c r="B127" s="27">
        <v>49644</v>
      </c>
      <c r="C127" s="35">
        <f>IF(AND(COLUMN()&gt;=11,COLUMN()&lt;=20),(_xlfn.XLOOKUP($A127,'Oferta Producto 3'!$B$10:$B$21,'Oferta Producto 3'!$E$10:$E$21))/SUMIF($A$7:$AC$128,$A127,$AB$6:$AB$127)*C$5,0)</f>
        <v>0</v>
      </c>
      <c r="D127" s="35">
        <f>IF(AND(COLUMN()&gt;=11,COLUMN()&lt;=20),(_xlfn.XLOOKUP($A127,'Oferta Producto 3'!$B$10:$B$21,'Oferta Producto 3'!$E$10:$E$21))/SUMIF($A$7:$AC$128,$A127,$AB$6:$AB$127)*D$5,0)</f>
        <v>0</v>
      </c>
      <c r="E127" s="35">
        <f>IF(AND(COLUMN()&gt;=11,COLUMN()&lt;=20),(_xlfn.XLOOKUP($A127,'Oferta Producto 3'!$B$10:$B$21,'Oferta Producto 3'!$E$10:$E$21))/SUMIF($A$7:$AC$128,$A127,$AB$6:$AB$127)*E$5,0)</f>
        <v>0</v>
      </c>
      <c r="F127" s="35">
        <f>IF(AND(COLUMN()&gt;=11,COLUMN()&lt;=20),(_xlfn.XLOOKUP($A127,'Oferta Producto 3'!$B$10:$B$21,'Oferta Producto 3'!$E$10:$E$21))/SUMIF($A$7:$AC$128,$A127,$AB$6:$AB$127)*F$5,0)</f>
        <v>0</v>
      </c>
      <c r="G127" s="35">
        <f>IF(AND(COLUMN()&gt;=11,COLUMN()&lt;=20),(_xlfn.XLOOKUP($A127,'Oferta Producto 3'!$B$10:$B$21,'Oferta Producto 3'!$E$10:$E$21))/SUMIF($A$7:$AC$128,$A127,$AB$6:$AB$127)*G$5,0)</f>
        <v>0</v>
      </c>
      <c r="H127" s="35">
        <f>IF(AND(COLUMN()&gt;=11,COLUMN()&lt;=20),(_xlfn.XLOOKUP($A127,'Oferta Producto 3'!$B$10:$B$21,'Oferta Producto 3'!$E$10:$E$21))/SUMIF($A$7:$AC$128,$A127,$AB$6:$AB$127)*H$5,0)</f>
        <v>0</v>
      </c>
      <c r="I127" s="35">
        <f>IF(AND(COLUMN()&gt;=11,COLUMN()&lt;=20),(_xlfn.XLOOKUP($A127,'Oferta Producto 3'!$B$10:$B$21,'Oferta Producto 3'!$E$10:$E$21))/SUMIF($A$7:$AC$128,$A127,$AB$6:$AB$127)*I$5,0)</f>
        <v>0</v>
      </c>
      <c r="J127" s="35">
        <f>IF(AND(COLUMN()&gt;=11,COLUMN()&lt;=20),(_xlfn.XLOOKUP($A127,'Oferta Producto 3'!$B$10:$B$21,'Oferta Producto 3'!$E$10:$E$21))/SUMIF($A$7:$AC$128,$A127,$AB$6:$AB$127)*J$5,0)</f>
        <v>0</v>
      </c>
      <c r="K127" s="35">
        <f ca="1">IF(AND(COLUMN()&gt;=11,COLUMN()&lt;=20),(_xlfn.XLOOKUP($A127,'Oferta Producto 3'!$B$10:$B$21,'Oferta Producto 3'!$E$10:$E$21))/SUMIF($A$7:$AC$128,$A127,$AB$6:$AB$127)*K$5,0)</f>
        <v>0</v>
      </c>
      <c r="L127" s="35">
        <f ca="1">IF(AND(COLUMN()&gt;=11,COLUMN()&lt;=20),(_xlfn.XLOOKUP($A127,'Oferta Producto 3'!$B$10:$B$21,'Oferta Producto 3'!$E$10:$E$21))/SUMIF($A$7:$AC$128,$A127,$AB$6:$AB$127)*L$5,0)</f>
        <v>0</v>
      </c>
      <c r="M127" s="35">
        <f ca="1">IF(AND(COLUMN()&gt;=11,COLUMN()&lt;=20),(_xlfn.XLOOKUP($A127,'Oferta Producto 3'!$B$10:$B$21,'Oferta Producto 3'!$E$10:$E$21))/SUMIF($A$7:$AC$128,$A127,$AB$6:$AB$127)*M$5,0)</f>
        <v>0</v>
      </c>
      <c r="N127" s="35">
        <f ca="1">IF(AND(COLUMN()&gt;=11,COLUMN()&lt;=20),(_xlfn.XLOOKUP($A127,'Oferta Producto 3'!$B$10:$B$21,'Oferta Producto 3'!$E$10:$E$21))/SUMIF($A$7:$AC$128,$A127,$AB$6:$AB$127)*N$5,0)</f>
        <v>0</v>
      </c>
      <c r="O127" s="35">
        <f ca="1">IF(AND(COLUMN()&gt;=11,COLUMN()&lt;=20),(_xlfn.XLOOKUP($A127,'Oferta Producto 3'!$B$10:$B$21,'Oferta Producto 3'!$E$10:$E$21))/SUMIF($A$7:$AC$128,$A127,$AB$6:$AB$127)*O$5,0)</f>
        <v>0</v>
      </c>
      <c r="P127" s="35">
        <f ca="1">IF(AND(COLUMN()&gt;=11,COLUMN()&lt;=20),(_xlfn.XLOOKUP($A127,'Oferta Producto 3'!$B$10:$B$21,'Oferta Producto 3'!$E$10:$E$21))/SUMIF($A$7:$AC$128,$A127,$AB$6:$AB$127)*P$5,0)</f>
        <v>0</v>
      </c>
      <c r="Q127" s="35">
        <f ca="1">IF(AND(COLUMN()&gt;=11,COLUMN()&lt;=20),(_xlfn.XLOOKUP($A127,'Oferta Producto 3'!$B$10:$B$21,'Oferta Producto 3'!$E$10:$E$21))/SUMIF($A$7:$AC$128,$A127,$AB$6:$AB$127)*Q$5,0)</f>
        <v>0</v>
      </c>
      <c r="R127" s="35">
        <f ca="1">IF(AND(COLUMN()&gt;=11,COLUMN()&lt;=20),(_xlfn.XLOOKUP($A127,'Oferta Producto 3'!$B$10:$B$21,'Oferta Producto 3'!$E$10:$E$21))/SUMIF($A$7:$AC$128,$A127,$AB$6:$AB$127)*R$5,0)</f>
        <v>0</v>
      </c>
      <c r="S127" s="35">
        <f ca="1">IF(AND(COLUMN()&gt;=11,COLUMN()&lt;=20),(_xlfn.XLOOKUP($A127,'Oferta Producto 3'!$B$10:$B$21,'Oferta Producto 3'!$E$10:$E$21))/SUMIF($A$7:$AC$128,$A127,$AB$6:$AB$127)*S$5,0)</f>
        <v>0</v>
      </c>
      <c r="T127" s="35">
        <f ca="1">IF(AND(COLUMN()&gt;=11,COLUMN()&lt;=20),(_xlfn.XLOOKUP($A127,'Oferta Producto 3'!$B$10:$B$21,'Oferta Producto 3'!$E$10:$E$21))/SUMIF($A$7:$AC$128,$A127,$AB$6:$AB$127)*T$5,0)</f>
        <v>0</v>
      </c>
      <c r="U127" s="35">
        <f>IF(AND(COLUMN()&gt;=11,COLUMN()&lt;=20),(_xlfn.XLOOKUP($A127,'Oferta Producto 3'!$B$10:$B$21,'Oferta Producto 3'!$E$10:$E$21))/SUMIF($A$7:$AC$128,$A127,$AB$6:$AB$127)*U$5,0)</f>
        <v>0</v>
      </c>
      <c r="V127" s="35">
        <f>IF(AND(COLUMN()&gt;=11,COLUMN()&lt;=20),(_xlfn.XLOOKUP($A127,'Oferta Producto 3'!$B$10:$B$21,'Oferta Producto 3'!$E$10:$E$21))/SUMIF($A$7:$AC$128,$A127,$AB$6:$AB$127)*V$5,0)</f>
        <v>0</v>
      </c>
      <c r="W127" s="35">
        <f>IF(AND(COLUMN()&gt;=11,COLUMN()&lt;=20),(_xlfn.XLOOKUP($A127,'Oferta Producto 3'!$B$10:$B$21,'Oferta Producto 3'!$E$10:$E$21))/SUMIF($A$7:$AC$128,$A127,$AB$6:$AB$127)*W$5,0)</f>
        <v>0</v>
      </c>
      <c r="X127" s="35">
        <f>IF(AND(COLUMN()&gt;=11,COLUMN()&lt;=20),(_xlfn.XLOOKUP($A127,'Oferta Producto 3'!$B$10:$B$21,'Oferta Producto 3'!$E$10:$E$21))/SUMIF($A$7:$AC$128,$A127,$AB$6:$AB$127)*X$5,0)</f>
        <v>0</v>
      </c>
      <c r="Y127" s="35">
        <f>IF(AND(COLUMN()&gt;=11,COLUMN()&lt;=20),(_xlfn.XLOOKUP($A127,'Oferta Producto 3'!$B$10:$B$21,'Oferta Producto 3'!$E$10:$E$21))/SUMIF($A$7:$AC$128,$A127,$AB$6:$AB$127)*Y$5,0)</f>
        <v>0</v>
      </c>
      <c r="Z127" s="35">
        <f>IF(AND(COLUMN()&gt;=11,COLUMN()&lt;=20),(_xlfn.XLOOKUP($A127,'Oferta Producto 3'!$B$10:$B$21,'Oferta Producto 3'!$E$10:$E$21))/SUMIF($A$7:$AC$128,$A127,$AB$6:$AB$127)*Z$5,0)</f>
        <v>0</v>
      </c>
      <c r="AA127" s="35">
        <f t="shared" ca="1" si="16"/>
        <v>0</v>
      </c>
      <c r="AB127" s="28">
        <f t="shared" si="10"/>
        <v>31</v>
      </c>
      <c r="AC127" s="29">
        <f t="shared" ca="1" si="11"/>
        <v>0</v>
      </c>
      <c r="AD127" s="48">
        <f ca="1">'Curvas Prod 3'!AC127/SUMIF('Curvas Prod 3'!A125:AC270,'Curva de la oferta Prod 3'!$A127,'Curvas Prod 3'!AC125:AC270)</f>
        <v>0.33695652173913043</v>
      </c>
      <c r="AE127" s="45"/>
    </row>
    <row r="128" spans="1:37" ht="15">
      <c r="B128" s="30" t="s">
        <v>45</v>
      </c>
      <c r="C128" s="31">
        <f t="shared" ref="C128:AC128" si="17">+SUM(C8:C127)</f>
        <v>0</v>
      </c>
      <c r="D128" s="31">
        <f t="shared" si="17"/>
        <v>0</v>
      </c>
      <c r="E128" s="31">
        <f t="shared" si="17"/>
        <v>0</v>
      </c>
      <c r="F128" s="31">
        <f t="shared" si="17"/>
        <v>0</v>
      </c>
      <c r="G128" s="31">
        <f t="shared" si="17"/>
        <v>0</v>
      </c>
      <c r="H128" s="31">
        <f t="shared" si="17"/>
        <v>0</v>
      </c>
      <c r="I128" s="31">
        <f t="shared" si="17"/>
        <v>0</v>
      </c>
      <c r="J128" s="31">
        <f t="shared" si="17"/>
        <v>0</v>
      </c>
      <c r="K128" s="31">
        <f t="shared" ca="1" si="17"/>
        <v>0</v>
      </c>
      <c r="L128" s="31">
        <f t="shared" ca="1" si="17"/>
        <v>0</v>
      </c>
      <c r="M128" s="31">
        <f t="shared" ca="1" si="17"/>
        <v>0</v>
      </c>
      <c r="N128" s="31">
        <f t="shared" ca="1" si="17"/>
        <v>0</v>
      </c>
      <c r="O128" s="31">
        <f t="shared" ca="1" si="17"/>
        <v>0</v>
      </c>
      <c r="P128" s="31">
        <f t="shared" ca="1" si="17"/>
        <v>0</v>
      </c>
      <c r="Q128" s="31">
        <f t="shared" ca="1" si="17"/>
        <v>0</v>
      </c>
      <c r="R128" s="31">
        <f t="shared" ca="1" si="17"/>
        <v>0</v>
      </c>
      <c r="S128" s="31">
        <f t="shared" ca="1" si="17"/>
        <v>0</v>
      </c>
      <c r="T128" s="31">
        <f t="shared" ca="1" si="17"/>
        <v>0</v>
      </c>
      <c r="U128" s="31">
        <f t="shared" si="17"/>
        <v>0</v>
      </c>
      <c r="V128" s="31">
        <f t="shared" si="17"/>
        <v>0</v>
      </c>
      <c r="W128" s="31">
        <f t="shared" si="17"/>
        <v>0</v>
      </c>
      <c r="X128" s="31">
        <f t="shared" si="17"/>
        <v>0</v>
      </c>
      <c r="Y128" s="31">
        <f t="shared" si="17"/>
        <v>0</v>
      </c>
      <c r="Z128" s="31">
        <f t="shared" si="17"/>
        <v>0</v>
      </c>
      <c r="AA128" s="31">
        <f t="shared" ca="1" si="17"/>
        <v>0</v>
      </c>
      <c r="AB128" s="32">
        <f t="shared" si="17"/>
        <v>3652</v>
      </c>
      <c r="AC128" s="33">
        <f t="shared" ca="1" si="17"/>
        <v>0</v>
      </c>
      <c r="AD128" s="37"/>
      <c r="AE128"/>
    </row>
  </sheetData>
  <mergeCells count="29">
    <mergeCell ref="U6:U7"/>
    <mergeCell ref="AD6:AD7"/>
    <mergeCell ref="W6:W7"/>
    <mergeCell ref="X6:X7"/>
    <mergeCell ref="Y6:Y7"/>
    <mergeCell ref="Z6:Z7"/>
    <mergeCell ref="AA6:AA7"/>
    <mergeCell ref="AC6:AC7"/>
    <mergeCell ref="P6:P7"/>
    <mergeCell ref="Q6:Q7"/>
    <mergeCell ref="R6:R7"/>
    <mergeCell ref="S6:S7"/>
    <mergeCell ref="T6:T7"/>
    <mergeCell ref="B3:AC4"/>
    <mergeCell ref="B6:B7"/>
    <mergeCell ref="C6:C7"/>
    <mergeCell ref="D6:D7"/>
    <mergeCell ref="E6:E7"/>
    <mergeCell ref="F6:F7"/>
    <mergeCell ref="G6:G7"/>
    <mergeCell ref="H6:H7"/>
    <mergeCell ref="I6:I7"/>
    <mergeCell ref="J6:J7"/>
    <mergeCell ref="V6:V7"/>
    <mergeCell ref="K6:K7"/>
    <mergeCell ref="L6:L7"/>
    <mergeCell ref="M6:M7"/>
    <mergeCell ref="N6:N7"/>
    <mergeCell ref="O6:O7"/>
  </mergeCell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7826b54-de19-49ee-ac62-b1fe1744a0de">
      <Terms xmlns="http://schemas.microsoft.com/office/infopath/2007/PartnerControls"/>
    </lcf76f155ced4ddcb4097134ff3c332f>
    <_Flow_SignoffStatus xmlns="97826b54-de19-49ee-ac62-b1fe1744a0d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7C52967167A474ABDD27D334443AB95" ma:contentTypeVersion="17" ma:contentTypeDescription="Crear nuevo documento." ma:contentTypeScope="" ma:versionID="ba833d6359d7df74459172482d8172c8">
  <xsd:schema xmlns:xsd="http://www.w3.org/2001/XMLSchema" xmlns:xs="http://www.w3.org/2001/XMLSchema" xmlns:p="http://schemas.microsoft.com/office/2006/metadata/properties" xmlns:ns2="97826b54-de19-49ee-ac62-b1fe1744a0de" xmlns:ns3="6f62393a-a723-485e-8b8f-7b0cfe5ca86a" targetNamespace="http://schemas.microsoft.com/office/2006/metadata/properties" ma:root="true" ma:fieldsID="70e3d65725e8fec4c358c9595bfb3d1b" ns2:_="" ns3:_="">
    <xsd:import namespace="97826b54-de19-49ee-ac62-b1fe1744a0de"/>
    <xsd:import namespace="6f62393a-a723-485e-8b8f-7b0cfe5ca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2:MediaLengthInSeconds" minOccurs="0"/>
                <xsd:element ref="ns2:MediaServiceLocation" minOccurs="0"/>
                <xsd:element ref="ns2:MediaServiceObjectDetectorVersion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826b54-de19-49ee-ac62-b1fe1744a0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db1d78a8-738e-47a1-8bbf-6fb1ef3f4387" ma:termSetId="09814cd3-568e-fe90-9814-8d621ff8fb84" ma:anchorId="fba54fb3-c3e1-fe81-a776-ca4b69148c4d" ma:open="true" ma:isKeyword="false">
      <xsd:complexType>
        <xsd:sequence>
          <xsd:element ref="pc:Terms" minOccurs="0" maxOccurs="1"/>
        </xsd:sequence>
      </xsd:complex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Estado de aprobación" ma:internalName="Estado_x0020_de_x0020_aprobaci_x00f3_n">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62393a-a723-485e-8b8f-7b0cfe5ca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C510ED-68D5-4D76-B3BB-716EE86FE5BF}">
  <ds:schemaRefs>
    <ds:schemaRef ds:uri="http://schemas.microsoft.com/sharepoint/v3/contenttype/forms"/>
  </ds:schemaRefs>
</ds:datastoreItem>
</file>

<file path=customXml/itemProps2.xml><?xml version="1.0" encoding="utf-8"?>
<ds:datastoreItem xmlns:ds="http://schemas.openxmlformats.org/officeDocument/2006/customXml" ds:itemID="{FCE9BDAB-B4A8-41DB-A341-C96601AED392}">
  <ds:schemaRefs>
    <ds:schemaRef ds:uri="http://schemas.microsoft.com/office/2006/metadata/properties"/>
    <ds:schemaRef ds:uri="http://schemas.microsoft.com/office/infopath/2007/PartnerControls"/>
    <ds:schemaRef ds:uri="97826b54-de19-49ee-ac62-b1fe1744a0de"/>
  </ds:schemaRefs>
</ds:datastoreItem>
</file>

<file path=customXml/itemProps3.xml><?xml version="1.0" encoding="utf-8"?>
<ds:datastoreItem xmlns:ds="http://schemas.openxmlformats.org/officeDocument/2006/customXml" ds:itemID="{35A5B1AB-C40D-4CB6-AF30-FB1464F1DD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826b54-de19-49ee-ac62-b1fe1744a0de"/>
    <ds:schemaRef ds:uri="6f62393a-a723-485e-8b8f-7b0cfe5ca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3</vt:i4>
      </vt:variant>
    </vt:vector>
  </HeadingPairs>
  <TitlesOfParts>
    <vt:vector size="12" baseType="lpstr">
      <vt:lpstr>Oferta Producto 1</vt:lpstr>
      <vt:lpstr>Curvas Prod 1</vt:lpstr>
      <vt:lpstr>Curva de la oferta Prod 1</vt:lpstr>
      <vt:lpstr>Oferta Producto 2</vt:lpstr>
      <vt:lpstr>Curvas Prod 2</vt:lpstr>
      <vt:lpstr>Curva de la oferta Prod 2</vt:lpstr>
      <vt:lpstr>Oferta Producto 3</vt:lpstr>
      <vt:lpstr>Curvas Prod 3</vt:lpstr>
      <vt:lpstr>Curva de la oferta Prod 3</vt:lpstr>
      <vt:lpstr>'Oferta Producto 1'!Área_de_impresión</vt:lpstr>
      <vt:lpstr>'Oferta Producto 2'!Área_de_impresión</vt:lpstr>
      <vt:lpstr>'Oferta Producto 3'!Área_de_impresión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Robinson Rojas Valderrama</dc:creator>
  <cp:keywords/>
  <dc:description/>
  <cp:lastModifiedBy>Robinson Rojas Valderrama</cp:lastModifiedBy>
  <cp:revision/>
  <dcterms:created xsi:type="dcterms:W3CDTF">2022-10-20T15:28:19Z</dcterms:created>
  <dcterms:modified xsi:type="dcterms:W3CDTF">2025-05-09T22:28:49Z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0x01010027C52967167A474ABDD27D334443AB95</vt:lpwstr>
  </property>
  <property fmtid="{D5CDD505-2E9C-101B-9397-08002B2CF9AE}" pid="3" name="MediaServiceImageTags">
    <vt:lpwstr/>
  </property>
</Properties>
</file>