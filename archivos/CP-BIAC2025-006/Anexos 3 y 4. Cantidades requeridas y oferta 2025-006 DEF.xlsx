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t. Requeridas Producto 1" sheetId="1" r:id="rId4"/>
    <sheet state="visible" name="Oferta Producto 1" sheetId="2" r:id="rId5"/>
    <sheet state="visible" name="Cant. Requeridas Producto 2" sheetId="3" r:id="rId6"/>
    <sheet state="visible" name="Oferta Producto 2" sheetId="4" r:id="rId7"/>
    <sheet state="visible" name="Cant. Requeridas Producto 3" sheetId="5" r:id="rId8"/>
    <sheet state="visible" name="Oferta Producto 3" sheetId="6" r:id="rId9"/>
    <sheet state="visible" name="Cant. Requeridas Producto 4" sheetId="7" r:id="rId10"/>
    <sheet state="visible" name="Oferta Producto 4" sheetId="8" r:id="rId11"/>
    <sheet state="visible" name="Cant. Requeridas Producto 5" sheetId="9" r:id="rId12"/>
    <sheet state="visible" name="Oferta Producto 5" sheetId="10" r:id="rId13"/>
    <sheet state="visible" name="Cant. Requeridas Producto 6" sheetId="11" r:id="rId14"/>
    <sheet state="visible" name="Oferta Producto 6" sheetId="12" r:id="rId15"/>
  </sheets>
  <definedNames/>
  <calcPr/>
  <extLst>
    <ext uri="GoogleSheetsCustomDataVersion2">
      <go:sheetsCustomData xmlns:go="http://customooxmlschemas.google.com/" r:id="rId16" roundtripDataChecksum="pmdlaxXedmN5aXEL1ZlFzby00lQbJi45mNmfHCIp6WI="/>
    </ext>
  </extLst>
</workbook>
</file>

<file path=xl/sharedStrings.xml><?xml version="1.0" encoding="utf-8"?>
<sst xmlns="http://schemas.openxmlformats.org/spreadsheetml/2006/main" count="522" uniqueCount="71">
  <si>
    <t>ANEXO 3 - CANTIDADES DE  ENERGÍA SOLICITADA EN kWh</t>
  </si>
  <si>
    <t>PRODUCTO 1 - PAGUE LO CONTRATADO</t>
  </si>
  <si>
    <t>Periodo: 12 de febrero 2026 a 31 diciembre de 2026</t>
  </si>
  <si>
    <t>CONVOCATORIA PÚBLICA N° CP-BIAC2025-006 - BIA ENERGY S.A.S. E.S.P.</t>
  </si>
  <si>
    <t>Mes</t>
  </si>
  <si>
    <t>Tipo de día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</si>
  <si>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</si>
  <si>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</si>
  <si>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</si>
  <si>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</si>
  <si>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</si>
  <si>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</si>
  <si>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</si>
  <si>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</si>
  <si>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</si>
  <si>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</si>
  <si>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</si>
  <si>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</si>
  <si>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</si>
  <si>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</si>
  <si>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</si>
  <si>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</si>
  <si>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</si>
  <si>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</si>
  <si>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</si>
  <si>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</si>
  <si>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</si>
  <si>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</si>
  <si>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</si>
  <si>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</si>
  <si>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DÍA</t>
  </si>
  <si>
    <t>DÍAS</t>
  </si>
  <si>
    <t>TOTAL</t>
  </si>
  <si>
    <t>TOTAL MES</t>
  </si>
  <si>
    <t>Ordinario</t>
  </si>
  <si>
    <t>Sábado</t>
  </si>
  <si>
    <t>Festivo</t>
  </si>
  <si>
    <t>ANEXO 4. FORMATO DE OFERTA - PRODUCTO 1</t>
  </si>
  <si>
    <t xml:space="preserve">NOMBRE DEL OFERENTE                                        
</t>
  </si>
  <si>
    <t>Precios y cantidades de la energía ofertada</t>
  </si>
  <si>
    <t>En pesos de septiembre de 2025</t>
  </si>
  <si>
    <t>OPCIÓN 24 HORAS</t>
  </si>
  <si>
    <t>E. Solicitada
[kWh-mes]</t>
  </si>
  <si>
    <t>% E. Ofertada</t>
  </si>
  <si>
    <t>E. Ofertada
[kWh-mes]</t>
  </si>
  <si>
    <t>$/kWh</t>
  </si>
  <si>
    <t>El oferente debe indicar si acepta adjudicaciones parciales o no</t>
  </si>
  <si>
    <t>• Para el periodo de 2026, se puede presentar oferta con diferente porcentaje cada 
mes, incluyendo el 0%</t>
  </si>
  <si>
    <t>• El precio ofertado podrá ser diferente para cada mes del producto, expresado en 
$/kWh, con hasta dos (2) decimales</t>
  </si>
  <si>
    <t>Leonardo Velasquez</t>
  </si>
  <si>
    <t>BIA ENERGY S.A.S. E.S.P.</t>
  </si>
  <si>
    <t>PRODUCTO 2 - PAGUE LO CONTRATADO</t>
  </si>
  <si>
    <t>ANEXO 4. FORMATO DE OFERTA - PRODUCTO 2</t>
  </si>
  <si>
    <t>• Para el año 2026, se debe presentar oferta con un único porcentaje.</t>
  </si>
  <si>
    <t>• El precio ofertado debe ser único para el año del producto, expresado en $/kWh, con hasta dos (2) decimales.</t>
  </si>
  <si>
    <t>PRODUCTO 3 - PAGUE LO CONTRATADO</t>
  </si>
  <si>
    <t>Periodo: 1 de enero 2027 a 31 diciembre de 2027</t>
  </si>
  <si>
    <t>ANEXO 4. FORMATO DE OFERTA - PRODUCTO 3</t>
  </si>
  <si>
    <t>• Para el año 2027, se debe presentar oferta con un único porcentaje.</t>
  </si>
  <si>
    <t>PRODUCTO 4 - PAGUE LO CONTRATADO</t>
  </si>
  <si>
    <t>Periodo: 1 de enero 2028 a 31 diciembre de 2028</t>
  </si>
  <si>
    <t>ANEXO 4. FORMATO DE OFERTA - PRODUCTO 4</t>
  </si>
  <si>
    <t>• Para el año 2028, se debe presentar oferta con un único porcentaje.</t>
  </si>
  <si>
    <t>PRODUCTO 5 - PAGUE LO CONTRATADO</t>
  </si>
  <si>
    <t>Periodo: 1 de enero 2029 a 31 diciembre de 2029</t>
  </si>
  <si>
    <t>ANEXO 4. FORMATO DE OFERTA - PRODUCTO 5</t>
  </si>
  <si>
    <t>• Para el año 2029, se debe presentar oferta con un único porcentaje.</t>
  </si>
  <si>
    <t>PRODUCTO 6 - PAGUE LO CONTRATADO</t>
  </si>
  <si>
    <t>Periodo: 1 de enero 2030 a 31 diciembre de 2030</t>
  </si>
  <si>
    <t>ANEXO 4. FORMATO DE OFERTA - PRODUCTO 6</t>
  </si>
  <si>
    <t>• Para el año 2030, se debe presentar oferta con un único porcentaje.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</si>
</sst>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_-* #,##0\ _€_-;\-* #,##0\ _€_-;_-* &quot;-&quot;??\ _€_-;_-@"/>
    <numFmt numFmtId="166" formatCode="_-* #,##0_-;\-* #,##0_-;_-* &quot;-&quot;_-;_-@"/>
  </numFmts>
  <fonts count="11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/>
    <font>
      <b/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10.0"/>
      <color theme="1"/>
      <name val="Din-regular"/>
    </font>
    <font>
      <b/>
      <sz val="10.0"/>
      <color rgb="FF000000"/>
      <name val="Arial"/>
    </font>
    <font>
      <sz val="11.0"/>
      <color theme="1"/>
      <name val="Din-regular"/>
    </font>
  </fonts>
  <fills count="2">
    <fill>
      <patternFill patternType="none"/>
    </fill>
    <fill>
      <patternFill patternType="lightGray"/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3" xfId="0" applyFont="1" applyNumberFormat="1"/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1" numFmtId="3" xfId="0" applyAlignment="1" applyBorder="1" applyFont="1" applyNumberFormat="1">
      <alignment horizontal="center"/>
    </xf>
    <xf borderId="1" fillId="0" fontId="3" numFmtId="17" xfId="0" applyBorder="1" applyFont="1" applyNumberFormat="1"/>
    <xf borderId="1" fillId="0" fontId="3" numFmtId="4" xfId="0" applyBorder="1" applyFont="1" applyNumberFormat="1"/>
    <xf borderId="1" fillId="0" fontId="3" numFmtId="164" xfId="0" applyBorder="1" applyFont="1" applyNumberFormat="1"/>
    <xf borderId="2" fillId="0" fontId="3" numFmtId="164" xfId="0" applyAlignment="1" applyBorder="1" applyFont="1" applyNumberFormat="1">
      <alignment vertical="center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Font="1"/>
    <xf borderId="0" fillId="0" fontId="6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5" fillId="0" fontId="8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8" fillId="0" fontId="6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2" fillId="0" fontId="8" numFmtId="17" xfId="0" applyAlignment="1" applyBorder="1" applyFont="1" applyNumberFormat="1">
      <alignment horizontal="center" vertical="center"/>
    </xf>
    <xf borderId="13" fillId="0" fontId="10" numFmtId="165" xfId="0" applyAlignment="1" applyBorder="1" applyFont="1" applyNumberFormat="1">
      <alignment horizontal="center"/>
    </xf>
    <xf borderId="1" fillId="0" fontId="7" numFmtId="10" xfId="0" applyAlignment="1" applyBorder="1" applyFont="1" applyNumberFormat="1">
      <alignment horizontal="center" vertical="center"/>
    </xf>
    <xf borderId="13" fillId="0" fontId="2" numFmtId="165" xfId="0" applyAlignment="1" applyBorder="1" applyFont="1" applyNumberFormat="1">
      <alignment horizontal="center"/>
    </xf>
    <xf borderId="14" fillId="0" fontId="7" numFmtId="0" xfId="0" applyAlignment="1" applyBorder="1" applyFont="1">
      <alignment horizontal="center" vertical="center"/>
    </xf>
    <xf borderId="15" fillId="0" fontId="8" numFmtId="17" xfId="0" applyAlignment="1" applyBorder="1" applyFont="1" applyNumberFormat="1">
      <alignment horizontal="center" vertical="center"/>
    </xf>
    <xf borderId="16" fillId="0" fontId="10" numFmtId="165" xfId="0" applyAlignment="1" applyBorder="1" applyFont="1" applyNumberFormat="1">
      <alignment horizontal="center"/>
    </xf>
    <xf borderId="2" fillId="0" fontId="7" numFmtId="10" xfId="0" applyAlignment="1" applyBorder="1" applyFont="1" applyNumberFormat="1">
      <alignment horizontal="center" vertical="center"/>
    </xf>
    <xf borderId="16" fillId="0" fontId="2" numFmtId="165" xfId="0" applyAlignment="1" applyBorder="1" applyFont="1" applyNumberFormat="1">
      <alignment horizontal="center"/>
    </xf>
    <xf borderId="17" fillId="0" fontId="7" numFmtId="0" xfId="0" applyAlignment="1" applyBorder="1" applyFont="1">
      <alignment horizontal="center" vertical="center"/>
    </xf>
    <xf borderId="18" fillId="0" fontId="8" numFmtId="17" xfId="0" applyAlignment="1" applyBorder="1" applyFont="1" applyNumberFormat="1">
      <alignment horizontal="left" vertical="center"/>
    </xf>
    <xf borderId="18" fillId="0" fontId="8" numFmtId="166" xfId="0" applyAlignment="1" applyBorder="1" applyFont="1" applyNumberFormat="1">
      <alignment horizontal="center" vertical="center"/>
    </xf>
    <xf borderId="18" fillId="0" fontId="7" numFmtId="0" xfId="0" applyBorder="1" applyFont="1"/>
    <xf borderId="0" fillId="0" fontId="8" numFmtId="4" xfId="0" applyAlignment="1" applyFont="1" applyNumberFormat="1">
      <alignment horizontal="center"/>
    </xf>
    <xf borderId="0" fillId="0" fontId="3" numFmtId="4" xfId="0" applyFont="1" applyNumberFormat="1"/>
    <xf borderId="0" fillId="0" fontId="3" numFmtId="0" xfId="0" applyAlignment="1" applyFont="1">
      <alignment horizontal="left" shrinkToFit="0" wrapText="1"/>
    </xf>
    <xf borderId="19" fillId="0" fontId="3" numFmtId="0" xfId="0" applyBorder="1" applyFont="1"/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shrinkToFit="0" wrapText="1"/>
    </xf>
    <xf borderId="20" fillId="0" fontId="3" numFmtId="0" xfId="0" applyBorder="1" applyFont="1"/>
    <xf borderId="21" fillId="0" fontId="8" numFmtId="0" xfId="0" applyAlignment="1" applyBorder="1" applyFont="1">
      <alignment horizontal="center"/>
    </xf>
    <xf borderId="22" fillId="0" fontId="4" numFmtId="0" xfId="0" applyBorder="1" applyFont="1"/>
    <xf borderId="23" fillId="0" fontId="4" numFmtId="0" xfId="0" applyBorder="1" applyFont="1"/>
    <xf borderId="24" fillId="0" fontId="8" numFmtId="0" xfId="0" applyAlignment="1" applyBorder="1" applyFont="1">
      <alignment horizontal="center" shrinkToFit="0" vertical="center" wrapText="1"/>
    </xf>
    <xf borderId="25" fillId="0" fontId="10" numFmtId="165" xfId="0" applyAlignment="1" applyBorder="1" applyFont="1" applyNumberFormat="1">
      <alignment horizontal="center"/>
    </xf>
    <xf borderId="26" fillId="0" fontId="7" numFmtId="10" xfId="0" applyAlignment="1" applyBorder="1" applyFont="1" applyNumberFormat="1">
      <alignment horizontal="center" vertical="center"/>
    </xf>
    <xf borderId="25" fillId="0" fontId="2" numFmtId="165" xfId="0" applyAlignment="1" applyBorder="1" applyFont="1" applyNumberFormat="1">
      <alignment horizontal="center"/>
    </xf>
    <xf borderId="26" fillId="0" fontId="7" numFmtId="0" xfId="0" applyAlignment="1" applyBorder="1" applyFont="1">
      <alignment horizontal="center" vertical="center"/>
    </xf>
    <xf borderId="27" fillId="0" fontId="4" numFmtId="0" xfId="0" applyBorder="1" applyFont="1"/>
    <xf borderId="28" fillId="0" fontId="4" numFmtId="0" xfId="0" applyBorder="1" applyFont="1"/>
    <xf borderId="12" fillId="0" fontId="6" numFmtId="17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4" width="10.71"/>
    <col customWidth="1" min="5" max="5" width="11.29"/>
    <col customWidth="1" min="6" max="26" width="10.71"/>
    <col customWidth="1" min="27" max="27" width="13.43"/>
    <col customWidth="1" min="28" max="28" width="7.86"/>
    <col customWidth="1" min="29" max="30" width="18.43"/>
  </cols>
  <sheetData>
    <row r="1" ht="14.25" customHeight="1">
      <c r="A1" s="1" t="s">
        <v>0</v>
      </c>
      <c r="AD1" s="1"/>
    </row>
    <row r="2" ht="14.25" customHeight="1">
      <c r="A2" s="1" t="s">
        <v>1</v>
      </c>
      <c r="AD2" s="1"/>
    </row>
    <row r="3" ht="14.25" customHeight="1">
      <c r="A3" s="1" t="s">
        <v>2</v>
      </c>
      <c r="AD3" s="1"/>
    </row>
    <row r="4" ht="14.25" customHeight="1">
      <c r="A4" s="1" t="s">
        <v>3</v>
      </c>
      <c r="AD4" s="1"/>
    </row>
    <row r="5" ht="14.25" customHeight="1">
      <c r="A5" s="2"/>
      <c r="B5" s="3"/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4"/>
      <c r="X5" s="4"/>
      <c r="Y5" s="4"/>
      <c r="Z5" s="4"/>
      <c r="AA5" s="4"/>
      <c r="AB5" s="4"/>
    </row>
    <row r="6" ht="14.25" customHeight="1">
      <c r="A6" s="2"/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4"/>
      <c r="X6" s="4"/>
      <c r="Y6" s="4"/>
      <c r="Z6" s="4"/>
      <c r="AA6" s="4"/>
      <c r="AB6" s="4"/>
    </row>
    <row r="7" ht="14.25" customHeight="1">
      <c r="A7" s="2"/>
      <c r="B7" s="3"/>
      <c r="C7" s="3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4.25" customHeight="1">
      <c r="A8" s="2"/>
      <c r="B8" s="3"/>
      <c r="C8" s="3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4.25" customHeight="1">
      <c r="A9" s="5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6" t="s">
        <v>13</v>
      </c>
      <c r="K9" s="6" t="s">
        <v>14</v>
      </c>
      <c r="L9" s="6" t="s">
        <v>15</v>
      </c>
      <c r="M9" s="6" t="s">
        <v>16</v>
      </c>
      <c r="N9" s="6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  <c r="Z9" s="6" t="s">
        <v>29</v>
      </c>
      <c r="AA9" s="6" t="s">
        <v>30</v>
      </c>
      <c r="AB9" s="6" t="s">
        <v>31</v>
      </c>
      <c r="AC9" s="6" t="s">
        <v>32</v>
      </c>
      <c r="AD9" s="6" t="s">
        <v>33</v>
      </c>
    </row>
    <row r="10" ht="14.25" customHeight="1">
      <c r="A10" s="7">
        <v>46054.0</v>
      </c>
      <c r="B10" s="8" t="s">
        <v>34</v>
      </c>
      <c r="C10" s="8">
        <v>1405.315</v>
      </c>
      <c r="D10" s="8">
        <v>1384.18</v>
      </c>
      <c r="E10" s="8">
        <v>1326.6725</v>
      </c>
      <c r="F10" s="8">
        <v>1313.85</v>
      </c>
      <c r="G10" s="8">
        <v>1384.025</v>
      </c>
      <c r="H10" s="8">
        <v>1491.9075</v>
      </c>
      <c r="I10" s="8">
        <v>1923.37</v>
      </c>
      <c r="J10" s="8">
        <v>2475.895</v>
      </c>
      <c r="K10" s="8">
        <v>2865.0975</v>
      </c>
      <c r="L10" s="8">
        <v>3060.1025</v>
      </c>
      <c r="M10" s="8">
        <v>3287.2575</v>
      </c>
      <c r="N10" s="8">
        <v>3319.49</v>
      </c>
      <c r="O10" s="8">
        <v>3246.675</v>
      </c>
      <c r="P10" s="8">
        <v>3317.49</v>
      </c>
      <c r="Q10" s="8">
        <v>3282.96</v>
      </c>
      <c r="R10" s="8">
        <v>3221.665</v>
      </c>
      <c r="S10" s="8">
        <v>3062.2125</v>
      </c>
      <c r="T10" s="8">
        <v>2806.9275</v>
      </c>
      <c r="U10" s="8">
        <v>2661.5725</v>
      </c>
      <c r="V10" s="8">
        <v>2458.0875</v>
      </c>
      <c r="W10" s="8">
        <v>2215.495</v>
      </c>
      <c r="X10" s="8">
        <v>2013.3225</v>
      </c>
      <c r="Y10" s="8">
        <v>1768.745</v>
      </c>
      <c r="Z10" s="8">
        <v>1596.8275</v>
      </c>
      <c r="AA10" s="9">
        <f t="shared" ref="AA10:AA42" si="1">SUM(C10:Z10)</f>
        <v>56889.1425</v>
      </c>
      <c r="AB10" s="9">
        <v>12.0</v>
      </c>
      <c r="AC10" s="9">
        <f t="shared" ref="AC10:AC42" si="2">AA10*AB10</f>
        <v>682669.71</v>
      </c>
      <c r="AD10" s="10">
        <f>SUM(AC10:AC12)</f>
        <v>866201.6925</v>
      </c>
    </row>
    <row r="11" ht="14.25" customHeight="1">
      <c r="A11" s="7">
        <v>46054.0</v>
      </c>
      <c r="B11" s="8" t="s">
        <v>35</v>
      </c>
      <c r="C11" s="8">
        <v>1603.7575</v>
      </c>
      <c r="D11" s="8">
        <v>1516.56</v>
      </c>
      <c r="E11" s="8">
        <v>1461.785</v>
      </c>
      <c r="F11" s="8">
        <v>1479.4375</v>
      </c>
      <c r="G11" s="8">
        <v>1536.8525</v>
      </c>
      <c r="H11" s="8">
        <v>1479.0975</v>
      </c>
      <c r="I11" s="8">
        <v>1642.53</v>
      </c>
      <c r="J11" s="8">
        <v>1241.81</v>
      </c>
      <c r="K11" s="8">
        <v>2148.59</v>
      </c>
      <c r="L11" s="8">
        <v>2348.76</v>
      </c>
      <c r="M11" s="8">
        <v>2610.2</v>
      </c>
      <c r="N11" s="8">
        <v>2486.415</v>
      </c>
      <c r="O11" s="8">
        <v>2484.8225</v>
      </c>
      <c r="P11" s="8">
        <v>2406.595</v>
      </c>
      <c r="Q11" s="8">
        <v>2340.0025</v>
      </c>
      <c r="R11" s="8">
        <v>2306.675</v>
      </c>
      <c r="S11" s="8">
        <v>2222.0425</v>
      </c>
      <c r="T11" s="8">
        <v>2058.22</v>
      </c>
      <c r="U11" s="8">
        <v>2021.3275</v>
      </c>
      <c r="V11" s="8">
        <v>1835.315</v>
      </c>
      <c r="W11" s="8">
        <v>1616.2425</v>
      </c>
      <c r="X11" s="8">
        <v>1492.5425</v>
      </c>
      <c r="Y11" s="8">
        <v>1311.43</v>
      </c>
      <c r="Z11" s="8">
        <v>1146.2425</v>
      </c>
      <c r="AA11" s="9">
        <f t="shared" si="1"/>
        <v>44797.2525</v>
      </c>
      <c r="AB11" s="9">
        <v>3.0</v>
      </c>
      <c r="AC11" s="9">
        <f t="shared" si="2"/>
        <v>134391.7575</v>
      </c>
      <c r="AD11" s="11"/>
    </row>
    <row r="12" ht="14.25" customHeight="1">
      <c r="A12" s="7">
        <v>46054.0</v>
      </c>
      <c r="B12" s="8" t="s">
        <v>36</v>
      </c>
      <c r="C12" s="8">
        <v>1095.5375</v>
      </c>
      <c r="D12" s="8">
        <v>1055.55</v>
      </c>
      <c r="E12" s="8">
        <v>1022.5225</v>
      </c>
      <c r="F12" s="8">
        <v>966.745</v>
      </c>
      <c r="G12" s="8">
        <v>964.755</v>
      </c>
      <c r="H12" s="8">
        <v>968.4975</v>
      </c>
      <c r="I12" s="8">
        <v>1061.2175</v>
      </c>
      <c r="J12" s="8">
        <v>0.0</v>
      </c>
      <c r="K12" s="8">
        <v>0.0</v>
      </c>
      <c r="L12" s="8">
        <v>192.985</v>
      </c>
      <c r="M12" s="8">
        <v>789.325</v>
      </c>
      <c r="N12" s="8">
        <v>1138.0975</v>
      </c>
      <c r="O12" s="8">
        <v>1218.5875</v>
      </c>
      <c r="P12" s="8">
        <v>1139.4325</v>
      </c>
      <c r="Q12" s="8">
        <v>981.545</v>
      </c>
      <c r="R12" s="8">
        <v>917.855</v>
      </c>
      <c r="S12" s="8">
        <v>899.7925</v>
      </c>
      <c r="T12" s="8">
        <v>1544.6</v>
      </c>
      <c r="U12" s="8">
        <v>1609.885</v>
      </c>
      <c r="V12" s="8">
        <v>1580.6225</v>
      </c>
      <c r="W12" s="8">
        <v>1527.6275</v>
      </c>
      <c r="X12" s="8">
        <v>1400.105</v>
      </c>
      <c r="Y12" s="8">
        <v>1286.78</v>
      </c>
      <c r="Z12" s="8">
        <v>1208.0475</v>
      </c>
      <c r="AA12" s="9">
        <f t="shared" si="1"/>
        <v>24570.1125</v>
      </c>
      <c r="AB12" s="9">
        <v>2.0</v>
      </c>
      <c r="AC12" s="9">
        <f t="shared" si="2"/>
        <v>49140.225</v>
      </c>
      <c r="AD12" s="12"/>
    </row>
    <row r="13" ht="14.25" customHeight="1">
      <c r="A13" s="7">
        <v>46082.0</v>
      </c>
      <c r="B13" s="8" t="s">
        <v>34</v>
      </c>
      <c r="C13" s="8">
        <v>2304.7166</v>
      </c>
      <c r="D13" s="8">
        <v>2270.0552</v>
      </c>
      <c r="E13" s="8">
        <v>2175.7429</v>
      </c>
      <c r="F13" s="8">
        <v>2154.714</v>
      </c>
      <c r="G13" s="8">
        <v>2269.801</v>
      </c>
      <c r="H13" s="8">
        <v>2446.7283</v>
      </c>
      <c r="I13" s="8">
        <v>3154.3268</v>
      </c>
      <c r="J13" s="8">
        <v>4060.4678</v>
      </c>
      <c r="K13" s="8">
        <v>4698.7599</v>
      </c>
      <c r="L13" s="8">
        <v>5018.5681</v>
      </c>
      <c r="M13" s="8">
        <v>5391.1023</v>
      </c>
      <c r="N13" s="8">
        <v>5443.9636</v>
      </c>
      <c r="O13" s="8">
        <v>5324.547</v>
      </c>
      <c r="P13" s="8">
        <v>5440.6836</v>
      </c>
      <c r="Q13" s="8">
        <v>5384.0544</v>
      </c>
      <c r="R13" s="8">
        <v>5283.5306</v>
      </c>
      <c r="S13" s="8">
        <v>5022.0285</v>
      </c>
      <c r="T13" s="8">
        <v>4603.3611</v>
      </c>
      <c r="U13" s="8">
        <v>4364.9789</v>
      </c>
      <c r="V13" s="8">
        <v>4031.2635</v>
      </c>
      <c r="W13" s="8">
        <v>3633.4118</v>
      </c>
      <c r="X13" s="8">
        <v>3301.8489</v>
      </c>
      <c r="Y13" s="8">
        <v>2900.7418</v>
      </c>
      <c r="Z13" s="8">
        <v>2618.7971</v>
      </c>
      <c r="AA13" s="9">
        <f t="shared" si="1"/>
        <v>93298.1937</v>
      </c>
      <c r="AB13" s="9">
        <v>21.0</v>
      </c>
      <c r="AC13" s="9">
        <f t="shared" si="2"/>
        <v>1959262.068</v>
      </c>
      <c r="AD13" s="10">
        <f>SUM(AC13:AC15)</f>
        <v>2494901.951</v>
      </c>
    </row>
    <row r="14" ht="14.25" customHeight="1">
      <c r="A14" s="7">
        <v>46082.0</v>
      </c>
      <c r="B14" s="8" t="s">
        <v>35</v>
      </c>
      <c r="C14" s="8">
        <v>2630.1623</v>
      </c>
      <c r="D14" s="8">
        <v>2487.1584</v>
      </c>
      <c r="E14" s="8">
        <v>2397.3274</v>
      </c>
      <c r="F14" s="8">
        <v>2426.2775</v>
      </c>
      <c r="G14" s="8">
        <v>2520.4381</v>
      </c>
      <c r="H14" s="8">
        <v>2425.7199</v>
      </c>
      <c r="I14" s="8">
        <v>2693.7492</v>
      </c>
      <c r="J14" s="8">
        <v>2036.5684</v>
      </c>
      <c r="K14" s="8">
        <v>3523.6876</v>
      </c>
      <c r="L14" s="8">
        <v>3851.9664</v>
      </c>
      <c r="M14" s="8">
        <v>4280.728</v>
      </c>
      <c r="N14" s="8">
        <v>4077.7206</v>
      </c>
      <c r="O14" s="8">
        <v>4075.1089</v>
      </c>
      <c r="P14" s="8">
        <v>3946.8158</v>
      </c>
      <c r="Q14" s="8">
        <v>3837.6041</v>
      </c>
      <c r="R14" s="8">
        <v>3782.947</v>
      </c>
      <c r="S14" s="8">
        <v>3644.1497</v>
      </c>
      <c r="T14" s="8">
        <v>3375.4808</v>
      </c>
      <c r="U14" s="8">
        <v>3314.9771</v>
      </c>
      <c r="V14" s="8">
        <v>3009.9166</v>
      </c>
      <c r="W14" s="8">
        <v>2650.6377</v>
      </c>
      <c r="X14" s="8">
        <v>2447.7697</v>
      </c>
      <c r="Y14" s="8">
        <v>2150.7452</v>
      </c>
      <c r="Z14" s="8">
        <v>1879.8377</v>
      </c>
      <c r="AA14" s="9">
        <f t="shared" si="1"/>
        <v>73467.4941</v>
      </c>
      <c r="AB14" s="9">
        <v>4.0</v>
      </c>
      <c r="AC14" s="9">
        <f t="shared" si="2"/>
        <v>293869.9764</v>
      </c>
      <c r="AD14" s="11"/>
    </row>
    <row r="15" ht="14.25" customHeight="1">
      <c r="A15" s="7">
        <v>46082.0</v>
      </c>
      <c r="B15" s="8" t="s">
        <v>36</v>
      </c>
      <c r="C15" s="8">
        <v>1796.6815</v>
      </c>
      <c r="D15" s="8">
        <v>1731.102</v>
      </c>
      <c r="E15" s="8">
        <v>1676.9369</v>
      </c>
      <c r="F15" s="8">
        <v>1585.4618</v>
      </c>
      <c r="G15" s="8">
        <v>1582.1982</v>
      </c>
      <c r="H15" s="8">
        <v>1588.3359</v>
      </c>
      <c r="I15" s="8">
        <v>1740.3967</v>
      </c>
      <c r="J15" s="8">
        <v>0.0</v>
      </c>
      <c r="K15" s="8">
        <v>0.0</v>
      </c>
      <c r="L15" s="8">
        <v>316.4954</v>
      </c>
      <c r="M15" s="8">
        <v>1294.493</v>
      </c>
      <c r="N15" s="8">
        <v>1866.4799</v>
      </c>
      <c r="O15" s="8">
        <v>1998.4835</v>
      </c>
      <c r="P15" s="8">
        <v>1868.6693</v>
      </c>
      <c r="Q15" s="8">
        <v>1609.7338</v>
      </c>
      <c r="R15" s="8">
        <v>1505.2822</v>
      </c>
      <c r="S15" s="8">
        <v>1475.6597</v>
      </c>
      <c r="T15" s="8">
        <v>2533.144</v>
      </c>
      <c r="U15" s="8">
        <v>2640.2114</v>
      </c>
      <c r="V15" s="8">
        <v>2592.2209</v>
      </c>
      <c r="W15" s="8">
        <v>2505.3091</v>
      </c>
      <c r="X15" s="8">
        <v>2296.1722</v>
      </c>
      <c r="Y15" s="8">
        <v>2110.3192</v>
      </c>
      <c r="Z15" s="8">
        <v>1981.1979</v>
      </c>
      <c r="AA15" s="9">
        <f t="shared" si="1"/>
        <v>40294.9845</v>
      </c>
      <c r="AB15" s="9">
        <v>6.0</v>
      </c>
      <c r="AC15" s="9">
        <f t="shared" si="2"/>
        <v>241769.907</v>
      </c>
      <c r="AD15" s="12"/>
    </row>
    <row r="16" ht="14.25" customHeight="1">
      <c r="A16" s="7">
        <v>46113.0</v>
      </c>
      <c r="B16" s="8" t="s">
        <v>34</v>
      </c>
      <c r="C16" s="8">
        <v>1798.8032</v>
      </c>
      <c r="D16" s="8">
        <v>1771.7504</v>
      </c>
      <c r="E16" s="8">
        <v>1698.1408</v>
      </c>
      <c r="F16" s="8">
        <v>1681.728</v>
      </c>
      <c r="G16" s="8">
        <v>1771.552</v>
      </c>
      <c r="H16" s="8">
        <v>1909.6416</v>
      </c>
      <c r="I16" s="8">
        <v>2461.9136</v>
      </c>
      <c r="J16" s="8">
        <v>3169.1456</v>
      </c>
      <c r="K16" s="8">
        <v>3667.3248</v>
      </c>
      <c r="L16" s="8">
        <v>3916.9312</v>
      </c>
      <c r="M16" s="8">
        <v>4207.6896</v>
      </c>
      <c r="N16" s="8">
        <v>4248.9472</v>
      </c>
      <c r="O16" s="8">
        <v>4155.744</v>
      </c>
      <c r="P16" s="8">
        <v>4246.3872</v>
      </c>
      <c r="Q16" s="8">
        <v>4202.1888</v>
      </c>
      <c r="R16" s="8">
        <v>4123.7312</v>
      </c>
      <c r="S16" s="8">
        <v>3919.632</v>
      </c>
      <c r="T16" s="8">
        <v>3592.8672</v>
      </c>
      <c r="U16" s="8">
        <v>3406.8128</v>
      </c>
      <c r="V16" s="8">
        <v>3146.352</v>
      </c>
      <c r="W16" s="8">
        <v>2835.8336</v>
      </c>
      <c r="X16" s="8">
        <v>2577.0528</v>
      </c>
      <c r="Y16" s="8">
        <v>2263.9936</v>
      </c>
      <c r="Z16" s="8">
        <v>2043.9392</v>
      </c>
      <c r="AA16" s="9">
        <f t="shared" si="1"/>
        <v>72818.1024</v>
      </c>
      <c r="AB16" s="9">
        <v>20.0</v>
      </c>
      <c r="AC16" s="9">
        <f t="shared" si="2"/>
        <v>1456362.048</v>
      </c>
      <c r="AD16" s="10">
        <f>SUM(AC16:AC18)</f>
        <v>1874422.445</v>
      </c>
    </row>
    <row r="17" ht="14.25" customHeight="1">
      <c r="A17" s="7">
        <v>46113.0</v>
      </c>
      <c r="B17" s="8" t="s">
        <v>35</v>
      </c>
      <c r="C17" s="8">
        <v>2052.8096</v>
      </c>
      <c r="D17" s="8">
        <v>1941.1968</v>
      </c>
      <c r="E17" s="8">
        <v>1871.0848</v>
      </c>
      <c r="F17" s="8">
        <v>1893.68</v>
      </c>
      <c r="G17" s="8">
        <v>1967.1712</v>
      </c>
      <c r="H17" s="8">
        <v>1893.2448</v>
      </c>
      <c r="I17" s="8">
        <v>2102.4384</v>
      </c>
      <c r="J17" s="8">
        <v>1589.5168</v>
      </c>
      <c r="K17" s="8">
        <v>2750.1952</v>
      </c>
      <c r="L17" s="8">
        <v>3006.4128</v>
      </c>
      <c r="M17" s="8">
        <v>3341.056</v>
      </c>
      <c r="N17" s="8">
        <v>3182.6112</v>
      </c>
      <c r="O17" s="8">
        <v>3180.5728</v>
      </c>
      <c r="P17" s="8">
        <v>3080.4416</v>
      </c>
      <c r="Q17" s="8">
        <v>2995.2032</v>
      </c>
      <c r="R17" s="8">
        <v>2952.544</v>
      </c>
      <c r="S17" s="8">
        <v>2844.2144</v>
      </c>
      <c r="T17" s="8">
        <v>2634.5216</v>
      </c>
      <c r="U17" s="8">
        <v>2587.2992</v>
      </c>
      <c r="V17" s="8">
        <v>2349.2032</v>
      </c>
      <c r="W17" s="8">
        <v>2068.7904</v>
      </c>
      <c r="X17" s="8">
        <v>1910.4544</v>
      </c>
      <c r="Y17" s="8">
        <v>1678.6304</v>
      </c>
      <c r="Z17" s="8">
        <v>1467.1904</v>
      </c>
      <c r="AA17" s="9">
        <f t="shared" si="1"/>
        <v>57340.4832</v>
      </c>
      <c r="AB17" s="9">
        <v>4.0</v>
      </c>
      <c r="AC17" s="9">
        <f t="shared" si="2"/>
        <v>229361.9328</v>
      </c>
      <c r="AD17" s="11"/>
    </row>
    <row r="18" ht="14.25" customHeight="1">
      <c r="A18" s="7">
        <v>46113.0</v>
      </c>
      <c r="B18" s="8" t="s">
        <v>36</v>
      </c>
      <c r="C18" s="8">
        <v>1402.288</v>
      </c>
      <c r="D18" s="8">
        <v>1351.104</v>
      </c>
      <c r="E18" s="8">
        <v>1308.8288</v>
      </c>
      <c r="F18" s="8">
        <v>1237.4336</v>
      </c>
      <c r="G18" s="8">
        <v>1234.8864</v>
      </c>
      <c r="H18" s="8">
        <v>1239.6768</v>
      </c>
      <c r="I18" s="8">
        <v>1358.3584</v>
      </c>
      <c r="J18" s="8">
        <v>0.0</v>
      </c>
      <c r="K18" s="8">
        <v>0.0</v>
      </c>
      <c r="L18" s="8">
        <v>247.0208</v>
      </c>
      <c r="M18" s="8">
        <v>1010.336</v>
      </c>
      <c r="N18" s="8">
        <v>1456.7648</v>
      </c>
      <c r="O18" s="8">
        <v>1559.792</v>
      </c>
      <c r="P18" s="8">
        <v>1458.4736</v>
      </c>
      <c r="Q18" s="8">
        <v>1256.3776</v>
      </c>
      <c r="R18" s="8">
        <v>1174.8544</v>
      </c>
      <c r="S18" s="8">
        <v>1151.7344</v>
      </c>
      <c r="T18" s="8">
        <v>1977.088</v>
      </c>
      <c r="U18" s="8">
        <v>2060.6528</v>
      </c>
      <c r="V18" s="8">
        <v>2023.1968</v>
      </c>
      <c r="W18" s="8">
        <v>1955.3632</v>
      </c>
      <c r="X18" s="8">
        <v>1792.1344</v>
      </c>
      <c r="Y18" s="8">
        <v>1647.0784</v>
      </c>
      <c r="Z18" s="8">
        <v>1546.3008</v>
      </c>
      <c r="AA18" s="9">
        <f t="shared" si="1"/>
        <v>31449.744</v>
      </c>
      <c r="AB18" s="9">
        <v>6.0</v>
      </c>
      <c r="AC18" s="9">
        <f t="shared" si="2"/>
        <v>188698.464</v>
      </c>
      <c r="AD18" s="12"/>
    </row>
    <row r="19" ht="14.25" customHeight="1">
      <c r="A19" s="7">
        <v>46143.0</v>
      </c>
      <c r="B19" s="8" t="s">
        <v>34</v>
      </c>
      <c r="C19" s="8">
        <f t="shared" ref="C19:Z19" si="3">+C13*0.8</f>
        <v>1843.77328</v>
      </c>
      <c r="D19" s="8">
        <f t="shared" si="3"/>
        <v>1816.04416</v>
      </c>
      <c r="E19" s="8">
        <f t="shared" si="3"/>
        <v>1740.59432</v>
      </c>
      <c r="F19" s="8">
        <f t="shared" si="3"/>
        <v>1723.7712</v>
      </c>
      <c r="G19" s="8">
        <f t="shared" si="3"/>
        <v>1815.8408</v>
      </c>
      <c r="H19" s="8">
        <f t="shared" si="3"/>
        <v>1957.38264</v>
      </c>
      <c r="I19" s="8">
        <f t="shared" si="3"/>
        <v>2523.46144</v>
      </c>
      <c r="J19" s="8">
        <f t="shared" si="3"/>
        <v>3248.37424</v>
      </c>
      <c r="K19" s="8">
        <f t="shared" si="3"/>
        <v>3759.00792</v>
      </c>
      <c r="L19" s="8">
        <f t="shared" si="3"/>
        <v>4014.85448</v>
      </c>
      <c r="M19" s="8">
        <f t="shared" si="3"/>
        <v>4312.88184</v>
      </c>
      <c r="N19" s="8">
        <f t="shared" si="3"/>
        <v>4355.17088</v>
      </c>
      <c r="O19" s="8">
        <f t="shared" si="3"/>
        <v>4259.6376</v>
      </c>
      <c r="P19" s="8">
        <f t="shared" si="3"/>
        <v>4352.54688</v>
      </c>
      <c r="Q19" s="8">
        <f t="shared" si="3"/>
        <v>4307.24352</v>
      </c>
      <c r="R19" s="8">
        <f t="shared" si="3"/>
        <v>4226.82448</v>
      </c>
      <c r="S19" s="8">
        <f t="shared" si="3"/>
        <v>4017.6228</v>
      </c>
      <c r="T19" s="8">
        <f t="shared" si="3"/>
        <v>3682.68888</v>
      </c>
      <c r="U19" s="8">
        <f t="shared" si="3"/>
        <v>3491.98312</v>
      </c>
      <c r="V19" s="8">
        <f t="shared" si="3"/>
        <v>3225.0108</v>
      </c>
      <c r="W19" s="8">
        <f t="shared" si="3"/>
        <v>2906.72944</v>
      </c>
      <c r="X19" s="8">
        <f t="shared" si="3"/>
        <v>2641.47912</v>
      </c>
      <c r="Y19" s="8">
        <f t="shared" si="3"/>
        <v>2320.59344</v>
      </c>
      <c r="Z19" s="8">
        <f t="shared" si="3"/>
        <v>2095.03768</v>
      </c>
      <c r="AA19" s="9">
        <f t="shared" si="1"/>
        <v>74638.55496</v>
      </c>
      <c r="AB19" s="9">
        <v>19.0</v>
      </c>
      <c r="AC19" s="9">
        <f t="shared" si="2"/>
        <v>1418132.544</v>
      </c>
      <c r="AD19" s="10">
        <f>SUM(AC19:AC21)</f>
        <v>1937654.434</v>
      </c>
    </row>
    <row r="20" ht="14.25" customHeight="1">
      <c r="A20" s="7">
        <v>46143.0</v>
      </c>
      <c r="B20" s="8" t="s">
        <v>35</v>
      </c>
      <c r="C20" s="8">
        <f t="shared" ref="C20:Z20" si="4">+C14*0.8</f>
        <v>2104.12984</v>
      </c>
      <c r="D20" s="8">
        <f t="shared" si="4"/>
        <v>1989.72672</v>
      </c>
      <c r="E20" s="8">
        <f t="shared" si="4"/>
        <v>1917.86192</v>
      </c>
      <c r="F20" s="8">
        <f t="shared" si="4"/>
        <v>1941.022</v>
      </c>
      <c r="G20" s="8">
        <f t="shared" si="4"/>
        <v>2016.35048</v>
      </c>
      <c r="H20" s="8">
        <f t="shared" si="4"/>
        <v>1940.57592</v>
      </c>
      <c r="I20" s="8">
        <f t="shared" si="4"/>
        <v>2154.99936</v>
      </c>
      <c r="J20" s="8">
        <f t="shared" si="4"/>
        <v>1629.25472</v>
      </c>
      <c r="K20" s="8">
        <f t="shared" si="4"/>
        <v>2818.95008</v>
      </c>
      <c r="L20" s="8">
        <f t="shared" si="4"/>
        <v>3081.57312</v>
      </c>
      <c r="M20" s="8">
        <f t="shared" si="4"/>
        <v>3424.5824</v>
      </c>
      <c r="N20" s="8">
        <f t="shared" si="4"/>
        <v>3262.17648</v>
      </c>
      <c r="O20" s="8">
        <f t="shared" si="4"/>
        <v>3260.08712</v>
      </c>
      <c r="P20" s="8">
        <f t="shared" si="4"/>
        <v>3157.45264</v>
      </c>
      <c r="Q20" s="8">
        <f t="shared" si="4"/>
        <v>3070.08328</v>
      </c>
      <c r="R20" s="8">
        <f t="shared" si="4"/>
        <v>3026.3576</v>
      </c>
      <c r="S20" s="8">
        <f t="shared" si="4"/>
        <v>2915.31976</v>
      </c>
      <c r="T20" s="8">
        <f t="shared" si="4"/>
        <v>2700.38464</v>
      </c>
      <c r="U20" s="8">
        <f t="shared" si="4"/>
        <v>2651.98168</v>
      </c>
      <c r="V20" s="8">
        <f t="shared" si="4"/>
        <v>2407.93328</v>
      </c>
      <c r="W20" s="8">
        <f t="shared" si="4"/>
        <v>2120.51016</v>
      </c>
      <c r="X20" s="8">
        <f t="shared" si="4"/>
        <v>1958.21576</v>
      </c>
      <c r="Y20" s="8">
        <f t="shared" si="4"/>
        <v>1720.59616</v>
      </c>
      <c r="Z20" s="8">
        <f t="shared" si="4"/>
        <v>1503.87016</v>
      </c>
      <c r="AA20" s="9">
        <f t="shared" si="1"/>
        <v>58773.99528</v>
      </c>
      <c r="AB20" s="9">
        <v>5.0</v>
      </c>
      <c r="AC20" s="9">
        <f t="shared" si="2"/>
        <v>293869.9764</v>
      </c>
      <c r="AD20" s="11"/>
    </row>
    <row r="21" ht="14.25" customHeight="1">
      <c r="A21" s="7">
        <v>46143.0</v>
      </c>
      <c r="B21" s="8" t="s">
        <v>36</v>
      </c>
      <c r="C21" s="8">
        <f t="shared" ref="C21:Z21" si="5">+C15*0.8</f>
        <v>1437.3452</v>
      </c>
      <c r="D21" s="8">
        <f t="shared" si="5"/>
        <v>1384.8816</v>
      </c>
      <c r="E21" s="8">
        <f t="shared" si="5"/>
        <v>1341.54952</v>
      </c>
      <c r="F21" s="8">
        <f t="shared" si="5"/>
        <v>1268.36944</v>
      </c>
      <c r="G21" s="8">
        <f t="shared" si="5"/>
        <v>1265.75856</v>
      </c>
      <c r="H21" s="8">
        <f t="shared" si="5"/>
        <v>1270.66872</v>
      </c>
      <c r="I21" s="8">
        <f t="shared" si="5"/>
        <v>1392.31736</v>
      </c>
      <c r="J21" s="8">
        <f t="shared" si="5"/>
        <v>0</v>
      </c>
      <c r="K21" s="8">
        <f t="shared" si="5"/>
        <v>0</v>
      </c>
      <c r="L21" s="8">
        <f t="shared" si="5"/>
        <v>253.19632</v>
      </c>
      <c r="M21" s="8">
        <f t="shared" si="5"/>
        <v>1035.5944</v>
      </c>
      <c r="N21" s="8">
        <f t="shared" si="5"/>
        <v>1493.18392</v>
      </c>
      <c r="O21" s="8">
        <f t="shared" si="5"/>
        <v>1598.7868</v>
      </c>
      <c r="P21" s="8">
        <f t="shared" si="5"/>
        <v>1494.93544</v>
      </c>
      <c r="Q21" s="8">
        <f t="shared" si="5"/>
        <v>1287.78704</v>
      </c>
      <c r="R21" s="8">
        <f t="shared" si="5"/>
        <v>1204.22576</v>
      </c>
      <c r="S21" s="8">
        <f t="shared" si="5"/>
        <v>1180.52776</v>
      </c>
      <c r="T21" s="8">
        <f t="shared" si="5"/>
        <v>2026.5152</v>
      </c>
      <c r="U21" s="8">
        <f t="shared" si="5"/>
        <v>2112.16912</v>
      </c>
      <c r="V21" s="8">
        <f t="shared" si="5"/>
        <v>2073.77672</v>
      </c>
      <c r="W21" s="8">
        <f t="shared" si="5"/>
        <v>2004.24728</v>
      </c>
      <c r="X21" s="8">
        <f t="shared" si="5"/>
        <v>1836.93776</v>
      </c>
      <c r="Y21" s="8">
        <f t="shared" si="5"/>
        <v>1688.25536</v>
      </c>
      <c r="Z21" s="8">
        <f t="shared" si="5"/>
        <v>1584.95832</v>
      </c>
      <c r="AA21" s="9">
        <f t="shared" si="1"/>
        <v>32235.9876</v>
      </c>
      <c r="AB21" s="9">
        <v>7.0</v>
      </c>
      <c r="AC21" s="9">
        <f t="shared" si="2"/>
        <v>225651.9132</v>
      </c>
      <c r="AD21" s="12"/>
    </row>
    <row r="22" ht="14.25" customHeight="1">
      <c r="A22" s="7">
        <v>46174.0</v>
      </c>
      <c r="B22" s="8" t="s">
        <v>34</v>
      </c>
      <c r="C22" s="8">
        <v>0.0</v>
      </c>
      <c r="D22" s="8">
        <v>0.0</v>
      </c>
      <c r="E22" s="8">
        <v>0.0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0.0</v>
      </c>
      <c r="L22" s="8">
        <v>0.0</v>
      </c>
      <c r="M22" s="8">
        <v>0.0</v>
      </c>
      <c r="N22" s="8">
        <v>0.0</v>
      </c>
      <c r="O22" s="8">
        <v>0.0</v>
      </c>
      <c r="P22" s="8">
        <v>0.0</v>
      </c>
      <c r="Q22" s="8">
        <v>0.0</v>
      </c>
      <c r="R22" s="8">
        <v>0.0</v>
      </c>
      <c r="S22" s="8">
        <v>0.0</v>
      </c>
      <c r="T22" s="8">
        <v>0.0</v>
      </c>
      <c r="U22" s="8">
        <v>0.0</v>
      </c>
      <c r="V22" s="8">
        <v>0.0</v>
      </c>
      <c r="W22" s="8">
        <v>0.0</v>
      </c>
      <c r="X22" s="8">
        <v>0.0</v>
      </c>
      <c r="Y22" s="8">
        <v>0.0</v>
      </c>
      <c r="Z22" s="8">
        <v>0.0</v>
      </c>
      <c r="AA22" s="9">
        <f t="shared" si="1"/>
        <v>0</v>
      </c>
      <c r="AB22" s="9">
        <v>19.0</v>
      </c>
      <c r="AC22" s="9">
        <f t="shared" si="2"/>
        <v>0</v>
      </c>
      <c r="AD22" s="10">
        <f>SUM(AC22:AC24)</f>
        <v>0</v>
      </c>
    </row>
    <row r="23" ht="14.25" customHeight="1">
      <c r="A23" s="7">
        <v>46174.0</v>
      </c>
      <c r="B23" s="8" t="s">
        <v>35</v>
      </c>
      <c r="C23" s="8">
        <v>0.0</v>
      </c>
      <c r="D23" s="8">
        <v>0.0</v>
      </c>
      <c r="E23" s="8">
        <v>0.0</v>
      </c>
      <c r="F23" s="8">
        <v>0.0</v>
      </c>
      <c r="G23" s="8">
        <v>0.0</v>
      </c>
      <c r="H23" s="8">
        <v>0.0</v>
      </c>
      <c r="I23" s="8">
        <v>0.0</v>
      </c>
      <c r="J23" s="8">
        <v>0.0</v>
      </c>
      <c r="K23" s="8">
        <v>0.0</v>
      </c>
      <c r="L23" s="8">
        <v>0.0</v>
      </c>
      <c r="M23" s="8">
        <v>0.0</v>
      </c>
      <c r="N23" s="8">
        <v>0.0</v>
      </c>
      <c r="O23" s="8">
        <v>0.0</v>
      </c>
      <c r="P23" s="8">
        <v>0.0</v>
      </c>
      <c r="Q23" s="8">
        <v>0.0</v>
      </c>
      <c r="R23" s="8">
        <v>0.0</v>
      </c>
      <c r="S23" s="8">
        <v>0.0</v>
      </c>
      <c r="T23" s="8">
        <v>0.0</v>
      </c>
      <c r="U23" s="8">
        <v>0.0</v>
      </c>
      <c r="V23" s="8">
        <v>0.0</v>
      </c>
      <c r="W23" s="8">
        <v>0.0</v>
      </c>
      <c r="X23" s="8">
        <v>0.0</v>
      </c>
      <c r="Y23" s="8">
        <v>0.0</v>
      </c>
      <c r="Z23" s="8">
        <v>0.0</v>
      </c>
      <c r="AA23" s="9">
        <f t="shared" si="1"/>
        <v>0</v>
      </c>
      <c r="AB23" s="9">
        <v>4.0</v>
      </c>
      <c r="AC23" s="9">
        <f t="shared" si="2"/>
        <v>0</v>
      </c>
      <c r="AD23" s="11"/>
    </row>
    <row r="24" ht="14.25" customHeight="1">
      <c r="A24" s="7">
        <v>46174.0</v>
      </c>
      <c r="B24" s="8" t="s">
        <v>36</v>
      </c>
      <c r="C24" s="8">
        <v>0.0</v>
      </c>
      <c r="D24" s="8">
        <v>0.0</v>
      </c>
      <c r="E24" s="8">
        <v>0.0</v>
      </c>
      <c r="F24" s="8">
        <v>0.0</v>
      </c>
      <c r="G24" s="8">
        <v>0.0</v>
      </c>
      <c r="H24" s="8">
        <v>0.0</v>
      </c>
      <c r="I24" s="8">
        <v>0.0</v>
      </c>
      <c r="J24" s="8">
        <v>0.0</v>
      </c>
      <c r="K24" s="8">
        <v>0.0</v>
      </c>
      <c r="L24" s="8">
        <v>0.0</v>
      </c>
      <c r="M24" s="8">
        <v>0.0</v>
      </c>
      <c r="N24" s="8">
        <v>0.0</v>
      </c>
      <c r="O24" s="8">
        <v>0.0</v>
      </c>
      <c r="P24" s="8">
        <v>0.0</v>
      </c>
      <c r="Q24" s="8">
        <v>0.0</v>
      </c>
      <c r="R24" s="8">
        <v>0.0</v>
      </c>
      <c r="S24" s="8">
        <v>0.0</v>
      </c>
      <c r="T24" s="8">
        <v>0.0</v>
      </c>
      <c r="U24" s="8">
        <v>0.0</v>
      </c>
      <c r="V24" s="8">
        <v>0.0</v>
      </c>
      <c r="W24" s="8">
        <v>0.0</v>
      </c>
      <c r="X24" s="8">
        <v>0.0</v>
      </c>
      <c r="Y24" s="8">
        <v>0.0</v>
      </c>
      <c r="Z24" s="8">
        <v>0.0</v>
      </c>
      <c r="AA24" s="9">
        <f t="shared" si="1"/>
        <v>0</v>
      </c>
      <c r="AB24" s="9">
        <v>7.0</v>
      </c>
      <c r="AC24" s="9">
        <f t="shared" si="2"/>
        <v>0</v>
      </c>
      <c r="AD24" s="12"/>
    </row>
    <row r="25" ht="14.25" customHeight="1">
      <c r="A25" s="7">
        <v>46204.0</v>
      </c>
      <c r="B25" s="8" t="s">
        <v>34</v>
      </c>
      <c r="C25" s="8">
        <v>0.0</v>
      </c>
      <c r="D25" s="8">
        <v>0.0</v>
      </c>
      <c r="E25" s="8">
        <v>0.0</v>
      </c>
      <c r="F25" s="8">
        <v>0.0</v>
      </c>
      <c r="G25" s="8">
        <v>0.0</v>
      </c>
      <c r="H25" s="8">
        <v>0.0</v>
      </c>
      <c r="I25" s="8">
        <v>0.0</v>
      </c>
      <c r="J25" s="8">
        <v>0.0</v>
      </c>
      <c r="K25" s="8">
        <v>0.0</v>
      </c>
      <c r="L25" s="8">
        <v>0.0</v>
      </c>
      <c r="M25" s="8">
        <v>0.0</v>
      </c>
      <c r="N25" s="8">
        <v>0.0</v>
      </c>
      <c r="O25" s="8">
        <v>0.0</v>
      </c>
      <c r="P25" s="8">
        <v>0.0</v>
      </c>
      <c r="Q25" s="8">
        <v>0.0</v>
      </c>
      <c r="R25" s="8">
        <v>0.0</v>
      </c>
      <c r="S25" s="8">
        <v>0.0</v>
      </c>
      <c r="T25" s="8">
        <v>0.0</v>
      </c>
      <c r="U25" s="8">
        <v>0.0</v>
      </c>
      <c r="V25" s="8">
        <v>0.0</v>
      </c>
      <c r="W25" s="8">
        <v>0.0</v>
      </c>
      <c r="X25" s="8">
        <v>0.0</v>
      </c>
      <c r="Y25" s="8">
        <v>0.0</v>
      </c>
      <c r="Z25" s="8">
        <v>0.0</v>
      </c>
      <c r="AA25" s="9">
        <f t="shared" si="1"/>
        <v>0</v>
      </c>
      <c r="AB25" s="9">
        <v>22.0</v>
      </c>
      <c r="AC25" s="9">
        <f t="shared" si="2"/>
        <v>0</v>
      </c>
      <c r="AD25" s="10">
        <f>SUM(AC25:AC27)</f>
        <v>0</v>
      </c>
    </row>
    <row r="26" ht="14.25" customHeight="1">
      <c r="A26" s="7">
        <v>46204.0</v>
      </c>
      <c r="B26" s="8" t="s">
        <v>35</v>
      </c>
      <c r="C26" s="8">
        <v>0.0</v>
      </c>
      <c r="D26" s="8">
        <v>0.0</v>
      </c>
      <c r="E26" s="8">
        <v>0.0</v>
      </c>
      <c r="F26" s="8">
        <v>0.0</v>
      </c>
      <c r="G26" s="8">
        <v>0.0</v>
      </c>
      <c r="H26" s="8">
        <v>0.0</v>
      </c>
      <c r="I26" s="8">
        <v>0.0</v>
      </c>
      <c r="J26" s="8">
        <v>0.0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>
        <v>0.0</v>
      </c>
      <c r="Q26" s="8">
        <v>0.0</v>
      </c>
      <c r="R26" s="8">
        <v>0.0</v>
      </c>
      <c r="S26" s="8">
        <v>0.0</v>
      </c>
      <c r="T26" s="8">
        <v>0.0</v>
      </c>
      <c r="U26" s="8">
        <v>0.0</v>
      </c>
      <c r="V26" s="8">
        <v>0.0</v>
      </c>
      <c r="W26" s="8">
        <v>0.0</v>
      </c>
      <c r="X26" s="8">
        <v>0.0</v>
      </c>
      <c r="Y26" s="8">
        <v>0.0</v>
      </c>
      <c r="Z26" s="8">
        <v>0.0</v>
      </c>
      <c r="AA26" s="9">
        <f t="shared" si="1"/>
        <v>0</v>
      </c>
      <c r="AB26" s="9">
        <v>4.0</v>
      </c>
      <c r="AC26" s="9">
        <f t="shared" si="2"/>
        <v>0</v>
      </c>
      <c r="AD26" s="11"/>
    </row>
    <row r="27" ht="14.25" customHeight="1">
      <c r="A27" s="7">
        <v>46204.0</v>
      </c>
      <c r="B27" s="8" t="s">
        <v>36</v>
      </c>
      <c r="C27" s="8">
        <v>0.0</v>
      </c>
      <c r="D27" s="8">
        <v>0.0</v>
      </c>
      <c r="E27" s="8">
        <v>0.0</v>
      </c>
      <c r="F27" s="8">
        <v>0.0</v>
      </c>
      <c r="G27" s="8">
        <v>0.0</v>
      </c>
      <c r="H27" s="8">
        <v>0.0</v>
      </c>
      <c r="I27" s="8">
        <v>0.0</v>
      </c>
      <c r="J27" s="8">
        <v>0.0</v>
      </c>
      <c r="K27" s="8">
        <v>0.0</v>
      </c>
      <c r="L27" s="8">
        <v>0.0</v>
      </c>
      <c r="M27" s="8">
        <v>0.0</v>
      </c>
      <c r="N27" s="8">
        <v>0.0</v>
      </c>
      <c r="O27" s="8">
        <v>0.0</v>
      </c>
      <c r="P27" s="8">
        <v>0.0</v>
      </c>
      <c r="Q27" s="8">
        <v>0.0</v>
      </c>
      <c r="R27" s="8">
        <v>0.0</v>
      </c>
      <c r="S27" s="8">
        <v>0.0</v>
      </c>
      <c r="T27" s="8">
        <v>0.0</v>
      </c>
      <c r="U27" s="8">
        <v>0.0</v>
      </c>
      <c r="V27" s="8">
        <v>0.0</v>
      </c>
      <c r="W27" s="8">
        <v>0.0</v>
      </c>
      <c r="X27" s="8">
        <v>0.0</v>
      </c>
      <c r="Y27" s="8">
        <v>0.0</v>
      </c>
      <c r="Z27" s="8">
        <v>0.0</v>
      </c>
      <c r="AA27" s="9">
        <f t="shared" si="1"/>
        <v>0</v>
      </c>
      <c r="AB27" s="9">
        <v>5.0</v>
      </c>
      <c r="AC27" s="9">
        <f t="shared" si="2"/>
        <v>0</v>
      </c>
      <c r="AD27" s="12"/>
    </row>
    <row r="28" ht="14.25" customHeight="1">
      <c r="A28" s="7">
        <v>46235.0</v>
      </c>
      <c r="B28" s="8" t="s">
        <v>34</v>
      </c>
      <c r="C28" s="8">
        <v>0.0</v>
      </c>
      <c r="D28" s="8">
        <v>0.0</v>
      </c>
      <c r="E28" s="8">
        <v>0.0</v>
      </c>
      <c r="F28" s="8">
        <v>0.0</v>
      </c>
      <c r="G28" s="8">
        <v>0.0</v>
      </c>
      <c r="H28" s="8">
        <v>0.0</v>
      </c>
      <c r="I28" s="8">
        <v>0.0</v>
      </c>
      <c r="J28" s="8">
        <v>0.0</v>
      </c>
      <c r="K28" s="8">
        <v>0.0</v>
      </c>
      <c r="L28" s="8">
        <v>0.0</v>
      </c>
      <c r="M28" s="8">
        <v>0.0</v>
      </c>
      <c r="N28" s="8">
        <v>0.0</v>
      </c>
      <c r="O28" s="8">
        <v>0.0</v>
      </c>
      <c r="P28" s="8">
        <v>0.0</v>
      </c>
      <c r="Q28" s="8">
        <v>0.0</v>
      </c>
      <c r="R28" s="8">
        <v>0.0</v>
      </c>
      <c r="S28" s="8">
        <v>0.0</v>
      </c>
      <c r="T28" s="8">
        <v>0.0</v>
      </c>
      <c r="U28" s="8">
        <v>0.0</v>
      </c>
      <c r="V28" s="8">
        <v>0.0</v>
      </c>
      <c r="W28" s="8">
        <v>0.0</v>
      </c>
      <c r="X28" s="8">
        <v>0.0</v>
      </c>
      <c r="Y28" s="8">
        <v>0.0</v>
      </c>
      <c r="Z28" s="8">
        <v>0.0</v>
      </c>
      <c r="AA28" s="9">
        <f t="shared" si="1"/>
        <v>0</v>
      </c>
      <c r="AB28" s="9">
        <v>19.0</v>
      </c>
      <c r="AC28" s="9">
        <f t="shared" si="2"/>
        <v>0</v>
      </c>
      <c r="AD28" s="10">
        <f>SUM(AC28:AC30)</f>
        <v>0</v>
      </c>
    </row>
    <row r="29" ht="14.25" customHeight="1">
      <c r="A29" s="7">
        <v>46235.0</v>
      </c>
      <c r="B29" s="8" t="s">
        <v>35</v>
      </c>
      <c r="C29" s="8">
        <v>0.0</v>
      </c>
      <c r="D29" s="8">
        <v>0.0</v>
      </c>
      <c r="E29" s="8">
        <v>0.0</v>
      </c>
      <c r="F29" s="8">
        <v>0.0</v>
      </c>
      <c r="G29" s="8">
        <v>0.0</v>
      </c>
      <c r="H29" s="8">
        <v>0.0</v>
      </c>
      <c r="I29" s="8">
        <v>0.0</v>
      </c>
      <c r="J29" s="8">
        <v>0.0</v>
      </c>
      <c r="K29" s="8">
        <v>0.0</v>
      </c>
      <c r="L29" s="8">
        <v>0.0</v>
      </c>
      <c r="M29" s="8">
        <v>0.0</v>
      </c>
      <c r="N29" s="8">
        <v>0.0</v>
      </c>
      <c r="O29" s="8">
        <v>0.0</v>
      </c>
      <c r="P29" s="8">
        <v>0.0</v>
      </c>
      <c r="Q29" s="8">
        <v>0.0</v>
      </c>
      <c r="R29" s="8">
        <v>0.0</v>
      </c>
      <c r="S29" s="8">
        <v>0.0</v>
      </c>
      <c r="T29" s="8">
        <v>0.0</v>
      </c>
      <c r="U29" s="8">
        <v>0.0</v>
      </c>
      <c r="V29" s="8">
        <v>0.0</v>
      </c>
      <c r="W29" s="8">
        <v>0.0</v>
      </c>
      <c r="X29" s="8">
        <v>0.0</v>
      </c>
      <c r="Y29" s="8">
        <v>0.0</v>
      </c>
      <c r="Z29" s="8">
        <v>0.0</v>
      </c>
      <c r="AA29" s="9">
        <f t="shared" si="1"/>
        <v>0</v>
      </c>
      <c r="AB29" s="9">
        <v>5.0</v>
      </c>
      <c r="AC29" s="9">
        <f t="shared" si="2"/>
        <v>0</v>
      </c>
      <c r="AD29" s="11"/>
    </row>
    <row r="30" ht="14.25" customHeight="1">
      <c r="A30" s="7">
        <v>46235.0</v>
      </c>
      <c r="B30" s="8" t="s">
        <v>36</v>
      </c>
      <c r="C30" s="8">
        <v>0.0</v>
      </c>
      <c r="D30" s="8">
        <v>0.0</v>
      </c>
      <c r="E30" s="8">
        <v>0.0</v>
      </c>
      <c r="F30" s="8">
        <v>0.0</v>
      </c>
      <c r="G30" s="8">
        <v>0.0</v>
      </c>
      <c r="H30" s="8">
        <v>0.0</v>
      </c>
      <c r="I30" s="8">
        <v>0.0</v>
      </c>
      <c r="J30" s="8">
        <v>0.0</v>
      </c>
      <c r="K30" s="8">
        <v>0.0</v>
      </c>
      <c r="L30" s="8">
        <v>0.0</v>
      </c>
      <c r="M30" s="8">
        <v>0.0</v>
      </c>
      <c r="N30" s="8">
        <v>0.0</v>
      </c>
      <c r="O30" s="8">
        <v>0.0</v>
      </c>
      <c r="P30" s="8">
        <v>0.0</v>
      </c>
      <c r="Q30" s="8">
        <v>0.0</v>
      </c>
      <c r="R30" s="8">
        <v>0.0</v>
      </c>
      <c r="S30" s="8">
        <v>0.0</v>
      </c>
      <c r="T30" s="8">
        <v>0.0</v>
      </c>
      <c r="U30" s="8">
        <v>0.0</v>
      </c>
      <c r="V30" s="8">
        <v>0.0</v>
      </c>
      <c r="W30" s="8">
        <v>0.0</v>
      </c>
      <c r="X30" s="8">
        <v>0.0</v>
      </c>
      <c r="Y30" s="8">
        <v>0.0</v>
      </c>
      <c r="Z30" s="8">
        <v>0.0</v>
      </c>
      <c r="AA30" s="9">
        <f t="shared" si="1"/>
        <v>0</v>
      </c>
      <c r="AB30" s="9">
        <v>7.0</v>
      </c>
      <c r="AC30" s="9">
        <f t="shared" si="2"/>
        <v>0</v>
      </c>
      <c r="AD30" s="12"/>
    </row>
    <row r="31" ht="14.25" customHeight="1">
      <c r="A31" s="7">
        <v>46266.0</v>
      </c>
      <c r="B31" s="8" t="s">
        <v>34</v>
      </c>
      <c r="C31" s="8">
        <v>0.0</v>
      </c>
      <c r="D31" s="8">
        <v>0.0</v>
      </c>
      <c r="E31" s="8">
        <v>0.0</v>
      </c>
      <c r="F31" s="8">
        <v>0.0</v>
      </c>
      <c r="G31" s="8">
        <v>0.0</v>
      </c>
      <c r="H31" s="8">
        <v>0.0</v>
      </c>
      <c r="I31" s="8">
        <v>0.0</v>
      </c>
      <c r="J31" s="8">
        <v>0.0</v>
      </c>
      <c r="K31" s="8">
        <v>0.0</v>
      </c>
      <c r="L31" s="8">
        <v>0.0</v>
      </c>
      <c r="M31" s="8">
        <v>0.0</v>
      </c>
      <c r="N31" s="8">
        <v>0.0</v>
      </c>
      <c r="O31" s="8">
        <v>0.0</v>
      </c>
      <c r="P31" s="8">
        <v>0.0</v>
      </c>
      <c r="Q31" s="8">
        <v>0.0</v>
      </c>
      <c r="R31" s="8">
        <v>0.0</v>
      </c>
      <c r="S31" s="8">
        <v>0.0</v>
      </c>
      <c r="T31" s="8">
        <v>0.0</v>
      </c>
      <c r="U31" s="8">
        <v>0.0</v>
      </c>
      <c r="V31" s="8">
        <v>0.0</v>
      </c>
      <c r="W31" s="8">
        <v>0.0</v>
      </c>
      <c r="X31" s="8">
        <v>0.0</v>
      </c>
      <c r="Y31" s="8">
        <v>0.0</v>
      </c>
      <c r="Z31" s="8">
        <v>0.0</v>
      </c>
      <c r="AA31" s="9">
        <f t="shared" si="1"/>
        <v>0</v>
      </c>
      <c r="AB31" s="9">
        <v>22.0</v>
      </c>
      <c r="AC31" s="9">
        <f t="shared" si="2"/>
        <v>0</v>
      </c>
      <c r="AD31" s="10">
        <f>SUM(AC31:AC33)</f>
        <v>0</v>
      </c>
    </row>
    <row r="32" ht="14.25" customHeight="1">
      <c r="A32" s="7">
        <v>46266.0</v>
      </c>
      <c r="B32" s="8" t="s">
        <v>35</v>
      </c>
      <c r="C32" s="8">
        <v>0.0</v>
      </c>
      <c r="D32" s="8">
        <v>0.0</v>
      </c>
      <c r="E32" s="8">
        <v>0.0</v>
      </c>
      <c r="F32" s="8">
        <v>0.0</v>
      </c>
      <c r="G32" s="8">
        <v>0.0</v>
      </c>
      <c r="H32" s="8">
        <v>0.0</v>
      </c>
      <c r="I32" s="8">
        <v>0.0</v>
      </c>
      <c r="J32" s="8">
        <v>0.0</v>
      </c>
      <c r="K32" s="8">
        <v>0.0</v>
      </c>
      <c r="L32" s="8">
        <v>0.0</v>
      </c>
      <c r="M32" s="8">
        <v>0.0</v>
      </c>
      <c r="N32" s="8">
        <v>0.0</v>
      </c>
      <c r="O32" s="8">
        <v>0.0</v>
      </c>
      <c r="P32" s="8">
        <v>0.0</v>
      </c>
      <c r="Q32" s="8">
        <v>0.0</v>
      </c>
      <c r="R32" s="8">
        <v>0.0</v>
      </c>
      <c r="S32" s="8">
        <v>0.0</v>
      </c>
      <c r="T32" s="8">
        <v>0.0</v>
      </c>
      <c r="U32" s="8">
        <v>0.0</v>
      </c>
      <c r="V32" s="8">
        <v>0.0</v>
      </c>
      <c r="W32" s="8">
        <v>0.0</v>
      </c>
      <c r="X32" s="8">
        <v>0.0</v>
      </c>
      <c r="Y32" s="8">
        <v>0.0</v>
      </c>
      <c r="Z32" s="8">
        <v>0.0</v>
      </c>
      <c r="AA32" s="9">
        <f t="shared" si="1"/>
        <v>0</v>
      </c>
      <c r="AB32" s="9">
        <v>4.0</v>
      </c>
      <c r="AC32" s="9">
        <f t="shared" si="2"/>
        <v>0</v>
      </c>
      <c r="AD32" s="11"/>
    </row>
    <row r="33" ht="14.25" customHeight="1">
      <c r="A33" s="7">
        <v>46266.0</v>
      </c>
      <c r="B33" s="8" t="s">
        <v>36</v>
      </c>
      <c r="C33" s="8">
        <v>0.0</v>
      </c>
      <c r="D33" s="8">
        <v>0.0</v>
      </c>
      <c r="E33" s="8">
        <v>0.0</v>
      </c>
      <c r="F33" s="8">
        <v>0.0</v>
      </c>
      <c r="G33" s="8">
        <v>0.0</v>
      </c>
      <c r="H33" s="8">
        <v>0.0</v>
      </c>
      <c r="I33" s="8">
        <v>0.0</v>
      </c>
      <c r="J33" s="8">
        <v>0.0</v>
      </c>
      <c r="K33" s="8">
        <v>0.0</v>
      </c>
      <c r="L33" s="8">
        <v>0.0</v>
      </c>
      <c r="M33" s="8">
        <v>0.0</v>
      </c>
      <c r="N33" s="8">
        <v>0.0</v>
      </c>
      <c r="O33" s="8">
        <v>0.0</v>
      </c>
      <c r="P33" s="8">
        <v>0.0</v>
      </c>
      <c r="Q33" s="8">
        <v>0.0</v>
      </c>
      <c r="R33" s="8">
        <v>0.0</v>
      </c>
      <c r="S33" s="8">
        <v>0.0</v>
      </c>
      <c r="T33" s="8">
        <v>0.0</v>
      </c>
      <c r="U33" s="8">
        <v>0.0</v>
      </c>
      <c r="V33" s="8">
        <v>0.0</v>
      </c>
      <c r="W33" s="8">
        <v>0.0</v>
      </c>
      <c r="X33" s="8">
        <v>0.0</v>
      </c>
      <c r="Y33" s="8">
        <v>0.0</v>
      </c>
      <c r="Z33" s="8">
        <v>0.0</v>
      </c>
      <c r="AA33" s="9">
        <f t="shared" si="1"/>
        <v>0</v>
      </c>
      <c r="AB33" s="9">
        <v>4.0</v>
      </c>
      <c r="AC33" s="9">
        <f t="shared" si="2"/>
        <v>0</v>
      </c>
      <c r="AD33" s="12"/>
    </row>
    <row r="34" ht="14.25" customHeight="1">
      <c r="A34" s="7">
        <v>46296.0</v>
      </c>
      <c r="B34" s="8" t="s">
        <v>34</v>
      </c>
      <c r="C34" s="8">
        <f t="shared" ref="C34:Z34" si="6">+C13*0.75</f>
        <v>1728.53745</v>
      </c>
      <c r="D34" s="8">
        <f t="shared" si="6"/>
        <v>1702.5414</v>
      </c>
      <c r="E34" s="8">
        <f t="shared" si="6"/>
        <v>1631.807175</v>
      </c>
      <c r="F34" s="8">
        <f t="shared" si="6"/>
        <v>1616.0355</v>
      </c>
      <c r="G34" s="8">
        <f t="shared" si="6"/>
        <v>1702.35075</v>
      </c>
      <c r="H34" s="8">
        <f t="shared" si="6"/>
        <v>1835.046225</v>
      </c>
      <c r="I34" s="8">
        <f t="shared" si="6"/>
        <v>2365.7451</v>
      </c>
      <c r="J34" s="8">
        <f t="shared" si="6"/>
        <v>3045.35085</v>
      </c>
      <c r="K34" s="8">
        <f t="shared" si="6"/>
        <v>3524.069925</v>
      </c>
      <c r="L34" s="8">
        <f t="shared" si="6"/>
        <v>3763.926075</v>
      </c>
      <c r="M34" s="8">
        <f t="shared" si="6"/>
        <v>4043.326725</v>
      </c>
      <c r="N34" s="8">
        <f t="shared" si="6"/>
        <v>4082.9727</v>
      </c>
      <c r="O34" s="8">
        <f t="shared" si="6"/>
        <v>3993.41025</v>
      </c>
      <c r="P34" s="8">
        <f t="shared" si="6"/>
        <v>4080.5127</v>
      </c>
      <c r="Q34" s="8">
        <f t="shared" si="6"/>
        <v>4038.0408</v>
      </c>
      <c r="R34" s="8">
        <f t="shared" si="6"/>
        <v>3962.64795</v>
      </c>
      <c r="S34" s="8">
        <f t="shared" si="6"/>
        <v>3766.521375</v>
      </c>
      <c r="T34" s="8">
        <f t="shared" si="6"/>
        <v>3452.520825</v>
      </c>
      <c r="U34" s="8">
        <f t="shared" si="6"/>
        <v>3273.734175</v>
      </c>
      <c r="V34" s="8">
        <f t="shared" si="6"/>
        <v>3023.447625</v>
      </c>
      <c r="W34" s="8">
        <f t="shared" si="6"/>
        <v>2725.05885</v>
      </c>
      <c r="X34" s="8">
        <f t="shared" si="6"/>
        <v>2476.386675</v>
      </c>
      <c r="Y34" s="8">
        <f t="shared" si="6"/>
        <v>2175.55635</v>
      </c>
      <c r="Z34" s="8">
        <f t="shared" si="6"/>
        <v>1964.097825</v>
      </c>
      <c r="AA34" s="9">
        <f t="shared" si="1"/>
        <v>69973.64528</v>
      </c>
      <c r="AB34" s="9">
        <v>21.0</v>
      </c>
      <c r="AC34" s="9">
        <f t="shared" si="2"/>
        <v>1469446.551</v>
      </c>
      <c r="AD34" s="10">
        <f>SUM(AC34:AC36)</f>
        <v>1896055.846</v>
      </c>
    </row>
    <row r="35" ht="14.25" customHeight="1">
      <c r="A35" s="7">
        <v>46296.0</v>
      </c>
      <c r="B35" s="8" t="s">
        <v>35</v>
      </c>
      <c r="C35" s="8">
        <f t="shared" ref="C35:Z35" si="7">+C14*0.75</f>
        <v>1972.621725</v>
      </c>
      <c r="D35" s="8">
        <f t="shared" si="7"/>
        <v>1865.3688</v>
      </c>
      <c r="E35" s="8">
        <f t="shared" si="7"/>
        <v>1797.99555</v>
      </c>
      <c r="F35" s="8">
        <f t="shared" si="7"/>
        <v>1819.708125</v>
      </c>
      <c r="G35" s="8">
        <f t="shared" si="7"/>
        <v>1890.328575</v>
      </c>
      <c r="H35" s="8">
        <f t="shared" si="7"/>
        <v>1819.289925</v>
      </c>
      <c r="I35" s="8">
        <f t="shared" si="7"/>
        <v>2020.3119</v>
      </c>
      <c r="J35" s="8">
        <f t="shared" si="7"/>
        <v>1527.4263</v>
      </c>
      <c r="K35" s="8">
        <f t="shared" si="7"/>
        <v>2642.7657</v>
      </c>
      <c r="L35" s="8">
        <f t="shared" si="7"/>
        <v>2888.9748</v>
      </c>
      <c r="M35" s="8">
        <f t="shared" si="7"/>
        <v>3210.546</v>
      </c>
      <c r="N35" s="8">
        <f t="shared" si="7"/>
        <v>3058.29045</v>
      </c>
      <c r="O35" s="8">
        <f t="shared" si="7"/>
        <v>3056.331675</v>
      </c>
      <c r="P35" s="8">
        <f t="shared" si="7"/>
        <v>2960.11185</v>
      </c>
      <c r="Q35" s="8">
        <f t="shared" si="7"/>
        <v>2878.203075</v>
      </c>
      <c r="R35" s="8">
        <f t="shared" si="7"/>
        <v>2837.21025</v>
      </c>
      <c r="S35" s="8">
        <f t="shared" si="7"/>
        <v>2733.112275</v>
      </c>
      <c r="T35" s="8">
        <f t="shared" si="7"/>
        <v>2531.6106</v>
      </c>
      <c r="U35" s="8">
        <f t="shared" si="7"/>
        <v>2486.232825</v>
      </c>
      <c r="V35" s="8">
        <f t="shared" si="7"/>
        <v>2257.43745</v>
      </c>
      <c r="W35" s="8">
        <f t="shared" si="7"/>
        <v>1987.978275</v>
      </c>
      <c r="X35" s="8">
        <f t="shared" si="7"/>
        <v>1835.827275</v>
      </c>
      <c r="Y35" s="8">
        <f t="shared" si="7"/>
        <v>1613.0589</v>
      </c>
      <c r="Z35" s="8">
        <f t="shared" si="7"/>
        <v>1409.878275</v>
      </c>
      <c r="AA35" s="9">
        <f t="shared" si="1"/>
        <v>55100.62058</v>
      </c>
      <c r="AB35" s="9">
        <v>5.0</v>
      </c>
      <c r="AC35" s="9">
        <f t="shared" si="2"/>
        <v>275503.1029</v>
      </c>
      <c r="AD35" s="11"/>
    </row>
    <row r="36" ht="14.25" customHeight="1">
      <c r="A36" s="7">
        <v>46296.0</v>
      </c>
      <c r="B36" s="8" t="s">
        <v>36</v>
      </c>
      <c r="C36" s="8">
        <f t="shared" ref="C36:Z36" si="8">+C15*0.75</f>
        <v>1347.511125</v>
      </c>
      <c r="D36" s="8">
        <f t="shared" si="8"/>
        <v>1298.3265</v>
      </c>
      <c r="E36" s="8">
        <f t="shared" si="8"/>
        <v>1257.702675</v>
      </c>
      <c r="F36" s="8">
        <f t="shared" si="8"/>
        <v>1189.09635</v>
      </c>
      <c r="G36" s="8">
        <f t="shared" si="8"/>
        <v>1186.64865</v>
      </c>
      <c r="H36" s="8">
        <f t="shared" si="8"/>
        <v>1191.251925</v>
      </c>
      <c r="I36" s="8">
        <f t="shared" si="8"/>
        <v>1305.297525</v>
      </c>
      <c r="J36" s="8">
        <f t="shared" si="8"/>
        <v>0</v>
      </c>
      <c r="K36" s="8">
        <f t="shared" si="8"/>
        <v>0</v>
      </c>
      <c r="L36" s="8">
        <f t="shared" si="8"/>
        <v>237.37155</v>
      </c>
      <c r="M36" s="8">
        <f t="shared" si="8"/>
        <v>970.86975</v>
      </c>
      <c r="N36" s="8">
        <f t="shared" si="8"/>
        <v>1399.859925</v>
      </c>
      <c r="O36" s="8">
        <f t="shared" si="8"/>
        <v>1498.862625</v>
      </c>
      <c r="P36" s="8">
        <f t="shared" si="8"/>
        <v>1401.501975</v>
      </c>
      <c r="Q36" s="8">
        <f t="shared" si="8"/>
        <v>1207.30035</v>
      </c>
      <c r="R36" s="8">
        <f t="shared" si="8"/>
        <v>1128.96165</v>
      </c>
      <c r="S36" s="8">
        <f t="shared" si="8"/>
        <v>1106.744775</v>
      </c>
      <c r="T36" s="8">
        <f t="shared" si="8"/>
        <v>1899.858</v>
      </c>
      <c r="U36" s="8">
        <f t="shared" si="8"/>
        <v>1980.15855</v>
      </c>
      <c r="V36" s="8">
        <f t="shared" si="8"/>
        <v>1944.165675</v>
      </c>
      <c r="W36" s="8">
        <f t="shared" si="8"/>
        <v>1878.981825</v>
      </c>
      <c r="X36" s="8">
        <f t="shared" si="8"/>
        <v>1722.12915</v>
      </c>
      <c r="Y36" s="8">
        <f t="shared" si="8"/>
        <v>1582.7394</v>
      </c>
      <c r="Z36" s="8">
        <f t="shared" si="8"/>
        <v>1485.898425</v>
      </c>
      <c r="AA36" s="9">
        <f t="shared" si="1"/>
        <v>30221.23838</v>
      </c>
      <c r="AB36" s="9">
        <v>5.0</v>
      </c>
      <c r="AC36" s="9">
        <f t="shared" si="2"/>
        <v>151106.1919</v>
      </c>
      <c r="AD36" s="12"/>
    </row>
    <row r="37" ht="14.25" customHeight="1">
      <c r="A37" s="7">
        <v>46327.0</v>
      </c>
      <c r="B37" s="8" t="s">
        <v>34</v>
      </c>
      <c r="C37" s="8">
        <v>1855.0158</v>
      </c>
      <c r="D37" s="8">
        <v>1827.1176</v>
      </c>
      <c r="E37" s="8">
        <v>1751.2077</v>
      </c>
      <c r="F37" s="8">
        <v>1734.282</v>
      </c>
      <c r="G37" s="8">
        <v>1826.913</v>
      </c>
      <c r="H37" s="8">
        <v>1969.3179</v>
      </c>
      <c r="I37" s="8">
        <v>2538.8484</v>
      </c>
      <c r="J37" s="8">
        <v>3268.1814</v>
      </c>
      <c r="K37" s="8">
        <v>3781.9287</v>
      </c>
      <c r="L37" s="8">
        <v>4039.3353</v>
      </c>
      <c r="M37" s="8">
        <v>4339.1799</v>
      </c>
      <c r="N37" s="8">
        <v>4381.7268</v>
      </c>
      <c r="O37" s="8">
        <v>4285.611</v>
      </c>
      <c r="P37" s="8">
        <v>4379.0868</v>
      </c>
      <c r="Q37" s="8">
        <v>4333.5072</v>
      </c>
      <c r="R37" s="8">
        <v>4252.5978</v>
      </c>
      <c r="S37" s="8">
        <v>4042.1205</v>
      </c>
      <c r="T37" s="8">
        <v>3705.1443</v>
      </c>
      <c r="U37" s="8">
        <v>3513.2757</v>
      </c>
      <c r="V37" s="8">
        <v>3244.6755</v>
      </c>
      <c r="W37" s="8">
        <v>2924.4534</v>
      </c>
      <c r="X37" s="8">
        <v>2657.5857</v>
      </c>
      <c r="Y37" s="8">
        <v>2334.7434</v>
      </c>
      <c r="Z37" s="8">
        <v>2107.8123</v>
      </c>
      <c r="AA37" s="9">
        <f t="shared" si="1"/>
        <v>75093.6681</v>
      </c>
      <c r="AB37" s="9">
        <v>19.0</v>
      </c>
      <c r="AC37" s="9">
        <f t="shared" si="2"/>
        <v>1426779.694</v>
      </c>
      <c r="AD37" s="10">
        <f>SUM(AC37:AC39)</f>
        <v>1890337.027</v>
      </c>
    </row>
    <row r="38" ht="14.25" customHeight="1">
      <c r="A38" s="7">
        <v>46327.0</v>
      </c>
      <c r="B38" s="8" t="s">
        <v>35</v>
      </c>
      <c r="C38" s="8">
        <v>2116.9599</v>
      </c>
      <c r="D38" s="8">
        <v>2001.8592</v>
      </c>
      <c r="E38" s="8">
        <v>1929.5562</v>
      </c>
      <c r="F38" s="8">
        <v>1952.8575</v>
      </c>
      <c r="G38" s="8">
        <v>2028.6453</v>
      </c>
      <c r="H38" s="8">
        <v>1952.4087</v>
      </c>
      <c r="I38" s="8">
        <v>2168.1396</v>
      </c>
      <c r="J38" s="8">
        <v>1639.1892</v>
      </c>
      <c r="K38" s="8">
        <v>2836.1388</v>
      </c>
      <c r="L38" s="8">
        <v>3100.3632</v>
      </c>
      <c r="M38" s="8">
        <v>3445.464</v>
      </c>
      <c r="N38" s="8">
        <v>3282.0678</v>
      </c>
      <c r="O38" s="8">
        <v>3279.9657</v>
      </c>
      <c r="P38" s="8">
        <v>3176.7054</v>
      </c>
      <c r="Q38" s="8">
        <v>3088.8033</v>
      </c>
      <c r="R38" s="8">
        <v>3044.811</v>
      </c>
      <c r="S38" s="8">
        <v>2933.0961</v>
      </c>
      <c r="T38" s="8">
        <v>2716.8504</v>
      </c>
      <c r="U38" s="8">
        <v>2668.1523</v>
      </c>
      <c r="V38" s="8">
        <v>2422.6158</v>
      </c>
      <c r="W38" s="8">
        <v>2133.4401</v>
      </c>
      <c r="X38" s="8">
        <v>1970.1561</v>
      </c>
      <c r="Y38" s="8">
        <v>1731.0876</v>
      </c>
      <c r="Z38" s="8">
        <v>1513.0401</v>
      </c>
      <c r="AA38" s="9">
        <f t="shared" si="1"/>
        <v>59132.3733</v>
      </c>
      <c r="AB38" s="9">
        <v>4.0</v>
      </c>
      <c r="AC38" s="9">
        <f t="shared" si="2"/>
        <v>236529.4932</v>
      </c>
      <c r="AD38" s="11"/>
    </row>
    <row r="39" ht="14.25" customHeight="1">
      <c r="A39" s="7">
        <v>46327.0</v>
      </c>
      <c r="B39" s="8" t="s">
        <v>36</v>
      </c>
      <c r="C39" s="8">
        <v>1446.1095</v>
      </c>
      <c r="D39" s="8">
        <v>1393.326</v>
      </c>
      <c r="E39" s="8">
        <v>1349.7297</v>
      </c>
      <c r="F39" s="8">
        <v>1276.1034</v>
      </c>
      <c r="G39" s="8">
        <v>1273.4766</v>
      </c>
      <c r="H39" s="8">
        <v>1278.4167</v>
      </c>
      <c r="I39" s="8">
        <v>1400.8071</v>
      </c>
      <c r="J39" s="8">
        <v>0.0</v>
      </c>
      <c r="K39" s="8">
        <v>0.0</v>
      </c>
      <c r="L39" s="8">
        <v>254.7402</v>
      </c>
      <c r="M39" s="8">
        <v>1041.909</v>
      </c>
      <c r="N39" s="8">
        <v>1502.2887</v>
      </c>
      <c r="O39" s="8">
        <v>1608.5355</v>
      </c>
      <c r="P39" s="8">
        <v>1504.0509</v>
      </c>
      <c r="Q39" s="8">
        <v>1295.6394</v>
      </c>
      <c r="R39" s="8">
        <v>1211.5686</v>
      </c>
      <c r="S39" s="8">
        <v>1187.7261</v>
      </c>
      <c r="T39" s="8">
        <v>2038.872</v>
      </c>
      <c r="U39" s="8">
        <v>2125.0482</v>
      </c>
      <c r="V39" s="8">
        <v>2086.4217</v>
      </c>
      <c r="W39" s="8">
        <v>2016.4683</v>
      </c>
      <c r="X39" s="8">
        <v>1848.1386</v>
      </c>
      <c r="Y39" s="8">
        <v>1698.5496</v>
      </c>
      <c r="Z39" s="8">
        <v>1594.6227</v>
      </c>
      <c r="AA39" s="9">
        <f t="shared" si="1"/>
        <v>32432.5485</v>
      </c>
      <c r="AB39" s="9">
        <v>7.0</v>
      </c>
      <c r="AC39" s="9">
        <f t="shared" si="2"/>
        <v>227027.8395</v>
      </c>
      <c r="AD39" s="12"/>
    </row>
    <row r="40" ht="14.25" customHeight="1">
      <c r="A40" s="7">
        <v>46357.0</v>
      </c>
      <c r="B40" s="8" t="s">
        <v>34</v>
      </c>
      <c r="C40" s="8">
        <v>3710.0316</v>
      </c>
      <c r="D40" s="8">
        <v>3654.2352</v>
      </c>
      <c r="E40" s="8">
        <v>3502.4154</v>
      </c>
      <c r="F40" s="8">
        <v>3468.564</v>
      </c>
      <c r="G40" s="8">
        <v>3653.826</v>
      </c>
      <c r="H40" s="8">
        <v>3938.6358</v>
      </c>
      <c r="I40" s="8">
        <v>5077.6968</v>
      </c>
      <c r="J40" s="8">
        <v>6536.3628</v>
      </c>
      <c r="K40" s="8">
        <v>7563.8574</v>
      </c>
      <c r="L40" s="8">
        <v>8078.6706</v>
      </c>
      <c r="M40" s="8">
        <v>8678.3598</v>
      </c>
      <c r="N40" s="8">
        <v>8763.4536</v>
      </c>
      <c r="O40" s="8">
        <v>8571.222</v>
      </c>
      <c r="P40" s="8">
        <v>8758.1736</v>
      </c>
      <c r="Q40" s="8">
        <v>8667.0144</v>
      </c>
      <c r="R40" s="8">
        <v>8505.1956</v>
      </c>
      <c r="S40" s="8">
        <v>8084.241</v>
      </c>
      <c r="T40" s="8">
        <v>7410.2886</v>
      </c>
      <c r="U40" s="8">
        <v>7026.5514</v>
      </c>
      <c r="V40" s="8">
        <v>6489.351</v>
      </c>
      <c r="W40" s="8">
        <v>5848.9068</v>
      </c>
      <c r="X40" s="8">
        <v>5315.1714</v>
      </c>
      <c r="Y40" s="8">
        <v>4669.4868</v>
      </c>
      <c r="Z40" s="8">
        <v>4215.6246</v>
      </c>
      <c r="AA40" s="9">
        <f t="shared" si="1"/>
        <v>150187.3362</v>
      </c>
      <c r="AB40" s="9">
        <v>21.0</v>
      </c>
      <c r="AC40" s="9">
        <f t="shared" si="2"/>
        <v>3153934.06</v>
      </c>
      <c r="AD40" s="10">
        <f>SUM(AC40:AC42)</f>
        <v>4016183.629</v>
      </c>
    </row>
    <row r="41" ht="14.25" customHeight="1">
      <c r="A41" s="7">
        <v>46357.0</v>
      </c>
      <c r="B41" s="8" t="s">
        <v>35</v>
      </c>
      <c r="C41" s="8">
        <v>4233.9198</v>
      </c>
      <c r="D41" s="8">
        <v>4003.7184</v>
      </c>
      <c r="E41" s="8">
        <v>3859.1124</v>
      </c>
      <c r="F41" s="8">
        <v>3905.715</v>
      </c>
      <c r="G41" s="8">
        <v>4057.2906</v>
      </c>
      <c r="H41" s="8">
        <v>3904.8174</v>
      </c>
      <c r="I41" s="8">
        <v>4336.2792</v>
      </c>
      <c r="J41" s="8">
        <v>3278.3784</v>
      </c>
      <c r="K41" s="8">
        <v>5672.2776</v>
      </c>
      <c r="L41" s="8">
        <v>6200.7264</v>
      </c>
      <c r="M41" s="8">
        <v>6890.928</v>
      </c>
      <c r="N41" s="8">
        <v>6564.1356</v>
      </c>
      <c r="O41" s="8">
        <v>6559.9314</v>
      </c>
      <c r="P41" s="8">
        <v>6353.4108</v>
      </c>
      <c r="Q41" s="8">
        <v>6177.6066</v>
      </c>
      <c r="R41" s="8">
        <v>6089.622</v>
      </c>
      <c r="S41" s="8">
        <v>5866.1922</v>
      </c>
      <c r="T41" s="8">
        <v>5433.7008</v>
      </c>
      <c r="U41" s="8">
        <v>5336.3046</v>
      </c>
      <c r="V41" s="8">
        <v>4845.2316</v>
      </c>
      <c r="W41" s="8">
        <v>4266.8802</v>
      </c>
      <c r="X41" s="8">
        <v>3940.3122</v>
      </c>
      <c r="Y41" s="8">
        <v>3462.1752</v>
      </c>
      <c r="Z41" s="8">
        <v>3026.0802</v>
      </c>
      <c r="AA41" s="9">
        <f t="shared" si="1"/>
        <v>118264.7466</v>
      </c>
      <c r="AB41" s="9">
        <v>4.0</v>
      </c>
      <c r="AC41" s="9">
        <f t="shared" si="2"/>
        <v>473058.9864</v>
      </c>
      <c r="AD41" s="11"/>
    </row>
    <row r="42" ht="14.25" customHeight="1">
      <c r="A42" s="7">
        <v>46357.0</v>
      </c>
      <c r="B42" s="8" t="s">
        <v>36</v>
      </c>
      <c r="C42" s="8">
        <v>2892.219</v>
      </c>
      <c r="D42" s="8">
        <v>2786.652</v>
      </c>
      <c r="E42" s="8">
        <v>2699.4594</v>
      </c>
      <c r="F42" s="8">
        <v>2552.2068</v>
      </c>
      <c r="G42" s="8">
        <v>2546.9532</v>
      </c>
      <c r="H42" s="8">
        <v>2556.8334</v>
      </c>
      <c r="I42" s="8">
        <v>2801.6142</v>
      </c>
      <c r="J42" s="8">
        <v>0.0</v>
      </c>
      <c r="K42" s="8">
        <v>0.0</v>
      </c>
      <c r="L42" s="8">
        <v>509.4804</v>
      </c>
      <c r="M42" s="8">
        <v>2083.818</v>
      </c>
      <c r="N42" s="8">
        <v>3004.5774</v>
      </c>
      <c r="O42" s="8">
        <v>3217.071</v>
      </c>
      <c r="P42" s="8">
        <v>3008.1018</v>
      </c>
      <c r="Q42" s="8">
        <v>2591.2788</v>
      </c>
      <c r="R42" s="8">
        <v>2423.1372</v>
      </c>
      <c r="S42" s="8">
        <v>2375.4522</v>
      </c>
      <c r="T42" s="8">
        <v>4077.744</v>
      </c>
      <c r="U42" s="8">
        <v>4250.0964</v>
      </c>
      <c r="V42" s="8">
        <v>4172.8434</v>
      </c>
      <c r="W42" s="8">
        <v>4032.9366</v>
      </c>
      <c r="X42" s="8">
        <v>3696.2772</v>
      </c>
      <c r="Y42" s="8">
        <v>3397.0992</v>
      </c>
      <c r="Z42" s="8">
        <v>3189.2454</v>
      </c>
      <c r="AA42" s="9">
        <f t="shared" si="1"/>
        <v>64865.097</v>
      </c>
      <c r="AB42" s="9">
        <v>6.0</v>
      </c>
      <c r="AC42" s="9">
        <f t="shared" si="2"/>
        <v>389190.582</v>
      </c>
      <c r="AD42" s="12"/>
    </row>
    <row r="43" ht="14.25" customHeight="1">
      <c r="AB43" s="13" t="s">
        <v>32</v>
      </c>
      <c r="AC43" s="9">
        <f t="shared" ref="AC43:AD43" si="9">SUM(AC10:AC42)</f>
        <v>14975757.02</v>
      </c>
      <c r="AD43" s="9">
        <f t="shared" si="9"/>
        <v>14975757.02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D19:AD21"/>
    <mergeCell ref="AD22:AD24"/>
    <mergeCell ref="AD25:AD27"/>
    <mergeCell ref="AD28:AD30"/>
    <mergeCell ref="AD31:AD33"/>
    <mergeCell ref="AD34:AD36"/>
    <mergeCell ref="AD37:AD39"/>
    <mergeCell ref="AD40:AD42"/>
    <mergeCell ref="A1:AC1"/>
    <mergeCell ref="A2:AC2"/>
    <mergeCell ref="A3:AC3"/>
    <mergeCell ref="A4:AC4"/>
    <mergeCell ref="AD10:AD12"/>
    <mergeCell ref="AD13:AD15"/>
    <mergeCell ref="AD16:AD1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71"/>
    <col customWidth="1" min="3" max="3" width="16.0"/>
    <col customWidth="1" min="4" max="4" width="13.0"/>
    <col customWidth="1" min="5" max="5" width="14.14"/>
    <col customWidth="1" min="6" max="6" width="10.71"/>
    <col customWidth="1" min="7" max="7" width="14.86"/>
    <col customWidth="1" min="8" max="14" width="10.71"/>
  </cols>
  <sheetData>
    <row r="1" ht="14.25" customHeight="1"/>
    <row r="2" ht="14.25" customHeight="1"/>
    <row r="3" ht="14.25" customHeight="1"/>
    <row r="4" ht="14.25" customHeight="1">
      <c r="A4" s="14" t="s">
        <v>3</v>
      </c>
    </row>
    <row r="5" ht="14.25" customHeight="1">
      <c r="A5" s="15"/>
      <c r="B5" s="16" t="s">
        <v>37</v>
      </c>
    </row>
    <row r="6" ht="14.25" customHeight="1">
      <c r="A6" s="15"/>
      <c r="B6" s="14" t="s">
        <v>38</v>
      </c>
    </row>
    <row r="7" ht="14.25" customHeight="1">
      <c r="A7" s="15"/>
      <c r="B7" s="17" t="s">
        <v>39</v>
      </c>
    </row>
    <row r="8" ht="14.25" customHeight="1">
      <c r="A8" s="15"/>
      <c r="B8" s="18" t="s">
        <v>40</v>
      </c>
    </row>
    <row r="9" ht="14.25" customHeight="1">
      <c r="A9" s="15"/>
      <c r="B9" s="17"/>
      <c r="C9" s="17"/>
      <c r="D9" s="17"/>
      <c r="E9" s="17"/>
    </row>
    <row r="10" ht="14.25" customHeight="1">
      <c r="A10" s="15"/>
      <c r="B10" s="19" t="s">
        <v>41</v>
      </c>
      <c r="C10" s="20"/>
      <c r="D10" s="20"/>
      <c r="E10" s="20"/>
      <c r="F10" s="21"/>
    </row>
    <row r="11">
      <c r="A11" s="15"/>
      <c r="B11" s="22" t="s">
        <v>4</v>
      </c>
      <c r="C11" s="23" t="s">
        <v>42</v>
      </c>
      <c r="D11" s="24" t="s">
        <v>43</v>
      </c>
      <c r="E11" s="25" t="s">
        <v>44</v>
      </c>
      <c r="F11" s="26" t="s">
        <v>45</v>
      </c>
    </row>
    <row r="12" ht="14.25" customHeight="1">
      <c r="A12" s="15"/>
      <c r="B12" s="27">
        <v>46054.0</v>
      </c>
      <c r="C12" s="28">
        <f>'Cant. Requeridas Producto 1'!AD10</f>
        <v>866201.6925</v>
      </c>
      <c r="D12" s="29"/>
      <c r="E12" s="30">
        <f t="shared" ref="E12:E22" si="1">C12*$D12</f>
        <v>0</v>
      </c>
      <c r="F12" s="31"/>
    </row>
    <row r="13" ht="14.25" customHeight="1">
      <c r="A13" s="15"/>
      <c r="B13" s="27">
        <v>46082.0</v>
      </c>
      <c r="C13" s="28">
        <f>'Cant. Requeridas Producto 1'!AD13</f>
        <v>2494901.951</v>
      </c>
      <c r="D13" s="29"/>
      <c r="E13" s="30">
        <f t="shared" si="1"/>
        <v>0</v>
      </c>
      <c r="F13" s="31"/>
    </row>
    <row r="14" ht="14.25" customHeight="1">
      <c r="A14" s="15"/>
      <c r="B14" s="27">
        <v>46113.0</v>
      </c>
      <c r="C14" s="28">
        <f>'Cant. Requeridas Producto 1'!AD16</f>
        <v>1874422.445</v>
      </c>
      <c r="D14" s="29"/>
      <c r="E14" s="30">
        <f t="shared" si="1"/>
        <v>0</v>
      </c>
      <c r="F14" s="31"/>
    </row>
    <row r="15" ht="14.25" customHeight="1">
      <c r="A15" s="15"/>
      <c r="B15" s="27">
        <v>46143.0</v>
      </c>
      <c r="C15" s="30">
        <f>'Cant. Requeridas Producto 1'!AD19</f>
        <v>1937654.434</v>
      </c>
      <c r="D15" s="29"/>
      <c r="E15" s="30">
        <f t="shared" si="1"/>
        <v>0</v>
      </c>
      <c r="F15" s="31"/>
    </row>
    <row r="16" ht="14.25" customHeight="1">
      <c r="A16" s="15"/>
      <c r="B16" s="27">
        <v>46174.0</v>
      </c>
      <c r="C16" s="30">
        <f>'Cant. Requeridas Producto 1'!AD22</f>
        <v>0</v>
      </c>
      <c r="D16" s="29"/>
      <c r="E16" s="30">
        <f t="shared" si="1"/>
        <v>0</v>
      </c>
      <c r="F16" s="31"/>
    </row>
    <row r="17" ht="14.25" customHeight="1">
      <c r="A17" s="15"/>
      <c r="B17" s="27">
        <v>46204.0</v>
      </c>
      <c r="C17" s="30">
        <f>'Cant. Requeridas Producto 1'!AD25</f>
        <v>0</v>
      </c>
      <c r="D17" s="29"/>
      <c r="E17" s="30">
        <f t="shared" si="1"/>
        <v>0</v>
      </c>
      <c r="F17" s="31"/>
    </row>
    <row r="18" ht="14.25" customHeight="1">
      <c r="A18" s="15"/>
      <c r="B18" s="27">
        <v>46235.0</v>
      </c>
      <c r="C18" s="30">
        <f>'Cant. Requeridas Producto 1'!AD28</f>
        <v>0</v>
      </c>
      <c r="D18" s="29"/>
      <c r="E18" s="30">
        <f t="shared" si="1"/>
        <v>0</v>
      </c>
      <c r="F18" s="31"/>
    </row>
    <row r="19" ht="14.25" customHeight="1">
      <c r="A19" s="15"/>
      <c r="B19" s="27">
        <v>46266.0</v>
      </c>
      <c r="C19" s="30">
        <f>'Cant. Requeridas Producto 1'!AD31</f>
        <v>0</v>
      </c>
      <c r="D19" s="29"/>
      <c r="E19" s="30">
        <f t="shared" si="1"/>
        <v>0</v>
      </c>
      <c r="F19" s="31"/>
    </row>
    <row r="20" ht="14.25" customHeight="1">
      <c r="A20" s="15"/>
      <c r="B20" s="27">
        <v>46296.0</v>
      </c>
      <c r="C20" s="30">
        <f>'Cant. Requeridas Producto 1'!AD34</f>
        <v>1896055.846</v>
      </c>
      <c r="D20" s="29"/>
      <c r="E20" s="30">
        <f t="shared" si="1"/>
        <v>0</v>
      </c>
      <c r="F20" s="31"/>
    </row>
    <row r="21" ht="14.25" customHeight="1">
      <c r="A21" s="15"/>
      <c r="B21" s="27">
        <v>46327.0</v>
      </c>
      <c r="C21" s="28">
        <f>'Cant. Requeridas Producto 1'!AD37</f>
        <v>1890337.027</v>
      </c>
      <c r="D21" s="29"/>
      <c r="E21" s="30">
        <f t="shared" si="1"/>
        <v>0</v>
      </c>
      <c r="F21" s="31"/>
    </row>
    <row r="22" ht="14.25" customHeight="1">
      <c r="A22" s="15"/>
      <c r="B22" s="32">
        <v>46357.0</v>
      </c>
      <c r="C22" s="33">
        <f>'Cant. Requeridas Producto 1'!AD40</f>
        <v>4016183.629</v>
      </c>
      <c r="D22" s="34"/>
      <c r="E22" s="35">
        <f t="shared" si="1"/>
        <v>0</v>
      </c>
      <c r="F22" s="36"/>
    </row>
    <row r="23" ht="14.25" customHeight="1">
      <c r="A23" s="15"/>
      <c r="B23" s="37" t="s">
        <v>32</v>
      </c>
      <c r="C23" s="38">
        <f>SUM(C12:C22)</f>
        <v>14975757.02</v>
      </c>
      <c r="D23" s="39"/>
      <c r="E23" s="38">
        <f>SUM(E12:E22)</f>
        <v>0</v>
      </c>
      <c r="F23" s="39"/>
    </row>
    <row r="24" ht="14.25" customHeight="1">
      <c r="A24" s="15"/>
      <c r="B24" s="17"/>
      <c r="C24" s="40"/>
      <c r="D24" s="17"/>
      <c r="E24" s="17"/>
    </row>
    <row r="25" ht="14.25" customHeight="1">
      <c r="C25" s="41"/>
    </row>
    <row r="26" ht="30.0" customHeight="1">
      <c r="B26" s="42" t="s">
        <v>46</v>
      </c>
      <c r="E26" s="43"/>
    </row>
    <row r="27" ht="42.0" customHeight="1">
      <c r="B27" s="44" t="s">
        <v>47</v>
      </c>
      <c r="I27" s="42"/>
    </row>
    <row r="28" ht="44.25" customHeight="1">
      <c r="B28" s="44" t="s">
        <v>48</v>
      </c>
      <c r="I28" s="42"/>
    </row>
    <row r="29" ht="14.25" customHeight="1">
      <c r="B29" s="45"/>
    </row>
    <row r="30" ht="14.25" customHeight="1"/>
    <row r="31" ht="14.25" customHeight="1"/>
    <row r="32" ht="14.25" customHeight="1">
      <c r="B32" s="46"/>
      <c r="C32" s="46"/>
    </row>
    <row r="33" ht="14.25" customHeight="1">
      <c r="B33" s="4" t="s">
        <v>49</v>
      </c>
    </row>
    <row r="34" ht="14.25" customHeight="1">
      <c r="B34" s="4" t="s">
        <v>50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26:D26"/>
    <mergeCell ref="B27:E27"/>
    <mergeCell ref="I27:N27"/>
    <mergeCell ref="B28:E28"/>
    <mergeCell ref="I28:N28"/>
    <mergeCell ref="B29:E29"/>
    <mergeCell ref="A4:F4"/>
    <mergeCell ref="B5:E5"/>
    <mergeCell ref="B6:E6"/>
    <mergeCell ref="B7:E7"/>
    <mergeCell ref="B8:E8"/>
    <mergeCell ref="B10:F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4" width="10.71"/>
    <col customWidth="1" min="5" max="5" width="11.29"/>
    <col customWidth="1" min="6" max="26" width="10.71"/>
    <col customWidth="1" min="27" max="27" width="13.43"/>
    <col customWidth="1" min="28" max="28" width="7.86"/>
    <col customWidth="1" min="29" max="30" width="18.43"/>
  </cols>
  <sheetData>
    <row r="1" ht="14.25" customHeight="1">
      <c r="A1" s="1" t="s">
        <v>0</v>
      </c>
      <c r="AD1" s="1"/>
    </row>
    <row r="2" ht="14.25" customHeight="1">
      <c r="A2" s="1" t="s">
        <v>51</v>
      </c>
      <c r="AD2" s="1"/>
    </row>
    <row r="3" ht="14.25" customHeight="1">
      <c r="A3" s="1" t="s">
        <v>2</v>
      </c>
      <c r="AD3" s="1"/>
    </row>
    <row r="4" ht="14.25" customHeight="1">
      <c r="A4" s="1" t="s">
        <v>3</v>
      </c>
      <c r="AD4" s="1"/>
    </row>
    <row r="5" ht="14.25" customHeight="1">
      <c r="A5" s="2"/>
      <c r="B5" s="3"/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4"/>
      <c r="X5" s="4"/>
      <c r="Y5" s="4"/>
      <c r="Z5" s="4"/>
      <c r="AA5" s="4"/>
      <c r="AB5" s="4"/>
    </row>
    <row r="6" ht="14.25" customHeight="1">
      <c r="A6" s="2"/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4"/>
      <c r="X6" s="4"/>
      <c r="Y6" s="4"/>
      <c r="Z6" s="4"/>
      <c r="AA6" s="4"/>
      <c r="AB6" s="4"/>
    </row>
    <row r="7" ht="14.25" customHeight="1">
      <c r="A7" s="2"/>
      <c r="B7" s="3"/>
      <c r="C7" s="3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4.25" customHeight="1">
      <c r="A8" s="2"/>
      <c r="B8" s="3"/>
      <c r="C8" s="3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4.25" customHeight="1">
      <c r="A9" s="5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6" t="s">
        <v>13</v>
      </c>
      <c r="K9" s="6" t="s">
        <v>14</v>
      </c>
      <c r="L9" s="6" t="s">
        <v>15</v>
      </c>
      <c r="M9" s="6" t="s">
        <v>16</v>
      </c>
      <c r="N9" s="6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  <c r="Z9" s="6" t="s">
        <v>29</v>
      </c>
      <c r="AA9" s="6" t="s">
        <v>30</v>
      </c>
      <c r="AB9" s="6" t="s">
        <v>31</v>
      </c>
      <c r="AC9" s="6" t="s">
        <v>32</v>
      </c>
      <c r="AD9" s="6" t="s">
        <v>33</v>
      </c>
    </row>
    <row r="10" ht="14.25" customHeight="1">
      <c r="A10" s="7">
        <v>46054.0</v>
      </c>
      <c r="B10" s="8" t="s">
        <v>34</v>
      </c>
      <c r="C10" s="8">
        <v>1789.42245</v>
      </c>
      <c r="D10" s="8">
        <v>1716.199226</v>
      </c>
      <c r="E10" s="8">
        <v>1675.242261</v>
      </c>
      <c r="F10" s="8">
        <v>1658.499934</v>
      </c>
      <c r="G10" s="8">
        <v>1684.074551</v>
      </c>
      <c r="H10" s="8">
        <v>1792.152715</v>
      </c>
      <c r="I10" s="8">
        <v>2168.520715</v>
      </c>
      <c r="J10" s="8">
        <v>2721.029537</v>
      </c>
      <c r="K10" s="8">
        <v>3183.272762</v>
      </c>
      <c r="L10" s="8">
        <v>3495.437472</v>
      </c>
      <c r="M10" s="8">
        <v>3749.40539</v>
      </c>
      <c r="N10" s="8">
        <v>3902.252663</v>
      </c>
      <c r="O10" s="8">
        <v>3850.922688</v>
      </c>
      <c r="P10" s="8">
        <v>3864.081001</v>
      </c>
      <c r="Q10" s="8">
        <v>3966.464102</v>
      </c>
      <c r="R10" s="8">
        <v>3968.138343</v>
      </c>
      <c r="S10" s="8">
        <v>3856.287608</v>
      </c>
      <c r="T10" s="8">
        <v>3598.872938</v>
      </c>
      <c r="U10" s="8">
        <v>3409.257046</v>
      </c>
      <c r="V10" s="8">
        <v>3193.822775</v>
      </c>
      <c r="W10" s="8">
        <v>2909.013839</v>
      </c>
      <c r="X10" s="8">
        <v>2585.22871</v>
      </c>
      <c r="Y10" s="8">
        <v>2240.427692</v>
      </c>
      <c r="Z10" s="8">
        <v>2005.072964</v>
      </c>
      <c r="AA10" s="9">
        <f t="shared" ref="AA10:AA42" si="1">SUM(C10:Z10)</f>
        <v>68983.09938</v>
      </c>
      <c r="AB10" s="9">
        <v>12.0</v>
      </c>
      <c r="AC10" s="9">
        <f t="shared" ref="AC10:AC42" si="2">AA10*AB10</f>
        <v>827797.1926</v>
      </c>
      <c r="AD10" s="10">
        <f>SUM(AC10:AC12)</f>
        <v>1118900.051</v>
      </c>
    </row>
    <row r="11" ht="14.25" customHeight="1">
      <c r="A11" s="7">
        <v>46054.0</v>
      </c>
      <c r="B11" s="8" t="s">
        <v>35</v>
      </c>
      <c r="C11" s="8">
        <v>1944.42122</v>
      </c>
      <c r="D11" s="8">
        <v>1842.912902</v>
      </c>
      <c r="E11" s="8">
        <v>1786.312658</v>
      </c>
      <c r="F11" s="8">
        <v>1742.435707</v>
      </c>
      <c r="G11" s="8">
        <v>1750.84291</v>
      </c>
      <c r="H11" s="8">
        <v>1757.986244</v>
      </c>
      <c r="I11" s="8">
        <v>2013.872788</v>
      </c>
      <c r="J11" s="8">
        <v>2472.636506</v>
      </c>
      <c r="K11" s="8">
        <v>2908.449371</v>
      </c>
      <c r="L11" s="8">
        <v>3248.819029</v>
      </c>
      <c r="M11" s="8">
        <v>3461.218666</v>
      </c>
      <c r="N11" s="8">
        <v>3558.693026</v>
      </c>
      <c r="O11" s="8">
        <v>3458.85554</v>
      </c>
      <c r="P11" s="8">
        <v>3349.234037</v>
      </c>
      <c r="Q11" s="8">
        <v>3273.991256</v>
      </c>
      <c r="R11" s="8">
        <v>3255.744707</v>
      </c>
      <c r="S11" s="8">
        <v>3216.638361</v>
      </c>
      <c r="T11" s="8">
        <v>3155.856921</v>
      </c>
      <c r="U11" s="8">
        <v>3082.652154</v>
      </c>
      <c r="V11" s="8">
        <v>2921.267773</v>
      </c>
      <c r="W11" s="8">
        <v>2672.604126</v>
      </c>
      <c r="X11" s="8">
        <v>2393.004475</v>
      </c>
      <c r="Y11" s="8">
        <v>2094.301368</v>
      </c>
      <c r="Z11" s="8">
        <v>1879.889325</v>
      </c>
      <c r="AA11" s="9">
        <f t="shared" si="1"/>
        <v>63242.64107</v>
      </c>
      <c r="AB11" s="9">
        <v>3.0</v>
      </c>
      <c r="AC11" s="9">
        <f t="shared" si="2"/>
        <v>189727.9232</v>
      </c>
      <c r="AD11" s="11"/>
    </row>
    <row r="12" ht="14.25" customHeight="1">
      <c r="A12" s="7">
        <v>46054.0</v>
      </c>
      <c r="B12" s="8" t="s">
        <v>36</v>
      </c>
      <c r="C12" s="8">
        <v>1740.94595</v>
      </c>
      <c r="D12" s="8">
        <v>1654.478322</v>
      </c>
      <c r="E12" s="8">
        <v>1574.591597</v>
      </c>
      <c r="F12" s="8">
        <v>1534.002811</v>
      </c>
      <c r="G12" s="8">
        <v>1499.780014</v>
      </c>
      <c r="H12" s="8">
        <v>1470.355259</v>
      </c>
      <c r="I12" s="8">
        <v>1517.883898</v>
      </c>
      <c r="J12" s="8">
        <v>1696.730625</v>
      </c>
      <c r="K12" s="8">
        <v>1931.959482</v>
      </c>
      <c r="L12" s="8">
        <v>2259.074969</v>
      </c>
      <c r="M12" s="8">
        <v>2523.326648</v>
      </c>
      <c r="N12" s="8">
        <v>2672.915063</v>
      </c>
      <c r="O12" s="8">
        <v>2724.442451</v>
      </c>
      <c r="P12" s="8">
        <v>2736.875839</v>
      </c>
      <c r="Q12" s="8">
        <v>2717.970834</v>
      </c>
      <c r="R12" s="8">
        <v>2704.809029</v>
      </c>
      <c r="S12" s="8">
        <v>2640.818988</v>
      </c>
      <c r="T12" s="8">
        <v>2576.744354</v>
      </c>
      <c r="U12" s="8">
        <v>2540.87496</v>
      </c>
      <c r="V12" s="8">
        <v>2414.274435</v>
      </c>
      <c r="W12" s="8">
        <v>2209.339587</v>
      </c>
      <c r="X12" s="8">
        <v>1973.991385</v>
      </c>
      <c r="Y12" s="8">
        <v>1762.25935</v>
      </c>
      <c r="Z12" s="8">
        <v>1609.021991</v>
      </c>
      <c r="AA12" s="9">
        <f t="shared" si="1"/>
        <v>50687.46784</v>
      </c>
      <c r="AB12" s="9">
        <v>2.0</v>
      </c>
      <c r="AC12" s="9">
        <f t="shared" si="2"/>
        <v>101374.9357</v>
      </c>
      <c r="AD12" s="12"/>
    </row>
    <row r="13" ht="14.25" customHeight="1">
      <c r="A13" s="7">
        <v>46082.0</v>
      </c>
      <c r="B13" s="8" t="s">
        <v>34</v>
      </c>
      <c r="C13" s="8">
        <v>1789.42245</v>
      </c>
      <c r="D13" s="8">
        <v>1716.199226</v>
      </c>
      <c r="E13" s="8">
        <v>1675.242261</v>
      </c>
      <c r="F13" s="8">
        <v>1658.499934</v>
      </c>
      <c r="G13" s="8">
        <v>1684.074551</v>
      </c>
      <c r="H13" s="8">
        <v>1792.152715</v>
      </c>
      <c r="I13" s="8">
        <v>2168.520715</v>
      </c>
      <c r="J13" s="8">
        <v>2721.029537</v>
      </c>
      <c r="K13" s="8">
        <v>3183.272762</v>
      </c>
      <c r="L13" s="8">
        <v>3495.437472</v>
      </c>
      <c r="M13" s="8">
        <v>3749.40539</v>
      </c>
      <c r="N13" s="8">
        <v>3902.252663</v>
      </c>
      <c r="O13" s="8">
        <v>3850.922688</v>
      </c>
      <c r="P13" s="8">
        <v>3864.081001</v>
      </c>
      <c r="Q13" s="8">
        <v>3966.464102</v>
      </c>
      <c r="R13" s="8">
        <v>3968.138343</v>
      </c>
      <c r="S13" s="8">
        <v>3856.287608</v>
      </c>
      <c r="T13" s="8">
        <v>3598.872938</v>
      </c>
      <c r="U13" s="8">
        <v>3409.257046</v>
      </c>
      <c r="V13" s="8">
        <v>3193.822775</v>
      </c>
      <c r="W13" s="8">
        <v>2909.013839</v>
      </c>
      <c r="X13" s="8">
        <v>2585.22871</v>
      </c>
      <c r="Y13" s="8">
        <v>2240.427692</v>
      </c>
      <c r="Z13" s="8">
        <v>2005.072964</v>
      </c>
      <c r="AA13" s="9">
        <f t="shared" si="1"/>
        <v>68983.09938</v>
      </c>
      <c r="AB13" s="9">
        <v>21.0</v>
      </c>
      <c r="AC13" s="9">
        <f t="shared" si="2"/>
        <v>1448645.087</v>
      </c>
      <c r="AD13" s="10">
        <f>SUM(AC13:AC15)</f>
        <v>2005740.458</v>
      </c>
    </row>
    <row r="14" ht="14.25" customHeight="1">
      <c r="A14" s="7">
        <v>46082.0</v>
      </c>
      <c r="B14" s="8" t="s">
        <v>35</v>
      </c>
      <c r="C14" s="8">
        <v>1944.42122</v>
      </c>
      <c r="D14" s="8">
        <v>1842.912902</v>
      </c>
      <c r="E14" s="8">
        <v>1786.312658</v>
      </c>
      <c r="F14" s="8">
        <v>1742.435707</v>
      </c>
      <c r="G14" s="8">
        <v>1750.84291</v>
      </c>
      <c r="H14" s="8">
        <v>1757.986244</v>
      </c>
      <c r="I14" s="8">
        <v>2013.872788</v>
      </c>
      <c r="J14" s="8">
        <v>2472.636506</v>
      </c>
      <c r="K14" s="8">
        <v>2908.449371</v>
      </c>
      <c r="L14" s="8">
        <v>3248.819029</v>
      </c>
      <c r="M14" s="8">
        <v>3461.218666</v>
      </c>
      <c r="N14" s="8">
        <v>3558.693026</v>
      </c>
      <c r="O14" s="8">
        <v>3458.85554</v>
      </c>
      <c r="P14" s="8">
        <v>3349.234037</v>
      </c>
      <c r="Q14" s="8">
        <v>3273.991256</v>
      </c>
      <c r="R14" s="8">
        <v>3255.744707</v>
      </c>
      <c r="S14" s="8">
        <v>3216.638361</v>
      </c>
      <c r="T14" s="8">
        <v>3155.856921</v>
      </c>
      <c r="U14" s="8">
        <v>3082.652154</v>
      </c>
      <c r="V14" s="8">
        <v>2921.267773</v>
      </c>
      <c r="W14" s="8">
        <v>2672.604126</v>
      </c>
      <c r="X14" s="8">
        <v>2393.004475</v>
      </c>
      <c r="Y14" s="8">
        <v>2094.301368</v>
      </c>
      <c r="Z14" s="8">
        <v>1879.889325</v>
      </c>
      <c r="AA14" s="9">
        <f t="shared" si="1"/>
        <v>63242.64107</v>
      </c>
      <c r="AB14" s="9">
        <v>4.0</v>
      </c>
      <c r="AC14" s="9">
        <f t="shared" si="2"/>
        <v>252970.5643</v>
      </c>
      <c r="AD14" s="11"/>
    </row>
    <row r="15" ht="14.25" customHeight="1">
      <c r="A15" s="7">
        <v>46082.0</v>
      </c>
      <c r="B15" s="8" t="s">
        <v>36</v>
      </c>
      <c r="C15" s="8">
        <v>1740.94595</v>
      </c>
      <c r="D15" s="8">
        <v>1654.478322</v>
      </c>
      <c r="E15" s="8">
        <v>1574.591597</v>
      </c>
      <c r="F15" s="8">
        <v>1534.002811</v>
      </c>
      <c r="G15" s="8">
        <v>1499.780014</v>
      </c>
      <c r="H15" s="8">
        <v>1470.355259</v>
      </c>
      <c r="I15" s="8">
        <v>1517.883898</v>
      </c>
      <c r="J15" s="8">
        <v>1696.730625</v>
      </c>
      <c r="K15" s="8">
        <v>1931.959482</v>
      </c>
      <c r="L15" s="8">
        <v>2259.074969</v>
      </c>
      <c r="M15" s="8">
        <v>2523.326648</v>
      </c>
      <c r="N15" s="8">
        <v>2672.915063</v>
      </c>
      <c r="O15" s="8">
        <v>2724.442451</v>
      </c>
      <c r="P15" s="8">
        <v>2736.875839</v>
      </c>
      <c r="Q15" s="8">
        <v>2717.970834</v>
      </c>
      <c r="R15" s="8">
        <v>2704.809029</v>
      </c>
      <c r="S15" s="8">
        <v>2640.818988</v>
      </c>
      <c r="T15" s="8">
        <v>2576.744354</v>
      </c>
      <c r="U15" s="8">
        <v>2540.87496</v>
      </c>
      <c r="V15" s="8">
        <v>2414.274435</v>
      </c>
      <c r="W15" s="8">
        <v>2209.339587</v>
      </c>
      <c r="X15" s="8">
        <v>1973.991385</v>
      </c>
      <c r="Y15" s="8">
        <v>1762.25935</v>
      </c>
      <c r="Z15" s="8">
        <v>1609.021991</v>
      </c>
      <c r="AA15" s="9">
        <f t="shared" si="1"/>
        <v>50687.46784</v>
      </c>
      <c r="AB15" s="9">
        <v>6.0</v>
      </c>
      <c r="AC15" s="9">
        <f t="shared" si="2"/>
        <v>304124.807</v>
      </c>
      <c r="AD15" s="12"/>
    </row>
    <row r="16" ht="14.25" customHeight="1">
      <c r="A16" s="7">
        <v>46113.0</v>
      </c>
      <c r="B16" s="8" t="s">
        <v>34</v>
      </c>
      <c r="C16" s="8">
        <v>1789.42245</v>
      </c>
      <c r="D16" s="8">
        <v>1716.199226</v>
      </c>
      <c r="E16" s="8">
        <v>1675.242261</v>
      </c>
      <c r="F16" s="8">
        <v>1658.499934</v>
      </c>
      <c r="G16" s="8">
        <v>1684.074551</v>
      </c>
      <c r="H16" s="8">
        <v>1792.152715</v>
      </c>
      <c r="I16" s="8">
        <v>2168.520715</v>
      </c>
      <c r="J16" s="8">
        <v>2721.029537</v>
      </c>
      <c r="K16" s="8">
        <v>3183.272762</v>
      </c>
      <c r="L16" s="8">
        <v>3495.437472</v>
      </c>
      <c r="M16" s="8">
        <v>3749.40539</v>
      </c>
      <c r="N16" s="8">
        <v>3902.252663</v>
      </c>
      <c r="O16" s="8">
        <v>3850.922688</v>
      </c>
      <c r="P16" s="8">
        <v>3864.081001</v>
      </c>
      <c r="Q16" s="8">
        <v>3966.464102</v>
      </c>
      <c r="R16" s="8">
        <v>3968.138343</v>
      </c>
      <c r="S16" s="8">
        <v>3856.287608</v>
      </c>
      <c r="T16" s="8">
        <v>3598.872938</v>
      </c>
      <c r="U16" s="8">
        <v>3409.257046</v>
      </c>
      <c r="V16" s="8">
        <v>3193.822775</v>
      </c>
      <c r="W16" s="8">
        <v>2909.013839</v>
      </c>
      <c r="X16" s="8">
        <v>2585.22871</v>
      </c>
      <c r="Y16" s="8">
        <v>2240.427692</v>
      </c>
      <c r="Z16" s="8">
        <v>2005.072964</v>
      </c>
      <c r="AA16" s="9">
        <f t="shared" si="1"/>
        <v>68983.09938</v>
      </c>
      <c r="AB16" s="9">
        <v>20.0</v>
      </c>
      <c r="AC16" s="9">
        <f t="shared" si="2"/>
        <v>1379661.988</v>
      </c>
      <c r="AD16" s="10">
        <f>SUM(AC16:AC18)</f>
        <v>1936757.359</v>
      </c>
    </row>
    <row r="17" ht="14.25" customHeight="1">
      <c r="A17" s="7">
        <v>46113.0</v>
      </c>
      <c r="B17" s="8" t="s">
        <v>35</v>
      </c>
      <c r="C17" s="8">
        <v>1944.42122</v>
      </c>
      <c r="D17" s="8">
        <v>1842.912902</v>
      </c>
      <c r="E17" s="8">
        <v>1786.312658</v>
      </c>
      <c r="F17" s="8">
        <v>1742.435707</v>
      </c>
      <c r="G17" s="8">
        <v>1750.84291</v>
      </c>
      <c r="H17" s="8">
        <v>1757.986244</v>
      </c>
      <c r="I17" s="8">
        <v>2013.872788</v>
      </c>
      <c r="J17" s="8">
        <v>2472.636506</v>
      </c>
      <c r="K17" s="8">
        <v>2908.449371</v>
      </c>
      <c r="L17" s="8">
        <v>3248.819029</v>
      </c>
      <c r="M17" s="8">
        <v>3461.218666</v>
      </c>
      <c r="N17" s="8">
        <v>3558.693026</v>
      </c>
      <c r="O17" s="8">
        <v>3458.85554</v>
      </c>
      <c r="P17" s="8">
        <v>3349.234037</v>
      </c>
      <c r="Q17" s="8">
        <v>3273.991256</v>
      </c>
      <c r="R17" s="8">
        <v>3255.744707</v>
      </c>
      <c r="S17" s="8">
        <v>3216.638361</v>
      </c>
      <c r="T17" s="8">
        <v>3155.856921</v>
      </c>
      <c r="U17" s="8">
        <v>3082.652154</v>
      </c>
      <c r="V17" s="8">
        <v>2921.267773</v>
      </c>
      <c r="W17" s="8">
        <v>2672.604126</v>
      </c>
      <c r="X17" s="8">
        <v>2393.004475</v>
      </c>
      <c r="Y17" s="8">
        <v>2094.301368</v>
      </c>
      <c r="Z17" s="8">
        <v>1879.889325</v>
      </c>
      <c r="AA17" s="9">
        <f t="shared" si="1"/>
        <v>63242.64107</v>
      </c>
      <c r="AB17" s="9">
        <v>4.0</v>
      </c>
      <c r="AC17" s="9">
        <f t="shared" si="2"/>
        <v>252970.5643</v>
      </c>
      <c r="AD17" s="11"/>
    </row>
    <row r="18" ht="14.25" customHeight="1">
      <c r="A18" s="7">
        <v>46113.0</v>
      </c>
      <c r="B18" s="8" t="s">
        <v>36</v>
      </c>
      <c r="C18" s="8">
        <v>1740.94595</v>
      </c>
      <c r="D18" s="8">
        <v>1654.478322</v>
      </c>
      <c r="E18" s="8">
        <v>1574.591597</v>
      </c>
      <c r="F18" s="8">
        <v>1534.002811</v>
      </c>
      <c r="G18" s="8">
        <v>1499.780014</v>
      </c>
      <c r="H18" s="8">
        <v>1470.355259</v>
      </c>
      <c r="I18" s="8">
        <v>1517.883898</v>
      </c>
      <c r="J18" s="8">
        <v>1696.730625</v>
      </c>
      <c r="K18" s="8">
        <v>1931.959482</v>
      </c>
      <c r="L18" s="8">
        <v>2259.074969</v>
      </c>
      <c r="M18" s="8">
        <v>2523.326648</v>
      </c>
      <c r="N18" s="8">
        <v>2672.915063</v>
      </c>
      <c r="O18" s="8">
        <v>2724.442451</v>
      </c>
      <c r="P18" s="8">
        <v>2736.875839</v>
      </c>
      <c r="Q18" s="8">
        <v>2717.970834</v>
      </c>
      <c r="R18" s="8">
        <v>2704.809029</v>
      </c>
      <c r="S18" s="8">
        <v>2640.818988</v>
      </c>
      <c r="T18" s="8">
        <v>2576.744354</v>
      </c>
      <c r="U18" s="8">
        <v>2540.87496</v>
      </c>
      <c r="V18" s="8">
        <v>2414.274435</v>
      </c>
      <c r="W18" s="8">
        <v>2209.339587</v>
      </c>
      <c r="X18" s="8">
        <v>1973.991385</v>
      </c>
      <c r="Y18" s="8">
        <v>1762.25935</v>
      </c>
      <c r="Z18" s="8">
        <v>1609.021991</v>
      </c>
      <c r="AA18" s="9">
        <f t="shared" si="1"/>
        <v>50687.46784</v>
      </c>
      <c r="AB18" s="9">
        <v>6.0</v>
      </c>
      <c r="AC18" s="9">
        <f t="shared" si="2"/>
        <v>304124.807</v>
      </c>
      <c r="AD18" s="12"/>
    </row>
    <row r="19" ht="14.25" customHeight="1">
      <c r="A19" s="7">
        <v>46143.0</v>
      </c>
      <c r="B19" s="8" t="s">
        <v>34</v>
      </c>
      <c r="C19" s="8">
        <v>1789.42245</v>
      </c>
      <c r="D19" s="8">
        <v>1716.199226</v>
      </c>
      <c r="E19" s="8">
        <v>1675.242261</v>
      </c>
      <c r="F19" s="8">
        <v>1658.499934</v>
      </c>
      <c r="G19" s="8">
        <v>1684.074551</v>
      </c>
      <c r="H19" s="8">
        <v>1792.152715</v>
      </c>
      <c r="I19" s="8">
        <v>2168.520715</v>
      </c>
      <c r="J19" s="8">
        <v>2721.029537</v>
      </c>
      <c r="K19" s="8">
        <v>3183.272762</v>
      </c>
      <c r="L19" s="8">
        <v>3495.437472</v>
      </c>
      <c r="M19" s="8">
        <v>3749.40539</v>
      </c>
      <c r="N19" s="8">
        <v>3902.252663</v>
      </c>
      <c r="O19" s="8">
        <v>3850.922688</v>
      </c>
      <c r="P19" s="8">
        <v>3864.081001</v>
      </c>
      <c r="Q19" s="8">
        <v>3966.464102</v>
      </c>
      <c r="R19" s="8">
        <v>3968.138343</v>
      </c>
      <c r="S19" s="8">
        <v>3856.287608</v>
      </c>
      <c r="T19" s="8">
        <v>3598.872938</v>
      </c>
      <c r="U19" s="8">
        <v>3409.257046</v>
      </c>
      <c r="V19" s="8">
        <v>3193.822775</v>
      </c>
      <c r="W19" s="8">
        <v>2909.013839</v>
      </c>
      <c r="X19" s="8">
        <v>2585.22871</v>
      </c>
      <c r="Y19" s="8">
        <v>2240.427692</v>
      </c>
      <c r="Z19" s="8">
        <v>2005.072964</v>
      </c>
      <c r="AA19" s="9">
        <f t="shared" si="1"/>
        <v>68983.09938</v>
      </c>
      <c r="AB19" s="9">
        <v>19.0</v>
      </c>
      <c r="AC19" s="9">
        <f t="shared" si="2"/>
        <v>1310678.888</v>
      </c>
      <c r="AD19" s="10">
        <f>SUM(AC19:AC21)</f>
        <v>1981704.368</v>
      </c>
    </row>
    <row r="20" ht="14.25" customHeight="1">
      <c r="A20" s="7">
        <v>46143.0</v>
      </c>
      <c r="B20" s="8" t="s">
        <v>35</v>
      </c>
      <c r="C20" s="8">
        <v>1944.42122</v>
      </c>
      <c r="D20" s="8">
        <v>1842.912902</v>
      </c>
      <c r="E20" s="8">
        <v>1786.312658</v>
      </c>
      <c r="F20" s="8">
        <v>1742.435707</v>
      </c>
      <c r="G20" s="8">
        <v>1750.84291</v>
      </c>
      <c r="H20" s="8">
        <v>1757.986244</v>
      </c>
      <c r="I20" s="8">
        <v>2013.872788</v>
      </c>
      <c r="J20" s="8">
        <v>2472.636506</v>
      </c>
      <c r="K20" s="8">
        <v>2908.449371</v>
      </c>
      <c r="L20" s="8">
        <v>3248.819029</v>
      </c>
      <c r="M20" s="8">
        <v>3461.218666</v>
      </c>
      <c r="N20" s="8">
        <v>3558.693026</v>
      </c>
      <c r="O20" s="8">
        <v>3458.85554</v>
      </c>
      <c r="P20" s="8">
        <v>3349.234037</v>
      </c>
      <c r="Q20" s="8">
        <v>3273.991256</v>
      </c>
      <c r="R20" s="8">
        <v>3255.744707</v>
      </c>
      <c r="S20" s="8">
        <v>3216.638361</v>
      </c>
      <c r="T20" s="8">
        <v>3155.856921</v>
      </c>
      <c r="U20" s="8">
        <v>3082.652154</v>
      </c>
      <c r="V20" s="8">
        <v>2921.267773</v>
      </c>
      <c r="W20" s="8">
        <v>2672.604126</v>
      </c>
      <c r="X20" s="8">
        <v>2393.004475</v>
      </c>
      <c r="Y20" s="8">
        <v>2094.301368</v>
      </c>
      <c r="Z20" s="8">
        <v>1879.889325</v>
      </c>
      <c r="AA20" s="9">
        <f t="shared" si="1"/>
        <v>63242.64107</v>
      </c>
      <c r="AB20" s="9">
        <v>5.0</v>
      </c>
      <c r="AC20" s="9">
        <f t="shared" si="2"/>
        <v>316213.2054</v>
      </c>
      <c r="AD20" s="11"/>
    </row>
    <row r="21" ht="14.25" customHeight="1">
      <c r="A21" s="7">
        <v>46143.0</v>
      </c>
      <c r="B21" s="8" t="s">
        <v>36</v>
      </c>
      <c r="C21" s="8">
        <v>1740.94595</v>
      </c>
      <c r="D21" s="8">
        <v>1654.478322</v>
      </c>
      <c r="E21" s="8">
        <v>1574.591597</v>
      </c>
      <c r="F21" s="8">
        <v>1534.002811</v>
      </c>
      <c r="G21" s="8">
        <v>1499.780014</v>
      </c>
      <c r="H21" s="8">
        <v>1470.355259</v>
      </c>
      <c r="I21" s="8">
        <v>1517.883898</v>
      </c>
      <c r="J21" s="8">
        <v>1696.730625</v>
      </c>
      <c r="K21" s="8">
        <v>1931.959482</v>
      </c>
      <c r="L21" s="8">
        <v>2259.074969</v>
      </c>
      <c r="M21" s="8">
        <v>2523.326648</v>
      </c>
      <c r="N21" s="8">
        <v>2672.915063</v>
      </c>
      <c r="O21" s="8">
        <v>2724.442451</v>
      </c>
      <c r="P21" s="8">
        <v>2736.875839</v>
      </c>
      <c r="Q21" s="8">
        <v>2717.970834</v>
      </c>
      <c r="R21" s="8">
        <v>2704.809029</v>
      </c>
      <c r="S21" s="8">
        <v>2640.818988</v>
      </c>
      <c r="T21" s="8">
        <v>2576.744354</v>
      </c>
      <c r="U21" s="8">
        <v>2540.87496</v>
      </c>
      <c r="V21" s="8">
        <v>2414.274435</v>
      </c>
      <c r="W21" s="8">
        <v>2209.339587</v>
      </c>
      <c r="X21" s="8">
        <v>1973.991385</v>
      </c>
      <c r="Y21" s="8">
        <v>1762.25935</v>
      </c>
      <c r="Z21" s="8">
        <v>1609.021991</v>
      </c>
      <c r="AA21" s="9">
        <f t="shared" si="1"/>
        <v>50687.46784</v>
      </c>
      <c r="AB21" s="9">
        <v>7.0</v>
      </c>
      <c r="AC21" s="9">
        <f t="shared" si="2"/>
        <v>354812.2749</v>
      </c>
      <c r="AD21" s="12"/>
    </row>
    <row r="22" ht="14.25" customHeight="1">
      <c r="A22" s="7">
        <v>46174.0</v>
      </c>
      <c r="B22" s="8" t="s">
        <v>34</v>
      </c>
      <c r="C22" s="8">
        <v>1789.42245</v>
      </c>
      <c r="D22" s="8">
        <v>1716.199226</v>
      </c>
      <c r="E22" s="8">
        <v>1675.242261</v>
      </c>
      <c r="F22" s="8">
        <v>1658.499934</v>
      </c>
      <c r="G22" s="8">
        <v>1684.074551</v>
      </c>
      <c r="H22" s="8">
        <v>1792.152715</v>
      </c>
      <c r="I22" s="8">
        <v>2168.520715</v>
      </c>
      <c r="J22" s="8">
        <v>2721.029537</v>
      </c>
      <c r="K22" s="8">
        <v>3183.272762</v>
      </c>
      <c r="L22" s="8">
        <v>3495.437472</v>
      </c>
      <c r="M22" s="8">
        <v>3749.40539</v>
      </c>
      <c r="N22" s="8">
        <v>3902.252663</v>
      </c>
      <c r="O22" s="8">
        <v>3850.922688</v>
      </c>
      <c r="P22" s="8">
        <v>3864.081001</v>
      </c>
      <c r="Q22" s="8">
        <v>3966.464102</v>
      </c>
      <c r="R22" s="8">
        <v>3968.138343</v>
      </c>
      <c r="S22" s="8">
        <v>3856.287608</v>
      </c>
      <c r="T22" s="8">
        <v>3598.872938</v>
      </c>
      <c r="U22" s="8">
        <v>3409.257046</v>
      </c>
      <c r="V22" s="8">
        <v>3193.822775</v>
      </c>
      <c r="W22" s="8">
        <v>2909.013839</v>
      </c>
      <c r="X22" s="8">
        <v>2585.22871</v>
      </c>
      <c r="Y22" s="8">
        <v>2240.427692</v>
      </c>
      <c r="Z22" s="8">
        <v>2005.072964</v>
      </c>
      <c r="AA22" s="9">
        <f t="shared" si="1"/>
        <v>68983.09938</v>
      </c>
      <c r="AB22" s="9">
        <v>19.0</v>
      </c>
      <c r="AC22" s="9">
        <f t="shared" si="2"/>
        <v>1310678.888</v>
      </c>
      <c r="AD22" s="10">
        <f>SUM(AC22:AC24)</f>
        <v>1918461.727</v>
      </c>
    </row>
    <row r="23" ht="14.25" customHeight="1">
      <c r="A23" s="7">
        <v>46174.0</v>
      </c>
      <c r="B23" s="8" t="s">
        <v>35</v>
      </c>
      <c r="C23" s="8">
        <v>1944.42122</v>
      </c>
      <c r="D23" s="8">
        <v>1842.912902</v>
      </c>
      <c r="E23" s="8">
        <v>1786.312658</v>
      </c>
      <c r="F23" s="8">
        <v>1742.435707</v>
      </c>
      <c r="G23" s="8">
        <v>1750.84291</v>
      </c>
      <c r="H23" s="8">
        <v>1757.986244</v>
      </c>
      <c r="I23" s="8">
        <v>2013.872788</v>
      </c>
      <c r="J23" s="8">
        <v>2472.636506</v>
      </c>
      <c r="K23" s="8">
        <v>2908.449371</v>
      </c>
      <c r="L23" s="8">
        <v>3248.819029</v>
      </c>
      <c r="M23" s="8">
        <v>3461.218666</v>
      </c>
      <c r="N23" s="8">
        <v>3558.693026</v>
      </c>
      <c r="O23" s="8">
        <v>3458.85554</v>
      </c>
      <c r="P23" s="8">
        <v>3349.234037</v>
      </c>
      <c r="Q23" s="8">
        <v>3273.991256</v>
      </c>
      <c r="R23" s="8">
        <v>3255.744707</v>
      </c>
      <c r="S23" s="8">
        <v>3216.638361</v>
      </c>
      <c r="T23" s="8">
        <v>3155.856921</v>
      </c>
      <c r="U23" s="8">
        <v>3082.652154</v>
      </c>
      <c r="V23" s="8">
        <v>2921.267773</v>
      </c>
      <c r="W23" s="8">
        <v>2672.604126</v>
      </c>
      <c r="X23" s="8">
        <v>2393.004475</v>
      </c>
      <c r="Y23" s="8">
        <v>2094.301368</v>
      </c>
      <c r="Z23" s="8">
        <v>1879.889325</v>
      </c>
      <c r="AA23" s="9">
        <f t="shared" si="1"/>
        <v>63242.64107</v>
      </c>
      <c r="AB23" s="9">
        <v>4.0</v>
      </c>
      <c r="AC23" s="9">
        <f t="shared" si="2"/>
        <v>252970.5643</v>
      </c>
      <c r="AD23" s="11"/>
    </row>
    <row r="24" ht="14.25" customHeight="1">
      <c r="A24" s="7">
        <v>46174.0</v>
      </c>
      <c r="B24" s="8" t="s">
        <v>36</v>
      </c>
      <c r="C24" s="8">
        <v>1740.94595</v>
      </c>
      <c r="D24" s="8">
        <v>1654.478322</v>
      </c>
      <c r="E24" s="8">
        <v>1574.591597</v>
      </c>
      <c r="F24" s="8">
        <v>1534.002811</v>
      </c>
      <c r="G24" s="8">
        <v>1499.780014</v>
      </c>
      <c r="H24" s="8">
        <v>1470.355259</v>
      </c>
      <c r="I24" s="8">
        <v>1517.883898</v>
      </c>
      <c r="J24" s="8">
        <v>1696.730625</v>
      </c>
      <c r="K24" s="8">
        <v>1931.959482</v>
      </c>
      <c r="L24" s="8">
        <v>2259.074969</v>
      </c>
      <c r="M24" s="8">
        <v>2523.326648</v>
      </c>
      <c r="N24" s="8">
        <v>2672.915063</v>
      </c>
      <c r="O24" s="8">
        <v>2724.442451</v>
      </c>
      <c r="P24" s="8">
        <v>2736.875839</v>
      </c>
      <c r="Q24" s="8">
        <v>2717.970834</v>
      </c>
      <c r="R24" s="8">
        <v>2704.809029</v>
      </c>
      <c r="S24" s="8">
        <v>2640.818988</v>
      </c>
      <c r="T24" s="8">
        <v>2576.744354</v>
      </c>
      <c r="U24" s="8">
        <v>2540.87496</v>
      </c>
      <c r="V24" s="8">
        <v>2414.274435</v>
      </c>
      <c r="W24" s="8">
        <v>2209.339587</v>
      </c>
      <c r="X24" s="8">
        <v>1973.991385</v>
      </c>
      <c r="Y24" s="8">
        <v>1762.25935</v>
      </c>
      <c r="Z24" s="8">
        <v>1609.021991</v>
      </c>
      <c r="AA24" s="9">
        <f t="shared" si="1"/>
        <v>50687.46784</v>
      </c>
      <c r="AB24" s="9">
        <v>7.0</v>
      </c>
      <c r="AC24" s="9">
        <f t="shared" si="2"/>
        <v>354812.2749</v>
      </c>
      <c r="AD24" s="12"/>
    </row>
    <row r="25" ht="14.25" customHeight="1">
      <c r="A25" s="7">
        <v>46204.0</v>
      </c>
      <c r="B25" s="8" t="s">
        <v>34</v>
      </c>
      <c r="C25" s="8">
        <v>1789.42245</v>
      </c>
      <c r="D25" s="8">
        <v>1716.199226</v>
      </c>
      <c r="E25" s="8">
        <v>1675.242261</v>
      </c>
      <c r="F25" s="8">
        <v>1658.499934</v>
      </c>
      <c r="G25" s="8">
        <v>1684.074551</v>
      </c>
      <c r="H25" s="8">
        <v>1792.152715</v>
      </c>
      <c r="I25" s="8">
        <v>2168.520715</v>
      </c>
      <c r="J25" s="8">
        <v>2721.029537</v>
      </c>
      <c r="K25" s="8">
        <v>3183.272762</v>
      </c>
      <c r="L25" s="8">
        <v>3495.437472</v>
      </c>
      <c r="M25" s="8">
        <v>3749.40539</v>
      </c>
      <c r="N25" s="8">
        <v>3902.252663</v>
      </c>
      <c r="O25" s="8">
        <v>3850.922688</v>
      </c>
      <c r="P25" s="8">
        <v>3864.081001</v>
      </c>
      <c r="Q25" s="8">
        <v>3966.464102</v>
      </c>
      <c r="R25" s="8">
        <v>3968.138343</v>
      </c>
      <c r="S25" s="8">
        <v>3856.287608</v>
      </c>
      <c r="T25" s="8">
        <v>3598.872938</v>
      </c>
      <c r="U25" s="8">
        <v>3409.257046</v>
      </c>
      <c r="V25" s="8">
        <v>3193.822775</v>
      </c>
      <c r="W25" s="8">
        <v>2909.013839</v>
      </c>
      <c r="X25" s="8">
        <v>2585.22871</v>
      </c>
      <c r="Y25" s="8">
        <v>2240.427692</v>
      </c>
      <c r="Z25" s="8">
        <v>2005.072964</v>
      </c>
      <c r="AA25" s="9">
        <f t="shared" si="1"/>
        <v>68983.09938</v>
      </c>
      <c r="AB25" s="9">
        <v>22.0</v>
      </c>
      <c r="AC25" s="9">
        <f t="shared" si="2"/>
        <v>1517628.186</v>
      </c>
      <c r="AD25" s="10">
        <f>SUM(AC25:AC27)</f>
        <v>2024036.09</v>
      </c>
    </row>
    <row r="26" ht="14.25" customHeight="1">
      <c r="A26" s="7">
        <v>46204.0</v>
      </c>
      <c r="B26" s="8" t="s">
        <v>35</v>
      </c>
      <c r="C26" s="8">
        <v>1944.42122</v>
      </c>
      <c r="D26" s="8">
        <v>1842.912902</v>
      </c>
      <c r="E26" s="8">
        <v>1786.312658</v>
      </c>
      <c r="F26" s="8">
        <v>1742.435707</v>
      </c>
      <c r="G26" s="8">
        <v>1750.84291</v>
      </c>
      <c r="H26" s="8">
        <v>1757.986244</v>
      </c>
      <c r="I26" s="8">
        <v>2013.872788</v>
      </c>
      <c r="J26" s="8">
        <v>2472.636506</v>
      </c>
      <c r="K26" s="8">
        <v>2908.449371</v>
      </c>
      <c r="L26" s="8">
        <v>3248.819029</v>
      </c>
      <c r="M26" s="8">
        <v>3461.218666</v>
      </c>
      <c r="N26" s="8">
        <v>3558.693026</v>
      </c>
      <c r="O26" s="8">
        <v>3458.85554</v>
      </c>
      <c r="P26" s="8">
        <v>3349.234037</v>
      </c>
      <c r="Q26" s="8">
        <v>3273.991256</v>
      </c>
      <c r="R26" s="8">
        <v>3255.744707</v>
      </c>
      <c r="S26" s="8">
        <v>3216.638361</v>
      </c>
      <c r="T26" s="8">
        <v>3155.856921</v>
      </c>
      <c r="U26" s="8">
        <v>3082.652154</v>
      </c>
      <c r="V26" s="8">
        <v>2921.267773</v>
      </c>
      <c r="W26" s="8">
        <v>2672.604126</v>
      </c>
      <c r="X26" s="8">
        <v>2393.004475</v>
      </c>
      <c r="Y26" s="8">
        <v>2094.301368</v>
      </c>
      <c r="Z26" s="8">
        <v>1879.889325</v>
      </c>
      <c r="AA26" s="9">
        <f t="shared" si="1"/>
        <v>63242.64107</v>
      </c>
      <c r="AB26" s="9">
        <v>4.0</v>
      </c>
      <c r="AC26" s="9">
        <f t="shared" si="2"/>
        <v>252970.5643</v>
      </c>
      <c r="AD26" s="11"/>
    </row>
    <row r="27" ht="14.25" customHeight="1">
      <c r="A27" s="7">
        <v>46204.0</v>
      </c>
      <c r="B27" s="8" t="s">
        <v>36</v>
      </c>
      <c r="C27" s="8">
        <v>1740.94595</v>
      </c>
      <c r="D27" s="8">
        <v>1654.478322</v>
      </c>
      <c r="E27" s="8">
        <v>1574.591597</v>
      </c>
      <c r="F27" s="8">
        <v>1534.002811</v>
      </c>
      <c r="G27" s="8">
        <v>1499.780014</v>
      </c>
      <c r="H27" s="8">
        <v>1470.355259</v>
      </c>
      <c r="I27" s="8">
        <v>1517.883898</v>
      </c>
      <c r="J27" s="8">
        <v>1696.730625</v>
      </c>
      <c r="K27" s="8">
        <v>1931.959482</v>
      </c>
      <c r="L27" s="8">
        <v>2259.074969</v>
      </c>
      <c r="M27" s="8">
        <v>2523.326648</v>
      </c>
      <c r="N27" s="8">
        <v>2672.915063</v>
      </c>
      <c r="O27" s="8">
        <v>2724.442451</v>
      </c>
      <c r="P27" s="8">
        <v>2736.875839</v>
      </c>
      <c r="Q27" s="8">
        <v>2717.970834</v>
      </c>
      <c r="R27" s="8">
        <v>2704.809029</v>
      </c>
      <c r="S27" s="8">
        <v>2640.818988</v>
      </c>
      <c r="T27" s="8">
        <v>2576.744354</v>
      </c>
      <c r="U27" s="8">
        <v>2540.87496</v>
      </c>
      <c r="V27" s="8">
        <v>2414.274435</v>
      </c>
      <c r="W27" s="8">
        <v>2209.339587</v>
      </c>
      <c r="X27" s="8">
        <v>1973.991385</v>
      </c>
      <c r="Y27" s="8">
        <v>1762.25935</v>
      </c>
      <c r="Z27" s="8">
        <v>1609.021991</v>
      </c>
      <c r="AA27" s="9">
        <f t="shared" si="1"/>
        <v>50687.46784</v>
      </c>
      <c r="AB27" s="9">
        <v>5.0</v>
      </c>
      <c r="AC27" s="9">
        <f t="shared" si="2"/>
        <v>253437.3392</v>
      </c>
      <c r="AD27" s="12"/>
    </row>
    <row r="28" ht="14.25" customHeight="1">
      <c r="A28" s="7">
        <v>46235.0</v>
      </c>
      <c r="B28" s="8" t="s">
        <v>34</v>
      </c>
      <c r="C28" s="8">
        <v>1789.42245</v>
      </c>
      <c r="D28" s="8">
        <v>1716.199226</v>
      </c>
      <c r="E28" s="8">
        <v>1675.242261</v>
      </c>
      <c r="F28" s="8">
        <v>1658.499934</v>
      </c>
      <c r="G28" s="8">
        <v>1684.074551</v>
      </c>
      <c r="H28" s="8">
        <v>1792.152715</v>
      </c>
      <c r="I28" s="8">
        <v>2168.520715</v>
      </c>
      <c r="J28" s="8">
        <v>2721.029537</v>
      </c>
      <c r="K28" s="8">
        <v>3183.272762</v>
      </c>
      <c r="L28" s="8">
        <v>3495.437472</v>
      </c>
      <c r="M28" s="8">
        <v>3749.40539</v>
      </c>
      <c r="N28" s="8">
        <v>3902.252663</v>
      </c>
      <c r="O28" s="8">
        <v>3850.922688</v>
      </c>
      <c r="P28" s="8">
        <v>3864.081001</v>
      </c>
      <c r="Q28" s="8">
        <v>3966.464102</v>
      </c>
      <c r="R28" s="8">
        <v>3968.138343</v>
      </c>
      <c r="S28" s="8">
        <v>3856.287608</v>
      </c>
      <c r="T28" s="8">
        <v>3598.872938</v>
      </c>
      <c r="U28" s="8">
        <v>3409.257046</v>
      </c>
      <c r="V28" s="8">
        <v>3193.822775</v>
      </c>
      <c r="W28" s="8">
        <v>2909.013839</v>
      </c>
      <c r="X28" s="8">
        <v>2585.22871</v>
      </c>
      <c r="Y28" s="8">
        <v>2240.427692</v>
      </c>
      <c r="Z28" s="8">
        <v>2005.072964</v>
      </c>
      <c r="AA28" s="9">
        <f t="shared" si="1"/>
        <v>68983.09938</v>
      </c>
      <c r="AB28" s="9">
        <v>19.0</v>
      </c>
      <c r="AC28" s="9">
        <f t="shared" si="2"/>
        <v>1310678.888</v>
      </c>
      <c r="AD28" s="10">
        <f>SUM(AC28:AC30)</f>
        <v>1981704.368</v>
      </c>
    </row>
    <row r="29" ht="14.25" customHeight="1">
      <c r="A29" s="7">
        <v>46235.0</v>
      </c>
      <c r="B29" s="8" t="s">
        <v>35</v>
      </c>
      <c r="C29" s="8">
        <v>1944.42122</v>
      </c>
      <c r="D29" s="8">
        <v>1842.912902</v>
      </c>
      <c r="E29" s="8">
        <v>1786.312658</v>
      </c>
      <c r="F29" s="8">
        <v>1742.435707</v>
      </c>
      <c r="G29" s="8">
        <v>1750.84291</v>
      </c>
      <c r="H29" s="8">
        <v>1757.986244</v>
      </c>
      <c r="I29" s="8">
        <v>2013.872788</v>
      </c>
      <c r="J29" s="8">
        <v>2472.636506</v>
      </c>
      <c r="K29" s="8">
        <v>2908.449371</v>
      </c>
      <c r="L29" s="8">
        <v>3248.819029</v>
      </c>
      <c r="M29" s="8">
        <v>3461.218666</v>
      </c>
      <c r="N29" s="8">
        <v>3558.693026</v>
      </c>
      <c r="O29" s="8">
        <v>3458.85554</v>
      </c>
      <c r="P29" s="8">
        <v>3349.234037</v>
      </c>
      <c r="Q29" s="8">
        <v>3273.991256</v>
      </c>
      <c r="R29" s="8">
        <v>3255.744707</v>
      </c>
      <c r="S29" s="8">
        <v>3216.638361</v>
      </c>
      <c r="T29" s="8">
        <v>3155.856921</v>
      </c>
      <c r="U29" s="8">
        <v>3082.652154</v>
      </c>
      <c r="V29" s="8">
        <v>2921.267773</v>
      </c>
      <c r="W29" s="8">
        <v>2672.604126</v>
      </c>
      <c r="X29" s="8">
        <v>2393.004475</v>
      </c>
      <c r="Y29" s="8">
        <v>2094.301368</v>
      </c>
      <c r="Z29" s="8">
        <v>1879.889325</v>
      </c>
      <c r="AA29" s="9">
        <f t="shared" si="1"/>
        <v>63242.64107</v>
      </c>
      <c r="AB29" s="9">
        <v>5.0</v>
      </c>
      <c r="AC29" s="9">
        <f t="shared" si="2"/>
        <v>316213.2054</v>
      </c>
      <c r="AD29" s="11"/>
    </row>
    <row r="30" ht="14.25" customHeight="1">
      <c r="A30" s="7">
        <v>46235.0</v>
      </c>
      <c r="B30" s="8" t="s">
        <v>36</v>
      </c>
      <c r="C30" s="8">
        <v>1740.94595</v>
      </c>
      <c r="D30" s="8">
        <v>1654.478322</v>
      </c>
      <c r="E30" s="8">
        <v>1574.591597</v>
      </c>
      <c r="F30" s="8">
        <v>1534.002811</v>
      </c>
      <c r="G30" s="8">
        <v>1499.780014</v>
      </c>
      <c r="H30" s="8">
        <v>1470.355259</v>
      </c>
      <c r="I30" s="8">
        <v>1517.883898</v>
      </c>
      <c r="J30" s="8">
        <v>1696.730625</v>
      </c>
      <c r="K30" s="8">
        <v>1931.959482</v>
      </c>
      <c r="L30" s="8">
        <v>2259.074969</v>
      </c>
      <c r="M30" s="8">
        <v>2523.326648</v>
      </c>
      <c r="N30" s="8">
        <v>2672.915063</v>
      </c>
      <c r="O30" s="8">
        <v>2724.442451</v>
      </c>
      <c r="P30" s="8">
        <v>2736.875839</v>
      </c>
      <c r="Q30" s="8">
        <v>2717.970834</v>
      </c>
      <c r="R30" s="8">
        <v>2704.809029</v>
      </c>
      <c r="S30" s="8">
        <v>2640.818988</v>
      </c>
      <c r="T30" s="8">
        <v>2576.744354</v>
      </c>
      <c r="U30" s="8">
        <v>2540.87496</v>
      </c>
      <c r="V30" s="8">
        <v>2414.274435</v>
      </c>
      <c r="W30" s="8">
        <v>2209.339587</v>
      </c>
      <c r="X30" s="8">
        <v>1973.991385</v>
      </c>
      <c r="Y30" s="8">
        <v>1762.25935</v>
      </c>
      <c r="Z30" s="8">
        <v>1609.021991</v>
      </c>
      <c r="AA30" s="9">
        <f t="shared" si="1"/>
        <v>50687.46784</v>
      </c>
      <c r="AB30" s="9">
        <v>7.0</v>
      </c>
      <c r="AC30" s="9">
        <f t="shared" si="2"/>
        <v>354812.2749</v>
      </c>
      <c r="AD30" s="12"/>
    </row>
    <row r="31" ht="14.25" customHeight="1">
      <c r="A31" s="7">
        <v>46266.0</v>
      </c>
      <c r="B31" s="8" t="s">
        <v>34</v>
      </c>
      <c r="C31" s="8">
        <v>1789.42245</v>
      </c>
      <c r="D31" s="8">
        <v>1716.199226</v>
      </c>
      <c r="E31" s="8">
        <v>1675.242261</v>
      </c>
      <c r="F31" s="8">
        <v>1658.499934</v>
      </c>
      <c r="G31" s="8">
        <v>1684.074551</v>
      </c>
      <c r="H31" s="8">
        <v>1792.152715</v>
      </c>
      <c r="I31" s="8">
        <v>2168.520715</v>
      </c>
      <c r="J31" s="8">
        <v>2721.029537</v>
      </c>
      <c r="K31" s="8">
        <v>3183.272762</v>
      </c>
      <c r="L31" s="8">
        <v>3495.437472</v>
      </c>
      <c r="M31" s="8">
        <v>3749.40539</v>
      </c>
      <c r="N31" s="8">
        <v>3902.252663</v>
      </c>
      <c r="O31" s="8">
        <v>3850.922688</v>
      </c>
      <c r="P31" s="8">
        <v>3864.081001</v>
      </c>
      <c r="Q31" s="8">
        <v>3966.464102</v>
      </c>
      <c r="R31" s="8">
        <v>3968.138343</v>
      </c>
      <c r="S31" s="8">
        <v>3856.287608</v>
      </c>
      <c r="T31" s="8">
        <v>3598.872938</v>
      </c>
      <c r="U31" s="8">
        <v>3409.257046</v>
      </c>
      <c r="V31" s="8">
        <v>3193.822775</v>
      </c>
      <c r="W31" s="8">
        <v>2909.013839</v>
      </c>
      <c r="X31" s="8">
        <v>2585.22871</v>
      </c>
      <c r="Y31" s="8">
        <v>2240.427692</v>
      </c>
      <c r="Z31" s="8">
        <v>2005.072964</v>
      </c>
      <c r="AA31" s="9">
        <f t="shared" si="1"/>
        <v>68983.09938</v>
      </c>
      <c r="AB31" s="9">
        <v>22.0</v>
      </c>
      <c r="AC31" s="9">
        <f t="shared" si="2"/>
        <v>1517628.186</v>
      </c>
      <c r="AD31" s="10">
        <f>SUM(AC31:AC33)</f>
        <v>1973348.622</v>
      </c>
    </row>
    <row r="32" ht="14.25" customHeight="1">
      <c r="A32" s="7">
        <v>46266.0</v>
      </c>
      <c r="B32" s="8" t="s">
        <v>35</v>
      </c>
      <c r="C32" s="8">
        <v>1944.42122</v>
      </c>
      <c r="D32" s="8">
        <v>1842.912902</v>
      </c>
      <c r="E32" s="8">
        <v>1786.312658</v>
      </c>
      <c r="F32" s="8">
        <v>1742.435707</v>
      </c>
      <c r="G32" s="8">
        <v>1750.84291</v>
      </c>
      <c r="H32" s="8">
        <v>1757.986244</v>
      </c>
      <c r="I32" s="8">
        <v>2013.872788</v>
      </c>
      <c r="J32" s="8">
        <v>2472.636506</v>
      </c>
      <c r="K32" s="8">
        <v>2908.449371</v>
      </c>
      <c r="L32" s="8">
        <v>3248.819029</v>
      </c>
      <c r="M32" s="8">
        <v>3461.218666</v>
      </c>
      <c r="N32" s="8">
        <v>3558.693026</v>
      </c>
      <c r="O32" s="8">
        <v>3458.85554</v>
      </c>
      <c r="P32" s="8">
        <v>3349.234037</v>
      </c>
      <c r="Q32" s="8">
        <v>3273.991256</v>
      </c>
      <c r="R32" s="8">
        <v>3255.744707</v>
      </c>
      <c r="S32" s="8">
        <v>3216.638361</v>
      </c>
      <c r="T32" s="8">
        <v>3155.856921</v>
      </c>
      <c r="U32" s="8">
        <v>3082.652154</v>
      </c>
      <c r="V32" s="8">
        <v>2921.267773</v>
      </c>
      <c r="W32" s="8">
        <v>2672.604126</v>
      </c>
      <c r="X32" s="8">
        <v>2393.004475</v>
      </c>
      <c r="Y32" s="8">
        <v>2094.301368</v>
      </c>
      <c r="Z32" s="8">
        <v>1879.889325</v>
      </c>
      <c r="AA32" s="9">
        <f t="shared" si="1"/>
        <v>63242.64107</v>
      </c>
      <c r="AB32" s="9">
        <v>4.0</v>
      </c>
      <c r="AC32" s="9">
        <f t="shared" si="2"/>
        <v>252970.5643</v>
      </c>
      <c r="AD32" s="11"/>
    </row>
    <row r="33" ht="14.25" customHeight="1">
      <c r="A33" s="7">
        <v>46266.0</v>
      </c>
      <c r="B33" s="8" t="s">
        <v>36</v>
      </c>
      <c r="C33" s="8">
        <v>1740.94595</v>
      </c>
      <c r="D33" s="8">
        <v>1654.478322</v>
      </c>
      <c r="E33" s="8">
        <v>1574.591597</v>
      </c>
      <c r="F33" s="8">
        <v>1534.002811</v>
      </c>
      <c r="G33" s="8">
        <v>1499.780014</v>
      </c>
      <c r="H33" s="8">
        <v>1470.355259</v>
      </c>
      <c r="I33" s="8">
        <v>1517.883898</v>
      </c>
      <c r="J33" s="8">
        <v>1696.730625</v>
      </c>
      <c r="K33" s="8">
        <v>1931.959482</v>
      </c>
      <c r="L33" s="8">
        <v>2259.074969</v>
      </c>
      <c r="M33" s="8">
        <v>2523.326648</v>
      </c>
      <c r="N33" s="8">
        <v>2672.915063</v>
      </c>
      <c r="O33" s="8">
        <v>2724.442451</v>
      </c>
      <c r="P33" s="8">
        <v>2736.875839</v>
      </c>
      <c r="Q33" s="8">
        <v>2717.970834</v>
      </c>
      <c r="R33" s="8">
        <v>2704.809029</v>
      </c>
      <c r="S33" s="8">
        <v>2640.818988</v>
      </c>
      <c r="T33" s="8">
        <v>2576.744354</v>
      </c>
      <c r="U33" s="8">
        <v>2540.87496</v>
      </c>
      <c r="V33" s="8">
        <v>2414.274435</v>
      </c>
      <c r="W33" s="8">
        <v>2209.339587</v>
      </c>
      <c r="X33" s="8">
        <v>1973.991385</v>
      </c>
      <c r="Y33" s="8">
        <v>1762.25935</v>
      </c>
      <c r="Z33" s="8">
        <v>1609.021991</v>
      </c>
      <c r="AA33" s="9">
        <f t="shared" si="1"/>
        <v>50687.46784</v>
      </c>
      <c r="AB33" s="9">
        <v>4.0</v>
      </c>
      <c r="AC33" s="9">
        <f t="shared" si="2"/>
        <v>202749.8714</v>
      </c>
      <c r="AD33" s="12"/>
    </row>
    <row r="34" ht="14.25" customHeight="1">
      <c r="A34" s="7">
        <v>46296.0</v>
      </c>
      <c r="B34" s="8" t="s">
        <v>34</v>
      </c>
      <c r="C34" s="8">
        <v>1789.42245</v>
      </c>
      <c r="D34" s="8">
        <v>1716.199226</v>
      </c>
      <c r="E34" s="8">
        <v>1675.242261</v>
      </c>
      <c r="F34" s="8">
        <v>1658.499934</v>
      </c>
      <c r="G34" s="8">
        <v>1684.074551</v>
      </c>
      <c r="H34" s="8">
        <v>1792.152715</v>
      </c>
      <c r="I34" s="8">
        <v>2168.520715</v>
      </c>
      <c r="J34" s="8">
        <v>2721.029537</v>
      </c>
      <c r="K34" s="8">
        <v>3183.272762</v>
      </c>
      <c r="L34" s="8">
        <v>3495.437472</v>
      </c>
      <c r="M34" s="8">
        <v>3749.40539</v>
      </c>
      <c r="N34" s="8">
        <v>3902.252663</v>
      </c>
      <c r="O34" s="8">
        <v>3850.922688</v>
      </c>
      <c r="P34" s="8">
        <v>3864.081001</v>
      </c>
      <c r="Q34" s="8">
        <v>3966.464102</v>
      </c>
      <c r="R34" s="8">
        <v>3968.138343</v>
      </c>
      <c r="S34" s="8">
        <v>3856.287608</v>
      </c>
      <c r="T34" s="8">
        <v>3598.872938</v>
      </c>
      <c r="U34" s="8">
        <v>3409.257046</v>
      </c>
      <c r="V34" s="8">
        <v>3193.822775</v>
      </c>
      <c r="W34" s="8">
        <v>2909.013839</v>
      </c>
      <c r="X34" s="8">
        <v>2585.22871</v>
      </c>
      <c r="Y34" s="8">
        <v>2240.427692</v>
      </c>
      <c r="Z34" s="8">
        <v>2005.072964</v>
      </c>
      <c r="AA34" s="9">
        <f t="shared" si="1"/>
        <v>68983.09938</v>
      </c>
      <c r="AB34" s="9">
        <v>21.0</v>
      </c>
      <c r="AC34" s="9">
        <f t="shared" si="2"/>
        <v>1448645.087</v>
      </c>
      <c r="AD34" s="10">
        <f>SUM(AC34:AC36)</f>
        <v>2018295.632</v>
      </c>
    </row>
    <row r="35" ht="14.25" customHeight="1">
      <c r="A35" s="7">
        <v>46296.0</v>
      </c>
      <c r="B35" s="8" t="s">
        <v>35</v>
      </c>
      <c r="C35" s="8">
        <v>1944.42122</v>
      </c>
      <c r="D35" s="8">
        <v>1842.912902</v>
      </c>
      <c r="E35" s="8">
        <v>1786.312658</v>
      </c>
      <c r="F35" s="8">
        <v>1742.435707</v>
      </c>
      <c r="G35" s="8">
        <v>1750.84291</v>
      </c>
      <c r="H35" s="8">
        <v>1757.986244</v>
      </c>
      <c r="I35" s="8">
        <v>2013.872788</v>
      </c>
      <c r="J35" s="8">
        <v>2472.636506</v>
      </c>
      <c r="K35" s="8">
        <v>2908.449371</v>
      </c>
      <c r="L35" s="8">
        <v>3248.819029</v>
      </c>
      <c r="M35" s="8">
        <v>3461.218666</v>
      </c>
      <c r="N35" s="8">
        <v>3558.693026</v>
      </c>
      <c r="O35" s="8">
        <v>3458.85554</v>
      </c>
      <c r="P35" s="8">
        <v>3349.234037</v>
      </c>
      <c r="Q35" s="8">
        <v>3273.991256</v>
      </c>
      <c r="R35" s="8">
        <v>3255.744707</v>
      </c>
      <c r="S35" s="8">
        <v>3216.638361</v>
      </c>
      <c r="T35" s="8">
        <v>3155.856921</v>
      </c>
      <c r="U35" s="8">
        <v>3082.652154</v>
      </c>
      <c r="V35" s="8">
        <v>2921.267773</v>
      </c>
      <c r="W35" s="8">
        <v>2672.604126</v>
      </c>
      <c r="X35" s="8">
        <v>2393.004475</v>
      </c>
      <c r="Y35" s="8">
        <v>2094.301368</v>
      </c>
      <c r="Z35" s="8">
        <v>1879.889325</v>
      </c>
      <c r="AA35" s="9">
        <f t="shared" si="1"/>
        <v>63242.64107</v>
      </c>
      <c r="AB35" s="9">
        <v>5.0</v>
      </c>
      <c r="AC35" s="9">
        <f t="shared" si="2"/>
        <v>316213.2054</v>
      </c>
      <c r="AD35" s="11"/>
    </row>
    <row r="36" ht="14.25" customHeight="1">
      <c r="A36" s="7">
        <v>46296.0</v>
      </c>
      <c r="B36" s="8" t="s">
        <v>36</v>
      </c>
      <c r="C36" s="8">
        <v>1740.94595</v>
      </c>
      <c r="D36" s="8">
        <v>1654.478322</v>
      </c>
      <c r="E36" s="8">
        <v>1574.591597</v>
      </c>
      <c r="F36" s="8">
        <v>1534.002811</v>
      </c>
      <c r="G36" s="8">
        <v>1499.780014</v>
      </c>
      <c r="H36" s="8">
        <v>1470.355259</v>
      </c>
      <c r="I36" s="8">
        <v>1517.883898</v>
      </c>
      <c r="J36" s="8">
        <v>1696.730625</v>
      </c>
      <c r="K36" s="8">
        <v>1931.959482</v>
      </c>
      <c r="L36" s="8">
        <v>2259.074969</v>
      </c>
      <c r="M36" s="8">
        <v>2523.326648</v>
      </c>
      <c r="N36" s="8">
        <v>2672.915063</v>
      </c>
      <c r="O36" s="8">
        <v>2724.442451</v>
      </c>
      <c r="P36" s="8">
        <v>2736.875839</v>
      </c>
      <c r="Q36" s="8">
        <v>2717.970834</v>
      </c>
      <c r="R36" s="8">
        <v>2704.809029</v>
      </c>
      <c r="S36" s="8">
        <v>2640.818988</v>
      </c>
      <c r="T36" s="8">
        <v>2576.744354</v>
      </c>
      <c r="U36" s="8">
        <v>2540.87496</v>
      </c>
      <c r="V36" s="8">
        <v>2414.274435</v>
      </c>
      <c r="W36" s="8">
        <v>2209.339587</v>
      </c>
      <c r="X36" s="8">
        <v>1973.991385</v>
      </c>
      <c r="Y36" s="8">
        <v>1762.25935</v>
      </c>
      <c r="Z36" s="8">
        <v>1609.021991</v>
      </c>
      <c r="AA36" s="9">
        <f t="shared" si="1"/>
        <v>50687.46784</v>
      </c>
      <c r="AB36" s="9">
        <v>5.0</v>
      </c>
      <c r="AC36" s="9">
        <f t="shared" si="2"/>
        <v>253437.3392</v>
      </c>
      <c r="AD36" s="12"/>
    </row>
    <row r="37" ht="14.25" customHeight="1">
      <c r="A37" s="7">
        <v>46327.0</v>
      </c>
      <c r="B37" s="8" t="s">
        <v>34</v>
      </c>
      <c r="C37" s="8">
        <v>1789.42245</v>
      </c>
      <c r="D37" s="8">
        <v>1716.199226</v>
      </c>
      <c r="E37" s="8">
        <v>1675.242261</v>
      </c>
      <c r="F37" s="8">
        <v>1658.499934</v>
      </c>
      <c r="G37" s="8">
        <v>1684.074551</v>
      </c>
      <c r="H37" s="8">
        <v>1792.152715</v>
      </c>
      <c r="I37" s="8">
        <v>2168.520715</v>
      </c>
      <c r="J37" s="8">
        <v>2721.029537</v>
      </c>
      <c r="K37" s="8">
        <v>3183.272762</v>
      </c>
      <c r="L37" s="8">
        <v>3495.437472</v>
      </c>
      <c r="M37" s="8">
        <v>3749.40539</v>
      </c>
      <c r="N37" s="8">
        <v>3902.252663</v>
      </c>
      <c r="O37" s="8">
        <v>3850.922688</v>
      </c>
      <c r="P37" s="8">
        <v>3864.081001</v>
      </c>
      <c r="Q37" s="8">
        <v>3966.464102</v>
      </c>
      <c r="R37" s="8">
        <v>3968.138343</v>
      </c>
      <c r="S37" s="8">
        <v>3856.287608</v>
      </c>
      <c r="T37" s="8">
        <v>3598.872938</v>
      </c>
      <c r="U37" s="8">
        <v>3409.257046</v>
      </c>
      <c r="V37" s="8">
        <v>3193.822775</v>
      </c>
      <c r="W37" s="8">
        <v>2909.013839</v>
      </c>
      <c r="X37" s="8">
        <v>2585.22871</v>
      </c>
      <c r="Y37" s="8">
        <v>2240.427692</v>
      </c>
      <c r="Z37" s="8">
        <v>2005.072964</v>
      </c>
      <c r="AA37" s="9">
        <f t="shared" si="1"/>
        <v>68983.09938</v>
      </c>
      <c r="AB37" s="9">
        <v>19.0</v>
      </c>
      <c r="AC37" s="9">
        <f t="shared" si="2"/>
        <v>1310678.888</v>
      </c>
      <c r="AD37" s="10">
        <f>SUM(AC37:AC39)</f>
        <v>1918461.727</v>
      </c>
    </row>
    <row r="38" ht="14.25" customHeight="1">
      <c r="A38" s="7">
        <v>46327.0</v>
      </c>
      <c r="B38" s="8" t="s">
        <v>35</v>
      </c>
      <c r="C38" s="8">
        <v>1944.42122</v>
      </c>
      <c r="D38" s="8">
        <v>1842.912902</v>
      </c>
      <c r="E38" s="8">
        <v>1786.312658</v>
      </c>
      <c r="F38" s="8">
        <v>1742.435707</v>
      </c>
      <c r="G38" s="8">
        <v>1750.84291</v>
      </c>
      <c r="H38" s="8">
        <v>1757.986244</v>
      </c>
      <c r="I38" s="8">
        <v>2013.872788</v>
      </c>
      <c r="J38" s="8">
        <v>2472.636506</v>
      </c>
      <c r="K38" s="8">
        <v>2908.449371</v>
      </c>
      <c r="L38" s="8">
        <v>3248.819029</v>
      </c>
      <c r="M38" s="8">
        <v>3461.218666</v>
      </c>
      <c r="N38" s="8">
        <v>3558.693026</v>
      </c>
      <c r="O38" s="8">
        <v>3458.85554</v>
      </c>
      <c r="P38" s="8">
        <v>3349.234037</v>
      </c>
      <c r="Q38" s="8">
        <v>3273.991256</v>
      </c>
      <c r="R38" s="8">
        <v>3255.744707</v>
      </c>
      <c r="S38" s="8">
        <v>3216.638361</v>
      </c>
      <c r="T38" s="8">
        <v>3155.856921</v>
      </c>
      <c r="U38" s="8">
        <v>3082.652154</v>
      </c>
      <c r="V38" s="8">
        <v>2921.267773</v>
      </c>
      <c r="W38" s="8">
        <v>2672.604126</v>
      </c>
      <c r="X38" s="8">
        <v>2393.004475</v>
      </c>
      <c r="Y38" s="8">
        <v>2094.301368</v>
      </c>
      <c r="Z38" s="8">
        <v>1879.889325</v>
      </c>
      <c r="AA38" s="9">
        <f t="shared" si="1"/>
        <v>63242.64107</v>
      </c>
      <c r="AB38" s="9">
        <v>4.0</v>
      </c>
      <c r="AC38" s="9">
        <f t="shared" si="2"/>
        <v>252970.5643</v>
      </c>
      <c r="AD38" s="11"/>
    </row>
    <row r="39" ht="14.25" customHeight="1">
      <c r="A39" s="7">
        <v>46327.0</v>
      </c>
      <c r="B39" s="8" t="s">
        <v>36</v>
      </c>
      <c r="C39" s="8">
        <v>1740.94595</v>
      </c>
      <c r="D39" s="8">
        <v>1654.478322</v>
      </c>
      <c r="E39" s="8">
        <v>1574.591597</v>
      </c>
      <c r="F39" s="8">
        <v>1534.002811</v>
      </c>
      <c r="G39" s="8">
        <v>1499.780014</v>
      </c>
      <c r="H39" s="8">
        <v>1470.355259</v>
      </c>
      <c r="I39" s="8">
        <v>1517.883898</v>
      </c>
      <c r="J39" s="8">
        <v>1696.730625</v>
      </c>
      <c r="K39" s="8">
        <v>1931.959482</v>
      </c>
      <c r="L39" s="8">
        <v>2259.074969</v>
      </c>
      <c r="M39" s="8">
        <v>2523.326648</v>
      </c>
      <c r="N39" s="8">
        <v>2672.915063</v>
      </c>
      <c r="O39" s="8">
        <v>2724.442451</v>
      </c>
      <c r="P39" s="8">
        <v>2736.875839</v>
      </c>
      <c r="Q39" s="8">
        <v>2717.970834</v>
      </c>
      <c r="R39" s="8">
        <v>2704.809029</v>
      </c>
      <c r="S39" s="8">
        <v>2640.818988</v>
      </c>
      <c r="T39" s="8">
        <v>2576.744354</v>
      </c>
      <c r="U39" s="8">
        <v>2540.87496</v>
      </c>
      <c r="V39" s="8">
        <v>2414.274435</v>
      </c>
      <c r="W39" s="8">
        <v>2209.339587</v>
      </c>
      <c r="X39" s="8">
        <v>1973.991385</v>
      </c>
      <c r="Y39" s="8">
        <v>1762.25935</v>
      </c>
      <c r="Z39" s="8">
        <v>1609.021991</v>
      </c>
      <c r="AA39" s="9">
        <f t="shared" si="1"/>
        <v>50687.46784</v>
      </c>
      <c r="AB39" s="9">
        <v>7.0</v>
      </c>
      <c r="AC39" s="9">
        <f t="shared" si="2"/>
        <v>354812.2749</v>
      </c>
      <c r="AD39" s="12"/>
    </row>
    <row r="40" ht="14.25" customHeight="1">
      <c r="A40" s="7">
        <v>46357.0</v>
      </c>
      <c r="B40" s="8" t="s">
        <v>34</v>
      </c>
      <c r="C40" s="8">
        <v>1789.42245</v>
      </c>
      <c r="D40" s="8">
        <v>1716.199226</v>
      </c>
      <c r="E40" s="8">
        <v>1675.242261</v>
      </c>
      <c r="F40" s="8">
        <v>1658.499934</v>
      </c>
      <c r="G40" s="8">
        <v>1684.074551</v>
      </c>
      <c r="H40" s="8">
        <v>1792.152715</v>
      </c>
      <c r="I40" s="8">
        <v>2168.520715</v>
      </c>
      <c r="J40" s="8">
        <v>2721.029537</v>
      </c>
      <c r="K40" s="8">
        <v>3183.272762</v>
      </c>
      <c r="L40" s="8">
        <v>3495.437472</v>
      </c>
      <c r="M40" s="8">
        <v>3749.40539</v>
      </c>
      <c r="N40" s="8">
        <v>3902.252663</v>
      </c>
      <c r="O40" s="8">
        <v>3850.922688</v>
      </c>
      <c r="P40" s="8">
        <v>3864.081001</v>
      </c>
      <c r="Q40" s="8">
        <v>3966.464102</v>
      </c>
      <c r="R40" s="8">
        <v>3968.138343</v>
      </c>
      <c r="S40" s="8">
        <v>3856.287608</v>
      </c>
      <c r="T40" s="8">
        <v>3598.872938</v>
      </c>
      <c r="U40" s="8">
        <v>3409.257046</v>
      </c>
      <c r="V40" s="8">
        <v>3193.822775</v>
      </c>
      <c r="W40" s="8">
        <v>2909.013839</v>
      </c>
      <c r="X40" s="8">
        <v>2585.22871</v>
      </c>
      <c r="Y40" s="8">
        <v>2240.427692</v>
      </c>
      <c r="Z40" s="8">
        <v>2005.072964</v>
      </c>
      <c r="AA40" s="9">
        <f t="shared" si="1"/>
        <v>68983.09938</v>
      </c>
      <c r="AB40" s="9">
        <v>21.0</v>
      </c>
      <c r="AC40" s="9">
        <f t="shared" si="2"/>
        <v>1448645.087</v>
      </c>
      <c r="AD40" s="10">
        <f>SUM(AC40:AC42)</f>
        <v>2005740.458</v>
      </c>
    </row>
    <row r="41" ht="14.25" customHeight="1">
      <c r="A41" s="7">
        <v>46357.0</v>
      </c>
      <c r="B41" s="8" t="s">
        <v>35</v>
      </c>
      <c r="C41" s="8">
        <v>1944.42122</v>
      </c>
      <c r="D41" s="8">
        <v>1842.912902</v>
      </c>
      <c r="E41" s="8">
        <v>1786.312658</v>
      </c>
      <c r="F41" s="8">
        <v>1742.435707</v>
      </c>
      <c r="G41" s="8">
        <v>1750.84291</v>
      </c>
      <c r="H41" s="8">
        <v>1757.986244</v>
      </c>
      <c r="I41" s="8">
        <v>2013.872788</v>
      </c>
      <c r="J41" s="8">
        <v>2472.636506</v>
      </c>
      <c r="K41" s="8">
        <v>2908.449371</v>
      </c>
      <c r="L41" s="8">
        <v>3248.819029</v>
      </c>
      <c r="M41" s="8">
        <v>3461.218666</v>
      </c>
      <c r="N41" s="8">
        <v>3558.693026</v>
      </c>
      <c r="O41" s="8">
        <v>3458.85554</v>
      </c>
      <c r="P41" s="8">
        <v>3349.234037</v>
      </c>
      <c r="Q41" s="8">
        <v>3273.991256</v>
      </c>
      <c r="R41" s="8">
        <v>3255.744707</v>
      </c>
      <c r="S41" s="8">
        <v>3216.638361</v>
      </c>
      <c r="T41" s="8">
        <v>3155.856921</v>
      </c>
      <c r="U41" s="8">
        <v>3082.652154</v>
      </c>
      <c r="V41" s="8">
        <v>2921.267773</v>
      </c>
      <c r="W41" s="8">
        <v>2672.604126</v>
      </c>
      <c r="X41" s="8">
        <v>2393.004475</v>
      </c>
      <c r="Y41" s="8">
        <v>2094.301368</v>
      </c>
      <c r="Z41" s="8">
        <v>1879.889325</v>
      </c>
      <c r="AA41" s="9">
        <f t="shared" si="1"/>
        <v>63242.64107</v>
      </c>
      <c r="AB41" s="9">
        <v>4.0</v>
      </c>
      <c r="AC41" s="9">
        <f t="shared" si="2"/>
        <v>252970.5643</v>
      </c>
      <c r="AD41" s="11"/>
    </row>
    <row r="42" ht="14.25" customHeight="1">
      <c r="A42" s="7">
        <v>46357.0</v>
      </c>
      <c r="B42" s="8" t="s">
        <v>36</v>
      </c>
      <c r="C42" s="8">
        <v>1740.94595</v>
      </c>
      <c r="D42" s="8">
        <v>1654.478322</v>
      </c>
      <c r="E42" s="8">
        <v>1574.591597</v>
      </c>
      <c r="F42" s="8">
        <v>1534.002811</v>
      </c>
      <c r="G42" s="8">
        <v>1499.780014</v>
      </c>
      <c r="H42" s="8">
        <v>1470.355259</v>
      </c>
      <c r="I42" s="8">
        <v>1517.883898</v>
      </c>
      <c r="J42" s="8">
        <v>1696.730625</v>
      </c>
      <c r="K42" s="8">
        <v>1931.959482</v>
      </c>
      <c r="L42" s="8">
        <v>2259.074969</v>
      </c>
      <c r="M42" s="8">
        <v>2523.326648</v>
      </c>
      <c r="N42" s="8">
        <v>2672.915063</v>
      </c>
      <c r="O42" s="8">
        <v>2724.442451</v>
      </c>
      <c r="P42" s="8">
        <v>2736.875839</v>
      </c>
      <c r="Q42" s="8">
        <v>2717.970834</v>
      </c>
      <c r="R42" s="8">
        <v>2704.809029</v>
      </c>
      <c r="S42" s="8">
        <v>2640.818988</v>
      </c>
      <c r="T42" s="8">
        <v>2576.744354</v>
      </c>
      <c r="U42" s="8">
        <v>2540.87496</v>
      </c>
      <c r="V42" s="8">
        <v>2414.274435</v>
      </c>
      <c r="W42" s="8">
        <v>2209.339587</v>
      </c>
      <c r="X42" s="8">
        <v>1973.991385</v>
      </c>
      <c r="Y42" s="8">
        <v>1762.25935</v>
      </c>
      <c r="Z42" s="8">
        <v>1609.021991</v>
      </c>
      <c r="AA42" s="9">
        <f t="shared" si="1"/>
        <v>50687.46784</v>
      </c>
      <c r="AB42" s="9">
        <v>6.0</v>
      </c>
      <c r="AC42" s="9">
        <f t="shared" si="2"/>
        <v>304124.807</v>
      </c>
      <c r="AD42" s="12"/>
    </row>
    <row r="43" ht="14.25" customHeight="1">
      <c r="AB43" s="13" t="s">
        <v>32</v>
      </c>
      <c r="AC43" s="9">
        <f t="shared" ref="AC43:AD43" si="3">SUM(AC10:AC42)</f>
        <v>20883150.86</v>
      </c>
      <c r="AD43" s="9">
        <f t="shared" si="3"/>
        <v>20883150.86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mergeCells count="15">
    <mergeCell ref="AD19:AD21"/>
    <mergeCell ref="AD22:AD24"/>
    <mergeCell ref="AD25:AD27"/>
    <mergeCell ref="AD28:AD30"/>
    <mergeCell ref="AD31:AD33"/>
    <mergeCell ref="AD34:AD36"/>
    <mergeCell ref="AD37:AD39"/>
    <mergeCell ref="AD40:AD42"/>
    <mergeCell ref="A1:AC1"/>
    <mergeCell ref="A2:AC2"/>
    <mergeCell ref="A3:AC3"/>
    <mergeCell ref="A4:AC4"/>
    <mergeCell ref="AD10:AD12"/>
    <mergeCell ref="AD13:AD15"/>
    <mergeCell ref="AD16:AD1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71"/>
    <col customWidth="1" min="3" max="3" width="16.0"/>
    <col customWidth="1" min="4" max="4" width="13.0"/>
    <col customWidth="1" min="5" max="5" width="14.14"/>
    <col customWidth="1" min="6" max="6" width="10.71"/>
    <col customWidth="1" min="7" max="7" width="14.86"/>
    <col customWidth="1" min="8" max="19" width="10.71"/>
  </cols>
  <sheetData>
    <row r="1" ht="14.25" customHeight="1"/>
    <row r="2" ht="14.25" customHeight="1"/>
    <row r="3" ht="14.25" customHeight="1"/>
    <row r="4" ht="14.25" customHeight="1">
      <c r="A4" s="14" t="s">
        <v>3</v>
      </c>
    </row>
    <row r="5" ht="14.25" customHeight="1">
      <c r="A5" s="15"/>
      <c r="B5" s="14" t="s">
        <v>52</v>
      </c>
    </row>
    <row r="6" ht="14.25" customHeight="1">
      <c r="A6" s="15"/>
      <c r="B6" s="14" t="s">
        <v>38</v>
      </c>
    </row>
    <row r="7" ht="14.25" customHeight="1">
      <c r="A7" s="15"/>
      <c r="B7" s="17" t="s">
        <v>39</v>
      </c>
    </row>
    <row r="8" ht="14.25" customHeight="1">
      <c r="A8" s="15"/>
      <c r="B8" s="18" t="s">
        <v>40</v>
      </c>
    </row>
    <row r="9" ht="14.25" customHeight="1">
      <c r="A9" s="15"/>
      <c r="B9" s="17"/>
      <c r="C9" s="17"/>
      <c r="D9" s="17"/>
      <c r="E9" s="17"/>
    </row>
    <row r="10" ht="14.25" customHeight="1">
      <c r="A10" s="15"/>
      <c r="B10" s="47" t="s">
        <v>41</v>
      </c>
      <c r="C10" s="48"/>
      <c r="D10" s="48"/>
      <c r="E10" s="48"/>
      <c r="F10" s="49"/>
    </row>
    <row r="11">
      <c r="A11" s="15"/>
      <c r="B11" s="22" t="s">
        <v>4</v>
      </c>
      <c r="C11" s="23" t="s">
        <v>42</v>
      </c>
      <c r="D11" s="25" t="s">
        <v>43</v>
      </c>
      <c r="E11" s="25" t="s">
        <v>44</v>
      </c>
      <c r="F11" s="50" t="s">
        <v>45</v>
      </c>
    </row>
    <row r="12" ht="14.25" customHeight="1">
      <c r="A12" s="15"/>
      <c r="B12" s="27">
        <v>46054.0</v>
      </c>
      <c r="C12" s="51">
        <f>'Cant. Requeridas Producto 2'!AD10</f>
        <v>1118900.051</v>
      </c>
      <c r="D12" s="52"/>
      <c r="E12" s="53">
        <f t="shared" ref="E12:E22" si="1">C12*$D$12</f>
        <v>0</v>
      </c>
      <c r="F12" s="54"/>
    </row>
    <row r="13" ht="14.25" customHeight="1">
      <c r="A13" s="15"/>
      <c r="B13" s="27">
        <v>46082.0</v>
      </c>
      <c r="C13" s="51">
        <f>'Cant. Requeridas Producto 2'!AD13</f>
        <v>2005740.458</v>
      </c>
      <c r="D13" s="55"/>
      <c r="E13" s="53">
        <f t="shared" si="1"/>
        <v>0</v>
      </c>
      <c r="F13" s="55"/>
    </row>
    <row r="14" ht="14.25" customHeight="1">
      <c r="A14" s="15"/>
      <c r="B14" s="27">
        <v>46113.0</v>
      </c>
      <c r="C14" s="51">
        <f>'Cant. Requeridas Producto 2'!AD16</f>
        <v>1936757.359</v>
      </c>
      <c r="D14" s="55"/>
      <c r="E14" s="53">
        <f t="shared" si="1"/>
        <v>0</v>
      </c>
      <c r="F14" s="55"/>
    </row>
    <row r="15" ht="14.25" customHeight="1">
      <c r="A15" s="15"/>
      <c r="B15" s="27">
        <v>46143.0</v>
      </c>
      <c r="C15" s="53">
        <f>'Cant. Requeridas Producto 2'!AD19</f>
        <v>1981704.368</v>
      </c>
      <c r="D15" s="55"/>
      <c r="E15" s="53">
        <f t="shared" si="1"/>
        <v>0</v>
      </c>
      <c r="F15" s="55"/>
    </row>
    <row r="16" ht="14.25" customHeight="1">
      <c r="A16" s="15"/>
      <c r="B16" s="27">
        <v>46174.0</v>
      </c>
      <c r="C16" s="53">
        <f>'Cant. Requeridas Producto 2'!AD22</f>
        <v>1918461.727</v>
      </c>
      <c r="D16" s="55"/>
      <c r="E16" s="53">
        <f t="shared" si="1"/>
        <v>0</v>
      </c>
      <c r="F16" s="55"/>
    </row>
    <row r="17" ht="14.25" customHeight="1">
      <c r="A17" s="15"/>
      <c r="B17" s="27">
        <v>46204.0</v>
      </c>
      <c r="C17" s="53">
        <f>'Cant. Requeridas Producto 2'!AD25</f>
        <v>2024036.09</v>
      </c>
      <c r="D17" s="55"/>
      <c r="E17" s="53">
        <f t="shared" si="1"/>
        <v>0</v>
      </c>
      <c r="F17" s="55"/>
    </row>
    <row r="18" ht="14.25" customHeight="1">
      <c r="A18" s="15"/>
      <c r="B18" s="27">
        <v>46235.0</v>
      </c>
      <c r="C18" s="53">
        <f>'Cant. Requeridas Producto 2'!AD28</f>
        <v>1981704.368</v>
      </c>
      <c r="D18" s="55"/>
      <c r="E18" s="53">
        <f t="shared" si="1"/>
        <v>0</v>
      </c>
      <c r="F18" s="55"/>
    </row>
    <row r="19" ht="14.25" customHeight="1">
      <c r="A19" s="15"/>
      <c r="B19" s="27">
        <v>46266.0</v>
      </c>
      <c r="C19" s="53">
        <f>'Cant. Requeridas Producto 2'!AD31</f>
        <v>1973348.622</v>
      </c>
      <c r="D19" s="55"/>
      <c r="E19" s="53">
        <f t="shared" si="1"/>
        <v>0</v>
      </c>
      <c r="F19" s="55"/>
    </row>
    <row r="20" ht="14.25" customHeight="1">
      <c r="A20" s="15"/>
      <c r="B20" s="27">
        <v>46296.0</v>
      </c>
      <c r="C20" s="53">
        <f>'Cant. Requeridas Producto 2'!AD34</f>
        <v>2018295.632</v>
      </c>
      <c r="D20" s="55"/>
      <c r="E20" s="53">
        <f t="shared" si="1"/>
        <v>0</v>
      </c>
      <c r="F20" s="55"/>
    </row>
    <row r="21" ht="14.25" customHeight="1">
      <c r="A21" s="15"/>
      <c r="B21" s="27">
        <v>46327.0</v>
      </c>
      <c r="C21" s="51">
        <f>'Cant. Requeridas Producto 2'!AD37</f>
        <v>1918461.727</v>
      </c>
      <c r="D21" s="55"/>
      <c r="E21" s="53">
        <f t="shared" si="1"/>
        <v>0</v>
      </c>
      <c r="F21" s="55"/>
    </row>
    <row r="22" ht="14.25" customHeight="1">
      <c r="A22" s="15"/>
      <c r="B22" s="27">
        <v>46357.0</v>
      </c>
      <c r="C22" s="51">
        <f>'Cant. Requeridas Producto 2'!AD40</f>
        <v>2005740.458</v>
      </c>
      <c r="D22" s="56"/>
      <c r="E22" s="53">
        <f t="shared" si="1"/>
        <v>0</v>
      </c>
      <c r="F22" s="56"/>
    </row>
    <row r="23" ht="14.25" customHeight="1">
      <c r="A23" s="15"/>
      <c r="B23" s="37" t="s">
        <v>32</v>
      </c>
      <c r="C23" s="38">
        <f>SUM(C12:C22)</f>
        <v>20883150.86</v>
      </c>
      <c r="D23" s="39"/>
      <c r="E23" s="38">
        <f>SUM(E12:E22)</f>
        <v>0</v>
      </c>
      <c r="F23" s="39"/>
    </row>
    <row r="24" ht="14.25" customHeight="1">
      <c r="A24" s="15"/>
      <c r="B24" s="17"/>
      <c r="C24" s="40"/>
      <c r="D24" s="17"/>
      <c r="E24" s="17"/>
    </row>
    <row r="25" ht="14.25" customHeight="1">
      <c r="C25" s="41"/>
    </row>
    <row r="26" ht="30.0" customHeight="1">
      <c r="B26" s="42" t="s">
        <v>46</v>
      </c>
      <c r="E26" s="43"/>
    </row>
    <row r="27" ht="38.25" customHeight="1">
      <c r="B27" s="42" t="s">
        <v>53</v>
      </c>
      <c r="I27" s="42"/>
    </row>
    <row r="28" ht="44.25" customHeight="1">
      <c r="B28" s="42" t="s">
        <v>54</v>
      </c>
      <c r="I28" s="42"/>
    </row>
    <row r="29" ht="14.25" customHeight="1">
      <c r="B29" s="45"/>
    </row>
    <row r="30" ht="14.25" customHeight="1"/>
    <row r="31" ht="14.25" customHeight="1"/>
    <row r="32" ht="14.25" customHeight="1">
      <c r="B32" s="46"/>
      <c r="C32" s="46"/>
    </row>
    <row r="33" ht="14.25" customHeight="1">
      <c r="B33" s="4" t="s">
        <v>49</v>
      </c>
    </row>
    <row r="34" ht="14.25" customHeight="1">
      <c r="B34" s="4" t="s">
        <v>50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14">
    <mergeCell ref="D12:D22"/>
    <mergeCell ref="B26:D26"/>
    <mergeCell ref="B27:E27"/>
    <mergeCell ref="I27:N27"/>
    <mergeCell ref="B28:E28"/>
    <mergeCell ref="I28:N28"/>
    <mergeCell ref="B29:E29"/>
    <mergeCell ref="A4:F4"/>
    <mergeCell ref="B5:E5"/>
    <mergeCell ref="B6:E6"/>
    <mergeCell ref="B7:E7"/>
    <mergeCell ref="B8:E8"/>
    <mergeCell ref="B10:F10"/>
    <mergeCell ref="F12:F2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4" width="10.71"/>
    <col customWidth="1" min="5" max="5" width="11.29"/>
    <col customWidth="1" min="6" max="26" width="10.71"/>
    <col customWidth="1" min="27" max="27" width="13.43"/>
    <col customWidth="1" min="28" max="28" width="7.86"/>
    <col customWidth="1" min="29" max="30" width="18.43"/>
  </cols>
  <sheetData>
    <row r="1" ht="14.25" customHeight="1">
      <c r="A1" s="1" t="s">
        <v>0</v>
      </c>
      <c r="AD1" s="1"/>
    </row>
    <row r="2" ht="14.25" customHeight="1">
      <c r="A2" s="1" t="s">
        <v>55</v>
      </c>
      <c r="AD2" s="1"/>
    </row>
    <row r="3" ht="14.25" customHeight="1">
      <c r="A3" s="1" t="s">
        <v>56</v>
      </c>
      <c r="AD3" s="1"/>
    </row>
    <row r="4" ht="14.25" customHeight="1">
      <c r="A4" s="1" t="s">
        <v>3</v>
      </c>
      <c r="AD4" s="1"/>
    </row>
    <row r="5" ht="14.25" customHeight="1">
      <c r="A5" s="2"/>
      <c r="B5" s="3"/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4"/>
      <c r="X5" s="4"/>
      <c r="Y5" s="4"/>
      <c r="Z5" s="4"/>
      <c r="AA5" s="4"/>
      <c r="AB5" s="4"/>
    </row>
    <row r="6" ht="14.25" customHeight="1">
      <c r="A6" s="2"/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4"/>
      <c r="X6" s="4"/>
      <c r="Y6" s="4"/>
      <c r="Z6" s="4"/>
      <c r="AA6" s="4"/>
      <c r="AB6" s="4"/>
    </row>
    <row r="7" ht="14.25" customHeight="1">
      <c r="A7" s="2"/>
      <c r="B7" s="3"/>
      <c r="C7" s="3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4.25" customHeight="1">
      <c r="A8" s="2"/>
      <c r="B8" s="3"/>
      <c r="C8" s="3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4.25" customHeight="1">
      <c r="A9" s="5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6" t="s">
        <v>13</v>
      </c>
      <c r="K9" s="6" t="s">
        <v>14</v>
      </c>
      <c r="L9" s="6" t="s">
        <v>15</v>
      </c>
      <c r="M9" s="6" t="s">
        <v>16</v>
      </c>
      <c r="N9" s="6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  <c r="Z9" s="6" t="s">
        <v>29</v>
      </c>
      <c r="AA9" s="6" t="s">
        <v>30</v>
      </c>
      <c r="AB9" s="6" t="s">
        <v>31</v>
      </c>
      <c r="AC9" s="6" t="s">
        <v>32</v>
      </c>
      <c r="AD9" s="6" t="s">
        <v>33</v>
      </c>
    </row>
    <row r="10" ht="14.25" customHeight="1">
      <c r="A10" s="7">
        <v>46388.0</v>
      </c>
      <c r="B10" s="8" t="s">
        <v>34</v>
      </c>
      <c r="C10" s="8">
        <v>1789.42245</v>
      </c>
      <c r="D10" s="8">
        <v>1716.199226</v>
      </c>
      <c r="E10" s="8">
        <v>1675.242261</v>
      </c>
      <c r="F10" s="8">
        <v>1658.499934</v>
      </c>
      <c r="G10" s="8">
        <v>1684.074551</v>
      </c>
      <c r="H10" s="8">
        <v>1792.152715</v>
      </c>
      <c r="I10" s="8">
        <v>2168.520715</v>
      </c>
      <c r="J10" s="8">
        <v>2721.029537</v>
      </c>
      <c r="K10" s="8">
        <v>3183.272762</v>
      </c>
      <c r="L10" s="8">
        <v>3495.437472</v>
      </c>
      <c r="M10" s="8">
        <v>3749.40539</v>
      </c>
      <c r="N10" s="8">
        <v>3902.252663</v>
      </c>
      <c r="O10" s="8">
        <v>3850.922688</v>
      </c>
      <c r="P10" s="8">
        <v>3864.081001</v>
      </c>
      <c r="Q10" s="8">
        <v>3966.464102</v>
      </c>
      <c r="R10" s="8">
        <v>3968.138343</v>
      </c>
      <c r="S10" s="8">
        <v>3856.287608</v>
      </c>
      <c r="T10" s="8">
        <v>3598.872938</v>
      </c>
      <c r="U10" s="8">
        <v>3409.257046</v>
      </c>
      <c r="V10" s="8">
        <v>3193.822775</v>
      </c>
      <c r="W10" s="8">
        <v>2909.013839</v>
      </c>
      <c r="X10" s="8">
        <v>2585.22871</v>
      </c>
      <c r="Y10" s="8">
        <v>2240.427692</v>
      </c>
      <c r="Z10" s="8">
        <v>2005.072964</v>
      </c>
      <c r="AA10" s="9">
        <f t="shared" ref="AA10:AA45" si="1">SUM(C10:Z10)</f>
        <v>68983.09938</v>
      </c>
      <c r="AB10" s="9">
        <v>19.0</v>
      </c>
      <c r="AC10" s="9">
        <f t="shared" ref="AC10:AC45" si="2">AA10*AB10</f>
        <v>1310678.888</v>
      </c>
      <c r="AD10" s="10">
        <f>SUM(AC10:AC12)</f>
        <v>1981704.368</v>
      </c>
    </row>
    <row r="11" ht="14.25" customHeight="1">
      <c r="A11" s="7">
        <v>46388.0</v>
      </c>
      <c r="B11" s="8" t="s">
        <v>35</v>
      </c>
      <c r="C11" s="8">
        <v>1944.42122</v>
      </c>
      <c r="D11" s="8">
        <v>1842.912902</v>
      </c>
      <c r="E11" s="8">
        <v>1786.312658</v>
      </c>
      <c r="F11" s="8">
        <v>1742.435707</v>
      </c>
      <c r="G11" s="8">
        <v>1750.84291</v>
      </c>
      <c r="H11" s="8">
        <v>1757.986244</v>
      </c>
      <c r="I11" s="8">
        <v>2013.872788</v>
      </c>
      <c r="J11" s="8">
        <v>2472.636506</v>
      </c>
      <c r="K11" s="8">
        <v>2908.449371</v>
      </c>
      <c r="L11" s="8">
        <v>3248.819029</v>
      </c>
      <c r="M11" s="8">
        <v>3461.218666</v>
      </c>
      <c r="N11" s="8">
        <v>3558.693026</v>
      </c>
      <c r="O11" s="8">
        <v>3458.85554</v>
      </c>
      <c r="P11" s="8">
        <v>3349.234037</v>
      </c>
      <c r="Q11" s="8">
        <v>3273.991256</v>
      </c>
      <c r="R11" s="8">
        <v>3255.744707</v>
      </c>
      <c r="S11" s="8">
        <v>3216.638361</v>
      </c>
      <c r="T11" s="8">
        <v>3155.856921</v>
      </c>
      <c r="U11" s="8">
        <v>3082.652154</v>
      </c>
      <c r="V11" s="8">
        <v>2921.267773</v>
      </c>
      <c r="W11" s="8">
        <v>2672.604126</v>
      </c>
      <c r="X11" s="8">
        <v>2393.004475</v>
      </c>
      <c r="Y11" s="8">
        <v>2094.301368</v>
      </c>
      <c r="Z11" s="8">
        <v>1879.889325</v>
      </c>
      <c r="AA11" s="9">
        <f t="shared" si="1"/>
        <v>63242.64107</v>
      </c>
      <c r="AB11" s="9">
        <v>5.0</v>
      </c>
      <c r="AC11" s="9">
        <f t="shared" si="2"/>
        <v>316213.2054</v>
      </c>
      <c r="AD11" s="11"/>
    </row>
    <row r="12" ht="14.25" customHeight="1">
      <c r="A12" s="7">
        <v>46388.0</v>
      </c>
      <c r="B12" s="8" t="s">
        <v>36</v>
      </c>
      <c r="C12" s="8">
        <v>1740.94595</v>
      </c>
      <c r="D12" s="8">
        <v>1654.478322</v>
      </c>
      <c r="E12" s="8">
        <v>1574.591597</v>
      </c>
      <c r="F12" s="8">
        <v>1534.002811</v>
      </c>
      <c r="G12" s="8">
        <v>1499.780014</v>
      </c>
      <c r="H12" s="8">
        <v>1470.355259</v>
      </c>
      <c r="I12" s="8">
        <v>1517.883898</v>
      </c>
      <c r="J12" s="8">
        <v>1696.730625</v>
      </c>
      <c r="K12" s="8">
        <v>1931.959482</v>
      </c>
      <c r="L12" s="8">
        <v>2259.074969</v>
      </c>
      <c r="M12" s="8">
        <v>2523.326648</v>
      </c>
      <c r="N12" s="8">
        <v>2672.915063</v>
      </c>
      <c r="O12" s="8">
        <v>2724.442451</v>
      </c>
      <c r="P12" s="8">
        <v>2736.875839</v>
      </c>
      <c r="Q12" s="8">
        <v>2717.970834</v>
      </c>
      <c r="R12" s="8">
        <v>2704.809029</v>
      </c>
      <c r="S12" s="8">
        <v>2640.818988</v>
      </c>
      <c r="T12" s="8">
        <v>2576.744354</v>
      </c>
      <c r="U12" s="8">
        <v>2540.87496</v>
      </c>
      <c r="V12" s="8">
        <v>2414.274435</v>
      </c>
      <c r="W12" s="8">
        <v>2209.339587</v>
      </c>
      <c r="X12" s="8">
        <v>1973.991385</v>
      </c>
      <c r="Y12" s="8">
        <v>1762.25935</v>
      </c>
      <c r="Z12" s="8">
        <v>1609.021991</v>
      </c>
      <c r="AA12" s="9">
        <f t="shared" si="1"/>
        <v>50687.46784</v>
      </c>
      <c r="AB12" s="9">
        <v>7.0</v>
      </c>
      <c r="AC12" s="9">
        <f t="shared" si="2"/>
        <v>354812.2749</v>
      </c>
      <c r="AD12" s="12"/>
    </row>
    <row r="13" ht="14.25" customHeight="1">
      <c r="A13" s="7">
        <v>46419.0</v>
      </c>
      <c r="B13" s="8" t="s">
        <v>34</v>
      </c>
      <c r="C13" s="8">
        <v>1789.42245</v>
      </c>
      <c r="D13" s="8">
        <v>1716.199226</v>
      </c>
      <c r="E13" s="8">
        <v>1675.242261</v>
      </c>
      <c r="F13" s="8">
        <v>1658.499934</v>
      </c>
      <c r="G13" s="8">
        <v>1684.074551</v>
      </c>
      <c r="H13" s="8">
        <v>1792.152715</v>
      </c>
      <c r="I13" s="8">
        <v>2168.520715</v>
      </c>
      <c r="J13" s="8">
        <v>2721.029537</v>
      </c>
      <c r="K13" s="8">
        <v>3183.272762</v>
      </c>
      <c r="L13" s="8">
        <v>3495.437472</v>
      </c>
      <c r="M13" s="8">
        <v>3749.40539</v>
      </c>
      <c r="N13" s="8">
        <v>3902.252663</v>
      </c>
      <c r="O13" s="8">
        <v>3850.922688</v>
      </c>
      <c r="P13" s="8">
        <v>3864.081001</v>
      </c>
      <c r="Q13" s="8">
        <v>3966.464102</v>
      </c>
      <c r="R13" s="8">
        <v>3968.138343</v>
      </c>
      <c r="S13" s="8">
        <v>3856.287608</v>
      </c>
      <c r="T13" s="8">
        <v>3598.872938</v>
      </c>
      <c r="U13" s="8">
        <v>3409.257046</v>
      </c>
      <c r="V13" s="8">
        <v>3193.822775</v>
      </c>
      <c r="W13" s="8">
        <v>2909.013839</v>
      </c>
      <c r="X13" s="8">
        <v>2585.22871</v>
      </c>
      <c r="Y13" s="8">
        <v>2240.427692</v>
      </c>
      <c r="Z13" s="8">
        <v>2005.072964</v>
      </c>
      <c r="AA13" s="9">
        <f t="shared" si="1"/>
        <v>68983.09938</v>
      </c>
      <c r="AB13" s="9">
        <v>20.0</v>
      </c>
      <c r="AC13" s="9">
        <f t="shared" si="2"/>
        <v>1379661.988</v>
      </c>
      <c r="AD13" s="10">
        <f>SUM(AC13:AC15)</f>
        <v>1835382.423</v>
      </c>
    </row>
    <row r="14" ht="14.25" customHeight="1">
      <c r="A14" s="7">
        <v>46419.0</v>
      </c>
      <c r="B14" s="8" t="s">
        <v>35</v>
      </c>
      <c r="C14" s="8">
        <v>1944.42122</v>
      </c>
      <c r="D14" s="8">
        <v>1842.912902</v>
      </c>
      <c r="E14" s="8">
        <v>1786.312658</v>
      </c>
      <c r="F14" s="8">
        <v>1742.435707</v>
      </c>
      <c r="G14" s="8">
        <v>1750.84291</v>
      </c>
      <c r="H14" s="8">
        <v>1757.986244</v>
      </c>
      <c r="I14" s="8">
        <v>2013.872788</v>
      </c>
      <c r="J14" s="8">
        <v>2472.636506</v>
      </c>
      <c r="K14" s="8">
        <v>2908.449371</v>
      </c>
      <c r="L14" s="8">
        <v>3248.819029</v>
      </c>
      <c r="M14" s="8">
        <v>3461.218666</v>
      </c>
      <c r="N14" s="8">
        <v>3558.693026</v>
      </c>
      <c r="O14" s="8">
        <v>3458.85554</v>
      </c>
      <c r="P14" s="8">
        <v>3349.234037</v>
      </c>
      <c r="Q14" s="8">
        <v>3273.991256</v>
      </c>
      <c r="R14" s="8">
        <v>3255.744707</v>
      </c>
      <c r="S14" s="8">
        <v>3216.638361</v>
      </c>
      <c r="T14" s="8">
        <v>3155.856921</v>
      </c>
      <c r="U14" s="8">
        <v>3082.652154</v>
      </c>
      <c r="V14" s="8">
        <v>2921.267773</v>
      </c>
      <c r="W14" s="8">
        <v>2672.604126</v>
      </c>
      <c r="X14" s="8">
        <v>2393.004475</v>
      </c>
      <c r="Y14" s="8">
        <v>2094.301368</v>
      </c>
      <c r="Z14" s="8">
        <v>1879.889325</v>
      </c>
      <c r="AA14" s="9">
        <f t="shared" si="1"/>
        <v>63242.64107</v>
      </c>
      <c r="AB14" s="9">
        <v>4.0</v>
      </c>
      <c r="AC14" s="9">
        <f t="shared" si="2"/>
        <v>252970.5643</v>
      </c>
      <c r="AD14" s="11"/>
    </row>
    <row r="15" ht="14.25" customHeight="1">
      <c r="A15" s="7">
        <v>46419.0</v>
      </c>
      <c r="B15" s="8" t="s">
        <v>36</v>
      </c>
      <c r="C15" s="8">
        <v>1740.94595</v>
      </c>
      <c r="D15" s="8">
        <v>1654.478322</v>
      </c>
      <c r="E15" s="8">
        <v>1574.591597</v>
      </c>
      <c r="F15" s="8">
        <v>1534.002811</v>
      </c>
      <c r="G15" s="8">
        <v>1499.780014</v>
      </c>
      <c r="H15" s="8">
        <v>1470.355259</v>
      </c>
      <c r="I15" s="8">
        <v>1517.883898</v>
      </c>
      <c r="J15" s="8">
        <v>1696.730625</v>
      </c>
      <c r="K15" s="8">
        <v>1931.959482</v>
      </c>
      <c r="L15" s="8">
        <v>2259.074969</v>
      </c>
      <c r="M15" s="8">
        <v>2523.326648</v>
      </c>
      <c r="N15" s="8">
        <v>2672.915063</v>
      </c>
      <c r="O15" s="8">
        <v>2724.442451</v>
      </c>
      <c r="P15" s="8">
        <v>2736.875839</v>
      </c>
      <c r="Q15" s="8">
        <v>2717.970834</v>
      </c>
      <c r="R15" s="8">
        <v>2704.809029</v>
      </c>
      <c r="S15" s="8">
        <v>2640.818988</v>
      </c>
      <c r="T15" s="8">
        <v>2576.744354</v>
      </c>
      <c r="U15" s="8">
        <v>2540.87496</v>
      </c>
      <c r="V15" s="8">
        <v>2414.274435</v>
      </c>
      <c r="W15" s="8">
        <v>2209.339587</v>
      </c>
      <c r="X15" s="8">
        <v>1973.991385</v>
      </c>
      <c r="Y15" s="8">
        <v>1762.25935</v>
      </c>
      <c r="Z15" s="8">
        <v>1609.021991</v>
      </c>
      <c r="AA15" s="9">
        <f t="shared" si="1"/>
        <v>50687.46784</v>
      </c>
      <c r="AB15" s="9">
        <v>4.0</v>
      </c>
      <c r="AC15" s="9">
        <f t="shared" si="2"/>
        <v>202749.8714</v>
      </c>
      <c r="AD15" s="12"/>
    </row>
    <row r="16" ht="14.25" customHeight="1">
      <c r="A16" s="7">
        <v>46447.0</v>
      </c>
      <c r="B16" s="8" t="s">
        <v>34</v>
      </c>
      <c r="C16" s="8">
        <v>1789.42245</v>
      </c>
      <c r="D16" s="8">
        <v>1716.199226</v>
      </c>
      <c r="E16" s="8">
        <v>1675.242261</v>
      </c>
      <c r="F16" s="8">
        <v>1658.499934</v>
      </c>
      <c r="G16" s="8">
        <v>1684.074551</v>
      </c>
      <c r="H16" s="8">
        <v>1792.152715</v>
      </c>
      <c r="I16" s="8">
        <v>2168.520715</v>
      </c>
      <c r="J16" s="8">
        <v>2721.029537</v>
      </c>
      <c r="K16" s="8">
        <v>3183.272762</v>
      </c>
      <c r="L16" s="8">
        <v>3495.437472</v>
      </c>
      <c r="M16" s="8">
        <v>3749.40539</v>
      </c>
      <c r="N16" s="8">
        <v>3902.252663</v>
      </c>
      <c r="O16" s="8">
        <v>3850.922688</v>
      </c>
      <c r="P16" s="8">
        <v>3864.081001</v>
      </c>
      <c r="Q16" s="8">
        <v>3966.464102</v>
      </c>
      <c r="R16" s="8">
        <v>3968.138343</v>
      </c>
      <c r="S16" s="8">
        <v>3856.287608</v>
      </c>
      <c r="T16" s="8">
        <v>3598.872938</v>
      </c>
      <c r="U16" s="8">
        <v>3409.257046</v>
      </c>
      <c r="V16" s="8">
        <v>3193.822775</v>
      </c>
      <c r="W16" s="8">
        <v>2909.013839</v>
      </c>
      <c r="X16" s="8">
        <v>2585.22871</v>
      </c>
      <c r="Y16" s="8">
        <v>2240.427692</v>
      </c>
      <c r="Z16" s="8">
        <v>2005.072964</v>
      </c>
      <c r="AA16" s="9">
        <f t="shared" si="1"/>
        <v>68983.09938</v>
      </c>
      <c r="AB16" s="9">
        <v>20.0</v>
      </c>
      <c r="AC16" s="9">
        <f t="shared" si="2"/>
        <v>1379661.988</v>
      </c>
      <c r="AD16" s="10">
        <f>SUM(AC16:AC18)</f>
        <v>1987444.827</v>
      </c>
    </row>
    <row r="17" ht="14.25" customHeight="1">
      <c r="A17" s="7">
        <v>46447.0</v>
      </c>
      <c r="B17" s="8" t="s">
        <v>35</v>
      </c>
      <c r="C17" s="8">
        <v>1944.42122</v>
      </c>
      <c r="D17" s="8">
        <v>1842.912902</v>
      </c>
      <c r="E17" s="8">
        <v>1786.312658</v>
      </c>
      <c r="F17" s="8">
        <v>1742.435707</v>
      </c>
      <c r="G17" s="8">
        <v>1750.84291</v>
      </c>
      <c r="H17" s="8">
        <v>1757.986244</v>
      </c>
      <c r="I17" s="8">
        <v>2013.872788</v>
      </c>
      <c r="J17" s="8">
        <v>2472.636506</v>
      </c>
      <c r="K17" s="8">
        <v>2908.449371</v>
      </c>
      <c r="L17" s="8">
        <v>3248.819029</v>
      </c>
      <c r="M17" s="8">
        <v>3461.218666</v>
      </c>
      <c r="N17" s="8">
        <v>3558.693026</v>
      </c>
      <c r="O17" s="8">
        <v>3458.85554</v>
      </c>
      <c r="P17" s="8">
        <v>3349.234037</v>
      </c>
      <c r="Q17" s="8">
        <v>3273.991256</v>
      </c>
      <c r="R17" s="8">
        <v>3255.744707</v>
      </c>
      <c r="S17" s="8">
        <v>3216.638361</v>
      </c>
      <c r="T17" s="8">
        <v>3155.856921</v>
      </c>
      <c r="U17" s="8">
        <v>3082.652154</v>
      </c>
      <c r="V17" s="8">
        <v>2921.267773</v>
      </c>
      <c r="W17" s="8">
        <v>2672.604126</v>
      </c>
      <c r="X17" s="8">
        <v>2393.004475</v>
      </c>
      <c r="Y17" s="8">
        <v>2094.301368</v>
      </c>
      <c r="Z17" s="8">
        <v>1879.889325</v>
      </c>
      <c r="AA17" s="9">
        <f t="shared" si="1"/>
        <v>63242.64107</v>
      </c>
      <c r="AB17" s="9">
        <v>4.0</v>
      </c>
      <c r="AC17" s="9">
        <f t="shared" si="2"/>
        <v>252970.5643</v>
      </c>
      <c r="AD17" s="11"/>
    </row>
    <row r="18" ht="14.25" customHeight="1">
      <c r="A18" s="7">
        <v>46447.0</v>
      </c>
      <c r="B18" s="8" t="s">
        <v>36</v>
      </c>
      <c r="C18" s="8">
        <v>1740.94595</v>
      </c>
      <c r="D18" s="8">
        <v>1654.478322</v>
      </c>
      <c r="E18" s="8">
        <v>1574.591597</v>
      </c>
      <c r="F18" s="8">
        <v>1534.002811</v>
      </c>
      <c r="G18" s="8">
        <v>1499.780014</v>
      </c>
      <c r="H18" s="8">
        <v>1470.355259</v>
      </c>
      <c r="I18" s="8">
        <v>1517.883898</v>
      </c>
      <c r="J18" s="8">
        <v>1696.730625</v>
      </c>
      <c r="K18" s="8">
        <v>1931.959482</v>
      </c>
      <c r="L18" s="8">
        <v>2259.074969</v>
      </c>
      <c r="M18" s="8">
        <v>2523.326648</v>
      </c>
      <c r="N18" s="8">
        <v>2672.915063</v>
      </c>
      <c r="O18" s="8">
        <v>2724.442451</v>
      </c>
      <c r="P18" s="8">
        <v>2736.875839</v>
      </c>
      <c r="Q18" s="8">
        <v>2717.970834</v>
      </c>
      <c r="R18" s="8">
        <v>2704.809029</v>
      </c>
      <c r="S18" s="8">
        <v>2640.818988</v>
      </c>
      <c r="T18" s="8">
        <v>2576.744354</v>
      </c>
      <c r="U18" s="8">
        <v>2540.87496</v>
      </c>
      <c r="V18" s="8">
        <v>2414.274435</v>
      </c>
      <c r="W18" s="8">
        <v>2209.339587</v>
      </c>
      <c r="X18" s="8">
        <v>1973.991385</v>
      </c>
      <c r="Y18" s="8">
        <v>1762.25935</v>
      </c>
      <c r="Z18" s="8">
        <v>1609.021991</v>
      </c>
      <c r="AA18" s="9">
        <f t="shared" si="1"/>
        <v>50687.46784</v>
      </c>
      <c r="AB18" s="9">
        <v>7.0</v>
      </c>
      <c r="AC18" s="9">
        <f t="shared" si="2"/>
        <v>354812.2749</v>
      </c>
      <c r="AD18" s="12"/>
    </row>
    <row r="19" ht="14.25" customHeight="1">
      <c r="A19" s="7">
        <v>46478.0</v>
      </c>
      <c r="B19" s="8" t="s">
        <v>34</v>
      </c>
      <c r="C19" s="8">
        <v>1789.42245</v>
      </c>
      <c r="D19" s="8">
        <v>1716.199226</v>
      </c>
      <c r="E19" s="8">
        <v>1675.242261</v>
      </c>
      <c r="F19" s="8">
        <v>1658.499934</v>
      </c>
      <c r="G19" s="8">
        <v>1684.074551</v>
      </c>
      <c r="H19" s="8">
        <v>1792.152715</v>
      </c>
      <c r="I19" s="8">
        <v>2168.520715</v>
      </c>
      <c r="J19" s="8">
        <v>2721.029537</v>
      </c>
      <c r="K19" s="8">
        <v>3183.272762</v>
      </c>
      <c r="L19" s="8">
        <v>3495.437472</v>
      </c>
      <c r="M19" s="8">
        <v>3749.40539</v>
      </c>
      <c r="N19" s="8">
        <v>3902.252663</v>
      </c>
      <c r="O19" s="8">
        <v>3850.922688</v>
      </c>
      <c r="P19" s="8">
        <v>3864.081001</v>
      </c>
      <c r="Q19" s="8">
        <v>3966.464102</v>
      </c>
      <c r="R19" s="8">
        <v>3968.138343</v>
      </c>
      <c r="S19" s="8">
        <v>3856.287608</v>
      </c>
      <c r="T19" s="8">
        <v>3598.872938</v>
      </c>
      <c r="U19" s="8">
        <v>3409.257046</v>
      </c>
      <c r="V19" s="8">
        <v>3193.822775</v>
      </c>
      <c r="W19" s="8">
        <v>2909.013839</v>
      </c>
      <c r="X19" s="8">
        <v>2585.22871</v>
      </c>
      <c r="Y19" s="8">
        <v>2240.427692</v>
      </c>
      <c r="Z19" s="8">
        <v>2005.072964</v>
      </c>
      <c r="AA19" s="9">
        <f t="shared" si="1"/>
        <v>68983.09938</v>
      </c>
      <c r="AB19" s="9">
        <v>22.0</v>
      </c>
      <c r="AC19" s="9">
        <f t="shared" si="2"/>
        <v>1517628.186</v>
      </c>
      <c r="AD19" s="10">
        <f>SUM(AC19:AC21)</f>
        <v>1973348.622</v>
      </c>
    </row>
    <row r="20" ht="14.25" customHeight="1">
      <c r="A20" s="7">
        <v>46478.0</v>
      </c>
      <c r="B20" s="8" t="s">
        <v>35</v>
      </c>
      <c r="C20" s="8">
        <v>1944.42122</v>
      </c>
      <c r="D20" s="8">
        <v>1842.912902</v>
      </c>
      <c r="E20" s="8">
        <v>1786.312658</v>
      </c>
      <c r="F20" s="8">
        <v>1742.435707</v>
      </c>
      <c r="G20" s="8">
        <v>1750.84291</v>
      </c>
      <c r="H20" s="8">
        <v>1757.986244</v>
      </c>
      <c r="I20" s="8">
        <v>2013.872788</v>
      </c>
      <c r="J20" s="8">
        <v>2472.636506</v>
      </c>
      <c r="K20" s="8">
        <v>2908.449371</v>
      </c>
      <c r="L20" s="8">
        <v>3248.819029</v>
      </c>
      <c r="M20" s="8">
        <v>3461.218666</v>
      </c>
      <c r="N20" s="8">
        <v>3558.693026</v>
      </c>
      <c r="O20" s="8">
        <v>3458.85554</v>
      </c>
      <c r="P20" s="8">
        <v>3349.234037</v>
      </c>
      <c r="Q20" s="8">
        <v>3273.991256</v>
      </c>
      <c r="R20" s="8">
        <v>3255.744707</v>
      </c>
      <c r="S20" s="8">
        <v>3216.638361</v>
      </c>
      <c r="T20" s="8">
        <v>3155.856921</v>
      </c>
      <c r="U20" s="8">
        <v>3082.652154</v>
      </c>
      <c r="V20" s="8">
        <v>2921.267773</v>
      </c>
      <c r="W20" s="8">
        <v>2672.604126</v>
      </c>
      <c r="X20" s="8">
        <v>2393.004475</v>
      </c>
      <c r="Y20" s="8">
        <v>2094.301368</v>
      </c>
      <c r="Z20" s="8">
        <v>1879.889325</v>
      </c>
      <c r="AA20" s="9">
        <f t="shared" si="1"/>
        <v>63242.64107</v>
      </c>
      <c r="AB20" s="9">
        <v>4.0</v>
      </c>
      <c r="AC20" s="9">
        <f t="shared" si="2"/>
        <v>252970.5643</v>
      </c>
      <c r="AD20" s="11"/>
    </row>
    <row r="21" ht="14.25" customHeight="1">
      <c r="A21" s="7">
        <v>46478.0</v>
      </c>
      <c r="B21" s="8" t="s">
        <v>36</v>
      </c>
      <c r="C21" s="8">
        <v>1740.94595</v>
      </c>
      <c r="D21" s="8">
        <v>1654.478322</v>
      </c>
      <c r="E21" s="8">
        <v>1574.591597</v>
      </c>
      <c r="F21" s="8">
        <v>1534.002811</v>
      </c>
      <c r="G21" s="8">
        <v>1499.780014</v>
      </c>
      <c r="H21" s="8">
        <v>1470.355259</v>
      </c>
      <c r="I21" s="8">
        <v>1517.883898</v>
      </c>
      <c r="J21" s="8">
        <v>1696.730625</v>
      </c>
      <c r="K21" s="8">
        <v>1931.959482</v>
      </c>
      <c r="L21" s="8">
        <v>2259.074969</v>
      </c>
      <c r="M21" s="8">
        <v>2523.326648</v>
      </c>
      <c r="N21" s="8">
        <v>2672.915063</v>
      </c>
      <c r="O21" s="8">
        <v>2724.442451</v>
      </c>
      <c r="P21" s="8">
        <v>2736.875839</v>
      </c>
      <c r="Q21" s="8">
        <v>2717.970834</v>
      </c>
      <c r="R21" s="8">
        <v>2704.809029</v>
      </c>
      <c r="S21" s="8">
        <v>2640.818988</v>
      </c>
      <c r="T21" s="8">
        <v>2576.744354</v>
      </c>
      <c r="U21" s="8">
        <v>2540.87496</v>
      </c>
      <c r="V21" s="8">
        <v>2414.274435</v>
      </c>
      <c r="W21" s="8">
        <v>2209.339587</v>
      </c>
      <c r="X21" s="8">
        <v>1973.991385</v>
      </c>
      <c r="Y21" s="8">
        <v>1762.25935</v>
      </c>
      <c r="Z21" s="8">
        <v>1609.021991</v>
      </c>
      <c r="AA21" s="9">
        <f t="shared" si="1"/>
        <v>50687.46784</v>
      </c>
      <c r="AB21" s="9">
        <v>4.0</v>
      </c>
      <c r="AC21" s="9">
        <f t="shared" si="2"/>
        <v>202749.8714</v>
      </c>
      <c r="AD21" s="12"/>
    </row>
    <row r="22" ht="14.25" customHeight="1">
      <c r="A22" s="7">
        <v>46508.0</v>
      </c>
      <c r="B22" s="8" t="s">
        <v>34</v>
      </c>
      <c r="C22" s="8">
        <v>1789.42245</v>
      </c>
      <c r="D22" s="8">
        <v>1716.199226</v>
      </c>
      <c r="E22" s="8">
        <v>1675.242261</v>
      </c>
      <c r="F22" s="8">
        <v>1658.499934</v>
      </c>
      <c r="G22" s="8">
        <v>1684.074551</v>
      </c>
      <c r="H22" s="8">
        <v>1792.152715</v>
      </c>
      <c r="I22" s="8">
        <v>2168.520715</v>
      </c>
      <c r="J22" s="8">
        <v>2721.029537</v>
      </c>
      <c r="K22" s="8">
        <v>3183.272762</v>
      </c>
      <c r="L22" s="8">
        <v>3495.437472</v>
      </c>
      <c r="M22" s="8">
        <v>3749.40539</v>
      </c>
      <c r="N22" s="8">
        <v>3902.252663</v>
      </c>
      <c r="O22" s="8">
        <v>3850.922688</v>
      </c>
      <c r="P22" s="8">
        <v>3864.081001</v>
      </c>
      <c r="Q22" s="8">
        <v>3966.464102</v>
      </c>
      <c r="R22" s="8">
        <v>3968.138343</v>
      </c>
      <c r="S22" s="8">
        <v>3856.287608</v>
      </c>
      <c r="T22" s="8">
        <v>3598.872938</v>
      </c>
      <c r="U22" s="8">
        <v>3409.257046</v>
      </c>
      <c r="V22" s="8">
        <v>3193.822775</v>
      </c>
      <c r="W22" s="8">
        <v>2909.013839</v>
      </c>
      <c r="X22" s="8">
        <v>2585.22871</v>
      </c>
      <c r="Y22" s="8">
        <v>2240.427692</v>
      </c>
      <c r="Z22" s="8">
        <v>2005.072964</v>
      </c>
      <c r="AA22" s="9">
        <f t="shared" si="1"/>
        <v>68983.09938</v>
      </c>
      <c r="AB22" s="9">
        <v>19.0</v>
      </c>
      <c r="AC22" s="9">
        <f t="shared" si="2"/>
        <v>1310678.888</v>
      </c>
      <c r="AD22" s="10">
        <f>SUM(AC22:AC24)</f>
        <v>1981704.368</v>
      </c>
    </row>
    <row r="23" ht="14.25" customHeight="1">
      <c r="A23" s="7">
        <v>46508.0</v>
      </c>
      <c r="B23" s="8" t="s">
        <v>35</v>
      </c>
      <c r="C23" s="8">
        <v>1944.42122</v>
      </c>
      <c r="D23" s="8">
        <v>1842.912902</v>
      </c>
      <c r="E23" s="8">
        <v>1786.312658</v>
      </c>
      <c r="F23" s="8">
        <v>1742.435707</v>
      </c>
      <c r="G23" s="8">
        <v>1750.84291</v>
      </c>
      <c r="H23" s="8">
        <v>1757.986244</v>
      </c>
      <c r="I23" s="8">
        <v>2013.872788</v>
      </c>
      <c r="J23" s="8">
        <v>2472.636506</v>
      </c>
      <c r="K23" s="8">
        <v>2908.449371</v>
      </c>
      <c r="L23" s="8">
        <v>3248.819029</v>
      </c>
      <c r="M23" s="8">
        <v>3461.218666</v>
      </c>
      <c r="N23" s="8">
        <v>3558.693026</v>
      </c>
      <c r="O23" s="8">
        <v>3458.85554</v>
      </c>
      <c r="P23" s="8">
        <v>3349.234037</v>
      </c>
      <c r="Q23" s="8">
        <v>3273.991256</v>
      </c>
      <c r="R23" s="8">
        <v>3255.744707</v>
      </c>
      <c r="S23" s="8">
        <v>3216.638361</v>
      </c>
      <c r="T23" s="8">
        <v>3155.856921</v>
      </c>
      <c r="U23" s="8">
        <v>3082.652154</v>
      </c>
      <c r="V23" s="8">
        <v>2921.267773</v>
      </c>
      <c r="W23" s="8">
        <v>2672.604126</v>
      </c>
      <c r="X23" s="8">
        <v>2393.004475</v>
      </c>
      <c r="Y23" s="8">
        <v>2094.301368</v>
      </c>
      <c r="Z23" s="8">
        <v>1879.889325</v>
      </c>
      <c r="AA23" s="9">
        <f t="shared" si="1"/>
        <v>63242.64107</v>
      </c>
      <c r="AB23" s="9">
        <v>5.0</v>
      </c>
      <c r="AC23" s="9">
        <f t="shared" si="2"/>
        <v>316213.2054</v>
      </c>
      <c r="AD23" s="11"/>
    </row>
    <row r="24" ht="14.25" customHeight="1">
      <c r="A24" s="7">
        <v>46508.0</v>
      </c>
      <c r="B24" s="8" t="s">
        <v>36</v>
      </c>
      <c r="C24" s="8">
        <v>1740.94595</v>
      </c>
      <c r="D24" s="8">
        <v>1654.478322</v>
      </c>
      <c r="E24" s="8">
        <v>1574.591597</v>
      </c>
      <c r="F24" s="8">
        <v>1534.002811</v>
      </c>
      <c r="G24" s="8">
        <v>1499.780014</v>
      </c>
      <c r="H24" s="8">
        <v>1470.355259</v>
      </c>
      <c r="I24" s="8">
        <v>1517.883898</v>
      </c>
      <c r="J24" s="8">
        <v>1696.730625</v>
      </c>
      <c r="K24" s="8">
        <v>1931.959482</v>
      </c>
      <c r="L24" s="8">
        <v>2259.074969</v>
      </c>
      <c r="M24" s="8">
        <v>2523.326648</v>
      </c>
      <c r="N24" s="8">
        <v>2672.915063</v>
      </c>
      <c r="O24" s="8">
        <v>2724.442451</v>
      </c>
      <c r="P24" s="8">
        <v>2736.875839</v>
      </c>
      <c r="Q24" s="8">
        <v>2717.970834</v>
      </c>
      <c r="R24" s="8">
        <v>2704.809029</v>
      </c>
      <c r="S24" s="8">
        <v>2640.818988</v>
      </c>
      <c r="T24" s="8">
        <v>2576.744354</v>
      </c>
      <c r="U24" s="8">
        <v>2540.87496</v>
      </c>
      <c r="V24" s="8">
        <v>2414.274435</v>
      </c>
      <c r="W24" s="8">
        <v>2209.339587</v>
      </c>
      <c r="X24" s="8">
        <v>1973.991385</v>
      </c>
      <c r="Y24" s="8">
        <v>1762.25935</v>
      </c>
      <c r="Z24" s="8">
        <v>1609.021991</v>
      </c>
      <c r="AA24" s="9">
        <f t="shared" si="1"/>
        <v>50687.46784</v>
      </c>
      <c r="AB24" s="9">
        <v>7.0</v>
      </c>
      <c r="AC24" s="9">
        <f t="shared" si="2"/>
        <v>354812.2749</v>
      </c>
      <c r="AD24" s="12"/>
    </row>
    <row r="25" ht="14.25" customHeight="1">
      <c r="A25" s="7">
        <v>46539.0</v>
      </c>
      <c r="B25" s="8" t="s">
        <v>34</v>
      </c>
      <c r="C25" s="8">
        <v>1789.42245</v>
      </c>
      <c r="D25" s="8">
        <v>1716.199226</v>
      </c>
      <c r="E25" s="8">
        <v>1675.242261</v>
      </c>
      <c r="F25" s="8">
        <v>1658.499934</v>
      </c>
      <c r="G25" s="8">
        <v>1684.074551</v>
      </c>
      <c r="H25" s="8">
        <v>1792.152715</v>
      </c>
      <c r="I25" s="8">
        <v>2168.520715</v>
      </c>
      <c r="J25" s="8">
        <v>2721.029537</v>
      </c>
      <c r="K25" s="8">
        <v>3183.272762</v>
      </c>
      <c r="L25" s="8">
        <v>3495.437472</v>
      </c>
      <c r="M25" s="8">
        <v>3749.40539</v>
      </c>
      <c r="N25" s="8">
        <v>3902.252663</v>
      </c>
      <c r="O25" s="8">
        <v>3850.922688</v>
      </c>
      <c r="P25" s="8">
        <v>3864.081001</v>
      </c>
      <c r="Q25" s="8">
        <v>3966.464102</v>
      </c>
      <c r="R25" s="8">
        <v>3968.138343</v>
      </c>
      <c r="S25" s="8">
        <v>3856.287608</v>
      </c>
      <c r="T25" s="8">
        <v>3598.872938</v>
      </c>
      <c r="U25" s="8">
        <v>3409.257046</v>
      </c>
      <c r="V25" s="8">
        <v>3193.822775</v>
      </c>
      <c r="W25" s="8">
        <v>2909.013839</v>
      </c>
      <c r="X25" s="8">
        <v>2585.22871</v>
      </c>
      <c r="Y25" s="8">
        <v>2240.427692</v>
      </c>
      <c r="Z25" s="8">
        <v>2005.072964</v>
      </c>
      <c r="AA25" s="9">
        <f t="shared" si="1"/>
        <v>68983.09938</v>
      </c>
      <c r="AB25" s="9">
        <v>21.0</v>
      </c>
      <c r="AC25" s="9">
        <f t="shared" si="2"/>
        <v>1448645.087</v>
      </c>
      <c r="AD25" s="10">
        <f>SUM(AC25:AC27)</f>
        <v>1955052.991</v>
      </c>
    </row>
    <row r="26" ht="14.25" customHeight="1">
      <c r="A26" s="7">
        <v>46539.0</v>
      </c>
      <c r="B26" s="8" t="s">
        <v>35</v>
      </c>
      <c r="C26" s="8">
        <v>1944.42122</v>
      </c>
      <c r="D26" s="8">
        <v>1842.912902</v>
      </c>
      <c r="E26" s="8">
        <v>1786.312658</v>
      </c>
      <c r="F26" s="8">
        <v>1742.435707</v>
      </c>
      <c r="G26" s="8">
        <v>1750.84291</v>
      </c>
      <c r="H26" s="8">
        <v>1757.986244</v>
      </c>
      <c r="I26" s="8">
        <v>2013.872788</v>
      </c>
      <c r="J26" s="8">
        <v>2472.636506</v>
      </c>
      <c r="K26" s="8">
        <v>2908.449371</v>
      </c>
      <c r="L26" s="8">
        <v>3248.819029</v>
      </c>
      <c r="M26" s="8">
        <v>3461.218666</v>
      </c>
      <c r="N26" s="8">
        <v>3558.693026</v>
      </c>
      <c r="O26" s="8">
        <v>3458.85554</v>
      </c>
      <c r="P26" s="8">
        <v>3349.234037</v>
      </c>
      <c r="Q26" s="8">
        <v>3273.991256</v>
      </c>
      <c r="R26" s="8">
        <v>3255.744707</v>
      </c>
      <c r="S26" s="8">
        <v>3216.638361</v>
      </c>
      <c r="T26" s="8">
        <v>3155.856921</v>
      </c>
      <c r="U26" s="8">
        <v>3082.652154</v>
      </c>
      <c r="V26" s="8">
        <v>2921.267773</v>
      </c>
      <c r="W26" s="8">
        <v>2672.604126</v>
      </c>
      <c r="X26" s="8">
        <v>2393.004475</v>
      </c>
      <c r="Y26" s="8">
        <v>2094.301368</v>
      </c>
      <c r="Z26" s="8">
        <v>1879.889325</v>
      </c>
      <c r="AA26" s="9">
        <f t="shared" si="1"/>
        <v>63242.64107</v>
      </c>
      <c r="AB26" s="9">
        <v>4.0</v>
      </c>
      <c r="AC26" s="9">
        <f t="shared" si="2"/>
        <v>252970.5643</v>
      </c>
      <c r="AD26" s="11"/>
    </row>
    <row r="27" ht="14.25" customHeight="1">
      <c r="A27" s="7">
        <v>46539.0</v>
      </c>
      <c r="B27" s="8" t="s">
        <v>36</v>
      </c>
      <c r="C27" s="8">
        <v>1740.94595</v>
      </c>
      <c r="D27" s="8">
        <v>1654.478322</v>
      </c>
      <c r="E27" s="8">
        <v>1574.591597</v>
      </c>
      <c r="F27" s="8">
        <v>1534.002811</v>
      </c>
      <c r="G27" s="8">
        <v>1499.780014</v>
      </c>
      <c r="H27" s="8">
        <v>1470.355259</v>
      </c>
      <c r="I27" s="8">
        <v>1517.883898</v>
      </c>
      <c r="J27" s="8">
        <v>1696.730625</v>
      </c>
      <c r="K27" s="8">
        <v>1931.959482</v>
      </c>
      <c r="L27" s="8">
        <v>2259.074969</v>
      </c>
      <c r="M27" s="8">
        <v>2523.326648</v>
      </c>
      <c r="N27" s="8">
        <v>2672.915063</v>
      </c>
      <c r="O27" s="8">
        <v>2724.442451</v>
      </c>
      <c r="P27" s="8">
        <v>2736.875839</v>
      </c>
      <c r="Q27" s="8">
        <v>2717.970834</v>
      </c>
      <c r="R27" s="8">
        <v>2704.809029</v>
      </c>
      <c r="S27" s="8">
        <v>2640.818988</v>
      </c>
      <c r="T27" s="8">
        <v>2576.744354</v>
      </c>
      <c r="U27" s="8">
        <v>2540.87496</v>
      </c>
      <c r="V27" s="8">
        <v>2414.274435</v>
      </c>
      <c r="W27" s="8">
        <v>2209.339587</v>
      </c>
      <c r="X27" s="8">
        <v>1973.991385</v>
      </c>
      <c r="Y27" s="8">
        <v>1762.25935</v>
      </c>
      <c r="Z27" s="8">
        <v>1609.021991</v>
      </c>
      <c r="AA27" s="9">
        <f t="shared" si="1"/>
        <v>50687.46784</v>
      </c>
      <c r="AB27" s="9">
        <v>5.0</v>
      </c>
      <c r="AC27" s="9">
        <f t="shared" si="2"/>
        <v>253437.3392</v>
      </c>
      <c r="AD27" s="12"/>
    </row>
    <row r="28" ht="14.25" customHeight="1">
      <c r="A28" s="7">
        <v>46569.0</v>
      </c>
      <c r="B28" s="8" t="s">
        <v>34</v>
      </c>
      <c r="C28" s="8">
        <v>1789.42245</v>
      </c>
      <c r="D28" s="8">
        <v>1716.199226</v>
      </c>
      <c r="E28" s="8">
        <v>1675.242261</v>
      </c>
      <c r="F28" s="8">
        <v>1658.499934</v>
      </c>
      <c r="G28" s="8">
        <v>1684.074551</v>
      </c>
      <c r="H28" s="8">
        <v>1792.152715</v>
      </c>
      <c r="I28" s="8">
        <v>2168.520715</v>
      </c>
      <c r="J28" s="8">
        <v>2721.029537</v>
      </c>
      <c r="K28" s="8">
        <v>3183.272762</v>
      </c>
      <c r="L28" s="8">
        <v>3495.437472</v>
      </c>
      <c r="M28" s="8">
        <v>3749.40539</v>
      </c>
      <c r="N28" s="8">
        <v>3902.252663</v>
      </c>
      <c r="O28" s="8">
        <v>3850.922688</v>
      </c>
      <c r="P28" s="8">
        <v>3864.081001</v>
      </c>
      <c r="Q28" s="8">
        <v>3966.464102</v>
      </c>
      <c r="R28" s="8">
        <v>3968.138343</v>
      </c>
      <c r="S28" s="8">
        <v>3856.287608</v>
      </c>
      <c r="T28" s="8">
        <v>3598.872938</v>
      </c>
      <c r="U28" s="8">
        <v>3409.257046</v>
      </c>
      <c r="V28" s="8">
        <v>3193.822775</v>
      </c>
      <c r="W28" s="8">
        <v>2909.013839</v>
      </c>
      <c r="X28" s="8">
        <v>2585.22871</v>
      </c>
      <c r="Y28" s="8">
        <v>2240.427692</v>
      </c>
      <c r="Z28" s="8">
        <v>2005.072964</v>
      </c>
      <c r="AA28" s="9">
        <f t="shared" si="1"/>
        <v>68983.09938</v>
      </c>
      <c r="AB28" s="9">
        <v>20.0</v>
      </c>
      <c r="AC28" s="9">
        <f t="shared" si="2"/>
        <v>1379661.988</v>
      </c>
      <c r="AD28" s="10">
        <f>SUM(AC28:AC30)</f>
        <v>2000000</v>
      </c>
    </row>
    <row r="29" ht="14.25" customHeight="1">
      <c r="A29" s="7">
        <v>46569.0</v>
      </c>
      <c r="B29" s="8" t="s">
        <v>35</v>
      </c>
      <c r="C29" s="8">
        <v>1944.42122</v>
      </c>
      <c r="D29" s="8">
        <v>1842.912902</v>
      </c>
      <c r="E29" s="8">
        <v>1786.312658</v>
      </c>
      <c r="F29" s="8">
        <v>1742.435707</v>
      </c>
      <c r="G29" s="8">
        <v>1750.84291</v>
      </c>
      <c r="H29" s="8">
        <v>1757.986244</v>
      </c>
      <c r="I29" s="8">
        <v>2013.872788</v>
      </c>
      <c r="J29" s="8">
        <v>2472.636506</v>
      </c>
      <c r="K29" s="8">
        <v>2908.449371</v>
      </c>
      <c r="L29" s="8">
        <v>3248.819029</v>
      </c>
      <c r="M29" s="8">
        <v>3461.218666</v>
      </c>
      <c r="N29" s="8">
        <v>3558.693026</v>
      </c>
      <c r="O29" s="8">
        <v>3458.85554</v>
      </c>
      <c r="P29" s="8">
        <v>3349.234037</v>
      </c>
      <c r="Q29" s="8">
        <v>3273.991256</v>
      </c>
      <c r="R29" s="8">
        <v>3255.744707</v>
      </c>
      <c r="S29" s="8">
        <v>3216.638361</v>
      </c>
      <c r="T29" s="8">
        <v>3155.856921</v>
      </c>
      <c r="U29" s="8">
        <v>3082.652154</v>
      </c>
      <c r="V29" s="8">
        <v>2921.267773</v>
      </c>
      <c r="W29" s="8">
        <v>2672.604126</v>
      </c>
      <c r="X29" s="8">
        <v>2393.004475</v>
      </c>
      <c r="Y29" s="8">
        <v>2094.301368</v>
      </c>
      <c r="Z29" s="8">
        <v>1879.889325</v>
      </c>
      <c r="AA29" s="9">
        <f t="shared" si="1"/>
        <v>63242.64107</v>
      </c>
      <c r="AB29" s="9">
        <v>5.0</v>
      </c>
      <c r="AC29" s="9">
        <f t="shared" si="2"/>
        <v>316213.2054</v>
      </c>
      <c r="AD29" s="11"/>
    </row>
    <row r="30" ht="14.25" customHeight="1">
      <c r="A30" s="7">
        <v>46569.0</v>
      </c>
      <c r="B30" s="8" t="s">
        <v>36</v>
      </c>
      <c r="C30" s="8">
        <v>1740.94595</v>
      </c>
      <c r="D30" s="8">
        <v>1654.478322</v>
      </c>
      <c r="E30" s="8">
        <v>1574.591597</v>
      </c>
      <c r="F30" s="8">
        <v>1534.002811</v>
      </c>
      <c r="G30" s="8">
        <v>1499.780014</v>
      </c>
      <c r="H30" s="8">
        <v>1470.355259</v>
      </c>
      <c r="I30" s="8">
        <v>1517.883898</v>
      </c>
      <c r="J30" s="8">
        <v>1696.730625</v>
      </c>
      <c r="K30" s="8">
        <v>1931.959482</v>
      </c>
      <c r="L30" s="8">
        <v>2259.074969</v>
      </c>
      <c r="M30" s="8">
        <v>2523.326648</v>
      </c>
      <c r="N30" s="8">
        <v>2672.915063</v>
      </c>
      <c r="O30" s="8">
        <v>2724.442451</v>
      </c>
      <c r="P30" s="8">
        <v>2736.875839</v>
      </c>
      <c r="Q30" s="8">
        <v>2717.970834</v>
      </c>
      <c r="R30" s="8">
        <v>2704.809029</v>
      </c>
      <c r="S30" s="8">
        <v>2640.818988</v>
      </c>
      <c r="T30" s="8">
        <v>2576.744354</v>
      </c>
      <c r="U30" s="8">
        <v>2540.87496</v>
      </c>
      <c r="V30" s="8">
        <v>2414.274435</v>
      </c>
      <c r="W30" s="8">
        <v>2209.339587</v>
      </c>
      <c r="X30" s="8">
        <v>1973.991385</v>
      </c>
      <c r="Y30" s="8">
        <v>1762.25935</v>
      </c>
      <c r="Z30" s="8">
        <v>1609.021991</v>
      </c>
      <c r="AA30" s="9">
        <f t="shared" si="1"/>
        <v>50687.46784</v>
      </c>
      <c r="AB30" s="9">
        <v>6.0</v>
      </c>
      <c r="AC30" s="9">
        <f t="shared" si="2"/>
        <v>304124.807</v>
      </c>
      <c r="AD30" s="12"/>
    </row>
    <row r="31" ht="14.25" customHeight="1">
      <c r="A31" s="7">
        <v>46600.0</v>
      </c>
      <c r="B31" s="8" t="s">
        <v>34</v>
      </c>
      <c r="C31" s="8">
        <v>1789.42245</v>
      </c>
      <c r="D31" s="8">
        <v>1716.199226</v>
      </c>
      <c r="E31" s="8">
        <v>1675.242261</v>
      </c>
      <c r="F31" s="8">
        <v>1658.499934</v>
      </c>
      <c r="G31" s="8">
        <v>1684.074551</v>
      </c>
      <c r="H31" s="8">
        <v>1792.152715</v>
      </c>
      <c r="I31" s="8">
        <v>2168.520715</v>
      </c>
      <c r="J31" s="8">
        <v>2721.029537</v>
      </c>
      <c r="K31" s="8">
        <v>3183.272762</v>
      </c>
      <c r="L31" s="8">
        <v>3495.437472</v>
      </c>
      <c r="M31" s="8">
        <v>3749.40539</v>
      </c>
      <c r="N31" s="8">
        <v>3902.252663</v>
      </c>
      <c r="O31" s="8">
        <v>3850.922688</v>
      </c>
      <c r="P31" s="8">
        <v>3864.081001</v>
      </c>
      <c r="Q31" s="8">
        <v>3966.464102</v>
      </c>
      <c r="R31" s="8">
        <v>3968.138343</v>
      </c>
      <c r="S31" s="8">
        <v>3856.287608</v>
      </c>
      <c r="T31" s="8">
        <v>3598.872938</v>
      </c>
      <c r="U31" s="8">
        <v>3409.257046</v>
      </c>
      <c r="V31" s="8">
        <v>3193.822775</v>
      </c>
      <c r="W31" s="8">
        <v>2909.013839</v>
      </c>
      <c r="X31" s="8">
        <v>2585.22871</v>
      </c>
      <c r="Y31" s="8">
        <v>2240.427692</v>
      </c>
      <c r="Z31" s="8">
        <v>2005.072964</v>
      </c>
      <c r="AA31" s="9">
        <f t="shared" si="1"/>
        <v>68983.09938</v>
      </c>
      <c r="AB31" s="9">
        <v>21.0</v>
      </c>
      <c r="AC31" s="9">
        <f t="shared" si="2"/>
        <v>1448645.087</v>
      </c>
      <c r="AD31" s="10">
        <f>SUM(AC31:AC33)</f>
        <v>2005740.458</v>
      </c>
    </row>
    <row r="32" ht="14.25" customHeight="1">
      <c r="A32" s="7">
        <v>46600.0</v>
      </c>
      <c r="B32" s="8" t="s">
        <v>35</v>
      </c>
      <c r="C32" s="8">
        <v>1944.42122</v>
      </c>
      <c r="D32" s="8">
        <v>1842.912902</v>
      </c>
      <c r="E32" s="8">
        <v>1786.312658</v>
      </c>
      <c r="F32" s="8">
        <v>1742.435707</v>
      </c>
      <c r="G32" s="8">
        <v>1750.84291</v>
      </c>
      <c r="H32" s="8">
        <v>1757.986244</v>
      </c>
      <c r="I32" s="8">
        <v>2013.872788</v>
      </c>
      <c r="J32" s="8">
        <v>2472.636506</v>
      </c>
      <c r="K32" s="8">
        <v>2908.449371</v>
      </c>
      <c r="L32" s="8">
        <v>3248.819029</v>
      </c>
      <c r="M32" s="8">
        <v>3461.218666</v>
      </c>
      <c r="N32" s="8">
        <v>3558.693026</v>
      </c>
      <c r="O32" s="8">
        <v>3458.85554</v>
      </c>
      <c r="P32" s="8">
        <v>3349.234037</v>
      </c>
      <c r="Q32" s="8">
        <v>3273.991256</v>
      </c>
      <c r="R32" s="8">
        <v>3255.744707</v>
      </c>
      <c r="S32" s="8">
        <v>3216.638361</v>
      </c>
      <c r="T32" s="8">
        <v>3155.856921</v>
      </c>
      <c r="U32" s="8">
        <v>3082.652154</v>
      </c>
      <c r="V32" s="8">
        <v>2921.267773</v>
      </c>
      <c r="W32" s="8">
        <v>2672.604126</v>
      </c>
      <c r="X32" s="8">
        <v>2393.004475</v>
      </c>
      <c r="Y32" s="8">
        <v>2094.301368</v>
      </c>
      <c r="Z32" s="8">
        <v>1879.889325</v>
      </c>
      <c r="AA32" s="9">
        <f t="shared" si="1"/>
        <v>63242.64107</v>
      </c>
      <c r="AB32" s="9">
        <v>4.0</v>
      </c>
      <c r="AC32" s="9">
        <f t="shared" si="2"/>
        <v>252970.5643</v>
      </c>
      <c r="AD32" s="11"/>
    </row>
    <row r="33" ht="14.25" customHeight="1">
      <c r="A33" s="7">
        <v>46600.0</v>
      </c>
      <c r="B33" s="8" t="s">
        <v>36</v>
      </c>
      <c r="C33" s="8">
        <v>1740.94595</v>
      </c>
      <c r="D33" s="8">
        <v>1654.478322</v>
      </c>
      <c r="E33" s="8">
        <v>1574.591597</v>
      </c>
      <c r="F33" s="8">
        <v>1534.002811</v>
      </c>
      <c r="G33" s="8">
        <v>1499.780014</v>
      </c>
      <c r="H33" s="8">
        <v>1470.355259</v>
      </c>
      <c r="I33" s="8">
        <v>1517.883898</v>
      </c>
      <c r="J33" s="8">
        <v>1696.730625</v>
      </c>
      <c r="K33" s="8">
        <v>1931.959482</v>
      </c>
      <c r="L33" s="8">
        <v>2259.074969</v>
      </c>
      <c r="M33" s="8">
        <v>2523.326648</v>
      </c>
      <c r="N33" s="8">
        <v>2672.915063</v>
      </c>
      <c r="O33" s="8">
        <v>2724.442451</v>
      </c>
      <c r="P33" s="8">
        <v>2736.875839</v>
      </c>
      <c r="Q33" s="8">
        <v>2717.970834</v>
      </c>
      <c r="R33" s="8">
        <v>2704.809029</v>
      </c>
      <c r="S33" s="8">
        <v>2640.818988</v>
      </c>
      <c r="T33" s="8">
        <v>2576.744354</v>
      </c>
      <c r="U33" s="8">
        <v>2540.87496</v>
      </c>
      <c r="V33" s="8">
        <v>2414.274435</v>
      </c>
      <c r="W33" s="8">
        <v>2209.339587</v>
      </c>
      <c r="X33" s="8">
        <v>1973.991385</v>
      </c>
      <c r="Y33" s="8">
        <v>1762.25935</v>
      </c>
      <c r="Z33" s="8">
        <v>1609.021991</v>
      </c>
      <c r="AA33" s="9">
        <f t="shared" si="1"/>
        <v>50687.46784</v>
      </c>
      <c r="AB33" s="9">
        <v>6.0</v>
      </c>
      <c r="AC33" s="9">
        <f t="shared" si="2"/>
        <v>304124.807</v>
      </c>
      <c r="AD33" s="12"/>
    </row>
    <row r="34" ht="14.25" customHeight="1">
      <c r="A34" s="7">
        <v>46631.0</v>
      </c>
      <c r="B34" s="8" t="s">
        <v>34</v>
      </c>
      <c r="C34" s="8">
        <v>1789.42245</v>
      </c>
      <c r="D34" s="8">
        <v>1716.199226</v>
      </c>
      <c r="E34" s="8">
        <v>1675.242261</v>
      </c>
      <c r="F34" s="8">
        <v>1658.499934</v>
      </c>
      <c r="G34" s="8">
        <v>1684.074551</v>
      </c>
      <c r="H34" s="8">
        <v>1792.152715</v>
      </c>
      <c r="I34" s="8">
        <v>2168.520715</v>
      </c>
      <c r="J34" s="8">
        <v>2721.029537</v>
      </c>
      <c r="K34" s="8">
        <v>3183.272762</v>
      </c>
      <c r="L34" s="8">
        <v>3495.437472</v>
      </c>
      <c r="M34" s="8">
        <v>3749.40539</v>
      </c>
      <c r="N34" s="8">
        <v>3902.252663</v>
      </c>
      <c r="O34" s="8">
        <v>3850.922688</v>
      </c>
      <c r="P34" s="8">
        <v>3864.081001</v>
      </c>
      <c r="Q34" s="8">
        <v>3966.464102</v>
      </c>
      <c r="R34" s="8">
        <v>3968.138343</v>
      </c>
      <c r="S34" s="8">
        <v>3856.287608</v>
      </c>
      <c r="T34" s="8">
        <v>3598.872938</v>
      </c>
      <c r="U34" s="8">
        <v>3409.257046</v>
      </c>
      <c r="V34" s="8">
        <v>3193.822775</v>
      </c>
      <c r="W34" s="8">
        <v>2909.013839</v>
      </c>
      <c r="X34" s="8">
        <v>2585.22871</v>
      </c>
      <c r="Y34" s="8">
        <v>2240.427692</v>
      </c>
      <c r="Z34" s="8">
        <v>2005.072964</v>
      </c>
      <c r="AA34" s="9">
        <f t="shared" si="1"/>
        <v>68983.09938</v>
      </c>
      <c r="AB34" s="9">
        <v>22.0</v>
      </c>
      <c r="AC34" s="9">
        <f t="shared" si="2"/>
        <v>1517628.186</v>
      </c>
      <c r="AD34" s="10">
        <f>SUM(AC34:AC36)</f>
        <v>1973348.622</v>
      </c>
    </row>
    <row r="35" ht="14.25" customHeight="1">
      <c r="A35" s="7">
        <v>46631.0</v>
      </c>
      <c r="B35" s="8" t="s">
        <v>35</v>
      </c>
      <c r="C35" s="8">
        <v>1944.42122</v>
      </c>
      <c r="D35" s="8">
        <v>1842.912902</v>
      </c>
      <c r="E35" s="8">
        <v>1786.312658</v>
      </c>
      <c r="F35" s="8">
        <v>1742.435707</v>
      </c>
      <c r="G35" s="8">
        <v>1750.84291</v>
      </c>
      <c r="H35" s="8">
        <v>1757.986244</v>
      </c>
      <c r="I35" s="8">
        <v>2013.872788</v>
      </c>
      <c r="J35" s="8">
        <v>2472.636506</v>
      </c>
      <c r="K35" s="8">
        <v>2908.449371</v>
      </c>
      <c r="L35" s="8">
        <v>3248.819029</v>
      </c>
      <c r="M35" s="8">
        <v>3461.218666</v>
      </c>
      <c r="N35" s="8">
        <v>3558.693026</v>
      </c>
      <c r="O35" s="8">
        <v>3458.85554</v>
      </c>
      <c r="P35" s="8">
        <v>3349.234037</v>
      </c>
      <c r="Q35" s="8">
        <v>3273.991256</v>
      </c>
      <c r="R35" s="8">
        <v>3255.744707</v>
      </c>
      <c r="S35" s="8">
        <v>3216.638361</v>
      </c>
      <c r="T35" s="8">
        <v>3155.856921</v>
      </c>
      <c r="U35" s="8">
        <v>3082.652154</v>
      </c>
      <c r="V35" s="8">
        <v>2921.267773</v>
      </c>
      <c r="W35" s="8">
        <v>2672.604126</v>
      </c>
      <c r="X35" s="8">
        <v>2393.004475</v>
      </c>
      <c r="Y35" s="8">
        <v>2094.301368</v>
      </c>
      <c r="Z35" s="8">
        <v>1879.889325</v>
      </c>
      <c r="AA35" s="9">
        <f t="shared" si="1"/>
        <v>63242.64107</v>
      </c>
      <c r="AB35" s="9">
        <v>4.0</v>
      </c>
      <c r="AC35" s="9">
        <f t="shared" si="2"/>
        <v>252970.5643</v>
      </c>
      <c r="AD35" s="11"/>
    </row>
    <row r="36" ht="14.25" customHeight="1">
      <c r="A36" s="7">
        <v>46631.0</v>
      </c>
      <c r="B36" s="8" t="s">
        <v>36</v>
      </c>
      <c r="C36" s="8">
        <v>1740.94595</v>
      </c>
      <c r="D36" s="8">
        <v>1654.478322</v>
      </c>
      <c r="E36" s="8">
        <v>1574.591597</v>
      </c>
      <c r="F36" s="8">
        <v>1534.002811</v>
      </c>
      <c r="G36" s="8">
        <v>1499.780014</v>
      </c>
      <c r="H36" s="8">
        <v>1470.355259</v>
      </c>
      <c r="I36" s="8">
        <v>1517.883898</v>
      </c>
      <c r="J36" s="8">
        <v>1696.730625</v>
      </c>
      <c r="K36" s="8">
        <v>1931.959482</v>
      </c>
      <c r="L36" s="8">
        <v>2259.074969</v>
      </c>
      <c r="M36" s="8">
        <v>2523.326648</v>
      </c>
      <c r="N36" s="8">
        <v>2672.915063</v>
      </c>
      <c r="O36" s="8">
        <v>2724.442451</v>
      </c>
      <c r="P36" s="8">
        <v>2736.875839</v>
      </c>
      <c r="Q36" s="8">
        <v>2717.970834</v>
      </c>
      <c r="R36" s="8">
        <v>2704.809029</v>
      </c>
      <c r="S36" s="8">
        <v>2640.818988</v>
      </c>
      <c r="T36" s="8">
        <v>2576.744354</v>
      </c>
      <c r="U36" s="8">
        <v>2540.87496</v>
      </c>
      <c r="V36" s="8">
        <v>2414.274435</v>
      </c>
      <c r="W36" s="8">
        <v>2209.339587</v>
      </c>
      <c r="X36" s="8">
        <v>1973.991385</v>
      </c>
      <c r="Y36" s="8">
        <v>1762.25935</v>
      </c>
      <c r="Z36" s="8">
        <v>1609.021991</v>
      </c>
      <c r="AA36" s="9">
        <f t="shared" si="1"/>
        <v>50687.46784</v>
      </c>
      <c r="AB36" s="9">
        <v>4.0</v>
      </c>
      <c r="AC36" s="9">
        <f t="shared" si="2"/>
        <v>202749.8714</v>
      </c>
      <c r="AD36" s="12"/>
    </row>
    <row r="37" ht="14.25" customHeight="1">
      <c r="A37" s="7">
        <v>46661.0</v>
      </c>
      <c r="B37" s="8" t="s">
        <v>34</v>
      </c>
      <c r="C37" s="8">
        <v>1789.42245</v>
      </c>
      <c r="D37" s="8">
        <v>1716.199226</v>
      </c>
      <c r="E37" s="8">
        <v>1675.242261</v>
      </c>
      <c r="F37" s="8">
        <v>1658.499934</v>
      </c>
      <c r="G37" s="8">
        <v>1684.074551</v>
      </c>
      <c r="H37" s="8">
        <v>1792.152715</v>
      </c>
      <c r="I37" s="8">
        <v>2168.520715</v>
      </c>
      <c r="J37" s="8">
        <v>2721.029537</v>
      </c>
      <c r="K37" s="8">
        <v>3183.272762</v>
      </c>
      <c r="L37" s="8">
        <v>3495.437472</v>
      </c>
      <c r="M37" s="8">
        <v>3749.40539</v>
      </c>
      <c r="N37" s="8">
        <v>3902.252663</v>
      </c>
      <c r="O37" s="8">
        <v>3850.922688</v>
      </c>
      <c r="P37" s="8">
        <v>3864.081001</v>
      </c>
      <c r="Q37" s="8">
        <v>3966.464102</v>
      </c>
      <c r="R37" s="8">
        <v>3968.138343</v>
      </c>
      <c r="S37" s="8">
        <v>3856.287608</v>
      </c>
      <c r="T37" s="8">
        <v>3598.872938</v>
      </c>
      <c r="U37" s="8">
        <v>3409.257046</v>
      </c>
      <c r="V37" s="8">
        <v>3193.822775</v>
      </c>
      <c r="W37" s="8">
        <v>2909.013839</v>
      </c>
      <c r="X37" s="8">
        <v>2585.22871</v>
      </c>
      <c r="Y37" s="8">
        <v>2240.427692</v>
      </c>
      <c r="Z37" s="8">
        <v>2005.072964</v>
      </c>
      <c r="AA37" s="9">
        <f t="shared" si="1"/>
        <v>68983.09938</v>
      </c>
      <c r="AB37" s="9">
        <v>21.0</v>
      </c>
      <c r="AC37" s="9">
        <f t="shared" si="2"/>
        <v>1448645.087</v>
      </c>
      <c r="AD37" s="10">
        <f>SUM(AC37:AC39)</f>
        <v>2018295.632</v>
      </c>
    </row>
    <row r="38" ht="14.25" customHeight="1">
      <c r="A38" s="7">
        <v>46661.0</v>
      </c>
      <c r="B38" s="8" t="s">
        <v>35</v>
      </c>
      <c r="C38" s="8">
        <v>1944.42122</v>
      </c>
      <c r="D38" s="8">
        <v>1842.912902</v>
      </c>
      <c r="E38" s="8">
        <v>1786.312658</v>
      </c>
      <c r="F38" s="8">
        <v>1742.435707</v>
      </c>
      <c r="G38" s="8">
        <v>1750.84291</v>
      </c>
      <c r="H38" s="8">
        <v>1757.986244</v>
      </c>
      <c r="I38" s="8">
        <v>2013.872788</v>
      </c>
      <c r="J38" s="8">
        <v>2472.636506</v>
      </c>
      <c r="K38" s="8">
        <v>2908.449371</v>
      </c>
      <c r="L38" s="8">
        <v>3248.819029</v>
      </c>
      <c r="M38" s="8">
        <v>3461.218666</v>
      </c>
      <c r="N38" s="8">
        <v>3558.693026</v>
      </c>
      <c r="O38" s="8">
        <v>3458.85554</v>
      </c>
      <c r="P38" s="8">
        <v>3349.234037</v>
      </c>
      <c r="Q38" s="8">
        <v>3273.991256</v>
      </c>
      <c r="R38" s="8">
        <v>3255.744707</v>
      </c>
      <c r="S38" s="8">
        <v>3216.638361</v>
      </c>
      <c r="T38" s="8">
        <v>3155.856921</v>
      </c>
      <c r="U38" s="8">
        <v>3082.652154</v>
      </c>
      <c r="V38" s="8">
        <v>2921.267773</v>
      </c>
      <c r="W38" s="8">
        <v>2672.604126</v>
      </c>
      <c r="X38" s="8">
        <v>2393.004475</v>
      </c>
      <c r="Y38" s="8">
        <v>2094.301368</v>
      </c>
      <c r="Z38" s="8">
        <v>1879.889325</v>
      </c>
      <c r="AA38" s="9">
        <f t="shared" si="1"/>
        <v>63242.64107</v>
      </c>
      <c r="AB38" s="9">
        <v>5.0</v>
      </c>
      <c r="AC38" s="9">
        <f t="shared" si="2"/>
        <v>316213.2054</v>
      </c>
      <c r="AD38" s="11"/>
    </row>
    <row r="39" ht="14.25" customHeight="1">
      <c r="A39" s="7">
        <v>46661.0</v>
      </c>
      <c r="B39" s="8" t="s">
        <v>36</v>
      </c>
      <c r="C39" s="8">
        <v>1740.94595</v>
      </c>
      <c r="D39" s="8">
        <v>1654.478322</v>
      </c>
      <c r="E39" s="8">
        <v>1574.591597</v>
      </c>
      <c r="F39" s="8">
        <v>1534.002811</v>
      </c>
      <c r="G39" s="8">
        <v>1499.780014</v>
      </c>
      <c r="H39" s="8">
        <v>1470.355259</v>
      </c>
      <c r="I39" s="8">
        <v>1517.883898</v>
      </c>
      <c r="J39" s="8">
        <v>1696.730625</v>
      </c>
      <c r="K39" s="8">
        <v>1931.959482</v>
      </c>
      <c r="L39" s="8">
        <v>2259.074969</v>
      </c>
      <c r="M39" s="8">
        <v>2523.326648</v>
      </c>
      <c r="N39" s="8">
        <v>2672.915063</v>
      </c>
      <c r="O39" s="8">
        <v>2724.442451</v>
      </c>
      <c r="P39" s="8">
        <v>2736.875839</v>
      </c>
      <c r="Q39" s="8">
        <v>2717.970834</v>
      </c>
      <c r="R39" s="8">
        <v>2704.809029</v>
      </c>
      <c r="S39" s="8">
        <v>2640.818988</v>
      </c>
      <c r="T39" s="8">
        <v>2576.744354</v>
      </c>
      <c r="U39" s="8">
        <v>2540.87496</v>
      </c>
      <c r="V39" s="8">
        <v>2414.274435</v>
      </c>
      <c r="W39" s="8">
        <v>2209.339587</v>
      </c>
      <c r="X39" s="8">
        <v>1973.991385</v>
      </c>
      <c r="Y39" s="8">
        <v>1762.25935</v>
      </c>
      <c r="Z39" s="8">
        <v>1609.021991</v>
      </c>
      <c r="AA39" s="9">
        <f t="shared" si="1"/>
        <v>50687.46784</v>
      </c>
      <c r="AB39" s="9">
        <v>5.0</v>
      </c>
      <c r="AC39" s="9">
        <f t="shared" si="2"/>
        <v>253437.3392</v>
      </c>
      <c r="AD39" s="12"/>
    </row>
    <row r="40" ht="14.25" customHeight="1">
      <c r="A40" s="7">
        <v>46692.0</v>
      </c>
      <c r="B40" s="8" t="s">
        <v>34</v>
      </c>
      <c r="C40" s="8">
        <v>1789.42245</v>
      </c>
      <c r="D40" s="8">
        <v>1716.199226</v>
      </c>
      <c r="E40" s="8">
        <v>1675.242261</v>
      </c>
      <c r="F40" s="8">
        <v>1658.499934</v>
      </c>
      <c r="G40" s="8">
        <v>1684.074551</v>
      </c>
      <c r="H40" s="8">
        <v>1792.152715</v>
      </c>
      <c r="I40" s="8">
        <v>2168.520715</v>
      </c>
      <c r="J40" s="8">
        <v>2721.029537</v>
      </c>
      <c r="K40" s="8">
        <v>3183.272762</v>
      </c>
      <c r="L40" s="8">
        <v>3495.437472</v>
      </c>
      <c r="M40" s="8">
        <v>3749.40539</v>
      </c>
      <c r="N40" s="8">
        <v>3902.252663</v>
      </c>
      <c r="O40" s="8">
        <v>3850.922688</v>
      </c>
      <c r="P40" s="8">
        <v>3864.081001</v>
      </c>
      <c r="Q40" s="8">
        <v>3966.464102</v>
      </c>
      <c r="R40" s="8">
        <v>3968.138343</v>
      </c>
      <c r="S40" s="8">
        <v>3856.287608</v>
      </c>
      <c r="T40" s="8">
        <v>3598.872938</v>
      </c>
      <c r="U40" s="8">
        <v>3409.257046</v>
      </c>
      <c r="V40" s="8">
        <v>3193.822775</v>
      </c>
      <c r="W40" s="8">
        <v>2909.013839</v>
      </c>
      <c r="X40" s="8">
        <v>2585.22871</v>
      </c>
      <c r="Y40" s="8">
        <v>2240.427692</v>
      </c>
      <c r="Z40" s="8">
        <v>2005.072964</v>
      </c>
      <c r="AA40" s="9">
        <f t="shared" si="1"/>
        <v>68983.09938</v>
      </c>
      <c r="AB40" s="9">
        <v>20.0</v>
      </c>
      <c r="AC40" s="9">
        <f t="shared" si="2"/>
        <v>1379661.988</v>
      </c>
      <c r="AD40" s="10">
        <f>SUM(AC40:AC42)</f>
        <v>1936757.359</v>
      </c>
    </row>
    <row r="41" ht="14.25" customHeight="1">
      <c r="A41" s="7">
        <v>46692.0</v>
      </c>
      <c r="B41" s="8" t="s">
        <v>35</v>
      </c>
      <c r="C41" s="8">
        <v>1944.42122</v>
      </c>
      <c r="D41" s="8">
        <v>1842.912902</v>
      </c>
      <c r="E41" s="8">
        <v>1786.312658</v>
      </c>
      <c r="F41" s="8">
        <v>1742.435707</v>
      </c>
      <c r="G41" s="8">
        <v>1750.84291</v>
      </c>
      <c r="H41" s="8">
        <v>1757.986244</v>
      </c>
      <c r="I41" s="8">
        <v>2013.872788</v>
      </c>
      <c r="J41" s="8">
        <v>2472.636506</v>
      </c>
      <c r="K41" s="8">
        <v>2908.449371</v>
      </c>
      <c r="L41" s="8">
        <v>3248.819029</v>
      </c>
      <c r="M41" s="8">
        <v>3461.218666</v>
      </c>
      <c r="N41" s="8">
        <v>3558.693026</v>
      </c>
      <c r="O41" s="8">
        <v>3458.85554</v>
      </c>
      <c r="P41" s="8">
        <v>3349.234037</v>
      </c>
      <c r="Q41" s="8">
        <v>3273.991256</v>
      </c>
      <c r="R41" s="8">
        <v>3255.744707</v>
      </c>
      <c r="S41" s="8">
        <v>3216.638361</v>
      </c>
      <c r="T41" s="8">
        <v>3155.856921</v>
      </c>
      <c r="U41" s="8">
        <v>3082.652154</v>
      </c>
      <c r="V41" s="8">
        <v>2921.267773</v>
      </c>
      <c r="W41" s="8">
        <v>2672.604126</v>
      </c>
      <c r="X41" s="8">
        <v>2393.004475</v>
      </c>
      <c r="Y41" s="8">
        <v>2094.301368</v>
      </c>
      <c r="Z41" s="8">
        <v>1879.889325</v>
      </c>
      <c r="AA41" s="9">
        <f t="shared" si="1"/>
        <v>63242.64107</v>
      </c>
      <c r="AB41" s="9">
        <v>4.0</v>
      </c>
      <c r="AC41" s="9">
        <f t="shared" si="2"/>
        <v>252970.5643</v>
      </c>
      <c r="AD41" s="11"/>
    </row>
    <row r="42" ht="14.25" customHeight="1">
      <c r="A42" s="7">
        <v>46692.0</v>
      </c>
      <c r="B42" s="8" t="s">
        <v>36</v>
      </c>
      <c r="C42" s="8">
        <v>1740.94595</v>
      </c>
      <c r="D42" s="8">
        <v>1654.478322</v>
      </c>
      <c r="E42" s="8">
        <v>1574.591597</v>
      </c>
      <c r="F42" s="8">
        <v>1534.002811</v>
      </c>
      <c r="G42" s="8">
        <v>1499.780014</v>
      </c>
      <c r="H42" s="8">
        <v>1470.355259</v>
      </c>
      <c r="I42" s="8">
        <v>1517.883898</v>
      </c>
      <c r="J42" s="8">
        <v>1696.730625</v>
      </c>
      <c r="K42" s="8">
        <v>1931.959482</v>
      </c>
      <c r="L42" s="8">
        <v>2259.074969</v>
      </c>
      <c r="M42" s="8">
        <v>2523.326648</v>
      </c>
      <c r="N42" s="8">
        <v>2672.915063</v>
      </c>
      <c r="O42" s="8">
        <v>2724.442451</v>
      </c>
      <c r="P42" s="8">
        <v>2736.875839</v>
      </c>
      <c r="Q42" s="8">
        <v>2717.970834</v>
      </c>
      <c r="R42" s="8">
        <v>2704.809029</v>
      </c>
      <c r="S42" s="8">
        <v>2640.818988</v>
      </c>
      <c r="T42" s="8">
        <v>2576.744354</v>
      </c>
      <c r="U42" s="8">
        <v>2540.87496</v>
      </c>
      <c r="V42" s="8">
        <v>2414.274435</v>
      </c>
      <c r="W42" s="8">
        <v>2209.339587</v>
      </c>
      <c r="X42" s="8">
        <v>1973.991385</v>
      </c>
      <c r="Y42" s="8">
        <v>1762.25935</v>
      </c>
      <c r="Z42" s="8">
        <v>1609.021991</v>
      </c>
      <c r="AA42" s="9">
        <f t="shared" si="1"/>
        <v>50687.46784</v>
      </c>
      <c r="AB42" s="9">
        <v>6.0</v>
      </c>
      <c r="AC42" s="9">
        <f t="shared" si="2"/>
        <v>304124.807</v>
      </c>
      <c r="AD42" s="12"/>
    </row>
    <row r="43" ht="14.25" customHeight="1">
      <c r="A43" s="7">
        <v>46722.0</v>
      </c>
      <c r="B43" s="8" t="s">
        <v>34</v>
      </c>
      <c r="C43" s="8">
        <v>1789.42245</v>
      </c>
      <c r="D43" s="8">
        <v>1716.199226</v>
      </c>
      <c r="E43" s="8">
        <v>1675.242261</v>
      </c>
      <c r="F43" s="8">
        <v>1658.499934</v>
      </c>
      <c r="G43" s="8">
        <v>1684.074551</v>
      </c>
      <c r="H43" s="8">
        <v>1792.152715</v>
      </c>
      <c r="I43" s="8">
        <v>2168.520715</v>
      </c>
      <c r="J43" s="8">
        <v>2721.029537</v>
      </c>
      <c r="K43" s="8">
        <v>3183.272762</v>
      </c>
      <c r="L43" s="8">
        <v>3495.437472</v>
      </c>
      <c r="M43" s="8">
        <v>3749.40539</v>
      </c>
      <c r="N43" s="8">
        <v>3902.252663</v>
      </c>
      <c r="O43" s="8">
        <v>3850.922688</v>
      </c>
      <c r="P43" s="8">
        <v>3864.081001</v>
      </c>
      <c r="Q43" s="8">
        <v>3966.464102</v>
      </c>
      <c r="R43" s="8">
        <v>3968.138343</v>
      </c>
      <c r="S43" s="8">
        <v>3856.287608</v>
      </c>
      <c r="T43" s="8">
        <v>3598.872938</v>
      </c>
      <c r="U43" s="8">
        <v>3409.257046</v>
      </c>
      <c r="V43" s="8">
        <v>3193.822775</v>
      </c>
      <c r="W43" s="8">
        <v>2909.013839</v>
      </c>
      <c r="X43" s="8">
        <v>2585.22871</v>
      </c>
      <c r="Y43" s="8">
        <v>2240.427692</v>
      </c>
      <c r="Z43" s="8">
        <v>2005.072964</v>
      </c>
      <c r="AA43" s="9">
        <f t="shared" si="1"/>
        <v>68983.09938</v>
      </c>
      <c r="AB43" s="9">
        <v>22.0</v>
      </c>
      <c r="AC43" s="9">
        <f t="shared" si="2"/>
        <v>1517628.186</v>
      </c>
      <c r="AD43" s="10">
        <f>SUM(AC43:AC45)</f>
        <v>2024036.09</v>
      </c>
    </row>
    <row r="44" ht="14.25" customHeight="1">
      <c r="A44" s="7">
        <v>46722.0</v>
      </c>
      <c r="B44" s="8" t="s">
        <v>35</v>
      </c>
      <c r="C44" s="8">
        <v>1944.42122</v>
      </c>
      <c r="D44" s="8">
        <v>1842.912902</v>
      </c>
      <c r="E44" s="8">
        <v>1786.312658</v>
      </c>
      <c r="F44" s="8">
        <v>1742.435707</v>
      </c>
      <c r="G44" s="8">
        <v>1750.84291</v>
      </c>
      <c r="H44" s="8">
        <v>1757.986244</v>
      </c>
      <c r="I44" s="8">
        <v>2013.872788</v>
      </c>
      <c r="J44" s="8">
        <v>2472.636506</v>
      </c>
      <c r="K44" s="8">
        <v>2908.449371</v>
      </c>
      <c r="L44" s="8">
        <v>3248.819029</v>
      </c>
      <c r="M44" s="8">
        <v>3461.218666</v>
      </c>
      <c r="N44" s="8">
        <v>3558.693026</v>
      </c>
      <c r="O44" s="8">
        <v>3458.85554</v>
      </c>
      <c r="P44" s="8">
        <v>3349.234037</v>
      </c>
      <c r="Q44" s="8">
        <v>3273.991256</v>
      </c>
      <c r="R44" s="8">
        <v>3255.744707</v>
      </c>
      <c r="S44" s="8">
        <v>3216.638361</v>
      </c>
      <c r="T44" s="8">
        <v>3155.856921</v>
      </c>
      <c r="U44" s="8">
        <v>3082.652154</v>
      </c>
      <c r="V44" s="8">
        <v>2921.267773</v>
      </c>
      <c r="W44" s="8">
        <v>2672.604126</v>
      </c>
      <c r="X44" s="8">
        <v>2393.004475</v>
      </c>
      <c r="Y44" s="8">
        <v>2094.301368</v>
      </c>
      <c r="Z44" s="8">
        <v>1879.889325</v>
      </c>
      <c r="AA44" s="9">
        <f t="shared" si="1"/>
        <v>63242.64107</v>
      </c>
      <c r="AB44" s="9">
        <v>4.0</v>
      </c>
      <c r="AC44" s="9">
        <f t="shared" si="2"/>
        <v>252970.5643</v>
      </c>
      <c r="AD44" s="11"/>
    </row>
    <row r="45" ht="14.25" customHeight="1">
      <c r="A45" s="7">
        <v>46722.0</v>
      </c>
      <c r="B45" s="8" t="s">
        <v>36</v>
      </c>
      <c r="C45" s="8">
        <v>1740.94595</v>
      </c>
      <c r="D45" s="8">
        <v>1654.478322</v>
      </c>
      <c r="E45" s="8">
        <v>1574.591597</v>
      </c>
      <c r="F45" s="8">
        <v>1534.002811</v>
      </c>
      <c r="G45" s="8">
        <v>1499.780014</v>
      </c>
      <c r="H45" s="8">
        <v>1470.355259</v>
      </c>
      <c r="I45" s="8">
        <v>1517.883898</v>
      </c>
      <c r="J45" s="8">
        <v>1696.730625</v>
      </c>
      <c r="K45" s="8">
        <v>1931.959482</v>
      </c>
      <c r="L45" s="8">
        <v>2259.074969</v>
      </c>
      <c r="M45" s="8">
        <v>2523.326648</v>
      </c>
      <c r="N45" s="8">
        <v>2672.915063</v>
      </c>
      <c r="O45" s="8">
        <v>2724.442451</v>
      </c>
      <c r="P45" s="8">
        <v>2736.875839</v>
      </c>
      <c r="Q45" s="8">
        <v>2717.970834</v>
      </c>
      <c r="R45" s="8">
        <v>2704.809029</v>
      </c>
      <c r="S45" s="8">
        <v>2640.818988</v>
      </c>
      <c r="T45" s="8">
        <v>2576.744354</v>
      </c>
      <c r="U45" s="8">
        <v>2540.87496</v>
      </c>
      <c r="V45" s="8">
        <v>2414.274435</v>
      </c>
      <c r="W45" s="8">
        <v>2209.339587</v>
      </c>
      <c r="X45" s="8">
        <v>1973.991385</v>
      </c>
      <c r="Y45" s="8">
        <v>1762.25935</v>
      </c>
      <c r="Z45" s="8">
        <v>1609.021991</v>
      </c>
      <c r="AA45" s="9">
        <f t="shared" si="1"/>
        <v>50687.46784</v>
      </c>
      <c r="AB45" s="9">
        <v>5.0</v>
      </c>
      <c r="AC45" s="9">
        <f t="shared" si="2"/>
        <v>253437.3392</v>
      </c>
      <c r="AD45" s="12"/>
    </row>
    <row r="46" ht="14.25" customHeight="1">
      <c r="AB46" s="13" t="s">
        <v>32</v>
      </c>
      <c r="AC46" s="9">
        <f t="shared" ref="AC46:AD46" si="3">SUM(AC10:AC45)</f>
        <v>23672815.76</v>
      </c>
      <c r="AD46" s="9">
        <f t="shared" si="3"/>
        <v>23672815.76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</sheetData>
  <mergeCells count="16">
    <mergeCell ref="A1:AC1"/>
    <mergeCell ref="A2:AC2"/>
    <mergeCell ref="A3:AC3"/>
    <mergeCell ref="A4:AC4"/>
    <mergeCell ref="AD10:AD12"/>
    <mergeCell ref="AD13:AD15"/>
    <mergeCell ref="AD16:AD18"/>
    <mergeCell ref="AD40:AD42"/>
    <mergeCell ref="AD43:AD45"/>
    <mergeCell ref="AD19:AD21"/>
    <mergeCell ref="AD22:AD24"/>
    <mergeCell ref="AD25:AD27"/>
    <mergeCell ref="AD28:AD30"/>
    <mergeCell ref="AD31:AD33"/>
    <mergeCell ref="AD34:AD36"/>
    <mergeCell ref="AD37:AD39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71"/>
    <col customWidth="1" min="3" max="3" width="16.0"/>
    <col customWidth="1" min="4" max="4" width="13.0"/>
    <col customWidth="1" min="5" max="5" width="14.14"/>
    <col customWidth="1" min="6" max="6" width="10.71"/>
    <col customWidth="1" min="7" max="7" width="14.86"/>
    <col customWidth="1" min="8" max="19" width="10.71"/>
  </cols>
  <sheetData>
    <row r="1" ht="14.25" customHeight="1"/>
    <row r="2" ht="14.25" customHeight="1"/>
    <row r="3" ht="14.25" customHeight="1"/>
    <row r="4" ht="14.25" customHeight="1">
      <c r="A4" s="14" t="s">
        <v>3</v>
      </c>
    </row>
    <row r="5" ht="14.25" customHeight="1">
      <c r="A5" s="15"/>
      <c r="B5" s="14" t="s">
        <v>57</v>
      </c>
    </row>
    <row r="6" ht="14.25" customHeight="1">
      <c r="A6" s="15"/>
      <c r="B6" s="14" t="s">
        <v>38</v>
      </c>
    </row>
    <row r="7" ht="14.25" customHeight="1">
      <c r="A7" s="15"/>
      <c r="B7" s="17" t="s">
        <v>39</v>
      </c>
    </row>
    <row r="8" ht="14.25" customHeight="1">
      <c r="A8" s="15"/>
      <c r="B8" s="18" t="s">
        <v>40</v>
      </c>
    </row>
    <row r="9" ht="14.25" customHeight="1">
      <c r="A9" s="15"/>
      <c r="B9" s="17"/>
      <c r="C9" s="17"/>
      <c r="D9" s="17"/>
      <c r="E9" s="17"/>
    </row>
    <row r="10" ht="14.25" customHeight="1">
      <c r="A10" s="15"/>
      <c r="B10" s="47" t="s">
        <v>41</v>
      </c>
      <c r="C10" s="48"/>
      <c r="D10" s="48"/>
      <c r="E10" s="48"/>
      <c r="F10" s="49"/>
    </row>
    <row r="11">
      <c r="A11" s="15"/>
      <c r="B11" s="22" t="s">
        <v>4</v>
      </c>
      <c r="C11" s="23" t="s">
        <v>42</v>
      </c>
      <c r="D11" s="25" t="s">
        <v>43</v>
      </c>
      <c r="E11" s="25" t="s">
        <v>44</v>
      </c>
      <c r="F11" s="50" t="s">
        <v>45</v>
      </c>
    </row>
    <row r="12" ht="14.25" customHeight="1">
      <c r="A12" s="15"/>
      <c r="B12" s="57">
        <v>46418.0</v>
      </c>
      <c r="C12" s="51">
        <f>'Cant. Requeridas Producto 3'!AD10</f>
        <v>1981704.368</v>
      </c>
      <c r="D12" s="52"/>
      <c r="E12" s="58"/>
      <c r="F12" s="54"/>
    </row>
    <row r="13" ht="14.25" customHeight="1">
      <c r="A13" s="15"/>
      <c r="B13" s="57">
        <v>46419.0</v>
      </c>
      <c r="C13" s="51">
        <f>'Cant. Requeridas Producto 3'!AD13</f>
        <v>1835382.423</v>
      </c>
      <c r="D13" s="55"/>
      <c r="E13" s="53">
        <f t="shared" ref="E13:E23" si="1">C13*$D$13</f>
        <v>0</v>
      </c>
      <c r="F13" s="55"/>
    </row>
    <row r="14" ht="14.25" customHeight="1">
      <c r="A14" s="15"/>
      <c r="B14" s="57">
        <v>46447.0</v>
      </c>
      <c r="C14" s="51">
        <f>'Cant. Requeridas Producto 3'!AD16</f>
        <v>1987444.827</v>
      </c>
      <c r="D14" s="55"/>
      <c r="E14" s="53">
        <f t="shared" si="1"/>
        <v>0</v>
      </c>
      <c r="F14" s="55"/>
    </row>
    <row r="15" ht="14.25" customHeight="1">
      <c r="A15" s="15"/>
      <c r="B15" s="57">
        <v>46478.0</v>
      </c>
      <c r="C15" s="51">
        <f>'Cant. Requeridas Producto 3'!AD19</f>
        <v>1973348.622</v>
      </c>
      <c r="D15" s="55"/>
      <c r="E15" s="53">
        <f t="shared" si="1"/>
        <v>0</v>
      </c>
      <c r="F15" s="55"/>
    </row>
    <row r="16" ht="14.25" customHeight="1">
      <c r="A16" s="15"/>
      <c r="B16" s="57">
        <v>46508.0</v>
      </c>
      <c r="C16" s="53">
        <f>'Cant. Requeridas Producto 3'!AD22</f>
        <v>1981704.368</v>
      </c>
      <c r="D16" s="55"/>
      <c r="E16" s="53">
        <f t="shared" si="1"/>
        <v>0</v>
      </c>
      <c r="F16" s="55"/>
    </row>
    <row r="17" ht="14.25" customHeight="1">
      <c r="A17" s="15"/>
      <c r="B17" s="57">
        <v>46539.0</v>
      </c>
      <c r="C17" s="53">
        <f>'Cant. Requeridas Producto 3'!AD25</f>
        <v>1955052.991</v>
      </c>
      <c r="D17" s="55"/>
      <c r="E17" s="53">
        <f t="shared" si="1"/>
        <v>0</v>
      </c>
      <c r="F17" s="55"/>
    </row>
    <row r="18" ht="14.25" customHeight="1">
      <c r="A18" s="15"/>
      <c r="B18" s="57">
        <v>46569.0</v>
      </c>
      <c r="C18" s="53">
        <f>'Cant. Requeridas Producto 3'!AD28</f>
        <v>2000000</v>
      </c>
      <c r="D18" s="55"/>
      <c r="E18" s="53">
        <f t="shared" si="1"/>
        <v>0</v>
      </c>
      <c r="F18" s="55"/>
    </row>
    <row r="19" ht="14.25" customHeight="1">
      <c r="A19" s="15"/>
      <c r="B19" s="57">
        <v>46600.0</v>
      </c>
      <c r="C19" s="53">
        <f>'Cant. Requeridas Producto 3'!AD31</f>
        <v>2005740.458</v>
      </c>
      <c r="D19" s="55"/>
      <c r="E19" s="53">
        <f t="shared" si="1"/>
        <v>0</v>
      </c>
      <c r="F19" s="55"/>
    </row>
    <row r="20" ht="14.25" customHeight="1">
      <c r="A20" s="15"/>
      <c r="B20" s="57">
        <v>46631.0</v>
      </c>
      <c r="C20" s="53">
        <f>'Cant. Requeridas Producto 3'!AD34</f>
        <v>1973348.622</v>
      </c>
      <c r="D20" s="55"/>
      <c r="E20" s="53">
        <f t="shared" si="1"/>
        <v>0</v>
      </c>
      <c r="F20" s="55"/>
    </row>
    <row r="21" ht="14.25" customHeight="1">
      <c r="A21" s="15"/>
      <c r="B21" s="57">
        <v>46661.0</v>
      </c>
      <c r="C21" s="53">
        <f>'Cant. Requeridas Producto 3'!AD37</f>
        <v>2018295.632</v>
      </c>
      <c r="D21" s="55"/>
      <c r="E21" s="53">
        <f t="shared" si="1"/>
        <v>0</v>
      </c>
      <c r="F21" s="55"/>
    </row>
    <row r="22" ht="14.25" customHeight="1">
      <c r="A22" s="15"/>
      <c r="B22" s="57">
        <v>46692.0</v>
      </c>
      <c r="C22" s="51">
        <f>'Cant. Requeridas Producto 3'!AD40</f>
        <v>1936757.359</v>
      </c>
      <c r="D22" s="55"/>
      <c r="E22" s="53">
        <f t="shared" si="1"/>
        <v>0</v>
      </c>
      <c r="F22" s="55"/>
    </row>
    <row r="23" ht="14.25" customHeight="1">
      <c r="A23" s="15"/>
      <c r="B23" s="57">
        <v>46722.0</v>
      </c>
      <c r="C23" s="51">
        <f>'Cant. Requeridas Producto 3'!AD43</f>
        <v>2024036.09</v>
      </c>
      <c r="D23" s="56"/>
      <c r="E23" s="53">
        <f t="shared" si="1"/>
        <v>0</v>
      </c>
      <c r="F23" s="56"/>
    </row>
    <row r="24" ht="14.25" customHeight="1">
      <c r="A24" s="15"/>
      <c r="B24" s="37" t="s">
        <v>32</v>
      </c>
      <c r="C24" s="38">
        <f>SUM(C12:C23)</f>
        <v>23672815.76</v>
      </c>
      <c r="D24" s="39"/>
      <c r="E24" s="38">
        <f>SUM(E12:E23)</f>
        <v>0</v>
      </c>
      <c r="F24" s="39"/>
    </row>
    <row r="25" ht="14.25" customHeight="1">
      <c r="A25" s="15"/>
      <c r="B25" s="17"/>
      <c r="C25" s="40"/>
      <c r="D25" s="17"/>
      <c r="E25" s="17"/>
    </row>
    <row r="26" ht="14.25" customHeight="1">
      <c r="C26" s="41"/>
    </row>
    <row r="27" ht="30.0" customHeight="1">
      <c r="B27" s="42" t="s">
        <v>46</v>
      </c>
      <c r="E27" s="43"/>
    </row>
    <row r="28" ht="38.25" customHeight="1">
      <c r="B28" s="42" t="s">
        <v>58</v>
      </c>
      <c r="I28" s="42"/>
    </row>
    <row r="29" ht="44.25" customHeight="1">
      <c r="B29" s="42" t="s">
        <v>54</v>
      </c>
      <c r="I29" s="42"/>
    </row>
    <row r="30" ht="14.25" customHeight="1">
      <c r="B30" s="45"/>
    </row>
    <row r="31" ht="14.25" customHeight="1"/>
    <row r="32" ht="14.25" customHeight="1"/>
    <row r="33" ht="14.25" customHeight="1">
      <c r="B33" s="46"/>
      <c r="C33" s="46"/>
    </row>
    <row r="34" ht="14.25" customHeight="1">
      <c r="B34" s="4" t="s">
        <v>49</v>
      </c>
    </row>
    <row r="35" ht="14.25" customHeight="1">
      <c r="B35" s="4" t="s">
        <v>50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4">
    <mergeCell ref="D12:D23"/>
    <mergeCell ref="B27:D27"/>
    <mergeCell ref="B28:E28"/>
    <mergeCell ref="I28:N28"/>
    <mergeCell ref="B29:E29"/>
    <mergeCell ref="I29:N29"/>
    <mergeCell ref="B30:E30"/>
    <mergeCell ref="A4:F4"/>
    <mergeCell ref="B5:E5"/>
    <mergeCell ref="B6:E6"/>
    <mergeCell ref="B7:E7"/>
    <mergeCell ref="B8:E8"/>
    <mergeCell ref="B10:F10"/>
    <mergeCell ref="F12:F2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4" width="10.71"/>
    <col customWidth="1" min="5" max="5" width="11.29"/>
    <col customWidth="1" min="6" max="26" width="10.71"/>
    <col customWidth="1" min="27" max="27" width="13.43"/>
    <col customWidth="1" min="28" max="28" width="7.86"/>
    <col customWidth="1" min="29" max="30" width="18.43"/>
  </cols>
  <sheetData>
    <row r="1" ht="14.25" customHeight="1">
      <c r="A1" s="1" t="s">
        <v>0</v>
      </c>
      <c r="AD1" s="1"/>
    </row>
    <row r="2" ht="14.25" customHeight="1">
      <c r="A2" s="1" t="s">
        <v>59</v>
      </c>
      <c r="AD2" s="1"/>
    </row>
    <row r="3" ht="14.25" customHeight="1">
      <c r="A3" s="1" t="s">
        <v>60</v>
      </c>
      <c r="AD3" s="1"/>
    </row>
    <row r="4" ht="14.25" customHeight="1">
      <c r="A4" s="1" t="s">
        <v>3</v>
      </c>
      <c r="AD4" s="1"/>
    </row>
    <row r="5" ht="14.25" customHeight="1">
      <c r="A5" s="2"/>
      <c r="B5" s="3"/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4"/>
      <c r="X5" s="4"/>
      <c r="Y5" s="4"/>
      <c r="Z5" s="4"/>
      <c r="AA5" s="4"/>
      <c r="AB5" s="4"/>
    </row>
    <row r="6" ht="14.25" customHeight="1">
      <c r="A6" s="2"/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4"/>
      <c r="X6" s="4"/>
      <c r="Y6" s="4"/>
      <c r="Z6" s="4"/>
      <c r="AA6" s="4"/>
      <c r="AB6" s="4"/>
    </row>
    <row r="7" ht="14.25" customHeight="1">
      <c r="A7" s="2"/>
      <c r="B7" s="3"/>
      <c r="C7" s="3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4.25" customHeight="1">
      <c r="A8" s="2"/>
      <c r="B8" s="3"/>
      <c r="C8" s="3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4.25" customHeight="1">
      <c r="A9" s="5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6" t="s">
        <v>13</v>
      </c>
      <c r="K9" s="6" t="s">
        <v>14</v>
      </c>
      <c r="L9" s="6" t="s">
        <v>15</v>
      </c>
      <c r="M9" s="6" t="s">
        <v>16</v>
      </c>
      <c r="N9" s="6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  <c r="Z9" s="6" t="s">
        <v>29</v>
      </c>
      <c r="AA9" s="6" t="s">
        <v>30</v>
      </c>
      <c r="AB9" s="6" t="s">
        <v>31</v>
      </c>
      <c r="AC9" s="6" t="s">
        <v>32</v>
      </c>
      <c r="AD9" s="6" t="s">
        <v>33</v>
      </c>
    </row>
    <row r="10" ht="14.25" customHeight="1">
      <c r="A10" s="7">
        <v>46753.0</v>
      </c>
      <c r="B10" s="8" t="s">
        <v>34</v>
      </c>
      <c r="C10" s="8">
        <v>1789.42245</v>
      </c>
      <c r="D10" s="8">
        <v>1716.199226</v>
      </c>
      <c r="E10" s="8">
        <v>1675.242261</v>
      </c>
      <c r="F10" s="8">
        <v>1658.499934</v>
      </c>
      <c r="G10" s="8">
        <v>1684.074551</v>
      </c>
      <c r="H10" s="8">
        <v>1792.152715</v>
      </c>
      <c r="I10" s="8">
        <v>2168.520715</v>
      </c>
      <c r="J10" s="8">
        <v>2721.029537</v>
      </c>
      <c r="K10" s="8">
        <v>3183.272762</v>
      </c>
      <c r="L10" s="8">
        <v>3495.437472</v>
      </c>
      <c r="M10" s="8">
        <v>3749.40539</v>
      </c>
      <c r="N10" s="8">
        <v>3902.252663</v>
      </c>
      <c r="O10" s="8">
        <v>3850.922688</v>
      </c>
      <c r="P10" s="8">
        <v>3864.081001</v>
      </c>
      <c r="Q10" s="8">
        <v>3966.464102</v>
      </c>
      <c r="R10" s="8">
        <v>3968.138343</v>
      </c>
      <c r="S10" s="8">
        <v>3856.287608</v>
      </c>
      <c r="T10" s="8">
        <v>3598.872938</v>
      </c>
      <c r="U10" s="8">
        <v>3409.257046</v>
      </c>
      <c r="V10" s="8">
        <v>3193.822775</v>
      </c>
      <c r="W10" s="8">
        <v>2909.013839</v>
      </c>
      <c r="X10" s="8">
        <v>2585.22871</v>
      </c>
      <c r="Y10" s="8">
        <v>2240.427692</v>
      </c>
      <c r="Z10" s="8">
        <v>2005.072964</v>
      </c>
      <c r="AA10" s="9">
        <f t="shared" ref="AA10:AA45" si="1">SUM(C10:Z10)</f>
        <v>68983.09938</v>
      </c>
      <c r="AB10" s="9">
        <v>20.0</v>
      </c>
      <c r="AC10" s="9">
        <f t="shared" ref="AC10:AC45" si="2">AA10*AB10</f>
        <v>1379661.988</v>
      </c>
      <c r="AD10" s="10">
        <f>SUM(AC10:AC12)</f>
        <v>2000000</v>
      </c>
    </row>
    <row r="11" ht="14.25" customHeight="1">
      <c r="A11" s="7">
        <v>46753.0</v>
      </c>
      <c r="B11" s="8" t="s">
        <v>35</v>
      </c>
      <c r="C11" s="8">
        <v>1944.42122</v>
      </c>
      <c r="D11" s="8">
        <v>1842.912902</v>
      </c>
      <c r="E11" s="8">
        <v>1786.312658</v>
      </c>
      <c r="F11" s="8">
        <v>1742.435707</v>
      </c>
      <c r="G11" s="8">
        <v>1750.84291</v>
      </c>
      <c r="H11" s="8">
        <v>1757.986244</v>
      </c>
      <c r="I11" s="8">
        <v>2013.872788</v>
      </c>
      <c r="J11" s="8">
        <v>2472.636506</v>
      </c>
      <c r="K11" s="8">
        <v>2908.449371</v>
      </c>
      <c r="L11" s="8">
        <v>3248.819029</v>
      </c>
      <c r="M11" s="8">
        <v>3461.218666</v>
      </c>
      <c r="N11" s="8">
        <v>3558.693026</v>
      </c>
      <c r="O11" s="8">
        <v>3458.85554</v>
      </c>
      <c r="P11" s="8">
        <v>3349.234037</v>
      </c>
      <c r="Q11" s="8">
        <v>3273.991256</v>
      </c>
      <c r="R11" s="8">
        <v>3255.744707</v>
      </c>
      <c r="S11" s="8">
        <v>3216.638361</v>
      </c>
      <c r="T11" s="8">
        <v>3155.856921</v>
      </c>
      <c r="U11" s="8">
        <v>3082.652154</v>
      </c>
      <c r="V11" s="8">
        <v>2921.267773</v>
      </c>
      <c r="W11" s="8">
        <v>2672.604126</v>
      </c>
      <c r="X11" s="8">
        <v>2393.004475</v>
      </c>
      <c r="Y11" s="8">
        <v>2094.301368</v>
      </c>
      <c r="Z11" s="8">
        <v>1879.889325</v>
      </c>
      <c r="AA11" s="9">
        <f t="shared" si="1"/>
        <v>63242.64107</v>
      </c>
      <c r="AB11" s="9">
        <v>5.0</v>
      </c>
      <c r="AC11" s="9">
        <f t="shared" si="2"/>
        <v>316213.2054</v>
      </c>
      <c r="AD11" s="11"/>
    </row>
    <row r="12" ht="14.25" customHeight="1">
      <c r="A12" s="7">
        <v>46753.0</v>
      </c>
      <c r="B12" s="8" t="s">
        <v>36</v>
      </c>
      <c r="C12" s="8">
        <v>1740.94595</v>
      </c>
      <c r="D12" s="8">
        <v>1654.478322</v>
      </c>
      <c r="E12" s="8">
        <v>1574.591597</v>
      </c>
      <c r="F12" s="8">
        <v>1534.002811</v>
      </c>
      <c r="G12" s="8">
        <v>1499.780014</v>
      </c>
      <c r="H12" s="8">
        <v>1470.355259</v>
      </c>
      <c r="I12" s="8">
        <v>1517.883898</v>
      </c>
      <c r="J12" s="8">
        <v>1696.730625</v>
      </c>
      <c r="K12" s="8">
        <v>1931.959482</v>
      </c>
      <c r="L12" s="8">
        <v>2259.074969</v>
      </c>
      <c r="M12" s="8">
        <v>2523.326648</v>
      </c>
      <c r="N12" s="8">
        <v>2672.915063</v>
      </c>
      <c r="O12" s="8">
        <v>2724.442451</v>
      </c>
      <c r="P12" s="8">
        <v>2736.875839</v>
      </c>
      <c r="Q12" s="8">
        <v>2717.970834</v>
      </c>
      <c r="R12" s="8">
        <v>2704.809029</v>
      </c>
      <c r="S12" s="8">
        <v>2640.818988</v>
      </c>
      <c r="T12" s="8">
        <v>2576.744354</v>
      </c>
      <c r="U12" s="8">
        <v>2540.87496</v>
      </c>
      <c r="V12" s="8">
        <v>2414.274435</v>
      </c>
      <c r="W12" s="8">
        <v>2209.339587</v>
      </c>
      <c r="X12" s="8">
        <v>1973.991385</v>
      </c>
      <c r="Y12" s="8">
        <v>1762.25935</v>
      </c>
      <c r="Z12" s="8">
        <v>1609.021991</v>
      </c>
      <c r="AA12" s="9">
        <f t="shared" si="1"/>
        <v>50687.46784</v>
      </c>
      <c r="AB12" s="9">
        <v>6.0</v>
      </c>
      <c r="AC12" s="9">
        <f t="shared" si="2"/>
        <v>304124.807</v>
      </c>
      <c r="AD12" s="12"/>
    </row>
    <row r="13" ht="14.25" customHeight="1">
      <c r="A13" s="7">
        <v>46784.0</v>
      </c>
      <c r="B13" s="8" t="s">
        <v>34</v>
      </c>
      <c r="C13" s="8">
        <v>1789.42245</v>
      </c>
      <c r="D13" s="8">
        <v>1716.199226</v>
      </c>
      <c r="E13" s="8">
        <v>1675.242261</v>
      </c>
      <c r="F13" s="8">
        <v>1658.499934</v>
      </c>
      <c r="G13" s="8">
        <v>1684.074551</v>
      </c>
      <c r="H13" s="8">
        <v>1792.152715</v>
      </c>
      <c r="I13" s="8">
        <v>2168.520715</v>
      </c>
      <c r="J13" s="8">
        <v>2721.029537</v>
      </c>
      <c r="K13" s="8">
        <v>3183.272762</v>
      </c>
      <c r="L13" s="8">
        <v>3495.437472</v>
      </c>
      <c r="M13" s="8">
        <v>3749.40539</v>
      </c>
      <c r="N13" s="8">
        <v>3902.252663</v>
      </c>
      <c r="O13" s="8">
        <v>3850.922688</v>
      </c>
      <c r="P13" s="8">
        <v>3864.081001</v>
      </c>
      <c r="Q13" s="8">
        <v>3966.464102</v>
      </c>
      <c r="R13" s="8">
        <v>3968.138343</v>
      </c>
      <c r="S13" s="8">
        <v>3856.287608</v>
      </c>
      <c r="T13" s="8">
        <v>3598.872938</v>
      </c>
      <c r="U13" s="8">
        <v>3409.257046</v>
      </c>
      <c r="V13" s="8">
        <v>3193.822775</v>
      </c>
      <c r="W13" s="8">
        <v>2909.013839</v>
      </c>
      <c r="X13" s="8">
        <v>2585.22871</v>
      </c>
      <c r="Y13" s="8">
        <v>2240.427692</v>
      </c>
      <c r="Z13" s="8">
        <v>2005.072964</v>
      </c>
      <c r="AA13" s="9">
        <f t="shared" si="1"/>
        <v>68983.09938</v>
      </c>
      <c r="AB13" s="9">
        <v>21.0</v>
      </c>
      <c r="AC13" s="9">
        <f t="shared" si="2"/>
        <v>1448645.087</v>
      </c>
      <c r="AD13" s="10">
        <f>SUM(AC13:AC15)</f>
        <v>1904365.523</v>
      </c>
    </row>
    <row r="14" ht="14.25" customHeight="1">
      <c r="A14" s="7">
        <v>46784.0</v>
      </c>
      <c r="B14" s="8" t="s">
        <v>35</v>
      </c>
      <c r="C14" s="8">
        <v>1944.42122</v>
      </c>
      <c r="D14" s="8">
        <v>1842.912902</v>
      </c>
      <c r="E14" s="8">
        <v>1786.312658</v>
      </c>
      <c r="F14" s="8">
        <v>1742.435707</v>
      </c>
      <c r="G14" s="8">
        <v>1750.84291</v>
      </c>
      <c r="H14" s="8">
        <v>1757.986244</v>
      </c>
      <c r="I14" s="8">
        <v>2013.872788</v>
      </c>
      <c r="J14" s="8">
        <v>2472.636506</v>
      </c>
      <c r="K14" s="8">
        <v>2908.449371</v>
      </c>
      <c r="L14" s="8">
        <v>3248.819029</v>
      </c>
      <c r="M14" s="8">
        <v>3461.218666</v>
      </c>
      <c r="N14" s="8">
        <v>3558.693026</v>
      </c>
      <c r="O14" s="8">
        <v>3458.85554</v>
      </c>
      <c r="P14" s="8">
        <v>3349.234037</v>
      </c>
      <c r="Q14" s="8">
        <v>3273.991256</v>
      </c>
      <c r="R14" s="8">
        <v>3255.744707</v>
      </c>
      <c r="S14" s="8">
        <v>3216.638361</v>
      </c>
      <c r="T14" s="8">
        <v>3155.856921</v>
      </c>
      <c r="U14" s="8">
        <v>3082.652154</v>
      </c>
      <c r="V14" s="8">
        <v>2921.267773</v>
      </c>
      <c r="W14" s="8">
        <v>2672.604126</v>
      </c>
      <c r="X14" s="8">
        <v>2393.004475</v>
      </c>
      <c r="Y14" s="8">
        <v>2094.301368</v>
      </c>
      <c r="Z14" s="8">
        <v>1879.889325</v>
      </c>
      <c r="AA14" s="9">
        <f t="shared" si="1"/>
        <v>63242.64107</v>
      </c>
      <c r="AB14" s="9">
        <v>4.0</v>
      </c>
      <c r="AC14" s="9">
        <f t="shared" si="2"/>
        <v>252970.5643</v>
      </c>
      <c r="AD14" s="11"/>
    </row>
    <row r="15" ht="14.25" customHeight="1">
      <c r="A15" s="7">
        <v>46784.0</v>
      </c>
      <c r="B15" s="8" t="s">
        <v>36</v>
      </c>
      <c r="C15" s="8">
        <v>1740.94595</v>
      </c>
      <c r="D15" s="8">
        <v>1654.478322</v>
      </c>
      <c r="E15" s="8">
        <v>1574.591597</v>
      </c>
      <c r="F15" s="8">
        <v>1534.002811</v>
      </c>
      <c r="G15" s="8">
        <v>1499.780014</v>
      </c>
      <c r="H15" s="8">
        <v>1470.355259</v>
      </c>
      <c r="I15" s="8">
        <v>1517.883898</v>
      </c>
      <c r="J15" s="8">
        <v>1696.730625</v>
      </c>
      <c r="K15" s="8">
        <v>1931.959482</v>
      </c>
      <c r="L15" s="8">
        <v>2259.074969</v>
      </c>
      <c r="M15" s="8">
        <v>2523.326648</v>
      </c>
      <c r="N15" s="8">
        <v>2672.915063</v>
      </c>
      <c r="O15" s="8">
        <v>2724.442451</v>
      </c>
      <c r="P15" s="8">
        <v>2736.875839</v>
      </c>
      <c r="Q15" s="8">
        <v>2717.970834</v>
      </c>
      <c r="R15" s="8">
        <v>2704.809029</v>
      </c>
      <c r="S15" s="8">
        <v>2640.818988</v>
      </c>
      <c r="T15" s="8">
        <v>2576.744354</v>
      </c>
      <c r="U15" s="8">
        <v>2540.87496</v>
      </c>
      <c r="V15" s="8">
        <v>2414.274435</v>
      </c>
      <c r="W15" s="8">
        <v>2209.339587</v>
      </c>
      <c r="X15" s="8">
        <v>1973.991385</v>
      </c>
      <c r="Y15" s="8">
        <v>1762.25935</v>
      </c>
      <c r="Z15" s="8">
        <v>1609.021991</v>
      </c>
      <c r="AA15" s="9">
        <f t="shared" si="1"/>
        <v>50687.46784</v>
      </c>
      <c r="AB15" s="9">
        <v>4.0</v>
      </c>
      <c r="AC15" s="9">
        <f t="shared" si="2"/>
        <v>202749.8714</v>
      </c>
      <c r="AD15" s="12"/>
    </row>
    <row r="16" ht="14.25" customHeight="1">
      <c r="A16" s="7">
        <v>46813.0</v>
      </c>
      <c r="B16" s="8" t="s">
        <v>34</v>
      </c>
      <c r="C16" s="8">
        <v>1789.42245</v>
      </c>
      <c r="D16" s="8">
        <v>1716.199226</v>
      </c>
      <c r="E16" s="8">
        <v>1675.242261</v>
      </c>
      <c r="F16" s="8">
        <v>1658.499934</v>
      </c>
      <c r="G16" s="8">
        <v>1684.074551</v>
      </c>
      <c r="H16" s="8">
        <v>1792.152715</v>
      </c>
      <c r="I16" s="8">
        <v>2168.520715</v>
      </c>
      <c r="J16" s="8">
        <v>2721.029537</v>
      </c>
      <c r="K16" s="8">
        <v>3183.272762</v>
      </c>
      <c r="L16" s="8">
        <v>3495.437472</v>
      </c>
      <c r="M16" s="8">
        <v>3749.40539</v>
      </c>
      <c r="N16" s="8">
        <v>3902.252663</v>
      </c>
      <c r="O16" s="8">
        <v>3850.922688</v>
      </c>
      <c r="P16" s="8">
        <v>3864.081001</v>
      </c>
      <c r="Q16" s="8">
        <v>3966.464102</v>
      </c>
      <c r="R16" s="8">
        <v>3968.138343</v>
      </c>
      <c r="S16" s="8">
        <v>3856.287608</v>
      </c>
      <c r="T16" s="8">
        <v>3598.872938</v>
      </c>
      <c r="U16" s="8">
        <v>3409.257046</v>
      </c>
      <c r="V16" s="8">
        <v>3193.822775</v>
      </c>
      <c r="W16" s="8">
        <v>2909.013839</v>
      </c>
      <c r="X16" s="8">
        <v>2585.22871</v>
      </c>
      <c r="Y16" s="8">
        <v>2240.427692</v>
      </c>
      <c r="Z16" s="8">
        <v>2005.072964</v>
      </c>
      <c r="AA16" s="9">
        <f t="shared" si="1"/>
        <v>68983.09938</v>
      </c>
      <c r="AB16" s="9">
        <v>22.0</v>
      </c>
      <c r="AC16" s="9">
        <f t="shared" si="2"/>
        <v>1517628.186</v>
      </c>
      <c r="AD16" s="10">
        <f>SUM(AC16:AC18)</f>
        <v>2024036.09</v>
      </c>
    </row>
    <row r="17" ht="14.25" customHeight="1">
      <c r="A17" s="7">
        <v>46813.0</v>
      </c>
      <c r="B17" s="8" t="s">
        <v>35</v>
      </c>
      <c r="C17" s="8">
        <v>1944.42122</v>
      </c>
      <c r="D17" s="8">
        <v>1842.912902</v>
      </c>
      <c r="E17" s="8">
        <v>1786.312658</v>
      </c>
      <c r="F17" s="8">
        <v>1742.435707</v>
      </c>
      <c r="G17" s="8">
        <v>1750.84291</v>
      </c>
      <c r="H17" s="8">
        <v>1757.986244</v>
      </c>
      <c r="I17" s="8">
        <v>2013.872788</v>
      </c>
      <c r="J17" s="8">
        <v>2472.636506</v>
      </c>
      <c r="K17" s="8">
        <v>2908.449371</v>
      </c>
      <c r="L17" s="8">
        <v>3248.819029</v>
      </c>
      <c r="M17" s="8">
        <v>3461.218666</v>
      </c>
      <c r="N17" s="8">
        <v>3558.693026</v>
      </c>
      <c r="O17" s="8">
        <v>3458.85554</v>
      </c>
      <c r="P17" s="8">
        <v>3349.234037</v>
      </c>
      <c r="Q17" s="8">
        <v>3273.991256</v>
      </c>
      <c r="R17" s="8">
        <v>3255.744707</v>
      </c>
      <c r="S17" s="8">
        <v>3216.638361</v>
      </c>
      <c r="T17" s="8">
        <v>3155.856921</v>
      </c>
      <c r="U17" s="8">
        <v>3082.652154</v>
      </c>
      <c r="V17" s="8">
        <v>2921.267773</v>
      </c>
      <c r="W17" s="8">
        <v>2672.604126</v>
      </c>
      <c r="X17" s="8">
        <v>2393.004475</v>
      </c>
      <c r="Y17" s="8">
        <v>2094.301368</v>
      </c>
      <c r="Z17" s="8">
        <v>1879.889325</v>
      </c>
      <c r="AA17" s="9">
        <f t="shared" si="1"/>
        <v>63242.64107</v>
      </c>
      <c r="AB17" s="9">
        <v>4.0</v>
      </c>
      <c r="AC17" s="9">
        <f t="shared" si="2"/>
        <v>252970.5643</v>
      </c>
      <c r="AD17" s="11"/>
    </row>
    <row r="18" ht="14.25" customHeight="1">
      <c r="A18" s="7">
        <v>46813.0</v>
      </c>
      <c r="B18" s="8" t="s">
        <v>36</v>
      </c>
      <c r="C18" s="8">
        <v>1740.94595</v>
      </c>
      <c r="D18" s="8">
        <v>1654.478322</v>
      </c>
      <c r="E18" s="8">
        <v>1574.591597</v>
      </c>
      <c r="F18" s="8">
        <v>1534.002811</v>
      </c>
      <c r="G18" s="8">
        <v>1499.780014</v>
      </c>
      <c r="H18" s="8">
        <v>1470.355259</v>
      </c>
      <c r="I18" s="8">
        <v>1517.883898</v>
      </c>
      <c r="J18" s="8">
        <v>1696.730625</v>
      </c>
      <c r="K18" s="8">
        <v>1931.959482</v>
      </c>
      <c r="L18" s="8">
        <v>2259.074969</v>
      </c>
      <c r="M18" s="8">
        <v>2523.326648</v>
      </c>
      <c r="N18" s="8">
        <v>2672.915063</v>
      </c>
      <c r="O18" s="8">
        <v>2724.442451</v>
      </c>
      <c r="P18" s="8">
        <v>2736.875839</v>
      </c>
      <c r="Q18" s="8">
        <v>2717.970834</v>
      </c>
      <c r="R18" s="8">
        <v>2704.809029</v>
      </c>
      <c r="S18" s="8">
        <v>2640.818988</v>
      </c>
      <c r="T18" s="8">
        <v>2576.744354</v>
      </c>
      <c r="U18" s="8">
        <v>2540.87496</v>
      </c>
      <c r="V18" s="8">
        <v>2414.274435</v>
      </c>
      <c r="W18" s="8">
        <v>2209.339587</v>
      </c>
      <c r="X18" s="8">
        <v>1973.991385</v>
      </c>
      <c r="Y18" s="8">
        <v>1762.25935</v>
      </c>
      <c r="Z18" s="8">
        <v>1609.021991</v>
      </c>
      <c r="AA18" s="9">
        <f t="shared" si="1"/>
        <v>50687.46784</v>
      </c>
      <c r="AB18" s="9">
        <v>5.0</v>
      </c>
      <c r="AC18" s="9">
        <f t="shared" si="2"/>
        <v>253437.3392</v>
      </c>
      <c r="AD18" s="12"/>
    </row>
    <row r="19" ht="14.25" customHeight="1">
      <c r="A19" s="7">
        <v>46844.0</v>
      </c>
      <c r="B19" s="8" t="s">
        <v>34</v>
      </c>
      <c r="C19" s="8">
        <v>1789.42245</v>
      </c>
      <c r="D19" s="8">
        <v>1716.199226</v>
      </c>
      <c r="E19" s="8">
        <v>1675.242261</v>
      </c>
      <c r="F19" s="8">
        <v>1658.499934</v>
      </c>
      <c r="G19" s="8">
        <v>1684.074551</v>
      </c>
      <c r="H19" s="8">
        <v>1792.152715</v>
      </c>
      <c r="I19" s="8">
        <v>2168.520715</v>
      </c>
      <c r="J19" s="8">
        <v>2721.029537</v>
      </c>
      <c r="K19" s="8">
        <v>3183.272762</v>
      </c>
      <c r="L19" s="8">
        <v>3495.437472</v>
      </c>
      <c r="M19" s="8">
        <v>3749.40539</v>
      </c>
      <c r="N19" s="8">
        <v>3902.252663</v>
      </c>
      <c r="O19" s="8">
        <v>3850.922688</v>
      </c>
      <c r="P19" s="8">
        <v>3864.081001</v>
      </c>
      <c r="Q19" s="8">
        <v>3966.464102</v>
      </c>
      <c r="R19" s="8">
        <v>3968.138343</v>
      </c>
      <c r="S19" s="8">
        <v>3856.287608</v>
      </c>
      <c r="T19" s="8">
        <v>3598.872938</v>
      </c>
      <c r="U19" s="8">
        <v>3409.257046</v>
      </c>
      <c r="V19" s="8">
        <v>3193.822775</v>
      </c>
      <c r="W19" s="8">
        <v>2909.013839</v>
      </c>
      <c r="X19" s="8">
        <v>2585.22871</v>
      </c>
      <c r="Y19" s="8">
        <v>2240.427692</v>
      </c>
      <c r="Z19" s="8">
        <v>2005.072964</v>
      </c>
      <c r="AA19" s="9">
        <f t="shared" si="1"/>
        <v>68983.09938</v>
      </c>
      <c r="AB19" s="9">
        <v>18.0</v>
      </c>
      <c r="AC19" s="9">
        <f t="shared" si="2"/>
        <v>1241695.789</v>
      </c>
      <c r="AD19" s="10">
        <f>SUM(AC19:AC21)</f>
        <v>1912721.269</v>
      </c>
    </row>
    <row r="20" ht="14.25" customHeight="1">
      <c r="A20" s="7">
        <v>46844.0</v>
      </c>
      <c r="B20" s="8" t="s">
        <v>35</v>
      </c>
      <c r="C20" s="8">
        <v>1944.42122</v>
      </c>
      <c r="D20" s="8">
        <v>1842.912902</v>
      </c>
      <c r="E20" s="8">
        <v>1786.312658</v>
      </c>
      <c r="F20" s="8">
        <v>1742.435707</v>
      </c>
      <c r="G20" s="8">
        <v>1750.84291</v>
      </c>
      <c r="H20" s="8">
        <v>1757.986244</v>
      </c>
      <c r="I20" s="8">
        <v>2013.872788</v>
      </c>
      <c r="J20" s="8">
        <v>2472.636506</v>
      </c>
      <c r="K20" s="8">
        <v>2908.449371</v>
      </c>
      <c r="L20" s="8">
        <v>3248.819029</v>
      </c>
      <c r="M20" s="8">
        <v>3461.218666</v>
      </c>
      <c r="N20" s="8">
        <v>3558.693026</v>
      </c>
      <c r="O20" s="8">
        <v>3458.85554</v>
      </c>
      <c r="P20" s="8">
        <v>3349.234037</v>
      </c>
      <c r="Q20" s="8">
        <v>3273.991256</v>
      </c>
      <c r="R20" s="8">
        <v>3255.744707</v>
      </c>
      <c r="S20" s="8">
        <v>3216.638361</v>
      </c>
      <c r="T20" s="8">
        <v>3155.856921</v>
      </c>
      <c r="U20" s="8">
        <v>3082.652154</v>
      </c>
      <c r="V20" s="8">
        <v>2921.267773</v>
      </c>
      <c r="W20" s="8">
        <v>2672.604126</v>
      </c>
      <c r="X20" s="8">
        <v>2393.004475</v>
      </c>
      <c r="Y20" s="8">
        <v>2094.301368</v>
      </c>
      <c r="Z20" s="8">
        <v>1879.889325</v>
      </c>
      <c r="AA20" s="9">
        <f t="shared" si="1"/>
        <v>63242.64107</v>
      </c>
      <c r="AB20" s="9">
        <v>5.0</v>
      </c>
      <c r="AC20" s="9">
        <f t="shared" si="2"/>
        <v>316213.2054</v>
      </c>
      <c r="AD20" s="11"/>
    </row>
    <row r="21" ht="14.25" customHeight="1">
      <c r="A21" s="7">
        <v>46844.0</v>
      </c>
      <c r="B21" s="8" t="s">
        <v>36</v>
      </c>
      <c r="C21" s="8">
        <v>1740.94595</v>
      </c>
      <c r="D21" s="8">
        <v>1654.478322</v>
      </c>
      <c r="E21" s="8">
        <v>1574.591597</v>
      </c>
      <c r="F21" s="8">
        <v>1534.002811</v>
      </c>
      <c r="G21" s="8">
        <v>1499.780014</v>
      </c>
      <c r="H21" s="8">
        <v>1470.355259</v>
      </c>
      <c r="I21" s="8">
        <v>1517.883898</v>
      </c>
      <c r="J21" s="8">
        <v>1696.730625</v>
      </c>
      <c r="K21" s="8">
        <v>1931.959482</v>
      </c>
      <c r="L21" s="8">
        <v>2259.074969</v>
      </c>
      <c r="M21" s="8">
        <v>2523.326648</v>
      </c>
      <c r="N21" s="8">
        <v>2672.915063</v>
      </c>
      <c r="O21" s="8">
        <v>2724.442451</v>
      </c>
      <c r="P21" s="8">
        <v>2736.875839</v>
      </c>
      <c r="Q21" s="8">
        <v>2717.970834</v>
      </c>
      <c r="R21" s="8">
        <v>2704.809029</v>
      </c>
      <c r="S21" s="8">
        <v>2640.818988</v>
      </c>
      <c r="T21" s="8">
        <v>2576.744354</v>
      </c>
      <c r="U21" s="8">
        <v>2540.87496</v>
      </c>
      <c r="V21" s="8">
        <v>2414.274435</v>
      </c>
      <c r="W21" s="8">
        <v>2209.339587</v>
      </c>
      <c r="X21" s="8">
        <v>1973.991385</v>
      </c>
      <c r="Y21" s="8">
        <v>1762.25935</v>
      </c>
      <c r="Z21" s="8">
        <v>1609.021991</v>
      </c>
      <c r="AA21" s="9">
        <f t="shared" si="1"/>
        <v>50687.46784</v>
      </c>
      <c r="AB21" s="9">
        <v>7.0</v>
      </c>
      <c r="AC21" s="9">
        <f t="shared" si="2"/>
        <v>354812.2749</v>
      </c>
      <c r="AD21" s="12"/>
    </row>
    <row r="22" ht="14.25" customHeight="1">
      <c r="A22" s="7">
        <v>46874.0</v>
      </c>
      <c r="B22" s="8" t="s">
        <v>34</v>
      </c>
      <c r="C22" s="8">
        <v>1789.42245</v>
      </c>
      <c r="D22" s="8">
        <v>1716.199226</v>
      </c>
      <c r="E22" s="8">
        <v>1675.242261</v>
      </c>
      <c r="F22" s="8">
        <v>1658.499934</v>
      </c>
      <c r="G22" s="8">
        <v>1684.074551</v>
      </c>
      <c r="H22" s="8">
        <v>1792.152715</v>
      </c>
      <c r="I22" s="8">
        <v>2168.520715</v>
      </c>
      <c r="J22" s="8">
        <v>2721.029537</v>
      </c>
      <c r="K22" s="8">
        <v>3183.272762</v>
      </c>
      <c r="L22" s="8">
        <v>3495.437472</v>
      </c>
      <c r="M22" s="8">
        <v>3749.40539</v>
      </c>
      <c r="N22" s="8">
        <v>3902.252663</v>
      </c>
      <c r="O22" s="8">
        <v>3850.922688</v>
      </c>
      <c r="P22" s="8">
        <v>3864.081001</v>
      </c>
      <c r="Q22" s="8">
        <v>3966.464102</v>
      </c>
      <c r="R22" s="8">
        <v>3968.138343</v>
      </c>
      <c r="S22" s="8">
        <v>3856.287608</v>
      </c>
      <c r="T22" s="8">
        <v>3598.872938</v>
      </c>
      <c r="U22" s="8">
        <v>3409.257046</v>
      </c>
      <c r="V22" s="8">
        <v>3193.822775</v>
      </c>
      <c r="W22" s="8">
        <v>2909.013839</v>
      </c>
      <c r="X22" s="8">
        <v>2585.22871</v>
      </c>
      <c r="Y22" s="8">
        <v>2240.427692</v>
      </c>
      <c r="Z22" s="8">
        <v>2005.072964</v>
      </c>
      <c r="AA22" s="9">
        <f t="shared" si="1"/>
        <v>68983.09938</v>
      </c>
      <c r="AB22" s="9">
        <v>21.0</v>
      </c>
      <c r="AC22" s="9">
        <f t="shared" si="2"/>
        <v>1448645.087</v>
      </c>
      <c r="AD22" s="10">
        <f>SUM(AC22:AC24)</f>
        <v>2005740.458</v>
      </c>
    </row>
    <row r="23" ht="14.25" customHeight="1">
      <c r="A23" s="7">
        <v>46874.0</v>
      </c>
      <c r="B23" s="8" t="s">
        <v>35</v>
      </c>
      <c r="C23" s="8">
        <v>1944.42122</v>
      </c>
      <c r="D23" s="8">
        <v>1842.912902</v>
      </c>
      <c r="E23" s="8">
        <v>1786.312658</v>
      </c>
      <c r="F23" s="8">
        <v>1742.435707</v>
      </c>
      <c r="G23" s="8">
        <v>1750.84291</v>
      </c>
      <c r="H23" s="8">
        <v>1757.986244</v>
      </c>
      <c r="I23" s="8">
        <v>2013.872788</v>
      </c>
      <c r="J23" s="8">
        <v>2472.636506</v>
      </c>
      <c r="K23" s="8">
        <v>2908.449371</v>
      </c>
      <c r="L23" s="8">
        <v>3248.819029</v>
      </c>
      <c r="M23" s="8">
        <v>3461.218666</v>
      </c>
      <c r="N23" s="8">
        <v>3558.693026</v>
      </c>
      <c r="O23" s="8">
        <v>3458.85554</v>
      </c>
      <c r="P23" s="8">
        <v>3349.234037</v>
      </c>
      <c r="Q23" s="8">
        <v>3273.991256</v>
      </c>
      <c r="R23" s="8">
        <v>3255.744707</v>
      </c>
      <c r="S23" s="8">
        <v>3216.638361</v>
      </c>
      <c r="T23" s="8">
        <v>3155.856921</v>
      </c>
      <c r="U23" s="8">
        <v>3082.652154</v>
      </c>
      <c r="V23" s="8">
        <v>2921.267773</v>
      </c>
      <c r="W23" s="8">
        <v>2672.604126</v>
      </c>
      <c r="X23" s="8">
        <v>2393.004475</v>
      </c>
      <c r="Y23" s="8">
        <v>2094.301368</v>
      </c>
      <c r="Z23" s="8">
        <v>1879.889325</v>
      </c>
      <c r="AA23" s="9">
        <f t="shared" si="1"/>
        <v>63242.64107</v>
      </c>
      <c r="AB23" s="9">
        <v>4.0</v>
      </c>
      <c r="AC23" s="9">
        <f t="shared" si="2"/>
        <v>252970.5643</v>
      </c>
      <c r="AD23" s="11"/>
    </row>
    <row r="24" ht="14.25" customHeight="1">
      <c r="A24" s="7">
        <v>46874.0</v>
      </c>
      <c r="B24" s="8" t="s">
        <v>36</v>
      </c>
      <c r="C24" s="8">
        <v>1740.94595</v>
      </c>
      <c r="D24" s="8">
        <v>1654.478322</v>
      </c>
      <c r="E24" s="8">
        <v>1574.591597</v>
      </c>
      <c r="F24" s="8">
        <v>1534.002811</v>
      </c>
      <c r="G24" s="8">
        <v>1499.780014</v>
      </c>
      <c r="H24" s="8">
        <v>1470.355259</v>
      </c>
      <c r="I24" s="8">
        <v>1517.883898</v>
      </c>
      <c r="J24" s="8">
        <v>1696.730625</v>
      </c>
      <c r="K24" s="8">
        <v>1931.959482</v>
      </c>
      <c r="L24" s="8">
        <v>2259.074969</v>
      </c>
      <c r="M24" s="8">
        <v>2523.326648</v>
      </c>
      <c r="N24" s="8">
        <v>2672.915063</v>
      </c>
      <c r="O24" s="8">
        <v>2724.442451</v>
      </c>
      <c r="P24" s="8">
        <v>2736.875839</v>
      </c>
      <c r="Q24" s="8">
        <v>2717.970834</v>
      </c>
      <c r="R24" s="8">
        <v>2704.809029</v>
      </c>
      <c r="S24" s="8">
        <v>2640.818988</v>
      </c>
      <c r="T24" s="8">
        <v>2576.744354</v>
      </c>
      <c r="U24" s="8">
        <v>2540.87496</v>
      </c>
      <c r="V24" s="8">
        <v>2414.274435</v>
      </c>
      <c r="W24" s="8">
        <v>2209.339587</v>
      </c>
      <c r="X24" s="8">
        <v>1973.991385</v>
      </c>
      <c r="Y24" s="8">
        <v>1762.25935</v>
      </c>
      <c r="Z24" s="8">
        <v>1609.021991</v>
      </c>
      <c r="AA24" s="9">
        <f t="shared" si="1"/>
        <v>50687.46784</v>
      </c>
      <c r="AB24" s="9">
        <v>6.0</v>
      </c>
      <c r="AC24" s="9">
        <f t="shared" si="2"/>
        <v>304124.807</v>
      </c>
      <c r="AD24" s="12"/>
    </row>
    <row r="25" ht="14.25" customHeight="1">
      <c r="A25" s="7">
        <v>46905.0</v>
      </c>
      <c r="B25" s="8" t="s">
        <v>34</v>
      </c>
      <c r="C25" s="8">
        <v>1789.42245</v>
      </c>
      <c r="D25" s="8">
        <v>1716.199226</v>
      </c>
      <c r="E25" s="8">
        <v>1675.242261</v>
      </c>
      <c r="F25" s="8">
        <v>1658.499934</v>
      </c>
      <c r="G25" s="8">
        <v>1684.074551</v>
      </c>
      <c r="H25" s="8">
        <v>1792.152715</v>
      </c>
      <c r="I25" s="8">
        <v>2168.520715</v>
      </c>
      <c r="J25" s="8">
        <v>2721.029537</v>
      </c>
      <c r="K25" s="8">
        <v>3183.272762</v>
      </c>
      <c r="L25" s="8">
        <v>3495.437472</v>
      </c>
      <c r="M25" s="8">
        <v>3749.40539</v>
      </c>
      <c r="N25" s="8">
        <v>3902.252663</v>
      </c>
      <c r="O25" s="8">
        <v>3850.922688</v>
      </c>
      <c r="P25" s="8">
        <v>3864.081001</v>
      </c>
      <c r="Q25" s="8">
        <v>3966.464102</v>
      </c>
      <c r="R25" s="8">
        <v>3968.138343</v>
      </c>
      <c r="S25" s="8">
        <v>3856.287608</v>
      </c>
      <c r="T25" s="8">
        <v>3598.872938</v>
      </c>
      <c r="U25" s="8">
        <v>3409.257046</v>
      </c>
      <c r="V25" s="8">
        <v>3193.822775</v>
      </c>
      <c r="W25" s="8">
        <v>2909.013839</v>
      </c>
      <c r="X25" s="8">
        <v>2585.22871</v>
      </c>
      <c r="Y25" s="8">
        <v>2240.427692</v>
      </c>
      <c r="Z25" s="8">
        <v>2005.072964</v>
      </c>
      <c r="AA25" s="9">
        <f t="shared" si="1"/>
        <v>68983.09938</v>
      </c>
      <c r="AB25" s="9">
        <v>20.0</v>
      </c>
      <c r="AC25" s="9">
        <f t="shared" si="2"/>
        <v>1379661.988</v>
      </c>
      <c r="AD25" s="10">
        <f>SUM(AC25:AC27)</f>
        <v>1936757.359</v>
      </c>
    </row>
    <row r="26" ht="14.25" customHeight="1">
      <c r="A26" s="7">
        <v>46905.0</v>
      </c>
      <c r="B26" s="8" t="s">
        <v>35</v>
      </c>
      <c r="C26" s="8">
        <v>1944.42122</v>
      </c>
      <c r="D26" s="8">
        <v>1842.912902</v>
      </c>
      <c r="E26" s="8">
        <v>1786.312658</v>
      </c>
      <c r="F26" s="8">
        <v>1742.435707</v>
      </c>
      <c r="G26" s="8">
        <v>1750.84291</v>
      </c>
      <c r="H26" s="8">
        <v>1757.986244</v>
      </c>
      <c r="I26" s="8">
        <v>2013.872788</v>
      </c>
      <c r="J26" s="8">
        <v>2472.636506</v>
      </c>
      <c r="K26" s="8">
        <v>2908.449371</v>
      </c>
      <c r="L26" s="8">
        <v>3248.819029</v>
      </c>
      <c r="M26" s="8">
        <v>3461.218666</v>
      </c>
      <c r="N26" s="8">
        <v>3558.693026</v>
      </c>
      <c r="O26" s="8">
        <v>3458.85554</v>
      </c>
      <c r="P26" s="8">
        <v>3349.234037</v>
      </c>
      <c r="Q26" s="8">
        <v>3273.991256</v>
      </c>
      <c r="R26" s="8">
        <v>3255.744707</v>
      </c>
      <c r="S26" s="8">
        <v>3216.638361</v>
      </c>
      <c r="T26" s="8">
        <v>3155.856921</v>
      </c>
      <c r="U26" s="8">
        <v>3082.652154</v>
      </c>
      <c r="V26" s="8">
        <v>2921.267773</v>
      </c>
      <c r="W26" s="8">
        <v>2672.604126</v>
      </c>
      <c r="X26" s="8">
        <v>2393.004475</v>
      </c>
      <c r="Y26" s="8">
        <v>2094.301368</v>
      </c>
      <c r="Z26" s="8">
        <v>1879.889325</v>
      </c>
      <c r="AA26" s="9">
        <f t="shared" si="1"/>
        <v>63242.64107</v>
      </c>
      <c r="AB26" s="9">
        <v>4.0</v>
      </c>
      <c r="AC26" s="9">
        <f t="shared" si="2"/>
        <v>252970.5643</v>
      </c>
      <c r="AD26" s="11"/>
    </row>
    <row r="27" ht="14.25" customHeight="1">
      <c r="A27" s="7">
        <v>46905.0</v>
      </c>
      <c r="B27" s="8" t="s">
        <v>36</v>
      </c>
      <c r="C27" s="8">
        <v>1740.94595</v>
      </c>
      <c r="D27" s="8">
        <v>1654.478322</v>
      </c>
      <c r="E27" s="8">
        <v>1574.591597</v>
      </c>
      <c r="F27" s="8">
        <v>1534.002811</v>
      </c>
      <c r="G27" s="8">
        <v>1499.780014</v>
      </c>
      <c r="H27" s="8">
        <v>1470.355259</v>
      </c>
      <c r="I27" s="8">
        <v>1517.883898</v>
      </c>
      <c r="J27" s="8">
        <v>1696.730625</v>
      </c>
      <c r="K27" s="8">
        <v>1931.959482</v>
      </c>
      <c r="L27" s="8">
        <v>2259.074969</v>
      </c>
      <c r="M27" s="8">
        <v>2523.326648</v>
      </c>
      <c r="N27" s="8">
        <v>2672.915063</v>
      </c>
      <c r="O27" s="8">
        <v>2724.442451</v>
      </c>
      <c r="P27" s="8">
        <v>2736.875839</v>
      </c>
      <c r="Q27" s="8">
        <v>2717.970834</v>
      </c>
      <c r="R27" s="8">
        <v>2704.809029</v>
      </c>
      <c r="S27" s="8">
        <v>2640.818988</v>
      </c>
      <c r="T27" s="8">
        <v>2576.744354</v>
      </c>
      <c r="U27" s="8">
        <v>2540.87496</v>
      </c>
      <c r="V27" s="8">
        <v>2414.274435</v>
      </c>
      <c r="W27" s="8">
        <v>2209.339587</v>
      </c>
      <c r="X27" s="8">
        <v>1973.991385</v>
      </c>
      <c r="Y27" s="8">
        <v>1762.25935</v>
      </c>
      <c r="Z27" s="8">
        <v>1609.021991</v>
      </c>
      <c r="AA27" s="9">
        <f t="shared" si="1"/>
        <v>50687.46784</v>
      </c>
      <c r="AB27" s="9">
        <v>6.0</v>
      </c>
      <c r="AC27" s="9">
        <f t="shared" si="2"/>
        <v>304124.807</v>
      </c>
      <c r="AD27" s="12"/>
    </row>
    <row r="28" ht="14.25" customHeight="1">
      <c r="A28" s="7">
        <v>46935.0</v>
      </c>
      <c r="B28" s="8" t="s">
        <v>34</v>
      </c>
      <c r="C28" s="8">
        <v>1789.42245</v>
      </c>
      <c r="D28" s="8">
        <v>1716.199226</v>
      </c>
      <c r="E28" s="8">
        <v>1675.242261</v>
      </c>
      <c r="F28" s="8">
        <v>1658.499934</v>
      </c>
      <c r="G28" s="8">
        <v>1684.074551</v>
      </c>
      <c r="H28" s="8">
        <v>1792.152715</v>
      </c>
      <c r="I28" s="8">
        <v>2168.520715</v>
      </c>
      <c r="J28" s="8">
        <v>2721.029537</v>
      </c>
      <c r="K28" s="8">
        <v>3183.272762</v>
      </c>
      <c r="L28" s="8">
        <v>3495.437472</v>
      </c>
      <c r="M28" s="8">
        <v>3749.40539</v>
      </c>
      <c r="N28" s="8">
        <v>3902.252663</v>
      </c>
      <c r="O28" s="8">
        <v>3850.922688</v>
      </c>
      <c r="P28" s="8">
        <v>3864.081001</v>
      </c>
      <c r="Q28" s="8">
        <v>3966.464102</v>
      </c>
      <c r="R28" s="8">
        <v>3968.138343</v>
      </c>
      <c r="S28" s="8">
        <v>3856.287608</v>
      </c>
      <c r="T28" s="8">
        <v>3598.872938</v>
      </c>
      <c r="U28" s="8">
        <v>3409.257046</v>
      </c>
      <c r="V28" s="8">
        <v>3193.822775</v>
      </c>
      <c r="W28" s="8">
        <v>2909.013839</v>
      </c>
      <c r="X28" s="8">
        <v>2585.22871</v>
      </c>
      <c r="Y28" s="8">
        <v>2240.427692</v>
      </c>
      <c r="Z28" s="8">
        <v>2005.072964</v>
      </c>
      <c r="AA28" s="9">
        <f t="shared" si="1"/>
        <v>68983.09938</v>
      </c>
      <c r="AB28" s="9">
        <v>19.0</v>
      </c>
      <c r="AC28" s="9">
        <f t="shared" si="2"/>
        <v>1310678.888</v>
      </c>
      <c r="AD28" s="10">
        <f>SUM(AC28:AC30)</f>
        <v>1981704.368</v>
      </c>
    </row>
    <row r="29" ht="14.25" customHeight="1">
      <c r="A29" s="7">
        <v>46935.0</v>
      </c>
      <c r="B29" s="8" t="s">
        <v>35</v>
      </c>
      <c r="C29" s="8">
        <v>1944.42122</v>
      </c>
      <c r="D29" s="8">
        <v>1842.912902</v>
      </c>
      <c r="E29" s="8">
        <v>1786.312658</v>
      </c>
      <c r="F29" s="8">
        <v>1742.435707</v>
      </c>
      <c r="G29" s="8">
        <v>1750.84291</v>
      </c>
      <c r="H29" s="8">
        <v>1757.986244</v>
      </c>
      <c r="I29" s="8">
        <v>2013.872788</v>
      </c>
      <c r="J29" s="8">
        <v>2472.636506</v>
      </c>
      <c r="K29" s="8">
        <v>2908.449371</v>
      </c>
      <c r="L29" s="8">
        <v>3248.819029</v>
      </c>
      <c r="M29" s="8">
        <v>3461.218666</v>
      </c>
      <c r="N29" s="8">
        <v>3558.693026</v>
      </c>
      <c r="O29" s="8">
        <v>3458.85554</v>
      </c>
      <c r="P29" s="8">
        <v>3349.234037</v>
      </c>
      <c r="Q29" s="8">
        <v>3273.991256</v>
      </c>
      <c r="R29" s="8">
        <v>3255.744707</v>
      </c>
      <c r="S29" s="8">
        <v>3216.638361</v>
      </c>
      <c r="T29" s="8">
        <v>3155.856921</v>
      </c>
      <c r="U29" s="8">
        <v>3082.652154</v>
      </c>
      <c r="V29" s="8">
        <v>2921.267773</v>
      </c>
      <c r="W29" s="8">
        <v>2672.604126</v>
      </c>
      <c r="X29" s="8">
        <v>2393.004475</v>
      </c>
      <c r="Y29" s="8">
        <v>2094.301368</v>
      </c>
      <c r="Z29" s="8">
        <v>1879.889325</v>
      </c>
      <c r="AA29" s="9">
        <f t="shared" si="1"/>
        <v>63242.64107</v>
      </c>
      <c r="AB29" s="9">
        <v>5.0</v>
      </c>
      <c r="AC29" s="9">
        <f t="shared" si="2"/>
        <v>316213.2054</v>
      </c>
      <c r="AD29" s="11"/>
    </row>
    <row r="30" ht="14.25" customHeight="1">
      <c r="A30" s="7">
        <v>46935.0</v>
      </c>
      <c r="B30" s="8" t="s">
        <v>36</v>
      </c>
      <c r="C30" s="8">
        <v>1740.94595</v>
      </c>
      <c r="D30" s="8">
        <v>1654.478322</v>
      </c>
      <c r="E30" s="8">
        <v>1574.591597</v>
      </c>
      <c r="F30" s="8">
        <v>1534.002811</v>
      </c>
      <c r="G30" s="8">
        <v>1499.780014</v>
      </c>
      <c r="H30" s="8">
        <v>1470.355259</v>
      </c>
      <c r="I30" s="8">
        <v>1517.883898</v>
      </c>
      <c r="J30" s="8">
        <v>1696.730625</v>
      </c>
      <c r="K30" s="8">
        <v>1931.959482</v>
      </c>
      <c r="L30" s="8">
        <v>2259.074969</v>
      </c>
      <c r="M30" s="8">
        <v>2523.326648</v>
      </c>
      <c r="N30" s="8">
        <v>2672.915063</v>
      </c>
      <c r="O30" s="8">
        <v>2724.442451</v>
      </c>
      <c r="P30" s="8">
        <v>2736.875839</v>
      </c>
      <c r="Q30" s="8">
        <v>2717.970834</v>
      </c>
      <c r="R30" s="8">
        <v>2704.809029</v>
      </c>
      <c r="S30" s="8">
        <v>2640.818988</v>
      </c>
      <c r="T30" s="8">
        <v>2576.744354</v>
      </c>
      <c r="U30" s="8">
        <v>2540.87496</v>
      </c>
      <c r="V30" s="8">
        <v>2414.274435</v>
      </c>
      <c r="W30" s="8">
        <v>2209.339587</v>
      </c>
      <c r="X30" s="8">
        <v>1973.991385</v>
      </c>
      <c r="Y30" s="8">
        <v>1762.25935</v>
      </c>
      <c r="Z30" s="8">
        <v>1609.021991</v>
      </c>
      <c r="AA30" s="9">
        <f t="shared" si="1"/>
        <v>50687.46784</v>
      </c>
      <c r="AB30" s="9">
        <v>7.0</v>
      </c>
      <c r="AC30" s="9">
        <f t="shared" si="2"/>
        <v>354812.2749</v>
      </c>
      <c r="AD30" s="12"/>
    </row>
    <row r="31" ht="14.25" customHeight="1">
      <c r="A31" s="7">
        <v>46966.0</v>
      </c>
      <c r="B31" s="8" t="s">
        <v>34</v>
      </c>
      <c r="C31" s="8">
        <v>1789.42245</v>
      </c>
      <c r="D31" s="8">
        <v>1716.199226</v>
      </c>
      <c r="E31" s="8">
        <v>1675.242261</v>
      </c>
      <c r="F31" s="8">
        <v>1658.499934</v>
      </c>
      <c r="G31" s="8">
        <v>1684.074551</v>
      </c>
      <c r="H31" s="8">
        <v>1792.152715</v>
      </c>
      <c r="I31" s="8">
        <v>2168.520715</v>
      </c>
      <c r="J31" s="8">
        <v>2721.029537</v>
      </c>
      <c r="K31" s="8">
        <v>3183.272762</v>
      </c>
      <c r="L31" s="8">
        <v>3495.437472</v>
      </c>
      <c r="M31" s="8">
        <v>3749.40539</v>
      </c>
      <c r="N31" s="8">
        <v>3902.252663</v>
      </c>
      <c r="O31" s="8">
        <v>3850.922688</v>
      </c>
      <c r="P31" s="8">
        <v>3864.081001</v>
      </c>
      <c r="Q31" s="8">
        <v>3966.464102</v>
      </c>
      <c r="R31" s="8">
        <v>3968.138343</v>
      </c>
      <c r="S31" s="8">
        <v>3856.287608</v>
      </c>
      <c r="T31" s="8">
        <v>3598.872938</v>
      </c>
      <c r="U31" s="8">
        <v>3409.257046</v>
      </c>
      <c r="V31" s="8">
        <v>3193.822775</v>
      </c>
      <c r="W31" s="8">
        <v>2909.013839</v>
      </c>
      <c r="X31" s="8">
        <v>2585.22871</v>
      </c>
      <c r="Y31" s="8">
        <v>2240.427692</v>
      </c>
      <c r="Z31" s="8">
        <v>2005.072964</v>
      </c>
      <c r="AA31" s="9">
        <f t="shared" si="1"/>
        <v>68983.09938</v>
      </c>
      <c r="AB31" s="9">
        <v>21.0</v>
      </c>
      <c r="AC31" s="9">
        <f t="shared" si="2"/>
        <v>1448645.087</v>
      </c>
      <c r="AD31" s="10">
        <f>SUM(AC31:AC33)</f>
        <v>2005740.458</v>
      </c>
    </row>
    <row r="32" ht="14.25" customHeight="1">
      <c r="A32" s="7">
        <v>46966.0</v>
      </c>
      <c r="B32" s="8" t="s">
        <v>35</v>
      </c>
      <c r="C32" s="8">
        <v>1944.42122</v>
      </c>
      <c r="D32" s="8">
        <v>1842.912902</v>
      </c>
      <c r="E32" s="8">
        <v>1786.312658</v>
      </c>
      <c r="F32" s="8">
        <v>1742.435707</v>
      </c>
      <c r="G32" s="8">
        <v>1750.84291</v>
      </c>
      <c r="H32" s="8">
        <v>1757.986244</v>
      </c>
      <c r="I32" s="8">
        <v>2013.872788</v>
      </c>
      <c r="J32" s="8">
        <v>2472.636506</v>
      </c>
      <c r="K32" s="8">
        <v>2908.449371</v>
      </c>
      <c r="L32" s="8">
        <v>3248.819029</v>
      </c>
      <c r="M32" s="8">
        <v>3461.218666</v>
      </c>
      <c r="N32" s="8">
        <v>3558.693026</v>
      </c>
      <c r="O32" s="8">
        <v>3458.85554</v>
      </c>
      <c r="P32" s="8">
        <v>3349.234037</v>
      </c>
      <c r="Q32" s="8">
        <v>3273.991256</v>
      </c>
      <c r="R32" s="8">
        <v>3255.744707</v>
      </c>
      <c r="S32" s="8">
        <v>3216.638361</v>
      </c>
      <c r="T32" s="8">
        <v>3155.856921</v>
      </c>
      <c r="U32" s="8">
        <v>3082.652154</v>
      </c>
      <c r="V32" s="8">
        <v>2921.267773</v>
      </c>
      <c r="W32" s="8">
        <v>2672.604126</v>
      </c>
      <c r="X32" s="8">
        <v>2393.004475</v>
      </c>
      <c r="Y32" s="8">
        <v>2094.301368</v>
      </c>
      <c r="Z32" s="8">
        <v>1879.889325</v>
      </c>
      <c r="AA32" s="9">
        <f t="shared" si="1"/>
        <v>63242.64107</v>
      </c>
      <c r="AB32" s="9">
        <v>4.0</v>
      </c>
      <c r="AC32" s="9">
        <f t="shared" si="2"/>
        <v>252970.5643</v>
      </c>
      <c r="AD32" s="11"/>
    </row>
    <row r="33" ht="14.25" customHeight="1">
      <c r="A33" s="7">
        <v>46966.0</v>
      </c>
      <c r="B33" s="8" t="s">
        <v>36</v>
      </c>
      <c r="C33" s="8">
        <v>1740.94595</v>
      </c>
      <c r="D33" s="8">
        <v>1654.478322</v>
      </c>
      <c r="E33" s="8">
        <v>1574.591597</v>
      </c>
      <c r="F33" s="8">
        <v>1534.002811</v>
      </c>
      <c r="G33" s="8">
        <v>1499.780014</v>
      </c>
      <c r="H33" s="8">
        <v>1470.355259</v>
      </c>
      <c r="I33" s="8">
        <v>1517.883898</v>
      </c>
      <c r="J33" s="8">
        <v>1696.730625</v>
      </c>
      <c r="K33" s="8">
        <v>1931.959482</v>
      </c>
      <c r="L33" s="8">
        <v>2259.074969</v>
      </c>
      <c r="M33" s="8">
        <v>2523.326648</v>
      </c>
      <c r="N33" s="8">
        <v>2672.915063</v>
      </c>
      <c r="O33" s="8">
        <v>2724.442451</v>
      </c>
      <c r="P33" s="8">
        <v>2736.875839</v>
      </c>
      <c r="Q33" s="8">
        <v>2717.970834</v>
      </c>
      <c r="R33" s="8">
        <v>2704.809029</v>
      </c>
      <c r="S33" s="8">
        <v>2640.818988</v>
      </c>
      <c r="T33" s="8">
        <v>2576.744354</v>
      </c>
      <c r="U33" s="8">
        <v>2540.87496</v>
      </c>
      <c r="V33" s="8">
        <v>2414.274435</v>
      </c>
      <c r="W33" s="8">
        <v>2209.339587</v>
      </c>
      <c r="X33" s="8">
        <v>1973.991385</v>
      </c>
      <c r="Y33" s="8">
        <v>1762.25935</v>
      </c>
      <c r="Z33" s="8">
        <v>1609.021991</v>
      </c>
      <c r="AA33" s="9">
        <f t="shared" si="1"/>
        <v>50687.46784</v>
      </c>
      <c r="AB33" s="9">
        <v>6.0</v>
      </c>
      <c r="AC33" s="9">
        <f t="shared" si="2"/>
        <v>304124.807</v>
      </c>
      <c r="AD33" s="12"/>
    </row>
    <row r="34" ht="14.25" customHeight="1">
      <c r="A34" s="7">
        <v>46997.0</v>
      </c>
      <c r="B34" s="8" t="s">
        <v>34</v>
      </c>
      <c r="C34" s="8">
        <v>1789.42245</v>
      </c>
      <c r="D34" s="8">
        <v>1716.199226</v>
      </c>
      <c r="E34" s="8">
        <v>1675.242261</v>
      </c>
      <c r="F34" s="8">
        <v>1658.499934</v>
      </c>
      <c r="G34" s="8">
        <v>1684.074551</v>
      </c>
      <c r="H34" s="8">
        <v>1792.152715</v>
      </c>
      <c r="I34" s="8">
        <v>2168.520715</v>
      </c>
      <c r="J34" s="8">
        <v>2721.029537</v>
      </c>
      <c r="K34" s="8">
        <v>3183.272762</v>
      </c>
      <c r="L34" s="8">
        <v>3495.437472</v>
      </c>
      <c r="M34" s="8">
        <v>3749.40539</v>
      </c>
      <c r="N34" s="8">
        <v>3902.252663</v>
      </c>
      <c r="O34" s="8">
        <v>3850.922688</v>
      </c>
      <c r="P34" s="8">
        <v>3864.081001</v>
      </c>
      <c r="Q34" s="8">
        <v>3966.464102</v>
      </c>
      <c r="R34" s="8">
        <v>3968.138343</v>
      </c>
      <c r="S34" s="8">
        <v>3856.287608</v>
      </c>
      <c r="T34" s="8">
        <v>3598.872938</v>
      </c>
      <c r="U34" s="8">
        <v>3409.257046</v>
      </c>
      <c r="V34" s="8">
        <v>3193.822775</v>
      </c>
      <c r="W34" s="8">
        <v>2909.013839</v>
      </c>
      <c r="X34" s="8">
        <v>2585.22871</v>
      </c>
      <c r="Y34" s="8">
        <v>2240.427692</v>
      </c>
      <c r="Z34" s="8">
        <v>2005.072964</v>
      </c>
      <c r="AA34" s="9">
        <f t="shared" si="1"/>
        <v>68983.09938</v>
      </c>
      <c r="AB34" s="9">
        <v>21.0</v>
      </c>
      <c r="AC34" s="9">
        <f t="shared" si="2"/>
        <v>1448645.087</v>
      </c>
      <c r="AD34" s="10">
        <f>SUM(AC34:AC36)</f>
        <v>1967608.164</v>
      </c>
    </row>
    <row r="35" ht="14.25" customHeight="1">
      <c r="A35" s="7">
        <v>46997.0</v>
      </c>
      <c r="B35" s="8" t="s">
        <v>35</v>
      </c>
      <c r="C35" s="8">
        <v>1944.42122</v>
      </c>
      <c r="D35" s="8">
        <v>1842.912902</v>
      </c>
      <c r="E35" s="8">
        <v>1786.312658</v>
      </c>
      <c r="F35" s="8">
        <v>1742.435707</v>
      </c>
      <c r="G35" s="8">
        <v>1750.84291</v>
      </c>
      <c r="H35" s="8">
        <v>1757.986244</v>
      </c>
      <c r="I35" s="8">
        <v>2013.872788</v>
      </c>
      <c r="J35" s="8">
        <v>2472.636506</v>
      </c>
      <c r="K35" s="8">
        <v>2908.449371</v>
      </c>
      <c r="L35" s="8">
        <v>3248.819029</v>
      </c>
      <c r="M35" s="8">
        <v>3461.218666</v>
      </c>
      <c r="N35" s="8">
        <v>3558.693026</v>
      </c>
      <c r="O35" s="8">
        <v>3458.85554</v>
      </c>
      <c r="P35" s="8">
        <v>3349.234037</v>
      </c>
      <c r="Q35" s="8">
        <v>3273.991256</v>
      </c>
      <c r="R35" s="8">
        <v>3255.744707</v>
      </c>
      <c r="S35" s="8">
        <v>3216.638361</v>
      </c>
      <c r="T35" s="8">
        <v>3155.856921</v>
      </c>
      <c r="U35" s="8">
        <v>3082.652154</v>
      </c>
      <c r="V35" s="8">
        <v>2921.267773</v>
      </c>
      <c r="W35" s="8">
        <v>2672.604126</v>
      </c>
      <c r="X35" s="8">
        <v>2393.004475</v>
      </c>
      <c r="Y35" s="8">
        <v>2094.301368</v>
      </c>
      <c r="Z35" s="8">
        <v>1879.889325</v>
      </c>
      <c r="AA35" s="9">
        <f t="shared" si="1"/>
        <v>63242.64107</v>
      </c>
      <c r="AB35" s="9">
        <v>5.0</v>
      </c>
      <c r="AC35" s="9">
        <f t="shared" si="2"/>
        <v>316213.2054</v>
      </c>
      <c r="AD35" s="11"/>
    </row>
    <row r="36" ht="14.25" customHeight="1">
      <c r="A36" s="7">
        <v>46997.0</v>
      </c>
      <c r="B36" s="8" t="s">
        <v>36</v>
      </c>
      <c r="C36" s="8">
        <v>1740.94595</v>
      </c>
      <c r="D36" s="8">
        <v>1654.478322</v>
      </c>
      <c r="E36" s="8">
        <v>1574.591597</v>
      </c>
      <c r="F36" s="8">
        <v>1534.002811</v>
      </c>
      <c r="G36" s="8">
        <v>1499.780014</v>
      </c>
      <c r="H36" s="8">
        <v>1470.355259</v>
      </c>
      <c r="I36" s="8">
        <v>1517.883898</v>
      </c>
      <c r="J36" s="8">
        <v>1696.730625</v>
      </c>
      <c r="K36" s="8">
        <v>1931.959482</v>
      </c>
      <c r="L36" s="8">
        <v>2259.074969</v>
      </c>
      <c r="M36" s="8">
        <v>2523.326648</v>
      </c>
      <c r="N36" s="8">
        <v>2672.915063</v>
      </c>
      <c r="O36" s="8">
        <v>2724.442451</v>
      </c>
      <c r="P36" s="8">
        <v>2736.875839</v>
      </c>
      <c r="Q36" s="8">
        <v>2717.970834</v>
      </c>
      <c r="R36" s="8">
        <v>2704.809029</v>
      </c>
      <c r="S36" s="8">
        <v>2640.818988</v>
      </c>
      <c r="T36" s="8">
        <v>2576.744354</v>
      </c>
      <c r="U36" s="8">
        <v>2540.87496</v>
      </c>
      <c r="V36" s="8">
        <v>2414.274435</v>
      </c>
      <c r="W36" s="8">
        <v>2209.339587</v>
      </c>
      <c r="X36" s="8">
        <v>1973.991385</v>
      </c>
      <c r="Y36" s="8">
        <v>1762.25935</v>
      </c>
      <c r="Z36" s="8">
        <v>1609.021991</v>
      </c>
      <c r="AA36" s="9">
        <f t="shared" si="1"/>
        <v>50687.46784</v>
      </c>
      <c r="AB36" s="9">
        <v>4.0</v>
      </c>
      <c r="AC36" s="9">
        <f t="shared" si="2"/>
        <v>202749.8714</v>
      </c>
      <c r="AD36" s="12"/>
    </row>
    <row r="37" ht="14.25" customHeight="1">
      <c r="A37" s="7">
        <v>47027.0</v>
      </c>
      <c r="B37" s="8" t="s">
        <v>34</v>
      </c>
      <c r="C37" s="8">
        <v>1789.42245</v>
      </c>
      <c r="D37" s="8">
        <v>1716.199226</v>
      </c>
      <c r="E37" s="8">
        <v>1675.242261</v>
      </c>
      <c r="F37" s="8">
        <v>1658.499934</v>
      </c>
      <c r="G37" s="8">
        <v>1684.074551</v>
      </c>
      <c r="H37" s="8">
        <v>1792.152715</v>
      </c>
      <c r="I37" s="8">
        <v>2168.520715</v>
      </c>
      <c r="J37" s="8">
        <v>2721.029537</v>
      </c>
      <c r="K37" s="8">
        <v>3183.272762</v>
      </c>
      <c r="L37" s="8">
        <v>3495.437472</v>
      </c>
      <c r="M37" s="8">
        <v>3749.40539</v>
      </c>
      <c r="N37" s="8">
        <v>3902.252663</v>
      </c>
      <c r="O37" s="8">
        <v>3850.922688</v>
      </c>
      <c r="P37" s="8">
        <v>3864.081001</v>
      </c>
      <c r="Q37" s="8">
        <v>3966.464102</v>
      </c>
      <c r="R37" s="8">
        <v>3968.138343</v>
      </c>
      <c r="S37" s="8">
        <v>3856.287608</v>
      </c>
      <c r="T37" s="8">
        <v>3598.872938</v>
      </c>
      <c r="U37" s="8">
        <v>3409.257046</v>
      </c>
      <c r="V37" s="8">
        <v>3193.822775</v>
      </c>
      <c r="W37" s="8">
        <v>2909.013839</v>
      </c>
      <c r="X37" s="8">
        <v>2585.22871</v>
      </c>
      <c r="Y37" s="8">
        <v>2240.427692</v>
      </c>
      <c r="Z37" s="8">
        <v>2005.072964</v>
      </c>
      <c r="AA37" s="9">
        <f t="shared" si="1"/>
        <v>68983.09938</v>
      </c>
      <c r="AB37" s="9">
        <v>22.0</v>
      </c>
      <c r="AC37" s="9">
        <f t="shared" si="2"/>
        <v>1517628.186</v>
      </c>
      <c r="AD37" s="10">
        <f>SUM(AC37:AC39)</f>
        <v>2024036.09</v>
      </c>
    </row>
    <row r="38" ht="14.25" customHeight="1">
      <c r="A38" s="7">
        <v>47027.0</v>
      </c>
      <c r="B38" s="8" t="s">
        <v>35</v>
      </c>
      <c r="C38" s="8">
        <v>1944.42122</v>
      </c>
      <c r="D38" s="8">
        <v>1842.912902</v>
      </c>
      <c r="E38" s="8">
        <v>1786.312658</v>
      </c>
      <c r="F38" s="8">
        <v>1742.435707</v>
      </c>
      <c r="G38" s="8">
        <v>1750.84291</v>
      </c>
      <c r="H38" s="8">
        <v>1757.986244</v>
      </c>
      <c r="I38" s="8">
        <v>2013.872788</v>
      </c>
      <c r="J38" s="8">
        <v>2472.636506</v>
      </c>
      <c r="K38" s="8">
        <v>2908.449371</v>
      </c>
      <c r="L38" s="8">
        <v>3248.819029</v>
      </c>
      <c r="M38" s="8">
        <v>3461.218666</v>
      </c>
      <c r="N38" s="8">
        <v>3558.693026</v>
      </c>
      <c r="O38" s="8">
        <v>3458.85554</v>
      </c>
      <c r="P38" s="8">
        <v>3349.234037</v>
      </c>
      <c r="Q38" s="8">
        <v>3273.991256</v>
      </c>
      <c r="R38" s="8">
        <v>3255.744707</v>
      </c>
      <c r="S38" s="8">
        <v>3216.638361</v>
      </c>
      <c r="T38" s="8">
        <v>3155.856921</v>
      </c>
      <c r="U38" s="8">
        <v>3082.652154</v>
      </c>
      <c r="V38" s="8">
        <v>2921.267773</v>
      </c>
      <c r="W38" s="8">
        <v>2672.604126</v>
      </c>
      <c r="X38" s="8">
        <v>2393.004475</v>
      </c>
      <c r="Y38" s="8">
        <v>2094.301368</v>
      </c>
      <c r="Z38" s="8">
        <v>1879.889325</v>
      </c>
      <c r="AA38" s="9">
        <f t="shared" si="1"/>
        <v>63242.64107</v>
      </c>
      <c r="AB38" s="9">
        <v>4.0</v>
      </c>
      <c r="AC38" s="9">
        <f t="shared" si="2"/>
        <v>252970.5643</v>
      </c>
      <c r="AD38" s="11"/>
    </row>
    <row r="39" ht="14.25" customHeight="1">
      <c r="A39" s="7">
        <v>47027.0</v>
      </c>
      <c r="B39" s="8" t="s">
        <v>36</v>
      </c>
      <c r="C39" s="8">
        <v>1740.94595</v>
      </c>
      <c r="D39" s="8">
        <v>1654.478322</v>
      </c>
      <c r="E39" s="8">
        <v>1574.591597</v>
      </c>
      <c r="F39" s="8">
        <v>1534.002811</v>
      </c>
      <c r="G39" s="8">
        <v>1499.780014</v>
      </c>
      <c r="H39" s="8">
        <v>1470.355259</v>
      </c>
      <c r="I39" s="8">
        <v>1517.883898</v>
      </c>
      <c r="J39" s="8">
        <v>1696.730625</v>
      </c>
      <c r="K39" s="8">
        <v>1931.959482</v>
      </c>
      <c r="L39" s="8">
        <v>2259.074969</v>
      </c>
      <c r="M39" s="8">
        <v>2523.326648</v>
      </c>
      <c r="N39" s="8">
        <v>2672.915063</v>
      </c>
      <c r="O39" s="8">
        <v>2724.442451</v>
      </c>
      <c r="P39" s="8">
        <v>2736.875839</v>
      </c>
      <c r="Q39" s="8">
        <v>2717.970834</v>
      </c>
      <c r="R39" s="8">
        <v>2704.809029</v>
      </c>
      <c r="S39" s="8">
        <v>2640.818988</v>
      </c>
      <c r="T39" s="8">
        <v>2576.744354</v>
      </c>
      <c r="U39" s="8">
        <v>2540.87496</v>
      </c>
      <c r="V39" s="8">
        <v>2414.274435</v>
      </c>
      <c r="W39" s="8">
        <v>2209.339587</v>
      </c>
      <c r="X39" s="8">
        <v>1973.991385</v>
      </c>
      <c r="Y39" s="8">
        <v>1762.25935</v>
      </c>
      <c r="Z39" s="8">
        <v>1609.021991</v>
      </c>
      <c r="AA39" s="9">
        <f t="shared" si="1"/>
        <v>50687.46784</v>
      </c>
      <c r="AB39" s="9">
        <v>5.0</v>
      </c>
      <c r="AC39" s="9">
        <f t="shared" si="2"/>
        <v>253437.3392</v>
      </c>
      <c r="AD39" s="12"/>
    </row>
    <row r="40" ht="14.25" customHeight="1">
      <c r="A40" s="7">
        <v>47058.0</v>
      </c>
      <c r="B40" s="8" t="s">
        <v>34</v>
      </c>
      <c r="C40" s="8">
        <v>1789.42245</v>
      </c>
      <c r="D40" s="8">
        <v>1716.199226</v>
      </c>
      <c r="E40" s="8">
        <v>1675.242261</v>
      </c>
      <c r="F40" s="8">
        <v>1658.499934</v>
      </c>
      <c r="G40" s="8">
        <v>1684.074551</v>
      </c>
      <c r="H40" s="8">
        <v>1792.152715</v>
      </c>
      <c r="I40" s="8">
        <v>2168.520715</v>
      </c>
      <c r="J40" s="8">
        <v>2721.029537</v>
      </c>
      <c r="K40" s="8">
        <v>3183.272762</v>
      </c>
      <c r="L40" s="8">
        <v>3495.437472</v>
      </c>
      <c r="M40" s="8">
        <v>3749.40539</v>
      </c>
      <c r="N40" s="8">
        <v>3902.252663</v>
      </c>
      <c r="O40" s="8">
        <v>3850.922688</v>
      </c>
      <c r="P40" s="8">
        <v>3864.081001</v>
      </c>
      <c r="Q40" s="8">
        <v>3966.464102</v>
      </c>
      <c r="R40" s="8">
        <v>3968.138343</v>
      </c>
      <c r="S40" s="8">
        <v>3856.287608</v>
      </c>
      <c r="T40" s="8">
        <v>3598.872938</v>
      </c>
      <c r="U40" s="8">
        <v>3409.257046</v>
      </c>
      <c r="V40" s="8">
        <v>3193.822775</v>
      </c>
      <c r="W40" s="8">
        <v>2909.013839</v>
      </c>
      <c r="X40" s="8">
        <v>2585.22871</v>
      </c>
      <c r="Y40" s="8">
        <v>2240.427692</v>
      </c>
      <c r="Z40" s="8">
        <v>2005.072964</v>
      </c>
      <c r="AA40" s="9">
        <f t="shared" si="1"/>
        <v>68983.09938</v>
      </c>
      <c r="AB40" s="9">
        <v>20.0</v>
      </c>
      <c r="AC40" s="9">
        <f t="shared" si="2"/>
        <v>1379661.988</v>
      </c>
      <c r="AD40" s="10">
        <f>SUM(AC40:AC42)</f>
        <v>1936757.359</v>
      </c>
    </row>
    <row r="41" ht="14.25" customHeight="1">
      <c r="A41" s="7">
        <v>47058.0</v>
      </c>
      <c r="B41" s="8" t="s">
        <v>35</v>
      </c>
      <c r="C41" s="8">
        <v>1944.42122</v>
      </c>
      <c r="D41" s="8">
        <v>1842.912902</v>
      </c>
      <c r="E41" s="8">
        <v>1786.312658</v>
      </c>
      <c r="F41" s="8">
        <v>1742.435707</v>
      </c>
      <c r="G41" s="8">
        <v>1750.84291</v>
      </c>
      <c r="H41" s="8">
        <v>1757.986244</v>
      </c>
      <c r="I41" s="8">
        <v>2013.872788</v>
      </c>
      <c r="J41" s="8">
        <v>2472.636506</v>
      </c>
      <c r="K41" s="8">
        <v>2908.449371</v>
      </c>
      <c r="L41" s="8">
        <v>3248.819029</v>
      </c>
      <c r="M41" s="8">
        <v>3461.218666</v>
      </c>
      <c r="N41" s="8">
        <v>3558.693026</v>
      </c>
      <c r="O41" s="8">
        <v>3458.85554</v>
      </c>
      <c r="P41" s="8">
        <v>3349.234037</v>
      </c>
      <c r="Q41" s="8">
        <v>3273.991256</v>
      </c>
      <c r="R41" s="8">
        <v>3255.744707</v>
      </c>
      <c r="S41" s="8">
        <v>3216.638361</v>
      </c>
      <c r="T41" s="8">
        <v>3155.856921</v>
      </c>
      <c r="U41" s="8">
        <v>3082.652154</v>
      </c>
      <c r="V41" s="8">
        <v>2921.267773</v>
      </c>
      <c r="W41" s="8">
        <v>2672.604126</v>
      </c>
      <c r="X41" s="8">
        <v>2393.004475</v>
      </c>
      <c r="Y41" s="8">
        <v>2094.301368</v>
      </c>
      <c r="Z41" s="8">
        <v>1879.889325</v>
      </c>
      <c r="AA41" s="9">
        <f t="shared" si="1"/>
        <v>63242.64107</v>
      </c>
      <c r="AB41" s="9">
        <v>4.0</v>
      </c>
      <c r="AC41" s="9">
        <f t="shared" si="2"/>
        <v>252970.5643</v>
      </c>
      <c r="AD41" s="11"/>
    </row>
    <row r="42" ht="14.25" customHeight="1">
      <c r="A42" s="7">
        <v>47058.0</v>
      </c>
      <c r="B42" s="8" t="s">
        <v>36</v>
      </c>
      <c r="C42" s="8">
        <v>1740.94595</v>
      </c>
      <c r="D42" s="8">
        <v>1654.478322</v>
      </c>
      <c r="E42" s="8">
        <v>1574.591597</v>
      </c>
      <c r="F42" s="8">
        <v>1534.002811</v>
      </c>
      <c r="G42" s="8">
        <v>1499.780014</v>
      </c>
      <c r="H42" s="8">
        <v>1470.355259</v>
      </c>
      <c r="I42" s="8">
        <v>1517.883898</v>
      </c>
      <c r="J42" s="8">
        <v>1696.730625</v>
      </c>
      <c r="K42" s="8">
        <v>1931.959482</v>
      </c>
      <c r="L42" s="8">
        <v>2259.074969</v>
      </c>
      <c r="M42" s="8">
        <v>2523.326648</v>
      </c>
      <c r="N42" s="8">
        <v>2672.915063</v>
      </c>
      <c r="O42" s="8">
        <v>2724.442451</v>
      </c>
      <c r="P42" s="8">
        <v>2736.875839</v>
      </c>
      <c r="Q42" s="8">
        <v>2717.970834</v>
      </c>
      <c r="R42" s="8">
        <v>2704.809029</v>
      </c>
      <c r="S42" s="8">
        <v>2640.818988</v>
      </c>
      <c r="T42" s="8">
        <v>2576.744354</v>
      </c>
      <c r="U42" s="8">
        <v>2540.87496</v>
      </c>
      <c r="V42" s="8">
        <v>2414.274435</v>
      </c>
      <c r="W42" s="8">
        <v>2209.339587</v>
      </c>
      <c r="X42" s="8">
        <v>1973.991385</v>
      </c>
      <c r="Y42" s="8">
        <v>1762.25935</v>
      </c>
      <c r="Z42" s="8">
        <v>1609.021991</v>
      </c>
      <c r="AA42" s="9">
        <f t="shared" si="1"/>
        <v>50687.46784</v>
      </c>
      <c r="AB42" s="9">
        <v>6.0</v>
      </c>
      <c r="AC42" s="9">
        <f t="shared" si="2"/>
        <v>304124.807</v>
      </c>
      <c r="AD42" s="12"/>
    </row>
    <row r="43" ht="14.25" customHeight="1">
      <c r="A43" s="7">
        <v>47088.0</v>
      </c>
      <c r="B43" s="8" t="s">
        <v>34</v>
      </c>
      <c r="C43" s="8">
        <v>1789.42245</v>
      </c>
      <c r="D43" s="8">
        <v>1716.199226</v>
      </c>
      <c r="E43" s="8">
        <v>1675.242261</v>
      </c>
      <c r="F43" s="8">
        <v>1658.499934</v>
      </c>
      <c r="G43" s="8">
        <v>1684.074551</v>
      </c>
      <c r="H43" s="8">
        <v>1792.152715</v>
      </c>
      <c r="I43" s="8">
        <v>2168.520715</v>
      </c>
      <c r="J43" s="8">
        <v>2721.029537</v>
      </c>
      <c r="K43" s="8">
        <v>3183.272762</v>
      </c>
      <c r="L43" s="8">
        <v>3495.437472</v>
      </c>
      <c r="M43" s="8">
        <v>3749.40539</v>
      </c>
      <c r="N43" s="8">
        <v>3902.252663</v>
      </c>
      <c r="O43" s="8">
        <v>3850.922688</v>
      </c>
      <c r="P43" s="8">
        <v>3864.081001</v>
      </c>
      <c r="Q43" s="8">
        <v>3966.464102</v>
      </c>
      <c r="R43" s="8">
        <v>3968.138343</v>
      </c>
      <c r="S43" s="8">
        <v>3856.287608</v>
      </c>
      <c r="T43" s="8">
        <v>3598.872938</v>
      </c>
      <c r="U43" s="8">
        <v>3409.257046</v>
      </c>
      <c r="V43" s="8">
        <v>3193.822775</v>
      </c>
      <c r="W43" s="8">
        <v>2909.013839</v>
      </c>
      <c r="X43" s="8">
        <v>2585.22871</v>
      </c>
      <c r="Y43" s="8">
        <v>2240.427692</v>
      </c>
      <c r="Z43" s="8">
        <v>2005.072964</v>
      </c>
      <c r="AA43" s="9">
        <f t="shared" si="1"/>
        <v>68983.09938</v>
      </c>
      <c r="AB43" s="9">
        <v>19.0</v>
      </c>
      <c r="AC43" s="9">
        <f t="shared" si="2"/>
        <v>1310678.888</v>
      </c>
      <c r="AD43" s="10">
        <f>SUM(AC43:AC45)</f>
        <v>1981704.368</v>
      </c>
    </row>
    <row r="44" ht="14.25" customHeight="1">
      <c r="A44" s="7">
        <v>47088.0</v>
      </c>
      <c r="B44" s="8" t="s">
        <v>35</v>
      </c>
      <c r="C44" s="8">
        <v>1944.42122</v>
      </c>
      <c r="D44" s="8">
        <v>1842.912902</v>
      </c>
      <c r="E44" s="8">
        <v>1786.312658</v>
      </c>
      <c r="F44" s="8">
        <v>1742.435707</v>
      </c>
      <c r="G44" s="8">
        <v>1750.84291</v>
      </c>
      <c r="H44" s="8">
        <v>1757.986244</v>
      </c>
      <c r="I44" s="8">
        <v>2013.872788</v>
      </c>
      <c r="J44" s="8">
        <v>2472.636506</v>
      </c>
      <c r="K44" s="8">
        <v>2908.449371</v>
      </c>
      <c r="L44" s="8">
        <v>3248.819029</v>
      </c>
      <c r="M44" s="8">
        <v>3461.218666</v>
      </c>
      <c r="N44" s="8">
        <v>3558.693026</v>
      </c>
      <c r="O44" s="8">
        <v>3458.85554</v>
      </c>
      <c r="P44" s="8">
        <v>3349.234037</v>
      </c>
      <c r="Q44" s="8">
        <v>3273.991256</v>
      </c>
      <c r="R44" s="8">
        <v>3255.744707</v>
      </c>
      <c r="S44" s="8">
        <v>3216.638361</v>
      </c>
      <c r="T44" s="8">
        <v>3155.856921</v>
      </c>
      <c r="U44" s="8">
        <v>3082.652154</v>
      </c>
      <c r="V44" s="8">
        <v>2921.267773</v>
      </c>
      <c r="W44" s="8">
        <v>2672.604126</v>
      </c>
      <c r="X44" s="8">
        <v>2393.004475</v>
      </c>
      <c r="Y44" s="8">
        <v>2094.301368</v>
      </c>
      <c r="Z44" s="8">
        <v>1879.889325</v>
      </c>
      <c r="AA44" s="9">
        <f t="shared" si="1"/>
        <v>63242.64107</v>
      </c>
      <c r="AB44" s="9">
        <v>5.0</v>
      </c>
      <c r="AC44" s="9">
        <f t="shared" si="2"/>
        <v>316213.2054</v>
      </c>
      <c r="AD44" s="11"/>
    </row>
    <row r="45" ht="14.25" customHeight="1">
      <c r="A45" s="7">
        <v>47088.0</v>
      </c>
      <c r="B45" s="8" t="s">
        <v>36</v>
      </c>
      <c r="C45" s="8">
        <v>1740.94595</v>
      </c>
      <c r="D45" s="8">
        <v>1654.478322</v>
      </c>
      <c r="E45" s="8">
        <v>1574.591597</v>
      </c>
      <c r="F45" s="8">
        <v>1534.002811</v>
      </c>
      <c r="G45" s="8">
        <v>1499.780014</v>
      </c>
      <c r="H45" s="8">
        <v>1470.355259</v>
      </c>
      <c r="I45" s="8">
        <v>1517.883898</v>
      </c>
      <c r="J45" s="8">
        <v>1696.730625</v>
      </c>
      <c r="K45" s="8">
        <v>1931.959482</v>
      </c>
      <c r="L45" s="8">
        <v>2259.074969</v>
      </c>
      <c r="M45" s="8">
        <v>2523.326648</v>
      </c>
      <c r="N45" s="8">
        <v>2672.915063</v>
      </c>
      <c r="O45" s="8">
        <v>2724.442451</v>
      </c>
      <c r="P45" s="8">
        <v>2736.875839</v>
      </c>
      <c r="Q45" s="8">
        <v>2717.970834</v>
      </c>
      <c r="R45" s="8">
        <v>2704.809029</v>
      </c>
      <c r="S45" s="8">
        <v>2640.818988</v>
      </c>
      <c r="T45" s="8">
        <v>2576.744354</v>
      </c>
      <c r="U45" s="8">
        <v>2540.87496</v>
      </c>
      <c r="V45" s="8">
        <v>2414.274435</v>
      </c>
      <c r="W45" s="8">
        <v>2209.339587</v>
      </c>
      <c r="X45" s="8">
        <v>1973.991385</v>
      </c>
      <c r="Y45" s="8">
        <v>1762.25935</v>
      </c>
      <c r="Z45" s="8">
        <v>1609.021991</v>
      </c>
      <c r="AA45" s="9">
        <f t="shared" si="1"/>
        <v>50687.46784</v>
      </c>
      <c r="AB45" s="9">
        <v>7.0</v>
      </c>
      <c r="AC45" s="9">
        <f t="shared" si="2"/>
        <v>354812.2749</v>
      </c>
      <c r="AD45" s="12"/>
    </row>
    <row r="46" ht="14.25" customHeight="1">
      <c r="AB46" s="13" t="s">
        <v>32</v>
      </c>
      <c r="AC46" s="9">
        <f t="shared" ref="AC46:AD46" si="3">SUM(AC10:AC45)</f>
        <v>23681171.51</v>
      </c>
      <c r="AD46" s="9">
        <f t="shared" si="3"/>
        <v>23681171.51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</sheetData>
  <mergeCells count="16">
    <mergeCell ref="A1:AC1"/>
    <mergeCell ref="A2:AC2"/>
    <mergeCell ref="A3:AC3"/>
    <mergeCell ref="A4:AC4"/>
    <mergeCell ref="AD10:AD12"/>
    <mergeCell ref="AD13:AD15"/>
    <mergeCell ref="AD16:AD18"/>
    <mergeCell ref="AD40:AD42"/>
    <mergeCell ref="AD43:AD45"/>
    <mergeCell ref="AD19:AD21"/>
    <mergeCell ref="AD22:AD24"/>
    <mergeCell ref="AD25:AD27"/>
    <mergeCell ref="AD28:AD30"/>
    <mergeCell ref="AD31:AD33"/>
    <mergeCell ref="AD34:AD36"/>
    <mergeCell ref="AD37:AD39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71"/>
    <col customWidth="1" min="3" max="3" width="16.0"/>
    <col customWidth="1" min="4" max="4" width="13.0"/>
    <col customWidth="1" min="5" max="5" width="14.14"/>
    <col customWidth="1" min="6" max="6" width="10.71"/>
    <col customWidth="1" min="7" max="7" width="14.86"/>
    <col customWidth="1" min="8" max="19" width="10.71"/>
  </cols>
  <sheetData>
    <row r="1" ht="14.25" customHeight="1"/>
    <row r="2" ht="14.25" customHeight="1"/>
    <row r="3" ht="14.25" customHeight="1"/>
    <row r="4" ht="14.25" customHeight="1">
      <c r="A4" s="14" t="s">
        <v>3</v>
      </c>
    </row>
    <row r="5" ht="14.25" customHeight="1">
      <c r="A5" s="15"/>
      <c r="B5" s="14" t="s">
        <v>61</v>
      </c>
    </row>
    <row r="6" ht="14.25" customHeight="1">
      <c r="A6" s="15"/>
      <c r="B6" s="14" t="s">
        <v>38</v>
      </c>
    </row>
    <row r="7" ht="14.25" customHeight="1">
      <c r="A7" s="15"/>
      <c r="B7" s="17" t="s">
        <v>39</v>
      </c>
    </row>
    <row r="8" ht="14.25" customHeight="1">
      <c r="A8" s="15"/>
      <c r="B8" s="18" t="s">
        <v>40</v>
      </c>
    </row>
    <row r="9" ht="14.25" customHeight="1">
      <c r="A9" s="15"/>
      <c r="B9" s="17"/>
      <c r="C9" s="17"/>
      <c r="D9" s="17"/>
      <c r="E9" s="17"/>
    </row>
    <row r="10" ht="14.25" customHeight="1">
      <c r="A10" s="15"/>
      <c r="B10" s="47" t="s">
        <v>41</v>
      </c>
      <c r="C10" s="48"/>
      <c r="D10" s="48"/>
      <c r="E10" s="48"/>
      <c r="F10" s="49"/>
    </row>
    <row r="11">
      <c r="A11" s="15"/>
      <c r="B11" s="22" t="s">
        <v>4</v>
      </c>
      <c r="C11" s="23" t="s">
        <v>42</v>
      </c>
      <c r="D11" s="25" t="s">
        <v>43</v>
      </c>
      <c r="E11" s="25" t="s">
        <v>44</v>
      </c>
      <c r="F11" s="50" t="s">
        <v>45</v>
      </c>
    </row>
    <row r="12" ht="14.25" customHeight="1">
      <c r="A12" s="15"/>
      <c r="B12" s="57">
        <v>46783.0</v>
      </c>
      <c r="C12" s="51">
        <f>'Cant. Requeridas Producto 4'!AD10</f>
        <v>2000000</v>
      </c>
      <c r="D12" s="52"/>
      <c r="E12" s="58"/>
      <c r="F12" s="54"/>
    </row>
    <row r="13" ht="14.25" customHeight="1">
      <c r="A13" s="15"/>
      <c r="B13" s="57">
        <v>46784.0</v>
      </c>
      <c r="C13" s="51">
        <f>'Cant. Requeridas Producto 4'!AD13</f>
        <v>1904365.523</v>
      </c>
      <c r="D13" s="55"/>
      <c r="E13" s="53">
        <f t="shared" ref="E13:E23" si="1">C13*$D$13</f>
        <v>0</v>
      </c>
      <c r="F13" s="55"/>
    </row>
    <row r="14" ht="14.25" customHeight="1">
      <c r="A14" s="15"/>
      <c r="B14" s="57">
        <v>46813.0</v>
      </c>
      <c r="C14" s="51">
        <f>'Cant. Requeridas Producto 4'!AD16</f>
        <v>2024036.09</v>
      </c>
      <c r="D14" s="55"/>
      <c r="E14" s="53">
        <f t="shared" si="1"/>
        <v>0</v>
      </c>
      <c r="F14" s="55"/>
    </row>
    <row r="15" ht="14.25" customHeight="1">
      <c r="A15" s="15"/>
      <c r="B15" s="57">
        <v>46844.0</v>
      </c>
      <c r="C15" s="51">
        <f>'Cant. Requeridas Producto 4'!AD19</f>
        <v>1912721.269</v>
      </c>
      <c r="D15" s="55"/>
      <c r="E15" s="53">
        <f t="shared" si="1"/>
        <v>0</v>
      </c>
      <c r="F15" s="55"/>
    </row>
    <row r="16" ht="14.25" customHeight="1">
      <c r="A16" s="15"/>
      <c r="B16" s="57">
        <v>46874.0</v>
      </c>
      <c r="C16" s="53">
        <f>'Cant. Requeridas Producto 4'!AD22</f>
        <v>2005740.458</v>
      </c>
      <c r="D16" s="55"/>
      <c r="E16" s="53">
        <f t="shared" si="1"/>
        <v>0</v>
      </c>
      <c r="F16" s="55"/>
    </row>
    <row r="17" ht="14.25" customHeight="1">
      <c r="A17" s="15"/>
      <c r="B17" s="57">
        <v>46905.0</v>
      </c>
      <c r="C17" s="53">
        <f>'Cant. Requeridas Producto 4'!AD25</f>
        <v>1936757.359</v>
      </c>
      <c r="D17" s="55"/>
      <c r="E17" s="53">
        <f t="shared" si="1"/>
        <v>0</v>
      </c>
      <c r="F17" s="55"/>
    </row>
    <row r="18" ht="14.25" customHeight="1">
      <c r="A18" s="15"/>
      <c r="B18" s="57">
        <v>46935.0</v>
      </c>
      <c r="C18" s="53">
        <f>'Cant. Requeridas Producto 4'!AD28</f>
        <v>1981704.368</v>
      </c>
      <c r="D18" s="55"/>
      <c r="E18" s="53">
        <f t="shared" si="1"/>
        <v>0</v>
      </c>
      <c r="F18" s="55"/>
    </row>
    <row r="19" ht="14.25" customHeight="1">
      <c r="A19" s="15"/>
      <c r="B19" s="57">
        <v>46966.0</v>
      </c>
      <c r="C19" s="53">
        <f>'Cant. Requeridas Producto 4'!AD31</f>
        <v>2005740.458</v>
      </c>
      <c r="D19" s="55"/>
      <c r="E19" s="53">
        <f t="shared" si="1"/>
        <v>0</v>
      </c>
      <c r="F19" s="55"/>
    </row>
    <row r="20" ht="14.25" customHeight="1">
      <c r="A20" s="15"/>
      <c r="B20" s="57">
        <v>46997.0</v>
      </c>
      <c r="C20" s="53">
        <f>'Cant. Requeridas Producto 4'!AD34</f>
        <v>1967608.164</v>
      </c>
      <c r="D20" s="55"/>
      <c r="E20" s="53">
        <f t="shared" si="1"/>
        <v>0</v>
      </c>
      <c r="F20" s="55"/>
    </row>
    <row r="21" ht="14.25" customHeight="1">
      <c r="A21" s="15"/>
      <c r="B21" s="57">
        <v>47027.0</v>
      </c>
      <c r="C21" s="53">
        <f>'Cant. Requeridas Producto 4'!AD37</f>
        <v>2024036.09</v>
      </c>
      <c r="D21" s="55"/>
      <c r="E21" s="53">
        <f t="shared" si="1"/>
        <v>0</v>
      </c>
      <c r="F21" s="55"/>
    </row>
    <row r="22" ht="14.25" customHeight="1">
      <c r="A22" s="15"/>
      <c r="B22" s="57">
        <v>47058.0</v>
      </c>
      <c r="C22" s="51">
        <f>'Cant. Requeridas Producto 4'!AD40</f>
        <v>1936757.359</v>
      </c>
      <c r="D22" s="55"/>
      <c r="E22" s="53">
        <f t="shared" si="1"/>
        <v>0</v>
      </c>
      <c r="F22" s="55"/>
    </row>
    <row r="23" ht="14.25" customHeight="1">
      <c r="A23" s="15"/>
      <c r="B23" s="57">
        <v>47088.0</v>
      </c>
      <c r="C23" s="51">
        <f>'Cant. Requeridas Producto 4'!AD43</f>
        <v>1981704.368</v>
      </c>
      <c r="D23" s="56"/>
      <c r="E23" s="53">
        <f t="shared" si="1"/>
        <v>0</v>
      </c>
      <c r="F23" s="56"/>
    </row>
    <row r="24" ht="14.25" customHeight="1">
      <c r="A24" s="15"/>
      <c r="B24" s="37" t="s">
        <v>32</v>
      </c>
      <c r="C24" s="38">
        <f>SUM(C12:C23)</f>
        <v>23681171.51</v>
      </c>
      <c r="D24" s="39"/>
      <c r="E24" s="38">
        <f>SUM(E12:E23)</f>
        <v>0</v>
      </c>
      <c r="F24" s="39"/>
    </row>
    <row r="25" ht="14.25" customHeight="1">
      <c r="A25" s="15"/>
      <c r="B25" s="17"/>
      <c r="C25" s="40"/>
      <c r="D25" s="17"/>
      <c r="E25" s="17"/>
    </row>
    <row r="26" ht="14.25" customHeight="1">
      <c r="C26" s="41"/>
    </row>
    <row r="27" ht="30.0" customHeight="1">
      <c r="B27" s="42" t="s">
        <v>46</v>
      </c>
      <c r="E27" s="43"/>
    </row>
    <row r="28" ht="38.25" customHeight="1">
      <c r="B28" s="42" t="s">
        <v>62</v>
      </c>
      <c r="I28" s="42"/>
    </row>
    <row r="29" ht="44.25" customHeight="1">
      <c r="B29" s="42" t="s">
        <v>54</v>
      </c>
      <c r="I29" s="42"/>
    </row>
    <row r="30" ht="14.25" customHeight="1">
      <c r="B30" s="45"/>
    </row>
    <row r="31" ht="14.25" customHeight="1"/>
    <row r="32" ht="14.25" customHeight="1"/>
    <row r="33" ht="14.25" customHeight="1">
      <c r="B33" s="46"/>
      <c r="C33" s="46"/>
    </row>
    <row r="34" ht="14.25" customHeight="1">
      <c r="B34" s="4" t="s">
        <v>49</v>
      </c>
    </row>
    <row r="35" ht="14.25" customHeight="1">
      <c r="B35" s="4" t="s">
        <v>50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4">
    <mergeCell ref="D12:D23"/>
    <mergeCell ref="B27:D27"/>
    <mergeCell ref="B28:E28"/>
    <mergeCell ref="I28:N28"/>
    <mergeCell ref="B29:E29"/>
    <mergeCell ref="I29:N29"/>
    <mergeCell ref="B30:E30"/>
    <mergeCell ref="A4:F4"/>
    <mergeCell ref="B5:E5"/>
    <mergeCell ref="B6:E6"/>
    <mergeCell ref="B7:E7"/>
    <mergeCell ref="B8:E8"/>
    <mergeCell ref="B10:F10"/>
    <mergeCell ref="F12:F2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4" width="10.71"/>
    <col customWidth="1" min="5" max="5" width="11.29"/>
    <col customWidth="1" min="6" max="26" width="10.71"/>
    <col customWidth="1" min="27" max="27" width="13.43"/>
    <col customWidth="1" min="28" max="28" width="7.86"/>
    <col customWidth="1" min="29" max="30" width="18.43"/>
  </cols>
  <sheetData>
    <row r="1" ht="14.25" customHeight="1">
      <c r="A1" s="1" t="s">
        <v>0</v>
      </c>
      <c r="AD1" s="1"/>
    </row>
    <row r="2" ht="14.25" customHeight="1">
      <c r="A2" s="1" t="s">
        <v>63</v>
      </c>
      <c r="AD2" s="1"/>
    </row>
    <row r="3" ht="14.25" customHeight="1">
      <c r="A3" s="1" t="s">
        <v>64</v>
      </c>
      <c r="AD3" s="1"/>
    </row>
    <row r="4" ht="14.25" customHeight="1">
      <c r="A4" s="1" t="s">
        <v>3</v>
      </c>
      <c r="AD4" s="1"/>
    </row>
    <row r="5" ht="14.25" customHeight="1">
      <c r="A5" s="2"/>
      <c r="B5" s="3"/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4"/>
      <c r="X5" s="4"/>
      <c r="Y5" s="4"/>
      <c r="Z5" s="4"/>
      <c r="AA5" s="4"/>
      <c r="AB5" s="4"/>
    </row>
    <row r="6" ht="14.25" customHeight="1">
      <c r="A6" s="2"/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4"/>
      <c r="X6" s="4"/>
      <c r="Y6" s="4"/>
      <c r="Z6" s="4"/>
      <c r="AA6" s="4"/>
      <c r="AB6" s="4"/>
    </row>
    <row r="7" ht="14.25" customHeight="1">
      <c r="A7" s="2"/>
      <c r="B7" s="3"/>
      <c r="C7" s="3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4.25" customHeight="1">
      <c r="A8" s="2"/>
      <c r="B8" s="3"/>
      <c r="C8" s="3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4.25" customHeight="1">
      <c r="A9" s="5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6" t="s">
        <v>13</v>
      </c>
      <c r="K9" s="6" t="s">
        <v>14</v>
      </c>
      <c r="L9" s="6" t="s">
        <v>15</v>
      </c>
      <c r="M9" s="6" t="s">
        <v>16</v>
      </c>
      <c r="N9" s="6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  <c r="Z9" s="6" t="s">
        <v>29</v>
      </c>
      <c r="AA9" s="6" t="s">
        <v>30</v>
      </c>
      <c r="AB9" s="6" t="s">
        <v>31</v>
      </c>
      <c r="AC9" s="6" t="s">
        <v>32</v>
      </c>
      <c r="AD9" s="6" t="s">
        <v>33</v>
      </c>
    </row>
    <row r="10" ht="14.25" customHeight="1">
      <c r="A10" s="7">
        <v>47119.0</v>
      </c>
      <c r="B10" s="8" t="s">
        <v>34</v>
      </c>
      <c r="C10" s="8">
        <v>1789.42245</v>
      </c>
      <c r="D10" s="8">
        <v>1716.199226</v>
      </c>
      <c r="E10" s="8">
        <v>1675.242261</v>
      </c>
      <c r="F10" s="8">
        <v>1658.499934</v>
      </c>
      <c r="G10" s="8">
        <v>1684.074551</v>
      </c>
      <c r="H10" s="8">
        <v>1792.152715</v>
      </c>
      <c r="I10" s="8">
        <v>2168.520715</v>
      </c>
      <c r="J10" s="8">
        <v>2721.029537</v>
      </c>
      <c r="K10" s="8">
        <v>3183.272762</v>
      </c>
      <c r="L10" s="8">
        <v>3495.437472</v>
      </c>
      <c r="M10" s="8">
        <v>3749.40539</v>
      </c>
      <c r="N10" s="8">
        <v>3902.252663</v>
      </c>
      <c r="O10" s="8">
        <v>3850.922688</v>
      </c>
      <c r="P10" s="8">
        <v>3864.081001</v>
      </c>
      <c r="Q10" s="8">
        <v>3966.464102</v>
      </c>
      <c r="R10" s="8">
        <v>3968.138343</v>
      </c>
      <c r="S10" s="8">
        <v>3856.287608</v>
      </c>
      <c r="T10" s="8">
        <v>3598.872938</v>
      </c>
      <c r="U10" s="8">
        <v>3409.257046</v>
      </c>
      <c r="V10" s="8">
        <v>3193.822775</v>
      </c>
      <c r="W10" s="8">
        <v>2909.013839</v>
      </c>
      <c r="X10" s="8">
        <v>2585.22871</v>
      </c>
      <c r="Y10" s="8">
        <v>2240.427692</v>
      </c>
      <c r="Z10" s="8">
        <v>2005.072964</v>
      </c>
      <c r="AA10" s="9">
        <f t="shared" ref="AA10:AA45" si="1">SUM(C10:Z10)</f>
        <v>68983.09938</v>
      </c>
      <c r="AB10" s="9">
        <v>21.0</v>
      </c>
      <c r="AC10" s="9">
        <f t="shared" ref="AC10:AC45" si="2">AA10*AB10</f>
        <v>1448645.087</v>
      </c>
      <c r="AD10" s="10">
        <f>SUM(AC10:AC12)</f>
        <v>2005740.458</v>
      </c>
    </row>
    <row r="11" ht="14.25" customHeight="1">
      <c r="A11" s="7">
        <v>47119.0</v>
      </c>
      <c r="B11" s="8" t="s">
        <v>35</v>
      </c>
      <c r="C11" s="8">
        <v>1944.42122</v>
      </c>
      <c r="D11" s="8">
        <v>1842.912902</v>
      </c>
      <c r="E11" s="8">
        <v>1786.312658</v>
      </c>
      <c r="F11" s="8">
        <v>1742.435707</v>
      </c>
      <c r="G11" s="8">
        <v>1750.84291</v>
      </c>
      <c r="H11" s="8">
        <v>1757.986244</v>
      </c>
      <c r="I11" s="8">
        <v>2013.872788</v>
      </c>
      <c r="J11" s="8">
        <v>2472.636506</v>
      </c>
      <c r="K11" s="8">
        <v>2908.449371</v>
      </c>
      <c r="L11" s="8">
        <v>3248.819029</v>
      </c>
      <c r="M11" s="8">
        <v>3461.218666</v>
      </c>
      <c r="N11" s="8">
        <v>3558.693026</v>
      </c>
      <c r="O11" s="8">
        <v>3458.85554</v>
      </c>
      <c r="P11" s="8">
        <v>3349.234037</v>
      </c>
      <c r="Q11" s="8">
        <v>3273.991256</v>
      </c>
      <c r="R11" s="8">
        <v>3255.744707</v>
      </c>
      <c r="S11" s="8">
        <v>3216.638361</v>
      </c>
      <c r="T11" s="8">
        <v>3155.856921</v>
      </c>
      <c r="U11" s="8">
        <v>3082.652154</v>
      </c>
      <c r="V11" s="8">
        <v>2921.267773</v>
      </c>
      <c r="W11" s="8">
        <v>2672.604126</v>
      </c>
      <c r="X11" s="8">
        <v>2393.004475</v>
      </c>
      <c r="Y11" s="8">
        <v>2094.301368</v>
      </c>
      <c r="Z11" s="8">
        <v>1879.889325</v>
      </c>
      <c r="AA11" s="9">
        <f t="shared" si="1"/>
        <v>63242.64107</v>
      </c>
      <c r="AB11" s="9">
        <v>4.0</v>
      </c>
      <c r="AC11" s="9">
        <f t="shared" si="2"/>
        <v>252970.5643</v>
      </c>
      <c r="AD11" s="11"/>
    </row>
    <row r="12" ht="14.25" customHeight="1">
      <c r="A12" s="7">
        <v>47119.0</v>
      </c>
      <c r="B12" s="8" t="s">
        <v>36</v>
      </c>
      <c r="C12" s="8">
        <v>1740.94595</v>
      </c>
      <c r="D12" s="8">
        <v>1654.478322</v>
      </c>
      <c r="E12" s="8">
        <v>1574.591597</v>
      </c>
      <c r="F12" s="8">
        <v>1534.002811</v>
      </c>
      <c r="G12" s="8">
        <v>1499.780014</v>
      </c>
      <c r="H12" s="8">
        <v>1470.355259</v>
      </c>
      <c r="I12" s="8">
        <v>1517.883898</v>
      </c>
      <c r="J12" s="8">
        <v>1696.730625</v>
      </c>
      <c r="K12" s="8">
        <v>1931.959482</v>
      </c>
      <c r="L12" s="8">
        <v>2259.074969</v>
      </c>
      <c r="M12" s="8">
        <v>2523.326648</v>
      </c>
      <c r="N12" s="8">
        <v>2672.915063</v>
      </c>
      <c r="O12" s="8">
        <v>2724.442451</v>
      </c>
      <c r="P12" s="8">
        <v>2736.875839</v>
      </c>
      <c r="Q12" s="8">
        <v>2717.970834</v>
      </c>
      <c r="R12" s="8">
        <v>2704.809029</v>
      </c>
      <c r="S12" s="8">
        <v>2640.818988</v>
      </c>
      <c r="T12" s="8">
        <v>2576.744354</v>
      </c>
      <c r="U12" s="8">
        <v>2540.87496</v>
      </c>
      <c r="V12" s="8">
        <v>2414.274435</v>
      </c>
      <c r="W12" s="8">
        <v>2209.339587</v>
      </c>
      <c r="X12" s="8">
        <v>1973.991385</v>
      </c>
      <c r="Y12" s="8">
        <v>1762.25935</v>
      </c>
      <c r="Z12" s="8">
        <v>1609.021991</v>
      </c>
      <c r="AA12" s="9">
        <f t="shared" si="1"/>
        <v>50687.46784</v>
      </c>
      <c r="AB12" s="9">
        <v>6.0</v>
      </c>
      <c r="AC12" s="9">
        <f t="shared" si="2"/>
        <v>304124.807</v>
      </c>
      <c r="AD12" s="12"/>
    </row>
    <row r="13" ht="14.25" customHeight="1">
      <c r="A13" s="7">
        <v>47150.0</v>
      </c>
      <c r="B13" s="8" t="s">
        <v>34</v>
      </c>
      <c r="C13" s="8">
        <v>1789.42245</v>
      </c>
      <c r="D13" s="8">
        <v>1716.199226</v>
      </c>
      <c r="E13" s="8">
        <v>1675.242261</v>
      </c>
      <c r="F13" s="8">
        <v>1658.499934</v>
      </c>
      <c r="G13" s="8">
        <v>1684.074551</v>
      </c>
      <c r="H13" s="8">
        <v>1792.152715</v>
      </c>
      <c r="I13" s="8">
        <v>2168.520715</v>
      </c>
      <c r="J13" s="8">
        <v>2721.029537</v>
      </c>
      <c r="K13" s="8">
        <v>3183.272762</v>
      </c>
      <c r="L13" s="8">
        <v>3495.437472</v>
      </c>
      <c r="M13" s="8">
        <v>3749.40539</v>
      </c>
      <c r="N13" s="8">
        <v>3902.252663</v>
      </c>
      <c r="O13" s="8">
        <v>3850.922688</v>
      </c>
      <c r="P13" s="8">
        <v>3864.081001</v>
      </c>
      <c r="Q13" s="8">
        <v>3966.464102</v>
      </c>
      <c r="R13" s="8">
        <v>3968.138343</v>
      </c>
      <c r="S13" s="8">
        <v>3856.287608</v>
      </c>
      <c r="T13" s="8">
        <v>3598.872938</v>
      </c>
      <c r="U13" s="8">
        <v>3409.257046</v>
      </c>
      <c r="V13" s="8">
        <v>3193.822775</v>
      </c>
      <c r="W13" s="8">
        <v>2909.013839</v>
      </c>
      <c r="X13" s="8">
        <v>2585.22871</v>
      </c>
      <c r="Y13" s="8">
        <v>2240.427692</v>
      </c>
      <c r="Z13" s="8">
        <v>2005.072964</v>
      </c>
      <c r="AA13" s="9">
        <f t="shared" si="1"/>
        <v>68983.09938</v>
      </c>
      <c r="AB13" s="9">
        <v>20.0</v>
      </c>
      <c r="AC13" s="9">
        <f t="shared" si="2"/>
        <v>1379661.988</v>
      </c>
      <c r="AD13" s="10">
        <f>SUM(AC13:AC15)</f>
        <v>1835382.423</v>
      </c>
    </row>
    <row r="14" ht="14.25" customHeight="1">
      <c r="A14" s="7">
        <v>47150.0</v>
      </c>
      <c r="B14" s="8" t="s">
        <v>35</v>
      </c>
      <c r="C14" s="8">
        <v>1944.42122</v>
      </c>
      <c r="D14" s="8">
        <v>1842.912902</v>
      </c>
      <c r="E14" s="8">
        <v>1786.312658</v>
      </c>
      <c r="F14" s="8">
        <v>1742.435707</v>
      </c>
      <c r="G14" s="8">
        <v>1750.84291</v>
      </c>
      <c r="H14" s="8">
        <v>1757.986244</v>
      </c>
      <c r="I14" s="8">
        <v>2013.872788</v>
      </c>
      <c r="J14" s="8">
        <v>2472.636506</v>
      </c>
      <c r="K14" s="8">
        <v>2908.449371</v>
      </c>
      <c r="L14" s="8">
        <v>3248.819029</v>
      </c>
      <c r="M14" s="8">
        <v>3461.218666</v>
      </c>
      <c r="N14" s="8">
        <v>3558.693026</v>
      </c>
      <c r="O14" s="8">
        <v>3458.85554</v>
      </c>
      <c r="P14" s="8">
        <v>3349.234037</v>
      </c>
      <c r="Q14" s="8">
        <v>3273.991256</v>
      </c>
      <c r="R14" s="8">
        <v>3255.744707</v>
      </c>
      <c r="S14" s="8">
        <v>3216.638361</v>
      </c>
      <c r="T14" s="8">
        <v>3155.856921</v>
      </c>
      <c r="U14" s="8">
        <v>3082.652154</v>
      </c>
      <c r="V14" s="8">
        <v>2921.267773</v>
      </c>
      <c r="W14" s="8">
        <v>2672.604126</v>
      </c>
      <c r="X14" s="8">
        <v>2393.004475</v>
      </c>
      <c r="Y14" s="8">
        <v>2094.301368</v>
      </c>
      <c r="Z14" s="8">
        <v>1879.889325</v>
      </c>
      <c r="AA14" s="9">
        <f t="shared" si="1"/>
        <v>63242.64107</v>
      </c>
      <c r="AB14" s="9">
        <v>4.0</v>
      </c>
      <c r="AC14" s="9">
        <f t="shared" si="2"/>
        <v>252970.5643</v>
      </c>
      <c r="AD14" s="11"/>
    </row>
    <row r="15" ht="14.25" customHeight="1">
      <c r="A15" s="7">
        <v>47150.0</v>
      </c>
      <c r="B15" s="8" t="s">
        <v>36</v>
      </c>
      <c r="C15" s="8">
        <v>1740.94595</v>
      </c>
      <c r="D15" s="8">
        <v>1654.478322</v>
      </c>
      <c r="E15" s="8">
        <v>1574.591597</v>
      </c>
      <c r="F15" s="8">
        <v>1534.002811</v>
      </c>
      <c r="G15" s="8">
        <v>1499.780014</v>
      </c>
      <c r="H15" s="8">
        <v>1470.355259</v>
      </c>
      <c r="I15" s="8">
        <v>1517.883898</v>
      </c>
      <c r="J15" s="8">
        <v>1696.730625</v>
      </c>
      <c r="K15" s="8">
        <v>1931.959482</v>
      </c>
      <c r="L15" s="8">
        <v>2259.074969</v>
      </c>
      <c r="M15" s="8">
        <v>2523.326648</v>
      </c>
      <c r="N15" s="8">
        <v>2672.915063</v>
      </c>
      <c r="O15" s="8">
        <v>2724.442451</v>
      </c>
      <c r="P15" s="8">
        <v>2736.875839</v>
      </c>
      <c r="Q15" s="8">
        <v>2717.970834</v>
      </c>
      <c r="R15" s="8">
        <v>2704.809029</v>
      </c>
      <c r="S15" s="8">
        <v>2640.818988</v>
      </c>
      <c r="T15" s="8">
        <v>2576.744354</v>
      </c>
      <c r="U15" s="8">
        <v>2540.87496</v>
      </c>
      <c r="V15" s="8">
        <v>2414.274435</v>
      </c>
      <c r="W15" s="8">
        <v>2209.339587</v>
      </c>
      <c r="X15" s="8">
        <v>1973.991385</v>
      </c>
      <c r="Y15" s="8">
        <v>1762.25935</v>
      </c>
      <c r="Z15" s="8">
        <v>1609.021991</v>
      </c>
      <c r="AA15" s="9">
        <f t="shared" si="1"/>
        <v>50687.46784</v>
      </c>
      <c r="AB15" s="9">
        <v>4.0</v>
      </c>
      <c r="AC15" s="9">
        <f t="shared" si="2"/>
        <v>202749.8714</v>
      </c>
      <c r="AD15" s="12"/>
    </row>
    <row r="16" ht="14.25" customHeight="1">
      <c r="A16" s="7">
        <v>47178.0</v>
      </c>
      <c r="B16" s="8" t="s">
        <v>34</v>
      </c>
      <c r="C16" s="8">
        <v>1789.42245</v>
      </c>
      <c r="D16" s="8">
        <v>1716.199226</v>
      </c>
      <c r="E16" s="8">
        <v>1675.242261</v>
      </c>
      <c r="F16" s="8">
        <v>1658.499934</v>
      </c>
      <c r="G16" s="8">
        <v>1684.074551</v>
      </c>
      <c r="H16" s="8">
        <v>1792.152715</v>
      </c>
      <c r="I16" s="8">
        <v>2168.520715</v>
      </c>
      <c r="J16" s="8">
        <v>2721.029537</v>
      </c>
      <c r="K16" s="8">
        <v>3183.272762</v>
      </c>
      <c r="L16" s="8">
        <v>3495.437472</v>
      </c>
      <c r="M16" s="8">
        <v>3749.40539</v>
      </c>
      <c r="N16" s="8">
        <v>3902.252663</v>
      </c>
      <c r="O16" s="8">
        <v>3850.922688</v>
      </c>
      <c r="P16" s="8">
        <v>3864.081001</v>
      </c>
      <c r="Q16" s="8">
        <v>3966.464102</v>
      </c>
      <c r="R16" s="8">
        <v>3968.138343</v>
      </c>
      <c r="S16" s="8">
        <v>3856.287608</v>
      </c>
      <c r="T16" s="8">
        <v>3598.872938</v>
      </c>
      <c r="U16" s="8">
        <v>3409.257046</v>
      </c>
      <c r="V16" s="8">
        <v>3193.822775</v>
      </c>
      <c r="W16" s="8">
        <v>2909.013839</v>
      </c>
      <c r="X16" s="8">
        <v>2585.22871</v>
      </c>
      <c r="Y16" s="8">
        <v>2240.427692</v>
      </c>
      <c r="Z16" s="8">
        <v>2005.072964</v>
      </c>
      <c r="AA16" s="9">
        <f t="shared" si="1"/>
        <v>68983.09938</v>
      </c>
      <c r="AB16" s="9">
        <v>19.0</v>
      </c>
      <c r="AC16" s="9">
        <f t="shared" si="2"/>
        <v>1310678.888</v>
      </c>
      <c r="AD16" s="10">
        <f>SUM(AC16:AC18)</f>
        <v>1981704.368</v>
      </c>
    </row>
    <row r="17" ht="14.25" customHeight="1">
      <c r="A17" s="7">
        <v>47178.0</v>
      </c>
      <c r="B17" s="8" t="s">
        <v>35</v>
      </c>
      <c r="C17" s="8">
        <v>1944.42122</v>
      </c>
      <c r="D17" s="8">
        <v>1842.912902</v>
      </c>
      <c r="E17" s="8">
        <v>1786.312658</v>
      </c>
      <c r="F17" s="8">
        <v>1742.435707</v>
      </c>
      <c r="G17" s="8">
        <v>1750.84291</v>
      </c>
      <c r="H17" s="8">
        <v>1757.986244</v>
      </c>
      <c r="I17" s="8">
        <v>2013.872788</v>
      </c>
      <c r="J17" s="8">
        <v>2472.636506</v>
      </c>
      <c r="K17" s="8">
        <v>2908.449371</v>
      </c>
      <c r="L17" s="8">
        <v>3248.819029</v>
      </c>
      <c r="M17" s="8">
        <v>3461.218666</v>
      </c>
      <c r="N17" s="8">
        <v>3558.693026</v>
      </c>
      <c r="O17" s="8">
        <v>3458.85554</v>
      </c>
      <c r="P17" s="8">
        <v>3349.234037</v>
      </c>
      <c r="Q17" s="8">
        <v>3273.991256</v>
      </c>
      <c r="R17" s="8">
        <v>3255.744707</v>
      </c>
      <c r="S17" s="8">
        <v>3216.638361</v>
      </c>
      <c r="T17" s="8">
        <v>3155.856921</v>
      </c>
      <c r="U17" s="8">
        <v>3082.652154</v>
      </c>
      <c r="V17" s="8">
        <v>2921.267773</v>
      </c>
      <c r="W17" s="8">
        <v>2672.604126</v>
      </c>
      <c r="X17" s="8">
        <v>2393.004475</v>
      </c>
      <c r="Y17" s="8">
        <v>2094.301368</v>
      </c>
      <c r="Z17" s="8">
        <v>1879.889325</v>
      </c>
      <c r="AA17" s="9">
        <f t="shared" si="1"/>
        <v>63242.64107</v>
      </c>
      <c r="AB17" s="9">
        <v>5.0</v>
      </c>
      <c r="AC17" s="9">
        <f t="shared" si="2"/>
        <v>316213.2054</v>
      </c>
      <c r="AD17" s="11"/>
    </row>
    <row r="18" ht="14.25" customHeight="1">
      <c r="A18" s="7">
        <v>47178.0</v>
      </c>
      <c r="B18" s="8" t="s">
        <v>36</v>
      </c>
      <c r="C18" s="8">
        <v>1740.94595</v>
      </c>
      <c r="D18" s="8">
        <v>1654.478322</v>
      </c>
      <c r="E18" s="8">
        <v>1574.591597</v>
      </c>
      <c r="F18" s="8">
        <v>1534.002811</v>
      </c>
      <c r="G18" s="8">
        <v>1499.780014</v>
      </c>
      <c r="H18" s="8">
        <v>1470.355259</v>
      </c>
      <c r="I18" s="8">
        <v>1517.883898</v>
      </c>
      <c r="J18" s="8">
        <v>1696.730625</v>
      </c>
      <c r="K18" s="8">
        <v>1931.959482</v>
      </c>
      <c r="L18" s="8">
        <v>2259.074969</v>
      </c>
      <c r="M18" s="8">
        <v>2523.326648</v>
      </c>
      <c r="N18" s="8">
        <v>2672.915063</v>
      </c>
      <c r="O18" s="8">
        <v>2724.442451</v>
      </c>
      <c r="P18" s="8">
        <v>2736.875839</v>
      </c>
      <c r="Q18" s="8">
        <v>2717.970834</v>
      </c>
      <c r="R18" s="8">
        <v>2704.809029</v>
      </c>
      <c r="S18" s="8">
        <v>2640.818988</v>
      </c>
      <c r="T18" s="8">
        <v>2576.744354</v>
      </c>
      <c r="U18" s="8">
        <v>2540.87496</v>
      </c>
      <c r="V18" s="8">
        <v>2414.274435</v>
      </c>
      <c r="W18" s="8">
        <v>2209.339587</v>
      </c>
      <c r="X18" s="8">
        <v>1973.991385</v>
      </c>
      <c r="Y18" s="8">
        <v>1762.25935</v>
      </c>
      <c r="Z18" s="8">
        <v>1609.021991</v>
      </c>
      <c r="AA18" s="9">
        <f t="shared" si="1"/>
        <v>50687.46784</v>
      </c>
      <c r="AB18" s="9">
        <v>7.0</v>
      </c>
      <c r="AC18" s="9">
        <f t="shared" si="2"/>
        <v>354812.2749</v>
      </c>
      <c r="AD18" s="12"/>
    </row>
    <row r="19" ht="14.25" customHeight="1">
      <c r="A19" s="7">
        <v>47209.0</v>
      </c>
      <c r="B19" s="8" t="s">
        <v>34</v>
      </c>
      <c r="C19" s="8">
        <v>1789.42245</v>
      </c>
      <c r="D19" s="8">
        <v>1716.199226</v>
      </c>
      <c r="E19" s="8">
        <v>1675.242261</v>
      </c>
      <c r="F19" s="8">
        <v>1658.499934</v>
      </c>
      <c r="G19" s="8">
        <v>1684.074551</v>
      </c>
      <c r="H19" s="8">
        <v>1792.152715</v>
      </c>
      <c r="I19" s="8">
        <v>2168.520715</v>
      </c>
      <c r="J19" s="8">
        <v>2721.029537</v>
      </c>
      <c r="K19" s="8">
        <v>3183.272762</v>
      </c>
      <c r="L19" s="8">
        <v>3495.437472</v>
      </c>
      <c r="M19" s="8">
        <v>3749.40539</v>
      </c>
      <c r="N19" s="8">
        <v>3902.252663</v>
      </c>
      <c r="O19" s="8">
        <v>3850.922688</v>
      </c>
      <c r="P19" s="8">
        <v>3864.081001</v>
      </c>
      <c r="Q19" s="8">
        <v>3966.464102</v>
      </c>
      <c r="R19" s="8">
        <v>3968.138343</v>
      </c>
      <c r="S19" s="8">
        <v>3856.287608</v>
      </c>
      <c r="T19" s="8">
        <v>3598.872938</v>
      </c>
      <c r="U19" s="8">
        <v>3409.257046</v>
      </c>
      <c r="V19" s="8">
        <v>3193.822775</v>
      </c>
      <c r="W19" s="8">
        <v>2909.013839</v>
      </c>
      <c r="X19" s="8">
        <v>2585.22871</v>
      </c>
      <c r="Y19" s="8">
        <v>2240.427692</v>
      </c>
      <c r="Z19" s="8">
        <v>2005.072964</v>
      </c>
      <c r="AA19" s="9">
        <f t="shared" si="1"/>
        <v>68983.09938</v>
      </c>
      <c r="AB19" s="9">
        <v>21.0</v>
      </c>
      <c r="AC19" s="9">
        <f t="shared" si="2"/>
        <v>1448645.087</v>
      </c>
      <c r="AD19" s="10">
        <f>SUM(AC19:AC21)</f>
        <v>1955052.991</v>
      </c>
    </row>
    <row r="20" ht="14.25" customHeight="1">
      <c r="A20" s="7">
        <v>47209.0</v>
      </c>
      <c r="B20" s="8" t="s">
        <v>35</v>
      </c>
      <c r="C20" s="8">
        <v>1944.42122</v>
      </c>
      <c r="D20" s="8">
        <v>1842.912902</v>
      </c>
      <c r="E20" s="8">
        <v>1786.312658</v>
      </c>
      <c r="F20" s="8">
        <v>1742.435707</v>
      </c>
      <c r="G20" s="8">
        <v>1750.84291</v>
      </c>
      <c r="H20" s="8">
        <v>1757.986244</v>
      </c>
      <c r="I20" s="8">
        <v>2013.872788</v>
      </c>
      <c r="J20" s="8">
        <v>2472.636506</v>
      </c>
      <c r="K20" s="8">
        <v>2908.449371</v>
      </c>
      <c r="L20" s="8">
        <v>3248.819029</v>
      </c>
      <c r="M20" s="8">
        <v>3461.218666</v>
      </c>
      <c r="N20" s="8">
        <v>3558.693026</v>
      </c>
      <c r="O20" s="8">
        <v>3458.85554</v>
      </c>
      <c r="P20" s="8">
        <v>3349.234037</v>
      </c>
      <c r="Q20" s="8">
        <v>3273.991256</v>
      </c>
      <c r="R20" s="8">
        <v>3255.744707</v>
      </c>
      <c r="S20" s="8">
        <v>3216.638361</v>
      </c>
      <c r="T20" s="8">
        <v>3155.856921</v>
      </c>
      <c r="U20" s="8">
        <v>3082.652154</v>
      </c>
      <c r="V20" s="8">
        <v>2921.267773</v>
      </c>
      <c r="W20" s="8">
        <v>2672.604126</v>
      </c>
      <c r="X20" s="8">
        <v>2393.004475</v>
      </c>
      <c r="Y20" s="8">
        <v>2094.301368</v>
      </c>
      <c r="Z20" s="8">
        <v>1879.889325</v>
      </c>
      <c r="AA20" s="9">
        <f t="shared" si="1"/>
        <v>63242.64107</v>
      </c>
      <c r="AB20" s="9">
        <v>4.0</v>
      </c>
      <c r="AC20" s="9">
        <f t="shared" si="2"/>
        <v>252970.5643</v>
      </c>
      <c r="AD20" s="11"/>
    </row>
    <row r="21" ht="14.25" customHeight="1">
      <c r="A21" s="7">
        <v>47209.0</v>
      </c>
      <c r="B21" s="8" t="s">
        <v>36</v>
      </c>
      <c r="C21" s="8">
        <v>1740.94595</v>
      </c>
      <c r="D21" s="8">
        <v>1654.478322</v>
      </c>
      <c r="E21" s="8">
        <v>1574.591597</v>
      </c>
      <c r="F21" s="8">
        <v>1534.002811</v>
      </c>
      <c r="G21" s="8">
        <v>1499.780014</v>
      </c>
      <c r="H21" s="8">
        <v>1470.355259</v>
      </c>
      <c r="I21" s="8">
        <v>1517.883898</v>
      </c>
      <c r="J21" s="8">
        <v>1696.730625</v>
      </c>
      <c r="K21" s="8">
        <v>1931.959482</v>
      </c>
      <c r="L21" s="8">
        <v>2259.074969</v>
      </c>
      <c r="M21" s="8">
        <v>2523.326648</v>
      </c>
      <c r="N21" s="8">
        <v>2672.915063</v>
      </c>
      <c r="O21" s="8">
        <v>2724.442451</v>
      </c>
      <c r="P21" s="8">
        <v>2736.875839</v>
      </c>
      <c r="Q21" s="8">
        <v>2717.970834</v>
      </c>
      <c r="R21" s="8">
        <v>2704.809029</v>
      </c>
      <c r="S21" s="8">
        <v>2640.818988</v>
      </c>
      <c r="T21" s="8">
        <v>2576.744354</v>
      </c>
      <c r="U21" s="8">
        <v>2540.87496</v>
      </c>
      <c r="V21" s="8">
        <v>2414.274435</v>
      </c>
      <c r="W21" s="8">
        <v>2209.339587</v>
      </c>
      <c r="X21" s="8">
        <v>1973.991385</v>
      </c>
      <c r="Y21" s="8">
        <v>1762.25935</v>
      </c>
      <c r="Z21" s="8">
        <v>1609.021991</v>
      </c>
      <c r="AA21" s="9">
        <f t="shared" si="1"/>
        <v>50687.46784</v>
      </c>
      <c r="AB21" s="9">
        <v>5.0</v>
      </c>
      <c r="AC21" s="9">
        <f t="shared" si="2"/>
        <v>253437.3392</v>
      </c>
      <c r="AD21" s="12"/>
    </row>
    <row r="22" ht="14.25" customHeight="1">
      <c r="A22" s="7">
        <v>47239.0</v>
      </c>
      <c r="B22" s="8" t="s">
        <v>34</v>
      </c>
      <c r="C22" s="8">
        <v>1789.42245</v>
      </c>
      <c r="D22" s="8">
        <v>1716.199226</v>
      </c>
      <c r="E22" s="8">
        <v>1675.242261</v>
      </c>
      <c r="F22" s="8">
        <v>1658.499934</v>
      </c>
      <c r="G22" s="8">
        <v>1684.074551</v>
      </c>
      <c r="H22" s="8">
        <v>1792.152715</v>
      </c>
      <c r="I22" s="8">
        <v>2168.520715</v>
      </c>
      <c r="J22" s="8">
        <v>2721.029537</v>
      </c>
      <c r="K22" s="8">
        <v>3183.272762</v>
      </c>
      <c r="L22" s="8">
        <v>3495.437472</v>
      </c>
      <c r="M22" s="8">
        <v>3749.40539</v>
      </c>
      <c r="N22" s="8">
        <v>3902.252663</v>
      </c>
      <c r="O22" s="8">
        <v>3850.922688</v>
      </c>
      <c r="P22" s="8">
        <v>3864.081001</v>
      </c>
      <c r="Q22" s="8">
        <v>3966.464102</v>
      </c>
      <c r="R22" s="8">
        <v>3968.138343</v>
      </c>
      <c r="S22" s="8">
        <v>3856.287608</v>
      </c>
      <c r="T22" s="8">
        <v>3598.872938</v>
      </c>
      <c r="U22" s="8">
        <v>3409.257046</v>
      </c>
      <c r="V22" s="8">
        <v>3193.822775</v>
      </c>
      <c r="W22" s="8">
        <v>2909.013839</v>
      </c>
      <c r="X22" s="8">
        <v>2585.22871</v>
      </c>
      <c r="Y22" s="8">
        <v>2240.427692</v>
      </c>
      <c r="Z22" s="8">
        <v>2005.072964</v>
      </c>
      <c r="AA22" s="9">
        <f t="shared" si="1"/>
        <v>68983.09938</v>
      </c>
      <c r="AB22" s="9">
        <v>21.0</v>
      </c>
      <c r="AC22" s="9">
        <f t="shared" si="2"/>
        <v>1448645.087</v>
      </c>
      <c r="AD22" s="10">
        <f>SUM(AC22:AC24)</f>
        <v>2005740.458</v>
      </c>
    </row>
    <row r="23" ht="14.25" customHeight="1">
      <c r="A23" s="7">
        <v>47239.0</v>
      </c>
      <c r="B23" s="8" t="s">
        <v>35</v>
      </c>
      <c r="C23" s="8">
        <v>1944.42122</v>
      </c>
      <c r="D23" s="8">
        <v>1842.912902</v>
      </c>
      <c r="E23" s="8">
        <v>1786.312658</v>
      </c>
      <c r="F23" s="8">
        <v>1742.435707</v>
      </c>
      <c r="G23" s="8">
        <v>1750.84291</v>
      </c>
      <c r="H23" s="8">
        <v>1757.986244</v>
      </c>
      <c r="I23" s="8">
        <v>2013.872788</v>
      </c>
      <c r="J23" s="8">
        <v>2472.636506</v>
      </c>
      <c r="K23" s="8">
        <v>2908.449371</v>
      </c>
      <c r="L23" s="8">
        <v>3248.819029</v>
      </c>
      <c r="M23" s="8">
        <v>3461.218666</v>
      </c>
      <c r="N23" s="8">
        <v>3558.693026</v>
      </c>
      <c r="O23" s="8">
        <v>3458.85554</v>
      </c>
      <c r="P23" s="8">
        <v>3349.234037</v>
      </c>
      <c r="Q23" s="8">
        <v>3273.991256</v>
      </c>
      <c r="R23" s="8">
        <v>3255.744707</v>
      </c>
      <c r="S23" s="8">
        <v>3216.638361</v>
      </c>
      <c r="T23" s="8">
        <v>3155.856921</v>
      </c>
      <c r="U23" s="8">
        <v>3082.652154</v>
      </c>
      <c r="V23" s="8">
        <v>2921.267773</v>
      </c>
      <c r="W23" s="8">
        <v>2672.604126</v>
      </c>
      <c r="X23" s="8">
        <v>2393.004475</v>
      </c>
      <c r="Y23" s="8">
        <v>2094.301368</v>
      </c>
      <c r="Z23" s="8">
        <v>1879.889325</v>
      </c>
      <c r="AA23" s="9">
        <f t="shared" si="1"/>
        <v>63242.64107</v>
      </c>
      <c r="AB23" s="9">
        <v>4.0</v>
      </c>
      <c r="AC23" s="9">
        <f t="shared" si="2"/>
        <v>252970.5643</v>
      </c>
      <c r="AD23" s="11"/>
    </row>
    <row r="24" ht="14.25" customHeight="1">
      <c r="A24" s="7">
        <v>47239.0</v>
      </c>
      <c r="B24" s="8" t="s">
        <v>36</v>
      </c>
      <c r="C24" s="8">
        <v>1740.94595</v>
      </c>
      <c r="D24" s="8">
        <v>1654.478322</v>
      </c>
      <c r="E24" s="8">
        <v>1574.591597</v>
      </c>
      <c r="F24" s="8">
        <v>1534.002811</v>
      </c>
      <c r="G24" s="8">
        <v>1499.780014</v>
      </c>
      <c r="H24" s="8">
        <v>1470.355259</v>
      </c>
      <c r="I24" s="8">
        <v>1517.883898</v>
      </c>
      <c r="J24" s="8">
        <v>1696.730625</v>
      </c>
      <c r="K24" s="8">
        <v>1931.959482</v>
      </c>
      <c r="L24" s="8">
        <v>2259.074969</v>
      </c>
      <c r="M24" s="8">
        <v>2523.326648</v>
      </c>
      <c r="N24" s="8">
        <v>2672.915063</v>
      </c>
      <c r="O24" s="8">
        <v>2724.442451</v>
      </c>
      <c r="P24" s="8">
        <v>2736.875839</v>
      </c>
      <c r="Q24" s="8">
        <v>2717.970834</v>
      </c>
      <c r="R24" s="8">
        <v>2704.809029</v>
      </c>
      <c r="S24" s="8">
        <v>2640.818988</v>
      </c>
      <c r="T24" s="8">
        <v>2576.744354</v>
      </c>
      <c r="U24" s="8">
        <v>2540.87496</v>
      </c>
      <c r="V24" s="8">
        <v>2414.274435</v>
      </c>
      <c r="W24" s="8">
        <v>2209.339587</v>
      </c>
      <c r="X24" s="8">
        <v>1973.991385</v>
      </c>
      <c r="Y24" s="8">
        <v>1762.25935</v>
      </c>
      <c r="Z24" s="8">
        <v>1609.021991</v>
      </c>
      <c r="AA24" s="9">
        <f t="shared" si="1"/>
        <v>50687.46784</v>
      </c>
      <c r="AB24" s="9">
        <v>6.0</v>
      </c>
      <c r="AC24" s="9">
        <f t="shared" si="2"/>
        <v>304124.807</v>
      </c>
      <c r="AD24" s="12"/>
    </row>
    <row r="25" ht="14.25" customHeight="1">
      <c r="A25" s="7">
        <v>47270.0</v>
      </c>
      <c r="B25" s="8" t="s">
        <v>34</v>
      </c>
      <c r="C25" s="8">
        <v>1789.42245</v>
      </c>
      <c r="D25" s="8">
        <v>1716.199226</v>
      </c>
      <c r="E25" s="8">
        <v>1675.242261</v>
      </c>
      <c r="F25" s="8">
        <v>1658.499934</v>
      </c>
      <c r="G25" s="8">
        <v>1684.074551</v>
      </c>
      <c r="H25" s="8">
        <v>1792.152715</v>
      </c>
      <c r="I25" s="8">
        <v>2168.520715</v>
      </c>
      <c r="J25" s="8">
        <v>2721.029537</v>
      </c>
      <c r="K25" s="8">
        <v>3183.272762</v>
      </c>
      <c r="L25" s="8">
        <v>3495.437472</v>
      </c>
      <c r="M25" s="8">
        <v>3749.40539</v>
      </c>
      <c r="N25" s="8">
        <v>3902.252663</v>
      </c>
      <c r="O25" s="8">
        <v>3850.922688</v>
      </c>
      <c r="P25" s="8">
        <v>3864.081001</v>
      </c>
      <c r="Q25" s="8">
        <v>3966.464102</v>
      </c>
      <c r="R25" s="8">
        <v>3968.138343</v>
      </c>
      <c r="S25" s="8">
        <v>3856.287608</v>
      </c>
      <c r="T25" s="8">
        <v>3598.872938</v>
      </c>
      <c r="U25" s="8">
        <v>3409.257046</v>
      </c>
      <c r="V25" s="8">
        <v>3193.822775</v>
      </c>
      <c r="W25" s="8">
        <v>2909.013839</v>
      </c>
      <c r="X25" s="8">
        <v>2585.22871</v>
      </c>
      <c r="Y25" s="8">
        <v>2240.427692</v>
      </c>
      <c r="Z25" s="8">
        <v>2005.072964</v>
      </c>
      <c r="AA25" s="9">
        <f t="shared" si="1"/>
        <v>68983.09938</v>
      </c>
      <c r="AB25" s="9">
        <v>19.0</v>
      </c>
      <c r="AC25" s="9">
        <f t="shared" si="2"/>
        <v>1310678.888</v>
      </c>
      <c r="AD25" s="10">
        <f>SUM(AC25:AC27)</f>
        <v>1931016.901</v>
      </c>
    </row>
    <row r="26" ht="14.25" customHeight="1">
      <c r="A26" s="7">
        <v>47270.0</v>
      </c>
      <c r="B26" s="8" t="s">
        <v>35</v>
      </c>
      <c r="C26" s="8">
        <v>1944.42122</v>
      </c>
      <c r="D26" s="8">
        <v>1842.912902</v>
      </c>
      <c r="E26" s="8">
        <v>1786.312658</v>
      </c>
      <c r="F26" s="8">
        <v>1742.435707</v>
      </c>
      <c r="G26" s="8">
        <v>1750.84291</v>
      </c>
      <c r="H26" s="8">
        <v>1757.986244</v>
      </c>
      <c r="I26" s="8">
        <v>2013.872788</v>
      </c>
      <c r="J26" s="8">
        <v>2472.636506</v>
      </c>
      <c r="K26" s="8">
        <v>2908.449371</v>
      </c>
      <c r="L26" s="8">
        <v>3248.819029</v>
      </c>
      <c r="M26" s="8">
        <v>3461.218666</v>
      </c>
      <c r="N26" s="8">
        <v>3558.693026</v>
      </c>
      <c r="O26" s="8">
        <v>3458.85554</v>
      </c>
      <c r="P26" s="8">
        <v>3349.234037</v>
      </c>
      <c r="Q26" s="8">
        <v>3273.991256</v>
      </c>
      <c r="R26" s="8">
        <v>3255.744707</v>
      </c>
      <c r="S26" s="8">
        <v>3216.638361</v>
      </c>
      <c r="T26" s="8">
        <v>3155.856921</v>
      </c>
      <c r="U26" s="8">
        <v>3082.652154</v>
      </c>
      <c r="V26" s="8">
        <v>2921.267773</v>
      </c>
      <c r="W26" s="8">
        <v>2672.604126</v>
      </c>
      <c r="X26" s="8">
        <v>2393.004475</v>
      </c>
      <c r="Y26" s="8">
        <v>2094.301368</v>
      </c>
      <c r="Z26" s="8">
        <v>1879.889325</v>
      </c>
      <c r="AA26" s="9">
        <f t="shared" si="1"/>
        <v>63242.64107</v>
      </c>
      <c r="AB26" s="9">
        <v>5.0</v>
      </c>
      <c r="AC26" s="9">
        <f t="shared" si="2"/>
        <v>316213.2054</v>
      </c>
      <c r="AD26" s="11"/>
    </row>
    <row r="27" ht="14.25" customHeight="1">
      <c r="A27" s="7">
        <v>47270.0</v>
      </c>
      <c r="B27" s="8" t="s">
        <v>36</v>
      </c>
      <c r="C27" s="8">
        <v>1740.94595</v>
      </c>
      <c r="D27" s="8">
        <v>1654.478322</v>
      </c>
      <c r="E27" s="8">
        <v>1574.591597</v>
      </c>
      <c r="F27" s="8">
        <v>1534.002811</v>
      </c>
      <c r="G27" s="8">
        <v>1499.780014</v>
      </c>
      <c r="H27" s="8">
        <v>1470.355259</v>
      </c>
      <c r="I27" s="8">
        <v>1517.883898</v>
      </c>
      <c r="J27" s="8">
        <v>1696.730625</v>
      </c>
      <c r="K27" s="8">
        <v>1931.959482</v>
      </c>
      <c r="L27" s="8">
        <v>2259.074969</v>
      </c>
      <c r="M27" s="8">
        <v>2523.326648</v>
      </c>
      <c r="N27" s="8">
        <v>2672.915063</v>
      </c>
      <c r="O27" s="8">
        <v>2724.442451</v>
      </c>
      <c r="P27" s="8">
        <v>2736.875839</v>
      </c>
      <c r="Q27" s="8">
        <v>2717.970834</v>
      </c>
      <c r="R27" s="8">
        <v>2704.809029</v>
      </c>
      <c r="S27" s="8">
        <v>2640.818988</v>
      </c>
      <c r="T27" s="8">
        <v>2576.744354</v>
      </c>
      <c r="U27" s="8">
        <v>2540.87496</v>
      </c>
      <c r="V27" s="8">
        <v>2414.274435</v>
      </c>
      <c r="W27" s="8">
        <v>2209.339587</v>
      </c>
      <c r="X27" s="8">
        <v>1973.991385</v>
      </c>
      <c r="Y27" s="8">
        <v>1762.25935</v>
      </c>
      <c r="Z27" s="8">
        <v>1609.021991</v>
      </c>
      <c r="AA27" s="9">
        <f t="shared" si="1"/>
        <v>50687.46784</v>
      </c>
      <c r="AB27" s="9">
        <v>6.0</v>
      </c>
      <c r="AC27" s="9">
        <f t="shared" si="2"/>
        <v>304124.807</v>
      </c>
      <c r="AD27" s="12"/>
    </row>
    <row r="28" ht="14.25" customHeight="1">
      <c r="A28" s="7">
        <v>47300.0</v>
      </c>
      <c r="B28" s="8" t="s">
        <v>34</v>
      </c>
      <c r="C28" s="8">
        <v>1789.42245</v>
      </c>
      <c r="D28" s="8">
        <v>1716.199226</v>
      </c>
      <c r="E28" s="8">
        <v>1675.242261</v>
      </c>
      <c r="F28" s="8">
        <v>1658.499934</v>
      </c>
      <c r="G28" s="8">
        <v>1684.074551</v>
      </c>
      <c r="H28" s="8">
        <v>1792.152715</v>
      </c>
      <c r="I28" s="8">
        <v>2168.520715</v>
      </c>
      <c r="J28" s="8">
        <v>2721.029537</v>
      </c>
      <c r="K28" s="8">
        <v>3183.272762</v>
      </c>
      <c r="L28" s="8">
        <v>3495.437472</v>
      </c>
      <c r="M28" s="8">
        <v>3749.40539</v>
      </c>
      <c r="N28" s="8">
        <v>3902.252663</v>
      </c>
      <c r="O28" s="8">
        <v>3850.922688</v>
      </c>
      <c r="P28" s="8">
        <v>3864.081001</v>
      </c>
      <c r="Q28" s="8">
        <v>3966.464102</v>
      </c>
      <c r="R28" s="8">
        <v>3968.138343</v>
      </c>
      <c r="S28" s="8">
        <v>3856.287608</v>
      </c>
      <c r="T28" s="8">
        <v>3598.872938</v>
      </c>
      <c r="U28" s="8">
        <v>3409.257046</v>
      </c>
      <c r="V28" s="8">
        <v>3193.822775</v>
      </c>
      <c r="W28" s="8">
        <v>2909.013839</v>
      </c>
      <c r="X28" s="8">
        <v>2585.22871</v>
      </c>
      <c r="Y28" s="8">
        <v>2240.427692</v>
      </c>
      <c r="Z28" s="8">
        <v>2005.072964</v>
      </c>
      <c r="AA28" s="9">
        <f t="shared" si="1"/>
        <v>68983.09938</v>
      </c>
      <c r="AB28" s="9">
        <v>20.0</v>
      </c>
      <c r="AC28" s="9">
        <f t="shared" si="2"/>
        <v>1379661.988</v>
      </c>
      <c r="AD28" s="10">
        <f>SUM(AC28:AC30)</f>
        <v>1987444.827</v>
      </c>
    </row>
    <row r="29" ht="14.25" customHeight="1">
      <c r="A29" s="7">
        <v>47300.0</v>
      </c>
      <c r="B29" s="8" t="s">
        <v>35</v>
      </c>
      <c r="C29" s="8">
        <v>1944.42122</v>
      </c>
      <c r="D29" s="8">
        <v>1842.912902</v>
      </c>
      <c r="E29" s="8">
        <v>1786.312658</v>
      </c>
      <c r="F29" s="8">
        <v>1742.435707</v>
      </c>
      <c r="G29" s="8">
        <v>1750.84291</v>
      </c>
      <c r="H29" s="8">
        <v>1757.986244</v>
      </c>
      <c r="I29" s="8">
        <v>2013.872788</v>
      </c>
      <c r="J29" s="8">
        <v>2472.636506</v>
      </c>
      <c r="K29" s="8">
        <v>2908.449371</v>
      </c>
      <c r="L29" s="8">
        <v>3248.819029</v>
      </c>
      <c r="M29" s="8">
        <v>3461.218666</v>
      </c>
      <c r="N29" s="8">
        <v>3558.693026</v>
      </c>
      <c r="O29" s="8">
        <v>3458.85554</v>
      </c>
      <c r="P29" s="8">
        <v>3349.234037</v>
      </c>
      <c r="Q29" s="8">
        <v>3273.991256</v>
      </c>
      <c r="R29" s="8">
        <v>3255.744707</v>
      </c>
      <c r="S29" s="8">
        <v>3216.638361</v>
      </c>
      <c r="T29" s="8">
        <v>3155.856921</v>
      </c>
      <c r="U29" s="8">
        <v>3082.652154</v>
      </c>
      <c r="V29" s="8">
        <v>2921.267773</v>
      </c>
      <c r="W29" s="8">
        <v>2672.604126</v>
      </c>
      <c r="X29" s="8">
        <v>2393.004475</v>
      </c>
      <c r="Y29" s="8">
        <v>2094.301368</v>
      </c>
      <c r="Z29" s="8">
        <v>1879.889325</v>
      </c>
      <c r="AA29" s="9">
        <f t="shared" si="1"/>
        <v>63242.64107</v>
      </c>
      <c r="AB29" s="9">
        <v>4.0</v>
      </c>
      <c r="AC29" s="9">
        <f t="shared" si="2"/>
        <v>252970.5643</v>
      </c>
      <c r="AD29" s="11"/>
    </row>
    <row r="30" ht="14.25" customHeight="1">
      <c r="A30" s="7">
        <v>47300.0</v>
      </c>
      <c r="B30" s="8" t="s">
        <v>36</v>
      </c>
      <c r="C30" s="8">
        <v>1740.94595</v>
      </c>
      <c r="D30" s="8">
        <v>1654.478322</v>
      </c>
      <c r="E30" s="8">
        <v>1574.591597</v>
      </c>
      <c r="F30" s="8">
        <v>1534.002811</v>
      </c>
      <c r="G30" s="8">
        <v>1499.780014</v>
      </c>
      <c r="H30" s="8">
        <v>1470.355259</v>
      </c>
      <c r="I30" s="8">
        <v>1517.883898</v>
      </c>
      <c r="J30" s="8">
        <v>1696.730625</v>
      </c>
      <c r="K30" s="8">
        <v>1931.959482</v>
      </c>
      <c r="L30" s="8">
        <v>2259.074969</v>
      </c>
      <c r="M30" s="8">
        <v>2523.326648</v>
      </c>
      <c r="N30" s="8">
        <v>2672.915063</v>
      </c>
      <c r="O30" s="8">
        <v>2724.442451</v>
      </c>
      <c r="P30" s="8">
        <v>2736.875839</v>
      </c>
      <c r="Q30" s="8">
        <v>2717.970834</v>
      </c>
      <c r="R30" s="8">
        <v>2704.809029</v>
      </c>
      <c r="S30" s="8">
        <v>2640.818988</v>
      </c>
      <c r="T30" s="8">
        <v>2576.744354</v>
      </c>
      <c r="U30" s="8">
        <v>2540.87496</v>
      </c>
      <c r="V30" s="8">
        <v>2414.274435</v>
      </c>
      <c r="W30" s="8">
        <v>2209.339587</v>
      </c>
      <c r="X30" s="8">
        <v>1973.991385</v>
      </c>
      <c r="Y30" s="8">
        <v>1762.25935</v>
      </c>
      <c r="Z30" s="8">
        <v>1609.021991</v>
      </c>
      <c r="AA30" s="9">
        <f t="shared" si="1"/>
        <v>50687.46784</v>
      </c>
      <c r="AB30" s="9">
        <v>7.0</v>
      </c>
      <c r="AC30" s="9">
        <f t="shared" si="2"/>
        <v>354812.2749</v>
      </c>
      <c r="AD30" s="12"/>
    </row>
    <row r="31" ht="14.25" customHeight="1">
      <c r="A31" s="7">
        <v>47331.0</v>
      </c>
      <c r="B31" s="8" t="s">
        <v>34</v>
      </c>
      <c r="C31" s="8">
        <v>1789.42245</v>
      </c>
      <c r="D31" s="8">
        <v>1716.199226</v>
      </c>
      <c r="E31" s="8">
        <v>1675.242261</v>
      </c>
      <c r="F31" s="8">
        <v>1658.499934</v>
      </c>
      <c r="G31" s="8">
        <v>1684.074551</v>
      </c>
      <c r="H31" s="8">
        <v>1792.152715</v>
      </c>
      <c r="I31" s="8">
        <v>2168.520715</v>
      </c>
      <c r="J31" s="8">
        <v>2721.029537</v>
      </c>
      <c r="K31" s="8">
        <v>3183.272762</v>
      </c>
      <c r="L31" s="8">
        <v>3495.437472</v>
      </c>
      <c r="M31" s="8">
        <v>3749.40539</v>
      </c>
      <c r="N31" s="8">
        <v>3902.252663</v>
      </c>
      <c r="O31" s="8">
        <v>3850.922688</v>
      </c>
      <c r="P31" s="8">
        <v>3864.081001</v>
      </c>
      <c r="Q31" s="8">
        <v>3966.464102</v>
      </c>
      <c r="R31" s="8">
        <v>3968.138343</v>
      </c>
      <c r="S31" s="8">
        <v>3856.287608</v>
      </c>
      <c r="T31" s="8">
        <v>3598.872938</v>
      </c>
      <c r="U31" s="8">
        <v>3409.257046</v>
      </c>
      <c r="V31" s="8">
        <v>3193.822775</v>
      </c>
      <c r="W31" s="8">
        <v>2909.013839</v>
      </c>
      <c r="X31" s="8">
        <v>2585.22871</v>
      </c>
      <c r="Y31" s="8">
        <v>2240.427692</v>
      </c>
      <c r="Z31" s="8">
        <v>2005.072964</v>
      </c>
      <c r="AA31" s="9">
        <f t="shared" si="1"/>
        <v>68983.09938</v>
      </c>
      <c r="AB31" s="9">
        <v>21.0</v>
      </c>
      <c r="AC31" s="9">
        <f t="shared" si="2"/>
        <v>1448645.087</v>
      </c>
      <c r="AD31" s="10">
        <f>SUM(AC31:AC33)</f>
        <v>2005740.458</v>
      </c>
    </row>
    <row r="32" ht="14.25" customHeight="1">
      <c r="A32" s="7">
        <v>47331.0</v>
      </c>
      <c r="B32" s="8" t="s">
        <v>35</v>
      </c>
      <c r="C32" s="8">
        <v>1944.42122</v>
      </c>
      <c r="D32" s="8">
        <v>1842.912902</v>
      </c>
      <c r="E32" s="8">
        <v>1786.312658</v>
      </c>
      <c r="F32" s="8">
        <v>1742.435707</v>
      </c>
      <c r="G32" s="8">
        <v>1750.84291</v>
      </c>
      <c r="H32" s="8">
        <v>1757.986244</v>
      </c>
      <c r="I32" s="8">
        <v>2013.872788</v>
      </c>
      <c r="J32" s="8">
        <v>2472.636506</v>
      </c>
      <c r="K32" s="8">
        <v>2908.449371</v>
      </c>
      <c r="L32" s="8">
        <v>3248.819029</v>
      </c>
      <c r="M32" s="8">
        <v>3461.218666</v>
      </c>
      <c r="N32" s="8">
        <v>3558.693026</v>
      </c>
      <c r="O32" s="8">
        <v>3458.85554</v>
      </c>
      <c r="P32" s="8">
        <v>3349.234037</v>
      </c>
      <c r="Q32" s="8">
        <v>3273.991256</v>
      </c>
      <c r="R32" s="8">
        <v>3255.744707</v>
      </c>
      <c r="S32" s="8">
        <v>3216.638361</v>
      </c>
      <c r="T32" s="8">
        <v>3155.856921</v>
      </c>
      <c r="U32" s="8">
        <v>3082.652154</v>
      </c>
      <c r="V32" s="8">
        <v>2921.267773</v>
      </c>
      <c r="W32" s="8">
        <v>2672.604126</v>
      </c>
      <c r="X32" s="8">
        <v>2393.004475</v>
      </c>
      <c r="Y32" s="8">
        <v>2094.301368</v>
      </c>
      <c r="Z32" s="8">
        <v>1879.889325</v>
      </c>
      <c r="AA32" s="9">
        <f t="shared" si="1"/>
        <v>63242.64107</v>
      </c>
      <c r="AB32" s="9">
        <v>4.0</v>
      </c>
      <c r="AC32" s="9">
        <f t="shared" si="2"/>
        <v>252970.5643</v>
      </c>
      <c r="AD32" s="11"/>
    </row>
    <row r="33" ht="14.25" customHeight="1">
      <c r="A33" s="7">
        <v>47331.0</v>
      </c>
      <c r="B33" s="8" t="s">
        <v>36</v>
      </c>
      <c r="C33" s="8">
        <v>1740.94595</v>
      </c>
      <c r="D33" s="8">
        <v>1654.478322</v>
      </c>
      <c r="E33" s="8">
        <v>1574.591597</v>
      </c>
      <c r="F33" s="8">
        <v>1534.002811</v>
      </c>
      <c r="G33" s="8">
        <v>1499.780014</v>
      </c>
      <c r="H33" s="8">
        <v>1470.355259</v>
      </c>
      <c r="I33" s="8">
        <v>1517.883898</v>
      </c>
      <c r="J33" s="8">
        <v>1696.730625</v>
      </c>
      <c r="K33" s="8">
        <v>1931.959482</v>
      </c>
      <c r="L33" s="8">
        <v>2259.074969</v>
      </c>
      <c r="M33" s="8">
        <v>2523.326648</v>
      </c>
      <c r="N33" s="8">
        <v>2672.915063</v>
      </c>
      <c r="O33" s="8">
        <v>2724.442451</v>
      </c>
      <c r="P33" s="8">
        <v>2736.875839</v>
      </c>
      <c r="Q33" s="8">
        <v>2717.970834</v>
      </c>
      <c r="R33" s="8">
        <v>2704.809029</v>
      </c>
      <c r="S33" s="8">
        <v>2640.818988</v>
      </c>
      <c r="T33" s="8">
        <v>2576.744354</v>
      </c>
      <c r="U33" s="8">
        <v>2540.87496</v>
      </c>
      <c r="V33" s="8">
        <v>2414.274435</v>
      </c>
      <c r="W33" s="8">
        <v>2209.339587</v>
      </c>
      <c r="X33" s="8">
        <v>1973.991385</v>
      </c>
      <c r="Y33" s="8">
        <v>1762.25935</v>
      </c>
      <c r="Z33" s="8">
        <v>1609.021991</v>
      </c>
      <c r="AA33" s="9">
        <f t="shared" si="1"/>
        <v>50687.46784</v>
      </c>
      <c r="AB33" s="9">
        <v>6.0</v>
      </c>
      <c r="AC33" s="9">
        <f t="shared" si="2"/>
        <v>304124.807</v>
      </c>
      <c r="AD33" s="12"/>
    </row>
    <row r="34" ht="14.25" customHeight="1">
      <c r="A34" s="7">
        <v>47362.0</v>
      </c>
      <c r="B34" s="8" t="s">
        <v>34</v>
      </c>
      <c r="C34" s="8">
        <v>1789.42245</v>
      </c>
      <c r="D34" s="8">
        <v>1716.199226</v>
      </c>
      <c r="E34" s="8">
        <v>1675.242261</v>
      </c>
      <c r="F34" s="8">
        <v>1658.499934</v>
      </c>
      <c r="G34" s="8">
        <v>1684.074551</v>
      </c>
      <c r="H34" s="8">
        <v>1792.152715</v>
      </c>
      <c r="I34" s="8">
        <v>2168.520715</v>
      </c>
      <c r="J34" s="8">
        <v>2721.029537</v>
      </c>
      <c r="K34" s="8">
        <v>3183.272762</v>
      </c>
      <c r="L34" s="8">
        <v>3495.437472</v>
      </c>
      <c r="M34" s="8">
        <v>3749.40539</v>
      </c>
      <c r="N34" s="8">
        <v>3902.252663</v>
      </c>
      <c r="O34" s="8">
        <v>3850.922688</v>
      </c>
      <c r="P34" s="8">
        <v>3864.081001</v>
      </c>
      <c r="Q34" s="8">
        <v>3966.464102</v>
      </c>
      <c r="R34" s="8">
        <v>3968.138343</v>
      </c>
      <c r="S34" s="8">
        <v>3856.287608</v>
      </c>
      <c r="T34" s="8">
        <v>3598.872938</v>
      </c>
      <c r="U34" s="8">
        <v>3409.257046</v>
      </c>
      <c r="V34" s="8">
        <v>3193.822775</v>
      </c>
      <c r="W34" s="8">
        <v>2909.013839</v>
      </c>
      <c r="X34" s="8">
        <v>2585.22871</v>
      </c>
      <c r="Y34" s="8">
        <v>2240.427692</v>
      </c>
      <c r="Z34" s="8">
        <v>2005.072964</v>
      </c>
      <c r="AA34" s="9">
        <f t="shared" si="1"/>
        <v>68983.09938</v>
      </c>
      <c r="AB34" s="9">
        <v>20.0</v>
      </c>
      <c r="AC34" s="9">
        <f t="shared" si="2"/>
        <v>1379661.988</v>
      </c>
      <c r="AD34" s="10">
        <f>SUM(AC34:AC36)</f>
        <v>1949312.532</v>
      </c>
    </row>
    <row r="35" ht="14.25" customHeight="1">
      <c r="A35" s="7">
        <v>47362.0</v>
      </c>
      <c r="B35" s="8" t="s">
        <v>35</v>
      </c>
      <c r="C35" s="8">
        <v>1944.42122</v>
      </c>
      <c r="D35" s="8">
        <v>1842.912902</v>
      </c>
      <c r="E35" s="8">
        <v>1786.312658</v>
      </c>
      <c r="F35" s="8">
        <v>1742.435707</v>
      </c>
      <c r="G35" s="8">
        <v>1750.84291</v>
      </c>
      <c r="H35" s="8">
        <v>1757.986244</v>
      </c>
      <c r="I35" s="8">
        <v>2013.872788</v>
      </c>
      <c r="J35" s="8">
        <v>2472.636506</v>
      </c>
      <c r="K35" s="8">
        <v>2908.449371</v>
      </c>
      <c r="L35" s="8">
        <v>3248.819029</v>
      </c>
      <c r="M35" s="8">
        <v>3461.218666</v>
      </c>
      <c r="N35" s="8">
        <v>3558.693026</v>
      </c>
      <c r="O35" s="8">
        <v>3458.85554</v>
      </c>
      <c r="P35" s="8">
        <v>3349.234037</v>
      </c>
      <c r="Q35" s="8">
        <v>3273.991256</v>
      </c>
      <c r="R35" s="8">
        <v>3255.744707</v>
      </c>
      <c r="S35" s="8">
        <v>3216.638361</v>
      </c>
      <c r="T35" s="8">
        <v>3155.856921</v>
      </c>
      <c r="U35" s="8">
        <v>3082.652154</v>
      </c>
      <c r="V35" s="8">
        <v>2921.267773</v>
      </c>
      <c r="W35" s="8">
        <v>2672.604126</v>
      </c>
      <c r="X35" s="8">
        <v>2393.004475</v>
      </c>
      <c r="Y35" s="8">
        <v>2094.301368</v>
      </c>
      <c r="Z35" s="8">
        <v>1879.889325</v>
      </c>
      <c r="AA35" s="9">
        <f t="shared" si="1"/>
        <v>63242.64107</v>
      </c>
      <c r="AB35" s="9">
        <v>5.0</v>
      </c>
      <c r="AC35" s="9">
        <f t="shared" si="2"/>
        <v>316213.2054</v>
      </c>
      <c r="AD35" s="11"/>
    </row>
    <row r="36" ht="14.25" customHeight="1">
      <c r="A36" s="7">
        <v>47362.0</v>
      </c>
      <c r="B36" s="8" t="s">
        <v>36</v>
      </c>
      <c r="C36" s="8">
        <v>1740.94595</v>
      </c>
      <c r="D36" s="8">
        <v>1654.478322</v>
      </c>
      <c r="E36" s="8">
        <v>1574.591597</v>
      </c>
      <c r="F36" s="8">
        <v>1534.002811</v>
      </c>
      <c r="G36" s="8">
        <v>1499.780014</v>
      </c>
      <c r="H36" s="8">
        <v>1470.355259</v>
      </c>
      <c r="I36" s="8">
        <v>1517.883898</v>
      </c>
      <c r="J36" s="8">
        <v>1696.730625</v>
      </c>
      <c r="K36" s="8">
        <v>1931.959482</v>
      </c>
      <c r="L36" s="8">
        <v>2259.074969</v>
      </c>
      <c r="M36" s="8">
        <v>2523.326648</v>
      </c>
      <c r="N36" s="8">
        <v>2672.915063</v>
      </c>
      <c r="O36" s="8">
        <v>2724.442451</v>
      </c>
      <c r="P36" s="8">
        <v>2736.875839</v>
      </c>
      <c r="Q36" s="8">
        <v>2717.970834</v>
      </c>
      <c r="R36" s="8">
        <v>2704.809029</v>
      </c>
      <c r="S36" s="8">
        <v>2640.818988</v>
      </c>
      <c r="T36" s="8">
        <v>2576.744354</v>
      </c>
      <c r="U36" s="8">
        <v>2540.87496</v>
      </c>
      <c r="V36" s="8">
        <v>2414.274435</v>
      </c>
      <c r="W36" s="8">
        <v>2209.339587</v>
      </c>
      <c r="X36" s="8">
        <v>1973.991385</v>
      </c>
      <c r="Y36" s="8">
        <v>1762.25935</v>
      </c>
      <c r="Z36" s="8">
        <v>1609.021991</v>
      </c>
      <c r="AA36" s="9">
        <f t="shared" si="1"/>
        <v>50687.46784</v>
      </c>
      <c r="AB36" s="9">
        <v>5.0</v>
      </c>
      <c r="AC36" s="9">
        <f t="shared" si="2"/>
        <v>253437.3392</v>
      </c>
      <c r="AD36" s="12"/>
    </row>
    <row r="37" ht="14.25" customHeight="1">
      <c r="A37" s="7">
        <v>47392.0</v>
      </c>
      <c r="B37" s="8" t="s">
        <v>34</v>
      </c>
      <c r="C37" s="8">
        <v>1789.42245</v>
      </c>
      <c r="D37" s="8">
        <v>1716.199226</v>
      </c>
      <c r="E37" s="8">
        <v>1675.242261</v>
      </c>
      <c r="F37" s="8">
        <v>1658.499934</v>
      </c>
      <c r="G37" s="8">
        <v>1684.074551</v>
      </c>
      <c r="H37" s="8">
        <v>1792.152715</v>
      </c>
      <c r="I37" s="8">
        <v>2168.520715</v>
      </c>
      <c r="J37" s="8">
        <v>2721.029537</v>
      </c>
      <c r="K37" s="8">
        <v>3183.272762</v>
      </c>
      <c r="L37" s="8">
        <v>3495.437472</v>
      </c>
      <c r="M37" s="8">
        <v>3749.40539</v>
      </c>
      <c r="N37" s="8">
        <v>3902.252663</v>
      </c>
      <c r="O37" s="8">
        <v>3850.922688</v>
      </c>
      <c r="P37" s="8">
        <v>3864.081001</v>
      </c>
      <c r="Q37" s="8">
        <v>3966.464102</v>
      </c>
      <c r="R37" s="8">
        <v>3968.138343</v>
      </c>
      <c r="S37" s="8">
        <v>3856.287608</v>
      </c>
      <c r="T37" s="8">
        <v>3598.872938</v>
      </c>
      <c r="U37" s="8">
        <v>3409.257046</v>
      </c>
      <c r="V37" s="8">
        <v>3193.822775</v>
      </c>
      <c r="W37" s="8">
        <v>2909.013839</v>
      </c>
      <c r="X37" s="8">
        <v>2585.22871</v>
      </c>
      <c r="Y37" s="8">
        <v>2240.427692</v>
      </c>
      <c r="Z37" s="8">
        <v>2005.072964</v>
      </c>
      <c r="AA37" s="9">
        <f t="shared" si="1"/>
        <v>68983.09938</v>
      </c>
      <c r="AB37" s="9">
        <v>23.0</v>
      </c>
      <c r="AC37" s="9">
        <f t="shared" si="2"/>
        <v>1586611.286</v>
      </c>
      <c r="AD37" s="10">
        <f>SUM(AC37:AC39)</f>
        <v>2042331.721</v>
      </c>
    </row>
    <row r="38" ht="14.25" customHeight="1">
      <c r="A38" s="7">
        <v>47392.0</v>
      </c>
      <c r="B38" s="8" t="s">
        <v>35</v>
      </c>
      <c r="C38" s="8">
        <v>1944.42122</v>
      </c>
      <c r="D38" s="8">
        <v>1842.912902</v>
      </c>
      <c r="E38" s="8">
        <v>1786.312658</v>
      </c>
      <c r="F38" s="8">
        <v>1742.435707</v>
      </c>
      <c r="G38" s="8">
        <v>1750.84291</v>
      </c>
      <c r="H38" s="8">
        <v>1757.986244</v>
      </c>
      <c r="I38" s="8">
        <v>2013.872788</v>
      </c>
      <c r="J38" s="8">
        <v>2472.636506</v>
      </c>
      <c r="K38" s="8">
        <v>2908.449371</v>
      </c>
      <c r="L38" s="8">
        <v>3248.819029</v>
      </c>
      <c r="M38" s="8">
        <v>3461.218666</v>
      </c>
      <c r="N38" s="8">
        <v>3558.693026</v>
      </c>
      <c r="O38" s="8">
        <v>3458.85554</v>
      </c>
      <c r="P38" s="8">
        <v>3349.234037</v>
      </c>
      <c r="Q38" s="8">
        <v>3273.991256</v>
      </c>
      <c r="R38" s="8">
        <v>3255.744707</v>
      </c>
      <c r="S38" s="8">
        <v>3216.638361</v>
      </c>
      <c r="T38" s="8">
        <v>3155.856921</v>
      </c>
      <c r="U38" s="8">
        <v>3082.652154</v>
      </c>
      <c r="V38" s="8">
        <v>2921.267773</v>
      </c>
      <c r="W38" s="8">
        <v>2672.604126</v>
      </c>
      <c r="X38" s="8">
        <v>2393.004475</v>
      </c>
      <c r="Y38" s="8">
        <v>2094.301368</v>
      </c>
      <c r="Z38" s="8">
        <v>1879.889325</v>
      </c>
      <c r="AA38" s="9">
        <f t="shared" si="1"/>
        <v>63242.64107</v>
      </c>
      <c r="AB38" s="9">
        <v>4.0</v>
      </c>
      <c r="AC38" s="9">
        <f t="shared" si="2"/>
        <v>252970.5643</v>
      </c>
      <c r="AD38" s="11"/>
    </row>
    <row r="39" ht="14.25" customHeight="1">
      <c r="A39" s="7">
        <v>47392.0</v>
      </c>
      <c r="B39" s="8" t="s">
        <v>36</v>
      </c>
      <c r="C39" s="8">
        <v>1740.94595</v>
      </c>
      <c r="D39" s="8">
        <v>1654.478322</v>
      </c>
      <c r="E39" s="8">
        <v>1574.591597</v>
      </c>
      <c r="F39" s="8">
        <v>1534.002811</v>
      </c>
      <c r="G39" s="8">
        <v>1499.780014</v>
      </c>
      <c r="H39" s="8">
        <v>1470.355259</v>
      </c>
      <c r="I39" s="8">
        <v>1517.883898</v>
      </c>
      <c r="J39" s="8">
        <v>1696.730625</v>
      </c>
      <c r="K39" s="8">
        <v>1931.959482</v>
      </c>
      <c r="L39" s="8">
        <v>2259.074969</v>
      </c>
      <c r="M39" s="8">
        <v>2523.326648</v>
      </c>
      <c r="N39" s="8">
        <v>2672.915063</v>
      </c>
      <c r="O39" s="8">
        <v>2724.442451</v>
      </c>
      <c r="P39" s="8">
        <v>2736.875839</v>
      </c>
      <c r="Q39" s="8">
        <v>2717.970834</v>
      </c>
      <c r="R39" s="8">
        <v>2704.809029</v>
      </c>
      <c r="S39" s="8">
        <v>2640.818988</v>
      </c>
      <c r="T39" s="8">
        <v>2576.744354</v>
      </c>
      <c r="U39" s="8">
        <v>2540.87496</v>
      </c>
      <c r="V39" s="8">
        <v>2414.274435</v>
      </c>
      <c r="W39" s="8">
        <v>2209.339587</v>
      </c>
      <c r="X39" s="8">
        <v>1973.991385</v>
      </c>
      <c r="Y39" s="8">
        <v>1762.25935</v>
      </c>
      <c r="Z39" s="8">
        <v>1609.021991</v>
      </c>
      <c r="AA39" s="9">
        <f t="shared" si="1"/>
        <v>50687.46784</v>
      </c>
      <c r="AB39" s="9">
        <v>4.0</v>
      </c>
      <c r="AC39" s="9">
        <f t="shared" si="2"/>
        <v>202749.8714</v>
      </c>
      <c r="AD39" s="12"/>
    </row>
    <row r="40" ht="14.25" customHeight="1">
      <c r="A40" s="7">
        <v>47423.0</v>
      </c>
      <c r="B40" s="8" t="s">
        <v>34</v>
      </c>
      <c r="C40" s="8">
        <v>1789.42245</v>
      </c>
      <c r="D40" s="8">
        <v>1716.199226</v>
      </c>
      <c r="E40" s="8">
        <v>1675.242261</v>
      </c>
      <c r="F40" s="8">
        <v>1658.499934</v>
      </c>
      <c r="G40" s="8">
        <v>1684.074551</v>
      </c>
      <c r="H40" s="8">
        <v>1792.152715</v>
      </c>
      <c r="I40" s="8">
        <v>2168.520715</v>
      </c>
      <c r="J40" s="8">
        <v>2721.029537</v>
      </c>
      <c r="K40" s="8">
        <v>3183.272762</v>
      </c>
      <c r="L40" s="8">
        <v>3495.437472</v>
      </c>
      <c r="M40" s="8">
        <v>3749.40539</v>
      </c>
      <c r="N40" s="8">
        <v>3902.252663</v>
      </c>
      <c r="O40" s="8">
        <v>3850.922688</v>
      </c>
      <c r="P40" s="8">
        <v>3864.081001</v>
      </c>
      <c r="Q40" s="8">
        <v>3966.464102</v>
      </c>
      <c r="R40" s="8">
        <v>3968.138343</v>
      </c>
      <c r="S40" s="8">
        <v>3856.287608</v>
      </c>
      <c r="T40" s="8">
        <v>3598.872938</v>
      </c>
      <c r="U40" s="8">
        <v>3409.257046</v>
      </c>
      <c r="V40" s="8">
        <v>3193.822775</v>
      </c>
      <c r="W40" s="8">
        <v>2909.013839</v>
      </c>
      <c r="X40" s="8">
        <v>2585.22871</v>
      </c>
      <c r="Y40" s="8">
        <v>2240.427692</v>
      </c>
      <c r="Z40" s="8">
        <v>2005.072964</v>
      </c>
      <c r="AA40" s="9">
        <f t="shared" si="1"/>
        <v>68983.09938</v>
      </c>
      <c r="AB40" s="9">
        <v>20.0</v>
      </c>
      <c r="AC40" s="9">
        <f t="shared" si="2"/>
        <v>1379661.988</v>
      </c>
      <c r="AD40" s="10">
        <f>SUM(AC40:AC42)</f>
        <v>1936757.359</v>
      </c>
    </row>
    <row r="41" ht="14.25" customHeight="1">
      <c r="A41" s="7">
        <v>47423.0</v>
      </c>
      <c r="B41" s="8" t="s">
        <v>35</v>
      </c>
      <c r="C41" s="8">
        <v>1944.42122</v>
      </c>
      <c r="D41" s="8">
        <v>1842.912902</v>
      </c>
      <c r="E41" s="8">
        <v>1786.312658</v>
      </c>
      <c r="F41" s="8">
        <v>1742.435707</v>
      </c>
      <c r="G41" s="8">
        <v>1750.84291</v>
      </c>
      <c r="H41" s="8">
        <v>1757.986244</v>
      </c>
      <c r="I41" s="8">
        <v>2013.872788</v>
      </c>
      <c r="J41" s="8">
        <v>2472.636506</v>
      </c>
      <c r="K41" s="8">
        <v>2908.449371</v>
      </c>
      <c r="L41" s="8">
        <v>3248.819029</v>
      </c>
      <c r="M41" s="8">
        <v>3461.218666</v>
      </c>
      <c r="N41" s="8">
        <v>3558.693026</v>
      </c>
      <c r="O41" s="8">
        <v>3458.85554</v>
      </c>
      <c r="P41" s="8">
        <v>3349.234037</v>
      </c>
      <c r="Q41" s="8">
        <v>3273.991256</v>
      </c>
      <c r="R41" s="8">
        <v>3255.744707</v>
      </c>
      <c r="S41" s="8">
        <v>3216.638361</v>
      </c>
      <c r="T41" s="8">
        <v>3155.856921</v>
      </c>
      <c r="U41" s="8">
        <v>3082.652154</v>
      </c>
      <c r="V41" s="8">
        <v>2921.267773</v>
      </c>
      <c r="W41" s="8">
        <v>2672.604126</v>
      </c>
      <c r="X41" s="8">
        <v>2393.004475</v>
      </c>
      <c r="Y41" s="8">
        <v>2094.301368</v>
      </c>
      <c r="Z41" s="8">
        <v>1879.889325</v>
      </c>
      <c r="AA41" s="9">
        <f t="shared" si="1"/>
        <v>63242.64107</v>
      </c>
      <c r="AB41" s="9">
        <v>4.0</v>
      </c>
      <c r="AC41" s="9">
        <f t="shared" si="2"/>
        <v>252970.5643</v>
      </c>
      <c r="AD41" s="11"/>
    </row>
    <row r="42" ht="14.25" customHeight="1">
      <c r="A42" s="7">
        <v>47423.0</v>
      </c>
      <c r="B42" s="8" t="s">
        <v>36</v>
      </c>
      <c r="C42" s="8">
        <v>1740.94595</v>
      </c>
      <c r="D42" s="8">
        <v>1654.478322</v>
      </c>
      <c r="E42" s="8">
        <v>1574.591597</v>
      </c>
      <c r="F42" s="8">
        <v>1534.002811</v>
      </c>
      <c r="G42" s="8">
        <v>1499.780014</v>
      </c>
      <c r="H42" s="8">
        <v>1470.355259</v>
      </c>
      <c r="I42" s="8">
        <v>1517.883898</v>
      </c>
      <c r="J42" s="8">
        <v>1696.730625</v>
      </c>
      <c r="K42" s="8">
        <v>1931.959482</v>
      </c>
      <c r="L42" s="8">
        <v>2259.074969</v>
      </c>
      <c r="M42" s="8">
        <v>2523.326648</v>
      </c>
      <c r="N42" s="8">
        <v>2672.915063</v>
      </c>
      <c r="O42" s="8">
        <v>2724.442451</v>
      </c>
      <c r="P42" s="8">
        <v>2736.875839</v>
      </c>
      <c r="Q42" s="8">
        <v>2717.970834</v>
      </c>
      <c r="R42" s="8">
        <v>2704.809029</v>
      </c>
      <c r="S42" s="8">
        <v>2640.818988</v>
      </c>
      <c r="T42" s="8">
        <v>2576.744354</v>
      </c>
      <c r="U42" s="8">
        <v>2540.87496</v>
      </c>
      <c r="V42" s="8">
        <v>2414.274435</v>
      </c>
      <c r="W42" s="8">
        <v>2209.339587</v>
      </c>
      <c r="X42" s="8">
        <v>1973.991385</v>
      </c>
      <c r="Y42" s="8">
        <v>1762.25935</v>
      </c>
      <c r="Z42" s="8">
        <v>1609.021991</v>
      </c>
      <c r="AA42" s="9">
        <f t="shared" si="1"/>
        <v>50687.46784</v>
      </c>
      <c r="AB42" s="9">
        <v>6.0</v>
      </c>
      <c r="AC42" s="9">
        <f t="shared" si="2"/>
        <v>304124.807</v>
      </c>
      <c r="AD42" s="12"/>
    </row>
    <row r="43" ht="14.25" customHeight="1">
      <c r="A43" s="7">
        <v>47453.0</v>
      </c>
      <c r="B43" s="8" t="s">
        <v>34</v>
      </c>
      <c r="C43" s="8">
        <v>1789.42245</v>
      </c>
      <c r="D43" s="8">
        <v>1716.199226</v>
      </c>
      <c r="E43" s="8">
        <v>1675.242261</v>
      </c>
      <c r="F43" s="8">
        <v>1658.499934</v>
      </c>
      <c r="G43" s="8">
        <v>1684.074551</v>
      </c>
      <c r="H43" s="8">
        <v>1792.152715</v>
      </c>
      <c r="I43" s="8">
        <v>2168.520715</v>
      </c>
      <c r="J43" s="8">
        <v>2721.029537</v>
      </c>
      <c r="K43" s="8">
        <v>3183.272762</v>
      </c>
      <c r="L43" s="8">
        <v>3495.437472</v>
      </c>
      <c r="M43" s="8">
        <v>3749.40539</v>
      </c>
      <c r="N43" s="8">
        <v>3902.252663</v>
      </c>
      <c r="O43" s="8">
        <v>3850.922688</v>
      </c>
      <c r="P43" s="8">
        <v>3864.081001</v>
      </c>
      <c r="Q43" s="8">
        <v>3966.464102</v>
      </c>
      <c r="R43" s="8">
        <v>3968.138343</v>
      </c>
      <c r="S43" s="8">
        <v>3856.287608</v>
      </c>
      <c r="T43" s="8">
        <v>3598.872938</v>
      </c>
      <c r="U43" s="8">
        <v>3409.257046</v>
      </c>
      <c r="V43" s="8">
        <v>3193.822775</v>
      </c>
      <c r="W43" s="8">
        <v>2909.013839</v>
      </c>
      <c r="X43" s="8">
        <v>2585.22871</v>
      </c>
      <c r="Y43" s="8">
        <v>2240.427692</v>
      </c>
      <c r="Z43" s="8">
        <v>2005.072964</v>
      </c>
      <c r="AA43" s="9">
        <f t="shared" si="1"/>
        <v>68983.09938</v>
      </c>
      <c r="AB43" s="9">
        <v>20.0</v>
      </c>
      <c r="AC43" s="9">
        <f t="shared" si="2"/>
        <v>1379661.988</v>
      </c>
      <c r="AD43" s="10">
        <f>SUM(AC43:AC45)</f>
        <v>2000000</v>
      </c>
    </row>
    <row r="44" ht="14.25" customHeight="1">
      <c r="A44" s="7">
        <v>47453.0</v>
      </c>
      <c r="B44" s="8" t="s">
        <v>35</v>
      </c>
      <c r="C44" s="8">
        <v>1944.42122</v>
      </c>
      <c r="D44" s="8">
        <v>1842.912902</v>
      </c>
      <c r="E44" s="8">
        <v>1786.312658</v>
      </c>
      <c r="F44" s="8">
        <v>1742.435707</v>
      </c>
      <c r="G44" s="8">
        <v>1750.84291</v>
      </c>
      <c r="H44" s="8">
        <v>1757.986244</v>
      </c>
      <c r="I44" s="8">
        <v>2013.872788</v>
      </c>
      <c r="J44" s="8">
        <v>2472.636506</v>
      </c>
      <c r="K44" s="8">
        <v>2908.449371</v>
      </c>
      <c r="L44" s="8">
        <v>3248.819029</v>
      </c>
      <c r="M44" s="8">
        <v>3461.218666</v>
      </c>
      <c r="N44" s="8">
        <v>3558.693026</v>
      </c>
      <c r="O44" s="8">
        <v>3458.85554</v>
      </c>
      <c r="P44" s="8">
        <v>3349.234037</v>
      </c>
      <c r="Q44" s="8">
        <v>3273.991256</v>
      </c>
      <c r="R44" s="8">
        <v>3255.744707</v>
      </c>
      <c r="S44" s="8">
        <v>3216.638361</v>
      </c>
      <c r="T44" s="8">
        <v>3155.856921</v>
      </c>
      <c r="U44" s="8">
        <v>3082.652154</v>
      </c>
      <c r="V44" s="8">
        <v>2921.267773</v>
      </c>
      <c r="W44" s="8">
        <v>2672.604126</v>
      </c>
      <c r="X44" s="8">
        <v>2393.004475</v>
      </c>
      <c r="Y44" s="8">
        <v>2094.301368</v>
      </c>
      <c r="Z44" s="8">
        <v>1879.889325</v>
      </c>
      <c r="AA44" s="9">
        <f t="shared" si="1"/>
        <v>63242.64107</v>
      </c>
      <c r="AB44" s="9">
        <v>5.0</v>
      </c>
      <c r="AC44" s="9">
        <f t="shared" si="2"/>
        <v>316213.2054</v>
      </c>
      <c r="AD44" s="11"/>
    </row>
    <row r="45" ht="14.25" customHeight="1">
      <c r="A45" s="7">
        <v>47453.0</v>
      </c>
      <c r="B45" s="8" t="s">
        <v>36</v>
      </c>
      <c r="C45" s="8">
        <v>1740.94595</v>
      </c>
      <c r="D45" s="8">
        <v>1654.478322</v>
      </c>
      <c r="E45" s="8">
        <v>1574.591597</v>
      </c>
      <c r="F45" s="8">
        <v>1534.002811</v>
      </c>
      <c r="G45" s="8">
        <v>1499.780014</v>
      </c>
      <c r="H45" s="8">
        <v>1470.355259</v>
      </c>
      <c r="I45" s="8">
        <v>1517.883898</v>
      </c>
      <c r="J45" s="8">
        <v>1696.730625</v>
      </c>
      <c r="K45" s="8">
        <v>1931.959482</v>
      </c>
      <c r="L45" s="8">
        <v>2259.074969</v>
      </c>
      <c r="M45" s="8">
        <v>2523.326648</v>
      </c>
      <c r="N45" s="8">
        <v>2672.915063</v>
      </c>
      <c r="O45" s="8">
        <v>2724.442451</v>
      </c>
      <c r="P45" s="8">
        <v>2736.875839</v>
      </c>
      <c r="Q45" s="8">
        <v>2717.970834</v>
      </c>
      <c r="R45" s="8">
        <v>2704.809029</v>
      </c>
      <c r="S45" s="8">
        <v>2640.818988</v>
      </c>
      <c r="T45" s="8">
        <v>2576.744354</v>
      </c>
      <c r="U45" s="8">
        <v>2540.87496</v>
      </c>
      <c r="V45" s="8">
        <v>2414.274435</v>
      </c>
      <c r="W45" s="8">
        <v>2209.339587</v>
      </c>
      <c r="X45" s="8">
        <v>1973.991385</v>
      </c>
      <c r="Y45" s="8">
        <v>1762.25935</v>
      </c>
      <c r="Z45" s="8">
        <v>1609.021991</v>
      </c>
      <c r="AA45" s="9">
        <f t="shared" si="1"/>
        <v>50687.46784</v>
      </c>
      <c r="AB45" s="9">
        <v>6.0</v>
      </c>
      <c r="AC45" s="9">
        <f t="shared" si="2"/>
        <v>304124.807</v>
      </c>
      <c r="AD45" s="12"/>
    </row>
    <row r="46" ht="14.25" customHeight="1">
      <c r="AB46" s="13" t="s">
        <v>32</v>
      </c>
      <c r="AC46" s="9">
        <f t="shared" ref="AC46:AD46" si="3">SUM(AC10:AC45)</f>
        <v>23636224.5</v>
      </c>
      <c r="AD46" s="9">
        <f t="shared" si="3"/>
        <v>23636224.5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</sheetData>
  <mergeCells count="16">
    <mergeCell ref="A1:AC1"/>
    <mergeCell ref="A2:AC2"/>
    <mergeCell ref="A3:AC3"/>
    <mergeCell ref="A4:AC4"/>
    <mergeCell ref="AD10:AD12"/>
    <mergeCell ref="AD13:AD15"/>
    <mergeCell ref="AD16:AD18"/>
    <mergeCell ref="AD40:AD42"/>
    <mergeCell ref="AD43:AD45"/>
    <mergeCell ref="AD19:AD21"/>
    <mergeCell ref="AD22:AD24"/>
    <mergeCell ref="AD25:AD27"/>
    <mergeCell ref="AD28:AD30"/>
    <mergeCell ref="AD31:AD33"/>
    <mergeCell ref="AD34:AD36"/>
    <mergeCell ref="AD37:AD39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71"/>
    <col customWidth="1" min="3" max="3" width="16.0"/>
    <col customWidth="1" min="4" max="4" width="13.0"/>
    <col customWidth="1" min="5" max="5" width="14.14"/>
    <col customWidth="1" min="6" max="6" width="10.71"/>
    <col customWidth="1" min="7" max="7" width="14.86"/>
    <col customWidth="1" min="8" max="19" width="10.71"/>
  </cols>
  <sheetData>
    <row r="1" ht="14.25" customHeight="1"/>
    <row r="2" ht="14.25" customHeight="1"/>
    <row r="3" ht="14.25" customHeight="1"/>
    <row r="4" ht="14.25" customHeight="1">
      <c r="A4" s="14" t="s">
        <v>3</v>
      </c>
    </row>
    <row r="5" ht="14.25" customHeight="1">
      <c r="A5" s="15"/>
      <c r="B5" s="14" t="s">
        <v>65</v>
      </c>
    </row>
    <row r="6" ht="14.25" customHeight="1">
      <c r="A6" s="15"/>
      <c r="B6" s="14" t="s">
        <v>38</v>
      </c>
    </row>
    <row r="7" ht="14.25" customHeight="1">
      <c r="A7" s="15"/>
      <c r="B7" s="17" t="s">
        <v>39</v>
      </c>
    </row>
    <row r="8" ht="14.25" customHeight="1">
      <c r="A8" s="15"/>
      <c r="B8" s="18" t="s">
        <v>40</v>
      </c>
    </row>
    <row r="9" ht="14.25" customHeight="1">
      <c r="A9" s="15"/>
      <c r="B9" s="17"/>
      <c r="C9" s="17"/>
      <c r="D9" s="17"/>
      <c r="E9" s="17"/>
    </row>
    <row r="10" ht="14.25" customHeight="1">
      <c r="A10" s="15"/>
      <c r="B10" s="47" t="s">
        <v>41</v>
      </c>
      <c r="C10" s="48"/>
      <c r="D10" s="48"/>
      <c r="E10" s="48"/>
      <c r="F10" s="49"/>
    </row>
    <row r="11">
      <c r="A11" s="15"/>
      <c r="B11" s="22" t="s">
        <v>4</v>
      </c>
      <c r="C11" s="23" t="s">
        <v>42</v>
      </c>
      <c r="D11" s="25" t="s">
        <v>43</v>
      </c>
      <c r="E11" s="25" t="s">
        <v>44</v>
      </c>
      <c r="F11" s="50" t="s">
        <v>45</v>
      </c>
    </row>
    <row r="12" ht="14.25" customHeight="1">
      <c r="A12" s="15"/>
      <c r="B12" s="57">
        <v>47149.0</v>
      </c>
      <c r="C12" s="51">
        <f>'Cant. Requeridas Producto 5'!AD10</f>
        <v>2005740.458</v>
      </c>
      <c r="D12" s="52"/>
      <c r="E12" s="58"/>
      <c r="F12" s="54"/>
    </row>
    <row r="13" ht="14.25" customHeight="1">
      <c r="A13" s="15"/>
      <c r="B13" s="57">
        <v>47150.0</v>
      </c>
      <c r="C13" s="51">
        <f>'Cant. Requeridas Producto 5'!AD13</f>
        <v>1835382.423</v>
      </c>
      <c r="D13" s="55"/>
      <c r="E13" s="53">
        <f t="shared" ref="E13:E23" si="1">C13*$D$13</f>
        <v>0</v>
      </c>
      <c r="F13" s="55"/>
    </row>
    <row r="14" ht="14.25" customHeight="1">
      <c r="A14" s="15"/>
      <c r="B14" s="57">
        <v>47178.0</v>
      </c>
      <c r="C14" s="51">
        <f>'Cant. Requeridas Producto 5'!AD16</f>
        <v>1981704.368</v>
      </c>
      <c r="D14" s="55"/>
      <c r="E14" s="53">
        <f t="shared" si="1"/>
        <v>0</v>
      </c>
      <c r="F14" s="55"/>
    </row>
    <row r="15" ht="14.25" customHeight="1">
      <c r="A15" s="15"/>
      <c r="B15" s="57">
        <v>47209.0</v>
      </c>
      <c r="C15" s="51">
        <f>'Cant. Requeridas Producto 5'!AD19</f>
        <v>1955052.991</v>
      </c>
      <c r="D15" s="55"/>
      <c r="E15" s="53">
        <f t="shared" si="1"/>
        <v>0</v>
      </c>
      <c r="F15" s="55"/>
    </row>
    <row r="16" ht="14.25" customHeight="1">
      <c r="A16" s="15"/>
      <c r="B16" s="57">
        <v>47239.0</v>
      </c>
      <c r="C16" s="53">
        <f>'Cant. Requeridas Producto 5'!AD22</f>
        <v>2005740.458</v>
      </c>
      <c r="D16" s="55"/>
      <c r="E16" s="53">
        <f t="shared" si="1"/>
        <v>0</v>
      </c>
      <c r="F16" s="55"/>
    </row>
    <row r="17" ht="14.25" customHeight="1">
      <c r="A17" s="15"/>
      <c r="B17" s="57">
        <v>47270.0</v>
      </c>
      <c r="C17" s="53">
        <f>'Cant. Requeridas Producto 5'!AD25</f>
        <v>1931016.901</v>
      </c>
      <c r="D17" s="55"/>
      <c r="E17" s="53">
        <f t="shared" si="1"/>
        <v>0</v>
      </c>
      <c r="F17" s="55"/>
    </row>
    <row r="18" ht="14.25" customHeight="1">
      <c r="A18" s="15"/>
      <c r="B18" s="57">
        <v>47300.0</v>
      </c>
      <c r="C18" s="53">
        <f>'Cant. Requeridas Producto 5'!AD28</f>
        <v>1987444.827</v>
      </c>
      <c r="D18" s="55"/>
      <c r="E18" s="53">
        <f t="shared" si="1"/>
        <v>0</v>
      </c>
      <c r="F18" s="55"/>
    </row>
    <row r="19" ht="14.25" customHeight="1">
      <c r="A19" s="15"/>
      <c r="B19" s="57">
        <v>47331.0</v>
      </c>
      <c r="C19" s="53">
        <f>'Cant. Requeridas Producto 5'!AD31</f>
        <v>2005740.458</v>
      </c>
      <c r="D19" s="55"/>
      <c r="E19" s="53">
        <f t="shared" si="1"/>
        <v>0</v>
      </c>
      <c r="F19" s="55"/>
    </row>
    <row r="20" ht="14.25" customHeight="1">
      <c r="A20" s="15"/>
      <c r="B20" s="57">
        <v>47362.0</v>
      </c>
      <c r="C20" s="53">
        <f>'Cant. Requeridas Producto 5'!AD34</f>
        <v>1949312.532</v>
      </c>
      <c r="D20" s="55"/>
      <c r="E20" s="53">
        <f t="shared" si="1"/>
        <v>0</v>
      </c>
      <c r="F20" s="55"/>
    </row>
    <row r="21" ht="14.25" customHeight="1">
      <c r="A21" s="15"/>
      <c r="B21" s="57">
        <v>47392.0</v>
      </c>
      <c r="C21" s="53">
        <f>'Cant. Requeridas Producto 5'!AD37</f>
        <v>2042331.721</v>
      </c>
      <c r="D21" s="55"/>
      <c r="E21" s="53">
        <f t="shared" si="1"/>
        <v>0</v>
      </c>
      <c r="F21" s="55"/>
    </row>
    <row r="22" ht="14.25" customHeight="1">
      <c r="A22" s="15"/>
      <c r="B22" s="57">
        <v>47423.0</v>
      </c>
      <c r="C22" s="51">
        <f>'Cant. Requeridas Producto 5'!AD40</f>
        <v>1936757.359</v>
      </c>
      <c r="D22" s="55"/>
      <c r="E22" s="53">
        <f t="shared" si="1"/>
        <v>0</v>
      </c>
      <c r="F22" s="55"/>
    </row>
    <row r="23" ht="14.25" customHeight="1">
      <c r="A23" s="15"/>
      <c r="B23" s="57">
        <v>47453.0</v>
      </c>
      <c r="C23" s="51">
        <f>'Cant. Requeridas Producto 5'!AD43</f>
        <v>2000000</v>
      </c>
      <c r="D23" s="56"/>
      <c r="E23" s="53">
        <f t="shared" si="1"/>
        <v>0</v>
      </c>
      <c r="F23" s="56"/>
    </row>
    <row r="24" ht="14.25" customHeight="1">
      <c r="A24" s="15"/>
      <c r="B24" s="37" t="s">
        <v>32</v>
      </c>
      <c r="C24" s="38">
        <f>SUM(C12:C23)</f>
        <v>23636224.5</v>
      </c>
      <c r="D24" s="39"/>
      <c r="E24" s="38">
        <f>SUM(E12:E23)</f>
        <v>0</v>
      </c>
      <c r="F24" s="39"/>
    </row>
    <row r="25" ht="14.25" customHeight="1">
      <c r="A25" s="15"/>
      <c r="B25" s="17"/>
      <c r="C25" s="40"/>
      <c r="D25" s="17"/>
      <c r="E25" s="17"/>
    </row>
    <row r="26" ht="14.25" customHeight="1">
      <c r="C26" s="41"/>
    </row>
    <row r="27" ht="30.0" customHeight="1">
      <c r="B27" s="42" t="s">
        <v>46</v>
      </c>
      <c r="E27" s="43"/>
    </row>
    <row r="28" ht="38.25" customHeight="1">
      <c r="B28" s="42" t="s">
        <v>66</v>
      </c>
      <c r="I28" s="42"/>
    </row>
    <row r="29" ht="44.25" customHeight="1">
      <c r="B29" s="42" t="s">
        <v>54</v>
      </c>
      <c r="I29" s="42"/>
    </row>
    <row r="30" ht="14.25" customHeight="1">
      <c r="B30" s="45"/>
    </row>
    <row r="31" ht="14.25" customHeight="1"/>
    <row r="32" ht="14.25" customHeight="1"/>
    <row r="33" ht="14.25" customHeight="1">
      <c r="B33" s="46"/>
      <c r="C33" s="46"/>
    </row>
    <row r="34" ht="14.25" customHeight="1">
      <c r="B34" s="4" t="s">
        <v>49</v>
      </c>
    </row>
    <row r="35" ht="14.25" customHeight="1">
      <c r="B35" s="4" t="s">
        <v>50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4">
    <mergeCell ref="D12:D23"/>
    <mergeCell ref="B27:D27"/>
    <mergeCell ref="B28:E28"/>
    <mergeCell ref="I28:N28"/>
    <mergeCell ref="B29:E29"/>
    <mergeCell ref="I29:N29"/>
    <mergeCell ref="B30:E30"/>
    <mergeCell ref="A4:F4"/>
    <mergeCell ref="B5:E5"/>
    <mergeCell ref="B6:E6"/>
    <mergeCell ref="B7:E7"/>
    <mergeCell ref="B8:E8"/>
    <mergeCell ref="B10:F10"/>
    <mergeCell ref="F12:F2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4" width="10.71"/>
    <col customWidth="1" min="5" max="5" width="11.29"/>
    <col customWidth="1" min="6" max="26" width="10.71"/>
    <col customWidth="1" min="27" max="27" width="13.43"/>
    <col customWidth="1" min="28" max="28" width="7.86"/>
    <col customWidth="1" min="29" max="30" width="18.43"/>
  </cols>
  <sheetData>
    <row r="1" ht="14.25" customHeight="1">
      <c r="A1" s="1" t="s">
        <v>0</v>
      </c>
      <c r="AD1" s="1"/>
    </row>
    <row r="2" ht="14.25" customHeight="1">
      <c r="A2" s="1" t="s">
        <v>67</v>
      </c>
      <c r="AD2" s="1"/>
    </row>
    <row r="3" ht="14.25" customHeight="1">
      <c r="A3" s="1" t="s">
        <v>68</v>
      </c>
      <c r="AD3" s="1"/>
    </row>
    <row r="4" ht="14.25" customHeight="1">
      <c r="A4" s="1" t="s">
        <v>3</v>
      </c>
      <c r="AD4" s="1"/>
    </row>
    <row r="5" ht="14.25" customHeight="1">
      <c r="A5" s="2"/>
      <c r="B5" s="3"/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4"/>
      <c r="X5" s="4"/>
      <c r="Y5" s="4"/>
      <c r="Z5" s="4"/>
      <c r="AA5" s="4"/>
      <c r="AB5" s="4"/>
    </row>
    <row r="6" ht="14.25" customHeight="1">
      <c r="A6" s="2"/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4"/>
      <c r="X6" s="4"/>
      <c r="Y6" s="4"/>
      <c r="Z6" s="4"/>
      <c r="AA6" s="4"/>
      <c r="AB6" s="4"/>
    </row>
    <row r="7" ht="14.25" customHeight="1">
      <c r="A7" s="2"/>
      <c r="B7" s="3"/>
      <c r="C7" s="3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4.25" customHeight="1">
      <c r="A8" s="2"/>
      <c r="B8" s="3"/>
      <c r="C8" s="3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4.25" customHeight="1">
      <c r="A9" s="5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6" t="s">
        <v>13</v>
      </c>
      <c r="K9" s="6" t="s">
        <v>14</v>
      </c>
      <c r="L9" s="6" t="s">
        <v>15</v>
      </c>
      <c r="M9" s="6" t="s">
        <v>16</v>
      </c>
      <c r="N9" s="6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  <c r="Z9" s="6" t="s">
        <v>29</v>
      </c>
      <c r="AA9" s="6" t="s">
        <v>30</v>
      </c>
      <c r="AB9" s="6" t="s">
        <v>31</v>
      </c>
      <c r="AC9" s="6" t="s">
        <v>32</v>
      </c>
      <c r="AD9" s="6" t="s">
        <v>33</v>
      </c>
    </row>
    <row r="10" ht="14.25" customHeight="1">
      <c r="A10" s="7">
        <v>47484.0</v>
      </c>
      <c r="B10" s="8" t="s">
        <v>34</v>
      </c>
      <c r="C10" s="8">
        <v>1789.42245</v>
      </c>
      <c r="D10" s="8">
        <v>1716.199226</v>
      </c>
      <c r="E10" s="8">
        <v>1675.242261</v>
      </c>
      <c r="F10" s="8">
        <v>1658.499934</v>
      </c>
      <c r="G10" s="8">
        <v>1684.074551</v>
      </c>
      <c r="H10" s="8">
        <v>1792.152715</v>
      </c>
      <c r="I10" s="8">
        <v>2168.520715</v>
      </c>
      <c r="J10" s="8">
        <v>2721.029537</v>
      </c>
      <c r="K10" s="8">
        <v>3183.272762</v>
      </c>
      <c r="L10" s="8">
        <v>3495.437472</v>
      </c>
      <c r="M10" s="8">
        <v>3749.40539</v>
      </c>
      <c r="N10" s="8">
        <v>3902.252663</v>
      </c>
      <c r="O10" s="8">
        <v>3850.922688</v>
      </c>
      <c r="P10" s="8">
        <v>3864.081001</v>
      </c>
      <c r="Q10" s="8">
        <v>3966.464102</v>
      </c>
      <c r="R10" s="8">
        <v>3968.138343</v>
      </c>
      <c r="S10" s="8">
        <v>3856.287608</v>
      </c>
      <c r="T10" s="8">
        <v>3598.872938</v>
      </c>
      <c r="U10" s="8">
        <v>3409.257046</v>
      </c>
      <c r="V10" s="8">
        <v>3193.822775</v>
      </c>
      <c r="W10" s="8">
        <v>2909.013839</v>
      </c>
      <c r="X10" s="8">
        <v>2585.22871</v>
      </c>
      <c r="Y10" s="8">
        <v>2240.427692</v>
      </c>
      <c r="Z10" s="8">
        <v>2005.072964</v>
      </c>
      <c r="AA10" s="9">
        <f t="shared" ref="AA10:AA45" si="1">SUM(C10:Z10)</f>
        <v>68983.09938</v>
      </c>
      <c r="AB10" s="9">
        <v>21.0</v>
      </c>
      <c r="AC10" s="9">
        <f t="shared" ref="AC10:AC45" si="2">AA10*AB10</f>
        <v>1448645.087</v>
      </c>
      <c r="AD10" s="10">
        <f>SUM(AC10:AC12)</f>
        <v>2005740.458</v>
      </c>
    </row>
    <row r="11" ht="14.25" customHeight="1">
      <c r="A11" s="7">
        <v>47484.0</v>
      </c>
      <c r="B11" s="8" t="s">
        <v>35</v>
      </c>
      <c r="C11" s="8">
        <v>1944.42122</v>
      </c>
      <c r="D11" s="8">
        <v>1842.912902</v>
      </c>
      <c r="E11" s="8">
        <v>1786.312658</v>
      </c>
      <c r="F11" s="8">
        <v>1742.435707</v>
      </c>
      <c r="G11" s="8">
        <v>1750.84291</v>
      </c>
      <c r="H11" s="8">
        <v>1757.986244</v>
      </c>
      <c r="I11" s="8">
        <v>2013.872788</v>
      </c>
      <c r="J11" s="8">
        <v>2472.636506</v>
      </c>
      <c r="K11" s="8">
        <v>2908.449371</v>
      </c>
      <c r="L11" s="8">
        <v>3248.819029</v>
      </c>
      <c r="M11" s="8">
        <v>3461.218666</v>
      </c>
      <c r="N11" s="8">
        <v>3558.693026</v>
      </c>
      <c r="O11" s="8">
        <v>3458.85554</v>
      </c>
      <c r="P11" s="8">
        <v>3349.234037</v>
      </c>
      <c r="Q11" s="8">
        <v>3273.991256</v>
      </c>
      <c r="R11" s="8">
        <v>3255.744707</v>
      </c>
      <c r="S11" s="8">
        <v>3216.638361</v>
      </c>
      <c r="T11" s="8">
        <v>3155.856921</v>
      </c>
      <c r="U11" s="8">
        <v>3082.652154</v>
      </c>
      <c r="V11" s="8">
        <v>2921.267773</v>
      </c>
      <c r="W11" s="8">
        <v>2672.604126</v>
      </c>
      <c r="X11" s="8">
        <v>2393.004475</v>
      </c>
      <c r="Y11" s="8">
        <v>2094.301368</v>
      </c>
      <c r="Z11" s="8">
        <v>1879.889325</v>
      </c>
      <c r="AA11" s="9">
        <f t="shared" si="1"/>
        <v>63242.64107</v>
      </c>
      <c r="AB11" s="9">
        <v>4.0</v>
      </c>
      <c r="AC11" s="9">
        <f t="shared" si="2"/>
        <v>252970.5643</v>
      </c>
      <c r="AD11" s="11"/>
    </row>
    <row r="12" ht="14.25" customHeight="1">
      <c r="A12" s="7">
        <v>47484.0</v>
      </c>
      <c r="B12" s="8" t="s">
        <v>36</v>
      </c>
      <c r="C12" s="8">
        <v>1740.94595</v>
      </c>
      <c r="D12" s="8">
        <v>1654.478322</v>
      </c>
      <c r="E12" s="8">
        <v>1574.591597</v>
      </c>
      <c r="F12" s="8">
        <v>1534.002811</v>
      </c>
      <c r="G12" s="8">
        <v>1499.780014</v>
      </c>
      <c r="H12" s="8">
        <v>1470.355259</v>
      </c>
      <c r="I12" s="8">
        <v>1517.883898</v>
      </c>
      <c r="J12" s="8">
        <v>1696.730625</v>
      </c>
      <c r="K12" s="8">
        <v>1931.959482</v>
      </c>
      <c r="L12" s="8">
        <v>2259.074969</v>
      </c>
      <c r="M12" s="8">
        <v>2523.326648</v>
      </c>
      <c r="N12" s="8">
        <v>2672.915063</v>
      </c>
      <c r="O12" s="8">
        <v>2724.442451</v>
      </c>
      <c r="P12" s="8">
        <v>2736.875839</v>
      </c>
      <c r="Q12" s="8">
        <v>2717.970834</v>
      </c>
      <c r="R12" s="8">
        <v>2704.809029</v>
      </c>
      <c r="S12" s="8">
        <v>2640.818988</v>
      </c>
      <c r="T12" s="8">
        <v>2576.744354</v>
      </c>
      <c r="U12" s="8">
        <v>2540.87496</v>
      </c>
      <c r="V12" s="8">
        <v>2414.274435</v>
      </c>
      <c r="W12" s="8">
        <v>2209.339587</v>
      </c>
      <c r="X12" s="8">
        <v>1973.991385</v>
      </c>
      <c r="Y12" s="8">
        <v>1762.25935</v>
      </c>
      <c r="Z12" s="8">
        <v>1609.021991</v>
      </c>
      <c r="AA12" s="9">
        <f t="shared" si="1"/>
        <v>50687.46784</v>
      </c>
      <c r="AB12" s="9">
        <v>6.0</v>
      </c>
      <c r="AC12" s="9">
        <f t="shared" si="2"/>
        <v>304124.807</v>
      </c>
      <c r="AD12" s="12"/>
    </row>
    <row r="13" ht="14.25" customHeight="1">
      <c r="A13" s="7">
        <v>47515.0</v>
      </c>
      <c r="B13" s="8" t="s">
        <v>34</v>
      </c>
      <c r="C13" s="8">
        <v>1789.42245</v>
      </c>
      <c r="D13" s="8">
        <v>1716.199226</v>
      </c>
      <c r="E13" s="8">
        <v>1675.242261</v>
      </c>
      <c r="F13" s="8">
        <v>1658.499934</v>
      </c>
      <c r="G13" s="8">
        <v>1684.074551</v>
      </c>
      <c r="H13" s="8">
        <v>1792.152715</v>
      </c>
      <c r="I13" s="8">
        <v>2168.520715</v>
      </c>
      <c r="J13" s="8">
        <v>2721.029537</v>
      </c>
      <c r="K13" s="8">
        <v>3183.272762</v>
      </c>
      <c r="L13" s="8">
        <v>3495.437472</v>
      </c>
      <c r="M13" s="8">
        <v>3749.40539</v>
      </c>
      <c r="N13" s="8">
        <v>3902.252663</v>
      </c>
      <c r="O13" s="8">
        <v>3850.922688</v>
      </c>
      <c r="P13" s="8">
        <v>3864.081001</v>
      </c>
      <c r="Q13" s="8">
        <v>3966.464102</v>
      </c>
      <c r="R13" s="8">
        <v>3968.138343</v>
      </c>
      <c r="S13" s="8">
        <v>3856.287608</v>
      </c>
      <c r="T13" s="8">
        <v>3598.872938</v>
      </c>
      <c r="U13" s="8">
        <v>3409.257046</v>
      </c>
      <c r="V13" s="8">
        <v>3193.822775</v>
      </c>
      <c r="W13" s="8">
        <v>2909.013839</v>
      </c>
      <c r="X13" s="8">
        <v>2585.22871</v>
      </c>
      <c r="Y13" s="8">
        <v>2240.427692</v>
      </c>
      <c r="Z13" s="8">
        <v>2005.072964</v>
      </c>
      <c r="AA13" s="9">
        <f t="shared" si="1"/>
        <v>68983.09938</v>
      </c>
      <c r="AB13" s="9">
        <v>20.0</v>
      </c>
      <c r="AC13" s="9">
        <f t="shared" si="2"/>
        <v>1379661.988</v>
      </c>
      <c r="AD13" s="10">
        <f>SUM(AC13:AC15)</f>
        <v>1835382.423</v>
      </c>
    </row>
    <row r="14" ht="14.25" customHeight="1">
      <c r="A14" s="7">
        <v>47515.0</v>
      </c>
      <c r="B14" s="8" t="s">
        <v>35</v>
      </c>
      <c r="C14" s="8">
        <v>1944.42122</v>
      </c>
      <c r="D14" s="8">
        <v>1842.912902</v>
      </c>
      <c r="E14" s="8">
        <v>1786.312658</v>
      </c>
      <c r="F14" s="8">
        <v>1742.435707</v>
      </c>
      <c r="G14" s="8">
        <v>1750.84291</v>
      </c>
      <c r="H14" s="8">
        <v>1757.986244</v>
      </c>
      <c r="I14" s="8">
        <v>2013.872788</v>
      </c>
      <c r="J14" s="8">
        <v>2472.636506</v>
      </c>
      <c r="K14" s="8">
        <v>2908.449371</v>
      </c>
      <c r="L14" s="8">
        <v>3248.819029</v>
      </c>
      <c r="M14" s="8">
        <v>3461.218666</v>
      </c>
      <c r="N14" s="8">
        <v>3558.693026</v>
      </c>
      <c r="O14" s="8">
        <v>3458.85554</v>
      </c>
      <c r="P14" s="8">
        <v>3349.234037</v>
      </c>
      <c r="Q14" s="8">
        <v>3273.991256</v>
      </c>
      <c r="R14" s="8">
        <v>3255.744707</v>
      </c>
      <c r="S14" s="8">
        <v>3216.638361</v>
      </c>
      <c r="T14" s="8">
        <v>3155.856921</v>
      </c>
      <c r="U14" s="8">
        <v>3082.652154</v>
      </c>
      <c r="V14" s="8">
        <v>2921.267773</v>
      </c>
      <c r="W14" s="8">
        <v>2672.604126</v>
      </c>
      <c r="X14" s="8">
        <v>2393.004475</v>
      </c>
      <c r="Y14" s="8">
        <v>2094.301368</v>
      </c>
      <c r="Z14" s="8">
        <v>1879.889325</v>
      </c>
      <c r="AA14" s="9">
        <f t="shared" si="1"/>
        <v>63242.64107</v>
      </c>
      <c r="AB14" s="9">
        <v>4.0</v>
      </c>
      <c r="AC14" s="9">
        <f t="shared" si="2"/>
        <v>252970.5643</v>
      </c>
      <c r="AD14" s="11"/>
    </row>
    <row r="15" ht="14.25" customHeight="1">
      <c r="A15" s="7">
        <v>47515.0</v>
      </c>
      <c r="B15" s="8" t="s">
        <v>36</v>
      </c>
      <c r="C15" s="8">
        <v>1740.94595</v>
      </c>
      <c r="D15" s="8">
        <v>1654.478322</v>
      </c>
      <c r="E15" s="8">
        <v>1574.591597</v>
      </c>
      <c r="F15" s="8">
        <v>1534.002811</v>
      </c>
      <c r="G15" s="8">
        <v>1499.780014</v>
      </c>
      <c r="H15" s="8">
        <v>1470.355259</v>
      </c>
      <c r="I15" s="8">
        <v>1517.883898</v>
      </c>
      <c r="J15" s="8">
        <v>1696.730625</v>
      </c>
      <c r="K15" s="8">
        <v>1931.959482</v>
      </c>
      <c r="L15" s="8">
        <v>2259.074969</v>
      </c>
      <c r="M15" s="8">
        <v>2523.326648</v>
      </c>
      <c r="N15" s="8">
        <v>2672.915063</v>
      </c>
      <c r="O15" s="8">
        <v>2724.442451</v>
      </c>
      <c r="P15" s="8">
        <v>2736.875839</v>
      </c>
      <c r="Q15" s="8">
        <v>2717.970834</v>
      </c>
      <c r="R15" s="8">
        <v>2704.809029</v>
      </c>
      <c r="S15" s="8">
        <v>2640.818988</v>
      </c>
      <c r="T15" s="8">
        <v>2576.744354</v>
      </c>
      <c r="U15" s="8">
        <v>2540.87496</v>
      </c>
      <c r="V15" s="8">
        <v>2414.274435</v>
      </c>
      <c r="W15" s="8">
        <v>2209.339587</v>
      </c>
      <c r="X15" s="8">
        <v>1973.991385</v>
      </c>
      <c r="Y15" s="8">
        <v>1762.25935</v>
      </c>
      <c r="Z15" s="8">
        <v>1609.021991</v>
      </c>
      <c r="AA15" s="9">
        <f t="shared" si="1"/>
        <v>50687.46784</v>
      </c>
      <c r="AB15" s="9">
        <v>4.0</v>
      </c>
      <c r="AC15" s="9">
        <f t="shared" si="2"/>
        <v>202749.8714</v>
      </c>
      <c r="AD15" s="12"/>
    </row>
    <row r="16" ht="14.25" customHeight="1">
      <c r="A16" s="7">
        <v>47543.0</v>
      </c>
      <c r="B16" s="8" t="s">
        <v>34</v>
      </c>
      <c r="C16" s="8">
        <v>1789.42245</v>
      </c>
      <c r="D16" s="8">
        <v>1716.199226</v>
      </c>
      <c r="E16" s="8">
        <v>1675.242261</v>
      </c>
      <c r="F16" s="8">
        <v>1658.499934</v>
      </c>
      <c r="G16" s="8">
        <v>1684.074551</v>
      </c>
      <c r="H16" s="8">
        <v>1792.152715</v>
      </c>
      <c r="I16" s="8">
        <v>2168.520715</v>
      </c>
      <c r="J16" s="8">
        <v>2721.029537</v>
      </c>
      <c r="K16" s="8">
        <v>3183.272762</v>
      </c>
      <c r="L16" s="8">
        <v>3495.437472</v>
      </c>
      <c r="M16" s="8">
        <v>3749.40539</v>
      </c>
      <c r="N16" s="8">
        <v>3902.252663</v>
      </c>
      <c r="O16" s="8">
        <v>3850.922688</v>
      </c>
      <c r="P16" s="8">
        <v>3864.081001</v>
      </c>
      <c r="Q16" s="8">
        <v>3966.464102</v>
      </c>
      <c r="R16" s="8">
        <v>3968.138343</v>
      </c>
      <c r="S16" s="8">
        <v>3856.287608</v>
      </c>
      <c r="T16" s="8">
        <v>3598.872938</v>
      </c>
      <c r="U16" s="8">
        <v>3409.257046</v>
      </c>
      <c r="V16" s="8">
        <v>3193.822775</v>
      </c>
      <c r="W16" s="8">
        <v>2909.013839</v>
      </c>
      <c r="X16" s="8">
        <v>2585.22871</v>
      </c>
      <c r="Y16" s="8">
        <v>2240.427692</v>
      </c>
      <c r="Z16" s="8">
        <v>2005.072964</v>
      </c>
      <c r="AA16" s="9">
        <f t="shared" si="1"/>
        <v>68983.09938</v>
      </c>
      <c r="AB16" s="9">
        <v>20.0</v>
      </c>
      <c r="AC16" s="9">
        <f t="shared" si="2"/>
        <v>1379661.988</v>
      </c>
      <c r="AD16" s="10">
        <f>SUM(AC16:AC18)</f>
        <v>2000000</v>
      </c>
    </row>
    <row r="17" ht="14.25" customHeight="1">
      <c r="A17" s="7">
        <v>47543.0</v>
      </c>
      <c r="B17" s="8" t="s">
        <v>35</v>
      </c>
      <c r="C17" s="8">
        <v>1944.42122</v>
      </c>
      <c r="D17" s="8">
        <v>1842.912902</v>
      </c>
      <c r="E17" s="8">
        <v>1786.312658</v>
      </c>
      <c r="F17" s="8">
        <v>1742.435707</v>
      </c>
      <c r="G17" s="8">
        <v>1750.84291</v>
      </c>
      <c r="H17" s="8">
        <v>1757.986244</v>
      </c>
      <c r="I17" s="8">
        <v>2013.872788</v>
      </c>
      <c r="J17" s="8">
        <v>2472.636506</v>
      </c>
      <c r="K17" s="8">
        <v>2908.449371</v>
      </c>
      <c r="L17" s="8">
        <v>3248.819029</v>
      </c>
      <c r="M17" s="8">
        <v>3461.218666</v>
      </c>
      <c r="N17" s="8">
        <v>3558.693026</v>
      </c>
      <c r="O17" s="8">
        <v>3458.85554</v>
      </c>
      <c r="P17" s="8">
        <v>3349.234037</v>
      </c>
      <c r="Q17" s="8">
        <v>3273.991256</v>
      </c>
      <c r="R17" s="8">
        <v>3255.744707</v>
      </c>
      <c r="S17" s="8">
        <v>3216.638361</v>
      </c>
      <c r="T17" s="8">
        <v>3155.856921</v>
      </c>
      <c r="U17" s="8">
        <v>3082.652154</v>
      </c>
      <c r="V17" s="8">
        <v>2921.267773</v>
      </c>
      <c r="W17" s="8">
        <v>2672.604126</v>
      </c>
      <c r="X17" s="8">
        <v>2393.004475</v>
      </c>
      <c r="Y17" s="8">
        <v>2094.301368</v>
      </c>
      <c r="Z17" s="8">
        <v>1879.889325</v>
      </c>
      <c r="AA17" s="9">
        <f t="shared" si="1"/>
        <v>63242.64107</v>
      </c>
      <c r="AB17" s="9">
        <v>5.0</v>
      </c>
      <c r="AC17" s="9">
        <f t="shared" si="2"/>
        <v>316213.2054</v>
      </c>
      <c r="AD17" s="11"/>
    </row>
    <row r="18" ht="14.25" customHeight="1">
      <c r="A18" s="7">
        <v>47543.0</v>
      </c>
      <c r="B18" s="8" t="s">
        <v>36</v>
      </c>
      <c r="C18" s="8">
        <v>1740.94595</v>
      </c>
      <c r="D18" s="8">
        <v>1654.478322</v>
      </c>
      <c r="E18" s="8">
        <v>1574.591597</v>
      </c>
      <c r="F18" s="8">
        <v>1534.002811</v>
      </c>
      <c r="G18" s="8">
        <v>1499.780014</v>
      </c>
      <c r="H18" s="8">
        <v>1470.355259</v>
      </c>
      <c r="I18" s="8">
        <v>1517.883898</v>
      </c>
      <c r="J18" s="8">
        <v>1696.730625</v>
      </c>
      <c r="K18" s="8">
        <v>1931.959482</v>
      </c>
      <c r="L18" s="8">
        <v>2259.074969</v>
      </c>
      <c r="M18" s="8">
        <v>2523.326648</v>
      </c>
      <c r="N18" s="8">
        <v>2672.915063</v>
      </c>
      <c r="O18" s="8">
        <v>2724.442451</v>
      </c>
      <c r="P18" s="8">
        <v>2736.875839</v>
      </c>
      <c r="Q18" s="8">
        <v>2717.970834</v>
      </c>
      <c r="R18" s="8">
        <v>2704.809029</v>
      </c>
      <c r="S18" s="8">
        <v>2640.818988</v>
      </c>
      <c r="T18" s="8">
        <v>2576.744354</v>
      </c>
      <c r="U18" s="8">
        <v>2540.87496</v>
      </c>
      <c r="V18" s="8">
        <v>2414.274435</v>
      </c>
      <c r="W18" s="8">
        <v>2209.339587</v>
      </c>
      <c r="X18" s="8">
        <v>1973.991385</v>
      </c>
      <c r="Y18" s="8">
        <v>1762.25935</v>
      </c>
      <c r="Z18" s="8">
        <v>1609.021991</v>
      </c>
      <c r="AA18" s="9">
        <f t="shared" si="1"/>
        <v>50687.46784</v>
      </c>
      <c r="AB18" s="9">
        <v>6.0</v>
      </c>
      <c r="AC18" s="9">
        <f t="shared" si="2"/>
        <v>304124.807</v>
      </c>
      <c r="AD18" s="12"/>
    </row>
    <row r="19" ht="14.25" customHeight="1">
      <c r="A19" s="7">
        <v>47574.0</v>
      </c>
      <c r="B19" s="8" t="s">
        <v>34</v>
      </c>
      <c r="C19" s="8">
        <v>1789.42245</v>
      </c>
      <c r="D19" s="8">
        <v>1716.199226</v>
      </c>
      <c r="E19" s="8">
        <v>1675.242261</v>
      </c>
      <c r="F19" s="8">
        <v>1658.499934</v>
      </c>
      <c r="G19" s="8">
        <v>1684.074551</v>
      </c>
      <c r="H19" s="8">
        <v>1792.152715</v>
      </c>
      <c r="I19" s="8">
        <v>2168.520715</v>
      </c>
      <c r="J19" s="8">
        <v>2721.029537</v>
      </c>
      <c r="K19" s="8">
        <v>3183.272762</v>
      </c>
      <c r="L19" s="8">
        <v>3495.437472</v>
      </c>
      <c r="M19" s="8">
        <v>3749.40539</v>
      </c>
      <c r="N19" s="8">
        <v>3902.252663</v>
      </c>
      <c r="O19" s="8">
        <v>3850.922688</v>
      </c>
      <c r="P19" s="8">
        <v>3864.081001</v>
      </c>
      <c r="Q19" s="8">
        <v>3966.464102</v>
      </c>
      <c r="R19" s="8">
        <v>3968.138343</v>
      </c>
      <c r="S19" s="8">
        <v>3856.287608</v>
      </c>
      <c r="T19" s="8">
        <v>3598.872938</v>
      </c>
      <c r="U19" s="8">
        <v>3409.257046</v>
      </c>
      <c r="V19" s="8">
        <v>3193.822775</v>
      </c>
      <c r="W19" s="8">
        <v>2909.013839</v>
      </c>
      <c r="X19" s="8">
        <v>2585.22871</v>
      </c>
      <c r="Y19" s="8">
        <v>2240.427692</v>
      </c>
      <c r="Z19" s="8">
        <v>2005.072964</v>
      </c>
      <c r="AA19" s="9">
        <f t="shared" si="1"/>
        <v>68983.09938</v>
      </c>
      <c r="AB19" s="9">
        <v>20.0</v>
      </c>
      <c r="AC19" s="9">
        <f t="shared" si="2"/>
        <v>1379661.988</v>
      </c>
      <c r="AD19" s="10">
        <f>SUM(AC19:AC21)</f>
        <v>1936757.359</v>
      </c>
    </row>
    <row r="20" ht="14.25" customHeight="1">
      <c r="A20" s="7">
        <v>47574.0</v>
      </c>
      <c r="B20" s="8" t="s">
        <v>35</v>
      </c>
      <c r="C20" s="8">
        <v>1944.42122</v>
      </c>
      <c r="D20" s="8">
        <v>1842.912902</v>
      </c>
      <c r="E20" s="8">
        <v>1786.312658</v>
      </c>
      <c r="F20" s="8">
        <v>1742.435707</v>
      </c>
      <c r="G20" s="8">
        <v>1750.84291</v>
      </c>
      <c r="H20" s="8">
        <v>1757.986244</v>
      </c>
      <c r="I20" s="8">
        <v>2013.872788</v>
      </c>
      <c r="J20" s="8">
        <v>2472.636506</v>
      </c>
      <c r="K20" s="8">
        <v>2908.449371</v>
      </c>
      <c r="L20" s="8">
        <v>3248.819029</v>
      </c>
      <c r="M20" s="8">
        <v>3461.218666</v>
      </c>
      <c r="N20" s="8">
        <v>3558.693026</v>
      </c>
      <c r="O20" s="8">
        <v>3458.85554</v>
      </c>
      <c r="P20" s="8">
        <v>3349.234037</v>
      </c>
      <c r="Q20" s="8">
        <v>3273.991256</v>
      </c>
      <c r="R20" s="8">
        <v>3255.744707</v>
      </c>
      <c r="S20" s="8">
        <v>3216.638361</v>
      </c>
      <c r="T20" s="8">
        <v>3155.856921</v>
      </c>
      <c r="U20" s="8">
        <v>3082.652154</v>
      </c>
      <c r="V20" s="8">
        <v>2921.267773</v>
      </c>
      <c r="W20" s="8">
        <v>2672.604126</v>
      </c>
      <c r="X20" s="8">
        <v>2393.004475</v>
      </c>
      <c r="Y20" s="8">
        <v>2094.301368</v>
      </c>
      <c r="Z20" s="8">
        <v>1879.889325</v>
      </c>
      <c r="AA20" s="9">
        <f t="shared" si="1"/>
        <v>63242.64107</v>
      </c>
      <c r="AB20" s="9">
        <v>4.0</v>
      </c>
      <c r="AC20" s="9">
        <f t="shared" si="2"/>
        <v>252970.5643</v>
      </c>
      <c r="AD20" s="11"/>
    </row>
    <row r="21" ht="14.25" customHeight="1">
      <c r="A21" s="7">
        <v>47574.0</v>
      </c>
      <c r="B21" s="8" t="s">
        <v>36</v>
      </c>
      <c r="C21" s="8">
        <v>1740.94595</v>
      </c>
      <c r="D21" s="8">
        <v>1654.478322</v>
      </c>
      <c r="E21" s="8">
        <v>1574.591597</v>
      </c>
      <c r="F21" s="8">
        <v>1534.002811</v>
      </c>
      <c r="G21" s="8">
        <v>1499.780014</v>
      </c>
      <c r="H21" s="8">
        <v>1470.355259</v>
      </c>
      <c r="I21" s="8">
        <v>1517.883898</v>
      </c>
      <c r="J21" s="8">
        <v>1696.730625</v>
      </c>
      <c r="K21" s="8">
        <v>1931.959482</v>
      </c>
      <c r="L21" s="8">
        <v>2259.074969</v>
      </c>
      <c r="M21" s="8">
        <v>2523.326648</v>
      </c>
      <c r="N21" s="8">
        <v>2672.915063</v>
      </c>
      <c r="O21" s="8">
        <v>2724.442451</v>
      </c>
      <c r="P21" s="8">
        <v>2736.875839</v>
      </c>
      <c r="Q21" s="8">
        <v>2717.970834</v>
      </c>
      <c r="R21" s="8">
        <v>2704.809029</v>
      </c>
      <c r="S21" s="8">
        <v>2640.818988</v>
      </c>
      <c r="T21" s="8">
        <v>2576.744354</v>
      </c>
      <c r="U21" s="8">
        <v>2540.87496</v>
      </c>
      <c r="V21" s="8">
        <v>2414.274435</v>
      </c>
      <c r="W21" s="8">
        <v>2209.339587</v>
      </c>
      <c r="X21" s="8">
        <v>1973.991385</v>
      </c>
      <c r="Y21" s="8">
        <v>1762.25935</v>
      </c>
      <c r="Z21" s="8">
        <v>1609.021991</v>
      </c>
      <c r="AA21" s="9">
        <f t="shared" si="1"/>
        <v>50687.46784</v>
      </c>
      <c r="AB21" s="9">
        <v>6.0</v>
      </c>
      <c r="AC21" s="9">
        <f t="shared" si="2"/>
        <v>304124.807</v>
      </c>
      <c r="AD21" s="12"/>
    </row>
    <row r="22" ht="14.25" customHeight="1">
      <c r="A22" s="7">
        <v>47604.0</v>
      </c>
      <c r="B22" s="8" t="s">
        <v>34</v>
      </c>
      <c r="C22" s="8">
        <v>1789.42245</v>
      </c>
      <c r="D22" s="8">
        <v>1716.199226</v>
      </c>
      <c r="E22" s="8">
        <v>1675.242261</v>
      </c>
      <c r="F22" s="8">
        <v>1658.499934</v>
      </c>
      <c r="G22" s="8">
        <v>1684.074551</v>
      </c>
      <c r="H22" s="8">
        <v>1792.152715</v>
      </c>
      <c r="I22" s="8">
        <v>2168.520715</v>
      </c>
      <c r="J22" s="8">
        <v>2721.029537</v>
      </c>
      <c r="K22" s="8">
        <v>3183.272762</v>
      </c>
      <c r="L22" s="8">
        <v>3495.437472</v>
      </c>
      <c r="M22" s="8">
        <v>3749.40539</v>
      </c>
      <c r="N22" s="8">
        <v>3902.252663</v>
      </c>
      <c r="O22" s="8">
        <v>3850.922688</v>
      </c>
      <c r="P22" s="8">
        <v>3864.081001</v>
      </c>
      <c r="Q22" s="8">
        <v>3966.464102</v>
      </c>
      <c r="R22" s="8">
        <v>3968.138343</v>
      </c>
      <c r="S22" s="8">
        <v>3856.287608</v>
      </c>
      <c r="T22" s="8">
        <v>3598.872938</v>
      </c>
      <c r="U22" s="8">
        <v>3409.257046</v>
      </c>
      <c r="V22" s="8">
        <v>3193.822775</v>
      </c>
      <c r="W22" s="8">
        <v>2909.013839</v>
      </c>
      <c r="X22" s="8">
        <v>2585.22871</v>
      </c>
      <c r="Y22" s="8">
        <v>2240.427692</v>
      </c>
      <c r="Z22" s="8">
        <v>2005.072964</v>
      </c>
      <c r="AA22" s="9">
        <f t="shared" si="1"/>
        <v>68983.09938</v>
      </c>
      <c r="AB22" s="9">
        <v>22.0</v>
      </c>
      <c r="AC22" s="9">
        <f t="shared" si="2"/>
        <v>1517628.186</v>
      </c>
      <c r="AD22" s="10">
        <f>SUM(AC22:AC24)</f>
        <v>2024036.09</v>
      </c>
    </row>
    <row r="23" ht="14.25" customHeight="1">
      <c r="A23" s="7">
        <v>47604.0</v>
      </c>
      <c r="B23" s="8" t="s">
        <v>35</v>
      </c>
      <c r="C23" s="8">
        <v>1944.42122</v>
      </c>
      <c r="D23" s="8">
        <v>1842.912902</v>
      </c>
      <c r="E23" s="8">
        <v>1786.312658</v>
      </c>
      <c r="F23" s="8">
        <v>1742.435707</v>
      </c>
      <c r="G23" s="8">
        <v>1750.84291</v>
      </c>
      <c r="H23" s="8">
        <v>1757.986244</v>
      </c>
      <c r="I23" s="8">
        <v>2013.872788</v>
      </c>
      <c r="J23" s="8">
        <v>2472.636506</v>
      </c>
      <c r="K23" s="8">
        <v>2908.449371</v>
      </c>
      <c r="L23" s="8">
        <v>3248.819029</v>
      </c>
      <c r="M23" s="8">
        <v>3461.218666</v>
      </c>
      <c r="N23" s="8">
        <v>3558.693026</v>
      </c>
      <c r="O23" s="8">
        <v>3458.85554</v>
      </c>
      <c r="P23" s="8">
        <v>3349.234037</v>
      </c>
      <c r="Q23" s="8">
        <v>3273.991256</v>
      </c>
      <c r="R23" s="8">
        <v>3255.744707</v>
      </c>
      <c r="S23" s="8">
        <v>3216.638361</v>
      </c>
      <c r="T23" s="8">
        <v>3155.856921</v>
      </c>
      <c r="U23" s="8">
        <v>3082.652154</v>
      </c>
      <c r="V23" s="8">
        <v>2921.267773</v>
      </c>
      <c r="W23" s="8">
        <v>2672.604126</v>
      </c>
      <c r="X23" s="8">
        <v>2393.004475</v>
      </c>
      <c r="Y23" s="8">
        <v>2094.301368</v>
      </c>
      <c r="Z23" s="8">
        <v>1879.889325</v>
      </c>
      <c r="AA23" s="9">
        <f t="shared" si="1"/>
        <v>63242.64107</v>
      </c>
      <c r="AB23" s="9">
        <v>4.0</v>
      </c>
      <c r="AC23" s="9">
        <f t="shared" si="2"/>
        <v>252970.5643</v>
      </c>
      <c r="AD23" s="11"/>
    </row>
    <row r="24" ht="14.25" customHeight="1">
      <c r="A24" s="7">
        <v>47604.0</v>
      </c>
      <c r="B24" s="8" t="s">
        <v>36</v>
      </c>
      <c r="C24" s="8">
        <v>1740.94595</v>
      </c>
      <c r="D24" s="8">
        <v>1654.478322</v>
      </c>
      <c r="E24" s="8">
        <v>1574.591597</v>
      </c>
      <c r="F24" s="8">
        <v>1534.002811</v>
      </c>
      <c r="G24" s="8">
        <v>1499.780014</v>
      </c>
      <c r="H24" s="8">
        <v>1470.355259</v>
      </c>
      <c r="I24" s="8">
        <v>1517.883898</v>
      </c>
      <c r="J24" s="8">
        <v>1696.730625</v>
      </c>
      <c r="K24" s="8">
        <v>1931.959482</v>
      </c>
      <c r="L24" s="8">
        <v>2259.074969</v>
      </c>
      <c r="M24" s="8">
        <v>2523.326648</v>
      </c>
      <c r="N24" s="8">
        <v>2672.915063</v>
      </c>
      <c r="O24" s="8">
        <v>2724.442451</v>
      </c>
      <c r="P24" s="8">
        <v>2736.875839</v>
      </c>
      <c r="Q24" s="8">
        <v>2717.970834</v>
      </c>
      <c r="R24" s="8">
        <v>2704.809029</v>
      </c>
      <c r="S24" s="8">
        <v>2640.818988</v>
      </c>
      <c r="T24" s="8">
        <v>2576.744354</v>
      </c>
      <c r="U24" s="8">
        <v>2540.87496</v>
      </c>
      <c r="V24" s="8">
        <v>2414.274435</v>
      </c>
      <c r="W24" s="8">
        <v>2209.339587</v>
      </c>
      <c r="X24" s="8">
        <v>1973.991385</v>
      </c>
      <c r="Y24" s="8">
        <v>1762.25935</v>
      </c>
      <c r="Z24" s="8">
        <v>1609.021991</v>
      </c>
      <c r="AA24" s="9">
        <f t="shared" si="1"/>
        <v>50687.46784</v>
      </c>
      <c r="AB24" s="9">
        <v>5.0</v>
      </c>
      <c r="AC24" s="9">
        <f t="shared" si="2"/>
        <v>253437.3392</v>
      </c>
      <c r="AD24" s="12"/>
    </row>
    <row r="25" ht="14.25" customHeight="1">
      <c r="A25" s="7">
        <v>47635.0</v>
      </c>
      <c r="B25" s="8" t="s">
        <v>34</v>
      </c>
      <c r="C25" s="8">
        <v>1789.42245</v>
      </c>
      <c r="D25" s="8">
        <v>1716.199226</v>
      </c>
      <c r="E25" s="8">
        <v>1675.242261</v>
      </c>
      <c r="F25" s="8">
        <v>1658.499934</v>
      </c>
      <c r="G25" s="8">
        <v>1684.074551</v>
      </c>
      <c r="H25" s="8">
        <v>1792.152715</v>
      </c>
      <c r="I25" s="8">
        <v>2168.520715</v>
      </c>
      <c r="J25" s="8">
        <v>2721.029537</v>
      </c>
      <c r="K25" s="8">
        <v>3183.272762</v>
      </c>
      <c r="L25" s="8">
        <v>3495.437472</v>
      </c>
      <c r="M25" s="8">
        <v>3749.40539</v>
      </c>
      <c r="N25" s="8">
        <v>3902.252663</v>
      </c>
      <c r="O25" s="8">
        <v>3850.922688</v>
      </c>
      <c r="P25" s="8">
        <v>3864.081001</v>
      </c>
      <c r="Q25" s="8">
        <v>3966.464102</v>
      </c>
      <c r="R25" s="8">
        <v>3968.138343</v>
      </c>
      <c r="S25" s="8">
        <v>3856.287608</v>
      </c>
      <c r="T25" s="8">
        <v>3598.872938</v>
      </c>
      <c r="U25" s="8">
        <v>3409.257046</v>
      </c>
      <c r="V25" s="8">
        <v>3193.822775</v>
      </c>
      <c r="W25" s="8">
        <v>2909.013839</v>
      </c>
      <c r="X25" s="8">
        <v>2585.22871</v>
      </c>
      <c r="Y25" s="8">
        <v>2240.427692</v>
      </c>
      <c r="Z25" s="8">
        <v>2005.072964</v>
      </c>
      <c r="AA25" s="9">
        <f t="shared" si="1"/>
        <v>68983.09938</v>
      </c>
      <c r="AB25" s="9">
        <v>18.0</v>
      </c>
      <c r="AC25" s="9">
        <f t="shared" si="2"/>
        <v>1241695.789</v>
      </c>
      <c r="AD25" s="10">
        <f>SUM(AC25:AC27)</f>
        <v>1912721.269</v>
      </c>
    </row>
    <row r="26" ht="14.25" customHeight="1">
      <c r="A26" s="7">
        <v>47635.0</v>
      </c>
      <c r="B26" s="8" t="s">
        <v>35</v>
      </c>
      <c r="C26" s="8">
        <v>1944.42122</v>
      </c>
      <c r="D26" s="8">
        <v>1842.912902</v>
      </c>
      <c r="E26" s="8">
        <v>1786.312658</v>
      </c>
      <c r="F26" s="8">
        <v>1742.435707</v>
      </c>
      <c r="G26" s="8">
        <v>1750.84291</v>
      </c>
      <c r="H26" s="8">
        <v>1757.986244</v>
      </c>
      <c r="I26" s="8">
        <v>2013.872788</v>
      </c>
      <c r="J26" s="8">
        <v>2472.636506</v>
      </c>
      <c r="K26" s="8">
        <v>2908.449371</v>
      </c>
      <c r="L26" s="8">
        <v>3248.819029</v>
      </c>
      <c r="M26" s="8">
        <v>3461.218666</v>
      </c>
      <c r="N26" s="8">
        <v>3558.693026</v>
      </c>
      <c r="O26" s="8">
        <v>3458.85554</v>
      </c>
      <c r="P26" s="8">
        <v>3349.234037</v>
      </c>
      <c r="Q26" s="8">
        <v>3273.991256</v>
      </c>
      <c r="R26" s="8">
        <v>3255.744707</v>
      </c>
      <c r="S26" s="8">
        <v>3216.638361</v>
      </c>
      <c r="T26" s="8">
        <v>3155.856921</v>
      </c>
      <c r="U26" s="8">
        <v>3082.652154</v>
      </c>
      <c r="V26" s="8">
        <v>2921.267773</v>
      </c>
      <c r="W26" s="8">
        <v>2672.604126</v>
      </c>
      <c r="X26" s="8">
        <v>2393.004475</v>
      </c>
      <c r="Y26" s="8">
        <v>2094.301368</v>
      </c>
      <c r="Z26" s="8">
        <v>1879.889325</v>
      </c>
      <c r="AA26" s="9">
        <f t="shared" si="1"/>
        <v>63242.64107</v>
      </c>
      <c r="AB26" s="9">
        <v>5.0</v>
      </c>
      <c r="AC26" s="9">
        <f t="shared" si="2"/>
        <v>316213.2054</v>
      </c>
      <c r="AD26" s="11"/>
    </row>
    <row r="27" ht="14.25" customHeight="1">
      <c r="A27" s="7">
        <v>47635.0</v>
      </c>
      <c r="B27" s="8" t="s">
        <v>36</v>
      </c>
      <c r="C27" s="8">
        <v>1740.94595</v>
      </c>
      <c r="D27" s="8">
        <v>1654.478322</v>
      </c>
      <c r="E27" s="8">
        <v>1574.591597</v>
      </c>
      <c r="F27" s="8">
        <v>1534.002811</v>
      </c>
      <c r="G27" s="8">
        <v>1499.780014</v>
      </c>
      <c r="H27" s="8">
        <v>1470.355259</v>
      </c>
      <c r="I27" s="8">
        <v>1517.883898</v>
      </c>
      <c r="J27" s="8">
        <v>1696.730625</v>
      </c>
      <c r="K27" s="8">
        <v>1931.959482</v>
      </c>
      <c r="L27" s="8">
        <v>2259.074969</v>
      </c>
      <c r="M27" s="8">
        <v>2523.326648</v>
      </c>
      <c r="N27" s="8">
        <v>2672.915063</v>
      </c>
      <c r="O27" s="8">
        <v>2724.442451</v>
      </c>
      <c r="P27" s="8">
        <v>2736.875839</v>
      </c>
      <c r="Q27" s="8">
        <v>2717.970834</v>
      </c>
      <c r="R27" s="8">
        <v>2704.809029</v>
      </c>
      <c r="S27" s="8">
        <v>2640.818988</v>
      </c>
      <c r="T27" s="8">
        <v>2576.744354</v>
      </c>
      <c r="U27" s="8">
        <v>2540.87496</v>
      </c>
      <c r="V27" s="8">
        <v>2414.274435</v>
      </c>
      <c r="W27" s="8">
        <v>2209.339587</v>
      </c>
      <c r="X27" s="8">
        <v>1973.991385</v>
      </c>
      <c r="Y27" s="8">
        <v>1762.25935</v>
      </c>
      <c r="Z27" s="8">
        <v>1609.021991</v>
      </c>
      <c r="AA27" s="9">
        <f t="shared" si="1"/>
        <v>50687.46784</v>
      </c>
      <c r="AB27" s="9">
        <v>7.0</v>
      </c>
      <c r="AC27" s="9">
        <f t="shared" si="2"/>
        <v>354812.2749</v>
      </c>
      <c r="AD27" s="12"/>
    </row>
    <row r="28" ht="14.25" customHeight="1">
      <c r="A28" s="7">
        <v>47665.0</v>
      </c>
      <c r="B28" s="8" t="s">
        <v>34</v>
      </c>
      <c r="C28" s="8">
        <v>1789.42245</v>
      </c>
      <c r="D28" s="8">
        <v>1716.199226</v>
      </c>
      <c r="E28" s="8">
        <v>1675.242261</v>
      </c>
      <c r="F28" s="8">
        <v>1658.499934</v>
      </c>
      <c r="G28" s="8">
        <v>1684.074551</v>
      </c>
      <c r="H28" s="8">
        <v>1792.152715</v>
      </c>
      <c r="I28" s="8">
        <v>2168.520715</v>
      </c>
      <c r="J28" s="8">
        <v>2721.029537</v>
      </c>
      <c r="K28" s="8">
        <v>3183.272762</v>
      </c>
      <c r="L28" s="8">
        <v>3495.437472</v>
      </c>
      <c r="M28" s="8">
        <v>3749.40539</v>
      </c>
      <c r="N28" s="8">
        <v>3902.252663</v>
      </c>
      <c r="O28" s="8">
        <v>3850.922688</v>
      </c>
      <c r="P28" s="8">
        <v>3864.081001</v>
      </c>
      <c r="Q28" s="8">
        <v>3966.464102</v>
      </c>
      <c r="R28" s="8">
        <v>3968.138343</v>
      </c>
      <c r="S28" s="8">
        <v>3856.287608</v>
      </c>
      <c r="T28" s="8">
        <v>3598.872938</v>
      </c>
      <c r="U28" s="8">
        <v>3409.257046</v>
      </c>
      <c r="V28" s="8">
        <v>3193.822775</v>
      </c>
      <c r="W28" s="8">
        <v>2909.013839</v>
      </c>
      <c r="X28" s="8">
        <v>2585.22871</v>
      </c>
      <c r="Y28" s="8">
        <v>2240.427692</v>
      </c>
      <c r="Z28" s="8">
        <v>2005.072964</v>
      </c>
      <c r="AA28" s="9">
        <f t="shared" si="1"/>
        <v>68983.09938</v>
      </c>
      <c r="AB28" s="9">
        <v>22.0</v>
      </c>
      <c r="AC28" s="9">
        <f t="shared" si="2"/>
        <v>1517628.186</v>
      </c>
      <c r="AD28" s="10">
        <f>SUM(AC28:AC30)</f>
        <v>2024036.09</v>
      </c>
    </row>
    <row r="29" ht="14.25" customHeight="1">
      <c r="A29" s="7">
        <v>47665.0</v>
      </c>
      <c r="B29" s="8" t="s">
        <v>35</v>
      </c>
      <c r="C29" s="8">
        <v>1944.42122</v>
      </c>
      <c r="D29" s="8">
        <v>1842.912902</v>
      </c>
      <c r="E29" s="8">
        <v>1786.312658</v>
      </c>
      <c r="F29" s="8">
        <v>1742.435707</v>
      </c>
      <c r="G29" s="8">
        <v>1750.84291</v>
      </c>
      <c r="H29" s="8">
        <v>1757.986244</v>
      </c>
      <c r="I29" s="8">
        <v>2013.872788</v>
      </c>
      <c r="J29" s="8">
        <v>2472.636506</v>
      </c>
      <c r="K29" s="8">
        <v>2908.449371</v>
      </c>
      <c r="L29" s="8">
        <v>3248.819029</v>
      </c>
      <c r="M29" s="8">
        <v>3461.218666</v>
      </c>
      <c r="N29" s="8">
        <v>3558.693026</v>
      </c>
      <c r="O29" s="8">
        <v>3458.85554</v>
      </c>
      <c r="P29" s="8">
        <v>3349.234037</v>
      </c>
      <c r="Q29" s="8">
        <v>3273.991256</v>
      </c>
      <c r="R29" s="8">
        <v>3255.744707</v>
      </c>
      <c r="S29" s="8">
        <v>3216.638361</v>
      </c>
      <c r="T29" s="8">
        <v>3155.856921</v>
      </c>
      <c r="U29" s="8">
        <v>3082.652154</v>
      </c>
      <c r="V29" s="8">
        <v>2921.267773</v>
      </c>
      <c r="W29" s="8">
        <v>2672.604126</v>
      </c>
      <c r="X29" s="8">
        <v>2393.004475</v>
      </c>
      <c r="Y29" s="8">
        <v>2094.301368</v>
      </c>
      <c r="Z29" s="8">
        <v>1879.889325</v>
      </c>
      <c r="AA29" s="9">
        <f t="shared" si="1"/>
        <v>63242.64107</v>
      </c>
      <c r="AB29" s="9">
        <v>4.0</v>
      </c>
      <c r="AC29" s="9">
        <f t="shared" si="2"/>
        <v>252970.5643</v>
      </c>
      <c r="AD29" s="11"/>
    </row>
    <row r="30" ht="14.25" customHeight="1">
      <c r="A30" s="7">
        <v>47665.0</v>
      </c>
      <c r="B30" s="8" t="s">
        <v>36</v>
      </c>
      <c r="C30" s="8">
        <v>1740.94595</v>
      </c>
      <c r="D30" s="8">
        <v>1654.478322</v>
      </c>
      <c r="E30" s="8">
        <v>1574.591597</v>
      </c>
      <c r="F30" s="8">
        <v>1534.002811</v>
      </c>
      <c r="G30" s="8">
        <v>1499.780014</v>
      </c>
      <c r="H30" s="8">
        <v>1470.355259</v>
      </c>
      <c r="I30" s="8">
        <v>1517.883898</v>
      </c>
      <c r="J30" s="8">
        <v>1696.730625</v>
      </c>
      <c r="K30" s="8">
        <v>1931.959482</v>
      </c>
      <c r="L30" s="8">
        <v>2259.074969</v>
      </c>
      <c r="M30" s="8">
        <v>2523.326648</v>
      </c>
      <c r="N30" s="8">
        <v>2672.915063</v>
      </c>
      <c r="O30" s="8">
        <v>2724.442451</v>
      </c>
      <c r="P30" s="8">
        <v>2736.875839</v>
      </c>
      <c r="Q30" s="8">
        <v>2717.970834</v>
      </c>
      <c r="R30" s="8">
        <v>2704.809029</v>
      </c>
      <c r="S30" s="8">
        <v>2640.818988</v>
      </c>
      <c r="T30" s="8">
        <v>2576.744354</v>
      </c>
      <c r="U30" s="8">
        <v>2540.87496</v>
      </c>
      <c r="V30" s="8">
        <v>2414.274435</v>
      </c>
      <c r="W30" s="8">
        <v>2209.339587</v>
      </c>
      <c r="X30" s="8">
        <v>1973.991385</v>
      </c>
      <c r="Y30" s="8">
        <v>1762.25935</v>
      </c>
      <c r="Z30" s="8">
        <v>1609.021991</v>
      </c>
      <c r="AA30" s="9">
        <f t="shared" si="1"/>
        <v>50687.46784</v>
      </c>
      <c r="AB30" s="9">
        <v>5.0</v>
      </c>
      <c r="AC30" s="9">
        <f t="shared" si="2"/>
        <v>253437.3392</v>
      </c>
      <c r="AD30" s="12"/>
    </row>
    <row r="31" ht="14.25" customHeight="1">
      <c r="A31" s="7">
        <v>47696.0</v>
      </c>
      <c r="B31" s="8" t="s">
        <v>34</v>
      </c>
      <c r="C31" s="8">
        <v>1789.42245</v>
      </c>
      <c r="D31" s="8">
        <v>1716.199226</v>
      </c>
      <c r="E31" s="8">
        <v>1675.242261</v>
      </c>
      <c r="F31" s="8">
        <v>1658.499934</v>
      </c>
      <c r="G31" s="8">
        <v>1684.074551</v>
      </c>
      <c r="H31" s="8">
        <v>1792.152715</v>
      </c>
      <c r="I31" s="8">
        <v>2168.520715</v>
      </c>
      <c r="J31" s="8">
        <v>2721.029537</v>
      </c>
      <c r="K31" s="8">
        <v>3183.272762</v>
      </c>
      <c r="L31" s="8">
        <v>3495.437472</v>
      </c>
      <c r="M31" s="8">
        <v>3749.40539</v>
      </c>
      <c r="N31" s="8">
        <v>3902.252663</v>
      </c>
      <c r="O31" s="8">
        <v>3850.922688</v>
      </c>
      <c r="P31" s="8">
        <v>3864.081001</v>
      </c>
      <c r="Q31" s="8">
        <v>3966.464102</v>
      </c>
      <c r="R31" s="8">
        <v>3968.138343</v>
      </c>
      <c r="S31" s="8">
        <v>3856.287608</v>
      </c>
      <c r="T31" s="8">
        <v>3598.872938</v>
      </c>
      <c r="U31" s="8">
        <v>3409.257046</v>
      </c>
      <c r="V31" s="8">
        <v>3193.822775</v>
      </c>
      <c r="W31" s="8">
        <v>2909.013839</v>
      </c>
      <c r="X31" s="8">
        <v>2585.22871</v>
      </c>
      <c r="Y31" s="8">
        <v>2240.427692</v>
      </c>
      <c r="Z31" s="8">
        <v>2005.072964</v>
      </c>
      <c r="AA31" s="9">
        <f t="shared" si="1"/>
        <v>68983.09938</v>
      </c>
      <c r="AB31" s="9">
        <v>20.0</v>
      </c>
      <c r="AC31" s="9">
        <f t="shared" si="2"/>
        <v>1379661.988</v>
      </c>
      <c r="AD31" s="10">
        <f>SUM(AC31:AC33)</f>
        <v>2000000</v>
      </c>
    </row>
    <row r="32" ht="14.25" customHeight="1">
      <c r="A32" s="7">
        <v>47696.0</v>
      </c>
      <c r="B32" s="8" t="s">
        <v>35</v>
      </c>
      <c r="C32" s="8">
        <v>1944.42122</v>
      </c>
      <c r="D32" s="8">
        <v>1842.912902</v>
      </c>
      <c r="E32" s="8">
        <v>1786.312658</v>
      </c>
      <c r="F32" s="8">
        <v>1742.435707</v>
      </c>
      <c r="G32" s="8">
        <v>1750.84291</v>
      </c>
      <c r="H32" s="8">
        <v>1757.986244</v>
      </c>
      <c r="I32" s="8">
        <v>2013.872788</v>
      </c>
      <c r="J32" s="8">
        <v>2472.636506</v>
      </c>
      <c r="K32" s="8">
        <v>2908.449371</v>
      </c>
      <c r="L32" s="8">
        <v>3248.819029</v>
      </c>
      <c r="M32" s="8">
        <v>3461.218666</v>
      </c>
      <c r="N32" s="8">
        <v>3558.693026</v>
      </c>
      <c r="O32" s="8">
        <v>3458.85554</v>
      </c>
      <c r="P32" s="8">
        <v>3349.234037</v>
      </c>
      <c r="Q32" s="8">
        <v>3273.991256</v>
      </c>
      <c r="R32" s="8">
        <v>3255.744707</v>
      </c>
      <c r="S32" s="8">
        <v>3216.638361</v>
      </c>
      <c r="T32" s="8">
        <v>3155.856921</v>
      </c>
      <c r="U32" s="8">
        <v>3082.652154</v>
      </c>
      <c r="V32" s="8">
        <v>2921.267773</v>
      </c>
      <c r="W32" s="8">
        <v>2672.604126</v>
      </c>
      <c r="X32" s="8">
        <v>2393.004475</v>
      </c>
      <c r="Y32" s="8">
        <v>2094.301368</v>
      </c>
      <c r="Z32" s="8">
        <v>1879.889325</v>
      </c>
      <c r="AA32" s="9">
        <f t="shared" si="1"/>
        <v>63242.64107</v>
      </c>
      <c r="AB32" s="9">
        <v>5.0</v>
      </c>
      <c r="AC32" s="9">
        <f t="shared" si="2"/>
        <v>316213.2054</v>
      </c>
      <c r="AD32" s="11"/>
    </row>
    <row r="33" ht="14.25" customHeight="1">
      <c r="A33" s="7">
        <v>47696.0</v>
      </c>
      <c r="B33" s="8" t="s">
        <v>36</v>
      </c>
      <c r="C33" s="8">
        <v>1740.94595</v>
      </c>
      <c r="D33" s="8">
        <v>1654.478322</v>
      </c>
      <c r="E33" s="8">
        <v>1574.591597</v>
      </c>
      <c r="F33" s="8">
        <v>1534.002811</v>
      </c>
      <c r="G33" s="8">
        <v>1499.780014</v>
      </c>
      <c r="H33" s="8">
        <v>1470.355259</v>
      </c>
      <c r="I33" s="8">
        <v>1517.883898</v>
      </c>
      <c r="J33" s="8">
        <v>1696.730625</v>
      </c>
      <c r="K33" s="8">
        <v>1931.959482</v>
      </c>
      <c r="L33" s="8">
        <v>2259.074969</v>
      </c>
      <c r="M33" s="8">
        <v>2523.326648</v>
      </c>
      <c r="N33" s="8">
        <v>2672.915063</v>
      </c>
      <c r="O33" s="8">
        <v>2724.442451</v>
      </c>
      <c r="P33" s="8">
        <v>2736.875839</v>
      </c>
      <c r="Q33" s="8">
        <v>2717.970834</v>
      </c>
      <c r="R33" s="8">
        <v>2704.809029</v>
      </c>
      <c r="S33" s="8">
        <v>2640.818988</v>
      </c>
      <c r="T33" s="8">
        <v>2576.744354</v>
      </c>
      <c r="U33" s="8">
        <v>2540.87496</v>
      </c>
      <c r="V33" s="8">
        <v>2414.274435</v>
      </c>
      <c r="W33" s="8">
        <v>2209.339587</v>
      </c>
      <c r="X33" s="8">
        <v>1973.991385</v>
      </c>
      <c r="Y33" s="8">
        <v>1762.25935</v>
      </c>
      <c r="Z33" s="8">
        <v>1609.021991</v>
      </c>
      <c r="AA33" s="9">
        <f t="shared" si="1"/>
        <v>50687.46784</v>
      </c>
      <c r="AB33" s="9">
        <v>6.0</v>
      </c>
      <c r="AC33" s="9">
        <f t="shared" si="2"/>
        <v>304124.807</v>
      </c>
      <c r="AD33" s="12"/>
    </row>
    <row r="34" ht="14.25" customHeight="1">
      <c r="A34" s="7">
        <v>47727.0</v>
      </c>
      <c r="B34" s="8" t="s">
        <v>34</v>
      </c>
      <c r="C34" s="8">
        <v>1789.42245</v>
      </c>
      <c r="D34" s="8">
        <v>1716.199226</v>
      </c>
      <c r="E34" s="8">
        <v>1675.242261</v>
      </c>
      <c r="F34" s="8">
        <v>1658.499934</v>
      </c>
      <c r="G34" s="8">
        <v>1684.074551</v>
      </c>
      <c r="H34" s="8">
        <v>1792.152715</v>
      </c>
      <c r="I34" s="8">
        <v>2168.520715</v>
      </c>
      <c r="J34" s="8">
        <v>2721.029537</v>
      </c>
      <c r="K34" s="8">
        <v>3183.272762</v>
      </c>
      <c r="L34" s="8">
        <v>3495.437472</v>
      </c>
      <c r="M34" s="8">
        <v>3749.40539</v>
      </c>
      <c r="N34" s="8">
        <v>3902.252663</v>
      </c>
      <c r="O34" s="8">
        <v>3850.922688</v>
      </c>
      <c r="P34" s="8">
        <v>3864.081001</v>
      </c>
      <c r="Q34" s="8">
        <v>3966.464102</v>
      </c>
      <c r="R34" s="8">
        <v>3968.138343</v>
      </c>
      <c r="S34" s="8">
        <v>3856.287608</v>
      </c>
      <c r="T34" s="8">
        <v>3598.872938</v>
      </c>
      <c r="U34" s="8">
        <v>3409.257046</v>
      </c>
      <c r="V34" s="8">
        <v>3193.822775</v>
      </c>
      <c r="W34" s="8">
        <v>2909.013839</v>
      </c>
      <c r="X34" s="8">
        <v>2585.22871</v>
      </c>
      <c r="Y34" s="8">
        <v>2240.427692</v>
      </c>
      <c r="Z34" s="8">
        <v>2005.072964</v>
      </c>
      <c r="AA34" s="9">
        <f t="shared" si="1"/>
        <v>68983.09938</v>
      </c>
      <c r="AB34" s="9">
        <v>21.0</v>
      </c>
      <c r="AC34" s="9">
        <f t="shared" si="2"/>
        <v>1448645.087</v>
      </c>
      <c r="AD34" s="10">
        <f>SUM(AC34:AC36)</f>
        <v>1955052.991</v>
      </c>
    </row>
    <row r="35" ht="14.25" customHeight="1">
      <c r="A35" s="7">
        <v>47727.0</v>
      </c>
      <c r="B35" s="8" t="s">
        <v>35</v>
      </c>
      <c r="C35" s="8">
        <v>1944.42122</v>
      </c>
      <c r="D35" s="8">
        <v>1842.912902</v>
      </c>
      <c r="E35" s="8">
        <v>1786.312658</v>
      </c>
      <c r="F35" s="8">
        <v>1742.435707</v>
      </c>
      <c r="G35" s="8">
        <v>1750.84291</v>
      </c>
      <c r="H35" s="8">
        <v>1757.986244</v>
      </c>
      <c r="I35" s="8">
        <v>2013.872788</v>
      </c>
      <c r="J35" s="8">
        <v>2472.636506</v>
      </c>
      <c r="K35" s="8">
        <v>2908.449371</v>
      </c>
      <c r="L35" s="8">
        <v>3248.819029</v>
      </c>
      <c r="M35" s="8">
        <v>3461.218666</v>
      </c>
      <c r="N35" s="8">
        <v>3558.693026</v>
      </c>
      <c r="O35" s="8">
        <v>3458.85554</v>
      </c>
      <c r="P35" s="8">
        <v>3349.234037</v>
      </c>
      <c r="Q35" s="8">
        <v>3273.991256</v>
      </c>
      <c r="R35" s="8">
        <v>3255.744707</v>
      </c>
      <c r="S35" s="8">
        <v>3216.638361</v>
      </c>
      <c r="T35" s="8">
        <v>3155.856921</v>
      </c>
      <c r="U35" s="8">
        <v>3082.652154</v>
      </c>
      <c r="V35" s="8">
        <v>2921.267773</v>
      </c>
      <c r="W35" s="8">
        <v>2672.604126</v>
      </c>
      <c r="X35" s="8">
        <v>2393.004475</v>
      </c>
      <c r="Y35" s="8">
        <v>2094.301368</v>
      </c>
      <c r="Z35" s="8">
        <v>1879.889325</v>
      </c>
      <c r="AA35" s="9">
        <f t="shared" si="1"/>
        <v>63242.64107</v>
      </c>
      <c r="AB35" s="9">
        <v>4.0</v>
      </c>
      <c r="AC35" s="9">
        <f t="shared" si="2"/>
        <v>252970.5643</v>
      </c>
      <c r="AD35" s="11"/>
    </row>
    <row r="36" ht="14.25" customHeight="1">
      <c r="A36" s="7">
        <v>47727.0</v>
      </c>
      <c r="B36" s="8" t="s">
        <v>36</v>
      </c>
      <c r="C36" s="8">
        <v>1740.94595</v>
      </c>
      <c r="D36" s="8">
        <v>1654.478322</v>
      </c>
      <c r="E36" s="8">
        <v>1574.591597</v>
      </c>
      <c r="F36" s="8">
        <v>1534.002811</v>
      </c>
      <c r="G36" s="8">
        <v>1499.780014</v>
      </c>
      <c r="H36" s="8">
        <v>1470.355259</v>
      </c>
      <c r="I36" s="8">
        <v>1517.883898</v>
      </c>
      <c r="J36" s="8">
        <v>1696.730625</v>
      </c>
      <c r="K36" s="8">
        <v>1931.959482</v>
      </c>
      <c r="L36" s="8">
        <v>2259.074969</v>
      </c>
      <c r="M36" s="8">
        <v>2523.326648</v>
      </c>
      <c r="N36" s="8">
        <v>2672.915063</v>
      </c>
      <c r="O36" s="8">
        <v>2724.442451</v>
      </c>
      <c r="P36" s="8">
        <v>2736.875839</v>
      </c>
      <c r="Q36" s="8">
        <v>2717.970834</v>
      </c>
      <c r="R36" s="8">
        <v>2704.809029</v>
      </c>
      <c r="S36" s="8">
        <v>2640.818988</v>
      </c>
      <c r="T36" s="8">
        <v>2576.744354</v>
      </c>
      <c r="U36" s="8">
        <v>2540.87496</v>
      </c>
      <c r="V36" s="8">
        <v>2414.274435</v>
      </c>
      <c r="W36" s="8">
        <v>2209.339587</v>
      </c>
      <c r="X36" s="8">
        <v>1973.991385</v>
      </c>
      <c r="Y36" s="8">
        <v>1762.25935</v>
      </c>
      <c r="Z36" s="8">
        <v>1609.021991</v>
      </c>
      <c r="AA36" s="9">
        <f t="shared" si="1"/>
        <v>50687.46784</v>
      </c>
      <c r="AB36" s="9">
        <v>5.0</v>
      </c>
      <c r="AC36" s="9">
        <f t="shared" si="2"/>
        <v>253437.3392</v>
      </c>
      <c r="AD36" s="12"/>
    </row>
    <row r="37" ht="14.25" customHeight="1">
      <c r="A37" s="7">
        <v>47757.0</v>
      </c>
      <c r="B37" s="8" t="s">
        <v>34</v>
      </c>
      <c r="C37" s="8">
        <v>1789.42245</v>
      </c>
      <c r="D37" s="8">
        <v>1716.199226</v>
      </c>
      <c r="E37" s="8">
        <v>1675.242261</v>
      </c>
      <c r="F37" s="8">
        <v>1658.499934</v>
      </c>
      <c r="G37" s="8">
        <v>1684.074551</v>
      </c>
      <c r="H37" s="8">
        <v>1792.152715</v>
      </c>
      <c r="I37" s="8">
        <v>2168.520715</v>
      </c>
      <c r="J37" s="8">
        <v>2721.029537</v>
      </c>
      <c r="K37" s="8">
        <v>3183.272762</v>
      </c>
      <c r="L37" s="8">
        <v>3495.437472</v>
      </c>
      <c r="M37" s="8">
        <v>3749.40539</v>
      </c>
      <c r="N37" s="8">
        <v>3902.252663</v>
      </c>
      <c r="O37" s="8">
        <v>3850.922688</v>
      </c>
      <c r="P37" s="8">
        <v>3864.081001</v>
      </c>
      <c r="Q37" s="8">
        <v>3966.464102</v>
      </c>
      <c r="R37" s="8">
        <v>3968.138343</v>
      </c>
      <c r="S37" s="8">
        <v>3856.287608</v>
      </c>
      <c r="T37" s="8">
        <v>3598.872938</v>
      </c>
      <c r="U37" s="8">
        <v>3409.257046</v>
      </c>
      <c r="V37" s="8">
        <v>3193.822775</v>
      </c>
      <c r="W37" s="8">
        <v>2909.013839</v>
      </c>
      <c r="X37" s="8">
        <v>2585.22871</v>
      </c>
      <c r="Y37" s="8">
        <v>2240.427692</v>
      </c>
      <c r="Z37" s="8">
        <v>2005.072964</v>
      </c>
      <c r="AA37" s="9">
        <f t="shared" si="1"/>
        <v>68983.09938</v>
      </c>
      <c r="AB37" s="9">
        <v>23.0</v>
      </c>
      <c r="AC37" s="9">
        <f t="shared" si="2"/>
        <v>1586611.286</v>
      </c>
      <c r="AD37" s="10">
        <f>SUM(AC37:AC39)</f>
        <v>2042331.721</v>
      </c>
    </row>
    <row r="38" ht="14.25" customHeight="1">
      <c r="A38" s="7">
        <v>47757.0</v>
      </c>
      <c r="B38" s="8" t="s">
        <v>35</v>
      </c>
      <c r="C38" s="8">
        <v>1944.42122</v>
      </c>
      <c r="D38" s="8">
        <v>1842.912902</v>
      </c>
      <c r="E38" s="8">
        <v>1786.312658</v>
      </c>
      <c r="F38" s="8">
        <v>1742.435707</v>
      </c>
      <c r="G38" s="8">
        <v>1750.84291</v>
      </c>
      <c r="H38" s="8">
        <v>1757.986244</v>
      </c>
      <c r="I38" s="8">
        <v>2013.872788</v>
      </c>
      <c r="J38" s="8">
        <v>2472.636506</v>
      </c>
      <c r="K38" s="8">
        <v>2908.449371</v>
      </c>
      <c r="L38" s="8">
        <v>3248.819029</v>
      </c>
      <c r="M38" s="8">
        <v>3461.218666</v>
      </c>
      <c r="N38" s="8">
        <v>3558.693026</v>
      </c>
      <c r="O38" s="8">
        <v>3458.85554</v>
      </c>
      <c r="P38" s="8">
        <v>3349.234037</v>
      </c>
      <c r="Q38" s="8">
        <v>3273.991256</v>
      </c>
      <c r="R38" s="8">
        <v>3255.744707</v>
      </c>
      <c r="S38" s="8">
        <v>3216.638361</v>
      </c>
      <c r="T38" s="8">
        <v>3155.856921</v>
      </c>
      <c r="U38" s="8">
        <v>3082.652154</v>
      </c>
      <c r="V38" s="8">
        <v>2921.267773</v>
      </c>
      <c r="W38" s="8">
        <v>2672.604126</v>
      </c>
      <c r="X38" s="8">
        <v>2393.004475</v>
      </c>
      <c r="Y38" s="8">
        <v>2094.301368</v>
      </c>
      <c r="Z38" s="8">
        <v>1879.889325</v>
      </c>
      <c r="AA38" s="9">
        <f t="shared" si="1"/>
        <v>63242.64107</v>
      </c>
      <c r="AB38" s="9">
        <v>4.0</v>
      </c>
      <c r="AC38" s="9">
        <f t="shared" si="2"/>
        <v>252970.5643</v>
      </c>
      <c r="AD38" s="11"/>
    </row>
    <row r="39" ht="14.25" customHeight="1">
      <c r="A39" s="7">
        <v>47757.0</v>
      </c>
      <c r="B39" s="8" t="s">
        <v>36</v>
      </c>
      <c r="C39" s="8">
        <v>1740.94595</v>
      </c>
      <c r="D39" s="8">
        <v>1654.478322</v>
      </c>
      <c r="E39" s="8">
        <v>1574.591597</v>
      </c>
      <c r="F39" s="8">
        <v>1534.002811</v>
      </c>
      <c r="G39" s="8">
        <v>1499.780014</v>
      </c>
      <c r="H39" s="8">
        <v>1470.355259</v>
      </c>
      <c r="I39" s="8">
        <v>1517.883898</v>
      </c>
      <c r="J39" s="8">
        <v>1696.730625</v>
      </c>
      <c r="K39" s="8">
        <v>1931.959482</v>
      </c>
      <c r="L39" s="8">
        <v>2259.074969</v>
      </c>
      <c r="M39" s="8">
        <v>2523.326648</v>
      </c>
      <c r="N39" s="8">
        <v>2672.915063</v>
      </c>
      <c r="O39" s="8">
        <v>2724.442451</v>
      </c>
      <c r="P39" s="8">
        <v>2736.875839</v>
      </c>
      <c r="Q39" s="8">
        <v>2717.970834</v>
      </c>
      <c r="R39" s="8">
        <v>2704.809029</v>
      </c>
      <c r="S39" s="8">
        <v>2640.818988</v>
      </c>
      <c r="T39" s="8">
        <v>2576.744354</v>
      </c>
      <c r="U39" s="8">
        <v>2540.87496</v>
      </c>
      <c r="V39" s="8">
        <v>2414.274435</v>
      </c>
      <c r="W39" s="8">
        <v>2209.339587</v>
      </c>
      <c r="X39" s="8">
        <v>1973.991385</v>
      </c>
      <c r="Y39" s="8">
        <v>1762.25935</v>
      </c>
      <c r="Z39" s="8">
        <v>1609.021991</v>
      </c>
      <c r="AA39" s="9">
        <f t="shared" si="1"/>
        <v>50687.46784</v>
      </c>
      <c r="AB39" s="9">
        <v>4.0</v>
      </c>
      <c r="AC39" s="9">
        <f t="shared" si="2"/>
        <v>202749.8714</v>
      </c>
      <c r="AD39" s="12"/>
    </row>
    <row r="40" ht="14.25" customHeight="1">
      <c r="A40" s="7">
        <v>47788.0</v>
      </c>
      <c r="B40" s="8" t="s">
        <v>34</v>
      </c>
      <c r="C40" s="8">
        <v>1789.42245</v>
      </c>
      <c r="D40" s="8">
        <v>1716.199226</v>
      </c>
      <c r="E40" s="8">
        <v>1675.242261</v>
      </c>
      <c r="F40" s="8">
        <v>1658.499934</v>
      </c>
      <c r="G40" s="8">
        <v>1684.074551</v>
      </c>
      <c r="H40" s="8">
        <v>1792.152715</v>
      </c>
      <c r="I40" s="8">
        <v>2168.520715</v>
      </c>
      <c r="J40" s="8">
        <v>2721.029537</v>
      </c>
      <c r="K40" s="8">
        <v>3183.272762</v>
      </c>
      <c r="L40" s="8">
        <v>3495.437472</v>
      </c>
      <c r="M40" s="8">
        <v>3749.40539</v>
      </c>
      <c r="N40" s="8">
        <v>3902.252663</v>
      </c>
      <c r="O40" s="8">
        <v>3850.922688</v>
      </c>
      <c r="P40" s="8">
        <v>3864.081001</v>
      </c>
      <c r="Q40" s="8">
        <v>3966.464102</v>
      </c>
      <c r="R40" s="8">
        <v>3968.138343</v>
      </c>
      <c r="S40" s="8">
        <v>3856.287608</v>
      </c>
      <c r="T40" s="8">
        <v>3598.872938</v>
      </c>
      <c r="U40" s="8">
        <v>3409.257046</v>
      </c>
      <c r="V40" s="8">
        <v>3193.822775</v>
      </c>
      <c r="W40" s="8">
        <v>2909.013839</v>
      </c>
      <c r="X40" s="8">
        <v>2585.22871</v>
      </c>
      <c r="Y40" s="8">
        <v>2240.427692</v>
      </c>
      <c r="Z40" s="8">
        <v>2005.072964</v>
      </c>
      <c r="AA40" s="9">
        <f t="shared" si="1"/>
        <v>68983.09938</v>
      </c>
      <c r="AB40" s="9">
        <v>19.0</v>
      </c>
      <c r="AC40" s="9">
        <f t="shared" si="2"/>
        <v>1310678.888</v>
      </c>
      <c r="AD40" s="10">
        <f>SUM(AC40:AC42)</f>
        <v>1931016.901</v>
      </c>
    </row>
    <row r="41" ht="14.25" customHeight="1">
      <c r="A41" s="7">
        <v>47788.0</v>
      </c>
      <c r="B41" s="8" t="s">
        <v>35</v>
      </c>
      <c r="C41" s="8">
        <v>1944.42122</v>
      </c>
      <c r="D41" s="8">
        <v>1842.912902</v>
      </c>
      <c r="E41" s="8">
        <v>1786.312658</v>
      </c>
      <c r="F41" s="8">
        <v>1742.435707</v>
      </c>
      <c r="G41" s="8">
        <v>1750.84291</v>
      </c>
      <c r="H41" s="8">
        <v>1757.986244</v>
      </c>
      <c r="I41" s="8">
        <v>2013.872788</v>
      </c>
      <c r="J41" s="8">
        <v>2472.636506</v>
      </c>
      <c r="K41" s="8">
        <v>2908.449371</v>
      </c>
      <c r="L41" s="8">
        <v>3248.819029</v>
      </c>
      <c r="M41" s="8">
        <v>3461.218666</v>
      </c>
      <c r="N41" s="8">
        <v>3558.693026</v>
      </c>
      <c r="O41" s="8">
        <v>3458.85554</v>
      </c>
      <c r="P41" s="8">
        <v>3349.234037</v>
      </c>
      <c r="Q41" s="8">
        <v>3273.991256</v>
      </c>
      <c r="R41" s="8">
        <v>3255.744707</v>
      </c>
      <c r="S41" s="8">
        <v>3216.638361</v>
      </c>
      <c r="T41" s="8">
        <v>3155.856921</v>
      </c>
      <c r="U41" s="8">
        <v>3082.652154</v>
      </c>
      <c r="V41" s="8">
        <v>2921.267773</v>
      </c>
      <c r="W41" s="8">
        <v>2672.604126</v>
      </c>
      <c r="X41" s="8">
        <v>2393.004475</v>
      </c>
      <c r="Y41" s="8">
        <v>2094.301368</v>
      </c>
      <c r="Z41" s="8">
        <v>1879.889325</v>
      </c>
      <c r="AA41" s="9">
        <f t="shared" si="1"/>
        <v>63242.64107</v>
      </c>
      <c r="AB41" s="9">
        <v>5.0</v>
      </c>
      <c r="AC41" s="9">
        <f t="shared" si="2"/>
        <v>316213.2054</v>
      </c>
      <c r="AD41" s="11"/>
    </row>
    <row r="42" ht="14.25" customHeight="1">
      <c r="A42" s="7">
        <v>47788.0</v>
      </c>
      <c r="B42" s="8" t="s">
        <v>36</v>
      </c>
      <c r="C42" s="8">
        <v>1740.94595</v>
      </c>
      <c r="D42" s="8">
        <v>1654.478322</v>
      </c>
      <c r="E42" s="8">
        <v>1574.591597</v>
      </c>
      <c r="F42" s="8">
        <v>1534.002811</v>
      </c>
      <c r="G42" s="8">
        <v>1499.780014</v>
      </c>
      <c r="H42" s="8">
        <v>1470.355259</v>
      </c>
      <c r="I42" s="8">
        <v>1517.883898</v>
      </c>
      <c r="J42" s="8">
        <v>1696.730625</v>
      </c>
      <c r="K42" s="8">
        <v>1931.959482</v>
      </c>
      <c r="L42" s="8">
        <v>2259.074969</v>
      </c>
      <c r="M42" s="8">
        <v>2523.326648</v>
      </c>
      <c r="N42" s="8">
        <v>2672.915063</v>
      </c>
      <c r="O42" s="8">
        <v>2724.442451</v>
      </c>
      <c r="P42" s="8">
        <v>2736.875839</v>
      </c>
      <c r="Q42" s="8">
        <v>2717.970834</v>
      </c>
      <c r="R42" s="8">
        <v>2704.809029</v>
      </c>
      <c r="S42" s="8">
        <v>2640.818988</v>
      </c>
      <c r="T42" s="8">
        <v>2576.744354</v>
      </c>
      <c r="U42" s="8">
        <v>2540.87496</v>
      </c>
      <c r="V42" s="8">
        <v>2414.274435</v>
      </c>
      <c r="W42" s="8">
        <v>2209.339587</v>
      </c>
      <c r="X42" s="8">
        <v>1973.991385</v>
      </c>
      <c r="Y42" s="8">
        <v>1762.25935</v>
      </c>
      <c r="Z42" s="8">
        <v>1609.021991</v>
      </c>
      <c r="AA42" s="9">
        <f t="shared" si="1"/>
        <v>50687.46784</v>
      </c>
      <c r="AB42" s="9">
        <v>6.0</v>
      </c>
      <c r="AC42" s="9">
        <f t="shared" si="2"/>
        <v>304124.807</v>
      </c>
      <c r="AD42" s="12"/>
    </row>
    <row r="43" ht="14.25" customHeight="1">
      <c r="A43" s="7">
        <v>47818.0</v>
      </c>
      <c r="B43" s="8" t="s">
        <v>34</v>
      </c>
      <c r="C43" s="8">
        <v>1789.42245</v>
      </c>
      <c r="D43" s="8">
        <v>1716.199226</v>
      </c>
      <c r="E43" s="8">
        <v>1675.242261</v>
      </c>
      <c r="F43" s="8">
        <v>1658.499934</v>
      </c>
      <c r="G43" s="8">
        <v>1684.074551</v>
      </c>
      <c r="H43" s="8">
        <v>1792.152715</v>
      </c>
      <c r="I43" s="8">
        <v>2168.520715</v>
      </c>
      <c r="J43" s="8">
        <v>2721.029537</v>
      </c>
      <c r="K43" s="8">
        <v>3183.272762</v>
      </c>
      <c r="L43" s="8">
        <v>3495.437472</v>
      </c>
      <c r="M43" s="8">
        <v>3749.40539</v>
      </c>
      <c r="N43" s="8">
        <v>3902.252663</v>
      </c>
      <c r="O43" s="8">
        <v>3850.922688</v>
      </c>
      <c r="P43" s="8">
        <v>3864.081001</v>
      </c>
      <c r="Q43" s="8">
        <v>3966.464102</v>
      </c>
      <c r="R43" s="8">
        <v>3968.138343</v>
      </c>
      <c r="S43" s="8">
        <v>3856.287608</v>
      </c>
      <c r="T43" s="8">
        <v>3598.872938</v>
      </c>
      <c r="U43" s="8">
        <v>3409.257046</v>
      </c>
      <c r="V43" s="8">
        <v>3193.822775</v>
      </c>
      <c r="W43" s="8">
        <v>2909.013839</v>
      </c>
      <c r="X43" s="8">
        <v>2585.22871</v>
      </c>
      <c r="Y43" s="8">
        <v>2240.427692</v>
      </c>
      <c r="Z43" s="8">
        <v>2005.072964</v>
      </c>
      <c r="AA43" s="9">
        <f t="shared" si="1"/>
        <v>68983.09938</v>
      </c>
      <c r="AB43" s="9">
        <v>21.0</v>
      </c>
      <c r="AC43" s="9">
        <f t="shared" si="2"/>
        <v>1448645.087</v>
      </c>
      <c r="AD43" s="10">
        <f>SUM(AC43:AC45)</f>
        <v>2005740.458</v>
      </c>
    </row>
    <row r="44" ht="14.25" customHeight="1">
      <c r="A44" s="7">
        <v>47818.0</v>
      </c>
      <c r="B44" s="8" t="s">
        <v>35</v>
      </c>
      <c r="C44" s="8">
        <v>1944.42122</v>
      </c>
      <c r="D44" s="8">
        <v>1842.912902</v>
      </c>
      <c r="E44" s="8">
        <v>1786.312658</v>
      </c>
      <c r="F44" s="8">
        <v>1742.435707</v>
      </c>
      <c r="G44" s="8">
        <v>1750.84291</v>
      </c>
      <c r="H44" s="8">
        <v>1757.986244</v>
      </c>
      <c r="I44" s="8">
        <v>2013.872788</v>
      </c>
      <c r="J44" s="8">
        <v>2472.636506</v>
      </c>
      <c r="K44" s="8">
        <v>2908.449371</v>
      </c>
      <c r="L44" s="8">
        <v>3248.819029</v>
      </c>
      <c r="M44" s="8">
        <v>3461.218666</v>
      </c>
      <c r="N44" s="8">
        <v>3558.693026</v>
      </c>
      <c r="O44" s="8">
        <v>3458.85554</v>
      </c>
      <c r="P44" s="8">
        <v>3349.234037</v>
      </c>
      <c r="Q44" s="8">
        <v>3273.991256</v>
      </c>
      <c r="R44" s="8">
        <v>3255.744707</v>
      </c>
      <c r="S44" s="8">
        <v>3216.638361</v>
      </c>
      <c r="T44" s="8">
        <v>3155.856921</v>
      </c>
      <c r="U44" s="8">
        <v>3082.652154</v>
      </c>
      <c r="V44" s="8">
        <v>2921.267773</v>
      </c>
      <c r="W44" s="8">
        <v>2672.604126</v>
      </c>
      <c r="X44" s="8">
        <v>2393.004475</v>
      </c>
      <c r="Y44" s="8">
        <v>2094.301368</v>
      </c>
      <c r="Z44" s="8">
        <v>1879.889325</v>
      </c>
      <c r="AA44" s="9">
        <f t="shared" si="1"/>
        <v>63242.64107</v>
      </c>
      <c r="AB44" s="9">
        <v>4.0</v>
      </c>
      <c r="AC44" s="9">
        <f t="shared" si="2"/>
        <v>252970.5643</v>
      </c>
      <c r="AD44" s="11"/>
    </row>
    <row r="45" ht="14.25" customHeight="1">
      <c r="A45" s="7">
        <v>47818.0</v>
      </c>
      <c r="B45" s="8" t="s">
        <v>36</v>
      </c>
      <c r="C45" s="8">
        <v>1740.94595</v>
      </c>
      <c r="D45" s="8">
        <v>1654.478322</v>
      </c>
      <c r="E45" s="8">
        <v>1574.591597</v>
      </c>
      <c r="F45" s="8">
        <v>1534.002811</v>
      </c>
      <c r="G45" s="8">
        <v>1499.780014</v>
      </c>
      <c r="H45" s="8">
        <v>1470.355259</v>
      </c>
      <c r="I45" s="8">
        <v>1517.883898</v>
      </c>
      <c r="J45" s="8">
        <v>1696.730625</v>
      </c>
      <c r="K45" s="8">
        <v>1931.959482</v>
      </c>
      <c r="L45" s="8">
        <v>2259.074969</v>
      </c>
      <c r="M45" s="8">
        <v>2523.326648</v>
      </c>
      <c r="N45" s="8">
        <v>2672.915063</v>
      </c>
      <c r="O45" s="8">
        <v>2724.442451</v>
      </c>
      <c r="P45" s="8">
        <v>2736.875839</v>
      </c>
      <c r="Q45" s="8">
        <v>2717.970834</v>
      </c>
      <c r="R45" s="8">
        <v>2704.809029</v>
      </c>
      <c r="S45" s="8">
        <v>2640.818988</v>
      </c>
      <c r="T45" s="8">
        <v>2576.744354</v>
      </c>
      <c r="U45" s="8">
        <v>2540.87496</v>
      </c>
      <c r="V45" s="8">
        <v>2414.274435</v>
      </c>
      <c r="W45" s="8">
        <v>2209.339587</v>
      </c>
      <c r="X45" s="8">
        <v>1973.991385</v>
      </c>
      <c r="Y45" s="8">
        <v>1762.25935</v>
      </c>
      <c r="Z45" s="8">
        <v>1609.021991</v>
      </c>
      <c r="AA45" s="9">
        <f t="shared" si="1"/>
        <v>50687.46784</v>
      </c>
      <c r="AB45" s="9">
        <v>6.0</v>
      </c>
      <c r="AC45" s="9">
        <f t="shared" si="2"/>
        <v>304124.807</v>
      </c>
      <c r="AD45" s="12"/>
    </row>
    <row r="46" ht="14.25" customHeight="1">
      <c r="AB46" s="13" t="s">
        <v>32</v>
      </c>
      <c r="AC46" s="9">
        <f t="shared" ref="AC46:AD46" si="3">SUM(AC10:AC45)</f>
        <v>23672815.76</v>
      </c>
      <c r="AD46" s="9">
        <f t="shared" si="3"/>
        <v>23672815.76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</sheetData>
  <mergeCells count="16">
    <mergeCell ref="A1:AC1"/>
    <mergeCell ref="A2:AC2"/>
    <mergeCell ref="A3:AC3"/>
    <mergeCell ref="A4:AC4"/>
    <mergeCell ref="AD10:AD12"/>
    <mergeCell ref="AD13:AD15"/>
    <mergeCell ref="AD16:AD18"/>
    <mergeCell ref="AD40:AD42"/>
    <mergeCell ref="AD43:AD45"/>
    <mergeCell ref="AD19:AD21"/>
    <mergeCell ref="AD22:AD24"/>
    <mergeCell ref="AD25:AD27"/>
    <mergeCell ref="AD28:AD30"/>
    <mergeCell ref="AD31:AD33"/>
    <mergeCell ref="AD34:AD36"/>
    <mergeCell ref="AD37:AD39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71"/>
    <col customWidth="1" min="3" max="3" width="16.0"/>
    <col customWidth="1" min="4" max="4" width="13.0"/>
    <col customWidth="1" min="5" max="5" width="14.14"/>
    <col customWidth="1" min="6" max="6" width="10.71"/>
    <col customWidth="1" min="7" max="7" width="14.86"/>
    <col customWidth="1" min="8" max="19" width="10.71"/>
  </cols>
  <sheetData>
    <row r="1" ht="14.25" customHeight="1"/>
    <row r="2" ht="14.25" customHeight="1"/>
    <row r="3" ht="14.25" customHeight="1"/>
    <row r="4" ht="14.25" customHeight="1">
      <c r="A4" s="14" t="s">
        <v>3</v>
      </c>
    </row>
    <row r="5" ht="14.25" customHeight="1">
      <c r="A5" s="15"/>
      <c r="B5" s="14" t="s">
        <v>69</v>
      </c>
    </row>
    <row r="6" ht="14.25" customHeight="1">
      <c r="A6" s="15"/>
      <c r="B6" s="14" t="s">
        <v>38</v>
      </c>
    </row>
    <row r="7" ht="14.25" customHeight="1">
      <c r="A7" s="15"/>
      <c r="B7" s="17" t="s">
        <v>39</v>
      </c>
    </row>
    <row r="8" ht="14.25" customHeight="1">
      <c r="A8" s="15"/>
      <c r="B8" s="18" t="s">
        <v>40</v>
      </c>
    </row>
    <row r="9" ht="14.25" customHeight="1">
      <c r="A9" s="15"/>
      <c r="B9" s="17"/>
      <c r="C9" s="17"/>
      <c r="D9" s="17"/>
      <c r="E9" s="17"/>
    </row>
    <row r="10" ht="14.25" customHeight="1">
      <c r="A10" s="15"/>
      <c r="B10" s="47" t="s">
        <v>41</v>
      </c>
      <c r="C10" s="48"/>
      <c r="D10" s="48"/>
      <c r="E10" s="48"/>
      <c r="F10" s="49"/>
    </row>
    <row r="11">
      <c r="A11" s="15"/>
      <c r="B11" s="22" t="s">
        <v>4</v>
      </c>
      <c r="C11" s="23" t="s">
        <v>42</v>
      </c>
      <c r="D11" s="25" t="s">
        <v>43</v>
      </c>
      <c r="E11" s="25" t="s">
        <v>44</v>
      </c>
      <c r="F11" s="50" t="s">
        <v>45</v>
      </c>
    </row>
    <row r="12" ht="14.25" customHeight="1">
      <c r="A12" s="15"/>
      <c r="B12" s="57">
        <v>47514.0</v>
      </c>
      <c r="C12" s="51">
        <f>'Cant. Requeridas Producto 6'!AD10</f>
        <v>2005740.458</v>
      </c>
      <c r="D12" s="52"/>
      <c r="E12" s="58"/>
      <c r="F12" s="54"/>
    </row>
    <row r="13" ht="14.25" customHeight="1">
      <c r="A13" s="15"/>
      <c r="B13" s="57">
        <v>47515.0</v>
      </c>
      <c r="C13" s="51">
        <f>'Cant. Requeridas Producto 6'!AD13</f>
        <v>1835382.423</v>
      </c>
      <c r="D13" s="55"/>
      <c r="E13" s="53">
        <f t="shared" ref="E13:E23" si="1">C13*$D$13</f>
        <v>0</v>
      </c>
      <c r="F13" s="55"/>
    </row>
    <row r="14" ht="14.25" customHeight="1">
      <c r="A14" s="15"/>
      <c r="B14" s="57">
        <v>47543.0</v>
      </c>
      <c r="C14" s="51">
        <f>'Cant. Requeridas Producto 6'!AD16</f>
        <v>2000000</v>
      </c>
      <c r="D14" s="55"/>
      <c r="E14" s="53">
        <f t="shared" si="1"/>
        <v>0</v>
      </c>
      <c r="F14" s="55"/>
    </row>
    <row r="15" ht="14.25" customHeight="1">
      <c r="A15" s="15"/>
      <c r="B15" s="57">
        <v>47574.0</v>
      </c>
      <c r="C15" s="51">
        <f>'Cant. Requeridas Producto 6'!AD19</f>
        <v>1936757.359</v>
      </c>
      <c r="D15" s="55"/>
      <c r="E15" s="53">
        <f t="shared" si="1"/>
        <v>0</v>
      </c>
      <c r="F15" s="55"/>
    </row>
    <row r="16" ht="14.25" customHeight="1">
      <c r="A16" s="15"/>
      <c r="B16" s="57">
        <v>47604.0</v>
      </c>
      <c r="C16" s="53">
        <f>'Cant. Requeridas Producto 6'!AD22</f>
        <v>2024036.09</v>
      </c>
      <c r="D16" s="55"/>
      <c r="E16" s="53">
        <f t="shared" si="1"/>
        <v>0</v>
      </c>
      <c r="F16" s="55"/>
    </row>
    <row r="17" ht="14.25" customHeight="1">
      <c r="A17" s="15"/>
      <c r="B17" s="57">
        <v>47635.0</v>
      </c>
      <c r="C17" s="53">
        <f>'Cant. Requeridas Producto 6'!AD25</f>
        <v>1912721.269</v>
      </c>
      <c r="D17" s="55"/>
      <c r="E17" s="53">
        <f t="shared" si="1"/>
        <v>0</v>
      </c>
      <c r="F17" s="55"/>
    </row>
    <row r="18" ht="14.25" customHeight="1">
      <c r="A18" s="15"/>
      <c r="B18" s="57">
        <v>47665.0</v>
      </c>
      <c r="C18" s="53">
        <f>'Cant. Requeridas Producto 6'!AD28</f>
        <v>2024036.09</v>
      </c>
      <c r="D18" s="55"/>
      <c r="E18" s="53">
        <f t="shared" si="1"/>
        <v>0</v>
      </c>
      <c r="F18" s="55"/>
    </row>
    <row r="19" ht="14.25" customHeight="1">
      <c r="A19" s="15"/>
      <c r="B19" s="57">
        <v>47696.0</v>
      </c>
      <c r="C19" s="53">
        <f>'Cant. Requeridas Producto 6'!AD31</f>
        <v>2000000</v>
      </c>
      <c r="D19" s="55"/>
      <c r="E19" s="53">
        <f t="shared" si="1"/>
        <v>0</v>
      </c>
      <c r="F19" s="55"/>
    </row>
    <row r="20" ht="14.25" customHeight="1">
      <c r="A20" s="15"/>
      <c r="B20" s="57">
        <v>47727.0</v>
      </c>
      <c r="C20" s="53">
        <f>'Cant. Requeridas Producto 6'!AD34</f>
        <v>1955052.991</v>
      </c>
      <c r="D20" s="55"/>
      <c r="E20" s="53">
        <f t="shared" si="1"/>
        <v>0</v>
      </c>
      <c r="F20" s="55"/>
    </row>
    <row r="21" ht="14.25" customHeight="1">
      <c r="A21" s="15"/>
      <c r="B21" s="57">
        <v>47757.0</v>
      </c>
      <c r="C21" s="53">
        <f>'Cant. Requeridas Producto 6'!AD37</f>
        <v>2042331.721</v>
      </c>
      <c r="D21" s="55"/>
      <c r="E21" s="53">
        <f t="shared" si="1"/>
        <v>0</v>
      </c>
      <c r="F21" s="55"/>
    </row>
    <row r="22" ht="14.25" customHeight="1">
      <c r="A22" s="15"/>
      <c r="B22" s="57">
        <v>47788.0</v>
      </c>
      <c r="C22" s="51">
        <f>'Cant. Requeridas Producto 6'!AD40</f>
        <v>1931016.901</v>
      </c>
      <c r="D22" s="55"/>
      <c r="E22" s="53">
        <f t="shared" si="1"/>
        <v>0</v>
      </c>
      <c r="F22" s="55"/>
    </row>
    <row r="23" ht="14.25" customHeight="1">
      <c r="A23" s="15"/>
      <c r="B23" s="57">
        <v>47818.0</v>
      </c>
      <c r="C23" s="51">
        <f>'Cant. Requeridas Producto 6'!AD43</f>
        <v>2005740.458</v>
      </c>
      <c r="D23" s="56"/>
      <c r="E23" s="53">
        <f t="shared" si="1"/>
        <v>0</v>
      </c>
      <c r="F23" s="56"/>
    </row>
    <row r="24" ht="14.25" customHeight="1">
      <c r="A24" s="15"/>
      <c r="B24" s="37" t="s">
        <v>32</v>
      </c>
      <c r="C24" s="38">
        <f>SUM(C12:C23)</f>
        <v>23672815.76</v>
      </c>
      <c r="D24" s="39"/>
      <c r="E24" s="38">
        <f>SUM(E12:E23)</f>
        <v>0</v>
      </c>
      <c r="F24" s="39"/>
    </row>
    <row r="25" ht="14.25" customHeight="1">
      <c r="A25" s="15"/>
      <c r="B25" s="17"/>
      <c r="C25" s="40"/>
      <c r="D25" s="17"/>
      <c r="E25" s="17"/>
    </row>
    <row r="26" ht="14.25" customHeight="1">
      <c r="C26" s="41"/>
    </row>
    <row r="27" ht="30.0" customHeight="1">
      <c r="B27" s="42" t="s">
        <v>46</v>
      </c>
      <c r="E27" s="43"/>
    </row>
    <row r="28" ht="38.25" customHeight="1">
      <c r="B28" s="42" t="s">
        <v>70</v>
      </c>
      <c r="I28" s="42"/>
    </row>
    <row r="29" ht="44.25" customHeight="1">
      <c r="B29" s="42" t="s">
        <v>54</v>
      </c>
      <c r="I29" s="42"/>
    </row>
    <row r="30" ht="14.25" customHeight="1">
      <c r="B30" s="45"/>
    </row>
    <row r="31" ht="14.25" customHeight="1"/>
    <row r="32" ht="14.25" customHeight="1"/>
    <row r="33" ht="14.25" customHeight="1">
      <c r="B33" s="46"/>
      <c r="C33" s="46"/>
    </row>
    <row r="34" ht="14.25" customHeight="1">
      <c r="B34" s="4" t="s">
        <v>49</v>
      </c>
    </row>
    <row r="35" ht="14.25" customHeight="1">
      <c r="B35" s="4" t="s">
        <v>50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4">
    <mergeCell ref="D12:D23"/>
    <mergeCell ref="B27:D27"/>
    <mergeCell ref="B28:E28"/>
    <mergeCell ref="I28:N28"/>
    <mergeCell ref="B29:E29"/>
    <mergeCell ref="I29:N29"/>
    <mergeCell ref="B30:E30"/>
    <mergeCell ref="A4:F4"/>
    <mergeCell ref="B5:E5"/>
    <mergeCell ref="B6:E6"/>
    <mergeCell ref="B7:E7"/>
    <mergeCell ref="B8:E8"/>
    <mergeCell ref="B10:F10"/>
    <mergeCell ref="F12:F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2022-08-03T18:43:37Z</dcterms:created>
  <dc:creator>Head of trading BIA</dc:creator>
</cp:coreProperties>
</file>