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_O 2025\2. PROCESOS DE CONTRATACIÓN\1. SOLICITUD PUBLICA DE OFERTAS\SPO-DG-011-2025 SUMINISTRO ENERGÍA - 2\4. Terminos Definitivos\"/>
    </mc:Choice>
  </mc:AlternateContent>
  <xr:revisionPtr revIDLastSave="0" documentId="13_ncr:1_{13A19235-4276-4A7A-99FD-C1F54B725EC8}" xr6:coauthVersionLast="47" xr6:coauthVersionMax="47" xr10:uidLastSave="{00000000-0000-0000-0000-000000000000}"/>
  <bookViews>
    <workbookView xWindow="-120" yWindow="-120" windowWidth="24240" windowHeight="13020" activeTab="2" xr2:uid="{CF335186-029D-4142-8D7D-9AA1E6BCA6EF}"/>
  </bookViews>
  <sheets>
    <sheet name="Producto No. 1 Plana" sheetId="5" r:id="rId1"/>
    <sheet name="General Productos No. 1 Plana" sheetId="1" r:id="rId2"/>
    <sheet name="Producto No. 2 Curva" sheetId="6" r:id="rId3"/>
    <sheet name="Producto No. 2 (Curva)" sheetId="7" r:id="rId4"/>
  </sheets>
  <externalReferences>
    <externalReference r:id="rId5"/>
  </externalReferences>
  <definedNames>
    <definedName name="_xlnm._FilterDatabase" localSheetId="3" hidden="1">'Producto No. 2 (Curva)'!$A$1:$AD$109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9" i="7" l="1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AC109" i="7" s="1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AC108" i="7" s="1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AC107" i="7" s="1"/>
  <c r="AD107" i="7" s="1"/>
  <c r="B46" i="6" s="1"/>
  <c r="E46" i="6" s="1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AC106" i="7" s="1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AC105" i="7" s="1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AC104" i="7" s="1"/>
  <c r="AD104" i="7" s="1"/>
  <c r="B45" i="6" s="1"/>
  <c r="E45" i="6" s="1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AC103" i="7" s="1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AC102" i="7" s="1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AC101" i="7" s="1"/>
  <c r="AD101" i="7" s="1"/>
  <c r="B44" i="6" s="1"/>
  <c r="E44" i="6" s="1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AC100" i="7" s="1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AC99" i="7" s="1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AC98" i="7" s="1"/>
  <c r="AD98" i="7" s="1"/>
  <c r="B43" i="6" s="1"/>
  <c r="E43" i="6" s="1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AC97" i="7" s="1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AC96" i="7" s="1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AC95" i="7" s="1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AC94" i="7" s="1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AC93" i="7" s="1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AC92" i="7" s="1"/>
  <c r="AD92" i="7" s="1"/>
  <c r="B41" i="6" s="1"/>
  <c r="E41" i="6" s="1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AC91" i="7" s="1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AC90" i="7" s="1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AC89" i="7" s="1"/>
  <c r="AD89" i="7" s="1"/>
  <c r="B40" i="6" s="1"/>
  <c r="E40" i="6" s="1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AC88" i="7" s="1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AC87" i="7" s="1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AC86" i="7" s="1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AC85" i="7" s="1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AC84" i="7" s="1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AC83" i="7" s="1"/>
  <c r="AD83" i="7" s="1"/>
  <c r="B38" i="6" s="1"/>
  <c r="E38" i="6" s="1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AC82" i="7" s="1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AC81" i="7" s="1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AC80" i="7" s="1"/>
  <c r="AD80" i="7" s="1"/>
  <c r="B37" i="6" s="1"/>
  <c r="E37" i="6" s="1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AC79" i="7" s="1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AC78" i="7" s="1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AC77" i="7" s="1"/>
  <c r="AD77" i="7" s="1"/>
  <c r="B36" i="6" s="1"/>
  <c r="E36" i="6" s="1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AC76" i="7" s="1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AC75" i="7" s="1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AC74" i="7" s="1"/>
  <c r="AD74" i="7" s="1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AC73" i="7" s="1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AC72" i="7" s="1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AC71" i="7" s="1"/>
  <c r="AD71" i="7" s="1"/>
  <c r="B34" i="6" s="1"/>
  <c r="E34" i="6" s="1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AC70" i="7" s="1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AC69" i="7" s="1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AC68" i="7" s="1"/>
  <c r="AD68" i="7" s="1"/>
  <c r="B33" i="6" s="1"/>
  <c r="E33" i="6" s="1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AC67" i="7" s="1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AC66" i="7" s="1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AC65" i="7" s="1"/>
  <c r="AD65" i="7" s="1"/>
  <c r="B32" i="6" s="1"/>
  <c r="E32" i="6" s="1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AC64" i="7" s="1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AC63" i="7" s="1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AC62" i="7" s="1"/>
  <c r="AD62" i="7" s="1"/>
  <c r="B31" i="6" s="1"/>
  <c r="E31" i="6" s="1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AC61" i="7" s="1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AC60" i="7" s="1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AC59" i="7" s="1"/>
  <c r="AD59" i="7" s="1"/>
  <c r="B30" i="6" s="1"/>
  <c r="E30" i="6" s="1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AC58" i="7" s="1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AC57" i="7" s="1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AC56" i="7" s="1"/>
  <c r="AD56" i="7" s="1"/>
  <c r="B29" i="6" s="1"/>
  <c r="E29" i="6" s="1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AC55" i="7" s="1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AC54" i="7" s="1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AC53" i="7" s="1"/>
  <c r="AD53" i="7" s="1"/>
  <c r="B28" i="6" s="1"/>
  <c r="E28" i="6" s="1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AC52" i="7" s="1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AC51" i="7" s="1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AC50" i="7" s="1"/>
  <c r="AD50" i="7" s="1"/>
  <c r="B27" i="6" s="1"/>
  <c r="E27" i="6" s="1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AC49" i="7" s="1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AC48" i="7" s="1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AC47" i="7" s="1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AC46" i="7" s="1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AC45" i="7" s="1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AC44" i="7" s="1"/>
  <c r="AD44" i="7" s="1"/>
  <c r="B25" i="6" s="1"/>
  <c r="E25" i="6" s="1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AC43" i="7" s="1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AC42" i="7" s="1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AC41" i="7" s="1"/>
  <c r="AD41" i="7" s="1"/>
  <c r="B24" i="6" s="1"/>
  <c r="E24" i="6" s="1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AC40" i="7" s="1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AC39" i="7" s="1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AC38" i="7" s="1"/>
  <c r="AD38" i="7" s="1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AC37" i="7" s="1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AC36" i="7" s="1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AC35" i="7" s="1"/>
  <c r="AD35" i="7" s="1"/>
  <c r="B22" i="6" s="1"/>
  <c r="E22" i="6" s="1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AC34" i="7" s="1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AC33" i="7" s="1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AC32" i="7" s="1"/>
  <c r="AD32" i="7" s="1"/>
  <c r="B21" i="6" s="1"/>
  <c r="E21" i="6" s="1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AC31" i="7" s="1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AC30" i="7" s="1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AC29" i="7" s="1"/>
  <c r="AD29" i="7" s="1"/>
  <c r="B20" i="6" s="1"/>
  <c r="E20" i="6" s="1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AC28" i="7" s="1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AC27" i="7" s="1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AC26" i="7" s="1"/>
  <c r="AD26" i="7" s="1"/>
  <c r="B19" i="6" s="1"/>
  <c r="E19" i="6" s="1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AC25" i="7" s="1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C24" i="7" s="1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AC23" i="7" s="1"/>
  <c r="AD23" i="7" s="1"/>
  <c r="B18" i="6" s="1"/>
  <c r="E18" i="6" s="1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AC22" i="7" s="1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C21" i="7" s="1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AC20" i="7" s="1"/>
  <c r="AD20" i="7" s="1"/>
  <c r="B17" i="6" s="1"/>
  <c r="E17" i="6" s="1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AC19" i="7" s="1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AC18" i="7" s="1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AC17" i="7" s="1"/>
  <c r="AD17" i="7" s="1"/>
  <c r="B16" i="6" s="1"/>
  <c r="E16" i="6" s="1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C16" i="7" s="1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AC15" i="7" s="1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AC14" i="7" s="1"/>
  <c r="AD14" i="7" s="1"/>
  <c r="B15" i="6" s="1"/>
  <c r="E15" i="6" s="1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AC13" i="7" s="1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AC12" i="7" s="1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AC11" i="7" s="1"/>
  <c r="AD11" i="7" s="1"/>
  <c r="B14" i="6" s="1"/>
  <c r="E14" i="6" s="1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AC10" i="7" s="1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AC9" i="7" s="1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AC8" i="7" s="1"/>
  <c r="AD8" i="7" s="1"/>
  <c r="B13" i="6" s="1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AC7" i="7" s="1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AC6" i="7" s="1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AC5" i="7" s="1"/>
  <c r="AD5" i="7" s="1"/>
  <c r="B12" i="6" s="1"/>
  <c r="E12" i="6" s="1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AC4" i="7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AC3" i="7" s="1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AC2" i="7" s="1"/>
  <c r="AD2" i="7" s="1"/>
  <c r="AD47" i="7" l="1"/>
  <c r="B26" i="6" s="1"/>
  <c r="E26" i="6" s="1"/>
  <c r="B35" i="6"/>
  <c r="AD86" i="7"/>
  <c r="B39" i="6" s="1"/>
  <c r="E39" i="6" s="1"/>
  <c r="AD95" i="7"/>
  <c r="B42" i="6" s="1"/>
  <c r="E42" i="6" s="1"/>
  <c r="B23" i="6"/>
  <c r="AE2" i="7"/>
  <c r="B11" i="6"/>
  <c r="C11" i="6" l="1"/>
  <c r="B47" i="6"/>
  <c r="E11" i="6"/>
  <c r="E23" i="6"/>
  <c r="F23" i="6" s="1"/>
  <c r="C23" i="6"/>
  <c r="AE38" i="7"/>
  <c r="AE110" i="7" s="1"/>
  <c r="AE74" i="7"/>
  <c r="E35" i="6"/>
  <c r="F35" i="6" s="1"/>
  <c r="C35" i="6"/>
  <c r="E47" i="6" l="1"/>
  <c r="F11" i="6"/>
  <c r="C47" i="6"/>
  <c r="G47" i="6" l="1"/>
  <c r="F47" i="6"/>
  <c r="AD5" i="1" l="1"/>
  <c r="AD8" i="1"/>
  <c r="AD11" i="1"/>
  <c r="AD14" i="1"/>
  <c r="AD17" i="1"/>
  <c r="AD20" i="1"/>
  <c r="AD23" i="1"/>
  <c r="AD26" i="1"/>
  <c r="AD29" i="1"/>
  <c r="AD32" i="1"/>
  <c r="AD35" i="1"/>
  <c r="AD38" i="1"/>
  <c r="AD41" i="1"/>
  <c r="AD44" i="1"/>
  <c r="AD47" i="1"/>
  <c r="AD50" i="1"/>
  <c r="AD53" i="1"/>
  <c r="AD56" i="1"/>
  <c r="AD59" i="1"/>
  <c r="AD62" i="1"/>
  <c r="AD65" i="1"/>
  <c r="AD68" i="1"/>
  <c r="AD71" i="1"/>
  <c r="AD74" i="1"/>
  <c r="AD77" i="1"/>
  <c r="AD80" i="1"/>
  <c r="AD83" i="1"/>
  <c r="AD86" i="1"/>
  <c r="AD89" i="1"/>
  <c r="AD92" i="1"/>
  <c r="AD95" i="1"/>
  <c r="AD98" i="1"/>
  <c r="AD101" i="1"/>
  <c r="AD104" i="1"/>
  <c r="AD10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2" i="1"/>
  <c r="B34" i="5" l="1"/>
  <c r="E34" i="5" s="1"/>
  <c r="B26" i="5"/>
  <c r="E26" i="5" s="1"/>
  <c r="B41" i="5" l="1"/>
  <c r="E41" i="5" s="1"/>
  <c r="B33" i="5"/>
  <c r="E33" i="5" s="1"/>
  <c r="B42" i="5"/>
  <c r="E42" i="5" s="1"/>
  <c r="B29" i="5"/>
  <c r="E29" i="5" s="1"/>
  <c r="B37" i="5"/>
  <c r="E37" i="5" s="1"/>
  <c r="B40" i="5"/>
  <c r="E40" i="5" s="1"/>
  <c r="B30" i="5"/>
  <c r="E30" i="5" s="1"/>
  <c r="B46" i="5"/>
  <c r="E46" i="5" s="1"/>
  <c r="B21" i="5"/>
  <c r="E21" i="5" s="1"/>
  <c r="B43" i="5"/>
  <c r="E43" i="5" s="1"/>
  <c r="B31" i="5"/>
  <c r="E31" i="5" s="1"/>
  <c r="B39" i="5"/>
  <c r="E39" i="5" s="1"/>
  <c r="B38" i="5"/>
  <c r="E38" i="5" s="1"/>
  <c r="B36" i="5"/>
  <c r="E36" i="5" s="1"/>
  <c r="B27" i="5"/>
  <c r="E27" i="5" s="1"/>
  <c r="B25" i="5"/>
  <c r="E25" i="5" s="1"/>
  <c r="B22" i="5"/>
  <c r="E22" i="5" s="1"/>
  <c r="B24" i="5"/>
  <c r="E24" i="5" s="1"/>
  <c r="B32" i="5"/>
  <c r="E32" i="5" s="1"/>
  <c r="B44" i="5"/>
  <c r="E44" i="5" s="1"/>
  <c r="B28" i="5"/>
  <c r="E28" i="5" s="1"/>
  <c r="B45" i="5"/>
  <c r="E45" i="5" s="1"/>
  <c r="B20" i="5"/>
  <c r="E20" i="5" s="1"/>
  <c r="B19" i="5"/>
  <c r="E19" i="5" s="1"/>
  <c r="B23" i="5" l="1"/>
  <c r="E23" i="5" s="1"/>
  <c r="F23" i="5" s="1"/>
  <c r="AE38" i="1"/>
  <c r="B35" i="5"/>
  <c r="E35" i="5" s="1"/>
  <c r="F35" i="5" s="1"/>
  <c r="AE74" i="1"/>
  <c r="AE2" i="1"/>
  <c r="B15" i="5"/>
  <c r="E15" i="5" s="1"/>
  <c r="B17" i="5"/>
  <c r="E17" i="5" s="1"/>
  <c r="B16" i="5"/>
  <c r="E16" i="5" s="1"/>
  <c r="B12" i="5"/>
  <c r="E12" i="5" s="1"/>
  <c r="B13" i="5"/>
  <c r="E13" i="5" s="1"/>
  <c r="B18" i="5"/>
  <c r="E18" i="5" s="1"/>
  <c r="B11" i="5"/>
  <c r="B14" i="5"/>
  <c r="E14" i="5" s="1"/>
  <c r="C23" i="5" l="1"/>
  <c r="B47" i="5"/>
  <c r="C35" i="5"/>
  <c r="C11" i="5"/>
  <c r="E11" i="5"/>
  <c r="C47" i="5" l="1"/>
  <c r="E47" i="5"/>
  <c r="F11" i="5"/>
  <c r="G47" i="5" l="1"/>
  <c r="F47" i="5"/>
</calcChain>
</file>

<file path=xl/sharedStrings.xml><?xml version="1.0" encoding="utf-8"?>
<sst xmlns="http://schemas.openxmlformats.org/spreadsheetml/2006/main" count="324" uniqueCount="60">
  <si>
    <t>Año</t>
  </si>
  <si>
    <t>Mes</t>
  </si>
  <si>
    <t># días</t>
  </si>
  <si>
    <t>TPD</t>
  </si>
  <si>
    <t>kWh/d</t>
  </si>
  <si>
    <t>Festivo</t>
  </si>
  <si>
    <t>Sábado</t>
  </si>
  <si>
    <t xml:space="preserve"> HORA 01</t>
  </si>
  <si>
    <t xml:space="preserve"> HORA 02</t>
  </si>
  <si>
    <t xml:space="preserve"> HORA 03</t>
  </si>
  <si>
    <t xml:space="preserve"> HORA 04</t>
  </si>
  <si>
    <t xml:space="preserve"> HORA 05</t>
  </si>
  <si>
    <t xml:space="preserve"> HORA 06</t>
  </si>
  <si>
    <t xml:space="preserve"> HORA 07</t>
  </si>
  <si>
    <t xml:space="preserve"> HORA 08</t>
  </si>
  <si>
    <t xml:space="preserve"> HORA 09</t>
  </si>
  <si>
    <t xml:space="preserve"> HORA 10</t>
  </si>
  <si>
    <t xml:space="preserve"> HORA 11</t>
  </si>
  <si>
    <t xml:space="preserve"> HORA 12</t>
  </si>
  <si>
    <t xml:space="preserve"> HORA 13</t>
  </si>
  <si>
    <t xml:space="preserve"> HORA 14</t>
  </si>
  <si>
    <t xml:space="preserve"> HORA 15</t>
  </si>
  <si>
    <t xml:space="preserve"> HORA 16</t>
  </si>
  <si>
    <t xml:space="preserve"> HORA 17</t>
  </si>
  <si>
    <t xml:space="preserve"> HORA 18</t>
  </si>
  <si>
    <t xml:space="preserve"> HORA 19</t>
  </si>
  <si>
    <t xml:space="preserve"> HORA 20</t>
  </si>
  <si>
    <t xml:space="preserve"> HORA 21</t>
  </si>
  <si>
    <t xml:space="preserve"> HORA 22</t>
  </si>
  <si>
    <t xml:space="preserve"> HORA 23</t>
  </si>
  <si>
    <t xml:space="preserve"> HORA 24</t>
  </si>
  <si>
    <t>Ordinario</t>
  </si>
  <si>
    <t>Calidad del firmante</t>
  </si>
  <si>
    <t>Oferente</t>
  </si>
  <si>
    <t>(2) Las cantidades de energía se despacharan de acuerdo a la curva del Despacho Horario producto.</t>
  </si>
  <si>
    <r>
      <t>(1) Oferta válida para la modalidad</t>
    </r>
    <r>
      <rPr>
        <b/>
        <sz val="12"/>
        <color theme="1"/>
        <rFont val="Verdana"/>
        <family val="2"/>
      </rPr>
      <t xml:space="preserve"> Pague lo Contratado.</t>
    </r>
  </si>
  <si>
    <t>NOTAS:</t>
  </si>
  <si>
    <t>TOTALES</t>
  </si>
  <si>
    <t>PRECIO OFERTADO $ kWh (0.00)</t>
  </si>
  <si>
    <t>DEMANDA PERIODO OFERTADA KWh</t>
  </si>
  <si>
    <t>DEMANDA OFERTADA KWh - MES</t>
  </si>
  <si>
    <t xml:space="preserve"> PORCENTAJE (%) OFERTADO DE LA DEMANDA REQUERIDA</t>
  </si>
  <si>
    <t>DEMANDA PERIODO REQUERIDA DISPAC KWh</t>
  </si>
  <si>
    <t>DEMANDA REQUERIDA DISPAC KWh</t>
  </si>
  <si>
    <t xml:space="preserve"> MES</t>
  </si>
  <si>
    <t>PROPONENTE</t>
  </si>
  <si>
    <t>kWh/mes (plano)</t>
  </si>
  <si>
    <t>ANEXO No. 1. Oferta Producto No. 1 Curva Plana Convocatoria Pública DISPAC S.A. E.S.P.</t>
  </si>
  <si>
    <t>(4)  El oferente deberá garantizar una cobertura mínima de demanda de: Treinta y cinco por ciento (35%) para los meses de enero, febrero, marzo, abril y diciembre y Setenta por ciento (70%) para los meses restantes del año.</t>
  </si>
  <si>
    <t>(5) Esta oferta podrá cubrir  hasta el 100% de cada uno de los meses correspondientes a la demanda requerida por  DISPAC S.A. E.S.P. de acuerdo a la  curva del Despacho</t>
  </si>
  <si>
    <t>(6) Los precios ofertados incluyen todos los pagos, cargos, impuestos, estampillas, etc., que el Proponente deba realizar ante cualquier entidad gubernamental, o empresa pública, privada o mixta para entregar la energía en la (s) frontera (s) con el Sistema de Transmisión Nacional – STN.</t>
  </si>
  <si>
    <t xml:space="preserve">(8) El precio máximo a adjudicar estará por debajo al precio que presente DISPAC S.A. E.S.P. en su oferta de reserva. </t>
  </si>
  <si>
    <t>(9)  Las ofertas presentadas y remitidas por el ASIC para cada uno de los productos, serán objeto de evaluación si estás son  inferiores al precio de reserva presentado por DISPAC.</t>
  </si>
  <si>
    <t>(10) El precio ofertado debe ser anual</t>
  </si>
  <si>
    <t>ANDRES FELIPE HORTA ROJAS</t>
  </si>
  <si>
    <t>(3) El oferente presentará propuesta correspondiente a un porcentaje (%) para el producto que sea de su interés de la curva descrita en el numeral 19 “Cantidad demandada” de los presentes pliegos</t>
  </si>
  <si>
    <t>(7) Los precios ofertados serán a precios de septiembre de 2025 y este será indexado mes a mes con el Índice de Precios al Productor Provisional expedido por el DANE.</t>
  </si>
  <si>
    <t>ANEXO No. 1. Oferta Producto No. 2 Curva Plana Convocatoria Pública DISPAC S.A. E.S.P.</t>
  </si>
  <si>
    <t>(3) El oferente presentará propuesta correspondiente a un porcentaje (%) para el producto que sea de su interés de la curva descrita en el numeral 19 “Cantidad demandada” de los presentes pliegos.</t>
  </si>
  <si>
    <t>kWh/mes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</si>
</sst>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Verdana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i/>
      <sz val="12"/>
      <color theme="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43" fontId="1" fillId="0" borderId="6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1" fillId="0" borderId="1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4" fillId="0" borderId="0" xfId="4"/>
    <xf numFmtId="164" fontId="4" fillId="0" borderId="0" xfId="4" applyNumberFormat="1" applyAlignment="1">
      <alignment horizontal="center"/>
    </xf>
    <xf numFmtId="2" fontId="4" fillId="0" borderId="0" xfId="4" applyNumberFormat="1" applyAlignment="1">
      <alignment horizontal="center"/>
    </xf>
    <xf numFmtId="9" fontId="0" fillId="0" borderId="0" xfId="6" applyFont="1" applyAlignment="1">
      <alignment horizontal="center"/>
    </xf>
    <xf numFmtId="0" fontId="4" fillId="0" borderId="0" xfId="4" applyAlignment="1">
      <alignment horizontal="center"/>
    </xf>
    <xf numFmtId="164" fontId="4" fillId="2" borderId="0" xfId="4" applyNumberFormat="1" applyFill="1" applyAlignment="1">
      <alignment horizontal="center"/>
    </xf>
    <xf numFmtId="0" fontId="5" fillId="2" borderId="0" xfId="4" applyFont="1" applyFill="1" applyAlignment="1">
      <alignment horizontal="center" vertical="center"/>
    </xf>
    <xf numFmtId="2" fontId="4" fillId="2" borderId="0" xfId="4" applyNumberFormat="1" applyFill="1" applyAlignment="1">
      <alignment horizontal="center" vertical="center"/>
    </xf>
    <xf numFmtId="9" fontId="0" fillId="2" borderId="0" xfId="6" applyFont="1" applyFill="1" applyBorder="1" applyAlignment="1" applyProtection="1">
      <alignment horizontal="center" vertical="center"/>
    </xf>
    <xf numFmtId="0" fontId="2" fillId="2" borderId="0" xfId="4" applyFont="1" applyFill="1" applyAlignment="1">
      <alignment horizontal="center" vertical="center"/>
    </xf>
    <xf numFmtId="2" fontId="4" fillId="2" borderId="0" xfId="4" applyNumberFormat="1" applyFill="1" applyAlignment="1">
      <alignment horizontal="center"/>
    </xf>
    <xf numFmtId="9" fontId="0" fillId="2" borderId="0" xfId="6" applyFont="1" applyFill="1" applyBorder="1" applyAlignment="1">
      <alignment horizontal="center"/>
    </xf>
    <xf numFmtId="0" fontId="4" fillId="2" borderId="0" xfId="4" applyFill="1" applyAlignment="1">
      <alignment horizontal="center"/>
    </xf>
    <xf numFmtId="0" fontId="4" fillId="2" borderId="0" xfId="4" applyFill="1" applyAlignment="1">
      <alignment horizontal="left" vertical="center"/>
    </xf>
    <xf numFmtId="9" fontId="0" fillId="2" borderId="0" xfId="6" applyFont="1" applyFill="1" applyBorder="1" applyAlignment="1">
      <alignment horizontal="center" vertical="center"/>
    </xf>
    <xf numFmtId="2" fontId="4" fillId="2" borderId="0" xfId="4" applyNumberFormat="1" applyFill="1" applyAlignment="1">
      <alignment horizontal="left" vertical="center"/>
    </xf>
    <xf numFmtId="0" fontId="7" fillId="2" borderId="0" xfId="4" applyFont="1" applyFill="1" applyAlignment="1">
      <alignment horizontal="center" vertical="center" wrapText="1"/>
    </xf>
    <xf numFmtId="10" fontId="0" fillId="2" borderId="0" xfId="6" applyNumberFormat="1" applyFont="1" applyFill="1" applyBorder="1" applyAlignment="1">
      <alignment horizontal="center"/>
    </xf>
    <xf numFmtId="3" fontId="7" fillId="3" borderId="15" xfId="4" applyNumberFormat="1" applyFont="1" applyFill="1" applyBorder="1" applyAlignment="1">
      <alignment horizontal="center" vertical="center" wrapText="1"/>
    </xf>
    <xf numFmtId="0" fontId="7" fillId="3" borderId="15" xfId="4" applyFont="1" applyFill="1" applyBorder="1" applyAlignment="1">
      <alignment horizontal="center" vertical="center" wrapText="1"/>
    </xf>
    <xf numFmtId="10" fontId="7" fillId="4" borderId="17" xfId="4" applyNumberFormat="1" applyFont="1" applyFill="1" applyBorder="1" applyAlignment="1">
      <alignment vertical="center" wrapText="1"/>
    </xf>
    <xf numFmtId="0" fontId="7" fillId="0" borderId="18" xfId="4" applyFont="1" applyBorder="1" applyAlignment="1">
      <alignment horizontal="center" vertical="center" wrapText="1"/>
    </xf>
    <xf numFmtId="3" fontId="7" fillId="0" borderId="18" xfId="4" applyNumberFormat="1" applyFont="1" applyBorder="1" applyAlignment="1">
      <alignment horizontal="center" vertical="center" wrapText="1"/>
    </xf>
    <xf numFmtId="17" fontId="7" fillId="0" borderId="20" xfId="4" applyNumberFormat="1" applyFont="1" applyBorder="1" applyAlignment="1">
      <alignment horizontal="center" vertical="center" wrapText="1"/>
    </xf>
    <xf numFmtId="165" fontId="4" fillId="0" borderId="0" xfId="4" applyNumberFormat="1"/>
    <xf numFmtId="3" fontId="4" fillId="0" borderId="0" xfId="4" applyNumberFormat="1"/>
    <xf numFmtId="10" fontId="7" fillId="4" borderId="15" xfId="4" applyNumberFormat="1" applyFont="1" applyFill="1" applyBorder="1" applyAlignment="1">
      <alignment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20" xfId="4" applyFont="1" applyBorder="1" applyAlignment="1">
      <alignment horizontal="center" vertical="center" wrapText="1"/>
    </xf>
    <xf numFmtId="0" fontId="7" fillId="0" borderId="14" xfId="4" applyFont="1" applyBorder="1" applyAlignment="1">
      <alignment horizontal="center" vertical="center" wrapText="1"/>
    </xf>
    <xf numFmtId="164" fontId="8" fillId="0" borderId="0" xfId="4" applyNumberFormat="1" applyFont="1" applyAlignment="1">
      <alignment horizontal="center" vertical="center" wrapText="1"/>
    </xf>
    <xf numFmtId="2" fontId="8" fillId="0" borderId="0" xfId="4" applyNumberFormat="1" applyFont="1" applyAlignment="1">
      <alignment horizontal="center" vertical="center" wrapText="1"/>
    </xf>
    <xf numFmtId="9" fontId="8" fillId="0" borderId="0" xfId="6" applyFont="1" applyAlignment="1">
      <alignment horizontal="center" vertical="center" wrapText="1"/>
    </xf>
    <xf numFmtId="2" fontId="9" fillId="0" borderId="0" xfId="4" applyNumberFormat="1" applyFont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7" fillId="5" borderId="15" xfId="4" applyFont="1" applyFill="1" applyBorder="1" applyAlignment="1">
      <alignment horizontal="center" vertical="center" wrapText="1"/>
    </xf>
    <xf numFmtId="2" fontId="8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2" borderId="0" xfId="4" applyFill="1" applyAlignment="1">
      <alignment horizontal="left" vertical="center" wrapText="1"/>
    </xf>
    <xf numFmtId="0" fontId="5" fillId="2" borderId="0" xfId="4" applyFont="1" applyFill="1" applyAlignment="1">
      <alignment vertical="center"/>
    </xf>
    <xf numFmtId="9" fontId="7" fillId="0" borderId="23" xfId="6" applyFont="1" applyBorder="1" applyAlignment="1">
      <alignment horizontal="center" vertical="center" wrapText="1"/>
    </xf>
    <xf numFmtId="10" fontId="7" fillId="4" borderId="1" xfId="4" applyNumberFormat="1" applyFont="1" applyFill="1" applyBorder="1" applyAlignment="1">
      <alignment horizontal="center" vertical="center" wrapText="1"/>
    </xf>
    <xf numFmtId="10" fontId="7" fillId="4" borderId="15" xfId="4" applyNumberFormat="1" applyFont="1" applyFill="1" applyBorder="1" applyAlignment="1">
      <alignment horizontal="center" vertical="center" wrapText="1"/>
    </xf>
    <xf numFmtId="10" fontId="7" fillId="4" borderId="17" xfId="4" applyNumberFormat="1" applyFont="1" applyFill="1" applyBorder="1" applyAlignment="1">
      <alignment horizontal="center" vertical="center" wrapText="1"/>
    </xf>
    <xf numFmtId="10" fontId="7" fillId="4" borderId="19" xfId="4" applyNumberFormat="1" applyFont="1" applyFill="1" applyBorder="1" applyAlignment="1">
      <alignment horizontal="center" vertical="center" wrapText="1"/>
    </xf>
    <xf numFmtId="0" fontId="4" fillId="2" borderId="0" xfId="4" applyFill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0" fontId="5" fillId="2" borderId="0" xfId="4" applyFont="1" applyFill="1" applyAlignment="1">
      <alignment horizontal="center" vertical="center"/>
    </xf>
    <xf numFmtId="3" fontId="5" fillId="2" borderId="0" xfId="4" applyNumberFormat="1" applyFont="1" applyFill="1" applyAlignment="1">
      <alignment horizontal="center" vertical="center"/>
    </xf>
    <xf numFmtId="0" fontId="11" fillId="2" borderId="0" xfId="4" applyFont="1" applyFill="1" applyAlignment="1">
      <alignment horizontal="left" vertical="center" wrapText="1"/>
    </xf>
    <xf numFmtId="3" fontId="7" fillId="0" borderId="21" xfId="4" applyNumberFormat="1" applyFont="1" applyBorder="1" applyAlignment="1">
      <alignment horizontal="center" vertical="center" wrapText="1"/>
    </xf>
    <xf numFmtId="3" fontId="7" fillId="0" borderId="13" xfId="4" applyNumberFormat="1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2" fontId="7" fillId="4" borderId="22" xfId="4" applyNumberFormat="1" applyFont="1" applyFill="1" applyBorder="1" applyAlignment="1">
      <alignment horizontal="center" vertical="center" wrapText="1"/>
    </xf>
    <xf numFmtId="2" fontId="7" fillId="4" borderId="16" xfId="4" applyNumberFormat="1" applyFont="1" applyFill="1" applyBorder="1" applyAlignment="1">
      <alignment horizontal="center" vertical="center" wrapText="1"/>
    </xf>
    <xf numFmtId="2" fontId="7" fillId="4" borderId="14" xfId="4" applyNumberFormat="1" applyFont="1" applyFill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2" fillId="0" borderId="7" xfId="2" applyFont="1" applyFill="1" applyBorder="1" applyAlignment="1">
      <alignment horizontal="center" vertical="center"/>
    </xf>
    <xf numFmtId="41" fontId="2" fillId="0" borderId="9" xfId="2" applyFont="1" applyFill="1" applyBorder="1" applyAlignment="1">
      <alignment horizontal="center" vertical="center"/>
    </xf>
    <xf numFmtId="41" fontId="2" fillId="0" borderId="12" xfId="2" applyFont="1" applyFill="1" applyBorder="1" applyAlignment="1">
      <alignment horizontal="center" vertical="center"/>
    </xf>
    <xf numFmtId="10" fontId="7" fillId="4" borderId="19" xfId="4" applyNumberFormat="1" applyFont="1" applyFill="1" applyBorder="1" applyAlignment="1">
      <alignment vertical="center" wrapText="1"/>
    </xf>
    <xf numFmtId="9" fontId="7" fillId="0" borderId="16" xfId="6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41" fontId="0" fillId="0" borderId="20" xfId="0" applyNumberForma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3" fontId="2" fillId="0" borderId="11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</cellXfs>
  <cellStyles count="7">
    <cellStyle name="Millares [0] 2" xfId="2" xr:uid="{F47BDBDC-E88F-4791-964C-95DB0885C6A2}"/>
    <cellStyle name="Millares [0] 2 2" xfId="5" xr:uid="{EA7418C5-8821-47A6-9656-A48C31E7DADB}"/>
    <cellStyle name="Millares 2" xfId="1" xr:uid="{36B5BC3A-FA91-4238-A19B-207DAD8A74D0}"/>
    <cellStyle name="Moneda 2" xfId="3" xr:uid="{4D6CC4A5-73B3-4CA3-86DB-A8DEEB686955}"/>
    <cellStyle name="Normal" xfId="0" builtinId="0"/>
    <cellStyle name="Normal 2" xfId="4" xr:uid="{359BC063-C810-4DBB-95A9-9B7FD42F9A48}"/>
    <cellStyle name="Porcentaje 2" xfId="6" xr:uid="{22F2DDB2-B92E-42F0-B1C4-385F40EB7EF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A84FBA8B-0EA5-4955-88BC-4C33890E73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0</xdr:row>
      <xdr:rowOff>0</xdr:rowOff>
    </xdr:from>
    <xdr:ext cx="1021195" cy="700519"/>
    <xdr:pic>
      <xdr:nvPicPr>
        <xdr:cNvPr id="2" name="WordPictureWatermark14" descr=" ">
          <a:extLst>
            <a:ext uri="{FF2B5EF4-FFF2-40B4-BE49-F238E27FC236}">
              <a16:creationId xmlns:a16="http://schemas.microsoft.com/office/drawing/2014/main" id="{C02BF98F-E278-4672-8B42-AAF9B51F34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0"/>
          <a:ext cx="1021195" cy="700519"/>
        </a:xfrm>
        <a:prstGeom prst="rect">
          <a:avLst/>
        </a:prstGeom>
        <a:solidFill>
          <a:srgbClr val="000000"/>
        </a:solidFill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an\OneDrive\Desktop\caucheras\Contrato%202\Miguel\Proyecci&#243;n%20compras%202026%20-%2020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_Necesidades"/>
      <sheetName val="Consolidado"/>
      <sheetName val="Precios"/>
      <sheetName val="Demanda 2024"/>
      <sheetName val="Despacho contratado 2024"/>
      <sheetName val="Demanda requerida 2024"/>
      <sheetName val="Demanda 2025"/>
      <sheetName val="Despacho contratado 2025"/>
      <sheetName val="Demanda requerida 2025"/>
      <sheetName val="Demanda 2026"/>
      <sheetName val="Despacho contratado 2026"/>
      <sheetName val="Demanda requerida 2026"/>
      <sheetName val="Demanda 2027"/>
      <sheetName val="Despacho contratado 2027"/>
      <sheetName val="Demanda requerida 2027"/>
      <sheetName val="Demanda 2028"/>
      <sheetName val="Despacho contratado 2028"/>
      <sheetName val="Demanda requerida 2028"/>
      <sheetName val="Demanda 2029"/>
      <sheetName val="Despacho contratado 2029"/>
      <sheetName val="Demanda requerida 2029"/>
      <sheetName val="Demanda 2030"/>
      <sheetName val="Despacho contratado 2030"/>
      <sheetName val="Demanda requerida 2030"/>
      <sheetName val="Demanda 2031"/>
      <sheetName val="Despacho contratado 2031"/>
      <sheetName val="Demanda requerida 2031"/>
      <sheetName val="Demanda 2032"/>
      <sheetName val="Despacho contratado 2032"/>
      <sheetName val="Demanda requerida 2032"/>
      <sheetName val="Demanda 2033"/>
      <sheetName val="Despacho contratado 2033"/>
      <sheetName val="Demanda requerida 20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9">
          <cell r="CC39" t="str">
            <v>ene-26SÁBADO</v>
          </cell>
          <cell r="CD39" t="str">
            <v>ene-26FESTIVO</v>
          </cell>
          <cell r="CE39" t="str">
            <v>ene-26ORDINARIO</v>
          </cell>
          <cell r="CF39" t="str">
            <v>feb-26SÁBADO</v>
          </cell>
          <cell r="CG39" t="str">
            <v>feb-26FESTIVO</v>
          </cell>
          <cell r="CH39" t="str">
            <v>feb-26ORDINARIO</v>
          </cell>
          <cell r="CI39" t="str">
            <v>mar-26SÁBADO</v>
          </cell>
          <cell r="CJ39" t="str">
            <v>mar-26FESTIVO</v>
          </cell>
          <cell r="CK39" t="str">
            <v>mar-26ORDINARIO</v>
          </cell>
          <cell r="CL39" t="str">
            <v>abr-26SÁBADO</v>
          </cell>
          <cell r="CM39" t="str">
            <v>abr-26FESTIVO</v>
          </cell>
          <cell r="CN39" t="str">
            <v>abr-26ORDINARIO</v>
          </cell>
          <cell r="CO39" t="str">
            <v>may-26SÁBADO</v>
          </cell>
          <cell r="CP39" t="str">
            <v>may-26FESTIVO</v>
          </cell>
          <cell r="CQ39" t="str">
            <v>may-26ORDINARIO</v>
          </cell>
          <cell r="CR39" t="str">
            <v>jun-26SÁBADO</v>
          </cell>
          <cell r="CS39" t="str">
            <v>jun-26FESTIVO</v>
          </cell>
          <cell r="CT39" t="str">
            <v>jun-26ORDINARIO</v>
          </cell>
          <cell r="CU39" t="str">
            <v>jul-26SÁBADO</v>
          </cell>
          <cell r="CV39" t="str">
            <v>jul-26FESTIVO</v>
          </cell>
          <cell r="CW39" t="str">
            <v>jul-26ORDINARIO</v>
          </cell>
          <cell r="CX39" t="str">
            <v>ago-26SÁBADO</v>
          </cell>
          <cell r="CY39" t="str">
            <v>ago-26FESTIVO</v>
          </cell>
          <cell r="CZ39" t="str">
            <v>ago-26ORDINARIO</v>
          </cell>
          <cell r="DA39" t="str">
            <v>sep-26SÁBADO</v>
          </cell>
          <cell r="DB39" t="str">
            <v>sep-26FESTIVO</v>
          </cell>
          <cell r="DC39" t="str">
            <v>sep-26ORDINARIO</v>
          </cell>
          <cell r="DD39" t="str">
            <v>oct-26SÁBADO</v>
          </cell>
          <cell r="DE39" t="str">
            <v>oct-26FESTIVO</v>
          </cell>
          <cell r="DF39" t="str">
            <v>oct-26ORDINARIO</v>
          </cell>
          <cell r="DG39" t="str">
            <v>nov-26SÁBADO</v>
          </cell>
          <cell r="DH39" t="str">
            <v>nov-26FESTIVO</v>
          </cell>
          <cell r="DI39" t="str">
            <v>nov-26ORDINARIO</v>
          </cell>
          <cell r="DJ39" t="str">
            <v>dic-26SÁBADO</v>
          </cell>
          <cell r="DK39" t="str">
            <v>dic-26FESTIVO</v>
          </cell>
          <cell r="DL39" t="str">
            <v>dic-26ORDINARIO</v>
          </cell>
        </row>
        <row r="74">
          <cell r="CB74" t="str">
            <v xml:space="preserve"> HORA 01</v>
          </cell>
          <cell r="CC74">
            <v>320</v>
          </cell>
          <cell r="CD74">
            <v>359</v>
          </cell>
          <cell r="CE74">
            <v>370</v>
          </cell>
          <cell r="CF74">
            <v>200</v>
          </cell>
          <cell r="CG74">
            <v>363</v>
          </cell>
          <cell r="CH74">
            <v>200</v>
          </cell>
          <cell r="CI74">
            <v>424</v>
          </cell>
          <cell r="CJ74">
            <v>200</v>
          </cell>
          <cell r="CK74">
            <v>1777</v>
          </cell>
          <cell r="CL74">
            <v>5841</v>
          </cell>
          <cell r="CM74">
            <v>200</v>
          </cell>
          <cell r="CN74">
            <v>8911</v>
          </cell>
          <cell r="CO74">
            <v>4602</v>
          </cell>
          <cell r="CP74">
            <v>200</v>
          </cell>
          <cell r="CQ74">
            <v>6143</v>
          </cell>
          <cell r="CR74">
            <v>6784</v>
          </cell>
          <cell r="CS74">
            <v>200</v>
          </cell>
          <cell r="CT74">
            <v>11434</v>
          </cell>
          <cell r="CU74">
            <v>200</v>
          </cell>
          <cell r="CV74">
            <v>200</v>
          </cell>
          <cell r="CW74">
            <v>1980</v>
          </cell>
          <cell r="CX74">
            <v>1634</v>
          </cell>
          <cell r="CY74">
            <v>200</v>
          </cell>
          <cell r="CZ74">
            <v>5203</v>
          </cell>
          <cell r="DA74">
            <v>200</v>
          </cell>
          <cell r="DB74">
            <v>200</v>
          </cell>
          <cell r="DC74">
            <v>200</v>
          </cell>
          <cell r="DD74">
            <v>164</v>
          </cell>
          <cell r="DE74">
            <v>200</v>
          </cell>
          <cell r="DF74">
            <v>200</v>
          </cell>
          <cell r="DG74">
            <v>200</v>
          </cell>
          <cell r="DH74">
            <v>200</v>
          </cell>
          <cell r="DI74">
            <v>200</v>
          </cell>
          <cell r="DJ74">
            <v>7960</v>
          </cell>
          <cell r="DK74">
            <v>200</v>
          </cell>
          <cell r="DL74">
            <v>12114</v>
          </cell>
        </row>
        <row r="75">
          <cell r="CB75" t="str">
            <v xml:space="preserve"> HORA 02</v>
          </cell>
          <cell r="CC75">
            <v>200</v>
          </cell>
          <cell r="CD75">
            <v>200</v>
          </cell>
          <cell r="CE75">
            <v>200</v>
          </cell>
          <cell r="CF75">
            <v>200</v>
          </cell>
          <cell r="CG75">
            <v>200</v>
          </cell>
          <cell r="CH75">
            <v>200</v>
          </cell>
          <cell r="CI75">
            <v>200</v>
          </cell>
          <cell r="CJ75">
            <v>200</v>
          </cell>
          <cell r="CK75">
            <v>709</v>
          </cell>
          <cell r="CL75">
            <v>4753</v>
          </cell>
          <cell r="CM75">
            <v>200</v>
          </cell>
          <cell r="CN75">
            <v>7740</v>
          </cell>
          <cell r="CO75">
            <v>3403</v>
          </cell>
          <cell r="CP75">
            <v>200</v>
          </cell>
          <cell r="CQ75">
            <v>4740</v>
          </cell>
          <cell r="CR75">
            <v>6086</v>
          </cell>
          <cell r="CS75">
            <v>200</v>
          </cell>
          <cell r="CT75">
            <v>10006</v>
          </cell>
          <cell r="CU75">
            <v>200</v>
          </cell>
          <cell r="CV75">
            <v>200</v>
          </cell>
          <cell r="CW75">
            <v>782</v>
          </cell>
          <cell r="CX75">
            <v>1378</v>
          </cell>
          <cell r="CY75">
            <v>200</v>
          </cell>
          <cell r="CZ75">
            <v>4253</v>
          </cell>
          <cell r="DA75">
            <v>200</v>
          </cell>
          <cell r="DB75">
            <v>200</v>
          </cell>
          <cell r="DC75">
            <v>200</v>
          </cell>
          <cell r="DD75">
            <v>200</v>
          </cell>
          <cell r="DE75">
            <v>200</v>
          </cell>
          <cell r="DF75">
            <v>200</v>
          </cell>
          <cell r="DG75">
            <v>200</v>
          </cell>
          <cell r="DH75">
            <v>200</v>
          </cell>
          <cell r="DI75">
            <v>200</v>
          </cell>
          <cell r="DJ75">
            <v>6680</v>
          </cell>
          <cell r="DK75">
            <v>200</v>
          </cell>
          <cell r="DL75">
            <v>10875</v>
          </cell>
        </row>
        <row r="76">
          <cell r="CB76" t="str">
            <v xml:space="preserve"> HORA 03</v>
          </cell>
          <cell r="CC76">
            <v>200</v>
          </cell>
          <cell r="CD76">
            <v>200</v>
          </cell>
          <cell r="CE76">
            <v>200</v>
          </cell>
          <cell r="CF76">
            <v>200</v>
          </cell>
          <cell r="CG76">
            <v>200</v>
          </cell>
          <cell r="CH76">
            <v>200</v>
          </cell>
          <cell r="CI76">
            <v>200</v>
          </cell>
          <cell r="CJ76">
            <v>200</v>
          </cell>
          <cell r="CK76">
            <v>200</v>
          </cell>
          <cell r="CL76">
            <v>3911</v>
          </cell>
          <cell r="CM76">
            <v>200</v>
          </cell>
          <cell r="CN76">
            <v>6908</v>
          </cell>
          <cell r="CO76">
            <v>2648</v>
          </cell>
          <cell r="CP76">
            <v>200</v>
          </cell>
          <cell r="CQ76">
            <v>3955</v>
          </cell>
          <cell r="CR76">
            <v>5703</v>
          </cell>
          <cell r="CS76">
            <v>200</v>
          </cell>
          <cell r="CT76">
            <v>9076</v>
          </cell>
          <cell r="CU76">
            <v>200</v>
          </cell>
          <cell r="CV76">
            <v>200</v>
          </cell>
          <cell r="CW76">
            <v>200</v>
          </cell>
          <cell r="CX76">
            <v>793</v>
          </cell>
          <cell r="CY76">
            <v>200</v>
          </cell>
          <cell r="CZ76">
            <v>3532</v>
          </cell>
          <cell r="DA76">
            <v>200</v>
          </cell>
          <cell r="DB76">
            <v>200</v>
          </cell>
          <cell r="DC76">
            <v>200</v>
          </cell>
          <cell r="DD76">
            <v>200</v>
          </cell>
          <cell r="DE76">
            <v>200</v>
          </cell>
          <cell r="DF76">
            <v>200</v>
          </cell>
          <cell r="DG76">
            <v>200</v>
          </cell>
          <cell r="DH76">
            <v>200</v>
          </cell>
          <cell r="DI76">
            <v>200</v>
          </cell>
          <cell r="DJ76">
            <v>5928</v>
          </cell>
          <cell r="DK76">
            <v>200</v>
          </cell>
          <cell r="DL76">
            <v>9927</v>
          </cell>
        </row>
        <row r="77">
          <cell r="CB77" t="str">
            <v xml:space="preserve"> HORA 04</v>
          </cell>
          <cell r="CC77">
            <v>200</v>
          </cell>
          <cell r="CD77">
            <v>200</v>
          </cell>
          <cell r="CE77">
            <v>200</v>
          </cell>
          <cell r="CF77">
            <v>200</v>
          </cell>
          <cell r="CG77">
            <v>200</v>
          </cell>
          <cell r="CH77">
            <v>200</v>
          </cell>
          <cell r="CI77">
            <v>200</v>
          </cell>
          <cell r="CJ77">
            <v>200</v>
          </cell>
          <cell r="CK77">
            <v>200</v>
          </cell>
          <cell r="CL77">
            <v>3431</v>
          </cell>
          <cell r="CM77">
            <v>200</v>
          </cell>
          <cell r="CN77">
            <v>6373</v>
          </cell>
          <cell r="CO77">
            <v>2117</v>
          </cell>
          <cell r="CP77">
            <v>200</v>
          </cell>
          <cell r="CQ77">
            <v>3534</v>
          </cell>
          <cell r="CR77">
            <v>5076</v>
          </cell>
          <cell r="CS77">
            <v>200</v>
          </cell>
          <cell r="CT77">
            <v>8564</v>
          </cell>
          <cell r="CU77">
            <v>200</v>
          </cell>
          <cell r="CV77">
            <v>200</v>
          </cell>
          <cell r="CW77">
            <v>200</v>
          </cell>
          <cell r="CX77">
            <v>198</v>
          </cell>
          <cell r="CY77">
            <v>200</v>
          </cell>
          <cell r="CZ77">
            <v>3010</v>
          </cell>
          <cell r="DA77">
            <v>200</v>
          </cell>
          <cell r="DB77">
            <v>200</v>
          </cell>
          <cell r="DC77">
            <v>200</v>
          </cell>
          <cell r="DD77">
            <v>200</v>
          </cell>
          <cell r="DE77">
            <v>200</v>
          </cell>
          <cell r="DF77">
            <v>200</v>
          </cell>
          <cell r="DG77">
            <v>200</v>
          </cell>
          <cell r="DH77">
            <v>200</v>
          </cell>
          <cell r="DI77">
            <v>200</v>
          </cell>
          <cell r="DJ77">
            <v>5261</v>
          </cell>
          <cell r="DK77">
            <v>200</v>
          </cell>
          <cell r="DL77">
            <v>9291</v>
          </cell>
        </row>
        <row r="78">
          <cell r="CB78" t="str">
            <v xml:space="preserve"> HORA 05</v>
          </cell>
          <cell r="CC78">
            <v>200</v>
          </cell>
          <cell r="CD78">
            <v>200</v>
          </cell>
          <cell r="CE78">
            <v>200</v>
          </cell>
          <cell r="CF78">
            <v>200</v>
          </cell>
          <cell r="CG78">
            <v>200</v>
          </cell>
          <cell r="CH78">
            <v>200</v>
          </cell>
          <cell r="CI78">
            <v>200</v>
          </cell>
          <cell r="CJ78">
            <v>200</v>
          </cell>
          <cell r="CK78">
            <v>200</v>
          </cell>
          <cell r="CL78">
            <v>3204</v>
          </cell>
          <cell r="CM78">
            <v>200</v>
          </cell>
          <cell r="CN78">
            <v>6223</v>
          </cell>
          <cell r="CO78">
            <v>1967</v>
          </cell>
          <cell r="CP78">
            <v>200</v>
          </cell>
          <cell r="CQ78">
            <v>3553</v>
          </cell>
          <cell r="CR78">
            <v>4845</v>
          </cell>
          <cell r="CS78">
            <v>200</v>
          </cell>
          <cell r="CT78">
            <v>8765</v>
          </cell>
          <cell r="CU78">
            <v>200</v>
          </cell>
          <cell r="CV78">
            <v>200</v>
          </cell>
          <cell r="CW78">
            <v>200</v>
          </cell>
          <cell r="CX78">
            <v>77</v>
          </cell>
          <cell r="CY78">
            <v>200</v>
          </cell>
          <cell r="CZ78">
            <v>3009</v>
          </cell>
          <cell r="DA78">
            <v>200</v>
          </cell>
          <cell r="DB78">
            <v>200</v>
          </cell>
          <cell r="DC78">
            <v>200</v>
          </cell>
          <cell r="DD78">
            <v>200</v>
          </cell>
          <cell r="DE78">
            <v>200</v>
          </cell>
          <cell r="DF78">
            <v>200</v>
          </cell>
          <cell r="DG78">
            <v>200</v>
          </cell>
          <cell r="DH78">
            <v>200</v>
          </cell>
          <cell r="DI78">
            <v>200</v>
          </cell>
          <cell r="DJ78">
            <v>4982</v>
          </cell>
          <cell r="DK78">
            <v>200</v>
          </cell>
          <cell r="DL78">
            <v>9142</v>
          </cell>
        </row>
        <row r="79">
          <cell r="CB79" t="str">
            <v xml:space="preserve"> HORA 06</v>
          </cell>
          <cell r="CC79">
            <v>200</v>
          </cell>
          <cell r="CD79">
            <v>200</v>
          </cell>
          <cell r="CE79">
            <v>200</v>
          </cell>
          <cell r="CF79">
            <v>200</v>
          </cell>
          <cell r="CG79">
            <v>200</v>
          </cell>
          <cell r="CH79">
            <v>200</v>
          </cell>
          <cell r="CI79">
            <v>200</v>
          </cell>
          <cell r="CJ79">
            <v>200</v>
          </cell>
          <cell r="CK79">
            <v>938</v>
          </cell>
          <cell r="CL79">
            <v>3368</v>
          </cell>
          <cell r="CM79">
            <v>200</v>
          </cell>
          <cell r="CN79">
            <v>7491</v>
          </cell>
          <cell r="CO79">
            <v>2200</v>
          </cell>
          <cell r="CP79">
            <v>200</v>
          </cell>
          <cell r="CQ79">
            <v>4740</v>
          </cell>
          <cell r="CR79">
            <v>5455</v>
          </cell>
          <cell r="CS79">
            <v>200</v>
          </cell>
          <cell r="CT79">
            <v>9913</v>
          </cell>
          <cell r="CU79">
            <v>200</v>
          </cell>
          <cell r="CV79">
            <v>200</v>
          </cell>
          <cell r="CW79">
            <v>684</v>
          </cell>
          <cell r="CX79">
            <v>369</v>
          </cell>
          <cell r="CY79">
            <v>200</v>
          </cell>
          <cell r="CZ79">
            <v>4426</v>
          </cell>
          <cell r="DA79">
            <v>200</v>
          </cell>
          <cell r="DB79">
            <v>200</v>
          </cell>
          <cell r="DC79">
            <v>200</v>
          </cell>
          <cell r="DD79">
            <v>200</v>
          </cell>
          <cell r="DE79">
            <v>200</v>
          </cell>
          <cell r="DF79">
            <v>200</v>
          </cell>
          <cell r="DG79">
            <v>200</v>
          </cell>
          <cell r="DH79">
            <v>200</v>
          </cell>
          <cell r="DI79">
            <v>200</v>
          </cell>
          <cell r="DJ79">
            <v>5186</v>
          </cell>
          <cell r="DK79">
            <v>200</v>
          </cell>
          <cell r="DL79">
            <v>9809</v>
          </cell>
        </row>
        <row r="80">
          <cell r="CB80" t="str">
            <v xml:space="preserve"> HORA 07</v>
          </cell>
          <cell r="CC80">
            <v>200</v>
          </cell>
          <cell r="CD80">
            <v>200</v>
          </cell>
          <cell r="CE80">
            <v>200</v>
          </cell>
          <cell r="CF80">
            <v>200</v>
          </cell>
          <cell r="CG80">
            <v>200</v>
          </cell>
          <cell r="CH80">
            <v>731</v>
          </cell>
          <cell r="CI80">
            <v>200</v>
          </cell>
          <cell r="CJ80">
            <v>200</v>
          </cell>
          <cell r="CK80">
            <v>2484</v>
          </cell>
          <cell r="CL80">
            <v>2010</v>
          </cell>
          <cell r="CM80">
            <v>200</v>
          </cell>
          <cell r="CN80">
            <v>8911</v>
          </cell>
          <cell r="CO80">
            <v>2864</v>
          </cell>
          <cell r="CP80">
            <v>200</v>
          </cell>
          <cell r="CQ80">
            <v>6235</v>
          </cell>
          <cell r="CR80">
            <v>6000</v>
          </cell>
          <cell r="CS80">
            <v>200</v>
          </cell>
          <cell r="CT80">
            <v>11616</v>
          </cell>
          <cell r="CU80">
            <v>200</v>
          </cell>
          <cell r="CV80">
            <v>200</v>
          </cell>
          <cell r="CW80">
            <v>2185</v>
          </cell>
          <cell r="CX80">
            <v>1248</v>
          </cell>
          <cell r="CY80">
            <v>200</v>
          </cell>
          <cell r="CZ80">
            <v>6080</v>
          </cell>
          <cell r="DA80">
            <v>200</v>
          </cell>
          <cell r="DB80">
            <v>200</v>
          </cell>
          <cell r="DC80">
            <v>200</v>
          </cell>
          <cell r="DD80">
            <v>200</v>
          </cell>
          <cell r="DE80">
            <v>200</v>
          </cell>
          <cell r="DF80">
            <v>200</v>
          </cell>
          <cell r="DG80">
            <v>200</v>
          </cell>
          <cell r="DH80">
            <v>200</v>
          </cell>
          <cell r="DI80">
            <v>200</v>
          </cell>
          <cell r="DJ80">
            <v>6098</v>
          </cell>
          <cell r="DK80">
            <v>200</v>
          </cell>
          <cell r="DL80">
            <v>11027</v>
          </cell>
        </row>
        <row r="81">
          <cell r="CB81" t="str">
            <v xml:space="preserve"> HORA 08</v>
          </cell>
          <cell r="CC81">
            <v>293</v>
          </cell>
          <cell r="CD81">
            <v>200</v>
          </cell>
          <cell r="CE81">
            <v>1129</v>
          </cell>
          <cell r="CF81">
            <v>83</v>
          </cell>
          <cell r="CG81">
            <v>200</v>
          </cell>
          <cell r="CH81">
            <v>1701</v>
          </cell>
          <cell r="CI81">
            <v>590</v>
          </cell>
          <cell r="CJ81">
            <v>200</v>
          </cell>
          <cell r="CK81">
            <v>3865</v>
          </cell>
          <cell r="CL81">
            <v>6004</v>
          </cell>
          <cell r="CM81">
            <v>200</v>
          </cell>
          <cell r="CN81">
            <v>10696</v>
          </cell>
          <cell r="CO81">
            <v>4872</v>
          </cell>
          <cell r="CP81">
            <v>200</v>
          </cell>
          <cell r="CQ81">
            <v>7989</v>
          </cell>
          <cell r="CR81">
            <v>8204</v>
          </cell>
          <cell r="CS81">
            <v>200</v>
          </cell>
          <cell r="CT81">
            <v>14100</v>
          </cell>
          <cell r="CU81">
            <v>632</v>
          </cell>
          <cell r="CV81">
            <v>200</v>
          </cell>
          <cell r="CW81">
            <v>3769</v>
          </cell>
          <cell r="CX81">
            <v>3437</v>
          </cell>
          <cell r="CY81">
            <v>200</v>
          </cell>
          <cell r="CZ81">
            <v>7640</v>
          </cell>
          <cell r="DA81">
            <v>200</v>
          </cell>
          <cell r="DB81">
            <v>200</v>
          </cell>
          <cell r="DC81">
            <v>200</v>
          </cell>
          <cell r="DD81">
            <v>200</v>
          </cell>
          <cell r="DE81">
            <v>200</v>
          </cell>
          <cell r="DF81">
            <v>200</v>
          </cell>
          <cell r="DG81">
            <v>200</v>
          </cell>
          <cell r="DH81">
            <v>200</v>
          </cell>
          <cell r="DI81">
            <v>1869</v>
          </cell>
          <cell r="DJ81">
            <v>7722</v>
          </cell>
          <cell r="DK81">
            <v>200</v>
          </cell>
          <cell r="DL81">
            <v>13412</v>
          </cell>
        </row>
        <row r="82">
          <cell r="CB82" t="str">
            <v xml:space="preserve"> HORA 09</v>
          </cell>
          <cell r="CC82">
            <v>3548</v>
          </cell>
          <cell r="CD82">
            <v>622</v>
          </cell>
          <cell r="CE82">
            <v>4223</v>
          </cell>
          <cell r="CF82">
            <v>3390</v>
          </cell>
          <cell r="CG82">
            <v>1949</v>
          </cell>
          <cell r="CH82">
            <v>3987</v>
          </cell>
          <cell r="CI82">
            <v>3913</v>
          </cell>
          <cell r="CJ82">
            <v>200</v>
          </cell>
          <cell r="CK82">
            <v>6357</v>
          </cell>
          <cell r="CL82">
            <v>9111</v>
          </cell>
          <cell r="CM82">
            <v>200</v>
          </cell>
          <cell r="CN82">
            <v>13559</v>
          </cell>
          <cell r="CO82">
            <v>8111</v>
          </cell>
          <cell r="CP82">
            <v>200</v>
          </cell>
          <cell r="CQ82">
            <v>11227</v>
          </cell>
          <cell r="CR82">
            <v>11791</v>
          </cell>
          <cell r="CS82">
            <v>200</v>
          </cell>
          <cell r="CT82">
            <v>17460</v>
          </cell>
          <cell r="CU82">
            <v>3818</v>
          </cell>
          <cell r="CV82">
            <v>200</v>
          </cell>
          <cell r="CW82">
            <v>6375</v>
          </cell>
          <cell r="CX82">
            <v>6599</v>
          </cell>
          <cell r="CY82">
            <v>200</v>
          </cell>
          <cell r="CZ82">
            <v>10663</v>
          </cell>
          <cell r="DA82">
            <v>1569</v>
          </cell>
          <cell r="DB82">
            <v>200</v>
          </cell>
          <cell r="DC82">
            <v>1607</v>
          </cell>
          <cell r="DD82">
            <v>2983</v>
          </cell>
          <cell r="DE82">
            <v>200</v>
          </cell>
          <cell r="DF82">
            <v>1317</v>
          </cell>
          <cell r="DG82">
            <v>200</v>
          </cell>
          <cell r="DH82">
            <v>200</v>
          </cell>
          <cell r="DI82">
            <v>4647</v>
          </cell>
          <cell r="DJ82">
            <v>10781</v>
          </cell>
          <cell r="DK82">
            <v>200</v>
          </cell>
          <cell r="DL82">
            <v>15881</v>
          </cell>
        </row>
        <row r="83">
          <cell r="CB83" t="str">
            <v xml:space="preserve"> HORA 10</v>
          </cell>
          <cell r="CC83">
            <v>5532</v>
          </cell>
          <cell r="CD83">
            <v>2211</v>
          </cell>
          <cell r="CE83">
            <v>5477</v>
          </cell>
          <cell r="CF83">
            <v>4796</v>
          </cell>
          <cell r="CG83">
            <v>3432</v>
          </cell>
          <cell r="CH83">
            <v>4965</v>
          </cell>
          <cell r="CI83">
            <v>5692</v>
          </cell>
          <cell r="CJ83">
            <v>200</v>
          </cell>
          <cell r="CK83">
            <v>7731</v>
          </cell>
          <cell r="CL83">
            <v>11003</v>
          </cell>
          <cell r="CM83">
            <v>200</v>
          </cell>
          <cell r="CN83">
            <v>15268</v>
          </cell>
          <cell r="CO83">
            <v>9824</v>
          </cell>
          <cell r="CP83">
            <v>200</v>
          </cell>
          <cell r="CQ83">
            <v>12970</v>
          </cell>
          <cell r="CR83">
            <v>13643</v>
          </cell>
          <cell r="CS83">
            <v>200</v>
          </cell>
          <cell r="CT83">
            <v>19285</v>
          </cell>
          <cell r="CU83">
            <v>5027</v>
          </cell>
          <cell r="CV83">
            <v>200</v>
          </cell>
          <cell r="CW83">
            <v>7378</v>
          </cell>
          <cell r="CX83">
            <v>8548</v>
          </cell>
          <cell r="CY83">
            <v>200</v>
          </cell>
          <cell r="CZ83">
            <v>12285</v>
          </cell>
          <cell r="DA83">
            <v>3348</v>
          </cell>
          <cell r="DB83">
            <v>200</v>
          </cell>
          <cell r="DC83">
            <v>2817</v>
          </cell>
          <cell r="DD83">
            <v>6701</v>
          </cell>
          <cell r="DE83">
            <v>200</v>
          </cell>
          <cell r="DF83">
            <v>2370</v>
          </cell>
          <cell r="DG83">
            <v>200</v>
          </cell>
          <cell r="DH83">
            <v>200</v>
          </cell>
          <cell r="DI83">
            <v>6562</v>
          </cell>
          <cell r="DJ83">
            <v>12496</v>
          </cell>
          <cell r="DK83">
            <v>200</v>
          </cell>
          <cell r="DL83">
            <v>17013</v>
          </cell>
        </row>
        <row r="84">
          <cell r="CB84" t="str">
            <v xml:space="preserve"> HORA 11</v>
          </cell>
          <cell r="CC84">
            <v>6697</v>
          </cell>
          <cell r="CD84">
            <v>3018</v>
          </cell>
          <cell r="CE84">
            <v>6607</v>
          </cell>
          <cell r="CF84">
            <v>5810</v>
          </cell>
          <cell r="CG84">
            <v>4355</v>
          </cell>
          <cell r="CH84">
            <v>6501</v>
          </cell>
          <cell r="CI84">
            <v>7065</v>
          </cell>
          <cell r="CJ84">
            <v>200</v>
          </cell>
          <cell r="CK84">
            <v>9120</v>
          </cell>
          <cell r="CL84">
            <v>11883</v>
          </cell>
          <cell r="CM84">
            <v>200</v>
          </cell>
          <cell r="CN84">
            <v>16704</v>
          </cell>
          <cell r="CO84">
            <v>11036</v>
          </cell>
          <cell r="CP84">
            <v>151</v>
          </cell>
          <cell r="CQ84">
            <v>14510</v>
          </cell>
          <cell r="CR84">
            <v>14488</v>
          </cell>
          <cell r="CS84">
            <v>200</v>
          </cell>
          <cell r="CT84">
            <v>20885</v>
          </cell>
          <cell r="CU84">
            <v>5751</v>
          </cell>
          <cell r="CV84">
            <v>200</v>
          </cell>
          <cell r="CW84">
            <v>8631</v>
          </cell>
          <cell r="CX84">
            <v>10202</v>
          </cell>
          <cell r="CY84">
            <v>200</v>
          </cell>
          <cell r="CZ84">
            <v>14056</v>
          </cell>
          <cell r="DA84">
            <v>3925</v>
          </cell>
          <cell r="DB84">
            <v>991</v>
          </cell>
          <cell r="DC84">
            <v>4281</v>
          </cell>
          <cell r="DD84">
            <v>7934</v>
          </cell>
          <cell r="DE84">
            <v>200</v>
          </cell>
          <cell r="DF84">
            <v>3644</v>
          </cell>
          <cell r="DG84">
            <v>200</v>
          </cell>
          <cell r="DH84">
            <v>200</v>
          </cell>
          <cell r="DI84">
            <v>7885</v>
          </cell>
          <cell r="DJ84">
            <v>13632</v>
          </cell>
          <cell r="DK84">
            <v>200</v>
          </cell>
          <cell r="DL84">
            <v>18108</v>
          </cell>
        </row>
        <row r="85">
          <cell r="CB85" t="str">
            <v xml:space="preserve"> HORA 12</v>
          </cell>
          <cell r="CC85">
            <v>8379</v>
          </cell>
          <cell r="CD85">
            <v>4351</v>
          </cell>
          <cell r="CE85">
            <v>8326</v>
          </cell>
          <cell r="CF85">
            <v>7165</v>
          </cell>
          <cell r="CG85">
            <v>5729</v>
          </cell>
          <cell r="CH85">
            <v>8019</v>
          </cell>
          <cell r="CI85">
            <v>8887</v>
          </cell>
          <cell r="CJ85">
            <v>1015</v>
          </cell>
          <cell r="CK85">
            <v>10615</v>
          </cell>
          <cell r="CL85">
            <v>13285</v>
          </cell>
          <cell r="CM85">
            <v>200</v>
          </cell>
          <cell r="CN85">
            <v>18398</v>
          </cell>
          <cell r="CO85">
            <v>12300</v>
          </cell>
          <cell r="CP85">
            <v>808</v>
          </cell>
          <cell r="CQ85">
            <v>16242</v>
          </cell>
          <cell r="CR85">
            <v>16143</v>
          </cell>
          <cell r="CS85">
            <v>200</v>
          </cell>
          <cell r="CT85">
            <v>22516</v>
          </cell>
          <cell r="CU85">
            <v>7780</v>
          </cell>
          <cell r="CV85">
            <v>198</v>
          </cell>
          <cell r="CW85">
            <v>10356</v>
          </cell>
          <cell r="CX85">
            <v>12192</v>
          </cell>
          <cell r="CY85">
            <v>729</v>
          </cell>
          <cell r="CZ85">
            <v>16127</v>
          </cell>
          <cell r="DA85">
            <v>5460</v>
          </cell>
          <cell r="DB85">
            <v>2262</v>
          </cell>
          <cell r="DC85">
            <v>6491</v>
          </cell>
          <cell r="DD85">
            <v>9773</v>
          </cell>
          <cell r="DE85">
            <v>200</v>
          </cell>
          <cell r="DF85">
            <v>5177</v>
          </cell>
          <cell r="DG85">
            <v>200</v>
          </cell>
          <cell r="DH85">
            <v>200</v>
          </cell>
          <cell r="DI85">
            <v>9590</v>
          </cell>
          <cell r="DJ85">
            <v>14739</v>
          </cell>
          <cell r="DK85">
            <v>200</v>
          </cell>
          <cell r="DL85">
            <v>19609</v>
          </cell>
        </row>
        <row r="86">
          <cell r="CB86" t="str">
            <v xml:space="preserve"> HORA 13</v>
          </cell>
          <cell r="CC86">
            <v>8880</v>
          </cell>
          <cell r="CD86">
            <v>5190</v>
          </cell>
          <cell r="CE86">
            <v>8874</v>
          </cell>
          <cell r="CF86">
            <v>7507</v>
          </cell>
          <cell r="CG86">
            <v>6966</v>
          </cell>
          <cell r="CH86">
            <v>8379</v>
          </cell>
          <cell r="CI86">
            <v>9476</v>
          </cell>
          <cell r="CJ86">
            <v>1992</v>
          </cell>
          <cell r="CK86">
            <v>10760</v>
          </cell>
          <cell r="CL86">
            <v>13727</v>
          </cell>
          <cell r="CM86">
            <v>200</v>
          </cell>
          <cell r="CN86">
            <v>18711</v>
          </cell>
          <cell r="CO86">
            <v>13108</v>
          </cell>
          <cell r="CP86">
            <v>1594</v>
          </cell>
          <cell r="CQ86">
            <v>16378</v>
          </cell>
          <cell r="CR86">
            <v>16413</v>
          </cell>
          <cell r="CS86">
            <v>200</v>
          </cell>
          <cell r="CT86">
            <v>22853</v>
          </cell>
          <cell r="CU86">
            <v>8419</v>
          </cell>
          <cell r="CV86">
            <v>1126</v>
          </cell>
          <cell r="CW86">
            <v>10183</v>
          </cell>
          <cell r="CX86">
            <v>12661</v>
          </cell>
          <cell r="CY86">
            <v>1312</v>
          </cell>
          <cell r="CZ86">
            <v>16028</v>
          </cell>
          <cell r="DA86">
            <v>2923</v>
          </cell>
          <cell r="DB86">
            <v>3539</v>
          </cell>
          <cell r="DC86">
            <v>6685</v>
          </cell>
          <cell r="DD86">
            <v>10114</v>
          </cell>
          <cell r="DE86">
            <v>200</v>
          </cell>
          <cell r="DF86">
            <v>5246</v>
          </cell>
          <cell r="DG86">
            <v>200</v>
          </cell>
          <cell r="DH86">
            <v>200</v>
          </cell>
          <cell r="DI86">
            <v>9557</v>
          </cell>
          <cell r="DJ86">
            <v>15030</v>
          </cell>
          <cell r="DK86">
            <v>200</v>
          </cell>
          <cell r="DL86">
            <v>20491</v>
          </cell>
        </row>
        <row r="87">
          <cell r="CB87" t="str">
            <v xml:space="preserve"> HORA 14</v>
          </cell>
          <cell r="CC87">
            <v>8355</v>
          </cell>
          <cell r="CD87">
            <v>5120</v>
          </cell>
          <cell r="CE87">
            <v>8812</v>
          </cell>
          <cell r="CF87">
            <v>7796</v>
          </cell>
          <cell r="CG87">
            <v>6818</v>
          </cell>
          <cell r="CH87">
            <v>8161</v>
          </cell>
          <cell r="CI87">
            <v>9434</v>
          </cell>
          <cell r="CJ87">
            <v>1807</v>
          </cell>
          <cell r="CK87">
            <v>10787</v>
          </cell>
          <cell r="CL87">
            <v>14485</v>
          </cell>
          <cell r="CM87">
            <v>200</v>
          </cell>
          <cell r="CN87">
            <v>19001</v>
          </cell>
          <cell r="CO87">
            <v>12864</v>
          </cell>
          <cell r="CP87">
            <v>1237</v>
          </cell>
          <cell r="CQ87">
            <v>16319</v>
          </cell>
          <cell r="CR87">
            <v>15583</v>
          </cell>
          <cell r="CS87">
            <v>200</v>
          </cell>
          <cell r="CT87">
            <v>23106</v>
          </cell>
          <cell r="CU87">
            <v>8255</v>
          </cell>
          <cell r="CV87">
            <v>1049</v>
          </cell>
          <cell r="CW87">
            <v>10798</v>
          </cell>
          <cell r="CX87">
            <v>12108</v>
          </cell>
          <cell r="CY87">
            <v>1140</v>
          </cell>
          <cell r="CZ87">
            <v>16075</v>
          </cell>
          <cell r="DA87">
            <v>4837</v>
          </cell>
          <cell r="DB87">
            <v>3147</v>
          </cell>
          <cell r="DC87">
            <v>6818</v>
          </cell>
          <cell r="DD87">
            <v>9530</v>
          </cell>
          <cell r="DE87">
            <v>200</v>
          </cell>
          <cell r="DF87">
            <v>5324</v>
          </cell>
          <cell r="DG87">
            <v>200</v>
          </cell>
          <cell r="DH87">
            <v>200</v>
          </cell>
          <cell r="DI87">
            <v>9509</v>
          </cell>
          <cell r="DJ87">
            <v>14702</v>
          </cell>
          <cell r="DK87">
            <v>200</v>
          </cell>
          <cell r="DL87">
            <v>19945</v>
          </cell>
        </row>
        <row r="88">
          <cell r="CB88" t="str">
            <v xml:space="preserve"> HORA 15</v>
          </cell>
          <cell r="CC88">
            <v>7658</v>
          </cell>
          <cell r="CD88">
            <v>4015</v>
          </cell>
          <cell r="CE88">
            <v>8835</v>
          </cell>
          <cell r="CF88">
            <v>7401</v>
          </cell>
          <cell r="CG88">
            <v>5637</v>
          </cell>
          <cell r="CH88">
            <v>8538</v>
          </cell>
          <cell r="CI88">
            <v>9318</v>
          </cell>
          <cell r="CJ88">
            <v>805</v>
          </cell>
          <cell r="CK88">
            <v>11710</v>
          </cell>
          <cell r="CL88">
            <v>14181</v>
          </cell>
          <cell r="CM88">
            <v>200</v>
          </cell>
          <cell r="CN88">
            <v>19516</v>
          </cell>
          <cell r="CO88">
            <v>12501</v>
          </cell>
          <cell r="CP88">
            <v>471</v>
          </cell>
          <cell r="CQ88">
            <v>16684</v>
          </cell>
          <cell r="CR88">
            <v>16097</v>
          </cell>
          <cell r="CS88">
            <v>200</v>
          </cell>
          <cell r="CT88">
            <v>23211</v>
          </cell>
          <cell r="CU88">
            <v>8053</v>
          </cell>
          <cell r="CV88">
            <v>398</v>
          </cell>
          <cell r="CW88">
            <v>11835</v>
          </cell>
          <cell r="CX88">
            <v>11284</v>
          </cell>
          <cell r="CY88">
            <v>175</v>
          </cell>
          <cell r="CZ88">
            <v>16370</v>
          </cell>
          <cell r="DA88">
            <v>3842</v>
          </cell>
          <cell r="DB88">
            <v>2896</v>
          </cell>
          <cell r="DC88">
            <v>7112</v>
          </cell>
          <cell r="DD88">
            <v>8886</v>
          </cell>
          <cell r="DE88">
            <v>200</v>
          </cell>
          <cell r="DF88">
            <v>4626</v>
          </cell>
          <cell r="DG88">
            <v>200</v>
          </cell>
          <cell r="DH88">
            <v>200</v>
          </cell>
          <cell r="DI88">
            <v>9119</v>
          </cell>
          <cell r="DJ88">
            <v>14224</v>
          </cell>
          <cell r="DK88">
            <v>200</v>
          </cell>
          <cell r="DL88">
            <v>19782</v>
          </cell>
        </row>
        <row r="89">
          <cell r="CB89" t="str">
            <v xml:space="preserve"> HORA 16</v>
          </cell>
          <cell r="CC89">
            <v>7805</v>
          </cell>
          <cell r="CD89">
            <v>3531</v>
          </cell>
          <cell r="CE89">
            <v>8704</v>
          </cell>
          <cell r="CF89">
            <v>5700</v>
          </cell>
          <cell r="CG89">
            <v>4969</v>
          </cell>
          <cell r="CH89">
            <v>8567</v>
          </cell>
          <cell r="CI89">
            <v>8948</v>
          </cell>
          <cell r="CJ89">
            <v>199</v>
          </cell>
          <cell r="CK89">
            <v>11741</v>
          </cell>
          <cell r="CL89">
            <v>13344</v>
          </cell>
          <cell r="CM89">
            <v>200</v>
          </cell>
          <cell r="CN89">
            <v>19075</v>
          </cell>
          <cell r="CO89">
            <v>11906</v>
          </cell>
          <cell r="CP89">
            <v>200</v>
          </cell>
          <cell r="CQ89">
            <v>16587</v>
          </cell>
          <cell r="CR89">
            <v>15513</v>
          </cell>
          <cell r="CS89">
            <v>200</v>
          </cell>
          <cell r="CT89">
            <v>22897</v>
          </cell>
          <cell r="CU89">
            <v>7916</v>
          </cell>
          <cell r="CV89">
            <v>256</v>
          </cell>
          <cell r="CW89">
            <v>11901</v>
          </cell>
          <cell r="CX89">
            <v>10678</v>
          </cell>
          <cell r="CY89">
            <v>200</v>
          </cell>
          <cell r="CZ89">
            <v>16264</v>
          </cell>
          <cell r="DA89">
            <v>3317</v>
          </cell>
          <cell r="DB89">
            <v>1781</v>
          </cell>
          <cell r="DC89">
            <v>6978</v>
          </cell>
          <cell r="DD89">
            <v>8342</v>
          </cell>
          <cell r="DE89">
            <v>200</v>
          </cell>
          <cell r="DF89">
            <v>5159</v>
          </cell>
          <cell r="DG89">
            <v>200</v>
          </cell>
          <cell r="DH89">
            <v>200</v>
          </cell>
          <cell r="DI89">
            <v>9065</v>
          </cell>
          <cell r="DJ89">
            <v>13940</v>
          </cell>
          <cell r="DK89">
            <v>200</v>
          </cell>
          <cell r="DL89">
            <v>20481</v>
          </cell>
        </row>
        <row r="90">
          <cell r="CB90" t="str">
            <v xml:space="preserve"> HORA 17</v>
          </cell>
          <cell r="CC90">
            <v>7289</v>
          </cell>
          <cell r="CD90">
            <v>3165</v>
          </cell>
          <cell r="CE90">
            <v>8202</v>
          </cell>
          <cell r="CF90">
            <v>6062</v>
          </cell>
          <cell r="CG90">
            <v>4159</v>
          </cell>
          <cell r="CH90">
            <v>8310</v>
          </cell>
          <cell r="CI90">
            <v>7867</v>
          </cell>
          <cell r="CJ90">
            <v>200</v>
          </cell>
          <cell r="CK90">
            <v>11521</v>
          </cell>
          <cell r="CL90">
            <v>11905</v>
          </cell>
          <cell r="CM90">
            <v>200</v>
          </cell>
          <cell r="CN90">
            <v>17937</v>
          </cell>
          <cell r="CO90">
            <v>10756</v>
          </cell>
          <cell r="CP90">
            <v>200</v>
          </cell>
          <cell r="CQ90">
            <v>16080</v>
          </cell>
          <cell r="CR90">
            <v>14102</v>
          </cell>
          <cell r="CS90">
            <v>200</v>
          </cell>
          <cell r="CT90">
            <v>22267</v>
          </cell>
          <cell r="CU90">
            <v>7493</v>
          </cell>
          <cell r="CV90">
            <v>200</v>
          </cell>
          <cell r="CW90">
            <v>10988</v>
          </cell>
          <cell r="CX90">
            <v>10007</v>
          </cell>
          <cell r="CY90">
            <v>200</v>
          </cell>
          <cell r="CZ90">
            <v>15854</v>
          </cell>
          <cell r="DA90">
            <v>2697</v>
          </cell>
          <cell r="DB90">
            <v>1172</v>
          </cell>
          <cell r="DC90">
            <v>6622</v>
          </cell>
          <cell r="DD90">
            <v>7768</v>
          </cell>
          <cell r="DE90">
            <v>200</v>
          </cell>
          <cell r="DF90">
            <v>5061</v>
          </cell>
          <cell r="DG90">
            <v>200</v>
          </cell>
          <cell r="DH90">
            <v>200</v>
          </cell>
          <cell r="DI90">
            <v>8586</v>
          </cell>
          <cell r="DJ90">
            <v>13629</v>
          </cell>
          <cell r="DK90">
            <v>200</v>
          </cell>
          <cell r="DL90">
            <v>19993</v>
          </cell>
        </row>
        <row r="91">
          <cell r="CB91" t="str">
            <v xml:space="preserve"> HORA 18</v>
          </cell>
          <cell r="CC91">
            <v>8336</v>
          </cell>
          <cell r="CD91">
            <v>4744</v>
          </cell>
          <cell r="CE91">
            <v>9463</v>
          </cell>
          <cell r="CF91">
            <v>7722</v>
          </cell>
          <cell r="CG91">
            <v>6083</v>
          </cell>
          <cell r="CH91">
            <v>9269</v>
          </cell>
          <cell r="CI91">
            <v>9568</v>
          </cell>
          <cell r="CJ91">
            <v>1338</v>
          </cell>
          <cell r="CK91">
            <v>12344</v>
          </cell>
          <cell r="CL91">
            <v>13004</v>
          </cell>
          <cell r="CM91">
            <v>463</v>
          </cell>
          <cell r="CN91">
            <v>19130</v>
          </cell>
          <cell r="CO91">
            <v>12529</v>
          </cell>
          <cell r="CP91">
            <v>739</v>
          </cell>
          <cell r="CQ91">
            <v>17544</v>
          </cell>
          <cell r="CR91">
            <v>16009</v>
          </cell>
          <cell r="CS91">
            <v>200</v>
          </cell>
          <cell r="CT91">
            <v>23453</v>
          </cell>
          <cell r="CU91">
            <v>9012</v>
          </cell>
          <cell r="CV91">
            <v>897</v>
          </cell>
          <cell r="CW91">
            <v>12125</v>
          </cell>
          <cell r="CX91">
            <v>11602</v>
          </cell>
          <cell r="CY91">
            <v>797</v>
          </cell>
          <cell r="CZ91">
            <v>16570</v>
          </cell>
          <cell r="DA91">
            <v>4713</v>
          </cell>
          <cell r="DB91">
            <v>2925</v>
          </cell>
          <cell r="DC91">
            <v>7510</v>
          </cell>
          <cell r="DD91">
            <v>9050</v>
          </cell>
          <cell r="DE91">
            <v>200</v>
          </cell>
          <cell r="DF91">
            <v>6781</v>
          </cell>
          <cell r="DG91">
            <v>200</v>
          </cell>
          <cell r="DH91">
            <v>200</v>
          </cell>
          <cell r="DI91">
            <v>9909</v>
          </cell>
          <cell r="DJ91">
            <v>15701</v>
          </cell>
          <cell r="DK91">
            <v>143</v>
          </cell>
          <cell r="DL91">
            <v>22045</v>
          </cell>
        </row>
        <row r="92">
          <cell r="CB92" t="str">
            <v xml:space="preserve"> HORA 19</v>
          </cell>
          <cell r="CC92">
            <v>10095</v>
          </cell>
          <cell r="CD92">
            <v>7450</v>
          </cell>
          <cell r="CE92">
            <v>10584</v>
          </cell>
          <cell r="CF92">
            <v>9411</v>
          </cell>
          <cell r="CG92">
            <v>8409</v>
          </cell>
          <cell r="CH92">
            <v>10533</v>
          </cell>
          <cell r="CI92">
            <v>11158</v>
          </cell>
          <cell r="CJ92">
            <v>3140</v>
          </cell>
          <cell r="CK92">
            <v>13520</v>
          </cell>
          <cell r="CL92">
            <v>13332</v>
          </cell>
          <cell r="CM92">
            <v>885</v>
          </cell>
          <cell r="CN92">
            <v>18834</v>
          </cell>
          <cell r="CO92">
            <v>13867</v>
          </cell>
          <cell r="CP92">
            <v>2134</v>
          </cell>
          <cell r="CQ92">
            <v>18717</v>
          </cell>
          <cell r="CR92">
            <v>18756</v>
          </cell>
          <cell r="CS92">
            <v>1428</v>
          </cell>
          <cell r="CT92">
            <v>24396</v>
          </cell>
          <cell r="CU92">
            <v>10422</v>
          </cell>
          <cell r="CV92">
            <v>1675</v>
          </cell>
          <cell r="CW92">
            <v>13082</v>
          </cell>
          <cell r="CX92">
            <v>13457</v>
          </cell>
          <cell r="CY92">
            <v>2211</v>
          </cell>
          <cell r="CZ92">
            <v>17419</v>
          </cell>
          <cell r="DA92">
            <v>7141</v>
          </cell>
          <cell r="DB92">
            <v>5661</v>
          </cell>
          <cell r="DC92">
            <v>9020</v>
          </cell>
          <cell r="DD92">
            <v>11467</v>
          </cell>
          <cell r="DE92">
            <v>200</v>
          </cell>
          <cell r="DF92">
            <v>8910</v>
          </cell>
          <cell r="DG92">
            <v>2698</v>
          </cell>
          <cell r="DH92">
            <v>200</v>
          </cell>
          <cell r="DI92">
            <v>12550</v>
          </cell>
          <cell r="DJ92">
            <v>18279</v>
          </cell>
          <cell r="DK92">
            <v>1646</v>
          </cell>
          <cell r="DL92">
            <v>24495</v>
          </cell>
        </row>
        <row r="93">
          <cell r="CB93" t="str">
            <v xml:space="preserve"> HORA 20</v>
          </cell>
          <cell r="CC93">
            <v>11330</v>
          </cell>
          <cell r="CD93">
            <v>9217</v>
          </cell>
          <cell r="CE93">
            <v>11774</v>
          </cell>
          <cell r="CF93">
            <v>10548</v>
          </cell>
          <cell r="CG93">
            <v>8712</v>
          </cell>
          <cell r="CH93">
            <v>11690</v>
          </cell>
          <cell r="CI93">
            <v>12563</v>
          </cell>
          <cell r="CJ93">
            <v>4940</v>
          </cell>
          <cell r="CK93">
            <v>14719</v>
          </cell>
          <cell r="CL93">
            <v>13958</v>
          </cell>
          <cell r="CM93">
            <v>2578</v>
          </cell>
          <cell r="CN93">
            <v>20222</v>
          </cell>
          <cell r="CO93">
            <v>14817</v>
          </cell>
          <cell r="CP93">
            <v>3393</v>
          </cell>
          <cell r="CQ93">
            <v>19796</v>
          </cell>
          <cell r="CR93">
            <v>20825</v>
          </cell>
          <cell r="CS93">
            <v>2537</v>
          </cell>
          <cell r="CT93">
            <v>25220</v>
          </cell>
          <cell r="CU93">
            <v>11652</v>
          </cell>
          <cell r="CV93">
            <v>4114</v>
          </cell>
          <cell r="CW93">
            <v>14544</v>
          </cell>
          <cell r="CX93">
            <v>13912</v>
          </cell>
          <cell r="CY93">
            <v>3577</v>
          </cell>
          <cell r="CZ93">
            <v>18921</v>
          </cell>
          <cell r="DA93">
            <v>7729</v>
          </cell>
          <cell r="DB93">
            <v>6651</v>
          </cell>
          <cell r="DC93">
            <v>10049</v>
          </cell>
          <cell r="DD93">
            <v>10901</v>
          </cell>
          <cell r="DE93">
            <v>200</v>
          </cell>
          <cell r="DF93">
            <v>9417</v>
          </cell>
          <cell r="DG93">
            <v>2633</v>
          </cell>
          <cell r="DH93">
            <v>200</v>
          </cell>
          <cell r="DI93">
            <v>12519</v>
          </cell>
          <cell r="DJ93">
            <v>18724</v>
          </cell>
          <cell r="DK93">
            <v>1973</v>
          </cell>
          <cell r="DL93">
            <v>24649</v>
          </cell>
        </row>
        <row r="94">
          <cell r="CB94" t="str">
            <v xml:space="preserve"> HORA 21</v>
          </cell>
          <cell r="CC94">
            <v>10554</v>
          </cell>
          <cell r="CD94">
            <v>8463</v>
          </cell>
          <cell r="CE94">
            <v>10915</v>
          </cell>
          <cell r="CF94">
            <v>9980</v>
          </cell>
          <cell r="CG94">
            <v>8713</v>
          </cell>
          <cell r="CH94">
            <v>10833</v>
          </cell>
          <cell r="CI94">
            <v>11736</v>
          </cell>
          <cell r="CJ94">
            <v>4494</v>
          </cell>
          <cell r="CK94">
            <v>13464</v>
          </cell>
          <cell r="CL94">
            <v>13803</v>
          </cell>
          <cell r="CM94">
            <v>2601</v>
          </cell>
          <cell r="CN94">
            <v>19661</v>
          </cell>
          <cell r="CO94">
            <v>13889</v>
          </cell>
          <cell r="CP94">
            <v>2916</v>
          </cell>
          <cell r="CQ94">
            <v>18478</v>
          </cell>
          <cell r="CR94">
            <v>19344</v>
          </cell>
          <cell r="CS94">
            <v>1724</v>
          </cell>
          <cell r="CT94">
            <v>24004</v>
          </cell>
          <cell r="CU94">
            <v>10800</v>
          </cell>
          <cell r="CV94">
            <v>3525</v>
          </cell>
          <cell r="CW94">
            <v>13646</v>
          </cell>
          <cell r="CX94">
            <v>12612</v>
          </cell>
          <cell r="CY94">
            <v>2709</v>
          </cell>
          <cell r="CZ94">
            <v>17693</v>
          </cell>
          <cell r="DA94">
            <v>6658</v>
          </cell>
          <cell r="DB94">
            <v>3968</v>
          </cell>
          <cell r="DC94">
            <v>8991</v>
          </cell>
          <cell r="DD94">
            <v>10512</v>
          </cell>
          <cell r="DE94">
            <v>200</v>
          </cell>
          <cell r="DF94">
            <v>8088</v>
          </cell>
          <cell r="DG94">
            <v>1594</v>
          </cell>
          <cell r="DH94">
            <v>200</v>
          </cell>
          <cell r="DI94">
            <v>11212</v>
          </cell>
          <cell r="DJ94">
            <v>17521</v>
          </cell>
          <cell r="DK94">
            <v>1560</v>
          </cell>
          <cell r="DL94">
            <v>23413</v>
          </cell>
        </row>
        <row r="95">
          <cell r="CB95" t="str">
            <v xml:space="preserve"> HORA 22</v>
          </cell>
          <cell r="CC95">
            <v>8761</v>
          </cell>
          <cell r="CD95">
            <v>6418</v>
          </cell>
          <cell r="CE95">
            <v>9067</v>
          </cell>
          <cell r="CF95">
            <v>8035</v>
          </cell>
          <cell r="CG95">
            <v>7088</v>
          </cell>
          <cell r="CH95">
            <v>8564</v>
          </cell>
          <cell r="CI95">
            <v>10102</v>
          </cell>
          <cell r="CJ95">
            <v>2951</v>
          </cell>
          <cell r="CK95">
            <v>11126</v>
          </cell>
          <cell r="CL95">
            <v>13634</v>
          </cell>
          <cell r="CM95">
            <v>1991</v>
          </cell>
          <cell r="CN95">
            <v>17439</v>
          </cell>
          <cell r="CO95">
            <v>12087</v>
          </cell>
          <cell r="CP95">
            <v>1778</v>
          </cell>
          <cell r="CQ95">
            <v>16041</v>
          </cell>
          <cell r="CR95">
            <v>17560</v>
          </cell>
          <cell r="CS95">
            <v>488</v>
          </cell>
          <cell r="CT95">
            <v>21278</v>
          </cell>
          <cell r="CU95">
            <v>8946</v>
          </cell>
          <cell r="CV95">
            <v>1945</v>
          </cell>
          <cell r="CW95">
            <v>10981</v>
          </cell>
          <cell r="CX95">
            <v>10444</v>
          </cell>
          <cell r="CY95">
            <v>1182</v>
          </cell>
          <cell r="CZ95">
            <v>14975</v>
          </cell>
          <cell r="DA95">
            <v>4756</v>
          </cell>
          <cell r="DB95">
            <v>1974</v>
          </cell>
          <cell r="DC95">
            <v>6557</v>
          </cell>
          <cell r="DD95">
            <v>8726</v>
          </cell>
          <cell r="DE95">
            <v>200</v>
          </cell>
          <cell r="DF95">
            <v>5766</v>
          </cell>
          <cell r="DG95">
            <v>200</v>
          </cell>
          <cell r="DH95">
            <v>200</v>
          </cell>
          <cell r="DI95">
            <v>8719</v>
          </cell>
          <cell r="DJ95">
            <v>15816</v>
          </cell>
          <cell r="DK95">
            <v>770</v>
          </cell>
          <cell r="DL95">
            <v>21159</v>
          </cell>
        </row>
        <row r="96">
          <cell r="CB96" t="str">
            <v xml:space="preserve"> HORA 23</v>
          </cell>
          <cell r="CC96">
            <v>6282</v>
          </cell>
          <cell r="CD96">
            <v>4196</v>
          </cell>
          <cell r="CE96">
            <v>6317</v>
          </cell>
          <cell r="CF96">
            <v>5418</v>
          </cell>
          <cell r="CG96">
            <v>4841</v>
          </cell>
          <cell r="CH96">
            <v>5522</v>
          </cell>
          <cell r="CI96">
            <v>7613</v>
          </cell>
          <cell r="CJ96">
            <v>632</v>
          </cell>
          <cell r="CK96">
            <v>7994</v>
          </cell>
          <cell r="CL96">
            <v>11479</v>
          </cell>
          <cell r="CM96">
            <v>927</v>
          </cell>
          <cell r="CN96">
            <v>14629</v>
          </cell>
          <cell r="CO96">
            <v>9429</v>
          </cell>
          <cell r="CP96">
            <v>4</v>
          </cell>
          <cell r="CQ96">
            <v>12980</v>
          </cell>
          <cell r="CR96">
            <v>15239</v>
          </cell>
          <cell r="CS96">
            <v>200</v>
          </cell>
          <cell r="CT96">
            <v>18084</v>
          </cell>
          <cell r="CU96">
            <v>6668</v>
          </cell>
          <cell r="CV96">
            <v>200</v>
          </cell>
          <cell r="CW96">
            <v>7768</v>
          </cell>
          <cell r="CX96">
            <v>8110</v>
          </cell>
          <cell r="CY96">
            <v>200</v>
          </cell>
          <cell r="CZ96">
            <v>11171</v>
          </cell>
          <cell r="DA96">
            <v>1885</v>
          </cell>
          <cell r="DB96">
            <v>200</v>
          </cell>
          <cell r="DC96">
            <v>3273</v>
          </cell>
          <cell r="DD96">
            <v>6193</v>
          </cell>
          <cell r="DE96">
            <v>200</v>
          </cell>
          <cell r="DF96">
            <v>2630</v>
          </cell>
          <cell r="DG96">
            <v>200</v>
          </cell>
          <cell r="DH96">
            <v>200</v>
          </cell>
          <cell r="DI96">
            <v>5609</v>
          </cell>
          <cell r="DJ96">
            <v>13874</v>
          </cell>
          <cell r="DK96">
            <v>200</v>
          </cell>
          <cell r="DL96">
            <v>18230</v>
          </cell>
        </row>
        <row r="97">
          <cell r="CB97" t="str">
            <v xml:space="preserve"> HORA 24</v>
          </cell>
          <cell r="CC97">
            <v>3943</v>
          </cell>
          <cell r="CD97">
            <v>2077</v>
          </cell>
          <cell r="CE97">
            <v>3695</v>
          </cell>
          <cell r="CF97">
            <v>3233</v>
          </cell>
          <cell r="CG97">
            <v>2335</v>
          </cell>
          <cell r="CH97">
            <v>2489</v>
          </cell>
          <cell r="CI97">
            <v>5349</v>
          </cell>
          <cell r="CJ97">
            <v>200</v>
          </cell>
          <cell r="CK97">
            <v>5081</v>
          </cell>
          <cell r="CL97">
            <v>9357</v>
          </cell>
          <cell r="CM97">
            <v>200</v>
          </cell>
          <cell r="CN97">
            <v>11750</v>
          </cell>
          <cell r="CO97">
            <v>7180</v>
          </cell>
          <cell r="CP97">
            <v>200</v>
          </cell>
          <cell r="CQ97">
            <v>9902</v>
          </cell>
          <cell r="CR97">
            <v>13003</v>
          </cell>
          <cell r="CS97">
            <v>200</v>
          </cell>
          <cell r="CT97">
            <v>15842</v>
          </cell>
          <cell r="CU97">
            <v>4120</v>
          </cell>
          <cell r="CV97">
            <v>200</v>
          </cell>
          <cell r="CW97">
            <v>5126</v>
          </cell>
          <cell r="CX97">
            <v>5987</v>
          </cell>
          <cell r="CY97">
            <v>200</v>
          </cell>
          <cell r="CZ97">
            <v>8183</v>
          </cell>
          <cell r="DA97">
            <v>200</v>
          </cell>
          <cell r="DB97">
            <v>200</v>
          </cell>
          <cell r="DC97">
            <v>374</v>
          </cell>
          <cell r="DD97">
            <v>2919</v>
          </cell>
          <cell r="DE97">
            <v>200</v>
          </cell>
          <cell r="DF97">
            <v>200</v>
          </cell>
          <cell r="DG97">
            <v>200</v>
          </cell>
          <cell r="DH97">
            <v>200</v>
          </cell>
          <cell r="DI97">
            <v>2742</v>
          </cell>
          <cell r="DJ97">
            <v>11688</v>
          </cell>
          <cell r="DK97">
            <v>200</v>
          </cell>
          <cell r="DL97">
            <v>15397</v>
          </cell>
        </row>
      </sheetData>
      <sheetData sheetId="12"/>
      <sheetData sheetId="13"/>
      <sheetData sheetId="14">
        <row r="70">
          <cell r="CJ70" t="str">
            <v>ene-27SÁBADO</v>
          </cell>
          <cell r="CK70" t="str">
            <v>ene-27FESTIVO</v>
          </cell>
          <cell r="CL70" t="str">
            <v>ene-27ORDINARIO</v>
          </cell>
          <cell r="CM70" t="str">
            <v>feb-27SÁBADO</v>
          </cell>
          <cell r="CN70" t="str">
            <v>feb-27FESTIVO</v>
          </cell>
          <cell r="CO70" t="str">
            <v>feb-27ORDINARIO</v>
          </cell>
          <cell r="CP70" t="str">
            <v>mar-27SÁBADO</v>
          </cell>
          <cell r="CQ70" t="str">
            <v>mar-27FESTIVO</v>
          </cell>
          <cell r="CR70" t="str">
            <v>mar-27ORDINARIO</v>
          </cell>
          <cell r="CS70" t="str">
            <v>abr-27SÁBADO</v>
          </cell>
          <cell r="CT70" t="str">
            <v>abr-27FESTIVO</v>
          </cell>
          <cell r="CU70" t="str">
            <v>abr-27ORDINARIO</v>
          </cell>
          <cell r="CV70" t="str">
            <v>may-27SÁBADO</v>
          </cell>
          <cell r="CW70" t="str">
            <v>may-27FESTIVO</v>
          </cell>
          <cell r="CX70" t="str">
            <v>may-27ORDINARIO</v>
          </cell>
          <cell r="CY70" t="str">
            <v>jun-27SÁBADO</v>
          </cell>
          <cell r="CZ70" t="str">
            <v>jun-27FESTIVO</v>
          </cell>
          <cell r="DA70" t="str">
            <v>jun-27ORDINARIO</v>
          </cell>
          <cell r="DB70" t="str">
            <v>jul-27SÁBADO</v>
          </cell>
          <cell r="DC70" t="str">
            <v>jul-27FESTIVO</v>
          </cell>
          <cell r="DD70" t="str">
            <v>jul-27ORDINARIO</v>
          </cell>
          <cell r="DE70" t="str">
            <v>ago-27SÁBADO</v>
          </cell>
          <cell r="DF70" t="str">
            <v>ago-27FESTIVO</v>
          </cell>
          <cell r="DG70" t="str">
            <v>ago-27ORDINARIO</v>
          </cell>
          <cell r="DH70" t="str">
            <v>sep-27SÁBADO</v>
          </cell>
          <cell r="DI70" t="str">
            <v>sep-27FESTIVO</v>
          </cell>
          <cell r="DJ70" t="str">
            <v>sep-27ORDINARIO</v>
          </cell>
          <cell r="DK70" t="str">
            <v>oct-27SÁBADO</v>
          </cell>
          <cell r="DL70" t="str">
            <v>oct-27FESTIVO</v>
          </cell>
          <cell r="DM70" t="str">
            <v>oct-27ORDINARIO</v>
          </cell>
          <cell r="DN70" t="str">
            <v>nov-27SÁBADO</v>
          </cell>
          <cell r="DO70" t="str">
            <v>nov-27FESTIVO</v>
          </cell>
          <cell r="DP70" t="str">
            <v>nov-27ORDINARIO</v>
          </cell>
          <cell r="DQ70" t="str">
            <v>dic-27SÁBADO</v>
          </cell>
          <cell r="DR70" t="str">
            <v>dic-27FESTIVO</v>
          </cell>
          <cell r="DS70" t="str">
            <v>dic-27ORDINARIO</v>
          </cell>
        </row>
        <row r="74">
          <cell r="CI74" t="str">
            <v xml:space="preserve"> HORA 01</v>
          </cell>
          <cell r="CJ74">
            <v>183</v>
          </cell>
          <cell r="CK74">
            <v>637</v>
          </cell>
          <cell r="CL74">
            <v>751</v>
          </cell>
          <cell r="CM74">
            <v>200</v>
          </cell>
          <cell r="CN74">
            <v>81</v>
          </cell>
          <cell r="CO74">
            <v>200</v>
          </cell>
          <cell r="CP74">
            <v>8173</v>
          </cell>
          <cell r="CQ74">
            <v>200</v>
          </cell>
          <cell r="CR74">
            <v>11729</v>
          </cell>
          <cell r="CS74">
            <v>585</v>
          </cell>
          <cell r="CT74">
            <v>200</v>
          </cell>
          <cell r="CU74">
            <v>944</v>
          </cell>
          <cell r="CV74">
            <v>15520</v>
          </cell>
          <cell r="CW74">
            <v>200</v>
          </cell>
          <cell r="CX74">
            <v>10115</v>
          </cell>
          <cell r="CY74">
            <v>200</v>
          </cell>
          <cell r="CZ74">
            <v>200</v>
          </cell>
          <cell r="DA74">
            <v>1626</v>
          </cell>
          <cell r="DB74">
            <v>4581</v>
          </cell>
          <cell r="DC74">
            <v>200</v>
          </cell>
          <cell r="DD74">
            <v>8349</v>
          </cell>
          <cell r="DE74">
            <v>10879</v>
          </cell>
          <cell r="DF74">
            <v>200</v>
          </cell>
          <cell r="DG74">
            <v>4419</v>
          </cell>
          <cell r="DH74">
            <v>200</v>
          </cell>
          <cell r="DI74">
            <v>200</v>
          </cell>
          <cell r="DJ74">
            <v>200</v>
          </cell>
          <cell r="DK74">
            <v>200</v>
          </cell>
          <cell r="DL74">
            <v>200</v>
          </cell>
          <cell r="DM74">
            <v>200</v>
          </cell>
          <cell r="DN74">
            <v>200</v>
          </cell>
          <cell r="DO74">
            <v>200</v>
          </cell>
          <cell r="DP74">
            <v>200</v>
          </cell>
          <cell r="DQ74">
            <v>17262</v>
          </cell>
          <cell r="DR74">
            <v>200</v>
          </cell>
          <cell r="DS74">
            <v>11031</v>
          </cell>
        </row>
        <row r="75">
          <cell r="CI75" t="str">
            <v xml:space="preserve"> HORA 02</v>
          </cell>
          <cell r="CJ75">
            <v>200</v>
          </cell>
          <cell r="CK75">
            <v>200</v>
          </cell>
          <cell r="CL75">
            <v>200</v>
          </cell>
          <cell r="CM75">
            <v>200</v>
          </cell>
          <cell r="CN75">
            <v>200</v>
          </cell>
          <cell r="CO75">
            <v>200</v>
          </cell>
          <cell r="CP75">
            <v>6900</v>
          </cell>
          <cell r="CQ75">
            <v>200</v>
          </cell>
          <cell r="CR75">
            <v>10525</v>
          </cell>
          <cell r="CS75">
            <v>200</v>
          </cell>
          <cell r="CT75">
            <v>200</v>
          </cell>
          <cell r="CU75">
            <v>200</v>
          </cell>
          <cell r="CV75">
            <v>13979</v>
          </cell>
          <cell r="CW75">
            <v>200</v>
          </cell>
          <cell r="CX75">
            <v>8673</v>
          </cell>
          <cell r="CY75">
            <v>200</v>
          </cell>
          <cell r="CZ75">
            <v>200</v>
          </cell>
          <cell r="DA75">
            <v>299</v>
          </cell>
          <cell r="DB75">
            <v>3500</v>
          </cell>
          <cell r="DC75">
            <v>200</v>
          </cell>
          <cell r="DD75">
            <v>7053</v>
          </cell>
          <cell r="DE75">
            <v>10528</v>
          </cell>
          <cell r="DF75">
            <v>200</v>
          </cell>
          <cell r="DG75">
            <v>3493</v>
          </cell>
          <cell r="DH75">
            <v>200</v>
          </cell>
          <cell r="DI75">
            <v>200</v>
          </cell>
          <cell r="DJ75">
            <v>200</v>
          </cell>
          <cell r="DK75">
            <v>200</v>
          </cell>
          <cell r="DL75">
            <v>200</v>
          </cell>
          <cell r="DM75">
            <v>200</v>
          </cell>
          <cell r="DN75">
            <v>200</v>
          </cell>
          <cell r="DO75">
            <v>200</v>
          </cell>
          <cell r="DP75">
            <v>200</v>
          </cell>
          <cell r="DQ75">
            <v>15508</v>
          </cell>
          <cell r="DR75">
            <v>200</v>
          </cell>
          <cell r="DS75">
            <v>9816</v>
          </cell>
        </row>
        <row r="76">
          <cell r="CI76" t="str">
            <v xml:space="preserve"> HORA 03</v>
          </cell>
          <cell r="CJ76">
            <v>200</v>
          </cell>
          <cell r="CK76">
            <v>200</v>
          </cell>
          <cell r="CL76">
            <v>200</v>
          </cell>
          <cell r="CM76">
            <v>200</v>
          </cell>
          <cell r="CN76">
            <v>200</v>
          </cell>
          <cell r="CO76">
            <v>200</v>
          </cell>
          <cell r="CP76">
            <v>6126</v>
          </cell>
          <cell r="CQ76">
            <v>200</v>
          </cell>
          <cell r="CR76">
            <v>9717</v>
          </cell>
          <cell r="CS76">
            <v>200</v>
          </cell>
          <cell r="CT76">
            <v>200</v>
          </cell>
          <cell r="CU76">
            <v>200</v>
          </cell>
          <cell r="CV76">
            <v>13009</v>
          </cell>
          <cell r="CW76">
            <v>200</v>
          </cell>
          <cell r="CX76">
            <v>7866</v>
          </cell>
          <cell r="CY76">
            <v>200</v>
          </cell>
          <cell r="CZ76">
            <v>200</v>
          </cell>
          <cell r="DA76">
            <v>200</v>
          </cell>
          <cell r="DB76">
            <v>2855</v>
          </cell>
          <cell r="DC76">
            <v>200</v>
          </cell>
          <cell r="DD76">
            <v>6148</v>
          </cell>
          <cell r="DE76">
            <v>9725</v>
          </cell>
          <cell r="DF76">
            <v>200</v>
          </cell>
          <cell r="DG76">
            <v>2791</v>
          </cell>
          <cell r="DH76">
            <v>200</v>
          </cell>
          <cell r="DI76">
            <v>200</v>
          </cell>
          <cell r="DJ76">
            <v>200</v>
          </cell>
          <cell r="DK76">
            <v>200</v>
          </cell>
          <cell r="DL76">
            <v>200</v>
          </cell>
          <cell r="DM76">
            <v>200</v>
          </cell>
          <cell r="DN76">
            <v>200</v>
          </cell>
          <cell r="DO76">
            <v>200</v>
          </cell>
          <cell r="DP76">
            <v>200</v>
          </cell>
          <cell r="DQ76">
            <v>14478</v>
          </cell>
          <cell r="DR76">
            <v>200</v>
          </cell>
          <cell r="DS76">
            <v>8886</v>
          </cell>
        </row>
        <row r="77">
          <cell r="CI77" t="str">
            <v xml:space="preserve"> HORA 04</v>
          </cell>
          <cell r="CJ77">
            <v>200</v>
          </cell>
          <cell r="CK77">
            <v>200</v>
          </cell>
          <cell r="CL77">
            <v>200</v>
          </cell>
          <cell r="CM77">
            <v>200</v>
          </cell>
          <cell r="CN77">
            <v>200</v>
          </cell>
          <cell r="CO77">
            <v>200</v>
          </cell>
          <cell r="CP77">
            <v>5532</v>
          </cell>
          <cell r="CQ77">
            <v>200</v>
          </cell>
          <cell r="CR77">
            <v>9199</v>
          </cell>
          <cell r="CS77">
            <v>200</v>
          </cell>
          <cell r="CT77">
            <v>200</v>
          </cell>
          <cell r="CU77">
            <v>200</v>
          </cell>
          <cell r="CV77">
            <v>12327</v>
          </cell>
          <cell r="CW77">
            <v>200</v>
          </cell>
          <cell r="CX77">
            <v>7434</v>
          </cell>
          <cell r="CY77">
            <v>200</v>
          </cell>
          <cell r="CZ77">
            <v>200</v>
          </cell>
          <cell r="DA77">
            <v>200</v>
          </cell>
          <cell r="DB77">
            <v>2238</v>
          </cell>
          <cell r="DC77">
            <v>200</v>
          </cell>
          <cell r="DD77">
            <v>5674</v>
          </cell>
          <cell r="DE77">
            <v>8910</v>
          </cell>
          <cell r="DF77">
            <v>200</v>
          </cell>
          <cell r="DG77">
            <v>2283</v>
          </cell>
          <cell r="DH77">
            <v>200</v>
          </cell>
          <cell r="DI77">
            <v>200</v>
          </cell>
          <cell r="DJ77">
            <v>200</v>
          </cell>
          <cell r="DK77">
            <v>200</v>
          </cell>
          <cell r="DL77">
            <v>200</v>
          </cell>
          <cell r="DM77">
            <v>200</v>
          </cell>
          <cell r="DN77">
            <v>200</v>
          </cell>
          <cell r="DO77">
            <v>200</v>
          </cell>
          <cell r="DP77">
            <v>200</v>
          </cell>
          <cell r="DQ77">
            <v>13563</v>
          </cell>
          <cell r="DR77">
            <v>200</v>
          </cell>
          <cell r="DS77">
            <v>8262</v>
          </cell>
        </row>
        <row r="78">
          <cell r="CI78" t="str">
            <v xml:space="preserve"> HORA 05</v>
          </cell>
          <cell r="CJ78">
            <v>200</v>
          </cell>
          <cell r="CK78">
            <v>200</v>
          </cell>
          <cell r="CL78">
            <v>200</v>
          </cell>
          <cell r="CM78">
            <v>200</v>
          </cell>
          <cell r="CN78">
            <v>200</v>
          </cell>
          <cell r="CO78">
            <v>200</v>
          </cell>
          <cell r="CP78">
            <v>5450</v>
          </cell>
          <cell r="CQ78">
            <v>200</v>
          </cell>
          <cell r="CR78">
            <v>9182</v>
          </cell>
          <cell r="CS78">
            <v>200</v>
          </cell>
          <cell r="CT78">
            <v>200</v>
          </cell>
          <cell r="CU78">
            <v>200</v>
          </cell>
          <cell r="CV78">
            <v>12135</v>
          </cell>
          <cell r="CW78">
            <v>200</v>
          </cell>
          <cell r="CX78">
            <v>7453</v>
          </cell>
          <cell r="CY78">
            <v>200</v>
          </cell>
          <cell r="CZ78">
            <v>200</v>
          </cell>
          <cell r="DA78">
            <v>200</v>
          </cell>
          <cell r="DB78">
            <v>2069</v>
          </cell>
          <cell r="DC78">
            <v>200</v>
          </cell>
          <cell r="DD78">
            <v>5660</v>
          </cell>
          <cell r="DE78">
            <v>8745</v>
          </cell>
          <cell r="DF78">
            <v>200</v>
          </cell>
          <cell r="DG78">
            <v>2282</v>
          </cell>
          <cell r="DH78">
            <v>200</v>
          </cell>
          <cell r="DI78">
            <v>200</v>
          </cell>
          <cell r="DJ78">
            <v>200</v>
          </cell>
          <cell r="DK78">
            <v>200</v>
          </cell>
          <cell r="DL78">
            <v>200</v>
          </cell>
          <cell r="DM78">
            <v>200</v>
          </cell>
          <cell r="DN78">
            <v>200</v>
          </cell>
          <cell r="DO78">
            <v>200</v>
          </cell>
          <cell r="DP78">
            <v>200</v>
          </cell>
          <cell r="DQ78">
            <v>13180</v>
          </cell>
          <cell r="DR78">
            <v>200</v>
          </cell>
          <cell r="DS78">
            <v>8116</v>
          </cell>
        </row>
        <row r="79">
          <cell r="CI79" t="str">
            <v xml:space="preserve"> HORA 06</v>
          </cell>
          <cell r="CJ79">
            <v>200</v>
          </cell>
          <cell r="CK79">
            <v>200</v>
          </cell>
          <cell r="CL79">
            <v>200</v>
          </cell>
          <cell r="CM79">
            <v>200</v>
          </cell>
          <cell r="CN79">
            <v>200</v>
          </cell>
          <cell r="CO79">
            <v>200</v>
          </cell>
          <cell r="CP79">
            <v>5821</v>
          </cell>
          <cell r="CQ79">
            <v>200</v>
          </cell>
          <cell r="CR79">
            <v>10783</v>
          </cell>
          <cell r="CS79">
            <v>200</v>
          </cell>
          <cell r="CT79">
            <v>200</v>
          </cell>
          <cell r="CU79">
            <v>200</v>
          </cell>
          <cell r="CV79">
            <v>12434</v>
          </cell>
          <cell r="CW79">
            <v>200</v>
          </cell>
          <cell r="CX79">
            <v>8673</v>
          </cell>
          <cell r="CY79">
            <v>200</v>
          </cell>
          <cell r="CZ79">
            <v>200</v>
          </cell>
          <cell r="DA79">
            <v>213</v>
          </cell>
          <cell r="DB79">
            <v>2372</v>
          </cell>
          <cell r="DC79">
            <v>200</v>
          </cell>
          <cell r="DD79">
            <v>6947</v>
          </cell>
          <cell r="DE79">
            <v>9145</v>
          </cell>
          <cell r="DF79">
            <v>200</v>
          </cell>
          <cell r="DG79">
            <v>3662</v>
          </cell>
          <cell r="DH79">
            <v>200</v>
          </cell>
          <cell r="DI79">
            <v>200</v>
          </cell>
          <cell r="DJ79">
            <v>200</v>
          </cell>
          <cell r="DK79">
            <v>200</v>
          </cell>
          <cell r="DL79">
            <v>200</v>
          </cell>
          <cell r="DM79">
            <v>200</v>
          </cell>
          <cell r="DN79">
            <v>200</v>
          </cell>
          <cell r="DO79">
            <v>200</v>
          </cell>
          <cell r="DP79">
            <v>200</v>
          </cell>
          <cell r="DQ79">
            <v>13461</v>
          </cell>
          <cell r="DR79">
            <v>200</v>
          </cell>
          <cell r="DS79">
            <v>8771</v>
          </cell>
        </row>
        <row r="80">
          <cell r="CI80" t="str">
            <v xml:space="preserve"> HORA 07</v>
          </cell>
          <cell r="CJ80">
            <v>200</v>
          </cell>
          <cell r="CK80">
            <v>200</v>
          </cell>
          <cell r="CL80">
            <v>11</v>
          </cell>
          <cell r="CM80">
            <v>200</v>
          </cell>
          <cell r="CN80">
            <v>200</v>
          </cell>
          <cell r="CO80">
            <v>460</v>
          </cell>
          <cell r="CP80">
            <v>6669</v>
          </cell>
          <cell r="CQ80">
            <v>200</v>
          </cell>
          <cell r="CR80">
            <v>12527</v>
          </cell>
          <cell r="CS80">
            <v>200</v>
          </cell>
          <cell r="CT80">
            <v>200</v>
          </cell>
          <cell r="CU80">
            <v>944</v>
          </cell>
          <cell r="CV80">
            <v>13287</v>
          </cell>
          <cell r="CW80">
            <v>200</v>
          </cell>
          <cell r="CX80">
            <v>10209</v>
          </cell>
          <cell r="CY80">
            <v>200</v>
          </cell>
          <cell r="CZ80">
            <v>200</v>
          </cell>
          <cell r="DA80">
            <v>1795</v>
          </cell>
          <cell r="DB80">
            <v>3025</v>
          </cell>
          <cell r="DC80">
            <v>200</v>
          </cell>
          <cell r="DD80">
            <v>8570</v>
          </cell>
          <cell r="DE80">
            <v>10350</v>
          </cell>
          <cell r="DF80">
            <v>200</v>
          </cell>
          <cell r="DG80">
            <v>5273</v>
          </cell>
          <cell r="DH80">
            <v>200</v>
          </cell>
          <cell r="DI80">
            <v>200</v>
          </cell>
          <cell r="DJ80">
            <v>200</v>
          </cell>
          <cell r="DK80">
            <v>200</v>
          </cell>
          <cell r="DL80">
            <v>200</v>
          </cell>
          <cell r="DM80">
            <v>200</v>
          </cell>
          <cell r="DN80">
            <v>200</v>
          </cell>
          <cell r="DO80">
            <v>200</v>
          </cell>
          <cell r="DP80">
            <v>200</v>
          </cell>
          <cell r="DQ80">
            <v>14710</v>
          </cell>
          <cell r="DR80">
            <v>200</v>
          </cell>
          <cell r="DS80">
            <v>9965</v>
          </cell>
        </row>
        <row r="81">
          <cell r="CI81" t="str">
            <v xml:space="preserve"> HORA 08</v>
          </cell>
          <cell r="CJ81">
            <v>61</v>
          </cell>
          <cell r="CK81">
            <v>200</v>
          </cell>
          <cell r="CL81">
            <v>1573</v>
          </cell>
          <cell r="CM81">
            <v>200</v>
          </cell>
          <cell r="CN81">
            <v>200</v>
          </cell>
          <cell r="CO81">
            <v>1471</v>
          </cell>
          <cell r="CP81">
            <v>8495</v>
          </cell>
          <cell r="CQ81">
            <v>200</v>
          </cell>
          <cell r="CR81">
            <v>14125</v>
          </cell>
          <cell r="CS81">
            <v>767</v>
          </cell>
          <cell r="CT81">
            <v>200</v>
          </cell>
          <cell r="CU81">
            <v>2577</v>
          </cell>
          <cell r="CV81">
            <v>16018</v>
          </cell>
          <cell r="CW81">
            <v>200</v>
          </cell>
          <cell r="CX81">
            <v>12084</v>
          </cell>
          <cell r="CY81">
            <v>1443</v>
          </cell>
          <cell r="CZ81">
            <v>200</v>
          </cell>
          <cell r="DA81">
            <v>4043</v>
          </cell>
          <cell r="DB81">
            <v>5355</v>
          </cell>
          <cell r="DC81">
            <v>200</v>
          </cell>
          <cell r="DD81">
            <v>10352</v>
          </cell>
          <cell r="DE81">
            <v>13545</v>
          </cell>
          <cell r="DF81">
            <v>200</v>
          </cell>
          <cell r="DG81">
            <v>6780</v>
          </cell>
          <cell r="DH81">
            <v>200</v>
          </cell>
          <cell r="DI81">
            <v>200</v>
          </cell>
          <cell r="DJ81">
            <v>200</v>
          </cell>
          <cell r="DK81">
            <v>200</v>
          </cell>
          <cell r="DL81">
            <v>200</v>
          </cell>
          <cell r="DM81">
            <v>200</v>
          </cell>
          <cell r="DN81">
            <v>200</v>
          </cell>
          <cell r="DO81">
            <v>200</v>
          </cell>
          <cell r="DP81">
            <v>470</v>
          </cell>
          <cell r="DQ81">
            <v>17132</v>
          </cell>
          <cell r="DR81">
            <v>200</v>
          </cell>
          <cell r="DS81">
            <v>12295</v>
          </cell>
        </row>
        <row r="82">
          <cell r="CI82" t="str">
            <v xml:space="preserve"> HORA 09</v>
          </cell>
          <cell r="CJ82">
            <v>3405</v>
          </cell>
          <cell r="CK82">
            <v>922</v>
          </cell>
          <cell r="CL82">
            <v>4753</v>
          </cell>
          <cell r="CM82">
            <v>3207</v>
          </cell>
          <cell r="CN82">
            <v>1726</v>
          </cell>
          <cell r="CO82">
            <v>3821</v>
          </cell>
          <cell r="CP82">
            <v>11910</v>
          </cell>
          <cell r="CQ82">
            <v>200</v>
          </cell>
          <cell r="CR82">
            <v>16936</v>
          </cell>
          <cell r="CS82">
            <v>3961</v>
          </cell>
          <cell r="CT82">
            <v>872</v>
          </cell>
          <cell r="CU82">
            <v>5252</v>
          </cell>
          <cell r="CV82">
            <v>20178</v>
          </cell>
          <cell r="CW82">
            <v>200</v>
          </cell>
          <cell r="CX82">
            <v>15411</v>
          </cell>
          <cell r="CY82">
            <v>5129</v>
          </cell>
          <cell r="CZ82">
            <v>200</v>
          </cell>
          <cell r="DA82">
            <v>7166</v>
          </cell>
          <cell r="DB82">
            <v>8629</v>
          </cell>
          <cell r="DC82">
            <v>200</v>
          </cell>
          <cell r="DD82">
            <v>13170</v>
          </cell>
          <cell r="DE82">
            <v>17878</v>
          </cell>
          <cell r="DF82">
            <v>200</v>
          </cell>
          <cell r="DG82">
            <v>9724</v>
          </cell>
          <cell r="DH82">
            <v>1428</v>
          </cell>
          <cell r="DI82">
            <v>200</v>
          </cell>
          <cell r="DJ82">
            <v>1468</v>
          </cell>
          <cell r="DK82">
            <v>200</v>
          </cell>
          <cell r="DL82">
            <v>200</v>
          </cell>
          <cell r="DM82">
            <v>2253</v>
          </cell>
          <cell r="DN82">
            <v>200</v>
          </cell>
          <cell r="DO82">
            <v>200</v>
          </cell>
          <cell r="DP82">
            <v>3312</v>
          </cell>
          <cell r="DQ82">
            <v>21323</v>
          </cell>
          <cell r="DR82">
            <v>200</v>
          </cell>
          <cell r="DS82">
            <v>14717</v>
          </cell>
        </row>
        <row r="83">
          <cell r="CI83" t="str">
            <v xml:space="preserve"> HORA 10</v>
          </cell>
          <cell r="CJ83">
            <v>5445</v>
          </cell>
          <cell r="CK83">
            <v>2554</v>
          </cell>
          <cell r="CL83">
            <v>6042</v>
          </cell>
          <cell r="CM83">
            <v>4651</v>
          </cell>
          <cell r="CN83">
            <v>3251</v>
          </cell>
          <cell r="CO83">
            <v>4825</v>
          </cell>
          <cell r="CP83">
            <v>13738</v>
          </cell>
          <cell r="CQ83">
            <v>200</v>
          </cell>
          <cell r="CR83">
            <v>18486</v>
          </cell>
          <cell r="CS83">
            <v>5904</v>
          </cell>
          <cell r="CT83">
            <v>2185</v>
          </cell>
          <cell r="CU83">
            <v>6848</v>
          </cell>
          <cell r="CV83">
            <v>22379</v>
          </cell>
          <cell r="CW83">
            <v>200</v>
          </cell>
          <cell r="CX83">
            <v>17202</v>
          </cell>
          <cell r="CY83">
            <v>7032</v>
          </cell>
          <cell r="CZ83">
            <v>200</v>
          </cell>
          <cell r="DA83">
            <v>8864</v>
          </cell>
          <cell r="DB83">
            <v>9872</v>
          </cell>
          <cell r="DC83">
            <v>200</v>
          </cell>
          <cell r="DD83">
            <v>14254</v>
          </cell>
          <cell r="DE83">
            <v>20550</v>
          </cell>
          <cell r="DF83">
            <v>200</v>
          </cell>
          <cell r="DG83">
            <v>11304</v>
          </cell>
          <cell r="DH83">
            <v>3257</v>
          </cell>
          <cell r="DI83">
            <v>200</v>
          </cell>
          <cell r="DJ83">
            <v>2711</v>
          </cell>
          <cell r="DK83">
            <v>2480</v>
          </cell>
          <cell r="DL83">
            <v>200</v>
          </cell>
          <cell r="DM83">
            <v>3338</v>
          </cell>
          <cell r="DN83">
            <v>1280</v>
          </cell>
          <cell r="DO83">
            <v>200</v>
          </cell>
          <cell r="DP83">
            <v>5271</v>
          </cell>
          <cell r="DQ83">
            <v>23673</v>
          </cell>
          <cell r="DR83">
            <v>200</v>
          </cell>
          <cell r="DS83">
            <v>15828</v>
          </cell>
        </row>
        <row r="84">
          <cell r="CI84" t="str">
            <v xml:space="preserve"> HORA 11</v>
          </cell>
          <cell r="CJ84">
            <v>6643</v>
          </cell>
          <cell r="CK84">
            <v>3384</v>
          </cell>
          <cell r="CL84">
            <v>7203</v>
          </cell>
          <cell r="CM84">
            <v>5693</v>
          </cell>
          <cell r="CN84">
            <v>4199</v>
          </cell>
          <cell r="CO84">
            <v>6404</v>
          </cell>
          <cell r="CP84">
            <v>15150</v>
          </cell>
          <cell r="CQ84">
            <v>200</v>
          </cell>
          <cell r="CR84">
            <v>20053</v>
          </cell>
          <cell r="CS84">
            <v>6808</v>
          </cell>
          <cell r="CT84">
            <v>3202</v>
          </cell>
          <cell r="CU84">
            <v>8190</v>
          </cell>
          <cell r="CV84">
            <v>23936</v>
          </cell>
          <cell r="CW84">
            <v>1</v>
          </cell>
          <cell r="CX84">
            <v>18785</v>
          </cell>
          <cell r="CY84">
            <v>7901</v>
          </cell>
          <cell r="CZ84">
            <v>200</v>
          </cell>
          <cell r="DA84">
            <v>10351</v>
          </cell>
          <cell r="DB84">
            <v>10616</v>
          </cell>
          <cell r="DC84">
            <v>200</v>
          </cell>
          <cell r="DD84">
            <v>15610</v>
          </cell>
          <cell r="DE84">
            <v>22815</v>
          </cell>
          <cell r="DF84">
            <v>411</v>
          </cell>
          <cell r="DG84">
            <v>13029</v>
          </cell>
          <cell r="DH84">
            <v>3850</v>
          </cell>
          <cell r="DI84">
            <v>834</v>
          </cell>
          <cell r="DJ84">
            <v>4216</v>
          </cell>
          <cell r="DK84">
            <v>3748</v>
          </cell>
          <cell r="DL84">
            <v>200</v>
          </cell>
          <cell r="DM84">
            <v>4650</v>
          </cell>
          <cell r="DN84">
            <v>2685</v>
          </cell>
          <cell r="DO84">
            <v>200</v>
          </cell>
          <cell r="DP84">
            <v>6624</v>
          </cell>
          <cell r="DQ84">
            <v>25230</v>
          </cell>
          <cell r="DR84">
            <v>200</v>
          </cell>
          <cell r="DS84">
            <v>16902</v>
          </cell>
        </row>
        <row r="85">
          <cell r="CI85" t="str">
            <v xml:space="preserve"> HORA 12</v>
          </cell>
          <cell r="CJ85">
            <v>8371</v>
          </cell>
          <cell r="CK85">
            <v>4754</v>
          </cell>
          <cell r="CL85">
            <v>8969</v>
          </cell>
          <cell r="CM85">
            <v>7086</v>
          </cell>
          <cell r="CN85">
            <v>5611</v>
          </cell>
          <cell r="CO85">
            <v>7964</v>
          </cell>
          <cell r="CP85">
            <v>17022</v>
          </cell>
          <cell r="CQ85">
            <v>200</v>
          </cell>
          <cell r="CR85">
            <v>21740</v>
          </cell>
          <cell r="CS85">
            <v>8250</v>
          </cell>
          <cell r="CT85">
            <v>4168</v>
          </cell>
          <cell r="CU85">
            <v>9773</v>
          </cell>
          <cell r="CV85">
            <v>25559</v>
          </cell>
          <cell r="CW85">
            <v>592</v>
          </cell>
          <cell r="CX85">
            <v>20566</v>
          </cell>
          <cell r="CY85">
            <v>9601</v>
          </cell>
          <cell r="CZ85">
            <v>892</v>
          </cell>
          <cell r="DA85">
            <v>11867</v>
          </cell>
          <cell r="DB85">
            <v>12701</v>
          </cell>
          <cell r="DC85">
            <v>200</v>
          </cell>
          <cell r="DD85">
            <v>17474</v>
          </cell>
          <cell r="DE85">
            <v>25542</v>
          </cell>
          <cell r="DF85">
            <v>1371</v>
          </cell>
          <cell r="DG85">
            <v>15046</v>
          </cell>
          <cell r="DH85">
            <v>5427</v>
          </cell>
          <cell r="DI85">
            <v>2141</v>
          </cell>
          <cell r="DJ85">
            <v>6487</v>
          </cell>
          <cell r="DK85">
            <v>5638</v>
          </cell>
          <cell r="DL85">
            <v>200</v>
          </cell>
          <cell r="DM85">
            <v>6228</v>
          </cell>
          <cell r="DN85">
            <v>4172</v>
          </cell>
          <cell r="DO85">
            <v>200</v>
          </cell>
          <cell r="DP85">
            <v>8367</v>
          </cell>
          <cell r="DQ85">
            <v>26747</v>
          </cell>
          <cell r="DR85">
            <v>200</v>
          </cell>
          <cell r="DS85">
            <v>18374</v>
          </cell>
        </row>
        <row r="86">
          <cell r="CI86" t="str">
            <v xml:space="preserve"> HORA 13</v>
          </cell>
          <cell r="CJ86">
            <v>8885</v>
          </cell>
          <cell r="CK86">
            <v>5616</v>
          </cell>
          <cell r="CL86">
            <v>9533</v>
          </cell>
          <cell r="CM86">
            <v>7438</v>
          </cell>
          <cell r="CN86">
            <v>6882</v>
          </cell>
          <cell r="CO86">
            <v>8334</v>
          </cell>
          <cell r="CP86">
            <v>17627</v>
          </cell>
          <cell r="CQ86">
            <v>66</v>
          </cell>
          <cell r="CR86">
            <v>21903</v>
          </cell>
          <cell r="CS86">
            <v>8703</v>
          </cell>
          <cell r="CT86">
            <v>5013</v>
          </cell>
          <cell r="CU86">
            <v>10065</v>
          </cell>
          <cell r="CV86">
            <v>26598</v>
          </cell>
          <cell r="CW86">
            <v>1298</v>
          </cell>
          <cell r="CX86">
            <v>20705</v>
          </cell>
          <cell r="CY86">
            <v>9879</v>
          </cell>
          <cell r="CZ86">
            <v>1441</v>
          </cell>
          <cell r="DA86">
            <v>12181</v>
          </cell>
          <cell r="DB86">
            <v>13357</v>
          </cell>
          <cell r="DC86">
            <v>613</v>
          </cell>
          <cell r="DD86">
            <v>17288</v>
          </cell>
          <cell r="DE86">
            <v>26185</v>
          </cell>
          <cell r="DF86">
            <v>1971</v>
          </cell>
          <cell r="DG86">
            <v>14950</v>
          </cell>
          <cell r="DH86">
            <v>2820</v>
          </cell>
          <cell r="DI86">
            <v>3453</v>
          </cell>
          <cell r="DJ86">
            <v>6686</v>
          </cell>
          <cell r="DK86">
            <v>5988</v>
          </cell>
          <cell r="DL86">
            <v>200</v>
          </cell>
          <cell r="DM86">
            <v>6300</v>
          </cell>
          <cell r="DN86">
            <v>4757</v>
          </cell>
          <cell r="DO86">
            <v>200</v>
          </cell>
          <cell r="DP86">
            <v>8334</v>
          </cell>
          <cell r="DQ86">
            <v>27145</v>
          </cell>
          <cell r="DR86">
            <v>200</v>
          </cell>
          <cell r="DS86">
            <v>19240</v>
          </cell>
        </row>
        <row r="87">
          <cell r="CI87" t="str">
            <v xml:space="preserve"> HORA 14</v>
          </cell>
          <cell r="CJ87">
            <v>8346</v>
          </cell>
          <cell r="CK87">
            <v>5544</v>
          </cell>
          <cell r="CL87">
            <v>9469</v>
          </cell>
          <cell r="CM87">
            <v>7735</v>
          </cell>
          <cell r="CN87">
            <v>6730</v>
          </cell>
          <cell r="CO87">
            <v>8110</v>
          </cell>
          <cell r="CP87">
            <v>17583</v>
          </cell>
          <cell r="CQ87">
            <v>200</v>
          </cell>
          <cell r="CR87">
            <v>21933</v>
          </cell>
          <cell r="CS87">
            <v>9483</v>
          </cell>
          <cell r="CT87">
            <v>4901</v>
          </cell>
          <cell r="CU87">
            <v>10336</v>
          </cell>
          <cell r="CV87">
            <v>26284</v>
          </cell>
          <cell r="CW87">
            <v>977</v>
          </cell>
          <cell r="CX87">
            <v>20645</v>
          </cell>
          <cell r="CY87">
            <v>9026</v>
          </cell>
          <cell r="CZ87">
            <v>856</v>
          </cell>
          <cell r="DA87">
            <v>12417</v>
          </cell>
          <cell r="DB87">
            <v>13189</v>
          </cell>
          <cell r="DC87">
            <v>547</v>
          </cell>
          <cell r="DD87">
            <v>17952</v>
          </cell>
          <cell r="DE87">
            <v>25426</v>
          </cell>
          <cell r="DF87">
            <v>1794</v>
          </cell>
          <cell r="DG87">
            <v>14996</v>
          </cell>
          <cell r="DH87">
            <v>4787</v>
          </cell>
          <cell r="DI87">
            <v>3051</v>
          </cell>
          <cell r="DJ87">
            <v>6823</v>
          </cell>
          <cell r="DK87">
            <v>5388</v>
          </cell>
          <cell r="DL87">
            <v>200</v>
          </cell>
          <cell r="DM87">
            <v>6380</v>
          </cell>
          <cell r="DN87">
            <v>4159</v>
          </cell>
          <cell r="DO87">
            <v>200</v>
          </cell>
          <cell r="DP87">
            <v>8285</v>
          </cell>
          <cell r="DQ87">
            <v>26696</v>
          </cell>
          <cell r="DR87">
            <v>200</v>
          </cell>
          <cell r="DS87">
            <v>18704</v>
          </cell>
        </row>
        <row r="88">
          <cell r="CI88" t="str">
            <v xml:space="preserve"> HORA 15</v>
          </cell>
          <cell r="CJ88">
            <v>7630</v>
          </cell>
          <cell r="CK88">
            <v>4408</v>
          </cell>
          <cell r="CL88">
            <v>9492</v>
          </cell>
          <cell r="CM88">
            <v>7329</v>
          </cell>
          <cell r="CN88">
            <v>5516</v>
          </cell>
          <cell r="CO88">
            <v>8497</v>
          </cell>
          <cell r="CP88">
            <v>17464</v>
          </cell>
          <cell r="CQ88">
            <v>200</v>
          </cell>
          <cell r="CR88">
            <v>22975</v>
          </cell>
          <cell r="CS88">
            <v>9170</v>
          </cell>
          <cell r="CT88">
            <v>4636</v>
          </cell>
          <cell r="CU88">
            <v>10818</v>
          </cell>
          <cell r="CV88">
            <v>25818</v>
          </cell>
          <cell r="CW88">
            <v>289</v>
          </cell>
          <cell r="CX88">
            <v>21020</v>
          </cell>
          <cell r="CY88">
            <v>9555</v>
          </cell>
          <cell r="CZ88">
            <v>64</v>
          </cell>
          <cell r="DA88">
            <v>12513</v>
          </cell>
          <cell r="DB88">
            <v>12982</v>
          </cell>
          <cell r="DC88">
            <v>200</v>
          </cell>
          <cell r="DD88">
            <v>19074</v>
          </cell>
          <cell r="DE88">
            <v>24298</v>
          </cell>
          <cell r="DF88">
            <v>801</v>
          </cell>
          <cell r="DG88">
            <v>15283</v>
          </cell>
          <cell r="DH88">
            <v>3765</v>
          </cell>
          <cell r="DI88">
            <v>2793</v>
          </cell>
          <cell r="DJ88">
            <v>7125</v>
          </cell>
          <cell r="DK88">
            <v>4725</v>
          </cell>
          <cell r="DL88">
            <v>200</v>
          </cell>
          <cell r="DM88">
            <v>5661</v>
          </cell>
          <cell r="DN88">
            <v>3376</v>
          </cell>
          <cell r="DO88">
            <v>200</v>
          </cell>
          <cell r="DP88">
            <v>7886</v>
          </cell>
          <cell r="DQ88">
            <v>26041</v>
          </cell>
          <cell r="DR88">
            <v>200</v>
          </cell>
          <cell r="DS88">
            <v>18544</v>
          </cell>
        </row>
        <row r="89">
          <cell r="CI89" t="str">
            <v xml:space="preserve"> HORA 16</v>
          </cell>
          <cell r="CJ89">
            <v>7781</v>
          </cell>
          <cell r="CK89">
            <v>3910</v>
          </cell>
          <cell r="CL89">
            <v>9358</v>
          </cell>
          <cell r="CM89">
            <v>5581</v>
          </cell>
          <cell r="CN89">
            <v>4829</v>
          </cell>
          <cell r="CO89">
            <v>8527</v>
          </cell>
          <cell r="CP89">
            <v>17084</v>
          </cell>
          <cell r="CQ89">
            <v>200</v>
          </cell>
          <cell r="CR89">
            <v>23010</v>
          </cell>
          <cell r="CS89">
            <v>8310</v>
          </cell>
          <cell r="CT89">
            <v>4365</v>
          </cell>
          <cell r="CU89">
            <v>10406</v>
          </cell>
          <cell r="CV89">
            <v>25054</v>
          </cell>
          <cell r="CW89">
            <v>200</v>
          </cell>
          <cell r="CX89">
            <v>20920</v>
          </cell>
          <cell r="CY89">
            <v>8954</v>
          </cell>
          <cell r="CZ89">
            <v>200</v>
          </cell>
          <cell r="DA89">
            <v>12222</v>
          </cell>
          <cell r="DB89">
            <v>12840</v>
          </cell>
          <cell r="DC89">
            <v>200</v>
          </cell>
          <cell r="DD89">
            <v>19146</v>
          </cell>
          <cell r="DE89">
            <v>23468</v>
          </cell>
          <cell r="DF89">
            <v>234</v>
          </cell>
          <cell r="DG89">
            <v>15180</v>
          </cell>
          <cell r="DH89">
            <v>3225</v>
          </cell>
          <cell r="DI89">
            <v>1646</v>
          </cell>
          <cell r="DJ89">
            <v>6987</v>
          </cell>
          <cell r="DK89">
            <v>4167</v>
          </cell>
          <cell r="DL89">
            <v>200</v>
          </cell>
          <cell r="DM89">
            <v>6209</v>
          </cell>
          <cell r="DN89">
            <v>2739</v>
          </cell>
          <cell r="DO89">
            <v>200</v>
          </cell>
          <cell r="DP89">
            <v>7830</v>
          </cell>
          <cell r="DQ89">
            <v>25652</v>
          </cell>
          <cell r="DR89">
            <v>200</v>
          </cell>
          <cell r="DS89">
            <v>19229</v>
          </cell>
        </row>
        <row r="90">
          <cell r="CI90" t="str">
            <v xml:space="preserve"> HORA 17</v>
          </cell>
          <cell r="CJ90">
            <v>7251</v>
          </cell>
          <cell r="CK90">
            <v>3535</v>
          </cell>
          <cell r="CL90">
            <v>8842</v>
          </cell>
          <cell r="CM90">
            <v>5953</v>
          </cell>
          <cell r="CN90">
            <v>3998</v>
          </cell>
          <cell r="CO90">
            <v>8263</v>
          </cell>
          <cell r="CP90">
            <v>15974</v>
          </cell>
          <cell r="CQ90">
            <v>200</v>
          </cell>
          <cell r="CR90">
            <v>22762</v>
          </cell>
          <cell r="CS90">
            <v>6831</v>
          </cell>
          <cell r="CT90">
            <v>3966</v>
          </cell>
          <cell r="CU90">
            <v>9342</v>
          </cell>
          <cell r="CV90">
            <v>23576</v>
          </cell>
          <cell r="CW90">
            <v>200</v>
          </cell>
          <cell r="CX90">
            <v>20399</v>
          </cell>
          <cell r="CY90">
            <v>7504</v>
          </cell>
          <cell r="CZ90">
            <v>200</v>
          </cell>
          <cell r="DA90">
            <v>11636</v>
          </cell>
          <cell r="DB90">
            <v>12406</v>
          </cell>
          <cell r="DC90">
            <v>200</v>
          </cell>
          <cell r="DD90">
            <v>18158</v>
          </cell>
          <cell r="DE90">
            <v>22548</v>
          </cell>
          <cell r="DF90">
            <v>216</v>
          </cell>
          <cell r="DG90">
            <v>14781</v>
          </cell>
          <cell r="DH90">
            <v>2587</v>
          </cell>
          <cell r="DI90">
            <v>1021</v>
          </cell>
          <cell r="DJ90">
            <v>6622</v>
          </cell>
          <cell r="DK90">
            <v>3577</v>
          </cell>
          <cell r="DL90">
            <v>200</v>
          </cell>
          <cell r="DM90">
            <v>6109</v>
          </cell>
          <cell r="DN90">
            <v>2054</v>
          </cell>
          <cell r="DO90">
            <v>200</v>
          </cell>
          <cell r="DP90">
            <v>7341</v>
          </cell>
          <cell r="DQ90">
            <v>25226</v>
          </cell>
          <cell r="DR90">
            <v>200</v>
          </cell>
          <cell r="DS90">
            <v>18751</v>
          </cell>
        </row>
        <row r="91">
          <cell r="CI91" t="str">
            <v xml:space="preserve"> HORA 18</v>
          </cell>
          <cell r="CJ91">
            <v>8642</v>
          </cell>
          <cell r="CK91">
            <v>5109</v>
          </cell>
          <cell r="CL91">
            <v>9998</v>
          </cell>
          <cell r="CM91">
            <v>7610</v>
          </cell>
          <cell r="CN91">
            <v>5926</v>
          </cell>
          <cell r="CO91">
            <v>9200</v>
          </cell>
          <cell r="CP91">
            <v>17217</v>
          </cell>
          <cell r="CQ91">
            <v>128</v>
          </cell>
          <cell r="CR91">
            <v>23559</v>
          </cell>
          <cell r="CS91">
            <v>7912</v>
          </cell>
          <cell r="CT91">
            <v>5422</v>
          </cell>
          <cell r="CU91">
            <v>10573</v>
          </cell>
          <cell r="CV91">
            <v>25351</v>
          </cell>
          <cell r="CW91">
            <v>1163</v>
          </cell>
          <cell r="CX91">
            <v>21664</v>
          </cell>
          <cell r="CY91">
            <v>9415</v>
          </cell>
          <cell r="CZ91">
            <v>427</v>
          </cell>
          <cell r="DA91">
            <v>12949</v>
          </cell>
          <cell r="DB91">
            <v>13917</v>
          </cell>
          <cell r="DC91">
            <v>975</v>
          </cell>
          <cell r="DD91">
            <v>19156</v>
          </cell>
          <cell r="DE91">
            <v>24079</v>
          </cell>
          <cell r="DF91">
            <v>1392</v>
          </cell>
          <cell r="DG91">
            <v>15524</v>
          </cell>
          <cell r="DH91">
            <v>4611</v>
          </cell>
          <cell r="DI91">
            <v>2773</v>
          </cell>
          <cell r="DJ91">
            <v>7485</v>
          </cell>
          <cell r="DK91">
            <v>5209</v>
          </cell>
          <cell r="DL91">
            <v>200</v>
          </cell>
          <cell r="DM91">
            <v>7741</v>
          </cell>
          <cell r="DN91">
            <v>4359</v>
          </cell>
          <cell r="DO91">
            <v>200</v>
          </cell>
          <cell r="DP91">
            <v>8748</v>
          </cell>
          <cell r="DQ91">
            <v>27410</v>
          </cell>
          <cell r="DR91">
            <v>126</v>
          </cell>
          <cell r="DS91">
            <v>20797</v>
          </cell>
        </row>
        <row r="92">
          <cell r="CI92" t="str">
            <v xml:space="preserve"> HORA 19</v>
          </cell>
          <cell r="CJ92">
            <v>10449</v>
          </cell>
          <cell r="CK92">
            <v>7890</v>
          </cell>
          <cell r="CL92">
            <v>11150</v>
          </cell>
          <cell r="CM92">
            <v>9345</v>
          </cell>
          <cell r="CN92">
            <v>8316</v>
          </cell>
          <cell r="CO92">
            <v>10499</v>
          </cell>
          <cell r="CP92">
            <v>18852</v>
          </cell>
          <cell r="CQ92">
            <v>1397</v>
          </cell>
          <cell r="CR92">
            <v>24885</v>
          </cell>
          <cell r="CS92">
            <v>8248</v>
          </cell>
          <cell r="CT92">
            <v>6072</v>
          </cell>
          <cell r="CU92">
            <v>10296</v>
          </cell>
          <cell r="CV92">
            <v>27069</v>
          </cell>
          <cell r="CW92">
            <v>2417</v>
          </cell>
          <cell r="CX92">
            <v>22869</v>
          </cell>
          <cell r="CY92">
            <v>12238</v>
          </cell>
          <cell r="CZ92">
            <v>2660</v>
          </cell>
          <cell r="DA92">
            <v>13827</v>
          </cell>
          <cell r="DB92">
            <v>15367</v>
          </cell>
          <cell r="DC92">
            <v>1641</v>
          </cell>
          <cell r="DD92">
            <v>20192</v>
          </cell>
          <cell r="DE92">
            <v>26621</v>
          </cell>
          <cell r="DF92">
            <v>2846</v>
          </cell>
          <cell r="DG92">
            <v>16351</v>
          </cell>
          <cell r="DH92">
            <v>7105</v>
          </cell>
          <cell r="DI92">
            <v>5584</v>
          </cell>
          <cell r="DJ92">
            <v>9037</v>
          </cell>
          <cell r="DK92">
            <v>7693</v>
          </cell>
          <cell r="DL92">
            <v>200</v>
          </cell>
          <cell r="DM92">
            <v>9933</v>
          </cell>
          <cell r="DN92">
            <v>7363</v>
          </cell>
          <cell r="DO92">
            <v>200</v>
          </cell>
          <cell r="DP92">
            <v>11449</v>
          </cell>
          <cell r="DQ92">
            <v>30943</v>
          </cell>
          <cell r="DR92">
            <v>1670</v>
          </cell>
          <cell r="DS92">
            <v>23201</v>
          </cell>
        </row>
        <row r="93">
          <cell r="CI93" t="str">
            <v xml:space="preserve"> HORA 20</v>
          </cell>
          <cell r="CJ93">
            <v>11719</v>
          </cell>
          <cell r="CK93">
            <v>9706</v>
          </cell>
          <cell r="CL93">
            <v>12373</v>
          </cell>
          <cell r="CM93">
            <v>10514</v>
          </cell>
          <cell r="CN93">
            <v>8627</v>
          </cell>
          <cell r="CO93">
            <v>11688</v>
          </cell>
          <cell r="CP93">
            <v>20296</v>
          </cell>
          <cell r="CQ93">
            <v>2666</v>
          </cell>
          <cell r="CR93">
            <v>26238</v>
          </cell>
          <cell r="CS93">
            <v>8893</v>
          </cell>
          <cell r="CT93">
            <v>8681</v>
          </cell>
          <cell r="CU93">
            <v>11593</v>
          </cell>
          <cell r="CV93">
            <v>28290</v>
          </cell>
          <cell r="CW93">
            <v>3549</v>
          </cell>
          <cell r="CX93">
            <v>23978</v>
          </cell>
          <cell r="CY93">
            <v>14364</v>
          </cell>
          <cell r="CZ93">
            <v>4256</v>
          </cell>
          <cell r="DA93">
            <v>14593</v>
          </cell>
          <cell r="DB93">
            <v>16631</v>
          </cell>
          <cell r="DC93">
            <v>3729</v>
          </cell>
          <cell r="DD93">
            <v>21772</v>
          </cell>
          <cell r="DE93">
            <v>27244</v>
          </cell>
          <cell r="DF93">
            <v>4249</v>
          </cell>
          <cell r="DG93">
            <v>17814</v>
          </cell>
          <cell r="DH93">
            <v>7710</v>
          </cell>
          <cell r="DI93">
            <v>6602</v>
          </cell>
          <cell r="DJ93">
            <v>10094</v>
          </cell>
          <cell r="DK93">
            <v>7111</v>
          </cell>
          <cell r="DL93">
            <v>200</v>
          </cell>
          <cell r="DM93">
            <v>10456</v>
          </cell>
          <cell r="DN93">
            <v>7296</v>
          </cell>
          <cell r="DO93">
            <v>200</v>
          </cell>
          <cell r="DP93">
            <v>11418</v>
          </cell>
          <cell r="DQ93">
            <v>31552</v>
          </cell>
          <cell r="DR93">
            <v>2006</v>
          </cell>
          <cell r="DS93">
            <v>23352</v>
          </cell>
        </row>
        <row r="94">
          <cell r="CI94" t="str">
            <v xml:space="preserve"> HORA 21</v>
          </cell>
          <cell r="CJ94">
            <v>10921</v>
          </cell>
          <cell r="CK94">
            <v>8930</v>
          </cell>
          <cell r="CL94">
            <v>11490</v>
          </cell>
          <cell r="CM94">
            <v>9930</v>
          </cell>
          <cell r="CN94">
            <v>8628</v>
          </cell>
          <cell r="CO94">
            <v>10807</v>
          </cell>
          <cell r="CP94">
            <v>19446</v>
          </cell>
          <cell r="CQ94">
            <v>2352</v>
          </cell>
          <cell r="CR94">
            <v>24821</v>
          </cell>
          <cell r="CS94">
            <v>8733</v>
          </cell>
          <cell r="CT94">
            <v>8717</v>
          </cell>
          <cell r="CU94">
            <v>11069</v>
          </cell>
          <cell r="CV94">
            <v>27097</v>
          </cell>
          <cell r="CW94">
            <v>3120</v>
          </cell>
          <cell r="CX94">
            <v>22622</v>
          </cell>
          <cell r="CY94">
            <v>12842</v>
          </cell>
          <cell r="CZ94">
            <v>3087</v>
          </cell>
          <cell r="DA94">
            <v>13462</v>
          </cell>
          <cell r="DB94">
            <v>15756</v>
          </cell>
          <cell r="DC94">
            <v>3226</v>
          </cell>
          <cell r="DD94">
            <v>20802</v>
          </cell>
          <cell r="DE94">
            <v>25463</v>
          </cell>
          <cell r="DF94">
            <v>3357</v>
          </cell>
          <cell r="DG94">
            <v>16618</v>
          </cell>
          <cell r="DH94">
            <v>6609</v>
          </cell>
          <cell r="DI94">
            <v>3845</v>
          </cell>
          <cell r="DJ94">
            <v>9007</v>
          </cell>
          <cell r="DK94">
            <v>6712</v>
          </cell>
          <cell r="DL94">
            <v>200</v>
          </cell>
          <cell r="DM94">
            <v>9087</v>
          </cell>
          <cell r="DN94">
            <v>6228</v>
          </cell>
          <cell r="DO94">
            <v>200</v>
          </cell>
          <cell r="DP94">
            <v>10082</v>
          </cell>
          <cell r="DQ94">
            <v>29904</v>
          </cell>
          <cell r="DR94">
            <v>1581</v>
          </cell>
          <cell r="DS94">
            <v>22139</v>
          </cell>
        </row>
        <row r="95">
          <cell r="CI95" t="str">
            <v xml:space="preserve"> HORA 22</v>
          </cell>
          <cell r="CJ95">
            <v>9078</v>
          </cell>
          <cell r="CK95">
            <v>6829</v>
          </cell>
          <cell r="CL95">
            <v>9591</v>
          </cell>
          <cell r="CM95">
            <v>7932</v>
          </cell>
          <cell r="CN95">
            <v>6959</v>
          </cell>
          <cell r="CO95">
            <v>8475</v>
          </cell>
          <cell r="CP95">
            <v>17766</v>
          </cell>
          <cell r="CQ95">
            <v>1265</v>
          </cell>
          <cell r="CR95">
            <v>22184</v>
          </cell>
          <cell r="CS95">
            <v>8559</v>
          </cell>
          <cell r="CT95">
            <v>7777</v>
          </cell>
          <cell r="CU95">
            <v>8993</v>
          </cell>
          <cell r="CV95">
            <v>24782</v>
          </cell>
          <cell r="CW95">
            <v>2098</v>
          </cell>
          <cell r="CX95">
            <v>20119</v>
          </cell>
          <cell r="CY95">
            <v>11009</v>
          </cell>
          <cell r="CZ95">
            <v>1307</v>
          </cell>
          <cell r="DA95">
            <v>10927</v>
          </cell>
          <cell r="DB95">
            <v>13850</v>
          </cell>
          <cell r="DC95">
            <v>1873</v>
          </cell>
          <cell r="DD95">
            <v>17920</v>
          </cell>
          <cell r="DE95">
            <v>22492</v>
          </cell>
          <cell r="DF95">
            <v>1788</v>
          </cell>
          <cell r="DG95">
            <v>13970</v>
          </cell>
          <cell r="DH95">
            <v>4655</v>
          </cell>
          <cell r="DI95">
            <v>1795</v>
          </cell>
          <cell r="DJ95">
            <v>6506</v>
          </cell>
          <cell r="DK95">
            <v>4876</v>
          </cell>
          <cell r="DL95">
            <v>200</v>
          </cell>
          <cell r="DM95">
            <v>6695</v>
          </cell>
          <cell r="DN95">
            <v>4223</v>
          </cell>
          <cell r="DO95">
            <v>200</v>
          </cell>
          <cell r="DP95">
            <v>7532</v>
          </cell>
          <cell r="DQ95">
            <v>27567</v>
          </cell>
          <cell r="DR95">
            <v>769</v>
          </cell>
          <cell r="DS95">
            <v>19928</v>
          </cell>
        </row>
        <row r="96">
          <cell r="CI96" t="str">
            <v xml:space="preserve"> HORA 23</v>
          </cell>
          <cell r="CJ96">
            <v>6530</v>
          </cell>
          <cell r="CK96">
            <v>4545</v>
          </cell>
          <cell r="CL96">
            <v>6765</v>
          </cell>
          <cell r="CM96">
            <v>5242</v>
          </cell>
          <cell r="CN96">
            <v>4649</v>
          </cell>
          <cell r="CO96">
            <v>5349</v>
          </cell>
          <cell r="CP96">
            <v>15208</v>
          </cell>
          <cell r="CQ96">
            <v>200</v>
          </cell>
          <cell r="CR96">
            <v>18651</v>
          </cell>
          <cell r="CS96">
            <v>6345</v>
          </cell>
          <cell r="CT96">
            <v>6138</v>
          </cell>
          <cell r="CU96">
            <v>6368</v>
          </cell>
          <cell r="CV96">
            <v>21368</v>
          </cell>
          <cell r="CW96">
            <v>502</v>
          </cell>
          <cell r="CX96">
            <v>16973</v>
          </cell>
          <cell r="CY96">
            <v>8623</v>
          </cell>
          <cell r="CZ96">
            <v>200</v>
          </cell>
          <cell r="DA96">
            <v>7958</v>
          </cell>
          <cell r="DB96">
            <v>11509</v>
          </cell>
          <cell r="DC96">
            <v>200</v>
          </cell>
          <cell r="DD96">
            <v>14445</v>
          </cell>
          <cell r="DE96">
            <v>19293</v>
          </cell>
          <cell r="DF96">
            <v>200</v>
          </cell>
          <cell r="DG96">
            <v>10264</v>
          </cell>
          <cell r="DH96">
            <v>1705</v>
          </cell>
          <cell r="DI96">
            <v>200</v>
          </cell>
          <cell r="DJ96">
            <v>3131</v>
          </cell>
          <cell r="DK96">
            <v>2273</v>
          </cell>
          <cell r="DL96">
            <v>200</v>
          </cell>
          <cell r="DM96">
            <v>3465</v>
          </cell>
          <cell r="DN96">
            <v>1973</v>
          </cell>
          <cell r="DO96">
            <v>200</v>
          </cell>
          <cell r="DP96">
            <v>4351</v>
          </cell>
          <cell r="DQ96">
            <v>24907</v>
          </cell>
          <cell r="DR96">
            <v>200</v>
          </cell>
          <cell r="DS96">
            <v>17055</v>
          </cell>
        </row>
        <row r="97">
          <cell r="CI97" t="str">
            <v xml:space="preserve"> HORA 24</v>
          </cell>
          <cell r="CJ97">
            <v>4127</v>
          </cell>
          <cell r="CK97">
            <v>2367</v>
          </cell>
          <cell r="CL97">
            <v>4070</v>
          </cell>
          <cell r="CM97">
            <v>2996</v>
          </cell>
          <cell r="CN97">
            <v>2073</v>
          </cell>
          <cell r="CO97">
            <v>2232</v>
          </cell>
          <cell r="CP97">
            <v>12881</v>
          </cell>
          <cell r="CQ97">
            <v>200</v>
          </cell>
          <cell r="CR97">
            <v>15365</v>
          </cell>
          <cell r="CS97">
            <v>4164</v>
          </cell>
          <cell r="CT97">
            <v>3667</v>
          </cell>
          <cell r="CU97">
            <v>3679</v>
          </cell>
          <cell r="CV97">
            <v>18478</v>
          </cell>
          <cell r="CW97">
            <v>200</v>
          </cell>
          <cell r="CX97">
            <v>13810</v>
          </cell>
          <cell r="CY97">
            <v>6325</v>
          </cell>
          <cell r="CZ97">
            <v>200</v>
          </cell>
          <cell r="DA97">
            <v>5873</v>
          </cell>
          <cell r="DB97">
            <v>8890</v>
          </cell>
          <cell r="DC97">
            <v>200</v>
          </cell>
          <cell r="DD97">
            <v>11588</v>
          </cell>
          <cell r="DE97">
            <v>16385</v>
          </cell>
          <cell r="DF97">
            <v>200</v>
          </cell>
          <cell r="DG97">
            <v>7353</v>
          </cell>
          <cell r="DH97">
            <v>200</v>
          </cell>
          <cell r="DI97">
            <v>200</v>
          </cell>
          <cell r="DJ97">
            <v>151</v>
          </cell>
          <cell r="DK97">
            <v>200</v>
          </cell>
          <cell r="DL97">
            <v>200</v>
          </cell>
          <cell r="DM97">
            <v>565</v>
          </cell>
          <cell r="DN97">
            <v>200</v>
          </cell>
          <cell r="DO97">
            <v>200</v>
          </cell>
          <cell r="DP97">
            <v>1418</v>
          </cell>
          <cell r="DQ97">
            <v>21911</v>
          </cell>
          <cell r="DR97">
            <v>200</v>
          </cell>
          <cell r="DS97">
            <v>14275</v>
          </cell>
        </row>
      </sheetData>
      <sheetData sheetId="15"/>
      <sheetData sheetId="16"/>
      <sheetData sheetId="17">
        <row r="71">
          <cell r="CC71" t="str">
            <v>ene-28SÁBADO</v>
          </cell>
          <cell r="CD71" t="str">
            <v>ene-28FESTIVO</v>
          </cell>
          <cell r="CE71" t="str">
            <v>ene-28ORDINARIO</v>
          </cell>
          <cell r="CF71" t="str">
            <v>feb-28SÁBADO</v>
          </cell>
          <cell r="CG71" t="str">
            <v>feb-28FESTIVO</v>
          </cell>
          <cell r="CH71" t="str">
            <v>feb-28ORDINARIO</v>
          </cell>
          <cell r="CI71" t="str">
            <v>mar-28SÁBADO</v>
          </cell>
          <cell r="CJ71" t="str">
            <v>mar-28FESTIVO</v>
          </cell>
          <cell r="CK71" t="str">
            <v>mar-28ORDINARIO</v>
          </cell>
          <cell r="CL71" t="str">
            <v>abr-28SÁBADO</v>
          </cell>
          <cell r="CM71" t="str">
            <v>abr-28FESTIVO</v>
          </cell>
          <cell r="CN71" t="str">
            <v>abr-28ORDINARIO</v>
          </cell>
          <cell r="CO71" t="str">
            <v>may-28SÁBADO</v>
          </cell>
          <cell r="CP71" t="str">
            <v>may-28FESTIVO</v>
          </cell>
          <cell r="CQ71" t="str">
            <v>may-28ORDINARIO</v>
          </cell>
          <cell r="CR71" t="str">
            <v>jun-28SÁBADO</v>
          </cell>
          <cell r="CS71" t="str">
            <v>jun-28FESTIVO</v>
          </cell>
          <cell r="CT71" t="str">
            <v>jun-28ORDINARIO</v>
          </cell>
          <cell r="CU71" t="str">
            <v>jul-28SÁBADO</v>
          </cell>
          <cell r="CV71" t="str">
            <v>jul-28FESTIVO</v>
          </cell>
          <cell r="CW71" t="str">
            <v>jul-28ORDINARIO</v>
          </cell>
          <cell r="CX71" t="str">
            <v>ago-28SÁBADO</v>
          </cell>
          <cell r="CY71" t="str">
            <v>ago-28FESTIVO</v>
          </cell>
          <cell r="CZ71" t="str">
            <v>ago-28ORDINARIO</v>
          </cell>
          <cell r="DA71" t="str">
            <v>sep-28SÁBADO</v>
          </cell>
          <cell r="DB71" t="str">
            <v>sep-28FESTIVO</v>
          </cell>
          <cell r="DC71" t="str">
            <v>sep-28ORDINARIO</v>
          </cell>
          <cell r="DD71" t="str">
            <v>oct-28SÁBADO</v>
          </cell>
          <cell r="DE71" t="str">
            <v>oct-28FESTIVO</v>
          </cell>
          <cell r="DF71" t="str">
            <v>oct-28ORDINARIO</v>
          </cell>
          <cell r="DG71" t="str">
            <v>nov-28SÁBADO</v>
          </cell>
          <cell r="DH71" t="str">
            <v>nov-28FESTIVO</v>
          </cell>
          <cell r="DI71" t="str">
            <v>nov-28ORDINARIO</v>
          </cell>
          <cell r="DJ71" t="str">
            <v>dic-28SÁBADO</v>
          </cell>
          <cell r="DK71" t="str">
            <v>dic-28FESTIVO</v>
          </cell>
          <cell r="DL71" t="str">
            <v>dic-28ORDINARIO</v>
          </cell>
        </row>
        <row r="75">
          <cell r="CB75" t="str">
            <v xml:space="preserve"> HORA 01</v>
          </cell>
          <cell r="CC75">
            <v>200</v>
          </cell>
          <cell r="CD75">
            <v>304</v>
          </cell>
          <cell r="CE75">
            <v>419</v>
          </cell>
          <cell r="CF75">
            <v>1276</v>
          </cell>
          <cell r="CG75">
            <v>2095</v>
          </cell>
          <cell r="CH75">
            <v>200</v>
          </cell>
          <cell r="CI75">
            <v>715</v>
          </cell>
          <cell r="CJ75">
            <v>200</v>
          </cell>
          <cell r="CK75">
            <v>971</v>
          </cell>
          <cell r="CL75">
            <v>5861</v>
          </cell>
          <cell r="CM75">
            <v>200</v>
          </cell>
          <cell r="CN75">
            <v>7468</v>
          </cell>
          <cell r="CO75">
            <v>1520</v>
          </cell>
          <cell r="CP75">
            <v>200</v>
          </cell>
          <cell r="CQ75">
            <v>3786</v>
          </cell>
          <cell r="CR75">
            <v>1063</v>
          </cell>
          <cell r="CS75">
            <v>200</v>
          </cell>
          <cell r="CT75">
            <v>2757</v>
          </cell>
          <cell r="CU75">
            <v>262</v>
          </cell>
          <cell r="CV75">
            <v>200</v>
          </cell>
          <cell r="CW75">
            <v>2949</v>
          </cell>
          <cell r="CX75">
            <v>1345</v>
          </cell>
          <cell r="CY75">
            <v>200</v>
          </cell>
          <cell r="CZ75">
            <v>4743</v>
          </cell>
          <cell r="DA75">
            <v>1215</v>
          </cell>
          <cell r="DB75">
            <v>200</v>
          </cell>
          <cell r="DC75">
            <v>200</v>
          </cell>
          <cell r="DD75">
            <v>813</v>
          </cell>
          <cell r="DE75">
            <v>200</v>
          </cell>
          <cell r="DF75">
            <v>1622</v>
          </cell>
          <cell r="DG75">
            <v>2565</v>
          </cell>
          <cell r="DH75">
            <v>200</v>
          </cell>
          <cell r="DI75">
            <v>5704</v>
          </cell>
          <cell r="DJ75">
            <v>6185</v>
          </cell>
          <cell r="DK75">
            <v>200</v>
          </cell>
          <cell r="DL75">
            <v>10741</v>
          </cell>
        </row>
        <row r="76">
          <cell r="CB76" t="str">
            <v xml:space="preserve"> HORA 02</v>
          </cell>
          <cell r="CC76">
            <v>200</v>
          </cell>
          <cell r="CD76">
            <v>200</v>
          </cell>
          <cell r="CE76">
            <v>200</v>
          </cell>
          <cell r="CF76">
            <v>0</v>
          </cell>
          <cell r="CG76">
            <v>832</v>
          </cell>
          <cell r="CH76">
            <v>200</v>
          </cell>
          <cell r="CI76">
            <v>200</v>
          </cell>
          <cell r="CJ76">
            <v>200</v>
          </cell>
          <cell r="CK76">
            <v>200</v>
          </cell>
          <cell r="CL76">
            <v>4493</v>
          </cell>
          <cell r="CM76">
            <v>200</v>
          </cell>
          <cell r="CN76">
            <v>6016</v>
          </cell>
          <cell r="CO76">
            <v>309</v>
          </cell>
          <cell r="CP76">
            <v>200</v>
          </cell>
          <cell r="CQ76">
            <v>2595</v>
          </cell>
          <cell r="CR76">
            <v>95</v>
          </cell>
          <cell r="CS76">
            <v>200</v>
          </cell>
          <cell r="CT76">
            <v>1695</v>
          </cell>
          <cell r="CU76">
            <v>200</v>
          </cell>
          <cell r="CV76">
            <v>200</v>
          </cell>
          <cell r="CW76">
            <v>1872</v>
          </cell>
          <cell r="CX76">
            <v>1081</v>
          </cell>
          <cell r="CY76">
            <v>200</v>
          </cell>
          <cell r="CZ76">
            <v>3776</v>
          </cell>
          <cell r="DA76">
            <v>200</v>
          </cell>
          <cell r="DB76">
            <v>200</v>
          </cell>
          <cell r="DC76">
            <v>200</v>
          </cell>
          <cell r="DD76">
            <v>200</v>
          </cell>
          <cell r="DE76">
            <v>200</v>
          </cell>
          <cell r="DF76">
            <v>821</v>
          </cell>
          <cell r="DG76">
            <v>1522</v>
          </cell>
          <cell r="DH76">
            <v>200</v>
          </cell>
          <cell r="DI76">
            <v>4424</v>
          </cell>
          <cell r="DJ76">
            <v>4870</v>
          </cell>
          <cell r="DK76">
            <v>200</v>
          </cell>
          <cell r="DL76">
            <v>9457</v>
          </cell>
        </row>
        <row r="77">
          <cell r="CB77" t="str">
            <v xml:space="preserve"> HORA 03</v>
          </cell>
          <cell r="CC77">
            <v>200</v>
          </cell>
          <cell r="CD77">
            <v>200</v>
          </cell>
          <cell r="CE77">
            <v>200</v>
          </cell>
          <cell r="CF77">
            <v>200</v>
          </cell>
          <cell r="CG77">
            <v>200</v>
          </cell>
          <cell r="CH77">
            <v>200</v>
          </cell>
          <cell r="CI77">
            <v>200</v>
          </cell>
          <cell r="CJ77">
            <v>200</v>
          </cell>
          <cell r="CK77">
            <v>200</v>
          </cell>
          <cell r="CL77">
            <v>3655</v>
          </cell>
          <cell r="CM77">
            <v>200</v>
          </cell>
          <cell r="CN77">
            <v>5290</v>
          </cell>
          <cell r="CO77">
            <v>200</v>
          </cell>
          <cell r="CP77">
            <v>200</v>
          </cell>
          <cell r="CQ77">
            <v>1717</v>
          </cell>
          <cell r="CR77">
            <v>200</v>
          </cell>
          <cell r="CS77">
            <v>200</v>
          </cell>
          <cell r="CT77">
            <v>780</v>
          </cell>
          <cell r="CU77">
            <v>200</v>
          </cell>
          <cell r="CV77">
            <v>200</v>
          </cell>
          <cell r="CW77">
            <v>977</v>
          </cell>
          <cell r="CX77">
            <v>480</v>
          </cell>
          <cell r="CY77">
            <v>200</v>
          </cell>
          <cell r="CZ77">
            <v>3043</v>
          </cell>
          <cell r="DA77">
            <v>200</v>
          </cell>
          <cell r="DB77">
            <v>200</v>
          </cell>
          <cell r="DC77">
            <v>200</v>
          </cell>
          <cell r="DD77">
            <v>200</v>
          </cell>
          <cell r="DE77">
            <v>200</v>
          </cell>
          <cell r="DF77">
            <v>39</v>
          </cell>
          <cell r="DG77">
            <v>606</v>
          </cell>
          <cell r="DH77">
            <v>200</v>
          </cell>
          <cell r="DI77">
            <v>3665</v>
          </cell>
          <cell r="DJ77">
            <v>4098</v>
          </cell>
          <cell r="DK77">
            <v>200</v>
          </cell>
          <cell r="DL77">
            <v>8473</v>
          </cell>
        </row>
        <row r="78">
          <cell r="CB78" t="str">
            <v xml:space="preserve"> HORA 04</v>
          </cell>
          <cell r="CC78">
            <v>200</v>
          </cell>
          <cell r="CD78">
            <v>200</v>
          </cell>
          <cell r="CE78">
            <v>200</v>
          </cell>
          <cell r="CF78">
            <v>200</v>
          </cell>
          <cell r="CG78">
            <v>200</v>
          </cell>
          <cell r="CH78">
            <v>200</v>
          </cell>
          <cell r="CI78">
            <v>200</v>
          </cell>
          <cell r="CJ78">
            <v>200</v>
          </cell>
          <cell r="CK78">
            <v>200</v>
          </cell>
          <cell r="CL78">
            <v>3014</v>
          </cell>
          <cell r="CM78">
            <v>200</v>
          </cell>
          <cell r="CN78">
            <v>4673</v>
          </cell>
          <cell r="CO78">
            <v>200</v>
          </cell>
          <cell r="CP78">
            <v>200</v>
          </cell>
          <cell r="CQ78">
            <v>1335</v>
          </cell>
          <cell r="CR78">
            <v>200</v>
          </cell>
          <cell r="CS78">
            <v>200</v>
          </cell>
          <cell r="CT78">
            <v>307</v>
          </cell>
          <cell r="CU78">
            <v>200</v>
          </cell>
          <cell r="CV78">
            <v>200</v>
          </cell>
          <cell r="CW78">
            <v>357</v>
          </cell>
          <cell r="CX78">
            <v>200</v>
          </cell>
          <cell r="CY78">
            <v>200</v>
          </cell>
          <cell r="CZ78">
            <v>2511</v>
          </cell>
          <cell r="DA78">
            <v>200</v>
          </cell>
          <cell r="DB78">
            <v>200</v>
          </cell>
          <cell r="DC78">
            <v>200</v>
          </cell>
          <cell r="DD78">
            <v>200</v>
          </cell>
          <cell r="DE78">
            <v>200</v>
          </cell>
          <cell r="DF78">
            <v>200</v>
          </cell>
          <cell r="DG78">
            <v>200</v>
          </cell>
          <cell r="DH78">
            <v>200</v>
          </cell>
          <cell r="DI78">
            <v>3006</v>
          </cell>
          <cell r="DJ78">
            <v>3412</v>
          </cell>
          <cell r="DK78">
            <v>200</v>
          </cell>
          <cell r="DL78">
            <v>7814</v>
          </cell>
        </row>
        <row r="79">
          <cell r="CB79" t="str">
            <v xml:space="preserve"> HORA 05</v>
          </cell>
          <cell r="CC79">
            <v>200</v>
          </cell>
          <cell r="CD79">
            <v>200</v>
          </cell>
          <cell r="CE79">
            <v>200</v>
          </cell>
          <cell r="CF79">
            <v>200</v>
          </cell>
          <cell r="CG79">
            <v>200</v>
          </cell>
          <cell r="CH79">
            <v>200</v>
          </cell>
          <cell r="CI79">
            <v>200</v>
          </cell>
          <cell r="CJ79">
            <v>200</v>
          </cell>
          <cell r="CK79">
            <v>200</v>
          </cell>
          <cell r="CL79">
            <v>1227</v>
          </cell>
          <cell r="CM79">
            <v>200</v>
          </cell>
          <cell r="CN79">
            <v>4489</v>
          </cell>
          <cell r="CO79">
            <v>200</v>
          </cell>
          <cell r="CP79">
            <v>200</v>
          </cell>
          <cell r="CQ79">
            <v>1008</v>
          </cell>
          <cell r="CR79">
            <v>200</v>
          </cell>
          <cell r="CS79">
            <v>200</v>
          </cell>
          <cell r="CT79">
            <v>255</v>
          </cell>
          <cell r="CU79">
            <v>200</v>
          </cell>
          <cell r="CV79">
            <v>200</v>
          </cell>
          <cell r="CW79">
            <v>310</v>
          </cell>
          <cell r="CX79">
            <v>200</v>
          </cell>
          <cell r="CY79">
            <v>200</v>
          </cell>
          <cell r="CZ79">
            <v>2510</v>
          </cell>
          <cell r="DA79">
            <v>200</v>
          </cell>
          <cell r="DB79">
            <v>200</v>
          </cell>
          <cell r="DC79">
            <v>200</v>
          </cell>
          <cell r="DD79">
            <v>200</v>
          </cell>
          <cell r="DE79">
            <v>200</v>
          </cell>
          <cell r="DF79">
            <v>200</v>
          </cell>
          <cell r="DG79">
            <v>200</v>
          </cell>
          <cell r="DH79">
            <v>200</v>
          </cell>
          <cell r="DI79">
            <v>2910</v>
          </cell>
          <cell r="DJ79">
            <v>3125</v>
          </cell>
          <cell r="DK79">
            <v>200</v>
          </cell>
          <cell r="DL79">
            <v>7660</v>
          </cell>
        </row>
        <row r="80">
          <cell r="CB80" t="str">
            <v xml:space="preserve"> HORA 06</v>
          </cell>
          <cell r="CC80">
            <v>200</v>
          </cell>
          <cell r="CD80">
            <v>200</v>
          </cell>
          <cell r="CE80">
            <v>200</v>
          </cell>
          <cell r="CF80">
            <v>200</v>
          </cell>
          <cell r="CG80">
            <v>200</v>
          </cell>
          <cell r="CH80">
            <v>200</v>
          </cell>
          <cell r="CI80">
            <v>200</v>
          </cell>
          <cell r="CJ80">
            <v>200</v>
          </cell>
          <cell r="CK80">
            <v>200</v>
          </cell>
          <cell r="CL80">
            <v>3146</v>
          </cell>
          <cell r="CM80">
            <v>200</v>
          </cell>
          <cell r="CN80">
            <v>5927</v>
          </cell>
          <cell r="CO80">
            <v>200</v>
          </cell>
          <cell r="CP80">
            <v>200</v>
          </cell>
          <cell r="CQ80">
            <v>2282</v>
          </cell>
          <cell r="CR80">
            <v>200</v>
          </cell>
          <cell r="CS80">
            <v>200</v>
          </cell>
          <cell r="CT80">
            <v>1058</v>
          </cell>
          <cell r="CU80">
            <v>200</v>
          </cell>
          <cell r="CV80">
            <v>200</v>
          </cell>
          <cell r="CW80">
            <v>1545</v>
          </cell>
          <cell r="CX80">
            <v>44</v>
          </cell>
          <cell r="CY80">
            <v>200</v>
          </cell>
          <cell r="CZ80">
            <v>3952</v>
          </cell>
          <cell r="DA80">
            <v>200</v>
          </cell>
          <cell r="DB80">
            <v>200</v>
          </cell>
          <cell r="DC80">
            <v>200</v>
          </cell>
          <cell r="DD80">
            <v>200</v>
          </cell>
          <cell r="DE80">
            <v>200</v>
          </cell>
          <cell r="DF80">
            <v>643</v>
          </cell>
          <cell r="DG80">
            <v>411</v>
          </cell>
          <cell r="DH80">
            <v>200</v>
          </cell>
          <cell r="DI80">
            <v>4070</v>
          </cell>
          <cell r="DJ80">
            <v>3335</v>
          </cell>
          <cell r="DK80">
            <v>200</v>
          </cell>
          <cell r="DL80">
            <v>8351</v>
          </cell>
        </row>
        <row r="81">
          <cell r="CB81" t="str">
            <v xml:space="preserve"> HORA 07</v>
          </cell>
          <cell r="CC81">
            <v>200</v>
          </cell>
          <cell r="CD81">
            <v>200</v>
          </cell>
          <cell r="CE81">
            <v>200</v>
          </cell>
          <cell r="CF81">
            <v>200</v>
          </cell>
          <cell r="CG81">
            <v>200</v>
          </cell>
          <cell r="CH81">
            <v>200</v>
          </cell>
          <cell r="CI81">
            <v>200</v>
          </cell>
          <cell r="CJ81">
            <v>200</v>
          </cell>
          <cell r="CK81">
            <v>762</v>
          </cell>
          <cell r="CL81">
            <v>3335</v>
          </cell>
          <cell r="CM81">
            <v>200</v>
          </cell>
          <cell r="CN81">
            <v>7435</v>
          </cell>
          <cell r="CO81">
            <v>200</v>
          </cell>
          <cell r="CP81">
            <v>200</v>
          </cell>
          <cell r="CQ81">
            <v>3654</v>
          </cell>
          <cell r="CR81">
            <v>200</v>
          </cell>
          <cell r="CS81">
            <v>200</v>
          </cell>
          <cell r="CT81">
            <v>2340</v>
          </cell>
          <cell r="CU81">
            <v>200</v>
          </cell>
          <cell r="CV81">
            <v>200</v>
          </cell>
          <cell r="CW81">
            <v>2883</v>
          </cell>
          <cell r="CX81">
            <v>948</v>
          </cell>
          <cell r="CY81">
            <v>200</v>
          </cell>
          <cell r="CZ81">
            <v>5636</v>
          </cell>
          <cell r="DA81">
            <v>200</v>
          </cell>
          <cell r="DB81">
            <v>200</v>
          </cell>
          <cell r="DC81">
            <v>570</v>
          </cell>
          <cell r="DD81">
            <v>200</v>
          </cell>
          <cell r="DE81">
            <v>200</v>
          </cell>
          <cell r="DF81">
            <v>2252</v>
          </cell>
          <cell r="DG81">
            <v>1252</v>
          </cell>
          <cell r="DH81">
            <v>200</v>
          </cell>
          <cell r="DI81">
            <v>5804</v>
          </cell>
          <cell r="DJ81">
            <v>4272</v>
          </cell>
          <cell r="DK81">
            <v>200</v>
          </cell>
          <cell r="DL81">
            <v>9614</v>
          </cell>
        </row>
        <row r="82">
          <cell r="CB82" t="str">
            <v xml:space="preserve"> HORA 08</v>
          </cell>
          <cell r="CC82">
            <v>200</v>
          </cell>
          <cell r="CD82">
            <v>200</v>
          </cell>
          <cell r="CE82">
            <v>1250</v>
          </cell>
          <cell r="CF82">
            <v>1522</v>
          </cell>
          <cell r="CG82">
            <v>23</v>
          </cell>
          <cell r="CH82">
            <v>645</v>
          </cell>
          <cell r="CI82">
            <v>200</v>
          </cell>
          <cell r="CJ82">
            <v>200</v>
          </cell>
          <cell r="CK82">
            <v>1923</v>
          </cell>
          <cell r="CL82">
            <v>5522</v>
          </cell>
          <cell r="CM82">
            <v>200</v>
          </cell>
          <cell r="CN82">
            <v>9194</v>
          </cell>
          <cell r="CO82">
            <v>1613</v>
          </cell>
          <cell r="CP82">
            <v>200</v>
          </cell>
          <cell r="CQ82">
            <v>5377</v>
          </cell>
          <cell r="CR82">
            <v>1165</v>
          </cell>
          <cell r="CS82">
            <v>200</v>
          </cell>
          <cell r="CT82">
            <v>4843</v>
          </cell>
          <cell r="CU82">
            <v>902</v>
          </cell>
          <cell r="CV82">
            <v>200</v>
          </cell>
          <cell r="CW82">
            <v>4723</v>
          </cell>
          <cell r="CX82">
            <v>3211</v>
          </cell>
          <cell r="CY82">
            <v>200</v>
          </cell>
          <cell r="CZ82">
            <v>7235</v>
          </cell>
          <cell r="DA82">
            <v>1592</v>
          </cell>
          <cell r="DB82">
            <v>200</v>
          </cell>
          <cell r="DC82">
            <v>2229</v>
          </cell>
          <cell r="DD82">
            <v>306</v>
          </cell>
          <cell r="DE82">
            <v>200</v>
          </cell>
          <cell r="DF82">
            <v>4270</v>
          </cell>
          <cell r="DG82">
            <v>3304</v>
          </cell>
          <cell r="DH82">
            <v>200</v>
          </cell>
          <cell r="DI82">
            <v>7926</v>
          </cell>
          <cell r="DJ82">
            <v>5955</v>
          </cell>
          <cell r="DK82">
            <v>200</v>
          </cell>
          <cell r="DL82">
            <v>12106</v>
          </cell>
        </row>
        <row r="83">
          <cell r="CB83" t="str">
            <v xml:space="preserve"> HORA 09</v>
          </cell>
          <cell r="CC83">
            <v>3093</v>
          </cell>
          <cell r="CD83">
            <v>594</v>
          </cell>
          <cell r="CE83">
            <v>4449</v>
          </cell>
          <cell r="CF83">
            <v>3944</v>
          </cell>
          <cell r="CG83">
            <v>2651</v>
          </cell>
          <cell r="CH83">
            <v>3259</v>
          </cell>
          <cell r="CI83">
            <v>3954</v>
          </cell>
          <cell r="CJ83">
            <v>31</v>
          </cell>
          <cell r="CK83">
            <v>4762</v>
          </cell>
          <cell r="CL83">
            <v>9087</v>
          </cell>
          <cell r="CM83">
            <v>200</v>
          </cell>
          <cell r="CN83">
            <v>12320</v>
          </cell>
          <cell r="CO83">
            <v>5067</v>
          </cell>
          <cell r="CP83">
            <v>200</v>
          </cell>
          <cell r="CQ83">
            <v>8180</v>
          </cell>
          <cell r="CR83">
            <v>4477</v>
          </cell>
          <cell r="CS83">
            <v>200</v>
          </cell>
          <cell r="CT83">
            <v>8413</v>
          </cell>
          <cell r="CU83">
            <v>4678</v>
          </cell>
          <cell r="CV83">
            <v>200</v>
          </cell>
          <cell r="CW83">
            <v>7431</v>
          </cell>
          <cell r="CX83">
            <v>6459</v>
          </cell>
          <cell r="CY83">
            <v>200</v>
          </cell>
          <cell r="CZ83">
            <v>10313</v>
          </cell>
          <cell r="DA83">
            <v>4983</v>
          </cell>
          <cell r="DB83">
            <v>2381</v>
          </cell>
          <cell r="DC83">
            <v>5023</v>
          </cell>
          <cell r="DD83">
            <v>3615</v>
          </cell>
          <cell r="DE83">
            <v>200</v>
          </cell>
          <cell r="DF83">
            <v>7130</v>
          </cell>
          <cell r="DG83">
            <v>6858</v>
          </cell>
          <cell r="DH83">
            <v>200</v>
          </cell>
          <cell r="DI83">
            <v>10766</v>
          </cell>
          <cell r="DJ83">
            <v>9098</v>
          </cell>
          <cell r="DK83">
            <v>200</v>
          </cell>
          <cell r="DL83">
            <v>14666</v>
          </cell>
        </row>
        <row r="84">
          <cell r="CB84" t="str">
            <v xml:space="preserve"> HORA 10</v>
          </cell>
          <cell r="CC84">
            <v>5145</v>
          </cell>
          <cell r="CD84">
            <v>2237</v>
          </cell>
          <cell r="CE84">
            <v>5746</v>
          </cell>
          <cell r="CF84">
            <v>5341</v>
          </cell>
          <cell r="CG84">
            <v>4291</v>
          </cell>
          <cell r="CH84">
            <v>4546</v>
          </cell>
          <cell r="CI84">
            <v>5517</v>
          </cell>
          <cell r="CJ84">
            <v>1355</v>
          </cell>
          <cell r="CK84">
            <v>6223</v>
          </cell>
          <cell r="CL84">
            <v>10932</v>
          </cell>
          <cell r="CM84">
            <v>200</v>
          </cell>
          <cell r="CN84">
            <v>13810</v>
          </cell>
          <cell r="CO84">
            <v>7269</v>
          </cell>
          <cell r="CP84">
            <v>200</v>
          </cell>
          <cell r="CQ84">
            <v>9943</v>
          </cell>
          <cell r="CR84">
            <v>6072</v>
          </cell>
          <cell r="CS84">
            <v>200</v>
          </cell>
          <cell r="CT84">
            <v>9947</v>
          </cell>
          <cell r="CU84">
            <v>7168</v>
          </cell>
          <cell r="CV84">
            <v>200</v>
          </cell>
          <cell r="CW84">
            <v>9035</v>
          </cell>
          <cell r="CX84">
            <v>8463</v>
          </cell>
          <cell r="CY84">
            <v>200</v>
          </cell>
          <cell r="CZ84">
            <v>11963</v>
          </cell>
          <cell r="DA84">
            <v>6812</v>
          </cell>
          <cell r="DB84">
            <v>3301</v>
          </cell>
          <cell r="DC84">
            <v>6266</v>
          </cell>
          <cell r="DD84">
            <v>7435</v>
          </cell>
          <cell r="DE84">
            <v>200</v>
          </cell>
          <cell r="DF84">
            <v>8212</v>
          </cell>
          <cell r="DG84">
            <v>8735</v>
          </cell>
          <cell r="DH84">
            <v>200</v>
          </cell>
          <cell r="DI84">
            <v>12725</v>
          </cell>
          <cell r="DJ84">
            <v>10860</v>
          </cell>
          <cell r="DK84">
            <v>200</v>
          </cell>
          <cell r="DL84">
            <v>15840</v>
          </cell>
        </row>
        <row r="85">
          <cell r="CB85" t="str">
            <v xml:space="preserve"> HORA 11</v>
          </cell>
          <cell r="CC85">
            <v>6350</v>
          </cell>
          <cell r="CD85">
            <v>3071</v>
          </cell>
          <cell r="CE85">
            <v>6914</v>
          </cell>
          <cell r="CF85">
            <v>7130</v>
          </cell>
          <cell r="CG85">
            <v>5335</v>
          </cell>
          <cell r="CH85">
            <v>5865</v>
          </cell>
          <cell r="CI85">
            <v>6451</v>
          </cell>
          <cell r="CJ85">
            <v>2519</v>
          </cell>
          <cell r="CK85">
            <v>7292</v>
          </cell>
          <cell r="CL85">
            <v>12074</v>
          </cell>
          <cell r="CM85">
            <v>200</v>
          </cell>
          <cell r="CN85">
            <v>14786</v>
          </cell>
          <cell r="CO85">
            <v>9075</v>
          </cell>
          <cell r="CP85">
            <v>200</v>
          </cell>
          <cell r="CQ85">
            <v>11379</v>
          </cell>
          <cell r="CR85">
            <v>7271</v>
          </cell>
          <cell r="CS85">
            <v>200</v>
          </cell>
          <cell r="CT85">
            <v>11205</v>
          </cell>
          <cell r="CU85">
            <v>9110</v>
          </cell>
          <cell r="CV85">
            <v>200</v>
          </cell>
          <cell r="CW85">
            <v>10752</v>
          </cell>
          <cell r="CX85">
            <v>10162</v>
          </cell>
          <cell r="CY85">
            <v>200</v>
          </cell>
          <cell r="CZ85">
            <v>13766</v>
          </cell>
          <cell r="DA85">
            <v>7404</v>
          </cell>
          <cell r="DB85">
            <v>4389</v>
          </cell>
          <cell r="DC85">
            <v>7770</v>
          </cell>
          <cell r="DD85">
            <v>8703</v>
          </cell>
          <cell r="DE85">
            <v>1107</v>
          </cell>
          <cell r="DF85">
            <v>9521</v>
          </cell>
          <cell r="DG85">
            <v>10140</v>
          </cell>
          <cell r="DH85">
            <v>200</v>
          </cell>
          <cell r="DI85">
            <v>14077</v>
          </cell>
          <cell r="DJ85">
            <v>12027</v>
          </cell>
          <cell r="DK85">
            <v>200</v>
          </cell>
          <cell r="DL85">
            <v>16975</v>
          </cell>
        </row>
        <row r="86">
          <cell r="CB86" t="str">
            <v xml:space="preserve"> HORA 12</v>
          </cell>
          <cell r="CC86">
            <v>8089</v>
          </cell>
          <cell r="CD86">
            <v>4450</v>
          </cell>
          <cell r="CE86">
            <v>8691</v>
          </cell>
          <cell r="CF86">
            <v>8408</v>
          </cell>
          <cell r="CG86">
            <v>6647</v>
          </cell>
          <cell r="CH86">
            <v>7564</v>
          </cell>
          <cell r="CI86">
            <v>7741</v>
          </cell>
          <cell r="CJ86">
            <v>3950</v>
          </cell>
          <cell r="CK86">
            <v>8794</v>
          </cell>
          <cell r="CL86">
            <v>13889</v>
          </cell>
          <cell r="CM86">
            <v>522</v>
          </cell>
          <cell r="CN86">
            <v>16943</v>
          </cell>
          <cell r="CO86">
            <v>9786</v>
          </cell>
          <cell r="CP86">
            <v>200</v>
          </cell>
          <cell r="CQ86">
            <v>13113</v>
          </cell>
          <cell r="CR86">
            <v>8788</v>
          </cell>
          <cell r="CS86">
            <v>200</v>
          </cell>
          <cell r="CT86">
            <v>13587</v>
          </cell>
          <cell r="CU86">
            <v>10853</v>
          </cell>
          <cell r="CV86">
            <v>200</v>
          </cell>
          <cell r="CW86">
            <v>12490</v>
          </cell>
          <cell r="CX86">
            <v>12206</v>
          </cell>
          <cell r="CY86">
            <v>200</v>
          </cell>
          <cell r="CZ86">
            <v>15875</v>
          </cell>
          <cell r="DA86">
            <v>8981</v>
          </cell>
          <cell r="DB86">
            <v>5696</v>
          </cell>
          <cell r="DC86">
            <v>10040</v>
          </cell>
          <cell r="DD86">
            <v>10592</v>
          </cell>
          <cell r="DE86">
            <v>2314</v>
          </cell>
          <cell r="DF86">
            <v>11095</v>
          </cell>
          <cell r="DG86">
            <v>11627</v>
          </cell>
          <cell r="DH86">
            <v>200</v>
          </cell>
          <cell r="DI86">
            <v>15821</v>
          </cell>
          <cell r="DJ86">
            <v>13165</v>
          </cell>
          <cell r="DK86">
            <v>200</v>
          </cell>
          <cell r="DL86">
            <v>18531</v>
          </cell>
        </row>
        <row r="87">
          <cell r="CB87" t="str">
            <v xml:space="preserve"> HORA 13</v>
          </cell>
          <cell r="CC87">
            <v>8607</v>
          </cell>
          <cell r="CD87">
            <v>5317</v>
          </cell>
          <cell r="CE87">
            <v>9258</v>
          </cell>
          <cell r="CF87">
            <v>9477</v>
          </cell>
          <cell r="CG87">
            <v>7740</v>
          </cell>
          <cell r="CH87">
            <v>7661</v>
          </cell>
          <cell r="CI87">
            <v>8187</v>
          </cell>
          <cell r="CJ87">
            <v>5009</v>
          </cell>
          <cell r="CK87">
            <v>8814</v>
          </cell>
          <cell r="CL87">
            <v>14377</v>
          </cell>
          <cell r="CM87">
            <v>1322</v>
          </cell>
          <cell r="CN87">
            <v>17054</v>
          </cell>
          <cell r="CO87">
            <v>10584</v>
          </cell>
          <cell r="CP87">
            <v>200</v>
          </cell>
          <cell r="CQ87">
            <v>13445</v>
          </cell>
          <cell r="CR87">
            <v>8869</v>
          </cell>
          <cell r="CS87">
            <v>200</v>
          </cell>
          <cell r="CT87">
            <v>13971</v>
          </cell>
          <cell r="CU87">
            <v>11870</v>
          </cell>
          <cell r="CV87">
            <v>200</v>
          </cell>
          <cell r="CW87">
            <v>12573</v>
          </cell>
          <cell r="CX87">
            <v>12688</v>
          </cell>
          <cell r="CY87">
            <v>200</v>
          </cell>
          <cell r="CZ87">
            <v>15775</v>
          </cell>
          <cell r="DA87">
            <v>6374</v>
          </cell>
          <cell r="DB87">
            <v>7008</v>
          </cell>
          <cell r="DC87">
            <v>10239</v>
          </cell>
          <cell r="DD87">
            <v>10942</v>
          </cell>
          <cell r="DE87">
            <v>2900</v>
          </cell>
          <cell r="DF87">
            <v>11167</v>
          </cell>
          <cell r="DG87">
            <v>12211</v>
          </cell>
          <cell r="DH87">
            <v>200</v>
          </cell>
          <cell r="DI87">
            <v>15787</v>
          </cell>
          <cell r="DJ87">
            <v>13463</v>
          </cell>
          <cell r="DK87">
            <v>200</v>
          </cell>
          <cell r="DL87">
            <v>19446</v>
          </cell>
        </row>
        <row r="88">
          <cell r="CB88" t="str">
            <v xml:space="preserve"> HORA 14</v>
          </cell>
          <cell r="CC88">
            <v>8064</v>
          </cell>
          <cell r="CD88">
            <v>5245</v>
          </cell>
          <cell r="CE88">
            <v>9194</v>
          </cell>
          <cell r="CF88">
            <v>9177</v>
          </cell>
          <cell r="CG88">
            <v>7517</v>
          </cell>
          <cell r="CH88">
            <v>7594</v>
          </cell>
          <cell r="CI88">
            <v>7717</v>
          </cell>
          <cell r="CJ88">
            <v>4451</v>
          </cell>
          <cell r="CK88">
            <v>8751</v>
          </cell>
          <cell r="CL88">
            <v>13940</v>
          </cell>
          <cell r="CM88">
            <v>1065</v>
          </cell>
          <cell r="CN88">
            <v>17590</v>
          </cell>
          <cell r="CO88">
            <v>10168</v>
          </cell>
          <cell r="CP88">
            <v>200</v>
          </cell>
          <cell r="CQ88">
            <v>13628</v>
          </cell>
          <cell r="CR88">
            <v>8260</v>
          </cell>
          <cell r="CS88">
            <v>200</v>
          </cell>
          <cell r="CT88">
            <v>13165</v>
          </cell>
          <cell r="CU88">
            <v>11489</v>
          </cell>
          <cell r="CV88">
            <v>200</v>
          </cell>
          <cell r="CW88">
            <v>12924</v>
          </cell>
          <cell r="CX88">
            <v>12119</v>
          </cell>
          <cell r="CY88">
            <v>200</v>
          </cell>
          <cell r="CZ88">
            <v>15822</v>
          </cell>
          <cell r="DA88">
            <v>8341</v>
          </cell>
          <cell r="DB88">
            <v>6605</v>
          </cell>
          <cell r="DC88">
            <v>10377</v>
          </cell>
          <cell r="DD88">
            <v>10342</v>
          </cell>
          <cell r="DE88">
            <v>2377</v>
          </cell>
          <cell r="DF88">
            <v>11247</v>
          </cell>
          <cell r="DG88">
            <v>11613</v>
          </cell>
          <cell r="DH88">
            <v>200</v>
          </cell>
          <cell r="DI88">
            <v>15738</v>
          </cell>
          <cell r="DJ88">
            <v>13126</v>
          </cell>
          <cell r="DK88">
            <v>200</v>
          </cell>
          <cell r="DL88">
            <v>18880</v>
          </cell>
        </row>
        <row r="89">
          <cell r="CB89" t="str">
            <v xml:space="preserve"> HORA 15</v>
          </cell>
          <cell r="CC89">
            <v>7343</v>
          </cell>
          <cell r="CD89">
            <v>4102</v>
          </cell>
          <cell r="CE89">
            <v>9217</v>
          </cell>
          <cell r="CF89">
            <v>8503</v>
          </cell>
          <cell r="CG89">
            <v>6346</v>
          </cell>
          <cell r="CH89">
            <v>8225</v>
          </cell>
          <cell r="CI89">
            <v>7358</v>
          </cell>
          <cell r="CJ89">
            <v>446</v>
          </cell>
          <cell r="CK89">
            <v>8897</v>
          </cell>
          <cell r="CL89">
            <v>13029</v>
          </cell>
          <cell r="CM89">
            <v>200</v>
          </cell>
          <cell r="CN89">
            <v>18640</v>
          </cell>
          <cell r="CO89">
            <v>9317</v>
          </cell>
          <cell r="CP89">
            <v>200</v>
          </cell>
          <cell r="CQ89">
            <v>13965</v>
          </cell>
          <cell r="CR89">
            <v>7498</v>
          </cell>
          <cell r="CS89">
            <v>200</v>
          </cell>
          <cell r="CT89">
            <v>12678</v>
          </cell>
          <cell r="CU89">
            <v>10793</v>
          </cell>
          <cell r="CV89">
            <v>200</v>
          </cell>
          <cell r="CW89">
            <v>13271</v>
          </cell>
          <cell r="CX89">
            <v>11273</v>
          </cell>
          <cell r="CY89">
            <v>200</v>
          </cell>
          <cell r="CZ89">
            <v>16122</v>
          </cell>
          <cell r="DA89">
            <v>7319</v>
          </cell>
          <cell r="DB89">
            <v>6347</v>
          </cell>
          <cell r="DC89">
            <v>10678</v>
          </cell>
          <cell r="DD89">
            <v>9680</v>
          </cell>
          <cell r="DE89">
            <v>1028</v>
          </cell>
          <cell r="DF89">
            <v>10529</v>
          </cell>
          <cell r="DG89">
            <v>10831</v>
          </cell>
          <cell r="DH89">
            <v>200</v>
          </cell>
          <cell r="DI89">
            <v>15339</v>
          </cell>
          <cell r="DJ89">
            <v>12635</v>
          </cell>
          <cell r="DK89">
            <v>200</v>
          </cell>
          <cell r="DL89">
            <v>18711</v>
          </cell>
        </row>
        <row r="90">
          <cell r="CB90" t="str">
            <v xml:space="preserve"> HORA 16</v>
          </cell>
          <cell r="CC90">
            <v>7496</v>
          </cell>
          <cell r="CD90">
            <v>3601</v>
          </cell>
          <cell r="CE90">
            <v>9082</v>
          </cell>
          <cell r="CF90">
            <v>8570</v>
          </cell>
          <cell r="CG90">
            <v>5381</v>
          </cell>
          <cell r="CH90">
            <v>8163</v>
          </cell>
          <cell r="CI90">
            <v>7070</v>
          </cell>
          <cell r="CJ90">
            <v>2157</v>
          </cell>
          <cell r="CK90">
            <v>9089</v>
          </cell>
          <cell r="CL90">
            <v>11978</v>
          </cell>
          <cell r="CM90">
            <v>200</v>
          </cell>
          <cell r="CN90">
            <v>18955</v>
          </cell>
          <cell r="CO90">
            <v>8857</v>
          </cell>
          <cell r="CP90">
            <v>200</v>
          </cell>
          <cell r="CQ90">
            <v>13826</v>
          </cell>
          <cell r="CR90">
            <v>6779</v>
          </cell>
          <cell r="CS90">
            <v>200</v>
          </cell>
          <cell r="CT90">
            <v>12314</v>
          </cell>
          <cell r="CU90">
            <v>10259</v>
          </cell>
          <cell r="CV90">
            <v>200</v>
          </cell>
          <cell r="CW90">
            <v>11812</v>
          </cell>
          <cell r="CX90">
            <v>10651</v>
          </cell>
          <cell r="CY90">
            <v>200</v>
          </cell>
          <cell r="CZ90">
            <v>16014</v>
          </cell>
          <cell r="DA90">
            <v>6779</v>
          </cell>
          <cell r="DB90">
            <v>5202</v>
          </cell>
          <cell r="DC90">
            <v>10541</v>
          </cell>
          <cell r="DD90">
            <v>9122</v>
          </cell>
          <cell r="DE90">
            <v>195</v>
          </cell>
          <cell r="DF90">
            <v>11077</v>
          </cell>
          <cell r="DG90">
            <v>10194</v>
          </cell>
          <cell r="DH90">
            <v>200</v>
          </cell>
          <cell r="DI90">
            <v>15283</v>
          </cell>
          <cell r="DJ90">
            <v>12343</v>
          </cell>
          <cell r="DK90">
            <v>200</v>
          </cell>
          <cell r="DL90">
            <v>19435</v>
          </cell>
        </row>
        <row r="91">
          <cell r="CB91" t="str">
            <v xml:space="preserve"> HORA 17</v>
          </cell>
          <cell r="CC91">
            <v>6962</v>
          </cell>
          <cell r="CD91">
            <v>3224</v>
          </cell>
          <cell r="CE91">
            <v>8563</v>
          </cell>
          <cell r="CF91">
            <v>8217</v>
          </cell>
          <cell r="CG91">
            <v>4884</v>
          </cell>
          <cell r="CH91">
            <v>7895</v>
          </cell>
          <cell r="CI91">
            <v>6506</v>
          </cell>
          <cell r="CJ91">
            <v>1636</v>
          </cell>
          <cell r="CK91">
            <v>9095</v>
          </cell>
          <cell r="CL91">
            <v>11460</v>
          </cell>
          <cell r="CM91">
            <v>200</v>
          </cell>
          <cell r="CN91">
            <v>18472</v>
          </cell>
          <cell r="CO91">
            <v>7873</v>
          </cell>
          <cell r="CP91">
            <v>200</v>
          </cell>
          <cell r="CQ91">
            <v>13610</v>
          </cell>
          <cell r="CR91">
            <v>6736</v>
          </cell>
          <cell r="CS91">
            <v>200</v>
          </cell>
          <cell r="CT91">
            <v>11806</v>
          </cell>
          <cell r="CU91">
            <v>9699</v>
          </cell>
          <cell r="CV91">
            <v>200</v>
          </cell>
          <cell r="CW91">
            <v>11264</v>
          </cell>
          <cell r="CX91">
            <v>9961</v>
          </cell>
          <cell r="CY91">
            <v>200</v>
          </cell>
          <cell r="CZ91">
            <v>15597</v>
          </cell>
          <cell r="DA91">
            <v>6142</v>
          </cell>
          <cell r="DB91">
            <v>4576</v>
          </cell>
          <cell r="DC91">
            <v>10175</v>
          </cell>
          <cell r="DD91">
            <v>8532</v>
          </cell>
          <cell r="DE91">
            <v>200</v>
          </cell>
          <cell r="DF91">
            <v>10977</v>
          </cell>
          <cell r="DG91">
            <v>9509</v>
          </cell>
          <cell r="DH91">
            <v>200</v>
          </cell>
          <cell r="DI91">
            <v>14794</v>
          </cell>
          <cell r="DJ91">
            <v>12024</v>
          </cell>
          <cell r="DK91">
            <v>200</v>
          </cell>
          <cell r="DL91">
            <v>18930</v>
          </cell>
        </row>
        <row r="92">
          <cell r="CB92" t="str">
            <v xml:space="preserve"> HORA 18</v>
          </cell>
          <cell r="CC92">
            <v>8351</v>
          </cell>
          <cell r="CD92">
            <v>4796</v>
          </cell>
          <cell r="CE92">
            <v>9715</v>
          </cell>
          <cell r="CF92">
            <v>9495</v>
          </cell>
          <cell r="CG92">
            <v>6109</v>
          </cell>
          <cell r="CH92">
            <v>8890</v>
          </cell>
          <cell r="CI92">
            <v>7813</v>
          </cell>
          <cell r="CJ92">
            <v>3195</v>
          </cell>
          <cell r="CK92">
            <v>9907</v>
          </cell>
          <cell r="CL92">
            <v>13110</v>
          </cell>
          <cell r="CM92">
            <v>563</v>
          </cell>
          <cell r="CN92">
            <v>19392</v>
          </cell>
          <cell r="CO92">
            <v>9609</v>
          </cell>
          <cell r="CP92">
            <v>200</v>
          </cell>
          <cell r="CQ92">
            <v>14734</v>
          </cell>
          <cell r="CR92">
            <v>8934</v>
          </cell>
          <cell r="CS92">
            <v>200</v>
          </cell>
          <cell r="CT92">
            <v>13124</v>
          </cell>
          <cell r="CU92">
            <v>10901</v>
          </cell>
          <cell r="CV92">
            <v>200</v>
          </cell>
          <cell r="CW92">
            <v>13168</v>
          </cell>
          <cell r="CX92">
            <v>11552</v>
          </cell>
          <cell r="CY92">
            <v>200</v>
          </cell>
          <cell r="CZ92">
            <v>16294</v>
          </cell>
          <cell r="DA92">
            <v>8165</v>
          </cell>
          <cell r="DB92">
            <v>6329</v>
          </cell>
          <cell r="DC92">
            <v>11039</v>
          </cell>
          <cell r="DD92">
            <v>10164</v>
          </cell>
          <cell r="DE92">
            <v>1249</v>
          </cell>
          <cell r="DF92">
            <v>12608</v>
          </cell>
          <cell r="DG92">
            <v>11814</v>
          </cell>
          <cell r="DH92">
            <v>200</v>
          </cell>
          <cell r="DI92">
            <v>16202</v>
          </cell>
          <cell r="DJ92">
            <v>14105</v>
          </cell>
          <cell r="DK92">
            <v>200</v>
          </cell>
          <cell r="DL92">
            <v>20992</v>
          </cell>
        </row>
        <row r="93">
          <cell r="CB93" t="str">
            <v xml:space="preserve"> HORA 19</v>
          </cell>
          <cell r="CC93">
            <v>10170</v>
          </cell>
          <cell r="CD93">
            <v>7594</v>
          </cell>
          <cell r="CE93">
            <v>10874</v>
          </cell>
          <cell r="CF93">
            <v>10807</v>
          </cell>
          <cell r="CG93">
            <v>8290</v>
          </cell>
          <cell r="CH93">
            <v>9843</v>
          </cell>
          <cell r="CI93">
            <v>9768</v>
          </cell>
          <cell r="CJ93">
            <v>5592</v>
          </cell>
          <cell r="CK93">
            <v>11289</v>
          </cell>
          <cell r="CL93">
            <v>15264</v>
          </cell>
          <cell r="CM93">
            <v>2540</v>
          </cell>
          <cell r="CN93">
            <v>20893</v>
          </cell>
          <cell r="CO93">
            <v>10208</v>
          </cell>
          <cell r="CP93">
            <v>200</v>
          </cell>
          <cell r="CQ93">
            <v>16375</v>
          </cell>
          <cell r="CR93">
            <v>10703</v>
          </cell>
          <cell r="CS93">
            <v>200</v>
          </cell>
          <cell r="CT93">
            <v>14436</v>
          </cell>
          <cell r="CU93">
            <v>12050</v>
          </cell>
          <cell r="CV93">
            <v>318</v>
          </cell>
          <cell r="CW93">
            <v>14490</v>
          </cell>
          <cell r="CX93">
            <v>13458</v>
          </cell>
          <cell r="CY93">
            <v>231</v>
          </cell>
          <cell r="CZ93">
            <v>17158</v>
          </cell>
          <cell r="DA93">
            <v>10659</v>
          </cell>
          <cell r="DB93">
            <v>9139</v>
          </cell>
          <cell r="DC93">
            <v>12590</v>
          </cell>
          <cell r="DD93">
            <v>12647</v>
          </cell>
          <cell r="DE93">
            <v>3028</v>
          </cell>
          <cell r="DF93">
            <v>14795</v>
          </cell>
          <cell r="DG93">
            <v>14817</v>
          </cell>
          <cell r="DH93">
            <v>1231</v>
          </cell>
          <cell r="DI93">
            <v>18902</v>
          </cell>
          <cell r="DJ93">
            <v>16753</v>
          </cell>
          <cell r="DK93">
            <v>1052</v>
          </cell>
          <cell r="DL93">
            <v>23532</v>
          </cell>
        </row>
        <row r="94">
          <cell r="CB94" t="str">
            <v xml:space="preserve"> HORA 20</v>
          </cell>
          <cell r="CC94">
            <v>11447</v>
          </cell>
          <cell r="CD94">
            <v>9421</v>
          </cell>
          <cell r="CE94">
            <v>12105</v>
          </cell>
          <cell r="CF94">
            <v>12754</v>
          </cell>
          <cell r="CG94">
            <v>10641</v>
          </cell>
          <cell r="CH94">
            <v>11675</v>
          </cell>
          <cell r="CI94">
            <v>11521</v>
          </cell>
          <cell r="CJ94">
            <v>9339</v>
          </cell>
          <cell r="CK94">
            <v>13205</v>
          </cell>
          <cell r="CL94">
            <v>16350</v>
          </cell>
          <cell r="CM94">
            <v>4026</v>
          </cell>
          <cell r="CN94">
            <v>22478</v>
          </cell>
          <cell r="CO94">
            <v>12227</v>
          </cell>
          <cell r="CP94">
            <v>200</v>
          </cell>
          <cell r="CQ94">
            <v>17761</v>
          </cell>
          <cell r="CR94">
            <v>12073</v>
          </cell>
          <cell r="CS94">
            <v>200</v>
          </cell>
          <cell r="CT94">
            <v>15658</v>
          </cell>
          <cell r="CU94">
            <v>13708</v>
          </cell>
          <cell r="CV94">
            <v>1892</v>
          </cell>
          <cell r="CW94">
            <v>16478</v>
          </cell>
          <cell r="CX94">
            <v>13925</v>
          </cell>
          <cell r="CY94">
            <v>1540</v>
          </cell>
          <cell r="CZ94">
            <v>18688</v>
          </cell>
          <cell r="DA94">
            <v>11264</v>
          </cell>
          <cell r="DB94">
            <v>10156</v>
          </cell>
          <cell r="DC94">
            <v>13647</v>
          </cell>
          <cell r="DD94">
            <v>12065</v>
          </cell>
          <cell r="DE94">
            <v>3602</v>
          </cell>
          <cell r="DF94">
            <v>15317</v>
          </cell>
          <cell r="DG94">
            <v>14750</v>
          </cell>
          <cell r="DH94">
            <v>1034</v>
          </cell>
          <cell r="DI94">
            <v>18871</v>
          </cell>
          <cell r="DJ94">
            <v>17210</v>
          </cell>
          <cell r="DK94">
            <v>1412</v>
          </cell>
          <cell r="DL94">
            <v>23692</v>
          </cell>
        </row>
        <row r="95">
          <cell r="CB95" t="str">
            <v xml:space="preserve"> HORA 21</v>
          </cell>
          <cell r="CC95">
            <v>10644</v>
          </cell>
          <cell r="CD95">
            <v>8641</v>
          </cell>
          <cell r="CE95">
            <v>11216</v>
          </cell>
          <cell r="CF95">
            <v>12301</v>
          </cell>
          <cell r="CG95">
            <v>10825</v>
          </cell>
          <cell r="CH95">
            <v>10931</v>
          </cell>
          <cell r="CI95">
            <v>10885</v>
          </cell>
          <cell r="CJ95">
            <v>9502</v>
          </cell>
          <cell r="CK95">
            <v>12535</v>
          </cell>
          <cell r="CL95">
            <v>15793</v>
          </cell>
          <cell r="CM95">
            <v>3632</v>
          </cell>
          <cell r="CN95">
            <v>21331</v>
          </cell>
          <cell r="CO95">
            <v>11556</v>
          </cell>
          <cell r="CP95">
            <v>200</v>
          </cell>
          <cell r="CQ95">
            <v>16773</v>
          </cell>
          <cell r="CR95">
            <v>11418</v>
          </cell>
          <cell r="CS95">
            <v>200</v>
          </cell>
          <cell r="CT95">
            <v>14559</v>
          </cell>
          <cell r="CU95">
            <v>12774</v>
          </cell>
          <cell r="CV95">
            <v>1214</v>
          </cell>
          <cell r="CW95">
            <v>15388</v>
          </cell>
          <cell r="CX95">
            <v>12589</v>
          </cell>
          <cell r="CY95">
            <v>708</v>
          </cell>
          <cell r="CZ95">
            <v>17437</v>
          </cell>
          <cell r="DA95">
            <v>10163</v>
          </cell>
          <cell r="DB95">
            <v>7400</v>
          </cell>
          <cell r="DC95">
            <v>12560</v>
          </cell>
          <cell r="DD95">
            <v>11666</v>
          </cell>
          <cell r="DE95">
            <v>3122</v>
          </cell>
          <cell r="DF95">
            <v>13952</v>
          </cell>
          <cell r="DG95">
            <v>13682</v>
          </cell>
          <cell r="DH95">
            <v>508</v>
          </cell>
          <cell r="DI95">
            <v>17535</v>
          </cell>
          <cell r="DJ95">
            <v>15975</v>
          </cell>
          <cell r="DK95">
            <v>958</v>
          </cell>
          <cell r="DL95">
            <v>22410</v>
          </cell>
        </row>
        <row r="96">
          <cell r="CB96" t="str">
            <v xml:space="preserve"> HORA 22</v>
          </cell>
          <cell r="CC96">
            <v>8790</v>
          </cell>
          <cell r="CD96">
            <v>6527</v>
          </cell>
          <cell r="CE96">
            <v>9306</v>
          </cell>
          <cell r="CF96">
            <v>10585</v>
          </cell>
          <cell r="CG96">
            <v>9128</v>
          </cell>
          <cell r="CH96">
            <v>7886</v>
          </cell>
          <cell r="CI96">
            <v>7080</v>
          </cell>
          <cell r="CJ96">
            <v>8315</v>
          </cell>
          <cell r="CK96">
            <v>10484</v>
          </cell>
          <cell r="CL96">
            <v>13858</v>
          </cell>
          <cell r="CM96">
            <v>2474</v>
          </cell>
          <cell r="CN96">
            <v>18827</v>
          </cell>
          <cell r="CO96">
            <v>9824</v>
          </cell>
          <cell r="CP96">
            <v>200</v>
          </cell>
          <cell r="CQ96">
            <v>13923</v>
          </cell>
          <cell r="CR96">
            <v>9346</v>
          </cell>
          <cell r="CS96">
            <v>200</v>
          </cell>
          <cell r="CT96">
            <v>12051</v>
          </cell>
          <cell r="CU96">
            <v>11052</v>
          </cell>
          <cell r="CV96">
            <v>200</v>
          </cell>
          <cell r="CW96">
            <v>12662</v>
          </cell>
          <cell r="CX96">
            <v>10362</v>
          </cell>
          <cell r="CY96">
            <v>200</v>
          </cell>
          <cell r="CZ96">
            <v>14670</v>
          </cell>
          <cell r="DA96">
            <v>8209</v>
          </cell>
          <cell r="DB96">
            <v>5351</v>
          </cell>
          <cell r="DC96">
            <v>10060</v>
          </cell>
          <cell r="DD96">
            <v>9831</v>
          </cell>
          <cell r="DE96">
            <v>1809</v>
          </cell>
          <cell r="DF96">
            <v>11565</v>
          </cell>
          <cell r="DG96">
            <v>11678</v>
          </cell>
          <cell r="DH96">
            <v>200</v>
          </cell>
          <cell r="DI96">
            <v>14986</v>
          </cell>
          <cell r="DJ96">
            <v>14222</v>
          </cell>
          <cell r="DK96">
            <v>88</v>
          </cell>
          <cell r="DL96">
            <v>20073</v>
          </cell>
        </row>
        <row r="97">
          <cell r="CB97" t="str">
            <v xml:space="preserve"> HORA 23</v>
          </cell>
          <cell r="CC97">
            <v>6226</v>
          </cell>
          <cell r="CD97">
            <v>4229</v>
          </cell>
          <cell r="CE97">
            <v>6463</v>
          </cell>
          <cell r="CF97">
            <v>8119</v>
          </cell>
          <cell r="CG97">
            <v>6337</v>
          </cell>
          <cell r="CH97">
            <v>5277</v>
          </cell>
          <cell r="CI97">
            <v>4683</v>
          </cell>
          <cell r="CJ97">
            <v>6132</v>
          </cell>
          <cell r="CK97">
            <v>7338</v>
          </cell>
          <cell r="CL97">
            <v>11058</v>
          </cell>
          <cell r="CM97">
            <v>499</v>
          </cell>
          <cell r="CN97">
            <v>15396</v>
          </cell>
          <cell r="CO97">
            <v>7570</v>
          </cell>
          <cell r="CP97">
            <v>200</v>
          </cell>
          <cell r="CQ97">
            <v>10561</v>
          </cell>
          <cell r="CR97">
            <v>6957</v>
          </cell>
          <cell r="CS97">
            <v>200</v>
          </cell>
          <cell r="CT97">
            <v>9018</v>
          </cell>
          <cell r="CU97">
            <v>8441</v>
          </cell>
          <cell r="CV97">
            <v>200</v>
          </cell>
          <cell r="CW97">
            <v>8933</v>
          </cell>
          <cell r="CX97">
            <v>7964</v>
          </cell>
          <cell r="CY97">
            <v>200</v>
          </cell>
          <cell r="CZ97">
            <v>10797</v>
          </cell>
          <cell r="DA97">
            <v>5260</v>
          </cell>
          <cell r="DB97">
            <v>3108</v>
          </cell>
          <cell r="DC97">
            <v>6686</v>
          </cell>
          <cell r="DD97">
            <v>7228</v>
          </cell>
          <cell r="DE97">
            <v>200</v>
          </cell>
          <cell r="DF97">
            <v>8344</v>
          </cell>
          <cell r="DG97">
            <v>9428</v>
          </cell>
          <cell r="DH97">
            <v>200</v>
          </cell>
          <cell r="DI97">
            <v>11806</v>
          </cell>
          <cell r="DJ97">
            <v>12228</v>
          </cell>
          <cell r="DK97">
            <v>200</v>
          </cell>
          <cell r="DL97">
            <v>17037</v>
          </cell>
        </row>
        <row r="98">
          <cell r="CB98" t="str">
            <v xml:space="preserve"> HORA 24</v>
          </cell>
          <cell r="CC98">
            <v>3809</v>
          </cell>
          <cell r="CD98">
            <v>2038</v>
          </cell>
          <cell r="CE98">
            <v>3752</v>
          </cell>
          <cell r="CF98">
            <v>5533</v>
          </cell>
          <cell r="CG98">
            <v>3767</v>
          </cell>
          <cell r="CH98">
            <v>2587</v>
          </cell>
          <cell r="CI98">
            <v>2014</v>
          </cell>
          <cell r="CJ98">
            <v>3456</v>
          </cell>
          <cell r="CK98">
            <v>4491</v>
          </cell>
          <cell r="CL98">
            <v>8012</v>
          </cell>
          <cell r="CM98">
            <v>200</v>
          </cell>
          <cell r="CN98">
            <v>11312</v>
          </cell>
          <cell r="CO98">
            <v>5492</v>
          </cell>
          <cell r="CP98">
            <v>200</v>
          </cell>
          <cell r="CQ98">
            <v>7415</v>
          </cell>
          <cell r="CR98">
            <v>4586</v>
          </cell>
          <cell r="CS98">
            <v>200</v>
          </cell>
          <cell r="CT98">
            <v>6097</v>
          </cell>
          <cell r="CU98">
            <v>5720</v>
          </cell>
          <cell r="CV98">
            <v>200</v>
          </cell>
          <cell r="CW98">
            <v>5824</v>
          </cell>
          <cell r="CX98">
            <v>5783</v>
          </cell>
          <cell r="CY98">
            <v>200</v>
          </cell>
          <cell r="CZ98">
            <v>7755</v>
          </cell>
          <cell r="DA98">
            <v>2931</v>
          </cell>
          <cell r="DB98">
            <v>1194</v>
          </cell>
          <cell r="DC98">
            <v>3707</v>
          </cell>
          <cell r="DD98">
            <v>3865</v>
          </cell>
          <cell r="DE98">
            <v>200</v>
          </cell>
          <cell r="DF98">
            <v>5451</v>
          </cell>
          <cell r="DG98">
            <v>6839</v>
          </cell>
          <cell r="DH98">
            <v>200</v>
          </cell>
          <cell r="DI98">
            <v>8874</v>
          </cell>
          <cell r="DJ98">
            <v>9982</v>
          </cell>
          <cell r="DK98">
            <v>200</v>
          </cell>
          <cell r="DL98">
            <v>14099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306F-AD82-4079-A963-9BF50DA72BC4}">
  <dimension ref="A5:M71"/>
  <sheetViews>
    <sheetView topLeftCell="A12" zoomScale="85" zoomScaleNormal="85" workbookViewId="0">
      <selection activeCell="C23" sqref="C23:C34"/>
    </sheetView>
  </sheetViews>
  <sheetFormatPr baseColWidth="10" defaultColWidth="11.42578125" defaultRowHeight="15.75" x14ac:dyDescent="0.25"/>
  <cols>
    <col min="1" max="1" width="32.42578125" style="21" customWidth="1"/>
    <col min="2" max="3" width="25.28515625" style="19" customWidth="1"/>
    <col min="4" max="4" width="23" style="20" customWidth="1"/>
    <col min="5" max="6" width="23" style="19" customWidth="1"/>
    <col min="7" max="7" width="26.85546875" style="18" customWidth="1"/>
    <col min="8" max="8" width="11.42578125" style="17"/>
    <col min="9" max="9" width="12" style="17" customWidth="1"/>
    <col min="10" max="10" width="11.42578125" style="17"/>
    <col min="11" max="11" width="25" style="17" customWidth="1"/>
    <col min="12" max="12" width="18.85546875" style="17" customWidth="1"/>
    <col min="13" max="13" width="9.28515625" style="17" customWidth="1"/>
    <col min="14" max="14" width="22.7109375" style="17" customWidth="1"/>
    <col min="15" max="16384" width="11.42578125" style="17"/>
  </cols>
  <sheetData>
    <row r="5" spans="1:13" x14ac:dyDescent="0.25">
      <c r="A5" s="70" t="s">
        <v>47</v>
      </c>
      <c r="B5" s="70"/>
      <c r="C5" s="70"/>
      <c r="D5" s="70"/>
      <c r="E5" s="70"/>
      <c r="F5" s="70"/>
      <c r="G5" s="70"/>
    </row>
    <row r="6" spans="1:13" x14ac:dyDescent="0.25">
      <c r="A6" s="70"/>
      <c r="B6" s="70"/>
      <c r="C6" s="70"/>
      <c r="D6" s="70"/>
      <c r="E6" s="70"/>
      <c r="F6" s="70"/>
      <c r="G6" s="70"/>
    </row>
    <row r="7" spans="1:13" ht="16.5" thickBot="1" x14ac:dyDescent="0.3">
      <c r="A7" s="54"/>
      <c r="B7" s="53"/>
      <c r="C7" s="53"/>
    </row>
    <row r="8" spans="1:13" ht="16.5" thickBot="1" x14ac:dyDescent="0.3">
      <c r="A8" s="52" t="s">
        <v>45</v>
      </c>
      <c r="B8" s="71"/>
      <c r="C8" s="72"/>
      <c r="D8" s="72"/>
      <c r="E8" s="72"/>
      <c r="F8" s="72"/>
      <c r="G8" s="73"/>
    </row>
    <row r="9" spans="1:13" ht="25.5" customHeight="1" thickBot="1" x14ac:dyDescent="0.3">
      <c r="A9" s="51"/>
      <c r="B9" s="50"/>
      <c r="C9" s="50"/>
      <c r="D9" s="49"/>
      <c r="E9" s="48"/>
      <c r="F9" s="48"/>
      <c r="G9" s="47"/>
    </row>
    <row r="10" spans="1:13" ht="60.75" thickBot="1" x14ac:dyDescent="0.3">
      <c r="A10" s="44" t="s">
        <v>44</v>
      </c>
      <c r="B10" s="46" t="s">
        <v>43</v>
      </c>
      <c r="C10" s="44" t="s">
        <v>42</v>
      </c>
      <c r="D10" s="45" t="s">
        <v>41</v>
      </c>
      <c r="E10" s="44" t="s">
        <v>40</v>
      </c>
      <c r="F10" s="44" t="s">
        <v>39</v>
      </c>
      <c r="G10" s="44" t="s">
        <v>38</v>
      </c>
    </row>
    <row r="11" spans="1:13" ht="16.5" thickBot="1" x14ac:dyDescent="0.3">
      <c r="A11" s="40">
        <v>46023</v>
      </c>
      <c r="B11" s="39">
        <f>+'General Productos No. 1 Plana'!AD2</f>
        <v>10118400</v>
      </c>
      <c r="C11" s="68">
        <f>SUM(B11:B22)</f>
        <v>92016000</v>
      </c>
      <c r="D11" s="60">
        <v>0</v>
      </c>
      <c r="E11" s="38">
        <f t="shared" ref="E11:E46" si="0">+B11*D11</f>
        <v>0</v>
      </c>
      <c r="F11" s="68">
        <f>SUM(E11:E22)</f>
        <v>0</v>
      </c>
      <c r="G11" s="43"/>
      <c r="K11" s="42"/>
      <c r="M11" s="41"/>
    </row>
    <row r="12" spans="1:13" ht="16.5" thickBot="1" x14ac:dyDescent="0.3">
      <c r="A12" s="40">
        <v>46054</v>
      </c>
      <c r="B12" s="39">
        <f>+'General Productos No. 1 Plana'!AD5</f>
        <v>10416000</v>
      </c>
      <c r="C12" s="69"/>
      <c r="D12" s="61">
        <v>0</v>
      </c>
      <c r="E12" s="38">
        <f t="shared" si="0"/>
        <v>0</v>
      </c>
      <c r="F12" s="69"/>
      <c r="G12" s="37"/>
      <c r="K12" s="42"/>
      <c r="M12" s="41"/>
    </row>
    <row r="13" spans="1:13" ht="16.5" thickBot="1" x14ac:dyDescent="0.3">
      <c r="A13" s="40">
        <v>46082</v>
      </c>
      <c r="B13" s="39">
        <f>+'General Productos No. 1 Plana'!AD8</f>
        <v>12573600</v>
      </c>
      <c r="C13" s="69"/>
      <c r="D13" s="61">
        <v>0</v>
      </c>
      <c r="E13" s="38">
        <f t="shared" si="0"/>
        <v>0</v>
      </c>
      <c r="F13" s="69"/>
      <c r="G13" s="37"/>
      <c r="K13" s="42"/>
      <c r="M13" s="41"/>
    </row>
    <row r="14" spans="1:13" ht="16.5" thickBot="1" x14ac:dyDescent="0.3">
      <c r="A14" s="40">
        <v>46113</v>
      </c>
      <c r="B14" s="39">
        <f>+'General Productos No. 1 Plana'!AD11</f>
        <v>8640000</v>
      </c>
      <c r="C14" s="69"/>
      <c r="D14" s="61">
        <v>0</v>
      </c>
      <c r="E14" s="38">
        <f t="shared" si="0"/>
        <v>0</v>
      </c>
      <c r="F14" s="69"/>
      <c r="G14" s="37"/>
      <c r="K14" s="42"/>
      <c r="M14" s="41"/>
    </row>
    <row r="15" spans="1:13" ht="16.5" thickBot="1" x14ac:dyDescent="0.3">
      <c r="A15" s="40">
        <v>46143</v>
      </c>
      <c r="B15" s="39">
        <f>+'General Productos No. 1 Plana'!AD14</f>
        <v>9672000</v>
      </c>
      <c r="C15" s="69"/>
      <c r="D15" s="61">
        <v>0</v>
      </c>
      <c r="E15" s="38">
        <f t="shared" si="0"/>
        <v>0</v>
      </c>
      <c r="F15" s="69"/>
      <c r="G15" s="37"/>
      <c r="K15" s="42"/>
      <c r="M15" s="41"/>
    </row>
    <row r="16" spans="1:13" ht="16.5" thickBot="1" x14ac:dyDescent="0.3">
      <c r="A16" s="40">
        <v>46174</v>
      </c>
      <c r="B16" s="39">
        <f>+'General Productos No. 1 Plana'!AD17</f>
        <v>6120000</v>
      </c>
      <c r="C16" s="69"/>
      <c r="D16" s="61">
        <v>0</v>
      </c>
      <c r="E16" s="38">
        <f t="shared" si="0"/>
        <v>0</v>
      </c>
      <c r="F16" s="69"/>
      <c r="G16" s="37"/>
      <c r="K16" s="42"/>
      <c r="M16" s="41"/>
    </row>
    <row r="17" spans="1:13" ht="16.5" thickBot="1" x14ac:dyDescent="0.3">
      <c r="A17" s="40">
        <v>46204</v>
      </c>
      <c r="B17" s="39">
        <f>+'General Productos No. 1 Plana'!AD20</f>
        <v>11904000</v>
      </c>
      <c r="C17" s="69"/>
      <c r="D17" s="61">
        <v>0</v>
      </c>
      <c r="E17" s="38">
        <f t="shared" si="0"/>
        <v>0</v>
      </c>
      <c r="F17" s="69"/>
      <c r="G17" s="37"/>
      <c r="K17" s="42"/>
      <c r="M17" s="41"/>
    </row>
    <row r="18" spans="1:13" ht="16.5" thickBot="1" x14ac:dyDescent="0.3">
      <c r="A18" s="40">
        <v>46235</v>
      </c>
      <c r="B18" s="39">
        <f>+'General Productos No. 1 Plana'!AD23</f>
        <v>9672000</v>
      </c>
      <c r="C18" s="69"/>
      <c r="D18" s="61">
        <v>0</v>
      </c>
      <c r="E18" s="38">
        <f t="shared" si="0"/>
        <v>0</v>
      </c>
      <c r="F18" s="69"/>
      <c r="G18" s="37"/>
      <c r="M18" s="41"/>
    </row>
    <row r="19" spans="1:13" ht="16.5" thickBot="1" x14ac:dyDescent="0.3">
      <c r="A19" s="40">
        <v>46266</v>
      </c>
      <c r="B19" s="39">
        <f>+'General Productos No. 1 Plana'!AD26</f>
        <v>1800000</v>
      </c>
      <c r="C19" s="69"/>
      <c r="D19" s="61">
        <v>0</v>
      </c>
      <c r="E19" s="38">
        <f t="shared" si="0"/>
        <v>0</v>
      </c>
      <c r="F19" s="69"/>
      <c r="G19" s="37"/>
      <c r="M19" s="41"/>
    </row>
    <row r="20" spans="1:13" ht="16.5" thickBot="1" x14ac:dyDescent="0.3">
      <c r="A20" s="40">
        <v>46296</v>
      </c>
      <c r="B20" s="39">
        <f>+'General Productos No. 1 Plana'!AD29</f>
        <v>1860000</v>
      </c>
      <c r="C20" s="69"/>
      <c r="D20" s="61">
        <v>0</v>
      </c>
      <c r="E20" s="38">
        <f t="shared" si="0"/>
        <v>0</v>
      </c>
      <c r="F20" s="69"/>
      <c r="G20" s="37"/>
    </row>
    <row r="21" spans="1:13" ht="16.5" thickBot="1" x14ac:dyDescent="0.3">
      <c r="A21" s="40">
        <v>46327</v>
      </c>
      <c r="B21" s="39">
        <f>+'General Productos No. 1 Plana'!AD32</f>
        <v>1800000</v>
      </c>
      <c r="C21" s="69"/>
      <c r="D21" s="62">
        <v>0</v>
      </c>
      <c r="E21" s="38">
        <f t="shared" si="0"/>
        <v>0</v>
      </c>
      <c r="F21" s="69"/>
      <c r="G21" s="37"/>
    </row>
    <row r="22" spans="1:13" ht="16.5" thickBot="1" x14ac:dyDescent="0.3">
      <c r="A22" s="40">
        <v>46357</v>
      </c>
      <c r="B22" s="39">
        <f>+'General Productos No. 1 Plana'!AD35</f>
        <v>7440000</v>
      </c>
      <c r="C22" s="69"/>
      <c r="D22" s="59">
        <v>0</v>
      </c>
      <c r="E22" s="38">
        <f t="shared" si="0"/>
        <v>0</v>
      </c>
      <c r="F22" s="69"/>
      <c r="G22" s="37"/>
    </row>
    <row r="23" spans="1:13" ht="16.5" thickBot="1" x14ac:dyDescent="0.3">
      <c r="A23" s="40">
        <v>46388</v>
      </c>
      <c r="B23" s="39">
        <f>+'General Productos No. 1 Plana'!AD38</f>
        <v>13392000</v>
      </c>
      <c r="C23" s="68">
        <f>SUM(B23:B34)</f>
        <v>93072000</v>
      </c>
      <c r="D23" s="59">
        <v>0</v>
      </c>
      <c r="E23" s="38">
        <f t="shared" si="0"/>
        <v>0</v>
      </c>
      <c r="F23" s="68">
        <f>SUM(E23:E34)</f>
        <v>0</v>
      </c>
      <c r="G23" s="37"/>
    </row>
    <row r="24" spans="1:13" ht="16.5" thickBot="1" x14ac:dyDescent="0.3">
      <c r="A24" s="40">
        <v>46419</v>
      </c>
      <c r="B24" s="39">
        <f>+'General Productos No. 1 Plana'!AD41</f>
        <v>12096000</v>
      </c>
      <c r="C24" s="69"/>
      <c r="D24" s="59">
        <v>0</v>
      </c>
      <c r="E24" s="38">
        <f t="shared" si="0"/>
        <v>0</v>
      </c>
      <c r="F24" s="69"/>
      <c r="G24" s="37"/>
    </row>
    <row r="25" spans="1:13" ht="16.5" thickBot="1" x14ac:dyDescent="0.3">
      <c r="A25" s="40">
        <v>46447</v>
      </c>
      <c r="B25" s="39">
        <f>+'General Productos No. 1 Plana'!AD44</f>
        <v>7440000</v>
      </c>
      <c r="C25" s="69"/>
      <c r="D25" s="59">
        <v>0</v>
      </c>
      <c r="E25" s="38">
        <f t="shared" si="0"/>
        <v>0</v>
      </c>
      <c r="F25" s="69"/>
      <c r="G25" s="37"/>
    </row>
    <row r="26" spans="1:13" ht="16.5" thickBot="1" x14ac:dyDescent="0.3">
      <c r="A26" s="40">
        <v>46478</v>
      </c>
      <c r="B26" s="39">
        <f>+'General Productos No. 1 Plana'!AD47</f>
        <v>12960000</v>
      </c>
      <c r="C26" s="69"/>
      <c r="D26" s="59">
        <v>0</v>
      </c>
      <c r="E26" s="38">
        <f t="shared" si="0"/>
        <v>0</v>
      </c>
      <c r="F26" s="69"/>
      <c r="G26" s="37"/>
    </row>
    <row r="27" spans="1:13" ht="16.5" thickBot="1" x14ac:dyDescent="0.3">
      <c r="A27" s="40">
        <v>46508</v>
      </c>
      <c r="B27" s="39">
        <f>+'General Productos No. 1 Plana'!AD50</f>
        <v>6696000</v>
      </c>
      <c r="C27" s="69"/>
      <c r="D27" s="59">
        <v>0</v>
      </c>
      <c r="E27" s="38">
        <f t="shared" si="0"/>
        <v>0</v>
      </c>
      <c r="F27" s="69"/>
      <c r="G27" s="37"/>
    </row>
    <row r="28" spans="1:13" ht="16.5" thickBot="1" x14ac:dyDescent="0.3">
      <c r="A28" s="40">
        <v>46539</v>
      </c>
      <c r="B28" s="39">
        <f>+'General Productos No. 1 Plana'!AD53</f>
        <v>10080000</v>
      </c>
      <c r="C28" s="69"/>
      <c r="D28" s="59">
        <v>0</v>
      </c>
      <c r="E28" s="38">
        <f t="shared" si="0"/>
        <v>0</v>
      </c>
      <c r="F28" s="69"/>
      <c r="G28" s="37"/>
    </row>
    <row r="29" spans="1:13" ht="16.5" thickBot="1" x14ac:dyDescent="0.3">
      <c r="A29" s="40">
        <v>46569</v>
      </c>
      <c r="B29" s="39">
        <f>+'General Productos No. 1 Plana'!AD56</f>
        <v>8928000</v>
      </c>
      <c r="C29" s="69"/>
      <c r="D29" s="59">
        <v>0</v>
      </c>
      <c r="E29" s="38">
        <f t="shared" si="0"/>
        <v>0</v>
      </c>
      <c r="F29" s="69"/>
      <c r="G29" s="37"/>
    </row>
    <row r="30" spans="1:13" ht="16.5" thickBot="1" x14ac:dyDescent="0.3">
      <c r="A30" s="40">
        <v>46600</v>
      </c>
      <c r="B30" s="39">
        <f>+'General Productos No. 1 Plana'!AD59</f>
        <v>9672000</v>
      </c>
      <c r="C30" s="69"/>
      <c r="D30" s="59">
        <v>0</v>
      </c>
      <c r="E30" s="38">
        <f t="shared" si="0"/>
        <v>0</v>
      </c>
      <c r="F30" s="69"/>
      <c r="G30" s="37"/>
    </row>
    <row r="31" spans="1:13" ht="16.5" thickBot="1" x14ac:dyDescent="0.3">
      <c r="A31" s="40">
        <v>46631</v>
      </c>
      <c r="B31" s="39">
        <f>+'General Productos No. 1 Plana'!AD62</f>
        <v>1440000</v>
      </c>
      <c r="C31" s="69"/>
      <c r="D31" s="59">
        <v>0</v>
      </c>
      <c r="E31" s="38">
        <f t="shared" si="0"/>
        <v>0</v>
      </c>
      <c r="F31" s="69"/>
      <c r="G31" s="37"/>
    </row>
    <row r="32" spans="1:13" ht="16.5" thickBot="1" x14ac:dyDescent="0.3">
      <c r="A32" s="40">
        <v>46661</v>
      </c>
      <c r="B32" s="39">
        <f>+'General Productos No. 1 Plana'!AD65</f>
        <v>1488000</v>
      </c>
      <c r="C32" s="69"/>
      <c r="D32" s="59">
        <v>0</v>
      </c>
      <c r="E32" s="38">
        <f t="shared" si="0"/>
        <v>0</v>
      </c>
      <c r="F32" s="69"/>
      <c r="G32" s="37"/>
    </row>
    <row r="33" spans="1:7" ht="16.5" thickBot="1" x14ac:dyDescent="0.3">
      <c r="A33" s="40">
        <v>46692</v>
      </c>
      <c r="B33" s="39">
        <f>+'General Productos No. 1 Plana'!AD68</f>
        <v>1440000</v>
      </c>
      <c r="C33" s="69"/>
      <c r="D33" s="59">
        <v>0</v>
      </c>
      <c r="E33" s="38">
        <f t="shared" si="0"/>
        <v>0</v>
      </c>
      <c r="F33" s="69"/>
      <c r="G33" s="37"/>
    </row>
    <row r="34" spans="1:7" ht="16.5" thickBot="1" x14ac:dyDescent="0.3">
      <c r="A34" s="40">
        <v>46722</v>
      </c>
      <c r="B34" s="39">
        <f>+'General Productos No. 1 Plana'!AD71</f>
        <v>7440000</v>
      </c>
      <c r="C34" s="69"/>
      <c r="D34" s="59">
        <v>0</v>
      </c>
      <c r="E34" s="38">
        <f t="shared" si="0"/>
        <v>0</v>
      </c>
      <c r="F34" s="69"/>
      <c r="G34" s="37"/>
    </row>
    <row r="35" spans="1:7" ht="16.5" thickBot="1" x14ac:dyDescent="0.3">
      <c r="A35" s="40">
        <v>46753</v>
      </c>
      <c r="B35" s="39">
        <f>+'General Productos No. 1 Plana'!AD74</f>
        <v>12276000</v>
      </c>
      <c r="C35" s="68">
        <f>SUM(B35:B46)</f>
        <v>78528000</v>
      </c>
      <c r="D35" s="59">
        <v>0</v>
      </c>
      <c r="E35" s="38">
        <f t="shared" si="0"/>
        <v>0</v>
      </c>
      <c r="F35" s="68">
        <f>SUM(E35:E46)</f>
        <v>0</v>
      </c>
      <c r="G35" s="37"/>
    </row>
    <row r="36" spans="1:7" ht="16.5" thickBot="1" x14ac:dyDescent="0.3">
      <c r="A36" s="40">
        <v>46784</v>
      </c>
      <c r="B36" s="39">
        <f>+'General Productos No. 1 Plana'!AD77</f>
        <v>10788000</v>
      </c>
      <c r="C36" s="69"/>
      <c r="D36" s="59">
        <v>0</v>
      </c>
      <c r="E36" s="38">
        <f t="shared" si="0"/>
        <v>0</v>
      </c>
      <c r="F36" s="69"/>
      <c r="G36" s="37"/>
    </row>
    <row r="37" spans="1:7" ht="16.5" thickBot="1" x14ac:dyDescent="0.3">
      <c r="A37" s="40">
        <v>46813</v>
      </c>
      <c r="B37" s="39">
        <f>+'General Productos No. 1 Plana'!AD80</f>
        <v>11904000</v>
      </c>
      <c r="C37" s="69"/>
      <c r="D37" s="59">
        <v>0</v>
      </c>
      <c r="E37" s="38">
        <f t="shared" si="0"/>
        <v>0</v>
      </c>
      <c r="F37" s="69"/>
      <c r="G37" s="37"/>
    </row>
    <row r="38" spans="1:7" ht="16.5" thickBot="1" x14ac:dyDescent="0.3">
      <c r="A38" s="40">
        <v>46844</v>
      </c>
      <c r="B38" s="39">
        <f>+'General Productos No. 1 Plana'!AD83</f>
        <v>8280000</v>
      </c>
      <c r="C38" s="69"/>
      <c r="D38" s="59">
        <v>0</v>
      </c>
      <c r="E38" s="38">
        <f t="shared" si="0"/>
        <v>0</v>
      </c>
      <c r="F38" s="69"/>
      <c r="G38" s="37"/>
    </row>
    <row r="39" spans="1:7" ht="16.5" thickBot="1" x14ac:dyDescent="0.3">
      <c r="A39" s="40">
        <v>46874</v>
      </c>
      <c r="B39" s="39">
        <f>+'General Productos No. 1 Plana'!AD86</f>
        <v>2232000</v>
      </c>
      <c r="C39" s="69"/>
      <c r="D39" s="59">
        <v>0</v>
      </c>
      <c r="E39" s="38">
        <f t="shared" si="0"/>
        <v>0</v>
      </c>
      <c r="F39" s="69"/>
      <c r="G39" s="37"/>
    </row>
    <row r="40" spans="1:7" ht="16.5" thickBot="1" x14ac:dyDescent="0.3">
      <c r="A40" s="40">
        <v>46905</v>
      </c>
      <c r="B40" s="39">
        <f>+'General Productos No. 1 Plana'!AD89</f>
        <v>2160000</v>
      </c>
      <c r="C40" s="69"/>
      <c r="D40" s="59">
        <v>0</v>
      </c>
      <c r="E40" s="38">
        <f t="shared" si="0"/>
        <v>0</v>
      </c>
      <c r="F40" s="69"/>
      <c r="G40" s="37"/>
    </row>
    <row r="41" spans="1:7" ht="16.5" thickBot="1" x14ac:dyDescent="0.3">
      <c r="A41" s="40">
        <v>46935</v>
      </c>
      <c r="B41" s="39">
        <f>+'General Productos No. 1 Plana'!AD92</f>
        <v>2232000</v>
      </c>
      <c r="C41" s="69"/>
      <c r="D41" s="59">
        <v>0</v>
      </c>
      <c r="E41" s="38">
        <f t="shared" si="0"/>
        <v>0</v>
      </c>
      <c r="F41" s="69"/>
      <c r="G41" s="37"/>
    </row>
    <row r="42" spans="1:7" ht="16.5" thickBot="1" x14ac:dyDescent="0.3">
      <c r="A42" s="40">
        <v>46966</v>
      </c>
      <c r="B42" s="39">
        <f>+'General Productos No. 1 Plana'!AD95</f>
        <v>2976000</v>
      </c>
      <c r="C42" s="69"/>
      <c r="D42" s="59">
        <v>0</v>
      </c>
      <c r="E42" s="38">
        <f t="shared" si="0"/>
        <v>0</v>
      </c>
      <c r="F42" s="69"/>
      <c r="G42" s="37"/>
    </row>
    <row r="43" spans="1:7" ht="16.5" thickBot="1" x14ac:dyDescent="0.3">
      <c r="A43" s="40">
        <v>46997</v>
      </c>
      <c r="B43" s="39">
        <f>+'General Productos No. 1 Plana'!AD98</f>
        <v>5400000</v>
      </c>
      <c r="C43" s="69"/>
      <c r="D43" s="59">
        <v>0</v>
      </c>
      <c r="E43" s="38">
        <f t="shared" si="0"/>
        <v>0</v>
      </c>
      <c r="F43" s="69"/>
      <c r="G43" s="37"/>
    </row>
    <row r="44" spans="1:7" ht="16.5" thickBot="1" x14ac:dyDescent="0.3">
      <c r="A44" s="40">
        <v>47027</v>
      </c>
      <c r="B44" s="39">
        <f>+'General Productos No. 1 Plana'!AD101</f>
        <v>7440000</v>
      </c>
      <c r="C44" s="69"/>
      <c r="D44" s="59">
        <v>0</v>
      </c>
      <c r="E44" s="38">
        <f t="shared" si="0"/>
        <v>0</v>
      </c>
      <c r="F44" s="69"/>
      <c r="G44" s="37"/>
    </row>
    <row r="45" spans="1:7" ht="16.5" thickBot="1" x14ac:dyDescent="0.3">
      <c r="A45" s="40">
        <v>47058</v>
      </c>
      <c r="B45" s="39">
        <f>+'General Productos No. 1 Plana'!AD104</f>
        <v>5400000</v>
      </c>
      <c r="C45" s="69"/>
      <c r="D45" s="59">
        <v>0</v>
      </c>
      <c r="E45" s="38">
        <f t="shared" si="0"/>
        <v>0</v>
      </c>
      <c r="F45" s="69"/>
      <c r="G45" s="37"/>
    </row>
    <row r="46" spans="1:7" ht="16.5" thickBot="1" x14ac:dyDescent="0.3">
      <c r="A46" s="40">
        <v>47088</v>
      </c>
      <c r="B46" s="39">
        <f>+'General Productos No. 1 Plana'!AD107</f>
        <v>7440000</v>
      </c>
      <c r="C46" s="69"/>
      <c r="D46" s="59">
        <v>0</v>
      </c>
      <c r="E46" s="38">
        <f t="shared" si="0"/>
        <v>0</v>
      </c>
      <c r="F46" s="69"/>
      <c r="G46" s="37"/>
    </row>
    <row r="47" spans="1:7" ht="16.5" thickBot="1" x14ac:dyDescent="0.3">
      <c r="A47" s="36" t="s">
        <v>37</v>
      </c>
      <c r="B47" s="35">
        <f>SUM(B11:B46)</f>
        <v>263616000</v>
      </c>
      <c r="C47" s="35">
        <f>SUM(C11:C46)</f>
        <v>263616000</v>
      </c>
      <c r="D47" s="58"/>
      <c r="E47" s="35">
        <f>SUM(E11:E22)</f>
        <v>0</v>
      </c>
      <c r="F47" s="35">
        <f>SUM(F11:F22)</f>
        <v>0</v>
      </c>
      <c r="G47" s="35" t="str">
        <f>IFERROR(SUMPRODUCT(F11:F22,G11:G22)/SUM(F11:F22),"")</f>
        <v/>
      </c>
    </row>
    <row r="48" spans="1:7" x14ac:dyDescent="0.25">
      <c r="A48" s="29"/>
      <c r="B48" s="27"/>
      <c r="C48" s="27"/>
      <c r="D48" s="28"/>
      <c r="E48" s="27"/>
      <c r="F48" s="27"/>
      <c r="G48" s="34"/>
    </row>
    <row r="49" spans="1:7" x14ac:dyDescent="0.25">
      <c r="A49" s="33" t="s">
        <v>36</v>
      </c>
      <c r="B49" s="27"/>
      <c r="C49" s="27"/>
      <c r="D49" s="28"/>
      <c r="E49" s="27"/>
      <c r="F49" s="27"/>
      <c r="G49" s="22"/>
    </row>
    <row r="50" spans="1:7" ht="24" customHeight="1" x14ac:dyDescent="0.25">
      <c r="A50" s="63" t="s">
        <v>35</v>
      </c>
      <c r="B50" s="63"/>
      <c r="C50" s="63"/>
      <c r="D50" s="63"/>
      <c r="E50" s="63"/>
      <c r="F50" s="63"/>
      <c r="G50" s="63"/>
    </row>
    <row r="51" spans="1:7" ht="33.6" customHeight="1" x14ac:dyDescent="0.25">
      <c r="A51" s="63" t="s">
        <v>34</v>
      </c>
      <c r="B51" s="63"/>
      <c r="C51" s="63"/>
      <c r="D51" s="63"/>
      <c r="E51" s="63"/>
      <c r="F51" s="63"/>
      <c r="G51" s="63"/>
    </row>
    <row r="52" spans="1:7" ht="42" customHeight="1" x14ac:dyDescent="0.25">
      <c r="A52" s="67" t="s">
        <v>55</v>
      </c>
      <c r="B52" s="67"/>
      <c r="C52" s="67"/>
      <c r="D52" s="67"/>
      <c r="E52" s="67"/>
      <c r="F52" s="67"/>
      <c r="G52" s="67"/>
    </row>
    <row r="53" spans="1:7" ht="48.6" customHeight="1" x14ac:dyDescent="0.25">
      <c r="A53" s="67" t="s">
        <v>48</v>
      </c>
      <c r="B53" s="67"/>
      <c r="C53" s="67"/>
      <c r="D53" s="67"/>
      <c r="E53" s="67"/>
      <c r="F53" s="67"/>
      <c r="G53" s="67"/>
    </row>
    <row r="54" spans="1:7" ht="28.9" customHeight="1" x14ac:dyDescent="0.25">
      <c r="A54" s="63" t="s">
        <v>49</v>
      </c>
      <c r="B54" s="63"/>
      <c r="C54" s="63"/>
      <c r="D54" s="63"/>
      <c r="E54" s="63"/>
      <c r="F54" s="63"/>
      <c r="G54" s="63"/>
    </row>
    <row r="55" spans="1:7" ht="44.45" customHeight="1" x14ac:dyDescent="0.25">
      <c r="A55" s="63" t="s">
        <v>50</v>
      </c>
      <c r="B55" s="63"/>
      <c r="C55" s="63"/>
      <c r="D55" s="63"/>
      <c r="E55" s="63"/>
      <c r="F55" s="63"/>
      <c r="G55" s="63"/>
    </row>
    <row r="56" spans="1:7" ht="33" customHeight="1" x14ac:dyDescent="0.25">
      <c r="A56" s="67" t="s">
        <v>56</v>
      </c>
      <c r="B56" s="67"/>
      <c r="C56" s="67"/>
      <c r="D56" s="67"/>
      <c r="E56" s="67"/>
      <c r="F56" s="67"/>
      <c r="G56" s="67"/>
    </row>
    <row r="57" spans="1:7" ht="27.6" customHeight="1" x14ac:dyDescent="0.25">
      <c r="A57" s="30" t="s">
        <v>51</v>
      </c>
      <c r="B57" s="32"/>
      <c r="C57" s="32"/>
      <c r="D57" s="31"/>
      <c r="E57" s="30"/>
      <c r="F57" s="30"/>
      <c r="G57" s="30"/>
    </row>
    <row r="58" spans="1:7" ht="28.15" customHeight="1" x14ac:dyDescent="0.25">
      <c r="A58" s="63" t="s">
        <v>52</v>
      </c>
      <c r="B58" s="63"/>
      <c r="C58" s="63"/>
      <c r="D58" s="63"/>
      <c r="E58" s="63"/>
      <c r="F58" s="63"/>
      <c r="G58" s="63"/>
    </row>
    <row r="59" spans="1:7" ht="23.45" customHeight="1" x14ac:dyDescent="0.25">
      <c r="A59" s="63" t="s">
        <v>53</v>
      </c>
      <c r="B59" s="63"/>
      <c r="C59" s="63"/>
      <c r="D59" s="63"/>
      <c r="E59" s="63"/>
      <c r="F59" s="63"/>
      <c r="G59" s="63"/>
    </row>
    <row r="60" spans="1:7" ht="18" customHeight="1" x14ac:dyDescent="0.25">
      <c r="A60" s="63"/>
      <c r="B60" s="63"/>
      <c r="C60" s="63"/>
      <c r="D60" s="63"/>
      <c r="E60" s="63"/>
      <c r="F60" s="63"/>
      <c r="G60" s="63"/>
    </row>
    <row r="61" spans="1:7" x14ac:dyDescent="0.25">
      <c r="A61" s="56"/>
      <c r="B61" s="56"/>
      <c r="C61" s="56"/>
      <c r="D61" s="56"/>
      <c r="E61" s="56"/>
      <c r="F61" s="56"/>
      <c r="G61" s="56"/>
    </row>
    <row r="62" spans="1:7" x14ac:dyDescent="0.25">
      <c r="A62" s="64" t="s">
        <v>33</v>
      </c>
      <c r="B62" s="64"/>
      <c r="C62" s="64"/>
      <c r="D62" s="64"/>
      <c r="E62" s="24"/>
      <c r="F62" s="24"/>
      <c r="G62" s="22"/>
    </row>
    <row r="63" spans="1:7" x14ac:dyDescent="0.25">
      <c r="A63" s="26"/>
      <c r="B63" s="24"/>
      <c r="C63" s="24"/>
      <c r="D63" s="25"/>
      <c r="E63" s="24"/>
      <c r="F63" s="24"/>
      <c r="G63" s="22"/>
    </row>
    <row r="64" spans="1:7" x14ac:dyDescent="0.25">
      <c r="A64" s="26"/>
      <c r="B64" s="24"/>
      <c r="C64" s="24"/>
      <c r="D64" s="25"/>
      <c r="E64" s="24"/>
      <c r="F64" s="24"/>
      <c r="G64" s="22"/>
    </row>
    <row r="65" spans="1:7" x14ac:dyDescent="0.25">
      <c r="A65" s="65" t="s">
        <v>54</v>
      </c>
      <c r="B65" s="65"/>
      <c r="C65" s="65"/>
      <c r="D65" s="65"/>
      <c r="E65" s="57"/>
      <c r="F65" s="23"/>
      <c r="G65" s="22"/>
    </row>
    <row r="66" spans="1:7" x14ac:dyDescent="0.25">
      <c r="A66" s="66" t="s">
        <v>32</v>
      </c>
      <c r="B66" s="66"/>
      <c r="C66" s="66"/>
      <c r="D66" s="66"/>
      <c r="E66" s="57"/>
      <c r="F66" s="23"/>
      <c r="G66" s="22"/>
    </row>
    <row r="67" spans="1:7" x14ac:dyDescent="0.25">
      <c r="B67" s="21"/>
      <c r="C67" s="21"/>
      <c r="E67" s="21"/>
      <c r="F67" s="21"/>
      <c r="G67" s="21"/>
    </row>
    <row r="68" spans="1:7" x14ac:dyDescent="0.25">
      <c r="B68" s="21"/>
      <c r="C68" s="21"/>
      <c r="E68" s="21"/>
      <c r="F68" s="21"/>
      <c r="G68" s="21"/>
    </row>
    <row r="69" spans="1:7" x14ac:dyDescent="0.25">
      <c r="B69" s="21"/>
      <c r="C69" s="21"/>
      <c r="E69" s="21"/>
      <c r="F69" s="21"/>
      <c r="G69" s="21"/>
    </row>
    <row r="70" spans="1:7" x14ac:dyDescent="0.25">
      <c r="B70" s="21"/>
      <c r="C70" s="21"/>
      <c r="E70" s="21"/>
      <c r="F70" s="21"/>
      <c r="G70" s="21"/>
    </row>
    <row r="71" spans="1:7" x14ac:dyDescent="0.25">
      <c r="B71" s="21"/>
      <c r="C71" s="21"/>
      <c r="E71" s="21"/>
      <c r="F71" s="21"/>
      <c r="G71" s="21"/>
    </row>
  </sheetData>
  <protectedRanges>
    <protectedRange sqref="J47:XFD53 H47:H53 A62:G66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G18:G46 D18:D46" name="Oferta despacho"/>
  </protectedRanges>
  <mergeCells count="21">
    <mergeCell ref="A66:D66"/>
    <mergeCell ref="A56:G56"/>
    <mergeCell ref="C35:C46"/>
    <mergeCell ref="F35:F46"/>
    <mergeCell ref="A5:G6"/>
    <mergeCell ref="B8:G8"/>
    <mergeCell ref="C11:C22"/>
    <mergeCell ref="F11:F22"/>
    <mergeCell ref="C23:C34"/>
    <mergeCell ref="F23:F34"/>
    <mergeCell ref="A50:G50"/>
    <mergeCell ref="A51:G51"/>
    <mergeCell ref="A52:G52"/>
    <mergeCell ref="A54:G54"/>
    <mergeCell ref="A55:G55"/>
    <mergeCell ref="A53:G53"/>
    <mergeCell ref="A58:G58"/>
    <mergeCell ref="A59:G59"/>
    <mergeCell ref="A60:G60"/>
    <mergeCell ref="A62:D62"/>
    <mergeCell ref="A65:D65"/>
  </mergeCells>
  <conditionalFormatting sqref="G47">
    <cfRule type="containsText" dxfId="1" priority="1" operator="containsText" text="No cumple con la relación requerida para ofertar">
      <formula>NOT(ISERROR(SEARCH("No cumple con la relación requerida para ofertar",G47)))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48F0-C70D-4891-B3A8-5D4937F1CF65}">
  <dimension ref="A1:AE110"/>
  <sheetViews>
    <sheetView topLeftCell="A85" zoomScaleNormal="100" workbookViewId="0">
      <selection activeCell="AD38" sqref="AD38:AD73"/>
    </sheetView>
  </sheetViews>
  <sheetFormatPr baseColWidth="10" defaultColWidth="11.42578125" defaultRowHeight="15" x14ac:dyDescent="0.25"/>
  <cols>
    <col min="1" max="1" width="6.85546875" style="10" customWidth="1"/>
    <col min="2" max="2" width="6" style="10" customWidth="1"/>
    <col min="3" max="3" width="7.140625" style="10" customWidth="1"/>
    <col min="4" max="4" width="11.42578125" style="10"/>
    <col min="5" max="28" width="11.42578125" style="2"/>
    <col min="29" max="29" width="14.85546875" style="2" customWidth="1"/>
    <col min="30" max="30" width="14.140625" style="2" customWidth="1"/>
    <col min="31" max="31" width="16.7109375" style="2" customWidth="1"/>
    <col min="32" max="16384" width="11.42578125" style="2"/>
  </cols>
  <sheetData>
    <row r="1" spans="1:31" ht="30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4</v>
      </c>
      <c r="AD1" s="55" t="s">
        <v>46</v>
      </c>
    </row>
    <row r="2" spans="1:31" ht="15.75" thickBot="1" x14ac:dyDescent="0.3">
      <c r="A2" s="11">
        <v>2026</v>
      </c>
      <c r="B2" s="12">
        <v>1</v>
      </c>
      <c r="C2" s="12">
        <v>6</v>
      </c>
      <c r="D2" s="12" t="s">
        <v>5</v>
      </c>
      <c r="E2" s="7">
        <v>13600</v>
      </c>
      <c r="F2" s="7">
        <v>13600</v>
      </c>
      <c r="G2" s="7">
        <v>13600</v>
      </c>
      <c r="H2" s="7">
        <v>13600</v>
      </c>
      <c r="I2" s="7">
        <v>13600</v>
      </c>
      <c r="J2" s="7">
        <v>13600</v>
      </c>
      <c r="K2" s="7">
        <v>13600</v>
      </c>
      <c r="L2" s="7">
        <v>13600</v>
      </c>
      <c r="M2" s="7">
        <v>13600</v>
      </c>
      <c r="N2" s="7">
        <v>13600</v>
      </c>
      <c r="O2" s="7">
        <v>13600</v>
      </c>
      <c r="P2" s="7">
        <v>13600</v>
      </c>
      <c r="Q2" s="7">
        <v>13600</v>
      </c>
      <c r="R2" s="7">
        <v>13600</v>
      </c>
      <c r="S2" s="7">
        <v>13600</v>
      </c>
      <c r="T2" s="7">
        <v>13600</v>
      </c>
      <c r="U2" s="7">
        <v>13600</v>
      </c>
      <c r="V2" s="7">
        <v>13600</v>
      </c>
      <c r="W2" s="7">
        <v>13600</v>
      </c>
      <c r="X2" s="7">
        <v>13600</v>
      </c>
      <c r="Y2" s="7">
        <v>13600</v>
      </c>
      <c r="Z2" s="7">
        <v>13600</v>
      </c>
      <c r="AA2" s="7">
        <v>13600</v>
      </c>
      <c r="AB2" s="7">
        <v>13600</v>
      </c>
      <c r="AC2" s="6">
        <f>SUM(E2:AB2)</f>
        <v>326400</v>
      </c>
      <c r="AD2" s="76">
        <f>+SUMPRODUCT(AC2:AC4,C2:C4)</f>
        <v>10118400</v>
      </c>
      <c r="AE2" s="74">
        <f>+SUM(AD2:AD37)</f>
        <v>92016000</v>
      </c>
    </row>
    <row r="3" spans="1:31" ht="15.75" thickBot="1" x14ac:dyDescent="0.3">
      <c r="A3" s="13">
        <v>2026</v>
      </c>
      <c r="B3" s="1">
        <v>1</v>
      </c>
      <c r="C3" s="1">
        <v>20</v>
      </c>
      <c r="D3" s="1" t="s">
        <v>31</v>
      </c>
      <c r="E3" s="7">
        <v>13600</v>
      </c>
      <c r="F3" s="7">
        <v>13600</v>
      </c>
      <c r="G3" s="7">
        <v>13600</v>
      </c>
      <c r="H3" s="7">
        <v>13600</v>
      </c>
      <c r="I3" s="7">
        <v>13600</v>
      </c>
      <c r="J3" s="7">
        <v>13600</v>
      </c>
      <c r="K3" s="7">
        <v>13600</v>
      </c>
      <c r="L3" s="7">
        <v>13600</v>
      </c>
      <c r="M3" s="7">
        <v>13600</v>
      </c>
      <c r="N3" s="7">
        <v>13600</v>
      </c>
      <c r="O3" s="7">
        <v>13600</v>
      </c>
      <c r="P3" s="7">
        <v>13600</v>
      </c>
      <c r="Q3" s="7">
        <v>13600</v>
      </c>
      <c r="R3" s="7">
        <v>13600</v>
      </c>
      <c r="S3" s="7">
        <v>13600</v>
      </c>
      <c r="T3" s="7">
        <v>13600</v>
      </c>
      <c r="U3" s="7">
        <v>13600</v>
      </c>
      <c r="V3" s="7">
        <v>13600</v>
      </c>
      <c r="W3" s="7">
        <v>13600</v>
      </c>
      <c r="X3" s="7">
        <v>13600</v>
      </c>
      <c r="Y3" s="7">
        <v>13600</v>
      </c>
      <c r="Z3" s="7">
        <v>13600</v>
      </c>
      <c r="AA3" s="7">
        <v>13600</v>
      </c>
      <c r="AB3" s="7">
        <v>13600</v>
      </c>
      <c r="AC3" s="6">
        <f t="shared" ref="AC3:AC66" si="0">SUM(E3:AB3)</f>
        <v>326400</v>
      </c>
      <c r="AD3" s="77"/>
      <c r="AE3" s="75"/>
    </row>
    <row r="4" spans="1:31" ht="15.75" thickBot="1" x14ac:dyDescent="0.3">
      <c r="A4" s="14">
        <v>2026</v>
      </c>
      <c r="B4" s="15">
        <v>1</v>
      </c>
      <c r="C4" s="15">
        <v>5</v>
      </c>
      <c r="D4" s="15" t="s">
        <v>6</v>
      </c>
      <c r="E4" s="7">
        <v>13600</v>
      </c>
      <c r="F4" s="7">
        <v>13600</v>
      </c>
      <c r="G4" s="7">
        <v>13600</v>
      </c>
      <c r="H4" s="7">
        <v>13600</v>
      </c>
      <c r="I4" s="7">
        <v>13600</v>
      </c>
      <c r="J4" s="7">
        <v>13600</v>
      </c>
      <c r="K4" s="7">
        <v>13600</v>
      </c>
      <c r="L4" s="7">
        <v>13600</v>
      </c>
      <c r="M4" s="7">
        <v>13600</v>
      </c>
      <c r="N4" s="7">
        <v>13600</v>
      </c>
      <c r="O4" s="7">
        <v>13600</v>
      </c>
      <c r="P4" s="7">
        <v>13600</v>
      </c>
      <c r="Q4" s="7">
        <v>13600</v>
      </c>
      <c r="R4" s="7">
        <v>13600</v>
      </c>
      <c r="S4" s="7">
        <v>13600</v>
      </c>
      <c r="T4" s="7">
        <v>13600</v>
      </c>
      <c r="U4" s="7">
        <v>13600</v>
      </c>
      <c r="V4" s="7">
        <v>13600</v>
      </c>
      <c r="W4" s="7">
        <v>13600</v>
      </c>
      <c r="X4" s="7">
        <v>13600</v>
      </c>
      <c r="Y4" s="7">
        <v>13600</v>
      </c>
      <c r="Z4" s="7">
        <v>13600</v>
      </c>
      <c r="AA4" s="7">
        <v>13600</v>
      </c>
      <c r="AB4" s="7">
        <v>13600</v>
      </c>
      <c r="AC4" s="6">
        <f t="shared" si="0"/>
        <v>326400</v>
      </c>
      <c r="AD4" s="78"/>
      <c r="AE4" s="75"/>
    </row>
    <row r="5" spans="1:31" ht="15.75" thickBot="1" x14ac:dyDescent="0.3">
      <c r="A5" s="11">
        <v>2026</v>
      </c>
      <c r="B5" s="12">
        <v>2</v>
      </c>
      <c r="C5" s="12">
        <v>4</v>
      </c>
      <c r="D5" s="12" t="s">
        <v>5</v>
      </c>
      <c r="E5" s="7">
        <v>15500</v>
      </c>
      <c r="F5" s="7">
        <v>15500</v>
      </c>
      <c r="G5" s="7">
        <v>15500</v>
      </c>
      <c r="H5" s="7">
        <v>15500</v>
      </c>
      <c r="I5" s="7">
        <v>15500</v>
      </c>
      <c r="J5" s="7">
        <v>15500</v>
      </c>
      <c r="K5" s="7">
        <v>15500</v>
      </c>
      <c r="L5" s="7">
        <v>15500</v>
      </c>
      <c r="M5" s="7">
        <v>15500</v>
      </c>
      <c r="N5" s="7">
        <v>15500</v>
      </c>
      <c r="O5" s="7">
        <v>15500</v>
      </c>
      <c r="P5" s="7">
        <v>15500</v>
      </c>
      <c r="Q5" s="7">
        <v>15500</v>
      </c>
      <c r="R5" s="7">
        <v>15500</v>
      </c>
      <c r="S5" s="7">
        <v>15500</v>
      </c>
      <c r="T5" s="7">
        <v>15500</v>
      </c>
      <c r="U5" s="7">
        <v>15500</v>
      </c>
      <c r="V5" s="7">
        <v>15500</v>
      </c>
      <c r="W5" s="7">
        <v>15500</v>
      </c>
      <c r="X5" s="7">
        <v>15500</v>
      </c>
      <c r="Y5" s="7">
        <v>15500</v>
      </c>
      <c r="Z5" s="7">
        <v>15500</v>
      </c>
      <c r="AA5" s="7">
        <v>15500</v>
      </c>
      <c r="AB5" s="7">
        <v>15500</v>
      </c>
      <c r="AC5" s="6">
        <f t="shared" si="0"/>
        <v>372000</v>
      </c>
      <c r="AD5" s="76">
        <f t="shared" ref="AD5" si="1">+SUMPRODUCT(AC5:AC7,C5:C7)</f>
        <v>10416000</v>
      </c>
      <c r="AE5" s="75"/>
    </row>
    <row r="6" spans="1:31" ht="15.75" thickBot="1" x14ac:dyDescent="0.3">
      <c r="A6" s="13">
        <v>2026</v>
      </c>
      <c r="B6" s="1">
        <v>2</v>
      </c>
      <c r="C6" s="1">
        <v>20</v>
      </c>
      <c r="D6" s="1" t="s">
        <v>31</v>
      </c>
      <c r="E6" s="7">
        <v>15500</v>
      </c>
      <c r="F6" s="7">
        <v>15500</v>
      </c>
      <c r="G6" s="7">
        <v>15500</v>
      </c>
      <c r="H6" s="7">
        <v>15500</v>
      </c>
      <c r="I6" s="7">
        <v>15500</v>
      </c>
      <c r="J6" s="7">
        <v>15500</v>
      </c>
      <c r="K6" s="7">
        <v>15500</v>
      </c>
      <c r="L6" s="7">
        <v>15500</v>
      </c>
      <c r="M6" s="7">
        <v>15500</v>
      </c>
      <c r="N6" s="7">
        <v>15500</v>
      </c>
      <c r="O6" s="7">
        <v>15500</v>
      </c>
      <c r="P6" s="7">
        <v>15500</v>
      </c>
      <c r="Q6" s="7">
        <v>15500</v>
      </c>
      <c r="R6" s="7">
        <v>15500</v>
      </c>
      <c r="S6" s="7">
        <v>15500</v>
      </c>
      <c r="T6" s="7">
        <v>15500</v>
      </c>
      <c r="U6" s="7">
        <v>15500</v>
      </c>
      <c r="V6" s="7">
        <v>15500</v>
      </c>
      <c r="W6" s="7">
        <v>15500</v>
      </c>
      <c r="X6" s="7">
        <v>15500</v>
      </c>
      <c r="Y6" s="7">
        <v>15500</v>
      </c>
      <c r="Z6" s="7">
        <v>15500</v>
      </c>
      <c r="AA6" s="7">
        <v>15500</v>
      </c>
      <c r="AB6" s="7">
        <v>15500</v>
      </c>
      <c r="AC6" s="6">
        <f t="shared" si="0"/>
        <v>372000</v>
      </c>
      <c r="AD6" s="77"/>
      <c r="AE6" s="75"/>
    </row>
    <row r="7" spans="1:31" ht="15.75" thickBot="1" x14ac:dyDescent="0.3">
      <c r="A7" s="14">
        <v>2026</v>
      </c>
      <c r="B7" s="15">
        <v>2</v>
      </c>
      <c r="C7" s="15">
        <v>4</v>
      </c>
      <c r="D7" s="15" t="s">
        <v>6</v>
      </c>
      <c r="E7" s="7">
        <v>15500</v>
      </c>
      <c r="F7" s="7">
        <v>15500</v>
      </c>
      <c r="G7" s="7">
        <v>15500</v>
      </c>
      <c r="H7" s="7">
        <v>15500</v>
      </c>
      <c r="I7" s="7">
        <v>15500</v>
      </c>
      <c r="J7" s="7">
        <v>15500</v>
      </c>
      <c r="K7" s="7">
        <v>15500</v>
      </c>
      <c r="L7" s="7">
        <v>15500</v>
      </c>
      <c r="M7" s="7">
        <v>15500</v>
      </c>
      <c r="N7" s="7">
        <v>15500</v>
      </c>
      <c r="O7" s="7">
        <v>15500</v>
      </c>
      <c r="P7" s="7">
        <v>15500</v>
      </c>
      <c r="Q7" s="7">
        <v>15500</v>
      </c>
      <c r="R7" s="7">
        <v>15500</v>
      </c>
      <c r="S7" s="7">
        <v>15500</v>
      </c>
      <c r="T7" s="7">
        <v>15500</v>
      </c>
      <c r="U7" s="7">
        <v>15500</v>
      </c>
      <c r="V7" s="7">
        <v>15500</v>
      </c>
      <c r="W7" s="7">
        <v>15500</v>
      </c>
      <c r="X7" s="7">
        <v>15500</v>
      </c>
      <c r="Y7" s="7">
        <v>15500</v>
      </c>
      <c r="Z7" s="7">
        <v>15500</v>
      </c>
      <c r="AA7" s="7">
        <v>15500</v>
      </c>
      <c r="AB7" s="7">
        <v>15500</v>
      </c>
      <c r="AC7" s="6">
        <f t="shared" si="0"/>
        <v>372000</v>
      </c>
      <c r="AD7" s="78"/>
      <c r="AE7" s="75"/>
    </row>
    <row r="8" spans="1:31" ht="15.75" thickBot="1" x14ac:dyDescent="0.3">
      <c r="A8" s="11">
        <v>2026</v>
      </c>
      <c r="B8" s="12">
        <v>3</v>
      </c>
      <c r="C8" s="12">
        <v>6</v>
      </c>
      <c r="D8" s="12" t="s">
        <v>5</v>
      </c>
      <c r="E8" s="7">
        <v>16900</v>
      </c>
      <c r="F8" s="7">
        <v>16900</v>
      </c>
      <c r="G8" s="7">
        <v>16900</v>
      </c>
      <c r="H8" s="7">
        <v>16900</v>
      </c>
      <c r="I8" s="7">
        <v>16900</v>
      </c>
      <c r="J8" s="7">
        <v>16900</v>
      </c>
      <c r="K8" s="7">
        <v>16900</v>
      </c>
      <c r="L8" s="7">
        <v>16900</v>
      </c>
      <c r="M8" s="7">
        <v>16900</v>
      </c>
      <c r="N8" s="7">
        <v>16900</v>
      </c>
      <c r="O8" s="7">
        <v>16900</v>
      </c>
      <c r="P8" s="7">
        <v>16900</v>
      </c>
      <c r="Q8" s="7">
        <v>16900</v>
      </c>
      <c r="R8" s="7">
        <v>16900</v>
      </c>
      <c r="S8" s="7">
        <v>16900</v>
      </c>
      <c r="T8" s="7">
        <v>16900</v>
      </c>
      <c r="U8" s="7">
        <v>16900</v>
      </c>
      <c r="V8" s="7">
        <v>16900</v>
      </c>
      <c r="W8" s="7">
        <v>16900</v>
      </c>
      <c r="X8" s="7">
        <v>16900</v>
      </c>
      <c r="Y8" s="7">
        <v>16900</v>
      </c>
      <c r="Z8" s="7">
        <v>16900</v>
      </c>
      <c r="AA8" s="7">
        <v>16900</v>
      </c>
      <c r="AB8" s="7">
        <v>16900</v>
      </c>
      <c r="AC8" s="6">
        <f t="shared" si="0"/>
        <v>405600</v>
      </c>
      <c r="AD8" s="76">
        <f t="shared" ref="AD8" si="2">+SUMPRODUCT(AC8:AC10,C8:C10)</f>
        <v>12573600</v>
      </c>
      <c r="AE8" s="75"/>
    </row>
    <row r="9" spans="1:31" ht="15.75" thickBot="1" x14ac:dyDescent="0.3">
      <c r="A9" s="13">
        <v>2026</v>
      </c>
      <c r="B9" s="1">
        <v>3</v>
      </c>
      <c r="C9" s="1">
        <v>21</v>
      </c>
      <c r="D9" s="1" t="s">
        <v>31</v>
      </c>
      <c r="E9" s="7">
        <v>16900</v>
      </c>
      <c r="F9" s="7">
        <v>16900</v>
      </c>
      <c r="G9" s="7">
        <v>16900</v>
      </c>
      <c r="H9" s="7">
        <v>16900</v>
      </c>
      <c r="I9" s="7">
        <v>16900</v>
      </c>
      <c r="J9" s="7">
        <v>16900</v>
      </c>
      <c r="K9" s="7">
        <v>16900</v>
      </c>
      <c r="L9" s="7">
        <v>16900</v>
      </c>
      <c r="M9" s="7">
        <v>16900</v>
      </c>
      <c r="N9" s="7">
        <v>16900</v>
      </c>
      <c r="O9" s="7">
        <v>16900</v>
      </c>
      <c r="P9" s="7">
        <v>16900</v>
      </c>
      <c r="Q9" s="7">
        <v>16900</v>
      </c>
      <c r="R9" s="7">
        <v>16900</v>
      </c>
      <c r="S9" s="7">
        <v>16900</v>
      </c>
      <c r="T9" s="7">
        <v>16900</v>
      </c>
      <c r="U9" s="7">
        <v>16900</v>
      </c>
      <c r="V9" s="7">
        <v>16900</v>
      </c>
      <c r="W9" s="7">
        <v>16900</v>
      </c>
      <c r="X9" s="7">
        <v>16900</v>
      </c>
      <c r="Y9" s="7">
        <v>16900</v>
      </c>
      <c r="Z9" s="7">
        <v>16900</v>
      </c>
      <c r="AA9" s="7">
        <v>16900</v>
      </c>
      <c r="AB9" s="7">
        <v>16900</v>
      </c>
      <c r="AC9" s="6">
        <f t="shared" si="0"/>
        <v>405600</v>
      </c>
      <c r="AD9" s="77"/>
      <c r="AE9" s="75"/>
    </row>
    <row r="10" spans="1:31" ht="15.75" thickBot="1" x14ac:dyDescent="0.3">
      <c r="A10" s="14">
        <v>2026</v>
      </c>
      <c r="B10" s="15">
        <v>3</v>
      </c>
      <c r="C10" s="15">
        <v>4</v>
      </c>
      <c r="D10" s="15" t="s">
        <v>6</v>
      </c>
      <c r="E10" s="7">
        <v>16900</v>
      </c>
      <c r="F10" s="7">
        <v>16900</v>
      </c>
      <c r="G10" s="7">
        <v>16900</v>
      </c>
      <c r="H10" s="7">
        <v>16900</v>
      </c>
      <c r="I10" s="7">
        <v>16900</v>
      </c>
      <c r="J10" s="7">
        <v>16900</v>
      </c>
      <c r="K10" s="7">
        <v>16900</v>
      </c>
      <c r="L10" s="7">
        <v>16900</v>
      </c>
      <c r="M10" s="7">
        <v>16900</v>
      </c>
      <c r="N10" s="7">
        <v>16900</v>
      </c>
      <c r="O10" s="7">
        <v>16900</v>
      </c>
      <c r="P10" s="7">
        <v>16900</v>
      </c>
      <c r="Q10" s="7">
        <v>16900</v>
      </c>
      <c r="R10" s="7">
        <v>16900</v>
      </c>
      <c r="S10" s="7">
        <v>16900</v>
      </c>
      <c r="T10" s="7">
        <v>16900</v>
      </c>
      <c r="U10" s="7">
        <v>16900</v>
      </c>
      <c r="V10" s="7">
        <v>16900</v>
      </c>
      <c r="W10" s="7">
        <v>16900</v>
      </c>
      <c r="X10" s="7">
        <v>16900</v>
      </c>
      <c r="Y10" s="7">
        <v>16900</v>
      </c>
      <c r="Z10" s="7">
        <v>16900</v>
      </c>
      <c r="AA10" s="7">
        <v>16900</v>
      </c>
      <c r="AB10" s="7">
        <v>16900</v>
      </c>
      <c r="AC10" s="6">
        <f t="shared" si="0"/>
        <v>405600</v>
      </c>
      <c r="AD10" s="78"/>
      <c r="AE10" s="75"/>
    </row>
    <row r="11" spans="1:31" ht="15.75" thickBot="1" x14ac:dyDescent="0.3">
      <c r="A11" s="11">
        <v>2026</v>
      </c>
      <c r="B11" s="12">
        <v>4</v>
      </c>
      <c r="C11" s="12">
        <v>6</v>
      </c>
      <c r="D11" s="12" t="s">
        <v>5</v>
      </c>
      <c r="E11" s="7">
        <v>12000</v>
      </c>
      <c r="F11" s="7">
        <v>12000</v>
      </c>
      <c r="G11" s="7">
        <v>12000</v>
      </c>
      <c r="H11" s="7">
        <v>12000</v>
      </c>
      <c r="I11" s="7">
        <v>12000</v>
      </c>
      <c r="J11" s="7">
        <v>12000</v>
      </c>
      <c r="K11" s="7">
        <v>12000</v>
      </c>
      <c r="L11" s="7">
        <v>12000</v>
      </c>
      <c r="M11" s="7">
        <v>12000</v>
      </c>
      <c r="N11" s="7">
        <v>12000</v>
      </c>
      <c r="O11" s="7">
        <v>12000</v>
      </c>
      <c r="P11" s="7">
        <v>12000</v>
      </c>
      <c r="Q11" s="7">
        <v>12000</v>
      </c>
      <c r="R11" s="7">
        <v>12000</v>
      </c>
      <c r="S11" s="7">
        <v>12000</v>
      </c>
      <c r="T11" s="7">
        <v>12000</v>
      </c>
      <c r="U11" s="7">
        <v>12000</v>
      </c>
      <c r="V11" s="7">
        <v>12000</v>
      </c>
      <c r="W11" s="7">
        <v>12000</v>
      </c>
      <c r="X11" s="7">
        <v>12000</v>
      </c>
      <c r="Y11" s="7">
        <v>12000</v>
      </c>
      <c r="Z11" s="7">
        <v>12000</v>
      </c>
      <c r="AA11" s="7">
        <v>12000</v>
      </c>
      <c r="AB11" s="7">
        <v>12000</v>
      </c>
      <c r="AC11" s="6">
        <f t="shared" si="0"/>
        <v>288000</v>
      </c>
      <c r="AD11" s="76">
        <f t="shared" ref="AD11" si="3">+SUMPRODUCT(AC11:AC13,C11:C13)</f>
        <v>8640000</v>
      </c>
      <c r="AE11" s="75"/>
    </row>
    <row r="12" spans="1:31" ht="15.75" thickBot="1" x14ac:dyDescent="0.3">
      <c r="A12" s="13">
        <v>2026</v>
      </c>
      <c r="B12" s="1">
        <v>4</v>
      </c>
      <c r="C12" s="1">
        <v>20</v>
      </c>
      <c r="D12" s="1" t="s">
        <v>31</v>
      </c>
      <c r="E12" s="7">
        <v>12000</v>
      </c>
      <c r="F12" s="7">
        <v>12000</v>
      </c>
      <c r="G12" s="7">
        <v>12000</v>
      </c>
      <c r="H12" s="7">
        <v>12000</v>
      </c>
      <c r="I12" s="7">
        <v>12000</v>
      </c>
      <c r="J12" s="7">
        <v>12000</v>
      </c>
      <c r="K12" s="7">
        <v>12000</v>
      </c>
      <c r="L12" s="7">
        <v>12000</v>
      </c>
      <c r="M12" s="7">
        <v>12000</v>
      </c>
      <c r="N12" s="7">
        <v>12000</v>
      </c>
      <c r="O12" s="7">
        <v>12000</v>
      </c>
      <c r="P12" s="7">
        <v>12000</v>
      </c>
      <c r="Q12" s="7">
        <v>12000</v>
      </c>
      <c r="R12" s="7">
        <v>12000</v>
      </c>
      <c r="S12" s="7">
        <v>12000</v>
      </c>
      <c r="T12" s="7">
        <v>12000</v>
      </c>
      <c r="U12" s="7">
        <v>12000</v>
      </c>
      <c r="V12" s="7">
        <v>12000</v>
      </c>
      <c r="W12" s="7">
        <v>12000</v>
      </c>
      <c r="X12" s="7">
        <v>12000</v>
      </c>
      <c r="Y12" s="7">
        <v>12000</v>
      </c>
      <c r="Z12" s="7">
        <v>12000</v>
      </c>
      <c r="AA12" s="7">
        <v>12000</v>
      </c>
      <c r="AB12" s="7">
        <v>12000</v>
      </c>
      <c r="AC12" s="6">
        <f t="shared" si="0"/>
        <v>288000</v>
      </c>
      <c r="AD12" s="77"/>
      <c r="AE12" s="75"/>
    </row>
    <row r="13" spans="1:31" ht="15.75" thickBot="1" x14ac:dyDescent="0.3">
      <c r="A13" s="14">
        <v>2026</v>
      </c>
      <c r="B13" s="15">
        <v>4</v>
      </c>
      <c r="C13" s="15">
        <v>4</v>
      </c>
      <c r="D13" s="15" t="s">
        <v>6</v>
      </c>
      <c r="E13" s="7">
        <v>12000</v>
      </c>
      <c r="F13" s="7">
        <v>12000</v>
      </c>
      <c r="G13" s="7">
        <v>12000</v>
      </c>
      <c r="H13" s="7">
        <v>12000</v>
      </c>
      <c r="I13" s="7">
        <v>12000</v>
      </c>
      <c r="J13" s="7">
        <v>12000</v>
      </c>
      <c r="K13" s="7">
        <v>12000</v>
      </c>
      <c r="L13" s="7">
        <v>12000</v>
      </c>
      <c r="M13" s="7">
        <v>12000</v>
      </c>
      <c r="N13" s="7">
        <v>12000</v>
      </c>
      <c r="O13" s="7">
        <v>12000</v>
      </c>
      <c r="P13" s="7">
        <v>12000</v>
      </c>
      <c r="Q13" s="7">
        <v>12000</v>
      </c>
      <c r="R13" s="7">
        <v>12000</v>
      </c>
      <c r="S13" s="7">
        <v>12000</v>
      </c>
      <c r="T13" s="7">
        <v>12000</v>
      </c>
      <c r="U13" s="7">
        <v>12000</v>
      </c>
      <c r="V13" s="7">
        <v>12000</v>
      </c>
      <c r="W13" s="7">
        <v>12000</v>
      </c>
      <c r="X13" s="7">
        <v>12000</v>
      </c>
      <c r="Y13" s="7">
        <v>12000</v>
      </c>
      <c r="Z13" s="7">
        <v>12000</v>
      </c>
      <c r="AA13" s="7">
        <v>12000</v>
      </c>
      <c r="AB13" s="7">
        <v>12000</v>
      </c>
      <c r="AC13" s="6">
        <f t="shared" si="0"/>
        <v>288000</v>
      </c>
      <c r="AD13" s="78"/>
      <c r="AE13" s="75"/>
    </row>
    <row r="14" spans="1:31" ht="15.75" thickBot="1" x14ac:dyDescent="0.3">
      <c r="A14" s="11">
        <v>2026</v>
      </c>
      <c r="B14" s="12">
        <v>5</v>
      </c>
      <c r="C14" s="12">
        <v>7</v>
      </c>
      <c r="D14" s="12" t="s">
        <v>5</v>
      </c>
      <c r="E14" s="7">
        <v>13000</v>
      </c>
      <c r="F14" s="7">
        <v>13000</v>
      </c>
      <c r="G14" s="7">
        <v>13000</v>
      </c>
      <c r="H14" s="7">
        <v>13000</v>
      </c>
      <c r="I14" s="7">
        <v>13000</v>
      </c>
      <c r="J14" s="7">
        <v>13000</v>
      </c>
      <c r="K14" s="7">
        <v>13000</v>
      </c>
      <c r="L14" s="7">
        <v>13000</v>
      </c>
      <c r="M14" s="7">
        <v>13000</v>
      </c>
      <c r="N14" s="7">
        <v>13000</v>
      </c>
      <c r="O14" s="7">
        <v>13000</v>
      </c>
      <c r="P14" s="7">
        <v>13000</v>
      </c>
      <c r="Q14" s="7">
        <v>13000</v>
      </c>
      <c r="R14" s="7">
        <v>13000</v>
      </c>
      <c r="S14" s="7">
        <v>13000</v>
      </c>
      <c r="T14" s="7">
        <v>13000</v>
      </c>
      <c r="U14" s="7">
        <v>13000</v>
      </c>
      <c r="V14" s="7">
        <v>13000</v>
      </c>
      <c r="W14" s="7">
        <v>13000</v>
      </c>
      <c r="X14" s="7">
        <v>13000</v>
      </c>
      <c r="Y14" s="7">
        <v>13000</v>
      </c>
      <c r="Z14" s="7">
        <v>13000</v>
      </c>
      <c r="AA14" s="7">
        <v>13000</v>
      </c>
      <c r="AB14" s="7">
        <v>13000</v>
      </c>
      <c r="AC14" s="6">
        <f t="shared" si="0"/>
        <v>312000</v>
      </c>
      <c r="AD14" s="76">
        <f t="shared" ref="AD14" si="4">+SUMPRODUCT(AC14:AC16,C14:C16)</f>
        <v>9672000</v>
      </c>
      <c r="AE14" s="75"/>
    </row>
    <row r="15" spans="1:31" ht="15.75" thickBot="1" x14ac:dyDescent="0.3">
      <c r="A15" s="13">
        <v>2026</v>
      </c>
      <c r="B15" s="1">
        <v>5</v>
      </c>
      <c r="C15" s="1">
        <v>19</v>
      </c>
      <c r="D15" s="1" t="s">
        <v>31</v>
      </c>
      <c r="E15" s="7">
        <v>13000</v>
      </c>
      <c r="F15" s="7">
        <v>13000</v>
      </c>
      <c r="G15" s="7">
        <v>13000</v>
      </c>
      <c r="H15" s="7">
        <v>13000</v>
      </c>
      <c r="I15" s="7">
        <v>13000</v>
      </c>
      <c r="J15" s="7">
        <v>13000</v>
      </c>
      <c r="K15" s="7">
        <v>13000</v>
      </c>
      <c r="L15" s="7">
        <v>13000</v>
      </c>
      <c r="M15" s="7">
        <v>13000</v>
      </c>
      <c r="N15" s="7">
        <v>13000</v>
      </c>
      <c r="O15" s="7">
        <v>13000</v>
      </c>
      <c r="P15" s="7">
        <v>13000</v>
      </c>
      <c r="Q15" s="7">
        <v>13000</v>
      </c>
      <c r="R15" s="7">
        <v>13000</v>
      </c>
      <c r="S15" s="7">
        <v>13000</v>
      </c>
      <c r="T15" s="7">
        <v>13000</v>
      </c>
      <c r="U15" s="7">
        <v>13000</v>
      </c>
      <c r="V15" s="7">
        <v>13000</v>
      </c>
      <c r="W15" s="7">
        <v>13000</v>
      </c>
      <c r="X15" s="7">
        <v>13000</v>
      </c>
      <c r="Y15" s="7">
        <v>13000</v>
      </c>
      <c r="Z15" s="7">
        <v>13000</v>
      </c>
      <c r="AA15" s="7">
        <v>13000</v>
      </c>
      <c r="AB15" s="7">
        <v>13000</v>
      </c>
      <c r="AC15" s="6">
        <f t="shared" si="0"/>
        <v>312000</v>
      </c>
      <c r="AD15" s="77"/>
      <c r="AE15" s="75"/>
    </row>
    <row r="16" spans="1:31" ht="15.75" thickBot="1" x14ac:dyDescent="0.3">
      <c r="A16" s="14">
        <v>2026</v>
      </c>
      <c r="B16" s="15">
        <v>5</v>
      </c>
      <c r="C16" s="15">
        <v>5</v>
      </c>
      <c r="D16" s="15" t="s">
        <v>6</v>
      </c>
      <c r="E16" s="7">
        <v>13000</v>
      </c>
      <c r="F16" s="7">
        <v>13000</v>
      </c>
      <c r="G16" s="7">
        <v>13000</v>
      </c>
      <c r="H16" s="7">
        <v>13000</v>
      </c>
      <c r="I16" s="7">
        <v>13000</v>
      </c>
      <c r="J16" s="7">
        <v>13000</v>
      </c>
      <c r="K16" s="7">
        <v>13000</v>
      </c>
      <c r="L16" s="7">
        <v>13000</v>
      </c>
      <c r="M16" s="7">
        <v>13000</v>
      </c>
      <c r="N16" s="7">
        <v>13000</v>
      </c>
      <c r="O16" s="7">
        <v>13000</v>
      </c>
      <c r="P16" s="7">
        <v>13000</v>
      </c>
      <c r="Q16" s="7">
        <v>13000</v>
      </c>
      <c r="R16" s="7">
        <v>13000</v>
      </c>
      <c r="S16" s="7">
        <v>13000</v>
      </c>
      <c r="T16" s="7">
        <v>13000</v>
      </c>
      <c r="U16" s="7">
        <v>13000</v>
      </c>
      <c r="V16" s="7">
        <v>13000</v>
      </c>
      <c r="W16" s="7">
        <v>13000</v>
      </c>
      <c r="X16" s="7">
        <v>13000</v>
      </c>
      <c r="Y16" s="7">
        <v>13000</v>
      </c>
      <c r="Z16" s="7">
        <v>13000</v>
      </c>
      <c r="AA16" s="7">
        <v>13000</v>
      </c>
      <c r="AB16" s="7">
        <v>13000</v>
      </c>
      <c r="AC16" s="6">
        <f t="shared" si="0"/>
        <v>312000</v>
      </c>
      <c r="AD16" s="78"/>
      <c r="AE16" s="75"/>
    </row>
    <row r="17" spans="1:31" ht="15.75" thickBot="1" x14ac:dyDescent="0.3">
      <c r="A17" s="11">
        <v>2026</v>
      </c>
      <c r="B17" s="12">
        <v>6</v>
      </c>
      <c r="C17" s="12">
        <v>7</v>
      </c>
      <c r="D17" s="12" t="s">
        <v>5</v>
      </c>
      <c r="E17" s="7">
        <v>8500</v>
      </c>
      <c r="F17" s="7">
        <v>8500</v>
      </c>
      <c r="G17" s="7">
        <v>8500</v>
      </c>
      <c r="H17" s="7">
        <v>8500</v>
      </c>
      <c r="I17" s="7">
        <v>8500</v>
      </c>
      <c r="J17" s="7">
        <v>8500</v>
      </c>
      <c r="K17" s="7">
        <v>8500</v>
      </c>
      <c r="L17" s="7">
        <v>8500</v>
      </c>
      <c r="M17" s="7">
        <v>8500</v>
      </c>
      <c r="N17" s="7">
        <v>8500</v>
      </c>
      <c r="O17" s="7">
        <v>8500</v>
      </c>
      <c r="P17" s="7">
        <v>8500</v>
      </c>
      <c r="Q17" s="7">
        <v>8500</v>
      </c>
      <c r="R17" s="7">
        <v>8500</v>
      </c>
      <c r="S17" s="7">
        <v>8500</v>
      </c>
      <c r="T17" s="7">
        <v>8500</v>
      </c>
      <c r="U17" s="7">
        <v>8500</v>
      </c>
      <c r="V17" s="7">
        <v>8500</v>
      </c>
      <c r="W17" s="7">
        <v>8500</v>
      </c>
      <c r="X17" s="7">
        <v>8500</v>
      </c>
      <c r="Y17" s="7">
        <v>8500</v>
      </c>
      <c r="Z17" s="7">
        <v>8500</v>
      </c>
      <c r="AA17" s="7">
        <v>8500</v>
      </c>
      <c r="AB17" s="7">
        <v>8500</v>
      </c>
      <c r="AC17" s="6">
        <f t="shared" si="0"/>
        <v>204000</v>
      </c>
      <c r="AD17" s="76">
        <f t="shared" ref="AD17" si="5">+SUMPRODUCT(AC17:AC19,C17:C19)</f>
        <v>6120000</v>
      </c>
      <c r="AE17" s="75"/>
    </row>
    <row r="18" spans="1:31" ht="15.75" thickBot="1" x14ac:dyDescent="0.3">
      <c r="A18" s="13">
        <v>2026</v>
      </c>
      <c r="B18" s="1">
        <v>6</v>
      </c>
      <c r="C18" s="1">
        <v>19</v>
      </c>
      <c r="D18" s="1" t="s">
        <v>31</v>
      </c>
      <c r="E18" s="7">
        <v>8500</v>
      </c>
      <c r="F18" s="7">
        <v>8500</v>
      </c>
      <c r="G18" s="7">
        <v>8500</v>
      </c>
      <c r="H18" s="7">
        <v>8500</v>
      </c>
      <c r="I18" s="7">
        <v>8500</v>
      </c>
      <c r="J18" s="7">
        <v>8500</v>
      </c>
      <c r="K18" s="7">
        <v>8500</v>
      </c>
      <c r="L18" s="7">
        <v>8500</v>
      </c>
      <c r="M18" s="7">
        <v>8500</v>
      </c>
      <c r="N18" s="7">
        <v>8500</v>
      </c>
      <c r="O18" s="7">
        <v>8500</v>
      </c>
      <c r="P18" s="7">
        <v>8500</v>
      </c>
      <c r="Q18" s="7">
        <v>8500</v>
      </c>
      <c r="R18" s="7">
        <v>8500</v>
      </c>
      <c r="S18" s="7">
        <v>8500</v>
      </c>
      <c r="T18" s="7">
        <v>8500</v>
      </c>
      <c r="U18" s="7">
        <v>8500</v>
      </c>
      <c r="V18" s="7">
        <v>8500</v>
      </c>
      <c r="W18" s="7">
        <v>8500</v>
      </c>
      <c r="X18" s="7">
        <v>8500</v>
      </c>
      <c r="Y18" s="7">
        <v>8500</v>
      </c>
      <c r="Z18" s="7">
        <v>8500</v>
      </c>
      <c r="AA18" s="7">
        <v>8500</v>
      </c>
      <c r="AB18" s="7">
        <v>8500</v>
      </c>
      <c r="AC18" s="6">
        <f t="shared" si="0"/>
        <v>204000</v>
      </c>
      <c r="AD18" s="77"/>
      <c r="AE18" s="75"/>
    </row>
    <row r="19" spans="1:31" ht="15.75" thickBot="1" x14ac:dyDescent="0.3">
      <c r="A19" s="14">
        <v>2026</v>
      </c>
      <c r="B19" s="15">
        <v>6</v>
      </c>
      <c r="C19" s="15">
        <v>4</v>
      </c>
      <c r="D19" s="15" t="s">
        <v>6</v>
      </c>
      <c r="E19" s="7">
        <v>8500</v>
      </c>
      <c r="F19" s="7">
        <v>8500</v>
      </c>
      <c r="G19" s="7">
        <v>8500</v>
      </c>
      <c r="H19" s="7">
        <v>8500</v>
      </c>
      <c r="I19" s="7">
        <v>8500</v>
      </c>
      <c r="J19" s="7">
        <v>8500</v>
      </c>
      <c r="K19" s="7">
        <v>8500</v>
      </c>
      <c r="L19" s="7">
        <v>8500</v>
      </c>
      <c r="M19" s="7">
        <v>8500</v>
      </c>
      <c r="N19" s="7">
        <v>8500</v>
      </c>
      <c r="O19" s="7">
        <v>8500</v>
      </c>
      <c r="P19" s="7">
        <v>8500</v>
      </c>
      <c r="Q19" s="7">
        <v>8500</v>
      </c>
      <c r="R19" s="7">
        <v>8500</v>
      </c>
      <c r="S19" s="7">
        <v>8500</v>
      </c>
      <c r="T19" s="7">
        <v>8500</v>
      </c>
      <c r="U19" s="7">
        <v>8500</v>
      </c>
      <c r="V19" s="7">
        <v>8500</v>
      </c>
      <c r="W19" s="7">
        <v>8500</v>
      </c>
      <c r="X19" s="7">
        <v>8500</v>
      </c>
      <c r="Y19" s="7">
        <v>8500</v>
      </c>
      <c r="Z19" s="7">
        <v>8500</v>
      </c>
      <c r="AA19" s="7">
        <v>8500</v>
      </c>
      <c r="AB19" s="7">
        <v>8500</v>
      </c>
      <c r="AC19" s="6">
        <f t="shared" si="0"/>
        <v>204000</v>
      </c>
      <c r="AD19" s="78"/>
      <c r="AE19" s="75"/>
    </row>
    <row r="20" spans="1:31" ht="15.75" thickBot="1" x14ac:dyDescent="0.3">
      <c r="A20" s="11">
        <v>2026</v>
      </c>
      <c r="B20" s="12">
        <v>7</v>
      </c>
      <c r="C20" s="12">
        <v>5</v>
      </c>
      <c r="D20" s="12" t="s">
        <v>5</v>
      </c>
      <c r="E20" s="7">
        <v>16000</v>
      </c>
      <c r="F20" s="7">
        <v>16000</v>
      </c>
      <c r="G20" s="7">
        <v>16000</v>
      </c>
      <c r="H20" s="7">
        <v>16000</v>
      </c>
      <c r="I20" s="7">
        <v>16000</v>
      </c>
      <c r="J20" s="7">
        <v>16000</v>
      </c>
      <c r="K20" s="7">
        <v>16000</v>
      </c>
      <c r="L20" s="7">
        <v>16000</v>
      </c>
      <c r="M20" s="7">
        <v>16000</v>
      </c>
      <c r="N20" s="7">
        <v>16000</v>
      </c>
      <c r="O20" s="7">
        <v>16000</v>
      </c>
      <c r="P20" s="7">
        <v>16000</v>
      </c>
      <c r="Q20" s="7">
        <v>16000</v>
      </c>
      <c r="R20" s="7">
        <v>16000</v>
      </c>
      <c r="S20" s="7">
        <v>16000</v>
      </c>
      <c r="T20" s="7">
        <v>16000</v>
      </c>
      <c r="U20" s="7">
        <v>16000</v>
      </c>
      <c r="V20" s="7">
        <v>16000</v>
      </c>
      <c r="W20" s="7">
        <v>16000</v>
      </c>
      <c r="X20" s="7">
        <v>16000</v>
      </c>
      <c r="Y20" s="7">
        <v>16000</v>
      </c>
      <c r="Z20" s="7">
        <v>16000</v>
      </c>
      <c r="AA20" s="7">
        <v>16000</v>
      </c>
      <c r="AB20" s="7">
        <v>16000</v>
      </c>
      <c r="AC20" s="6">
        <f t="shared" si="0"/>
        <v>384000</v>
      </c>
      <c r="AD20" s="76">
        <f t="shared" ref="AD20" si="6">+SUMPRODUCT(AC20:AC22,C20:C22)</f>
        <v>11904000</v>
      </c>
      <c r="AE20" s="75"/>
    </row>
    <row r="21" spans="1:31" ht="15.75" thickBot="1" x14ac:dyDescent="0.3">
      <c r="A21" s="13">
        <v>2026</v>
      </c>
      <c r="B21" s="1">
        <v>7</v>
      </c>
      <c r="C21" s="1">
        <v>22</v>
      </c>
      <c r="D21" s="1" t="s">
        <v>31</v>
      </c>
      <c r="E21" s="7">
        <v>16000</v>
      </c>
      <c r="F21" s="7">
        <v>16000</v>
      </c>
      <c r="G21" s="7">
        <v>16000</v>
      </c>
      <c r="H21" s="7">
        <v>16000</v>
      </c>
      <c r="I21" s="7">
        <v>16000</v>
      </c>
      <c r="J21" s="7">
        <v>16000</v>
      </c>
      <c r="K21" s="7">
        <v>16000</v>
      </c>
      <c r="L21" s="7">
        <v>16000</v>
      </c>
      <c r="M21" s="7">
        <v>16000</v>
      </c>
      <c r="N21" s="7">
        <v>16000</v>
      </c>
      <c r="O21" s="7">
        <v>16000</v>
      </c>
      <c r="P21" s="7">
        <v>16000</v>
      </c>
      <c r="Q21" s="7">
        <v>16000</v>
      </c>
      <c r="R21" s="7">
        <v>16000</v>
      </c>
      <c r="S21" s="7">
        <v>16000</v>
      </c>
      <c r="T21" s="7">
        <v>16000</v>
      </c>
      <c r="U21" s="7">
        <v>16000</v>
      </c>
      <c r="V21" s="7">
        <v>16000</v>
      </c>
      <c r="W21" s="7">
        <v>16000</v>
      </c>
      <c r="X21" s="7">
        <v>16000</v>
      </c>
      <c r="Y21" s="7">
        <v>16000</v>
      </c>
      <c r="Z21" s="7">
        <v>16000</v>
      </c>
      <c r="AA21" s="7">
        <v>16000</v>
      </c>
      <c r="AB21" s="7">
        <v>16000</v>
      </c>
      <c r="AC21" s="6">
        <f t="shared" si="0"/>
        <v>384000</v>
      </c>
      <c r="AD21" s="77"/>
      <c r="AE21" s="75"/>
    </row>
    <row r="22" spans="1:31" ht="15.75" thickBot="1" x14ac:dyDescent="0.3">
      <c r="A22" s="14">
        <v>2026</v>
      </c>
      <c r="B22" s="15">
        <v>7</v>
      </c>
      <c r="C22" s="15">
        <v>4</v>
      </c>
      <c r="D22" s="15" t="s">
        <v>6</v>
      </c>
      <c r="E22" s="7">
        <v>16000</v>
      </c>
      <c r="F22" s="7">
        <v>16000</v>
      </c>
      <c r="G22" s="7">
        <v>16000</v>
      </c>
      <c r="H22" s="7">
        <v>16000</v>
      </c>
      <c r="I22" s="7">
        <v>16000</v>
      </c>
      <c r="J22" s="7">
        <v>16000</v>
      </c>
      <c r="K22" s="7">
        <v>16000</v>
      </c>
      <c r="L22" s="7">
        <v>16000</v>
      </c>
      <c r="M22" s="7">
        <v>16000</v>
      </c>
      <c r="N22" s="7">
        <v>16000</v>
      </c>
      <c r="O22" s="7">
        <v>16000</v>
      </c>
      <c r="P22" s="7">
        <v>16000</v>
      </c>
      <c r="Q22" s="7">
        <v>16000</v>
      </c>
      <c r="R22" s="7">
        <v>16000</v>
      </c>
      <c r="S22" s="7">
        <v>16000</v>
      </c>
      <c r="T22" s="7">
        <v>16000</v>
      </c>
      <c r="U22" s="7">
        <v>16000</v>
      </c>
      <c r="V22" s="7">
        <v>16000</v>
      </c>
      <c r="W22" s="7">
        <v>16000</v>
      </c>
      <c r="X22" s="7">
        <v>16000</v>
      </c>
      <c r="Y22" s="7">
        <v>16000</v>
      </c>
      <c r="Z22" s="7">
        <v>16000</v>
      </c>
      <c r="AA22" s="7">
        <v>16000</v>
      </c>
      <c r="AB22" s="7">
        <v>16000</v>
      </c>
      <c r="AC22" s="6">
        <f t="shared" si="0"/>
        <v>384000</v>
      </c>
      <c r="AD22" s="78"/>
      <c r="AE22" s="75"/>
    </row>
    <row r="23" spans="1:31" ht="15.75" thickBot="1" x14ac:dyDescent="0.3">
      <c r="A23" s="11">
        <v>2026</v>
      </c>
      <c r="B23" s="12">
        <v>8</v>
      </c>
      <c r="C23" s="12">
        <v>7</v>
      </c>
      <c r="D23" s="12" t="s">
        <v>5</v>
      </c>
      <c r="E23" s="7">
        <v>13000</v>
      </c>
      <c r="F23" s="7">
        <v>13000</v>
      </c>
      <c r="G23" s="7">
        <v>13000</v>
      </c>
      <c r="H23" s="7">
        <v>13000</v>
      </c>
      <c r="I23" s="7">
        <v>13000</v>
      </c>
      <c r="J23" s="7">
        <v>13000</v>
      </c>
      <c r="K23" s="7">
        <v>13000</v>
      </c>
      <c r="L23" s="7">
        <v>13000</v>
      </c>
      <c r="M23" s="7">
        <v>13000</v>
      </c>
      <c r="N23" s="7">
        <v>13000</v>
      </c>
      <c r="O23" s="7">
        <v>13000</v>
      </c>
      <c r="P23" s="7">
        <v>13000</v>
      </c>
      <c r="Q23" s="7">
        <v>13000</v>
      </c>
      <c r="R23" s="7">
        <v>13000</v>
      </c>
      <c r="S23" s="7">
        <v>13000</v>
      </c>
      <c r="T23" s="7">
        <v>13000</v>
      </c>
      <c r="U23" s="7">
        <v>13000</v>
      </c>
      <c r="V23" s="7">
        <v>13000</v>
      </c>
      <c r="W23" s="7">
        <v>13000</v>
      </c>
      <c r="X23" s="7">
        <v>13000</v>
      </c>
      <c r="Y23" s="7">
        <v>13000</v>
      </c>
      <c r="Z23" s="7">
        <v>13000</v>
      </c>
      <c r="AA23" s="7">
        <v>13000</v>
      </c>
      <c r="AB23" s="7">
        <v>13000</v>
      </c>
      <c r="AC23" s="6">
        <f t="shared" si="0"/>
        <v>312000</v>
      </c>
      <c r="AD23" s="76">
        <f t="shared" ref="AD23" si="7">+SUMPRODUCT(AC23:AC25,C23:C25)</f>
        <v>9672000</v>
      </c>
      <c r="AE23" s="75"/>
    </row>
    <row r="24" spans="1:31" ht="15.75" thickBot="1" x14ac:dyDescent="0.3">
      <c r="A24" s="13">
        <v>2026</v>
      </c>
      <c r="B24" s="1">
        <v>8</v>
      </c>
      <c r="C24" s="1">
        <v>19</v>
      </c>
      <c r="D24" s="1" t="s">
        <v>31</v>
      </c>
      <c r="E24" s="7">
        <v>13000</v>
      </c>
      <c r="F24" s="7">
        <v>13000</v>
      </c>
      <c r="G24" s="7">
        <v>13000</v>
      </c>
      <c r="H24" s="7">
        <v>13000</v>
      </c>
      <c r="I24" s="7">
        <v>13000</v>
      </c>
      <c r="J24" s="7">
        <v>13000</v>
      </c>
      <c r="K24" s="7">
        <v>13000</v>
      </c>
      <c r="L24" s="7">
        <v>13000</v>
      </c>
      <c r="M24" s="7">
        <v>13000</v>
      </c>
      <c r="N24" s="7">
        <v>13000</v>
      </c>
      <c r="O24" s="7">
        <v>13000</v>
      </c>
      <c r="P24" s="7">
        <v>13000</v>
      </c>
      <c r="Q24" s="7">
        <v>13000</v>
      </c>
      <c r="R24" s="7">
        <v>13000</v>
      </c>
      <c r="S24" s="7">
        <v>13000</v>
      </c>
      <c r="T24" s="7">
        <v>13000</v>
      </c>
      <c r="U24" s="7">
        <v>13000</v>
      </c>
      <c r="V24" s="7">
        <v>13000</v>
      </c>
      <c r="W24" s="7">
        <v>13000</v>
      </c>
      <c r="X24" s="7">
        <v>13000</v>
      </c>
      <c r="Y24" s="7">
        <v>13000</v>
      </c>
      <c r="Z24" s="7">
        <v>13000</v>
      </c>
      <c r="AA24" s="7">
        <v>13000</v>
      </c>
      <c r="AB24" s="7">
        <v>13000</v>
      </c>
      <c r="AC24" s="6">
        <f t="shared" si="0"/>
        <v>312000</v>
      </c>
      <c r="AD24" s="77"/>
      <c r="AE24" s="75"/>
    </row>
    <row r="25" spans="1:31" ht="15.75" thickBot="1" x14ac:dyDescent="0.3">
      <c r="A25" s="14">
        <v>2026</v>
      </c>
      <c r="B25" s="15">
        <v>8</v>
      </c>
      <c r="C25" s="15">
        <v>5</v>
      </c>
      <c r="D25" s="15" t="s">
        <v>6</v>
      </c>
      <c r="E25" s="7">
        <v>13000</v>
      </c>
      <c r="F25" s="7">
        <v>13000</v>
      </c>
      <c r="G25" s="7">
        <v>13000</v>
      </c>
      <c r="H25" s="7">
        <v>13000</v>
      </c>
      <c r="I25" s="7">
        <v>13000</v>
      </c>
      <c r="J25" s="7">
        <v>13000</v>
      </c>
      <c r="K25" s="7">
        <v>13000</v>
      </c>
      <c r="L25" s="7">
        <v>13000</v>
      </c>
      <c r="M25" s="7">
        <v>13000</v>
      </c>
      <c r="N25" s="7">
        <v>13000</v>
      </c>
      <c r="O25" s="7">
        <v>13000</v>
      </c>
      <c r="P25" s="7">
        <v>13000</v>
      </c>
      <c r="Q25" s="7">
        <v>13000</v>
      </c>
      <c r="R25" s="7">
        <v>13000</v>
      </c>
      <c r="S25" s="7">
        <v>13000</v>
      </c>
      <c r="T25" s="7">
        <v>13000</v>
      </c>
      <c r="U25" s="7">
        <v>13000</v>
      </c>
      <c r="V25" s="7">
        <v>13000</v>
      </c>
      <c r="W25" s="7">
        <v>13000</v>
      </c>
      <c r="X25" s="7">
        <v>13000</v>
      </c>
      <c r="Y25" s="7">
        <v>13000</v>
      </c>
      <c r="Z25" s="7">
        <v>13000</v>
      </c>
      <c r="AA25" s="7">
        <v>13000</v>
      </c>
      <c r="AB25" s="7">
        <v>13000</v>
      </c>
      <c r="AC25" s="6">
        <f t="shared" si="0"/>
        <v>312000</v>
      </c>
      <c r="AD25" s="78"/>
      <c r="AE25" s="75"/>
    </row>
    <row r="26" spans="1:31" ht="15.75" thickBot="1" x14ac:dyDescent="0.3">
      <c r="A26" s="11">
        <v>2026</v>
      </c>
      <c r="B26" s="12">
        <v>9</v>
      </c>
      <c r="C26" s="12">
        <v>4</v>
      </c>
      <c r="D26" s="12" t="s">
        <v>5</v>
      </c>
      <c r="E26" s="7">
        <v>2500</v>
      </c>
      <c r="F26" s="7">
        <v>2500</v>
      </c>
      <c r="G26" s="7">
        <v>2500</v>
      </c>
      <c r="H26" s="7">
        <v>2500</v>
      </c>
      <c r="I26" s="7">
        <v>2500</v>
      </c>
      <c r="J26" s="7">
        <v>2500</v>
      </c>
      <c r="K26" s="7">
        <v>2500</v>
      </c>
      <c r="L26" s="7">
        <v>2500</v>
      </c>
      <c r="M26" s="7">
        <v>2500</v>
      </c>
      <c r="N26" s="7">
        <v>2500</v>
      </c>
      <c r="O26" s="7">
        <v>2500</v>
      </c>
      <c r="P26" s="7">
        <v>2500</v>
      </c>
      <c r="Q26" s="7">
        <v>2500</v>
      </c>
      <c r="R26" s="7">
        <v>2500</v>
      </c>
      <c r="S26" s="7">
        <v>2500</v>
      </c>
      <c r="T26" s="7">
        <v>2500</v>
      </c>
      <c r="U26" s="7">
        <v>2500</v>
      </c>
      <c r="V26" s="7">
        <v>2500</v>
      </c>
      <c r="W26" s="7">
        <v>2500</v>
      </c>
      <c r="X26" s="7">
        <v>2500</v>
      </c>
      <c r="Y26" s="7">
        <v>2500</v>
      </c>
      <c r="Z26" s="7">
        <v>2500</v>
      </c>
      <c r="AA26" s="7">
        <v>2500</v>
      </c>
      <c r="AB26" s="7">
        <v>2500</v>
      </c>
      <c r="AC26" s="6">
        <f t="shared" si="0"/>
        <v>60000</v>
      </c>
      <c r="AD26" s="76">
        <f t="shared" ref="AD26" si="8">+SUMPRODUCT(AC26:AC28,C26:C28)</f>
        <v>1800000</v>
      </c>
      <c r="AE26" s="75"/>
    </row>
    <row r="27" spans="1:31" ht="15.75" thickBot="1" x14ac:dyDescent="0.3">
      <c r="A27" s="13">
        <v>2026</v>
      </c>
      <c r="B27" s="1">
        <v>9</v>
      </c>
      <c r="C27" s="1">
        <v>22</v>
      </c>
      <c r="D27" s="1" t="s">
        <v>31</v>
      </c>
      <c r="E27" s="8">
        <v>2500</v>
      </c>
      <c r="F27" s="8">
        <v>2500</v>
      </c>
      <c r="G27" s="8">
        <v>2500</v>
      </c>
      <c r="H27" s="8">
        <v>2500</v>
      </c>
      <c r="I27" s="8">
        <v>2500</v>
      </c>
      <c r="J27" s="8">
        <v>2500</v>
      </c>
      <c r="K27" s="8">
        <v>2500</v>
      </c>
      <c r="L27" s="8">
        <v>2500</v>
      </c>
      <c r="M27" s="8">
        <v>2500</v>
      </c>
      <c r="N27" s="8">
        <v>2500</v>
      </c>
      <c r="O27" s="8">
        <v>2500</v>
      </c>
      <c r="P27" s="8">
        <v>2500</v>
      </c>
      <c r="Q27" s="8">
        <v>2500</v>
      </c>
      <c r="R27" s="8">
        <v>2500</v>
      </c>
      <c r="S27" s="8">
        <v>2500</v>
      </c>
      <c r="T27" s="8">
        <v>2500</v>
      </c>
      <c r="U27" s="8">
        <v>2500</v>
      </c>
      <c r="V27" s="8">
        <v>2500</v>
      </c>
      <c r="W27" s="8">
        <v>2500</v>
      </c>
      <c r="X27" s="8">
        <v>2500</v>
      </c>
      <c r="Y27" s="8">
        <v>2500</v>
      </c>
      <c r="Z27" s="8">
        <v>2500</v>
      </c>
      <c r="AA27" s="8">
        <v>2500</v>
      </c>
      <c r="AB27" s="8">
        <v>2500</v>
      </c>
      <c r="AC27" s="6">
        <f t="shared" si="0"/>
        <v>60000</v>
      </c>
      <c r="AD27" s="77"/>
      <c r="AE27" s="75"/>
    </row>
    <row r="28" spans="1:31" ht="15.75" thickBot="1" x14ac:dyDescent="0.3">
      <c r="A28" s="14">
        <v>2026</v>
      </c>
      <c r="B28" s="15">
        <v>9</v>
      </c>
      <c r="C28" s="15">
        <v>4</v>
      </c>
      <c r="D28" s="15" t="s">
        <v>6</v>
      </c>
      <c r="E28" s="9">
        <v>2500</v>
      </c>
      <c r="F28" s="9">
        <v>2500</v>
      </c>
      <c r="G28" s="9">
        <v>2500</v>
      </c>
      <c r="H28" s="9">
        <v>2500</v>
      </c>
      <c r="I28" s="9">
        <v>2500</v>
      </c>
      <c r="J28" s="9">
        <v>2500</v>
      </c>
      <c r="K28" s="9">
        <v>2500</v>
      </c>
      <c r="L28" s="9">
        <v>2500</v>
      </c>
      <c r="M28" s="9">
        <v>2500</v>
      </c>
      <c r="N28" s="9">
        <v>2500</v>
      </c>
      <c r="O28" s="9">
        <v>2500</v>
      </c>
      <c r="P28" s="9">
        <v>2500</v>
      </c>
      <c r="Q28" s="9">
        <v>2500</v>
      </c>
      <c r="R28" s="9">
        <v>2500</v>
      </c>
      <c r="S28" s="9">
        <v>2500</v>
      </c>
      <c r="T28" s="9">
        <v>2500</v>
      </c>
      <c r="U28" s="9">
        <v>2500</v>
      </c>
      <c r="V28" s="9">
        <v>2500</v>
      </c>
      <c r="W28" s="9">
        <v>2500</v>
      </c>
      <c r="X28" s="9">
        <v>2500</v>
      </c>
      <c r="Y28" s="9">
        <v>2500</v>
      </c>
      <c r="Z28" s="9">
        <v>2500</v>
      </c>
      <c r="AA28" s="9">
        <v>2500</v>
      </c>
      <c r="AB28" s="9">
        <v>2500</v>
      </c>
      <c r="AC28" s="6">
        <f t="shared" si="0"/>
        <v>60000</v>
      </c>
      <c r="AD28" s="78"/>
      <c r="AE28" s="75"/>
    </row>
    <row r="29" spans="1:31" ht="15.75" thickBot="1" x14ac:dyDescent="0.3">
      <c r="A29" s="11">
        <v>2026</v>
      </c>
      <c r="B29" s="12">
        <v>10</v>
      </c>
      <c r="C29" s="12">
        <v>5</v>
      </c>
      <c r="D29" s="12" t="s">
        <v>5</v>
      </c>
      <c r="E29" s="7">
        <v>2500</v>
      </c>
      <c r="F29" s="7">
        <v>2500</v>
      </c>
      <c r="G29" s="7">
        <v>2500</v>
      </c>
      <c r="H29" s="7">
        <v>2500</v>
      </c>
      <c r="I29" s="7">
        <v>2500</v>
      </c>
      <c r="J29" s="7">
        <v>2500</v>
      </c>
      <c r="K29" s="7">
        <v>2500</v>
      </c>
      <c r="L29" s="7">
        <v>2500</v>
      </c>
      <c r="M29" s="7">
        <v>2500</v>
      </c>
      <c r="N29" s="7">
        <v>2500</v>
      </c>
      <c r="O29" s="7">
        <v>2500</v>
      </c>
      <c r="P29" s="7">
        <v>2500</v>
      </c>
      <c r="Q29" s="7">
        <v>2500</v>
      </c>
      <c r="R29" s="7">
        <v>2500</v>
      </c>
      <c r="S29" s="7">
        <v>2500</v>
      </c>
      <c r="T29" s="7">
        <v>2500</v>
      </c>
      <c r="U29" s="7">
        <v>2500</v>
      </c>
      <c r="V29" s="7">
        <v>2500</v>
      </c>
      <c r="W29" s="7">
        <v>2500</v>
      </c>
      <c r="X29" s="7">
        <v>2500</v>
      </c>
      <c r="Y29" s="7">
        <v>2500</v>
      </c>
      <c r="Z29" s="7">
        <v>2500</v>
      </c>
      <c r="AA29" s="7">
        <v>2500</v>
      </c>
      <c r="AB29" s="7">
        <v>2500</v>
      </c>
      <c r="AC29" s="6">
        <f t="shared" si="0"/>
        <v>60000</v>
      </c>
      <c r="AD29" s="76">
        <f t="shared" ref="AD29" si="9">+SUMPRODUCT(AC29:AC31,C29:C31)</f>
        <v>1860000</v>
      </c>
      <c r="AE29" s="75"/>
    </row>
    <row r="30" spans="1:31" ht="15.75" thickBot="1" x14ac:dyDescent="0.3">
      <c r="A30" s="13">
        <v>2026</v>
      </c>
      <c r="B30" s="1">
        <v>10</v>
      </c>
      <c r="C30" s="1">
        <v>21</v>
      </c>
      <c r="D30" s="1" t="s">
        <v>31</v>
      </c>
      <c r="E30" s="8">
        <v>2500</v>
      </c>
      <c r="F30" s="8">
        <v>2500</v>
      </c>
      <c r="G30" s="8">
        <v>2500</v>
      </c>
      <c r="H30" s="8">
        <v>2500</v>
      </c>
      <c r="I30" s="8">
        <v>2500</v>
      </c>
      <c r="J30" s="8">
        <v>2500</v>
      </c>
      <c r="K30" s="8">
        <v>2500</v>
      </c>
      <c r="L30" s="8">
        <v>2500</v>
      </c>
      <c r="M30" s="8">
        <v>2500</v>
      </c>
      <c r="N30" s="8">
        <v>2500</v>
      </c>
      <c r="O30" s="8">
        <v>2500</v>
      </c>
      <c r="P30" s="8">
        <v>2500</v>
      </c>
      <c r="Q30" s="8">
        <v>2500</v>
      </c>
      <c r="R30" s="8">
        <v>2500</v>
      </c>
      <c r="S30" s="8">
        <v>2500</v>
      </c>
      <c r="T30" s="8">
        <v>2500</v>
      </c>
      <c r="U30" s="8">
        <v>2500</v>
      </c>
      <c r="V30" s="8">
        <v>2500</v>
      </c>
      <c r="W30" s="8">
        <v>2500</v>
      </c>
      <c r="X30" s="8">
        <v>2500</v>
      </c>
      <c r="Y30" s="8">
        <v>2500</v>
      </c>
      <c r="Z30" s="8">
        <v>2500</v>
      </c>
      <c r="AA30" s="8">
        <v>2500</v>
      </c>
      <c r="AB30" s="8">
        <v>2500</v>
      </c>
      <c r="AC30" s="6">
        <f t="shared" si="0"/>
        <v>60000</v>
      </c>
      <c r="AD30" s="77"/>
      <c r="AE30" s="75"/>
    </row>
    <row r="31" spans="1:31" ht="15.75" thickBot="1" x14ac:dyDescent="0.3">
      <c r="A31" s="14">
        <v>2026</v>
      </c>
      <c r="B31" s="15">
        <v>10</v>
      </c>
      <c r="C31" s="15">
        <v>5</v>
      </c>
      <c r="D31" s="15" t="s">
        <v>6</v>
      </c>
      <c r="E31" s="9">
        <v>2500</v>
      </c>
      <c r="F31" s="9">
        <v>2500</v>
      </c>
      <c r="G31" s="9">
        <v>2500</v>
      </c>
      <c r="H31" s="9">
        <v>2500</v>
      </c>
      <c r="I31" s="9">
        <v>2500</v>
      </c>
      <c r="J31" s="9">
        <v>2500</v>
      </c>
      <c r="K31" s="9">
        <v>2500</v>
      </c>
      <c r="L31" s="9">
        <v>2500</v>
      </c>
      <c r="M31" s="9">
        <v>2500</v>
      </c>
      <c r="N31" s="9">
        <v>2500</v>
      </c>
      <c r="O31" s="9">
        <v>2500</v>
      </c>
      <c r="P31" s="9">
        <v>2500</v>
      </c>
      <c r="Q31" s="9">
        <v>2500</v>
      </c>
      <c r="R31" s="9">
        <v>2500</v>
      </c>
      <c r="S31" s="9">
        <v>2500</v>
      </c>
      <c r="T31" s="9">
        <v>2500</v>
      </c>
      <c r="U31" s="9">
        <v>2500</v>
      </c>
      <c r="V31" s="9">
        <v>2500</v>
      </c>
      <c r="W31" s="9">
        <v>2500</v>
      </c>
      <c r="X31" s="9">
        <v>2500</v>
      </c>
      <c r="Y31" s="9">
        <v>2500</v>
      </c>
      <c r="Z31" s="9">
        <v>2500</v>
      </c>
      <c r="AA31" s="9">
        <v>2500</v>
      </c>
      <c r="AB31" s="9">
        <v>2500</v>
      </c>
      <c r="AC31" s="6">
        <f t="shared" si="0"/>
        <v>60000</v>
      </c>
      <c r="AD31" s="78"/>
      <c r="AE31" s="75"/>
    </row>
    <row r="32" spans="1:31" ht="15.75" thickBot="1" x14ac:dyDescent="0.3">
      <c r="A32" s="11">
        <v>2026</v>
      </c>
      <c r="B32" s="12">
        <v>11</v>
      </c>
      <c r="C32" s="12">
        <v>7</v>
      </c>
      <c r="D32" s="12" t="s">
        <v>5</v>
      </c>
      <c r="E32" s="7">
        <v>2500</v>
      </c>
      <c r="F32" s="7">
        <v>2500</v>
      </c>
      <c r="G32" s="7">
        <v>2500</v>
      </c>
      <c r="H32" s="7">
        <v>2500</v>
      </c>
      <c r="I32" s="7">
        <v>2500</v>
      </c>
      <c r="J32" s="7">
        <v>2500</v>
      </c>
      <c r="K32" s="7">
        <v>2500</v>
      </c>
      <c r="L32" s="7">
        <v>2500</v>
      </c>
      <c r="M32" s="7">
        <v>2500</v>
      </c>
      <c r="N32" s="7">
        <v>2500</v>
      </c>
      <c r="O32" s="7">
        <v>2500</v>
      </c>
      <c r="P32" s="7">
        <v>2500</v>
      </c>
      <c r="Q32" s="7">
        <v>2500</v>
      </c>
      <c r="R32" s="7">
        <v>2500</v>
      </c>
      <c r="S32" s="7">
        <v>2500</v>
      </c>
      <c r="T32" s="7">
        <v>2500</v>
      </c>
      <c r="U32" s="7">
        <v>2500</v>
      </c>
      <c r="V32" s="7">
        <v>2500</v>
      </c>
      <c r="W32" s="7">
        <v>2500</v>
      </c>
      <c r="X32" s="7">
        <v>2500</v>
      </c>
      <c r="Y32" s="7">
        <v>2500</v>
      </c>
      <c r="Z32" s="7">
        <v>2500</v>
      </c>
      <c r="AA32" s="7">
        <v>2500</v>
      </c>
      <c r="AB32" s="7">
        <v>2500</v>
      </c>
      <c r="AC32" s="6">
        <f t="shared" si="0"/>
        <v>60000</v>
      </c>
      <c r="AD32" s="76">
        <f t="shared" ref="AD32" si="10">+SUMPRODUCT(AC32:AC34,C32:C34)</f>
        <v>1800000</v>
      </c>
      <c r="AE32" s="75"/>
    </row>
    <row r="33" spans="1:31" ht="15.75" thickBot="1" x14ac:dyDescent="0.3">
      <c r="A33" s="13">
        <v>2026</v>
      </c>
      <c r="B33" s="1">
        <v>11</v>
      </c>
      <c r="C33" s="1">
        <v>19</v>
      </c>
      <c r="D33" s="1" t="s">
        <v>31</v>
      </c>
      <c r="E33" s="8">
        <v>2500</v>
      </c>
      <c r="F33" s="8">
        <v>2500</v>
      </c>
      <c r="G33" s="8">
        <v>2500</v>
      </c>
      <c r="H33" s="8">
        <v>2500</v>
      </c>
      <c r="I33" s="8">
        <v>2500</v>
      </c>
      <c r="J33" s="8">
        <v>2500</v>
      </c>
      <c r="K33" s="8">
        <v>2500</v>
      </c>
      <c r="L33" s="8">
        <v>2500</v>
      </c>
      <c r="M33" s="8">
        <v>2500</v>
      </c>
      <c r="N33" s="8">
        <v>2500</v>
      </c>
      <c r="O33" s="8">
        <v>2500</v>
      </c>
      <c r="P33" s="8">
        <v>2500</v>
      </c>
      <c r="Q33" s="8">
        <v>2500</v>
      </c>
      <c r="R33" s="8">
        <v>2500</v>
      </c>
      <c r="S33" s="8">
        <v>2500</v>
      </c>
      <c r="T33" s="8">
        <v>2500</v>
      </c>
      <c r="U33" s="8">
        <v>2500</v>
      </c>
      <c r="V33" s="8">
        <v>2500</v>
      </c>
      <c r="W33" s="8">
        <v>2500</v>
      </c>
      <c r="X33" s="8">
        <v>2500</v>
      </c>
      <c r="Y33" s="8">
        <v>2500</v>
      </c>
      <c r="Z33" s="8">
        <v>2500</v>
      </c>
      <c r="AA33" s="8">
        <v>2500</v>
      </c>
      <c r="AB33" s="8">
        <v>2500</v>
      </c>
      <c r="AC33" s="6">
        <f t="shared" si="0"/>
        <v>60000</v>
      </c>
      <c r="AD33" s="77"/>
      <c r="AE33" s="75"/>
    </row>
    <row r="34" spans="1:31" ht="15.75" thickBot="1" x14ac:dyDescent="0.3">
      <c r="A34" s="14">
        <v>2026</v>
      </c>
      <c r="B34" s="15">
        <v>11</v>
      </c>
      <c r="C34" s="15">
        <v>4</v>
      </c>
      <c r="D34" s="15" t="s">
        <v>6</v>
      </c>
      <c r="E34" s="9">
        <v>2500</v>
      </c>
      <c r="F34" s="9">
        <v>2500</v>
      </c>
      <c r="G34" s="9">
        <v>2500</v>
      </c>
      <c r="H34" s="9">
        <v>2500</v>
      </c>
      <c r="I34" s="9">
        <v>2500</v>
      </c>
      <c r="J34" s="9">
        <v>2500</v>
      </c>
      <c r="K34" s="9">
        <v>2500</v>
      </c>
      <c r="L34" s="9">
        <v>2500</v>
      </c>
      <c r="M34" s="9">
        <v>2500</v>
      </c>
      <c r="N34" s="9">
        <v>2500</v>
      </c>
      <c r="O34" s="9">
        <v>2500</v>
      </c>
      <c r="P34" s="9">
        <v>2500</v>
      </c>
      <c r="Q34" s="9">
        <v>2500</v>
      </c>
      <c r="R34" s="9">
        <v>2500</v>
      </c>
      <c r="S34" s="9">
        <v>2500</v>
      </c>
      <c r="T34" s="9">
        <v>2500</v>
      </c>
      <c r="U34" s="9">
        <v>2500</v>
      </c>
      <c r="V34" s="9">
        <v>2500</v>
      </c>
      <c r="W34" s="9">
        <v>2500</v>
      </c>
      <c r="X34" s="9">
        <v>2500</v>
      </c>
      <c r="Y34" s="9">
        <v>2500</v>
      </c>
      <c r="Z34" s="9">
        <v>2500</v>
      </c>
      <c r="AA34" s="9">
        <v>2500</v>
      </c>
      <c r="AB34" s="9">
        <v>2500</v>
      </c>
      <c r="AC34" s="6">
        <f t="shared" si="0"/>
        <v>60000</v>
      </c>
      <c r="AD34" s="78"/>
      <c r="AE34" s="75"/>
    </row>
    <row r="35" spans="1:31" ht="15.75" thickBot="1" x14ac:dyDescent="0.3">
      <c r="A35" s="11">
        <v>2026</v>
      </c>
      <c r="B35" s="12">
        <v>12</v>
      </c>
      <c r="C35" s="12">
        <v>6</v>
      </c>
      <c r="D35" s="12" t="s">
        <v>5</v>
      </c>
      <c r="E35" s="7">
        <v>10000</v>
      </c>
      <c r="F35" s="7">
        <v>10000</v>
      </c>
      <c r="G35" s="7">
        <v>10000</v>
      </c>
      <c r="H35" s="7">
        <v>10000</v>
      </c>
      <c r="I35" s="7">
        <v>10000</v>
      </c>
      <c r="J35" s="7">
        <v>10000</v>
      </c>
      <c r="K35" s="7">
        <v>10000</v>
      </c>
      <c r="L35" s="7">
        <v>10000</v>
      </c>
      <c r="M35" s="7">
        <v>10000</v>
      </c>
      <c r="N35" s="7">
        <v>10000</v>
      </c>
      <c r="O35" s="7">
        <v>10000</v>
      </c>
      <c r="P35" s="7">
        <v>10000</v>
      </c>
      <c r="Q35" s="7">
        <v>10000</v>
      </c>
      <c r="R35" s="7">
        <v>10000</v>
      </c>
      <c r="S35" s="7">
        <v>10000</v>
      </c>
      <c r="T35" s="7">
        <v>10000</v>
      </c>
      <c r="U35" s="7">
        <v>10000</v>
      </c>
      <c r="V35" s="7">
        <v>10000</v>
      </c>
      <c r="W35" s="7">
        <v>10000</v>
      </c>
      <c r="X35" s="7">
        <v>10000</v>
      </c>
      <c r="Y35" s="7">
        <v>10000</v>
      </c>
      <c r="Z35" s="7">
        <v>10000</v>
      </c>
      <c r="AA35" s="7">
        <v>10000</v>
      </c>
      <c r="AB35" s="7">
        <v>10000</v>
      </c>
      <c r="AC35" s="6">
        <f t="shared" si="0"/>
        <v>240000</v>
      </c>
      <c r="AD35" s="76">
        <f t="shared" ref="AD35" si="11">+SUMPRODUCT(AC35:AC37,C35:C37)</f>
        <v>7440000</v>
      </c>
      <c r="AE35" s="75"/>
    </row>
    <row r="36" spans="1:31" ht="15.75" thickBot="1" x14ac:dyDescent="0.3">
      <c r="A36" s="13">
        <v>2026</v>
      </c>
      <c r="B36" s="1">
        <v>12</v>
      </c>
      <c r="C36" s="1">
        <v>21</v>
      </c>
      <c r="D36" s="1" t="s">
        <v>31</v>
      </c>
      <c r="E36" s="8">
        <v>10000</v>
      </c>
      <c r="F36" s="8">
        <v>10000</v>
      </c>
      <c r="G36" s="8">
        <v>10000</v>
      </c>
      <c r="H36" s="8">
        <v>10000</v>
      </c>
      <c r="I36" s="8">
        <v>10000</v>
      </c>
      <c r="J36" s="8">
        <v>10000</v>
      </c>
      <c r="K36" s="8">
        <v>10000</v>
      </c>
      <c r="L36" s="8">
        <v>10000</v>
      </c>
      <c r="M36" s="8">
        <v>10000</v>
      </c>
      <c r="N36" s="8">
        <v>10000</v>
      </c>
      <c r="O36" s="8">
        <v>10000</v>
      </c>
      <c r="P36" s="8">
        <v>10000</v>
      </c>
      <c r="Q36" s="8">
        <v>10000</v>
      </c>
      <c r="R36" s="8">
        <v>10000</v>
      </c>
      <c r="S36" s="8">
        <v>10000</v>
      </c>
      <c r="T36" s="8">
        <v>10000</v>
      </c>
      <c r="U36" s="8">
        <v>10000</v>
      </c>
      <c r="V36" s="8">
        <v>10000</v>
      </c>
      <c r="W36" s="8">
        <v>10000</v>
      </c>
      <c r="X36" s="8">
        <v>10000</v>
      </c>
      <c r="Y36" s="8">
        <v>10000</v>
      </c>
      <c r="Z36" s="8">
        <v>10000</v>
      </c>
      <c r="AA36" s="8">
        <v>10000</v>
      </c>
      <c r="AB36" s="8">
        <v>10000</v>
      </c>
      <c r="AC36" s="6">
        <f t="shared" si="0"/>
        <v>240000</v>
      </c>
      <c r="AD36" s="77"/>
      <c r="AE36" s="75"/>
    </row>
    <row r="37" spans="1:31" ht="15.75" thickBot="1" x14ac:dyDescent="0.3">
      <c r="A37" s="14">
        <v>2026</v>
      </c>
      <c r="B37" s="15">
        <v>12</v>
      </c>
      <c r="C37" s="15">
        <v>4</v>
      </c>
      <c r="D37" s="15" t="s">
        <v>6</v>
      </c>
      <c r="E37" s="9">
        <v>10000</v>
      </c>
      <c r="F37" s="9">
        <v>10000</v>
      </c>
      <c r="G37" s="9">
        <v>10000</v>
      </c>
      <c r="H37" s="9">
        <v>10000</v>
      </c>
      <c r="I37" s="9">
        <v>10000</v>
      </c>
      <c r="J37" s="9">
        <v>10000</v>
      </c>
      <c r="K37" s="9">
        <v>10000</v>
      </c>
      <c r="L37" s="9">
        <v>10000</v>
      </c>
      <c r="M37" s="9">
        <v>10000</v>
      </c>
      <c r="N37" s="9">
        <v>10000</v>
      </c>
      <c r="O37" s="9">
        <v>10000</v>
      </c>
      <c r="P37" s="9">
        <v>10000</v>
      </c>
      <c r="Q37" s="9">
        <v>10000</v>
      </c>
      <c r="R37" s="9">
        <v>10000</v>
      </c>
      <c r="S37" s="9">
        <v>10000</v>
      </c>
      <c r="T37" s="9">
        <v>10000</v>
      </c>
      <c r="U37" s="9">
        <v>10000</v>
      </c>
      <c r="V37" s="9">
        <v>10000</v>
      </c>
      <c r="W37" s="9">
        <v>10000</v>
      </c>
      <c r="X37" s="9">
        <v>10000</v>
      </c>
      <c r="Y37" s="9">
        <v>10000</v>
      </c>
      <c r="Z37" s="9">
        <v>10000</v>
      </c>
      <c r="AA37" s="9">
        <v>10000</v>
      </c>
      <c r="AB37" s="9">
        <v>10000</v>
      </c>
      <c r="AC37" s="6">
        <f t="shared" si="0"/>
        <v>240000</v>
      </c>
      <c r="AD37" s="78"/>
      <c r="AE37" s="75"/>
    </row>
    <row r="38" spans="1:31" ht="15.75" thickBot="1" x14ac:dyDescent="0.3">
      <c r="A38" s="11">
        <v>2027</v>
      </c>
      <c r="B38" s="12">
        <v>1</v>
      </c>
      <c r="C38" s="12">
        <v>7</v>
      </c>
      <c r="D38" s="12" t="s">
        <v>5</v>
      </c>
      <c r="E38" s="7">
        <v>18000</v>
      </c>
      <c r="F38" s="7">
        <v>18000</v>
      </c>
      <c r="G38" s="7">
        <v>18000</v>
      </c>
      <c r="H38" s="7">
        <v>18000</v>
      </c>
      <c r="I38" s="7">
        <v>18000</v>
      </c>
      <c r="J38" s="7">
        <v>18000</v>
      </c>
      <c r="K38" s="7">
        <v>18000</v>
      </c>
      <c r="L38" s="7">
        <v>18000</v>
      </c>
      <c r="M38" s="7">
        <v>18000</v>
      </c>
      <c r="N38" s="7">
        <v>18000</v>
      </c>
      <c r="O38" s="7">
        <v>18000</v>
      </c>
      <c r="P38" s="7">
        <v>18000</v>
      </c>
      <c r="Q38" s="7">
        <v>18000</v>
      </c>
      <c r="R38" s="7">
        <v>18000</v>
      </c>
      <c r="S38" s="7">
        <v>18000</v>
      </c>
      <c r="T38" s="7">
        <v>18000</v>
      </c>
      <c r="U38" s="7">
        <v>18000</v>
      </c>
      <c r="V38" s="7">
        <v>18000</v>
      </c>
      <c r="W38" s="7">
        <v>18000</v>
      </c>
      <c r="X38" s="7">
        <v>18000</v>
      </c>
      <c r="Y38" s="7">
        <v>18000</v>
      </c>
      <c r="Z38" s="7">
        <v>18000</v>
      </c>
      <c r="AA38" s="7">
        <v>18000</v>
      </c>
      <c r="AB38" s="7">
        <v>18000</v>
      </c>
      <c r="AC38" s="6">
        <f t="shared" si="0"/>
        <v>432000</v>
      </c>
      <c r="AD38" s="76">
        <f t="shared" ref="AD38" si="12">+SUMPRODUCT(AC38:AC40,C38:C40)</f>
        <v>13392000</v>
      </c>
      <c r="AE38" s="74">
        <f>+SUM(AD38:AD73)</f>
        <v>93072000</v>
      </c>
    </row>
    <row r="39" spans="1:31" ht="15.75" thickBot="1" x14ac:dyDescent="0.3">
      <c r="A39" s="13">
        <v>2027</v>
      </c>
      <c r="B39" s="1">
        <v>1</v>
      </c>
      <c r="C39" s="1">
        <v>19</v>
      </c>
      <c r="D39" s="1" t="s">
        <v>31</v>
      </c>
      <c r="E39" s="8">
        <v>18000</v>
      </c>
      <c r="F39" s="8">
        <v>18000</v>
      </c>
      <c r="G39" s="8">
        <v>18000</v>
      </c>
      <c r="H39" s="8">
        <v>18000</v>
      </c>
      <c r="I39" s="8">
        <v>18000</v>
      </c>
      <c r="J39" s="8">
        <v>18000</v>
      </c>
      <c r="K39" s="8">
        <v>18000</v>
      </c>
      <c r="L39" s="8">
        <v>18000</v>
      </c>
      <c r="M39" s="8">
        <v>18000</v>
      </c>
      <c r="N39" s="8">
        <v>18000</v>
      </c>
      <c r="O39" s="8">
        <v>18000</v>
      </c>
      <c r="P39" s="8">
        <v>18000</v>
      </c>
      <c r="Q39" s="8">
        <v>18000</v>
      </c>
      <c r="R39" s="8">
        <v>18000</v>
      </c>
      <c r="S39" s="8">
        <v>18000</v>
      </c>
      <c r="T39" s="8">
        <v>18000</v>
      </c>
      <c r="U39" s="8">
        <v>18000</v>
      </c>
      <c r="V39" s="8">
        <v>18000</v>
      </c>
      <c r="W39" s="8">
        <v>18000</v>
      </c>
      <c r="X39" s="8">
        <v>18000</v>
      </c>
      <c r="Y39" s="8">
        <v>18000</v>
      </c>
      <c r="Z39" s="8">
        <v>18000</v>
      </c>
      <c r="AA39" s="8">
        <v>18000</v>
      </c>
      <c r="AB39" s="8">
        <v>18000</v>
      </c>
      <c r="AC39" s="6">
        <f t="shared" si="0"/>
        <v>432000</v>
      </c>
      <c r="AD39" s="77"/>
      <c r="AE39" s="75"/>
    </row>
    <row r="40" spans="1:31" ht="15.75" thickBot="1" x14ac:dyDescent="0.3">
      <c r="A40" s="14">
        <v>2027</v>
      </c>
      <c r="B40" s="15">
        <v>1</v>
      </c>
      <c r="C40" s="15">
        <v>5</v>
      </c>
      <c r="D40" s="15" t="s">
        <v>6</v>
      </c>
      <c r="E40" s="9">
        <v>18000</v>
      </c>
      <c r="F40" s="9">
        <v>18000</v>
      </c>
      <c r="G40" s="9">
        <v>18000</v>
      </c>
      <c r="H40" s="9">
        <v>18000</v>
      </c>
      <c r="I40" s="9">
        <v>18000</v>
      </c>
      <c r="J40" s="9">
        <v>18000</v>
      </c>
      <c r="K40" s="9">
        <v>18000</v>
      </c>
      <c r="L40" s="9">
        <v>18000</v>
      </c>
      <c r="M40" s="9">
        <v>18000</v>
      </c>
      <c r="N40" s="9">
        <v>18000</v>
      </c>
      <c r="O40" s="9">
        <v>18000</v>
      </c>
      <c r="P40" s="9">
        <v>18000</v>
      </c>
      <c r="Q40" s="9">
        <v>18000</v>
      </c>
      <c r="R40" s="9">
        <v>18000</v>
      </c>
      <c r="S40" s="9">
        <v>18000</v>
      </c>
      <c r="T40" s="9">
        <v>18000</v>
      </c>
      <c r="U40" s="9">
        <v>18000</v>
      </c>
      <c r="V40" s="9">
        <v>18000</v>
      </c>
      <c r="W40" s="9">
        <v>18000</v>
      </c>
      <c r="X40" s="9">
        <v>18000</v>
      </c>
      <c r="Y40" s="9">
        <v>18000</v>
      </c>
      <c r="Z40" s="9">
        <v>18000</v>
      </c>
      <c r="AA40" s="9">
        <v>18000</v>
      </c>
      <c r="AB40" s="9">
        <v>18000</v>
      </c>
      <c r="AC40" s="6">
        <f t="shared" si="0"/>
        <v>432000</v>
      </c>
      <c r="AD40" s="78"/>
      <c r="AE40" s="75"/>
    </row>
    <row r="41" spans="1:31" ht="15.75" thickBot="1" x14ac:dyDescent="0.3">
      <c r="A41" s="11">
        <v>2027</v>
      </c>
      <c r="B41" s="12">
        <v>2</v>
      </c>
      <c r="C41" s="12">
        <v>4</v>
      </c>
      <c r="D41" s="12" t="s">
        <v>5</v>
      </c>
      <c r="E41" s="7">
        <v>18000</v>
      </c>
      <c r="F41" s="7">
        <v>18000</v>
      </c>
      <c r="G41" s="7">
        <v>18000</v>
      </c>
      <c r="H41" s="7">
        <v>18000</v>
      </c>
      <c r="I41" s="7">
        <v>18000</v>
      </c>
      <c r="J41" s="7">
        <v>18000</v>
      </c>
      <c r="K41" s="7">
        <v>18000</v>
      </c>
      <c r="L41" s="7">
        <v>18000</v>
      </c>
      <c r="M41" s="7">
        <v>18000</v>
      </c>
      <c r="N41" s="7">
        <v>18000</v>
      </c>
      <c r="O41" s="7">
        <v>18000</v>
      </c>
      <c r="P41" s="7">
        <v>18000</v>
      </c>
      <c r="Q41" s="7">
        <v>18000</v>
      </c>
      <c r="R41" s="7">
        <v>18000</v>
      </c>
      <c r="S41" s="7">
        <v>18000</v>
      </c>
      <c r="T41" s="7">
        <v>18000</v>
      </c>
      <c r="U41" s="7">
        <v>18000</v>
      </c>
      <c r="V41" s="7">
        <v>18000</v>
      </c>
      <c r="W41" s="7">
        <v>18000</v>
      </c>
      <c r="X41" s="7">
        <v>18000</v>
      </c>
      <c r="Y41" s="7">
        <v>18000</v>
      </c>
      <c r="Z41" s="7">
        <v>18000</v>
      </c>
      <c r="AA41" s="7">
        <v>18000</v>
      </c>
      <c r="AB41" s="7">
        <v>18000</v>
      </c>
      <c r="AC41" s="6">
        <f t="shared" si="0"/>
        <v>432000</v>
      </c>
      <c r="AD41" s="76">
        <f t="shared" ref="AD41" si="13">+SUMPRODUCT(AC41:AC43,C41:C43)</f>
        <v>12096000</v>
      </c>
      <c r="AE41" s="75"/>
    </row>
    <row r="42" spans="1:31" ht="15.75" thickBot="1" x14ac:dyDescent="0.3">
      <c r="A42" s="13">
        <v>2027</v>
      </c>
      <c r="B42" s="1">
        <v>2</v>
      </c>
      <c r="C42" s="1">
        <v>20</v>
      </c>
      <c r="D42" s="1" t="s">
        <v>31</v>
      </c>
      <c r="E42" s="8">
        <v>18000</v>
      </c>
      <c r="F42" s="8">
        <v>18000</v>
      </c>
      <c r="G42" s="8">
        <v>18000</v>
      </c>
      <c r="H42" s="8">
        <v>18000</v>
      </c>
      <c r="I42" s="8">
        <v>18000</v>
      </c>
      <c r="J42" s="8">
        <v>18000</v>
      </c>
      <c r="K42" s="8">
        <v>18000</v>
      </c>
      <c r="L42" s="8">
        <v>18000</v>
      </c>
      <c r="M42" s="8">
        <v>18000</v>
      </c>
      <c r="N42" s="8">
        <v>18000</v>
      </c>
      <c r="O42" s="8">
        <v>18000</v>
      </c>
      <c r="P42" s="8">
        <v>18000</v>
      </c>
      <c r="Q42" s="8">
        <v>18000</v>
      </c>
      <c r="R42" s="8">
        <v>18000</v>
      </c>
      <c r="S42" s="8">
        <v>18000</v>
      </c>
      <c r="T42" s="8">
        <v>18000</v>
      </c>
      <c r="U42" s="8">
        <v>18000</v>
      </c>
      <c r="V42" s="8">
        <v>18000</v>
      </c>
      <c r="W42" s="8">
        <v>18000</v>
      </c>
      <c r="X42" s="8">
        <v>18000</v>
      </c>
      <c r="Y42" s="8">
        <v>18000</v>
      </c>
      <c r="Z42" s="8">
        <v>18000</v>
      </c>
      <c r="AA42" s="8">
        <v>18000</v>
      </c>
      <c r="AB42" s="8">
        <v>18000</v>
      </c>
      <c r="AC42" s="6">
        <f t="shared" si="0"/>
        <v>432000</v>
      </c>
      <c r="AD42" s="77"/>
      <c r="AE42" s="75"/>
    </row>
    <row r="43" spans="1:31" ht="15.75" thickBot="1" x14ac:dyDescent="0.3">
      <c r="A43" s="14">
        <v>2027</v>
      </c>
      <c r="B43" s="15">
        <v>2</v>
      </c>
      <c r="C43" s="15">
        <v>4</v>
      </c>
      <c r="D43" s="15" t="s">
        <v>6</v>
      </c>
      <c r="E43" s="9">
        <v>18000</v>
      </c>
      <c r="F43" s="9">
        <v>18000</v>
      </c>
      <c r="G43" s="9">
        <v>18000</v>
      </c>
      <c r="H43" s="9">
        <v>18000</v>
      </c>
      <c r="I43" s="9">
        <v>18000</v>
      </c>
      <c r="J43" s="9">
        <v>18000</v>
      </c>
      <c r="K43" s="9">
        <v>18000</v>
      </c>
      <c r="L43" s="9">
        <v>18000</v>
      </c>
      <c r="M43" s="9">
        <v>18000</v>
      </c>
      <c r="N43" s="9">
        <v>18000</v>
      </c>
      <c r="O43" s="9">
        <v>18000</v>
      </c>
      <c r="P43" s="9">
        <v>18000</v>
      </c>
      <c r="Q43" s="9">
        <v>18000</v>
      </c>
      <c r="R43" s="9">
        <v>18000</v>
      </c>
      <c r="S43" s="9">
        <v>18000</v>
      </c>
      <c r="T43" s="9">
        <v>18000</v>
      </c>
      <c r="U43" s="9">
        <v>18000</v>
      </c>
      <c r="V43" s="9">
        <v>18000</v>
      </c>
      <c r="W43" s="9">
        <v>18000</v>
      </c>
      <c r="X43" s="9">
        <v>18000</v>
      </c>
      <c r="Y43" s="9">
        <v>18000</v>
      </c>
      <c r="Z43" s="9">
        <v>18000</v>
      </c>
      <c r="AA43" s="9">
        <v>18000</v>
      </c>
      <c r="AB43" s="9">
        <v>18000</v>
      </c>
      <c r="AC43" s="6">
        <f t="shared" si="0"/>
        <v>432000</v>
      </c>
      <c r="AD43" s="78"/>
      <c r="AE43" s="75"/>
    </row>
    <row r="44" spans="1:31" ht="15.75" thickBot="1" x14ac:dyDescent="0.3">
      <c r="A44" s="11">
        <v>2027</v>
      </c>
      <c r="B44" s="12">
        <v>3</v>
      </c>
      <c r="C44" s="12">
        <v>7</v>
      </c>
      <c r="D44" s="12" t="s">
        <v>5</v>
      </c>
      <c r="E44" s="7">
        <v>10000</v>
      </c>
      <c r="F44" s="7">
        <v>10000</v>
      </c>
      <c r="G44" s="7">
        <v>10000</v>
      </c>
      <c r="H44" s="7">
        <v>10000</v>
      </c>
      <c r="I44" s="7">
        <v>10000</v>
      </c>
      <c r="J44" s="7">
        <v>10000</v>
      </c>
      <c r="K44" s="7">
        <v>10000</v>
      </c>
      <c r="L44" s="7">
        <v>10000</v>
      </c>
      <c r="M44" s="7">
        <v>10000</v>
      </c>
      <c r="N44" s="7">
        <v>10000</v>
      </c>
      <c r="O44" s="7">
        <v>10000</v>
      </c>
      <c r="P44" s="7">
        <v>10000</v>
      </c>
      <c r="Q44" s="7">
        <v>10000</v>
      </c>
      <c r="R44" s="7">
        <v>10000</v>
      </c>
      <c r="S44" s="7">
        <v>10000</v>
      </c>
      <c r="T44" s="7">
        <v>10000</v>
      </c>
      <c r="U44" s="7">
        <v>10000</v>
      </c>
      <c r="V44" s="7">
        <v>10000</v>
      </c>
      <c r="W44" s="7">
        <v>10000</v>
      </c>
      <c r="X44" s="7">
        <v>10000</v>
      </c>
      <c r="Y44" s="7">
        <v>10000</v>
      </c>
      <c r="Z44" s="7">
        <v>10000</v>
      </c>
      <c r="AA44" s="7">
        <v>10000</v>
      </c>
      <c r="AB44" s="7">
        <v>10000</v>
      </c>
      <c r="AC44" s="6">
        <f t="shared" si="0"/>
        <v>240000</v>
      </c>
      <c r="AD44" s="76">
        <f t="shared" ref="AD44" si="14">+SUMPRODUCT(AC44:AC46,C44:C46)</f>
        <v>7440000</v>
      </c>
      <c r="AE44" s="75"/>
    </row>
    <row r="45" spans="1:31" ht="15.75" thickBot="1" x14ac:dyDescent="0.3">
      <c r="A45" s="13">
        <v>2027</v>
      </c>
      <c r="B45" s="1">
        <v>3</v>
      </c>
      <c r="C45" s="1">
        <v>20</v>
      </c>
      <c r="D45" s="1" t="s">
        <v>31</v>
      </c>
      <c r="E45" s="7">
        <v>10000</v>
      </c>
      <c r="F45" s="7">
        <v>10000</v>
      </c>
      <c r="G45" s="7">
        <v>10000</v>
      </c>
      <c r="H45" s="7">
        <v>10000</v>
      </c>
      <c r="I45" s="7">
        <v>10000</v>
      </c>
      <c r="J45" s="7">
        <v>10000</v>
      </c>
      <c r="K45" s="7">
        <v>10000</v>
      </c>
      <c r="L45" s="7">
        <v>10000</v>
      </c>
      <c r="M45" s="7">
        <v>10000</v>
      </c>
      <c r="N45" s="7">
        <v>10000</v>
      </c>
      <c r="O45" s="7">
        <v>10000</v>
      </c>
      <c r="P45" s="7">
        <v>10000</v>
      </c>
      <c r="Q45" s="7">
        <v>10000</v>
      </c>
      <c r="R45" s="7">
        <v>10000</v>
      </c>
      <c r="S45" s="7">
        <v>10000</v>
      </c>
      <c r="T45" s="7">
        <v>10000</v>
      </c>
      <c r="U45" s="7">
        <v>10000</v>
      </c>
      <c r="V45" s="7">
        <v>10000</v>
      </c>
      <c r="W45" s="7">
        <v>10000</v>
      </c>
      <c r="X45" s="7">
        <v>10000</v>
      </c>
      <c r="Y45" s="7">
        <v>10000</v>
      </c>
      <c r="Z45" s="7">
        <v>10000</v>
      </c>
      <c r="AA45" s="7">
        <v>10000</v>
      </c>
      <c r="AB45" s="7">
        <v>10000</v>
      </c>
      <c r="AC45" s="6">
        <f t="shared" si="0"/>
        <v>240000</v>
      </c>
      <c r="AD45" s="77"/>
      <c r="AE45" s="75"/>
    </row>
    <row r="46" spans="1:31" ht="15.75" thickBot="1" x14ac:dyDescent="0.3">
      <c r="A46" s="14">
        <v>2027</v>
      </c>
      <c r="B46" s="15">
        <v>3</v>
      </c>
      <c r="C46" s="15">
        <v>4</v>
      </c>
      <c r="D46" s="15" t="s">
        <v>6</v>
      </c>
      <c r="E46" s="7">
        <v>10000</v>
      </c>
      <c r="F46" s="7">
        <v>10000</v>
      </c>
      <c r="G46" s="7">
        <v>10000</v>
      </c>
      <c r="H46" s="7">
        <v>10000</v>
      </c>
      <c r="I46" s="7">
        <v>10000</v>
      </c>
      <c r="J46" s="7">
        <v>10000</v>
      </c>
      <c r="K46" s="7">
        <v>10000</v>
      </c>
      <c r="L46" s="7">
        <v>10000</v>
      </c>
      <c r="M46" s="7">
        <v>10000</v>
      </c>
      <c r="N46" s="7">
        <v>10000</v>
      </c>
      <c r="O46" s="7">
        <v>10000</v>
      </c>
      <c r="P46" s="7">
        <v>10000</v>
      </c>
      <c r="Q46" s="7">
        <v>10000</v>
      </c>
      <c r="R46" s="7">
        <v>10000</v>
      </c>
      <c r="S46" s="7">
        <v>10000</v>
      </c>
      <c r="T46" s="7">
        <v>10000</v>
      </c>
      <c r="U46" s="7">
        <v>10000</v>
      </c>
      <c r="V46" s="7">
        <v>10000</v>
      </c>
      <c r="W46" s="7">
        <v>10000</v>
      </c>
      <c r="X46" s="7">
        <v>10000</v>
      </c>
      <c r="Y46" s="7">
        <v>10000</v>
      </c>
      <c r="Z46" s="7">
        <v>10000</v>
      </c>
      <c r="AA46" s="7">
        <v>10000</v>
      </c>
      <c r="AB46" s="7">
        <v>10000</v>
      </c>
      <c r="AC46" s="6">
        <f t="shared" si="0"/>
        <v>240000</v>
      </c>
      <c r="AD46" s="78"/>
      <c r="AE46" s="75"/>
    </row>
    <row r="47" spans="1:31" ht="15.75" thickBot="1" x14ac:dyDescent="0.3">
      <c r="A47" s="11">
        <v>2027</v>
      </c>
      <c r="B47" s="12">
        <v>4</v>
      </c>
      <c r="C47" s="12">
        <v>4</v>
      </c>
      <c r="D47" s="12" t="s">
        <v>5</v>
      </c>
      <c r="E47" s="7">
        <v>18000</v>
      </c>
      <c r="F47" s="7">
        <v>18000</v>
      </c>
      <c r="G47" s="7">
        <v>18000</v>
      </c>
      <c r="H47" s="7">
        <v>18000</v>
      </c>
      <c r="I47" s="7">
        <v>18000</v>
      </c>
      <c r="J47" s="7">
        <v>18000</v>
      </c>
      <c r="K47" s="7">
        <v>18000</v>
      </c>
      <c r="L47" s="7">
        <v>18000</v>
      </c>
      <c r="M47" s="7">
        <v>18000</v>
      </c>
      <c r="N47" s="7">
        <v>18000</v>
      </c>
      <c r="O47" s="7">
        <v>18000</v>
      </c>
      <c r="P47" s="7">
        <v>18000</v>
      </c>
      <c r="Q47" s="7">
        <v>18000</v>
      </c>
      <c r="R47" s="7">
        <v>18000</v>
      </c>
      <c r="S47" s="7">
        <v>18000</v>
      </c>
      <c r="T47" s="7">
        <v>18000</v>
      </c>
      <c r="U47" s="7">
        <v>18000</v>
      </c>
      <c r="V47" s="7">
        <v>18000</v>
      </c>
      <c r="W47" s="7">
        <v>18000</v>
      </c>
      <c r="X47" s="7">
        <v>18000</v>
      </c>
      <c r="Y47" s="7">
        <v>18000</v>
      </c>
      <c r="Z47" s="7">
        <v>18000</v>
      </c>
      <c r="AA47" s="7">
        <v>18000</v>
      </c>
      <c r="AB47" s="7">
        <v>18000</v>
      </c>
      <c r="AC47" s="6">
        <f t="shared" si="0"/>
        <v>432000</v>
      </c>
      <c r="AD47" s="76">
        <f t="shared" ref="AD47" si="15">+SUMPRODUCT(AC47:AC49,C47:C49)</f>
        <v>12960000</v>
      </c>
      <c r="AE47" s="75"/>
    </row>
    <row r="48" spans="1:31" ht="15.75" thickBot="1" x14ac:dyDescent="0.3">
      <c r="A48" s="13">
        <v>2027</v>
      </c>
      <c r="B48" s="1">
        <v>4</v>
      </c>
      <c r="C48" s="1">
        <v>22</v>
      </c>
      <c r="D48" s="1" t="s">
        <v>31</v>
      </c>
      <c r="E48" s="8">
        <v>18000</v>
      </c>
      <c r="F48" s="8">
        <v>18000</v>
      </c>
      <c r="G48" s="8">
        <v>18000</v>
      </c>
      <c r="H48" s="8">
        <v>18000</v>
      </c>
      <c r="I48" s="8">
        <v>18000</v>
      </c>
      <c r="J48" s="8">
        <v>18000</v>
      </c>
      <c r="K48" s="8">
        <v>18000</v>
      </c>
      <c r="L48" s="8">
        <v>18000</v>
      </c>
      <c r="M48" s="8">
        <v>18000</v>
      </c>
      <c r="N48" s="8">
        <v>18000</v>
      </c>
      <c r="O48" s="8">
        <v>18000</v>
      </c>
      <c r="P48" s="8">
        <v>18000</v>
      </c>
      <c r="Q48" s="8">
        <v>18000</v>
      </c>
      <c r="R48" s="8">
        <v>18000</v>
      </c>
      <c r="S48" s="8">
        <v>18000</v>
      </c>
      <c r="T48" s="8">
        <v>18000</v>
      </c>
      <c r="U48" s="8">
        <v>18000</v>
      </c>
      <c r="V48" s="8">
        <v>18000</v>
      </c>
      <c r="W48" s="8">
        <v>18000</v>
      </c>
      <c r="X48" s="8">
        <v>18000</v>
      </c>
      <c r="Y48" s="8">
        <v>18000</v>
      </c>
      <c r="Z48" s="8">
        <v>18000</v>
      </c>
      <c r="AA48" s="8">
        <v>18000</v>
      </c>
      <c r="AB48" s="8">
        <v>18000</v>
      </c>
      <c r="AC48" s="6">
        <f t="shared" si="0"/>
        <v>432000</v>
      </c>
      <c r="AD48" s="77"/>
      <c r="AE48" s="75"/>
    </row>
    <row r="49" spans="1:31" ht="15.75" thickBot="1" x14ac:dyDescent="0.3">
      <c r="A49" s="14">
        <v>2027</v>
      </c>
      <c r="B49" s="15">
        <v>4</v>
      </c>
      <c r="C49" s="15">
        <v>4</v>
      </c>
      <c r="D49" s="15" t="s">
        <v>6</v>
      </c>
      <c r="E49" s="9">
        <v>18000</v>
      </c>
      <c r="F49" s="9">
        <v>18000</v>
      </c>
      <c r="G49" s="9">
        <v>18000</v>
      </c>
      <c r="H49" s="9">
        <v>18000</v>
      </c>
      <c r="I49" s="9">
        <v>18000</v>
      </c>
      <c r="J49" s="9">
        <v>18000</v>
      </c>
      <c r="K49" s="9">
        <v>18000</v>
      </c>
      <c r="L49" s="9">
        <v>18000</v>
      </c>
      <c r="M49" s="9">
        <v>18000</v>
      </c>
      <c r="N49" s="9">
        <v>18000</v>
      </c>
      <c r="O49" s="9">
        <v>18000</v>
      </c>
      <c r="P49" s="9">
        <v>18000</v>
      </c>
      <c r="Q49" s="9">
        <v>18000</v>
      </c>
      <c r="R49" s="9">
        <v>18000</v>
      </c>
      <c r="S49" s="9">
        <v>18000</v>
      </c>
      <c r="T49" s="9">
        <v>18000</v>
      </c>
      <c r="U49" s="9">
        <v>18000</v>
      </c>
      <c r="V49" s="9">
        <v>18000</v>
      </c>
      <c r="W49" s="9">
        <v>18000</v>
      </c>
      <c r="X49" s="9">
        <v>18000</v>
      </c>
      <c r="Y49" s="9">
        <v>18000</v>
      </c>
      <c r="Z49" s="9">
        <v>18000</v>
      </c>
      <c r="AA49" s="9">
        <v>18000</v>
      </c>
      <c r="AB49" s="9">
        <v>18000</v>
      </c>
      <c r="AC49" s="6">
        <f t="shared" si="0"/>
        <v>432000</v>
      </c>
      <c r="AD49" s="78"/>
      <c r="AE49" s="75"/>
    </row>
    <row r="50" spans="1:31" ht="15.75" thickBot="1" x14ac:dyDescent="0.3">
      <c r="A50" s="11">
        <v>2027</v>
      </c>
      <c r="B50" s="12">
        <v>5</v>
      </c>
      <c r="C50" s="12">
        <v>8</v>
      </c>
      <c r="D50" s="12" t="s">
        <v>5</v>
      </c>
      <c r="E50" s="7">
        <v>9000</v>
      </c>
      <c r="F50" s="7">
        <v>9000</v>
      </c>
      <c r="G50" s="7">
        <v>9000</v>
      </c>
      <c r="H50" s="7">
        <v>9000</v>
      </c>
      <c r="I50" s="7">
        <v>9000</v>
      </c>
      <c r="J50" s="7">
        <v>9000</v>
      </c>
      <c r="K50" s="7">
        <v>9000</v>
      </c>
      <c r="L50" s="7">
        <v>9000</v>
      </c>
      <c r="M50" s="7">
        <v>9000</v>
      </c>
      <c r="N50" s="7">
        <v>9000</v>
      </c>
      <c r="O50" s="7">
        <v>9000</v>
      </c>
      <c r="P50" s="7">
        <v>9000</v>
      </c>
      <c r="Q50" s="7">
        <v>9000</v>
      </c>
      <c r="R50" s="7">
        <v>9000</v>
      </c>
      <c r="S50" s="7">
        <v>9000</v>
      </c>
      <c r="T50" s="7">
        <v>9000</v>
      </c>
      <c r="U50" s="7">
        <v>9000</v>
      </c>
      <c r="V50" s="7">
        <v>9000</v>
      </c>
      <c r="W50" s="7">
        <v>9000</v>
      </c>
      <c r="X50" s="7">
        <v>9000</v>
      </c>
      <c r="Y50" s="7">
        <v>9000</v>
      </c>
      <c r="Z50" s="7">
        <v>9000</v>
      </c>
      <c r="AA50" s="7">
        <v>9000</v>
      </c>
      <c r="AB50" s="7">
        <v>9000</v>
      </c>
      <c r="AC50" s="6">
        <f t="shared" si="0"/>
        <v>216000</v>
      </c>
      <c r="AD50" s="76">
        <f t="shared" ref="AD50" si="16">+SUMPRODUCT(AC50:AC52,C50:C52)</f>
        <v>6696000</v>
      </c>
      <c r="AE50" s="75"/>
    </row>
    <row r="51" spans="1:31" ht="15.75" thickBot="1" x14ac:dyDescent="0.3">
      <c r="A51" s="13">
        <v>2027</v>
      </c>
      <c r="B51" s="1">
        <v>5</v>
      </c>
      <c r="C51" s="1">
        <v>19</v>
      </c>
      <c r="D51" s="1" t="s">
        <v>31</v>
      </c>
      <c r="E51" s="7">
        <v>9000</v>
      </c>
      <c r="F51" s="7">
        <v>9000</v>
      </c>
      <c r="G51" s="7">
        <v>9000</v>
      </c>
      <c r="H51" s="7">
        <v>9000</v>
      </c>
      <c r="I51" s="7">
        <v>9000</v>
      </c>
      <c r="J51" s="7">
        <v>9000</v>
      </c>
      <c r="K51" s="7">
        <v>9000</v>
      </c>
      <c r="L51" s="7">
        <v>9000</v>
      </c>
      <c r="M51" s="7">
        <v>9000</v>
      </c>
      <c r="N51" s="7">
        <v>9000</v>
      </c>
      <c r="O51" s="7">
        <v>9000</v>
      </c>
      <c r="P51" s="7">
        <v>9000</v>
      </c>
      <c r="Q51" s="7">
        <v>9000</v>
      </c>
      <c r="R51" s="7">
        <v>9000</v>
      </c>
      <c r="S51" s="7">
        <v>9000</v>
      </c>
      <c r="T51" s="7">
        <v>9000</v>
      </c>
      <c r="U51" s="7">
        <v>9000</v>
      </c>
      <c r="V51" s="7">
        <v>9000</v>
      </c>
      <c r="W51" s="7">
        <v>9000</v>
      </c>
      <c r="X51" s="7">
        <v>9000</v>
      </c>
      <c r="Y51" s="7">
        <v>9000</v>
      </c>
      <c r="Z51" s="7">
        <v>9000</v>
      </c>
      <c r="AA51" s="7">
        <v>9000</v>
      </c>
      <c r="AB51" s="7">
        <v>9000</v>
      </c>
      <c r="AC51" s="6">
        <f t="shared" si="0"/>
        <v>216000</v>
      </c>
      <c r="AD51" s="77"/>
      <c r="AE51" s="75"/>
    </row>
    <row r="52" spans="1:31" ht="15.75" thickBot="1" x14ac:dyDescent="0.3">
      <c r="A52" s="14">
        <v>2027</v>
      </c>
      <c r="B52" s="15">
        <v>5</v>
      </c>
      <c r="C52" s="15">
        <v>4</v>
      </c>
      <c r="D52" s="15" t="s">
        <v>6</v>
      </c>
      <c r="E52" s="7">
        <v>9000</v>
      </c>
      <c r="F52" s="7">
        <v>9000</v>
      </c>
      <c r="G52" s="7">
        <v>9000</v>
      </c>
      <c r="H52" s="7">
        <v>9000</v>
      </c>
      <c r="I52" s="7">
        <v>9000</v>
      </c>
      <c r="J52" s="7">
        <v>9000</v>
      </c>
      <c r="K52" s="7">
        <v>9000</v>
      </c>
      <c r="L52" s="7">
        <v>9000</v>
      </c>
      <c r="M52" s="7">
        <v>9000</v>
      </c>
      <c r="N52" s="7">
        <v>9000</v>
      </c>
      <c r="O52" s="7">
        <v>9000</v>
      </c>
      <c r="P52" s="7">
        <v>9000</v>
      </c>
      <c r="Q52" s="7">
        <v>9000</v>
      </c>
      <c r="R52" s="7">
        <v>9000</v>
      </c>
      <c r="S52" s="7">
        <v>9000</v>
      </c>
      <c r="T52" s="7">
        <v>9000</v>
      </c>
      <c r="U52" s="7">
        <v>9000</v>
      </c>
      <c r="V52" s="7">
        <v>9000</v>
      </c>
      <c r="W52" s="7">
        <v>9000</v>
      </c>
      <c r="X52" s="7">
        <v>9000</v>
      </c>
      <c r="Y52" s="7">
        <v>9000</v>
      </c>
      <c r="Z52" s="7">
        <v>9000</v>
      </c>
      <c r="AA52" s="7">
        <v>9000</v>
      </c>
      <c r="AB52" s="7">
        <v>9000</v>
      </c>
      <c r="AC52" s="6">
        <f t="shared" si="0"/>
        <v>216000</v>
      </c>
      <c r="AD52" s="78"/>
      <c r="AE52" s="75"/>
    </row>
    <row r="53" spans="1:31" ht="15.75" thickBot="1" x14ac:dyDescent="0.3">
      <c r="A53" s="11">
        <v>2027</v>
      </c>
      <c r="B53" s="12">
        <v>6</v>
      </c>
      <c r="C53" s="12">
        <v>5</v>
      </c>
      <c r="D53" s="12" t="s">
        <v>5</v>
      </c>
      <c r="E53" s="7">
        <v>14000</v>
      </c>
      <c r="F53" s="7">
        <v>14000</v>
      </c>
      <c r="G53" s="7">
        <v>14000</v>
      </c>
      <c r="H53" s="7">
        <v>14000</v>
      </c>
      <c r="I53" s="7">
        <v>14000</v>
      </c>
      <c r="J53" s="7">
        <v>14000</v>
      </c>
      <c r="K53" s="7">
        <v>14000</v>
      </c>
      <c r="L53" s="7">
        <v>14000</v>
      </c>
      <c r="M53" s="7">
        <v>14000</v>
      </c>
      <c r="N53" s="7">
        <v>14000</v>
      </c>
      <c r="O53" s="7">
        <v>14000</v>
      </c>
      <c r="P53" s="7">
        <v>14000</v>
      </c>
      <c r="Q53" s="7">
        <v>14000</v>
      </c>
      <c r="R53" s="7">
        <v>14000</v>
      </c>
      <c r="S53" s="7">
        <v>14000</v>
      </c>
      <c r="T53" s="7">
        <v>14000</v>
      </c>
      <c r="U53" s="7">
        <v>14000</v>
      </c>
      <c r="V53" s="7">
        <v>14000</v>
      </c>
      <c r="W53" s="7">
        <v>14000</v>
      </c>
      <c r="X53" s="7">
        <v>14000</v>
      </c>
      <c r="Y53" s="7">
        <v>14000</v>
      </c>
      <c r="Z53" s="7">
        <v>14000</v>
      </c>
      <c r="AA53" s="7">
        <v>14000</v>
      </c>
      <c r="AB53" s="7">
        <v>14000</v>
      </c>
      <c r="AC53" s="6">
        <f t="shared" si="0"/>
        <v>336000</v>
      </c>
      <c r="AD53" s="76">
        <f t="shared" ref="AD53" si="17">+SUMPRODUCT(AC53:AC55,C53:C55)</f>
        <v>10080000</v>
      </c>
      <c r="AE53" s="75"/>
    </row>
    <row r="54" spans="1:31" ht="15.75" thickBot="1" x14ac:dyDescent="0.3">
      <c r="A54" s="13">
        <v>2027</v>
      </c>
      <c r="B54" s="1">
        <v>6</v>
      </c>
      <c r="C54" s="1">
        <v>21</v>
      </c>
      <c r="D54" s="1" t="s">
        <v>31</v>
      </c>
      <c r="E54" s="7">
        <v>14000</v>
      </c>
      <c r="F54" s="7">
        <v>14000</v>
      </c>
      <c r="G54" s="7">
        <v>14000</v>
      </c>
      <c r="H54" s="7">
        <v>14000</v>
      </c>
      <c r="I54" s="7">
        <v>14000</v>
      </c>
      <c r="J54" s="7">
        <v>14000</v>
      </c>
      <c r="K54" s="7">
        <v>14000</v>
      </c>
      <c r="L54" s="7">
        <v>14000</v>
      </c>
      <c r="M54" s="7">
        <v>14000</v>
      </c>
      <c r="N54" s="7">
        <v>14000</v>
      </c>
      <c r="O54" s="7">
        <v>14000</v>
      </c>
      <c r="P54" s="7">
        <v>14000</v>
      </c>
      <c r="Q54" s="7">
        <v>14000</v>
      </c>
      <c r="R54" s="7">
        <v>14000</v>
      </c>
      <c r="S54" s="7">
        <v>14000</v>
      </c>
      <c r="T54" s="7">
        <v>14000</v>
      </c>
      <c r="U54" s="7">
        <v>14000</v>
      </c>
      <c r="V54" s="7">
        <v>14000</v>
      </c>
      <c r="W54" s="7">
        <v>14000</v>
      </c>
      <c r="X54" s="7">
        <v>14000</v>
      </c>
      <c r="Y54" s="7">
        <v>14000</v>
      </c>
      <c r="Z54" s="7">
        <v>14000</v>
      </c>
      <c r="AA54" s="7">
        <v>14000</v>
      </c>
      <c r="AB54" s="7">
        <v>14000</v>
      </c>
      <c r="AC54" s="6">
        <f t="shared" si="0"/>
        <v>336000</v>
      </c>
      <c r="AD54" s="77"/>
      <c r="AE54" s="75"/>
    </row>
    <row r="55" spans="1:31" ht="15.75" thickBot="1" x14ac:dyDescent="0.3">
      <c r="A55" s="14">
        <v>2027</v>
      </c>
      <c r="B55" s="15">
        <v>6</v>
      </c>
      <c r="C55" s="15">
        <v>4</v>
      </c>
      <c r="D55" s="15" t="s">
        <v>6</v>
      </c>
      <c r="E55" s="7">
        <v>14000</v>
      </c>
      <c r="F55" s="7">
        <v>14000</v>
      </c>
      <c r="G55" s="7">
        <v>14000</v>
      </c>
      <c r="H55" s="7">
        <v>14000</v>
      </c>
      <c r="I55" s="7">
        <v>14000</v>
      </c>
      <c r="J55" s="7">
        <v>14000</v>
      </c>
      <c r="K55" s="7">
        <v>14000</v>
      </c>
      <c r="L55" s="7">
        <v>14000</v>
      </c>
      <c r="M55" s="7">
        <v>14000</v>
      </c>
      <c r="N55" s="7">
        <v>14000</v>
      </c>
      <c r="O55" s="7">
        <v>14000</v>
      </c>
      <c r="P55" s="7">
        <v>14000</v>
      </c>
      <c r="Q55" s="7">
        <v>14000</v>
      </c>
      <c r="R55" s="7">
        <v>14000</v>
      </c>
      <c r="S55" s="7">
        <v>14000</v>
      </c>
      <c r="T55" s="7">
        <v>14000</v>
      </c>
      <c r="U55" s="7">
        <v>14000</v>
      </c>
      <c r="V55" s="7">
        <v>14000</v>
      </c>
      <c r="W55" s="7">
        <v>14000</v>
      </c>
      <c r="X55" s="7">
        <v>14000</v>
      </c>
      <c r="Y55" s="7">
        <v>14000</v>
      </c>
      <c r="Z55" s="7">
        <v>14000</v>
      </c>
      <c r="AA55" s="7">
        <v>14000</v>
      </c>
      <c r="AB55" s="7">
        <v>14000</v>
      </c>
      <c r="AC55" s="6">
        <f t="shared" si="0"/>
        <v>336000</v>
      </c>
      <c r="AD55" s="78"/>
      <c r="AE55" s="75"/>
    </row>
    <row r="56" spans="1:31" ht="15.75" thickBot="1" x14ac:dyDescent="0.3">
      <c r="A56" s="11">
        <v>2027</v>
      </c>
      <c r="B56" s="12">
        <v>7</v>
      </c>
      <c r="C56" s="12">
        <v>6</v>
      </c>
      <c r="D56" s="12" t="s">
        <v>5</v>
      </c>
      <c r="E56" s="7">
        <v>12000</v>
      </c>
      <c r="F56" s="7">
        <v>12000</v>
      </c>
      <c r="G56" s="7">
        <v>12000</v>
      </c>
      <c r="H56" s="7">
        <v>12000</v>
      </c>
      <c r="I56" s="7">
        <v>12000</v>
      </c>
      <c r="J56" s="7">
        <v>12000</v>
      </c>
      <c r="K56" s="7">
        <v>12000</v>
      </c>
      <c r="L56" s="7">
        <v>12000</v>
      </c>
      <c r="M56" s="7">
        <v>12000</v>
      </c>
      <c r="N56" s="7">
        <v>12000</v>
      </c>
      <c r="O56" s="7">
        <v>12000</v>
      </c>
      <c r="P56" s="7">
        <v>12000</v>
      </c>
      <c r="Q56" s="7">
        <v>12000</v>
      </c>
      <c r="R56" s="7">
        <v>12000</v>
      </c>
      <c r="S56" s="7">
        <v>12000</v>
      </c>
      <c r="T56" s="7">
        <v>12000</v>
      </c>
      <c r="U56" s="7">
        <v>12000</v>
      </c>
      <c r="V56" s="7">
        <v>12000</v>
      </c>
      <c r="W56" s="7">
        <v>12000</v>
      </c>
      <c r="X56" s="7">
        <v>12000</v>
      </c>
      <c r="Y56" s="7">
        <v>12000</v>
      </c>
      <c r="Z56" s="7">
        <v>12000</v>
      </c>
      <c r="AA56" s="7">
        <v>12000</v>
      </c>
      <c r="AB56" s="7">
        <v>12000</v>
      </c>
      <c r="AC56" s="6">
        <f t="shared" si="0"/>
        <v>288000</v>
      </c>
      <c r="AD56" s="76">
        <f t="shared" ref="AD56" si="18">+SUMPRODUCT(AC56:AC58,C56:C58)</f>
        <v>8928000</v>
      </c>
      <c r="AE56" s="75"/>
    </row>
    <row r="57" spans="1:31" ht="15.75" thickBot="1" x14ac:dyDescent="0.3">
      <c r="A57" s="13">
        <v>2027</v>
      </c>
      <c r="B57" s="1">
        <v>7</v>
      </c>
      <c r="C57" s="1">
        <v>20</v>
      </c>
      <c r="D57" s="1" t="s">
        <v>31</v>
      </c>
      <c r="E57" s="8">
        <v>12000</v>
      </c>
      <c r="F57" s="8">
        <v>12000</v>
      </c>
      <c r="G57" s="8">
        <v>12000</v>
      </c>
      <c r="H57" s="8">
        <v>12000</v>
      </c>
      <c r="I57" s="8">
        <v>12000</v>
      </c>
      <c r="J57" s="8">
        <v>12000</v>
      </c>
      <c r="K57" s="8">
        <v>12000</v>
      </c>
      <c r="L57" s="8">
        <v>12000</v>
      </c>
      <c r="M57" s="8">
        <v>12000</v>
      </c>
      <c r="N57" s="8">
        <v>12000</v>
      </c>
      <c r="O57" s="8">
        <v>12000</v>
      </c>
      <c r="P57" s="8">
        <v>12000</v>
      </c>
      <c r="Q57" s="8">
        <v>12000</v>
      </c>
      <c r="R57" s="8">
        <v>12000</v>
      </c>
      <c r="S57" s="8">
        <v>12000</v>
      </c>
      <c r="T57" s="8">
        <v>12000</v>
      </c>
      <c r="U57" s="8">
        <v>12000</v>
      </c>
      <c r="V57" s="8">
        <v>12000</v>
      </c>
      <c r="W57" s="8">
        <v>12000</v>
      </c>
      <c r="X57" s="8">
        <v>12000</v>
      </c>
      <c r="Y57" s="8">
        <v>12000</v>
      </c>
      <c r="Z57" s="8">
        <v>12000</v>
      </c>
      <c r="AA57" s="8">
        <v>12000</v>
      </c>
      <c r="AB57" s="8">
        <v>12000</v>
      </c>
      <c r="AC57" s="6">
        <f t="shared" si="0"/>
        <v>288000</v>
      </c>
      <c r="AD57" s="77"/>
      <c r="AE57" s="75"/>
    </row>
    <row r="58" spans="1:31" ht="15.75" thickBot="1" x14ac:dyDescent="0.3">
      <c r="A58" s="14">
        <v>2027</v>
      </c>
      <c r="B58" s="15">
        <v>7</v>
      </c>
      <c r="C58" s="15">
        <v>5</v>
      </c>
      <c r="D58" s="15" t="s">
        <v>6</v>
      </c>
      <c r="E58" s="9">
        <v>12000</v>
      </c>
      <c r="F58" s="9">
        <v>12000</v>
      </c>
      <c r="G58" s="9">
        <v>12000</v>
      </c>
      <c r="H58" s="9">
        <v>12000</v>
      </c>
      <c r="I58" s="9">
        <v>12000</v>
      </c>
      <c r="J58" s="9">
        <v>12000</v>
      </c>
      <c r="K58" s="9">
        <v>12000</v>
      </c>
      <c r="L58" s="9">
        <v>12000</v>
      </c>
      <c r="M58" s="9">
        <v>12000</v>
      </c>
      <c r="N58" s="9">
        <v>12000</v>
      </c>
      <c r="O58" s="9">
        <v>12000</v>
      </c>
      <c r="P58" s="9">
        <v>12000</v>
      </c>
      <c r="Q58" s="9">
        <v>12000</v>
      </c>
      <c r="R58" s="9">
        <v>12000</v>
      </c>
      <c r="S58" s="9">
        <v>12000</v>
      </c>
      <c r="T58" s="9">
        <v>12000</v>
      </c>
      <c r="U58" s="9">
        <v>12000</v>
      </c>
      <c r="V58" s="9">
        <v>12000</v>
      </c>
      <c r="W58" s="9">
        <v>12000</v>
      </c>
      <c r="X58" s="9">
        <v>12000</v>
      </c>
      <c r="Y58" s="9">
        <v>12000</v>
      </c>
      <c r="Z58" s="9">
        <v>12000</v>
      </c>
      <c r="AA58" s="9">
        <v>12000</v>
      </c>
      <c r="AB58" s="9">
        <v>12000</v>
      </c>
      <c r="AC58" s="6">
        <f t="shared" si="0"/>
        <v>288000</v>
      </c>
      <c r="AD58" s="78"/>
      <c r="AE58" s="75"/>
    </row>
    <row r="59" spans="1:31" ht="15.75" thickBot="1" x14ac:dyDescent="0.3">
      <c r="A59" s="11">
        <v>2027</v>
      </c>
      <c r="B59" s="12">
        <v>8</v>
      </c>
      <c r="C59" s="12">
        <v>7</v>
      </c>
      <c r="D59" s="12" t="s">
        <v>5</v>
      </c>
      <c r="E59" s="7">
        <v>13000</v>
      </c>
      <c r="F59" s="7">
        <v>13000</v>
      </c>
      <c r="G59" s="7">
        <v>13000</v>
      </c>
      <c r="H59" s="7">
        <v>13000</v>
      </c>
      <c r="I59" s="7">
        <v>13000</v>
      </c>
      <c r="J59" s="7">
        <v>13000</v>
      </c>
      <c r="K59" s="7">
        <v>13000</v>
      </c>
      <c r="L59" s="7">
        <v>13000</v>
      </c>
      <c r="M59" s="7">
        <v>13000</v>
      </c>
      <c r="N59" s="7">
        <v>13000</v>
      </c>
      <c r="O59" s="7">
        <v>13000</v>
      </c>
      <c r="P59" s="7">
        <v>13000</v>
      </c>
      <c r="Q59" s="7">
        <v>13000</v>
      </c>
      <c r="R59" s="7">
        <v>13000</v>
      </c>
      <c r="S59" s="7">
        <v>13000</v>
      </c>
      <c r="T59" s="7">
        <v>13000</v>
      </c>
      <c r="U59" s="7">
        <v>13000</v>
      </c>
      <c r="V59" s="7">
        <v>13000</v>
      </c>
      <c r="W59" s="7">
        <v>13000</v>
      </c>
      <c r="X59" s="7">
        <v>13000</v>
      </c>
      <c r="Y59" s="7">
        <v>13000</v>
      </c>
      <c r="Z59" s="7">
        <v>13000</v>
      </c>
      <c r="AA59" s="7">
        <v>13000</v>
      </c>
      <c r="AB59" s="7">
        <v>13000</v>
      </c>
      <c r="AC59" s="6">
        <f t="shared" si="0"/>
        <v>312000</v>
      </c>
      <c r="AD59" s="76">
        <f t="shared" ref="AD59" si="19">+SUMPRODUCT(AC59:AC61,C59:C61)</f>
        <v>9672000</v>
      </c>
      <c r="AE59" s="75"/>
    </row>
    <row r="60" spans="1:31" ht="15.75" thickBot="1" x14ac:dyDescent="0.3">
      <c r="A60" s="13">
        <v>2027</v>
      </c>
      <c r="B60" s="1">
        <v>8</v>
      </c>
      <c r="C60" s="1">
        <v>21</v>
      </c>
      <c r="D60" s="1" t="s">
        <v>31</v>
      </c>
      <c r="E60" s="8">
        <v>13000</v>
      </c>
      <c r="F60" s="8">
        <v>13000</v>
      </c>
      <c r="G60" s="8">
        <v>13000</v>
      </c>
      <c r="H60" s="8">
        <v>13000</v>
      </c>
      <c r="I60" s="8">
        <v>13000</v>
      </c>
      <c r="J60" s="8">
        <v>13000</v>
      </c>
      <c r="K60" s="8">
        <v>13000</v>
      </c>
      <c r="L60" s="8">
        <v>13000</v>
      </c>
      <c r="M60" s="8">
        <v>13000</v>
      </c>
      <c r="N60" s="8">
        <v>13000</v>
      </c>
      <c r="O60" s="8">
        <v>13000</v>
      </c>
      <c r="P60" s="8">
        <v>13000</v>
      </c>
      <c r="Q60" s="8">
        <v>13000</v>
      </c>
      <c r="R60" s="8">
        <v>13000</v>
      </c>
      <c r="S60" s="8">
        <v>13000</v>
      </c>
      <c r="T60" s="8">
        <v>13000</v>
      </c>
      <c r="U60" s="8">
        <v>13000</v>
      </c>
      <c r="V60" s="8">
        <v>13000</v>
      </c>
      <c r="W60" s="8">
        <v>13000</v>
      </c>
      <c r="X60" s="8">
        <v>13000</v>
      </c>
      <c r="Y60" s="8">
        <v>13000</v>
      </c>
      <c r="Z60" s="8">
        <v>13000</v>
      </c>
      <c r="AA60" s="8">
        <v>13000</v>
      </c>
      <c r="AB60" s="8">
        <v>13000</v>
      </c>
      <c r="AC60" s="6">
        <f t="shared" si="0"/>
        <v>312000</v>
      </c>
      <c r="AD60" s="77"/>
      <c r="AE60" s="75"/>
    </row>
    <row r="61" spans="1:31" ht="15.75" thickBot="1" x14ac:dyDescent="0.3">
      <c r="A61" s="14">
        <v>2027</v>
      </c>
      <c r="B61" s="15">
        <v>8</v>
      </c>
      <c r="C61" s="15">
        <v>3</v>
      </c>
      <c r="D61" s="15" t="s">
        <v>6</v>
      </c>
      <c r="E61" s="9">
        <v>13000</v>
      </c>
      <c r="F61" s="9">
        <v>13000</v>
      </c>
      <c r="G61" s="9">
        <v>13000</v>
      </c>
      <c r="H61" s="9">
        <v>13000</v>
      </c>
      <c r="I61" s="9">
        <v>13000</v>
      </c>
      <c r="J61" s="9">
        <v>13000</v>
      </c>
      <c r="K61" s="9">
        <v>13000</v>
      </c>
      <c r="L61" s="9">
        <v>13000</v>
      </c>
      <c r="M61" s="9">
        <v>13000</v>
      </c>
      <c r="N61" s="9">
        <v>13000</v>
      </c>
      <c r="O61" s="9">
        <v>13000</v>
      </c>
      <c r="P61" s="9">
        <v>13000</v>
      </c>
      <c r="Q61" s="9">
        <v>13000</v>
      </c>
      <c r="R61" s="9">
        <v>13000</v>
      </c>
      <c r="S61" s="9">
        <v>13000</v>
      </c>
      <c r="T61" s="9">
        <v>13000</v>
      </c>
      <c r="U61" s="9">
        <v>13000</v>
      </c>
      <c r="V61" s="9">
        <v>13000</v>
      </c>
      <c r="W61" s="9">
        <v>13000</v>
      </c>
      <c r="X61" s="9">
        <v>13000</v>
      </c>
      <c r="Y61" s="9">
        <v>13000</v>
      </c>
      <c r="Z61" s="9">
        <v>13000</v>
      </c>
      <c r="AA61" s="9">
        <v>13000</v>
      </c>
      <c r="AB61" s="9">
        <v>13000</v>
      </c>
      <c r="AC61" s="6">
        <f t="shared" si="0"/>
        <v>312000</v>
      </c>
      <c r="AD61" s="78"/>
      <c r="AE61" s="75"/>
    </row>
    <row r="62" spans="1:31" ht="15.75" thickBot="1" x14ac:dyDescent="0.3">
      <c r="A62" s="11">
        <v>2027</v>
      </c>
      <c r="B62" s="12">
        <v>9</v>
      </c>
      <c r="C62" s="12">
        <v>4</v>
      </c>
      <c r="D62" s="12" t="s">
        <v>5</v>
      </c>
      <c r="E62" s="7">
        <v>2000</v>
      </c>
      <c r="F62" s="7">
        <v>2000</v>
      </c>
      <c r="G62" s="7">
        <v>2000</v>
      </c>
      <c r="H62" s="7">
        <v>2000</v>
      </c>
      <c r="I62" s="7">
        <v>2000</v>
      </c>
      <c r="J62" s="7">
        <v>2000</v>
      </c>
      <c r="K62" s="7">
        <v>2000</v>
      </c>
      <c r="L62" s="7">
        <v>2000</v>
      </c>
      <c r="M62" s="7">
        <v>2000</v>
      </c>
      <c r="N62" s="7">
        <v>2000</v>
      </c>
      <c r="O62" s="7">
        <v>2000</v>
      </c>
      <c r="P62" s="7">
        <v>2000</v>
      </c>
      <c r="Q62" s="7">
        <v>2000</v>
      </c>
      <c r="R62" s="7">
        <v>2000</v>
      </c>
      <c r="S62" s="7">
        <v>2000</v>
      </c>
      <c r="T62" s="7">
        <v>2000</v>
      </c>
      <c r="U62" s="7">
        <v>2000</v>
      </c>
      <c r="V62" s="7">
        <v>2000</v>
      </c>
      <c r="W62" s="7">
        <v>2000</v>
      </c>
      <c r="X62" s="7">
        <v>2000</v>
      </c>
      <c r="Y62" s="7">
        <v>2000</v>
      </c>
      <c r="Z62" s="7">
        <v>2000</v>
      </c>
      <c r="AA62" s="7">
        <v>2000</v>
      </c>
      <c r="AB62" s="7">
        <v>2000</v>
      </c>
      <c r="AC62" s="6">
        <f t="shared" si="0"/>
        <v>48000</v>
      </c>
      <c r="AD62" s="76">
        <f t="shared" ref="AD62" si="20">+SUMPRODUCT(AC62:AC64,C62:C64)</f>
        <v>1440000</v>
      </c>
      <c r="AE62" s="75"/>
    </row>
    <row r="63" spans="1:31" ht="15.75" thickBot="1" x14ac:dyDescent="0.3">
      <c r="A63" s="13">
        <v>2027</v>
      </c>
      <c r="B63" s="1">
        <v>9</v>
      </c>
      <c r="C63" s="1">
        <v>22</v>
      </c>
      <c r="D63" s="1" t="s">
        <v>31</v>
      </c>
      <c r="E63" s="8">
        <v>2000</v>
      </c>
      <c r="F63" s="8">
        <v>2000</v>
      </c>
      <c r="G63" s="8">
        <v>2000</v>
      </c>
      <c r="H63" s="8">
        <v>2000</v>
      </c>
      <c r="I63" s="8">
        <v>2000</v>
      </c>
      <c r="J63" s="8">
        <v>2000</v>
      </c>
      <c r="K63" s="8">
        <v>2000</v>
      </c>
      <c r="L63" s="8">
        <v>2000</v>
      </c>
      <c r="M63" s="8">
        <v>2000</v>
      </c>
      <c r="N63" s="8">
        <v>2000</v>
      </c>
      <c r="O63" s="8">
        <v>2000</v>
      </c>
      <c r="P63" s="8">
        <v>2000</v>
      </c>
      <c r="Q63" s="8">
        <v>2000</v>
      </c>
      <c r="R63" s="8">
        <v>2000</v>
      </c>
      <c r="S63" s="8">
        <v>2000</v>
      </c>
      <c r="T63" s="8">
        <v>2000</v>
      </c>
      <c r="U63" s="8">
        <v>2000</v>
      </c>
      <c r="V63" s="8">
        <v>2000</v>
      </c>
      <c r="W63" s="8">
        <v>2000</v>
      </c>
      <c r="X63" s="8">
        <v>2000</v>
      </c>
      <c r="Y63" s="8">
        <v>2000</v>
      </c>
      <c r="Z63" s="8">
        <v>2000</v>
      </c>
      <c r="AA63" s="8">
        <v>2000</v>
      </c>
      <c r="AB63" s="8">
        <v>2000</v>
      </c>
      <c r="AC63" s="6">
        <f t="shared" si="0"/>
        <v>48000</v>
      </c>
      <c r="AD63" s="77"/>
      <c r="AE63" s="75"/>
    </row>
    <row r="64" spans="1:31" ht="15.75" thickBot="1" x14ac:dyDescent="0.3">
      <c r="A64" s="14">
        <v>2027</v>
      </c>
      <c r="B64" s="15">
        <v>9</v>
      </c>
      <c r="C64" s="15">
        <v>4</v>
      </c>
      <c r="D64" s="15" t="s">
        <v>6</v>
      </c>
      <c r="E64" s="9">
        <v>2000</v>
      </c>
      <c r="F64" s="9">
        <v>2000</v>
      </c>
      <c r="G64" s="9">
        <v>2000</v>
      </c>
      <c r="H64" s="9">
        <v>2000</v>
      </c>
      <c r="I64" s="9">
        <v>2000</v>
      </c>
      <c r="J64" s="9">
        <v>2000</v>
      </c>
      <c r="K64" s="9">
        <v>2000</v>
      </c>
      <c r="L64" s="9">
        <v>2000</v>
      </c>
      <c r="M64" s="9">
        <v>2000</v>
      </c>
      <c r="N64" s="9">
        <v>2000</v>
      </c>
      <c r="O64" s="9">
        <v>2000</v>
      </c>
      <c r="P64" s="9">
        <v>2000</v>
      </c>
      <c r="Q64" s="9">
        <v>2000</v>
      </c>
      <c r="R64" s="9">
        <v>2000</v>
      </c>
      <c r="S64" s="9">
        <v>2000</v>
      </c>
      <c r="T64" s="9">
        <v>2000</v>
      </c>
      <c r="U64" s="9">
        <v>2000</v>
      </c>
      <c r="V64" s="9">
        <v>2000</v>
      </c>
      <c r="W64" s="9">
        <v>2000</v>
      </c>
      <c r="X64" s="9">
        <v>2000</v>
      </c>
      <c r="Y64" s="9">
        <v>2000</v>
      </c>
      <c r="Z64" s="9">
        <v>2000</v>
      </c>
      <c r="AA64" s="9">
        <v>2000</v>
      </c>
      <c r="AB64" s="9">
        <v>2000</v>
      </c>
      <c r="AC64" s="6">
        <f t="shared" si="0"/>
        <v>48000</v>
      </c>
      <c r="AD64" s="78"/>
      <c r="AE64" s="75"/>
    </row>
    <row r="65" spans="1:31" ht="15.75" thickBot="1" x14ac:dyDescent="0.3">
      <c r="A65" s="11">
        <v>2027</v>
      </c>
      <c r="B65" s="12">
        <v>10</v>
      </c>
      <c r="C65" s="12">
        <v>6</v>
      </c>
      <c r="D65" s="12" t="s">
        <v>5</v>
      </c>
      <c r="E65" s="7">
        <v>2000</v>
      </c>
      <c r="F65" s="7">
        <v>2000</v>
      </c>
      <c r="G65" s="7">
        <v>2000</v>
      </c>
      <c r="H65" s="7">
        <v>2000</v>
      </c>
      <c r="I65" s="7">
        <v>2000</v>
      </c>
      <c r="J65" s="7">
        <v>2000</v>
      </c>
      <c r="K65" s="7">
        <v>2000</v>
      </c>
      <c r="L65" s="7">
        <v>2000</v>
      </c>
      <c r="M65" s="7">
        <v>2000</v>
      </c>
      <c r="N65" s="7">
        <v>2000</v>
      </c>
      <c r="O65" s="7">
        <v>2000</v>
      </c>
      <c r="P65" s="7">
        <v>2000</v>
      </c>
      <c r="Q65" s="7">
        <v>2000</v>
      </c>
      <c r="R65" s="7">
        <v>2000</v>
      </c>
      <c r="S65" s="7">
        <v>2000</v>
      </c>
      <c r="T65" s="7">
        <v>2000</v>
      </c>
      <c r="U65" s="7">
        <v>2000</v>
      </c>
      <c r="V65" s="7">
        <v>2000</v>
      </c>
      <c r="W65" s="7">
        <v>2000</v>
      </c>
      <c r="X65" s="7">
        <v>2000</v>
      </c>
      <c r="Y65" s="7">
        <v>2000</v>
      </c>
      <c r="Z65" s="7">
        <v>2000</v>
      </c>
      <c r="AA65" s="7">
        <v>2000</v>
      </c>
      <c r="AB65" s="7">
        <v>2000</v>
      </c>
      <c r="AC65" s="6">
        <f t="shared" si="0"/>
        <v>48000</v>
      </c>
      <c r="AD65" s="76">
        <f t="shared" ref="AD65" si="21">+SUMPRODUCT(AC65:AC67,C65:C67)</f>
        <v>1488000</v>
      </c>
      <c r="AE65" s="75"/>
    </row>
    <row r="66" spans="1:31" ht="15.75" thickBot="1" x14ac:dyDescent="0.3">
      <c r="A66" s="13">
        <v>2027</v>
      </c>
      <c r="B66" s="1">
        <v>10</v>
      </c>
      <c r="C66" s="1">
        <v>20</v>
      </c>
      <c r="D66" s="1" t="s">
        <v>31</v>
      </c>
      <c r="E66" s="8">
        <v>2000</v>
      </c>
      <c r="F66" s="8">
        <v>2000</v>
      </c>
      <c r="G66" s="8">
        <v>2000</v>
      </c>
      <c r="H66" s="8">
        <v>2000</v>
      </c>
      <c r="I66" s="8">
        <v>2000</v>
      </c>
      <c r="J66" s="8">
        <v>2000</v>
      </c>
      <c r="K66" s="8">
        <v>2000</v>
      </c>
      <c r="L66" s="8">
        <v>2000</v>
      </c>
      <c r="M66" s="8">
        <v>2000</v>
      </c>
      <c r="N66" s="8">
        <v>2000</v>
      </c>
      <c r="O66" s="8">
        <v>2000</v>
      </c>
      <c r="P66" s="8">
        <v>2000</v>
      </c>
      <c r="Q66" s="8">
        <v>2000</v>
      </c>
      <c r="R66" s="8">
        <v>2000</v>
      </c>
      <c r="S66" s="8">
        <v>2000</v>
      </c>
      <c r="T66" s="8">
        <v>2000</v>
      </c>
      <c r="U66" s="8">
        <v>2000</v>
      </c>
      <c r="V66" s="8">
        <v>2000</v>
      </c>
      <c r="W66" s="8">
        <v>2000</v>
      </c>
      <c r="X66" s="8">
        <v>2000</v>
      </c>
      <c r="Y66" s="8">
        <v>2000</v>
      </c>
      <c r="Z66" s="8">
        <v>2000</v>
      </c>
      <c r="AA66" s="8">
        <v>2000</v>
      </c>
      <c r="AB66" s="8">
        <v>2000</v>
      </c>
      <c r="AC66" s="6">
        <f t="shared" si="0"/>
        <v>48000</v>
      </c>
      <c r="AD66" s="77"/>
      <c r="AE66" s="75"/>
    </row>
    <row r="67" spans="1:31" ht="15.75" thickBot="1" x14ac:dyDescent="0.3">
      <c r="A67" s="14">
        <v>2027</v>
      </c>
      <c r="B67" s="15">
        <v>10</v>
      </c>
      <c r="C67" s="15">
        <v>5</v>
      </c>
      <c r="D67" s="15" t="s">
        <v>6</v>
      </c>
      <c r="E67" s="9">
        <v>2000</v>
      </c>
      <c r="F67" s="9">
        <v>2000</v>
      </c>
      <c r="G67" s="9">
        <v>2000</v>
      </c>
      <c r="H67" s="9">
        <v>2000</v>
      </c>
      <c r="I67" s="9">
        <v>2000</v>
      </c>
      <c r="J67" s="9">
        <v>2000</v>
      </c>
      <c r="K67" s="9">
        <v>2000</v>
      </c>
      <c r="L67" s="9">
        <v>2000</v>
      </c>
      <c r="M67" s="9">
        <v>2000</v>
      </c>
      <c r="N67" s="9">
        <v>2000</v>
      </c>
      <c r="O67" s="9">
        <v>2000</v>
      </c>
      <c r="P67" s="9">
        <v>2000</v>
      </c>
      <c r="Q67" s="9">
        <v>2000</v>
      </c>
      <c r="R67" s="9">
        <v>2000</v>
      </c>
      <c r="S67" s="9">
        <v>2000</v>
      </c>
      <c r="T67" s="9">
        <v>2000</v>
      </c>
      <c r="U67" s="9">
        <v>2000</v>
      </c>
      <c r="V67" s="9">
        <v>2000</v>
      </c>
      <c r="W67" s="9">
        <v>2000</v>
      </c>
      <c r="X67" s="9">
        <v>2000</v>
      </c>
      <c r="Y67" s="9">
        <v>2000</v>
      </c>
      <c r="Z67" s="9">
        <v>2000</v>
      </c>
      <c r="AA67" s="9">
        <v>2000</v>
      </c>
      <c r="AB67" s="9">
        <v>2000</v>
      </c>
      <c r="AC67" s="6">
        <f t="shared" ref="AC67:AC109" si="22">SUM(E67:AB67)</f>
        <v>48000</v>
      </c>
      <c r="AD67" s="78"/>
      <c r="AE67" s="75"/>
    </row>
    <row r="68" spans="1:31" ht="15.75" thickBot="1" x14ac:dyDescent="0.3">
      <c r="A68" s="11">
        <v>2027</v>
      </c>
      <c r="B68" s="12">
        <v>11</v>
      </c>
      <c r="C68" s="12">
        <v>6</v>
      </c>
      <c r="D68" s="12" t="s">
        <v>5</v>
      </c>
      <c r="E68" s="7">
        <v>2000</v>
      </c>
      <c r="F68" s="7">
        <v>2000</v>
      </c>
      <c r="G68" s="7">
        <v>2000</v>
      </c>
      <c r="H68" s="7">
        <v>2000</v>
      </c>
      <c r="I68" s="7">
        <v>2000</v>
      </c>
      <c r="J68" s="7">
        <v>2000</v>
      </c>
      <c r="K68" s="7">
        <v>2000</v>
      </c>
      <c r="L68" s="7">
        <v>2000</v>
      </c>
      <c r="M68" s="7">
        <v>2000</v>
      </c>
      <c r="N68" s="7">
        <v>2000</v>
      </c>
      <c r="O68" s="7">
        <v>2000</v>
      </c>
      <c r="P68" s="7">
        <v>2000</v>
      </c>
      <c r="Q68" s="7">
        <v>2000</v>
      </c>
      <c r="R68" s="7">
        <v>2000</v>
      </c>
      <c r="S68" s="7">
        <v>2000</v>
      </c>
      <c r="T68" s="7">
        <v>2000</v>
      </c>
      <c r="U68" s="7">
        <v>2000</v>
      </c>
      <c r="V68" s="7">
        <v>2000</v>
      </c>
      <c r="W68" s="7">
        <v>2000</v>
      </c>
      <c r="X68" s="7">
        <v>2000</v>
      </c>
      <c r="Y68" s="7">
        <v>2000</v>
      </c>
      <c r="Z68" s="7">
        <v>2000</v>
      </c>
      <c r="AA68" s="7">
        <v>2000</v>
      </c>
      <c r="AB68" s="7">
        <v>2000</v>
      </c>
      <c r="AC68" s="6">
        <f t="shared" si="22"/>
        <v>48000</v>
      </c>
      <c r="AD68" s="76">
        <f t="shared" ref="AD68" si="23">+SUMPRODUCT(AC68:AC70,C68:C70)</f>
        <v>1440000</v>
      </c>
      <c r="AE68" s="75"/>
    </row>
    <row r="69" spans="1:31" ht="15.75" thickBot="1" x14ac:dyDescent="0.3">
      <c r="A69" s="13">
        <v>2027</v>
      </c>
      <c r="B69" s="1">
        <v>11</v>
      </c>
      <c r="C69" s="1">
        <v>20</v>
      </c>
      <c r="D69" s="1" t="s">
        <v>31</v>
      </c>
      <c r="E69" s="8">
        <v>2000</v>
      </c>
      <c r="F69" s="8">
        <v>2000</v>
      </c>
      <c r="G69" s="8">
        <v>2000</v>
      </c>
      <c r="H69" s="8">
        <v>2000</v>
      </c>
      <c r="I69" s="8">
        <v>2000</v>
      </c>
      <c r="J69" s="8">
        <v>2000</v>
      </c>
      <c r="K69" s="8">
        <v>2000</v>
      </c>
      <c r="L69" s="8">
        <v>2000</v>
      </c>
      <c r="M69" s="8">
        <v>2000</v>
      </c>
      <c r="N69" s="8">
        <v>2000</v>
      </c>
      <c r="O69" s="8">
        <v>2000</v>
      </c>
      <c r="P69" s="8">
        <v>2000</v>
      </c>
      <c r="Q69" s="8">
        <v>2000</v>
      </c>
      <c r="R69" s="8">
        <v>2000</v>
      </c>
      <c r="S69" s="8">
        <v>2000</v>
      </c>
      <c r="T69" s="8">
        <v>2000</v>
      </c>
      <c r="U69" s="8">
        <v>2000</v>
      </c>
      <c r="V69" s="8">
        <v>2000</v>
      </c>
      <c r="W69" s="8">
        <v>2000</v>
      </c>
      <c r="X69" s="8">
        <v>2000</v>
      </c>
      <c r="Y69" s="8">
        <v>2000</v>
      </c>
      <c r="Z69" s="8">
        <v>2000</v>
      </c>
      <c r="AA69" s="8">
        <v>2000</v>
      </c>
      <c r="AB69" s="8">
        <v>2000</v>
      </c>
      <c r="AC69" s="6">
        <f t="shared" si="22"/>
        <v>48000</v>
      </c>
      <c r="AD69" s="77"/>
      <c r="AE69" s="75"/>
    </row>
    <row r="70" spans="1:31" ht="15.75" thickBot="1" x14ac:dyDescent="0.3">
      <c r="A70" s="14">
        <v>2027</v>
      </c>
      <c r="B70" s="15">
        <v>11</v>
      </c>
      <c r="C70" s="15">
        <v>4</v>
      </c>
      <c r="D70" s="15" t="s">
        <v>6</v>
      </c>
      <c r="E70" s="9">
        <v>2000</v>
      </c>
      <c r="F70" s="9">
        <v>2000</v>
      </c>
      <c r="G70" s="9">
        <v>2000</v>
      </c>
      <c r="H70" s="9">
        <v>2000</v>
      </c>
      <c r="I70" s="9">
        <v>2000</v>
      </c>
      <c r="J70" s="9">
        <v>2000</v>
      </c>
      <c r="K70" s="9">
        <v>2000</v>
      </c>
      <c r="L70" s="9">
        <v>2000</v>
      </c>
      <c r="M70" s="9">
        <v>2000</v>
      </c>
      <c r="N70" s="9">
        <v>2000</v>
      </c>
      <c r="O70" s="9">
        <v>2000</v>
      </c>
      <c r="P70" s="9">
        <v>2000</v>
      </c>
      <c r="Q70" s="9">
        <v>2000</v>
      </c>
      <c r="R70" s="9">
        <v>2000</v>
      </c>
      <c r="S70" s="9">
        <v>2000</v>
      </c>
      <c r="T70" s="9">
        <v>2000</v>
      </c>
      <c r="U70" s="9">
        <v>2000</v>
      </c>
      <c r="V70" s="9">
        <v>2000</v>
      </c>
      <c r="W70" s="9">
        <v>2000</v>
      </c>
      <c r="X70" s="9">
        <v>2000</v>
      </c>
      <c r="Y70" s="9">
        <v>2000</v>
      </c>
      <c r="Z70" s="9">
        <v>2000</v>
      </c>
      <c r="AA70" s="9">
        <v>2000</v>
      </c>
      <c r="AB70" s="9">
        <v>2000</v>
      </c>
      <c r="AC70" s="6">
        <f t="shared" si="22"/>
        <v>48000</v>
      </c>
      <c r="AD70" s="78"/>
      <c r="AE70" s="75"/>
    </row>
    <row r="71" spans="1:31" ht="15.75" thickBot="1" x14ac:dyDescent="0.3">
      <c r="A71" s="11">
        <v>2027</v>
      </c>
      <c r="B71" s="12">
        <v>12</v>
      </c>
      <c r="C71" s="12">
        <v>6</v>
      </c>
      <c r="D71" s="12" t="s">
        <v>5</v>
      </c>
      <c r="E71" s="7">
        <v>10000</v>
      </c>
      <c r="F71" s="7">
        <v>10000</v>
      </c>
      <c r="G71" s="7">
        <v>10000</v>
      </c>
      <c r="H71" s="7">
        <v>10000</v>
      </c>
      <c r="I71" s="7">
        <v>10000</v>
      </c>
      <c r="J71" s="7">
        <v>10000</v>
      </c>
      <c r="K71" s="7">
        <v>10000</v>
      </c>
      <c r="L71" s="7">
        <v>10000</v>
      </c>
      <c r="M71" s="7">
        <v>10000</v>
      </c>
      <c r="N71" s="7">
        <v>10000</v>
      </c>
      <c r="O71" s="7">
        <v>10000</v>
      </c>
      <c r="P71" s="7">
        <v>10000</v>
      </c>
      <c r="Q71" s="7">
        <v>10000</v>
      </c>
      <c r="R71" s="7">
        <v>10000</v>
      </c>
      <c r="S71" s="7">
        <v>10000</v>
      </c>
      <c r="T71" s="7">
        <v>10000</v>
      </c>
      <c r="U71" s="7">
        <v>10000</v>
      </c>
      <c r="V71" s="7">
        <v>10000</v>
      </c>
      <c r="W71" s="7">
        <v>10000</v>
      </c>
      <c r="X71" s="7">
        <v>10000</v>
      </c>
      <c r="Y71" s="7">
        <v>10000</v>
      </c>
      <c r="Z71" s="7">
        <v>10000</v>
      </c>
      <c r="AA71" s="7">
        <v>10000</v>
      </c>
      <c r="AB71" s="7">
        <v>10000</v>
      </c>
      <c r="AC71" s="6">
        <f t="shared" si="22"/>
        <v>240000</v>
      </c>
      <c r="AD71" s="76">
        <f t="shared" ref="AD71" si="24">+SUMPRODUCT(AC71:AC73,C71:C73)</f>
        <v>7440000</v>
      </c>
      <c r="AE71" s="75"/>
    </row>
    <row r="72" spans="1:31" ht="15.75" thickBot="1" x14ac:dyDescent="0.3">
      <c r="A72" s="13">
        <v>2027</v>
      </c>
      <c r="B72" s="1">
        <v>12</v>
      </c>
      <c r="C72" s="1">
        <v>22</v>
      </c>
      <c r="D72" s="1" t="s">
        <v>31</v>
      </c>
      <c r="E72" s="8">
        <v>10000</v>
      </c>
      <c r="F72" s="8">
        <v>10000</v>
      </c>
      <c r="G72" s="8">
        <v>10000</v>
      </c>
      <c r="H72" s="8">
        <v>10000</v>
      </c>
      <c r="I72" s="8">
        <v>10000</v>
      </c>
      <c r="J72" s="8">
        <v>10000</v>
      </c>
      <c r="K72" s="8">
        <v>10000</v>
      </c>
      <c r="L72" s="8">
        <v>10000</v>
      </c>
      <c r="M72" s="8">
        <v>10000</v>
      </c>
      <c r="N72" s="8">
        <v>10000</v>
      </c>
      <c r="O72" s="8">
        <v>10000</v>
      </c>
      <c r="P72" s="8">
        <v>10000</v>
      </c>
      <c r="Q72" s="8">
        <v>10000</v>
      </c>
      <c r="R72" s="8">
        <v>10000</v>
      </c>
      <c r="S72" s="8">
        <v>10000</v>
      </c>
      <c r="T72" s="8">
        <v>10000</v>
      </c>
      <c r="U72" s="8">
        <v>10000</v>
      </c>
      <c r="V72" s="8">
        <v>10000</v>
      </c>
      <c r="W72" s="8">
        <v>10000</v>
      </c>
      <c r="X72" s="8">
        <v>10000</v>
      </c>
      <c r="Y72" s="8">
        <v>10000</v>
      </c>
      <c r="Z72" s="8">
        <v>10000</v>
      </c>
      <c r="AA72" s="8">
        <v>10000</v>
      </c>
      <c r="AB72" s="8">
        <v>10000</v>
      </c>
      <c r="AC72" s="6">
        <f t="shared" si="22"/>
        <v>240000</v>
      </c>
      <c r="AD72" s="77"/>
      <c r="AE72" s="75"/>
    </row>
    <row r="73" spans="1:31" ht="15.75" thickBot="1" x14ac:dyDescent="0.3">
      <c r="A73" s="14">
        <v>2027</v>
      </c>
      <c r="B73" s="15">
        <v>12</v>
      </c>
      <c r="C73" s="15">
        <v>3</v>
      </c>
      <c r="D73" s="15" t="s">
        <v>6</v>
      </c>
      <c r="E73" s="9">
        <v>10000</v>
      </c>
      <c r="F73" s="9">
        <v>10000</v>
      </c>
      <c r="G73" s="9">
        <v>10000</v>
      </c>
      <c r="H73" s="9">
        <v>10000</v>
      </c>
      <c r="I73" s="9">
        <v>10000</v>
      </c>
      <c r="J73" s="9">
        <v>10000</v>
      </c>
      <c r="K73" s="9">
        <v>10000</v>
      </c>
      <c r="L73" s="9">
        <v>10000</v>
      </c>
      <c r="M73" s="9">
        <v>10000</v>
      </c>
      <c r="N73" s="9">
        <v>10000</v>
      </c>
      <c r="O73" s="9">
        <v>10000</v>
      </c>
      <c r="P73" s="9">
        <v>10000</v>
      </c>
      <c r="Q73" s="9">
        <v>10000</v>
      </c>
      <c r="R73" s="9">
        <v>10000</v>
      </c>
      <c r="S73" s="9">
        <v>10000</v>
      </c>
      <c r="T73" s="9">
        <v>10000</v>
      </c>
      <c r="U73" s="9">
        <v>10000</v>
      </c>
      <c r="V73" s="9">
        <v>10000</v>
      </c>
      <c r="W73" s="9">
        <v>10000</v>
      </c>
      <c r="X73" s="9">
        <v>10000</v>
      </c>
      <c r="Y73" s="9">
        <v>10000</v>
      </c>
      <c r="Z73" s="9">
        <v>10000</v>
      </c>
      <c r="AA73" s="9">
        <v>10000</v>
      </c>
      <c r="AB73" s="9">
        <v>10000</v>
      </c>
      <c r="AC73" s="6">
        <f t="shared" si="22"/>
        <v>240000</v>
      </c>
      <c r="AD73" s="78"/>
      <c r="AE73" s="75"/>
    </row>
    <row r="74" spans="1:31" ht="15.75" thickBot="1" x14ac:dyDescent="0.3">
      <c r="A74" s="11">
        <v>2028</v>
      </c>
      <c r="B74" s="12">
        <v>1</v>
      </c>
      <c r="C74" s="12">
        <v>7</v>
      </c>
      <c r="D74" s="12" t="s">
        <v>5</v>
      </c>
      <c r="E74" s="7">
        <v>16500</v>
      </c>
      <c r="F74" s="7">
        <v>16500</v>
      </c>
      <c r="G74" s="7">
        <v>16500</v>
      </c>
      <c r="H74" s="7">
        <v>16500</v>
      </c>
      <c r="I74" s="7">
        <v>16500</v>
      </c>
      <c r="J74" s="7">
        <v>16500</v>
      </c>
      <c r="K74" s="7">
        <v>16500</v>
      </c>
      <c r="L74" s="7">
        <v>16500</v>
      </c>
      <c r="M74" s="7">
        <v>16500</v>
      </c>
      <c r="N74" s="7">
        <v>16500</v>
      </c>
      <c r="O74" s="7">
        <v>16500</v>
      </c>
      <c r="P74" s="7">
        <v>16500</v>
      </c>
      <c r="Q74" s="7">
        <v>16500</v>
      </c>
      <c r="R74" s="7">
        <v>16500</v>
      </c>
      <c r="S74" s="7">
        <v>16500</v>
      </c>
      <c r="T74" s="7">
        <v>16500</v>
      </c>
      <c r="U74" s="7">
        <v>16500</v>
      </c>
      <c r="V74" s="7">
        <v>16500</v>
      </c>
      <c r="W74" s="7">
        <v>16500</v>
      </c>
      <c r="X74" s="7">
        <v>16500</v>
      </c>
      <c r="Y74" s="7">
        <v>16500</v>
      </c>
      <c r="Z74" s="7">
        <v>16500</v>
      </c>
      <c r="AA74" s="7">
        <v>16500</v>
      </c>
      <c r="AB74" s="7">
        <v>16500</v>
      </c>
      <c r="AC74" s="6">
        <f t="shared" si="22"/>
        <v>396000</v>
      </c>
      <c r="AD74" s="76">
        <f t="shared" ref="AD74" si="25">+SUMPRODUCT(AC74:AC76,C74:C76)</f>
        <v>12276000</v>
      </c>
      <c r="AE74" s="74">
        <f>+SUM(AD74:AD109)</f>
        <v>78528000</v>
      </c>
    </row>
    <row r="75" spans="1:31" ht="15.75" thickBot="1" x14ac:dyDescent="0.3">
      <c r="A75" s="13">
        <v>2028</v>
      </c>
      <c r="B75" s="1">
        <v>1</v>
      </c>
      <c r="C75" s="1">
        <v>20</v>
      </c>
      <c r="D75" s="1" t="s">
        <v>31</v>
      </c>
      <c r="E75" s="8">
        <v>16500</v>
      </c>
      <c r="F75" s="8">
        <v>16500</v>
      </c>
      <c r="G75" s="8">
        <v>16500</v>
      </c>
      <c r="H75" s="8">
        <v>16500</v>
      </c>
      <c r="I75" s="8">
        <v>16500</v>
      </c>
      <c r="J75" s="8">
        <v>16500</v>
      </c>
      <c r="K75" s="8">
        <v>16500</v>
      </c>
      <c r="L75" s="8">
        <v>16500</v>
      </c>
      <c r="M75" s="8">
        <v>16500</v>
      </c>
      <c r="N75" s="8">
        <v>16500</v>
      </c>
      <c r="O75" s="8">
        <v>16500</v>
      </c>
      <c r="P75" s="8">
        <v>16500</v>
      </c>
      <c r="Q75" s="8">
        <v>16500</v>
      </c>
      <c r="R75" s="8">
        <v>16500</v>
      </c>
      <c r="S75" s="8">
        <v>16500</v>
      </c>
      <c r="T75" s="8">
        <v>16500</v>
      </c>
      <c r="U75" s="8">
        <v>16500</v>
      </c>
      <c r="V75" s="8">
        <v>16500</v>
      </c>
      <c r="W75" s="8">
        <v>16500</v>
      </c>
      <c r="X75" s="8">
        <v>16500</v>
      </c>
      <c r="Y75" s="8">
        <v>16500</v>
      </c>
      <c r="Z75" s="8">
        <v>16500</v>
      </c>
      <c r="AA75" s="8">
        <v>16500</v>
      </c>
      <c r="AB75" s="8">
        <v>16500</v>
      </c>
      <c r="AC75" s="6">
        <f t="shared" si="22"/>
        <v>396000</v>
      </c>
      <c r="AD75" s="77"/>
      <c r="AE75" s="75"/>
    </row>
    <row r="76" spans="1:31" ht="15.75" thickBot="1" x14ac:dyDescent="0.3">
      <c r="A76" s="14">
        <v>2028</v>
      </c>
      <c r="B76" s="15">
        <v>1</v>
      </c>
      <c r="C76" s="15">
        <v>4</v>
      </c>
      <c r="D76" s="15" t="s">
        <v>6</v>
      </c>
      <c r="E76" s="9">
        <v>16500</v>
      </c>
      <c r="F76" s="9">
        <v>16500</v>
      </c>
      <c r="G76" s="9">
        <v>16500</v>
      </c>
      <c r="H76" s="9">
        <v>16500</v>
      </c>
      <c r="I76" s="9">
        <v>16500</v>
      </c>
      <c r="J76" s="9">
        <v>16500</v>
      </c>
      <c r="K76" s="9">
        <v>16500</v>
      </c>
      <c r="L76" s="9">
        <v>16500</v>
      </c>
      <c r="M76" s="9">
        <v>16500</v>
      </c>
      <c r="N76" s="9">
        <v>16500</v>
      </c>
      <c r="O76" s="9">
        <v>16500</v>
      </c>
      <c r="P76" s="9">
        <v>16500</v>
      </c>
      <c r="Q76" s="9">
        <v>16500</v>
      </c>
      <c r="R76" s="9">
        <v>16500</v>
      </c>
      <c r="S76" s="9">
        <v>16500</v>
      </c>
      <c r="T76" s="9">
        <v>16500</v>
      </c>
      <c r="U76" s="9">
        <v>16500</v>
      </c>
      <c r="V76" s="9">
        <v>16500</v>
      </c>
      <c r="W76" s="9">
        <v>16500</v>
      </c>
      <c r="X76" s="9">
        <v>16500</v>
      </c>
      <c r="Y76" s="9">
        <v>16500</v>
      </c>
      <c r="Z76" s="9">
        <v>16500</v>
      </c>
      <c r="AA76" s="9">
        <v>16500</v>
      </c>
      <c r="AB76" s="9">
        <v>16500</v>
      </c>
      <c r="AC76" s="6">
        <f t="shared" si="22"/>
        <v>396000</v>
      </c>
      <c r="AD76" s="78"/>
      <c r="AE76" s="75"/>
    </row>
    <row r="77" spans="1:31" ht="15.75" thickBot="1" x14ac:dyDescent="0.3">
      <c r="A77" s="11">
        <v>2028</v>
      </c>
      <c r="B77" s="12">
        <v>2</v>
      </c>
      <c r="C77" s="12">
        <v>4</v>
      </c>
      <c r="D77" s="12" t="s">
        <v>5</v>
      </c>
      <c r="E77" s="7">
        <v>15500</v>
      </c>
      <c r="F77" s="7">
        <v>15500</v>
      </c>
      <c r="G77" s="7">
        <v>15500</v>
      </c>
      <c r="H77" s="7">
        <v>15500</v>
      </c>
      <c r="I77" s="7">
        <v>15500</v>
      </c>
      <c r="J77" s="7">
        <v>15500</v>
      </c>
      <c r="K77" s="7">
        <v>15500</v>
      </c>
      <c r="L77" s="7">
        <v>15500</v>
      </c>
      <c r="M77" s="7">
        <v>15500</v>
      </c>
      <c r="N77" s="7">
        <v>15500</v>
      </c>
      <c r="O77" s="7">
        <v>15500</v>
      </c>
      <c r="P77" s="7">
        <v>15500</v>
      </c>
      <c r="Q77" s="7">
        <v>15500</v>
      </c>
      <c r="R77" s="7">
        <v>15500</v>
      </c>
      <c r="S77" s="7">
        <v>15500</v>
      </c>
      <c r="T77" s="7">
        <v>15500</v>
      </c>
      <c r="U77" s="7">
        <v>15500</v>
      </c>
      <c r="V77" s="7">
        <v>15500</v>
      </c>
      <c r="W77" s="7">
        <v>15500</v>
      </c>
      <c r="X77" s="7">
        <v>15500</v>
      </c>
      <c r="Y77" s="7">
        <v>15500</v>
      </c>
      <c r="Z77" s="7">
        <v>15500</v>
      </c>
      <c r="AA77" s="7">
        <v>15500</v>
      </c>
      <c r="AB77" s="7">
        <v>15500</v>
      </c>
      <c r="AC77" s="6">
        <f t="shared" si="22"/>
        <v>372000</v>
      </c>
      <c r="AD77" s="76">
        <f t="shared" ref="AD77" si="26">+SUMPRODUCT(AC77:AC79,C77:C79)</f>
        <v>10788000</v>
      </c>
      <c r="AE77" s="75"/>
    </row>
    <row r="78" spans="1:31" ht="15.75" thickBot="1" x14ac:dyDescent="0.3">
      <c r="A78" s="13">
        <v>2028</v>
      </c>
      <c r="B78" s="1">
        <v>2</v>
      </c>
      <c r="C78" s="1">
        <v>21</v>
      </c>
      <c r="D78" s="1" t="s">
        <v>31</v>
      </c>
      <c r="E78" s="7">
        <v>15500</v>
      </c>
      <c r="F78" s="7">
        <v>15500</v>
      </c>
      <c r="G78" s="7">
        <v>15500</v>
      </c>
      <c r="H78" s="7">
        <v>15500</v>
      </c>
      <c r="I78" s="7">
        <v>15500</v>
      </c>
      <c r="J78" s="7">
        <v>15500</v>
      </c>
      <c r="K78" s="7">
        <v>15500</v>
      </c>
      <c r="L78" s="7">
        <v>15500</v>
      </c>
      <c r="M78" s="7">
        <v>15500</v>
      </c>
      <c r="N78" s="7">
        <v>15500</v>
      </c>
      <c r="O78" s="7">
        <v>15500</v>
      </c>
      <c r="P78" s="7">
        <v>15500</v>
      </c>
      <c r="Q78" s="7">
        <v>15500</v>
      </c>
      <c r="R78" s="7">
        <v>15500</v>
      </c>
      <c r="S78" s="7">
        <v>15500</v>
      </c>
      <c r="T78" s="7">
        <v>15500</v>
      </c>
      <c r="U78" s="7">
        <v>15500</v>
      </c>
      <c r="V78" s="7">
        <v>15500</v>
      </c>
      <c r="W78" s="7">
        <v>15500</v>
      </c>
      <c r="X78" s="7">
        <v>15500</v>
      </c>
      <c r="Y78" s="7">
        <v>15500</v>
      </c>
      <c r="Z78" s="7">
        <v>15500</v>
      </c>
      <c r="AA78" s="7">
        <v>15500</v>
      </c>
      <c r="AB78" s="7">
        <v>15500</v>
      </c>
      <c r="AC78" s="6">
        <f t="shared" si="22"/>
        <v>372000</v>
      </c>
      <c r="AD78" s="77"/>
      <c r="AE78" s="75"/>
    </row>
    <row r="79" spans="1:31" ht="15.75" thickBot="1" x14ac:dyDescent="0.3">
      <c r="A79" s="14">
        <v>2028</v>
      </c>
      <c r="B79" s="15">
        <v>2</v>
      </c>
      <c r="C79" s="15">
        <v>4</v>
      </c>
      <c r="D79" s="15" t="s">
        <v>6</v>
      </c>
      <c r="E79" s="7">
        <v>15500</v>
      </c>
      <c r="F79" s="7">
        <v>15500</v>
      </c>
      <c r="G79" s="7">
        <v>15500</v>
      </c>
      <c r="H79" s="7">
        <v>15500</v>
      </c>
      <c r="I79" s="7">
        <v>15500</v>
      </c>
      <c r="J79" s="7">
        <v>15500</v>
      </c>
      <c r="K79" s="7">
        <v>15500</v>
      </c>
      <c r="L79" s="7">
        <v>15500</v>
      </c>
      <c r="M79" s="7">
        <v>15500</v>
      </c>
      <c r="N79" s="7">
        <v>15500</v>
      </c>
      <c r="O79" s="7">
        <v>15500</v>
      </c>
      <c r="P79" s="7">
        <v>15500</v>
      </c>
      <c r="Q79" s="7">
        <v>15500</v>
      </c>
      <c r="R79" s="7">
        <v>15500</v>
      </c>
      <c r="S79" s="7">
        <v>15500</v>
      </c>
      <c r="T79" s="7">
        <v>15500</v>
      </c>
      <c r="U79" s="7">
        <v>15500</v>
      </c>
      <c r="V79" s="7">
        <v>15500</v>
      </c>
      <c r="W79" s="7">
        <v>15500</v>
      </c>
      <c r="X79" s="7">
        <v>15500</v>
      </c>
      <c r="Y79" s="7">
        <v>15500</v>
      </c>
      <c r="Z79" s="7">
        <v>15500</v>
      </c>
      <c r="AA79" s="7">
        <v>15500</v>
      </c>
      <c r="AB79" s="7">
        <v>15500</v>
      </c>
      <c r="AC79" s="6">
        <f t="shared" si="22"/>
        <v>372000</v>
      </c>
      <c r="AD79" s="78"/>
      <c r="AE79" s="75"/>
    </row>
    <row r="80" spans="1:31" ht="15.75" thickBot="1" x14ac:dyDescent="0.3">
      <c r="A80" s="11">
        <v>2028</v>
      </c>
      <c r="B80" s="12">
        <v>3</v>
      </c>
      <c r="C80" s="12">
        <v>5</v>
      </c>
      <c r="D80" s="12" t="s">
        <v>5</v>
      </c>
      <c r="E80" s="7">
        <v>16000</v>
      </c>
      <c r="F80" s="7">
        <v>16000</v>
      </c>
      <c r="G80" s="7">
        <v>16000</v>
      </c>
      <c r="H80" s="7">
        <v>16000</v>
      </c>
      <c r="I80" s="7">
        <v>16000</v>
      </c>
      <c r="J80" s="7">
        <v>16000</v>
      </c>
      <c r="K80" s="7">
        <v>16000</v>
      </c>
      <c r="L80" s="7">
        <v>16000</v>
      </c>
      <c r="M80" s="7">
        <v>16000</v>
      </c>
      <c r="N80" s="7">
        <v>16000</v>
      </c>
      <c r="O80" s="7">
        <v>16000</v>
      </c>
      <c r="P80" s="7">
        <v>16000</v>
      </c>
      <c r="Q80" s="7">
        <v>16000</v>
      </c>
      <c r="R80" s="7">
        <v>16000</v>
      </c>
      <c r="S80" s="7">
        <v>16000</v>
      </c>
      <c r="T80" s="7">
        <v>16000</v>
      </c>
      <c r="U80" s="7">
        <v>16000</v>
      </c>
      <c r="V80" s="7">
        <v>16000</v>
      </c>
      <c r="W80" s="7">
        <v>16000</v>
      </c>
      <c r="X80" s="7">
        <v>16000</v>
      </c>
      <c r="Y80" s="7">
        <v>16000</v>
      </c>
      <c r="Z80" s="7">
        <v>16000</v>
      </c>
      <c r="AA80" s="7">
        <v>16000</v>
      </c>
      <c r="AB80" s="7">
        <v>16000</v>
      </c>
      <c r="AC80" s="6">
        <f t="shared" si="22"/>
        <v>384000</v>
      </c>
      <c r="AD80" s="76">
        <f t="shared" ref="AD80" si="27">+SUMPRODUCT(AC80:AC82,C80:C82)</f>
        <v>11904000</v>
      </c>
      <c r="AE80" s="75"/>
    </row>
    <row r="81" spans="1:31" ht="15.75" thickBot="1" x14ac:dyDescent="0.3">
      <c r="A81" s="13">
        <v>2028</v>
      </c>
      <c r="B81" s="1">
        <v>3</v>
      </c>
      <c r="C81" s="1">
        <v>22</v>
      </c>
      <c r="D81" s="1" t="s">
        <v>31</v>
      </c>
      <c r="E81" s="7">
        <v>16000</v>
      </c>
      <c r="F81" s="7">
        <v>16000</v>
      </c>
      <c r="G81" s="7">
        <v>16000</v>
      </c>
      <c r="H81" s="7">
        <v>16000</v>
      </c>
      <c r="I81" s="7">
        <v>16000</v>
      </c>
      <c r="J81" s="7">
        <v>16000</v>
      </c>
      <c r="K81" s="7">
        <v>16000</v>
      </c>
      <c r="L81" s="7">
        <v>16000</v>
      </c>
      <c r="M81" s="7">
        <v>16000</v>
      </c>
      <c r="N81" s="7">
        <v>16000</v>
      </c>
      <c r="O81" s="7">
        <v>16000</v>
      </c>
      <c r="P81" s="7">
        <v>16000</v>
      </c>
      <c r="Q81" s="7">
        <v>16000</v>
      </c>
      <c r="R81" s="7">
        <v>16000</v>
      </c>
      <c r="S81" s="7">
        <v>16000</v>
      </c>
      <c r="T81" s="7">
        <v>16000</v>
      </c>
      <c r="U81" s="7">
        <v>16000</v>
      </c>
      <c r="V81" s="7">
        <v>16000</v>
      </c>
      <c r="W81" s="7">
        <v>16000</v>
      </c>
      <c r="X81" s="7">
        <v>16000</v>
      </c>
      <c r="Y81" s="7">
        <v>16000</v>
      </c>
      <c r="Z81" s="7">
        <v>16000</v>
      </c>
      <c r="AA81" s="7">
        <v>16000</v>
      </c>
      <c r="AB81" s="7">
        <v>16000</v>
      </c>
      <c r="AC81" s="6">
        <f t="shared" si="22"/>
        <v>384000</v>
      </c>
      <c r="AD81" s="77"/>
      <c r="AE81" s="75"/>
    </row>
    <row r="82" spans="1:31" ht="15.75" thickBot="1" x14ac:dyDescent="0.3">
      <c r="A82" s="14">
        <v>2028</v>
      </c>
      <c r="B82" s="15">
        <v>3</v>
      </c>
      <c r="C82" s="15">
        <v>4</v>
      </c>
      <c r="D82" s="15" t="s">
        <v>6</v>
      </c>
      <c r="E82" s="7">
        <v>16000</v>
      </c>
      <c r="F82" s="7">
        <v>16000</v>
      </c>
      <c r="G82" s="7">
        <v>16000</v>
      </c>
      <c r="H82" s="7">
        <v>16000</v>
      </c>
      <c r="I82" s="7">
        <v>16000</v>
      </c>
      <c r="J82" s="7">
        <v>16000</v>
      </c>
      <c r="K82" s="7">
        <v>16000</v>
      </c>
      <c r="L82" s="7">
        <v>16000</v>
      </c>
      <c r="M82" s="7">
        <v>16000</v>
      </c>
      <c r="N82" s="7">
        <v>16000</v>
      </c>
      <c r="O82" s="7">
        <v>16000</v>
      </c>
      <c r="P82" s="7">
        <v>16000</v>
      </c>
      <c r="Q82" s="7">
        <v>16000</v>
      </c>
      <c r="R82" s="7">
        <v>16000</v>
      </c>
      <c r="S82" s="7">
        <v>16000</v>
      </c>
      <c r="T82" s="7">
        <v>16000</v>
      </c>
      <c r="U82" s="7">
        <v>16000</v>
      </c>
      <c r="V82" s="7">
        <v>16000</v>
      </c>
      <c r="W82" s="7">
        <v>16000</v>
      </c>
      <c r="X82" s="7">
        <v>16000</v>
      </c>
      <c r="Y82" s="7">
        <v>16000</v>
      </c>
      <c r="Z82" s="7">
        <v>16000</v>
      </c>
      <c r="AA82" s="7">
        <v>16000</v>
      </c>
      <c r="AB82" s="7">
        <v>16000</v>
      </c>
      <c r="AC82" s="6">
        <f t="shared" si="22"/>
        <v>384000</v>
      </c>
      <c r="AD82" s="78"/>
      <c r="AE82" s="75"/>
    </row>
    <row r="83" spans="1:31" ht="15.75" thickBot="1" x14ac:dyDescent="0.3">
      <c r="A83" s="11">
        <v>2028</v>
      </c>
      <c r="B83" s="12">
        <v>4</v>
      </c>
      <c r="C83" s="12">
        <v>7</v>
      </c>
      <c r="D83" s="12" t="s">
        <v>5</v>
      </c>
      <c r="E83" s="7">
        <v>11500</v>
      </c>
      <c r="F83" s="7">
        <v>11500</v>
      </c>
      <c r="G83" s="7">
        <v>11500</v>
      </c>
      <c r="H83" s="7">
        <v>11500</v>
      </c>
      <c r="I83" s="7">
        <v>11500</v>
      </c>
      <c r="J83" s="7">
        <v>11500</v>
      </c>
      <c r="K83" s="7">
        <v>11500</v>
      </c>
      <c r="L83" s="7">
        <v>11500</v>
      </c>
      <c r="M83" s="7">
        <v>11500</v>
      </c>
      <c r="N83" s="7">
        <v>11500</v>
      </c>
      <c r="O83" s="7">
        <v>11500</v>
      </c>
      <c r="P83" s="7">
        <v>11500</v>
      </c>
      <c r="Q83" s="7">
        <v>11500</v>
      </c>
      <c r="R83" s="7">
        <v>11500</v>
      </c>
      <c r="S83" s="7">
        <v>11500</v>
      </c>
      <c r="T83" s="7">
        <v>11500</v>
      </c>
      <c r="U83" s="7">
        <v>11500</v>
      </c>
      <c r="V83" s="7">
        <v>11500</v>
      </c>
      <c r="W83" s="7">
        <v>11500</v>
      </c>
      <c r="X83" s="7">
        <v>11500</v>
      </c>
      <c r="Y83" s="7">
        <v>11500</v>
      </c>
      <c r="Z83" s="7">
        <v>11500</v>
      </c>
      <c r="AA83" s="7">
        <v>11500</v>
      </c>
      <c r="AB83" s="7">
        <v>11500</v>
      </c>
      <c r="AC83" s="6">
        <f t="shared" si="22"/>
        <v>276000</v>
      </c>
      <c r="AD83" s="76">
        <f t="shared" ref="AD83" si="28">+SUMPRODUCT(AC83:AC85,C83:C85)</f>
        <v>8280000</v>
      </c>
      <c r="AE83" s="75"/>
    </row>
    <row r="84" spans="1:31" ht="15.75" thickBot="1" x14ac:dyDescent="0.3">
      <c r="A84" s="13">
        <v>2028</v>
      </c>
      <c r="B84" s="1">
        <v>4</v>
      </c>
      <c r="C84" s="1">
        <v>18</v>
      </c>
      <c r="D84" s="1" t="s">
        <v>31</v>
      </c>
      <c r="E84" s="7">
        <v>11500</v>
      </c>
      <c r="F84" s="7">
        <v>11500</v>
      </c>
      <c r="G84" s="7">
        <v>11500</v>
      </c>
      <c r="H84" s="7">
        <v>11500</v>
      </c>
      <c r="I84" s="7">
        <v>11500</v>
      </c>
      <c r="J84" s="7">
        <v>11500</v>
      </c>
      <c r="K84" s="7">
        <v>11500</v>
      </c>
      <c r="L84" s="7">
        <v>11500</v>
      </c>
      <c r="M84" s="7">
        <v>11500</v>
      </c>
      <c r="N84" s="7">
        <v>11500</v>
      </c>
      <c r="O84" s="7">
        <v>11500</v>
      </c>
      <c r="P84" s="7">
        <v>11500</v>
      </c>
      <c r="Q84" s="7">
        <v>11500</v>
      </c>
      <c r="R84" s="7">
        <v>11500</v>
      </c>
      <c r="S84" s="7">
        <v>11500</v>
      </c>
      <c r="T84" s="7">
        <v>11500</v>
      </c>
      <c r="U84" s="7">
        <v>11500</v>
      </c>
      <c r="V84" s="7">
        <v>11500</v>
      </c>
      <c r="W84" s="7">
        <v>11500</v>
      </c>
      <c r="X84" s="7">
        <v>11500</v>
      </c>
      <c r="Y84" s="7">
        <v>11500</v>
      </c>
      <c r="Z84" s="7">
        <v>11500</v>
      </c>
      <c r="AA84" s="7">
        <v>11500</v>
      </c>
      <c r="AB84" s="7">
        <v>11500</v>
      </c>
      <c r="AC84" s="6">
        <f t="shared" si="22"/>
        <v>276000</v>
      </c>
      <c r="AD84" s="77"/>
      <c r="AE84" s="75"/>
    </row>
    <row r="85" spans="1:31" ht="15.75" thickBot="1" x14ac:dyDescent="0.3">
      <c r="A85" s="14">
        <v>2028</v>
      </c>
      <c r="B85" s="15">
        <v>4</v>
      </c>
      <c r="C85" s="15">
        <v>5</v>
      </c>
      <c r="D85" s="15" t="s">
        <v>6</v>
      </c>
      <c r="E85" s="7">
        <v>11500</v>
      </c>
      <c r="F85" s="7">
        <v>11500</v>
      </c>
      <c r="G85" s="7">
        <v>11500</v>
      </c>
      <c r="H85" s="7">
        <v>11500</v>
      </c>
      <c r="I85" s="7">
        <v>11500</v>
      </c>
      <c r="J85" s="7">
        <v>11500</v>
      </c>
      <c r="K85" s="7">
        <v>11500</v>
      </c>
      <c r="L85" s="7">
        <v>11500</v>
      </c>
      <c r="M85" s="7">
        <v>11500</v>
      </c>
      <c r="N85" s="7">
        <v>11500</v>
      </c>
      <c r="O85" s="7">
        <v>11500</v>
      </c>
      <c r="P85" s="7">
        <v>11500</v>
      </c>
      <c r="Q85" s="7">
        <v>11500</v>
      </c>
      <c r="R85" s="7">
        <v>11500</v>
      </c>
      <c r="S85" s="7">
        <v>11500</v>
      </c>
      <c r="T85" s="7">
        <v>11500</v>
      </c>
      <c r="U85" s="7">
        <v>11500</v>
      </c>
      <c r="V85" s="7">
        <v>11500</v>
      </c>
      <c r="W85" s="7">
        <v>11500</v>
      </c>
      <c r="X85" s="7">
        <v>11500</v>
      </c>
      <c r="Y85" s="7">
        <v>11500</v>
      </c>
      <c r="Z85" s="7">
        <v>11500</v>
      </c>
      <c r="AA85" s="7">
        <v>11500</v>
      </c>
      <c r="AB85" s="7">
        <v>11500</v>
      </c>
      <c r="AC85" s="6">
        <f t="shared" si="22"/>
        <v>276000</v>
      </c>
      <c r="AD85" s="78"/>
      <c r="AE85" s="75"/>
    </row>
    <row r="86" spans="1:31" ht="15.75" thickBot="1" x14ac:dyDescent="0.3">
      <c r="A86" s="11">
        <v>2028</v>
      </c>
      <c r="B86" s="12">
        <v>5</v>
      </c>
      <c r="C86" s="12">
        <v>6</v>
      </c>
      <c r="D86" s="12" t="s">
        <v>5</v>
      </c>
      <c r="E86" s="7">
        <v>3000</v>
      </c>
      <c r="F86" s="7">
        <v>3000</v>
      </c>
      <c r="G86" s="7">
        <v>3000</v>
      </c>
      <c r="H86" s="7">
        <v>3000</v>
      </c>
      <c r="I86" s="7">
        <v>3000</v>
      </c>
      <c r="J86" s="7">
        <v>3000</v>
      </c>
      <c r="K86" s="7">
        <v>3000</v>
      </c>
      <c r="L86" s="7">
        <v>3000</v>
      </c>
      <c r="M86" s="7">
        <v>3000</v>
      </c>
      <c r="N86" s="7">
        <v>3000</v>
      </c>
      <c r="O86" s="7">
        <v>3000</v>
      </c>
      <c r="P86" s="7">
        <v>3000</v>
      </c>
      <c r="Q86" s="7">
        <v>3000</v>
      </c>
      <c r="R86" s="7">
        <v>3000</v>
      </c>
      <c r="S86" s="7">
        <v>3000</v>
      </c>
      <c r="T86" s="7">
        <v>3000</v>
      </c>
      <c r="U86" s="7">
        <v>3000</v>
      </c>
      <c r="V86" s="7">
        <v>3000</v>
      </c>
      <c r="W86" s="7">
        <v>3000</v>
      </c>
      <c r="X86" s="7">
        <v>3000</v>
      </c>
      <c r="Y86" s="7">
        <v>3000</v>
      </c>
      <c r="Z86" s="7">
        <v>3000</v>
      </c>
      <c r="AA86" s="7">
        <v>3000</v>
      </c>
      <c r="AB86" s="7">
        <v>3000</v>
      </c>
      <c r="AC86" s="6">
        <f t="shared" si="22"/>
        <v>72000</v>
      </c>
      <c r="AD86" s="76">
        <f t="shared" ref="AD86" si="29">+SUMPRODUCT(AC86:AC88,C86:C88)</f>
        <v>2232000</v>
      </c>
      <c r="AE86" s="75"/>
    </row>
    <row r="87" spans="1:31" ht="15.75" thickBot="1" x14ac:dyDescent="0.3">
      <c r="A87" s="13">
        <v>2028</v>
      </c>
      <c r="B87" s="1">
        <v>5</v>
      </c>
      <c r="C87" s="1">
        <v>21</v>
      </c>
      <c r="D87" s="1" t="s">
        <v>31</v>
      </c>
      <c r="E87" s="8">
        <v>3000</v>
      </c>
      <c r="F87" s="8">
        <v>3000</v>
      </c>
      <c r="G87" s="8">
        <v>3000</v>
      </c>
      <c r="H87" s="8">
        <v>3000</v>
      </c>
      <c r="I87" s="8">
        <v>3000</v>
      </c>
      <c r="J87" s="8">
        <v>3000</v>
      </c>
      <c r="K87" s="8">
        <v>3000</v>
      </c>
      <c r="L87" s="8">
        <v>3000</v>
      </c>
      <c r="M87" s="8">
        <v>3000</v>
      </c>
      <c r="N87" s="8">
        <v>3000</v>
      </c>
      <c r="O87" s="8">
        <v>3000</v>
      </c>
      <c r="P87" s="8">
        <v>3000</v>
      </c>
      <c r="Q87" s="8">
        <v>3000</v>
      </c>
      <c r="R87" s="8">
        <v>3000</v>
      </c>
      <c r="S87" s="8">
        <v>3000</v>
      </c>
      <c r="T87" s="8">
        <v>3000</v>
      </c>
      <c r="U87" s="8">
        <v>3000</v>
      </c>
      <c r="V87" s="8">
        <v>3000</v>
      </c>
      <c r="W87" s="8">
        <v>3000</v>
      </c>
      <c r="X87" s="8">
        <v>3000</v>
      </c>
      <c r="Y87" s="8">
        <v>3000</v>
      </c>
      <c r="Z87" s="8">
        <v>3000</v>
      </c>
      <c r="AA87" s="8">
        <v>3000</v>
      </c>
      <c r="AB87" s="8">
        <v>3000</v>
      </c>
      <c r="AC87" s="6">
        <f t="shared" si="22"/>
        <v>72000</v>
      </c>
      <c r="AD87" s="77"/>
      <c r="AE87" s="75"/>
    </row>
    <row r="88" spans="1:31" ht="15.75" thickBot="1" x14ac:dyDescent="0.3">
      <c r="A88" s="14">
        <v>2028</v>
      </c>
      <c r="B88" s="15">
        <v>5</v>
      </c>
      <c r="C88" s="15">
        <v>4</v>
      </c>
      <c r="D88" s="15" t="s">
        <v>6</v>
      </c>
      <c r="E88" s="9">
        <v>3000</v>
      </c>
      <c r="F88" s="9">
        <v>3000</v>
      </c>
      <c r="G88" s="9">
        <v>3000</v>
      </c>
      <c r="H88" s="9">
        <v>3000</v>
      </c>
      <c r="I88" s="9">
        <v>3000</v>
      </c>
      <c r="J88" s="9">
        <v>3000</v>
      </c>
      <c r="K88" s="9">
        <v>3000</v>
      </c>
      <c r="L88" s="9">
        <v>3000</v>
      </c>
      <c r="M88" s="9">
        <v>3000</v>
      </c>
      <c r="N88" s="9">
        <v>3000</v>
      </c>
      <c r="O88" s="9">
        <v>3000</v>
      </c>
      <c r="P88" s="9">
        <v>3000</v>
      </c>
      <c r="Q88" s="9">
        <v>3000</v>
      </c>
      <c r="R88" s="9">
        <v>3000</v>
      </c>
      <c r="S88" s="9">
        <v>3000</v>
      </c>
      <c r="T88" s="9">
        <v>3000</v>
      </c>
      <c r="U88" s="9">
        <v>3000</v>
      </c>
      <c r="V88" s="9">
        <v>3000</v>
      </c>
      <c r="W88" s="9">
        <v>3000</v>
      </c>
      <c r="X88" s="9">
        <v>3000</v>
      </c>
      <c r="Y88" s="9">
        <v>3000</v>
      </c>
      <c r="Z88" s="9">
        <v>3000</v>
      </c>
      <c r="AA88" s="9">
        <v>3000</v>
      </c>
      <c r="AB88" s="9">
        <v>3000</v>
      </c>
      <c r="AC88" s="6">
        <f t="shared" si="22"/>
        <v>72000</v>
      </c>
      <c r="AD88" s="78"/>
      <c r="AE88" s="75"/>
    </row>
    <row r="89" spans="1:31" ht="15.75" thickBot="1" x14ac:dyDescent="0.3">
      <c r="A89" s="11">
        <v>2028</v>
      </c>
      <c r="B89" s="12">
        <v>6</v>
      </c>
      <c r="C89" s="12">
        <v>6</v>
      </c>
      <c r="D89" s="12" t="s">
        <v>5</v>
      </c>
      <c r="E89" s="7">
        <v>3000</v>
      </c>
      <c r="F89" s="7">
        <v>3000</v>
      </c>
      <c r="G89" s="7">
        <v>3000</v>
      </c>
      <c r="H89" s="7">
        <v>3000</v>
      </c>
      <c r="I89" s="7">
        <v>3000</v>
      </c>
      <c r="J89" s="7">
        <v>3000</v>
      </c>
      <c r="K89" s="7">
        <v>3000</v>
      </c>
      <c r="L89" s="7">
        <v>3000</v>
      </c>
      <c r="M89" s="7">
        <v>3000</v>
      </c>
      <c r="N89" s="7">
        <v>3000</v>
      </c>
      <c r="O89" s="7">
        <v>3000</v>
      </c>
      <c r="P89" s="7">
        <v>3000</v>
      </c>
      <c r="Q89" s="7">
        <v>3000</v>
      </c>
      <c r="R89" s="7">
        <v>3000</v>
      </c>
      <c r="S89" s="7">
        <v>3000</v>
      </c>
      <c r="T89" s="7">
        <v>3000</v>
      </c>
      <c r="U89" s="7">
        <v>3000</v>
      </c>
      <c r="V89" s="7">
        <v>3000</v>
      </c>
      <c r="W89" s="7">
        <v>3000</v>
      </c>
      <c r="X89" s="7">
        <v>3000</v>
      </c>
      <c r="Y89" s="7">
        <v>3000</v>
      </c>
      <c r="Z89" s="7">
        <v>3000</v>
      </c>
      <c r="AA89" s="7">
        <v>3000</v>
      </c>
      <c r="AB89" s="7">
        <v>3000</v>
      </c>
      <c r="AC89" s="6">
        <f t="shared" si="22"/>
        <v>72000</v>
      </c>
      <c r="AD89" s="76">
        <f t="shared" ref="AD89" si="30">+SUMPRODUCT(AC89:AC91,C89:C91)</f>
        <v>2160000</v>
      </c>
      <c r="AE89" s="75"/>
    </row>
    <row r="90" spans="1:31" ht="15.75" thickBot="1" x14ac:dyDescent="0.3">
      <c r="A90" s="13">
        <v>2028</v>
      </c>
      <c r="B90" s="1">
        <v>6</v>
      </c>
      <c r="C90" s="1">
        <v>20</v>
      </c>
      <c r="D90" s="1" t="s">
        <v>31</v>
      </c>
      <c r="E90" s="8">
        <v>3000</v>
      </c>
      <c r="F90" s="8">
        <v>3000</v>
      </c>
      <c r="G90" s="8">
        <v>3000</v>
      </c>
      <c r="H90" s="8">
        <v>3000</v>
      </c>
      <c r="I90" s="8">
        <v>3000</v>
      </c>
      <c r="J90" s="8">
        <v>3000</v>
      </c>
      <c r="K90" s="8">
        <v>3000</v>
      </c>
      <c r="L90" s="8">
        <v>3000</v>
      </c>
      <c r="M90" s="8">
        <v>3000</v>
      </c>
      <c r="N90" s="8">
        <v>3000</v>
      </c>
      <c r="O90" s="8">
        <v>3000</v>
      </c>
      <c r="P90" s="8">
        <v>3000</v>
      </c>
      <c r="Q90" s="8">
        <v>3000</v>
      </c>
      <c r="R90" s="8">
        <v>3000</v>
      </c>
      <c r="S90" s="8">
        <v>3000</v>
      </c>
      <c r="T90" s="8">
        <v>3000</v>
      </c>
      <c r="U90" s="8">
        <v>3000</v>
      </c>
      <c r="V90" s="8">
        <v>3000</v>
      </c>
      <c r="W90" s="8">
        <v>3000</v>
      </c>
      <c r="X90" s="8">
        <v>3000</v>
      </c>
      <c r="Y90" s="8">
        <v>3000</v>
      </c>
      <c r="Z90" s="8">
        <v>3000</v>
      </c>
      <c r="AA90" s="8">
        <v>3000</v>
      </c>
      <c r="AB90" s="8">
        <v>3000</v>
      </c>
      <c r="AC90" s="6">
        <f t="shared" si="22"/>
        <v>72000</v>
      </c>
      <c r="AD90" s="77"/>
      <c r="AE90" s="75"/>
    </row>
    <row r="91" spans="1:31" ht="15.75" thickBot="1" x14ac:dyDescent="0.3">
      <c r="A91" s="14">
        <v>2028</v>
      </c>
      <c r="B91" s="15">
        <v>6</v>
      </c>
      <c r="C91" s="15">
        <v>4</v>
      </c>
      <c r="D91" s="15" t="s">
        <v>6</v>
      </c>
      <c r="E91" s="9">
        <v>3000</v>
      </c>
      <c r="F91" s="9">
        <v>3000</v>
      </c>
      <c r="G91" s="9">
        <v>3000</v>
      </c>
      <c r="H91" s="9">
        <v>3000</v>
      </c>
      <c r="I91" s="9">
        <v>3000</v>
      </c>
      <c r="J91" s="9">
        <v>3000</v>
      </c>
      <c r="K91" s="9">
        <v>3000</v>
      </c>
      <c r="L91" s="9">
        <v>3000</v>
      </c>
      <c r="M91" s="9">
        <v>3000</v>
      </c>
      <c r="N91" s="9">
        <v>3000</v>
      </c>
      <c r="O91" s="9">
        <v>3000</v>
      </c>
      <c r="P91" s="9">
        <v>3000</v>
      </c>
      <c r="Q91" s="9">
        <v>3000</v>
      </c>
      <c r="R91" s="9">
        <v>3000</v>
      </c>
      <c r="S91" s="9">
        <v>3000</v>
      </c>
      <c r="T91" s="9">
        <v>3000</v>
      </c>
      <c r="U91" s="9">
        <v>3000</v>
      </c>
      <c r="V91" s="9">
        <v>3000</v>
      </c>
      <c r="W91" s="9">
        <v>3000</v>
      </c>
      <c r="X91" s="9">
        <v>3000</v>
      </c>
      <c r="Y91" s="9">
        <v>3000</v>
      </c>
      <c r="Z91" s="9">
        <v>3000</v>
      </c>
      <c r="AA91" s="9">
        <v>3000</v>
      </c>
      <c r="AB91" s="9">
        <v>3000</v>
      </c>
      <c r="AC91" s="6">
        <f t="shared" si="22"/>
        <v>72000</v>
      </c>
      <c r="AD91" s="78"/>
      <c r="AE91" s="75"/>
    </row>
    <row r="92" spans="1:31" ht="15.75" thickBot="1" x14ac:dyDescent="0.3">
      <c r="A92" s="11">
        <v>2028</v>
      </c>
      <c r="B92" s="12">
        <v>7</v>
      </c>
      <c r="C92" s="12">
        <v>7</v>
      </c>
      <c r="D92" s="12" t="s">
        <v>5</v>
      </c>
      <c r="E92" s="7">
        <v>3000</v>
      </c>
      <c r="F92" s="7">
        <v>3000</v>
      </c>
      <c r="G92" s="7">
        <v>3000</v>
      </c>
      <c r="H92" s="7">
        <v>3000</v>
      </c>
      <c r="I92" s="7">
        <v>3000</v>
      </c>
      <c r="J92" s="7">
        <v>3000</v>
      </c>
      <c r="K92" s="7">
        <v>3000</v>
      </c>
      <c r="L92" s="7">
        <v>3000</v>
      </c>
      <c r="M92" s="7">
        <v>3000</v>
      </c>
      <c r="N92" s="7">
        <v>3000</v>
      </c>
      <c r="O92" s="7">
        <v>3000</v>
      </c>
      <c r="P92" s="7">
        <v>3000</v>
      </c>
      <c r="Q92" s="7">
        <v>3000</v>
      </c>
      <c r="R92" s="7">
        <v>3000</v>
      </c>
      <c r="S92" s="7">
        <v>3000</v>
      </c>
      <c r="T92" s="7">
        <v>3000</v>
      </c>
      <c r="U92" s="7">
        <v>3000</v>
      </c>
      <c r="V92" s="7">
        <v>3000</v>
      </c>
      <c r="W92" s="7">
        <v>3000</v>
      </c>
      <c r="X92" s="7">
        <v>3000</v>
      </c>
      <c r="Y92" s="7">
        <v>3000</v>
      </c>
      <c r="Z92" s="7">
        <v>3000</v>
      </c>
      <c r="AA92" s="7">
        <v>3000</v>
      </c>
      <c r="AB92" s="7">
        <v>3000</v>
      </c>
      <c r="AC92" s="6">
        <f t="shared" si="22"/>
        <v>72000</v>
      </c>
      <c r="AD92" s="76">
        <f t="shared" ref="AD92" si="31">+SUMPRODUCT(AC92:AC94,C92:C94)</f>
        <v>2232000</v>
      </c>
      <c r="AE92" s="75"/>
    </row>
    <row r="93" spans="1:31" ht="15.75" thickBot="1" x14ac:dyDescent="0.3">
      <c r="A93" s="13">
        <v>2028</v>
      </c>
      <c r="B93" s="1">
        <v>7</v>
      </c>
      <c r="C93" s="1">
        <v>19</v>
      </c>
      <c r="D93" s="1" t="s">
        <v>31</v>
      </c>
      <c r="E93" s="8">
        <v>3000</v>
      </c>
      <c r="F93" s="8">
        <v>3000</v>
      </c>
      <c r="G93" s="8">
        <v>3000</v>
      </c>
      <c r="H93" s="8">
        <v>3000</v>
      </c>
      <c r="I93" s="8">
        <v>3000</v>
      </c>
      <c r="J93" s="8">
        <v>3000</v>
      </c>
      <c r="K93" s="8">
        <v>3000</v>
      </c>
      <c r="L93" s="8">
        <v>3000</v>
      </c>
      <c r="M93" s="8">
        <v>3000</v>
      </c>
      <c r="N93" s="8">
        <v>3000</v>
      </c>
      <c r="O93" s="8">
        <v>3000</v>
      </c>
      <c r="P93" s="8">
        <v>3000</v>
      </c>
      <c r="Q93" s="8">
        <v>3000</v>
      </c>
      <c r="R93" s="8">
        <v>3000</v>
      </c>
      <c r="S93" s="8">
        <v>3000</v>
      </c>
      <c r="T93" s="8">
        <v>3000</v>
      </c>
      <c r="U93" s="8">
        <v>3000</v>
      </c>
      <c r="V93" s="8">
        <v>3000</v>
      </c>
      <c r="W93" s="8">
        <v>3000</v>
      </c>
      <c r="X93" s="8">
        <v>3000</v>
      </c>
      <c r="Y93" s="8">
        <v>3000</v>
      </c>
      <c r="Z93" s="8">
        <v>3000</v>
      </c>
      <c r="AA93" s="8">
        <v>3000</v>
      </c>
      <c r="AB93" s="8">
        <v>3000</v>
      </c>
      <c r="AC93" s="6">
        <f t="shared" si="22"/>
        <v>72000</v>
      </c>
      <c r="AD93" s="77"/>
      <c r="AE93" s="75"/>
    </row>
    <row r="94" spans="1:31" ht="15.75" thickBot="1" x14ac:dyDescent="0.3">
      <c r="A94" s="14">
        <v>2028</v>
      </c>
      <c r="B94" s="15">
        <v>7</v>
      </c>
      <c r="C94" s="15">
        <v>5</v>
      </c>
      <c r="D94" s="15" t="s">
        <v>6</v>
      </c>
      <c r="E94" s="9">
        <v>3000</v>
      </c>
      <c r="F94" s="9">
        <v>3000</v>
      </c>
      <c r="G94" s="9">
        <v>3000</v>
      </c>
      <c r="H94" s="9">
        <v>3000</v>
      </c>
      <c r="I94" s="9">
        <v>3000</v>
      </c>
      <c r="J94" s="9">
        <v>3000</v>
      </c>
      <c r="K94" s="9">
        <v>3000</v>
      </c>
      <c r="L94" s="9">
        <v>3000</v>
      </c>
      <c r="M94" s="9">
        <v>3000</v>
      </c>
      <c r="N94" s="9">
        <v>3000</v>
      </c>
      <c r="O94" s="9">
        <v>3000</v>
      </c>
      <c r="P94" s="9">
        <v>3000</v>
      </c>
      <c r="Q94" s="9">
        <v>3000</v>
      </c>
      <c r="R94" s="9">
        <v>3000</v>
      </c>
      <c r="S94" s="9">
        <v>3000</v>
      </c>
      <c r="T94" s="9">
        <v>3000</v>
      </c>
      <c r="U94" s="9">
        <v>3000</v>
      </c>
      <c r="V94" s="9">
        <v>3000</v>
      </c>
      <c r="W94" s="9">
        <v>3000</v>
      </c>
      <c r="X94" s="9">
        <v>3000</v>
      </c>
      <c r="Y94" s="9">
        <v>3000</v>
      </c>
      <c r="Z94" s="9">
        <v>3000</v>
      </c>
      <c r="AA94" s="9">
        <v>3000</v>
      </c>
      <c r="AB94" s="9">
        <v>3000</v>
      </c>
      <c r="AC94" s="6">
        <f t="shared" si="22"/>
        <v>72000</v>
      </c>
      <c r="AD94" s="78"/>
      <c r="AE94" s="75"/>
    </row>
    <row r="95" spans="1:31" ht="15.75" thickBot="1" x14ac:dyDescent="0.3">
      <c r="A95" s="11">
        <v>2028</v>
      </c>
      <c r="B95" s="12">
        <v>8</v>
      </c>
      <c r="C95" s="12">
        <v>6</v>
      </c>
      <c r="D95" s="12" t="s">
        <v>5</v>
      </c>
      <c r="E95" s="7">
        <v>4000</v>
      </c>
      <c r="F95" s="7">
        <v>4000</v>
      </c>
      <c r="G95" s="7">
        <v>4000</v>
      </c>
      <c r="H95" s="7">
        <v>4000</v>
      </c>
      <c r="I95" s="7">
        <v>4000</v>
      </c>
      <c r="J95" s="7">
        <v>4000</v>
      </c>
      <c r="K95" s="7">
        <v>4000</v>
      </c>
      <c r="L95" s="7">
        <v>4000</v>
      </c>
      <c r="M95" s="7">
        <v>4000</v>
      </c>
      <c r="N95" s="7">
        <v>4000</v>
      </c>
      <c r="O95" s="7">
        <v>4000</v>
      </c>
      <c r="P95" s="7">
        <v>4000</v>
      </c>
      <c r="Q95" s="7">
        <v>4000</v>
      </c>
      <c r="R95" s="7">
        <v>4000</v>
      </c>
      <c r="S95" s="7">
        <v>4000</v>
      </c>
      <c r="T95" s="7">
        <v>4000</v>
      </c>
      <c r="U95" s="7">
        <v>4000</v>
      </c>
      <c r="V95" s="7">
        <v>4000</v>
      </c>
      <c r="W95" s="7">
        <v>4000</v>
      </c>
      <c r="X95" s="7">
        <v>4000</v>
      </c>
      <c r="Y95" s="7">
        <v>4000</v>
      </c>
      <c r="Z95" s="7">
        <v>4000</v>
      </c>
      <c r="AA95" s="7">
        <v>4000</v>
      </c>
      <c r="AB95" s="7">
        <v>4000</v>
      </c>
      <c r="AC95" s="6">
        <f t="shared" si="22"/>
        <v>96000</v>
      </c>
      <c r="AD95" s="76">
        <f t="shared" ref="AD95" si="32">+SUMPRODUCT(AC95:AC97,C95:C97)</f>
        <v>2976000</v>
      </c>
      <c r="AE95" s="75"/>
    </row>
    <row r="96" spans="1:31" ht="15.75" thickBot="1" x14ac:dyDescent="0.3">
      <c r="A96" s="13">
        <v>2028</v>
      </c>
      <c r="B96" s="1">
        <v>8</v>
      </c>
      <c r="C96" s="1">
        <v>21</v>
      </c>
      <c r="D96" s="1" t="s">
        <v>31</v>
      </c>
      <c r="E96" s="8">
        <v>4000</v>
      </c>
      <c r="F96" s="8">
        <v>4000</v>
      </c>
      <c r="G96" s="8">
        <v>4000</v>
      </c>
      <c r="H96" s="8">
        <v>4000</v>
      </c>
      <c r="I96" s="8">
        <v>4000</v>
      </c>
      <c r="J96" s="8">
        <v>4000</v>
      </c>
      <c r="K96" s="8">
        <v>4000</v>
      </c>
      <c r="L96" s="8">
        <v>4000</v>
      </c>
      <c r="M96" s="8">
        <v>4000</v>
      </c>
      <c r="N96" s="8">
        <v>4000</v>
      </c>
      <c r="O96" s="8">
        <v>4000</v>
      </c>
      <c r="P96" s="8">
        <v>4000</v>
      </c>
      <c r="Q96" s="8">
        <v>4000</v>
      </c>
      <c r="R96" s="8">
        <v>4000</v>
      </c>
      <c r="S96" s="8">
        <v>4000</v>
      </c>
      <c r="T96" s="8">
        <v>4000</v>
      </c>
      <c r="U96" s="8">
        <v>4000</v>
      </c>
      <c r="V96" s="8">
        <v>4000</v>
      </c>
      <c r="W96" s="8">
        <v>4000</v>
      </c>
      <c r="X96" s="8">
        <v>4000</v>
      </c>
      <c r="Y96" s="8">
        <v>4000</v>
      </c>
      <c r="Z96" s="8">
        <v>4000</v>
      </c>
      <c r="AA96" s="8">
        <v>4000</v>
      </c>
      <c r="AB96" s="8">
        <v>4000</v>
      </c>
      <c r="AC96" s="6">
        <f t="shared" si="22"/>
        <v>96000</v>
      </c>
      <c r="AD96" s="77"/>
      <c r="AE96" s="75"/>
    </row>
    <row r="97" spans="1:31" ht="15.75" thickBot="1" x14ac:dyDescent="0.3">
      <c r="A97" s="14">
        <v>2028</v>
      </c>
      <c r="B97" s="15">
        <v>8</v>
      </c>
      <c r="C97" s="15">
        <v>4</v>
      </c>
      <c r="D97" s="15" t="s">
        <v>6</v>
      </c>
      <c r="E97" s="9">
        <v>4000</v>
      </c>
      <c r="F97" s="9">
        <v>4000</v>
      </c>
      <c r="G97" s="9">
        <v>4000</v>
      </c>
      <c r="H97" s="9">
        <v>4000</v>
      </c>
      <c r="I97" s="9">
        <v>4000</v>
      </c>
      <c r="J97" s="9">
        <v>4000</v>
      </c>
      <c r="K97" s="9">
        <v>4000</v>
      </c>
      <c r="L97" s="9">
        <v>4000</v>
      </c>
      <c r="M97" s="9">
        <v>4000</v>
      </c>
      <c r="N97" s="9">
        <v>4000</v>
      </c>
      <c r="O97" s="9">
        <v>4000</v>
      </c>
      <c r="P97" s="9">
        <v>4000</v>
      </c>
      <c r="Q97" s="9">
        <v>4000</v>
      </c>
      <c r="R97" s="9">
        <v>4000</v>
      </c>
      <c r="S97" s="9">
        <v>4000</v>
      </c>
      <c r="T97" s="9">
        <v>4000</v>
      </c>
      <c r="U97" s="9">
        <v>4000</v>
      </c>
      <c r="V97" s="9">
        <v>4000</v>
      </c>
      <c r="W97" s="9">
        <v>4000</v>
      </c>
      <c r="X97" s="9">
        <v>4000</v>
      </c>
      <c r="Y97" s="9">
        <v>4000</v>
      </c>
      <c r="Z97" s="9">
        <v>4000</v>
      </c>
      <c r="AA97" s="9">
        <v>4000</v>
      </c>
      <c r="AB97" s="9">
        <v>4000</v>
      </c>
      <c r="AC97" s="6">
        <f t="shared" si="22"/>
        <v>96000</v>
      </c>
      <c r="AD97" s="78"/>
      <c r="AE97" s="75"/>
    </row>
    <row r="98" spans="1:31" ht="15.75" thickBot="1" x14ac:dyDescent="0.3">
      <c r="A98" s="11">
        <v>2028</v>
      </c>
      <c r="B98" s="12">
        <v>9</v>
      </c>
      <c r="C98" s="12">
        <v>4</v>
      </c>
      <c r="D98" s="12" t="s">
        <v>5</v>
      </c>
      <c r="E98" s="7">
        <v>7500</v>
      </c>
      <c r="F98" s="7">
        <v>7500</v>
      </c>
      <c r="G98" s="7">
        <v>7500</v>
      </c>
      <c r="H98" s="7">
        <v>7500</v>
      </c>
      <c r="I98" s="7">
        <v>7500</v>
      </c>
      <c r="J98" s="7">
        <v>7500</v>
      </c>
      <c r="K98" s="7">
        <v>7500</v>
      </c>
      <c r="L98" s="7">
        <v>7500</v>
      </c>
      <c r="M98" s="7">
        <v>7500</v>
      </c>
      <c r="N98" s="7">
        <v>7500</v>
      </c>
      <c r="O98" s="7">
        <v>7500</v>
      </c>
      <c r="P98" s="7">
        <v>7500</v>
      </c>
      <c r="Q98" s="7">
        <v>7500</v>
      </c>
      <c r="R98" s="7">
        <v>7500</v>
      </c>
      <c r="S98" s="7">
        <v>7500</v>
      </c>
      <c r="T98" s="7">
        <v>7500</v>
      </c>
      <c r="U98" s="7">
        <v>7500</v>
      </c>
      <c r="V98" s="7">
        <v>7500</v>
      </c>
      <c r="W98" s="7">
        <v>7500</v>
      </c>
      <c r="X98" s="7">
        <v>7500</v>
      </c>
      <c r="Y98" s="7">
        <v>7500</v>
      </c>
      <c r="Z98" s="7">
        <v>7500</v>
      </c>
      <c r="AA98" s="7">
        <v>7500</v>
      </c>
      <c r="AB98" s="7">
        <v>7500</v>
      </c>
      <c r="AC98" s="6">
        <f t="shared" si="22"/>
        <v>180000</v>
      </c>
      <c r="AD98" s="76">
        <f t="shared" ref="AD98" si="33">+SUMPRODUCT(AC98:AC100,C98:C100)</f>
        <v>5400000</v>
      </c>
      <c r="AE98" s="75"/>
    </row>
    <row r="99" spans="1:31" ht="15.75" thickBot="1" x14ac:dyDescent="0.3">
      <c r="A99" s="13">
        <v>2028</v>
      </c>
      <c r="B99" s="1">
        <v>9</v>
      </c>
      <c r="C99" s="1">
        <v>21</v>
      </c>
      <c r="D99" s="1" t="s">
        <v>31</v>
      </c>
      <c r="E99" s="8">
        <v>7500</v>
      </c>
      <c r="F99" s="8">
        <v>7500</v>
      </c>
      <c r="G99" s="8">
        <v>7500</v>
      </c>
      <c r="H99" s="8">
        <v>7500</v>
      </c>
      <c r="I99" s="8">
        <v>7500</v>
      </c>
      <c r="J99" s="8">
        <v>7500</v>
      </c>
      <c r="K99" s="8">
        <v>7500</v>
      </c>
      <c r="L99" s="8">
        <v>7500</v>
      </c>
      <c r="M99" s="8">
        <v>7500</v>
      </c>
      <c r="N99" s="8">
        <v>7500</v>
      </c>
      <c r="O99" s="8">
        <v>7500</v>
      </c>
      <c r="P99" s="8">
        <v>7500</v>
      </c>
      <c r="Q99" s="8">
        <v>7500</v>
      </c>
      <c r="R99" s="8">
        <v>7500</v>
      </c>
      <c r="S99" s="8">
        <v>7500</v>
      </c>
      <c r="T99" s="8">
        <v>7500</v>
      </c>
      <c r="U99" s="8">
        <v>7500</v>
      </c>
      <c r="V99" s="8">
        <v>7500</v>
      </c>
      <c r="W99" s="8">
        <v>7500</v>
      </c>
      <c r="X99" s="8">
        <v>7500</v>
      </c>
      <c r="Y99" s="8">
        <v>7500</v>
      </c>
      <c r="Z99" s="8">
        <v>7500</v>
      </c>
      <c r="AA99" s="8">
        <v>7500</v>
      </c>
      <c r="AB99" s="8">
        <v>7500</v>
      </c>
      <c r="AC99" s="6">
        <f t="shared" si="22"/>
        <v>180000</v>
      </c>
      <c r="AD99" s="77"/>
      <c r="AE99" s="75"/>
    </row>
    <row r="100" spans="1:31" ht="15.75" thickBot="1" x14ac:dyDescent="0.3">
      <c r="A100" s="14">
        <v>2028</v>
      </c>
      <c r="B100" s="15">
        <v>9</v>
      </c>
      <c r="C100" s="15">
        <v>5</v>
      </c>
      <c r="D100" s="15" t="s">
        <v>6</v>
      </c>
      <c r="E100" s="9">
        <v>7500</v>
      </c>
      <c r="F100" s="9">
        <v>7500</v>
      </c>
      <c r="G100" s="9">
        <v>7500</v>
      </c>
      <c r="H100" s="9">
        <v>7500</v>
      </c>
      <c r="I100" s="9">
        <v>7500</v>
      </c>
      <c r="J100" s="9">
        <v>7500</v>
      </c>
      <c r="K100" s="9">
        <v>7500</v>
      </c>
      <c r="L100" s="9">
        <v>7500</v>
      </c>
      <c r="M100" s="9">
        <v>7500</v>
      </c>
      <c r="N100" s="9">
        <v>7500</v>
      </c>
      <c r="O100" s="9">
        <v>7500</v>
      </c>
      <c r="P100" s="9">
        <v>7500</v>
      </c>
      <c r="Q100" s="9">
        <v>7500</v>
      </c>
      <c r="R100" s="9">
        <v>7500</v>
      </c>
      <c r="S100" s="9">
        <v>7500</v>
      </c>
      <c r="T100" s="9">
        <v>7500</v>
      </c>
      <c r="U100" s="9">
        <v>7500</v>
      </c>
      <c r="V100" s="9">
        <v>7500</v>
      </c>
      <c r="W100" s="9">
        <v>7500</v>
      </c>
      <c r="X100" s="9">
        <v>7500</v>
      </c>
      <c r="Y100" s="9">
        <v>7500</v>
      </c>
      <c r="Z100" s="9">
        <v>7500</v>
      </c>
      <c r="AA100" s="9">
        <v>7500</v>
      </c>
      <c r="AB100" s="9">
        <v>7500</v>
      </c>
      <c r="AC100" s="6">
        <f t="shared" si="22"/>
        <v>180000</v>
      </c>
      <c r="AD100" s="78"/>
      <c r="AE100" s="75"/>
    </row>
    <row r="101" spans="1:31" ht="15.75" thickBot="1" x14ac:dyDescent="0.3">
      <c r="A101" s="11">
        <v>2028</v>
      </c>
      <c r="B101" s="12">
        <v>10</v>
      </c>
      <c r="C101" s="12">
        <v>6</v>
      </c>
      <c r="D101" s="12" t="s">
        <v>5</v>
      </c>
      <c r="E101" s="7">
        <v>10000</v>
      </c>
      <c r="F101" s="7">
        <v>10000</v>
      </c>
      <c r="G101" s="7">
        <v>10000</v>
      </c>
      <c r="H101" s="7">
        <v>10000</v>
      </c>
      <c r="I101" s="7">
        <v>10000</v>
      </c>
      <c r="J101" s="7">
        <v>10000</v>
      </c>
      <c r="K101" s="7">
        <v>10000</v>
      </c>
      <c r="L101" s="7">
        <v>10000</v>
      </c>
      <c r="M101" s="7">
        <v>10000</v>
      </c>
      <c r="N101" s="7">
        <v>10000</v>
      </c>
      <c r="O101" s="7">
        <v>10000</v>
      </c>
      <c r="P101" s="7">
        <v>10000</v>
      </c>
      <c r="Q101" s="7">
        <v>10000</v>
      </c>
      <c r="R101" s="7">
        <v>10000</v>
      </c>
      <c r="S101" s="7">
        <v>10000</v>
      </c>
      <c r="T101" s="7">
        <v>10000</v>
      </c>
      <c r="U101" s="7">
        <v>10000</v>
      </c>
      <c r="V101" s="7">
        <v>10000</v>
      </c>
      <c r="W101" s="7">
        <v>10000</v>
      </c>
      <c r="X101" s="7">
        <v>10000</v>
      </c>
      <c r="Y101" s="7">
        <v>10000</v>
      </c>
      <c r="Z101" s="7">
        <v>10000</v>
      </c>
      <c r="AA101" s="7">
        <v>10000</v>
      </c>
      <c r="AB101" s="7">
        <v>10000</v>
      </c>
      <c r="AC101" s="6">
        <f t="shared" si="22"/>
        <v>240000</v>
      </c>
      <c r="AD101" s="76">
        <f t="shared" ref="AD101" si="34">+SUMPRODUCT(AC101:AC103,C101:C103)</f>
        <v>7440000</v>
      </c>
      <c r="AE101" s="75"/>
    </row>
    <row r="102" spans="1:31" ht="15.75" thickBot="1" x14ac:dyDescent="0.3">
      <c r="A102" s="13">
        <v>2028</v>
      </c>
      <c r="B102" s="1">
        <v>10</v>
      </c>
      <c r="C102" s="1">
        <v>21</v>
      </c>
      <c r="D102" s="1" t="s">
        <v>31</v>
      </c>
      <c r="E102" s="8">
        <v>10000</v>
      </c>
      <c r="F102" s="8">
        <v>10000</v>
      </c>
      <c r="G102" s="8">
        <v>10000</v>
      </c>
      <c r="H102" s="8">
        <v>10000</v>
      </c>
      <c r="I102" s="8">
        <v>10000</v>
      </c>
      <c r="J102" s="8">
        <v>10000</v>
      </c>
      <c r="K102" s="8">
        <v>10000</v>
      </c>
      <c r="L102" s="8">
        <v>10000</v>
      </c>
      <c r="M102" s="8">
        <v>10000</v>
      </c>
      <c r="N102" s="8">
        <v>10000</v>
      </c>
      <c r="O102" s="8">
        <v>10000</v>
      </c>
      <c r="P102" s="8">
        <v>10000</v>
      </c>
      <c r="Q102" s="8">
        <v>10000</v>
      </c>
      <c r="R102" s="8">
        <v>10000</v>
      </c>
      <c r="S102" s="8">
        <v>10000</v>
      </c>
      <c r="T102" s="8">
        <v>10000</v>
      </c>
      <c r="U102" s="8">
        <v>10000</v>
      </c>
      <c r="V102" s="8">
        <v>10000</v>
      </c>
      <c r="W102" s="8">
        <v>10000</v>
      </c>
      <c r="X102" s="8">
        <v>10000</v>
      </c>
      <c r="Y102" s="8">
        <v>10000</v>
      </c>
      <c r="Z102" s="8">
        <v>10000</v>
      </c>
      <c r="AA102" s="8">
        <v>10000</v>
      </c>
      <c r="AB102" s="8">
        <v>10000</v>
      </c>
      <c r="AC102" s="6">
        <f t="shared" si="22"/>
        <v>240000</v>
      </c>
      <c r="AD102" s="77"/>
      <c r="AE102" s="75"/>
    </row>
    <row r="103" spans="1:31" ht="15.75" thickBot="1" x14ac:dyDescent="0.3">
      <c r="A103" s="14">
        <v>2028</v>
      </c>
      <c r="B103" s="15">
        <v>10</v>
      </c>
      <c r="C103" s="15">
        <v>4</v>
      </c>
      <c r="D103" s="15" t="s">
        <v>6</v>
      </c>
      <c r="E103" s="9">
        <v>10000</v>
      </c>
      <c r="F103" s="9">
        <v>10000</v>
      </c>
      <c r="G103" s="9">
        <v>10000</v>
      </c>
      <c r="H103" s="9">
        <v>10000</v>
      </c>
      <c r="I103" s="9">
        <v>10000</v>
      </c>
      <c r="J103" s="9">
        <v>10000</v>
      </c>
      <c r="K103" s="9">
        <v>10000</v>
      </c>
      <c r="L103" s="9">
        <v>10000</v>
      </c>
      <c r="M103" s="9">
        <v>10000</v>
      </c>
      <c r="N103" s="9">
        <v>10000</v>
      </c>
      <c r="O103" s="9">
        <v>10000</v>
      </c>
      <c r="P103" s="9">
        <v>10000</v>
      </c>
      <c r="Q103" s="9">
        <v>10000</v>
      </c>
      <c r="R103" s="9">
        <v>10000</v>
      </c>
      <c r="S103" s="9">
        <v>10000</v>
      </c>
      <c r="T103" s="9">
        <v>10000</v>
      </c>
      <c r="U103" s="9">
        <v>10000</v>
      </c>
      <c r="V103" s="9">
        <v>10000</v>
      </c>
      <c r="W103" s="9">
        <v>10000</v>
      </c>
      <c r="X103" s="9">
        <v>10000</v>
      </c>
      <c r="Y103" s="9">
        <v>10000</v>
      </c>
      <c r="Z103" s="9">
        <v>10000</v>
      </c>
      <c r="AA103" s="9">
        <v>10000</v>
      </c>
      <c r="AB103" s="9">
        <v>10000</v>
      </c>
      <c r="AC103" s="6">
        <f t="shared" si="22"/>
        <v>240000</v>
      </c>
      <c r="AD103" s="78"/>
      <c r="AE103" s="75"/>
    </row>
    <row r="104" spans="1:31" ht="15.75" thickBot="1" x14ac:dyDescent="0.3">
      <c r="A104" s="11">
        <v>2028</v>
      </c>
      <c r="B104" s="12">
        <v>11</v>
      </c>
      <c r="C104" s="12">
        <v>6</v>
      </c>
      <c r="D104" s="12" t="s">
        <v>5</v>
      </c>
      <c r="E104" s="7">
        <v>7500</v>
      </c>
      <c r="F104" s="7">
        <v>7500</v>
      </c>
      <c r="G104" s="7">
        <v>7500</v>
      </c>
      <c r="H104" s="7">
        <v>7500</v>
      </c>
      <c r="I104" s="7">
        <v>7500</v>
      </c>
      <c r="J104" s="7">
        <v>7500</v>
      </c>
      <c r="K104" s="7">
        <v>7500</v>
      </c>
      <c r="L104" s="7">
        <v>7500</v>
      </c>
      <c r="M104" s="7">
        <v>7500</v>
      </c>
      <c r="N104" s="7">
        <v>7500</v>
      </c>
      <c r="O104" s="7">
        <v>7500</v>
      </c>
      <c r="P104" s="7">
        <v>7500</v>
      </c>
      <c r="Q104" s="7">
        <v>7500</v>
      </c>
      <c r="R104" s="7">
        <v>7500</v>
      </c>
      <c r="S104" s="7">
        <v>7500</v>
      </c>
      <c r="T104" s="7">
        <v>7500</v>
      </c>
      <c r="U104" s="7">
        <v>7500</v>
      </c>
      <c r="V104" s="7">
        <v>7500</v>
      </c>
      <c r="W104" s="7">
        <v>7500</v>
      </c>
      <c r="X104" s="7">
        <v>7500</v>
      </c>
      <c r="Y104" s="7">
        <v>7500</v>
      </c>
      <c r="Z104" s="7">
        <v>7500</v>
      </c>
      <c r="AA104" s="7">
        <v>7500</v>
      </c>
      <c r="AB104" s="7">
        <v>7500</v>
      </c>
      <c r="AC104" s="6">
        <f t="shared" si="22"/>
        <v>180000</v>
      </c>
      <c r="AD104" s="76">
        <f t="shared" ref="AD104" si="35">+SUMPRODUCT(AC104:AC106,C104:C106)</f>
        <v>5400000</v>
      </c>
      <c r="AE104" s="75"/>
    </row>
    <row r="105" spans="1:31" ht="15.75" thickBot="1" x14ac:dyDescent="0.3">
      <c r="A105" s="13">
        <v>2028</v>
      </c>
      <c r="B105" s="1">
        <v>11</v>
      </c>
      <c r="C105" s="1">
        <v>20</v>
      </c>
      <c r="D105" s="1" t="s">
        <v>31</v>
      </c>
      <c r="E105" s="8">
        <v>7500</v>
      </c>
      <c r="F105" s="8">
        <v>7500</v>
      </c>
      <c r="G105" s="8">
        <v>7500</v>
      </c>
      <c r="H105" s="8">
        <v>7500</v>
      </c>
      <c r="I105" s="8">
        <v>7500</v>
      </c>
      <c r="J105" s="8">
        <v>7500</v>
      </c>
      <c r="K105" s="8">
        <v>7500</v>
      </c>
      <c r="L105" s="8">
        <v>7500</v>
      </c>
      <c r="M105" s="8">
        <v>7500</v>
      </c>
      <c r="N105" s="8">
        <v>7500</v>
      </c>
      <c r="O105" s="8">
        <v>7500</v>
      </c>
      <c r="P105" s="8">
        <v>7500</v>
      </c>
      <c r="Q105" s="8">
        <v>7500</v>
      </c>
      <c r="R105" s="8">
        <v>7500</v>
      </c>
      <c r="S105" s="8">
        <v>7500</v>
      </c>
      <c r="T105" s="8">
        <v>7500</v>
      </c>
      <c r="U105" s="8">
        <v>7500</v>
      </c>
      <c r="V105" s="8">
        <v>7500</v>
      </c>
      <c r="W105" s="8">
        <v>7500</v>
      </c>
      <c r="X105" s="8">
        <v>7500</v>
      </c>
      <c r="Y105" s="8">
        <v>7500</v>
      </c>
      <c r="Z105" s="8">
        <v>7500</v>
      </c>
      <c r="AA105" s="8">
        <v>7500</v>
      </c>
      <c r="AB105" s="8">
        <v>7500</v>
      </c>
      <c r="AC105" s="6">
        <f t="shared" si="22"/>
        <v>180000</v>
      </c>
      <c r="AD105" s="77"/>
      <c r="AE105" s="75"/>
    </row>
    <row r="106" spans="1:31" ht="15.75" thickBot="1" x14ac:dyDescent="0.3">
      <c r="A106" s="14">
        <v>2028</v>
      </c>
      <c r="B106" s="15">
        <v>11</v>
      </c>
      <c r="C106" s="15">
        <v>4</v>
      </c>
      <c r="D106" s="15" t="s">
        <v>6</v>
      </c>
      <c r="E106" s="9">
        <v>7500</v>
      </c>
      <c r="F106" s="9">
        <v>7500</v>
      </c>
      <c r="G106" s="9">
        <v>7500</v>
      </c>
      <c r="H106" s="9">
        <v>7500</v>
      </c>
      <c r="I106" s="9">
        <v>7500</v>
      </c>
      <c r="J106" s="9">
        <v>7500</v>
      </c>
      <c r="K106" s="9">
        <v>7500</v>
      </c>
      <c r="L106" s="9">
        <v>7500</v>
      </c>
      <c r="M106" s="9">
        <v>7500</v>
      </c>
      <c r="N106" s="9">
        <v>7500</v>
      </c>
      <c r="O106" s="9">
        <v>7500</v>
      </c>
      <c r="P106" s="9">
        <v>7500</v>
      </c>
      <c r="Q106" s="9">
        <v>7500</v>
      </c>
      <c r="R106" s="9">
        <v>7500</v>
      </c>
      <c r="S106" s="9">
        <v>7500</v>
      </c>
      <c r="T106" s="9">
        <v>7500</v>
      </c>
      <c r="U106" s="9">
        <v>7500</v>
      </c>
      <c r="V106" s="9">
        <v>7500</v>
      </c>
      <c r="W106" s="9">
        <v>7500</v>
      </c>
      <c r="X106" s="9">
        <v>7500</v>
      </c>
      <c r="Y106" s="9">
        <v>7500</v>
      </c>
      <c r="Z106" s="9">
        <v>7500</v>
      </c>
      <c r="AA106" s="9">
        <v>7500</v>
      </c>
      <c r="AB106" s="9">
        <v>7500</v>
      </c>
      <c r="AC106" s="6">
        <f t="shared" si="22"/>
        <v>180000</v>
      </c>
      <c r="AD106" s="78"/>
      <c r="AE106" s="75"/>
    </row>
    <row r="107" spans="1:31" ht="15.75" thickBot="1" x14ac:dyDescent="0.3">
      <c r="A107" s="11">
        <v>2028</v>
      </c>
      <c r="B107" s="12">
        <v>12</v>
      </c>
      <c r="C107" s="12">
        <v>7</v>
      </c>
      <c r="D107" s="12" t="s">
        <v>5</v>
      </c>
      <c r="E107" s="7">
        <v>10000</v>
      </c>
      <c r="F107" s="7">
        <v>10000</v>
      </c>
      <c r="G107" s="7">
        <v>10000</v>
      </c>
      <c r="H107" s="7">
        <v>10000</v>
      </c>
      <c r="I107" s="7">
        <v>10000</v>
      </c>
      <c r="J107" s="7">
        <v>10000</v>
      </c>
      <c r="K107" s="7">
        <v>10000</v>
      </c>
      <c r="L107" s="7">
        <v>10000</v>
      </c>
      <c r="M107" s="7">
        <v>10000</v>
      </c>
      <c r="N107" s="7">
        <v>10000</v>
      </c>
      <c r="O107" s="7">
        <v>10000</v>
      </c>
      <c r="P107" s="7">
        <v>10000</v>
      </c>
      <c r="Q107" s="7">
        <v>10000</v>
      </c>
      <c r="R107" s="7">
        <v>10000</v>
      </c>
      <c r="S107" s="7">
        <v>10000</v>
      </c>
      <c r="T107" s="7">
        <v>10000</v>
      </c>
      <c r="U107" s="7">
        <v>10000</v>
      </c>
      <c r="V107" s="7">
        <v>10000</v>
      </c>
      <c r="W107" s="7">
        <v>10000</v>
      </c>
      <c r="X107" s="7">
        <v>10000</v>
      </c>
      <c r="Y107" s="7">
        <v>10000</v>
      </c>
      <c r="Z107" s="7">
        <v>10000</v>
      </c>
      <c r="AA107" s="7">
        <v>10000</v>
      </c>
      <c r="AB107" s="7">
        <v>10000</v>
      </c>
      <c r="AC107" s="6">
        <f t="shared" si="22"/>
        <v>240000</v>
      </c>
      <c r="AD107" s="76">
        <f t="shared" ref="AD107" si="36">+SUMPRODUCT(AC107:AC109,C107:C109)</f>
        <v>7440000</v>
      </c>
      <c r="AE107" s="75"/>
    </row>
    <row r="108" spans="1:31" ht="15.75" thickBot="1" x14ac:dyDescent="0.3">
      <c r="A108" s="13">
        <v>2028</v>
      </c>
      <c r="B108" s="1">
        <v>12</v>
      </c>
      <c r="C108" s="1">
        <v>19</v>
      </c>
      <c r="D108" s="1" t="s">
        <v>31</v>
      </c>
      <c r="E108" s="8">
        <v>10000</v>
      </c>
      <c r="F108" s="8">
        <v>10000</v>
      </c>
      <c r="G108" s="8">
        <v>10000</v>
      </c>
      <c r="H108" s="8">
        <v>10000</v>
      </c>
      <c r="I108" s="8">
        <v>10000</v>
      </c>
      <c r="J108" s="8">
        <v>10000</v>
      </c>
      <c r="K108" s="8">
        <v>10000</v>
      </c>
      <c r="L108" s="8">
        <v>10000</v>
      </c>
      <c r="M108" s="8">
        <v>10000</v>
      </c>
      <c r="N108" s="8">
        <v>10000</v>
      </c>
      <c r="O108" s="8">
        <v>10000</v>
      </c>
      <c r="P108" s="8">
        <v>10000</v>
      </c>
      <c r="Q108" s="8">
        <v>10000</v>
      </c>
      <c r="R108" s="8">
        <v>10000</v>
      </c>
      <c r="S108" s="8">
        <v>10000</v>
      </c>
      <c r="T108" s="8">
        <v>10000</v>
      </c>
      <c r="U108" s="8">
        <v>10000</v>
      </c>
      <c r="V108" s="8">
        <v>10000</v>
      </c>
      <c r="W108" s="8">
        <v>10000</v>
      </c>
      <c r="X108" s="8">
        <v>10000</v>
      </c>
      <c r="Y108" s="8">
        <v>10000</v>
      </c>
      <c r="Z108" s="8">
        <v>10000</v>
      </c>
      <c r="AA108" s="8">
        <v>10000</v>
      </c>
      <c r="AB108" s="8">
        <v>10000</v>
      </c>
      <c r="AC108" s="6">
        <f t="shared" si="22"/>
        <v>240000</v>
      </c>
      <c r="AD108" s="77"/>
      <c r="AE108" s="75"/>
    </row>
    <row r="109" spans="1:31" ht="15.75" thickBot="1" x14ac:dyDescent="0.3">
      <c r="A109" s="14">
        <v>2028</v>
      </c>
      <c r="B109" s="15">
        <v>12</v>
      </c>
      <c r="C109" s="15">
        <v>5</v>
      </c>
      <c r="D109" s="15" t="s">
        <v>6</v>
      </c>
      <c r="E109" s="9">
        <v>10000</v>
      </c>
      <c r="F109" s="9">
        <v>10000</v>
      </c>
      <c r="G109" s="9">
        <v>10000</v>
      </c>
      <c r="H109" s="9">
        <v>10000</v>
      </c>
      <c r="I109" s="9">
        <v>10000</v>
      </c>
      <c r="J109" s="9">
        <v>10000</v>
      </c>
      <c r="K109" s="9">
        <v>10000</v>
      </c>
      <c r="L109" s="9">
        <v>10000</v>
      </c>
      <c r="M109" s="9">
        <v>10000</v>
      </c>
      <c r="N109" s="9">
        <v>10000</v>
      </c>
      <c r="O109" s="9">
        <v>10000</v>
      </c>
      <c r="P109" s="9">
        <v>10000</v>
      </c>
      <c r="Q109" s="9">
        <v>10000</v>
      </c>
      <c r="R109" s="9">
        <v>10000</v>
      </c>
      <c r="S109" s="9">
        <v>10000</v>
      </c>
      <c r="T109" s="9">
        <v>10000</v>
      </c>
      <c r="U109" s="9">
        <v>10000</v>
      </c>
      <c r="V109" s="9">
        <v>10000</v>
      </c>
      <c r="W109" s="9">
        <v>10000</v>
      </c>
      <c r="X109" s="9">
        <v>10000</v>
      </c>
      <c r="Y109" s="9">
        <v>10000</v>
      </c>
      <c r="Z109" s="9">
        <v>10000</v>
      </c>
      <c r="AA109" s="9">
        <v>10000</v>
      </c>
      <c r="AB109" s="9">
        <v>10000</v>
      </c>
      <c r="AC109" s="6">
        <f t="shared" si="22"/>
        <v>240000</v>
      </c>
      <c r="AD109" s="78"/>
      <c r="AE109" s="75"/>
    </row>
    <row r="110" spans="1:31" x14ac:dyDescent="0.25">
      <c r="AD110" s="16"/>
      <c r="AE110" s="16"/>
    </row>
  </sheetData>
  <mergeCells count="39">
    <mergeCell ref="AD101:AD103"/>
    <mergeCell ref="AD104:AD106"/>
    <mergeCell ref="AD107:AD109"/>
    <mergeCell ref="AD83:AD85"/>
    <mergeCell ref="AD86:AD88"/>
    <mergeCell ref="AD89:AD91"/>
    <mergeCell ref="AD92:AD94"/>
    <mergeCell ref="AD95:AD97"/>
    <mergeCell ref="AD71:AD73"/>
    <mergeCell ref="AD74:AD76"/>
    <mergeCell ref="AD77:AD79"/>
    <mergeCell ref="AD80:AD82"/>
    <mergeCell ref="AD98:AD100"/>
    <mergeCell ref="AD56:AD58"/>
    <mergeCell ref="AD59:AD61"/>
    <mergeCell ref="AD62:AD64"/>
    <mergeCell ref="AD65:AD67"/>
    <mergeCell ref="AD68:AD70"/>
    <mergeCell ref="AD41:AD43"/>
    <mergeCell ref="AD44:AD46"/>
    <mergeCell ref="AD47:AD49"/>
    <mergeCell ref="AD50:AD52"/>
    <mergeCell ref="AD53:AD55"/>
    <mergeCell ref="AE2:AE37"/>
    <mergeCell ref="AE38:AE73"/>
    <mergeCell ref="AE74:AE109"/>
    <mergeCell ref="AD2:AD4"/>
    <mergeCell ref="AD5:AD7"/>
    <mergeCell ref="AD8:AD10"/>
    <mergeCell ref="AD11:AD13"/>
    <mergeCell ref="AD35:AD37"/>
    <mergeCell ref="AD32:AD34"/>
    <mergeCell ref="AD14:AD16"/>
    <mergeCell ref="AD17:AD19"/>
    <mergeCell ref="AD20:AD22"/>
    <mergeCell ref="AD23:AD25"/>
    <mergeCell ref="AD26:AD28"/>
    <mergeCell ref="AD29:AD31"/>
    <mergeCell ref="AD38:AD4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5C95-722A-4231-870D-057F8F250492}">
  <dimension ref="A5:M70"/>
  <sheetViews>
    <sheetView tabSelected="1" zoomScale="85" zoomScaleNormal="85" workbookViewId="0">
      <selection activeCell="A54" sqref="A54:XFD54"/>
    </sheetView>
  </sheetViews>
  <sheetFormatPr baseColWidth="10" defaultColWidth="11.42578125" defaultRowHeight="15.75" x14ac:dyDescent="0.25"/>
  <cols>
    <col min="1" max="1" width="32.42578125" style="21" customWidth="1"/>
    <col min="2" max="3" width="25.28515625" style="19" customWidth="1"/>
    <col min="4" max="4" width="23" style="20" customWidth="1"/>
    <col min="5" max="6" width="23" style="19" customWidth="1"/>
    <col min="7" max="7" width="26.85546875" style="18" customWidth="1"/>
    <col min="8" max="8" width="11.42578125" style="17"/>
    <col min="9" max="9" width="12" style="17" customWidth="1"/>
    <col min="10" max="10" width="11.42578125" style="17"/>
    <col min="11" max="11" width="25" style="17" customWidth="1"/>
    <col min="12" max="12" width="18.85546875" style="17" customWidth="1"/>
    <col min="13" max="13" width="9.28515625" style="17" customWidth="1"/>
    <col min="14" max="14" width="22.7109375" style="17" customWidth="1"/>
    <col min="15" max="16384" width="11.42578125" style="17"/>
  </cols>
  <sheetData>
    <row r="5" spans="1:13" x14ac:dyDescent="0.25">
      <c r="A5" s="70" t="s">
        <v>57</v>
      </c>
      <c r="B5" s="70"/>
      <c r="C5" s="70"/>
      <c r="D5" s="70"/>
      <c r="E5" s="70"/>
      <c r="F5" s="70"/>
      <c r="G5" s="70"/>
    </row>
    <row r="6" spans="1:13" x14ac:dyDescent="0.25">
      <c r="A6" s="70"/>
      <c r="B6" s="70"/>
      <c r="C6" s="70"/>
      <c r="D6" s="70"/>
      <c r="E6" s="70"/>
      <c r="F6" s="70"/>
      <c r="G6" s="70"/>
    </row>
    <row r="7" spans="1:13" ht="16.5" thickBot="1" x14ac:dyDescent="0.3">
      <c r="A7" s="54"/>
      <c r="B7" s="53"/>
      <c r="C7" s="53"/>
    </row>
    <row r="8" spans="1:13" ht="16.5" thickBot="1" x14ac:dyDescent="0.3">
      <c r="A8" s="52" t="s">
        <v>45</v>
      </c>
      <c r="B8" s="71"/>
      <c r="C8" s="72"/>
      <c r="D8" s="72"/>
      <c r="E8" s="72"/>
      <c r="F8" s="72"/>
      <c r="G8" s="73"/>
    </row>
    <row r="9" spans="1:13" ht="25.5" customHeight="1" thickBot="1" x14ac:dyDescent="0.3">
      <c r="A9" s="51"/>
      <c r="B9" s="50"/>
      <c r="C9" s="50"/>
      <c r="D9" s="49"/>
      <c r="E9" s="48"/>
      <c r="F9" s="48"/>
      <c r="G9" s="47"/>
    </row>
    <row r="10" spans="1:13" ht="60.75" thickBot="1" x14ac:dyDescent="0.3">
      <c r="A10" s="44" t="s">
        <v>44</v>
      </c>
      <c r="B10" s="46" t="s">
        <v>43</v>
      </c>
      <c r="C10" s="44" t="s">
        <v>42</v>
      </c>
      <c r="D10" s="45" t="s">
        <v>41</v>
      </c>
      <c r="E10" s="44" t="s">
        <v>40</v>
      </c>
      <c r="F10" s="44" t="s">
        <v>39</v>
      </c>
      <c r="G10" s="44" t="s">
        <v>38</v>
      </c>
    </row>
    <row r="11" spans="1:13" ht="16.5" thickBot="1" x14ac:dyDescent="0.3">
      <c r="A11" s="40">
        <v>46023</v>
      </c>
      <c r="B11" s="39">
        <f>+'Producto No. 2 (Curva)'!AD2</f>
        <v>3731047</v>
      </c>
      <c r="C11" s="68">
        <f>SUM(B11:B22)</f>
        <v>63783813</v>
      </c>
      <c r="D11" s="43">
        <v>0</v>
      </c>
      <c r="E11" s="38">
        <f t="shared" ref="E11:E46" si="0">+B11*D11</f>
        <v>0</v>
      </c>
      <c r="F11" s="68">
        <f>SUM(E11:E22)</f>
        <v>0</v>
      </c>
      <c r="G11" s="43"/>
      <c r="K11" s="42"/>
      <c r="M11" s="41"/>
    </row>
    <row r="12" spans="1:13" ht="16.5" thickBot="1" x14ac:dyDescent="0.3">
      <c r="A12" s="40">
        <v>46054</v>
      </c>
      <c r="B12" s="39">
        <f>+'Producto No. 2 (Curva)'!AD5</f>
        <v>3372840</v>
      </c>
      <c r="C12" s="69"/>
      <c r="D12" s="37">
        <v>0</v>
      </c>
      <c r="E12" s="38">
        <f t="shared" si="0"/>
        <v>0</v>
      </c>
      <c r="F12" s="69"/>
      <c r="G12" s="37"/>
      <c r="K12" s="42"/>
      <c r="M12" s="41"/>
    </row>
    <row r="13" spans="1:13" ht="16.5" thickBot="1" x14ac:dyDescent="0.3">
      <c r="A13" s="40">
        <v>46082</v>
      </c>
      <c r="B13" s="39">
        <f>+'Producto No. 2 (Curva)'!AD8</f>
        <v>4477313</v>
      </c>
      <c r="C13" s="69"/>
      <c r="D13" s="37">
        <v>0</v>
      </c>
      <c r="E13" s="38">
        <v>0</v>
      </c>
      <c r="F13" s="69"/>
      <c r="G13" s="37"/>
      <c r="K13" s="42"/>
      <c r="M13" s="41"/>
    </row>
    <row r="14" spans="1:13" ht="16.5" thickBot="1" x14ac:dyDescent="0.3">
      <c r="A14" s="40">
        <v>46113</v>
      </c>
      <c r="B14" s="39">
        <f>+'Producto No. 2 (Curva)'!AD11</f>
        <v>7876062</v>
      </c>
      <c r="C14" s="69"/>
      <c r="D14" s="37">
        <v>0</v>
      </c>
      <c r="E14" s="38">
        <f t="shared" si="0"/>
        <v>0</v>
      </c>
      <c r="F14" s="69"/>
      <c r="G14" s="37"/>
      <c r="K14" s="42"/>
      <c r="M14" s="41"/>
    </row>
    <row r="15" spans="1:13" ht="16.5" thickBot="1" x14ac:dyDescent="0.3">
      <c r="A15" s="40">
        <v>46143</v>
      </c>
      <c r="B15" s="39">
        <f>+'Producto No. 2 (Curva)'!AD14</f>
        <v>6714696</v>
      </c>
      <c r="C15" s="69"/>
      <c r="D15" s="37">
        <v>0</v>
      </c>
      <c r="E15" s="38">
        <f t="shared" si="0"/>
        <v>0</v>
      </c>
      <c r="F15" s="69"/>
      <c r="G15" s="37"/>
      <c r="K15" s="42"/>
      <c r="M15" s="41"/>
    </row>
    <row r="16" spans="1:13" ht="16.5" thickBot="1" x14ac:dyDescent="0.3">
      <c r="A16" s="40">
        <v>46174</v>
      </c>
      <c r="B16" s="39">
        <f>+'Producto No. 2 (Curva)'!AD17</f>
        <v>9456276</v>
      </c>
      <c r="C16" s="69"/>
      <c r="D16" s="37">
        <v>0</v>
      </c>
      <c r="E16" s="38">
        <f t="shared" si="0"/>
        <v>0</v>
      </c>
      <c r="F16" s="69"/>
      <c r="G16" s="37"/>
      <c r="K16" s="42"/>
      <c r="M16" s="41"/>
    </row>
    <row r="17" spans="1:13" ht="16.5" thickBot="1" x14ac:dyDescent="0.3">
      <c r="A17" s="40">
        <v>46204</v>
      </c>
      <c r="B17" s="39">
        <f>+'Producto No. 2 (Curva)'!AD20</f>
        <v>4460345</v>
      </c>
      <c r="C17" s="69"/>
      <c r="D17" s="37">
        <v>0</v>
      </c>
      <c r="E17" s="38">
        <f t="shared" si="0"/>
        <v>0</v>
      </c>
      <c r="F17" s="69"/>
      <c r="G17" s="37"/>
      <c r="K17" s="42"/>
      <c r="M17" s="41"/>
    </row>
    <row r="18" spans="1:13" ht="16.5" thickBot="1" x14ac:dyDescent="0.3">
      <c r="A18" s="40">
        <v>46235</v>
      </c>
      <c r="B18" s="39">
        <f>+'Producto No. 2 (Curva)'!AD23</f>
        <v>6255842</v>
      </c>
      <c r="C18" s="69"/>
      <c r="D18" s="37">
        <v>0</v>
      </c>
      <c r="E18" s="38">
        <f t="shared" si="0"/>
        <v>0</v>
      </c>
      <c r="F18" s="69"/>
      <c r="G18" s="37"/>
      <c r="M18" s="41"/>
    </row>
    <row r="19" spans="1:13" ht="16.5" thickBot="1" x14ac:dyDescent="0.3">
      <c r="A19" s="40">
        <v>46266</v>
      </c>
      <c r="B19" s="39">
        <f>+'Producto No. 2 (Curva)'!AD26</f>
        <v>2553138</v>
      </c>
      <c r="C19" s="69"/>
      <c r="D19" s="37">
        <v>0</v>
      </c>
      <c r="E19" s="38">
        <f t="shared" si="0"/>
        <v>0</v>
      </c>
      <c r="F19" s="69"/>
      <c r="G19" s="37"/>
      <c r="M19" s="41"/>
    </row>
    <row r="20" spans="1:13" ht="16.5" thickBot="1" x14ac:dyDescent="0.3">
      <c r="A20" s="40">
        <v>46296</v>
      </c>
      <c r="B20" s="39">
        <f>+'Producto No. 2 (Curva)'!AD29</f>
        <v>2398451</v>
      </c>
      <c r="C20" s="69"/>
      <c r="D20" s="37">
        <v>0</v>
      </c>
      <c r="E20" s="38">
        <f t="shared" si="0"/>
        <v>0</v>
      </c>
      <c r="F20" s="69"/>
      <c r="G20" s="37"/>
    </row>
    <row r="21" spans="1:13" ht="16.5" thickBot="1" x14ac:dyDescent="0.3">
      <c r="A21" s="40">
        <v>46327</v>
      </c>
      <c r="B21" s="39">
        <f>+'Producto No. 2 (Curva)'!AD32</f>
        <v>2758031</v>
      </c>
      <c r="C21" s="69"/>
      <c r="D21" s="37">
        <v>0</v>
      </c>
      <c r="E21" s="38">
        <f t="shared" si="0"/>
        <v>0</v>
      </c>
      <c r="F21" s="69"/>
      <c r="G21" s="37"/>
    </row>
    <row r="22" spans="1:13" ht="16.5" thickBot="1" x14ac:dyDescent="0.3">
      <c r="A22" s="40">
        <v>46357</v>
      </c>
      <c r="B22" s="39">
        <f>+'Producto No. 2 (Curva)'!AD35</f>
        <v>9729772</v>
      </c>
      <c r="C22" s="69"/>
      <c r="D22" s="79">
        <v>0</v>
      </c>
      <c r="E22" s="38">
        <f t="shared" si="0"/>
        <v>0</v>
      </c>
      <c r="F22" s="69"/>
      <c r="G22" s="37"/>
    </row>
    <row r="23" spans="1:13" ht="16.5" thickBot="1" x14ac:dyDescent="0.3">
      <c r="A23" s="40">
        <v>46388</v>
      </c>
      <c r="B23" s="39">
        <f>+'Producto No. 2 (Curva)'!AD38</f>
        <v>3913842</v>
      </c>
      <c r="C23" s="68">
        <f>SUM(B23:B34)</f>
        <v>67871522</v>
      </c>
      <c r="D23" s="79">
        <v>0</v>
      </c>
      <c r="E23" s="38">
        <f t="shared" si="0"/>
        <v>0</v>
      </c>
      <c r="F23" s="68">
        <f>SUM(E23:E34)</f>
        <v>0</v>
      </c>
      <c r="G23" s="37"/>
    </row>
    <row r="24" spans="1:13" ht="16.5" thickBot="1" x14ac:dyDescent="0.3">
      <c r="A24" s="40">
        <v>46419</v>
      </c>
      <c r="B24" s="39">
        <f>+'Producto No. 2 (Curva)'!AD41</f>
        <v>3319492</v>
      </c>
      <c r="C24" s="69"/>
      <c r="D24" s="79">
        <v>0</v>
      </c>
      <c r="E24" s="38">
        <f t="shared" si="0"/>
        <v>0</v>
      </c>
      <c r="F24" s="69"/>
      <c r="G24" s="37"/>
    </row>
    <row r="25" spans="1:13" ht="16.5" thickBot="1" x14ac:dyDescent="0.3">
      <c r="A25" s="40">
        <v>46447</v>
      </c>
      <c r="B25" s="39">
        <f>+'Producto No. 2 (Curva)'!AD44</f>
        <v>10019614</v>
      </c>
      <c r="C25" s="69"/>
      <c r="D25" s="79">
        <v>0</v>
      </c>
      <c r="E25" s="38">
        <f t="shared" si="0"/>
        <v>0</v>
      </c>
      <c r="F25" s="69"/>
      <c r="G25" s="37"/>
    </row>
    <row r="26" spans="1:13" ht="16.5" thickBot="1" x14ac:dyDescent="0.3">
      <c r="A26" s="40">
        <v>46478</v>
      </c>
      <c r="B26" s="39">
        <f>+'Producto No. 2 (Curva)'!AD47</f>
        <v>4096284</v>
      </c>
      <c r="C26" s="69"/>
      <c r="D26" s="79">
        <v>0</v>
      </c>
      <c r="E26" s="38">
        <f t="shared" si="0"/>
        <v>0</v>
      </c>
      <c r="F26" s="69"/>
      <c r="G26" s="37"/>
    </row>
    <row r="27" spans="1:13" ht="16.5" thickBot="1" x14ac:dyDescent="0.3">
      <c r="A27" s="40">
        <v>46508</v>
      </c>
      <c r="B27" s="39">
        <f>+'Producto No. 2 (Curva)'!AD50</f>
        <v>9564657</v>
      </c>
      <c r="C27" s="69"/>
      <c r="D27" s="79">
        <v>0</v>
      </c>
      <c r="E27" s="38">
        <f t="shared" si="0"/>
        <v>0</v>
      </c>
      <c r="F27" s="69"/>
      <c r="G27" s="37"/>
    </row>
    <row r="28" spans="1:13" ht="16.5" thickBot="1" x14ac:dyDescent="0.3">
      <c r="A28" s="40">
        <v>46539</v>
      </c>
      <c r="B28" s="39">
        <f>+'Producto No. 2 (Curva)'!AD53</f>
        <v>4633932</v>
      </c>
      <c r="C28" s="69"/>
      <c r="D28" s="79">
        <v>0</v>
      </c>
      <c r="E28" s="38">
        <f t="shared" si="0"/>
        <v>0</v>
      </c>
      <c r="F28" s="69"/>
      <c r="G28" s="37"/>
    </row>
    <row r="29" spans="1:13" ht="16.5" thickBot="1" x14ac:dyDescent="0.3">
      <c r="A29" s="40">
        <v>46569</v>
      </c>
      <c r="B29" s="39">
        <f>+'Producto No. 2 (Curva)'!AD56</f>
        <v>7973639</v>
      </c>
      <c r="C29" s="69"/>
      <c r="D29" s="79">
        <v>0</v>
      </c>
      <c r="E29" s="38">
        <f t="shared" si="0"/>
        <v>0</v>
      </c>
      <c r="F29" s="69"/>
      <c r="G29" s="37"/>
    </row>
    <row r="30" spans="1:13" ht="16.5" thickBot="1" x14ac:dyDescent="0.3">
      <c r="A30" s="40">
        <v>46600</v>
      </c>
      <c r="B30" s="39">
        <f>+'Producto No. 2 (Curva)'!AD59</f>
        <v>6832722</v>
      </c>
      <c r="C30" s="69"/>
      <c r="D30" s="79">
        <v>0</v>
      </c>
      <c r="E30" s="38">
        <f t="shared" si="0"/>
        <v>0</v>
      </c>
      <c r="F30" s="69"/>
      <c r="G30" s="37"/>
    </row>
    <row r="31" spans="1:13" ht="16.5" thickBot="1" x14ac:dyDescent="0.3">
      <c r="A31" s="40">
        <v>46631</v>
      </c>
      <c r="B31" s="39">
        <f>+'Producto No. 2 (Curva)'!AD62</f>
        <v>2528108</v>
      </c>
      <c r="C31" s="69"/>
      <c r="D31" s="79">
        <v>0</v>
      </c>
      <c r="E31" s="38">
        <f t="shared" si="0"/>
        <v>0</v>
      </c>
      <c r="F31" s="69"/>
      <c r="G31" s="37"/>
    </row>
    <row r="32" spans="1:13" ht="16.5" thickBot="1" x14ac:dyDescent="0.3">
      <c r="A32" s="40">
        <v>46661</v>
      </c>
      <c r="B32" s="39">
        <f>+'Producto No. 2 (Curva)'!AD65</f>
        <v>2320125</v>
      </c>
      <c r="C32" s="69"/>
      <c r="D32" s="79">
        <v>0</v>
      </c>
      <c r="E32" s="38">
        <f t="shared" si="0"/>
        <v>0</v>
      </c>
      <c r="F32" s="69"/>
      <c r="G32" s="37"/>
    </row>
    <row r="33" spans="1:7" ht="16.5" thickBot="1" x14ac:dyDescent="0.3">
      <c r="A33" s="40">
        <v>46692</v>
      </c>
      <c r="B33" s="39">
        <f>+'Producto No. 2 (Curva)'!AD68</f>
        <v>2665816</v>
      </c>
      <c r="C33" s="69"/>
      <c r="D33" s="79">
        <v>0</v>
      </c>
      <c r="E33" s="38">
        <f t="shared" si="0"/>
        <v>0</v>
      </c>
      <c r="F33" s="69"/>
      <c r="G33" s="37"/>
    </row>
    <row r="34" spans="1:7" ht="16.5" thickBot="1" x14ac:dyDescent="0.3">
      <c r="A34" s="40">
        <v>46722</v>
      </c>
      <c r="B34" s="39">
        <f>+'Producto No. 2 (Curva)'!AD71</f>
        <v>10003291</v>
      </c>
      <c r="C34" s="69"/>
      <c r="D34" s="79">
        <v>0</v>
      </c>
      <c r="E34" s="38">
        <f t="shared" si="0"/>
        <v>0</v>
      </c>
      <c r="F34" s="69"/>
      <c r="G34" s="37"/>
    </row>
    <row r="35" spans="1:7" ht="16.5" thickBot="1" x14ac:dyDescent="0.3">
      <c r="A35" s="40">
        <v>46753</v>
      </c>
      <c r="B35" s="39">
        <f>+'Producto No. 2 (Curva)'!AD74</f>
        <v>3774561</v>
      </c>
      <c r="C35" s="68">
        <f>SUM(B35:B46)</f>
        <v>63351821</v>
      </c>
      <c r="D35" s="79">
        <v>0</v>
      </c>
      <c r="E35" s="38">
        <f t="shared" si="0"/>
        <v>0</v>
      </c>
      <c r="F35" s="68">
        <f>SUM(E35:E46)</f>
        <v>0</v>
      </c>
      <c r="G35" s="37"/>
    </row>
    <row r="36" spans="1:7" ht="16.5" thickBot="1" x14ac:dyDescent="0.3">
      <c r="A36" s="40">
        <v>46784</v>
      </c>
      <c r="B36" s="39">
        <f>+'Producto No. 2 (Curva)'!AD77</f>
        <v>3526018</v>
      </c>
      <c r="C36" s="69"/>
      <c r="D36" s="79">
        <v>0</v>
      </c>
      <c r="E36" s="38">
        <f t="shared" si="0"/>
        <v>0</v>
      </c>
      <c r="F36" s="69"/>
      <c r="G36" s="37"/>
    </row>
    <row r="37" spans="1:7" ht="16.5" thickBot="1" x14ac:dyDescent="0.3">
      <c r="A37" s="40">
        <v>46813</v>
      </c>
      <c r="B37" s="39">
        <f>+'Producto No. 2 (Curva)'!AD80</f>
        <v>4012629</v>
      </c>
      <c r="C37" s="69"/>
      <c r="D37" s="79">
        <v>0</v>
      </c>
      <c r="E37" s="38">
        <f t="shared" si="0"/>
        <v>0</v>
      </c>
      <c r="F37" s="69"/>
      <c r="G37" s="37"/>
    </row>
    <row r="38" spans="1:7" ht="16.5" thickBot="1" x14ac:dyDescent="0.3">
      <c r="A38" s="40">
        <v>46844</v>
      </c>
      <c r="B38" s="39">
        <f>+'Producto No. 2 (Curva)'!AD83</f>
        <v>7226259</v>
      </c>
      <c r="C38" s="69"/>
      <c r="D38" s="79">
        <v>0</v>
      </c>
      <c r="E38" s="38">
        <f t="shared" si="0"/>
        <v>0</v>
      </c>
      <c r="F38" s="69"/>
      <c r="G38" s="37"/>
    </row>
    <row r="39" spans="1:7" ht="16.5" thickBot="1" x14ac:dyDescent="0.3">
      <c r="A39" s="40">
        <v>46874</v>
      </c>
      <c r="B39" s="39">
        <f>+'Producto No. 2 (Curva)'!AD86</f>
        <v>5462581</v>
      </c>
      <c r="C39" s="69"/>
      <c r="D39" s="79">
        <v>0</v>
      </c>
      <c r="E39" s="38">
        <f t="shared" si="0"/>
        <v>0</v>
      </c>
      <c r="F39" s="69"/>
      <c r="G39" s="37"/>
    </row>
    <row r="40" spans="1:7" ht="16.5" thickBot="1" x14ac:dyDescent="0.3">
      <c r="A40" s="40">
        <v>46905</v>
      </c>
      <c r="B40" s="39">
        <f>+'Producto No. 2 (Curva)'!AD89</f>
        <v>4678440</v>
      </c>
      <c r="C40" s="69"/>
      <c r="D40" s="79">
        <v>0</v>
      </c>
      <c r="E40" s="38">
        <f t="shared" si="0"/>
        <v>0</v>
      </c>
      <c r="F40" s="69"/>
      <c r="G40" s="37"/>
    </row>
    <row r="41" spans="1:7" ht="16.5" thickBot="1" x14ac:dyDescent="0.3">
      <c r="A41" s="40">
        <v>46935</v>
      </c>
      <c r="B41" s="39">
        <f>+'Producto No. 2 (Curva)'!AD92</f>
        <v>4746122</v>
      </c>
      <c r="C41" s="69"/>
      <c r="D41" s="79">
        <v>0</v>
      </c>
      <c r="E41" s="38">
        <f t="shared" si="0"/>
        <v>0</v>
      </c>
      <c r="F41" s="69"/>
      <c r="G41" s="37"/>
    </row>
    <row r="42" spans="1:7" ht="16.5" thickBot="1" x14ac:dyDescent="0.3">
      <c r="A42" s="40">
        <v>46966</v>
      </c>
      <c r="B42" s="39">
        <f>+'Producto No. 2 (Curva)'!AD95</f>
        <v>6365062</v>
      </c>
      <c r="C42" s="69"/>
      <c r="D42" s="79">
        <v>0</v>
      </c>
      <c r="E42" s="38">
        <f t="shared" si="0"/>
        <v>0</v>
      </c>
      <c r="F42" s="69"/>
      <c r="G42" s="37"/>
    </row>
    <row r="43" spans="1:7" ht="16.5" thickBot="1" x14ac:dyDescent="0.3">
      <c r="A43" s="40">
        <v>46997</v>
      </c>
      <c r="B43" s="39">
        <f>+'Producto No. 2 (Curva)'!AD98</f>
        <v>4241430</v>
      </c>
      <c r="C43" s="69"/>
      <c r="D43" s="79">
        <v>0</v>
      </c>
      <c r="E43" s="38">
        <f t="shared" si="0"/>
        <v>0</v>
      </c>
      <c r="F43" s="69"/>
      <c r="G43" s="37"/>
    </row>
    <row r="44" spans="1:7" ht="16.5" thickBot="1" x14ac:dyDescent="0.3">
      <c r="A44" s="40">
        <v>47027</v>
      </c>
      <c r="B44" s="39">
        <f>+'Producto No. 2 (Curva)'!AD101</f>
        <v>4590692</v>
      </c>
      <c r="C44" s="69"/>
      <c r="D44" s="79">
        <v>0</v>
      </c>
      <c r="E44" s="38">
        <f t="shared" si="0"/>
        <v>0</v>
      </c>
      <c r="F44" s="69"/>
      <c r="G44" s="37"/>
    </row>
    <row r="45" spans="1:7" ht="16.5" thickBot="1" x14ac:dyDescent="0.3">
      <c r="A45" s="40">
        <v>47058</v>
      </c>
      <c r="B45" s="39">
        <f>+'Producto No. 2 (Curva)'!AD104</f>
        <v>6281282</v>
      </c>
      <c r="C45" s="69"/>
      <c r="D45" s="79">
        <v>0</v>
      </c>
      <c r="E45" s="38">
        <f t="shared" si="0"/>
        <v>0</v>
      </c>
      <c r="F45" s="69"/>
      <c r="G45" s="37"/>
    </row>
    <row r="46" spans="1:7" ht="16.5" thickBot="1" x14ac:dyDescent="0.3">
      <c r="A46" s="40">
        <v>47088</v>
      </c>
      <c r="B46" s="39">
        <f>+'Producto No. 2 (Curva)'!AD107</f>
        <v>8446745</v>
      </c>
      <c r="C46" s="69"/>
      <c r="D46" s="79">
        <v>0</v>
      </c>
      <c r="E46" s="38">
        <f t="shared" si="0"/>
        <v>0</v>
      </c>
      <c r="F46" s="69"/>
      <c r="G46" s="37"/>
    </row>
    <row r="47" spans="1:7" ht="16.5" thickBot="1" x14ac:dyDescent="0.3">
      <c r="A47" s="36" t="s">
        <v>37</v>
      </c>
      <c r="B47" s="35">
        <f>SUM(B11:B46)</f>
        <v>195007156</v>
      </c>
      <c r="C47" s="35">
        <f>SUM(C11:C46)</f>
        <v>195007156</v>
      </c>
      <c r="D47" s="80"/>
      <c r="E47" s="35">
        <f>SUM(E11:E22)</f>
        <v>0</v>
      </c>
      <c r="F47" s="35">
        <f>SUM(F11:F22)</f>
        <v>0</v>
      </c>
      <c r="G47" s="35" t="str">
        <f>IFERROR(SUMPRODUCT(F11:F22,G11:G22)/SUM(F11:F22),"")</f>
        <v/>
      </c>
    </row>
    <row r="48" spans="1:7" x14ac:dyDescent="0.25">
      <c r="A48" s="29"/>
      <c r="B48" s="27"/>
      <c r="C48" s="27"/>
      <c r="D48" s="28"/>
      <c r="E48" s="27"/>
      <c r="F48" s="27"/>
      <c r="G48" s="34"/>
    </row>
    <row r="49" spans="1:7" x14ac:dyDescent="0.25">
      <c r="A49" s="33" t="s">
        <v>36</v>
      </c>
      <c r="B49" s="27"/>
      <c r="C49" s="27"/>
      <c r="D49" s="28"/>
      <c r="E49" s="27"/>
      <c r="F49" s="27"/>
      <c r="G49" s="22"/>
    </row>
    <row r="50" spans="1:7" ht="15.6" customHeight="1" x14ac:dyDescent="0.25">
      <c r="A50" s="63" t="s">
        <v>35</v>
      </c>
      <c r="B50" s="63"/>
      <c r="C50" s="63"/>
      <c r="D50" s="63"/>
      <c r="E50" s="63"/>
      <c r="F50" s="63"/>
      <c r="G50" s="63"/>
    </row>
    <row r="51" spans="1:7" ht="18" customHeight="1" x14ac:dyDescent="0.25">
      <c r="A51" s="63" t="s">
        <v>34</v>
      </c>
      <c r="B51" s="63"/>
      <c r="C51" s="63"/>
      <c r="D51" s="63"/>
      <c r="E51" s="63"/>
      <c r="F51" s="63"/>
      <c r="G51" s="63"/>
    </row>
    <row r="52" spans="1:7" ht="30" customHeight="1" x14ac:dyDescent="0.25">
      <c r="A52" s="67" t="s">
        <v>58</v>
      </c>
      <c r="B52" s="67"/>
      <c r="C52" s="67"/>
      <c r="D52" s="67"/>
      <c r="E52" s="67"/>
      <c r="F52" s="67"/>
      <c r="G52" s="67"/>
    </row>
    <row r="53" spans="1:7" ht="36.75" customHeight="1" x14ac:dyDescent="0.25">
      <c r="A53" s="67" t="s">
        <v>48</v>
      </c>
      <c r="B53" s="67"/>
      <c r="C53" s="67"/>
      <c r="D53" s="67"/>
      <c r="E53" s="67"/>
      <c r="F53" s="67"/>
      <c r="G53" s="67"/>
    </row>
    <row r="54" spans="1:7" ht="21.6" customHeight="1" x14ac:dyDescent="0.25">
      <c r="A54" s="63" t="s">
        <v>49</v>
      </c>
      <c r="B54" s="63"/>
      <c r="C54" s="63"/>
      <c r="D54" s="63"/>
      <c r="E54" s="63"/>
      <c r="F54" s="63"/>
      <c r="G54" s="63"/>
    </row>
    <row r="55" spans="1:7" ht="36" customHeight="1" x14ac:dyDescent="0.25">
      <c r="A55" s="63" t="s">
        <v>50</v>
      </c>
      <c r="B55" s="63"/>
      <c r="C55" s="63"/>
      <c r="D55" s="63"/>
      <c r="E55" s="63"/>
      <c r="F55" s="63"/>
      <c r="G55" s="63"/>
    </row>
    <row r="56" spans="1:7" ht="18" customHeight="1" x14ac:dyDescent="0.25">
      <c r="A56" s="67" t="s">
        <v>56</v>
      </c>
      <c r="B56" s="67"/>
      <c r="C56" s="67"/>
      <c r="D56" s="67"/>
      <c r="E56" s="67"/>
      <c r="F56" s="67"/>
      <c r="G56" s="67"/>
    </row>
    <row r="57" spans="1:7" ht="31.9" customHeight="1" x14ac:dyDescent="0.25">
      <c r="A57" s="30" t="s">
        <v>51</v>
      </c>
      <c r="B57" s="32"/>
      <c r="C57" s="32"/>
      <c r="D57" s="31"/>
      <c r="E57" s="30"/>
      <c r="F57" s="30"/>
      <c r="G57" s="30"/>
    </row>
    <row r="58" spans="1:7" x14ac:dyDescent="0.25">
      <c r="A58" s="63" t="s">
        <v>52</v>
      </c>
      <c r="B58" s="63"/>
      <c r="C58" s="63"/>
      <c r="D58" s="63"/>
      <c r="E58" s="63"/>
      <c r="F58" s="63"/>
      <c r="G58" s="63"/>
    </row>
    <row r="59" spans="1:7" ht="28.9" customHeight="1" x14ac:dyDescent="0.25">
      <c r="A59" s="63" t="s">
        <v>53</v>
      </c>
      <c r="B59" s="63"/>
      <c r="C59" s="63"/>
      <c r="D59" s="63"/>
      <c r="E59" s="63"/>
      <c r="F59" s="63"/>
      <c r="G59" s="63"/>
    </row>
    <row r="60" spans="1:7" x14ac:dyDescent="0.25">
      <c r="A60" s="56"/>
      <c r="B60" s="56"/>
      <c r="C60" s="56"/>
      <c r="D60" s="56"/>
      <c r="E60" s="56"/>
      <c r="F60" s="56"/>
      <c r="G60" s="56"/>
    </row>
    <row r="61" spans="1:7" x14ac:dyDescent="0.25">
      <c r="A61" s="64" t="s">
        <v>33</v>
      </c>
      <c r="B61" s="64"/>
      <c r="C61" s="64"/>
      <c r="D61" s="64"/>
      <c r="E61" s="64"/>
      <c r="F61" s="24"/>
      <c r="G61" s="22"/>
    </row>
    <row r="62" spans="1:7" x14ac:dyDescent="0.25">
      <c r="A62" s="26"/>
      <c r="B62" s="24"/>
      <c r="C62" s="24"/>
      <c r="D62" s="25"/>
      <c r="E62" s="24"/>
      <c r="F62" s="24"/>
      <c r="G62" s="22"/>
    </row>
    <row r="63" spans="1:7" x14ac:dyDescent="0.25">
      <c r="A63" s="26"/>
      <c r="B63" s="24"/>
      <c r="C63" s="24"/>
      <c r="D63" s="25"/>
      <c r="E63" s="24"/>
      <c r="F63" s="24"/>
      <c r="G63" s="22"/>
    </row>
    <row r="64" spans="1:7" x14ac:dyDescent="0.25">
      <c r="A64" s="65" t="s">
        <v>54</v>
      </c>
      <c r="B64" s="65"/>
      <c r="C64" s="65"/>
      <c r="D64" s="65"/>
      <c r="E64" s="65"/>
      <c r="F64" s="23"/>
      <c r="G64" s="22"/>
    </row>
    <row r="65" spans="1:7" x14ac:dyDescent="0.25">
      <c r="A65" s="66" t="s">
        <v>32</v>
      </c>
      <c r="B65" s="65"/>
      <c r="C65" s="65"/>
      <c r="D65" s="65"/>
      <c r="E65" s="65"/>
      <c r="F65" s="23"/>
      <c r="G65" s="22"/>
    </row>
    <row r="66" spans="1:7" x14ac:dyDescent="0.25">
      <c r="B66" s="21"/>
      <c r="C66" s="21"/>
      <c r="E66" s="21"/>
      <c r="F66" s="21"/>
      <c r="G66" s="21"/>
    </row>
    <row r="67" spans="1:7" x14ac:dyDescent="0.25">
      <c r="B67" s="21"/>
      <c r="C67" s="21"/>
      <c r="E67" s="21"/>
      <c r="F67" s="21"/>
      <c r="G67" s="21"/>
    </row>
    <row r="68" spans="1:7" x14ac:dyDescent="0.25">
      <c r="B68" s="21"/>
      <c r="C68" s="21"/>
      <c r="E68" s="21"/>
      <c r="F68" s="21"/>
      <c r="G68" s="21"/>
    </row>
    <row r="69" spans="1:7" x14ac:dyDescent="0.25">
      <c r="B69" s="21"/>
      <c r="C69" s="21"/>
      <c r="E69" s="21"/>
      <c r="F69" s="21"/>
      <c r="G69" s="21"/>
    </row>
    <row r="70" spans="1:7" x14ac:dyDescent="0.25">
      <c r="B70" s="21"/>
      <c r="C70" s="21"/>
      <c r="E70" s="21"/>
      <c r="F70" s="21"/>
      <c r="G70" s="21"/>
    </row>
  </sheetData>
  <protectedRanges>
    <protectedRange sqref="J47:XFD52 H47:H52 A61:G65" name="Firma"/>
    <protectedRange algorithmName="SHA-512" hashValue="EfuM75OxYYlPPr0UY+MtkUX4tvrGAqmm1y+w1rxwSe0n0ngf3SoQCMO5MnavFoE7SkF/ZNF0iErlsn2vdjoS/g==" saltValue="mLJWVwp6Ft7/S/i0xbc+xA==" spinCount="100000" sqref="B8" name="Proponente"/>
    <protectedRange algorithmName="SHA-512" hashValue="ZCGCsZBsuti+jNpq0zPDF7TJcNUKSC9UOPfyeHu6/iZZ4KM54hDGjg/wkL+h8IG2Vs+ED/T62OT2avFLotLyFw==" saltValue="/cGMZahkX9SqIv/qJhV3zw==" spinCount="100000" sqref="G18:G46 D18:D46" name="Oferta despacho"/>
  </protectedRanges>
  <mergeCells count="20">
    <mergeCell ref="A64:E64"/>
    <mergeCell ref="A65:E65"/>
    <mergeCell ref="A54:G54"/>
    <mergeCell ref="A55:G55"/>
    <mergeCell ref="A56:G56"/>
    <mergeCell ref="A58:G58"/>
    <mergeCell ref="A59:G59"/>
    <mergeCell ref="A61:E61"/>
    <mergeCell ref="C35:C46"/>
    <mergeCell ref="F35:F46"/>
    <mergeCell ref="A50:G50"/>
    <mergeCell ref="A51:G51"/>
    <mergeCell ref="A52:G52"/>
    <mergeCell ref="A53:G53"/>
    <mergeCell ref="A5:G6"/>
    <mergeCell ref="B8:G8"/>
    <mergeCell ref="C11:C22"/>
    <mergeCell ref="F11:F22"/>
    <mergeCell ref="C23:C34"/>
    <mergeCell ref="F23:F34"/>
  </mergeCells>
  <conditionalFormatting sqref="G47">
    <cfRule type="containsText" dxfId="0" priority="1" operator="containsText" text="No cumple con la relación requerida para ofertar">
      <formula>NOT(ISERROR(SEARCH("No cumple con la relación requerida para ofertar",G47)))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B76-3C94-4F44-B987-82DF1CE97EA7}">
  <dimension ref="A1:AE110"/>
  <sheetViews>
    <sheetView topLeftCell="A85" zoomScale="90" zoomScaleNormal="90" workbookViewId="0">
      <selection activeCell="A54" sqref="A54:XFD54"/>
    </sheetView>
  </sheetViews>
  <sheetFormatPr baseColWidth="10" defaultColWidth="11.42578125" defaultRowHeight="15" x14ac:dyDescent="0.25"/>
  <cols>
    <col min="1" max="1" width="6.7109375" style="10" customWidth="1"/>
    <col min="2" max="2" width="4.42578125" style="10" customWidth="1"/>
    <col min="3" max="3" width="6.85546875" style="10" customWidth="1"/>
    <col min="4" max="4" width="9.85546875" style="10" customWidth="1"/>
    <col min="5" max="28" width="0" style="2" hidden="1" customWidth="1"/>
    <col min="29" max="29" width="13.28515625" style="10" customWidth="1"/>
    <col min="30" max="30" width="16" style="10" customWidth="1"/>
    <col min="31" max="31" width="20" style="2" bestFit="1" customWidth="1"/>
    <col min="32" max="16384" width="11.42578125" style="2"/>
  </cols>
  <sheetData>
    <row r="1" spans="1:3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30</v>
      </c>
      <c r="AC1" s="5" t="s">
        <v>4</v>
      </c>
      <c r="AD1" s="81" t="s">
        <v>59</v>
      </c>
    </row>
    <row r="2" spans="1:31" x14ac:dyDescent="0.25">
      <c r="A2" s="11">
        <v>2026</v>
      </c>
      <c r="B2" s="12">
        <v>1</v>
      </c>
      <c r="C2" s="12">
        <v>6</v>
      </c>
      <c r="D2" s="12" t="s">
        <v>5</v>
      </c>
      <c r="E2" s="7">
        <f>VLOOKUP(E$1,'[1]Demanda requerida 2026'!$CB$74:$DL$97,MATCH(_xlfn.CONCAT(TEXT(DATE($A2,$B2,1),"mmm-yy"),$D2),'[1]Demanda requerida 2026'!$CB$39:$DL$39,0),FALSE)</f>
        <v>359</v>
      </c>
      <c r="F2" s="7">
        <f>VLOOKUP(F$1,'[1]Demanda requerida 2026'!$CB$74:$DL$97,MATCH(_xlfn.CONCAT(TEXT(DATE($A2,$B2,1),"mmm-yy"),$D2),'[1]Demanda requerida 2026'!$CB$39:$DL$39,0),FALSE)</f>
        <v>200</v>
      </c>
      <c r="G2" s="7">
        <f>VLOOKUP(G$1,'[1]Demanda requerida 2026'!$CB$74:$DL$97,MATCH(_xlfn.CONCAT(TEXT(DATE($A2,$B2,1),"mmm-yy"),$D2),'[1]Demanda requerida 2026'!$CB$39:$DL$39,0),FALSE)</f>
        <v>200</v>
      </c>
      <c r="H2" s="7">
        <f>VLOOKUP(H$1,'[1]Demanda requerida 2026'!$CB$74:$DL$97,MATCH(_xlfn.CONCAT(TEXT(DATE($A2,$B2,1),"mmm-yy"),$D2),'[1]Demanda requerida 2026'!$CB$39:$DL$39,0),FALSE)</f>
        <v>200</v>
      </c>
      <c r="I2" s="7">
        <f>VLOOKUP(I$1,'[1]Demanda requerida 2026'!$CB$74:$DL$97,MATCH(_xlfn.CONCAT(TEXT(DATE($A2,$B2,1),"mmm-yy"),$D2),'[1]Demanda requerida 2026'!$CB$39:$DL$39,0),FALSE)</f>
        <v>200</v>
      </c>
      <c r="J2" s="7">
        <f>VLOOKUP(J$1,'[1]Demanda requerida 2026'!$CB$74:$DL$97,MATCH(_xlfn.CONCAT(TEXT(DATE($A2,$B2,1),"mmm-yy"),$D2),'[1]Demanda requerida 2026'!$CB$39:$DL$39,0),FALSE)</f>
        <v>200</v>
      </c>
      <c r="K2" s="7">
        <f>VLOOKUP(K$1,'[1]Demanda requerida 2026'!$CB$74:$DL$97,MATCH(_xlfn.CONCAT(TEXT(DATE($A2,$B2,1),"mmm-yy"),$D2),'[1]Demanda requerida 2026'!$CB$39:$DL$39,0),FALSE)</f>
        <v>200</v>
      </c>
      <c r="L2" s="7">
        <f>VLOOKUP(L$1,'[1]Demanda requerida 2026'!$CB$74:$DL$97,MATCH(_xlfn.CONCAT(TEXT(DATE($A2,$B2,1),"mmm-yy"),$D2),'[1]Demanda requerida 2026'!$CB$39:$DL$39,0),FALSE)</f>
        <v>200</v>
      </c>
      <c r="M2" s="7">
        <f>VLOOKUP(M$1,'[1]Demanda requerida 2026'!$CB$74:$DL$97,MATCH(_xlfn.CONCAT(TEXT(DATE($A2,$B2,1),"mmm-yy"),$D2),'[1]Demanda requerida 2026'!$CB$39:$DL$39,0),FALSE)</f>
        <v>622</v>
      </c>
      <c r="N2" s="7">
        <f>VLOOKUP(N$1,'[1]Demanda requerida 2026'!$CB$74:$DL$97,MATCH(_xlfn.CONCAT(TEXT(DATE($A2,$B2,1),"mmm-yy"),$D2),'[1]Demanda requerida 2026'!$CB$39:$DL$39,0),FALSE)</f>
        <v>2211</v>
      </c>
      <c r="O2" s="7">
        <f>VLOOKUP(O$1,'[1]Demanda requerida 2026'!$CB$74:$DL$97,MATCH(_xlfn.CONCAT(TEXT(DATE($A2,$B2,1),"mmm-yy"),$D2),'[1]Demanda requerida 2026'!$CB$39:$DL$39,0),FALSE)</f>
        <v>3018</v>
      </c>
      <c r="P2" s="7">
        <f>VLOOKUP(P$1,'[1]Demanda requerida 2026'!$CB$74:$DL$97,MATCH(_xlfn.CONCAT(TEXT(DATE($A2,$B2,1),"mmm-yy"),$D2),'[1]Demanda requerida 2026'!$CB$39:$DL$39,0),FALSE)</f>
        <v>4351</v>
      </c>
      <c r="Q2" s="7">
        <f>VLOOKUP(Q$1,'[1]Demanda requerida 2026'!$CB$74:$DL$97,MATCH(_xlfn.CONCAT(TEXT(DATE($A2,$B2,1),"mmm-yy"),$D2),'[1]Demanda requerida 2026'!$CB$39:$DL$39,0),FALSE)</f>
        <v>5190</v>
      </c>
      <c r="R2" s="7">
        <f>VLOOKUP(R$1,'[1]Demanda requerida 2026'!$CB$74:$DL$97,MATCH(_xlfn.CONCAT(TEXT(DATE($A2,$B2,1),"mmm-yy"),$D2),'[1]Demanda requerida 2026'!$CB$39:$DL$39,0),FALSE)</f>
        <v>5120</v>
      </c>
      <c r="S2" s="7">
        <f>VLOOKUP(S$1,'[1]Demanda requerida 2026'!$CB$74:$DL$97,MATCH(_xlfn.CONCAT(TEXT(DATE($A2,$B2,1),"mmm-yy"),$D2),'[1]Demanda requerida 2026'!$CB$39:$DL$39,0),FALSE)</f>
        <v>4015</v>
      </c>
      <c r="T2" s="7">
        <f>VLOOKUP(T$1,'[1]Demanda requerida 2026'!$CB$74:$DL$97,MATCH(_xlfn.CONCAT(TEXT(DATE($A2,$B2,1),"mmm-yy"),$D2),'[1]Demanda requerida 2026'!$CB$39:$DL$39,0),FALSE)</f>
        <v>3531</v>
      </c>
      <c r="U2" s="7">
        <f>VLOOKUP(U$1,'[1]Demanda requerida 2026'!$CB$74:$DL$97,MATCH(_xlfn.CONCAT(TEXT(DATE($A2,$B2,1),"mmm-yy"),$D2),'[1]Demanda requerida 2026'!$CB$39:$DL$39,0),FALSE)</f>
        <v>3165</v>
      </c>
      <c r="V2" s="7">
        <f>VLOOKUP(V$1,'[1]Demanda requerida 2026'!$CB$74:$DL$97,MATCH(_xlfn.CONCAT(TEXT(DATE($A2,$B2,1),"mmm-yy"),$D2),'[1]Demanda requerida 2026'!$CB$39:$DL$39,0),FALSE)</f>
        <v>4744</v>
      </c>
      <c r="W2" s="7">
        <f>VLOOKUP(W$1,'[1]Demanda requerida 2026'!$CB$74:$DL$97,MATCH(_xlfn.CONCAT(TEXT(DATE($A2,$B2,1),"mmm-yy"),$D2),'[1]Demanda requerida 2026'!$CB$39:$DL$39,0),FALSE)</f>
        <v>7450</v>
      </c>
      <c r="X2" s="7">
        <f>VLOOKUP(X$1,'[1]Demanda requerida 2026'!$CB$74:$DL$97,MATCH(_xlfn.CONCAT(TEXT(DATE($A2,$B2,1),"mmm-yy"),$D2),'[1]Demanda requerida 2026'!$CB$39:$DL$39,0),FALSE)</f>
        <v>9217</v>
      </c>
      <c r="Y2" s="7">
        <f>VLOOKUP(Y$1,'[1]Demanda requerida 2026'!$CB$74:$DL$97,MATCH(_xlfn.CONCAT(TEXT(DATE($A2,$B2,1),"mmm-yy"),$D2),'[1]Demanda requerida 2026'!$CB$39:$DL$39,0),FALSE)</f>
        <v>8463</v>
      </c>
      <c r="Z2" s="7">
        <f>VLOOKUP(Z$1,'[1]Demanda requerida 2026'!$CB$74:$DL$97,MATCH(_xlfn.CONCAT(TEXT(DATE($A2,$B2,1),"mmm-yy"),$D2),'[1]Demanda requerida 2026'!$CB$39:$DL$39,0),FALSE)</f>
        <v>6418</v>
      </c>
      <c r="AA2" s="7">
        <f>VLOOKUP(AA$1,'[1]Demanda requerida 2026'!$CB$74:$DL$97,MATCH(_xlfn.CONCAT(TEXT(DATE($A2,$B2,1),"mmm-yy"),$D2),'[1]Demanda requerida 2026'!$CB$39:$DL$39,0),FALSE)</f>
        <v>4196</v>
      </c>
      <c r="AB2" s="7">
        <f>VLOOKUP(AB$1,'[1]Demanda requerida 2026'!$CB$74:$DL$97,MATCH(_xlfn.CONCAT(TEXT(DATE($A2,$B2,1),"mmm-yy"),$D2),'[1]Demanda requerida 2026'!$CB$39:$DL$39,0),FALSE)</f>
        <v>2077</v>
      </c>
      <c r="AC2" s="82">
        <f t="shared" ref="AC2:AC13" si="0">SUM(E2:AB2)</f>
        <v>75547</v>
      </c>
      <c r="AD2" s="76">
        <f>+SUMPRODUCT(AC2:AC4,C2:C4)</f>
        <v>3731047</v>
      </c>
      <c r="AE2" s="83">
        <f>+SUM(AD2:AD37)</f>
        <v>63783813</v>
      </c>
    </row>
    <row r="3" spans="1:31" x14ac:dyDescent="0.25">
      <c r="A3" s="13">
        <v>2026</v>
      </c>
      <c r="B3" s="1">
        <v>1</v>
      </c>
      <c r="C3" s="1">
        <v>20</v>
      </c>
      <c r="D3" s="1" t="s">
        <v>31</v>
      </c>
      <c r="E3" s="8">
        <f>VLOOKUP(E$1,'[1]Demanda requerida 2026'!$CB$74:$DL$97,MATCH(_xlfn.CONCAT(TEXT(DATE($A3,$B3,1),"mmm-yy"),$D3),'[1]Demanda requerida 2026'!$CB$39:$DL$39,0),FALSE)</f>
        <v>370</v>
      </c>
      <c r="F3" s="8">
        <f>VLOOKUP(F$1,'[1]Demanda requerida 2026'!$CB$74:$DL$97,MATCH(_xlfn.CONCAT(TEXT(DATE($A3,$B3,1),"mmm-yy"),$D3),'[1]Demanda requerida 2026'!$CB$39:$DL$39,0),FALSE)</f>
        <v>200</v>
      </c>
      <c r="G3" s="8">
        <f>VLOOKUP(G$1,'[1]Demanda requerida 2026'!$CB$74:$DL$97,MATCH(_xlfn.CONCAT(TEXT(DATE($A3,$B3,1),"mmm-yy"),$D3),'[1]Demanda requerida 2026'!$CB$39:$DL$39,0),FALSE)</f>
        <v>200</v>
      </c>
      <c r="H3" s="8">
        <f>VLOOKUP(H$1,'[1]Demanda requerida 2026'!$CB$74:$DL$97,MATCH(_xlfn.CONCAT(TEXT(DATE($A3,$B3,1),"mmm-yy"),$D3),'[1]Demanda requerida 2026'!$CB$39:$DL$39,0),FALSE)</f>
        <v>200</v>
      </c>
      <c r="I3" s="8">
        <f>VLOOKUP(I$1,'[1]Demanda requerida 2026'!$CB$74:$DL$97,MATCH(_xlfn.CONCAT(TEXT(DATE($A3,$B3,1),"mmm-yy"),$D3),'[1]Demanda requerida 2026'!$CB$39:$DL$39,0),FALSE)</f>
        <v>200</v>
      </c>
      <c r="J3" s="8">
        <f>VLOOKUP(J$1,'[1]Demanda requerida 2026'!$CB$74:$DL$97,MATCH(_xlfn.CONCAT(TEXT(DATE($A3,$B3,1),"mmm-yy"),$D3),'[1]Demanda requerida 2026'!$CB$39:$DL$39,0),FALSE)</f>
        <v>200</v>
      </c>
      <c r="K3" s="8">
        <f>VLOOKUP(K$1,'[1]Demanda requerida 2026'!$CB$74:$DL$97,MATCH(_xlfn.CONCAT(TEXT(DATE($A3,$B3,1),"mmm-yy"),$D3),'[1]Demanda requerida 2026'!$CB$39:$DL$39,0),FALSE)</f>
        <v>200</v>
      </c>
      <c r="L3" s="8">
        <f>VLOOKUP(L$1,'[1]Demanda requerida 2026'!$CB$74:$DL$97,MATCH(_xlfn.CONCAT(TEXT(DATE($A3,$B3,1),"mmm-yy"),$D3),'[1]Demanda requerida 2026'!$CB$39:$DL$39,0),FALSE)</f>
        <v>1129</v>
      </c>
      <c r="M3" s="8">
        <f>VLOOKUP(M$1,'[1]Demanda requerida 2026'!$CB$74:$DL$97,MATCH(_xlfn.CONCAT(TEXT(DATE($A3,$B3,1),"mmm-yy"),$D3),'[1]Demanda requerida 2026'!$CB$39:$DL$39,0),FALSE)</f>
        <v>4223</v>
      </c>
      <c r="N3" s="8">
        <f>VLOOKUP(N$1,'[1]Demanda requerida 2026'!$CB$74:$DL$97,MATCH(_xlfn.CONCAT(TEXT(DATE($A3,$B3,1),"mmm-yy"),$D3),'[1]Demanda requerida 2026'!$CB$39:$DL$39,0),FALSE)</f>
        <v>5477</v>
      </c>
      <c r="O3" s="8">
        <f>VLOOKUP(O$1,'[1]Demanda requerida 2026'!$CB$74:$DL$97,MATCH(_xlfn.CONCAT(TEXT(DATE($A3,$B3,1),"mmm-yy"),$D3),'[1]Demanda requerida 2026'!$CB$39:$DL$39,0),FALSE)</f>
        <v>6607</v>
      </c>
      <c r="P3" s="8">
        <f>VLOOKUP(P$1,'[1]Demanda requerida 2026'!$CB$74:$DL$97,MATCH(_xlfn.CONCAT(TEXT(DATE($A3,$B3,1),"mmm-yy"),$D3),'[1]Demanda requerida 2026'!$CB$39:$DL$39,0),FALSE)</f>
        <v>8326</v>
      </c>
      <c r="Q3" s="8">
        <f>VLOOKUP(Q$1,'[1]Demanda requerida 2026'!$CB$74:$DL$97,MATCH(_xlfn.CONCAT(TEXT(DATE($A3,$B3,1),"mmm-yy"),$D3),'[1]Demanda requerida 2026'!$CB$39:$DL$39,0),FALSE)</f>
        <v>8874</v>
      </c>
      <c r="R3" s="8">
        <f>VLOOKUP(R$1,'[1]Demanda requerida 2026'!$CB$74:$DL$97,MATCH(_xlfn.CONCAT(TEXT(DATE($A3,$B3,1),"mmm-yy"),$D3),'[1]Demanda requerida 2026'!$CB$39:$DL$39,0),FALSE)</f>
        <v>8812</v>
      </c>
      <c r="S3" s="8">
        <f>VLOOKUP(S$1,'[1]Demanda requerida 2026'!$CB$74:$DL$97,MATCH(_xlfn.CONCAT(TEXT(DATE($A3,$B3,1),"mmm-yy"),$D3),'[1]Demanda requerida 2026'!$CB$39:$DL$39,0),FALSE)</f>
        <v>8835</v>
      </c>
      <c r="T3" s="8">
        <f>VLOOKUP(T$1,'[1]Demanda requerida 2026'!$CB$74:$DL$97,MATCH(_xlfn.CONCAT(TEXT(DATE($A3,$B3,1),"mmm-yy"),$D3),'[1]Demanda requerida 2026'!$CB$39:$DL$39,0),FALSE)</f>
        <v>8704</v>
      </c>
      <c r="U3" s="8">
        <f>VLOOKUP(U$1,'[1]Demanda requerida 2026'!$CB$74:$DL$97,MATCH(_xlfn.CONCAT(TEXT(DATE($A3,$B3,1),"mmm-yy"),$D3),'[1]Demanda requerida 2026'!$CB$39:$DL$39,0),FALSE)</f>
        <v>8202</v>
      </c>
      <c r="V3" s="8">
        <f>VLOOKUP(V$1,'[1]Demanda requerida 2026'!$CB$74:$DL$97,MATCH(_xlfn.CONCAT(TEXT(DATE($A3,$B3,1),"mmm-yy"),$D3),'[1]Demanda requerida 2026'!$CB$39:$DL$39,0),FALSE)</f>
        <v>9463</v>
      </c>
      <c r="W3" s="8">
        <f>VLOOKUP(W$1,'[1]Demanda requerida 2026'!$CB$74:$DL$97,MATCH(_xlfn.CONCAT(TEXT(DATE($A3,$B3,1),"mmm-yy"),$D3),'[1]Demanda requerida 2026'!$CB$39:$DL$39,0),FALSE)</f>
        <v>10584</v>
      </c>
      <c r="X3" s="8">
        <f>VLOOKUP(X$1,'[1]Demanda requerida 2026'!$CB$74:$DL$97,MATCH(_xlfn.CONCAT(TEXT(DATE($A3,$B3,1),"mmm-yy"),$D3),'[1]Demanda requerida 2026'!$CB$39:$DL$39,0),FALSE)</f>
        <v>11774</v>
      </c>
      <c r="Y3" s="8">
        <f>VLOOKUP(Y$1,'[1]Demanda requerida 2026'!$CB$74:$DL$97,MATCH(_xlfn.CONCAT(TEXT(DATE($A3,$B3,1),"mmm-yy"),$D3),'[1]Demanda requerida 2026'!$CB$39:$DL$39,0),FALSE)</f>
        <v>10915</v>
      </c>
      <c r="Z3" s="8">
        <f>VLOOKUP(Z$1,'[1]Demanda requerida 2026'!$CB$74:$DL$97,MATCH(_xlfn.CONCAT(TEXT(DATE($A3,$B3,1),"mmm-yy"),$D3),'[1]Demanda requerida 2026'!$CB$39:$DL$39,0),FALSE)</f>
        <v>9067</v>
      </c>
      <c r="AA3" s="8">
        <f>VLOOKUP(AA$1,'[1]Demanda requerida 2026'!$CB$74:$DL$97,MATCH(_xlfn.CONCAT(TEXT(DATE($A3,$B3,1),"mmm-yy"),$D3),'[1]Demanda requerida 2026'!$CB$39:$DL$39,0),FALSE)</f>
        <v>6317</v>
      </c>
      <c r="AB3" s="8">
        <f>VLOOKUP(AB$1,'[1]Demanda requerida 2026'!$CB$74:$DL$97,MATCH(_xlfn.CONCAT(TEXT(DATE($A3,$B3,1),"mmm-yy"),$D3),'[1]Demanda requerida 2026'!$CB$39:$DL$39,0),FALSE)</f>
        <v>3695</v>
      </c>
      <c r="AC3" s="84">
        <f t="shared" si="0"/>
        <v>132574</v>
      </c>
      <c r="AD3" s="77"/>
      <c r="AE3" s="85"/>
    </row>
    <row r="4" spans="1:31" ht="15.75" thickBot="1" x14ac:dyDescent="0.3">
      <c r="A4" s="14">
        <v>2026</v>
      </c>
      <c r="B4" s="15">
        <v>1</v>
      </c>
      <c r="C4" s="15">
        <v>5</v>
      </c>
      <c r="D4" s="15" t="s">
        <v>6</v>
      </c>
      <c r="E4" s="9">
        <f>VLOOKUP(E$1,'[1]Demanda requerida 2026'!$CB$74:$DL$97,MATCH(_xlfn.CONCAT(TEXT(DATE($A4,$B4,1),"mmm-yy"),$D4),'[1]Demanda requerida 2026'!$CB$39:$DL$39,0),FALSE)</f>
        <v>320</v>
      </c>
      <c r="F4" s="9">
        <f>VLOOKUP(F$1,'[1]Demanda requerida 2026'!$CB$74:$DL$97,MATCH(_xlfn.CONCAT(TEXT(DATE($A4,$B4,1),"mmm-yy"),$D4),'[1]Demanda requerida 2026'!$CB$39:$DL$39,0),FALSE)</f>
        <v>200</v>
      </c>
      <c r="G4" s="9">
        <f>VLOOKUP(G$1,'[1]Demanda requerida 2026'!$CB$74:$DL$97,MATCH(_xlfn.CONCAT(TEXT(DATE($A4,$B4,1),"mmm-yy"),$D4),'[1]Demanda requerida 2026'!$CB$39:$DL$39,0),FALSE)</f>
        <v>200</v>
      </c>
      <c r="H4" s="9">
        <f>VLOOKUP(H$1,'[1]Demanda requerida 2026'!$CB$74:$DL$97,MATCH(_xlfn.CONCAT(TEXT(DATE($A4,$B4,1),"mmm-yy"),$D4),'[1]Demanda requerida 2026'!$CB$39:$DL$39,0),FALSE)</f>
        <v>200</v>
      </c>
      <c r="I4" s="9">
        <f>VLOOKUP(I$1,'[1]Demanda requerida 2026'!$CB$74:$DL$97,MATCH(_xlfn.CONCAT(TEXT(DATE($A4,$B4,1),"mmm-yy"),$D4),'[1]Demanda requerida 2026'!$CB$39:$DL$39,0),FALSE)</f>
        <v>200</v>
      </c>
      <c r="J4" s="9">
        <f>VLOOKUP(J$1,'[1]Demanda requerida 2026'!$CB$74:$DL$97,MATCH(_xlfn.CONCAT(TEXT(DATE($A4,$B4,1),"mmm-yy"),$D4),'[1]Demanda requerida 2026'!$CB$39:$DL$39,0),FALSE)</f>
        <v>200</v>
      </c>
      <c r="K4" s="9">
        <f>VLOOKUP(K$1,'[1]Demanda requerida 2026'!$CB$74:$DL$97,MATCH(_xlfn.CONCAT(TEXT(DATE($A4,$B4,1),"mmm-yy"),$D4),'[1]Demanda requerida 2026'!$CB$39:$DL$39,0),FALSE)</f>
        <v>200</v>
      </c>
      <c r="L4" s="9">
        <f>VLOOKUP(L$1,'[1]Demanda requerida 2026'!$CB$74:$DL$97,MATCH(_xlfn.CONCAT(TEXT(DATE($A4,$B4,1),"mmm-yy"),$D4),'[1]Demanda requerida 2026'!$CB$39:$DL$39,0),FALSE)</f>
        <v>293</v>
      </c>
      <c r="M4" s="9">
        <f>VLOOKUP(M$1,'[1]Demanda requerida 2026'!$CB$74:$DL$97,MATCH(_xlfn.CONCAT(TEXT(DATE($A4,$B4,1),"mmm-yy"),$D4),'[1]Demanda requerida 2026'!$CB$39:$DL$39,0),FALSE)</f>
        <v>3548</v>
      </c>
      <c r="N4" s="9">
        <f>VLOOKUP(N$1,'[1]Demanda requerida 2026'!$CB$74:$DL$97,MATCH(_xlfn.CONCAT(TEXT(DATE($A4,$B4,1),"mmm-yy"),$D4),'[1]Demanda requerida 2026'!$CB$39:$DL$39,0),FALSE)</f>
        <v>5532</v>
      </c>
      <c r="O4" s="9">
        <f>VLOOKUP(O$1,'[1]Demanda requerida 2026'!$CB$74:$DL$97,MATCH(_xlfn.CONCAT(TEXT(DATE($A4,$B4,1),"mmm-yy"),$D4),'[1]Demanda requerida 2026'!$CB$39:$DL$39,0),FALSE)</f>
        <v>6697</v>
      </c>
      <c r="P4" s="9">
        <f>VLOOKUP(P$1,'[1]Demanda requerida 2026'!$CB$74:$DL$97,MATCH(_xlfn.CONCAT(TEXT(DATE($A4,$B4,1),"mmm-yy"),$D4),'[1]Demanda requerida 2026'!$CB$39:$DL$39,0),FALSE)</f>
        <v>8379</v>
      </c>
      <c r="Q4" s="9">
        <f>VLOOKUP(Q$1,'[1]Demanda requerida 2026'!$CB$74:$DL$97,MATCH(_xlfn.CONCAT(TEXT(DATE($A4,$B4,1),"mmm-yy"),$D4),'[1]Demanda requerida 2026'!$CB$39:$DL$39,0),FALSE)</f>
        <v>8880</v>
      </c>
      <c r="R4" s="9">
        <f>VLOOKUP(R$1,'[1]Demanda requerida 2026'!$CB$74:$DL$97,MATCH(_xlfn.CONCAT(TEXT(DATE($A4,$B4,1),"mmm-yy"),$D4),'[1]Demanda requerida 2026'!$CB$39:$DL$39,0),FALSE)</f>
        <v>8355</v>
      </c>
      <c r="S4" s="9">
        <f>VLOOKUP(S$1,'[1]Demanda requerida 2026'!$CB$74:$DL$97,MATCH(_xlfn.CONCAT(TEXT(DATE($A4,$B4,1),"mmm-yy"),$D4),'[1]Demanda requerida 2026'!$CB$39:$DL$39,0),FALSE)</f>
        <v>7658</v>
      </c>
      <c r="T4" s="9">
        <f>VLOOKUP(T$1,'[1]Demanda requerida 2026'!$CB$74:$DL$97,MATCH(_xlfn.CONCAT(TEXT(DATE($A4,$B4,1),"mmm-yy"),$D4),'[1]Demanda requerida 2026'!$CB$39:$DL$39,0),FALSE)</f>
        <v>7805</v>
      </c>
      <c r="U4" s="9">
        <f>VLOOKUP(U$1,'[1]Demanda requerida 2026'!$CB$74:$DL$97,MATCH(_xlfn.CONCAT(TEXT(DATE($A4,$B4,1),"mmm-yy"),$D4),'[1]Demanda requerida 2026'!$CB$39:$DL$39,0),FALSE)</f>
        <v>7289</v>
      </c>
      <c r="V4" s="9">
        <f>VLOOKUP(V$1,'[1]Demanda requerida 2026'!$CB$74:$DL$97,MATCH(_xlfn.CONCAT(TEXT(DATE($A4,$B4,1),"mmm-yy"),$D4),'[1]Demanda requerida 2026'!$CB$39:$DL$39,0),FALSE)</f>
        <v>8336</v>
      </c>
      <c r="W4" s="9">
        <f>VLOOKUP(W$1,'[1]Demanda requerida 2026'!$CB$74:$DL$97,MATCH(_xlfn.CONCAT(TEXT(DATE($A4,$B4,1),"mmm-yy"),$D4),'[1]Demanda requerida 2026'!$CB$39:$DL$39,0),FALSE)</f>
        <v>10095</v>
      </c>
      <c r="X4" s="9">
        <f>VLOOKUP(X$1,'[1]Demanda requerida 2026'!$CB$74:$DL$97,MATCH(_xlfn.CONCAT(TEXT(DATE($A4,$B4,1),"mmm-yy"),$D4),'[1]Demanda requerida 2026'!$CB$39:$DL$39,0),FALSE)</f>
        <v>11330</v>
      </c>
      <c r="Y4" s="9">
        <f>VLOOKUP(Y$1,'[1]Demanda requerida 2026'!$CB$74:$DL$97,MATCH(_xlfn.CONCAT(TEXT(DATE($A4,$B4,1),"mmm-yy"),$D4),'[1]Demanda requerida 2026'!$CB$39:$DL$39,0),FALSE)</f>
        <v>10554</v>
      </c>
      <c r="Z4" s="9">
        <f>VLOOKUP(Z$1,'[1]Demanda requerida 2026'!$CB$74:$DL$97,MATCH(_xlfn.CONCAT(TEXT(DATE($A4,$B4,1),"mmm-yy"),$D4),'[1]Demanda requerida 2026'!$CB$39:$DL$39,0),FALSE)</f>
        <v>8761</v>
      </c>
      <c r="AA4" s="9">
        <f>VLOOKUP(AA$1,'[1]Demanda requerida 2026'!$CB$74:$DL$97,MATCH(_xlfn.CONCAT(TEXT(DATE($A4,$B4,1),"mmm-yy"),$D4),'[1]Demanda requerida 2026'!$CB$39:$DL$39,0),FALSE)</f>
        <v>6282</v>
      </c>
      <c r="AB4" s="9">
        <f>VLOOKUP(AB$1,'[1]Demanda requerida 2026'!$CB$74:$DL$97,MATCH(_xlfn.CONCAT(TEXT(DATE($A4,$B4,1),"mmm-yy"),$D4),'[1]Demanda requerida 2026'!$CB$39:$DL$39,0),FALSE)</f>
        <v>3943</v>
      </c>
      <c r="AC4" s="86">
        <f t="shared" si="0"/>
        <v>125257</v>
      </c>
      <c r="AD4" s="78"/>
      <c r="AE4" s="85"/>
    </row>
    <row r="5" spans="1:31" x14ac:dyDescent="0.25">
      <c r="A5" s="11">
        <v>2026</v>
      </c>
      <c r="B5" s="12">
        <v>2</v>
      </c>
      <c r="C5" s="12">
        <v>4</v>
      </c>
      <c r="D5" s="12" t="s">
        <v>5</v>
      </c>
      <c r="E5" s="7">
        <f>VLOOKUP(E$1,'[1]Demanda requerida 2026'!$CB$74:$DL$97,MATCH(_xlfn.CONCAT(TEXT(DATE($A5,$B5,1),"mmm-yy"),$D5),'[1]Demanda requerida 2026'!$CB$39:$DL$39,0),FALSE)</f>
        <v>363</v>
      </c>
      <c r="F5" s="7">
        <f>VLOOKUP(F$1,'[1]Demanda requerida 2026'!$CB$74:$DL$97,MATCH(_xlfn.CONCAT(TEXT(DATE($A5,$B5,1),"mmm-yy"),$D5),'[1]Demanda requerida 2026'!$CB$39:$DL$39,0),FALSE)</f>
        <v>200</v>
      </c>
      <c r="G5" s="7">
        <f>VLOOKUP(G$1,'[1]Demanda requerida 2026'!$CB$74:$DL$97,MATCH(_xlfn.CONCAT(TEXT(DATE($A5,$B5,1),"mmm-yy"),$D5),'[1]Demanda requerida 2026'!$CB$39:$DL$39,0),FALSE)</f>
        <v>200</v>
      </c>
      <c r="H5" s="7">
        <f>VLOOKUP(H$1,'[1]Demanda requerida 2026'!$CB$74:$DL$97,MATCH(_xlfn.CONCAT(TEXT(DATE($A5,$B5,1),"mmm-yy"),$D5),'[1]Demanda requerida 2026'!$CB$39:$DL$39,0),FALSE)</f>
        <v>200</v>
      </c>
      <c r="I5" s="7">
        <f>VLOOKUP(I$1,'[1]Demanda requerida 2026'!$CB$74:$DL$97,MATCH(_xlfn.CONCAT(TEXT(DATE($A5,$B5,1),"mmm-yy"),$D5),'[1]Demanda requerida 2026'!$CB$39:$DL$39,0),FALSE)</f>
        <v>200</v>
      </c>
      <c r="J5" s="7">
        <f>VLOOKUP(J$1,'[1]Demanda requerida 2026'!$CB$74:$DL$97,MATCH(_xlfn.CONCAT(TEXT(DATE($A5,$B5,1),"mmm-yy"),$D5),'[1]Demanda requerida 2026'!$CB$39:$DL$39,0),FALSE)</f>
        <v>200</v>
      </c>
      <c r="K5" s="7">
        <f>VLOOKUP(K$1,'[1]Demanda requerida 2026'!$CB$74:$DL$97,MATCH(_xlfn.CONCAT(TEXT(DATE($A5,$B5,1),"mmm-yy"),$D5),'[1]Demanda requerida 2026'!$CB$39:$DL$39,0),FALSE)</f>
        <v>200</v>
      </c>
      <c r="L5" s="7">
        <f>VLOOKUP(L$1,'[1]Demanda requerida 2026'!$CB$74:$DL$97,MATCH(_xlfn.CONCAT(TEXT(DATE($A5,$B5,1),"mmm-yy"),$D5),'[1]Demanda requerida 2026'!$CB$39:$DL$39,0),FALSE)</f>
        <v>200</v>
      </c>
      <c r="M5" s="7">
        <f>VLOOKUP(M$1,'[1]Demanda requerida 2026'!$CB$74:$DL$97,MATCH(_xlfn.CONCAT(TEXT(DATE($A5,$B5,1),"mmm-yy"),$D5),'[1]Demanda requerida 2026'!$CB$39:$DL$39,0),FALSE)</f>
        <v>1949</v>
      </c>
      <c r="N5" s="7">
        <f>VLOOKUP(N$1,'[1]Demanda requerida 2026'!$CB$74:$DL$97,MATCH(_xlfn.CONCAT(TEXT(DATE($A5,$B5,1),"mmm-yy"),$D5),'[1]Demanda requerida 2026'!$CB$39:$DL$39,0),FALSE)</f>
        <v>3432</v>
      </c>
      <c r="O5" s="7">
        <f>VLOOKUP(O$1,'[1]Demanda requerida 2026'!$CB$74:$DL$97,MATCH(_xlfn.CONCAT(TEXT(DATE($A5,$B5,1),"mmm-yy"),$D5),'[1]Demanda requerida 2026'!$CB$39:$DL$39,0),FALSE)</f>
        <v>4355</v>
      </c>
      <c r="P5" s="7">
        <f>VLOOKUP(P$1,'[1]Demanda requerida 2026'!$CB$74:$DL$97,MATCH(_xlfn.CONCAT(TEXT(DATE($A5,$B5,1),"mmm-yy"),$D5),'[1]Demanda requerida 2026'!$CB$39:$DL$39,0),FALSE)</f>
        <v>5729</v>
      </c>
      <c r="Q5" s="7">
        <f>VLOOKUP(Q$1,'[1]Demanda requerida 2026'!$CB$74:$DL$97,MATCH(_xlfn.CONCAT(TEXT(DATE($A5,$B5,1),"mmm-yy"),$D5),'[1]Demanda requerida 2026'!$CB$39:$DL$39,0),FALSE)</f>
        <v>6966</v>
      </c>
      <c r="R5" s="7">
        <f>VLOOKUP(R$1,'[1]Demanda requerida 2026'!$CB$74:$DL$97,MATCH(_xlfn.CONCAT(TEXT(DATE($A5,$B5,1),"mmm-yy"),$D5),'[1]Demanda requerida 2026'!$CB$39:$DL$39,0),FALSE)</f>
        <v>6818</v>
      </c>
      <c r="S5" s="7">
        <f>VLOOKUP(S$1,'[1]Demanda requerida 2026'!$CB$74:$DL$97,MATCH(_xlfn.CONCAT(TEXT(DATE($A5,$B5,1),"mmm-yy"),$D5),'[1]Demanda requerida 2026'!$CB$39:$DL$39,0),FALSE)</f>
        <v>5637</v>
      </c>
      <c r="T5" s="7">
        <f>VLOOKUP(T$1,'[1]Demanda requerida 2026'!$CB$74:$DL$97,MATCH(_xlfn.CONCAT(TEXT(DATE($A5,$B5,1),"mmm-yy"),$D5),'[1]Demanda requerida 2026'!$CB$39:$DL$39,0),FALSE)</f>
        <v>4969</v>
      </c>
      <c r="U5" s="7">
        <f>VLOOKUP(U$1,'[1]Demanda requerida 2026'!$CB$74:$DL$97,MATCH(_xlfn.CONCAT(TEXT(DATE($A5,$B5,1),"mmm-yy"),$D5),'[1]Demanda requerida 2026'!$CB$39:$DL$39,0),FALSE)</f>
        <v>4159</v>
      </c>
      <c r="V5" s="7">
        <f>VLOOKUP(V$1,'[1]Demanda requerida 2026'!$CB$74:$DL$97,MATCH(_xlfn.CONCAT(TEXT(DATE($A5,$B5,1),"mmm-yy"),$D5),'[1]Demanda requerida 2026'!$CB$39:$DL$39,0),FALSE)</f>
        <v>6083</v>
      </c>
      <c r="W5" s="7">
        <f>VLOOKUP(W$1,'[1]Demanda requerida 2026'!$CB$74:$DL$97,MATCH(_xlfn.CONCAT(TEXT(DATE($A5,$B5,1),"mmm-yy"),$D5),'[1]Demanda requerida 2026'!$CB$39:$DL$39,0),FALSE)</f>
        <v>8409</v>
      </c>
      <c r="X5" s="7">
        <f>VLOOKUP(X$1,'[1]Demanda requerida 2026'!$CB$74:$DL$97,MATCH(_xlfn.CONCAT(TEXT(DATE($A5,$B5,1),"mmm-yy"),$D5),'[1]Demanda requerida 2026'!$CB$39:$DL$39,0),FALSE)</f>
        <v>8712</v>
      </c>
      <c r="Y5" s="7">
        <f>VLOOKUP(Y$1,'[1]Demanda requerida 2026'!$CB$74:$DL$97,MATCH(_xlfn.CONCAT(TEXT(DATE($A5,$B5,1),"mmm-yy"),$D5),'[1]Demanda requerida 2026'!$CB$39:$DL$39,0),FALSE)</f>
        <v>8713</v>
      </c>
      <c r="Z5" s="7">
        <f>VLOOKUP(Z$1,'[1]Demanda requerida 2026'!$CB$74:$DL$97,MATCH(_xlfn.CONCAT(TEXT(DATE($A5,$B5,1),"mmm-yy"),$D5),'[1]Demanda requerida 2026'!$CB$39:$DL$39,0),FALSE)</f>
        <v>7088</v>
      </c>
      <c r="AA5" s="7">
        <f>VLOOKUP(AA$1,'[1]Demanda requerida 2026'!$CB$74:$DL$97,MATCH(_xlfn.CONCAT(TEXT(DATE($A5,$B5,1),"mmm-yy"),$D5),'[1]Demanda requerida 2026'!$CB$39:$DL$39,0),FALSE)</f>
        <v>4841</v>
      </c>
      <c r="AB5" s="7">
        <f>VLOOKUP(AB$1,'[1]Demanda requerida 2026'!$CB$74:$DL$97,MATCH(_xlfn.CONCAT(TEXT(DATE($A5,$B5,1),"mmm-yy"),$D5),'[1]Demanda requerida 2026'!$CB$39:$DL$39,0),FALSE)</f>
        <v>2335</v>
      </c>
      <c r="AC5" s="82">
        <f t="shared" si="0"/>
        <v>91958</v>
      </c>
      <c r="AD5" s="76">
        <f t="shared" ref="AD5" si="1">+SUMPRODUCT(AC5:AC7,C5:C7)</f>
        <v>3372840</v>
      </c>
      <c r="AE5" s="85"/>
    </row>
    <row r="6" spans="1:31" x14ac:dyDescent="0.25">
      <c r="A6" s="13">
        <v>2026</v>
      </c>
      <c r="B6" s="1">
        <v>2</v>
      </c>
      <c r="C6" s="1">
        <v>20</v>
      </c>
      <c r="D6" s="1" t="s">
        <v>31</v>
      </c>
      <c r="E6" s="8">
        <f>VLOOKUP(E$1,'[1]Demanda requerida 2026'!$CB$74:$DL$97,MATCH(_xlfn.CONCAT(TEXT(DATE($A6,$B6,1),"mmm-yy"),$D6),'[1]Demanda requerida 2026'!$CB$39:$DL$39,0),FALSE)</f>
        <v>200</v>
      </c>
      <c r="F6" s="8">
        <f>VLOOKUP(F$1,'[1]Demanda requerida 2026'!$CB$74:$DL$97,MATCH(_xlfn.CONCAT(TEXT(DATE($A6,$B6,1),"mmm-yy"),$D6),'[1]Demanda requerida 2026'!$CB$39:$DL$39,0),FALSE)</f>
        <v>200</v>
      </c>
      <c r="G6" s="8">
        <f>VLOOKUP(G$1,'[1]Demanda requerida 2026'!$CB$74:$DL$97,MATCH(_xlfn.CONCAT(TEXT(DATE($A6,$B6,1),"mmm-yy"),$D6),'[1]Demanda requerida 2026'!$CB$39:$DL$39,0),FALSE)</f>
        <v>200</v>
      </c>
      <c r="H6" s="8">
        <f>VLOOKUP(H$1,'[1]Demanda requerida 2026'!$CB$74:$DL$97,MATCH(_xlfn.CONCAT(TEXT(DATE($A6,$B6,1),"mmm-yy"),$D6),'[1]Demanda requerida 2026'!$CB$39:$DL$39,0),FALSE)</f>
        <v>200</v>
      </c>
      <c r="I6" s="8">
        <f>VLOOKUP(I$1,'[1]Demanda requerida 2026'!$CB$74:$DL$97,MATCH(_xlfn.CONCAT(TEXT(DATE($A6,$B6,1),"mmm-yy"),$D6),'[1]Demanda requerida 2026'!$CB$39:$DL$39,0),FALSE)</f>
        <v>200</v>
      </c>
      <c r="J6" s="8">
        <f>VLOOKUP(J$1,'[1]Demanda requerida 2026'!$CB$74:$DL$97,MATCH(_xlfn.CONCAT(TEXT(DATE($A6,$B6,1),"mmm-yy"),$D6),'[1]Demanda requerida 2026'!$CB$39:$DL$39,0),FALSE)</f>
        <v>200</v>
      </c>
      <c r="K6" s="8">
        <f>VLOOKUP(K$1,'[1]Demanda requerida 2026'!$CB$74:$DL$97,MATCH(_xlfn.CONCAT(TEXT(DATE($A6,$B6,1),"mmm-yy"),$D6),'[1]Demanda requerida 2026'!$CB$39:$DL$39,0),FALSE)</f>
        <v>731</v>
      </c>
      <c r="L6" s="8">
        <f>VLOOKUP(L$1,'[1]Demanda requerida 2026'!$CB$74:$DL$97,MATCH(_xlfn.CONCAT(TEXT(DATE($A6,$B6,1),"mmm-yy"),$D6),'[1]Demanda requerida 2026'!$CB$39:$DL$39,0),FALSE)</f>
        <v>1701</v>
      </c>
      <c r="M6" s="8">
        <f>VLOOKUP(M$1,'[1]Demanda requerida 2026'!$CB$74:$DL$97,MATCH(_xlfn.CONCAT(TEXT(DATE($A6,$B6,1),"mmm-yy"),$D6),'[1]Demanda requerida 2026'!$CB$39:$DL$39,0),FALSE)</f>
        <v>3987</v>
      </c>
      <c r="N6" s="8">
        <f>VLOOKUP(N$1,'[1]Demanda requerida 2026'!$CB$74:$DL$97,MATCH(_xlfn.CONCAT(TEXT(DATE($A6,$B6,1),"mmm-yy"),$D6),'[1]Demanda requerida 2026'!$CB$39:$DL$39,0),FALSE)</f>
        <v>4965</v>
      </c>
      <c r="O6" s="8">
        <f>VLOOKUP(O$1,'[1]Demanda requerida 2026'!$CB$74:$DL$97,MATCH(_xlfn.CONCAT(TEXT(DATE($A6,$B6,1),"mmm-yy"),$D6),'[1]Demanda requerida 2026'!$CB$39:$DL$39,0),FALSE)</f>
        <v>6501</v>
      </c>
      <c r="P6" s="8">
        <f>VLOOKUP(P$1,'[1]Demanda requerida 2026'!$CB$74:$DL$97,MATCH(_xlfn.CONCAT(TEXT(DATE($A6,$B6,1),"mmm-yy"),$D6),'[1]Demanda requerida 2026'!$CB$39:$DL$39,0),FALSE)</f>
        <v>8019</v>
      </c>
      <c r="Q6" s="8">
        <f>VLOOKUP(Q$1,'[1]Demanda requerida 2026'!$CB$74:$DL$97,MATCH(_xlfn.CONCAT(TEXT(DATE($A6,$B6,1),"mmm-yy"),$D6),'[1]Demanda requerida 2026'!$CB$39:$DL$39,0),FALSE)</f>
        <v>8379</v>
      </c>
      <c r="R6" s="8">
        <f>VLOOKUP(R$1,'[1]Demanda requerida 2026'!$CB$74:$DL$97,MATCH(_xlfn.CONCAT(TEXT(DATE($A6,$B6,1),"mmm-yy"),$D6),'[1]Demanda requerida 2026'!$CB$39:$DL$39,0),FALSE)</f>
        <v>8161</v>
      </c>
      <c r="S6" s="8">
        <f>VLOOKUP(S$1,'[1]Demanda requerida 2026'!$CB$74:$DL$97,MATCH(_xlfn.CONCAT(TEXT(DATE($A6,$B6,1),"mmm-yy"),$D6),'[1]Demanda requerida 2026'!$CB$39:$DL$39,0),FALSE)</f>
        <v>8538</v>
      </c>
      <c r="T6" s="8">
        <f>VLOOKUP(T$1,'[1]Demanda requerida 2026'!$CB$74:$DL$97,MATCH(_xlfn.CONCAT(TEXT(DATE($A6,$B6,1),"mmm-yy"),$D6),'[1]Demanda requerida 2026'!$CB$39:$DL$39,0),FALSE)</f>
        <v>8567</v>
      </c>
      <c r="U6" s="8">
        <f>VLOOKUP(U$1,'[1]Demanda requerida 2026'!$CB$74:$DL$97,MATCH(_xlfn.CONCAT(TEXT(DATE($A6,$B6,1),"mmm-yy"),$D6),'[1]Demanda requerida 2026'!$CB$39:$DL$39,0),FALSE)</f>
        <v>8310</v>
      </c>
      <c r="V6" s="8">
        <f>VLOOKUP(V$1,'[1]Demanda requerida 2026'!$CB$74:$DL$97,MATCH(_xlfn.CONCAT(TEXT(DATE($A6,$B6,1),"mmm-yy"),$D6),'[1]Demanda requerida 2026'!$CB$39:$DL$39,0),FALSE)</f>
        <v>9269</v>
      </c>
      <c r="W6" s="8">
        <f>VLOOKUP(W$1,'[1]Demanda requerida 2026'!$CB$74:$DL$97,MATCH(_xlfn.CONCAT(TEXT(DATE($A6,$B6,1),"mmm-yy"),$D6),'[1]Demanda requerida 2026'!$CB$39:$DL$39,0),FALSE)</f>
        <v>10533</v>
      </c>
      <c r="X6" s="8">
        <f>VLOOKUP(X$1,'[1]Demanda requerida 2026'!$CB$74:$DL$97,MATCH(_xlfn.CONCAT(TEXT(DATE($A6,$B6,1),"mmm-yy"),$D6),'[1]Demanda requerida 2026'!$CB$39:$DL$39,0),FALSE)</f>
        <v>11690</v>
      </c>
      <c r="Y6" s="8">
        <f>VLOOKUP(Y$1,'[1]Demanda requerida 2026'!$CB$74:$DL$97,MATCH(_xlfn.CONCAT(TEXT(DATE($A6,$B6,1),"mmm-yy"),$D6),'[1]Demanda requerida 2026'!$CB$39:$DL$39,0),FALSE)</f>
        <v>10833</v>
      </c>
      <c r="Z6" s="8">
        <f>VLOOKUP(Z$1,'[1]Demanda requerida 2026'!$CB$74:$DL$97,MATCH(_xlfn.CONCAT(TEXT(DATE($A6,$B6,1),"mmm-yy"),$D6),'[1]Demanda requerida 2026'!$CB$39:$DL$39,0),FALSE)</f>
        <v>8564</v>
      </c>
      <c r="AA6" s="8">
        <f>VLOOKUP(AA$1,'[1]Demanda requerida 2026'!$CB$74:$DL$97,MATCH(_xlfn.CONCAT(TEXT(DATE($A6,$B6,1),"mmm-yy"),$D6),'[1]Demanda requerida 2026'!$CB$39:$DL$39,0),FALSE)</f>
        <v>5522</v>
      </c>
      <c r="AB6" s="8">
        <f>VLOOKUP(AB$1,'[1]Demanda requerida 2026'!$CB$74:$DL$97,MATCH(_xlfn.CONCAT(TEXT(DATE($A6,$B6,1),"mmm-yy"),$D6),'[1]Demanda requerida 2026'!$CB$39:$DL$39,0),FALSE)</f>
        <v>2489</v>
      </c>
      <c r="AC6" s="84">
        <f t="shared" si="0"/>
        <v>127959</v>
      </c>
      <c r="AD6" s="77"/>
      <c r="AE6" s="85"/>
    </row>
    <row r="7" spans="1:31" ht="15.75" thickBot="1" x14ac:dyDescent="0.3">
      <c r="A7" s="14">
        <v>2026</v>
      </c>
      <c r="B7" s="15">
        <v>2</v>
      </c>
      <c r="C7" s="15">
        <v>4</v>
      </c>
      <c r="D7" s="15" t="s">
        <v>6</v>
      </c>
      <c r="E7" s="9">
        <f>VLOOKUP(E$1,'[1]Demanda requerida 2026'!$CB$74:$DL$97,MATCH(_xlfn.CONCAT(TEXT(DATE($A7,$B7,1),"mmm-yy"),$D7),'[1]Demanda requerida 2026'!$CB$39:$DL$39,0),FALSE)</f>
        <v>200</v>
      </c>
      <c r="F7" s="9">
        <f>VLOOKUP(F$1,'[1]Demanda requerida 2026'!$CB$74:$DL$97,MATCH(_xlfn.CONCAT(TEXT(DATE($A7,$B7,1),"mmm-yy"),$D7),'[1]Demanda requerida 2026'!$CB$39:$DL$39,0),FALSE)</f>
        <v>200</v>
      </c>
      <c r="G7" s="9">
        <f>VLOOKUP(G$1,'[1]Demanda requerida 2026'!$CB$74:$DL$97,MATCH(_xlfn.CONCAT(TEXT(DATE($A7,$B7,1),"mmm-yy"),$D7),'[1]Demanda requerida 2026'!$CB$39:$DL$39,0),FALSE)</f>
        <v>200</v>
      </c>
      <c r="H7" s="9">
        <f>VLOOKUP(H$1,'[1]Demanda requerida 2026'!$CB$74:$DL$97,MATCH(_xlfn.CONCAT(TEXT(DATE($A7,$B7,1),"mmm-yy"),$D7),'[1]Demanda requerida 2026'!$CB$39:$DL$39,0),FALSE)</f>
        <v>200</v>
      </c>
      <c r="I7" s="9">
        <f>VLOOKUP(I$1,'[1]Demanda requerida 2026'!$CB$74:$DL$97,MATCH(_xlfn.CONCAT(TEXT(DATE($A7,$B7,1),"mmm-yy"),$D7),'[1]Demanda requerida 2026'!$CB$39:$DL$39,0),FALSE)</f>
        <v>200</v>
      </c>
      <c r="J7" s="9">
        <f>VLOOKUP(J$1,'[1]Demanda requerida 2026'!$CB$74:$DL$97,MATCH(_xlfn.CONCAT(TEXT(DATE($A7,$B7,1),"mmm-yy"),$D7),'[1]Demanda requerida 2026'!$CB$39:$DL$39,0),FALSE)</f>
        <v>200</v>
      </c>
      <c r="K7" s="9">
        <f>VLOOKUP(K$1,'[1]Demanda requerida 2026'!$CB$74:$DL$97,MATCH(_xlfn.CONCAT(TEXT(DATE($A7,$B7,1),"mmm-yy"),$D7),'[1]Demanda requerida 2026'!$CB$39:$DL$39,0),FALSE)</f>
        <v>200</v>
      </c>
      <c r="L7" s="9">
        <f>VLOOKUP(L$1,'[1]Demanda requerida 2026'!$CB$74:$DL$97,MATCH(_xlfn.CONCAT(TEXT(DATE($A7,$B7,1),"mmm-yy"),$D7),'[1]Demanda requerida 2026'!$CB$39:$DL$39,0),FALSE)</f>
        <v>83</v>
      </c>
      <c r="M7" s="9">
        <f>VLOOKUP(M$1,'[1]Demanda requerida 2026'!$CB$74:$DL$97,MATCH(_xlfn.CONCAT(TEXT(DATE($A7,$B7,1),"mmm-yy"),$D7),'[1]Demanda requerida 2026'!$CB$39:$DL$39,0),FALSE)</f>
        <v>3390</v>
      </c>
      <c r="N7" s="9">
        <f>VLOOKUP(N$1,'[1]Demanda requerida 2026'!$CB$74:$DL$97,MATCH(_xlfn.CONCAT(TEXT(DATE($A7,$B7,1),"mmm-yy"),$D7),'[1]Demanda requerida 2026'!$CB$39:$DL$39,0),FALSE)</f>
        <v>4796</v>
      </c>
      <c r="O7" s="9">
        <f>VLOOKUP(O$1,'[1]Demanda requerida 2026'!$CB$74:$DL$97,MATCH(_xlfn.CONCAT(TEXT(DATE($A7,$B7,1),"mmm-yy"),$D7),'[1]Demanda requerida 2026'!$CB$39:$DL$39,0),FALSE)</f>
        <v>5810</v>
      </c>
      <c r="P7" s="9">
        <f>VLOOKUP(P$1,'[1]Demanda requerida 2026'!$CB$74:$DL$97,MATCH(_xlfn.CONCAT(TEXT(DATE($A7,$B7,1),"mmm-yy"),$D7),'[1]Demanda requerida 2026'!$CB$39:$DL$39,0),FALSE)</f>
        <v>7165</v>
      </c>
      <c r="Q7" s="9">
        <f>VLOOKUP(Q$1,'[1]Demanda requerida 2026'!$CB$74:$DL$97,MATCH(_xlfn.CONCAT(TEXT(DATE($A7,$B7,1),"mmm-yy"),$D7),'[1]Demanda requerida 2026'!$CB$39:$DL$39,0),FALSE)</f>
        <v>7507</v>
      </c>
      <c r="R7" s="9">
        <f>VLOOKUP(R$1,'[1]Demanda requerida 2026'!$CB$74:$DL$97,MATCH(_xlfn.CONCAT(TEXT(DATE($A7,$B7,1),"mmm-yy"),$D7),'[1]Demanda requerida 2026'!$CB$39:$DL$39,0),FALSE)</f>
        <v>7796</v>
      </c>
      <c r="S7" s="9">
        <f>VLOOKUP(S$1,'[1]Demanda requerida 2026'!$CB$74:$DL$97,MATCH(_xlfn.CONCAT(TEXT(DATE($A7,$B7,1),"mmm-yy"),$D7),'[1]Demanda requerida 2026'!$CB$39:$DL$39,0),FALSE)</f>
        <v>7401</v>
      </c>
      <c r="T7" s="9">
        <f>VLOOKUP(T$1,'[1]Demanda requerida 2026'!$CB$74:$DL$97,MATCH(_xlfn.CONCAT(TEXT(DATE($A7,$B7,1),"mmm-yy"),$D7),'[1]Demanda requerida 2026'!$CB$39:$DL$39,0),FALSE)</f>
        <v>5700</v>
      </c>
      <c r="U7" s="9">
        <f>VLOOKUP(U$1,'[1]Demanda requerida 2026'!$CB$74:$DL$97,MATCH(_xlfn.CONCAT(TEXT(DATE($A7,$B7,1),"mmm-yy"),$D7),'[1]Demanda requerida 2026'!$CB$39:$DL$39,0),FALSE)</f>
        <v>6062</v>
      </c>
      <c r="V7" s="9">
        <f>VLOOKUP(V$1,'[1]Demanda requerida 2026'!$CB$74:$DL$97,MATCH(_xlfn.CONCAT(TEXT(DATE($A7,$B7,1),"mmm-yy"),$D7),'[1]Demanda requerida 2026'!$CB$39:$DL$39,0),FALSE)</f>
        <v>7722</v>
      </c>
      <c r="W7" s="9">
        <f>VLOOKUP(W$1,'[1]Demanda requerida 2026'!$CB$74:$DL$97,MATCH(_xlfn.CONCAT(TEXT(DATE($A7,$B7,1),"mmm-yy"),$D7),'[1]Demanda requerida 2026'!$CB$39:$DL$39,0),FALSE)</f>
        <v>9411</v>
      </c>
      <c r="X7" s="9">
        <f>VLOOKUP(X$1,'[1]Demanda requerida 2026'!$CB$74:$DL$97,MATCH(_xlfn.CONCAT(TEXT(DATE($A7,$B7,1),"mmm-yy"),$D7),'[1]Demanda requerida 2026'!$CB$39:$DL$39,0),FALSE)</f>
        <v>10548</v>
      </c>
      <c r="Y7" s="9">
        <f>VLOOKUP(Y$1,'[1]Demanda requerida 2026'!$CB$74:$DL$97,MATCH(_xlfn.CONCAT(TEXT(DATE($A7,$B7,1),"mmm-yy"),$D7),'[1]Demanda requerida 2026'!$CB$39:$DL$39,0),FALSE)</f>
        <v>9980</v>
      </c>
      <c r="Z7" s="9">
        <f>VLOOKUP(Z$1,'[1]Demanda requerida 2026'!$CB$74:$DL$97,MATCH(_xlfn.CONCAT(TEXT(DATE($A7,$B7,1),"mmm-yy"),$D7),'[1]Demanda requerida 2026'!$CB$39:$DL$39,0),FALSE)</f>
        <v>8035</v>
      </c>
      <c r="AA7" s="9">
        <f>VLOOKUP(AA$1,'[1]Demanda requerida 2026'!$CB$74:$DL$97,MATCH(_xlfn.CONCAT(TEXT(DATE($A7,$B7,1),"mmm-yy"),$D7),'[1]Demanda requerida 2026'!$CB$39:$DL$39,0),FALSE)</f>
        <v>5418</v>
      </c>
      <c r="AB7" s="9">
        <f>VLOOKUP(AB$1,'[1]Demanda requerida 2026'!$CB$74:$DL$97,MATCH(_xlfn.CONCAT(TEXT(DATE($A7,$B7,1),"mmm-yy"),$D7),'[1]Demanda requerida 2026'!$CB$39:$DL$39,0),FALSE)</f>
        <v>3233</v>
      </c>
      <c r="AC7" s="86">
        <f t="shared" si="0"/>
        <v>111457</v>
      </c>
      <c r="AD7" s="78"/>
      <c r="AE7" s="85"/>
    </row>
    <row r="8" spans="1:31" x14ac:dyDescent="0.25">
      <c r="A8" s="11">
        <v>2026</v>
      </c>
      <c r="B8" s="12">
        <v>3</v>
      </c>
      <c r="C8" s="12">
        <v>6</v>
      </c>
      <c r="D8" s="12" t="s">
        <v>5</v>
      </c>
      <c r="E8" s="7">
        <f>VLOOKUP(E$1,'[1]Demanda requerida 2026'!$CB$74:$DL$97,MATCH(_xlfn.CONCAT(TEXT(DATE($A8,$B8,1),"mmm-yy"),$D8),'[1]Demanda requerida 2026'!$CB$39:$DL$39,0),FALSE)</f>
        <v>200</v>
      </c>
      <c r="F8" s="7">
        <f>VLOOKUP(F$1,'[1]Demanda requerida 2026'!$CB$74:$DL$97,MATCH(_xlfn.CONCAT(TEXT(DATE($A8,$B8,1),"mmm-yy"),$D8),'[1]Demanda requerida 2026'!$CB$39:$DL$39,0),FALSE)</f>
        <v>200</v>
      </c>
      <c r="G8" s="7">
        <f>VLOOKUP(G$1,'[1]Demanda requerida 2026'!$CB$74:$DL$97,MATCH(_xlfn.CONCAT(TEXT(DATE($A8,$B8,1),"mmm-yy"),$D8),'[1]Demanda requerida 2026'!$CB$39:$DL$39,0),FALSE)</f>
        <v>200</v>
      </c>
      <c r="H8" s="7">
        <f>VLOOKUP(H$1,'[1]Demanda requerida 2026'!$CB$74:$DL$97,MATCH(_xlfn.CONCAT(TEXT(DATE($A8,$B8,1),"mmm-yy"),$D8),'[1]Demanda requerida 2026'!$CB$39:$DL$39,0),FALSE)</f>
        <v>200</v>
      </c>
      <c r="I8" s="7">
        <f>VLOOKUP(I$1,'[1]Demanda requerida 2026'!$CB$74:$DL$97,MATCH(_xlfn.CONCAT(TEXT(DATE($A8,$B8,1),"mmm-yy"),$D8),'[1]Demanda requerida 2026'!$CB$39:$DL$39,0),FALSE)</f>
        <v>200</v>
      </c>
      <c r="J8" s="7">
        <f>VLOOKUP(J$1,'[1]Demanda requerida 2026'!$CB$74:$DL$97,MATCH(_xlfn.CONCAT(TEXT(DATE($A8,$B8,1),"mmm-yy"),$D8),'[1]Demanda requerida 2026'!$CB$39:$DL$39,0),FALSE)</f>
        <v>200</v>
      </c>
      <c r="K8" s="7">
        <f>VLOOKUP(K$1,'[1]Demanda requerida 2026'!$CB$74:$DL$97,MATCH(_xlfn.CONCAT(TEXT(DATE($A8,$B8,1),"mmm-yy"),$D8),'[1]Demanda requerida 2026'!$CB$39:$DL$39,0),FALSE)</f>
        <v>200</v>
      </c>
      <c r="L8" s="7">
        <f>VLOOKUP(L$1,'[1]Demanda requerida 2026'!$CB$74:$DL$97,MATCH(_xlfn.CONCAT(TEXT(DATE($A8,$B8,1),"mmm-yy"),$D8),'[1]Demanda requerida 2026'!$CB$39:$DL$39,0),FALSE)</f>
        <v>200</v>
      </c>
      <c r="M8" s="7">
        <f>VLOOKUP(M$1,'[1]Demanda requerida 2026'!$CB$74:$DL$97,MATCH(_xlfn.CONCAT(TEXT(DATE($A8,$B8,1),"mmm-yy"),$D8),'[1]Demanda requerida 2026'!$CB$39:$DL$39,0),FALSE)</f>
        <v>200</v>
      </c>
      <c r="N8" s="7">
        <f>VLOOKUP(N$1,'[1]Demanda requerida 2026'!$CB$74:$DL$97,MATCH(_xlfn.CONCAT(TEXT(DATE($A8,$B8,1),"mmm-yy"),$D8),'[1]Demanda requerida 2026'!$CB$39:$DL$39,0),FALSE)</f>
        <v>200</v>
      </c>
      <c r="O8" s="7">
        <f>VLOOKUP(O$1,'[1]Demanda requerida 2026'!$CB$74:$DL$97,MATCH(_xlfn.CONCAT(TEXT(DATE($A8,$B8,1),"mmm-yy"),$D8),'[1]Demanda requerida 2026'!$CB$39:$DL$39,0),FALSE)</f>
        <v>200</v>
      </c>
      <c r="P8" s="7">
        <f>VLOOKUP(P$1,'[1]Demanda requerida 2026'!$CB$74:$DL$97,MATCH(_xlfn.CONCAT(TEXT(DATE($A8,$B8,1),"mmm-yy"),$D8),'[1]Demanda requerida 2026'!$CB$39:$DL$39,0),FALSE)</f>
        <v>1015</v>
      </c>
      <c r="Q8" s="7">
        <f>VLOOKUP(Q$1,'[1]Demanda requerida 2026'!$CB$74:$DL$97,MATCH(_xlfn.CONCAT(TEXT(DATE($A8,$B8,1),"mmm-yy"),$D8),'[1]Demanda requerida 2026'!$CB$39:$DL$39,0),FALSE)</f>
        <v>1992</v>
      </c>
      <c r="R8" s="7">
        <f>VLOOKUP(R$1,'[1]Demanda requerida 2026'!$CB$74:$DL$97,MATCH(_xlfn.CONCAT(TEXT(DATE($A8,$B8,1),"mmm-yy"),$D8),'[1]Demanda requerida 2026'!$CB$39:$DL$39,0),FALSE)</f>
        <v>1807</v>
      </c>
      <c r="S8" s="7">
        <f>VLOOKUP(S$1,'[1]Demanda requerida 2026'!$CB$74:$DL$97,MATCH(_xlfn.CONCAT(TEXT(DATE($A8,$B8,1),"mmm-yy"),$D8),'[1]Demanda requerida 2026'!$CB$39:$DL$39,0),FALSE)</f>
        <v>805</v>
      </c>
      <c r="T8" s="7">
        <f>VLOOKUP(T$1,'[1]Demanda requerida 2026'!$CB$74:$DL$97,MATCH(_xlfn.CONCAT(TEXT(DATE($A8,$B8,1),"mmm-yy"),$D8),'[1]Demanda requerida 2026'!$CB$39:$DL$39,0),FALSE)</f>
        <v>199</v>
      </c>
      <c r="U8" s="7">
        <f>VLOOKUP(U$1,'[1]Demanda requerida 2026'!$CB$74:$DL$97,MATCH(_xlfn.CONCAT(TEXT(DATE($A8,$B8,1),"mmm-yy"),$D8),'[1]Demanda requerida 2026'!$CB$39:$DL$39,0),FALSE)</f>
        <v>200</v>
      </c>
      <c r="V8" s="7">
        <f>VLOOKUP(V$1,'[1]Demanda requerida 2026'!$CB$74:$DL$97,MATCH(_xlfn.CONCAT(TEXT(DATE($A8,$B8,1),"mmm-yy"),$D8),'[1]Demanda requerida 2026'!$CB$39:$DL$39,0),FALSE)</f>
        <v>1338</v>
      </c>
      <c r="W8" s="7">
        <f>VLOOKUP(W$1,'[1]Demanda requerida 2026'!$CB$74:$DL$97,MATCH(_xlfn.CONCAT(TEXT(DATE($A8,$B8,1),"mmm-yy"),$D8),'[1]Demanda requerida 2026'!$CB$39:$DL$39,0),FALSE)</f>
        <v>3140</v>
      </c>
      <c r="X8" s="7">
        <f>VLOOKUP(X$1,'[1]Demanda requerida 2026'!$CB$74:$DL$97,MATCH(_xlfn.CONCAT(TEXT(DATE($A8,$B8,1),"mmm-yy"),$D8),'[1]Demanda requerida 2026'!$CB$39:$DL$39,0),FALSE)</f>
        <v>4940</v>
      </c>
      <c r="Y8" s="7">
        <f>VLOOKUP(Y$1,'[1]Demanda requerida 2026'!$CB$74:$DL$97,MATCH(_xlfn.CONCAT(TEXT(DATE($A8,$B8,1),"mmm-yy"),$D8),'[1]Demanda requerida 2026'!$CB$39:$DL$39,0),FALSE)</f>
        <v>4494</v>
      </c>
      <c r="Z8" s="7">
        <f>VLOOKUP(Z$1,'[1]Demanda requerida 2026'!$CB$74:$DL$97,MATCH(_xlfn.CONCAT(TEXT(DATE($A8,$B8,1),"mmm-yy"),$D8),'[1]Demanda requerida 2026'!$CB$39:$DL$39,0),FALSE)</f>
        <v>2951</v>
      </c>
      <c r="AA8" s="7">
        <f>VLOOKUP(AA$1,'[1]Demanda requerida 2026'!$CB$74:$DL$97,MATCH(_xlfn.CONCAT(TEXT(DATE($A8,$B8,1),"mmm-yy"),$D8),'[1]Demanda requerida 2026'!$CB$39:$DL$39,0),FALSE)</f>
        <v>632</v>
      </c>
      <c r="AB8" s="7">
        <f>VLOOKUP(AB$1,'[1]Demanda requerida 2026'!$CB$74:$DL$97,MATCH(_xlfn.CONCAT(TEXT(DATE($A8,$B8,1),"mmm-yy"),$D8),'[1]Demanda requerida 2026'!$CB$39:$DL$39,0),FALSE)</f>
        <v>200</v>
      </c>
      <c r="AC8" s="82">
        <f t="shared" si="0"/>
        <v>25913</v>
      </c>
      <c r="AD8" s="76">
        <f t="shared" ref="AD8" si="2">+SUMPRODUCT(AC8:AC10,C8:C10)</f>
        <v>4477313</v>
      </c>
      <c r="AE8" s="85"/>
    </row>
    <row r="9" spans="1:31" x14ac:dyDescent="0.25">
      <c r="A9" s="13">
        <v>2026</v>
      </c>
      <c r="B9" s="1">
        <v>3</v>
      </c>
      <c r="C9" s="1">
        <v>21</v>
      </c>
      <c r="D9" s="1" t="s">
        <v>31</v>
      </c>
      <c r="E9" s="8">
        <f>VLOOKUP(E$1,'[1]Demanda requerida 2026'!$CB$74:$DL$97,MATCH(_xlfn.CONCAT(TEXT(DATE($A9,$B9,1),"mmm-yy"),$D9),'[1]Demanda requerida 2026'!$CB$39:$DL$39,0),FALSE)</f>
        <v>1777</v>
      </c>
      <c r="F9" s="8">
        <f>VLOOKUP(F$1,'[1]Demanda requerida 2026'!$CB$74:$DL$97,MATCH(_xlfn.CONCAT(TEXT(DATE($A9,$B9,1),"mmm-yy"),$D9),'[1]Demanda requerida 2026'!$CB$39:$DL$39,0),FALSE)</f>
        <v>709</v>
      </c>
      <c r="G9" s="8">
        <f>VLOOKUP(G$1,'[1]Demanda requerida 2026'!$CB$74:$DL$97,MATCH(_xlfn.CONCAT(TEXT(DATE($A9,$B9,1),"mmm-yy"),$D9),'[1]Demanda requerida 2026'!$CB$39:$DL$39,0),FALSE)</f>
        <v>200</v>
      </c>
      <c r="H9" s="8">
        <f>VLOOKUP(H$1,'[1]Demanda requerida 2026'!$CB$74:$DL$97,MATCH(_xlfn.CONCAT(TEXT(DATE($A9,$B9,1),"mmm-yy"),$D9),'[1]Demanda requerida 2026'!$CB$39:$DL$39,0),FALSE)</f>
        <v>200</v>
      </c>
      <c r="I9" s="8">
        <f>VLOOKUP(I$1,'[1]Demanda requerida 2026'!$CB$74:$DL$97,MATCH(_xlfn.CONCAT(TEXT(DATE($A9,$B9,1),"mmm-yy"),$D9),'[1]Demanda requerida 2026'!$CB$39:$DL$39,0),FALSE)</f>
        <v>200</v>
      </c>
      <c r="J9" s="8">
        <f>VLOOKUP(J$1,'[1]Demanda requerida 2026'!$CB$74:$DL$97,MATCH(_xlfn.CONCAT(TEXT(DATE($A9,$B9,1),"mmm-yy"),$D9),'[1]Demanda requerida 2026'!$CB$39:$DL$39,0),FALSE)</f>
        <v>938</v>
      </c>
      <c r="K9" s="8">
        <f>VLOOKUP(K$1,'[1]Demanda requerida 2026'!$CB$74:$DL$97,MATCH(_xlfn.CONCAT(TEXT(DATE($A9,$B9,1),"mmm-yy"),$D9),'[1]Demanda requerida 2026'!$CB$39:$DL$39,0),FALSE)</f>
        <v>2484</v>
      </c>
      <c r="L9" s="8">
        <f>VLOOKUP(L$1,'[1]Demanda requerida 2026'!$CB$74:$DL$97,MATCH(_xlfn.CONCAT(TEXT(DATE($A9,$B9,1),"mmm-yy"),$D9),'[1]Demanda requerida 2026'!$CB$39:$DL$39,0),FALSE)</f>
        <v>3865</v>
      </c>
      <c r="M9" s="8">
        <f>VLOOKUP(M$1,'[1]Demanda requerida 2026'!$CB$74:$DL$97,MATCH(_xlfn.CONCAT(TEXT(DATE($A9,$B9,1),"mmm-yy"),$D9),'[1]Demanda requerida 2026'!$CB$39:$DL$39,0),FALSE)</f>
        <v>6357</v>
      </c>
      <c r="N9" s="8">
        <f>VLOOKUP(N$1,'[1]Demanda requerida 2026'!$CB$74:$DL$97,MATCH(_xlfn.CONCAT(TEXT(DATE($A9,$B9,1),"mmm-yy"),$D9),'[1]Demanda requerida 2026'!$CB$39:$DL$39,0),FALSE)</f>
        <v>7731</v>
      </c>
      <c r="O9" s="8">
        <f>VLOOKUP(O$1,'[1]Demanda requerida 2026'!$CB$74:$DL$97,MATCH(_xlfn.CONCAT(TEXT(DATE($A9,$B9,1),"mmm-yy"),$D9),'[1]Demanda requerida 2026'!$CB$39:$DL$39,0),FALSE)</f>
        <v>9120</v>
      </c>
      <c r="P9" s="8">
        <f>VLOOKUP(P$1,'[1]Demanda requerida 2026'!$CB$74:$DL$97,MATCH(_xlfn.CONCAT(TEXT(DATE($A9,$B9,1),"mmm-yy"),$D9),'[1]Demanda requerida 2026'!$CB$39:$DL$39,0),FALSE)</f>
        <v>10615</v>
      </c>
      <c r="Q9" s="8">
        <f>VLOOKUP(Q$1,'[1]Demanda requerida 2026'!$CB$74:$DL$97,MATCH(_xlfn.CONCAT(TEXT(DATE($A9,$B9,1),"mmm-yy"),$D9),'[1]Demanda requerida 2026'!$CB$39:$DL$39,0),FALSE)</f>
        <v>10760</v>
      </c>
      <c r="R9" s="8">
        <f>VLOOKUP(R$1,'[1]Demanda requerida 2026'!$CB$74:$DL$97,MATCH(_xlfn.CONCAT(TEXT(DATE($A9,$B9,1),"mmm-yy"),$D9),'[1]Demanda requerida 2026'!$CB$39:$DL$39,0),FALSE)</f>
        <v>10787</v>
      </c>
      <c r="S9" s="8">
        <f>VLOOKUP(S$1,'[1]Demanda requerida 2026'!$CB$74:$DL$97,MATCH(_xlfn.CONCAT(TEXT(DATE($A9,$B9,1),"mmm-yy"),$D9),'[1]Demanda requerida 2026'!$CB$39:$DL$39,0),FALSE)</f>
        <v>11710</v>
      </c>
      <c r="T9" s="8">
        <f>VLOOKUP(T$1,'[1]Demanda requerida 2026'!$CB$74:$DL$97,MATCH(_xlfn.CONCAT(TEXT(DATE($A9,$B9,1),"mmm-yy"),$D9),'[1]Demanda requerida 2026'!$CB$39:$DL$39,0),FALSE)</f>
        <v>11741</v>
      </c>
      <c r="U9" s="8">
        <f>VLOOKUP(U$1,'[1]Demanda requerida 2026'!$CB$74:$DL$97,MATCH(_xlfn.CONCAT(TEXT(DATE($A9,$B9,1),"mmm-yy"),$D9),'[1]Demanda requerida 2026'!$CB$39:$DL$39,0),FALSE)</f>
        <v>11521</v>
      </c>
      <c r="V9" s="8">
        <f>VLOOKUP(V$1,'[1]Demanda requerida 2026'!$CB$74:$DL$97,MATCH(_xlfn.CONCAT(TEXT(DATE($A9,$B9,1),"mmm-yy"),$D9),'[1]Demanda requerida 2026'!$CB$39:$DL$39,0),FALSE)</f>
        <v>12344</v>
      </c>
      <c r="W9" s="8">
        <f>VLOOKUP(W$1,'[1]Demanda requerida 2026'!$CB$74:$DL$97,MATCH(_xlfn.CONCAT(TEXT(DATE($A9,$B9,1),"mmm-yy"),$D9),'[1]Demanda requerida 2026'!$CB$39:$DL$39,0),FALSE)</f>
        <v>13520</v>
      </c>
      <c r="X9" s="8">
        <f>VLOOKUP(X$1,'[1]Demanda requerida 2026'!$CB$74:$DL$97,MATCH(_xlfn.CONCAT(TEXT(DATE($A9,$B9,1),"mmm-yy"),$D9),'[1]Demanda requerida 2026'!$CB$39:$DL$39,0),FALSE)</f>
        <v>14719</v>
      </c>
      <c r="Y9" s="8">
        <f>VLOOKUP(Y$1,'[1]Demanda requerida 2026'!$CB$74:$DL$97,MATCH(_xlfn.CONCAT(TEXT(DATE($A9,$B9,1),"mmm-yy"),$D9),'[1]Demanda requerida 2026'!$CB$39:$DL$39,0),FALSE)</f>
        <v>13464</v>
      </c>
      <c r="Z9" s="8">
        <f>VLOOKUP(Z$1,'[1]Demanda requerida 2026'!$CB$74:$DL$97,MATCH(_xlfn.CONCAT(TEXT(DATE($A9,$B9,1),"mmm-yy"),$D9),'[1]Demanda requerida 2026'!$CB$39:$DL$39,0),FALSE)</f>
        <v>11126</v>
      </c>
      <c r="AA9" s="8">
        <f>VLOOKUP(AA$1,'[1]Demanda requerida 2026'!$CB$74:$DL$97,MATCH(_xlfn.CONCAT(TEXT(DATE($A9,$B9,1),"mmm-yy"),$D9),'[1]Demanda requerida 2026'!$CB$39:$DL$39,0),FALSE)</f>
        <v>7994</v>
      </c>
      <c r="AB9" s="8">
        <f>VLOOKUP(AB$1,'[1]Demanda requerida 2026'!$CB$74:$DL$97,MATCH(_xlfn.CONCAT(TEXT(DATE($A9,$B9,1),"mmm-yy"),$D9),'[1]Demanda requerida 2026'!$CB$39:$DL$39,0),FALSE)</f>
        <v>5081</v>
      </c>
      <c r="AC9" s="84">
        <f t="shared" si="0"/>
        <v>178963</v>
      </c>
      <c r="AD9" s="77"/>
      <c r="AE9" s="85"/>
    </row>
    <row r="10" spans="1:31" ht="15.75" thickBot="1" x14ac:dyDescent="0.3">
      <c r="A10" s="14">
        <v>2026</v>
      </c>
      <c r="B10" s="15">
        <v>3</v>
      </c>
      <c r="C10" s="15">
        <v>4</v>
      </c>
      <c r="D10" s="15" t="s">
        <v>6</v>
      </c>
      <c r="E10" s="9">
        <f>VLOOKUP(E$1,'[1]Demanda requerida 2026'!$CB$74:$DL$97,MATCH(_xlfn.CONCAT(TEXT(DATE($A10,$B10,1),"mmm-yy"),$D10),'[1]Demanda requerida 2026'!$CB$39:$DL$39,0),FALSE)</f>
        <v>424</v>
      </c>
      <c r="F10" s="9">
        <f>VLOOKUP(F$1,'[1]Demanda requerida 2026'!$CB$74:$DL$97,MATCH(_xlfn.CONCAT(TEXT(DATE($A10,$B10,1),"mmm-yy"),$D10),'[1]Demanda requerida 2026'!$CB$39:$DL$39,0),FALSE)</f>
        <v>200</v>
      </c>
      <c r="G10" s="9">
        <f>VLOOKUP(G$1,'[1]Demanda requerida 2026'!$CB$74:$DL$97,MATCH(_xlfn.CONCAT(TEXT(DATE($A10,$B10,1),"mmm-yy"),$D10),'[1]Demanda requerida 2026'!$CB$39:$DL$39,0),FALSE)</f>
        <v>200</v>
      </c>
      <c r="H10" s="9">
        <f>VLOOKUP(H$1,'[1]Demanda requerida 2026'!$CB$74:$DL$97,MATCH(_xlfn.CONCAT(TEXT(DATE($A10,$B10,1),"mmm-yy"),$D10),'[1]Demanda requerida 2026'!$CB$39:$DL$39,0),FALSE)</f>
        <v>200</v>
      </c>
      <c r="I10" s="9">
        <f>VLOOKUP(I$1,'[1]Demanda requerida 2026'!$CB$74:$DL$97,MATCH(_xlfn.CONCAT(TEXT(DATE($A10,$B10,1),"mmm-yy"),$D10),'[1]Demanda requerida 2026'!$CB$39:$DL$39,0),FALSE)</f>
        <v>200</v>
      </c>
      <c r="J10" s="9">
        <f>VLOOKUP(J$1,'[1]Demanda requerida 2026'!$CB$74:$DL$97,MATCH(_xlfn.CONCAT(TEXT(DATE($A10,$B10,1),"mmm-yy"),$D10),'[1]Demanda requerida 2026'!$CB$39:$DL$39,0),FALSE)</f>
        <v>200</v>
      </c>
      <c r="K10" s="9">
        <f>VLOOKUP(K$1,'[1]Demanda requerida 2026'!$CB$74:$DL$97,MATCH(_xlfn.CONCAT(TEXT(DATE($A10,$B10,1),"mmm-yy"),$D10),'[1]Demanda requerida 2026'!$CB$39:$DL$39,0),FALSE)</f>
        <v>200</v>
      </c>
      <c r="L10" s="9">
        <f>VLOOKUP(L$1,'[1]Demanda requerida 2026'!$CB$74:$DL$97,MATCH(_xlfn.CONCAT(TEXT(DATE($A10,$B10,1),"mmm-yy"),$D10),'[1]Demanda requerida 2026'!$CB$39:$DL$39,0),FALSE)</f>
        <v>590</v>
      </c>
      <c r="M10" s="9">
        <f>VLOOKUP(M$1,'[1]Demanda requerida 2026'!$CB$74:$DL$97,MATCH(_xlfn.CONCAT(TEXT(DATE($A10,$B10,1),"mmm-yy"),$D10),'[1]Demanda requerida 2026'!$CB$39:$DL$39,0),FALSE)</f>
        <v>3913</v>
      </c>
      <c r="N10" s="9">
        <f>VLOOKUP(N$1,'[1]Demanda requerida 2026'!$CB$74:$DL$97,MATCH(_xlfn.CONCAT(TEXT(DATE($A10,$B10,1),"mmm-yy"),$D10),'[1]Demanda requerida 2026'!$CB$39:$DL$39,0),FALSE)</f>
        <v>5692</v>
      </c>
      <c r="O10" s="9">
        <f>VLOOKUP(O$1,'[1]Demanda requerida 2026'!$CB$74:$DL$97,MATCH(_xlfn.CONCAT(TEXT(DATE($A10,$B10,1),"mmm-yy"),$D10),'[1]Demanda requerida 2026'!$CB$39:$DL$39,0),FALSE)</f>
        <v>7065</v>
      </c>
      <c r="P10" s="9">
        <f>VLOOKUP(P$1,'[1]Demanda requerida 2026'!$CB$74:$DL$97,MATCH(_xlfn.CONCAT(TEXT(DATE($A10,$B10,1),"mmm-yy"),$D10),'[1]Demanda requerida 2026'!$CB$39:$DL$39,0),FALSE)</f>
        <v>8887</v>
      </c>
      <c r="Q10" s="9">
        <f>VLOOKUP(Q$1,'[1]Demanda requerida 2026'!$CB$74:$DL$97,MATCH(_xlfn.CONCAT(TEXT(DATE($A10,$B10,1),"mmm-yy"),$D10),'[1]Demanda requerida 2026'!$CB$39:$DL$39,0),FALSE)</f>
        <v>9476</v>
      </c>
      <c r="R10" s="9">
        <f>VLOOKUP(R$1,'[1]Demanda requerida 2026'!$CB$74:$DL$97,MATCH(_xlfn.CONCAT(TEXT(DATE($A10,$B10,1),"mmm-yy"),$D10),'[1]Demanda requerida 2026'!$CB$39:$DL$39,0),FALSE)</f>
        <v>9434</v>
      </c>
      <c r="S10" s="9">
        <f>VLOOKUP(S$1,'[1]Demanda requerida 2026'!$CB$74:$DL$97,MATCH(_xlfn.CONCAT(TEXT(DATE($A10,$B10,1),"mmm-yy"),$D10),'[1]Demanda requerida 2026'!$CB$39:$DL$39,0),FALSE)</f>
        <v>9318</v>
      </c>
      <c r="T10" s="9">
        <f>VLOOKUP(T$1,'[1]Demanda requerida 2026'!$CB$74:$DL$97,MATCH(_xlfn.CONCAT(TEXT(DATE($A10,$B10,1),"mmm-yy"),$D10),'[1]Demanda requerida 2026'!$CB$39:$DL$39,0),FALSE)</f>
        <v>8948</v>
      </c>
      <c r="U10" s="9">
        <f>VLOOKUP(U$1,'[1]Demanda requerida 2026'!$CB$74:$DL$97,MATCH(_xlfn.CONCAT(TEXT(DATE($A10,$B10,1),"mmm-yy"),$D10),'[1]Demanda requerida 2026'!$CB$39:$DL$39,0),FALSE)</f>
        <v>7867</v>
      </c>
      <c r="V10" s="9">
        <f>VLOOKUP(V$1,'[1]Demanda requerida 2026'!$CB$74:$DL$97,MATCH(_xlfn.CONCAT(TEXT(DATE($A10,$B10,1),"mmm-yy"),$D10),'[1]Demanda requerida 2026'!$CB$39:$DL$39,0),FALSE)</f>
        <v>9568</v>
      </c>
      <c r="W10" s="9">
        <f>VLOOKUP(W$1,'[1]Demanda requerida 2026'!$CB$74:$DL$97,MATCH(_xlfn.CONCAT(TEXT(DATE($A10,$B10,1),"mmm-yy"),$D10),'[1]Demanda requerida 2026'!$CB$39:$DL$39,0),FALSE)</f>
        <v>11158</v>
      </c>
      <c r="X10" s="9">
        <f>VLOOKUP(X$1,'[1]Demanda requerida 2026'!$CB$74:$DL$97,MATCH(_xlfn.CONCAT(TEXT(DATE($A10,$B10,1),"mmm-yy"),$D10),'[1]Demanda requerida 2026'!$CB$39:$DL$39,0),FALSE)</f>
        <v>12563</v>
      </c>
      <c r="Y10" s="9">
        <f>VLOOKUP(Y$1,'[1]Demanda requerida 2026'!$CB$74:$DL$97,MATCH(_xlfn.CONCAT(TEXT(DATE($A10,$B10,1),"mmm-yy"),$D10),'[1]Demanda requerida 2026'!$CB$39:$DL$39,0),FALSE)</f>
        <v>11736</v>
      </c>
      <c r="Z10" s="9">
        <f>VLOOKUP(Z$1,'[1]Demanda requerida 2026'!$CB$74:$DL$97,MATCH(_xlfn.CONCAT(TEXT(DATE($A10,$B10,1),"mmm-yy"),$D10),'[1]Demanda requerida 2026'!$CB$39:$DL$39,0),FALSE)</f>
        <v>10102</v>
      </c>
      <c r="AA10" s="9">
        <f>VLOOKUP(AA$1,'[1]Demanda requerida 2026'!$CB$74:$DL$97,MATCH(_xlfn.CONCAT(TEXT(DATE($A10,$B10,1),"mmm-yy"),$D10),'[1]Demanda requerida 2026'!$CB$39:$DL$39,0),FALSE)</f>
        <v>7613</v>
      </c>
      <c r="AB10" s="9">
        <f>VLOOKUP(AB$1,'[1]Demanda requerida 2026'!$CB$74:$DL$97,MATCH(_xlfn.CONCAT(TEXT(DATE($A10,$B10,1),"mmm-yy"),$D10),'[1]Demanda requerida 2026'!$CB$39:$DL$39,0),FALSE)</f>
        <v>5349</v>
      </c>
      <c r="AC10" s="86">
        <f t="shared" si="0"/>
        <v>140903</v>
      </c>
      <c r="AD10" s="78"/>
      <c r="AE10" s="85"/>
    </row>
    <row r="11" spans="1:31" x14ac:dyDescent="0.25">
      <c r="A11" s="11">
        <v>2026</v>
      </c>
      <c r="B11" s="12">
        <v>4</v>
      </c>
      <c r="C11" s="12">
        <v>6</v>
      </c>
      <c r="D11" s="12" t="s">
        <v>5</v>
      </c>
      <c r="E11" s="7">
        <f>VLOOKUP(E$1,'[1]Demanda requerida 2026'!$CB$74:$DL$97,MATCH(_xlfn.CONCAT(TEXT(DATE($A11,$B11,1),"mmm-yy"),$D11),'[1]Demanda requerida 2026'!$CB$39:$DL$39,0),FALSE)</f>
        <v>200</v>
      </c>
      <c r="F11" s="7">
        <f>VLOOKUP(F$1,'[1]Demanda requerida 2026'!$CB$74:$DL$97,MATCH(_xlfn.CONCAT(TEXT(DATE($A11,$B11,1),"mmm-yy"),$D11),'[1]Demanda requerida 2026'!$CB$39:$DL$39,0),FALSE)</f>
        <v>200</v>
      </c>
      <c r="G11" s="7">
        <f>VLOOKUP(G$1,'[1]Demanda requerida 2026'!$CB$74:$DL$97,MATCH(_xlfn.CONCAT(TEXT(DATE($A11,$B11,1),"mmm-yy"),$D11),'[1]Demanda requerida 2026'!$CB$39:$DL$39,0),FALSE)</f>
        <v>200</v>
      </c>
      <c r="H11" s="7">
        <f>VLOOKUP(H$1,'[1]Demanda requerida 2026'!$CB$74:$DL$97,MATCH(_xlfn.CONCAT(TEXT(DATE($A11,$B11,1),"mmm-yy"),$D11),'[1]Demanda requerida 2026'!$CB$39:$DL$39,0),FALSE)</f>
        <v>200</v>
      </c>
      <c r="I11" s="7">
        <f>VLOOKUP(I$1,'[1]Demanda requerida 2026'!$CB$74:$DL$97,MATCH(_xlfn.CONCAT(TEXT(DATE($A11,$B11,1),"mmm-yy"),$D11),'[1]Demanda requerida 2026'!$CB$39:$DL$39,0),FALSE)</f>
        <v>200</v>
      </c>
      <c r="J11" s="7">
        <f>VLOOKUP(J$1,'[1]Demanda requerida 2026'!$CB$74:$DL$97,MATCH(_xlfn.CONCAT(TEXT(DATE($A11,$B11,1),"mmm-yy"),$D11),'[1]Demanda requerida 2026'!$CB$39:$DL$39,0),FALSE)</f>
        <v>200</v>
      </c>
      <c r="K11" s="7">
        <f>VLOOKUP(K$1,'[1]Demanda requerida 2026'!$CB$74:$DL$97,MATCH(_xlfn.CONCAT(TEXT(DATE($A11,$B11,1),"mmm-yy"),$D11),'[1]Demanda requerida 2026'!$CB$39:$DL$39,0),FALSE)</f>
        <v>200</v>
      </c>
      <c r="L11" s="7">
        <f>VLOOKUP(L$1,'[1]Demanda requerida 2026'!$CB$74:$DL$97,MATCH(_xlfn.CONCAT(TEXT(DATE($A11,$B11,1),"mmm-yy"),$D11),'[1]Demanda requerida 2026'!$CB$39:$DL$39,0),FALSE)</f>
        <v>200</v>
      </c>
      <c r="M11" s="7">
        <f>VLOOKUP(M$1,'[1]Demanda requerida 2026'!$CB$74:$DL$97,MATCH(_xlfn.CONCAT(TEXT(DATE($A11,$B11,1),"mmm-yy"),$D11),'[1]Demanda requerida 2026'!$CB$39:$DL$39,0),FALSE)</f>
        <v>200</v>
      </c>
      <c r="N11" s="7">
        <f>VLOOKUP(N$1,'[1]Demanda requerida 2026'!$CB$74:$DL$97,MATCH(_xlfn.CONCAT(TEXT(DATE($A11,$B11,1),"mmm-yy"),$D11),'[1]Demanda requerida 2026'!$CB$39:$DL$39,0),FALSE)</f>
        <v>200</v>
      </c>
      <c r="O11" s="7">
        <f>VLOOKUP(O$1,'[1]Demanda requerida 2026'!$CB$74:$DL$97,MATCH(_xlfn.CONCAT(TEXT(DATE($A11,$B11,1),"mmm-yy"),$D11),'[1]Demanda requerida 2026'!$CB$39:$DL$39,0),FALSE)</f>
        <v>200</v>
      </c>
      <c r="P11" s="7">
        <f>VLOOKUP(P$1,'[1]Demanda requerida 2026'!$CB$74:$DL$97,MATCH(_xlfn.CONCAT(TEXT(DATE($A11,$B11,1),"mmm-yy"),$D11),'[1]Demanda requerida 2026'!$CB$39:$DL$39,0),FALSE)</f>
        <v>200</v>
      </c>
      <c r="Q11" s="7">
        <f>VLOOKUP(Q$1,'[1]Demanda requerida 2026'!$CB$74:$DL$97,MATCH(_xlfn.CONCAT(TEXT(DATE($A11,$B11,1),"mmm-yy"),$D11),'[1]Demanda requerida 2026'!$CB$39:$DL$39,0),FALSE)</f>
        <v>200</v>
      </c>
      <c r="R11" s="7">
        <f>VLOOKUP(R$1,'[1]Demanda requerida 2026'!$CB$74:$DL$97,MATCH(_xlfn.CONCAT(TEXT(DATE($A11,$B11,1),"mmm-yy"),$D11),'[1]Demanda requerida 2026'!$CB$39:$DL$39,0),FALSE)</f>
        <v>200</v>
      </c>
      <c r="S11" s="7">
        <f>VLOOKUP(S$1,'[1]Demanda requerida 2026'!$CB$74:$DL$97,MATCH(_xlfn.CONCAT(TEXT(DATE($A11,$B11,1),"mmm-yy"),$D11),'[1]Demanda requerida 2026'!$CB$39:$DL$39,0),FALSE)</f>
        <v>200</v>
      </c>
      <c r="T11" s="7">
        <f>VLOOKUP(T$1,'[1]Demanda requerida 2026'!$CB$74:$DL$97,MATCH(_xlfn.CONCAT(TEXT(DATE($A11,$B11,1),"mmm-yy"),$D11),'[1]Demanda requerida 2026'!$CB$39:$DL$39,0),FALSE)</f>
        <v>200</v>
      </c>
      <c r="U11" s="7">
        <f>VLOOKUP(U$1,'[1]Demanda requerida 2026'!$CB$74:$DL$97,MATCH(_xlfn.CONCAT(TEXT(DATE($A11,$B11,1),"mmm-yy"),$D11),'[1]Demanda requerida 2026'!$CB$39:$DL$39,0),FALSE)</f>
        <v>200</v>
      </c>
      <c r="V11" s="7">
        <f>VLOOKUP(V$1,'[1]Demanda requerida 2026'!$CB$74:$DL$97,MATCH(_xlfn.CONCAT(TEXT(DATE($A11,$B11,1),"mmm-yy"),$D11),'[1]Demanda requerida 2026'!$CB$39:$DL$39,0),FALSE)</f>
        <v>463</v>
      </c>
      <c r="W11" s="7">
        <f>VLOOKUP(W$1,'[1]Demanda requerida 2026'!$CB$74:$DL$97,MATCH(_xlfn.CONCAT(TEXT(DATE($A11,$B11,1),"mmm-yy"),$D11),'[1]Demanda requerida 2026'!$CB$39:$DL$39,0),FALSE)</f>
        <v>885</v>
      </c>
      <c r="X11" s="7">
        <f>VLOOKUP(X$1,'[1]Demanda requerida 2026'!$CB$74:$DL$97,MATCH(_xlfn.CONCAT(TEXT(DATE($A11,$B11,1),"mmm-yy"),$D11),'[1]Demanda requerida 2026'!$CB$39:$DL$39,0),FALSE)</f>
        <v>2578</v>
      </c>
      <c r="Y11" s="7">
        <f>VLOOKUP(Y$1,'[1]Demanda requerida 2026'!$CB$74:$DL$97,MATCH(_xlfn.CONCAT(TEXT(DATE($A11,$B11,1),"mmm-yy"),$D11),'[1]Demanda requerida 2026'!$CB$39:$DL$39,0),FALSE)</f>
        <v>2601</v>
      </c>
      <c r="Z11" s="7">
        <f>VLOOKUP(Z$1,'[1]Demanda requerida 2026'!$CB$74:$DL$97,MATCH(_xlfn.CONCAT(TEXT(DATE($A11,$B11,1),"mmm-yy"),$D11),'[1]Demanda requerida 2026'!$CB$39:$DL$39,0),FALSE)</f>
        <v>1991</v>
      </c>
      <c r="AA11" s="7">
        <f>VLOOKUP(AA$1,'[1]Demanda requerida 2026'!$CB$74:$DL$97,MATCH(_xlfn.CONCAT(TEXT(DATE($A11,$B11,1),"mmm-yy"),$D11),'[1]Demanda requerida 2026'!$CB$39:$DL$39,0),FALSE)</f>
        <v>927</v>
      </c>
      <c r="AB11" s="7">
        <f>VLOOKUP(AB$1,'[1]Demanda requerida 2026'!$CB$74:$DL$97,MATCH(_xlfn.CONCAT(TEXT(DATE($A11,$B11,1),"mmm-yy"),$D11),'[1]Demanda requerida 2026'!$CB$39:$DL$39,0),FALSE)</f>
        <v>200</v>
      </c>
      <c r="AC11" s="82">
        <f t="shared" si="0"/>
        <v>13045</v>
      </c>
      <c r="AD11" s="76">
        <f t="shared" ref="AD11" si="3">+SUMPRODUCT(AC11:AC13,C11:C13)</f>
        <v>7876062</v>
      </c>
      <c r="AE11" s="85"/>
    </row>
    <row r="12" spans="1:31" x14ac:dyDescent="0.25">
      <c r="A12" s="13">
        <v>2026</v>
      </c>
      <c r="B12" s="1">
        <v>4</v>
      </c>
      <c r="C12" s="1">
        <v>20</v>
      </c>
      <c r="D12" s="1" t="s">
        <v>31</v>
      </c>
      <c r="E12" s="8">
        <f>VLOOKUP(E$1,'[1]Demanda requerida 2026'!$CB$74:$DL$97,MATCH(_xlfn.CONCAT(TEXT(DATE($A12,$B12,1),"mmm-yy"),$D12),'[1]Demanda requerida 2026'!$CB$39:$DL$39,0),FALSE)</f>
        <v>8911</v>
      </c>
      <c r="F12" s="8">
        <f>VLOOKUP(F$1,'[1]Demanda requerida 2026'!$CB$74:$DL$97,MATCH(_xlfn.CONCAT(TEXT(DATE($A12,$B12,1),"mmm-yy"),$D12),'[1]Demanda requerida 2026'!$CB$39:$DL$39,0),FALSE)</f>
        <v>7740</v>
      </c>
      <c r="G12" s="8">
        <f>VLOOKUP(G$1,'[1]Demanda requerida 2026'!$CB$74:$DL$97,MATCH(_xlfn.CONCAT(TEXT(DATE($A12,$B12,1),"mmm-yy"),$D12),'[1]Demanda requerida 2026'!$CB$39:$DL$39,0),FALSE)</f>
        <v>6908</v>
      </c>
      <c r="H12" s="8">
        <f>VLOOKUP(H$1,'[1]Demanda requerida 2026'!$CB$74:$DL$97,MATCH(_xlfn.CONCAT(TEXT(DATE($A12,$B12,1),"mmm-yy"),$D12),'[1]Demanda requerida 2026'!$CB$39:$DL$39,0),FALSE)</f>
        <v>6373</v>
      </c>
      <c r="I12" s="8">
        <f>VLOOKUP(I$1,'[1]Demanda requerida 2026'!$CB$74:$DL$97,MATCH(_xlfn.CONCAT(TEXT(DATE($A12,$B12,1),"mmm-yy"),$D12),'[1]Demanda requerida 2026'!$CB$39:$DL$39,0),FALSE)</f>
        <v>6223</v>
      </c>
      <c r="J12" s="8">
        <f>VLOOKUP(J$1,'[1]Demanda requerida 2026'!$CB$74:$DL$97,MATCH(_xlfn.CONCAT(TEXT(DATE($A12,$B12,1),"mmm-yy"),$D12),'[1]Demanda requerida 2026'!$CB$39:$DL$39,0),FALSE)</f>
        <v>7491</v>
      </c>
      <c r="K12" s="8">
        <f>VLOOKUP(K$1,'[1]Demanda requerida 2026'!$CB$74:$DL$97,MATCH(_xlfn.CONCAT(TEXT(DATE($A12,$B12,1),"mmm-yy"),$D12),'[1]Demanda requerida 2026'!$CB$39:$DL$39,0),FALSE)</f>
        <v>8911</v>
      </c>
      <c r="L12" s="8">
        <f>VLOOKUP(L$1,'[1]Demanda requerida 2026'!$CB$74:$DL$97,MATCH(_xlfn.CONCAT(TEXT(DATE($A12,$B12,1),"mmm-yy"),$D12),'[1]Demanda requerida 2026'!$CB$39:$DL$39,0),FALSE)</f>
        <v>10696</v>
      </c>
      <c r="M12" s="8">
        <f>VLOOKUP(M$1,'[1]Demanda requerida 2026'!$CB$74:$DL$97,MATCH(_xlfn.CONCAT(TEXT(DATE($A12,$B12,1),"mmm-yy"),$D12),'[1]Demanda requerida 2026'!$CB$39:$DL$39,0),FALSE)</f>
        <v>13559</v>
      </c>
      <c r="N12" s="8">
        <f>VLOOKUP(N$1,'[1]Demanda requerida 2026'!$CB$74:$DL$97,MATCH(_xlfn.CONCAT(TEXT(DATE($A12,$B12,1),"mmm-yy"),$D12),'[1]Demanda requerida 2026'!$CB$39:$DL$39,0),FALSE)</f>
        <v>15268</v>
      </c>
      <c r="O12" s="8">
        <f>VLOOKUP(O$1,'[1]Demanda requerida 2026'!$CB$74:$DL$97,MATCH(_xlfn.CONCAT(TEXT(DATE($A12,$B12,1),"mmm-yy"),$D12),'[1]Demanda requerida 2026'!$CB$39:$DL$39,0),FALSE)</f>
        <v>16704</v>
      </c>
      <c r="P12" s="8">
        <f>VLOOKUP(P$1,'[1]Demanda requerida 2026'!$CB$74:$DL$97,MATCH(_xlfn.CONCAT(TEXT(DATE($A12,$B12,1),"mmm-yy"),$D12),'[1]Demanda requerida 2026'!$CB$39:$DL$39,0),FALSE)</f>
        <v>18398</v>
      </c>
      <c r="Q12" s="8">
        <f>VLOOKUP(Q$1,'[1]Demanda requerida 2026'!$CB$74:$DL$97,MATCH(_xlfn.CONCAT(TEXT(DATE($A12,$B12,1),"mmm-yy"),$D12),'[1]Demanda requerida 2026'!$CB$39:$DL$39,0),FALSE)</f>
        <v>18711</v>
      </c>
      <c r="R12" s="8">
        <f>VLOOKUP(R$1,'[1]Demanda requerida 2026'!$CB$74:$DL$97,MATCH(_xlfn.CONCAT(TEXT(DATE($A12,$B12,1),"mmm-yy"),$D12),'[1]Demanda requerida 2026'!$CB$39:$DL$39,0),FALSE)</f>
        <v>19001</v>
      </c>
      <c r="S12" s="8">
        <f>VLOOKUP(S$1,'[1]Demanda requerida 2026'!$CB$74:$DL$97,MATCH(_xlfn.CONCAT(TEXT(DATE($A12,$B12,1),"mmm-yy"),$D12),'[1]Demanda requerida 2026'!$CB$39:$DL$39,0),FALSE)</f>
        <v>19516</v>
      </c>
      <c r="T12" s="8">
        <f>VLOOKUP(T$1,'[1]Demanda requerida 2026'!$CB$74:$DL$97,MATCH(_xlfn.CONCAT(TEXT(DATE($A12,$B12,1),"mmm-yy"),$D12),'[1]Demanda requerida 2026'!$CB$39:$DL$39,0),FALSE)</f>
        <v>19075</v>
      </c>
      <c r="U12" s="8">
        <f>VLOOKUP(U$1,'[1]Demanda requerida 2026'!$CB$74:$DL$97,MATCH(_xlfn.CONCAT(TEXT(DATE($A12,$B12,1),"mmm-yy"),$D12),'[1]Demanda requerida 2026'!$CB$39:$DL$39,0),FALSE)</f>
        <v>17937</v>
      </c>
      <c r="V12" s="8">
        <f>VLOOKUP(V$1,'[1]Demanda requerida 2026'!$CB$74:$DL$97,MATCH(_xlfn.CONCAT(TEXT(DATE($A12,$B12,1),"mmm-yy"),$D12),'[1]Demanda requerida 2026'!$CB$39:$DL$39,0),FALSE)</f>
        <v>19130</v>
      </c>
      <c r="W12" s="8">
        <f>VLOOKUP(W$1,'[1]Demanda requerida 2026'!$CB$74:$DL$97,MATCH(_xlfn.CONCAT(TEXT(DATE($A12,$B12,1),"mmm-yy"),$D12),'[1]Demanda requerida 2026'!$CB$39:$DL$39,0),FALSE)</f>
        <v>18834</v>
      </c>
      <c r="X12" s="8">
        <f>VLOOKUP(X$1,'[1]Demanda requerida 2026'!$CB$74:$DL$97,MATCH(_xlfn.CONCAT(TEXT(DATE($A12,$B12,1),"mmm-yy"),$D12),'[1]Demanda requerida 2026'!$CB$39:$DL$39,0),FALSE)</f>
        <v>20222</v>
      </c>
      <c r="Y12" s="8">
        <f>VLOOKUP(Y$1,'[1]Demanda requerida 2026'!$CB$74:$DL$97,MATCH(_xlfn.CONCAT(TEXT(DATE($A12,$B12,1),"mmm-yy"),$D12),'[1]Demanda requerida 2026'!$CB$39:$DL$39,0),FALSE)</f>
        <v>19661</v>
      </c>
      <c r="Z12" s="8">
        <f>VLOOKUP(Z$1,'[1]Demanda requerida 2026'!$CB$74:$DL$97,MATCH(_xlfn.CONCAT(TEXT(DATE($A12,$B12,1),"mmm-yy"),$D12),'[1]Demanda requerida 2026'!$CB$39:$DL$39,0),FALSE)</f>
        <v>17439</v>
      </c>
      <c r="AA12" s="8">
        <f>VLOOKUP(AA$1,'[1]Demanda requerida 2026'!$CB$74:$DL$97,MATCH(_xlfn.CONCAT(TEXT(DATE($A12,$B12,1),"mmm-yy"),$D12),'[1]Demanda requerida 2026'!$CB$39:$DL$39,0),FALSE)</f>
        <v>14629</v>
      </c>
      <c r="AB12" s="8">
        <f>VLOOKUP(AB$1,'[1]Demanda requerida 2026'!$CB$74:$DL$97,MATCH(_xlfn.CONCAT(TEXT(DATE($A12,$B12,1),"mmm-yy"),$D12),'[1]Demanda requerida 2026'!$CB$39:$DL$39,0),FALSE)</f>
        <v>11750</v>
      </c>
      <c r="AC12" s="84">
        <f t="shared" si="0"/>
        <v>343087</v>
      </c>
      <c r="AD12" s="77"/>
      <c r="AE12" s="85"/>
    </row>
    <row r="13" spans="1:31" ht="15.75" thickBot="1" x14ac:dyDescent="0.3">
      <c r="A13" s="14">
        <v>2026</v>
      </c>
      <c r="B13" s="15">
        <v>4</v>
      </c>
      <c r="C13" s="15">
        <v>4</v>
      </c>
      <c r="D13" s="15" t="s">
        <v>6</v>
      </c>
      <c r="E13" s="9">
        <f>VLOOKUP(E$1,'[1]Demanda requerida 2026'!$CB$74:$DL$97,MATCH(_xlfn.CONCAT(TEXT(DATE($A13,$B13,1),"mmm-yy"),$D13),'[1]Demanda requerida 2026'!$CB$39:$DL$39,0),FALSE)</f>
        <v>5841</v>
      </c>
      <c r="F13" s="9">
        <f>VLOOKUP(F$1,'[1]Demanda requerida 2026'!$CB$74:$DL$97,MATCH(_xlfn.CONCAT(TEXT(DATE($A13,$B13,1),"mmm-yy"),$D13),'[1]Demanda requerida 2026'!$CB$39:$DL$39,0),FALSE)</f>
        <v>4753</v>
      </c>
      <c r="G13" s="9">
        <f>VLOOKUP(G$1,'[1]Demanda requerida 2026'!$CB$74:$DL$97,MATCH(_xlfn.CONCAT(TEXT(DATE($A13,$B13,1),"mmm-yy"),$D13),'[1]Demanda requerida 2026'!$CB$39:$DL$39,0),FALSE)</f>
        <v>3911</v>
      </c>
      <c r="H13" s="9">
        <f>VLOOKUP(H$1,'[1]Demanda requerida 2026'!$CB$74:$DL$97,MATCH(_xlfn.CONCAT(TEXT(DATE($A13,$B13,1),"mmm-yy"),$D13),'[1]Demanda requerida 2026'!$CB$39:$DL$39,0),FALSE)</f>
        <v>3431</v>
      </c>
      <c r="I13" s="9">
        <f>VLOOKUP(I$1,'[1]Demanda requerida 2026'!$CB$74:$DL$97,MATCH(_xlfn.CONCAT(TEXT(DATE($A13,$B13,1),"mmm-yy"),$D13),'[1]Demanda requerida 2026'!$CB$39:$DL$39,0),FALSE)</f>
        <v>3204</v>
      </c>
      <c r="J13" s="9">
        <f>VLOOKUP(J$1,'[1]Demanda requerida 2026'!$CB$74:$DL$97,MATCH(_xlfn.CONCAT(TEXT(DATE($A13,$B13,1),"mmm-yy"),$D13),'[1]Demanda requerida 2026'!$CB$39:$DL$39,0),FALSE)</f>
        <v>3368</v>
      </c>
      <c r="K13" s="9">
        <f>VLOOKUP(K$1,'[1]Demanda requerida 2026'!$CB$74:$DL$97,MATCH(_xlfn.CONCAT(TEXT(DATE($A13,$B13,1),"mmm-yy"),$D13),'[1]Demanda requerida 2026'!$CB$39:$DL$39,0),FALSE)</f>
        <v>2010</v>
      </c>
      <c r="L13" s="9">
        <f>VLOOKUP(L$1,'[1]Demanda requerida 2026'!$CB$74:$DL$97,MATCH(_xlfn.CONCAT(TEXT(DATE($A13,$B13,1),"mmm-yy"),$D13),'[1]Demanda requerida 2026'!$CB$39:$DL$39,0),FALSE)</f>
        <v>6004</v>
      </c>
      <c r="M13" s="9">
        <f>VLOOKUP(M$1,'[1]Demanda requerida 2026'!$CB$74:$DL$97,MATCH(_xlfn.CONCAT(TEXT(DATE($A13,$B13,1),"mmm-yy"),$D13),'[1]Demanda requerida 2026'!$CB$39:$DL$39,0),FALSE)</f>
        <v>9111</v>
      </c>
      <c r="N13" s="9">
        <f>VLOOKUP(N$1,'[1]Demanda requerida 2026'!$CB$74:$DL$97,MATCH(_xlfn.CONCAT(TEXT(DATE($A13,$B13,1),"mmm-yy"),$D13),'[1]Demanda requerida 2026'!$CB$39:$DL$39,0),FALSE)</f>
        <v>11003</v>
      </c>
      <c r="O13" s="9">
        <f>VLOOKUP(O$1,'[1]Demanda requerida 2026'!$CB$74:$DL$97,MATCH(_xlfn.CONCAT(TEXT(DATE($A13,$B13,1),"mmm-yy"),$D13),'[1]Demanda requerida 2026'!$CB$39:$DL$39,0),FALSE)</f>
        <v>11883</v>
      </c>
      <c r="P13" s="9">
        <f>VLOOKUP(P$1,'[1]Demanda requerida 2026'!$CB$74:$DL$97,MATCH(_xlfn.CONCAT(TEXT(DATE($A13,$B13,1),"mmm-yy"),$D13),'[1]Demanda requerida 2026'!$CB$39:$DL$39,0),FALSE)</f>
        <v>13285</v>
      </c>
      <c r="Q13" s="9">
        <f>VLOOKUP(Q$1,'[1]Demanda requerida 2026'!$CB$74:$DL$97,MATCH(_xlfn.CONCAT(TEXT(DATE($A13,$B13,1),"mmm-yy"),$D13),'[1]Demanda requerida 2026'!$CB$39:$DL$39,0),FALSE)</f>
        <v>13727</v>
      </c>
      <c r="R13" s="9">
        <f>VLOOKUP(R$1,'[1]Demanda requerida 2026'!$CB$74:$DL$97,MATCH(_xlfn.CONCAT(TEXT(DATE($A13,$B13,1),"mmm-yy"),$D13),'[1]Demanda requerida 2026'!$CB$39:$DL$39,0),FALSE)</f>
        <v>14485</v>
      </c>
      <c r="S13" s="9">
        <f>VLOOKUP(S$1,'[1]Demanda requerida 2026'!$CB$74:$DL$97,MATCH(_xlfn.CONCAT(TEXT(DATE($A13,$B13,1),"mmm-yy"),$D13),'[1]Demanda requerida 2026'!$CB$39:$DL$39,0),FALSE)</f>
        <v>14181</v>
      </c>
      <c r="T13" s="9">
        <f>VLOOKUP(T$1,'[1]Demanda requerida 2026'!$CB$74:$DL$97,MATCH(_xlfn.CONCAT(TEXT(DATE($A13,$B13,1),"mmm-yy"),$D13),'[1]Demanda requerida 2026'!$CB$39:$DL$39,0),FALSE)</f>
        <v>13344</v>
      </c>
      <c r="U13" s="9">
        <f>VLOOKUP(U$1,'[1]Demanda requerida 2026'!$CB$74:$DL$97,MATCH(_xlfn.CONCAT(TEXT(DATE($A13,$B13,1),"mmm-yy"),$D13),'[1]Demanda requerida 2026'!$CB$39:$DL$39,0),FALSE)</f>
        <v>11905</v>
      </c>
      <c r="V13" s="9">
        <f>VLOOKUP(V$1,'[1]Demanda requerida 2026'!$CB$74:$DL$97,MATCH(_xlfn.CONCAT(TEXT(DATE($A13,$B13,1),"mmm-yy"),$D13),'[1]Demanda requerida 2026'!$CB$39:$DL$39,0),FALSE)</f>
        <v>13004</v>
      </c>
      <c r="W13" s="9">
        <f>VLOOKUP(W$1,'[1]Demanda requerida 2026'!$CB$74:$DL$97,MATCH(_xlfn.CONCAT(TEXT(DATE($A13,$B13,1),"mmm-yy"),$D13),'[1]Demanda requerida 2026'!$CB$39:$DL$39,0),FALSE)</f>
        <v>13332</v>
      </c>
      <c r="X13" s="9">
        <f>VLOOKUP(X$1,'[1]Demanda requerida 2026'!$CB$74:$DL$97,MATCH(_xlfn.CONCAT(TEXT(DATE($A13,$B13,1),"mmm-yy"),$D13),'[1]Demanda requerida 2026'!$CB$39:$DL$39,0),FALSE)</f>
        <v>13958</v>
      </c>
      <c r="Y13" s="9">
        <f>VLOOKUP(Y$1,'[1]Demanda requerida 2026'!$CB$74:$DL$97,MATCH(_xlfn.CONCAT(TEXT(DATE($A13,$B13,1),"mmm-yy"),$D13),'[1]Demanda requerida 2026'!$CB$39:$DL$39,0),FALSE)</f>
        <v>13803</v>
      </c>
      <c r="Z13" s="9">
        <f>VLOOKUP(Z$1,'[1]Demanda requerida 2026'!$CB$74:$DL$97,MATCH(_xlfn.CONCAT(TEXT(DATE($A13,$B13,1),"mmm-yy"),$D13),'[1]Demanda requerida 2026'!$CB$39:$DL$39,0),FALSE)</f>
        <v>13634</v>
      </c>
      <c r="AA13" s="9">
        <f>VLOOKUP(AA$1,'[1]Demanda requerida 2026'!$CB$74:$DL$97,MATCH(_xlfn.CONCAT(TEXT(DATE($A13,$B13,1),"mmm-yy"),$D13),'[1]Demanda requerida 2026'!$CB$39:$DL$39,0),FALSE)</f>
        <v>11479</v>
      </c>
      <c r="AB13" s="9">
        <f>VLOOKUP(AB$1,'[1]Demanda requerida 2026'!$CB$74:$DL$97,MATCH(_xlfn.CONCAT(TEXT(DATE($A13,$B13,1),"mmm-yy"),$D13),'[1]Demanda requerida 2026'!$CB$39:$DL$39,0),FALSE)</f>
        <v>9357</v>
      </c>
      <c r="AC13" s="86">
        <f t="shared" si="0"/>
        <v>234013</v>
      </c>
      <c r="AD13" s="78"/>
      <c r="AE13" s="85"/>
    </row>
    <row r="14" spans="1:31" x14ac:dyDescent="0.25">
      <c r="A14" s="11">
        <v>2026</v>
      </c>
      <c r="B14" s="12">
        <v>5</v>
      </c>
      <c r="C14" s="12">
        <v>7</v>
      </c>
      <c r="D14" s="12" t="s">
        <v>5</v>
      </c>
      <c r="E14" s="7">
        <f>VLOOKUP(E$1,'[1]Demanda requerida 2026'!$CB$74:$DL$97,MATCH(_xlfn.CONCAT(TEXT(DATE($A14,$B14,1),"mmm-yy"),$D14),'[1]Demanda requerida 2026'!$CB$39:$DL$39,0),FALSE)</f>
        <v>200</v>
      </c>
      <c r="F14" s="7">
        <f>VLOOKUP(F$1,'[1]Demanda requerida 2026'!$CB$74:$DL$97,MATCH(_xlfn.CONCAT(TEXT(DATE($A14,$B14,1),"mmm-yy"),$D14),'[1]Demanda requerida 2026'!$CB$39:$DL$39,0),FALSE)</f>
        <v>200</v>
      </c>
      <c r="G14" s="7">
        <f>VLOOKUP(G$1,'[1]Demanda requerida 2026'!$CB$74:$DL$97,MATCH(_xlfn.CONCAT(TEXT(DATE($A14,$B14,1),"mmm-yy"),$D14),'[1]Demanda requerida 2026'!$CB$39:$DL$39,0),FALSE)</f>
        <v>200</v>
      </c>
      <c r="H14" s="7">
        <f>VLOOKUP(H$1,'[1]Demanda requerida 2026'!$CB$74:$DL$97,MATCH(_xlfn.CONCAT(TEXT(DATE($A14,$B14,1),"mmm-yy"),$D14),'[1]Demanda requerida 2026'!$CB$39:$DL$39,0),FALSE)</f>
        <v>200</v>
      </c>
      <c r="I14" s="7">
        <f>VLOOKUP(I$1,'[1]Demanda requerida 2026'!$CB$74:$DL$97,MATCH(_xlfn.CONCAT(TEXT(DATE($A14,$B14,1),"mmm-yy"),$D14),'[1]Demanda requerida 2026'!$CB$39:$DL$39,0),FALSE)</f>
        <v>200</v>
      </c>
      <c r="J14" s="7">
        <f>VLOOKUP(J$1,'[1]Demanda requerida 2026'!$CB$74:$DL$97,MATCH(_xlfn.CONCAT(TEXT(DATE($A14,$B14,1),"mmm-yy"),$D14),'[1]Demanda requerida 2026'!$CB$39:$DL$39,0),FALSE)</f>
        <v>200</v>
      </c>
      <c r="K14" s="7">
        <f>VLOOKUP(K$1,'[1]Demanda requerida 2026'!$CB$74:$DL$97,MATCH(_xlfn.CONCAT(TEXT(DATE($A14,$B14,1),"mmm-yy"),$D14),'[1]Demanda requerida 2026'!$CB$39:$DL$39,0),FALSE)</f>
        <v>200</v>
      </c>
      <c r="L14" s="7">
        <f>VLOOKUP(L$1,'[1]Demanda requerida 2026'!$CB$74:$DL$97,MATCH(_xlfn.CONCAT(TEXT(DATE($A14,$B14,1),"mmm-yy"),$D14),'[1]Demanda requerida 2026'!$CB$39:$DL$39,0),FALSE)</f>
        <v>200</v>
      </c>
      <c r="M14" s="7">
        <f>VLOOKUP(M$1,'[1]Demanda requerida 2026'!$CB$74:$DL$97,MATCH(_xlfn.CONCAT(TEXT(DATE($A14,$B14,1),"mmm-yy"),$D14),'[1]Demanda requerida 2026'!$CB$39:$DL$39,0),FALSE)</f>
        <v>200</v>
      </c>
      <c r="N14" s="7">
        <f>VLOOKUP(N$1,'[1]Demanda requerida 2026'!$CB$74:$DL$97,MATCH(_xlfn.CONCAT(TEXT(DATE($A14,$B14,1),"mmm-yy"),$D14),'[1]Demanda requerida 2026'!$CB$39:$DL$39,0),FALSE)</f>
        <v>200</v>
      </c>
      <c r="O14" s="7">
        <f>VLOOKUP(O$1,'[1]Demanda requerida 2026'!$CB$74:$DL$97,MATCH(_xlfn.CONCAT(TEXT(DATE($A14,$B14,1),"mmm-yy"),$D14),'[1]Demanda requerida 2026'!$CB$39:$DL$39,0),FALSE)</f>
        <v>151</v>
      </c>
      <c r="P14" s="7">
        <f>VLOOKUP(P$1,'[1]Demanda requerida 2026'!$CB$74:$DL$97,MATCH(_xlfn.CONCAT(TEXT(DATE($A14,$B14,1),"mmm-yy"),$D14),'[1]Demanda requerida 2026'!$CB$39:$DL$39,0),FALSE)</f>
        <v>808</v>
      </c>
      <c r="Q14" s="7">
        <f>VLOOKUP(Q$1,'[1]Demanda requerida 2026'!$CB$74:$DL$97,MATCH(_xlfn.CONCAT(TEXT(DATE($A14,$B14,1),"mmm-yy"),$D14),'[1]Demanda requerida 2026'!$CB$39:$DL$39,0),FALSE)</f>
        <v>1594</v>
      </c>
      <c r="R14" s="7">
        <f>VLOOKUP(R$1,'[1]Demanda requerida 2026'!$CB$74:$DL$97,MATCH(_xlfn.CONCAT(TEXT(DATE($A14,$B14,1),"mmm-yy"),$D14),'[1]Demanda requerida 2026'!$CB$39:$DL$39,0),FALSE)</f>
        <v>1237</v>
      </c>
      <c r="S14" s="7">
        <f>VLOOKUP(S$1,'[1]Demanda requerida 2026'!$CB$74:$DL$97,MATCH(_xlfn.CONCAT(TEXT(DATE($A14,$B14,1),"mmm-yy"),$D14),'[1]Demanda requerida 2026'!$CB$39:$DL$39,0),FALSE)</f>
        <v>471</v>
      </c>
      <c r="T14" s="7">
        <f>VLOOKUP(T$1,'[1]Demanda requerida 2026'!$CB$74:$DL$97,MATCH(_xlfn.CONCAT(TEXT(DATE($A14,$B14,1),"mmm-yy"),$D14),'[1]Demanda requerida 2026'!$CB$39:$DL$39,0),FALSE)</f>
        <v>200</v>
      </c>
      <c r="U14" s="7">
        <f>VLOOKUP(U$1,'[1]Demanda requerida 2026'!$CB$74:$DL$97,MATCH(_xlfn.CONCAT(TEXT(DATE($A14,$B14,1),"mmm-yy"),$D14),'[1]Demanda requerida 2026'!$CB$39:$DL$39,0),FALSE)</f>
        <v>200</v>
      </c>
      <c r="V14" s="7">
        <f>VLOOKUP(V$1,'[1]Demanda requerida 2026'!$CB$74:$DL$97,MATCH(_xlfn.CONCAT(TEXT(DATE($A14,$B14,1),"mmm-yy"),$D14),'[1]Demanda requerida 2026'!$CB$39:$DL$39,0),FALSE)</f>
        <v>739</v>
      </c>
      <c r="W14" s="7">
        <f>VLOOKUP(W$1,'[1]Demanda requerida 2026'!$CB$74:$DL$97,MATCH(_xlfn.CONCAT(TEXT(DATE($A14,$B14,1),"mmm-yy"),$D14),'[1]Demanda requerida 2026'!$CB$39:$DL$39,0),FALSE)</f>
        <v>2134</v>
      </c>
      <c r="X14" s="7">
        <f>VLOOKUP(X$1,'[1]Demanda requerida 2026'!$CB$74:$DL$97,MATCH(_xlfn.CONCAT(TEXT(DATE($A14,$B14,1),"mmm-yy"),$D14),'[1]Demanda requerida 2026'!$CB$39:$DL$39,0),FALSE)</f>
        <v>3393</v>
      </c>
      <c r="Y14" s="7">
        <f>VLOOKUP(Y$1,'[1]Demanda requerida 2026'!$CB$74:$DL$97,MATCH(_xlfn.CONCAT(TEXT(DATE($A14,$B14,1),"mmm-yy"),$D14),'[1]Demanda requerida 2026'!$CB$39:$DL$39,0),FALSE)</f>
        <v>2916</v>
      </c>
      <c r="Z14" s="7">
        <f>VLOOKUP(Z$1,'[1]Demanda requerida 2026'!$CB$74:$DL$97,MATCH(_xlfn.CONCAT(TEXT(DATE($A14,$B14,1),"mmm-yy"),$D14),'[1]Demanda requerida 2026'!$CB$39:$DL$39,0),FALSE)</f>
        <v>1778</v>
      </c>
      <c r="AA14" s="7">
        <f>VLOOKUP(AA$1,'[1]Demanda requerida 2026'!$CB$74:$DL$97,MATCH(_xlfn.CONCAT(TEXT(DATE($A14,$B14,1),"mmm-yy"),$D14),'[1]Demanda requerida 2026'!$CB$39:$DL$39,0),FALSE)</f>
        <v>4</v>
      </c>
      <c r="AB14" s="7">
        <f>VLOOKUP(AB$1,'[1]Demanda requerida 2026'!$CB$74:$DL$97,MATCH(_xlfn.CONCAT(TEXT(DATE($A14,$B14,1),"mmm-yy"),$D14),'[1]Demanda requerida 2026'!$CB$39:$DL$39,0),FALSE)</f>
        <v>200</v>
      </c>
      <c r="AC14" s="82">
        <f>SUM(E14:AB14)</f>
        <v>17825</v>
      </c>
      <c r="AD14" s="76">
        <f t="shared" ref="AD14" si="4">+SUMPRODUCT(AC14:AC16,C14:C16)</f>
        <v>6714696</v>
      </c>
      <c r="AE14" s="85"/>
    </row>
    <row r="15" spans="1:31" x14ac:dyDescent="0.25">
      <c r="A15" s="13">
        <v>2026</v>
      </c>
      <c r="B15" s="1">
        <v>5</v>
      </c>
      <c r="C15" s="1">
        <v>19</v>
      </c>
      <c r="D15" s="1" t="s">
        <v>31</v>
      </c>
      <c r="E15" s="8">
        <f>VLOOKUP(E$1,'[1]Demanda requerida 2026'!$CB$74:$DL$97,MATCH(_xlfn.CONCAT(TEXT(DATE($A15,$B15,1),"mmm-yy"),$D15),'[1]Demanda requerida 2026'!$CB$39:$DL$39,0),FALSE)</f>
        <v>6143</v>
      </c>
      <c r="F15" s="8">
        <f>VLOOKUP(F$1,'[1]Demanda requerida 2026'!$CB$74:$DL$97,MATCH(_xlfn.CONCAT(TEXT(DATE($A15,$B15,1),"mmm-yy"),$D15),'[1]Demanda requerida 2026'!$CB$39:$DL$39,0),FALSE)</f>
        <v>4740</v>
      </c>
      <c r="G15" s="8">
        <f>VLOOKUP(G$1,'[1]Demanda requerida 2026'!$CB$74:$DL$97,MATCH(_xlfn.CONCAT(TEXT(DATE($A15,$B15,1),"mmm-yy"),$D15),'[1]Demanda requerida 2026'!$CB$39:$DL$39,0),FALSE)</f>
        <v>3955</v>
      </c>
      <c r="H15" s="8">
        <f>VLOOKUP(H$1,'[1]Demanda requerida 2026'!$CB$74:$DL$97,MATCH(_xlfn.CONCAT(TEXT(DATE($A15,$B15,1),"mmm-yy"),$D15),'[1]Demanda requerida 2026'!$CB$39:$DL$39,0),FALSE)</f>
        <v>3534</v>
      </c>
      <c r="I15" s="8">
        <f>VLOOKUP(I$1,'[1]Demanda requerida 2026'!$CB$74:$DL$97,MATCH(_xlfn.CONCAT(TEXT(DATE($A15,$B15,1),"mmm-yy"),$D15),'[1]Demanda requerida 2026'!$CB$39:$DL$39,0),FALSE)</f>
        <v>3553</v>
      </c>
      <c r="J15" s="8">
        <f>VLOOKUP(J$1,'[1]Demanda requerida 2026'!$CB$74:$DL$97,MATCH(_xlfn.CONCAT(TEXT(DATE($A15,$B15,1),"mmm-yy"),$D15),'[1]Demanda requerida 2026'!$CB$39:$DL$39,0),FALSE)</f>
        <v>4740</v>
      </c>
      <c r="K15" s="8">
        <f>VLOOKUP(K$1,'[1]Demanda requerida 2026'!$CB$74:$DL$97,MATCH(_xlfn.CONCAT(TEXT(DATE($A15,$B15,1),"mmm-yy"),$D15),'[1]Demanda requerida 2026'!$CB$39:$DL$39,0),FALSE)</f>
        <v>6235</v>
      </c>
      <c r="L15" s="8">
        <f>VLOOKUP(L$1,'[1]Demanda requerida 2026'!$CB$74:$DL$97,MATCH(_xlfn.CONCAT(TEXT(DATE($A15,$B15,1),"mmm-yy"),$D15),'[1]Demanda requerida 2026'!$CB$39:$DL$39,0),FALSE)</f>
        <v>7989</v>
      </c>
      <c r="M15" s="8">
        <f>VLOOKUP(M$1,'[1]Demanda requerida 2026'!$CB$74:$DL$97,MATCH(_xlfn.CONCAT(TEXT(DATE($A15,$B15,1),"mmm-yy"),$D15),'[1]Demanda requerida 2026'!$CB$39:$DL$39,0),FALSE)</f>
        <v>11227</v>
      </c>
      <c r="N15" s="8">
        <f>VLOOKUP(N$1,'[1]Demanda requerida 2026'!$CB$74:$DL$97,MATCH(_xlfn.CONCAT(TEXT(DATE($A15,$B15,1),"mmm-yy"),$D15),'[1]Demanda requerida 2026'!$CB$39:$DL$39,0),FALSE)</f>
        <v>12970</v>
      </c>
      <c r="O15" s="8">
        <f>VLOOKUP(O$1,'[1]Demanda requerida 2026'!$CB$74:$DL$97,MATCH(_xlfn.CONCAT(TEXT(DATE($A15,$B15,1),"mmm-yy"),$D15),'[1]Demanda requerida 2026'!$CB$39:$DL$39,0),FALSE)</f>
        <v>14510</v>
      </c>
      <c r="P15" s="8">
        <f>VLOOKUP(P$1,'[1]Demanda requerida 2026'!$CB$74:$DL$97,MATCH(_xlfn.CONCAT(TEXT(DATE($A15,$B15,1),"mmm-yy"),$D15),'[1]Demanda requerida 2026'!$CB$39:$DL$39,0),FALSE)</f>
        <v>16242</v>
      </c>
      <c r="Q15" s="8">
        <f>VLOOKUP(Q$1,'[1]Demanda requerida 2026'!$CB$74:$DL$97,MATCH(_xlfn.CONCAT(TEXT(DATE($A15,$B15,1),"mmm-yy"),$D15),'[1]Demanda requerida 2026'!$CB$39:$DL$39,0),FALSE)</f>
        <v>16378</v>
      </c>
      <c r="R15" s="8">
        <f>VLOOKUP(R$1,'[1]Demanda requerida 2026'!$CB$74:$DL$97,MATCH(_xlfn.CONCAT(TEXT(DATE($A15,$B15,1),"mmm-yy"),$D15),'[1]Demanda requerida 2026'!$CB$39:$DL$39,0),FALSE)</f>
        <v>16319</v>
      </c>
      <c r="S15" s="8">
        <f>VLOOKUP(S$1,'[1]Demanda requerida 2026'!$CB$74:$DL$97,MATCH(_xlfn.CONCAT(TEXT(DATE($A15,$B15,1),"mmm-yy"),$D15),'[1]Demanda requerida 2026'!$CB$39:$DL$39,0),FALSE)</f>
        <v>16684</v>
      </c>
      <c r="T15" s="8">
        <f>VLOOKUP(T$1,'[1]Demanda requerida 2026'!$CB$74:$DL$97,MATCH(_xlfn.CONCAT(TEXT(DATE($A15,$B15,1),"mmm-yy"),$D15),'[1]Demanda requerida 2026'!$CB$39:$DL$39,0),FALSE)</f>
        <v>16587</v>
      </c>
      <c r="U15" s="8">
        <f>VLOOKUP(U$1,'[1]Demanda requerida 2026'!$CB$74:$DL$97,MATCH(_xlfn.CONCAT(TEXT(DATE($A15,$B15,1),"mmm-yy"),$D15),'[1]Demanda requerida 2026'!$CB$39:$DL$39,0),FALSE)</f>
        <v>16080</v>
      </c>
      <c r="V15" s="8">
        <f>VLOOKUP(V$1,'[1]Demanda requerida 2026'!$CB$74:$DL$97,MATCH(_xlfn.CONCAT(TEXT(DATE($A15,$B15,1),"mmm-yy"),$D15),'[1]Demanda requerida 2026'!$CB$39:$DL$39,0),FALSE)</f>
        <v>17544</v>
      </c>
      <c r="W15" s="8">
        <f>VLOOKUP(W$1,'[1]Demanda requerida 2026'!$CB$74:$DL$97,MATCH(_xlfn.CONCAT(TEXT(DATE($A15,$B15,1),"mmm-yy"),$D15),'[1]Demanda requerida 2026'!$CB$39:$DL$39,0),FALSE)</f>
        <v>18717</v>
      </c>
      <c r="X15" s="8">
        <f>VLOOKUP(X$1,'[1]Demanda requerida 2026'!$CB$74:$DL$97,MATCH(_xlfn.CONCAT(TEXT(DATE($A15,$B15,1),"mmm-yy"),$D15),'[1]Demanda requerida 2026'!$CB$39:$DL$39,0),FALSE)</f>
        <v>19796</v>
      </c>
      <c r="Y15" s="8">
        <f>VLOOKUP(Y$1,'[1]Demanda requerida 2026'!$CB$74:$DL$97,MATCH(_xlfn.CONCAT(TEXT(DATE($A15,$B15,1),"mmm-yy"),$D15),'[1]Demanda requerida 2026'!$CB$39:$DL$39,0),FALSE)</f>
        <v>18478</v>
      </c>
      <c r="Z15" s="8">
        <f>VLOOKUP(Z$1,'[1]Demanda requerida 2026'!$CB$74:$DL$97,MATCH(_xlfn.CONCAT(TEXT(DATE($A15,$B15,1),"mmm-yy"),$D15),'[1]Demanda requerida 2026'!$CB$39:$DL$39,0),FALSE)</f>
        <v>16041</v>
      </c>
      <c r="AA15" s="8">
        <f>VLOOKUP(AA$1,'[1]Demanda requerida 2026'!$CB$74:$DL$97,MATCH(_xlfn.CONCAT(TEXT(DATE($A15,$B15,1),"mmm-yy"),$D15),'[1]Demanda requerida 2026'!$CB$39:$DL$39,0),FALSE)</f>
        <v>12980</v>
      </c>
      <c r="AB15" s="8">
        <f>VLOOKUP(AB$1,'[1]Demanda requerida 2026'!$CB$74:$DL$97,MATCH(_xlfn.CONCAT(TEXT(DATE($A15,$B15,1),"mmm-yy"),$D15),'[1]Demanda requerida 2026'!$CB$39:$DL$39,0),FALSE)</f>
        <v>9902</v>
      </c>
      <c r="AC15" s="84">
        <f t="shared" ref="AC15:AC49" si="5">SUM(E15:AB15)</f>
        <v>291344</v>
      </c>
      <c r="AD15" s="77"/>
      <c r="AE15" s="85"/>
    </row>
    <row r="16" spans="1:31" ht="15.75" thickBot="1" x14ac:dyDescent="0.3">
      <c r="A16" s="14">
        <v>2026</v>
      </c>
      <c r="B16" s="15">
        <v>5</v>
      </c>
      <c r="C16" s="15">
        <v>5</v>
      </c>
      <c r="D16" s="15" t="s">
        <v>6</v>
      </c>
      <c r="E16" s="9">
        <f>VLOOKUP(E$1,'[1]Demanda requerida 2026'!$CB$74:$DL$97,MATCH(_xlfn.CONCAT(TEXT(DATE($A16,$B16,1),"mmm-yy"),$D16),'[1]Demanda requerida 2026'!$CB$39:$DL$39,0),FALSE)</f>
        <v>4602</v>
      </c>
      <c r="F16" s="9">
        <f>VLOOKUP(F$1,'[1]Demanda requerida 2026'!$CB$74:$DL$97,MATCH(_xlfn.CONCAT(TEXT(DATE($A16,$B16,1),"mmm-yy"),$D16),'[1]Demanda requerida 2026'!$CB$39:$DL$39,0),FALSE)</f>
        <v>3403</v>
      </c>
      <c r="G16" s="9">
        <f>VLOOKUP(G$1,'[1]Demanda requerida 2026'!$CB$74:$DL$97,MATCH(_xlfn.CONCAT(TEXT(DATE($A16,$B16,1),"mmm-yy"),$D16),'[1]Demanda requerida 2026'!$CB$39:$DL$39,0),FALSE)</f>
        <v>2648</v>
      </c>
      <c r="H16" s="9">
        <f>VLOOKUP(H$1,'[1]Demanda requerida 2026'!$CB$74:$DL$97,MATCH(_xlfn.CONCAT(TEXT(DATE($A16,$B16,1),"mmm-yy"),$D16),'[1]Demanda requerida 2026'!$CB$39:$DL$39,0),FALSE)</f>
        <v>2117</v>
      </c>
      <c r="I16" s="9">
        <f>VLOOKUP(I$1,'[1]Demanda requerida 2026'!$CB$74:$DL$97,MATCH(_xlfn.CONCAT(TEXT(DATE($A16,$B16,1),"mmm-yy"),$D16),'[1]Demanda requerida 2026'!$CB$39:$DL$39,0),FALSE)</f>
        <v>1967</v>
      </c>
      <c r="J16" s="9">
        <f>VLOOKUP(J$1,'[1]Demanda requerida 2026'!$CB$74:$DL$97,MATCH(_xlfn.CONCAT(TEXT(DATE($A16,$B16,1),"mmm-yy"),$D16),'[1]Demanda requerida 2026'!$CB$39:$DL$39,0),FALSE)</f>
        <v>2200</v>
      </c>
      <c r="K16" s="9">
        <f>VLOOKUP(K$1,'[1]Demanda requerida 2026'!$CB$74:$DL$97,MATCH(_xlfn.CONCAT(TEXT(DATE($A16,$B16,1),"mmm-yy"),$D16),'[1]Demanda requerida 2026'!$CB$39:$DL$39,0),FALSE)</f>
        <v>2864</v>
      </c>
      <c r="L16" s="9">
        <f>VLOOKUP(L$1,'[1]Demanda requerida 2026'!$CB$74:$DL$97,MATCH(_xlfn.CONCAT(TEXT(DATE($A16,$B16,1),"mmm-yy"),$D16),'[1]Demanda requerida 2026'!$CB$39:$DL$39,0),FALSE)</f>
        <v>4872</v>
      </c>
      <c r="M16" s="9">
        <f>VLOOKUP(M$1,'[1]Demanda requerida 2026'!$CB$74:$DL$97,MATCH(_xlfn.CONCAT(TEXT(DATE($A16,$B16,1),"mmm-yy"),$D16),'[1]Demanda requerida 2026'!$CB$39:$DL$39,0),FALSE)</f>
        <v>8111</v>
      </c>
      <c r="N16" s="9">
        <f>VLOOKUP(N$1,'[1]Demanda requerida 2026'!$CB$74:$DL$97,MATCH(_xlfn.CONCAT(TEXT(DATE($A16,$B16,1),"mmm-yy"),$D16),'[1]Demanda requerida 2026'!$CB$39:$DL$39,0),FALSE)</f>
        <v>9824</v>
      </c>
      <c r="O16" s="9">
        <f>VLOOKUP(O$1,'[1]Demanda requerida 2026'!$CB$74:$DL$97,MATCH(_xlfn.CONCAT(TEXT(DATE($A16,$B16,1),"mmm-yy"),$D16),'[1]Demanda requerida 2026'!$CB$39:$DL$39,0),FALSE)</f>
        <v>11036</v>
      </c>
      <c r="P16" s="9">
        <f>VLOOKUP(P$1,'[1]Demanda requerida 2026'!$CB$74:$DL$97,MATCH(_xlfn.CONCAT(TEXT(DATE($A16,$B16,1),"mmm-yy"),$D16),'[1]Demanda requerida 2026'!$CB$39:$DL$39,0),FALSE)</f>
        <v>12300</v>
      </c>
      <c r="Q16" s="9">
        <f>VLOOKUP(Q$1,'[1]Demanda requerida 2026'!$CB$74:$DL$97,MATCH(_xlfn.CONCAT(TEXT(DATE($A16,$B16,1),"mmm-yy"),$D16),'[1]Demanda requerida 2026'!$CB$39:$DL$39,0),FALSE)</f>
        <v>13108</v>
      </c>
      <c r="R16" s="9">
        <f>VLOOKUP(R$1,'[1]Demanda requerida 2026'!$CB$74:$DL$97,MATCH(_xlfn.CONCAT(TEXT(DATE($A16,$B16,1),"mmm-yy"),$D16),'[1]Demanda requerida 2026'!$CB$39:$DL$39,0),FALSE)</f>
        <v>12864</v>
      </c>
      <c r="S16" s="9">
        <f>VLOOKUP(S$1,'[1]Demanda requerida 2026'!$CB$74:$DL$97,MATCH(_xlfn.CONCAT(TEXT(DATE($A16,$B16,1),"mmm-yy"),$D16),'[1]Demanda requerida 2026'!$CB$39:$DL$39,0),FALSE)</f>
        <v>12501</v>
      </c>
      <c r="T16" s="9">
        <f>VLOOKUP(T$1,'[1]Demanda requerida 2026'!$CB$74:$DL$97,MATCH(_xlfn.CONCAT(TEXT(DATE($A16,$B16,1),"mmm-yy"),$D16),'[1]Demanda requerida 2026'!$CB$39:$DL$39,0),FALSE)</f>
        <v>11906</v>
      </c>
      <c r="U16" s="9">
        <f>VLOOKUP(U$1,'[1]Demanda requerida 2026'!$CB$74:$DL$97,MATCH(_xlfn.CONCAT(TEXT(DATE($A16,$B16,1),"mmm-yy"),$D16),'[1]Demanda requerida 2026'!$CB$39:$DL$39,0),FALSE)</f>
        <v>10756</v>
      </c>
      <c r="V16" s="9">
        <f>VLOOKUP(V$1,'[1]Demanda requerida 2026'!$CB$74:$DL$97,MATCH(_xlfn.CONCAT(TEXT(DATE($A16,$B16,1),"mmm-yy"),$D16),'[1]Demanda requerida 2026'!$CB$39:$DL$39,0),FALSE)</f>
        <v>12529</v>
      </c>
      <c r="W16" s="9">
        <f>VLOOKUP(W$1,'[1]Demanda requerida 2026'!$CB$74:$DL$97,MATCH(_xlfn.CONCAT(TEXT(DATE($A16,$B16,1),"mmm-yy"),$D16),'[1]Demanda requerida 2026'!$CB$39:$DL$39,0),FALSE)</f>
        <v>13867</v>
      </c>
      <c r="X16" s="9">
        <f>VLOOKUP(X$1,'[1]Demanda requerida 2026'!$CB$74:$DL$97,MATCH(_xlfn.CONCAT(TEXT(DATE($A16,$B16,1),"mmm-yy"),$D16),'[1]Demanda requerida 2026'!$CB$39:$DL$39,0),FALSE)</f>
        <v>14817</v>
      </c>
      <c r="Y16" s="9">
        <f>VLOOKUP(Y$1,'[1]Demanda requerida 2026'!$CB$74:$DL$97,MATCH(_xlfn.CONCAT(TEXT(DATE($A16,$B16,1),"mmm-yy"),$D16),'[1]Demanda requerida 2026'!$CB$39:$DL$39,0),FALSE)</f>
        <v>13889</v>
      </c>
      <c r="Z16" s="9">
        <f>VLOOKUP(Z$1,'[1]Demanda requerida 2026'!$CB$74:$DL$97,MATCH(_xlfn.CONCAT(TEXT(DATE($A16,$B16,1),"mmm-yy"),$D16),'[1]Demanda requerida 2026'!$CB$39:$DL$39,0),FALSE)</f>
        <v>12087</v>
      </c>
      <c r="AA16" s="9">
        <f>VLOOKUP(AA$1,'[1]Demanda requerida 2026'!$CB$74:$DL$97,MATCH(_xlfn.CONCAT(TEXT(DATE($A16,$B16,1),"mmm-yy"),$D16),'[1]Demanda requerida 2026'!$CB$39:$DL$39,0),FALSE)</f>
        <v>9429</v>
      </c>
      <c r="AB16" s="9">
        <f>VLOOKUP(AB$1,'[1]Demanda requerida 2026'!$CB$74:$DL$97,MATCH(_xlfn.CONCAT(TEXT(DATE($A16,$B16,1),"mmm-yy"),$D16),'[1]Demanda requerida 2026'!$CB$39:$DL$39,0),FALSE)</f>
        <v>7180</v>
      </c>
      <c r="AC16" s="86">
        <f t="shared" si="5"/>
        <v>210877</v>
      </c>
      <c r="AD16" s="78"/>
      <c r="AE16" s="85"/>
    </row>
    <row r="17" spans="1:31" x14ac:dyDescent="0.25">
      <c r="A17" s="11">
        <v>2026</v>
      </c>
      <c r="B17" s="12">
        <v>6</v>
      </c>
      <c r="C17" s="12">
        <v>7</v>
      </c>
      <c r="D17" s="12" t="s">
        <v>5</v>
      </c>
      <c r="E17" s="7">
        <f>VLOOKUP(E$1,'[1]Demanda requerida 2026'!$CB$74:$DL$97,MATCH(_xlfn.CONCAT(TEXT(DATE($A17,$B17,1),"mmm-yy"),$D17),'[1]Demanda requerida 2026'!$CB$39:$DL$39,0),FALSE)</f>
        <v>200</v>
      </c>
      <c r="F17" s="7">
        <f>VLOOKUP(F$1,'[1]Demanda requerida 2026'!$CB$74:$DL$97,MATCH(_xlfn.CONCAT(TEXT(DATE($A17,$B17,1),"mmm-yy"),$D17),'[1]Demanda requerida 2026'!$CB$39:$DL$39,0),FALSE)</f>
        <v>200</v>
      </c>
      <c r="G17" s="7">
        <f>VLOOKUP(G$1,'[1]Demanda requerida 2026'!$CB$74:$DL$97,MATCH(_xlfn.CONCAT(TEXT(DATE($A17,$B17,1),"mmm-yy"),$D17),'[1]Demanda requerida 2026'!$CB$39:$DL$39,0),FALSE)</f>
        <v>200</v>
      </c>
      <c r="H17" s="7">
        <f>VLOOKUP(H$1,'[1]Demanda requerida 2026'!$CB$74:$DL$97,MATCH(_xlfn.CONCAT(TEXT(DATE($A17,$B17,1),"mmm-yy"),$D17),'[1]Demanda requerida 2026'!$CB$39:$DL$39,0),FALSE)</f>
        <v>200</v>
      </c>
      <c r="I17" s="7">
        <f>VLOOKUP(I$1,'[1]Demanda requerida 2026'!$CB$74:$DL$97,MATCH(_xlfn.CONCAT(TEXT(DATE($A17,$B17,1),"mmm-yy"),$D17),'[1]Demanda requerida 2026'!$CB$39:$DL$39,0),FALSE)</f>
        <v>200</v>
      </c>
      <c r="J17" s="7">
        <f>VLOOKUP(J$1,'[1]Demanda requerida 2026'!$CB$74:$DL$97,MATCH(_xlfn.CONCAT(TEXT(DATE($A17,$B17,1),"mmm-yy"),$D17),'[1]Demanda requerida 2026'!$CB$39:$DL$39,0),FALSE)</f>
        <v>200</v>
      </c>
      <c r="K17" s="7">
        <f>VLOOKUP(K$1,'[1]Demanda requerida 2026'!$CB$74:$DL$97,MATCH(_xlfn.CONCAT(TEXT(DATE($A17,$B17,1),"mmm-yy"),$D17),'[1]Demanda requerida 2026'!$CB$39:$DL$39,0),FALSE)</f>
        <v>200</v>
      </c>
      <c r="L17" s="7">
        <f>VLOOKUP(L$1,'[1]Demanda requerida 2026'!$CB$74:$DL$97,MATCH(_xlfn.CONCAT(TEXT(DATE($A17,$B17,1),"mmm-yy"),$D17),'[1]Demanda requerida 2026'!$CB$39:$DL$39,0),FALSE)</f>
        <v>200</v>
      </c>
      <c r="M17" s="7">
        <f>VLOOKUP(M$1,'[1]Demanda requerida 2026'!$CB$74:$DL$97,MATCH(_xlfn.CONCAT(TEXT(DATE($A17,$B17,1),"mmm-yy"),$D17),'[1]Demanda requerida 2026'!$CB$39:$DL$39,0),FALSE)</f>
        <v>200</v>
      </c>
      <c r="N17" s="7">
        <f>VLOOKUP(N$1,'[1]Demanda requerida 2026'!$CB$74:$DL$97,MATCH(_xlfn.CONCAT(TEXT(DATE($A17,$B17,1),"mmm-yy"),$D17),'[1]Demanda requerida 2026'!$CB$39:$DL$39,0),FALSE)</f>
        <v>200</v>
      </c>
      <c r="O17" s="7">
        <f>VLOOKUP(O$1,'[1]Demanda requerida 2026'!$CB$74:$DL$97,MATCH(_xlfn.CONCAT(TEXT(DATE($A17,$B17,1),"mmm-yy"),$D17),'[1]Demanda requerida 2026'!$CB$39:$DL$39,0),FALSE)</f>
        <v>200</v>
      </c>
      <c r="P17" s="7">
        <f>VLOOKUP(P$1,'[1]Demanda requerida 2026'!$CB$74:$DL$97,MATCH(_xlfn.CONCAT(TEXT(DATE($A17,$B17,1),"mmm-yy"),$D17),'[1]Demanda requerida 2026'!$CB$39:$DL$39,0),FALSE)</f>
        <v>200</v>
      </c>
      <c r="Q17" s="7">
        <f>VLOOKUP(Q$1,'[1]Demanda requerida 2026'!$CB$74:$DL$97,MATCH(_xlfn.CONCAT(TEXT(DATE($A17,$B17,1),"mmm-yy"),$D17),'[1]Demanda requerida 2026'!$CB$39:$DL$39,0),FALSE)</f>
        <v>200</v>
      </c>
      <c r="R17" s="7">
        <f>VLOOKUP(R$1,'[1]Demanda requerida 2026'!$CB$74:$DL$97,MATCH(_xlfn.CONCAT(TEXT(DATE($A17,$B17,1),"mmm-yy"),$D17),'[1]Demanda requerida 2026'!$CB$39:$DL$39,0),FALSE)</f>
        <v>200</v>
      </c>
      <c r="S17" s="7">
        <f>VLOOKUP(S$1,'[1]Demanda requerida 2026'!$CB$74:$DL$97,MATCH(_xlfn.CONCAT(TEXT(DATE($A17,$B17,1),"mmm-yy"),$D17),'[1]Demanda requerida 2026'!$CB$39:$DL$39,0),FALSE)</f>
        <v>200</v>
      </c>
      <c r="T17" s="7">
        <f>VLOOKUP(T$1,'[1]Demanda requerida 2026'!$CB$74:$DL$97,MATCH(_xlfn.CONCAT(TEXT(DATE($A17,$B17,1),"mmm-yy"),$D17),'[1]Demanda requerida 2026'!$CB$39:$DL$39,0),FALSE)</f>
        <v>200</v>
      </c>
      <c r="U17" s="7">
        <f>VLOOKUP(U$1,'[1]Demanda requerida 2026'!$CB$74:$DL$97,MATCH(_xlfn.CONCAT(TEXT(DATE($A17,$B17,1),"mmm-yy"),$D17),'[1]Demanda requerida 2026'!$CB$39:$DL$39,0),FALSE)</f>
        <v>200</v>
      </c>
      <c r="V17" s="7">
        <f>VLOOKUP(V$1,'[1]Demanda requerida 2026'!$CB$74:$DL$97,MATCH(_xlfn.CONCAT(TEXT(DATE($A17,$B17,1),"mmm-yy"),$D17),'[1]Demanda requerida 2026'!$CB$39:$DL$39,0),FALSE)</f>
        <v>200</v>
      </c>
      <c r="W17" s="7">
        <f>VLOOKUP(W$1,'[1]Demanda requerida 2026'!$CB$74:$DL$97,MATCH(_xlfn.CONCAT(TEXT(DATE($A17,$B17,1),"mmm-yy"),$D17),'[1]Demanda requerida 2026'!$CB$39:$DL$39,0),FALSE)</f>
        <v>1428</v>
      </c>
      <c r="X17" s="7">
        <f>VLOOKUP(X$1,'[1]Demanda requerida 2026'!$CB$74:$DL$97,MATCH(_xlfn.CONCAT(TEXT(DATE($A17,$B17,1),"mmm-yy"),$D17),'[1]Demanda requerida 2026'!$CB$39:$DL$39,0),FALSE)</f>
        <v>2537</v>
      </c>
      <c r="Y17" s="7">
        <f>VLOOKUP(Y$1,'[1]Demanda requerida 2026'!$CB$74:$DL$97,MATCH(_xlfn.CONCAT(TEXT(DATE($A17,$B17,1),"mmm-yy"),$D17),'[1]Demanda requerida 2026'!$CB$39:$DL$39,0),FALSE)</f>
        <v>1724</v>
      </c>
      <c r="Z17" s="7">
        <f>VLOOKUP(Z$1,'[1]Demanda requerida 2026'!$CB$74:$DL$97,MATCH(_xlfn.CONCAT(TEXT(DATE($A17,$B17,1),"mmm-yy"),$D17),'[1]Demanda requerida 2026'!$CB$39:$DL$39,0),FALSE)</f>
        <v>488</v>
      </c>
      <c r="AA17" s="7">
        <f>VLOOKUP(AA$1,'[1]Demanda requerida 2026'!$CB$74:$DL$97,MATCH(_xlfn.CONCAT(TEXT(DATE($A17,$B17,1),"mmm-yy"),$D17),'[1]Demanda requerida 2026'!$CB$39:$DL$39,0),FALSE)</f>
        <v>200</v>
      </c>
      <c r="AB17" s="7">
        <f>VLOOKUP(AB$1,'[1]Demanda requerida 2026'!$CB$74:$DL$97,MATCH(_xlfn.CONCAT(TEXT(DATE($A17,$B17,1),"mmm-yy"),$D17),'[1]Demanda requerida 2026'!$CB$39:$DL$39,0),FALSE)</f>
        <v>200</v>
      </c>
      <c r="AC17" s="82">
        <f t="shared" si="5"/>
        <v>10177</v>
      </c>
      <c r="AD17" s="76">
        <f t="shared" ref="AD17" si="6">+SUMPRODUCT(AC17:AC19,C17:C19)</f>
        <v>9456276</v>
      </c>
      <c r="AE17" s="85"/>
    </row>
    <row r="18" spans="1:31" x14ac:dyDescent="0.25">
      <c r="A18" s="13">
        <v>2026</v>
      </c>
      <c r="B18" s="1">
        <v>6</v>
      </c>
      <c r="C18" s="1">
        <v>19</v>
      </c>
      <c r="D18" s="1" t="s">
        <v>31</v>
      </c>
      <c r="E18" s="8">
        <f>VLOOKUP(E$1,'[1]Demanda requerida 2026'!$CB$74:$DL$97,MATCH(_xlfn.CONCAT(TEXT(DATE($A18,$B18,1),"mmm-yy"),$D18),'[1]Demanda requerida 2026'!$CB$39:$DL$39,0),FALSE)</f>
        <v>11434</v>
      </c>
      <c r="F18" s="8">
        <f>VLOOKUP(F$1,'[1]Demanda requerida 2026'!$CB$74:$DL$97,MATCH(_xlfn.CONCAT(TEXT(DATE($A18,$B18,1),"mmm-yy"),$D18),'[1]Demanda requerida 2026'!$CB$39:$DL$39,0),FALSE)</f>
        <v>10006</v>
      </c>
      <c r="G18" s="8">
        <f>VLOOKUP(G$1,'[1]Demanda requerida 2026'!$CB$74:$DL$97,MATCH(_xlfn.CONCAT(TEXT(DATE($A18,$B18,1),"mmm-yy"),$D18),'[1]Demanda requerida 2026'!$CB$39:$DL$39,0),FALSE)</f>
        <v>9076</v>
      </c>
      <c r="H18" s="8">
        <f>VLOOKUP(H$1,'[1]Demanda requerida 2026'!$CB$74:$DL$97,MATCH(_xlfn.CONCAT(TEXT(DATE($A18,$B18,1),"mmm-yy"),$D18),'[1]Demanda requerida 2026'!$CB$39:$DL$39,0),FALSE)</f>
        <v>8564</v>
      </c>
      <c r="I18" s="8">
        <f>VLOOKUP(I$1,'[1]Demanda requerida 2026'!$CB$74:$DL$97,MATCH(_xlfn.CONCAT(TEXT(DATE($A18,$B18,1),"mmm-yy"),$D18),'[1]Demanda requerida 2026'!$CB$39:$DL$39,0),FALSE)</f>
        <v>8765</v>
      </c>
      <c r="J18" s="8">
        <f>VLOOKUP(J$1,'[1]Demanda requerida 2026'!$CB$74:$DL$97,MATCH(_xlfn.CONCAT(TEXT(DATE($A18,$B18,1),"mmm-yy"),$D18),'[1]Demanda requerida 2026'!$CB$39:$DL$39,0),FALSE)</f>
        <v>9913</v>
      </c>
      <c r="K18" s="8">
        <f>VLOOKUP(K$1,'[1]Demanda requerida 2026'!$CB$74:$DL$97,MATCH(_xlfn.CONCAT(TEXT(DATE($A18,$B18,1),"mmm-yy"),$D18),'[1]Demanda requerida 2026'!$CB$39:$DL$39,0),FALSE)</f>
        <v>11616</v>
      </c>
      <c r="L18" s="8">
        <f>VLOOKUP(L$1,'[1]Demanda requerida 2026'!$CB$74:$DL$97,MATCH(_xlfn.CONCAT(TEXT(DATE($A18,$B18,1),"mmm-yy"),$D18),'[1]Demanda requerida 2026'!$CB$39:$DL$39,0),FALSE)</f>
        <v>14100</v>
      </c>
      <c r="M18" s="8">
        <f>VLOOKUP(M$1,'[1]Demanda requerida 2026'!$CB$74:$DL$97,MATCH(_xlfn.CONCAT(TEXT(DATE($A18,$B18,1),"mmm-yy"),$D18),'[1]Demanda requerida 2026'!$CB$39:$DL$39,0),FALSE)</f>
        <v>17460</v>
      </c>
      <c r="N18" s="8">
        <f>VLOOKUP(N$1,'[1]Demanda requerida 2026'!$CB$74:$DL$97,MATCH(_xlfn.CONCAT(TEXT(DATE($A18,$B18,1),"mmm-yy"),$D18),'[1]Demanda requerida 2026'!$CB$39:$DL$39,0),FALSE)</f>
        <v>19285</v>
      </c>
      <c r="O18" s="8">
        <f>VLOOKUP(O$1,'[1]Demanda requerida 2026'!$CB$74:$DL$97,MATCH(_xlfn.CONCAT(TEXT(DATE($A18,$B18,1),"mmm-yy"),$D18),'[1]Demanda requerida 2026'!$CB$39:$DL$39,0),FALSE)</f>
        <v>20885</v>
      </c>
      <c r="P18" s="8">
        <f>VLOOKUP(P$1,'[1]Demanda requerida 2026'!$CB$74:$DL$97,MATCH(_xlfn.CONCAT(TEXT(DATE($A18,$B18,1),"mmm-yy"),$D18),'[1]Demanda requerida 2026'!$CB$39:$DL$39,0),FALSE)</f>
        <v>22516</v>
      </c>
      <c r="Q18" s="8">
        <f>VLOOKUP(Q$1,'[1]Demanda requerida 2026'!$CB$74:$DL$97,MATCH(_xlfn.CONCAT(TEXT(DATE($A18,$B18,1),"mmm-yy"),$D18),'[1]Demanda requerida 2026'!$CB$39:$DL$39,0),FALSE)</f>
        <v>22853</v>
      </c>
      <c r="R18" s="8">
        <f>VLOOKUP(R$1,'[1]Demanda requerida 2026'!$CB$74:$DL$97,MATCH(_xlfn.CONCAT(TEXT(DATE($A18,$B18,1),"mmm-yy"),$D18),'[1]Demanda requerida 2026'!$CB$39:$DL$39,0),FALSE)</f>
        <v>23106</v>
      </c>
      <c r="S18" s="8">
        <f>VLOOKUP(S$1,'[1]Demanda requerida 2026'!$CB$74:$DL$97,MATCH(_xlfn.CONCAT(TEXT(DATE($A18,$B18,1),"mmm-yy"),$D18),'[1]Demanda requerida 2026'!$CB$39:$DL$39,0),FALSE)</f>
        <v>23211</v>
      </c>
      <c r="T18" s="8">
        <f>VLOOKUP(T$1,'[1]Demanda requerida 2026'!$CB$74:$DL$97,MATCH(_xlfn.CONCAT(TEXT(DATE($A18,$B18,1),"mmm-yy"),$D18),'[1]Demanda requerida 2026'!$CB$39:$DL$39,0),FALSE)</f>
        <v>22897</v>
      </c>
      <c r="U18" s="8">
        <f>VLOOKUP(U$1,'[1]Demanda requerida 2026'!$CB$74:$DL$97,MATCH(_xlfn.CONCAT(TEXT(DATE($A18,$B18,1),"mmm-yy"),$D18),'[1]Demanda requerida 2026'!$CB$39:$DL$39,0),FALSE)</f>
        <v>22267</v>
      </c>
      <c r="V18" s="8">
        <f>VLOOKUP(V$1,'[1]Demanda requerida 2026'!$CB$74:$DL$97,MATCH(_xlfn.CONCAT(TEXT(DATE($A18,$B18,1),"mmm-yy"),$D18),'[1]Demanda requerida 2026'!$CB$39:$DL$39,0),FALSE)</f>
        <v>23453</v>
      </c>
      <c r="W18" s="8">
        <f>VLOOKUP(W$1,'[1]Demanda requerida 2026'!$CB$74:$DL$97,MATCH(_xlfn.CONCAT(TEXT(DATE($A18,$B18,1),"mmm-yy"),$D18),'[1]Demanda requerida 2026'!$CB$39:$DL$39,0),FALSE)</f>
        <v>24396</v>
      </c>
      <c r="X18" s="8">
        <f>VLOOKUP(X$1,'[1]Demanda requerida 2026'!$CB$74:$DL$97,MATCH(_xlfn.CONCAT(TEXT(DATE($A18,$B18,1),"mmm-yy"),$D18),'[1]Demanda requerida 2026'!$CB$39:$DL$39,0),FALSE)</f>
        <v>25220</v>
      </c>
      <c r="Y18" s="8">
        <f>VLOOKUP(Y$1,'[1]Demanda requerida 2026'!$CB$74:$DL$97,MATCH(_xlfn.CONCAT(TEXT(DATE($A18,$B18,1),"mmm-yy"),$D18),'[1]Demanda requerida 2026'!$CB$39:$DL$39,0),FALSE)</f>
        <v>24004</v>
      </c>
      <c r="Z18" s="8">
        <f>VLOOKUP(Z$1,'[1]Demanda requerida 2026'!$CB$74:$DL$97,MATCH(_xlfn.CONCAT(TEXT(DATE($A18,$B18,1),"mmm-yy"),$D18),'[1]Demanda requerida 2026'!$CB$39:$DL$39,0),FALSE)</f>
        <v>21278</v>
      </c>
      <c r="AA18" s="8">
        <f>VLOOKUP(AA$1,'[1]Demanda requerida 2026'!$CB$74:$DL$97,MATCH(_xlfn.CONCAT(TEXT(DATE($A18,$B18,1),"mmm-yy"),$D18),'[1]Demanda requerida 2026'!$CB$39:$DL$39,0),FALSE)</f>
        <v>18084</v>
      </c>
      <c r="AB18" s="8">
        <f>VLOOKUP(AB$1,'[1]Demanda requerida 2026'!$CB$74:$DL$97,MATCH(_xlfn.CONCAT(TEXT(DATE($A18,$B18,1),"mmm-yy"),$D18),'[1]Demanda requerida 2026'!$CB$39:$DL$39,0),FALSE)</f>
        <v>15842</v>
      </c>
      <c r="AC18" s="84">
        <f t="shared" si="5"/>
        <v>430231</v>
      </c>
      <c r="AD18" s="77"/>
      <c r="AE18" s="85"/>
    </row>
    <row r="19" spans="1:31" ht="15.75" thickBot="1" x14ac:dyDescent="0.3">
      <c r="A19" s="14">
        <v>2026</v>
      </c>
      <c r="B19" s="15">
        <v>6</v>
      </c>
      <c r="C19" s="15">
        <v>4</v>
      </c>
      <c r="D19" s="15" t="s">
        <v>6</v>
      </c>
      <c r="E19" s="9">
        <f>VLOOKUP(E$1,'[1]Demanda requerida 2026'!$CB$74:$DL$97,MATCH(_xlfn.CONCAT(TEXT(DATE($A19,$B19,1),"mmm-yy"),$D19),'[1]Demanda requerida 2026'!$CB$39:$DL$39,0),FALSE)</f>
        <v>6784</v>
      </c>
      <c r="F19" s="9">
        <f>VLOOKUP(F$1,'[1]Demanda requerida 2026'!$CB$74:$DL$97,MATCH(_xlfn.CONCAT(TEXT(DATE($A19,$B19,1),"mmm-yy"),$D19),'[1]Demanda requerida 2026'!$CB$39:$DL$39,0),FALSE)</f>
        <v>6086</v>
      </c>
      <c r="G19" s="9">
        <f>VLOOKUP(G$1,'[1]Demanda requerida 2026'!$CB$74:$DL$97,MATCH(_xlfn.CONCAT(TEXT(DATE($A19,$B19,1),"mmm-yy"),$D19),'[1]Demanda requerida 2026'!$CB$39:$DL$39,0),FALSE)</f>
        <v>5703</v>
      </c>
      <c r="H19" s="9">
        <f>VLOOKUP(H$1,'[1]Demanda requerida 2026'!$CB$74:$DL$97,MATCH(_xlfn.CONCAT(TEXT(DATE($A19,$B19,1),"mmm-yy"),$D19),'[1]Demanda requerida 2026'!$CB$39:$DL$39,0),FALSE)</f>
        <v>5076</v>
      </c>
      <c r="I19" s="9">
        <f>VLOOKUP(I$1,'[1]Demanda requerida 2026'!$CB$74:$DL$97,MATCH(_xlfn.CONCAT(TEXT(DATE($A19,$B19,1),"mmm-yy"),$D19),'[1]Demanda requerida 2026'!$CB$39:$DL$39,0),FALSE)</f>
        <v>4845</v>
      </c>
      <c r="J19" s="9">
        <f>VLOOKUP(J$1,'[1]Demanda requerida 2026'!$CB$74:$DL$97,MATCH(_xlfn.CONCAT(TEXT(DATE($A19,$B19,1),"mmm-yy"),$D19),'[1]Demanda requerida 2026'!$CB$39:$DL$39,0),FALSE)</f>
        <v>5455</v>
      </c>
      <c r="K19" s="9">
        <f>VLOOKUP(K$1,'[1]Demanda requerida 2026'!$CB$74:$DL$97,MATCH(_xlfn.CONCAT(TEXT(DATE($A19,$B19,1),"mmm-yy"),$D19),'[1]Demanda requerida 2026'!$CB$39:$DL$39,0),FALSE)</f>
        <v>6000</v>
      </c>
      <c r="L19" s="9">
        <f>VLOOKUP(L$1,'[1]Demanda requerida 2026'!$CB$74:$DL$97,MATCH(_xlfn.CONCAT(TEXT(DATE($A19,$B19,1),"mmm-yy"),$D19),'[1]Demanda requerida 2026'!$CB$39:$DL$39,0),FALSE)</f>
        <v>8204</v>
      </c>
      <c r="M19" s="9">
        <f>VLOOKUP(M$1,'[1]Demanda requerida 2026'!$CB$74:$DL$97,MATCH(_xlfn.CONCAT(TEXT(DATE($A19,$B19,1),"mmm-yy"),$D19),'[1]Demanda requerida 2026'!$CB$39:$DL$39,0),FALSE)</f>
        <v>11791</v>
      </c>
      <c r="N19" s="9">
        <f>VLOOKUP(N$1,'[1]Demanda requerida 2026'!$CB$74:$DL$97,MATCH(_xlfn.CONCAT(TEXT(DATE($A19,$B19,1),"mmm-yy"),$D19),'[1]Demanda requerida 2026'!$CB$39:$DL$39,0),FALSE)</f>
        <v>13643</v>
      </c>
      <c r="O19" s="9">
        <f>VLOOKUP(O$1,'[1]Demanda requerida 2026'!$CB$74:$DL$97,MATCH(_xlfn.CONCAT(TEXT(DATE($A19,$B19,1),"mmm-yy"),$D19),'[1]Demanda requerida 2026'!$CB$39:$DL$39,0),FALSE)</f>
        <v>14488</v>
      </c>
      <c r="P19" s="9">
        <f>VLOOKUP(P$1,'[1]Demanda requerida 2026'!$CB$74:$DL$97,MATCH(_xlfn.CONCAT(TEXT(DATE($A19,$B19,1),"mmm-yy"),$D19),'[1]Demanda requerida 2026'!$CB$39:$DL$39,0),FALSE)</f>
        <v>16143</v>
      </c>
      <c r="Q19" s="9">
        <f>VLOOKUP(Q$1,'[1]Demanda requerida 2026'!$CB$74:$DL$97,MATCH(_xlfn.CONCAT(TEXT(DATE($A19,$B19,1),"mmm-yy"),$D19),'[1]Demanda requerida 2026'!$CB$39:$DL$39,0),FALSE)</f>
        <v>16413</v>
      </c>
      <c r="R19" s="9">
        <f>VLOOKUP(R$1,'[1]Demanda requerida 2026'!$CB$74:$DL$97,MATCH(_xlfn.CONCAT(TEXT(DATE($A19,$B19,1),"mmm-yy"),$D19),'[1]Demanda requerida 2026'!$CB$39:$DL$39,0),FALSE)</f>
        <v>15583</v>
      </c>
      <c r="S19" s="9">
        <f>VLOOKUP(S$1,'[1]Demanda requerida 2026'!$CB$74:$DL$97,MATCH(_xlfn.CONCAT(TEXT(DATE($A19,$B19,1),"mmm-yy"),$D19),'[1]Demanda requerida 2026'!$CB$39:$DL$39,0),FALSE)</f>
        <v>16097</v>
      </c>
      <c r="T19" s="9">
        <f>VLOOKUP(T$1,'[1]Demanda requerida 2026'!$CB$74:$DL$97,MATCH(_xlfn.CONCAT(TEXT(DATE($A19,$B19,1),"mmm-yy"),$D19),'[1]Demanda requerida 2026'!$CB$39:$DL$39,0),FALSE)</f>
        <v>15513</v>
      </c>
      <c r="U19" s="9">
        <f>VLOOKUP(U$1,'[1]Demanda requerida 2026'!$CB$74:$DL$97,MATCH(_xlfn.CONCAT(TEXT(DATE($A19,$B19,1),"mmm-yy"),$D19),'[1]Demanda requerida 2026'!$CB$39:$DL$39,0),FALSE)</f>
        <v>14102</v>
      </c>
      <c r="V19" s="9">
        <f>VLOOKUP(V$1,'[1]Demanda requerida 2026'!$CB$74:$DL$97,MATCH(_xlfn.CONCAT(TEXT(DATE($A19,$B19,1),"mmm-yy"),$D19),'[1]Demanda requerida 2026'!$CB$39:$DL$39,0),FALSE)</f>
        <v>16009</v>
      </c>
      <c r="W19" s="9">
        <f>VLOOKUP(W$1,'[1]Demanda requerida 2026'!$CB$74:$DL$97,MATCH(_xlfn.CONCAT(TEXT(DATE($A19,$B19,1),"mmm-yy"),$D19),'[1]Demanda requerida 2026'!$CB$39:$DL$39,0),FALSE)</f>
        <v>18756</v>
      </c>
      <c r="X19" s="9">
        <f>VLOOKUP(X$1,'[1]Demanda requerida 2026'!$CB$74:$DL$97,MATCH(_xlfn.CONCAT(TEXT(DATE($A19,$B19,1),"mmm-yy"),$D19),'[1]Demanda requerida 2026'!$CB$39:$DL$39,0),FALSE)</f>
        <v>20825</v>
      </c>
      <c r="Y19" s="9">
        <f>VLOOKUP(Y$1,'[1]Demanda requerida 2026'!$CB$74:$DL$97,MATCH(_xlfn.CONCAT(TEXT(DATE($A19,$B19,1),"mmm-yy"),$D19),'[1]Demanda requerida 2026'!$CB$39:$DL$39,0),FALSE)</f>
        <v>19344</v>
      </c>
      <c r="Z19" s="9">
        <f>VLOOKUP(Z$1,'[1]Demanda requerida 2026'!$CB$74:$DL$97,MATCH(_xlfn.CONCAT(TEXT(DATE($A19,$B19,1),"mmm-yy"),$D19),'[1]Demanda requerida 2026'!$CB$39:$DL$39,0),FALSE)</f>
        <v>17560</v>
      </c>
      <c r="AA19" s="9">
        <f>VLOOKUP(AA$1,'[1]Demanda requerida 2026'!$CB$74:$DL$97,MATCH(_xlfn.CONCAT(TEXT(DATE($A19,$B19,1),"mmm-yy"),$D19),'[1]Demanda requerida 2026'!$CB$39:$DL$39,0),FALSE)</f>
        <v>15239</v>
      </c>
      <c r="AB19" s="9">
        <f>VLOOKUP(AB$1,'[1]Demanda requerida 2026'!$CB$74:$DL$97,MATCH(_xlfn.CONCAT(TEXT(DATE($A19,$B19,1),"mmm-yy"),$D19),'[1]Demanda requerida 2026'!$CB$39:$DL$39,0),FALSE)</f>
        <v>13003</v>
      </c>
      <c r="AC19" s="86">
        <f t="shared" si="5"/>
        <v>302662</v>
      </c>
      <c r="AD19" s="78"/>
      <c r="AE19" s="85"/>
    </row>
    <row r="20" spans="1:31" x14ac:dyDescent="0.25">
      <c r="A20" s="11">
        <v>2026</v>
      </c>
      <c r="B20" s="12">
        <v>7</v>
      </c>
      <c r="C20" s="12">
        <v>5</v>
      </c>
      <c r="D20" s="12" t="s">
        <v>5</v>
      </c>
      <c r="E20" s="7">
        <f>VLOOKUP(E$1,'[1]Demanda requerida 2026'!$CB$74:$DL$97,MATCH(_xlfn.CONCAT(TEXT(DATE($A20,$B20,1),"mmm-yy"),$D20),'[1]Demanda requerida 2026'!$CB$39:$DL$39,0),FALSE)</f>
        <v>200</v>
      </c>
      <c r="F20" s="7">
        <f>VLOOKUP(F$1,'[1]Demanda requerida 2026'!$CB$74:$DL$97,MATCH(_xlfn.CONCAT(TEXT(DATE($A20,$B20,1),"mmm-yy"),$D20),'[1]Demanda requerida 2026'!$CB$39:$DL$39,0),FALSE)</f>
        <v>200</v>
      </c>
      <c r="G20" s="7">
        <f>VLOOKUP(G$1,'[1]Demanda requerida 2026'!$CB$74:$DL$97,MATCH(_xlfn.CONCAT(TEXT(DATE($A20,$B20,1),"mmm-yy"),$D20),'[1]Demanda requerida 2026'!$CB$39:$DL$39,0),FALSE)</f>
        <v>200</v>
      </c>
      <c r="H20" s="7">
        <f>VLOOKUP(H$1,'[1]Demanda requerida 2026'!$CB$74:$DL$97,MATCH(_xlfn.CONCAT(TEXT(DATE($A20,$B20,1),"mmm-yy"),$D20),'[1]Demanda requerida 2026'!$CB$39:$DL$39,0),FALSE)</f>
        <v>200</v>
      </c>
      <c r="I20" s="7">
        <f>VLOOKUP(I$1,'[1]Demanda requerida 2026'!$CB$74:$DL$97,MATCH(_xlfn.CONCAT(TEXT(DATE($A20,$B20,1),"mmm-yy"),$D20),'[1]Demanda requerida 2026'!$CB$39:$DL$39,0),FALSE)</f>
        <v>200</v>
      </c>
      <c r="J20" s="7">
        <f>VLOOKUP(J$1,'[1]Demanda requerida 2026'!$CB$74:$DL$97,MATCH(_xlfn.CONCAT(TEXT(DATE($A20,$B20,1),"mmm-yy"),$D20),'[1]Demanda requerida 2026'!$CB$39:$DL$39,0),FALSE)</f>
        <v>200</v>
      </c>
      <c r="K20" s="7">
        <f>VLOOKUP(K$1,'[1]Demanda requerida 2026'!$CB$74:$DL$97,MATCH(_xlfn.CONCAT(TEXT(DATE($A20,$B20,1),"mmm-yy"),$D20),'[1]Demanda requerida 2026'!$CB$39:$DL$39,0),FALSE)</f>
        <v>200</v>
      </c>
      <c r="L20" s="7">
        <f>VLOOKUP(L$1,'[1]Demanda requerida 2026'!$CB$74:$DL$97,MATCH(_xlfn.CONCAT(TEXT(DATE($A20,$B20,1),"mmm-yy"),$D20),'[1]Demanda requerida 2026'!$CB$39:$DL$39,0),FALSE)</f>
        <v>200</v>
      </c>
      <c r="M20" s="7">
        <f>VLOOKUP(M$1,'[1]Demanda requerida 2026'!$CB$74:$DL$97,MATCH(_xlfn.CONCAT(TEXT(DATE($A20,$B20,1),"mmm-yy"),$D20),'[1]Demanda requerida 2026'!$CB$39:$DL$39,0),FALSE)</f>
        <v>200</v>
      </c>
      <c r="N20" s="7">
        <f>VLOOKUP(N$1,'[1]Demanda requerida 2026'!$CB$74:$DL$97,MATCH(_xlfn.CONCAT(TEXT(DATE($A20,$B20,1),"mmm-yy"),$D20),'[1]Demanda requerida 2026'!$CB$39:$DL$39,0),FALSE)</f>
        <v>200</v>
      </c>
      <c r="O20" s="7">
        <f>VLOOKUP(O$1,'[1]Demanda requerida 2026'!$CB$74:$DL$97,MATCH(_xlfn.CONCAT(TEXT(DATE($A20,$B20,1),"mmm-yy"),$D20),'[1]Demanda requerida 2026'!$CB$39:$DL$39,0),FALSE)</f>
        <v>200</v>
      </c>
      <c r="P20" s="7">
        <f>VLOOKUP(P$1,'[1]Demanda requerida 2026'!$CB$74:$DL$97,MATCH(_xlfn.CONCAT(TEXT(DATE($A20,$B20,1),"mmm-yy"),$D20),'[1]Demanda requerida 2026'!$CB$39:$DL$39,0),FALSE)</f>
        <v>198</v>
      </c>
      <c r="Q20" s="7">
        <f>VLOOKUP(Q$1,'[1]Demanda requerida 2026'!$CB$74:$DL$97,MATCH(_xlfn.CONCAT(TEXT(DATE($A20,$B20,1),"mmm-yy"),$D20),'[1]Demanda requerida 2026'!$CB$39:$DL$39,0),FALSE)</f>
        <v>1126</v>
      </c>
      <c r="R20" s="7">
        <f>VLOOKUP(R$1,'[1]Demanda requerida 2026'!$CB$74:$DL$97,MATCH(_xlfn.CONCAT(TEXT(DATE($A20,$B20,1),"mmm-yy"),$D20),'[1]Demanda requerida 2026'!$CB$39:$DL$39,0),FALSE)</f>
        <v>1049</v>
      </c>
      <c r="S20" s="7">
        <f>VLOOKUP(S$1,'[1]Demanda requerida 2026'!$CB$74:$DL$97,MATCH(_xlfn.CONCAT(TEXT(DATE($A20,$B20,1),"mmm-yy"),$D20),'[1]Demanda requerida 2026'!$CB$39:$DL$39,0),FALSE)</f>
        <v>398</v>
      </c>
      <c r="T20" s="7">
        <f>VLOOKUP(T$1,'[1]Demanda requerida 2026'!$CB$74:$DL$97,MATCH(_xlfn.CONCAT(TEXT(DATE($A20,$B20,1),"mmm-yy"),$D20),'[1]Demanda requerida 2026'!$CB$39:$DL$39,0),FALSE)</f>
        <v>256</v>
      </c>
      <c r="U20" s="7">
        <f>VLOOKUP(U$1,'[1]Demanda requerida 2026'!$CB$74:$DL$97,MATCH(_xlfn.CONCAT(TEXT(DATE($A20,$B20,1),"mmm-yy"),$D20),'[1]Demanda requerida 2026'!$CB$39:$DL$39,0),FALSE)</f>
        <v>200</v>
      </c>
      <c r="V20" s="7">
        <f>VLOOKUP(V$1,'[1]Demanda requerida 2026'!$CB$74:$DL$97,MATCH(_xlfn.CONCAT(TEXT(DATE($A20,$B20,1),"mmm-yy"),$D20),'[1]Demanda requerida 2026'!$CB$39:$DL$39,0),FALSE)</f>
        <v>897</v>
      </c>
      <c r="W20" s="7">
        <f>VLOOKUP(W$1,'[1]Demanda requerida 2026'!$CB$74:$DL$97,MATCH(_xlfn.CONCAT(TEXT(DATE($A20,$B20,1),"mmm-yy"),$D20),'[1]Demanda requerida 2026'!$CB$39:$DL$39,0),FALSE)</f>
        <v>1675</v>
      </c>
      <c r="X20" s="7">
        <f>VLOOKUP(X$1,'[1]Demanda requerida 2026'!$CB$74:$DL$97,MATCH(_xlfn.CONCAT(TEXT(DATE($A20,$B20,1),"mmm-yy"),$D20),'[1]Demanda requerida 2026'!$CB$39:$DL$39,0),FALSE)</f>
        <v>4114</v>
      </c>
      <c r="Y20" s="7">
        <f>VLOOKUP(Y$1,'[1]Demanda requerida 2026'!$CB$74:$DL$97,MATCH(_xlfn.CONCAT(TEXT(DATE($A20,$B20,1),"mmm-yy"),$D20),'[1]Demanda requerida 2026'!$CB$39:$DL$39,0),FALSE)</f>
        <v>3525</v>
      </c>
      <c r="Z20" s="7">
        <f>VLOOKUP(Z$1,'[1]Demanda requerida 2026'!$CB$74:$DL$97,MATCH(_xlfn.CONCAT(TEXT(DATE($A20,$B20,1),"mmm-yy"),$D20),'[1]Demanda requerida 2026'!$CB$39:$DL$39,0),FALSE)</f>
        <v>1945</v>
      </c>
      <c r="AA20" s="7">
        <f>VLOOKUP(AA$1,'[1]Demanda requerida 2026'!$CB$74:$DL$97,MATCH(_xlfn.CONCAT(TEXT(DATE($A20,$B20,1),"mmm-yy"),$D20),'[1]Demanda requerida 2026'!$CB$39:$DL$39,0),FALSE)</f>
        <v>200</v>
      </c>
      <c r="AB20" s="7">
        <f>VLOOKUP(AB$1,'[1]Demanda requerida 2026'!$CB$74:$DL$97,MATCH(_xlfn.CONCAT(TEXT(DATE($A20,$B20,1),"mmm-yy"),$D20),'[1]Demanda requerida 2026'!$CB$39:$DL$39,0),FALSE)</f>
        <v>200</v>
      </c>
      <c r="AC20" s="82">
        <f t="shared" si="5"/>
        <v>17983</v>
      </c>
      <c r="AD20" s="76">
        <f t="shared" ref="AD20" si="7">+SUMPRODUCT(AC20:AC22,C20:C22)</f>
        <v>4460345</v>
      </c>
      <c r="AE20" s="85"/>
    </row>
    <row r="21" spans="1:31" x14ac:dyDescent="0.25">
      <c r="A21" s="13">
        <v>2026</v>
      </c>
      <c r="B21" s="1">
        <v>7</v>
      </c>
      <c r="C21" s="1">
        <v>22</v>
      </c>
      <c r="D21" s="1" t="s">
        <v>31</v>
      </c>
      <c r="E21" s="8">
        <f>VLOOKUP(E$1,'[1]Demanda requerida 2026'!$CB$74:$DL$97,MATCH(_xlfn.CONCAT(TEXT(DATE($A21,$B21,1),"mmm-yy"),$D21),'[1]Demanda requerida 2026'!$CB$39:$DL$39,0),FALSE)</f>
        <v>1980</v>
      </c>
      <c r="F21" s="8">
        <f>VLOOKUP(F$1,'[1]Demanda requerida 2026'!$CB$74:$DL$97,MATCH(_xlfn.CONCAT(TEXT(DATE($A21,$B21,1),"mmm-yy"),$D21),'[1]Demanda requerida 2026'!$CB$39:$DL$39,0),FALSE)</f>
        <v>782</v>
      </c>
      <c r="G21" s="8">
        <f>VLOOKUP(G$1,'[1]Demanda requerida 2026'!$CB$74:$DL$97,MATCH(_xlfn.CONCAT(TEXT(DATE($A21,$B21,1),"mmm-yy"),$D21),'[1]Demanda requerida 2026'!$CB$39:$DL$39,0),FALSE)</f>
        <v>200</v>
      </c>
      <c r="H21" s="8">
        <f>VLOOKUP(H$1,'[1]Demanda requerida 2026'!$CB$74:$DL$97,MATCH(_xlfn.CONCAT(TEXT(DATE($A21,$B21,1),"mmm-yy"),$D21),'[1]Demanda requerida 2026'!$CB$39:$DL$39,0),FALSE)</f>
        <v>200</v>
      </c>
      <c r="I21" s="8">
        <f>VLOOKUP(I$1,'[1]Demanda requerida 2026'!$CB$74:$DL$97,MATCH(_xlfn.CONCAT(TEXT(DATE($A21,$B21,1),"mmm-yy"),$D21),'[1]Demanda requerida 2026'!$CB$39:$DL$39,0),FALSE)</f>
        <v>200</v>
      </c>
      <c r="J21" s="8">
        <f>VLOOKUP(J$1,'[1]Demanda requerida 2026'!$CB$74:$DL$97,MATCH(_xlfn.CONCAT(TEXT(DATE($A21,$B21,1),"mmm-yy"),$D21),'[1]Demanda requerida 2026'!$CB$39:$DL$39,0),FALSE)</f>
        <v>684</v>
      </c>
      <c r="K21" s="8">
        <f>VLOOKUP(K$1,'[1]Demanda requerida 2026'!$CB$74:$DL$97,MATCH(_xlfn.CONCAT(TEXT(DATE($A21,$B21,1),"mmm-yy"),$D21),'[1]Demanda requerida 2026'!$CB$39:$DL$39,0),FALSE)</f>
        <v>2185</v>
      </c>
      <c r="L21" s="8">
        <f>VLOOKUP(L$1,'[1]Demanda requerida 2026'!$CB$74:$DL$97,MATCH(_xlfn.CONCAT(TEXT(DATE($A21,$B21,1),"mmm-yy"),$D21),'[1]Demanda requerida 2026'!$CB$39:$DL$39,0),FALSE)</f>
        <v>3769</v>
      </c>
      <c r="M21" s="8">
        <f>VLOOKUP(M$1,'[1]Demanda requerida 2026'!$CB$74:$DL$97,MATCH(_xlfn.CONCAT(TEXT(DATE($A21,$B21,1),"mmm-yy"),$D21),'[1]Demanda requerida 2026'!$CB$39:$DL$39,0),FALSE)</f>
        <v>6375</v>
      </c>
      <c r="N21" s="8">
        <f>VLOOKUP(N$1,'[1]Demanda requerida 2026'!$CB$74:$DL$97,MATCH(_xlfn.CONCAT(TEXT(DATE($A21,$B21,1),"mmm-yy"),$D21),'[1]Demanda requerida 2026'!$CB$39:$DL$39,0),FALSE)</f>
        <v>7378</v>
      </c>
      <c r="O21" s="8">
        <f>VLOOKUP(O$1,'[1]Demanda requerida 2026'!$CB$74:$DL$97,MATCH(_xlfn.CONCAT(TEXT(DATE($A21,$B21,1),"mmm-yy"),$D21),'[1]Demanda requerida 2026'!$CB$39:$DL$39,0),FALSE)</f>
        <v>8631</v>
      </c>
      <c r="P21" s="8">
        <f>VLOOKUP(P$1,'[1]Demanda requerida 2026'!$CB$74:$DL$97,MATCH(_xlfn.CONCAT(TEXT(DATE($A21,$B21,1),"mmm-yy"),$D21),'[1]Demanda requerida 2026'!$CB$39:$DL$39,0),FALSE)</f>
        <v>10356</v>
      </c>
      <c r="Q21" s="8">
        <f>VLOOKUP(Q$1,'[1]Demanda requerida 2026'!$CB$74:$DL$97,MATCH(_xlfn.CONCAT(TEXT(DATE($A21,$B21,1),"mmm-yy"),$D21),'[1]Demanda requerida 2026'!$CB$39:$DL$39,0),FALSE)</f>
        <v>10183</v>
      </c>
      <c r="R21" s="8">
        <f>VLOOKUP(R$1,'[1]Demanda requerida 2026'!$CB$74:$DL$97,MATCH(_xlfn.CONCAT(TEXT(DATE($A21,$B21,1),"mmm-yy"),$D21),'[1]Demanda requerida 2026'!$CB$39:$DL$39,0),FALSE)</f>
        <v>10798</v>
      </c>
      <c r="S21" s="8">
        <f>VLOOKUP(S$1,'[1]Demanda requerida 2026'!$CB$74:$DL$97,MATCH(_xlfn.CONCAT(TEXT(DATE($A21,$B21,1),"mmm-yy"),$D21),'[1]Demanda requerida 2026'!$CB$39:$DL$39,0),FALSE)</f>
        <v>11835</v>
      </c>
      <c r="T21" s="8">
        <f>VLOOKUP(T$1,'[1]Demanda requerida 2026'!$CB$74:$DL$97,MATCH(_xlfn.CONCAT(TEXT(DATE($A21,$B21,1),"mmm-yy"),$D21),'[1]Demanda requerida 2026'!$CB$39:$DL$39,0),FALSE)</f>
        <v>11901</v>
      </c>
      <c r="U21" s="8">
        <f>VLOOKUP(U$1,'[1]Demanda requerida 2026'!$CB$74:$DL$97,MATCH(_xlfn.CONCAT(TEXT(DATE($A21,$B21,1),"mmm-yy"),$D21),'[1]Demanda requerida 2026'!$CB$39:$DL$39,0),FALSE)</f>
        <v>10988</v>
      </c>
      <c r="V21" s="8">
        <f>VLOOKUP(V$1,'[1]Demanda requerida 2026'!$CB$74:$DL$97,MATCH(_xlfn.CONCAT(TEXT(DATE($A21,$B21,1),"mmm-yy"),$D21),'[1]Demanda requerida 2026'!$CB$39:$DL$39,0),FALSE)</f>
        <v>12125</v>
      </c>
      <c r="W21" s="8">
        <f>VLOOKUP(W$1,'[1]Demanda requerida 2026'!$CB$74:$DL$97,MATCH(_xlfn.CONCAT(TEXT(DATE($A21,$B21,1),"mmm-yy"),$D21),'[1]Demanda requerida 2026'!$CB$39:$DL$39,0),FALSE)</f>
        <v>13082</v>
      </c>
      <c r="X21" s="8">
        <f>VLOOKUP(X$1,'[1]Demanda requerida 2026'!$CB$74:$DL$97,MATCH(_xlfn.CONCAT(TEXT(DATE($A21,$B21,1),"mmm-yy"),$D21),'[1]Demanda requerida 2026'!$CB$39:$DL$39,0),FALSE)</f>
        <v>14544</v>
      </c>
      <c r="Y21" s="8">
        <f>VLOOKUP(Y$1,'[1]Demanda requerida 2026'!$CB$74:$DL$97,MATCH(_xlfn.CONCAT(TEXT(DATE($A21,$B21,1),"mmm-yy"),$D21),'[1]Demanda requerida 2026'!$CB$39:$DL$39,0),FALSE)</f>
        <v>13646</v>
      </c>
      <c r="Z21" s="8">
        <f>VLOOKUP(Z$1,'[1]Demanda requerida 2026'!$CB$74:$DL$97,MATCH(_xlfn.CONCAT(TEXT(DATE($A21,$B21,1),"mmm-yy"),$D21),'[1]Demanda requerida 2026'!$CB$39:$DL$39,0),FALSE)</f>
        <v>10981</v>
      </c>
      <c r="AA21" s="8">
        <f>VLOOKUP(AA$1,'[1]Demanda requerida 2026'!$CB$74:$DL$97,MATCH(_xlfn.CONCAT(TEXT(DATE($A21,$B21,1),"mmm-yy"),$D21),'[1]Demanda requerida 2026'!$CB$39:$DL$39,0),FALSE)</f>
        <v>7768</v>
      </c>
      <c r="AB21" s="8">
        <f>VLOOKUP(AB$1,'[1]Demanda requerida 2026'!$CB$74:$DL$97,MATCH(_xlfn.CONCAT(TEXT(DATE($A21,$B21,1),"mmm-yy"),$D21),'[1]Demanda requerida 2026'!$CB$39:$DL$39,0),FALSE)</f>
        <v>5126</v>
      </c>
      <c r="AC21" s="84">
        <f t="shared" si="5"/>
        <v>175717</v>
      </c>
      <c r="AD21" s="77"/>
      <c r="AE21" s="85"/>
    </row>
    <row r="22" spans="1:31" ht="15.75" thickBot="1" x14ac:dyDescent="0.3">
      <c r="A22" s="14">
        <v>2026</v>
      </c>
      <c r="B22" s="15">
        <v>7</v>
      </c>
      <c r="C22" s="15">
        <v>4</v>
      </c>
      <c r="D22" s="15" t="s">
        <v>6</v>
      </c>
      <c r="E22" s="9">
        <f>VLOOKUP(E$1,'[1]Demanda requerida 2026'!$CB$74:$DL$97,MATCH(_xlfn.CONCAT(TEXT(DATE($A22,$B22,1),"mmm-yy"),$D22),'[1]Demanda requerida 2026'!$CB$39:$DL$39,0),FALSE)</f>
        <v>200</v>
      </c>
      <c r="F22" s="9">
        <f>VLOOKUP(F$1,'[1]Demanda requerida 2026'!$CB$74:$DL$97,MATCH(_xlfn.CONCAT(TEXT(DATE($A22,$B22,1),"mmm-yy"),$D22),'[1]Demanda requerida 2026'!$CB$39:$DL$39,0),FALSE)</f>
        <v>200</v>
      </c>
      <c r="G22" s="9">
        <f>VLOOKUP(G$1,'[1]Demanda requerida 2026'!$CB$74:$DL$97,MATCH(_xlfn.CONCAT(TEXT(DATE($A22,$B22,1),"mmm-yy"),$D22),'[1]Demanda requerida 2026'!$CB$39:$DL$39,0),FALSE)</f>
        <v>200</v>
      </c>
      <c r="H22" s="9">
        <f>VLOOKUP(H$1,'[1]Demanda requerida 2026'!$CB$74:$DL$97,MATCH(_xlfn.CONCAT(TEXT(DATE($A22,$B22,1),"mmm-yy"),$D22),'[1]Demanda requerida 2026'!$CB$39:$DL$39,0),FALSE)</f>
        <v>200</v>
      </c>
      <c r="I22" s="9">
        <f>VLOOKUP(I$1,'[1]Demanda requerida 2026'!$CB$74:$DL$97,MATCH(_xlfn.CONCAT(TEXT(DATE($A22,$B22,1),"mmm-yy"),$D22),'[1]Demanda requerida 2026'!$CB$39:$DL$39,0),FALSE)</f>
        <v>200</v>
      </c>
      <c r="J22" s="9">
        <f>VLOOKUP(J$1,'[1]Demanda requerida 2026'!$CB$74:$DL$97,MATCH(_xlfn.CONCAT(TEXT(DATE($A22,$B22,1),"mmm-yy"),$D22),'[1]Demanda requerida 2026'!$CB$39:$DL$39,0),FALSE)</f>
        <v>200</v>
      </c>
      <c r="K22" s="9">
        <f>VLOOKUP(K$1,'[1]Demanda requerida 2026'!$CB$74:$DL$97,MATCH(_xlfn.CONCAT(TEXT(DATE($A22,$B22,1),"mmm-yy"),$D22),'[1]Demanda requerida 2026'!$CB$39:$DL$39,0),FALSE)</f>
        <v>200</v>
      </c>
      <c r="L22" s="9">
        <f>VLOOKUP(L$1,'[1]Demanda requerida 2026'!$CB$74:$DL$97,MATCH(_xlfn.CONCAT(TEXT(DATE($A22,$B22,1),"mmm-yy"),$D22),'[1]Demanda requerida 2026'!$CB$39:$DL$39,0),FALSE)</f>
        <v>632</v>
      </c>
      <c r="M22" s="9">
        <f>VLOOKUP(M$1,'[1]Demanda requerida 2026'!$CB$74:$DL$97,MATCH(_xlfn.CONCAT(TEXT(DATE($A22,$B22,1),"mmm-yy"),$D22),'[1]Demanda requerida 2026'!$CB$39:$DL$39,0),FALSE)</f>
        <v>3818</v>
      </c>
      <c r="N22" s="9">
        <f>VLOOKUP(N$1,'[1]Demanda requerida 2026'!$CB$74:$DL$97,MATCH(_xlfn.CONCAT(TEXT(DATE($A22,$B22,1),"mmm-yy"),$D22),'[1]Demanda requerida 2026'!$CB$39:$DL$39,0),FALSE)</f>
        <v>5027</v>
      </c>
      <c r="O22" s="9">
        <f>VLOOKUP(O$1,'[1]Demanda requerida 2026'!$CB$74:$DL$97,MATCH(_xlfn.CONCAT(TEXT(DATE($A22,$B22,1),"mmm-yy"),$D22),'[1]Demanda requerida 2026'!$CB$39:$DL$39,0),FALSE)</f>
        <v>5751</v>
      </c>
      <c r="P22" s="9">
        <f>VLOOKUP(P$1,'[1]Demanda requerida 2026'!$CB$74:$DL$97,MATCH(_xlfn.CONCAT(TEXT(DATE($A22,$B22,1),"mmm-yy"),$D22),'[1]Demanda requerida 2026'!$CB$39:$DL$39,0),FALSE)</f>
        <v>7780</v>
      </c>
      <c r="Q22" s="9">
        <f>VLOOKUP(Q$1,'[1]Demanda requerida 2026'!$CB$74:$DL$97,MATCH(_xlfn.CONCAT(TEXT(DATE($A22,$B22,1),"mmm-yy"),$D22),'[1]Demanda requerida 2026'!$CB$39:$DL$39,0),FALSE)</f>
        <v>8419</v>
      </c>
      <c r="R22" s="9">
        <f>VLOOKUP(R$1,'[1]Demanda requerida 2026'!$CB$74:$DL$97,MATCH(_xlfn.CONCAT(TEXT(DATE($A22,$B22,1),"mmm-yy"),$D22),'[1]Demanda requerida 2026'!$CB$39:$DL$39,0),FALSE)</f>
        <v>8255</v>
      </c>
      <c r="S22" s="9">
        <f>VLOOKUP(S$1,'[1]Demanda requerida 2026'!$CB$74:$DL$97,MATCH(_xlfn.CONCAT(TEXT(DATE($A22,$B22,1),"mmm-yy"),$D22),'[1]Demanda requerida 2026'!$CB$39:$DL$39,0),FALSE)</f>
        <v>8053</v>
      </c>
      <c r="T22" s="9">
        <f>VLOOKUP(T$1,'[1]Demanda requerida 2026'!$CB$74:$DL$97,MATCH(_xlfn.CONCAT(TEXT(DATE($A22,$B22,1),"mmm-yy"),$D22),'[1]Demanda requerida 2026'!$CB$39:$DL$39,0),FALSE)</f>
        <v>7916</v>
      </c>
      <c r="U22" s="9">
        <f>VLOOKUP(U$1,'[1]Demanda requerida 2026'!$CB$74:$DL$97,MATCH(_xlfn.CONCAT(TEXT(DATE($A22,$B22,1),"mmm-yy"),$D22),'[1]Demanda requerida 2026'!$CB$39:$DL$39,0),FALSE)</f>
        <v>7493</v>
      </c>
      <c r="V22" s="9">
        <f>VLOOKUP(V$1,'[1]Demanda requerida 2026'!$CB$74:$DL$97,MATCH(_xlfn.CONCAT(TEXT(DATE($A22,$B22,1),"mmm-yy"),$D22),'[1]Demanda requerida 2026'!$CB$39:$DL$39,0),FALSE)</f>
        <v>9012</v>
      </c>
      <c r="W22" s="9">
        <f>VLOOKUP(W$1,'[1]Demanda requerida 2026'!$CB$74:$DL$97,MATCH(_xlfn.CONCAT(TEXT(DATE($A22,$B22,1),"mmm-yy"),$D22),'[1]Demanda requerida 2026'!$CB$39:$DL$39,0),FALSE)</f>
        <v>10422</v>
      </c>
      <c r="X22" s="9">
        <f>VLOOKUP(X$1,'[1]Demanda requerida 2026'!$CB$74:$DL$97,MATCH(_xlfn.CONCAT(TEXT(DATE($A22,$B22,1),"mmm-yy"),$D22),'[1]Demanda requerida 2026'!$CB$39:$DL$39,0),FALSE)</f>
        <v>11652</v>
      </c>
      <c r="Y22" s="9">
        <f>VLOOKUP(Y$1,'[1]Demanda requerida 2026'!$CB$74:$DL$97,MATCH(_xlfn.CONCAT(TEXT(DATE($A22,$B22,1),"mmm-yy"),$D22),'[1]Demanda requerida 2026'!$CB$39:$DL$39,0),FALSE)</f>
        <v>10800</v>
      </c>
      <c r="Z22" s="9">
        <f>VLOOKUP(Z$1,'[1]Demanda requerida 2026'!$CB$74:$DL$97,MATCH(_xlfn.CONCAT(TEXT(DATE($A22,$B22,1),"mmm-yy"),$D22),'[1]Demanda requerida 2026'!$CB$39:$DL$39,0),FALSE)</f>
        <v>8946</v>
      </c>
      <c r="AA22" s="9">
        <f>VLOOKUP(AA$1,'[1]Demanda requerida 2026'!$CB$74:$DL$97,MATCH(_xlfn.CONCAT(TEXT(DATE($A22,$B22,1),"mmm-yy"),$D22),'[1]Demanda requerida 2026'!$CB$39:$DL$39,0),FALSE)</f>
        <v>6668</v>
      </c>
      <c r="AB22" s="9">
        <f>VLOOKUP(AB$1,'[1]Demanda requerida 2026'!$CB$74:$DL$97,MATCH(_xlfn.CONCAT(TEXT(DATE($A22,$B22,1),"mmm-yy"),$D22),'[1]Demanda requerida 2026'!$CB$39:$DL$39,0),FALSE)</f>
        <v>4120</v>
      </c>
      <c r="AC22" s="86">
        <f t="shared" si="5"/>
        <v>126164</v>
      </c>
      <c r="AD22" s="78"/>
      <c r="AE22" s="85"/>
    </row>
    <row r="23" spans="1:31" x14ac:dyDescent="0.25">
      <c r="A23" s="11">
        <v>2026</v>
      </c>
      <c r="B23" s="12">
        <v>8</v>
      </c>
      <c r="C23" s="12">
        <v>7</v>
      </c>
      <c r="D23" s="12" t="s">
        <v>5</v>
      </c>
      <c r="E23" s="7">
        <f>VLOOKUP(E$1,'[1]Demanda requerida 2026'!$CB$74:$DL$97,MATCH(_xlfn.CONCAT(TEXT(DATE($A23,$B23,1),"mmm-yy"),$D23),'[1]Demanda requerida 2026'!$CB$39:$DL$39,0),FALSE)</f>
        <v>200</v>
      </c>
      <c r="F23" s="7">
        <f>VLOOKUP(F$1,'[1]Demanda requerida 2026'!$CB$74:$DL$97,MATCH(_xlfn.CONCAT(TEXT(DATE($A23,$B23,1),"mmm-yy"),$D23),'[1]Demanda requerida 2026'!$CB$39:$DL$39,0),FALSE)</f>
        <v>200</v>
      </c>
      <c r="G23" s="7">
        <f>VLOOKUP(G$1,'[1]Demanda requerida 2026'!$CB$74:$DL$97,MATCH(_xlfn.CONCAT(TEXT(DATE($A23,$B23,1),"mmm-yy"),$D23),'[1]Demanda requerida 2026'!$CB$39:$DL$39,0),FALSE)</f>
        <v>200</v>
      </c>
      <c r="H23" s="7">
        <f>VLOOKUP(H$1,'[1]Demanda requerida 2026'!$CB$74:$DL$97,MATCH(_xlfn.CONCAT(TEXT(DATE($A23,$B23,1),"mmm-yy"),$D23),'[1]Demanda requerida 2026'!$CB$39:$DL$39,0),FALSE)</f>
        <v>200</v>
      </c>
      <c r="I23" s="7">
        <f>VLOOKUP(I$1,'[1]Demanda requerida 2026'!$CB$74:$DL$97,MATCH(_xlfn.CONCAT(TEXT(DATE($A23,$B23,1),"mmm-yy"),$D23),'[1]Demanda requerida 2026'!$CB$39:$DL$39,0),FALSE)</f>
        <v>200</v>
      </c>
      <c r="J23" s="7">
        <f>VLOOKUP(J$1,'[1]Demanda requerida 2026'!$CB$74:$DL$97,MATCH(_xlfn.CONCAT(TEXT(DATE($A23,$B23,1),"mmm-yy"),$D23),'[1]Demanda requerida 2026'!$CB$39:$DL$39,0),FALSE)</f>
        <v>200</v>
      </c>
      <c r="K23" s="7">
        <f>VLOOKUP(K$1,'[1]Demanda requerida 2026'!$CB$74:$DL$97,MATCH(_xlfn.CONCAT(TEXT(DATE($A23,$B23,1),"mmm-yy"),$D23),'[1]Demanda requerida 2026'!$CB$39:$DL$39,0),FALSE)</f>
        <v>200</v>
      </c>
      <c r="L23" s="7">
        <f>VLOOKUP(L$1,'[1]Demanda requerida 2026'!$CB$74:$DL$97,MATCH(_xlfn.CONCAT(TEXT(DATE($A23,$B23,1),"mmm-yy"),$D23),'[1]Demanda requerida 2026'!$CB$39:$DL$39,0),FALSE)</f>
        <v>200</v>
      </c>
      <c r="M23" s="7">
        <f>VLOOKUP(M$1,'[1]Demanda requerida 2026'!$CB$74:$DL$97,MATCH(_xlfn.CONCAT(TEXT(DATE($A23,$B23,1),"mmm-yy"),$D23),'[1]Demanda requerida 2026'!$CB$39:$DL$39,0),FALSE)</f>
        <v>200</v>
      </c>
      <c r="N23" s="7">
        <f>VLOOKUP(N$1,'[1]Demanda requerida 2026'!$CB$74:$DL$97,MATCH(_xlfn.CONCAT(TEXT(DATE($A23,$B23,1),"mmm-yy"),$D23),'[1]Demanda requerida 2026'!$CB$39:$DL$39,0),FALSE)</f>
        <v>200</v>
      </c>
      <c r="O23" s="7">
        <f>VLOOKUP(O$1,'[1]Demanda requerida 2026'!$CB$74:$DL$97,MATCH(_xlfn.CONCAT(TEXT(DATE($A23,$B23,1),"mmm-yy"),$D23),'[1]Demanda requerida 2026'!$CB$39:$DL$39,0),FALSE)</f>
        <v>200</v>
      </c>
      <c r="P23" s="7">
        <f>VLOOKUP(P$1,'[1]Demanda requerida 2026'!$CB$74:$DL$97,MATCH(_xlfn.CONCAT(TEXT(DATE($A23,$B23,1),"mmm-yy"),$D23),'[1]Demanda requerida 2026'!$CB$39:$DL$39,0),FALSE)</f>
        <v>729</v>
      </c>
      <c r="Q23" s="7">
        <f>VLOOKUP(Q$1,'[1]Demanda requerida 2026'!$CB$74:$DL$97,MATCH(_xlfn.CONCAT(TEXT(DATE($A23,$B23,1),"mmm-yy"),$D23),'[1]Demanda requerida 2026'!$CB$39:$DL$39,0),FALSE)</f>
        <v>1312</v>
      </c>
      <c r="R23" s="7">
        <f>VLOOKUP(R$1,'[1]Demanda requerida 2026'!$CB$74:$DL$97,MATCH(_xlfn.CONCAT(TEXT(DATE($A23,$B23,1),"mmm-yy"),$D23),'[1]Demanda requerida 2026'!$CB$39:$DL$39,0),FALSE)</f>
        <v>1140</v>
      </c>
      <c r="S23" s="7">
        <f>VLOOKUP(S$1,'[1]Demanda requerida 2026'!$CB$74:$DL$97,MATCH(_xlfn.CONCAT(TEXT(DATE($A23,$B23,1),"mmm-yy"),$D23),'[1]Demanda requerida 2026'!$CB$39:$DL$39,0),FALSE)</f>
        <v>175</v>
      </c>
      <c r="T23" s="7">
        <f>VLOOKUP(T$1,'[1]Demanda requerida 2026'!$CB$74:$DL$97,MATCH(_xlfn.CONCAT(TEXT(DATE($A23,$B23,1),"mmm-yy"),$D23),'[1]Demanda requerida 2026'!$CB$39:$DL$39,0),FALSE)</f>
        <v>200</v>
      </c>
      <c r="U23" s="7">
        <f>VLOOKUP(U$1,'[1]Demanda requerida 2026'!$CB$74:$DL$97,MATCH(_xlfn.CONCAT(TEXT(DATE($A23,$B23,1),"mmm-yy"),$D23),'[1]Demanda requerida 2026'!$CB$39:$DL$39,0),FALSE)</f>
        <v>200</v>
      </c>
      <c r="V23" s="7">
        <f>VLOOKUP(V$1,'[1]Demanda requerida 2026'!$CB$74:$DL$97,MATCH(_xlfn.CONCAT(TEXT(DATE($A23,$B23,1),"mmm-yy"),$D23),'[1]Demanda requerida 2026'!$CB$39:$DL$39,0),FALSE)</f>
        <v>797</v>
      </c>
      <c r="W23" s="7">
        <f>VLOOKUP(W$1,'[1]Demanda requerida 2026'!$CB$74:$DL$97,MATCH(_xlfn.CONCAT(TEXT(DATE($A23,$B23,1),"mmm-yy"),$D23),'[1]Demanda requerida 2026'!$CB$39:$DL$39,0),FALSE)</f>
        <v>2211</v>
      </c>
      <c r="X23" s="7">
        <f>VLOOKUP(X$1,'[1]Demanda requerida 2026'!$CB$74:$DL$97,MATCH(_xlfn.CONCAT(TEXT(DATE($A23,$B23,1),"mmm-yy"),$D23),'[1]Demanda requerida 2026'!$CB$39:$DL$39,0),FALSE)</f>
        <v>3577</v>
      </c>
      <c r="Y23" s="7">
        <f>VLOOKUP(Y$1,'[1]Demanda requerida 2026'!$CB$74:$DL$97,MATCH(_xlfn.CONCAT(TEXT(DATE($A23,$B23,1),"mmm-yy"),$D23),'[1]Demanda requerida 2026'!$CB$39:$DL$39,0),FALSE)</f>
        <v>2709</v>
      </c>
      <c r="Z23" s="7">
        <f>VLOOKUP(Z$1,'[1]Demanda requerida 2026'!$CB$74:$DL$97,MATCH(_xlfn.CONCAT(TEXT(DATE($A23,$B23,1),"mmm-yy"),$D23),'[1]Demanda requerida 2026'!$CB$39:$DL$39,0),FALSE)</f>
        <v>1182</v>
      </c>
      <c r="AA23" s="7">
        <f>VLOOKUP(AA$1,'[1]Demanda requerida 2026'!$CB$74:$DL$97,MATCH(_xlfn.CONCAT(TEXT(DATE($A23,$B23,1),"mmm-yy"),$D23),'[1]Demanda requerida 2026'!$CB$39:$DL$39,0),FALSE)</f>
        <v>200</v>
      </c>
      <c r="AB23" s="7">
        <f>VLOOKUP(AB$1,'[1]Demanda requerida 2026'!$CB$74:$DL$97,MATCH(_xlfn.CONCAT(TEXT(DATE($A23,$B23,1),"mmm-yy"),$D23),'[1]Demanda requerida 2026'!$CB$39:$DL$39,0),FALSE)</f>
        <v>200</v>
      </c>
      <c r="AC23" s="82">
        <f t="shared" si="5"/>
        <v>16832</v>
      </c>
      <c r="AD23" s="76">
        <f t="shared" ref="AD23" si="8">+SUMPRODUCT(AC23:AC25,C23:C25)</f>
        <v>6255842</v>
      </c>
      <c r="AE23" s="85"/>
    </row>
    <row r="24" spans="1:31" x14ac:dyDescent="0.25">
      <c r="A24" s="13">
        <v>2026</v>
      </c>
      <c r="B24" s="1">
        <v>8</v>
      </c>
      <c r="C24" s="1">
        <v>19</v>
      </c>
      <c r="D24" s="1" t="s">
        <v>31</v>
      </c>
      <c r="E24" s="8">
        <f>VLOOKUP(E$1,'[1]Demanda requerida 2026'!$CB$74:$DL$97,MATCH(_xlfn.CONCAT(TEXT(DATE($A24,$B24,1),"mmm-yy"),$D24),'[1]Demanda requerida 2026'!$CB$39:$DL$39,0),FALSE)</f>
        <v>5203</v>
      </c>
      <c r="F24" s="8">
        <f>VLOOKUP(F$1,'[1]Demanda requerida 2026'!$CB$74:$DL$97,MATCH(_xlfn.CONCAT(TEXT(DATE($A24,$B24,1),"mmm-yy"),$D24),'[1]Demanda requerida 2026'!$CB$39:$DL$39,0),FALSE)</f>
        <v>4253</v>
      </c>
      <c r="G24" s="8">
        <f>VLOOKUP(G$1,'[1]Demanda requerida 2026'!$CB$74:$DL$97,MATCH(_xlfn.CONCAT(TEXT(DATE($A24,$B24,1),"mmm-yy"),$D24),'[1]Demanda requerida 2026'!$CB$39:$DL$39,0),FALSE)</f>
        <v>3532</v>
      </c>
      <c r="H24" s="8">
        <f>VLOOKUP(H$1,'[1]Demanda requerida 2026'!$CB$74:$DL$97,MATCH(_xlfn.CONCAT(TEXT(DATE($A24,$B24,1),"mmm-yy"),$D24),'[1]Demanda requerida 2026'!$CB$39:$DL$39,0),FALSE)</f>
        <v>3010</v>
      </c>
      <c r="I24" s="8">
        <f>VLOOKUP(I$1,'[1]Demanda requerida 2026'!$CB$74:$DL$97,MATCH(_xlfn.CONCAT(TEXT(DATE($A24,$B24,1),"mmm-yy"),$D24),'[1]Demanda requerida 2026'!$CB$39:$DL$39,0),FALSE)</f>
        <v>3009</v>
      </c>
      <c r="J24" s="8">
        <f>VLOOKUP(J$1,'[1]Demanda requerida 2026'!$CB$74:$DL$97,MATCH(_xlfn.CONCAT(TEXT(DATE($A24,$B24,1),"mmm-yy"),$D24),'[1]Demanda requerida 2026'!$CB$39:$DL$39,0),FALSE)</f>
        <v>4426</v>
      </c>
      <c r="K24" s="8">
        <f>VLOOKUP(K$1,'[1]Demanda requerida 2026'!$CB$74:$DL$97,MATCH(_xlfn.CONCAT(TEXT(DATE($A24,$B24,1),"mmm-yy"),$D24),'[1]Demanda requerida 2026'!$CB$39:$DL$39,0),FALSE)</f>
        <v>6080</v>
      </c>
      <c r="L24" s="8">
        <f>VLOOKUP(L$1,'[1]Demanda requerida 2026'!$CB$74:$DL$97,MATCH(_xlfn.CONCAT(TEXT(DATE($A24,$B24,1),"mmm-yy"),$D24),'[1]Demanda requerida 2026'!$CB$39:$DL$39,0),FALSE)</f>
        <v>7640</v>
      </c>
      <c r="M24" s="8">
        <f>VLOOKUP(M$1,'[1]Demanda requerida 2026'!$CB$74:$DL$97,MATCH(_xlfn.CONCAT(TEXT(DATE($A24,$B24,1),"mmm-yy"),$D24),'[1]Demanda requerida 2026'!$CB$39:$DL$39,0),FALSE)</f>
        <v>10663</v>
      </c>
      <c r="N24" s="8">
        <f>VLOOKUP(N$1,'[1]Demanda requerida 2026'!$CB$74:$DL$97,MATCH(_xlfn.CONCAT(TEXT(DATE($A24,$B24,1),"mmm-yy"),$D24),'[1]Demanda requerida 2026'!$CB$39:$DL$39,0),FALSE)</f>
        <v>12285</v>
      </c>
      <c r="O24" s="8">
        <f>VLOOKUP(O$1,'[1]Demanda requerida 2026'!$CB$74:$DL$97,MATCH(_xlfn.CONCAT(TEXT(DATE($A24,$B24,1),"mmm-yy"),$D24),'[1]Demanda requerida 2026'!$CB$39:$DL$39,0),FALSE)</f>
        <v>14056</v>
      </c>
      <c r="P24" s="8">
        <f>VLOOKUP(P$1,'[1]Demanda requerida 2026'!$CB$74:$DL$97,MATCH(_xlfn.CONCAT(TEXT(DATE($A24,$B24,1),"mmm-yy"),$D24),'[1]Demanda requerida 2026'!$CB$39:$DL$39,0),FALSE)</f>
        <v>16127</v>
      </c>
      <c r="Q24" s="8">
        <f>VLOOKUP(Q$1,'[1]Demanda requerida 2026'!$CB$74:$DL$97,MATCH(_xlfn.CONCAT(TEXT(DATE($A24,$B24,1),"mmm-yy"),$D24),'[1]Demanda requerida 2026'!$CB$39:$DL$39,0),FALSE)</f>
        <v>16028</v>
      </c>
      <c r="R24" s="8">
        <f>VLOOKUP(R$1,'[1]Demanda requerida 2026'!$CB$74:$DL$97,MATCH(_xlfn.CONCAT(TEXT(DATE($A24,$B24,1),"mmm-yy"),$D24),'[1]Demanda requerida 2026'!$CB$39:$DL$39,0),FALSE)</f>
        <v>16075</v>
      </c>
      <c r="S24" s="8">
        <f>VLOOKUP(S$1,'[1]Demanda requerida 2026'!$CB$74:$DL$97,MATCH(_xlfn.CONCAT(TEXT(DATE($A24,$B24,1),"mmm-yy"),$D24),'[1]Demanda requerida 2026'!$CB$39:$DL$39,0),FALSE)</f>
        <v>16370</v>
      </c>
      <c r="T24" s="8">
        <f>VLOOKUP(T$1,'[1]Demanda requerida 2026'!$CB$74:$DL$97,MATCH(_xlfn.CONCAT(TEXT(DATE($A24,$B24,1),"mmm-yy"),$D24),'[1]Demanda requerida 2026'!$CB$39:$DL$39,0),FALSE)</f>
        <v>16264</v>
      </c>
      <c r="U24" s="8">
        <f>VLOOKUP(U$1,'[1]Demanda requerida 2026'!$CB$74:$DL$97,MATCH(_xlfn.CONCAT(TEXT(DATE($A24,$B24,1),"mmm-yy"),$D24),'[1]Demanda requerida 2026'!$CB$39:$DL$39,0),FALSE)</f>
        <v>15854</v>
      </c>
      <c r="V24" s="8">
        <f>VLOOKUP(V$1,'[1]Demanda requerida 2026'!$CB$74:$DL$97,MATCH(_xlfn.CONCAT(TEXT(DATE($A24,$B24,1),"mmm-yy"),$D24),'[1]Demanda requerida 2026'!$CB$39:$DL$39,0),FALSE)</f>
        <v>16570</v>
      </c>
      <c r="W24" s="8">
        <f>VLOOKUP(W$1,'[1]Demanda requerida 2026'!$CB$74:$DL$97,MATCH(_xlfn.CONCAT(TEXT(DATE($A24,$B24,1),"mmm-yy"),$D24),'[1]Demanda requerida 2026'!$CB$39:$DL$39,0),FALSE)</f>
        <v>17419</v>
      </c>
      <c r="X24" s="8">
        <f>VLOOKUP(X$1,'[1]Demanda requerida 2026'!$CB$74:$DL$97,MATCH(_xlfn.CONCAT(TEXT(DATE($A24,$B24,1),"mmm-yy"),$D24),'[1]Demanda requerida 2026'!$CB$39:$DL$39,0),FALSE)</f>
        <v>18921</v>
      </c>
      <c r="Y24" s="8">
        <f>VLOOKUP(Y$1,'[1]Demanda requerida 2026'!$CB$74:$DL$97,MATCH(_xlfn.CONCAT(TEXT(DATE($A24,$B24,1),"mmm-yy"),$D24),'[1]Demanda requerida 2026'!$CB$39:$DL$39,0),FALSE)</f>
        <v>17693</v>
      </c>
      <c r="Z24" s="8">
        <f>VLOOKUP(Z$1,'[1]Demanda requerida 2026'!$CB$74:$DL$97,MATCH(_xlfn.CONCAT(TEXT(DATE($A24,$B24,1),"mmm-yy"),$D24),'[1]Demanda requerida 2026'!$CB$39:$DL$39,0),FALSE)</f>
        <v>14975</v>
      </c>
      <c r="AA24" s="8">
        <f>VLOOKUP(AA$1,'[1]Demanda requerida 2026'!$CB$74:$DL$97,MATCH(_xlfn.CONCAT(TEXT(DATE($A24,$B24,1),"mmm-yy"),$D24),'[1]Demanda requerida 2026'!$CB$39:$DL$39,0),FALSE)</f>
        <v>11171</v>
      </c>
      <c r="AB24" s="8">
        <f>VLOOKUP(AB$1,'[1]Demanda requerida 2026'!$CB$74:$DL$97,MATCH(_xlfn.CONCAT(TEXT(DATE($A24,$B24,1),"mmm-yy"),$D24),'[1]Demanda requerida 2026'!$CB$39:$DL$39,0),FALSE)</f>
        <v>8183</v>
      </c>
      <c r="AC24" s="84">
        <f t="shared" si="5"/>
        <v>275807</v>
      </c>
      <c r="AD24" s="77"/>
      <c r="AE24" s="85"/>
    </row>
    <row r="25" spans="1:31" ht="15.75" thickBot="1" x14ac:dyDescent="0.3">
      <c r="A25" s="14">
        <v>2026</v>
      </c>
      <c r="B25" s="15">
        <v>8</v>
      </c>
      <c r="C25" s="15">
        <v>5</v>
      </c>
      <c r="D25" s="15" t="s">
        <v>6</v>
      </c>
      <c r="E25" s="9">
        <f>VLOOKUP(E$1,'[1]Demanda requerida 2026'!$CB$74:$DL$97,MATCH(_xlfn.CONCAT(TEXT(DATE($A25,$B25,1),"mmm-yy"),$D25),'[1]Demanda requerida 2026'!$CB$39:$DL$39,0),FALSE)</f>
        <v>1634</v>
      </c>
      <c r="F25" s="9">
        <f>VLOOKUP(F$1,'[1]Demanda requerida 2026'!$CB$74:$DL$97,MATCH(_xlfn.CONCAT(TEXT(DATE($A25,$B25,1),"mmm-yy"),$D25),'[1]Demanda requerida 2026'!$CB$39:$DL$39,0),FALSE)</f>
        <v>1378</v>
      </c>
      <c r="G25" s="9">
        <f>VLOOKUP(G$1,'[1]Demanda requerida 2026'!$CB$74:$DL$97,MATCH(_xlfn.CONCAT(TEXT(DATE($A25,$B25,1),"mmm-yy"),$D25),'[1]Demanda requerida 2026'!$CB$39:$DL$39,0),FALSE)</f>
        <v>793</v>
      </c>
      <c r="H25" s="9">
        <f>VLOOKUP(H$1,'[1]Demanda requerida 2026'!$CB$74:$DL$97,MATCH(_xlfn.CONCAT(TEXT(DATE($A25,$B25,1),"mmm-yy"),$D25),'[1]Demanda requerida 2026'!$CB$39:$DL$39,0),FALSE)</f>
        <v>198</v>
      </c>
      <c r="I25" s="9">
        <f>VLOOKUP(I$1,'[1]Demanda requerida 2026'!$CB$74:$DL$97,MATCH(_xlfn.CONCAT(TEXT(DATE($A25,$B25,1),"mmm-yy"),$D25),'[1]Demanda requerida 2026'!$CB$39:$DL$39,0),FALSE)</f>
        <v>77</v>
      </c>
      <c r="J25" s="9">
        <f>VLOOKUP(J$1,'[1]Demanda requerida 2026'!$CB$74:$DL$97,MATCH(_xlfn.CONCAT(TEXT(DATE($A25,$B25,1),"mmm-yy"),$D25),'[1]Demanda requerida 2026'!$CB$39:$DL$39,0),FALSE)</f>
        <v>369</v>
      </c>
      <c r="K25" s="9">
        <f>VLOOKUP(K$1,'[1]Demanda requerida 2026'!$CB$74:$DL$97,MATCH(_xlfn.CONCAT(TEXT(DATE($A25,$B25,1),"mmm-yy"),$D25),'[1]Demanda requerida 2026'!$CB$39:$DL$39,0),FALSE)</f>
        <v>1248</v>
      </c>
      <c r="L25" s="9">
        <f>VLOOKUP(L$1,'[1]Demanda requerida 2026'!$CB$74:$DL$97,MATCH(_xlfn.CONCAT(TEXT(DATE($A25,$B25,1),"mmm-yy"),$D25),'[1]Demanda requerida 2026'!$CB$39:$DL$39,0),FALSE)</f>
        <v>3437</v>
      </c>
      <c r="M25" s="9">
        <f>VLOOKUP(M$1,'[1]Demanda requerida 2026'!$CB$74:$DL$97,MATCH(_xlfn.CONCAT(TEXT(DATE($A25,$B25,1),"mmm-yy"),$D25),'[1]Demanda requerida 2026'!$CB$39:$DL$39,0),FALSE)</f>
        <v>6599</v>
      </c>
      <c r="N25" s="9">
        <f>VLOOKUP(N$1,'[1]Demanda requerida 2026'!$CB$74:$DL$97,MATCH(_xlfn.CONCAT(TEXT(DATE($A25,$B25,1),"mmm-yy"),$D25),'[1]Demanda requerida 2026'!$CB$39:$DL$39,0),FALSE)</f>
        <v>8548</v>
      </c>
      <c r="O25" s="9">
        <f>VLOOKUP(O$1,'[1]Demanda requerida 2026'!$CB$74:$DL$97,MATCH(_xlfn.CONCAT(TEXT(DATE($A25,$B25,1),"mmm-yy"),$D25),'[1]Demanda requerida 2026'!$CB$39:$DL$39,0),FALSE)</f>
        <v>10202</v>
      </c>
      <c r="P25" s="9">
        <f>VLOOKUP(P$1,'[1]Demanda requerida 2026'!$CB$74:$DL$97,MATCH(_xlfn.CONCAT(TEXT(DATE($A25,$B25,1),"mmm-yy"),$D25),'[1]Demanda requerida 2026'!$CB$39:$DL$39,0),FALSE)</f>
        <v>12192</v>
      </c>
      <c r="Q25" s="9">
        <f>VLOOKUP(Q$1,'[1]Demanda requerida 2026'!$CB$74:$DL$97,MATCH(_xlfn.CONCAT(TEXT(DATE($A25,$B25,1),"mmm-yy"),$D25),'[1]Demanda requerida 2026'!$CB$39:$DL$39,0),FALSE)</f>
        <v>12661</v>
      </c>
      <c r="R25" s="9">
        <f>VLOOKUP(R$1,'[1]Demanda requerida 2026'!$CB$74:$DL$97,MATCH(_xlfn.CONCAT(TEXT(DATE($A25,$B25,1),"mmm-yy"),$D25),'[1]Demanda requerida 2026'!$CB$39:$DL$39,0),FALSE)</f>
        <v>12108</v>
      </c>
      <c r="S25" s="9">
        <f>VLOOKUP(S$1,'[1]Demanda requerida 2026'!$CB$74:$DL$97,MATCH(_xlfn.CONCAT(TEXT(DATE($A25,$B25,1),"mmm-yy"),$D25),'[1]Demanda requerida 2026'!$CB$39:$DL$39,0),FALSE)</f>
        <v>11284</v>
      </c>
      <c r="T25" s="9">
        <f>VLOOKUP(T$1,'[1]Demanda requerida 2026'!$CB$74:$DL$97,MATCH(_xlfn.CONCAT(TEXT(DATE($A25,$B25,1),"mmm-yy"),$D25),'[1]Demanda requerida 2026'!$CB$39:$DL$39,0),FALSE)</f>
        <v>10678</v>
      </c>
      <c r="U25" s="9">
        <f>VLOOKUP(U$1,'[1]Demanda requerida 2026'!$CB$74:$DL$97,MATCH(_xlfn.CONCAT(TEXT(DATE($A25,$B25,1),"mmm-yy"),$D25),'[1]Demanda requerida 2026'!$CB$39:$DL$39,0),FALSE)</f>
        <v>10007</v>
      </c>
      <c r="V25" s="9">
        <f>VLOOKUP(V$1,'[1]Demanda requerida 2026'!$CB$74:$DL$97,MATCH(_xlfn.CONCAT(TEXT(DATE($A25,$B25,1),"mmm-yy"),$D25),'[1]Demanda requerida 2026'!$CB$39:$DL$39,0),FALSE)</f>
        <v>11602</v>
      </c>
      <c r="W25" s="9">
        <f>VLOOKUP(W$1,'[1]Demanda requerida 2026'!$CB$74:$DL$97,MATCH(_xlfn.CONCAT(TEXT(DATE($A25,$B25,1),"mmm-yy"),$D25),'[1]Demanda requerida 2026'!$CB$39:$DL$39,0),FALSE)</f>
        <v>13457</v>
      </c>
      <c r="X25" s="9">
        <f>VLOOKUP(X$1,'[1]Demanda requerida 2026'!$CB$74:$DL$97,MATCH(_xlfn.CONCAT(TEXT(DATE($A25,$B25,1),"mmm-yy"),$D25),'[1]Demanda requerida 2026'!$CB$39:$DL$39,0),FALSE)</f>
        <v>13912</v>
      </c>
      <c r="Y25" s="9">
        <f>VLOOKUP(Y$1,'[1]Demanda requerida 2026'!$CB$74:$DL$97,MATCH(_xlfn.CONCAT(TEXT(DATE($A25,$B25,1),"mmm-yy"),$D25),'[1]Demanda requerida 2026'!$CB$39:$DL$39,0),FALSE)</f>
        <v>12612</v>
      </c>
      <c r="Z25" s="9">
        <f>VLOOKUP(Z$1,'[1]Demanda requerida 2026'!$CB$74:$DL$97,MATCH(_xlfn.CONCAT(TEXT(DATE($A25,$B25,1),"mmm-yy"),$D25),'[1]Demanda requerida 2026'!$CB$39:$DL$39,0),FALSE)</f>
        <v>10444</v>
      </c>
      <c r="AA25" s="9">
        <f>VLOOKUP(AA$1,'[1]Demanda requerida 2026'!$CB$74:$DL$97,MATCH(_xlfn.CONCAT(TEXT(DATE($A25,$B25,1),"mmm-yy"),$D25),'[1]Demanda requerida 2026'!$CB$39:$DL$39,0),FALSE)</f>
        <v>8110</v>
      </c>
      <c r="AB25" s="9">
        <f>VLOOKUP(AB$1,'[1]Demanda requerida 2026'!$CB$74:$DL$97,MATCH(_xlfn.CONCAT(TEXT(DATE($A25,$B25,1),"mmm-yy"),$D25),'[1]Demanda requerida 2026'!$CB$39:$DL$39,0),FALSE)</f>
        <v>5987</v>
      </c>
      <c r="AC25" s="86">
        <f t="shared" si="5"/>
        <v>179537</v>
      </c>
      <c r="AD25" s="78"/>
      <c r="AE25" s="85"/>
    </row>
    <row r="26" spans="1:31" x14ac:dyDescent="0.25">
      <c r="A26" s="11">
        <v>2026</v>
      </c>
      <c r="B26" s="12">
        <v>9</v>
      </c>
      <c r="C26" s="12">
        <v>4</v>
      </c>
      <c r="D26" s="12" t="s">
        <v>5</v>
      </c>
      <c r="E26" s="7">
        <f>VLOOKUP(E$1,'[1]Demanda requerida 2026'!$CB$74:$DL$97,MATCH(_xlfn.CONCAT(TEXT(DATE($A26,$B26,1),"mmm-yy"),$D26),'[1]Demanda requerida 2026'!$CB$39:$DL$39,0),FALSE)</f>
        <v>200</v>
      </c>
      <c r="F26" s="7">
        <f>VLOOKUP(F$1,'[1]Demanda requerida 2026'!$CB$74:$DL$97,MATCH(_xlfn.CONCAT(TEXT(DATE($A26,$B26,1),"mmm-yy"),$D26),'[1]Demanda requerida 2026'!$CB$39:$DL$39,0),FALSE)</f>
        <v>200</v>
      </c>
      <c r="G26" s="7">
        <f>VLOOKUP(G$1,'[1]Demanda requerida 2026'!$CB$74:$DL$97,MATCH(_xlfn.CONCAT(TEXT(DATE($A26,$B26,1),"mmm-yy"),$D26),'[1]Demanda requerida 2026'!$CB$39:$DL$39,0),FALSE)</f>
        <v>200</v>
      </c>
      <c r="H26" s="7">
        <f>VLOOKUP(H$1,'[1]Demanda requerida 2026'!$CB$74:$DL$97,MATCH(_xlfn.CONCAT(TEXT(DATE($A26,$B26,1),"mmm-yy"),$D26),'[1]Demanda requerida 2026'!$CB$39:$DL$39,0),FALSE)</f>
        <v>200</v>
      </c>
      <c r="I26" s="7">
        <f>VLOOKUP(I$1,'[1]Demanda requerida 2026'!$CB$74:$DL$97,MATCH(_xlfn.CONCAT(TEXT(DATE($A26,$B26,1),"mmm-yy"),$D26),'[1]Demanda requerida 2026'!$CB$39:$DL$39,0),FALSE)</f>
        <v>200</v>
      </c>
      <c r="J26" s="7">
        <f>VLOOKUP(J$1,'[1]Demanda requerida 2026'!$CB$74:$DL$97,MATCH(_xlfn.CONCAT(TEXT(DATE($A26,$B26,1),"mmm-yy"),$D26),'[1]Demanda requerida 2026'!$CB$39:$DL$39,0),FALSE)</f>
        <v>200</v>
      </c>
      <c r="K26" s="7">
        <f>VLOOKUP(K$1,'[1]Demanda requerida 2026'!$CB$74:$DL$97,MATCH(_xlfn.CONCAT(TEXT(DATE($A26,$B26,1),"mmm-yy"),$D26),'[1]Demanda requerida 2026'!$CB$39:$DL$39,0),FALSE)</f>
        <v>200</v>
      </c>
      <c r="L26" s="7">
        <f>VLOOKUP(L$1,'[1]Demanda requerida 2026'!$CB$74:$DL$97,MATCH(_xlfn.CONCAT(TEXT(DATE($A26,$B26,1),"mmm-yy"),$D26),'[1]Demanda requerida 2026'!$CB$39:$DL$39,0),FALSE)</f>
        <v>200</v>
      </c>
      <c r="M26" s="7">
        <f>VLOOKUP(M$1,'[1]Demanda requerida 2026'!$CB$74:$DL$97,MATCH(_xlfn.CONCAT(TEXT(DATE($A26,$B26,1),"mmm-yy"),$D26),'[1]Demanda requerida 2026'!$CB$39:$DL$39,0),FALSE)</f>
        <v>200</v>
      </c>
      <c r="N26" s="7">
        <f>VLOOKUP(N$1,'[1]Demanda requerida 2026'!$CB$74:$DL$97,MATCH(_xlfn.CONCAT(TEXT(DATE($A26,$B26,1),"mmm-yy"),$D26),'[1]Demanda requerida 2026'!$CB$39:$DL$39,0),FALSE)</f>
        <v>200</v>
      </c>
      <c r="O26" s="7">
        <f>VLOOKUP(O$1,'[1]Demanda requerida 2026'!$CB$74:$DL$97,MATCH(_xlfn.CONCAT(TEXT(DATE($A26,$B26,1),"mmm-yy"),$D26),'[1]Demanda requerida 2026'!$CB$39:$DL$39,0),FALSE)</f>
        <v>991</v>
      </c>
      <c r="P26" s="7">
        <f>VLOOKUP(P$1,'[1]Demanda requerida 2026'!$CB$74:$DL$97,MATCH(_xlfn.CONCAT(TEXT(DATE($A26,$B26,1),"mmm-yy"),$D26),'[1]Demanda requerida 2026'!$CB$39:$DL$39,0),FALSE)</f>
        <v>2262</v>
      </c>
      <c r="Q26" s="7">
        <f>VLOOKUP(Q$1,'[1]Demanda requerida 2026'!$CB$74:$DL$97,MATCH(_xlfn.CONCAT(TEXT(DATE($A26,$B26,1),"mmm-yy"),$D26),'[1]Demanda requerida 2026'!$CB$39:$DL$39,0),FALSE)</f>
        <v>3539</v>
      </c>
      <c r="R26" s="7">
        <f>VLOOKUP(R$1,'[1]Demanda requerida 2026'!$CB$74:$DL$97,MATCH(_xlfn.CONCAT(TEXT(DATE($A26,$B26,1),"mmm-yy"),$D26),'[1]Demanda requerida 2026'!$CB$39:$DL$39,0),FALSE)</f>
        <v>3147</v>
      </c>
      <c r="S26" s="7">
        <f>VLOOKUP(S$1,'[1]Demanda requerida 2026'!$CB$74:$DL$97,MATCH(_xlfn.CONCAT(TEXT(DATE($A26,$B26,1),"mmm-yy"),$D26),'[1]Demanda requerida 2026'!$CB$39:$DL$39,0),FALSE)</f>
        <v>2896</v>
      </c>
      <c r="T26" s="7">
        <f>VLOOKUP(T$1,'[1]Demanda requerida 2026'!$CB$74:$DL$97,MATCH(_xlfn.CONCAT(TEXT(DATE($A26,$B26,1),"mmm-yy"),$D26),'[1]Demanda requerida 2026'!$CB$39:$DL$39,0),FALSE)</f>
        <v>1781</v>
      </c>
      <c r="U26" s="7">
        <f>VLOOKUP(U$1,'[1]Demanda requerida 2026'!$CB$74:$DL$97,MATCH(_xlfn.CONCAT(TEXT(DATE($A26,$B26,1),"mmm-yy"),$D26),'[1]Demanda requerida 2026'!$CB$39:$DL$39,0),FALSE)</f>
        <v>1172</v>
      </c>
      <c r="V26" s="7">
        <f>VLOOKUP(V$1,'[1]Demanda requerida 2026'!$CB$74:$DL$97,MATCH(_xlfn.CONCAT(TEXT(DATE($A26,$B26,1),"mmm-yy"),$D26),'[1]Demanda requerida 2026'!$CB$39:$DL$39,0),FALSE)</f>
        <v>2925</v>
      </c>
      <c r="W26" s="7">
        <f>VLOOKUP(W$1,'[1]Demanda requerida 2026'!$CB$74:$DL$97,MATCH(_xlfn.CONCAT(TEXT(DATE($A26,$B26,1),"mmm-yy"),$D26),'[1]Demanda requerida 2026'!$CB$39:$DL$39,0),FALSE)</f>
        <v>5661</v>
      </c>
      <c r="X26" s="7">
        <f>VLOOKUP(X$1,'[1]Demanda requerida 2026'!$CB$74:$DL$97,MATCH(_xlfn.CONCAT(TEXT(DATE($A26,$B26,1),"mmm-yy"),$D26),'[1]Demanda requerida 2026'!$CB$39:$DL$39,0),FALSE)</f>
        <v>6651</v>
      </c>
      <c r="Y26" s="7">
        <f>VLOOKUP(Y$1,'[1]Demanda requerida 2026'!$CB$74:$DL$97,MATCH(_xlfn.CONCAT(TEXT(DATE($A26,$B26,1),"mmm-yy"),$D26),'[1]Demanda requerida 2026'!$CB$39:$DL$39,0),FALSE)</f>
        <v>3968</v>
      </c>
      <c r="Z26" s="7">
        <f>VLOOKUP(Z$1,'[1]Demanda requerida 2026'!$CB$74:$DL$97,MATCH(_xlfn.CONCAT(TEXT(DATE($A26,$B26,1),"mmm-yy"),$D26),'[1]Demanda requerida 2026'!$CB$39:$DL$39,0),FALSE)</f>
        <v>1974</v>
      </c>
      <c r="AA26" s="7">
        <f>VLOOKUP(AA$1,'[1]Demanda requerida 2026'!$CB$74:$DL$97,MATCH(_xlfn.CONCAT(TEXT(DATE($A26,$B26,1),"mmm-yy"),$D26),'[1]Demanda requerida 2026'!$CB$39:$DL$39,0),FALSE)</f>
        <v>200</v>
      </c>
      <c r="AB26" s="7">
        <f>VLOOKUP(AB$1,'[1]Demanda requerida 2026'!$CB$74:$DL$97,MATCH(_xlfn.CONCAT(TEXT(DATE($A26,$B26,1),"mmm-yy"),$D26),'[1]Demanda requerida 2026'!$CB$39:$DL$39,0),FALSE)</f>
        <v>200</v>
      </c>
      <c r="AC26" s="82">
        <f t="shared" si="5"/>
        <v>39367</v>
      </c>
      <c r="AD26" s="76">
        <f t="shared" ref="AD26" si="9">+SUMPRODUCT(AC26:AC28,C26:C28)</f>
        <v>2553138</v>
      </c>
      <c r="AE26" s="85"/>
    </row>
    <row r="27" spans="1:31" x14ac:dyDescent="0.25">
      <c r="A27" s="13">
        <v>2026</v>
      </c>
      <c r="B27" s="1">
        <v>9</v>
      </c>
      <c r="C27" s="1">
        <v>22</v>
      </c>
      <c r="D27" s="1" t="s">
        <v>31</v>
      </c>
      <c r="E27" s="8">
        <f>VLOOKUP(E$1,'[1]Demanda requerida 2026'!$CB$74:$DL$97,MATCH(_xlfn.CONCAT(TEXT(DATE($A27,$B27,1),"mmm-yy"),$D27),'[1]Demanda requerida 2026'!$CB$39:$DL$39,0),FALSE)</f>
        <v>200</v>
      </c>
      <c r="F27" s="8">
        <f>VLOOKUP(F$1,'[1]Demanda requerida 2026'!$CB$74:$DL$97,MATCH(_xlfn.CONCAT(TEXT(DATE($A27,$B27,1),"mmm-yy"),$D27),'[1]Demanda requerida 2026'!$CB$39:$DL$39,0),FALSE)</f>
        <v>200</v>
      </c>
      <c r="G27" s="8">
        <f>VLOOKUP(G$1,'[1]Demanda requerida 2026'!$CB$74:$DL$97,MATCH(_xlfn.CONCAT(TEXT(DATE($A27,$B27,1),"mmm-yy"),$D27),'[1]Demanda requerida 2026'!$CB$39:$DL$39,0),FALSE)</f>
        <v>200</v>
      </c>
      <c r="H27" s="8">
        <f>VLOOKUP(H$1,'[1]Demanda requerida 2026'!$CB$74:$DL$97,MATCH(_xlfn.CONCAT(TEXT(DATE($A27,$B27,1),"mmm-yy"),$D27),'[1]Demanda requerida 2026'!$CB$39:$DL$39,0),FALSE)</f>
        <v>200</v>
      </c>
      <c r="I27" s="8">
        <f>VLOOKUP(I$1,'[1]Demanda requerida 2026'!$CB$74:$DL$97,MATCH(_xlfn.CONCAT(TEXT(DATE($A27,$B27,1),"mmm-yy"),$D27),'[1]Demanda requerida 2026'!$CB$39:$DL$39,0),FALSE)</f>
        <v>200</v>
      </c>
      <c r="J27" s="8">
        <f>VLOOKUP(J$1,'[1]Demanda requerida 2026'!$CB$74:$DL$97,MATCH(_xlfn.CONCAT(TEXT(DATE($A27,$B27,1),"mmm-yy"),$D27),'[1]Demanda requerida 2026'!$CB$39:$DL$39,0),FALSE)</f>
        <v>200</v>
      </c>
      <c r="K27" s="8">
        <f>VLOOKUP(K$1,'[1]Demanda requerida 2026'!$CB$74:$DL$97,MATCH(_xlfn.CONCAT(TEXT(DATE($A27,$B27,1),"mmm-yy"),$D27),'[1]Demanda requerida 2026'!$CB$39:$DL$39,0),FALSE)</f>
        <v>200</v>
      </c>
      <c r="L27" s="8">
        <f>VLOOKUP(L$1,'[1]Demanda requerida 2026'!$CB$74:$DL$97,MATCH(_xlfn.CONCAT(TEXT(DATE($A27,$B27,1),"mmm-yy"),$D27),'[1]Demanda requerida 2026'!$CB$39:$DL$39,0),FALSE)</f>
        <v>200</v>
      </c>
      <c r="M27" s="8">
        <f>VLOOKUP(M$1,'[1]Demanda requerida 2026'!$CB$74:$DL$97,MATCH(_xlfn.CONCAT(TEXT(DATE($A27,$B27,1),"mmm-yy"),$D27),'[1]Demanda requerida 2026'!$CB$39:$DL$39,0),FALSE)</f>
        <v>1607</v>
      </c>
      <c r="N27" s="8">
        <f>VLOOKUP(N$1,'[1]Demanda requerida 2026'!$CB$74:$DL$97,MATCH(_xlfn.CONCAT(TEXT(DATE($A27,$B27,1),"mmm-yy"),$D27),'[1]Demanda requerida 2026'!$CB$39:$DL$39,0),FALSE)</f>
        <v>2817</v>
      </c>
      <c r="O27" s="8">
        <f>VLOOKUP(O$1,'[1]Demanda requerida 2026'!$CB$74:$DL$97,MATCH(_xlfn.CONCAT(TEXT(DATE($A27,$B27,1),"mmm-yy"),$D27),'[1]Demanda requerida 2026'!$CB$39:$DL$39,0),FALSE)</f>
        <v>4281</v>
      </c>
      <c r="P27" s="8">
        <f>VLOOKUP(P$1,'[1]Demanda requerida 2026'!$CB$74:$DL$97,MATCH(_xlfn.CONCAT(TEXT(DATE($A27,$B27,1),"mmm-yy"),$D27),'[1]Demanda requerida 2026'!$CB$39:$DL$39,0),FALSE)</f>
        <v>6491</v>
      </c>
      <c r="Q27" s="8">
        <f>VLOOKUP(Q$1,'[1]Demanda requerida 2026'!$CB$74:$DL$97,MATCH(_xlfn.CONCAT(TEXT(DATE($A27,$B27,1),"mmm-yy"),$D27),'[1]Demanda requerida 2026'!$CB$39:$DL$39,0),FALSE)</f>
        <v>6685</v>
      </c>
      <c r="R27" s="8">
        <f>VLOOKUP(R$1,'[1]Demanda requerida 2026'!$CB$74:$DL$97,MATCH(_xlfn.CONCAT(TEXT(DATE($A27,$B27,1),"mmm-yy"),$D27),'[1]Demanda requerida 2026'!$CB$39:$DL$39,0),FALSE)</f>
        <v>6818</v>
      </c>
      <c r="S27" s="8">
        <f>VLOOKUP(S$1,'[1]Demanda requerida 2026'!$CB$74:$DL$97,MATCH(_xlfn.CONCAT(TEXT(DATE($A27,$B27,1),"mmm-yy"),$D27),'[1]Demanda requerida 2026'!$CB$39:$DL$39,0),FALSE)</f>
        <v>7112</v>
      </c>
      <c r="T27" s="8">
        <f>VLOOKUP(T$1,'[1]Demanda requerida 2026'!$CB$74:$DL$97,MATCH(_xlfn.CONCAT(TEXT(DATE($A27,$B27,1),"mmm-yy"),$D27),'[1]Demanda requerida 2026'!$CB$39:$DL$39,0),FALSE)</f>
        <v>6978</v>
      </c>
      <c r="U27" s="8">
        <f>VLOOKUP(U$1,'[1]Demanda requerida 2026'!$CB$74:$DL$97,MATCH(_xlfn.CONCAT(TEXT(DATE($A27,$B27,1),"mmm-yy"),$D27),'[1]Demanda requerida 2026'!$CB$39:$DL$39,0),FALSE)</f>
        <v>6622</v>
      </c>
      <c r="V27" s="8">
        <f>VLOOKUP(V$1,'[1]Demanda requerida 2026'!$CB$74:$DL$97,MATCH(_xlfn.CONCAT(TEXT(DATE($A27,$B27,1),"mmm-yy"),$D27),'[1]Demanda requerida 2026'!$CB$39:$DL$39,0),FALSE)</f>
        <v>7510</v>
      </c>
      <c r="W27" s="8">
        <f>VLOOKUP(W$1,'[1]Demanda requerida 2026'!$CB$74:$DL$97,MATCH(_xlfn.CONCAT(TEXT(DATE($A27,$B27,1),"mmm-yy"),$D27),'[1]Demanda requerida 2026'!$CB$39:$DL$39,0),FALSE)</f>
        <v>9020</v>
      </c>
      <c r="X27" s="8">
        <f>VLOOKUP(X$1,'[1]Demanda requerida 2026'!$CB$74:$DL$97,MATCH(_xlfn.CONCAT(TEXT(DATE($A27,$B27,1),"mmm-yy"),$D27),'[1]Demanda requerida 2026'!$CB$39:$DL$39,0),FALSE)</f>
        <v>10049</v>
      </c>
      <c r="Y27" s="8">
        <f>VLOOKUP(Y$1,'[1]Demanda requerida 2026'!$CB$74:$DL$97,MATCH(_xlfn.CONCAT(TEXT(DATE($A27,$B27,1),"mmm-yy"),$D27),'[1]Demanda requerida 2026'!$CB$39:$DL$39,0),FALSE)</f>
        <v>8991</v>
      </c>
      <c r="Z27" s="8">
        <f>VLOOKUP(Z$1,'[1]Demanda requerida 2026'!$CB$74:$DL$97,MATCH(_xlfn.CONCAT(TEXT(DATE($A27,$B27,1),"mmm-yy"),$D27),'[1]Demanda requerida 2026'!$CB$39:$DL$39,0),FALSE)</f>
        <v>6557</v>
      </c>
      <c r="AA27" s="8">
        <f>VLOOKUP(AA$1,'[1]Demanda requerida 2026'!$CB$74:$DL$97,MATCH(_xlfn.CONCAT(TEXT(DATE($A27,$B27,1),"mmm-yy"),$D27),'[1]Demanda requerida 2026'!$CB$39:$DL$39,0),FALSE)</f>
        <v>3273</v>
      </c>
      <c r="AB27" s="8">
        <f>VLOOKUP(AB$1,'[1]Demanda requerida 2026'!$CB$74:$DL$97,MATCH(_xlfn.CONCAT(TEXT(DATE($A27,$B27,1),"mmm-yy"),$D27),'[1]Demanda requerida 2026'!$CB$39:$DL$39,0),FALSE)</f>
        <v>374</v>
      </c>
      <c r="AC27" s="84">
        <f t="shared" si="5"/>
        <v>96785</v>
      </c>
      <c r="AD27" s="77"/>
      <c r="AE27" s="85"/>
    </row>
    <row r="28" spans="1:31" ht="15.75" thickBot="1" x14ac:dyDescent="0.3">
      <c r="A28" s="14">
        <v>2026</v>
      </c>
      <c r="B28" s="15">
        <v>9</v>
      </c>
      <c r="C28" s="15">
        <v>4</v>
      </c>
      <c r="D28" s="15" t="s">
        <v>6</v>
      </c>
      <c r="E28" s="9">
        <f>VLOOKUP(E$1,'[1]Demanda requerida 2026'!$CB$74:$DL$97,MATCH(_xlfn.CONCAT(TEXT(DATE($A28,$B28,1),"mmm-yy"),$D28),'[1]Demanda requerida 2026'!$CB$39:$DL$39,0),FALSE)</f>
        <v>200</v>
      </c>
      <c r="F28" s="9">
        <f>VLOOKUP(F$1,'[1]Demanda requerida 2026'!$CB$74:$DL$97,MATCH(_xlfn.CONCAT(TEXT(DATE($A28,$B28,1),"mmm-yy"),$D28),'[1]Demanda requerida 2026'!$CB$39:$DL$39,0),FALSE)</f>
        <v>200</v>
      </c>
      <c r="G28" s="9">
        <f>VLOOKUP(G$1,'[1]Demanda requerida 2026'!$CB$74:$DL$97,MATCH(_xlfn.CONCAT(TEXT(DATE($A28,$B28,1),"mmm-yy"),$D28),'[1]Demanda requerida 2026'!$CB$39:$DL$39,0),FALSE)</f>
        <v>200</v>
      </c>
      <c r="H28" s="9">
        <f>VLOOKUP(H$1,'[1]Demanda requerida 2026'!$CB$74:$DL$97,MATCH(_xlfn.CONCAT(TEXT(DATE($A28,$B28,1),"mmm-yy"),$D28),'[1]Demanda requerida 2026'!$CB$39:$DL$39,0),FALSE)</f>
        <v>200</v>
      </c>
      <c r="I28" s="9">
        <f>VLOOKUP(I$1,'[1]Demanda requerida 2026'!$CB$74:$DL$97,MATCH(_xlfn.CONCAT(TEXT(DATE($A28,$B28,1),"mmm-yy"),$D28),'[1]Demanda requerida 2026'!$CB$39:$DL$39,0),FALSE)</f>
        <v>200</v>
      </c>
      <c r="J28" s="9">
        <f>VLOOKUP(J$1,'[1]Demanda requerida 2026'!$CB$74:$DL$97,MATCH(_xlfn.CONCAT(TEXT(DATE($A28,$B28,1),"mmm-yy"),$D28),'[1]Demanda requerida 2026'!$CB$39:$DL$39,0),FALSE)</f>
        <v>200</v>
      </c>
      <c r="K28" s="9">
        <f>VLOOKUP(K$1,'[1]Demanda requerida 2026'!$CB$74:$DL$97,MATCH(_xlfn.CONCAT(TEXT(DATE($A28,$B28,1),"mmm-yy"),$D28),'[1]Demanda requerida 2026'!$CB$39:$DL$39,0),FALSE)</f>
        <v>200</v>
      </c>
      <c r="L28" s="9">
        <f>VLOOKUP(L$1,'[1]Demanda requerida 2026'!$CB$74:$DL$97,MATCH(_xlfn.CONCAT(TEXT(DATE($A28,$B28,1),"mmm-yy"),$D28),'[1]Demanda requerida 2026'!$CB$39:$DL$39,0),FALSE)</f>
        <v>200</v>
      </c>
      <c r="M28" s="9">
        <f>VLOOKUP(M$1,'[1]Demanda requerida 2026'!$CB$74:$DL$97,MATCH(_xlfn.CONCAT(TEXT(DATE($A28,$B28,1),"mmm-yy"),$D28),'[1]Demanda requerida 2026'!$CB$39:$DL$39,0),FALSE)</f>
        <v>1569</v>
      </c>
      <c r="N28" s="9">
        <f>VLOOKUP(N$1,'[1]Demanda requerida 2026'!$CB$74:$DL$97,MATCH(_xlfn.CONCAT(TEXT(DATE($A28,$B28,1),"mmm-yy"),$D28),'[1]Demanda requerida 2026'!$CB$39:$DL$39,0),FALSE)</f>
        <v>3348</v>
      </c>
      <c r="O28" s="9">
        <f>VLOOKUP(O$1,'[1]Demanda requerida 2026'!$CB$74:$DL$97,MATCH(_xlfn.CONCAT(TEXT(DATE($A28,$B28,1),"mmm-yy"),$D28),'[1]Demanda requerida 2026'!$CB$39:$DL$39,0),FALSE)</f>
        <v>3925</v>
      </c>
      <c r="P28" s="9">
        <f>VLOOKUP(P$1,'[1]Demanda requerida 2026'!$CB$74:$DL$97,MATCH(_xlfn.CONCAT(TEXT(DATE($A28,$B28,1),"mmm-yy"),$D28),'[1]Demanda requerida 2026'!$CB$39:$DL$39,0),FALSE)</f>
        <v>5460</v>
      </c>
      <c r="Q28" s="9">
        <f>VLOOKUP(Q$1,'[1]Demanda requerida 2026'!$CB$74:$DL$97,MATCH(_xlfn.CONCAT(TEXT(DATE($A28,$B28,1),"mmm-yy"),$D28),'[1]Demanda requerida 2026'!$CB$39:$DL$39,0),FALSE)</f>
        <v>2923</v>
      </c>
      <c r="R28" s="9">
        <f>VLOOKUP(R$1,'[1]Demanda requerida 2026'!$CB$74:$DL$97,MATCH(_xlfn.CONCAT(TEXT(DATE($A28,$B28,1),"mmm-yy"),$D28),'[1]Demanda requerida 2026'!$CB$39:$DL$39,0),FALSE)</f>
        <v>4837</v>
      </c>
      <c r="S28" s="9">
        <f>VLOOKUP(S$1,'[1]Demanda requerida 2026'!$CB$74:$DL$97,MATCH(_xlfn.CONCAT(TEXT(DATE($A28,$B28,1),"mmm-yy"),$D28),'[1]Demanda requerida 2026'!$CB$39:$DL$39,0),FALSE)</f>
        <v>3842</v>
      </c>
      <c r="T28" s="9">
        <f>VLOOKUP(T$1,'[1]Demanda requerida 2026'!$CB$74:$DL$97,MATCH(_xlfn.CONCAT(TEXT(DATE($A28,$B28,1),"mmm-yy"),$D28),'[1]Demanda requerida 2026'!$CB$39:$DL$39,0),FALSE)</f>
        <v>3317</v>
      </c>
      <c r="U28" s="9">
        <f>VLOOKUP(U$1,'[1]Demanda requerida 2026'!$CB$74:$DL$97,MATCH(_xlfn.CONCAT(TEXT(DATE($A28,$B28,1),"mmm-yy"),$D28),'[1]Demanda requerida 2026'!$CB$39:$DL$39,0),FALSE)</f>
        <v>2697</v>
      </c>
      <c r="V28" s="9">
        <f>VLOOKUP(V$1,'[1]Demanda requerida 2026'!$CB$74:$DL$97,MATCH(_xlfn.CONCAT(TEXT(DATE($A28,$B28,1),"mmm-yy"),$D28),'[1]Demanda requerida 2026'!$CB$39:$DL$39,0),FALSE)</f>
        <v>4713</v>
      </c>
      <c r="W28" s="9">
        <f>VLOOKUP(W$1,'[1]Demanda requerida 2026'!$CB$74:$DL$97,MATCH(_xlfn.CONCAT(TEXT(DATE($A28,$B28,1),"mmm-yy"),$D28),'[1]Demanda requerida 2026'!$CB$39:$DL$39,0),FALSE)</f>
        <v>7141</v>
      </c>
      <c r="X28" s="9">
        <f>VLOOKUP(X$1,'[1]Demanda requerida 2026'!$CB$74:$DL$97,MATCH(_xlfn.CONCAT(TEXT(DATE($A28,$B28,1),"mmm-yy"),$D28),'[1]Demanda requerida 2026'!$CB$39:$DL$39,0),FALSE)</f>
        <v>7729</v>
      </c>
      <c r="Y28" s="9">
        <f>VLOOKUP(Y$1,'[1]Demanda requerida 2026'!$CB$74:$DL$97,MATCH(_xlfn.CONCAT(TEXT(DATE($A28,$B28,1),"mmm-yy"),$D28),'[1]Demanda requerida 2026'!$CB$39:$DL$39,0),FALSE)</f>
        <v>6658</v>
      </c>
      <c r="Z28" s="9">
        <f>VLOOKUP(Z$1,'[1]Demanda requerida 2026'!$CB$74:$DL$97,MATCH(_xlfn.CONCAT(TEXT(DATE($A28,$B28,1),"mmm-yy"),$D28),'[1]Demanda requerida 2026'!$CB$39:$DL$39,0),FALSE)</f>
        <v>4756</v>
      </c>
      <c r="AA28" s="9">
        <f>VLOOKUP(AA$1,'[1]Demanda requerida 2026'!$CB$74:$DL$97,MATCH(_xlfn.CONCAT(TEXT(DATE($A28,$B28,1),"mmm-yy"),$D28),'[1]Demanda requerida 2026'!$CB$39:$DL$39,0),FALSE)</f>
        <v>1885</v>
      </c>
      <c r="AB28" s="9">
        <f>VLOOKUP(AB$1,'[1]Demanda requerida 2026'!$CB$74:$DL$97,MATCH(_xlfn.CONCAT(TEXT(DATE($A28,$B28,1),"mmm-yy"),$D28),'[1]Demanda requerida 2026'!$CB$39:$DL$39,0),FALSE)</f>
        <v>200</v>
      </c>
      <c r="AC28" s="86">
        <f t="shared" si="5"/>
        <v>66600</v>
      </c>
      <c r="AD28" s="78"/>
      <c r="AE28" s="85"/>
    </row>
    <row r="29" spans="1:31" x14ac:dyDescent="0.25">
      <c r="A29" s="11">
        <v>2026</v>
      </c>
      <c r="B29" s="12">
        <v>10</v>
      </c>
      <c r="C29" s="12">
        <v>5</v>
      </c>
      <c r="D29" s="12" t="s">
        <v>5</v>
      </c>
      <c r="E29" s="7">
        <f>VLOOKUP(E$1,'[1]Demanda requerida 2026'!$CB$74:$DL$97,MATCH(_xlfn.CONCAT(TEXT(DATE($A29,$B29,1),"mmm-yy"),$D29),'[1]Demanda requerida 2026'!$CB$39:$DL$39,0),FALSE)</f>
        <v>200</v>
      </c>
      <c r="F29" s="7">
        <f>VLOOKUP(F$1,'[1]Demanda requerida 2026'!$CB$74:$DL$97,MATCH(_xlfn.CONCAT(TEXT(DATE($A29,$B29,1),"mmm-yy"),$D29),'[1]Demanda requerida 2026'!$CB$39:$DL$39,0),FALSE)</f>
        <v>200</v>
      </c>
      <c r="G29" s="7">
        <f>VLOOKUP(G$1,'[1]Demanda requerida 2026'!$CB$74:$DL$97,MATCH(_xlfn.CONCAT(TEXT(DATE($A29,$B29,1),"mmm-yy"),$D29),'[1]Demanda requerida 2026'!$CB$39:$DL$39,0),FALSE)</f>
        <v>200</v>
      </c>
      <c r="H29" s="7">
        <f>VLOOKUP(H$1,'[1]Demanda requerida 2026'!$CB$74:$DL$97,MATCH(_xlfn.CONCAT(TEXT(DATE($A29,$B29,1),"mmm-yy"),$D29),'[1]Demanda requerida 2026'!$CB$39:$DL$39,0),FALSE)</f>
        <v>200</v>
      </c>
      <c r="I29" s="7">
        <f>VLOOKUP(I$1,'[1]Demanda requerida 2026'!$CB$74:$DL$97,MATCH(_xlfn.CONCAT(TEXT(DATE($A29,$B29,1),"mmm-yy"),$D29),'[1]Demanda requerida 2026'!$CB$39:$DL$39,0),FALSE)</f>
        <v>200</v>
      </c>
      <c r="J29" s="7">
        <f>VLOOKUP(J$1,'[1]Demanda requerida 2026'!$CB$74:$DL$97,MATCH(_xlfn.CONCAT(TEXT(DATE($A29,$B29,1),"mmm-yy"),$D29),'[1]Demanda requerida 2026'!$CB$39:$DL$39,0),FALSE)</f>
        <v>200</v>
      </c>
      <c r="K29" s="7">
        <f>VLOOKUP(K$1,'[1]Demanda requerida 2026'!$CB$74:$DL$97,MATCH(_xlfn.CONCAT(TEXT(DATE($A29,$B29,1),"mmm-yy"),$D29),'[1]Demanda requerida 2026'!$CB$39:$DL$39,0),FALSE)</f>
        <v>200</v>
      </c>
      <c r="L29" s="7">
        <f>VLOOKUP(L$1,'[1]Demanda requerida 2026'!$CB$74:$DL$97,MATCH(_xlfn.CONCAT(TEXT(DATE($A29,$B29,1),"mmm-yy"),$D29),'[1]Demanda requerida 2026'!$CB$39:$DL$39,0),FALSE)</f>
        <v>200</v>
      </c>
      <c r="M29" s="7">
        <f>VLOOKUP(M$1,'[1]Demanda requerida 2026'!$CB$74:$DL$97,MATCH(_xlfn.CONCAT(TEXT(DATE($A29,$B29,1),"mmm-yy"),$D29),'[1]Demanda requerida 2026'!$CB$39:$DL$39,0),FALSE)</f>
        <v>200</v>
      </c>
      <c r="N29" s="7">
        <f>VLOOKUP(N$1,'[1]Demanda requerida 2026'!$CB$74:$DL$97,MATCH(_xlfn.CONCAT(TEXT(DATE($A29,$B29,1),"mmm-yy"),$D29),'[1]Demanda requerida 2026'!$CB$39:$DL$39,0),FALSE)</f>
        <v>200</v>
      </c>
      <c r="O29" s="7">
        <f>VLOOKUP(O$1,'[1]Demanda requerida 2026'!$CB$74:$DL$97,MATCH(_xlfn.CONCAT(TEXT(DATE($A29,$B29,1),"mmm-yy"),$D29),'[1]Demanda requerida 2026'!$CB$39:$DL$39,0),FALSE)</f>
        <v>200</v>
      </c>
      <c r="P29" s="7">
        <f>VLOOKUP(P$1,'[1]Demanda requerida 2026'!$CB$74:$DL$97,MATCH(_xlfn.CONCAT(TEXT(DATE($A29,$B29,1),"mmm-yy"),$D29),'[1]Demanda requerida 2026'!$CB$39:$DL$39,0),FALSE)</f>
        <v>200</v>
      </c>
      <c r="Q29" s="7">
        <f>VLOOKUP(Q$1,'[1]Demanda requerida 2026'!$CB$74:$DL$97,MATCH(_xlfn.CONCAT(TEXT(DATE($A29,$B29,1),"mmm-yy"),$D29),'[1]Demanda requerida 2026'!$CB$39:$DL$39,0),FALSE)</f>
        <v>200</v>
      </c>
      <c r="R29" s="7">
        <f>VLOOKUP(R$1,'[1]Demanda requerida 2026'!$CB$74:$DL$97,MATCH(_xlfn.CONCAT(TEXT(DATE($A29,$B29,1),"mmm-yy"),$D29),'[1]Demanda requerida 2026'!$CB$39:$DL$39,0),FALSE)</f>
        <v>200</v>
      </c>
      <c r="S29" s="7">
        <f>VLOOKUP(S$1,'[1]Demanda requerida 2026'!$CB$74:$DL$97,MATCH(_xlfn.CONCAT(TEXT(DATE($A29,$B29,1),"mmm-yy"),$D29),'[1]Demanda requerida 2026'!$CB$39:$DL$39,0),FALSE)</f>
        <v>200</v>
      </c>
      <c r="T29" s="7">
        <f>VLOOKUP(T$1,'[1]Demanda requerida 2026'!$CB$74:$DL$97,MATCH(_xlfn.CONCAT(TEXT(DATE($A29,$B29,1),"mmm-yy"),$D29),'[1]Demanda requerida 2026'!$CB$39:$DL$39,0),FALSE)</f>
        <v>200</v>
      </c>
      <c r="U29" s="7">
        <f>VLOOKUP(U$1,'[1]Demanda requerida 2026'!$CB$74:$DL$97,MATCH(_xlfn.CONCAT(TEXT(DATE($A29,$B29,1),"mmm-yy"),$D29),'[1]Demanda requerida 2026'!$CB$39:$DL$39,0),FALSE)</f>
        <v>200</v>
      </c>
      <c r="V29" s="7">
        <f>VLOOKUP(V$1,'[1]Demanda requerida 2026'!$CB$74:$DL$97,MATCH(_xlfn.CONCAT(TEXT(DATE($A29,$B29,1),"mmm-yy"),$D29),'[1]Demanda requerida 2026'!$CB$39:$DL$39,0),FALSE)</f>
        <v>200</v>
      </c>
      <c r="W29" s="7">
        <f>VLOOKUP(W$1,'[1]Demanda requerida 2026'!$CB$74:$DL$97,MATCH(_xlfn.CONCAT(TEXT(DATE($A29,$B29,1),"mmm-yy"),$D29),'[1]Demanda requerida 2026'!$CB$39:$DL$39,0),FALSE)</f>
        <v>200</v>
      </c>
      <c r="X29" s="7">
        <f>VLOOKUP(X$1,'[1]Demanda requerida 2026'!$CB$74:$DL$97,MATCH(_xlfn.CONCAT(TEXT(DATE($A29,$B29,1),"mmm-yy"),$D29),'[1]Demanda requerida 2026'!$CB$39:$DL$39,0),FALSE)</f>
        <v>200</v>
      </c>
      <c r="Y29" s="7">
        <f>VLOOKUP(Y$1,'[1]Demanda requerida 2026'!$CB$74:$DL$97,MATCH(_xlfn.CONCAT(TEXT(DATE($A29,$B29,1),"mmm-yy"),$D29),'[1]Demanda requerida 2026'!$CB$39:$DL$39,0),FALSE)</f>
        <v>200</v>
      </c>
      <c r="Z29" s="7">
        <f>VLOOKUP(Z$1,'[1]Demanda requerida 2026'!$CB$74:$DL$97,MATCH(_xlfn.CONCAT(TEXT(DATE($A29,$B29,1),"mmm-yy"),$D29),'[1]Demanda requerida 2026'!$CB$39:$DL$39,0),FALSE)</f>
        <v>200</v>
      </c>
      <c r="AA29" s="7">
        <f>VLOOKUP(AA$1,'[1]Demanda requerida 2026'!$CB$74:$DL$97,MATCH(_xlfn.CONCAT(TEXT(DATE($A29,$B29,1),"mmm-yy"),$D29),'[1]Demanda requerida 2026'!$CB$39:$DL$39,0),FALSE)</f>
        <v>200</v>
      </c>
      <c r="AB29" s="7">
        <f>VLOOKUP(AB$1,'[1]Demanda requerida 2026'!$CB$74:$DL$97,MATCH(_xlfn.CONCAT(TEXT(DATE($A29,$B29,1),"mmm-yy"),$D29),'[1]Demanda requerida 2026'!$CB$39:$DL$39,0),FALSE)</f>
        <v>200</v>
      </c>
      <c r="AC29" s="82">
        <f t="shared" si="5"/>
        <v>4800</v>
      </c>
      <c r="AD29" s="76">
        <f t="shared" ref="AD29" si="10">+SUMPRODUCT(AC29:AC31,C29:C31)</f>
        <v>2398451</v>
      </c>
      <c r="AE29" s="85"/>
    </row>
    <row r="30" spans="1:31" x14ac:dyDescent="0.25">
      <c r="A30" s="13">
        <v>2026</v>
      </c>
      <c r="B30" s="1">
        <v>10</v>
      </c>
      <c r="C30" s="1">
        <v>21</v>
      </c>
      <c r="D30" s="1" t="s">
        <v>31</v>
      </c>
      <c r="E30" s="8">
        <f>VLOOKUP(E$1,'[1]Demanda requerida 2026'!$CB$74:$DL$97,MATCH(_xlfn.CONCAT(TEXT(DATE($A30,$B30,1),"mmm-yy"),$D30),'[1]Demanda requerida 2026'!$CB$39:$DL$39,0),FALSE)</f>
        <v>200</v>
      </c>
      <c r="F30" s="8">
        <f>VLOOKUP(F$1,'[1]Demanda requerida 2026'!$CB$74:$DL$97,MATCH(_xlfn.CONCAT(TEXT(DATE($A30,$B30,1),"mmm-yy"),$D30),'[1]Demanda requerida 2026'!$CB$39:$DL$39,0),FALSE)</f>
        <v>200</v>
      </c>
      <c r="G30" s="8">
        <f>VLOOKUP(G$1,'[1]Demanda requerida 2026'!$CB$74:$DL$97,MATCH(_xlfn.CONCAT(TEXT(DATE($A30,$B30,1),"mmm-yy"),$D30),'[1]Demanda requerida 2026'!$CB$39:$DL$39,0),FALSE)</f>
        <v>200</v>
      </c>
      <c r="H30" s="8">
        <f>VLOOKUP(H$1,'[1]Demanda requerida 2026'!$CB$74:$DL$97,MATCH(_xlfn.CONCAT(TEXT(DATE($A30,$B30,1),"mmm-yy"),$D30),'[1]Demanda requerida 2026'!$CB$39:$DL$39,0),FALSE)</f>
        <v>200</v>
      </c>
      <c r="I30" s="8">
        <f>VLOOKUP(I$1,'[1]Demanda requerida 2026'!$CB$74:$DL$97,MATCH(_xlfn.CONCAT(TEXT(DATE($A30,$B30,1),"mmm-yy"),$D30),'[1]Demanda requerida 2026'!$CB$39:$DL$39,0),FALSE)</f>
        <v>200</v>
      </c>
      <c r="J30" s="8">
        <f>VLOOKUP(J$1,'[1]Demanda requerida 2026'!$CB$74:$DL$97,MATCH(_xlfn.CONCAT(TEXT(DATE($A30,$B30,1),"mmm-yy"),$D30),'[1]Demanda requerida 2026'!$CB$39:$DL$39,0),FALSE)</f>
        <v>200</v>
      </c>
      <c r="K30" s="8">
        <f>VLOOKUP(K$1,'[1]Demanda requerida 2026'!$CB$74:$DL$97,MATCH(_xlfn.CONCAT(TEXT(DATE($A30,$B30,1),"mmm-yy"),$D30),'[1]Demanda requerida 2026'!$CB$39:$DL$39,0),FALSE)</f>
        <v>200</v>
      </c>
      <c r="L30" s="8">
        <f>VLOOKUP(L$1,'[1]Demanda requerida 2026'!$CB$74:$DL$97,MATCH(_xlfn.CONCAT(TEXT(DATE($A30,$B30,1),"mmm-yy"),$D30),'[1]Demanda requerida 2026'!$CB$39:$DL$39,0),FALSE)</f>
        <v>200</v>
      </c>
      <c r="M30" s="8">
        <f>VLOOKUP(M$1,'[1]Demanda requerida 2026'!$CB$74:$DL$97,MATCH(_xlfn.CONCAT(TEXT(DATE($A30,$B30,1),"mmm-yy"),$D30),'[1]Demanda requerida 2026'!$CB$39:$DL$39,0),FALSE)</f>
        <v>1317</v>
      </c>
      <c r="N30" s="8">
        <f>VLOOKUP(N$1,'[1]Demanda requerida 2026'!$CB$74:$DL$97,MATCH(_xlfn.CONCAT(TEXT(DATE($A30,$B30,1),"mmm-yy"),$D30),'[1]Demanda requerida 2026'!$CB$39:$DL$39,0),FALSE)</f>
        <v>2370</v>
      </c>
      <c r="O30" s="8">
        <f>VLOOKUP(O$1,'[1]Demanda requerida 2026'!$CB$74:$DL$97,MATCH(_xlfn.CONCAT(TEXT(DATE($A30,$B30,1),"mmm-yy"),$D30),'[1]Demanda requerida 2026'!$CB$39:$DL$39,0),FALSE)</f>
        <v>3644</v>
      </c>
      <c r="P30" s="8">
        <f>VLOOKUP(P$1,'[1]Demanda requerida 2026'!$CB$74:$DL$97,MATCH(_xlfn.CONCAT(TEXT(DATE($A30,$B30,1),"mmm-yy"),$D30),'[1]Demanda requerida 2026'!$CB$39:$DL$39,0),FALSE)</f>
        <v>5177</v>
      </c>
      <c r="Q30" s="8">
        <f>VLOOKUP(Q$1,'[1]Demanda requerida 2026'!$CB$74:$DL$97,MATCH(_xlfn.CONCAT(TEXT(DATE($A30,$B30,1),"mmm-yy"),$D30),'[1]Demanda requerida 2026'!$CB$39:$DL$39,0),FALSE)</f>
        <v>5246</v>
      </c>
      <c r="R30" s="8">
        <f>VLOOKUP(R$1,'[1]Demanda requerida 2026'!$CB$74:$DL$97,MATCH(_xlfn.CONCAT(TEXT(DATE($A30,$B30,1),"mmm-yy"),$D30),'[1]Demanda requerida 2026'!$CB$39:$DL$39,0),FALSE)</f>
        <v>5324</v>
      </c>
      <c r="S30" s="8">
        <f>VLOOKUP(S$1,'[1]Demanda requerida 2026'!$CB$74:$DL$97,MATCH(_xlfn.CONCAT(TEXT(DATE($A30,$B30,1),"mmm-yy"),$D30),'[1]Demanda requerida 2026'!$CB$39:$DL$39,0),FALSE)</f>
        <v>4626</v>
      </c>
      <c r="T30" s="8">
        <f>VLOOKUP(T$1,'[1]Demanda requerida 2026'!$CB$74:$DL$97,MATCH(_xlfn.CONCAT(TEXT(DATE($A30,$B30,1),"mmm-yy"),$D30),'[1]Demanda requerida 2026'!$CB$39:$DL$39,0),FALSE)</f>
        <v>5159</v>
      </c>
      <c r="U30" s="8">
        <f>VLOOKUP(U$1,'[1]Demanda requerida 2026'!$CB$74:$DL$97,MATCH(_xlfn.CONCAT(TEXT(DATE($A30,$B30,1),"mmm-yy"),$D30),'[1]Demanda requerida 2026'!$CB$39:$DL$39,0),FALSE)</f>
        <v>5061</v>
      </c>
      <c r="V30" s="8">
        <f>VLOOKUP(V$1,'[1]Demanda requerida 2026'!$CB$74:$DL$97,MATCH(_xlfn.CONCAT(TEXT(DATE($A30,$B30,1),"mmm-yy"),$D30),'[1]Demanda requerida 2026'!$CB$39:$DL$39,0),FALSE)</f>
        <v>6781</v>
      </c>
      <c r="W30" s="8">
        <f>VLOOKUP(W$1,'[1]Demanda requerida 2026'!$CB$74:$DL$97,MATCH(_xlfn.CONCAT(TEXT(DATE($A30,$B30,1),"mmm-yy"),$D30),'[1]Demanda requerida 2026'!$CB$39:$DL$39,0),FALSE)</f>
        <v>8910</v>
      </c>
      <c r="X30" s="8">
        <f>VLOOKUP(X$1,'[1]Demanda requerida 2026'!$CB$74:$DL$97,MATCH(_xlfn.CONCAT(TEXT(DATE($A30,$B30,1),"mmm-yy"),$D30),'[1]Demanda requerida 2026'!$CB$39:$DL$39,0),FALSE)</f>
        <v>9417</v>
      </c>
      <c r="Y30" s="8">
        <f>VLOOKUP(Y$1,'[1]Demanda requerida 2026'!$CB$74:$DL$97,MATCH(_xlfn.CONCAT(TEXT(DATE($A30,$B30,1),"mmm-yy"),$D30),'[1]Demanda requerida 2026'!$CB$39:$DL$39,0),FALSE)</f>
        <v>8088</v>
      </c>
      <c r="Z30" s="8">
        <f>VLOOKUP(Z$1,'[1]Demanda requerida 2026'!$CB$74:$DL$97,MATCH(_xlfn.CONCAT(TEXT(DATE($A30,$B30,1),"mmm-yy"),$D30),'[1]Demanda requerida 2026'!$CB$39:$DL$39,0),FALSE)</f>
        <v>5766</v>
      </c>
      <c r="AA30" s="8">
        <f>VLOOKUP(AA$1,'[1]Demanda requerida 2026'!$CB$74:$DL$97,MATCH(_xlfn.CONCAT(TEXT(DATE($A30,$B30,1),"mmm-yy"),$D30),'[1]Demanda requerida 2026'!$CB$39:$DL$39,0),FALSE)</f>
        <v>2630</v>
      </c>
      <c r="AB30" s="8">
        <f>VLOOKUP(AB$1,'[1]Demanda requerida 2026'!$CB$74:$DL$97,MATCH(_xlfn.CONCAT(TEXT(DATE($A30,$B30,1),"mmm-yy"),$D30),'[1]Demanda requerida 2026'!$CB$39:$DL$39,0),FALSE)</f>
        <v>200</v>
      </c>
      <c r="AC30" s="84">
        <f t="shared" si="5"/>
        <v>81316</v>
      </c>
      <c r="AD30" s="77"/>
      <c r="AE30" s="85"/>
    </row>
    <row r="31" spans="1:31" ht="15.75" thickBot="1" x14ac:dyDescent="0.3">
      <c r="A31" s="14">
        <v>2026</v>
      </c>
      <c r="B31" s="15">
        <v>10</v>
      </c>
      <c r="C31" s="15">
        <v>5</v>
      </c>
      <c r="D31" s="15" t="s">
        <v>6</v>
      </c>
      <c r="E31" s="9">
        <f>VLOOKUP(E$1,'[1]Demanda requerida 2026'!$CB$74:$DL$97,MATCH(_xlfn.CONCAT(TEXT(DATE($A31,$B31,1),"mmm-yy"),$D31),'[1]Demanda requerida 2026'!$CB$39:$DL$39,0),FALSE)</f>
        <v>164</v>
      </c>
      <c r="F31" s="9">
        <f>VLOOKUP(F$1,'[1]Demanda requerida 2026'!$CB$74:$DL$97,MATCH(_xlfn.CONCAT(TEXT(DATE($A31,$B31,1),"mmm-yy"),$D31),'[1]Demanda requerida 2026'!$CB$39:$DL$39,0),FALSE)</f>
        <v>200</v>
      </c>
      <c r="G31" s="9">
        <f>VLOOKUP(G$1,'[1]Demanda requerida 2026'!$CB$74:$DL$97,MATCH(_xlfn.CONCAT(TEXT(DATE($A31,$B31,1),"mmm-yy"),$D31),'[1]Demanda requerida 2026'!$CB$39:$DL$39,0),FALSE)</f>
        <v>200</v>
      </c>
      <c r="H31" s="9">
        <f>VLOOKUP(H$1,'[1]Demanda requerida 2026'!$CB$74:$DL$97,MATCH(_xlfn.CONCAT(TEXT(DATE($A31,$B31,1),"mmm-yy"),$D31),'[1]Demanda requerida 2026'!$CB$39:$DL$39,0),FALSE)</f>
        <v>200</v>
      </c>
      <c r="I31" s="9">
        <f>VLOOKUP(I$1,'[1]Demanda requerida 2026'!$CB$74:$DL$97,MATCH(_xlfn.CONCAT(TEXT(DATE($A31,$B31,1),"mmm-yy"),$D31),'[1]Demanda requerida 2026'!$CB$39:$DL$39,0),FALSE)</f>
        <v>200</v>
      </c>
      <c r="J31" s="9">
        <f>VLOOKUP(J$1,'[1]Demanda requerida 2026'!$CB$74:$DL$97,MATCH(_xlfn.CONCAT(TEXT(DATE($A31,$B31,1),"mmm-yy"),$D31),'[1]Demanda requerida 2026'!$CB$39:$DL$39,0),FALSE)</f>
        <v>200</v>
      </c>
      <c r="K31" s="9">
        <f>VLOOKUP(K$1,'[1]Demanda requerida 2026'!$CB$74:$DL$97,MATCH(_xlfn.CONCAT(TEXT(DATE($A31,$B31,1),"mmm-yy"),$D31),'[1]Demanda requerida 2026'!$CB$39:$DL$39,0),FALSE)</f>
        <v>200</v>
      </c>
      <c r="L31" s="9">
        <f>VLOOKUP(L$1,'[1]Demanda requerida 2026'!$CB$74:$DL$97,MATCH(_xlfn.CONCAT(TEXT(DATE($A31,$B31,1),"mmm-yy"),$D31),'[1]Demanda requerida 2026'!$CB$39:$DL$39,0),FALSE)</f>
        <v>200</v>
      </c>
      <c r="M31" s="9">
        <f>VLOOKUP(M$1,'[1]Demanda requerida 2026'!$CB$74:$DL$97,MATCH(_xlfn.CONCAT(TEXT(DATE($A31,$B31,1),"mmm-yy"),$D31),'[1]Demanda requerida 2026'!$CB$39:$DL$39,0),FALSE)</f>
        <v>2983</v>
      </c>
      <c r="N31" s="9">
        <f>VLOOKUP(N$1,'[1]Demanda requerida 2026'!$CB$74:$DL$97,MATCH(_xlfn.CONCAT(TEXT(DATE($A31,$B31,1),"mmm-yy"),$D31),'[1]Demanda requerida 2026'!$CB$39:$DL$39,0),FALSE)</f>
        <v>6701</v>
      </c>
      <c r="O31" s="9">
        <f>VLOOKUP(O$1,'[1]Demanda requerida 2026'!$CB$74:$DL$97,MATCH(_xlfn.CONCAT(TEXT(DATE($A31,$B31,1),"mmm-yy"),$D31),'[1]Demanda requerida 2026'!$CB$39:$DL$39,0),FALSE)</f>
        <v>7934</v>
      </c>
      <c r="P31" s="9">
        <f>VLOOKUP(P$1,'[1]Demanda requerida 2026'!$CB$74:$DL$97,MATCH(_xlfn.CONCAT(TEXT(DATE($A31,$B31,1),"mmm-yy"),$D31),'[1]Demanda requerida 2026'!$CB$39:$DL$39,0),FALSE)</f>
        <v>9773</v>
      </c>
      <c r="Q31" s="9">
        <f>VLOOKUP(Q$1,'[1]Demanda requerida 2026'!$CB$74:$DL$97,MATCH(_xlfn.CONCAT(TEXT(DATE($A31,$B31,1),"mmm-yy"),$D31),'[1]Demanda requerida 2026'!$CB$39:$DL$39,0),FALSE)</f>
        <v>10114</v>
      </c>
      <c r="R31" s="9">
        <f>VLOOKUP(R$1,'[1]Demanda requerida 2026'!$CB$74:$DL$97,MATCH(_xlfn.CONCAT(TEXT(DATE($A31,$B31,1),"mmm-yy"),$D31),'[1]Demanda requerida 2026'!$CB$39:$DL$39,0),FALSE)</f>
        <v>9530</v>
      </c>
      <c r="S31" s="9">
        <f>VLOOKUP(S$1,'[1]Demanda requerida 2026'!$CB$74:$DL$97,MATCH(_xlfn.CONCAT(TEXT(DATE($A31,$B31,1),"mmm-yy"),$D31),'[1]Demanda requerida 2026'!$CB$39:$DL$39,0),FALSE)</f>
        <v>8886</v>
      </c>
      <c r="T31" s="9">
        <f>VLOOKUP(T$1,'[1]Demanda requerida 2026'!$CB$74:$DL$97,MATCH(_xlfn.CONCAT(TEXT(DATE($A31,$B31,1),"mmm-yy"),$D31),'[1]Demanda requerida 2026'!$CB$39:$DL$39,0),FALSE)</f>
        <v>8342</v>
      </c>
      <c r="U31" s="9">
        <f>VLOOKUP(U$1,'[1]Demanda requerida 2026'!$CB$74:$DL$97,MATCH(_xlfn.CONCAT(TEXT(DATE($A31,$B31,1),"mmm-yy"),$D31),'[1]Demanda requerida 2026'!$CB$39:$DL$39,0),FALSE)</f>
        <v>7768</v>
      </c>
      <c r="V31" s="9">
        <f>VLOOKUP(V$1,'[1]Demanda requerida 2026'!$CB$74:$DL$97,MATCH(_xlfn.CONCAT(TEXT(DATE($A31,$B31,1),"mmm-yy"),$D31),'[1]Demanda requerida 2026'!$CB$39:$DL$39,0),FALSE)</f>
        <v>9050</v>
      </c>
      <c r="W31" s="9">
        <f>VLOOKUP(W$1,'[1]Demanda requerida 2026'!$CB$74:$DL$97,MATCH(_xlfn.CONCAT(TEXT(DATE($A31,$B31,1),"mmm-yy"),$D31),'[1]Demanda requerida 2026'!$CB$39:$DL$39,0),FALSE)</f>
        <v>11467</v>
      </c>
      <c r="X31" s="9">
        <f>VLOOKUP(X$1,'[1]Demanda requerida 2026'!$CB$74:$DL$97,MATCH(_xlfn.CONCAT(TEXT(DATE($A31,$B31,1),"mmm-yy"),$D31),'[1]Demanda requerida 2026'!$CB$39:$DL$39,0),FALSE)</f>
        <v>10901</v>
      </c>
      <c r="Y31" s="9">
        <f>VLOOKUP(Y$1,'[1]Demanda requerida 2026'!$CB$74:$DL$97,MATCH(_xlfn.CONCAT(TEXT(DATE($A31,$B31,1),"mmm-yy"),$D31),'[1]Demanda requerida 2026'!$CB$39:$DL$39,0),FALSE)</f>
        <v>10512</v>
      </c>
      <c r="Z31" s="9">
        <f>VLOOKUP(Z$1,'[1]Demanda requerida 2026'!$CB$74:$DL$97,MATCH(_xlfn.CONCAT(TEXT(DATE($A31,$B31,1),"mmm-yy"),$D31),'[1]Demanda requerida 2026'!$CB$39:$DL$39,0),FALSE)</f>
        <v>8726</v>
      </c>
      <c r="AA31" s="9">
        <f>VLOOKUP(AA$1,'[1]Demanda requerida 2026'!$CB$74:$DL$97,MATCH(_xlfn.CONCAT(TEXT(DATE($A31,$B31,1),"mmm-yy"),$D31),'[1]Demanda requerida 2026'!$CB$39:$DL$39,0),FALSE)</f>
        <v>6193</v>
      </c>
      <c r="AB31" s="9">
        <f>VLOOKUP(AB$1,'[1]Demanda requerida 2026'!$CB$74:$DL$97,MATCH(_xlfn.CONCAT(TEXT(DATE($A31,$B31,1),"mmm-yy"),$D31),'[1]Demanda requerida 2026'!$CB$39:$DL$39,0),FALSE)</f>
        <v>2919</v>
      </c>
      <c r="AC31" s="86">
        <f t="shared" si="5"/>
        <v>133363</v>
      </c>
      <c r="AD31" s="78"/>
      <c r="AE31" s="85"/>
    </row>
    <row r="32" spans="1:31" x14ac:dyDescent="0.25">
      <c r="A32" s="11">
        <v>2026</v>
      </c>
      <c r="B32" s="12">
        <v>11</v>
      </c>
      <c r="C32" s="12">
        <v>7</v>
      </c>
      <c r="D32" s="12" t="s">
        <v>5</v>
      </c>
      <c r="E32" s="7">
        <f>VLOOKUP(E$1,'[1]Demanda requerida 2026'!$CB$74:$DL$97,MATCH(_xlfn.CONCAT(TEXT(DATE($A32,$B32,1),"mmm-yy"),$D32),'[1]Demanda requerida 2026'!$CB$39:$DL$39,0),FALSE)</f>
        <v>200</v>
      </c>
      <c r="F32" s="7">
        <f>VLOOKUP(F$1,'[1]Demanda requerida 2026'!$CB$74:$DL$97,MATCH(_xlfn.CONCAT(TEXT(DATE($A32,$B32,1),"mmm-yy"),$D32),'[1]Demanda requerida 2026'!$CB$39:$DL$39,0),FALSE)</f>
        <v>200</v>
      </c>
      <c r="G32" s="7">
        <f>VLOOKUP(G$1,'[1]Demanda requerida 2026'!$CB$74:$DL$97,MATCH(_xlfn.CONCAT(TEXT(DATE($A32,$B32,1),"mmm-yy"),$D32),'[1]Demanda requerida 2026'!$CB$39:$DL$39,0),FALSE)</f>
        <v>200</v>
      </c>
      <c r="H32" s="7">
        <f>VLOOKUP(H$1,'[1]Demanda requerida 2026'!$CB$74:$DL$97,MATCH(_xlfn.CONCAT(TEXT(DATE($A32,$B32,1),"mmm-yy"),$D32),'[1]Demanda requerida 2026'!$CB$39:$DL$39,0),FALSE)</f>
        <v>200</v>
      </c>
      <c r="I32" s="7">
        <f>VLOOKUP(I$1,'[1]Demanda requerida 2026'!$CB$74:$DL$97,MATCH(_xlfn.CONCAT(TEXT(DATE($A32,$B32,1),"mmm-yy"),$D32),'[1]Demanda requerida 2026'!$CB$39:$DL$39,0),FALSE)</f>
        <v>200</v>
      </c>
      <c r="J32" s="7">
        <f>VLOOKUP(J$1,'[1]Demanda requerida 2026'!$CB$74:$DL$97,MATCH(_xlfn.CONCAT(TEXT(DATE($A32,$B32,1),"mmm-yy"),$D32),'[1]Demanda requerida 2026'!$CB$39:$DL$39,0),FALSE)</f>
        <v>200</v>
      </c>
      <c r="K32" s="7">
        <f>VLOOKUP(K$1,'[1]Demanda requerida 2026'!$CB$74:$DL$97,MATCH(_xlfn.CONCAT(TEXT(DATE($A32,$B32,1),"mmm-yy"),$D32),'[1]Demanda requerida 2026'!$CB$39:$DL$39,0),FALSE)</f>
        <v>200</v>
      </c>
      <c r="L32" s="7">
        <f>VLOOKUP(L$1,'[1]Demanda requerida 2026'!$CB$74:$DL$97,MATCH(_xlfn.CONCAT(TEXT(DATE($A32,$B32,1),"mmm-yy"),$D32),'[1]Demanda requerida 2026'!$CB$39:$DL$39,0),FALSE)</f>
        <v>200</v>
      </c>
      <c r="M32" s="7">
        <f>VLOOKUP(M$1,'[1]Demanda requerida 2026'!$CB$74:$DL$97,MATCH(_xlfn.CONCAT(TEXT(DATE($A32,$B32,1),"mmm-yy"),$D32),'[1]Demanda requerida 2026'!$CB$39:$DL$39,0),FALSE)</f>
        <v>200</v>
      </c>
      <c r="N32" s="7">
        <f>VLOOKUP(N$1,'[1]Demanda requerida 2026'!$CB$74:$DL$97,MATCH(_xlfn.CONCAT(TEXT(DATE($A32,$B32,1),"mmm-yy"),$D32),'[1]Demanda requerida 2026'!$CB$39:$DL$39,0),FALSE)</f>
        <v>200</v>
      </c>
      <c r="O32" s="7">
        <f>VLOOKUP(O$1,'[1]Demanda requerida 2026'!$CB$74:$DL$97,MATCH(_xlfn.CONCAT(TEXT(DATE($A32,$B32,1),"mmm-yy"),$D32),'[1]Demanda requerida 2026'!$CB$39:$DL$39,0),FALSE)</f>
        <v>200</v>
      </c>
      <c r="P32" s="7">
        <f>VLOOKUP(P$1,'[1]Demanda requerida 2026'!$CB$74:$DL$97,MATCH(_xlfn.CONCAT(TEXT(DATE($A32,$B32,1),"mmm-yy"),$D32),'[1]Demanda requerida 2026'!$CB$39:$DL$39,0),FALSE)</f>
        <v>200</v>
      </c>
      <c r="Q32" s="7">
        <f>VLOOKUP(Q$1,'[1]Demanda requerida 2026'!$CB$74:$DL$97,MATCH(_xlfn.CONCAT(TEXT(DATE($A32,$B32,1),"mmm-yy"),$D32),'[1]Demanda requerida 2026'!$CB$39:$DL$39,0),FALSE)</f>
        <v>200</v>
      </c>
      <c r="R32" s="7">
        <f>VLOOKUP(R$1,'[1]Demanda requerida 2026'!$CB$74:$DL$97,MATCH(_xlfn.CONCAT(TEXT(DATE($A32,$B32,1),"mmm-yy"),$D32),'[1]Demanda requerida 2026'!$CB$39:$DL$39,0),FALSE)</f>
        <v>200</v>
      </c>
      <c r="S32" s="7">
        <f>VLOOKUP(S$1,'[1]Demanda requerida 2026'!$CB$74:$DL$97,MATCH(_xlfn.CONCAT(TEXT(DATE($A32,$B32,1),"mmm-yy"),$D32),'[1]Demanda requerida 2026'!$CB$39:$DL$39,0),FALSE)</f>
        <v>200</v>
      </c>
      <c r="T32" s="7">
        <f>VLOOKUP(T$1,'[1]Demanda requerida 2026'!$CB$74:$DL$97,MATCH(_xlfn.CONCAT(TEXT(DATE($A32,$B32,1),"mmm-yy"),$D32),'[1]Demanda requerida 2026'!$CB$39:$DL$39,0),FALSE)</f>
        <v>200</v>
      </c>
      <c r="U32" s="7">
        <f>VLOOKUP(U$1,'[1]Demanda requerida 2026'!$CB$74:$DL$97,MATCH(_xlfn.CONCAT(TEXT(DATE($A32,$B32,1),"mmm-yy"),$D32),'[1]Demanda requerida 2026'!$CB$39:$DL$39,0),FALSE)</f>
        <v>200</v>
      </c>
      <c r="V32" s="7">
        <f>VLOOKUP(V$1,'[1]Demanda requerida 2026'!$CB$74:$DL$97,MATCH(_xlfn.CONCAT(TEXT(DATE($A32,$B32,1),"mmm-yy"),$D32),'[1]Demanda requerida 2026'!$CB$39:$DL$39,0),FALSE)</f>
        <v>200</v>
      </c>
      <c r="W32" s="7">
        <f>VLOOKUP(W$1,'[1]Demanda requerida 2026'!$CB$74:$DL$97,MATCH(_xlfn.CONCAT(TEXT(DATE($A32,$B32,1),"mmm-yy"),$D32),'[1]Demanda requerida 2026'!$CB$39:$DL$39,0),FALSE)</f>
        <v>200</v>
      </c>
      <c r="X32" s="7">
        <f>VLOOKUP(X$1,'[1]Demanda requerida 2026'!$CB$74:$DL$97,MATCH(_xlfn.CONCAT(TEXT(DATE($A32,$B32,1),"mmm-yy"),$D32),'[1]Demanda requerida 2026'!$CB$39:$DL$39,0),FALSE)</f>
        <v>200</v>
      </c>
      <c r="Y32" s="7">
        <f>VLOOKUP(Y$1,'[1]Demanda requerida 2026'!$CB$74:$DL$97,MATCH(_xlfn.CONCAT(TEXT(DATE($A32,$B32,1),"mmm-yy"),$D32),'[1]Demanda requerida 2026'!$CB$39:$DL$39,0),FALSE)</f>
        <v>200</v>
      </c>
      <c r="Z32" s="7">
        <f>VLOOKUP(Z$1,'[1]Demanda requerida 2026'!$CB$74:$DL$97,MATCH(_xlfn.CONCAT(TEXT(DATE($A32,$B32,1),"mmm-yy"),$D32),'[1]Demanda requerida 2026'!$CB$39:$DL$39,0),FALSE)</f>
        <v>200</v>
      </c>
      <c r="AA32" s="7">
        <f>VLOOKUP(AA$1,'[1]Demanda requerida 2026'!$CB$74:$DL$97,MATCH(_xlfn.CONCAT(TEXT(DATE($A32,$B32,1),"mmm-yy"),$D32),'[1]Demanda requerida 2026'!$CB$39:$DL$39,0),FALSE)</f>
        <v>200</v>
      </c>
      <c r="AB32" s="7">
        <f>VLOOKUP(AB$1,'[1]Demanda requerida 2026'!$CB$74:$DL$97,MATCH(_xlfn.CONCAT(TEXT(DATE($A32,$B32,1),"mmm-yy"),$D32),'[1]Demanda requerida 2026'!$CB$39:$DL$39,0),FALSE)</f>
        <v>200</v>
      </c>
      <c r="AC32" s="82">
        <f t="shared" si="5"/>
        <v>4800</v>
      </c>
      <c r="AD32" s="76">
        <f t="shared" ref="AD32" si="11">+SUMPRODUCT(AC32:AC34,C32:C34)</f>
        <v>2758031</v>
      </c>
      <c r="AE32" s="85"/>
    </row>
    <row r="33" spans="1:31" x14ac:dyDescent="0.25">
      <c r="A33" s="13">
        <v>2026</v>
      </c>
      <c r="B33" s="1">
        <v>11</v>
      </c>
      <c r="C33" s="1">
        <v>19</v>
      </c>
      <c r="D33" s="1" t="s">
        <v>31</v>
      </c>
      <c r="E33" s="8">
        <f>VLOOKUP(E$1,'[1]Demanda requerida 2026'!$CB$74:$DL$97,MATCH(_xlfn.CONCAT(TEXT(DATE($A33,$B33,1),"mmm-yy"),$D33),'[1]Demanda requerida 2026'!$CB$39:$DL$39,0),FALSE)</f>
        <v>200</v>
      </c>
      <c r="F33" s="8">
        <f>VLOOKUP(F$1,'[1]Demanda requerida 2026'!$CB$74:$DL$97,MATCH(_xlfn.CONCAT(TEXT(DATE($A33,$B33,1),"mmm-yy"),$D33),'[1]Demanda requerida 2026'!$CB$39:$DL$39,0),FALSE)</f>
        <v>200</v>
      </c>
      <c r="G33" s="8">
        <f>VLOOKUP(G$1,'[1]Demanda requerida 2026'!$CB$74:$DL$97,MATCH(_xlfn.CONCAT(TEXT(DATE($A33,$B33,1),"mmm-yy"),$D33),'[1]Demanda requerida 2026'!$CB$39:$DL$39,0),FALSE)</f>
        <v>200</v>
      </c>
      <c r="H33" s="8">
        <f>VLOOKUP(H$1,'[1]Demanda requerida 2026'!$CB$74:$DL$97,MATCH(_xlfn.CONCAT(TEXT(DATE($A33,$B33,1),"mmm-yy"),$D33),'[1]Demanda requerida 2026'!$CB$39:$DL$39,0),FALSE)</f>
        <v>200</v>
      </c>
      <c r="I33" s="8">
        <f>VLOOKUP(I$1,'[1]Demanda requerida 2026'!$CB$74:$DL$97,MATCH(_xlfn.CONCAT(TEXT(DATE($A33,$B33,1),"mmm-yy"),$D33),'[1]Demanda requerida 2026'!$CB$39:$DL$39,0),FALSE)</f>
        <v>200</v>
      </c>
      <c r="J33" s="8">
        <f>VLOOKUP(J$1,'[1]Demanda requerida 2026'!$CB$74:$DL$97,MATCH(_xlfn.CONCAT(TEXT(DATE($A33,$B33,1),"mmm-yy"),$D33),'[1]Demanda requerida 2026'!$CB$39:$DL$39,0),FALSE)</f>
        <v>200</v>
      </c>
      <c r="K33" s="8">
        <f>VLOOKUP(K$1,'[1]Demanda requerida 2026'!$CB$74:$DL$97,MATCH(_xlfn.CONCAT(TEXT(DATE($A33,$B33,1),"mmm-yy"),$D33),'[1]Demanda requerida 2026'!$CB$39:$DL$39,0),FALSE)</f>
        <v>200</v>
      </c>
      <c r="L33" s="8">
        <f>VLOOKUP(L$1,'[1]Demanda requerida 2026'!$CB$74:$DL$97,MATCH(_xlfn.CONCAT(TEXT(DATE($A33,$B33,1),"mmm-yy"),$D33),'[1]Demanda requerida 2026'!$CB$39:$DL$39,0),FALSE)</f>
        <v>1869</v>
      </c>
      <c r="M33" s="8">
        <f>VLOOKUP(M$1,'[1]Demanda requerida 2026'!$CB$74:$DL$97,MATCH(_xlfn.CONCAT(TEXT(DATE($A33,$B33,1),"mmm-yy"),$D33),'[1]Demanda requerida 2026'!$CB$39:$DL$39,0),FALSE)</f>
        <v>4647</v>
      </c>
      <c r="N33" s="8">
        <f>VLOOKUP(N$1,'[1]Demanda requerida 2026'!$CB$74:$DL$97,MATCH(_xlfn.CONCAT(TEXT(DATE($A33,$B33,1),"mmm-yy"),$D33),'[1]Demanda requerida 2026'!$CB$39:$DL$39,0),FALSE)</f>
        <v>6562</v>
      </c>
      <c r="O33" s="8">
        <f>VLOOKUP(O$1,'[1]Demanda requerida 2026'!$CB$74:$DL$97,MATCH(_xlfn.CONCAT(TEXT(DATE($A33,$B33,1),"mmm-yy"),$D33),'[1]Demanda requerida 2026'!$CB$39:$DL$39,0),FALSE)</f>
        <v>7885</v>
      </c>
      <c r="P33" s="8">
        <f>VLOOKUP(P$1,'[1]Demanda requerida 2026'!$CB$74:$DL$97,MATCH(_xlfn.CONCAT(TEXT(DATE($A33,$B33,1),"mmm-yy"),$D33),'[1]Demanda requerida 2026'!$CB$39:$DL$39,0),FALSE)</f>
        <v>9590</v>
      </c>
      <c r="Q33" s="8">
        <f>VLOOKUP(Q$1,'[1]Demanda requerida 2026'!$CB$74:$DL$97,MATCH(_xlfn.CONCAT(TEXT(DATE($A33,$B33,1),"mmm-yy"),$D33),'[1]Demanda requerida 2026'!$CB$39:$DL$39,0),FALSE)</f>
        <v>9557</v>
      </c>
      <c r="R33" s="8">
        <f>VLOOKUP(R$1,'[1]Demanda requerida 2026'!$CB$74:$DL$97,MATCH(_xlfn.CONCAT(TEXT(DATE($A33,$B33,1),"mmm-yy"),$D33),'[1]Demanda requerida 2026'!$CB$39:$DL$39,0),FALSE)</f>
        <v>9509</v>
      </c>
      <c r="S33" s="8">
        <f>VLOOKUP(S$1,'[1]Demanda requerida 2026'!$CB$74:$DL$97,MATCH(_xlfn.CONCAT(TEXT(DATE($A33,$B33,1),"mmm-yy"),$D33),'[1]Demanda requerida 2026'!$CB$39:$DL$39,0),FALSE)</f>
        <v>9119</v>
      </c>
      <c r="T33" s="8">
        <f>VLOOKUP(T$1,'[1]Demanda requerida 2026'!$CB$74:$DL$97,MATCH(_xlfn.CONCAT(TEXT(DATE($A33,$B33,1),"mmm-yy"),$D33),'[1]Demanda requerida 2026'!$CB$39:$DL$39,0),FALSE)</f>
        <v>9065</v>
      </c>
      <c r="U33" s="8">
        <f>VLOOKUP(U$1,'[1]Demanda requerida 2026'!$CB$74:$DL$97,MATCH(_xlfn.CONCAT(TEXT(DATE($A33,$B33,1),"mmm-yy"),$D33),'[1]Demanda requerida 2026'!$CB$39:$DL$39,0),FALSE)</f>
        <v>8586</v>
      </c>
      <c r="V33" s="8">
        <f>VLOOKUP(V$1,'[1]Demanda requerida 2026'!$CB$74:$DL$97,MATCH(_xlfn.CONCAT(TEXT(DATE($A33,$B33,1),"mmm-yy"),$D33),'[1]Demanda requerida 2026'!$CB$39:$DL$39,0),FALSE)</f>
        <v>9909</v>
      </c>
      <c r="W33" s="8">
        <f>VLOOKUP(W$1,'[1]Demanda requerida 2026'!$CB$74:$DL$97,MATCH(_xlfn.CONCAT(TEXT(DATE($A33,$B33,1),"mmm-yy"),$D33),'[1]Demanda requerida 2026'!$CB$39:$DL$39,0),FALSE)</f>
        <v>12550</v>
      </c>
      <c r="X33" s="8">
        <f>VLOOKUP(X$1,'[1]Demanda requerida 2026'!$CB$74:$DL$97,MATCH(_xlfn.CONCAT(TEXT(DATE($A33,$B33,1),"mmm-yy"),$D33),'[1]Demanda requerida 2026'!$CB$39:$DL$39,0),FALSE)</f>
        <v>12519</v>
      </c>
      <c r="Y33" s="8">
        <f>VLOOKUP(Y$1,'[1]Demanda requerida 2026'!$CB$74:$DL$97,MATCH(_xlfn.CONCAT(TEXT(DATE($A33,$B33,1),"mmm-yy"),$D33),'[1]Demanda requerida 2026'!$CB$39:$DL$39,0),FALSE)</f>
        <v>11212</v>
      </c>
      <c r="Z33" s="8">
        <f>VLOOKUP(Z$1,'[1]Demanda requerida 2026'!$CB$74:$DL$97,MATCH(_xlfn.CONCAT(TEXT(DATE($A33,$B33,1),"mmm-yy"),$D33),'[1]Demanda requerida 2026'!$CB$39:$DL$39,0),FALSE)</f>
        <v>8719</v>
      </c>
      <c r="AA33" s="8">
        <f>VLOOKUP(AA$1,'[1]Demanda requerida 2026'!$CB$74:$DL$97,MATCH(_xlfn.CONCAT(TEXT(DATE($A33,$B33,1),"mmm-yy"),$D33),'[1]Demanda requerida 2026'!$CB$39:$DL$39,0),FALSE)</f>
        <v>5609</v>
      </c>
      <c r="AB33" s="8">
        <f>VLOOKUP(AB$1,'[1]Demanda requerida 2026'!$CB$74:$DL$97,MATCH(_xlfn.CONCAT(TEXT(DATE($A33,$B33,1),"mmm-yy"),$D33),'[1]Demanda requerida 2026'!$CB$39:$DL$39,0),FALSE)</f>
        <v>2742</v>
      </c>
      <c r="AC33" s="84">
        <f t="shared" si="5"/>
        <v>141049</v>
      </c>
      <c r="AD33" s="77"/>
      <c r="AE33" s="85"/>
    </row>
    <row r="34" spans="1:31" ht="15.75" thickBot="1" x14ac:dyDescent="0.3">
      <c r="A34" s="14">
        <v>2026</v>
      </c>
      <c r="B34" s="15">
        <v>11</v>
      </c>
      <c r="C34" s="15">
        <v>4</v>
      </c>
      <c r="D34" s="15" t="s">
        <v>6</v>
      </c>
      <c r="E34" s="9">
        <f>VLOOKUP(E$1,'[1]Demanda requerida 2026'!$CB$74:$DL$97,MATCH(_xlfn.CONCAT(TEXT(DATE($A34,$B34,1),"mmm-yy"),$D34),'[1]Demanda requerida 2026'!$CB$39:$DL$39,0),FALSE)</f>
        <v>200</v>
      </c>
      <c r="F34" s="9">
        <f>VLOOKUP(F$1,'[1]Demanda requerida 2026'!$CB$74:$DL$97,MATCH(_xlfn.CONCAT(TEXT(DATE($A34,$B34,1),"mmm-yy"),$D34),'[1]Demanda requerida 2026'!$CB$39:$DL$39,0),FALSE)</f>
        <v>200</v>
      </c>
      <c r="G34" s="9">
        <f>VLOOKUP(G$1,'[1]Demanda requerida 2026'!$CB$74:$DL$97,MATCH(_xlfn.CONCAT(TEXT(DATE($A34,$B34,1),"mmm-yy"),$D34),'[1]Demanda requerida 2026'!$CB$39:$DL$39,0),FALSE)</f>
        <v>200</v>
      </c>
      <c r="H34" s="9">
        <f>VLOOKUP(H$1,'[1]Demanda requerida 2026'!$CB$74:$DL$97,MATCH(_xlfn.CONCAT(TEXT(DATE($A34,$B34,1),"mmm-yy"),$D34),'[1]Demanda requerida 2026'!$CB$39:$DL$39,0),FALSE)</f>
        <v>200</v>
      </c>
      <c r="I34" s="9">
        <f>VLOOKUP(I$1,'[1]Demanda requerida 2026'!$CB$74:$DL$97,MATCH(_xlfn.CONCAT(TEXT(DATE($A34,$B34,1),"mmm-yy"),$D34),'[1]Demanda requerida 2026'!$CB$39:$DL$39,0),FALSE)</f>
        <v>200</v>
      </c>
      <c r="J34" s="9">
        <f>VLOOKUP(J$1,'[1]Demanda requerida 2026'!$CB$74:$DL$97,MATCH(_xlfn.CONCAT(TEXT(DATE($A34,$B34,1),"mmm-yy"),$D34),'[1]Demanda requerida 2026'!$CB$39:$DL$39,0),FALSE)</f>
        <v>200</v>
      </c>
      <c r="K34" s="9">
        <f>VLOOKUP(K$1,'[1]Demanda requerida 2026'!$CB$74:$DL$97,MATCH(_xlfn.CONCAT(TEXT(DATE($A34,$B34,1),"mmm-yy"),$D34),'[1]Demanda requerida 2026'!$CB$39:$DL$39,0),FALSE)</f>
        <v>200</v>
      </c>
      <c r="L34" s="9">
        <f>VLOOKUP(L$1,'[1]Demanda requerida 2026'!$CB$74:$DL$97,MATCH(_xlfn.CONCAT(TEXT(DATE($A34,$B34,1),"mmm-yy"),$D34),'[1]Demanda requerida 2026'!$CB$39:$DL$39,0),FALSE)</f>
        <v>200</v>
      </c>
      <c r="M34" s="9">
        <f>VLOOKUP(M$1,'[1]Demanda requerida 2026'!$CB$74:$DL$97,MATCH(_xlfn.CONCAT(TEXT(DATE($A34,$B34,1),"mmm-yy"),$D34),'[1]Demanda requerida 2026'!$CB$39:$DL$39,0),FALSE)</f>
        <v>200</v>
      </c>
      <c r="N34" s="9">
        <f>VLOOKUP(N$1,'[1]Demanda requerida 2026'!$CB$74:$DL$97,MATCH(_xlfn.CONCAT(TEXT(DATE($A34,$B34,1),"mmm-yy"),$D34),'[1]Demanda requerida 2026'!$CB$39:$DL$39,0),FALSE)</f>
        <v>200</v>
      </c>
      <c r="O34" s="9">
        <f>VLOOKUP(O$1,'[1]Demanda requerida 2026'!$CB$74:$DL$97,MATCH(_xlfn.CONCAT(TEXT(DATE($A34,$B34,1),"mmm-yy"),$D34),'[1]Demanda requerida 2026'!$CB$39:$DL$39,0),FALSE)</f>
        <v>200</v>
      </c>
      <c r="P34" s="9">
        <f>VLOOKUP(P$1,'[1]Demanda requerida 2026'!$CB$74:$DL$97,MATCH(_xlfn.CONCAT(TEXT(DATE($A34,$B34,1),"mmm-yy"),$D34),'[1]Demanda requerida 2026'!$CB$39:$DL$39,0),FALSE)</f>
        <v>200</v>
      </c>
      <c r="Q34" s="9">
        <f>VLOOKUP(Q$1,'[1]Demanda requerida 2026'!$CB$74:$DL$97,MATCH(_xlfn.CONCAT(TEXT(DATE($A34,$B34,1),"mmm-yy"),$D34),'[1]Demanda requerida 2026'!$CB$39:$DL$39,0),FALSE)</f>
        <v>200</v>
      </c>
      <c r="R34" s="9">
        <f>VLOOKUP(R$1,'[1]Demanda requerida 2026'!$CB$74:$DL$97,MATCH(_xlfn.CONCAT(TEXT(DATE($A34,$B34,1),"mmm-yy"),$D34),'[1]Demanda requerida 2026'!$CB$39:$DL$39,0),FALSE)</f>
        <v>200</v>
      </c>
      <c r="S34" s="9">
        <f>VLOOKUP(S$1,'[1]Demanda requerida 2026'!$CB$74:$DL$97,MATCH(_xlfn.CONCAT(TEXT(DATE($A34,$B34,1),"mmm-yy"),$D34),'[1]Demanda requerida 2026'!$CB$39:$DL$39,0),FALSE)</f>
        <v>200</v>
      </c>
      <c r="T34" s="9">
        <f>VLOOKUP(T$1,'[1]Demanda requerida 2026'!$CB$74:$DL$97,MATCH(_xlfn.CONCAT(TEXT(DATE($A34,$B34,1),"mmm-yy"),$D34),'[1]Demanda requerida 2026'!$CB$39:$DL$39,0),FALSE)</f>
        <v>200</v>
      </c>
      <c r="U34" s="9">
        <f>VLOOKUP(U$1,'[1]Demanda requerida 2026'!$CB$74:$DL$97,MATCH(_xlfn.CONCAT(TEXT(DATE($A34,$B34,1),"mmm-yy"),$D34),'[1]Demanda requerida 2026'!$CB$39:$DL$39,0),FALSE)</f>
        <v>200</v>
      </c>
      <c r="V34" s="9">
        <f>VLOOKUP(V$1,'[1]Demanda requerida 2026'!$CB$74:$DL$97,MATCH(_xlfn.CONCAT(TEXT(DATE($A34,$B34,1),"mmm-yy"),$D34),'[1]Demanda requerida 2026'!$CB$39:$DL$39,0),FALSE)</f>
        <v>200</v>
      </c>
      <c r="W34" s="9">
        <f>VLOOKUP(W$1,'[1]Demanda requerida 2026'!$CB$74:$DL$97,MATCH(_xlfn.CONCAT(TEXT(DATE($A34,$B34,1),"mmm-yy"),$D34),'[1]Demanda requerida 2026'!$CB$39:$DL$39,0),FALSE)</f>
        <v>2698</v>
      </c>
      <c r="X34" s="9">
        <f>VLOOKUP(X$1,'[1]Demanda requerida 2026'!$CB$74:$DL$97,MATCH(_xlfn.CONCAT(TEXT(DATE($A34,$B34,1),"mmm-yy"),$D34),'[1]Demanda requerida 2026'!$CB$39:$DL$39,0),FALSE)</f>
        <v>2633</v>
      </c>
      <c r="Y34" s="9">
        <f>VLOOKUP(Y$1,'[1]Demanda requerida 2026'!$CB$74:$DL$97,MATCH(_xlfn.CONCAT(TEXT(DATE($A34,$B34,1),"mmm-yy"),$D34),'[1]Demanda requerida 2026'!$CB$39:$DL$39,0),FALSE)</f>
        <v>1594</v>
      </c>
      <c r="Z34" s="9">
        <f>VLOOKUP(Z$1,'[1]Demanda requerida 2026'!$CB$74:$DL$97,MATCH(_xlfn.CONCAT(TEXT(DATE($A34,$B34,1),"mmm-yy"),$D34),'[1]Demanda requerida 2026'!$CB$39:$DL$39,0),FALSE)</f>
        <v>200</v>
      </c>
      <c r="AA34" s="9">
        <f>VLOOKUP(AA$1,'[1]Demanda requerida 2026'!$CB$74:$DL$97,MATCH(_xlfn.CONCAT(TEXT(DATE($A34,$B34,1),"mmm-yy"),$D34),'[1]Demanda requerida 2026'!$CB$39:$DL$39,0),FALSE)</f>
        <v>200</v>
      </c>
      <c r="AB34" s="9">
        <f>VLOOKUP(AB$1,'[1]Demanda requerida 2026'!$CB$74:$DL$97,MATCH(_xlfn.CONCAT(TEXT(DATE($A34,$B34,1),"mmm-yy"),$D34),'[1]Demanda requerida 2026'!$CB$39:$DL$39,0),FALSE)</f>
        <v>200</v>
      </c>
      <c r="AC34" s="86">
        <f t="shared" si="5"/>
        <v>11125</v>
      </c>
      <c r="AD34" s="78"/>
      <c r="AE34" s="85"/>
    </row>
    <row r="35" spans="1:31" x14ac:dyDescent="0.25">
      <c r="A35" s="11">
        <v>2026</v>
      </c>
      <c r="B35" s="12">
        <v>12</v>
      </c>
      <c r="C35" s="12">
        <v>6</v>
      </c>
      <c r="D35" s="12" t="s">
        <v>5</v>
      </c>
      <c r="E35" s="7">
        <f>VLOOKUP(E$1,'[1]Demanda requerida 2026'!$CB$74:$DL$97,MATCH(_xlfn.CONCAT(TEXT(DATE($A35,$B35,1),"mmm-yy"),$D35),'[1]Demanda requerida 2026'!$CB$39:$DL$39,0),FALSE)</f>
        <v>200</v>
      </c>
      <c r="F35" s="7">
        <f>VLOOKUP(F$1,'[1]Demanda requerida 2026'!$CB$74:$DL$97,MATCH(_xlfn.CONCAT(TEXT(DATE($A35,$B35,1),"mmm-yy"),$D35),'[1]Demanda requerida 2026'!$CB$39:$DL$39,0),FALSE)</f>
        <v>200</v>
      </c>
      <c r="G35" s="7">
        <f>VLOOKUP(G$1,'[1]Demanda requerida 2026'!$CB$74:$DL$97,MATCH(_xlfn.CONCAT(TEXT(DATE($A35,$B35,1),"mmm-yy"),$D35),'[1]Demanda requerida 2026'!$CB$39:$DL$39,0),FALSE)</f>
        <v>200</v>
      </c>
      <c r="H35" s="7">
        <f>VLOOKUP(H$1,'[1]Demanda requerida 2026'!$CB$74:$DL$97,MATCH(_xlfn.CONCAT(TEXT(DATE($A35,$B35,1),"mmm-yy"),$D35),'[1]Demanda requerida 2026'!$CB$39:$DL$39,0),FALSE)</f>
        <v>200</v>
      </c>
      <c r="I35" s="7">
        <f>VLOOKUP(I$1,'[1]Demanda requerida 2026'!$CB$74:$DL$97,MATCH(_xlfn.CONCAT(TEXT(DATE($A35,$B35,1),"mmm-yy"),$D35),'[1]Demanda requerida 2026'!$CB$39:$DL$39,0),FALSE)</f>
        <v>200</v>
      </c>
      <c r="J35" s="7">
        <f>VLOOKUP(J$1,'[1]Demanda requerida 2026'!$CB$74:$DL$97,MATCH(_xlfn.CONCAT(TEXT(DATE($A35,$B35,1),"mmm-yy"),$D35),'[1]Demanda requerida 2026'!$CB$39:$DL$39,0),FALSE)</f>
        <v>200</v>
      </c>
      <c r="K35" s="7">
        <f>VLOOKUP(K$1,'[1]Demanda requerida 2026'!$CB$74:$DL$97,MATCH(_xlfn.CONCAT(TEXT(DATE($A35,$B35,1),"mmm-yy"),$D35),'[1]Demanda requerida 2026'!$CB$39:$DL$39,0),FALSE)</f>
        <v>200</v>
      </c>
      <c r="L35" s="7">
        <f>VLOOKUP(L$1,'[1]Demanda requerida 2026'!$CB$74:$DL$97,MATCH(_xlfn.CONCAT(TEXT(DATE($A35,$B35,1),"mmm-yy"),$D35),'[1]Demanda requerida 2026'!$CB$39:$DL$39,0),FALSE)</f>
        <v>200</v>
      </c>
      <c r="M35" s="7">
        <f>VLOOKUP(M$1,'[1]Demanda requerida 2026'!$CB$74:$DL$97,MATCH(_xlfn.CONCAT(TEXT(DATE($A35,$B35,1),"mmm-yy"),$D35),'[1]Demanda requerida 2026'!$CB$39:$DL$39,0),FALSE)</f>
        <v>200</v>
      </c>
      <c r="N35" s="7">
        <f>VLOOKUP(N$1,'[1]Demanda requerida 2026'!$CB$74:$DL$97,MATCH(_xlfn.CONCAT(TEXT(DATE($A35,$B35,1),"mmm-yy"),$D35),'[1]Demanda requerida 2026'!$CB$39:$DL$39,0),FALSE)</f>
        <v>200</v>
      </c>
      <c r="O35" s="7">
        <f>VLOOKUP(O$1,'[1]Demanda requerida 2026'!$CB$74:$DL$97,MATCH(_xlfn.CONCAT(TEXT(DATE($A35,$B35,1),"mmm-yy"),$D35),'[1]Demanda requerida 2026'!$CB$39:$DL$39,0),FALSE)</f>
        <v>200</v>
      </c>
      <c r="P35" s="7">
        <f>VLOOKUP(P$1,'[1]Demanda requerida 2026'!$CB$74:$DL$97,MATCH(_xlfn.CONCAT(TEXT(DATE($A35,$B35,1),"mmm-yy"),$D35),'[1]Demanda requerida 2026'!$CB$39:$DL$39,0),FALSE)</f>
        <v>200</v>
      </c>
      <c r="Q35" s="7">
        <f>VLOOKUP(Q$1,'[1]Demanda requerida 2026'!$CB$74:$DL$97,MATCH(_xlfn.CONCAT(TEXT(DATE($A35,$B35,1),"mmm-yy"),$D35),'[1]Demanda requerida 2026'!$CB$39:$DL$39,0),FALSE)</f>
        <v>200</v>
      </c>
      <c r="R35" s="7">
        <f>VLOOKUP(R$1,'[1]Demanda requerida 2026'!$CB$74:$DL$97,MATCH(_xlfn.CONCAT(TEXT(DATE($A35,$B35,1),"mmm-yy"),$D35),'[1]Demanda requerida 2026'!$CB$39:$DL$39,0),FALSE)</f>
        <v>200</v>
      </c>
      <c r="S35" s="7">
        <f>VLOOKUP(S$1,'[1]Demanda requerida 2026'!$CB$74:$DL$97,MATCH(_xlfn.CONCAT(TEXT(DATE($A35,$B35,1),"mmm-yy"),$D35),'[1]Demanda requerida 2026'!$CB$39:$DL$39,0),FALSE)</f>
        <v>200</v>
      </c>
      <c r="T35" s="7">
        <f>VLOOKUP(T$1,'[1]Demanda requerida 2026'!$CB$74:$DL$97,MATCH(_xlfn.CONCAT(TEXT(DATE($A35,$B35,1),"mmm-yy"),$D35),'[1]Demanda requerida 2026'!$CB$39:$DL$39,0),FALSE)</f>
        <v>200</v>
      </c>
      <c r="U35" s="7">
        <f>VLOOKUP(U$1,'[1]Demanda requerida 2026'!$CB$74:$DL$97,MATCH(_xlfn.CONCAT(TEXT(DATE($A35,$B35,1),"mmm-yy"),$D35),'[1]Demanda requerida 2026'!$CB$39:$DL$39,0),FALSE)</f>
        <v>200</v>
      </c>
      <c r="V35" s="7">
        <f>VLOOKUP(V$1,'[1]Demanda requerida 2026'!$CB$74:$DL$97,MATCH(_xlfn.CONCAT(TEXT(DATE($A35,$B35,1),"mmm-yy"),$D35),'[1]Demanda requerida 2026'!$CB$39:$DL$39,0),FALSE)</f>
        <v>143</v>
      </c>
      <c r="W35" s="7">
        <f>VLOOKUP(W$1,'[1]Demanda requerida 2026'!$CB$74:$DL$97,MATCH(_xlfn.CONCAT(TEXT(DATE($A35,$B35,1),"mmm-yy"),$D35),'[1]Demanda requerida 2026'!$CB$39:$DL$39,0),FALSE)</f>
        <v>1646</v>
      </c>
      <c r="X35" s="7">
        <f>VLOOKUP(X$1,'[1]Demanda requerida 2026'!$CB$74:$DL$97,MATCH(_xlfn.CONCAT(TEXT(DATE($A35,$B35,1),"mmm-yy"),$D35),'[1]Demanda requerida 2026'!$CB$39:$DL$39,0),FALSE)</f>
        <v>1973</v>
      </c>
      <c r="Y35" s="7">
        <f>VLOOKUP(Y$1,'[1]Demanda requerida 2026'!$CB$74:$DL$97,MATCH(_xlfn.CONCAT(TEXT(DATE($A35,$B35,1),"mmm-yy"),$D35),'[1]Demanda requerida 2026'!$CB$39:$DL$39,0),FALSE)</f>
        <v>1560</v>
      </c>
      <c r="Z35" s="7">
        <f>VLOOKUP(Z$1,'[1]Demanda requerida 2026'!$CB$74:$DL$97,MATCH(_xlfn.CONCAT(TEXT(DATE($A35,$B35,1),"mmm-yy"),$D35),'[1]Demanda requerida 2026'!$CB$39:$DL$39,0),FALSE)</f>
        <v>770</v>
      </c>
      <c r="AA35" s="7">
        <f>VLOOKUP(AA$1,'[1]Demanda requerida 2026'!$CB$74:$DL$97,MATCH(_xlfn.CONCAT(TEXT(DATE($A35,$B35,1),"mmm-yy"),$D35),'[1]Demanda requerida 2026'!$CB$39:$DL$39,0),FALSE)</f>
        <v>200</v>
      </c>
      <c r="AB35" s="7">
        <f>VLOOKUP(AB$1,'[1]Demanda requerida 2026'!$CB$74:$DL$97,MATCH(_xlfn.CONCAT(TEXT(DATE($A35,$B35,1),"mmm-yy"),$D35),'[1]Demanda requerida 2026'!$CB$39:$DL$39,0),FALSE)</f>
        <v>200</v>
      </c>
      <c r="AC35" s="82">
        <f t="shared" si="5"/>
        <v>9892</v>
      </c>
      <c r="AD35" s="76">
        <f t="shared" ref="AD35" si="12">+SUMPRODUCT(AC35:AC37,C35:C37)</f>
        <v>9729772</v>
      </c>
      <c r="AE35" s="85"/>
    </row>
    <row r="36" spans="1:31" x14ac:dyDescent="0.25">
      <c r="A36" s="13">
        <v>2026</v>
      </c>
      <c r="B36" s="1">
        <v>12</v>
      </c>
      <c r="C36" s="1">
        <v>21</v>
      </c>
      <c r="D36" s="1" t="s">
        <v>31</v>
      </c>
      <c r="E36" s="8">
        <f>VLOOKUP(E$1,'[1]Demanda requerida 2026'!$CB$74:$DL$97,MATCH(_xlfn.CONCAT(TEXT(DATE($A36,$B36,1),"mmm-yy"),$D36),'[1]Demanda requerida 2026'!$CB$39:$DL$39,0),FALSE)</f>
        <v>12114</v>
      </c>
      <c r="F36" s="8">
        <f>VLOOKUP(F$1,'[1]Demanda requerida 2026'!$CB$74:$DL$97,MATCH(_xlfn.CONCAT(TEXT(DATE($A36,$B36,1),"mmm-yy"),$D36),'[1]Demanda requerida 2026'!$CB$39:$DL$39,0),FALSE)</f>
        <v>10875</v>
      </c>
      <c r="G36" s="8">
        <f>VLOOKUP(G$1,'[1]Demanda requerida 2026'!$CB$74:$DL$97,MATCH(_xlfn.CONCAT(TEXT(DATE($A36,$B36,1),"mmm-yy"),$D36),'[1]Demanda requerida 2026'!$CB$39:$DL$39,0),FALSE)</f>
        <v>9927</v>
      </c>
      <c r="H36" s="8">
        <f>VLOOKUP(H$1,'[1]Demanda requerida 2026'!$CB$74:$DL$97,MATCH(_xlfn.CONCAT(TEXT(DATE($A36,$B36,1),"mmm-yy"),$D36),'[1]Demanda requerida 2026'!$CB$39:$DL$39,0),FALSE)</f>
        <v>9291</v>
      </c>
      <c r="I36" s="8">
        <f>VLOOKUP(I$1,'[1]Demanda requerida 2026'!$CB$74:$DL$97,MATCH(_xlfn.CONCAT(TEXT(DATE($A36,$B36,1),"mmm-yy"),$D36),'[1]Demanda requerida 2026'!$CB$39:$DL$39,0),FALSE)</f>
        <v>9142</v>
      </c>
      <c r="J36" s="8">
        <f>VLOOKUP(J$1,'[1]Demanda requerida 2026'!$CB$74:$DL$97,MATCH(_xlfn.CONCAT(TEXT(DATE($A36,$B36,1),"mmm-yy"),$D36),'[1]Demanda requerida 2026'!$CB$39:$DL$39,0),FALSE)</f>
        <v>9809</v>
      </c>
      <c r="K36" s="8">
        <f>VLOOKUP(K$1,'[1]Demanda requerida 2026'!$CB$74:$DL$97,MATCH(_xlfn.CONCAT(TEXT(DATE($A36,$B36,1),"mmm-yy"),$D36),'[1]Demanda requerida 2026'!$CB$39:$DL$39,0),FALSE)</f>
        <v>11027</v>
      </c>
      <c r="L36" s="8">
        <f>VLOOKUP(L$1,'[1]Demanda requerida 2026'!$CB$74:$DL$97,MATCH(_xlfn.CONCAT(TEXT(DATE($A36,$B36,1),"mmm-yy"),$D36),'[1]Demanda requerida 2026'!$CB$39:$DL$39,0),FALSE)</f>
        <v>13412</v>
      </c>
      <c r="M36" s="8">
        <f>VLOOKUP(M$1,'[1]Demanda requerida 2026'!$CB$74:$DL$97,MATCH(_xlfn.CONCAT(TEXT(DATE($A36,$B36,1),"mmm-yy"),$D36),'[1]Demanda requerida 2026'!$CB$39:$DL$39,0),FALSE)</f>
        <v>15881</v>
      </c>
      <c r="N36" s="8">
        <f>VLOOKUP(N$1,'[1]Demanda requerida 2026'!$CB$74:$DL$97,MATCH(_xlfn.CONCAT(TEXT(DATE($A36,$B36,1),"mmm-yy"),$D36),'[1]Demanda requerida 2026'!$CB$39:$DL$39,0),FALSE)</f>
        <v>17013</v>
      </c>
      <c r="O36" s="8">
        <f>VLOOKUP(O$1,'[1]Demanda requerida 2026'!$CB$74:$DL$97,MATCH(_xlfn.CONCAT(TEXT(DATE($A36,$B36,1),"mmm-yy"),$D36),'[1]Demanda requerida 2026'!$CB$39:$DL$39,0),FALSE)</f>
        <v>18108</v>
      </c>
      <c r="P36" s="8">
        <f>VLOOKUP(P$1,'[1]Demanda requerida 2026'!$CB$74:$DL$97,MATCH(_xlfn.CONCAT(TEXT(DATE($A36,$B36,1),"mmm-yy"),$D36),'[1]Demanda requerida 2026'!$CB$39:$DL$39,0),FALSE)</f>
        <v>19609</v>
      </c>
      <c r="Q36" s="8">
        <f>VLOOKUP(Q$1,'[1]Demanda requerida 2026'!$CB$74:$DL$97,MATCH(_xlfn.CONCAT(TEXT(DATE($A36,$B36,1),"mmm-yy"),$D36),'[1]Demanda requerida 2026'!$CB$39:$DL$39,0),FALSE)</f>
        <v>20491</v>
      </c>
      <c r="R36" s="8">
        <f>VLOOKUP(R$1,'[1]Demanda requerida 2026'!$CB$74:$DL$97,MATCH(_xlfn.CONCAT(TEXT(DATE($A36,$B36,1),"mmm-yy"),$D36),'[1]Demanda requerida 2026'!$CB$39:$DL$39,0),FALSE)</f>
        <v>19945</v>
      </c>
      <c r="S36" s="8">
        <f>VLOOKUP(S$1,'[1]Demanda requerida 2026'!$CB$74:$DL$97,MATCH(_xlfn.CONCAT(TEXT(DATE($A36,$B36,1),"mmm-yy"),$D36),'[1]Demanda requerida 2026'!$CB$39:$DL$39,0),FALSE)</f>
        <v>19782</v>
      </c>
      <c r="T36" s="8">
        <f>VLOOKUP(T$1,'[1]Demanda requerida 2026'!$CB$74:$DL$97,MATCH(_xlfn.CONCAT(TEXT(DATE($A36,$B36,1),"mmm-yy"),$D36),'[1]Demanda requerida 2026'!$CB$39:$DL$39,0),FALSE)</f>
        <v>20481</v>
      </c>
      <c r="U36" s="8">
        <f>VLOOKUP(U$1,'[1]Demanda requerida 2026'!$CB$74:$DL$97,MATCH(_xlfn.CONCAT(TEXT(DATE($A36,$B36,1),"mmm-yy"),$D36),'[1]Demanda requerida 2026'!$CB$39:$DL$39,0),FALSE)</f>
        <v>19993</v>
      </c>
      <c r="V36" s="8">
        <f>VLOOKUP(V$1,'[1]Demanda requerida 2026'!$CB$74:$DL$97,MATCH(_xlfn.CONCAT(TEXT(DATE($A36,$B36,1),"mmm-yy"),$D36),'[1]Demanda requerida 2026'!$CB$39:$DL$39,0),FALSE)</f>
        <v>22045</v>
      </c>
      <c r="W36" s="8">
        <f>VLOOKUP(W$1,'[1]Demanda requerida 2026'!$CB$74:$DL$97,MATCH(_xlfn.CONCAT(TEXT(DATE($A36,$B36,1),"mmm-yy"),$D36),'[1]Demanda requerida 2026'!$CB$39:$DL$39,0),FALSE)</f>
        <v>24495</v>
      </c>
      <c r="X36" s="8">
        <f>VLOOKUP(X$1,'[1]Demanda requerida 2026'!$CB$74:$DL$97,MATCH(_xlfn.CONCAT(TEXT(DATE($A36,$B36,1),"mmm-yy"),$D36),'[1]Demanda requerida 2026'!$CB$39:$DL$39,0),FALSE)</f>
        <v>24649</v>
      </c>
      <c r="Y36" s="8">
        <f>VLOOKUP(Y$1,'[1]Demanda requerida 2026'!$CB$74:$DL$97,MATCH(_xlfn.CONCAT(TEXT(DATE($A36,$B36,1),"mmm-yy"),$D36),'[1]Demanda requerida 2026'!$CB$39:$DL$39,0),FALSE)</f>
        <v>23413</v>
      </c>
      <c r="Z36" s="8">
        <f>VLOOKUP(Z$1,'[1]Demanda requerida 2026'!$CB$74:$DL$97,MATCH(_xlfn.CONCAT(TEXT(DATE($A36,$B36,1),"mmm-yy"),$D36),'[1]Demanda requerida 2026'!$CB$39:$DL$39,0),FALSE)</f>
        <v>21159</v>
      </c>
      <c r="AA36" s="8">
        <f>VLOOKUP(AA$1,'[1]Demanda requerida 2026'!$CB$74:$DL$97,MATCH(_xlfn.CONCAT(TEXT(DATE($A36,$B36,1),"mmm-yy"),$D36),'[1]Demanda requerida 2026'!$CB$39:$DL$39,0),FALSE)</f>
        <v>18230</v>
      </c>
      <c r="AB36" s="8">
        <f>VLOOKUP(AB$1,'[1]Demanda requerida 2026'!$CB$74:$DL$97,MATCH(_xlfn.CONCAT(TEXT(DATE($A36,$B36,1),"mmm-yy"),$D36),'[1]Demanda requerida 2026'!$CB$39:$DL$39,0),FALSE)</f>
        <v>15397</v>
      </c>
      <c r="AC36" s="84">
        <f t="shared" si="5"/>
        <v>406288</v>
      </c>
      <c r="AD36" s="77"/>
      <c r="AE36" s="85"/>
    </row>
    <row r="37" spans="1:31" ht="15.75" thickBot="1" x14ac:dyDescent="0.3">
      <c r="A37" s="14">
        <v>2026</v>
      </c>
      <c r="B37" s="15">
        <v>12</v>
      </c>
      <c r="C37" s="15">
        <v>4</v>
      </c>
      <c r="D37" s="15" t="s">
        <v>6</v>
      </c>
      <c r="E37" s="9">
        <f>VLOOKUP(E$1,'[1]Demanda requerida 2026'!$CB$74:$DL$97,MATCH(_xlfn.CONCAT(TEXT(DATE($A37,$B37,1),"mmm-yy"),$D37),'[1]Demanda requerida 2026'!$CB$39:$DL$39,0),FALSE)</f>
        <v>7960</v>
      </c>
      <c r="F37" s="9">
        <f>VLOOKUP(F$1,'[1]Demanda requerida 2026'!$CB$74:$DL$97,MATCH(_xlfn.CONCAT(TEXT(DATE($A37,$B37,1),"mmm-yy"),$D37),'[1]Demanda requerida 2026'!$CB$39:$DL$39,0),FALSE)</f>
        <v>6680</v>
      </c>
      <c r="G37" s="9">
        <f>VLOOKUP(G$1,'[1]Demanda requerida 2026'!$CB$74:$DL$97,MATCH(_xlfn.CONCAT(TEXT(DATE($A37,$B37,1),"mmm-yy"),$D37),'[1]Demanda requerida 2026'!$CB$39:$DL$39,0),FALSE)</f>
        <v>5928</v>
      </c>
      <c r="H37" s="9">
        <f>VLOOKUP(H$1,'[1]Demanda requerida 2026'!$CB$74:$DL$97,MATCH(_xlfn.CONCAT(TEXT(DATE($A37,$B37,1),"mmm-yy"),$D37),'[1]Demanda requerida 2026'!$CB$39:$DL$39,0),FALSE)</f>
        <v>5261</v>
      </c>
      <c r="I37" s="9">
        <f>VLOOKUP(I$1,'[1]Demanda requerida 2026'!$CB$74:$DL$97,MATCH(_xlfn.CONCAT(TEXT(DATE($A37,$B37,1),"mmm-yy"),$D37),'[1]Demanda requerida 2026'!$CB$39:$DL$39,0),FALSE)</f>
        <v>4982</v>
      </c>
      <c r="J37" s="9">
        <f>VLOOKUP(J$1,'[1]Demanda requerida 2026'!$CB$74:$DL$97,MATCH(_xlfn.CONCAT(TEXT(DATE($A37,$B37,1),"mmm-yy"),$D37),'[1]Demanda requerida 2026'!$CB$39:$DL$39,0),FALSE)</f>
        <v>5186</v>
      </c>
      <c r="K37" s="9">
        <f>VLOOKUP(K$1,'[1]Demanda requerida 2026'!$CB$74:$DL$97,MATCH(_xlfn.CONCAT(TEXT(DATE($A37,$B37,1),"mmm-yy"),$D37),'[1]Demanda requerida 2026'!$CB$39:$DL$39,0),FALSE)</f>
        <v>6098</v>
      </c>
      <c r="L37" s="9">
        <f>VLOOKUP(L$1,'[1]Demanda requerida 2026'!$CB$74:$DL$97,MATCH(_xlfn.CONCAT(TEXT(DATE($A37,$B37,1),"mmm-yy"),$D37),'[1]Demanda requerida 2026'!$CB$39:$DL$39,0),FALSE)</f>
        <v>7722</v>
      </c>
      <c r="M37" s="9">
        <f>VLOOKUP(M$1,'[1]Demanda requerida 2026'!$CB$74:$DL$97,MATCH(_xlfn.CONCAT(TEXT(DATE($A37,$B37,1),"mmm-yy"),$D37),'[1]Demanda requerida 2026'!$CB$39:$DL$39,0),FALSE)</f>
        <v>10781</v>
      </c>
      <c r="N37" s="9">
        <f>VLOOKUP(N$1,'[1]Demanda requerida 2026'!$CB$74:$DL$97,MATCH(_xlfn.CONCAT(TEXT(DATE($A37,$B37,1),"mmm-yy"),$D37),'[1]Demanda requerida 2026'!$CB$39:$DL$39,0),FALSE)</f>
        <v>12496</v>
      </c>
      <c r="O37" s="9">
        <f>VLOOKUP(O$1,'[1]Demanda requerida 2026'!$CB$74:$DL$97,MATCH(_xlfn.CONCAT(TEXT(DATE($A37,$B37,1),"mmm-yy"),$D37),'[1]Demanda requerida 2026'!$CB$39:$DL$39,0),FALSE)</f>
        <v>13632</v>
      </c>
      <c r="P37" s="9">
        <f>VLOOKUP(P$1,'[1]Demanda requerida 2026'!$CB$74:$DL$97,MATCH(_xlfn.CONCAT(TEXT(DATE($A37,$B37,1),"mmm-yy"),$D37),'[1]Demanda requerida 2026'!$CB$39:$DL$39,0),FALSE)</f>
        <v>14739</v>
      </c>
      <c r="Q37" s="9">
        <f>VLOOKUP(Q$1,'[1]Demanda requerida 2026'!$CB$74:$DL$97,MATCH(_xlfn.CONCAT(TEXT(DATE($A37,$B37,1),"mmm-yy"),$D37),'[1]Demanda requerida 2026'!$CB$39:$DL$39,0),FALSE)</f>
        <v>15030</v>
      </c>
      <c r="R37" s="9">
        <f>VLOOKUP(R$1,'[1]Demanda requerida 2026'!$CB$74:$DL$97,MATCH(_xlfn.CONCAT(TEXT(DATE($A37,$B37,1),"mmm-yy"),$D37),'[1]Demanda requerida 2026'!$CB$39:$DL$39,0),FALSE)</f>
        <v>14702</v>
      </c>
      <c r="S37" s="9">
        <f>VLOOKUP(S$1,'[1]Demanda requerida 2026'!$CB$74:$DL$97,MATCH(_xlfn.CONCAT(TEXT(DATE($A37,$B37,1),"mmm-yy"),$D37),'[1]Demanda requerida 2026'!$CB$39:$DL$39,0),FALSE)</f>
        <v>14224</v>
      </c>
      <c r="T37" s="9">
        <f>VLOOKUP(T$1,'[1]Demanda requerida 2026'!$CB$74:$DL$97,MATCH(_xlfn.CONCAT(TEXT(DATE($A37,$B37,1),"mmm-yy"),$D37),'[1]Demanda requerida 2026'!$CB$39:$DL$39,0),FALSE)</f>
        <v>13940</v>
      </c>
      <c r="U37" s="9">
        <f>VLOOKUP(U$1,'[1]Demanda requerida 2026'!$CB$74:$DL$97,MATCH(_xlfn.CONCAT(TEXT(DATE($A37,$B37,1),"mmm-yy"),$D37),'[1]Demanda requerida 2026'!$CB$39:$DL$39,0),FALSE)</f>
        <v>13629</v>
      </c>
      <c r="V37" s="9">
        <f>VLOOKUP(V$1,'[1]Demanda requerida 2026'!$CB$74:$DL$97,MATCH(_xlfn.CONCAT(TEXT(DATE($A37,$B37,1),"mmm-yy"),$D37),'[1]Demanda requerida 2026'!$CB$39:$DL$39,0),FALSE)</f>
        <v>15701</v>
      </c>
      <c r="W37" s="9">
        <f>VLOOKUP(W$1,'[1]Demanda requerida 2026'!$CB$74:$DL$97,MATCH(_xlfn.CONCAT(TEXT(DATE($A37,$B37,1),"mmm-yy"),$D37),'[1]Demanda requerida 2026'!$CB$39:$DL$39,0),FALSE)</f>
        <v>18279</v>
      </c>
      <c r="X37" s="9">
        <f>VLOOKUP(X$1,'[1]Demanda requerida 2026'!$CB$74:$DL$97,MATCH(_xlfn.CONCAT(TEXT(DATE($A37,$B37,1),"mmm-yy"),$D37),'[1]Demanda requerida 2026'!$CB$39:$DL$39,0),FALSE)</f>
        <v>18724</v>
      </c>
      <c r="Y37" s="9">
        <f>VLOOKUP(Y$1,'[1]Demanda requerida 2026'!$CB$74:$DL$97,MATCH(_xlfn.CONCAT(TEXT(DATE($A37,$B37,1),"mmm-yy"),$D37),'[1]Demanda requerida 2026'!$CB$39:$DL$39,0),FALSE)</f>
        <v>17521</v>
      </c>
      <c r="Z37" s="9">
        <f>VLOOKUP(Z$1,'[1]Demanda requerida 2026'!$CB$74:$DL$97,MATCH(_xlfn.CONCAT(TEXT(DATE($A37,$B37,1),"mmm-yy"),$D37),'[1]Demanda requerida 2026'!$CB$39:$DL$39,0),FALSE)</f>
        <v>15816</v>
      </c>
      <c r="AA37" s="9">
        <f>VLOOKUP(AA$1,'[1]Demanda requerida 2026'!$CB$74:$DL$97,MATCH(_xlfn.CONCAT(TEXT(DATE($A37,$B37,1),"mmm-yy"),$D37),'[1]Demanda requerida 2026'!$CB$39:$DL$39,0),FALSE)</f>
        <v>13874</v>
      </c>
      <c r="AB37" s="9">
        <f>VLOOKUP(AB$1,'[1]Demanda requerida 2026'!$CB$74:$DL$97,MATCH(_xlfn.CONCAT(TEXT(DATE($A37,$B37,1),"mmm-yy"),$D37),'[1]Demanda requerida 2026'!$CB$39:$DL$39,0),FALSE)</f>
        <v>11688</v>
      </c>
      <c r="AC37" s="86">
        <f t="shared" si="5"/>
        <v>284593</v>
      </c>
      <c r="AD37" s="78"/>
      <c r="AE37" s="87"/>
    </row>
    <row r="38" spans="1:31" x14ac:dyDescent="0.25">
      <c r="A38" s="11">
        <v>2027</v>
      </c>
      <c r="B38" s="12">
        <v>1</v>
      </c>
      <c r="C38" s="12">
        <v>7</v>
      </c>
      <c r="D38" s="12" t="s">
        <v>5</v>
      </c>
      <c r="E38" s="7">
        <f>VLOOKUP(E$1,'[1]Demanda requerida 2027'!$CI$74:$DS$97,MATCH(_xlfn.CONCAT(TEXT(DATE($A38,$B38,1),"mmm-yy"),$D38),'[1]Demanda requerida 2027'!$CI$70:$DS$70,0),FALSE)</f>
        <v>637</v>
      </c>
      <c r="F38" s="7">
        <f>VLOOKUP(F$1,'[1]Demanda requerida 2027'!$CI$74:$DS$97,MATCH(_xlfn.CONCAT(TEXT(DATE($A38,$B38,1),"mmm-yy"),$D38),'[1]Demanda requerida 2027'!$CI$70:$DS$70,0),FALSE)</f>
        <v>200</v>
      </c>
      <c r="G38" s="7">
        <f>VLOOKUP(G$1,'[1]Demanda requerida 2027'!$CI$74:$DS$97,MATCH(_xlfn.CONCAT(TEXT(DATE($A38,$B38,1),"mmm-yy"),$D38),'[1]Demanda requerida 2027'!$CI$70:$DS$70,0),FALSE)</f>
        <v>200</v>
      </c>
      <c r="H38" s="7">
        <f>VLOOKUP(H$1,'[1]Demanda requerida 2027'!$CI$74:$DS$97,MATCH(_xlfn.CONCAT(TEXT(DATE($A38,$B38,1),"mmm-yy"),$D38),'[1]Demanda requerida 2027'!$CI$70:$DS$70,0),FALSE)</f>
        <v>200</v>
      </c>
      <c r="I38" s="7">
        <f>VLOOKUP(I$1,'[1]Demanda requerida 2027'!$CI$74:$DS$97,MATCH(_xlfn.CONCAT(TEXT(DATE($A38,$B38,1),"mmm-yy"),$D38),'[1]Demanda requerida 2027'!$CI$70:$DS$70,0),FALSE)</f>
        <v>200</v>
      </c>
      <c r="J38" s="7">
        <f>VLOOKUP(J$1,'[1]Demanda requerida 2027'!$CI$74:$DS$97,MATCH(_xlfn.CONCAT(TEXT(DATE($A38,$B38,1),"mmm-yy"),$D38),'[1]Demanda requerida 2027'!$CI$70:$DS$70,0),FALSE)</f>
        <v>200</v>
      </c>
      <c r="K38" s="7">
        <f>VLOOKUP(K$1,'[1]Demanda requerida 2027'!$CI$74:$DS$97,MATCH(_xlfn.CONCAT(TEXT(DATE($A38,$B38,1),"mmm-yy"),$D38),'[1]Demanda requerida 2027'!$CI$70:$DS$70,0),FALSE)</f>
        <v>200</v>
      </c>
      <c r="L38" s="7">
        <f>VLOOKUP(L$1,'[1]Demanda requerida 2027'!$CI$74:$DS$97,MATCH(_xlfn.CONCAT(TEXT(DATE($A38,$B38,1),"mmm-yy"),$D38),'[1]Demanda requerida 2027'!$CI$70:$DS$70,0),FALSE)</f>
        <v>200</v>
      </c>
      <c r="M38" s="7">
        <f>VLOOKUP(M$1,'[1]Demanda requerida 2027'!$CI$74:$DS$97,MATCH(_xlfn.CONCAT(TEXT(DATE($A38,$B38,1),"mmm-yy"),$D38),'[1]Demanda requerida 2027'!$CI$70:$DS$70,0),FALSE)</f>
        <v>922</v>
      </c>
      <c r="N38" s="7">
        <f>VLOOKUP(N$1,'[1]Demanda requerida 2027'!$CI$74:$DS$97,MATCH(_xlfn.CONCAT(TEXT(DATE($A38,$B38,1),"mmm-yy"),$D38),'[1]Demanda requerida 2027'!$CI$70:$DS$70,0),FALSE)</f>
        <v>2554</v>
      </c>
      <c r="O38" s="7">
        <f>VLOOKUP(O$1,'[1]Demanda requerida 2027'!$CI$74:$DS$97,MATCH(_xlfn.CONCAT(TEXT(DATE($A38,$B38,1),"mmm-yy"),$D38),'[1]Demanda requerida 2027'!$CI$70:$DS$70,0),FALSE)</f>
        <v>3384</v>
      </c>
      <c r="P38" s="7">
        <f>VLOOKUP(P$1,'[1]Demanda requerida 2027'!$CI$74:$DS$97,MATCH(_xlfn.CONCAT(TEXT(DATE($A38,$B38,1),"mmm-yy"),$D38),'[1]Demanda requerida 2027'!$CI$70:$DS$70,0),FALSE)</f>
        <v>4754</v>
      </c>
      <c r="Q38" s="7">
        <f>VLOOKUP(Q$1,'[1]Demanda requerida 2027'!$CI$74:$DS$97,MATCH(_xlfn.CONCAT(TEXT(DATE($A38,$B38,1),"mmm-yy"),$D38),'[1]Demanda requerida 2027'!$CI$70:$DS$70,0),FALSE)</f>
        <v>5616</v>
      </c>
      <c r="R38" s="7">
        <f>VLOOKUP(R$1,'[1]Demanda requerida 2027'!$CI$74:$DS$97,MATCH(_xlfn.CONCAT(TEXT(DATE($A38,$B38,1),"mmm-yy"),$D38),'[1]Demanda requerida 2027'!$CI$70:$DS$70,0),FALSE)</f>
        <v>5544</v>
      </c>
      <c r="S38" s="7">
        <f>VLOOKUP(S$1,'[1]Demanda requerida 2027'!$CI$74:$DS$97,MATCH(_xlfn.CONCAT(TEXT(DATE($A38,$B38,1),"mmm-yy"),$D38),'[1]Demanda requerida 2027'!$CI$70:$DS$70,0),FALSE)</f>
        <v>4408</v>
      </c>
      <c r="T38" s="7">
        <f>VLOOKUP(T$1,'[1]Demanda requerida 2027'!$CI$74:$DS$97,MATCH(_xlfn.CONCAT(TEXT(DATE($A38,$B38,1),"mmm-yy"),$D38),'[1]Demanda requerida 2027'!$CI$70:$DS$70,0),FALSE)</f>
        <v>3910</v>
      </c>
      <c r="U38" s="7">
        <f>VLOOKUP(U$1,'[1]Demanda requerida 2027'!$CI$74:$DS$97,MATCH(_xlfn.CONCAT(TEXT(DATE($A38,$B38,1),"mmm-yy"),$D38),'[1]Demanda requerida 2027'!$CI$70:$DS$70,0),FALSE)</f>
        <v>3535</v>
      </c>
      <c r="V38" s="7">
        <f>VLOOKUP(V$1,'[1]Demanda requerida 2027'!$CI$74:$DS$97,MATCH(_xlfn.CONCAT(TEXT(DATE($A38,$B38,1),"mmm-yy"),$D38),'[1]Demanda requerida 2027'!$CI$70:$DS$70,0),FALSE)</f>
        <v>5109</v>
      </c>
      <c r="W38" s="7">
        <f>VLOOKUP(W$1,'[1]Demanda requerida 2027'!$CI$74:$DS$97,MATCH(_xlfn.CONCAT(TEXT(DATE($A38,$B38,1),"mmm-yy"),$D38),'[1]Demanda requerida 2027'!$CI$70:$DS$70,0),FALSE)</f>
        <v>7890</v>
      </c>
      <c r="X38" s="7">
        <f>VLOOKUP(X$1,'[1]Demanda requerida 2027'!$CI$74:$DS$97,MATCH(_xlfn.CONCAT(TEXT(DATE($A38,$B38,1),"mmm-yy"),$D38),'[1]Demanda requerida 2027'!$CI$70:$DS$70,0),FALSE)</f>
        <v>9706</v>
      </c>
      <c r="Y38" s="7">
        <f>VLOOKUP(Y$1,'[1]Demanda requerida 2027'!$CI$74:$DS$97,MATCH(_xlfn.CONCAT(TEXT(DATE($A38,$B38,1),"mmm-yy"),$D38),'[1]Demanda requerida 2027'!$CI$70:$DS$70,0),FALSE)</f>
        <v>8930</v>
      </c>
      <c r="Z38" s="7">
        <f>VLOOKUP(Z$1,'[1]Demanda requerida 2027'!$CI$74:$DS$97,MATCH(_xlfn.CONCAT(TEXT(DATE($A38,$B38,1),"mmm-yy"),$D38),'[1]Demanda requerida 2027'!$CI$70:$DS$70,0),FALSE)</f>
        <v>6829</v>
      </c>
      <c r="AA38" s="7">
        <f>VLOOKUP(AA$1,'[1]Demanda requerida 2027'!$CI$74:$DS$97,MATCH(_xlfn.CONCAT(TEXT(DATE($A38,$B38,1),"mmm-yy"),$D38),'[1]Demanda requerida 2027'!$CI$70:$DS$70,0),FALSE)</f>
        <v>4545</v>
      </c>
      <c r="AB38" s="7">
        <f>VLOOKUP(AB$1,'[1]Demanda requerida 2027'!$CI$74:$DS$97,MATCH(_xlfn.CONCAT(TEXT(DATE($A38,$B38,1),"mmm-yy"),$D38),'[1]Demanda requerida 2027'!$CI$70:$DS$70,0),FALSE)</f>
        <v>2367</v>
      </c>
      <c r="AC38" s="82">
        <f t="shared" si="5"/>
        <v>82040</v>
      </c>
      <c r="AD38" s="76">
        <f t="shared" ref="AD38" si="13">+SUMPRODUCT(AC38:AC40,C38:C40)</f>
        <v>3913842</v>
      </c>
      <c r="AE38" s="83">
        <f>+SUM(AD38:AD73)</f>
        <v>67871522</v>
      </c>
    </row>
    <row r="39" spans="1:31" x14ac:dyDescent="0.25">
      <c r="A39" s="13">
        <v>2027</v>
      </c>
      <c r="B39" s="1">
        <v>1</v>
      </c>
      <c r="C39" s="1">
        <v>19</v>
      </c>
      <c r="D39" s="1" t="s">
        <v>31</v>
      </c>
      <c r="E39" s="8">
        <f>VLOOKUP(E$1,'[1]Demanda requerida 2027'!$CI$74:$DS$97,MATCH(_xlfn.CONCAT(TEXT(DATE($A39,$B39,1),"mmm-yy"),$D39),'[1]Demanda requerida 2027'!$CI$70:$DS$70,0),FALSE)</f>
        <v>751</v>
      </c>
      <c r="F39" s="8">
        <f>VLOOKUP(F$1,'[1]Demanda requerida 2027'!$CI$74:$DS$97,MATCH(_xlfn.CONCAT(TEXT(DATE($A39,$B39,1),"mmm-yy"),$D39),'[1]Demanda requerida 2027'!$CI$70:$DS$70,0),FALSE)</f>
        <v>200</v>
      </c>
      <c r="G39" s="8">
        <f>VLOOKUP(G$1,'[1]Demanda requerida 2027'!$CI$74:$DS$97,MATCH(_xlfn.CONCAT(TEXT(DATE($A39,$B39,1),"mmm-yy"),$D39),'[1]Demanda requerida 2027'!$CI$70:$DS$70,0),FALSE)</f>
        <v>200</v>
      </c>
      <c r="H39" s="8">
        <f>VLOOKUP(H$1,'[1]Demanda requerida 2027'!$CI$74:$DS$97,MATCH(_xlfn.CONCAT(TEXT(DATE($A39,$B39,1),"mmm-yy"),$D39),'[1]Demanda requerida 2027'!$CI$70:$DS$70,0),FALSE)</f>
        <v>200</v>
      </c>
      <c r="I39" s="8">
        <f>VLOOKUP(I$1,'[1]Demanda requerida 2027'!$CI$74:$DS$97,MATCH(_xlfn.CONCAT(TEXT(DATE($A39,$B39,1),"mmm-yy"),$D39),'[1]Demanda requerida 2027'!$CI$70:$DS$70,0),FALSE)</f>
        <v>200</v>
      </c>
      <c r="J39" s="8">
        <f>VLOOKUP(J$1,'[1]Demanda requerida 2027'!$CI$74:$DS$97,MATCH(_xlfn.CONCAT(TEXT(DATE($A39,$B39,1),"mmm-yy"),$D39),'[1]Demanda requerida 2027'!$CI$70:$DS$70,0),FALSE)</f>
        <v>200</v>
      </c>
      <c r="K39" s="8">
        <f>VLOOKUP(K$1,'[1]Demanda requerida 2027'!$CI$74:$DS$97,MATCH(_xlfn.CONCAT(TEXT(DATE($A39,$B39,1),"mmm-yy"),$D39),'[1]Demanda requerida 2027'!$CI$70:$DS$70,0),FALSE)</f>
        <v>11</v>
      </c>
      <c r="L39" s="8">
        <f>VLOOKUP(L$1,'[1]Demanda requerida 2027'!$CI$74:$DS$97,MATCH(_xlfn.CONCAT(TEXT(DATE($A39,$B39,1),"mmm-yy"),$D39),'[1]Demanda requerida 2027'!$CI$70:$DS$70,0),FALSE)</f>
        <v>1573</v>
      </c>
      <c r="M39" s="8">
        <f>VLOOKUP(M$1,'[1]Demanda requerida 2027'!$CI$74:$DS$97,MATCH(_xlfn.CONCAT(TEXT(DATE($A39,$B39,1),"mmm-yy"),$D39),'[1]Demanda requerida 2027'!$CI$70:$DS$70,0),FALSE)</f>
        <v>4753</v>
      </c>
      <c r="N39" s="8">
        <f>VLOOKUP(N$1,'[1]Demanda requerida 2027'!$CI$74:$DS$97,MATCH(_xlfn.CONCAT(TEXT(DATE($A39,$B39,1),"mmm-yy"),$D39),'[1]Demanda requerida 2027'!$CI$70:$DS$70,0),FALSE)</f>
        <v>6042</v>
      </c>
      <c r="O39" s="8">
        <f>VLOOKUP(O$1,'[1]Demanda requerida 2027'!$CI$74:$DS$97,MATCH(_xlfn.CONCAT(TEXT(DATE($A39,$B39,1),"mmm-yy"),$D39),'[1]Demanda requerida 2027'!$CI$70:$DS$70,0),FALSE)</f>
        <v>7203</v>
      </c>
      <c r="P39" s="8">
        <f>VLOOKUP(P$1,'[1]Demanda requerida 2027'!$CI$74:$DS$97,MATCH(_xlfn.CONCAT(TEXT(DATE($A39,$B39,1),"mmm-yy"),$D39),'[1]Demanda requerida 2027'!$CI$70:$DS$70,0),FALSE)</f>
        <v>8969</v>
      </c>
      <c r="Q39" s="8">
        <f>VLOOKUP(Q$1,'[1]Demanda requerida 2027'!$CI$74:$DS$97,MATCH(_xlfn.CONCAT(TEXT(DATE($A39,$B39,1),"mmm-yy"),$D39),'[1]Demanda requerida 2027'!$CI$70:$DS$70,0),FALSE)</f>
        <v>9533</v>
      </c>
      <c r="R39" s="8">
        <f>VLOOKUP(R$1,'[1]Demanda requerida 2027'!$CI$74:$DS$97,MATCH(_xlfn.CONCAT(TEXT(DATE($A39,$B39,1),"mmm-yy"),$D39),'[1]Demanda requerida 2027'!$CI$70:$DS$70,0),FALSE)</f>
        <v>9469</v>
      </c>
      <c r="S39" s="8">
        <f>VLOOKUP(S$1,'[1]Demanda requerida 2027'!$CI$74:$DS$97,MATCH(_xlfn.CONCAT(TEXT(DATE($A39,$B39,1),"mmm-yy"),$D39),'[1]Demanda requerida 2027'!$CI$70:$DS$70,0),FALSE)</f>
        <v>9492</v>
      </c>
      <c r="T39" s="8">
        <f>VLOOKUP(T$1,'[1]Demanda requerida 2027'!$CI$74:$DS$97,MATCH(_xlfn.CONCAT(TEXT(DATE($A39,$B39,1),"mmm-yy"),$D39),'[1]Demanda requerida 2027'!$CI$70:$DS$70,0),FALSE)</f>
        <v>9358</v>
      </c>
      <c r="U39" s="8">
        <f>VLOOKUP(U$1,'[1]Demanda requerida 2027'!$CI$74:$DS$97,MATCH(_xlfn.CONCAT(TEXT(DATE($A39,$B39,1),"mmm-yy"),$D39),'[1]Demanda requerida 2027'!$CI$70:$DS$70,0),FALSE)</f>
        <v>8842</v>
      </c>
      <c r="V39" s="8">
        <f>VLOOKUP(V$1,'[1]Demanda requerida 2027'!$CI$74:$DS$97,MATCH(_xlfn.CONCAT(TEXT(DATE($A39,$B39,1),"mmm-yy"),$D39),'[1]Demanda requerida 2027'!$CI$70:$DS$70,0),FALSE)</f>
        <v>9998</v>
      </c>
      <c r="W39" s="8">
        <f>VLOOKUP(W$1,'[1]Demanda requerida 2027'!$CI$74:$DS$97,MATCH(_xlfn.CONCAT(TEXT(DATE($A39,$B39,1),"mmm-yy"),$D39),'[1]Demanda requerida 2027'!$CI$70:$DS$70,0),FALSE)</f>
        <v>11150</v>
      </c>
      <c r="X39" s="8">
        <f>VLOOKUP(X$1,'[1]Demanda requerida 2027'!$CI$74:$DS$97,MATCH(_xlfn.CONCAT(TEXT(DATE($A39,$B39,1),"mmm-yy"),$D39),'[1]Demanda requerida 2027'!$CI$70:$DS$70,0),FALSE)</f>
        <v>12373</v>
      </c>
      <c r="Y39" s="8">
        <f>VLOOKUP(Y$1,'[1]Demanda requerida 2027'!$CI$74:$DS$97,MATCH(_xlfn.CONCAT(TEXT(DATE($A39,$B39,1),"mmm-yy"),$D39),'[1]Demanda requerida 2027'!$CI$70:$DS$70,0),FALSE)</f>
        <v>11490</v>
      </c>
      <c r="Z39" s="8">
        <f>VLOOKUP(Z$1,'[1]Demanda requerida 2027'!$CI$74:$DS$97,MATCH(_xlfn.CONCAT(TEXT(DATE($A39,$B39,1),"mmm-yy"),$D39),'[1]Demanda requerida 2027'!$CI$70:$DS$70,0),FALSE)</f>
        <v>9591</v>
      </c>
      <c r="AA39" s="8">
        <f>VLOOKUP(AA$1,'[1]Demanda requerida 2027'!$CI$74:$DS$97,MATCH(_xlfn.CONCAT(TEXT(DATE($A39,$B39,1),"mmm-yy"),$D39),'[1]Demanda requerida 2027'!$CI$70:$DS$70,0),FALSE)</f>
        <v>6765</v>
      </c>
      <c r="AB39" s="8">
        <f>VLOOKUP(AB$1,'[1]Demanda requerida 2027'!$CI$74:$DS$97,MATCH(_xlfn.CONCAT(TEXT(DATE($A39,$B39,1),"mmm-yy"),$D39),'[1]Demanda requerida 2027'!$CI$70:$DS$70,0),FALSE)</f>
        <v>4070</v>
      </c>
      <c r="AC39" s="84">
        <f t="shared" si="5"/>
        <v>142433</v>
      </c>
      <c r="AD39" s="77"/>
      <c r="AE39" s="85"/>
    </row>
    <row r="40" spans="1:31" ht="15.75" thickBot="1" x14ac:dyDescent="0.3">
      <c r="A40" s="14">
        <v>2027</v>
      </c>
      <c r="B40" s="15">
        <v>1</v>
      </c>
      <c r="C40" s="15">
        <v>5</v>
      </c>
      <c r="D40" s="15" t="s">
        <v>6</v>
      </c>
      <c r="E40" s="9">
        <f>VLOOKUP(E$1,'[1]Demanda requerida 2027'!$CI$74:$DS$97,MATCH(_xlfn.CONCAT(TEXT(DATE($A40,$B40,1),"mmm-yy"),$D40),'[1]Demanda requerida 2027'!$CI$70:$DS$70,0),FALSE)</f>
        <v>183</v>
      </c>
      <c r="F40" s="9">
        <f>VLOOKUP(F$1,'[1]Demanda requerida 2027'!$CI$74:$DS$97,MATCH(_xlfn.CONCAT(TEXT(DATE($A40,$B40,1),"mmm-yy"),$D40),'[1]Demanda requerida 2027'!$CI$70:$DS$70,0),FALSE)</f>
        <v>200</v>
      </c>
      <c r="G40" s="9">
        <f>VLOOKUP(G$1,'[1]Demanda requerida 2027'!$CI$74:$DS$97,MATCH(_xlfn.CONCAT(TEXT(DATE($A40,$B40,1),"mmm-yy"),$D40),'[1]Demanda requerida 2027'!$CI$70:$DS$70,0),FALSE)</f>
        <v>200</v>
      </c>
      <c r="H40" s="9">
        <f>VLOOKUP(H$1,'[1]Demanda requerida 2027'!$CI$74:$DS$97,MATCH(_xlfn.CONCAT(TEXT(DATE($A40,$B40,1),"mmm-yy"),$D40),'[1]Demanda requerida 2027'!$CI$70:$DS$70,0),FALSE)</f>
        <v>200</v>
      </c>
      <c r="I40" s="9">
        <f>VLOOKUP(I$1,'[1]Demanda requerida 2027'!$CI$74:$DS$97,MATCH(_xlfn.CONCAT(TEXT(DATE($A40,$B40,1),"mmm-yy"),$D40),'[1]Demanda requerida 2027'!$CI$70:$DS$70,0),FALSE)</f>
        <v>200</v>
      </c>
      <c r="J40" s="9">
        <f>VLOOKUP(J$1,'[1]Demanda requerida 2027'!$CI$74:$DS$97,MATCH(_xlfn.CONCAT(TEXT(DATE($A40,$B40,1),"mmm-yy"),$D40),'[1]Demanda requerida 2027'!$CI$70:$DS$70,0),FALSE)</f>
        <v>200</v>
      </c>
      <c r="K40" s="9">
        <f>VLOOKUP(K$1,'[1]Demanda requerida 2027'!$CI$74:$DS$97,MATCH(_xlfn.CONCAT(TEXT(DATE($A40,$B40,1),"mmm-yy"),$D40),'[1]Demanda requerida 2027'!$CI$70:$DS$70,0),FALSE)</f>
        <v>200</v>
      </c>
      <c r="L40" s="9">
        <f>VLOOKUP(L$1,'[1]Demanda requerida 2027'!$CI$74:$DS$97,MATCH(_xlfn.CONCAT(TEXT(DATE($A40,$B40,1),"mmm-yy"),$D40),'[1]Demanda requerida 2027'!$CI$70:$DS$70,0),FALSE)</f>
        <v>61</v>
      </c>
      <c r="M40" s="9">
        <f>VLOOKUP(M$1,'[1]Demanda requerida 2027'!$CI$74:$DS$97,MATCH(_xlfn.CONCAT(TEXT(DATE($A40,$B40,1),"mmm-yy"),$D40),'[1]Demanda requerida 2027'!$CI$70:$DS$70,0),FALSE)</f>
        <v>3405</v>
      </c>
      <c r="N40" s="9">
        <f>VLOOKUP(N$1,'[1]Demanda requerida 2027'!$CI$74:$DS$97,MATCH(_xlfn.CONCAT(TEXT(DATE($A40,$B40,1),"mmm-yy"),$D40),'[1]Demanda requerida 2027'!$CI$70:$DS$70,0),FALSE)</f>
        <v>5445</v>
      </c>
      <c r="O40" s="9">
        <f>VLOOKUP(O$1,'[1]Demanda requerida 2027'!$CI$74:$DS$97,MATCH(_xlfn.CONCAT(TEXT(DATE($A40,$B40,1),"mmm-yy"),$D40),'[1]Demanda requerida 2027'!$CI$70:$DS$70,0),FALSE)</f>
        <v>6643</v>
      </c>
      <c r="P40" s="9">
        <f>VLOOKUP(P$1,'[1]Demanda requerida 2027'!$CI$74:$DS$97,MATCH(_xlfn.CONCAT(TEXT(DATE($A40,$B40,1),"mmm-yy"),$D40),'[1]Demanda requerida 2027'!$CI$70:$DS$70,0),FALSE)</f>
        <v>8371</v>
      </c>
      <c r="Q40" s="9">
        <f>VLOOKUP(Q$1,'[1]Demanda requerida 2027'!$CI$74:$DS$97,MATCH(_xlfn.CONCAT(TEXT(DATE($A40,$B40,1),"mmm-yy"),$D40),'[1]Demanda requerida 2027'!$CI$70:$DS$70,0),FALSE)</f>
        <v>8885</v>
      </c>
      <c r="R40" s="9">
        <f>VLOOKUP(R$1,'[1]Demanda requerida 2027'!$CI$74:$DS$97,MATCH(_xlfn.CONCAT(TEXT(DATE($A40,$B40,1),"mmm-yy"),$D40),'[1]Demanda requerida 2027'!$CI$70:$DS$70,0),FALSE)</f>
        <v>8346</v>
      </c>
      <c r="S40" s="9">
        <f>VLOOKUP(S$1,'[1]Demanda requerida 2027'!$CI$74:$DS$97,MATCH(_xlfn.CONCAT(TEXT(DATE($A40,$B40,1),"mmm-yy"),$D40),'[1]Demanda requerida 2027'!$CI$70:$DS$70,0),FALSE)</f>
        <v>7630</v>
      </c>
      <c r="T40" s="9">
        <f>VLOOKUP(T$1,'[1]Demanda requerida 2027'!$CI$74:$DS$97,MATCH(_xlfn.CONCAT(TEXT(DATE($A40,$B40,1),"mmm-yy"),$D40),'[1]Demanda requerida 2027'!$CI$70:$DS$70,0),FALSE)</f>
        <v>7781</v>
      </c>
      <c r="U40" s="9">
        <f>VLOOKUP(U$1,'[1]Demanda requerida 2027'!$CI$74:$DS$97,MATCH(_xlfn.CONCAT(TEXT(DATE($A40,$B40,1),"mmm-yy"),$D40),'[1]Demanda requerida 2027'!$CI$70:$DS$70,0),FALSE)</f>
        <v>7251</v>
      </c>
      <c r="V40" s="9">
        <f>VLOOKUP(V$1,'[1]Demanda requerida 2027'!$CI$74:$DS$97,MATCH(_xlfn.CONCAT(TEXT(DATE($A40,$B40,1),"mmm-yy"),$D40),'[1]Demanda requerida 2027'!$CI$70:$DS$70,0),FALSE)</f>
        <v>8642</v>
      </c>
      <c r="W40" s="9">
        <f>VLOOKUP(W$1,'[1]Demanda requerida 2027'!$CI$74:$DS$97,MATCH(_xlfn.CONCAT(TEXT(DATE($A40,$B40,1),"mmm-yy"),$D40),'[1]Demanda requerida 2027'!$CI$70:$DS$70,0),FALSE)</f>
        <v>10449</v>
      </c>
      <c r="X40" s="9">
        <f>VLOOKUP(X$1,'[1]Demanda requerida 2027'!$CI$74:$DS$97,MATCH(_xlfn.CONCAT(TEXT(DATE($A40,$B40,1),"mmm-yy"),$D40),'[1]Demanda requerida 2027'!$CI$70:$DS$70,0),FALSE)</f>
        <v>11719</v>
      </c>
      <c r="Y40" s="9">
        <f>VLOOKUP(Y$1,'[1]Demanda requerida 2027'!$CI$74:$DS$97,MATCH(_xlfn.CONCAT(TEXT(DATE($A40,$B40,1),"mmm-yy"),$D40),'[1]Demanda requerida 2027'!$CI$70:$DS$70,0),FALSE)</f>
        <v>10921</v>
      </c>
      <c r="Z40" s="9">
        <f>VLOOKUP(Z$1,'[1]Demanda requerida 2027'!$CI$74:$DS$97,MATCH(_xlfn.CONCAT(TEXT(DATE($A40,$B40,1),"mmm-yy"),$D40),'[1]Demanda requerida 2027'!$CI$70:$DS$70,0),FALSE)</f>
        <v>9078</v>
      </c>
      <c r="AA40" s="9">
        <f>VLOOKUP(AA$1,'[1]Demanda requerida 2027'!$CI$74:$DS$97,MATCH(_xlfn.CONCAT(TEXT(DATE($A40,$B40,1),"mmm-yy"),$D40),'[1]Demanda requerida 2027'!$CI$70:$DS$70,0),FALSE)</f>
        <v>6530</v>
      </c>
      <c r="AB40" s="9">
        <f>VLOOKUP(AB$1,'[1]Demanda requerida 2027'!$CI$74:$DS$97,MATCH(_xlfn.CONCAT(TEXT(DATE($A40,$B40,1),"mmm-yy"),$D40),'[1]Demanda requerida 2027'!$CI$70:$DS$70,0),FALSE)</f>
        <v>4127</v>
      </c>
      <c r="AC40" s="86">
        <f t="shared" si="5"/>
        <v>126667</v>
      </c>
      <c r="AD40" s="78"/>
      <c r="AE40" s="85"/>
    </row>
    <row r="41" spans="1:31" x14ac:dyDescent="0.25">
      <c r="A41" s="11">
        <v>2027</v>
      </c>
      <c r="B41" s="12">
        <v>2</v>
      </c>
      <c r="C41" s="12">
        <v>4</v>
      </c>
      <c r="D41" s="12" t="s">
        <v>5</v>
      </c>
      <c r="E41" s="7">
        <f>VLOOKUP(E$1,'[1]Demanda requerida 2027'!$CI$74:$DS$97,MATCH(_xlfn.CONCAT(TEXT(DATE($A41,$B41,1),"mmm-yy"),$D41),'[1]Demanda requerida 2027'!$CI$70:$DS$70,0),FALSE)</f>
        <v>81</v>
      </c>
      <c r="F41" s="7">
        <f>VLOOKUP(F$1,'[1]Demanda requerida 2027'!$CI$74:$DS$97,MATCH(_xlfn.CONCAT(TEXT(DATE($A41,$B41,1),"mmm-yy"),$D41),'[1]Demanda requerida 2027'!$CI$70:$DS$70,0),FALSE)</f>
        <v>200</v>
      </c>
      <c r="G41" s="7">
        <f>VLOOKUP(G$1,'[1]Demanda requerida 2027'!$CI$74:$DS$97,MATCH(_xlfn.CONCAT(TEXT(DATE($A41,$B41,1),"mmm-yy"),$D41),'[1]Demanda requerida 2027'!$CI$70:$DS$70,0),FALSE)</f>
        <v>200</v>
      </c>
      <c r="H41" s="7">
        <f>VLOOKUP(H$1,'[1]Demanda requerida 2027'!$CI$74:$DS$97,MATCH(_xlfn.CONCAT(TEXT(DATE($A41,$B41,1),"mmm-yy"),$D41),'[1]Demanda requerida 2027'!$CI$70:$DS$70,0),FALSE)</f>
        <v>200</v>
      </c>
      <c r="I41" s="7">
        <f>VLOOKUP(I$1,'[1]Demanda requerida 2027'!$CI$74:$DS$97,MATCH(_xlfn.CONCAT(TEXT(DATE($A41,$B41,1),"mmm-yy"),$D41),'[1]Demanda requerida 2027'!$CI$70:$DS$70,0),FALSE)</f>
        <v>200</v>
      </c>
      <c r="J41" s="7">
        <f>VLOOKUP(J$1,'[1]Demanda requerida 2027'!$CI$74:$DS$97,MATCH(_xlfn.CONCAT(TEXT(DATE($A41,$B41,1),"mmm-yy"),$D41),'[1]Demanda requerida 2027'!$CI$70:$DS$70,0),FALSE)</f>
        <v>200</v>
      </c>
      <c r="K41" s="7">
        <f>VLOOKUP(K$1,'[1]Demanda requerida 2027'!$CI$74:$DS$97,MATCH(_xlfn.CONCAT(TEXT(DATE($A41,$B41,1),"mmm-yy"),$D41),'[1]Demanda requerida 2027'!$CI$70:$DS$70,0),FALSE)</f>
        <v>200</v>
      </c>
      <c r="L41" s="7">
        <f>VLOOKUP(L$1,'[1]Demanda requerida 2027'!$CI$74:$DS$97,MATCH(_xlfn.CONCAT(TEXT(DATE($A41,$B41,1),"mmm-yy"),$D41),'[1]Demanda requerida 2027'!$CI$70:$DS$70,0),FALSE)</f>
        <v>200</v>
      </c>
      <c r="M41" s="7">
        <f>VLOOKUP(M$1,'[1]Demanda requerida 2027'!$CI$74:$DS$97,MATCH(_xlfn.CONCAT(TEXT(DATE($A41,$B41,1),"mmm-yy"),$D41),'[1]Demanda requerida 2027'!$CI$70:$DS$70,0),FALSE)</f>
        <v>1726</v>
      </c>
      <c r="N41" s="7">
        <f>VLOOKUP(N$1,'[1]Demanda requerida 2027'!$CI$74:$DS$97,MATCH(_xlfn.CONCAT(TEXT(DATE($A41,$B41,1),"mmm-yy"),$D41),'[1]Demanda requerida 2027'!$CI$70:$DS$70,0),FALSE)</f>
        <v>3251</v>
      </c>
      <c r="O41" s="7">
        <f>VLOOKUP(O$1,'[1]Demanda requerida 2027'!$CI$74:$DS$97,MATCH(_xlfn.CONCAT(TEXT(DATE($A41,$B41,1),"mmm-yy"),$D41),'[1]Demanda requerida 2027'!$CI$70:$DS$70,0),FALSE)</f>
        <v>4199</v>
      </c>
      <c r="P41" s="7">
        <f>VLOOKUP(P$1,'[1]Demanda requerida 2027'!$CI$74:$DS$97,MATCH(_xlfn.CONCAT(TEXT(DATE($A41,$B41,1),"mmm-yy"),$D41),'[1]Demanda requerida 2027'!$CI$70:$DS$70,0),FALSE)</f>
        <v>5611</v>
      </c>
      <c r="Q41" s="7">
        <f>VLOOKUP(Q$1,'[1]Demanda requerida 2027'!$CI$74:$DS$97,MATCH(_xlfn.CONCAT(TEXT(DATE($A41,$B41,1),"mmm-yy"),$D41),'[1]Demanda requerida 2027'!$CI$70:$DS$70,0),FALSE)</f>
        <v>6882</v>
      </c>
      <c r="R41" s="7">
        <f>VLOOKUP(R$1,'[1]Demanda requerida 2027'!$CI$74:$DS$97,MATCH(_xlfn.CONCAT(TEXT(DATE($A41,$B41,1),"mmm-yy"),$D41),'[1]Demanda requerida 2027'!$CI$70:$DS$70,0),FALSE)</f>
        <v>6730</v>
      </c>
      <c r="S41" s="7">
        <f>VLOOKUP(S$1,'[1]Demanda requerida 2027'!$CI$74:$DS$97,MATCH(_xlfn.CONCAT(TEXT(DATE($A41,$B41,1),"mmm-yy"),$D41),'[1]Demanda requerida 2027'!$CI$70:$DS$70,0),FALSE)</f>
        <v>5516</v>
      </c>
      <c r="T41" s="7">
        <f>VLOOKUP(T$1,'[1]Demanda requerida 2027'!$CI$74:$DS$97,MATCH(_xlfn.CONCAT(TEXT(DATE($A41,$B41,1),"mmm-yy"),$D41),'[1]Demanda requerida 2027'!$CI$70:$DS$70,0),FALSE)</f>
        <v>4829</v>
      </c>
      <c r="U41" s="7">
        <f>VLOOKUP(U$1,'[1]Demanda requerida 2027'!$CI$74:$DS$97,MATCH(_xlfn.CONCAT(TEXT(DATE($A41,$B41,1),"mmm-yy"),$D41),'[1]Demanda requerida 2027'!$CI$70:$DS$70,0),FALSE)</f>
        <v>3998</v>
      </c>
      <c r="V41" s="7">
        <f>VLOOKUP(V$1,'[1]Demanda requerida 2027'!$CI$74:$DS$97,MATCH(_xlfn.CONCAT(TEXT(DATE($A41,$B41,1),"mmm-yy"),$D41),'[1]Demanda requerida 2027'!$CI$70:$DS$70,0),FALSE)</f>
        <v>5926</v>
      </c>
      <c r="W41" s="7">
        <f>VLOOKUP(W$1,'[1]Demanda requerida 2027'!$CI$74:$DS$97,MATCH(_xlfn.CONCAT(TEXT(DATE($A41,$B41,1),"mmm-yy"),$D41),'[1]Demanda requerida 2027'!$CI$70:$DS$70,0),FALSE)</f>
        <v>8316</v>
      </c>
      <c r="X41" s="7">
        <f>VLOOKUP(X$1,'[1]Demanda requerida 2027'!$CI$74:$DS$97,MATCH(_xlfn.CONCAT(TEXT(DATE($A41,$B41,1),"mmm-yy"),$D41),'[1]Demanda requerida 2027'!$CI$70:$DS$70,0),FALSE)</f>
        <v>8627</v>
      </c>
      <c r="Y41" s="7">
        <f>VLOOKUP(Y$1,'[1]Demanda requerida 2027'!$CI$74:$DS$97,MATCH(_xlfn.CONCAT(TEXT(DATE($A41,$B41,1),"mmm-yy"),$D41),'[1]Demanda requerida 2027'!$CI$70:$DS$70,0),FALSE)</f>
        <v>8628</v>
      </c>
      <c r="Z41" s="7">
        <f>VLOOKUP(Z$1,'[1]Demanda requerida 2027'!$CI$74:$DS$97,MATCH(_xlfn.CONCAT(TEXT(DATE($A41,$B41,1),"mmm-yy"),$D41),'[1]Demanda requerida 2027'!$CI$70:$DS$70,0),FALSE)</f>
        <v>6959</v>
      </c>
      <c r="AA41" s="7">
        <f>VLOOKUP(AA$1,'[1]Demanda requerida 2027'!$CI$74:$DS$97,MATCH(_xlfn.CONCAT(TEXT(DATE($A41,$B41,1),"mmm-yy"),$D41),'[1]Demanda requerida 2027'!$CI$70:$DS$70,0),FALSE)</f>
        <v>4649</v>
      </c>
      <c r="AB41" s="7">
        <f>VLOOKUP(AB$1,'[1]Demanda requerida 2027'!$CI$74:$DS$97,MATCH(_xlfn.CONCAT(TEXT(DATE($A41,$B41,1),"mmm-yy"),$D41),'[1]Demanda requerida 2027'!$CI$70:$DS$70,0),FALSE)</f>
        <v>2073</v>
      </c>
      <c r="AC41" s="82">
        <f t="shared" si="5"/>
        <v>89401</v>
      </c>
      <c r="AD41" s="76">
        <f t="shared" ref="AD41" si="14">+SUMPRODUCT(AC41:AC43,C41:C43)</f>
        <v>3319492</v>
      </c>
      <c r="AE41" s="85"/>
    </row>
    <row r="42" spans="1:31" x14ac:dyDescent="0.25">
      <c r="A42" s="13">
        <v>2027</v>
      </c>
      <c r="B42" s="1">
        <v>2</v>
      </c>
      <c r="C42" s="1">
        <v>20</v>
      </c>
      <c r="D42" s="1" t="s">
        <v>31</v>
      </c>
      <c r="E42" s="8">
        <f>VLOOKUP(E$1,'[1]Demanda requerida 2027'!$CI$74:$DS$97,MATCH(_xlfn.CONCAT(TEXT(DATE($A42,$B42,1),"mmm-yy"),$D42),'[1]Demanda requerida 2027'!$CI$70:$DS$70,0),FALSE)</f>
        <v>200</v>
      </c>
      <c r="F42" s="8">
        <f>VLOOKUP(F$1,'[1]Demanda requerida 2027'!$CI$74:$DS$97,MATCH(_xlfn.CONCAT(TEXT(DATE($A42,$B42,1),"mmm-yy"),$D42),'[1]Demanda requerida 2027'!$CI$70:$DS$70,0),FALSE)</f>
        <v>200</v>
      </c>
      <c r="G42" s="8">
        <f>VLOOKUP(G$1,'[1]Demanda requerida 2027'!$CI$74:$DS$97,MATCH(_xlfn.CONCAT(TEXT(DATE($A42,$B42,1),"mmm-yy"),$D42),'[1]Demanda requerida 2027'!$CI$70:$DS$70,0),FALSE)</f>
        <v>200</v>
      </c>
      <c r="H42" s="8">
        <f>VLOOKUP(H$1,'[1]Demanda requerida 2027'!$CI$74:$DS$97,MATCH(_xlfn.CONCAT(TEXT(DATE($A42,$B42,1),"mmm-yy"),$D42),'[1]Demanda requerida 2027'!$CI$70:$DS$70,0),FALSE)</f>
        <v>200</v>
      </c>
      <c r="I42" s="8">
        <f>VLOOKUP(I$1,'[1]Demanda requerida 2027'!$CI$74:$DS$97,MATCH(_xlfn.CONCAT(TEXT(DATE($A42,$B42,1),"mmm-yy"),$D42),'[1]Demanda requerida 2027'!$CI$70:$DS$70,0),FALSE)</f>
        <v>200</v>
      </c>
      <c r="J42" s="8">
        <f>VLOOKUP(J$1,'[1]Demanda requerida 2027'!$CI$74:$DS$97,MATCH(_xlfn.CONCAT(TEXT(DATE($A42,$B42,1),"mmm-yy"),$D42),'[1]Demanda requerida 2027'!$CI$70:$DS$70,0),FALSE)</f>
        <v>200</v>
      </c>
      <c r="K42" s="8">
        <f>VLOOKUP(K$1,'[1]Demanda requerida 2027'!$CI$74:$DS$97,MATCH(_xlfn.CONCAT(TEXT(DATE($A42,$B42,1),"mmm-yy"),$D42),'[1]Demanda requerida 2027'!$CI$70:$DS$70,0),FALSE)</f>
        <v>460</v>
      </c>
      <c r="L42" s="8">
        <f>VLOOKUP(L$1,'[1]Demanda requerida 2027'!$CI$74:$DS$97,MATCH(_xlfn.CONCAT(TEXT(DATE($A42,$B42,1),"mmm-yy"),$D42),'[1]Demanda requerida 2027'!$CI$70:$DS$70,0),FALSE)</f>
        <v>1471</v>
      </c>
      <c r="M42" s="8">
        <f>VLOOKUP(M$1,'[1]Demanda requerida 2027'!$CI$74:$DS$97,MATCH(_xlfn.CONCAT(TEXT(DATE($A42,$B42,1),"mmm-yy"),$D42),'[1]Demanda requerida 2027'!$CI$70:$DS$70,0),FALSE)</f>
        <v>3821</v>
      </c>
      <c r="N42" s="8">
        <f>VLOOKUP(N$1,'[1]Demanda requerida 2027'!$CI$74:$DS$97,MATCH(_xlfn.CONCAT(TEXT(DATE($A42,$B42,1),"mmm-yy"),$D42),'[1]Demanda requerida 2027'!$CI$70:$DS$70,0),FALSE)</f>
        <v>4825</v>
      </c>
      <c r="O42" s="8">
        <f>VLOOKUP(O$1,'[1]Demanda requerida 2027'!$CI$74:$DS$97,MATCH(_xlfn.CONCAT(TEXT(DATE($A42,$B42,1),"mmm-yy"),$D42),'[1]Demanda requerida 2027'!$CI$70:$DS$70,0),FALSE)</f>
        <v>6404</v>
      </c>
      <c r="P42" s="8">
        <f>VLOOKUP(P$1,'[1]Demanda requerida 2027'!$CI$74:$DS$97,MATCH(_xlfn.CONCAT(TEXT(DATE($A42,$B42,1),"mmm-yy"),$D42),'[1]Demanda requerida 2027'!$CI$70:$DS$70,0),FALSE)</f>
        <v>7964</v>
      </c>
      <c r="Q42" s="8">
        <f>VLOOKUP(Q$1,'[1]Demanda requerida 2027'!$CI$74:$DS$97,MATCH(_xlfn.CONCAT(TEXT(DATE($A42,$B42,1),"mmm-yy"),$D42),'[1]Demanda requerida 2027'!$CI$70:$DS$70,0),FALSE)</f>
        <v>8334</v>
      </c>
      <c r="R42" s="8">
        <f>VLOOKUP(R$1,'[1]Demanda requerida 2027'!$CI$74:$DS$97,MATCH(_xlfn.CONCAT(TEXT(DATE($A42,$B42,1),"mmm-yy"),$D42),'[1]Demanda requerida 2027'!$CI$70:$DS$70,0),FALSE)</f>
        <v>8110</v>
      </c>
      <c r="S42" s="8">
        <f>VLOOKUP(S$1,'[1]Demanda requerida 2027'!$CI$74:$DS$97,MATCH(_xlfn.CONCAT(TEXT(DATE($A42,$B42,1),"mmm-yy"),$D42),'[1]Demanda requerida 2027'!$CI$70:$DS$70,0),FALSE)</f>
        <v>8497</v>
      </c>
      <c r="T42" s="8">
        <f>VLOOKUP(T$1,'[1]Demanda requerida 2027'!$CI$74:$DS$97,MATCH(_xlfn.CONCAT(TEXT(DATE($A42,$B42,1),"mmm-yy"),$D42),'[1]Demanda requerida 2027'!$CI$70:$DS$70,0),FALSE)</f>
        <v>8527</v>
      </c>
      <c r="U42" s="8">
        <f>VLOOKUP(U$1,'[1]Demanda requerida 2027'!$CI$74:$DS$97,MATCH(_xlfn.CONCAT(TEXT(DATE($A42,$B42,1),"mmm-yy"),$D42),'[1]Demanda requerida 2027'!$CI$70:$DS$70,0),FALSE)</f>
        <v>8263</v>
      </c>
      <c r="V42" s="8">
        <f>VLOOKUP(V$1,'[1]Demanda requerida 2027'!$CI$74:$DS$97,MATCH(_xlfn.CONCAT(TEXT(DATE($A42,$B42,1),"mmm-yy"),$D42),'[1]Demanda requerida 2027'!$CI$70:$DS$70,0),FALSE)</f>
        <v>9200</v>
      </c>
      <c r="W42" s="8">
        <f>VLOOKUP(W$1,'[1]Demanda requerida 2027'!$CI$74:$DS$97,MATCH(_xlfn.CONCAT(TEXT(DATE($A42,$B42,1),"mmm-yy"),$D42),'[1]Demanda requerida 2027'!$CI$70:$DS$70,0),FALSE)</f>
        <v>10499</v>
      </c>
      <c r="X42" s="8">
        <f>VLOOKUP(X$1,'[1]Demanda requerida 2027'!$CI$74:$DS$97,MATCH(_xlfn.CONCAT(TEXT(DATE($A42,$B42,1),"mmm-yy"),$D42),'[1]Demanda requerida 2027'!$CI$70:$DS$70,0),FALSE)</f>
        <v>11688</v>
      </c>
      <c r="Y42" s="8">
        <f>VLOOKUP(Y$1,'[1]Demanda requerida 2027'!$CI$74:$DS$97,MATCH(_xlfn.CONCAT(TEXT(DATE($A42,$B42,1),"mmm-yy"),$D42),'[1]Demanda requerida 2027'!$CI$70:$DS$70,0),FALSE)</f>
        <v>10807</v>
      </c>
      <c r="Z42" s="8">
        <f>VLOOKUP(Z$1,'[1]Demanda requerida 2027'!$CI$74:$DS$97,MATCH(_xlfn.CONCAT(TEXT(DATE($A42,$B42,1),"mmm-yy"),$D42),'[1]Demanda requerida 2027'!$CI$70:$DS$70,0),FALSE)</f>
        <v>8475</v>
      </c>
      <c r="AA42" s="8">
        <f>VLOOKUP(AA$1,'[1]Demanda requerida 2027'!$CI$74:$DS$97,MATCH(_xlfn.CONCAT(TEXT(DATE($A42,$B42,1),"mmm-yy"),$D42),'[1]Demanda requerida 2027'!$CI$70:$DS$70,0),FALSE)</f>
        <v>5349</v>
      </c>
      <c r="AB42" s="8">
        <f>VLOOKUP(AB$1,'[1]Demanda requerida 2027'!$CI$74:$DS$97,MATCH(_xlfn.CONCAT(TEXT(DATE($A42,$B42,1),"mmm-yy"),$D42),'[1]Demanda requerida 2027'!$CI$70:$DS$70,0),FALSE)</f>
        <v>2232</v>
      </c>
      <c r="AC42" s="84">
        <f t="shared" si="5"/>
        <v>126126</v>
      </c>
      <c r="AD42" s="77"/>
      <c r="AE42" s="85"/>
    </row>
    <row r="43" spans="1:31" ht="15.75" thickBot="1" x14ac:dyDescent="0.3">
      <c r="A43" s="14">
        <v>2027</v>
      </c>
      <c r="B43" s="15">
        <v>2</v>
      </c>
      <c r="C43" s="15">
        <v>4</v>
      </c>
      <c r="D43" s="15" t="s">
        <v>6</v>
      </c>
      <c r="E43" s="9">
        <f>VLOOKUP(E$1,'[1]Demanda requerida 2027'!$CI$74:$DS$97,MATCH(_xlfn.CONCAT(TEXT(DATE($A43,$B43,1),"mmm-yy"),$D43),'[1]Demanda requerida 2027'!$CI$70:$DS$70,0),FALSE)</f>
        <v>200</v>
      </c>
      <c r="F43" s="9">
        <f>VLOOKUP(F$1,'[1]Demanda requerida 2027'!$CI$74:$DS$97,MATCH(_xlfn.CONCAT(TEXT(DATE($A43,$B43,1),"mmm-yy"),$D43),'[1]Demanda requerida 2027'!$CI$70:$DS$70,0),FALSE)</f>
        <v>200</v>
      </c>
      <c r="G43" s="9">
        <f>VLOOKUP(G$1,'[1]Demanda requerida 2027'!$CI$74:$DS$97,MATCH(_xlfn.CONCAT(TEXT(DATE($A43,$B43,1),"mmm-yy"),$D43),'[1]Demanda requerida 2027'!$CI$70:$DS$70,0),FALSE)</f>
        <v>200</v>
      </c>
      <c r="H43" s="9">
        <f>VLOOKUP(H$1,'[1]Demanda requerida 2027'!$CI$74:$DS$97,MATCH(_xlfn.CONCAT(TEXT(DATE($A43,$B43,1),"mmm-yy"),$D43),'[1]Demanda requerida 2027'!$CI$70:$DS$70,0),FALSE)</f>
        <v>200</v>
      </c>
      <c r="I43" s="9">
        <f>VLOOKUP(I$1,'[1]Demanda requerida 2027'!$CI$74:$DS$97,MATCH(_xlfn.CONCAT(TEXT(DATE($A43,$B43,1),"mmm-yy"),$D43),'[1]Demanda requerida 2027'!$CI$70:$DS$70,0),FALSE)</f>
        <v>200</v>
      </c>
      <c r="J43" s="9">
        <f>VLOOKUP(J$1,'[1]Demanda requerida 2027'!$CI$74:$DS$97,MATCH(_xlfn.CONCAT(TEXT(DATE($A43,$B43,1),"mmm-yy"),$D43),'[1]Demanda requerida 2027'!$CI$70:$DS$70,0),FALSE)</f>
        <v>200</v>
      </c>
      <c r="K43" s="9">
        <f>VLOOKUP(K$1,'[1]Demanda requerida 2027'!$CI$74:$DS$97,MATCH(_xlfn.CONCAT(TEXT(DATE($A43,$B43,1),"mmm-yy"),$D43),'[1]Demanda requerida 2027'!$CI$70:$DS$70,0),FALSE)</f>
        <v>200</v>
      </c>
      <c r="L43" s="9">
        <f>VLOOKUP(L$1,'[1]Demanda requerida 2027'!$CI$74:$DS$97,MATCH(_xlfn.CONCAT(TEXT(DATE($A43,$B43,1),"mmm-yy"),$D43),'[1]Demanda requerida 2027'!$CI$70:$DS$70,0),FALSE)</f>
        <v>200</v>
      </c>
      <c r="M43" s="9">
        <f>VLOOKUP(M$1,'[1]Demanda requerida 2027'!$CI$74:$DS$97,MATCH(_xlfn.CONCAT(TEXT(DATE($A43,$B43,1),"mmm-yy"),$D43),'[1]Demanda requerida 2027'!$CI$70:$DS$70,0),FALSE)</f>
        <v>3207</v>
      </c>
      <c r="N43" s="9">
        <f>VLOOKUP(N$1,'[1]Demanda requerida 2027'!$CI$74:$DS$97,MATCH(_xlfn.CONCAT(TEXT(DATE($A43,$B43,1),"mmm-yy"),$D43),'[1]Demanda requerida 2027'!$CI$70:$DS$70,0),FALSE)</f>
        <v>4651</v>
      </c>
      <c r="O43" s="9">
        <f>VLOOKUP(O$1,'[1]Demanda requerida 2027'!$CI$74:$DS$97,MATCH(_xlfn.CONCAT(TEXT(DATE($A43,$B43,1),"mmm-yy"),$D43),'[1]Demanda requerida 2027'!$CI$70:$DS$70,0),FALSE)</f>
        <v>5693</v>
      </c>
      <c r="P43" s="9">
        <f>VLOOKUP(P$1,'[1]Demanda requerida 2027'!$CI$74:$DS$97,MATCH(_xlfn.CONCAT(TEXT(DATE($A43,$B43,1),"mmm-yy"),$D43),'[1]Demanda requerida 2027'!$CI$70:$DS$70,0),FALSE)</f>
        <v>7086</v>
      </c>
      <c r="Q43" s="9">
        <f>VLOOKUP(Q$1,'[1]Demanda requerida 2027'!$CI$74:$DS$97,MATCH(_xlfn.CONCAT(TEXT(DATE($A43,$B43,1),"mmm-yy"),$D43),'[1]Demanda requerida 2027'!$CI$70:$DS$70,0),FALSE)</f>
        <v>7438</v>
      </c>
      <c r="R43" s="9">
        <f>VLOOKUP(R$1,'[1]Demanda requerida 2027'!$CI$74:$DS$97,MATCH(_xlfn.CONCAT(TEXT(DATE($A43,$B43,1),"mmm-yy"),$D43),'[1]Demanda requerida 2027'!$CI$70:$DS$70,0),FALSE)</f>
        <v>7735</v>
      </c>
      <c r="S43" s="9">
        <f>VLOOKUP(S$1,'[1]Demanda requerida 2027'!$CI$74:$DS$97,MATCH(_xlfn.CONCAT(TEXT(DATE($A43,$B43,1),"mmm-yy"),$D43),'[1]Demanda requerida 2027'!$CI$70:$DS$70,0),FALSE)</f>
        <v>7329</v>
      </c>
      <c r="T43" s="9">
        <f>VLOOKUP(T$1,'[1]Demanda requerida 2027'!$CI$74:$DS$97,MATCH(_xlfn.CONCAT(TEXT(DATE($A43,$B43,1),"mmm-yy"),$D43),'[1]Demanda requerida 2027'!$CI$70:$DS$70,0),FALSE)</f>
        <v>5581</v>
      </c>
      <c r="U43" s="9">
        <f>VLOOKUP(U$1,'[1]Demanda requerida 2027'!$CI$74:$DS$97,MATCH(_xlfn.CONCAT(TEXT(DATE($A43,$B43,1),"mmm-yy"),$D43),'[1]Demanda requerida 2027'!$CI$70:$DS$70,0),FALSE)</f>
        <v>5953</v>
      </c>
      <c r="V43" s="9">
        <f>VLOOKUP(V$1,'[1]Demanda requerida 2027'!$CI$74:$DS$97,MATCH(_xlfn.CONCAT(TEXT(DATE($A43,$B43,1),"mmm-yy"),$D43),'[1]Demanda requerida 2027'!$CI$70:$DS$70,0),FALSE)</f>
        <v>7610</v>
      </c>
      <c r="W43" s="9">
        <f>VLOOKUP(W$1,'[1]Demanda requerida 2027'!$CI$74:$DS$97,MATCH(_xlfn.CONCAT(TEXT(DATE($A43,$B43,1),"mmm-yy"),$D43),'[1]Demanda requerida 2027'!$CI$70:$DS$70,0),FALSE)</f>
        <v>9345</v>
      </c>
      <c r="X43" s="9">
        <f>VLOOKUP(X$1,'[1]Demanda requerida 2027'!$CI$74:$DS$97,MATCH(_xlfn.CONCAT(TEXT(DATE($A43,$B43,1),"mmm-yy"),$D43),'[1]Demanda requerida 2027'!$CI$70:$DS$70,0),FALSE)</f>
        <v>10514</v>
      </c>
      <c r="Y43" s="9">
        <f>VLOOKUP(Y$1,'[1]Demanda requerida 2027'!$CI$74:$DS$97,MATCH(_xlfn.CONCAT(TEXT(DATE($A43,$B43,1),"mmm-yy"),$D43),'[1]Demanda requerida 2027'!$CI$70:$DS$70,0),FALSE)</f>
        <v>9930</v>
      </c>
      <c r="Z43" s="9">
        <f>VLOOKUP(Z$1,'[1]Demanda requerida 2027'!$CI$74:$DS$97,MATCH(_xlfn.CONCAT(TEXT(DATE($A43,$B43,1),"mmm-yy"),$D43),'[1]Demanda requerida 2027'!$CI$70:$DS$70,0),FALSE)</f>
        <v>7932</v>
      </c>
      <c r="AA43" s="9">
        <f>VLOOKUP(AA$1,'[1]Demanda requerida 2027'!$CI$74:$DS$97,MATCH(_xlfn.CONCAT(TEXT(DATE($A43,$B43,1),"mmm-yy"),$D43),'[1]Demanda requerida 2027'!$CI$70:$DS$70,0),FALSE)</f>
        <v>5242</v>
      </c>
      <c r="AB43" s="9">
        <f>VLOOKUP(AB$1,'[1]Demanda requerida 2027'!$CI$74:$DS$97,MATCH(_xlfn.CONCAT(TEXT(DATE($A43,$B43,1),"mmm-yy"),$D43),'[1]Demanda requerida 2027'!$CI$70:$DS$70,0),FALSE)</f>
        <v>2996</v>
      </c>
      <c r="AC43" s="86">
        <f t="shared" si="5"/>
        <v>109842</v>
      </c>
      <c r="AD43" s="78"/>
      <c r="AE43" s="85"/>
    </row>
    <row r="44" spans="1:31" x14ac:dyDescent="0.25">
      <c r="A44" s="11">
        <v>2027</v>
      </c>
      <c r="B44" s="12">
        <v>3</v>
      </c>
      <c r="C44" s="12">
        <v>7</v>
      </c>
      <c r="D44" s="12" t="s">
        <v>5</v>
      </c>
      <c r="E44" s="7">
        <f>VLOOKUP(E$1,'[1]Demanda requerida 2027'!$CI$74:$DS$97,MATCH(_xlfn.CONCAT(TEXT(DATE($A44,$B44,1),"mmm-yy"),$D44),'[1]Demanda requerida 2027'!$CI$70:$DS$70,0),FALSE)</f>
        <v>200</v>
      </c>
      <c r="F44" s="7">
        <f>VLOOKUP(F$1,'[1]Demanda requerida 2027'!$CI$74:$DS$97,MATCH(_xlfn.CONCAT(TEXT(DATE($A44,$B44,1),"mmm-yy"),$D44),'[1]Demanda requerida 2027'!$CI$70:$DS$70,0),FALSE)</f>
        <v>200</v>
      </c>
      <c r="G44" s="7">
        <f>VLOOKUP(G$1,'[1]Demanda requerida 2027'!$CI$74:$DS$97,MATCH(_xlfn.CONCAT(TEXT(DATE($A44,$B44,1),"mmm-yy"),$D44),'[1]Demanda requerida 2027'!$CI$70:$DS$70,0),FALSE)</f>
        <v>200</v>
      </c>
      <c r="H44" s="7">
        <f>VLOOKUP(H$1,'[1]Demanda requerida 2027'!$CI$74:$DS$97,MATCH(_xlfn.CONCAT(TEXT(DATE($A44,$B44,1),"mmm-yy"),$D44),'[1]Demanda requerida 2027'!$CI$70:$DS$70,0),FALSE)</f>
        <v>200</v>
      </c>
      <c r="I44" s="7">
        <f>VLOOKUP(I$1,'[1]Demanda requerida 2027'!$CI$74:$DS$97,MATCH(_xlfn.CONCAT(TEXT(DATE($A44,$B44,1),"mmm-yy"),$D44),'[1]Demanda requerida 2027'!$CI$70:$DS$70,0),FALSE)</f>
        <v>200</v>
      </c>
      <c r="J44" s="7">
        <f>VLOOKUP(J$1,'[1]Demanda requerida 2027'!$CI$74:$DS$97,MATCH(_xlfn.CONCAT(TEXT(DATE($A44,$B44,1),"mmm-yy"),$D44),'[1]Demanda requerida 2027'!$CI$70:$DS$70,0),FALSE)</f>
        <v>200</v>
      </c>
      <c r="K44" s="7">
        <f>VLOOKUP(K$1,'[1]Demanda requerida 2027'!$CI$74:$DS$97,MATCH(_xlfn.CONCAT(TEXT(DATE($A44,$B44,1),"mmm-yy"),$D44),'[1]Demanda requerida 2027'!$CI$70:$DS$70,0),FALSE)</f>
        <v>200</v>
      </c>
      <c r="L44" s="7">
        <f>VLOOKUP(L$1,'[1]Demanda requerida 2027'!$CI$74:$DS$97,MATCH(_xlfn.CONCAT(TEXT(DATE($A44,$B44,1),"mmm-yy"),$D44),'[1]Demanda requerida 2027'!$CI$70:$DS$70,0),FALSE)</f>
        <v>200</v>
      </c>
      <c r="M44" s="7">
        <f>VLOOKUP(M$1,'[1]Demanda requerida 2027'!$CI$74:$DS$97,MATCH(_xlfn.CONCAT(TEXT(DATE($A44,$B44,1),"mmm-yy"),$D44),'[1]Demanda requerida 2027'!$CI$70:$DS$70,0),FALSE)</f>
        <v>200</v>
      </c>
      <c r="N44" s="7">
        <f>VLOOKUP(N$1,'[1]Demanda requerida 2027'!$CI$74:$DS$97,MATCH(_xlfn.CONCAT(TEXT(DATE($A44,$B44,1),"mmm-yy"),$D44),'[1]Demanda requerida 2027'!$CI$70:$DS$70,0),FALSE)</f>
        <v>200</v>
      </c>
      <c r="O44" s="7">
        <f>VLOOKUP(O$1,'[1]Demanda requerida 2027'!$CI$74:$DS$97,MATCH(_xlfn.CONCAT(TEXT(DATE($A44,$B44,1),"mmm-yy"),$D44),'[1]Demanda requerida 2027'!$CI$70:$DS$70,0),FALSE)</f>
        <v>200</v>
      </c>
      <c r="P44" s="7">
        <f>VLOOKUP(P$1,'[1]Demanda requerida 2027'!$CI$74:$DS$97,MATCH(_xlfn.CONCAT(TEXT(DATE($A44,$B44,1),"mmm-yy"),$D44),'[1]Demanda requerida 2027'!$CI$70:$DS$70,0),FALSE)</f>
        <v>200</v>
      </c>
      <c r="Q44" s="7">
        <f>VLOOKUP(Q$1,'[1]Demanda requerida 2027'!$CI$74:$DS$97,MATCH(_xlfn.CONCAT(TEXT(DATE($A44,$B44,1),"mmm-yy"),$D44),'[1]Demanda requerida 2027'!$CI$70:$DS$70,0),FALSE)</f>
        <v>66</v>
      </c>
      <c r="R44" s="7">
        <f>VLOOKUP(R$1,'[1]Demanda requerida 2027'!$CI$74:$DS$97,MATCH(_xlfn.CONCAT(TEXT(DATE($A44,$B44,1),"mmm-yy"),$D44),'[1]Demanda requerida 2027'!$CI$70:$DS$70,0),FALSE)</f>
        <v>200</v>
      </c>
      <c r="S44" s="7">
        <f>VLOOKUP(S$1,'[1]Demanda requerida 2027'!$CI$74:$DS$97,MATCH(_xlfn.CONCAT(TEXT(DATE($A44,$B44,1),"mmm-yy"),$D44),'[1]Demanda requerida 2027'!$CI$70:$DS$70,0),FALSE)</f>
        <v>200</v>
      </c>
      <c r="T44" s="7">
        <f>VLOOKUP(T$1,'[1]Demanda requerida 2027'!$CI$74:$DS$97,MATCH(_xlfn.CONCAT(TEXT(DATE($A44,$B44,1),"mmm-yy"),$D44),'[1]Demanda requerida 2027'!$CI$70:$DS$70,0),FALSE)</f>
        <v>200</v>
      </c>
      <c r="U44" s="7">
        <f>VLOOKUP(U$1,'[1]Demanda requerida 2027'!$CI$74:$DS$97,MATCH(_xlfn.CONCAT(TEXT(DATE($A44,$B44,1),"mmm-yy"),$D44),'[1]Demanda requerida 2027'!$CI$70:$DS$70,0),FALSE)</f>
        <v>200</v>
      </c>
      <c r="V44" s="7">
        <f>VLOOKUP(V$1,'[1]Demanda requerida 2027'!$CI$74:$DS$97,MATCH(_xlfn.CONCAT(TEXT(DATE($A44,$B44,1),"mmm-yy"),$D44),'[1]Demanda requerida 2027'!$CI$70:$DS$70,0),FALSE)</f>
        <v>128</v>
      </c>
      <c r="W44" s="7">
        <f>VLOOKUP(W$1,'[1]Demanda requerida 2027'!$CI$74:$DS$97,MATCH(_xlfn.CONCAT(TEXT(DATE($A44,$B44,1),"mmm-yy"),$D44),'[1]Demanda requerida 2027'!$CI$70:$DS$70,0),FALSE)</f>
        <v>1397</v>
      </c>
      <c r="X44" s="7">
        <f>VLOOKUP(X$1,'[1]Demanda requerida 2027'!$CI$74:$DS$97,MATCH(_xlfn.CONCAT(TEXT(DATE($A44,$B44,1),"mmm-yy"),$D44),'[1]Demanda requerida 2027'!$CI$70:$DS$70,0),FALSE)</f>
        <v>2666</v>
      </c>
      <c r="Y44" s="7">
        <f>VLOOKUP(Y$1,'[1]Demanda requerida 2027'!$CI$74:$DS$97,MATCH(_xlfn.CONCAT(TEXT(DATE($A44,$B44,1),"mmm-yy"),$D44),'[1]Demanda requerida 2027'!$CI$70:$DS$70,0),FALSE)</f>
        <v>2352</v>
      </c>
      <c r="Z44" s="7">
        <f>VLOOKUP(Z$1,'[1]Demanda requerida 2027'!$CI$74:$DS$97,MATCH(_xlfn.CONCAT(TEXT(DATE($A44,$B44,1),"mmm-yy"),$D44),'[1]Demanda requerida 2027'!$CI$70:$DS$70,0),FALSE)</f>
        <v>1265</v>
      </c>
      <c r="AA44" s="7">
        <f>VLOOKUP(AA$1,'[1]Demanda requerida 2027'!$CI$74:$DS$97,MATCH(_xlfn.CONCAT(TEXT(DATE($A44,$B44,1),"mmm-yy"),$D44),'[1]Demanda requerida 2027'!$CI$70:$DS$70,0),FALSE)</f>
        <v>200</v>
      </c>
      <c r="AB44" s="7">
        <f>VLOOKUP(AB$1,'[1]Demanda requerida 2027'!$CI$74:$DS$97,MATCH(_xlfn.CONCAT(TEXT(DATE($A44,$B44,1),"mmm-yy"),$D44),'[1]Demanda requerida 2027'!$CI$70:$DS$70,0),FALSE)</f>
        <v>200</v>
      </c>
      <c r="AC44" s="82">
        <f t="shared" si="5"/>
        <v>11474</v>
      </c>
      <c r="AD44" s="76">
        <f t="shared" ref="AD44" si="15">+SUMPRODUCT(AC44:AC46,C44:C46)</f>
        <v>10019614</v>
      </c>
      <c r="AE44" s="85"/>
    </row>
    <row r="45" spans="1:31" x14ac:dyDescent="0.25">
      <c r="A45" s="13">
        <v>2027</v>
      </c>
      <c r="B45" s="1">
        <v>3</v>
      </c>
      <c r="C45" s="1">
        <v>20</v>
      </c>
      <c r="D45" s="1" t="s">
        <v>31</v>
      </c>
      <c r="E45" s="8">
        <f>VLOOKUP(E$1,'[1]Demanda requerida 2027'!$CI$74:$DS$97,MATCH(_xlfn.CONCAT(TEXT(DATE($A45,$B45,1),"mmm-yy"),$D45),'[1]Demanda requerida 2027'!$CI$70:$DS$70,0),FALSE)</f>
        <v>11729</v>
      </c>
      <c r="F45" s="8">
        <f>VLOOKUP(F$1,'[1]Demanda requerida 2027'!$CI$74:$DS$97,MATCH(_xlfn.CONCAT(TEXT(DATE($A45,$B45,1),"mmm-yy"),$D45),'[1]Demanda requerida 2027'!$CI$70:$DS$70,0),FALSE)</f>
        <v>10525</v>
      </c>
      <c r="G45" s="8">
        <f>VLOOKUP(G$1,'[1]Demanda requerida 2027'!$CI$74:$DS$97,MATCH(_xlfn.CONCAT(TEXT(DATE($A45,$B45,1),"mmm-yy"),$D45),'[1]Demanda requerida 2027'!$CI$70:$DS$70,0),FALSE)</f>
        <v>9717</v>
      </c>
      <c r="H45" s="8">
        <f>VLOOKUP(H$1,'[1]Demanda requerida 2027'!$CI$74:$DS$97,MATCH(_xlfn.CONCAT(TEXT(DATE($A45,$B45,1),"mmm-yy"),$D45),'[1]Demanda requerida 2027'!$CI$70:$DS$70,0),FALSE)</f>
        <v>9199</v>
      </c>
      <c r="I45" s="8">
        <f>VLOOKUP(I$1,'[1]Demanda requerida 2027'!$CI$74:$DS$97,MATCH(_xlfn.CONCAT(TEXT(DATE($A45,$B45,1),"mmm-yy"),$D45),'[1]Demanda requerida 2027'!$CI$70:$DS$70,0),FALSE)</f>
        <v>9182</v>
      </c>
      <c r="J45" s="8">
        <f>VLOOKUP(J$1,'[1]Demanda requerida 2027'!$CI$74:$DS$97,MATCH(_xlfn.CONCAT(TEXT(DATE($A45,$B45,1),"mmm-yy"),$D45),'[1]Demanda requerida 2027'!$CI$70:$DS$70,0),FALSE)</f>
        <v>10783</v>
      </c>
      <c r="K45" s="8">
        <f>VLOOKUP(K$1,'[1]Demanda requerida 2027'!$CI$74:$DS$97,MATCH(_xlfn.CONCAT(TEXT(DATE($A45,$B45,1),"mmm-yy"),$D45),'[1]Demanda requerida 2027'!$CI$70:$DS$70,0),FALSE)</f>
        <v>12527</v>
      </c>
      <c r="L45" s="8">
        <f>VLOOKUP(L$1,'[1]Demanda requerida 2027'!$CI$74:$DS$97,MATCH(_xlfn.CONCAT(TEXT(DATE($A45,$B45,1),"mmm-yy"),$D45),'[1]Demanda requerida 2027'!$CI$70:$DS$70,0),FALSE)</f>
        <v>14125</v>
      </c>
      <c r="M45" s="8">
        <f>VLOOKUP(M$1,'[1]Demanda requerida 2027'!$CI$74:$DS$97,MATCH(_xlfn.CONCAT(TEXT(DATE($A45,$B45,1),"mmm-yy"),$D45),'[1]Demanda requerida 2027'!$CI$70:$DS$70,0),FALSE)</f>
        <v>16936</v>
      </c>
      <c r="N45" s="8">
        <f>VLOOKUP(N$1,'[1]Demanda requerida 2027'!$CI$74:$DS$97,MATCH(_xlfn.CONCAT(TEXT(DATE($A45,$B45,1),"mmm-yy"),$D45),'[1]Demanda requerida 2027'!$CI$70:$DS$70,0),FALSE)</f>
        <v>18486</v>
      </c>
      <c r="O45" s="8">
        <f>VLOOKUP(O$1,'[1]Demanda requerida 2027'!$CI$74:$DS$97,MATCH(_xlfn.CONCAT(TEXT(DATE($A45,$B45,1),"mmm-yy"),$D45),'[1]Demanda requerida 2027'!$CI$70:$DS$70,0),FALSE)</f>
        <v>20053</v>
      </c>
      <c r="P45" s="8">
        <f>VLOOKUP(P$1,'[1]Demanda requerida 2027'!$CI$74:$DS$97,MATCH(_xlfn.CONCAT(TEXT(DATE($A45,$B45,1),"mmm-yy"),$D45),'[1]Demanda requerida 2027'!$CI$70:$DS$70,0),FALSE)</f>
        <v>21740</v>
      </c>
      <c r="Q45" s="8">
        <f>VLOOKUP(Q$1,'[1]Demanda requerida 2027'!$CI$74:$DS$97,MATCH(_xlfn.CONCAT(TEXT(DATE($A45,$B45,1),"mmm-yy"),$D45),'[1]Demanda requerida 2027'!$CI$70:$DS$70,0),FALSE)</f>
        <v>21903</v>
      </c>
      <c r="R45" s="8">
        <f>VLOOKUP(R$1,'[1]Demanda requerida 2027'!$CI$74:$DS$97,MATCH(_xlfn.CONCAT(TEXT(DATE($A45,$B45,1),"mmm-yy"),$D45),'[1]Demanda requerida 2027'!$CI$70:$DS$70,0),FALSE)</f>
        <v>21933</v>
      </c>
      <c r="S45" s="8">
        <f>VLOOKUP(S$1,'[1]Demanda requerida 2027'!$CI$74:$DS$97,MATCH(_xlfn.CONCAT(TEXT(DATE($A45,$B45,1),"mmm-yy"),$D45),'[1]Demanda requerida 2027'!$CI$70:$DS$70,0),FALSE)</f>
        <v>22975</v>
      </c>
      <c r="T45" s="8">
        <f>VLOOKUP(T$1,'[1]Demanda requerida 2027'!$CI$74:$DS$97,MATCH(_xlfn.CONCAT(TEXT(DATE($A45,$B45,1),"mmm-yy"),$D45),'[1]Demanda requerida 2027'!$CI$70:$DS$70,0),FALSE)</f>
        <v>23010</v>
      </c>
      <c r="U45" s="8">
        <f>VLOOKUP(U$1,'[1]Demanda requerida 2027'!$CI$74:$DS$97,MATCH(_xlfn.CONCAT(TEXT(DATE($A45,$B45,1),"mmm-yy"),$D45),'[1]Demanda requerida 2027'!$CI$70:$DS$70,0),FALSE)</f>
        <v>22762</v>
      </c>
      <c r="V45" s="8">
        <f>VLOOKUP(V$1,'[1]Demanda requerida 2027'!$CI$74:$DS$97,MATCH(_xlfn.CONCAT(TEXT(DATE($A45,$B45,1),"mmm-yy"),$D45),'[1]Demanda requerida 2027'!$CI$70:$DS$70,0),FALSE)</f>
        <v>23559</v>
      </c>
      <c r="W45" s="8">
        <f>VLOOKUP(W$1,'[1]Demanda requerida 2027'!$CI$74:$DS$97,MATCH(_xlfn.CONCAT(TEXT(DATE($A45,$B45,1),"mmm-yy"),$D45),'[1]Demanda requerida 2027'!$CI$70:$DS$70,0),FALSE)</f>
        <v>24885</v>
      </c>
      <c r="X45" s="8">
        <f>VLOOKUP(X$1,'[1]Demanda requerida 2027'!$CI$74:$DS$97,MATCH(_xlfn.CONCAT(TEXT(DATE($A45,$B45,1),"mmm-yy"),$D45),'[1]Demanda requerida 2027'!$CI$70:$DS$70,0),FALSE)</f>
        <v>26238</v>
      </c>
      <c r="Y45" s="8">
        <f>VLOOKUP(Y$1,'[1]Demanda requerida 2027'!$CI$74:$DS$97,MATCH(_xlfn.CONCAT(TEXT(DATE($A45,$B45,1),"mmm-yy"),$D45),'[1]Demanda requerida 2027'!$CI$70:$DS$70,0),FALSE)</f>
        <v>24821</v>
      </c>
      <c r="Z45" s="8">
        <f>VLOOKUP(Z$1,'[1]Demanda requerida 2027'!$CI$74:$DS$97,MATCH(_xlfn.CONCAT(TEXT(DATE($A45,$B45,1),"mmm-yy"),$D45),'[1]Demanda requerida 2027'!$CI$70:$DS$70,0),FALSE)</f>
        <v>22184</v>
      </c>
      <c r="AA45" s="8">
        <f>VLOOKUP(AA$1,'[1]Demanda requerida 2027'!$CI$74:$DS$97,MATCH(_xlfn.CONCAT(TEXT(DATE($A45,$B45,1),"mmm-yy"),$D45),'[1]Demanda requerida 2027'!$CI$70:$DS$70,0),FALSE)</f>
        <v>18651</v>
      </c>
      <c r="AB45" s="8">
        <f>VLOOKUP(AB$1,'[1]Demanda requerida 2027'!$CI$74:$DS$97,MATCH(_xlfn.CONCAT(TEXT(DATE($A45,$B45,1),"mmm-yy"),$D45),'[1]Demanda requerida 2027'!$CI$70:$DS$70,0),FALSE)</f>
        <v>15365</v>
      </c>
      <c r="AC45" s="84">
        <f t="shared" si="5"/>
        <v>433288</v>
      </c>
      <c r="AD45" s="77"/>
      <c r="AE45" s="85"/>
    </row>
    <row r="46" spans="1:31" ht="15.75" thickBot="1" x14ac:dyDescent="0.3">
      <c r="A46" s="14">
        <v>2027</v>
      </c>
      <c r="B46" s="15">
        <v>3</v>
      </c>
      <c r="C46" s="15">
        <v>4</v>
      </c>
      <c r="D46" s="15" t="s">
        <v>6</v>
      </c>
      <c r="E46" s="9">
        <f>VLOOKUP(E$1,'[1]Demanda requerida 2027'!$CI$74:$DS$97,MATCH(_xlfn.CONCAT(TEXT(DATE($A46,$B46,1),"mmm-yy"),$D46),'[1]Demanda requerida 2027'!$CI$70:$DS$70,0),FALSE)</f>
        <v>8173</v>
      </c>
      <c r="F46" s="9">
        <f>VLOOKUP(F$1,'[1]Demanda requerida 2027'!$CI$74:$DS$97,MATCH(_xlfn.CONCAT(TEXT(DATE($A46,$B46,1),"mmm-yy"),$D46),'[1]Demanda requerida 2027'!$CI$70:$DS$70,0),FALSE)</f>
        <v>6900</v>
      </c>
      <c r="G46" s="9">
        <f>VLOOKUP(G$1,'[1]Demanda requerida 2027'!$CI$74:$DS$97,MATCH(_xlfn.CONCAT(TEXT(DATE($A46,$B46,1),"mmm-yy"),$D46),'[1]Demanda requerida 2027'!$CI$70:$DS$70,0),FALSE)</f>
        <v>6126</v>
      </c>
      <c r="H46" s="9">
        <f>VLOOKUP(H$1,'[1]Demanda requerida 2027'!$CI$74:$DS$97,MATCH(_xlfn.CONCAT(TEXT(DATE($A46,$B46,1),"mmm-yy"),$D46),'[1]Demanda requerida 2027'!$CI$70:$DS$70,0),FALSE)</f>
        <v>5532</v>
      </c>
      <c r="I46" s="9">
        <f>VLOOKUP(I$1,'[1]Demanda requerida 2027'!$CI$74:$DS$97,MATCH(_xlfn.CONCAT(TEXT(DATE($A46,$B46,1),"mmm-yy"),$D46),'[1]Demanda requerida 2027'!$CI$70:$DS$70,0),FALSE)</f>
        <v>5450</v>
      </c>
      <c r="J46" s="9">
        <f>VLOOKUP(J$1,'[1]Demanda requerida 2027'!$CI$74:$DS$97,MATCH(_xlfn.CONCAT(TEXT(DATE($A46,$B46,1),"mmm-yy"),$D46),'[1]Demanda requerida 2027'!$CI$70:$DS$70,0),FALSE)</f>
        <v>5821</v>
      </c>
      <c r="K46" s="9">
        <f>VLOOKUP(K$1,'[1]Demanda requerida 2027'!$CI$74:$DS$97,MATCH(_xlfn.CONCAT(TEXT(DATE($A46,$B46,1),"mmm-yy"),$D46),'[1]Demanda requerida 2027'!$CI$70:$DS$70,0),FALSE)</f>
        <v>6669</v>
      </c>
      <c r="L46" s="9">
        <f>VLOOKUP(L$1,'[1]Demanda requerida 2027'!$CI$74:$DS$97,MATCH(_xlfn.CONCAT(TEXT(DATE($A46,$B46,1),"mmm-yy"),$D46),'[1]Demanda requerida 2027'!$CI$70:$DS$70,0),FALSE)</f>
        <v>8495</v>
      </c>
      <c r="M46" s="9">
        <f>VLOOKUP(M$1,'[1]Demanda requerida 2027'!$CI$74:$DS$97,MATCH(_xlfn.CONCAT(TEXT(DATE($A46,$B46,1),"mmm-yy"),$D46),'[1]Demanda requerida 2027'!$CI$70:$DS$70,0),FALSE)</f>
        <v>11910</v>
      </c>
      <c r="N46" s="9">
        <f>VLOOKUP(N$1,'[1]Demanda requerida 2027'!$CI$74:$DS$97,MATCH(_xlfn.CONCAT(TEXT(DATE($A46,$B46,1),"mmm-yy"),$D46),'[1]Demanda requerida 2027'!$CI$70:$DS$70,0),FALSE)</f>
        <v>13738</v>
      </c>
      <c r="O46" s="9">
        <f>VLOOKUP(O$1,'[1]Demanda requerida 2027'!$CI$74:$DS$97,MATCH(_xlfn.CONCAT(TEXT(DATE($A46,$B46,1),"mmm-yy"),$D46),'[1]Demanda requerida 2027'!$CI$70:$DS$70,0),FALSE)</f>
        <v>15150</v>
      </c>
      <c r="P46" s="9">
        <f>VLOOKUP(P$1,'[1]Demanda requerida 2027'!$CI$74:$DS$97,MATCH(_xlfn.CONCAT(TEXT(DATE($A46,$B46,1),"mmm-yy"),$D46),'[1]Demanda requerida 2027'!$CI$70:$DS$70,0),FALSE)</f>
        <v>17022</v>
      </c>
      <c r="Q46" s="9">
        <f>VLOOKUP(Q$1,'[1]Demanda requerida 2027'!$CI$74:$DS$97,MATCH(_xlfn.CONCAT(TEXT(DATE($A46,$B46,1),"mmm-yy"),$D46),'[1]Demanda requerida 2027'!$CI$70:$DS$70,0),FALSE)</f>
        <v>17627</v>
      </c>
      <c r="R46" s="9">
        <f>VLOOKUP(R$1,'[1]Demanda requerida 2027'!$CI$74:$DS$97,MATCH(_xlfn.CONCAT(TEXT(DATE($A46,$B46,1),"mmm-yy"),$D46),'[1]Demanda requerida 2027'!$CI$70:$DS$70,0),FALSE)</f>
        <v>17583</v>
      </c>
      <c r="S46" s="9">
        <f>VLOOKUP(S$1,'[1]Demanda requerida 2027'!$CI$74:$DS$97,MATCH(_xlfn.CONCAT(TEXT(DATE($A46,$B46,1),"mmm-yy"),$D46),'[1]Demanda requerida 2027'!$CI$70:$DS$70,0),FALSE)</f>
        <v>17464</v>
      </c>
      <c r="T46" s="9">
        <f>VLOOKUP(T$1,'[1]Demanda requerida 2027'!$CI$74:$DS$97,MATCH(_xlfn.CONCAT(TEXT(DATE($A46,$B46,1),"mmm-yy"),$D46),'[1]Demanda requerida 2027'!$CI$70:$DS$70,0),FALSE)</f>
        <v>17084</v>
      </c>
      <c r="U46" s="9">
        <f>VLOOKUP(U$1,'[1]Demanda requerida 2027'!$CI$74:$DS$97,MATCH(_xlfn.CONCAT(TEXT(DATE($A46,$B46,1),"mmm-yy"),$D46),'[1]Demanda requerida 2027'!$CI$70:$DS$70,0),FALSE)</f>
        <v>15974</v>
      </c>
      <c r="V46" s="9">
        <f>VLOOKUP(V$1,'[1]Demanda requerida 2027'!$CI$74:$DS$97,MATCH(_xlfn.CONCAT(TEXT(DATE($A46,$B46,1),"mmm-yy"),$D46),'[1]Demanda requerida 2027'!$CI$70:$DS$70,0),FALSE)</f>
        <v>17217</v>
      </c>
      <c r="W46" s="9">
        <f>VLOOKUP(W$1,'[1]Demanda requerida 2027'!$CI$74:$DS$97,MATCH(_xlfn.CONCAT(TEXT(DATE($A46,$B46,1),"mmm-yy"),$D46),'[1]Demanda requerida 2027'!$CI$70:$DS$70,0),FALSE)</f>
        <v>18852</v>
      </c>
      <c r="X46" s="9">
        <f>VLOOKUP(X$1,'[1]Demanda requerida 2027'!$CI$74:$DS$97,MATCH(_xlfn.CONCAT(TEXT(DATE($A46,$B46,1),"mmm-yy"),$D46),'[1]Demanda requerida 2027'!$CI$70:$DS$70,0),FALSE)</f>
        <v>20296</v>
      </c>
      <c r="Y46" s="9">
        <f>VLOOKUP(Y$1,'[1]Demanda requerida 2027'!$CI$74:$DS$97,MATCH(_xlfn.CONCAT(TEXT(DATE($A46,$B46,1),"mmm-yy"),$D46),'[1]Demanda requerida 2027'!$CI$70:$DS$70,0),FALSE)</f>
        <v>19446</v>
      </c>
      <c r="Z46" s="9">
        <f>VLOOKUP(Z$1,'[1]Demanda requerida 2027'!$CI$74:$DS$97,MATCH(_xlfn.CONCAT(TEXT(DATE($A46,$B46,1),"mmm-yy"),$D46),'[1]Demanda requerida 2027'!$CI$70:$DS$70,0),FALSE)</f>
        <v>17766</v>
      </c>
      <c r="AA46" s="9">
        <f>VLOOKUP(AA$1,'[1]Demanda requerida 2027'!$CI$74:$DS$97,MATCH(_xlfn.CONCAT(TEXT(DATE($A46,$B46,1),"mmm-yy"),$D46),'[1]Demanda requerida 2027'!$CI$70:$DS$70,0),FALSE)</f>
        <v>15208</v>
      </c>
      <c r="AB46" s="9">
        <f>VLOOKUP(AB$1,'[1]Demanda requerida 2027'!$CI$74:$DS$97,MATCH(_xlfn.CONCAT(TEXT(DATE($A46,$B46,1),"mmm-yy"),$D46),'[1]Demanda requerida 2027'!$CI$70:$DS$70,0),FALSE)</f>
        <v>12881</v>
      </c>
      <c r="AC46" s="86">
        <f t="shared" si="5"/>
        <v>318384</v>
      </c>
      <c r="AD46" s="78"/>
      <c r="AE46" s="85"/>
    </row>
    <row r="47" spans="1:31" x14ac:dyDescent="0.25">
      <c r="A47" s="11">
        <v>2027</v>
      </c>
      <c r="B47" s="12">
        <v>4</v>
      </c>
      <c r="C47" s="12">
        <v>4</v>
      </c>
      <c r="D47" s="12" t="s">
        <v>5</v>
      </c>
      <c r="E47" s="7">
        <f>VLOOKUP(E$1,'[1]Demanda requerida 2027'!$CI$74:$DS$97,MATCH(_xlfn.CONCAT(TEXT(DATE($A47,$B47,1),"mmm-yy"),$D47),'[1]Demanda requerida 2027'!$CI$70:$DS$70,0),FALSE)</f>
        <v>200</v>
      </c>
      <c r="F47" s="7">
        <f>VLOOKUP(F$1,'[1]Demanda requerida 2027'!$CI$74:$DS$97,MATCH(_xlfn.CONCAT(TEXT(DATE($A47,$B47,1),"mmm-yy"),$D47),'[1]Demanda requerida 2027'!$CI$70:$DS$70,0),FALSE)</f>
        <v>200</v>
      </c>
      <c r="G47" s="7">
        <f>VLOOKUP(G$1,'[1]Demanda requerida 2027'!$CI$74:$DS$97,MATCH(_xlfn.CONCAT(TEXT(DATE($A47,$B47,1),"mmm-yy"),$D47),'[1]Demanda requerida 2027'!$CI$70:$DS$70,0),FALSE)</f>
        <v>200</v>
      </c>
      <c r="H47" s="7">
        <f>VLOOKUP(H$1,'[1]Demanda requerida 2027'!$CI$74:$DS$97,MATCH(_xlfn.CONCAT(TEXT(DATE($A47,$B47,1),"mmm-yy"),$D47),'[1]Demanda requerida 2027'!$CI$70:$DS$70,0),FALSE)</f>
        <v>200</v>
      </c>
      <c r="I47" s="7">
        <f>VLOOKUP(I$1,'[1]Demanda requerida 2027'!$CI$74:$DS$97,MATCH(_xlfn.CONCAT(TEXT(DATE($A47,$B47,1),"mmm-yy"),$D47),'[1]Demanda requerida 2027'!$CI$70:$DS$70,0),FALSE)</f>
        <v>200</v>
      </c>
      <c r="J47" s="7">
        <f>VLOOKUP(J$1,'[1]Demanda requerida 2027'!$CI$74:$DS$97,MATCH(_xlfn.CONCAT(TEXT(DATE($A47,$B47,1),"mmm-yy"),$D47),'[1]Demanda requerida 2027'!$CI$70:$DS$70,0),FALSE)</f>
        <v>200</v>
      </c>
      <c r="K47" s="7">
        <f>VLOOKUP(K$1,'[1]Demanda requerida 2027'!$CI$74:$DS$97,MATCH(_xlfn.CONCAT(TEXT(DATE($A47,$B47,1),"mmm-yy"),$D47),'[1]Demanda requerida 2027'!$CI$70:$DS$70,0),FALSE)</f>
        <v>200</v>
      </c>
      <c r="L47" s="7">
        <f>VLOOKUP(L$1,'[1]Demanda requerida 2027'!$CI$74:$DS$97,MATCH(_xlfn.CONCAT(TEXT(DATE($A47,$B47,1),"mmm-yy"),$D47),'[1]Demanda requerida 2027'!$CI$70:$DS$70,0),FALSE)</f>
        <v>200</v>
      </c>
      <c r="M47" s="7">
        <f>VLOOKUP(M$1,'[1]Demanda requerida 2027'!$CI$74:$DS$97,MATCH(_xlfn.CONCAT(TEXT(DATE($A47,$B47,1),"mmm-yy"),$D47),'[1]Demanda requerida 2027'!$CI$70:$DS$70,0),FALSE)</f>
        <v>872</v>
      </c>
      <c r="N47" s="7">
        <f>VLOOKUP(N$1,'[1]Demanda requerida 2027'!$CI$74:$DS$97,MATCH(_xlfn.CONCAT(TEXT(DATE($A47,$B47,1),"mmm-yy"),$D47),'[1]Demanda requerida 2027'!$CI$70:$DS$70,0),FALSE)</f>
        <v>2185</v>
      </c>
      <c r="O47" s="7">
        <f>VLOOKUP(O$1,'[1]Demanda requerida 2027'!$CI$74:$DS$97,MATCH(_xlfn.CONCAT(TEXT(DATE($A47,$B47,1),"mmm-yy"),$D47),'[1]Demanda requerida 2027'!$CI$70:$DS$70,0),FALSE)</f>
        <v>3202</v>
      </c>
      <c r="P47" s="7">
        <f>VLOOKUP(P$1,'[1]Demanda requerida 2027'!$CI$74:$DS$97,MATCH(_xlfn.CONCAT(TEXT(DATE($A47,$B47,1),"mmm-yy"),$D47),'[1]Demanda requerida 2027'!$CI$70:$DS$70,0),FALSE)</f>
        <v>4168</v>
      </c>
      <c r="Q47" s="7">
        <f>VLOOKUP(Q$1,'[1]Demanda requerida 2027'!$CI$74:$DS$97,MATCH(_xlfn.CONCAT(TEXT(DATE($A47,$B47,1),"mmm-yy"),$D47),'[1]Demanda requerida 2027'!$CI$70:$DS$70,0),FALSE)</f>
        <v>5013</v>
      </c>
      <c r="R47" s="7">
        <f>VLOOKUP(R$1,'[1]Demanda requerida 2027'!$CI$74:$DS$97,MATCH(_xlfn.CONCAT(TEXT(DATE($A47,$B47,1),"mmm-yy"),$D47),'[1]Demanda requerida 2027'!$CI$70:$DS$70,0),FALSE)</f>
        <v>4901</v>
      </c>
      <c r="S47" s="7">
        <f>VLOOKUP(S$1,'[1]Demanda requerida 2027'!$CI$74:$DS$97,MATCH(_xlfn.CONCAT(TEXT(DATE($A47,$B47,1),"mmm-yy"),$D47),'[1]Demanda requerida 2027'!$CI$70:$DS$70,0),FALSE)</f>
        <v>4636</v>
      </c>
      <c r="T47" s="7">
        <f>VLOOKUP(T$1,'[1]Demanda requerida 2027'!$CI$74:$DS$97,MATCH(_xlfn.CONCAT(TEXT(DATE($A47,$B47,1),"mmm-yy"),$D47),'[1]Demanda requerida 2027'!$CI$70:$DS$70,0),FALSE)</f>
        <v>4365</v>
      </c>
      <c r="U47" s="7">
        <f>VLOOKUP(U$1,'[1]Demanda requerida 2027'!$CI$74:$DS$97,MATCH(_xlfn.CONCAT(TEXT(DATE($A47,$B47,1),"mmm-yy"),$D47),'[1]Demanda requerida 2027'!$CI$70:$DS$70,0),FALSE)</f>
        <v>3966</v>
      </c>
      <c r="V47" s="7">
        <f>VLOOKUP(V$1,'[1]Demanda requerida 2027'!$CI$74:$DS$97,MATCH(_xlfn.CONCAT(TEXT(DATE($A47,$B47,1),"mmm-yy"),$D47),'[1]Demanda requerida 2027'!$CI$70:$DS$70,0),FALSE)</f>
        <v>5422</v>
      </c>
      <c r="W47" s="7">
        <f>VLOOKUP(W$1,'[1]Demanda requerida 2027'!$CI$74:$DS$97,MATCH(_xlfn.CONCAT(TEXT(DATE($A47,$B47,1),"mmm-yy"),$D47),'[1]Demanda requerida 2027'!$CI$70:$DS$70,0),FALSE)</f>
        <v>6072</v>
      </c>
      <c r="X47" s="7">
        <f>VLOOKUP(X$1,'[1]Demanda requerida 2027'!$CI$74:$DS$97,MATCH(_xlfn.CONCAT(TEXT(DATE($A47,$B47,1),"mmm-yy"),$D47),'[1]Demanda requerida 2027'!$CI$70:$DS$70,0),FALSE)</f>
        <v>8681</v>
      </c>
      <c r="Y47" s="7">
        <f>VLOOKUP(Y$1,'[1]Demanda requerida 2027'!$CI$74:$DS$97,MATCH(_xlfn.CONCAT(TEXT(DATE($A47,$B47,1),"mmm-yy"),$D47),'[1]Demanda requerida 2027'!$CI$70:$DS$70,0),FALSE)</f>
        <v>8717</v>
      </c>
      <c r="Z47" s="7">
        <f>VLOOKUP(Z$1,'[1]Demanda requerida 2027'!$CI$74:$DS$97,MATCH(_xlfn.CONCAT(TEXT(DATE($A47,$B47,1),"mmm-yy"),$D47),'[1]Demanda requerida 2027'!$CI$70:$DS$70,0),FALSE)</f>
        <v>7777</v>
      </c>
      <c r="AA47" s="7">
        <f>VLOOKUP(AA$1,'[1]Demanda requerida 2027'!$CI$74:$DS$97,MATCH(_xlfn.CONCAT(TEXT(DATE($A47,$B47,1),"mmm-yy"),$D47),'[1]Demanda requerida 2027'!$CI$70:$DS$70,0),FALSE)</f>
        <v>6138</v>
      </c>
      <c r="AB47" s="7">
        <f>VLOOKUP(AB$1,'[1]Demanda requerida 2027'!$CI$74:$DS$97,MATCH(_xlfn.CONCAT(TEXT(DATE($A47,$B47,1),"mmm-yy"),$D47),'[1]Demanda requerida 2027'!$CI$70:$DS$70,0),FALSE)</f>
        <v>3667</v>
      </c>
      <c r="AC47" s="82">
        <f t="shared" si="5"/>
        <v>81382</v>
      </c>
      <c r="AD47" s="76">
        <f t="shared" ref="AD47" si="16">+SUMPRODUCT(AC47:AC49,C47:C49)</f>
        <v>4096284</v>
      </c>
      <c r="AE47" s="85"/>
    </row>
    <row r="48" spans="1:31" x14ac:dyDescent="0.25">
      <c r="A48" s="13">
        <v>2027</v>
      </c>
      <c r="B48" s="1">
        <v>4</v>
      </c>
      <c r="C48" s="1">
        <v>22</v>
      </c>
      <c r="D48" s="1" t="s">
        <v>31</v>
      </c>
      <c r="E48" s="8">
        <f>VLOOKUP(E$1,'[1]Demanda requerida 2027'!$CI$74:$DS$97,MATCH(_xlfn.CONCAT(TEXT(DATE($A48,$B48,1),"mmm-yy"),$D48),'[1]Demanda requerida 2027'!$CI$70:$DS$70,0),FALSE)</f>
        <v>944</v>
      </c>
      <c r="F48" s="8">
        <f>VLOOKUP(F$1,'[1]Demanda requerida 2027'!$CI$74:$DS$97,MATCH(_xlfn.CONCAT(TEXT(DATE($A48,$B48,1),"mmm-yy"),$D48),'[1]Demanda requerida 2027'!$CI$70:$DS$70,0),FALSE)</f>
        <v>200</v>
      </c>
      <c r="G48" s="8">
        <f>VLOOKUP(G$1,'[1]Demanda requerida 2027'!$CI$74:$DS$97,MATCH(_xlfn.CONCAT(TEXT(DATE($A48,$B48,1),"mmm-yy"),$D48),'[1]Demanda requerida 2027'!$CI$70:$DS$70,0),FALSE)</f>
        <v>200</v>
      </c>
      <c r="H48" s="8">
        <f>VLOOKUP(H$1,'[1]Demanda requerida 2027'!$CI$74:$DS$97,MATCH(_xlfn.CONCAT(TEXT(DATE($A48,$B48,1),"mmm-yy"),$D48),'[1]Demanda requerida 2027'!$CI$70:$DS$70,0),FALSE)</f>
        <v>200</v>
      </c>
      <c r="I48" s="8">
        <f>VLOOKUP(I$1,'[1]Demanda requerida 2027'!$CI$74:$DS$97,MATCH(_xlfn.CONCAT(TEXT(DATE($A48,$B48,1),"mmm-yy"),$D48),'[1]Demanda requerida 2027'!$CI$70:$DS$70,0),FALSE)</f>
        <v>200</v>
      </c>
      <c r="J48" s="8">
        <f>VLOOKUP(J$1,'[1]Demanda requerida 2027'!$CI$74:$DS$97,MATCH(_xlfn.CONCAT(TEXT(DATE($A48,$B48,1),"mmm-yy"),$D48),'[1]Demanda requerida 2027'!$CI$70:$DS$70,0),FALSE)</f>
        <v>200</v>
      </c>
      <c r="K48" s="8">
        <f>VLOOKUP(K$1,'[1]Demanda requerida 2027'!$CI$74:$DS$97,MATCH(_xlfn.CONCAT(TEXT(DATE($A48,$B48,1),"mmm-yy"),$D48),'[1]Demanda requerida 2027'!$CI$70:$DS$70,0),FALSE)</f>
        <v>944</v>
      </c>
      <c r="L48" s="8">
        <f>VLOOKUP(L$1,'[1]Demanda requerida 2027'!$CI$74:$DS$97,MATCH(_xlfn.CONCAT(TEXT(DATE($A48,$B48,1),"mmm-yy"),$D48),'[1]Demanda requerida 2027'!$CI$70:$DS$70,0),FALSE)</f>
        <v>2577</v>
      </c>
      <c r="M48" s="8">
        <f>VLOOKUP(M$1,'[1]Demanda requerida 2027'!$CI$74:$DS$97,MATCH(_xlfn.CONCAT(TEXT(DATE($A48,$B48,1),"mmm-yy"),$D48),'[1]Demanda requerida 2027'!$CI$70:$DS$70,0),FALSE)</f>
        <v>5252</v>
      </c>
      <c r="N48" s="8">
        <f>VLOOKUP(N$1,'[1]Demanda requerida 2027'!$CI$74:$DS$97,MATCH(_xlfn.CONCAT(TEXT(DATE($A48,$B48,1),"mmm-yy"),$D48),'[1]Demanda requerida 2027'!$CI$70:$DS$70,0),FALSE)</f>
        <v>6848</v>
      </c>
      <c r="O48" s="8">
        <f>VLOOKUP(O$1,'[1]Demanda requerida 2027'!$CI$74:$DS$97,MATCH(_xlfn.CONCAT(TEXT(DATE($A48,$B48,1),"mmm-yy"),$D48),'[1]Demanda requerida 2027'!$CI$70:$DS$70,0),FALSE)</f>
        <v>8190</v>
      </c>
      <c r="P48" s="8">
        <f>VLOOKUP(P$1,'[1]Demanda requerida 2027'!$CI$74:$DS$97,MATCH(_xlfn.CONCAT(TEXT(DATE($A48,$B48,1),"mmm-yy"),$D48),'[1]Demanda requerida 2027'!$CI$70:$DS$70,0),FALSE)</f>
        <v>9773</v>
      </c>
      <c r="Q48" s="8">
        <f>VLOOKUP(Q$1,'[1]Demanda requerida 2027'!$CI$74:$DS$97,MATCH(_xlfn.CONCAT(TEXT(DATE($A48,$B48,1),"mmm-yy"),$D48),'[1]Demanda requerida 2027'!$CI$70:$DS$70,0),FALSE)</f>
        <v>10065</v>
      </c>
      <c r="R48" s="8">
        <f>VLOOKUP(R$1,'[1]Demanda requerida 2027'!$CI$74:$DS$97,MATCH(_xlfn.CONCAT(TEXT(DATE($A48,$B48,1),"mmm-yy"),$D48),'[1]Demanda requerida 2027'!$CI$70:$DS$70,0),FALSE)</f>
        <v>10336</v>
      </c>
      <c r="S48" s="8">
        <f>VLOOKUP(S$1,'[1]Demanda requerida 2027'!$CI$74:$DS$97,MATCH(_xlfn.CONCAT(TEXT(DATE($A48,$B48,1),"mmm-yy"),$D48),'[1]Demanda requerida 2027'!$CI$70:$DS$70,0),FALSE)</f>
        <v>10818</v>
      </c>
      <c r="T48" s="8">
        <f>VLOOKUP(T$1,'[1]Demanda requerida 2027'!$CI$74:$DS$97,MATCH(_xlfn.CONCAT(TEXT(DATE($A48,$B48,1),"mmm-yy"),$D48),'[1]Demanda requerida 2027'!$CI$70:$DS$70,0),FALSE)</f>
        <v>10406</v>
      </c>
      <c r="U48" s="8">
        <f>VLOOKUP(U$1,'[1]Demanda requerida 2027'!$CI$74:$DS$97,MATCH(_xlfn.CONCAT(TEXT(DATE($A48,$B48,1),"mmm-yy"),$D48),'[1]Demanda requerida 2027'!$CI$70:$DS$70,0),FALSE)</f>
        <v>9342</v>
      </c>
      <c r="V48" s="8">
        <f>VLOOKUP(V$1,'[1]Demanda requerida 2027'!$CI$74:$DS$97,MATCH(_xlfn.CONCAT(TEXT(DATE($A48,$B48,1),"mmm-yy"),$D48),'[1]Demanda requerida 2027'!$CI$70:$DS$70,0),FALSE)</f>
        <v>10573</v>
      </c>
      <c r="W48" s="8">
        <f>VLOOKUP(W$1,'[1]Demanda requerida 2027'!$CI$74:$DS$97,MATCH(_xlfn.CONCAT(TEXT(DATE($A48,$B48,1),"mmm-yy"),$D48),'[1]Demanda requerida 2027'!$CI$70:$DS$70,0),FALSE)</f>
        <v>10296</v>
      </c>
      <c r="X48" s="8">
        <f>VLOOKUP(X$1,'[1]Demanda requerida 2027'!$CI$74:$DS$97,MATCH(_xlfn.CONCAT(TEXT(DATE($A48,$B48,1),"mmm-yy"),$D48),'[1]Demanda requerida 2027'!$CI$70:$DS$70,0),FALSE)</f>
        <v>11593</v>
      </c>
      <c r="Y48" s="8">
        <f>VLOOKUP(Y$1,'[1]Demanda requerida 2027'!$CI$74:$DS$97,MATCH(_xlfn.CONCAT(TEXT(DATE($A48,$B48,1),"mmm-yy"),$D48),'[1]Demanda requerida 2027'!$CI$70:$DS$70,0),FALSE)</f>
        <v>11069</v>
      </c>
      <c r="Z48" s="8">
        <f>VLOOKUP(Z$1,'[1]Demanda requerida 2027'!$CI$74:$DS$97,MATCH(_xlfn.CONCAT(TEXT(DATE($A48,$B48,1),"mmm-yy"),$D48),'[1]Demanda requerida 2027'!$CI$70:$DS$70,0),FALSE)</f>
        <v>8993</v>
      </c>
      <c r="AA48" s="8">
        <f>VLOOKUP(AA$1,'[1]Demanda requerida 2027'!$CI$74:$DS$97,MATCH(_xlfn.CONCAT(TEXT(DATE($A48,$B48,1),"mmm-yy"),$D48),'[1]Demanda requerida 2027'!$CI$70:$DS$70,0),FALSE)</f>
        <v>6368</v>
      </c>
      <c r="AB48" s="8">
        <f>VLOOKUP(AB$1,'[1]Demanda requerida 2027'!$CI$74:$DS$97,MATCH(_xlfn.CONCAT(TEXT(DATE($A48,$B48,1),"mmm-yy"),$D48),'[1]Demanda requerida 2027'!$CI$70:$DS$70,0),FALSE)</f>
        <v>3679</v>
      </c>
      <c r="AC48" s="84">
        <f t="shared" si="5"/>
        <v>149066</v>
      </c>
      <c r="AD48" s="77"/>
      <c r="AE48" s="85"/>
    </row>
    <row r="49" spans="1:31" ht="15.75" thickBot="1" x14ac:dyDescent="0.3">
      <c r="A49" s="14">
        <v>2027</v>
      </c>
      <c r="B49" s="15">
        <v>4</v>
      </c>
      <c r="C49" s="15">
        <v>4</v>
      </c>
      <c r="D49" s="15" t="s">
        <v>6</v>
      </c>
      <c r="E49" s="9">
        <f>VLOOKUP(E$1,'[1]Demanda requerida 2027'!$CI$74:$DS$97,MATCH(_xlfn.CONCAT(TEXT(DATE($A49,$B49,1),"mmm-yy"),$D49),'[1]Demanda requerida 2027'!$CI$70:$DS$70,0),FALSE)</f>
        <v>585</v>
      </c>
      <c r="F49" s="9">
        <f>VLOOKUP(F$1,'[1]Demanda requerida 2027'!$CI$74:$DS$97,MATCH(_xlfn.CONCAT(TEXT(DATE($A49,$B49,1),"mmm-yy"),$D49),'[1]Demanda requerida 2027'!$CI$70:$DS$70,0),FALSE)</f>
        <v>200</v>
      </c>
      <c r="G49" s="9">
        <f>VLOOKUP(G$1,'[1]Demanda requerida 2027'!$CI$74:$DS$97,MATCH(_xlfn.CONCAT(TEXT(DATE($A49,$B49,1),"mmm-yy"),$D49),'[1]Demanda requerida 2027'!$CI$70:$DS$70,0),FALSE)</f>
        <v>200</v>
      </c>
      <c r="H49" s="9">
        <f>VLOOKUP(H$1,'[1]Demanda requerida 2027'!$CI$74:$DS$97,MATCH(_xlfn.CONCAT(TEXT(DATE($A49,$B49,1),"mmm-yy"),$D49),'[1]Demanda requerida 2027'!$CI$70:$DS$70,0),FALSE)</f>
        <v>200</v>
      </c>
      <c r="I49" s="9">
        <f>VLOOKUP(I$1,'[1]Demanda requerida 2027'!$CI$74:$DS$97,MATCH(_xlfn.CONCAT(TEXT(DATE($A49,$B49,1),"mmm-yy"),$D49),'[1]Demanda requerida 2027'!$CI$70:$DS$70,0),FALSE)</f>
        <v>200</v>
      </c>
      <c r="J49" s="9">
        <f>VLOOKUP(J$1,'[1]Demanda requerida 2027'!$CI$74:$DS$97,MATCH(_xlfn.CONCAT(TEXT(DATE($A49,$B49,1),"mmm-yy"),$D49),'[1]Demanda requerida 2027'!$CI$70:$DS$70,0),FALSE)</f>
        <v>200</v>
      </c>
      <c r="K49" s="9">
        <f>VLOOKUP(K$1,'[1]Demanda requerida 2027'!$CI$74:$DS$97,MATCH(_xlfn.CONCAT(TEXT(DATE($A49,$B49,1),"mmm-yy"),$D49),'[1]Demanda requerida 2027'!$CI$70:$DS$70,0),FALSE)</f>
        <v>200</v>
      </c>
      <c r="L49" s="9">
        <f>VLOOKUP(L$1,'[1]Demanda requerida 2027'!$CI$74:$DS$97,MATCH(_xlfn.CONCAT(TEXT(DATE($A49,$B49,1),"mmm-yy"),$D49),'[1]Demanda requerida 2027'!$CI$70:$DS$70,0),FALSE)</f>
        <v>767</v>
      </c>
      <c r="M49" s="9">
        <f>VLOOKUP(M$1,'[1]Demanda requerida 2027'!$CI$74:$DS$97,MATCH(_xlfn.CONCAT(TEXT(DATE($A49,$B49,1),"mmm-yy"),$D49),'[1]Demanda requerida 2027'!$CI$70:$DS$70,0),FALSE)</f>
        <v>3961</v>
      </c>
      <c r="N49" s="9">
        <f>VLOOKUP(N$1,'[1]Demanda requerida 2027'!$CI$74:$DS$97,MATCH(_xlfn.CONCAT(TEXT(DATE($A49,$B49,1),"mmm-yy"),$D49),'[1]Demanda requerida 2027'!$CI$70:$DS$70,0),FALSE)</f>
        <v>5904</v>
      </c>
      <c r="O49" s="9">
        <f>VLOOKUP(O$1,'[1]Demanda requerida 2027'!$CI$74:$DS$97,MATCH(_xlfn.CONCAT(TEXT(DATE($A49,$B49,1),"mmm-yy"),$D49),'[1]Demanda requerida 2027'!$CI$70:$DS$70,0),FALSE)</f>
        <v>6808</v>
      </c>
      <c r="P49" s="9">
        <f>VLOOKUP(P$1,'[1]Demanda requerida 2027'!$CI$74:$DS$97,MATCH(_xlfn.CONCAT(TEXT(DATE($A49,$B49,1),"mmm-yy"),$D49),'[1]Demanda requerida 2027'!$CI$70:$DS$70,0),FALSE)</f>
        <v>8250</v>
      </c>
      <c r="Q49" s="9">
        <f>VLOOKUP(Q$1,'[1]Demanda requerida 2027'!$CI$74:$DS$97,MATCH(_xlfn.CONCAT(TEXT(DATE($A49,$B49,1),"mmm-yy"),$D49),'[1]Demanda requerida 2027'!$CI$70:$DS$70,0),FALSE)</f>
        <v>8703</v>
      </c>
      <c r="R49" s="9">
        <f>VLOOKUP(R$1,'[1]Demanda requerida 2027'!$CI$74:$DS$97,MATCH(_xlfn.CONCAT(TEXT(DATE($A49,$B49,1),"mmm-yy"),$D49),'[1]Demanda requerida 2027'!$CI$70:$DS$70,0),FALSE)</f>
        <v>9483</v>
      </c>
      <c r="S49" s="9">
        <f>VLOOKUP(S$1,'[1]Demanda requerida 2027'!$CI$74:$DS$97,MATCH(_xlfn.CONCAT(TEXT(DATE($A49,$B49,1),"mmm-yy"),$D49),'[1]Demanda requerida 2027'!$CI$70:$DS$70,0),FALSE)</f>
        <v>9170</v>
      </c>
      <c r="T49" s="9">
        <f>VLOOKUP(T$1,'[1]Demanda requerida 2027'!$CI$74:$DS$97,MATCH(_xlfn.CONCAT(TEXT(DATE($A49,$B49,1),"mmm-yy"),$D49),'[1]Demanda requerida 2027'!$CI$70:$DS$70,0),FALSE)</f>
        <v>8310</v>
      </c>
      <c r="U49" s="9">
        <f>VLOOKUP(U$1,'[1]Demanda requerida 2027'!$CI$74:$DS$97,MATCH(_xlfn.CONCAT(TEXT(DATE($A49,$B49,1),"mmm-yy"),$D49),'[1]Demanda requerida 2027'!$CI$70:$DS$70,0),FALSE)</f>
        <v>6831</v>
      </c>
      <c r="V49" s="9">
        <f>VLOOKUP(V$1,'[1]Demanda requerida 2027'!$CI$74:$DS$97,MATCH(_xlfn.CONCAT(TEXT(DATE($A49,$B49,1),"mmm-yy"),$D49),'[1]Demanda requerida 2027'!$CI$70:$DS$70,0),FALSE)</f>
        <v>7912</v>
      </c>
      <c r="W49" s="9">
        <f>VLOOKUP(W$1,'[1]Demanda requerida 2027'!$CI$74:$DS$97,MATCH(_xlfn.CONCAT(TEXT(DATE($A49,$B49,1),"mmm-yy"),$D49),'[1]Demanda requerida 2027'!$CI$70:$DS$70,0),FALSE)</f>
        <v>8248</v>
      </c>
      <c r="X49" s="9">
        <f>VLOOKUP(X$1,'[1]Demanda requerida 2027'!$CI$74:$DS$97,MATCH(_xlfn.CONCAT(TEXT(DATE($A49,$B49,1),"mmm-yy"),$D49),'[1]Demanda requerida 2027'!$CI$70:$DS$70,0),FALSE)</f>
        <v>8893</v>
      </c>
      <c r="Y49" s="9">
        <f>VLOOKUP(Y$1,'[1]Demanda requerida 2027'!$CI$74:$DS$97,MATCH(_xlfn.CONCAT(TEXT(DATE($A49,$B49,1),"mmm-yy"),$D49),'[1]Demanda requerida 2027'!$CI$70:$DS$70,0),FALSE)</f>
        <v>8733</v>
      </c>
      <c r="Z49" s="9">
        <f>VLOOKUP(Z$1,'[1]Demanda requerida 2027'!$CI$74:$DS$97,MATCH(_xlfn.CONCAT(TEXT(DATE($A49,$B49,1),"mmm-yy"),$D49),'[1]Demanda requerida 2027'!$CI$70:$DS$70,0),FALSE)</f>
        <v>8559</v>
      </c>
      <c r="AA49" s="9">
        <f>VLOOKUP(AA$1,'[1]Demanda requerida 2027'!$CI$74:$DS$97,MATCH(_xlfn.CONCAT(TEXT(DATE($A49,$B49,1),"mmm-yy"),$D49),'[1]Demanda requerida 2027'!$CI$70:$DS$70,0),FALSE)</f>
        <v>6345</v>
      </c>
      <c r="AB49" s="9">
        <f>VLOOKUP(AB$1,'[1]Demanda requerida 2027'!$CI$74:$DS$97,MATCH(_xlfn.CONCAT(TEXT(DATE($A49,$B49,1),"mmm-yy"),$D49),'[1]Demanda requerida 2027'!$CI$70:$DS$70,0),FALSE)</f>
        <v>4164</v>
      </c>
      <c r="AC49" s="86">
        <f t="shared" si="5"/>
        <v>122826</v>
      </c>
      <c r="AD49" s="78"/>
      <c r="AE49" s="85"/>
    </row>
    <row r="50" spans="1:31" x14ac:dyDescent="0.25">
      <c r="A50" s="11">
        <v>2027</v>
      </c>
      <c r="B50" s="12">
        <v>5</v>
      </c>
      <c r="C50" s="12">
        <v>8</v>
      </c>
      <c r="D50" s="12" t="s">
        <v>5</v>
      </c>
      <c r="E50" s="7">
        <f>VLOOKUP(E$1,'[1]Demanda requerida 2027'!$CI$74:$DS$97,MATCH(_xlfn.CONCAT(TEXT(DATE($A50,$B50,1),"mmm-yy"),$D50),'[1]Demanda requerida 2027'!$CI$70:$DS$70,0),FALSE)</f>
        <v>200</v>
      </c>
      <c r="F50" s="7">
        <f>VLOOKUP(F$1,'[1]Demanda requerida 2027'!$CI$74:$DS$97,MATCH(_xlfn.CONCAT(TEXT(DATE($A50,$B50,1),"mmm-yy"),$D50),'[1]Demanda requerida 2027'!$CI$70:$DS$70,0),FALSE)</f>
        <v>200</v>
      </c>
      <c r="G50" s="7">
        <f>VLOOKUP(G$1,'[1]Demanda requerida 2027'!$CI$74:$DS$97,MATCH(_xlfn.CONCAT(TEXT(DATE($A50,$B50,1),"mmm-yy"),$D50),'[1]Demanda requerida 2027'!$CI$70:$DS$70,0),FALSE)</f>
        <v>200</v>
      </c>
      <c r="H50" s="7">
        <f>VLOOKUP(H$1,'[1]Demanda requerida 2027'!$CI$74:$DS$97,MATCH(_xlfn.CONCAT(TEXT(DATE($A50,$B50,1),"mmm-yy"),$D50),'[1]Demanda requerida 2027'!$CI$70:$DS$70,0),FALSE)</f>
        <v>200</v>
      </c>
      <c r="I50" s="7">
        <f>VLOOKUP(I$1,'[1]Demanda requerida 2027'!$CI$74:$DS$97,MATCH(_xlfn.CONCAT(TEXT(DATE($A50,$B50,1),"mmm-yy"),$D50),'[1]Demanda requerida 2027'!$CI$70:$DS$70,0),FALSE)</f>
        <v>200</v>
      </c>
      <c r="J50" s="7">
        <f>VLOOKUP(J$1,'[1]Demanda requerida 2027'!$CI$74:$DS$97,MATCH(_xlfn.CONCAT(TEXT(DATE($A50,$B50,1),"mmm-yy"),$D50),'[1]Demanda requerida 2027'!$CI$70:$DS$70,0),FALSE)</f>
        <v>200</v>
      </c>
      <c r="K50" s="7">
        <f>VLOOKUP(K$1,'[1]Demanda requerida 2027'!$CI$74:$DS$97,MATCH(_xlfn.CONCAT(TEXT(DATE($A50,$B50,1),"mmm-yy"),$D50),'[1]Demanda requerida 2027'!$CI$70:$DS$70,0),FALSE)</f>
        <v>200</v>
      </c>
      <c r="L50" s="7">
        <f>VLOOKUP(L$1,'[1]Demanda requerida 2027'!$CI$74:$DS$97,MATCH(_xlfn.CONCAT(TEXT(DATE($A50,$B50,1),"mmm-yy"),$D50),'[1]Demanda requerida 2027'!$CI$70:$DS$70,0),FALSE)</f>
        <v>200</v>
      </c>
      <c r="M50" s="7">
        <f>VLOOKUP(M$1,'[1]Demanda requerida 2027'!$CI$74:$DS$97,MATCH(_xlfn.CONCAT(TEXT(DATE($A50,$B50,1),"mmm-yy"),$D50),'[1]Demanda requerida 2027'!$CI$70:$DS$70,0),FALSE)</f>
        <v>200</v>
      </c>
      <c r="N50" s="7">
        <f>VLOOKUP(N$1,'[1]Demanda requerida 2027'!$CI$74:$DS$97,MATCH(_xlfn.CONCAT(TEXT(DATE($A50,$B50,1),"mmm-yy"),$D50),'[1]Demanda requerida 2027'!$CI$70:$DS$70,0),FALSE)</f>
        <v>200</v>
      </c>
      <c r="O50" s="7">
        <f>VLOOKUP(O$1,'[1]Demanda requerida 2027'!$CI$74:$DS$97,MATCH(_xlfn.CONCAT(TEXT(DATE($A50,$B50,1),"mmm-yy"),$D50),'[1]Demanda requerida 2027'!$CI$70:$DS$70,0),FALSE)</f>
        <v>1</v>
      </c>
      <c r="P50" s="7">
        <f>VLOOKUP(P$1,'[1]Demanda requerida 2027'!$CI$74:$DS$97,MATCH(_xlfn.CONCAT(TEXT(DATE($A50,$B50,1),"mmm-yy"),$D50),'[1]Demanda requerida 2027'!$CI$70:$DS$70,0),FALSE)</f>
        <v>592</v>
      </c>
      <c r="Q50" s="7">
        <f>VLOOKUP(Q$1,'[1]Demanda requerida 2027'!$CI$74:$DS$97,MATCH(_xlfn.CONCAT(TEXT(DATE($A50,$B50,1),"mmm-yy"),$D50),'[1]Demanda requerida 2027'!$CI$70:$DS$70,0),FALSE)</f>
        <v>1298</v>
      </c>
      <c r="R50" s="7">
        <f>VLOOKUP(R$1,'[1]Demanda requerida 2027'!$CI$74:$DS$97,MATCH(_xlfn.CONCAT(TEXT(DATE($A50,$B50,1),"mmm-yy"),$D50),'[1]Demanda requerida 2027'!$CI$70:$DS$70,0),FALSE)</f>
        <v>977</v>
      </c>
      <c r="S50" s="7">
        <f>VLOOKUP(S$1,'[1]Demanda requerida 2027'!$CI$74:$DS$97,MATCH(_xlfn.CONCAT(TEXT(DATE($A50,$B50,1),"mmm-yy"),$D50),'[1]Demanda requerida 2027'!$CI$70:$DS$70,0),FALSE)</f>
        <v>289</v>
      </c>
      <c r="T50" s="7">
        <f>VLOOKUP(T$1,'[1]Demanda requerida 2027'!$CI$74:$DS$97,MATCH(_xlfn.CONCAT(TEXT(DATE($A50,$B50,1),"mmm-yy"),$D50),'[1]Demanda requerida 2027'!$CI$70:$DS$70,0),FALSE)</f>
        <v>200</v>
      </c>
      <c r="U50" s="7">
        <f>VLOOKUP(U$1,'[1]Demanda requerida 2027'!$CI$74:$DS$97,MATCH(_xlfn.CONCAT(TEXT(DATE($A50,$B50,1),"mmm-yy"),$D50),'[1]Demanda requerida 2027'!$CI$70:$DS$70,0),FALSE)</f>
        <v>200</v>
      </c>
      <c r="V50" s="7">
        <f>VLOOKUP(V$1,'[1]Demanda requerida 2027'!$CI$74:$DS$97,MATCH(_xlfn.CONCAT(TEXT(DATE($A50,$B50,1),"mmm-yy"),$D50),'[1]Demanda requerida 2027'!$CI$70:$DS$70,0),FALSE)</f>
        <v>1163</v>
      </c>
      <c r="W50" s="7">
        <f>VLOOKUP(W$1,'[1]Demanda requerida 2027'!$CI$74:$DS$97,MATCH(_xlfn.CONCAT(TEXT(DATE($A50,$B50,1),"mmm-yy"),$D50),'[1]Demanda requerida 2027'!$CI$70:$DS$70,0),FALSE)</f>
        <v>2417</v>
      </c>
      <c r="X50" s="7">
        <f>VLOOKUP(X$1,'[1]Demanda requerida 2027'!$CI$74:$DS$97,MATCH(_xlfn.CONCAT(TEXT(DATE($A50,$B50,1),"mmm-yy"),$D50),'[1]Demanda requerida 2027'!$CI$70:$DS$70,0),FALSE)</f>
        <v>3549</v>
      </c>
      <c r="Y50" s="7">
        <f>VLOOKUP(Y$1,'[1]Demanda requerida 2027'!$CI$74:$DS$97,MATCH(_xlfn.CONCAT(TEXT(DATE($A50,$B50,1),"mmm-yy"),$D50),'[1]Demanda requerida 2027'!$CI$70:$DS$70,0),FALSE)</f>
        <v>3120</v>
      </c>
      <c r="Z50" s="7">
        <f>VLOOKUP(Z$1,'[1]Demanda requerida 2027'!$CI$74:$DS$97,MATCH(_xlfn.CONCAT(TEXT(DATE($A50,$B50,1),"mmm-yy"),$D50),'[1]Demanda requerida 2027'!$CI$70:$DS$70,0),FALSE)</f>
        <v>2098</v>
      </c>
      <c r="AA50" s="7">
        <f>VLOOKUP(AA$1,'[1]Demanda requerida 2027'!$CI$74:$DS$97,MATCH(_xlfn.CONCAT(TEXT(DATE($A50,$B50,1),"mmm-yy"),$D50),'[1]Demanda requerida 2027'!$CI$70:$DS$70,0),FALSE)</f>
        <v>502</v>
      </c>
      <c r="AB50" s="7">
        <f>VLOOKUP(AB$1,'[1]Demanda requerida 2027'!$CI$74:$DS$97,MATCH(_xlfn.CONCAT(TEXT(DATE($A50,$B50,1),"mmm-yy"),$D50),'[1]Demanda requerida 2027'!$CI$70:$DS$70,0),FALSE)</f>
        <v>200</v>
      </c>
      <c r="AC50" s="82">
        <f>SUM(E50:AB50)</f>
        <v>18606</v>
      </c>
      <c r="AD50" s="76">
        <f t="shared" ref="AD50" si="17">+SUMPRODUCT(AC50:AC52,C50:C52)</f>
        <v>9564657</v>
      </c>
      <c r="AE50" s="85"/>
    </row>
    <row r="51" spans="1:31" x14ac:dyDescent="0.25">
      <c r="A51" s="13">
        <v>2027</v>
      </c>
      <c r="B51" s="1">
        <v>5</v>
      </c>
      <c r="C51" s="1">
        <v>19</v>
      </c>
      <c r="D51" s="1" t="s">
        <v>31</v>
      </c>
      <c r="E51" s="8">
        <f>VLOOKUP(E$1,'[1]Demanda requerida 2027'!$CI$74:$DS$97,MATCH(_xlfn.CONCAT(TEXT(DATE($A51,$B51,1),"mmm-yy"),$D51),'[1]Demanda requerida 2027'!$CI$70:$DS$70,0),FALSE)</f>
        <v>10115</v>
      </c>
      <c r="F51" s="8">
        <f>VLOOKUP(F$1,'[1]Demanda requerida 2027'!$CI$74:$DS$97,MATCH(_xlfn.CONCAT(TEXT(DATE($A51,$B51,1),"mmm-yy"),$D51),'[1]Demanda requerida 2027'!$CI$70:$DS$70,0),FALSE)</f>
        <v>8673</v>
      </c>
      <c r="G51" s="8">
        <f>VLOOKUP(G$1,'[1]Demanda requerida 2027'!$CI$74:$DS$97,MATCH(_xlfn.CONCAT(TEXT(DATE($A51,$B51,1),"mmm-yy"),$D51),'[1]Demanda requerida 2027'!$CI$70:$DS$70,0),FALSE)</f>
        <v>7866</v>
      </c>
      <c r="H51" s="8">
        <f>VLOOKUP(H$1,'[1]Demanda requerida 2027'!$CI$74:$DS$97,MATCH(_xlfn.CONCAT(TEXT(DATE($A51,$B51,1),"mmm-yy"),$D51),'[1]Demanda requerida 2027'!$CI$70:$DS$70,0),FALSE)</f>
        <v>7434</v>
      </c>
      <c r="I51" s="8">
        <f>VLOOKUP(I$1,'[1]Demanda requerida 2027'!$CI$74:$DS$97,MATCH(_xlfn.CONCAT(TEXT(DATE($A51,$B51,1),"mmm-yy"),$D51),'[1]Demanda requerida 2027'!$CI$70:$DS$70,0),FALSE)</f>
        <v>7453</v>
      </c>
      <c r="J51" s="8">
        <f>VLOOKUP(J$1,'[1]Demanda requerida 2027'!$CI$74:$DS$97,MATCH(_xlfn.CONCAT(TEXT(DATE($A51,$B51,1),"mmm-yy"),$D51),'[1]Demanda requerida 2027'!$CI$70:$DS$70,0),FALSE)</f>
        <v>8673</v>
      </c>
      <c r="K51" s="8">
        <f>VLOOKUP(K$1,'[1]Demanda requerida 2027'!$CI$74:$DS$97,MATCH(_xlfn.CONCAT(TEXT(DATE($A51,$B51,1),"mmm-yy"),$D51),'[1]Demanda requerida 2027'!$CI$70:$DS$70,0),FALSE)</f>
        <v>10209</v>
      </c>
      <c r="L51" s="8">
        <f>VLOOKUP(L$1,'[1]Demanda requerida 2027'!$CI$74:$DS$97,MATCH(_xlfn.CONCAT(TEXT(DATE($A51,$B51,1),"mmm-yy"),$D51),'[1]Demanda requerida 2027'!$CI$70:$DS$70,0),FALSE)</f>
        <v>12084</v>
      </c>
      <c r="M51" s="8">
        <f>VLOOKUP(M$1,'[1]Demanda requerida 2027'!$CI$74:$DS$97,MATCH(_xlfn.CONCAT(TEXT(DATE($A51,$B51,1),"mmm-yy"),$D51),'[1]Demanda requerida 2027'!$CI$70:$DS$70,0),FALSE)</f>
        <v>15411</v>
      </c>
      <c r="N51" s="8">
        <f>VLOOKUP(N$1,'[1]Demanda requerida 2027'!$CI$74:$DS$97,MATCH(_xlfn.CONCAT(TEXT(DATE($A51,$B51,1),"mmm-yy"),$D51),'[1]Demanda requerida 2027'!$CI$70:$DS$70,0),FALSE)</f>
        <v>17202</v>
      </c>
      <c r="O51" s="8">
        <f>VLOOKUP(O$1,'[1]Demanda requerida 2027'!$CI$74:$DS$97,MATCH(_xlfn.CONCAT(TEXT(DATE($A51,$B51,1),"mmm-yy"),$D51),'[1]Demanda requerida 2027'!$CI$70:$DS$70,0),FALSE)</f>
        <v>18785</v>
      </c>
      <c r="P51" s="8">
        <f>VLOOKUP(P$1,'[1]Demanda requerida 2027'!$CI$74:$DS$97,MATCH(_xlfn.CONCAT(TEXT(DATE($A51,$B51,1),"mmm-yy"),$D51),'[1]Demanda requerida 2027'!$CI$70:$DS$70,0),FALSE)</f>
        <v>20566</v>
      </c>
      <c r="Q51" s="8">
        <f>VLOOKUP(Q$1,'[1]Demanda requerida 2027'!$CI$74:$DS$97,MATCH(_xlfn.CONCAT(TEXT(DATE($A51,$B51,1),"mmm-yy"),$D51),'[1]Demanda requerida 2027'!$CI$70:$DS$70,0),FALSE)</f>
        <v>20705</v>
      </c>
      <c r="R51" s="8">
        <f>VLOOKUP(R$1,'[1]Demanda requerida 2027'!$CI$74:$DS$97,MATCH(_xlfn.CONCAT(TEXT(DATE($A51,$B51,1),"mmm-yy"),$D51),'[1]Demanda requerida 2027'!$CI$70:$DS$70,0),FALSE)</f>
        <v>20645</v>
      </c>
      <c r="S51" s="8">
        <f>VLOOKUP(S$1,'[1]Demanda requerida 2027'!$CI$74:$DS$97,MATCH(_xlfn.CONCAT(TEXT(DATE($A51,$B51,1),"mmm-yy"),$D51),'[1]Demanda requerida 2027'!$CI$70:$DS$70,0),FALSE)</f>
        <v>21020</v>
      </c>
      <c r="T51" s="8">
        <f>VLOOKUP(T$1,'[1]Demanda requerida 2027'!$CI$74:$DS$97,MATCH(_xlfn.CONCAT(TEXT(DATE($A51,$B51,1),"mmm-yy"),$D51),'[1]Demanda requerida 2027'!$CI$70:$DS$70,0),FALSE)</f>
        <v>20920</v>
      </c>
      <c r="U51" s="8">
        <f>VLOOKUP(U$1,'[1]Demanda requerida 2027'!$CI$74:$DS$97,MATCH(_xlfn.CONCAT(TEXT(DATE($A51,$B51,1),"mmm-yy"),$D51),'[1]Demanda requerida 2027'!$CI$70:$DS$70,0),FALSE)</f>
        <v>20399</v>
      </c>
      <c r="V51" s="8">
        <f>VLOOKUP(V$1,'[1]Demanda requerida 2027'!$CI$74:$DS$97,MATCH(_xlfn.CONCAT(TEXT(DATE($A51,$B51,1),"mmm-yy"),$D51),'[1]Demanda requerida 2027'!$CI$70:$DS$70,0),FALSE)</f>
        <v>21664</v>
      </c>
      <c r="W51" s="8">
        <f>VLOOKUP(W$1,'[1]Demanda requerida 2027'!$CI$74:$DS$97,MATCH(_xlfn.CONCAT(TEXT(DATE($A51,$B51,1),"mmm-yy"),$D51),'[1]Demanda requerida 2027'!$CI$70:$DS$70,0),FALSE)</f>
        <v>22869</v>
      </c>
      <c r="X51" s="8">
        <f>VLOOKUP(X$1,'[1]Demanda requerida 2027'!$CI$74:$DS$97,MATCH(_xlfn.CONCAT(TEXT(DATE($A51,$B51,1),"mmm-yy"),$D51),'[1]Demanda requerida 2027'!$CI$70:$DS$70,0),FALSE)</f>
        <v>23978</v>
      </c>
      <c r="Y51" s="8">
        <f>VLOOKUP(Y$1,'[1]Demanda requerida 2027'!$CI$74:$DS$97,MATCH(_xlfn.CONCAT(TEXT(DATE($A51,$B51,1),"mmm-yy"),$D51),'[1]Demanda requerida 2027'!$CI$70:$DS$70,0),FALSE)</f>
        <v>22622</v>
      </c>
      <c r="Z51" s="8">
        <f>VLOOKUP(Z$1,'[1]Demanda requerida 2027'!$CI$74:$DS$97,MATCH(_xlfn.CONCAT(TEXT(DATE($A51,$B51,1),"mmm-yy"),$D51),'[1]Demanda requerida 2027'!$CI$70:$DS$70,0),FALSE)</f>
        <v>20119</v>
      </c>
      <c r="AA51" s="8">
        <f>VLOOKUP(AA$1,'[1]Demanda requerida 2027'!$CI$74:$DS$97,MATCH(_xlfn.CONCAT(TEXT(DATE($A51,$B51,1),"mmm-yy"),$D51),'[1]Demanda requerida 2027'!$CI$70:$DS$70,0),FALSE)</f>
        <v>16973</v>
      </c>
      <c r="AB51" s="8">
        <f>VLOOKUP(AB$1,'[1]Demanda requerida 2027'!$CI$74:$DS$97,MATCH(_xlfn.CONCAT(TEXT(DATE($A51,$B51,1),"mmm-yy"),$D51),'[1]Demanda requerida 2027'!$CI$70:$DS$70,0),FALSE)</f>
        <v>13810</v>
      </c>
      <c r="AC51" s="84">
        <f t="shared" ref="AC51:AC85" si="18">SUM(E51:AB51)</f>
        <v>390195</v>
      </c>
      <c r="AD51" s="77"/>
      <c r="AE51" s="85"/>
    </row>
    <row r="52" spans="1:31" ht="15.75" thickBot="1" x14ac:dyDescent="0.3">
      <c r="A52" s="14">
        <v>2027</v>
      </c>
      <c r="B52" s="15">
        <v>5</v>
      </c>
      <c r="C52" s="15">
        <v>4</v>
      </c>
      <c r="D52" s="15" t="s">
        <v>6</v>
      </c>
      <c r="E52" s="9">
        <f>VLOOKUP(E$1,'[1]Demanda requerida 2027'!$CI$74:$DS$97,MATCH(_xlfn.CONCAT(TEXT(DATE($A52,$B52,1),"mmm-yy"),$D52),'[1]Demanda requerida 2027'!$CI$70:$DS$70,0),FALSE)</f>
        <v>15520</v>
      </c>
      <c r="F52" s="9">
        <f>VLOOKUP(F$1,'[1]Demanda requerida 2027'!$CI$74:$DS$97,MATCH(_xlfn.CONCAT(TEXT(DATE($A52,$B52,1),"mmm-yy"),$D52),'[1]Demanda requerida 2027'!$CI$70:$DS$70,0),FALSE)</f>
        <v>13979</v>
      </c>
      <c r="G52" s="9">
        <f>VLOOKUP(G$1,'[1]Demanda requerida 2027'!$CI$74:$DS$97,MATCH(_xlfn.CONCAT(TEXT(DATE($A52,$B52,1),"mmm-yy"),$D52),'[1]Demanda requerida 2027'!$CI$70:$DS$70,0),FALSE)</f>
        <v>13009</v>
      </c>
      <c r="H52" s="9">
        <f>VLOOKUP(H$1,'[1]Demanda requerida 2027'!$CI$74:$DS$97,MATCH(_xlfn.CONCAT(TEXT(DATE($A52,$B52,1),"mmm-yy"),$D52),'[1]Demanda requerida 2027'!$CI$70:$DS$70,0),FALSE)</f>
        <v>12327</v>
      </c>
      <c r="I52" s="9">
        <f>VLOOKUP(I$1,'[1]Demanda requerida 2027'!$CI$74:$DS$97,MATCH(_xlfn.CONCAT(TEXT(DATE($A52,$B52,1),"mmm-yy"),$D52),'[1]Demanda requerida 2027'!$CI$70:$DS$70,0),FALSE)</f>
        <v>12135</v>
      </c>
      <c r="J52" s="9">
        <f>VLOOKUP(J$1,'[1]Demanda requerida 2027'!$CI$74:$DS$97,MATCH(_xlfn.CONCAT(TEXT(DATE($A52,$B52,1),"mmm-yy"),$D52),'[1]Demanda requerida 2027'!$CI$70:$DS$70,0),FALSE)</f>
        <v>12434</v>
      </c>
      <c r="K52" s="9">
        <f>VLOOKUP(K$1,'[1]Demanda requerida 2027'!$CI$74:$DS$97,MATCH(_xlfn.CONCAT(TEXT(DATE($A52,$B52,1),"mmm-yy"),$D52),'[1]Demanda requerida 2027'!$CI$70:$DS$70,0),FALSE)</f>
        <v>13287</v>
      </c>
      <c r="L52" s="9">
        <f>VLOOKUP(L$1,'[1]Demanda requerida 2027'!$CI$74:$DS$97,MATCH(_xlfn.CONCAT(TEXT(DATE($A52,$B52,1),"mmm-yy"),$D52),'[1]Demanda requerida 2027'!$CI$70:$DS$70,0),FALSE)</f>
        <v>16018</v>
      </c>
      <c r="M52" s="9">
        <f>VLOOKUP(M$1,'[1]Demanda requerida 2027'!$CI$74:$DS$97,MATCH(_xlfn.CONCAT(TEXT(DATE($A52,$B52,1),"mmm-yy"),$D52),'[1]Demanda requerida 2027'!$CI$70:$DS$70,0),FALSE)</f>
        <v>20178</v>
      </c>
      <c r="N52" s="9">
        <f>VLOOKUP(N$1,'[1]Demanda requerida 2027'!$CI$74:$DS$97,MATCH(_xlfn.CONCAT(TEXT(DATE($A52,$B52,1),"mmm-yy"),$D52),'[1]Demanda requerida 2027'!$CI$70:$DS$70,0),FALSE)</f>
        <v>22379</v>
      </c>
      <c r="O52" s="9">
        <f>VLOOKUP(O$1,'[1]Demanda requerida 2027'!$CI$74:$DS$97,MATCH(_xlfn.CONCAT(TEXT(DATE($A52,$B52,1),"mmm-yy"),$D52),'[1]Demanda requerida 2027'!$CI$70:$DS$70,0),FALSE)</f>
        <v>23936</v>
      </c>
      <c r="P52" s="9">
        <f>VLOOKUP(P$1,'[1]Demanda requerida 2027'!$CI$74:$DS$97,MATCH(_xlfn.CONCAT(TEXT(DATE($A52,$B52,1),"mmm-yy"),$D52),'[1]Demanda requerida 2027'!$CI$70:$DS$70,0),FALSE)</f>
        <v>25559</v>
      </c>
      <c r="Q52" s="9">
        <f>VLOOKUP(Q$1,'[1]Demanda requerida 2027'!$CI$74:$DS$97,MATCH(_xlfn.CONCAT(TEXT(DATE($A52,$B52,1),"mmm-yy"),$D52),'[1]Demanda requerida 2027'!$CI$70:$DS$70,0),FALSE)</f>
        <v>26598</v>
      </c>
      <c r="R52" s="9">
        <f>VLOOKUP(R$1,'[1]Demanda requerida 2027'!$CI$74:$DS$97,MATCH(_xlfn.CONCAT(TEXT(DATE($A52,$B52,1),"mmm-yy"),$D52),'[1]Demanda requerida 2027'!$CI$70:$DS$70,0),FALSE)</f>
        <v>26284</v>
      </c>
      <c r="S52" s="9">
        <f>VLOOKUP(S$1,'[1]Demanda requerida 2027'!$CI$74:$DS$97,MATCH(_xlfn.CONCAT(TEXT(DATE($A52,$B52,1),"mmm-yy"),$D52),'[1]Demanda requerida 2027'!$CI$70:$DS$70,0),FALSE)</f>
        <v>25818</v>
      </c>
      <c r="T52" s="9">
        <f>VLOOKUP(T$1,'[1]Demanda requerida 2027'!$CI$74:$DS$97,MATCH(_xlfn.CONCAT(TEXT(DATE($A52,$B52,1),"mmm-yy"),$D52),'[1]Demanda requerida 2027'!$CI$70:$DS$70,0),FALSE)</f>
        <v>25054</v>
      </c>
      <c r="U52" s="9">
        <f>VLOOKUP(U$1,'[1]Demanda requerida 2027'!$CI$74:$DS$97,MATCH(_xlfn.CONCAT(TEXT(DATE($A52,$B52,1),"mmm-yy"),$D52),'[1]Demanda requerida 2027'!$CI$70:$DS$70,0),FALSE)</f>
        <v>23576</v>
      </c>
      <c r="V52" s="9">
        <f>VLOOKUP(V$1,'[1]Demanda requerida 2027'!$CI$74:$DS$97,MATCH(_xlfn.CONCAT(TEXT(DATE($A52,$B52,1),"mmm-yy"),$D52),'[1]Demanda requerida 2027'!$CI$70:$DS$70,0),FALSE)</f>
        <v>25351</v>
      </c>
      <c r="W52" s="9">
        <f>VLOOKUP(W$1,'[1]Demanda requerida 2027'!$CI$74:$DS$97,MATCH(_xlfn.CONCAT(TEXT(DATE($A52,$B52,1),"mmm-yy"),$D52),'[1]Demanda requerida 2027'!$CI$70:$DS$70,0),FALSE)</f>
        <v>27069</v>
      </c>
      <c r="X52" s="9">
        <f>VLOOKUP(X$1,'[1]Demanda requerida 2027'!$CI$74:$DS$97,MATCH(_xlfn.CONCAT(TEXT(DATE($A52,$B52,1),"mmm-yy"),$D52),'[1]Demanda requerida 2027'!$CI$70:$DS$70,0),FALSE)</f>
        <v>28290</v>
      </c>
      <c r="Y52" s="9">
        <f>VLOOKUP(Y$1,'[1]Demanda requerida 2027'!$CI$74:$DS$97,MATCH(_xlfn.CONCAT(TEXT(DATE($A52,$B52,1),"mmm-yy"),$D52),'[1]Demanda requerida 2027'!$CI$70:$DS$70,0),FALSE)</f>
        <v>27097</v>
      </c>
      <c r="Z52" s="9">
        <f>VLOOKUP(Z$1,'[1]Demanda requerida 2027'!$CI$74:$DS$97,MATCH(_xlfn.CONCAT(TEXT(DATE($A52,$B52,1),"mmm-yy"),$D52),'[1]Demanda requerida 2027'!$CI$70:$DS$70,0),FALSE)</f>
        <v>24782</v>
      </c>
      <c r="AA52" s="9">
        <f>VLOOKUP(AA$1,'[1]Demanda requerida 2027'!$CI$74:$DS$97,MATCH(_xlfn.CONCAT(TEXT(DATE($A52,$B52,1),"mmm-yy"),$D52),'[1]Demanda requerida 2027'!$CI$70:$DS$70,0),FALSE)</f>
        <v>21368</v>
      </c>
      <c r="AB52" s="9">
        <f>VLOOKUP(AB$1,'[1]Demanda requerida 2027'!$CI$74:$DS$97,MATCH(_xlfn.CONCAT(TEXT(DATE($A52,$B52,1),"mmm-yy"),$D52),'[1]Demanda requerida 2027'!$CI$70:$DS$70,0),FALSE)</f>
        <v>18478</v>
      </c>
      <c r="AC52" s="86">
        <f t="shared" si="18"/>
        <v>500526</v>
      </c>
      <c r="AD52" s="78"/>
      <c r="AE52" s="85"/>
    </row>
    <row r="53" spans="1:31" x14ac:dyDescent="0.25">
      <c r="A53" s="11">
        <v>2027</v>
      </c>
      <c r="B53" s="12">
        <v>6</v>
      </c>
      <c r="C53" s="12">
        <v>5</v>
      </c>
      <c r="D53" s="12" t="s">
        <v>5</v>
      </c>
      <c r="E53" s="7">
        <f>VLOOKUP(E$1,'[1]Demanda requerida 2027'!$CI$74:$DS$97,MATCH(_xlfn.CONCAT(TEXT(DATE($A53,$B53,1),"mmm-yy"),$D53),'[1]Demanda requerida 2027'!$CI$70:$DS$70,0),FALSE)</f>
        <v>200</v>
      </c>
      <c r="F53" s="7">
        <f>VLOOKUP(F$1,'[1]Demanda requerida 2027'!$CI$74:$DS$97,MATCH(_xlfn.CONCAT(TEXT(DATE($A53,$B53,1),"mmm-yy"),$D53),'[1]Demanda requerida 2027'!$CI$70:$DS$70,0),FALSE)</f>
        <v>200</v>
      </c>
      <c r="G53" s="7">
        <f>VLOOKUP(G$1,'[1]Demanda requerida 2027'!$CI$74:$DS$97,MATCH(_xlfn.CONCAT(TEXT(DATE($A53,$B53,1),"mmm-yy"),$D53),'[1]Demanda requerida 2027'!$CI$70:$DS$70,0),FALSE)</f>
        <v>200</v>
      </c>
      <c r="H53" s="7">
        <f>VLOOKUP(H$1,'[1]Demanda requerida 2027'!$CI$74:$DS$97,MATCH(_xlfn.CONCAT(TEXT(DATE($A53,$B53,1),"mmm-yy"),$D53),'[1]Demanda requerida 2027'!$CI$70:$DS$70,0),FALSE)</f>
        <v>200</v>
      </c>
      <c r="I53" s="7">
        <f>VLOOKUP(I$1,'[1]Demanda requerida 2027'!$CI$74:$DS$97,MATCH(_xlfn.CONCAT(TEXT(DATE($A53,$B53,1),"mmm-yy"),$D53),'[1]Demanda requerida 2027'!$CI$70:$DS$70,0),FALSE)</f>
        <v>200</v>
      </c>
      <c r="J53" s="7">
        <f>VLOOKUP(J$1,'[1]Demanda requerida 2027'!$CI$74:$DS$97,MATCH(_xlfn.CONCAT(TEXT(DATE($A53,$B53,1),"mmm-yy"),$D53),'[1]Demanda requerida 2027'!$CI$70:$DS$70,0),FALSE)</f>
        <v>200</v>
      </c>
      <c r="K53" s="7">
        <f>VLOOKUP(K$1,'[1]Demanda requerida 2027'!$CI$74:$DS$97,MATCH(_xlfn.CONCAT(TEXT(DATE($A53,$B53,1),"mmm-yy"),$D53),'[1]Demanda requerida 2027'!$CI$70:$DS$70,0),FALSE)</f>
        <v>200</v>
      </c>
      <c r="L53" s="7">
        <f>VLOOKUP(L$1,'[1]Demanda requerida 2027'!$CI$74:$DS$97,MATCH(_xlfn.CONCAT(TEXT(DATE($A53,$B53,1),"mmm-yy"),$D53),'[1]Demanda requerida 2027'!$CI$70:$DS$70,0),FALSE)</f>
        <v>200</v>
      </c>
      <c r="M53" s="7">
        <f>VLOOKUP(M$1,'[1]Demanda requerida 2027'!$CI$74:$DS$97,MATCH(_xlfn.CONCAT(TEXT(DATE($A53,$B53,1),"mmm-yy"),$D53),'[1]Demanda requerida 2027'!$CI$70:$DS$70,0),FALSE)</f>
        <v>200</v>
      </c>
      <c r="N53" s="7">
        <f>VLOOKUP(N$1,'[1]Demanda requerida 2027'!$CI$74:$DS$97,MATCH(_xlfn.CONCAT(TEXT(DATE($A53,$B53,1),"mmm-yy"),$D53),'[1]Demanda requerida 2027'!$CI$70:$DS$70,0),FALSE)</f>
        <v>200</v>
      </c>
      <c r="O53" s="7">
        <f>VLOOKUP(O$1,'[1]Demanda requerida 2027'!$CI$74:$DS$97,MATCH(_xlfn.CONCAT(TEXT(DATE($A53,$B53,1),"mmm-yy"),$D53),'[1]Demanda requerida 2027'!$CI$70:$DS$70,0),FALSE)</f>
        <v>200</v>
      </c>
      <c r="P53" s="7">
        <f>VLOOKUP(P$1,'[1]Demanda requerida 2027'!$CI$74:$DS$97,MATCH(_xlfn.CONCAT(TEXT(DATE($A53,$B53,1),"mmm-yy"),$D53),'[1]Demanda requerida 2027'!$CI$70:$DS$70,0),FALSE)</f>
        <v>892</v>
      </c>
      <c r="Q53" s="7">
        <f>VLOOKUP(Q$1,'[1]Demanda requerida 2027'!$CI$74:$DS$97,MATCH(_xlfn.CONCAT(TEXT(DATE($A53,$B53,1),"mmm-yy"),$D53),'[1]Demanda requerida 2027'!$CI$70:$DS$70,0),FALSE)</f>
        <v>1441</v>
      </c>
      <c r="R53" s="7">
        <f>VLOOKUP(R$1,'[1]Demanda requerida 2027'!$CI$74:$DS$97,MATCH(_xlfn.CONCAT(TEXT(DATE($A53,$B53,1),"mmm-yy"),$D53),'[1]Demanda requerida 2027'!$CI$70:$DS$70,0),FALSE)</f>
        <v>856</v>
      </c>
      <c r="S53" s="7">
        <f>VLOOKUP(S$1,'[1]Demanda requerida 2027'!$CI$74:$DS$97,MATCH(_xlfn.CONCAT(TEXT(DATE($A53,$B53,1),"mmm-yy"),$D53),'[1]Demanda requerida 2027'!$CI$70:$DS$70,0),FALSE)</f>
        <v>64</v>
      </c>
      <c r="T53" s="7">
        <f>VLOOKUP(T$1,'[1]Demanda requerida 2027'!$CI$74:$DS$97,MATCH(_xlfn.CONCAT(TEXT(DATE($A53,$B53,1),"mmm-yy"),$D53),'[1]Demanda requerida 2027'!$CI$70:$DS$70,0),FALSE)</f>
        <v>200</v>
      </c>
      <c r="U53" s="7">
        <f>VLOOKUP(U$1,'[1]Demanda requerida 2027'!$CI$74:$DS$97,MATCH(_xlfn.CONCAT(TEXT(DATE($A53,$B53,1),"mmm-yy"),$D53),'[1]Demanda requerida 2027'!$CI$70:$DS$70,0),FALSE)</f>
        <v>200</v>
      </c>
      <c r="V53" s="7">
        <f>VLOOKUP(V$1,'[1]Demanda requerida 2027'!$CI$74:$DS$97,MATCH(_xlfn.CONCAT(TEXT(DATE($A53,$B53,1),"mmm-yy"),$D53),'[1]Demanda requerida 2027'!$CI$70:$DS$70,0),FALSE)</f>
        <v>427</v>
      </c>
      <c r="W53" s="7">
        <f>VLOOKUP(W$1,'[1]Demanda requerida 2027'!$CI$74:$DS$97,MATCH(_xlfn.CONCAT(TEXT(DATE($A53,$B53,1),"mmm-yy"),$D53),'[1]Demanda requerida 2027'!$CI$70:$DS$70,0),FALSE)</f>
        <v>2660</v>
      </c>
      <c r="X53" s="7">
        <f>VLOOKUP(X$1,'[1]Demanda requerida 2027'!$CI$74:$DS$97,MATCH(_xlfn.CONCAT(TEXT(DATE($A53,$B53,1),"mmm-yy"),$D53),'[1]Demanda requerida 2027'!$CI$70:$DS$70,0),FALSE)</f>
        <v>4256</v>
      </c>
      <c r="Y53" s="7">
        <f>VLOOKUP(Y$1,'[1]Demanda requerida 2027'!$CI$74:$DS$97,MATCH(_xlfn.CONCAT(TEXT(DATE($A53,$B53,1),"mmm-yy"),$D53),'[1]Demanda requerida 2027'!$CI$70:$DS$70,0),FALSE)</f>
        <v>3087</v>
      </c>
      <c r="Z53" s="7">
        <f>VLOOKUP(Z$1,'[1]Demanda requerida 2027'!$CI$74:$DS$97,MATCH(_xlfn.CONCAT(TEXT(DATE($A53,$B53,1),"mmm-yy"),$D53),'[1]Demanda requerida 2027'!$CI$70:$DS$70,0),FALSE)</f>
        <v>1307</v>
      </c>
      <c r="AA53" s="7">
        <f>VLOOKUP(AA$1,'[1]Demanda requerida 2027'!$CI$74:$DS$97,MATCH(_xlfn.CONCAT(TEXT(DATE($A53,$B53,1),"mmm-yy"),$D53),'[1]Demanda requerida 2027'!$CI$70:$DS$70,0),FALSE)</f>
        <v>200</v>
      </c>
      <c r="AB53" s="7">
        <f>VLOOKUP(AB$1,'[1]Demanda requerida 2027'!$CI$74:$DS$97,MATCH(_xlfn.CONCAT(TEXT(DATE($A53,$B53,1),"mmm-yy"),$D53),'[1]Demanda requerida 2027'!$CI$70:$DS$70,0),FALSE)</f>
        <v>200</v>
      </c>
      <c r="AC53" s="82">
        <f t="shared" si="18"/>
        <v>17990</v>
      </c>
      <c r="AD53" s="76">
        <f t="shared" ref="AD53" si="19">+SUMPRODUCT(AC53:AC55,C53:C55)</f>
        <v>4633932</v>
      </c>
      <c r="AE53" s="85"/>
    </row>
    <row r="54" spans="1:31" x14ac:dyDescent="0.25">
      <c r="A54" s="13">
        <v>2027</v>
      </c>
      <c r="B54" s="1">
        <v>6</v>
      </c>
      <c r="C54" s="1">
        <v>21</v>
      </c>
      <c r="D54" s="1" t="s">
        <v>31</v>
      </c>
      <c r="E54" s="8">
        <f>VLOOKUP(E$1,'[1]Demanda requerida 2027'!$CI$74:$DS$97,MATCH(_xlfn.CONCAT(TEXT(DATE($A54,$B54,1),"mmm-yy"),$D54),'[1]Demanda requerida 2027'!$CI$70:$DS$70,0),FALSE)</f>
        <v>1626</v>
      </c>
      <c r="F54" s="8">
        <f>VLOOKUP(F$1,'[1]Demanda requerida 2027'!$CI$74:$DS$97,MATCH(_xlfn.CONCAT(TEXT(DATE($A54,$B54,1),"mmm-yy"),$D54),'[1]Demanda requerida 2027'!$CI$70:$DS$70,0),FALSE)</f>
        <v>299</v>
      </c>
      <c r="G54" s="8">
        <f>VLOOKUP(G$1,'[1]Demanda requerida 2027'!$CI$74:$DS$97,MATCH(_xlfn.CONCAT(TEXT(DATE($A54,$B54,1),"mmm-yy"),$D54),'[1]Demanda requerida 2027'!$CI$70:$DS$70,0),FALSE)</f>
        <v>200</v>
      </c>
      <c r="H54" s="8">
        <f>VLOOKUP(H$1,'[1]Demanda requerida 2027'!$CI$74:$DS$97,MATCH(_xlfn.CONCAT(TEXT(DATE($A54,$B54,1),"mmm-yy"),$D54),'[1]Demanda requerida 2027'!$CI$70:$DS$70,0),FALSE)</f>
        <v>200</v>
      </c>
      <c r="I54" s="8">
        <f>VLOOKUP(I$1,'[1]Demanda requerida 2027'!$CI$74:$DS$97,MATCH(_xlfn.CONCAT(TEXT(DATE($A54,$B54,1),"mmm-yy"),$D54),'[1]Demanda requerida 2027'!$CI$70:$DS$70,0),FALSE)</f>
        <v>200</v>
      </c>
      <c r="J54" s="8">
        <f>VLOOKUP(J$1,'[1]Demanda requerida 2027'!$CI$74:$DS$97,MATCH(_xlfn.CONCAT(TEXT(DATE($A54,$B54,1),"mmm-yy"),$D54),'[1]Demanda requerida 2027'!$CI$70:$DS$70,0),FALSE)</f>
        <v>213</v>
      </c>
      <c r="K54" s="8">
        <f>VLOOKUP(K$1,'[1]Demanda requerida 2027'!$CI$74:$DS$97,MATCH(_xlfn.CONCAT(TEXT(DATE($A54,$B54,1),"mmm-yy"),$D54),'[1]Demanda requerida 2027'!$CI$70:$DS$70,0),FALSE)</f>
        <v>1795</v>
      </c>
      <c r="L54" s="8">
        <f>VLOOKUP(L$1,'[1]Demanda requerida 2027'!$CI$74:$DS$97,MATCH(_xlfn.CONCAT(TEXT(DATE($A54,$B54,1),"mmm-yy"),$D54),'[1]Demanda requerida 2027'!$CI$70:$DS$70,0),FALSE)</f>
        <v>4043</v>
      </c>
      <c r="M54" s="8">
        <f>VLOOKUP(M$1,'[1]Demanda requerida 2027'!$CI$74:$DS$97,MATCH(_xlfn.CONCAT(TEXT(DATE($A54,$B54,1),"mmm-yy"),$D54),'[1]Demanda requerida 2027'!$CI$70:$DS$70,0),FALSE)</f>
        <v>7166</v>
      </c>
      <c r="N54" s="8">
        <f>VLOOKUP(N$1,'[1]Demanda requerida 2027'!$CI$74:$DS$97,MATCH(_xlfn.CONCAT(TEXT(DATE($A54,$B54,1),"mmm-yy"),$D54),'[1]Demanda requerida 2027'!$CI$70:$DS$70,0),FALSE)</f>
        <v>8864</v>
      </c>
      <c r="O54" s="8">
        <f>VLOOKUP(O$1,'[1]Demanda requerida 2027'!$CI$74:$DS$97,MATCH(_xlfn.CONCAT(TEXT(DATE($A54,$B54,1),"mmm-yy"),$D54),'[1]Demanda requerida 2027'!$CI$70:$DS$70,0),FALSE)</f>
        <v>10351</v>
      </c>
      <c r="P54" s="8">
        <f>VLOOKUP(P$1,'[1]Demanda requerida 2027'!$CI$74:$DS$97,MATCH(_xlfn.CONCAT(TEXT(DATE($A54,$B54,1),"mmm-yy"),$D54),'[1]Demanda requerida 2027'!$CI$70:$DS$70,0),FALSE)</f>
        <v>11867</v>
      </c>
      <c r="Q54" s="8">
        <f>VLOOKUP(Q$1,'[1]Demanda requerida 2027'!$CI$74:$DS$97,MATCH(_xlfn.CONCAT(TEXT(DATE($A54,$B54,1),"mmm-yy"),$D54),'[1]Demanda requerida 2027'!$CI$70:$DS$70,0),FALSE)</f>
        <v>12181</v>
      </c>
      <c r="R54" s="8">
        <f>VLOOKUP(R$1,'[1]Demanda requerida 2027'!$CI$74:$DS$97,MATCH(_xlfn.CONCAT(TEXT(DATE($A54,$B54,1),"mmm-yy"),$D54),'[1]Demanda requerida 2027'!$CI$70:$DS$70,0),FALSE)</f>
        <v>12417</v>
      </c>
      <c r="S54" s="8">
        <f>VLOOKUP(S$1,'[1]Demanda requerida 2027'!$CI$74:$DS$97,MATCH(_xlfn.CONCAT(TEXT(DATE($A54,$B54,1),"mmm-yy"),$D54),'[1]Demanda requerida 2027'!$CI$70:$DS$70,0),FALSE)</f>
        <v>12513</v>
      </c>
      <c r="T54" s="8">
        <f>VLOOKUP(T$1,'[1]Demanda requerida 2027'!$CI$74:$DS$97,MATCH(_xlfn.CONCAT(TEXT(DATE($A54,$B54,1),"mmm-yy"),$D54),'[1]Demanda requerida 2027'!$CI$70:$DS$70,0),FALSE)</f>
        <v>12222</v>
      </c>
      <c r="U54" s="8">
        <f>VLOOKUP(U$1,'[1]Demanda requerida 2027'!$CI$74:$DS$97,MATCH(_xlfn.CONCAT(TEXT(DATE($A54,$B54,1),"mmm-yy"),$D54),'[1]Demanda requerida 2027'!$CI$70:$DS$70,0),FALSE)</f>
        <v>11636</v>
      </c>
      <c r="V54" s="8">
        <f>VLOOKUP(V$1,'[1]Demanda requerida 2027'!$CI$74:$DS$97,MATCH(_xlfn.CONCAT(TEXT(DATE($A54,$B54,1),"mmm-yy"),$D54),'[1]Demanda requerida 2027'!$CI$70:$DS$70,0),FALSE)</f>
        <v>12949</v>
      </c>
      <c r="W54" s="8">
        <f>VLOOKUP(W$1,'[1]Demanda requerida 2027'!$CI$74:$DS$97,MATCH(_xlfn.CONCAT(TEXT(DATE($A54,$B54,1),"mmm-yy"),$D54),'[1]Demanda requerida 2027'!$CI$70:$DS$70,0),FALSE)</f>
        <v>13827</v>
      </c>
      <c r="X54" s="8">
        <f>VLOOKUP(X$1,'[1]Demanda requerida 2027'!$CI$74:$DS$97,MATCH(_xlfn.CONCAT(TEXT(DATE($A54,$B54,1),"mmm-yy"),$D54),'[1]Demanda requerida 2027'!$CI$70:$DS$70,0),FALSE)</f>
        <v>14593</v>
      </c>
      <c r="Y54" s="8">
        <f>VLOOKUP(Y$1,'[1]Demanda requerida 2027'!$CI$74:$DS$97,MATCH(_xlfn.CONCAT(TEXT(DATE($A54,$B54,1),"mmm-yy"),$D54),'[1]Demanda requerida 2027'!$CI$70:$DS$70,0),FALSE)</f>
        <v>13462</v>
      </c>
      <c r="Z54" s="8">
        <f>VLOOKUP(Z$1,'[1]Demanda requerida 2027'!$CI$74:$DS$97,MATCH(_xlfn.CONCAT(TEXT(DATE($A54,$B54,1),"mmm-yy"),$D54),'[1]Demanda requerida 2027'!$CI$70:$DS$70,0),FALSE)</f>
        <v>10927</v>
      </c>
      <c r="AA54" s="8">
        <f>VLOOKUP(AA$1,'[1]Demanda requerida 2027'!$CI$74:$DS$97,MATCH(_xlfn.CONCAT(TEXT(DATE($A54,$B54,1),"mmm-yy"),$D54),'[1]Demanda requerida 2027'!$CI$70:$DS$70,0),FALSE)</f>
        <v>7958</v>
      </c>
      <c r="AB54" s="8">
        <f>VLOOKUP(AB$1,'[1]Demanda requerida 2027'!$CI$74:$DS$97,MATCH(_xlfn.CONCAT(TEXT(DATE($A54,$B54,1),"mmm-yy"),$D54),'[1]Demanda requerida 2027'!$CI$70:$DS$70,0),FALSE)</f>
        <v>5873</v>
      </c>
      <c r="AC54" s="84">
        <f t="shared" si="18"/>
        <v>187382</v>
      </c>
      <c r="AD54" s="77"/>
      <c r="AE54" s="85"/>
    </row>
    <row r="55" spans="1:31" ht="15.75" thickBot="1" x14ac:dyDescent="0.3">
      <c r="A55" s="14">
        <v>2027</v>
      </c>
      <c r="B55" s="15">
        <v>6</v>
      </c>
      <c r="C55" s="15">
        <v>4</v>
      </c>
      <c r="D55" s="15" t="s">
        <v>6</v>
      </c>
      <c r="E55" s="9">
        <f>VLOOKUP(E$1,'[1]Demanda requerida 2027'!$CI$74:$DS$97,MATCH(_xlfn.CONCAT(TEXT(DATE($A55,$B55,1),"mmm-yy"),$D55),'[1]Demanda requerida 2027'!$CI$70:$DS$70,0),FALSE)</f>
        <v>200</v>
      </c>
      <c r="F55" s="9">
        <f>VLOOKUP(F$1,'[1]Demanda requerida 2027'!$CI$74:$DS$97,MATCH(_xlfn.CONCAT(TEXT(DATE($A55,$B55,1),"mmm-yy"),$D55),'[1]Demanda requerida 2027'!$CI$70:$DS$70,0),FALSE)</f>
        <v>200</v>
      </c>
      <c r="G55" s="9">
        <f>VLOOKUP(G$1,'[1]Demanda requerida 2027'!$CI$74:$DS$97,MATCH(_xlfn.CONCAT(TEXT(DATE($A55,$B55,1),"mmm-yy"),$D55),'[1]Demanda requerida 2027'!$CI$70:$DS$70,0),FALSE)</f>
        <v>200</v>
      </c>
      <c r="H55" s="9">
        <f>VLOOKUP(H$1,'[1]Demanda requerida 2027'!$CI$74:$DS$97,MATCH(_xlfn.CONCAT(TEXT(DATE($A55,$B55,1),"mmm-yy"),$D55),'[1]Demanda requerida 2027'!$CI$70:$DS$70,0),FALSE)</f>
        <v>200</v>
      </c>
      <c r="I55" s="9">
        <f>VLOOKUP(I$1,'[1]Demanda requerida 2027'!$CI$74:$DS$97,MATCH(_xlfn.CONCAT(TEXT(DATE($A55,$B55,1),"mmm-yy"),$D55),'[1]Demanda requerida 2027'!$CI$70:$DS$70,0),FALSE)</f>
        <v>200</v>
      </c>
      <c r="J55" s="9">
        <f>VLOOKUP(J$1,'[1]Demanda requerida 2027'!$CI$74:$DS$97,MATCH(_xlfn.CONCAT(TEXT(DATE($A55,$B55,1),"mmm-yy"),$D55),'[1]Demanda requerida 2027'!$CI$70:$DS$70,0),FALSE)</f>
        <v>200</v>
      </c>
      <c r="K55" s="9">
        <f>VLOOKUP(K$1,'[1]Demanda requerida 2027'!$CI$74:$DS$97,MATCH(_xlfn.CONCAT(TEXT(DATE($A55,$B55,1),"mmm-yy"),$D55),'[1]Demanda requerida 2027'!$CI$70:$DS$70,0),FALSE)</f>
        <v>200</v>
      </c>
      <c r="L55" s="9">
        <f>VLOOKUP(L$1,'[1]Demanda requerida 2027'!$CI$74:$DS$97,MATCH(_xlfn.CONCAT(TEXT(DATE($A55,$B55,1),"mmm-yy"),$D55),'[1]Demanda requerida 2027'!$CI$70:$DS$70,0),FALSE)</f>
        <v>1443</v>
      </c>
      <c r="M55" s="9">
        <f>VLOOKUP(M$1,'[1]Demanda requerida 2027'!$CI$74:$DS$97,MATCH(_xlfn.CONCAT(TEXT(DATE($A55,$B55,1),"mmm-yy"),$D55),'[1]Demanda requerida 2027'!$CI$70:$DS$70,0),FALSE)</f>
        <v>5129</v>
      </c>
      <c r="N55" s="9">
        <f>VLOOKUP(N$1,'[1]Demanda requerida 2027'!$CI$74:$DS$97,MATCH(_xlfn.CONCAT(TEXT(DATE($A55,$B55,1),"mmm-yy"),$D55),'[1]Demanda requerida 2027'!$CI$70:$DS$70,0),FALSE)</f>
        <v>7032</v>
      </c>
      <c r="O55" s="9">
        <f>VLOOKUP(O$1,'[1]Demanda requerida 2027'!$CI$74:$DS$97,MATCH(_xlfn.CONCAT(TEXT(DATE($A55,$B55,1),"mmm-yy"),$D55),'[1]Demanda requerida 2027'!$CI$70:$DS$70,0),FALSE)</f>
        <v>7901</v>
      </c>
      <c r="P55" s="9">
        <f>VLOOKUP(P$1,'[1]Demanda requerida 2027'!$CI$74:$DS$97,MATCH(_xlfn.CONCAT(TEXT(DATE($A55,$B55,1),"mmm-yy"),$D55),'[1]Demanda requerida 2027'!$CI$70:$DS$70,0),FALSE)</f>
        <v>9601</v>
      </c>
      <c r="Q55" s="9">
        <f>VLOOKUP(Q$1,'[1]Demanda requerida 2027'!$CI$74:$DS$97,MATCH(_xlfn.CONCAT(TEXT(DATE($A55,$B55,1),"mmm-yy"),$D55),'[1]Demanda requerida 2027'!$CI$70:$DS$70,0),FALSE)</f>
        <v>9879</v>
      </c>
      <c r="R55" s="9">
        <f>VLOOKUP(R$1,'[1]Demanda requerida 2027'!$CI$74:$DS$97,MATCH(_xlfn.CONCAT(TEXT(DATE($A55,$B55,1),"mmm-yy"),$D55),'[1]Demanda requerida 2027'!$CI$70:$DS$70,0),FALSE)</f>
        <v>9026</v>
      </c>
      <c r="S55" s="9">
        <f>VLOOKUP(S$1,'[1]Demanda requerida 2027'!$CI$74:$DS$97,MATCH(_xlfn.CONCAT(TEXT(DATE($A55,$B55,1),"mmm-yy"),$D55),'[1]Demanda requerida 2027'!$CI$70:$DS$70,0),FALSE)</f>
        <v>9555</v>
      </c>
      <c r="T55" s="9">
        <f>VLOOKUP(T$1,'[1]Demanda requerida 2027'!$CI$74:$DS$97,MATCH(_xlfn.CONCAT(TEXT(DATE($A55,$B55,1),"mmm-yy"),$D55),'[1]Demanda requerida 2027'!$CI$70:$DS$70,0),FALSE)</f>
        <v>8954</v>
      </c>
      <c r="U55" s="9">
        <f>VLOOKUP(U$1,'[1]Demanda requerida 2027'!$CI$74:$DS$97,MATCH(_xlfn.CONCAT(TEXT(DATE($A55,$B55,1),"mmm-yy"),$D55),'[1]Demanda requerida 2027'!$CI$70:$DS$70,0),FALSE)</f>
        <v>7504</v>
      </c>
      <c r="V55" s="9">
        <f>VLOOKUP(V$1,'[1]Demanda requerida 2027'!$CI$74:$DS$97,MATCH(_xlfn.CONCAT(TEXT(DATE($A55,$B55,1),"mmm-yy"),$D55),'[1]Demanda requerida 2027'!$CI$70:$DS$70,0),FALSE)</f>
        <v>9415</v>
      </c>
      <c r="W55" s="9">
        <f>VLOOKUP(W$1,'[1]Demanda requerida 2027'!$CI$74:$DS$97,MATCH(_xlfn.CONCAT(TEXT(DATE($A55,$B55,1),"mmm-yy"),$D55),'[1]Demanda requerida 2027'!$CI$70:$DS$70,0),FALSE)</f>
        <v>12238</v>
      </c>
      <c r="X55" s="9">
        <f>VLOOKUP(X$1,'[1]Demanda requerida 2027'!$CI$74:$DS$97,MATCH(_xlfn.CONCAT(TEXT(DATE($A55,$B55,1),"mmm-yy"),$D55),'[1]Demanda requerida 2027'!$CI$70:$DS$70,0),FALSE)</f>
        <v>14364</v>
      </c>
      <c r="Y55" s="9">
        <f>VLOOKUP(Y$1,'[1]Demanda requerida 2027'!$CI$74:$DS$97,MATCH(_xlfn.CONCAT(TEXT(DATE($A55,$B55,1),"mmm-yy"),$D55),'[1]Demanda requerida 2027'!$CI$70:$DS$70,0),FALSE)</f>
        <v>12842</v>
      </c>
      <c r="Z55" s="9">
        <f>VLOOKUP(Z$1,'[1]Demanda requerida 2027'!$CI$74:$DS$97,MATCH(_xlfn.CONCAT(TEXT(DATE($A55,$B55,1),"mmm-yy"),$D55),'[1]Demanda requerida 2027'!$CI$70:$DS$70,0),FALSE)</f>
        <v>11009</v>
      </c>
      <c r="AA55" s="9">
        <f>VLOOKUP(AA$1,'[1]Demanda requerida 2027'!$CI$74:$DS$97,MATCH(_xlfn.CONCAT(TEXT(DATE($A55,$B55,1),"mmm-yy"),$D55),'[1]Demanda requerida 2027'!$CI$70:$DS$70,0),FALSE)</f>
        <v>8623</v>
      </c>
      <c r="AB55" s="9">
        <f>VLOOKUP(AB$1,'[1]Demanda requerida 2027'!$CI$74:$DS$97,MATCH(_xlfn.CONCAT(TEXT(DATE($A55,$B55,1),"mmm-yy"),$D55),'[1]Demanda requerida 2027'!$CI$70:$DS$70,0),FALSE)</f>
        <v>6325</v>
      </c>
      <c r="AC55" s="86">
        <f t="shared" si="18"/>
        <v>152240</v>
      </c>
      <c r="AD55" s="78"/>
      <c r="AE55" s="85"/>
    </row>
    <row r="56" spans="1:31" x14ac:dyDescent="0.25">
      <c r="A56" s="11">
        <v>2027</v>
      </c>
      <c r="B56" s="12">
        <v>7</v>
      </c>
      <c r="C56" s="12">
        <v>6</v>
      </c>
      <c r="D56" s="12" t="s">
        <v>5</v>
      </c>
      <c r="E56" s="7">
        <f>VLOOKUP(E$1,'[1]Demanda requerida 2027'!$CI$74:$DS$97,MATCH(_xlfn.CONCAT(TEXT(DATE($A56,$B56,1),"mmm-yy"),$D56),'[1]Demanda requerida 2027'!$CI$70:$DS$70,0),FALSE)</f>
        <v>200</v>
      </c>
      <c r="F56" s="7">
        <f>VLOOKUP(F$1,'[1]Demanda requerida 2027'!$CI$74:$DS$97,MATCH(_xlfn.CONCAT(TEXT(DATE($A56,$B56,1),"mmm-yy"),$D56),'[1]Demanda requerida 2027'!$CI$70:$DS$70,0),FALSE)</f>
        <v>200</v>
      </c>
      <c r="G56" s="7">
        <f>VLOOKUP(G$1,'[1]Demanda requerida 2027'!$CI$74:$DS$97,MATCH(_xlfn.CONCAT(TEXT(DATE($A56,$B56,1),"mmm-yy"),$D56),'[1]Demanda requerida 2027'!$CI$70:$DS$70,0),FALSE)</f>
        <v>200</v>
      </c>
      <c r="H56" s="7">
        <f>VLOOKUP(H$1,'[1]Demanda requerida 2027'!$CI$74:$DS$97,MATCH(_xlfn.CONCAT(TEXT(DATE($A56,$B56,1),"mmm-yy"),$D56),'[1]Demanda requerida 2027'!$CI$70:$DS$70,0),FALSE)</f>
        <v>200</v>
      </c>
      <c r="I56" s="7">
        <f>VLOOKUP(I$1,'[1]Demanda requerida 2027'!$CI$74:$DS$97,MATCH(_xlfn.CONCAT(TEXT(DATE($A56,$B56,1),"mmm-yy"),$D56),'[1]Demanda requerida 2027'!$CI$70:$DS$70,0),FALSE)</f>
        <v>200</v>
      </c>
      <c r="J56" s="7">
        <f>VLOOKUP(J$1,'[1]Demanda requerida 2027'!$CI$74:$DS$97,MATCH(_xlfn.CONCAT(TEXT(DATE($A56,$B56,1),"mmm-yy"),$D56),'[1]Demanda requerida 2027'!$CI$70:$DS$70,0),FALSE)</f>
        <v>200</v>
      </c>
      <c r="K56" s="7">
        <f>VLOOKUP(K$1,'[1]Demanda requerida 2027'!$CI$74:$DS$97,MATCH(_xlfn.CONCAT(TEXT(DATE($A56,$B56,1),"mmm-yy"),$D56),'[1]Demanda requerida 2027'!$CI$70:$DS$70,0),FALSE)</f>
        <v>200</v>
      </c>
      <c r="L56" s="7">
        <f>VLOOKUP(L$1,'[1]Demanda requerida 2027'!$CI$74:$DS$97,MATCH(_xlfn.CONCAT(TEXT(DATE($A56,$B56,1),"mmm-yy"),$D56),'[1]Demanda requerida 2027'!$CI$70:$DS$70,0),FALSE)</f>
        <v>200</v>
      </c>
      <c r="M56" s="7">
        <f>VLOOKUP(M$1,'[1]Demanda requerida 2027'!$CI$74:$DS$97,MATCH(_xlfn.CONCAT(TEXT(DATE($A56,$B56,1),"mmm-yy"),$D56),'[1]Demanda requerida 2027'!$CI$70:$DS$70,0),FALSE)</f>
        <v>200</v>
      </c>
      <c r="N56" s="7">
        <f>VLOOKUP(N$1,'[1]Demanda requerida 2027'!$CI$74:$DS$97,MATCH(_xlfn.CONCAT(TEXT(DATE($A56,$B56,1),"mmm-yy"),$D56),'[1]Demanda requerida 2027'!$CI$70:$DS$70,0),FALSE)</f>
        <v>200</v>
      </c>
      <c r="O56" s="7">
        <f>VLOOKUP(O$1,'[1]Demanda requerida 2027'!$CI$74:$DS$97,MATCH(_xlfn.CONCAT(TEXT(DATE($A56,$B56,1),"mmm-yy"),$D56),'[1]Demanda requerida 2027'!$CI$70:$DS$70,0),FALSE)</f>
        <v>200</v>
      </c>
      <c r="P56" s="7">
        <f>VLOOKUP(P$1,'[1]Demanda requerida 2027'!$CI$74:$DS$97,MATCH(_xlfn.CONCAT(TEXT(DATE($A56,$B56,1),"mmm-yy"),$D56),'[1]Demanda requerida 2027'!$CI$70:$DS$70,0),FALSE)</f>
        <v>200</v>
      </c>
      <c r="Q56" s="7">
        <f>VLOOKUP(Q$1,'[1]Demanda requerida 2027'!$CI$74:$DS$97,MATCH(_xlfn.CONCAT(TEXT(DATE($A56,$B56,1),"mmm-yy"),$D56),'[1]Demanda requerida 2027'!$CI$70:$DS$70,0),FALSE)</f>
        <v>613</v>
      </c>
      <c r="R56" s="7">
        <f>VLOOKUP(R$1,'[1]Demanda requerida 2027'!$CI$74:$DS$97,MATCH(_xlfn.CONCAT(TEXT(DATE($A56,$B56,1),"mmm-yy"),$D56),'[1]Demanda requerida 2027'!$CI$70:$DS$70,0),FALSE)</f>
        <v>547</v>
      </c>
      <c r="S56" s="7">
        <f>VLOOKUP(S$1,'[1]Demanda requerida 2027'!$CI$74:$DS$97,MATCH(_xlfn.CONCAT(TEXT(DATE($A56,$B56,1),"mmm-yy"),$D56),'[1]Demanda requerida 2027'!$CI$70:$DS$70,0),FALSE)</f>
        <v>200</v>
      </c>
      <c r="T56" s="7">
        <f>VLOOKUP(T$1,'[1]Demanda requerida 2027'!$CI$74:$DS$97,MATCH(_xlfn.CONCAT(TEXT(DATE($A56,$B56,1),"mmm-yy"),$D56),'[1]Demanda requerida 2027'!$CI$70:$DS$70,0),FALSE)</f>
        <v>200</v>
      </c>
      <c r="U56" s="7">
        <f>VLOOKUP(U$1,'[1]Demanda requerida 2027'!$CI$74:$DS$97,MATCH(_xlfn.CONCAT(TEXT(DATE($A56,$B56,1),"mmm-yy"),$D56),'[1]Demanda requerida 2027'!$CI$70:$DS$70,0),FALSE)</f>
        <v>200</v>
      </c>
      <c r="V56" s="7">
        <f>VLOOKUP(V$1,'[1]Demanda requerida 2027'!$CI$74:$DS$97,MATCH(_xlfn.CONCAT(TEXT(DATE($A56,$B56,1),"mmm-yy"),$D56),'[1]Demanda requerida 2027'!$CI$70:$DS$70,0),FALSE)</f>
        <v>975</v>
      </c>
      <c r="W56" s="7">
        <f>VLOOKUP(W$1,'[1]Demanda requerida 2027'!$CI$74:$DS$97,MATCH(_xlfn.CONCAT(TEXT(DATE($A56,$B56,1),"mmm-yy"),$D56),'[1]Demanda requerida 2027'!$CI$70:$DS$70,0),FALSE)</f>
        <v>1641</v>
      </c>
      <c r="X56" s="7">
        <f>VLOOKUP(X$1,'[1]Demanda requerida 2027'!$CI$74:$DS$97,MATCH(_xlfn.CONCAT(TEXT(DATE($A56,$B56,1),"mmm-yy"),$D56),'[1]Demanda requerida 2027'!$CI$70:$DS$70,0),FALSE)</f>
        <v>3729</v>
      </c>
      <c r="Y56" s="7">
        <f>VLOOKUP(Y$1,'[1]Demanda requerida 2027'!$CI$74:$DS$97,MATCH(_xlfn.CONCAT(TEXT(DATE($A56,$B56,1),"mmm-yy"),$D56),'[1]Demanda requerida 2027'!$CI$70:$DS$70,0),FALSE)</f>
        <v>3226</v>
      </c>
      <c r="Z56" s="7">
        <f>VLOOKUP(Z$1,'[1]Demanda requerida 2027'!$CI$74:$DS$97,MATCH(_xlfn.CONCAT(TEXT(DATE($A56,$B56,1),"mmm-yy"),$D56),'[1]Demanda requerida 2027'!$CI$70:$DS$70,0),FALSE)</f>
        <v>1873</v>
      </c>
      <c r="AA56" s="7">
        <f>VLOOKUP(AA$1,'[1]Demanda requerida 2027'!$CI$74:$DS$97,MATCH(_xlfn.CONCAT(TEXT(DATE($A56,$B56,1),"mmm-yy"),$D56),'[1]Demanda requerida 2027'!$CI$70:$DS$70,0),FALSE)</f>
        <v>200</v>
      </c>
      <c r="AB56" s="7">
        <f>VLOOKUP(AB$1,'[1]Demanda requerida 2027'!$CI$74:$DS$97,MATCH(_xlfn.CONCAT(TEXT(DATE($A56,$B56,1),"mmm-yy"),$D56),'[1]Demanda requerida 2027'!$CI$70:$DS$70,0),FALSE)</f>
        <v>200</v>
      </c>
      <c r="AC56" s="82">
        <f t="shared" si="18"/>
        <v>16004</v>
      </c>
      <c r="AD56" s="76">
        <f t="shared" ref="AD56" si="20">+SUMPRODUCT(AC56:AC58,C56:C58)</f>
        <v>7973639</v>
      </c>
      <c r="AE56" s="85"/>
    </row>
    <row r="57" spans="1:31" x14ac:dyDescent="0.25">
      <c r="A57" s="13">
        <v>2027</v>
      </c>
      <c r="B57" s="1">
        <v>7</v>
      </c>
      <c r="C57" s="1">
        <v>20</v>
      </c>
      <c r="D57" s="1" t="s">
        <v>31</v>
      </c>
      <c r="E57" s="8">
        <f>VLOOKUP(E$1,'[1]Demanda requerida 2027'!$CI$74:$DS$97,MATCH(_xlfn.CONCAT(TEXT(DATE($A57,$B57,1),"mmm-yy"),$D57),'[1]Demanda requerida 2027'!$CI$70:$DS$70,0),FALSE)</f>
        <v>8349</v>
      </c>
      <c r="F57" s="8">
        <f>VLOOKUP(F$1,'[1]Demanda requerida 2027'!$CI$74:$DS$97,MATCH(_xlfn.CONCAT(TEXT(DATE($A57,$B57,1),"mmm-yy"),$D57),'[1]Demanda requerida 2027'!$CI$70:$DS$70,0),FALSE)</f>
        <v>7053</v>
      </c>
      <c r="G57" s="8">
        <f>VLOOKUP(G$1,'[1]Demanda requerida 2027'!$CI$74:$DS$97,MATCH(_xlfn.CONCAT(TEXT(DATE($A57,$B57,1),"mmm-yy"),$D57),'[1]Demanda requerida 2027'!$CI$70:$DS$70,0),FALSE)</f>
        <v>6148</v>
      </c>
      <c r="H57" s="8">
        <f>VLOOKUP(H$1,'[1]Demanda requerida 2027'!$CI$74:$DS$97,MATCH(_xlfn.CONCAT(TEXT(DATE($A57,$B57,1),"mmm-yy"),$D57),'[1]Demanda requerida 2027'!$CI$70:$DS$70,0),FALSE)</f>
        <v>5674</v>
      </c>
      <c r="I57" s="8">
        <f>VLOOKUP(I$1,'[1]Demanda requerida 2027'!$CI$74:$DS$97,MATCH(_xlfn.CONCAT(TEXT(DATE($A57,$B57,1),"mmm-yy"),$D57),'[1]Demanda requerida 2027'!$CI$70:$DS$70,0),FALSE)</f>
        <v>5660</v>
      </c>
      <c r="J57" s="8">
        <f>VLOOKUP(J$1,'[1]Demanda requerida 2027'!$CI$74:$DS$97,MATCH(_xlfn.CONCAT(TEXT(DATE($A57,$B57,1),"mmm-yy"),$D57),'[1]Demanda requerida 2027'!$CI$70:$DS$70,0),FALSE)</f>
        <v>6947</v>
      </c>
      <c r="K57" s="8">
        <f>VLOOKUP(K$1,'[1]Demanda requerida 2027'!$CI$74:$DS$97,MATCH(_xlfn.CONCAT(TEXT(DATE($A57,$B57,1),"mmm-yy"),$D57),'[1]Demanda requerida 2027'!$CI$70:$DS$70,0),FALSE)</f>
        <v>8570</v>
      </c>
      <c r="L57" s="8">
        <f>VLOOKUP(L$1,'[1]Demanda requerida 2027'!$CI$74:$DS$97,MATCH(_xlfn.CONCAT(TEXT(DATE($A57,$B57,1),"mmm-yy"),$D57),'[1]Demanda requerida 2027'!$CI$70:$DS$70,0),FALSE)</f>
        <v>10352</v>
      </c>
      <c r="M57" s="8">
        <f>VLOOKUP(M$1,'[1]Demanda requerida 2027'!$CI$74:$DS$97,MATCH(_xlfn.CONCAT(TEXT(DATE($A57,$B57,1),"mmm-yy"),$D57),'[1]Demanda requerida 2027'!$CI$70:$DS$70,0),FALSE)</f>
        <v>13170</v>
      </c>
      <c r="N57" s="8">
        <f>VLOOKUP(N$1,'[1]Demanda requerida 2027'!$CI$74:$DS$97,MATCH(_xlfn.CONCAT(TEXT(DATE($A57,$B57,1),"mmm-yy"),$D57),'[1]Demanda requerida 2027'!$CI$70:$DS$70,0),FALSE)</f>
        <v>14254</v>
      </c>
      <c r="O57" s="8">
        <f>VLOOKUP(O$1,'[1]Demanda requerida 2027'!$CI$74:$DS$97,MATCH(_xlfn.CONCAT(TEXT(DATE($A57,$B57,1),"mmm-yy"),$D57),'[1]Demanda requerida 2027'!$CI$70:$DS$70,0),FALSE)</f>
        <v>15610</v>
      </c>
      <c r="P57" s="8">
        <f>VLOOKUP(P$1,'[1]Demanda requerida 2027'!$CI$74:$DS$97,MATCH(_xlfn.CONCAT(TEXT(DATE($A57,$B57,1),"mmm-yy"),$D57),'[1]Demanda requerida 2027'!$CI$70:$DS$70,0),FALSE)</f>
        <v>17474</v>
      </c>
      <c r="Q57" s="8">
        <f>VLOOKUP(Q$1,'[1]Demanda requerida 2027'!$CI$74:$DS$97,MATCH(_xlfn.CONCAT(TEXT(DATE($A57,$B57,1),"mmm-yy"),$D57),'[1]Demanda requerida 2027'!$CI$70:$DS$70,0),FALSE)</f>
        <v>17288</v>
      </c>
      <c r="R57" s="8">
        <f>VLOOKUP(R$1,'[1]Demanda requerida 2027'!$CI$74:$DS$97,MATCH(_xlfn.CONCAT(TEXT(DATE($A57,$B57,1),"mmm-yy"),$D57),'[1]Demanda requerida 2027'!$CI$70:$DS$70,0),FALSE)</f>
        <v>17952</v>
      </c>
      <c r="S57" s="8">
        <f>VLOOKUP(S$1,'[1]Demanda requerida 2027'!$CI$74:$DS$97,MATCH(_xlfn.CONCAT(TEXT(DATE($A57,$B57,1),"mmm-yy"),$D57),'[1]Demanda requerida 2027'!$CI$70:$DS$70,0),FALSE)</f>
        <v>19074</v>
      </c>
      <c r="T57" s="8">
        <f>VLOOKUP(T$1,'[1]Demanda requerida 2027'!$CI$74:$DS$97,MATCH(_xlfn.CONCAT(TEXT(DATE($A57,$B57,1),"mmm-yy"),$D57),'[1]Demanda requerida 2027'!$CI$70:$DS$70,0),FALSE)</f>
        <v>19146</v>
      </c>
      <c r="U57" s="8">
        <f>VLOOKUP(U$1,'[1]Demanda requerida 2027'!$CI$74:$DS$97,MATCH(_xlfn.CONCAT(TEXT(DATE($A57,$B57,1),"mmm-yy"),$D57),'[1]Demanda requerida 2027'!$CI$70:$DS$70,0),FALSE)</f>
        <v>18158</v>
      </c>
      <c r="V57" s="8">
        <f>VLOOKUP(V$1,'[1]Demanda requerida 2027'!$CI$74:$DS$97,MATCH(_xlfn.CONCAT(TEXT(DATE($A57,$B57,1),"mmm-yy"),$D57),'[1]Demanda requerida 2027'!$CI$70:$DS$70,0),FALSE)</f>
        <v>19156</v>
      </c>
      <c r="W57" s="8">
        <f>VLOOKUP(W$1,'[1]Demanda requerida 2027'!$CI$74:$DS$97,MATCH(_xlfn.CONCAT(TEXT(DATE($A57,$B57,1),"mmm-yy"),$D57),'[1]Demanda requerida 2027'!$CI$70:$DS$70,0),FALSE)</f>
        <v>20192</v>
      </c>
      <c r="X57" s="8">
        <f>VLOOKUP(X$1,'[1]Demanda requerida 2027'!$CI$74:$DS$97,MATCH(_xlfn.CONCAT(TEXT(DATE($A57,$B57,1),"mmm-yy"),$D57),'[1]Demanda requerida 2027'!$CI$70:$DS$70,0),FALSE)</f>
        <v>21772</v>
      </c>
      <c r="Y57" s="8">
        <f>VLOOKUP(Y$1,'[1]Demanda requerida 2027'!$CI$74:$DS$97,MATCH(_xlfn.CONCAT(TEXT(DATE($A57,$B57,1),"mmm-yy"),$D57),'[1]Demanda requerida 2027'!$CI$70:$DS$70,0),FALSE)</f>
        <v>20802</v>
      </c>
      <c r="Z57" s="8">
        <f>VLOOKUP(Z$1,'[1]Demanda requerida 2027'!$CI$74:$DS$97,MATCH(_xlfn.CONCAT(TEXT(DATE($A57,$B57,1),"mmm-yy"),$D57),'[1]Demanda requerida 2027'!$CI$70:$DS$70,0),FALSE)</f>
        <v>17920</v>
      </c>
      <c r="AA57" s="8">
        <f>VLOOKUP(AA$1,'[1]Demanda requerida 2027'!$CI$74:$DS$97,MATCH(_xlfn.CONCAT(TEXT(DATE($A57,$B57,1),"mmm-yy"),$D57),'[1]Demanda requerida 2027'!$CI$70:$DS$70,0),FALSE)</f>
        <v>14445</v>
      </c>
      <c r="AB57" s="8">
        <f>VLOOKUP(AB$1,'[1]Demanda requerida 2027'!$CI$74:$DS$97,MATCH(_xlfn.CONCAT(TEXT(DATE($A57,$B57,1),"mmm-yy"),$D57),'[1]Demanda requerida 2027'!$CI$70:$DS$70,0),FALSE)</f>
        <v>11588</v>
      </c>
      <c r="AC57" s="84">
        <f t="shared" si="18"/>
        <v>336754</v>
      </c>
      <c r="AD57" s="77"/>
      <c r="AE57" s="85"/>
    </row>
    <row r="58" spans="1:31" ht="15.75" thickBot="1" x14ac:dyDescent="0.3">
      <c r="A58" s="14">
        <v>2027</v>
      </c>
      <c r="B58" s="15">
        <v>7</v>
      </c>
      <c r="C58" s="15">
        <v>5</v>
      </c>
      <c r="D58" s="15" t="s">
        <v>6</v>
      </c>
      <c r="E58" s="9">
        <f>VLOOKUP(E$1,'[1]Demanda requerida 2027'!$CI$74:$DS$97,MATCH(_xlfn.CONCAT(TEXT(DATE($A58,$B58,1),"mmm-yy"),$D58),'[1]Demanda requerida 2027'!$CI$70:$DS$70,0),FALSE)</f>
        <v>4581</v>
      </c>
      <c r="F58" s="9">
        <f>VLOOKUP(F$1,'[1]Demanda requerida 2027'!$CI$74:$DS$97,MATCH(_xlfn.CONCAT(TEXT(DATE($A58,$B58,1),"mmm-yy"),$D58),'[1]Demanda requerida 2027'!$CI$70:$DS$70,0),FALSE)</f>
        <v>3500</v>
      </c>
      <c r="G58" s="9">
        <f>VLOOKUP(G$1,'[1]Demanda requerida 2027'!$CI$74:$DS$97,MATCH(_xlfn.CONCAT(TEXT(DATE($A58,$B58,1),"mmm-yy"),$D58),'[1]Demanda requerida 2027'!$CI$70:$DS$70,0),FALSE)</f>
        <v>2855</v>
      </c>
      <c r="H58" s="9">
        <f>VLOOKUP(H$1,'[1]Demanda requerida 2027'!$CI$74:$DS$97,MATCH(_xlfn.CONCAT(TEXT(DATE($A58,$B58,1),"mmm-yy"),$D58),'[1]Demanda requerida 2027'!$CI$70:$DS$70,0),FALSE)</f>
        <v>2238</v>
      </c>
      <c r="I58" s="9">
        <f>VLOOKUP(I$1,'[1]Demanda requerida 2027'!$CI$74:$DS$97,MATCH(_xlfn.CONCAT(TEXT(DATE($A58,$B58,1),"mmm-yy"),$D58),'[1]Demanda requerida 2027'!$CI$70:$DS$70,0),FALSE)</f>
        <v>2069</v>
      </c>
      <c r="J58" s="9">
        <f>VLOOKUP(J$1,'[1]Demanda requerida 2027'!$CI$74:$DS$97,MATCH(_xlfn.CONCAT(TEXT(DATE($A58,$B58,1),"mmm-yy"),$D58),'[1]Demanda requerida 2027'!$CI$70:$DS$70,0),FALSE)</f>
        <v>2372</v>
      </c>
      <c r="K58" s="9">
        <f>VLOOKUP(K$1,'[1]Demanda requerida 2027'!$CI$74:$DS$97,MATCH(_xlfn.CONCAT(TEXT(DATE($A58,$B58,1),"mmm-yy"),$D58),'[1]Demanda requerida 2027'!$CI$70:$DS$70,0),FALSE)</f>
        <v>3025</v>
      </c>
      <c r="L58" s="9">
        <f>VLOOKUP(L$1,'[1]Demanda requerida 2027'!$CI$74:$DS$97,MATCH(_xlfn.CONCAT(TEXT(DATE($A58,$B58,1),"mmm-yy"),$D58),'[1]Demanda requerida 2027'!$CI$70:$DS$70,0),FALSE)</f>
        <v>5355</v>
      </c>
      <c r="M58" s="9">
        <f>VLOOKUP(M$1,'[1]Demanda requerida 2027'!$CI$74:$DS$97,MATCH(_xlfn.CONCAT(TEXT(DATE($A58,$B58,1),"mmm-yy"),$D58),'[1]Demanda requerida 2027'!$CI$70:$DS$70,0),FALSE)</f>
        <v>8629</v>
      </c>
      <c r="N58" s="9">
        <f>VLOOKUP(N$1,'[1]Demanda requerida 2027'!$CI$74:$DS$97,MATCH(_xlfn.CONCAT(TEXT(DATE($A58,$B58,1),"mmm-yy"),$D58),'[1]Demanda requerida 2027'!$CI$70:$DS$70,0),FALSE)</f>
        <v>9872</v>
      </c>
      <c r="O58" s="9">
        <f>VLOOKUP(O$1,'[1]Demanda requerida 2027'!$CI$74:$DS$97,MATCH(_xlfn.CONCAT(TEXT(DATE($A58,$B58,1),"mmm-yy"),$D58),'[1]Demanda requerida 2027'!$CI$70:$DS$70,0),FALSE)</f>
        <v>10616</v>
      </c>
      <c r="P58" s="9">
        <f>VLOOKUP(P$1,'[1]Demanda requerida 2027'!$CI$74:$DS$97,MATCH(_xlfn.CONCAT(TEXT(DATE($A58,$B58,1),"mmm-yy"),$D58),'[1]Demanda requerida 2027'!$CI$70:$DS$70,0),FALSE)</f>
        <v>12701</v>
      </c>
      <c r="Q58" s="9">
        <f>VLOOKUP(Q$1,'[1]Demanda requerida 2027'!$CI$74:$DS$97,MATCH(_xlfn.CONCAT(TEXT(DATE($A58,$B58,1),"mmm-yy"),$D58),'[1]Demanda requerida 2027'!$CI$70:$DS$70,0),FALSE)</f>
        <v>13357</v>
      </c>
      <c r="R58" s="9">
        <f>VLOOKUP(R$1,'[1]Demanda requerida 2027'!$CI$74:$DS$97,MATCH(_xlfn.CONCAT(TEXT(DATE($A58,$B58,1),"mmm-yy"),$D58),'[1]Demanda requerida 2027'!$CI$70:$DS$70,0),FALSE)</f>
        <v>13189</v>
      </c>
      <c r="S58" s="9">
        <f>VLOOKUP(S$1,'[1]Demanda requerida 2027'!$CI$74:$DS$97,MATCH(_xlfn.CONCAT(TEXT(DATE($A58,$B58,1),"mmm-yy"),$D58),'[1]Demanda requerida 2027'!$CI$70:$DS$70,0),FALSE)</f>
        <v>12982</v>
      </c>
      <c r="T58" s="9">
        <f>VLOOKUP(T$1,'[1]Demanda requerida 2027'!$CI$74:$DS$97,MATCH(_xlfn.CONCAT(TEXT(DATE($A58,$B58,1),"mmm-yy"),$D58),'[1]Demanda requerida 2027'!$CI$70:$DS$70,0),FALSE)</f>
        <v>12840</v>
      </c>
      <c r="U58" s="9">
        <f>VLOOKUP(U$1,'[1]Demanda requerida 2027'!$CI$74:$DS$97,MATCH(_xlfn.CONCAT(TEXT(DATE($A58,$B58,1),"mmm-yy"),$D58),'[1]Demanda requerida 2027'!$CI$70:$DS$70,0),FALSE)</f>
        <v>12406</v>
      </c>
      <c r="V58" s="9">
        <f>VLOOKUP(V$1,'[1]Demanda requerida 2027'!$CI$74:$DS$97,MATCH(_xlfn.CONCAT(TEXT(DATE($A58,$B58,1),"mmm-yy"),$D58),'[1]Demanda requerida 2027'!$CI$70:$DS$70,0),FALSE)</f>
        <v>13917</v>
      </c>
      <c r="W58" s="9">
        <f>VLOOKUP(W$1,'[1]Demanda requerida 2027'!$CI$74:$DS$97,MATCH(_xlfn.CONCAT(TEXT(DATE($A58,$B58,1),"mmm-yy"),$D58),'[1]Demanda requerida 2027'!$CI$70:$DS$70,0),FALSE)</f>
        <v>15367</v>
      </c>
      <c r="X58" s="9">
        <f>VLOOKUP(X$1,'[1]Demanda requerida 2027'!$CI$74:$DS$97,MATCH(_xlfn.CONCAT(TEXT(DATE($A58,$B58,1),"mmm-yy"),$D58),'[1]Demanda requerida 2027'!$CI$70:$DS$70,0),FALSE)</f>
        <v>16631</v>
      </c>
      <c r="Y58" s="9">
        <f>VLOOKUP(Y$1,'[1]Demanda requerida 2027'!$CI$74:$DS$97,MATCH(_xlfn.CONCAT(TEXT(DATE($A58,$B58,1),"mmm-yy"),$D58),'[1]Demanda requerida 2027'!$CI$70:$DS$70,0),FALSE)</f>
        <v>15756</v>
      </c>
      <c r="Z58" s="9">
        <f>VLOOKUP(Z$1,'[1]Demanda requerida 2027'!$CI$74:$DS$97,MATCH(_xlfn.CONCAT(TEXT(DATE($A58,$B58,1),"mmm-yy"),$D58),'[1]Demanda requerida 2027'!$CI$70:$DS$70,0),FALSE)</f>
        <v>13850</v>
      </c>
      <c r="AA58" s="9">
        <f>VLOOKUP(AA$1,'[1]Demanda requerida 2027'!$CI$74:$DS$97,MATCH(_xlfn.CONCAT(TEXT(DATE($A58,$B58,1),"mmm-yy"),$D58),'[1]Demanda requerida 2027'!$CI$70:$DS$70,0),FALSE)</f>
        <v>11509</v>
      </c>
      <c r="AB58" s="9">
        <f>VLOOKUP(AB$1,'[1]Demanda requerida 2027'!$CI$74:$DS$97,MATCH(_xlfn.CONCAT(TEXT(DATE($A58,$B58,1),"mmm-yy"),$D58),'[1]Demanda requerida 2027'!$CI$70:$DS$70,0),FALSE)</f>
        <v>8890</v>
      </c>
      <c r="AC58" s="86">
        <f t="shared" si="18"/>
        <v>228507</v>
      </c>
      <c r="AD58" s="78"/>
      <c r="AE58" s="85"/>
    </row>
    <row r="59" spans="1:31" x14ac:dyDescent="0.25">
      <c r="A59" s="11">
        <v>2027</v>
      </c>
      <c r="B59" s="12">
        <v>8</v>
      </c>
      <c r="C59" s="12">
        <v>7</v>
      </c>
      <c r="D59" s="12" t="s">
        <v>5</v>
      </c>
      <c r="E59" s="7">
        <f>VLOOKUP(E$1,'[1]Demanda requerida 2027'!$CI$74:$DS$97,MATCH(_xlfn.CONCAT(TEXT(DATE($A59,$B59,1),"mmm-yy"),$D59),'[1]Demanda requerida 2027'!$CI$70:$DS$70,0),FALSE)</f>
        <v>200</v>
      </c>
      <c r="F59" s="7">
        <f>VLOOKUP(F$1,'[1]Demanda requerida 2027'!$CI$74:$DS$97,MATCH(_xlfn.CONCAT(TEXT(DATE($A59,$B59,1),"mmm-yy"),$D59),'[1]Demanda requerida 2027'!$CI$70:$DS$70,0),FALSE)</f>
        <v>200</v>
      </c>
      <c r="G59" s="7">
        <f>VLOOKUP(G$1,'[1]Demanda requerida 2027'!$CI$74:$DS$97,MATCH(_xlfn.CONCAT(TEXT(DATE($A59,$B59,1),"mmm-yy"),$D59),'[1]Demanda requerida 2027'!$CI$70:$DS$70,0),FALSE)</f>
        <v>200</v>
      </c>
      <c r="H59" s="7">
        <f>VLOOKUP(H$1,'[1]Demanda requerida 2027'!$CI$74:$DS$97,MATCH(_xlfn.CONCAT(TEXT(DATE($A59,$B59,1),"mmm-yy"),$D59),'[1]Demanda requerida 2027'!$CI$70:$DS$70,0),FALSE)</f>
        <v>200</v>
      </c>
      <c r="I59" s="7">
        <f>VLOOKUP(I$1,'[1]Demanda requerida 2027'!$CI$74:$DS$97,MATCH(_xlfn.CONCAT(TEXT(DATE($A59,$B59,1),"mmm-yy"),$D59),'[1]Demanda requerida 2027'!$CI$70:$DS$70,0),FALSE)</f>
        <v>200</v>
      </c>
      <c r="J59" s="7">
        <f>VLOOKUP(J$1,'[1]Demanda requerida 2027'!$CI$74:$DS$97,MATCH(_xlfn.CONCAT(TEXT(DATE($A59,$B59,1),"mmm-yy"),$D59),'[1]Demanda requerida 2027'!$CI$70:$DS$70,0),FALSE)</f>
        <v>200</v>
      </c>
      <c r="K59" s="7">
        <f>VLOOKUP(K$1,'[1]Demanda requerida 2027'!$CI$74:$DS$97,MATCH(_xlfn.CONCAT(TEXT(DATE($A59,$B59,1),"mmm-yy"),$D59),'[1]Demanda requerida 2027'!$CI$70:$DS$70,0),FALSE)</f>
        <v>200</v>
      </c>
      <c r="L59" s="7">
        <f>VLOOKUP(L$1,'[1]Demanda requerida 2027'!$CI$74:$DS$97,MATCH(_xlfn.CONCAT(TEXT(DATE($A59,$B59,1),"mmm-yy"),$D59),'[1]Demanda requerida 2027'!$CI$70:$DS$70,0),FALSE)</f>
        <v>200</v>
      </c>
      <c r="M59" s="7">
        <f>VLOOKUP(M$1,'[1]Demanda requerida 2027'!$CI$74:$DS$97,MATCH(_xlfn.CONCAT(TEXT(DATE($A59,$B59,1),"mmm-yy"),$D59),'[1]Demanda requerida 2027'!$CI$70:$DS$70,0),FALSE)</f>
        <v>200</v>
      </c>
      <c r="N59" s="7">
        <f>VLOOKUP(N$1,'[1]Demanda requerida 2027'!$CI$74:$DS$97,MATCH(_xlfn.CONCAT(TEXT(DATE($A59,$B59,1),"mmm-yy"),$D59),'[1]Demanda requerida 2027'!$CI$70:$DS$70,0),FALSE)</f>
        <v>200</v>
      </c>
      <c r="O59" s="7">
        <f>VLOOKUP(O$1,'[1]Demanda requerida 2027'!$CI$74:$DS$97,MATCH(_xlfn.CONCAT(TEXT(DATE($A59,$B59,1),"mmm-yy"),$D59),'[1]Demanda requerida 2027'!$CI$70:$DS$70,0),FALSE)</f>
        <v>411</v>
      </c>
      <c r="P59" s="7">
        <f>VLOOKUP(P$1,'[1]Demanda requerida 2027'!$CI$74:$DS$97,MATCH(_xlfn.CONCAT(TEXT(DATE($A59,$B59,1),"mmm-yy"),$D59),'[1]Demanda requerida 2027'!$CI$70:$DS$70,0),FALSE)</f>
        <v>1371</v>
      </c>
      <c r="Q59" s="7">
        <f>VLOOKUP(Q$1,'[1]Demanda requerida 2027'!$CI$74:$DS$97,MATCH(_xlfn.CONCAT(TEXT(DATE($A59,$B59,1),"mmm-yy"),$D59),'[1]Demanda requerida 2027'!$CI$70:$DS$70,0),FALSE)</f>
        <v>1971</v>
      </c>
      <c r="R59" s="7">
        <f>VLOOKUP(R$1,'[1]Demanda requerida 2027'!$CI$74:$DS$97,MATCH(_xlfn.CONCAT(TEXT(DATE($A59,$B59,1),"mmm-yy"),$D59),'[1]Demanda requerida 2027'!$CI$70:$DS$70,0),FALSE)</f>
        <v>1794</v>
      </c>
      <c r="S59" s="7">
        <f>VLOOKUP(S$1,'[1]Demanda requerida 2027'!$CI$74:$DS$97,MATCH(_xlfn.CONCAT(TEXT(DATE($A59,$B59,1),"mmm-yy"),$D59),'[1]Demanda requerida 2027'!$CI$70:$DS$70,0),FALSE)</f>
        <v>801</v>
      </c>
      <c r="T59" s="7">
        <f>VLOOKUP(T$1,'[1]Demanda requerida 2027'!$CI$74:$DS$97,MATCH(_xlfn.CONCAT(TEXT(DATE($A59,$B59,1),"mmm-yy"),$D59),'[1]Demanda requerida 2027'!$CI$70:$DS$70,0),FALSE)</f>
        <v>234</v>
      </c>
      <c r="U59" s="7">
        <f>VLOOKUP(U$1,'[1]Demanda requerida 2027'!$CI$74:$DS$97,MATCH(_xlfn.CONCAT(TEXT(DATE($A59,$B59,1),"mmm-yy"),$D59),'[1]Demanda requerida 2027'!$CI$70:$DS$70,0),FALSE)</f>
        <v>216</v>
      </c>
      <c r="V59" s="7">
        <f>VLOOKUP(V$1,'[1]Demanda requerida 2027'!$CI$74:$DS$97,MATCH(_xlfn.CONCAT(TEXT(DATE($A59,$B59,1),"mmm-yy"),$D59),'[1]Demanda requerida 2027'!$CI$70:$DS$70,0),FALSE)</f>
        <v>1392</v>
      </c>
      <c r="W59" s="7">
        <f>VLOOKUP(W$1,'[1]Demanda requerida 2027'!$CI$74:$DS$97,MATCH(_xlfn.CONCAT(TEXT(DATE($A59,$B59,1),"mmm-yy"),$D59),'[1]Demanda requerida 2027'!$CI$70:$DS$70,0),FALSE)</f>
        <v>2846</v>
      </c>
      <c r="X59" s="7">
        <f>VLOOKUP(X$1,'[1]Demanda requerida 2027'!$CI$74:$DS$97,MATCH(_xlfn.CONCAT(TEXT(DATE($A59,$B59,1),"mmm-yy"),$D59),'[1]Demanda requerida 2027'!$CI$70:$DS$70,0),FALSE)</f>
        <v>4249</v>
      </c>
      <c r="Y59" s="7">
        <f>VLOOKUP(Y$1,'[1]Demanda requerida 2027'!$CI$74:$DS$97,MATCH(_xlfn.CONCAT(TEXT(DATE($A59,$B59,1),"mmm-yy"),$D59),'[1]Demanda requerida 2027'!$CI$70:$DS$70,0),FALSE)</f>
        <v>3357</v>
      </c>
      <c r="Z59" s="7">
        <f>VLOOKUP(Z$1,'[1]Demanda requerida 2027'!$CI$74:$DS$97,MATCH(_xlfn.CONCAT(TEXT(DATE($A59,$B59,1),"mmm-yy"),$D59),'[1]Demanda requerida 2027'!$CI$70:$DS$70,0),FALSE)</f>
        <v>1788</v>
      </c>
      <c r="AA59" s="7">
        <f>VLOOKUP(AA$1,'[1]Demanda requerida 2027'!$CI$74:$DS$97,MATCH(_xlfn.CONCAT(TEXT(DATE($A59,$B59,1),"mmm-yy"),$D59),'[1]Demanda requerida 2027'!$CI$70:$DS$70,0),FALSE)</f>
        <v>200</v>
      </c>
      <c r="AB59" s="7">
        <f>VLOOKUP(AB$1,'[1]Demanda requerida 2027'!$CI$74:$DS$97,MATCH(_xlfn.CONCAT(TEXT(DATE($A59,$B59,1),"mmm-yy"),$D59),'[1]Demanda requerida 2027'!$CI$70:$DS$70,0),FALSE)</f>
        <v>200</v>
      </c>
      <c r="AC59" s="82">
        <f t="shared" si="18"/>
        <v>22830</v>
      </c>
      <c r="AD59" s="76">
        <f t="shared" ref="AD59" si="21">+SUMPRODUCT(AC59:AC61,C59:C61)</f>
        <v>6832722</v>
      </c>
      <c r="AE59" s="85"/>
    </row>
    <row r="60" spans="1:31" x14ac:dyDescent="0.25">
      <c r="A60" s="13">
        <v>2027</v>
      </c>
      <c r="B60" s="1">
        <v>8</v>
      </c>
      <c r="C60" s="1">
        <v>21</v>
      </c>
      <c r="D60" s="1" t="s">
        <v>31</v>
      </c>
      <c r="E60" s="8">
        <f>VLOOKUP(E$1,'[1]Demanda requerida 2027'!$CI$74:$DS$97,MATCH(_xlfn.CONCAT(TEXT(DATE($A60,$B60,1),"mmm-yy"),$D60),'[1]Demanda requerida 2027'!$CI$70:$DS$70,0),FALSE)</f>
        <v>4419</v>
      </c>
      <c r="F60" s="8">
        <f>VLOOKUP(F$1,'[1]Demanda requerida 2027'!$CI$74:$DS$97,MATCH(_xlfn.CONCAT(TEXT(DATE($A60,$B60,1),"mmm-yy"),$D60),'[1]Demanda requerida 2027'!$CI$70:$DS$70,0),FALSE)</f>
        <v>3493</v>
      </c>
      <c r="G60" s="8">
        <f>VLOOKUP(G$1,'[1]Demanda requerida 2027'!$CI$74:$DS$97,MATCH(_xlfn.CONCAT(TEXT(DATE($A60,$B60,1),"mmm-yy"),$D60),'[1]Demanda requerida 2027'!$CI$70:$DS$70,0),FALSE)</f>
        <v>2791</v>
      </c>
      <c r="H60" s="8">
        <f>VLOOKUP(H$1,'[1]Demanda requerida 2027'!$CI$74:$DS$97,MATCH(_xlfn.CONCAT(TEXT(DATE($A60,$B60,1),"mmm-yy"),$D60),'[1]Demanda requerida 2027'!$CI$70:$DS$70,0),FALSE)</f>
        <v>2283</v>
      </c>
      <c r="I60" s="8">
        <f>VLOOKUP(I$1,'[1]Demanda requerida 2027'!$CI$74:$DS$97,MATCH(_xlfn.CONCAT(TEXT(DATE($A60,$B60,1),"mmm-yy"),$D60),'[1]Demanda requerida 2027'!$CI$70:$DS$70,0),FALSE)</f>
        <v>2282</v>
      </c>
      <c r="J60" s="8">
        <f>VLOOKUP(J$1,'[1]Demanda requerida 2027'!$CI$74:$DS$97,MATCH(_xlfn.CONCAT(TEXT(DATE($A60,$B60,1),"mmm-yy"),$D60),'[1]Demanda requerida 2027'!$CI$70:$DS$70,0),FALSE)</f>
        <v>3662</v>
      </c>
      <c r="K60" s="8">
        <f>VLOOKUP(K$1,'[1]Demanda requerida 2027'!$CI$74:$DS$97,MATCH(_xlfn.CONCAT(TEXT(DATE($A60,$B60,1),"mmm-yy"),$D60),'[1]Demanda requerida 2027'!$CI$70:$DS$70,0),FALSE)</f>
        <v>5273</v>
      </c>
      <c r="L60" s="8">
        <f>VLOOKUP(L$1,'[1]Demanda requerida 2027'!$CI$74:$DS$97,MATCH(_xlfn.CONCAT(TEXT(DATE($A60,$B60,1),"mmm-yy"),$D60),'[1]Demanda requerida 2027'!$CI$70:$DS$70,0),FALSE)</f>
        <v>6780</v>
      </c>
      <c r="M60" s="8">
        <f>VLOOKUP(M$1,'[1]Demanda requerida 2027'!$CI$74:$DS$97,MATCH(_xlfn.CONCAT(TEXT(DATE($A60,$B60,1),"mmm-yy"),$D60),'[1]Demanda requerida 2027'!$CI$70:$DS$70,0),FALSE)</f>
        <v>9724</v>
      </c>
      <c r="N60" s="8">
        <f>VLOOKUP(N$1,'[1]Demanda requerida 2027'!$CI$74:$DS$97,MATCH(_xlfn.CONCAT(TEXT(DATE($A60,$B60,1),"mmm-yy"),$D60),'[1]Demanda requerida 2027'!$CI$70:$DS$70,0),FALSE)</f>
        <v>11304</v>
      </c>
      <c r="O60" s="8">
        <f>VLOOKUP(O$1,'[1]Demanda requerida 2027'!$CI$74:$DS$97,MATCH(_xlfn.CONCAT(TEXT(DATE($A60,$B60,1),"mmm-yy"),$D60),'[1]Demanda requerida 2027'!$CI$70:$DS$70,0),FALSE)</f>
        <v>13029</v>
      </c>
      <c r="P60" s="8">
        <f>VLOOKUP(P$1,'[1]Demanda requerida 2027'!$CI$74:$DS$97,MATCH(_xlfn.CONCAT(TEXT(DATE($A60,$B60,1),"mmm-yy"),$D60),'[1]Demanda requerida 2027'!$CI$70:$DS$70,0),FALSE)</f>
        <v>15046</v>
      </c>
      <c r="Q60" s="8">
        <f>VLOOKUP(Q$1,'[1]Demanda requerida 2027'!$CI$74:$DS$97,MATCH(_xlfn.CONCAT(TEXT(DATE($A60,$B60,1),"mmm-yy"),$D60),'[1]Demanda requerida 2027'!$CI$70:$DS$70,0),FALSE)</f>
        <v>14950</v>
      </c>
      <c r="R60" s="8">
        <f>VLOOKUP(R$1,'[1]Demanda requerida 2027'!$CI$74:$DS$97,MATCH(_xlfn.CONCAT(TEXT(DATE($A60,$B60,1),"mmm-yy"),$D60),'[1]Demanda requerida 2027'!$CI$70:$DS$70,0),FALSE)</f>
        <v>14996</v>
      </c>
      <c r="S60" s="8">
        <f>VLOOKUP(S$1,'[1]Demanda requerida 2027'!$CI$74:$DS$97,MATCH(_xlfn.CONCAT(TEXT(DATE($A60,$B60,1),"mmm-yy"),$D60),'[1]Demanda requerida 2027'!$CI$70:$DS$70,0),FALSE)</f>
        <v>15283</v>
      </c>
      <c r="T60" s="8">
        <f>VLOOKUP(T$1,'[1]Demanda requerida 2027'!$CI$74:$DS$97,MATCH(_xlfn.CONCAT(TEXT(DATE($A60,$B60,1),"mmm-yy"),$D60),'[1]Demanda requerida 2027'!$CI$70:$DS$70,0),FALSE)</f>
        <v>15180</v>
      </c>
      <c r="U60" s="8">
        <f>VLOOKUP(U$1,'[1]Demanda requerida 2027'!$CI$74:$DS$97,MATCH(_xlfn.CONCAT(TEXT(DATE($A60,$B60,1),"mmm-yy"),$D60),'[1]Demanda requerida 2027'!$CI$70:$DS$70,0),FALSE)</f>
        <v>14781</v>
      </c>
      <c r="V60" s="8">
        <f>VLOOKUP(V$1,'[1]Demanda requerida 2027'!$CI$74:$DS$97,MATCH(_xlfn.CONCAT(TEXT(DATE($A60,$B60,1),"mmm-yy"),$D60),'[1]Demanda requerida 2027'!$CI$70:$DS$70,0),FALSE)</f>
        <v>15524</v>
      </c>
      <c r="W60" s="8">
        <f>VLOOKUP(W$1,'[1]Demanda requerida 2027'!$CI$74:$DS$97,MATCH(_xlfn.CONCAT(TEXT(DATE($A60,$B60,1),"mmm-yy"),$D60),'[1]Demanda requerida 2027'!$CI$70:$DS$70,0),FALSE)</f>
        <v>16351</v>
      </c>
      <c r="X60" s="8">
        <f>VLOOKUP(X$1,'[1]Demanda requerida 2027'!$CI$74:$DS$97,MATCH(_xlfn.CONCAT(TEXT(DATE($A60,$B60,1),"mmm-yy"),$D60),'[1]Demanda requerida 2027'!$CI$70:$DS$70,0),FALSE)</f>
        <v>17814</v>
      </c>
      <c r="Y60" s="8">
        <f>VLOOKUP(Y$1,'[1]Demanda requerida 2027'!$CI$74:$DS$97,MATCH(_xlfn.CONCAT(TEXT(DATE($A60,$B60,1),"mmm-yy"),$D60),'[1]Demanda requerida 2027'!$CI$70:$DS$70,0),FALSE)</f>
        <v>16618</v>
      </c>
      <c r="Z60" s="8">
        <f>VLOOKUP(Z$1,'[1]Demanda requerida 2027'!$CI$74:$DS$97,MATCH(_xlfn.CONCAT(TEXT(DATE($A60,$B60,1),"mmm-yy"),$D60),'[1]Demanda requerida 2027'!$CI$70:$DS$70,0),FALSE)</f>
        <v>13970</v>
      </c>
      <c r="AA60" s="8">
        <f>VLOOKUP(AA$1,'[1]Demanda requerida 2027'!$CI$74:$DS$97,MATCH(_xlfn.CONCAT(TEXT(DATE($A60,$B60,1),"mmm-yy"),$D60),'[1]Demanda requerida 2027'!$CI$70:$DS$70,0),FALSE)</f>
        <v>10264</v>
      </c>
      <c r="AB60" s="8">
        <f>VLOOKUP(AB$1,'[1]Demanda requerida 2027'!$CI$74:$DS$97,MATCH(_xlfn.CONCAT(TEXT(DATE($A60,$B60,1),"mmm-yy"),$D60),'[1]Demanda requerida 2027'!$CI$70:$DS$70,0),FALSE)</f>
        <v>7353</v>
      </c>
      <c r="AC60" s="84">
        <f t="shared" si="18"/>
        <v>253170</v>
      </c>
      <c r="AD60" s="77"/>
      <c r="AE60" s="85"/>
    </row>
    <row r="61" spans="1:31" ht="15.75" thickBot="1" x14ac:dyDescent="0.3">
      <c r="A61" s="14">
        <v>2027</v>
      </c>
      <c r="B61" s="15">
        <v>8</v>
      </c>
      <c r="C61" s="15">
        <v>3</v>
      </c>
      <c r="D61" s="15" t="s">
        <v>6</v>
      </c>
      <c r="E61" s="9">
        <f>VLOOKUP(E$1,'[1]Demanda requerida 2027'!$CI$74:$DS$97,MATCH(_xlfn.CONCAT(TEXT(DATE($A61,$B61,1),"mmm-yy"),$D61),'[1]Demanda requerida 2027'!$CI$70:$DS$70,0),FALSE)</f>
        <v>10879</v>
      </c>
      <c r="F61" s="9">
        <f>VLOOKUP(F$1,'[1]Demanda requerida 2027'!$CI$74:$DS$97,MATCH(_xlfn.CONCAT(TEXT(DATE($A61,$B61,1),"mmm-yy"),$D61),'[1]Demanda requerida 2027'!$CI$70:$DS$70,0),FALSE)</f>
        <v>10528</v>
      </c>
      <c r="G61" s="9">
        <f>VLOOKUP(G$1,'[1]Demanda requerida 2027'!$CI$74:$DS$97,MATCH(_xlfn.CONCAT(TEXT(DATE($A61,$B61,1),"mmm-yy"),$D61),'[1]Demanda requerida 2027'!$CI$70:$DS$70,0),FALSE)</f>
        <v>9725</v>
      </c>
      <c r="H61" s="9">
        <f>VLOOKUP(H$1,'[1]Demanda requerida 2027'!$CI$74:$DS$97,MATCH(_xlfn.CONCAT(TEXT(DATE($A61,$B61,1),"mmm-yy"),$D61),'[1]Demanda requerida 2027'!$CI$70:$DS$70,0),FALSE)</f>
        <v>8910</v>
      </c>
      <c r="I61" s="9">
        <f>VLOOKUP(I$1,'[1]Demanda requerida 2027'!$CI$74:$DS$97,MATCH(_xlfn.CONCAT(TEXT(DATE($A61,$B61,1),"mmm-yy"),$D61),'[1]Demanda requerida 2027'!$CI$70:$DS$70,0),FALSE)</f>
        <v>8745</v>
      </c>
      <c r="J61" s="9">
        <f>VLOOKUP(J$1,'[1]Demanda requerida 2027'!$CI$74:$DS$97,MATCH(_xlfn.CONCAT(TEXT(DATE($A61,$B61,1),"mmm-yy"),$D61),'[1]Demanda requerida 2027'!$CI$70:$DS$70,0),FALSE)</f>
        <v>9145</v>
      </c>
      <c r="K61" s="9">
        <f>VLOOKUP(K$1,'[1]Demanda requerida 2027'!$CI$74:$DS$97,MATCH(_xlfn.CONCAT(TEXT(DATE($A61,$B61,1),"mmm-yy"),$D61),'[1]Demanda requerida 2027'!$CI$70:$DS$70,0),FALSE)</f>
        <v>10350</v>
      </c>
      <c r="L61" s="9">
        <f>VLOOKUP(L$1,'[1]Demanda requerida 2027'!$CI$74:$DS$97,MATCH(_xlfn.CONCAT(TEXT(DATE($A61,$B61,1),"mmm-yy"),$D61),'[1]Demanda requerida 2027'!$CI$70:$DS$70,0),FALSE)</f>
        <v>13545</v>
      </c>
      <c r="M61" s="9">
        <f>VLOOKUP(M$1,'[1]Demanda requerida 2027'!$CI$74:$DS$97,MATCH(_xlfn.CONCAT(TEXT(DATE($A61,$B61,1),"mmm-yy"),$D61),'[1]Demanda requerida 2027'!$CI$70:$DS$70,0),FALSE)</f>
        <v>17878</v>
      </c>
      <c r="N61" s="9">
        <f>VLOOKUP(N$1,'[1]Demanda requerida 2027'!$CI$74:$DS$97,MATCH(_xlfn.CONCAT(TEXT(DATE($A61,$B61,1),"mmm-yy"),$D61),'[1]Demanda requerida 2027'!$CI$70:$DS$70,0),FALSE)</f>
        <v>20550</v>
      </c>
      <c r="O61" s="9">
        <f>VLOOKUP(O$1,'[1]Demanda requerida 2027'!$CI$74:$DS$97,MATCH(_xlfn.CONCAT(TEXT(DATE($A61,$B61,1),"mmm-yy"),$D61),'[1]Demanda requerida 2027'!$CI$70:$DS$70,0),FALSE)</f>
        <v>22815</v>
      </c>
      <c r="P61" s="9">
        <f>VLOOKUP(P$1,'[1]Demanda requerida 2027'!$CI$74:$DS$97,MATCH(_xlfn.CONCAT(TEXT(DATE($A61,$B61,1),"mmm-yy"),$D61),'[1]Demanda requerida 2027'!$CI$70:$DS$70,0),FALSE)</f>
        <v>25542</v>
      </c>
      <c r="Q61" s="9">
        <f>VLOOKUP(Q$1,'[1]Demanda requerida 2027'!$CI$74:$DS$97,MATCH(_xlfn.CONCAT(TEXT(DATE($A61,$B61,1),"mmm-yy"),$D61),'[1]Demanda requerida 2027'!$CI$70:$DS$70,0),FALSE)</f>
        <v>26185</v>
      </c>
      <c r="R61" s="9">
        <f>VLOOKUP(R$1,'[1]Demanda requerida 2027'!$CI$74:$DS$97,MATCH(_xlfn.CONCAT(TEXT(DATE($A61,$B61,1),"mmm-yy"),$D61),'[1]Demanda requerida 2027'!$CI$70:$DS$70,0),FALSE)</f>
        <v>25426</v>
      </c>
      <c r="S61" s="9">
        <f>VLOOKUP(S$1,'[1]Demanda requerida 2027'!$CI$74:$DS$97,MATCH(_xlfn.CONCAT(TEXT(DATE($A61,$B61,1),"mmm-yy"),$D61),'[1]Demanda requerida 2027'!$CI$70:$DS$70,0),FALSE)</f>
        <v>24298</v>
      </c>
      <c r="T61" s="9">
        <f>VLOOKUP(T$1,'[1]Demanda requerida 2027'!$CI$74:$DS$97,MATCH(_xlfn.CONCAT(TEXT(DATE($A61,$B61,1),"mmm-yy"),$D61),'[1]Demanda requerida 2027'!$CI$70:$DS$70,0),FALSE)</f>
        <v>23468</v>
      </c>
      <c r="U61" s="9">
        <f>VLOOKUP(U$1,'[1]Demanda requerida 2027'!$CI$74:$DS$97,MATCH(_xlfn.CONCAT(TEXT(DATE($A61,$B61,1),"mmm-yy"),$D61),'[1]Demanda requerida 2027'!$CI$70:$DS$70,0),FALSE)</f>
        <v>22548</v>
      </c>
      <c r="V61" s="9">
        <f>VLOOKUP(V$1,'[1]Demanda requerida 2027'!$CI$74:$DS$97,MATCH(_xlfn.CONCAT(TEXT(DATE($A61,$B61,1),"mmm-yy"),$D61),'[1]Demanda requerida 2027'!$CI$70:$DS$70,0),FALSE)</f>
        <v>24079</v>
      </c>
      <c r="W61" s="9">
        <f>VLOOKUP(W$1,'[1]Demanda requerida 2027'!$CI$74:$DS$97,MATCH(_xlfn.CONCAT(TEXT(DATE($A61,$B61,1),"mmm-yy"),$D61),'[1]Demanda requerida 2027'!$CI$70:$DS$70,0),FALSE)</f>
        <v>26621</v>
      </c>
      <c r="X61" s="9">
        <f>VLOOKUP(X$1,'[1]Demanda requerida 2027'!$CI$74:$DS$97,MATCH(_xlfn.CONCAT(TEXT(DATE($A61,$B61,1),"mmm-yy"),$D61),'[1]Demanda requerida 2027'!$CI$70:$DS$70,0),FALSE)</f>
        <v>27244</v>
      </c>
      <c r="Y61" s="9">
        <f>VLOOKUP(Y$1,'[1]Demanda requerida 2027'!$CI$74:$DS$97,MATCH(_xlfn.CONCAT(TEXT(DATE($A61,$B61,1),"mmm-yy"),$D61),'[1]Demanda requerida 2027'!$CI$70:$DS$70,0),FALSE)</f>
        <v>25463</v>
      </c>
      <c r="Z61" s="9">
        <f>VLOOKUP(Z$1,'[1]Demanda requerida 2027'!$CI$74:$DS$97,MATCH(_xlfn.CONCAT(TEXT(DATE($A61,$B61,1),"mmm-yy"),$D61),'[1]Demanda requerida 2027'!$CI$70:$DS$70,0),FALSE)</f>
        <v>22492</v>
      </c>
      <c r="AA61" s="9">
        <f>VLOOKUP(AA$1,'[1]Demanda requerida 2027'!$CI$74:$DS$97,MATCH(_xlfn.CONCAT(TEXT(DATE($A61,$B61,1),"mmm-yy"),$D61),'[1]Demanda requerida 2027'!$CI$70:$DS$70,0),FALSE)</f>
        <v>19293</v>
      </c>
      <c r="AB61" s="9">
        <f>VLOOKUP(AB$1,'[1]Demanda requerida 2027'!$CI$74:$DS$97,MATCH(_xlfn.CONCAT(TEXT(DATE($A61,$B61,1),"mmm-yy"),$D61),'[1]Demanda requerida 2027'!$CI$70:$DS$70,0),FALSE)</f>
        <v>16385</v>
      </c>
      <c r="AC61" s="86">
        <f t="shared" si="18"/>
        <v>452114</v>
      </c>
      <c r="AD61" s="78"/>
      <c r="AE61" s="85"/>
    </row>
    <row r="62" spans="1:31" x14ac:dyDescent="0.25">
      <c r="A62" s="11">
        <v>2027</v>
      </c>
      <c r="B62" s="12">
        <v>9</v>
      </c>
      <c r="C62" s="12">
        <v>4</v>
      </c>
      <c r="D62" s="12" t="s">
        <v>5</v>
      </c>
      <c r="E62" s="7">
        <f>VLOOKUP(E$1,'[1]Demanda requerida 2027'!$CI$74:$DS$97,MATCH(_xlfn.CONCAT(TEXT(DATE($A62,$B62,1),"mmm-yy"),$D62),'[1]Demanda requerida 2027'!$CI$70:$DS$70,0),FALSE)</f>
        <v>200</v>
      </c>
      <c r="F62" s="7">
        <f>VLOOKUP(F$1,'[1]Demanda requerida 2027'!$CI$74:$DS$97,MATCH(_xlfn.CONCAT(TEXT(DATE($A62,$B62,1),"mmm-yy"),$D62),'[1]Demanda requerida 2027'!$CI$70:$DS$70,0),FALSE)</f>
        <v>200</v>
      </c>
      <c r="G62" s="7">
        <f>VLOOKUP(G$1,'[1]Demanda requerida 2027'!$CI$74:$DS$97,MATCH(_xlfn.CONCAT(TEXT(DATE($A62,$B62,1),"mmm-yy"),$D62),'[1]Demanda requerida 2027'!$CI$70:$DS$70,0),FALSE)</f>
        <v>200</v>
      </c>
      <c r="H62" s="7">
        <f>VLOOKUP(H$1,'[1]Demanda requerida 2027'!$CI$74:$DS$97,MATCH(_xlfn.CONCAT(TEXT(DATE($A62,$B62,1),"mmm-yy"),$D62),'[1]Demanda requerida 2027'!$CI$70:$DS$70,0),FALSE)</f>
        <v>200</v>
      </c>
      <c r="I62" s="7">
        <f>VLOOKUP(I$1,'[1]Demanda requerida 2027'!$CI$74:$DS$97,MATCH(_xlfn.CONCAT(TEXT(DATE($A62,$B62,1),"mmm-yy"),$D62),'[1]Demanda requerida 2027'!$CI$70:$DS$70,0),FALSE)</f>
        <v>200</v>
      </c>
      <c r="J62" s="7">
        <f>VLOOKUP(J$1,'[1]Demanda requerida 2027'!$CI$74:$DS$97,MATCH(_xlfn.CONCAT(TEXT(DATE($A62,$B62,1),"mmm-yy"),$D62),'[1]Demanda requerida 2027'!$CI$70:$DS$70,0),FALSE)</f>
        <v>200</v>
      </c>
      <c r="K62" s="7">
        <f>VLOOKUP(K$1,'[1]Demanda requerida 2027'!$CI$74:$DS$97,MATCH(_xlfn.CONCAT(TEXT(DATE($A62,$B62,1),"mmm-yy"),$D62),'[1]Demanda requerida 2027'!$CI$70:$DS$70,0),FALSE)</f>
        <v>200</v>
      </c>
      <c r="L62" s="7">
        <f>VLOOKUP(L$1,'[1]Demanda requerida 2027'!$CI$74:$DS$97,MATCH(_xlfn.CONCAT(TEXT(DATE($A62,$B62,1),"mmm-yy"),$D62),'[1]Demanda requerida 2027'!$CI$70:$DS$70,0),FALSE)</f>
        <v>200</v>
      </c>
      <c r="M62" s="7">
        <f>VLOOKUP(M$1,'[1]Demanda requerida 2027'!$CI$74:$DS$97,MATCH(_xlfn.CONCAT(TEXT(DATE($A62,$B62,1),"mmm-yy"),$D62),'[1]Demanda requerida 2027'!$CI$70:$DS$70,0),FALSE)</f>
        <v>200</v>
      </c>
      <c r="N62" s="7">
        <f>VLOOKUP(N$1,'[1]Demanda requerida 2027'!$CI$74:$DS$97,MATCH(_xlfn.CONCAT(TEXT(DATE($A62,$B62,1),"mmm-yy"),$D62),'[1]Demanda requerida 2027'!$CI$70:$DS$70,0),FALSE)</f>
        <v>200</v>
      </c>
      <c r="O62" s="7">
        <f>VLOOKUP(O$1,'[1]Demanda requerida 2027'!$CI$74:$DS$97,MATCH(_xlfn.CONCAT(TEXT(DATE($A62,$B62,1),"mmm-yy"),$D62),'[1]Demanda requerida 2027'!$CI$70:$DS$70,0),FALSE)</f>
        <v>834</v>
      </c>
      <c r="P62" s="7">
        <f>VLOOKUP(P$1,'[1]Demanda requerida 2027'!$CI$74:$DS$97,MATCH(_xlfn.CONCAT(TEXT(DATE($A62,$B62,1),"mmm-yy"),$D62),'[1]Demanda requerida 2027'!$CI$70:$DS$70,0),FALSE)</f>
        <v>2141</v>
      </c>
      <c r="Q62" s="7">
        <f>VLOOKUP(Q$1,'[1]Demanda requerida 2027'!$CI$74:$DS$97,MATCH(_xlfn.CONCAT(TEXT(DATE($A62,$B62,1),"mmm-yy"),$D62),'[1]Demanda requerida 2027'!$CI$70:$DS$70,0),FALSE)</f>
        <v>3453</v>
      </c>
      <c r="R62" s="7">
        <f>VLOOKUP(R$1,'[1]Demanda requerida 2027'!$CI$74:$DS$97,MATCH(_xlfn.CONCAT(TEXT(DATE($A62,$B62,1),"mmm-yy"),$D62),'[1]Demanda requerida 2027'!$CI$70:$DS$70,0),FALSE)</f>
        <v>3051</v>
      </c>
      <c r="S62" s="7">
        <f>VLOOKUP(S$1,'[1]Demanda requerida 2027'!$CI$74:$DS$97,MATCH(_xlfn.CONCAT(TEXT(DATE($A62,$B62,1),"mmm-yy"),$D62),'[1]Demanda requerida 2027'!$CI$70:$DS$70,0),FALSE)</f>
        <v>2793</v>
      </c>
      <c r="T62" s="7">
        <f>VLOOKUP(T$1,'[1]Demanda requerida 2027'!$CI$74:$DS$97,MATCH(_xlfn.CONCAT(TEXT(DATE($A62,$B62,1),"mmm-yy"),$D62),'[1]Demanda requerida 2027'!$CI$70:$DS$70,0),FALSE)</f>
        <v>1646</v>
      </c>
      <c r="U62" s="7">
        <f>VLOOKUP(U$1,'[1]Demanda requerida 2027'!$CI$74:$DS$97,MATCH(_xlfn.CONCAT(TEXT(DATE($A62,$B62,1),"mmm-yy"),$D62),'[1]Demanda requerida 2027'!$CI$70:$DS$70,0),FALSE)</f>
        <v>1021</v>
      </c>
      <c r="V62" s="7">
        <f>VLOOKUP(V$1,'[1]Demanda requerida 2027'!$CI$74:$DS$97,MATCH(_xlfn.CONCAT(TEXT(DATE($A62,$B62,1),"mmm-yy"),$D62),'[1]Demanda requerida 2027'!$CI$70:$DS$70,0),FALSE)</f>
        <v>2773</v>
      </c>
      <c r="W62" s="7">
        <f>VLOOKUP(W$1,'[1]Demanda requerida 2027'!$CI$74:$DS$97,MATCH(_xlfn.CONCAT(TEXT(DATE($A62,$B62,1),"mmm-yy"),$D62),'[1]Demanda requerida 2027'!$CI$70:$DS$70,0),FALSE)</f>
        <v>5584</v>
      </c>
      <c r="X62" s="7">
        <f>VLOOKUP(X$1,'[1]Demanda requerida 2027'!$CI$74:$DS$97,MATCH(_xlfn.CONCAT(TEXT(DATE($A62,$B62,1),"mmm-yy"),$D62),'[1]Demanda requerida 2027'!$CI$70:$DS$70,0),FALSE)</f>
        <v>6602</v>
      </c>
      <c r="Y62" s="7">
        <f>VLOOKUP(Y$1,'[1]Demanda requerida 2027'!$CI$74:$DS$97,MATCH(_xlfn.CONCAT(TEXT(DATE($A62,$B62,1),"mmm-yy"),$D62),'[1]Demanda requerida 2027'!$CI$70:$DS$70,0),FALSE)</f>
        <v>3845</v>
      </c>
      <c r="Z62" s="7">
        <f>VLOOKUP(Z$1,'[1]Demanda requerida 2027'!$CI$74:$DS$97,MATCH(_xlfn.CONCAT(TEXT(DATE($A62,$B62,1),"mmm-yy"),$D62),'[1]Demanda requerida 2027'!$CI$70:$DS$70,0),FALSE)</f>
        <v>1795</v>
      </c>
      <c r="AA62" s="7">
        <f>VLOOKUP(AA$1,'[1]Demanda requerida 2027'!$CI$74:$DS$97,MATCH(_xlfn.CONCAT(TEXT(DATE($A62,$B62,1),"mmm-yy"),$D62),'[1]Demanda requerida 2027'!$CI$70:$DS$70,0),FALSE)</f>
        <v>200</v>
      </c>
      <c r="AB62" s="7">
        <f>VLOOKUP(AB$1,'[1]Demanda requerida 2027'!$CI$74:$DS$97,MATCH(_xlfn.CONCAT(TEXT(DATE($A62,$B62,1),"mmm-yy"),$D62),'[1]Demanda requerida 2027'!$CI$70:$DS$70,0),FALSE)</f>
        <v>200</v>
      </c>
      <c r="AC62" s="82">
        <f t="shared" si="18"/>
        <v>37938</v>
      </c>
      <c r="AD62" s="76">
        <f t="shared" ref="AD62" si="22">+SUMPRODUCT(AC62:AC64,C62:C64)</f>
        <v>2528108</v>
      </c>
      <c r="AE62" s="85"/>
    </row>
    <row r="63" spans="1:31" x14ac:dyDescent="0.25">
      <c r="A63" s="13">
        <v>2027</v>
      </c>
      <c r="B63" s="1">
        <v>9</v>
      </c>
      <c r="C63" s="1">
        <v>22</v>
      </c>
      <c r="D63" s="1" t="s">
        <v>31</v>
      </c>
      <c r="E63" s="8">
        <f>VLOOKUP(E$1,'[1]Demanda requerida 2027'!$CI$74:$DS$97,MATCH(_xlfn.CONCAT(TEXT(DATE($A63,$B63,1),"mmm-yy"),$D63),'[1]Demanda requerida 2027'!$CI$70:$DS$70,0),FALSE)</f>
        <v>200</v>
      </c>
      <c r="F63" s="8">
        <f>VLOOKUP(F$1,'[1]Demanda requerida 2027'!$CI$74:$DS$97,MATCH(_xlfn.CONCAT(TEXT(DATE($A63,$B63,1),"mmm-yy"),$D63),'[1]Demanda requerida 2027'!$CI$70:$DS$70,0),FALSE)</f>
        <v>200</v>
      </c>
      <c r="G63" s="8">
        <f>VLOOKUP(G$1,'[1]Demanda requerida 2027'!$CI$74:$DS$97,MATCH(_xlfn.CONCAT(TEXT(DATE($A63,$B63,1),"mmm-yy"),$D63),'[1]Demanda requerida 2027'!$CI$70:$DS$70,0),FALSE)</f>
        <v>200</v>
      </c>
      <c r="H63" s="8">
        <f>VLOOKUP(H$1,'[1]Demanda requerida 2027'!$CI$74:$DS$97,MATCH(_xlfn.CONCAT(TEXT(DATE($A63,$B63,1),"mmm-yy"),$D63),'[1]Demanda requerida 2027'!$CI$70:$DS$70,0),FALSE)</f>
        <v>200</v>
      </c>
      <c r="I63" s="8">
        <f>VLOOKUP(I$1,'[1]Demanda requerida 2027'!$CI$74:$DS$97,MATCH(_xlfn.CONCAT(TEXT(DATE($A63,$B63,1),"mmm-yy"),$D63),'[1]Demanda requerida 2027'!$CI$70:$DS$70,0),FALSE)</f>
        <v>200</v>
      </c>
      <c r="J63" s="8">
        <f>VLOOKUP(J$1,'[1]Demanda requerida 2027'!$CI$74:$DS$97,MATCH(_xlfn.CONCAT(TEXT(DATE($A63,$B63,1),"mmm-yy"),$D63),'[1]Demanda requerida 2027'!$CI$70:$DS$70,0),FALSE)</f>
        <v>200</v>
      </c>
      <c r="K63" s="8">
        <f>VLOOKUP(K$1,'[1]Demanda requerida 2027'!$CI$74:$DS$97,MATCH(_xlfn.CONCAT(TEXT(DATE($A63,$B63,1),"mmm-yy"),$D63),'[1]Demanda requerida 2027'!$CI$70:$DS$70,0),FALSE)</f>
        <v>200</v>
      </c>
      <c r="L63" s="8">
        <f>VLOOKUP(L$1,'[1]Demanda requerida 2027'!$CI$74:$DS$97,MATCH(_xlfn.CONCAT(TEXT(DATE($A63,$B63,1),"mmm-yy"),$D63),'[1]Demanda requerida 2027'!$CI$70:$DS$70,0),FALSE)</f>
        <v>200</v>
      </c>
      <c r="M63" s="8">
        <f>VLOOKUP(M$1,'[1]Demanda requerida 2027'!$CI$74:$DS$97,MATCH(_xlfn.CONCAT(TEXT(DATE($A63,$B63,1),"mmm-yy"),$D63),'[1]Demanda requerida 2027'!$CI$70:$DS$70,0),FALSE)</f>
        <v>1468</v>
      </c>
      <c r="N63" s="8">
        <f>VLOOKUP(N$1,'[1]Demanda requerida 2027'!$CI$74:$DS$97,MATCH(_xlfn.CONCAT(TEXT(DATE($A63,$B63,1),"mmm-yy"),$D63),'[1]Demanda requerida 2027'!$CI$70:$DS$70,0),FALSE)</f>
        <v>2711</v>
      </c>
      <c r="O63" s="8">
        <f>VLOOKUP(O$1,'[1]Demanda requerida 2027'!$CI$74:$DS$97,MATCH(_xlfn.CONCAT(TEXT(DATE($A63,$B63,1),"mmm-yy"),$D63),'[1]Demanda requerida 2027'!$CI$70:$DS$70,0),FALSE)</f>
        <v>4216</v>
      </c>
      <c r="P63" s="8">
        <f>VLOOKUP(P$1,'[1]Demanda requerida 2027'!$CI$74:$DS$97,MATCH(_xlfn.CONCAT(TEXT(DATE($A63,$B63,1),"mmm-yy"),$D63),'[1]Demanda requerida 2027'!$CI$70:$DS$70,0),FALSE)</f>
        <v>6487</v>
      </c>
      <c r="Q63" s="8">
        <f>VLOOKUP(Q$1,'[1]Demanda requerida 2027'!$CI$74:$DS$97,MATCH(_xlfn.CONCAT(TEXT(DATE($A63,$B63,1),"mmm-yy"),$D63),'[1]Demanda requerida 2027'!$CI$70:$DS$70,0),FALSE)</f>
        <v>6686</v>
      </c>
      <c r="R63" s="8">
        <f>VLOOKUP(R$1,'[1]Demanda requerida 2027'!$CI$74:$DS$97,MATCH(_xlfn.CONCAT(TEXT(DATE($A63,$B63,1),"mmm-yy"),$D63),'[1]Demanda requerida 2027'!$CI$70:$DS$70,0),FALSE)</f>
        <v>6823</v>
      </c>
      <c r="S63" s="8">
        <f>VLOOKUP(S$1,'[1]Demanda requerida 2027'!$CI$74:$DS$97,MATCH(_xlfn.CONCAT(TEXT(DATE($A63,$B63,1),"mmm-yy"),$D63),'[1]Demanda requerida 2027'!$CI$70:$DS$70,0),FALSE)</f>
        <v>7125</v>
      </c>
      <c r="T63" s="8">
        <f>VLOOKUP(T$1,'[1]Demanda requerida 2027'!$CI$74:$DS$97,MATCH(_xlfn.CONCAT(TEXT(DATE($A63,$B63,1),"mmm-yy"),$D63),'[1]Demanda requerida 2027'!$CI$70:$DS$70,0),FALSE)</f>
        <v>6987</v>
      </c>
      <c r="U63" s="8">
        <f>VLOOKUP(U$1,'[1]Demanda requerida 2027'!$CI$74:$DS$97,MATCH(_xlfn.CONCAT(TEXT(DATE($A63,$B63,1),"mmm-yy"),$D63),'[1]Demanda requerida 2027'!$CI$70:$DS$70,0),FALSE)</f>
        <v>6622</v>
      </c>
      <c r="V63" s="8">
        <f>VLOOKUP(V$1,'[1]Demanda requerida 2027'!$CI$74:$DS$97,MATCH(_xlfn.CONCAT(TEXT(DATE($A63,$B63,1),"mmm-yy"),$D63),'[1]Demanda requerida 2027'!$CI$70:$DS$70,0),FALSE)</f>
        <v>7485</v>
      </c>
      <c r="W63" s="8">
        <f>VLOOKUP(W$1,'[1]Demanda requerida 2027'!$CI$74:$DS$97,MATCH(_xlfn.CONCAT(TEXT(DATE($A63,$B63,1),"mmm-yy"),$D63),'[1]Demanda requerida 2027'!$CI$70:$DS$70,0),FALSE)</f>
        <v>9037</v>
      </c>
      <c r="X63" s="8">
        <f>VLOOKUP(X$1,'[1]Demanda requerida 2027'!$CI$74:$DS$97,MATCH(_xlfn.CONCAT(TEXT(DATE($A63,$B63,1),"mmm-yy"),$D63),'[1]Demanda requerida 2027'!$CI$70:$DS$70,0),FALSE)</f>
        <v>10094</v>
      </c>
      <c r="Y63" s="8">
        <f>VLOOKUP(Y$1,'[1]Demanda requerida 2027'!$CI$74:$DS$97,MATCH(_xlfn.CONCAT(TEXT(DATE($A63,$B63,1),"mmm-yy"),$D63),'[1]Demanda requerida 2027'!$CI$70:$DS$70,0),FALSE)</f>
        <v>9007</v>
      </c>
      <c r="Z63" s="8">
        <f>VLOOKUP(Z$1,'[1]Demanda requerida 2027'!$CI$74:$DS$97,MATCH(_xlfn.CONCAT(TEXT(DATE($A63,$B63,1),"mmm-yy"),$D63),'[1]Demanda requerida 2027'!$CI$70:$DS$70,0),FALSE)</f>
        <v>6506</v>
      </c>
      <c r="AA63" s="8">
        <f>VLOOKUP(AA$1,'[1]Demanda requerida 2027'!$CI$74:$DS$97,MATCH(_xlfn.CONCAT(TEXT(DATE($A63,$B63,1),"mmm-yy"),$D63),'[1]Demanda requerida 2027'!$CI$70:$DS$70,0),FALSE)</f>
        <v>3131</v>
      </c>
      <c r="AB63" s="8">
        <f>VLOOKUP(AB$1,'[1]Demanda requerida 2027'!$CI$74:$DS$97,MATCH(_xlfn.CONCAT(TEXT(DATE($A63,$B63,1),"mmm-yy"),$D63),'[1]Demanda requerida 2027'!$CI$70:$DS$70,0),FALSE)</f>
        <v>151</v>
      </c>
      <c r="AC63" s="84">
        <f t="shared" si="18"/>
        <v>96136</v>
      </c>
      <c r="AD63" s="77"/>
      <c r="AE63" s="85"/>
    </row>
    <row r="64" spans="1:31" ht="15.75" thickBot="1" x14ac:dyDescent="0.3">
      <c r="A64" s="14">
        <v>2027</v>
      </c>
      <c r="B64" s="15">
        <v>9</v>
      </c>
      <c r="C64" s="15">
        <v>4</v>
      </c>
      <c r="D64" s="15" t="s">
        <v>6</v>
      </c>
      <c r="E64" s="9">
        <f>VLOOKUP(E$1,'[1]Demanda requerida 2027'!$CI$74:$DS$97,MATCH(_xlfn.CONCAT(TEXT(DATE($A64,$B64,1),"mmm-yy"),$D64),'[1]Demanda requerida 2027'!$CI$70:$DS$70,0),FALSE)</f>
        <v>200</v>
      </c>
      <c r="F64" s="9">
        <f>VLOOKUP(F$1,'[1]Demanda requerida 2027'!$CI$74:$DS$97,MATCH(_xlfn.CONCAT(TEXT(DATE($A64,$B64,1),"mmm-yy"),$D64),'[1]Demanda requerida 2027'!$CI$70:$DS$70,0),FALSE)</f>
        <v>200</v>
      </c>
      <c r="G64" s="9">
        <f>VLOOKUP(G$1,'[1]Demanda requerida 2027'!$CI$74:$DS$97,MATCH(_xlfn.CONCAT(TEXT(DATE($A64,$B64,1),"mmm-yy"),$D64),'[1]Demanda requerida 2027'!$CI$70:$DS$70,0),FALSE)</f>
        <v>200</v>
      </c>
      <c r="H64" s="9">
        <f>VLOOKUP(H$1,'[1]Demanda requerida 2027'!$CI$74:$DS$97,MATCH(_xlfn.CONCAT(TEXT(DATE($A64,$B64,1),"mmm-yy"),$D64),'[1]Demanda requerida 2027'!$CI$70:$DS$70,0),FALSE)</f>
        <v>200</v>
      </c>
      <c r="I64" s="9">
        <f>VLOOKUP(I$1,'[1]Demanda requerida 2027'!$CI$74:$DS$97,MATCH(_xlfn.CONCAT(TEXT(DATE($A64,$B64,1),"mmm-yy"),$D64),'[1]Demanda requerida 2027'!$CI$70:$DS$70,0),FALSE)</f>
        <v>200</v>
      </c>
      <c r="J64" s="9">
        <f>VLOOKUP(J$1,'[1]Demanda requerida 2027'!$CI$74:$DS$97,MATCH(_xlfn.CONCAT(TEXT(DATE($A64,$B64,1),"mmm-yy"),$D64),'[1]Demanda requerida 2027'!$CI$70:$DS$70,0),FALSE)</f>
        <v>200</v>
      </c>
      <c r="K64" s="9">
        <f>VLOOKUP(K$1,'[1]Demanda requerida 2027'!$CI$74:$DS$97,MATCH(_xlfn.CONCAT(TEXT(DATE($A64,$B64,1),"mmm-yy"),$D64),'[1]Demanda requerida 2027'!$CI$70:$DS$70,0),FALSE)</f>
        <v>200</v>
      </c>
      <c r="L64" s="9">
        <f>VLOOKUP(L$1,'[1]Demanda requerida 2027'!$CI$74:$DS$97,MATCH(_xlfn.CONCAT(TEXT(DATE($A64,$B64,1),"mmm-yy"),$D64),'[1]Demanda requerida 2027'!$CI$70:$DS$70,0),FALSE)</f>
        <v>200</v>
      </c>
      <c r="M64" s="9">
        <f>VLOOKUP(M$1,'[1]Demanda requerida 2027'!$CI$74:$DS$97,MATCH(_xlfn.CONCAT(TEXT(DATE($A64,$B64,1),"mmm-yy"),$D64),'[1]Demanda requerida 2027'!$CI$70:$DS$70,0),FALSE)</f>
        <v>1428</v>
      </c>
      <c r="N64" s="9">
        <f>VLOOKUP(N$1,'[1]Demanda requerida 2027'!$CI$74:$DS$97,MATCH(_xlfn.CONCAT(TEXT(DATE($A64,$B64,1),"mmm-yy"),$D64),'[1]Demanda requerida 2027'!$CI$70:$DS$70,0),FALSE)</f>
        <v>3257</v>
      </c>
      <c r="O64" s="9">
        <f>VLOOKUP(O$1,'[1]Demanda requerida 2027'!$CI$74:$DS$97,MATCH(_xlfn.CONCAT(TEXT(DATE($A64,$B64,1),"mmm-yy"),$D64),'[1]Demanda requerida 2027'!$CI$70:$DS$70,0),FALSE)</f>
        <v>3850</v>
      </c>
      <c r="P64" s="9">
        <f>VLOOKUP(P$1,'[1]Demanda requerida 2027'!$CI$74:$DS$97,MATCH(_xlfn.CONCAT(TEXT(DATE($A64,$B64,1),"mmm-yy"),$D64),'[1]Demanda requerida 2027'!$CI$70:$DS$70,0),FALSE)</f>
        <v>5427</v>
      </c>
      <c r="Q64" s="9">
        <f>VLOOKUP(Q$1,'[1]Demanda requerida 2027'!$CI$74:$DS$97,MATCH(_xlfn.CONCAT(TEXT(DATE($A64,$B64,1),"mmm-yy"),$D64),'[1]Demanda requerida 2027'!$CI$70:$DS$70,0),FALSE)</f>
        <v>2820</v>
      </c>
      <c r="R64" s="9">
        <f>VLOOKUP(R$1,'[1]Demanda requerida 2027'!$CI$74:$DS$97,MATCH(_xlfn.CONCAT(TEXT(DATE($A64,$B64,1),"mmm-yy"),$D64),'[1]Demanda requerida 2027'!$CI$70:$DS$70,0),FALSE)</f>
        <v>4787</v>
      </c>
      <c r="S64" s="9">
        <f>VLOOKUP(S$1,'[1]Demanda requerida 2027'!$CI$74:$DS$97,MATCH(_xlfn.CONCAT(TEXT(DATE($A64,$B64,1),"mmm-yy"),$D64),'[1]Demanda requerida 2027'!$CI$70:$DS$70,0),FALSE)</f>
        <v>3765</v>
      </c>
      <c r="T64" s="9">
        <f>VLOOKUP(T$1,'[1]Demanda requerida 2027'!$CI$74:$DS$97,MATCH(_xlfn.CONCAT(TEXT(DATE($A64,$B64,1),"mmm-yy"),$D64),'[1]Demanda requerida 2027'!$CI$70:$DS$70,0),FALSE)</f>
        <v>3225</v>
      </c>
      <c r="U64" s="9">
        <f>VLOOKUP(U$1,'[1]Demanda requerida 2027'!$CI$74:$DS$97,MATCH(_xlfn.CONCAT(TEXT(DATE($A64,$B64,1),"mmm-yy"),$D64),'[1]Demanda requerida 2027'!$CI$70:$DS$70,0),FALSE)</f>
        <v>2587</v>
      </c>
      <c r="V64" s="9">
        <f>VLOOKUP(V$1,'[1]Demanda requerida 2027'!$CI$74:$DS$97,MATCH(_xlfn.CONCAT(TEXT(DATE($A64,$B64,1),"mmm-yy"),$D64),'[1]Demanda requerida 2027'!$CI$70:$DS$70,0),FALSE)</f>
        <v>4611</v>
      </c>
      <c r="W64" s="9">
        <f>VLOOKUP(W$1,'[1]Demanda requerida 2027'!$CI$74:$DS$97,MATCH(_xlfn.CONCAT(TEXT(DATE($A64,$B64,1),"mmm-yy"),$D64),'[1]Demanda requerida 2027'!$CI$70:$DS$70,0),FALSE)</f>
        <v>7105</v>
      </c>
      <c r="X64" s="9">
        <f>VLOOKUP(X$1,'[1]Demanda requerida 2027'!$CI$74:$DS$97,MATCH(_xlfn.CONCAT(TEXT(DATE($A64,$B64,1),"mmm-yy"),$D64),'[1]Demanda requerida 2027'!$CI$70:$DS$70,0),FALSE)</f>
        <v>7710</v>
      </c>
      <c r="Y64" s="9">
        <f>VLOOKUP(Y$1,'[1]Demanda requerida 2027'!$CI$74:$DS$97,MATCH(_xlfn.CONCAT(TEXT(DATE($A64,$B64,1),"mmm-yy"),$D64),'[1]Demanda requerida 2027'!$CI$70:$DS$70,0),FALSE)</f>
        <v>6609</v>
      </c>
      <c r="Z64" s="9">
        <f>VLOOKUP(Z$1,'[1]Demanda requerida 2027'!$CI$74:$DS$97,MATCH(_xlfn.CONCAT(TEXT(DATE($A64,$B64,1),"mmm-yy"),$D64),'[1]Demanda requerida 2027'!$CI$70:$DS$70,0),FALSE)</f>
        <v>4655</v>
      </c>
      <c r="AA64" s="9">
        <f>VLOOKUP(AA$1,'[1]Demanda requerida 2027'!$CI$74:$DS$97,MATCH(_xlfn.CONCAT(TEXT(DATE($A64,$B64,1),"mmm-yy"),$D64),'[1]Demanda requerida 2027'!$CI$70:$DS$70,0),FALSE)</f>
        <v>1705</v>
      </c>
      <c r="AB64" s="9">
        <f>VLOOKUP(AB$1,'[1]Demanda requerida 2027'!$CI$74:$DS$97,MATCH(_xlfn.CONCAT(TEXT(DATE($A64,$B64,1),"mmm-yy"),$D64),'[1]Demanda requerida 2027'!$CI$70:$DS$70,0),FALSE)</f>
        <v>200</v>
      </c>
      <c r="AC64" s="86">
        <f t="shared" si="18"/>
        <v>65341</v>
      </c>
      <c r="AD64" s="78"/>
      <c r="AE64" s="85"/>
    </row>
    <row r="65" spans="1:31" x14ac:dyDescent="0.25">
      <c r="A65" s="11">
        <v>2027</v>
      </c>
      <c r="B65" s="12">
        <v>10</v>
      </c>
      <c r="C65" s="12">
        <v>6</v>
      </c>
      <c r="D65" s="12" t="s">
        <v>5</v>
      </c>
      <c r="E65" s="7">
        <f>VLOOKUP(E$1,'[1]Demanda requerida 2027'!$CI$74:$DS$97,MATCH(_xlfn.CONCAT(TEXT(DATE($A65,$B65,1),"mmm-yy"),$D65),'[1]Demanda requerida 2027'!$CI$70:$DS$70,0),FALSE)</f>
        <v>200</v>
      </c>
      <c r="F65" s="7">
        <f>VLOOKUP(F$1,'[1]Demanda requerida 2027'!$CI$74:$DS$97,MATCH(_xlfn.CONCAT(TEXT(DATE($A65,$B65,1),"mmm-yy"),$D65),'[1]Demanda requerida 2027'!$CI$70:$DS$70,0),FALSE)</f>
        <v>200</v>
      </c>
      <c r="G65" s="7">
        <f>VLOOKUP(G$1,'[1]Demanda requerida 2027'!$CI$74:$DS$97,MATCH(_xlfn.CONCAT(TEXT(DATE($A65,$B65,1),"mmm-yy"),$D65),'[1]Demanda requerida 2027'!$CI$70:$DS$70,0),FALSE)</f>
        <v>200</v>
      </c>
      <c r="H65" s="7">
        <f>VLOOKUP(H$1,'[1]Demanda requerida 2027'!$CI$74:$DS$97,MATCH(_xlfn.CONCAT(TEXT(DATE($A65,$B65,1),"mmm-yy"),$D65),'[1]Demanda requerida 2027'!$CI$70:$DS$70,0),FALSE)</f>
        <v>200</v>
      </c>
      <c r="I65" s="7">
        <f>VLOOKUP(I$1,'[1]Demanda requerida 2027'!$CI$74:$DS$97,MATCH(_xlfn.CONCAT(TEXT(DATE($A65,$B65,1),"mmm-yy"),$D65),'[1]Demanda requerida 2027'!$CI$70:$DS$70,0),FALSE)</f>
        <v>200</v>
      </c>
      <c r="J65" s="7">
        <f>VLOOKUP(J$1,'[1]Demanda requerida 2027'!$CI$74:$DS$97,MATCH(_xlfn.CONCAT(TEXT(DATE($A65,$B65,1),"mmm-yy"),$D65),'[1]Demanda requerida 2027'!$CI$70:$DS$70,0),FALSE)</f>
        <v>200</v>
      </c>
      <c r="K65" s="7">
        <f>VLOOKUP(K$1,'[1]Demanda requerida 2027'!$CI$74:$DS$97,MATCH(_xlfn.CONCAT(TEXT(DATE($A65,$B65,1),"mmm-yy"),$D65),'[1]Demanda requerida 2027'!$CI$70:$DS$70,0),FALSE)</f>
        <v>200</v>
      </c>
      <c r="L65" s="7">
        <f>VLOOKUP(L$1,'[1]Demanda requerida 2027'!$CI$74:$DS$97,MATCH(_xlfn.CONCAT(TEXT(DATE($A65,$B65,1),"mmm-yy"),$D65),'[1]Demanda requerida 2027'!$CI$70:$DS$70,0),FALSE)</f>
        <v>200</v>
      </c>
      <c r="M65" s="7">
        <f>VLOOKUP(M$1,'[1]Demanda requerida 2027'!$CI$74:$DS$97,MATCH(_xlfn.CONCAT(TEXT(DATE($A65,$B65,1),"mmm-yy"),$D65),'[1]Demanda requerida 2027'!$CI$70:$DS$70,0),FALSE)</f>
        <v>200</v>
      </c>
      <c r="N65" s="7">
        <f>VLOOKUP(N$1,'[1]Demanda requerida 2027'!$CI$74:$DS$97,MATCH(_xlfn.CONCAT(TEXT(DATE($A65,$B65,1),"mmm-yy"),$D65),'[1]Demanda requerida 2027'!$CI$70:$DS$70,0),FALSE)</f>
        <v>200</v>
      </c>
      <c r="O65" s="7">
        <f>VLOOKUP(O$1,'[1]Demanda requerida 2027'!$CI$74:$DS$97,MATCH(_xlfn.CONCAT(TEXT(DATE($A65,$B65,1),"mmm-yy"),$D65),'[1]Demanda requerida 2027'!$CI$70:$DS$70,0),FALSE)</f>
        <v>200</v>
      </c>
      <c r="P65" s="7">
        <f>VLOOKUP(P$1,'[1]Demanda requerida 2027'!$CI$74:$DS$97,MATCH(_xlfn.CONCAT(TEXT(DATE($A65,$B65,1),"mmm-yy"),$D65),'[1]Demanda requerida 2027'!$CI$70:$DS$70,0),FALSE)</f>
        <v>200</v>
      </c>
      <c r="Q65" s="7">
        <f>VLOOKUP(Q$1,'[1]Demanda requerida 2027'!$CI$74:$DS$97,MATCH(_xlfn.CONCAT(TEXT(DATE($A65,$B65,1),"mmm-yy"),$D65),'[1]Demanda requerida 2027'!$CI$70:$DS$70,0),FALSE)</f>
        <v>200</v>
      </c>
      <c r="R65" s="7">
        <f>VLOOKUP(R$1,'[1]Demanda requerida 2027'!$CI$74:$DS$97,MATCH(_xlfn.CONCAT(TEXT(DATE($A65,$B65,1),"mmm-yy"),$D65),'[1]Demanda requerida 2027'!$CI$70:$DS$70,0),FALSE)</f>
        <v>200</v>
      </c>
      <c r="S65" s="7">
        <f>VLOOKUP(S$1,'[1]Demanda requerida 2027'!$CI$74:$DS$97,MATCH(_xlfn.CONCAT(TEXT(DATE($A65,$B65,1),"mmm-yy"),$D65),'[1]Demanda requerida 2027'!$CI$70:$DS$70,0),FALSE)</f>
        <v>200</v>
      </c>
      <c r="T65" s="7">
        <f>VLOOKUP(T$1,'[1]Demanda requerida 2027'!$CI$74:$DS$97,MATCH(_xlfn.CONCAT(TEXT(DATE($A65,$B65,1),"mmm-yy"),$D65),'[1]Demanda requerida 2027'!$CI$70:$DS$70,0),FALSE)</f>
        <v>200</v>
      </c>
      <c r="U65" s="7">
        <f>VLOOKUP(U$1,'[1]Demanda requerida 2027'!$CI$74:$DS$97,MATCH(_xlfn.CONCAT(TEXT(DATE($A65,$B65,1),"mmm-yy"),$D65),'[1]Demanda requerida 2027'!$CI$70:$DS$70,0),FALSE)</f>
        <v>200</v>
      </c>
      <c r="V65" s="7">
        <f>VLOOKUP(V$1,'[1]Demanda requerida 2027'!$CI$74:$DS$97,MATCH(_xlfn.CONCAT(TEXT(DATE($A65,$B65,1),"mmm-yy"),$D65),'[1]Demanda requerida 2027'!$CI$70:$DS$70,0),FALSE)</f>
        <v>200</v>
      </c>
      <c r="W65" s="7">
        <f>VLOOKUP(W$1,'[1]Demanda requerida 2027'!$CI$74:$DS$97,MATCH(_xlfn.CONCAT(TEXT(DATE($A65,$B65,1),"mmm-yy"),$D65),'[1]Demanda requerida 2027'!$CI$70:$DS$70,0),FALSE)</f>
        <v>200</v>
      </c>
      <c r="X65" s="7">
        <f>VLOOKUP(X$1,'[1]Demanda requerida 2027'!$CI$74:$DS$97,MATCH(_xlfn.CONCAT(TEXT(DATE($A65,$B65,1),"mmm-yy"),$D65),'[1]Demanda requerida 2027'!$CI$70:$DS$70,0),FALSE)</f>
        <v>200</v>
      </c>
      <c r="Y65" s="7">
        <f>VLOOKUP(Y$1,'[1]Demanda requerida 2027'!$CI$74:$DS$97,MATCH(_xlfn.CONCAT(TEXT(DATE($A65,$B65,1),"mmm-yy"),$D65),'[1]Demanda requerida 2027'!$CI$70:$DS$70,0),FALSE)</f>
        <v>200</v>
      </c>
      <c r="Z65" s="7">
        <f>VLOOKUP(Z$1,'[1]Demanda requerida 2027'!$CI$74:$DS$97,MATCH(_xlfn.CONCAT(TEXT(DATE($A65,$B65,1),"mmm-yy"),$D65),'[1]Demanda requerida 2027'!$CI$70:$DS$70,0),FALSE)</f>
        <v>200</v>
      </c>
      <c r="AA65" s="7">
        <f>VLOOKUP(AA$1,'[1]Demanda requerida 2027'!$CI$74:$DS$97,MATCH(_xlfn.CONCAT(TEXT(DATE($A65,$B65,1),"mmm-yy"),$D65),'[1]Demanda requerida 2027'!$CI$70:$DS$70,0),FALSE)</f>
        <v>200</v>
      </c>
      <c r="AB65" s="7">
        <f>VLOOKUP(AB$1,'[1]Demanda requerida 2027'!$CI$74:$DS$97,MATCH(_xlfn.CONCAT(TEXT(DATE($A65,$B65,1),"mmm-yy"),$D65),'[1]Demanda requerida 2027'!$CI$70:$DS$70,0),FALSE)</f>
        <v>200</v>
      </c>
      <c r="AC65" s="82">
        <f t="shared" si="18"/>
        <v>4800</v>
      </c>
      <c r="AD65" s="76">
        <f t="shared" ref="AD65" si="23">+SUMPRODUCT(AC65:AC67,C65:C67)</f>
        <v>2320125</v>
      </c>
      <c r="AE65" s="85"/>
    </row>
    <row r="66" spans="1:31" x14ac:dyDescent="0.25">
      <c r="A66" s="13">
        <v>2027</v>
      </c>
      <c r="B66" s="1">
        <v>10</v>
      </c>
      <c r="C66" s="1">
        <v>20</v>
      </c>
      <c r="D66" s="1" t="s">
        <v>31</v>
      </c>
      <c r="E66" s="8">
        <f>VLOOKUP(E$1,'[1]Demanda requerida 2027'!$CI$74:$DS$97,MATCH(_xlfn.CONCAT(TEXT(DATE($A66,$B66,1),"mmm-yy"),$D66),'[1]Demanda requerida 2027'!$CI$70:$DS$70,0),FALSE)</f>
        <v>200</v>
      </c>
      <c r="F66" s="8">
        <f>VLOOKUP(F$1,'[1]Demanda requerida 2027'!$CI$74:$DS$97,MATCH(_xlfn.CONCAT(TEXT(DATE($A66,$B66,1),"mmm-yy"),$D66),'[1]Demanda requerida 2027'!$CI$70:$DS$70,0),FALSE)</f>
        <v>200</v>
      </c>
      <c r="G66" s="8">
        <f>VLOOKUP(G$1,'[1]Demanda requerida 2027'!$CI$74:$DS$97,MATCH(_xlfn.CONCAT(TEXT(DATE($A66,$B66,1),"mmm-yy"),$D66),'[1]Demanda requerida 2027'!$CI$70:$DS$70,0),FALSE)</f>
        <v>200</v>
      </c>
      <c r="H66" s="8">
        <f>VLOOKUP(H$1,'[1]Demanda requerida 2027'!$CI$74:$DS$97,MATCH(_xlfn.CONCAT(TEXT(DATE($A66,$B66,1),"mmm-yy"),$D66),'[1]Demanda requerida 2027'!$CI$70:$DS$70,0),FALSE)</f>
        <v>200</v>
      </c>
      <c r="I66" s="8">
        <f>VLOOKUP(I$1,'[1]Demanda requerida 2027'!$CI$74:$DS$97,MATCH(_xlfn.CONCAT(TEXT(DATE($A66,$B66,1),"mmm-yy"),$D66),'[1]Demanda requerida 2027'!$CI$70:$DS$70,0),FALSE)</f>
        <v>200</v>
      </c>
      <c r="J66" s="8">
        <f>VLOOKUP(J$1,'[1]Demanda requerida 2027'!$CI$74:$DS$97,MATCH(_xlfn.CONCAT(TEXT(DATE($A66,$B66,1),"mmm-yy"),$D66),'[1]Demanda requerida 2027'!$CI$70:$DS$70,0),FALSE)</f>
        <v>200</v>
      </c>
      <c r="K66" s="8">
        <f>VLOOKUP(K$1,'[1]Demanda requerida 2027'!$CI$74:$DS$97,MATCH(_xlfn.CONCAT(TEXT(DATE($A66,$B66,1),"mmm-yy"),$D66),'[1]Demanda requerida 2027'!$CI$70:$DS$70,0),FALSE)</f>
        <v>200</v>
      </c>
      <c r="L66" s="8">
        <f>VLOOKUP(L$1,'[1]Demanda requerida 2027'!$CI$74:$DS$97,MATCH(_xlfn.CONCAT(TEXT(DATE($A66,$B66,1),"mmm-yy"),$D66),'[1]Demanda requerida 2027'!$CI$70:$DS$70,0),FALSE)</f>
        <v>200</v>
      </c>
      <c r="M66" s="8">
        <f>VLOOKUP(M$1,'[1]Demanda requerida 2027'!$CI$74:$DS$97,MATCH(_xlfn.CONCAT(TEXT(DATE($A66,$B66,1),"mmm-yy"),$D66),'[1]Demanda requerida 2027'!$CI$70:$DS$70,0),FALSE)</f>
        <v>2253</v>
      </c>
      <c r="N66" s="8">
        <f>VLOOKUP(N$1,'[1]Demanda requerida 2027'!$CI$74:$DS$97,MATCH(_xlfn.CONCAT(TEXT(DATE($A66,$B66,1),"mmm-yy"),$D66),'[1]Demanda requerida 2027'!$CI$70:$DS$70,0),FALSE)</f>
        <v>3338</v>
      </c>
      <c r="O66" s="8">
        <f>VLOOKUP(O$1,'[1]Demanda requerida 2027'!$CI$74:$DS$97,MATCH(_xlfn.CONCAT(TEXT(DATE($A66,$B66,1),"mmm-yy"),$D66),'[1]Demanda requerida 2027'!$CI$70:$DS$70,0),FALSE)</f>
        <v>4650</v>
      </c>
      <c r="P66" s="8">
        <f>VLOOKUP(P$1,'[1]Demanda requerida 2027'!$CI$74:$DS$97,MATCH(_xlfn.CONCAT(TEXT(DATE($A66,$B66,1),"mmm-yy"),$D66),'[1]Demanda requerida 2027'!$CI$70:$DS$70,0),FALSE)</f>
        <v>6228</v>
      </c>
      <c r="Q66" s="8">
        <f>VLOOKUP(Q$1,'[1]Demanda requerida 2027'!$CI$74:$DS$97,MATCH(_xlfn.CONCAT(TEXT(DATE($A66,$B66,1),"mmm-yy"),$D66),'[1]Demanda requerida 2027'!$CI$70:$DS$70,0),FALSE)</f>
        <v>6300</v>
      </c>
      <c r="R66" s="8">
        <f>VLOOKUP(R$1,'[1]Demanda requerida 2027'!$CI$74:$DS$97,MATCH(_xlfn.CONCAT(TEXT(DATE($A66,$B66,1),"mmm-yy"),$D66),'[1]Demanda requerida 2027'!$CI$70:$DS$70,0),FALSE)</f>
        <v>6380</v>
      </c>
      <c r="S66" s="8">
        <f>VLOOKUP(S$1,'[1]Demanda requerida 2027'!$CI$74:$DS$97,MATCH(_xlfn.CONCAT(TEXT(DATE($A66,$B66,1),"mmm-yy"),$D66),'[1]Demanda requerida 2027'!$CI$70:$DS$70,0),FALSE)</f>
        <v>5661</v>
      </c>
      <c r="T66" s="8">
        <f>VLOOKUP(T$1,'[1]Demanda requerida 2027'!$CI$74:$DS$97,MATCH(_xlfn.CONCAT(TEXT(DATE($A66,$B66,1),"mmm-yy"),$D66),'[1]Demanda requerida 2027'!$CI$70:$DS$70,0),FALSE)</f>
        <v>6209</v>
      </c>
      <c r="U66" s="8">
        <f>VLOOKUP(U$1,'[1]Demanda requerida 2027'!$CI$74:$DS$97,MATCH(_xlfn.CONCAT(TEXT(DATE($A66,$B66,1),"mmm-yy"),$D66),'[1]Demanda requerida 2027'!$CI$70:$DS$70,0),FALSE)</f>
        <v>6109</v>
      </c>
      <c r="V66" s="8">
        <f>VLOOKUP(V$1,'[1]Demanda requerida 2027'!$CI$74:$DS$97,MATCH(_xlfn.CONCAT(TEXT(DATE($A66,$B66,1),"mmm-yy"),$D66),'[1]Demanda requerida 2027'!$CI$70:$DS$70,0),FALSE)</f>
        <v>7741</v>
      </c>
      <c r="W66" s="8">
        <f>VLOOKUP(W$1,'[1]Demanda requerida 2027'!$CI$74:$DS$97,MATCH(_xlfn.CONCAT(TEXT(DATE($A66,$B66,1),"mmm-yy"),$D66),'[1]Demanda requerida 2027'!$CI$70:$DS$70,0),FALSE)</f>
        <v>9933</v>
      </c>
      <c r="X66" s="8">
        <f>VLOOKUP(X$1,'[1]Demanda requerida 2027'!$CI$74:$DS$97,MATCH(_xlfn.CONCAT(TEXT(DATE($A66,$B66,1),"mmm-yy"),$D66),'[1]Demanda requerida 2027'!$CI$70:$DS$70,0),FALSE)</f>
        <v>10456</v>
      </c>
      <c r="Y66" s="8">
        <f>VLOOKUP(Y$1,'[1]Demanda requerida 2027'!$CI$74:$DS$97,MATCH(_xlfn.CONCAT(TEXT(DATE($A66,$B66,1),"mmm-yy"),$D66),'[1]Demanda requerida 2027'!$CI$70:$DS$70,0),FALSE)</f>
        <v>9087</v>
      </c>
      <c r="Z66" s="8">
        <f>VLOOKUP(Z$1,'[1]Demanda requerida 2027'!$CI$74:$DS$97,MATCH(_xlfn.CONCAT(TEXT(DATE($A66,$B66,1),"mmm-yy"),$D66),'[1]Demanda requerida 2027'!$CI$70:$DS$70,0),FALSE)</f>
        <v>6695</v>
      </c>
      <c r="AA66" s="8">
        <f>VLOOKUP(AA$1,'[1]Demanda requerida 2027'!$CI$74:$DS$97,MATCH(_xlfn.CONCAT(TEXT(DATE($A66,$B66,1),"mmm-yy"),$D66),'[1]Demanda requerida 2027'!$CI$70:$DS$70,0),FALSE)</f>
        <v>3465</v>
      </c>
      <c r="AB66" s="8">
        <f>VLOOKUP(AB$1,'[1]Demanda requerida 2027'!$CI$74:$DS$97,MATCH(_xlfn.CONCAT(TEXT(DATE($A66,$B66,1),"mmm-yy"),$D66),'[1]Demanda requerida 2027'!$CI$70:$DS$70,0),FALSE)</f>
        <v>565</v>
      </c>
      <c r="AC66" s="84">
        <f t="shared" si="18"/>
        <v>96670</v>
      </c>
      <c r="AD66" s="77"/>
      <c r="AE66" s="85"/>
    </row>
    <row r="67" spans="1:31" ht="15.75" thickBot="1" x14ac:dyDescent="0.3">
      <c r="A67" s="14">
        <v>2027</v>
      </c>
      <c r="B67" s="15">
        <v>10</v>
      </c>
      <c r="C67" s="15">
        <v>5</v>
      </c>
      <c r="D67" s="15" t="s">
        <v>6</v>
      </c>
      <c r="E67" s="9">
        <f>VLOOKUP(E$1,'[1]Demanda requerida 2027'!$CI$74:$DS$97,MATCH(_xlfn.CONCAT(TEXT(DATE($A67,$B67,1),"mmm-yy"),$D67),'[1]Demanda requerida 2027'!$CI$70:$DS$70,0),FALSE)</f>
        <v>200</v>
      </c>
      <c r="F67" s="9">
        <f>VLOOKUP(F$1,'[1]Demanda requerida 2027'!$CI$74:$DS$97,MATCH(_xlfn.CONCAT(TEXT(DATE($A67,$B67,1),"mmm-yy"),$D67),'[1]Demanda requerida 2027'!$CI$70:$DS$70,0),FALSE)</f>
        <v>200</v>
      </c>
      <c r="G67" s="9">
        <f>VLOOKUP(G$1,'[1]Demanda requerida 2027'!$CI$74:$DS$97,MATCH(_xlfn.CONCAT(TEXT(DATE($A67,$B67,1),"mmm-yy"),$D67),'[1]Demanda requerida 2027'!$CI$70:$DS$70,0),FALSE)</f>
        <v>200</v>
      </c>
      <c r="H67" s="9">
        <f>VLOOKUP(H$1,'[1]Demanda requerida 2027'!$CI$74:$DS$97,MATCH(_xlfn.CONCAT(TEXT(DATE($A67,$B67,1),"mmm-yy"),$D67),'[1]Demanda requerida 2027'!$CI$70:$DS$70,0),FALSE)</f>
        <v>200</v>
      </c>
      <c r="I67" s="9">
        <f>VLOOKUP(I$1,'[1]Demanda requerida 2027'!$CI$74:$DS$97,MATCH(_xlfn.CONCAT(TEXT(DATE($A67,$B67,1),"mmm-yy"),$D67),'[1]Demanda requerida 2027'!$CI$70:$DS$70,0),FALSE)</f>
        <v>200</v>
      </c>
      <c r="J67" s="9">
        <f>VLOOKUP(J$1,'[1]Demanda requerida 2027'!$CI$74:$DS$97,MATCH(_xlfn.CONCAT(TEXT(DATE($A67,$B67,1),"mmm-yy"),$D67),'[1]Demanda requerida 2027'!$CI$70:$DS$70,0),FALSE)</f>
        <v>200</v>
      </c>
      <c r="K67" s="9">
        <f>VLOOKUP(K$1,'[1]Demanda requerida 2027'!$CI$74:$DS$97,MATCH(_xlfn.CONCAT(TEXT(DATE($A67,$B67,1),"mmm-yy"),$D67),'[1]Demanda requerida 2027'!$CI$70:$DS$70,0),FALSE)</f>
        <v>200</v>
      </c>
      <c r="L67" s="9">
        <f>VLOOKUP(L$1,'[1]Demanda requerida 2027'!$CI$74:$DS$97,MATCH(_xlfn.CONCAT(TEXT(DATE($A67,$B67,1),"mmm-yy"),$D67),'[1]Demanda requerida 2027'!$CI$70:$DS$70,0),FALSE)</f>
        <v>200</v>
      </c>
      <c r="M67" s="9">
        <f>VLOOKUP(M$1,'[1]Demanda requerida 2027'!$CI$74:$DS$97,MATCH(_xlfn.CONCAT(TEXT(DATE($A67,$B67,1),"mmm-yy"),$D67),'[1]Demanda requerida 2027'!$CI$70:$DS$70,0),FALSE)</f>
        <v>200</v>
      </c>
      <c r="N67" s="9">
        <f>VLOOKUP(N$1,'[1]Demanda requerida 2027'!$CI$74:$DS$97,MATCH(_xlfn.CONCAT(TEXT(DATE($A67,$B67,1),"mmm-yy"),$D67),'[1]Demanda requerida 2027'!$CI$70:$DS$70,0),FALSE)</f>
        <v>2480</v>
      </c>
      <c r="O67" s="9">
        <f>VLOOKUP(O$1,'[1]Demanda requerida 2027'!$CI$74:$DS$97,MATCH(_xlfn.CONCAT(TEXT(DATE($A67,$B67,1),"mmm-yy"),$D67),'[1]Demanda requerida 2027'!$CI$70:$DS$70,0),FALSE)</f>
        <v>3748</v>
      </c>
      <c r="P67" s="9">
        <f>VLOOKUP(P$1,'[1]Demanda requerida 2027'!$CI$74:$DS$97,MATCH(_xlfn.CONCAT(TEXT(DATE($A67,$B67,1),"mmm-yy"),$D67),'[1]Demanda requerida 2027'!$CI$70:$DS$70,0),FALSE)</f>
        <v>5638</v>
      </c>
      <c r="Q67" s="9">
        <f>VLOOKUP(Q$1,'[1]Demanda requerida 2027'!$CI$74:$DS$97,MATCH(_xlfn.CONCAT(TEXT(DATE($A67,$B67,1),"mmm-yy"),$D67),'[1]Demanda requerida 2027'!$CI$70:$DS$70,0),FALSE)</f>
        <v>5988</v>
      </c>
      <c r="R67" s="9">
        <f>VLOOKUP(R$1,'[1]Demanda requerida 2027'!$CI$74:$DS$97,MATCH(_xlfn.CONCAT(TEXT(DATE($A67,$B67,1),"mmm-yy"),$D67),'[1]Demanda requerida 2027'!$CI$70:$DS$70,0),FALSE)</f>
        <v>5388</v>
      </c>
      <c r="S67" s="9">
        <f>VLOOKUP(S$1,'[1]Demanda requerida 2027'!$CI$74:$DS$97,MATCH(_xlfn.CONCAT(TEXT(DATE($A67,$B67,1),"mmm-yy"),$D67),'[1]Demanda requerida 2027'!$CI$70:$DS$70,0),FALSE)</f>
        <v>4725</v>
      </c>
      <c r="T67" s="9">
        <f>VLOOKUP(T$1,'[1]Demanda requerida 2027'!$CI$74:$DS$97,MATCH(_xlfn.CONCAT(TEXT(DATE($A67,$B67,1),"mmm-yy"),$D67),'[1]Demanda requerida 2027'!$CI$70:$DS$70,0),FALSE)</f>
        <v>4167</v>
      </c>
      <c r="U67" s="9">
        <f>VLOOKUP(U$1,'[1]Demanda requerida 2027'!$CI$74:$DS$97,MATCH(_xlfn.CONCAT(TEXT(DATE($A67,$B67,1),"mmm-yy"),$D67),'[1]Demanda requerida 2027'!$CI$70:$DS$70,0),FALSE)</f>
        <v>3577</v>
      </c>
      <c r="V67" s="9">
        <f>VLOOKUP(V$1,'[1]Demanda requerida 2027'!$CI$74:$DS$97,MATCH(_xlfn.CONCAT(TEXT(DATE($A67,$B67,1),"mmm-yy"),$D67),'[1]Demanda requerida 2027'!$CI$70:$DS$70,0),FALSE)</f>
        <v>5209</v>
      </c>
      <c r="W67" s="9">
        <f>VLOOKUP(W$1,'[1]Demanda requerida 2027'!$CI$74:$DS$97,MATCH(_xlfn.CONCAT(TEXT(DATE($A67,$B67,1),"mmm-yy"),$D67),'[1]Demanda requerida 2027'!$CI$70:$DS$70,0),FALSE)</f>
        <v>7693</v>
      </c>
      <c r="X67" s="9">
        <f>VLOOKUP(X$1,'[1]Demanda requerida 2027'!$CI$74:$DS$97,MATCH(_xlfn.CONCAT(TEXT(DATE($A67,$B67,1),"mmm-yy"),$D67),'[1]Demanda requerida 2027'!$CI$70:$DS$70,0),FALSE)</f>
        <v>7111</v>
      </c>
      <c r="Y67" s="9">
        <f>VLOOKUP(Y$1,'[1]Demanda requerida 2027'!$CI$74:$DS$97,MATCH(_xlfn.CONCAT(TEXT(DATE($A67,$B67,1),"mmm-yy"),$D67),'[1]Demanda requerida 2027'!$CI$70:$DS$70,0),FALSE)</f>
        <v>6712</v>
      </c>
      <c r="Z67" s="9">
        <f>VLOOKUP(Z$1,'[1]Demanda requerida 2027'!$CI$74:$DS$97,MATCH(_xlfn.CONCAT(TEXT(DATE($A67,$B67,1),"mmm-yy"),$D67),'[1]Demanda requerida 2027'!$CI$70:$DS$70,0),FALSE)</f>
        <v>4876</v>
      </c>
      <c r="AA67" s="9">
        <f>VLOOKUP(AA$1,'[1]Demanda requerida 2027'!$CI$74:$DS$97,MATCH(_xlfn.CONCAT(TEXT(DATE($A67,$B67,1),"mmm-yy"),$D67),'[1]Demanda requerida 2027'!$CI$70:$DS$70,0),FALSE)</f>
        <v>2273</v>
      </c>
      <c r="AB67" s="9">
        <f>VLOOKUP(AB$1,'[1]Demanda requerida 2027'!$CI$74:$DS$97,MATCH(_xlfn.CONCAT(TEXT(DATE($A67,$B67,1),"mmm-yy"),$D67),'[1]Demanda requerida 2027'!$CI$70:$DS$70,0),FALSE)</f>
        <v>200</v>
      </c>
      <c r="AC67" s="86">
        <f t="shared" si="18"/>
        <v>71585</v>
      </c>
      <c r="AD67" s="78"/>
      <c r="AE67" s="85"/>
    </row>
    <row r="68" spans="1:31" x14ac:dyDescent="0.25">
      <c r="A68" s="11">
        <v>2027</v>
      </c>
      <c r="B68" s="12">
        <v>11</v>
      </c>
      <c r="C68" s="12">
        <v>6</v>
      </c>
      <c r="D68" s="12" t="s">
        <v>5</v>
      </c>
      <c r="E68" s="7">
        <f>VLOOKUP(E$1,'[1]Demanda requerida 2027'!$CI$74:$DS$97,MATCH(_xlfn.CONCAT(TEXT(DATE($A68,$B68,1),"mmm-yy"),$D68),'[1]Demanda requerida 2027'!$CI$70:$DS$70,0),FALSE)</f>
        <v>200</v>
      </c>
      <c r="F68" s="7">
        <f>VLOOKUP(F$1,'[1]Demanda requerida 2027'!$CI$74:$DS$97,MATCH(_xlfn.CONCAT(TEXT(DATE($A68,$B68,1),"mmm-yy"),$D68),'[1]Demanda requerida 2027'!$CI$70:$DS$70,0),FALSE)</f>
        <v>200</v>
      </c>
      <c r="G68" s="7">
        <f>VLOOKUP(G$1,'[1]Demanda requerida 2027'!$CI$74:$DS$97,MATCH(_xlfn.CONCAT(TEXT(DATE($A68,$B68,1),"mmm-yy"),$D68),'[1]Demanda requerida 2027'!$CI$70:$DS$70,0),FALSE)</f>
        <v>200</v>
      </c>
      <c r="H68" s="7">
        <f>VLOOKUP(H$1,'[1]Demanda requerida 2027'!$CI$74:$DS$97,MATCH(_xlfn.CONCAT(TEXT(DATE($A68,$B68,1),"mmm-yy"),$D68),'[1]Demanda requerida 2027'!$CI$70:$DS$70,0),FALSE)</f>
        <v>200</v>
      </c>
      <c r="I68" s="7">
        <f>VLOOKUP(I$1,'[1]Demanda requerida 2027'!$CI$74:$DS$97,MATCH(_xlfn.CONCAT(TEXT(DATE($A68,$B68,1),"mmm-yy"),$D68),'[1]Demanda requerida 2027'!$CI$70:$DS$70,0),FALSE)</f>
        <v>200</v>
      </c>
      <c r="J68" s="7">
        <f>VLOOKUP(J$1,'[1]Demanda requerida 2027'!$CI$74:$DS$97,MATCH(_xlfn.CONCAT(TEXT(DATE($A68,$B68,1),"mmm-yy"),$D68),'[1]Demanda requerida 2027'!$CI$70:$DS$70,0),FALSE)</f>
        <v>200</v>
      </c>
      <c r="K68" s="7">
        <f>VLOOKUP(K$1,'[1]Demanda requerida 2027'!$CI$74:$DS$97,MATCH(_xlfn.CONCAT(TEXT(DATE($A68,$B68,1),"mmm-yy"),$D68),'[1]Demanda requerida 2027'!$CI$70:$DS$70,0),FALSE)</f>
        <v>200</v>
      </c>
      <c r="L68" s="7">
        <f>VLOOKUP(L$1,'[1]Demanda requerida 2027'!$CI$74:$DS$97,MATCH(_xlfn.CONCAT(TEXT(DATE($A68,$B68,1),"mmm-yy"),$D68),'[1]Demanda requerida 2027'!$CI$70:$DS$70,0),FALSE)</f>
        <v>200</v>
      </c>
      <c r="M68" s="7">
        <f>VLOOKUP(M$1,'[1]Demanda requerida 2027'!$CI$74:$DS$97,MATCH(_xlfn.CONCAT(TEXT(DATE($A68,$B68,1),"mmm-yy"),$D68),'[1]Demanda requerida 2027'!$CI$70:$DS$70,0),FALSE)</f>
        <v>200</v>
      </c>
      <c r="N68" s="7">
        <f>VLOOKUP(N$1,'[1]Demanda requerida 2027'!$CI$74:$DS$97,MATCH(_xlfn.CONCAT(TEXT(DATE($A68,$B68,1),"mmm-yy"),$D68),'[1]Demanda requerida 2027'!$CI$70:$DS$70,0),FALSE)</f>
        <v>200</v>
      </c>
      <c r="O68" s="7">
        <f>VLOOKUP(O$1,'[1]Demanda requerida 2027'!$CI$74:$DS$97,MATCH(_xlfn.CONCAT(TEXT(DATE($A68,$B68,1),"mmm-yy"),$D68),'[1]Demanda requerida 2027'!$CI$70:$DS$70,0),FALSE)</f>
        <v>200</v>
      </c>
      <c r="P68" s="7">
        <f>VLOOKUP(P$1,'[1]Demanda requerida 2027'!$CI$74:$DS$97,MATCH(_xlfn.CONCAT(TEXT(DATE($A68,$B68,1),"mmm-yy"),$D68),'[1]Demanda requerida 2027'!$CI$70:$DS$70,0),FALSE)</f>
        <v>200</v>
      </c>
      <c r="Q68" s="7">
        <f>VLOOKUP(Q$1,'[1]Demanda requerida 2027'!$CI$74:$DS$97,MATCH(_xlfn.CONCAT(TEXT(DATE($A68,$B68,1),"mmm-yy"),$D68),'[1]Demanda requerida 2027'!$CI$70:$DS$70,0),FALSE)</f>
        <v>200</v>
      </c>
      <c r="R68" s="7">
        <f>VLOOKUP(R$1,'[1]Demanda requerida 2027'!$CI$74:$DS$97,MATCH(_xlfn.CONCAT(TEXT(DATE($A68,$B68,1),"mmm-yy"),$D68),'[1]Demanda requerida 2027'!$CI$70:$DS$70,0),FALSE)</f>
        <v>200</v>
      </c>
      <c r="S68" s="7">
        <f>VLOOKUP(S$1,'[1]Demanda requerida 2027'!$CI$74:$DS$97,MATCH(_xlfn.CONCAT(TEXT(DATE($A68,$B68,1),"mmm-yy"),$D68),'[1]Demanda requerida 2027'!$CI$70:$DS$70,0),FALSE)</f>
        <v>200</v>
      </c>
      <c r="T68" s="7">
        <f>VLOOKUP(T$1,'[1]Demanda requerida 2027'!$CI$74:$DS$97,MATCH(_xlfn.CONCAT(TEXT(DATE($A68,$B68,1),"mmm-yy"),$D68),'[1]Demanda requerida 2027'!$CI$70:$DS$70,0),FALSE)</f>
        <v>200</v>
      </c>
      <c r="U68" s="7">
        <f>VLOOKUP(U$1,'[1]Demanda requerida 2027'!$CI$74:$DS$97,MATCH(_xlfn.CONCAT(TEXT(DATE($A68,$B68,1),"mmm-yy"),$D68),'[1]Demanda requerida 2027'!$CI$70:$DS$70,0),FALSE)</f>
        <v>200</v>
      </c>
      <c r="V68" s="7">
        <f>VLOOKUP(V$1,'[1]Demanda requerida 2027'!$CI$74:$DS$97,MATCH(_xlfn.CONCAT(TEXT(DATE($A68,$B68,1),"mmm-yy"),$D68),'[1]Demanda requerida 2027'!$CI$70:$DS$70,0),FALSE)</f>
        <v>200</v>
      </c>
      <c r="W68" s="7">
        <f>VLOOKUP(W$1,'[1]Demanda requerida 2027'!$CI$74:$DS$97,MATCH(_xlfn.CONCAT(TEXT(DATE($A68,$B68,1),"mmm-yy"),$D68),'[1]Demanda requerida 2027'!$CI$70:$DS$70,0),FALSE)</f>
        <v>200</v>
      </c>
      <c r="X68" s="7">
        <f>VLOOKUP(X$1,'[1]Demanda requerida 2027'!$CI$74:$DS$97,MATCH(_xlfn.CONCAT(TEXT(DATE($A68,$B68,1),"mmm-yy"),$D68),'[1]Demanda requerida 2027'!$CI$70:$DS$70,0),FALSE)</f>
        <v>200</v>
      </c>
      <c r="Y68" s="7">
        <f>VLOOKUP(Y$1,'[1]Demanda requerida 2027'!$CI$74:$DS$97,MATCH(_xlfn.CONCAT(TEXT(DATE($A68,$B68,1),"mmm-yy"),$D68),'[1]Demanda requerida 2027'!$CI$70:$DS$70,0),FALSE)</f>
        <v>200</v>
      </c>
      <c r="Z68" s="7">
        <f>VLOOKUP(Z$1,'[1]Demanda requerida 2027'!$CI$74:$DS$97,MATCH(_xlfn.CONCAT(TEXT(DATE($A68,$B68,1),"mmm-yy"),$D68),'[1]Demanda requerida 2027'!$CI$70:$DS$70,0),FALSE)</f>
        <v>200</v>
      </c>
      <c r="AA68" s="7">
        <f>VLOOKUP(AA$1,'[1]Demanda requerida 2027'!$CI$74:$DS$97,MATCH(_xlfn.CONCAT(TEXT(DATE($A68,$B68,1),"mmm-yy"),$D68),'[1]Demanda requerida 2027'!$CI$70:$DS$70,0),FALSE)</f>
        <v>200</v>
      </c>
      <c r="AB68" s="7">
        <f>VLOOKUP(AB$1,'[1]Demanda requerida 2027'!$CI$74:$DS$97,MATCH(_xlfn.CONCAT(TEXT(DATE($A68,$B68,1),"mmm-yy"),$D68),'[1]Demanda requerida 2027'!$CI$70:$DS$70,0),FALSE)</f>
        <v>200</v>
      </c>
      <c r="AC68" s="82">
        <f t="shared" si="18"/>
        <v>4800</v>
      </c>
      <c r="AD68" s="76">
        <f t="shared" ref="AD68" si="24">+SUMPRODUCT(AC68:AC70,C68:C70)</f>
        <v>2665816</v>
      </c>
      <c r="AE68" s="85"/>
    </row>
    <row r="69" spans="1:31" x14ac:dyDescent="0.25">
      <c r="A69" s="13">
        <v>2027</v>
      </c>
      <c r="B69" s="1">
        <v>11</v>
      </c>
      <c r="C69" s="1">
        <v>20</v>
      </c>
      <c r="D69" s="1" t="s">
        <v>31</v>
      </c>
      <c r="E69" s="8">
        <f>VLOOKUP(E$1,'[1]Demanda requerida 2027'!$CI$74:$DS$97,MATCH(_xlfn.CONCAT(TEXT(DATE($A69,$B69,1),"mmm-yy"),$D69),'[1]Demanda requerida 2027'!$CI$70:$DS$70,0),FALSE)</f>
        <v>200</v>
      </c>
      <c r="F69" s="8">
        <f>VLOOKUP(F$1,'[1]Demanda requerida 2027'!$CI$74:$DS$97,MATCH(_xlfn.CONCAT(TEXT(DATE($A69,$B69,1),"mmm-yy"),$D69),'[1]Demanda requerida 2027'!$CI$70:$DS$70,0),FALSE)</f>
        <v>200</v>
      </c>
      <c r="G69" s="8">
        <f>VLOOKUP(G$1,'[1]Demanda requerida 2027'!$CI$74:$DS$97,MATCH(_xlfn.CONCAT(TEXT(DATE($A69,$B69,1),"mmm-yy"),$D69),'[1]Demanda requerida 2027'!$CI$70:$DS$70,0),FALSE)</f>
        <v>200</v>
      </c>
      <c r="H69" s="8">
        <f>VLOOKUP(H$1,'[1]Demanda requerida 2027'!$CI$74:$DS$97,MATCH(_xlfn.CONCAT(TEXT(DATE($A69,$B69,1),"mmm-yy"),$D69),'[1]Demanda requerida 2027'!$CI$70:$DS$70,0),FALSE)</f>
        <v>200</v>
      </c>
      <c r="I69" s="8">
        <f>VLOOKUP(I$1,'[1]Demanda requerida 2027'!$CI$74:$DS$97,MATCH(_xlfn.CONCAT(TEXT(DATE($A69,$B69,1),"mmm-yy"),$D69),'[1]Demanda requerida 2027'!$CI$70:$DS$70,0),FALSE)</f>
        <v>200</v>
      </c>
      <c r="J69" s="8">
        <f>VLOOKUP(J$1,'[1]Demanda requerida 2027'!$CI$74:$DS$97,MATCH(_xlfn.CONCAT(TEXT(DATE($A69,$B69,1),"mmm-yy"),$D69),'[1]Demanda requerida 2027'!$CI$70:$DS$70,0),FALSE)</f>
        <v>200</v>
      </c>
      <c r="K69" s="8">
        <f>VLOOKUP(K$1,'[1]Demanda requerida 2027'!$CI$74:$DS$97,MATCH(_xlfn.CONCAT(TEXT(DATE($A69,$B69,1),"mmm-yy"),$D69),'[1]Demanda requerida 2027'!$CI$70:$DS$70,0),FALSE)</f>
        <v>200</v>
      </c>
      <c r="L69" s="8">
        <f>VLOOKUP(L$1,'[1]Demanda requerida 2027'!$CI$74:$DS$97,MATCH(_xlfn.CONCAT(TEXT(DATE($A69,$B69,1),"mmm-yy"),$D69),'[1]Demanda requerida 2027'!$CI$70:$DS$70,0),FALSE)</f>
        <v>470</v>
      </c>
      <c r="M69" s="8">
        <f>VLOOKUP(M$1,'[1]Demanda requerida 2027'!$CI$74:$DS$97,MATCH(_xlfn.CONCAT(TEXT(DATE($A69,$B69,1),"mmm-yy"),$D69),'[1]Demanda requerida 2027'!$CI$70:$DS$70,0),FALSE)</f>
        <v>3312</v>
      </c>
      <c r="N69" s="8">
        <f>VLOOKUP(N$1,'[1]Demanda requerida 2027'!$CI$74:$DS$97,MATCH(_xlfn.CONCAT(TEXT(DATE($A69,$B69,1),"mmm-yy"),$D69),'[1]Demanda requerida 2027'!$CI$70:$DS$70,0),FALSE)</f>
        <v>5271</v>
      </c>
      <c r="O69" s="8">
        <f>VLOOKUP(O$1,'[1]Demanda requerida 2027'!$CI$74:$DS$97,MATCH(_xlfn.CONCAT(TEXT(DATE($A69,$B69,1),"mmm-yy"),$D69),'[1]Demanda requerida 2027'!$CI$70:$DS$70,0),FALSE)</f>
        <v>6624</v>
      </c>
      <c r="P69" s="8">
        <f>VLOOKUP(P$1,'[1]Demanda requerida 2027'!$CI$74:$DS$97,MATCH(_xlfn.CONCAT(TEXT(DATE($A69,$B69,1),"mmm-yy"),$D69),'[1]Demanda requerida 2027'!$CI$70:$DS$70,0),FALSE)</f>
        <v>8367</v>
      </c>
      <c r="Q69" s="8">
        <f>VLOOKUP(Q$1,'[1]Demanda requerida 2027'!$CI$74:$DS$97,MATCH(_xlfn.CONCAT(TEXT(DATE($A69,$B69,1),"mmm-yy"),$D69),'[1]Demanda requerida 2027'!$CI$70:$DS$70,0),FALSE)</f>
        <v>8334</v>
      </c>
      <c r="R69" s="8">
        <f>VLOOKUP(R$1,'[1]Demanda requerida 2027'!$CI$74:$DS$97,MATCH(_xlfn.CONCAT(TEXT(DATE($A69,$B69,1),"mmm-yy"),$D69),'[1]Demanda requerida 2027'!$CI$70:$DS$70,0),FALSE)</f>
        <v>8285</v>
      </c>
      <c r="S69" s="8">
        <f>VLOOKUP(S$1,'[1]Demanda requerida 2027'!$CI$74:$DS$97,MATCH(_xlfn.CONCAT(TEXT(DATE($A69,$B69,1),"mmm-yy"),$D69),'[1]Demanda requerida 2027'!$CI$70:$DS$70,0),FALSE)</f>
        <v>7886</v>
      </c>
      <c r="T69" s="8">
        <f>VLOOKUP(T$1,'[1]Demanda requerida 2027'!$CI$74:$DS$97,MATCH(_xlfn.CONCAT(TEXT(DATE($A69,$B69,1),"mmm-yy"),$D69),'[1]Demanda requerida 2027'!$CI$70:$DS$70,0),FALSE)</f>
        <v>7830</v>
      </c>
      <c r="U69" s="8">
        <f>VLOOKUP(U$1,'[1]Demanda requerida 2027'!$CI$74:$DS$97,MATCH(_xlfn.CONCAT(TEXT(DATE($A69,$B69,1),"mmm-yy"),$D69),'[1]Demanda requerida 2027'!$CI$70:$DS$70,0),FALSE)</f>
        <v>7341</v>
      </c>
      <c r="V69" s="8">
        <f>VLOOKUP(V$1,'[1]Demanda requerida 2027'!$CI$74:$DS$97,MATCH(_xlfn.CONCAT(TEXT(DATE($A69,$B69,1),"mmm-yy"),$D69),'[1]Demanda requerida 2027'!$CI$70:$DS$70,0),FALSE)</f>
        <v>8748</v>
      </c>
      <c r="W69" s="8">
        <f>VLOOKUP(W$1,'[1]Demanda requerida 2027'!$CI$74:$DS$97,MATCH(_xlfn.CONCAT(TEXT(DATE($A69,$B69,1),"mmm-yy"),$D69),'[1]Demanda requerida 2027'!$CI$70:$DS$70,0),FALSE)</f>
        <v>11449</v>
      </c>
      <c r="X69" s="8">
        <f>VLOOKUP(X$1,'[1]Demanda requerida 2027'!$CI$74:$DS$97,MATCH(_xlfn.CONCAT(TEXT(DATE($A69,$B69,1),"mmm-yy"),$D69),'[1]Demanda requerida 2027'!$CI$70:$DS$70,0),FALSE)</f>
        <v>11418</v>
      </c>
      <c r="Y69" s="8">
        <f>VLOOKUP(Y$1,'[1]Demanda requerida 2027'!$CI$74:$DS$97,MATCH(_xlfn.CONCAT(TEXT(DATE($A69,$B69,1),"mmm-yy"),$D69),'[1]Demanda requerida 2027'!$CI$70:$DS$70,0),FALSE)</f>
        <v>10082</v>
      </c>
      <c r="Z69" s="8">
        <f>VLOOKUP(Z$1,'[1]Demanda requerida 2027'!$CI$74:$DS$97,MATCH(_xlfn.CONCAT(TEXT(DATE($A69,$B69,1),"mmm-yy"),$D69),'[1]Demanda requerida 2027'!$CI$70:$DS$70,0),FALSE)</f>
        <v>7532</v>
      </c>
      <c r="AA69" s="8">
        <f>VLOOKUP(AA$1,'[1]Demanda requerida 2027'!$CI$74:$DS$97,MATCH(_xlfn.CONCAT(TEXT(DATE($A69,$B69,1),"mmm-yy"),$D69),'[1]Demanda requerida 2027'!$CI$70:$DS$70,0),FALSE)</f>
        <v>4351</v>
      </c>
      <c r="AB69" s="8">
        <f>VLOOKUP(AB$1,'[1]Demanda requerida 2027'!$CI$74:$DS$97,MATCH(_xlfn.CONCAT(TEXT(DATE($A69,$B69,1),"mmm-yy"),$D69),'[1]Demanda requerida 2027'!$CI$70:$DS$70,0),FALSE)</f>
        <v>1418</v>
      </c>
      <c r="AC69" s="84">
        <f t="shared" si="18"/>
        <v>120118</v>
      </c>
      <c r="AD69" s="77"/>
      <c r="AE69" s="85"/>
    </row>
    <row r="70" spans="1:31" ht="15.75" thickBot="1" x14ac:dyDescent="0.3">
      <c r="A70" s="14">
        <v>2027</v>
      </c>
      <c r="B70" s="15">
        <v>11</v>
      </c>
      <c r="C70" s="15">
        <v>4</v>
      </c>
      <c r="D70" s="15" t="s">
        <v>6</v>
      </c>
      <c r="E70" s="9">
        <f>VLOOKUP(E$1,'[1]Demanda requerida 2027'!$CI$74:$DS$97,MATCH(_xlfn.CONCAT(TEXT(DATE($A70,$B70,1),"mmm-yy"),$D70),'[1]Demanda requerida 2027'!$CI$70:$DS$70,0),FALSE)</f>
        <v>200</v>
      </c>
      <c r="F70" s="9">
        <f>VLOOKUP(F$1,'[1]Demanda requerida 2027'!$CI$74:$DS$97,MATCH(_xlfn.CONCAT(TEXT(DATE($A70,$B70,1),"mmm-yy"),$D70),'[1]Demanda requerida 2027'!$CI$70:$DS$70,0),FALSE)</f>
        <v>200</v>
      </c>
      <c r="G70" s="9">
        <f>VLOOKUP(G$1,'[1]Demanda requerida 2027'!$CI$74:$DS$97,MATCH(_xlfn.CONCAT(TEXT(DATE($A70,$B70,1),"mmm-yy"),$D70),'[1]Demanda requerida 2027'!$CI$70:$DS$70,0),FALSE)</f>
        <v>200</v>
      </c>
      <c r="H70" s="9">
        <f>VLOOKUP(H$1,'[1]Demanda requerida 2027'!$CI$74:$DS$97,MATCH(_xlfn.CONCAT(TEXT(DATE($A70,$B70,1),"mmm-yy"),$D70),'[1]Demanda requerida 2027'!$CI$70:$DS$70,0),FALSE)</f>
        <v>200</v>
      </c>
      <c r="I70" s="9">
        <f>VLOOKUP(I$1,'[1]Demanda requerida 2027'!$CI$74:$DS$97,MATCH(_xlfn.CONCAT(TEXT(DATE($A70,$B70,1),"mmm-yy"),$D70),'[1]Demanda requerida 2027'!$CI$70:$DS$70,0),FALSE)</f>
        <v>200</v>
      </c>
      <c r="J70" s="9">
        <f>VLOOKUP(J$1,'[1]Demanda requerida 2027'!$CI$74:$DS$97,MATCH(_xlfn.CONCAT(TEXT(DATE($A70,$B70,1),"mmm-yy"),$D70),'[1]Demanda requerida 2027'!$CI$70:$DS$70,0),FALSE)</f>
        <v>200</v>
      </c>
      <c r="K70" s="9">
        <f>VLOOKUP(K$1,'[1]Demanda requerida 2027'!$CI$74:$DS$97,MATCH(_xlfn.CONCAT(TEXT(DATE($A70,$B70,1),"mmm-yy"),$D70),'[1]Demanda requerida 2027'!$CI$70:$DS$70,0),FALSE)</f>
        <v>200</v>
      </c>
      <c r="L70" s="9">
        <f>VLOOKUP(L$1,'[1]Demanda requerida 2027'!$CI$74:$DS$97,MATCH(_xlfn.CONCAT(TEXT(DATE($A70,$B70,1),"mmm-yy"),$D70),'[1]Demanda requerida 2027'!$CI$70:$DS$70,0),FALSE)</f>
        <v>200</v>
      </c>
      <c r="M70" s="9">
        <f>VLOOKUP(M$1,'[1]Demanda requerida 2027'!$CI$74:$DS$97,MATCH(_xlfn.CONCAT(TEXT(DATE($A70,$B70,1),"mmm-yy"),$D70),'[1]Demanda requerida 2027'!$CI$70:$DS$70,0),FALSE)</f>
        <v>200</v>
      </c>
      <c r="N70" s="9">
        <f>VLOOKUP(N$1,'[1]Demanda requerida 2027'!$CI$74:$DS$97,MATCH(_xlfn.CONCAT(TEXT(DATE($A70,$B70,1),"mmm-yy"),$D70),'[1]Demanda requerida 2027'!$CI$70:$DS$70,0),FALSE)</f>
        <v>1280</v>
      </c>
      <c r="O70" s="9">
        <f>VLOOKUP(O$1,'[1]Demanda requerida 2027'!$CI$74:$DS$97,MATCH(_xlfn.CONCAT(TEXT(DATE($A70,$B70,1),"mmm-yy"),$D70),'[1]Demanda requerida 2027'!$CI$70:$DS$70,0),FALSE)</f>
        <v>2685</v>
      </c>
      <c r="P70" s="9">
        <f>VLOOKUP(P$1,'[1]Demanda requerida 2027'!$CI$74:$DS$97,MATCH(_xlfn.CONCAT(TEXT(DATE($A70,$B70,1),"mmm-yy"),$D70),'[1]Demanda requerida 2027'!$CI$70:$DS$70,0),FALSE)</f>
        <v>4172</v>
      </c>
      <c r="Q70" s="9">
        <f>VLOOKUP(Q$1,'[1]Demanda requerida 2027'!$CI$74:$DS$97,MATCH(_xlfn.CONCAT(TEXT(DATE($A70,$B70,1),"mmm-yy"),$D70),'[1]Demanda requerida 2027'!$CI$70:$DS$70,0),FALSE)</f>
        <v>4757</v>
      </c>
      <c r="R70" s="9">
        <f>VLOOKUP(R$1,'[1]Demanda requerida 2027'!$CI$74:$DS$97,MATCH(_xlfn.CONCAT(TEXT(DATE($A70,$B70,1),"mmm-yy"),$D70),'[1]Demanda requerida 2027'!$CI$70:$DS$70,0),FALSE)</f>
        <v>4159</v>
      </c>
      <c r="S70" s="9">
        <f>VLOOKUP(S$1,'[1]Demanda requerida 2027'!$CI$74:$DS$97,MATCH(_xlfn.CONCAT(TEXT(DATE($A70,$B70,1),"mmm-yy"),$D70),'[1]Demanda requerida 2027'!$CI$70:$DS$70,0),FALSE)</f>
        <v>3376</v>
      </c>
      <c r="T70" s="9">
        <f>VLOOKUP(T$1,'[1]Demanda requerida 2027'!$CI$74:$DS$97,MATCH(_xlfn.CONCAT(TEXT(DATE($A70,$B70,1),"mmm-yy"),$D70),'[1]Demanda requerida 2027'!$CI$70:$DS$70,0),FALSE)</f>
        <v>2739</v>
      </c>
      <c r="U70" s="9">
        <f>VLOOKUP(U$1,'[1]Demanda requerida 2027'!$CI$74:$DS$97,MATCH(_xlfn.CONCAT(TEXT(DATE($A70,$B70,1),"mmm-yy"),$D70),'[1]Demanda requerida 2027'!$CI$70:$DS$70,0),FALSE)</f>
        <v>2054</v>
      </c>
      <c r="V70" s="9">
        <f>VLOOKUP(V$1,'[1]Demanda requerida 2027'!$CI$74:$DS$97,MATCH(_xlfn.CONCAT(TEXT(DATE($A70,$B70,1),"mmm-yy"),$D70),'[1]Demanda requerida 2027'!$CI$70:$DS$70,0),FALSE)</f>
        <v>4359</v>
      </c>
      <c r="W70" s="9">
        <f>VLOOKUP(W$1,'[1]Demanda requerida 2027'!$CI$74:$DS$97,MATCH(_xlfn.CONCAT(TEXT(DATE($A70,$B70,1),"mmm-yy"),$D70),'[1]Demanda requerida 2027'!$CI$70:$DS$70,0),FALSE)</f>
        <v>7363</v>
      </c>
      <c r="X70" s="9">
        <f>VLOOKUP(X$1,'[1]Demanda requerida 2027'!$CI$74:$DS$97,MATCH(_xlfn.CONCAT(TEXT(DATE($A70,$B70,1),"mmm-yy"),$D70),'[1]Demanda requerida 2027'!$CI$70:$DS$70,0),FALSE)</f>
        <v>7296</v>
      </c>
      <c r="Y70" s="9">
        <f>VLOOKUP(Y$1,'[1]Demanda requerida 2027'!$CI$74:$DS$97,MATCH(_xlfn.CONCAT(TEXT(DATE($A70,$B70,1),"mmm-yy"),$D70),'[1]Demanda requerida 2027'!$CI$70:$DS$70,0),FALSE)</f>
        <v>6228</v>
      </c>
      <c r="Z70" s="9">
        <f>VLOOKUP(Z$1,'[1]Demanda requerida 2027'!$CI$74:$DS$97,MATCH(_xlfn.CONCAT(TEXT(DATE($A70,$B70,1),"mmm-yy"),$D70),'[1]Demanda requerida 2027'!$CI$70:$DS$70,0),FALSE)</f>
        <v>4223</v>
      </c>
      <c r="AA70" s="9">
        <f>VLOOKUP(AA$1,'[1]Demanda requerida 2027'!$CI$74:$DS$97,MATCH(_xlfn.CONCAT(TEXT(DATE($A70,$B70,1),"mmm-yy"),$D70),'[1]Demanda requerida 2027'!$CI$70:$DS$70,0),FALSE)</f>
        <v>1973</v>
      </c>
      <c r="AB70" s="9">
        <f>VLOOKUP(AB$1,'[1]Demanda requerida 2027'!$CI$74:$DS$97,MATCH(_xlfn.CONCAT(TEXT(DATE($A70,$B70,1),"mmm-yy"),$D70),'[1]Demanda requerida 2027'!$CI$70:$DS$70,0),FALSE)</f>
        <v>200</v>
      </c>
      <c r="AC70" s="86">
        <f t="shared" si="18"/>
        <v>58664</v>
      </c>
      <c r="AD70" s="78"/>
      <c r="AE70" s="85"/>
    </row>
    <row r="71" spans="1:31" x14ac:dyDescent="0.25">
      <c r="A71" s="11">
        <v>2027</v>
      </c>
      <c r="B71" s="12">
        <v>12</v>
      </c>
      <c r="C71" s="12">
        <v>6</v>
      </c>
      <c r="D71" s="12" t="s">
        <v>5</v>
      </c>
      <c r="E71" s="7">
        <f>VLOOKUP(E$1,'[1]Demanda requerida 2027'!$CI$74:$DS$97,MATCH(_xlfn.CONCAT(TEXT(DATE($A71,$B71,1),"mmm-yy"),$D71),'[1]Demanda requerida 2027'!$CI$70:$DS$70,0),FALSE)</f>
        <v>200</v>
      </c>
      <c r="F71" s="7">
        <f>VLOOKUP(F$1,'[1]Demanda requerida 2027'!$CI$74:$DS$97,MATCH(_xlfn.CONCAT(TEXT(DATE($A71,$B71,1),"mmm-yy"),$D71),'[1]Demanda requerida 2027'!$CI$70:$DS$70,0),FALSE)</f>
        <v>200</v>
      </c>
      <c r="G71" s="7">
        <f>VLOOKUP(G$1,'[1]Demanda requerida 2027'!$CI$74:$DS$97,MATCH(_xlfn.CONCAT(TEXT(DATE($A71,$B71,1),"mmm-yy"),$D71),'[1]Demanda requerida 2027'!$CI$70:$DS$70,0),FALSE)</f>
        <v>200</v>
      </c>
      <c r="H71" s="7">
        <f>VLOOKUP(H$1,'[1]Demanda requerida 2027'!$CI$74:$DS$97,MATCH(_xlfn.CONCAT(TEXT(DATE($A71,$B71,1),"mmm-yy"),$D71),'[1]Demanda requerida 2027'!$CI$70:$DS$70,0),FALSE)</f>
        <v>200</v>
      </c>
      <c r="I71" s="7">
        <f>VLOOKUP(I$1,'[1]Demanda requerida 2027'!$CI$74:$DS$97,MATCH(_xlfn.CONCAT(TEXT(DATE($A71,$B71,1),"mmm-yy"),$D71),'[1]Demanda requerida 2027'!$CI$70:$DS$70,0),FALSE)</f>
        <v>200</v>
      </c>
      <c r="J71" s="7">
        <f>VLOOKUP(J$1,'[1]Demanda requerida 2027'!$CI$74:$DS$97,MATCH(_xlfn.CONCAT(TEXT(DATE($A71,$B71,1),"mmm-yy"),$D71),'[1]Demanda requerida 2027'!$CI$70:$DS$70,0),FALSE)</f>
        <v>200</v>
      </c>
      <c r="K71" s="7">
        <f>VLOOKUP(K$1,'[1]Demanda requerida 2027'!$CI$74:$DS$97,MATCH(_xlfn.CONCAT(TEXT(DATE($A71,$B71,1),"mmm-yy"),$D71),'[1]Demanda requerida 2027'!$CI$70:$DS$70,0),FALSE)</f>
        <v>200</v>
      </c>
      <c r="L71" s="7">
        <f>VLOOKUP(L$1,'[1]Demanda requerida 2027'!$CI$74:$DS$97,MATCH(_xlfn.CONCAT(TEXT(DATE($A71,$B71,1),"mmm-yy"),$D71),'[1]Demanda requerida 2027'!$CI$70:$DS$70,0),FALSE)</f>
        <v>200</v>
      </c>
      <c r="M71" s="7">
        <f>VLOOKUP(M$1,'[1]Demanda requerida 2027'!$CI$74:$DS$97,MATCH(_xlfn.CONCAT(TEXT(DATE($A71,$B71,1),"mmm-yy"),$D71),'[1]Demanda requerida 2027'!$CI$70:$DS$70,0),FALSE)</f>
        <v>200</v>
      </c>
      <c r="N71" s="7">
        <f>VLOOKUP(N$1,'[1]Demanda requerida 2027'!$CI$74:$DS$97,MATCH(_xlfn.CONCAT(TEXT(DATE($A71,$B71,1),"mmm-yy"),$D71),'[1]Demanda requerida 2027'!$CI$70:$DS$70,0),FALSE)</f>
        <v>200</v>
      </c>
      <c r="O71" s="7">
        <f>VLOOKUP(O$1,'[1]Demanda requerida 2027'!$CI$74:$DS$97,MATCH(_xlfn.CONCAT(TEXT(DATE($A71,$B71,1),"mmm-yy"),$D71),'[1]Demanda requerida 2027'!$CI$70:$DS$70,0),FALSE)</f>
        <v>200</v>
      </c>
      <c r="P71" s="7">
        <f>VLOOKUP(P$1,'[1]Demanda requerida 2027'!$CI$74:$DS$97,MATCH(_xlfn.CONCAT(TEXT(DATE($A71,$B71,1),"mmm-yy"),$D71),'[1]Demanda requerida 2027'!$CI$70:$DS$70,0),FALSE)</f>
        <v>200</v>
      </c>
      <c r="Q71" s="7">
        <f>VLOOKUP(Q$1,'[1]Demanda requerida 2027'!$CI$74:$DS$97,MATCH(_xlfn.CONCAT(TEXT(DATE($A71,$B71,1),"mmm-yy"),$D71),'[1]Demanda requerida 2027'!$CI$70:$DS$70,0),FALSE)</f>
        <v>200</v>
      </c>
      <c r="R71" s="7">
        <f>VLOOKUP(R$1,'[1]Demanda requerida 2027'!$CI$74:$DS$97,MATCH(_xlfn.CONCAT(TEXT(DATE($A71,$B71,1),"mmm-yy"),$D71),'[1]Demanda requerida 2027'!$CI$70:$DS$70,0),FALSE)</f>
        <v>200</v>
      </c>
      <c r="S71" s="7">
        <f>VLOOKUP(S$1,'[1]Demanda requerida 2027'!$CI$74:$DS$97,MATCH(_xlfn.CONCAT(TEXT(DATE($A71,$B71,1),"mmm-yy"),$D71),'[1]Demanda requerida 2027'!$CI$70:$DS$70,0),FALSE)</f>
        <v>200</v>
      </c>
      <c r="T71" s="7">
        <f>VLOOKUP(T$1,'[1]Demanda requerida 2027'!$CI$74:$DS$97,MATCH(_xlfn.CONCAT(TEXT(DATE($A71,$B71,1),"mmm-yy"),$D71),'[1]Demanda requerida 2027'!$CI$70:$DS$70,0),FALSE)</f>
        <v>200</v>
      </c>
      <c r="U71" s="7">
        <f>VLOOKUP(U$1,'[1]Demanda requerida 2027'!$CI$74:$DS$97,MATCH(_xlfn.CONCAT(TEXT(DATE($A71,$B71,1),"mmm-yy"),$D71),'[1]Demanda requerida 2027'!$CI$70:$DS$70,0),FALSE)</f>
        <v>200</v>
      </c>
      <c r="V71" s="7">
        <f>VLOOKUP(V$1,'[1]Demanda requerida 2027'!$CI$74:$DS$97,MATCH(_xlfn.CONCAT(TEXT(DATE($A71,$B71,1),"mmm-yy"),$D71),'[1]Demanda requerida 2027'!$CI$70:$DS$70,0),FALSE)</f>
        <v>126</v>
      </c>
      <c r="W71" s="7">
        <f>VLOOKUP(W$1,'[1]Demanda requerida 2027'!$CI$74:$DS$97,MATCH(_xlfn.CONCAT(TEXT(DATE($A71,$B71,1),"mmm-yy"),$D71),'[1]Demanda requerida 2027'!$CI$70:$DS$70,0),FALSE)</f>
        <v>1670</v>
      </c>
      <c r="X71" s="7">
        <f>VLOOKUP(X$1,'[1]Demanda requerida 2027'!$CI$74:$DS$97,MATCH(_xlfn.CONCAT(TEXT(DATE($A71,$B71,1),"mmm-yy"),$D71),'[1]Demanda requerida 2027'!$CI$70:$DS$70,0),FALSE)</f>
        <v>2006</v>
      </c>
      <c r="Y71" s="7">
        <f>VLOOKUP(Y$1,'[1]Demanda requerida 2027'!$CI$74:$DS$97,MATCH(_xlfn.CONCAT(TEXT(DATE($A71,$B71,1),"mmm-yy"),$D71),'[1]Demanda requerida 2027'!$CI$70:$DS$70,0),FALSE)</f>
        <v>1581</v>
      </c>
      <c r="Z71" s="7">
        <f>VLOOKUP(Z$1,'[1]Demanda requerida 2027'!$CI$74:$DS$97,MATCH(_xlfn.CONCAT(TEXT(DATE($A71,$B71,1),"mmm-yy"),$D71),'[1]Demanda requerida 2027'!$CI$70:$DS$70,0),FALSE)</f>
        <v>769</v>
      </c>
      <c r="AA71" s="7">
        <f>VLOOKUP(AA$1,'[1]Demanda requerida 2027'!$CI$74:$DS$97,MATCH(_xlfn.CONCAT(TEXT(DATE($A71,$B71,1),"mmm-yy"),$D71),'[1]Demanda requerida 2027'!$CI$70:$DS$70,0),FALSE)</f>
        <v>200</v>
      </c>
      <c r="AB71" s="7">
        <f>VLOOKUP(AB$1,'[1]Demanda requerida 2027'!$CI$74:$DS$97,MATCH(_xlfn.CONCAT(TEXT(DATE($A71,$B71,1),"mmm-yy"),$D71),'[1]Demanda requerida 2027'!$CI$70:$DS$70,0),FALSE)</f>
        <v>200</v>
      </c>
      <c r="AC71" s="82">
        <f t="shared" si="18"/>
        <v>9952</v>
      </c>
      <c r="AD71" s="76">
        <f t="shared" ref="AD71" si="25">+SUMPRODUCT(AC71:AC73,C71:C73)</f>
        <v>10003291</v>
      </c>
      <c r="AE71" s="85"/>
    </row>
    <row r="72" spans="1:31" x14ac:dyDescent="0.25">
      <c r="A72" s="13">
        <v>2027</v>
      </c>
      <c r="B72" s="1">
        <v>12</v>
      </c>
      <c r="C72" s="1">
        <v>22</v>
      </c>
      <c r="D72" s="1" t="s">
        <v>31</v>
      </c>
      <c r="E72" s="8">
        <f>VLOOKUP(E$1,'[1]Demanda requerida 2027'!$CI$74:$DS$97,MATCH(_xlfn.CONCAT(TEXT(DATE($A72,$B72,1),"mmm-yy"),$D72),'[1]Demanda requerida 2027'!$CI$70:$DS$70,0),FALSE)</f>
        <v>11031</v>
      </c>
      <c r="F72" s="8">
        <f>VLOOKUP(F$1,'[1]Demanda requerida 2027'!$CI$74:$DS$97,MATCH(_xlfn.CONCAT(TEXT(DATE($A72,$B72,1),"mmm-yy"),$D72),'[1]Demanda requerida 2027'!$CI$70:$DS$70,0),FALSE)</f>
        <v>9816</v>
      </c>
      <c r="G72" s="8">
        <f>VLOOKUP(G$1,'[1]Demanda requerida 2027'!$CI$74:$DS$97,MATCH(_xlfn.CONCAT(TEXT(DATE($A72,$B72,1),"mmm-yy"),$D72),'[1]Demanda requerida 2027'!$CI$70:$DS$70,0),FALSE)</f>
        <v>8886</v>
      </c>
      <c r="H72" s="8">
        <f>VLOOKUP(H$1,'[1]Demanda requerida 2027'!$CI$74:$DS$97,MATCH(_xlfn.CONCAT(TEXT(DATE($A72,$B72,1),"mmm-yy"),$D72),'[1]Demanda requerida 2027'!$CI$70:$DS$70,0),FALSE)</f>
        <v>8262</v>
      </c>
      <c r="I72" s="8">
        <f>VLOOKUP(I$1,'[1]Demanda requerida 2027'!$CI$74:$DS$97,MATCH(_xlfn.CONCAT(TEXT(DATE($A72,$B72,1),"mmm-yy"),$D72),'[1]Demanda requerida 2027'!$CI$70:$DS$70,0),FALSE)</f>
        <v>8116</v>
      </c>
      <c r="J72" s="8">
        <f>VLOOKUP(J$1,'[1]Demanda requerida 2027'!$CI$74:$DS$97,MATCH(_xlfn.CONCAT(TEXT(DATE($A72,$B72,1),"mmm-yy"),$D72),'[1]Demanda requerida 2027'!$CI$70:$DS$70,0),FALSE)</f>
        <v>8771</v>
      </c>
      <c r="K72" s="8">
        <f>VLOOKUP(K$1,'[1]Demanda requerida 2027'!$CI$74:$DS$97,MATCH(_xlfn.CONCAT(TEXT(DATE($A72,$B72,1),"mmm-yy"),$D72),'[1]Demanda requerida 2027'!$CI$70:$DS$70,0),FALSE)</f>
        <v>9965</v>
      </c>
      <c r="L72" s="8">
        <f>VLOOKUP(L$1,'[1]Demanda requerida 2027'!$CI$74:$DS$97,MATCH(_xlfn.CONCAT(TEXT(DATE($A72,$B72,1),"mmm-yy"),$D72),'[1]Demanda requerida 2027'!$CI$70:$DS$70,0),FALSE)</f>
        <v>12295</v>
      </c>
      <c r="M72" s="8">
        <f>VLOOKUP(M$1,'[1]Demanda requerida 2027'!$CI$74:$DS$97,MATCH(_xlfn.CONCAT(TEXT(DATE($A72,$B72,1),"mmm-yy"),$D72),'[1]Demanda requerida 2027'!$CI$70:$DS$70,0),FALSE)</f>
        <v>14717</v>
      </c>
      <c r="N72" s="8">
        <f>VLOOKUP(N$1,'[1]Demanda requerida 2027'!$CI$74:$DS$97,MATCH(_xlfn.CONCAT(TEXT(DATE($A72,$B72,1),"mmm-yy"),$D72),'[1]Demanda requerida 2027'!$CI$70:$DS$70,0),FALSE)</f>
        <v>15828</v>
      </c>
      <c r="O72" s="8">
        <f>VLOOKUP(O$1,'[1]Demanda requerida 2027'!$CI$74:$DS$97,MATCH(_xlfn.CONCAT(TEXT(DATE($A72,$B72,1),"mmm-yy"),$D72),'[1]Demanda requerida 2027'!$CI$70:$DS$70,0),FALSE)</f>
        <v>16902</v>
      </c>
      <c r="P72" s="8">
        <f>VLOOKUP(P$1,'[1]Demanda requerida 2027'!$CI$74:$DS$97,MATCH(_xlfn.CONCAT(TEXT(DATE($A72,$B72,1),"mmm-yy"),$D72),'[1]Demanda requerida 2027'!$CI$70:$DS$70,0),FALSE)</f>
        <v>18374</v>
      </c>
      <c r="Q72" s="8">
        <f>VLOOKUP(Q$1,'[1]Demanda requerida 2027'!$CI$74:$DS$97,MATCH(_xlfn.CONCAT(TEXT(DATE($A72,$B72,1),"mmm-yy"),$D72),'[1]Demanda requerida 2027'!$CI$70:$DS$70,0),FALSE)</f>
        <v>19240</v>
      </c>
      <c r="R72" s="8">
        <f>VLOOKUP(R$1,'[1]Demanda requerida 2027'!$CI$74:$DS$97,MATCH(_xlfn.CONCAT(TEXT(DATE($A72,$B72,1),"mmm-yy"),$D72),'[1]Demanda requerida 2027'!$CI$70:$DS$70,0),FALSE)</f>
        <v>18704</v>
      </c>
      <c r="S72" s="8">
        <f>VLOOKUP(S$1,'[1]Demanda requerida 2027'!$CI$74:$DS$97,MATCH(_xlfn.CONCAT(TEXT(DATE($A72,$B72,1),"mmm-yy"),$D72),'[1]Demanda requerida 2027'!$CI$70:$DS$70,0),FALSE)</f>
        <v>18544</v>
      </c>
      <c r="T72" s="8">
        <f>VLOOKUP(T$1,'[1]Demanda requerida 2027'!$CI$74:$DS$97,MATCH(_xlfn.CONCAT(TEXT(DATE($A72,$B72,1),"mmm-yy"),$D72),'[1]Demanda requerida 2027'!$CI$70:$DS$70,0),FALSE)</f>
        <v>19229</v>
      </c>
      <c r="U72" s="8">
        <f>VLOOKUP(U$1,'[1]Demanda requerida 2027'!$CI$74:$DS$97,MATCH(_xlfn.CONCAT(TEXT(DATE($A72,$B72,1),"mmm-yy"),$D72),'[1]Demanda requerida 2027'!$CI$70:$DS$70,0),FALSE)</f>
        <v>18751</v>
      </c>
      <c r="V72" s="8">
        <f>VLOOKUP(V$1,'[1]Demanda requerida 2027'!$CI$74:$DS$97,MATCH(_xlfn.CONCAT(TEXT(DATE($A72,$B72,1),"mmm-yy"),$D72),'[1]Demanda requerida 2027'!$CI$70:$DS$70,0),FALSE)</f>
        <v>20797</v>
      </c>
      <c r="W72" s="8">
        <f>VLOOKUP(W$1,'[1]Demanda requerida 2027'!$CI$74:$DS$97,MATCH(_xlfn.CONCAT(TEXT(DATE($A72,$B72,1),"mmm-yy"),$D72),'[1]Demanda requerida 2027'!$CI$70:$DS$70,0),FALSE)</f>
        <v>23201</v>
      </c>
      <c r="X72" s="8">
        <f>VLOOKUP(X$1,'[1]Demanda requerida 2027'!$CI$74:$DS$97,MATCH(_xlfn.CONCAT(TEXT(DATE($A72,$B72,1),"mmm-yy"),$D72),'[1]Demanda requerida 2027'!$CI$70:$DS$70,0),FALSE)</f>
        <v>23352</v>
      </c>
      <c r="Y72" s="8">
        <f>VLOOKUP(Y$1,'[1]Demanda requerida 2027'!$CI$74:$DS$97,MATCH(_xlfn.CONCAT(TEXT(DATE($A72,$B72,1),"mmm-yy"),$D72),'[1]Demanda requerida 2027'!$CI$70:$DS$70,0),FALSE)</f>
        <v>22139</v>
      </c>
      <c r="Z72" s="8">
        <f>VLOOKUP(Z$1,'[1]Demanda requerida 2027'!$CI$74:$DS$97,MATCH(_xlfn.CONCAT(TEXT(DATE($A72,$B72,1),"mmm-yy"),$D72),'[1]Demanda requerida 2027'!$CI$70:$DS$70,0),FALSE)</f>
        <v>19928</v>
      </c>
      <c r="AA72" s="8">
        <f>VLOOKUP(AA$1,'[1]Demanda requerida 2027'!$CI$74:$DS$97,MATCH(_xlfn.CONCAT(TEXT(DATE($A72,$B72,1),"mmm-yy"),$D72),'[1]Demanda requerida 2027'!$CI$70:$DS$70,0),FALSE)</f>
        <v>17055</v>
      </c>
      <c r="AB72" s="8">
        <f>VLOOKUP(AB$1,'[1]Demanda requerida 2027'!$CI$74:$DS$97,MATCH(_xlfn.CONCAT(TEXT(DATE($A72,$B72,1),"mmm-yy"),$D72),'[1]Demanda requerida 2027'!$CI$70:$DS$70,0),FALSE)</f>
        <v>14275</v>
      </c>
      <c r="AC72" s="84">
        <f t="shared" si="18"/>
        <v>378178</v>
      </c>
      <c r="AD72" s="77"/>
      <c r="AE72" s="85"/>
    </row>
    <row r="73" spans="1:31" ht="15.75" thickBot="1" x14ac:dyDescent="0.3">
      <c r="A73" s="14">
        <v>2027</v>
      </c>
      <c r="B73" s="15">
        <v>12</v>
      </c>
      <c r="C73" s="15">
        <v>3</v>
      </c>
      <c r="D73" s="15" t="s">
        <v>6</v>
      </c>
      <c r="E73" s="9">
        <f>VLOOKUP(E$1,'[1]Demanda requerida 2027'!$CI$74:$DS$97,MATCH(_xlfn.CONCAT(TEXT(DATE($A73,$B73,1),"mmm-yy"),$D73),'[1]Demanda requerida 2027'!$CI$70:$DS$70,0),FALSE)</f>
        <v>17262</v>
      </c>
      <c r="F73" s="9">
        <f>VLOOKUP(F$1,'[1]Demanda requerida 2027'!$CI$74:$DS$97,MATCH(_xlfn.CONCAT(TEXT(DATE($A73,$B73,1),"mmm-yy"),$D73),'[1]Demanda requerida 2027'!$CI$70:$DS$70,0),FALSE)</f>
        <v>15508</v>
      </c>
      <c r="G73" s="9">
        <f>VLOOKUP(G$1,'[1]Demanda requerida 2027'!$CI$74:$DS$97,MATCH(_xlfn.CONCAT(TEXT(DATE($A73,$B73,1),"mmm-yy"),$D73),'[1]Demanda requerida 2027'!$CI$70:$DS$70,0),FALSE)</f>
        <v>14478</v>
      </c>
      <c r="H73" s="9">
        <f>VLOOKUP(H$1,'[1]Demanda requerida 2027'!$CI$74:$DS$97,MATCH(_xlfn.CONCAT(TEXT(DATE($A73,$B73,1),"mmm-yy"),$D73),'[1]Demanda requerida 2027'!$CI$70:$DS$70,0),FALSE)</f>
        <v>13563</v>
      </c>
      <c r="I73" s="9">
        <f>VLOOKUP(I$1,'[1]Demanda requerida 2027'!$CI$74:$DS$97,MATCH(_xlfn.CONCAT(TEXT(DATE($A73,$B73,1),"mmm-yy"),$D73),'[1]Demanda requerida 2027'!$CI$70:$DS$70,0),FALSE)</f>
        <v>13180</v>
      </c>
      <c r="J73" s="9">
        <f>VLOOKUP(J$1,'[1]Demanda requerida 2027'!$CI$74:$DS$97,MATCH(_xlfn.CONCAT(TEXT(DATE($A73,$B73,1),"mmm-yy"),$D73),'[1]Demanda requerida 2027'!$CI$70:$DS$70,0),FALSE)</f>
        <v>13461</v>
      </c>
      <c r="K73" s="9">
        <f>VLOOKUP(K$1,'[1]Demanda requerida 2027'!$CI$74:$DS$97,MATCH(_xlfn.CONCAT(TEXT(DATE($A73,$B73,1),"mmm-yy"),$D73),'[1]Demanda requerida 2027'!$CI$70:$DS$70,0),FALSE)</f>
        <v>14710</v>
      </c>
      <c r="L73" s="9">
        <f>VLOOKUP(L$1,'[1]Demanda requerida 2027'!$CI$74:$DS$97,MATCH(_xlfn.CONCAT(TEXT(DATE($A73,$B73,1),"mmm-yy"),$D73),'[1]Demanda requerida 2027'!$CI$70:$DS$70,0),FALSE)</f>
        <v>17132</v>
      </c>
      <c r="M73" s="9">
        <f>VLOOKUP(M$1,'[1]Demanda requerida 2027'!$CI$74:$DS$97,MATCH(_xlfn.CONCAT(TEXT(DATE($A73,$B73,1),"mmm-yy"),$D73),'[1]Demanda requerida 2027'!$CI$70:$DS$70,0),FALSE)</f>
        <v>21323</v>
      </c>
      <c r="N73" s="9">
        <f>VLOOKUP(N$1,'[1]Demanda requerida 2027'!$CI$74:$DS$97,MATCH(_xlfn.CONCAT(TEXT(DATE($A73,$B73,1),"mmm-yy"),$D73),'[1]Demanda requerida 2027'!$CI$70:$DS$70,0),FALSE)</f>
        <v>23673</v>
      </c>
      <c r="O73" s="9">
        <f>VLOOKUP(O$1,'[1]Demanda requerida 2027'!$CI$74:$DS$97,MATCH(_xlfn.CONCAT(TEXT(DATE($A73,$B73,1),"mmm-yy"),$D73),'[1]Demanda requerida 2027'!$CI$70:$DS$70,0),FALSE)</f>
        <v>25230</v>
      </c>
      <c r="P73" s="9">
        <f>VLOOKUP(P$1,'[1]Demanda requerida 2027'!$CI$74:$DS$97,MATCH(_xlfn.CONCAT(TEXT(DATE($A73,$B73,1),"mmm-yy"),$D73),'[1]Demanda requerida 2027'!$CI$70:$DS$70,0),FALSE)</f>
        <v>26747</v>
      </c>
      <c r="Q73" s="9">
        <f>VLOOKUP(Q$1,'[1]Demanda requerida 2027'!$CI$74:$DS$97,MATCH(_xlfn.CONCAT(TEXT(DATE($A73,$B73,1),"mmm-yy"),$D73),'[1]Demanda requerida 2027'!$CI$70:$DS$70,0),FALSE)</f>
        <v>27145</v>
      </c>
      <c r="R73" s="9">
        <f>VLOOKUP(R$1,'[1]Demanda requerida 2027'!$CI$74:$DS$97,MATCH(_xlfn.CONCAT(TEXT(DATE($A73,$B73,1),"mmm-yy"),$D73),'[1]Demanda requerida 2027'!$CI$70:$DS$70,0),FALSE)</f>
        <v>26696</v>
      </c>
      <c r="S73" s="9">
        <f>VLOOKUP(S$1,'[1]Demanda requerida 2027'!$CI$74:$DS$97,MATCH(_xlfn.CONCAT(TEXT(DATE($A73,$B73,1),"mmm-yy"),$D73),'[1]Demanda requerida 2027'!$CI$70:$DS$70,0),FALSE)</f>
        <v>26041</v>
      </c>
      <c r="T73" s="9">
        <f>VLOOKUP(T$1,'[1]Demanda requerida 2027'!$CI$74:$DS$97,MATCH(_xlfn.CONCAT(TEXT(DATE($A73,$B73,1),"mmm-yy"),$D73),'[1]Demanda requerida 2027'!$CI$70:$DS$70,0),FALSE)</f>
        <v>25652</v>
      </c>
      <c r="U73" s="9">
        <f>VLOOKUP(U$1,'[1]Demanda requerida 2027'!$CI$74:$DS$97,MATCH(_xlfn.CONCAT(TEXT(DATE($A73,$B73,1),"mmm-yy"),$D73),'[1]Demanda requerida 2027'!$CI$70:$DS$70,0),FALSE)</f>
        <v>25226</v>
      </c>
      <c r="V73" s="9">
        <f>VLOOKUP(V$1,'[1]Demanda requerida 2027'!$CI$74:$DS$97,MATCH(_xlfn.CONCAT(TEXT(DATE($A73,$B73,1),"mmm-yy"),$D73),'[1]Demanda requerida 2027'!$CI$70:$DS$70,0),FALSE)</f>
        <v>27410</v>
      </c>
      <c r="W73" s="9">
        <f>VLOOKUP(W$1,'[1]Demanda requerida 2027'!$CI$74:$DS$97,MATCH(_xlfn.CONCAT(TEXT(DATE($A73,$B73,1),"mmm-yy"),$D73),'[1]Demanda requerida 2027'!$CI$70:$DS$70,0),FALSE)</f>
        <v>30943</v>
      </c>
      <c r="X73" s="9">
        <f>VLOOKUP(X$1,'[1]Demanda requerida 2027'!$CI$74:$DS$97,MATCH(_xlfn.CONCAT(TEXT(DATE($A73,$B73,1),"mmm-yy"),$D73),'[1]Demanda requerida 2027'!$CI$70:$DS$70,0),FALSE)</f>
        <v>31552</v>
      </c>
      <c r="Y73" s="9">
        <f>VLOOKUP(Y$1,'[1]Demanda requerida 2027'!$CI$74:$DS$97,MATCH(_xlfn.CONCAT(TEXT(DATE($A73,$B73,1),"mmm-yy"),$D73),'[1]Demanda requerida 2027'!$CI$70:$DS$70,0),FALSE)</f>
        <v>29904</v>
      </c>
      <c r="Z73" s="9">
        <f>VLOOKUP(Z$1,'[1]Demanda requerida 2027'!$CI$74:$DS$97,MATCH(_xlfn.CONCAT(TEXT(DATE($A73,$B73,1),"mmm-yy"),$D73),'[1]Demanda requerida 2027'!$CI$70:$DS$70,0),FALSE)</f>
        <v>27567</v>
      </c>
      <c r="AA73" s="9">
        <f>VLOOKUP(AA$1,'[1]Demanda requerida 2027'!$CI$74:$DS$97,MATCH(_xlfn.CONCAT(TEXT(DATE($A73,$B73,1),"mmm-yy"),$D73),'[1]Demanda requerida 2027'!$CI$70:$DS$70,0),FALSE)</f>
        <v>24907</v>
      </c>
      <c r="AB73" s="9">
        <f>VLOOKUP(AB$1,'[1]Demanda requerida 2027'!$CI$74:$DS$97,MATCH(_xlfn.CONCAT(TEXT(DATE($A73,$B73,1),"mmm-yy"),$D73),'[1]Demanda requerida 2027'!$CI$70:$DS$70,0),FALSE)</f>
        <v>21911</v>
      </c>
      <c r="AC73" s="86">
        <f t="shared" si="18"/>
        <v>541221</v>
      </c>
      <c r="AD73" s="78"/>
      <c r="AE73" s="87"/>
    </row>
    <row r="74" spans="1:31" x14ac:dyDescent="0.25">
      <c r="A74" s="11">
        <v>2028</v>
      </c>
      <c r="B74" s="12">
        <v>1</v>
      </c>
      <c r="C74" s="12">
        <v>7</v>
      </c>
      <c r="D74" s="12" t="s">
        <v>5</v>
      </c>
      <c r="E74" s="7">
        <f>VLOOKUP(E$1,'[1]Demanda requerida 2028'!$CB$75:$DL$98,MATCH(_xlfn.CONCAT(TEXT(DATE($A74,$B74,1),"mmm-yy"),$D74),'[1]Demanda requerida 2028'!$CB$71:$DL$71,0),FALSE)</f>
        <v>304</v>
      </c>
      <c r="F74" s="7">
        <f>VLOOKUP(F$1,'[1]Demanda requerida 2028'!$CB$75:$DL$98,MATCH(_xlfn.CONCAT(TEXT(DATE($A74,$B74,1),"mmm-yy"),$D74),'[1]Demanda requerida 2028'!$CB$71:$DL$71,0),FALSE)</f>
        <v>200</v>
      </c>
      <c r="G74" s="7">
        <f>VLOOKUP(G$1,'[1]Demanda requerida 2028'!$CB$75:$DL$98,MATCH(_xlfn.CONCAT(TEXT(DATE($A74,$B74,1),"mmm-yy"),$D74),'[1]Demanda requerida 2028'!$CB$71:$DL$71,0),FALSE)</f>
        <v>200</v>
      </c>
      <c r="H74" s="7">
        <f>VLOOKUP(H$1,'[1]Demanda requerida 2028'!$CB$75:$DL$98,MATCH(_xlfn.CONCAT(TEXT(DATE($A74,$B74,1),"mmm-yy"),$D74),'[1]Demanda requerida 2028'!$CB$71:$DL$71,0),FALSE)</f>
        <v>200</v>
      </c>
      <c r="I74" s="7">
        <f>VLOOKUP(I$1,'[1]Demanda requerida 2028'!$CB$75:$DL$98,MATCH(_xlfn.CONCAT(TEXT(DATE($A74,$B74,1),"mmm-yy"),$D74),'[1]Demanda requerida 2028'!$CB$71:$DL$71,0),FALSE)</f>
        <v>200</v>
      </c>
      <c r="J74" s="7">
        <f>VLOOKUP(J$1,'[1]Demanda requerida 2028'!$CB$75:$DL$98,MATCH(_xlfn.CONCAT(TEXT(DATE($A74,$B74,1),"mmm-yy"),$D74),'[1]Demanda requerida 2028'!$CB$71:$DL$71,0),FALSE)</f>
        <v>200</v>
      </c>
      <c r="K74" s="7">
        <f>VLOOKUP(K$1,'[1]Demanda requerida 2028'!$CB$75:$DL$98,MATCH(_xlfn.CONCAT(TEXT(DATE($A74,$B74,1),"mmm-yy"),$D74),'[1]Demanda requerida 2028'!$CB$71:$DL$71,0),FALSE)</f>
        <v>200</v>
      </c>
      <c r="L74" s="7">
        <f>VLOOKUP(L$1,'[1]Demanda requerida 2028'!$CB$75:$DL$98,MATCH(_xlfn.CONCAT(TEXT(DATE($A74,$B74,1),"mmm-yy"),$D74),'[1]Demanda requerida 2028'!$CB$71:$DL$71,0),FALSE)</f>
        <v>200</v>
      </c>
      <c r="M74" s="7">
        <f>VLOOKUP(M$1,'[1]Demanda requerida 2028'!$CB$75:$DL$98,MATCH(_xlfn.CONCAT(TEXT(DATE($A74,$B74,1),"mmm-yy"),$D74),'[1]Demanda requerida 2028'!$CB$71:$DL$71,0),FALSE)</f>
        <v>594</v>
      </c>
      <c r="N74" s="7">
        <f>VLOOKUP(N$1,'[1]Demanda requerida 2028'!$CB$75:$DL$98,MATCH(_xlfn.CONCAT(TEXT(DATE($A74,$B74,1),"mmm-yy"),$D74),'[1]Demanda requerida 2028'!$CB$71:$DL$71,0),FALSE)</f>
        <v>2237</v>
      </c>
      <c r="O74" s="7">
        <f>VLOOKUP(O$1,'[1]Demanda requerida 2028'!$CB$75:$DL$98,MATCH(_xlfn.CONCAT(TEXT(DATE($A74,$B74,1),"mmm-yy"),$D74),'[1]Demanda requerida 2028'!$CB$71:$DL$71,0),FALSE)</f>
        <v>3071</v>
      </c>
      <c r="P74" s="7">
        <f>VLOOKUP(P$1,'[1]Demanda requerida 2028'!$CB$75:$DL$98,MATCH(_xlfn.CONCAT(TEXT(DATE($A74,$B74,1),"mmm-yy"),$D74),'[1]Demanda requerida 2028'!$CB$71:$DL$71,0),FALSE)</f>
        <v>4450</v>
      </c>
      <c r="Q74" s="7">
        <f>VLOOKUP(Q$1,'[1]Demanda requerida 2028'!$CB$75:$DL$98,MATCH(_xlfn.CONCAT(TEXT(DATE($A74,$B74,1),"mmm-yy"),$D74),'[1]Demanda requerida 2028'!$CB$71:$DL$71,0),FALSE)</f>
        <v>5317</v>
      </c>
      <c r="R74" s="7">
        <f>VLOOKUP(R$1,'[1]Demanda requerida 2028'!$CB$75:$DL$98,MATCH(_xlfn.CONCAT(TEXT(DATE($A74,$B74,1),"mmm-yy"),$D74),'[1]Demanda requerida 2028'!$CB$71:$DL$71,0),FALSE)</f>
        <v>5245</v>
      </c>
      <c r="S74" s="7">
        <f>VLOOKUP(S$1,'[1]Demanda requerida 2028'!$CB$75:$DL$98,MATCH(_xlfn.CONCAT(TEXT(DATE($A74,$B74,1),"mmm-yy"),$D74),'[1]Demanda requerida 2028'!$CB$71:$DL$71,0),FALSE)</f>
        <v>4102</v>
      </c>
      <c r="T74" s="7">
        <f>VLOOKUP(T$1,'[1]Demanda requerida 2028'!$CB$75:$DL$98,MATCH(_xlfn.CONCAT(TEXT(DATE($A74,$B74,1),"mmm-yy"),$D74),'[1]Demanda requerida 2028'!$CB$71:$DL$71,0),FALSE)</f>
        <v>3601</v>
      </c>
      <c r="U74" s="7">
        <f>VLOOKUP(U$1,'[1]Demanda requerida 2028'!$CB$75:$DL$98,MATCH(_xlfn.CONCAT(TEXT(DATE($A74,$B74,1),"mmm-yy"),$D74),'[1]Demanda requerida 2028'!$CB$71:$DL$71,0),FALSE)</f>
        <v>3224</v>
      </c>
      <c r="V74" s="7">
        <f>VLOOKUP(V$1,'[1]Demanda requerida 2028'!$CB$75:$DL$98,MATCH(_xlfn.CONCAT(TEXT(DATE($A74,$B74,1),"mmm-yy"),$D74),'[1]Demanda requerida 2028'!$CB$71:$DL$71,0),FALSE)</f>
        <v>4796</v>
      </c>
      <c r="W74" s="7">
        <f>VLOOKUP(W$1,'[1]Demanda requerida 2028'!$CB$75:$DL$98,MATCH(_xlfn.CONCAT(TEXT(DATE($A74,$B74,1),"mmm-yy"),$D74),'[1]Demanda requerida 2028'!$CB$71:$DL$71,0),FALSE)</f>
        <v>7594</v>
      </c>
      <c r="X74" s="7">
        <f>VLOOKUP(X$1,'[1]Demanda requerida 2028'!$CB$75:$DL$98,MATCH(_xlfn.CONCAT(TEXT(DATE($A74,$B74,1),"mmm-yy"),$D74),'[1]Demanda requerida 2028'!$CB$71:$DL$71,0),FALSE)</f>
        <v>9421</v>
      </c>
      <c r="Y74" s="7">
        <f>VLOOKUP(Y$1,'[1]Demanda requerida 2028'!$CB$75:$DL$98,MATCH(_xlfn.CONCAT(TEXT(DATE($A74,$B74,1),"mmm-yy"),$D74),'[1]Demanda requerida 2028'!$CB$71:$DL$71,0),FALSE)</f>
        <v>8641</v>
      </c>
      <c r="Z74" s="7">
        <f>VLOOKUP(Z$1,'[1]Demanda requerida 2028'!$CB$75:$DL$98,MATCH(_xlfn.CONCAT(TEXT(DATE($A74,$B74,1),"mmm-yy"),$D74),'[1]Demanda requerida 2028'!$CB$71:$DL$71,0),FALSE)</f>
        <v>6527</v>
      </c>
      <c r="AA74" s="7">
        <f>VLOOKUP(AA$1,'[1]Demanda requerida 2028'!$CB$75:$DL$98,MATCH(_xlfn.CONCAT(TEXT(DATE($A74,$B74,1),"mmm-yy"),$D74),'[1]Demanda requerida 2028'!$CB$71:$DL$71,0),FALSE)</f>
        <v>4229</v>
      </c>
      <c r="AB74" s="7">
        <f>VLOOKUP(AB$1,'[1]Demanda requerida 2028'!$CB$75:$DL$98,MATCH(_xlfn.CONCAT(TEXT(DATE($A74,$B74,1),"mmm-yy"),$D74),'[1]Demanda requerida 2028'!$CB$71:$DL$71,0),FALSE)</f>
        <v>2038</v>
      </c>
      <c r="AC74" s="82">
        <f t="shared" si="18"/>
        <v>76791</v>
      </c>
      <c r="AD74" s="76">
        <f t="shared" ref="AD74" si="26">+SUMPRODUCT(AC74:AC76,C74:C76)</f>
        <v>3774561</v>
      </c>
      <c r="AE74" s="83">
        <f>+SUM(AD74:AD109)</f>
        <v>63351821</v>
      </c>
    </row>
    <row r="75" spans="1:31" x14ac:dyDescent="0.25">
      <c r="A75" s="13">
        <v>2028</v>
      </c>
      <c r="B75" s="1">
        <v>1</v>
      </c>
      <c r="C75" s="1">
        <v>20</v>
      </c>
      <c r="D75" s="1" t="s">
        <v>31</v>
      </c>
      <c r="E75" s="8">
        <f>VLOOKUP(E$1,'[1]Demanda requerida 2028'!$CB$75:$DL$98,MATCH(_xlfn.CONCAT(TEXT(DATE($A75,$B75,1),"mmm-yy"),$D75),'[1]Demanda requerida 2028'!$CB$71:$DL$71,0),FALSE)</f>
        <v>419</v>
      </c>
      <c r="F75" s="8">
        <f>VLOOKUP(F$1,'[1]Demanda requerida 2028'!$CB$75:$DL$98,MATCH(_xlfn.CONCAT(TEXT(DATE($A75,$B75,1),"mmm-yy"),$D75),'[1]Demanda requerida 2028'!$CB$71:$DL$71,0),FALSE)</f>
        <v>200</v>
      </c>
      <c r="G75" s="8">
        <f>VLOOKUP(G$1,'[1]Demanda requerida 2028'!$CB$75:$DL$98,MATCH(_xlfn.CONCAT(TEXT(DATE($A75,$B75,1),"mmm-yy"),$D75),'[1]Demanda requerida 2028'!$CB$71:$DL$71,0),FALSE)</f>
        <v>200</v>
      </c>
      <c r="H75" s="8">
        <f>VLOOKUP(H$1,'[1]Demanda requerida 2028'!$CB$75:$DL$98,MATCH(_xlfn.CONCAT(TEXT(DATE($A75,$B75,1),"mmm-yy"),$D75),'[1]Demanda requerida 2028'!$CB$71:$DL$71,0),FALSE)</f>
        <v>200</v>
      </c>
      <c r="I75" s="8">
        <f>VLOOKUP(I$1,'[1]Demanda requerida 2028'!$CB$75:$DL$98,MATCH(_xlfn.CONCAT(TEXT(DATE($A75,$B75,1),"mmm-yy"),$D75),'[1]Demanda requerida 2028'!$CB$71:$DL$71,0),FALSE)</f>
        <v>200</v>
      </c>
      <c r="J75" s="8">
        <f>VLOOKUP(J$1,'[1]Demanda requerida 2028'!$CB$75:$DL$98,MATCH(_xlfn.CONCAT(TEXT(DATE($A75,$B75,1),"mmm-yy"),$D75),'[1]Demanda requerida 2028'!$CB$71:$DL$71,0),FALSE)</f>
        <v>200</v>
      </c>
      <c r="K75" s="8">
        <f>VLOOKUP(K$1,'[1]Demanda requerida 2028'!$CB$75:$DL$98,MATCH(_xlfn.CONCAT(TEXT(DATE($A75,$B75,1),"mmm-yy"),$D75),'[1]Demanda requerida 2028'!$CB$71:$DL$71,0),FALSE)</f>
        <v>200</v>
      </c>
      <c r="L75" s="8">
        <f>VLOOKUP(L$1,'[1]Demanda requerida 2028'!$CB$75:$DL$98,MATCH(_xlfn.CONCAT(TEXT(DATE($A75,$B75,1),"mmm-yy"),$D75),'[1]Demanda requerida 2028'!$CB$71:$DL$71,0),FALSE)</f>
        <v>1250</v>
      </c>
      <c r="M75" s="8">
        <f>VLOOKUP(M$1,'[1]Demanda requerida 2028'!$CB$75:$DL$98,MATCH(_xlfn.CONCAT(TEXT(DATE($A75,$B75,1),"mmm-yy"),$D75),'[1]Demanda requerida 2028'!$CB$71:$DL$71,0),FALSE)</f>
        <v>4449</v>
      </c>
      <c r="N75" s="8">
        <f>VLOOKUP(N$1,'[1]Demanda requerida 2028'!$CB$75:$DL$98,MATCH(_xlfn.CONCAT(TEXT(DATE($A75,$B75,1),"mmm-yy"),$D75),'[1]Demanda requerida 2028'!$CB$71:$DL$71,0),FALSE)</f>
        <v>5746</v>
      </c>
      <c r="O75" s="8">
        <f>VLOOKUP(O$1,'[1]Demanda requerida 2028'!$CB$75:$DL$98,MATCH(_xlfn.CONCAT(TEXT(DATE($A75,$B75,1),"mmm-yy"),$D75),'[1]Demanda requerida 2028'!$CB$71:$DL$71,0),FALSE)</f>
        <v>6914</v>
      </c>
      <c r="P75" s="8">
        <f>VLOOKUP(P$1,'[1]Demanda requerida 2028'!$CB$75:$DL$98,MATCH(_xlfn.CONCAT(TEXT(DATE($A75,$B75,1),"mmm-yy"),$D75),'[1]Demanda requerida 2028'!$CB$71:$DL$71,0),FALSE)</f>
        <v>8691</v>
      </c>
      <c r="Q75" s="8">
        <f>VLOOKUP(Q$1,'[1]Demanda requerida 2028'!$CB$75:$DL$98,MATCH(_xlfn.CONCAT(TEXT(DATE($A75,$B75,1),"mmm-yy"),$D75),'[1]Demanda requerida 2028'!$CB$71:$DL$71,0),FALSE)</f>
        <v>9258</v>
      </c>
      <c r="R75" s="8">
        <f>VLOOKUP(R$1,'[1]Demanda requerida 2028'!$CB$75:$DL$98,MATCH(_xlfn.CONCAT(TEXT(DATE($A75,$B75,1),"mmm-yy"),$D75),'[1]Demanda requerida 2028'!$CB$71:$DL$71,0),FALSE)</f>
        <v>9194</v>
      </c>
      <c r="S75" s="8">
        <f>VLOOKUP(S$1,'[1]Demanda requerida 2028'!$CB$75:$DL$98,MATCH(_xlfn.CONCAT(TEXT(DATE($A75,$B75,1),"mmm-yy"),$D75),'[1]Demanda requerida 2028'!$CB$71:$DL$71,0),FALSE)</f>
        <v>9217</v>
      </c>
      <c r="T75" s="8">
        <f>VLOOKUP(T$1,'[1]Demanda requerida 2028'!$CB$75:$DL$98,MATCH(_xlfn.CONCAT(TEXT(DATE($A75,$B75,1),"mmm-yy"),$D75),'[1]Demanda requerida 2028'!$CB$71:$DL$71,0),FALSE)</f>
        <v>9082</v>
      </c>
      <c r="U75" s="8">
        <f>VLOOKUP(U$1,'[1]Demanda requerida 2028'!$CB$75:$DL$98,MATCH(_xlfn.CONCAT(TEXT(DATE($A75,$B75,1),"mmm-yy"),$D75),'[1]Demanda requerida 2028'!$CB$71:$DL$71,0),FALSE)</f>
        <v>8563</v>
      </c>
      <c r="V75" s="8">
        <f>VLOOKUP(V$1,'[1]Demanda requerida 2028'!$CB$75:$DL$98,MATCH(_xlfn.CONCAT(TEXT(DATE($A75,$B75,1),"mmm-yy"),$D75),'[1]Demanda requerida 2028'!$CB$71:$DL$71,0),FALSE)</f>
        <v>9715</v>
      </c>
      <c r="W75" s="8">
        <f>VLOOKUP(W$1,'[1]Demanda requerida 2028'!$CB$75:$DL$98,MATCH(_xlfn.CONCAT(TEXT(DATE($A75,$B75,1),"mmm-yy"),$D75),'[1]Demanda requerida 2028'!$CB$71:$DL$71,0),FALSE)</f>
        <v>10874</v>
      </c>
      <c r="X75" s="8">
        <f>VLOOKUP(X$1,'[1]Demanda requerida 2028'!$CB$75:$DL$98,MATCH(_xlfn.CONCAT(TEXT(DATE($A75,$B75,1),"mmm-yy"),$D75),'[1]Demanda requerida 2028'!$CB$71:$DL$71,0),FALSE)</f>
        <v>12105</v>
      </c>
      <c r="Y75" s="8">
        <f>VLOOKUP(Y$1,'[1]Demanda requerida 2028'!$CB$75:$DL$98,MATCH(_xlfn.CONCAT(TEXT(DATE($A75,$B75,1),"mmm-yy"),$D75),'[1]Demanda requerida 2028'!$CB$71:$DL$71,0),FALSE)</f>
        <v>11216</v>
      </c>
      <c r="Z75" s="8">
        <f>VLOOKUP(Z$1,'[1]Demanda requerida 2028'!$CB$75:$DL$98,MATCH(_xlfn.CONCAT(TEXT(DATE($A75,$B75,1),"mmm-yy"),$D75),'[1]Demanda requerida 2028'!$CB$71:$DL$71,0),FALSE)</f>
        <v>9306</v>
      </c>
      <c r="AA75" s="8">
        <f>VLOOKUP(AA$1,'[1]Demanda requerida 2028'!$CB$75:$DL$98,MATCH(_xlfn.CONCAT(TEXT(DATE($A75,$B75,1),"mmm-yy"),$D75),'[1]Demanda requerida 2028'!$CB$71:$DL$71,0),FALSE)</f>
        <v>6463</v>
      </c>
      <c r="AB75" s="8">
        <f>VLOOKUP(AB$1,'[1]Demanda requerida 2028'!$CB$75:$DL$98,MATCH(_xlfn.CONCAT(TEXT(DATE($A75,$B75,1),"mmm-yy"),$D75),'[1]Demanda requerida 2028'!$CB$71:$DL$71,0),FALSE)</f>
        <v>3752</v>
      </c>
      <c r="AC75" s="84">
        <f t="shared" si="18"/>
        <v>137414</v>
      </c>
      <c r="AD75" s="77"/>
      <c r="AE75" s="85"/>
    </row>
    <row r="76" spans="1:31" ht="15.75" thickBot="1" x14ac:dyDescent="0.3">
      <c r="A76" s="14">
        <v>2028</v>
      </c>
      <c r="B76" s="15">
        <v>1</v>
      </c>
      <c r="C76" s="15">
        <v>4</v>
      </c>
      <c r="D76" s="15" t="s">
        <v>6</v>
      </c>
      <c r="E76" s="9">
        <f>VLOOKUP(E$1,'[1]Demanda requerida 2028'!$CB$75:$DL$98,MATCH(_xlfn.CONCAT(TEXT(DATE($A76,$B76,1),"mmm-yy"),$D76),'[1]Demanda requerida 2028'!$CB$71:$DL$71,0),FALSE)</f>
        <v>200</v>
      </c>
      <c r="F76" s="9">
        <f>VLOOKUP(F$1,'[1]Demanda requerida 2028'!$CB$75:$DL$98,MATCH(_xlfn.CONCAT(TEXT(DATE($A76,$B76,1),"mmm-yy"),$D76),'[1]Demanda requerida 2028'!$CB$71:$DL$71,0),FALSE)</f>
        <v>200</v>
      </c>
      <c r="G76" s="9">
        <f>VLOOKUP(G$1,'[1]Demanda requerida 2028'!$CB$75:$DL$98,MATCH(_xlfn.CONCAT(TEXT(DATE($A76,$B76,1),"mmm-yy"),$D76),'[1]Demanda requerida 2028'!$CB$71:$DL$71,0),FALSE)</f>
        <v>200</v>
      </c>
      <c r="H76" s="9">
        <f>VLOOKUP(H$1,'[1]Demanda requerida 2028'!$CB$75:$DL$98,MATCH(_xlfn.CONCAT(TEXT(DATE($A76,$B76,1),"mmm-yy"),$D76),'[1]Demanda requerida 2028'!$CB$71:$DL$71,0),FALSE)</f>
        <v>200</v>
      </c>
      <c r="I76" s="9">
        <f>VLOOKUP(I$1,'[1]Demanda requerida 2028'!$CB$75:$DL$98,MATCH(_xlfn.CONCAT(TEXT(DATE($A76,$B76,1),"mmm-yy"),$D76),'[1]Demanda requerida 2028'!$CB$71:$DL$71,0),FALSE)</f>
        <v>200</v>
      </c>
      <c r="J76" s="9">
        <f>VLOOKUP(J$1,'[1]Demanda requerida 2028'!$CB$75:$DL$98,MATCH(_xlfn.CONCAT(TEXT(DATE($A76,$B76,1),"mmm-yy"),$D76),'[1]Demanda requerida 2028'!$CB$71:$DL$71,0),FALSE)</f>
        <v>200</v>
      </c>
      <c r="K76" s="9">
        <f>VLOOKUP(K$1,'[1]Demanda requerida 2028'!$CB$75:$DL$98,MATCH(_xlfn.CONCAT(TEXT(DATE($A76,$B76,1),"mmm-yy"),$D76),'[1]Demanda requerida 2028'!$CB$71:$DL$71,0),FALSE)</f>
        <v>200</v>
      </c>
      <c r="L76" s="9">
        <f>VLOOKUP(L$1,'[1]Demanda requerida 2028'!$CB$75:$DL$98,MATCH(_xlfn.CONCAT(TEXT(DATE($A76,$B76,1),"mmm-yy"),$D76),'[1]Demanda requerida 2028'!$CB$71:$DL$71,0),FALSE)</f>
        <v>200</v>
      </c>
      <c r="M76" s="9">
        <f>VLOOKUP(M$1,'[1]Demanda requerida 2028'!$CB$75:$DL$98,MATCH(_xlfn.CONCAT(TEXT(DATE($A76,$B76,1),"mmm-yy"),$D76),'[1]Demanda requerida 2028'!$CB$71:$DL$71,0),FALSE)</f>
        <v>3093</v>
      </c>
      <c r="N76" s="9">
        <f>VLOOKUP(N$1,'[1]Demanda requerida 2028'!$CB$75:$DL$98,MATCH(_xlfn.CONCAT(TEXT(DATE($A76,$B76,1),"mmm-yy"),$D76),'[1]Demanda requerida 2028'!$CB$71:$DL$71,0),FALSE)</f>
        <v>5145</v>
      </c>
      <c r="O76" s="9">
        <f>VLOOKUP(O$1,'[1]Demanda requerida 2028'!$CB$75:$DL$98,MATCH(_xlfn.CONCAT(TEXT(DATE($A76,$B76,1),"mmm-yy"),$D76),'[1]Demanda requerida 2028'!$CB$71:$DL$71,0),FALSE)</f>
        <v>6350</v>
      </c>
      <c r="P76" s="9">
        <f>VLOOKUP(P$1,'[1]Demanda requerida 2028'!$CB$75:$DL$98,MATCH(_xlfn.CONCAT(TEXT(DATE($A76,$B76,1),"mmm-yy"),$D76),'[1]Demanda requerida 2028'!$CB$71:$DL$71,0),FALSE)</f>
        <v>8089</v>
      </c>
      <c r="Q76" s="9">
        <f>VLOOKUP(Q$1,'[1]Demanda requerida 2028'!$CB$75:$DL$98,MATCH(_xlfn.CONCAT(TEXT(DATE($A76,$B76,1),"mmm-yy"),$D76),'[1]Demanda requerida 2028'!$CB$71:$DL$71,0),FALSE)</f>
        <v>8607</v>
      </c>
      <c r="R76" s="9">
        <f>VLOOKUP(R$1,'[1]Demanda requerida 2028'!$CB$75:$DL$98,MATCH(_xlfn.CONCAT(TEXT(DATE($A76,$B76,1),"mmm-yy"),$D76),'[1]Demanda requerida 2028'!$CB$71:$DL$71,0),FALSE)</f>
        <v>8064</v>
      </c>
      <c r="S76" s="9">
        <f>VLOOKUP(S$1,'[1]Demanda requerida 2028'!$CB$75:$DL$98,MATCH(_xlfn.CONCAT(TEXT(DATE($A76,$B76,1),"mmm-yy"),$D76),'[1]Demanda requerida 2028'!$CB$71:$DL$71,0),FALSE)</f>
        <v>7343</v>
      </c>
      <c r="T76" s="9">
        <f>VLOOKUP(T$1,'[1]Demanda requerida 2028'!$CB$75:$DL$98,MATCH(_xlfn.CONCAT(TEXT(DATE($A76,$B76,1),"mmm-yy"),$D76),'[1]Demanda requerida 2028'!$CB$71:$DL$71,0),FALSE)</f>
        <v>7496</v>
      </c>
      <c r="U76" s="9">
        <f>VLOOKUP(U$1,'[1]Demanda requerida 2028'!$CB$75:$DL$98,MATCH(_xlfn.CONCAT(TEXT(DATE($A76,$B76,1),"mmm-yy"),$D76),'[1]Demanda requerida 2028'!$CB$71:$DL$71,0),FALSE)</f>
        <v>6962</v>
      </c>
      <c r="V76" s="9">
        <f>VLOOKUP(V$1,'[1]Demanda requerida 2028'!$CB$75:$DL$98,MATCH(_xlfn.CONCAT(TEXT(DATE($A76,$B76,1),"mmm-yy"),$D76),'[1]Demanda requerida 2028'!$CB$71:$DL$71,0),FALSE)</f>
        <v>8351</v>
      </c>
      <c r="W76" s="9">
        <f>VLOOKUP(W$1,'[1]Demanda requerida 2028'!$CB$75:$DL$98,MATCH(_xlfn.CONCAT(TEXT(DATE($A76,$B76,1),"mmm-yy"),$D76),'[1]Demanda requerida 2028'!$CB$71:$DL$71,0),FALSE)</f>
        <v>10170</v>
      </c>
      <c r="X76" s="9">
        <f>VLOOKUP(X$1,'[1]Demanda requerida 2028'!$CB$75:$DL$98,MATCH(_xlfn.CONCAT(TEXT(DATE($A76,$B76,1),"mmm-yy"),$D76),'[1]Demanda requerida 2028'!$CB$71:$DL$71,0),FALSE)</f>
        <v>11447</v>
      </c>
      <c r="Y76" s="9">
        <f>VLOOKUP(Y$1,'[1]Demanda requerida 2028'!$CB$75:$DL$98,MATCH(_xlfn.CONCAT(TEXT(DATE($A76,$B76,1),"mmm-yy"),$D76),'[1]Demanda requerida 2028'!$CB$71:$DL$71,0),FALSE)</f>
        <v>10644</v>
      </c>
      <c r="Z76" s="9">
        <f>VLOOKUP(Z$1,'[1]Demanda requerida 2028'!$CB$75:$DL$98,MATCH(_xlfn.CONCAT(TEXT(DATE($A76,$B76,1),"mmm-yy"),$D76),'[1]Demanda requerida 2028'!$CB$71:$DL$71,0),FALSE)</f>
        <v>8790</v>
      </c>
      <c r="AA76" s="9">
        <f>VLOOKUP(AA$1,'[1]Demanda requerida 2028'!$CB$75:$DL$98,MATCH(_xlfn.CONCAT(TEXT(DATE($A76,$B76,1),"mmm-yy"),$D76),'[1]Demanda requerida 2028'!$CB$71:$DL$71,0),FALSE)</f>
        <v>6226</v>
      </c>
      <c r="AB76" s="9">
        <f>VLOOKUP(AB$1,'[1]Demanda requerida 2028'!$CB$75:$DL$98,MATCH(_xlfn.CONCAT(TEXT(DATE($A76,$B76,1),"mmm-yy"),$D76),'[1]Demanda requerida 2028'!$CB$71:$DL$71,0),FALSE)</f>
        <v>3809</v>
      </c>
      <c r="AC76" s="86">
        <f t="shared" si="18"/>
        <v>122186</v>
      </c>
      <c r="AD76" s="78"/>
      <c r="AE76" s="85"/>
    </row>
    <row r="77" spans="1:31" x14ac:dyDescent="0.25">
      <c r="A77" s="11">
        <v>2028</v>
      </c>
      <c r="B77" s="12">
        <v>2</v>
      </c>
      <c r="C77" s="12">
        <v>4</v>
      </c>
      <c r="D77" s="12" t="s">
        <v>5</v>
      </c>
      <c r="E77" s="7">
        <f>VLOOKUP(E$1,'[1]Demanda requerida 2028'!$CB$75:$DL$98,MATCH(_xlfn.CONCAT(TEXT(DATE($A77,$B77,1),"mmm-yy"),$D77),'[1]Demanda requerida 2028'!$CB$71:$DL$71,0),FALSE)</f>
        <v>2095</v>
      </c>
      <c r="F77" s="7">
        <f>VLOOKUP(F$1,'[1]Demanda requerida 2028'!$CB$75:$DL$98,MATCH(_xlfn.CONCAT(TEXT(DATE($A77,$B77,1),"mmm-yy"),$D77),'[1]Demanda requerida 2028'!$CB$71:$DL$71,0),FALSE)</f>
        <v>832</v>
      </c>
      <c r="G77" s="7">
        <f>VLOOKUP(G$1,'[1]Demanda requerida 2028'!$CB$75:$DL$98,MATCH(_xlfn.CONCAT(TEXT(DATE($A77,$B77,1),"mmm-yy"),$D77),'[1]Demanda requerida 2028'!$CB$71:$DL$71,0),FALSE)</f>
        <v>200</v>
      </c>
      <c r="H77" s="7">
        <f>VLOOKUP(H$1,'[1]Demanda requerida 2028'!$CB$75:$DL$98,MATCH(_xlfn.CONCAT(TEXT(DATE($A77,$B77,1),"mmm-yy"),$D77),'[1]Demanda requerida 2028'!$CB$71:$DL$71,0),FALSE)</f>
        <v>200</v>
      </c>
      <c r="I77" s="7">
        <f>VLOOKUP(I$1,'[1]Demanda requerida 2028'!$CB$75:$DL$98,MATCH(_xlfn.CONCAT(TEXT(DATE($A77,$B77,1),"mmm-yy"),$D77),'[1]Demanda requerida 2028'!$CB$71:$DL$71,0),FALSE)</f>
        <v>200</v>
      </c>
      <c r="J77" s="7">
        <f>VLOOKUP(J$1,'[1]Demanda requerida 2028'!$CB$75:$DL$98,MATCH(_xlfn.CONCAT(TEXT(DATE($A77,$B77,1),"mmm-yy"),$D77),'[1]Demanda requerida 2028'!$CB$71:$DL$71,0),FALSE)</f>
        <v>200</v>
      </c>
      <c r="K77" s="7">
        <f>VLOOKUP(K$1,'[1]Demanda requerida 2028'!$CB$75:$DL$98,MATCH(_xlfn.CONCAT(TEXT(DATE($A77,$B77,1),"mmm-yy"),$D77),'[1]Demanda requerida 2028'!$CB$71:$DL$71,0),FALSE)</f>
        <v>200</v>
      </c>
      <c r="L77" s="7">
        <f>VLOOKUP(L$1,'[1]Demanda requerida 2028'!$CB$75:$DL$98,MATCH(_xlfn.CONCAT(TEXT(DATE($A77,$B77,1),"mmm-yy"),$D77),'[1]Demanda requerida 2028'!$CB$71:$DL$71,0),FALSE)</f>
        <v>23</v>
      </c>
      <c r="M77" s="7">
        <f>VLOOKUP(M$1,'[1]Demanda requerida 2028'!$CB$75:$DL$98,MATCH(_xlfn.CONCAT(TEXT(DATE($A77,$B77,1),"mmm-yy"),$D77),'[1]Demanda requerida 2028'!$CB$71:$DL$71,0),FALSE)</f>
        <v>2651</v>
      </c>
      <c r="N77" s="7">
        <f>VLOOKUP(N$1,'[1]Demanda requerida 2028'!$CB$75:$DL$98,MATCH(_xlfn.CONCAT(TEXT(DATE($A77,$B77,1),"mmm-yy"),$D77),'[1]Demanda requerida 2028'!$CB$71:$DL$71,0),FALSE)</f>
        <v>4291</v>
      </c>
      <c r="O77" s="7">
        <f>VLOOKUP(O$1,'[1]Demanda requerida 2028'!$CB$75:$DL$98,MATCH(_xlfn.CONCAT(TEXT(DATE($A77,$B77,1),"mmm-yy"),$D77),'[1]Demanda requerida 2028'!$CB$71:$DL$71,0),FALSE)</f>
        <v>5335</v>
      </c>
      <c r="P77" s="7">
        <f>VLOOKUP(P$1,'[1]Demanda requerida 2028'!$CB$75:$DL$98,MATCH(_xlfn.CONCAT(TEXT(DATE($A77,$B77,1),"mmm-yy"),$D77),'[1]Demanda requerida 2028'!$CB$71:$DL$71,0),FALSE)</f>
        <v>6647</v>
      </c>
      <c r="Q77" s="7">
        <f>VLOOKUP(Q$1,'[1]Demanda requerida 2028'!$CB$75:$DL$98,MATCH(_xlfn.CONCAT(TEXT(DATE($A77,$B77,1),"mmm-yy"),$D77),'[1]Demanda requerida 2028'!$CB$71:$DL$71,0),FALSE)</f>
        <v>7740</v>
      </c>
      <c r="R77" s="7">
        <f>VLOOKUP(R$1,'[1]Demanda requerida 2028'!$CB$75:$DL$98,MATCH(_xlfn.CONCAT(TEXT(DATE($A77,$B77,1),"mmm-yy"),$D77),'[1]Demanda requerida 2028'!$CB$71:$DL$71,0),FALSE)</f>
        <v>7517</v>
      </c>
      <c r="S77" s="7">
        <f>VLOOKUP(S$1,'[1]Demanda requerida 2028'!$CB$75:$DL$98,MATCH(_xlfn.CONCAT(TEXT(DATE($A77,$B77,1),"mmm-yy"),$D77),'[1]Demanda requerida 2028'!$CB$71:$DL$71,0),FALSE)</f>
        <v>6346</v>
      </c>
      <c r="T77" s="7">
        <f>VLOOKUP(T$1,'[1]Demanda requerida 2028'!$CB$75:$DL$98,MATCH(_xlfn.CONCAT(TEXT(DATE($A77,$B77,1),"mmm-yy"),$D77),'[1]Demanda requerida 2028'!$CB$71:$DL$71,0),FALSE)</f>
        <v>5381</v>
      </c>
      <c r="U77" s="7">
        <f>VLOOKUP(U$1,'[1]Demanda requerida 2028'!$CB$75:$DL$98,MATCH(_xlfn.CONCAT(TEXT(DATE($A77,$B77,1),"mmm-yy"),$D77),'[1]Demanda requerida 2028'!$CB$71:$DL$71,0),FALSE)</f>
        <v>4884</v>
      </c>
      <c r="V77" s="7">
        <f>VLOOKUP(V$1,'[1]Demanda requerida 2028'!$CB$75:$DL$98,MATCH(_xlfn.CONCAT(TEXT(DATE($A77,$B77,1),"mmm-yy"),$D77),'[1]Demanda requerida 2028'!$CB$71:$DL$71,0),FALSE)</f>
        <v>6109</v>
      </c>
      <c r="W77" s="7">
        <f>VLOOKUP(W$1,'[1]Demanda requerida 2028'!$CB$75:$DL$98,MATCH(_xlfn.CONCAT(TEXT(DATE($A77,$B77,1),"mmm-yy"),$D77),'[1]Demanda requerida 2028'!$CB$71:$DL$71,0),FALSE)</f>
        <v>8290</v>
      </c>
      <c r="X77" s="7">
        <f>VLOOKUP(X$1,'[1]Demanda requerida 2028'!$CB$75:$DL$98,MATCH(_xlfn.CONCAT(TEXT(DATE($A77,$B77,1),"mmm-yy"),$D77),'[1]Demanda requerida 2028'!$CB$71:$DL$71,0),FALSE)</f>
        <v>10641</v>
      </c>
      <c r="Y77" s="7">
        <f>VLOOKUP(Y$1,'[1]Demanda requerida 2028'!$CB$75:$DL$98,MATCH(_xlfn.CONCAT(TEXT(DATE($A77,$B77,1),"mmm-yy"),$D77),'[1]Demanda requerida 2028'!$CB$71:$DL$71,0),FALSE)</f>
        <v>10825</v>
      </c>
      <c r="Z77" s="7">
        <f>VLOOKUP(Z$1,'[1]Demanda requerida 2028'!$CB$75:$DL$98,MATCH(_xlfn.CONCAT(TEXT(DATE($A77,$B77,1),"mmm-yy"),$D77),'[1]Demanda requerida 2028'!$CB$71:$DL$71,0),FALSE)</f>
        <v>9128</v>
      </c>
      <c r="AA77" s="7">
        <f>VLOOKUP(AA$1,'[1]Demanda requerida 2028'!$CB$75:$DL$98,MATCH(_xlfn.CONCAT(TEXT(DATE($A77,$B77,1),"mmm-yy"),$D77),'[1]Demanda requerida 2028'!$CB$71:$DL$71,0),FALSE)</f>
        <v>6337</v>
      </c>
      <c r="AB77" s="7">
        <f>VLOOKUP(AB$1,'[1]Demanda requerida 2028'!$CB$75:$DL$98,MATCH(_xlfn.CONCAT(TEXT(DATE($A77,$B77,1),"mmm-yy"),$D77),'[1]Demanda requerida 2028'!$CB$71:$DL$71,0),FALSE)</f>
        <v>3767</v>
      </c>
      <c r="AC77" s="82">
        <f t="shared" si="18"/>
        <v>109839</v>
      </c>
      <c r="AD77" s="76">
        <f t="shared" ref="AD77" si="27">+SUMPRODUCT(AC77:AC79,C77:C79)</f>
        <v>3526018</v>
      </c>
      <c r="AE77" s="85"/>
    </row>
    <row r="78" spans="1:31" x14ac:dyDescent="0.25">
      <c r="A78" s="13">
        <v>2028</v>
      </c>
      <c r="B78" s="1">
        <v>2</v>
      </c>
      <c r="C78" s="1">
        <v>21</v>
      </c>
      <c r="D78" s="1" t="s">
        <v>31</v>
      </c>
      <c r="E78" s="8">
        <f>VLOOKUP(E$1,'[1]Demanda requerida 2028'!$CB$75:$DL$98,MATCH(_xlfn.CONCAT(TEXT(DATE($A78,$B78,1),"mmm-yy"),$D78),'[1]Demanda requerida 2028'!$CB$71:$DL$71,0),FALSE)</f>
        <v>200</v>
      </c>
      <c r="F78" s="8">
        <f>VLOOKUP(F$1,'[1]Demanda requerida 2028'!$CB$75:$DL$98,MATCH(_xlfn.CONCAT(TEXT(DATE($A78,$B78,1),"mmm-yy"),$D78),'[1]Demanda requerida 2028'!$CB$71:$DL$71,0),FALSE)</f>
        <v>200</v>
      </c>
      <c r="G78" s="8">
        <f>VLOOKUP(G$1,'[1]Demanda requerida 2028'!$CB$75:$DL$98,MATCH(_xlfn.CONCAT(TEXT(DATE($A78,$B78,1),"mmm-yy"),$D78),'[1]Demanda requerida 2028'!$CB$71:$DL$71,0),FALSE)</f>
        <v>200</v>
      </c>
      <c r="H78" s="8">
        <f>VLOOKUP(H$1,'[1]Demanda requerida 2028'!$CB$75:$DL$98,MATCH(_xlfn.CONCAT(TEXT(DATE($A78,$B78,1),"mmm-yy"),$D78),'[1]Demanda requerida 2028'!$CB$71:$DL$71,0),FALSE)</f>
        <v>200</v>
      </c>
      <c r="I78" s="8">
        <f>VLOOKUP(I$1,'[1]Demanda requerida 2028'!$CB$75:$DL$98,MATCH(_xlfn.CONCAT(TEXT(DATE($A78,$B78,1),"mmm-yy"),$D78),'[1]Demanda requerida 2028'!$CB$71:$DL$71,0),FALSE)</f>
        <v>200</v>
      </c>
      <c r="J78" s="8">
        <f>VLOOKUP(J$1,'[1]Demanda requerida 2028'!$CB$75:$DL$98,MATCH(_xlfn.CONCAT(TEXT(DATE($A78,$B78,1),"mmm-yy"),$D78),'[1]Demanda requerida 2028'!$CB$71:$DL$71,0),FALSE)</f>
        <v>200</v>
      </c>
      <c r="K78" s="8">
        <f>VLOOKUP(K$1,'[1]Demanda requerida 2028'!$CB$75:$DL$98,MATCH(_xlfn.CONCAT(TEXT(DATE($A78,$B78,1),"mmm-yy"),$D78),'[1]Demanda requerida 2028'!$CB$71:$DL$71,0),FALSE)</f>
        <v>200</v>
      </c>
      <c r="L78" s="8">
        <f>VLOOKUP(L$1,'[1]Demanda requerida 2028'!$CB$75:$DL$98,MATCH(_xlfn.CONCAT(TEXT(DATE($A78,$B78,1),"mmm-yy"),$D78),'[1]Demanda requerida 2028'!$CB$71:$DL$71,0),FALSE)</f>
        <v>645</v>
      </c>
      <c r="M78" s="8">
        <f>VLOOKUP(M$1,'[1]Demanda requerida 2028'!$CB$75:$DL$98,MATCH(_xlfn.CONCAT(TEXT(DATE($A78,$B78,1),"mmm-yy"),$D78),'[1]Demanda requerida 2028'!$CB$71:$DL$71,0),FALSE)</f>
        <v>3259</v>
      </c>
      <c r="N78" s="8">
        <f>VLOOKUP(N$1,'[1]Demanda requerida 2028'!$CB$75:$DL$98,MATCH(_xlfn.CONCAT(TEXT(DATE($A78,$B78,1),"mmm-yy"),$D78),'[1]Demanda requerida 2028'!$CB$71:$DL$71,0),FALSE)</f>
        <v>4546</v>
      </c>
      <c r="O78" s="8">
        <f>VLOOKUP(O$1,'[1]Demanda requerida 2028'!$CB$75:$DL$98,MATCH(_xlfn.CONCAT(TEXT(DATE($A78,$B78,1),"mmm-yy"),$D78),'[1]Demanda requerida 2028'!$CB$71:$DL$71,0),FALSE)</f>
        <v>5865</v>
      </c>
      <c r="P78" s="8">
        <f>VLOOKUP(P$1,'[1]Demanda requerida 2028'!$CB$75:$DL$98,MATCH(_xlfn.CONCAT(TEXT(DATE($A78,$B78,1),"mmm-yy"),$D78),'[1]Demanda requerida 2028'!$CB$71:$DL$71,0),FALSE)</f>
        <v>7564</v>
      </c>
      <c r="Q78" s="8">
        <f>VLOOKUP(Q$1,'[1]Demanda requerida 2028'!$CB$75:$DL$98,MATCH(_xlfn.CONCAT(TEXT(DATE($A78,$B78,1),"mmm-yy"),$D78),'[1]Demanda requerida 2028'!$CB$71:$DL$71,0),FALSE)</f>
        <v>7661</v>
      </c>
      <c r="R78" s="8">
        <f>VLOOKUP(R$1,'[1]Demanda requerida 2028'!$CB$75:$DL$98,MATCH(_xlfn.CONCAT(TEXT(DATE($A78,$B78,1),"mmm-yy"),$D78),'[1]Demanda requerida 2028'!$CB$71:$DL$71,0),FALSE)</f>
        <v>7594</v>
      </c>
      <c r="S78" s="8">
        <f>VLOOKUP(S$1,'[1]Demanda requerida 2028'!$CB$75:$DL$98,MATCH(_xlfn.CONCAT(TEXT(DATE($A78,$B78,1),"mmm-yy"),$D78),'[1]Demanda requerida 2028'!$CB$71:$DL$71,0),FALSE)</f>
        <v>8225</v>
      </c>
      <c r="T78" s="8">
        <f>VLOOKUP(T$1,'[1]Demanda requerida 2028'!$CB$75:$DL$98,MATCH(_xlfn.CONCAT(TEXT(DATE($A78,$B78,1),"mmm-yy"),$D78),'[1]Demanda requerida 2028'!$CB$71:$DL$71,0),FALSE)</f>
        <v>8163</v>
      </c>
      <c r="U78" s="8">
        <f>VLOOKUP(U$1,'[1]Demanda requerida 2028'!$CB$75:$DL$98,MATCH(_xlfn.CONCAT(TEXT(DATE($A78,$B78,1),"mmm-yy"),$D78),'[1]Demanda requerida 2028'!$CB$71:$DL$71,0),FALSE)</f>
        <v>7895</v>
      </c>
      <c r="V78" s="8">
        <f>VLOOKUP(V$1,'[1]Demanda requerida 2028'!$CB$75:$DL$98,MATCH(_xlfn.CONCAT(TEXT(DATE($A78,$B78,1),"mmm-yy"),$D78),'[1]Demanda requerida 2028'!$CB$71:$DL$71,0),FALSE)</f>
        <v>8890</v>
      </c>
      <c r="W78" s="8">
        <f>VLOOKUP(W$1,'[1]Demanda requerida 2028'!$CB$75:$DL$98,MATCH(_xlfn.CONCAT(TEXT(DATE($A78,$B78,1),"mmm-yy"),$D78),'[1]Demanda requerida 2028'!$CB$71:$DL$71,0),FALSE)</f>
        <v>9843</v>
      </c>
      <c r="X78" s="8">
        <f>VLOOKUP(X$1,'[1]Demanda requerida 2028'!$CB$75:$DL$98,MATCH(_xlfn.CONCAT(TEXT(DATE($A78,$B78,1),"mmm-yy"),$D78),'[1]Demanda requerida 2028'!$CB$71:$DL$71,0),FALSE)</f>
        <v>11675</v>
      </c>
      <c r="Y78" s="8">
        <f>VLOOKUP(Y$1,'[1]Demanda requerida 2028'!$CB$75:$DL$98,MATCH(_xlfn.CONCAT(TEXT(DATE($A78,$B78,1),"mmm-yy"),$D78),'[1]Demanda requerida 2028'!$CB$71:$DL$71,0),FALSE)</f>
        <v>10931</v>
      </c>
      <c r="Z78" s="8">
        <f>VLOOKUP(Z$1,'[1]Demanda requerida 2028'!$CB$75:$DL$98,MATCH(_xlfn.CONCAT(TEXT(DATE($A78,$B78,1),"mmm-yy"),$D78),'[1]Demanda requerida 2028'!$CB$71:$DL$71,0),FALSE)</f>
        <v>7886</v>
      </c>
      <c r="AA78" s="8">
        <f>VLOOKUP(AA$1,'[1]Demanda requerida 2028'!$CB$75:$DL$98,MATCH(_xlfn.CONCAT(TEXT(DATE($A78,$B78,1),"mmm-yy"),$D78),'[1]Demanda requerida 2028'!$CB$71:$DL$71,0),FALSE)</f>
        <v>5277</v>
      </c>
      <c r="AB78" s="8">
        <f>VLOOKUP(AB$1,'[1]Demanda requerida 2028'!$CB$75:$DL$98,MATCH(_xlfn.CONCAT(TEXT(DATE($A78,$B78,1),"mmm-yy"),$D78),'[1]Demanda requerida 2028'!$CB$71:$DL$71,0),FALSE)</f>
        <v>2587</v>
      </c>
      <c r="AC78" s="84">
        <f t="shared" si="18"/>
        <v>119906</v>
      </c>
      <c r="AD78" s="77"/>
      <c r="AE78" s="85"/>
    </row>
    <row r="79" spans="1:31" ht="15.75" thickBot="1" x14ac:dyDescent="0.3">
      <c r="A79" s="14">
        <v>2028</v>
      </c>
      <c r="B79" s="15">
        <v>2</v>
      </c>
      <c r="C79" s="15">
        <v>4</v>
      </c>
      <c r="D79" s="15" t="s">
        <v>6</v>
      </c>
      <c r="E79" s="9">
        <f>VLOOKUP(E$1,'[1]Demanda requerida 2028'!$CB$75:$DL$98,MATCH(_xlfn.CONCAT(TEXT(DATE($A79,$B79,1),"mmm-yy"),$D79),'[1]Demanda requerida 2028'!$CB$71:$DL$71,0),FALSE)</f>
        <v>1276</v>
      </c>
      <c r="F79" s="9">
        <f>VLOOKUP(F$1,'[1]Demanda requerida 2028'!$CB$75:$DL$98,MATCH(_xlfn.CONCAT(TEXT(DATE($A79,$B79,1),"mmm-yy"),$D79),'[1]Demanda requerida 2028'!$CB$71:$DL$71,0),FALSE)</f>
        <v>0</v>
      </c>
      <c r="G79" s="9">
        <f>VLOOKUP(G$1,'[1]Demanda requerida 2028'!$CB$75:$DL$98,MATCH(_xlfn.CONCAT(TEXT(DATE($A79,$B79,1),"mmm-yy"),$D79),'[1]Demanda requerida 2028'!$CB$71:$DL$71,0),FALSE)</f>
        <v>200</v>
      </c>
      <c r="H79" s="9">
        <f>VLOOKUP(H$1,'[1]Demanda requerida 2028'!$CB$75:$DL$98,MATCH(_xlfn.CONCAT(TEXT(DATE($A79,$B79,1),"mmm-yy"),$D79),'[1]Demanda requerida 2028'!$CB$71:$DL$71,0),FALSE)</f>
        <v>200</v>
      </c>
      <c r="I79" s="9">
        <f>VLOOKUP(I$1,'[1]Demanda requerida 2028'!$CB$75:$DL$98,MATCH(_xlfn.CONCAT(TEXT(DATE($A79,$B79,1),"mmm-yy"),$D79),'[1]Demanda requerida 2028'!$CB$71:$DL$71,0),FALSE)</f>
        <v>200</v>
      </c>
      <c r="J79" s="9">
        <f>VLOOKUP(J$1,'[1]Demanda requerida 2028'!$CB$75:$DL$98,MATCH(_xlfn.CONCAT(TEXT(DATE($A79,$B79,1),"mmm-yy"),$D79),'[1]Demanda requerida 2028'!$CB$71:$DL$71,0),FALSE)</f>
        <v>200</v>
      </c>
      <c r="K79" s="9">
        <f>VLOOKUP(K$1,'[1]Demanda requerida 2028'!$CB$75:$DL$98,MATCH(_xlfn.CONCAT(TEXT(DATE($A79,$B79,1),"mmm-yy"),$D79),'[1]Demanda requerida 2028'!$CB$71:$DL$71,0),FALSE)</f>
        <v>200</v>
      </c>
      <c r="L79" s="9">
        <f>VLOOKUP(L$1,'[1]Demanda requerida 2028'!$CB$75:$DL$98,MATCH(_xlfn.CONCAT(TEXT(DATE($A79,$B79,1),"mmm-yy"),$D79),'[1]Demanda requerida 2028'!$CB$71:$DL$71,0),FALSE)</f>
        <v>1522</v>
      </c>
      <c r="M79" s="9">
        <f>VLOOKUP(M$1,'[1]Demanda requerida 2028'!$CB$75:$DL$98,MATCH(_xlfn.CONCAT(TEXT(DATE($A79,$B79,1),"mmm-yy"),$D79),'[1]Demanda requerida 2028'!$CB$71:$DL$71,0),FALSE)</f>
        <v>3944</v>
      </c>
      <c r="N79" s="9">
        <f>VLOOKUP(N$1,'[1]Demanda requerida 2028'!$CB$75:$DL$98,MATCH(_xlfn.CONCAT(TEXT(DATE($A79,$B79,1),"mmm-yy"),$D79),'[1]Demanda requerida 2028'!$CB$71:$DL$71,0),FALSE)</f>
        <v>5341</v>
      </c>
      <c r="O79" s="9">
        <f>VLOOKUP(O$1,'[1]Demanda requerida 2028'!$CB$75:$DL$98,MATCH(_xlfn.CONCAT(TEXT(DATE($A79,$B79,1),"mmm-yy"),$D79),'[1]Demanda requerida 2028'!$CB$71:$DL$71,0),FALSE)</f>
        <v>7130</v>
      </c>
      <c r="P79" s="9">
        <f>VLOOKUP(P$1,'[1]Demanda requerida 2028'!$CB$75:$DL$98,MATCH(_xlfn.CONCAT(TEXT(DATE($A79,$B79,1),"mmm-yy"),$D79),'[1]Demanda requerida 2028'!$CB$71:$DL$71,0),FALSE)</f>
        <v>8408</v>
      </c>
      <c r="Q79" s="9">
        <f>VLOOKUP(Q$1,'[1]Demanda requerida 2028'!$CB$75:$DL$98,MATCH(_xlfn.CONCAT(TEXT(DATE($A79,$B79,1),"mmm-yy"),$D79),'[1]Demanda requerida 2028'!$CB$71:$DL$71,0),FALSE)</f>
        <v>9477</v>
      </c>
      <c r="R79" s="9">
        <f>VLOOKUP(R$1,'[1]Demanda requerida 2028'!$CB$75:$DL$98,MATCH(_xlfn.CONCAT(TEXT(DATE($A79,$B79,1),"mmm-yy"),$D79),'[1]Demanda requerida 2028'!$CB$71:$DL$71,0),FALSE)</f>
        <v>9177</v>
      </c>
      <c r="S79" s="9">
        <f>VLOOKUP(S$1,'[1]Demanda requerida 2028'!$CB$75:$DL$98,MATCH(_xlfn.CONCAT(TEXT(DATE($A79,$B79,1),"mmm-yy"),$D79),'[1]Demanda requerida 2028'!$CB$71:$DL$71,0),FALSE)</f>
        <v>8503</v>
      </c>
      <c r="T79" s="9">
        <f>VLOOKUP(T$1,'[1]Demanda requerida 2028'!$CB$75:$DL$98,MATCH(_xlfn.CONCAT(TEXT(DATE($A79,$B79,1),"mmm-yy"),$D79),'[1]Demanda requerida 2028'!$CB$71:$DL$71,0),FALSE)</f>
        <v>8570</v>
      </c>
      <c r="U79" s="9">
        <f>VLOOKUP(U$1,'[1]Demanda requerida 2028'!$CB$75:$DL$98,MATCH(_xlfn.CONCAT(TEXT(DATE($A79,$B79,1),"mmm-yy"),$D79),'[1]Demanda requerida 2028'!$CB$71:$DL$71,0),FALSE)</f>
        <v>8217</v>
      </c>
      <c r="V79" s="9">
        <f>VLOOKUP(V$1,'[1]Demanda requerida 2028'!$CB$75:$DL$98,MATCH(_xlfn.CONCAT(TEXT(DATE($A79,$B79,1),"mmm-yy"),$D79),'[1]Demanda requerida 2028'!$CB$71:$DL$71,0),FALSE)</f>
        <v>9495</v>
      </c>
      <c r="W79" s="9">
        <f>VLOOKUP(W$1,'[1]Demanda requerida 2028'!$CB$75:$DL$98,MATCH(_xlfn.CONCAT(TEXT(DATE($A79,$B79,1),"mmm-yy"),$D79),'[1]Demanda requerida 2028'!$CB$71:$DL$71,0),FALSE)</f>
        <v>10807</v>
      </c>
      <c r="X79" s="9">
        <f>VLOOKUP(X$1,'[1]Demanda requerida 2028'!$CB$75:$DL$98,MATCH(_xlfn.CONCAT(TEXT(DATE($A79,$B79,1),"mmm-yy"),$D79),'[1]Demanda requerida 2028'!$CB$71:$DL$71,0),FALSE)</f>
        <v>12754</v>
      </c>
      <c r="Y79" s="9">
        <f>VLOOKUP(Y$1,'[1]Demanda requerida 2028'!$CB$75:$DL$98,MATCH(_xlfn.CONCAT(TEXT(DATE($A79,$B79,1),"mmm-yy"),$D79),'[1]Demanda requerida 2028'!$CB$71:$DL$71,0),FALSE)</f>
        <v>12301</v>
      </c>
      <c r="Z79" s="9">
        <f>VLOOKUP(Z$1,'[1]Demanda requerida 2028'!$CB$75:$DL$98,MATCH(_xlfn.CONCAT(TEXT(DATE($A79,$B79,1),"mmm-yy"),$D79),'[1]Demanda requerida 2028'!$CB$71:$DL$71,0),FALSE)</f>
        <v>10585</v>
      </c>
      <c r="AA79" s="9">
        <f>VLOOKUP(AA$1,'[1]Demanda requerida 2028'!$CB$75:$DL$98,MATCH(_xlfn.CONCAT(TEXT(DATE($A79,$B79,1),"mmm-yy"),$D79),'[1]Demanda requerida 2028'!$CB$71:$DL$71,0),FALSE)</f>
        <v>8119</v>
      </c>
      <c r="AB79" s="9">
        <f>VLOOKUP(AB$1,'[1]Demanda requerida 2028'!$CB$75:$DL$98,MATCH(_xlfn.CONCAT(TEXT(DATE($A79,$B79,1),"mmm-yy"),$D79),'[1]Demanda requerida 2028'!$CB$71:$DL$71,0),FALSE)</f>
        <v>5533</v>
      </c>
      <c r="AC79" s="86">
        <f t="shared" si="18"/>
        <v>142159</v>
      </c>
      <c r="AD79" s="78"/>
      <c r="AE79" s="85"/>
    </row>
    <row r="80" spans="1:31" x14ac:dyDescent="0.25">
      <c r="A80" s="11">
        <v>2028</v>
      </c>
      <c r="B80" s="12">
        <v>3</v>
      </c>
      <c r="C80" s="12">
        <v>5</v>
      </c>
      <c r="D80" s="12" t="s">
        <v>5</v>
      </c>
      <c r="E80" s="7">
        <f>VLOOKUP(E$1,'[1]Demanda requerida 2028'!$CB$75:$DL$98,MATCH(_xlfn.CONCAT(TEXT(DATE($A80,$B80,1),"mmm-yy"),$D80),'[1]Demanda requerida 2028'!$CB$71:$DL$71,0),FALSE)</f>
        <v>200</v>
      </c>
      <c r="F80" s="7">
        <f>VLOOKUP(F$1,'[1]Demanda requerida 2028'!$CB$75:$DL$98,MATCH(_xlfn.CONCAT(TEXT(DATE($A80,$B80,1),"mmm-yy"),$D80),'[1]Demanda requerida 2028'!$CB$71:$DL$71,0),FALSE)</f>
        <v>200</v>
      </c>
      <c r="G80" s="7">
        <f>VLOOKUP(G$1,'[1]Demanda requerida 2028'!$CB$75:$DL$98,MATCH(_xlfn.CONCAT(TEXT(DATE($A80,$B80,1),"mmm-yy"),$D80),'[1]Demanda requerida 2028'!$CB$71:$DL$71,0),FALSE)</f>
        <v>200</v>
      </c>
      <c r="H80" s="7">
        <f>VLOOKUP(H$1,'[1]Demanda requerida 2028'!$CB$75:$DL$98,MATCH(_xlfn.CONCAT(TEXT(DATE($A80,$B80,1),"mmm-yy"),$D80),'[1]Demanda requerida 2028'!$CB$71:$DL$71,0),FALSE)</f>
        <v>200</v>
      </c>
      <c r="I80" s="7">
        <f>VLOOKUP(I$1,'[1]Demanda requerida 2028'!$CB$75:$DL$98,MATCH(_xlfn.CONCAT(TEXT(DATE($A80,$B80,1),"mmm-yy"),$D80),'[1]Demanda requerida 2028'!$CB$71:$DL$71,0),FALSE)</f>
        <v>200</v>
      </c>
      <c r="J80" s="7">
        <f>VLOOKUP(J$1,'[1]Demanda requerida 2028'!$CB$75:$DL$98,MATCH(_xlfn.CONCAT(TEXT(DATE($A80,$B80,1),"mmm-yy"),$D80),'[1]Demanda requerida 2028'!$CB$71:$DL$71,0),FALSE)</f>
        <v>200</v>
      </c>
      <c r="K80" s="7">
        <f>VLOOKUP(K$1,'[1]Demanda requerida 2028'!$CB$75:$DL$98,MATCH(_xlfn.CONCAT(TEXT(DATE($A80,$B80,1),"mmm-yy"),$D80),'[1]Demanda requerida 2028'!$CB$71:$DL$71,0),FALSE)</f>
        <v>200</v>
      </c>
      <c r="L80" s="7">
        <f>VLOOKUP(L$1,'[1]Demanda requerida 2028'!$CB$75:$DL$98,MATCH(_xlfn.CONCAT(TEXT(DATE($A80,$B80,1),"mmm-yy"),$D80),'[1]Demanda requerida 2028'!$CB$71:$DL$71,0),FALSE)</f>
        <v>200</v>
      </c>
      <c r="M80" s="7">
        <f>VLOOKUP(M$1,'[1]Demanda requerida 2028'!$CB$75:$DL$98,MATCH(_xlfn.CONCAT(TEXT(DATE($A80,$B80,1),"mmm-yy"),$D80),'[1]Demanda requerida 2028'!$CB$71:$DL$71,0),FALSE)</f>
        <v>31</v>
      </c>
      <c r="N80" s="7">
        <f>VLOOKUP(N$1,'[1]Demanda requerida 2028'!$CB$75:$DL$98,MATCH(_xlfn.CONCAT(TEXT(DATE($A80,$B80,1),"mmm-yy"),$D80),'[1]Demanda requerida 2028'!$CB$71:$DL$71,0),FALSE)</f>
        <v>1355</v>
      </c>
      <c r="O80" s="7">
        <f>VLOOKUP(O$1,'[1]Demanda requerida 2028'!$CB$75:$DL$98,MATCH(_xlfn.CONCAT(TEXT(DATE($A80,$B80,1),"mmm-yy"),$D80),'[1]Demanda requerida 2028'!$CB$71:$DL$71,0),FALSE)</f>
        <v>2519</v>
      </c>
      <c r="P80" s="7">
        <f>VLOOKUP(P$1,'[1]Demanda requerida 2028'!$CB$75:$DL$98,MATCH(_xlfn.CONCAT(TEXT(DATE($A80,$B80,1),"mmm-yy"),$D80),'[1]Demanda requerida 2028'!$CB$71:$DL$71,0),FALSE)</f>
        <v>3950</v>
      </c>
      <c r="Q80" s="7">
        <f>VLOOKUP(Q$1,'[1]Demanda requerida 2028'!$CB$75:$DL$98,MATCH(_xlfn.CONCAT(TEXT(DATE($A80,$B80,1),"mmm-yy"),$D80),'[1]Demanda requerida 2028'!$CB$71:$DL$71,0),FALSE)</f>
        <v>5009</v>
      </c>
      <c r="R80" s="7">
        <f>VLOOKUP(R$1,'[1]Demanda requerida 2028'!$CB$75:$DL$98,MATCH(_xlfn.CONCAT(TEXT(DATE($A80,$B80,1),"mmm-yy"),$D80),'[1]Demanda requerida 2028'!$CB$71:$DL$71,0),FALSE)</f>
        <v>4451</v>
      </c>
      <c r="S80" s="7">
        <f>VLOOKUP(S$1,'[1]Demanda requerida 2028'!$CB$75:$DL$98,MATCH(_xlfn.CONCAT(TEXT(DATE($A80,$B80,1),"mmm-yy"),$D80),'[1]Demanda requerida 2028'!$CB$71:$DL$71,0),FALSE)</f>
        <v>446</v>
      </c>
      <c r="T80" s="7">
        <f>VLOOKUP(T$1,'[1]Demanda requerida 2028'!$CB$75:$DL$98,MATCH(_xlfn.CONCAT(TEXT(DATE($A80,$B80,1),"mmm-yy"),$D80),'[1]Demanda requerida 2028'!$CB$71:$DL$71,0),FALSE)</f>
        <v>2157</v>
      </c>
      <c r="U80" s="7">
        <f>VLOOKUP(U$1,'[1]Demanda requerida 2028'!$CB$75:$DL$98,MATCH(_xlfn.CONCAT(TEXT(DATE($A80,$B80,1),"mmm-yy"),$D80),'[1]Demanda requerida 2028'!$CB$71:$DL$71,0),FALSE)</f>
        <v>1636</v>
      </c>
      <c r="V80" s="7">
        <f>VLOOKUP(V$1,'[1]Demanda requerida 2028'!$CB$75:$DL$98,MATCH(_xlfn.CONCAT(TEXT(DATE($A80,$B80,1),"mmm-yy"),$D80),'[1]Demanda requerida 2028'!$CB$71:$DL$71,0),FALSE)</f>
        <v>3195</v>
      </c>
      <c r="W80" s="7">
        <f>VLOOKUP(W$1,'[1]Demanda requerida 2028'!$CB$75:$DL$98,MATCH(_xlfn.CONCAT(TEXT(DATE($A80,$B80,1),"mmm-yy"),$D80),'[1]Demanda requerida 2028'!$CB$71:$DL$71,0),FALSE)</f>
        <v>5592</v>
      </c>
      <c r="X80" s="7">
        <f>VLOOKUP(X$1,'[1]Demanda requerida 2028'!$CB$75:$DL$98,MATCH(_xlfn.CONCAT(TEXT(DATE($A80,$B80,1),"mmm-yy"),$D80),'[1]Demanda requerida 2028'!$CB$71:$DL$71,0),FALSE)</f>
        <v>9339</v>
      </c>
      <c r="Y80" s="7">
        <f>VLOOKUP(Y$1,'[1]Demanda requerida 2028'!$CB$75:$DL$98,MATCH(_xlfn.CONCAT(TEXT(DATE($A80,$B80,1),"mmm-yy"),$D80),'[1]Demanda requerida 2028'!$CB$71:$DL$71,0),FALSE)</f>
        <v>9502</v>
      </c>
      <c r="Z80" s="7">
        <f>VLOOKUP(Z$1,'[1]Demanda requerida 2028'!$CB$75:$DL$98,MATCH(_xlfn.CONCAT(TEXT(DATE($A80,$B80,1),"mmm-yy"),$D80),'[1]Demanda requerida 2028'!$CB$71:$DL$71,0),FALSE)</f>
        <v>8315</v>
      </c>
      <c r="AA80" s="7">
        <f>VLOOKUP(AA$1,'[1]Demanda requerida 2028'!$CB$75:$DL$98,MATCH(_xlfn.CONCAT(TEXT(DATE($A80,$B80,1),"mmm-yy"),$D80),'[1]Demanda requerida 2028'!$CB$71:$DL$71,0),FALSE)</f>
        <v>6132</v>
      </c>
      <c r="AB80" s="7">
        <f>VLOOKUP(AB$1,'[1]Demanda requerida 2028'!$CB$75:$DL$98,MATCH(_xlfn.CONCAT(TEXT(DATE($A80,$B80,1),"mmm-yy"),$D80),'[1]Demanda requerida 2028'!$CB$71:$DL$71,0),FALSE)</f>
        <v>3456</v>
      </c>
      <c r="AC80" s="82">
        <f t="shared" si="18"/>
        <v>68685</v>
      </c>
      <c r="AD80" s="76">
        <f t="shared" ref="AD80" si="28">+SUMPRODUCT(AC80:AC82,C80:C82)</f>
        <v>4012629</v>
      </c>
      <c r="AE80" s="85"/>
    </row>
    <row r="81" spans="1:31" x14ac:dyDescent="0.25">
      <c r="A81" s="13">
        <v>2028</v>
      </c>
      <c r="B81" s="1">
        <v>3</v>
      </c>
      <c r="C81" s="1">
        <v>22</v>
      </c>
      <c r="D81" s="1" t="s">
        <v>31</v>
      </c>
      <c r="E81" s="8">
        <f>VLOOKUP(E$1,'[1]Demanda requerida 2028'!$CB$75:$DL$98,MATCH(_xlfn.CONCAT(TEXT(DATE($A81,$B81,1),"mmm-yy"),$D81),'[1]Demanda requerida 2028'!$CB$71:$DL$71,0),FALSE)</f>
        <v>971</v>
      </c>
      <c r="F81" s="8">
        <f>VLOOKUP(F$1,'[1]Demanda requerida 2028'!$CB$75:$DL$98,MATCH(_xlfn.CONCAT(TEXT(DATE($A81,$B81,1),"mmm-yy"),$D81),'[1]Demanda requerida 2028'!$CB$71:$DL$71,0),FALSE)</f>
        <v>200</v>
      </c>
      <c r="G81" s="8">
        <f>VLOOKUP(G$1,'[1]Demanda requerida 2028'!$CB$75:$DL$98,MATCH(_xlfn.CONCAT(TEXT(DATE($A81,$B81,1),"mmm-yy"),$D81),'[1]Demanda requerida 2028'!$CB$71:$DL$71,0),FALSE)</f>
        <v>200</v>
      </c>
      <c r="H81" s="8">
        <f>VLOOKUP(H$1,'[1]Demanda requerida 2028'!$CB$75:$DL$98,MATCH(_xlfn.CONCAT(TEXT(DATE($A81,$B81,1),"mmm-yy"),$D81),'[1]Demanda requerida 2028'!$CB$71:$DL$71,0),FALSE)</f>
        <v>200</v>
      </c>
      <c r="I81" s="8">
        <f>VLOOKUP(I$1,'[1]Demanda requerida 2028'!$CB$75:$DL$98,MATCH(_xlfn.CONCAT(TEXT(DATE($A81,$B81,1),"mmm-yy"),$D81),'[1]Demanda requerida 2028'!$CB$71:$DL$71,0),FALSE)</f>
        <v>200</v>
      </c>
      <c r="J81" s="8">
        <f>VLOOKUP(J$1,'[1]Demanda requerida 2028'!$CB$75:$DL$98,MATCH(_xlfn.CONCAT(TEXT(DATE($A81,$B81,1),"mmm-yy"),$D81),'[1]Demanda requerida 2028'!$CB$71:$DL$71,0),FALSE)</f>
        <v>200</v>
      </c>
      <c r="K81" s="8">
        <f>VLOOKUP(K$1,'[1]Demanda requerida 2028'!$CB$75:$DL$98,MATCH(_xlfn.CONCAT(TEXT(DATE($A81,$B81,1),"mmm-yy"),$D81),'[1]Demanda requerida 2028'!$CB$71:$DL$71,0),FALSE)</f>
        <v>762</v>
      </c>
      <c r="L81" s="8">
        <f>VLOOKUP(L$1,'[1]Demanda requerida 2028'!$CB$75:$DL$98,MATCH(_xlfn.CONCAT(TEXT(DATE($A81,$B81,1),"mmm-yy"),$D81),'[1]Demanda requerida 2028'!$CB$71:$DL$71,0),FALSE)</f>
        <v>1923</v>
      </c>
      <c r="M81" s="8">
        <f>VLOOKUP(M$1,'[1]Demanda requerida 2028'!$CB$75:$DL$98,MATCH(_xlfn.CONCAT(TEXT(DATE($A81,$B81,1),"mmm-yy"),$D81),'[1]Demanda requerida 2028'!$CB$71:$DL$71,0),FALSE)</f>
        <v>4762</v>
      </c>
      <c r="N81" s="8">
        <f>VLOOKUP(N$1,'[1]Demanda requerida 2028'!$CB$75:$DL$98,MATCH(_xlfn.CONCAT(TEXT(DATE($A81,$B81,1),"mmm-yy"),$D81),'[1]Demanda requerida 2028'!$CB$71:$DL$71,0),FALSE)</f>
        <v>6223</v>
      </c>
      <c r="O81" s="8">
        <f>VLOOKUP(O$1,'[1]Demanda requerida 2028'!$CB$75:$DL$98,MATCH(_xlfn.CONCAT(TEXT(DATE($A81,$B81,1),"mmm-yy"),$D81),'[1]Demanda requerida 2028'!$CB$71:$DL$71,0),FALSE)</f>
        <v>7292</v>
      </c>
      <c r="P81" s="8">
        <f>VLOOKUP(P$1,'[1]Demanda requerida 2028'!$CB$75:$DL$98,MATCH(_xlfn.CONCAT(TEXT(DATE($A81,$B81,1),"mmm-yy"),$D81),'[1]Demanda requerida 2028'!$CB$71:$DL$71,0),FALSE)</f>
        <v>8794</v>
      </c>
      <c r="Q81" s="8">
        <f>VLOOKUP(Q$1,'[1]Demanda requerida 2028'!$CB$75:$DL$98,MATCH(_xlfn.CONCAT(TEXT(DATE($A81,$B81,1),"mmm-yy"),$D81),'[1]Demanda requerida 2028'!$CB$71:$DL$71,0),FALSE)</f>
        <v>8814</v>
      </c>
      <c r="R81" s="8">
        <f>VLOOKUP(R$1,'[1]Demanda requerida 2028'!$CB$75:$DL$98,MATCH(_xlfn.CONCAT(TEXT(DATE($A81,$B81,1),"mmm-yy"),$D81),'[1]Demanda requerida 2028'!$CB$71:$DL$71,0),FALSE)</f>
        <v>8751</v>
      </c>
      <c r="S81" s="8">
        <f>VLOOKUP(S$1,'[1]Demanda requerida 2028'!$CB$75:$DL$98,MATCH(_xlfn.CONCAT(TEXT(DATE($A81,$B81,1),"mmm-yy"),$D81),'[1]Demanda requerida 2028'!$CB$71:$DL$71,0),FALSE)</f>
        <v>8897</v>
      </c>
      <c r="T81" s="8">
        <f>VLOOKUP(T$1,'[1]Demanda requerida 2028'!$CB$75:$DL$98,MATCH(_xlfn.CONCAT(TEXT(DATE($A81,$B81,1),"mmm-yy"),$D81),'[1]Demanda requerida 2028'!$CB$71:$DL$71,0),FALSE)</f>
        <v>9089</v>
      </c>
      <c r="U81" s="8">
        <f>VLOOKUP(U$1,'[1]Demanda requerida 2028'!$CB$75:$DL$98,MATCH(_xlfn.CONCAT(TEXT(DATE($A81,$B81,1),"mmm-yy"),$D81),'[1]Demanda requerida 2028'!$CB$71:$DL$71,0),FALSE)</f>
        <v>9095</v>
      </c>
      <c r="V81" s="8">
        <f>VLOOKUP(V$1,'[1]Demanda requerida 2028'!$CB$75:$DL$98,MATCH(_xlfn.CONCAT(TEXT(DATE($A81,$B81,1),"mmm-yy"),$D81),'[1]Demanda requerida 2028'!$CB$71:$DL$71,0),FALSE)</f>
        <v>9907</v>
      </c>
      <c r="W81" s="8">
        <f>VLOOKUP(W$1,'[1]Demanda requerida 2028'!$CB$75:$DL$98,MATCH(_xlfn.CONCAT(TEXT(DATE($A81,$B81,1),"mmm-yy"),$D81),'[1]Demanda requerida 2028'!$CB$71:$DL$71,0),FALSE)</f>
        <v>11289</v>
      </c>
      <c r="X81" s="8">
        <f>VLOOKUP(X$1,'[1]Demanda requerida 2028'!$CB$75:$DL$98,MATCH(_xlfn.CONCAT(TEXT(DATE($A81,$B81,1),"mmm-yy"),$D81),'[1]Demanda requerida 2028'!$CB$71:$DL$71,0),FALSE)</f>
        <v>13205</v>
      </c>
      <c r="Y81" s="8">
        <f>VLOOKUP(Y$1,'[1]Demanda requerida 2028'!$CB$75:$DL$98,MATCH(_xlfn.CONCAT(TEXT(DATE($A81,$B81,1),"mmm-yy"),$D81),'[1]Demanda requerida 2028'!$CB$71:$DL$71,0),FALSE)</f>
        <v>12535</v>
      </c>
      <c r="Z81" s="8">
        <f>VLOOKUP(Z$1,'[1]Demanda requerida 2028'!$CB$75:$DL$98,MATCH(_xlfn.CONCAT(TEXT(DATE($A81,$B81,1),"mmm-yy"),$D81),'[1]Demanda requerida 2028'!$CB$71:$DL$71,0),FALSE)</f>
        <v>10484</v>
      </c>
      <c r="AA81" s="8">
        <f>VLOOKUP(AA$1,'[1]Demanda requerida 2028'!$CB$75:$DL$98,MATCH(_xlfn.CONCAT(TEXT(DATE($A81,$B81,1),"mmm-yy"),$D81),'[1]Demanda requerida 2028'!$CB$71:$DL$71,0),FALSE)</f>
        <v>7338</v>
      </c>
      <c r="AB81" s="8">
        <f>VLOOKUP(AB$1,'[1]Demanda requerida 2028'!$CB$75:$DL$98,MATCH(_xlfn.CONCAT(TEXT(DATE($A81,$B81,1),"mmm-yy"),$D81),'[1]Demanda requerida 2028'!$CB$71:$DL$71,0),FALSE)</f>
        <v>4491</v>
      </c>
      <c r="AC81" s="84">
        <f t="shared" si="18"/>
        <v>145622</v>
      </c>
      <c r="AD81" s="77"/>
      <c r="AE81" s="85"/>
    </row>
    <row r="82" spans="1:31" ht="15.75" thickBot="1" x14ac:dyDescent="0.3">
      <c r="A82" s="14">
        <v>2028</v>
      </c>
      <c r="B82" s="15">
        <v>3</v>
      </c>
      <c r="C82" s="15">
        <v>4</v>
      </c>
      <c r="D82" s="15" t="s">
        <v>6</v>
      </c>
      <c r="E82" s="9">
        <f>VLOOKUP(E$1,'[1]Demanda requerida 2028'!$CB$75:$DL$98,MATCH(_xlfn.CONCAT(TEXT(DATE($A82,$B82,1),"mmm-yy"),$D82),'[1]Demanda requerida 2028'!$CB$71:$DL$71,0),FALSE)</f>
        <v>715</v>
      </c>
      <c r="F82" s="9">
        <f>VLOOKUP(F$1,'[1]Demanda requerida 2028'!$CB$75:$DL$98,MATCH(_xlfn.CONCAT(TEXT(DATE($A82,$B82,1),"mmm-yy"),$D82),'[1]Demanda requerida 2028'!$CB$71:$DL$71,0),FALSE)</f>
        <v>200</v>
      </c>
      <c r="G82" s="9">
        <f>VLOOKUP(G$1,'[1]Demanda requerida 2028'!$CB$75:$DL$98,MATCH(_xlfn.CONCAT(TEXT(DATE($A82,$B82,1),"mmm-yy"),$D82),'[1]Demanda requerida 2028'!$CB$71:$DL$71,0),FALSE)</f>
        <v>200</v>
      </c>
      <c r="H82" s="9">
        <f>VLOOKUP(H$1,'[1]Demanda requerida 2028'!$CB$75:$DL$98,MATCH(_xlfn.CONCAT(TEXT(DATE($A82,$B82,1),"mmm-yy"),$D82),'[1]Demanda requerida 2028'!$CB$71:$DL$71,0),FALSE)</f>
        <v>200</v>
      </c>
      <c r="I82" s="9">
        <f>VLOOKUP(I$1,'[1]Demanda requerida 2028'!$CB$75:$DL$98,MATCH(_xlfn.CONCAT(TEXT(DATE($A82,$B82,1),"mmm-yy"),$D82),'[1]Demanda requerida 2028'!$CB$71:$DL$71,0),FALSE)</f>
        <v>200</v>
      </c>
      <c r="J82" s="9">
        <f>VLOOKUP(J$1,'[1]Demanda requerida 2028'!$CB$75:$DL$98,MATCH(_xlfn.CONCAT(TEXT(DATE($A82,$B82,1),"mmm-yy"),$D82),'[1]Demanda requerida 2028'!$CB$71:$DL$71,0),FALSE)</f>
        <v>200</v>
      </c>
      <c r="K82" s="9">
        <f>VLOOKUP(K$1,'[1]Demanda requerida 2028'!$CB$75:$DL$98,MATCH(_xlfn.CONCAT(TEXT(DATE($A82,$B82,1),"mmm-yy"),$D82),'[1]Demanda requerida 2028'!$CB$71:$DL$71,0),FALSE)</f>
        <v>200</v>
      </c>
      <c r="L82" s="9">
        <f>VLOOKUP(L$1,'[1]Demanda requerida 2028'!$CB$75:$DL$98,MATCH(_xlfn.CONCAT(TEXT(DATE($A82,$B82,1),"mmm-yy"),$D82),'[1]Demanda requerida 2028'!$CB$71:$DL$71,0),FALSE)</f>
        <v>200</v>
      </c>
      <c r="M82" s="9">
        <f>VLOOKUP(M$1,'[1]Demanda requerida 2028'!$CB$75:$DL$98,MATCH(_xlfn.CONCAT(TEXT(DATE($A82,$B82,1),"mmm-yy"),$D82),'[1]Demanda requerida 2028'!$CB$71:$DL$71,0),FALSE)</f>
        <v>3954</v>
      </c>
      <c r="N82" s="9">
        <f>VLOOKUP(N$1,'[1]Demanda requerida 2028'!$CB$75:$DL$98,MATCH(_xlfn.CONCAT(TEXT(DATE($A82,$B82,1),"mmm-yy"),$D82),'[1]Demanda requerida 2028'!$CB$71:$DL$71,0),FALSE)</f>
        <v>5517</v>
      </c>
      <c r="O82" s="9">
        <f>VLOOKUP(O$1,'[1]Demanda requerida 2028'!$CB$75:$DL$98,MATCH(_xlfn.CONCAT(TEXT(DATE($A82,$B82,1),"mmm-yy"),$D82),'[1]Demanda requerida 2028'!$CB$71:$DL$71,0),FALSE)</f>
        <v>6451</v>
      </c>
      <c r="P82" s="9">
        <f>VLOOKUP(P$1,'[1]Demanda requerida 2028'!$CB$75:$DL$98,MATCH(_xlfn.CONCAT(TEXT(DATE($A82,$B82,1),"mmm-yy"),$D82),'[1]Demanda requerida 2028'!$CB$71:$DL$71,0),FALSE)</f>
        <v>7741</v>
      </c>
      <c r="Q82" s="9">
        <f>VLOOKUP(Q$1,'[1]Demanda requerida 2028'!$CB$75:$DL$98,MATCH(_xlfn.CONCAT(TEXT(DATE($A82,$B82,1),"mmm-yy"),$D82),'[1]Demanda requerida 2028'!$CB$71:$DL$71,0),FALSE)</f>
        <v>8187</v>
      </c>
      <c r="R82" s="9">
        <f>VLOOKUP(R$1,'[1]Demanda requerida 2028'!$CB$75:$DL$98,MATCH(_xlfn.CONCAT(TEXT(DATE($A82,$B82,1),"mmm-yy"),$D82),'[1]Demanda requerida 2028'!$CB$71:$DL$71,0),FALSE)</f>
        <v>7717</v>
      </c>
      <c r="S82" s="9">
        <f>VLOOKUP(S$1,'[1]Demanda requerida 2028'!$CB$75:$DL$98,MATCH(_xlfn.CONCAT(TEXT(DATE($A82,$B82,1),"mmm-yy"),$D82),'[1]Demanda requerida 2028'!$CB$71:$DL$71,0),FALSE)</f>
        <v>7358</v>
      </c>
      <c r="T82" s="9">
        <f>VLOOKUP(T$1,'[1]Demanda requerida 2028'!$CB$75:$DL$98,MATCH(_xlfn.CONCAT(TEXT(DATE($A82,$B82,1),"mmm-yy"),$D82),'[1]Demanda requerida 2028'!$CB$71:$DL$71,0),FALSE)</f>
        <v>7070</v>
      </c>
      <c r="U82" s="9">
        <f>VLOOKUP(U$1,'[1]Demanda requerida 2028'!$CB$75:$DL$98,MATCH(_xlfn.CONCAT(TEXT(DATE($A82,$B82,1),"mmm-yy"),$D82),'[1]Demanda requerida 2028'!$CB$71:$DL$71,0),FALSE)</f>
        <v>6506</v>
      </c>
      <c r="V82" s="9">
        <f>VLOOKUP(V$1,'[1]Demanda requerida 2028'!$CB$75:$DL$98,MATCH(_xlfn.CONCAT(TEXT(DATE($A82,$B82,1),"mmm-yy"),$D82),'[1]Demanda requerida 2028'!$CB$71:$DL$71,0),FALSE)</f>
        <v>7813</v>
      </c>
      <c r="W82" s="9">
        <f>VLOOKUP(W$1,'[1]Demanda requerida 2028'!$CB$75:$DL$98,MATCH(_xlfn.CONCAT(TEXT(DATE($A82,$B82,1),"mmm-yy"),$D82),'[1]Demanda requerida 2028'!$CB$71:$DL$71,0),FALSE)</f>
        <v>9768</v>
      </c>
      <c r="X82" s="9">
        <f>VLOOKUP(X$1,'[1]Demanda requerida 2028'!$CB$75:$DL$98,MATCH(_xlfn.CONCAT(TEXT(DATE($A82,$B82,1),"mmm-yy"),$D82),'[1]Demanda requerida 2028'!$CB$71:$DL$71,0),FALSE)</f>
        <v>11521</v>
      </c>
      <c r="Y82" s="9">
        <f>VLOOKUP(Y$1,'[1]Demanda requerida 2028'!$CB$75:$DL$98,MATCH(_xlfn.CONCAT(TEXT(DATE($A82,$B82,1),"mmm-yy"),$D82),'[1]Demanda requerida 2028'!$CB$71:$DL$71,0),FALSE)</f>
        <v>10885</v>
      </c>
      <c r="Z82" s="9">
        <f>VLOOKUP(Z$1,'[1]Demanda requerida 2028'!$CB$75:$DL$98,MATCH(_xlfn.CONCAT(TEXT(DATE($A82,$B82,1),"mmm-yy"),$D82),'[1]Demanda requerida 2028'!$CB$71:$DL$71,0),FALSE)</f>
        <v>7080</v>
      </c>
      <c r="AA82" s="9">
        <f>VLOOKUP(AA$1,'[1]Demanda requerida 2028'!$CB$75:$DL$98,MATCH(_xlfn.CONCAT(TEXT(DATE($A82,$B82,1),"mmm-yy"),$D82),'[1]Demanda requerida 2028'!$CB$71:$DL$71,0),FALSE)</f>
        <v>4683</v>
      </c>
      <c r="AB82" s="9">
        <f>VLOOKUP(AB$1,'[1]Demanda requerida 2028'!$CB$75:$DL$98,MATCH(_xlfn.CONCAT(TEXT(DATE($A82,$B82,1),"mmm-yy"),$D82),'[1]Demanda requerida 2028'!$CB$71:$DL$71,0),FALSE)</f>
        <v>2014</v>
      </c>
      <c r="AC82" s="86">
        <f t="shared" si="18"/>
        <v>116380</v>
      </c>
      <c r="AD82" s="78"/>
      <c r="AE82" s="85"/>
    </row>
    <row r="83" spans="1:31" x14ac:dyDescent="0.25">
      <c r="A83" s="11">
        <v>2028</v>
      </c>
      <c r="B83" s="12">
        <v>4</v>
      </c>
      <c r="C83" s="12">
        <v>7</v>
      </c>
      <c r="D83" s="12" t="s">
        <v>5</v>
      </c>
      <c r="E83" s="7">
        <f>VLOOKUP(E$1,'[1]Demanda requerida 2028'!$CB$75:$DL$98,MATCH(_xlfn.CONCAT(TEXT(DATE($A83,$B83,1),"mmm-yy"),$D83),'[1]Demanda requerida 2028'!$CB$71:$DL$71,0),FALSE)</f>
        <v>200</v>
      </c>
      <c r="F83" s="7">
        <f>VLOOKUP(F$1,'[1]Demanda requerida 2028'!$CB$75:$DL$98,MATCH(_xlfn.CONCAT(TEXT(DATE($A83,$B83,1),"mmm-yy"),$D83),'[1]Demanda requerida 2028'!$CB$71:$DL$71,0),FALSE)</f>
        <v>200</v>
      </c>
      <c r="G83" s="7">
        <f>VLOOKUP(G$1,'[1]Demanda requerida 2028'!$CB$75:$DL$98,MATCH(_xlfn.CONCAT(TEXT(DATE($A83,$B83,1),"mmm-yy"),$D83),'[1]Demanda requerida 2028'!$CB$71:$DL$71,0),FALSE)</f>
        <v>200</v>
      </c>
      <c r="H83" s="7">
        <f>VLOOKUP(H$1,'[1]Demanda requerida 2028'!$CB$75:$DL$98,MATCH(_xlfn.CONCAT(TEXT(DATE($A83,$B83,1),"mmm-yy"),$D83),'[1]Demanda requerida 2028'!$CB$71:$DL$71,0),FALSE)</f>
        <v>200</v>
      </c>
      <c r="I83" s="7">
        <f>VLOOKUP(I$1,'[1]Demanda requerida 2028'!$CB$75:$DL$98,MATCH(_xlfn.CONCAT(TEXT(DATE($A83,$B83,1),"mmm-yy"),$D83),'[1]Demanda requerida 2028'!$CB$71:$DL$71,0),FALSE)</f>
        <v>200</v>
      </c>
      <c r="J83" s="7">
        <f>VLOOKUP(J$1,'[1]Demanda requerida 2028'!$CB$75:$DL$98,MATCH(_xlfn.CONCAT(TEXT(DATE($A83,$B83,1),"mmm-yy"),$D83),'[1]Demanda requerida 2028'!$CB$71:$DL$71,0),FALSE)</f>
        <v>200</v>
      </c>
      <c r="K83" s="7">
        <f>VLOOKUP(K$1,'[1]Demanda requerida 2028'!$CB$75:$DL$98,MATCH(_xlfn.CONCAT(TEXT(DATE($A83,$B83,1),"mmm-yy"),$D83),'[1]Demanda requerida 2028'!$CB$71:$DL$71,0),FALSE)</f>
        <v>200</v>
      </c>
      <c r="L83" s="7">
        <f>VLOOKUP(L$1,'[1]Demanda requerida 2028'!$CB$75:$DL$98,MATCH(_xlfn.CONCAT(TEXT(DATE($A83,$B83,1),"mmm-yy"),$D83),'[1]Demanda requerida 2028'!$CB$71:$DL$71,0),FALSE)</f>
        <v>200</v>
      </c>
      <c r="M83" s="7">
        <f>VLOOKUP(M$1,'[1]Demanda requerida 2028'!$CB$75:$DL$98,MATCH(_xlfn.CONCAT(TEXT(DATE($A83,$B83,1),"mmm-yy"),$D83),'[1]Demanda requerida 2028'!$CB$71:$DL$71,0),FALSE)</f>
        <v>200</v>
      </c>
      <c r="N83" s="7">
        <f>VLOOKUP(N$1,'[1]Demanda requerida 2028'!$CB$75:$DL$98,MATCH(_xlfn.CONCAT(TEXT(DATE($A83,$B83,1),"mmm-yy"),$D83),'[1]Demanda requerida 2028'!$CB$71:$DL$71,0),FALSE)</f>
        <v>200</v>
      </c>
      <c r="O83" s="7">
        <f>VLOOKUP(O$1,'[1]Demanda requerida 2028'!$CB$75:$DL$98,MATCH(_xlfn.CONCAT(TEXT(DATE($A83,$B83,1),"mmm-yy"),$D83),'[1]Demanda requerida 2028'!$CB$71:$DL$71,0),FALSE)</f>
        <v>200</v>
      </c>
      <c r="P83" s="7">
        <f>VLOOKUP(P$1,'[1]Demanda requerida 2028'!$CB$75:$DL$98,MATCH(_xlfn.CONCAT(TEXT(DATE($A83,$B83,1),"mmm-yy"),$D83),'[1]Demanda requerida 2028'!$CB$71:$DL$71,0),FALSE)</f>
        <v>522</v>
      </c>
      <c r="Q83" s="7">
        <f>VLOOKUP(Q$1,'[1]Demanda requerida 2028'!$CB$75:$DL$98,MATCH(_xlfn.CONCAT(TEXT(DATE($A83,$B83,1),"mmm-yy"),$D83),'[1]Demanda requerida 2028'!$CB$71:$DL$71,0),FALSE)</f>
        <v>1322</v>
      </c>
      <c r="R83" s="7">
        <f>VLOOKUP(R$1,'[1]Demanda requerida 2028'!$CB$75:$DL$98,MATCH(_xlfn.CONCAT(TEXT(DATE($A83,$B83,1),"mmm-yy"),$D83),'[1]Demanda requerida 2028'!$CB$71:$DL$71,0),FALSE)</f>
        <v>1065</v>
      </c>
      <c r="S83" s="7">
        <f>VLOOKUP(S$1,'[1]Demanda requerida 2028'!$CB$75:$DL$98,MATCH(_xlfn.CONCAT(TEXT(DATE($A83,$B83,1),"mmm-yy"),$D83),'[1]Demanda requerida 2028'!$CB$71:$DL$71,0),FALSE)</f>
        <v>200</v>
      </c>
      <c r="T83" s="7">
        <f>VLOOKUP(T$1,'[1]Demanda requerida 2028'!$CB$75:$DL$98,MATCH(_xlfn.CONCAT(TEXT(DATE($A83,$B83,1),"mmm-yy"),$D83),'[1]Demanda requerida 2028'!$CB$71:$DL$71,0),FALSE)</f>
        <v>200</v>
      </c>
      <c r="U83" s="7">
        <f>VLOOKUP(U$1,'[1]Demanda requerida 2028'!$CB$75:$DL$98,MATCH(_xlfn.CONCAT(TEXT(DATE($A83,$B83,1),"mmm-yy"),$D83),'[1]Demanda requerida 2028'!$CB$71:$DL$71,0),FALSE)</f>
        <v>200</v>
      </c>
      <c r="V83" s="7">
        <f>VLOOKUP(V$1,'[1]Demanda requerida 2028'!$CB$75:$DL$98,MATCH(_xlfn.CONCAT(TEXT(DATE($A83,$B83,1),"mmm-yy"),$D83),'[1]Demanda requerida 2028'!$CB$71:$DL$71,0),FALSE)</f>
        <v>563</v>
      </c>
      <c r="W83" s="7">
        <f>VLOOKUP(W$1,'[1]Demanda requerida 2028'!$CB$75:$DL$98,MATCH(_xlfn.CONCAT(TEXT(DATE($A83,$B83,1),"mmm-yy"),$D83),'[1]Demanda requerida 2028'!$CB$71:$DL$71,0),FALSE)</f>
        <v>2540</v>
      </c>
      <c r="X83" s="7">
        <f>VLOOKUP(X$1,'[1]Demanda requerida 2028'!$CB$75:$DL$98,MATCH(_xlfn.CONCAT(TEXT(DATE($A83,$B83,1),"mmm-yy"),$D83),'[1]Demanda requerida 2028'!$CB$71:$DL$71,0),FALSE)</f>
        <v>4026</v>
      </c>
      <c r="Y83" s="7">
        <f>VLOOKUP(Y$1,'[1]Demanda requerida 2028'!$CB$75:$DL$98,MATCH(_xlfn.CONCAT(TEXT(DATE($A83,$B83,1),"mmm-yy"),$D83),'[1]Demanda requerida 2028'!$CB$71:$DL$71,0),FALSE)</f>
        <v>3632</v>
      </c>
      <c r="Z83" s="7">
        <f>VLOOKUP(Z$1,'[1]Demanda requerida 2028'!$CB$75:$DL$98,MATCH(_xlfn.CONCAT(TEXT(DATE($A83,$B83,1),"mmm-yy"),$D83),'[1]Demanda requerida 2028'!$CB$71:$DL$71,0),FALSE)</f>
        <v>2474</v>
      </c>
      <c r="AA83" s="7">
        <f>VLOOKUP(AA$1,'[1]Demanda requerida 2028'!$CB$75:$DL$98,MATCH(_xlfn.CONCAT(TEXT(DATE($A83,$B83,1),"mmm-yy"),$D83),'[1]Demanda requerida 2028'!$CB$71:$DL$71,0),FALSE)</f>
        <v>499</v>
      </c>
      <c r="AB83" s="7">
        <f>VLOOKUP(AB$1,'[1]Demanda requerida 2028'!$CB$75:$DL$98,MATCH(_xlfn.CONCAT(TEXT(DATE($A83,$B83,1),"mmm-yy"),$D83),'[1]Demanda requerida 2028'!$CB$71:$DL$71,0),FALSE)</f>
        <v>200</v>
      </c>
      <c r="AC83" s="82">
        <f t="shared" si="18"/>
        <v>19643</v>
      </c>
      <c r="AD83" s="76">
        <f t="shared" ref="AD83" si="29">+SUMPRODUCT(AC83:AC85,C83:C85)</f>
        <v>7226259</v>
      </c>
      <c r="AE83" s="85"/>
    </row>
    <row r="84" spans="1:31" x14ac:dyDescent="0.25">
      <c r="A84" s="13">
        <v>2028</v>
      </c>
      <c r="B84" s="1">
        <v>4</v>
      </c>
      <c r="C84" s="1">
        <v>18</v>
      </c>
      <c r="D84" s="1" t="s">
        <v>31</v>
      </c>
      <c r="E84" s="8">
        <f>VLOOKUP(E$1,'[1]Demanda requerida 2028'!$CB$75:$DL$98,MATCH(_xlfn.CONCAT(TEXT(DATE($A84,$B84,1),"mmm-yy"),$D84),'[1]Demanda requerida 2028'!$CB$71:$DL$71,0),FALSE)</f>
        <v>7468</v>
      </c>
      <c r="F84" s="8">
        <f>VLOOKUP(F$1,'[1]Demanda requerida 2028'!$CB$75:$DL$98,MATCH(_xlfn.CONCAT(TEXT(DATE($A84,$B84,1),"mmm-yy"),$D84),'[1]Demanda requerida 2028'!$CB$71:$DL$71,0),FALSE)</f>
        <v>6016</v>
      </c>
      <c r="G84" s="8">
        <f>VLOOKUP(G$1,'[1]Demanda requerida 2028'!$CB$75:$DL$98,MATCH(_xlfn.CONCAT(TEXT(DATE($A84,$B84,1),"mmm-yy"),$D84),'[1]Demanda requerida 2028'!$CB$71:$DL$71,0),FALSE)</f>
        <v>5290</v>
      </c>
      <c r="H84" s="8">
        <f>VLOOKUP(H$1,'[1]Demanda requerida 2028'!$CB$75:$DL$98,MATCH(_xlfn.CONCAT(TEXT(DATE($A84,$B84,1),"mmm-yy"),$D84),'[1]Demanda requerida 2028'!$CB$71:$DL$71,0),FALSE)</f>
        <v>4673</v>
      </c>
      <c r="I84" s="8">
        <f>VLOOKUP(I$1,'[1]Demanda requerida 2028'!$CB$75:$DL$98,MATCH(_xlfn.CONCAT(TEXT(DATE($A84,$B84,1),"mmm-yy"),$D84),'[1]Demanda requerida 2028'!$CB$71:$DL$71,0),FALSE)</f>
        <v>4489</v>
      </c>
      <c r="J84" s="8">
        <f>VLOOKUP(J$1,'[1]Demanda requerida 2028'!$CB$75:$DL$98,MATCH(_xlfn.CONCAT(TEXT(DATE($A84,$B84,1),"mmm-yy"),$D84),'[1]Demanda requerida 2028'!$CB$71:$DL$71,0),FALSE)</f>
        <v>5927</v>
      </c>
      <c r="K84" s="8">
        <f>VLOOKUP(K$1,'[1]Demanda requerida 2028'!$CB$75:$DL$98,MATCH(_xlfn.CONCAT(TEXT(DATE($A84,$B84,1),"mmm-yy"),$D84),'[1]Demanda requerida 2028'!$CB$71:$DL$71,0),FALSE)</f>
        <v>7435</v>
      </c>
      <c r="L84" s="8">
        <f>VLOOKUP(L$1,'[1]Demanda requerida 2028'!$CB$75:$DL$98,MATCH(_xlfn.CONCAT(TEXT(DATE($A84,$B84,1),"mmm-yy"),$D84),'[1]Demanda requerida 2028'!$CB$71:$DL$71,0),FALSE)</f>
        <v>9194</v>
      </c>
      <c r="M84" s="8">
        <f>VLOOKUP(M$1,'[1]Demanda requerida 2028'!$CB$75:$DL$98,MATCH(_xlfn.CONCAT(TEXT(DATE($A84,$B84,1),"mmm-yy"),$D84),'[1]Demanda requerida 2028'!$CB$71:$DL$71,0),FALSE)</f>
        <v>12320</v>
      </c>
      <c r="N84" s="8">
        <f>VLOOKUP(N$1,'[1]Demanda requerida 2028'!$CB$75:$DL$98,MATCH(_xlfn.CONCAT(TEXT(DATE($A84,$B84,1),"mmm-yy"),$D84),'[1]Demanda requerida 2028'!$CB$71:$DL$71,0),FALSE)</f>
        <v>13810</v>
      </c>
      <c r="O84" s="8">
        <f>VLOOKUP(O$1,'[1]Demanda requerida 2028'!$CB$75:$DL$98,MATCH(_xlfn.CONCAT(TEXT(DATE($A84,$B84,1),"mmm-yy"),$D84),'[1]Demanda requerida 2028'!$CB$71:$DL$71,0),FALSE)</f>
        <v>14786</v>
      </c>
      <c r="P84" s="8">
        <f>VLOOKUP(P$1,'[1]Demanda requerida 2028'!$CB$75:$DL$98,MATCH(_xlfn.CONCAT(TEXT(DATE($A84,$B84,1),"mmm-yy"),$D84),'[1]Demanda requerida 2028'!$CB$71:$DL$71,0),FALSE)</f>
        <v>16943</v>
      </c>
      <c r="Q84" s="8">
        <f>VLOOKUP(Q$1,'[1]Demanda requerida 2028'!$CB$75:$DL$98,MATCH(_xlfn.CONCAT(TEXT(DATE($A84,$B84,1),"mmm-yy"),$D84),'[1]Demanda requerida 2028'!$CB$71:$DL$71,0),FALSE)</f>
        <v>17054</v>
      </c>
      <c r="R84" s="8">
        <f>VLOOKUP(R$1,'[1]Demanda requerida 2028'!$CB$75:$DL$98,MATCH(_xlfn.CONCAT(TEXT(DATE($A84,$B84,1),"mmm-yy"),$D84),'[1]Demanda requerida 2028'!$CB$71:$DL$71,0),FALSE)</f>
        <v>17590</v>
      </c>
      <c r="S84" s="8">
        <f>VLOOKUP(S$1,'[1]Demanda requerida 2028'!$CB$75:$DL$98,MATCH(_xlfn.CONCAT(TEXT(DATE($A84,$B84,1),"mmm-yy"),$D84),'[1]Demanda requerida 2028'!$CB$71:$DL$71,0),FALSE)</f>
        <v>18640</v>
      </c>
      <c r="T84" s="8">
        <f>VLOOKUP(T$1,'[1]Demanda requerida 2028'!$CB$75:$DL$98,MATCH(_xlfn.CONCAT(TEXT(DATE($A84,$B84,1),"mmm-yy"),$D84),'[1]Demanda requerida 2028'!$CB$71:$DL$71,0),FALSE)</f>
        <v>18955</v>
      </c>
      <c r="U84" s="8">
        <f>VLOOKUP(U$1,'[1]Demanda requerida 2028'!$CB$75:$DL$98,MATCH(_xlfn.CONCAT(TEXT(DATE($A84,$B84,1),"mmm-yy"),$D84),'[1]Demanda requerida 2028'!$CB$71:$DL$71,0),FALSE)</f>
        <v>18472</v>
      </c>
      <c r="V84" s="8">
        <f>VLOOKUP(V$1,'[1]Demanda requerida 2028'!$CB$75:$DL$98,MATCH(_xlfn.CONCAT(TEXT(DATE($A84,$B84,1),"mmm-yy"),$D84),'[1]Demanda requerida 2028'!$CB$71:$DL$71,0),FALSE)</f>
        <v>19392</v>
      </c>
      <c r="W84" s="8">
        <f>VLOOKUP(W$1,'[1]Demanda requerida 2028'!$CB$75:$DL$98,MATCH(_xlfn.CONCAT(TEXT(DATE($A84,$B84,1),"mmm-yy"),$D84),'[1]Demanda requerida 2028'!$CB$71:$DL$71,0),FALSE)</f>
        <v>20893</v>
      </c>
      <c r="X84" s="8">
        <f>VLOOKUP(X$1,'[1]Demanda requerida 2028'!$CB$75:$DL$98,MATCH(_xlfn.CONCAT(TEXT(DATE($A84,$B84,1),"mmm-yy"),$D84),'[1]Demanda requerida 2028'!$CB$71:$DL$71,0),FALSE)</f>
        <v>22478</v>
      </c>
      <c r="Y84" s="8">
        <f>VLOOKUP(Y$1,'[1]Demanda requerida 2028'!$CB$75:$DL$98,MATCH(_xlfn.CONCAT(TEXT(DATE($A84,$B84,1),"mmm-yy"),$D84),'[1]Demanda requerida 2028'!$CB$71:$DL$71,0),FALSE)</f>
        <v>21331</v>
      </c>
      <c r="Z84" s="8">
        <f>VLOOKUP(Z$1,'[1]Demanda requerida 2028'!$CB$75:$DL$98,MATCH(_xlfn.CONCAT(TEXT(DATE($A84,$B84,1),"mmm-yy"),$D84),'[1]Demanda requerida 2028'!$CB$71:$DL$71,0),FALSE)</f>
        <v>18827</v>
      </c>
      <c r="AA84" s="8">
        <f>VLOOKUP(AA$1,'[1]Demanda requerida 2028'!$CB$75:$DL$98,MATCH(_xlfn.CONCAT(TEXT(DATE($A84,$B84,1),"mmm-yy"),$D84),'[1]Demanda requerida 2028'!$CB$71:$DL$71,0),FALSE)</f>
        <v>15396</v>
      </c>
      <c r="AB84" s="8">
        <f>VLOOKUP(AB$1,'[1]Demanda requerida 2028'!$CB$75:$DL$98,MATCH(_xlfn.CONCAT(TEXT(DATE($A84,$B84,1),"mmm-yy"),$D84),'[1]Demanda requerida 2028'!$CB$71:$DL$71,0),FALSE)</f>
        <v>11312</v>
      </c>
      <c r="AC84" s="84">
        <f t="shared" si="18"/>
        <v>328691</v>
      </c>
      <c r="AD84" s="77"/>
      <c r="AE84" s="85"/>
    </row>
    <row r="85" spans="1:31" ht="15.75" thickBot="1" x14ac:dyDescent="0.3">
      <c r="A85" s="14">
        <v>2028</v>
      </c>
      <c r="B85" s="15">
        <v>4</v>
      </c>
      <c r="C85" s="15">
        <v>5</v>
      </c>
      <c r="D85" s="15" t="s">
        <v>6</v>
      </c>
      <c r="E85" s="9">
        <f>VLOOKUP(E$1,'[1]Demanda requerida 2028'!$CB$75:$DL$98,MATCH(_xlfn.CONCAT(TEXT(DATE($A85,$B85,1),"mmm-yy"),$D85),'[1]Demanda requerida 2028'!$CB$71:$DL$71,0),FALSE)</f>
        <v>5861</v>
      </c>
      <c r="F85" s="9">
        <f>VLOOKUP(F$1,'[1]Demanda requerida 2028'!$CB$75:$DL$98,MATCH(_xlfn.CONCAT(TEXT(DATE($A85,$B85,1),"mmm-yy"),$D85),'[1]Demanda requerida 2028'!$CB$71:$DL$71,0),FALSE)</f>
        <v>4493</v>
      </c>
      <c r="G85" s="9">
        <f>VLOOKUP(G$1,'[1]Demanda requerida 2028'!$CB$75:$DL$98,MATCH(_xlfn.CONCAT(TEXT(DATE($A85,$B85,1),"mmm-yy"),$D85),'[1]Demanda requerida 2028'!$CB$71:$DL$71,0),FALSE)</f>
        <v>3655</v>
      </c>
      <c r="H85" s="9">
        <f>VLOOKUP(H$1,'[1]Demanda requerida 2028'!$CB$75:$DL$98,MATCH(_xlfn.CONCAT(TEXT(DATE($A85,$B85,1),"mmm-yy"),$D85),'[1]Demanda requerida 2028'!$CB$71:$DL$71,0),FALSE)</f>
        <v>3014</v>
      </c>
      <c r="I85" s="9">
        <f>VLOOKUP(I$1,'[1]Demanda requerida 2028'!$CB$75:$DL$98,MATCH(_xlfn.CONCAT(TEXT(DATE($A85,$B85,1),"mmm-yy"),$D85),'[1]Demanda requerida 2028'!$CB$71:$DL$71,0),FALSE)</f>
        <v>1227</v>
      </c>
      <c r="J85" s="9">
        <f>VLOOKUP(J$1,'[1]Demanda requerida 2028'!$CB$75:$DL$98,MATCH(_xlfn.CONCAT(TEXT(DATE($A85,$B85,1),"mmm-yy"),$D85),'[1]Demanda requerida 2028'!$CB$71:$DL$71,0),FALSE)</f>
        <v>3146</v>
      </c>
      <c r="K85" s="9">
        <f>VLOOKUP(K$1,'[1]Demanda requerida 2028'!$CB$75:$DL$98,MATCH(_xlfn.CONCAT(TEXT(DATE($A85,$B85,1),"mmm-yy"),$D85),'[1]Demanda requerida 2028'!$CB$71:$DL$71,0),FALSE)</f>
        <v>3335</v>
      </c>
      <c r="L85" s="9">
        <f>VLOOKUP(L$1,'[1]Demanda requerida 2028'!$CB$75:$DL$98,MATCH(_xlfn.CONCAT(TEXT(DATE($A85,$B85,1),"mmm-yy"),$D85),'[1]Demanda requerida 2028'!$CB$71:$DL$71,0),FALSE)</f>
        <v>5522</v>
      </c>
      <c r="M85" s="9">
        <f>VLOOKUP(M$1,'[1]Demanda requerida 2028'!$CB$75:$DL$98,MATCH(_xlfn.CONCAT(TEXT(DATE($A85,$B85,1),"mmm-yy"),$D85),'[1]Demanda requerida 2028'!$CB$71:$DL$71,0),FALSE)</f>
        <v>9087</v>
      </c>
      <c r="N85" s="9">
        <f>VLOOKUP(N$1,'[1]Demanda requerida 2028'!$CB$75:$DL$98,MATCH(_xlfn.CONCAT(TEXT(DATE($A85,$B85,1),"mmm-yy"),$D85),'[1]Demanda requerida 2028'!$CB$71:$DL$71,0),FALSE)</f>
        <v>10932</v>
      </c>
      <c r="O85" s="9">
        <f>VLOOKUP(O$1,'[1]Demanda requerida 2028'!$CB$75:$DL$98,MATCH(_xlfn.CONCAT(TEXT(DATE($A85,$B85,1),"mmm-yy"),$D85),'[1]Demanda requerida 2028'!$CB$71:$DL$71,0),FALSE)</f>
        <v>12074</v>
      </c>
      <c r="P85" s="9">
        <f>VLOOKUP(P$1,'[1]Demanda requerida 2028'!$CB$75:$DL$98,MATCH(_xlfn.CONCAT(TEXT(DATE($A85,$B85,1),"mmm-yy"),$D85),'[1]Demanda requerida 2028'!$CB$71:$DL$71,0),FALSE)</f>
        <v>13889</v>
      </c>
      <c r="Q85" s="9">
        <f>VLOOKUP(Q$1,'[1]Demanda requerida 2028'!$CB$75:$DL$98,MATCH(_xlfn.CONCAT(TEXT(DATE($A85,$B85,1),"mmm-yy"),$D85),'[1]Demanda requerida 2028'!$CB$71:$DL$71,0),FALSE)</f>
        <v>14377</v>
      </c>
      <c r="R85" s="9">
        <f>VLOOKUP(R$1,'[1]Demanda requerida 2028'!$CB$75:$DL$98,MATCH(_xlfn.CONCAT(TEXT(DATE($A85,$B85,1),"mmm-yy"),$D85),'[1]Demanda requerida 2028'!$CB$71:$DL$71,0),FALSE)</f>
        <v>13940</v>
      </c>
      <c r="S85" s="9">
        <f>VLOOKUP(S$1,'[1]Demanda requerida 2028'!$CB$75:$DL$98,MATCH(_xlfn.CONCAT(TEXT(DATE($A85,$B85,1),"mmm-yy"),$D85),'[1]Demanda requerida 2028'!$CB$71:$DL$71,0),FALSE)</f>
        <v>13029</v>
      </c>
      <c r="T85" s="9">
        <f>VLOOKUP(T$1,'[1]Demanda requerida 2028'!$CB$75:$DL$98,MATCH(_xlfn.CONCAT(TEXT(DATE($A85,$B85,1),"mmm-yy"),$D85),'[1]Demanda requerida 2028'!$CB$71:$DL$71,0),FALSE)</f>
        <v>11978</v>
      </c>
      <c r="U85" s="9">
        <f>VLOOKUP(U$1,'[1]Demanda requerida 2028'!$CB$75:$DL$98,MATCH(_xlfn.CONCAT(TEXT(DATE($A85,$B85,1),"mmm-yy"),$D85),'[1]Demanda requerida 2028'!$CB$71:$DL$71,0),FALSE)</f>
        <v>11460</v>
      </c>
      <c r="V85" s="9">
        <f>VLOOKUP(V$1,'[1]Demanda requerida 2028'!$CB$75:$DL$98,MATCH(_xlfn.CONCAT(TEXT(DATE($A85,$B85,1),"mmm-yy"),$D85),'[1]Demanda requerida 2028'!$CB$71:$DL$71,0),FALSE)</f>
        <v>13110</v>
      </c>
      <c r="W85" s="9">
        <f>VLOOKUP(W$1,'[1]Demanda requerida 2028'!$CB$75:$DL$98,MATCH(_xlfn.CONCAT(TEXT(DATE($A85,$B85,1),"mmm-yy"),$D85),'[1]Demanda requerida 2028'!$CB$71:$DL$71,0),FALSE)</f>
        <v>15264</v>
      </c>
      <c r="X85" s="9">
        <f>VLOOKUP(X$1,'[1]Demanda requerida 2028'!$CB$75:$DL$98,MATCH(_xlfn.CONCAT(TEXT(DATE($A85,$B85,1),"mmm-yy"),$D85),'[1]Demanda requerida 2028'!$CB$71:$DL$71,0),FALSE)</f>
        <v>16350</v>
      </c>
      <c r="Y85" s="9">
        <f>VLOOKUP(Y$1,'[1]Demanda requerida 2028'!$CB$75:$DL$98,MATCH(_xlfn.CONCAT(TEXT(DATE($A85,$B85,1),"mmm-yy"),$D85),'[1]Demanda requerida 2028'!$CB$71:$DL$71,0),FALSE)</f>
        <v>15793</v>
      </c>
      <c r="Z85" s="9">
        <f>VLOOKUP(Z$1,'[1]Demanda requerida 2028'!$CB$75:$DL$98,MATCH(_xlfn.CONCAT(TEXT(DATE($A85,$B85,1),"mmm-yy"),$D85),'[1]Demanda requerida 2028'!$CB$71:$DL$71,0),FALSE)</f>
        <v>13858</v>
      </c>
      <c r="AA85" s="9">
        <f>VLOOKUP(AA$1,'[1]Demanda requerida 2028'!$CB$75:$DL$98,MATCH(_xlfn.CONCAT(TEXT(DATE($A85,$B85,1),"mmm-yy"),$D85),'[1]Demanda requerida 2028'!$CB$71:$DL$71,0),FALSE)</f>
        <v>11058</v>
      </c>
      <c r="AB85" s="9">
        <f>VLOOKUP(AB$1,'[1]Demanda requerida 2028'!$CB$75:$DL$98,MATCH(_xlfn.CONCAT(TEXT(DATE($A85,$B85,1),"mmm-yy"),$D85),'[1]Demanda requerida 2028'!$CB$71:$DL$71,0),FALSE)</f>
        <v>8012</v>
      </c>
      <c r="AC85" s="86">
        <f t="shared" si="18"/>
        <v>234464</v>
      </c>
      <c r="AD85" s="78"/>
      <c r="AE85" s="85"/>
    </row>
    <row r="86" spans="1:31" x14ac:dyDescent="0.25">
      <c r="A86" s="11">
        <v>2028</v>
      </c>
      <c r="B86" s="12">
        <v>5</v>
      </c>
      <c r="C86" s="12">
        <v>6</v>
      </c>
      <c r="D86" s="12" t="s">
        <v>5</v>
      </c>
      <c r="E86" s="7">
        <f>VLOOKUP(E$1,'[1]Demanda requerida 2028'!$CB$75:$DL$98,MATCH(_xlfn.CONCAT(TEXT(DATE($A86,$B86,1),"mmm-yy"),$D86),'[1]Demanda requerida 2028'!$CB$71:$DL$71,0),FALSE)</f>
        <v>200</v>
      </c>
      <c r="F86" s="7">
        <f>VLOOKUP(F$1,'[1]Demanda requerida 2028'!$CB$75:$DL$98,MATCH(_xlfn.CONCAT(TEXT(DATE($A86,$B86,1),"mmm-yy"),$D86),'[1]Demanda requerida 2028'!$CB$71:$DL$71,0),FALSE)</f>
        <v>200</v>
      </c>
      <c r="G86" s="7">
        <f>VLOOKUP(G$1,'[1]Demanda requerida 2028'!$CB$75:$DL$98,MATCH(_xlfn.CONCAT(TEXT(DATE($A86,$B86,1),"mmm-yy"),$D86),'[1]Demanda requerida 2028'!$CB$71:$DL$71,0),FALSE)</f>
        <v>200</v>
      </c>
      <c r="H86" s="7">
        <f>VLOOKUP(H$1,'[1]Demanda requerida 2028'!$CB$75:$DL$98,MATCH(_xlfn.CONCAT(TEXT(DATE($A86,$B86,1),"mmm-yy"),$D86),'[1]Demanda requerida 2028'!$CB$71:$DL$71,0),FALSE)</f>
        <v>200</v>
      </c>
      <c r="I86" s="7">
        <f>VLOOKUP(I$1,'[1]Demanda requerida 2028'!$CB$75:$DL$98,MATCH(_xlfn.CONCAT(TEXT(DATE($A86,$B86,1),"mmm-yy"),$D86),'[1]Demanda requerida 2028'!$CB$71:$DL$71,0),FALSE)</f>
        <v>200</v>
      </c>
      <c r="J86" s="7">
        <f>VLOOKUP(J$1,'[1]Demanda requerida 2028'!$CB$75:$DL$98,MATCH(_xlfn.CONCAT(TEXT(DATE($A86,$B86,1),"mmm-yy"),$D86),'[1]Demanda requerida 2028'!$CB$71:$DL$71,0),FALSE)</f>
        <v>200</v>
      </c>
      <c r="K86" s="7">
        <f>VLOOKUP(K$1,'[1]Demanda requerida 2028'!$CB$75:$DL$98,MATCH(_xlfn.CONCAT(TEXT(DATE($A86,$B86,1),"mmm-yy"),$D86),'[1]Demanda requerida 2028'!$CB$71:$DL$71,0),FALSE)</f>
        <v>200</v>
      </c>
      <c r="L86" s="7">
        <f>VLOOKUP(L$1,'[1]Demanda requerida 2028'!$CB$75:$DL$98,MATCH(_xlfn.CONCAT(TEXT(DATE($A86,$B86,1),"mmm-yy"),$D86),'[1]Demanda requerida 2028'!$CB$71:$DL$71,0),FALSE)</f>
        <v>200</v>
      </c>
      <c r="M86" s="7">
        <f>VLOOKUP(M$1,'[1]Demanda requerida 2028'!$CB$75:$DL$98,MATCH(_xlfn.CONCAT(TEXT(DATE($A86,$B86,1),"mmm-yy"),$D86),'[1]Demanda requerida 2028'!$CB$71:$DL$71,0),FALSE)</f>
        <v>200</v>
      </c>
      <c r="N86" s="7">
        <f>VLOOKUP(N$1,'[1]Demanda requerida 2028'!$CB$75:$DL$98,MATCH(_xlfn.CONCAT(TEXT(DATE($A86,$B86,1),"mmm-yy"),$D86),'[1]Demanda requerida 2028'!$CB$71:$DL$71,0),FALSE)</f>
        <v>200</v>
      </c>
      <c r="O86" s="7">
        <f>VLOOKUP(O$1,'[1]Demanda requerida 2028'!$CB$75:$DL$98,MATCH(_xlfn.CONCAT(TEXT(DATE($A86,$B86,1),"mmm-yy"),$D86),'[1]Demanda requerida 2028'!$CB$71:$DL$71,0),FALSE)</f>
        <v>200</v>
      </c>
      <c r="P86" s="7">
        <f>VLOOKUP(P$1,'[1]Demanda requerida 2028'!$CB$75:$DL$98,MATCH(_xlfn.CONCAT(TEXT(DATE($A86,$B86,1),"mmm-yy"),$D86),'[1]Demanda requerida 2028'!$CB$71:$DL$71,0),FALSE)</f>
        <v>200</v>
      </c>
      <c r="Q86" s="7">
        <f>VLOOKUP(Q$1,'[1]Demanda requerida 2028'!$CB$75:$DL$98,MATCH(_xlfn.CONCAT(TEXT(DATE($A86,$B86,1),"mmm-yy"),$D86),'[1]Demanda requerida 2028'!$CB$71:$DL$71,0),FALSE)</f>
        <v>200</v>
      </c>
      <c r="R86" s="7">
        <f>VLOOKUP(R$1,'[1]Demanda requerida 2028'!$CB$75:$DL$98,MATCH(_xlfn.CONCAT(TEXT(DATE($A86,$B86,1),"mmm-yy"),$D86),'[1]Demanda requerida 2028'!$CB$71:$DL$71,0),FALSE)</f>
        <v>200</v>
      </c>
      <c r="S86" s="7">
        <f>VLOOKUP(S$1,'[1]Demanda requerida 2028'!$CB$75:$DL$98,MATCH(_xlfn.CONCAT(TEXT(DATE($A86,$B86,1),"mmm-yy"),$D86),'[1]Demanda requerida 2028'!$CB$71:$DL$71,0),FALSE)</f>
        <v>200</v>
      </c>
      <c r="T86" s="7">
        <f>VLOOKUP(T$1,'[1]Demanda requerida 2028'!$CB$75:$DL$98,MATCH(_xlfn.CONCAT(TEXT(DATE($A86,$B86,1),"mmm-yy"),$D86),'[1]Demanda requerida 2028'!$CB$71:$DL$71,0),FALSE)</f>
        <v>200</v>
      </c>
      <c r="U86" s="7">
        <f>VLOOKUP(U$1,'[1]Demanda requerida 2028'!$CB$75:$DL$98,MATCH(_xlfn.CONCAT(TEXT(DATE($A86,$B86,1),"mmm-yy"),$D86),'[1]Demanda requerida 2028'!$CB$71:$DL$71,0),FALSE)</f>
        <v>200</v>
      </c>
      <c r="V86" s="7">
        <f>VLOOKUP(V$1,'[1]Demanda requerida 2028'!$CB$75:$DL$98,MATCH(_xlfn.CONCAT(TEXT(DATE($A86,$B86,1),"mmm-yy"),$D86),'[1]Demanda requerida 2028'!$CB$71:$DL$71,0),FALSE)</f>
        <v>200</v>
      </c>
      <c r="W86" s="7">
        <f>VLOOKUP(W$1,'[1]Demanda requerida 2028'!$CB$75:$DL$98,MATCH(_xlfn.CONCAT(TEXT(DATE($A86,$B86,1),"mmm-yy"),$D86),'[1]Demanda requerida 2028'!$CB$71:$DL$71,0),FALSE)</f>
        <v>200</v>
      </c>
      <c r="X86" s="7">
        <f>VLOOKUP(X$1,'[1]Demanda requerida 2028'!$CB$75:$DL$98,MATCH(_xlfn.CONCAT(TEXT(DATE($A86,$B86,1),"mmm-yy"),$D86),'[1]Demanda requerida 2028'!$CB$71:$DL$71,0),FALSE)</f>
        <v>200</v>
      </c>
      <c r="Y86" s="7">
        <f>VLOOKUP(Y$1,'[1]Demanda requerida 2028'!$CB$75:$DL$98,MATCH(_xlfn.CONCAT(TEXT(DATE($A86,$B86,1),"mmm-yy"),$D86),'[1]Demanda requerida 2028'!$CB$71:$DL$71,0),FALSE)</f>
        <v>200</v>
      </c>
      <c r="Z86" s="7">
        <f>VLOOKUP(Z$1,'[1]Demanda requerida 2028'!$CB$75:$DL$98,MATCH(_xlfn.CONCAT(TEXT(DATE($A86,$B86,1),"mmm-yy"),$D86),'[1]Demanda requerida 2028'!$CB$71:$DL$71,0),FALSE)</f>
        <v>200</v>
      </c>
      <c r="AA86" s="7">
        <f>VLOOKUP(AA$1,'[1]Demanda requerida 2028'!$CB$75:$DL$98,MATCH(_xlfn.CONCAT(TEXT(DATE($A86,$B86,1),"mmm-yy"),$D86),'[1]Demanda requerida 2028'!$CB$71:$DL$71,0),FALSE)</f>
        <v>200</v>
      </c>
      <c r="AB86" s="7">
        <f>VLOOKUP(AB$1,'[1]Demanda requerida 2028'!$CB$75:$DL$98,MATCH(_xlfn.CONCAT(TEXT(DATE($A86,$B86,1),"mmm-yy"),$D86),'[1]Demanda requerida 2028'!$CB$71:$DL$71,0),FALSE)</f>
        <v>200</v>
      </c>
      <c r="AC86" s="82">
        <f>SUM(E86:AB86)</f>
        <v>4800</v>
      </c>
      <c r="AD86" s="76">
        <f t="shared" ref="AD86" si="30">+SUMPRODUCT(AC86:AC88,C86:C88)</f>
        <v>5462581</v>
      </c>
      <c r="AE86" s="85"/>
    </row>
    <row r="87" spans="1:31" x14ac:dyDescent="0.25">
      <c r="A87" s="13">
        <v>2028</v>
      </c>
      <c r="B87" s="1">
        <v>5</v>
      </c>
      <c r="C87" s="1">
        <v>21</v>
      </c>
      <c r="D87" s="1" t="s">
        <v>31</v>
      </c>
      <c r="E87" s="8">
        <f>VLOOKUP(E$1,'[1]Demanda requerida 2028'!$CB$75:$DL$98,MATCH(_xlfn.CONCAT(TEXT(DATE($A87,$B87,1),"mmm-yy"),$D87),'[1]Demanda requerida 2028'!$CB$71:$DL$71,0),FALSE)</f>
        <v>3786</v>
      </c>
      <c r="F87" s="8">
        <f>VLOOKUP(F$1,'[1]Demanda requerida 2028'!$CB$75:$DL$98,MATCH(_xlfn.CONCAT(TEXT(DATE($A87,$B87,1),"mmm-yy"),$D87),'[1]Demanda requerida 2028'!$CB$71:$DL$71,0),FALSE)</f>
        <v>2595</v>
      </c>
      <c r="G87" s="8">
        <f>VLOOKUP(G$1,'[1]Demanda requerida 2028'!$CB$75:$DL$98,MATCH(_xlfn.CONCAT(TEXT(DATE($A87,$B87,1),"mmm-yy"),$D87),'[1]Demanda requerida 2028'!$CB$71:$DL$71,0),FALSE)</f>
        <v>1717</v>
      </c>
      <c r="H87" s="8">
        <f>VLOOKUP(H$1,'[1]Demanda requerida 2028'!$CB$75:$DL$98,MATCH(_xlfn.CONCAT(TEXT(DATE($A87,$B87,1),"mmm-yy"),$D87),'[1]Demanda requerida 2028'!$CB$71:$DL$71,0),FALSE)</f>
        <v>1335</v>
      </c>
      <c r="I87" s="8">
        <f>VLOOKUP(I$1,'[1]Demanda requerida 2028'!$CB$75:$DL$98,MATCH(_xlfn.CONCAT(TEXT(DATE($A87,$B87,1),"mmm-yy"),$D87),'[1]Demanda requerida 2028'!$CB$71:$DL$71,0),FALSE)</f>
        <v>1008</v>
      </c>
      <c r="J87" s="8">
        <f>VLOOKUP(J$1,'[1]Demanda requerida 2028'!$CB$75:$DL$98,MATCH(_xlfn.CONCAT(TEXT(DATE($A87,$B87,1),"mmm-yy"),$D87),'[1]Demanda requerida 2028'!$CB$71:$DL$71,0),FALSE)</f>
        <v>2282</v>
      </c>
      <c r="K87" s="8">
        <f>VLOOKUP(K$1,'[1]Demanda requerida 2028'!$CB$75:$DL$98,MATCH(_xlfn.CONCAT(TEXT(DATE($A87,$B87,1),"mmm-yy"),$D87),'[1]Demanda requerida 2028'!$CB$71:$DL$71,0),FALSE)</f>
        <v>3654</v>
      </c>
      <c r="L87" s="8">
        <f>VLOOKUP(L$1,'[1]Demanda requerida 2028'!$CB$75:$DL$98,MATCH(_xlfn.CONCAT(TEXT(DATE($A87,$B87,1),"mmm-yy"),$D87),'[1]Demanda requerida 2028'!$CB$71:$DL$71,0),FALSE)</f>
        <v>5377</v>
      </c>
      <c r="M87" s="8">
        <f>VLOOKUP(M$1,'[1]Demanda requerida 2028'!$CB$75:$DL$98,MATCH(_xlfn.CONCAT(TEXT(DATE($A87,$B87,1),"mmm-yy"),$D87),'[1]Demanda requerida 2028'!$CB$71:$DL$71,0),FALSE)</f>
        <v>8180</v>
      </c>
      <c r="N87" s="8">
        <f>VLOOKUP(N$1,'[1]Demanda requerida 2028'!$CB$75:$DL$98,MATCH(_xlfn.CONCAT(TEXT(DATE($A87,$B87,1),"mmm-yy"),$D87),'[1]Demanda requerida 2028'!$CB$71:$DL$71,0),FALSE)</f>
        <v>9943</v>
      </c>
      <c r="O87" s="8">
        <f>VLOOKUP(O$1,'[1]Demanda requerida 2028'!$CB$75:$DL$98,MATCH(_xlfn.CONCAT(TEXT(DATE($A87,$B87,1),"mmm-yy"),$D87),'[1]Demanda requerida 2028'!$CB$71:$DL$71,0),FALSE)</f>
        <v>11379</v>
      </c>
      <c r="P87" s="8">
        <f>VLOOKUP(P$1,'[1]Demanda requerida 2028'!$CB$75:$DL$98,MATCH(_xlfn.CONCAT(TEXT(DATE($A87,$B87,1),"mmm-yy"),$D87),'[1]Demanda requerida 2028'!$CB$71:$DL$71,0),FALSE)</f>
        <v>13113</v>
      </c>
      <c r="Q87" s="8">
        <f>VLOOKUP(Q$1,'[1]Demanda requerida 2028'!$CB$75:$DL$98,MATCH(_xlfn.CONCAT(TEXT(DATE($A87,$B87,1),"mmm-yy"),$D87),'[1]Demanda requerida 2028'!$CB$71:$DL$71,0),FALSE)</f>
        <v>13445</v>
      </c>
      <c r="R87" s="8">
        <f>VLOOKUP(R$1,'[1]Demanda requerida 2028'!$CB$75:$DL$98,MATCH(_xlfn.CONCAT(TEXT(DATE($A87,$B87,1),"mmm-yy"),$D87),'[1]Demanda requerida 2028'!$CB$71:$DL$71,0),FALSE)</f>
        <v>13628</v>
      </c>
      <c r="S87" s="8">
        <f>VLOOKUP(S$1,'[1]Demanda requerida 2028'!$CB$75:$DL$98,MATCH(_xlfn.CONCAT(TEXT(DATE($A87,$B87,1),"mmm-yy"),$D87),'[1]Demanda requerida 2028'!$CB$71:$DL$71,0),FALSE)</f>
        <v>13965</v>
      </c>
      <c r="T87" s="8">
        <f>VLOOKUP(T$1,'[1]Demanda requerida 2028'!$CB$75:$DL$98,MATCH(_xlfn.CONCAT(TEXT(DATE($A87,$B87,1),"mmm-yy"),$D87),'[1]Demanda requerida 2028'!$CB$71:$DL$71,0),FALSE)</f>
        <v>13826</v>
      </c>
      <c r="U87" s="8">
        <f>VLOOKUP(U$1,'[1]Demanda requerida 2028'!$CB$75:$DL$98,MATCH(_xlfn.CONCAT(TEXT(DATE($A87,$B87,1),"mmm-yy"),$D87),'[1]Demanda requerida 2028'!$CB$71:$DL$71,0),FALSE)</f>
        <v>13610</v>
      </c>
      <c r="V87" s="8">
        <f>VLOOKUP(V$1,'[1]Demanda requerida 2028'!$CB$75:$DL$98,MATCH(_xlfn.CONCAT(TEXT(DATE($A87,$B87,1),"mmm-yy"),$D87),'[1]Demanda requerida 2028'!$CB$71:$DL$71,0),FALSE)</f>
        <v>14734</v>
      </c>
      <c r="W87" s="8">
        <f>VLOOKUP(W$1,'[1]Demanda requerida 2028'!$CB$75:$DL$98,MATCH(_xlfn.CONCAT(TEXT(DATE($A87,$B87,1),"mmm-yy"),$D87),'[1]Demanda requerida 2028'!$CB$71:$DL$71,0),FALSE)</f>
        <v>16375</v>
      </c>
      <c r="X87" s="8">
        <f>VLOOKUP(X$1,'[1]Demanda requerida 2028'!$CB$75:$DL$98,MATCH(_xlfn.CONCAT(TEXT(DATE($A87,$B87,1),"mmm-yy"),$D87),'[1]Demanda requerida 2028'!$CB$71:$DL$71,0),FALSE)</f>
        <v>17761</v>
      </c>
      <c r="Y87" s="8">
        <f>VLOOKUP(Y$1,'[1]Demanda requerida 2028'!$CB$75:$DL$98,MATCH(_xlfn.CONCAT(TEXT(DATE($A87,$B87,1),"mmm-yy"),$D87),'[1]Demanda requerida 2028'!$CB$71:$DL$71,0),FALSE)</f>
        <v>16773</v>
      </c>
      <c r="Z87" s="8">
        <f>VLOOKUP(Z$1,'[1]Demanda requerida 2028'!$CB$75:$DL$98,MATCH(_xlfn.CONCAT(TEXT(DATE($A87,$B87,1),"mmm-yy"),$D87),'[1]Demanda requerida 2028'!$CB$71:$DL$71,0),FALSE)</f>
        <v>13923</v>
      </c>
      <c r="AA87" s="8">
        <f>VLOOKUP(AA$1,'[1]Demanda requerida 2028'!$CB$75:$DL$98,MATCH(_xlfn.CONCAT(TEXT(DATE($A87,$B87,1),"mmm-yy"),$D87),'[1]Demanda requerida 2028'!$CB$71:$DL$71,0),FALSE)</f>
        <v>10561</v>
      </c>
      <c r="AB87" s="8">
        <f>VLOOKUP(AB$1,'[1]Demanda requerida 2028'!$CB$75:$DL$98,MATCH(_xlfn.CONCAT(TEXT(DATE($A87,$B87,1),"mmm-yy"),$D87),'[1]Demanda requerida 2028'!$CB$71:$DL$71,0),FALSE)</f>
        <v>7415</v>
      </c>
      <c r="AC87" s="84">
        <f t="shared" ref="AC87:AC109" si="31">SUM(E87:AB87)</f>
        <v>230385</v>
      </c>
      <c r="AD87" s="77"/>
      <c r="AE87" s="85"/>
    </row>
    <row r="88" spans="1:31" ht="15.75" thickBot="1" x14ac:dyDescent="0.3">
      <c r="A88" s="14">
        <v>2028</v>
      </c>
      <c r="B88" s="15">
        <v>5</v>
      </c>
      <c r="C88" s="15">
        <v>4</v>
      </c>
      <c r="D88" s="15" t="s">
        <v>6</v>
      </c>
      <c r="E88" s="9">
        <f>VLOOKUP(E$1,'[1]Demanda requerida 2028'!$CB$75:$DL$98,MATCH(_xlfn.CONCAT(TEXT(DATE($A88,$B88,1),"mmm-yy"),$D88),'[1]Demanda requerida 2028'!$CB$71:$DL$71,0),FALSE)</f>
        <v>1520</v>
      </c>
      <c r="F88" s="9">
        <f>VLOOKUP(F$1,'[1]Demanda requerida 2028'!$CB$75:$DL$98,MATCH(_xlfn.CONCAT(TEXT(DATE($A88,$B88,1),"mmm-yy"),$D88),'[1]Demanda requerida 2028'!$CB$71:$DL$71,0),FALSE)</f>
        <v>309</v>
      </c>
      <c r="G88" s="9">
        <f>VLOOKUP(G$1,'[1]Demanda requerida 2028'!$CB$75:$DL$98,MATCH(_xlfn.CONCAT(TEXT(DATE($A88,$B88,1),"mmm-yy"),$D88),'[1]Demanda requerida 2028'!$CB$71:$DL$71,0),FALSE)</f>
        <v>200</v>
      </c>
      <c r="H88" s="9">
        <f>VLOOKUP(H$1,'[1]Demanda requerida 2028'!$CB$75:$DL$98,MATCH(_xlfn.CONCAT(TEXT(DATE($A88,$B88,1),"mmm-yy"),$D88),'[1]Demanda requerida 2028'!$CB$71:$DL$71,0),FALSE)</f>
        <v>200</v>
      </c>
      <c r="I88" s="9">
        <f>VLOOKUP(I$1,'[1]Demanda requerida 2028'!$CB$75:$DL$98,MATCH(_xlfn.CONCAT(TEXT(DATE($A88,$B88,1),"mmm-yy"),$D88),'[1]Demanda requerida 2028'!$CB$71:$DL$71,0),FALSE)</f>
        <v>200</v>
      </c>
      <c r="J88" s="9">
        <f>VLOOKUP(J$1,'[1]Demanda requerida 2028'!$CB$75:$DL$98,MATCH(_xlfn.CONCAT(TEXT(DATE($A88,$B88,1),"mmm-yy"),$D88),'[1]Demanda requerida 2028'!$CB$71:$DL$71,0),FALSE)</f>
        <v>200</v>
      </c>
      <c r="K88" s="9">
        <f>VLOOKUP(K$1,'[1]Demanda requerida 2028'!$CB$75:$DL$98,MATCH(_xlfn.CONCAT(TEXT(DATE($A88,$B88,1),"mmm-yy"),$D88),'[1]Demanda requerida 2028'!$CB$71:$DL$71,0),FALSE)</f>
        <v>200</v>
      </c>
      <c r="L88" s="9">
        <f>VLOOKUP(L$1,'[1]Demanda requerida 2028'!$CB$75:$DL$98,MATCH(_xlfn.CONCAT(TEXT(DATE($A88,$B88,1),"mmm-yy"),$D88),'[1]Demanda requerida 2028'!$CB$71:$DL$71,0),FALSE)</f>
        <v>1613</v>
      </c>
      <c r="M88" s="9">
        <f>VLOOKUP(M$1,'[1]Demanda requerida 2028'!$CB$75:$DL$98,MATCH(_xlfn.CONCAT(TEXT(DATE($A88,$B88,1),"mmm-yy"),$D88),'[1]Demanda requerida 2028'!$CB$71:$DL$71,0),FALSE)</f>
        <v>5067</v>
      </c>
      <c r="N88" s="9">
        <f>VLOOKUP(N$1,'[1]Demanda requerida 2028'!$CB$75:$DL$98,MATCH(_xlfn.CONCAT(TEXT(DATE($A88,$B88,1),"mmm-yy"),$D88),'[1]Demanda requerida 2028'!$CB$71:$DL$71,0),FALSE)</f>
        <v>7269</v>
      </c>
      <c r="O88" s="9">
        <f>VLOOKUP(O$1,'[1]Demanda requerida 2028'!$CB$75:$DL$98,MATCH(_xlfn.CONCAT(TEXT(DATE($A88,$B88,1),"mmm-yy"),$D88),'[1]Demanda requerida 2028'!$CB$71:$DL$71,0),FALSE)</f>
        <v>9075</v>
      </c>
      <c r="P88" s="9">
        <f>VLOOKUP(P$1,'[1]Demanda requerida 2028'!$CB$75:$DL$98,MATCH(_xlfn.CONCAT(TEXT(DATE($A88,$B88,1),"mmm-yy"),$D88),'[1]Demanda requerida 2028'!$CB$71:$DL$71,0),FALSE)</f>
        <v>9786</v>
      </c>
      <c r="Q88" s="9">
        <f>VLOOKUP(Q$1,'[1]Demanda requerida 2028'!$CB$75:$DL$98,MATCH(_xlfn.CONCAT(TEXT(DATE($A88,$B88,1),"mmm-yy"),$D88),'[1]Demanda requerida 2028'!$CB$71:$DL$71,0),FALSE)</f>
        <v>10584</v>
      </c>
      <c r="R88" s="9">
        <f>VLOOKUP(R$1,'[1]Demanda requerida 2028'!$CB$75:$DL$98,MATCH(_xlfn.CONCAT(TEXT(DATE($A88,$B88,1),"mmm-yy"),$D88),'[1]Demanda requerida 2028'!$CB$71:$DL$71,0),FALSE)</f>
        <v>10168</v>
      </c>
      <c r="S88" s="9">
        <f>VLOOKUP(S$1,'[1]Demanda requerida 2028'!$CB$75:$DL$98,MATCH(_xlfn.CONCAT(TEXT(DATE($A88,$B88,1),"mmm-yy"),$D88),'[1]Demanda requerida 2028'!$CB$71:$DL$71,0),FALSE)</f>
        <v>9317</v>
      </c>
      <c r="T88" s="9">
        <f>VLOOKUP(T$1,'[1]Demanda requerida 2028'!$CB$75:$DL$98,MATCH(_xlfn.CONCAT(TEXT(DATE($A88,$B88,1),"mmm-yy"),$D88),'[1]Demanda requerida 2028'!$CB$71:$DL$71,0),FALSE)</f>
        <v>8857</v>
      </c>
      <c r="U88" s="9">
        <f>VLOOKUP(U$1,'[1]Demanda requerida 2028'!$CB$75:$DL$98,MATCH(_xlfn.CONCAT(TEXT(DATE($A88,$B88,1),"mmm-yy"),$D88),'[1]Demanda requerida 2028'!$CB$71:$DL$71,0),FALSE)</f>
        <v>7873</v>
      </c>
      <c r="V88" s="9">
        <f>VLOOKUP(V$1,'[1]Demanda requerida 2028'!$CB$75:$DL$98,MATCH(_xlfn.CONCAT(TEXT(DATE($A88,$B88,1),"mmm-yy"),$D88),'[1]Demanda requerida 2028'!$CB$71:$DL$71,0),FALSE)</f>
        <v>9609</v>
      </c>
      <c r="W88" s="9">
        <f>VLOOKUP(W$1,'[1]Demanda requerida 2028'!$CB$75:$DL$98,MATCH(_xlfn.CONCAT(TEXT(DATE($A88,$B88,1),"mmm-yy"),$D88),'[1]Demanda requerida 2028'!$CB$71:$DL$71,0),FALSE)</f>
        <v>10208</v>
      </c>
      <c r="X88" s="9">
        <f>VLOOKUP(X$1,'[1]Demanda requerida 2028'!$CB$75:$DL$98,MATCH(_xlfn.CONCAT(TEXT(DATE($A88,$B88,1),"mmm-yy"),$D88),'[1]Demanda requerida 2028'!$CB$71:$DL$71,0),FALSE)</f>
        <v>12227</v>
      </c>
      <c r="Y88" s="9">
        <f>VLOOKUP(Y$1,'[1]Demanda requerida 2028'!$CB$75:$DL$98,MATCH(_xlfn.CONCAT(TEXT(DATE($A88,$B88,1),"mmm-yy"),$D88),'[1]Demanda requerida 2028'!$CB$71:$DL$71,0),FALSE)</f>
        <v>11556</v>
      </c>
      <c r="Z88" s="9">
        <f>VLOOKUP(Z$1,'[1]Demanda requerida 2028'!$CB$75:$DL$98,MATCH(_xlfn.CONCAT(TEXT(DATE($A88,$B88,1),"mmm-yy"),$D88),'[1]Demanda requerida 2028'!$CB$71:$DL$71,0),FALSE)</f>
        <v>9824</v>
      </c>
      <c r="AA88" s="9">
        <f>VLOOKUP(AA$1,'[1]Demanda requerida 2028'!$CB$75:$DL$98,MATCH(_xlfn.CONCAT(TEXT(DATE($A88,$B88,1),"mmm-yy"),$D88),'[1]Demanda requerida 2028'!$CB$71:$DL$71,0),FALSE)</f>
        <v>7570</v>
      </c>
      <c r="AB88" s="9">
        <f>VLOOKUP(AB$1,'[1]Demanda requerida 2028'!$CB$75:$DL$98,MATCH(_xlfn.CONCAT(TEXT(DATE($A88,$B88,1),"mmm-yy"),$D88),'[1]Demanda requerida 2028'!$CB$71:$DL$71,0),FALSE)</f>
        <v>5492</v>
      </c>
      <c r="AC88" s="86">
        <f t="shared" si="31"/>
        <v>148924</v>
      </c>
      <c r="AD88" s="78"/>
      <c r="AE88" s="85"/>
    </row>
    <row r="89" spans="1:31" x14ac:dyDescent="0.25">
      <c r="A89" s="11">
        <v>2028</v>
      </c>
      <c r="B89" s="12">
        <v>6</v>
      </c>
      <c r="C89" s="12">
        <v>6</v>
      </c>
      <c r="D89" s="12" t="s">
        <v>5</v>
      </c>
      <c r="E89" s="7">
        <f>VLOOKUP(E$1,'[1]Demanda requerida 2028'!$CB$75:$DL$98,MATCH(_xlfn.CONCAT(TEXT(DATE($A89,$B89,1),"mmm-yy"),$D89),'[1]Demanda requerida 2028'!$CB$71:$DL$71,0),FALSE)</f>
        <v>200</v>
      </c>
      <c r="F89" s="7">
        <f>VLOOKUP(F$1,'[1]Demanda requerida 2028'!$CB$75:$DL$98,MATCH(_xlfn.CONCAT(TEXT(DATE($A89,$B89,1),"mmm-yy"),$D89),'[1]Demanda requerida 2028'!$CB$71:$DL$71,0),FALSE)</f>
        <v>200</v>
      </c>
      <c r="G89" s="7">
        <f>VLOOKUP(G$1,'[1]Demanda requerida 2028'!$CB$75:$DL$98,MATCH(_xlfn.CONCAT(TEXT(DATE($A89,$B89,1),"mmm-yy"),$D89),'[1]Demanda requerida 2028'!$CB$71:$DL$71,0),FALSE)</f>
        <v>200</v>
      </c>
      <c r="H89" s="7">
        <f>VLOOKUP(H$1,'[1]Demanda requerida 2028'!$CB$75:$DL$98,MATCH(_xlfn.CONCAT(TEXT(DATE($A89,$B89,1),"mmm-yy"),$D89),'[1]Demanda requerida 2028'!$CB$71:$DL$71,0),FALSE)</f>
        <v>200</v>
      </c>
      <c r="I89" s="7">
        <f>VLOOKUP(I$1,'[1]Demanda requerida 2028'!$CB$75:$DL$98,MATCH(_xlfn.CONCAT(TEXT(DATE($A89,$B89,1),"mmm-yy"),$D89),'[1]Demanda requerida 2028'!$CB$71:$DL$71,0),FALSE)</f>
        <v>200</v>
      </c>
      <c r="J89" s="7">
        <f>VLOOKUP(J$1,'[1]Demanda requerida 2028'!$CB$75:$DL$98,MATCH(_xlfn.CONCAT(TEXT(DATE($A89,$B89,1),"mmm-yy"),$D89),'[1]Demanda requerida 2028'!$CB$71:$DL$71,0),FALSE)</f>
        <v>200</v>
      </c>
      <c r="K89" s="7">
        <f>VLOOKUP(K$1,'[1]Demanda requerida 2028'!$CB$75:$DL$98,MATCH(_xlfn.CONCAT(TEXT(DATE($A89,$B89,1),"mmm-yy"),$D89),'[1]Demanda requerida 2028'!$CB$71:$DL$71,0),FALSE)</f>
        <v>200</v>
      </c>
      <c r="L89" s="7">
        <f>VLOOKUP(L$1,'[1]Demanda requerida 2028'!$CB$75:$DL$98,MATCH(_xlfn.CONCAT(TEXT(DATE($A89,$B89,1),"mmm-yy"),$D89),'[1]Demanda requerida 2028'!$CB$71:$DL$71,0),FALSE)</f>
        <v>200</v>
      </c>
      <c r="M89" s="7">
        <f>VLOOKUP(M$1,'[1]Demanda requerida 2028'!$CB$75:$DL$98,MATCH(_xlfn.CONCAT(TEXT(DATE($A89,$B89,1),"mmm-yy"),$D89),'[1]Demanda requerida 2028'!$CB$71:$DL$71,0),FALSE)</f>
        <v>200</v>
      </c>
      <c r="N89" s="7">
        <f>VLOOKUP(N$1,'[1]Demanda requerida 2028'!$CB$75:$DL$98,MATCH(_xlfn.CONCAT(TEXT(DATE($A89,$B89,1),"mmm-yy"),$D89),'[1]Demanda requerida 2028'!$CB$71:$DL$71,0),FALSE)</f>
        <v>200</v>
      </c>
      <c r="O89" s="7">
        <f>VLOOKUP(O$1,'[1]Demanda requerida 2028'!$CB$75:$DL$98,MATCH(_xlfn.CONCAT(TEXT(DATE($A89,$B89,1),"mmm-yy"),$D89),'[1]Demanda requerida 2028'!$CB$71:$DL$71,0),FALSE)</f>
        <v>200</v>
      </c>
      <c r="P89" s="7">
        <f>VLOOKUP(P$1,'[1]Demanda requerida 2028'!$CB$75:$DL$98,MATCH(_xlfn.CONCAT(TEXT(DATE($A89,$B89,1),"mmm-yy"),$D89),'[1]Demanda requerida 2028'!$CB$71:$DL$71,0),FALSE)</f>
        <v>200</v>
      </c>
      <c r="Q89" s="7">
        <f>VLOOKUP(Q$1,'[1]Demanda requerida 2028'!$CB$75:$DL$98,MATCH(_xlfn.CONCAT(TEXT(DATE($A89,$B89,1),"mmm-yy"),$D89),'[1]Demanda requerida 2028'!$CB$71:$DL$71,0),FALSE)</f>
        <v>200</v>
      </c>
      <c r="R89" s="7">
        <f>VLOOKUP(R$1,'[1]Demanda requerida 2028'!$CB$75:$DL$98,MATCH(_xlfn.CONCAT(TEXT(DATE($A89,$B89,1),"mmm-yy"),$D89),'[1]Demanda requerida 2028'!$CB$71:$DL$71,0),FALSE)</f>
        <v>200</v>
      </c>
      <c r="S89" s="7">
        <f>VLOOKUP(S$1,'[1]Demanda requerida 2028'!$CB$75:$DL$98,MATCH(_xlfn.CONCAT(TEXT(DATE($A89,$B89,1),"mmm-yy"),$D89),'[1]Demanda requerida 2028'!$CB$71:$DL$71,0),FALSE)</f>
        <v>200</v>
      </c>
      <c r="T89" s="7">
        <f>VLOOKUP(T$1,'[1]Demanda requerida 2028'!$CB$75:$DL$98,MATCH(_xlfn.CONCAT(TEXT(DATE($A89,$B89,1),"mmm-yy"),$D89),'[1]Demanda requerida 2028'!$CB$71:$DL$71,0),FALSE)</f>
        <v>200</v>
      </c>
      <c r="U89" s="7">
        <f>VLOOKUP(U$1,'[1]Demanda requerida 2028'!$CB$75:$DL$98,MATCH(_xlfn.CONCAT(TEXT(DATE($A89,$B89,1),"mmm-yy"),$D89),'[1]Demanda requerida 2028'!$CB$71:$DL$71,0),FALSE)</f>
        <v>200</v>
      </c>
      <c r="V89" s="7">
        <f>VLOOKUP(V$1,'[1]Demanda requerida 2028'!$CB$75:$DL$98,MATCH(_xlfn.CONCAT(TEXT(DATE($A89,$B89,1),"mmm-yy"),$D89),'[1]Demanda requerida 2028'!$CB$71:$DL$71,0),FALSE)</f>
        <v>200</v>
      </c>
      <c r="W89" s="7">
        <f>VLOOKUP(W$1,'[1]Demanda requerida 2028'!$CB$75:$DL$98,MATCH(_xlfn.CONCAT(TEXT(DATE($A89,$B89,1),"mmm-yy"),$D89),'[1]Demanda requerida 2028'!$CB$71:$DL$71,0),FALSE)</f>
        <v>200</v>
      </c>
      <c r="X89" s="7">
        <f>VLOOKUP(X$1,'[1]Demanda requerida 2028'!$CB$75:$DL$98,MATCH(_xlfn.CONCAT(TEXT(DATE($A89,$B89,1),"mmm-yy"),$D89),'[1]Demanda requerida 2028'!$CB$71:$DL$71,0),FALSE)</f>
        <v>200</v>
      </c>
      <c r="Y89" s="7">
        <f>VLOOKUP(Y$1,'[1]Demanda requerida 2028'!$CB$75:$DL$98,MATCH(_xlfn.CONCAT(TEXT(DATE($A89,$B89,1),"mmm-yy"),$D89),'[1]Demanda requerida 2028'!$CB$71:$DL$71,0),FALSE)</f>
        <v>200</v>
      </c>
      <c r="Z89" s="7">
        <f>VLOOKUP(Z$1,'[1]Demanda requerida 2028'!$CB$75:$DL$98,MATCH(_xlfn.CONCAT(TEXT(DATE($A89,$B89,1),"mmm-yy"),$D89),'[1]Demanda requerida 2028'!$CB$71:$DL$71,0),FALSE)</f>
        <v>200</v>
      </c>
      <c r="AA89" s="7">
        <f>VLOOKUP(AA$1,'[1]Demanda requerida 2028'!$CB$75:$DL$98,MATCH(_xlfn.CONCAT(TEXT(DATE($A89,$B89,1),"mmm-yy"),$D89),'[1]Demanda requerida 2028'!$CB$71:$DL$71,0),FALSE)</f>
        <v>200</v>
      </c>
      <c r="AB89" s="7">
        <f>VLOOKUP(AB$1,'[1]Demanda requerida 2028'!$CB$75:$DL$98,MATCH(_xlfn.CONCAT(TEXT(DATE($A89,$B89,1),"mmm-yy"),$D89),'[1]Demanda requerida 2028'!$CB$71:$DL$71,0),FALSE)</f>
        <v>200</v>
      </c>
      <c r="AC89" s="82">
        <f t="shared" si="31"/>
        <v>4800</v>
      </c>
      <c r="AD89" s="76">
        <f t="shared" ref="AD89" si="32">+SUMPRODUCT(AC89:AC91,C89:C91)</f>
        <v>4678440</v>
      </c>
      <c r="AE89" s="85"/>
    </row>
    <row r="90" spans="1:31" x14ac:dyDescent="0.25">
      <c r="A90" s="13">
        <v>2028</v>
      </c>
      <c r="B90" s="1">
        <v>6</v>
      </c>
      <c r="C90" s="1">
        <v>20</v>
      </c>
      <c r="D90" s="1" t="s">
        <v>31</v>
      </c>
      <c r="E90" s="8">
        <f>VLOOKUP(E$1,'[1]Demanda requerida 2028'!$CB$75:$DL$98,MATCH(_xlfn.CONCAT(TEXT(DATE($A90,$B90,1),"mmm-yy"),$D90),'[1]Demanda requerida 2028'!$CB$71:$DL$71,0),FALSE)</f>
        <v>2757</v>
      </c>
      <c r="F90" s="8">
        <f>VLOOKUP(F$1,'[1]Demanda requerida 2028'!$CB$75:$DL$98,MATCH(_xlfn.CONCAT(TEXT(DATE($A90,$B90,1),"mmm-yy"),$D90),'[1]Demanda requerida 2028'!$CB$71:$DL$71,0),FALSE)</f>
        <v>1695</v>
      </c>
      <c r="G90" s="8">
        <f>VLOOKUP(G$1,'[1]Demanda requerida 2028'!$CB$75:$DL$98,MATCH(_xlfn.CONCAT(TEXT(DATE($A90,$B90,1),"mmm-yy"),$D90),'[1]Demanda requerida 2028'!$CB$71:$DL$71,0),FALSE)</f>
        <v>780</v>
      </c>
      <c r="H90" s="8">
        <f>VLOOKUP(H$1,'[1]Demanda requerida 2028'!$CB$75:$DL$98,MATCH(_xlfn.CONCAT(TEXT(DATE($A90,$B90,1),"mmm-yy"),$D90),'[1]Demanda requerida 2028'!$CB$71:$DL$71,0),FALSE)</f>
        <v>307</v>
      </c>
      <c r="I90" s="8">
        <f>VLOOKUP(I$1,'[1]Demanda requerida 2028'!$CB$75:$DL$98,MATCH(_xlfn.CONCAT(TEXT(DATE($A90,$B90,1),"mmm-yy"),$D90),'[1]Demanda requerida 2028'!$CB$71:$DL$71,0),FALSE)</f>
        <v>255</v>
      </c>
      <c r="J90" s="8">
        <f>VLOOKUP(J$1,'[1]Demanda requerida 2028'!$CB$75:$DL$98,MATCH(_xlfn.CONCAT(TEXT(DATE($A90,$B90,1),"mmm-yy"),$D90),'[1]Demanda requerida 2028'!$CB$71:$DL$71,0),FALSE)</f>
        <v>1058</v>
      </c>
      <c r="K90" s="8">
        <f>VLOOKUP(K$1,'[1]Demanda requerida 2028'!$CB$75:$DL$98,MATCH(_xlfn.CONCAT(TEXT(DATE($A90,$B90,1),"mmm-yy"),$D90),'[1]Demanda requerida 2028'!$CB$71:$DL$71,0),FALSE)</f>
        <v>2340</v>
      </c>
      <c r="L90" s="8">
        <f>VLOOKUP(L$1,'[1]Demanda requerida 2028'!$CB$75:$DL$98,MATCH(_xlfn.CONCAT(TEXT(DATE($A90,$B90,1),"mmm-yy"),$D90),'[1]Demanda requerida 2028'!$CB$71:$DL$71,0),FALSE)</f>
        <v>4843</v>
      </c>
      <c r="M90" s="8">
        <f>VLOOKUP(M$1,'[1]Demanda requerida 2028'!$CB$75:$DL$98,MATCH(_xlfn.CONCAT(TEXT(DATE($A90,$B90,1),"mmm-yy"),$D90),'[1]Demanda requerida 2028'!$CB$71:$DL$71,0),FALSE)</f>
        <v>8413</v>
      </c>
      <c r="N90" s="8">
        <f>VLOOKUP(N$1,'[1]Demanda requerida 2028'!$CB$75:$DL$98,MATCH(_xlfn.CONCAT(TEXT(DATE($A90,$B90,1),"mmm-yy"),$D90),'[1]Demanda requerida 2028'!$CB$71:$DL$71,0),FALSE)</f>
        <v>9947</v>
      </c>
      <c r="O90" s="8">
        <f>VLOOKUP(O$1,'[1]Demanda requerida 2028'!$CB$75:$DL$98,MATCH(_xlfn.CONCAT(TEXT(DATE($A90,$B90,1),"mmm-yy"),$D90),'[1]Demanda requerida 2028'!$CB$71:$DL$71,0),FALSE)</f>
        <v>11205</v>
      </c>
      <c r="P90" s="8">
        <f>VLOOKUP(P$1,'[1]Demanda requerida 2028'!$CB$75:$DL$98,MATCH(_xlfn.CONCAT(TEXT(DATE($A90,$B90,1),"mmm-yy"),$D90),'[1]Demanda requerida 2028'!$CB$71:$DL$71,0),FALSE)</f>
        <v>13587</v>
      </c>
      <c r="Q90" s="8">
        <f>VLOOKUP(Q$1,'[1]Demanda requerida 2028'!$CB$75:$DL$98,MATCH(_xlfn.CONCAT(TEXT(DATE($A90,$B90,1),"mmm-yy"),$D90),'[1]Demanda requerida 2028'!$CB$71:$DL$71,0),FALSE)</f>
        <v>13971</v>
      </c>
      <c r="R90" s="8">
        <f>VLOOKUP(R$1,'[1]Demanda requerida 2028'!$CB$75:$DL$98,MATCH(_xlfn.CONCAT(TEXT(DATE($A90,$B90,1),"mmm-yy"),$D90),'[1]Demanda requerida 2028'!$CB$71:$DL$71,0),FALSE)</f>
        <v>13165</v>
      </c>
      <c r="S90" s="8">
        <f>VLOOKUP(S$1,'[1]Demanda requerida 2028'!$CB$75:$DL$98,MATCH(_xlfn.CONCAT(TEXT(DATE($A90,$B90,1),"mmm-yy"),$D90),'[1]Demanda requerida 2028'!$CB$71:$DL$71,0),FALSE)</f>
        <v>12678</v>
      </c>
      <c r="T90" s="8">
        <f>VLOOKUP(T$1,'[1]Demanda requerida 2028'!$CB$75:$DL$98,MATCH(_xlfn.CONCAT(TEXT(DATE($A90,$B90,1),"mmm-yy"),$D90),'[1]Demanda requerida 2028'!$CB$71:$DL$71,0),FALSE)</f>
        <v>12314</v>
      </c>
      <c r="U90" s="8">
        <f>VLOOKUP(U$1,'[1]Demanda requerida 2028'!$CB$75:$DL$98,MATCH(_xlfn.CONCAT(TEXT(DATE($A90,$B90,1),"mmm-yy"),$D90),'[1]Demanda requerida 2028'!$CB$71:$DL$71,0),FALSE)</f>
        <v>11806</v>
      </c>
      <c r="V90" s="8">
        <f>VLOOKUP(V$1,'[1]Demanda requerida 2028'!$CB$75:$DL$98,MATCH(_xlfn.CONCAT(TEXT(DATE($A90,$B90,1),"mmm-yy"),$D90),'[1]Demanda requerida 2028'!$CB$71:$DL$71,0),FALSE)</f>
        <v>13124</v>
      </c>
      <c r="W90" s="8">
        <f>VLOOKUP(W$1,'[1]Demanda requerida 2028'!$CB$75:$DL$98,MATCH(_xlfn.CONCAT(TEXT(DATE($A90,$B90,1),"mmm-yy"),$D90),'[1]Demanda requerida 2028'!$CB$71:$DL$71,0),FALSE)</f>
        <v>14436</v>
      </c>
      <c r="X90" s="8">
        <f>VLOOKUP(X$1,'[1]Demanda requerida 2028'!$CB$75:$DL$98,MATCH(_xlfn.CONCAT(TEXT(DATE($A90,$B90,1),"mmm-yy"),$D90),'[1]Demanda requerida 2028'!$CB$71:$DL$71,0),FALSE)</f>
        <v>15658</v>
      </c>
      <c r="Y90" s="8">
        <f>VLOOKUP(Y$1,'[1]Demanda requerida 2028'!$CB$75:$DL$98,MATCH(_xlfn.CONCAT(TEXT(DATE($A90,$B90,1),"mmm-yy"),$D90),'[1]Demanda requerida 2028'!$CB$71:$DL$71,0),FALSE)</f>
        <v>14559</v>
      </c>
      <c r="Z90" s="8">
        <f>VLOOKUP(Z$1,'[1]Demanda requerida 2028'!$CB$75:$DL$98,MATCH(_xlfn.CONCAT(TEXT(DATE($A90,$B90,1),"mmm-yy"),$D90),'[1]Demanda requerida 2028'!$CB$71:$DL$71,0),FALSE)</f>
        <v>12051</v>
      </c>
      <c r="AA90" s="8">
        <f>VLOOKUP(AA$1,'[1]Demanda requerida 2028'!$CB$75:$DL$98,MATCH(_xlfn.CONCAT(TEXT(DATE($A90,$B90,1),"mmm-yy"),$D90),'[1]Demanda requerida 2028'!$CB$71:$DL$71,0),FALSE)</f>
        <v>9018</v>
      </c>
      <c r="AB90" s="8">
        <f>VLOOKUP(AB$1,'[1]Demanda requerida 2028'!$CB$75:$DL$98,MATCH(_xlfn.CONCAT(TEXT(DATE($A90,$B90,1),"mmm-yy"),$D90),'[1]Demanda requerida 2028'!$CB$71:$DL$71,0),FALSE)</f>
        <v>6097</v>
      </c>
      <c r="AC90" s="84">
        <f t="shared" si="31"/>
        <v>206064</v>
      </c>
      <c r="AD90" s="77"/>
      <c r="AE90" s="85"/>
    </row>
    <row r="91" spans="1:31" ht="15.75" thickBot="1" x14ac:dyDescent="0.3">
      <c r="A91" s="14">
        <v>2028</v>
      </c>
      <c r="B91" s="15">
        <v>6</v>
      </c>
      <c r="C91" s="15">
        <v>4</v>
      </c>
      <c r="D91" s="15" t="s">
        <v>6</v>
      </c>
      <c r="E91" s="9">
        <f>VLOOKUP(E$1,'[1]Demanda requerida 2028'!$CB$75:$DL$98,MATCH(_xlfn.CONCAT(TEXT(DATE($A91,$B91,1),"mmm-yy"),$D91),'[1]Demanda requerida 2028'!$CB$71:$DL$71,0),FALSE)</f>
        <v>1063</v>
      </c>
      <c r="F91" s="9">
        <f>VLOOKUP(F$1,'[1]Demanda requerida 2028'!$CB$75:$DL$98,MATCH(_xlfn.CONCAT(TEXT(DATE($A91,$B91,1),"mmm-yy"),$D91),'[1]Demanda requerida 2028'!$CB$71:$DL$71,0),FALSE)</f>
        <v>95</v>
      </c>
      <c r="G91" s="9">
        <f>VLOOKUP(G$1,'[1]Demanda requerida 2028'!$CB$75:$DL$98,MATCH(_xlfn.CONCAT(TEXT(DATE($A91,$B91,1),"mmm-yy"),$D91),'[1]Demanda requerida 2028'!$CB$71:$DL$71,0),FALSE)</f>
        <v>200</v>
      </c>
      <c r="H91" s="9">
        <f>VLOOKUP(H$1,'[1]Demanda requerida 2028'!$CB$75:$DL$98,MATCH(_xlfn.CONCAT(TEXT(DATE($A91,$B91,1),"mmm-yy"),$D91),'[1]Demanda requerida 2028'!$CB$71:$DL$71,0),FALSE)</f>
        <v>200</v>
      </c>
      <c r="I91" s="9">
        <f>VLOOKUP(I$1,'[1]Demanda requerida 2028'!$CB$75:$DL$98,MATCH(_xlfn.CONCAT(TEXT(DATE($A91,$B91,1),"mmm-yy"),$D91),'[1]Demanda requerida 2028'!$CB$71:$DL$71,0),FALSE)</f>
        <v>200</v>
      </c>
      <c r="J91" s="9">
        <f>VLOOKUP(J$1,'[1]Demanda requerida 2028'!$CB$75:$DL$98,MATCH(_xlfn.CONCAT(TEXT(DATE($A91,$B91,1),"mmm-yy"),$D91),'[1]Demanda requerida 2028'!$CB$71:$DL$71,0),FALSE)</f>
        <v>200</v>
      </c>
      <c r="K91" s="9">
        <f>VLOOKUP(K$1,'[1]Demanda requerida 2028'!$CB$75:$DL$98,MATCH(_xlfn.CONCAT(TEXT(DATE($A91,$B91,1),"mmm-yy"),$D91),'[1]Demanda requerida 2028'!$CB$71:$DL$71,0),FALSE)</f>
        <v>200</v>
      </c>
      <c r="L91" s="9">
        <f>VLOOKUP(L$1,'[1]Demanda requerida 2028'!$CB$75:$DL$98,MATCH(_xlfn.CONCAT(TEXT(DATE($A91,$B91,1),"mmm-yy"),$D91),'[1]Demanda requerida 2028'!$CB$71:$DL$71,0),FALSE)</f>
        <v>1165</v>
      </c>
      <c r="M91" s="9">
        <f>VLOOKUP(M$1,'[1]Demanda requerida 2028'!$CB$75:$DL$98,MATCH(_xlfn.CONCAT(TEXT(DATE($A91,$B91,1),"mmm-yy"),$D91),'[1]Demanda requerida 2028'!$CB$71:$DL$71,0),FALSE)</f>
        <v>4477</v>
      </c>
      <c r="N91" s="9">
        <f>VLOOKUP(N$1,'[1]Demanda requerida 2028'!$CB$75:$DL$98,MATCH(_xlfn.CONCAT(TEXT(DATE($A91,$B91,1),"mmm-yy"),$D91),'[1]Demanda requerida 2028'!$CB$71:$DL$71,0),FALSE)</f>
        <v>6072</v>
      </c>
      <c r="O91" s="9">
        <f>VLOOKUP(O$1,'[1]Demanda requerida 2028'!$CB$75:$DL$98,MATCH(_xlfn.CONCAT(TEXT(DATE($A91,$B91,1),"mmm-yy"),$D91),'[1]Demanda requerida 2028'!$CB$71:$DL$71,0),FALSE)</f>
        <v>7271</v>
      </c>
      <c r="P91" s="9">
        <f>VLOOKUP(P$1,'[1]Demanda requerida 2028'!$CB$75:$DL$98,MATCH(_xlfn.CONCAT(TEXT(DATE($A91,$B91,1),"mmm-yy"),$D91),'[1]Demanda requerida 2028'!$CB$71:$DL$71,0),FALSE)</f>
        <v>8788</v>
      </c>
      <c r="Q91" s="9">
        <f>VLOOKUP(Q$1,'[1]Demanda requerida 2028'!$CB$75:$DL$98,MATCH(_xlfn.CONCAT(TEXT(DATE($A91,$B91,1),"mmm-yy"),$D91),'[1]Demanda requerida 2028'!$CB$71:$DL$71,0),FALSE)</f>
        <v>8869</v>
      </c>
      <c r="R91" s="9">
        <f>VLOOKUP(R$1,'[1]Demanda requerida 2028'!$CB$75:$DL$98,MATCH(_xlfn.CONCAT(TEXT(DATE($A91,$B91,1),"mmm-yy"),$D91),'[1]Demanda requerida 2028'!$CB$71:$DL$71,0),FALSE)</f>
        <v>8260</v>
      </c>
      <c r="S91" s="9">
        <f>VLOOKUP(S$1,'[1]Demanda requerida 2028'!$CB$75:$DL$98,MATCH(_xlfn.CONCAT(TEXT(DATE($A91,$B91,1),"mmm-yy"),$D91),'[1]Demanda requerida 2028'!$CB$71:$DL$71,0),FALSE)</f>
        <v>7498</v>
      </c>
      <c r="T91" s="9">
        <f>VLOOKUP(T$1,'[1]Demanda requerida 2028'!$CB$75:$DL$98,MATCH(_xlfn.CONCAT(TEXT(DATE($A91,$B91,1),"mmm-yy"),$D91),'[1]Demanda requerida 2028'!$CB$71:$DL$71,0),FALSE)</f>
        <v>6779</v>
      </c>
      <c r="U91" s="9">
        <f>VLOOKUP(U$1,'[1]Demanda requerida 2028'!$CB$75:$DL$98,MATCH(_xlfn.CONCAT(TEXT(DATE($A91,$B91,1),"mmm-yy"),$D91),'[1]Demanda requerida 2028'!$CB$71:$DL$71,0),FALSE)</f>
        <v>6736</v>
      </c>
      <c r="V91" s="9">
        <f>VLOOKUP(V$1,'[1]Demanda requerida 2028'!$CB$75:$DL$98,MATCH(_xlfn.CONCAT(TEXT(DATE($A91,$B91,1),"mmm-yy"),$D91),'[1]Demanda requerida 2028'!$CB$71:$DL$71,0),FALSE)</f>
        <v>8934</v>
      </c>
      <c r="W91" s="9">
        <f>VLOOKUP(W$1,'[1]Demanda requerida 2028'!$CB$75:$DL$98,MATCH(_xlfn.CONCAT(TEXT(DATE($A91,$B91,1),"mmm-yy"),$D91),'[1]Demanda requerida 2028'!$CB$71:$DL$71,0),FALSE)</f>
        <v>10703</v>
      </c>
      <c r="X91" s="9">
        <f>VLOOKUP(X$1,'[1]Demanda requerida 2028'!$CB$75:$DL$98,MATCH(_xlfn.CONCAT(TEXT(DATE($A91,$B91,1),"mmm-yy"),$D91),'[1]Demanda requerida 2028'!$CB$71:$DL$71,0),FALSE)</f>
        <v>12073</v>
      </c>
      <c r="Y91" s="9">
        <f>VLOOKUP(Y$1,'[1]Demanda requerida 2028'!$CB$75:$DL$98,MATCH(_xlfn.CONCAT(TEXT(DATE($A91,$B91,1),"mmm-yy"),$D91),'[1]Demanda requerida 2028'!$CB$71:$DL$71,0),FALSE)</f>
        <v>11418</v>
      </c>
      <c r="Z91" s="9">
        <f>VLOOKUP(Z$1,'[1]Demanda requerida 2028'!$CB$75:$DL$98,MATCH(_xlfn.CONCAT(TEXT(DATE($A91,$B91,1),"mmm-yy"),$D91),'[1]Demanda requerida 2028'!$CB$71:$DL$71,0),FALSE)</f>
        <v>9346</v>
      </c>
      <c r="AA91" s="9">
        <f>VLOOKUP(AA$1,'[1]Demanda requerida 2028'!$CB$75:$DL$98,MATCH(_xlfn.CONCAT(TEXT(DATE($A91,$B91,1),"mmm-yy"),$D91),'[1]Demanda requerida 2028'!$CB$71:$DL$71,0),FALSE)</f>
        <v>6957</v>
      </c>
      <c r="AB91" s="9">
        <f>VLOOKUP(AB$1,'[1]Demanda requerida 2028'!$CB$75:$DL$98,MATCH(_xlfn.CONCAT(TEXT(DATE($A91,$B91,1),"mmm-yy"),$D91),'[1]Demanda requerida 2028'!$CB$71:$DL$71,0),FALSE)</f>
        <v>4586</v>
      </c>
      <c r="AC91" s="86">
        <f t="shared" si="31"/>
        <v>132090</v>
      </c>
      <c r="AD91" s="78"/>
      <c r="AE91" s="85"/>
    </row>
    <row r="92" spans="1:31" x14ac:dyDescent="0.25">
      <c r="A92" s="11">
        <v>2028</v>
      </c>
      <c r="B92" s="12">
        <v>7</v>
      </c>
      <c r="C92" s="12">
        <v>7</v>
      </c>
      <c r="D92" s="12" t="s">
        <v>5</v>
      </c>
      <c r="E92" s="7">
        <f>VLOOKUP(E$1,'[1]Demanda requerida 2028'!$CB$75:$DL$98,MATCH(_xlfn.CONCAT(TEXT(DATE($A92,$B92,1),"mmm-yy"),$D92),'[1]Demanda requerida 2028'!$CB$71:$DL$71,0),FALSE)</f>
        <v>200</v>
      </c>
      <c r="F92" s="7">
        <f>VLOOKUP(F$1,'[1]Demanda requerida 2028'!$CB$75:$DL$98,MATCH(_xlfn.CONCAT(TEXT(DATE($A92,$B92,1),"mmm-yy"),$D92),'[1]Demanda requerida 2028'!$CB$71:$DL$71,0),FALSE)</f>
        <v>200</v>
      </c>
      <c r="G92" s="7">
        <f>VLOOKUP(G$1,'[1]Demanda requerida 2028'!$CB$75:$DL$98,MATCH(_xlfn.CONCAT(TEXT(DATE($A92,$B92,1),"mmm-yy"),$D92),'[1]Demanda requerida 2028'!$CB$71:$DL$71,0),FALSE)</f>
        <v>200</v>
      </c>
      <c r="H92" s="7">
        <f>VLOOKUP(H$1,'[1]Demanda requerida 2028'!$CB$75:$DL$98,MATCH(_xlfn.CONCAT(TEXT(DATE($A92,$B92,1),"mmm-yy"),$D92),'[1]Demanda requerida 2028'!$CB$71:$DL$71,0),FALSE)</f>
        <v>200</v>
      </c>
      <c r="I92" s="7">
        <f>VLOOKUP(I$1,'[1]Demanda requerida 2028'!$CB$75:$DL$98,MATCH(_xlfn.CONCAT(TEXT(DATE($A92,$B92,1),"mmm-yy"),$D92),'[1]Demanda requerida 2028'!$CB$71:$DL$71,0),FALSE)</f>
        <v>200</v>
      </c>
      <c r="J92" s="7">
        <f>VLOOKUP(J$1,'[1]Demanda requerida 2028'!$CB$75:$DL$98,MATCH(_xlfn.CONCAT(TEXT(DATE($A92,$B92,1),"mmm-yy"),$D92),'[1]Demanda requerida 2028'!$CB$71:$DL$71,0),FALSE)</f>
        <v>200</v>
      </c>
      <c r="K92" s="7">
        <f>VLOOKUP(K$1,'[1]Demanda requerida 2028'!$CB$75:$DL$98,MATCH(_xlfn.CONCAT(TEXT(DATE($A92,$B92,1),"mmm-yy"),$D92),'[1]Demanda requerida 2028'!$CB$71:$DL$71,0),FALSE)</f>
        <v>200</v>
      </c>
      <c r="L92" s="7">
        <f>VLOOKUP(L$1,'[1]Demanda requerida 2028'!$CB$75:$DL$98,MATCH(_xlfn.CONCAT(TEXT(DATE($A92,$B92,1),"mmm-yy"),$D92),'[1]Demanda requerida 2028'!$CB$71:$DL$71,0),FALSE)</f>
        <v>200</v>
      </c>
      <c r="M92" s="7">
        <f>VLOOKUP(M$1,'[1]Demanda requerida 2028'!$CB$75:$DL$98,MATCH(_xlfn.CONCAT(TEXT(DATE($A92,$B92,1),"mmm-yy"),$D92),'[1]Demanda requerida 2028'!$CB$71:$DL$71,0),FALSE)</f>
        <v>200</v>
      </c>
      <c r="N92" s="7">
        <f>VLOOKUP(N$1,'[1]Demanda requerida 2028'!$CB$75:$DL$98,MATCH(_xlfn.CONCAT(TEXT(DATE($A92,$B92,1),"mmm-yy"),$D92),'[1]Demanda requerida 2028'!$CB$71:$DL$71,0),FALSE)</f>
        <v>200</v>
      </c>
      <c r="O92" s="7">
        <f>VLOOKUP(O$1,'[1]Demanda requerida 2028'!$CB$75:$DL$98,MATCH(_xlfn.CONCAT(TEXT(DATE($A92,$B92,1),"mmm-yy"),$D92),'[1]Demanda requerida 2028'!$CB$71:$DL$71,0),FALSE)</f>
        <v>200</v>
      </c>
      <c r="P92" s="7">
        <f>VLOOKUP(P$1,'[1]Demanda requerida 2028'!$CB$75:$DL$98,MATCH(_xlfn.CONCAT(TEXT(DATE($A92,$B92,1),"mmm-yy"),$D92),'[1]Demanda requerida 2028'!$CB$71:$DL$71,0),FALSE)</f>
        <v>200</v>
      </c>
      <c r="Q92" s="7">
        <f>VLOOKUP(Q$1,'[1]Demanda requerida 2028'!$CB$75:$DL$98,MATCH(_xlfn.CONCAT(TEXT(DATE($A92,$B92,1),"mmm-yy"),$D92),'[1]Demanda requerida 2028'!$CB$71:$DL$71,0),FALSE)</f>
        <v>200</v>
      </c>
      <c r="R92" s="7">
        <f>VLOOKUP(R$1,'[1]Demanda requerida 2028'!$CB$75:$DL$98,MATCH(_xlfn.CONCAT(TEXT(DATE($A92,$B92,1),"mmm-yy"),$D92),'[1]Demanda requerida 2028'!$CB$71:$DL$71,0),FALSE)</f>
        <v>200</v>
      </c>
      <c r="S92" s="7">
        <f>VLOOKUP(S$1,'[1]Demanda requerida 2028'!$CB$75:$DL$98,MATCH(_xlfn.CONCAT(TEXT(DATE($A92,$B92,1),"mmm-yy"),$D92),'[1]Demanda requerida 2028'!$CB$71:$DL$71,0),FALSE)</f>
        <v>200</v>
      </c>
      <c r="T92" s="7">
        <f>VLOOKUP(T$1,'[1]Demanda requerida 2028'!$CB$75:$DL$98,MATCH(_xlfn.CONCAT(TEXT(DATE($A92,$B92,1),"mmm-yy"),$D92),'[1]Demanda requerida 2028'!$CB$71:$DL$71,0),FALSE)</f>
        <v>200</v>
      </c>
      <c r="U92" s="7">
        <f>VLOOKUP(U$1,'[1]Demanda requerida 2028'!$CB$75:$DL$98,MATCH(_xlfn.CONCAT(TEXT(DATE($A92,$B92,1),"mmm-yy"),$D92),'[1]Demanda requerida 2028'!$CB$71:$DL$71,0),FALSE)</f>
        <v>200</v>
      </c>
      <c r="V92" s="7">
        <f>VLOOKUP(V$1,'[1]Demanda requerida 2028'!$CB$75:$DL$98,MATCH(_xlfn.CONCAT(TEXT(DATE($A92,$B92,1),"mmm-yy"),$D92),'[1]Demanda requerida 2028'!$CB$71:$DL$71,0),FALSE)</f>
        <v>200</v>
      </c>
      <c r="W92" s="7">
        <f>VLOOKUP(W$1,'[1]Demanda requerida 2028'!$CB$75:$DL$98,MATCH(_xlfn.CONCAT(TEXT(DATE($A92,$B92,1),"mmm-yy"),$D92),'[1]Demanda requerida 2028'!$CB$71:$DL$71,0),FALSE)</f>
        <v>318</v>
      </c>
      <c r="X92" s="7">
        <f>VLOOKUP(X$1,'[1]Demanda requerida 2028'!$CB$75:$DL$98,MATCH(_xlfn.CONCAT(TEXT(DATE($A92,$B92,1),"mmm-yy"),$D92),'[1]Demanda requerida 2028'!$CB$71:$DL$71,0),FALSE)</f>
        <v>1892</v>
      </c>
      <c r="Y92" s="7">
        <f>VLOOKUP(Y$1,'[1]Demanda requerida 2028'!$CB$75:$DL$98,MATCH(_xlfn.CONCAT(TEXT(DATE($A92,$B92,1),"mmm-yy"),$D92),'[1]Demanda requerida 2028'!$CB$71:$DL$71,0),FALSE)</f>
        <v>1214</v>
      </c>
      <c r="Z92" s="7">
        <f>VLOOKUP(Z$1,'[1]Demanda requerida 2028'!$CB$75:$DL$98,MATCH(_xlfn.CONCAT(TEXT(DATE($A92,$B92,1),"mmm-yy"),$D92),'[1]Demanda requerida 2028'!$CB$71:$DL$71,0),FALSE)</f>
        <v>200</v>
      </c>
      <c r="AA92" s="7">
        <f>VLOOKUP(AA$1,'[1]Demanda requerida 2028'!$CB$75:$DL$98,MATCH(_xlfn.CONCAT(TEXT(DATE($A92,$B92,1),"mmm-yy"),$D92),'[1]Demanda requerida 2028'!$CB$71:$DL$71,0),FALSE)</f>
        <v>200</v>
      </c>
      <c r="AB92" s="7">
        <f>VLOOKUP(AB$1,'[1]Demanda requerida 2028'!$CB$75:$DL$98,MATCH(_xlfn.CONCAT(TEXT(DATE($A92,$B92,1),"mmm-yy"),$D92),'[1]Demanda requerida 2028'!$CB$71:$DL$71,0),FALSE)</f>
        <v>200</v>
      </c>
      <c r="AC92" s="82">
        <f t="shared" si="31"/>
        <v>7624</v>
      </c>
      <c r="AD92" s="76">
        <f t="shared" ref="AD92" si="33">+SUMPRODUCT(AC92:AC94,C92:C94)</f>
        <v>4746122</v>
      </c>
      <c r="AE92" s="85"/>
    </row>
    <row r="93" spans="1:31" x14ac:dyDescent="0.25">
      <c r="A93" s="13">
        <v>2028</v>
      </c>
      <c r="B93" s="1">
        <v>7</v>
      </c>
      <c r="C93" s="1">
        <v>19</v>
      </c>
      <c r="D93" s="1" t="s">
        <v>31</v>
      </c>
      <c r="E93" s="8">
        <f>VLOOKUP(E$1,'[1]Demanda requerida 2028'!$CB$75:$DL$98,MATCH(_xlfn.CONCAT(TEXT(DATE($A93,$B93,1),"mmm-yy"),$D93),'[1]Demanda requerida 2028'!$CB$71:$DL$71,0),FALSE)</f>
        <v>2949</v>
      </c>
      <c r="F93" s="8">
        <f>VLOOKUP(F$1,'[1]Demanda requerida 2028'!$CB$75:$DL$98,MATCH(_xlfn.CONCAT(TEXT(DATE($A93,$B93,1),"mmm-yy"),$D93),'[1]Demanda requerida 2028'!$CB$71:$DL$71,0),FALSE)</f>
        <v>1872</v>
      </c>
      <c r="G93" s="8">
        <f>VLOOKUP(G$1,'[1]Demanda requerida 2028'!$CB$75:$DL$98,MATCH(_xlfn.CONCAT(TEXT(DATE($A93,$B93,1),"mmm-yy"),$D93),'[1]Demanda requerida 2028'!$CB$71:$DL$71,0),FALSE)</f>
        <v>977</v>
      </c>
      <c r="H93" s="8">
        <f>VLOOKUP(H$1,'[1]Demanda requerida 2028'!$CB$75:$DL$98,MATCH(_xlfn.CONCAT(TEXT(DATE($A93,$B93,1),"mmm-yy"),$D93),'[1]Demanda requerida 2028'!$CB$71:$DL$71,0),FALSE)</f>
        <v>357</v>
      </c>
      <c r="I93" s="8">
        <f>VLOOKUP(I$1,'[1]Demanda requerida 2028'!$CB$75:$DL$98,MATCH(_xlfn.CONCAT(TEXT(DATE($A93,$B93,1),"mmm-yy"),$D93),'[1]Demanda requerida 2028'!$CB$71:$DL$71,0),FALSE)</f>
        <v>310</v>
      </c>
      <c r="J93" s="8">
        <f>VLOOKUP(J$1,'[1]Demanda requerida 2028'!$CB$75:$DL$98,MATCH(_xlfn.CONCAT(TEXT(DATE($A93,$B93,1),"mmm-yy"),$D93),'[1]Demanda requerida 2028'!$CB$71:$DL$71,0),FALSE)</f>
        <v>1545</v>
      </c>
      <c r="K93" s="8">
        <f>VLOOKUP(K$1,'[1]Demanda requerida 2028'!$CB$75:$DL$98,MATCH(_xlfn.CONCAT(TEXT(DATE($A93,$B93,1),"mmm-yy"),$D93),'[1]Demanda requerida 2028'!$CB$71:$DL$71,0),FALSE)</f>
        <v>2883</v>
      </c>
      <c r="L93" s="8">
        <f>VLOOKUP(L$1,'[1]Demanda requerida 2028'!$CB$75:$DL$98,MATCH(_xlfn.CONCAT(TEXT(DATE($A93,$B93,1),"mmm-yy"),$D93),'[1]Demanda requerida 2028'!$CB$71:$DL$71,0),FALSE)</f>
        <v>4723</v>
      </c>
      <c r="M93" s="8">
        <f>VLOOKUP(M$1,'[1]Demanda requerida 2028'!$CB$75:$DL$98,MATCH(_xlfn.CONCAT(TEXT(DATE($A93,$B93,1),"mmm-yy"),$D93),'[1]Demanda requerida 2028'!$CB$71:$DL$71,0),FALSE)</f>
        <v>7431</v>
      </c>
      <c r="N93" s="8">
        <f>VLOOKUP(N$1,'[1]Demanda requerida 2028'!$CB$75:$DL$98,MATCH(_xlfn.CONCAT(TEXT(DATE($A93,$B93,1),"mmm-yy"),$D93),'[1]Demanda requerida 2028'!$CB$71:$DL$71,0),FALSE)</f>
        <v>9035</v>
      </c>
      <c r="O93" s="8">
        <f>VLOOKUP(O$1,'[1]Demanda requerida 2028'!$CB$75:$DL$98,MATCH(_xlfn.CONCAT(TEXT(DATE($A93,$B93,1),"mmm-yy"),$D93),'[1]Demanda requerida 2028'!$CB$71:$DL$71,0),FALSE)</f>
        <v>10752</v>
      </c>
      <c r="P93" s="8">
        <f>VLOOKUP(P$1,'[1]Demanda requerida 2028'!$CB$75:$DL$98,MATCH(_xlfn.CONCAT(TEXT(DATE($A93,$B93,1),"mmm-yy"),$D93),'[1]Demanda requerida 2028'!$CB$71:$DL$71,0),FALSE)</f>
        <v>12490</v>
      </c>
      <c r="Q93" s="8">
        <f>VLOOKUP(Q$1,'[1]Demanda requerida 2028'!$CB$75:$DL$98,MATCH(_xlfn.CONCAT(TEXT(DATE($A93,$B93,1),"mmm-yy"),$D93),'[1]Demanda requerida 2028'!$CB$71:$DL$71,0),FALSE)</f>
        <v>12573</v>
      </c>
      <c r="R93" s="8">
        <f>VLOOKUP(R$1,'[1]Demanda requerida 2028'!$CB$75:$DL$98,MATCH(_xlfn.CONCAT(TEXT(DATE($A93,$B93,1),"mmm-yy"),$D93),'[1]Demanda requerida 2028'!$CB$71:$DL$71,0),FALSE)</f>
        <v>12924</v>
      </c>
      <c r="S93" s="8">
        <f>VLOOKUP(S$1,'[1]Demanda requerida 2028'!$CB$75:$DL$98,MATCH(_xlfn.CONCAT(TEXT(DATE($A93,$B93,1),"mmm-yy"),$D93),'[1]Demanda requerida 2028'!$CB$71:$DL$71,0),FALSE)</f>
        <v>13271</v>
      </c>
      <c r="T93" s="8">
        <f>VLOOKUP(T$1,'[1]Demanda requerida 2028'!$CB$75:$DL$98,MATCH(_xlfn.CONCAT(TEXT(DATE($A93,$B93,1),"mmm-yy"),$D93),'[1]Demanda requerida 2028'!$CB$71:$DL$71,0),FALSE)</f>
        <v>11812</v>
      </c>
      <c r="U93" s="8">
        <f>VLOOKUP(U$1,'[1]Demanda requerida 2028'!$CB$75:$DL$98,MATCH(_xlfn.CONCAT(TEXT(DATE($A93,$B93,1),"mmm-yy"),$D93),'[1]Demanda requerida 2028'!$CB$71:$DL$71,0),FALSE)</f>
        <v>11264</v>
      </c>
      <c r="V93" s="8">
        <f>VLOOKUP(V$1,'[1]Demanda requerida 2028'!$CB$75:$DL$98,MATCH(_xlfn.CONCAT(TEXT(DATE($A93,$B93,1),"mmm-yy"),$D93),'[1]Demanda requerida 2028'!$CB$71:$DL$71,0),FALSE)</f>
        <v>13168</v>
      </c>
      <c r="W93" s="8">
        <f>VLOOKUP(W$1,'[1]Demanda requerida 2028'!$CB$75:$DL$98,MATCH(_xlfn.CONCAT(TEXT(DATE($A93,$B93,1),"mmm-yy"),$D93),'[1]Demanda requerida 2028'!$CB$71:$DL$71,0),FALSE)</f>
        <v>14490</v>
      </c>
      <c r="X93" s="8">
        <f>VLOOKUP(X$1,'[1]Demanda requerida 2028'!$CB$75:$DL$98,MATCH(_xlfn.CONCAT(TEXT(DATE($A93,$B93,1),"mmm-yy"),$D93),'[1]Demanda requerida 2028'!$CB$71:$DL$71,0),FALSE)</f>
        <v>16478</v>
      </c>
      <c r="Y93" s="8">
        <f>VLOOKUP(Y$1,'[1]Demanda requerida 2028'!$CB$75:$DL$98,MATCH(_xlfn.CONCAT(TEXT(DATE($A93,$B93,1),"mmm-yy"),$D93),'[1]Demanda requerida 2028'!$CB$71:$DL$71,0),FALSE)</f>
        <v>15388</v>
      </c>
      <c r="Z93" s="8">
        <f>VLOOKUP(Z$1,'[1]Demanda requerida 2028'!$CB$75:$DL$98,MATCH(_xlfn.CONCAT(TEXT(DATE($A93,$B93,1),"mmm-yy"),$D93),'[1]Demanda requerida 2028'!$CB$71:$DL$71,0),FALSE)</f>
        <v>12662</v>
      </c>
      <c r="AA93" s="8">
        <f>VLOOKUP(AA$1,'[1]Demanda requerida 2028'!$CB$75:$DL$98,MATCH(_xlfn.CONCAT(TEXT(DATE($A93,$B93,1),"mmm-yy"),$D93),'[1]Demanda requerida 2028'!$CB$71:$DL$71,0),FALSE)</f>
        <v>8933</v>
      </c>
      <c r="AB93" s="8">
        <f>VLOOKUP(AB$1,'[1]Demanda requerida 2028'!$CB$75:$DL$98,MATCH(_xlfn.CONCAT(TEXT(DATE($A93,$B93,1),"mmm-yy"),$D93),'[1]Demanda requerida 2028'!$CB$71:$DL$71,0),FALSE)</f>
        <v>5824</v>
      </c>
      <c r="AC93" s="84">
        <f t="shared" si="31"/>
        <v>204111</v>
      </c>
      <c r="AD93" s="77"/>
      <c r="AE93" s="85"/>
    </row>
    <row r="94" spans="1:31" ht="15.75" thickBot="1" x14ac:dyDescent="0.3">
      <c r="A94" s="14">
        <v>2028</v>
      </c>
      <c r="B94" s="15">
        <v>7</v>
      </c>
      <c r="C94" s="15">
        <v>5</v>
      </c>
      <c r="D94" s="15" t="s">
        <v>6</v>
      </c>
      <c r="E94" s="9">
        <f>VLOOKUP(E$1,'[1]Demanda requerida 2028'!$CB$75:$DL$98,MATCH(_xlfn.CONCAT(TEXT(DATE($A94,$B94,1),"mmm-yy"),$D94),'[1]Demanda requerida 2028'!$CB$71:$DL$71,0),FALSE)</f>
        <v>262</v>
      </c>
      <c r="F94" s="9">
        <f>VLOOKUP(F$1,'[1]Demanda requerida 2028'!$CB$75:$DL$98,MATCH(_xlfn.CONCAT(TEXT(DATE($A94,$B94,1),"mmm-yy"),$D94),'[1]Demanda requerida 2028'!$CB$71:$DL$71,0),FALSE)</f>
        <v>200</v>
      </c>
      <c r="G94" s="9">
        <f>VLOOKUP(G$1,'[1]Demanda requerida 2028'!$CB$75:$DL$98,MATCH(_xlfn.CONCAT(TEXT(DATE($A94,$B94,1),"mmm-yy"),$D94),'[1]Demanda requerida 2028'!$CB$71:$DL$71,0),FALSE)</f>
        <v>200</v>
      </c>
      <c r="H94" s="9">
        <f>VLOOKUP(H$1,'[1]Demanda requerida 2028'!$CB$75:$DL$98,MATCH(_xlfn.CONCAT(TEXT(DATE($A94,$B94,1),"mmm-yy"),$D94),'[1]Demanda requerida 2028'!$CB$71:$DL$71,0),FALSE)</f>
        <v>200</v>
      </c>
      <c r="I94" s="9">
        <f>VLOOKUP(I$1,'[1]Demanda requerida 2028'!$CB$75:$DL$98,MATCH(_xlfn.CONCAT(TEXT(DATE($A94,$B94,1),"mmm-yy"),$D94),'[1]Demanda requerida 2028'!$CB$71:$DL$71,0),FALSE)</f>
        <v>200</v>
      </c>
      <c r="J94" s="9">
        <f>VLOOKUP(J$1,'[1]Demanda requerida 2028'!$CB$75:$DL$98,MATCH(_xlfn.CONCAT(TEXT(DATE($A94,$B94,1),"mmm-yy"),$D94),'[1]Demanda requerida 2028'!$CB$71:$DL$71,0),FALSE)</f>
        <v>200</v>
      </c>
      <c r="K94" s="9">
        <f>VLOOKUP(K$1,'[1]Demanda requerida 2028'!$CB$75:$DL$98,MATCH(_xlfn.CONCAT(TEXT(DATE($A94,$B94,1),"mmm-yy"),$D94),'[1]Demanda requerida 2028'!$CB$71:$DL$71,0),FALSE)</f>
        <v>200</v>
      </c>
      <c r="L94" s="9">
        <f>VLOOKUP(L$1,'[1]Demanda requerida 2028'!$CB$75:$DL$98,MATCH(_xlfn.CONCAT(TEXT(DATE($A94,$B94,1),"mmm-yy"),$D94),'[1]Demanda requerida 2028'!$CB$71:$DL$71,0),FALSE)</f>
        <v>902</v>
      </c>
      <c r="M94" s="9">
        <f>VLOOKUP(M$1,'[1]Demanda requerida 2028'!$CB$75:$DL$98,MATCH(_xlfn.CONCAT(TEXT(DATE($A94,$B94,1),"mmm-yy"),$D94),'[1]Demanda requerida 2028'!$CB$71:$DL$71,0),FALSE)</f>
        <v>4678</v>
      </c>
      <c r="N94" s="9">
        <f>VLOOKUP(N$1,'[1]Demanda requerida 2028'!$CB$75:$DL$98,MATCH(_xlfn.CONCAT(TEXT(DATE($A94,$B94,1),"mmm-yy"),$D94),'[1]Demanda requerida 2028'!$CB$71:$DL$71,0),FALSE)</f>
        <v>7168</v>
      </c>
      <c r="O94" s="9">
        <f>VLOOKUP(O$1,'[1]Demanda requerida 2028'!$CB$75:$DL$98,MATCH(_xlfn.CONCAT(TEXT(DATE($A94,$B94,1),"mmm-yy"),$D94),'[1]Demanda requerida 2028'!$CB$71:$DL$71,0),FALSE)</f>
        <v>9110</v>
      </c>
      <c r="P94" s="9">
        <f>VLOOKUP(P$1,'[1]Demanda requerida 2028'!$CB$75:$DL$98,MATCH(_xlfn.CONCAT(TEXT(DATE($A94,$B94,1),"mmm-yy"),$D94),'[1]Demanda requerida 2028'!$CB$71:$DL$71,0),FALSE)</f>
        <v>10853</v>
      </c>
      <c r="Q94" s="9">
        <f>VLOOKUP(Q$1,'[1]Demanda requerida 2028'!$CB$75:$DL$98,MATCH(_xlfn.CONCAT(TEXT(DATE($A94,$B94,1),"mmm-yy"),$D94),'[1]Demanda requerida 2028'!$CB$71:$DL$71,0),FALSE)</f>
        <v>11870</v>
      </c>
      <c r="R94" s="9">
        <f>VLOOKUP(R$1,'[1]Demanda requerida 2028'!$CB$75:$DL$98,MATCH(_xlfn.CONCAT(TEXT(DATE($A94,$B94,1),"mmm-yy"),$D94),'[1]Demanda requerida 2028'!$CB$71:$DL$71,0),FALSE)</f>
        <v>11489</v>
      </c>
      <c r="S94" s="9">
        <f>VLOOKUP(S$1,'[1]Demanda requerida 2028'!$CB$75:$DL$98,MATCH(_xlfn.CONCAT(TEXT(DATE($A94,$B94,1),"mmm-yy"),$D94),'[1]Demanda requerida 2028'!$CB$71:$DL$71,0),FALSE)</f>
        <v>10793</v>
      </c>
      <c r="T94" s="9">
        <f>VLOOKUP(T$1,'[1]Demanda requerida 2028'!$CB$75:$DL$98,MATCH(_xlfn.CONCAT(TEXT(DATE($A94,$B94,1),"mmm-yy"),$D94),'[1]Demanda requerida 2028'!$CB$71:$DL$71,0),FALSE)</f>
        <v>10259</v>
      </c>
      <c r="U94" s="9">
        <f>VLOOKUP(U$1,'[1]Demanda requerida 2028'!$CB$75:$DL$98,MATCH(_xlfn.CONCAT(TEXT(DATE($A94,$B94,1),"mmm-yy"),$D94),'[1]Demanda requerida 2028'!$CB$71:$DL$71,0),FALSE)</f>
        <v>9699</v>
      </c>
      <c r="V94" s="9">
        <f>VLOOKUP(V$1,'[1]Demanda requerida 2028'!$CB$75:$DL$98,MATCH(_xlfn.CONCAT(TEXT(DATE($A94,$B94,1),"mmm-yy"),$D94),'[1]Demanda requerida 2028'!$CB$71:$DL$71,0),FALSE)</f>
        <v>10901</v>
      </c>
      <c r="W94" s="9">
        <f>VLOOKUP(W$1,'[1]Demanda requerida 2028'!$CB$75:$DL$98,MATCH(_xlfn.CONCAT(TEXT(DATE($A94,$B94,1),"mmm-yy"),$D94),'[1]Demanda requerida 2028'!$CB$71:$DL$71,0),FALSE)</f>
        <v>12050</v>
      </c>
      <c r="X94" s="9">
        <f>VLOOKUP(X$1,'[1]Demanda requerida 2028'!$CB$75:$DL$98,MATCH(_xlfn.CONCAT(TEXT(DATE($A94,$B94,1),"mmm-yy"),$D94),'[1]Demanda requerida 2028'!$CB$71:$DL$71,0),FALSE)</f>
        <v>13708</v>
      </c>
      <c r="Y94" s="9">
        <f>VLOOKUP(Y$1,'[1]Demanda requerida 2028'!$CB$75:$DL$98,MATCH(_xlfn.CONCAT(TEXT(DATE($A94,$B94,1),"mmm-yy"),$D94),'[1]Demanda requerida 2028'!$CB$71:$DL$71,0),FALSE)</f>
        <v>12774</v>
      </c>
      <c r="Z94" s="9">
        <f>VLOOKUP(Z$1,'[1]Demanda requerida 2028'!$CB$75:$DL$98,MATCH(_xlfn.CONCAT(TEXT(DATE($A94,$B94,1),"mmm-yy"),$D94),'[1]Demanda requerida 2028'!$CB$71:$DL$71,0),FALSE)</f>
        <v>11052</v>
      </c>
      <c r="AA94" s="9">
        <f>VLOOKUP(AA$1,'[1]Demanda requerida 2028'!$CB$75:$DL$98,MATCH(_xlfn.CONCAT(TEXT(DATE($A94,$B94,1),"mmm-yy"),$D94),'[1]Demanda requerida 2028'!$CB$71:$DL$71,0),FALSE)</f>
        <v>8441</v>
      </c>
      <c r="AB94" s="9">
        <f>VLOOKUP(AB$1,'[1]Demanda requerida 2028'!$CB$75:$DL$98,MATCH(_xlfn.CONCAT(TEXT(DATE($A94,$B94,1),"mmm-yy"),$D94),'[1]Demanda requerida 2028'!$CB$71:$DL$71,0),FALSE)</f>
        <v>5720</v>
      </c>
      <c r="AC94" s="86">
        <f t="shared" si="31"/>
        <v>162929</v>
      </c>
      <c r="AD94" s="78"/>
      <c r="AE94" s="85"/>
    </row>
    <row r="95" spans="1:31" x14ac:dyDescent="0.25">
      <c r="A95" s="11">
        <v>2028</v>
      </c>
      <c r="B95" s="12">
        <v>8</v>
      </c>
      <c r="C95" s="12">
        <v>6</v>
      </c>
      <c r="D95" s="12" t="s">
        <v>5</v>
      </c>
      <c r="E95" s="7">
        <f>VLOOKUP(E$1,'[1]Demanda requerida 2028'!$CB$75:$DL$98,MATCH(_xlfn.CONCAT(TEXT(DATE($A95,$B95,1),"mmm-yy"),$D95),'[1]Demanda requerida 2028'!$CB$71:$DL$71,0),FALSE)</f>
        <v>200</v>
      </c>
      <c r="F95" s="7">
        <f>VLOOKUP(F$1,'[1]Demanda requerida 2028'!$CB$75:$DL$98,MATCH(_xlfn.CONCAT(TEXT(DATE($A95,$B95,1),"mmm-yy"),$D95),'[1]Demanda requerida 2028'!$CB$71:$DL$71,0),FALSE)</f>
        <v>200</v>
      </c>
      <c r="G95" s="7">
        <f>VLOOKUP(G$1,'[1]Demanda requerida 2028'!$CB$75:$DL$98,MATCH(_xlfn.CONCAT(TEXT(DATE($A95,$B95,1),"mmm-yy"),$D95),'[1]Demanda requerida 2028'!$CB$71:$DL$71,0),FALSE)</f>
        <v>200</v>
      </c>
      <c r="H95" s="7">
        <f>VLOOKUP(H$1,'[1]Demanda requerida 2028'!$CB$75:$DL$98,MATCH(_xlfn.CONCAT(TEXT(DATE($A95,$B95,1),"mmm-yy"),$D95),'[1]Demanda requerida 2028'!$CB$71:$DL$71,0),FALSE)</f>
        <v>200</v>
      </c>
      <c r="I95" s="7">
        <f>VLOOKUP(I$1,'[1]Demanda requerida 2028'!$CB$75:$DL$98,MATCH(_xlfn.CONCAT(TEXT(DATE($A95,$B95,1),"mmm-yy"),$D95),'[1]Demanda requerida 2028'!$CB$71:$DL$71,0),FALSE)</f>
        <v>200</v>
      </c>
      <c r="J95" s="7">
        <f>VLOOKUP(J$1,'[1]Demanda requerida 2028'!$CB$75:$DL$98,MATCH(_xlfn.CONCAT(TEXT(DATE($A95,$B95,1),"mmm-yy"),$D95),'[1]Demanda requerida 2028'!$CB$71:$DL$71,0),FALSE)</f>
        <v>200</v>
      </c>
      <c r="K95" s="7">
        <f>VLOOKUP(K$1,'[1]Demanda requerida 2028'!$CB$75:$DL$98,MATCH(_xlfn.CONCAT(TEXT(DATE($A95,$B95,1),"mmm-yy"),$D95),'[1]Demanda requerida 2028'!$CB$71:$DL$71,0),FALSE)</f>
        <v>200</v>
      </c>
      <c r="L95" s="7">
        <f>VLOOKUP(L$1,'[1]Demanda requerida 2028'!$CB$75:$DL$98,MATCH(_xlfn.CONCAT(TEXT(DATE($A95,$B95,1),"mmm-yy"),$D95),'[1]Demanda requerida 2028'!$CB$71:$DL$71,0),FALSE)</f>
        <v>200</v>
      </c>
      <c r="M95" s="7">
        <f>VLOOKUP(M$1,'[1]Demanda requerida 2028'!$CB$75:$DL$98,MATCH(_xlfn.CONCAT(TEXT(DATE($A95,$B95,1),"mmm-yy"),$D95),'[1]Demanda requerida 2028'!$CB$71:$DL$71,0),FALSE)</f>
        <v>200</v>
      </c>
      <c r="N95" s="7">
        <f>VLOOKUP(N$1,'[1]Demanda requerida 2028'!$CB$75:$DL$98,MATCH(_xlfn.CONCAT(TEXT(DATE($A95,$B95,1),"mmm-yy"),$D95),'[1]Demanda requerida 2028'!$CB$71:$DL$71,0),FALSE)</f>
        <v>200</v>
      </c>
      <c r="O95" s="7">
        <f>VLOOKUP(O$1,'[1]Demanda requerida 2028'!$CB$75:$DL$98,MATCH(_xlfn.CONCAT(TEXT(DATE($A95,$B95,1),"mmm-yy"),$D95),'[1]Demanda requerida 2028'!$CB$71:$DL$71,0),FALSE)</f>
        <v>200</v>
      </c>
      <c r="P95" s="7">
        <f>VLOOKUP(P$1,'[1]Demanda requerida 2028'!$CB$75:$DL$98,MATCH(_xlfn.CONCAT(TEXT(DATE($A95,$B95,1),"mmm-yy"),$D95),'[1]Demanda requerida 2028'!$CB$71:$DL$71,0),FALSE)</f>
        <v>200</v>
      </c>
      <c r="Q95" s="7">
        <f>VLOOKUP(Q$1,'[1]Demanda requerida 2028'!$CB$75:$DL$98,MATCH(_xlfn.CONCAT(TEXT(DATE($A95,$B95,1),"mmm-yy"),$D95),'[1]Demanda requerida 2028'!$CB$71:$DL$71,0),FALSE)</f>
        <v>200</v>
      </c>
      <c r="R95" s="7">
        <f>VLOOKUP(R$1,'[1]Demanda requerida 2028'!$CB$75:$DL$98,MATCH(_xlfn.CONCAT(TEXT(DATE($A95,$B95,1),"mmm-yy"),$D95),'[1]Demanda requerida 2028'!$CB$71:$DL$71,0),FALSE)</f>
        <v>200</v>
      </c>
      <c r="S95" s="7">
        <f>VLOOKUP(S$1,'[1]Demanda requerida 2028'!$CB$75:$DL$98,MATCH(_xlfn.CONCAT(TEXT(DATE($A95,$B95,1),"mmm-yy"),$D95),'[1]Demanda requerida 2028'!$CB$71:$DL$71,0),FALSE)</f>
        <v>200</v>
      </c>
      <c r="T95" s="7">
        <f>VLOOKUP(T$1,'[1]Demanda requerida 2028'!$CB$75:$DL$98,MATCH(_xlfn.CONCAT(TEXT(DATE($A95,$B95,1),"mmm-yy"),$D95),'[1]Demanda requerida 2028'!$CB$71:$DL$71,0),FALSE)</f>
        <v>200</v>
      </c>
      <c r="U95" s="7">
        <f>VLOOKUP(U$1,'[1]Demanda requerida 2028'!$CB$75:$DL$98,MATCH(_xlfn.CONCAT(TEXT(DATE($A95,$B95,1),"mmm-yy"),$D95),'[1]Demanda requerida 2028'!$CB$71:$DL$71,0),FALSE)</f>
        <v>200</v>
      </c>
      <c r="V95" s="7">
        <f>VLOOKUP(V$1,'[1]Demanda requerida 2028'!$CB$75:$DL$98,MATCH(_xlfn.CONCAT(TEXT(DATE($A95,$B95,1),"mmm-yy"),$D95),'[1]Demanda requerida 2028'!$CB$71:$DL$71,0),FALSE)</f>
        <v>200</v>
      </c>
      <c r="W95" s="7">
        <f>VLOOKUP(W$1,'[1]Demanda requerida 2028'!$CB$75:$DL$98,MATCH(_xlfn.CONCAT(TEXT(DATE($A95,$B95,1),"mmm-yy"),$D95),'[1]Demanda requerida 2028'!$CB$71:$DL$71,0),FALSE)</f>
        <v>231</v>
      </c>
      <c r="X95" s="7">
        <f>VLOOKUP(X$1,'[1]Demanda requerida 2028'!$CB$75:$DL$98,MATCH(_xlfn.CONCAT(TEXT(DATE($A95,$B95,1),"mmm-yy"),$D95),'[1]Demanda requerida 2028'!$CB$71:$DL$71,0),FALSE)</f>
        <v>1540</v>
      </c>
      <c r="Y95" s="7">
        <f>VLOOKUP(Y$1,'[1]Demanda requerida 2028'!$CB$75:$DL$98,MATCH(_xlfn.CONCAT(TEXT(DATE($A95,$B95,1),"mmm-yy"),$D95),'[1]Demanda requerida 2028'!$CB$71:$DL$71,0),FALSE)</f>
        <v>708</v>
      </c>
      <c r="Z95" s="7">
        <f>VLOOKUP(Z$1,'[1]Demanda requerida 2028'!$CB$75:$DL$98,MATCH(_xlfn.CONCAT(TEXT(DATE($A95,$B95,1),"mmm-yy"),$D95),'[1]Demanda requerida 2028'!$CB$71:$DL$71,0),FALSE)</f>
        <v>200</v>
      </c>
      <c r="AA95" s="7">
        <f>VLOOKUP(AA$1,'[1]Demanda requerida 2028'!$CB$75:$DL$98,MATCH(_xlfn.CONCAT(TEXT(DATE($A95,$B95,1),"mmm-yy"),$D95),'[1]Demanda requerida 2028'!$CB$71:$DL$71,0),FALSE)</f>
        <v>200</v>
      </c>
      <c r="AB95" s="7">
        <f>VLOOKUP(AB$1,'[1]Demanda requerida 2028'!$CB$75:$DL$98,MATCH(_xlfn.CONCAT(TEXT(DATE($A95,$B95,1),"mmm-yy"),$D95),'[1]Demanda requerida 2028'!$CB$71:$DL$71,0),FALSE)</f>
        <v>200</v>
      </c>
      <c r="AC95" s="82">
        <f t="shared" si="31"/>
        <v>6679</v>
      </c>
      <c r="AD95" s="76">
        <f t="shared" ref="AD95" si="34">+SUMPRODUCT(AC95:AC97,C95:C97)</f>
        <v>6365062</v>
      </c>
      <c r="AE95" s="85"/>
    </row>
    <row r="96" spans="1:31" x14ac:dyDescent="0.25">
      <c r="A96" s="13">
        <v>2028</v>
      </c>
      <c r="B96" s="1">
        <v>8</v>
      </c>
      <c r="C96" s="1">
        <v>21</v>
      </c>
      <c r="D96" s="1" t="s">
        <v>31</v>
      </c>
      <c r="E96" s="8">
        <f>VLOOKUP(E$1,'[1]Demanda requerida 2028'!$CB$75:$DL$98,MATCH(_xlfn.CONCAT(TEXT(DATE($A96,$B96,1),"mmm-yy"),$D96),'[1]Demanda requerida 2028'!$CB$71:$DL$71,0),FALSE)</f>
        <v>4743</v>
      </c>
      <c r="F96" s="8">
        <f>VLOOKUP(F$1,'[1]Demanda requerida 2028'!$CB$75:$DL$98,MATCH(_xlfn.CONCAT(TEXT(DATE($A96,$B96,1),"mmm-yy"),$D96),'[1]Demanda requerida 2028'!$CB$71:$DL$71,0),FALSE)</f>
        <v>3776</v>
      </c>
      <c r="G96" s="8">
        <f>VLOOKUP(G$1,'[1]Demanda requerida 2028'!$CB$75:$DL$98,MATCH(_xlfn.CONCAT(TEXT(DATE($A96,$B96,1),"mmm-yy"),$D96),'[1]Demanda requerida 2028'!$CB$71:$DL$71,0),FALSE)</f>
        <v>3043</v>
      </c>
      <c r="H96" s="8">
        <f>VLOOKUP(H$1,'[1]Demanda requerida 2028'!$CB$75:$DL$98,MATCH(_xlfn.CONCAT(TEXT(DATE($A96,$B96,1),"mmm-yy"),$D96),'[1]Demanda requerida 2028'!$CB$71:$DL$71,0),FALSE)</f>
        <v>2511</v>
      </c>
      <c r="I96" s="8">
        <f>VLOOKUP(I$1,'[1]Demanda requerida 2028'!$CB$75:$DL$98,MATCH(_xlfn.CONCAT(TEXT(DATE($A96,$B96,1),"mmm-yy"),$D96),'[1]Demanda requerida 2028'!$CB$71:$DL$71,0),FALSE)</f>
        <v>2510</v>
      </c>
      <c r="J96" s="8">
        <f>VLOOKUP(J$1,'[1]Demanda requerida 2028'!$CB$75:$DL$98,MATCH(_xlfn.CONCAT(TEXT(DATE($A96,$B96,1),"mmm-yy"),$D96),'[1]Demanda requerida 2028'!$CB$71:$DL$71,0),FALSE)</f>
        <v>3952</v>
      </c>
      <c r="K96" s="8">
        <f>VLOOKUP(K$1,'[1]Demanda requerida 2028'!$CB$75:$DL$98,MATCH(_xlfn.CONCAT(TEXT(DATE($A96,$B96,1),"mmm-yy"),$D96),'[1]Demanda requerida 2028'!$CB$71:$DL$71,0),FALSE)</f>
        <v>5636</v>
      </c>
      <c r="L96" s="8">
        <f>VLOOKUP(L$1,'[1]Demanda requerida 2028'!$CB$75:$DL$98,MATCH(_xlfn.CONCAT(TEXT(DATE($A96,$B96,1),"mmm-yy"),$D96),'[1]Demanda requerida 2028'!$CB$71:$DL$71,0),FALSE)</f>
        <v>7235</v>
      </c>
      <c r="M96" s="8">
        <f>VLOOKUP(M$1,'[1]Demanda requerida 2028'!$CB$75:$DL$98,MATCH(_xlfn.CONCAT(TEXT(DATE($A96,$B96,1),"mmm-yy"),$D96),'[1]Demanda requerida 2028'!$CB$71:$DL$71,0),FALSE)</f>
        <v>10313</v>
      </c>
      <c r="N96" s="8">
        <f>VLOOKUP(N$1,'[1]Demanda requerida 2028'!$CB$75:$DL$98,MATCH(_xlfn.CONCAT(TEXT(DATE($A96,$B96,1),"mmm-yy"),$D96),'[1]Demanda requerida 2028'!$CB$71:$DL$71,0),FALSE)</f>
        <v>11963</v>
      </c>
      <c r="O96" s="8">
        <f>VLOOKUP(O$1,'[1]Demanda requerida 2028'!$CB$75:$DL$98,MATCH(_xlfn.CONCAT(TEXT(DATE($A96,$B96,1),"mmm-yy"),$D96),'[1]Demanda requerida 2028'!$CB$71:$DL$71,0),FALSE)</f>
        <v>13766</v>
      </c>
      <c r="P96" s="8">
        <f>VLOOKUP(P$1,'[1]Demanda requerida 2028'!$CB$75:$DL$98,MATCH(_xlfn.CONCAT(TEXT(DATE($A96,$B96,1),"mmm-yy"),$D96),'[1]Demanda requerida 2028'!$CB$71:$DL$71,0),FALSE)</f>
        <v>15875</v>
      </c>
      <c r="Q96" s="8">
        <f>VLOOKUP(Q$1,'[1]Demanda requerida 2028'!$CB$75:$DL$98,MATCH(_xlfn.CONCAT(TEXT(DATE($A96,$B96,1),"mmm-yy"),$D96),'[1]Demanda requerida 2028'!$CB$71:$DL$71,0),FALSE)</f>
        <v>15775</v>
      </c>
      <c r="R96" s="8">
        <f>VLOOKUP(R$1,'[1]Demanda requerida 2028'!$CB$75:$DL$98,MATCH(_xlfn.CONCAT(TEXT(DATE($A96,$B96,1),"mmm-yy"),$D96),'[1]Demanda requerida 2028'!$CB$71:$DL$71,0),FALSE)</f>
        <v>15822</v>
      </c>
      <c r="S96" s="8">
        <f>VLOOKUP(S$1,'[1]Demanda requerida 2028'!$CB$75:$DL$98,MATCH(_xlfn.CONCAT(TEXT(DATE($A96,$B96,1),"mmm-yy"),$D96),'[1]Demanda requerida 2028'!$CB$71:$DL$71,0),FALSE)</f>
        <v>16122</v>
      </c>
      <c r="T96" s="8">
        <f>VLOOKUP(T$1,'[1]Demanda requerida 2028'!$CB$75:$DL$98,MATCH(_xlfn.CONCAT(TEXT(DATE($A96,$B96,1),"mmm-yy"),$D96),'[1]Demanda requerida 2028'!$CB$71:$DL$71,0),FALSE)</f>
        <v>16014</v>
      </c>
      <c r="U96" s="8">
        <f>VLOOKUP(U$1,'[1]Demanda requerida 2028'!$CB$75:$DL$98,MATCH(_xlfn.CONCAT(TEXT(DATE($A96,$B96,1),"mmm-yy"),$D96),'[1]Demanda requerida 2028'!$CB$71:$DL$71,0),FALSE)</f>
        <v>15597</v>
      </c>
      <c r="V96" s="8">
        <f>VLOOKUP(V$1,'[1]Demanda requerida 2028'!$CB$75:$DL$98,MATCH(_xlfn.CONCAT(TEXT(DATE($A96,$B96,1),"mmm-yy"),$D96),'[1]Demanda requerida 2028'!$CB$71:$DL$71,0),FALSE)</f>
        <v>16294</v>
      </c>
      <c r="W96" s="8">
        <f>VLOOKUP(W$1,'[1]Demanda requerida 2028'!$CB$75:$DL$98,MATCH(_xlfn.CONCAT(TEXT(DATE($A96,$B96,1),"mmm-yy"),$D96),'[1]Demanda requerida 2028'!$CB$71:$DL$71,0),FALSE)</f>
        <v>17158</v>
      </c>
      <c r="X96" s="8">
        <f>VLOOKUP(X$1,'[1]Demanda requerida 2028'!$CB$75:$DL$98,MATCH(_xlfn.CONCAT(TEXT(DATE($A96,$B96,1),"mmm-yy"),$D96),'[1]Demanda requerida 2028'!$CB$71:$DL$71,0),FALSE)</f>
        <v>18688</v>
      </c>
      <c r="Y96" s="8">
        <f>VLOOKUP(Y$1,'[1]Demanda requerida 2028'!$CB$75:$DL$98,MATCH(_xlfn.CONCAT(TEXT(DATE($A96,$B96,1),"mmm-yy"),$D96),'[1]Demanda requerida 2028'!$CB$71:$DL$71,0),FALSE)</f>
        <v>17437</v>
      </c>
      <c r="Z96" s="8">
        <f>VLOOKUP(Z$1,'[1]Demanda requerida 2028'!$CB$75:$DL$98,MATCH(_xlfn.CONCAT(TEXT(DATE($A96,$B96,1),"mmm-yy"),$D96),'[1]Demanda requerida 2028'!$CB$71:$DL$71,0),FALSE)</f>
        <v>14670</v>
      </c>
      <c r="AA96" s="8">
        <f>VLOOKUP(AA$1,'[1]Demanda requerida 2028'!$CB$75:$DL$98,MATCH(_xlfn.CONCAT(TEXT(DATE($A96,$B96,1),"mmm-yy"),$D96),'[1]Demanda requerida 2028'!$CB$71:$DL$71,0),FALSE)</f>
        <v>10797</v>
      </c>
      <c r="AB96" s="8">
        <f>VLOOKUP(AB$1,'[1]Demanda requerida 2028'!$CB$75:$DL$98,MATCH(_xlfn.CONCAT(TEXT(DATE($A96,$B96,1),"mmm-yy"),$D96),'[1]Demanda requerida 2028'!$CB$71:$DL$71,0),FALSE)</f>
        <v>7755</v>
      </c>
      <c r="AC96" s="84">
        <f t="shared" si="31"/>
        <v>267452</v>
      </c>
      <c r="AD96" s="77"/>
      <c r="AE96" s="85"/>
    </row>
    <row r="97" spans="1:31" ht="15.75" thickBot="1" x14ac:dyDescent="0.3">
      <c r="A97" s="14">
        <v>2028</v>
      </c>
      <c r="B97" s="15">
        <v>8</v>
      </c>
      <c r="C97" s="15">
        <v>4</v>
      </c>
      <c r="D97" s="15" t="s">
        <v>6</v>
      </c>
      <c r="E97" s="9">
        <f>VLOOKUP(E$1,'[1]Demanda requerida 2028'!$CB$75:$DL$98,MATCH(_xlfn.CONCAT(TEXT(DATE($A97,$B97,1),"mmm-yy"),$D97),'[1]Demanda requerida 2028'!$CB$71:$DL$71,0),FALSE)</f>
        <v>1345</v>
      </c>
      <c r="F97" s="9">
        <f>VLOOKUP(F$1,'[1]Demanda requerida 2028'!$CB$75:$DL$98,MATCH(_xlfn.CONCAT(TEXT(DATE($A97,$B97,1),"mmm-yy"),$D97),'[1]Demanda requerida 2028'!$CB$71:$DL$71,0),FALSE)</f>
        <v>1081</v>
      </c>
      <c r="G97" s="9">
        <f>VLOOKUP(G$1,'[1]Demanda requerida 2028'!$CB$75:$DL$98,MATCH(_xlfn.CONCAT(TEXT(DATE($A97,$B97,1),"mmm-yy"),$D97),'[1]Demanda requerida 2028'!$CB$71:$DL$71,0),FALSE)</f>
        <v>480</v>
      </c>
      <c r="H97" s="9">
        <f>VLOOKUP(H$1,'[1]Demanda requerida 2028'!$CB$75:$DL$98,MATCH(_xlfn.CONCAT(TEXT(DATE($A97,$B97,1),"mmm-yy"),$D97),'[1]Demanda requerida 2028'!$CB$71:$DL$71,0),FALSE)</f>
        <v>200</v>
      </c>
      <c r="I97" s="9">
        <f>VLOOKUP(I$1,'[1]Demanda requerida 2028'!$CB$75:$DL$98,MATCH(_xlfn.CONCAT(TEXT(DATE($A97,$B97,1),"mmm-yy"),$D97),'[1]Demanda requerida 2028'!$CB$71:$DL$71,0),FALSE)</f>
        <v>200</v>
      </c>
      <c r="J97" s="9">
        <f>VLOOKUP(J$1,'[1]Demanda requerida 2028'!$CB$75:$DL$98,MATCH(_xlfn.CONCAT(TEXT(DATE($A97,$B97,1),"mmm-yy"),$D97),'[1]Demanda requerida 2028'!$CB$71:$DL$71,0),FALSE)</f>
        <v>44</v>
      </c>
      <c r="K97" s="9">
        <f>VLOOKUP(K$1,'[1]Demanda requerida 2028'!$CB$75:$DL$98,MATCH(_xlfn.CONCAT(TEXT(DATE($A97,$B97,1),"mmm-yy"),$D97),'[1]Demanda requerida 2028'!$CB$71:$DL$71,0),FALSE)</f>
        <v>948</v>
      </c>
      <c r="L97" s="9">
        <f>VLOOKUP(L$1,'[1]Demanda requerida 2028'!$CB$75:$DL$98,MATCH(_xlfn.CONCAT(TEXT(DATE($A97,$B97,1),"mmm-yy"),$D97),'[1]Demanda requerida 2028'!$CB$71:$DL$71,0),FALSE)</f>
        <v>3211</v>
      </c>
      <c r="M97" s="9">
        <f>VLOOKUP(M$1,'[1]Demanda requerida 2028'!$CB$75:$DL$98,MATCH(_xlfn.CONCAT(TEXT(DATE($A97,$B97,1),"mmm-yy"),$D97),'[1]Demanda requerida 2028'!$CB$71:$DL$71,0),FALSE)</f>
        <v>6459</v>
      </c>
      <c r="N97" s="9">
        <f>VLOOKUP(N$1,'[1]Demanda requerida 2028'!$CB$75:$DL$98,MATCH(_xlfn.CONCAT(TEXT(DATE($A97,$B97,1),"mmm-yy"),$D97),'[1]Demanda requerida 2028'!$CB$71:$DL$71,0),FALSE)</f>
        <v>8463</v>
      </c>
      <c r="O97" s="9">
        <f>VLOOKUP(O$1,'[1]Demanda requerida 2028'!$CB$75:$DL$98,MATCH(_xlfn.CONCAT(TEXT(DATE($A97,$B97,1),"mmm-yy"),$D97),'[1]Demanda requerida 2028'!$CB$71:$DL$71,0),FALSE)</f>
        <v>10162</v>
      </c>
      <c r="P97" s="9">
        <f>VLOOKUP(P$1,'[1]Demanda requerida 2028'!$CB$75:$DL$98,MATCH(_xlfn.CONCAT(TEXT(DATE($A97,$B97,1),"mmm-yy"),$D97),'[1]Demanda requerida 2028'!$CB$71:$DL$71,0),FALSE)</f>
        <v>12206</v>
      </c>
      <c r="Q97" s="9">
        <f>VLOOKUP(Q$1,'[1]Demanda requerida 2028'!$CB$75:$DL$98,MATCH(_xlfn.CONCAT(TEXT(DATE($A97,$B97,1),"mmm-yy"),$D97),'[1]Demanda requerida 2028'!$CB$71:$DL$71,0),FALSE)</f>
        <v>12688</v>
      </c>
      <c r="R97" s="9">
        <f>VLOOKUP(R$1,'[1]Demanda requerida 2028'!$CB$75:$DL$98,MATCH(_xlfn.CONCAT(TEXT(DATE($A97,$B97,1),"mmm-yy"),$D97),'[1]Demanda requerida 2028'!$CB$71:$DL$71,0),FALSE)</f>
        <v>12119</v>
      </c>
      <c r="S97" s="9">
        <f>VLOOKUP(S$1,'[1]Demanda requerida 2028'!$CB$75:$DL$98,MATCH(_xlfn.CONCAT(TEXT(DATE($A97,$B97,1),"mmm-yy"),$D97),'[1]Demanda requerida 2028'!$CB$71:$DL$71,0),FALSE)</f>
        <v>11273</v>
      </c>
      <c r="T97" s="9">
        <f>VLOOKUP(T$1,'[1]Demanda requerida 2028'!$CB$75:$DL$98,MATCH(_xlfn.CONCAT(TEXT(DATE($A97,$B97,1),"mmm-yy"),$D97),'[1]Demanda requerida 2028'!$CB$71:$DL$71,0),FALSE)</f>
        <v>10651</v>
      </c>
      <c r="U97" s="9">
        <f>VLOOKUP(U$1,'[1]Demanda requerida 2028'!$CB$75:$DL$98,MATCH(_xlfn.CONCAT(TEXT(DATE($A97,$B97,1),"mmm-yy"),$D97),'[1]Demanda requerida 2028'!$CB$71:$DL$71,0),FALSE)</f>
        <v>9961</v>
      </c>
      <c r="V97" s="9">
        <f>VLOOKUP(V$1,'[1]Demanda requerida 2028'!$CB$75:$DL$98,MATCH(_xlfn.CONCAT(TEXT(DATE($A97,$B97,1),"mmm-yy"),$D97),'[1]Demanda requerida 2028'!$CB$71:$DL$71,0),FALSE)</f>
        <v>11552</v>
      </c>
      <c r="W97" s="9">
        <f>VLOOKUP(W$1,'[1]Demanda requerida 2028'!$CB$75:$DL$98,MATCH(_xlfn.CONCAT(TEXT(DATE($A97,$B97,1),"mmm-yy"),$D97),'[1]Demanda requerida 2028'!$CB$71:$DL$71,0),FALSE)</f>
        <v>13458</v>
      </c>
      <c r="X97" s="9">
        <f>VLOOKUP(X$1,'[1]Demanda requerida 2028'!$CB$75:$DL$98,MATCH(_xlfn.CONCAT(TEXT(DATE($A97,$B97,1),"mmm-yy"),$D97),'[1]Demanda requerida 2028'!$CB$71:$DL$71,0),FALSE)</f>
        <v>13925</v>
      </c>
      <c r="Y97" s="9">
        <f>VLOOKUP(Y$1,'[1]Demanda requerida 2028'!$CB$75:$DL$98,MATCH(_xlfn.CONCAT(TEXT(DATE($A97,$B97,1),"mmm-yy"),$D97),'[1]Demanda requerida 2028'!$CB$71:$DL$71,0),FALSE)</f>
        <v>12589</v>
      </c>
      <c r="Z97" s="9">
        <f>VLOOKUP(Z$1,'[1]Demanda requerida 2028'!$CB$75:$DL$98,MATCH(_xlfn.CONCAT(TEXT(DATE($A97,$B97,1),"mmm-yy"),$D97),'[1]Demanda requerida 2028'!$CB$71:$DL$71,0),FALSE)</f>
        <v>10362</v>
      </c>
      <c r="AA97" s="9">
        <f>VLOOKUP(AA$1,'[1]Demanda requerida 2028'!$CB$75:$DL$98,MATCH(_xlfn.CONCAT(TEXT(DATE($A97,$B97,1),"mmm-yy"),$D97),'[1]Demanda requerida 2028'!$CB$71:$DL$71,0),FALSE)</f>
        <v>7964</v>
      </c>
      <c r="AB97" s="9">
        <f>VLOOKUP(AB$1,'[1]Demanda requerida 2028'!$CB$75:$DL$98,MATCH(_xlfn.CONCAT(TEXT(DATE($A97,$B97,1),"mmm-yy"),$D97),'[1]Demanda requerida 2028'!$CB$71:$DL$71,0),FALSE)</f>
        <v>5783</v>
      </c>
      <c r="AC97" s="86">
        <f t="shared" si="31"/>
        <v>177124</v>
      </c>
      <c r="AD97" s="78"/>
      <c r="AE97" s="85"/>
    </row>
    <row r="98" spans="1:31" x14ac:dyDescent="0.25">
      <c r="A98" s="11">
        <v>2028</v>
      </c>
      <c r="B98" s="12">
        <v>9</v>
      </c>
      <c r="C98" s="12">
        <v>4</v>
      </c>
      <c r="D98" s="12" t="s">
        <v>5</v>
      </c>
      <c r="E98" s="7">
        <f>VLOOKUP(E$1,'[1]Demanda requerida 2028'!$CB$75:$DL$98,MATCH(_xlfn.CONCAT(TEXT(DATE($A98,$B98,1),"mmm-yy"),$D98),'[1]Demanda requerida 2028'!$CB$71:$DL$71,0),FALSE)</f>
        <v>200</v>
      </c>
      <c r="F98" s="7">
        <f>VLOOKUP(F$1,'[1]Demanda requerida 2028'!$CB$75:$DL$98,MATCH(_xlfn.CONCAT(TEXT(DATE($A98,$B98,1),"mmm-yy"),$D98),'[1]Demanda requerida 2028'!$CB$71:$DL$71,0),FALSE)</f>
        <v>200</v>
      </c>
      <c r="G98" s="7">
        <f>VLOOKUP(G$1,'[1]Demanda requerida 2028'!$CB$75:$DL$98,MATCH(_xlfn.CONCAT(TEXT(DATE($A98,$B98,1),"mmm-yy"),$D98),'[1]Demanda requerida 2028'!$CB$71:$DL$71,0),FALSE)</f>
        <v>200</v>
      </c>
      <c r="H98" s="7">
        <f>VLOOKUP(H$1,'[1]Demanda requerida 2028'!$CB$75:$DL$98,MATCH(_xlfn.CONCAT(TEXT(DATE($A98,$B98,1),"mmm-yy"),$D98),'[1]Demanda requerida 2028'!$CB$71:$DL$71,0),FALSE)</f>
        <v>200</v>
      </c>
      <c r="I98" s="7">
        <f>VLOOKUP(I$1,'[1]Demanda requerida 2028'!$CB$75:$DL$98,MATCH(_xlfn.CONCAT(TEXT(DATE($A98,$B98,1),"mmm-yy"),$D98),'[1]Demanda requerida 2028'!$CB$71:$DL$71,0),FALSE)</f>
        <v>200</v>
      </c>
      <c r="J98" s="7">
        <f>VLOOKUP(J$1,'[1]Demanda requerida 2028'!$CB$75:$DL$98,MATCH(_xlfn.CONCAT(TEXT(DATE($A98,$B98,1),"mmm-yy"),$D98),'[1]Demanda requerida 2028'!$CB$71:$DL$71,0),FALSE)</f>
        <v>200</v>
      </c>
      <c r="K98" s="7">
        <f>VLOOKUP(K$1,'[1]Demanda requerida 2028'!$CB$75:$DL$98,MATCH(_xlfn.CONCAT(TEXT(DATE($A98,$B98,1),"mmm-yy"),$D98),'[1]Demanda requerida 2028'!$CB$71:$DL$71,0),FALSE)</f>
        <v>200</v>
      </c>
      <c r="L98" s="7">
        <f>VLOOKUP(L$1,'[1]Demanda requerida 2028'!$CB$75:$DL$98,MATCH(_xlfn.CONCAT(TEXT(DATE($A98,$B98,1),"mmm-yy"),$D98),'[1]Demanda requerida 2028'!$CB$71:$DL$71,0),FALSE)</f>
        <v>200</v>
      </c>
      <c r="M98" s="7">
        <f>VLOOKUP(M$1,'[1]Demanda requerida 2028'!$CB$75:$DL$98,MATCH(_xlfn.CONCAT(TEXT(DATE($A98,$B98,1),"mmm-yy"),$D98),'[1]Demanda requerida 2028'!$CB$71:$DL$71,0),FALSE)</f>
        <v>2381</v>
      </c>
      <c r="N98" s="7">
        <f>VLOOKUP(N$1,'[1]Demanda requerida 2028'!$CB$75:$DL$98,MATCH(_xlfn.CONCAT(TEXT(DATE($A98,$B98,1),"mmm-yy"),$D98),'[1]Demanda requerida 2028'!$CB$71:$DL$71,0),FALSE)</f>
        <v>3301</v>
      </c>
      <c r="O98" s="7">
        <f>VLOOKUP(O$1,'[1]Demanda requerida 2028'!$CB$75:$DL$98,MATCH(_xlfn.CONCAT(TEXT(DATE($A98,$B98,1),"mmm-yy"),$D98),'[1]Demanda requerida 2028'!$CB$71:$DL$71,0),FALSE)</f>
        <v>4389</v>
      </c>
      <c r="P98" s="7">
        <f>VLOOKUP(P$1,'[1]Demanda requerida 2028'!$CB$75:$DL$98,MATCH(_xlfn.CONCAT(TEXT(DATE($A98,$B98,1),"mmm-yy"),$D98),'[1]Demanda requerida 2028'!$CB$71:$DL$71,0),FALSE)</f>
        <v>5696</v>
      </c>
      <c r="Q98" s="7">
        <f>VLOOKUP(Q$1,'[1]Demanda requerida 2028'!$CB$75:$DL$98,MATCH(_xlfn.CONCAT(TEXT(DATE($A98,$B98,1),"mmm-yy"),$D98),'[1]Demanda requerida 2028'!$CB$71:$DL$71,0),FALSE)</f>
        <v>7008</v>
      </c>
      <c r="R98" s="7">
        <f>VLOOKUP(R$1,'[1]Demanda requerida 2028'!$CB$75:$DL$98,MATCH(_xlfn.CONCAT(TEXT(DATE($A98,$B98,1),"mmm-yy"),$D98),'[1]Demanda requerida 2028'!$CB$71:$DL$71,0),FALSE)</f>
        <v>6605</v>
      </c>
      <c r="S98" s="7">
        <f>VLOOKUP(S$1,'[1]Demanda requerida 2028'!$CB$75:$DL$98,MATCH(_xlfn.CONCAT(TEXT(DATE($A98,$B98,1),"mmm-yy"),$D98),'[1]Demanda requerida 2028'!$CB$71:$DL$71,0),FALSE)</f>
        <v>6347</v>
      </c>
      <c r="T98" s="7">
        <f>VLOOKUP(T$1,'[1]Demanda requerida 2028'!$CB$75:$DL$98,MATCH(_xlfn.CONCAT(TEXT(DATE($A98,$B98,1),"mmm-yy"),$D98),'[1]Demanda requerida 2028'!$CB$71:$DL$71,0),FALSE)</f>
        <v>5202</v>
      </c>
      <c r="U98" s="7">
        <f>VLOOKUP(U$1,'[1]Demanda requerida 2028'!$CB$75:$DL$98,MATCH(_xlfn.CONCAT(TEXT(DATE($A98,$B98,1),"mmm-yy"),$D98),'[1]Demanda requerida 2028'!$CB$71:$DL$71,0),FALSE)</f>
        <v>4576</v>
      </c>
      <c r="V98" s="7">
        <f>VLOOKUP(V$1,'[1]Demanda requerida 2028'!$CB$75:$DL$98,MATCH(_xlfn.CONCAT(TEXT(DATE($A98,$B98,1),"mmm-yy"),$D98),'[1]Demanda requerida 2028'!$CB$71:$DL$71,0),FALSE)</f>
        <v>6329</v>
      </c>
      <c r="W98" s="7">
        <f>VLOOKUP(W$1,'[1]Demanda requerida 2028'!$CB$75:$DL$98,MATCH(_xlfn.CONCAT(TEXT(DATE($A98,$B98,1),"mmm-yy"),$D98),'[1]Demanda requerida 2028'!$CB$71:$DL$71,0),FALSE)</f>
        <v>9139</v>
      </c>
      <c r="X98" s="7">
        <f>VLOOKUP(X$1,'[1]Demanda requerida 2028'!$CB$75:$DL$98,MATCH(_xlfn.CONCAT(TEXT(DATE($A98,$B98,1),"mmm-yy"),$D98),'[1]Demanda requerida 2028'!$CB$71:$DL$71,0),FALSE)</f>
        <v>10156</v>
      </c>
      <c r="Y98" s="7">
        <f>VLOOKUP(Y$1,'[1]Demanda requerida 2028'!$CB$75:$DL$98,MATCH(_xlfn.CONCAT(TEXT(DATE($A98,$B98,1),"mmm-yy"),$D98),'[1]Demanda requerida 2028'!$CB$71:$DL$71,0),FALSE)</f>
        <v>7400</v>
      </c>
      <c r="Z98" s="7">
        <f>VLOOKUP(Z$1,'[1]Demanda requerida 2028'!$CB$75:$DL$98,MATCH(_xlfn.CONCAT(TEXT(DATE($A98,$B98,1),"mmm-yy"),$D98),'[1]Demanda requerida 2028'!$CB$71:$DL$71,0),FALSE)</f>
        <v>5351</v>
      </c>
      <c r="AA98" s="7">
        <f>VLOOKUP(AA$1,'[1]Demanda requerida 2028'!$CB$75:$DL$98,MATCH(_xlfn.CONCAT(TEXT(DATE($A98,$B98,1),"mmm-yy"),$D98),'[1]Demanda requerida 2028'!$CB$71:$DL$71,0),FALSE)</f>
        <v>3108</v>
      </c>
      <c r="AB98" s="7">
        <f>VLOOKUP(AB$1,'[1]Demanda requerida 2028'!$CB$75:$DL$98,MATCH(_xlfn.CONCAT(TEXT(DATE($A98,$B98,1),"mmm-yy"),$D98),'[1]Demanda requerida 2028'!$CB$71:$DL$71,0),FALSE)</f>
        <v>1194</v>
      </c>
      <c r="AC98" s="82">
        <f t="shared" si="31"/>
        <v>89782</v>
      </c>
      <c r="AD98" s="76">
        <f t="shared" ref="AD98" si="35">+SUMPRODUCT(AC98:AC100,C98:C100)</f>
        <v>4241430</v>
      </c>
      <c r="AE98" s="85"/>
    </row>
    <row r="99" spans="1:31" x14ac:dyDescent="0.25">
      <c r="A99" s="13">
        <v>2028</v>
      </c>
      <c r="B99" s="1">
        <v>9</v>
      </c>
      <c r="C99" s="1">
        <v>21</v>
      </c>
      <c r="D99" s="1" t="s">
        <v>31</v>
      </c>
      <c r="E99" s="8">
        <f>VLOOKUP(E$1,'[1]Demanda requerida 2028'!$CB$75:$DL$98,MATCH(_xlfn.CONCAT(TEXT(DATE($A99,$B99,1),"mmm-yy"),$D99),'[1]Demanda requerida 2028'!$CB$71:$DL$71,0),FALSE)</f>
        <v>200</v>
      </c>
      <c r="F99" s="8">
        <f>VLOOKUP(F$1,'[1]Demanda requerida 2028'!$CB$75:$DL$98,MATCH(_xlfn.CONCAT(TEXT(DATE($A99,$B99,1),"mmm-yy"),$D99),'[1]Demanda requerida 2028'!$CB$71:$DL$71,0),FALSE)</f>
        <v>200</v>
      </c>
      <c r="G99" s="8">
        <f>VLOOKUP(G$1,'[1]Demanda requerida 2028'!$CB$75:$DL$98,MATCH(_xlfn.CONCAT(TEXT(DATE($A99,$B99,1),"mmm-yy"),$D99),'[1]Demanda requerida 2028'!$CB$71:$DL$71,0),FALSE)</f>
        <v>200</v>
      </c>
      <c r="H99" s="8">
        <f>VLOOKUP(H$1,'[1]Demanda requerida 2028'!$CB$75:$DL$98,MATCH(_xlfn.CONCAT(TEXT(DATE($A99,$B99,1),"mmm-yy"),$D99),'[1]Demanda requerida 2028'!$CB$71:$DL$71,0),FALSE)</f>
        <v>200</v>
      </c>
      <c r="I99" s="8">
        <f>VLOOKUP(I$1,'[1]Demanda requerida 2028'!$CB$75:$DL$98,MATCH(_xlfn.CONCAT(TEXT(DATE($A99,$B99,1),"mmm-yy"),$D99),'[1]Demanda requerida 2028'!$CB$71:$DL$71,0),FALSE)</f>
        <v>200</v>
      </c>
      <c r="J99" s="8">
        <f>VLOOKUP(J$1,'[1]Demanda requerida 2028'!$CB$75:$DL$98,MATCH(_xlfn.CONCAT(TEXT(DATE($A99,$B99,1),"mmm-yy"),$D99),'[1]Demanda requerida 2028'!$CB$71:$DL$71,0),FALSE)</f>
        <v>200</v>
      </c>
      <c r="K99" s="8">
        <f>VLOOKUP(K$1,'[1]Demanda requerida 2028'!$CB$75:$DL$98,MATCH(_xlfn.CONCAT(TEXT(DATE($A99,$B99,1),"mmm-yy"),$D99),'[1]Demanda requerida 2028'!$CB$71:$DL$71,0),FALSE)</f>
        <v>570</v>
      </c>
      <c r="L99" s="8">
        <f>VLOOKUP(L$1,'[1]Demanda requerida 2028'!$CB$75:$DL$98,MATCH(_xlfn.CONCAT(TEXT(DATE($A99,$B99,1),"mmm-yy"),$D99),'[1]Demanda requerida 2028'!$CB$71:$DL$71,0),FALSE)</f>
        <v>2229</v>
      </c>
      <c r="M99" s="8">
        <f>VLOOKUP(M$1,'[1]Demanda requerida 2028'!$CB$75:$DL$98,MATCH(_xlfn.CONCAT(TEXT(DATE($A99,$B99,1),"mmm-yy"),$D99),'[1]Demanda requerida 2028'!$CB$71:$DL$71,0),FALSE)</f>
        <v>5023</v>
      </c>
      <c r="N99" s="8">
        <f>VLOOKUP(N$1,'[1]Demanda requerida 2028'!$CB$75:$DL$98,MATCH(_xlfn.CONCAT(TEXT(DATE($A99,$B99,1),"mmm-yy"),$D99),'[1]Demanda requerida 2028'!$CB$71:$DL$71,0),FALSE)</f>
        <v>6266</v>
      </c>
      <c r="O99" s="8">
        <f>VLOOKUP(O$1,'[1]Demanda requerida 2028'!$CB$75:$DL$98,MATCH(_xlfn.CONCAT(TEXT(DATE($A99,$B99,1),"mmm-yy"),$D99),'[1]Demanda requerida 2028'!$CB$71:$DL$71,0),FALSE)</f>
        <v>7770</v>
      </c>
      <c r="P99" s="8">
        <f>VLOOKUP(P$1,'[1]Demanda requerida 2028'!$CB$75:$DL$98,MATCH(_xlfn.CONCAT(TEXT(DATE($A99,$B99,1),"mmm-yy"),$D99),'[1]Demanda requerida 2028'!$CB$71:$DL$71,0),FALSE)</f>
        <v>10040</v>
      </c>
      <c r="Q99" s="8">
        <f>VLOOKUP(Q$1,'[1]Demanda requerida 2028'!$CB$75:$DL$98,MATCH(_xlfn.CONCAT(TEXT(DATE($A99,$B99,1),"mmm-yy"),$D99),'[1]Demanda requerida 2028'!$CB$71:$DL$71,0),FALSE)</f>
        <v>10239</v>
      </c>
      <c r="R99" s="8">
        <f>VLOOKUP(R$1,'[1]Demanda requerida 2028'!$CB$75:$DL$98,MATCH(_xlfn.CONCAT(TEXT(DATE($A99,$B99,1),"mmm-yy"),$D99),'[1]Demanda requerida 2028'!$CB$71:$DL$71,0),FALSE)</f>
        <v>10377</v>
      </c>
      <c r="S99" s="8">
        <f>VLOOKUP(S$1,'[1]Demanda requerida 2028'!$CB$75:$DL$98,MATCH(_xlfn.CONCAT(TEXT(DATE($A99,$B99,1),"mmm-yy"),$D99),'[1]Demanda requerida 2028'!$CB$71:$DL$71,0),FALSE)</f>
        <v>10678</v>
      </c>
      <c r="T99" s="8">
        <f>VLOOKUP(T$1,'[1]Demanda requerida 2028'!$CB$75:$DL$98,MATCH(_xlfn.CONCAT(TEXT(DATE($A99,$B99,1),"mmm-yy"),$D99),'[1]Demanda requerida 2028'!$CB$71:$DL$71,0),FALSE)</f>
        <v>10541</v>
      </c>
      <c r="U99" s="8">
        <f>VLOOKUP(U$1,'[1]Demanda requerida 2028'!$CB$75:$DL$98,MATCH(_xlfn.CONCAT(TEXT(DATE($A99,$B99,1),"mmm-yy"),$D99),'[1]Demanda requerida 2028'!$CB$71:$DL$71,0),FALSE)</f>
        <v>10175</v>
      </c>
      <c r="V99" s="8">
        <f>VLOOKUP(V$1,'[1]Demanda requerida 2028'!$CB$75:$DL$98,MATCH(_xlfn.CONCAT(TEXT(DATE($A99,$B99,1),"mmm-yy"),$D99),'[1]Demanda requerida 2028'!$CB$71:$DL$71,0),FALSE)</f>
        <v>11039</v>
      </c>
      <c r="W99" s="8">
        <f>VLOOKUP(W$1,'[1]Demanda requerida 2028'!$CB$75:$DL$98,MATCH(_xlfn.CONCAT(TEXT(DATE($A99,$B99,1),"mmm-yy"),$D99),'[1]Demanda requerida 2028'!$CB$71:$DL$71,0),FALSE)</f>
        <v>12590</v>
      </c>
      <c r="X99" s="8">
        <f>VLOOKUP(X$1,'[1]Demanda requerida 2028'!$CB$75:$DL$98,MATCH(_xlfn.CONCAT(TEXT(DATE($A99,$B99,1),"mmm-yy"),$D99),'[1]Demanda requerida 2028'!$CB$71:$DL$71,0),FALSE)</f>
        <v>13647</v>
      </c>
      <c r="Y99" s="8">
        <f>VLOOKUP(Y$1,'[1]Demanda requerida 2028'!$CB$75:$DL$98,MATCH(_xlfn.CONCAT(TEXT(DATE($A99,$B99,1),"mmm-yy"),$D99),'[1]Demanda requerida 2028'!$CB$71:$DL$71,0),FALSE)</f>
        <v>12560</v>
      </c>
      <c r="Z99" s="8">
        <f>VLOOKUP(Z$1,'[1]Demanda requerida 2028'!$CB$75:$DL$98,MATCH(_xlfn.CONCAT(TEXT(DATE($A99,$B99,1),"mmm-yy"),$D99),'[1]Demanda requerida 2028'!$CB$71:$DL$71,0),FALSE)</f>
        <v>10060</v>
      </c>
      <c r="AA99" s="8">
        <f>VLOOKUP(AA$1,'[1]Demanda requerida 2028'!$CB$75:$DL$98,MATCH(_xlfn.CONCAT(TEXT(DATE($A99,$B99,1),"mmm-yy"),$D99),'[1]Demanda requerida 2028'!$CB$71:$DL$71,0),FALSE)</f>
        <v>6686</v>
      </c>
      <c r="AB99" s="8">
        <f>VLOOKUP(AB$1,'[1]Demanda requerida 2028'!$CB$75:$DL$98,MATCH(_xlfn.CONCAT(TEXT(DATE($A99,$B99,1),"mmm-yy"),$D99),'[1]Demanda requerida 2028'!$CB$71:$DL$71,0),FALSE)</f>
        <v>3707</v>
      </c>
      <c r="AC99" s="84">
        <f t="shared" si="31"/>
        <v>155397</v>
      </c>
      <c r="AD99" s="77"/>
      <c r="AE99" s="85"/>
    </row>
    <row r="100" spans="1:31" ht="15.75" thickBot="1" x14ac:dyDescent="0.3">
      <c r="A100" s="14">
        <v>2028</v>
      </c>
      <c r="B100" s="15">
        <v>9</v>
      </c>
      <c r="C100" s="15">
        <v>5</v>
      </c>
      <c r="D100" s="15" t="s">
        <v>6</v>
      </c>
      <c r="E100" s="9">
        <f>VLOOKUP(E$1,'[1]Demanda requerida 2028'!$CB$75:$DL$98,MATCH(_xlfn.CONCAT(TEXT(DATE($A100,$B100,1),"mmm-yy"),$D100),'[1]Demanda requerida 2028'!$CB$71:$DL$71,0),FALSE)</f>
        <v>1215</v>
      </c>
      <c r="F100" s="9">
        <f>VLOOKUP(F$1,'[1]Demanda requerida 2028'!$CB$75:$DL$98,MATCH(_xlfn.CONCAT(TEXT(DATE($A100,$B100,1),"mmm-yy"),$D100),'[1]Demanda requerida 2028'!$CB$71:$DL$71,0),FALSE)</f>
        <v>200</v>
      </c>
      <c r="G100" s="9">
        <f>VLOOKUP(G$1,'[1]Demanda requerida 2028'!$CB$75:$DL$98,MATCH(_xlfn.CONCAT(TEXT(DATE($A100,$B100,1),"mmm-yy"),$D100),'[1]Demanda requerida 2028'!$CB$71:$DL$71,0),FALSE)</f>
        <v>200</v>
      </c>
      <c r="H100" s="9">
        <f>VLOOKUP(H$1,'[1]Demanda requerida 2028'!$CB$75:$DL$98,MATCH(_xlfn.CONCAT(TEXT(DATE($A100,$B100,1),"mmm-yy"),$D100),'[1]Demanda requerida 2028'!$CB$71:$DL$71,0),FALSE)</f>
        <v>200</v>
      </c>
      <c r="I100" s="9">
        <f>VLOOKUP(I$1,'[1]Demanda requerida 2028'!$CB$75:$DL$98,MATCH(_xlfn.CONCAT(TEXT(DATE($A100,$B100,1),"mmm-yy"),$D100),'[1]Demanda requerida 2028'!$CB$71:$DL$71,0),FALSE)</f>
        <v>200</v>
      </c>
      <c r="J100" s="9">
        <f>VLOOKUP(J$1,'[1]Demanda requerida 2028'!$CB$75:$DL$98,MATCH(_xlfn.CONCAT(TEXT(DATE($A100,$B100,1),"mmm-yy"),$D100),'[1]Demanda requerida 2028'!$CB$71:$DL$71,0),FALSE)</f>
        <v>200</v>
      </c>
      <c r="K100" s="9">
        <f>VLOOKUP(K$1,'[1]Demanda requerida 2028'!$CB$75:$DL$98,MATCH(_xlfn.CONCAT(TEXT(DATE($A100,$B100,1),"mmm-yy"),$D100),'[1]Demanda requerida 2028'!$CB$71:$DL$71,0),FALSE)</f>
        <v>200</v>
      </c>
      <c r="L100" s="9">
        <f>VLOOKUP(L$1,'[1]Demanda requerida 2028'!$CB$75:$DL$98,MATCH(_xlfn.CONCAT(TEXT(DATE($A100,$B100,1),"mmm-yy"),$D100),'[1]Demanda requerida 2028'!$CB$71:$DL$71,0),FALSE)</f>
        <v>1592</v>
      </c>
      <c r="M100" s="9">
        <f>VLOOKUP(M$1,'[1]Demanda requerida 2028'!$CB$75:$DL$98,MATCH(_xlfn.CONCAT(TEXT(DATE($A100,$B100,1),"mmm-yy"),$D100),'[1]Demanda requerida 2028'!$CB$71:$DL$71,0),FALSE)</f>
        <v>4983</v>
      </c>
      <c r="N100" s="9">
        <f>VLOOKUP(N$1,'[1]Demanda requerida 2028'!$CB$75:$DL$98,MATCH(_xlfn.CONCAT(TEXT(DATE($A100,$B100,1),"mmm-yy"),$D100),'[1]Demanda requerida 2028'!$CB$71:$DL$71,0),FALSE)</f>
        <v>6812</v>
      </c>
      <c r="O100" s="9">
        <f>VLOOKUP(O$1,'[1]Demanda requerida 2028'!$CB$75:$DL$98,MATCH(_xlfn.CONCAT(TEXT(DATE($A100,$B100,1),"mmm-yy"),$D100),'[1]Demanda requerida 2028'!$CB$71:$DL$71,0),FALSE)</f>
        <v>7404</v>
      </c>
      <c r="P100" s="9">
        <f>VLOOKUP(P$1,'[1]Demanda requerida 2028'!$CB$75:$DL$98,MATCH(_xlfn.CONCAT(TEXT(DATE($A100,$B100,1),"mmm-yy"),$D100),'[1]Demanda requerida 2028'!$CB$71:$DL$71,0),FALSE)</f>
        <v>8981</v>
      </c>
      <c r="Q100" s="9">
        <f>VLOOKUP(Q$1,'[1]Demanda requerida 2028'!$CB$75:$DL$98,MATCH(_xlfn.CONCAT(TEXT(DATE($A100,$B100,1),"mmm-yy"),$D100),'[1]Demanda requerida 2028'!$CB$71:$DL$71,0),FALSE)</f>
        <v>6374</v>
      </c>
      <c r="R100" s="9">
        <f>VLOOKUP(R$1,'[1]Demanda requerida 2028'!$CB$75:$DL$98,MATCH(_xlfn.CONCAT(TEXT(DATE($A100,$B100,1),"mmm-yy"),$D100),'[1]Demanda requerida 2028'!$CB$71:$DL$71,0),FALSE)</f>
        <v>8341</v>
      </c>
      <c r="S100" s="9">
        <f>VLOOKUP(S$1,'[1]Demanda requerida 2028'!$CB$75:$DL$98,MATCH(_xlfn.CONCAT(TEXT(DATE($A100,$B100,1),"mmm-yy"),$D100),'[1]Demanda requerida 2028'!$CB$71:$DL$71,0),FALSE)</f>
        <v>7319</v>
      </c>
      <c r="T100" s="9">
        <f>VLOOKUP(T$1,'[1]Demanda requerida 2028'!$CB$75:$DL$98,MATCH(_xlfn.CONCAT(TEXT(DATE($A100,$B100,1),"mmm-yy"),$D100),'[1]Demanda requerida 2028'!$CB$71:$DL$71,0),FALSE)</f>
        <v>6779</v>
      </c>
      <c r="U100" s="9">
        <f>VLOOKUP(U$1,'[1]Demanda requerida 2028'!$CB$75:$DL$98,MATCH(_xlfn.CONCAT(TEXT(DATE($A100,$B100,1),"mmm-yy"),$D100),'[1]Demanda requerida 2028'!$CB$71:$DL$71,0),FALSE)</f>
        <v>6142</v>
      </c>
      <c r="V100" s="9">
        <f>VLOOKUP(V$1,'[1]Demanda requerida 2028'!$CB$75:$DL$98,MATCH(_xlfn.CONCAT(TEXT(DATE($A100,$B100,1),"mmm-yy"),$D100),'[1]Demanda requerida 2028'!$CB$71:$DL$71,0),FALSE)</f>
        <v>8165</v>
      </c>
      <c r="W100" s="9">
        <f>VLOOKUP(W$1,'[1]Demanda requerida 2028'!$CB$75:$DL$98,MATCH(_xlfn.CONCAT(TEXT(DATE($A100,$B100,1),"mmm-yy"),$D100),'[1]Demanda requerida 2028'!$CB$71:$DL$71,0),FALSE)</f>
        <v>10659</v>
      </c>
      <c r="X100" s="9">
        <f>VLOOKUP(X$1,'[1]Demanda requerida 2028'!$CB$75:$DL$98,MATCH(_xlfn.CONCAT(TEXT(DATE($A100,$B100,1),"mmm-yy"),$D100),'[1]Demanda requerida 2028'!$CB$71:$DL$71,0),FALSE)</f>
        <v>11264</v>
      </c>
      <c r="Y100" s="9">
        <f>VLOOKUP(Y$1,'[1]Demanda requerida 2028'!$CB$75:$DL$98,MATCH(_xlfn.CONCAT(TEXT(DATE($A100,$B100,1),"mmm-yy"),$D100),'[1]Demanda requerida 2028'!$CB$71:$DL$71,0),FALSE)</f>
        <v>10163</v>
      </c>
      <c r="Z100" s="9">
        <f>VLOOKUP(Z$1,'[1]Demanda requerida 2028'!$CB$75:$DL$98,MATCH(_xlfn.CONCAT(TEXT(DATE($A100,$B100,1),"mmm-yy"),$D100),'[1]Demanda requerida 2028'!$CB$71:$DL$71,0),FALSE)</f>
        <v>8209</v>
      </c>
      <c r="AA100" s="9">
        <f>VLOOKUP(AA$1,'[1]Demanda requerida 2028'!$CB$75:$DL$98,MATCH(_xlfn.CONCAT(TEXT(DATE($A100,$B100,1),"mmm-yy"),$D100),'[1]Demanda requerida 2028'!$CB$71:$DL$71,0),FALSE)</f>
        <v>5260</v>
      </c>
      <c r="AB100" s="9">
        <f>VLOOKUP(AB$1,'[1]Demanda requerida 2028'!$CB$75:$DL$98,MATCH(_xlfn.CONCAT(TEXT(DATE($A100,$B100,1),"mmm-yy"),$D100),'[1]Demanda requerida 2028'!$CB$71:$DL$71,0),FALSE)</f>
        <v>2931</v>
      </c>
      <c r="AC100" s="86">
        <f t="shared" si="31"/>
        <v>123793</v>
      </c>
      <c r="AD100" s="78"/>
      <c r="AE100" s="85"/>
    </row>
    <row r="101" spans="1:31" x14ac:dyDescent="0.25">
      <c r="A101" s="11">
        <v>2028</v>
      </c>
      <c r="B101" s="12">
        <v>10</v>
      </c>
      <c r="C101" s="12">
        <v>6</v>
      </c>
      <c r="D101" s="12" t="s">
        <v>5</v>
      </c>
      <c r="E101" s="7">
        <f>VLOOKUP(E$1,'[1]Demanda requerida 2028'!$CB$75:$DL$98,MATCH(_xlfn.CONCAT(TEXT(DATE($A101,$B101,1),"mmm-yy"),$D101),'[1]Demanda requerida 2028'!$CB$71:$DL$71,0),FALSE)</f>
        <v>200</v>
      </c>
      <c r="F101" s="7">
        <f>VLOOKUP(F$1,'[1]Demanda requerida 2028'!$CB$75:$DL$98,MATCH(_xlfn.CONCAT(TEXT(DATE($A101,$B101,1),"mmm-yy"),$D101),'[1]Demanda requerida 2028'!$CB$71:$DL$71,0),FALSE)</f>
        <v>200</v>
      </c>
      <c r="G101" s="7">
        <f>VLOOKUP(G$1,'[1]Demanda requerida 2028'!$CB$75:$DL$98,MATCH(_xlfn.CONCAT(TEXT(DATE($A101,$B101,1),"mmm-yy"),$D101),'[1]Demanda requerida 2028'!$CB$71:$DL$71,0),FALSE)</f>
        <v>200</v>
      </c>
      <c r="H101" s="7">
        <f>VLOOKUP(H$1,'[1]Demanda requerida 2028'!$CB$75:$DL$98,MATCH(_xlfn.CONCAT(TEXT(DATE($A101,$B101,1),"mmm-yy"),$D101),'[1]Demanda requerida 2028'!$CB$71:$DL$71,0),FALSE)</f>
        <v>200</v>
      </c>
      <c r="I101" s="7">
        <f>VLOOKUP(I$1,'[1]Demanda requerida 2028'!$CB$75:$DL$98,MATCH(_xlfn.CONCAT(TEXT(DATE($A101,$B101,1),"mmm-yy"),$D101),'[1]Demanda requerida 2028'!$CB$71:$DL$71,0),FALSE)</f>
        <v>200</v>
      </c>
      <c r="J101" s="7">
        <f>VLOOKUP(J$1,'[1]Demanda requerida 2028'!$CB$75:$DL$98,MATCH(_xlfn.CONCAT(TEXT(DATE($A101,$B101,1),"mmm-yy"),$D101),'[1]Demanda requerida 2028'!$CB$71:$DL$71,0),FALSE)</f>
        <v>200</v>
      </c>
      <c r="K101" s="7">
        <f>VLOOKUP(K$1,'[1]Demanda requerida 2028'!$CB$75:$DL$98,MATCH(_xlfn.CONCAT(TEXT(DATE($A101,$B101,1),"mmm-yy"),$D101),'[1]Demanda requerida 2028'!$CB$71:$DL$71,0),FALSE)</f>
        <v>200</v>
      </c>
      <c r="L101" s="7">
        <f>VLOOKUP(L$1,'[1]Demanda requerida 2028'!$CB$75:$DL$98,MATCH(_xlfn.CONCAT(TEXT(DATE($A101,$B101,1),"mmm-yy"),$D101),'[1]Demanda requerida 2028'!$CB$71:$DL$71,0),FALSE)</f>
        <v>200</v>
      </c>
      <c r="M101" s="7">
        <f>VLOOKUP(M$1,'[1]Demanda requerida 2028'!$CB$75:$DL$98,MATCH(_xlfn.CONCAT(TEXT(DATE($A101,$B101,1),"mmm-yy"),$D101),'[1]Demanda requerida 2028'!$CB$71:$DL$71,0),FALSE)</f>
        <v>200</v>
      </c>
      <c r="N101" s="7">
        <f>VLOOKUP(N$1,'[1]Demanda requerida 2028'!$CB$75:$DL$98,MATCH(_xlfn.CONCAT(TEXT(DATE($A101,$B101,1),"mmm-yy"),$D101),'[1]Demanda requerida 2028'!$CB$71:$DL$71,0),FALSE)</f>
        <v>200</v>
      </c>
      <c r="O101" s="7">
        <f>VLOOKUP(O$1,'[1]Demanda requerida 2028'!$CB$75:$DL$98,MATCH(_xlfn.CONCAT(TEXT(DATE($A101,$B101,1),"mmm-yy"),$D101),'[1]Demanda requerida 2028'!$CB$71:$DL$71,0),FALSE)</f>
        <v>1107</v>
      </c>
      <c r="P101" s="7">
        <f>VLOOKUP(P$1,'[1]Demanda requerida 2028'!$CB$75:$DL$98,MATCH(_xlfn.CONCAT(TEXT(DATE($A101,$B101,1),"mmm-yy"),$D101),'[1]Demanda requerida 2028'!$CB$71:$DL$71,0),FALSE)</f>
        <v>2314</v>
      </c>
      <c r="Q101" s="7">
        <f>VLOOKUP(Q$1,'[1]Demanda requerida 2028'!$CB$75:$DL$98,MATCH(_xlfn.CONCAT(TEXT(DATE($A101,$B101,1),"mmm-yy"),$D101),'[1]Demanda requerida 2028'!$CB$71:$DL$71,0),FALSE)</f>
        <v>2900</v>
      </c>
      <c r="R101" s="7">
        <f>VLOOKUP(R$1,'[1]Demanda requerida 2028'!$CB$75:$DL$98,MATCH(_xlfn.CONCAT(TEXT(DATE($A101,$B101,1),"mmm-yy"),$D101),'[1]Demanda requerida 2028'!$CB$71:$DL$71,0),FALSE)</f>
        <v>2377</v>
      </c>
      <c r="S101" s="7">
        <f>VLOOKUP(S$1,'[1]Demanda requerida 2028'!$CB$75:$DL$98,MATCH(_xlfn.CONCAT(TEXT(DATE($A101,$B101,1),"mmm-yy"),$D101),'[1]Demanda requerida 2028'!$CB$71:$DL$71,0),FALSE)</f>
        <v>1028</v>
      </c>
      <c r="T101" s="7">
        <f>VLOOKUP(T$1,'[1]Demanda requerida 2028'!$CB$75:$DL$98,MATCH(_xlfn.CONCAT(TEXT(DATE($A101,$B101,1),"mmm-yy"),$D101),'[1]Demanda requerida 2028'!$CB$71:$DL$71,0),FALSE)</f>
        <v>195</v>
      </c>
      <c r="U101" s="7">
        <f>VLOOKUP(U$1,'[1]Demanda requerida 2028'!$CB$75:$DL$98,MATCH(_xlfn.CONCAT(TEXT(DATE($A101,$B101,1),"mmm-yy"),$D101),'[1]Demanda requerida 2028'!$CB$71:$DL$71,0),FALSE)</f>
        <v>200</v>
      </c>
      <c r="V101" s="7">
        <f>VLOOKUP(V$1,'[1]Demanda requerida 2028'!$CB$75:$DL$98,MATCH(_xlfn.CONCAT(TEXT(DATE($A101,$B101,1),"mmm-yy"),$D101),'[1]Demanda requerida 2028'!$CB$71:$DL$71,0),FALSE)</f>
        <v>1249</v>
      </c>
      <c r="W101" s="7">
        <f>VLOOKUP(W$1,'[1]Demanda requerida 2028'!$CB$75:$DL$98,MATCH(_xlfn.CONCAT(TEXT(DATE($A101,$B101,1),"mmm-yy"),$D101),'[1]Demanda requerida 2028'!$CB$71:$DL$71,0),FALSE)</f>
        <v>3028</v>
      </c>
      <c r="X101" s="7">
        <f>VLOOKUP(X$1,'[1]Demanda requerida 2028'!$CB$75:$DL$98,MATCH(_xlfn.CONCAT(TEXT(DATE($A101,$B101,1),"mmm-yy"),$D101),'[1]Demanda requerida 2028'!$CB$71:$DL$71,0),FALSE)</f>
        <v>3602</v>
      </c>
      <c r="Y101" s="7">
        <f>VLOOKUP(Y$1,'[1]Demanda requerida 2028'!$CB$75:$DL$98,MATCH(_xlfn.CONCAT(TEXT(DATE($A101,$B101,1),"mmm-yy"),$D101),'[1]Demanda requerida 2028'!$CB$71:$DL$71,0),FALSE)</f>
        <v>3122</v>
      </c>
      <c r="Z101" s="7">
        <f>VLOOKUP(Z$1,'[1]Demanda requerida 2028'!$CB$75:$DL$98,MATCH(_xlfn.CONCAT(TEXT(DATE($A101,$B101,1),"mmm-yy"),$D101),'[1]Demanda requerida 2028'!$CB$71:$DL$71,0),FALSE)</f>
        <v>1809</v>
      </c>
      <c r="AA101" s="7">
        <f>VLOOKUP(AA$1,'[1]Demanda requerida 2028'!$CB$75:$DL$98,MATCH(_xlfn.CONCAT(TEXT(DATE($A101,$B101,1),"mmm-yy"),$D101),'[1]Demanda requerida 2028'!$CB$71:$DL$71,0),FALSE)</f>
        <v>200</v>
      </c>
      <c r="AB101" s="7">
        <f>VLOOKUP(AB$1,'[1]Demanda requerida 2028'!$CB$75:$DL$98,MATCH(_xlfn.CONCAT(TEXT(DATE($A101,$B101,1),"mmm-yy"),$D101),'[1]Demanda requerida 2028'!$CB$71:$DL$71,0),FALSE)</f>
        <v>200</v>
      </c>
      <c r="AC101" s="82">
        <f t="shared" si="31"/>
        <v>25331</v>
      </c>
      <c r="AD101" s="76">
        <f t="shared" ref="AD101" si="36">+SUMPRODUCT(AC101:AC103,C101:C103)</f>
        <v>4590692</v>
      </c>
      <c r="AE101" s="85"/>
    </row>
    <row r="102" spans="1:31" x14ac:dyDescent="0.25">
      <c r="A102" s="13">
        <v>2028</v>
      </c>
      <c r="B102" s="1">
        <v>10</v>
      </c>
      <c r="C102" s="1">
        <v>21</v>
      </c>
      <c r="D102" s="1" t="s">
        <v>31</v>
      </c>
      <c r="E102" s="8">
        <f>VLOOKUP(E$1,'[1]Demanda requerida 2028'!$CB$75:$DL$98,MATCH(_xlfn.CONCAT(TEXT(DATE($A102,$B102,1),"mmm-yy"),$D102),'[1]Demanda requerida 2028'!$CB$71:$DL$71,0),FALSE)</f>
        <v>1622</v>
      </c>
      <c r="F102" s="8">
        <f>VLOOKUP(F$1,'[1]Demanda requerida 2028'!$CB$75:$DL$98,MATCH(_xlfn.CONCAT(TEXT(DATE($A102,$B102,1),"mmm-yy"),$D102),'[1]Demanda requerida 2028'!$CB$71:$DL$71,0),FALSE)</f>
        <v>821</v>
      </c>
      <c r="G102" s="8">
        <f>VLOOKUP(G$1,'[1]Demanda requerida 2028'!$CB$75:$DL$98,MATCH(_xlfn.CONCAT(TEXT(DATE($A102,$B102,1),"mmm-yy"),$D102),'[1]Demanda requerida 2028'!$CB$71:$DL$71,0),FALSE)</f>
        <v>39</v>
      </c>
      <c r="H102" s="8">
        <f>VLOOKUP(H$1,'[1]Demanda requerida 2028'!$CB$75:$DL$98,MATCH(_xlfn.CONCAT(TEXT(DATE($A102,$B102,1),"mmm-yy"),$D102),'[1]Demanda requerida 2028'!$CB$71:$DL$71,0),FALSE)</f>
        <v>200</v>
      </c>
      <c r="I102" s="8">
        <f>VLOOKUP(I$1,'[1]Demanda requerida 2028'!$CB$75:$DL$98,MATCH(_xlfn.CONCAT(TEXT(DATE($A102,$B102,1),"mmm-yy"),$D102),'[1]Demanda requerida 2028'!$CB$71:$DL$71,0),FALSE)</f>
        <v>200</v>
      </c>
      <c r="J102" s="8">
        <f>VLOOKUP(J$1,'[1]Demanda requerida 2028'!$CB$75:$DL$98,MATCH(_xlfn.CONCAT(TEXT(DATE($A102,$B102,1),"mmm-yy"),$D102),'[1]Demanda requerida 2028'!$CB$71:$DL$71,0),FALSE)</f>
        <v>643</v>
      </c>
      <c r="K102" s="8">
        <f>VLOOKUP(K$1,'[1]Demanda requerida 2028'!$CB$75:$DL$98,MATCH(_xlfn.CONCAT(TEXT(DATE($A102,$B102,1),"mmm-yy"),$D102),'[1]Demanda requerida 2028'!$CB$71:$DL$71,0),FALSE)</f>
        <v>2252</v>
      </c>
      <c r="L102" s="8">
        <f>VLOOKUP(L$1,'[1]Demanda requerida 2028'!$CB$75:$DL$98,MATCH(_xlfn.CONCAT(TEXT(DATE($A102,$B102,1),"mmm-yy"),$D102),'[1]Demanda requerida 2028'!$CB$71:$DL$71,0),FALSE)</f>
        <v>4270</v>
      </c>
      <c r="M102" s="8">
        <f>VLOOKUP(M$1,'[1]Demanda requerida 2028'!$CB$75:$DL$98,MATCH(_xlfn.CONCAT(TEXT(DATE($A102,$B102,1),"mmm-yy"),$D102),'[1]Demanda requerida 2028'!$CB$71:$DL$71,0),FALSE)</f>
        <v>7130</v>
      </c>
      <c r="N102" s="8">
        <f>VLOOKUP(N$1,'[1]Demanda requerida 2028'!$CB$75:$DL$98,MATCH(_xlfn.CONCAT(TEXT(DATE($A102,$B102,1),"mmm-yy"),$D102),'[1]Demanda requerida 2028'!$CB$71:$DL$71,0),FALSE)</f>
        <v>8212</v>
      </c>
      <c r="O102" s="8">
        <f>VLOOKUP(O$1,'[1]Demanda requerida 2028'!$CB$75:$DL$98,MATCH(_xlfn.CONCAT(TEXT(DATE($A102,$B102,1),"mmm-yy"),$D102),'[1]Demanda requerida 2028'!$CB$71:$DL$71,0),FALSE)</f>
        <v>9521</v>
      </c>
      <c r="P102" s="8">
        <f>VLOOKUP(P$1,'[1]Demanda requerida 2028'!$CB$75:$DL$98,MATCH(_xlfn.CONCAT(TEXT(DATE($A102,$B102,1),"mmm-yy"),$D102),'[1]Demanda requerida 2028'!$CB$71:$DL$71,0),FALSE)</f>
        <v>11095</v>
      </c>
      <c r="Q102" s="8">
        <f>VLOOKUP(Q$1,'[1]Demanda requerida 2028'!$CB$75:$DL$98,MATCH(_xlfn.CONCAT(TEXT(DATE($A102,$B102,1),"mmm-yy"),$D102),'[1]Demanda requerida 2028'!$CB$71:$DL$71,0),FALSE)</f>
        <v>11167</v>
      </c>
      <c r="R102" s="8">
        <f>VLOOKUP(R$1,'[1]Demanda requerida 2028'!$CB$75:$DL$98,MATCH(_xlfn.CONCAT(TEXT(DATE($A102,$B102,1),"mmm-yy"),$D102),'[1]Demanda requerida 2028'!$CB$71:$DL$71,0),FALSE)</f>
        <v>11247</v>
      </c>
      <c r="S102" s="8">
        <f>VLOOKUP(S$1,'[1]Demanda requerida 2028'!$CB$75:$DL$98,MATCH(_xlfn.CONCAT(TEXT(DATE($A102,$B102,1),"mmm-yy"),$D102),'[1]Demanda requerida 2028'!$CB$71:$DL$71,0),FALSE)</f>
        <v>10529</v>
      </c>
      <c r="T102" s="8">
        <f>VLOOKUP(T$1,'[1]Demanda requerida 2028'!$CB$75:$DL$98,MATCH(_xlfn.CONCAT(TEXT(DATE($A102,$B102,1),"mmm-yy"),$D102),'[1]Demanda requerida 2028'!$CB$71:$DL$71,0),FALSE)</f>
        <v>11077</v>
      </c>
      <c r="U102" s="8">
        <f>VLOOKUP(U$1,'[1]Demanda requerida 2028'!$CB$75:$DL$98,MATCH(_xlfn.CONCAT(TEXT(DATE($A102,$B102,1),"mmm-yy"),$D102),'[1]Demanda requerida 2028'!$CB$71:$DL$71,0),FALSE)</f>
        <v>10977</v>
      </c>
      <c r="V102" s="8">
        <f>VLOOKUP(V$1,'[1]Demanda requerida 2028'!$CB$75:$DL$98,MATCH(_xlfn.CONCAT(TEXT(DATE($A102,$B102,1),"mmm-yy"),$D102),'[1]Demanda requerida 2028'!$CB$71:$DL$71,0),FALSE)</f>
        <v>12608</v>
      </c>
      <c r="W102" s="8">
        <f>VLOOKUP(W$1,'[1]Demanda requerida 2028'!$CB$75:$DL$98,MATCH(_xlfn.CONCAT(TEXT(DATE($A102,$B102,1),"mmm-yy"),$D102),'[1]Demanda requerida 2028'!$CB$71:$DL$71,0),FALSE)</f>
        <v>14795</v>
      </c>
      <c r="X102" s="8">
        <f>VLOOKUP(X$1,'[1]Demanda requerida 2028'!$CB$75:$DL$98,MATCH(_xlfn.CONCAT(TEXT(DATE($A102,$B102,1),"mmm-yy"),$D102),'[1]Demanda requerida 2028'!$CB$71:$DL$71,0),FALSE)</f>
        <v>15317</v>
      </c>
      <c r="Y102" s="8">
        <f>VLOOKUP(Y$1,'[1]Demanda requerida 2028'!$CB$75:$DL$98,MATCH(_xlfn.CONCAT(TEXT(DATE($A102,$B102,1),"mmm-yy"),$D102),'[1]Demanda requerida 2028'!$CB$71:$DL$71,0),FALSE)</f>
        <v>13952</v>
      </c>
      <c r="Z102" s="8">
        <f>VLOOKUP(Z$1,'[1]Demanda requerida 2028'!$CB$75:$DL$98,MATCH(_xlfn.CONCAT(TEXT(DATE($A102,$B102,1),"mmm-yy"),$D102),'[1]Demanda requerida 2028'!$CB$71:$DL$71,0),FALSE)</f>
        <v>11565</v>
      </c>
      <c r="AA102" s="8">
        <f>VLOOKUP(AA$1,'[1]Demanda requerida 2028'!$CB$75:$DL$98,MATCH(_xlfn.CONCAT(TEXT(DATE($A102,$B102,1),"mmm-yy"),$D102),'[1]Demanda requerida 2028'!$CB$71:$DL$71,0),FALSE)</f>
        <v>8344</v>
      </c>
      <c r="AB102" s="8">
        <f>VLOOKUP(AB$1,'[1]Demanda requerida 2028'!$CB$75:$DL$98,MATCH(_xlfn.CONCAT(TEXT(DATE($A102,$B102,1),"mmm-yy"),$D102),'[1]Demanda requerida 2028'!$CB$71:$DL$71,0),FALSE)</f>
        <v>5451</v>
      </c>
      <c r="AC102" s="84">
        <f t="shared" si="31"/>
        <v>183034</v>
      </c>
      <c r="AD102" s="77"/>
      <c r="AE102" s="85"/>
    </row>
    <row r="103" spans="1:31" ht="15.75" thickBot="1" x14ac:dyDescent="0.3">
      <c r="A103" s="14">
        <v>2028</v>
      </c>
      <c r="B103" s="15">
        <v>10</v>
      </c>
      <c r="C103" s="15">
        <v>4</v>
      </c>
      <c r="D103" s="15" t="s">
        <v>6</v>
      </c>
      <c r="E103" s="9">
        <f>VLOOKUP(E$1,'[1]Demanda requerida 2028'!$CB$75:$DL$98,MATCH(_xlfn.CONCAT(TEXT(DATE($A103,$B103,1),"mmm-yy"),$D103),'[1]Demanda requerida 2028'!$CB$71:$DL$71,0),FALSE)</f>
        <v>813</v>
      </c>
      <c r="F103" s="9">
        <f>VLOOKUP(F$1,'[1]Demanda requerida 2028'!$CB$75:$DL$98,MATCH(_xlfn.CONCAT(TEXT(DATE($A103,$B103,1),"mmm-yy"),$D103),'[1]Demanda requerida 2028'!$CB$71:$DL$71,0),FALSE)</f>
        <v>200</v>
      </c>
      <c r="G103" s="9">
        <f>VLOOKUP(G$1,'[1]Demanda requerida 2028'!$CB$75:$DL$98,MATCH(_xlfn.CONCAT(TEXT(DATE($A103,$B103,1),"mmm-yy"),$D103),'[1]Demanda requerida 2028'!$CB$71:$DL$71,0),FALSE)</f>
        <v>200</v>
      </c>
      <c r="H103" s="9">
        <f>VLOOKUP(H$1,'[1]Demanda requerida 2028'!$CB$75:$DL$98,MATCH(_xlfn.CONCAT(TEXT(DATE($A103,$B103,1),"mmm-yy"),$D103),'[1]Demanda requerida 2028'!$CB$71:$DL$71,0),FALSE)</f>
        <v>200</v>
      </c>
      <c r="I103" s="9">
        <f>VLOOKUP(I$1,'[1]Demanda requerida 2028'!$CB$75:$DL$98,MATCH(_xlfn.CONCAT(TEXT(DATE($A103,$B103,1),"mmm-yy"),$D103),'[1]Demanda requerida 2028'!$CB$71:$DL$71,0),FALSE)</f>
        <v>200</v>
      </c>
      <c r="J103" s="9">
        <f>VLOOKUP(J$1,'[1]Demanda requerida 2028'!$CB$75:$DL$98,MATCH(_xlfn.CONCAT(TEXT(DATE($A103,$B103,1),"mmm-yy"),$D103),'[1]Demanda requerida 2028'!$CB$71:$DL$71,0),FALSE)</f>
        <v>200</v>
      </c>
      <c r="K103" s="9">
        <f>VLOOKUP(K$1,'[1]Demanda requerida 2028'!$CB$75:$DL$98,MATCH(_xlfn.CONCAT(TEXT(DATE($A103,$B103,1),"mmm-yy"),$D103),'[1]Demanda requerida 2028'!$CB$71:$DL$71,0),FALSE)</f>
        <v>200</v>
      </c>
      <c r="L103" s="9">
        <f>VLOOKUP(L$1,'[1]Demanda requerida 2028'!$CB$75:$DL$98,MATCH(_xlfn.CONCAT(TEXT(DATE($A103,$B103,1),"mmm-yy"),$D103),'[1]Demanda requerida 2028'!$CB$71:$DL$71,0),FALSE)</f>
        <v>306</v>
      </c>
      <c r="M103" s="9">
        <f>VLOOKUP(M$1,'[1]Demanda requerida 2028'!$CB$75:$DL$98,MATCH(_xlfn.CONCAT(TEXT(DATE($A103,$B103,1),"mmm-yy"),$D103),'[1]Demanda requerida 2028'!$CB$71:$DL$71,0),FALSE)</f>
        <v>3615</v>
      </c>
      <c r="N103" s="9">
        <f>VLOOKUP(N$1,'[1]Demanda requerida 2028'!$CB$75:$DL$98,MATCH(_xlfn.CONCAT(TEXT(DATE($A103,$B103,1),"mmm-yy"),$D103),'[1]Demanda requerida 2028'!$CB$71:$DL$71,0),FALSE)</f>
        <v>7435</v>
      </c>
      <c r="O103" s="9">
        <f>VLOOKUP(O$1,'[1]Demanda requerida 2028'!$CB$75:$DL$98,MATCH(_xlfn.CONCAT(TEXT(DATE($A103,$B103,1),"mmm-yy"),$D103),'[1]Demanda requerida 2028'!$CB$71:$DL$71,0),FALSE)</f>
        <v>8703</v>
      </c>
      <c r="P103" s="9">
        <f>VLOOKUP(P$1,'[1]Demanda requerida 2028'!$CB$75:$DL$98,MATCH(_xlfn.CONCAT(TEXT(DATE($A103,$B103,1),"mmm-yy"),$D103),'[1]Demanda requerida 2028'!$CB$71:$DL$71,0),FALSE)</f>
        <v>10592</v>
      </c>
      <c r="Q103" s="9">
        <f>VLOOKUP(Q$1,'[1]Demanda requerida 2028'!$CB$75:$DL$98,MATCH(_xlfn.CONCAT(TEXT(DATE($A103,$B103,1),"mmm-yy"),$D103),'[1]Demanda requerida 2028'!$CB$71:$DL$71,0),FALSE)</f>
        <v>10942</v>
      </c>
      <c r="R103" s="9">
        <f>VLOOKUP(R$1,'[1]Demanda requerida 2028'!$CB$75:$DL$98,MATCH(_xlfn.CONCAT(TEXT(DATE($A103,$B103,1),"mmm-yy"),$D103),'[1]Demanda requerida 2028'!$CB$71:$DL$71,0),FALSE)</f>
        <v>10342</v>
      </c>
      <c r="S103" s="9">
        <f>VLOOKUP(S$1,'[1]Demanda requerida 2028'!$CB$75:$DL$98,MATCH(_xlfn.CONCAT(TEXT(DATE($A103,$B103,1),"mmm-yy"),$D103),'[1]Demanda requerida 2028'!$CB$71:$DL$71,0),FALSE)</f>
        <v>9680</v>
      </c>
      <c r="T103" s="9">
        <f>VLOOKUP(T$1,'[1]Demanda requerida 2028'!$CB$75:$DL$98,MATCH(_xlfn.CONCAT(TEXT(DATE($A103,$B103,1),"mmm-yy"),$D103),'[1]Demanda requerida 2028'!$CB$71:$DL$71,0),FALSE)</f>
        <v>9122</v>
      </c>
      <c r="U103" s="9">
        <f>VLOOKUP(U$1,'[1]Demanda requerida 2028'!$CB$75:$DL$98,MATCH(_xlfn.CONCAT(TEXT(DATE($A103,$B103,1),"mmm-yy"),$D103),'[1]Demanda requerida 2028'!$CB$71:$DL$71,0),FALSE)</f>
        <v>8532</v>
      </c>
      <c r="V103" s="9">
        <f>VLOOKUP(V$1,'[1]Demanda requerida 2028'!$CB$75:$DL$98,MATCH(_xlfn.CONCAT(TEXT(DATE($A103,$B103,1),"mmm-yy"),$D103),'[1]Demanda requerida 2028'!$CB$71:$DL$71,0),FALSE)</f>
        <v>10164</v>
      </c>
      <c r="W103" s="9">
        <f>VLOOKUP(W$1,'[1]Demanda requerida 2028'!$CB$75:$DL$98,MATCH(_xlfn.CONCAT(TEXT(DATE($A103,$B103,1),"mmm-yy"),$D103),'[1]Demanda requerida 2028'!$CB$71:$DL$71,0),FALSE)</f>
        <v>12647</v>
      </c>
      <c r="X103" s="9">
        <f>VLOOKUP(X$1,'[1]Demanda requerida 2028'!$CB$75:$DL$98,MATCH(_xlfn.CONCAT(TEXT(DATE($A103,$B103,1),"mmm-yy"),$D103),'[1]Demanda requerida 2028'!$CB$71:$DL$71,0),FALSE)</f>
        <v>12065</v>
      </c>
      <c r="Y103" s="9">
        <f>VLOOKUP(Y$1,'[1]Demanda requerida 2028'!$CB$75:$DL$98,MATCH(_xlfn.CONCAT(TEXT(DATE($A103,$B103,1),"mmm-yy"),$D103),'[1]Demanda requerida 2028'!$CB$71:$DL$71,0),FALSE)</f>
        <v>11666</v>
      </c>
      <c r="Z103" s="9">
        <f>VLOOKUP(Z$1,'[1]Demanda requerida 2028'!$CB$75:$DL$98,MATCH(_xlfn.CONCAT(TEXT(DATE($A103,$B103,1),"mmm-yy"),$D103),'[1]Demanda requerida 2028'!$CB$71:$DL$71,0),FALSE)</f>
        <v>9831</v>
      </c>
      <c r="AA103" s="9">
        <f>VLOOKUP(AA$1,'[1]Demanda requerida 2028'!$CB$75:$DL$98,MATCH(_xlfn.CONCAT(TEXT(DATE($A103,$B103,1),"mmm-yy"),$D103),'[1]Demanda requerida 2028'!$CB$71:$DL$71,0),FALSE)</f>
        <v>7228</v>
      </c>
      <c r="AB103" s="9">
        <f>VLOOKUP(AB$1,'[1]Demanda requerida 2028'!$CB$75:$DL$98,MATCH(_xlfn.CONCAT(TEXT(DATE($A103,$B103,1),"mmm-yy"),$D103),'[1]Demanda requerida 2028'!$CB$71:$DL$71,0),FALSE)</f>
        <v>3865</v>
      </c>
      <c r="AC103" s="86">
        <f t="shared" si="31"/>
        <v>148748</v>
      </c>
      <c r="AD103" s="78"/>
      <c r="AE103" s="85"/>
    </row>
    <row r="104" spans="1:31" x14ac:dyDescent="0.25">
      <c r="A104" s="11">
        <v>2028</v>
      </c>
      <c r="B104" s="12">
        <v>11</v>
      </c>
      <c r="C104" s="12">
        <v>6</v>
      </c>
      <c r="D104" s="12" t="s">
        <v>5</v>
      </c>
      <c r="E104" s="7">
        <f>VLOOKUP(E$1,'[1]Demanda requerida 2028'!$CB$75:$DL$98,MATCH(_xlfn.CONCAT(TEXT(DATE($A104,$B104,1),"mmm-yy"),$D104),'[1]Demanda requerida 2028'!$CB$71:$DL$71,0),FALSE)</f>
        <v>200</v>
      </c>
      <c r="F104" s="7">
        <f>VLOOKUP(F$1,'[1]Demanda requerida 2028'!$CB$75:$DL$98,MATCH(_xlfn.CONCAT(TEXT(DATE($A104,$B104,1),"mmm-yy"),$D104),'[1]Demanda requerida 2028'!$CB$71:$DL$71,0),FALSE)</f>
        <v>200</v>
      </c>
      <c r="G104" s="7">
        <f>VLOOKUP(G$1,'[1]Demanda requerida 2028'!$CB$75:$DL$98,MATCH(_xlfn.CONCAT(TEXT(DATE($A104,$B104,1),"mmm-yy"),$D104),'[1]Demanda requerida 2028'!$CB$71:$DL$71,0),FALSE)</f>
        <v>200</v>
      </c>
      <c r="H104" s="7">
        <f>VLOOKUP(H$1,'[1]Demanda requerida 2028'!$CB$75:$DL$98,MATCH(_xlfn.CONCAT(TEXT(DATE($A104,$B104,1),"mmm-yy"),$D104),'[1]Demanda requerida 2028'!$CB$71:$DL$71,0),FALSE)</f>
        <v>200</v>
      </c>
      <c r="I104" s="7">
        <f>VLOOKUP(I$1,'[1]Demanda requerida 2028'!$CB$75:$DL$98,MATCH(_xlfn.CONCAT(TEXT(DATE($A104,$B104,1),"mmm-yy"),$D104),'[1]Demanda requerida 2028'!$CB$71:$DL$71,0),FALSE)</f>
        <v>200</v>
      </c>
      <c r="J104" s="7">
        <f>VLOOKUP(J$1,'[1]Demanda requerida 2028'!$CB$75:$DL$98,MATCH(_xlfn.CONCAT(TEXT(DATE($A104,$B104,1),"mmm-yy"),$D104),'[1]Demanda requerida 2028'!$CB$71:$DL$71,0),FALSE)</f>
        <v>200</v>
      </c>
      <c r="K104" s="7">
        <f>VLOOKUP(K$1,'[1]Demanda requerida 2028'!$CB$75:$DL$98,MATCH(_xlfn.CONCAT(TEXT(DATE($A104,$B104,1),"mmm-yy"),$D104),'[1]Demanda requerida 2028'!$CB$71:$DL$71,0),FALSE)</f>
        <v>200</v>
      </c>
      <c r="L104" s="7">
        <f>VLOOKUP(L$1,'[1]Demanda requerida 2028'!$CB$75:$DL$98,MATCH(_xlfn.CONCAT(TEXT(DATE($A104,$B104,1),"mmm-yy"),$D104),'[1]Demanda requerida 2028'!$CB$71:$DL$71,0),FALSE)</f>
        <v>200</v>
      </c>
      <c r="M104" s="7">
        <f>VLOOKUP(M$1,'[1]Demanda requerida 2028'!$CB$75:$DL$98,MATCH(_xlfn.CONCAT(TEXT(DATE($A104,$B104,1),"mmm-yy"),$D104),'[1]Demanda requerida 2028'!$CB$71:$DL$71,0),FALSE)</f>
        <v>200</v>
      </c>
      <c r="N104" s="7">
        <f>VLOOKUP(N$1,'[1]Demanda requerida 2028'!$CB$75:$DL$98,MATCH(_xlfn.CONCAT(TEXT(DATE($A104,$B104,1),"mmm-yy"),$D104),'[1]Demanda requerida 2028'!$CB$71:$DL$71,0),FALSE)</f>
        <v>200</v>
      </c>
      <c r="O104" s="7">
        <f>VLOOKUP(O$1,'[1]Demanda requerida 2028'!$CB$75:$DL$98,MATCH(_xlfn.CONCAT(TEXT(DATE($A104,$B104,1),"mmm-yy"),$D104),'[1]Demanda requerida 2028'!$CB$71:$DL$71,0),FALSE)</f>
        <v>200</v>
      </c>
      <c r="P104" s="7">
        <f>VLOOKUP(P$1,'[1]Demanda requerida 2028'!$CB$75:$DL$98,MATCH(_xlfn.CONCAT(TEXT(DATE($A104,$B104,1),"mmm-yy"),$D104),'[1]Demanda requerida 2028'!$CB$71:$DL$71,0),FALSE)</f>
        <v>200</v>
      </c>
      <c r="Q104" s="7">
        <f>VLOOKUP(Q$1,'[1]Demanda requerida 2028'!$CB$75:$DL$98,MATCH(_xlfn.CONCAT(TEXT(DATE($A104,$B104,1),"mmm-yy"),$D104),'[1]Demanda requerida 2028'!$CB$71:$DL$71,0),FALSE)</f>
        <v>200</v>
      </c>
      <c r="R104" s="7">
        <f>VLOOKUP(R$1,'[1]Demanda requerida 2028'!$CB$75:$DL$98,MATCH(_xlfn.CONCAT(TEXT(DATE($A104,$B104,1),"mmm-yy"),$D104),'[1]Demanda requerida 2028'!$CB$71:$DL$71,0),FALSE)</f>
        <v>200</v>
      </c>
      <c r="S104" s="7">
        <f>VLOOKUP(S$1,'[1]Demanda requerida 2028'!$CB$75:$DL$98,MATCH(_xlfn.CONCAT(TEXT(DATE($A104,$B104,1),"mmm-yy"),$D104),'[1]Demanda requerida 2028'!$CB$71:$DL$71,0),FALSE)</f>
        <v>200</v>
      </c>
      <c r="T104" s="7">
        <f>VLOOKUP(T$1,'[1]Demanda requerida 2028'!$CB$75:$DL$98,MATCH(_xlfn.CONCAT(TEXT(DATE($A104,$B104,1),"mmm-yy"),$D104),'[1]Demanda requerida 2028'!$CB$71:$DL$71,0),FALSE)</f>
        <v>200</v>
      </c>
      <c r="U104" s="7">
        <f>VLOOKUP(U$1,'[1]Demanda requerida 2028'!$CB$75:$DL$98,MATCH(_xlfn.CONCAT(TEXT(DATE($A104,$B104,1),"mmm-yy"),$D104),'[1]Demanda requerida 2028'!$CB$71:$DL$71,0),FALSE)</f>
        <v>200</v>
      </c>
      <c r="V104" s="7">
        <f>VLOOKUP(V$1,'[1]Demanda requerida 2028'!$CB$75:$DL$98,MATCH(_xlfn.CONCAT(TEXT(DATE($A104,$B104,1),"mmm-yy"),$D104),'[1]Demanda requerida 2028'!$CB$71:$DL$71,0),FALSE)</f>
        <v>200</v>
      </c>
      <c r="W104" s="7">
        <f>VLOOKUP(W$1,'[1]Demanda requerida 2028'!$CB$75:$DL$98,MATCH(_xlfn.CONCAT(TEXT(DATE($A104,$B104,1),"mmm-yy"),$D104),'[1]Demanda requerida 2028'!$CB$71:$DL$71,0),FALSE)</f>
        <v>1231</v>
      </c>
      <c r="X104" s="7">
        <f>VLOOKUP(X$1,'[1]Demanda requerida 2028'!$CB$75:$DL$98,MATCH(_xlfn.CONCAT(TEXT(DATE($A104,$B104,1),"mmm-yy"),$D104),'[1]Demanda requerida 2028'!$CB$71:$DL$71,0),FALSE)</f>
        <v>1034</v>
      </c>
      <c r="Y104" s="7">
        <f>VLOOKUP(Y$1,'[1]Demanda requerida 2028'!$CB$75:$DL$98,MATCH(_xlfn.CONCAT(TEXT(DATE($A104,$B104,1),"mmm-yy"),$D104),'[1]Demanda requerida 2028'!$CB$71:$DL$71,0),FALSE)</f>
        <v>508</v>
      </c>
      <c r="Z104" s="7">
        <f>VLOOKUP(Z$1,'[1]Demanda requerida 2028'!$CB$75:$DL$98,MATCH(_xlfn.CONCAT(TEXT(DATE($A104,$B104,1),"mmm-yy"),$D104),'[1]Demanda requerida 2028'!$CB$71:$DL$71,0),FALSE)</f>
        <v>200</v>
      </c>
      <c r="AA104" s="7">
        <f>VLOOKUP(AA$1,'[1]Demanda requerida 2028'!$CB$75:$DL$98,MATCH(_xlfn.CONCAT(TEXT(DATE($A104,$B104,1),"mmm-yy"),$D104),'[1]Demanda requerida 2028'!$CB$71:$DL$71,0),FALSE)</f>
        <v>200</v>
      </c>
      <c r="AB104" s="7">
        <f>VLOOKUP(AB$1,'[1]Demanda requerida 2028'!$CB$75:$DL$98,MATCH(_xlfn.CONCAT(TEXT(DATE($A104,$B104,1),"mmm-yy"),$D104),'[1]Demanda requerida 2028'!$CB$71:$DL$71,0),FALSE)</f>
        <v>200</v>
      </c>
      <c r="AC104" s="82">
        <f t="shared" si="31"/>
        <v>6973</v>
      </c>
      <c r="AD104" s="76">
        <f t="shared" ref="AD104" si="37">+SUMPRODUCT(AC104:AC106,C104:C106)</f>
        <v>6281282</v>
      </c>
      <c r="AE104" s="85"/>
    </row>
    <row r="105" spans="1:31" x14ac:dyDescent="0.25">
      <c r="A105" s="13">
        <v>2028</v>
      </c>
      <c r="B105" s="1">
        <v>11</v>
      </c>
      <c r="C105" s="1">
        <v>20</v>
      </c>
      <c r="D105" s="1" t="s">
        <v>31</v>
      </c>
      <c r="E105" s="8">
        <f>VLOOKUP(E$1,'[1]Demanda requerida 2028'!$CB$75:$DL$98,MATCH(_xlfn.CONCAT(TEXT(DATE($A105,$B105,1),"mmm-yy"),$D105),'[1]Demanda requerida 2028'!$CB$71:$DL$71,0),FALSE)</f>
        <v>5704</v>
      </c>
      <c r="F105" s="8">
        <f>VLOOKUP(F$1,'[1]Demanda requerida 2028'!$CB$75:$DL$98,MATCH(_xlfn.CONCAT(TEXT(DATE($A105,$B105,1),"mmm-yy"),$D105),'[1]Demanda requerida 2028'!$CB$71:$DL$71,0),FALSE)</f>
        <v>4424</v>
      </c>
      <c r="G105" s="8">
        <f>VLOOKUP(G$1,'[1]Demanda requerida 2028'!$CB$75:$DL$98,MATCH(_xlfn.CONCAT(TEXT(DATE($A105,$B105,1),"mmm-yy"),$D105),'[1]Demanda requerida 2028'!$CB$71:$DL$71,0),FALSE)</f>
        <v>3665</v>
      </c>
      <c r="H105" s="8">
        <f>VLOOKUP(H$1,'[1]Demanda requerida 2028'!$CB$75:$DL$98,MATCH(_xlfn.CONCAT(TEXT(DATE($A105,$B105,1),"mmm-yy"),$D105),'[1]Demanda requerida 2028'!$CB$71:$DL$71,0),FALSE)</f>
        <v>3006</v>
      </c>
      <c r="I105" s="8">
        <f>VLOOKUP(I$1,'[1]Demanda requerida 2028'!$CB$75:$DL$98,MATCH(_xlfn.CONCAT(TEXT(DATE($A105,$B105,1),"mmm-yy"),$D105),'[1]Demanda requerida 2028'!$CB$71:$DL$71,0),FALSE)</f>
        <v>2910</v>
      </c>
      <c r="J105" s="8">
        <f>VLOOKUP(J$1,'[1]Demanda requerida 2028'!$CB$75:$DL$98,MATCH(_xlfn.CONCAT(TEXT(DATE($A105,$B105,1),"mmm-yy"),$D105),'[1]Demanda requerida 2028'!$CB$71:$DL$71,0),FALSE)</f>
        <v>4070</v>
      </c>
      <c r="K105" s="8">
        <f>VLOOKUP(K$1,'[1]Demanda requerida 2028'!$CB$75:$DL$98,MATCH(_xlfn.CONCAT(TEXT(DATE($A105,$B105,1),"mmm-yy"),$D105),'[1]Demanda requerida 2028'!$CB$71:$DL$71,0),FALSE)</f>
        <v>5804</v>
      </c>
      <c r="L105" s="8">
        <f>VLOOKUP(L$1,'[1]Demanda requerida 2028'!$CB$75:$DL$98,MATCH(_xlfn.CONCAT(TEXT(DATE($A105,$B105,1),"mmm-yy"),$D105),'[1]Demanda requerida 2028'!$CB$71:$DL$71,0),FALSE)</f>
        <v>7926</v>
      </c>
      <c r="M105" s="8">
        <f>VLOOKUP(M$1,'[1]Demanda requerida 2028'!$CB$75:$DL$98,MATCH(_xlfn.CONCAT(TEXT(DATE($A105,$B105,1),"mmm-yy"),$D105),'[1]Demanda requerida 2028'!$CB$71:$DL$71,0),FALSE)</f>
        <v>10766</v>
      </c>
      <c r="N105" s="8">
        <f>VLOOKUP(N$1,'[1]Demanda requerida 2028'!$CB$75:$DL$98,MATCH(_xlfn.CONCAT(TEXT(DATE($A105,$B105,1),"mmm-yy"),$D105),'[1]Demanda requerida 2028'!$CB$71:$DL$71,0),FALSE)</f>
        <v>12725</v>
      </c>
      <c r="O105" s="8">
        <f>VLOOKUP(O$1,'[1]Demanda requerida 2028'!$CB$75:$DL$98,MATCH(_xlfn.CONCAT(TEXT(DATE($A105,$B105,1),"mmm-yy"),$D105),'[1]Demanda requerida 2028'!$CB$71:$DL$71,0),FALSE)</f>
        <v>14077</v>
      </c>
      <c r="P105" s="8">
        <f>VLOOKUP(P$1,'[1]Demanda requerida 2028'!$CB$75:$DL$98,MATCH(_xlfn.CONCAT(TEXT(DATE($A105,$B105,1),"mmm-yy"),$D105),'[1]Demanda requerida 2028'!$CB$71:$DL$71,0),FALSE)</f>
        <v>15821</v>
      </c>
      <c r="Q105" s="8">
        <f>VLOOKUP(Q$1,'[1]Demanda requerida 2028'!$CB$75:$DL$98,MATCH(_xlfn.CONCAT(TEXT(DATE($A105,$B105,1),"mmm-yy"),$D105),'[1]Demanda requerida 2028'!$CB$71:$DL$71,0),FALSE)</f>
        <v>15787</v>
      </c>
      <c r="R105" s="8">
        <f>VLOOKUP(R$1,'[1]Demanda requerida 2028'!$CB$75:$DL$98,MATCH(_xlfn.CONCAT(TEXT(DATE($A105,$B105,1),"mmm-yy"),$D105),'[1]Demanda requerida 2028'!$CB$71:$DL$71,0),FALSE)</f>
        <v>15738</v>
      </c>
      <c r="S105" s="8">
        <f>VLOOKUP(S$1,'[1]Demanda requerida 2028'!$CB$75:$DL$98,MATCH(_xlfn.CONCAT(TEXT(DATE($A105,$B105,1),"mmm-yy"),$D105),'[1]Demanda requerida 2028'!$CB$71:$DL$71,0),FALSE)</f>
        <v>15339</v>
      </c>
      <c r="T105" s="8">
        <f>VLOOKUP(T$1,'[1]Demanda requerida 2028'!$CB$75:$DL$98,MATCH(_xlfn.CONCAT(TEXT(DATE($A105,$B105,1),"mmm-yy"),$D105),'[1]Demanda requerida 2028'!$CB$71:$DL$71,0),FALSE)</f>
        <v>15283</v>
      </c>
      <c r="U105" s="8">
        <f>VLOOKUP(U$1,'[1]Demanda requerida 2028'!$CB$75:$DL$98,MATCH(_xlfn.CONCAT(TEXT(DATE($A105,$B105,1),"mmm-yy"),$D105),'[1]Demanda requerida 2028'!$CB$71:$DL$71,0),FALSE)</f>
        <v>14794</v>
      </c>
      <c r="V105" s="8">
        <f>VLOOKUP(V$1,'[1]Demanda requerida 2028'!$CB$75:$DL$98,MATCH(_xlfn.CONCAT(TEXT(DATE($A105,$B105,1),"mmm-yy"),$D105),'[1]Demanda requerida 2028'!$CB$71:$DL$71,0),FALSE)</f>
        <v>16202</v>
      </c>
      <c r="W105" s="8">
        <f>VLOOKUP(W$1,'[1]Demanda requerida 2028'!$CB$75:$DL$98,MATCH(_xlfn.CONCAT(TEXT(DATE($A105,$B105,1),"mmm-yy"),$D105),'[1]Demanda requerida 2028'!$CB$71:$DL$71,0),FALSE)</f>
        <v>18902</v>
      </c>
      <c r="X105" s="8">
        <f>VLOOKUP(X$1,'[1]Demanda requerida 2028'!$CB$75:$DL$98,MATCH(_xlfn.CONCAT(TEXT(DATE($A105,$B105,1),"mmm-yy"),$D105),'[1]Demanda requerida 2028'!$CB$71:$DL$71,0),FALSE)</f>
        <v>18871</v>
      </c>
      <c r="Y105" s="8">
        <f>VLOOKUP(Y$1,'[1]Demanda requerida 2028'!$CB$75:$DL$98,MATCH(_xlfn.CONCAT(TEXT(DATE($A105,$B105,1),"mmm-yy"),$D105),'[1]Demanda requerida 2028'!$CB$71:$DL$71,0),FALSE)</f>
        <v>17535</v>
      </c>
      <c r="Z105" s="8">
        <f>VLOOKUP(Z$1,'[1]Demanda requerida 2028'!$CB$75:$DL$98,MATCH(_xlfn.CONCAT(TEXT(DATE($A105,$B105,1),"mmm-yy"),$D105),'[1]Demanda requerida 2028'!$CB$71:$DL$71,0),FALSE)</f>
        <v>14986</v>
      </c>
      <c r="AA105" s="8">
        <f>VLOOKUP(AA$1,'[1]Demanda requerida 2028'!$CB$75:$DL$98,MATCH(_xlfn.CONCAT(TEXT(DATE($A105,$B105,1),"mmm-yy"),$D105),'[1]Demanda requerida 2028'!$CB$71:$DL$71,0),FALSE)</f>
        <v>11806</v>
      </c>
      <c r="AB105" s="8">
        <f>VLOOKUP(AB$1,'[1]Demanda requerida 2028'!$CB$75:$DL$98,MATCH(_xlfn.CONCAT(TEXT(DATE($A105,$B105,1),"mmm-yy"),$D105),'[1]Demanda requerida 2028'!$CB$71:$DL$71,0),FALSE)</f>
        <v>8874</v>
      </c>
      <c r="AC105" s="84">
        <f t="shared" si="31"/>
        <v>275015</v>
      </c>
      <c r="AD105" s="77"/>
      <c r="AE105" s="85"/>
    </row>
    <row r="106" spans="1:31" ht="15.75" thickBot="1" x14ac:dyDescent="0.3">
      <c r="A106" s="14">
        <v>2028</v>
      </c>
      <c r="B106" s="15">
        <v>11</v>
      </c>
      <c r="C106" s="15">
        <v>4</v>
      </c>
      <c r="D106" s="15" t="s">
        <v>6</v>
      </c>
      <c r="E106" s="9">
        <f>VLOOKUP(E$1,'[1]Demanda requerida 2028'!$CB$75:$DL$98,MATCH(_xlfn.CONCAT(TEXT(DATE($A106,$B106,1),"mmm-yy"),$D106),'[1]Demanda requerida 2028'!$CB$71:$DL$71,0),FALSE)</f>
        <v>2565</v>
      </c>
      <c r="F106" s="9">
        <f>VLOOKUP(F$1,'[1]Demanda requerida 2028'!$CB$75:$DL$98,MATCH(_xlfn.CONCAT(TEXT(DATE($A106,$B106,1),"mmm-yy"),$D106),'[1]Demanda requerida 2028'!$CB$71:$DL$71,0),FALSE)</f>
        <v>1522</v>
      </c>
      <c r="G106" s="9">
        <f>VLOOKUP(G$1,'[1]Demanda requerida 2028'!$CB$75:$DL$98,MATCH(_xlfn.CONCAT(TEXT(DATE($A106,$B106,1),"mmm-yy"),$D106),'[1]Demanda requerida 2028'!$CB$71:$DL$71,0),FALSE)</f>
        <v>606</v>
      </c>
      <c r="H106" s="9">
        <f>VLOOKUP(H$1,'[1]Demanda requerida 2028'!$CB$75:$DL$98,MATCH(_xlfn.CONCAT(TEXT(DATE($A106,$B106,1),"mmm-yy"),$D106),'[1]Demanda requerida 2028'!$CB$71:$DL$71,0),FALSE)</f>
        <v>200</v>
      </c>
      <c r="I106" s="9">
        <f>VLOOKUP(I$1,'[1]Demanda requerida 2028'!$CB$75:$DL$98,MATCH(_xlfn.CONCAT(TEXT(DATE($A106,$B106,1),"mmm-yy"),$D106),'[1]Demanda requerida 2028'!$CB$71:$DL$71,0),FALSE)</f>
        <v>200</v>
      </c>
      <c r="J106" s="9">
        <f>VLOOKUP(J$1,'[1]Demanda requerida 2028'!$CB$75:$DL$98,MATCH(_xlfn.CONCAT(TEXT(DATE($A106,$B106,1),"mmm-yy"),$D106),'[1]Demanda requerida 2028'!$CB$71:$DL$71,0),FALSE)</f>
        <v>411</v>
      </c>
      <c r="K106" s="9">
        <f>VLOOKUP(K$1,'[1]Demanda requerida 2028'!$CB$75:$DL$98,MATCH(_xlfn.CONCAT(TEXT(DATE($A106,$B106,1),"mmm-yy"),$D106),'[1]Demanda requerida 2028'!$CB$71:$DL$71,0),FALSE)</f>
        <v>1252</v>
      </c>
      <c r="L106" s="9">
        <f>VLOOKUP(L$1,'[1]Demanda requerida 2028'!$CB$75:$DL$98,MATCH(_xlfn.CONCAT(TEXT(DATE($A106,$B106,1),"mmm-yy"),$D106),'[1]Demanda requerida 2028'!$CB$71:$DL$71,0),FALSE)</f>
        <v>3304</v>
      </c>
      <c r="M106" s="9">
        <f>VLOOKUP(M$1,'[1]Demanda requerida 2028'!$CB$75:$DL$98,MATCH(_xlfn.CONCAT(TEXT(DATE($A106,$B106,1),"mmm-yy"),$D106),'[1]Demanda requerida 2028'!$CB$71:$DL$71,0),FALSE)</f>
        <v>6858</v>
      </c>
      <c r="N106" s="9">
        <f>VLOOKUP(N$1,'[1]Demanda requerida 2028'!$CB$75:$DL$98,MATCH(_xlfn.CONCAT(TEXT(DATE($A106,$B106,1),"mmm-yy"),$D106),'[1]Demanda requerida 2028'!$CB$71:$DL$71,0),FALSE)</f>
        <v>8735</v>
      </c>
      <c r="O106" s="9">
        <f>VLOOKUP(O$1,'[1]Demanda requerida 2028'!$CB$75:$DL$98,MATCH(_xlfn.CONCAT(TEXT(DATE($A106,$B106,1),"mmm-yy"),$D106),'[1]Demanda requerida 2028'!$CB$71:$DL$71,0),FALSE)</f>
        <v>10140</v>
      </c>
      <c r="P106" s="9">
        <f>VLOOKUP(P$1,'[1]Demanda requerida 2028'!$CB$75:$DL$98,MATCH(_xlfn.CONCAT(TEXT(DATE($A106,$B106,1),"mmm-yy"),$D106),'[1]Demanda requerida 2028'!$CB$71:$DL$71,0),FALSE)</f>
        <v>11627</v>
      </c>
      <c r="Q106" s="9">
        <f>VLOOKUP(Q$1,'[1]Demanda requerida 2028'!$CB$75:$DL$98,MATCH(_xlfn.CONCAT(TEXT(DATE($A106,$B106,1),"mmm-yy"),$D106),'[1]Demanda requerida 2028'!$CB$71:$DL$71,0),FALSE)</f>
        <v>12211</v>
      </c>
      <c r="R106" s="9">
        <f>VLOOKUP(R$1,'[1]Demanda requerida 2028'!$CB$75:$DL$98,MATCH(_xlfn.CONCAT(TEXT(DATE($A106,$B106,1),"mmm-yy"),$D106),'[1]Demanda requerida 2028'!$CB$71:$DL$71,0),FALSE)</f>
        <v>11613</v>
      </c>
      <c r="S106" s="9">
        <f>VLOOKUP(S$1,'[1]Demanda requerida 2028'!$CB$75:$DL$98,MATCH(_xlfn.CONCAT(TEXT(DATE($A106,$B106,1),"mmm-yy"),$D106),'[1]Demanda requerida 2028'!$CB$71:$DL$71,0),FALSE)</f>
        <v>10831</v>
      </c>
      <c r="T106" s="9">
        <f>VLOOKUP(T$1,'[1]Demanda requerida 2028'!$CB$75:$DL$98,MATCH(_xlfn.CONCAT(TEXT(DATE($A106,$B106,1),"mmm-yy"),$D106),'[1]Demanda requerida 2028'!$CB$71:$DL$71,0),FALSE)</f>
        <v>10194</v>
      </c>
      <c r="U106" s="9">
        <f>VLOOKUP(U$1,'[1]Demanda requerida 2028'!$CB$75:$DL$98,MATCH(_xlfn.CONCAT(TEXT(DATE($A106,$B106,1),"mmm-yy"),$D106),'[1]Demanda requerida 2028'!$CB$71:$DL$71,0),FALSE)</f>
        <v>9509</v>
      </c>
      <c r="V106" s="9">
        <f>VLOOKUP(V$1,'[1]Demanda requerida 2028'!$CB$75:$DL$98,MATCH(_xlfn.CONCAT(TEXT(DATE($A106,$B106,1),"mmm-yy"),$D106),'[1]Demanda requerida 2028'!$CB$71:$DL$71,0),FALSE)</f>
        <v>11814</v>
      </c>
      <c r="W106" s="9">
        <f>VLOOKUP(W$1,'[1]Demanda requerida 2028'!$CB$75:$DL$98,MATCH(_xlfn.CONCAT(TEXT(DATE($A106,$B106,1),"mmm-yy"),$D106),'[1]Demanda requerida 2028'!$CB$71:$DL$71,0),FALSE)</f>
        <v>14817</v>
      </c>
      <c r="X106" s="9">
        <f>VLOOKUP(X$1,'[1]Demanda requerida 2028'!$CB$75:$DL$98,MATCH(_xlfn.CONCAT(TEXT(DATE($A106,$B106,1),"mmm-yy"),$D106),'[1]Demanda requerida 2028'!$CB$71:$DL$71,0),FALSE)</f>
        <v>14750</v>
      </c>
      <c r="Y106" s="9">
        <f>VLOOKUP(Y$1,'[1]Demanda requerida 2028'!$CB$75:$DL$98,MATCH(_xlfn.CONCAT(TEXT(DATE($A106,$B106,1),"mmm-yy"),$D106),'[1]Demanda requerida 2028'!$CB$71:$DL$71,0),FALSE)</f>
        <v>13682</v>
      </c>
      <c r="Z106" s="9">
        <f>VLOOKUP(Z$1,'[1]Demanda requerida 2028'!$CB$75:$DL$98,MATCH(_xlfn.CONCAT(TEXT(DATE($A106,$B106,1),"mmm-yy"),$D106),'[1]Demanda requerida 2028'!$CB$71:$DL$71,0),FALSE)</f>
        <v>11678</v>
      </c>
      <c r="AA106" s="9">
        <f>VLOOKUP(AA$1,'[1]Demanda requerida 2028'!$CB$75:$DL$98,MATCH(_xlfn.CONCAT(TEXT(DATE($A106,$B106,1),"mmm-yy"),$D106),'[1]Demanda requerida 2028'!$CB$71:$DL$71,0),FALSE)</f>
        <v>9428</v>
      </c>
      <c r="AB106" s="9">
        <f>VLOOKUP(AB$1,'[1]Demanda requerida 2028'!$CB$75:$DL$98,MATCH(_xlfn.CONCAT(TEXT(DATE($A106,$B106,1),"mmm-yy"),$D106),'[1]Demanda requerida 2028'!$CB$71:$DL$71,0),FALSE)</f>
        <v>6839</v>
      </c>
      <c r="AC106" s="86">
        <f t="shared" si="31"/>
        <v>184786</v>
      </c>
      <c r="AD106" s="78"/>
      <c r="AE106" s="85"/>
    </row>
    <row r="107" spans="1:31" x14ac:dyDescent="0.25">
      <c r="A107" s="11">
        <v>2028</v>
      </c>
      <c r="B107" s="12">
        <v>12</v>
      </c>
      <c r="C107" s="12">
        <v>7</v>
      </c>
      <c r="D107" s="12" t="s">
        <v>5</v>
      </c>
      <c r="E107" s="7">
        <f>VLOOKUP(E$1,'[1]Demanda requerida 2028'!$CB$75:$DL$98,MATCH(_xlfn.CONCAT(TEXT(DATE($A107,$B107,1),"mmm-yy"),$D107),'[1]Demanda requerida 2028'!$CB$71:$DL$71,0),FALSE)</f>
        <v>200</v>
      </c>
      <c r="F107" s="7">
        <f>VLOOKUP(F$1,'[1]Demanda requerida 2028'!$CB$75:$DL$98,MATCH(_xlfn.CONCAT(TEXT(DATE($A107,$B107,1),"mmm-yy"),$D107),'[1]Demanda requerida 2028'!$CB$71:$DL$71,0),FALSE)</f>
        <v>200</v>
      </c>
      <c r="G107" s="7">
        <f>VLOOKUP(G$1,'[1]Demanda requerida 2028'!$CB$75:$DL$98,MATCH(_xlfn.CONCAT(TEXT(DATE($A107,$B107,1),"mmm-yy"),$D107),'[1]Demanda requerida 2028'!$CB$71:$DL$71,0),FALSE)</f>
        <v>200</v>
      </c>
      <c r="H107" s="7">
        <f>VLOOKUP(H$1,'[1]Demanda requerida 2028'!$CB$75:$DL$98,MATCH(_xlfn.CONCAT(TEXT(DATE($A107,$B107,1),"mmm-yy"),$D107),'[1]Demanda requerida 2028'!$CB$71:$DL$71,0),FALSE)</f>
        <v>200</v>
      </c>
      <c r="I107" s="7">
        <f>VLOOKUP(I$1,'[1]Demanda requerida 2028'!$CB$75:$DL$98,MATCH(_xlfn.CONCAT(TEXT(DATE($A107,$B107,1),"mmm-yy"),$D107),'[1]Demanda requerida 2028'!$CB$71:$DL$71,0),FALSE)</f>
        <v>200</v>
      </c>
      <c r="J107" s="7">
        <f>VLOOKUP(J$1,'[1]Demanda requerida 2028'!$CB$75:$DL$98,MATCH(_xlfn.CONCAT(TEXT(DATE($A107,$B107,1),"mmm-yy"),$D107),'[1]Demanda requerida 2028'!$CB$71:$DL$71,0),FALSE)</f>
        <v>200</v>
      </c>
      <c r="K107" s="7">
        <f>VLOOKUP(K$1,'[1]Demanda requerida 2028'!$CB$75:$DL$98,MATCH(_xlfn.CONCAT(TEXT(DATE($A107,$B107,1),"mmm-yy"),$D107),'[1]Demanda requerida 2028'!$CB$71:$DL$71,0),FALSE)</f>
        <v>200</v>
      </c>
      <c r="L107" s="7">
        <f>VLOOKUP(L$1,'[1]Demanda requerida 2028'!$CB$75:$DL$98,MATCH(_xlfn.CONCAT(TEXT(DATE($A107,$B107,1),"mmm-yy"),$D107),'[1]Demanda requerida 2028'!$CB$71:$DL$71,0),FALSE)</f>
        <v>200</v>
      </c>
      <c r="M107" s="7">
        <f>VLOOKUP(M$1,'[1]Demanda requerida 2028'!$CB$75:$DL$98,MATCH(_xlfn.CONCAT(TEXT(DATE($A107,$B107,1),"mmm-yy"),$D107),'[1]Demanda requerida 2028'!$CB$71:$DL$71,0),FALSE)</f>
        <v>200</v>
      </c>
      <c r="N107" s="7">
        <f>VLOOKUP(N$1,'[1]Demanda requerida 2028'!$CB$75:$DL$98,MATCH(_xlfn.CONCAT(TEXT(DATE($A107,$B107,1),"mmm-yy"),$D107),'[1]Demanda requerida 2028'!$CB$71:$DL$71,0),FALSE)</f>
        <v>200</v>
      </c>
      <c r="O107" s="7">
        <f>VLOOKUP(O$1,'[1]Demanda requerida 2028'!$CB$75:$DL$98,MATCH(_xlfn.CONCAT(TEXT(DATE($A107,$B107,1),"mmm-yy"),$D107),'[1]Demanda requerida 2028'!$CB$71:$DL$71,0),FALSE)</f>
        <v>200</v>
      </c>
      <c r="P107" s="7">
        <f>VLOOKUP(P$1,'[1]Demanda requerida 2028'!$CB$75:$DL$98,MATCH(_xlfn.CONCAT(TEXT(DATE($A107,$B107,1),"mmm-yy"),$D107),'[1]Demanda requerida 2028'!$CB$71:$DL$71,0),FALSE)</f>
        <v>200</v>
      </c>
      <c r="Q107" s="7">
        <f>VLOOKUP(Q$1,'[1]Demanda requerida 2028'!$CB$75:$DL$98,MATCH(_xlfn.CONCAT(TEXT(DATE($A107,$B107,1),"mmm-yy"),$D107),'[1]Demanda requerida 2028'!$CB$71:$DL$71,0),FALSE)</f>
        <v>200</v>
      </c>
      <c r="R107" s="7">
        <f>VLOOKUP(R$1,'[1]Demanda requerida 2028'!$CB$75:$DL$98,MATCH(_xlfn.CONCAT(TEXT(DATE($A107,$B107,1),"mmm-yy"),$D107),'[1]Demanda requerida 2028'!$CB$71:$DL$71,0),FALSE)</f>
        <v>200</v>
      </c>
      <c r="S107" s="7">
        <f>VLOOKUP(S$1,'[1]Demanda requerida 2028'!$CB$75:$DL$98,MATCH(_xlfn.CONCAT(TEXT(DATE($A107,$B107,1),"mmm-yy"),$D107),'[1]Demanda requerida 2028'!$CB$71:$DL$71,0),FALSE)</f>
        <v>200</v>
      </c>
      <c r="T107" s="7">
        <f>VLOOKUP(T$1,'[1]Demanda requerida 2028'!$CB$75:$DL$98,MATCH(_xlfn.CONCAT(TEXT(DATE($A107,$B107,1),"mmm-yy"),$D107),'[1]Demanda requerida 2028'!$CB$71:$DL$71,0),FALSE)</f>
        <v>200</v>
      </c>
      <c r="U107" s="7">
        <f>VLOOKUP(U$1,'[1]Demanda requerida 2028'!$CB$75:$DL$98,MATCH(_xlfn.CONCAT(TEXT(DATE($A107,$B107,1),"mmm-yy"),$D107),'[1]Demanda requerida 2028'!$CB$71:$DL$71,0),FALSE)</f>
        <v>200</v>
      </c>
      <c r="V107" s="7">
        <f>VLOOKUP(V$1,'[1]Demanda requerida 2028'!$CB$75:$DL$98,MATCH(_xlfn.CONCAT(TEXT(DATE($A107,$B107,1),"mmm-yy"),$D107),'[1]Demanda requerida 2028'!$CB$71:$DL$71,0),FALSE)</f>
        <v>200</v>
      </c>
      <c r="W107" s="7">
        <f>VLOOKUP(W$1,'[1]Demanda requerida 2028'!$CB$75:$DL$98,MATCH(_xlfn.CONCAT(TEXT(DATE($A107,$B107,1),"mmm-yy"),$D107),'[1]Demanda requerida 2028'!$CB$71:$DL$71,0),FALSE)</f>
        <v>1052</v>
      </c>
      <c r="X107" s="7">
        <f>VLOOKUP(X$1,'[1]Demanda requerida 2028'!$CB$75:$DL$98,MATCH(_xlfn.CONCAT(TEXT(DATE($A107,$B107,1),"mmm-yy"),$D107),'[1]Demanda requerida 2028'!$CB$71:$DL$71,0),FALSE)</f>
        <v>1412</v>
      </c>
      <c r="Y107" s="7">
        <f>VLOOKUP(Y$1,'[1]Demanda requerida 2028'!$CB$75:$DL$98,MATCH(_xlfn.CONCAT(TEXT(DATE($A107,$B107,1),"mmm-yy"),$D107),'[1]Demanda requerida 2028'!$CB$71:$DL$71,0),FALSE)</f>
        <v>958</v>
      </c>
      <c r="Z107" s="7">
        <f>VLOOKUP(Z$1,'[1]Demanda requerida 2028'!$CB$75:$DL$98,MATCH(_xlfn.CONCAT(TEXT(DATE($A107,$B107,1),"mmm-yy"),$D107),'[1]Demanda requerida 2028'!$CB$71:$DL$71,0),FALSE)</f>
        <v>88</v>
      </c>
      <c r="AA107" s="7">
        <f>VLOOKUP(AA$1,'[1]Demanda requerida 2028'!$CB$75:$DL$98,MATCH(_xlfn.CONCAT(TEXT(DATE($A107,$B107,1),"mmm-yy"),$D107),'[1]Demanda requerida 2028'!$CB$71:$DL$71,0),FALSE)</f>
        <v>200</v>
      </c>
      <c r="AB107" s="7">
        <f>VLOOKUP(AB$1,'[1]Demanda requerida 2028'!$CB$75:$DL$98,MATCH(_xlfn.CONCAT(TEXT(DATE($A107,$B107,1),"mmm-yy"),$D107),'[1]Demanda requerida 2028'!$CB$71:$DL$71,0),FALSE)</f>
        <v>200</v>
      </c>
      <c r="AC107" s="82">
        <f t="shared" si="31"/>
        <v>7510</v>
      </c>
      <c r="AD107" s="76">
        <f t="shared" ref="AD107" si="38">+SUMPRODUCT(AC107:AC109,C107:C109)</f>
        <v>8446745</v>
      </c>
      <c r="AE107" s="85"/>
    </row>
    <row r="108" spans="1:31" x14ac:dyDescent="0.25">
      <c r="A108" s="13">
        <v>2028</v>
      </c>
      <c r="B108" s="1">
        <v>12</v>
      </c>
      <c r="C108" s="1">
        <v>19</v>
      </c>
      <c r="D108" s="1" t="s">
        <v>31</v>
      </c>
      <c r="E108" s="8">
        <f>VLOOKUP(E$1,'[1]Demanda requerida 2028'!$CB$75:$DL$98,MATCH(_xlfn.CONCAT(TEXT(DATE($A108,$B108,1),"mmm-yy"),$D108),'[1]Demanda requerida 2028'!$CB$71:$DL$71,0),FALSE)</f>
        <v>10741</v>
      </c>
      <c r="F108" s="8">
        <f>VLOOKUP(F$1,'[1]Demanda requerida 2028'!$CB$75:$DL$98,MATCH(_xlfn.CONCAT(TEXT(DATE($A108,$B108,1),"mmm-yy"),$D108),'[1]Demanda requerida 2028'!$CB$71:$DL$71,0),FALSE)</f>
        <v>9457</v>
      </c>
      <c r="G108" s="8">
        <f>VLOOKUP(G$1,'[1]Demanda requerida 2028'!$CB$75:$DL$98,MATCH(_xlfn.CONCAT(TEXT(DATE($A108,$B108,1),"mmm-yy"),$D108),'[1]Demanda requerida 2028'!$CB$71:$DL$71,0),FALSE)</f>
        <v>8473</v>
      </c>
      <c r="H108" s="8">
        <f>VLOOKUP(H$1,'[1]Demanda requerida 2028'!$CB$75:$DL$98,MATCH(_xlfn.CONCAT(TEXT(DATE($A108,$B108,1),"mmm-yy"),$D108),'[1]Demanda requerida 2028'!$CB$71:$DL$71,0),FALSE)</f>
        <v>7814</v>
      </c>
      <c r="I108" s="8">
        <f>VLOOKUP(I$1,'[1]Demanda requerida 2028'!$CB$75:$DL$98,MATCH(_xlfn.CONCAT(TEXT(DATE($A108,$B108,1),"mmm-yy"),$D108),'[1]Demanda requerida 2028'!$CB$71:$DL$71,0),FALSE)</f>
        <v>7660</v>
      </c>
      <c r="J108" s="8">
        <f>VLOOKUP(J$1,'[1]Demanda requerida 2028'!$CB$75:$DL$98,MATCH(_xlfn.CONCAT(TEXT(DATE($A108,$B108,1),"mmm-yy"),$D108),'[1]Demanda requerida 2028'!$CB$71:$DL$71,0),FALSE)</f>
        <v>8351</v>
      </c>
      <c r="K108" s="8">
        <f>VLOOKUP(K$1,'[1]Demanda requerida 2028'!$CB$75:$DL$98,MATCH(_xlfn.CONCAT(TEXT(DATE($A108,$B108,1),"mmm-yy"),$D108),'[1]Demanda requerida 2028'!$CB$71:$DL$71,0),FALSE)</f>
        <v>9614</v>
      </c>
      <c r="L108" s="8">
        <f>VLOOKUP(L$1,'[1]Demanda requerida 2028'!$CB$75:$DL$98,MATCH(_xlfn.CONCAT(TEXT(DATE($A108,$B108,1),"mmm-yy"),$D108),'[1]Demanda requerida 2028'!$CB$71:$DL$71,0),FALSE)</f>
        <v>12106</v>
      </c>
      <c r="M108" s="8">
        <f>VLOOKUP(M$1,'[1]Demanda requerida 2028'!$CB$75:$DL$98,MATCH(_xlfn.CONCAT(TEXT(DATE($A108,$B108,1),"mmm-yy"),$D108),'[1]Demanda requerida 2028'!$CB$71:$DL$71,0),FALSE)</f>
        <v>14666</v>
      </c>
      <c r="N108" s="8">
        <f>VLOOKUP(N$1,'[1]Demanda requerida 2028'!$CB$75:$DL$98,MATCH(_xlfn.CONCAT(TEXT(DATE($A108,$B108,1),"mmm-yy"),$D108),'[1]Demanda requerida 2028'!$CB$71:$DL$71,0),FALSE)</f>
        <v>15840</v>
      </c>
      <c r="O108" s="8">
        <f>VLOOKUP(O$1,'[1]Demanda requerida 2028'!$CB$75:$DL$98,MATCH(_xlfn.CONCAT(TEXT(DATE($A108,$B108,1),"mmm-yy"),$D108),'[1]Demanda requerida 2028'!$CB$71:$DL$71,0),FALSE)</f>
        <v>16975</v>
      </c>
      <c r="P108" s="8">
        <f>VLOOKUP(P$1,'[1]Demanda requerida 2028'!$CB$75:$DL$98,MATCH(_xlfn.CONCAT(TEXT(DATE($A108,$B108,1),"mmm-yy"),$D108),'[1]Demanda requerida 2028'!$CB$71:$DL$71,0),FALSE)</f>
        <v>18531</v>
      </c>
      <c r="Q108" s="8">
        <f>VLOOKUP(Q$1,'[1]Demanda requerida 2028'!$CB$75:$DL$98,MATCH(_xlfn.CONCAT(TEXT(DATE($A108,$B108,1),"mmm-yy"),$D108),'[1]Demanda requerida 2028'!$CB$71:$DL$71,0),FALSE)</f>
        <v>19446</v>
      </c>
      <c r="R108" s="8">
        <f>VLOOKUP(R$1,'[1]Demanda requerida 2028'!$CB$75:$DL$98,MATCH(_xlfn.CONCAT(TEXT(DATE($A108,$B108,1),"mmm-yy"),$D108),'[1]Demanda requerida 2028'!$CB$71:$DL$71,0),FALSE)</f>
        <v>18880</v>
      </c>
      <c r="S108" s="8">
        <f>VLOOKUP(S$1,'[1]Demanda requerida 2028'!$CB$75:$DL$98,MATCH(_xlfn.CONCAT(TEXT(DATE($A108,$B108,1),"mmm-yy"),$D108),'[1]Demanda requerida 2028'!$CB$71:$DL$71,0),FALSE)</f>
        <v>18711</v>
      </c>
      <c r="T108" s="8">
        <f>VLOOKUP(T$1,'[1]Demanda requerida 2028'!$CB$75:$DL$98,MATCH(_xlfn.CONCAT(TEXT(DATE($A108,$B108,1),"mmm-yy"),$D108),'[1]Demanda requerida 2028'!$CB$71:$DL$71,0),FALSE)</f>
        <v>19435</v>
      </c>
      <c r="U108" s="8">
        <f>VLOOKUP(U$1,'[1]Demanda requerida 2028'!$CB$75:$DL$98,MATCH(_xlfn.CONCAT(TEXT(DATE($A108,$B108,1),"mmm-yy"),$D108),'[1]Demanda requerida 2028'!$CB$71:$DL$71,0),FALSE)</f>
        <v>18930</v>
      </c>
      <c r="V108" s="8">
        <f>VLOOKUP(V$1,'[1]Demanda requerida 2028'!$CB$75:$DL$98,MATCH(_xlfn.CONCAT(TEXT(DATE($A108,$B108,1),"mmm-yy"),$D108),'[1]Demanda requerida 2028'!$CB$71:$DL$71,0),FALSE)</f>
        <v>20992</v>
      </c>
      <c r="W108" s="8">
        <f>VLOOKUP(W$1,'[1]Demanda requerida 2028'!$CB$75:$DL$98,MATCH(_xlfn.CONCAT(TEXT(DATE($A108,$B108,1),"mmm-yy"),$D108),'[1]Demanda requerida 2028'!$CB$71:$DL$71,0),FALSE)</f>
        <v>23532</v>
      </c>
      <c r="X108" s="8">
        <f>VLOOKUP(X$1,'[1]Demanda requerida 2028'!$CB$75:$DL$98,MATCH(_xlfn.CONCAT(TEXT(DATE($A108,$B108,1),"mmm-yy"),$D108),'[1]Demanda requerida 2028'!$CB$71:$DL$71,0),FALSE)</f>
        <v>23692</v>
      </c>
      <c r="Y108" s="8">
        <f>VLOOKUP(Y$1,'[1]Demanda requerida 2028'!$CB$75:$DL$98,MATCH(_xlfn.CONCAT(TEXT(DATE($A108,$B108,1),"mmm-yy"),$D108),'[1]Demanda requerida 2028'!$CB$71:$DL$71,0),FALSE)</f>
        <v>22410</v>
      </c>
      <c r="Z108" s="8">
        <f>VLOOKUP(Z$1,'[1]Demanda requerida 2028'!$CB$75:$DL$98,MATCH(_xlfn.CONCAT(TEXT(DATE($A108,$B108,1),"mmm-yy"),$D108),'[1]Demanda requerida 2028'!$CB$71:$DL$71,0),FALSE)</f>
        <v>20073</v>
      </c>
      <c r="AA108" s="8">
        <f>VLOOKUP(AA$1,'[1]Demanda requerida 2028'!$CB$75:$DL$98,MATCH(_xlfn.CONCAT(TEXT(DATE($A108,$B108,1),"mmm-yy"),$D108),'[1]Demanda requerida 2028'!$CB$71:$DL$71,0),FALSE)</f>
        <v>17037</v>
      </c>
      <c r="AB108" s="8">
        <f>VLOOKUP(AB$1,'[1]Demanda requerida 2028'!$CB$75:$DL$98,MATCH(_xlfn.CONCAT(TEXT(DATE($A108,$B108,1),"mmm-yy"),$D108),'[1]Demanda requerida 2028'!$CB$71:$DL$71,0),FALSE)</f>
        <v>14099</v>
      </c>
      <c r="AC108" s="84">
        <f t="shared" si="31"/>
        <v>377465</v>
      </c>
      <c r="AD108" s="77"/>
      <c r="AE108" s="85"/>
    </row>
    <row r="109" spans="1:31" ht="15.75" thickBot="1" x14ac:dyDescent="0.3">
      <c r="A109" s="14">
        <v>2028</v>
      </c>
      <c r="B109" s="15">
        <v>12</v>
      </c>
      <c r="C109" s="15">
        <v>5</v>
      </c>
      <c r="D109" s="15" t="s">
        <v>6</v>
      </c>
      <c r="E109" s="9">
        <f>VLOOKUP(E$1,'[1]Demanda requerida 2028'!$CB$75:$DL$98,MATCH(_xlfn.CONCAT(TEXT(DATE($A109,$B109,1),"mmm-yy"),$D109),'[1]Demanda requerida 2028'!$CB$71:$DL$71,0),FALSE)</f>
        <v>6185</v>
      </c>
      <c r="F109" s="9">
        <f>VLOOKUP(F$1,'[1]Demanda requerida 2028'!$CB$75:$DL$98,MATCH(_xlfn.CONCAT(TEXT(DATE($A109,$B109,1),"mmm-yy"),$D109),'[1]Demanda requerida 2028'!$CB$71:$DL$71,0),FALSE)</f>
        <v>4870</v>
      </c>
      <c r="G109" s="9">
        <f>VLOOKUP(G$1,'[1]Demanda requerida 2028'!$CB$75:$DL$98,MATCH(_xlfn.CONCAT(TEXT(DATE($A109,$B109,1),"mmm-yy"),$D109),'[1]Demanda requerida 2028'!$CB$71:$DL$71,0),FALSE)</f>
        <v>4098</v>
      </c>
      <c r="H109" s="9">
        <f>VLOOKUP(H$1,'[1]Demanda requerida 2028'!$CB$75:$DL$98,MATCH(_xlfn.CONCAT(TEXT(DATE($A109,$B109,1),"mmm-yy"),$D109),'[1]Demanda requerida 2028'!$CB$71:$DL$71,0),FALSE)</f>
        <v>3412</v>
      </c>
      <c r="I109" s="9">
        <f>VLOOKUP(I$1,'[1]Demanda requerida 2028'!$CB$75:$DL$98,MATCH(_xlfn.CONCAT(TEXT(DATE($A109,$B109,1),"mmm-yy"),$D109),'[1]Demanda requerida 2028'!$CB$71:$DL$71,0),FALSE)</f>
        <v>3125</v>
      </c>
      <c r="J109" s="9">
        <f>VLOOKUP(J$1,'[1]Demanda requerida 2028'!$CB$75:$DL$98,MATCH(_xlfn.CONCAT(TEXT(DATE($A109,$B109,1),"mmm-yy"),$D109),'[1]Demanda requerida 2028'!$CB$71:$DL$71,0),FALSE)</f>
        <v>3335</v>
      </c>
      <c r="K109" s="9">
        <f>VLOOKUP(K$1,'[1]Demanda requerida 2028'!$CB$75:$DL$98,MATCH(_xlfn.CONCAT(TEXT(DATE($A109,$B109,1),"mmm-yy"),$D109),'[1]Demanda requerida 2028'!$CB$71:$DL$71,0),FALSE)</f>
        <v>4272</v>
      </c>
      <c r="L109" s="9">
        <f>VLOOKUP(L$1,'[1]Demanda requerida 2028'!$CB$75:$DL$98,MATCH(_xlfn.CONCAT(TEXT(DATE($A109,$B109,1),"mmm-yy"),$D109),'[1]Demanda requerida 2028'!$CB$71:$DL$71,0),FALSE)</f>
        <v>5955</v>
      </c>
      <c r="M109" s="9">
        <f>VLOOKUP(M$1,'[1]Demanda requerida 2028'!$CB$75:$DL$98,MATCH(_xlfn.CONCAT(TEXT(DATE($A109,$B109,1),"mmm-yy"),$D109),'[1]Demanda requerida 2028'!$CB$71:$DL$71,0),FALSE)</f>
        <v>9098</v>
      </c>
      <c r="N109" s="9">
        <f>VLOOKUP(N$1,'[1]Demanda requerida 2028'!$CB$75:$DL$98,MATCH(_xlfn.CONCAT(TEXT(DATE($A109,$B109,1),"mmm-yy"),$D109),'[1]Demanda requerida 2028'!$CB$71:$DL$71,0),FALSE)</f>
        <v>10860</v>
      </c>
      <c r="O109" s="9">
        <f>VLOOKUP(O$1,'[1]Demanda requerida 2028'!$CB$75:$DL$98,MATCH(_xlfn.CONCAT(TEXT(DATE($A109,$B109,1),"mmm-yy"),$D109),'[1]Demanda requerida 2028'!$CB$71:$DL$71,0),FALSE)</f>
        <v>12027</v>
      </c>
      <c r="P109" s="9">
        <f>VLOOKUP(P$1,'[1]Demanda requerida 2028'!$CB$75:$DL$98,MATCH(_xlfn.CONCAT(TEXT(DATE($A109,$B109,1),"mmm-yy"),$D109),'[1]Demanda requerida 2028'!$CB$71:$DL$71,0),FALSE)</f>
        <v>13165</v>
      </c>
      <c r="Q109" s="9">
        <f>VLOOKUP(Q$1,'[1]Demanda requerida 2028'!$CB$75:$DL$98,MATCH(_xlfn.CONCAT(TEXT(DATE($A109,$B109,1),"mmm-yy"),$D109),'[1]Demanda requerida 2028'!$CB$71:$DL$71,0),FALSE)</f>
        <v>13463</v>
      </c>
      <c r="R109" s="9">
        <f>VLOOKUP(R$1,'[1]Demanda requerida 2028'!$CB$75:$DL$98,MATCH(_xlfn.CONCAT(TEXT(DATE($A109,$B109,1),"mmm-yy"),$D109),'[1]Demanda requerida 2028'!$CB$71:$DL$71,0),FALSE)</f>
        <v>13126</v>
      </c>
      <c r="S109" s="9">
        <f>VLOOKUP(S$1,'[1]Demanda requerida 2028'!$CB$75:$DL$98,MATCH(_xlfn.CONCAT(TEXT(DATE($A109,$B109,1),"mmm-yy"),$D109),'[1]Demanda requerida 2028'!$CB$71:$DL$71,0),FALSE)</f>
        <v>12635</v>
      </c>
      <c r="T109" s="9">
        <f>VLOOKUP(T$1,'[1]Demanda requerida 2028'!$CB$75:$DL$98,MATCH(_xlfn.CONCAT(TEXT(DATE($A109,$B109,1),"mmm-yy"),$D109),'[1]Demanda requerida 2028'!$CB$71:$DL$71,0),FALSE)</f>
        <v>12343</v>
      </c>
      <c r="U109" s="9">
        <f>VLOOKUP(U$1,'[1]Demanda requerida 2028'!$CB$75:$DL$98,MATCH(_xlfn.CONCAT(TEXT(DATE($A109,$B109,1),"mmm-yy"),$D109),'[1]Demanda requerida 2028'!$CB$71:$DL$71,0),FALSE)</f>
        <v>12024</v>
      </c>
      <c r="V109" s="9">
        <f>VLOOKUP(V$1,'[1]Demanda requerida 2028'!$CB$75:$DL$98,MATCH(_xlfn.CONCAT(TEXT(DATE($A109,$B109,1),"mmm-yy"),$D109),'[1]Demanda requerida 2028'!$CB$71:$DL$71,0),FALSE)</f>
        <v>14105</v>
      </c>
      <c r="W109" s="9">
        <f>VLOOKUP(W$1,'[1]Demanda requerida 2028'!$CB$75:$DL$98,MATCH(_xlfn.CONCAT(TEXT(DATE($A109,$B109,1),"mmm-yy"),$D109),'[1]Demanda requerida 2028'!$CB$71:$DL$71,0),FALSE)</f>
        <v>16753</v>
      </c>
      <c r="X109" s="9">
        <f>VLOOKUP(X$1,'[1]Demanda requerida 2028'!$CB$75:$DL$98,MATCH(_xlfn.CONCAT(TEXT(DATE($A109,$B109,1),"mmm-yy"),$D109),'[1]Demanda requerida 2028'!$CB$71:$DL$71,0),FALSE)</f>
        <v>17210</v>
      </c>
      <c r="Y109" s="9">
        <f>VLOOKUP(Y$1,'[1]Demanda requerida 2028'!$CB$75:$DL$98,MATCH(_xlfn.CONCAT(TEXT(DATE($A109,$B109,1),"mmm-yy"),$D109),'[1]Demanda requerida 2028'!$CB$71:$DL$71,0),FALSE)</f>
        <v>15975</v>
      </c>
      <c r="Z109" s="9">
        <f>VLOOKUP(Z$1,'[1]Demanda requerida 2028'!$CB$75:$DL$98,MATCH(_xlfn.CONCAT(TEXT(DATE($A109,$B109,1),"mmm-yy"),$D109),'[1]Demanda requerida 2028'!$CB$71:$DL$71,0),FALSE)</f>
        <v>14222</v>
      </c>
      <c r="AA109" s="9">
        <f>VLOOKUP(AA$1,'[1]Demanda requerida 2028'!$CB$75:$DL$98,MATCH(_xlfn.CONCAT(TEXT(DATE($A109,$B109,1),"mmm-yy"),$D109),'[1]Demanda requerida 2028'!$CB$71:$DL$71,0),FALSE)</f>
        <v>12228</v>
      </c>
      <c r="AB109" s="9">
        <f>VLOOKUP(AB$1,'[1]Demanda requerida 2028'!$CB$75:$DL$98,MATCH(_xlfn.CONCAT(TEXT(DATE($A109,$B109,1),"mmm-yy"),$D109),'[1]Demanda requerida 2028'!$CB$71:$DL$71,0),FALSE)</f>
        <v>9982</v>
      </c>
      <c r="AC109" s="86">
        <f t="shared" si="31"/>
        <v>244468</v>
      </c>
      <c r="AD109" s="78"/>
      <c r="AE109" s="87"/>
    </row>
    <row r="110" spans="1:31" x14ac:dyDescent="0.25">
      <c r="AD110" s="88"/>
      <c r="AE110" s="16">
        <f>+SUM(AE2:AE109)</f>
        <v>195007156</v>
      </c>
    </row>
  </sheetData>
  <autoFilter ref="A1:AD109" xr:uid="{613A46AB-9147-46A3-AF03-6891DCC98E60}"/>
  <mergeCells count="39">
    <mergeCell ref="AD101:AD103"/>
    <mergeCell ref="AD104:AD106"/>
    <mergeCell ref="AD107:AD109"/>
    <mergeCell ref="AD74:AD76"/>
    <mergeCell ref="AE74:AE109"/>
    <mergeCell ref="AD77:AD79"/>
    <mergeCell ref="AD80:AD82"/>
    <mergeCell ref="AD83:AD85"/>
    <mergeCell ref="AD86:AD88"/>
    <mergeCell ref="AD89:AD91"/>
    <mergeCell ref="AD92:AD94"/>
    <mergeCell ref="AD95:AD97"/>
    <mergeCell ref="AD98:AD100"/>
    <mergeCell ref="AD56:AD58"/>
    <mergeCell ref="AD59:AD61"/>
    <mergeCell ref="AD62:AD64"/>
    <mergeCell ref="AD65:AD67"/>
    <mergeCell ref="AD68:AD70"/>
    <mergeCell ref="AD71:AD73"/>
    <mergeCell ref="AD29:AD31"/>
    <mergeCell ref="AD32:AD34"/>
    <mergeCell ref="AD35:AD37"/>
    <mergeCell ref="AD38:AD40"/>
    <mergeCell ref="AE38:AE73"/>
    <mergeCell ref="AD41:AD43"/>
    <mergeCell ref="AD44:AD46"/>
    <mergeCell ref="AD47:AD49"/>
    <mergeCell ref="AD50:AD52"/>
    <mergeCell ref="AD53:AD55"/>
    <mergeCell ref="AD2:AD4"/>
    <mergeCell ref="AE2:AE37"/>
    <mergeCell ref="AD5:AD7"/>
    <mergeCell ref="AD8:AD10"/>
    <mergeCell ref="AD11:AD13"/>
    <mergeCell ref="AD14:AD16"/>
    <mergeCell ref="AD17:AD19"/>
    <mergeCell ref="AD20:AD22"/>
    <mergeCell ref="AD23:AD25"/>
    <mergeCell ref="AD26:AD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 No. 1 Plana</vt:lpstr>
      <vt:lpstr>General Productos No. 1 Plana</vt:lpstr>
      <vt:lpstr>Producto No. 2 Curva</vt:lpstr>
      <vt:lpstr>Producto No. 2 (Curva)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J0H4NN 53B4ST14N CH4P4RR0</dc:creator>
  <cp:lastModifiedBy>Empresa Distribuidora</cp:lastModifiedBy>
  <dcterms:created xsi:type="dcterms:W3CDTF">2025-09-02T15:47:16Z</dcterms:created>
  <dcterms:modified xsi:type="dcterms:W3CDTF">2025-11-07T02:26:46Z</dcterms:modified>
</cp:coreProperties>
</file>